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uikirr\"/>
    </mc:Choice>
  </mc:AlternateContent>
  <xr:revisionPtr revIDLastSave="0" documentId="11_536B8D482CF78D5722D9FA406119C6163643D0B4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nnual Waterfall" sheetId="1" r:id="rId1"/>
    <sheet name="Top Customers" sheetId="2" r:id="rId2"/>
    <sheet name="Original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N17" i="2"/>
  <c r="L17" i="2"/>
  <c r="I17" i="2"/>
  <c r="F17" i="2"/>
  <c r="H11" i="2" s="1"/>
  <c r="E17" i="2"/>
  <c r="D17" i="2"/>
  <c r="C17" i="2"/>
  <c r="Q13" i="2"/>
  <c r="L13" i="2"/>
  <c r="K13" i="2"/>
  <c r="F13" i="2"/>
  <c r="E13" i="2"/>
  <c r="D13" i="2"/>
  <c r="P13" i="2" s="1"/>
  <c r="C13" i="2"/>
  <c r="G13" i="2" s="1"/>
  <c r="Q12" i="2"/>
  <c r="O12" i="2"/>
  <c r="N12" i="2"/>
  <c r="G12" i="2"/>
  <c r="F12" i="2"/>
  <c r="E12" i="2"/>
  <c r="L12" i="2" s="1"/>
  <c r="D12" i="2"/>
  <c r="P12" i="2" s="1"/>
  <c r="C12" i="2"/>
  <c r="L11" i="2"/>
  <c r="F11" i="2"/>
  <c r="E11" i="2"/>
  <c r="Q11" i="2" s="1"/>
  <c r="D11" i="2"/>
  <c r="P11" i="2" s="1"/>
  <c r="C11" i="2"/>
  <c r="G11" i="2" s="1"/>
  <c r="Q10" i="2"/>
  <c r="P10" i="2"/>
  <c r="O10" i="2"/>
  <c r="K10" i="2"/>
  <c r="F10" i="2"/>
  <c r="N10" i="2" s="1"/>
  <c r="E10" i="2"/>
  <c r="D10" i="2"/>
  <c r="C10" i="2"/>
  <c r="J10" i="2" s="1"/>
  <c r="O9" i="2"/>
  <c r="N9" i="2"/>
  <c r="G9" i="2"/>
  <c r="F9" i="2"/>
  <c r="H9" i="2" s="1"/>
  <c r="E9" i="2"/>
  <c r="K9" i="2" s="1"/>
  <c r="D9" i="2"/>
  <c r="J9" i="2" s="1"/>
  <c r="C9" i="2"/>
  <c r="Q8" i="2"/>
  <c r="P8" i="2"/>
  <c r="N8" i="2"/>
  <c r="K8" i="2"/>
  <c r="J8" i="2"/>
  <c r="H8" i="2"/>
  <c r="F8" i="2"/>
  <c r="G8" i="2" s="1"/>
  <c r="E8" i="2"/>
  <c r="L8" i="2" s="1"/>
  <c r="D8" i="2"/>
  <c r="O8" i="2" s="1"/>
  <c r="C8" i="2"/>
  <c r="P7" i="2"/>
  <c r="F7" i="2"/>
  <c r="L7" i="2" s="1"/>
  <c r="E7" i="2"/>
  <c r="K7" i="2" s="1"/>
  <c r="D7" i="2"/>
  <c r="J7" i="2" s="1"/>
  <c r="C7" i="2"/>
  <c r="O7" i="2" s="1"/>
  <c r="P6" i="2"/>
  <c r="L6" i="2"/>
  <c r="K6" i="2"/>
  <c r="J6" i="2"/>
  <c r="F6" i="2"/>
  <c r="Q6" i="2" s="1"/>
  <c r="E6" i="2"/>
  <c r="D6" i="2"/>
  <c r="C6" i="2"/>
  <c r="O6" i="2" s="1"/>
  <c r="J5" i="2"/>
  <c r="H5" i="2"/>
  <c r="F5" i="2"/>
  <c r="L5" i="2" s="1"/>
  <c r="E5" i="2"/>
  <c r="K5" i="2" s="1"/>
  <c r="D5" i="2"/>
  <c r="P5" i="2" s="1"/>
  <c r="C5" i="2"/>
  <c r="O5" i="2" s="1"/>
  <c r="N4" i="2"/>
  <c r="L4" i="2"/>
  <c r="F4" i="2"/>
  <c r="F20" i="2" s="1"/>
  <c r="H20" i="2" s="1"/>
  <c r="E4" i="2"/>
  <c r="E20" i="2" s="1"/>
  <c r="Q20" i="2" s="1"/>
  <c r="D4" i="2"/>
  <c r="D19" i="2" s="1"/>
  <c r="C4" i="2"/>
  <c r="C19" i="2" s="1"/>
  <c r="C28" i="1"/>
  <c r="E26" i="1"/>
  <c r="E24" i="1"/>
  <c r="C23" i="1"/>
  <c r="E20" i="1"/>
  <c r="D20" i="1"/>
  <c r="D24" i="1" s="1"/>
  <c r="E25" i="1" s="1"/>
  <c r="C20" i="1"/>
  <c r="C24" i="1" s="1"/>
  <c r="B20" i="1"/>
  <c r="E19" i="1"/>
  <c r="E28" i="1" s="1"/>
  <c r="D19" i="1"/>
  <c r="C19" i="1"/>
  <c r="E18" i="1"/>
  <c r="E21" i="1" s="1"/>
  <c r="D18" i="1"/>
  <c r="D26" i="1" s="1"/>
  <c r="E27" i="1" s="1"/>
  <c r="C18" i="1"/>
  <c r="C26" i="1" s="1"/>
  <c r="D27" i="1" s="1"/>
  <c r="E17" i="1"/>
  <c r="E23" i="1" s="1"/>
  <c r="D17" i="1"/>
  <c r="D23" i="1" s="1"/>
  <c r="C17" i="1"/>
  <c r="C22" i="1" s="1"/>
  <c r="C13" i="1"/>
  <c r="E12" i="1"/>
  <c r="D10" i="1"/>
  <c r="E8" i="1"/>
  <c r="D8" i="1"/>
  <c r="C8" i="1"/>
  <c r="C10" i="1" s="1"/>
  <c r="B8" i="1"/>
  <c r="E7" i="1"/>
  <c r="D7" i="1"/>
  <c r="D28" i="1" s="1"/>
  <c r="E29" i="1" s="1"/>
  <c r="C7" i="1"/>
  <c r="C14" i="1" s="1"/>
  <c r="E6" i="1"/>
  <c r="D6" i="1"/>
  <c r="D15" i="1" s="1"/>
  <c r="C6" i="1"/>
  <c r="C12" i="1" s="1"/>
  <c r="E5" i="1"/>
  <c r="D5" i="1"/>
  <c r="C5" i="1"/>
  <c r="C15" i="1" s="1"/>
  <c r="E4" i="1"/>
  <c r="E11" i="1" s="1"/>
  <c r="D4" i="1"/>
  <c r="D11" i="1" s="1"/>
  <c r="C4" i="1"/>
  <c r="C11" i="1" s="1"/>
  <c r="E3" i="1"/>
  <c r="E15" i="1" s="1"/>
  <c r="D3" i="1"/>
  <c r="D9" i="1" s="1"/>
  <c r="C3" i="1"/>
  <c r="C9" i="1" s="1"/>
  <c r="D29" i="1" l="1"/>
  <c r="O19" i="2"/>
  <c r="E16" i="2"/>
  <c r="M7" i="2"/>
  <c r="D25" i="1"/>
  <c r="E9" i="1"/>
  <c r="N7" i="2"/>
  <c r="L9" i="2"/>
  <c r="L20" i="2" s="1"/>
  <c r="M20" i="2" s="1"/>
  <c r="J11" i="2"/>
  <c r="H13" i="2"/>
  <c r="F16" i="2"/>
  <c r="H16" i="2" s="1"/>
  <c r="E19" i="2"/>
  <c r="Q5" i="2"/>
  <c r="M9" i="2"/>
  <c r="K11" i="2"/>
  <c r="F19" i="2"/>
  <c r="H19" i="2" s="1"/>
  <c r="M17" i="2"/>
  <c r="E10" i="1"/>
  <c r="Q7" i="2"/>
  <c r="C21" i="1"/>
  <c r="G4" i="2"/>
  <c r="P9" i="2"/>
  <c r="N11" i="2"/>
  <c r="D21" i="1"/>
  <c r="H4" i="2"/>
  <c r="Q9" i="2"/>
  <c r="O11" i="2"/>
  <c r="M13" i="2"/>
  <c r="G6" i="2"/>
  <c r="N13" i="2"/>
  <c r="J13" i="2"/>
  <c r="M11" i="2"/>
  <c r="J4" i="2"/>
  <c r="H6" i="2"/>
  <c r="O13" i="2"/>
  <c r="L19" i="2"/>
  <c r="D12" i="1"/>
  <c r="D22" i="1"/>
  <c r="K4" i="2"/>
  <c r="M19" i="2"/>
  <c r="E22" i="1"/>
  <c r="D13" i="1"/>
  <c r="H10" i="2"/>
  <c r="E13" i="1"/>
  <c r="O4" i="2"/>
  <c r="P4" i="2"/>
  <c r="N6" i="2"/>
  <c r="H12" i="2"/>
  <c r="F14" i="2"/>
  <c r="H14" i="2" s="1"/>
  <c r="C20" i="2"/>
  <c r="M4" i="2"/>
  <c r="G10" i="2"/>
  <c r="M6" i="2"/>
  <c r="E14" i="2"/>
  <c r="Q14" i="2" s="1"/>
  <c r="D14" i="1"/>
  <c r="Q4" i="2"/>
  <c r="M8" i="2"/>
  <c r="D20" i="2"/>
  <c r="P20" i="2" s="1"/>
  <c r="C14" i="2"/>
  <c r="D14" i="2"/>
  <c r="P14" i="2" s="1"/>
  <c r="E14" i="1"/>
  <c r="L10" i="2"/>
  <c r="J12" i="2"/>
  <c r="G17" i="2"/>
  <c r="M10" i="2"/>
  <c r="K12" i="2"/>
  <c r="H17" i="2"/>
  <c r="M12" i="2"/>
  <c r="J17" i="2"/>
  <c r="G5" i="2"/>
  <c r="L14" i="2"/>
  <c r="L16" i="2" s="1"/>
  <c r="M16" i="2" s="1"/>
  <c r="K17" i="2"/>
  <c r="O17" i="2"/>
  <c r="M5" i="2"/>
  <c r="Q17" i="2"/>
  <c r="G7" i="2"/>
  <c r="H7" i="2"/>
  <c r="N5" i="2"/>
  <c r="M14" i="2" l="1"/>
  <c r="K20" i="2"/>
  <c r="K14" i="2"/>
  <c r="K16" i="2" s="1"/>
  <c r="K19" i="2"/>
  <c r="Q19" i="2"/>
  <c r="J14" i="2"/>
  <c r="J16" i="2" s="1"/>
  <c r="J19" i="2"/>
  <c r="J20" i="2"/>
  <c r="G14" i="2"/>
  <c r="O14" i="2"/>
  <c r="N14" i="2"/>
  <c r="Q16" i="2"/>
  <c r="D16" i="2"/>
  <c r="P16" i="2" s="1"/>
  <c r="C16" i="2"/>
  <c r="P19" i="2"/>
  <c r="I11" i="2"/>
  <c r="I9" i="2"/>
  <c r="I7" i="2"/>
  <c r="I20" i="2"/>
  <c r="I14" i="2"/>
  <c r="I12" i="2"/>
  <c r="I10" i="2"/>
  <c r="I8" i="2"/>
  <c r="I6" i="2"/>
  <c r="I4" i="2"/>
  <c r="I5" i="2"/>
  <c r="I19" i="2"/>
  <c r="I13" i="2"/>
  <c r="G19" i="2"/>
  <c r="O20" i="2"/>
  <c r="N20" i="2"/>
  <c r="G20" i="2"/>
  <c r="N19" i="2"/>
  <c r="O16" i="2" l="1"/>
  <c r="N16" i="2"/>
  <c r="G16" i="2"/>
</calcChain>
</file>

<file path=xl/sharedStrings.xml><?xml version="1.0" encoding="utf-8"?>
<sst xmlns="http://schemas.openxmlformats.org/spreadsheetml/2006/main" count="81" uniqueCount="62">
  <si>
    <t>Annual Waterfall</t>
  </si>
  <si>
    <t>Dec-22</t>
  </si>
  <si>
    <t>Dec-23</t>
  </si>
  <si>
    <t>Dec-24</t>
  </si>
  <si>
    <t>Dec-25</t>
  </si>
  <si>
    <t>BoP ARR</t>
  </si>
  <si>
    <t>New</t>
  </si>
  <si>
    <t>Upsell</t>
  </si>
  <si>
    <t>(Downsell)</t>
  </si>
  <si>
    <t>(Churn)</t>
  </si>
  <si>
    <t>EoP ARR</t>
  </si>
  <si>
    <t>% Growth</t>
  </si>
  <si>
    <t>Net New ARR</t>
  </si>
  <si>
    <t>New + Upsell</t>
  </si>
  <si>
    <t>Downsell + Churn</t>
  </si>
  <si>
    <t>Gross Retention %</t>
  </si>
  <si>
    <t>Loss-Only Retention %</t>
  </si>
  <si>
    <t>Net Retention %</t>
  </si>
  <si>
    <t>Customer Waterfall</t>
  </si>
  <si>
    <t>BoP Customers</t>
  </si>
  <si>
    <t>EoP Customers</t>
  </si>
  <si>
    <t>Net Logos Added</t>
  </si>
  <si>
    <t>Logo % Growth</t>
  </si>
  <si>
    <t>Gross Logo Retention %</t>
  </si>
  <si>
    <t>Avg. Logo Size ($ Actuals)</t>
  </si>
  <si>
    <t>Avg Logo Size YoY Growth</t>
  </si>
  <si>
    <t>Avg. New Logo Size ($ Actuals)</t>
  </si>
  <si>
    <t>Avg New Logo Size YoY Growth</t>
  </si>
  <si>
    <t>Avg. Churned Logo Size ($ Actuals)</t>
  </si>
  <si>
    <t>Avg Churned Logo Size YoY Growth</t>
  </si>
  <si>
    <t>Top Customers as of Dec-25</t>
  </si>
  <si>
    <t>($ Actuals)</t>
  </si>
  <si>
    <t>ARR</t>
  </si>
  <si>
    <t>$ Growth</t>
  </si>
  <si>
    <t>Rank</t>
  </si>
  <si>
    <t>Customer</t>
  </si>
  <si>
    <t>Dec-22 - Dec-25 CAGR</t>
  </si>
  <si>
    <t>% of Dec-25 ARR</t>
  </si>
  <si>
    <t>% Total Cum.</t>
  </si>
  <si>
    <t>Dec-22 - Dec-23</t>
  </si>
  <si>
    <t>Dec-23 - Dec-24</t>
  </si>
  <si>
    <t>Dec-24 - Dec-25</t>
  </si>
  <si>
    <t>% of Dec-24 - Dec-25 Growth</t>
  </si>
  <si>
    <t>Mult. of Initial</t>
  </si>
  <si>
    <t>Customer Since</t>
  </si>
  <si>
    <t>61</t>
  </si>
  <si>
    <t>2</t>
  </si>
  <si>
    <t>13</t>
  </si>
  <si>
    <t>53</t>
  </si>
  <si>
    <t>94</t>
  </si>
  <si>
    <t>31</t>
  </si>
  <si>
    <t>Mar-23</t>
  </si>
  <si>
    <t>51</t>
  </si>
  <si>
    <t>62</t>
  </si>
  <si>
    <t>Jun-25</t>
  </si>
  <si>
    <t>68</t>
  </si>
  <si>
    <t>91</t>
  </si>
  <si>
    <t>Total Top 10</t>
  </si>
  <si>
    <t>Other (90 Customers)</t>
  </si>
  <si>
    <t>Total Customers</t>
  </si>
  <si>
    <t>Total Top 5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</si>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</sst>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??_);_(@_)"/>
    <numFmt numFmtId="165" formatCode="0%_);\(0%\);&quot; - &quot;"/>
    <numFmt numFmtId="166" formatCode="_(* #,##0_);_(* \(#,##0\);_(* &quot; - &quot;?_);_(@_)"/>
    <numFmt numFmtId="167" formatCode="\(#,##0\);\(#,##0\);&quot; - &quot;"/>
    <numFmt numFmtId="168" formatCode="0.0&quot;x&quot;_);\(0.0&quot;x&quot;\);&quot; - &quot;"/>
    <numFmt numFmtId="169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lightDown">
        <fgColor rgb="FFD9D9D9"/>
        <bgColor rgb="FFF2F2F2"/>
      </patternFill>
    </fill>
    <fill>
      <patternFill patternType="solid">
        <fgColor rgb="FFF2E4D8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165" fontId="2" fillId="4" borderId="0" xfId="0" applyNumberFormat="1" applyFont="1" applyFill="1" applyAlignment="1">
      <alignment horizontal="right"/>
    </xf>
    <xf numFmtId="0" fontId="1" fillId="2" borderId="0" xfId="0" applyFont="1" applyFill="1"/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165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sqref="A1:E1"/>
    </sheetView>
  </sheetViews>
  <sheetFormatPr defaultRowHeight="15" x14ac:dyDescent="0.25"/>
  <cols>
    <col min="1" max="1" width="36" customWidth="1"/>
    <col min="2" max="5" width="14" customWidth="1"/>
  </cols>
  <sheetData>
    <row r="1" spans="1:5" x14ac:dyDescent="0.25">
      <c r="A1" s="29" t="s">
        <v>0</v>
      </c>
      <c r="B1" s="30"/>
      <c r="C1" s="30"/>
      <c r="D1" s="30"/>
      <c r="E1" s="30"/>
    </row>
    <row r="2" spans="1:5" x14ac:dyDescent="0.25">
      <c r="A2" s="1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 t="s">
        <v>5</v>
      </c>
      <c r="B3" s="4"/>
      <c r="C3" s="5">
        <f>SUM('Original Data'!$C$4:$C$103)*12</f>
        <v>216022.80000000002</v>
      </c>
      <c r="D3" s="5">
        <f>SUM('Original Data'!$O$4:$O$103)*12</f>
        <v>214713.59999999995</v>
      </c>
      <c r="E3" s="5">
        <f>SUM('Original Data'!$AA$4:$AA$103)*12</f>
        <v>223283.87999999998</v>
      </c>
    </row>
    <row r="4" spans="1:5" x14ac:dyDescent="0.25">
      <c r="A4" s="3" t="s">
        <v>6</v>
      </c>
      <c r="B4" s="4"/>
      <c r="C4" s="5">
        <f>SUMPRODUCT(('Original Data'!$C$4:$C$103&lt;=0)*('Original Data'!$O$4:$O$103&gt;0)*'Original Data'!$O$4:$O$103)*12</f>
        <v>14969.76</v>
      </c>
      <c r="D4" s="5">
        <f>SUMPRODUCT(('Original Data'!$O$4:$O$103&lt;=0)*('Original Data'!$AA$4:$AA$103&gt;0)*'Original Data'!$AA$4:$AA$103)*12</f>
        <v>12625.199999999999</v>
      </c>
      <c r="E4" s="5">
        <f>SUMPRODUCT(('Original Data'!$AA$4:$AA$103&lt;=0)*('Original Data'!$AM$4:$AM$103&gt;0)*'Original Data'!$AM$4:$AM$103)*12</f>
        <v>23635.68</v>
      </c>
    </row>
    <row r="5" spans="1:5" x14ac:dyDescent="0.25">
      <c r="A5" s="3" t="s">
        <v>7</v>
      </c>
      <c r="B5" s="4"/>
      <c r="C5" s="5">
        <f>SUMPRODUCT(('Original Data'!$C$4:$C$103&gt;0)*('Original Data'!$O$4:$O$103&gt;0)*('Original Data'!$O$4:$O$103&gt;'Original Data'!$C$4:$C$103)*('Original Data'!$O$4:$O$103-'Original Data'!$C$4:$C$103))*12</f>
        <v>4359.72</v>
      </c>
      <c r="D5" s="5">
        <f>SUMPRODUCT(('Original Data'!$O$4:$O$103&gt;0)*('Original Data'!$AA$4:$AA$103&gt;0)*('Original Data'!$AA$4:$AA$103&gt;'Original Data'!$O$4:$O$103)*('Original Data'!$AA$4:$AA$103-'Original Data'!$O$4:$O$103))*12</f>
        <v>4117.68</v>
      </c>
      <c r="E5" s="5">
        <f>SUMPRODUCT(('Original Data'!$AA$4:$AA$103&gt;0)*('Original Data'!$AM$4:$AM$103&gt;0)*('Original Data'!$AM$4:$AM$103&gt;'Original Data'!$AA$4:$AA$103)*('Original Data'!$AM$4:$AM$103-'Original Data'!$AA$4:$AA$103))*12</f>
        <v>5916.119999999999</v>
      </c>
    </row>
    <row r="6" spans="1:5" x14ac:dyDescent="0.25">
      <c r="A6" s="3" t="s">
        <v>8</v>
      </c>
      <c r="B6" s="4"/>
      <c r="C6" s="5">
        <f>SUMPRODUCT(('Original Data'!$C$4:$C$103&gt;0)*('Original Data'!$O$4:$O$103&gt;0)*('Original Data'!$O$4:$O$103&lt;'Original Data'!$C$4:$C$103)*('Original Data'!$O$4:$O$103-'Original Data'!$C$4:$C$103))*12</f>
        <v>-4758.7200000000012</v>
      </c>
      <c r="D6" s="5">
        <f>SUMPRODUCT(('Original Data'!$O$4:$O$103&gt;0)*('Original Data'!$AA$4:$AA$103&gt;0)*('Original Data'!$AA$4:$AA$103&lt;'Original Data'!$O$4:$O$103)*('Original Data'!$AA$4:$AA$103-'Original Data'!$O$4:$O$103))*12</f>
        <v>-552.60000000000014</v>
      </c>
      <c r="E6" s="5">
        <f>SUMPRODUCT(('Original Data'!$AA$4:$AA$103&gt;0)*('Original Data'!$AM$4:$AM$103&gt;0)*('Original Data'!$AM$4:$AM$103&lt;'Original Data'!$AA$4:$AA$103)*('Original Data'!$AM$4:$AM$103-'Original Data'!$AA$4:$AA$103))*12</f>
        <v>-3482.2799999999997</v>
      </c>
    </row>
    <row r="7" spans="1:5" x14ac:dyDescent="0.25">
      <c r="A7" s="3" t="s">
        <v>9</v>
      </c>
      <c r="B7" s="4"/>
      <c r="C7" s="5">
        <f>-SUMPRODUCT(('Original Data'!$C$4:$C$103&gt;0)*('Original Data'!$O$4:$O$103&lt;=0)*'Original Data'!$C$4:$C$103)*12</f>
        <v>-15879.96</v>
      </c>
      <c r="D7" s="5">
        <f>-SUMPRODUCT(('Original Data'!$O$4:$O$103&gt;0)*('Original Data'!$AA$4:$AA$103&lt;=0)*'Original Data'!$O$4:$O$103)*12</f>
        <v>-7620</v>
      </c>
      <c r="E7" s="5">
        <f>-SUMPRODUCT(('Original Data'!$AA$4:$AA$103&gt;0)*('Original Data'!$AM$4:$AM$103&lt;=0)*'Original Data'!$AA$4:$AA$103)*12</f>
        <v>-4536</v>
      </c>
    </row>
    <row r="8" spans="1:5" x14ac:dyDescent="0.25">
      <c r="A8" s="6" t="s">
        <v>10</v>
      </c>
      <c r="B8" s="7">
        <f>SUM('Original Data'!$C$4:$C$103)*12</f>
        <v>216022.80000000002</v>
      </c>
      <c r="C8" s="7">
        <f>SUM('Original Data'!$O$4:$O$103)*12</f>
        <v>214713.59999999995</v>
      </c>
      <c r="D8" s="7">
        <f>SUM('Original Data'!$AA$4:$AA$103)*12</f>
        <v>223283.87999999998</v>
      </c>
      <c r="E8" s="7">
        <f>SUM('Original Data'!$AM$4:$AM$103)*12</f>
        <v>244817.40000000005</v>
      </c>
    </row>
    <row r="9" spans="1:5" x14ac:dyDescent="0.25">
      <c r="A9" s="8" t="s">
        <v>11</v>
      </c>
      <c r="B9" s="4"/>
      <c r="C9" s="9">
        <f>IF(C3=0,0,C8/C3-1)</f>
        <v>-6.0604713946864619E-3</v>
      </c>
      <c r="D9" s="9">
        <f>IF(D3=0,0,D8/D3-1)</f>
        <v>3.9914937852097099E-2</v>
      </c>
      <c r="E9" s="9">
        <f>IF(E3=0,0,E8/E3-1)</f>
        <v>9.6440101273769008E-2</v>
      </c>
    </row>
    <row r="10" spans="1:5" x14ac:dyDescent="0.25">
      <c r="A10" s="8" t="s">
        <v>12</v>
      </c>
      <c r="B10" s="4"/>
      <c r="C10" s="10">
        <f>C8-C3</f>
        <v>-1309.2000000000698</v>
      </c>
      <c r="D10" s="10">
        <f>D8-D3</f>
        <v>8570.2800000000279</v>
      </c>
      <c r="E10" s="10">
        <f>E8-E3</f>
        <v>21533.520000000077</v>
      </c>
    </row>
    <row r="11" spans="1:5" x14ac:dyDescent="0.25">
      <c r="A11" s="8" t="s">
        <v>13</v>
      </c>
      <c r="B11" s="4"/>
      <c r="C11" s="10">
        <f>C4+C5</f>
        <v>19329.48</v>
      </c>
      <c r="D11" s="10">
        <f>D4+D5</f>
        <v>16742.879999999997</v>
      </c>
      <c r="E11" s="10">
        <f>E4+E5</f>
        <v>29551.8</v>
      </c>
    </row>
    <row r="12" spans="1:5" x14ac:dyDescent="0.25">
      <c r="A12" s="8" t="s">
        <v>14</v>
      </c>
      <c r="B12" s="4"/>
      <c r="C12" s="10">
        <f>C6+C7</f>
        <v>-20638.68</v>
      </c>
      <c r="D12" s="10">
        <f>D6+D7</f>
        <v>-8172.6</v>
      </c>
      <c r="E12" s="10">
        <f>E6+E7</f>
        <v>-8018.28</v>
      </c>
    </row>
    <row r="13" spans="1:5" x14ac:dyDescent="0.25">
      <c r="A13" s="11" t="s">
        <v>15</v>
      </c>
      <c r="B13" s="12"/>
      <c r="C13" s="13">
        <f>IF(C3=0,0,(C3+C6+C7)/C3)</f>
        <v>0.90446064026574979</v>
      </c>
      <c r="D13" s="13">
        <f>IF(D3=0,0,(D3+D6+D7)/D3)</f>
        <v>0.96193720379146919</v>
      </c>
      <c r="E13" s="13">
        <f>IF(E3=0,0,(E3+E6+E7)/E3)</f>
        <v>0.96408930192363196</v>
      </c>
    </row>
    <row r="14" spans="1:5" x14ac:dyDescent="0.25">
      <c r="A14" s="11" t="s">
        <v>16</v>
      </c>
      <c r="B14" s="12"/>
      <c r="C14" s="13">
        <f>IF(C3=0,0,(C3+C7)/C3)</f>
        <v>0.92648942611613228</v>
      </c>
      <c r="D14" s="13">
        <f>IF(D3=0,0,(D3+D7)/D3)</f>
        <v>0.9645108647053563</v>
      </c>
      <c r="E14" s="13">
        <f>IF(E3=0,0,(E3+E7)/E3)</f>
        <v>0.9796850538426688</v>
      </c>
    </row>
    <row r="15" spans="1:5" x14ac:dyDescent="0.25">
      <c r="A15" s="11" t="s">
        <v>17</v>
      </c>
      <c r="B15" s="12"/>
      <c r="C15" s="13">
        <f>IF(C3=0,0,(C3+C5+C6+C7)/C3)</f>
        <v>0.92464239885789834</v>
      </c>
      <c r="D15" s="13">
        <f>IF(D3=0,0,(D3+D5+D6+D7)/D3)</f>
        <v>0.98111475006706605</v>
      </c>
      <c r="E15" s="13">
        <f>IF(E3=0,0,(E3+E5+E6+E7)/E3)</f>
        <v>0.99058525855068447</v>
      </c>
    </row>
    <row r="16" spans="1:5" x14ac:dyDescent="0.25">
      <c r="A16" s="27" t="s">
        <v>18</v>
      </c>
      <c r="B16" s="28"/>
      <c r="C16" s="28"/>
      <c r="D16" s="28"/>
      <c r="E16" s="28"/>
    </row>
    <row r="17" spans="1:5" x14ac:dyDescent="0.25">
      <c r="A17" s="3" t="s">
        <v>19</v>
      </c>
      <c r="B17" s="4"/>
      <c r="C17" s="15">
        <f>COUNTIF('Original Data'!$C$4:$C$103,"&gt;0")</f>
        <v>79</v>
      </c>
      <c r="D17" s="15">
        <f>COUNTIF('Original Data'!$O$4:$O$103,"&gt;0")</f>
        <v>79</v>
      </c>
      <c r="E17" s="15">
        <f>COUNTIF('Original Data'!$AA$4:$AA$103,"&gt;0")</f>
        <v>80</v>
      </c>
    </row>
    <row r="18" spans="1:5" x14ac:dyDescent="0.25">
      <c r="A18" s="3" t="s">
        <v>6</v>
      </c>
      <c r="B18" s="4"/>
      <c r="C18" s="15">
        <f>SUMPRODUCT(('Original Data'!$C$4:$C$103&lt;=0)*('Original Data'!$O$4:$O$103&gt;0)*1)</f>
        <v>6</v>
      </c>
      <c r="D18" s="15">
        <f>SUMPRODUCT(('Original Data'!$O$4:$O$103&lt;=0)*('Original Data'!$AA$4:$AA$103&gt;0)*1)</f>
        <v>5</v>
      </c>
      <c r="E18" s="15">
        <f>SUMPRODUCT(('Original Data'!$AA$4:$AA$103&lt;=0)*('Original Data'!$AM$4:$AM$103&gt;0)*1)</f>
        <v>7</v>
      </c>
    </row>
    <row r="19" spans="1:5" x14ac:dyDescent="0.25">
      <c r="A19" s="3" t="s">
        <v>9</v>
      </c>
      <c r="B19" s="4"/>
      <c r="C19" s="16">
        <f>SUMPRODUCT(('Original Data'!$C$4:$C$103&gt;0)*('Original Data'!$O$4:$O$103&lt;=0)*1)</f>
        <v>6</v>
      </c>
      <c r="D19" s="16">
        <f>SUMPRODUCT(('Original Data'!$O$4:$O$103&gt;0)*('Original Data'!$AA$4:$AA$103&lt;=0)*1)</f>
        <v>4</v>
      </c>
      <c r="E19" s="16">
        <f>SUMPRODUCT(('Original Data'!$AA$4:$AA$103&gt;0)*('Original Data'!$AM$4:$AM$103&lt;=0)*1)</f>
        <v>2</v>
      </c>
    </row>
    <row r="20" spans="1:5" x14ac:dyDescent="0.25">
      <c r="A20" s="6" t="s">
        <v>20</v>
      </c>
      <c r="B20" s="17">
        <f>COUNTIF('Original Data'!$C$4:$C$103,"&gt;0")</f>
        <v>79</v>
      </c>
      <c r="C20" s="17">
        <f>COUNTIF('Original Data'!$O$4:$O$103,"&gt;0")</f>
        <v>79</v>
      </c>
      <c r="D20" s="17">
        <f>COUNTIF('Original Data'!$AA$4:$AA$103,"&gt;0")</f>
        <v>80</v>
      </c>
      <c r="E20" s="17">
        <f>COUNTIF('Original Data'!$AM$4:$AM$103,"&gt;0")</f>
        <v>85</v>
      </c>
    </row>
    <row r="21" spans="1:5" x14ac:dyDescent="0.25">
      <c r="A21" s="8" t="s">
        <v>21</v>
      </c>
      <c r="B21" s="4"/>
      <c r="C21" s="18">
        <f>C18-C19</f>
        <v>0</v>
      </c>
      <c r="D21" s="18">
        <f>D18-D19</f>
        <v>1</v>
      </c>
      <c r="E21" s="18">
        <f>E18-E19</f>
        <v>5</v>
      </c>
    </row>
    <row r="22" spans="1:5" x14ac:dyDescent="0.25">
      <c r="A22" s="8" t="s">
        <v>22</v>
      </c>
      <c r="B22" s="4"/>
      <c r="C22" s="9">
        <f>IF(C17=0,0,C20/C17-1)</f>
        <v>0</v>
      </c>
      <c r="D22" s="9">
        <f>IF(D17=0,0,D20/D17-1)</f>
        <v>1.2658227848101333E-2</v>
      </c>
      <c r="E22" s="9">
        <f>IF(E17=0,0,E20/E17-1)</f>
        <v>6.25E-2</v>
      </c>
    </row>
    <row r="23" spans="1:5" x14ac:dyDescent="0.25">
      <c r="A23" s="11" t="s">
        <v>23</v>
      </c>
      <c r="B23" s="12"/>
      <c r="C23" s="13">
        <f>IF(C17=0,0,(C17-C19)/C17)</f>
        <v>0.92405063291139244</v>
      </c>
      <c r="D23" s="13">
        <f>IF(D17=0,0,(D17-D19)/D17)</f>
        <v>0.94936708860759489</v>
      </c>
      <c r="E23" s="13">
        <f>IF(E17=0,0,(E17-E19)/E17)</f>
        <v>0.97499999999999998</v>
      </c>
    </row>
    <row r="24" spans="1:5" x14ac:dyDescent="0.25">
      <c r="A24" s="3" t="s">
        <v>24</v>
      </c>
      <c r="B24" s="4"/>
      <c r="C24" s="5">
        <f>IF(C20=0,0,C8/C20)</f>
        <v>2717.8936708860751</v>
      </c>
      <c r="D24" s="5">
        <f>IF(D20=0,0,D8/D20)</f>
        <v>2791.0484999999999</v>
      </c>
      <c r="E24" s="5">
        <f>IF(E20=0,0,E8/E20)</f>
        <v>2880.2047058823537</v>
      </c>
    </row>
    <row r="25" spans="1:5" x14ac:dyDescent="0.25">
      <c r="A25" s="8" t="s">
        <v>25</v>
      </c>
      <c r="D25" s="9">
        <f>IF(C24=0,0,D24/C24-1)</f>
        <v>2.6916001128945988E-2</v>
      </c>
      <c r="E25" s="9">
        <f>IF(D24=0,0,E24/D24-1)</f>
        <v>3.1943624728253184E-2</v>
      </c>
    </row>
    <row r="26" spans="1:5" x14ac:dyDescent="0.25">
      <c r="A26" s="3" t="s">
        <v>26</v>
      </c>
      <c r="B26" s="4"/>
      <c r="C26" s="5">
        <f>IF(C18=0,0,C4/C18)</f>
        <v>2494.96</v>
      </c>
      <c r="D26" s="5">
        <f>IF(D18=0,0,D4/D18)</f>
        <v>2525.04</v>
      </c>
      <c r="E26" s="5">
        <f>IF(E18=0,0,E4/E18)</f>
        <v>3376.5257142857145</v>
      </c>
    </row>
    <row r="27" spans="1:5" x14ac:dyDescent="0.25">
      <c r="A27" s="8" t="s">
        <v>27</v>
      </c>
      <c r="D27" s="9">
        <f>IF(C26=0,0,D26/C26-1)</f>
        <v>1.2056305511912058E-2</v>
      </c>
      <c r="E27" s="9">
        <f>IF(D26=0,0,E26/D26-1)</f>
        <v>0.33721672301655192</v>
      </c>
    </row>
    <row r="28" spans="1:5" x14ac:dyDescent="0.25">
      <c r="A28" s="3" t="s">
        <v>28</v>
      </c>
      <c r="B28" s="4"/>
      <c r="C28" s="5">
        <f>IF(C19=0,0,-C7/C19)</f>
        <v>2646.66</v>
      </c>
      <c r="D28" s="5">
        <f>IF(D19=0,0,-D7/D19)</f>
        <v>1905</v>
      </c>
      <c r="E28" s="5">
        <f>IF(E19=0,0,-E7/E19)</f>
        <v>2268</v>
      </c>
    </row>
    <row r="29" spans="1:5" x14ac:dyDescent="0.25">
      <c r="A29" s="8" t="s">
        <v>29</v>
      </c>
      <c r="D29" s="9">
        <f>IF(C28=0,0,D28/C28-1)</f>
        <v>-0.28022488721634053</v>
      </c>
      <c r="E29" s="9">
        <f>IF(D28=0,0,E28/D28-1)</f>
        <v>0.19055118110236213</v>
      </c>
    </row>
  </sheetData>
  <mergeCells count="2"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tabSelected="1" workbookViewId="0">
      <selection activeCell="B22" sqref="B22"/>
    </sheetView>
  </sheetViews>
  <sheetFormatPr defaultRowHeight="15" x14ac:dyDescent="0.25"/>
  <cols>
    <col min="1" max="1" width="8" customWidth="1"/>
    <col min="2" max="2" width="18" customWidth="1"/>
    <col min="3" max="18" width="14" customWidth="1"/>
  </cols>
  <sheetData>
    <row r="1" spans="1:18" x14ac:dyDescent="0.25">
      <c r="A1" s="29" t="s">
        <v>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25">
      <c r="A2" s="19" t="s">
        <v>31</v>
      </c>
      <c r="B2" s="14"/>
      <c r="C2" s="29" t="s">
        <v>32</v>
      </c>
      <c r="D2" s="30"/>
      <c r="E2" s="30"/>
      <c r="F2" s="30"/>
      <c r="G2" s="30"/>
      <c r="H2" s="30"/>
      <c r="I2" s="30"/>
      <c r="J2" s="29" t="s">
        <v>33</v>
      </c>
      <c r="K2" s="30"/>
      <c r="L2" s="30"/>
      <c r="M2" s="30"/>
      <c r="N2" s="30"/>
      <c r="O2" s="29" t="s">
        <v>11</v>
      </c>
      <c r="P2" s="30"/>
      <c r="Q2" s="30"/>
      <c r="R2" s="14"/>
    </row>
    <row r="3" spans="1:18" x14ac:dyDescent="0.25">
      <c r="A3" s="14" t="s">
        <v>34</v>
      </c>
      <c r="B3" s="14" t="s">
        <v>35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39</v>
      </c>
      <c r="P3" s="2" t="s">
        <v>40</v>
      </c>
      <c r="Q3" s="2" t="s">
        <v>41</v>
      </c>
      <c r="R3" s="2" t="s">
        <v>44</v>
      </c>
    </row>
    <row r="4" spans="1:18" x14ac:dyDescent="0.25">
      <c r="A4" s="3">
        <v>1</v>
      </c>
      <c r="B4" s="3" t="s">
        <v>45</v>
      </c>
      <c r="C4" s="5">
        <f>'Original Data'!$C$64*12</f>
        <v>4644</v>
      </c>
      <c r="D4" s="5">
        <f>'Original Data'!$O$64*12</f>
        <v>4644</v>
      </c>
      <c r="E4" s="5">
        <f>'Original Data'!$AA$64*12</f>
        <v>4644</v>
      </c>
      <c r="F4" s="5">
        <f>'Original Data'!$AM$64*12</f>
        <v>4798.5599999999995</v>
      </c>
      <c r="G4" s="20">
        <f t="shared" ref="G4:G14" si="0">IF(C4=0,0,(F4/C4)^(1/3)-1)</f>
        <v>1.0973036637126343E-2</v>
      </c>
      <c r="H4" s="20">
        <f>IF(F17=0,0,F4/F17)</f>
        <v>1.9600567606714223E-2</v>
      </c>
      <c r="I4" s="20">
        <f>SUM(H$4:H4)</f>
        <v>1.9600567606714223E-2</v>
      </c>
      <c r="J4" s="5">
        <f t="shared" ref="J4:J13" si="1">D4-C4</f>
        <v>0</v>
      </c>
      <c r="K4" s="5">
        <f t="shared" ref="K4:K13" si="2">E4-D4</f>
        <v>0</v>
      </c>
      <c r="L4" s="5">
        <f t="shared" ref="L4:L13" si="3">F4-E4</f>
        <v>154.55999999999949</v>
      </c>
      <c r="M4" s="20">
        <f>IF(L17=0,0,L4/L17)</f>
        <v>7.1776467572416836E-3</v>
      </c>
      <c r="N4" s="21">
        <f t="shared" ref="N4:N14" si="4">IF(C4=0,0,F4/C4)</f>
        <v>1.0332816537467699</v>
      </c>
      <c r="O4" s="20">
        <f t="shared" ref="O4:O14" si="5">IF(C4=0,0,D4/C4-1)</f>
        <v>0</v>
      </c>
      <c r="P4" s="20">
        <f t="shared" ref="P4:P14" si="6">IF(D4=0,0,E4/D4-1)</f>
        <v>0</v>
      </c>
      <c r="Q4" s="20">
        <f t="shared" ref="Q4:Q14" si="7">IF(E4=0,0,F4/E4-1)</f>
        <v>3.3281653746769946E-2</v>
      </c>
      <c r="R4" s="22" t="s">
        <v>1</v>
      </c>
    </row>
    <row r="5" spans="1:18" x14ac:dyDescent="0.25">
      <c r="A5" s="3">
        <v>2</v>
      </c>
      <c r="B5" s="3" t="s">
        <v>46</v>
      </c>
      <c r="C5" s="5">
        <f>'Original Data'!$C$5*12</f>
        <v>4345.7999999999993</v>
      </c>
      <c r="D5" s="5">
        <f>'Original Data'!$O$5*12</f>
        <v>4308</v>
      </c>
      <c r="E5" s="5">
        <f>'Original Data'!$AA$5*12</f>
        <v>4308</v>
      </c>
      <c r="F5" s="5">
        <f>'Original Data'!$AM$5*12</f>
        <v>4788</v>
      </c>
      <c r="G5" s="20">
        <f t="shared" si="0"/>
        <v>3.2828314461598174E-2</v>
      </c>
      <c r="H5" s="20">
        <f>IF(F17=0,0,F5/F17)</f>
        <v>1.9557433417722755E-2</v>
      </c>
      <c r="I5" s="20">
        <f>SUM(H$4:H5)</f>
        <v>3.9158001024436978E-2</v>
      </c>
      <c r="J5" s="5">
        <f t="shared" si="1"/>
        <v>-37.799999999999272</v>
      </c>
      <c r="K5" s="5">
        <f t="shared" si="2"/>
        <v>0</v>
      </c>
      <c r="L5" s="5">
        <f t="shared" si="3"/>
        <v>480</v>
      </c>
      <c r="M5" s="20">
        <f>IF(L17=0,0,L5/L17)</f>
        <v>2.2290828438638843E-2</v>
      </c>
      <c r="N5" s="21">
        <f t="shared" si="4"/>
        <v>1.1017534170923653</v>
      </c>
      <c r="O5" s="20">
        <f t="shared" si="5"/>
        <v>-8.6980532928342402E-3</v>
      </c>
      <c r="P5" s="20">
        <f t="shared" si="6"/>
        <v>0</v>
      </c>
      <c r="Q5" s="20">
        <f t="shared" si="7"/>
        <v>0.11142061281337057</v>
      </c>
      <c r="R5" s="22" t="s">
        <v>1</v>
      </c>
    </row>
    <row r="6" spans="1:18" x14ac:dyDescent="0.25">
      <c r="A6" s="3">
        <v>3</v>
      </c>
      <c r="B6" s="3" t="s">
        <v>47</v>
      </c>
      <c r="C6" s="5">
        <f>'Original Data'!$C$16*12</f>
        <v>4428</v>
      </c>
      <c r="D6" s="5">
        <f>'Original Data'!$O$16*12</f>
        <v>4428</v>
      </c>
      <c r="E6" s="5">
        <f>'Original Data'!$AA$16*12</f>
        <v>4583.04</v>
      </c>
      <c r="F6" s="5">
        <f>'Original Data'!$AM$16*12</f>
        <v>4583.04</v>
      </c>
      <c r="G6" s="20">
        <f t="shared" si="0"/>
        <v>1.1537556233281121E-2</v>
      </c>
      <c r="H6" s="20">
        <f>IF(F17=0,0,F6/F17)</f>
        <v>1.8720238022297431E-2</v>
      </c>
      <c r="I6" s="20">
        <f>SUM(H$4:H6)</f>
        <v>5.7878239046734406E-2</v>
      </c>
      <c r="J6" s="5">
        <f t="shared" si="1"/>
        <v>0</v>
      </c>
      <c r="K6" s="5">
        <f t="shared" si="2"/>
        <v>155.03999999999996</v>
      </c>
      <c r="L6" s="5">
        <f t="shared" si="3"/>
        <v>0</v>
      </c>
      <c r="M6" s="20">
        <f>IF(L17=0,0,L6/L17)</f>
        <v>0</v>
      </c>
      <c r="N6" s="21">
        <f t="shared" si="4"/>
        <v>1.0350135501355013</v>
      </c>
      <c r="O6" s="20">
        <f t="shared" si="5"/>
        <v>0</v>
      </c>
      <c r="P6" s="20">
        <f t="shared" si="6"/>
        <v>3.5013550135501337E-2</v>
      </c>
      <c r="Q6" s="20">
        <f t="shared" si="7"/>
        <v>0</v>
      </c>
      <c r="R6" s="22" t="s">
        <v>1</v>
      </c>
    </row>
    <row r="7" spans="1:18" x14ac:dyDescent="0.25">
      <c r="A7" s="3">
        <v>4</v>
      </c>
      <c r="B7" s="3" t="s">
        <v>48</v>
      </c>
      <c r="C7" s="5">
        <f>'Original Data'!$C$56*12</f>
        <v>2628</v>
      </c>
      <c r="D7" s="5">
        <f>'Original Data'!$O$56*12</f>
        <v>2628</v>
      </c>
      <c r="E7" s="5">
        <f>'Original Data'!$AA$56*12</f>
        <v>4428</v>
      </c>
      <c r="F7" s="5">
        <f>'Original Data'!$AM$56*12</f>
        <v>4574.6400000000003</v>
      </c>
      <c r="G7" s="20">
        <f t="shared" si="0"/>
        <v>0.20293968931007278</v>
      </c>
      <c r="H7" s="20">
        <f>IF(F17=0,0,F7/F17)</f>
        <v>1.8685926735599673E-2</v>
      </c>
      <c r="I7" s="20">
        <f>SUM(H$4:H7)</f>
        <v>7.6564165782334076E-2</v>
      </c>
      <c r="J7" s="5">
        <f t="shared" si="1"/>
        <v>0</v>
      </c>
      <c r="K7" s="5">
        <f t="shared" si="2"/>
        <v>1800</v>
      </c>
      <c r="L7" s="5">
        <f t="shared" si="3"/>
        <v>146.64000000000033</v>
      </c>
      <c r="M7" s="20">
        <f>IF(L17=0,0,L7/L17)</f>
        <v>6.8098480880041815E-3</v>
      </c>
      <c r="N7" s="21">
        <f t="shared" si="4"/>
        <v>1.7407305936073061</v>
      </c>
      <c r="O7" s="20">
        <f t="shared" si="5"/>
        <v>0</v>
      </c>
      <c r="P7" s="20">
        <f t="shared" si="6"/>
        <v>0.68493150684931514</v>
      </c>
      <c r="Q7" s="20">
        <f t="shared" si="7"/>
        <v>3.3116531165311658E-2</v>
      </c>
      <c r="R7" s="22" t="s">
        <v>1</v>
      </c>
    </row>
    <row r="8" spans="1:18" x14ac:dyDescent="0.25">
      <c r="A8" s="3">
        <v>5</v>
      </c>
      <c r="B8" s="3" t="s">
        <v>49</v>
      </c>
      <c r="C8" s="5">
        <f>'Original Data'!$C$97*12</f>
        <v>4188</v>
      </c>
      <c r="D8" s="5">
        <f>'Original Data'!$O$97*12</f>
        <v>4188</v>
      </c>
      <c r="E8" s="5">
        <f>'Original Data'!$AA$97*12</f>
        <v>4334.6400000000003</v>
      </c>
      <c r="F8" s="5">
        <f>'Original Data'!$AM$97*12</f>
        <v>4486.32</v>
      </c>
      <c r="G8" s="20">
        <f t="shared" si="0"/>
        <v>2.3201555174550581E-2</v>
      </c>
      <c r="H8" s="20">
        <f>IF(F17=0,0,F8/F17)</f>
        <v>1.8325168064034659E-2</v>
      </c>
      <c r="I8" s="20">
        <f>SUM(H$4:H8)</f>
        <v>9.4889333846368731E-2</v>
      </c>
      <c r="J8" s="5">
        <f t="shared" si="1"/>
        <v>0</v>
      </c>
      <c r="K8" s="5">
        <f t="shared" si="2"/>
        <v>146.64000000000033</v>
      </c>
      <c r="L8" s="5">
        <f t="shared" si="3"/>
        <v>151.67999999999938</v>
      </c>
      <c r="M8" s="20">
        <f>IF(L17=0,0,L8/L17)</f>
        <v>7.0439017866098458E-3</v>
      </c>
      <c r="N8" s="21">
        <f t="shared" si="4"/>
        <v>1.0712320916905445</v>
      </c>
      <c r="O8" s="20">
        <f t="shared" si="5"/>
        <v>0</v>
      </c>
      <c r="P8" s="20">
        <f t="shared" si="6"/>
        <v>3.5014326647564653E-2</v>
      </c>
      <c r="Q8" s="20">
        <f t="shared" si="7"/>
        <v>3.4992525330823199E-2</v>
      </c>
      <c r="R8" s="22" t="s">
        <v>1</v>
      </c>
    </row>
    <row r="9" spans="1:18" x14ac:dyDescent="0.25">
      <c r="A9" s="3">
        <v>6</v>
      </c>
      <c r="B9" s="3" t="s">
        <v>50</v>
      </c>
      <c r="C9" s="5">
        <f>'Original Data'!$C$34*12</f>
        <v>0</v>
      </c>
      <c r="D9" s="5">
        <f>'Original Data'!$O$34*12</f>
        <v>4202.3999999999996</v>
      </c>
      <c r="E9" s="5">
        <f>'Original Data'!$AA$34*12</f>
        <v>4341.4800000000005</v>
      </c>
      <c r="F9" s="5">
        <f>'Original Data'!$AM$34*12</f>
        <v>4341.4800000000005</v>
      </c>
      <c r="G9" s="20">
        <f t="shared" si="0"/>
        <v>0</v>
      </c>
      <c r="H9" s="20">
        <f>IF(F17=0,0,F9/F17)</f>
        <v>1.7733543449117584E-2</v>
      </c>
      <c r="I9" s="20">
        <f>SUM(H$4:H9)</f>
        <v>0.11262287729548631</v>
      </c>
      <c r="J9" s="5">
        <f t="shared" si="1"/>
        <v>4202.3999999999996</v>
      </c>
      <c r="K9" s="5">
        <f t="shared" si="2"/>
        <v>139.08000000000084</v>
      </c>
      <c r="L9" s="5">
        <f t="shared" si="3"/>
        <v>0</v>
      </c>
      <c r="M9" s="20">
        <f>IF(L17=0,0,L9/L17)</f>
        <v>0</v>
      </c>
      <c r="N9" s="21">
        <f t="shared" si="4"/>
        <v>0</v>
      </c>
      <c r="O9" s="20">
        <f t="shared" si="5"/>
        <v>0</v>
      </c>
      <c r="P9" s="20">
        <f t="shared" si="6"/>
        <v>3.3095374071959061E-2</v>
      </c>
      <c r="Q9" s="20">
        <f t="shared" si="7"/>
        <v>0</v>
      </c>
      <c r="R9" s="22" t="s">
        <v>51</v>
      </c>
    </row>
    <row r="10" spans="1:18" x14ac:dyDescent="0.25">
      <c r="A10" s="3">
        <v>7</v>
      </c>
      <c r="B10" s="3" t="s">
        <v>52</v>
      </c>
      <c r="C10" s="5">
        <f>'Original Data'!$C$54*12</f>
        <v>4188</v>
      </c>
      <c r="D10" s="5">
        <f>'Original Data'!$O$54*12</f>
        <v>4188</v>
      </c>
      <c r="E10" s="5">
        <f>'Original Data'!$AA$54*12</f>
        <v>4188</v>
      </c>
      <c r="F10" s="5">
        <f>'Original Data'!$AM$54*12</f>
        <v>4334.6400000000003</v>
      </c>
      <c r="G10" s="20">
        <f t="shared" si="0"/>
        <v>1.153780919966918E-2</v>
      </c>
      <c r="H10" s="20">
        <f>IF(F17=0,0,F10/F17)</f>
        <v>1.7705604258520836E-2</v>
      </c>
      <c r="I10" s="20">
        <f>SUM(H$4:H10)</f>
        <v>0.13032848155400714</v>
      </c>
      <c r="J10" s="5">
        <f t="shared" si="1"/>
        <v>0</v>
      </c>
      <c r="K10" s="5">
        <f t="shared" si="2"/>
        <v>0</v>
      </c>
      <c r="L10" s="5">
        <f t="shared" si="3"/>
        <v>146.64000000000033</v>
      </c>
      <c r="M10" s="20">
        <f>IF(L17=0,0,L10/L17)</f>
        <v>6.8098480880041815E-3</v>
      </c>
      <c r="N10" s="21">
        <f t="shared" si="4"/>
        <v>1.0350143266475647</v>
      </c>
      <c r="O10" s="20">
        <f t="shared" si="5"/>
        <v>0</v>
      </c>
      <c r="P10" s="20">
        <f t="shared" si="6"/>
        <v>0</v>
      </c>
      <c r="Q10" s="20">
        <f t="shared" si="7"/>
        <v>3.5014326647564653E-2</v>
      </c>
      <c r="R10" s="22" t="s">
        <v>1</v>
      </c>
    </row>
    <row r="11" spans="1:18" x14ac:dyDescent="0.25">
      <c r="A11" s="3">
        <v>8</v>
      </c>
      <c r="B11" s="3" t="s">
        <v>53</v>
      </c>
      <c r="C11" s="5">
        <f>'Original Data'!$C$65*12</f>
        <v>0</v>
      </c>
      <c r="D11" s="5">
        <f>'Original Data'!$O$65*12</f>
        <v>0</v>
      </c>
      <c r="E11" s="5">
        <f>'Original Data'!$AA$65*12</f>
        <v>0</v>
      </c>
      <c r="F11" s="5">
        <f>'Original Data'!$AM$65*12</f>
        <v>4334.6400000000003</v>
      </c>
      <c r="G11" s="20">
        <f t="shared" si="0"/>
        <v>0</v>
      </c>
      <c r="H11" s="20">
        <f>IF(F17=0,0,F11/F17)</f>
        <v>1.7705604258520836E-2</v>
      </c>
      <c r="I11" s="20">
        <f>SUM(H$4:H11)</f>
        <v>0.14803408581252797</v>
      </c>
      <c r="J11" s="5">
        <f t="shared" si="1"/>
        <v>0</v>
      </c>
      <c r="K11" s="5">
        <f t="shared" si="2"/>
        <v>0</v>
      </c>
      <c r="L11" s="5">
        <f t="shared" si="3"/>
        <v>4334.6400000000003</v>
      </c>
      <c r="M11" s="20">
        <f>IF(L17=0,0,L11/L17)</f>
        <v>0.20129732621512808</v>
      </c>
      <c r="N11" s="21">
        <f t="shared" si="4"/>
        <v>0</v>
      </c>
      <c r="O11" s="20">
        <f t="shared" si="5"/>
        <v>0</v>
      </c>
      <c r="P11" s="20">
        <f t="shared" si="6"/>
        <v>0</v>
      </c>
      <c r="Q11" s="20">
        <f t="shared" si="7"/>
        <v>0</v>
      </c>
      <c r="R11" s="22" t="s">
        <v>54</v>
      </c>
    </row>
    <row r="12" spans="1:18" x14ac:dyDescent="0.25">
      <c r="A12" s="3">
        <v>9</v>
      </c>
      <c r="B12" s="3" t="s">
        <v>55</v>
      </c>
      <c r="C12" s="5">
        <f>'Original Data'!$C$71*12</f>
        <v>0</v>
      </c>
      <c r="D12" s="5">
        <f>'Original Data'!$O$71*12</f>
        <v>0</v>
      </c>
      <c r="E12" s="5">
        <f>'Original Data'!$AA$71*12</f>
        <v>0</v>
      </c>
      <c r="F12" s="5">
        <f>'Original Data'!$AM$71*12</f>
        <v>4334.6400000000003</v>
      </c>
      <c r="G12" s="20">
        <f t="shared" si="0"/>
        <v>0</v>
      </c>
      <c r="H12" s="20">
        <f>IF(F17=0,0,F12/F17)</f>
        <v>1.7705604258520836E-2</v>
      </c>
      <c r="I12" s="20">
        <f>SUM(H$4:H12)</f>
        <v>0.1657396900710488</v>
      </c>
      <c r="J12" s="5">
        <f t="shared" si="1"/>
        <v>0</v>
      </c>
      <c r="K12" s="5">
        <f t="shared" si="2"/>
        <v>0</v>
      </c>
      <c r="L12" s="5">
        <f t="shared" si="3"/>
        <v>4334.6400000000003</v>
      </c>
      <c r="M12" s="20">
        <f>IF(L17=0,0,L12/L17)</f>
        <v>0.20129732621512808</v>
      </c>
      <c r="N12" s="21">
        <f t="shared" si="4"/>
        <v>0</v>
      </c>
      <c r="O12" s="20">
        <f t="shared" si="5"/>
        <v>0</v>
      </c>
      <c r="P12" s="20">
        <f t="shared" si="6"/>
        <v>0</v>
      </c>
      <c r="Q12" s="20">
        <f t="shared" si="7"/>
        <v>0</v>
      </c>
      <c r="R12" s="22" t="s">
        <v>54</v>
      </c>
    </row>
    <row r="13" spans="1:18" x14ac:dyDescent="0.25">
      <c r="A13" s="3">
        <v>10</v>
      </c>
      <c r="B13" s="3" t="s">
        <v>56</v>
      </c>
      <c r="C13" s="5">
        <f>'Original Data'!$C$94*12</f>
        <v>4188</v>
      </c>
      <c r="D13" s="5">
        <f>'Original Data'!$O$94*12</f>
        <v>4188</v>
      </c>
      <c r="E13" s="5">
        <f>'Original Data'!$AA$94*12</f>
        <v>4188</v>
      </c>
      <c r="F13" s="5">
        <f>'Original Data'!$AM$94*12</f>
        <v>4334.6400000000003</v>
      </c>
      <c r="G13" s="20">
        <f t="shared" si="0"/>
        <v>1.153780919966918E-2</v>
      </c>
      <c r="H13" s="20">
        <f>IF(F17=0,0,F13/F17)</f>
        <v>1.7705604258520836E-2</v>
      </c>
      <c r="I13" s="20">
        <f>SUM(H$4:H13)</f>
        <v>0.18344529432956963</v>
      </c>
      <c r="J13" s="5">
        <f t="shared" si="1"/>
        <v>0</v>
      </c>
      <c r="K13" s="5">
        <f t="shared" si="2"/>
        <v>0</v>
      </c>
      <c r="L13" s="5">
        <f t="shared" si="3"/>
        <v>146.64000000000033</v>
      </c>
      <c r="M13" s="20">
        <f>IF(L17=0,0,L13/L17)</f>
        <v>6.8098480880041815E-3</v>
      </c>
      <c r="N13" s="21">
        <f t="shared" si="4"/>
        <v>1.0350143266475647</v>
      </c>
      <c r="O13" s="20">
        <f t="shared" si="5"/>
        <v>0</v>
      </c>
      <c r="P13" s="20">
        <f t="shared" si="6"/>
        <v>0</v>
      </c>
      <c r="Q13" s="20">
        <f t="shared" si="7"/>
        <v>3.5014326647564653E-2</v>
      </c>
      <c r="R13" s="22" t="s">
        <v>1</v>
      </c>
    </row>
    <row r="14" spans="1:18" x14ac:dyDescent="0.25">
      <c r="A14" s="6"/>
      <c r="B14" s="6" t="s">
        <v>57</v>
      </c>
      <c r="C14" s="7">
        <f>SUM(C4:C13)</f>
        <v>28609.8</v>
      </c>
      <c r="D14" s="7">
        <f>SUM(D4:D13)</f>
        <v>32774.400000000001</v>
      </c>
      <c r="E14" s="7">
        <f>SUM(E4:E13)</f>
        <v>35015.160000000003</v>
      </c>
      <c r="F14" s="7">
        <f>SUM(F4:F13)</f>
        <v>44910.6</v>
      </c>
      <c r="G14" s="23">
        <f t="shared" si="0"/>
        <v>0.16219234833762974</v>
      </c>
      <c r="H14" s="23">
        <f>IF(F17=0,0,F14/F17)</f>
        <v>0.18344529432956966</v>
      </c>
      <c r="I14" s="23">
        <f>SUM(H4:H13)</f>
        <v>0.18344529432956963</v>
      </c>
      <c r="J14" s="7">
        <f>SUM(J4:J13)</f>
        <v>4164.6000000000004</v>
      </c>
      <c r="K14" s="7">
        <f>SUM(K4:K13)</f>
        <v>2240.7600000000011</v>
      </c>
      <c r="L14" s="7">
        <f>SUM(L4:L13)</f>
        <v>9895.4399999999987</v>
      </c>
      <c r="M14" s="23">
        <f>IF(L17=0,0,L14/L17)</f>
        <v>0.45953657367675899</v>
      </c>
      <c r="N14" s="24">
        <f t="shared" si="4"/>
        <v>1.5697628085481199</v>
      </c>
      <c r="O14" s="23">
        <f t="shared" si="5"/>
        <v>0.1455655055260785</v>
      </c>
      <c r="P14" s="23">
        <f t="shared" si="6"/>
        <v>6.8369214997070937E-2</v>
      </c>
      <c r="Q14" s="23">
        <f t="shared" si="7"/>
        <v>0.28260444904435666</v>
      </c>
      <c r="R14" s="25"/>
    </row>
    <row r="16" spans="1:18" x14ac:dyDescent="0.25">
      <c r="A16" s="3"/>
      <c r="B16" s="3" t="s">
        <v>58</v>
      </c>
      <c r="C16" s="5">
        <f>C17-C14</f>
        <v>187413.00000000003</v>
      </c>
      <c r="D16" s="5">
        <f>D17-D14</f>
        <v>181939.19999999995</v>
      </c>
      <c r="E16" s="5">
        <f>E17-E14</f>
        <v>188268.71999999997</v>
      </c>
      <c r="F16" s="5">
        <f>F17-F14</f>
        <v>199906.80000000005</v>
      </c>
      <c r="G16" s="20">
        <f>IF(C16=0,0,(F16/C16)^(1/3)-1)</f>
        <v>2.1745228377469727E-2</v>
      </c>
      <c r="H16" s="20">
        <f>IF(F17=0,0,F16/F17)</f>
        <v>0.81655470567043031</v>
      </c>
      <c r="I16" s="20"/>
      <c r="J16" s="5">
        <f>J17-J14</f>
        <v>-5473.8000000000702</v>
      </c>
      <c r="K16" s="5">
        <f>K17-K14</f>
        <v>6329.5200000000268</v>
      </c>
      <c r="L16" s="5">
        <f>L17-L14</f>
        <v>11638.080000000078</v>
      </c>
      <c r="M16" s="20">
        <f>IF(L17=0,0,L16/L17)</f>
        <v>0.54046342632324096</v>
      </c>
      <c r="N16" s="21">
        <f>IF(C16=0,0,F16/C16)</f>
        <v>1.0666645323430073</v>
      </c>
      <c r="O16" s="20">
        <f t="shared" ref="O16:Q17" si="8">IF(C16=0,0,D16/C16-1)</f>
        <v>-2.9207152118583379E-2</v>
      </c>
      <c r="P16" s="20">
        <f t="shared" si="8"/>
        <v>3.4789204305614385E-2</v>
      </c>
      <c r="Q16" s="20">
        <f t="shared" si="8"/>
        <v>6.1816322966449677E-2</v>
      </c>
      <c r="R16" s="22"/>
    </row>
    <row r="17" spans="1:18" x14ac:dyDescent="0.25">
      <c r="A17" s="6"/>
      <c r="B17" s="6" t="s">
        <v>59</v>
      </c>
      <c r="C17" s="7">
        <f>SUM('Original Data'!$C$4:$C$103)*12</f>
        <v>216022.80000000002</v>
      </c>
      <c r="D17" s="7">
        <f>SUM('Original Data'!$O$4:$O$103)*12</f>
        <v>214713.59999999995</v>
      </c>
      <c r="E17" s="7">
        <f>SUM('Original Data'!$AA$4:$AA$103)*12</f>
        <v>223283.87999999998</v>
      </c>
      <c r="F17" s="7">
        <f>SUM('Original Data'!$AM$4:$AM$103)*12</f>
        <v>244817.40000000005</v>
      </c>
      <c r="G17" s="23">
        <f>IF(C17=0,0,(F17/C17)^(1/3)-1)</f>
        <v>4.2591620594521151E-2</v>
      </c>
      <c r="H17" s="23">
        <f>IF(F17=0,0,F17/F17)</f>
        <v>1</v>
      </c>
      <c r="I17" s="23">
        <f>IF(F17=0,0,F17/F17)</f>
        <v>1</v>
      </c>
      <c r="J17" s="7">
        <f>D17-C17</f>
        <v>-1309.2000000000698</v>
      </c>
      <c r="K17" s="7">
        <f>E17-D17</f>
        <v>8570.2800000000279</v>
      </c>
      <c r="L17" s="7">
        <f>F17-E17</f>
        <v>21533.520000000077</v>
      </c>
      <c r="M17" s="23">
        <f>IF(L17=0,0,L17/L17)</f>
        <v>1</v>
      </c>
      <c r="N17" s="24">
        <f>IF(C17=0,0,F17/C17)</f>
        <v>1.1332942633833096</v>
      </c>
      <c r="O17" s="23">
        <f t="shared" si="8"/>
        <v>-6.0604713946864619E-3</v>
      </c>
      <c r="P17" s="23">
        <f t="shared" si="8"/>
        <v>3.9914937852097099E-2</v>
      </c>
      <c r="Q17" s="23">
        <f t="shared" si="8"/>
        <v>9.6440101273769008E-2</v>
      </c>
      <c r="R17" s="25"/>
    </row>
    <row r="19" spans="1:18" x14ac:dyDescent="0.25">
      <c r="A19" s="3"/>
      <c r="B19" s="3" t="s">
        <v>60</v>
      </c>
      <c r="C19" s="5">
        <f>SUM(C4:C8)</f>
        <v>20233.8</v>
      </c>
      <c r="D19" s="5">
        <f>SUM(D4:D8)</f>
        <v>20196</v>
      </c>
      <c r="E19" s="5">
        <f>SUM(E4:E8)</f>
        <v>22297.68</v>
      </c>
      <c r="F19" s="5">
        <f>SUM(F4:F8)</f>
        <v>23230.559999999998</v>
      </c>
      <c r="G19" s="20">
        <f>IF(C19=0,0,(F19/C19)^(1/3)-1)</f>
        <v>4.7114263321498262E-2</v>
      </c>
      <c r="H19" s="20">
        <f>IF(F17=0,0,F19/F17)</f>
        <v>9.4889333846368731E-2</v>
      </c>
      <c r="I19" s="20">
        <f>SUM(H4:H8)</f>
        <v>9.4889333846368731E-2</v>
      </c>
      <c r="J19" s="5">
        <f>SUM(J4:J8)</f>
        <v>-37.799999999999272</v>
      </c>
      <c r="K19" s="5">
        <f>SUM(K4:K8)</f>
        <v>2101.6800000000003</v>
      </c>
      <c r="L19" s="5">
        <f>SUM(L4:L8)</f>
        <v>932.8799999999992</v>
      </c>
      <c r="M19" s="20">
        <f>IF(L17=0,0,L19/L17)</f>
        <v>4.3322225070494554E-2</v>
      </c>
      <c r="N19" s="21">
        <f>IF(C19=0,0,F19/C19)</f>
        <v>1.1481066334549119</v>
      </c>
      <c r="O19" s="20">
        <f t="shared" ref="O19:Q20" si="9">IF(C19=0,0,D19/C19-1)</f>
        <v>-1.8681611956231636E-3</v>
      </c>
      <c r="P19" s="20">
        <f t="shared" si="9"/>
        <v>0.1040641711229946</v>
      </c>
      <c r="Q19" s="20">
        <f t="shared" si="9"/>
        <v>4.183753646119226E-2</v>
      </c>
      <c r="R19" s="22"/>
    </row>
    <row r="20" spans="1:18" x14ac:dyDescent="0.25">
      <c r="A20" s="3"/>
      <c r="B20" s="3" t="s">
        <v>57</v>
      </c>
      <c r="C20" s="5">
        <f>SUM(C4:C13)</f>
        <v>28609.8</v>
      </c>
      <c r="D20" s="5">
        <f>SUM(D4:D13)</f>
        <v>32774.400000000001</v>
      </c>
      <c r="E20" s="5">
        <f>SUM(E4:E13)</f>
        <v>35015.160000000003</v>
      </c>
      <c r="F20" s="5">
        <f>SUM(F4:F13)</f>
        <v>44910.6</v>
      </c>
      <c r="G20" s="20">
        <f>IF(C20=0,0,(F20/C20)^(1/3)-1)</f>
        <v>0.16219234833762974</v>
      </c>
      <c r="H20" s="20">
        <f>IF(F17=0,0,F20/F17)</f>
        <v>0.18344529432956966</v>
      </c>
      <c r="I20" s="20">
        <f>SUM(H4:H13)</f>
        <v>0.18344529432956963</v>
      </c>
      <c r="J20" s="5">
        <f>SUM(J4:J13)</f>
        <v>4164.6000000000004</v>
      </c>
      <c r="K20" s="5">
        <f>SUM(K4:K13)</f>
        <v>2240.7600000000011</v>
      </c>
      <c r="L20" s="5">
        <f>SUM(L4:L13)</f>
        <v>9895.4399999999987</v>
      </c>
      <c r="M20" s="20">
        <f>IF(L17=0,0,L20/L17)</f>
        <v>0.45953657367675899</v>
      </c>
      <c r="N20" s="21">
        <f>IF(C20=0,0,F20/C20)</f>
        <v>1.5697628085481199</v>
      </c>
      <c r="O20" s="20">
        <f t="shared" si="9"/>
        <v>0.1455655055260785</v>
      </c>
      <c r="P20" s="20">
        <f t="shared" si="9"/>
        <v>6.8369214997070937E-2</v>
      </c>
      <c r="Q20" s="20">
        <f t="shared" si="9"/>
        <v>0.28260444904435666</v>
      </c>
      <c r="R20" s="22"/>
    </row>
  </sheetData>
  <mergeCells count="4">
    <mergeCell ref="O2:Q2"/>
    <mergeCell ref="A1:R1"/>
    <mergeCell ref="C2:I2"/>
    <mergeCell ref="J2:N2"/>
  </mergeCells>
  <conditionalFormatting sqref="J4:L2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M103"/>
  <sheetViews>
    <sheetView workbookViewId="0"/>
  </sheetViews>
  <sheetFormatPr defaultRowHeight="15" x14ac:dyDescent="0.25"/>
  <sheetData>
    <row r="3" spans="2:39" x14ac:dyDescent="0.25">
      <c r="B3" t="s">
        <v>61</v>
      </c>
      <c r="C3" s="26">
        <v>44926</v>
      </c>
      <c r="D3" s="26">
        <v>44957</v>
      </c>
      <c r="E3" s="26">
        <v>44985</v>
      </c>
      <c r="F3" s="26">
        <v>45016</v>
      </c>
      <c r="G3" s="26">
        <v>45046</v>
      </c>
      <c r="H3" s="26">
        <v>45077</v>
      </c>
      <c r="I3" s="26">
        <v>45107</v>
      </c>
      <c r="J3" s="26">
        <v>45138</v>
      </c>
      <c r="K3" s="26">
        <v>45169</v>
      </c>
      <c r="L3" s="26">
        <v>45199</v>
      </c>
      <c r="M3" s="26">
        <v>45230</v>
      </c>
      <c r="N3" s="26">
        <v>45260</v>
      </c>
      <c r="O3" s="26">
        <v>45291</v>
      </c>
      <c r="P3" s="26">
        <v>45322</v>
      </c>
      <c r="Q3" s="26">
        <v>45351</v>
      </c>
      <c r="R3" s="26">
        <v>45382</v>
      </c>
      <c r="S3" s="26">
        <v>45412</v>
      </c>
      <c r="T3" s="26">
        <v>45443</v>
      </c>
      <c r="U3" s="26">
        <v>45473</v>
      </c>
      <c r="V3" s="26">
        <v>45504</v>
      </c>
      <c r="W3" s="26">
        <v>45535</v>
      </c>
      <c r="X3" s="26">
        <v>45565</v>
      </c>
      <c r="Y3" s="26">
        <v>45596</v>
      </c>
      <c r="Z3" s="26">
        <v>45626</v>
      </c>
      <c r="AA3" s="26">
        <v>45657</v>
      </c>
      <c r="AB3" s="26">
        <v>45688</v>
      </c>
      <c r="AC3" s="26">
        <v>45716</v>
      </c>
      <c r="AD3" s="26">
        <v>45747</v>
      </c>
      <c r="AE3" s="26">
        <v>45777</v>
      </c>
      <c r="AF3" s="26">
        <v>45808</v>
      </c>
      <c r="AG3" s="26">
        <v>45838</v>
      </c>
      <c r="AH3" s="26">
        <v>45869</v>
      </c>
      <c r="AI3" s="26">
        <v>45900</v>
      </c>
      <c r="AJ3" s="26">
        <v>45930</v>
      </c>
      <c r="AK3" s="26">
        <v>45961</v>
      </c>
      <c r="AL3" s="26">
        <v>45991</v>
      </c>
      <c r="AM3" s="26">
        <v>46022</v>
      </c>
    </row>
    <row r="4" spans="2:39" x14ac:dyDescent="0.25">
      <c r="B4">
        <v>1</v>
      </c>
      <c r="C4">
        <v>179</v>
      </c>
      <c r="D4">
        <v>179</v>
      </c>
      <c r="E4">
        <v>179</v>
      </c>
      <c r="F4">
        <v>179</v>
      </c>
      <c r="G4">
        <v>179</v>
      </c>
      <c r="H4">
        <v>179</v>
      </c>
      <c r="I4">
        <v>179</v>
      </c>
      <c r="J4">
        <v>179</v>
      </c>
      <c r="K4">
        <v>179</v>
      </c>
      <c r="L4">
        <v>179</v>
      </c>
      <c r="M4">
        <v>179</v>
      </c>
      <c r="N4">
        <v>179</v>
      </c>
      <c r="O4">
        <v>179</v>
      </c>
      <c r="P4">
        <v>179</v>
      </c>
      <c r="Q4">
        <v>179</v>
      </c>
      <c r="R4">
        <v>179</v>
      </c>
      <c r="S4">
        <v>179</v>
      </c>
      <c r="T4">
        <v>179</v>
      </c>
      <c r="U4">
        <v>179</v>
      </c>
      <c r="V4">
        <v>179</v>
      </c>
      <c r="W4">
        <v>179</v>
      </c>
      <c r="X4">
        <v>179</v>
      </c>
      <c r="Y4">
        <v>179</v>
      </c>
      <c r="Z4">
        <v>179</v>
      </c>
      <c r="AA4">
        <v>185.27</v>
      </c>
      <c r="AB4">
        <v>185.27</v>
      </c>
      <c r="AC4">
        <v>185.27</v>
      </c>
      <c r="AD4">
        <v>185.27</v>
      </c>
      <c r="AE4">
        <v>185.27</v>
      </c>
      <c r="AF4">
        <v>185.27</v>
      </c>
      <c r="AG4">
        <v>185.27</v>
      </c>
      <c r="AH4">
        <v>185.27</v>
      </c>
      <c r="AI4">
        <v>185.27</v>
      </c>
      <c r="AJ4">
        <v>185.27</v>
      </c>
      <c r="AK4">
        <v>185.27</v>
      </c>
      <c r="AL4">
        <v>185.27</v>
      </c>
      <c r="AM4">
        <v>185.27</v>
      </c>
    </row>
    <row r="5" spans="2:39" x14ac:dyDescent="0.25">
      <c r="B5">
        <v>2</v>
      </c>
      <c r="C5">
        <v>362.15</v>
      </c>
      <c r="D5">
        <v>362.15</v>
      </c>
      <c r="E5">
        <v>359</v>
      </c>
      <c r="F5">
        <v>359</v>
      </c>
      <c r="G5">
        <v>359</v>
      </c>
      <c r="H5">
        <v>359</v>
      </c>
      <c r="I5">
        <v>359.3</v>
      </c>
      <c r="J5">
        <v>359</v>
      </c>
      <c r="K5">
        <v>359</v>
      </c>
      <c r="L5">
        <v>359</v>
      </c>
      <c r="M5">
        <v>359</v>
      </c>
      <c r="N5">
        <v>359</v>
      </c>
      <c r="O5">
        <v>359</v>
      </c>
      <c r="P5">
        <v>359</v>
      </c>
      <c r="Q5">
        <v>359</v>
      </c>
      <c r="R5">
        <v>359</v>
      </c>
      <c r="S5">
        <v>359</v>
      </c>
      <c r="T5">
        <v>359</v>
      </c>
      <c r="U5">
        <v>359</v>
      </c>
      <c r="V5">
        <v>359</v>
      </c>
      <c r="W5">
        <v>359</v>
      </c>
      <c r="X5">
        <v>359</v>
      </c>
      <c r="Y5">
        <v>359</v>
      </c>
      <c r="Z5">
        <v>359</v>
      </c>
      <c r="AA5">
        <v>359</v>
      </c>
      <c r="AB5">
        <v>399</v>
      </c>
      <c r="AC5">
        <v>399</v>
      </c>
      <c r="AD5">
        <v>399</v>
      </c>
      <c r="AE5">
        <v>399</v>
      </c>
      <c r="AF5">
        <v>399</v>
      </c>
      <c r="AG5">
        <v>399</v>
      </c>
      <c r="AH5">
        <v>399</v>
      </c>
      <c r="AI5">
        <v>399</v>
      </c>
      <c r="AJ5">
        <v>399</v>
      </c>
      <c r="AK5">
        <v>399</v>
      </c>
      <c r="AL5">
        <v>399</v>
      </c>
      <c r="AM5">
        <v>399</v>
      </c>
    </row>
    <row r="6" spans="2:39" x14ac:dyDescent="0.25">
      <c r="B6">
        <v>3</v>
      </c>
      <c r="C6">
        <v>296.10000000000002</v>
      </c>
      <c r="D6">
        <v>296.10000000000002</v>
      </c>
      <c r="E6">
        <v>296.10000000000002</v>
      </c>
      <c r="F6">
        <v>296.10000000000002</v>
      </c>
      <c r="G6">
        <v>296.10000000000002</v>
      </c>
      <c r="H6">
        <v>296.10000000000002</v>
      </c>
      <c r="I6">
        <v>296.10000000000002</v>
      </c>
      <c r="J6">
        <v>296.10000000000002</v>
      </c>
      <c r="K6">
        <v>296.10000000000002</v>
      </c>
      <c r="L6">
        <v>296.10000000000002</v>
      </c>
      <c r="M6">
        <v>296.10000000000002</v>
      </c>
      <c r="N6">
        <v>296.10000000000002</v>
      </c>
      <c r="O6">
        <v>296.10000000000002</v>
      </c>
      <c r="P6">
        <v>296.10000000000002</v>
      </c>
      <c r="Q6">
        <v>296.10000000000002</v>
      </c>
      <c r="R6">
        <v>296.10000000000002</v>
      </c>
      <c r="S6">
        <v>296.10000000000002</v>
      </c>
      <c r="T6">
        <v>296.10000000000002</v>
      </c>
      <c r="U6">
        <v>296.10000000000002</v>
      </c>
      <c r="V6">
        <v>296.10000000000002</v>
      </c>
      <c r="W6">
        <v>296.10000000000002</v>
      </c>
      <c r="X6">
        <v>296.10000000000002</v>
      </c>
      <c r="Y6">
        <v>296.10000000000002</v>
      </c>
      <c r="Z6">
        <v>296.10000000000002</v>
      </c>
      <c r="AA6">
        <v>296.10000000000002</v>
      </c>
      <c r="AB6">
        <v>296.10000000000002</v>
      </c>
      <c r="AC6">
        <v>296.10000000000002</v>
      </c>
      <c r="AD6">
        <v>296.10000000000002</v>
      </c>
      <c r="AE6">
        <v>306.45999999999998</v>
      </c>
      <c r="AF6">
        <v>306.45999999999998</v>
      </c>
      <c r="AG6">
        <v>306.45999999999998</v>
      </c>
      <c r="AH6">
        <v>306.45999999999998</v>
      </c>
      <c r="AI6">
        <v>306.45999999999998</v>
      </c>
      <c r="AJ6">
        <v>306.45999999999998</v>
      </c>
      <c r="AK6">
        <v>306.45999999999998</v>
      </c>
      <c r="AL6">
        <v>306.45999999999998</v>
      </c>
      <c r="AM6">
        <v>306.45999999999998</v>
      </c>
    </row>
    <row r="7" spans="2:39" x14ac:dyDescent="0.25">
      <c r="B7">
        <v>4</v>
      </c>
      <c r="C7">
        <v>289</v>
      </c>
      <c r="D7">
        <v>289</v>
      </c>
      <c r="E7">
        <v>289</v>
      </c>
      <c r="F7">
        <v>289</v>
      </c>
      <c r="G7">
        <v>289</v>
      </c>
      <c r="H7">
        <v>289</v>
      </c>
      <c r="I7">
        <v>289</v>
      </c>
      <c r="J7">
        <v>289</v>
      </c>
      <c r="K7">
        <v>289</v>
      </c>
      <c r="L7">
        <v>289</v>
      </c>
      <c r="M7">
        <v>289</v>
      </c>
      <c r="N7">
        <v>289</v>
      </c>
      <c r="O7">
        <v>289</v>
      </c>
      <c r="P7">
        <v>289</v>
      </c>
      <c r="Q7">
        <v>289</v>
      </c>
      <c r="R7">
        <v>289</v>
      </c>
      <c r="S7">
        <v>289</v>
      </c>
      <c r="T7">
        <v>289</v>
      </c>
      <c r="U7">
        <v>289</v>
      </c>
      <c r="V7">
        <v>289</v>
      </c>
      <c r="W7">
        <v>289</v>
      </c>
      <c r="X7">
        <v>289</v>
      </c>
      <c r="Y7">
        <v>289</v>
      </c>
      <c r="Z7">
        <v>289</v>
      </c>
      <c r="AA7">
        <v>289</v>
      </c>
      <c r="AB7">
        <v>289</v>
      </c>
      <c r="AC7">
        <v>289</v>
      </c>
      <c r="AD7">
        <v>289</v>
      </c>
      <c r="AE7">
        <v>289</v>
      </c>
      <c r="AF7">
        <v>289</v>
      </c>
      <c r="AG7">
        <v>289</v>
      </c>
      <c r="AH7">
        <v>289</v>
      </c>
      <c r="AI7">
        <v>289</v>
      </c>
      <c r="AJ7">
        <v>289</v>
      </c>
      <c r="AK7">
        <v>289</v>
      </c>
      <c r="AL7">
        <v>289</v>
      </c>
      <c r="AM7">
        <v>289</v>
      </c>
    </row>
    <row r="8" spans="2:39" x14ac:dyDescent="0.25">
      <c r="B8">
        <v>5</v>
      </c>
      <c r="C8">
        <v>223</v>
      </c>
      <c r="D8">
        <v>223</v>
      </c>
      <c r="E8">
        <v>223</v>
      </c>
      <c r="F8">
        <v>223</v>
      </c>
      <c r="G8">
        <v>223</v>
      </c>
      <c r="H8">
        <v>223</v>
      </c>
      <c r="I8">
        <v>223</v>
      </c>
      <c r="J8">
        <v>223</v>
      </c>
      <c r="K8">
        <v>234.15</v>
      </c>
      <c r="L8">
        <v>234.15</v>
      </c>
      <c r="M8">
        <v>210.74</v>
      </c>
      <c r="N8">
        <v>210.74</v>
      </c>
      <c r="O8">
        <v>210.74</v>
      </c>
      <c r="P8">
        <v>210.74</v>
      </c>
      <c r="Q8">
        <v>210.74</v>
      </c>
      <c r="R8">
        <v>210.74</v>
      </c>
      <c r="S8">
        <v>210.74</v>
      </c>
      <c r="T8">
        <v>210.74</v>
      </c>
      <c r="U8">
        <v>210.74</v>
      </c>
      <c r="V8">
        <v>210.74</v>
      </c>
      <c r="W8">
        <v>218.12</v>
      </c>
      <c r="X8">
        <v>218.12</v>
      </c>
      <c r="Y8">
        <v>218.12</v>
      </c>
      <c r="Z8">
        <v>218.12</v>
      </c>
      <c r="AA8">
        <v>218.12</v>
      </c>
      <c r="AB8">
        <v>218.12</v>
      </c>
      <c r="AC8">
        <v>218.12</v>
      </c>
      <c r="AD8">
        <v>218.12</v>
      </c>
      <c r="AE8">
        <v>218.12</v>
      </c>
      <c r="AF8">
        <v>218.12</v>
      </c>
      <c r="AG8">
        <v>218.12</v>
      </c>
      <c r="AH8">
        <v>218.12</v>
      </c>
      <c r="AI8">
        <v>218.12</v>
      </c>
      <c r="AJ8">
        <v>225.75</v>
      </c>
      <c r="AK8">
        <v>225.75</v>
      </c>
      <c r="AL8">
        <v>225.75</v>
      </c>
      <c r="AM8">
        <v>225.75</v>
      </c>
    </row>
    <row r="9" spans="2:39" x14ac:dyDescent="0.25">
      <c r="B9">
        <v>6</v>
      </c>
      <c r="C9">
        <v>279</v>
      </c>
      <c r="D9">
        <v>279</v>
      </c>
      <c r="E9">
        <v>279</v>
      </c>
      <c r="F9">
        <v>279</v>
      </c>
      <c r="G9">
        <v>279</v>
      </c>
      <c r="H9">
        <v>378</v>
      </c>
      <c r="I9">
        <v>279</v>
      </c>
      <c r="J9">
        <v>279</v>
      </c>
      <c r="K9">
        <v>279</v>
      </c>
      <c r="L9">
        <v>279</v>
      </c>
      <c r="M9">
        <v>279</v>
      </c>
      <c r="N9">
        <v>279</v>
      </c>
      <c r="O9">
        <v>279</v>
      </c>
      <c r="P9">
        <v>279</v>
      </c>
      <c r="Q9">
        <v>279</v>
      </c>
      <c r="R9">
        <v>279</v>
      </c>
      <c r="S9">
        <v>279</v>
      </c>
      <c r="T9">
        <v>279</v>
      </c>
      <c r="U9">
        <v>279</v>
      </c>
      <c r="V9">
        <v>279</v>
      </c>
      <c r="W9">
        <v>279</v>
      </c>
      <c r="X9">
        <v>279</v>
      </c>
      <c r="Y9">
        <v>279</v>
      </c>
      <c r="Z9">
        <v>279</v>
      </c>
      <c r="AA9">
        <v>279</v>
      </c>
      <c r="AB9">
        <v>279</v>
      </c>
      <c r="AC9">
        <v>279</v>
      </c>
      <c r="AD9">
        <v>279</v>
      </c>
      <c r="AE9">
        <v>279</v>
      </c>
      <c r="AF9">
        <v>288.77</v>
      </c>
      <c r="AG9">
        <v>288.77</v>
      </c>
      <c r="AH9">
        <v>288.77</v>
      </c>
      <c r="AI9">
        <v>288.77</v>
      </c>
      <c r="AJ9">
        <v>288.77</v>
      </c>
      <c r="AK9">
        <v>288.77</v>
      </c>
      <c r="AL9">
        <v>288.77</v>
      </c>
      <c r="AM9">
        <v>288.77</v>
      </c>
    </row>
    <row r="10" spans="2:39" x14ac:dyDescent="0.25">
      <c r="B10">
        <v>7</v>
      </c>
      <c r="C10">
        <v>170.05</v>
      </c>
      <c r="D10">
        <v>170.05</v>
      </c>
      <c r="E10">
        <v>170.05</v>
      </c>
      <c r="F10">
        <v>170.05</v>
      </c>
      <c r="G10">
        <v>170.05</v>
      </c>
      <c r="H10">
        <v>170.05</v>
      </c>
      <c r="I10">
        <v>170.05</v>
      </c>
      <c r="J10">
        <v>170.05</v>
      </c>
      <c r="K10">
        <v>170.05</v>
      </c>
      <c r="L10">
        <v>170.05</v>
      </c>
      <c r="M10">
        <v>179</v>
      </c>
      <c r="N10">
        <v>179</v>
      </c>
      <c r="O10">
        <v>179</v>
      </c>
      <c r="P10">
        <v>179</v>
      </c>
      <c r="Q10">
        <v>179</v>
      </c>
      <c r="R10">
        <v>179</v>
      </c>
      <c r="S10">
        <v>179</v>
      </c>
      <c r="T10">
        <v>179</v>
      </c>
      <c r="U10">
        <v>179</v>
      </c>
      <c r="V10">
        <v>179</v>
      </c>
      <c r="W10">
        <v>179</v>
      </c>
      <c r="X10">
        <v>179</v>
      </c>
      <c r="Y10">
        <v>179</v>
      </c>
      <c r="Z10">
        <v>179</v>
      </c>
      <c r="AA10">
        <v>179</v>
      </c>
      <c r="AB10">
        <v>179</v>
      </c>
      <c r="AC10">
        <v>179</v>
      </c>
      <c r="AD10">
        <v>179</v>
      </c>
      <c r="AE10">
        <v>179</v>
      </c>
      <c r="AF10">
        <v>185.27</v>
      </c>
      <c r="AG10">
        <v>185.27</v>
      </c>
      <c r="AH10">
        <v>185.27</v>
      </c>
      <c r="AI10">
        <v>185.27</v>
      </c>
      <c r="AJ10">
        <v>185.27</v>
      </c>
      <c r="AK10">
        <v>185.27</v>
      </c>
      <c r="AL10">
        <v>185.27</v>
      </c>
      <c r="AM10">
        <v>185.27</v>
      </c>
    </row>
    <row r="11" spans="2:39" x14ac:dyDescent="0.25">
      <c r="B11">
        <v>8</v>
      </c>
      <c r="C11">
        <v>99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99</v>
      </c>
      <c r="L11">
        <v>99</v>
      </c>
      <c r="M11">
        <v>99</v>
      </c>
      <c r="N11">
        <v>99</v>
      </c>
      <c r="O11">
        <v>99</v>
      </c>
      <c r="P11">
        <v>28.71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2:39" x14ac:dyDescent="0.25">
      <c r="B12">
        <v>9</v>
      </c>
      <c r="C12">
        <v>229</v>
      </c>
      <c r="D12">
        <v>229</v>
      </c>
      <c r="E12">
        <v>229</v>
      </c>
      <c r="F12">
        <v>229</v>
      </c>
      <c r="G12">
        <v>229</v>
      </c>
      <c r="H12">
        <v>229</v>
      </c>
      <c r="I12">
        <v>229</v>
      </c>
      <c r="J12">
        <v>229</v>
      </c>
      <c r="K12">
        <v>229</v>
      </c>
      <c r="L12">
        <v>229</v>
      </c>
      <c r="M12">
        <v>229</v>
      </c>
      <c r="N12">
        <v>229</v>
      </c>
      <c r="O12">
        <v>229</v>
      </c>
      <c r="P12">
        <v>229</v>
      </c>
      <c r="Q12">
        <v>229</v>
      </c>
      <c r="R12">
        <v>229</v>
      </c>
      <c r="S12">
        <v>229</v>
      </c>
      <c r="T12">
        <v>229</v>
      </c>
      <c r="U12">
        <v>229</v>
      </c>
      <c r="V12">
        <v>229</v>
      </c>
      <c r="W12">
        <v>229</v>
      </c>
      <c r="X12">
        <v>229</v>
      </c>
      <c r="Y12">
        <v>229</v>
      </c>
      <c r="Z12">
        <v>229</v>
      </c>
      <c r="AA12">
        <v>229</v>
      </c>
      <c r="AB12">
        <v>229</v>
      </c>
      <c r="AC12">
        <v>229</v>
      </c>
      <c r="AD12">
        <v>229</v>
      </c>
      <c r="AE12">
        <v>229</v>
      </c>
      <c r="AF12">
        <v>229</v>
      </c>
      <c r="AG12">
        <v>229</v>
      </c>
      <c r="AH12">
        <v>229</v>
      </c>
      <c r="AI12">
        <v>237.02</v>
      </c>
      <c r="AJ12">
        <v>237.02</v>
      </c>
      <c r="AK12">
        <v>237.02</v>
      </c>
      <c r="AL12">
        <v>237.02</v>
      </c>
      <c r="AM12">
        <v>237.02</v>
      </c>
    </row>
    <row r="13" spans="2:39" x14ac:dyDescent="0.25">
      <c r="B13">
        <v>10</v>
      </c>
      <c r="C13">
        <v>279</v>
      </c>
      <c r="D13">
        <v>279</v>
      </c>
      <c r="E13">
        <v>279</v>
      </c>
      <c r="F13">
        <v>279</v>
      </c>
      <c r="G13">
        <v>279</v>
      </c>
      <c r="H13">
        <v>279</v>
      </c>
      <c r="I13">
        <v>179</v>
      </c>
      <c r="J13">
        <v>179</v>
      </c>
      <c r="K13">
        <v>179</v>
      </c>
      <c r="L13">
        <v>179</v>
      </c>
      <c r="M13">
        <v>179</v>
      </c>
      <c r="N13">
        <v>179</v>
      </c>
      <c r="O13">
        <v>179</v>
      </c>
      <c r="P13">
        <v>179</v>
      </c>
      <c r="Q13">
        <v>179</v>
      </c>
      <c r="R13">
        <v>179</v>
      </c>
      <c r="S13">
        <v>179</v>
      </c>
      <c r="T13">
        <v>179</v>
      </c>
      <c r="U13">
        <v>179</v>
      </c>
      <c r="V13">
        <v>179</v>
      </c>
      <c r="W13">
        <v>179</v>
      </c>
      <c r="X13">
        <v>179</v>
      </c>
      <c r="Y13">
        <v>179</v>
      </c>
      <c r="Z13">
        <v>179</v>
      </c>
      <c r="AA13">
        <v>179</v>
      </c>
      <c r="AB13">
        <v>179</v>
      </c>
      <c r="AC13">
        <v>179</v>
      </c>
      <c r="AD13">
        <v>179</v>
      </c>
      <c r="AE13">
        <v>179</v>
      </c>
      <c r="AF13">
        <v>179</v>
      </c>
      <c r="AG13">
        <v>179</v>
      </c>
      <c r="AH13">
        <v>179</v>
      </c>
      <c r="AI13">
        <v>179</v>
      </c>
      <c r="AJ13">
        <v>185.27</v>
      </c>
      <c r="AK13">
        <v>185.27</v>
      </c>
      <c r="AL13">
        <v>185.27</v>
      </c>
      <c r="AM13">
        <v>185.27</v>
      </c>
    </row>
    <row r="14" spans="2:39" x14ac:dyDescent="0.25">
      <c r="B14">
        <v>11</v>
      </c>
      <c r="C14">
        <v>170.05</v>
      </c>
      <c r="D14">
        <v>170.05</v>
      </c>
      <c r="E14">
        <v>170.05</v>
      </c>
      <c r="F14">
        <v>170.05</v>
      </c>
      <c r="G14">
        <v>170.05</v>
      </c>
      <c r="H14">
        <v>170.05</v>
      </c>
      <c r="I14">
        <v>170.05</v>
      </c>
      <c r="J14">
        <v>170.05</v>
      </c>
      <c r="K14">
        <v>170.05</v>
      </c>
      <c r="L14">
        <v>170.05</v>
      </c>
      <c r="M14">
        <v>179</v>
      </c>
      <c r="N14">
        <v>179</v>
      </c>
      <c r="O14">
        <v>179</v>
      </c>
      <c r="P14">
        <v>179</v>
      </c>
      <c r="Q14">
        <v>179</v>
      </c>
      <c r="R14">
        <v>179</v>
      </c>
      <c r="S14">
        <v>179</v>
      </c>
      <c r="T14">
        <v>179</v>
      </c>
      <c r="U14">
        <v>179</v>
      </c>
      <c r="V14">
        <v>179</v>
      </c>
      <c r="W14">
        <v>179</v>
      </c>
      <c r="X14">
        <v>179</v>
      </c>
      <c r="Y14">
        <v>179</v>
      </c>
      <c r="Z14">
        <v>179</v>
      </c>
      <c r="AA14">
        <v>179</v>
      </c>
      <c r="AB14">
        <v>179</v>
      </c>
      <c r="AC14">
        <v>179</v>
      </c>
      <c r="AD14">
        <v>179</v>
      </c>
      <c r="AE14">
        <v>179</v>
      </c>
      <c r="AF14">
        <v>179</v>
      </c>
      <c r="AG14">
        <v>179</v>
      </c>
      <c r="AH14">
        <v>179</v>
      </c>
      <c r="AI14">
        <v>179</v>
      </c>
      <c r="AJ14">
        <v>179</v>
      </c>
      <c r="AK14">
        <v>179</v>
      </c>
      <c r="AL14">
        <v>179</v>
      </c>
      <c r="AM14">
        <v>179</v>
      </c>
    </row>
    <row r="15" spans="2:39" x14ac:dyDescent="0.25">
      <c r="B15">
        <v>12</v>
      </c>
      <c r="C15">
        <v>284.05</v>
      </c>
      <c r="D15">
        <v>284.05</v>
      </c>
      <c r="E15">
        <v>284.05</v>
      </c>
      <c r="F15">
        <v>284.05</v>
      </c>
      <c r="G15">
        <v>284.05</v>
      </c>
      <c r="H15">
        <v>284.05</v>
      </c>
      <c r="I15">
        <v>290.02999999999997</v>
      </c>
      <c r="J15">
        <v>290.02999999999997</v>
      </c>
      <c r="K15">
        <v>290.02999999999997</v>
      </c>
      <c r="L15">
        <v>290.02999999999997</v>
      </c>
      <c r="M15">
        <v>281.33</v>
      </c>
      <c r="N15">
        <v>281.33</v>
      </c>
      <c r="O15">
        <v>281.33</v>
      </c>
      <c r="P15">
        <v>281.33</v>
      </c>
      <c r="Q15">
        <v>281.33</v>
      </c>
      <c r="R15">
        <v>281.33</v>
      </c>
      <c r="S15">
        <v>281.33</v>
      </c>
      <c r="T15">
        <v>290.02999999999997</v>
      </c>
      <c r="U15">
        <v>290.02999999999997</v>
      </c>
      <c r="V15">
        <v>290.02999999999997</v>
      </c>
      <c r="W15">
        <v>290.02999999999997</v>
      </c>
      <c r="X15">
        <v>290.02999999999997</v>
      </c>
      <c r="Y15">
        <v>290.02999999999997</v>
      </c>
      <c r="Z15">
        <v>300.19</v>
      </c>
      <c r="AA15">
        <v>300.19</v>
      </c>
      <c r="AB15">
        <v>300.19</v>
      </c>
      <c r="AC15">
        <v>300.19</v>
      </c>
      <c r="AD15">
        <v>300.19</v>
      </c>
      <c r="AE15">
        <v>294</v>
      </c>
      <c r="AF15">
        <v>294</v>
      </c>
      <c r="AG15">
        <v>294</v>
      </c>
      <c r="AH15">
        <v>294</v>
      </c>
      <c r="AI15">
        <v>294</v>
      </c>
      <c r="AJ15">
        <v>294</v>
      </c>
      <c r="AK15">
        <v>294</v>
      </c>
      <c r="AL15">
        <v>294</v>
      </c>
      <c r="AM15">
        <v>294</v>
      </c>
    </row>
    <row r="16" spans="2:39" x14ac:dyDescent="0.25">
      <c r="B16">
        <v>13</v>
      </c>
      <c r="C16">
        <v>369</v>
      </c>
      <c r="D16">
        <v>369</v>
      </c>
      <c r="E16">
        <v>369</v>
      </c>
      <c r="F16">
        <v>369</v>
      </c>
      <c r="G16">
        <v>369</v>
      </c>
      <c r="H16">
        <v>369</v>
      </c>
      <c r="I16">
        <v>369</v>
      </c>
      <c r="J16">
        <v>369</v>
      </c>
      <c r="K16">
        <v>369</v>
      </c>
      <c r="L16">
        <v>369</v>
      </c>
      <c r="M16">
        <v>369</v>
      </c>
      <c r="N16">
        <v>369</v>
      </c>
      <c r="O16">
        <v>369</v>
      </c>
      <c r="P16">
        <v>369</v>
      </c>
      <c r="Q16">
        <v>369</v>
      </c>
      <c r="R16">
        <v>369</v>
      </c>
      <c r="S16">
        <v>369</v>
      </c>
      <c r="T16">
        <v>369</v>
      </c>
      <c r="U16">
        <v>369</v>
      </c>
      <c r="V16">
        <v>369</v>
      </c>
      <c r="W16">
        <v>369</v>
      </c>
      <c r="X16">
        <v>369</v>
      </c>
      <c r="Y16">
        <v>369</v>
      </c>
      <c r="Z16">
        <v>369</v>
      </c>
      <c r="AA16">
        <v>381.92</v>
      </c>
      <c r="AB16">
        <v>381.92</v>
      </c>
      <c r="AC16">
        <v>381.92</v>
      </c>
      <c r="AD16">
        <v>381.92</v>
      </c>
      <c r="AE16">
        <v>381.92</v>
      </c>
      <c r="AF16">
        <v>381.92</v>
      </c>
      <c r="AG16">
        <v>381.92</v>
      </c>
      <c r="AH16">
        <v>381.92</v>
      </c>
      <c r="AI16">
        <v>381.92</v>
      </c>
      <c r="AJ16">
        <v>381.92</v>
      </c>
      <c r="AK16">
        <v>381.92</v>
      </c>
      <c r="AL16">
        <v>381.92</v>
      </c>
      <c r="AM16">
        <v>381.92</v>
      </c>
    </row>
    <row r="17" spans="2:39" x14ac:dyDescent="0.25">
      <c r="B17">
        <v>14</v>
      </c>
      <c r="C17">
        <v>279</v>
      </c>
      <c r="D17">
        <v>279</v>
      </c>
      <c r="E17">
        <v>279</v>
      </c>
      <c r="F17">
        <v>279</v>
      </c>
      <c r="G17">
        <v>279</v>
      </c>
      <c r="H17">
        <v>279</v>
      </c>
      <c r="I17">
        <v>279</v>
      </c>
      <c r="J17">
        <v>279</v>
      </c>
      <c r="K17">
        <v>279</v>
      </c>
      <c r="L17">
        <v>279</v>
      </c>
      <c r="M17">
        <v>279</v>
      </c>
      <c r="N17">
        <v>279</v>
      </c>
      <c r="O17">
        <v>279</v>
      </c>
      <c r="P17">
        <v>279</v>
      </c>
      <c r="Q17">
        <v>279</v>
      </c>
      <c r="R17">
        <v>279</v>
      </c>
      <c r="S17">
        <v>279</v>
      </c>
      <c r="T17">
        <v>279</v>
      </c>
      <c r="U17">
        <v>279</v>
      </c>
      <c r="V17">
        <v>279</v>
      </c>
      <c r="W17">
        <v>279</v>
      </c>
      <c r="X17">
        <v>279</v>
      </c>
      <c r="Y17">
        <v>279</v>
      </c>
      <c r="Z17">
        <v>279</v>
      </c>
      <c r="AA17">
        <v>279</v>
      </c>
      <c r="AB17">
        <v>279</v>
      </c>
      <c r="AC17">
        <v>279</v>
      </c>
      <c r="AD17">
        <v>288.77</v>
      </c>
      <c r="AE17">
        <v>288.77</v>
      </c>
      <c r="AF17">
        <v>288.77</v>
      </c>
      <c r="AG17">
        <v>288.77</v>
      </c>
      <c r="AH17">
        <v>288.77</v>
      </c>
      <c r="AI17">
        <v>288.77</v>
      </c>
      <c r="AJ17">
        <v>288.77</v>
      </c>
      <c r="AK17">
        <v>288.77</v>
      </c>
      <c r="AL17">
        <v>288.77</v>
      </c>
      <c r="AM17">
        <v>288.77</v>
      </c>
    </row>
    <row r="18" spans="2:39" x14ac:dyDescent="0.25">
      <c r="B18">
        <v>15</v>
      </c>
      <c r="C18">
        <v>179</v>
      </c>
      <c r="D18">
        <v>179</v>
      </c>
      <c r="E18">
        <v>179</v>
      </c>
      <c r="F18">
        <v>179</v>
      </c>
      <c r="G18">
        <v>179</v>
      </c>
      <c r="H18">
        <v>179</v>
      </c>
      <c r="I18">
        <v>179</v>
      </c>
      <c r="J18">
        <v>179</v>
      </c>
      <c r="K18">
        <v>179</v>
      </c>
      <c r="L18">
        <v>179</v>
      </c>
      <c r="M18">
        <v>179</v>
      </c>
      <c r="N18">
        <v>179</v>
      </c>
      <c r="O18">
        <v>179</v>
      </c>
      <c r="P18">
        <v>179</v>
      </c>
      <c r="Q18">
        <v>179</v>
      </c>
      <c r="R18">
        <v>179</v>
      </c>
      <c r="S18">
        <v>179</v>
      </c>
      <c r="T18">
        <v>179</v>
      </c>
      <c r="U18">
        <v>179</v>
      </c>
      <c r="V18">
        <v>179</v>
      </c>
      <c r="W18">
        <v>179</v>
      </c>
      <c r="X18">
        <v>179</v>
      </c>
      <c r="Y18">
        <v>179</v>
      </c>
      <c r="Z18">
        <v>179</v>
      </c>
      <c r="AA18">
        <v>179</v>
      </c>
      <c r="AB18">
        <v>179</v>
      </c>
      <c r="AC18">
        <v>179</v>
      </c>
      <c r="AD18">
        <v>185.27</v>
      </c>
      <c r="AE18">
        <v>185.27</v>
      </c>
      <c r="AF18">
        <v>185.27</v>
      </c>
      <c r="AG18">
        <v>179</v>
      </c>
      <c r="AH18">
        <v>179</v>
      </c>
      <c r="AI18">
        <v>179</v>
      </c>
      <c r="AJ18">
        <v>179</v>
      </c>
      <c r="AK18">
        <v>179</v>
      </c>
      <c r="AL18">
        <v>179</v>
      </c>
      <c r="AM18">
        <v>179</v>
      </c>
    </row>
    <row r="19" spans="2:39" x14ac:dyDescent="0.25">
      <c r="B19">
        <v>16</v>
      </c>
      <c r="C19">
        <v>128</v>
      </c>
      <c r="D19">
        <v>128</v>
      </c>
      <c r="E19">
        <v>128</v>
      </c>
      <c r="F19">
        <v>128</v>
      </c>
      <c r="G19">
        <v>128</v>
      </c>
      <c r="H19">
        <v>128</v>
      </c>
      <c r="I19">
        <v>128</v>
      </c>
      <c r="J19">
        <v>128</v>
      </c>
      <c r="K19">
        <v>128</v>
      </c>
      <c r="L19">
        <v>128</v>
      </c>
      <c r="M19">
        <v>128</v>
      </c>
      <c r="N19">
        <v>128</v>
      </c>
      <c r="O19">
        <v>128</v>
      </c>
      <c r="P19">
        <v>128</v>
      </c>
      <c r="Q19">
        <v>128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2:39" x14ac:dyDescent="0.25">
      <c r="B20">
        <v>17</v>
      </c>
      <c r="C20">
        <v>279</v>
      </c>
      <c r="D20">
        <v>279</v>
      </c>
      <c r="E20">
        <v>279</v>
      </c>
      <c r="F20">
        <v>279</v>
      </c>
      <c r="G20">
        <v>279</v>
      </c>
      <c r="H20">
        <v>279</v>
      </c>
      <c r="I20">
        <v>279</v>
      </c>
      <c r="J20">
        <v>279</v>
      </c>
      <c r="K20">
        <v>279</v>
      </c>
      <c r="L20">
        <v>279</v>
      </c>
      <c r="M20">
        <v>279</v>
      </c>
      <c r="N20">
        <v>279</v>
      </c>
      <c r="O20">
        <v>279</v>
      </c>
      <c r="P20">
        <v>279</v>
      </c>
      <c r="Q20">
        <v>279</v>
      </c>
      <c r="R20">
        <v>279</v>
      </c>
      <c r="S20">
        <v>279</v>
      </c>
      <c r="T20">
        <v>279</v>
      </c>
      <c r="U20">
        <v>279</v>
      </c>
      <c r="V20">
        <v>279</v>
      </c>
      <c r="W20">
        <v>279</v>
      </c>
      <c r="X20">
        <v>279</v>
      </c>
      <c r="Y20">
        <v>279</v>
      </c>
      <c r="Z20">
        <v>279</v>
      </c>
      <c r="AA20">
        <v>279</v>
      </c>
      <c r="AB20">
        <v>279</v>
      </c>
      <c r="AC20">
        <v>279</v>
      </c>
      <c r="AD20">
        <v>279</v>
      </c>
      <c r="AE20">
        <v>288.77</v>
      </c>
      <c r="AF20">
        <v>288.77</v>
      </c>
      <c r="AG20">
        <v>288.77</v>
      </c>
      <c r="AH20">
        <v>288.77</v>
      </c>
      <c r="AI20">
        <v>288.77</v>
      </c>
      <c r="AJ20">
        <v>288.77</v>
      </c>
      <c r="AK20">
        <v>288.77</v>
      </c>
      <c r="AL20">
        <v>288.77</v>
      </c>
      <c r="AM20">
        <v>288.77</v>
      </c>
    </row>
    <row r="21" spans="2:39" x14ac:dyDescent="0.25">
      <c r="B21">
        <v>18</v>
      </c>
      <c r="C21">
        <v>245.65</v>
      </c>
      <c r="D21">
        <v>245.65</v>
      </c>
      <c r="E21">
        <v>245.65</v>
      </c>
      <c r="F21">
        <v>245.65</v>
      </c>
      <c r="G21">
        <v>245.65</v>
      </c>
      <c r="H21">
        <v>245.65</v>
      </c>
      <c r="I21">
        <v>245.65</v>
      </c>
      <c r="J21">
        <v>245.65</v>
      </c>
      <c r="K21">
        <v>245.65</v>
      </c>
      <c r="L21">
        <v>245.65</v>
      </c>
      <c r="M21">
        <v>245.65</v>
      </c>
      <c r="N21">
        <v>245.65</v>
      </c>
      <c r="O21">
        <v>245.65</v>
      </c>
      <c r="P21">
        <v>245.65</v>
      </c>
      <c r="Q21">
        <v>245.65</v>
      </c>
      <c r="R21">
        <v>245.65</v>
      </c>
      <c r="S21">
        <v>245.65</v>
      </c>
      <c r="T21">
        <v>245.65</v>
      </c>
      <c r="U21">
        <v>245.65</v>
      </c>
      <c r="V21">
        <v>245.65</v>
      </c>
      <c r="W21">
        <v>245.65</v>
      </c>
      <c r="X21">
        <v>245.65</v>
      </c>
      <c r="Y21">
        <v>245.65</v>
      </c>
      <c r="Z21">
        <v>245.65</v>
      </c>
      <c r="AA21">
        <v>245.65</v>
      </c>
      <c r="AB21">
        <v>245.65</v>
      </c>
      <c r="AC21">
        <v>245.65</v>
      </c>
      <c r="AD21">
        <v>254.25</v>
      </c>
      <c r="AE21">
        <v>254.25</v>
      </c>
      <c r="AF21">
        <v>254.25</v>
      </c>
      <c r="AG21">
        <v>254.25</v>
      </c>
      <c r="AH21">
        <v>254.25</v>
      </c>
      <c r="AI21">
        <v>254.25</v>
      </c>
      <c r="AJ21">
        <v>254.25</v>
      </c>
      <c r="AK21">
        <v>254.25</v>
      </c>
      <c r="AL21">
        <v>254.25</v>
      </c>
      <c r="AM21">
        <v>254.25</v>
      </c>
    </row>
    <row r="22" spans="2:39" x14ac:dyDescent="0.25">
      <c r="B22">
        <v>19</v>
      </c>
      <c r="C22">
        <v>116</v>
      </c>
      <c r="D22">
        <v>116</v>
      </c>
      <c r="E22">
        <v>116</v>
      </c>
      <c r="F22">
        <v>116</v>
      </c>
      <c r="G22">
        <v>116</v>
      </c>
      <c r="H22">
        <v>116</v>
      </c>
      <c r="I22">
        <v>116</v>
      </c>
      <c r="J22">
        <v>116</v>
      </c>
      <c r="K22">
        <v>116</v>
      </c>
      <c r="L22">
        <v>116</v>
      </c>
      <c r="M22">
        <v>116</v>
      </c>
      <c r="N22">
        <v>116</v>
      </c>
      <c r="O22">
        <v>116</v>
      </c>
      <c r="P22">
        <v>116</v>
      </c>
      <c r="Q22">
        <v>116</v>
      </c>
      <c r="R22">
        <v>116</v>
      </c>
      <c r="S22">
        <v>116</v>
      </c>
      <c r="T22">
        <v>116</v>
      </c>
      <c r="U22">
        <v>116</v>
      </c>
      <c r="V22">
        <v>116</v>
      </c>
      <c r="W22">
        <v>116</v>
      </c>
      <c r="X22">
        <v>116</v>
      </c>
      <c r="Y22">
        <v>116</v>
      </c>
      <c r="Z22">
        <v>116</v>
      </c>
      <c r="AA22">
        <v>116</v>
      </c>
      <c r="AB22">
        <v>116</v>
      </c>
      <c r="AC22">
        <v>116</v>
      </c>
      <c r="AD22">
        <v>116</v>
      </c>
      <c r="AE22">
        <v>116</v>
      </c>
      <c r="AF22">
        <v>116</v>
      </c>
      <c r="AG22">
        <v>116</v>
      </c>
      <c r="AH22">
        <v>116</v>
      </c>
      <c r="AI22">
        <v>116</v>
      </c>
      <c r="AJ22">
        <v>116</v>
      </c>
      <c r="AK22">
        <v>116</v>
      </c>
      <c r="AL22">
        <v>116</v>
      </c>
      <c r="AM22">
        <v>116</v>
      </c>
    </row>
    <row r="23" spans="2:39" x14ac:dyDescent="0.25">
      <c r="B23">
        <v>20</v>
      </c>
      <c r="C23">
        <v>170.05</v>
      </c>
      <c r="D23">
        <v>170.05</v>
      </c>
      <c r="E23">
        <v>170.05</v>
      </c>
      <c r="F23">
        <v>170.05</v>
      </c>
      <c r="G23">
        <v>170.05</v>
      </c>
      <c r="H23">
        <v>170.05</v>
      </c>
      <c r="I23">
        <v>170.05</v>
      </c>
      <c r="J23">
        <v>170.05</v>
      </c>
      <c r="K23">
        <v>170.05</v>
      </c>
      <c r="L23">
        <v>170.05</v>
      </c>
      <c r="M23">
        <v>179</v>
      </c>
      <c r="N23">
        <v>179</v>
      </c>
      <c r="O23">
        <v>179</v>
      </c>
      <c r="P23">
        <v>179</v>
      </c>
      <c r="Q23">
        <v>179</v>
      </c>
      <c r="R23">
        <v>179</v>
      </c>
      <c r="S23">
        <v>179</v>
      </c>
      <c r="T23">
        <v>179</v>
      </c>
      <c r="U23">
        <v>179</v>
      </c>
      <c r="V23">
        <v>179</v>
      </c>
      <c r="W23">
        <v>179</v>
      </c>
      <c r="X23">
        <v>179</v>
      </c>
      <c r="Y23">
        <v>179</v>
      </c>
      <c r="Z23">
        <v>179</v>
      </c>
      <c r="AA23">
        <v>179</v>
      </c>
      <c r="AB23">
        <v>179</v>
      </c>
      <c r="AC23">
        <v>179</v>
      </c>
      <c r="AD23">
        <v>179</v>
      </c>
      <c r="AE23">
        <v>179</v>
      </c>
      <c r="AF23">
        <v>179</v>
      </c>
      <c r="AG23">
        <v>185.27</v>
      </c>
      <c r="AH23">
        <v>185.27</v>
      </c>
      <c r="AI23">
        <v>185.27</v>
      </c>
      <c r="AJ23">
        <v>185.27</v>
      </c>
      <c r="AK23">
        <v>185.27</v>
      </c>
      <c r="AL23">
        <v>185.27</v>
      </c>
      <c r="AM23">
        <v>185.27</v>
      </c>
    </row>
    <row r="24" spans="2:39" x14ac:dyDescent="0.25">
      <c r="B24">
        <v>21</v>
      </c>
      <c r="C24">
        <v>279</v>
      </c>
      <c r="D24">
        <v>279</v>
      </c>
      <c r="E24">
        <v>279</v>
      </c>
      <c r="F24">
        <v>279</v>
      </c>
      <c r="G24">
        <v>279</v>
      </c>
      <c r="H24">
        <v>279</v>
      </c>
      <c r="I24">
        <v>279</v>
      </c>
      <c r="J24">
        <v>279</v>
      </c>
      <c r="K24">
        <v>279</v>
      </c>
      <c r="L24">
        <v>279</v>
      </c>
      <c r="M24">
        <v>279</v>
      </c>
      <c r="N24">
        <v>279</v>
      </c>
      <c r="O24">
        <v>279</v>
      </c>
      <c r="P24">
        <v>279</v>
      </c>
      <c r="Q24">
        <v>279</v>
      </c>
      <c r="R24">
        <v>279</v>
      </c>
      <c r="S24">
        <v>279</v>
      </c>
      <c r="T24">
        <v>279</v>
      </c>
      <c r="U24">
        <v>279</v>
      </c>
      <c r="V24">
        <v>279</v>
      </c>
      <c r="W24">
        <v>279</v>
      </c>
      <c r="X24">
        <v>279</v>
      </c>
      <c r="Y24">
        <v>279</v>
      </c>
      <c r="Z24">
        <v>279</v>
      </c>
      <c r="AA24">
        <v>279</v>
      </c>
      <c r="AB24">
        <v>279</v>
      </c>
      <c r="AC24">
        <v>279</v>
      </c>
      <c r="AD24">
        <v>279</v>
      </c>
      <c r="AE24">
        <v>279</v>
      </c>
      <c r="AF24">
        <v>279</v>
      </c>
      <c r="AG24">
        <v>288.77</v>
      </c>
      <c r="AH24">
        <v>288.77</v>
      </c>
      <c r="AI24">
        <v>288.77</v>
      </c>
      <c r="AJ24">
        <v>288.77</v>
      </c>
      <c r="AK24">
        <v>288.77</v>
      </c>
      <c r="AL24">
        <v>288.77</v>
      </c>
      <c r="AM24">
        <v>288.77</v>
      </c>
    </row>
    <row r="25" spans="2:39" x14ac:dyDescent="0.25">
      <c r="B25">
        <v>22</v>
      </c>
      <c r="C25">
        <v>299</v>
      </c>
      <c r="D25">
        <v>299</v>
      </c>
      <c r="E25">
        <v>299</v>
      </c>
      <c r="F25">
        <v>299</v>
      </c>
      <c r="G25">
        <v>299</v>
      </c>
      <c r="H25">
        <v>299</v>
      </c>
      <c r="I25">
        <v>299</v>
      </c>
      <c r="J25">
        <v>299</v>
      </c>
      <c r="K25">
        <v>299</v>
      </c>
      <c r="L25">
        <v>299</v>
      </c>
      <c r="M25">
        <v>299</v>
      </c>
      <c r="N25">
        <v>299</v>
      </c>
      <c r="O25">
        <v>299</v>
      </c>
      <c r="P25">
        <v>299</v>
      </c>
      <c r="Q25">
        <v>299</v>
      </c>
      <c r="R25">
        <v>299</v>
      </c>
      <c r="S25">
        <v>299</v>
      </c>
      <c r="T25">
        <v>299</v>
      </c>
      <c r="U25">
        <v>299</v>
      </c>
      <c r="V25">
        <v>299</v>
      </c>
      <c r="W25">
        <v>299</v>
      </c>
      <c r="X25">
        <v>299</v>
      </c>
      <c r="Y25">
        <v>299</v>
      </c>
      <c r="Z25">
        <v>299</v>
      </c>
      <c r="AA25">
        <v>299</v>
      </c>
      <c r="AB25">
        <v>299</v>
      </c>
      <c r="AC25">
        <v>299</v>
      </c>
      <c r="AD25">
        <v>299</v>
      </c>
      <c r="AE25">
        <v>299</v>
      </c>
      <c r="AF25">
        <v>299</v>
      </c>
      <c r="AG25">
        <v>309.47000000000003</v>
      </c>
      <c r="AH25">
        <v>309.47000000000003</v>
      </c>
      <c r="AI25">
        <v>309.47000000000003</v>
      </c>
      <c r="AJ25">
        <v>309.47000000000003</v>
      </c>
      <c r="AK25">
        <v>309.47000000000003</v>
      </c>
      <c r="AL25">
        <v>309.47000000000003</v>
      </c>
      <c r="AM25">
        <v>309.47000000000003</v>
      </c>
    </row>
    <row r="26" spans="2:39" x14ac:dyDescent="0.25">
      <c r="B26">
        <v>23</v>
      </c>
      <c r="C26">
        <v>287.10000000000002</v>
      </c>
      <c r="D26">
        <v>287.10000000000002</v>
      </c>
      <c r="E26">
        <v>287.10000000000002</v>
      </c>
      <c r="F26">
        <v>287.10000000000002</v>
      </c>
      <c r="G26">
        <v>287.10000000000002</v>
      </c>
      <c r="H26">
        <v>287.10000000000002</v>
      </c>
      <c r="I26">
        <v>287.10000000000002</v>
      </c>
      <c r="J26">
        <v>287.10000000000002</v>
      </c>
      <c r="K26">
        <v>287.10000000000002</v>
      </c>
      <c r="L26">
        <v>287.10000000000002</v>
      </c>
      <c r="M26">
        <v>287.10000000000002</v>
      </c>
      <c r="N26">
        <v>287.10000000000002</v>
      </c>
      <c r="O26">
        <v>287.10000000000002</v>
      </c>
      <c r="P26">
        <v>287.10000000000002</v>
      </c>
      <c r="Q26">
        <v>287.10000000000002</v>
      </c>
      <c r="R26">
        <v>287.10000000000002</v>
      </c>
      <c r="S26">
        <v>287.10000000000002</v>
      </c>
      <c r="T26">
        <v>287.10000000000002</v>
      </c>
      <c r="U26">
        <v>287.10000000000002</v>
      </c>
      <c r="V26">
        <v>287.10000000000002</v>
      </c>
      <c r="W26">
        <v>287.10000000000002</v>
      </c>
      <c r="X26">
        <v>287.10000000000002</v>
      </c>
      <c r="Y26">
        <v>287.10000000000002</v>
      </c>
      <c r="Z26">
        <v>287.10000000000002</v>
      </c>
      <c r="AA26">
        <v>287.10000000000002</v>
      </c>
      <c r="AB26">
        <v>287.10000000000002</v>
      </c>
      <c r="AC26">
        <v>287.10000000000002</v>
      </c>
      <c r="AD26">
        <v>287.10000000000002</v>
      </c>
      <c r="AE26">
        <v>287.10000000000002</v>
      </c>
      <c r="AF26">
        <v>287.10000000000002</v>
      </c>
      <c r="AG26">
        <v>287.10000000000002</v>
      </c>
      <c r="AH26">
        <v>297.14999999999998</v>
      </c>
      <c r="AI26">
        <v>297.14999999999998</v>
      </c>
      <c r="AJ26">
        <v>297.14999999999998</v>
      </c>
      <c r="AK26">
        <v>297.14999999999998</v>
      </c>
      <c r="AL26">
        <v>297.14999999999998</v>
      </c>
      <c r="AM26">
        <v>297.14999999999998</v>
      </c>
    </row>
    <row r="27" spans="2:39" x14ac:dyDescent="0.25">
      <c r="B27">
        <v>24</v>
      </c>
      <c r="C27">
        <v>329</v>
      </c>
      <c r="D27">
        <v>329</v>
      </c>
      <c r="E27">
        <v>329</v>
      </c>
      <c r="F27">
        <v>329</v>
      </c>
      <c r="G27">
        <v>329</v>
      </c>
      <c r="H27">
        <v>329</v>
      </c>
      <c r="I27">
        <v>329</v>
      </c>
      <c r="J27">
        <v>329</v>
      </c>
      <c r="K27">
        <v>329</v>
      </c>
      <c r="L27">
        <v>329</v>
      </c>
      <c r="M27">
        <v>329</v>
      </c>
      <c r="N27">
        <v>329</v>
      </c>
      <c r="O27">
        <v>329</v>
      </c>
      <c r="P27">
        <v>329</v>
      </c>
      <c r="Q27">
        <v>329</v>
      </c>
      <c r="R27">
        <v>329</v>
      </c>
      <c r="S27">
        <v>329</v>
      </c>
      <c r="T27">
        <v>329</v>
      </c>
      <c r="U27">
        <v>329</v>
      </c>
      <c r="V27">
        <v>329</v>
      </c>
      <c r="W27">
        <v>329</v>
      </c>
      <c r="X27">
        <v>329</v>
      </c>
      <c r="Y27">
        <v>346.15</v>
      </c>
      <c r="Z27">
        <v>340.52</v>
      </c>
      <c r="AA27">
        <v>340.52</v>
      </c>
      <c r="AB27">
        <v>340.52</v>
      </c>
      <c r="AC27">
        <v>340.52</v>
      </c>
      <c r="AD27">
        <v>340.52</v>
      </c>
      <c r="AE27">
        <v>340.52</v>
      </c>
      <c r="AF27">
        <v>340.52</v>
      </c>
      <c r="AG27">
        <v>340.52</v>
      </c>
      <c r="AH27">
        <v>340.52</v>
      </c>
      <c r="AI27">
        <v>340.52</v>
      </c>
      <c r="AJ27">
        <v>352.44</v>
      </c>
      <c r="AK27">
        <v>352.44</v>
      </c>
      <c r="AL27">
        <v>352.44</v>
      </c>
      <c r="AM27">
        <v>352.44</v>
      </c>
    </row>
    <row r="28" spans="2:39" x14ac:dyDescent="0.25">
      <c r="B28">
        <v>25</v>
      </c>
      <c r="C28">
        <v>161.1</v>
      </c>
      <c r="D28">
        <v>161.1</v>
      </c>
      <c r="E28">
        <v>161.1</v>
      </c>
      <c r="F28">
        <v>161.1</v>
      </c>
      <c r="G28">
        <v>161.1</v>
      </c>
      <c r="H28">
        <v>161.1</v>
      </c>
      <c r="I28">
        <v>161.1</v>
      </c>
      <c r="J28">
        <v>161.1</v>
      </c>
      <c r="K28">
        <v>161.1</v>
      </c>
      <c r="L28">
        <v>161.07</v>
      </c>
      <c r="M28">
        <v>161.07</v>
      </c>
      <c r="N28">
        <v>161.07</v>
      </c>
      <c r="O28">
        <v>161.07</v>
      </c>
      <c r="P28">
        <v>161.07</v>
      </c>
      <c r="Q28">
        <v>169.55</v>
      </c>
      <c r="R28">
        <v>169.55</v>
      </c>
      <c r="S28">
        <v>169.55</v>
      </c>
      <c r="T28">
        <v>169.55</v>
      </c>
      <c r="U28">
        <v>169.55</v>
      </c>
      <c r="V28">
        <v>169.55</v>
      </c>
      <c r="W28">
        <v>169.55</v>
      </c>
      <c r="X28">
        <v>169.55</v>
      </c>
      <c r="Y28">
        <v>180.05</v>
      </c>
      <c r="Z28">
        <v>175.48</v>
      </c>
      <c r="AA28">
        <v>175.48</v>
      </c>
      <c r="AB28">
        <v>175.48</v>
      </c>
      <c r="AC28">
        <v>175.48</v>
      </c>
      <c r="AD28">
        <v>175.48</v>
      </c>
      <c r="AE28">
        <v>175.48</v>
      </c>
      <c r="AF28">
        <v>175.48</v>
      </c>
      <c r="AG28">
        <v>175.48</v>
      </c>
      <c r="AH28">
        <v>175.48</v>
      </c>
      <c r="AI28">
        <v>175.48</v>
      </c>
      <c r="AJ28">
        <v>181.62</v>
      </c>
      <c r="AK28">
        <v>181.62</v>
      </c>
      <c r="AL28">
        <v>181.62</v>
      </c>
      <c r="AM28">
        <v>181.62</v>
      </c>
    </row>
    <row r="29" spans="2:39" x14ac:dyDescent="0.25">
      <c r="B29">
        <v>26</v>
      </c>
      <c r="C29">
        <v>0</v>
      </c>
      <c r="D29">
        <v>0</v>
      </c>
      <c r="E29">
        <v>0</v>
      </c>
      <c r="F29">
        <v>170.05</v>
      </c>
      <c r="G29">
        <v>170.05</v>
      </c>
      <c r="H29">
        <v>170.05</v>
      </c>
      <c r="I29">
        <v>170.05</v>
      </c>
      <c r="J29">
        <v>170.05</v>
      </c>
      <c r="K29">
        <v>170.05</v>
      </c>
      <c r="L29">
        <v>170.05</v>
      </c>
      <c r="M29">
        <v>179</v>
      </c>
      <c r="N29">
        <v>179</v>
      </c>
      <c r="O29">
        <v>179</v>
      </c>
      <c r="P29">
        <v>179</v>
      </c>
      <c r="Q29">
        <v>179</v>
      </c>
      <c r="R29">
        <v>179</v>
      </c>
      <c r="S29">
        <v>179</v>
      </c>
      <c r="T29">
        <v>179</v>
      </c>
      <c r="U29">
        <v>179</v>
      </c>
      <c r="V29">
        <v>179</v>
      </c>
      <c r="W29">
        <v>179</v>
      </c>
      <c r="X29">
        <v>179</v>
      </c>
      <c r="Y29">
        <v>189.5</v>
      </c>
      <c r="Z29">
        <v>185.27</v>
      </c>
      <c r="AA29">
        <v>185.27</v>
      </c>
      <c r="AB29">
        <v>185.27</v>
      </c>
      <c r="AC29">
        <v>185.27</v>
      </c>
      <c r="AD29">
        <v>185.27</v>
      </c>
      <c r="AE29">
        <v>185.27</v>
      </c>
      <c r="AF29">
        <v>185.27</v>
      </c>
      <c r="AG29">
        <v>185.27</v>
      </c>
      <c r="AH29">
        <v>185.27</v>
      </c>
      <c r="AI29">
        <v>185.27</v>
      </c>
      <c r="AJ29">
        <v>191.75</v>
      </c>
      <c r="AK29">
        <v>191.75</v>
      </c>
      <c r="AL29">
        <v>191.75</v>
      </c>
      <c r="AM29">
        <v>191.75</v>
      </c>
    </row>
    <row r="30" spans="2:39" x14ac:dyDescent="0.25">
      <c r="B30">
        <v>27</v>
      </c>
      <c r="C30">
        <v>0</v>
      </c>
      <c r="D30">
        <v>0</v>
      </c>
      <c r="E30">
        <v>0</v>
      </c>
      <c r="F30">
        <v>245.65</v>
      </c>
      <c r="G30">
        <v>245.65</v>
      </c>
      <c r="H30">
        <v>245.65</v>
      </c>
      <c r="I30">
        <v>245.65</v>
      </c>
      <c r="J30">
        <v>245.65</v>
      </c>
      <c r="K30">
        <v>245.65</v>
      </c>
      <c r="L30">
        <v>245.65</v>
      </c>
      <c r="M30">
        <v>245.65</v>
      </c>
      <c r="N30">
        <v>245.65</v>
      </c>
      <c r="O30">
        <v>245.65</v>
      </c>
      <c r="P30">
        <v>245.65</v>
      </c>
      <c r="Q30">
        <v>245.65</v>
      </c>
      <c r="R30">
        <v>245.65</v>
      </c>
      <c r="S30">
        <v>245.65</v>
      </c>
      <c r="T30">
        <v>245.65</v>
      </c>
      <c r="U30">
        <v>245.65</v>
      </c>
      <c r="V30">
        <v>245.65</v>
      </c>
      <c r="W30">
        <v>245.65</v>
      </c>
      <c r="X30">
        <v>245.65</v>
      </c>
      <c r="Y30">
        <v>257.29000000000002</v>
      </c>
      <c r="Z30">
        <v>254.25</v>
      </c>
      <c r="AA30">
        <v>254.25</v>
      </c>
      <c r="AB30">
        <v>254.25</v>
      </c>
      <c r="AC30">
        <v>254.25</v>
      </c>
      <c r="AD30">
        <v>254.25</v>
      </c>
      <c r="AE30">
        <v>254.25</v>
      </c>
      <c r="AF30">
        <v>254.25</v>
      </c>
      <c r="AG30">
        <v>254.25</v>
      </c>
      <c r="AH30">
        <v>254.25</v>
      </c>
      <c r="AI30">
        <v>254.25</v>
      </c>
      <c r="AJ30">
        <v>254.25</v>
      </c>
      <c r="AK30">
        <v>254.25</v>
      </c>
      <c r="AL30">
        <v>254.25</v>
      </c>
      <c r="AM30">
        <v>254.25</v>
      </c>
    </row>
    <row r="31" spans="2:39" x14ac:dyDescent="0.25">
      <c r="B31">
        <v>28</v>
      </c>
      <c r="C31">
        <v>0</v>
      </c>
      <c r="D31">
        <v>0</v>
      </c>
      <c r="E31">
        <v>0</v>
      </c>
      <c r="F31">
        <v>53.54</v>
      </c>
      <c r="G31">
        <v>54.32</v>
      </c>
      <c r="H31">
        <v>51.46</v>
      </c>
      <c r="I31">
        <v>51.96</v>
      </c>
      <c r="J31">
        <v>49</v>
      </c>
      <c r="K31">
        <v>49</v>
      </c>
      <c r="L31">
        <v>49</v>
      </c>
      <c r="M31">
        <v>49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2:39" x14ac:dyDescent="0.25">
      <c r="B32">
        <v>29</v>
      </c>
      <c r="C32">
        <v>0</v>
      </c>
      <c r="D32">
        <v>0</v>
      </c>
      <c r="E32">
        <v>0</v>
      </c>
      <c r="F32">
        <v>87.99</v>
      </c>
      <c r="G32">
        <v>87.99</v>
      </c>
      <c r="H32">
        <v>87.99</v>
      </c>
      <c r="I32">
        <v>87.99</v>
      </c>
      <c r="J32">
        <v>87.99</v>
      </c>
      <c r="K32">
        <v>87.99</v>
      </c>
      <c r="L32">
        <v>87.99</v>
      </c>
      <c r="M32">
        <v>87.99</v>
      </c>
      <c r="N32">
        <v>87.99</v>
      </c>
      <c r="O32">
        <v>87.99</v>
      </c>
      <c r="P32">
        <v>87.99</v>
      </c>
      <c r="Q32">
        <v>87.99</v>
      </c>
      <c r="R32">
        <v>87.99</v>
      </c>
      <c r="S32">
        <v>87.99</v>
      </c>
      <c r="T32">
        <v>87.99</v>
      </c>
      <c r="U32">
        <v>87.99</v>
      </c>
      <c r="V32">
        <v>87.99</v>
      </c>
      <c r="W32">
        <v>87.99</v>
      </c>
      <c r="X32">
        <v>87.99</v>
      </c>
      <c r="Y32">
        <v>87.99</v>
      </c>
      <c r="Z32">
        <v>87.99</v>
      </c>
      <c r="AA32">
        <v>87.99</v>
      </c>
      <c r="AB32">
        <v>87.99</v>
      </c>
      <c r="AC32">
        <v>87.99</v>
      </c>
      <c r="AD32">
        <v>87.99</v>
      </c>
      <c r="AE32">
        <v>87.99</v>
      </c>
      <c r="AF32">
        <v>87.99</v>
      </c>
      <c r="AG32">
        <v>87.99</v>
      </c>
      <c r="AH32">
        <v>87.99</v>
      </c>
      <c r="AI32">
        <v>87.99</v>
      </c>
      <c r="AJ32">
        <v>87.99</v>
      </c>
      <c r="AK32">
        <v>87.99</v>
      </c>
      <c r="AL32">
        <v>87.99</v>
      </c>
      <c r="AM32">
        <v>87.99</v>
      </c>
    </row>
    <row r="33" spans="2:39" x14ac:dyDescent="0.25">
      <c r="B33">
        <v>30</v>
      </c>
      <c r="C33">
        <v>0</v>
      </c>
      <c r="D33">
        <v>0</v>
      </c>
      <c r="E33">
        <v>0</v>
      </c>
      <c r="F33">
        <v>98.25</v>
      </c>
      <c r="G33">
        <v>107.25</v>
      </c>
      <c r="H33">
        <v>97.609999999999985</v>
      </c>
      <c r="I33">
        <v>128.61000000000001</v>
      </c>
      <c r="J33">
        <v>87.99</v>
      </c>
      <c r="K33">
        <v>87.99</v>
      </c>
      <c r="L33">
        <v>87.99</v>
      </c>
      <c r="M33">
        <v>87.99</v>
      </c>
      <c r="N33">
        <v>87.99</v>
      </c>
      <c r="O33">
        <v>87.99</v>
      </c>
      <c r="P33">
        <v>87.99</v>
      </c>
      <c r="Q33">
        <v>87.99</v>
      </c>
      <c r="R33">
        <v>87.99</v>
      </c>
      <c r="S33">
        <v>87.99</v>
      </c>
      <c r="T33">
        <v>87.99</v>
      </c>
      <c r="U33">
        <v>87.99</v>
      </c>
      <c r="V33">
        <v>87.99</v>
      </c>
      <c r="W33">
        <v>87.99</v>
      </c>
      <c r="X33">
        <v>87.99</v>
      </c>
      <c r="Y33">
        <v>87.99</v>
      </c>
      <c r="Z33">
        <v>87.99</v>
      </c>
      <c r="AA33">
        <v>87.99</v>
      </c>
      <c r="AB33">
        <v>87.99</v>
      </c>
      <c r="AC33">
        <v>87.99</v>
      </c>
      <c r="AD33">
        <v>87.99</v>
      </c>
      <c r="AE33">
        <v>87.99</v>
      </c>
      <c r="AF33">
        <v>87.99</v>
      </c>
      <c r="AG33">
        <v>87.99</v>
      </c>
      <c r="AH33">
        <v>87.99</v>
      </c>
      <c r="AI33">
        <v>87.99</v>
      </c>
      <c r="AJ33">
        <v>87.99</v>
      </c>
      <c r="AK33">
        <v>87.99</v>
      </c>
      <c r="AL33">
        <v>87.99</v>
      </c>
      <c r="AM33">
        <v>87.99</v>
      </c>
    </row>
    <row r="34" spans="2:39" x14ac:dyDescent="0.25">
      <c r="B34">
        <v>31</v>
      </c>
      <c r="C34">
        <v>0</v>
      </c>
      <c r="D34">
        <v>0</v>
      </c>
      <c r="E34">
        <v>0</v>
      </c>
      <c r="F34">
        <v>350.2</v>
      </c>
      <c r="G34">
        <v>350.2</v>
      </c>
      <c r="H34">
        <v>350.2</v>
      </c>
      <c r="I34">
        <v>350.2</v>
      </c>
      <c r="J34">
        <v>350.2</v>
      </c>
      <c r="K34">
        <v>350.2</v>
      </c>
      <c r="L34">
        <v>350.2</v>
      </c>
      <c r="M34">
        <v>350.2</v>
      </c>
      <c r="N34">
        <v>350.2</v>
      </c>
      <c r="O34">
        <v>350.2</v>
      </c>
      <c r="P34">
        <v>350.2</v>
      </c>
      <c r="Q34">
        <v>350.2</v>
      </c>
      <c r="R34">
        <v>350.2</v>
      </c>
      <c r="S34">
        <v>350.2</v>
      </c>
      <c r="T34">
        <v>350.2</v>
      </c>
      <c r="U34">
        <v>350.2</v>
      </c>
      <c r="V34">
        <v>350.2</v>
      </c>
      <c r="W34">
        <v>350.2</v>
      </c>
      <c r="X34">
        <v>350.2</v>
      </c>
      <c r="Y34">
        <v>350.2</v>
      </c>
      <c r="Z34">
        <v>361.79</v>
      </c>
      <c r="AA34">
        <v>361.79</v>
      </c>
      <c r="AB34">
        <v>361.79</v>
      </c>
      <c r="AC34">
        <v>361.79</v>
      </c>
      <c r="AD34">
        <v>361.79</v>
      </c>
      <c r="AE34">
        <v>361.79</v>
      </c>
      <c r="AF34">
        <v>361.79</v>
      </c>
      <c r="AG34">
        <v>361.79</v>
      </c>
      <c r="AH34">
        <v>361.79</v>
      </c>
      <c r="AI34">
        <v>361.79</v>
      </c>
      <c r="AJ34">
        <v>361.79</v>
      </c>
      <c r="AK34">
        <v>361.79</v>
      </c>
      <c r="AL34">
        <v>361.79</v>
      </c>
      <c r="AM34">
        <v>361.79</v>
      </c>
    </row>
    <row r="35" spans="2:39" x14ac:dyDescent="0.25">
      <c r="B35">
        <v>32</v>
      </c>
      <c r="C35">
        <v>0</v>
      </c>
      <c r="D35">
        <v>0</v>
      </c>
      <c r="E35">
        <v>0</v>
      </c>
      <c r="F35">
        <v>296.64999999999998</v>
      </c>
      <c r="G35">
        <v>296.64999999999998</v>
      </c>
      <c r="H35">
        <v>296.64999999999998</v>
      </c>
      <c r="I35">
        <v>296.64999999999998</v>
      </c>
      <c r="J35">
        <v>296.64999999999998</v>
      </c>
      <c r="K35">
        <v>296.64999999999998</v>
      </c>
      <c r="L35">
        <v>296.64999999999998</v>
      </c>
      <c r="M35">
        <v>296.64999999999998</v>
      </c>
      <c r="N35">
        <v>296.64999999999998</v>
      </c>
      <c r="O35">
        <v>296.64999999999998</v>
      </c>
      <c r="P35">
        <v>296.64999999999998</v>
      </c>
      <c r="Q35">
        <v>296.64999999999998</v>
      </c>
      <c r="R35">
        <v>296.64999999999998</v>
      </c>
      <c r="S35">
        <v>296.64999999999998</v>
      </c>
      <c r="T35">
        <v>296.64999999999998</v>
      </c>
      <c r="U35">
        <v>296.64999999999998</v>
      </c>
      <c r="V35">
        <v>296.64999999999998</v>
      </c>
      <c r="W35">
        <v>296.64999999999998</v>
      </c>
      <c r="X35">
        <v>296.64999999999998</v>
      </c>
      <c r="Y35">
        <v>296.64999999999998</v>
      </c>
      <c r="Z35">
        <v>307.04000000000002</v>
      </c>
      <c r="AA35">
        <v>307.04000000000002</v>
      </c>
      <c r="AB35">
        <v>307.04000000000002</v>
      </c>
      <c r="AC35">
        <v>307.04000000000002</v>
      </c>
      <c r="AD35">
        <v>307.04000000000002</v>
      </c>
      <c r="AE35">
        <v>307.04000000000002</v>
      </c>
      <c r="AF35">
        <v>307.04000000000002</v>
      </c>
      <c r="AG35">
        <v>307.04000000000002</v>
      </c>
      <c r="AH35">
        <v>307.04000000000002</v>
      </c>
      <c r="AI35">
        <v>307.04000000000002</v>
      </c>
      <c r="AJ35">
        <v>307.04000000000002</v>
      </c>
      <c r="AK35">
        <v>307.04000000000002</v>
      </c>
      <c r="AL35">
        <v>307.04000000000002</v>
      </c>
      <c r="AM35">
        <v>307.04000000000002</v>
      </c>
    </row>
    <row r="36" spans="2:39" x14ac:dyDescent="0.25">
      <c r="B36">
        <v>33</v>
      </c>
      <c r="C36">
        <v>99.33</v>
      </c>
      <c r="D36">
        <v>99.33</v>
      </c>
      <c r="E36">
        <v>99</v>
      </c>
      <c r="F36">
        <v>99.460000000000008</v>
      </c>
      <c r="G36">
        <v>99.15</v>
      </c>
      <c r="H36">
        <v>100.8</v>
      </c>
      <c r="I36">
        <v>99.74</v>
      </c>
      <c r="J36">
        <v>99</v>
      </c>
      <c r="K36">
        <v>99</v>
      </c>
      <c r="L36">
        <v>99</v>
      </c>
      <c r="M36">
        <v>99</v>
      </c>
      <c r="N36">
        <v>99</v>
      </c>
      <c r="O36">
        <v>99</v>
      </c>
      <c r="P36">
        <v>99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99</v>
      </c>
      <c r="W36">
        <v>99</v>
      </c>
      <c r="X36">
        <v>99</v>
      </c>
      <c r="Y36">
        <v>99</v>
      </c>
      <c r="Z36">
        <v>99</v>
      </c>
      <c r="AA36">
        <v>99</v>
      </c>
      <c r="AB36">
        <v>28.71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2:39" x14ac:dyDescent="0.25">
      <c r="B37">
        <v>34</v>
      </c>
      <c r="C37">
        <v>239</v>
      </c>
      <c r="D37">
        <v>239</v>
      </c>
      <c r="E37">
        <v>239</v>
      </c>
      <c r="F37">
        <v>239</v>
      </c>
      <c r="G37">
        <v>239</v>
      </c>
      <c r="H37">
        <v>239</v>
      </c>
      <c r="I37">
        <v>239</v>
      </c>
      <c r="J37">
        <v>239</v>
      </c>
      <c r="K37">
        <v>239</v>
      </c>
      <c r="L37">
        <v>239</v>
      </c>
      <c r="M37">
        <v>239</v>
      </c>
      <c r="N37">
        <v>239</v>
      </c>
      <c r="O37">
        <v>239</v>
      </c>
      <c r="P37">
        <v>239</v>
      </c>
      <c r="Q37">
        <v>239</v>
      </c>
      <c r="R37">
        <v>239</v>
      </c>
      <c r="S37">
        <v>239</v>
      </c>
      <c r="T37">
        <v>239</v>
      </c>
      <c r="U37">
        <v>239</v>
      </c>
      <c r="V37">
        <v>239</v>
      </c>
      <c r="W37">
        <v>239</v>
      </c>
      <c r="X37">
        <v>239</v>
      </c>
      <c r="Y37">
        <v>239</v>
      </c>
      <c r="Z37">
        <v>247.37</v>
      </c>
      <c r="AA37">
        <v>247.37</v>
      </c>
      <c r="AB37">
        <v>247.37</v>
      </c>
      <c r="AC37">
        <v>247.37</v>
      </c>
      <c r="AD37">
        <v>247.37</v>
      </c>
      <c r="AE37">
        <v>247.37</v>
      </c>
      <c r="AF37">
        <v>247.37</v>
      </c>
      <c r="AG37">
        <v>247.37</v>
      </c>
      <c r="AH37">
        <v>247.37</v>
      </c>
      <c r="AI37">
        <v>247.37</v>
      </c>
      <c r="AJ37">
        <v>247.37</v>
      </c>
      <c r="AK37">
        <v>247.37</v>
      </c>
      <c r="AL37">
        <v>247.37</v>
      </c>
      <c r="AM37">
        <v>247.37</v>
      </c>
    </row>
    <row r="38" spans="2:39" x14ac:dyDescent="0.25">
      <c r="B38">
        <v>35</v>
      </c>
      <c r="C38">
        <v>269</v>
      </c>
      <c r="D38">
        <v>269</v>
      </c>
      <c r="E38">
        <v>269</v>
      </c>
      <c r="F38">
        <v>269</v>
      </c>
      <c r="G38">
        <v>269</v>
      </c>
      <c r="H38">
        <v>269</v>
      </c>
      <c r="I38">
        <v>269</v>
      </c>
      <c r="J38">
        <v>261.73</v>
      </c>
      <c r="K38">
        <v>261.73</v>
      </c>
      <c r="L38">
        <v>269.10000000000002</v>
      </c>
      <c r="M38">
        <v>269.10000000000002</v>
      </c>
      <c r="N38">
        <v>269.10000000000002</v>
      </c>
      <c r="O38">
        <v>269.10000000000002</v>
      </c>
      <c r="P38">
        <v>269.10000000000002</v>
      </c>
      <c r="Q38">
        <v>269.10000000000002</v>
      </c>
      <c r="R38">
        <v>269.10000000000002</v>
      </c>
      <c r="S38">
        <v>269.10000000000002</v>
      </c>
      <c r="T38">
        <v>269.10000000000002</v>
      </c>
      <c r="U38">
        <v>269.10000000000002</v>
      </c>
      <c r="V38">
        <v>254.15</v>
      </c>
      <c r="W38">
        <v>254.15</v>
      </c>
      <c r="X38">
        <v>254.15</v>
      </c>
      <c r="Y38">
        <v>254.15</v>
      </c>
      <c r="Z38">
        <v>254.15</v>
      </c>
      <c r="AA38">
        <v>263.05</v>
      </c>
      <c r="AB38">
        <v>287.81</v>
      </c>
      <c r="AC38">
        <v>287.81</v>
      </c>
      <c r="AD38">
        <v>296.67</v>
      </c>
      <c r="AE38">
        <v>287.10000000000002</v>
      </c>
      <c r="AF38">
        <v>287.10000000000002</v>
      </c>
      <c r="AG38">
        <v>287.10000000000002</v>
      </c>
      <c r="AH38">
        <v>287.10000000000002</v>
      </c>
      <c r="AI38">
        <v>287.10000000000002</v>
      </c>
      <c r="AJ38">
        <v>287.10000000000002</v>
      </c>
      <c r="AK38">
        <v>287.10000000000002</v>
      </c>
      <c r="AL38">
        <v>287.10000000000002</v>
      </c>
      <c r="AM38">
        <v>287.10000000000002</v>
      </c>
    </row>
    <row r="39" spans="2:39" x14ac:dyDescent="0.25">
      <c r="B39">
        <v>36</v>
      </c>
      <c r="C39">
        <v>219</v>
      </c>
      <c r="D39">
        <v>219</v>
      </c>
      <c r="E39">
        <v>219</v>
      </c>
      <c r="F39">
        <v>219</v>
      </c>
      <c r="G39">
        <v>219</v>
      </c>
      <c r="H39">
        <v>219</v>
      </c>
      <c r="I39">
        <v>219</v>
      </c>
      <c r="J39">
        <v>219</v>
      </c>
      <c r="K39">
        <v>219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2:39" x14ac:dyDescent="0.25">
      <c r="B40">
        <v>37</v>
      </c>
      <c r="C40">
        <v>245.65</v>
      </c>
      <c r="D40">
        <v>245.65</v>
      </c>
      <c r="E40">
        <v>245.65</v>
      </c>
      <c r="F40">
        <v>245.65</v>
      </c>
      <c r="G40">
        <v>245.65</v>
      </c>
      <c r="H40">
        <v>245.65</v>
      </c>
      <c r="I40">
        <v>245.65</v>
      </c>
      <c r="J40">
        <v>245.65</v>
      </c>
      <c r="K40">
        <v>245.65</v>
      </c>
      <c r="L40">
        <v>245.65</v>
      </c>
      <c r="M40">
        <v>245.65</v>
      </c>
      <c r="N40">
        <v>245.65</v>
      </c>
      <c r="O40">
        <v>245.65</v>
      </c>
      <c r="P40">
        <v>245.65</v>
      </c>
      <c r="Q40">
        <v>245.65</v>
      </c>
      <c r="R40">
        <v>245.65</v>
      </c>
      <c r="S40">
        <v>245.65</v>
      </c>
      <c r="T40">
        <v>245.65</v>
      </c>
      <c r="U40">
        <v>245.65</v>
      </c>
      <c r="V40">
        <v>245.65</v>
      </c>
      <c r="W40">
        <v>245.65</v>
      </c>
      <c r="X40">
        <v>245.65</v>
      </c>
      <c r="Y40">
        <v>245.65</v>
      </c>
      <c r="Z40">
        <v>245.65</v>
      </c>
      <c r="AA40">
        <v>254.25</v>
      </c>
      <c r="AB40">
        <v>254.25</v>
      </c>
      <c r="AC40">
        <v>254.25</v>
      </c>
      <c r="AD40">
        <v>106.25</v>
      </c>
      <c r="AE40">
        <v>106.25</v>
      </c>
      <c r="AF40">
        <v>106.25</v>
      </c>
      <c r="AG40">
        <v>106.25</v>
      </c>
      <c r="AH40">
        <v>106.25</v>
      </c>
      <c r="AI40">
        <v>106.25</v>
      </c>
      <c r="AJ40">
        <v>106.25</v>
      </c>
      <c r="AK40">
        <v>106.25</v>
      </c>
      <c r="AL40">
        <v>106.25</v>
      </c>
      <c r="AM40">
        <v>106.25</v>
      </c>
    </row>
    <row r="41" spans="2:39" x14ac:dyDescent="0.25">
      <c r="B41">
        <v>38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219</v>
      </c>
      <c r="W41">
        <v>219</v>
      </c>
      <c r="X41">
        <v>219</v>
      </c>
      <c r="Y41">
        <v>219</v>
      </c>
      <c r="Z41">
        <v>219</v>
      </c>
      <c r="AA41">
        <v>219</v>
      </c>
      <c r="AB41">
        <v>219</v>
      </c>
      <c r="AC41">
        <v>219</v>
      </c>
      <c r="AD41">
        <v>226.67</v>
      </c>
      <c r="AE41">
        <v>226.67</v>
      </c>
      <c r="AF41">
        <v>226.67</v>
      </c>
      <c r="AG41">
        <v>226.67</v>
      </c>
      <c r="AH41">
        <v>226.67</v>
      </c>
      <c r="AI41">
        <v>226.67</v>
      </c>
      <c r="AJ41">
        <v>226.67</v>
      </c>
      <c r="AK41">
        <v>226.67</v>
      </c>
      <c r="AL41">
        <v>226.67</v>
      </c>
      <c r="AM41">
        <v>226.67</v>
      </c>
    </row>
    <row r="42" spans="2:39" x14ac:dyDescent="0.25">
      <c r="B42">
        <v>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296.10000000000002</v>
      </c>
      <c r="W42">
        <v>296.10000000000002</v>
      </c>
      <c r="X42">
        <v>296.10000000000002</v>
      </c>
      <c r="Y42">
        <v>296.10000000000002</v>
      </c>
      <c r="Z42">
        <v>296.10000000000002</v>
      </c>
      <c r="AA42">
        <v>296.10000000000002</v>
      </c>
      <c r="AB42">
        <v>296.10000000000002</v>
      </c>
      <c r="AC42">
        <v>296.10000000000002</v>
      </c>
      <c r="AD42">
        <v>306.45999999999998</v>
      </c>
      <c r="AE42">
        <v>306.45999999999998</v>
      </c>
      <c r="AF42">
        <v>306.45999999999998</v>
      </c>
      <c r="AG42">
        <v>306.45999999999998</v>
      </c>
      <c r="AH42">
        <v>306.45999999999998</v>
      </c>
      <c r="AI42">
        <v>306.45999999999998</v>
      </c>
      <c r="AJ42">
        <v>306.45999999999998</v>
      </c>
      <c r="AK42">
        <v>306.45999999999998</v>
      </c>
      <c r="AL42">
        <v>306.45999999999998</v>
      </c>
      <c r="AM42">
        <v>306.45999999999998</v>
      </c>
    </row>
    <row r="43" spans="2:39" x14ac:dyDescent="0.25">
      <c r="B43">
        <v>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239</v>
      </c>
      <c r="W43">
        <v>239</v>
      </c>
      <c r="X43">
        <v>239</v>
      </c>
      <c r="Y43">
        <v>239</v>
      </c>
      <c r="Z43">
        <v>239</v>
      </c>
      <c r="AA43">
        <v>239</v>
      </c>
      <c r="AB43">
        <v>239</v>
      </c>
      <c r="AC43">
        <v>239</v>
      </c>
      <c r="AD43">
        <v>247.37</v>
      </c>
      <c r="AE43">
        <v>247.37</v>
      </c>
      <c r="AF43">
        <v>247.37</v>
      </c>
      <c r="AG43">
        <v>247.37</v>
      </c>
      <c r="AH43">
        <v>247.37</v>
      </c>
      <c r="AI43">
        <v>247.37</v>
      </c>
      <c r="AJ43">
        <v>247.37</v>
      </c>
      <c r="AK43">
        <v>247.37</v>
      </c>
      <c r="AL43">
        <v>247.37</v>
      </c>
      <c r="AM43">
        <v>247.37</v>
      </c>
    </row>
    <row r="44" spans="2:39" x14ac:dyDescent="0.25">
      <c r="B44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229</v>
      </c>
      <c r="W44">
        <v>229</v>
      </c>
      <c r="X44">
        <v>229</v>
      </c>
      <c r="Y44">
        <v>229</v>
      </c>
      <c r="Z44">
        <v>229</v>
      </c>
      <c r="AA44">
        <v>229</v>
      </c>
      <c r="AB44">
        <v>229</v>
      </c>
      <c r="AC44">
        <v>229</v>
      </c>
      <c r="AD44">
        <v>237.02</v>
      </c>
      <c r="AE44">
        <v>237.02</v>
      </c>
      <c r="AF44">
        <v>237.02</v>
      </c>
      <c r="AG44">
        <v>237.02</v>
      </c>
      <c r="AH44">
        <v>237.02</v>
      </c>
      <c r="AI44">
        <v>237.02</v>
      </c>
      <c r="AJ44">
        <v>237.02</v>
      </c>
      <c r="AK44">
        <v>237.02</v>
      </c>
      <c r="AL44">
        <v>237.02</v>
      </c>
      <c r="AM44">
        <v>237.02</v>
      </c>
    </row>
    <row r="45" spans="2:39" x14ac:dyDescent="0.25">
      <c r="B45">
        <v>42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69</v>
      </c>
      <c r="W45">
        <v>69</v>
      </c>
      <c r="X45">
        <v>69</v>
      </c>
      <c r="Y45">
        <v>69</v>
      </c>
      <c r="Z45">
        <v>69</v>
      </c>
      <c r="AA45">
        <v>69</v>
      </c>
      <c r="AB45">
        <v>69</v>
      </c>
      <c r="AC45">
        <v>69</v>
      </c>
      <c r="AD45">
        <v>69</v>
      </c>
      <c r="AE45">
        <v>69</v>
      </c>
      <c r="AF45">
        <v>69</v>
      </c>
      <c r="AG45">
        <v>69</v>
      </c>
      <c r="AH45">
        <v>69</v>
      </c>
      <c r="AI45">
        <v>69</v>
      </c>
      <c r="AJ45">
        <v>69</v>
      </c>
      <c r="AK45">
        <v>69</v>
      </c>
      <c r="AL45">
        <v>69</v>
      </c>
      <c r="AM45">
        <v>69</v>
      </c>
    </row>
    <row r="46" spans="2:39" x14ac:dyDescent="0.25">
      <c r="B46">
        <v>43</v>
      </c>
      <c r="C46">
        <v>69</v>
      </c>
      <c r="D46">
        <v>69</v>
      </c>
      <c r="E46">
        <v>69</v>
      </c>
      <c r="F46">
        <v>69</v>
      </c>
      <c r="G46">
        <v>69</v>
      </c>
      <c r="H46">
        <v>69</v>
      </c>
      <c r="I46">
        <v>69</v>
      </c>
      <c r="J46">
        <v>69</v>
      </c>
      <c r="K46">
        <v>69</v>
      </c>
      <c r="L46">
        <v>69</v>
      </c>
      <c r="M46">
        <v>69</v>
      </c>
      <c r="N46">
        <v>69</v>
      </c>
      <c r="O46">
        <v>69</v>
      </c>
      <c r="P46">
        <v>69</v>
      </c>
      <c r="Q46">
        <v>69</v>
      </c>
      <c r="R46">
        <v>69</v>
      </c>
      <c r="S46">
        <v>69</v>
      </c>
      <c r="T46">
        <v>69</v>
      </c>
      <c r="U46">
        <v>69</v>
      </c>
      <c r="V46">
        <v>69</v>
      </c>
      <c r="W46">
        <v>69</v>
      </c>
      <c r="X46">
        <v>69</v>
      </c>
      <c r="Y46">
        <v>69</v>
      </c>
      <c r="Z46">
        <v>69</v>
      </c>
      <c r="AA46">
        <v>69</v>
      </c>
      <c r="AB46">
        <v>69</v>
      </c>
      <c r="AC46">
        <v>69</v>
      </c>
      <c r="AD46">
        <v>69</v>
      </c>
      <c r="AE46">
        <v>69</v>
      </c>
      <c r="AF46">
        <v>69</v>
      </c>
      <c r="AG46">
        <v>69</v>
      </c>
      <c r="AH46">
        <v>69</v>
      </c>
      <c r="AI46">
        <v>69</v>
      </c>
      <c r="AJ46">
        <v>69</v>
      </c>
      <c r="AK46">
        <v>69</v>
      </c>
      <c r="AL46">
        <v>69</v>
      </c>
      <c r="AM46">
        <v>69</v>
      </c>
    </row>
    <row r="47" spans="2:39" x14ac:dyDescent="0.25">
      <c r="B47">
        <v>44</v>
      </c>
      <c r="C47">
        <v>69</v>
      </c>
      <c r="D47">
        <v>69</v>
      </c>
      <c r="E47">
        <v>69</v>
      </c>
      <c r="F47">
        <v>69</v>
      </c>
      <c r="G47">
        <v>69</v>
      </c>
      <c r="H47">
        <v>69</v>
      </c>
      <c r="I47">
        <v>69</v>
      </c>
      <c r="J47">
        <v>69</v>
      </c>
      <c r="K47">
        <v>69</v>
      </c>
      <c r="L47">
        <v>69</v>
      </c>
      <c r="M47">
        <v>69</v>
      </c>
      <c r="N47">
        <v>69</v>
      </c>
      <c r="O47">
        <v>69</v>
      </c>
      <c r="P47">
        <v>69</v>
      </c>
      <c r="Q47">
        <v>69</v>
      </c>
      <c r="R47">
        <v>69</v>
      </c>
      <c r="S47">
        <v>69</v>
      </c>
      <c r="T47">
        <v>69</v>
      </c>
      <c r="U47">
        <v>69</v>
      </c>
      <c r="V47">
        <v>69</v>
      </c>
      <c r="W47">
        <v>69</v>
      </c>
      <c r="X47">
        <v>69</v>
      </c>
      <c r="Y47">
        <v>69</v>
      </c>
      <c r="Z47">
        <v>69</v>
      </c>
      <c r="AA47">
        <v>69</v>
      </c>
      <c r="AB47">
        <v>69</v>
      </c>
      <c r="AC47">
        <v>69</v>
      </c>
      <c r="AD47">
        <v>69</v>
      </c>
      <c r="AE47">
        <v>69</v>
      </c>
      <c r="AF47">
        <v>69</v>
      </c>
      <c r="AG47">
        <v>69</v>
      </c>
      <c r="AH47">
        <v>69</v>
      </c>
      <c r="AI47">
        <v>69</v>
      </c>
      <c r="AJ47">
        <v>69</v>
      </c>
      <c r="AK47">
        <v>69</v>
      </c>
      <c r="AL47">
        <v>69</v>
      </c>
      <c r="AM47">
        <v>69</v>
      </c>
    </row>
    <row r="48" spans="2:39" x14ac:dyDescent="0.25">
      <c r="B48">
        <v>45</v>
      </c>
      <c r="C48">
        <v>333.1</v>
      </c>
      <c r="D48">
        <v>333.1</v>
      </c>
      <c r="E48">
        <v>333.1</v>
      </c>
      <c r="F48">
        <v>333.1</v>
      </c>
      <c r="G48">
        <v>333.1</v>
      </c>
      <c r="H48">
        <v>333.1</v>
      </c>
      <c r="I48">
        <v>333.1</v>
      </c>
      <c r="J48">
        <v>333.1</v>
      </c>
      <c r="K48">
        <v>333.1</v>
      </c>
      <c r="L48">
        <v>333.1</v>
      </c>
      <c r="M48">
        <v>333.1</v>
      </c>
      <c r="N48">
        <v>333.1</v>
      </c>
      <c r="O48">
        <v>333.1</v>
      </c>
      <c r="P48">
        <v>333.1</v>
      </c>
      <c r="Q48">
        <v>333.1</v>
      </c>
      <c r="R48">
        <v>333.1</v>
      </c>
      <c r="S48">
        <v>333.1</v>
      </c>
      <c r="T48">
        <v>333.1</v>
      </c>
      <c r="U48">
        <v>333.1</v>
      </c>
      <c r="V48">
        <v>333.1</v>
      </c>
      <c r="W48">
        <v>333.1</v>
      </c>
      <c r="X48">
        <v>333.1</v>
      </c>
      <c r="Y48">
        <v>333.1</v>
      </c>
      <c r="Z48">
        <v>333.1</v>
      </c>
      <c r="AA48">
        <v>333.1</v>
      </c>
      <c r="AB48">
        <v>333.1</v>
      </c>
      <c r="AC48">
        <v>333.1</v>
      </c>
      <c r="AD48">
        <v>344.09</v>
      </c>
      <c r="AE48">
        <v>344.09</v>
      </c>
      <c r="AF48">
        <v>344.09</v>
      </c>
      <c r="AG48">
        <v>344.09</v>
      </c>
      <c r="AH48">
        <v>344.09</v>
      </c>
      <c r="AI48">
        <v>344.09</v>
      </c>
      <c r="AJ48">
        <v>344.09</v>
      </c>
      <c r="AK48">
        <v>344.09</v>
      </c>
      <c r="AL48">
        <v>344.09</v>
      </c>
      <c r="AM48">
        <v>344.09</v>
      </c>
    </row>
    <row r="49" spans="2:39" x14ac:dyDescent="0.25">
      <c r="B49">
        <v>46</v>
      </c>
      <c r="C49">
        <v>225.82</v>
      </c>
      <c r="D49">
        <v>225.82</v>
      </c>
      <c r="E49">
        <v>229.9</v>
      </c>
      <c r="F49">
        <v>225.16</v>
      </c>
      <c r="G49">
        <v>233.9</v>
      </c>
      <c r="H49">
        <v>234.32</v>
      </c>
      <c r="I49">
        <v>230.1</v>
      </c>
      <c r="J49">
        <v>219</v>
      </c>
      <c r="K49">
        <v>219</v>
      </c>
      <c r="L49">
        <v>219</v>
      </c>
      <c r="M49">
        <v>219</v>
      </c>
      <c r="N49">
        <v>219</v>
      </c>
      <c r="O49">
        <v>219</v>
      </c>
      <c r="P49">
        <v>219</v>
      </c>
      <c r="Q49">
        <v>219</v>
      </c>
      <c r="R49">
        <v>219</v>
      </c>
      <c r="S49">
        <v>219</v>
      </c>
      <c r="T49">
        <v>219</v>
      </c>
      <c r="U49">
        <v>219</v>
      </c>
      <c r="V49">
        <v>219</v>
      </c>
      <c r="W49">
        <v>219</v>
      </c>
      <c r="X49">
        <v>219</v>
      </c>
      <c r="Y49">
        <v>219</v>
      </c>
      <c r="Z49">
        <v>219</v>
      </c>
      <c r="AA49">
        <v>219</v>
      </c>
      <c r="AB49">
        <v>219</v>
      </c>
      <c r="AC49">
        <v>219</v>
      </c>
      <c r="AD49">
        <v>226.67</v>
      </c>
      <c r="AE49">
        <v>226.67</v>
      </c>
      <c r="AF49">
        <v>226.67</v>
      </c>
      <c r="AG49">
        <v>226.67</v>
      </c>
      <c r="AH49">
        <v>226.67</v>
      </c>
      <c r="AI49">
        <v>226.67</v>
      </c>
      <c r="AJ49">
        <v>226.67</v>
      </c>
      <c r="AK49">
        <v>226.67</v>
      </c>
      <c r="AL49">
        <v>226.67</v>
      </c>
      <c r="AM49">
        <v>226.67</v>
      </c>
    </row>
    <row r="50" spans="2:39" x14ac:dyDescent="0.25">
      <c r="B50">
        <v>47</v>
      </c>
      <c r="C50">
        <v>169</v>
      </c>
      <c r="D50">
        <v>169</v>
      </c>
      <c r="E50">
        <v>169</v>
      </c>
      <c r="F50">
        <v>169</v>
      </c>
      <c r="G50">
        <v>169</v>
      </c>
      <c r="H50">
        <v>169</v>
      </c>
      <c r="I50">
        <v>169</v>
      </c>
      <c r="J50">
        <v>169</v>
      </c>
      <c r="K50">
        <v>169</v>
      </c>
      <c r="L50">
        <v>169</v>
      </c>
      <c r="M50">
        <v>169</v>
      </c>
      <c r="N50">
        <v>169</v>
      </c>
      <c r="O50">
        <v>169</v>
      </c>
      <c r="P50">
        <v>169</v>
      </c>
      <c r="Q50">
        <v>179</v>
      </c>
      <c r="R50">
        <v>179</v>
      </c>
      <c r="S50">
        <v>179</v>
      </c>
      <c r="T50">
        <v>179</v>
      </c>
      <c r="U50">
        <v>179</v>
      </c>
      <c r="V50">
        <v>179</v>
      </c>
      <c r="W50">
        <v>179</v>
      </c>
      <c r="X50">
        <v>179</v>
      </c>
      <c r="Y50">
        <v>179</v>
      </c>
      <c r="Z50">
        <v>179</v>
      </c>
      <c r="AA50">
        <v>179</v>
      </c>
      <c r="AB50">
        <v>179</v>
      </c>
      <c r="AC50">
        <v>179</v>
      </c>
      <c r="AD50">
        <v>185.27</v>
      </c>
      <c r="AE50">
        <v>185.27</v>
      </c>
      <c r="AF50">
        <v>185.27</v>
      </c>
      <c r="AG50">
        <v>185.27</v>
      </c>
      <c r="AH50">
        <v>185.27</v>
      </c>
      <c r="AI50">
        <v>185.27</v>
      </c>
      <c r="AJ50">
        <v>185.27</v>
      </c>
      <c r="AK50">
        <v>185.27</v>
      </c>
      <c r="AL50">
        <v>185.27</v>
      </c>
      <c r="AM50">
        <v>185.27</v>
      </c>
    </row>
    <row r="51" spans="2:39" x14ac:dyDescent="0.25">
      <c r="B51">
        <v>48</v>
      </c>
      <c r="C51">
        <v>199</v>
      </c>
      <c r="D51">
        <v>199</v>
      </c>
      <c r="E51">
        <v>199</v>
      </c>
      <c r="F51">
        <v>199</v>
      </c>
      <c r="G51">
        <v>199</v>
      </c>
      <c r="H51">
        <v>199</v>
      </c>
      <c r="I51">
        <v>199</v>
      </c>
      <c r="J51">
        <v>169.15</v>
      </c>
      <c r="K51">
        <v>169.15</v>
      </c>
      <c r="L51">
        <v>245.65</v>
      </c>
      <c r="M51">
        <v>245.65</v>
      </c>
      <c r="N51">
        <v>289</v>
      </c>
      <c r="O51">
        <v>289</v>
      </c>
      <c r="P51">
        <v>289</v>
      </c>
      <c r="Q51">
        <v>289</v>
      </c>
      <c r="R51">
        <v>289</v>
      </c>
      <c r="S51">
        <v>289</v>
      </c>
      <c r="T51">
        <v>289</v>
      </c>
      <c r="U51">
        <v>289</v>
      </c>
      <c r="V51">
        <v>289</v>
      </c>
      <c r="W51">
        <v>289</v>
      </c>
      <c r="X51">
        <v>289</v>
      </c>
      <c r="Y51">
        <v>289</v>
      </c>
      <c r="Z51">
        <v>289</v>
      </c>
      <c r="AA51">
        <v>289</v>
      </c>
      <c r="AB51">
        <v>289</v>
      </c>
      <c r="AC51">
        <v>289</v>
      </c>
      <c r="AD51">
        <v>299.12</v>
      </c>
      <c r="AE51">
        <v>299.12</v>
      </c>
      <c r="AF51">
        <v>299.12</v>
      </c>
      <c r="AG51">
        <v>299.12</v>
      </c>
      <c r="AH51">
        <v>299.12</v>
      </c>
      <c r="AI51">
        <v>299.12</v>
      </c>
      <c r="AJ51">
        <v>299.12</v>
      </c>
      <c r="AK51">
        <v>299.12</v>
      </c>
      <c r="AL51">
        <v>299.12</v>
      </c>
      <c r="AM51">
        <v>299.12</v>
      </c>
    </row>
    <row r="52" spans="2:39" x14ac:dyDescent="0.25">
      <c r="B52">
        <v>49</v>
      </c>
      <c r="C52">
        <v>299</v>
      </c>
      <c r="D52">
        <v>299</v>
      </c>
      <c r="E52">
        <v>299</v>
      </c>
      <c r="F52">
        <v>299</v>
      </c>
      <c r="G52">
        <v>284.05</v>
      </c>
      <c r="H52">
        <v>284.05</v>
      </c>
      <c r="I52">
        <v>284.05</v>
      </c>
      <c r="J52">
        <v>284.05</v>
      </c>
      <c r="K52">
        <v>284.05</v>
      </c>
      <c r="L52">
        <v>284.05</v>
      </c>
      <c r="M52">
        <v>284.05</v>
      </c>
      <c r="N52">
        <v>284.05</v>
      </c>
      <c r="O52">
        <v>284.05</v>
      </c>
      <c r="P52">
        <v>284.05</v>
      </c>
      <c r="Q52">
        <v>284.05</v>
      </c>
      <c r="R52">
        <v>284.05</v>
      </c>
      <c r="S52">
        <v>284.05</v>
      </c>
      <c r="T52">
        <v>284.05</v>
      </c>
      <c r="U52">
        <v>284.05</v>
      </c>
      <c r="V52">
        <v>284.05</v>
      </c>
      <c r="W52">
        <v>284.05</v>
      </c>
      <c r="X52">
        <v>284.05</v>
      </c>
      <c r="Y52">
        <v>284.05</v>
      </c>
      <c r="Z52">
        <v>284.05</v>
      </c>
      <c r="AA52">
        <v>284.05</v>
      </c>
      <c r="AB52">
        <v>284.05</v>
      </c>
      <c r="AC52">
        <v>284.05</v>
      </c>
      <c r="AD52">
        <v>294</v>
      </c>
      <c r="AE52">
        <v>294</v>
      </c>
      <c r="AF52">
        <v>294</v>
      </c>
      <c r="AG52">
        <v>294</v>
      </c>
      <c r="AH52">
        <v>294</v>
      </c>
      <c r="AI52">
        <v>294</v>
      </c>
      <c r="AJ52">
        <v>294</v>
      </c>
      <c r="AK52">
        <v>294</v>
      </c>
      <c r="AL52">
        <v>294</v>
      </c>
      <c r="AM52">
        <v>294</v>
      </c>
    </row>
    <row r="53" spans="2:39" x14ac:dyDescent="0.25">
      <c r="B53">
        <v>50</v>
      </c>
      <c r="C53">
        <v>279.2</v>
      </c>
      <c r="D53">
        <v>279.2</v>
      </c>
      <c r="E53">
        <v>279.2</v>
      </c>
      <c r="F53">
        <v>279.2</v>
      </c>
      <c r="G53">
        <v>279.2</v>
      </c>
      <c r="H53">
        <v>279.2</v>
      </c>
      <c r="I53">
        <v>279.2</v>
      </c>
      <c r="J53">
        <v>279.2</v>
      </c>
      <c r="K53">
        <v>279.2</v>
      </c>
      <c r="L53">
        <v>279.16000000000003</v>
      </c>
      <c r="M53">
        <v>279.16000000000003</v>
      </c>
      <c r="N53">
        <v>279.16000000000003</v>
      </c>
      <c r="O53">
        <v>279.16000000000003</v>
      </c>
      <c r="P53">
        <v>279.16000000000003</v>
      </c>
      <c r="Q53">
        <v>279.16000000000003</v>
      </c>
      <c r="R53">
        <v>279.16000000000003</v>
      </c>
      <c r="S53">
        <v>279.16000000000003</v>
      </c>
      <c r="T53">
        <v>279.16000000000003</v>
      </c>
      <c r="U53">
        <v>279.16000000000003</v>
      </c>
      <c r="V53">
        <v>279.16000000000003</v>
      </c>
      <c r="W53">
        <v>279.16000000000003</v>
      </c>
      <c r="X53">
        <v>279.16000000000003</v>
      </c>
      <c r="Y53">
        <v>279.16000000000003</v>
      </c>
      <c r="Z53">
        <v>279.16000000000003</v>
      </c>
      <c r="AA53">
        <v>279.16000000000003</v>
      </c>
      <c r="AB53">
        <v>279.16000000000003</v>
      </c>
      <c r="AC53">
        <v>279.16000000000003</v>
      </c>
      <c r="AD53">
        <v>279.16000000000003</v>
      </c>
      <c r="AE53">
        <v>279.16000000000003</v>
      </c>
      <c r="AF53">
        <v>279.16000000000003</v>
      </c>
      <c r="AG53">
        <v>279.16000000000003</v>
      </c>
      <c r="AH53">
        <v>279.16000000000003</v>
      </c>
      <c r="AI53">
        <v>279.16000000000003</v>
      </c>
      <c r="AJ53">
        <v>279.16000000000003</v>
      </c>
      <c r="AK53">
        <v>279.16000000000003</v>
      </c>
      <c r="AL53">
        <v>279.16000000000003</v>
      </c>
      <c r="AM53">
        <v>279.16000000000003</v>
      </c>
    </row>
    <row r="54" spans="2:39" x14ac:dyDescent="0.25">
      <c r="B54">
        <v>51</v>
      </c>
      <c r="C54">
        <v>349</v>
      </c>
      <c r="D54">
        <v>349</v>
      </c>
      <c r="E54">
        <v>349</v>
      </c>
      <c r="F54">
        <v>349</v>
      </c>
      <c r="G54">
        <v>349</v>
      </c>
      <c r="H54">
        <v>349</v>
      </c>
      <c r="I54">
        <v>349</v>
      </c>
      <c r="J54">
        <v>349</v>
      </c>
      <c r="K54">
        <v>349</v>
      </c>
      <c r="L54">
        <v>349</v>
      </c>
      <c r="M54">
        <v>349</v>
      </c>
      <c r="N54">
        <v>349</v>
      </c>
      <c r="O54">
        <v>349</v>
      </c>
      <c r="P54">
        <v>349</v>
      </c>
      <c r="Q54">
        <v>349</v>
      </c>
      <c r="R54">
        <v>349</v>
      </c>
      <c r="S54">
        <v>349</v>
      </c>
      <c r="T54">
        <v>349</v>
      </c>
      <c r="U54">
        <v>349</v>
      </c>
      <c r="V54">
        <v>349</v>
      </c>
      <c r="W54">
        <v>349</v>
      </c>
      <c r="X54">
        <v>349</v>
      </c>
      <c r="Y54">
        <v>349</v>
      </c>
      <c r="Z54">
        <v>349</v>
      </c>
      <c r="AA54">
        <v>349</v>
      </c>
      <c r="AB54">
        <v>349</v>
      </c>
      <c r="AC54">
        <v>349</v>
      </c>
      <c r="AD54">
        <v>361.22</v>
      </c>
      <c r="AE54">
        <v>361.22</v>
      </c>
      <c r="AF54">
        <v>361.22</v>
      </c>
      <c r="AG54">
        <v>361.22</v>
      </c>
      <c r="AH54">
        <v>361.22</v>
      </c>
      <c r="AI54">
        <v>361.22</v>
      </c>
      <c r="AJ54">
        <v>361.22</v>
      </c>
      <c r="AK54">
        <v>361.22</v>
      </c>
      <c r="AL54">
        <v>361.22</v>
      </c>
      <c r="AM54">
        <v>361.22</v>
      </c>
    </row>
    <row r="55" spans="2:39" x14ac:dyDescent="0.25">
      <c r="B55">
        <v>52</v>
      </c>
      <c r="C55">
        <v>289</v>
      </c>
      <c r="D55">
        <v>289</v>
      </c>
      <c r="E55">
        <v>289</v>
      </c>
      <c r="F55">
        <v>289</v>
      </c>
      <c r="G55">
        <v>289</v>
      </c>
      <c r="H55">
        <v>289</v>
      </c>
      <c r="I55">
        <v>289</v>
      </c>
      <c r="J55">
        <v>289</v>
      </c>
      <c r="K55">
        <v>289</v>
      </c>
      <c r="L55">
        <v>289</v>
      </c>
      <c r="M55">
        <v>289</v>
      </c>
      <c r="N55">
        <v>289</v>
      </c>
      <c r="O55">
        <v>289</v>
      </c>
      <c r="P55">
        <v>289</v>
      </c>
      <c r="Q55">
        <v>289</v>
      </c>
      <c r="R55">
        <v>289</v>
      </c>
      <c r="S55">
        <v>289</v>
      </c>
      <c r="T55">
        <v>289</v>
      </c>
      <c r="U55">
        <v>289</v>
      </c>
      <c r="V55">
        <v>289</v>
      </c>
      <c r="W55">
        <v>289</v>
      </c>
      <c r="X55">
        <v>289</v>
      </c>
      <c r="Y55">
        <v>289</v>
      </c>
      <c r="Z55">
        <v>289</v>
      </c>
      <c r="AA55">
        <v>289</v>
      </c>
      <c r="AB55">
        <v>289</v>
      </c>
      <c r="AC55">
        <v>289</v>
      </c>
      <c r="AD55">
        <v>299.12</v>
      </c>
      <c r="AE55">
        <v>299.12</v>
      </c>
      <c r="AF55">
        <v>299.12</v>
      </c>
      <c r="AG55">
        <v>299.12</v>
      </c>
      <c r="AH55">
        <v>299.12</v>
      </c>
      <c r="AI55">
        <v>299.12</v>
      </c>
      <c r="AJ55">
        <v>299.12</v>
      </c>
      <c r="AK55">
        <v>299.12</v>
      </c>
      <c r="AL55">
        <v>299.12</v>
      </c>
      <c r="AM55">
        <v>299.12</v>
      </c>
    </row>
    <row r="56" spans="2:39" x14ac:dyDescent="0.25">
      <c r="B56">
        <v>53</v>
      </c>
      <c r="C56">
        <v>219</v>
      </c>
      <c r="D56">
        <v>219</v>
      </c>
      <c r="E56">
        <v>219</v>
      </c>
      <c r="F56">
        <v>219</v>
      </c>
      <c r="G56">
        <v>219</v>
      </c>
      <c r="H56">
        <v>219</v>
      </c>
      <c r="I56">
        <v>219</v>
      </c>
      <c r="J56">
        <v>219</v>
      </c>
      <c r="K56">
        <v>219</v>
      </c>
      <c r="L56">
        <v>219</v>
      </c>
      <c r="M56">
        <v>219</v>
      </c>
      <c r="N56">
        <v>199</v>
      </c>
      <c r="O56">
        <v>219</v>
      </c>
      <c r="P56">
        <v>369</v>
      </c>
      <c r="Q56">
        <v>369</v>
      </c>
      <c r="R56">
        <v>369</v>
      </c>
      <c r="S56">
        <v>369</v>
      </c>
      <c r="T56">
        <v>369</v>
      </c>
      <c r="U56">
        <v>369</v>
      </c>
      <c r="V56">
        <v>369</v>
      </c>
      <c r="W56">
        <v>369</v>
      </c>
      <c r="X56">
        <v>369</v>
      </c>
      <c r="Y56">
        <v>369</v>
      </c>
      <c r="Z56">
        <v>369</v>
      </c>
      <c r="AA56">
        <v>369</v>
      </c>
      <c r="AB56">
        <v>369</v>
      </c>
      <c r="AC56">
        <v>369</v>
      </c>
      <c r="AD56">
        <v>381.22</v>
      </c>
      <c r="AE56">
        <v>381.22</v>
      </c>
      <c r="AF56">
        <v>381.22</v>
      </c>
      <c r="AG56">
        <v>381.22</v>
      </c>
      <c r="AH56">
        <v>381.22</v>
      </c>
      <c r="AI56">
        <v>381.22</v>
      </c>
      <c r="AJ56">
        <v>381.22</v>
      </c>
      <c r="AK56">
        <v>381.22</v>
      </c>
      <c r="AL56">
        <v>381.22</v>
      </c>
      <c r="AM56">
        <v>381.22</v>
      </c>
    </row>
    <row r="57" spans="2:39" x14ac:dyDescent="0.25">
      <c r="B57">
        <v>54</v>
      </c>
      <c r="C57">
        <v>179</v>
      </c>
      <c r="D57">
        <v>179</v>
      </c>
      <c r="E57">
        <v>179</v>
      </c>
      <c r="F57">
        <v>179</v>
      </c>
      <c r="G57">
        <v>179</v>
      </c>
      <c r="H57">
        <v>179</v>
      </c>
      <c r="I57">
        <v>179</v>
      </c>
      <c r="J57">
        <v>179</v>
      </c>
      <c r="K57">
        <v>179</v>
      </c>
      <c r="L57">
        <v>179</v>
      </c>
      <c r="M57">
        <v>179</v>
      </c>
      <c r="N57">
        <v>179</v>
      </c>
      <c r="O57">
        <v>179</v>
      </c>
      <c r="P57">
        <v>179</v>
      </c>
      <c r="Q57">
        <v>179</v>
      </c>
      <c r="R57">
        <v>179</v>
      </c>
      <c r="S57">
        <v>179</v>
      </c>
      <c r="T57">
        <v>179</v>
      </c>
      <c r="U57">
        <v>179</v>
      </c>
      <c r="V57">
        <v>179</v>
      </c>
      <c r="W57">
        <v>179</v>
      </c>
      <c r="X57">
        <v>179</v>
      </c>
      <c r="Y57">
        <v>179</v>
      </c>
      <c r="Z57">
        <v>179</v>
      </c>
      <c r="AA57">
        <v>179</v>
      </c>
      <c r="AB57">
        <v>179</v>
      </c>
      <c r="AC57">
        <v>179</v>
      </c>
      <c r="AD57">
        <v>179</v>
      </c>
      <c r="AE57">
        <v>179</v>
      </c>
      <c r="AF57">
        <v>179</v>
      </c>
      <c r="AG57">
        <v>179</v>
      </c>
      <c r="AH57">
        <v>179</v>
      </c>
      <c r="AI57">
        <v>179</v>
      </c>
      <c r="AJ57">
        <v>179</v>
      </c>
      <c r="AK57">
        <v>179</v>
      </c>
      <c r="AL57">
        <v>179</v>
      </c>
      <c r="AM57">
        <v>179</v>
      </c>
    </row>
    <row r="58" spans="2:39" x14ac:dyDescent="0.25">
      <c r="B58">
        <v>55</v>
      </c>
      <c r="C58">
        <v>101.85</v>
      </c>
      <c r="D58">
        <v>101.85</v>
      </c>
      <c r="E58">
        <v>99.51</v>
      </c>
      <c r="F58">
        <v>99.6</v>
      </c>
      <c r="G58">
        <v>100.35</v>
      </c>
      <c r="H58">
        <v>100.14</v>
      </c>
      <c r="I58">
        <v>100.2</v>
      </c>
      <c r="J58">
        <v>99</v>
      </c>
      <c r="K58">
        <v>99</v>
      </c>
      <c r="L58">
        <v>99</v>
      </c>
      <c r="M58">
        <v>99</v>
      </c>
      <c r="N58">
        <v>99</v>
      </c>
      <c r="O58">
        <v>99</v>
      </c>
      <c r="P58">
        <v>99</v>
      </c>
      <c r="Q58">
        <v>99</v>
      </c>
      <c r="R58">
        <v>99</v>
      </c>
      <c r="S58">
        <v>99</v>
      </c>
      <c r="T58">
        <v>99</v>
      </c>
      <c r="U58">
        <v>99</v>
      </c>
      <c r="V58">
        <v>99</v>
      </c>
      <c r="W58">
        <v>99</v>
      </c>
      <c r="X58">
        <v>99</v>
      </c>
      <c r="Y58">
        <v>99</v>
      </c>
      <c r="Z58">
        <v>99</v>
      </c>
      <c r="AA58">
        <v>99</v>
      </c>
      <c r="AB58">
        <v>99</v>
      </c>
      <c r="AC58">
        <v>99</v>
      </c>
      <c r="AD58">
        <v>99</v>
      </c>
      <c r="AE58">
        <v>99</v>
      </c>
      <c r="AF58">
        <v>99</v>
      </c>
      <c r="AG58">
        <v>99</v>
      </c>
      <c r="AH58">
        <v>99</v>
      </c>
      <c r="AI58">
        <v>99</v>
      </c>
      <c r="AJ58">
        <v>99</v>
      </c>
      <c r="AK58">
        <v>99</v>
      </c>
      <c r="AL58">
        <v>99</v>
      </c>
      <c r="AM58">
        <v>99</v>
      </c>
    </row>
    <row r="59" spans="2:39" x14ac:dyDescent="0.25">
      <c r="B59">
        <v>56</v>
      </c>
      <c r="C59">
        <v>269.10000000000002</v>
      </c>
      <c r="D59">
        <v>269.10000000000002</v>
      </c>
      <c r="E59">
        <v>269.10000000000002</v>
      </c>
      <c r="F59">
        <v>269.10000000000002</v>
      </c>
      <c r="G59">
        <v>269.10000000000002</v>
      </c>
      <c r="H59">
        <v>269.10000000000002</v>
      </c>
      <c r="I59">
        <v>269.10000000000002</v>
      </c>
      <c r="J59">
        <v>269.10000000000002</v>
      </c>
      <c r="K59">
        <v>269.10000000000002</v>
      </c>
      <c r="L59">
        <v>269.08999999999997</v>
      </c>
      <c r="M59">
        <v>269.08999999999997</v>
      </c>
      <c r="N59">
        <v>269.08999999999997</v>
      </c>
      <c r="O59">
        <v>269.08999999999997</v>
      </c>
      <c r="P59">
        <v>269.08999999999997</v>
      </c>
      <c r="Q59">
        <v>269.08999999999997</v>
      </c>
      <c r="R59">
        <v>269.08999999999997</v>
      </c>
      <c r="S59">
        <v>269.08999999999997</v>
      </c>
      <c r="T59">
        <v>269.08999999999997</v>
      </c>
      <c r="U59">
        <v>269.08999999999997</v>
      </c>
      <c r="V59">
        <v>269.08999999999997</v>
      </c>
      <c r="W59">
        <v>269.08999999999997</v>
      </c>
      <c r="X59">
        <v>269.08999999999997</v>
      </c>
      <c r="Y59">
        <v>269.08999999999997</v>
      </c>
      <c r="Z59">
        <v>269.08999999999997</v>
      </c>
      <c r="AA59">
        <v>269.08999999999997</v>
      </c>
      <c r="AB59">
        <v>269.08999999999997</v>
      </c>
      <c r="AC59">
        <v>269.08999999999997</v>
      </c>
      <c r="AD59">
        <v>278.5</v>
      </c>
      <c r="AE59">
        <v>278.5</v>
      </c>
      <c r="AF59">
        <v>278.5</v>
      </c>
      <c r="AG59">
        <v>278.5</v>
      </c>
      <c r="AH59">
        <v>278.5</v>
      </c>
      <c r="AI59">
        <v>278.5</v>
      </c>
      <c r="AJ59">
        <v>278.5</v>
      </c>
      <c r="AK59">
        <v>278.5</v>
      </c>
      <c r="AL59">
        <v>278.5</v>
      </c>
      <c r="AM59">
        <v>278.5</v>
      </c>
    </row>
    <row r="60" spans="2:39" x14ac:dyDescent="0.25">
      <c r="B60">
        <v>57</v>
      </c>
      <c r="C60">
        <v>109.3</v>
      </c>
      <c r="D60">
        <v>109.3</v>
      </c>
      <c r="E60">
        <v>109</v>
      </c>
      <c r="F60">
        <v>109</v>
      </c>
      <c r="G60">
        <v>109</v>
      </c>
      <c r="H60">
        <v>109</v>
      </c>
      <c r="I60">
        <v>109</v>
      </c>
      <c r="J60">
        <v>109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2:39" x14ac:dyDescent="0.25">
      <c r="B61">
        <v>58</v>
      </c>
      <c r="C61">
        <v>120.59</v>
      </c>
      <c r="D61">
        <v>120.59</v>
      </c>
      <c r="E61">
        <v>122.15</v>
      </c>
      <c r="F61">
        <v>118.59</v>
      </c>
      <c r="G61">
        <v>118.04</v>
      </c>
      <c r="H61">
        <v>113.34</v>
      </c>
      <c r="I61">
        <v>115.67</v>
      </c>
      <c r="J61">
        <v>109</v>
      </c>
      <c r="K61">
        <v>109</v>
      </c>
      <c r="L61">
        <v>109</v>
      </c>
      <c r="M61">
        <v>109</v>
      </c>
      <c r="N61">
        <v>109</v>
      </c>
      <c r="O61">
        <v>109</v>
      </c>
      <c r="P61">
        <v>109</v>
      </c>
      <c r="Q61">
        <v>109</v>
      </c>
      <c r="R61">
        <v>109</v>
      </c>
      <c r="S61">
        <v>109</v>
      </c>
      <c r="T61">
        <v>109</v>
      </c>
      <c r="U61">
        <v>109</v>
      </c>
      <c r="V61">
        <v>109</v>
      </c>
      <c r="W61">
        <v>109</v>
      </c>
      <c r="X61">
        <v>109</v>
      </c>
      <c r="Y61">
        <v>109</v>
      </c>
      <c r="Z61">
        <v>109</v>
      </c>
      <c r="AA61">
        <v>109</v>
      </c>
      <c r="AB61">
        <v>109</v>
      </c>
      <c r="AC61">
        <v>109</v>
      </c>
      <c r="AD61">
        <v>109</v>
      </c>
      <c r="AE61">
        <v>109</v>
      </c>
      <c r="AF61">
        <v>109</v>
      </c>
      <c r="AG61">
        <v>109</v>
      </c>
      <c r="AH61">
        <v>109</v>
      </c>
      <c r="AI61">
        <v>109</v>
      </c>
      <c r="AJ61">
        <v>109</v>
      </c>
      <c r="AK61">
        <v>109</v>
      </c>
      <c r="AL61">
        <v>109</v>
      </c>
      <c r="AM61">
        <v>109</v>
      </c>
    </row>
    <row r="62" spans="2:39" x14ac:dyDescent="0.25">
      <c r="B62">
        <v>59</v>
      </c>
      <c r="C62">
        <v>179</v>
      </c>
      <c r="D62">
        <v>179</v>
      </c>
      <c r="E62">
        <v>179</v>
      </c>
      <c r="F62">
        <v>179</v>
      </c>
      <c r="G62">
        <v>179</v>
      </c>
      <c r="H62">
        <v>179</v>
      </c>
      <c r="I62">
        <v>179</v>
      </c>
      <c r="J62">
        <v>179</v>
      </c>
      <c r="K62">
        <v>179</v>
      </c>
      <c r="L62">
        <v>179</v>
      </c>
      <c r="M62">
        <v>179</v>
      </c>
      <c r="N62">
        <v>179</v>
      </c>
      <c r="O62">
        <v>179</v>
      </c>
      <c r="P62">
        <v>179</v>
      </c>
      <c r="Q62">
        <v>179</v>
      </c>
      <c r="R62">
        <v>179</v>
      </c>
      <c r="S62">
        <v>179</v>
      </c>
      <c r="T62">
        <v>179</v>
      </c>
      <c r="U62">
        <v>179</v>
      </c>
      <c r="V62">
        <v>179</v>
      </c>
      <c r="W62">
        <v>179</v>
      </c>
      <c r="X62">
        <v>179</v>
      </c>
      <c r="Y62">
        <v>179</v>
      </c>
      <c r="Z62">
        <v>179</v>
      </c>
      <c r="AA62">
        <v>179</v>
      </c>
      <c r="AB62">
        <v>179</v>
      </c>
      <c r="AC62">
        <v>179</v>
      </c>
      <c r="AD62">
        <v>179</v>
      </c>
      <c r="AE62">
        <v>185.27</v>
      </c>
      <c r="AF62">
        <v>185.27</v>
      </c>
      <c r="AG62">
        <v>185.27</v>
      </c>
      <c r="AH62">
        <v>185.27</v>
      </c>
      <c r="AI62">
        <v>185.27</v>
      </c>
      <c r="AJ62">
        <v>185.27</v>
      </c>
      <c r="AK62">
        <v>185.27</v>
      </c>
      <c r="AL62">
        <v>185.27</v>
      </c>
      <c r="AM62">
        <v>185.27</v>
      </c>
    </row>
    <row r="63" spans="2:39" x14ac:dyDescent="0.25">
      <c r="B63">
        <v>60</v>
      </c>
      <c r="C63">
        <v>179</v>
      </c>
      <c r="D63">
        <v>179</v>
      </c>
      <c r="E63">
        <v>179</v>
      </c>
      <c r="F63">
        <v>179</v>
      </c>
      <c r="G63">
        <v>179</v>
      </c>
      <c r="H63">
        <v>179</v>
      </c>
      <c r="I63">
        <v>179</v>
      </c>
      <c r="J63">
        <v>179</v>
      </c>
      <c r="K63">
        <v>179</v>
      </c>
      <c r="L63">
        <v>179</v>
      </c>
      <c r="M63">
        <v>179</v>
      </c>
      <c r="N63">
        <v>179</v>
      </c>
      <c r="O63">
        <v>179</v>
      </c>
      <c r="P63">
        <v>179</v>
      </c>
      <c r="Q63">
        <v>179</v>
      </c>
      <c r="R63">
        <v>179</v>
      </c>
      <c r="S63">
        <v>179</v>
      </c>
      <c r="T63">
        <v>179</v>
      </c>
      <c r="U63">
        <v>179</v>
      </c>
      <c r="V63">
        <v>179</v>
      </c>
      <c r="W63">
        <v>179</v>
      </c>
      <c r="X63">
        <v>179</v>
      </c>
      <c r="Y63">
        <v>179</v>
      </c>
      <c r="Z63">
        <v>179</v>
      </c>
      <c r="AA63">
        <v>179</v>
      </c>
      <c r="AB63">
        <v>179</v>
      </c>
      <c r="AC63">
        <v>199</v>
      </c>
      <c r="AD63">
        <v>199</v>
      </c>
      <c r="AE63">
        <v>199</v>
      </c>
      <c r="AF63">
        <v>199</v>
      </c>
      <c r="AG63">
        <v>199</v>
      </c>
      <c r="AH63">
        <v>199</v>
      </c>
      <c r="AI63">
        <v>199</v>
      </c>
      <c r="AJ63">
        <v>199</v>
      </c>
      <c r="AK63">
        <v>199</v>
      </c>
      <c r="AL63">
        <v>199</v>
      </c>
      <c r="AM63">
        <v>199</v>
      </c>
    </row>
    <row r="64" spans="2:39" x14ac:dyDescent="0.25">
      <c r="B64">
        <v>61</v>
      </c>
      <c r="C64">
        <v>387</v>
      </c>
      <c r="D64">
        <v>387</v>
      </c>
      <c r="E64">
        <v>387</v>
      </c>
      <c r="F64">
        <v>387</v>
      </c>
      <c r="G64">
        <v>387</v>
      </c>
      <c r="H64">
        <v>387</v>
      </c>
      <c r="I64">
        <v>387</v>
      </c>
      <c r="J64">
        <v>387</v>
      </c>
      <c r="K64">
        <v>387</v>
      </c>
      <c r="L64">
        <v>387</v>
      </c>
      <c r="M64">
        <v>387</v>
      </c>
      <c r="N64">
        <v>387</v>
      </c>
      <c r="O64">
        <v>387</v>
      </c>
      <c r="P64">
        <v>387</v>
      </c>
      <c r="Q64">
        <v>387</v>
      </c>
      <c r="R64">
        <v>387</v>
      </c>
      <c r="S64">
        <v>387</v>
      </c>
      <c r="T64">
        <v>387</v>
      </c>
      <c r="U64">
        <v>387</v>
      </c>
      <c r="V64">
        <v>387</v>
      </c>
      <c r="W64">
        <v>387</v>
      </c>
      <c r="X64">
        <v>387</v>
      </c>
      <c r="Y64">
        <v>387</v>
      </c>
      <c r="Z64">
        <v>387</v>
      </c>
      <c r="AA64">
        <v>387</v>
      </c>
      <c r="AB64">
        <v>387</v>
      </c>
      <c r="AC64">
        <v>387</v>
      </c>
      <c r="AD64">
        <v>387</v>
      </c>
      <c r="AE64">
        <v>399.88</v>
      </c>
      <c r="AF64">
        <v>399.88</v>
      </c>
      <c r="AG64">
        <v>399.88</v>
      </c>
      <c r="AH64">
        <v>399.88</v>
      </c>
      <c r="AI64">
        <v>399.88</v>
      </c>
      <c r="AJ64">
        <v>399.88</v>
      </c>
      <c r="AK64">
        <v>399.88</v>
      </c>
      <c r="AL64">
        <v>399.88</v>
      </c>
      <c r="AM64">
        <v>399.88</v>
      </c>
    </row>
    <row r="65" spans="2:39" x14ac:dyDescent="0.25">
      <c r="B65">
        <v>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361.22</v>
      </c>
      <c r="AH65">
        <v>361.22</v>
      </c>
      <c r="AI65">
        <v>361.22</v>
      </c>
      <c r="AJ65">
        <v>361.22</v>
      </c>
      <c r="AK65">
        <v>361.22</v>
      </c>
      <c r="AL65">
        <v>361.22</v>
      </c>
      <c r="AM65">
        <v>361.22</v>
      </c>
    </row>
    <row r="66" spans="2:39" x14ac:dyDescent="0.25">
      <c r="B66">
        <v>63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309.47000000000003</v>
      </c>
      <c r="AH66">
        <v>309.47000000000003</v>
      </c>
      <c r="AI66">
        <v>309.47000000000003</v>
      </c>
      <c r="AJ66">
        <v>309.47000000000003</v>
      </c>
      <c r="AK66">
        <v>309.47000000000003</v>
      </c>
      <c r="AL66">
        <v>309.47000000000003</v>
      </c>
      <c r="AM66">
        <v>309.47000000000003</v>
      </c>
    </row>
    <row r="67" spans="2:39" x14ac:dyDescent="0.25">
      <c r="B67">
        <v>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309.47000000000003</v>
      </c>
      <c r="AH67">
        <v>309.47000000000003</v>
      </c>
      <c r="AI67">
        <v>309.47000000000003</v>
      </c>
      <c r="AJ67">
        <v>309.47000000000003</v>
      </c>
      <c r="AK67">
        <v>309.47000000000003</v>
      </c>
      <c r="AL67">
        <v>309.47000000000003</v>
      </c>
      <c r="AM67">
        <v>309.47000000000003</v>
      </c>
    </row>
    <row r="68" spans="2:39" x14ac:dyDescent="0.25">
      <c r="B68">
        <v>65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185.27</v>
      </c>
      <c r="AH68">
        <v>185.27</v>
      </c>
      <c r="AI68">
        <v>185.27</v>
      </c>
      <c r="AJ68">
        <v>185.27</v>
      </c>
      <c r="AK68">
        <v>185.27</v>
      </c>
      <c r="AL68">
        <v>185.27</v>
      </c>
      <c r="AM68">
        <v>185.27</v>
      </c>
    </row>
    <row r="69" spans="2:39" x14ac:dyDescent="0.25">
      <c r="B69">
        <v>66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2:39" x14ac:dyDescent="0.25">
      <c r="B70">
        <v>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257.72000000000003</v>
      </c>
      <c r="AH70">
        <v>257.72000000000003</v>
      </c>
      <c r="AI70">
        <v>257.72000000000003</v>
      </c>
      <c r="AJ70">
        <v>257.72000000000003</v>
      </c>
      <c r="AK70">
        <v>257.72000000000003</v>
      </c>
      <c r="AL70">
        <v>257.72000000000003</v>
      </c>
      <c r="AM70">
        <v>257.72000000000003</v>
      </c>
    </row>
    <row r="71" spans="2:39" x14ac:dyDescent="0.25">
      <c r="B71">
        <v>68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361.22</v>
      </c>
      <c r="AH71">
        <v>361.22</v>
      </c>
      <c r="AI71">
        <v>361.22</v>
      </c>
      <c r="AJ71">
        <v>361.22</v>
      </c>
      <c r="AK71">
        <v>361.22</v>
      </c>
      <c r="AL71">
        <v>361.22</v>
      </c>
      <c r="AM71">
        <v>361.22</v>
      </c>
    </row>
    <row r="72" spans="2:39" x14ac:dyDescent="0.25">
      <c r="B72">
        <v>69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2:39" x14ac:dyDescent="0.25">
      <c r="B73">
        <v>70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185.27</v>
      </c>
      <c r="AH73">
        <v>185.27</v>
      </c>
      <c r="AI73">
        <v>185.27</v>
      </c>
      <c r="AJ73">
        <v>185.27</v>
      </c>
      <c r="AK73">
        <v>185.27</v>
      </c>
      <c r="AL73">
        <v>185.27</v>
      </c>
      <c r="AM73">
        <v>185.27</v>
      </c>
    </row>
    <row r="74" spans="2:39" x14ac:dyDescent="0.25">
      <c r="B74">
        <v>71</v>
      </c>
      <c r="C74">
        <v>299</v>
      </c>
      <c r="D74">
        <v>299</v>
      </c>
      <c r="E74">
        <v>299</v>
      </c>
      <c r="F74">
        <v>299</v>
      </c>
      <c r="G74">
        <v>299</v>
      </c>
      <c r="H74">
        <v>299</v>
      </c>
      <c r="I74">
        <v>299</v>
      </c>
      <c r="J74">
        <v>299</v>
      </c>
      <c r="K74">
        <v>299</v>
      </c>
      <c r="L74">
        <v>299</v>
      </c>
      <c r="M74">
        <v>299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2:39" x14ac:dyDescent="0.25">
      <c r="B75">
        <v>72</v>
      </c>
      <c r="C75">
        <v>288.14999999999998</v>
      </c>
      <c r="D75">
        <v>288.14999999999998</v>
      </c>
      <c r="E75">
        <v>288.14999999999998</v>
      </c>
      <c r="F75">
        <v>288.14999999999998</v>
      </c>
      <c r="G75">
        <v>288.14999999999998</v>
      </c>
      <c r="H75">
        <v>288.14999999999998</v>
      </c>
      <c r="I75">
        <v>288.14999999999998</v>
      </c>
      <c r="J75">
        <v>288.14999999999998</v>
      </c>
      <c r="K75">
        <v>288.14999999999998</v>
      </c>
      <c r="L75">
        <v>288.14999999999998</v>
      </c>
      <c r="M75">
        <v>288.14999999999998</v>
      </c>
      <c r="N75">
        <v>288.14999999999998</v>
      </c>
      <c r="O75">
        <v>288.14999999999998</v>
      </c>
      <c r="P75">
        <v>288.14999999999998</v>
      </c>
      <c r="Q75">
        <v>288.14999999999998</v>
      </c>
      <c r="R75">
        <v>288.14999999999998</v>
      </c>
      <c r="S75">
        <v>288.14999999999998</v>
      </c>
      <c r="T75">
        <v>288.14999999999998</v>
      </c>
      <c r="U75">
        <v>288.14999999999998</v>
      </c>
      <c r="V75">
        <v>288.14999999999998</v>
      </c>
      <c r="W75">
        <v>288.14999999999998</v>
      </c>
      <c r="X75">
        <v>288.14999999999998</v>
      </c>
      <c r="Y75">
        <v>288.14999999999998</v>
      </c>
      <c r="Z75">
        <v>288.14999999999998</v>
      </c>
      <c r="AA75">
        <v>288.14999999999998</v>
      </c>
      <c r="AB75">
        <v>288.14999999999998</v>
      </c>
      <c r="AC75">
        <v>288.14999999999998</v>
      </c>
      <c r="AD75">
        <v>288.14999999999998</v>
      </c>
      <c r="AE75">
        <v>288.14999999999998</v>
      </c>
      <c r="AF75">
        <v>288.14999999999998</v>
      </c>
      <c r="AG75">
        <v>288.14999999999998</v>
      </c>
      <c r="AH75">
        <v>288.14999999999998</v>
      </c>
      <c r="AI75">
        <v>288.14999999999998</v>
      </c>
      <c r="AJ75">
        <v>288.14999999999998</v>
      </c>
      <c r="AK75">
        <v>288.14999999999998</v>
      </c>
      <c r="AL75">
        <v>288.14999999999998</v>
      </c>
      <c r="AM75">
        <v>288.14999999999998</v>
      </c>
    </row>
    <row r="76" spans="2:39" x14ac:dyDescent="0.25">
      <c r="B76">
        <v>73</v>
      </c>
      <c r="C76">
        <v>195.67</v>
      </c>
      <c r="D76">
        <v>195.67</v>
      </c>
      <c r="E76">
        <v>195.67</v>
      </c>
      <c r="F76">
        <v>195.67</v>
      </c>
      <c r="G76">
        <v>195.67</v>
      </c>
      <c r="H76">
        <v>195.67</v>
      </c>
      <c r="I76">
        <v>195.67</v>
      </c>
      <c r="J76">
        <v>195.67</v>
      </c>
      <c r="K76">
        <v>195.67</v>
      </c>
      <c r="L76">
        <v>331.55</v>
      </c>
      <c r="M76">
        <v>331.55</v>
      </c>
      <c r="N76">
        <v>331.55</v>
      </c>
      <c r="O76">
        <v>331.55</v>
      </c>
      <c r="P76">
        <v>331.55</v>
      </c>
      <c r="Q76">
        <v>331.55</v>
      </c>
      <c r="R76">
        <v>331.55</v>
      </c>
      <c r="S76">
        <v>331.55</v>
      </c>
      <c r="T76">
        <v>331.55</v>
      </c>
      <c r="U76">
        <v>331.55</v>
      </c>
      <c r="V76">
        <v>331.55</v>
      </c>
      <c r="W76">
        <v>331.55</v>
      </c>
      <c r="X76">
        <v>331.55</v>
      </c>
      <c r="Y76">
        <v>331.55</v>
      </c>
      <c r="Z76">
        <v>331.55</v>
      </c>
      <c r="AA76">
        <v>331.55</v>
      </c>
      <c r="AB76">
        <v>331.55</v>
      </c>
      <c r="AC76">
        <v>331.55</v>
      </c>
      <c r="AD76">
        <v>331.55</v>
      </c>
      <c r="AE76">
        <v>331.55</v>
      </c>
      <c r="AF76">
        <v>331.55</v>
      </c>
      <c r="AG76">
        <v>343.16</v>
      </c>
      <c r="AH76">
        <v>343.16</v>
      </c>
      <c r="AI76">
        <v>343.16</v>
      </c>
      <c r="AJ76">
        <v>343.16</v>
      </c>
      <c r="AK76">
        <v>343.16</v>
      </c>
      <c r="AL76">
        <v>343.16</v>
      </c>
      <c r="AM76">
        <v>343.16</v>
      </c>
    </row>
    <row r="77" spans="2:39" x14ac:dyDescent="0.25">
      <c r="B77">
        <v>74</v>
      </c>
      <c r="C77">
        <v>111.61</v>
      </c>
      <c r="D77">
        <v>111.61</v>
      </c>
      <c r="E77">
        <v>112.81</v>
      </c>
      <c r="F77">
        <v>116.08</v>
      </c>
      <c r="G77">
        <v>115.18</v>
      </c>
      <c r="H77">
        <v>134.97999999999999</v>
      </c>
      <c r="I77">
        <v>135</v>
      </c>
      <c r="J77">
        <v>129</v>
      </c>
      <c r="K77">
        <v>129</v>
      </c>
      <c r="L77">
        <v>129</v>
      </c>
      <c r="M77">
        <v>129</v>
      </c>
      <c r="N77">
        <v>129</v>
      </c>
      <c r="O77">
        <v>129</v>
      </c>
      <c r="P77">
        <v>129</v>
      </c>
      <c r="Q77">
        <v>129</v>
      </c>
      <c r="R77">
        <v>129</v>
      </c>
      <c r="S77">
        <v>103.2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2:39" x14ac:dyDescent="0.25">
      <c r="B78">
        <v>75</v>
      </c>
      <c r="C78">
        <v>179</v>
      </c>
      <c r="D78">
        <v>179</v>
      </c>
      <c r="E78">
        <v>179</v>
      </c>
      <c r="F78">
        <v>179</v>
      </c>
      <c r="G78">
        <v>179</v>
      </c>
      <c r="H78">
        <v>179</v>
      </c>
      <c r="I78">
        <v>179</v>
      </c>
      <c r="J78">
        <v>179</v>
      </c>
      <c r="K78">
        <v>179</v>
      </c>
      <c r="L78">
        <v>179</v>
      </c>
      <c r="M78">
        <v>179</v>
      </c>
      <c r="N78">
        <v>179</v>
      </c>
      <c r="O78">
        <v>179</v>
      </c>
      <c r="P78">
        <v>179</v>
      </c>
      <c r="Q78">
        <v>179</v>
      </c>
      <c r="R78">
        <v>179</v>
      </c>
      <c r="S78">
        <v>179</v>
      </c>
      <c r="T78">
        <v>179</v>
      </c>
      <c r="U78">
        <v>179</v>
      </c>
      <c r="V78">
        <v>179</v>
      </c>
      <c r="W78">
        <v>179</v>
      </c>
      <c r="X78">
        <v>179</v>
      </c>
      <c r="Y78">
        <v>179</v>
      </c>
      <c r="Z78">
        <v>179</v>
      </c>
      <c r="AA78">
        <v>179</v>
      </c>
      <c r="AB78">
        <v>179</v>
      </c>
      <c r="AC78">
        <v>179</v>
      </c>
      <c r="AD78">
        <v>179</v>
      </c>
      <c r="AE78">
        <v>179</v>
      </c>
      <c r="AF78">
        <v>185.27</v>
      </c>
      <c r="AG78">
        <v>185.27</v>
      </c>
      <c r="AH78">
        <v>185.27</v>
      </c>
      <c r="AI78">
        <v>185.27</v>
      </c>
      <c r="AJ78">
        <v>185.27</v>
      </c>
      <c r="AK78">
        <v>185.27</v>
      </c>
      <c r="AL78">
        <v>185.27</v>
      </c>
      <c r="AM78">
        <v>185.27</v>
      </c>
    </row>
    <row r="79" spans="2:39" x14ac:dyDescent="0.25">
      <c r="B79">
        <v>76</v>
      </c>
      <c r="C79">
        <v>323.10000000000002</v>
      </c>
      <c r="D79">
        <v>323.10000000000002</v>
      </c>
      <c r="E79">
        <v>323.10000000000002</v>
      </c>
      <c r="F79">
        <v>323.10000000000002</v>
      </c>
      <c r="G79">
        <v>352.18</v>
      </c>
      <c r="H79">
        <v>294.02</v>
      </c>
      <c r="I79">
        <v>323.10000000000002</v>
      </c>
      <c r="J79">
        <v>323.10000000000002</v>
      </c>
      <c r="K79">
        <v>323.10000000000002</v>
      </c>
      <c r="L79">
        <v>323.10000000000002</v>
      </c>
      <c r="M79">
        <v>326.69</v>
      </c>
      <c r="N79">
        <v>326.69</v>
      </c>
      <c r="O79">
        <v>326.69</v>
      </c>
      <c r="P79">
        <v>326.69</v>
      </c>
      <c r="Q79">
        <v>337.46</v>
      </c>
      <c r="R79">
        <v>337.46</v>
      </c>
      <c r="S79">
        <v>337.46</v>
      </c>
      <c r="T79">
        <v>337.46</v>
      </c>
      <c r="U79">
        <v>337.46</v>
      </c>
      <c r="V79">
        <v>337.46</v>
      </c>
      <c r="W79">
        <v>337.46</v>
      </c>
      <c r="X79">
        <v>337.46</v>
      </c>
      <c r="Y79">
        <v>337.46</v>
      </c>
      <c r="Z79">
        <v>337.46</v>
      </c>
      <c r="AA79">
        <v>337.46</v>
      </c>
      <c r="AB79">
        <v>337.46</v>
      </c>
      <c r="AC79">
        <v>337.46</v>
      </c>
      <c r="AD79">
        <v>337.46</v>
      </c>
      <c r="AE79">
        <v>337.46</v>
      </c>
      <c r="AF79">
        <v>349.28</v>
      </c>
      <c r="AG79">
        <v>349.28</v>
      </c>
      <c r="AH79">
        <v>349.28</v>
      </c>
      <c r="AI79">
        <v>349.28</v>
      </c>
      <c r="AJ79">
        <v>349.28</v>
      </c>
      <c r="AK79">
        <v>349.28</v>
      </c>
      <c r="AL79">
        <v>349.28</v>
      </c>
      <c r="AM79">
        <v>349.28</v>
      </c>
    </row>
    <row r="80" spans="2:39" x14ac:dyDescent="0.25">
      <c r="B80">
        <v>77</v>
      </c>
      <c r="C80">
        <v>288.14999999999998</v>
      </c>
      <c r="D80">
        <v>288.14999999999998</v>
      </c>
      <c r="E80">
        <v>288.14999999999998</v>
      </c>
      <c r="F80">
        <v>288.14999999999998</v>
      </c>
      <c r="G80">
        <v>288.14999999999998</v>
      </c>
      <c r="H80">
        <v>288.14999999999998</v>
      </c>
      <c r="I80">
        <v>288.14999999999998</v>
      </c>
      <c r="J80">
        <v>288.14999999999998</v>
      </c>
      <c r="K80">
        <v>288.14999999999998</v>
      </c>
      <c r="L80">
        <v>288.14999999999998</v>
      </c>
      <c r="M80">
        <v>288.14999999999998</v>
      </c>
      <c r="N80">
        <v>288.14999999999998</v>
      </c>
      <c r="O80">
        <v>288.14999999999998</v>
      </c>
      <c r="P80">
        <v>288.14999999999998</v>
      </c>
      <c r="Q80">
        <v>288.14999999999998</v>
      </c>
      <c r="R80">
        <v>288.14999999999998</v>
      </c>
      <c r="S80">
        <v>288.14999999999998</v>
      </c>
      <c r="T80">
        <v>288.14999999999998</v>
      </c>
      <c r="U80">
        <v>288.14999999999998</v>
      </c>
      <c r="V80">
        <v>288.14999999999998</v>
      </c>
      <c r="W80">
        <v>288.14999999999998</v>
      </c>
      <c r="X80">
        <v>288.14999999999998</v>
      </c>
      <c r="Y80">
        <v>288.14999999999998</v>
      </c>
      <c r="Z80">
        <v>288.14999999999998</v>
      </c>
      <c r="AA80">
        <v>288.14999999999998</v>
      </c>
      <c r="AB80">
        <v>288.14999999999998</v>
      </c>
      <c r="AC80">
        <v>288.14999999999998</v>
      </c>
      <c r="AD80">
        <v>288.14999999999998</v>
      </c>
      <c r="AE80">
        <v>288.14999999999998</v>
      </c>
      <c r="AF80">
        <v>288.14999999999998</v>
      </c>
      <c r="AG80">
        <v>288.14999999999998</v>
      </c>
      <c r="AH80">
        <v>288.14999999999998</v>
      </c>
      <c r="AI80">
        <v>288.14999999999998</v>
      </c>
      <c r="AJ80">
        <v>288.14999999999998</v>
      </c>
      <c r="AK80">
        <v>288.14999999999998</v>
      </c>
      <c r="AL80">
        <v>288.14999999999998</v>
      </c>
      <c r="AM80">
        <v>288.14999999999998</v>
      </c>
    </row>
    <row r="81" spans="2:39" x14ac:dyDescent="0.25">
      <c r="B81">
        <v>78</v>
      </c>
      <c r="C81">
        <v>219</v>
      </c>
      <c r="D81">
        <v>219</v>
      </c>
      <c r="E81">
        <v>219</v>
      </c>
      <c r="F81">
        <v>219</v>
      </c>
      <c r="G81">
        <v>219</v>
      </c>
      <c r="H81">
        <v>219</v>
      </c>
      <c r="I81">
        <v>219</v>
      </c>
      <c r="J81">
        <v>219</v>
      </c>
      <c r="K81">
        <v>219</v>
      </c>
      <c r="L81">
        <v>219</v>
      </c>
      <c r="M81">
        <v>219</v>
      </c>
      <c r="N81">
        <v>219</v>
      </c>
      <c r="O81">
        <v>219</v>
      </c>
      <c r="P81">
        <v>219</v>
      </c>
      <c r="Q81">
        <v>219</v>
      </c>
      <c r="R81">
        <v>179</v>
      </c>
      <c r="S81">
        <v>179</v>
      </c>
      <c r="T81">
        <v>179</v>
      </c>
      <c r="U81">
        <v>179</v>
      </c>
      <c r="V81">
        <v>179</v>
      </c>
      <c r="W81">
        <v>179</v>
      </c>
      <c r="X81">
        <v>179</v>
      </c>
      <c r="Y81">
        <v>179</v>
      </c>
      <c r="Z81">
        <v>179</v>
      </c>
      <c r="AA81">
        <v>179</v>
      </c>
      <c r="AB81">
        <v>179</v>
      </c>
      <c r="AC81">
        <v>179</v>
      </c>
      <c r="AD81">
        <v>179</v>
      </c>
      <c r="AE81">
        <v>179</v>
      </c>
      <c r="AF81">
        <v>185.27</v>
      </c>
      <c r="AG81">
        <v>185.27</v>
      </c>
      <c r="AH81">
        <v>185.27</v>
      </c>
      <c r="AI81">
        <v>185.27</v>
      </c>
      <c r="AJ81">
        <v>185.27</v>
      </c>
      <c r="AK81">
        <v>185.27</v>
      </c>
      <c r="AL81">
        <v>185.27</v>
      </c>
      <c r="AM81">
        <v>185.27</v>
      </c>
    </row>
    <row r="82" spans="2:39" x14ac:dyDescent="0.25">
      <c r="B82">
        <v>79</v>
      </c>
      <c r="C82">
        <v>254.15</v>
      </c>
      <c r="D82">
        <v>254.15</v>
      </c>
      <c r="E82">
        <v>254.15</v>
      </c>
      <c r="F82">
        <v>254.15</v>
      </c>
      <c r="G82">
        <v>254.15</v>
      </c>
      <c r="H82">
        <v>254.15</v>
      </c>
      <c r="I82">
        <v>254.15</v>
      </c>
      <c r="J82">
        <v>254.15</v>
      </c>
      <c r="K82">
        <v>254.15</v>
      </c>
      <c r="L82">
        <v>254.15</v>
      </c>
      <c r="M82">
        <v>254.15</v>
      </c>
      <c r="N82">
        <v>254.15</v>
      </c>
      <c r="O82">
        <v>254.15</v>
      </c>
      <c r="P82">
        <v>254.15</v>
      </c>
      <c r="Q82">
        <v>254.15</v>
      </c>
      <c r="R82">
        <v>254.15</v>
      </c>
      <c r="S82">
        <v>254.15</v>
      </c>
      <c r="T82">
        <v>254.15</v>
      </c>
      <c r="U82">
        <v>254.15</v>
      </c>
      <c r="V82">
        <v>254.15</v>
      </c>
      <c r="W82">
        <v>254.15</v>
      </c>
      <c r="X82">
        <v>254.15</v>
      </c>
      <c r="Y82">
        <v>254.15</v>
      </c>
      <c r="Z82">
        <v>254.15</v>
      </c>
      <c r="AA82">
        <v>254.15</v>
      </c>
      <c r="AB82">
        <v>254.15</v>
      </c>
      <c r="AC82">
        <v>254.15</v>
      </c>
      <c r="AD82">
        <v>254.15</v>
      </c>
      <c r="AE82">
        <v>254.15</v>
      </c>
      <c r="AF82">
        <v>254.15</v>
      </c>
      <c r="AG82">
        <v>254.15</v>
      </c>
      <c r="AH82">
        <v>254.15</v>
      </c>
      <c r="AI82">
        <v>254.15</v>
      </c>
      <c r="AJ82">
        <v>254.15</v>
      </c>
      <c r="AK82">
        <v>254.15</v>
      </c>
      <c r="AL82">
        <v>254.15</v>
      </c>
      <c r="AM82">
        <v>254.15</v>
      </c>
    </row>
    <row r="83" spans="2:39" x14ac:dyDescent="0.25">
      <c r="B83">
        <v>80</v>
      </c>
      <c r="C83">
        <v>179</v>
      </c>
      <c r="D83">
        <v>179</v>
      </c>
      <c r="E83">
        <v>179</v>
      </c>
      <c r="F83">
        <v>179</v>
      </c>
      <c r="G83">
        <v>179</v>
      </c>
      <c r="H83">
        <v>179</v>
      </c>
      <c r="I83">
        <v>179</v>
      </c>
      <c r="J83">
        <v>179</v>
      </c>
      <c r="K83">
        <v>179</v>
      </c>
      <c r="L83">
        <v>179</v>
      </c>
      <c r="M83">
        <v>179</v>
      </c>
      <c r="N83">
        <v>179</v>
      </c>
      <c r="O83">
        <v>179</v>
      </c>
      <c r="P83">
        <v>179</v>
      </c>
      <c r="Q83">
        <v>179</v>
      </c>
      <c r="R83">
        <v>179</v>
      </c>
      <c r="S83">
        <v>179</v>
      </c>
      <c r="T83">
        <v>179</v>
      </c>
      <c r="U83">
        <v>179</v>
      </c>
      <c r="V83">
        <v>179</v>
      </c>
      <c r="W83">
        <v>179</v>
      </c>
      <c r="X83">
        <v>179</v>
      </c>
      <c r="Y83">
        <v>199.55</v>
      </c>
      <c r="Z83">
        <v>185.27</v>
      </c>
      <c r="AA83">
        <v>185.27</v>
      </c>
      <c r="AB83">
        <v>185.27</v>
      </c>
      <c r="AC83">
        <v>185.27</v>
      </c>
      <c r="AD83">
        <v>185.27</v>
      </c>
      <c r="AE83">
        <v>185.27</v>
      </c>
      <c r="AF83">
        <v>185.27</v>
      </c>
      <c r="AG83">
        <v>185.27</v>
      </c>
      <c r="AH83">
        <v>185.27</v>
      </c>
      <c r="AI83">
        <v>185.27</v>
      </c>
      <c r="AJ83">
        <v>191.75</v>
      </c>
      <c r="AK83">
        <v>191.75</v>
      </c>
      <c r="AL83">
        <v>191.75</v>
      </c>
      <c r="AM83">
        <v>191.75</v>
      </c>
    </row>
    <row r="84" spans="2:39" x14ac:dyDescent="0.25">
      <c r="B84">
        <v>81</v>
      </c>
      <c r="C84">
        <v>199</v>
      </c>
      <c r="D84">
        <v>199</v>
      </c>
      <c r="E84">
        <v>149</v>
      </c>
      <c r="F84">
        <v>149</v>
      </c>
      <c r="G84">
        <v>149</v>
      </c>
      <c r="H84">
        <v>149</v>
      </c>
      <c r="I84">
        <v>149</v>
      </c>
      <c r="J84">
        <v>149</v>
      </c>
      <c r="K84">
        <v>149</v>
      </c>
      <c r="L84">
        <v>149</v>
      </c>
      <c r="M84">
        <v>149</v>
      </c>
      <c r="N84">
        <v>149</v>
      </c>
      <c r="O84">
        <v>149</v>
      </c>
      <c r="P84">
        <v>149</v>
      </c>
      <c r="Q84">
        <v>149</v>
      </c>
      <c r="R84">
        <v>149</v>
      </c>
      <c r="S84">
        <v>149</v>
      </c>
      <c r="T84">
        <v>149</v>
      </c>
      <c r="U84">
        <v>149</v>
      </c>
      <c r="V84">
        <v>149</v>
      </c>
      <c r="W84">
        <v>149</v>
      </c>
      <c r="X84">
        <v>149</v>
      </c>
      <c r="Y84">
        <v>149</v>
      </c>
      <c r="Z84">
        <v>149</v>
      </c>
      <c r="AA84">
        <v>149</v>
      </c>
      <c r="AB84">
        <v>149</v>
      </c>
      <c r="AC84">
        <v>149</v>
      </c>
      <c r="AD84">
        <v>149</v>
      </c>
      <c r="AE84">
        <v>149</v>
      </c>
      <c r="AF84">
        <v>149</v>
      </c>
      <c r="AG84">
        <v>154.22</v>
      </c>
      <c r="AH84">
        <v>154.22</v>
      </c>
      <c r="AI84">
        <v>154.22</v>
      </c>
      <c r="AJ84">
        <v>154.22</v>
      </c>
      <c r="AK84">
        <v>154.22</v>
      </c>
      <c r="AL84">
        <v>154.22</v>
      </c>
      <c r="AM84">
        <v>154.22</v>
      </c>
    </row>
    <row r="85" spans="2:39" x14ac:dyDescent="0.25">
      <c r="B85">
        <v>82</v>
      </c>
      <c r="C85">
        <v>279</v>
      </c>
      <c r="D85">
        <v>279</v>
      </c>
      <c r="E85">
        <v>279</v>
      </c>
      <c r="F85">
        <v>279</v>
      </c>
      <c r="G85">
        <v>279</v>
      </c>
      <c r="H85">
        <v>279</v>
      </c>
      <c r="I85">
        <v>279</v>
      </c>
      <c r="J85">
        <v>279</v>
      </c>
      <c r="K85">
        <v>279</v>
      </c>
      <c r="L85">
        <v>279</v>
      </c>
      <c r="M85">
        <v>279</v>
      </c>
      <c r="N85">
        <v>279</v>
      </c>
      <c r="O85">
        <v>279</v>
      </c>
      <c r="P85">
        <v>279</v>
      </c>
      <c r="Q85">
        <v>279</v>
      </c>
      <c r="R85">
        <v>279</v>
      </c>
      <c r="S85">
        <v>279</v>
      </c>
      <c r="T85">
        <v>279</v>
      </c>
      <c r="U85">
        <v>279</v>
      </c>
      <c r="V85">
        <v>279</v>
      </c>
      <c r="W85">
        <v>279</v>
      </c>
      <c r="X85">
        <v>279</v>
      </c>
      <c r="Y85">
        <v>279</v>
      </c>
      <c r="Z85">
        <v>279</v>
      </c>
      <c r="AA85">
        <v>279</v>
      </c>
      <c r="AB85">
        <v>279</v>
      </c>
      <c r="AC85">
        <v>279</v>
      </c>
      <c r="AD85">
        <v>279</v>
      </c>
      <c r="AE85">
        <v>279</v>
      </c>
      <c r="AF85">
        <v>279</v>
      </c>
      <c r="AG85">
        <v>288.77</v>
      </c>
      <c r="AH85">
        <v>288.77</v>
      </c>
      <c r="AI85">
        <v>288.77</v>
      </c>
      <c r="AJ85">
        <v>288.77</v>
      </c>
      <c r="AK85">
        <v>288.77</v>
      </c>
      <c r="AL85">
        <v>288.77</v>
      </c>
      <c r="AM85">
        <v>288.77</v>
      </c>
    </row>
    <row r="86" spans="2:39" x14ac:dyDescent="0.25">
      <c r="B86">
        <v>83</v>
      </c>
      <c r="C86">
        <v>132.87</v>
      </c>
      <c r="D86">
        <v>132.87</v>
      </c>
      <c r="E86">
        <v>138.31</v>
      </c>
      <c r="F86">
        <v>141.71</v>
      </c>
      <c r="G86">
        <v>139.16</v>
      </c>
      <c r="H86">
        <v>131.49</v>
      </c>
      <c r="I86">
        <v>140.33000000000001</v>
      </c>
      <c r="J86">
        <v>119</v>
      </c>
      <c r="K86">
        <v>119</v>
      </c>
      <c r="L86">
        <v>119</v>
      </c>
      <c r="M86">
        <v>119</v>
      </c>
      <c r="N86">
        <v>119</v>
      </c>
      <c r="O86">
        <v>119</v>
      </c>
      <c r="P86">
        <v>119</v>
      </c>
      <c r="Q86">
        <v>119</v>
      </c>
      <c r="R86">
        <v>119</v>
      </c>
      <c r="S86">
        <v>119</v>
      </c>
      <c r="T86">
        <v>119</v>
      </c>
      <c r="U86">
        <v>119</v>
      </c>
      <c r="V86">
        <v>119</v>
      </c>
      <c r="W86">
        <v>119</v>
      </c>
      <c r="X86">
        <v>119</v>
      </c>
      <c r="Y86">
        <v>119</v>
      </c>
      <c r="Z86">
        <v>119</v>
      </c>
      <c r="AA86">
        <v>119</v>
      </c>
      <c r="AB86">
        <v>119</v>
      </c>
      <c r="AC86">
        <v>119</v>
      </c>
      <c r="AD86">
        <v>119</v>
      </c>
      <c r="AE86">
        <v>119</v>
      </c>
      <c r="AF86">
        <v>119</v>
      </c>
      <c r="AG86">
        <v>119</v>
      </c>
      <c r="AH86">
        <v>119</v>
      </c>
      <c r="AI86">
        <v>119</v>
      </c>
      <c r="AJ86">
        <v>119</v>
      </c>
      <c r="AK86">
        <v>119</v>
      </c>
      <c r="AL86">
        <v>119</v>
      </c>
      <c r="AM86">
        <v>119</v>
      </c>
    </row>
    <row r="87" spans="2:39" x14ac:dyDescent="0.25">
      <c r="B87">
        <v>84</v>
      </c>
      <c r="C87">
        <v>118.12</v>
      </c>
      <c r="D87">
        <v>118.12</v>
      </c>
      <c r="E87">
        <v>116.22</v>
      </c>
      <c r="F87">
        <v>113.52</v>
      </c>
      <c r="G87">
        <v>120.01</v>
      </c>
      <c r="H87">
        <v>117.67</v>
      </c>
      <c r="I87">
        <v>115.79</v>
      </c>
      <c r="J87">
        <v>109</v>
      </c>
      <c r="K87">
        <v>109</v>
      </c>
      <c r="L87">
        <v>109</v>
      </c>
      <c r="M87">
        <v>109</v>
      </c>
      <c r="N87">
        <v>109</v>
      </c>
      <c r="O87">
        <v>109</v>
      </c>
      <c r="P87">
        <v>109</v>
      </c>
      <c r="Q87">
        <v>109</v>
      </c>
      <c r="R87">
        <v>109</v>
      </c>
      <c r="S87">
        <v>109</v>
      </c>
      <c r="T87">
        <v>109</v>
      </c>
      <c r="U87">
        <v>109</v>
      </c>
      <c r="V87">
        <v>109</v>
      </c>
      <c r="W87">
        <v>109</v>
      </c>
      <c r="X87">
        <v>109</v>
      </c>
      <c r="Y87">
        <v>109</v>
      </c>
      <c r="Z87">
        <v>109</v>
      </c>
      <c r="AA87">
        <v>109</v>
      </c>
      <c r="AB87">
        <v>109</v>
      </c>
      <c r="AC87">
        <v>109</v>
      </c>
      <c r="AD87">
        <v>109</v>
      </c>
      <c r="AE87">
        <v>109</v>
      </c>
      <c r="AF87">
        <v>109</v>
      </c>
      <c r="AG87">
        <v>109</v>
      </c>
      <c r="AH87">
        <v>109</v>
      </c>
      <c r="AI87">
        <v>109</v>
      </c>
      <c r="AJ87">
        <v>109</v>
      </c>
      <c r="AK87">
        <v>109</v>
      </c>
      <c r="AL87">
        <v>109</v>
      </c>
      <c r="AM87">
        <v>109</v>
      </c>
    </row>
    <row r="88" spans="2:39" x14ac:dyDescent="0.25">
      <c r="B88">
        <v>85</v>
      </c>
      <c r="C88">
        <v>299</v>
      </c>
      <c r="D88">
        <v>299</v>
      </c>
      <c r="E88">
        <v>299</v>
      </c>
      <c r="F88">
        <v>299</v>
      </c>
      <c r="G88">
        <v>299</v>
      </c>
      <c r="H88">
        <v>299</v>
      </c>
      <c r="I88">
        <v>299</v>
      </c>
      <c r="J88">
        <v>299</v>
      </c>
      <c r="K88">
        <v>299</v>
      </c>
      <c r="L88">
        <v>299</v>
      </c>
      <c r="M88">
        <v>299</v>
      </c>
      <c r="N88">
        <v>299</v>
      </c>
      <c r="O88">
        <v>299</v>
      </c>
      <c r="P88">
        <v>299</v>
      </c>
      <c r="Q88">
        <v>299</v>
      </c>
      <c r="R88">
        <v>299</v>
      </c>
      <c r="S88">
        <v>299</v>
      </c>
      <c r="T88">
        <v>299</v>
      </c>
      <c r="U88">
        <v>299</v>
      </c>
      <c r="V88">
        <v>299</v>
      </c>
      <c r="W88">
        <v>299</v>
      </c>
      <c r="X88">
        <v>299</v>
      </c>
      <c r="Y88">
        <v>299</v>
      </c>
      <c r="Z88">
        <v>299</v>
      </c>
      <c r="AA88">
        <v>299</v>
      </c>
      <c r="AB88">
        <v>299</v>
      </c>
      <c r="AC88">
        <v>299</v>
      </c>
      <c r="AD88">
        <v>299</v>
      </c>
      <c r="AE88">
        <v>299</v>
      </c>
      <c r="AF88">
        <v>299</v>
      </c>
      <c r="AG88">
        <v>309.47000000000003</v>
      </c>
      <c r="AH88">
        <v>309.47000000000003</v>
      </c>
      <c r="AI88">
        <v>309.47000000000003</v>
      </c>
      <c r="AJ88">
        <v>309.47000000000003</v>
      </c>
      <c r="AK88">
        <v>309.47000000000003</v>
      </c>
      <c r="AL88">
        <v>309.47000000000003</v>
      </c>
      <c r="AM88">
        <v>309.47000000000003</v>
      </c>
    </row>
    <row r="89" spans="2:39" x14ac:dyDescent="0.25">
      <c r="B89">
        <v>86</v>
      </c>
      <c r="C89">
        <v>179</v>
      </c>
      <c r="D89">
        <v>179</v>
      </c>
      <c r="E89">
        <v>179</v>
      </c>
      <c r="F89">
        <v>179</v>
      </c>
      <c r="G89">
        <v>179</v>
      </c>
      <c r="H89">
        <v>179</v>
      </c>
      <c r="I89">
        <v>179</v>
      </c>
      <c r="J89">
        <v>179</v>
      </c>
      <c r="K89">
        <v>179</v>
      </c>
      <c r="L89">
        <v>179</v>
      </c>
      <c r="M89">
        <v>179</v>
      </c>
      <c r="N89">
        <v>179</v>
      </c>
      <c r="O89">
        <v>179</v>
      </c>
      <c r="P89">
        <v>179</v>
      </c>
      <c r="Q89">
        <v>179</v>
      </c>
      <c r="R89">
        <v>179</v>
      </c>
      <c r="S89">
        <v>179</v>
      </c>
      <c r="T89">
        <v>179</v>
      </c>
      <c r="U89">
        <v>179</v>
      </c>
      <c r="V89">
        <v>179</v>
      </c>
      <c r="W89">
        <v>179</v>
      </c>
      <c r="X89">
        <v>179</v>
      </c>
      <c r="Y89">
        <v>179</v>
      </c>
      <c r="Z89">
        <v>179</v>
      </c>
      <c r="AA89">
        <v>179</v>
      </c>
      <c r="AB89">
        <v>179</v>
      </c>
      <c r="AC89">
        <v>179</v>
      </c>
      <c r="AD89">
        <v>179</v>
      </c>
      <c r="AE89">
        <v>179</v>
      </c>
      <c r="AF89">
        <v>100</v>
      </c>
      <c r="AG89">
        <v>100</v>
      </c>
      <c r="AH89">
        <v>100</v>
      </c>
      <c r="AI89">
        <v>100</v>
      </c>
      <c r="AJ89">
        <v>100</v>
      </c>
      <c r="AK89">
        <v>100</v>
      </c>
      <c r="AL89">
        <v>100</v>
      </c>
      <c r="AM89">
        <v>100</v>
      </c>
    </row>
    <row r="90" spans="2:39" x14ac:dyDescent="0.25">
      <c r="B90">
        <v>87</v>
      </c>
      <c r="C90">
        <v>179</v>
      </c>
      <c r="D90">
        <v>179</v>
      </c>
      <c r="E90">
        <v>179</v>
      </c>
      <c r="F90">
        <v>179</v>
      </c>
      <c r="G90">
        <v>179</v>
      </c>
      <c r="H90">
        <v>179</v>
      </c>
      <c r="I90">
        <v>179</v>
      </c>
      <c r="J90">
        <v>179</v>
      </c>
      <c r="K90">
        <v>179</v>
      </c>
      <c r="L90">
        <v>179</v>
      </c>
      <c r="M90">
        <v>179</v>
      </c>
      <c r="N90">
        <v>179</v>
      </c>
      <c r="O90">
        <v>179</v>
      </c>
      <c r="P90">
        <v>179</v>
      </c>
      <c r="Q90">
        <v>179</v>
      </c>
      <c r="R90">
        <v>179</v>
      </c>
      <c r="S90">
        <v>179</v>
      </c>
      <c r="T90">
        <v>179</v>
      </c>
      <c r="U90">
        <v>179</v>
      </c>
      <c r="V90">
        <v>179</v>
      </c>
      <c r="W90">
        <v>179</v>
      </c>
      <c r="X90">
        <v>179</v>
      </c>
      <c r="Y90">
        <v>179</v>
      </c>
      <c r="Z90">
        <v>179</v>
      </c>
      <c r="AA90">
        <v>179</v>
      </c>
      <c r="AB90">
        <v>179</v>
      </c>
      <c r="AC90">
        <v>179</v>
      </c>
      <c r="AD90">
        <v>179</v>
      </c>
      <c r="AE90">
        <v>179</v>
      </c>
      <c r="AF90">
        <v>179</v>
      </c>
      <c r="AG90">
        <v>179</v>
      </c>
      <c r="AH90">
        <v>185.27</v>
      </c>
      <c r="AI90">
        <v>185.27</v>
      </c>
      <c r="AJ90">
        <v>185.27</v>
      </c>
      <c r="AK90">
        <v>185.27</v>
      </c>
      <c r="AL90">
        <v>185.27</v>
      </c>
      <c r="AM90">
        <v>185.27</v>
      </c>
    </row>
    <row r="91" spans="2:39" x14ac:dyDescent="0.25">
      <c r="B91">
        <v>88</v>
      </c>
      <c r="C91">
        <v>205.31</v>
      </c>
      <c r="D91">
        <v>205.31</v>
      </c>
      <c r="E91">
        <v>209.57</v>
      </c>
      <c r="F91">
        <v>232.46</v>
      </c>
      <c r="G91">
        <v>214.64</v>
      </c>
      <c r="H91">
        <v>204.11</v>
      </c>
      <c r="I91">
        <v>212.6</v>
      </c>
      <c r="J91">
        <v>179</v>
      </c>
      <c r="K91">
        <v>656.93000000000006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2:39" x14ac:dyDescent="0.25">
      <c r="B92">
        <v>89</v>
      </c>
      <c r="C92">
        <v>191.72</v>
      </c>
      <c r="D92">
        <v>191.72</v>
      </c>
      <c r="E92">
        <v>188.69</v>
      </c>
      <c r="F92">
        <v>195.56</v>
      </c>
      <c r="G92">
        <v>190.19</v>
      </c>
      <c r="H92">
        <v>187.19</v>
      </c>
      <c r="I92">
        <v>196.49</v>
      </c>
      <c r="J92">
        <v>179</v>
      </c>
      <c r="K92">
        <v>656.93000000000006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2:39" x14ac:dyDescent="0.25">
      <c r="B93">
        <v>90</v>
      </c>
      <c r="C93">
        <v>170.05</v>
      </c>
      <c r="D93">
        <v>170.05</v>
      </c>
      <c r="E93">
        <v>170.05</v>
      </c>
      <c r="F93">
        <v>170.05</v>
      </c>
      <c r="G93">
        <v>170.05</v>
      </c>
      <c r="H93">
        <v>170.05</v>
      </c>
      <c r="I93">
        <v>170.05</v>
      </c>
      <c r="J93">
        <v>170.05</v>
      </c>
      <c r="K93">
        <v>170.05</v>
      </c>
      <c r="L93">
        <v>170.05</v>
      </c>
      <c r="M93">
        <v>179</v>
      </c>
      <c r="N93">
        <v>179</v>
      </c>
      <c r="O93">
        <v>179</v>
      </c>
      <c r="P93">
        <v>179</v>
      </c>
      <c r="Q93">
        <v>179</v>
      </c>
      <c r="R93">
        <v>179</v>
      </c>
      <c r="S93">
        <v>179</v>
      </c>
      <c r="T93">
        <v>179</v>
      </c>
      <c r="U93">
        <v>179</v>
      </c>
      <c r="V93">
        <v>179</v>
      </c>
      <c r="W93">
        <v>179</v>
      </c>
      <c r="X93">
        <v>179</v>
      </c>
      <c r="Y93">
        <v>179</v>
      </c>
      <c r="Z93">
        <v>179</v>
      </c>
      <c r="AA93">
        <v>179</v>
      </c>
      <c r="AB93">
        <v>179</v>
      </c>
      <c r="AC93">
        <v>179</v>
      </c>
      <c r="AD93">
        <v>185.27</v>
      </c>
      <c r="AE93">
        <v>185.27</v>
      </c>
      <c r="AF93">
        <v>185.27</v>
      </c>
      <c r="AG93">
        <v>185.27</v>
      </c>
      <c r="AH93">
        <v>185.27</v>
      </c>
      <c r="AI93">
        <v>185.27</v>
      </c>
      <c r="AJ93">
        <v>185.27</v>
      </c>
      <c r="AK93">
        <v>191.75</v>
      </c>
      <c r="AL93">
        <v>191.75</v>
      </c>
      <c r="AM93">
        <v>191.75</v>
      </c>
    </row>
    <row r="94" spans="2:39" x14ac:dyDescent="0.25">
      <c r="B94">
        <v>91</v>
      </c>
      <c r="C94">
        <v>349</v>
      </c>
      <c r="D94">
        <v>349</v>
      </c>
      <c r="E94">
        <v>349</v>
      </c>
      <c r="F94">
        <v>349</v>
      </c>
      <c r="G94">
        <v>349</v>
      </c>
      <c r="H94">
        <v>349</v>
      </c>
      <c r="I94">
        <v>349</v>
      </c>
      <c r="J94">
        <v>349</v>
      </c>
      <c r="K94">
        <v>349</v>
      </c>
      <c r="L94">
        <v>349</v>
      </c>
      <c r="M94">
        <v>349</v>
      </c>
      <c r="N94">
        <v>349</v>
      </c>
      <c r="O94">
        <v>349</v>
      </c>
      <c r="P94">
        <v>349</v>
      </c>
      <c r="Q94">
        <v>349</v>
      </c>
      <c r="R94">
        <v>349</v>
      </c>
      <c r="S94">
        <v>349</v>
      </c>
      <c r="T94">
        <v>349</v>
      </c>
      <c r="U94">
        <v>349</v>
      </c>
      <c r="V94">
        <v>349</v>
      </c>
      <c r="W94">
        <v>349</v>
      </c>
      <c r="X94">
        <v>349</v>
      </c>
      <c r="Y94">
        <v>349</v>
      </c>
      <c r="Z94">
        <v>349</v>
      </c>
      <c r="AA94">
        <v>349</v>
      </c>
      <c r="AB94">
        <v>349</v>
      </c>
      <c r="AC94">
        <v>349</v>
      </c>
      <c r="AD94">
        <v>349</v>
      </c>
      <c r="AE94">
        <v>349</v>
      </c>
      <c r="AF94">
        <v>349</v>
      </c>
      <c r="AG94">
        <v>361.22</v>
      </c>
      <c r="AH94">
        <v>361.22</v>
      </c>
      <c r="AI94">
        <v>361.22</v>
      </c>
      <c r="AJ94">
        <v>361.22</v>
      </c>
      <c r="AK94">
        <v>361.22</v>
      </c>
      <c r="AL94">
        <v>361.22</v>
      </c>
      <c r="AM94">
        <v>361.22</v>
      </c>
    </row>
    <row r="95" spans="2:39" x14ac:dyDescent="0.25">
      <c r="B95">
        <v>92</v>
      </c>
      <c r="C95">
        <v>146.5</v>
      </c>
      <c r="D95">
        <v>146.5</v>
      </c>
      <c r="E95">
        <v>146.5</v>
      </c>
      <c r="F95">
        <v>146.5</v>
      </c>
      <c r="G95">
        <v>146.5</v>
      </c>
      <c r="H95">
        <v>146.5</v>
      </c>
      <c r="I95">
        <v>146.5</v>
      </c>
      <c r="J95">
        <v>146.5</v>
      </c>
      <c r="K95">
        <v>146.5</v>
      </c>
      <c r="L95">
        <v>227.05</v>
      </c>
      <c r="M95">
        <v>227.05</v>
      </c>
      <c r="N95">
        <v>227.05</v>
      </c>
      <c r="O95">
        <v>227.05</v>
      </c>
      <c r="P95">
        <v>227.05</v>
      </c>
      <c r="Q95">
        <v>227.05</v>
      </c>
      <c r="R95">
        <v>227.05</v>
      </c>
      <c r="S95">
        <v>227.05</v>
      </c>
      <c r="T95">
        <v>227.05</v>
      </c>
      <c r="U95">
        <v>227.05</v>
      </c>
      <c r="V95">
        <v>227.05</v>
      </c>
      <c r="W95">
        <v>227.05</v>
      </c>
      <c r="X95">
        <v>227.05</v>
      </c>
      <c r="Y95">
        <v>227.05</v>
      </c>
      <c r="Z95">
        <v>227.05</v>
      </c>
      <c r="AA95">
        <v>227.05</v>
      </c>
      <c r="AB95">
        <v>170.05</v>
      </c>
      <c r="AC95">
        <v>170.05</v>
      </c>
      <c r="AD95">
        <v>170.05</v>
      </c>
      <c r="AE95">
        <v>170.05</v>
      </c>
      <c r="AF95">
        <v>170.05</v>
      </c>
      <c r="AG95">
        <v>170.05</v>
      </c>
      <c r="AH95">
        <v>170.05</v>
      </c>
      <c r="AI95">
        <v>170.05</v>
      </c>
      <c r="AJ95">
        <v>170.05</v>
      </c>
      <c r="AK95">
        <v>170.05</v>
      </c>
      <c r="AL95">
        <v>170.05</v>
      </c>
      <c r="AM95">
        <v>170.05</v>
      </c>
    </row>
    <row r="96" spans="2:39" x14ac:dyDescent="0.25">
      <c r="B96">
        <v>93</v>
      </c>
      <c r="C96">
        <v>305.10000000000002</v>
      </c>
      <c r="D96">
        <v>305.10000000000002</v>
      </c>
      <c r="E96">
        <v>179</v>
      </c>
      <c r="F96">
        <v>179</v>
      </c>
      <c r="G96">
        <v>179</v>
      </c>
      <c r="H96">
        <v>179</v>
      </c>
      <c r="I96">
        <v>179</v>
      </c>
      <c r="J96">
        <v>179</v>
      </c>
      <c r="K96">
        <v>179</v>
      </c>
      <c r="L96">
        <v>179</v>
      </c>
      <c r="M96">
        <v>179</v>
      </c>
      <c r="N96">
        <v>179</v>
      </c>
      <c r="O96">
        <v>179</v>
      </c>
      <c r="P96">
        <v>179</v>
      </c>
      <c r="Q96">
        <v>179</v>
      </c>
      <c r="R96">
        <v>179</v>
      </c>
      <c r="S96">
        <v>179</v>
      </c>
      <c r="T96">
        <v>179</v>
      </c>
      <c r="U96">
        <v>179</v>
      </c>
      <c r="V96">
        <v>179</v>
      </c>
      <c r="W96">
        <v>179</v>
      </c>
      <c r="X96">
        <v>179</v>
      </c>
      <c r="Y96">
        <v>179</v>
      </c>
      <c r="Z96">
        <v>179</v>
      </c>
      <c r="AA96">
        <v>179</v>
      </c>
      <c r="AB96">
        <v>179</v>
      </c>
      <c r="AC96">
        <v>179</v>
      </c>
      <c r="AD96">
        <v>179</v>
      </c>
      <c r="AE96">
        <v>179</v>
      </c>
      <c r="AF96">
        <v>179</v>
      </c>
      <c r="AG96">
        <v>179</v>
      </c>
      <c r="AH96">
        <v>185.27</v>
      </c>
      <c r="AI96">
        <v>185.27</v>
      </c>
      <c r="AJ96">
        <v>185.27</v>
      </c>
      <c r="AK96">
        <v>185.27</v>
      </c>
      <c r="AL96">
        <v>185.27</v>
      </c>
      <c r="AM96">
        <v>185.27</v>
      </c>
    </row>
    <row r="97" spans="2:39" x14ac:dyDescent="0.25">
      <c r="B97">
        <v>94</v>
      </c>
      <c r="C97">
        <v>349</v>
      </c>
      <c r="D97">
        <v>349</v>
      </c>
      <c r="E97">
        <v>349</v>
      </c>
      <c r="F97">
        <v>349</v>
      </c>
      <c r="G97">
        <v>349</v>
      </c>
      <c r="H97">
        <v>349</v>
      </c>
      <c r="I97">
        <v>349</v>
      </c>
      <c r="J97">
        <v>349</v>
      </c>
      <c r="K97">
        <v>349</v>
      </c>
      <c r="L97">
        <v>349</v>
      </c>
      <c r="M97">
        <v>349</v>
      </c>
      <c r="N97">
        <v>349</v>
      </c>
      <c r="O97">
        <v>349</v>
      </c>
      <c r="P97">
        <v>349</v>
      </c>
      <c r="Q97">
        <v>349</v>
      </c>
      <c r="R97">
        <v>349</v>
      </c>
      <c r="S97">
        <v>349</v>
      </c>
      <c r="T97">
        <v>349</v>
      </c>
      <c r="U97">
        <v>349</v>
      </c>
      <c r="V97">
        <v>349</v>
      </c>
      <c r="W97">
        <v>349</v>
      </c>
      <c r="X97">
        <v>349</v>
      </c>
      <c r="Y97">
        <v>364.75</v>
      </c>
      <c r="Z97">
        <v>361.22</v>
      </c>
      <c r="AA97">
        <v>361.22</v>
      </c>
      <c r="AB97">
        <v>361.22</v>
      </c>
      <c r="AC97">
        <v>361.22</v>
      </c>
      <c r="AD97">
        <v>361.22</v>
      </c>
      <c r="AE97">
        <v>361.22</v>
      </c>
      <c r="AF97">
        <v>361.22</v>
      </c>
      <c r="AG97">
        <v>361.22</v>
      </c>
      <c r="AH97">
        <v>361.22</v>
      </c>
      <c r="AI97">
        <v>361.22</v>
      </c>
      <c r="AJ97">
        <v>373.86</v>
      </c>
      <c r="AK97">
        <v>373.86</v>
      </c>
      <c r="AL97">
        <v>373.86</v>
      </c>
      <c r="AM97">
        <v>373.86</v>
      </c>
    </row>
    <row r="98" spans="2:39" x14ac:dyDescent="0.25">
      <c r="B98">
        <v>95</v>
      </c>
      <c r="C98">
        <v>129</v>
      </c>
      <c r="D98">
        <v>129</v>
      </c>
      <c r="E98">
        <v>129</v>
      </c>
      <c r="F98">
        <v>129</v>
      </c>
      <c r="G98">
        <v>129</v>
      </c>
      <c r="H98">
        <v>129</v>
      </c>
      <c r="I98">
        <v>129</v>
      </c>
      <c r="J98">
        <v>129</v>
      </c>
      <c r="K98">
        <v>129</v>
      </c>
      <c r="L98">
        <v>129</v>
      </c>
      <c r="M98">
        <v>129</v>
      </c>
      <c r="N98">
        <v>129</v>
      </c>
      <c r="O98">
        <v>129</v>
      </c>
      <c r="P98">
        <v>129</v>
      </c>
      <c r="Q98">
        <v>129</v>
      </c>
      <c r="R98">
        <v>129</v>
      </c>
      <c r="S98">
        <v>129</v>
      </c>
      <c r="T98">
        <v>129</v>
      </c>
      <c r="U98">
        <v>129</v>
      </c>
      <c r="V98">
        <v>129</v>
      </c>
      <c r="W98">
        <v>129</v>
      </c>
      <c r="X98">
        <v>129</v>
      </c>
      <c r="Y98">
        <v>129</v>
      </c>
      <c r="Z98">
        <v>129</v>
      </c>
      <c r="AA98">
        <v>129</v>
      </c>
      <c r="AB98">
        <v>129</v>
      </c>
      <c r="AC98">
        <v>129</v>
      </c>
      <c r="AD98">
        <v>129</v>
      </c>
      <c r="AE98">
        <v>129</v>
      </c>
      <c r="AF98">
        <v>129</v>
      </c>
      <c r="AG98">
        <v>129</v>
      </c>
      <c r="AH98">
        <v>129</v>
      </c>
      <c r="AI98">
        <v>129</v>
      </c>
      <c r="AJ98">
        <v>129</v>
      </c>
      <c r="AK98">
        <v>129</v>
      </c>
      <c r="AL98">
        <v>129</v>
      </c>
      <c r="AM98">
        <v>129</v>
      </c>
    </row>
    <row r="99" spans="2:39" x14ac:dyDescent="0.25">
      <c r="B99">
        <v>96</v>
      </c>
      <c r="C99">
        <v>284.05</v>
      </c>
      <c r="D99">
        <v>284.05</v>
      </c>
      <c r="E99">
        <v>284.05</v>
      </c>
      <c r="F99">
        <v>284.05</v>
      </c>
      <c r="G99">
        <v>284.05</v>
      </c>
      <c r="H99">
        <v>284.05</v>
      </c>
      <c r="I99">
        <v>290.02999999999997</v>
      </c>
      <c r="J99">
        <v>290.02999999999997</v>
      </c>
      <c r="K99">
        <v>290.02999999999997</v>
      </c>
      <c r="L99">
        <v>290.02999999999997</v>
      </c>
      <c r="M99">
        <v>281.33</v>
      </c>
      <c r="N99">
        <v>281.33</v>
      </c>
      <c r="O99">
        <v>281.33</v>
      </c>
      <c r="P99">
        <v>281.33</v>
      </c>
      <c r="Q99">
        <v>281.33</v>
      </c>
      <c r="R99">
        <v>281.33</v>
      </c>
      <c r="S99">
        <v>281.33</v>
      </c>
      <c r="T99">
        <v>290.02999999999997</v>
      </c>
      <c r="U99">
        <v>290.02999999999997</v>
      </c>
      <c r="V99">
        <v>290.02999999999997</v>
      </c>
      <c r="W99">
        <v>290.02999999999997</v>
      </c>
      <c r="X99">
        <v>290.02999999999997</v>
      </c>
      <c r="Y99">
        <v>290.02999999999997</v>
      </c>
      <c r="Z99">
        <v>290.02999999999997</v>
      </c>
      <c r="AA99">
        <v>290.02999999999997</v>
      </c>
      <c r="AB99">
        <v>290.02999999999997</v>
      </c>
      <c r="AC99">
        <v>290.02999999999997</v>
      </c>
      <c r="AD99">
        <v>290.02999999999997</v>
      </c>
      <c r="AE99">
        <v>284.05</v>
      </c>
      <c r="AF99">
        <v>284.05</v>
      </c>
      <c r="AG99">
        <v>284.05</v>
      </c>
      <c r="AH99">
        <v>294</v>
      </c>
      <c r="AI99">
        <v>294</v>
      </c>
      <c r="AJ99">
        <v>294</v>
      </c>
      <c r="AK99">
        <v>294</v>
      </c>
      <c r="AL99">
        <v>294</v>
      </c>
      <c r="AM99">
        <v>294</v>
      </c>
    </row>
    <row r="100" spans="2:39" x14ac:dyDescent="0.25">
      <c r="B100">
        <v>97</v>
      </c>
      <c r="C100">
        <v>319</v>
      </c>
      <c r="D100">
        <v>319</v>
      </c>
      <c r="E100">
        <v>319</v>
      </c>
      <c r="F100">
        <v>319</v>
      </c>
      <c r="G100">
        <v>319</v>
      </c>
      <c r="H100">
        <v>319</v>
      </c>
      <c r="I100">
        <v>378</v>
      </c>
      <c r="J100">
        <v>279</v>
      </c>
      <c r="K100">
        <v>279</v>
      </c>
      <c r="L100">
        <v>279</v>
      </c>
      <c r="M100">
        <v>279</v>
      </c>
      <c r="N100">
        <v>279</v>
      </c>
      <c r="O100">
        <v>279</v>
      </c>
      <c r="P100">
        <v>279</v>
      </c>
      <c r="Q100">
        <v>279</v>
      </c>
      <c r="R100">
        <v>279</v>
      </c>
      <c r="S100">
        <v>279</v>
      </c>
      <c r="T100">
        <v>279</v>
      </c>
      <c r="U100">
        <v>279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2:39" x14ac:dyDescent="0.25">
      <c r="B101">
        <v>98</v>
      </c>
      <c r="C101">
        <v>299</v>
      </c>
      <c r="D101">
        <v>299</v>
      </c>
      <c r="E101">
        <v>299</v>
      </c>
      <c r="F101">
        <v>299</v>
      </c>
      <c r="G101">
        <v>299</v>
      </c>
      <c r="H101">
        <v>299</v>
      </c>
      <c r="I101">
        <v>299</v>
      </c>
      <c r="J101">
        <v>74.75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2:39" x14ac:dyDescent="0.25">
      <c r="B102">
        <v>99</v>
      </c>
      <c r="C102">
        <v>195.11</v>
      </c>
      <c r="D102">
        <v>195.11</v>
      </c>
      <c r="E102">
        <v>195.11</v>
      </c>
      <c r="F102">
        <v>195.11</v>
      </c>
      <c r="G102">
        <v>195.11</v>
      </c>
      <c r="H102">
        <v>195.11</v>
      </c>
      <c r="I102">
        <v>195.11</v>
      </c>
      <c r="J102">
        <v>195.11</v>
      </c>
      <c r="K102">
        <v>195.11</v>
      </c>
      <c r="L102">
        <v>195.11</v>
      </c>
      <c r="M102">
        <v>195.11</v>
      </c>
      <c r="N102">
        <v>195.11</v>
      </c>
      <c r="O102">
        <v>195.11</v>
      </c>
      <c r="P102">
        <v>195.11</v>
      </c>
      <c r="Q102">
        <v>195.11</v>
      </c>
      <c r="R102">
        <v>195.11</v>
      </c>
      <c r="S102">
        <v>195.11</v>
      </c>
      <c r="T102">
        <v>195.11</v>
      </c>
      <c r="U102">
        <v>195.11</v>
      </c>
      <c r="V102">
        <v>195.11</v>
      </c>
      <c r="W102">
        <v>195.11</v>
      </c>
      <c r="X102">
        <v>195.11</v>
      </c>
      <c r="Y102">
        <v>195.11</v>
      </c>
      <c r="Z102">
        <v>195.11</v>
      </c>
      <c r="AA102">
        <v>195.11</v>
      </c>
      <c r="AB102">
        <v>195.11</v>
      </c>
      <c r="AC102">
        <v>195.11</v>
      </c>
      <c r="AD102">
        <v>201.94</v>
      </c>
      <c r="AE102">
        <v>201.94</v>
      </c>
      <c r="AF102">
        <v>201.94</v>
      </c>
      <c r="AG102">
        <v>201.94</v>
      </c>
      <c r="AH102">
        <v>201.94</v>
      </c>
      <c r="AI102">
        <v>201.94</v>
      </c>
      <c r="AJ102">
        <v>201.94</v>
      </c>
      <c r="AK102">
        <v>201.94</v>
      </c>
      <c r="AL102">
        <v>201.94</v>
      </c>
      <c r="AM102">
        <v>201.94</v>
      </c>
    </row>
    <row r="103" spans="2:39" x14ac:dyDescent="0.25">
      <c r="B103">
        <v>100</v>
      </c>
      <c r="C103">
        <v>259</v>
      </c>
      <c r="D103">
        <v>259</v>
      </c>
      <c r="E103">
        <v>259</v>
      </c>
      <c r="F103">
        <v>259</v>
      </c>
      <c r="G103">
        <v>259</v>
      </c>
      <c r="H103">
        <v>259</v>
      </c>
      <c r="I103">
        <v>259</v>
      </c>
      <c r="J103">
        <v>259</v>
      </c>
      <c r="K103">
        <v>259</v>
      </c>
      <c r="L103">
        <v>259</v>
      </c>
      <c r="M103">
        <v>259</v>
      </c>
      <c r="N103">
        <v>259</v>
      </c>
      <c r="O103">
        <v>259</v>
      </c>
      <c r="P103">
        <v>259</v>
      </c>
      <c r="Q103">
        <v>259</v>
      </c>
      <c r="R103">
        <v>259</v>
      </c>
      <c r="S103">
        <v>259</v>
      </c>
      <c r="T103">
        <v>259</v>
      </c>
      <c r="U103">
        <v>259</v>
      </c>
      <c r="V103">
        <v>259</v>
      </c>
      <c r="W103">
        <v>259</v>
      </c>
      <c r="X103">
        <v>279</v>
      </c>
      <c r="Y103">
        <v>279</v>
      </c>
      <c r="Z103">
        <v>279</v>
      </c>
      <c r="AA103">
        <v>279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Waterfall</vt:lpstr>
      <vt:lpstr>Top Customers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Zavalny, Igor</cp:lastModifiedBy>
  <dcterms:created xsi:type="dcterms:W3CDTF">2026-03-30T00:32:04Z</dcterms:created>
  <dcterms:modified xsi:type="dcterms:W3CDTF">2026-03-30T01:04:38Z</dcterms:modified>
</cp:coreProperties>
</file>