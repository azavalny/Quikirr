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D:\Quikirr\"/>
    </mc:Choice>
  </mc:AlternateContent>
  <xr:revisionPtr revIDLastSave="0" documentId="13_ncr:1_{4E1BB61A-A7B4-45BF-9DE5-F40DC25F9296}" xr6:coauthVersionLast="47" xr6:coauthVersionMax="47" xr10:uidLastSave="{00000000-0000-0000-0000-000000000000}"/>
  <bookViews>
    <workbookView xWindow="-120" yWindow="-120" windowWidth="29040" windowHeight="15720" firstSheet="3" activeTab="7" xr2:uid="{ABEAC60B-C521-48D2-BBBF-36701F79EFF1}"/>
  </bookViews>
  <sheets>
    <sheet name="ToC" sheetId="3" r:id="rId1"/>
    <sheet name="Checks" sheetId="4" state="veryHidden" r:id="rId2"/>
    <sheet name="Waterfalls &gt;" sheetId="5" r:id="rId3"/>
    <sheet name="Annual Waterfall" sheetId="6" r:id="rId4"/>
    <sheet name="Quarterly Waterfall" sheetId="7" r:id="rId5"/>
    <sheet name="LTM Waterfall" sheetId="8" r:id="rId6"/>
    <sheet name="Customers &gt;" sheetId="10" r:id="rId7"/>
    <sheet name="Top Customers" sheetId="11" r:id="rId8"/>
    <sheet name="Data Foundation &gt;" sheetId="12" r:id="rId9"/>
    <sheet name="Quikirr Data" sheetId="2" r:id="rId10"/>
    <sheet name="Source Data" sheetId="13" r:id="rId11"/>
  </sheets>
  <definedNames>
    <definedName name="____________________________________________________ppp2" hidden="1">{"FCB_ALL",#N/A,FALSE,"FCB"}</definedName>
    <definedName name="_________________________________________________ppp2" hidden="1">{"FCB_ALL",#N/A,FALSE,"FCB"}</definedName>
    <definedName name="______________________________________________ppp2" hidden="1">{"FCB_ALL",#N/A,FALSE,"FCB"}</definedName>
    <definedName name="____________________________________________ppp2" hidden="1">{"FCB_ALL",#N/A,FALSE,"FCB"}</definedName>
    <definedName name="__________________________________________ppp2" hidden="1">{"FCB_ALL",#N/A,FALSE,"FCB"}</definedName>
    <definedName name="_______________________________________ppp2" hidden="1">{"FCB_ALL",#N/A,FALSE,"FCB"}</definedName>
    <definedName name="___________________________________ppp2" hidden="1">{"FCB_ALL",#N/A,FALSE,"FCB"}</definedName>
    <definedName name="________________________________ppp2" hidden="1">{"FCB_ALL",#N/A,FALSE,"FCB"}</definedName>
    <definedName name="______________________________ppp2" hidden="1">{"FCB_ALL",#N/A,FALSE,"FCB"}</definedName>
    <definedName name="___________________________ppp2" hidden="1">{"FCB_ALL",#N/A,FALSE,"FCB"}</definedName>
    <definedName name="________________________ppp2" hidden="1">{"FCB_ALL",#N/A,FALSE,"FCB"}</definedName>
    <definedName name="_____________________ppp2" hidden="1">{"FCB_ALL",#N/A,FALSE,"FCB"}</definedName>
    <definedName name="__________________ppp2" hidden="1">{"FCB_ALL",#N/A,FALSE,"FCB"}</definedName>
    <definedName name="_______________ppp2" hidden="1">{"FCB_ALL",#N/A,FALSE,"FCB"}</definedName>
    <definedName name="_____________ppp2" hidden="1">{"FCB_ALL",#N/A,FALSE,"FCB"}</definedName>
    <definedName name="___________ppp2" hidden="1">{"FCB_ALL",#N/A,FALSE,"FCB"}</definedName>
    <definedName name="________hhh9" hidden="1">{#N/A,#N/A,FALSE,"MAY";#N/A,#N/A,FALSE,"Q2";#N/A,#N/A,FALSE,"YTD"}</definedName>
    <definedName name="________ppp2" hidden="1">{"FCB_ALL",#N/A,FALSE,"FCB"}</definedName>
    <definedName name="________uuu11" hidden="1">{#N/A,#N/A,FALSE,"MAY";#N/A,#N/A,FALSE,"Q2";#N/A,#N/A,FALSE,"YTD"}</definedName>
    <definedName name="________WC1" hidden="1">#REF!</definedName>
    <definedName name="________WC2" hidden="1">#REF!</definedName>
    <definedName name="_______hhh9" hidden="1">{#N/A,#N/A,FALSE,"MAY";#N/A,#N/A,FALSE,"Q2";#N/A,#N/A,FALSE,"YTD"}</definedName>
    <definedName name="_______uuu11" hidden="1">{#N/A,#N/A,FALSE,"MAY";#N/A,#N/A,FALSE,"Q2";#N/A,#N/A,FALSE,"YTD"}</definedName>
    <definedName name="_______WC1" hidden="1">#REF!</definedName>
    <definedName name="_______WC2" hidden="1">#REF!</definedName>
    <definedName name="______hhh9" hidden="1">{#N/A,#N/A,FALSE,"MAY";#N/A,#N/A,FALSE,"Q2";#N/A,#N/A,FALSE,"YTD"}</definedName>
    <definedName name="______Key2" hidden="1">#REF!</definedName>
    <definedName name="______ppp2" hidden="1">{"FCB_ALL",#N/A,FALSE,"FCB"}</definedName>
    <definedName name="______uuu11" hidden="1">{#N/A,#N/A,FALSE,"MAY";#N/A,#N/A,FALSE,"Q2";#N/A,#N/A,FALSE,"YTD"}</definedName>
    <definedName name="______WC1" hidden="1">#REF!</definedName>
    <definedName name="______WC2" hidden="1">#REF!</definedName>
    <definedName name="_____hhh9" hidden="1">{#N/A,#N/A,FALSE,"MAY";#N/A,#N/A,FALSE,"Q2";#N/A,#N/A,FALSE,"YTD"}</definedName>
    <definedName name="_____Key2" hidden="1">#REF!</definedName>
    <definedName name="_____Key2a" hidden="1">#REF!</definedName>
    <definedName name="_____ppp2" hidden="1">{"FCB_ALL",#N/A,FALSE,"FCB"}</definedName>
    <definedName name="_____uuu11" hidden="1">{#N/A,#N/A,FALSE,"MAY";#N/A,#N/A,FALSE,"Q2";#N/A,#N/A,FALSE,"YTD"}</definedName>
    <definedName name="_____WC1" hidden="1">#REF!</definedName>
    <definedName name="_____WC2" hidden="1">#REF!</definedName>
    <definedName name="____hhh9" hidden="1">{#N/A,#N/A,FALSE,"MAY";#N/A,#N/A,FALSE,"Q2";#N/A,#N/A,FALSE,"YTD"}</definedName>
    <definedName name="____Key2" hidden="1">#REF!</definedName>
    <definedName name="____Key2a" hidden="1">#REF!</definedName>
    <definedName name="____ppp2" hidden="1">{"FCB_ALL",#N/A,FALSE,"FCB"}</definedName>
    <definedName name="____uuu11" hidden="1">{#N/A,#N/A,FALSE,"MAY";#N/A,#N/A,FALSE,"Q2";#N/A,#N/A,FALSE,"YTD"}</definedName>
    <definedName name="____WC1" hidden="1">#REF!</definedName>
    <definedName name="____WC2" hidden="1">#REF!</definedName>
    <definedName name="___hhh9" hidden="1">{#N/A,#N/A,FALSE,"MAY";#N/A,#N/A,FALSE,"Q2";#N/A,#N/A,FALSE,"YTD"}</definedName>
    <definedName name="___Key2" hidden="1">#REF!</definedName>
    <definedName name="___mp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r" hidden="1">{"consolidated",#N/A,FALSE,"Sheet1";"cms",#N/A,FALSE,"Sheet1";"fse",#N/A,FALSE,"Sheet1"}</definedName>
    <definedName name="___uuu11" hidden="1">{#N/A,#N/A,FALSE,"MAY";#N/A,#N/A,FALSE,"Q2";#N/A,#N/A,FALSE,"YTD"}</definedName>
    <definedName name="___WC1" hidden="1">#REF!</definedName>
    <definedName name="___WC2" hidden="1">#REF!</definedName>
    <definedName name="__123Graph_A" hidden="1">#N/A</definedName>
    <definedName name="__123Graph_AB06" hidden="1">#REF!</definedName>
    <definedName name="__123Graph_ABICBETA" hidden="1">#REF!</definedName>
    <definedName name="__123Graph_ABOOKBETA" hidden="1">#REF!</definedName>
    <definedName name="__123Graph_ACOAL" hidden="1">#REF!</definedName>
    <definedName name="__123Graph_ACURRENT" hidden="1">#N/A</definedName>
    <definedName name="__123Graph_ADA" hidden="1">#REF!</definedName>
    <definedName name="__123Graph_ADEPREC2" hidden="1">#REF!</definedName>
    <definedName name="__123Graph_AEBITDABETA" hidden="1">#REF!</definedName>
    <definedName name="__123Graph_AEMPBETA" hidden="1">#REF!</definedName>
    <definedName name="__123Graph_ALRN" hidden="1">#REF!</definedName>
    <definedName name="__123Graph_ALRNRATE" hidden="1">#REF!</definedName>
    <definedName name="__123Graph_AMVICBETA" hidden="1">#REF!</definedName>
    <definedName name="__123Graph_ANIBETA" hidden="1">#REF!</definedName>
    <definedName name="__123Graph_APROCEEDS" hidden="1">#REF!</definedName>
    <definedName name="__123Graph_ASALEBETA" hidden="1">#REF!</definedName>
    <definedName name="__123Graph_ATREND" hidden="1">#REF!</definedName>
    <definedName name="__123Graph_B" hidden="1">#N/A</definedName>
    <definedName name="__123Graph_BBICBETA" hidden="1">#REF!</definedName>
    <definedName name="__123Graph_BBOOKBETA" hidden="1">#REF!</definedName>
    <definedName name="__123Graph_BCOAL" hidden="1">#REF!</definedName>
    <definedName name="__123Graph_BCURRENT" hidden="1">#N/A</definedName>
    <definedName name="__123Graph_BLRN" hidden="1">#REF!</definedName>
    <definedName name="__123Graph_BLRNRATE" hidden="1">#REF!</definedName>
    <definedName name="__123Graph_BMKTVBETA" hidden="1">#REF!</definedName>
    <definedName name="__123Graph_BPROCEEDS" hidden="1">#REF!</definedName>
    <definedName name="__123Graph_BSALEBETA" hidden="1">#REF!</definedName>
    <definedName name="__123Graph_BTREND" hidden="1">#REF!</definedName>
    <definedName name="__123Graph_C" hidden="1">#REF!</definedName>
    <definedName name="__123Graph_CCOAL" hidden="1">#REF!</definedName>
    <definedName name="__123Graph_CLRN" hidden="1">#REF!</definedName>
    <definedName name="__123Graph_CLRNRATE" hidden="1">#REF!</definedName>
    <definedName name="__123Graph_CPROCEEDS" hidden="1">#REF!</definedName>
    <definedName name="__123Graph_CTREND" hidden="1">#REF!</definedName>
    <definedName name="__123Graph_D" hidden="1">#REF!</definedName>
    <definedName name="__123Graph_DCOAL" hidden="1">#REF!</definedName>
    <definedName name="__123Graph_E" hidden="1">#REF!</definedName>
    <definedName name="__123Graph_ECOAL" hidden="1">#REF!</definedName>
    <definedName name="__123Graph_F" hidden="1">#REF!</definedName>
    <definedName name="__123Graph_X" hidden="1">#N/A</definedName>
    <definedName name="__123Graph_XCOAL" hidden="1">#REF!</definedName>
    <definedName name="__123Graph_XCURRENT" hidden="1">#N/A</definedName>
    <definedName name="__123Graph_XLRN" hidden="1">#REF!</definedName>
    <definedName name="__123Graph_XLRNRATE" hidden="1">#REF!</definedName>
    <definedName name="__123Graph_XPROCEEDS" hidden="1">#REF!</definedName>
    <definedName name="__123Graph_XTREND" hidden="1">#REF!</definedName>
    <definedName name="__bg2" hidden="1">{#N/A,#N/A,TRUE,"Summary - 1";#N/A,#N/A,TRUE,"Summary - 2";#N/A,#N/A,TRUE,"Group Analysis";#N/A,#N/A,TRUE,"FM Analysis";#N/A,#N/A,TRUE,"T&amp;M-Onsite";#N/A,#N/A,TRUE,"FP-Onsite";#N/A,#N/A,TRUE,"NB-Onsite";#N/A,#N/A,TRUE,"T&amp;M-Offshore";#N/A,#N/A,TRUE,"FP-Offshore";#N/A,#N/A,TRUE,"Appendix-A";#N/A,#N/A,TRUE,"Appendix-B"}</definedName>
    <definedName name="__bg2_1" hidden="1">{#N/A,#N/A,TRUE,"Summary - 1";#N/A,#N/A,TRUE,"Summary - 2";#N/A,#N/A,TRUE,"Group Analysis";#N/A,#N/A,TRUE,"FM Analysis";#N/A,#N/A,TRUE,"T&amp;M-Onsite";#N/A,#N/A,TRUE,"FP-Onsite";#N/A,#N/A,TRUE,"NB-Onsite";#N/A,#N/A,TRUE,"T&amp;M-Offshore";#N/A,#N/A,TRUE,"FP-Offshore";#N/A,#N/A,TRUE,"Appendix-A";#N/A,#N/A,TRUE,"Appendix-B"}</definedName>
    <definedName name="__bg3" hidden="1">{#N/A,#N/A,TRUE,"Summary - 1";#N/A,#N/A,TRUE,"Summary - 2";#N/A,#N/A,TRUE,"Group Analysis";#N/A,#N/A,TRUE,"FM Analysis";#N/A,#N/A,TRUE,"T&amp;M-Onsite";#N/A,#N/A,TRUE,"FP-Onsite";#N/A,#N/A,TRUE,"NB-Onsite";#N/A,#N/A,TRUE,"T&amp;M-Offshore";#N/A,#N/A,TRUE,"FP-Offshore";#N/A,#N/A,TRUE,"Appendix-A";#N/A,#N/A,TRUE,"Appendix-B"}</definedName>
    <definedName name="__bg3_1" hidden="1">{#N/A,#N/A,TRUE,"Summary - 1";#N/A,#N/A,TRUE,"Summary - 2";#N/A,#N/A,TRUE,"Group Analysis";#N/A,#N/A,TRUE,"FM Analysis";#N/A,#N/A,TRUE,"T&amp;M-Onsite";#N/A,#N/A,TRUE,"FP-Onsite";#N/A,#N/A,TRUE,"NB-Onsite";#N/A,#N/A,TRUE,"T&amp;M-Offshore";#N/A,#N/A,TRUE,"FP-Offshore";#N/A,#N/A,TRUE,"Appendix-A";#N/A,#N/A,TRUE,"Appendix-B"}</definedName>
    <definedName name="__BU4" hidden="1">{"Page 1",#N/A,TRUE,"Sheet1";"Page 2",#N/A,TRUE,"Sheet1"}</definedName>
    <definedName name="__BU4_1" hidden="1">{"Page 1",#N/A,TRUE,"Sheet1";"Page 2",#N/A,TRUE,"Sheet1"}</definedName>
    <definedName name="__FDS_HYPERLINK_TOGGLE_STATE__" hidden="1">"ON"</definedName>
    <definedName name="__FDS_UNIQUE_RANGE_ID_GENERATOR_COUNTER" hidden="1">118</definedName>
    <definedName name="__FDS2" hidden="1">{"bs",#N/A,FALSE,"SCF"}</definedName>
    <definedName name="__fy97" hidden="1">{#N/A,#N/A,FALSE,"FY97";#N/A,#N/A,FALSE,"FY98";#N/A,#N/A,FALSE,"FY99";#N/A,#N/A,FALSE,"FY00";#N/A,#N/A,FALSE,"FY01"}</definedName>
    <definedName name="__hhh9" hidden="1">{#N/A,#N/A,FALSE,"MAY";#N/A,#N/A,FALSE,"Q2";#N/A,#N/A,FALSE,"YTD"}</definedName>
    <definedName name="__IntlFixup" hidden="1">TRUE</definedName>
    <definedName name="__IntlFixupTable" hidden="1">#REF!</definedName>
    <definedName name="__Key2" hidden="1">#REF!</definedName>
    <definedName name="__mp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na2" hidden="1">"100"</definedName>
    <definedName name="__na3" hidden="1">"50"</definedName>
    <definedName name="__na4" hidden="1">"IQ_LTM_DATE"</definedName>
    <definedName name="__ppp2" hidden="1">{"FCB_ALL",#N/A,FALSE,"FCB"}</definedName>
    <definedName name="__Q1" hidden="1">{"'Standalone List Price Trends'!$A$1:$X$56"}</definedName>
    <definedName name="__Q1_1" hidden="1">{"'Standalone List Price Trends'!$A$1:$X$56"}</definedName>
    <definedName name="__Q2" hidden="1">{"'Standalone List Price Trends'!$A$1:$X$56"}</definedName>
    <definedName name="__Q2_1" hidden="1">{"'Standalone List Price Trends'!$A$1:$X$56"}</definedName>
    <definedName name="__Q3" hidden="1">{"'Standalone List Price Trends'!$A$1:$X$56"}</definedName>
    <definedName name="__Q3_1" hidden="1">{"'Standalone List Price Trends'!$A$1:$X$56"}</definedName>
    <definedName name="__Q4" hidden="1">{"'Standalone List Price Trends'!$A$1:$X$56"}</definedName>
    <definedName name="__Q4_1" hidden="1">{"'Standalone List Price Trends'!$A$1:$X$56"}</definedName>
    <definedName name="__Q5" hidden="1">{"'Standalone List Price Trends'!$A$1:$X$56"}</definedName>
    <definedName name="__Q5_1" hidden="1">{"'Standalone List Price Trends'!$A$1:$X$56"}</definedName>
    <definedName name="__Q9" hidden="1">{"'Standalone List Price Trends'!$A$1:$X$56"}</definedName>
    <definedName name="__Q9_1" hidden="1">{"'Standalone List Price Trends'!$A$1:$X$56"}</definedName>
    <definedName name="__r" hidden="1">{"consolidated",#N/A,FALSE,"Sheet1";"cms",#N/A,FALSE,"Sheet1";"fse",#N/A,FALSE,"Sheet1"}</definedName>
    <definedName name="__rw1" hidden="1">{"'Standalone List Price Trends'!$A$1:$X$56"}</definedName>
    <definedName name="__rw1_1" hidden="1">{"'Standalone List Price Trends'!$A$1:$X$56"}</definedName>
    <definedName name="__rw2" hidden="1">{"'Standalone List Price Trends'!$A$1:$X$56"}</definedName>
    <definedName name="__rw2_1" hidden="1">{"'Standalone List Price Trends'!$A$1:$X$56"}</definedName>
    <definedName name="__rw3" hidden="1">{"'Standalone List Price Trends'!$A$1:$X$56"}</definedName>
    <definedName name="__rw3_1" hidden="1">{"'Standalone List Price Trends'!$A$1:$X$56"}</definedName>
    <definedName name="__rw4" hidden="1">{"'Standalone List Price Trends'!$A$1:$X$56"}</definedName>
    <definedName name="__rw4_1" hidden="1">{"'Standalone List Price Trends'!$A$1:$X$56"}</definedName>
    <definedName name="__uuu11" hidden="1">{#N/A,#N/A,FALSE,"MAY";#N/A,#N/A,FALSE,"Q2";#N/A,#N/A,FALSE,"YTD"}</definedName>
    <definedName name="__WC1" hidden="1">#REF!</definedName>
    <definedName name="__WC2" hidden="1">#REF!</definedName>
    <definedName name="__wrn1" hidden="1">{#N/A,#N/A,FALSE,"DCF";#N/A,#N/A,FALSE,"WACC";#N/A,#N/A,FALSE,"Sales_EBIT";#N/A,#N/A,FALSE,"Capex_Depreciation";#N/A,#N/A,FALSE,"WC";#N/A,#N/A,FALSE,"Interest";#N/A,#N/A,FALSE,"Assumptions"}</definedName>
    <definedName name="_1__123Graph_AChart_1" hidden="1">#REF!</definedName>
    <definedName name="_1__123Graph_BCHART_1" hidden="1">#REF!</definedName>
    <definedName name="_1__123Graph_BCHART_5" hidden="1">#N/A</definedName>
    <definedName name="_1__FDSAUDITLINK__" hidden="1">{"fdsup://directions/FAT Viewer?action=UPDATE&amp;creator=factset&amp;DYN_ARGS=TRUE&amp;DOC_NAME=FAT:FQL_AUDITING_CLIENT_TEMPLATE.FAT&amp;display_string=Audit&amp;VAR:KEY=CNUVKVKDCV&amp;VAR:QUERY=KChGRl9ORVRfSU5DKExUTSwwLCwsUkYsVVNEKUBGRl9ORVRfSU5DKExUTVNfU0VNSSwwLCwsUkYsVVNEKSlAR","kZfTkVUX0lOQyhBTk4sMCwsLFJGLFVTRCkp&amp;WINDOW=FIRST_POPUP&amp;HEIGHT=450&amp;WIDTH=450&amp;START_MAXIMIZED=FALSE&amp;VAR:CALENDAR=US&amp;VAR:INDEX=0"}</definedName>
    <definedName name="_1__FDSAUDITLINK___1" hidden="1">{"fdsup://IBCentral/FAT Viewer?action=UPDATE&amp;creator=factset&amp;DOC_NAME=fat:reuters_annual_shs_src_window.fat&amp;display_string=Audit&amp;DYN_ARGS=TRUE&amp;VAR:ID1=594327&amp;VAR:RCODE=FDSSHSOUTDEPS&amp;VAR:SDATE=20061299&amp;VAR:FREQ=Y&amp;VAR:RELITEM=RF&amp;VAR:CURRENCY=&amp;VAR:CURRSOURCE=E","XSHARE&amp;VAR:NATFREQ=ANNUAL&amp;VAR:RFIELD=FINALIZED&amp;VAR:DB_TYPE=&amp;VAR:UNITS=MONTHLY&amp;window=popup&amp;width=450&amp;height=300&amp;START_MAXIMIZED=FALSE"}</definedName>
    <definedName name="_1_0_Table2_" hidden="1">#REF!</definedName>
    <definedName name="_10__123Graph_AChart_5" hidden="1">#REF!</definedName>
    <definedName name="_10__123Graph_ADEPREC" hidden="1">#REF!</definedName>
    <definedName name="_10__123Graph_C_FABP_L.WK1_FAB" hidden="1">#REF!</definedName>
    <definedName name="_10__FDSAUDITLINK__" hidden="1">{"fdsup://directions/FAT Viewer?action=UPDATE&amp;creator=factset&amp;DYN_ARGS=TRUE&amp;DOC_NAME=FAT:FQL_AUDITING_CLIENT_TEMPLATE.FAT&amp;display_string=Audit&amp;VAR:KEY=ETWLIRSPYT&amp;VAR:QUERY=RkZfRVBTKExUTSwxMi8zMS8yMDA5LCwsUkYsVVNEKQ==&amp;WINDOW=FIRST_POPUP&amp;HEIGHT=450&amp;WIDTH=450&amp;","START_MAXIMIZED=FALSE&amp;VAR:CALENDAR=US&amp;VAR:SYMBOL=MIPS&amp;VAR:INDEX=0"}</definedName>
    <definedName name="_10__FDSAUDITLINK___1" hidden="1">{"fdsup://IBCentral/FAT Viewer?action=UPDATE&amp;creator=factset&amp;DOC_NAME=fat:reuters_annual_shs_src_window.fat&amp;display_string=Audit&amp;DYN_ARGS=TRUE&amp;VAR:ID1=04033V20&amp;VAR:RCODE=FDSSHSOUTDEPS&amp;VAR:SDATE=20070999&amp;VAR:FREQ=Y&amp;VAR:RELITEM=RF&amp;VAR:CURRENCY=&amp;VAR:CURRSOURCE","=EXSHARE&amp;VAR:NATFREQ=ANNUAL&amp;VAR:RFIELD=FINALIZED&amp;VAR:DB_TYPE=&amp;VAR:UNITS=MONTHLY&amp;window=popup&amp;width=450&amp;height=300&amp;START_MAXIMIZED=FALSE"}</definedName>
    <definedName name="_100__FDSAUDITLINK__" hidden="1">{"fdsup://directions/FAT Viewer?action=UPDATE&amp;creator=factset&amp;DYN_ARGS=TRUE&amp;DOC_NAME=FAT:FQL_AUDITING_CLIENT_TEMPLATE.FAT&amp;display_string=Audit&amp;VAR:KEY=EHCVULMLKL&amp;VAR:QUERY=KChGRl9FQklUREEoTFRNLDAsLCxSRixVU0QpQEZGX0VCSVREQShMVE1TX1NFTUksMCwsLFJGLFVTRCkpQEZGX","0VCSVREQShBTk4sMCwsLFJGLFVTRCkp&amp;WINDOW=FIRST_POPUP&amp;HEIGHT=450&amp;WIDTH=450&amp;START_MAXIMIZED=FALSE&amp;VAR:CALENDAR=US&amp;VAR:SYMBOL=PJC&amp;VAR:INDEX=0"}</definedName>
    <definedName name="_1000__FDSAUDITLINK__" hidden="1">{"fdsup://Directions/FactSet Auditing Viewer?action=AUDIT_VALUE&amp;DB=129&amp;ID1=B2PG34&amp;VALUEID=01001&amp;SDATE=2011&amp;PERIODTYPE=ANN_STD&amp;SCFT=3&amp;window=popup_no_bar&amp;width=385&amp;height=120&amp;START_MAXIMIZED=FALSE&amp;creator=factset&amp;display_string=Audit"}</definedName>
    <definedName name="_1001__FDSAUDITLINK__" hidden="1">{"fdsup://directions/FAT Viewer?action=UPDATE&amp;creator=factset&amp;DYN_ARGS=TRUE&amp;DOC_NAME=FAT:FQL_AUDITING_CLIENT_TEMPLATE.FAT&amp;display_string=Audit&amp;VAR:KEY=YHUHEJEDSJ&amp;VAR:QUERY=RkZfRU5UUlBSX1ZBTF9EQUlMWSgwLCwsLFVTRCwnRElMJyk=&amp;WINDOW=FIRST_POPUP&amp;HEIGHT=450&amp;WIDTH=","450&amp;START_MAXIMIZED=FALSE&amp;VAR:CALENDAR=FIVEDAY&amp;VAR:SYMBOL=2174&amp;VAR:INDEX=0"}</definedName>
    <definedName name="_101__FDSAUDITLINK__" hidden="1">{"fdsup://directions/FAT Viewer?action=UPDATE&amp;creator=factset&amp;DYN_ARGS=TRUE&amp;DOC_NAME=FAT:FQL_AUDITING_CLIENT_TEMPLATE.FAT&amp;display_string=Audit&amp;VAR:KEY=DGJQPQBCHY&amp;VAR:QUERY=KChGRl9FQklUREEoTFRNLDAsLCxSRixVU0QpQEZGX0VCSVREQShMVE1TX1NFTUksMCwsLFJGLFVTRCkpQEZGX","0VCSVREQShBTk4sMCwsLFJGLFVTRCkp&amp;WINDOW=FIRST_POPUP&amp;HEIGHT=450&amp;WIDTH=450&amp;START_MAXIMIZED=FALSE&amp;VAR:CALENDAR=US&amp;VAR:SYMBOL=ARMH&amp;VAR:INDEX=0"}</definedName>
    <definedName name="_102__FDSAUDITLINK__" hidden="1">{"fdsup://Directions/FactSet Auditing Viewer?action=AUDIT_VALUE&amp;DB=129&amp;ID1=72407810&amp;VALUEID=01001&amp;SDATE=200904&amp;PERIODTYPE=QTR_STD&amp;window=popup_no_bar&amp;width=385&amp;height=120&amp;START_MAXIMIZED=FALSE&amp;creator=factset&amp;display_string=Audit"}</definedName>
    <definedName name="_103__FDSAUDITLINK__" hidden="1">{"fdsup://Directions/FactSet Auditing Viewer?action=AUDIT_VALUE&amp;DB=129&amp;ID1=72407810&amp;VALUEID=01001&amp;SDATE=200901&amp;PERIODTYPE=QTR_STD&amp;window=popup_no_bar&amp;width=385&amp;height=120&amp;START_MAXIMIZED=FALSE&amp;creator=factset&amp;display_string=Audit"}</definedName>
    <definedName name="_104__FDSAUDITLINK__" hidden="1">{"fdsup://directions/FAT Viewer?action=UPDATE&amp;creator=factset&amp;DYN_ARGS=TRUE&amp;DOC_NAME=FAT:FQL_AUDITING_CLIENT_TEMPLATE.FAT&amp;display_string=Audit&amp;VAR:KEY=MFINGJKBQP&amp;VAR:QUERY=KEZGX0NPTV9TSFNfT1VUKFFUUiwwLCwsUkYsVVNEKUBQX0NPTV9TSFNfT1VUKDApKQ==&amp;WINDOW=FIRST_POP","UP&amp;HEIGHT=450&amp;WIDTH=450&amp;START_MAXIMIZED=FALSE&amp;VAR:CALENDAR=US&amp;VAR:INDEX=0"}</definedName>
    <definedName name="_105__FDSAUDITLINK__" hidden="1">{"fdsup://Directions/FactSet Auditing Viewer?action=AUDIT_VALUE&amp;DB=129&amp;ID1=G5405010&amp;VALUEID=01001&amp;SDATE=200904&amp;PERIODTYPE=QTR_STD&amp;window=popup_no_bar&amp;width=385&amp;height=120&amp;START_MAXIMIZED=FALSE&amp;creator=factset&amp;display_string=Audit"}</definedName>
    <definedName name="_106__FDSAUDITLINK__" hidden="1">{"fdsup://directions/FAT Viewer?action=UPDATE&amp;creator=factset&amp;DYN_ARGS=TRUE&amp;DOC_NAME=FAT:FQL_AUDITING_CLIENT_TEMPLATE.FAT&amp;display_string=Audit&amp;VAR:KEY=CJKBCVUHMB&amp;VAR:QUERY=KCgoKEZGX1NITERSU19FUShRVFIsMCwsLFJTLFVTRClAKEZGX0xJQUJTX1NITERSU19FUShRVFIsMCwsLFJTL","FVTRCktRkZfTElBQlMoUVRSLDAsLCxSUyxVU0QpKSkpQCgoRkZfU0hMRFJTX0VRKFNFTUksMCwsLFJTLFVTRClAKEZGX0xJQUJTX1NITERSU19FUShTRU1JLDAsLCxSUyxVU0QpLUZGX0xJQUJTKFNFTUksMCwsLFJTLFVTRCkpKSkpQEZGX1NITERSU19FUShBTk4sMCwsLFJTLFVTRCkp&amp;WINDOW=FIRST_POPUP&amp;HEIGHT=450&amp;WIDTH=450","&amp;START_MAXIMIZED=FALSE&amp;VAR:CALENDAR=US&amp;VAR:SYMBOL=TWPG&amp;VAR:INDEX=0"}</definedName>
    <definedName name="_107__FDSAUDITLINK__" hidden="1">{"fdsup://Directions/FactSet Auditing Viewer?action=AUDIT_VALUE&amp;DB=129&amp;ID1=46629U10&amp;VALUEID=07011&amp;SDATE=2009&amp;PERIODTYPE=ANN_STD&amp;window=popup_no_bar&amp;width=385&amp;height=120&amp;START_MAXIMIZED=FALSE&amp;creator=factset&amp;display_string=Audit"}</definedName>
    <definedName name="_108__FDSAUDITLINK__" hidden="1">{"fdsup://Directions/FactSet Auditing Viewer?action=AUDIT_VALUE&amp;DB=129&amp;ID1=00388130&amp;VALUEID=01001&amp;SDATE=201101&amp;PERIODTYPE=QTR_STD&amp;SCFT=3&amp;window=popup_no_bar&amp;width=385&amp;height=120&amp;START_MAXIMIZED=FALSE&amp;creator=factset&amp;display_string=Audit"}</definedName>
    <definedName name="_109__FDSAUDITLINK__" hidden="1">{"fdsup://directions/FAT Viewer?action=UPDATE&amp;creator=factset&amp;DYN_ARGS=TRUE&amp;DOC_NAME=FAT:FQL_AUDITING_CLIENT_TEMPLATE.FAT&amp;display_string=Audit&amp;VAR:KEY=YVORGXIRGH&amp;VAR:QUERY=KCgoKEZGX1NITERSU19FUShRVFIsMCwsLFJTLFVTRClAKEZGX0xJQUJTX1NITERSU19FUShRVFIsMCwsLFJTL","FVTRCktRkZfTElBQlMoUVRSLDAsLCxSUyxVU0QpKSkpQCgoRkZfU0hMRFJTX0VRKFNFTUksMCwsLFJTLFVTRClAKEZGX0xJQUJTX1NITERSU19FUShTRU1JLDAsLCxSUyxVU0QpLUZGX0xJQUJTKFNFTUksMCwsLFJTLFVTRCkpKSkpQEZGX1NITERSU19FUShBTk4sMCwsLFJTLFVTRCkp&amp;WINDOW=FIRST_POPUP&amp;HEIGHT=450&amp;WIDTH=450","&amp;START_MAXIMIZED=FALSE&amp;VAR:CALENDAR=US&amp;VAR:SYMBOL=JMP&amp;VAR:INDEX=0"}</definedName>
    <definedName name="_11__123Graph_AChart_6" hidden="1">#REF!</definedName>
    <definedName name="_11__123Graph_X_FABP_L.WK1_FAB" hidden="1">#REF!</definedName>
    <definedName name="_11__FDSAUDITLINK__" hidden="1">{"fdsup://directions/FAT Viewer?action=UPDATE&amp;creator=factset&amp;DYN_ARGS=TRUE&amp;DOC_NAME=FAT:FQL_AUDITING_CLIENT_TEMPLATE.FAT&amp;display_string=Audit&amp;VAR:KEY=EZIRIZYNEV&amp;VAR:QUERY=RkZfU0FMRVMoTFRNLDEyLzMxLzIwMDksLCxSRixVU0Qp&amp;WINDOW=FIRST_POPUP&amp;HEIGHT=450&amp;WIDTH=450&amp;","START_MAXIMIZED=FALSE&amp;VAR:CALENDAR=US&amp;VAR:SYMBOL=MIPS&amp;VAR:INDEX=0"}</definedName>
    <definedName name="_11__FDSAUDITLINK___1" hidden="1">{"fdsup://IBCentral/FAT Viewer?action=UPDATE&amp;creator=factset&amp;DOC_NAME=fat:reuters_annual_shs_src_window.fat&amp;display_string=Audit&amp;DYN_ARGS=TRUE&amp;VAR:ID1=20670810&amp;VAR:RCODE=FDSSHSOUTDEPS&amp;VAR:SDATE=20070999&amp;VAR:FREQ=Y&amp;VAR:RELITEM=RF&amp;VAR:CURRENCY=&amp;VAR:CURRSOURCE","=EXSHARE&amp;VAR:NATFREQ=ANNUAL&amp;VAR:RFIELD=FINALIZED&amp;VAR:DB_TYPE=&amp;VAR:UNITS=MONTHLY&amp;window=popup&amp;width=450&amp;height=300&amp;START_MAXIMIZED=FALSE"}</definedName>
    <definedName name="_110__FDSAUDITLINK__" hidden="1">{"fdsup://directions/FAT Viewer?action=UPDATE&amp;creator=factset&amp;DYN_ARGS=TRUE&amp;DOC_NAME=FAT:FQL_AUDITING_CLIENT_TEMPLATE.FAT&amp;display_string=Audit&amp;VAR:KEY=AHWVYDSZKF&amp;VAR:QUERY=KCgoKEZGX1NITERSU19FUShRVFIsMCwsLFJTLFVTRClAKEZGX0xJQUJTX1NITERSU19FUShRVFIsMCwsLFJTL","FVTRCktRkZfTElBQlMoUVRSLDAsLCxSUyxVU0QpKSkpQCgoRkZfU0hMRFJTX0VRKFNFTUksMCwsLFJTLFVTRClAKEZGX0xJQUJTX1NITERSU19FUShTRU1JLDAsLCxSUyxVU0QpLUZGX0xJQUJTKFNFTUksMCwsLFJTLFVTRCkpKSkpQEZGX1NITERSU19FUShBTk4sMCwsLFJTLFVTRCkp&amp;WINDOW=FIRST_POPUP&amp;HEIGHT=450&amp;WIDTH=450","&amp;START_MAXIMIZED=FALSE&amp;VAR:CALENDAR=US&amp;VAR:SYMBOL=2174&amp;VAR:INDEX=0"}</definedName>
    <definedName name="_111__FDSAUDITLINK__" hidden="1">{"fdsup://Directions/FactSet Auditing Viewer?action=AUDIT_VALUE&amp;DB=129&amp;ID1=22362210&amp;VALUEID=07011&amp;SDATE=2009&amp;PERIODTYPE=ANN_STD&amp;window=popup_no_bar&amp;width=385&amp;height=120&amp;START_MAXIMIZED=FALSE&amp;creator=factset&amp;display_string=Audit"}</definedName>
    <definedName name="_112__FDSAUDITLINK__" hidden="1">{"fdsup://Directions/FactSet Auditing Viewer?action=AUDIT_VALUE&amp;DB=129&amp;ID1=22362210&amp;VALUEID=07011&amp;SDATE=2009&amp;PERIODTYPE=ANN_STD&amp;window=popup_no_bar&amp;width=385&amp;height=120&amp;START_MAXIMIZED=FALSE&amp;creator=factset&amp;display_string=Audit"}</definedName>
    <definedName name="_113__FDSAUDITLINK__" hidden="1">{"fdsup://directions/FAT Viewer?action=UPDATE&amp;creator=factset&amp;DYN_ARGS=TRUE&amp;DOC_NAME=FAT:FQL_AUDITING_CLIENT_TEMPLATE.FAT&amp;display_string=Audit&amp;VAR:KEY=SVQZSZQFOR&amp;VAR:QUERY=KCgoKEZGX1NITERSU19FUShRVFIsMCwsLFJTLFVTRClAKEZGX0xJQUJTX1NITERSU19FUShRVFIsMCwsLFJTL","FVTRCktRkZfTElBQlMoUVRSLDAsLCxSUyxVU0QpKSkpQCgoRkZfU0hMRFJTX0VRKFNFTUksMCwsLFJTLFVTRClAKEZGX0xJQUJTX1NITERSU19FUShTRU1JLDAsLCxSUyxVU0QpLUZGX0xJQUJTKFNFTUksMCwsLFJTLFVTRCkpKSkpQEZGX1NITERSU19FUShBTk4sMCwsLFJTLFVTRCkp&amp;WINDOW=FIRST_POPUP&amp;HEIGHT=450&amp;WIDTH=450","&amp;START_MAXIMIZED=FALSE&amp;VAR:CALENDAR=US&amp;VAR:SYMBOL=COWN&amp;VAR:INDEX=0"}</definedName>
    <definedName name="_114__FDSAUDITLINK__" hidden="1">{"fdsup://Directions/FactSet Auditing Viewer?action=AUDIT_VALUE&amp;DB=129&amp;ID1=29977A10&amp;VALUEID=07011&amp;SDATE=2009&amp;PERIODTYPE=ANN_STD&amp;window=popup_no_bar&amp;width=385&amp;height=120&amp;START_MAXIMIZED=FALSE&amp;creator=factset&amp;display_string=Audit"}</definedName>
    <definedName name="_115__FDSAUDITLINK__" hidden="1">{"fdsup://directions/FAT Viewer?action=UPDATE&amp;creator=factset&amp;DYN_ARGS=TRUE&amp;DOC_NAME=FAT:FQL_AUDITING_CLIENT_TEMPLATE.FAT&amp;display_string=Audit&amp;VAR:KEY=RAHGNOFKTI&amp;VAR:QUERY=KEZGX0VCSVREQShMVE0sMTIvMzEvMjAwOSwsLFJGLFVTRClARkZfRUJJVERBX0lCKExUTSwxMi8zMS8yMDA5L","CwsUkYsVVNEKSk=&amp;WINDOW=FIRST_POPUP&amp;HEIGHT=450&amp;WIDTH=450&amp;START_MAXIMIZED=FALSE&amp;VAR:CALENDAR=US&amp;VAR:SYMBOL=ACTG&amp;VAR:INDEX=0"}</definedName>
    <definedName name="_116__FDSAUDITLINK__" hidden="1">{"fdsup://directions/FAT Viewer?action=UPDATE&amp;creator=factset&amp;DYN_ARGS=TRUE&amp;DOC_NAME=FAT:FQL_AUDITING_CLIENT_TEMPLATE.FAT&amp;display_string=Audit&amp;VAR:KEY=AVAZGTKDUN&amp;VAR:QUERY=KCgoKEZGX1NITERSU19FUShRVFIsMCwsLFJTLFVTRClAKEZGX0xJQUJTX1NITERSU19FUShRVFIsMCwsLFJTL","FVTRCktRkZfTElBQlMoUVRSLDAsLCxSUyxVU0QpKSkpQCgoRkZfU0hMRFJTX0VRKFNFTUksMCwsLFJTLFVTRClAKEZGX0xJQUJTX1NITERSU19FUShTRU1JLDAsLCxSUyxVU0QpLUZGX0xJQUJTKFNFTUksMCwsLFJTLFVTRCkpKSkpQEZGX1NITERSU19FUShBTk4sMCwsLFJTLFVTRCkp&amp;WINDOW=FIRST_POPUP&amp;HEIGHT=450&amp;WIDTH=450","&amp;START_MAXIMIZED=FALSE&amp;VAR:CALENDAR=US&amp;VAR:SYMBOL=EVR&amp;VAR:INDEX=0"}</definedName>
    <definedName name="_117__FDSAUDITLINK__" hidden="1">{"fdsup://Directions/FactSet Auditing Viewer?action=AUDIT_VALUE&amp;DB=129&amp;ID1=72407810&amp;VALUEID=07011&amp;SDATE=2009&amp;PERIODTYPE=ANN_STD&amp;window=popup_no_bar&amp;width=385&amp;height=120&amp;START_MAXIMIZED=FALSE&amp;creator=factset&amp;display_string=Audit"}</definedName>
    <definedName name="_118__FDSAUDITLINK__" hidden="1">{"fdsup://directions/FAT Viewer?action=UPDATE&amp;creator=factset&amp;DYN_ARGS=TRUE&amp;DOC_NAME=FAT:FQL_AUDITING_CLIENT_TEMPLATE.FAT&amp;display_string=Audit&amp;VAR:KEY=FWTAHAHIXS&amp;VAR:QUERY=KChGRl9ERUJUKFFUUiwwLCwsUkYsVVNEKUBGRl9ERUJUKFNFTUksMCwsLFJGLFVTRCkpQEZGX0RFQlQoQU5OL","DAsLCxSRixVU0QpKQ==&amp;WINDOW=FIRST_POPUP&amp;HEIGHT=450&amp;WIDTH=450&amp;START_MAXIMIZED=FALSE&amp;VAR:CALENDAR=US&amp;VAR:SYMBOL=093031&amp;VAR:INDEX=0"}</definedName>
    <definedName name="_119__FDSAUDITLINK__" hidden="1">{"fdsup://directions/FAT Viewer?action=UPDATE&amp;creator=factset&amp;DYN_ARGS=TRUE&amp;DOC_NAME=FAT:FQL_AUDITING_CLIENT_TEMPLATE.FAT&amp;display_string=Audit&amp;VAR:KEY=ALUPQXEJMD&amp;VAR:QUERY=KCgoKEZGX1NITERSU19FUShRVFIsMCwsLFJTLFVTRClAKEZGX0xJQUJTX1NITERSU19FUShRVFIsMCwsLFJTL","FVTRCkgLSBGRl9MSUFCUyhRVFIsMCwsLFJTLFVTRCkpKSlAKChGRl9TSExEUlNfRVEoU0VNSSwwLCwsUlMsVVNEKUAoRkZfTElBQlNfU0hMRFJTX0VRKFNFTUksMCwsLFJTLFVTRCkgLSBGRl9MSUFCUyhTRU1JLDAsLCxSUyxVU0QpKSkpKUBGRl9TSExEUlNfRVEoQU5OLDAsLCxSUyxVU0QpKQ==&amp;WINDOW=FIRST_POPUP&amp;HEIGHT=450&amp;W","IDTH=450&amp;START_MAXIMIZED=FALSE&amp;VAR:CALENDAR=US&amp;VAR:SYMBOL=588950&amp;VAR:INDEX=0"}</definedName>
    <definedName name="_12__123Graph_AChart_7" hidden="1">#REF!</definedName>
    <definedName name="_12__123Graph_B_FABP_L.WK1_FAB" hidden="1">#REF!</definedName>
    <definedName name="_12__FDSAUDITLINK__" hidden="1">{"fdsup://directions/FAT Viewer?action=UPDATE&amp;creator=factset&amp;DYN_ARGS=TRUE&amp;DOC_NAME=FAT:FQL_AUDITING_CLIENT_TEMPLATE.FAT&amp;display_string=Audit&amp;VAR:KEY=OVEZIZYPOL&amp;VAR:QUERY=RkZfRVBTKExUTSwxMi8zMS8yMDA4LCwsUkYsVVNEKQ==&amp;WINDOW=FIRST_POPUP&amp;HEIGHT=450&amp;WIDTH=450&amp;","START_MAXIMIZED=FALSE&amp;VAR:CALENDAR=US&amp;VAR:SYMBOL=MIPS&amp;VAR:INDEX=0"}</definedName>
    <definedName name="_12__FDSAUDITLINK___1" hidden="1">{"fdsup://IBCentral/FAT Viewer?action=UPDATE&amp;creator=factset&amp;DOC_NAME=fat:reuters_annual_shs_src_window.fat&amp;display_string=Audit&amp;DYN_ARGS=TRUE&amp;VAR:ID1=68212S10&amp;VAR:RCODE=FDSSHSOUTDEPS&amp;VAR:SDATE=20071299&amp;VAR:FREQ=Y&amp;VAR:RELITEM=RF&amp;VAR:CURRENCY=&amp;VAR:CURRSOURCE","=EXSHARE&amp;VAR:NATFREQ=ANNUAL&amp;VAR:RFIELD=FINALIZED&amp;VAR:DB_TYPE=&amp;VAR:UNITS=MONTHLY&amp;window=popup&amp;width=450&amp;height=300&amp;START_MAXIMIZED=FALSE"}</definedName>
    <definedName name="_120__FDSAUDITLINK__" hidden="1">{"fdsup://Directions/FactSet Auditing Viewer?action=AUDIT_VALUE&amp;DB=129&amp;ID1=B505PN&amp;VALUEID=P05301&amp;SDATE=201201&amp;PERIODTYPE=QTR_STD&amp;SCFT=3&amp;window=popup_no_bar&amp;width=385&amp;height=120&amp;START_MAXIMIZED=FALSE&amp;creator=factset&amp;display_string=Audit"}</definedName>
    <definedName name="_121__FDSAUDITLINK__" hidden="1">{"fdsup://Directions/FactSet Auditing Viewer?action=AUDIT_VALUE&amp;DB=129&amp;ID1=588950&amp;VALUEID=P05301&amp;SDATE=201202&amp;PERIODTYPE=QTR_STD&amp;SCFT=3&amp;window=popup_no_bar&amp;width=385&amp;height=120&amp;START_MAXIMIZED=FALSE&amp;creator=factset&amp;display_string=Audit"}</definedName>
    <definedName name="_122__FDSAUDITLINK__" hidden="1">{"fdsup://directions/FAT Viewer?action=UPDATE&amp;creator=factset&amp;DYN_ARGS=TRUE&amp;DOC_NAME=FAT:FQL_AUDITING_CLIENT_TEMPLATE.FAT&amp;display_string=Audit&amp;VAR:KEY=HIXEXMVWVQ&amp;VAR:QUERY=KChGRl9FQklUKExUTSwwLCwsUkYsVVNEKUBGRl9FQklUKExUTVNfU0VNSSwwLCwsUkYsVVNEKSlARkZfRUJJV","ChBTk4sMCwsLFJGLFVTRCkp&amp;WINDOW=FIRST_POPUP&amp;HEIGHT=450&amp;WIDTH=450&amp;START_MAXIMIZED=FALSE&amp;VAR:CALENDAR=US&amp;VAR:SYMBOL=QCOM&amp;VAR:INDEX=0"}</definedName>
    <definedName name="_123__FDSAUDITLINK__" hidden="1">{"fdsup://Directions/FactSet Auditing Viewer?action=AUDIT_VALUE&amp;DB=129&amp;ID1=68218910&amp;VALUEID=P05301&amp;SDATE=201201&amp;PERIODTYPE=QTR_STD&amp;SCFT=3&amp;window=popup_no_bar&amp;width=385&amp;height=120&amp;START_MAXIMIZED=FALSE&amp;creator=factset&amp;display_string=Audit"}</definedName>
    <definedName name="_123Graph_X" hidden="1">#REF!</definedName>
    <definedName name="_124__FDSAUDITLINK__" hidden="1">{"fdsup://Directions/FactSet Auditing Viewer?action=AUDIT_VALUE&amp;DB=129&amp;ID1=68218910&amp;VALUEID=P05301&amp;SDATE=201201&amp;PERIODTYPE=QTR_STD&amp;SCFT=3&amp;window=popup_no_bar&amp;width=385&amp;height=120&amp;START_MAXIMIZED=FALSE&amp;creator=factset&amp;display_string=Audit"}</definedName>
    <definedName name="_124graph_BLRNRATE" hidden="1">#REF!</definedName>
    <definedName name="_124Graph_CLRN" hidden="1">#REF!</definedName>
    <definedName name="_124Graph_CLRNRATE" hidden="1">#REF!</definedName>
    <definedName name="_125__FDSAUDITLINK__" hidden="1">{"fdsup://directions/FAT Viewer?action=UPDATE&amp;creator=factset&amp;DYN_ARGS=TRUE&amp;DOC_NAME=FAT:FQL_AUDITING_CLIENT_TEMPLATE.FAT&amp;display_string=Audit&amp;VAR:KEY=MJKPEZQVYN&amp;VAR:QUERY=KEZGX0NPTV9TSFNfT1VUKE1PTiwwLCwsUkYsVVNEKUBQX0NPTV9TSFNfT1VUKDApKQ==&amp;WINDOW=FIRST_POP","UP&amp;HEIGHT=450&amp;WIDTH=450&amp;START_MAXIMIZED=FALSE&amp;VAR:CALENDAR=US&amp;VAR:INDEX=0"}</definedName>
    <definedName name="_126__FDSAUDITLINK__" hidden="1">{"fdsup://Directions/FactSet Auditing Viewer?action=AUDIT_VALUE&amp;DB=129&amp;ID1=60456710&amp;VALUEID=P05301&amp;SDATE=201203&amp;PERIODTYPE=QTR_STD&amp;SCFT=3&amp;window=popup_no_bar&amp;width=385&amp;height=120&amp;START_MAXIMIZED=FALSE&amp;creator=factset&amp;display_string=Audit"}</definedName>
    <definedName name="_127__FDSAUDITLINK__" hidden="1">{"fdsup://Directions/FactSet Auditing Viewer?action=AUDIT_VALUE&amp;DB=129&amp;ID1=60456710&amp;VALUEID=P05301&amp;SDATE=201203&amp;PERIODTYPE=QTR_STD&amp;SCFT=3&amp;window=popup_no_bar&amp;width=385&amp;height=120&amp;START_MAXIMIZED=FALSE&amp;creator=factset&amp;display_string=Audit"}</definedName>
    <definedName name="_128__FDSAUDITLINK__" hidden="1">{"fdsup://Directions/FactSet Auditing Viewer?action=AUDIT_VALUE&amp;DB=129&amp;ID1=15721010&amp;VALUEID=P05301&amp;SDATE=201201&amp;PERIODTYPE=QTR_STD&amp;SCFT=3&amp;window=popup_no_bar&amp;width=385&amp;height=120&amp;START_MAXIMIZED=FALSE&amp;creator=factset&amp;display_string=Audit"}</definedName>
    <definedName name="_129__FDSAUDITLINK__" hidden="1">{"fdsup://Directions/FactSet Auditing Viewer?action=AUDIT_VALUE&amp;DB=129&amp;ID1=15721010&amp;VALUEID=P05301&amp;SDATE=201201&amp;PERIODTYPE=QTR_STD&amp;SCFT=3&amp;window=popup_no_bar&amp;width=385&amp;height=120&amp;START_MAXIMIZED=FALSE&amp;creator=factset&amp;display_string=Audit"}</definedName>
    <definedName name="_13__123Graph_AChart_8" hidden="1">#REF!</definedName>
    <definedName name="_13__123Graph_BCHART_1" hidden="1">#REF!</definedName>
    <definedName name="_13__FDSAUDITLINK__" hidden="1">{"fdsup://directions/FAT Viewer?action=UPDATE&amp;creator=factset&amp;DYN_ARGS=TRUE&amp;DOC_NAME=FAT:FQL_AUDITING_CLIENT_TEMPLATE.FAT&amp;display_string=Audit&amp;VAR:KEY=UVCPYJSHGB&amp;VAR:QUERY=RkZfU0FMRVMoTFRNLDEyLzMxLzIwMDgsLCxSRixVU0Qp&amp;WINDOW=FIRST_POPUP&amp;HEIGHT=450&amp;WIDTH=450&amp;","START_MAXIMIZED=FALSE&amp;VAR:CALENDAR=US&amp;VAR:SYMBOL=MIPS&amp;VAR:INDEX=0"}</definedName>
    <definedName name="_13__FDSAUDITLINK___1" hidden="1">{"fdsup://IBCentral/FAT Viewer?action=UPDATE&amp;creator=factset&amp;DOC_NAME=fat:reuters_annual_shs_src_window.fat&amp;display_string=Audit&amp;DYN_ARGS=TRUE&amp;VAR:ID1=17737610&amp;VAR:RCODE=FDSSHSOUTDEPS&amp;VAR:SDATE=20071299&amp;VAR:FREQ=Y&amp;VAR:RELITEM=RF&amp;VAR:CURRENCY=&amp;VAR:CURRSOURCE","=EXSHARE&amp;VAR:NATFREQ=ANNUAL&amp;VAR:RFIELD=FINALIZED&amp;VAR:DB_TYPE=&amp;VAR:UNITS=MONTHLY&amp;window=popup&amp;width=450&amp;height=300&amp;START_MAXIMIZED=FALSE"}</definedName>
    <definedName name="_13_0_S" hidden="1">#REF!</definedName>
    <definedName name="_130__FDSAUDITLINK__" hidden="1">{"fdsup://Directions/FactSet Auditing Viewer?action=AUDIT_VALUE&amp;DB=129&amp;ID1=74752510&amp;VALUEID=P05301&amp;SDATE=201202&amp;PERIODTYPE=QTR_STD&amp;SCFT=3&amp;window=popup_no_bar&amp;width=385&amp;height=120&amp;START_MAXIMIZED=FALSE&amp;creator=factset&amp;display_string=Audit"}</definedName>
    <definedName name="_131__FDSAUDITLINK__" hidden="1">{"fdsup://Directions/FactSet Auditing Viewer?action=AUDIT_VALUE&amp;DB=129&amp;ID1=74752510&amp;VALUEID=P05301&amp;SDATE=201202&amp;PERIODTYPE=QTR_STD&amp;SCFT=3&amp;window=popup_no_bar&amp;width=385&amp;height=120&amp;START_MAXIMIZED=FALSE&amp;creator=factset&amp;display_string=Audit"}</definedName>
    <definedName name="_132__FDSAUDITLINK__" hidden="1">{"fdsup://Directions/FactSet Auditing Viewer?action=AUDIT_VALUE&amp;DB=129&amp;ID1=61971810&amp;VALUEID=P05301&amp;SDATE=201201&amp;PERIODTYPE=QTR_STD&amp;SCFT=3&amp;window=popup_no_bar&amp;width=385&amp;height=120&amp;START_MAXIMIZED=FALSE&amp;creator=factset&amp;display_string=Audit"}</definedName>
    <definedName name="_133__FDSAUDITLINK__" hidden="1">{"fdsup://Directions/FactSet Auditing Viewer?action=AUDIT_VALUE&amp;DB=129&amp;ID1=61971810&amp;VALUEID=P05301&amp;SDATE=201201&amp;PERIODTYPE=QTR_STD&amp;SCFT=3&amp;window=popup_no_bar&amp;width=385&amp;height=120&amp;START_MAXIMIZED=FALSE&amp;creator=factset&amp;display_string=Audit"}</definedName>
    <definedName name="_134__FDSAUDITLINK__" hidden="1">{"fdsup://Directions/FactSet Auditing Viewer?action=AUDIT_VALUE&amp;DB=129&amp;ID1=260509&amp;VALUEID=P05301&amp;SDATE=201102&amp;PERIODTYPE=QTR_STD&amp;SCFT=3&amp;window=popup_no_bar&amp;width=385&amp;height=120&amp;START_MAXIMIZED=FALSE&amp;creator=factset&amp;display_string=Audit"}</definedName>
    <definedName name="_135__FDSAUDITLINK__" hidden="1">{"fdsup://Directions/FactSet Auditing Viewer?action=AUDIT_VALUE&amp;DB=129&amp;ID1=260509&amp;VALUEID=P05301&amp;SDATE=201102&amp;PERIODTYPE=QTR_STD&amp;SCFT=3&amp;window=popup_no_bar&amp;width=385&amp;height=120&amp;START_MAXIMIZED=FALSE&amp;creator=factset&amp;display_string=Audit"}</definedName>
    <definedName name="_136__FDSAUDITLINK__" hidden="1">{"fdsup://Directions/FactSet Auditing Viewer?action=AUDIT_VALUE&amp;DB=129&amp;ID1=223093&amp;VALUEID=P05301&amp;SDATE=201201&amp;PERIODTYPE=QTR_STD&amp;SCFT=3&amp;window=popup_no_bar&amp;width=385&amp;height=120&amp;START_MAXIMIZED=FALSE&amp;creator=factset&amp;display_string=Audit"}</definedName>
    <definedName name="_137__FDSAUDITLINK__" hidden="1">{"fdsup://Directions/FactSet Auditing Viewer?action=AUDIT_VALUE&amp;DB=129&amp;ID1=223093&amp;VALUEID=P05301&amp;SDATE=201201&amp;PERIODTYPE=QTR_STD&amp;SCFT=3&amp;window=popup_no_bar&amp;width=385&amp;height=120&amp;START_MAXIMIZED=FALSE&amp;creator=factset&amp;display_string=Audit"}</definedName>
    <definedName name="_138__FDSAUDITLINK__" hidden="1">{"fdsup://Directions/FactSet Auditing Viewer?action=AUDIT_VALUE&amp;DB=129&amp;ID1=74972G10&amp;VALUEID=P05301&amp;SDATE=201201&amp;PERIODTYPE=QTR_STD&amp;SCFT=3&amp;window=popup_no_bar&amp;width=385&amp;height=120&amp;START_MAXIMIZED=FALSE&amp;creator=factset&amp;display_string=Audit"}</definedName>
    <definedName name="_139__FDSAUDITLINK__" hidden="1">{"fdsup://Directions/FactSet Auditing Viewer?action=AUDIT_VALUE&amp;DB=129&amp;ID1=74972G10&amp;VALUEID=P05301&amp;SDATE=201201&amp;PERIODTYPE=QTR_STD&amp;SCFT=3&amp;window=popup_no_bar&amp;width=385&amp;height=120&amp;START_MAXIMIZED=FALSE&amp;creator=factset&amp;display_string=Audit"}</definedName>
    <definedName name="_14__123Graph_AChart_9" hidden="1">#REF!</definedName>
    <definedName name="_14__123Graph_BCHART_3" hidden="1">#REF!</definedName>
    <definedName name="_14__123Graph_C_FABP_L.WK1_FAB" hidden="1">#REF!</definedName>
    <definedName name="_14__FDSAUDITLINK__" hidden="1">{"fdsup://directions/FAT Viewer?action=UPDATE&amp;creator=factset&amp;DYN_ARGS=TRUE&amp;DOC_NAME=FAT:FQL_AUDITING_CLIENT_TEMPLATE.FAT&amp;display_string=Audit&amp;VAR:KEY=QLQJSXOVAL&amp;VAR:QUERY=KEZGX0VCSVREQShMVE0sMTIvMzEvMSwsLFJGLFVTRClARkZfRUJJVERBX0lCKExUTSwxMi8zMS8xLCwsUkYsV","VNEKSk=&amp;WINDOW=FIRST_POPUP&amp;HEIGHT=450&amp;WIDTH=450&amp;START_MAXIMIZED=FALSE&amp;VAR:CALENDAR=US&amp;VAR:SYMBOL=MIPS&amp;VAR:INDEX=0"}</definedName>
    <definedName name="_14__FDSAUDITLINK___1" hidden="1">{"fdsup://IBCentral/FAT Viewer?action=UPDATE&amp;creator=factset&amp;DOC_NAME=fat:reuters_annual_shs_src_window.fat&amp;display_string=Audit&amp;DYN_ARGS=TRUE&amp;VAR:ID1=00971T10&amp;VAR:RCODE=FDSSHSOUTDEPS&amp;VAR:SDATE=20071299&amp;VAR:FREQ=Y&amp;VAR:RELITEM=RF&amp;VAR:CURRENCY=&amp;VAR:CURRSOURCE","=EXSHARE&amp;VAR:NATFREQ=ANNUAL&amp;VAR:RFIELD=FINALIZED&amp;VAR:DB_TYPE=&amp;VAR:UNITS=MONTHLY&amp;window=popup&amp;width=450&amp;height=300&amp;START_MAXIMIZED=FALSE"}</definedName>
    <definedName name="_14_0_Table2_" hidden="1">#REF!</definedName>
    <definedName name="_140__FDSAUDITLINK__" hidden="1">{"fdsup://Directions/FactSet Auditing Viewer?action=AUDIT_VALUE&amp;DB=129&amp;ID1=00388130&amp;VALUEID=P05301&amp;SDATE=201201&amp;PERIODTYPE=QTR_STD&amp;SCFT=3&amp;window=popup_no_bar&amp;width=385&amp;height=120&amp;START_MAXIMIZED=FALSE&amp;creator=factset&amp;display_string=Audit"}</definedName>
    <definedName name="_141__FDSAUDITLINK__" hidden="1">{"fdsup://Directions/FactSet Auditing Viewer?action=AUDIT_VALUE&amp;DB=129&amp;ID1=00388130&amp;VALUEID=P05301&amp;SDATE=201201&amp;PERIODTYPE=QTR_STD&amp;SCFT=3&amp;window=popup_no_bar&amp;width=385&amp;height=120&amp;START_MAXIMIZED=FALSE&amp;creator=factset&amp;display_string=Audit"}</definedName>
    <definedName name="_142__FDSAUDITLINK__" hidden="1">{"fdsup://Directions/FactSet Auditing Viewer?action=AUDIT_VALUE&amp;DB=129&amp;ID1=G3727Q10&amp;VALUEID=P05301&amp;SDATE=201201&amp;PERIODTYPE=QTR_STD&amp;SCFT=3&amp;window=popup_no_bar&amp;width=385&amp;height=120&amp;START_MAXIMIZED=FALSE&amp;creator=factset&amp;display_string=Audit"}</definedName>
    <definedName name="_143__FDSAUDITLINK__" hidden="1">{"fdsup://Directions/FactSet Auditing Viewer?action=AUDIT_VALUE&amp;DB=129&amp;ID1=G3727Q10&amp;VALUEID=P05301&amp;SDATE=201201&amp;PERIODTYPE=QTR_STD&amp;SCFT=3&amp;window=popup_no_bar&amp;width=385&amp;height=120&amp;START_MAXIMIZED=FALSE&amp;creator=factset&amp;display_string=Audit"}</definedName>
    <definedName name="_144__FDSAUDITLINK__" hidden="1">{"fdsup://Directions/FactSet Auditing Viewer?action=AUDIT_VALUE&amp;DB=129&amp;ID1=663567&amp;VALUEID=P05301&amp;SDATE=201103&amp;PERIODTYPE=QTR_STD&amp;SCFT=3&amp;window=popup_no_bar&amp;width=385&amp;height=120&amp;START_MAXIMIZED=FALSE&amp;creator=factset&amp;display_string=Audit"}</definedName>
    <definedName name="_145__FDSAUDITLINK__" hidden="1">{"fdsup://Directions/FactSet Auditing Viewer?action=AUDIT_VALUE&amp;DB=129&amp;ID1=663567&amp;VALUEID=P05301&amp;SDATE=201103&amp;PERIODTYPE=QTR_STD&amp;SCFT=3&amp;window=popup_no_bar&amp;width=385&amp;height=120&amp;START_MAXIMIZED=FALSE&amp;creator=factset&amp;display_string=Audit"}</definedName>
    <definedName name="_146__FDSAUDITLINK__" hidden="1">{"fdsup://Directions/FactSet Auditing Viewer?action=AUDIT_VALUE&amp;DB=129&amp;ID1=00388130&amp;VALUEID=P05202&amp;SDATE=2009&amp;PERIODTYPE=ANN_STD&amp;SCFT=3&amp;window=popup_no_bar&amp;width=385&amp;height=120&amp;START_MAXIMIZED=FALSE&amp;creator=factset&amp;display_string=Audit"}</definedName>
    <definedName name="_147__FDSAUDITLINK__" hidden="1">{"fdsup://Directions/FactSet Auditing Viewer?action=AUDIT_VALUE&amp;DB=129&amp;ID1=00388130&amp;VALUEID=P05202&amp;SDATE=2008&amp;PERIODTYPE=ANN_STD&amp;SCFT=3&amp;window=popup_no_bar&amp;width=385&amp;height=120&amp;START_MAXIMIZED=FALSE&amp;creator=factset&amp;display_string=Audit"}</definedName>
    <definedName name="_148__FDSAUDITLINK__" hidden="1">{"fdsup://Directions/FactSet Auditing Viewer?action=AUDIT_VALUE&amp;DB=129&amp;ID1=00388130&amp;VALUEID=P05202&amp;SDATE=2007&amp;PERIODTYPE=ANN_STD&amp;SCFT=3&amp;window=popup_no_bar&amp;width=385&amp;height=120&amp;START_MAXIMIZED=FALSE&amp;creator=factset&amp;display_string=Audit"}</definedName>
    <definedName name="_149__FDSAUDITLINK__" hidden="1">{"fdsup://Directions/FactSet Auditing Viewer?action=AUDIT_VALUE&amp;DB=129&amp;ID1=00388130&amp;VALUEID=P05202&amp;SDATE=2006&amp;PERIODTYPE=ANN_STD&amp;SCFT=3&amp;window=popup_no_bar&amp;width=385&amp;height=120&amp;START_MAXIMIZED=FALSE&amp;creator=factset&amp;display_string=Audit"}</definedName>
    <definedName name="_15__123Graph_BChart_1" hidden="1">#REF!</definedName>
    <definedName name="_15__FDSAUDITLINK__" hidden="1">{"fdsup://directions/FAT Viewer?action=UPDATE&amp;creator=factset&amp;DYN_ARGS=TRUE&amp;DOC_NAME=FAT:FQL_AUDITING_CLIENT_TEMPLATE.FAT&amp;display_string=Audit&amp;VAR:KEY=IPELGNYTOH&amp;VAR:QUERY=RkZfRVBTKExUTSwxMi8zMS8xLCwsUkYsVVNEKQ==&amp;WINDOW=FIRST_POPUP&amp;HEIGHT=450&amp;WIDTH=450&amp;STAR","T_MAXIMIZED=FALSE&amp;VAR:CALENDAR=US&amp;VAR:SYMBOL=MIPS&amp;VAR:INDEX=0"}</definedName>
    <definedName name="_15__FDSAUDITLINK___1" hidden="1">{"fdsup://IBCentral/FAT Viewer?action=UPDATE&amp;creator=factset&amp;DOC_NAME=fat:reuters_annual_shs_src_window.fat&amp;display_string=Audit&amp;DYN_ARGS=TRUE&amp;VAR:ID1=79466L30&amp;VAR:RCODE=FDSSHSOUTDEPS&amp;VAR:SDATE=20080199&amp;VAR:FREQ=Y&amp;VAR:RELITEM=RF&amp;VAR:CURRENCY=&amp;VAR:CURRSOURCE","=EXSHARE&amp;VAR:NATFREQ=ANNUAL&amp;VAR:RFIELD=FINALIZED&amp;VAR:DB_TYPE=&amp;VAR:UNITS=MONTHLY&amp;window=popup&amp;width=450&amp;height=300&amp;START_MAXIMIZED=FALSE"}</definedName>
    <definedName name="_15_0_Table2_" hidden="1">#REF!</definedName>
    <definedName name="_150__FDSAUDITLINK__" hidden="1">{"fdsup://Directions/FactSet Auditing Viewer?action=AUDIT_VALUE&amp;DB=129&amp;ID1=00388130&amp;VALUEID=P05202&amp;SDATE=2005&amp;PERIODTYPE=ANN_STD&amp;SCFT=3&amp;window=popup_no_bar&amp;width=385&amp;height=120&amp;START_MAXIMIZED=FALSE&amp;creator=factset&amp;display_string=Audit"}</definedName>
    <definedName name="_151__FDSAUDITLINK__" hidden="1">{"fdsup://directions/FAT Viewer?action=UPDATE&amp;creator=factset&amp;DYN_ARGS=TRUE&amp;DOC_NAME=FAT:FQL_AUDITING_CLIENT_TEMPLATE.FAT&amp;display_string=Audit&amp;VAR:KEY=BUJGHULQNA&amp;VAR:QUERY=KChGRl9ERUJUKFFUUiwwLCwsUkYsVVNEKUBGRl9ERUJUKFNFTUksMCwsLFJGLFVTRCkpQEZGX0RFQlQoQU5OL","DAsLCxSRixVU0QpKQ==&amp;WINDOW=FIRST_POPUP&amp;HEIGHT=450&amp;WIDTH=450&amp;START_MAXIMIZED=FALSE&amp;VAR:CALENDAR=US&amp;VAR:SYMBOL=DLB&amp;VAR:INDEX=0"}</definedName>
    <definedName name="_152__FDSAUDITLINK__" hidden="1">{"fdsup://directions/FAT Viewer?action=UPDATE&amp;creator=factset&amp;DYN_ARGS=TRUE&amp;DOC_NAME=FAT:FQL_AUDITING_CLIENT_TEMPLATE.FAT&amp;display_string=Audit&amp;VAR:KEY=QTMNIPSTGJ&amp;VAR:QUERY=KChGRl9FQklUKExUTSwwLCwsUkYsVVNEKUBGRl9FQklUKExUTVNfU0VNSSwwLCwsUkYsVVNEKSlARkZfRUJJV","ChBTk4sMCwsLFJGLFVTRCkp&amp;WINDOW=FIRST_POPUP&amp;HEIGHT=450&amp;WIDTH=450&amp;START_MAXIMIZED=FALSE&amp;VAR:CALENDAR=US&amp;VAR:SYMBOL=CEVA&amp;VAR:INDEX=0"}</definedName>
    <definedName name="_153__FDSAUDITLINK__" hidden="1">{"fdsup://directions/FAT Viewer?action=UPDATE&amp;creator=factset&amp;DYN_ARGS=TRUE&amp;DOC_NAME=FAT:FQL_AUDITING_CLIENT_TEMPLATE.FAT&amp;display_string=Audit&amp;VAR:KEY=XUZCLOBGTQ&amp;VAR:QUERY=KEZGX0VCSVREQShMVE0sMTIvMzEvMjAwOCwsLFJGLFVTRClARkZfRUJJVERBX0lCKExUTSwxMi8zMS8yMDA4L","CwsUkYsVVNEKSk=&amp;WINDOW=FIRST_POPUP&amp;HEIGHT=450&amp;WIDTH=450&amp;START_MAXIMIZED=FALSE&amp;VAR:CALENDAR=US&amp;VAR:SYMBOL=ACTG&amp;VAR:INDEX=0"}</definedName>
    <definedName name="_154__FDSAUDITLINK__" hidden="1">{"fdsup://directions/FAT Viewer?action=UPDATE&amp;creator=factset&amp;DYN_ARGS=TRUE&amp;DOC_NAME=FAT:FQL_AUDITING_CLIENT_TEMPLATE.FAT&amp;display_string=Audit&amp;VAR:KEY=KRSHMXSTUH&amp;VAR:QUERY=KChGRl9FQklUKExUTSwwLCwsUkYsVVNEKUBGRl9FQklUKExUTVNfU0VNSSwwLCwsUkYsVVNEKSlARkZfRUJJV","ChBTk4sMCwsLFJGLFVTRCkp&amp;WINDOW=FIRST_POPUP&amp;HEIGHT=450&amp;WIDTH=450&amp;START_MAXIMIZED=FALSE&amp;VAR:CALENDAR=US&amp;VAR:SYMBOL=626418&amp;VAR:INDEX=0"}</definedName>
    <definedName name="_155__FDSAUDITLINK__" hidden="1">{"fdsup://Directions/FactSet Auditing Viewer?action=AUDIT_VALUE&amp;DB=129&amp;ID1=25659T10&amp;VALUEID=01001&amp;SDATE=2011&amp;PERIODTYPE=ANN_STD&amp;SCFT=3&amp;window=popup_no_bar&amp;width=385&amp;height=120&amp;START_MAXIMIZED=FALSE&amp;creator=factset&amp;display_string=Audit"}</definedName>
    <definedName name="_156__FDSAUDITLINK__" hidden="1">{"fdsup://directions/FAT Viewer?action=UPDATE&amp;creator=factset&amp;DYN_ARGS=TRUE&amp;DOC_NAME=FAT:FQL_AUDITING_CLIENT_TEMPLATE.FAT&amp;display_string=Audit&amp;VAR:KEY=MPYNAFAHQR&amp;VAR:QUERY=KCgoKEZGX1NITERSU19FUShRVFIsMCwsLFJTLFVTRClAKEZGX0xJQUJTX1NITERSU19FUShRVFIsMCwsLFJTL","FVTRCkgLSBGRl9MSUFCUyhRVFIsMCwsLFJTLFVTRCkpKSlAKChGRl9TSExEUlNfRVEoU0VNSSwwLCwsUlMsVVNEKUAoRkZfTElBQlNfU0hMRFJTX0VRKFNFTUksMCwsLFJTLFVTRCkgLSBGRl9MSUFCUyhTRU1JLDAsLCxSUyxVU0QpKSkpKUBGRl9TSExEUlNfRVEoQU5OLDAsLCxSUyxVU0QpKQ==&amp;WINDOW=FIRST_POPUP&amp;HEIGHT=450&amp;W","IDTH=450&amp;START_MAXIMIZED=FALSE&amp;VAR:CALENDAR=US&amp;VAR:SYMBOL=68218910&amp;VAR:INDEX=0"}</definedName>
    <definedName name="_157__FDSAUDITLINK__" hidden="1">{"fdsup://Directions/FactSet Auditing Viewer?action=AUDIT_VALUE&amp;DB=129&amp;ID1=25659T10&amp;VALUEID=01001&amp;SDATE=2011&amp;PERIODTYPE=ANN_STD&amp;SCFT=3&amp;window=popup_no_bar&amp;width=385&amp;height=120&amp;START_MAXIMIZED=FALSE&amp;creator=factset&amp;display_string=Audit"}</definedName>
    <definedName name="_158__FDSAUDITLINK__" hidden="1">{"fdsup://Directions/FactSet Auditing Viewer?action=AUDIT_VALUE&amp;DB=129&amp;ID1=25659T10&amp;VALUEID=01001&amp;SDATE=201202&amp;PERIODTYPE=QTR_STD&amp;SCFT=3&amp;window=popup_no_bar&amp;width=385&amp;height=120&amp;START_MAXIMIZED=FALSE&amp;creator=factset&amp;display_string=Audit"}</definedName>
    <definedName name="_159__FDSAUDITLINK__" hidden="1">{"fdsup://Directions/FactSet Auditing Viewer?action=AUDIT_VALUE&amp;DB=129&amp;ID1=68218910&amp;VALUEID=01001&amp;SDATE=201101&amp;PERIODTYPE=QTR_STD&amp;SCFT=3&amp;window=popup_no_bar&amp;width=385&amp;height=120&amp;START_MAXIMIZED=FALSE&amp;creator=factset&amp;display_string=Audit"}</definedName>
    <definedName name="_16__123Graph_BChart_12" hidden="1">#REF!</definedName>
    <definedName name="_16__123Graph_X_FABP_L.WK1_FAB" hidden="1">#REF!</definedName>
    <definedName name="_16__FDSAUDITLINK__" hidden="1">{"fdsup://directions/FAT Viewer?action=UPDATE&amp;creator=factset&amp;DYN_ARGS=TRUE&amp;DOC_NAME=FAT:FQL_AUDITING_CLIENT_TEMPLATE.FAT&amp;display_string=Audit&amp;VAR:KEY=JSTWFWDCFM&amp;VAR:QUERY=RkZfRVBTKExUTSwxMi8zMS8yMDA3LCwsUkYsVVNEKQ==&amp;WINDOW=FIRST_POPUP&amp;HEIGHT=450&amp;WIDTH=450&amp;","START_MAXIMIZED=FALSE&amp;VAR:CALENDAR=US&amp;VAR:SYMBOL=MIPS&amp;VAR:INDEX=0"}</definedName>
    <definedName name="_160__FDSAUDITLINK__" hidden="1">{"fdsup://directions/FAT Viewer?action=UPDATE&amp;creator=factset&amp;DYN_ARGS=TRUE&amp;DOC_NAME=FAT:FQL_AUDITING_CLIENT_TEMPLATE.FAT&amp;display_string=Audit&amp;VAR:KEY=SFCRSHGTEF&amp;VAR:QUERY=KChGRl9ORVRfSU5DKExUTSwwLCwsUkYsVVNEKUBGRl9ORVRfSU5DKExUTVNfU0VNSSwwLCwsUkYsVVNEKSlAR","kZfTkVUX0lOQyhBTk4sMCwsLFJGLFVTRCkp&amp;WINDOW=FIRST_POPUP&amp;HEIGHT=450&amp;WIDTH=450&amp;START_MAXIMIZED=FALSE&amp;VAR:CALENDAR=US&amp;VAR:SYMBOL=MIPS&amp;VAR:INDEX=0"}</definedName>
    <definedName name="_161__FDSAUDITLINK__" hidden="1">{"fdsup://directions/FAT Viewer?action=UPDATE&amp;creator=factset&amp;DYN_ARGS=TRUE&amp;DOC_NAME=FAT:FQL_AUDITING_CLIENT_TEMPLATE.FAT&amp;display_string=Audit&amp;VAR:KEY=MNENCFAPEX&amp;VAR:QUERY=KChGRl9FQklUREEoTFRNLDAsLCxSRixVU0QpQEZGX0VCSVREQShMVE1TX1NFTUksMCwsLFJGLFVTRCkpQEZGX","0VCSVREQShBTk4sMCwsLFJGLFVTRCkp&amp;WINDOW=FIRST_POPUP&amp;HEIGHT=450&amp;WIDTH=450&amp;START_MAXIMIZED=FALSE&amp;VAR:CALENDAR=US&amp;VAR:SYMBOL=630926&amp;VAR:INDEX=0"}</definedName>
    <definedName name="_162__FDSAUDITLINK__" hidden="1">{"fdsup://directions/FAT Viewer?action=UPDATE&amp;creator=factset&amp;DYN_ARGS=TRUE&amp;DOC_NAME=FAT:FQL_AUDITING_CLIENT_TEMPLATE.FAT&amp;display_string=Audit&amp;VAR:KEY=FMTERYFYFS&amp;VAR:QUERY=KChGRl9FQklUKExUTSwwLCwsUkYsVVNEKUBGRl9FQklUKExUTVNfU0VNSSwwLCwsUkYsVVNEKSlARkZfRUJJV","ChBTk4sMCwsLFJGLFVTRCkp&amp;WINDOW=FIRST_POPUP&amp;HEIGHT=450&amp;WIDTH=450&amp;START_MAXIMIZED=FALSE&amp;VAR:CALENDAR=US&amp;VAR:SYMBOL=MOSY&amp;VAR:INDEX=0"}</definedName>
    <definedName name="_163__FDSAUDITLINK__" hidden="1">{"fdsup://Directions/FactSet Auditing Viewer?action=AUDIT_VALUE&amp;DB=129&amp;ID1=588950&amp;VALUEID=02001&amp;SDATE=201202&amp;PERIODTYPE=QTR_STD&amp;SCFT=3&amp;window=popup_no_bar&amp;width=385&amp;height=120&amp;START_MAXIMIZED=FALSE&amp;creator=factset&amp;display_string=Audit"}</definedName>
    <definedName name="_164__FDSAUDITLINK__" hidden="1">{"fdsup://Directions/FactSet Auditing Viewer?action=AUDIT_VALUE&amp;DB=129&amp;ID1=B505PN&amp;VALUEID=02001&amp;SDATE=201201&amp;PERIODTYPE=QTR_STD&amp;SCFT=3&amp;window=popup_no_bar&amp;width=385&amp;height=120&amp;START_MAXIMIZED=FALSE&amp;creator=factset&amp;display_string=Audit"}</definedName>
    <definedName name="_165__FDSAUDITLINK__" hidden="1">{"fdsup://directions/FAT Viewer?action=UPDATE&amp;creator=factset&amp;DYN_ARGS=TRUE&amp;DOC_NAME=FAT:FQL_AUDITING_CLIENT_TEMPLATE.FAT&amp;display_string=Audit&amp;VAR:KEY=RWJILSFSPI&amp;VAR:QUERY=KCgoKEZGX1NITERSU19FUShRVFIsMCwsLFJTLFVTRClAKEZGX0xJQUJTX1NITERSU19FUShRVFIsMCwsLFJTL","FVTRCkgLSBGRl9MSUFCUyhRVFIsMCwsLFJTLFVTRCkpKSlAKChGRl9TSExEUlNfRVEoU0VNSSwwLCwsUlMsVVNEKUAoRkZfTElBQlNfU0hMRFJTX0VRKFNFTUksMCwsLFJTLFVTRCkgLSBGRl9MSUFCUyhTRU1JLDAsLCxSUyxVU0QpKSkpKUBGRl9TSExEUlNfRVEoQU5OLDAsLCxSUyxVU0QpKQ==&amp;WINDOW=FIRST_POPUP&amp;HEIGHT=450&amp;W","IDTH=450&amp;START_MAXIMIZED=FALSE&amp;VAR:CALENDAR=US&amp;VAR:SYMBOL=QCOM&amp;VAR:INDEX=0"}</definedName>
    <definedName name="_166__FDSAUDITLINK__" hidden="1">{"fdsup://directions/FAT Viewer?action=UPDATE&amp;creator=factset&amp;DYN_ARGS=TRUE&amp;DOC_NAME=FAT:FQL_AUDITING_CLIENT_TEMPLATE.FAT&amp;display_string=Audit&amp;VAR:KEY=IBSNSTEJIT&amp;VAR:QUERY=KChGRl9FQklUKExUTSwwLCwsUkYsVVNEKUBGRl9FQklUKExUTVNfU0VNSSwwLCwsUkYsVVNEKSlARkZfRUJJV","ChBTk4sMCwsLFJGLFVTRCkp&amp;WINDOW=FIRST_POPUP&amp;HEIGHT=450&amp;WIDTH=450&amp;START_MAXIMIZED=FALSE&amp;VAR:CALENDAR=US&amp;VAR:SYMBOL=GAME&amp;VAR:INDEX=0"}</definedName>
    <definedName name="_167__FDSAUDITLINK__" hidden="1">{"fdsup://directions/FAT Viewer?action=UPDATE&amp;creator=factset&amp;DYN_ARGS=TRUE&amp;DOC_NAME=FAT:FQL_AUDITING_CLIENT_TEMPLATE.FAT&amp;display_string=Audit&amp;VAR:KEY=BYVMNENMJS&amp;VAR:QUERY=KEZGX0VCSVREQShMVE0sMTIvMzEvMjAwNiwsLFJGLFVTRClARkZfRUJJVERBX0lCKExUTSwxMi8zMS8yMDA2L","CwsUkYsVVNEKSk=&amp;WINDOW=FIRST_POPUP&amp;HEIGHT=450&amp;WIDTH=450&amp;START_MAXIMIZED=FALSE&amp;VAR:CALENDAR=US&amp;VAR:SYMBOL=ACTG&amp;VAR:INDEX=0"}</definedName>
    <definedName name="_168__FDSAUDITLINK__" hidden="1">{"fdsup://directions/FAT Viewer?action=UPDATE&amp;creator=factset&amp;DYN_ARGS=TRUE&amp;DOC_NAME=FAT:FQL_AUDITING_CLIENT_TEMPLATE.FAT&amp;display_string=Audit&amp;VAR:KEY=FCXMXWVYLW&amp;VAR:QUERY=KChGRl9HUk9TU19JTkMoTFRNLDAsLCxSRixVU0QpQEZGX0dST1NTX0lOQyhMVE1TX1NFTUksMCwsLFJGLFVTR","CkpQEZGX1NBTEVTKEFOTiwwLCwsUkYsVVNEKSk=&amp;WINDOW=FIRST_POPUP&amp;HEIGHT=450&amp;WIDTH=450&amp;START_MAXIMIZED=FALSE&amp;VAR:CALENDAR=US&amp;VAR:SYMBOL=FSL&amp;VAR:INDEX=0"}</definedName>
    <definedName name="_169__FDSAUDITLINK__" hidden="1">{"fdsup://directions/FAT Viewer?action=UPDATE&amp;creator=factset&amp;DYN_ARGS=TRUE&amp;DOC_NAME=FAT:FQL_AUDITING_CLIENT_TEMPLATE.FAT&amp;display_string=Audit&amp;VAR:KEY=NORSVALQVO&amp;VAR:QUERY=KChGRl9FQklUKExUTSwwLCwsUkYsVVNEKUBGRl9FQklUKExUTVNfU0VNSSwwLCwsUkYsVVNEKSlARkZfRUJJV","ChBTk4sMCwsLFJGLFVTRCkp&amp;WINDOW=FIRST_POPUP&amp;HEIGHT=450&amp;WIDTH=450&amp;START_MAXIMIZED=FALSE&amp;VAR:CALENDAR=US&amp;VAR:SYMBOL=ACTG&amp;VAR:INDEX=0"}</definedName>
    <definedName name="_17__123Graph_BChart_13" hidden="1">#REF!</definedName>
    <definedName name="_17__FDSAUDITLINK__" hidden="1">{"fdsup://directions/FAT Viewer?action=UPDATE&amp;creator=factset&amp;DYN_ARGS=TRUE&amp;DOC_NAME=FAT:FQL_AUDITING_CLIENT_TEMPLATE.FAT&amp;display_string=Audit&amp;VAR:KEY=HQHCBURWBW&amp;VAR:QUERY=KChGRl9TQUxFUyhMVE0sMCwsLFJGLFVTRClARkZfU0FMRVMoTFRNU19TRU1JLDAsLCxSRixVU0QpKUBGRl9TQ","UxFUyhBTk4sMCwsLFJGLFVTRCkp&amp;WINDOW=FIRST_POPUP&amp;HEIGHT=450&amp;WIDTH=450&amp;START_MAXIMIZED=FALSE&amp;VAR:CALENDAR=US&amp;VAR:SYMBOL=TSRA&amp;VAR:INDEX=0"}</definedName>
    <definedName name="_170__FDSAUDITLINK__" hidden="1">{"fdsup://directions/FAT Viewer?action=UPDATE&amp;creator=factset&amp;DYN_ARGS=TRUE&amp;DOC_NAME=FAT:FQL_AUDITING_CLIENT_TEMPLATE.FAT&amp;display_string=Audit&amp;VAR:KEY=YXSJGFQVOD&amp;VAR:QUERY=KChGRl9FQklUREEoTFRNLDAsLCxSRixVU0QpQEZGX0VCSVREQShMVE1TX1NFTUksMCwsLFJGLFVTRCkpQEZGX","0VCSVREQShBTk4sMCwsLFJGLFVTRCkp&amp;WINDOW=FIRST_POPUP&amp;HEIGHT=450&amp;WIDTH=450&amp;START_MAXIMIZED=FALSE&amp;VAR:CALENDAR=US&amp;VAR:INDEX=0"}</definedName>
    <definedName name="_171__FDSAUDITLINK__" hidden="1">{"fdsup://directions/FAT Viewer?action=UPDATE&amp;creator=factset&amp;DYN_ARGS=TRUE&amp;DOC_NAME=FAT:FQL_AUDITING_CLIENT_TEMPLATE.FAT&amp;display_string=Audit&amp;VAR:KEY=IVEPEVGBEJ&amp;VAR:QUERY=KChGRl9ORVRfSU5DKExUTSwwLCwsUkYsVVNEKUBGRl9ORVRfSU5DKExUTVNfU0VNSSwwLCwsUkYsVVNEKSlAR","kZfTkVUX0lOQyhBTk4sMCwsLFJGLFVTRCkp&amp;WINDOW=FIRST_POPUP&amp;HEIGHT=450&amp;WIDTH=450&amp;START_MAXIMIZED=FALSE&amp;VAR:CALENDAR=US&amp;VAR:SYMBOL=588950&amp;VAR:INDEX=0"}</definedName>
    <definedName name="_172__FDSAUDITLINK__" hidden="1">{"fdsup://directions/FAT Viewer?action=UPDATE&amp;creator=factset&amp;DYN_ARGS=TRUE&amp;DOC_NAME=FAT:FQL_AUDITING_CLIENT_TEMPLATE.FAT&amp;display_string=Audit&amp;VAR:KEY=BOVEXILYPW&amp;VAR:QUERY=KChGRl9ERUJUKFFUUiwwLCwsUkYsVVNEKUBGRl9ERUJUKFNFTUksMCwsLFJGLFVTRCkpQEZGX0RFQlQoQU5OL","DAsLCxSRixVU0QpKQ==&amp;WINDOW=FIRST_POPUP&amp;HEIGHT=450&amp;WIDTH=450&amp;START_MAXIMIZED=FALSE&amp;VAR:CALENDAR=US&amp;VAR:SYMBOL=RPXC&amp;VAR:INDEX=0"}</definedName>
    <definedName name="_173__FDSAUDITLINK__" hidden="1">{"fdsup://Directions/FactSet Auditing Viewer?action=AUDIT_VALUE&amp;DB=129&amp;ID1=588950&amp;VALUEID=01001&amp;SDATE=201202&amp;PERIODTYPE=QTR_STD&amp;SCFT=3&amp;window=popup_no_bar&amp;width=385&amp;height=120&amp;START_MAXIMIZED=FALSE&amp;creator=factset&amp;display_string=Audit"}</definedName>
    <definedName name="_174__FDSAUDITLINK__" hidden="1">{"fdsup://Directions/FactSet Auditing Viewer?action=AUDIT_VALUE&amp;DB=129&amp;ID1=B505PN&amp;VALUEID=01001&amp;SDATE=201101&amp;PERIODTYPE=QTR_STD&amp;SCFT=3&amp;window=popup_no_bar&amp;width=385&amp;height=120&amp;START_MAXIMIZED=FALSE&amp;creator=factset&amp;display_string=Audit"}</definedName>
    <definedName name="_175__FDSAUDITLINK__" hidden="1">{"fdsup://directions/FAT Viewer?action=UPDATE&amp;creator=factset&amp;DYN_ARGS=TRUE&amp;DOC_NAME=FAT:FQL_AUDITING_CLIENT_TEMPLATE.FAT&amp;display_string=Audit&amp;VAR:KEY=IVQVEXOVAX&amp;VAR:QUERY=KChGRl9FQklUREEoTFRNLDAsLCxSRixVU0QpQEZGX0VCSVREQShMVE1TX1NFTUksMCwsLFJGLFVTRCkpQEZGX","0VCSVREQShBTk4sMCwsLFJGLFVTRCkp&amp;WINDOW=FIRST_POPUP&amp;HEIGHT=450&amp;WIDTH=450&amp;START_MAXIMIZED=FALSE&amp;VAR:CALENDAR=US&amp;VAR:SYMBOL=MIPS&amp;VAR:INDEX=0"}</definedName>
    <definedName name="_176__FDSAUDITLINK__" hidden="1">{"fdsup://directions/FAT Viewer?action=UPDATE&amp;creator=factset&amp;DYN_ARGS=TRUE&amp;DOC_NAME=FAT:FQL_AUDITING_CLIENT_TEMPLATE.FAT&amp;display_string=Audit&amp;VAR:KEY=CTQBMLKXGT&amp;VAR:QUERY=KChGRl9FQklUKExUTSwwLCwsUkYsVVNEKUBGRl9FQklUKExUTVNfU0VNSSwwLCwsUkYsVVNEKSlARkZfRUJJV","ChBTk4sMCwsLFJGLFVTRCkp&amp;WINDOW=FIRST_POPUP&amp;HEIGHT=450&amp;WIDTH=450&amp;START_MAXIMIZED=FALSE&amp;VAR:CALENDAR=US&amp;VAR:SYMBOL=B0JDQD&amp;VAR:INDEX=0"}</definedName>
    <definedName name="_177__FDSAUDITLINK__" hidden="1">{"fdsup://directions/FAT Viewer?action=UPDATE&amp;creator=factset&amp;DYN_ARGS=TRUE&amp;DOC_NAME=FAT:FQL_AUDITING_CLIENT_TEMPLATE.FAT&amp;display_string=Audit&amp;VAR:KEY=MFINGJKBQP&amp;VAR:QUERY=KEZGX0NPTV9TSFNfT1VUKFFUUiwwLCwsUkYsVVNEKUBQX0NPTV9TSFNfT1VUKDApKQ==&amp;WINDOW=FIRST_POP","UP&amp;HEIGHT=450&amp;WIDTH=450&amp;START_MAXIMIZED=FALSE&amp;VAR:CALENDAR=US&amp;VAR:INDEX=0"}</definedName>
    <definedName name="_178__FDSAUDITLINK__" hidden="1">{"fdsup://Directions/FactSet Auditing Viewer?action=AUDIT_VALUE&amp;DB=129&amp;ID1=88448110&amp;VALUEID=07011&amp;SDATE=2009&amp;PERIODTYPE=ANN_STD&amp;window=popup_no_bar&amp;width=385&amp;height=120&amp;START_MAXIMIZED=FALSE&amp;creator=factset&amp;display_string=Audit"}</definedName>
    <definedName name="_179__FDSAUDITLINK__" hidden="1">{"fdsup://Directions/FactSet Auditing Viewer?action=AUDIT_VALUE&amp;DB=129&amp;ID1=88448110&amp;VALUEID=07011&amp;SDATE=2009&amp;PERIODTYPE=ANN_STD&amp;window=popup_no_bar&amp;width=385&amp;height=120&amp;START_MAXIMIZED=FALSE&amp;creator=factset&amp;display_string=Audit"}</definedName>
    <definedName name="_18__123Graph_BChart_14" hidden="1">#REF!</definedName>
    <definedName name="_18__123Graph_DCHART_1" hidden="1">#REF!</definedName>
    <definedName name="_18__FDSAUDITLINK__" hidden="1">{"fdsup://directions/FAT Viewer?action=UPDATE&amp;creator=factset&amp;DYN_ARGS=TRUE&amp;DOC_NAME=FAT:FQL_AUDITING_CLIENT_TEMPLATE.FAT&amp;display_string=Audit&amp;VAR:KEY=PGDONWDOVA&amp;VAR:QUERY=RkZfRVBTKExUTSwxMi8zMS8yMDA1LCwsUkYsVVNEKQ==&amp;WINDOW=FIRST_POPUP&amp;HEIGHT=450&amp;WIDTH=450&amp;","START_MAXIMIZED=FALSE&amp;VAR:CALENDAR=US&amp;VAR:SYMBOL=MIPS&amp;VAR:INDEX=0"}</definedName>
    <definedName name="_18_0_S" hidden="1">#REF!</definedName>
    <definedName name="_180__FDSAUDITLINK__" hidden="1">{"fdsup://directions/FAT Viewer?action=UPDATE&amp;creator=factset&amp;DYN_ARGS=TRUE&amp;DOC_NAME=FAT:FQL_AUDITING_CLIENT_TEMPLATE.FAT&amp;display_string=Audit&amp;VAR:KEY=AXYLKRAFQD&amp;VAR:QUERY=KCgoKEZGX1NITERSU19FUShRVFIsMCwsLFJTLFVTRClAKEZGX0xJQUJTX1NITERSU19FUShRVFIsMCwsLFJTL","FVTRCktRkZfTElBQlMoUVRSLDAsLCxSUyxVU0QpKSkpQCgoRkZfU0hMRFJTX0VRKFNFTUksMCwsLFJTLFVTRClAKEZGX0xJQUJTX1NITERSU19FUShTRU1JLDAsLCxSUyxVU0QpLUZGX0xJQUJTKFNFTUksMCwsLFJTLFVTRCkpKSkpQEZGX1NITERSU19FUShBTk4sMCwsLFJTLFVTRCkp&amp;WINDOW=FIRST_POPUP&amp;HEIGHT=450&amp;WIDTH=450","&amp;START_MAXIMIZED=FALSE&amp;VAR:CALENDAR=US&amp;VAR:SYMBOL=TWPG&amp;VAR:INDEX=0"}</definedName>
    <definedName name="_181__FDSAUDITLINK__" hidden="1">{"fdsup://Directions/FactSet Auditing Viewer?action=AUDIT_VALUE&amp;DB=129&amp;ID1=88448110&amp;VALUEID=02001&amp;SDATE=201001&amp;PERIODTYPE=QTR_STD&amp;window=popup_no_bar&amp;width=385&amp;height=120&amp;START_MAXIMIZED=FALSE&amp;creator=factset&amp;display_string=Audit"}</definedName>
    <definedName name="_182__FDSAUDITLINK__" hidden="1">{"fdsup://directions/FAT Viewer?action=UPDATE&amp;creator=factset&amp;DYN_ARGS=TRUE&amp;DOC_NAME=FAT:FQL_AUDITING_CLIENT_TEMPLATE.FAT&amp;display_string=Audit&amp;VAR:KEY=IVWBWXGPSX&amp;VAR:QUERY=KCgoKEZGX1NITERSU19FUShRVFIsMCwsLFJTLFVTRClAKEZGX0xJQUJTX1NITERSU19FUShRVFIsMCwsLFJTL","FVTRCktRkZfTElBQlMoUVRSLDAsLCxSUyxVU0QpKSkpQCgoRkZfU0hMRFJTX0VRKFNFTUksMCwsLFJTLFVTRClAKEZGX0xJQUJTX1NITERSU19FUShTRU1JLDAsLCxSUyxVU0QpLUZGX0xJQUJTKFNFTUksMCwsLFJTLFVTRCkpKSkpQEZGX1NITERSU19FUShBTk4sMCwsLFJTLFVTRCkp&amp;WINDOW=FIRST_POPUP&amp;HEIGHT=450&amp;WIDTH=450","&amp;START_MAXIMIZED=FALSE&amp;VAR:CALENDAR=US&amp;VAR:SYMBOL=COWN&amp;VAR:INDEX=0"}</definedName>
    <definedName name="_183__FDSAUDITLINK__" hidden="1">{"fdsup://Directions/FactSet Auditing Viewer?action=AUDIT_VALUE&amp;DB=129&amp;ID1=22362210&amp;VALUEID=02001&amp;SDATE=201003&amp;PERIODTYPE=QTR_STD&amp;window=popup_no_bar&amp;width=385&amp;height=120&amp;START_MAXIMIZED=FALSE&amp;creator=factset&amp;display_string=Audit"}</definedName>
    <definedName name="_184__FDSAUDITLINK__" hidden="1">{"fdsup://Directions/FactSet Auditing Viewer?action=AUDIT_VALUE&amp;DB=129&amp;ID1=B2PG34&amp;VALUEID=07011&amp;SDATE=2009&amp;PERIODTYPE=ANN_STD&amp;window=popup_no_bar&amp;width=385&amp;height=120&amp;START_MAXIMIZED=FALSE&amp;creator=factset&amp;display_string=Audit"}</definedName>
    <definedName name="_185__FDSAUDITLINK__" hidden="1">{"fdsup://Directions/FactSet Auditing Viewer?action=AUDIT_VALUE&amp;DB=129&amp;ID1=B2PG34&amp;VALUEID=07011&amp;SDATE=2009&amp;PERIODTYPE=ANN_STD&amp;window=popup_no_bar&amp;width=385&amp;height=120&amp;START_MAXIMIZED=FALSE&amp;creator=factset&amp;display_string=Audit"}</definedName>
    <definedName name="_186__FDSAUDITLINK__" hidden="1">{"fdsup://directions/FAT Viewer?action=UPDATE&amp;creator=factset&amp;DYN_ARGS=TRUE&amp;DOC_NAME=FAT:FQL_AUDITING_CLIENT_TEMPLATE.FAT&amp;display_string=Audit&amp;VAR:KEY=OBARCVEXYX&amp;VAR:QUERY=KCgoKEZGX1NITERSU19FUShRVFIsMCwsLFJTLFVTRClAKEZGX0xJQUJTX1NITERSU19FUShRVFIsMCwsLFJTL","FVTRCktRkZfTElBQlMoUVRSLDAsLCxSUyxVU0QpKSkpQCgoRkZfU0hMRFJTX0VRKFNFTUksMCwsLFJTLFVTRClAKEZGX0xJQUJTX1NITERSU19FUShTRU1JLDAsLCxSUyxVU0QpLUZGX0xJQUJTKFNFTUksMCwsLFJTLFVTRCkpKSkpQEZGX1NITERSU19FUShBTk4sMCwsLFJTLFVTRCkp&amp;WINDOW=FIRST_POPUP&amp;HEIGHT=450&amp;WIDTH=450","&amp;START_MAXIMIZED=FALSE&amp;VAR:CALENDAR=US&amp;VAR:SYMBOL=2174&amp;VAR:INDEX=0"}</definedName>
    <definedName name="_187__FDSAUDITLINK__" hidden="1">{"fdsup://Directions/FactSet Auditing Viewer?action=AUDIT_VALUE&amp;DB=129&amp;ID1=B2PG34&amp;VALUEID=02001&amp;SDATE=201003&amp;PERIODTYPE=QTR_STD&amp;window=popup_no_bar&amp;width=385&amp;height=120&amp;START_MAXIMIZED=FALSE&amp;creator=factset&amp;display_string=Audit"}</definedName>
    <definedName name="_188__FDSAUDITLINK__" hidden="1">{"fdsup://Directions/FactSet Auditing Viewer?action=AUDIT_VALUE&amp;DB=129&amp;ID1=37734110&amp;VALUEID=07011&amp;SDATE=2009&amp;PERIODTYPE=ANN_STD&amp;window=popup_no_bar&amp;width=385&amp;height=120&amp;START_MAXIMIZED=FALSE&amp;creator=factset&amp;display_string=Audit"}</definedName>
    <definedName name="_189__FDSAUDITLINK__" hidden="1">{"fdsup://directions/FAT Viewer?action=UPDATE&amp;creator=factset&amp;DYN_ARGS=TRUE&amp;DOC_NAME=FAT:FQL_AUDITING_CLIENT_TEMPLATE.FAT&amp;display_string=Audit&amp;VAR:KEY=ERINIRUNAB&amp;VAR:QUERY=KChGRl9TQUxFUyhMVE0sMCwsLFJGLFVTRClARkZfU0FMRVMoTFRNU19TRU1JLDAsLCxSRixVU0QpKUBGRl9TQ","UxFUyhBTk4sMCwsLFJGLFVTRCkp&amp;WINDOW=FIRST_POPUP&amp;HEIGHT=450&amp;WIDTH=450&amp;START_MAXIMIZED=FALSE&amp;VAR:CALENDAR=US&amp;VAR:SYMBOL=68218910&amp;VAR:INDEX=0"}</definedName>
    <definedName name="_19__123Graph_BChart_2" hidden="1">#REF!</definedName>
    <definedName name="_19__FDSAUDITLINK__" hidden="1">{"fdsup://directions/FAT Viewer?action=UPDATE&amp;creator=factset&amp;DYN_ARGS=TRUE&amp;DOC_NAME=FAT:FQL_AUDITING_CLIENT_TEMPLATE.FAT&amp;display_string=Audit&amp;VAR:KEY=TKNIBYDKHG&amp;VAR:QUERY=RkZfU0FMRVMoTFRNLDEyLzMxLzIwMDcsLCxSRixVU0Qp&amp;WINDOW=FIRST_POPUP&amp;HEIGHT=450&amp;WIDTH=450&amp;","START_MAXIMIZED=FALSE&amp;VAR:CALENDAR=US&amp;VAR:SYMBOL=MIPS&amp;VAR:INDEX=0"}</definedName>
    <definedName name="_19_0_Table2_" hidden="1">#REF!</definedName>
    <definedName name="_190__FDSAUDITLINK__" hidden="1">{"fdsup://Directions/FactSet Auditing Viewer?action=AUDIT_VALUE&amp;DB=129&amp;ID1=83408W10&amp;VALUEID=02001&amp;SDATE=201003&amp;PERIODTYPE=QTR_STD&amp;window=popup_no_bar&amp;width=385&amp;height=120&amp;START_MAXIMIZED=FALSE&amp;creator=factset&amp;display_string=Audit"}</definedName>
    <definedName name="_191__FDSAUDITLINK__" hidden="1">{"fdsup://directions/FAT Viewer?action=UPDATE&amp;creator=factset&amp;DYN_ARGS=TRUE&amp;DOC_NAME=FAT:FQL_AUDITING_CLIENT_TEMPLATE.FAT&amp;display_string=Audit&amp;VAR:KEY=SVKXCXCPYF&amp;VAR:QUERY=KChGRl9HUk9TU19JTkMoTFRNLDAsLCxSRixVU0QpQEZGX0dST1NTX0lOQyhMVE1TX1NFTUksMCwsLFJGLFVTR","CkpQEZGX1NBTEVTKEFOTiwwLCwsUkYsVVNEKSk=&amp;WINDOW=FIRST_POPUP&amp;HEIGHT=450&amp;WIDTH=450&amp;START_MAXIMIZED=FALSE&amp;VAR:CALENDAR=US&amp;VAR:SYMBOL=N6596X10&amp;VAR:INDEX=0"}</definedName>
    <definedName name="_192__FDSAUDITLINK__" hidden="1">{"fdsup://Directions/FactSet Auditing Viewer?action=AUDIT_VALUE&amp;DB=129&amp;ID1=74752510&amp;VALUEID=01001&amp;SDATE=201102&amp;PERIODTYPE=QTR_STD&amp;SCFT=3&amp;window=popup_no_bar&amp;width=385&amp;height=120&amp;START_MAXIMIZED=FALSE&amp;creator=factset&amp;display_string=Audit"}</definedName>
    <definedName name="_193__FDSAUDITLINK__" hidden="1">{"fdsup://directions/FAT Viewer?action=UPDATE&amp;creator=factset&amp;DYN_ARGS=TRUE&amp;DOC_NAME=FAT:FQL_AUDITING_CLIENT_TEMPLATE.FAT&amp;display_string=Audit&amp;VAR:KEY=VYJUTIHSPS&amp;VAR:QUERY=KCgoKEZGX1NITERSU19FUShRVFIsMCwsLFJTLFVTRClAKEZGX0xJQUJTX1NITERSU19FUShRVFIsMCwsLFJTL","FVTRCkgLSBGRl9MSUFCUyhRVFIsMCwsLFJTLFVTRCkpKSlAKChGRl9TSExEUlNfRVEoU0VNSSwwLCwsUlMsVVNEKUAoRkZfTElBQlNfU0hMRFJTX0VRKFNFTUksMCwsLFJTLFVTRCkgLSBGRl9MSUFCUyhTRU1JLDAsLCxSUyxVU0QpKSkpKUBGRl9TSExEUlNfRVEoQU5OLDAsLCxSUyxVU0QpKQ==&amp;WINDOW=FIRST_POPUP&amp;HEIGHT=450&amp;W","IDTH=450&amp;START_MAXIMIZED=FALSE&amp;VAR:CALENDAR=US&amp;VAR:SYMBOL=MIPS&amp;VAR:INDEX=0"}</definedName>
    <definedName name="_194__FDSAUDITLINK__" hidden="1">{"fdsup://directions/FAT Viewer?action=UPDATE&amp;creator=factset&amp;DYN_ARGS=TRUE&amp;DOC_NAME=FAT:FQL_AUDITING_CLIENT_TEMPLATE.FAT&amp;display_string=Audit&amp;VAR:KEY=HUBYDANUVM&amp;VAR:QUERY=KChGRl9FUFMoTFRNLDAsLCxSRixVU0QpQEZGX0VQUyhMVE1TX1NFTUksMCwsLFJGLFVTRCkpQEZGX0VQUyhBT","k4sMCwsLFJGLFVTRCkp&amp;WINDOW=FIRST_POPUP&amp;HEIGHT=450&amp;WIDTH=450&amp;START_MAXIMIZED=FALSE&amp;VAR:CALENDAR=US&amp;VAR:SYMBOL=093031&amp;VAR:INDEX=0"}</definedName>
    <definedName name="_195__FDSAUDITLINK__" hidden="1">{"fdsup://directions/FAT Viewer?action=UPDATE&amp;creator=factset&amp;DYN_ARGS=TRUE&amp;DOC_NAME=FAT:FQL_AUDITING_CLIENT_TEMPLATE.FAT&amp;display_string=Audit&amp;VAR:KEY=MBELQFAHUF&amp;VAR:QUERY=KChGRl9ORVRfSU5DKExUTSwwLCwsUkYsVVNEKUBGRl9ORVRfSU5DKExUTVNfU0VNSSwwLCwsUkYsVVNEKSlAR","kZfTkVUX0lOQyhBTk4sMCwsLFJGLFVTRCkp&amp;WINDOW=FIRST_POPUP&amp;HEIGHT=450&amp;WIDTH=450&amp;START_MAXIMIZED=FALSE&amp;VAR:CALENDAR=US&amp;VAR:SYMBOL=093031&amp;VAR:INDEX=0"}</definedName>
    <definedName name="_196__FDSAUDITLINK__" hidden="1">{"fdsup://Directions/FactSet Auditing Viewer?action=AUDIT_VALUE&amp;DB=129&amp;ID1=39525910&amp;VALUEID=07011&amp;SDATE=2009&amp;PERIODTYPE=ANN_STD&amp;window=popup_no_bar&amp;width=385&amp;height=120&amp;START_MAXIMIZED=FALSE&amp;creator=factset&amp;display_string=Audit"}</definedName>
    <definedName name="_197__FDSAUDITLINK__" hidden="1">{"fdsup://directions/FAT Viewer?action=UPDATE&amp;creator=factset&amp;DYN_ARGS=TRUE&amp;DOC_NAME=FAT:FQL_AUDITING_CLIENT_TEMPLATE.FAT&amp;display_string=Audit&amp;VAR:KEY=PMZIFIPELE&amp;VAR:QUERY=KChGRl9HUk9TU19JTkMoTFRNLDAsLCxSRixVU0QpQEZGX0dST1NTX0lOQyhMVE1TX1NFTUksMCwsLFJGLFVTR","CkpQEZGX1NBTEVTKEFOTiwwLCwsUkYsVVNEKSk=&amp;WINDOW=FIRST_POPUP&amp;HEIGHT=450&amp;WIDTH=450&amp;START_MAXIMIZED=FALSE&amp;VAR:CALENDAR=US&amp;VAR:SYMBOL=68218910&amp;VAR:INDEX=0"}</definedName>
    <definedName name="_198__FDSAUDITLINK__" hidden="1">{"fdsup://Directions/FactSet Auditing Viewer?action=AUDIT_VALUE&amp;DB=129&amp;ID1=626418&amp;VALUEID=07011&amp;SDATE=2009&amp;PERIODTYPE=ANN_STD&amp;window=popup_no_bar&amp;width=385&amp;height=120&amp;START_MAXIMIZED=FALSE&amp;creator=factset&amp;display_string=Audit"}</definedName>
    <definedName name="_199__FDSAUDITLINK__" hidden="1">{"fdsup://Directions/FactSet Auditing Viewer?action=AUDIT_VALUE&amp;DB=129&amp;ID1=15721010&amp;VALUEID=01001&amp;SDATE=201201&amp;PERIODTYPE=QTR_STD&amp;SCFT=3&amp;window=popup_no_bar&amp;width=385&amp;height=120&amp;START_MAXIMIZED=FALSE&amp;creator=factset&amp;display_string=Audit"}</definedName>
    <definedName name="_2__123Graph_A_FABP_L.WK1_FAB" hidden="1">#REF!</definedName>
    <definedName name="_2__123Graph_AChart_10" hidden="1">#REF!</definedName>
    <definedName name="_2__123Graph_AChart_2" hidden="1">#REF!</definedName>
    <definedName name="_2__123Graph_BCHART_1" hidden="1">#REF!</definedName>
    <definedName name="_2__FDSAUDITLINK__" hidden="1">{"fdsup://directions/FAT Viewer?action=UPDATE&amp;creator=factset&amp;DYN_ARGS=TRUE&amp;DOC_NAME=FAT:FQL_AUDITING_CLIENT_TEMPLATE.FAT&amp;display_string=Audit&amp;VAR:KEY=UBQDKLMBQN&amp;VAR:QUERY=KChGRl9FQklUKExUTSwwLCwsUkYsVVNEKUBGRl9FQklUKExUTVNfU0VNSSwwLCwsUkYsVVNEKSlARkZfRUJJV","ChBTk4sMCwsLFJGLFVTRCkp&amp;WINDOW=FIRST_POPUP&amp;HEIGHT=450&amp;WIDTH=450&amp;START_MAXIMIZED=FALSE&amp;VAR:CALENDAR=US&amp;VAR:INDEX=0"}</definedName>
    <definedName name="_2__FDSAUDITLINK___1" hidden="1">{"fdsup://IBCentral/FAT Viewer?action=UPDATE&amp;creator=factset&amp;DOC_NAME=fat:reuters_annual_shs_src_window.fat&amp;display_string=Audit&amp;DYN_ARGS=TRUE&amp;VAR:ID1=76657R10&amp;VAR:RCODE=FDSSHSOUTDEPS&amp;VAR:SDATE=20071299&amp;VAR:FREQ=Y&amp;VAR:RELITEM=RF&amp;VAR:CURRENCY=&amp;VAR:CURRSOURCE","=EXSHARE&amp;VAR:NATFREQ=ANNUAL&amp;VAR:RFIELD=FINALIZED&amp;VAR:DB_TYPE=&amp;VAR:UNITS=MONTHLY&amp;window=popup&amp;width=450&amp;height=300&amp;START_MAXIMIZED=FALSE"}</definedName>
    <definedName name="_2_0_0Cwvu.GREY_A" hidden="1">#REF!</definedName>
    <definedName name="_2_123Grap" hidden="1">#REF!</definedName>
    <definedName name="_20__123Graph_BChart_3" hidden="1">#REF!</definedName>
    <definedName name="_20__FDSAUDITLINK__" hidden="1">{"fdsup://directions/FAT Viewer?action=UPDATE&amp;creator=factset&amp;DYN_ARGS=TRUE&amp;DOC_NAME=FAT:FQL_AUDITING_CLIENT_TEMPLATE.FAT&amp;display_string=Audit&amp;VAR:KEY=LYVKFSXGXU&amp;VAR:QUERY=KChGRl9HUk9TU19JTkMoTFRNLDAsLCxSRixVU0QpQEZGX0dST1NTX0lOQyhMVE1TX1NFTUksMCwsLFJGLFVTR","CkpQEZGX1NBTEVTKEFOTiwwLCwsUkYsVVNEKSk=&amp;WINDOW=FIRST_POPUP&amp;HEIGHT=450&amp;WIDTH=450&amp;START_MAXIMIZED=FALSE&amp;VAR:CALENDAR=US&amp;VAR:SYMBOL=TSRA&amp;VAR:INDEX=0"}</definedName>
    <definedName name="_20_0_Table2_" hidden="1">#REF!</definedName>
    <definedName name="_200__FDSAUDITLINK__" hidden="1">{"fdsup://Directions/FactSet Auditing Viewer?action=AUDIT_VALUE&amp;DB=129&amp;ID1=626418&amp;VALUEID=02001&amp;SDATE=201003&amp;PERIODTYPE=QTR_STD&amp;window=popup_no_bar&amp;width=385&amp;height=120&amp;START_MAXIMIZED=FALSE&amp;creator=factset&amp;display_string=Audit"}</definedName>
    <definedName name="_201__FDSAUDITLINK__" hidden="1">{"fdsup://Directions/FactSet Auditing Viewer?action=AUDIT_VALUE&amp;DB=129&amp;ID1=88164L10&amp;VALUEID=07011&amp;SDATE=2011&amp;PERIODTYPE=ANN_STD&amp;SCFT=3&amp;window=popup_no_bar&amp;width=385&amp;height=120&amp;START_MAXIMIZED=FALSE&amp;creator=factset&amp;display_string=Audit"}</definedName>
    <definedName name="_202__FDSAUDITLINK__" hidden="1">{"fdsup://directions/FAT Viewer?action=UPDATE&amp;creator=factset&amp;DYN_ARGS=TRUE&amp;DOC_NAME=FAT:FQL_AUDITING_CLIENT_TEMPLATE.FAT&amp;display_string=Audit&amp;VAR:KEY=PQZKTMDARE&amp;VAR:QUERY=KChGRl9FQklUREEoTFRNLDAsLCxSRixVU0QpQEZGX0VCSVREQShMVE1TX1NFTUksMCwsLFJGLFVTRCkpQEZGX","0VCSVREQShBTk4sMCwsLFJGLFVTRCkp&amp;WINDOW=FIRST_POPUP&amp;HEIGHT=450&amp;WIDTH=450&amp;START_MAXIMIZED=FALSE&amp;VAR:CALENDAR=US&amp;VAR:SYMBOL=FSL&amp;VAR:INDEX=0"}</definedName>
    <definedName name="_203__FDSAUDITLINK__" hidden="1">{"fdsup://Directions/FactSet Auditing Viewer?action=AUDIT_VALUE&amp;DB=129&amp;ID1=588950&amp;VALUEID=01001&amp;SDATE=2011&amp;PERIODTYPE=ANN_STD&amp;SCFT=3&amp;window=popup_no_bar&amp;width=385&amp;height=120&amp;START_MAXIMIZED=FALSE&amp;creator=factset&amp;display_string=Audit"}</definedName>
    <definedName name="_204__FDSAUDITLINK__" hidden="1">{"fdsup://directions/FAT Viewer?action=UPDATE&amp;creator=factset&amp;DYN_ARGS=TRUE&amp;DOC_NAME=FAT:FQL_AUDITING_CLIENT_TEMPLATE.FAT&amp;display_string=Audit&amp;VAR:KEY=ODOVSHCHUH&amp;VAR:QUERY=KChGRl9FQklUKExUTSwwLCwsUkYsVVNEKUBGRl9FQklUKExUTVNfU0VNSSwwLCwsUkYsVVNEKSlARkZfRUJJV","ChBTk4sMCwsLFJGLFVTRCkp&amp;WINDOW=FIRST_POPUP&amp;HEIGHT=450&amp;WIDTH=450&amp;START_MAXIMIZED=FALSE&amp;VAR:CALENDAR=US&amp;VAR:SYMBOL=MIPS&amp;VAR:INDEX=0"}</definedName>
    <definedName name="_205__FDSAUDITLINK__" hidden="1">{"fdsup://directions/FAT Viewer?action=UPDATE&amp;creator=factset&amp;DYN_ARGS=TRUE&amp;DOC_NAME=FAT:FQL_AUDITING_CLIENT_TEMPLATE.FAT&amp;display_string=Audit&amp;VAR:KEY=RIHWNWTUDE&amp;VAR:QUERY=KCgoKChGRl9JTlRfRVhQX0RFQlQoTFRNLDAsLCxSRixVU0QpQEZGX0lOVF9FWFBfVE9UKExUTSwwLCwsUkYsV","VNEKSlARkZfSU5UX0VYUF9ERUJUKExUTVNfU0VNSSwwLCwsUkYsVVNEKSlARkZfSU5UX0VYUF9UT1QoTFRNU19TRU1JLDAsLCxSRixVU0QpKUBGRl9JTlRfRVhQX0RFQlQoQU5OLDAsLCxSRixVU0QpKUBGRl9JTlRfRVhQX1RPVChBTk4sMCwsLFJGLFVTRCkp&amp;WINDOW=FIRST_POPUP&amp;HEIGHT=450&amp;WIDTH=450&amp;START_MAXIMIZED=FAL","SE&amp;VAR:CALENDAR=US&amp;VAR:SYMBOL=MOSY&amp;VAR:INDEX=0"}</definedName>
    <definedName name="_206__FDSAUDITLINK__" hidden="1">{"fdsup://directions/FAT Viewer?action=UPDATE&amp;creator=factset&amp;DYN_ARGS=TRUE&amp;DOC_NAME=FAT:FQL_AUDITING_CLIENT_TEMPLATE.FAT&amp;display_string=Audit&amp;VAR:KEY=FQDSVODQRY&amp;VAR:QUERY=KChGRl9FQklUKExUTSwwLCwsUkYsVVNEKUBGRl9FQklUKExUTVNfU0VNSSwwLCwsUkYsVVNEKSlARkZfRUJJV","ChBTk4sMCwsLFJGLFVTRCkp&amp;WINDOW=FIRST_POPUP&amp;HEIGHT=450&amp;WIDTH=450&amp;START_MAXIMIZED=FALSE&amp;VAR:CALENDAR=US&amp;VAR:SYMBOL=ARMH&amp;VAR:INDEX=0"}</definedName>
    <definedName name="_20618__FDSAUDITLINK__" hidden="1">{"fdsup://directions/FAT Viewer?action=UPDATE&amp;creator=factset&amp;DYN_ARGS=TRUE&amp;DOC_NAME=FAT:FQL_AUDITING_CLIENT_TEMPLATE.FAT&amp;display_string=Audit&amp;VAR:KEY=FKBKXAVMNK&amp;VAR:QUERY=KChGRl9ERUJUKFFUUiw0MTE2NCwsLCxVU0QpQEZGX0RFQlQoU0VNSSw0MTE2NCwsLCxVU0QpKUBGRl9ERUJUK","EFOTiw0MTE2NCwsLCxVU0QpKQ==&amp;WINDOW=FIRST_POPUP&amp;HEIGHT=450&amp;WIDTH=450&amp;START_MAXIMIZED=FALSE&amp;VAR:CALENDAR=US&amp;VAR:SYMBOL=CSGP&amp;VAR:INDEX=0"}</definedName>
    <definedName name="_20633__FDSAUDITLINK__" hidden="1">{"fdsup://directions/FAT Viewer?action=UPDATE&amp;creator=factset&amp;DYN_ARGS=TRUE&amp;DOC_NAME=FAT:FQL_AUDITING_CLIENT_TEMPLATE.FAT&amp;display_string=Audit&amp;VAR:KEY=DMDATWRMBM&amp;VAR:QUERY=RkZfRUJJVERBKEFOTiwyMDEyLC0yQVksQ1ksLFVTRCk=&amp;WINDOW=FIRST_POPUP&amp;HEIGHT=450&amp;WIDTH=450&amp;","START_MAXIMIZED=FALSE&amp;VAR:CALENDAR=US&amp;VAR:SYMBOL=LSE:REL&amp;VAR:INDEX=0"}</definedName>
    <definedName name="_207__FDSAUDITLINK__" hidden="1">{"fdsup://Directions/FactSet Auditing Viewer?action=AUDIT_VALUE&amp;DB=129&amp;ID1=68218910&amp;VALUEID=07011&amp;SDATE=2011&amp;PERIODTYPE=ANN_STD&amp;SCFT=3&amp;window=popup_no_bar&amp;width=385&amp;height=120&amp;START_MAXIMIZED=FALSE&amp;creator=factset&amp;display_string=Audit"}</definedName>
    <definedName name="_208__FDSAUDITLINK__" hidden="1">{"fdsup://directions/FAT Viewer?action=UPDATE&amp;creator=factset&amp;DYN_ARGS=TRUE&amp;DOC_NAME=FAT:FQL_AUDITING_CLIENT_TEMPLATE.FAT&amp;display_string=Audit&amp;VAR:KEY=BCTCNKNQFA&amp;VAR:QUERY=KChGRl9FQklUKExUTSwwLCwsUkYsVVNEKUBGRl9FQklUKExUTVNfU0VNSSwwLCwsUkYsVVNEKSlARkZfRUJJV","ChBTk4sMCwsLFJGLFVTRCkp&amp;WINDOW=FIRST_POPUP&amp;HEIGHT=450&amp;WIDTH=450&amp;START_MAXIMIZED=FALSE&amp;VAR:CALENDAR=US&amp;VAR:SYMBOL=68218910&amp;VAR:INDEX=0"}</definedName>
    <definedName name="_209__FDSAUDITLINK__" hidden="1">{"fdsup://directions/FAT Viewer?action=UPDATE&amp;creator=factset&amp;DYN_ARGS=TRUE&amp;DOC_NAME=FAT:FQL_AUDITING_CLIENT_TEMPLATE.FAT&amp;display_string=Audit&amp;VAR:KEY=SXKRGJYHAP&amp;VAR:QUERY=KChGRl9ORVRfSU5DKExUTSwwLCwsUkYsVVNEKUBGRl9ORVRfSU5DKExUTVNfU0VNSSwwLCwsUkYsVVNEKSlAR","kZfTkVUX0lOQyhBTk4sMCwsLFJGLFVTRCkp&amp;WINDOW=FIRST_POPUP&amp;HEIGHT=450&amp;WIDTH=450&amp;START_MAXIMIZED=FALSE&amp;VAR:CALENDAR=US&amp;VAR:SYMBOL=JMP&amp;VAR:INDEX=0"}</definedName>
    <definedName name="_21__123Graph_BChart_4" hidden="1">#REF!</definedName>
    <definedName name="_21__FDSAUDITLINK__" hidden="1">{"fdsup://directions/FAT Viewer?action=UPDATE&amp;creator=factset&amp;DYN_ARGS=TRUE&amp;DOC_NAME=FAT:FQL_AUDITING_CLIENT_TEMPLATE.FAT&amp;display_string=Audit&amp;VAR:KEY=TWBGRMZUVM&amp;VAR:QUERY=RkZfU0FMRVMoTFRNLDEyLzMxLzIwMDUsLCxSRixVU0Qp&amp;WINDOW=FIRST_POPUP&amp;HEIGHT=450&amp;WIDTH=450&amp;","START_MAXIMIZED=FALSE&amp;VAR:CALENDAR=US&amp;VAR:SYMBOL=MIPS&amp;VAR:INDEX=0"}</definedName>
    <definedName name="_210__FDSAUDITLINK__" hidden="1">{"fdsup://directions/FAT Viewer?action=UPDATE&amp;creator=factset&amp;DYN_ARGS=TRUE&amp;DOC_NAME=FAT:FQL_AUDITING_CLIENT_TEMPLATE.FAT&amp;display_string=Audit&amp;VAR:KEY=MVMDGZULMT&amp;VAR:QUERY=KChGRl9FQklUKExUTSwwLCwsUkYsVVNEKUBGRl9FQklUKExUTVNfU0VNSSwwLCwsUkYsVVNEKSlARkZfRUJJV","ChBTk4sMCwsLFJGLFVTRCkp&amp;WINDOW=FIRST_POPUP&amp;HEIGHT=450&amp;WIDTH=450&amp;START_MAXIMIZED=FALSE&amp;VAR:CALENDAR=US&amp;VAR:SYMBOL=JMP&amp;VAR:INDEX=0"}</definedName>
    <definedName name="_211__FDSAUDITLINK__" hidden="1">{"fdsup://directions/FAT Viewer?action=UPDATE&amp;creator=factset&amp;DYN_ARGS=TRUE&amp;DOC_NAME=FAT:FQL_AUDITING_CLIENT_TEMPLATE.FAT&amp;display_string=Audit&amp;VAR:KEY=YLMXAVGBGN&amp;VAR:QUERY=KChGRl9FQklUREEoTFRNLDAsLCxSRixVU0QpQEZGX0VCSVREQShMVE1TX1NFTUksMCwsLFJGLFVTRCkpQEZGX","0VCSVREQShBTk4sMCwsLFJGLFVTRCkp&amp;WINDOW=FIRST_POPUP&amp;HEIGHT=450&amp;WIDTH=450&amp;START_MAXIMIZED=FALSE&amp;VAR:CALENDAR=US&amp;VAR:SYMBOL=JMP&amp;VAR:INDEX=0"}</definedName>
    <definedName name="_212__FDSAUDITLINK__" hidden="1">{"fdsup://Directions/FactSet Auditing Viewer?action=AUDIT_VALUE&amp;DB=129&amp;ID1=46629U10&amp;VALUEID=01001&amp;SDATE=201003&amp;PERIODTYPE=QTR_STD&amp;window=popup_no_bar&amp;width=385&amp;height=120&amp;START_MAXIMIZED=FALSE&amp;creator=factset&amp;display_string=Audit"}</definedName>
    <definedName name="_213__FDSAUDITLINK__" hidden="1">{"fdsup://directions/FAT Viewer?action=UPDATE&amp;creator=factset&amp;DYN_ARGS=TRUE&amp;DOC_NAME=FAT:FQL_AUDITING_CLIENT_TEMPLATE.FAT&amp;display_string=Audit&amp;VAR:KEY=ERUPGFARQB&amp;VAR:QUERY=KChGRl9ORVRfSU5DKExUTSwwLCwsUkYsVVNEKUBGRl9ORVRfSU5DKExUTVNfU0VNSSwwLCwsUkYsVVNEKSlAR","kZfTkVUX0lOQyhBTk4sMCwsLFJGLFVTRCkp&amp;WINDOW=FIRST_POPUP&amp;HEIGHT=450&amp;WIDTH=450&amp;START_MAXIMIZED=FALSE&amp;VAR:CALENDAR=US&amp;VAR:SYMBOL=TWPG&amp;VAR:INDEX=0"}</definedName>
    <definedName name="_214__FDSAUDITLINK__" hidden="1">{"fdsup://directions/FAT Viewer?action=UPDATE&amp;creator=factset&amp;DYN_ARGS=TRUE&amp;DOC_NAME=FAT:FQL_AUDITING_CLIENT_TEMPLATE.FAT&amp;display_string=Audit&amp;VAR:KEY=WBUZMPCJIF&amp;VAR:QUERY=KChGRl9FQklUKExUTSwwLCwsUkYsVVNEKUBGRl9FQklUKExUTVNfU0VNSSwwLCwsUkYsVVNEKSlARkZfRUJJV","ChBTk4sMCwsLFJGLFVTRCkp&amp;WINDOW=FIRST_POPUP&amp;HEIGHT=450&amp;WIDTH=450&amp;START_MAXIMIZED=FALSE&amp;VAR:CALENDAR=US&amp;VAR:SYMBOL=TWPG&amp;VAR:INDEX=0"}</definedName>
    <definedName name="_215__FDSAUDITLINK__" hidden="1">{"fdsup://directions/FAT Viewer?action=UPDATE&amp;creator=factset&amp;DYN_ARGS=TRUE&amp;DOC_NAME=FAT:FQL_AUDITING_CLIENT_TEMPLATE.FAT&amp;display_string=Audit&amp;VAR:KEY=CPWNIXYDEX&amp;VAR:QUERY=KChGRl9FQklUREEoTFRNLDAsLCxSRixVU0QpQEZGX0VCSVREQShMVE1TX1NFTUksMCwsLFJGLFVTRCkpQEZGX","0VCSVREQShBTk4sMCwsLFJGLFVTRCkp&amp;WINDOW=FIRST_POPUP&amp;HEIGHT=450&amp;WIDTH=450&amp;START_MAXIMIZED=FALSE&amp;VAR:CALENDAR=US&amp;VAR:SYMBOL=TWPG&amp;VAR:INDEX=0"}</definedName>
    <definedName name="_216__FDSAUDITLINK__" hidden="1">{"fdsup://Directions/FactSet Auditing Viewer?action=AUDIT_VALUE&amp;DB=129&amp;ID1=88448110&amp;VALUEID=01001&amp;SDATE=2009&amp;PERIODTYPE=ANN_STD&amp;window=popup_no_bar&amp;width=385&amp;height=120&amp;START_MAXIMIZED=FALSE&amp;creator=factset&amp;display_string=Audit"}</definedName>
    <definedName name="_217__FDSAUDITLINK__" hidden="1">{"fdsup://Directions/FactSet Auditing Viewer?action=AUDIT_VALUE&amp;DB=129&amp;ID1=88448110&amp;VALUEID=01001&amp;SDATE=201001&amp;PERIODTYPE=QTR_STD&amp;window=popup_no_bar&amp;width=385&amp;height=120&amp;START_MAXIMIZED=FALSE&amp;creator=factset&amp;display_string=Audit"}</definedName>
    <definedName name="_218__FDSAUDITLINK__" hidden="1">{"fdsup://Directions/FactSet Auditing Viewer?action=AUDIT_VALUE&amp;DB=129&amp;ID1=88448110&amp;VALUEID=01001&amp;SDATE=200901&amp;PERIODTYPE=QTR_STD&amp;window=popup_no_bar&amp;width=385&amp;height=120&amp;START_MAXIMIZED=FALSE&amp;creator=factset&amp;display_string=Audit"}</definedName>
    <definedName name="_219__FDSAUDITLINK__" hidden="1">{"fdsup://directions/FAT Viewer?action=UPDATE&amp;creator=factset&amp;DYN_ARGS=TRUE&amp;DOC_NAME=FAT:FQL_AUDITING_CLIENT_TEMPLATE.FAT&amp;display_string=Audit&amp;VAR:KEY=EXSPKBWZGN&amp;VAR:QUERY=KChGRl9ORVRfSU5DKExUTSwwLCwsUkYsVVNEKUBGRl9ORVRfSU5DKExUTVNfU0VNSSwwLCwsUkYsVVNEKSlAR","kZfTkVUX0lOQyhBTk4sMCwsLFJGLFVTRCkp&amp;WINDOW=FIRST_POPUP&amp;HEIGHT=450&amp;WIDTH=450&amp;START_MAXIMIZED=FALSE&amp;VAR:CALENDAR=US&amp;VAR:SYMBOL=COWN&amp;VAR:INDEX=0"}</definedName>
    <definedName name="_22__123Graph_BChart_5" hidden="1">#REF!</definedName>
    <definedName name="_22__123Graph_LBL_ACHART_1" hidden="1">#REF!</definedName>
    <definedName name="_22__FDSAUDITLINK__" hidden="1">{"fdsup://directions/FAT Viewer?action=UPDATE&amp;creator=factset&amp;DYN_ARGS=TRUE&amp;DOC_NAME=FAT:FQL_AUDITING_CLIENT_TEMPLATE.FAT&amp;display_string=Audit&amp;VAR:KEY=RQTSLGXMJO&amp;VAR:QUERY=KChGRl9ORVRfSU5DKExUTSwwLCwsUkYsVVNEKUBGRl9ORVRfSU5DKExUTVNfU0VNSSwwLCwsUkYsVVNEKSlAR","kZfTkVUX0lOQyhBTk4sMCwsLFJGLFVTRCkp&amp;WINDOW=FIRST_POPUP&amp;HEIGHT=450&amp;WIDTH=450&amp;START_MAXIMIZED=FALSE&amp;VAR:CALENDAR=US&amp;VAR:SYMBOL=QCOM&amp;VAR:INDEX=0"}</definedName>
    <definedName name="_220__FDSAUDITLINK__" hidden="1">{"fdsup://directions/FAT Viewer?action=UPDATE&amp;creator=factset&amp;DYN_ARGS=TRUE&amp;DOC_NAME=FAT:FQL_AUDITING_CLIENT_TEMPLATE.FAT&amp;display_string=Audit&amp;VAR:KEY=CFCFQNADUV&amp;VAR:QUERY=KChGRl9FQklUKExUTSwwLCwsUkYsVVNEKUBGRl9FQklUKExUTVNfU0VNSSwwLCwsUkYsVVNEKSlARkZfRUJJV","ChBTk4sMCwsLFJGLFVTRCkp&amp;WINDOW=FIRST_POPUP&amp;HEIGHT=450&amp;WIDTH=450&amp;START_MAXIMIZED=FALSE&amp;VAR:CALENDAR=US&amp;VAR:SYMBOL=COWN&amp;VAR:INDEX=0"}</definedName>
    <definedName name="_221__FDSAUDITLINK__" hidden="1">{"fdsup://directions/FAT Viewer?action=UPDATE&amp;creator=factset&amp;DYN_ARGS=TRUE&amp;DOC_NAME=FAT:FQL_AUDITING_CLIENT_TEMPLATE.FAT&amp;display_string=Audit&amp;VAR:KEY=MDINYTOTKR&amp;VAR:QUERY=KChGRl9FQklUREEoTFRNLDAsLCxSRixVU0QpQEZGX0VCSVREQShMVE1TX1NFTUksMCwsLFJGLFVTRCkpQEZGX","0VCSVREQShBTk4sMCwsLFJGLFVTRCkp&amp;WINDOW=FIRST_POPUP&amp;HEIGHT=450&amp;WIDTH=450&amp;START_MAXIMIZED=FALSE&amp;VAR:CALENDAR=US&amp;VAR:SYMBOL=COWN&amp;VAR:INDEX=0"}</definedName>
    <definedName name="_222__FDSAUDITLINK__" hidden="1">{"fdsup://Directions/FactSet Auditing Viewer?action=AUDIT_VALUE&amp;DB=129&amp;ID1=22362210&amp;VALUEID=01001&amp;SDATE=201003&amp;PERIODTYPE=QTR_STD&amp;window=popup_no_bar&amp;width=385&amp;height=120&amp;START_MAXIMIZED=FALSE&amp;creator=factset&amp;display_string=Audit"}</definedName>
    <definedName name="_223__FDSAUDITLINK__" hidden="1">{"fdsup://Directions/FactSet Auditing Viewer?action=AUDIT_VALUE&amp;DB=129&amp;ID1=22362210&amp;VALUEID=01001&amp;SDATE=200903&amp;PERIODTYPE=QTR_STD&amp;window=popup_no_bar&amp;width=385&amp;height=120&amp;START_MAXIMIZED=FALSE&amp;creator=factset&amp;display_string=Audit"}</definedName>
    <definedName name="_224__FDSAUDITLINK__" hidden="1">{"fdsup://Directions/FactSet Auditing Viewer?action=AUDIT_VALUE&amp;DB=129&amp;ID1=B2PG34&amp;VALUEID=01251&amp;SDATE=2009&amp;PERIODTYPE=ANN_STD&amp;window=popup_no_bar&amp;width=385&amp;height=120&amp;START_MAXIMIZED=FALSE&amp;creator=factset&amp;display_string=Audit"}</definedName>
    <definedName name="_225__FDSAUDITLINK__" hidden="1">{"fdsup://directions/FAT Viewer?action=UPDATE&amp;creator=factset&amp;DYN_ARGS=TRUE&amp;DOC_NAME=FAT:FQL_AUDITING_CLIENT_TEMPLATE.FAT&amp;display_string=Audit&amp;VAR:KEY=KZYLYNEBKJ&amp;VAR:QUERY=KChGRl9ORVRfSU5DKExUTSwwLCwsUkYsVVNEKUBGRl9ORVRfSU5DKExUTVNfU0VNSSwwLCwsUkYsVVNEKSlAR","kZfTkVUX0lOQyhBTk4sMCwsLFJGLFVTRCkp&amp;WINDOW=FIRST_POPUP&amp;HEIGHT=450&amp;WIDTH=450&amp;START_MAXIMIZED=FALSE&amp;VAR:CALENDAR=US&amp;VAR:SYMBOL=2174&amp;VAR:INDEX=0"}</definedName>
    <definedName name="_226__FDSAUDITLINK__" hidden="1">{"fdsup://directions/FAT Viewer?action=UPDATE&amp;creator=factset&amp;DYN_ARGS=TRUE&amp;DOC_NAME=FAT:FQL_AUDITING_CLIENT_TEMPLATE.FAT&amp;display_string=Audit&amp;VAR:KEY=QRANATSXCB&amp;VAR:QUERY=KChGRl9FQklUKExUTSwwLCwsUkYsVVNEKUBGRl9FQklUKExUTVNfU0VNSSwwLCwsUkYsVVNEKSlARkZfRUJJV","ChBTk4sMCwsLFJGLFVTRCkp&amp;WINDOW=FIRST_POPUP&amp;HEIGHT=450&amp;WIDTH=450&amp;START_MAXIMIZED=FALSE&amp;VAR:CALENDAR=US&amp;VAR:SYMBOL=2174&amp;VAR:INDEX=0"}</definedName>
    <definedName name="_227__FDSAUDITLINK__" hidden="1">{"fdsup://directions/FAT Viewer?action=UPDATE&amp;creator=factset&amp;DYN_ARGS=TRUE&amp;DOC_NAME=FAT:FQL_AUDITING_CLIENT_TEMPLATE.FAT&amp;display_string=Audit&amp;VAR:KEY=YFENCTATKT&amp;VAR:QUERY=KChGRl9FQklUREEoTFRNLDAsLCxSRixVU0QpQEZGX0VCSVREQShMVE1TX1NFTUksMCwsLFJGLFVTRCkpQEZGX","0VCSVREQShBTk4sMCwsLFJGLFVTRCkp&amp;WINDOW=FIRST_POPUP&amp;HEIGHT=450&amp;WIDTH=450&amp;START_MAXIMIZED=FALSE&amp;VAR:CALENDAR=US&amp;VAR:SYMBOL=2174&amp;VAR:INDEX=0"}</definedName>
    <definedName name="_228__FDSAUDITLINK__" hidden="1">{"fdsup://directions/FAT Viewer?action=UPDATE&amp;creator=factset&amp;DYN_ARGS=TRUE&amp;DOC_NAME=FAT:FQL_AUDITING_CLIENT_TEMPLATE.FAT&amp;display_string=Audit&amp;VAR:KEY=ULWVMXCHST&amp;VAR:QUERY=KChGRl9HUk9TU19JTkMoTFRNLDAsLCxSRixVU0QpQEZGX0dST1NTX0lOQyhMVE1TX1NFTUksMCwsLFJGLFVTR","CkpQEZGX1NBTEVTKEFOTiwwLCwsUkYsVVNEKSk=&amp;WINDOW=FIRST_POPUP&amp;HEIGHT=450&amp;WIDTH=450&amp;START_MAXIMIZED=FALSE&amp;VAR:CALENDAR=US&amp;VAR:SYMBOL=2174&amp;VAR:INDEX=0"}</definedName>
    <definedName name="_229__FDSAUDITLINK__" hidden="1">{"fdsup://Directions/FactSet Auditing Viewer?action=AUDIT_VALUE&amp;DB=129&amp;ID1=B2PG34&amp;VALUEID=01001&amp;SDATE=201003&amp;PERIODTYPE=QTR_STD&amp;window=popup_no_bar&amp;width=385&amp;height=120&amp;START_MAXIMIZED=FALSE&amp;creator=factset&amp;display_string=Audit"}</definedName>
    <definedName name="_23__123Graph_CChart_1" hidden="1">#REF!</definedName>
    <definedName name="_23__123Graph_LBL_ACHART_3" hidden="1">#REF!</definedName>
    <definedName name="_23__FDSAUDITLINK__" hidden="1">{"fdsup://directions/FAT Viewer?action=UPDATE&amp;creator=factset&amp;DYN_ARGS=TRUE&amp;DOC_NAME=FAT:FQL_AUDITING_CLIENT_TEMPLATE.FAT&amp;display_string=Audit&amp;VAR:KEY=MJKPEZQVYN&amp;VAR:QUERY=KEZGX0NPTV9TSFNfT1VUKE1PTiwwLCwsUkYsVVNEKUBQX0NPTV9TSFNfT1VUKDApKQ==&amp;WINDOW=FIRST_POP","UP&amp;HEIGHT=450&amp;WIDTH=450&amp;START_MAXIMIZED=FALSE&amp;VAR:CALENDAR=US&amp;VAR:INDEX=0"}</definedName>
    <definedName name="_230__FDSAUDITLINK__" hidden="1">{"fdsup://directions/FAT Viewer?action=UPDATE&amp;creator=factset&amp;DYN_ARGS=TRUE&amp;DOC_NAME=FAT:FQL_AUDITING_CLIENT_TEMPLATE.FAT&amp;display_string=Audit&amp;VAR:KEY=ENKXGLWDST&amp;VAR:QUERY=KChGRl9ORVRfSU5DKExUTSwwLCwsUkYsVVNEKUBGRl9ORVRfSU5DKExUTVNfU0VNSSwwLCwsUkYsVVNEKSlAR","kZfTkVUX0lOQyhBTk4sMCwsLFJGLFVTRCkp&amp;WINDOW=FIRST_POPUP&amp;HEIGHT=450&amp;WIDTH=450&amp;START_MAXIMIZED=FALSE&amp;VAR:CALENDAR=US&amp;VAR:SYMBOL=BPSG&amp;VAR:INDEX=0"}</definedName>
    <definedName name="_231__FDSAUDITLINK__" hidden="1">{"fdsup://directions/FAT Viewer?action=UPDATE&amp;creator=factset&amp;DYN_ARGS=TRUE&amp;DOC_NAME=FAT:FQL_AUDITING_CLIENT_TEMPLATE.FAT&amp;display_string=Audit&amp;VAR:KEY=GHMPYNILKV&amp;VAR:QUERY=KChGRl9FQklUKExUTSwwLCwsUkYsVVNEKUBGRl9FQklUKExUTVNfU0VNSSwwLCwsUkYsVVNEKSlARkZfRUJJV","ChBTk4sMCwsLFJGLFVTRCkp&amp;WINDOW=FIRST_POPUP&amp;HEIGHT=450&amp;WIDTH=450&amp;START_MAXIMIZED=FALSE&amp;VAR:CALENDAR=US&amp;VAR:SYMBOL=BPSG&amp;VAR:INDEX=0"}</definedName>
    <definedName name="_232__FDSAUDITLINK__" hidden="1">{"fdsup://directions/FAT Viewer?action=UPDATE&amp;creator=factset&amp;DYN_ARGS=TRUE&amp;DOC_NAME=FAT:FQL_AUDITING_CLIENT_TEMPLATE.FAT&amp;display_string=Audit&amp;VAR:KEY=STAJAFYDIN&amp;VAR:QUERY=KChGRl9FQklUREEoTFRNLDAsLCxSRixVU0QpQEZGX0VCSVREQShMVE1TX1NFTUksMCwsLFJGLFVTRCkpQEZGX","0VCSVREQShBTk4sMCwsLFJGLFVTRCkp&amp;WINDOW=FIRST_POPUP&amp;HEIGHT=450&amp;WIDTH=450&amp;START_MAXIMIZED=FALSE&amp;VAR:CALENDAR=US&amp;VAR:SYMBOL=BPSG&amp;VAR:INDEX=0"}</definedName>
    <definedName name="_233__FDSAUDITLINK__" hidden="1">{"fdsup://Directions/FactSet Auditing Viewer?action=AUDIT_VALUE&amp;DB=129&amp;ID1=37734110&amp;VALUEID=01001&amp;SDATE=2009&amp;PERIODTYPE=ANN_STD&amp;window=popup_no_bar&amp;width=385&amp;height=120&amp;START_MAXIMIZED=FALSE&amp;creator=factset&amp;display_string=Audit"}</definedName>
    <definedName name="_234__FDSAUDITLINK__" hidden="1">{"fdsup://Directions/FactSet Auditing Viewer?action=AUDIT_VALUE&amp;DB=129&amp;ID1=37734110&amp;VALUEID=01001&amp;SDATE=201003&amp;PERIODTYPE=QTR_STD&amp;window=popup_no_bar&amp;width=385&amp;height=120&amp;START_MAXIMIZED=FALSE&amp;creator=factset&amp;display_string=Audit"}</definedName>
    <definedName name="_235__FDSAUDITLINK__" hidden="1">{"fdsup://Directions/FactSet Auditing Viewer?action=AUDIT_VALUE&amp;DB=129&amp;ID1=37734110&amp;VALUEID=01001&amp;SDATE=200903&amp;PERIODTYPE=QTR_STD&amp;window=popup_no_bar&amp;width=385&amp;height=120&amp;START_MAXIMIZED=FALSE&amp;creator=factset&amp;display_string=Audit"}</definedName>
    <definedName name="_236__FDSAUDITLINK__" hidden="1">{"fdsup://directions/FAT Viewer?action=UPDATE&amp;creator=factset&amp;DYN_ARGS=TRUE&amp;DOC_NAME=FAT:FQL_AUDITING_CLIENT_TEMPLATE.FAT&amp;display_string=Audit&amp;VAR:KEY=IZAJWLYBMB&amp;VAR:QUERY=KChGRl9ORVRfSU5DKExUTSwwLCwsUkYsVVNEKUBGRl9ORVRfSU5DKExUTVNfU0VNSSwwLCwsUkYsVVNEKSlAR","kZfTkVUX0lOQyhBTk4sMCwsLFJGLFVTRCkp&amp;WINDOW=FIRST_POPUP&amp;HEIGHT=450&amp;WIDTH=450&amp;START_MAXIMIZED=FALSE&amp;VAR:CALENDAR=US&amp;VAR:SYMBOL=PJC&amp;VAR:INDEX=0"}</definedName>
    <definedName name="_237__FDSAUDITLINK__" hidden="1">{"fdsup://directions/FAT Viewer?action=UPDATE&amp;creator=factset&amp;DYN_ARGS=TRUE&amp;DOC_NAME=FAT:FQL_AUDITING_CLIENT_TEMPLATE.FAT&amp;display_string=Audit&amp;VAR:KEY=ATGTKPGRWP&amp;VAR:QUERY=KChGRl9FQklUKExUTSwwLCwsUkYsVVNEKUBGRl9FQklUKExUTVNfU0VNSSwwLCwsUkYsVVNEKSlARkZfRUJJV","ChBTk4sMCwsLFJGLFVTRCkp&amp;WINDOW=FIRST_POPUP&amp;HEIGHT=450&amp;WIDTH=450&amp;START_MAXIMIZED=FALSE&amp;VAR:CALENDAR=US&amp;VAR:SYMBOL=PJC&amp;VAR:INDEX=0"}</definedName>
    <definedName name="_23797__FDSAUDITLINK__" hidden="1">{"fdsup://Directions/FactSet Auditing Viewer?action=AUDIT_VALUE&amp;DB=129&amp;ID1=30208110&amp;VALUEID=18321_YTD&amp;SDATE=201202&amp;PERIODTYPE=QTR_STD&amp;SCFT=3&amp;window=popup_no_bar&amp;width=385&amp;height=120&amp;START_MAXIMIZED=FALSE&amp;creator=factset&amp;display_string=Audit"}</definedName>
    <definedName name="_238__FDSAUDITLINK__" hidden="1">{"fdsup://directions/FAT Viewer?action=UPDATE&amp;creator=factset&amp;DYN_ARGS=TRUE&amp;DOC_NAME=FAT:FQL_AUDITING_CLIENT_TEMPLATE.FAT&amp;display_string=Audit&amp;VAR:KEY=OXIJKFYRWT&amp;VAR:QUERY=KChGRl9FQklUREEoTFRNLDAsLCxSRixVU0QpQEZGX0VCSVREQShMVE1TX1NFTUksMCwsLFJGLFVTRCkpQEZGX","0VCSVREQShBTk4sMCwsLFJGLFVTRCkp&amp;WINDOW=FIRST_POPUP&amp;HEIGHT=450&amp;WIDTH=450&amp;START_MAXIMIZED=FALSE&amp;VAR:CALENDAR=US&amp;VAR:SYMBOL=PJC&amp;VAR:INDEX=0"}</definedName>
    <definedName name="_239__FDSAUDITLINK__" hidden="1">{"fdsup://Directions/FactSet Auditing Viewer?action=AUDIT_VALUE&amp;DB=129&amp;ID1=72407810&amp;VALUEID=01001&amp;SDATE=201003&amp;PERIODTYPE=QTR_STD&amp;window=popup_no_bar&amp;width=385&amp;height=120&amp;START_MAXIMIZED=FALSE&amp;creator=factset&amp;display_string=Audit"}</definedName>
    <definedName name="_24__123Graph_CChart_2" hidden="1">#REF!</definedName>
    <definedName name="_24__FDSAUDITLINK__" hidden="1">{"fdsup://directions/FAT Viewer?action=UPDATE&amp;creator=factset&amp;DYN_ARGS=TRUE&amp;DOC_NAME=FAT:FQL_AUDITING_CLIENT_TEMPLATE.FAT&amp;display_string=Audit&amp;VAR:KEY=MJKPEZQVYN&amp;VAR:QUERY=KEZGX0NPTV9TSFNfT1VUKE1PTiwwLCwsUkYsVVNEKUBQX0NPTV9TSFNfT1VUKDApKQ==&amp;WINDOW=FIRST_POP","UP&amp;HEIGHT=450&amp;WIDTH=450&amp;START_MAXIMIZED=FALSE&amp;VAR:CALENDAR=US&amp;VAR:INDEX=0"}</definedName>
    <definedName name="_240__FDSAUDITLINK__" hidden="1">{"fdsup://Directions/FactSet Auditing Viewer?action=AUDIT_VALUE&amp;DB=129&amp;ID1=72407810&amp;VALUEID=01001&amp;SDATE=200903&amp;PERIODTYPE=QTR_STD&amp;window=popup_no_bar&amp;width=385&amp;height=120&amp;START_MAXIMIZED=FALSE&amp;creator=factset&amp;display_string=Audit"}</definedName>
    <definedName name="_241__FDSAUDITLINK__" hidden="1">{"fdsup://directions/FAT Viewer?action=UPDATE&amp;creator=factset&amp;DYN_ARGS=TRUE&amp;DOC_NAME=FAT:FQL_AUDITING_CLIENT_TEMPLATE.FAT&amp;display_string=Audit&amp;VAR:KEY=ONKFAZSLMB&amp;VAR:QUERY=KChGRl9ORVRfSU5DKExUTSwwLCwsUkYsVVNEKUBGRl9ORVRfSU5DKExUTVNfU0VNSSwwLCwsUkYsVVNEKSlAR","kZfTkVUX0lOQyhBTk4sMCwsLFJGLFVTRCkp&amp;WINDOW=FIRST_POPUP&amp;HEIGHT=450&amp;WIDTH=450&amp;START_MAXIMIZED=FALSE&amp;VAR:CALENDAR=US&amp;VAR:SYMBOL=EVR&amp;VAR:INDEX=0"}</definedName>
    <definedName name="_242__FDSAUDITLINK__" hidden="1">{"fdsup://directions/FAT Viewer?action=UPDATE&amp;creator=factset&amp;DYN_ARGS=TRUE&amp;DOC_NAME=FAT:FQL_AUDITING_CLIENT_TEMPLATE.FAT&amp;display_string=Audit&amp;VAR:KEY=UXIJONORCZ&amp;VAR:QUERY=KChGRl9FQklUKExUTSwwLCwsUkYsVVNEKUBGRl9FQklUKExUTVNfU0VNSSwwLCwsUkYsVVNEKSlARkZfRUJJV","ChBTk4sMCwsLFJGLFVTRCkp&amp;WINDOW=FIRST_POPUP&amp;HEIGHT=450&amp;WIDTH=450&amp;START_MAXIMIZED=FALSE&amp;VAR:CALENDAR=US&amp;VAR:SYMBOL=EVR&amp;VAR:INDEX=0"}</definedName>
    <definedName name="_243__FDSAUDITLINK__" hidden="1">{"fdsup://directions/FAT Viewer?action=UPDATE&amp;creator=factset&amp;DYN_ARGS=TRUE&amp;DOC_NAME=FAT:FQL_AUDITING_CLIENT_TEMPLATE.FAT&amp;display_string=Audit&amp;VAR:KEY=SJAPMDGHAH&amp;VAR:QUERY=KChGRl9FQklUREEoTFRNLDAsLCxSRixVU0QpQEZGX0VCSVREQShMVE1TX1NFTUksMCwsLFJGLFVTRCkpQEZGX","0VCSVREQShBTk4sMCwsLFJGLFVTRCkp&amp;WINDOW=FIRST_POPUP&amp;HEIGHT=450&amp;WIDTH=450&amp;START_MAXIMIZED=FALSE&amp;VAR:CALENDAR=US&amp;VAR:SYMBOL=EVR&amp;VAR:INDEX=0"}</definedName>
    <definedName name="_244__FDSAUDITLINK__" hidden="1">{"fdsup://Directions/FactSet Auditing Viewer?action=AUDIT_VALUE&amp;DB=129&amp;ID1=29977A10&amp;VALUEID=01001&amp;SDATE=2009&amp;PERIODTYPE=ANN_STD&amp;window=popup_no_bar&amp;width=385&amp;height=120&amp;START_MAXIMIZED=FALSE&amp;creator=factset&amp;display_string=Audit"}</definedName>
    <definedName name="_245__FDSAUDITLINK__" hidden="1">{"fdsup://Directions/FactSet Auditing Viewer?action=AUDIT_VALUE&amp;DB=129&amp;ID1=29977A10&amp;VALUEID=01001&amp;SDATE=201003&amp;PERIODTYPE=QTR_STD&amp;window=popup_no_bar&amp;width=385&amp;height=120&amp;START_MAXIMIZED=FALSE&amp;creator=factset&amp;display_string=Audit"}</definedName>
    <definedName name="_246__FDSAUDITLINK__" hidden="1">{"fdsup://Directions/FactSet Auditing Viewer?action=AUDIT_VALUE&amp;DB=129&amp;ID1=29977A10&amp;VALUEID=01001&amp;SDATE=200903&amp;PERIODTYPE=QTR_STD&amp;window=popup_no_bar&amp;width=385&amp;height=120&amp;START_MAXIMIZED=FALSE&amp;creator=factset&amp;display_string=Audit"}</definedName>
    <definedName name="_247__FDSAUDITLINK__" hidden="1">{"fdsup://directions/FAT Viewer?action=UPDATE&amp;creator=factset&amp;DYN_ARGS=TRUE&amp;DOC_NAME=FAT:FQL_AUDITING_CLIENT_TEMPLATE.FAT&amp;display_string=Audit&amp;VAR:KEY=WLEBUFWFGR&amp;VAR:QUERY=KChGRl9ORVRfSU5DKExUTSwwLCwsUkYsVVNEKUBGRl9ORVRfSU5DKExUTVNfU0VNSSwwLCwsUkYsVVNEKSlAR","kZfTkVUX0lOQyhBTk4sMCwsLFJGLFVTRCkp&amp;WINDOW=FIRST_POPUP&amp;HEIGHT=450&amp;WIDTH=450&amp;START_MAXIMIZED=FALSE&amp;VAR:CALENDAR=US&amp;VAR:SYMBOL=GHL&amp;VAR:INDEX=0"}</definedName>
    <definedName name="_248__FDSAUDITLINK__" hidden="1">{"fdsup://directions/FAT Viewer?action=UPDATE&amp;creator=factset&amp;DYN_ARGS=TRUE&amp;DOC_NAME=FAT:FQL_AUDITING_CLIENT_TEMPLATE.FAT&amp;display_string=Audit&amp;VAR:KEY=SVQRKVSJQL&amp;VAR:QUERY=KChGRl9FQklUKExUTSwwLCwsUkYsVVNEKUBGRl9FQklUKExUTVNfU0VNSSwwLCwsUkYsVVNEKSlARkZfRUJJV","ChBTk4sMCwsLFJGLFVTRCkp&amp;WINDOW=FIRST_POPUP&amp;HEIGHT=450&amp;WIDTH=450&amp;START_MAXIMIZED=FALSE&amp;VAR:CALENDAR=US&amp;VAR:SYMBOL=GHL&amp;VAR:INDEX=0"}</definedName>
    <definedName name="_249__FDSAUDITLINK__" hidden="1">{"fdsup://directions/FAT Viewer?action=UPDATE&amp;creator=factset&amp;DYN_ARGS=TRUE&amp;DOC_NAME=FAT:FQL_AUDITING_CLIENT_TEMPLATE.FAT&amp;display_string=Audit&amp;VAR:KEY=SJGBGHINMH&amp;VAR:QUERY=KChGRl9FQklUREEoTFRNLDAsLCxSRixVU0QpQEZGX0VCSVREQShMVE1TX1NFTUksMCwsLFJGLFVTRCkpQEZGX","0VCSVREQShBTk4sMCwsLFJGLFVTRCkp&amp;WINDOW=FIRST_POPUP&amp;HEIGHT=450&amp;WIDTH=450&amp;START_MAXIMIZED=FALSE&amp;VAR:CALENDAR=US&amp;VAR:SYMBOL=GHL&amp;VAR:INDEX=0"}</definedName>
    <definedName name="_25__123Graph_CChart_3" hidden="1">#REF!</definedName>
    <definedName name="_25__FDSAUDITLINK__" hidden="1">{"fdsup://directions/FAT Viewer?action=UPDATE&amp;creator=factset&amp;DYN_ARGS=TRUE&amp;DOC_NAME=FAT:FQL_AUDITING_CLIENT_TEMPLATE.FAT&amp;display_string=Audit&amp;VAR:KEY=ALYRYJKXSV&amp;VAR:QUERY=KChGRl9FUFMoTFRNLDAsLCxSRixVU0QpQEZGX0VQUyhMVE1TX1NFTUksMCwsLFJGLFVTRCkpQEZGX0VQUyhBT","k4sMCwsLFJGLFVTRCkp&amp;WINDOW=FIRST_POPUP&amp;HEIGHT=450&amp;WIDTH=450&amp;START_MAXIMIZED=FALSE&amp;VAR:CALENDAR=US&amp;VAR:SYMBOL=MIPS&amp;VAR:INDEX=0"}</definedName>
    <definedName name="_250__FDSAUDITLINK__" hidden="1">{"fdsup://Directions/FactSet Auditing Viewer?action=AUDIT_VALUE&amp;DB=129&amp;ID1=39525910&amp;VALUEID=01001&amp;SDATE=2009&amp;PERIODTYPE=ANN_STD&amp;window=popup_no_bar&amp;width=385&amp;height=120&amp;START_MAXIMIZED=FALSE&amp;creator=factset&amp;display_string=Audit"}</definedName>
    <definedName name="_251__FDSAUDITLINK__" hidden="1">{"fdsup://Directions/FactSet Auditing Viewer?action=AUDIT_VALUE&amp;DB=129&amp;ID1=39525910&amp;VALUEID=01001&amp;SDATE=201003&amp;PERIODTYPE=QTR_STD&amp;window=popup_no_bar&amp;width=385&amp;height=120&amp;START_MAXIMIZED=FALSE&amp;creator=factset&amp;display_string=Audit"}</definedName>
    <definedName name="_252__FDSAUDITLINK__" hidden="1">{"fdsup://Directions/FactSet Auditing Viewer?action=AUDIT_VALUE&amp;DB=129&amp;ID1=39525910&amp;VALUEID=01001&amp;SDATE=200903&amp;PERIODTYPE=QTR_STD&amp;window=popup_no_bar&amp;width=385&amp;height=120&amp;START_MAXIMIZED=FALSE&amp;creator=factset&amp;display_string=Audit"}</definedName>
    <definedName name="_253__FDSAUDITLINK__" hidden="1">{"fdsup://directions/FAT Viewer?action=UPDATE&amp;creator=factset&amp;DYN_ARGS=TRUE&amp;DOC_NAME=FAT:FQL_AUDITING_CLIENT_TEMPLATE.FAT&amp;display_string=Audit&amp;VAR:KEY=OFWXQBQVQV&amp;VAR:QUERY=KChGRl9ORVRfSU5DKExUTSwwLCwsUkYsVVNEKUBGRl9ORVRfSU5DKExUTVNfU0VNSSwwLCwsUkYsVVNEKSlAR","kZfTkVUX0lOQyhBTk4sMCwsLFJGLFVTRCkp&amp;WINDOW=FIRST_POPUP&amp;HEIGHT=450&amp;WIDTH=450&amp;START_MAXIMIZED=FALSE&amp;VAR:CALENDAR=US&amp;VAR:SYMBOL=LAZ&amp;VAR:INDEX=0"}</definedName>
    <definedName name="_254__FDSAUDITLINK__" hidden="1">{"fdsup://directions/FAT Viewer?action=UPDATE&amp;creator=factset&amp;DYN_ARGS=TRUE&amp;DOC_NAME=FAT:FQL_AUDITING_CLIENT_TEMPLATE.FAT&amp;display_string=Audit&amp;VAR:KEY=EZSHSFSFMD&amp;VAR:QUERY=KChGRl9FQklUKExUTSwwLCwsUkYsVVNEKUBGRl9FQklUKExUTVNfU0VNSSwwLCwsUkYsVVNEKSlARkZfRUJJV","ChBTk4sMCwsLFJGLFVTRCkp&amp;WINDOW=FIRST_POPUP&amp;HEIGHT=450&amp;WIDTH=450&amp;START_MAXIMIZED=FALSE&amp;VAR:CALENDAR=US&amp;VAR:SYMBOL=LAZ&amp;VAR:INDEX=0"}</definedName>
    <definedName name="_255__FDSAUDITLINK__" hidden="1">{"fdsup://directions/FAT Viewer?action=UPDATE&amp;creator=factset&amp;DYN_ARGS=TRUE&amp;DOC_NAME=FAT:FQL_AUDITING_CLIENT_TEMPLATE.FAT&amp;display_string=Audit&amp;VAR:KEY=EDMZEJMJCD&amp;VAR:QUERY=KChGRl9FQklUREEoTFRNLDAsLCxSRixVU0QpQEZGX0VCSVREQShMVE1TX1NFTUksMCwsLFJGLFVTRCkpQEZGX","0VCSVREQShBTk4sMCwsLFJGLFVTRCkp&amp;WINDOW=FIRST_POPUP&amp;HEIGHT=450&amp;WIDTH=450&amp;START_MAXIMIZED=FALSE&amp;VAR:CALENDAR=US&amp;VAR:SYMBOL=LAZ&amp;VAR:INDEX=0"}</definedName>
    <definedName name="_256__FDSAUDITLINK__" hidden="1">{"fdsup://Directions/FactSet Auditing Viewer?action=AUDIT_VALUE&amp;DB=129&amp;ID1=G5405010&amp;VALUEID=01001&amp;SDATE=201003&amp;PERIODTYPE=QTR_STD&amp;window=popup_no_bar&amp;width=385&amp;height=120&amp;START_MAXIMIZED=FALSE&amp;creator=factset&amp;display_string=Audit"}</definedName>
    <definedName name="_257__FDSAUDITLINK__" hidden="1">{"fdsup://Directions/FactSet Auditing Viewer?action=AUDIT_VALUE&amp;DB=129&amp;ID1=G5405010&amp;VALUEID=01001&amp;SDATE=200903&amp;PERIODTYPE=QTR_STD&amp;window=popup_no_bar&amp;width=385&amp;height=120&amp;START_MAXIMIZED=FALSE&amp;creator=factset&amp;display_string=Audit"}</definedName>
    <definedName name="_258__FDSAUDITLINK__" hidden="1">{"fdsup://directions/FAT Viewer?action=UPDATE&amp;creator=factset&amp;DYN_ARGS=TRUE&amp;DOC_NAME=FAT:FQL_AUDITING_CLIENT_TEMPLATE.FAT&amp;display_string=Audit&amp;VAR:KEY=SLYNEPWJON&amp;VAR:QUERY=KChGRl9ORVRfSU5DKExUTSwwLCwsUkYsVVNEKUBGRl9ORVRfSU5DKExUTVNfU0VNSSwwLCwsUkYsVVNEKSlAR","kZfTkVUX0lOQyhBTk4sMCwsLFJGLFVTRCkp&amp;WINDOW=FIRST_POPUP&amp;HEIGHT=450&amp;WIDTH=450&amp;START_MAXIMIZED=FALSE&amp;VAR:CALENDAR=US&amp;VAR:SYMBOL=JEF&amp;VAR:INDEX=0"}</definedName>
    <definedName name="_259__FDSAUDITLINK__" hidden="1">{"fdsup://directions/FAT Viewer?action=UPDATE&amp;creator=factset&amp;DYN_ARGS=TRUE&amp;DOC_NAME=FAT:FQL_AUDITING_CLIENT_TEMPLATE.FAT&amp;display_string=Audit&amp;VAR:KEY=YDOTKXSBQV&amp;VAR:QUERY=KChGRl9FQklUKExUTSwwLCwsUkYsVVNEKUBGRl9FQklUKExUTVNfU0VNSSwwLCwsUkYsVVNEKSlARkZfRUJJV","ChBTk4sMCwsLFJGLFVTRCkp&amp;WINDOW=FIRST_POPUP&amp;HEIGHT=450&amp;WIDTH=450&amp;START_MAXIMIZED=FALSE&amp;VAR:CALENDAR=US&amp;VAR:SYMBOL=JEF&amp;VAR:INDEX=0"}</definedName>
    <definedName name="_26__123Graph_XChart_10" hidden="1">#REF!</definedName>
    <definedName name="_26__FDSAUDITLINK__" hidden="1">{"fdsup://directions/FAT Viewer?action=UPDATE&amp;creator=factset&amp;DYN_ARGS=TRUE&amp;DOC_NAME=FAT:FQL_AUDITING_CLIENT_TEMPLATE.FAT&amp;display_string=Audit&amp;VAR:KEY=MHWDIPAJMZ&amp;VAR:QUERY=KChGRl9FUFMoTFRNLDAsLCxSRixVU0QpQEZGX0VQUyhMVE1TX1NFTUksMCwsLFJGLFVTRCkpQEZGX0VQUyhBT","k4sMCwsLFJGLFVTRCkp&amp;WINDOW=FIRST_POPUP&amp;HEIGHT=450&amp;WIDTH=450&amp;START_MAXIMIZED=FALSE&amp;VAR:CALENDAR=US&amp;VAR:SYMBOL=CEVA&amp;VAR:INDEX=0"}</definedName>
    <definedName name="_260__FDSAUDITLINK__" hidden="1">{"fdsup://directions/FAT Viewer?action=UPDATE&amp;creator=factset&amp;DYN_ARGS=TRUE&amp;DOC_NAME=FAT:FQL_AUDITING_CLIENT_TEMPLATE.FAT&amp;display_string=Audit&amp;VAR:KEY=ARQNSXWRIV&amp;VAR:QUERY=KChGRl9FQklUREEoTFRNLDAsLCxSRixVU0QpQEZGX0VCSVREQShMVE1TX1NFTUksMCwsLFJGLFVTRCkpQEZGX","0VCSVREQShBTk4sMCwsLFJGLFVTRCkp&amp;WINDOW=FIRST_POPUP&amp;HEIGHT=450&amp;WIDTH=450&amp;START_MAXIMIZED=FALSE&amp;VAR:CALENDAR=US&amp;VAR:SYMBOL=JEF&amp;VAR:INDEX=0"}</definedName>
    <definedName name="_261__FDSAUDITLINK__" hidden="1">{"fdsup://Directions/FactSet Auditing Viewer?action=AUDIT_VALUE&amp;DB=129&amp;ID1=47231910&amp;VALUEID=01001&amp;SDATE=201003&amp;PERIODTYPE=QTR_STD&amp;window=popup_no_bar&amp;width=385&amp;height=120&amp;START_MAXIMIZED=FALSE&amp;creator=factset&amp;display_string=Audit"}</definedName>
    <definedName name="_262__FDSAUDITLINK__" hidden="1">{"fdsup://Directions/FactSet Auditing Viewer?action=AUDIT_VALUE&amp;DB=129&amp;ID1=47231910&amp;VALUEID=01001&amp;SDATE=200904&amp;PERIODTYPE=QTR_STD&amp;window=popup_no_bar&amp;width=385&amp;height=120&amp;START_MAXIMIZED=FALSE&amp;creator=factset&amp;display_string=Audit"}</definedName>
    <definedName name="_263__FDSAUDITLINK__" hidden="1">{"fdsup://directions/FAT Viewer?action=UPDATE&amp;creator=factset&amp;DYN_ARGS=TRUE&amp;DOC_NAME=FAT:FQL_AUDITING_CLIENT_TEMPLATE.FAT&amp;display_string=Audit&amp;VAR:KEY=UDGNQJOJMP&amp;VAR:QUERY=KCgoKEZGX1NITERSU19FUShRVFIsMCwsLFJTLFVTRClAKEZGX0xJQUJTX1NITERSU19FUShRVFIsMCwsLFJTL","FVTRCktRkZfTElBQlMoUVRSLDAsLCxSUyxVU0QpKSkpQCgoRkZfU0hMRFJTX0VRKFNFTUksMCwsLFJTLFVTRClAKEZGX0xJQUJTX1NITERSU19FUShTRU1JLDAsLCxSUyxVU0QpLUZGX0xJQUJTKFNFTUksMCwsLFJTLFVTRCkpKSkpQEZGX1NITERSU19FUShBTk4sMCwsLFJTLFVTRCkp&amp;WINDOW=FIRST_POPUP&amp;HEIGHT=450&amp;WIDTH=450","&amp;START_MAXIMIZED=FALSE&amp;VAR:CALENDAR=US&amp;VAR:SYMBOL=JMP&amp;VAR:INDEX=0"}</definedName>
    <definedName name="_264__FDSAUDITLINK__" hidden="1">{"fdsup://Directions/FactSet Auditing Viewer?action=AUDIT_VALUE&amp;DB=129&amp;ID1=46629U10&amp;VALUEID=02001&amp;SDATE=201003&amp;PERIODTYPE=QTR_STD&amp;window=popup_no_bar&amp;width=385&amp;height=120&amp;START_MAXIMIZED=FALSE&amp;creator=factset&amp;display_string=Audit"}</definedName>
    <definedName name="_265__FDSAUDITLINK__" hidden="1">{"fdsup://Directions/FactSet Auditing Viewer?action=AUDIT_VALUE&amp;DB=129&amp;ID1=88448110&amp;VALUEID=07011&amp;SDATE=2009&amp;PERIODTYPE=ANN_STD&amp;window=popup_no_bar&amp;width=385&amp;height=120&amp;START_MAXIMIZED=FALSE&amp;creator=factset&amp;display_string=Audit"}</definedName>
    <definedName name="_266__FDSAUDITLINK__" hidden="1">{"fdsup://Directions/FactSet Auditing Viewer?action=AUDIT_VALUE&amp;DB=129&amp;ID1=88448110&amp;VALUEID=07011&amp;SDATE=2009&amp;PERIODTYPE=ANN_STD&amp;window=popup_no_bar&amp;width=385&amp;height=120&amp;START_MAXIMIZED=FALSE&amp;creator=factset&amp;display_string=Audit"}</definedName>
    <definedName name="_267__FDSAUDITLINK__" hidden="1">{"fdsup://directions/FAT Viewer?action=UPDATE&amp;creator=factset&amp;DYN_ARGS=TRUE&amp;DOC_NAME=FAT:FQL_AUDITING_CLIENT_TEMPLATE.FAT&amp;display_string=Audit&amp;VAR:KEY=AXYLKRAFQD&amp;VAR:QUERY=KCgoKEZGX1NITERSU19FUShRVFIsMCwsLFJTLFVTRClAKEZGX0xJQUJTX1NITERSU19FUShRVFIsMCwsLFJTL","FVTRCktRkZfTElBQlMoUVRSLDAsLCxSUyxVU0QpKSkpQCgoRkZfU0hMRFJTX0VRKFNFTUksMCwsLFJTLFVTRClAKEZGX0xJQUJTX1NITERSU19FUShTRU1JLDAsLCxSUyxVU0QpLUZGX0xJQUJTKFNFTUksMCwsLFJTLFVTRCkpKSkpQEZGX1NITERSU19FUShBTk4sMCwsLFJTLFVTRCkp&amp;WINDOW=FIRST_POPUP&amp;HEIGHT=450&amp;WIDTH=450","&amp;START_MAXIMIZED=FALSE&amp;VAR:CALENDAR=US&amp;VAR:SYMBOL=TWPG&amp;VAR:INDEX=0"}</definedName>
    <definedName name="_268__FDSAUDITLINK__" hidden="1">{"fdsup://Directions/FactSet Auditing Viewer?action=AUDIT_VALUE&amp;DB=129&amp;ID1=88448110&amp;VALUEID=02001&amp;SDATE=201001&amp;PERIODTYPE=QTR_STD&amp;window=popup_no_bar&amp;width=385&amp;height=120&amp;START_MAXIMIZED=FALSE&amp;creator=factset&amp;display_string=Audit"}</definedName>
    <definedName name="_269__FDSAUDITLINK__" hidden="1">{"fdsup://directions/FAT Viewer?action=UPDATE&amp;creator=factset&amp;DYN_ARGS=TRUE&amp;DOC_NAME=FAT:FQL_AUDITING_CLIENT_TEMPLATE.FAT&amp;display_string=Audit&amp;VAR:KEY=IVWBWXGPSX&amp;VAR:QUERY=KCgoKEZGX1NITERSU19FUShRVFIsMCwsLFJTLFVTRClAKEZGX0xJQUJTX1NITERSU19FUShRVFIsMCwsLFJTL","FVTRCktRkZfTElBQlMoUVRSLDAsLCxSUyxVU0QpKSkpQCgoRkZfU0hMRFJTX0VRKFNFTUksMCwsLFJTLFVTRClAKEZGX0xJQUJTX1NITERSU19FUShTRU1JLDAsLCxSUyxVU0QpLUZGX0xJQUJTKFNFTUksMCwsLFJTLFVTRCkpKSkpQEZGX1NITERSU19FUShBTk4sMCwsLFJTLFVTRCkp&amp;WINDOW=FIRST_POPUP&amp;HEIGHT=450&amp;WIDTH=450","&amp;START_MAXIMIZED=FALSE&amp;VAR:CALENDAR=US&amp;VAR:SYMBOL=COWN&amp;VAR:INDEX=0"}</definedName>
    <definedName name="_27__123Graph_LBL_DCHART_1" hidden="1">#REF!</definedName>
    <definedName name="_27__123Graph_XChart_11" hidden="1">#REF!</definedName>
    <definedName name="_27__FDSAUDITLINK__" hidden="1">{"fdsup://directions/FAT Viewer?action=UPDATE&amp;creator=factset&amp;DYN_ARGS=TRUE&amp;DOC_NAME=FAT:FQL_AUDITING_CLIENT_TEMPLATE.FAT&amp;display_string=Audit&amp;VAR:KEY=FEPAHMJORU&amp;VAR:QUERY=KCgoKChGRl9JTlRfRVhQX0RFQlQoTFRNLDAsLCxSRixVU0QpQEZGX0lOVF9FWFBfVE9UKExUTSwwLCwsUkYsV","VNEKSlARkZfSU5UX0VYUF9ERUJUKExUTVNfU0VNSSwwLCwsUkYsVVNEKSlARkZfSU5UX0VYUF9UT1QoTFRNU19TRU1JLDAsLCxSRixVU0QpKUBGRl9JTlRfRVhQX0RFQlQoQU5OLDAsLCxSRixVU0QpKUBGRl9JTlRfRVhQX1RPVChBTk4sMCwsLFJGLFVTRCkp&amp;WINDOW=FIRST_POPUP&amp;HEIGHT=450&amp;WIDTH=450&amp;START_MAXIMIZED=FAL","SE&amp;VAR:CALENDAR=US&amp;VAR:SYMBOL=TSRA&amp;VAR:INDEX=0"}</definedName>
    <definedName name="_270__FDSAUDITLINK__" hidden="1">{"fdsup://Directions/FactSet Auditing Viewer?action=AUDIT_VALUE&amp;DB=129&amp;ID1=22362210&amp;VALUEID=02001&amp;SDATE=201003&amp;PERIODTYPE=QTR_STD&amp;window=popup_no_bar&amp;width=385&amp;height=120&amp;START_MAXIMIZED=FALSE&amp;creator=factset&amp;display_string=Audit"}</definedName>
    <definedName name="_271__FDSAUDITLINK__" hidden="1">{"fdsup://Directions/FactSet Auditing Viewer?action=AUDIT_VALUE&amp;DB=129&amp;ID1=B2PG34&amp;VALUEID=07011&amp;SDATE=2009&amp;PERIODTYPE=ANN_STD&amp;window=popup_no_bar&amp;width=385&amp;height=120&amp;START_MAXIMIZED=FALSE&amp;creator=factset&amp;display_string=Audit"}</definedName>
    <definedName name="_272__FDSAUDITLINK__" hidden="1">{"fdsup://Directions/FactSet Auditing Viewer?action=AUDIT_VALUE&amp;DB=129&amp;ID1=B2PG34&amp;VALUEID=07011&amp;SDATE=2009&amp;PERIODTYPE=ANN_STD&amp;window=popup_no_bar&amp;width=385&amp;height=120&amp;START_MAXIMIZED=FALSE&amp;creator=factset&amp;display_string=Audit"}</definedName>
    <definedName name="_273__FDSAUDITLINK__" hidden="1">{"fdsup://directions/FAT Viewer?action=UPDATE&amp;creator=factset&amp;DYN_ARGS=TRUE&amp;DOC_NAME=FAT:FQL_AUDITING_CLIENT_TEMPLATE.FAT&amp;display_string=Audit&amp;VAR:KEY=OBARCVEXYX&amp;VAR:QUERY=KCgoKEZGX1NITERSU19FUShRVFIsMCwsLFJTLFVTRClAKEZGX0xJQUJTX1NITERSU19FUShRVFIsMCwsLFJTL","FVTRCktRkZfTElBQlMoUVRSLDAsLCxSUyxVU0QpKSkpQCgoRkZfU0hMRFJTX0VRKFNFTUksMCwsLFJTLFVTRClAKEZGX0xJQUJTX1NITERSU19FUShTRU1JLDAsLCxSUyxVU0QpLUZGX0xJQUJTKFNFTUksMCwsLFJTLFVTRCkpKSkpQEZGX1NITERSU19FUShBTk4sMCwsLFJTLFVTRCkp&amp;WINDOW=FIRST_POPUP&amp;HEIGHT=450&amp;WIDTH=450","&amp;START_MAXIMIZED=FALSE&amp;VAR:CALENDAR=US&amp;VAR:SYMBOL=2174&amp;VAR:INDEX=0"}</definedName>
    <definedName name="_274__FDSAUDITLINK__" hidden="1">{"fdsup://Directions/FactSet Auditing Viewer?action=AUDIT_VALUE&amp;DB=129&amp;ID1=B2PG34&amp;VALUEID=02001&amp;SDATE=201003&amp;PERIODTYPE=QTR_STD&amp;window=popup_no_bar&amp;width=385&amp;height=120&amp;START_MAXIMIZED=FALSE&amp;creator=factset&amp;display_string=Audit"}</definedName>
    <definedName name="_275__FDSAUDITLINK__" hidden="1">{"fdsup://Directions/FactSet Auditing Viewer?action=AUDIT_VALUE&amp;DB=129&amp;ID1=37734110&amp;VALUEID=07011&amp;SDATE=2009&amp;PERIODTYPE=ANN_STD&amp;window=popup_no_bar&amp;width=385&amp;height=120&amp;START_MAXIMIZED=FALSE&amp;creator=factset&amp;display_string=Audit"}</definedName>
    <definedName name="_276__FDSAUDITLINK__" hidden="1">{"fdsup://Directions/FactSet Auditing Viewer?action=AUDIT_VALUE&amp;DB=129&amp;ID1=37734110&amp;VALUEID=07011&amp;SDATE=2009&amp;PERIODTYPE=ANN_STD&amp;window=popup_no_bar&amp;width=385&amp;height=120&amp;START_MAXIMIZED=FALSE&amp;creator=factset&amp;display_string=Audit"}</definedName>
    <definedName name="_277__FDSAUDITLINK__" hidden="1">{"fdsup://directions/FAT Viewer?action=UPDATE&amp;creator=factset&amp;DYN_ARGS=TRUE&amp;DOC_NAME=FAT:FQL_AUDITING_CLIENT_TEMPLATE.FAT&amp;display_string=Audit&amp;VAR:KEY=QJGHETADEP&amp;VAR:QUERY=KCgoKEZGX1NITERSU19FUShRVFIsMCwsLFJTLFVTRClAKEZGX0xJQUJTX1NITERSU19FUShRVFIsMCwsLFJTL","FVTRCktRkZfTElBQlMoUVRSLDAsLCxSUyxVU0QpKSkpQCgoRkZfU0hMRFJTX0VRKFNFTUksMCwsLFJTLFVTRClAKEZGX0xJQUJTX1NITERSU19FUShTRU1JLDAsLCxSUyxVU0QpLUZGX0xJQUJTKFNFTUksMCwsLFJTLFVTRCkpKSkpQEZGX1NITERSU19FUShBTk4sMCwsLFJTLFVTRCkp&amp;WINDOW=FIRST_POPUP&amp;HEIGHT=450&amp;WIDTH=450","&amp;START_MAXIMIZED=FALSE&amp;VAR:CALENDAR=US&amp;VAR:SYMBOL=BPSG&amp;VAR:INDEX=0"}</definedName>
    <definedName name="_278__FDSAUDITLINK__" hidden="1">{"fdsup://Directions/FactSet Auditing Viewer?action=AUDIT_VALUE&amp;DB=129&amp;ID1=37734110&amp;VALUEID=02001&amp;SDATE=201003&amp;PERIODTYPE=QTR_STD&amp;window=popup_no_bar&amp;width=385&amp;height=120&amp;START_MAXIMIZED=FALSE&amp;creator=factset&amp;display_string=Audit"}</definedName>
    <definedName name="_27856__FDSAUDITLINK__" hidden="1">{"fdsup://directions/FAT Viewer?action=UPDATE&amp;creator=factset&amp;DYN_ARGS=TRUE&amp;DOC_NAME=FAT:FQL_AUDITING_CLIENT_TEMPLATE.FAT&amp;display_string=Audit&amp;VAR:KEY=VUPQLEFGTY&amp;VAR:QUERY=KEZGX0NBUEVYKExUTSw0MTE2NCwsLCxVU0QpQEZGX0NBUEVYKExUTV9TRU1JLDQxMTY0LCwsLFVTRCkp&amp;WIND","OW=FIRST_POPUP&amp;HEIGHT=450&amp;WIDTH=450&amp;START_MAXIMIZED=FALSE&amp;VAR:CALENDAR=US&amp;VAR:SYMBOL=NYSE:RUK&amp;VAR:INDEX=0"}</definedName>
    <definedName name="_27857__FDSAUDITLINK__" hidden="1">{"fdsup://directions/FAT Viewer?action=UPDATE&amp;creator=factset&amp;DYN_ARGS=TRUE&amp;DOC_NAME=FAT:FQL_AUDITING_CLIENT_TEMPLATE.FAT&amp;display_string=Audit&amp;VAR:KEY=ZWJQJULIRO&amp;VAR:QUERY=KEZGX09QRVJfQ0YoTFRNLDQxMTY0LCwsLFVTRClARkZfT1BFUl9DRihMVE1fU0VNSSw0MTE2NCwsLCxVU0QpK","Q==&amp;WINDOW=FIRST_POPUP&amp;HEIGHT=450&amp;WIDTH=450&amp;START_MAXIMIZED=FALSE&amp;VAR:CALENDAR=US&amp;VAR:SYMBOL=NYSE:RUK&amp;VAR:INDEX=0"}</definedName>
    <definedName name="_27858__FDSAUDITLINK__" hidden="1">{"fdsup://directions/FAT Viewer?action=UPDATE&amp;creator=factset&amp;DYN_ARGS=TRUE&amp;DOC_NAME=FAT:FQL_AUDITING_CLIENT_TEMPLATE.FAT&amp;display_string=Audit&amp;VAR:KEY=PAPURERMTG&amp;VAR:QUERY=RkZfRUJJVERBKEFOTiwyMDExLC0yQVksQ1ksLFVTRCk=&amp;WINDOW=FIRST_POPUP&amp;HEIGHT=450&amp;WIDTH=450&amp;","START_MAXIMIZED=FALSE&amp;VAR:CALENDAR=US&amp;VAR:SYMBOL=NYSE:RUK&amp;VAR:INDEX=0"}</definedName>
    <definedName name="_27859__FDSAUDITLINK__" hidden="1">{"fdsup://directions/FAT Viewer?action=UPDATE&amp;creator=factset&amp;DYN_ARGS=TRUE&amp;DOC_NAME=FAT:FQL_AUDITING_CLIENT_TEMPLATE.FAT&amp;display_string=Audit&amp;VAR:KEY=TMRKRGJINY&amp;VAR:QUERY=RkZfRUJJVERBKEFOTiwyMDEwLC0yQVksQ1ksLFVTRCk=&amp;WINDOW=FIRST_POPUP&amp;HEIGHT=450&amp;WIDTH=450&amp;","START_MAXIMIZED=FALSE&amp;VAR:CALENDAR=US&amp;VAR:SYMBOL=NYSE:RUK&amp;VAR:INDEX=0"}</definedName>
    <definedName name="_27860__FDSAUDITLINK__" hidden="1">{"fdsup://directions/FAT Viewer?action=UPDATE&amp;creator=factset&amp;DYN_ARGS=TRUE&amp;DOC_NAME=FAT:FQL_AUDITING_CLIENT_TEMPLATE.FAT&amp;display_string=Audit&amp;VAR:KEY=HYVQVQBEVA&amp;VAR:QUERY=RkZfRUJJVERBKEFOTiwyMDA5LC0zQVksQ1ksLFVTRCk=&amp;WINDOW=FIRST_POPUP&amp;HEIGHT=450&amp;WIDTH=450&amp;","START_MAXIMIZED=FALSE&amp;VAR:CALENDAR=US&amp;VAR:SYMBOL=NYSE:RUK&amp;VAR:INDEX=0"}</definedName>
    <definedName name="_27861__FDSAUDITLINK__" hidden="1">{"fdsup://directions/FAT Viewer?action=UPDATE&amp;creator=factset&amp;DYN_ARGS=TRUE&amp;DOC_NAME=FAT:FQL_AUDITING_CLIENT_TEMPLATE.FAT&amp;display_string=Audit&amp;VAR:KEY=PQLQLCRKBM&amp;VAR:QUERY=RkZfRUJJVERBKEFOTiwyMDEyLC0yQVksQ1ksLFVTRCk=&amp;WINDOW=FIRST_POPUP&amp;HEIGHT=450&amp;WIDTH=450&amp;","START_MAXIMIZED=FALSE&amp;VAR:CALENDAR=US&amp;VAR:SYMBOL=NYSE:RUK&amp;VAR:INDEX=0"}</definedName>
    <definedName name="_27862__FDSAUDITLINK__" hidden="1">{"fdsup://directions/FAT Viewer?action=UPDATE&amp;creator=factset&amp;DYN_ARGS=TRUE&amp;DOC_NAME=FAT:FQL_AUDITING_CLIENT_TEMPLATE.FAT&amp;display_string=Audit&amp;VAR:KEY=QTONENWFKB&amp;VAR:QUERY=KEZGX05FVF9JTkMoWVRELDQxMTY0LCwsLFVTRClARkZfTkVUX0lOQyhZVERfU0VNSSw0MTE2NCwsLCxVU0QpK","Q==&amp;WINDOW=FIRST_POPUP&amp;HEIGHT=450&amp;WIDTH=450&amp;START_MAXIMIZED=FALSE&amp;VAR:CALENDAR=US&amp;VAR:SYMBOL=NYSE:RUK&amp;VAR:INDEX=0"}</definedName>
    <definedName name="_27863__FDSAUDITLINK__" hidden="1">{"fdsup://directions/FAT Viewer?action=UPDATE&amp;creator=factset&amp;DYN_ARGS=TRUE&amp;DOC_NAME=FAT:FQL_AUDITING_CLIENT_TEMPLATE.FAT&amp;display_string=Audit&amp;VAR:KEY=PAZOHMHERE&amp;VAR:QUERY=KEZGX05FVF9JTkMoQU5OLDQxMTY0LCwsLFVTRClARkZfTkVUX0lOQyhBTk4sMCwsLCxVU0QpKQ==&amp;WINDOW=F","IRST_POPUP&amp;HEIGHT=450&amp;WIDTH=450&amp;START_MAXIMIZED=FALSE&amp;VAR:CALENDAR=US&amp;VAR:SYMBOL=NYSE:RUK&amp;VAR:INDEX=0"}</definedName>
    <definedName name="_27864__FDSAUDITLINK__" hidden="1">{"fdsup://directions/FAT Viewer?action=UPDATE&amp;creator=factset&amp;DYN_ARGS=TRUE&amp;DOC_NAME=FAT:FQL_AUDITING_CLIENT_TEMPLATE.FAT&amp;display_string=Audit&amp;VAR:KEY=TUNKBSNYBA&amp;VAR:QUERY=RkZfRVBTX0RJTF9BRlRfWE9SRChMVE0sNDExNjQsLCwsVVNEKQ==&amp;WINDOW=FIRST_POPUP&amp;HEIGHT=450&amp;WI","DTH=450&amp;START_MAXIMIZED=FALSE&amp;VAR:CALENDAR=US&amp;VAR:SYMBOL=NYSE:RUK&amp;VAR:INDEX=0"}</definedName>
    <definedName name="_27865__FDSAUDITLINK__" hidden="1">{"fdsup://directions/FAT Viewer?action=UPDATE&amp;creator=factset&amp;DYN_ARGS=TRUE&amp;DOC_NAME=FAT:FQL_AUDITING_CLIENT_TEMPLATE.FAT&amp;display_string=Audit&amp;VAR:KEY=VAXCJGLIPK&amp;VAR:QUERY=KEZGX0VCSVQoWVRELDQxMTY0IC0gMUFZLCwsLFVTRClARkZfRUJJVChZVERfU0VNSSw0MTE2NCAtIDFBWSwsL","CxVU0QpKQ==&amp;WINDOW=FIRST_POPUP&amp;HEIGHT=450&amp;WIDTH=450&amp;START_MAXIMIZED=FALSE&amp;VAR:CALENDAR=US&amp;VAR:SYMBOL=NYSE:RUK&amp;VAR:INDEX=0"}</definedName>
    <definedName name="_27866__FDSAUDITLINK__" hidden="1">{"fdsup://directions/FAT Viewer?action=UPDATE&amp;creator=factset&amp;DYN_ARGS=TRUE&amp;DOC_NAME=FAT:FQL_AUDITING_CLIENT_TEMPLATE.FAT&amp;display_string=Audit&amp;VAR:KEY=GDEZABIRWP&amp;VAR:QUERY=KEZGX0VCSVQoWVRELDQxMTY0LCwsLFVTRClARkZfRUJJVChZVERfU0VNSSw0MTE2NCwsLCxVU0QpKQ==&amp;WIND","OW=FIRST_POPUP&amp;HEIGHT=450&amp;WIDTH=450&amp;START_MAXIMIZED=FALSE&amp;VAR:CALENDAR=US&amp;VAR:SYMBOL=NYSE:RUK&amp;VAR:INDEX=0"}</definedName>
    <definedName name="_27867__FDSAUDITLINK__" hidden="1">{"fdsup://directions/FAT Viewer?action=UPDATE&amp;creator=factset&amp;DYN_ARGS=TRUE&amp;DOC_NAME=FAT:FQL_AUDITING_CLIENT_TEMPLATE.FAT&amp;display_string=Audit&amp;VAR:KEY=YJATCDQLIT&amp;VAR:QUERY=RkZfRUJJVChBTk4sNDExNjQsLCwsVVNEKQ==&amp;WINDOW=FIRST_POPUP&amp;HEIGHT=450&amp;WIDTH=450&amp;START_MA","XIMIZED=FALSE&amp;VAR:CALENDAR=US&amp;VAR:SYMBOL=NYSE:RUK&amp;VAR:INDEX=0"}</definedName>
    <definedName name="_27868__FDSAUDITLINK__" hidden="1">{"fdsup://directions/FAT Viewer?action=UPDATE&amp;creator=factset&amp;DYN_ARGS=TRUE&amp;DOC_NAME=FAT:FQL_AUDITING_CLIENT_TEMPLATE.FAT&amp;display_string=Audit&amp;VAR:KEY=KVWNOZGNEJ&amp;VAR:QUERY=KChGRl9ERUJUKFFUUiw0MTE2NCwsLCxVU0QpQEZGX0RFQlQoU0VNSSw0MTE2NCwsLCxVU0QpKUBGRl9ERUJUK","EFOTiw0MTE2NCwsLCxVU0QpKQ==&amp;WINDOW=FIRST_POPUP&amp;HEIGHT=450&amp;WIDTH=450&amp;START_MAXIMIZED=FALSE&amp;VAR:CALENDAR=US&amp;VAR:SYMBOL=NYSE:RUK&amp;VAR:INDEX=0"}</definedName>
    <definedName name="_27869__FDSAUDITLINK__" hidden="1">{"fdsup://directions/FAT Viewer?action=UPDATE&amp;creator=factset&amp;DYN_ARGS=TRUE&amp;DOC_NAME=FAT:FQL_AUDITING_CLIENT_TEMPLATE.FAT&amp;display_string=Audit&amp;VAR:KEY=VUPQLEFGTY&amp;VAR:QUERY=KEZGX0NBUEVYKExUTSw0MTE2NCwsLCxVU0QpQEZGX0NBUEVYKExUTV9TRU1JLDQxMTY0LCwsLFVTRCkp&amp;WIND","OW=FIRST_POPUP&amp;HEIGHT=450&amp;WIDTH=450&amp;START_MAXIMIZED=FALSE&amp;VAR:CALENDAR=US&amp;VAR:SYMBOL=NYSE:RUK&amp;VAR:INDEX=0"}</definedName>
    <definedName name="_27870__FDSAUDITLINK__" hidden="1">{"fdsup://directions/FAT Viewer?action=UPDATE&amp;creator=factset&amp;DYN_ARGS=TRUE&amp;DOC_NAME=FAT:FQL_AUDITING_CLIENT_TEMPLATE.FAT&amp;display_string=Audit&amp;VAR:KEY=ZWJQJULIRO&amp;VAR:QUERY=KEZGX09QRVJfQ0YoTFRNLDQxMTY0LCwsLFVTRClARkZfT1BFUl9DRihMVE1fU0VNSSw0MTE2NCwsLCxVU0QpK","Q==&amp;WINDOW=FIRST_POPUP&amp;HEIGHT=450&amp;WIDTH=450&amp;START_MAXIMIZED=FALSE&amp;VAR:CALENDAR=US&amp;VAR:SYMBOL=NYSE:RUK&amp;VAR:INDEX=0"}</definedName>
    <definedName name="_27871__FDSAUDITLINK__" hidden="1">{"fdsup://directions/FAT Viewer?action=UPDATE&amp;creator=factset&amp;DYN_ARGS=TRUE&amp;DOC_NAME=FAT:FQL_AUDITING_CLIENT_TEMPLATE.FAT&amp;display_string=Audit&amp;VAR:KEY=PAPURERMTG&amp;VAR:QUERY=RkZfRUJJVERBKEFOTiwyMDExLC0yQVksQ1ksLFVTRCk=&amp;WINDOW=FIRST_POPUP&amp;HEIGHT=450&amp;WIDTH=450&amp;","START_MAXIMIZED=FALSE&amp;VAR:CALENDAR=US&amp;VAR:SYMBOL=NYSE:RUK&amp;VAR:INDEX=0"}</definedName>
    <definedName name="_27872__FDSAUDITLINK__" hidden="1">{"fdsup://directions/FAT Viewer?action=UPDATE&amp;creator=factset&amp;DYN_ARGS=TRUE&amp;DOC_NAME=FAT:FQL_AUDITING_CLIENT_TEMPLATE.FAT&amp;display_string=Audit&amp;VAR:KEY=TMRKRGJINY&amp;VAR:QUERY=RkZfRUJJVERBKEFOTiwyMDEwLC0yQVksQ1ksLFVTRCk=&amp;WINDOW=FIRST_POPUP&amp;HEIGHT=450&amp;WIDTH=450&amp;","START_MAXIMIZED=FALSE&amp;VAR:CALENDAR=US&amp;VAR:SYMBOL=NYSE:RUK&amp;VAR:INDEX=0"}</definedName>
    <definedName name="_27873__FDSAUDITLINK__" hidden="1">{"fdsup://directions/FAT Viewer?action=UPDATE&amp;creator=factset&amp;DYN_ARGS=TRUE&amp;DOC_NAME=FAT:FQL_AUDITING_CLIENT_TEMPLATE.FAT&amp;display_string=Audit&amp;VAR:KEY=HYVQVQBEVA&amp;VAR:QUERY=RkZfRUJJVERBKEFOTiwyMDA5LC0zQVksQ1ksLFVTRCk=&amp;WINDOW=FIRST_POPUP&amp;HEIGHT=450&amp;WIDTH=450&amp;","START_MAXIMIZED=FALSE&amp;VAR:CALENDAR=US&amp;VAR:SYMBOL=NYSE:RUK&amp;VAR:INDEX=0"}</definedName>
    <definedName name="_27874__FDSAUDITLINK__" hidden="1">{"fdsup://directions/FAT Viewer?action=UPDATE&amp;creator=factset&amp;DYN_ARGS=TRUE&amp;DOC_NAME=FAT:FQL_AUDITING_CLIENT_TEMPLATE.FAT&amp;display_string=Audit&amp;VAR:KEY=PQLQLCRKBM&amp;VAR:QUERY=RkZfRUJJVERBKEFOTiwyMDEyLC0yQVksQ1ksLFVTRCk=&amp;WINDOW=FIRST_POPUP&amp;HEIGHT=450&amp;WIDTH=450&amp;","START_MAXIMIZED=FALSE&amp;VAR:CALENDAR=US&amp;VAR:SYMBOL=NYSE:RUK&amp;VAR:INDEX=0"}</definedName>
    <definedName name="_27875__FDSAUDITLINK__" hidden="1">{"fdsup://directions/FAT Viewer?action=UPDATE&amp;creator=factset&amp;DYN_ARGS=TRUE&amp;DOC_NAME=FAT:FQL_AUDITING_CLIENT_TEMPLATE.FAT&amp;display_string=Audit&amp;VAR:KEY=QTONENWFKB&amp;VAR:QUERY=KEZGX05FVF9JTkMoWVRELDQxMTY0LCwsLFVTRClARkZfTkVUX0lOQyhZVERfU0VNSSw0MTE2NCwsLCxVU0QpK","Q==&amp;WINDOW=FIRST_POPUP&amp;HEIGHT=450&amp;WIDTH=450&amp;START_MAXIMIZED=FALSE&amp;VAR:CALENDAR=US&amp;VAR:SYMBOL=NYSE:RUK&amp;VAR:INDEX=0"}</definedName>
    <definedName name="_27876__FDSAUDITLINK__" hidden="1">{"fdsup://directions/FAT Viewer?action=UPDATE&amp;creator=factset&amp;DYN_ARGS=TRUE&amp;DOC_NAME=FAT:FQL_AUDITING_CLIENT_TEMPLATE.FAT&amp;display_string=Audit&amp;VAR:KEY=PAZOHMHERE&amp;VAR:QUERY=KEZGX05FVF9JTkMoQU5OLDQxMTY0LCwsLFVTRClARkZfTkVUX0lOQyhBTk4sMCwsLCxVU0QpKQ==&amp;WINDOW=F","IRST_POPUP&amp;HEIGHT=450&amp;WIDTH=450&amp;START_MAXIMIZED=FALSE&amp;VAR:CALENDAR=US&amp;VAR:SYMBOL=NYSE:RUK&amp;VAR:INDEX=0"}</definedName>
    <definedName name="_27877__FDSAUDITLINK__" hidden="1">{"fdsup://directions/FAT Viewer?action=UPDATE&amp;creator=factset&amp;DYN_ARGS=TRUE&amp;DOC_NAME=FAT:FQL_AUDITING_CLIENT_TEMPLATE.FAT&amp;display_string=Audit&amp;VAR:KEY=TUNKBSNYBA&amp;VAR:QUERY=RkZfRVBTX0RJTF9BRlRfWE9SRChMVE0sNDExNjQsLCwsVVNEKQ==&amp;WINDOW=FIRST_POPUP&amp;HEIGHT=450&amp;WI","DTH=450&amp;START_MAXIMIZED=FALSE&amp;VAR:CALENDAR=US&amp;VAR:SYMBOL=NYSE:RUK&amp;VAR:INDEX=0"}</definedName>
    <definedName name="_27878__FDSAUDITLINK__" hidden="1">{"fdsup://directions/FAT Viewer?action=UPDATE&amp;creator=factset&amp;DYN_ARGS=TRUE&amp;DOC_NAME=FAT:FQL_AUDITING_CLIENT_TEMPLATE.FAT&amp;display_string=Audit&amp;VAR:KEY=VAXCJGLIPK&amp;VAR:QUERY=KEZGX0VCSVQoWVRELDQxMTY0IC0gMUFZLCwsLFVTRClARkZfRUJJVChZVERfU0VNSSw0MTE2NCAtIDFBWSwsL","CxVU0QpKQ==&amp;WINDOW=FIRST_POPUP&amp;HEIGHT=450&amp;WIDTH=450&amp;START_MAXIMIZED=FALSE&amp;VAR:CALENDAR=US&amp;VAR:SYMBOL=NYSE:RUK&amp;VAR:INDEX=0"}</definedName>
    <definedName name="_27879__FDSAUDITLINK__" hidden="1">{"fdsup://directions/FAT Viewer?action=UPDATE&amp;creator=factset&amp;DYN_ARGS=TRUE&amp;DOC_NAME=FAT:FQL_AUDITING_CLIENT_TEMPLATE.FAT&amp;display_string=Audit&amp;VAR:KEY=GDEZABIRWP&amp;VAR:QUERY=KEZGX0VCSVQoWVRELDQxMTY0LCwsLFVTRClARkZfRUJJVChZVERfU0VNSSw0MTE2NCwsLCxVU0QpKQ==&amp;WIND","OW=FIRST_POPUP&amp;HEIGHT=450&amp;WIDTH=450&amp;START_MAXIMIZED=FALSE&amp;VAR:CALENDAR=US&amp;VAR:SYMBOL=NYSE:RUK&amp;VAR:INDEX=0"}</definedName>
    <definedName name="_27880__FDSAUDITLINK__" hidden="1">{"fdsup://directions/FAT Viewer?action=UPDATE&amp;creator=factset&amp;DYN_ARGS=TRUE&amp;DOC_NAME=FAT:FQL_AUDITING_CLIENT_TEMPLATE.FAT&amp;display_string=Audit&amp;VAR:KEY=YJATCDQLIT&amp;VAR:QUERY=RkZfRUJJVChBTk4sNDExNjQsLCwsVVNEKQ==&amp;WINDOW=FIRST_POPUP&amp;HEIGHT=450&amp;WIDTH=450&amp;START_MA","XIMIZED=FALSE&amp;VAR:CALENDAR=US&amp;VAR:SYMBOL=NYSE:RUK&amp;VAR:INDEX=0"}</definedName>
    <definedName name="_27881__FDSAUDITLINK__" hidden="1">{"fdsup://directions/FAT Viewer?action=UPDATE&amp;creator=factset&amp;DYN_ARGS=TRUE&amp;DOC_NAME=FAT:FQL_AUDITING_CLIENT_TEMPLATE.FAT&amp;display_string=Audit&amp;VAR:KEY=KVWNOZGNEJ&amp;VAR:QUERY=KChGRl9ERUJUKFFUUiw0MTE2NCwsLCxVU0QpQEZGX0RFQlQoU0VNSSw0MTE2NCwsLCxVU0QpKUBGRl9ERUJUK","EFOTiw0MTE2NCwsLCxVU0QpKQ==&amp;WINDOW=FIRST_POPUP&amp;HEIGHT=450&amp;WIDTH=450&amp;START_MAXIMIZED=FALSE&amp;VAR:CALENDAR=US&amp;VAR:SYMBOL=NYSE:RUK&amp;VAR:INDEX=0"}</definedName>
    <definedName name="_27882__FDSAUDITLINK__" hidden="1">{"fdsup://directions/FAT Viewer?action=UPDATE&amp;creator=factset&amp;DYN_ARGS=TRUE&amp;DOC_NAME=FAT:FQL_AUDITING_CLIENT_TEMPLATE.FAT&amp;display_string=Audit&amp;VAR:KEY=VUPQLEFGTY&amp;VAR:QUERY=KEZGX0NBUEVYKExUTSw0MTE2NCwsLCxVU0QpQEZGX0NBUEVYKExUTV9TRU1JLDQxMTY0LCwsLFVTRCkp&amp;WIND","OW=FIRST_POPUP&amp;HEIGHT=450&amp;WIDTH=450&amp;START_MAXIMIZED=FALSE&amp;VAR:CALENDAR=US&amp;VAR:SYMBOL=NYSE:RUK&amp;VAR:INDEX=0"}</definedName>
    <definedName name="_27883__FDSAUDITLINK__" hidden="1">{"fdsup://directions/FAT Viewer?action=UPDATE&amp;creator=factset&amp;DYN_ARGS=TRUE&amp;DOC_NAME=FAT:FQL_AUDITING_CLIENT_TEMPLATE.FAT&amp;display_string=Audit&amp;VAR:KEY=ZWJQJULIRO&amp;VAR:QUERY=KEZGX09QRVJfQ0YoTFRNLDQxMTY0LCwsLFVTRClARkZfT1BFUl9DRihMVE1fU0VNSSw0MTE2NCwsLCxVU0QpK","Q==&amp;WINDOW=FIRST_POPUP&amp;HEIGHT=450&amp;WIDTH=450&amp;START_MAXIMIZED=FALSE&amp;VAR:CALENDAR=US&amp;VAR:SYMBOL=NYSE:RUK&amp;VAR:INDEX=0"}</definedName>
    <definedName name="_27884__FDSAUDITLINK__" hidden="1">{"fdsup://directions/FAT Viewer?action=UPDATE&amp;creator=factset&amp;DYN_ARGS=TRUE&amp;DOC_NAME=FAT:FQL_AUDITING_CLIENT_TEMPLATE.FAT&amp;display_string=Audit&amp;VAR:KEY=PAPURERMTG&amp;VAR:QUERY=RkZfRUJJVERBKEFOTiwyMDExLC0yQVksQ1ksLFVTRCk=&amp;WINDOW=FIRST_POPUP&amp;HEIGHT=450&amp;WIDTH=450&amp;","START_MAXIMIZED=FALSE&amp;VAR:CALENDAR=US&amp;VAR:SYMBOL=NYSE:RUK&amp;VAR:INDEX=0"}</definedName>
    <definedName name="_27885__FDSAUDITLINK__" hidden="1">{"fdsup://directions/FAT Viewer?action=UPDATE&amp;creator=factset&amp;DYN_ARGS=TRUE&amp;DOC_NAME=FAT:FQL_AUDITING_CLIENT_TEMPLATE.FAT&amp;display_string=Audit&amp;VAR:KEY=TMRKRGJINY&amp;VAR:QUERY=RkZfRUJJVERBKEFOTiwyMDEwLC0yQVksQ1ksLFVTRCk=&amp;WINDOW=FIRST_POPUP&amp;HEIGHT=450&amp;WIDTH=450&amp;","START_MAXIMIZED=FALSE&amp;VAR:CALENDAR=US&amp;VAR:SYMBOL=NYSE:RUK&amp;VAR:INDEX=0"}</definedName>
    <definedName name="_27886__FDSAUDITLINK__" hidden="1">{"fdsup://directions/FAT Viewer?action=UPDATE&amp;creator=factset&amp;DYN_ARGS=TRUE&amp;DOC_NAME=FAT:FQL_AUDITING_CLIENT_TEMPLATE.FAT&amp;display_string=Audit&amp;VAR:KEY=HYVQVQBEVA&amp;VAR:QUERY=RkZfRUJJVERBKEFOTiwyMDA5LC0zQVksQ1ksLFVTRCk=&amp;WINDOW=FIRST_POPUP&amp;HEIGHT=450&amp;WIDTH=450&amp;","START_MAXIMIZED=FALSE&amp;VAR:CALENDAR=US&amp;VAR:SYMBOL=NYSE:RUK&amp;VAR:INDEX=0"}</definedName>
    <definedName name="_27887__FDSAUDITLINK__" hidden="1">{"fdsup://directions/FAT Viewer?action=UPDATE&amp;creator=factset&amp;DYN_ARGS=TRUE&amp;DOC_NAME=FAT:FQL_AUDITING_CLIENT_TEMPLATE.FAT&amp;display_string=Audit&amp;VAR:KEY=PQLQLCRKBM&amp;VAR:QUERY=RkZfRUJJVERBKEFOTiwyMDEyLC0yQVksQ1ksLFVTRCk=&amp;WINDOW=FIRST_POPUP&amp;HEIGHT=450&amp;WIDTH=450&amp;","START_MAXIMIZED=FALSE&amp;VAR:CALENDAR=US&amp;VAR:SYMBOL=NYSE:RUK&amp;VAR:INDEX=0"}</definedName>
    <definedName name="_27888__FDSAUDITLINK__" hidden="1">{"fdsup://directions/FAT Viewer?action=UPDATE&amp;creator=factset&amp;DYN_ARGS=TRUE&amp;DOC_NAME=FAT:FQL_AUDITING_CLIENT_TEMPLATE.FAT&amp;display_string=Audit&amp;VAR:KEY=QTONENWFKB&amp;VAR:QUERY=KEZGX05FVF9JTkMoWVRELDQxMTY0LCwsLFVTRClARkZfTkVUX0lOQyhZVERfU0VNSSw0MTE2NCwsLCxVU0QpK","Q==&amp;WINDOW=FIRST_POPUP&amp;HEIGHT=450&amp;WIDTH=450&amp;START_MAXIMIZED=FALSE&amp;VAR:CALENDAR=US&amp;VAR:SYMBOL=NYSE:RUK&amp;VAR:INDEX=0"}</definedName>
    <definedName name="_27889__FDSAUDITLINK__" hidden="1">{"fdsup://directions/FAT Viewer?action=UPDATE&amp;creator=factset&amp;DYN_ARGS=TRUE&amp;DOC_NAME=FAT:FQL_AUDITING_CLIENT_TEMPLATE.FAT&amp;display_string=Audit&amp;VAR:KEY=PAZOHMHERE&amp;VAR:QUERY=KEZGX05FVF9JTkMoQU5OLDQxMTY0LCwsLFVTRClARkZfTkVUX0lOQyhBTk4sMCwsLCxVU0QpKQ==&amp;WINDOW=F","IRST_POPUP&amp;HEIGHT=450&amp;WIDTH=450&amp;START_MAXIMIZED=FALSE&amp;VAR:CALENDAR=US&amp;VAR:SYMBOL=NYSE:RUK&amp;VAR:INDEX=0"}</definedName>
    <definedName name="_27890__FDSAUDITLINK__" hidden="1">{"fdsup://directions/FAT Viewer?action=UPDATE&amp;creator=factset&amp;DYN_ARGS=TRUE&amp;DOC_NAME=FAT:FQL_AUDITING_CLIENT_TEMPLATE.FAT&amp;display_string=Audit&amp;VAR:KEY=TUNKBSNYBA&amp;VAR:QUERY=RkZfRVBTX0RJTF9BRlRfWE9SRChMVE0sNDExNjQsLCwsVVNEKQ==&amp;WINDOW=FIRST_POPUP&amp;HEIGHT=450&amp;WI","DTH=450&amp;START_MAXIMIZED=FALSE&amp;VAR:CALENDAR=US&amp;VAR:SYMBOL=NYSE:RUK&amp;VAR:INDEX=0"}</definedName>
    <definedName name="_27891__FDSAUDITLINK__" hidden="1">{"fdsup://directions/FAT Viewer?action=UPDATE&amp;creator=factset&amp;DYN_ARGS=TRUE&amp;DOC_NAME=FAT:FQL_AUDITING_CLIENT_TEMPLATE.FAT&amp;display_string=Audit&amp;VAR:KEY=VAXCJGLIPK&amp;VAR:QUERY=KEZGX0VCSVQoWVRELDQxMTY0IC0gMUFZLCwsLFVTRClARkZfRUJJVChZVERfU0VNSSw0MTE2NCAtIDFBWSwsL","CxVU0QpKQ==&amp;WINDOW=FIRST_POPUP&amp;HEIGHT=450&amp;WIDTH=450&amp;START_MAXIMIZED=FALSE&amp;VAR:CALENDAR=US&amp;VAR:SYMBOL=NYSE:RUK&amp;VAR:INDEX=0"}</definedName>
    <definedName name="_27892__FDSAUDITLINK__" hidden="1">{"fdsup://directions/FAT Viewer?action=UPDATE&amp;creator=factset&amp;DYN_ARGS=TRUE&amp;DOC_NAME=FAT:FQL_AUDITING_CLIENT_TEMPLATE.FAT&amp;display_string=Audit&amp;VAR:KEY=GDEZABIRWP&amp;VAR:QUERY=KEZGX0VCSVQoWVRELDQxMTY0LCwsLFVTRClARkZfRUJJVChZVERfU0VNSSw0MTE2NCwsLCxVU0QpKQ==&amp;WIND","OW=FIRST_POPUP&amp;HEIGHT=450&amp;WIDTH=450&amp;START_MAXIMIZED=FALSE&amp;VAR:CALENDAR=US&amp;VAR:SYMBOL=NYSE:RUK&amp;VAR:INDEX=0"}</definedName>
    <definedName name="_27893__FDSAUDITLINK__" hidden="1">{"fdsup://directions/FAT Viewer?action=UPDATE&amp;creator=factset&amp;DYN_ARGS=TRUE&amp;DOC_NAME=FAT:FQL_AUDITING_CLIENT_TEMPLATE.FAT&amp;display_string=Audit&amp;VAR:KEY=YJATCDQLIT&amp;VAR:QUERY=RkZfRUJJVChBTk4sNDExNjQsLCwsVVNEKQ==&amp;WINDOW=FIRST_POPUP&amp;HEIGHT=450&amp;WIDTH=450&amp;START_MA","XIMIZED=FALSE&amp;VAR:CALENDAR=US&amp;VAR:SYMBOL=NYSE:RUK&amp;VAR:INDEX=0"}</definedName>
    <definedName name="_27894__FDSAUDITLINK__" hidden="1">{"fdsup://directions/FAT Viewer?action=UPDATE&amp;creator=factset&amp;DYN_ARGS=TRUE&amp;DOC_NAME=FAT:FQL_AUDITING_CLIENT_TEMPLATE.FAT&amp;display_string=Audit&amp;VAR:KEY=KVWNOZGNEJ&amp;VAR:QUERY=KChGRl9ERUJUKFFUUiw0MTE2NCwsLCxVU0QpQEZGX0RFQlQoU0VNSSw0MTE2NCwsLCxVU0QpKUBGRl9ERUJUK","EFOTiw0MTE2NCwsLCxVU0QpKQ==&amp;WINDOW=FIRST_POPUP&amp;HEIGHT=450&amp;WIDTH=450&amp;START_MAXIMIZED=FALSE&amp;VAR:CALENDAR=US&amp;VAR:SYMBOL=NYSE:RUK&amp;VAR:INDEX=0"}</definedName>
    <definedName name="_27895__FDSAUDITLINK__" hidden="1">{"fdsup://directions/FAT Viewer?action=UPDATE&amp;creator=factset&amp;DYN_ARGS=TRUE&amp;DOC_NAME=FAT:FQL_AUDITING_CLIENT_TEMPLATE.FAT&amp;display_string=Audit&amp;VAR:KEY=MVQVQLGRWF&amp;VAR:QUERY=KEZGX05FVF9JTkMoWVRELDQwOTA4IC0gMUFZLCwsLFVTRClARkZfTkVUX0lOQyhZVERfU0VNSSw0MDkwOCAtI","DFBWSwsLCxVU0QpKQ==&amp;WINDOW=FIRST_POPUP&amp;HEIGHT=450&amp;WIDTH=450&amp;START_MAXIMIZED=FALSE&amp;VAR:CALENDAR=US&amp;VAR:SYMBOL=B2B0DG&amp;VAR:INDEX=0"}</definedName>
    <definedName name="_27896__FDSAUDITLINK__" hidden="1">{"fdsup://directions/FAT Viewer?action=UPDATE&amp;creator=factset&amp;DYN_ARGS=TRUE&amp;DOC_NAME=FAT:FQL_AUDITING_CLIENT_TEMPLATE.FAT&amp;display_string=Audit&amp;VAR:KEY=UDAPKVCLQX&amp;VAR:QUERY=KEZGX05FVF9JTkMoWVRELDQxMDkwIC0gMUFZLCwsLFVTRClARkZfTkVUX0lOQyhZVERfU0VNSSw0MTA5MCAtI","DFBWSwsLCxVU0QpKQ==&amp;WINDOW=FIRST_POPUP&amp;HEIGHT=450&amp;WIDTH=450&amp;START_MAXIMIZED=FALSE&amp;VAR:CALENDAR=US&amp;VAR:SYMBOL=WNS&amp;VAR:INDEX=0"}</definedName>
    <definedName name="_27897__FDSAUDITLINK__" hidden="1">{"fdsup://directions/FAT Viewer?action=UPDATE&amp;creator=factset&amp;DYN_ARGS=TRUE&amp;DOC_NAME=FAT:FQL_AUDITING_CLIENT_TEMPLATE.FAT&amp;display_string=Audit&amp;VAR:KEY=HSROFWFETA&amp;VAR:QUERY=KEZGX0VCSVQoWVRELDQxMDkwIC0gMUFZLCwsLFVTRClARkZfRUJJVChZVERfU0VNSSw0MTA5MCAtIDFBWSwsL","CxVU0QpKQ==&amp;WINDOW=FIRST_POPUP&amp;HEIGHT=450&amp;WIDTH=450&amp;START_MAXIMIZED=FALSE&amp;VAR:CALENDAR=US&amp;VAR:SYMBOL=WNS&amp;VAR:INDEX=0"}</definedName>
    <definedName name="_27898__FDSAUDITLINK__" hidden="1">{"fdsup://directions/FAT Viewer?action=UPDATE&amp;creator=factset&amp;DYN_ARGS=TRUE&amp;DOC_NAME=FAT:FQL_AUDITING_CLIENT_TEMPLATE.FAT&amp;display_string=Audit&amp;VAR:KEY=UDAPKVCLQX&amp;VAR:QUERY=KEZGX05FVF9JTkMoWVRELDQxMDkwIC0gMUFZLCwsLFVTRClARkZfTkVUX0lOQyhZVERfU0VNSSw0MTA5MCAtI","DFBWSwsLCxVU0QpKQ==&amp;WINDOW=FIRST_POPUP&amp;HEIGHT=450&amp;WIDTH=450&amp;START_MAXIMIZED=FALSE&amp;VAR:CALENDAR=US&amp;VAR:SYMBOL=WNS&amp;VAR:INDEX=0"}</definedName>
    <definedName name="_27899__FDSAUDITLINK__" hidden="1">{"fdsup://directions/FAT Viewer?action=UPDATE&amp;creator=factset&amp;DYN_ARGS=TRUE&amp;DOC_NAME=FAT:FQL_AUDITING_CLIENT_TEMPLATE.FAT&amp;display_string=Audit&amp;VAR:KEY=HSROFWFETA&amp;VAR:QUERY=KEZGX0VCSVQoWVRELDQxMDkwIC0gMUFZLCwsLFVTRClARkZfRUJJVChZVERfU0VNSSw0MTA5MCAtIDFBWSwsL","CxVU0QpKQ==&amp;WINDOW=FIRST_POPUP&amp;HEIGHT=450&amp;WIDTH=450&amp;START_MAXIMIZED=FALSE&amp;VAR:CALENDAR=US&amp;VAR:SYMBOL=WNS&amp;VAR:INDEX=0"}</definedName>
    <definedName name="_279__FDSAUDITLINK__" hidden="1">{"fdsup://directions/FAT Viewer?action=UPDATE&amp;creator=factset&amp;DYN_ARGS=TRUE&amp;DOC_NAME=FAT:FQL_AUDITING_CLIENT_TEMPLATE.FAT&amp;display_string=Audit&amp;VAR:KEY=QDQRELUBWF&amp;VAR:QUERY=KCgoKEZGX1NITERSU19FUShRVFIsMCwsLFJTLFVTRClAKEZGX0xJQUJTX1NITERSU19FUShRVFIsMCwsLFJTL","FVTRCktRkZfTElBQlMoUVRSLDAsLCxSUyxVU0QpKSkpQCgoRkZfU0hMRFJTX0VRKFNFTUksMCwsLFJTLFVTRClAKEZGX0xJQUJTX1NITERSU19FUShTRU1JLDAsLCxSUyxVU0QpLUZGX0xJQUJTKFNFTUksMCwsLFJTLFVTRCkpKSkpQEZGX1NITERSU19FUShBTk4sMCwsLFJTLFVTRCkp&amp;WINDOW=FIRST_POPUP&amp;HEIGHT=450&amp;WIDTH=450","&amp;START_MAXIMIZED=FALSE&amp;VAR:CALENDAR=US&amp;VAR:SYMBOL=PJC&amp;VAR:INDEX=0"}</definedName>
    <definedName name="_28__123Graph_XChart_12" hidden="1">#REF!</definedName>
    <definedName name="_28__FDSAUDITLINK__" hidden="1">{"fdsup://directions/FAT Viewer?action=UPDATE&amp;creator=factset&amp;DYN_ARGS=TRUE&amp;DOC_NAME=FAT:FQL_AUDITING_CLIENT_TEMPLATE.FAT&amp;display_string=Audit&amp;VAR:KEY=CHCLWBWXGL&amp;VAR:QUERY=KEZGX0NPTV9TSFNfT1VUKFFUUiwwLCwsUkYsVVNEKUBQX0NPTV9TSFNfT1VUKDApKQ==&amp;WINDOW=FIRST_POP","UP&amp;HEIGHT=450&amp;WIDTH=450&amp;START_MAXIMIZED=FALSE&amp;VAR:CALENDAR=US&amp;VAR:SYMBOL=093031&amp;VAR:INDEX=0"}</definedName>
    <definedName name="_280__FDSAUDITLINK__" hidden="1">{"fdsup://Directions/FactSet Auditing Viewer?action=AUDIT_VALUE&amp;DB=129&amp;ID1=72407810&amp;VALUEID=02001&amp;SDATE=201003&amp;PERIODTYPE=QTR_STD&amp;window=popup_no_bar&amp;width=385&amp;height=120&amp;START_MAXIMIZED=FALSE&amp;creator=factset&amp;display_string=Audit"}</definedName>
    <definedName name="_281__FDSAUDITLINK__" hidden="1">{"fdsup://directions/FAT Viewer?action=UPDATE&amp;creator=factset&amp;DYN_ARGS=TRUE&amp;DOC_NAME=FAT:FQL_AUDITING_CLIENT_TEMPLATE.FAT&amp;display_string=Audit&amp;VAR:KEY=IFUTUXUDCL&amp;VAR:QUERY=KCgoKEZGX1NITERSU19FUShRVFIsMCwsLFJTLFVTRClAKEZGX0xJQUJTX1NITERSU19FUShRVFIsMCwsLFJTL","FVTRCktRkZfTElBQlMoUVRSLDAsLCxSUyxVU0QpKSkpQCgoRkZfU0hMRFJTX0VRKFNFTUksMCwsLFJTLFVTRClAKEZGX0xJQUJTX1NITERSU19FUShTRU1JLDAsLCxSUyxVU0QpLUZGX0xJQUJTKFNFTUksMCwsLFJTLFVTRCkpKSkpQEZGX1NITERSU19FUShBTk4sMCwsLFJTLFVTRCkp&amp;WINDOW=FIRST_POPUP&amp;HEIGHT=450&amp;WIDTH=450","&amp;START_MAXIMIZED=FALSE&amp;VAR:CALENDAR=US&amp;VAR:SYMBOL=EVR&amp;VAR:INDEX=0"}</definedName>
    <definedName name="_282__FDSAUDITLINK__" hidden="1">{"fdsup://Directions/FactSet Auditing Viewer?action=AUDIT_VALUE&amp;DB=129&amp;ID1=29977A10&amp;VALUEID=02001&amp;SDATE=201003&amp;PERIODTYPE=QTR_STD&amp;window=popup_no_bar&amp;width=385&amp;height=120&amp;START_MAXIMIZED=FALSE&amp;creator=factset&amp;display_string=Audit"}</definedName>
    <definedName name="_28281__FDSAUDITLINK__" hidden="1">{"fdsup://directions/FAT Viewer?action=UPDATE&amp;creator=factset&amp;DYN_ARGS=TRUE&amp;DOC_NAME=FAT:FQL_AUDITING_CLIENT_TEMPLATE.FAT&amp;display_string=Audit&amp;VAR:KEY=FOBGZADUTO&amp;VAR:QUERY=RkZfRUJJVERBKEFOTiwyMDEyLC0yQVksQ1ksLFVTRCk=&amp;WINDOW=FIRST_POPUP&amp;HEIGHT=450&amp;WIDTH=450&amp;","START_MAXIMIZED=FALSE&amp;VAR:CALENDAR=US&amp;VAR:SYMBOL=ENXTAM:REN&amp;VAR:INDEX=0"}</definedName>
    <definedName name="_28282__FDSAUDITLINK__" hidden="1">{"fdsup://directions/FAT Viewer?action=UPDATE&amp;creator=factset&amp;DYN_ARGS=TRUE&amp;DOC_NAME=FAT:FQL_AUDITING_CLIENT_TEMPLATE.FAT&amp;display_string=Audit&amp;VAR:KEY=PQLQLCRKBM&amp;VAR:QUERY=RkZfRUJJVERBKEFOTiwyMDEyLC0yQVksQ1ksLFVTRCk=&amp;WINDOW=FIRST_POPUP&amp;HEIGHT=450&amp;WIDTH=450&amp;","START_MAXIMIZED=FALSE&amp;VAR:CALENDAR=US&amp;VAR:SYMBOL=NYSE:RUK&amp;VAR:INDEX=0"}</definedName>
    <definedName name="_283__FDSAUDITLINK__" hidden="1">{"fdsup://Directions/FactSet Auditing Viewer?action=AUDIT_VALUE&amp;DB=129&amp;ID1=39525910&amp;VALUEID=07011&amp;SDATE=2009&amp;PERIODTYPE=ANN_STD&amp;window=popup_no_bar&amp;width=385&amp;height=120&amp;START_MAXIMIZED=FALSE&amp;creator=factset&amp;display_string=Audit"}</definedName>
    <definedName name="_284__FDSAUDITLINK__" hidden="1">{"fdsup://Directions/FactSet Auditing Viewer?action=AUDIT_VALUE&amp;DB=129&amp;ID1=39525910&amp;VALUEID=07011&amp;SDATE=2009&amp;PERIODTYPE=ANN_STD&amp;window=popup_no_bar&amp;width=385&amp;height=120&amp;START_MAXIMIZED=FALSE&amp;creator=factset&amp;display_string=Audit"}</definedName>
    <definedName name="_285__FDSAUDITLINK__" hidden="1">{"fdsup://directions/FAT Viewer?action=UPDATE&amp;creator=factset&amp;DYN_ARGS=TRUE&amp;DOC_NAME=FAT:FQL_AUDITING_CLIENT_TEMPLATE.FAT&amp;display_string=Audit&amp;VAR:KEY=UJGHMTEDSB&amp;VAR:QUERY=KCgoKEZGX1NITERSU19FUShRVFIsMCwsLFJTLFVTRClAKEZGX0xJQUJTX1NITERSU19FUShRVFIsMCwsLFJTL","FVTRCktRkZfTElBQlMoUVRSLDAsLCxSUyxVU0QpKSkpQCgoRkZfU0hMRFJTX0VRKFNFTUksMCwsLFJTLFVTRClAKEZGX0xJQUJTX1NITERSU19FUShTRU1JLDAsLCxSUyxVU0QpLUZGX0xJQUJTKFNFTUksMCwsLFJTLFVTRCkpKSkpQEZGX1NITERSU19FUShBTk4sMCwsLFJTLFVTRCkp&amp;WINDOW=FIRST_POPUP&amp;HEIGHT=450&amp;WIDTH=450","&amp;START_MAXIMIZED=FALSE&amp;VAR:CALENDAR=US&amp;VAR:SYMBOL=GHL&amp;VAR:INDEX=0"}</definedName>
    <definedName name="_286__FDSAUDITLINK__" hidden="1">{"fdsup://Directions/FactSet Auditing Viewer?action=AUDIT_VALUE&amp;DB=129&amp;ID1=39525910&amp;VALUEID=02001&amp;SDATE=201003&amp;PERIODTYPE=QTR_STD&amp;window=popup_no_bar&amp;width=385&amp;height=120&amp;START_MAXIMIZED=FALSE&amp;creator=factset&amp;display_string=Audit"}</definedName>
    <definedName name="_287__FDSAUDITLINK__" hidden="1">{"fdsup://Directions/FactSet Auditing Viewer?action=AUDIT_VALUE&amp;DB=129&amp;ID1=G5405010&amp;VALUEID=07011&amp;SDATE=2009&amp;PERIODTYPE=ANN_STD&amp;window=popup_no_bar&amp;width=385&amp;height=120&amp;START_MAXIMIZED=FALSE&amp;creator=factset&amp;display_string=Audit"}</definedName>
    <definedName name="_288__FDSAUDITLINK__" hidden="1">{"fdsup://Directions/FactSet Auditing Viewer?action=AUDIT_VALUE&amp;DB=129&amp;ID1=G5405010&amp;VALUEID=07011&amp;SDATE=2009&amp;PERIODTYPE=ANN_STD&amp;window=popup_no_bar&amp;width=385&amp;height=120&amp;START_MAXIMIZED=FALSE&amp;creator=factset&amp;display_string=Audit"}</definedName>
    <definedName name="_289__FDSAUDITLINK__" hidden="1">{"fdsup://directions/FAT Viewer?action=UPDATE&amp;creator=factset&amp;DYN_ARGS=TRUE&amp;DOC_NAME=FAT:FQL_AUDITING_CLIENT_TEMPLATE.FAT&amp;display_string=Audit&amp;VAR:KEY=OJMZGXMNMR&amp;VAR:QUERY=KCgoKEZGX1NITERSU19FUShRVFIsMCwsLFJTLFVTRClAKEZGX0xJQUJTX1NITERSU19FUShRVFIsMCwsLFJTL","FVTRCktRkZfTElBQlMoUVRSLDAsLCxSUyxVU0QpKSkpQCgoRkZfU0hMRFJTX0VRKFNFTUksMCwsLFJTLFVTRClAKEZGX0xJQUJTX1NITERSU19FUShTRU1JLDAsLCxSUyxVU0QpLUZGX0xJQUJTKFNFTUksMCwsLFJTLFVTRCkpKSkpQEZGX1NITERSU19FUShBTk4sMCwsLFJTLFVTRCkp&amp;WINDOW=FIRST_POPUP&amp;HEIGHT=450&amp;WIDTH=450","&amp;START_MAXIMIZED=FALSE&amp;VAR:CALENDAR=US&amp;VAR:SYMBOL=LAZ&amp;VAR:INDEX=0"}</definedName>
    <definedName name="_29__123Graph_XChart_13" hidden="1">#REF!</definedName>
    <definedName name="_29__FDSAUDITLINK__" hidden="1">{"fdsup://directions/FAT Viewer?action=UPDATE&amp;creator=factset&amp;DYN_ARGS=TRUE&amp;DOC_NAME=FAT:FQL_AUDITING_CLIENT_TEMPLATE.FAT&amp;display_string=Audit&amp;VAR:KEY=TOBQNOLYBI&amp;VAR:QUERY=KEZGX0NPTV9TSFNfT1VUKFFUUiwwLCwsUkYsVVNEKUBQX0NPTV9TSFNfT1VUKDApKQ==&amp;WINDOW=FIRST_POP","UP&amp;HEIGHT=450&amp;WIDTH=450&amp;START_MAXIMIZED=FALSE&amp;VAR:CALENDAR=US&amp;VAR:SYMBOL=093031&amp;VAR:INDEX=0"}</definedName>
    <definedName name="_290__FDSAUDITLINK__" hidden="1">{"fdsup://Directions/FactSet Auditing Viewer?action=AUDIT_VALUE&amp;DB=129&amp;ID1=G5405010&amp;VALUEID=02001&amp;SDATE=201003&amp;PERIODTYPE=QTR_STD&amp;window=popup_no_bar&amp;width=385&amp;height=120&amp;START_MAXIMIZED=FALSE&amp;creator=factset&amp;display_string=Audit"}</definedName>
    <definedName name="_291__FDSAUDITLINK__" hidden="1">{"fdsup://directions/FAT Viewer?action=UPDATE&amp;creator=factset&amp;DYN_ARGS=TRUE&amp;DOC_NAME=FAT:FQL_AUDITING_CLIENT_TEMPLATE.FAT&amp;display_string=Audit&amp;VAR:KEY=GJUXSLKRCD&amp;VAR:QUERY=KCgoKEZGX1NITERSU19FUShRVFIsMCwsLFJTLFVTRClAKEZGX0xJQUJTX1NITERSU19FUShRVFIsMCwsLFJTL","FVTRCktRkZfTElBQlMoUVRSLDAsLCxSUyxVU0QpKSkpQCgoRkZfU0hMRFJTX0VRKFNFTUksMCwsLFJTLFVTRClAKEZGX0xJQUJTX1NITERSU19FUShTRU1JLDAsLCxSUyxVU0QpLUZGX0xJQUJTKFNFTUksMCwsLFJTLFVTRCkpKSkpQEZGX1NITERSU19FUShBTk4sMCwsLFJTLFVTRCkp&amp;WINDOW=FIRST_POPUP&amp;HEIGHT=450&amp;WIDTH=450","&amp;START_MAXIMIZED=FALSE&amp;VAR:CALENDAR=US&amp;VAR:SYMBOL=JEF&amp;VAR:INDEX=0"}</definedName>
    <definedName name="_292__FDSAUDITLINK__" hidden="1">{"fdsup://Directions/FactSet Auditing Viewer?action=AUDIT_VALUE&amp;DB=129&amp;ID1=47231910&amp;VALUEID=02001&amp;SDATE=201003&amp;PERIODTYPE=QTR_STD&amp;window=popup_no_bar&amp;width=385&amp;height=120&amp;START_MAXIMIZED=FALSE&amp;creator=factset&amp;display_string=Audit"}</definedName>
    <definedName name="_293__FDSAUDITLINK__" hidden="1">{"fdsup://Directions/FactSet Auditing Viewer?action=AUDIT_VALUE&amp;DB=129&amp;ID1=39525910&amp;VALUEID=03451&amp;SDATE=201003&amp;PERIODTYPE=QTR_STD&amp;window=popup_no_bar&amp;width=385&amp;height=120&amp;START_MAXIMIZED=FALSE&amp;creator=factset&amp;display_string=Audit"}</definedName>
    <definedName name="_294__FDSAUDITLINK__" hidden="1">{"fdsup://Directions/FactSet Auditing Viewer?action=AUDIT_VALUE&amp;DB=129&amp;ID1=29977A10&amp;VALUEID=P05301&amp;SDATE=201003&amp;PERIODTYPE=QTR_STD&amp;window=popup_no_bar&amp;width=385&amp;height=120&amp;START_MAXIMIZED=FALSE&amp;creator=factset&amp;display_string=Audit"}</definedName>
    <definedName name="_295__FDSAUDITLINK__" hidden="1">{"fdsup://Directions/FactSet Auditing Viewer?action=AUDIT_VALUE&amp;DB=129&amp;ID1=29977A10&amp;VALUEID=P05301&amp;SDATE=201003&amp;PERIODTYPE=QTR_STD&amp;window=popup_no_bar&amp;width=385&amp;height=120&amp;START_MAXIMIZED=FALSE&amp;creator=factset&amp;display_string=Audit"}</definedName>
    <definedName name="_296__FDSAUDITLINK__" hidden="1">{"fdsup://Directions/FactSet Auditing Viewer?action=AUDIT_VALUE&amp;DB=129&amp;ID1=39525910&amp;VALUEID=P05301&amp;SDATE=201003&amp;PERIODTYPE=QTR_STD&amp;window=popup_no_bar&amp;width=385&amp;height=120&amp;START_MAXIMIZED=FALSE&amp;creator=factset&amp;display_string=Audit"}</definedName>
    <definedName name="_297__FDSAUDITLINK__" hidden="1">{"fdsup://Directions/FactSet Auditing Viewer?action=AUDIT_VALUE&amp;DB=129&amp;ID1=39525910&amp;VALUEID=P05301&amp;SDATE=201003&amp;PERIODTYPE=QTR_STD&amp;window=popup_no_bar&amp;width=385&amp;height=120&amp;START_MAXIMIZED=FALSE&amp;creator=factset&amp;display_string=Audit"}</definedName>
    <definedName name="_298__FDSAUDITLINK__" hidden="1">{"fdsup://Directions/FactSet Auditing Viewer?action=AUDIT_VALUE&amp;DB=129&amp;ID1=61971810&amp;VALUEID=02001&amp;SDATE=201201&amp;PERIODTYPE=QTR_STD&amp;SCFT=3&amp;window=popup_no_bar&amp;width=385&amp;height=120&amp;START_MAXIMIZED=FALSE&amp;creator=factset&amp;display_string=Audit"}</definedName>
    <definedName name="_299__FDSAUDITLINK__" hidden="1">{"fdsup://Directions/FactSet Auditing Viewer?action=AUDIT_VALUE&amp;DB=129&amp;ID1=15721010&amp;VALUEID=07011&amp;SDATE=2011&amp;PERIODTYPE=ANN_STD&amp;SCFT=3&amp;window=popup_no_bar&amp;width=385&amp;height=120&amp;START_MAXIMIZED=FALSE&amp;creator=factset&amp;display_string=Audit"}</definedName>
    <definedName name="_2Dist_Val" hidden="1">#REF!</definedName>
    <definedName name="_2solver_rh¤" hidden="1">4</definedName>
    <definedName name="_3__123Graph_AChart_11" hidden="1">#REF!</definedName>
    <definedName name="_3__123Graph_AChart_3" hidden="1">#REF!</definedName>
    <definedName name="_3__123Graph_ADEPREC" hidden="1">#REF!</definedName>
    <definedName name="_3__FDSAUDITLINK__" hidden="1">{"fdsup://directions/FAT Viewer?action=UPDATE&amp;creator=factset&amp;DYN_ARGS=TRUE&amp;DOC_NAME=FAT:FQL_AUDITING_CLIENT_TEMPLATE.FAT&amp;display_string=Audit&amp;VAR:KEY=YXSJGFQVOD&amp;VAR:QUERY=KChGRl9FQklUREEoTFRNLDAsLCxSRixVU0QpQEZGX0VCSVREQShMVE1TX1NFTUksMCwsLFJGLFVTRCkpQEZGX","0VCSVREQShBTk4sMCwsLFJGLFVTRCkp&amp;WINDOW=FIRST_POPUP&amp;HEIGHT=450&amp;WIDTH=450&amp;START_MAXIMIZED=FALSE&amp;VAR:CALENDAR=US&amp;VAR:INDEX=0"}</definedName>
    <definedName name="_3__FDSAUDITLINK___1" hidden="1">{"fdsup://IBCentral/FAT Viewer?action=UPDATE&amp;creator=factset&amp;DOC_NAME=fat:reuters_annual_shs_src_window.fat&amp;display_string=Audit&amp;DYN_ARGS=TRUE&amp;VAR:ID1=591344&amp;VAR:RCODE=FDSSHSOUTDEPS&amp;VAR:SDATE=20071299&amp;VAR:FREQ=Y&amp;VAR:RELITEM=RF&amp;VAR:CURRENCY=&amp;VAR:CURRSOURCE=E","XSHARE&amp;VAR:NATFREQ=ANNUAL&amp;VAR:RFIELD=FINALIZED&amp;VAR:DB_TYPE=&amp;VAR:UNITS=MONTHLY&amp;window=popup&amp;width=450&amp;height=300&amp;START_MAXIMIZED=FALSE"}</definedName>
    <definedName name="_3_0_0Cwvu.GREY_A" hidden="1">#REF!</definedName>
    <definedName name="_3_0_Dist_Val" hidden="1">#REF!</definedName>
    <definedName name="_3_123Grap" hidden="1">#REF!</definedName>
    <definedName name="_30__123Graph_XChart_14" hidden="1">#REF!</definedName>
    <definedName name="_30__FDSAUDITLINK__" hidden="1">{"fdsup://directions/FAT Viewer?action=UPDATE&amp;creator=factset&amp;DYN_ARGS=TRUE&amp;DOC_NAME=FAT:FQL_AUDITING_CLIENT_TEMPLATE.FAT&amp;display_string=Audit&amp;VAR:KEY=ZWREJITUZA&amp;VAR:QUERY=KChGRl9FUFMoTFRNLDAsLCxSRixVU0QpQEZGX0VQUyhMVE1TX1NFTUksMCwsLFJGLFVTRCkpQEZGX0VQUyhBT","k4sMCwsLFJGLFVTRCkp&amp;WINDOW=FIRST_POPUP&amp;HEIGHT=450&amp;WIDTH=450&amp;START_MAXIMIZED=FALSE&amp;VAR:CALENDAR=US&amp;VAR:SYMBOL=RPXC&amp;VAR:INDEX=0"}</definedName>
    <definedName name="_300__FDSAUDITLINK__" hidden="1">{"fdsup://Directions/FactSet Auditing Viewer?action=AUDIT_VALUE&amp;DB=129&amp;ID1=86063010&amp;VALUEID=07011&amp;SDATE=2010&amp;PERIODTYPE=ANN_STD&amp;window=popup_no_bar&amp;width=385&amp;height=120&amp;START_MAXIMIZED=FALSE&amp;creator=factset&amp;display_string=Audit"}</definedName>
    <definedName name="_301__FDSAUDITLINK__" hidden="1">{"fdsup://directions/FAT Viewer?action=UPDATE&amp;creator=factset&amp;DYN_ARGS=TRUE&amp;DOC_NAME=FAT:FQL_AUDITING_CLIENT_TEMPLATE.FAT&amp;display_string=Audit&amp;VAR:KEY=PSFAJSFABA&amp;VAR:QUERY=KChGRl9ERUJUKFFUUiwwLCwsUkYsVVNEKUBGRl9ERUJUKFNFTUksMCwsLFJGLFVTRCkpQEZGX0RFQlQoQU5OL","DAsLCxSRixVU0QpKQ==&amp;WINDOW=FIRST_POPUP&amp;HEIGHT=450&amp;WIDTH=450&amp;START_MAXIMIZED=FALSE&amp;VAR:CALENDAR=US&amp;VAR:SYMBOL=260509&amp;VAR:INDEX=0"}</definedName>
    <definedName name="_302__FDSAUDITLINK__" hidden="1">{"fdsup://directions/FAT Viewer?action=UPDATE&amp;creator=factset&amp;DYN_ARGS=TRUE&amp;DOC_NAME=FAT:FQL_AUDITING_CLIENT_TEMPLATE.FAT&amp;display_string=Audit&amp;VAR:KEY=DEHYLSTETS&amp;VAR:QUERY=KChGRl9TQUxFUyhMVE0sMCwsLFJGLFVTRClARkZfU0FMRVMoTFRNU19TRU1JLDAsLCxSRixVU0QpKUBGRl9TQ","UxFUyhBTk4sMCwsLFJGLFVTRCkp&amp;WINDOW=FIRST_POPUP&amp;HEIGHT=450&amp;WIDTH=450&amp;START_MAXIMIZED=FALSE&amp;VAR:CALENDAR=US&amp;VAR:SYMBOL=MAN&amp;VAR:INDEX=0"}</definedName>
    <definedName name="_303__FDSAUDITLINK__" hidden="1">{"fdsup://Directions/FactSet Auditing Viewer?action=AUDIT_VALUE&amp;DB=129&amp;ID1=G3727Q10&amp;VALUEID=07011&amp;SDATE=2011&amp;PERIODTYPE=ANN_STD&amp;SCFT=3&amp;window=popup_no_bar&amp;width=385&amp;height=120&amp;START_MAXIMIZED=FALSE&amp;creator=factset&amp;display_string=Audit"}</definedName>
    <definedName name="_304__FDSAUDITLINK__" hidden="1">{"fdsup://Directions/FactSet Auditing Viewer?action=AUDIT_VALUE&amp;DB=129&amp;ID1=G3727Q10&amp;VALUEID=01001&amp;SDATE=201101&amp;PERIODTYPE=QTR_STD&amp;SCFT=3&amp;window=popup_no_bar&amp;width=385&amp;height=120&amp;START_MAXIMIZED=FALSE&amp;creator=factset&amp;display_string=Audit"}</definedName>
    <definedName name="_305__FDSAUDITLINK__" hidden="1">{"fdsup://Directions/FactSet Auditing Viewer?action=AUDIT_VALUE&amp;DB=129&amp;ID1=625102&amp;VALUEID=01001&amp;SDATE=201002&amp;PERIODTYPE=QTR_STD&amp;SCFT=3&amp;window=popup_no_bar&amp;width=385&amp;height=120&amp;START_MAXIMIZED=FALSE&amp;creator=factset&amp;display_string=Audit"}</definedName>
    <definedName name="_306__FDSAUDITLINK__" hidden="1">{"fdsup://directions/FAT Viewer?action=UPDATE&amp;creator=factset&amp;DYN_ARGS=TRUE&amp;DOC_NAME=FAT:FQL_AUDITING_CLIENT_TEMPLATE.FAT&amp;display_string=Audit&amp;VAR:KEY=BGJYTIFMPY&amp;VAR:QUERY=KCgoKEZGX1NITERSU19FUShRVFIsMCwsLFJTLFVTRClAKEZGX0xJQUJTX1NITERSU19FUShRVFIsMCwsLFJTL","FVTRCkgLSBGRl9MSUFCUyhRVFIsMCwsLFJTLFVTRCkpKSlAKChGRl9TSExEUlNfRVEoU0VNSSwwLCwsUlMsVVNEKUAoRkZfTElBQlNfU0hMRFJTX0VRKFNFTUksMCwsLFJTLFVTRCkgLSBGRl9MSUFCUyhTRU1JLDAsLCxSUyxVU0QpKSkpKUBGRl9TSExEUlNfRVEoQU5OLDAsLCxSUyxVU0QpKQ==&amp;WINDOW=FIRST_POPUP&amp;HEIGHT=450&amp;W","IDTH=450&amp;START_MAXIMIZED=FALSE&amp;VAR:CALENDAR=US&amp;VAR:SYMBOL=RMBS&amp;VAR:INDEX=0"}</definedName>
    <definedName name="_307__FDSAUDITLINK__" hidden="1">{"fdsup://directions/FAT Viewer?action=UPDATE&amp;creator=factset&amp;DYN_ARGS=TRUE&amp;DOC_NAME=FAT:FQL_AUDITING_CLIENT_TEMPLATE.FAT&amp;display_string=Audit&amp;VAR:KEY=HYPKNQTIDU&amp;VAR:QUERY=KChGRl9TQUxFUyhMVE0sMCwsLFJGLFVTRClARkZfU0FMRVMoTFRNU19TRU1JLDAsLCxSRixVU0QpKUBGRl9TQ","UxFUyhBTk4sMCwsLFJGLFVTRCkp&amp;WINDOW=FIRST_POPUP&amp;HEIGHT=450&amp;WIDTH=450&amp;START_MAXIMIZED=FALSE&amp;VAR:CALENDAR=US&amp;VAR:SYMBOL=FSL&amp;VAR:INDEX=0"}</definedName>
    <definedName name="_308__FDSAUDITLINK__" hidden="1">{"fdsup://directions/FAT Viewer?action=UPDATE&amp;creator=factset&amp;DYN_ARGS=TRUE&amp;DOC_NAME=FAT:FQL_AUDITING_CLIENT_TEMPLATE.FAT&amp;display_string=Audit&amp;VAR:KEY=ROBWJIFYHW&amp;VAR:QUERY=KChGRl9ERUJUKFFUUiwwLCwsUkYsVVNEKUBGRl9ERUJUKFNFTUksMCwsLFJGLFVTRCkpQEZGX0RFQlQoQU5OL","DAsLCxSRixVU0QpKQ==&amp;WINDOW=FIRST_POPUP&amp;HEIGHT=450&amp;WIDTH=450&amp;START_MAXIMIZED=FALSE&amp;VAR:CALENDAR=US&amp;VAR:SYMBOL=TSRA&amp;VAR:INDEX=0"}</definedName>
    <definedName name="_309__FDSAUDITLINK__" hidden="1">{"fdsup://directions/FAT Viewer?action=UPDATE&amp;creator=factset&amp;DYN_ARGS=TRUE&amp;DOC_NAME=FAT:FQL_AUDITING_CLIENT_TEMPLATE.FAT&amp;display_string=Audit&amp;VAR:KEY=PWJABWJIFE&amp;VAR:QUERY=KCgoKChGRl9JTlRfRVhQX0RFQlQoTFRNLDAsLCxSRixVU0QpQEZGX0lOVF9FWFBfVE9UKExUTSwwLCwsUkYsV","VNEKSlARkZfSU5UX0VYUF9ERUJUKExUTVNfU0VNSSwwLCwsUkYsVVNEKSlARkZfSU5UX0VYUF9UT1QoTFRNU19TRU1JLDAsLCxSRixVU0QpKUBGRl9JTlRfRVhQX0RFQlQoQU5OLDAsLCxSRixVU0QpKUBGRl9JTlRfRVhQX1RPVChBTk4sMCwsLFJGLFVTRCkp&amp;WINDOW=FIRST_POPUP&amp;HEIGHT=450&amp;WIDTH=450&amp;START_MAXIMIZED=FAL","SE&amp;VAR:CALENDAR=US&amp;VAR:SYMBOL=RMBS&amp;VAR:INDEX=0"}</definedName>
    <definedName name="_31__123Graph_XChart_4" hidden="1">#REF!</definedName>
    <definedName name="_31__FDSAUDITLINK__" hidden="1">{"fdsup://Directions/FactSet Auditing Viewer?action=AUDIT_VALUE&amp;DB=129&amp;ID1=74972G10&amp;VALUEID=01001&amp;SDATE=201101&amp;PERIODTYPE=QTR_STD&amp;SCFT=3&amp;window=popup_no_bar&amp;width=385&amp;height=120&amp;START_MAXIMIZED=FALSE&amp;creator=factset&amp;display_string=Audit"}</definedName>
    <definedName name="_310__FDSAUDITLINK__" hidden="1">{"fdsup://Directions/FactSet Auditing Viewer?action=AUDIT_VALUE&amp;DB=129&amp;ID1=74752510&amp;VALUEID=02001&amp;SDATE=201202&amp;PERIODTYPE=QTR_STD&amp;SCFT=3&amp;window=popup_no_bar&amp;width=385&amp;height=120&amp;START_MAXIMIZED=FALSE&amp;creator=factset&amp;display_string=Audit"}</definedName>
    <definedName name="_311__FDSAUDITLINK__" hidden="1">{"fdsup://directions/FAT Viewer?action=UPDATE&amp;creator=factset&amp;DYN_ARGS=TRUE&amp;DOC_NAME=FAT:FQL_AUDITING_CLIENT_TEMPLATE.FAT&amp;display_string=Audit&amp;VAR:KEY=CDSZIXIFYD&amp;VAR:QUERY=KChGRl9ORVRfSU5DKExUTSwwLCwsUkYsVVNEKUBGRl9ORVRfSU5DKExUTVNfU0VNSSwwLCwsUkYsVVNEKSlAR","kZfTkVUX0lOQyhBTk4sMCwsLFJGLFVTRCkp&amp;WINDOW=FIRST_POPUP&amp;HEIGHT=450&amp;WIDTH=450&amp;START_MAXIMIZED=FALSE&amp;VAR:CALENDAR=US&amp;VAR:SYMBOL=625102&amp;VAR:INDEX=0"}</definedName>
    <definedName name="_312__FDSAUDITLINK__" hidden="1">{"fdsup://Directions/FactSet Auditing Viewer?action=AUDIT_VALUE&amp;DB=129&amp;ID1=223093&amp;VALUEID=02001&amp;SDATE=201201&amp;PERIODTYPE=QTR_STD&amp;SCFT=3&amp;window=popup_no_bar&amp;width=385&amp;height=120&amp;START_MAXIMIZED=FALSE&amp;creator=factset&amp;display_string=Audit"}</definedName>
    <definedName name="_313__FDSAUDITLINK__" hidden="1">{"fdsup://Directions/FactSet Auditing Viewer?action=AUDIT_VALUE&amp;DB=129&amp;ID1=74972G10&amp;VALUEID=02001&amp;SDATE=201201&amp;PERIODTYPE=QTR_STD&amp;SCFT=3&amp;window=popup_no_bar&amp;width=385&amp;height=120&amp;START_MAXIMIZED=FALSE&amp;creator=factset&amp;display_string=Audit"}</definedName>
    <definedName name="_314__FDSAUDITLINK__" hidden="1">{"fdsup://Directions/FactSet Auditing Viewer?action=AUDIT_VALUE&amp;DB=129&amp;ID1=75091710&amp;VALUEID=07011&amp;SDATE=2011&amp;PERIODTYPE=ANN_STD&amp;SCFT=3&amp;window=popup_no_bar&amp;width=385&amp;height=120&amp;START_MAXIMIZED=FALSE&amp;creator=factset&amp;display_string=Audit"}</definedName>
    <definedName name="_315__FDSAUDITLINK__" hidden="1">{"fdsup://Directions/FactSet Auditing Viewer?action=AUDIT_VALUE&amp;DB=129&amp;ID1=75091710&amp;VALUEID=01001&amp;SDATE=201101&amp;PERIODTYPE=QTR_STD&amp;SCFT=3&amp;window=popup_no_bar&amp;width=385&amp;height=120&amp;START_MAXIMIZED=FALSE&amp;creator=factset&amp;display_string=Audit"}</definedName>
    <definedName name="_316__FDSAUDITLINK__" hidden="1">{"fdsup://Directions/FactSet Auditing Viewer?action=AUDIT_VALUE&amp;DB=129&amp;ID1=88164L10&amp;VALUEID=01001&amp;SDATE=201201&amp;PERIODTYPE=QTR_STD&amp;SCFT=3&amp;window=popup_no_bar&amp;width=385&amp;height=120&amp;START_MAXIMIZED=FALSE&amp;creator=factset&amp;display_string=Audit"}</definedName>
    <definedName name="_317__FDSAUDITLINK__" hidden="1">{"fdsup://directions/FAT Viewer?action=UPDATE&amp;creator=factset&amp;DYN_ARGS=TRUE&amp;DOC_NAME=FAT:FQL_AUDITING_CLIENT_TEMPLATE.FAT&amp;display_string=Audit&amp;VAR:KEY=CNUVKVKDCV&amp;VAR:QUERY=KChGRl9ORVRfSU5DKExUTSwwLCwsUkYsVVNEKUBGRl9ORVRfSU5DKExUTVNfU0VNSSwwLCwsUkYsVVNEKSlAR","kZfTkVUX0lOQyhBTk4sMCwsLFJGLFVTRCkp&amp;WINDOW=FIRST_POPUP&amp;HEIGHT=450&amp;WIDTH=450&amp;START_MAXIMIZED=FALSE&amp;VAR:CALENDAR=US&amp;VAR:INDEX=0"}</definedName>
    <definedName name="_318__FDSAUDITLINK__" hidden="1">{"fdsup://directions/FAT Viewer?action=UPDATE&amp;creator=factset&amp;DYN_ARGS=TRUE&amp;DOC_NAME=FAT:FQL_AUDITING_CLIENT_TEMPLATE.FAT&amp;display_string=Audit&amp;VAR:KEY=HKZEFGZAHI&amp;VAR:QUERY=KCgoKEZGX1NITERSU19FUShRVFIsMCwsLFJTLFVTRClAKEZGX0xJQUJTX1NITERSU19FUShRVFIsMCwsLFJTL","FVTRCkgLSBGRl9MSUFCUyhRVFIsMCwsLFJTLFVTRCkpKSlAKChGRl9TSExEUlNfRVEoU0VNSSwwLCwsUlMsVVNEKUAoRkZfTElBQlNfU0hMRFJTX0VRKFNFTUksMCwsLFJTLFVTRCkgLSBGRl9MSUFCUyhTRU1JLDAsLCxSUyxVU0QpKSkpKUBGRl9TSExEUlNfRVEoQU5OLDAsLCxSUyxVU0QpKQ==&amp;WINDOW=FIRST_POPUP&amp;HEIGHT=450&amp;W","IDTH=450&amp;START_MAXIMIZED=FALSE&amp;VAR:CALENDAR=US&amp;VAR:SYMBOL=MOSY&amp;VAR:INDEX=0"}</definedName>
    <definedName name="_319__FDSAUDITLINK__" hidden="1">{"fdsup://directions/FAT Viewer?action=UPDATE&amp;creator=factset&amp;DYN_ARGS=TRUE&amp;DOC_NAME=FAT:FQL_AUDITING_CLIENT_TEMPLATE.FAT&amp;display_string=Audit&amp;VAR:KEY=SRSRUTAJYT&amp;VAR:QUERY=RkZfU0FMRVMoTFRNLDEyLzMxLzIwMDcsLCxSRixVU0Qp&amp;WINDOW=FIRST_POPUP&amp;HEIGHT=450&amp;WIDTH=450&amp;","START_MAXIMIZED=FALSE&amp;VAR:CALENDAR=US&amp;VAR:SYMBOL=MIPS&amp;VAR:INDEX=0"}</definedName>
    <definedName name="_32__123Graph_XChart_5" hidden="1">#REF!</definedName>
    <definedName name="_32__FDSAUDITLINK__" hidden="1">{"fdsup://directions/FAT Viewer?action=UPDATE&amp;creator=factset&amp;DYN_ARGS=TRUE&amp;DOC_NAME=FAT:FQL_AUDITING_CLIENT_TEMPLATE.FAT&amp;display_string=Audit&amp;VAR:KEY=LMTYLWJQZO&amp;VAR:QUERY=KEZGX0NPTV9TSFNfT1VUKE1PTiwwLCwsUkYsVVNEKUBQX0NPTV9TSFNfT1VUKDApKQ==&amp;WINDOW=FIRST_POP","UP&amp;HEIGHT=450&amp;WIDTH=450&amp;START_MAXIMIZED=FALSE&amp;VAR:CALENDAR=US&amp;VAR:SYMBOL=260509&amp;VAR:INDEX=0"}</definedName>
    <definedName name="_320__FDSAUDITLINK__" hidden="1">{"fdsup://directions/FAT Viewer?action=UPDATE&amp;creator=factset&amp;DYN_ARGS=TRUE&amp;DOC_NAME=FAT:FQL_AUDITING_CLIENT_TEMPLATE.FAT&amp;display_string=Audit&amp;VAR:KEY=NGFCTEJMZW&amp;VAR:QUERY=KChGRl9ERUJUKFFUUiwwLCwsUkYsVVNEKUBGRl9ERUJUKFNFTUksMCwsLFJGLFVTRCkpQEZGX0RFQlQoQU5OL","DAsLCxSRixVU0QpKQ==&amp;WINDOW=FIRST_POPUP&amp;HEIGHT=450&amp;WIDTH=450&amp;START_MAXIMIZED=FALSE&amp;VAR:CALENDAR=US&amp;VAR:SYMBOL=ACTG&amp;VAR:INDEX=0"}</definedName>
    <definedName name="_321__FDSAUDITLINK__" hidden="1">{"fdsup://Directions/FactSet Auditing Viewer?action=AUDIT_VALUE&amp;DB=129&amp;ID1=88164L10&amp;VALUEID=01001&amp;SDATE=201101&amp;PERIODTYPE=QTR_STD&amp;SCFT=3&amp;window=popup_no_bar&amp;width=385&amp;height=120&amp;START_MAXIMIZED=FALSE&amp;creator=factset&amp;display_string=Audit"}</definedName>
    <definedName name="_322__FDSAUDITLINK__" hidden="1">{"fdsup://directions/FAT Viewer?action=UPDATE&amp;creator=factset&amp;DYN_ARGS=TRUE&amp;DOC_NAME=FAT:FQL_AUDITING_CLIENT_TEMPLATE.FAT&amp;display_string=Audit&amp;VAR:KEY=BQRKRWJARK&amp;VAR:QUERY=KChGRl9ERUJUKFFUUiwwLCwsUkYsVVNEKUBGRl9ERUJUKFNFTUksMCwsLFJGLFVTRCkpQEZGX0RFQlQoQU5OL","DAsLCxSRixVU0QpKQ==&amp;WINDOW=FIRST_POPUP&amp;HEIGHT=450&amp;WIDTH=450&amp;START_MAXIMIZED=FALSE&amp;VAR:CALENDAR=US&amp;VAR:INDEX=0"}</definedName>
    <definedName name="_323__FDSAUDITLINK__" hidden="1">{"fdsup://directions/FAT Viewer?action=UPDATE&amp;creator=factset&amp;DYN_ARGS=TRUE&amp;DOC_NAME=FAT:FQL_AUDITING_CLIENT_TEMPLATE.FAT&amp;display_string=Audit&amp;VAR:KEY=KDWPOXONCT&amp;VAR:QUERY=KCgoKEZGX1NITERSU19FUShRVFIsMCwsLFJTLFVTRClAKEZGX0xJQUJTX1NITERSU19FUShRVFIsMCwsLFJTL","FVTRCkgLSBGRl9MSUFCUyhRVFIsMCwsLFJTLFVTRCkpKSlAKChGRl9TSExEUlNfRVEoU0VNSSwwLCwsUlMsVVNEKUAoRkZfTElBQlNfU0hMRFJTX0VRKFNFTUksMCwsLFJTLFVTRCkgLSBGRl9MSUFCUyhTRU1JLDAsLCxSUyxVU0QpKSkpKUBGRl9TSExEUlNfRVEoQU5OLDAsLCxSUyxVU0QpKQ==&amp;WINDOW=FIRST_POPUP&amp;HEIGHT=450&amp;W","IDTH=450&amp;START_MAXIMIZED=FALSE&amp;VAR:CALENDAR=US&amp;VAR:SYMBOL=093031&amp;VAR:INDEX=0"}</definedName>
    <definedName name="_324__FDSAUDITLINK__" hidden="1">{"fdsup://directions/FAT Viewer?action=UPDATE&amp;creator=factset&amp;DYN_ARGS=TRUE&amp;DOC_NAME=FAT:FQL_AUDITING_CLIENT_TEMPLATE.FAT&amp;display_string=Audit&amp;VAR:KEY=TGRSTYLEXW&amp;VAR:QUERY=KChGRl9FQklUREEoTFRNLDAsLCxSRixVU0QpQEZGX0VCSVREQShMVE1TX1NFTUksMCwsLFJGLFVTRCkpQEZGX","0VCSVREQShBTk4sMCwsLFJGLFVTRCkp&amp;WINDOW=FIRST_POPUP&amp;HEIGHT=450&amp;WIDTH=450&amp;START_MAXIMIZED=FALSE&amp;VAR:CALENDAR=US&amp;VAR:SYMBOL=QCOM&amp;VAR:INDEX=0"}</definedName>
    <definedName name="_325__FDSAUDITLINK__" hidden="1">{"fdsup://Directions/FactSet Auditing Viewer?action=AUDIT_VALUE&amp;DB=129&amp;ID1=61971810&amp;VALUEID=07011&amp;SDATE=2011&amp;PERIODTYPE=ANN_STD&amp;SCFT=3&amp;window=popup_no_bar&amp;width=385&amp;height=120&amp;START_MAXIMIZED=FALSE&amp;creator=factset&amp;display_string=Audit"}</definedName>
    <definedName name="_326__FDSAUDITLINK__" hidden="1">{"fdsup://directions/FAT Viewer?action=UPDATE&amp;creator=factset&amp;DYN_ARGS=TRUE&amp;DOC_NAME=FAT:FQL_AUDITING_CLIENT_TEMPLATE.FAT&amp;display_string=Audit&amp;VAR:KEY=FUDANMLKLU&amp;VAR:QUERY=KChGRl9HUk9TU19JTkMoTFRNLDAsLCxSRixVU0QpQEZGX0dST1NTX0lOQyhMVE1TX1NFTUksMCwsLFJGLFVTR","CkpQEZGX1NBTEVTKEFOTiwwLCwsUkYsVVNEKSk=&amp;WINDOW=FIRST_POPUP&amp;HEIGHT=450&amp;WIDTH=450&amp;START_MAXIMIZED=FALSE&amp;VAR:CALENDAR=US&amp;VAR:SYMBOL=QCOM&amp;VAR:INDEX=0"}</definedName>
    <definedName name="_327__FDSAUDITLINK__" hidden="1">{"fdsup://directions/FAT Viewer?action=UPDATE&amp;creator=factset&amp;DYN_ARGS=TRUE&amp;DOC_NAME=FAT:FQL_AUDITING_CLIENT_TEMPLATE.FAT&amp;display_string=Audit&amp;VAR:KEY=YPADYVUXQJ&amp;VAR:QUERY=KCgoKEZGX1NITERSU19FUShRVFIsMCwsLFJTLFVTRClAKEZGX0xJQUJTX1NITERSU19FUShRVFIsMCwsLFJTL","FVTRCkgLSBGRl9MSUFCUyhRVFIsMCwsLFJTLFVTRCkpKSlAKChGRl9TSExEUlNfRVEoU0VNSSwwLCwsUlMsVVNEKUAoRkZfTElBQlNfU0hMRFJTX0VRKFNFTUksMCwsLFJTLFVTRCkgLSBGRl9MSUFCUyhTRU1JLDAsLCxSUyxVU0QpKSkpKUBGRl9TSExEUlNfRVEoQU5OLDAsLCxSUyxVU0QpKQ==&amp;WINDOW=FIRST_POPUP&amp;HEIGHT=450&amp;W","IDTH=450&amp;START_MAXIMIZED=FALSE&amp;VAR:CALENDAR=US&amp;VAR:SYMBOL=260509&amp;VAR:INDEX=0"}</definedName>
    <definedName name="_328__FDSAUDITLINK__" hidden="1">{"fdsup://directions/FAT Viewer?action=UPDATE&amp;creator=factset&amp;DYN_ARGS=TRUE&amp;DOC_NAME=FAT:FQL_AUDITING_CLIENT_TEMPLATE.FAT&amp;display_string=Audit&amp;VAR:KEY=PEDMNGVOLW&amp;VAR:QUERY=KChGRl9TQUxFUyhMVE0sMCwsLFJGLFVTRClARkZfU0FMRVMoTFRNU19TRU1JLDAsLCxSRixVU0QpKUBGRl9TQ","UxFUyhBTk4sMCwsLFJGLFVTRCkp&amp;WINDOW=FIRST_POPUP&amp;HEIGHT=450&amp;WIDTH=450&amp;START_MAXIMIZED=FALSE&amp;VAR:CALENDAR=US&amp;VAR:SYMBOL=QCOM&amp;VAR:INDEX=0"}</definedName>
    <definedName name="_329__FDSAUDITLINK__" hidden="1">{"fdsup://directions/FAT Viewer?action=UPDATE&amp;creator=factset&amp;DYN_ARGS=TRUE&amp;DOC_NAME=FAT:FQL_AUDITING_CLIENT_TEMPLATE.FAT&amp;display_string=Audit&amp;VAR:KEY=HYDMFUFUZW&amp;VAR:QUERY=KEZGX0VCSVREQShMVE0sMTIvMzEvMjAxMCwsLFJGLFVTRClARkZfRUJJVERBX0lCKExUTSwxMi8zMS8yMDEwL","CwsUkYsVVNEKSk=&amp;WINDOW=FIRST_POPUP&amp;HEIGHT=450&amp;WIDTH=450&amp;START_MAXIMIZED=FALSE&amp;VAR:CALENDAR=US&amp;VAR:SYMBOL=ACTG&amp;VAR:INDEX=0"}</definedName>
    <definedName name="_32solver_rh¤" hidden="1">4</definedName>
    <definedName name="_33__123Graph_XChart_6" hidden="1">#REF!</definedName>
    <definedName name="_33__FDSAUDITLINK__" hidden="1">{"fdsup://directions/FAT Viewer?action=UPDATE&amp;creator=factset&amp;DYN_ARGS=TRUE&amp;DOC_NAME=FAT:FQL_AUDITING_CLIENT_TEMPLATE.FAT&amp;display_string=Audit&amp;VAR:KEY=VAFWXKVSNS&amp;VAR:QUERY=KCgoKChGRl9JTlRfRVhQX0RFQlQoTFRNLDAsLCxSRixVU0QpQEZGX0lOVF9FWFBfVE9UKExUTSwwLCwsUkYsV","VNEKSlARkZfSU5UX0VYUF9ERUJUKExUTVNfU0VNSSwwLCwsUkYsVVNEKSlARkZfSU5UX0VYUF9UT1QoTFRNU19TRU1JLDAsLCxSRixVU0QpKUBGRl9JTlRfRVhQX0RFQlQoQU5OLDAsLCxSRixVU0QpKUBGRl9JTlRfRVhQX1RPVChBTk4sMCwsLFJGLFVTRCkp&amp;WINDOW=FIRST_POPUP&amp;HEIGHT=450&amp;WIDTH=450&amp;START_MAXIMIZED=FAL","SE&amp;VAR:CALENDAR=US&amp;VAR:SYMBOL=6723&amp;VAR:INDEX=0"}</definedName>
    <definedName name="_330__FDSAUDITLINK__" hidden="1">{"fdsup://directions/FAT Viewer?action=UPDATE&amp;creator=factset&amp;DYN_ARGS=TRUE&amp;DOC_NAME=FAT:FQL_AUDITING_CLIENT_TEMPLATE.FAT&amp;display_string=Audit&amp;VAR:KEY=HALILIJQBE&amp;VAR:QUERY=KChGRl9ERUJUKFFUUiwwLCwsUkYsVVNEKUBGRl9ERUJUKFNFTUksMCwsLFJGLFVTRCkpQEZGX0RFQlQoQU5OL","DAsLCxSRixVU0QpKQ==&amp;WINDOW=FIRST_POPUP&amp;HEIGHT=450&amp;WIDTH=450&amp;START_MAXIMIZED=FALSE&amp;VAR:CALENDAR=US&amp;VAR:SYMBOL=FSL&amp;VAR:INDEX=0"}</definedName>
    <definedName name="_331__FDSAUDITLINK__" hidden="1">{"fdsup://directions/FAT Viewer?action=UPDATE&amp;creator=factset&amp;DYN_ARGS=TRUE&amp;DOC_NAME=FAT:FQL_AUDITING_CLIENT_TEMPLATE.FAT&amp;display_string=Audit&amp;VAR:KEY=YXSJGFQVOD&amp;VAR:QUERY=KChGRl9FQklUREEoTFRNLDAsLCxSRixVU0QpQEZGX0VCSVREQShMVE1TX1NFTUksMCwsLFJGLFVTRCkpQEZGX","0VCSVREQShBTk4sMCwsLFJGLFVTRCkp&amp;WINDOW=FIRST_POPUP&amp;HEIGHT=450&amp;WIDTH=450&amp;START_MAXIMIZED=FALSE&amp;VAR:CALENDAR=US&amp;VAR:INDEX=0"}</definedName>
    <definedName name="_332__FDSAUDITLINK__" hidden="1">{"fdsup://Directions/FactSet Auditing Viewer?action=AUDIT_VALUE&amp;DB=129&amp;ID1=G3727Q10&amp;VALUEID=02001&amp;SDATE=201201&amp;PERIODTYPE=QTR_STD&amp;SCFT=3&amp;window=popup_no_bar&amp;width=385&amp;height=120&amp;START_MAXIMIZED=FALSE&amp;creator=factset&amp;display_string=Audit"}</definedName>
    <definedName name="_333__FDSAUDITLINK__" hidden="1">{"fdsup://Directions/FactSet Auditing Viewer?action=AUDIT_VALUE&amp;DB=129&amp;ID1=25659T10&amp;VALUEID=01001&amp;SDATE=201102&amp;PERIODTYPE=QTR_STD&amp;SCFT=3&amp;window=popup_no_bar&amp;width=385&amp;height=120&amp;START_MAXIMIZED=FALSE&amp;creator=factset&amp;display_string=Audit"}</definedName>
    <definedName name="_334__FDSAUDITLINK__" hidden="1">{"fdsup://Directions/FactSet Auditing Viewer?action=AUDIT_VALUE&amp;DB=129&amp;ID1=093031&amp;VALUEID=07011&amp;SDATE=2010&amp;PERIODTYPE=ANN_STD&amp;SCFT=3&amp;window=popup_no_bar&amp;width=385&amp;height=120&amp;START_MAXIMIZED=FALSE&amp;creator=factset&amp;display_string=Audit"}</definedName>
    <definedName name="_335__FDSAUDITLINK__" hidden="1">{"fdsup://directions/FAT Viewer?action=UPDATE&amp;creator=factset&amp;DYN_ARGS=TRUE&amp;DOC_NAME=FAT:FQL_AUDITING_CLIENT_TEMPLATE.FAT&amp;display_string=Audit&amp;VAR:KEY=AVKLAHGVUB&amp;VAR:QUERY=KCgoKEZGX1NITERSU19FUShRVFIsMCwsLFJTLFVTRClAKEZGX0xJQUJTX1NITERSU19FUShRVFIsMCwsLFJTL","FVTRCkgLSBGRl9MSUFCUyhRVFIsMCwsLFJTLFVTRCkpKSlAKChGRl9TSExEUlNfRVEoU0VNSSwwLCwsUlMsVVNEKUAoRkZfTElBQlNfU0hMRFJTX0VRKFNFTUksMCwsLFJTLFVTRCkgLSBGRl9MSUFCUyhTRU1JLDAsLCxSUyxVU0QpKSkpKUBGRl9TSExEUlNfRVEoQU5OLDAsLCxSUyxVU0QpKQ==&amp;WINDOW=FIRST_POPUP&amp;HEIGHT=450&amp;W","IDTH=450&amp;START_MAXIMIZED=FALSE&amp;VAR:CALENDAR=US&amp;VAR:SYMBOL=223093&amp;VAR:INDEX=0"}</definedName>
    <definedName name="_336__FDSAUDITLINK__" hidden="1">{"fdsup://Directions/FactSet Auditing Viewer?action=AUDIT_VALUE&amp;DB=129&amp;ID1=60456710&amp;VALUEID=02001&amp;SDATE=201203&amp;PERIODTYPE=QTR_STD&amp;SCFT=3&amp;window=popup_no_bar&amp;width=385&amp;height=120&amp;START_MAXIMIZED=FALSE&amp;creator=factset&amp;display_string=Audit"}</definedName>
    <definedName name="_337__FDSAUDITLINK__" hidden="1">{"fdsup://directions/FAT Viewer?action=UPDATE&amp;creator=factset&amp;DYN_ARGS=TRUE&amp;DOC_NAME=FAT:FQL_AUDITING_CLIENT_TEMPLATE.FAT&amp;display_string=Audit&amp;VAR:KEY=LGPUBWVYTS&amp;VAR:QUERY=KChGRl9HUk9TU19JTkMoTFRNLDAsLCxSRixVU0QpQEZGX0dST1NTX0lOQyhMVE1TX1NFTUksMCwsLFJGLFVTR","CkpQEZGX1NBTEVTKEFOTiwwLCwsUkYsVVNEKSk=&amp;WINDOW=FIRST_POPUP&amp;HEIGHT=450&amp;WIDTH=450&amp;START_MAXIMIZED=FALSE&amp;VAR:CALENDAR=US&amp;VAR:SYMBOL=RPXC&amp;VAR:INDEX=0"}</definedName>
    <definedName name="_338__FDSAUDITLINK__" hidden="1">{"fdsup://directions/FAT Viewer?action=UPDATE&amp;creator=factset&amp;DYN_ARGS=TRUE&amp;DOC_NAME=FAT:FQL_AUDITING_CLIENT_TEMPLATE.FAT&amp;display_string=Audit&amp;VAR:KEY=FYRITORQJW&amp;VAR:QUERY=KChGRl9TQUxFUyhMVE0sMCwsLFJGLFVTRClARkZfU0FMRVMoTFRNU19TRU1JLDAsLCxSRixVU0QpKUBGRl9TQ","UxFUyhBTk4sMCwsLFJGLFVTRCkp&amp;WINDOW=FIRST_POPUP&amp;HEIGHT=450&amp;WIDTH=450&amp;START_MAXIMIZED=FALSE&amp;VAR:CALENDAR=US&amp;VAR:SYMBOL=RMBS&amp;VAR:INDEX=0"}</definedName>
    <definedName name="_339__FDSAUDITLINK__" hidden="1">{"fdsup://Directions/FactSet Auditing Viewer?action=AUDIT_VALUE&amp;DB=129&amp;ID1=223093&amp;VALUEID=01001&amp;SDATE=201101&amp;PERIODTYPE=QTR_STD&amp;SCFT=3&amp;window=popup_no_bar&amp;width=385&amp;height=120&amp;START_MAXIMIZED=FALSE&amp;creator=factset&amp;display_string=Audit"}</definedName>
    <definedName name="_33solver_va" hidden="1">27</definedName>
    <definedName name="_34__123Graph_XChart_7" hidden="1">#REF!</definedName>
    <definedName name="_34__FDSAUDITLINK__" hidden="1">{"fdsup://directions/FAT Viewer?action=UPDATE&amp;creator=factset&amp;DYN_ARGS=TRUE&amp;DOC_NAME=FAT:FQL_AUDITING_CLIENT_TEMPLATE.FAT&amp;display_string=Audit&amp;VAR:KEY=TQZIHUXSLS&amp;VAR:QUERY=KChGRl9FUFMoTFRNLDAsLCxSRixVU0QpQEZGX0VQUyhMVE1TX1NFTUksMCwsLFJGLFVTRCkpQEZGX0VQUyhBT","k4sMCwsLFJGLFVTRCkp&amp;WINDOW=FIRST_POPUP&amp;HEIGHT=450&amp;WIDTH=450&amp;START_MAXIMIZED=FALSE&amp;VAR:CALENDAR=US&amp;VAR:SYMBOL=6723&amp;VAR:INDEX=0"}</definedName>
    <definedName name="_340__FDSAUDITLINK__" hidden="1">{"fdsup://Directions/FactSet Auditing Viewer?action=AUDIT_VALUE&amp;DB=129&amp;ID1=260509&amp;VALUEID=02001&amp;SDATE=201102&amp;PERIODTYPE=QTR_STD&amp;SCFT=3&amp;window=popup_no_bar&amp;width=385&amp;height=120&amp;START_MAXIMIZED=FALSE&amp;creator=factset&amp;display_string=Audit"}</definedName>
    <definedName name="_341__FDSAUDITLINK__" hidden="1">{"fdsup://directions/FAT Viewer?action=UPDATE&amp;creator=factset&amp;DYN_ARGS=TRUE&amp;DOC_NAME=FAT:FQL_AUDITING_CLIENT_TEMPLATE.FAT&amp;display_string=Audit&amp;VAR:KEY=FOTYFYREPO&amp;VAR:QUERY=KChGRl9ERUJUKFFUUiwwLCwsUkYsVVNEKUBGRl9ERUJUKFNFTUksMCwsLFJGLFVTRCkpQEZGX0RFQlQoQU5OL","DAsLCxSRixVU0QpKQ==&amp;WINDOW=FIRST_POPUP&amp;HEIGHT=450&amp;WIDTH=450&amp;START_MAXIMIZED=FALSE&amp;VAR:CALENDAR=US&amp;VAR:SYMBOL=MOSY&amp;VAR:INDEX=0"}</definedName>
    <definedName name="_342__FDSAUDITLINK__" hidden="1">{"fdsup://directions/FAT Viewer?action=UPDATE&amp;creator=factset&amp;DYN_ARGS=TRUE&amp;DOC_NAME=FAT:FQL_AUDITING_CLIENT_TEMPLATE.FAT&amp;display_string=Audit&amp;VAR:KEY=XQBYPWNETG&amp;VAR:QUERY=KChGRl9ORVRfSU5DKExUTSwwLCwsUkYsVVNEKUBGRl9ORVRfSU5DKExUTVNfU0VNSSwwLCwsUkYsVVNEKSlAR","kZfTkVUX0lOQyhBTk4sMCwsLFJGLFVTRCkp&amp;WINDOW=FIRST_POPUP&amp;HEIGHT=450&amp;WIDTH=450&amp;START_MAXIMIZED=FALSE&amp;VAR:CALENDAR=US&amp;VAR:SYMBOL=RPXC&amp;VAR:INDEX=0"}</definedName>
    <definedName name="_343__FDSAUDITLINK__" hidden="1">{"fdsup://Directions/FactSet Auditing Viewer?action=AUDIT_VALUE&amp;DB=129&amp;ID1=260509&amp;VALUEID=01001&amp;SDATE=201002&amp;PERIODTYPE=QTR_STD&amp;SCFT=3&amp;window=popup_no_bar&amp;width=385&amp;height=120&amp;START_MAXIMIZED=FALSE&amp;creator=factset&amp;display_string=Audit"}</definedName>
    <definedName name="_344__FDSAUDITLINK__" hidden="1">{"fdsup://directions/FAT Viewer?action=UPDATE&amp;creator=factset&amp;DYN_ARGS=TRUE&amp;DOC_NAME=FAT:FQL_AUDITING_CLIENT_TEMPLATE.FAT&amp;display_string=Audit&amp;VAR:KEY=JAXWRCTYPG&amp;VAR:QUERY=KChGRl9FQklUKExUTSwwLCwsUkYsVVNEKUBGRl9FQklUKExUTVNfU0VNSSwwLCwsUkYsVVNEKSlARkZfRUJJV","ChBTk4sMCwsLFJGLFVTRCkp&amp;WINDOW=FIRST_POPUP&amp;HEIGHT=450&amp;WIDTH=450&amp;START_MAXIMIZED=FALSE&amp;VAR:CALENDAR=US&amp;VAR:SYMBOL=RPXC&amp;VAR:INDEX=0"}</definedName>
    <definedName name="_345__FDSAUDITLINK__" hidden="1">{"fdsup://directions/FAT Viewer?action=UPDATE&amp;creator=factset&amp;DYN_ARGS=TRUE&amp;DOC_NAME=FAT:FQL_AUDITING_CLIENT_TEMPLATE.FAT&amp;display_string=Audit&amp;VAR:KEY=FCBCDSREXU&amp;VAR:QUERY=KCgoKChGRl9JTlRfRVhQX0RFQlQoTFRNLDAsLCxSRixVU0QpQEZGX0lOVF9FWFBfVE9UKExUTSwwLCwsUkYsV","VNEKSlARkZfSU5UX0VYUF9ERUJUKExUTVNfU0VNSSwwLCwsUkYsVVNEKSlARkZfSU5UX0VYUF9UT1QoTFRNU19TRU1JLDAsLCxSRixVU0QpKUBGRl9JTlRfRVhQX0RFQlQoQU5OLDAsLCxSRixVU0QpKUBGRl9JTlRfRVhQX1RPVChBTk4sMCwsLFJGLFVTRCkp&amp;WINDOW=FIRST_POPUP&amp;HEIGHT=450&amp;WIDTH=450&amp;START_MAXIMIZED=FAL","SE&amp;VAR:CALENDAR=US&amp;VAR:SYMBOL=ACTG&amp;VAR:INDEX=0"}</definedName>
    <definedName name="_346__FDSAUDITLINK__" hidden="1">{"fdsup://directions/FAT Viewer?action=UPDATE&amp;creator=factset&amp;DYN_ARGS=TRUE&amp;DOC_NAME=FAT:FQL_AUDITING_CLIENT_TEMPLATE.FAT&amp;display_string=Audit&amp;VAR:KEY=BENGFGHIJU&amp;VAR:QUERY=KChGRl9FQklUREEoTFRNLDAsLCxSRixVU0QpQEZGX0VCSVREQShMVE1TX1NFTUksMCwsLFJGLFVTRCkpQEZGX","0VCSVREQShBTk4sMCwsLFJGLFVTRCkp&amp;WINDOW=FIRST_POPUP&amp;HEIGHT=450&amp;WIDTH=450&amp;START_MAXIMIZED=FALSE&amp;VAR:CALENDAR=US&amp;VAR:SYMBOL=RPXC&amp;VAR:INDEX=0"}</definedName>
    <definedName name="_347__FDSAUDITLINK__" hidden="1">{"fdsup://Directions/FactSet Auditing Viewer?action=AUDIT_VALUE&amp;DB=129&amp;ID1=74972G10&amp;VALUEID=01001&amp;SDATE=201201&amp;PERIODTYPE=QTR_STD&amp;SCFT=3&amp;window=popup_no_bar&amp;width=385&amp;height=120&amp;START_MAXIMIZED=FALSE&amp;creator=factset&amp;display_string=Audit"}</definedName>
    <definedName name="_348__FDSAUDITLINK__" hidden="1">{"fdsup://directions/FAT Viewer?action=UPDATE&amp;creator=factset&amp;DYN_ARGS=TRUE&amp;DOC_NAME=FAT:FQL_AUDITING_CLIENT_TEMPLATE.FAT&amp;display_string=Audit&amp;VAR:KEY=MZITYDCJSX&amp;VAR:QUERY=KCgoKChGRl9JTlRfRVhQX0RFQlQoTFRNLDAsLCxSRixVU0QpQEZGX0lOVF9FWFBfVE9UKExUTSwwLCwsUkYsV","VNEKSlARkZfSU5UX0VYUF9ERUJUKExUTVNfU0VNSSwwLCwsUkYsVVNEKSlARkZfSU5UX0VYUF9UT1QoTFRNU19TRU1JLDAsLCxSRixVU0QpKUBGRl9JTlRfRVhQX0RFQlQoQU5OLDAsLCxSRixVU0QpKUBGRl9JTlRfRVhQX1RPVChBTk4sMCwsLFJGLFVTRCkp&amp;WINDOW=FIRST_POPUP&amp;HEIGHT=450&amp;WIDTH=450&amp;START_MAXIMIZED=FAL","SE&amp;VAR:CALENDAR=US&amp;VAR:SYMBOL=223093&amp;VAR:INDEX=0"}</definedName>
    <definedName name="_349__FDSAUDITLINK__" hidden="1">{"fdsup://directions/FAT Viewer?action=UPDATE&amp;creator=factset&amp;DYN_ARGS=TRUE&amp;DOC_NAME=FAT:FQL_AUDITING_CLIENT_TEMPLATE.FAT&amp;display_string=Audit&amp;VAR:KEY=GBGVWLQZQX&amp;VAR:QUERY=KChGRl9ERUJUKFFUUiwwLCwsUkYsVVNEKUBGRl9ERUJUKFNFTUksMCwsLFJGLFVTRCkpQEZGX0RFQlQoQU5OL","DAsLCxSRixVU0QpKQ==&amp;WINDOW=FIRST_POPUP&amp;HEIGHT=450&amp;WIDTH=450&amp;START_MAXIMIZED=FALSE&amp;VAR:CALENDAR=US&amp;VAR:INDEX=0"}</definedName>
    <definedName name="_35__123Graph_XChart_8" hidden="1">#REF!</definedName>
    <definedName name="_35__FDSAUDITLINK__" hidden="1">{"fdsup://directions/FAT Viewer?action=UPDATE&amp;creator=factset&amp;DYN_ARGS=TRUE&amp;DOC_NAME=FAT:FQL_AUDITING_CLIENT_TEMPLATE.FAT&amp;display_string=Audit&amp;VAR:KEY=XGNCDKPKRC&amp;VAR:QUERY=KChGRl9ORVRfSU5DKExUTSwwLCwsUkYsVVNEKUBGRl9ORVRfSU5DKExUTVNfU0VNSSwwLCwsUkYsVVNEKSlAR","kZfTkVUX0lOQyhBTk4sMCwsLFJGLFVTRCkp&amp;WINDOW=FIRST_POPUP&amp;HEIGHT=450&amp;WIDTH=450&amp;START_MAXIMIZED=FALSE&amp;VAR:CALENDAR=US&amp;VAR:SYMBOL=6723&amp;VAR:INDEX=0"}</definedName>
    <definedName name="_350__FDSAUDITLINK__" hidden="1">{"fdsup://Directions/FactSet Auditing Viewer?action=AUDIT_VALUE&amp;DB=129&amp;ID1=093031&amp;VALUEID=02001&amp;SDATE=201101&amp;PERIODTYPE=SEMI_STD&amp;SCFT=3&amp;window=popup_no_bar&amp;width=385&amp;height=120&amp;START_MAXIMIZED=FALSE&amp;creator=factset&amp;display_string=Audit"}</definedName>
    <definedName name="_351__FDSAUDITLINK__" hidden="1">{"fdsup://directions/FAT Viewer?action=UPDATE&amp;creator=factset&amp;DYN_ARGS=TRUE&amp;DOC_NAME=FAT:FQL_AUDITING_CLIENT_TEMPLATE.FAT&amp;display_string=Audit&amp;VAR:KEY=KVEZYRSBCJ&amp;VAR:QUERY=KChGRl9FQklUREEoTFRNLDAsLCxSRixVU0QpQEZGX0VCSVREQShMVE1TX1NFTUksMCwsLFJGLFVTRCkpQEZGX","0VCSVREQShBTk4sMCwsLFJGLFVTRCkp&amp;WINDOW=FIRST_POPUP&amp;HEIGHT=450&amp;WIDTH=450&amp;START_MAXIMIZED=FALSE&amp;VAR:CALENDAR=US&amp;VAR:SYMBOL=093031&amp;VAR:INDEX=0"}</definedName>
    <definedName name="_352__FDSAUDITLINK__" hidden="1">{"fdsup://directions/FAT Viewer?action=UPDATE&amp;creator=factset&amp;DYN_ARGS=TRUE&amp;DOC_NAME=FAT:FQL_AUDITING_CLIENT_TEMPLATE.FAT&amp;display_string=Audit&amp;VAR:KEY=KBKLEZWDSX&amp;VAR:QUERY=KChGRl9FQklUREEoTFRNLDAsLCxSRixVU0QpQEZGX0VCSVREQShMVE1TX1NFTUksMCwsLFJGLFVTRCkpQEZGX","0VCSVREQShBTk4sMCwsLFJGLFVTRCkp&amp;WINDOW=FIRST_POPUP&amp;HEIGHT=450&amp;WIDTH=450&amp;START_MAXIMIZED=FALSE&amp;VAR:CALENDAR=US&amp;VAR:SYMBOL=223093&amp;VAR:INDEX=0"}</definedName>
    <definedName name="_353__FDSAUDITLINK__" hidden="1">{"fdsup://directions/FAT Viewer?action=UPDATE&amp;creator=factset&amp;DYN_ARGS=TRUE&amp;DOC_NAME=FAT:FQL_AUDITING_CLIENT_TEMPLATE.FAT&amp;display_string=Audit&amp;VAR:KEY=ZEFQPCDQBY&amp;VAR:QUERY=KChGRl9HUk9TU19JTkMoTFRNLDAsLCxSRixVU0QpQEZGX0dST1NTX0lOQyhMVE1TX1NFTUksMCwsLFJGLFVTR","CkpQEZGX1NBTEVTKEFOTiwwLCwsUkYsVVNEKSk=&amp;WINDOW=FIRST_POPUP&amp;HEIGHT=450&amp;WIDTH=450&amp;START_MAXIMIZED=FALSE&amp;VAR:CALENDAR=US&amp;VAR:SYMBOL=223093&amp;VAR:INDEX=0"}</definedName>
    <definedName name="_354__FDSAUDITLINK__" hidden="1">{"fdsup://Directions/FactSet Auditing Viewer?action=AUDIT_VALUE&amp;DB=129&amp;ID1=25659T10&amp;VALUEID=07011&amp;SDATE=2011&amp;PERIODTYPE=ANN_STD&amp;SCFT=3&amp;window=popup_no_bar&amp;width=385&amp;height=120&amp;START_MAXIMIZED=FALSE&amp;creator=factset&amp;display_string=Audit"}</definedName>
    <definedName name="_355__FDSAUDITLINK__" hidden="1">{"fdsup://directions/FAT Viewer?action=UPDATE&amp;creator=factset&amp;DYN_ARGS=TRUE&amp;DOC_NAME=FAT:FQL_AUDITING_CLIENT_TEMPLATE.FAT&amp;display_string=Audit&amp;VAR:KEY=YPSHADOJYL&amp;VAR:QUERY=KChGRl9TQUxFUyhMVE0sMCwsLFJGLFVTRClARkZfU0FMRVMoTFRNU19TRU1JLDAsLCxSRixVU0QpKUBGRl9TQ","UxFUyhBTk4sMCwsLFJGLFVTRCkp&amp;WINDOW=FIRST_POPUP&amp;HEIGHT=450&amp;WIDTH=450&amp;START_MAXIMIZED=FALSE&amp;VAR:CALENDAR=US&amp;VAR:SYMBOL=093031&amp;VAR:INDEX=0"}</definedName>
    <definedName name="_356__FDSAUDITLINK__" hidden="1">{"fdsup://directions/FAT Viewer?action=UPDATE&amp;creator=factset&amp;DYN_ARGS=TRUE&amp;DOC_NAME=FAT:FQL_AUDITING_CLIENT_TEMPLATE.FAT&amp;display_string=Audit&amp;VAR:KEY=XWHOHYJUHI&amp;VAR:QUERY=KChGRl9FQklUREEoTFRNLDAsLCxSRixVU0QpQEZGX0VCSVREQShMVE1TX1NFTUksMCwsLFJGLFVTRCkpQEZGX","0VCSVREQShBTk4sMCwsLFJGLFVTRCkp&amp;WINDOW=FIRST_POPUP&amp;HEIGHT=450&amp;WIDTH=450&amp;START_MAXIMIZED=FALSE&amp;VAR:CALENDAR=US&amp;VAR:SYMBOL=MOSY&amp;VAR:INDEX=0"}</definedName>
    <definedName name="_357__FDSAUDITLINK__" hidden="1">{"fdsup://directions/FAT Viewer?action=UPDATE&amp;creator=factset&amp;DYN_ARGS=TRUE&amp;DOC_NAME=FAT:FQL_AUDITING_CLIENT_TEMPLATE.FAT&amp;display_string=Audit&amp;VAR:KEY=HOFIVQJUDG&amp;VAR:QUERY=KChGRl9ERUJUKFFUUiwwLCwsUkYsVVNEKUBGRl9ERUJUKFNFTUksMCwsLFJGLFVTRCkpQEZGX0RFQlQoQU5OL","DAsLCxSRixVU0QpKQ==&amp;WINDOW=FIRST_POPUP&amp;HEIGHT=450&amp;WIDTH=450&amp;START_MAXIMIZED=FALSE&amp;VAR:CALENDAR=US&amp;VAR:SYMBOL=QCOM&amp;VAR:INDEX=0"}</definedName>
    <definedName name="_358__FDSAUDITLINK__" hidden="1">{"fdsup://Directions/FactSet Auditing Viewer?action=AUDIT_VALUE&amp;DB=129&amp;ID1=60456710&amp;VALUEID=07011&amp;SDATE=2011&amp;PERIODTYPE=ANN_STD&amp;SCFT=3&amp;window=popup_no_bar&amp;width=385&amp;height=120&amp;START_MAXIMIZED=FALSE&amp;creator=factset&amp;display_string=Audit"}</definedName>
    <definedName name="_359__FDSAUDITLINK__" hidden="1">{"fdsup://Directions/FactSet Auditing Viewer?action=AUDIT_VALUE&amp;DB=129&amp;ID1=74752510&amp;VALUEID=07011&amp;SDATE=2011&amp;PERIODTYPE=ANN_STD&amp;SCFT=3&amp;window=popup_no_bar&amp;width=385&amp;height=120&amp;START_MAXIMIZED=FALSE&amp;creator=factset&amp;display_string=Audit"}</definedName>
    <definedName name="_36__123Graph_XChart_9" hidden="1">#REF!</definedName>
    <definedName name="_36__FDSAUDITLINK__" hidden="1">{"fdsup://directions/FAT Viewer?action=UPDATE&amp;creator=factset&amp;DYN_ARGS=TRUE&amp;DOC_NAME=FAT:FQL_AUDITING_CLIENT_TEMPLATE.FAT&amp;display_string=Audit&amp;VAR:KEY=HOZUJOBKRC&amp;VAR:QUERY=KChGRl9FQklUKExUTSwwLCwsUkYsVVNEKUBGRl9FQklUKExUTVNfU0VNSSwwLCwsUkYsVVNEKSlARkZfRUJJV","ChBTk4sMCwsLFJGLFVTRCkp&amp;WINDOW=FIRST_POPUP&amp;HEIGHT=450&amp;WIDTH=450&amp;START_MAXIMIZED=FALSE&amp;VAR:CALENDAR=US&amp;VAR:SYMBOL=6723&amp;VAR:INDEX=0"}</definedName>
    <definedName name="_360__FDSAUDITLINK__" hidden="1">{"fdsup://directions/FAT Viewer?action=UPDATE&amp;creator=factset&amp;DYN_ARGS=TRUE&amp;DOC_NAME=FAT:FQL_AUDITING_CLIENT_TEMPLATE.FAT&amp;display_string=Audit&amp;VAR:KEY=XGRWPSXMPS&amp;VAR:QUERY=KCgoKEZGX1NITERSU19FUShRVFIsMCwsLFJTLFVTRClAKEZGX0xJQUJTX1NITERSU19FUShRVFIsMCwsLFJTL","FVTRCkgLSBGRl9MSUFCUyhRVFIsMCwsLFJTLFVTRCkpKSlAKChGRl9TSExEUlNfRVEoU0VNSSwwLCwsUlMsVVNEKUAoRkZfTElBQlNfU0hMRFJTX0VRKFNFTUksMCwsLFJTLFVTRCkgLSBGRl9MSUFCUyhTRU1JLDAsLCxSUyxVU0QpKSkpKUBGRl9TSExEUlNfRVEoQU5OLDAsLCxSUyxVU0QpKQ==&amp;WINDOW=FIRST_POPUP&amp;HEIGHT=450&amp;W","IDTH=450&amp;START_MAXIMIZED=FALSE&amp;VAR:CALENDAR=US&amp;VAR:SYMBOL=CEVA&amp;VAR:INDEX=0"}</definedName>
    <definedName name="_361__FDSAUDITLINK__" hidden="1">{"fdsup://Directions/FactSet Auditing Viewer?action=AUDIT_VALUE&amp;DB=129&amp;ID1=42823610&amp;VALUEID=07011&amp;SDATE=2010&amp;PERIODTYPE=ANN_STD&amp;window=popup_no_bar&amp;width=385&amp;height=120&amp;START_MAXIMIZED=FALSE&amp;creator=factset&amp;display_string=Audit"}</definedName>
    <definedName name="_362__FDSAUDITLINK__" hidden="1">{"fdsup://directions/FAT Viewer?action=UPDATE&amp;creator=factset&amp;DYN_ARGS=TRUE&amp;DOC_NAME=FAT:FQL_AUDITING_CLIENT_TEMPLATE.FAT&amp;display_string=Audit&amp;VAR:KEY=ZQDGTQTODW&amp;VAR:QUERY=KChGRl9ERUJUKFFUUiwwLCwsUkYsVVNEKUBGRl9ERUJUKFNFTUksMCwsLFJGLFVTRCkpQEZGX0RFQlQoQU5OL","DAsLCxSRixVU0QpKQ==&amp;WINDOW=FIRST_POPUP&amp;HEIGHT=450&amp;WIDTH=450&amp;START_MAXIMIZED=FALSE&amp;VAR:CALENDAR=US&amp;VAR:SYMBOL=RMBS&amp;VAR:INDEX=0"}</definedName>
    <definedName name="_363__FDSAUDITLINK__" hidden="1">{"fdsup://directions/FAT Viewer?action=UPDATE&amp;creator=factset&amp;DYN_ARGS=TRUE&amp;DOC_NAME=FAT:FQL_AUDITING_CLIENT_TEMPLATE.FAT&amp;display_string=Audit&amp;VAR:KEY=NMTIVCLUHK&amp;VAR:QUERY=KChGRl9ERUJUKFFUUiwwLCwsUkYsVVNEKUBGRl9ERUJUKFNFTUksMCwsLFJGLFVTRCkpQEZGX0RFQlQoQU5OL","DAsLCxSRixVU0QpKQ==&amp;WINDOW=FIRST_POPUP&amp;HEIGHT=450&amp;WIDTH=450&amp;START_MAXIMIZED=FALSE&amp;VAR:CALENDAR=US&amp;VAR:SYMBOL=CEVA&amp;VAR:INDEX=0"}</definedName>
    <definedName name="_364__FDSAUDITLINK__" hidden="1">{"fdsup://Directions/FactSet Auditing Viewer?action=AUDIT_VALUE&amp;DB=129&amp;ID1=15721010&amp;VALUEID=02001&amp;SDATE=201201&amp;PERIODTYPE=QTR_STD&amp;SCFT=3&amp;window=popup_no_bar&amp;width=385&amp;height=120&amp;START_MAXIMIZED=FALSE&amp;creator=factset&amp;display_string=Audit"}</definedName>
    <definedName name="_365__FDSAUDITLINK__" hidden="1">{"fdsup://Directions/FactSet Auditing Viewer?action=AUDIT_VALUE&amp;DB=129&amp;ID1=45814010&amp;VALUEID=07011&amp;SDATE=2009&amp;PERIODTYPE=ANN_STD&amp;window=popup_no_bar&amp;width=385&amp;height=120&amp;START_MAXIMIZED=FALSE&amp;creator=factset&amp;display_string=Audit"}</definedName>
    <definedName name="_366__FDSAUDITLINK__" hidden="1">{"fdsup://directions/FAT Viewer?action=UPDATE&amp;creator=factset&amp;DYN_ARGS=TRUE&amp;DOC_NAME=FAT:FQL_AUDITING_CLIENT_TEMPLATE.FAT&amp;display_string=Audit&amp;VAR:KEY=NEDMJKBELU&amp;VAR:QUERY=KCgoKEZGX1NITERSU19FUShRVFIsMCwsLFJTLFVTRClAKEZGX0xJQUJTX1NITERSU19FUShRVFIsMCwsLFJTL","FVTRCkgLSBGRl9MSUFCUyhRVFIsMCwsLFJTLFVTRCkpKSlAKChGRl9TSExEUlNfRVEoU0VNSSwwLCwsUlMsVVNEKUAoRkZfTElBQlNfU0hMRFJTX0VRKFNFTUksMCwsLFJTLFVTRCkgLSBGRl9MSUFCUyhTRU1JLDAsLCxSUyxVU0QpKSkpKUBGRl9TSExEUlNfRVEoQU5OLDAsLCxSUyxVU0QpKQ==&amp;WINDOW=FIRST_POPUP&amp;HEIGHT=450&amp;W","IDTH=450&amp;START_MAXIMIZED=FALSE&amp;VAR:CALENDAR=US&amp;VAR:SYMBOL=RPXC&amp;VAR:INDEX=0"}</definedName>
    <definedName name="_367__FDSAUDITLINK__" hidden="1">{"fdsup://directions/FAT Viewer?action=UPDATE&amp;creator=factset&amp;DYN_ARGS=TRUE&amp;DOC_NAME=FAT:FQL_AUDITING_CLIENT_TEMPLATE.FAT&amp;display_string=Audit&amp;VAR:KEY=KZEZOVKBID&amp;VAR:QUERY=KChGRl9FQklUKExUTSwwLCwsUkYsVVNEKUBGRl9FQklUKExUTVNfU0VNSSwwLCwsUkYsVVNEKSlARkZfRUJJV","ChBTk4sMCwsLFJGLFVTRCkp&amp;WINDOW=FIRST_POPUP&amp;HEIGHT=450&amp;WIDTH=450&amp;START_MAXIMIZED=FALSE&amp;VAR:CALENDAR=US&amp;VAR:SYMBOL=260509&amp;VAR:INDEX=0"}</definedName>
    <definedName name="_368__FDSAUDITLINK__" hidden="1">{"fdsup://directions/FAT Viewer?action=UPDATE&amp;creator=factset&amp;DYN_ARGS=TRUE&amp;DOC_NAME=FAT:FQL_AUDITING_CLIENT_TEMPLATE.FAT&amp;display_string=Audit&amp;VAR:KEY=LELYHEBMBM&amp;VAR:QUERY=KCgoKEZGX1NITERSU19FUShRVFIsMCwsLFJTLFVTRClAKEZGX0xJQUJTX1NITERSU19FUShRVFIsMCwsLFJTL","FVTRCkgLSBGRl9MSUFCUyhRVFIsMCwsLFJTLFVTRCkpKSlAKChGRl9TSExEUlNfRVEoU0VNSSwwLCwsUlMsVVNEKUAoRkZfTElBQlNfU0hMRFJTX0VRKFNFTUksMCwsLFJTLFVTRCkgLSBGRl9MSUFCUyhTRU1JLDAsLCxSUyxVU0QpKSkpKUBGRl9TSExEUlNfRVEoQU5OLDAsLCxSUyxVU0QpKQ==&amp;WINDOW=FIRST_POPUP&amp;HEIGHT=450&amp;W","IDTH=450&amp;START_MAXIMIZED=FALSE&amp;VAR:CALENDAR=US&amp;VAR:SYMBOL=ARMH&amp;VAR:INDEX=0"}</definedName>
    <definedName name="_369__FDSAUDITLINK__" hidden="1">{"fdsup://Directions/FactSet Auditing Viewer?action=AUDIT_VALUE&amp;DB=129&amp;ID1=26864810&amp;VALUEID=07011&amp;SDATE=2009&amp;PERIODTYPE=ANN_STD&amp;window=popup_no_bar&amp;width=385&amp;height=120&amp;START_MAXIMIZED=FALSE&amp;creator=factset&amp;display_string=Audit"}</definedName>
    <definedName name="_37__FDSAUDITLINK__" hidden="1">{"fdsup://directions/FAT Viewer?action=UPDATE&amp;creator=factset&amp;DYN_ARGS=TRUE&amp;DOC_NAME=FAT:FQL_AUDITING_CLIENT_TEMPLATE.FAT&amp;display_string=Audit&amp;VAR:KEY=LMTQPYTMTG&amp;VAR:QUERY=KChGRl9FQklUREEoTFRNLDAsLCxSRixVU0QpQEZGX0VCSVREQShMVE1TX1NFTUksMCwsLFJGLFVTRCkpQEZGX","0VCSVREQShBTk4sMCwsLFJGLFVTRCkp&amp;WINDOW=FIRST_POPUP&amp;HEIGHT=450&amp;WIDTH=450&amp;START_MAXIMIZED=FALSE&amp;VAR:CALENDAR=US&amp;VAR:SYMBOL=6723&amp;VAR:INDEX=0"}</definedName>
    <definedName name="_370__FDSAUDITLINK__" hidden="1">{"fdsup://directions/FAT Viewer?action=UPDATE&amp;creator=factset&amp;DYN_ARGS=TRUE&amp;DOC_NAME=FAT:FQL_AUDITING_CLIENT_TEMPLATE.FAT&amp;display_string=Audit&amp;VAR:KEY=UBQDKLMBQN&amp;VAR:QUERY=KChGRl9FQklUKExUTSwwLCwsUkYsVVNEKUBGRl9FQklUKExUTVNfU0VNSSwwLCwsUkYsVVNEKSlARkZfRUJJV","ChBTk4sMCwsLFJGLFVTRCkp&amp;WINDOW=FIRST_POPUP&amp;HEIGHT=450&amp;WIDTH=450&amp;START_MAXIMIZED=FALSE&amp;VAR:CALENDAR=US&amp;VAR:INDEX=0"}</definedName>
    <definedName name="_371__FDSAUDITLINK__" hidden="1">{"fdsup://directions/FAT Viewer?action=UPDATE&amp;creator=factset&amp;DYN_ARGS=TRUE&amp;DOC_NAME=FAT:FQL_AUDITING_CLIENT_TEMPLATE.FAT&amp;display_string=Audit&amp;VAR:KEY=TGNYRQRKXM&amp;VAR:QUERY=KChGRl9FQklUREEoTFRNLDAsLCxSRixVU0QpQEZGX0VCSVREQShMVE1TX1NFTUksMCwsLFJGLFVTRCkpQEZGX","0VCSVREQShBTk4sMCwsLFJGLFVTRCkp&amp;WINDOW=FIRST_POPUP&amp;HEIGHT=450&amp;WIDTH=450&amp;START_MAXIMIZED=FALSE&amp;VAR:CALENDAR=US&amp;VAR:SYMBOL=260509&amp;VAR:INDEX=0"}</definedName>
    <definedName name="_372__FDSAUDITLINK__" hidden="1">{"fdsup://Directions/FactSet Auditing Viewer?action=AUDIT_VALUE&amp;DB=129&amp;ID1=260509&amp;VALUEID=01001&amp;SDATE=2010&amp;PERIODTYPE=ANN_STD&amp;SCFT=3&amp;window=popup_no_bar&amp;width=385&amp;height=120&amp;START_MAXIMIZED=FALSE&amp;creator=factset&amp;display_string=Audit"}</definedName>
    <definedName name="_373__FDSAUDITLINK__" hidden="1">{"fdsup://Directions/FactSet Auditing Viewer?action=AUDIT_VALUE&amp;DB=129&amp;ID1=92856340&amp;VALUEID=07011&amp;SDATE=2009&amp;PERIODTYPE=ANN_STD&amp;window=popup_no_bar&amp;width=385&amp;height=120&amp;START_MAXIMIZED=FALSE&amp;creator=factset&amp;display_string=Audit"}</definedName>
    <definedName name="_374__FDSAUDITLINK__" hidden="1">{"fdsup://directions/FAT Viewer?action=UPDATE&amp;creator=factset&amp;DYN_ARGS=TRUE&amp;DOC_NAME=FAT:FQL_AUDITING_CLIENT_TEMPLATE.FAT&amp;display_string=Audit&amp;VAR:KEY=SZQJMHMPQN&amp;VAR:QUERY=KCgoKChGRl9JTlRfRVhQX0RFQlQoTFRNLDAsLCxSRixVU0QpQEZGX0lOVF9FWFBfVE9UKExUTSwwLCwsUkYsV","VNEKSlARkZfSU5UX0VYUF9ERUJUKExUTVNfU0VNSSwwLCwsUkYsVVNEKSlARkZfSU5UX0VYUF9UT1QoTFRNU19TRU1JLDAsLCxSRixVU0QpKUBGRl9JTlRfRVhQX0RFQlQoQU5OLDAsLCxSRixVU0QpKUBGRl9JTlRfRVhQX1RPVChBTk4sMCwsLFJGLFVTRCkp&amp;WINDOW=FIRST_POPUP&amp;HEIGHT=450&amp;WIDTH=450&amp;START_MAXIMIZED=FAL","SE&amp;VAR:CALENDAR=US&amp;VAR:SYMBOL=MIPS&amp;VAR:INDEX=0"}</definedName>
    <definedName name="_375__FDSAUDITLINK__" hidden="1">{"fdsup://directions/FAT Viewer?action=UPDATE&amp;creator=factset&amp;DYN_ARGS=TRUE&amp;DOC_NAME=FAT:FQL_AUDITING_CLIENT_TEMPLATE.FAT&amp;display_string=Audit&amp;VAR:KEY=LONQRUPYVU&amp;VAR:QUERY=KChGRl9ERUJUKFFUUiwwLCwsUkYsVVNEKUBGRl9ERUJUKFNFTUksMCwsLFJGLFVTRCkpQEZGX0RFQlQoQU5OL","DAsLCxSRixVU0QpKQ==&amp;WINDOW=FIRST_POPUP&amp;HEIGHT=450&amp;WIDTH=450&amp;START_MAXIMIZED=FALSE&amp;VAR:CALENDAR=US&amp;VAR:SYMBOL=MIPS&amp;VAR:INDEX=0"}</definedName>
    <definedName name="_376__FDSAUDITLINK__" hidden="1">{"fdsup://directions/FAT Viewer?action=UPDATE&amp;creator=factset&amp;DYN_ARGS=TRUE&amp;DOC_NAME=FAT:FQL_AUDITING_CLIENT_TEMPLATE.FAT&amp;display_string=Audit&amp;VAR:KEY=DUDADIPCVA&amp;VAR:QUERY=KChGRl9FQklUKExUTSwwLCwsUkYsVVNEKUBGRl9FQklUKExUTVNfU0VNSSwwLCwsUkYsVVNEKSlARkZfRUJJV","ChBTk4sMCwsLFJGLFVTRCkp&amp;WINDOW=FIRST_POPUP&amp;HEIGHT=450&amp;WIDTH=450&amp;START_MAXIMIZED=FALSE&amp;VAR:CALENDAR=US&amp;VAR:SYMBOL=ASGN&amp;VAR:INDEX=0"}</definedName>
    <definedName name="_377__FDSAUDITLINK__" hidden="1">{"fdsup://Directions/FactSet Auditing Viewer?action=AUDIT_VALUE&amp;DB=129&amp;ID1=68389X10&amp;VALUEID=07011&amp;SDATE=2009&amp;PERIODTYPE=ANN_STD&amp;window=popup_no_bar&amp;width=385&amp;height=120&amp;START_MAXIMIZED=FALSE&amp;creator=factset&amp;display_string=Audit"}</definedName>
    <definedName name="_378__FDSAUDITLINK__" hidden="1">{"fdsup://Directions/FactSet Auditing Viewer?action=AUDIT_VALUE&amp;DB=129&amp;ID1=00388130&amp;VALUEID=07011&amp;SDATE=2011&amp;PERIODTYPE=ANN_STD&amp;SCFT=3&amp;window=popup_no_bar&amp;width=385&amp;height=120&amp;START_MAXIMIZED=FALSE&amp;creator=factset&amp;display_string=Audit"}</definedName>
    <definedName name="_379__FDSAUDITLINK__" hidden="1">{"fdsup://Directions/FactSet Auditing Viewer?action=AUDIT_VALUE&amp;DB=129&amp;ID1=260509&amp;VALUEID=01001&amp;SDATE=2010&amp;PERIODTYPE=ANN_STD&amp;SCFT=3&amp;window=popup_no_bar&amp;width=385&amp;height=120&amp;START_MAXIMIZED=FALSE&amp;creator=factset&amp;display_string=Audit"}</definedName>
    <definedName name="_38__FDSAUDITLINK__" hidden="1">{"fdsup://directions/FAT Viewer?action=UPDATE&amp;creator=factset&amp;DYN_ARGS=TRUE&amp;DOC_NAME=FAT:FQL_AUDITING_CLIENT_TEMPLATE.FAT&amp;display_string=Audit&amp;VAR:KEY=VOLCLYVSNU&amp;VAR:QUERY=KChGRl9HUk9TU19JTkMoTFRNLDAsLCxSRixVU0QpQEZGX0dST1NTX0lOQyhMVE1TX1NFTUksMCwsLFJGLFVTR","CkpQEZGX1NBTEVTKEFOTiwwLCwsUkYsVVNEKSk=&amp;WINDOW=FIRST_POPUP&amp;HEIGHT=450&amp;WIDTH=450&amp;START_MAXIMIZED=FALSE&amp;VAR:CALENDAR=US&amp;VAR:SYMBOL=6723&amp;VAR:INDEX=0"}</definedName>
    <definedName name="_380__FDSAUDITLINK__" hidden="1">{"fdsup://directions/FAT Viewer?action=UPDATE&amp;creator=factset&amp;DYN_ARGS=TRUE&amp;DOC_NAME=FAT:FQL_AUDITING_CLIENT_TEMPLATE.FAT&amp;display_string=Audit&amp;VAR:KEY=NYLSRELIDO&amp;VAR:QUERY=KEZGX0VCSVREQShMVE0sMTIvMzEvMjAwNSwsLFJGLFVTRClARkZfRUJJVERBX0lCKExUTSwxMi8zMS8yMDA1L","CwsUkYsVVNEKSk=&amp;WINDOW=FIRST_POPUP&amp;HEIGHT=450&amp;WIDTH=450&amp;START_MAXIMIZED=FALSE&amp;VAR:CALENDAR=US&amp;VAR:SYMBOL=ACTG&amp;VAR:INDEX=0"}</definedName>
    <definedName name="_381__FDSAUDITLINK__" hidden="1">{"fdsup://Directions/FactSet Auditing Viewer?action=AUDIT_VALUE&amp;DB=129&amp;ID1=45920010&amp;VALUEID=07011&amp;SDATE=2009&amp;PERIODTYPE=ANN_STD&amp;window=popup_no_bar&amp;width=385&amp;height=120&amp;START_MAXIMIZED=FALSE&amp;creator=factset&amp;display_string=Audit"}</definedName>
    <definedName name="_382__FDSAUDITLINK__" hidden="1">{"fdsup://directions/FAT Viewer?action=UPDATE&amp;creator=factset&amp;DYN_ARGS=TRUE&amp;DOC_NAME=FAT:FQL_AUDITING_CLIENT_TEMPLATE.FAT&amp;display_string=Audit&amp;VAR:KEY=MZIRGRQDQT&amp;VAR:QUERY=KChGRl9FQklUKExUTSwwLCwsUkYsVVNEKUBGRl9FQklUKExUTVNfU0VNSSwwLCwsUkYsVVNEKSlARkZfRUJJV","ChBTk4sMCwsLFJGLFVTRCkp&amp;WINDOW=FIRST_POPUP&amp;HEIGHT=450&amp;WIDTH=450&amp;START_MAXIMIZED=FALSE&amp;VAR:CALENDAR=US&amp;VAR:INDEX=0"}</definedName>
    <definedName name="_383__FDSAUDITLINK__" hidden="1">{"fdsup://directions/FAT Viewer?action=UPDATE&amp;creator=factset&amp;DYN_ARGS=TRUE&amp;DOC_NAME=FAT:FQL_AUDITING_CLIENT_TEMPLATE.FAT&amp;display_string=Audit&amp;VAR:KEY=PEXODSFGVG&amp;VAR:QUERY=KChGRl9FQklUKExUTSwwLCwsUkYsVVNEKUBGRl9FQklUKExUTVNfU0VNSSwwLCwsUkYsVVNEKSlARkZfRUJJV","ChBTk4sMCwsLFJGLFVTRCkp&amp;WINDOW=FIRST_POPUP&amp;HEIGHT=450&amp;WIDTH=450&amp;START_MAXIMIZED=FALSE&amp;VAR:CALENDAR=US&amp;VAR:SYMBOL=223093&amp;VAR:INDEX=0"}</definedName>
    <definedName name="_384__FDSAUDITLINK__" hidden="1">{"fdsup://Directions/FactSet Auditing Viewer?action=AUDIT_VALUE&amp;DB=129&amp;ID1=68218910&amp;VALUEID=02001&amp;SDATE=201201&amp;PERIODTYPE=QTR_STD&amp;SCFT=3&amp;window=popup_no_bar&amp;width=385&amp;height=120&amp;START_MAXIMIZED=FALSE&amp;creator=factset&amp;display_string=Audit"}</definedName>
    <definedName name="_385__FDSAUDITLINK__" hidden="1">{"fdsup://Directions/FactSet Auditing Viewer?action=AUDIT_VALUE&amp;DB=129&amp;ID1=79466L30&amp;VALUEID=07011&amp;SDATE=2009&amp;PERIODTYPE=ANN_STD&amp;window=popup_no_bar&amp;width=385&amp;height=120&amp;START_MAXIMIZED=FALSE&amp;creator=factset&amp;display_string=Audit"}</definedName>
    <definedName name="_386__FDSAUDITLINK__" hidden="1">{"fdsup://directions/FAT Viewer?action=UPDATE&amp;creator=factset&amp;DYN_ARGS=TRUE&amp;DOC_NAME=FAT:FQL_AUDITING_CLIENT_TEMPLATE.FAT&amp;display_string=Audit&amp;VAR:KEY=VUNQFAHYFW&amp;VAR:QUERY=KCgoKChGRl9JTlRfRVhQX0RFQlQoTFRNLDAsLCxSRixVU0QpQEZGX0lOVF9FWFBfVE9UKExUTSwwLCwsUkYsV","VNEKSlARkZfSU5UX0VYUF9ERUJUKExUTVNfU0VNSSwwLCwsUkYsVVNEKSlARkZfSU5UX0VYUF9UT1QoTFRNU19TRU1JLDAsLCxSRixVU0QpKUBGRl9JTlRfRVhQX0RFQlQoQU5OLDAsLCxSRixVU0QpKUBGRl9JTlRfRVhQX1RPVChBTk4sMCwsLFJGLFVTRCkp&amp;WINDOW=FIRST_POPUP&amp;HEIGHT=450&amp;WIDTH=450&amp;START_MAXIMIZED=FAL","SE&amp;VAR:CALENDAR=US&amp;VAR:SYMBOL=RPXC&amp;VAR:INDEX=0"}</definedName>
    <definedName name="_387__FDSAUDITLINK__" hidden="1">{"fdsup://Directions/FactSet Auditing Viewer?action=AUDIT_VALUE&amp;DB=129&amp;ID1=00388130&amp;VALUEID=01001&amp;SDATE=2011&amp;PERIODTYPE=ANN_STD&amp;SCFT=3&amp;window=popup_no_bar&amp;width=385&amp;height=120&amp;START_MAXIMIZED=FALSE&amp;creator=factset&amp;display_string=Audit"}</definedName>
    <definedName name="_388__FDSAUDITLINK__" hidden="1">{"fdsup://directions/FAT Viewer?action=UPDATE&amp;creator=factset&amp;DYN_ARGS=TRUE&amp;DOC_NAME=FAT:FQL_AUDITING_CLIENT_TEMPLATE.FAT&amp;display_string=Audit&amp;VAR:KEY=RURKVABUJW&amp;VAR:QUERY=KCgoKChGRl9JTlRfRVhQX0RFQlQoTFRNLDAsLCxSRixVU0QpQEZGX0lOVF9FWFBfVE9UKExUTSwwLCwsUkYsV","VNEKSlARkZfSU5UX0VYUF9ERUJUKExUTVNfU0VNSSwwLCwsUkYsVVNEKSlARkZfSU5UX0VYUF9UT1QoTFRNU19TRU1JLDAsLCxSRixVU0QpKUBGRl9JTlRfRVhQX0RFQlQoQU5OLDAsLCxSRixVU0QpKUBGRl9JTlRfRVhQX1RPVChBTk4sMCwsLFJGLFVTRCkp&amp;WINDOW=FIRST_POPUP&amp;HEIGHT=450&amp;WIDTH=450&amp;START_MAXIMIZED=FAL","SE&amp;VAR:CALENDAR=US&amp;VAR:SYMBOL=FSL&amp;VAR:INDEX=0"}</definedName>
    <definedName name="_389__FDSAUDITLINK__" hidden="1">{"fdsup://Directions/FactSet Auditing Viewer?action=AUDIT_VALUE&amp;DB=129&amp;ID1=59491810&amp;VALUEID=07011&amp;SDATE=2010&amp;PERIODTYPE=ANN_STD&amp;window=popup_no_bar&amp;width=385&amp;height=120&amp;START_MAXIMIZED=FALSE&amp;creator=factset&amp;display_string=Audit"}</definedName>
    <definedName name="_39__FDSAUDITLINK__" hidden="1">{"fdsup://directions/FAT Viewer?action=UPDATE&amp;creator=factset&amp;DYN_ARGS=TRUE&amp;DOC_NAME=FAT:FQL_AUDITING_CLIENT_TEMPLATE.FAT&amp;display_string=Audit&amp;VAR:KEY=NKZOJOZUDE&amp;VAR:QUERY=KChGRl9TQUxFUyhMVE0sMCwsLFJGLFVTRClARkZfU0FMRVMoTFRNU19TRU1JLDAsLCxSRixVU0QpKUBGRl9TQ","UxFUyhBTk4sMCwsLFJGLFVTRCkp&amp;WINDOW=FIRST_POPUP&amp;HEIGHT=450&amp;WIDTH=450&amp;START_MAXIMIZED=FALSE&amp;VAR:CALENDAR=US&amp;VAR:SYMBOL=6723&amp;VAR:INDEX=0"}</definedName>
    <definedName name="_390__FDSAUDITLINK__" hidden="1">{"fdsup://directions/FAT Viewer?action=UPDATE&amp;creator=factset&amp;DYN_ARGS=TRUE&amp;DOC_NAME=FAT:FQL_AUDITING_CLIENT_TEMPLATE.FAT&amp;display_string=Audit&amp;VAR:KEY=DGDANARSRO&amp;VAR:QUERY=KChGRl9TQUxFUyhMVE0sMCwsLFJGLFVTRClARkZfU0FMRVMoTFRNU19TRU1JLDAsLCxSRixVU0QpKUBGRl9TQ","UxFUyhBTk4sMCwsLFJGLFVTRCkp&amp;WINDOW=FIRST_POPUP&amp;HEIGHT=450&amp;WIDTH=450&amp;START_MAXIMIZED=FALSE&amp;VAR:CALENDAR=US&amp;VAR:SYMBOL=RPXC&amp;VAR:INDEX=0"}</definedName>
    <definedName name="_391__FDSAUDITLINK__" hidden="1">{"fdsup://directions/FAT Viewer?action=UPDATE&amp;creator=factset&amp;DYN_ARGS=TRUE&amp;DOC_NAME=FAT:FQL_AUDITING_CLIENT_TEMPLATE.FAT&amp;display_string=Audit&amp;VAR:KEY=ZAXUNEJQXQ&amp;VAR:QUERY=KChGRl9TQUxFUyhMVE0sMCwsLFJGLFVTRClARkZfU0FMRVMoTFRNU19TRU1JLDAsLCxSRixVU0QpKUBGRl9TQ","UxFUyhBTk4sMCwsLFJGLFVTRCkp&amp;WINDOW=FIRST_POPUP&amp;HEIGHT=450&amp;WIDTH=450&amp;START_MAXIMIZED=FALSE&amp;VAR:CALENDAR=US&amp;VAR:SYMBOL=ACTG&amp;VAR:INDEX=0"}</definedName>
    <definedName name="_392__FDSAUDITLINK__" hidden="1">{"fdsup://directions/FAT Viewer?action=UPDATE&amp;creator=factset&amp;DYN_ARGS=TRUE&amp;DOC_NAME=FAT:FQL_AUDITING_CLIENT_TEMPLATE.FAT&amp;display_string=Audit&amp;VAR:KEY=FERMLYZADA&amp;VAR:QUERY=KChGRl9FQklUKExUTSwwLCwsUkYsVVNEKUBGRl9FQklUKExUTVNfU0VNSSwwLCwsUkYsVVNEKSlARkZfRUJJV","ChBTk4sMCwsLFJGLFVTRCkp&amp;WINDOW=FIRST_POPUP&amp;HEIGHT=450&amp;WIDTH=450&amp;START_MAXIMIZED=FALSE&amp;VAR:CALENDAR=US&amp;VAR:SYMBOL=FSL&amp;VAR:INDEX=0"}</definedName>
    <definedName name="_393__FDSAUDITLINK__" hidden="1">{"fdsup://Directions/FactSet Auditing Viewer?action=AUDIT_VALUE&amp;DB=129&amp;ID1=38259P50&amp;VALUEID=07011&amp;SDATE=2009&amp;PERIODTYPE=ANN_STD&amp;window=popup_no_bar&amp;width=385&amp;height=120&amp;START_MAXIMIZED=FALSE&amp;creator=factset&amp;display_string=Audit"}</definedName>
    <definedName name="_394__FDSAUDITLINK__" hidden="1">{"fdsup://directions/FAT Viewer?action=UPDATE&amp;creator=factset&amp;DYN_ARGS=TRUE&amp;DOC_NAME=FAT:FQL_AUDITING_CLIENT_TEMPLATE.FAT&amp;display_string=Audit&amp;VAR:KEY=VOJMVUHSVQ&amp;VAR:QUERY=KChGRl9HUk9TU19JTkMoTFRNLDAsLCxSRixVU0QpQEZGX0dST1NTX0lOQyhMVE1TX1NFTUksMCwsLFJGLFVTR","CkpQEZGX1NBTEVTKEFOTiwwLCwsUkYsVVNEKSk=&amp;WINDOW=FIRST_POPUP&amp;HEIGHT=450&amp;WIDTH=450&amp;START_MAXIMIZED=FALSE&amp;VAR:CALENDAR=US&amp;VAR:SYMBOL=MOSY&amp;VAR:INDEX=0"}</definedName>
    <definedName name="_395__FDSAUDITLINK__" hidden="1">{"fdsup://directions/FAT Viewer?action=UPDATE&amp;creator=factset&amp;DYN_ARGS=TRUE&amp;DOC_NAME=FAT:FQL_AUDITING_CLIENT_TEMPLATE.FAT&amp;display_string=Audit&amp;VAR:KEY=UHMBONIDOV&amp;VAR:QUERY=KChGRl9TQUxFUyhMVE0sMCwsLFJGLFVTRClARkZfU0FMRVMoTFRNU19TRU1JLDAsLCxSRixVU0QpKUBGRl9TQ","UxFUyhBTk4sMCwsLFJGLFVTRCkp&amp;WINDOW=FIRST_POPUP&amp;HEIGHT=450&amp;WIDTH=450&amp;START_MAXIMIZED=FALSE&amp;VAR:CALENDAR=US&amp;VAR:SYMBOL=223093&amp;VAR:INDEX=0"}</definedName>
    <definedName name="_396__FDSAUDITLINK__" hidden="1">{"fdsup://Directions/FactSet Auditing Viewer?action=AUDIT_VALUE&amp;DB=129&amp;ID1=61971810&amp;VALUEID=01001&amp;SDATE=201101&amp;PERIODTYPE=QTR_STD&amp;SCFT=3&amp;window=popup_no_bar&amp;width=385&amp;height=120&amp;START_MAXIMIZED=FALSE&amp;creator=factset&amp;display_string=Audit"}</definedName>
    <definedName name="_397__FDSAUDITLINK__" hidden="1">{"fdsup://Directions/FactSet Auditing Viewer?action=AUDIT_VALUE&amp;DB=129&amp;ID1=03783310&amp;VALUEID=07011&amp;SDATE=2010&amp;PERIODTYPE=ANN_STD&amp;window=popup_no_bar&amp;width=385&amp;height=120&amp;START_MAXIMIZED=FALSE&amp;creator=factset&amp;display_string=Audit"}</definedName>
    <definedName name="_398__FDSAUDITLINK__" hidden="1">{"fdsup://Directions/FactSet Auditing Viewer?action=AUDIT_VALUE&amp;DB=129&amp;ID1=00388130&amp;VALUEID=02001&amp;SDATE=201201&amp;PERIODTYPE=QTR_STD&amp;SCFT=3&amp;window=popup_no_bar&amp;width=385&amp;height=120&amp;START_MAXIMIZED=FALSE&amp;creator=factset&amp;display_string=Audit"}</definedName>
    <definedName name="_399__FDSAUDITLINK__" hidden="1">{"fdsup://Directions/FactSet Auditing Viewer?action=AUDIT_VALUE&amp;DB=129&amp;ID1=25659T10&amp;VALUEID=P05202&amp;SDATE=2011&amp;PERIODTYPE=ANN_STD&amp;SCFT=3&amp;window=popup_no_bar&amp;width=385&amp;height=120&amp;START_MAXIMIZED=FALSE&amp;creator=factset&amp;display_string=Audit"}</definedName>
    <definedName name="_3solver_va" hidden="1">27</definedName>
    <definedName name="_4__123Graph_AChart_12" hidden="1">#REF!</definedName>
    <definedName name="_4__123Graph_AChart_4" hidden="1">#REF!</definedName>
    <definedName name="_4__123Graph_B_FABP_L.WK1_FAB" hidden="1">#REF!</definedName>
    <definedName name="_4__FDSAUDITLINK__" hidden="1">{"fdsup://directions/FAT Viewer?action=UPDATE&amp;creator=factset&amp;DYN_ARGS=TRUE&amp;DOC_NAME=FAT:FQL_AUDITING_CLIENT_TEMPLATE.FAT&amp;display_string=Audit&amp;VAR:KEY=LMLSRIDMDY&amp;VAR:QUERY=KChGRl9ORVRfSU5DKExUTSwwLCwsUkYsVVNEKUBGRl9ORVRfSU5DKExUTVNfU0VNSSwwLCwsUkYsVVNEKSlAR","kZfTkVUX0lOQyhBTk4sMCwsLFJGLFVTRCkp&amp;WINDOW=FIRST_POPUP&amp;HEIGHT=450&amp;WIDTH=450&amp;START_MAXIMIZED=FALSE&amp;VAR:CALENDAR=US&amp;VAR:SYMBOL=TSRA&amp;VAR:INDEX=0"}</definedName>
    <definedName name="_4__FDSAUDITLINK___1" hidden="1">{"fdsup://IBCentral/FAT Viewer?action=UPDATE&amp;creator=factset&amp;DOC_NAME=fat:reuters_annual_shs_src_window.fat&amp;display_string=Audit&amp;DYN_ARGS=TRUE&amp;VAR:ID1=64118Q10&amp;VAR:RCODE=FDSSHSOUTDEPS&amp;VAR:SDATE=20071299&amp;VAR:FREQ=Y&amp;VAR:RELITEM=RF&amp;VAR:CURRENCY=&amp;VAR:CURRSOURCE","=EXSHARE&amp;VAR:NATFREQ=ANNUAL&amp;VAR:RFIELD=FINALIZED&amp;VAR:DB_TYPE=&amp;VAR:UNITS=MONTHLY&amp;window=popup&amp;width=450&amp;height=300&amp;START_MAXIMIZED=FALSE"}</definedName>
    <definedName name="_40__FDSAUDITLINK__" hidden="1">{"fdsup://Directions/FactSet Auditing Viewer?action=AUDIT_VALUE&amp;DB=129&amp;ID1=663567&amp;VALUEID=01001&amp;SDATE=201103&amp;PERIODTYPE=QTR_STD&amp;SCFT=3&amp;window=popup_no_bar&amp;width=385&amp;height=120&amp;START_MAXIMIZED=FALSE&amp;creator=factset&amp;display_string=Audit"}</definedName>
    <definedName name="_400__FDSAUDITLINK__" hidden="1">{"fdsup://directions/FAT Viewer?action=UPDATE&amp;creator=factset&amp;DYN_ARGS=TRUE&amp;DOC_NAME=FAT:FQL_AUDITING_CLIENT_TEMPLATE.FAT&amp;display_string=Audit&amp;VAR:KEY=JQRWJSLUXC&amp;VAR:QUERY=KCgoKEZGX1NITERSU19FUShRVFIsMCwsLFJTLFVTRClAKEZGX0xJQUJTX1NITERSU19FUShRVFIsMCwsLFJTL","FVTRCkgLSBGRl9MSUFCUyhRVFIsMCwsLFJTLFVTRCkpKSlAKChGRl9TSExEUlNfRVEoU0VNSSwwLCwsUlMsVVNEKUAoRkZfTElBQlNfU0hMRFJTX0VRKFNFTUksMCwsLFJTLFVTRCkgLSBGRl9MSUFCUyhTRU1JLDAsLCxSUyxVU0QpKSkpKUBGRl9TSExEUlNfRVEoQU5OLDAsLCxSUyxVU0QpKQ==&amp;WINDOW=FIRST_POPUP&amp;HEIGHT=450&amp;W","IDTH=450&amp;START_MAXIMIZED=FALSE&amp;VAR:CALENDAR=US&amp;VAR:SYMBOL=ACTG&amp;VAR:INDEX=0"}</definedName>
    <definedName name="_401__FDSAUDITLINK__" hidden="1">{"fdsup://directions/FAT Viewer?action=UPDATE&amp;creator=factset&amp;DYN_ARGS=TRUE&amp;DOC_NAME=FAT:FQL_AUDITING_CLIENT_TEMPLATE.FAT&amp;display_string=Audit&amp;VAR:KEY=HOZSRYBUZC&amp;VAR:QUERY=KCgoKEZGX1NITERSU19FUShRVFIsMCwsLFJTLFVTRClAKEZGX0xJQUJTX1NITERSU19FUShRVFIsMCwsLFJTL","FVTRCkgLSBGRl9MSUFCUyhRVFIsMCwsLFJTLFVTRCkpKSlAKChGRl9TSExEUlNfRVEoU0VNSSwwLCwsUlMsVVNEKUAoRkZfTElBQlNfU0hMRFJTX0VRKFNFTUksMCwsLFJTLFVTRCkgLSBGRl9MSUFCUyhTRU1JLDAsLCxSUyxVU0QpKSkpKUBGRl9TSExEUlNfRVEoQU5OLDAsLCxSUyxVU0QpKQ==&amp;WINDOW=FIRST_POPUP&amp;HEIGHT=450&amp;W","IDTH=450&amp;START_MAXIMIZED=FALSE&amp;VAR:CALENDAR=US&amp;VAR:SYMBOL=FSL&amp;VAR:INDEX=0"}</definedName>
    <definedName name="_402__FDSAUDITLINK__" hidden="1">{"fdsup://directions/FAT Viewer?action=UPDATE&amp;creator=factset&amp;DYN_ARGS=TRUE&amp;DOC_NAME=FAT:FQL_AUDITING_CLIENT_TEMPLATE.FAT&amp;display_string=Audit&amp;VAR:KEY=JYZKRIDCFI&amp;VAR:QUERY=KChGRl9FQklUREEoTFRNLDAsLCxSRixVU0QpQEZGX0VCSVREQShMVE1TX1NFTUksMCwsLFJGLFVTRCkpQEZGX","0VCSVREQShBTk4sMCwsLFJGLFVTRCkp&amp;WINDOW=FIRST_POPUP&amp;HEIGHT=450&amp;WIDTH=450&amp;START_MAXIMIZED=FALSE&amp;VAR:CALENDAR=US&amp;VAR:SYMBOL=ACTG&amp;VAR:INDEX=0"}</definedName>
    <definedName name="_403__FDSAUDITLINK__" hidden="1">{"fdsup://directions/FAT Viewer?action=UPDATE&amp;creator=factset&amp;DYN_ARGS=TRUE&amp;DOC_NAME=FAT:FQL_AUDITING_CLIENT_TEMPLATE.FAT&amp;display_string=Audit&amp;VAR:KEY=BWZURWBIXW&amp;VAR:QUERY=KChGRl9FQklUREEoTFRNLDAsLCxSRixVU0QpQEZGX0VCSVREQShMVE1TX1NFTUksMCwsLFJGLFVTRCkpQEZGX","0VCSVREQShBTk4sMCwsLFJGLFVTRCkp&amp;WINDOW=FIRST_POPUP&amp;HEIGHT=450&amp;WIDTH=450&amp;START_MAXIMIZED=FALSE&amp;VAR:CALENDAR=US&amp;VAR:SYMBOL=DLB&amp;VAR:INDEX=0"}</definedName>
    <definedName name="_404__FDSAUDITLINK__" hidden="1">{"fdsup://directions/FAT Viewer?action=UPDATE&amp;creator=factset&amp;DYN_ARGS=TRUE&amp;DOC_NAME=FAT:FQL_AUDITING_CLIENT_TEMPLATE.FAT&amp;display_string=Audit&amp;VAR:KEY=HYXGTYFUNY&amp;VAR:QUERY=KChGRl9FUFMoTFRNLDAsLCxSRixVU0QpQEZGX0VQUyhMVE1TX1NFTUksMCwsLFJGLFVTRCkpQEZGX0VQUyhBT","k4sMCwsLFJGLFVTRCkp&amp;WINDOW=FIRST_POPUP&amp;HEIGHT=450&amp;WIDTH=450&amp;START_MAXIMIZED=FALSE&amp;VAR:CALENDAR=US&amp;VAR:SYMBOL=TSRA&amp;VAR:INDEX=0"}</definedName>
    <definedName name="_405__FDSAUDITLINK__" hidden="1">{"fdsup://directions/FAT Viewer?action=UPDATE&amp;creator=factset&amp;DYN_ARGS=TRUE&amp;DOC_NAME=FAT:FQL_AUDITING_CLIENT_TEMPLATE.FAT&amp;display_string=Audit&amp;VAR:KEY=DUBCRYRUZE&amp;VAR:QUERY=KCgoKEZGX1NITERSU19FUShRVFIsMCwsLFJTLFVTRClAKEZGX0xJQUJTX1NITERSU19FUShRVFIsMCwsLFJTL","FVTRCkgLSBGRl9MSUFCUyhRVFIsMCwsLFJTLFVTRCkpKSlAKChGRl9TSExEUlNfRVEoU0VNSSwwLCwsUlMsVVNEKUAoRkZfTElBQlNfU0hMRFJTX0VRKFNFTUksMCwsLFJTLFVTRCkgLSBGRl9MSUFCUyhTRU1JLDAsLCxSUyxVU0QpKSkpKUBGRl9TSExEUlNfRVEoQU5OLDAsLCxSUyxVU0QpKQ==&amp;WINDOW=FIRST_POPUP&amp;HEIGHT=450&amp;W","IDTH=450&amp;START_MAXIMIZED=FALSE&amp;VAR:CALENDAR=US&amp;VAR:INDEX=0"}</definedName>
    <definedName name="_406__FDSAUDITLINK__" hidden="1">{"fdsup://directions/FAT Viewer?action=UPDATE&amp;creator=factset&amp;DYN_ARGS=TRUE&amp;DOC_NAME=FAT:FQL_AUDITING_CLIENT_TEMPLATE.FAT&amp;display_string=Audit&amp;VAR:KEY=BQRKRWJARK&amp;VAR:QUERY=KChGRl9ERUJUKFFUUiwwLCwsUkYsVVNEKUBGRl9ERUJUKFNFTUksMCwsLFJGLFVTRCkpQEZGX0RFQlQoQU5OL","DAsLCxSRixVU0QpKQ==&amp;WINDOW=FIRST_POPUP&amp;HEIGHT=450&amp;WIDTH=450&amp;START_MAXIMIZED=FALSE&amp;VAR:CALENDAR=US&amp;VAR:INDEX=0"}</definedName>
    <definedName name="_407__FDSAUDITLINK__" hidden="1">{"fdsup://Directions/FactSet Auditing Viewer?action=AUDIT_VALUE&amp;DB=129&amp;ID1=88164L10&amp;VALUEID=02001&amp;SDATE=201201&amp;PERIODTYPE=QTR_STD&amp;SCFT=3&amp;window=popup_no_bar&amp;width=385&amp;height=120&amp;START_MAXIMIZED=FALSE&amp;creator=factset&amp;display_string=Audit"}</definedName>
    <definedName name="_408__FDSAUDITLINK__" hidden="1">{"fdsup://Directions/FactSet Auditing Viewer?action=AUDIT_VALUE&amp;DB=129&amp;ID1=588950&amp;VALUEID=01001&amp;SDATE=201102&amp;PERIODTYPE=QTR_STD&amp;SCFT=3&amp;window=popup_no_bar&amp;width=385&amp;height=120&amp;START_MAXIMIZED=FALSE&amp;creator=factset&amp;display_string=Audit"}</definedName>
    <definedName name="_409__FDSAUDITLINK__" hidden="1">{"fdsup://directions/FAT Viewer?action=UPDATE&amp;creator=factset&amp;DYN_ARGS=TRUE&amp;DOC_NAME=FAT:FQL_AUDITING_CLIENT_TEMPLATE.FAT&amp;display_string=Audit&amp;VAR:KEY=UXENOBYXEP&amp;VAR:QUERY=KChGRl9FQklUKExUTSwwLCwsUkYsVVNEKUBGRl9FQklUKExUTVNfU0VNSSwwLCwsUkYsVVNEKSlARkZfRUJJV","ChBTk4sMCwsLFJGLFVTRCkp&amp;WINDOW=FIRST_POPUP&amp;HEIGHT=450&amp;WIDTH=450&amp;START_MAXIMIZED=FALSE&amp;VAR:CALENDAR=US&amp;VAR:SYMBOL=N6596X10&amp;VAR:INDEX=0"}</definedName>
    <definedName name="_41__FDSAUDITLINK__" hidden="1">{"fdsup://Directions/FactSet Auditing Viewer?action=AUDIT_VALUE&amp;DB=129&amp;ID1=663567&amp;VALUEID=01001&amp;SDATE=201004&amp;PERIODTYPE=QTR_STD&amp;SCFT=3&amp;window=popup_no_bar&amp;width=385&amp;height=120&amp;START_MAXIMIZED=FALSE&amp;creator=factset&amp;display_string=Audit"}</definedName>
    <definedName name="_410__FDSAUDITLINK__" hidden="1">{"fdsup://directions/FAT Viewer?action=UPDATE&amp;creator=factset&amp;DYN_ARGS=TRUE&amp;DOC_NAME=FAT:FQL_AUDITING_CLIENT_TEMPLATE.FAT&amp;display_string=Audit&amp;VAR:KEY=DUBCRYRUZE&amp;VAR:QUERY=KCgoKEZGX1NITERSU19FUShRVFIsMCwsLFJTLFVTRClAKEZGX0xJQUJTX1NITERSU19FUShRVFIsMCwsLFJTL","FVTRCkgLSBGRl9MSUFCUyhRVFIsMCwsLFJTLFVTRCkpKSlAKChGRl9TSExEUlNfRVEoU0VNSSwwLCwsUlMsVVNEKUAoRkZfTElBQlNfU0hMRFJTX0VRKFNFTUksMCwsLFJTLFVTRCkgLSBGRl9MSUFCUyhTRU1JLDAsLCxSUyxVU0QpKSkpKUBGRl9TSExEUlNfRVEoQU5OLDAsLCxSUyxVU0QpKQ==&amp;WINDOW=FIRST_POPUP&amp;HEIGHT=450&amp;W","IDTH=450&amp;START_MAXIMIZED=FALSE&amp;VAR:CALENDAR=US&amp;VAR:INDEX=0"}</definedName>
    <definedName name="_411__FDSAUDITLINK__" hidden="1">{"fdsup://Directions/FactSet Auditing Viewer?action=AUDIT_VALUE&amp;DB=129&amp;ID1=88164L10&amp;VALUEID=P05301&amp;SDATE=201201&amp;PERIODTYPE=QTR_STD&amp;SCFT=3&amp;window=popup_no_bar&amp;width=385&amp;height=120&amp;START_MAXIMIZED=FALSE&amp;creator=factset&amp;display_string=Audit"}</definedName>
    <definedName name="_412__FDSAUDITLINK__" hidden="1">{"fdsup://directions/FAT Viewer?action=UPDATE&amp;creator=factset&amp;DYN_ARGS=TRUE&amp;DOC_NAME=FAT:FQL_AUDITING_CLIENT_TEMPLATE.FAT&amp;display_string=Audit&amp;VAR:KEY=UBQDKLMBQN&amp;VAR:QUERY=KChGRl9FQklUKExUTSwwLCwsUkYsVVNEKUBGRl9FQklUKExUTVNfU0VNSSwwLCwsUkYsVVNEKSlARkZfRUJJV","ChBTk4sMCwsLFJGLFVTRCkp&amp;WINDOW=FIRST_POPUP&amp;HEIGHT=450&amp;WIDTH=450&amp;START_MAXIMIZED=FALSE&amp;VAR:CALENDAR=US&amp;VAR:INDEX=0"}</definedName>
    <definedName name="_413__FDSAUDITLINK__" hidden="1">{"fdsup://directions/FAT Viewer?action=UPDATE&amp;creator=factset&amp;DYN_ARGS=TRUE&amp;DOC_NAME=FAT:FQL_AUDITING_CLIENT_TEMPLATE.FAT&amp;display_string=Audit&amp;VAR:KEY=LCDCTENSDE&amp;VAR:QUERY=KChGRl9FUFMoTFRNLDAsLCxSRixVU0QpQEZGX0VQUyhMVE1TX1NFTUksMCwsLFJGLFVTRCkpQEZGX0VQUyhBT","k4sMCwsLFJGLFVTRCkp&amp;WINDOW=FIRST_POPUP&amp;HEIGHT=450&amp;WIDTH=450&amp;START_MAXIMIZED=FALSE&amp;VAR:CALENDAR=US&amp;VAR:SYMBOL=KFRC&amp;VAR:INDEX=0"}</definedName>
    <definedName name="_414__FDSAUDITLINK__" hidden="1">{"fdsup://directions/FAT Viewer?action=UPDATE&amp;creator=factset&amp;DYN_ARGS=TRUE&amp;DOC_NAME=FAT:FQL_AUDITING_CLIENT_TEMPLATE.FAT&amp;display_string=Audit&amp;VAR:KEY=OHUVMREJCB&amp;VAR:QUERY=KEZGX0NPTV9TSFNfT1VUKFFUUiwwLCwsUkYsVVNEKUBQX0NPTV9TSFNfT1VUKDApKQ==&amp;WINDOW=FIRST_POP","UP&amp;HEIGHT=450&amp;WIDTH=450&amp;START_MAXIMIZED=FALSE&amp;VAR:CALENDAR=US&amp;VAR:INDEX=0"}</definedName>
    <definedName name="_415__FDSAUDITLINK__" hidden="1">{"fdsup://directions/FAT Viewer?action=UPDATE&amp;creator=factset&amp;DYN_ARGS=TRUE&amp;DOC_NAME=FAT:FQL_AUDITING_CLIENT_TEMPLATE.FAT&amp;display_string=Audit&amp;VAR:KEY=MFINGJKBQP&amp;VAR:QUERY=KEZGX0NPTV9TSFNfT1VUKFFUUiwwLCwsUkYsVVNEKUBQX0NPTV9TSFNfT1VUKDApKQ==&amp;WINDOW=FIRST_POP","UP&amp;HEIGHT=450&amp;WIDTH=450&amp;START_MAXIMIZED=FALSE&amp;VAR:CALENDAR=US&amp;VAR:INDEX=0"}</definedName>
    <definedName name="_416__FDSAUDITLINK__" hidden="1">{"fdsup://directions/FAT Viewer?action=UPDATE&amp;creator=factset&amp;DYN_ARGS=TRUE&amp;DOC_NAME=FAT:FQL_AUDITING_CLIENT_TEMPLATE.FAT&amp;display_string=Audit&amp;VAR:KEY=YHYFIJGVUB&amp;VAR:QUERY=KChGRl9HUk9TU19JTkMoTFRNLDAsLCxSRixVU0QpQEZGX0dST1NTX0lOQyhMVE1TX1NFTUksMCwsLFJGLFVTR","CkpQEZGX1NBTEVTKEFOTiwwLCwsUkYsVVNEKSk=&amp;WINDOW=FIRST_POPUP&amp;HEIGHT=450&amp;WIDTH=450&amp;START_MAXIMIZED=FALSE&amp;VAR:CALENDAR=US&amp;VAR:SYMBOL=MIPS&amp;VAR:INDEX=0"}</definedName>
    <definedName name="_417__FDSAUDITLINK__" hidden="1">{"fdsup://directions/FAT Viewer?action=UPDATE&amp;creator=factset&amp;DYN_ARGS=TRUE&amp;DOC_NAME=FAT:FQL_AUDITING_CLIENT_TEMPLATE.FAT&amp;display_string=Audit&amp;VAR:KEY=OVKZMLIDUJ&amp;VAR:QUERY=KCgoKChGRl9JTlRfRVhQX0RFQlQoTFRNLDAsLCxSRixVU0QpQEZGX0lOVF9FWFBfVE9UKExUTSwwLCwsUkYsV","VNEKSlARkZfSU5UX0VYUF9ERUJUKExUTVNfU0VNSSwwLCwsUkYsVVNEKSlARkZfSU5UX0VYUF9UT1QoTFRNU19TRU1JLDAsLCxSRixVU0QpKUBGRl9JTlRfRVhQX0RFQlQoQU5OLDAsLCxSRixVU0QpKUBGRl9JTlRfRVhQX1RPVChBTk4sMCwsLFJGLFVTRCkp&amp;WINDOW=FIRST_POPUP&amp;HEIGHT=450&amp;WIDTH=450&amp;START_MAXIMIZED=FAL","SE&amp;VAR:CALENDAR=US&amp;VAR:SYMBOL=093031&amp;VAR:INDEX=0"}</definedName>
    <definedName name="_418__FDSAUDITLINK__" hidden="1">{"fdsup://directions/FAT Viewer?action=UPDATE&amp;creator=factset&amp;DYN_ARGS=TRUE&amp;DOC_NAME=FAT:FQL_AUDITING_CLIENT_TEMPLATE.FAT&amp;display_string=Audit&amp;VAR:KEY=WZSPYFWTCD&amp;VAR:QUERY=KCgoKEZGX1NITERSU19FUShRVFIsMCwsLFJTLFVTRClAKEZGX0xJQUJTX1NITERSU19FUShRVFIsMCwsLFJTL","FVTRCkgLSBGRl9MSUFCUyhRVFIsMCwsLFJTLFVTRCkpKSlAKChGRl9TSExEUlNfRVEoU0VNSSwwLCwsUlMsVVNEKUAoRkZfTElBQlNfU0hMRFJTX0VRKFNFTUksMCwsLFJTLFVTRCkgLSBGRl9MSUFCUyhTRU1JLDAsLCxSUyxVU0QpKSkpKUBGRl9TSExEUlNfRVEoQU5OLDAsLCxSUyxVU0QpKQ==&amp;WINDOW=FIRST_POPUP&amp;HEIGHT=450&amp;W","IDTH=450&amp;START_MAXIMIZED=FALSE&amp;VAR:CALENDAR=US&amp;VAR:SYMBOL=N6596X10&amp;VAR:INDEX=0"}</definedName>
    <definedName name="_419__FDSAUDITLINK__" hidden="1">{"fdsup://directions/FAT Viewer?action=UPDATE&amp;creator=factset&amp;DYN_ARGS=TRUE&amp;DOC_NAME=FAT:FQL_AUDITING_CLIENT_TEMPLATE.FAT&amp;display_string=Audit&amp;VAR:KEY=LYTWNGLMHC&amp;VAR:QUERY=KChGRl9ERUJUKFFUUiwwLCwsUkYsVVNEKUBGRl9ERUJUKFNFTUksMCwsLFJGLFVTRCkpQEZGX0RFQlQoQU5OL","DAsLCxSRixVU0QpKQ==&amp;WINDOW=FIRST_POPUP&amp;HEIGHT=450&amp;WIDTH=450&amp;START_MAXIMIZED=FALSE&amp;VAR:CALENDAR=US&amp;VAR:SYMBOL=223093&amp;VAR:INDEX=0"}</definedName>
    <definedName name="_42__FDSAUDITLINK__" hidden="1">{"fdsup://Directions/FactSet Auditing Viewer?action=AUDIT_VALUE&amp;DB=129&amp;ID1=663567&amp;VALUEID=07011&amp;SDATE=2010&amp;PERIODTYPE=ANN_STD&amp;SCFT=3&amp;window=popup_no_bar&amp;width=385&amp;height=120&amp;START_MAXIMIZED=FALSE&amp;creator=factset&amp;display_string=Audit"}</definedName>
    <definedName name="_420__FDSAUDITLINK__" hidden="1">{"fdsup://directions/FAT Viewer?action=UPDATE&amp;creator=factset&amp;DYN_ARGS=TRUE&amp;DOC_NAME=FAT:FQL_AUDITING_CLIENT_TEMPLATE.FAT&amp;display_string=Audit&amp;VAR:KEY=WLOVUDSXEX&amp;VAR:QUERY=KChGRl9FQklUREEoTFRNLDAsLCxSRixVU0QpQEZGX0VCSVREQShMVE1TX1NFTUksMCwsLFJGLFVTRCkpQEZGX","0VCSVREQShBTk4sMCwsLFJGLFVTRCkp&amp;WINDOW=FIRST_POPUP&amp;HEIGHT=450&amp;WIDTH=450&amp;START_MAXIMIZED=FALSE&amp;VAR:CALENDAR=US&amp;VAR:SYMBOL=588950&amp;VAR:INDEX=0"}</definedName>
    <definedName name="_421__FDSAUDITLINK__" hidden="1">{"fdsup://Directions/FactSet Auditing Viewer?action=AUDIT_VALUE&amp;DB=129&amp;ID1=68218910&amp;VALUEID=01001&amp;SDATE=201201&amp;PERIODTYPE=QTR_STD&amp;SCFT=3&amp;window=popup_no_bar&amp;width=385&amp;height=120&amp;START_MAXIMIZED=FALSE&amp;creator=factset&amp;display_string=Audit"}</definedName>
    <definedName name="_422__FDSAUDITLINK__" hidden="1">{"fdsup://directions/FAT Viewer?action=UPDATE&amp;creator=factset&amp;DYN_ARGS=TRUE&amp;DOC_NAME=FAT:FQL_AUDITING_CLIENT_TEMPLATE.FAT&amp;display_string=Audit&amp;VAR:KEY=TUVGDCJOBI&amp;VAR:QUERY=KChGRl9HUk9TU19JTkMoTFRNLDAsLCxSRixVU0QpQEZGX0dST1NTX0lOQyhMVE1TX1NFTUksMCwsLFJGLFVTR","CkpQEZGX1NBTEVTKEFOTiwwLCwsUkYsVVNEKSk=&amp;WINDOW=FIRST_POPUP&amp;HEIGHT=450&amp;WIDTH=450&amp;START_MAXIMIZED=FALSE&amp;VAR:CALENDAR=US&amp;VAR:SYMBOL=RMBS&amp;VAR:INDEX=0"}</definedName>
    <definedName name="_423__FDSAUDITLINK__" hidden="1">{"fdsup://directions/FAT Viewer?action=UPDATE&amp;creator=factset&amp;DYN_ARGS=TRUE&amp;DOC_NAME=FAT:FQL_AUDITING_CLIENT_TEMPLATE.FAT&amp;display_string=Audit&amp;VAR:KEY=OHUVMREJCB&amp;VAR:QUERY=KEZGX0NPTV9TSFNfT1VUKFFUUiwwLCwsUkYsVVNEKUBQX0NPTV9TSFNfT1VUKDApKQ==&amp;WINDOW=FIRST_POP","UP&amp;HEIGHT=450&amp;WIDTH=450&amp;START_MAXIMIZED=FALSE&amp;VAR:CALENDAR=US&amp;VAR:INDEX=0"}</definedName>
    <definedName name="_424__FDSAUDITLINK__" hidden="1">{"fdsup://Directions/FactSet Auditing Viewer?action=AUDIT_VALUE&amp;DB=129&amp;ID1=88164L10&amp;VALUEID=P05301&amp;SDATE=201201&amp;PERIODTYPE=QTR_STD&amp;SCFT=3&amp;window=popup_no_bar&amp;width=385&amp;height=120&amp;START_MAXIMIZED=FALSE&amp;creator=factset&amp;display_string=Audit"}</definedName>
    <definedName name="_425__FDSAUDITLINK__" hidden="1">{"fdsup://Directions/FactSet Auditing Viewer?action=AUDIT_VALUE&amp;DB=129&amp;ID1=588950&amp;VALUEID=P05202&amp;SDATE=2011&amp;PERIODTYPE=ANN_STD&amp;SCFT=3&amp;window=popup_no_bar&amp;width=385&amp;height=120&amp;START_MAXIMIZED=FALSE&amp;creator=factset&amp;display_string=Audit"}</definedName>
    <definedName name="_426__FDSAUDITLINK__" hidden="1">{"fdsup://Directions/FactSet Auditing Viewer?action=AUDIT_VALUE&amp;DB=129&amp;ID1=588950&amp;VALUEID=01251&amp;SDATE=2011&amp;PERIODTYPE=ANN_STD&amp;SCFT=3&amp;window=popup_no_bar&amp;width=385&amp;height=120&amp;START_MAXIMIZED=FALSE&amp;creator=factset&amp;display_string=Audit"}</definedName>
    <definedName name="_427__FDSAUDITLINK__" hidden="1">{"fdsup://Directions/FactSet Auditing Viewer?action=AUDIT_VALUE&amp;DB=129&amp;ID1=00388130&amp;VALUEID=07011&amp;SDATE=2011&amp;PERIODTYPE=ANN_STD&amp;SCFT=3&amp;window=popup_no_bar&amp;width=385&amp;height=120&amp;START_MAXIMIZED=FALSE&amp;creator=factset&amp;display_string=Audit"}</definedName>
    <definedName name="_428__FDSAUDITLINK__" hidden="1">{"fdsup://directions/FAT Viewer?action=UPDATE&amp;creator=factset&amp;DYN_ARGS=TRUE&amp;DOC_NAME=FAT:FQL_AUDITING_CLIENT_TEMPLATE.FAT&amp;display_string=Audit&amp;VAR:KEY=UPIBKTKJQL&amp;VAR:QUERY=KChGRl9FUFMoTFRNLDAsLCxSRixVU0QpQEZGX0VQUyhMVE1TX1NFTUksMCwsLFJGLFVTRCkpQEZGX0VQUyhBT","k4sMCwsLFJGLFVTRCkp&amp;WINDOW=FIRST_POPUP&amp;HEIGHT=450&amp;WIDTH=450&amp;START_MAXIMIZED=FALSE&amp;VAR:CALENDAR=US&amp;VAR:SYMBOL=N6596X10&amp;VAR:INDEX=0"}</definedName>
    <definedName name="_429__FDSAUDITLINK__" hidden="1">{"fdsup://directions/FAT Viewer?action=UPDATE&amp;creator=factset&amp;DYN_ARGS=TRUE&amp;DOC_NAME=FAT:FQL_AUDITING_CLIENT_TEMPLATE.FAT&amp;display_string=Audit&amp;VAR:KEY=RIRSLIFWLE&amp;VAR:QUERY=KChGRl9ORVRfSU5DKExUTSwwLCwsUkYsVVNEKUBGRl9ORVRfSU5DKExUTVNfU0VNSSwwLCwsUkYsVVNEKSlAR","kZfTkVUX0lOQyhBTk4sMCwsLFJGLFVTRCkp&amp;WINDOW=FIRST_POPUP&amp;HEIGHT=450&amp;WIDTH=450&amp;START_MAXIMIZED=FALSE&amp;VAR:CALENDAR=US&amp;VAR:SYMBOL=N6596X10&amp;VAR:INDEX=0"}</definedName>
    <definedName name="_43__FDSAUDITLINK__" hidden="1">{"fdsup://directions/FAT Viewer?action=UPDATE&amp;creator=factset&amp;DYN_ARGS=TRUE&amp;DOC_NAME=FAT:FQL_AUDITING_CLIENT_TEMPLATE.FAT&amp;display_string=Audit&amp;VAR:KEY=TKZMRQNAXW&amp;VAR:QUERY=KCgoKEZGX1NITERSU19FUShRVFIsMCwsLFJTLFVTRClAKEZGX0xJQUJTX1NITERSU19FUShRVFIsMCwsLFJTL","FVTRCkgLSBGRl9MSUFCUyhRVFIsMCwsLFJTLFVTRCkpKSlAKChGRl9TSExEUlNfRVEoU0VNSSwwLCwsUlMsVVNEKUAoRkZfTElBQlNfU0hMRFJTX0VRKFNFTUksMCwsLFJTLFVTRCkgLSBGRl9MSUFCUyhTRU1JLDAsLCxSUyxVU0QpKSkpKUBGRl9TSExEUlNfRVEoQU5OLDAsLCxSUyxVU0QpKQ==&amp;WINDOW=FIRST_POPUP&amp;HEIGHT=450&amp;W","IDTH=450&amp;START_MAXIMIZED=FALSE&amp;VAR:CALENDAR=US&amp;VAR:SYMBOL=6723&amp;VAR:INDEX=0"}</definedName>
    <definedName name="_430__FDSAUDITLINK__" hidden="1">{"fdsup://directions/FAT Viewer?action=UPDATE&amp;creator=factset&amp;DYN_ARGS=TRUE&amp;DOC_NAME=FAT:FQL_AUDITING_CLIENT_TEMPLATE.FAT&amp;display_string=Audit&amp;VAR:KEY=MRODWHQBQD&amp;VAR:QUERY=KCgoKChGRl9JTlRfRVhQX0RFQlQoTFRNLDAsLCxSRixVU0QpQEZGX0lOVF9FWFBfVE9UKExUTSwwLCwsUkYsV","VNEKSlARkZfSU5UX0VYUF9ERUJUKExUTVNfU0VNSSwwLCwsUkYsVVNEKSlARkZfSU5UX0VYUF9UT1QoTFRNU19TRU1JLDAsLCxSRixVU0QpKUBGRl9JTlRfRVhQX0RFQlQoQU5OLDAsLCxSRixVU0QpKUBGRl9JTlRfRVhQX1RPVChBTk4sMCwsLFJGLFVTRCkp&amp;WINDOW=FIRST_POPUP&amp;HEIGHT=450&amp;WIDTH=450&amp;START_MAXIMIZED=FAL","SE&amp;VAR:CALENDAR=US&amp;VAR:SYMBOL=68218910&amp;VAR:INDEX=0"}</definedName>
    <definedName name="_431__FDSAUDITLINK__" hidden="1">{"fdsup://Directions/FactSet Auditing Viewer?action=AUDIT_VALUE&amp;DB=129&amp;ID1=B505PN&amp;VALUEID=01001&amp;SDATE=201201&amp;PERIODTYPE=QTR_STD&amp;SCFT=3&amp;window=popup_no_bar&amp;width=385&amp;height=120&amp;START_MAXIMIZED=FALSE&amp;creator=factset&amp;display_string=Audit"}</definedName>
    <definedName name="_432__FDSAUDITLINK__" hidden="1">{"fdsup://directions/FAT Viewer?action=UPDATE&amp;creator=factset&amp;DYN_ARGS=TRUE&amp;DOC_NAME=FAT:FQL_AUDITING_CLIENT_TEMPLATE.FAT&amp;display_string=Audit&amp;VAR:KEY=VKPWLABCZC&amp;VAR:QUERY=KChGRl9FUFMoTFRNLDAsLCxSRixVU0QpQEZGX0VQUyhMVE1TX1NFTUksMCwsLFJGLFVTRCkpQEZGX0VQUyhBT","k4sMCwsLFJGLFVTRCkp&amp;WINDOW=FIRST_POPUP&amp;HEIGHT=450&amp;WIDTH=450&amp;START_MAXIMIZED=FALSE&amp;VAR:CALENDAR=US&amp;VAR:SYMBOL=68218910&amp;VAR:INDEX=0"}</definedName>
    <definedName name="_433__FDSAUDITLINK__" hidden="1">{"fdsup://directions/FAT Viewer?action=UPDATE&amp;creator=factset&amp;DYN_ARGS=TRUE&amp;DOC_NAME=FAT:FQL_AUDITING_CLIENT_TEMPLATE.FAT&amp;display_string=Audit&amp;VAR:KEY=ANUPSXSLCD&amp;VAR:QUERY=KChGRl9ORVRfSU5DKExUTSwwLCwsUkYsVVNEKUBGRl9ORVRfSU5DKExUTVNfU0VNSSwwLCwsUkYsVVNEKSlAR","kZfTkVUX0lOQyhBTk4sMCwsLFJGLFVTRCkp&amp;WINDOW=FIRST_POPUP&amp;HEIGHT=450&amp;WIDTH=450&amp;START_MAXIMIZED=FALSE&amp;VAR:CALENDAR=US&amp;VAR:SYMBOL=68218910&amp;VAR:INDEX=0"}</definedName>
    <definedName name="_434__FDSAUDITLINK__" hidden="1">{"fdsup://directions/FAT Viewer?action=UPDATE&amp;creator=factset&amp;DYN_ARGS=TRUE&amp;DOC_NAME=FAT:FQL_AUDITING_CLIENT_TEMPLATE.FAT&amp;display_string=Audit&amp;VAR:KEY=DUBCRYRUZE&amp;VAR:QUERY=KCgoKEZGX1NITERSU19FUShRVFIsMCwsLFJTLFVTRClAKEZGX0xJQUJTX1NITERSU19FUShRVFIsMCwsLFJTL","FVTRCkgLSBGRl9MSUFCUyhRVFIsMCwsLFJTLFVTRCkpKSlAKChGRl9TSExEUlNfRVEoU0VNSSwwLCwsUlMsVVNEKUAoRkZfTElBQlNfU0hMRFJTX0VRKFNFTUksMCwsLFJTLFVTRCkgLSBGRl9MSUFCUyhTRU1JLDAsLCxSUyxVU0QpKSkpKUBGRl9TSExEUlNfRVEoQU5OLDAsLCxSUyxVU0QpKQ==&amp;WINDOW=FIRST_POPUP&amp;HEIGHT=450&amp;W","IDTH=450&amp;START_MAXIMIZED=FALSE&amp;VAR:CALENDAR=US&amp;VAR:INDEX=0"}</definedName>
    <definedName name="_435__FDSAUDITLINK__" hidden="1">{"fdsup://Directions/FactSet Auditing Viewer?action=AUDIT_VALUE&amp;DB=129&amp;ID1=588950&amp;VALUEID=07011&amp;SDATE=2011&amp;PERIODTYPE=ANN_STD&amp;SCFT=3&amp;window=popup_no_bar&amp;width=385&amp;height=120&amp;START_MAXIMIZED=FALSE&amp;creator=factset&amp;display_string=Audit"}</definedName>
    <definedName name="_436__FDSAUDITLINK__" hidden="1">{"fdsup://directions/FAT Viewer?action=UPDATE&amp;creator=factset&amp;DYN_ARGS=TRUE&amp;DOC_NAME=FAT:FQL_AUDITING_CLIENT_TEMPLATE.FAT&amp;display_string=Audit&amp;VAR:KEY=LEPIRIVQXM&amp;VAR:QUERY=KChGRl9ERUJUKFFUUiwwLCwsUkYsVVNEKUBGRl9ERUJUKFNFTUksMCwsLFJGLFVTRCkpQEZGX0RFQlQoQU5OL","DAsLCxSRixVU0QpKQ==&amp;WINDOW=FIRST_POPUP&amp;HEIGHT=450&amp;WIDTH=450&amp;START_MAXIMIZED=FALSE&amp;VAR:CALENDAR=US&amp;VAR:SYMBOL=588950&amp;VAR:INDEX=0"}</definedName>
    <definedName name="_437__FDSAUDITLINK__" hidden="1">{"fdsup://Directions/FactSet Auditing Viewer?action=AUDIT_VALUE&amp;DB=129&amp;ID1=588950&amp;VALUEID=01001&amp;SDATE=2011&amp;PERIODTYPE=ANN_STD&amp;SCFT=3&amp;window=popup_no_bar&amp;width=385&amp;height=120&amp;START_MAXIMIZED=FALSE&amp;creator=factset&amp;display_string=Audit"}</definedName>
    <definedName name="_438__FDSAUDITLINK__" hidden="1">{"fdsup://Directions/FactSet Auditing Viewer?action=AUDIT_VALUE&amp;DB=129&amp;ID1=00174410&amp;VALUEID=07011&amp;SDATE=2010&amp;PERIODTYPE=ANN_STD&amp;SCFT=3&amp;window=popup_no_bar&amp;width=385&amp;height=120&amp;START_MAXIMIZED=FALSE&amp;creator=factset&amp;display_string=Audit"}</definedName>
    <definedName name="_439__FDSAUDITLINK__" hidden="1">{"fdsup://Directions/FactSet Auditing Viewer?action=AUDIT_VALUE&amp;DB=129&amp;ID1=60456710&amp;VALUEID=01001&amp;SDATE=201103&amp;PERIODTYPE=QTR_STD&amp;SCFT=3&amp;window=popup_no_bar&amp;width=385&amp;height=120&amp;START_MAXIMIZED=FALSE&amp;creator=factset&amp;display_string=Audit"}</definedName>
    <definedName name="_44__FDSAUDITLINK__" hidden="1">{"fdsup://directions/FAT Viewer?action=UPDATE&amp;creator=factset&amp;DYN_ARGS=TRUE&amp;DOC_NAME=FAT:FQL_AUDITING_CLIENT_TEMPLATE.FAT&amp;display_string=Audit&amp;VAR:KEY=VIFYBIRQDW&amp;VAR:QUERY=KChGRl9ERUJUKFFUUiwwLCwsUkYsVVNEKUBGRl9ERUJUKFNFTUksMCwsLFJGLFVTRCkpQEZGX0RFQlQoQU5OL","DAsLCxSRixVU0QpKQ==&amp;WINDOW=FIRST_POPUP&amp;HEIGHT=450&amp;WIDTH=450&amp;START_MAXIMIZED=FALSE&amp;VAR:CALENDAR=US&amp;VAR:SYMBOL=6723&amp;VAR:INDEX=0"}</definedName>
    <definedName name="_440__FDSAUDITLINK__" hidden="1">{"fdsup://directions/FAT Viewer?action=UPDATE&amp;creator=factset&amp;DYN_ARGS=TRUE&amp;DOC_NAME=FAT:FQL_AUDITING_CLIENT_TEMPLATE.FAT&amp;display_string=Audit&amp;VAR:KEY=YRUHATAFYD&amp;VAR:QUERY=KChGRl9FQklUREEoTFRNLDAsLCxSRixVU0QpQEZGX0VCSVREQShMVE1TX1NFTUksMCwsLFJGLFVTRCkpQEZGX","0VCSVREQShBTk4sMCwsLFJGLFVTRCkp&amp;WINDOW=FIRST_POPUP&amp;HEIGHT=450&amp;WIDTH=450&amp;START_MAXIMIZED=FALSE&amp;VAR:CALENDAR=US&amp;VAR:SYMBOL=CEVA&amp;VAR:INDEX=0"}</definedName>
    <definedName name="_441__FDSAUDITLINK__" hidden="1">{"fdsup://Directions/FactSet Auditing Viewer?action=AUDIT_VALUE&amp;DB=129&amp;ID1=15721010&amp;VALUEID=01001&amp;SDATE=201101&amp;PERIODTYPE=QTR_STD&amp;SCFT=3&amp;window=popup_no_bar&amp;width=385&amp;height=120&amp;START_MAXIMIZED=FALSE&amp;creator=factset&amp;display_string=Audit"}</definedName>
    <definedName name="_442__FDSAUDITLINK__" hidden="1">{"fdsup://directions/FAT Viewer?action=UPDATE&amp;creator=factset&amp;DYN_ARGS=TRUE&amp;DOC_NAME=FAT:FQL_AUDITING_CLIENT_TEMPLATE.FAT&amp;display_string=Audit&amp;VAR:KEY=FKZSJAFYNW&amp;VAR:QUERY=KChGRl9FQklUKExUTSwwLCwsUkYsVVNEKUBGRl9FQklUKExUTVNfU0VNSSwwLCwsUkYsVVNEKSlARkZfRUJJV","ChBTk4sMCwsLFJGLFVTRCkp&amp;WINDOW=FIRST_POPUP&amp;HEIGHT=450&amp;WIDTH=450&amp;START_MAXIMIZED=FALSE&amp;VAR:CALENDAR=US&amp;VAR:SYMBOL=093031&amp;VAR:INDEX=0"}</definedName>
    <definedName name="_443__FDSAUDITLINK__" hidden="1">{"fdsup://directions/FAT Viewer?action=UPDATE&amp;creator=factset&amp;DYN_ARGS=TRUE&amp;DOC_NAME=FAT:FQL_AUDITING_CLIENT_TEMPLATE.FAT&amp;display_string=Audit&amp;VAR:KEY=BAXYPITYDK&amp;VAR:QUERY=KChGRl9ORVRfSU5DKExUTSwwLCwsUkYsVVNEKUBGRl9ORVRfSU5DKExUTVNfU0VNSSwwLCwsUkYsVVNEKSlAR","kZfTkVUX0lOQyhBTk4sMCwsLFJGLFVTRCkp&amp;WINDOW=FIRST_POPUP&amp;HEIGHT=450&amp;WIDTH=450&amp;START_MAXIMIZED=FALSE&amp;VAR:CALENDAR=US&amp;VAR:SYMBOL=DLB&amp;VAR:INDEX=0"}</definedName>
    <definedName name="_444__FDSAUDITLINK__" hidden="1">{"fdsup://directions/FAT Viewer?action=UPDATE&amp;creator=factset&amp;DYN_ARGS=TRUE&amp;DOC_NAME=FAT:FQL_AUDITING_CLIENT_TEMPLATE.FAT&amp;display_string=Audit&amp;VAR:KEY=EVCDYDGNQB&amp;VAR:QUERY=RkZfRVBTKExUTSwxMi8zMS8yMDA3LCwsUkYsVVNEKQ==&amp;WINDOW=FIRST_POPUP&amp;HEIGHT=450&amp;WIDTH=450&amp;","START_MAXIMIZED=FALSE&amp;VAR:CALENDAR=US&amp;VAR:SYMBOL=MIPS&amp;VAR:INDEX=0"}</definedName>
    <definedName name="_445__FDSAUDITLINK__" hidden="1">{"fdsup://directions/FAT Viewer?action=UPDATE&amp;creator=factset&amp;DYN_ARGS=TRUE&amp;DOC_NAME=FAT:FQL_AUDITING_CLIENT_TEMPLATE.FAT&amp;display_string=Audit&amp;VAR:KEY=BALWTCPYZO&amp;VAR:QUERY=KChGRl9FQklUKExUTSwwLCwsUkYsVVNEKUBGRl9FQklUKExUTVNfU0VNSSwwLCwsUkYsVVNEKSlARkZfRUJJV","ChBTk4sMCwsLFJGLFVTRCkp&amp;WINDOW=FIRST_POPUP&amp;HEIGHT=450&amp;WIDTH=450&amp;START_MAXIMIZED=FALSE&amp;VAR:CALENDAR=US&amp;VAR:SYMBOL=DLB&amp;VAR:INDEX=0"}</definedName>
    <definedName name="_446__FDSAUDITLINK__" hidden="1">{"fdsup://directions/FAT Viewer?action=UPDATE&amp;creator=factset&amp;DYN_ARGS=TRUE&amp;DOC_NAME=FAT:FQL_AUDITING_CLIENT_TEMPLATE.FAT&amp;display_string=Audit&amp;VAR:KEY=POTOHAVQLG&amp;VAR:QUERY=KEZGX0VCSVREQShMVE0sMTIvMzEvMjAwNywsLFJGLFVTRClARkZfRUJJVERBX0lCKExUTSwxMi8zMS8yMDA3L","CwsUkYsVVNEKSk=&amp;WINDOW=FIRST_POPUP&amp;HEIGHT=450&amp;WIDTH=450&amp;START_MAXIMIZED=FALSE&amp;VAR:CALENDAR=US&amp;VAR:SYMBOL=ACTG&amp;VAR:INDEX=0"}</definedName>
    <definedName name="_447__FDSAUDITLINK__" hidden="1">{"fdsup://directions/FAT Viewer?action=UPDATE&amp;creator=factset&amp;DYN_ARGS=TRUE&amp;DOC_NAME=FAT:FQL_AUDITING_CLIENT_TEMPLATE.FAT&amp;display_string=Audit&amp;VAR:KEY=RINEDKRITI&amp;VAR:QUERY=KChGRl9ORVRfSU5DKExUTSwwLCwsUkYsVVNEKUBGRl9ORVRfSU5DKExUTVNfU0VNSSwwLCwsUkYsVVNEKSlAR","kZfTkVUX0lOQyhBTk4sMCwsLFJGLFVTRCkp&amp;WINDOW=FIRST_POPUP&amp;HEIGHT=450&amp;WIDTH=450&amp;START_MAXIMIZED=FALSE&amp;VAR:CALENDAR=US&amp;VAR:SYMBOL=ARMH&amp;VAR:INDEX=0"}</definedName>
    <definedName name="_448__FDSAUDITLINK__" hidden="1">{"fdsup://directions/FAT Viewer?action=UPDATE&amp;creator=factset&amp;DYN_ARGS=TRUE&amp;DOC_NAME=FAT:FQL_AUDITING_CLIENT_TEMPLATE.FAT&amp;display_string=Audit&amp;VAR:KEY=DCFUPSXSPS&amp;VAR:QUERY=KCgoKChGRl9JTlRfRVhQX0RFQlQoTFRNLDAsLCxSRixVU0QpQEZGX0lOVF9FWFBfVE9UKExUTSwwLCwsUkYsV","VNEKSlARkZfSU5UX0VYUF9ERUJUKExUTVNfU0VNSSwwLCwsUkYsVVNEKSlARkZfSU5UX0VYUF9UT1QoTFRNU19TRU1JLDAsLCxSRixVU0QpKUBGRl9JTlRfRVhQX0RFQlQoQU5OLDAsLCxSRixVU0QpKUBGRl9JTlRfRVhQX1RPVChBTk4sMCwsLFJGLFVTRCkp&amp;WINDOW=FIRST_POPUP&amp;HEIGHT=450&amp;WIDTH=450&amp;START_MAXIMIZED=FAL","SE&amp;VAR:CALENDAR=US&amp;VAR:SYMBOL=QCOM&amp;VAR:INDEX=0"}</definedName>
    <definedName name="_449__FDSAUDITLINK__" hidden="1">{"fdsup://directions/FAT Viewer?action=UPDATE&amp;creator=factset&amp;DYN_ARGS=TRUE&amp;DOC_NAME=FAT:FQL_AUDITING_CLIENT_TEMPLATE.FAT&amp;display_string=Audit&amp;VAR:KEY=ZMDWNIHGBG&amp;VAR:QUERY=KChGRl9ORVRfSU5DKExUTSwwLCwsUkYsVVNEKUBGRl9ORVRfSU5DKExUTVNfU0VNSSwwLCwsUkYsVVNEKSlAR","kZfTkVUX0lOQyhBTk4sMCwsLFJGLFVTRCkp&amp;WINDOW=FIRST_POPUP&amp;HEIGHT=450&amp;WIDTH=450&amp;START_MAXIMIZED=FALSE&amp;VAR:CALENDAR=US&amp;VAR:SYMBOL=QCOM&amp;VAR:INDEX=0"}</definedName>
    <definedName name="_45__FDSAUDITLINK__" hidden="1">{"fdsup://Directions/FactSet Auditing Viewer?action=AUDIT_VALUE&amp;DB=129&amp;ID1=663567&amp;VALUEID=02001&amp;SDATE=201103&amp;PERIODTYPE=QTR_STD&amp;SCFT=3&amp;window=popup_no_bar&amp;width=385&amp;height=120&amp;START_MAXIMIZED=FALSE&amp;creator=factset&amp;display_string=Audit"}</definedName>
    <definedName name="_450__FDSAUDITLINK__" hidden="1">{"fdsup://directions/FAT Viewer?action=UPDATE&amp;creator=factset&amp;DYN_ARGS=TRUE&amp;DOC_NAME=FAT:FQL_AUDITING_CLIENT_TEMPLATE.FAT&amp;display_string=Audit&amp;VAR:KEY=EZGXUXSXAB&amp;VAR:QUERY=KEZGX0VCSVREQShMVE0sMTIvMzEvMjAwNywsLFJGLFVTRClARkZfRUJJVERBX0lCKExUTSwxMi8zMS8yMDA3L","CwsUkYsVVNEKSk=&amp;WINDOW=FIRST_POPUP&amp;HEIGHT=450&amp;WIDTH=450&amp;START_MAXIMIZED=FALSE&amp;VAR:CALENDAR=US&amp;VAR:SYMBOL=MIPS&amp;VAR:INDEX=0"}</definedName>
    <definedName name="_451__FDSAUDITLINK__" hidden="1">{"fdsup://Directions/FactSet Auditing Viewer?action=AUDIT_VALUE&amp;DB=129&amp;ID1=74752510&amp;VALUEID=01001&amp;SDATE=201202&amp;PERIODTYPE=QTR_STD&amp;SCFT=3&amp;window=popup_no_bar&amp;width=385&amp;height=120&amp;START_MAXIMIZED=FALSE&amp;creator=factset&amp;display_string=Audit"}</definedName>
    <definedName name="_452__FDSAUDITLINK__" hidden="1">{"fdsup://directions/FAT Viewer?action=UPDATE&amp;creator=factset&amp;DYN_ARGS=TRUE&amp;DOC_NAME=FAT:FQL_AUDITING_CLIENT_TEMPLATE.FAT&amp;display_string=Audit&amp;VAR:KEY=TITIBMBGNG&amp;VAR:QUERY=KChGRl9FUFMoTFRNLDAsLCxSRixVU0QpQEZGX0VQUyhMVE1TX1NFTUksMCwsLFJGLFVTRCkpQEZGX0VQUyhBT","k4sMCwsLFJGLFVTRCkp&amp;WINDOW=FIRST_POPUP&amp;HEIGHT=450&amp;WIDTH=450&amp;START_MAXIMIZED=FALSE&amp;VAR:CALENDAR=US&amp;VAR:SYMBOL=MOSY&amp;VAR:INDEX=0"}</definedName>
    <definedName name="_453__FDSAUDITLINK__" hidden="1">{"fdsup://directions/FAT Viewer?action=UPDATE&amp;creator=factset&amp;DYN_ARGS=TRUE&amp;DOC_NAME=FAT:FQL_AUDITING_CLIENT_TEMPLATE.FAT&amp;display_string=Audit&amp;VAR:KEY=XKHCPWTINI&amp;VAR:QUERY=KChGRl9ORVRfSU5DKExUTSwwLCwsUkYsVVNEKUBGRl9ORVRfSU5DKExUTVNfU0VNSSwwLCwsUkYsVVNEKSlAR","kZfTkVUX0lOQyhBTk4sMCwsLFJGLFVTRCkp&amp;WINDOW=FIRST_POPUP&amp;HEIGHT=450&amp;WIDTH=450&amp;START_MAXIMIZED=FALSE&amp;VAR:CALENDAR=US&amp;VAR:SYMBOL=MOSY&amp;VAR:INDEX=0"}</definedName>
    <definedName name="_454__FDSAUDITLINK__" hidden="1">{"fdsup://Directions/FactSet Auditing Viewer?action=AUDIT_VALUE&amp;DB=129&amp;ID1=61971810&amp;VALUEID=01001&amp;SDATE=201201&amp;PERIODTYPE=QTR_STD&amp;SCFT=3&amp;window=popup_no_bar&amp;width=385&amp;height=120&amp;START_MAXIMIZED=FALSE&amp;creator=factset&amp;display_string=Audit"}</definedName>
    <definedName name="_455__FDSAUDITLINK__" hidden="1">{"fdsup://Directions/FactSet Auditing Viewer?action=AUDIT_VALUE&amp;DB=129&amp;ID1=260509&amp;VALUEID=P05202&amp;SDATE=2010&amp;PERIODTYPE=ANN_STD&amp;SCFT=3&amp;window=popup_no_bar&amp;width=385&amp;height=120&amp;START_MAXIMIZED=FALSE&amp;creator=factset&amp;display_string=Audit"}</definedName>
    <definedName name="_456__FDSAUDITLINK__" hidden="1">{"fdsup://directions/FAT Viewer?action=UPDATE&amp;creator=factset&amp;DYN_ARGS=TRUE&amp;DOC_NAME=FAT:FQL_AUDITING_CLIENT_TEMPLATE.FAT&amp;display_string=Audit&amp;VAR:KEY=VEVKPWLUFS&amp;VAR:QUERY=KChGRl9ORVRfSU5DKExUTSwwLCwsUkYsVVNEKUBGRl9ORVRfSU5DKExUTVNfU0VNSSwwLCwsUkYsVVNEKSlAR","kZfTkVUX0lOQyhBTk4sMCwsLFJGLFVTRCkp&amp;WINDOW=FIRST_POPUP&amp;HEIGHT=450&amp;WIDTH=450&amp;START_MAXIMIZED=FALSE&amp;VAR:CALENDAR=US&amp;VAR:SYMBOL=260509&amp;VAR:INDEX=0"}</definedName>
    <definedName name="_457__FDSAUDITLINK__" hidden="1">{"fdsup://Directions/FactSet Auditing Viewer?action=AUDIT_VALUE&amp;DB=129&amp;ID1=260509&amp;VALUEID=01001&amp;SDATE=201102&amp;PERIODTYPE=QTR_STD&amp;SCFT=3&amp;window=popup_no_bar&amp;width=385&amp;height=120&amp;START_MAXIMIZED=FALSE&amp;creator=factset&amp;display_string=Audit"}</definedName>
    <definedName name="_458__FDSAUDITLINK__" hidden="1">{"fdsup://directions/FAT Viewer?action=UPDATE&amp;creator=factset&amp;DYN_ARGS=TRUE&amp;DOC_NAME=FAT:FQL_AUDITING_CLIENT_TEMPLATE.FAT&amp;display_string=Audit&amp;VAR:KEY=FALIDSFYNO&amp;VAR:QUERY=KChGRl9FUFMoTFRNLDAsLCxSRixVU0QpQEZGX0VQUyhMVE1TX1NFTUksMCwsLFJGLFVTRCkpQEZGX0VQUyhBT","k4sMCwsLFJGLFVTRCkp&amp;WINDOW=FIRST_POPUP&amp;HEIGHT=450&amp;WIDTH=450&amp;START_MAXIMIZED=FALSE&amp;VAR:CALENDAR=US&amp;VAR:SYMBOL=223093&amp;VAR:INDEX=0"}</definedName>
    <definedName name="_459__FDSAUDITLINK__" hidden="1">{"fdsup://directions/FAT Viewer?action=UPDATE&amp;creator=factset&amp;DYN_ARGS=TRUE&amp;DOC_NAME=FAT:FQL_AUDITING_CLIENT_TEMPLATE.FAT&amp;display_string=Audit&amp;VAR:KEY=WXGBAPADKH&amp;VAR:QUERY=KChGRl9ORVRfSU5DKExUTSwwLCwsUkYsVVNEKUBGRl9ORVRfSU5DKExUTVNfU0VNSSwwLCwsUkYsVVNEKSlAR","kZfTkVUX0lOQyhBTk4sMCwsLFJGLFVTRCkp&amp;WINDOW=FIRST_POPUP&amp;HEIGHT=450&amp;WIDTH=450&amp;START_MAXIMIZED=FALSE&amp;VAR:CALENDAR=US&amp;VAR:SYMBOL=223093&amp;VAR:INDEX=0"}</definedName>
    <definedName name="_46__FDSAUDITLINK__" hidden="1">{"fdsup://directions/FAT Viewer?action=UPDATE&amp;creator=factset&amp;DYN_ARGS=TRUE&amp;DOC_NAME=FAT:FQL_AUDITING_CLIENT_TEMPLATE.FAT&amp;display_string=Audit&amp;VAR:KEY=YPKPMVUHWT&amp;VAR:QUERY=KChGRl9ORVRfSU5DKExUTSwwLCwsUkYsVVNEKUBGRl9ORVRfSU5DKExUTVNfU0VNSSwwLCwsUkYsVVNEKSlAR","kZfTkVUX0lOQyhBTk4sMCwsLFJGLFVTRCkp&amp;WINDOW=FIRST_POPUP&amp;HEIGHT=450&amp;WIDTH=450&amp;START_MAXIMIZED=FALSE&amp;VAR:CALENDAR=US&amp;VAR:SYMBOL=JEF&amp;VAR:INDEX=0"}</definedName>
    <definedName name="_460__FDSAUDITLINK__" hidden="1">{"fdsup://Directions/FactSet Auditing Viewer?action=AUDIT_VALUE&amp;DB=129&amp;ID1=223093&amp;VALUEID=01001&amp;SDATE=201201&amp;PERIODTYPE=QTR_STD&amp;SCFT=3&amp;window=popup_no_bar&amp;width=385&amp;height=120&amp;START_MAXIMIZED=FALSE&amp;creator=factset&amp;display_string=Audit"}</definedName>
    <definedName name="_461__FDSAUDITLINK__" hidden="1">{"fdsup://directions/FAT Viewer?action=UPDATE&amp;creator=factset&amp;DYN_ARGS=TRUE&amp;DOC_NAME=FAT:FQL_AUDITING_CLIENT_TEMPLATE.FAT&amp;display_string=Audit&amp;VAR:KEY=JQREVAPKFQ&amp;VAR:QUERY=KChGRl9FUFMoTFRNLDAsLCxSRixVU0QpQEZGX0VQUyhMVE1TX1NFTUksMCwsLFJGLFVTRCkpQEZGX0VQUyhBT","k4sMCwsLFJGLFVTRCkp&amp;WINDOW=FIRST_POPUP&amp;HEIGHT=450&amp;WIDTH=450&amp;START_MAXIMIZED=FALSE&amp;VAR:CALENDAR=US&amp;VAR:SYMBOL=ACTG&amp;VAR:INDEX=0"}</definedName>
    <definedName name="_462__FDSAUDITLINK__" hidden="1">{"fdsup://directions/FAT Viewer?action=UPDATE&amp;creator=factset&amp;DYN_ARGS=TRUE&amp;DOC_NAME=FAT:FQL_AUDITING_CLIENT_TEMPLATE.FAT&amp;display_string=Audit&amp;VAR:KEY=DORGRGZWXE&amp;VAR:QUERY=KChGRl9ORVRfSU5DKExUTSwwLCwsUkYsVVNEKUBGRl9ORVRfSU5DKExUTVNfU0VNSSwwLCwsUkYsVVNEKSlAR","kZfTkVUX0lOQyhBTk4sMCwsLFJGLFVTRCkp&amp;WINDOW=FIRST_POPUP&amp;HEIGHT=450&amp;WIDTH=450&amp;START_MAXIMIZED=FALSE&amp;VAR:CALENDAR=US&amp;VAR:SYMBOL=ACTG&amp;VAR:INDEX=0"}</definedName>
    <definedName name="_463__FDSAUDITLINK__" hidden="1">{"fdsup://Directions/FactSet Auditing Viewer?action=AUDIT_VALUE&amp;DB=129&amp;ID1=00388130&amp;VALUEID=01001&amp;SDATE=201201&amp;PERIODTYPE=QTR_STD&amp;SCFT=3&amp;window=popup_no_bar&amp;width=385&amp;height=120&amp;START_MAXIMIZED=FALSE&amp;creator=factset&amp;display_string=Audit"}</definedName>
    <definedName name="_464__FDSAUDITLINK__" hidden="1">{"fdsup://directions/FAT Viewer?action=UPDATE&amp;creator=factset&amp;DYN_ARGS=TRUE&amp;DOC_NAME=FAT:FQL_AUDITING_CLIENT_TEMPLATE.FAT&amp;display_string=Audit&amp;VAR:KEY=JCFIBIVGRC&amp;VAR:QUERY=KChGRl9FUFMoTFRNLDAsLCxSRixVU0QpQEZGX0VQUyhMVE1TX1NFTUksMCwsLFJGLFVTRCkpQEZGX0VQUyhBT","k4sMCwsLFJGLFVTRCkp&amp;WINDOW=FIRST_POPUP&amp;HEIGHT=450&amp;WIDTH=450&amp;START_MAXIMIZED=FALSE&amp;VAR:CALENDAR=US&amp;VAR:SYMBOL=FSL&amp;VAR:INDEX=0"}</definedName>
    <definedName name="_465__FDSAUDITLINK__" hidden="1">{"fdsup://directions/FAT Viewer?action=UPDATE&amp;creator=factset&amp;DYN_ARGS=TRUE&amp;DOC_NAME=FAT:FQL_AUDITING_CLIENT_TEMPLATE.FAT&amp;display_string=Audit&amp;VAR:KEY=VCXGFULOLS&amp;VAR:QUERY=KChGRl9ORVRfSU5DKExUTSwwLCwsUkYsVVNEKUBGRl9ORVRfSU5DKExUTVNfU0VNSSwwLCwsUkYsVVNEKSlAR","kZfTkVUX0lOQyhBTk4sMCwsLFJGLFVTRCkp&amp;WINDOW=FIRST_POPUP&amp;HEIGHT=450&amp;WIDTH=450&amp;START_MAXIMIZED=FALSE&amp;VAR:CALENDAR=US&amp;VAR:SYMBOL=FSL&amp;VAR:INDEX=0"}</definedName>
    <definedName name="_466__FDSAUDITLINK__" hidden="1">{"fdsup://Directions/FactSet Auditing Viewer?action=AUDIT_VALUE&amp;DB=129&amp;ID1=G3727Q10&amp;VALUEID=01001&amp;SDATE=201201&amp;PERIODTYPE=QTR_STD&amp;SCFT=3&amp;window=popup_no_bar&amp;width=385&amp;height=120&amp;START_MAXIMIZED=FALSE&amp;creator=factset&amp;display_string=Audit"}</definedName>
    <definedName name="_467__FDSAUDITLINK__" hidden="1">{"fdsup://directions/FAT Viewer?action=UPDATE&amp;creator=factset&amp;DYN_ARGS=TRUE&amp;DOC_NAME=FAT:FQL_AUDITING_CLIENT_TEMPLATE.FAT&amp;display_string=Audit&amp;VAR:KEY=TAHITQVWJE&amp;VAR:QUERY=KChGRl9FUFMoTFRNLDAsLCxSRixVU0QpQEZGX0VQUyhMVE1TX1NFTUksMCwsLFJGLFVTRCkpQEZGX0VQUyhBT","k4sMCwsLFJGLFVTRCkp&amp;WINDOW=FIRST_POPUP&amp;HEIGHT=450&amp;WIDTH=450&amp;START_MAXIMIZED=FALSE&amp;VAR:CALENDAR=US&amp;VAR:SYMBOL=RMBS&amp;VAR:INDEX=0"}</definedName>
    <definedName name="_468__FDSAUDITLINK__" hidden="1">{"fdsup://directions/FAT Viewer?action=UPDATE&amp;creator=factset&amp;DYN_ARGS=TRUE&amp;DOC_NAME=FAT:FQL_AUDITING_CLIENT_TEMPLATE.FAT&amp;display_string=Audit&amp;VAR:KEY=TEZANCPYZU&amp;VAR:QUERY=KChGRl9ORVRfSU5DKExUTSwwLCwsUkYsVVNEKUBGRl9ORVRfSU5DKExUTVNfU0VNSSwwLCwsUkYsVVNEKSlAR","kZfTkVUX0lOQyhBTk4sMCwsLFJGLFVTRCkp&amp;WINDOW=FIRST_POPUP&amp;HEIGHT=450&amp;WIDTH=450&amp;START_MAXIMIZED=FALSE&amp;VAR:CALENDAR=US&amp;VAR:SYMBOL=RMBS&amp;VAR:INDEX=0"}</definedName>
    <definedName name="_469__FDSAUDITLINK__" hidden="1">{"fdsup://Directions/FactSet Auditing Viewer?action=AUDIT_VALUE&amp;DB=129&amp;ID1=75091710&amp;VALUEID=01001&amp;SDATE=201201&amp;PERIODTYPE=QTR_STD&amp;SCFT=3&amp;window=popup_no_bar&amp;width=385&amp;height=120&amp;START_MAXIMIZED=FALSE&amp;creator=factset&amp;display_string=Audit"}</definedName>
    <definedName name="_47__FDSAUDITLINK__" hidden="1">{"fdsup://directions/FAT Viewer?action=UPDATE&amp;creator=factset&amp;DYN_ARGS=TRUE&amp;DOC_NAME=FAT:FQL_AUDITING_CLIENT_TEMPLATE.FAT&amp;display_string=Audit&amp;VAR:KEY=KXGVYZEBKR&amp;VAR:QUERY=KChGRl9FQklUKExUTSwwLCwsUkYsVVNEKUBGRl9FQklUKExUTVNfU0VNSSwwLCwsUkYsVVNEKSlARkZfRUJJV","ChBTk4sMCwsLFJGLFVTRCkp&amp;WINDOW=FIRST_POPUP&amp;HEIGHT=450&amp;WIDTH=450&amp;START_MAXIMIZED=FALSE&amp;VAR:CALENDAR=US&amp;VAR:SYMBOL=JEF&amp;VAR:INDEX=0"}</definedName>
    <definedName name="_470__FDSAUDITLINK__" hidden="1">{"fdsup://Directions/FactSet Auditing Viewer?action=AUDIT_VALUE&amp;DB=129&amp;ID1=B0ZC74&amp;VALUEID=07011&amp;SDATE=2010&amp;PERIODTYPE=ANN_STD&amp;SCFT=3&amp;window=popup_no_bar&amp;width=385&amp;height=120&amp;START_MAXIMIZED=FALSE&amp;creator=factset&amp;display_string=Audit"}</definedName>
    <definedName name="_471__FDSAUDITLINK__" hidden="1">{"fdsup://Directions/FactSet Auditing Viewer?action=AUDIT_VALUE&amp;DB=129&amp;ID1=B44JTH&amp;VALUEID=02001&amp;SDATE=201002&amp;PERIODTYPE=SEMI_STD&amp;SCFT=3&amp;window=popup_no_bar&amp;width=385&amp;height=120&amp;START_MAXIMIZED=FALSE&amp;creator=factset&amp;display_string=Audit"}</definedName>
    <definedName name="_472__FDSAUDITLINK__" hidden="1">{"fdsup://Directions/FactSet Auditing Viewer?action=AUDIT_VALUE&amp;DB=129&amp;ID1=B53TNH&amp;VALUEID=07011&amp;SDATE=2010&amp;PERIODTYPE=ANN_STD&amp;SCFT=3&amp;window=popup_no_bar&amp;width=385&amp;height=120&amp;START_MAXIMIZED=FALSE&amp;creator=factset&amp;display_string=Audit"}</definedName>
    <definedName name="_473__FDSAUDITLINK__" hidden="1">{"fdsup://Directions/FactSet Auditing Viewer?action=AUDIT_VALUE&amp;DB=129&amp;ID1=B53TNH&amp;VALUEID=02001&amp;SDATE=201101&amp;PERIODTYPE=SEMI_STD&amp;SCFT=3&amp;window=popup_no_bar&amp;width=385&amp;height=120&amp;START_MAXIMIZED=FALSE&amp;creator=factset&amp;display_string=Audit"}</definedName>
    <definedName name="_474__FDSAUDITLINK__" hidden="1">{"fdsup://Directions/FactSet Auditing Viewer?action=AUDIT_VALUE&amp;DB=129&amp;ID1=B0ZSH6&amp;VALUEID=07011&amp;SDATE=2010&amp;PERIODTYPE=ANN_STD&amp;SCFT=3&amp;window=popup_no_bar&amp;width=385&amp;height=120&amp;START_MAXIMIZED=FALSE&amp;creator=factset&amp;display_string=Audit"}</definedName>
    <definedName name="_475__FDSAUDITLINK__" hidden="1">{"fdsup://directions/FAT Viewer?action=UPDATE&amp;creator=factset&amp;DYN_ARGS=TRUE&amp;DOC_NAME=FAT:FQL_AUDITING_CLIENT_TEMPLATE.FAT&amp;display_string=Audit&amp;VAR:KEY=HMFMFIPUXY&amp;VAR:QUERY=KChGRl9ERUJUKFFUUiwwLCwsUkYsVVNEKUBGRl9ERUJUKFNFTUksMCwsLFJGLFVTRCkpQEZGX0RFQlQoQU5OL","DAsLCxSRixVU0QpKQ==&amp;WINDOW=FIRST_POPUP&amp;HEIGHT=450&amp;WIDTH=450&amp;START_MAXIMIZED=FALSE&amp;VAR:CALENDAR=US&amp;VAR:SYMBOL=B0ZSH6&amp;VAR:INDEX=0"}</definedName>
    <definedName name="_476__FDSAUDITLINK__" hidden="1">{"fdsup://Directions/FactSet Auditing Viewer?action=AUDIT_VALUE&amp;DB=129&amp;ID1=B0ZSH6&amp;VALUEID=02001&amp;SDATE=201101&amp;PERIODTYPE=SEMI_STD&amp;SCFT=3&amp;window=popup_no_bar&amp;width=385&amp;height=120&amp;START_MAXIMIZED=FALSE&amp;creator=factset&amp;display_string=Audit"}</definedName>
    <definedName name="_477__FDSAUDITLINK__" hidden="1">{"fdsup://Directions/FactSet Auditing Viewer?action=AUDIT_VALUE&amp;DB=129&amp;ID1=482897&amp;VALUEID=02001&amp;SDATE=201101&amp;PERIODTYPE=SEMI_STD&amp;SCFT=3&amp;window=popup_no_bar&amp;width=385&amp;height=120&amp;START_MAXIMIZED=FALSE&amp;creator=factset&amp;display_string=Audit"}</definedName>
    <definedName name="_478__FDSAUDITLINK__" hidden="1">{"fdsup://Directions/FactSet Auditing Viewer?action=AUDIT_VALUE&amp;DB=129&amp;ID1=B0V3WR&amp;VALUEID=07011&amp;SDATE=2010&amp;PERIODTYPE=ANN_STD&amp;SCFT=3&amp;window=popup_no_bar&amp;width=385&amp;height=120&amp;START_MAXIMIZED=FALSE&amp;creator=factset&amp;display_string=Audit"}</definedName>
    <definedName name="_479__FDSAUDITLINK__" hidden="1">{"fdsup://Directions/FactSet Auditing Viewer?action=AUDIT_VALUE&amp;DB=129&amp;ID1=B0V3WR&amp;VALUEID=02001&amp;SDATE=201102&amp;PERIODTYPE=QTR_STD&amp;SCFT=3&amp;window=popup_no_bar&amp;width=385&amp;height=120&amp;START_MAXIMIZED=FALSE&amp;creator=factset&amp;display_string=Audit"}</definedName>
    <definedName name="_48__FDSAUDITLINK__" hidden="1">{"fdsup://directions/FAT Viewer?action=UPDATE&amp;creator=factset&amp;DYN_ARGS=TRUE&amp;DOC_NAME=FAT:FQL_AUDITING_CLIENT_TEMPLATE.FAT&amp;display_string=Audit&amp;VAR:KEY=CVYBULMFAL&amp;VAR:QUERY=KChGRl9FQklUREEoTFRNLDAsLCxSRixVU0QpQEZGX0VCSVREQShMVE1TX1NFTUksMCwsLFJGLFVTRCkpQEZGX","0VCSVREQShBTk4sMCwsLFJGLFVTRCkp&amp;WINDOW=FIRST_POPUP&amp;HEIGHT=450&amp;WIDTH=450&amp;START_MAXIMIZED=FALSE&amp;VAR:CALENDAR=US&amp;VAR:SYMBOL=JEF&amp;VAR:INDEX=0"}</definedName>
    <definedName name="_480__FDSAUDITLINK__" hidden="1">{"fdsup://directions/FAT Viewer?action=UPDATE&amp;creator=factset&amp;DYN_ARGS=TRUE&amp;DOC_NAME=FAT:FQL_AUDITING_CLIENT_TEMPLATE.FAT&amp;display_string=Audit&amp;VAR:KEY=TKDSZEBQDI&amp;VAR:QUERY=KChGRl9ORVRfSU5DKExUTSwwLCwsUkYsVVNEKUBGRl9ORVRfSU5DKExUTVNfU0VNSSwwLCwsUkYsVVNEKSlAR","kZfTkVUX0lOQyhBTk4sMCwsLFJGLFVTRCkp&amp;WINDOW=FIRST_POPUP&amp;HEIGHT=450&amp;WIDTH=450&amp;START_MAXIMIZED=FALSE&amp;VAR:CALENDAR=US&amp;VAR:SYMBOL=PNK&amp;VAR:INDEX=0"}</definedName>
    <definedName name="_481__FDSAUDITLINK__" hidden="1">{"fdsup://directions/FAT Viewer?action=UPDATE&amp;creator=factset&amp;DYN_ARGS=TRUE&amp;DOC_NAME=FAT:FQL_AUDITING_CLIENT_TEMPLATE.FAT&amp;display_string=Audit&amp;VAR:KEY=BWPIHIDIXS&amp;VAR:QUERY=KChGRl9FQklUKExUTSwwLCwsUkYsVVNEKUBGRl9FQklUKExUTVNfU0VNSSwwLCwsUkYsVVNEKSlARkZfRUJJV","ChBTk4sMCwsLFJGLFVTRCkp&amp;WINDOW=FIRST_POPUP&amp;HEIGHT=450&amp;WIDTH=450&amp;START_MAXIMIZED=FALSE&amp;VAR:CALENDAR=US&amp;VAR:SYMBOL=PNK&amp;VAR:INDEX=0"}</definedName>
    <definedName name="_482__FDSAUDITLINK__" hidden="1">{"fdsup://directions/FAT Viewer?action=UPDATE&amp;creator=factset&amp;DYN_ARGS=TRUE&amp;DOC_NAME=FAT:FQL_AUDITING_CLIENT_TEMPLATE.FAT&amp;display_string=Audit&amp;VAR:KEY=DIBKXOPIJC&amp;VAR:QUERY=KCgoKEZGX1NITERSU19FUShRVFIsMCwsLFJTLFVTRClAKEZGX0xJQUJTX1NITERSU19FUShRVFIsMCwsLFJTL","FVTRCkgLSBGRl9MSUFCUyhRVFIsMCwsLFJTLFVTRCkpKSlAKChGRl9TSExEUlNfRVEoU0VNSSwwLCwsUlMsVVNEKUAoRkZfTElBQlNfU0hMRFJTX0VRKFNFTUksMCwsLFJTLFVTRCkgLSBGRl9MSUFCUyhTRU1JLDAsLCxSUyxVU0QpKSkpKUBGRl9TSExEUlNfRVEoQU5OLDAsLCxSUyxVU0QpKQ==&amp;WINDOW=FIRST_POPUP&amp;HEIGHT=450&amp;W","IDTH=450&amp;START_MAXIMIZED=FALSE&amp;VAR:CALENDAR=US&amp;VAR:SYMBOL=BYD&amp;VAR:INDEX=0"}</definedName>
    <definedName name="_483__FDSAUDITLINK__" hidden="1">{"fdsup://directions/FAT Viewer?action=UPDATE&amp;creator=factset&amp;DYN_ARGS=TRUE&amp;DOC_NAME=FAT:FQL_AUDITING_CLIENT_TEMPLATE.FAT&amp;display_string=Audit&amp;VAR:KEY=JIRWXUFYDQ&amp;VAR:QUERY=KChGRl9ERUJUKFFUUiwwLCwsUkYsVVNEKUBGRl9ERUJUKFNFTUksMCwsLFJGLFVTRCkpQEZGX0RFQlQoQU5OL","DAsLCxSRixVU0QpKQ==&amp;WINDOW=FIRST_POPUP&amp;HEIGHT=450&amp;WIDTH=450&amp;START_MAXIMIZED=FALSE&amp;VAR:CALENDAR=US&amp;VAR:SYMBOL=BYD&amp;VAR:INDEX=0"}</definedName>
    <definedName name="_484__FDSAUDITLINK__" hidden="1">{"fdsup://directions/FAT Viewer?action=UPDATE&amp;creator=factset&amp;DYN_ARGS=TRUE&amp;DOC_NAME=FAT:FQL_AUDITING_CLIENT_TEMPLATE.FAT&amp;display_string=Audit&amp;VAR:KEY=XOBYNUTMRO&amp;VAR:QUERY=KChGRl9FQklUREEoTFRNLDAsLCxSRixVU0QpQEZGX0VCSVREQShMVE1TX1NFTUksMCwsLFJGLFVTRCkpQEZGX","0VCSVREQShBTk4sMCwsLFJGLFVTRCkp&amp;WINDOW=FIRST_POPUP&amp;HEIGHT=450&amp;WIDTH=450&amp;START_MAXIMIZED=FALSE&amp;VAR:CALENDAR=US&amp;VAR:SYMBOL=579928&amp;VAR:INDEX=0"}</definedName>
    <definedName name="_485__FDSAUDITLINK__" hidden="1">{"fdsup://directions/FAT Viewer?action=UPDATE&amp;creator=factset&amp;DYN_ARGS=TRUE&amp;DOC_NAME=FAT:FQL_AUDITING_CLIENT_TEMPLATE.FAT&amp;display_string=Audit&amp;VAR:KEY=JSTWVEFYNS&amp;VAR:QUERY=KChGRl9HUk9TU19JTkMoTFRNLDAsLCxSRixVU0QpQEZGX0dST1NTX0lOQyhMVE1TX1NFTUksMCwsLFJGLFVTR","CkpQEZGX1NBTEVTKEFOTiwwLCwsUkYsVVNEKSk=&amp;WINDOW=FIRST_POPUP&amp;HEIGHT=450&amp;WIDTH=450&amp;START_MAXIMIZED=FALSE&amp;VAR:CALENDAR=US&amp;VAR:SYMBOL=579928&amp;VAR:INDEX=0"}</definedName>
    <definedName name="_486__FDSAUDITLINK__" hidden="1">{"fdsup://directions/FAT Viewer?action=UPDATE&amp;creator=factset&amp;DYN_ARGS=TRUE&amp;DOC_NAME=FAT:FQL_AUDITING_CLIENT_TEMPLATE.FAT&amp;display_string=Audit&amp;VAR:KEY=HOHEXWLIJU&amp;VAR:QUERY=KChGRl9TQUxFUyhMVE0sMCwsLFJGLFVTRClARkZfU0FMRVMoTFRNU19TRU1JLDAsLCxSRixVU0QpKUBGRl9TQ","UxFUyhBTk4sMCwsLFJGLFVTRCkp&amp;WINDOW=FIRST_POPUP&amp;HEIGHT=450&amp;WIDTH=450&amp;START_MAXIMIZED=FALSE&amp;VAR:CALENDAR=US&amp;VAR:SYMBOL=579928&amp;VAR:INDEX=0"}</definedName>
    <definedName name="_487__FDSAUDITLINK__" hidden="1">{"fdsup://Directions/FactSet Auditing Viewer?action=AUDIT_VALUE&amp;DB=129&amp;ID1=579928&amp;VALUEID=01001&amp;SDATE=201102&amp;PERIODTYPE=QTR_STD&amp;SCFT=3&amp;window=popup_no_bar&amp;width=385&amp;height=120&amp;START_MAXIMIZED=FALSE&amp;creator=factset&amp;display_string=Audit"}</definedName>
    <definedName name="_488__FDSAUDITLINK__" hidden="1">{"fdsup://directions/FAT Viewer?action=UPDATE&amp;creator=factset&amp;DYN_ARGS=TRUE&amp;DOC_NAME=FAT:FQL_AUDITING_CLIENT_TEMPLATE.FAT&amp;display_string=Audit&amp;VAR:KEY=RSDEBAXYTQ&amp;VAR:QUERY=KChGRl9FQklUKExUTSwwLCwsUkYsVVNEKUBGRl9FQklUKExUTVNfU0VNSSwwLCwsUkYsVVNEKSlARkZfRUJJV","ChBTk4sMCwsLFJGLFVTRCkp&amp;WINDOW=FIRST_POPUP&amp;HEIGHT=450&amp;WIDTH=450&amp;START_MAXIMIZED=FALSE&amp;VAR:CALENDAR=US&amp;VAR:SYMBOL=B28ZPV&amp;VAR:INDEX=0"}</definedName>
    <definedName name="_489__FDSAUDITLINK__" hidden="1">{"fdsup://directions/FAT Viewer?action=UPDATE&amp;creator=factset&amp;DYN_ARGS=TRUE&amp;DOC_NAME=FAT:FQL_AUDITING_CLIENT_TEMPLATE.FAT&amp;display_string=Audit&amp;VAR:KEY=PCZOJUNYLM&amp;VAR:QUERY=KCgoKChGRl9JTlRfRVhQX0RFQlQoTFRNLDAsLCxSRixVU0QpQEZGX0lOVF9FWFBfVE9UKExUTSwwLCwsUkYsV","VNEKSlARkZfSU5UX0VYUF9ERUJUKExUTVNfU0VNSSwwLCwsUkYsVVNEKSlARkZfSU5UX0VYUF9UT1QoTFRNU19TRU1JLDAsLCxSRixVU0QpKUBGRl9JTlRfRVhQX0RFQlQoQU5OLDAsLCxSRixVU0QpKUBGRl9JTlRfRVhQX1RPVChBTk4sMCwsLFJGLFVTRCkp&amp;WINDOW=FIRST_POPUP&amp;HEIGHT=450&amp;WIDTH=450&amp;START_MAXIMIZED=FAL","SE&amp;VAR:CALENDAR=US&amp;VAR:SYMBOL=482897&amp;VAR:INDEX=0"}</definedName>
    <definedName name="_49__FDSAUDITLINK__" hidden="1">{"fdsup://Directions/FactSet Auditing Viewer?action=AUDIT_VALUE&amp;DB=129&amp;ID1=60456710&amp;VALUEID=01001&amp;SDATE=201203&amp;PERIODTYPE=QTR_STD&amp;SCFT=3&amp;window=popup_no_bar&amp;width=385&amp;height=120&amp;START_MAXIMIZED=FALSE&amp;creator=factset&amp;display_string=Audit"}</definedName>
    <definedName name="_490__FDSAUDITLINK__" hidden="1">{"fdsup://directions/FAT Viewer?action=UPDATE&amp;creator=factset&amp;DYN_ARGS=TRUE&amp;DOC_NAME=FAT:FQL_AUDITING_CLIENT_TEMPLATE.FAT&amp;display_string=Audit&amp;VAR:KEY=LSZOPYHGHA&amp;VAR:QUERY=KChGRl9FUFMoTFRNLDAsLCxSRixVU0QpQEZGX0VQUyhMVE1TX1NFTUksMCwsLFJGLFVTRCkpQEZGX0VQUyhBT","k4sMCwsLFJGLFVTRCkp&amp;WINDOW=FIRST_POPUP&amp;HEIGHT=450&amp;WIDTH=450&amp;START_MAXIMIZED=FALSE&amp;VAR:CALENDAR=US&amp;VAR:SYMBOL=482897&amp;VAR:INDEX=0"}</definedName>
    <definedName name="_491__FDSAUDITLINK__" hidden="1">{"fdsup://directions/FAT Viewer?action=UPDATE&amp;creator=factset&amp;DYN_ARGS=TRUE&amp;DOC_NAME=FAT:FQL_AUDITING_CLIENT_TEMPLATE.FAT&amp;display_string=Audit&amp;VAR:KEY=FOVKDSPWLY&amp;VAR:QUERY=KCgoKChGRl9JTlRfRVhQX0RFQlQoTFRNLDAsLCxSRixVU0QpQEZGX0lOVF9FWFBfVE9UKExUTSwwLCwsUkYsV","VNEKSlARkZfSU5UX0VYUF9ERUJUKExUTVNfU0VNSSwwLCwsUkYsVVNEKSlARkZfSU5UX0VYUF9UT1QoTFRNU19TRU1JLDAsLCxSRixVU0QpKUBGRl9JTlRfRVhQX0RFQlQoQU5OLDAsLCxSRixVU0QpKUBGRl9JTlRfRVhQX1RPVChBTk4sMCwsLFJGLFVTRCkp&amp;WINDOW=FIRST_POPUP&amp;HEIGHT=450&amp;WIDTH=450&amp;START_MAXIMIZED=FAL","SE&amp;VAR:CALENDAR=US&amp;VAR:SYMBOL=750892&amp;VAR:INDEX=0"}</definedName>
    <definedName name="_492__FDSAUDITLINK__" hidden="1">{"fdsup://directions/FAT Viewer?action=UPDATE&amp;creator=factset&amp;DYN_ARGS=TRUE&amp;DOC_NAME=FAT:FQL_AUDITING_CLIENT_TEMPLATE.FAT&amp;display_string=Audit&amp;VAR:KEY=HKFURIBMNW&amp;VAR:QUERY=KChGRl9FUFMoTFRNLDAsLCxSRixVU0QpQEZGX0VQUyhMVE1TX1NFTUksMCwsLFJGLFVTRCkpQEZGX0VQUyhBT","k4sMCwsLFJGLFVTRCkp&amp;WINDOW=FIRST_POPUP&amp;HEIGHT=450&amp;WIDTH=450&amp;START_MAXIMIZED=FALSE&amp;VAR:CALENDAR=US&amp;VAR:SYMBOL=750892&amp;VAR:INDEX=0"}</definedName>
    <definedName name="_493__FDSAUDITLINK__" hidden="1">{"fdsup://directions/FAT Viewer?action=UPDATE&amp;creator=factset&amp;DYN_ARGS=TRUE&amp;DOC_NAME=FAT:FQL_AUDITING_CLIENT_TEMPLATE.FAT&amp;display_string=Audit&amp;VAR:KEY=TQXCTCVMZQ&amp;VAR:QUERY=KChGRl9HUk9TU19JTkMoTFRNLDAsLCxSRixVU0QpQEZGX0dST1NTX0lOQyhMVE1TX1NFTUksMCwsLFJGLFVTR","CkpQEZGX1NBTEVTKEFOTiwwLCwsUkYsVVNEKSk=&amp;WINDOW=FIRST_POPUP&amp;HEIGHT=450&amp;WIDTH=450&amp;START_MAXIMIZED=FALSE&amp;VAR:CALENDAR=US&amp;VAR:SYMBOL=750892&amp;VAR:INDEX=0"}</definedName>
    <definedName name="_494__FDSAUDITLINK__" hidden="1">{"fdsup://directions/FAT Viewer?action=UPDATE&amp;creator=factset&amp;DYN_ARGS=TRUE&amp;DOC_NAME=FAT:FQL_AUDITING_CLIENT_TEMPLATE.FAT&amp;display_string=Audit&amp;VAR:KEY=NOXWPKLEPK&amp;VAR:QUERY=KChGRl9TQUxFUyhMVE0sMCwsLFJGLFVTRClARkZfU0FMRVMoTFRNU19TRU1JLDAsLCxSRixVU0QpKUBGRl9TQ","UxFUyhBTk4sMCwsLFJGLFVTRCkp&amp;WINDOW=FIRST_POPUP&amp;HEIGHT=450&amp;WIDTH=450&amp;START_MAXIMIZED=FALSE&amp;VAR:CALENDAR=US&amp;VAR:SYMBOL=750892&amp;VAR:INDEX=0"}</definedName>
    <definedName name="_495__FDSAUDITLINK__" hidden="1">{"fdsup://Directions/FactSet Auditing Viewer?action=AUDIT_VALUE&amp;DB=129&amp;ID1=750892&amp;VALUEID=01001&amp;SDATE=201102&amp;PERIODTYPE=QTR_STD&amp;SCFT=3&amp;window=popup_no_bar&amp;width=385&amp;height=120&amp;START_MAXIMIZED=FALSE&amp;creator=factset&amp;display_string=Audit"}</definedName>
    <definedName name="_496__FDSAUDITLINK__" hidden="1">{"fdsup://Directions/FactSet Auditing Viewer?action=AUDIT_VALUE&amp;DB=129&amp;ID1=750892&amp;VALUEID=01001&amp;SDATE=201003&amp;PERIODTYPE=QTR_STD&amp;SCFT=3&amp;window=popup_no_bar&amp;width=385&amp;height=120&amp;START_MAXIMIZED=FALSE&amp;creator=factset&amp;display_string=Audit"}</definedName>
    <definedName name="_497__FDSAUDITLINK__" hidden="1">{"fdsup://directions/FAT Viewer?action=UPDATE&amp;creator=factset&amp;DYN_ARGS=TRUE&amp;DOC_NAME=FAT:FQL_AUDITING_CLIENT_TEMPLATE.FAT&amp;display_string=Audit&amp;VAR:KEY=FMBUXWPWHK&amp;VAR:QUERY=KCgoKChGRl9JTlRfRVhQX0RFQlQoTFRNLDAsLCxSRixVU0QpQEZGX0lOVF9FWFBfVE9UKExUTSwwLCwsUkYsV","VNEKSlARkZfSU5UX0VYUF9ERUJUKExUTVNfU0VNSSwwLCwsUkYsVVNEKSlARkZfSU5UX0VYUF9UT1QoTFRNU19TRU1JLDAsLCxSRixVU0QpKUBGRl9JTlRfRVhQX0RFQlQoQU5OLDAsLCxSRixVU0QpKUBGRl9JTlRfRVhQX1RPVChBTk4sMCwsLFJGLFVTRCkp&amp;WINDOW=FIRST_POPUP&amp;HEIGHT=450&amp;WIDTH=450&amp;START_MAXIMIZED=FAL","SE&amp;VAR:CALENDAR=US&amp;VAR:SYMBOL=B0L4LM&amp;VAR:INDEX=0"}</definedName>
    <definedName name="_498__FDSAUDITLINK__" hidden="1">{"fdsup://directions/FAT Viewer?action=UPDATE&amp;creator=factset&amp;DYN_ARGS=TRUE&amp;DOC_NAME=FAT:FQL_AUDITING_CLIENT_TEMPLATE.FAT&amp;display_string=Audit&amp;VAR:KEY=RGDUHAPCFK&amp;VAR:QUERY=KChGRl9FUFMoTFRNLDAsLCxSRixVU0QpQEZGX0VQUyhMVE1TX1NFTUksMCwsLFJGLFVTRCkpQEZGX0VQUyhBT","k4sMCwsLFJGLFVTRCkp&amp;WINDOW=FIRST_POPUP&amp;HEIGHT=450&amp;WIDTH=450&amp;START_MAXIMIZED=FALSE&amp;VAR:CALENDAR=US&amp;VAR:SYMBOL=B0L4LM&amp;VAR:INDEX=0"}</definedName>
    <definedName name="_499__FDSAUDITLINK__" hidden="1">{"fdsup://Directions/FactSet Auditing Viewer?action=AUDIT_VALUE&amp;DB=129&amp;ID1=B0L4LM&amp;VALUEID=01001&amp;SDATE=2010&amp;PERIODTYPE=ANN_STD&amp;SCFT=3&amp;window=popup_no_bar&amp;width=385&amp;height=120&amp;START_MAXIMIZED=FALSE&amp;creator=factset&amp;display_string=Audit"}</definedName>
    <definedName name="_5__123Graph_AChart_13" hidden="1">#REF!</definedName>
    <definedName name="_5__123Graph_BChart_3" hidden="1">#REF!</definedName>
    <definedName name="_5__123Graph_C_FABP_L.WK1_FAB" hidden="1">#REF!</definedName>
    <definedName name="_5__FDSAUDITLINK__" hidden="1">{"fdsup://directions/FAT Viewer?action=UPDATE&amp;creator=factset&amp;DYN_ARGS=TRUE&amp;DOC_NAME=FAT:FQL_AUDITING_CLIENT_TEMPLATE.FAT&amp;display_string=Audit&amp;VAR:KEY=NKRWXCNGVW&amp;VAR:QUERY=KChGRl9FQklUKExUTSwwLCwsUkYsVVNEKUBGRl9FQklUKExUTVNfU0VNSSwwLCwsUkYsVVNEKSlARkZfRUJJV","ChBTk4sMCwsLFJGLFVTRCkp&amp;WINDOW=FIRST_POPUP&amp;HEIGHT=450&amp;WIDTH=450&amp;START_MAXIMIZED=FALSE&amp;VAR:CALENDAR=US&amp;VAR:SYMBOL=TSRA&amp;VAR:INDEX=0"}</definedName>
    <definedName name="_5__FDSAUDITLINK___1" hidden="1">{"fdsup://IBCentral/FAT Viewer?action=UPDATE&amp;creator=factset&amp;DOC_NAME=fat:reuters_annual_shs_src_window.fat&amp;display_string=Audit&amp;DYN_ARGS=TRUE&amp;VAR:ID1=580878&amp;VAR:RCODE=FDSSHSOUTDEPS&amp;VAR:SDATE=20071299&amp;VAR:FREQ=Y&amp;VAR:RELITEM=RF&amp;VAR:CURRENCY=&amp;VAR:CURRSOURCE=E","XSHARE&amp;VAR:NATFREQ=ANNUAL&amp;VAR:RFIELD=FINALIZED&amp;VAR:DB_TYPE=&amp;VAR:UNITS=MONTHLY&amp;window=popup&amp;width=450&amp;height=300&amp;START_MAXIMIZED=FALSE"}</definedName>
    <definedName name="_50__FDSAUDITLINK__" hidden="1">{"fdsup://Directions/FactSet Auditing Viewer?action=AUDIT_VALUE&amp;DB=129&amp;ID1=47231910&amp;VALUEID=01001&amp;SDATE=200904&amp;PERIODTYPE=QTR_STD&amp;window=popup_no_bar&amp;width=385&amp;height=120&amp;START_MAXIMIZED=FALSE&amp;creator=factset&amp;display_string=Audit"}</definedName>
    <definedName name="_500__FDSAUDITLINK__" hidden="1">{"fdsup://directions/FAT Viewer?action=UPDATE&amp;creator=factset&amp;DYN_ARGS=TRUE&amp;DOC_NAME=FAT:FQL_AUDITING_CLIENT_TEMPLATE.FAT&amp;display_string=Audit&amp;VAR:KEY=RIJMXWVKBA&amp;VAR:QUERY=KChGRl9TQUxFUyhMVE0sMCwsLFJGLFVTRClARkZfU0FMRVMoTFRNU19TRU1JLDAsLCxSRixVU0QpKUBGRl9TQ","UxFUyhBTk4sMCwsLFJGLFVTRCkp&amp;WINDOW=FIRST_POPUP&amp;HEIGHT=450&amp;WIDTH=450&amp;START_MAXIMIZED=FALSE&amp;VAR:CALENDAR=US&amp;VAR:SYMBOL=B0L4LM&amp;VAR:INDEX=0"}</definedName>
    <definedName name="_501__FDSAUDITLINK__" hidden="1">{"fdsup://directions/FAT Viewer?action=UPDATE&amp;creator=factset&amp;DYN_ARGS=TRUE&amp;DOC_NAME=FAT:FQL_AUDITING_CLIENT_TEMPLATE.FAT&amp;display_string=Audit&amp;VAR:KEY=TQHCVUZOVW&amp;VAR:QUERY=KChGRl9FUFMoTFRNLDAsLCxSRixVU0QpQEZGX0VQUyhMVE1TX1NFTUksMCwsLFJGLFVTRCkpQEZGX0VQUyhBT","k4sMCwsLFJGLFVTRCkp&amp;WINDOW=FIRST_POPUP&amp;HEIGHT=450&amp;WIDTH=450&amp;START_MAXIMIZED=FALSE&amp;VAR:CALENDAR=US&amp;VAR:SYMBOL=WYNN&amp;VAR:INDEX=0"}</definedName>
    <definedName name="_502__FDSAUDITLINK__" hidden="1">{"fdsup://directions/FAT Viewer?action=UPDATE&amp;creator=factset&amp;DYN_ARGS=TRUE&amp;DOC_NAME=FAT:FQL_AUDITING_CLIENT_TEMPLATE.FAT&amp;display_string=Audit&amp;VAR:KEY=BCXSLAPCTK&amp;VAR:QUERY=KChGRl9ORVRfSU5DKExUTSwwLCwsUkYsVVNEKUBGRl9ORVRfSU5DKExUTVNfU0VNSSwwLCwsUkYsVVNEKSlAR","kZfTkVUX0lOQyhBTk4sMCwsLFJGLFVTRCkp&amp;WINDOW=FIRST_POPUP&amp;HEIGHT=450&amp;WIDTH=450&amp;START_MAXIMIZED=FALSE&amp;VAR:CALENDAR=US&amp;VAR:SYMBOL=WYNN&amp;VAR:INDEX=0"}</definedName>
    <definedName name="_503__FDSAUDITLINK__" hidden="1">{"fdsup://Directions/FactSet Auditing Viewer?action=AUDIT_VALUE&amp;DB=129&amp;ID1=579928&amp;VALUEID=01001&amp;SDATE=201002&amp;PERIODTYPE=QTR_STD&amp;SCFT=3&amp;window=popup_no_bar&amp;width=385&amp;height=120&amp;START_MAXIMIZED=FALSE&amp;creator=factset&amp;display_string=Audit"}</definedName>
    <definedName name="_504__FDSAUDITLINK__" hidden="1">{"fdsup://directions/FAT Viewer?action=UPDATE&amp;creator=factset&amp;DYN_ARGS=TRUE&amp;DOC_NAME=FAT:FQL_AUDITING_CLIENT_TEMPLATE.FAT&amp;display_string=Audit&amp;VAR:KEY=PCZOJUNYLM&amp;VAR:QUERY=KCgoKChGRl9JTlRfRVhQX0RFQlQoTFRNLDAsLCxSRixVU0QpQEZGX0lOVF9FWFBfVE9UKExUTSwwLCwsUkYsV","VNEKSlARkZfSU5UX0VYUF9ERUJUKExUTVNfU0VNSSwwLCwsUkYsVVNEKSlARkZfSU5UX0VYUF9UT1QoTFRNU19TRU1JLDAsLCxSRixVU0QpKUBGRl9JTlRfRVhQX0RFQlQoQU5OLDAsLCxSRixVU0QpKUBGRl9JTlRfRVhQX1RPVChBTk4sMCwsLFJGLFVTRCkp&amp;WINDOW=FIRST_POPUP&amp;HEIGHT=450&amp;WIDTH=450&amp;START_MAXIMIZED=FAL","SE&amp;VAR:CALENDAR=US&amp;VAR:SYMBOL=482897&amp;VAR:INDEX=0"}</definedName>
    <definedName name="_505__FDSAUDITLINK__" hidden="1">{"fdsup://directions/FAT Viewer?action=UPDATE&amp;creator=factset&amp;DYN_ARGS=TRUE&amp;DOC_NAME=FAT:FQL_AUDITING_CLIENT_TEMPLATE.FAT&amp;display_string=Audit&amp;VAR:KEY=TAJEBEFOPY&amp;VAR:QUERY=KChGRl9FQklUREEoTFRNLDAsLCxSRixVU0QpQEZGX0VCSVREQShMVE1TX1NFTUksMCwsLFJGLFVTRCkpQEZGX","0VCSVREQShBTk4sMCwsLFJGLFVTRCkp&amp;WINDOW=FIRST_POPUP&amp;HEIGHT=450&amp;WIDTH=450&amp;START_MAXIMIZED=FALSE&amp;VAR:CALENDAR=US&amp;VAR:SYMBOL=482897&amp;VAR:INDEX=0"}</definedName>
    <definedName name="_506__FDSAUDITLINK__" hidden="1">{"fdsup://directions/FAT Viewer?action=UPDATE&amp;creator=factset&amp;DYN_ARGS=TRUE&amp;DOC_NAME=FAT:FQL_AUDITING_CLIENT_TEMPLATE.FAT&amp;display_string=Audit&amp;VAR:KEY=FSXEXQLIXC&amp;VAR:QUERY=KChGRl9HUk9TU19JTkMoTFRNLDAsLCxSRixVU0QpQEZGX0dST1NTX0lOQyhMVE1TX1NFTUksMCwsLFJGLFVTR","CkpQEZGX1NBTEVTKEFOTiwwLCwsUkYsVVNEKSk=&amp;WINDOW=FIRST_POPUP&amp;HEIGHT=450&amp;WIDTH=450&amp;START_MAXIMIZED=FALSE&amp;VAR:CALENDAR=US&amp;VAR:SYMBOL=482897&amp;VAR:INDEX=0"}</definedName>
    <definedName name="_507__FDSAUDITLINK__" hidden="1">{"fdsup://directions/FAT Viewer?action=UPDATE&amp;creator=factset&amp;DYN_ARGS=TRUE&amp;DOC_NAME=FAT:FQL_AUDITING_CLIENT_TEMPLATE.FAT&amp;display_string=Audit&amp;VAR:KEY=JMZAJSLYRW&amp;VAR:QUERY=KChGRl9TQUxFUyhMVE0sMCwsLFJGLFVTRClARkZfU0FMRVMoTFRNU19TRU1JLDAsLCxSRixVU0QpKUBGRl9TQ","UxFUyhBTk4sMCwsLFJGLFVTRCkp&amp;WINDOW=FIRST_POPUP&amp;HEIGHT=450&amp;WIDTH=450&amp;START_MAXIMIZED=FALSE&amp;VAR:CALENDAR=US&amp;VAR:SYMBOL=095162&amp;VAR:INDEX=0"}</definedName>
    <definedName name="_508__FDSAUDITLINK__" hidden="1">{"fdsup://directions/FAT Viewer?action=UPDATE&amp;creator=factset&amp;DYN_ARGS=TRUE&amp;DOC_NAME=FAT:FQL_AUDITING_CLIENT_TEMPLATE.FAT&amp;display_string=Audit&amp;VAR:KEY=HWTYXETMDO&amp;VAR:QUERY=KChGRl9FUFMoTFRNLDAsLCxSRixVU0QpQEZGX0VQUyhMVE1TX1NFTUksMCwsLFJGLFVTRCkpQEZGX0VQUyhBT","k4sMCwsLFJGLFVTRCkp&amp;WINDOW=FIRST_POPUP&amp;HEIGHT=450&amp;WIDTH=450&amp;START_MAXIMIZED=FALSE&amp;VAR:CALENDAR=US&amp;VAR:SYMBOL=B28ZPV&amp;VAR:INDEX=0"}</definedName>
    <definedName name="_509__FDSAUDITLINK__" hidden="1">{"fdsup://directions/FAT Viewer?action=UPDATE&amp;creator=factset&amp;DYN_ARGS=TRUE&amp;DOC_NAME=FAT:FQL_AUDITING_CLIENT_TEMPLATE.FAT&amp;display_string=Audit&amp;VAR:KEY=NWHYVQRAJY&amp;VAR:QUERY=KChGRl9ORVRfSU5DKExUTSwwLCwsUkYsVVNEKUBGRl9ORVRfSU5DKExUTVNfU0VNSSwwLCwsUkYsVVNEKSlAR","kZfTkVUX0lOQyhBTk4sMCwsLFJGLFVTRCkp&amp;WINDOW=FIRST_POPUP&amp;HEIGHT=450&amp;WIDTH=450&amp;START_MAXIMIZED=FALSE&amp;VAR:CALENDAR=US&amp;VAR:SYMBOL=B28ZPV&amp;VAR:INDEX=0"}</definedName>
    <definedName name="_51__FDSAUDITLINK__" hidden="1">{"fdsup://Directions/FactSet Auditing Viewer?action=AUDIT_VALUE&amp;DB=129&amp;ID1=47231910&amp;VALUEID=01001&amp;SDATE=200901&amp;PERIODTYPE=QTR_STD&amp;window=popup_no_bar&amp;width=385&amp;height=120&amp;START_MAXIMIZED=FALSE&amp;creator=factset&amp;display_string=Audit"}</definedName>
    <definedName name="_510__FDSAUDITLINK__" hidden="1">{"fdsup://Directions/FactSet Auditing Viewer?action=AUDIT_VALUE&amp;DB=129&amp;ID1=Y2711Y10&amp;VALUEID=07011&amp;SDATE=2010&amp;PERIODTYPE=ANN_STD&amp;SCFT=3&amp;window=popup_no_bar&amp;width=385&amp;height=120&amp;START_MAXIMIZED=FALSE&amp;creator=factset&amp;display_string=Audit"}</definedName>
    <definedName name="_511__FDSAUDITLINK__" hidden="1">{"fdsup://Directions/FactSet Auditing Viewer?action=AUDIT_VALUE&amp;DB=129&amp;ID1=Y2711Y10&amp;VALUEID=02001&amp;SDATE=201102&amp;PERIODTYPE=QTR_STD&amp;SCFT=3&amp;window=popup_no_bar&amp;width=385&amp;height=120&amp;START_MAXIMIZED=FALSE&amp;creator=factset&amp;display_string=Audit"}</definedName>
    <definedName name="_512__FDSAUDITLINK__" hidden="1">{"fdsup://Directions/FactSet Auditing Viewer?action=AUDIT_VALUE&amp;DB=129&amp;ID1=B28ZPV&amp;VALUEID=07011&amp;SDATE=2010&amp;PERIODTYPE=ANN_STD&amp;SCFT=3&amp;window=popup_no_bar&amp;width=385&amp;height=120&amp;START_MAXIMIZED=FALSE&amp;creator=factset&amp;display_string=Audit"}</definedName>
    <definedName name="_513__FDSAUDITLINK__" hidden="1">{"fdsup://Directions/FactSet Auditing Viewer?action=AUDIT_VALUE&amp;DB=129&amp;ID1=B28ZPV&amp;VALUEID=02001&amp;SDATE=201101&amp;PERIODTYPE=SEMI_STD&amp;SCFT=3&amp;window=popup_no_bar&amp;width=385&amp;height=120&amp;START_MAXIMIZED=FALSE&amp;creator=factset&amp;display_string=Audit"}</definedName>
    <definedName name="_514__FDSAUDITLINK__" hidden="1">{"fdsup://Directions/FactSet Auditing Viewer?action=AUDIT_VALUE&amp;DB=129&amp;ID1=750892&amp;VALUEID=07011&amp;SDATE=2010&amp;PERIODTYPE=ANN_STD&amp;SCFT=3&amp;window=popup_no_bar&amp;width=385&amp;height=120&amp;START_MAXIMIZED=FALSE&amp;creator=factset&amp;display_string=Audit"}</definedName>
    <definedName name="_515__FDSAUDITLINK__" hidden="1">{"fdsup://Directions/FactSet Auditing Viewer?action=AUDIT_VALUE&amp;DB=129&amp;ID1=750892&amp;VALUEID=02001&amp;SDATE=201102&amp;PERIODTYPE=QTR_STD&amp;SCFT=3&amp;window=popup_no_bar&amp;width=385&amp;height=120&amp;START_MAXIMIZED=FALSE&amp;creator=factset&amp;display_string=Audit"}</definedName>
    <definedName name="_516__FDSAUDITLINK__" hidden="1">{"fdsup://Directions/FactSet Auditing Viewer?action=AUDIT_VALUE&amp;DB=129&amp;ID1=B0L4LM&amp;VALUEID=07011&amp;SDATE=2010&amp;PERIODTYPE=ANN_STD&amp;SCFT=3&amp;window=popup_no_bar&amp;width=385&amp;height=120&amp;START_MAXIMIZED=FALSE&amp;creator=factset&amp;display_string=Audit"}</definedName>
    <definedName name="_517__FDSAUDITLINK__" hidden="1">{"fdsup://Directions/FactSet Auditing Viewer?action=AUDIT_VALUE&amp;DB=129&amp;ID1=B0L4LM&amp;VALUEID=02001&amp;SDATE=201101&amp;PERIODTYPE=SEMI_STD&amp;SCFT=3&amp;window=popup_no_bar&amp;width=385&amp;height=120&amp;START_MAXIMIZED=FALSE&amp;creator=factset&amp;display_string=Audit"}</definedName>
    <definedName name="_518__FDSAUDITLINK__" hidden="1">{"fdsup://Directions/FactSet Auditing Viewer?action=AUDIT_VALUE&amp;DB=129&amp;ID1=579928&amp;VALUEID=07011&amp;SDATE=2010&amp;PERIODTYPE=ANN_STD&amp;SCFT=3&amp;window=popup_no_bar&amp;width=385&amp;height=120&amp;START_MAXIMIZED=FALSE&amp;creator=factset&amp;display_string=Audit"}</definedName>
    <definedName name="_519__FDSAUDITLINK__" hidden="1">{"fdsup://Directions/FactSet Auditing Viewer?action=AUDIT_VALUE&amp;DB=129&amp;ID1=579928&amp;VALUEID=02001&amp;SDATE=201102&amp;PERIODTYPE=QTR_STD&amp;SCFT=3&amp;window=popup_no_bar&amp;width=385&amp;height=120&amp;START_MAXIMIZED=FALSE&amp;creator=factset&amp;display_string=Audit"}</definedName>
    <definedName name="_52__FDSAUDITLINK__" hidden="1">{"fdsup://directions/FAT Viewer?action=UPDATE&amp;creator=factset&amp;DYN_ARGS=TRUE&amp;DOC_NAME=FAT:FQL_AUDITING_CLIENT_TEMPLATE.FAT&amp;display_string=Audit&amp;VAR:KEY=CJKBCVUHMB&amp;VAR:QUERY=KCgoKEZGX1NITERSU19FUShRVFIsMCwsLFJTLFVTRClAKEZGX0xJQUJTX1NITERSU19FUShRVFIsMCwsLFJTL","FVTRCktRkZfTElBQlMoUVRSLDAsLCxSUyxVU0QpKSkpQCgoRkZfU0hMRFJTX0VRKFNFTUksMCwsLFJTLFVTRClAKEZGX0xJQUJTX1NITERSU19FUShTRU1JLDAsLCxSUyxVU0QpLUZGX0xJQUJTKFNFTUksMCwsLFJTLFVTRCkpKSkpQEZGX1NITERSU19FUShBTk4sMCwsLFJTLFVTRCkp&amp;WINDOW=FIRST_POPUP&amp;HEIGHT=450&amp;WIDTH=450","&amp;START_MAXIMIZED=FALSE&amp;VAR:CALENDAR=US&amp;VAR:SYMBOL=TWPG&amp;VAR:INDEX=0"}</definedName>
    <definedName name="_520__FDSAUDITLINK__" hidden="1">{"fdsup://Directions/FactSet Auditing Viewer?action=AUDIT_VALUE&amp;DB=129&amp;ID1=095162&amp;VALUEID=07011&amp;SDATE=2010&amp;PERIODTYPE=ANN_STD&amp;SCFT=3&amp;window=popup_no_bar&amp;width=385&amp;height=120&amp;START_MAXIMIZED=FALSE&amp;creator=factset&amp;display_string=Audit"}</definedName>
    <definedName name="_521__FDSAUDITLINK__" hidden="1">{"fdsup://Directions/FactSet Auditing Viewer?action=AUDIT_VALUE&amp;DB=129&amp;ID1=095162&amp;VALUEID=02001&amp;SDATE=201103&amp;PERIODTYPE=QTR_STD&amp;SCFT=3&amp;window=popup_no_bar&amp;width=385&amp;height=120&amp;START_MAXIMIZED=FALSE&amp;creator=factset&amp;display_string=Audit"}</definedName>
    <definedName name="_522__FDSAUDITLINK__" hidden="1">{"fdsup://directions/FAT Viewer?action=UPDATE&amp;creator=factset&amp;DYN_ARGS=TRUE&amp;DOC_NAME=FAT:FQL_AUDITING_CLIENT_TEMPLATE.FAT&amp;display_string=Audit&amp;VAR:KEY=JOZUPMTQRG&amp;VAR:QUERY=KCgoKChGRl9JTlRfRVhQX0RFQlQoTFRNLDAsLCxSRixVU0QpQEZGX0lOVF9FWFBfVE9UKExUTSwwLCwsUkYsV","VNEKSlARkZfSU5UX0VYUF9ERUJUKExUTVNfU0VNSSwwLCwsUkYsVVNEKSlARkZfSU5UX0VYUF9UT1QoTFRNU19TRU1JLDAsLCxSRixVU0QpKUBGRl9JTlRfRVhQX0RFQlQoQU5OLDAsLCxSRixVU0QpKUBGRl9JTlRfRVhQX1RPVChBTk4sMCwsLFJGLFVTRCkp&amp;WINDOW=FIRST_POPUP&amp;HEIGHT=450&amp;WIDTH=450&amp;START_MAXIMIZED=FAL","SE&amp;VAR:CALENDAR=US&amp;VAR:SYMBOL=B1YBFQ&amp;VAR:INDEX=0"}</definedName>
    <definedName name="_523__FDSAUDITLINK__" hidden="1">{"fdsup://directions/FAT Viewer?action=UPDATE&amp;creator=factset&amp;DYN_ARGS=TRUE&amp;DOC_NAME=FAT:FQL_AUDITING_CLIENT_TEMPLATE.FAT&amp;display_string=Audit&amp;VAR:KEY=BEFQBOXQDI&amp;VAR:QUERY=KChGRl9FUFMoTFRNLDAsLCxSRixVU0QpQEZGX0VQUyhMVE1TX1NFTUksMCwsLFJGLFVTRCkpQEZGX0VQUyhBT","k4sMCwsLFJGLFVTRCkp&amp;WINDOW=FIRST_POPUP&amp;HEIGHT=450&amp;WIDTH=450&amp;START_MAXIMIZED=FALSE&amp;VAR:CALENDAR=US&amp;VAR:SYMBOL=B1YBFQ&amp;VAR:INDEX=0"}</definedName>
    <definedName name="_524__FDSAUDITLINK__" hidden="1">{"fdsup://directions/FAT Viewer?action=UPDATE&amp;creator=factset&amp;DYN_ARGS=TRUE&amp;DOC_NAME=FAT:FQL_AUDITING_CLIENT_TEMPLATE.FAT&amp;display_string=Audit&amp;VAR:KEY=FYNKXARYJY&amp;VAR:QUERY=KChGRl9HUk9TU19JTkMoTFRNLDAsLCxSRixVU0QpQEZGX0dST1NTX0lOQyhMVE1TX1NFTUksMCwsLFJGLFVTR","CkpQEZGX1NBTEVTKEFOTiwwLCwsUkYsVVNEKSk=&amp;WINDOW=FIRST_POPUP&amp;HEIGHT=450&amp;WIDTH=450&amp;START_MAXIMIZED=FALSE&amp;VAR:CALENDAR=US&amp;VAR:SYMBOL=B1YBFQ&amp;VAR:INDEX=0"}</definedName>
    <definedName name="_525__FDSAUDITLINK__" hidden="1">{"fdsup://directions/FAT Viewer?action=UPDATE&amp;creator=factset&amp;DYN_ARGS=TRUE&amp;DOC_NAME=FAT:FQL_AUDITING_CLIENT_TEMPLATE.FAT&amp;display_string=Audit&amp;VAR:KEY=HYHQXSLOZI&amp;VAR:QUERY=KChGRl9TQUxFUyhMVE0sMCwsLFJGLFVTRClARkZfU0FMRVMoTFRNU19TRU1JLDAsLCxSRixVU0QpKUBGRl9TQ","UxFUyhBTk4sMCwsLFJGLFVTRCkp&amp;WINDOW=FIRST_POPUP&amp;HEIGHT=450&amp;WIDTH=450&amp;START_MAXIMIZED=FALSE&amp;VAR:CALENDAR=US&amp;VAR:SYMBOL=B1YBFQ&amp;VAR:INDEX=0"}</definedName>
    <definedName name="_526__FDSAUDITLINK__" hidden="1">{"fdsup://Directions/FactSet Auditing Viewer?action=AUDIT_VALUE&amp;DB=129&amp;ID1=B1YBFQ&amp;VALUEID=01001&amp;SDATE=201102&amp;PERIODTYPE=QTR_STD&amp;SCFT=3&amp;window=popup_no_bar&amp;width=385&amp;height=120&amp;START_MAXIMIZED=FALSE&amp;creator=factset&amp;display_string=Audit"}</definedName>
    <definedName name="_527__FDSAUDITLINK__" hidden="1">{"fdsup://Directions/FactSet Auditing Viewer?action=AUDIT_VALUE&amp;DB=129&amp;ID1=B1YBFQ&amp;VALUEID=01001&amp;SDATE=201002&amp;PERIODTYPE=QTR_STD&amp;SCFT=3&amp;window=popup_no_bar&amp;width=385&amp;height=120&amp;START_MAXIMIZED=FALSE&amp;creator=factset&amp;display_string=Audit"}</definedName>
    <definedName name="_528__FDSAUDITLINK__" hidden="1">{"fdsup://directions/FAT Viewer?action=UPDATE&amp;creator=factset&amp;DYN_ARGS=TRUE&amp;DOC_NAME=FAT:FQL_AUDITING_CLIENT_TEMPLATE.FAT&amp;display_string=Audit&amp;VAR:KEY=RIJMXWVKBA&amp;VAR:QUERY=KChGRl9TQUxFUyhMVE0sMCwsLFJGLFVTRClARkZfU0FMRVMoTFRNU19TRU1JLDAsLCxSRixVU0QpKUBGRl9TQ","UxFUyhBTk4sMCwsLFJGLFVTRCkp&amp;WINDOW=FIRST_POPUP&amp;HEIGHT=450&amp;WIDTH=450&amp;START_MAXIMIZED=FALSE&amp;VAR:CALENDAR=US&amp;VAR:SYMBOL=B0L4LM&amp;VAR:INDEX=0"}</definedName>
    <definedName name="_529__FDSAUDITLINK__" hidden="1">{"fdsup://directions/FAT Viewer?action=UPDATE&amp;creator=factset&amp;DYN_ARGS=TRUE&amp;DOC_NAME=FAT:FQL_AUDITING_CLIENT_TEMPLATE.FAT&amp;display_string=Audit&amp;VAR:KEY=DCPOHQTCFY&amp;VAR:QUERY=KCgoKChGRl9JTlRfRVhQX0RFQlQoTFRNLDAsLCxSRixVU0QpQEZGX0lOVF9FWFBfVE9UKExUTSwwLCwsUkYsV","VNEKSlARkZfSU5UX0VYUF9ERUJUKExUTVNfU0VNSSwwLCwsUkYsVVNEKSlARkZfSU5UX0VYUF9UT1QoTFRNU19TRU1JLDAsLCxSRixVU0QpKUBGRl9JTlRfRVhQX0RFQlQoQU5OLDAsLCxSRixVU0QpKUBGRl9JTlRfRVhQX1RPVChBTk4sMCwsLFJGLFVTRCkp&amp;WINDOW=FIRST_POPUP&amp;HEIGHT=450&amp;WIDTH=450&amp;START_MAXIMIZED=FAL","SE&amp;VAR:CALENDAR=US&amp;VAR:SYMBOL=316988&amp;VAR:INDEX=0"}</definedName>
    <definedName name="_53__FDSAUDITLINK__" hidden="1">{"fdsup://Directions/FactSet Auditing Viewer?action=AUDIT_VALUE&amp;DB=129&amp;ID1=46629U10&amp;VALUEID=07011&amp;SDATE=2009&amp;PERIODTYPE=ANN_STD&amp;window=popup_no_bar&amp;width=385&amp;height=120&amp;START_MAXIMIZED=FALSE&amp;creator=factset&amp;display_string=Audit"}</definedName>
    <definedName name="_530__FDSAUDITLINK__" hidden="1">{"fdsup://directions/FAT Viewer?action=UPDATE&amp;creator=factset&amp;DYN_ARGS=TRUE&amp;DOC_NAME=FAT:FQL_AUDITING_CLIENT_TEMPLATE.FAT&amp;display_string=Audit&amp;VAR:KEY=FQVETYROVW&amp;VAR:QUERY=KChGRl9FQklUREEoTFRNLDAsLCxSRixVU0QpQEZGX0VCSVREQShMVE1TX1NFTUksMCwsLFJGLFVTRCkpQEZGX","0VCSVREQShBTk4sMCwsLFJGLFVTRCkp&amp;WINDOW=FIRST_POPUP&amp;HEIGHT=450&amp;WIDTH=450&amp;START_MAXIMIZED=FALSE&amp;VAR:CALENDAR=US&amp;VAR:SYMBOL=316988&amp;VAR:INDEX=0"}</definedName>
    <definedName name="_531__FDSAUDITLINK__" hidden="1">{"fdsup://directions/FAT Viewer?action=UPDATE&amp;creator=factset&amp;DYN_ARGS=TRUE&amp;DOC_NAME=FAT:FQL_AUDITING_CLIENT_TEMPLATE.FAT&amp;display_string=Audit&amp;VAR:KEY=RQBAXEZYBI&amp;VAR:QUERY=KChGRl9HUk9TU19JTkMoTFRNLDAsLCxSRixVU0QpQEZGX0dST1NTX0lOQyhMVE1TX1NFTUksMCwsLFJGLFVTR","CkpQEZGX1NBTEVTKEFOTiwwLCwsUkYsVVNEKSk=&amp;WINDOW=FIRST_POPUP&amp;HEIGHT=450&amp;WIDTH=450&amp;START_MAXIMIZED=FALSE&amp;VAR:CALENDAR=US&amp;VAR:SYMBOL=316988&amp;VAR:INDEX=0"}</definedName>
    <definedName name="_532__FDSAUDITLINK__" hidden="1">{"fdsup://directions/FAT Viewer?action=UPDATE&amp;creator=factset&amp;DYN_ARGS=TRUE&amp;DOC_NAME=FAT:FQL_AUDITING_CLIENT_TEMPLATE.FAT&amp;display_string=Audit&amp;VAR:KEY=XKFSLSPARM&amp;VAR:QUERY=KChGRl9FQklUREEoTFRNLDAsLCxSRixVU0QpQEZGX0VCSVREQShMVE1TX1NFTUksMCwsLFJGLFVTRCkpQEZGX","0VCSVREQShBTk4sMCwsLFJGLFVTRCkp&amp;WINDOW=FIRST_POPUP&amp;HEIGHT=450&amp;WIDTH=450&amp;START_MAXIMIZED=FALSE&amp;VAR:CALENDAR=US&amp;VAR:SYMBOL=BYD&amp;VAR:INDEX=0"}</definedName>
    <definedName name="_533__FDSAUDITLINK__" hidden="1">{"fdsup://directions/FAT Viewer?action=UPDATE&amp;creator=factset&amp;DYN_ARGS=TRUE&amp;DOC_NAME=FAT:FQL_AUDITING_CLIENT_TEMPLATE.FAT&amp;display_string=Audit&amp;VAR:KEY=ZQPKFOLAXO&amp;VAR:QUERY=KChGRl9HUk9TU19JTkMoTFRNLDAsLCxSRixVU0QpQEZGX0dST1NTX0lOQyhMVE1TX1NFTUksMCwsLFJGLFVTR","CkpQEZGX1NBTEVTKEFOTiwwLCwsUkYsVVNEKSk=&amp;WINDOW=FIRST_POPUP&amp;HEIGHT=450&amp;WIDTH=450&amp;START_MAXIMIZED=FALSE&amp;VAR:CALENDAR=US&amp;VAR:SYMBOL=BYD&amp;VAR:INDEX=0"}</definedName>
    <definedName name="_534__FDSAUDITLINK__" hidden="1">{"fdsup://Directions/FactSet Auditing Viewer?action=AUDIT_VALUE&amp;DB=129&amp;ID1=B1YBFQ&amp;VALUEID=02001&amp;SDATE=201102&amp;PERIODTYPE=QTR_STD&amp;SCFT=3&amp;window=popup_no_bar&amp;width=385&amp;height=120&amp;START_MAXIMIZED=FALSE&amp;creator=factset&amp;display_string=Audit"}</definedName>
    <definedName name="_535__FDSAUDITLINK__" hidden="1">{"fdsup://Directions/FactSet Auditing Viewer?action=AUDIT_VALUE&amp;DB=129&amp;ID1=B0L4LM&amp;VALUEID=07011&amp;SDATE=2010&amp;PERIODTYPE=ANN_STD&amp;SCFT=3&amp;window=popup_no_bar&amp;width=385&amp;height=120&amp;START_MAXIMIZED=FALSE&amp;creator=factset&amp;display_string=Audit"}</definedName>
    <definedName name="_536__FDSAUDITLINK__" hidden="1">{"fdsup://Directions/FactSet Auditing Viewer?action=AUDIT_VALUE&amp;DB=129&amp;ID1=B0L4LM&amp;VALUEID=02001&amp;SDATE=201101&amp;PERIODTYPE=SEMI_STD&amp;SCFT=3&amp;window=popup_no_bar&amp;width=385&amp;height=120&amp;START_MAXIMIZED=FALSE&amp;creator=factset&amp;display_string=Audit"}</definedName>
    <definedName name="_537__FDSAUDITLINK__" hidden="1">{"fdsup://directions/FAT Viewer?action=UPDATE&amp;creator=factset&amp;DYN_ARGS=TRUE&amp;DOC_NAME=FAT:FQL_AUDITING_CLIENT_TEMPLATE.FAT&amp;display_string=Audit&amp;VAR:KEY=PKZGVQFKBQ&amp;VAR:QUERY=KChGRl9FQklUKExUTSwwLCwsUkYsVVNEKUBGRl9FQklUKExUTVNfU0VNSSwwLCwsUkYsVVNEKSlARkZfRUJJV","ChBTk4sMCwsLFJGLFVTRCkp&amp;WINDOW=FIRST_POPUP&amp;HEIGHT=450&amp;WIDTH=450&amp;START_MAXIMIZED=FALSE&amp;VAR:CALENDAR=US&amp;VAR:SYMBOL=WYNN&amp;VAR:INDEX=0"}</definedName>
    <definedName name="_538__FDSAUDITLINK__" hidden="1">{"fdsup://directions/FAT Viewer?action=UPDATE&amp;creator=factset&amp;DYN_ARGS=TRUE&amp;DOC_NAME=FAT:FQL_AUDITING_CLIENT_TEMPLATE.FAT&amp;display_string=Audit&amp;VAR:KEY=FEFIZUZMVY&amp;VAR:QUERY=KChGRl9FQklUREEoTFRNLDAsLCxSRixVU0QpQEZGX0VCSVREQShMVE1TX1NFTUksMCwsLFJGLFVTRCkpQEZGX","0VCSVREQShBTk4sMCwsLFJGLFVTRCkp&amp;WINDOW=FIRST_POPUP&amp;HEIGHT=450&amp;WIDTH=450&amp;START_MAXIMIZED=FALSE&amp;VAR:CALENDAR=US&amp;VAR:SYMBOL=WYNN&amp;VAR:INDEX=0"}</definedName>
    <definedName name="_539__FDSAUDITLINK__" hidden="1">{"fdsup://directions/FAT Viewer?action=UPDATE&amp;creator=factset&amp;DYN_ARGS=TRUE&amp;DOC_NAME=FAT:FQL_AUDITING_CLIENT_TEMPLATE.FAT&amp;display_string=Audit&amp;VAR:KEY=PILQFKVOVI&amp;VAR:QUERY=KChGRl9HUk9TU19JTkMoTFRNLDAsLCxSRixVU0QpQEZGX0dST1NTX0lOQyhMVE1TX1NFTUksMCwsLFJGLFVTR","CkpQEZGX1NBTEVTKEFOTiwwLCwsUkYsVVNEKSk=&amp;WINDOW=FIRST_POPUP&amp;HEIGHT=450&amp;WIDTH=450&amp;START_MAXIMIZED=FALSE&amp;VAR:CALENDAR=US&amp;VAR:SYMBOL=WYNN&amp;VAR:INDEX=0"}</definedName>
    <definedName name="_54__FDSAUDITLINK__" hidden="1">{"fdsup://Directions/FactSet Auditing Viewer?action=AUDIT_VALUE&amp;DB=129&amp;ID1=46629U10&amp;VALUEID=07011&amp;SDATE=2009&amp;PERIODTYPE=ANN_STD&amp;window=popup_no_bar&amp;width=385&amp;height=120&amp;START_MAXIMIZED=FALSE&amp;creator=factset&amp;display_string=Audit"}</definedName>
    <definedName name="_540__FDSAUDITLINK__" hidden="1">{"fdsup://directions/FAT Viewer?action=UPDATE&amp;creator=factset&amp;DYN_ARGS=TRUE&amp;DOC_NAME=FAT:FQL_AUDITING_CLIENT_TEMPLATE.FAT&amp;display_string=Audit&amp;VAR:KEY=REPAZITERS&amp;VAR:QUERY=KCgoKChGRl9JTlRfRVhQX0RFQlQoTFRNLDAsLCxSRixVU0QpQEZGX0lOVF9FWFBfVE9UKExUTSwwLCwsUkYsV","VNEKSlARkZfSU5UX0VYUF9ERUJUKExUTVNfU0VNSSwwLCwsUkYsVVNEKSlARkZfSU5UX0VYUF9UT1QoTFRNU19TRU1JLDAsLCxSRixVU0QpKUBGRl9JTlRfRVhQX0RFQlQoQU5OLDAsLCxSRixVU0QpKUBGRl9JTlRfRVhQX1RPVChBTk4sMCwsLFJGLFVTRCkp&amp;WINDOW=FIRST_POPUP&amp;HEIGHT=450&amp;WIDTH=450&amp;START_MAXIMIZED=FAL","SE&amp;VAR:CALENDAR=US&amp;VAR:SYMBOL=MGM&amp;VAR:INDEX=0"}</definedName>
    <definedName name="_541__FDSAUDITLINK__" hidden="1">{"fdsup://directions/FAT Viewer?action=UPDATE&amp;creator=factset&amp;DYN_ARGS=TRUE&amp;DOC_NAME=FAT:FQL_AUDITING_CLIENT_TEMPLATE.FAT&amp;display_string=Audit&amp;VAR:KEY=HKRGNUXMVG&amp;VAR:QUERY=KChGRl9FUFMoTFRNLDAsLCxSRixVU0QpQEZGX0VQUyhMVE1TX1NFTUksMCwsLFJGLFVTRCkpQEZGX0VQUyhBT","k4sMCwsLFJGLFVTRCkp&amp;WINDOW=FIRST_POPUP&amp;HEIGHT=450&amp;WIDTH=450&amp;START_MAXIMIZED=FALSE&amp;VAR:CALENDAR=US&amp;VAR:SYMBOL=MGM&amp;VAR:INDEX=0"}</definedName>
    <definedName name="_542__FDSAUDITLINK__" hidden="1">{"fdsup://directions/FAT Viewer?action=UPDATE&amp;creator=factset&amp;DYN_ARGS=TRUE&amp;DOC_NAME=FAT:FQL_AUDITING_CLIENT_TEMPLATE.FAT&amp;display_string=Audit&amp;VAR:KEY=TQLYDOZUFY&amp;VAR:QUERY=KChGRl9ORVRfSU5DKExUTSwwLCwsUkYsVVNEKUBGRl9ORVRfSU5DKExUTVNfU0VNSSwwLCwsUkYsVVNEKSlAR","kZfTkVUX0lOQyhBTk4sMCwsLFJGLFVTRCkp&amp;WINDOW=FIRST_POPUP&amp;HEIGHT=450&amp;WIDTH=450&amp;START_MAXIMIZED=FALSE&amp;VAR:CALENDAR=US&amp;VAR:SYMBOL=MGM&amp;VAR:INDEX=0"}</definedName>
    <definedName name="_543__FDSAUDITLINK__" hidden="1">{"fdsup://directions/FAT Viewer?action=UPDATE&amp;creator=factset&amp;DYN_ARGS=TRUE&amp;DOC_NAME=FAT:FQL_AUDITING_CLIENT_TEMPLATE.FAT&amp;display_string=Audit&amp;VAR:KEY=NKNAZSPMLO&amp;VAR:QUERY=KChGRl9FQklUKExUTSwwLCwsUkYsVVNEKUBGRl9FQklUKExUTVNfU0VNSSwwLCwsUkYsVVNEKSlARkZfRUJJV","ChBTk4sMCwsLFJGLFVTRCkp&amp;WINDOW=FIRST_POPUP&amp;HEIGHT=450&amp;WIDTH=450&amp;START_MAXIMIZED=FALSE&amp;VAR:CALENDAR=US&amp;VAR:SYMBOL=MGM&amp;VAR:INDEX=0"}</definedName>
    <definedName name="_544__FDSAUDITLINK__" hidden="1">{"fdsup://directions/FAT Viewer?action=UPDATE&amp;creator=factset&amp;DYN_ARGS=TRUE&amp;DOC_NAME=FAT:FQL_AUDITING_CLIENT_TEMPLATE.FAT&amp;display_string=Audit&amp;VAR:KEY=RKDYHKZUZE&amp;VAR:QUERY=KChGRl9ERUJUKFFUUiwwLCwsUkYsVVNEKUBGRl9ERUJUKFNFTUksMCwsLFJGLFVTRCkpQEZGX0RFQlQoQU5OL","DAsLCxSRixVU0QpKQ==&amp;WINDOW=FIRST_POPUP&amp;HEIGHT=450&amp;WIDTH=450&amp;START_MAXIMIZED=FALSE&amp;VAR:CALENDAR=US&amp;VAR:SYMBOL=MGM&amp;VAR:INDEX=0"}</definedName>
    <definedName name="_545__FDSAUDITLINK__" hidden="1">{"fdsup://Directions/FactSet Auditing Viewer?action=AUDIT_VALUE&amp;DB=129&amp;ID1=51783410&amp;VALUEID=02001&amp;SDATE=201103&amp;PERIODTYPE=QTR_STD&amp;SCFT=3&amp;window=popup_no_bar&amp;width=385&amp;height=120&amp;START_MAXIMIZED=FALSE&amp;creator=factset&amp;display_string=Audit"}</definedName>
    <definedName name="_546__FDSAUDITLINK__" hidden="1">{"fdsup://Directions/FactSet Auditing Viewer?action=AUDIT_VALUE&amp;DB=129&amp;ID1=710725&amp;VALUEID=01001&amp;SDATE=201002&amp;PERIODTYPE=QTR_STD&amp;SCFT=3&amp;window=popup_no_bar&amp;width=385&amp;height=120&amp;START_MAXIMIZED=FALSE&amp;creator=factset&amp;display_string=Audit"}</definedName>
    <definedName name="_547__FDSAUDITLINK__" hidden="1">{"fdsup://Directions/FactSet Auditing Viewer?action=AUDIT_VALUE&amp;DB=129&amp;ID1=B0V3WR&amp;VALUEID=01001&amp;SDATE=201102&amp;PERIODTYPE=QTR_STD&amp;SCFT=3&amp;window=popup_no_bar&amp;width=385&amp;height=120&amp;START_MAXIMIZED=FALSE&amp;creator=factset&amp;display_string=Audit"}</definedName>
    <definedName name="_548__FDSAUDITLINK__" hidden="1">{"fdsup://Directions/FactSet Auditing Viewer?action=AUDIT_VALUE&amp;DB=129&amp;ID1=B0V3WR&amp;VALUEID=01001&amp;SDATE=201003&amp;PERIODTYPE=QTR_STD&amp;SCFT=3&amp;window=popup_no_bar&amp;width=385&amp;height=120&amp;START_MAXIMIZED=FALSE&amp;creator=factset&amp;display_string=Audit"}</definedName>
    <definedName name="_549__FDSAUDITLINK__" hidden="1">{"fdsup://Directions/FactSet Auditing Viewer?action=AUDIT_VALUE&amp;DB=129&amp;ID1=Y2711Y10&amp;VALUEID=03451&amp;SDATE=201102&amp;PERIODTYPE=QTR_STD&amp;SCFT=3&amp;window=popup_no_bar&amp;width=385&amp;height=120&amp;START_MAXIMIZED=FALSE&amp;creator=factset&amp;display_string=Audit"}</definedName>
    <definedName name="_55__FDSAUDITLINK__" hidden="1">{"fdsup://directions/FAT Viewer?action=UPDATE&amp;creator=factset&amp;DYN_ARGS=TRUE&amp;DOC_NAME=FAT:FQL_AUDITING_CLIENT_TEMPLATE.FAT&amp;display_string=Audit&amp;VAR:KEY=YVORGXIRGH&amp;VAR:QUERY=KCgoKEZGX1NITERSU19FUShRVFIsMCwsLFJTLFVTRClAKEZGX0xJQUJTX1NITERSU19FUShRVFIsMCwsLFJTL","FVTRCktRkZfTElBQlMoUVRSLDAsLCxSUyxVU0QpKSkpQCgoRkZfU0hMRFJTX0VRKFNFTUksMCwsLFJTLFVTRClAKEZGX0xJQUJTX1NITERSU19FUShTRU1JLDAsLCxSUyxVU0QpLUZGX0xJQUJTKFNFTUksMCwsLFJTLFVTRCkpKSkpQEZGX1NITERSU19FUShBTk4sMCwsLFJTLFVTRCkp&amp;WINDOW=FIRST_POPUP&amp;HEIGHT=450&amp;WIDTH=450","&amp;START_MAXIMIZED=FALSE&amp;VAR:CALENDAR=US&amp;VAR:SYMBOL=JMP&amp;VAR:INDEX=0"}</definedName>
    <definedName name="_550__FDSAUDITLINK__" hidden="1">{"fdsup://directions/FAT Viewer?action=UPDATE&amp;creator=factset&amp;DYN_ARGS=TRUE&amp;DOC_NAME=FAT:FQL_AUDITING_CLIENT_TEMPLATE.FAT&amp;display_string=Audit&amp;VAR:KEY=ANAHARYFUF&amp;VAR:QUERY=RkZfTkVUX0lOQyhBTk4sMCwsLCxVU0Qp&amp;WINDOW=FIRST_POPUP&amp;HEIGHT=450&amp;WIDTH=450&amp;START_MAXIMI","ZED=FALSE&amp;VAR:CALENDAR=FIVEDAY&amp;VAR:SYMBOL=0&amp;VAR:INDEX=0"}</definedName>
    <definedName name="_551__FDSAUDITLINK__" hidden="1">{"fdsup://directions/FAT Viewer?action=UPDATE&amp;creator=factset&amp;DYN_ARGS=TRUE&amp;DOC_NAME=FAT:FQL_AUDITING_CLIENT_TEMPLATE.FAT&amp;display_string=Audit&amp;VAR:KEY=GXSLWPUHQR&amp;VAR:QUERY=RkZfRUJJVERBX09QRVIoQU5OLC0xRlksLCwsVVNEKQ==&amp;WINDOW=FIRST_POPUP&amp;HEIGHT=450&amp;WIDTH=450&amp;","START_MAXIMIZED=FALSE&amp;VAR:CALENDAR=FIVEDAY&amp;VAR:SYMBOL=0&amp;VAR:INDEX=0"}</definedName>
    <definedName name="_552__FDSAUDITLINK__" hidden="1">{"fdsup://directions/FAT Viewer?action=UPDATE&amp;creator=factset&amp;DYN_ARGS=TRUE&amp;DOC_NAME=FAT:FQL_AUDITING_CLIENT_TEMPLATE.FAT&amp;display_string=Audit&amp;VAR:KEY=CRCZEPYNYT&amp;VAR:QUERY=RkZfRUJJVERBX09QRVIoQU5OLDAsLCwsVVNEKQ==&amp;WINDOW=FIRST_POPUP&amp;HEIGHT=450&amp;WIDTH=450&amp;STAR","T_MAXIMIZED=FALSE&amp;VAR:CALENDAR=FIVEDAY&amp;VAR:SYMBOL=0&amp;VAR:INDEX=0"}</definedName>
    <definedName name="_553__FDSAUDITLINK__" hidden="1">{"fdsup://directions/FAT Viewer?action=UPDATE&amp;creator=factset&amp;DYN_ARGS=TRUE&amp;DOC_NAME=FAT:FQL_AUDITING_CLIENT_TEMPLATE.FAT&amp;display_string=Audit&amp;VAR:KEY=MTKXUDOXEH&amp;VAR:QUERY=RkZfRU5UUlBSX1ZBTF9EQUlMWSgwLCwsLFVTRCwnRElMJyk=&amp;WINDOW=FIRST_POPUP&amp;HEIGHT=450&amp;WIDTH=","450&amp;START_MAXIMIZED=FALSE&amp;VAR:CALENDAR=FIVEDAY&amp;VAR:SYMBOL=0&amp;VAR:INDEX=0"}</definedName>
    <definedName name="_554__FDSAUDITLINK__" hidden="1">{"fdsup://directions/FAT Viewer?action=UPDATE&amp;creator=factset&amp;DYN_ARGS=TRUE&amp;DOC_NAME=FAT:FQL_AUDITING_CLIENT_TEMPLATE.FAT&amp;display_string=Audit&amp;VAR:KEY=GNOBODELOR&amp;VAR:QUERY=RkZfREVCVChBTk4sMCwsLCxVU0Qp&amp;WINDOW=FIRST_POPUP&amp;HEIGHT=450&amp;WIDTH=450&amp;START_MAXIMIZED=","FALSE&amp;VAR:CALENDAR=FIVEDAY&amp;VAR:SYMBOL=0&amp;VAR:INDEX=0"}</definedName>
    <definedName name="_555__FDSAUDITLINK__" hidden="1">{"fdsup://directions/FAT Viewer?action=UPDATE&amp;creator=factset&amp;DYN_ARGS=TRUE&amp;DOC_NAME=FAT:FQL_AUDITING_CLIENT_TEMPLATE.FAT&amp;display_string=Audit&amp;VAR:KEY=GJSHCHCLOR&amp;VAR:QUERY=RkZfTkVUX0lOQyhBTk4sLTJGWSwsLCxVU0Qp&amp;WINDOW=FIRST_POPUP&amp;HEIGHT=450&amp;WIDTH=450&amp;START_MA","XIMIZED=FALSE&amp;VAR:CALENDAR=FIVEDAY&amp;VAR:SYMBOL=0&amp;VAR:INDEX=0"}</definedName>
    <definedName name="_556__FDSAUDITLINK__" hidden="1">{"fdsup://directions/FAT Viewer?action=UPDATE&amp;creator=factset&amp;DYN_ARGS=TRUE&amp;DOC_NAME=FAT:FQL_AUDITING_CLIENT_TEMPLATE.FAT&amp;display_string=Audit&amp;VAR:KEY=WFWFGNKPCB&amp;VAR:QUERY=RkZfTkVUX0lOQyhBTk4sLTFGWSwsLCxVU0Qp&amp;WINDOW=FIRST_POPUP&amp;HEIGHT=450&amp;WIDTH=450&amp;START_MA","XIMIZED=FALSE&amp;VAR:CALENDAR=FIVEDAY&amp;VAR:SYMBOL=0&amp;VAR:INDEX=0"}</definedName>
    <definedName name="_557__FDSAUDITLINK__" hidden="1">{"fdsup://directions/FAT Viewer?action=UPDATE&amp;creator=factset&amp;DYN_ARGS=TRUE&amp;DOC_NAME=FAT:FQL_AUDITING_CLIENT_TEMPLATE.FAT&amp;display_string=Audit&amp;VAR:KEY=ALKVKPOVUH&amp;VAR:QUERY=RkZfRUJJVERBX09QRVIoQU5OLC0yRlksLCwsVVNEKQ==&amp;WINDOW=FIRST_POPUP&amp;HEIGHT=450&amp;WIDTH=450&amp;","START_MAXIMIZED=FALSE&amp;VAR:CALENDAR=FIVEDAY&amp;VAR:SYMBOL=0&amp;VAR:INDEX=0"}</definedName>
    <definedName name="_558__FDSAUDITLINK__" hidden="1">{"fdsup://directions/FAT Viewer?action=UPDATE&amp;creator=factset&amp;DYN_ARGS=TRUE&amp;DOC_NAME=FAT:FQL_AUDITING_CLIENT_TEMPLATE.FAT&amp;display_string=Audit&amp;VAR:KEY=ANAHARYFUF&amp;VAR:QUERY=RkZfTkVUX0lOQyhBTk4sMCwsLCxVU0Qp&amp;WINDOW=FIRST_POPUP&amp;HEIGHT=450&amp;WIDTH=450&amp;START_MAXIMI","ZED=FALSE&amp;VAR:CALENDAR=FIVEDAY&amp;VAR:SYMBOL=0&amp;VAR:INDEX=0"}</definedName>
    <definedName name="_559__FDSAUDITLINK__" hidden="1">{"fdsup://directions/FAT Viewer?action=UPDATE&amp;creator=factset&amp;DYN_ARGS=TRUE&amp;DOC_NAME=FAT:FQL_AUDITING_CLIENT_TEMPLATE.FAT&amp;display_string=Audit&amp;VAR:KEY=GXSLWPUHQR&amp;VAR:QUERY=RkZfRUJJVERBX09QRVIoQU5OLC0xRlksLCwsVVNEKQ==&amp;WINDOW=FIRST_POPUP&amp;HEIGHT=450&amp;WIDTH=450&amp;","START_MAXIMIZED=FALSE&amp;VAR:CALENDAR=FIVEDAY&amp;VAR:SYMBOL=0&amp;VAR:INDEX=0"}</definedName>
    <definedName name="_56__FDSAUDITLINK__" hidden="1">{"fdsup://directions/FAT Viewer?action=UPDATE&amp;creator=factset&amp;DYN_ARGS=TRUE&amp;DOC_NAME=FAT:FQL_AUDITING_CLIENT_TEMPLATE.FAT&amp;display_string=Audit&amp;VAR:KEY=AHWVYDSZKF&amp;VAR:QUERY=KCgoKEZGX1NITERSU19FUShRVFIsMCwsLFJTLFVTRClAKEZGX0xJQUJTX1NITERSU19FUShRVFIsMCwsLFJTL","FVTRCktRkZfTElBQlMoUVRSLDAsLCxSUyxVU0QpKSkpQCgoRkZfU0hMRFJTX0VRKFNFTUksMCwsLFJTLFVTRClAKEZGX0xJQUJTX1NITERSU19FUShTRU1JLDAsLCxSUyxVU0QpLUZGX0xJQUJTKFNFTUksMCwsLFJTLFVTRCkpKSkpQEZGX1NITERSU19FUShBTk4sMCwsLFJTLFVTRCkp&amp;WINDOW=FIRST_POPUP&amp;HEIGHT=450&amp;WIDTH=450","&amp;START_MAXIMIZED=FALSE&amp;VAR:CALENDAR=US&amp;VAR:SYMBOL=2174&amp;VAR:INDEX=0"}</definedName>
    <definedName name="_560__FDSAUDITLINK__" hidden="1">{"fdsup://directions/FAT Viewer?action=UPDATE&amp;creator=factset&amp;DYN_ARGS=TRUE&amp;DOC_NAME=FAT:FQL_AUDITING_CLIENT_TEMPLATE.FAT&amp;display_string=Audit&amp;VAR:KEY=CRCZEPYNYT&amp;VAR:QUERY=RkZfRUJJVERBX09QRVIoQU5OLDAsLCwsVVNEKQ==&amp;WINDOW=FIRST_POPUP&amp;HEIGHT=450&amp;WIDTH=450&amp;STAR","T_MAXIMIZED=FALSE&amp;VAR:CALENDAR=FIVEDAY&amp;VAR:SYMBOL=0&amp;VAR:INDEX=0"}</definedName>
    <definedName name="_561__FDSAUDITLINK__" hidden="1">{"fdsup://directions/FAT Viewer?action=UPDATE&amp;creator=factset&amp;DYN_ARGS=TRUE&amp;DOC_NAME=FAT:FQL_AUDITING_CLIENT_TEMPLATE.FAT&amp;display_string=Audit&amp;VAR:KEY=MTKXUDOXEH&amp;VAR:QUERY=RkZfRU5UUlBSX1ZBTF9EQUlMWSgwLCwsLFVTRCwnRElMJyk=&amp;WINDOW=FIRST_POPUP&amp;HEIGHT=450&amp;WIDTH=","450&amp;START_MAXIMIZED=FALSE&amp;VAR:CALENDAR=FIVEDAY&amp;VAR:SYMBOL=0&amp;VAR:INDEX=0"}</definedName>
    <definedName name="_562__FDSAUDITLINK__" hidden="1">{"fdsup://directions/FAT Viewer?action=UPDATE&amp;creator=factset&amp;DYN_ARGS=TRUE&amp;DOC_NAME=FAT:FQL_AUDITING_CLIENT_TEMPLATE.FAT&amp;display_string=Audit&amp;VAR:KEY=GNOBODELOR&amp;VAR:QUERY=RkZfREVCVChBTk4sMCwsLCxVU0Qp&amp;WINDOW=FIRST_POPUP&amp;HEIGHT=450&amp;WIDTH=450&amp;START_MAXIMIZED=","FALSE&amp;VAR:CALENDAR=FIVEDAY&amp;VAR:SYMBOL=0&amp;VAR:INDEX=0"}</definedName>
    <definedName name="_563__FDSAUDITLINK__" hidden="1">{"fdsup://directions/FAT Viewer?action=UPDATE&amp;creator=factset&amp;DYN_ARGS=TRUE&amp;DOC_NAME=FAT:FQL_AUDITING_CLIENT_TEMPLATE.FAT&amp;display_string=Audit&amp;VAR:KEY=GJSHCHCLOR&amp;VAR:QUERY=RkZfTkVUX0lOQyhBTk4sLTJGWSwsLCxVU0Qp&amp;WINDOW=FIRST_POPUP&amp;HEIGHT=450&amp;WIDTH=450&amp;START_MA","XIMIZED=FALSE&amp;VAR:CALENDAR=FIVEDAY&amp;VAR:SYMBOL=0&amp;VAR:INDEX=0"}</definedName>
    <definedName name="_564__FDSAUDITLINK__" hidden="1">{"fdsup://directions/FAT Viewer?action=UPDATE&amp;creator=factset&amp;DYN_ARGS=TRUE&amp;DOC_NAME=FAT:FQL_AUDITING_CLIENT_TEMPLATE.FAT&amp;display_string=Audit&amp;VAR:KEY=WFWFGNKPCB&amp;VAR:QUERY=RkZfTkVUX0lOQyhBTk4sLTFGWSwsLCxVU0Qp&amp;WINDOW=FIRST_POPUP&amp;HEIGHT=450&amp;WIDTH=450&amp;START_MA","XIMIZED=FALSE&amp;VAR:CALENDAR=FIVEDAY&amp;VAR:SYMBOL=0&amp;VAR:INDEX=0"}</definedName>
    <definedName name="_565__FDSAUDITLINK__" hidden="1">{"fdsup://directions/FAT Viewer?action=UPDATE&amp;creator=factset&amp;DYN_ARGS=TRUE&amp;DOC_NAME=FAT:FQL_AUDITING_CLIENT_TEMPLATE.FAT&amp;display_string=Audit&amp;VAR:KEY=ALKVKPOVUH&amp;VAR:QUERY=RkZfRUJJVERBX09QRVIoQU5OLC0yRlksLCwsVVNEKQ==&amp;WINDOW=FIRST_POPUP&amp;HEIGHT=450&amp;WIDTH=450&amp;","START_MAXIMIZED=FALSE&amp;VAR:CALENDAR=FIVEDAY&amp;VAR:SYMBOL=0&amp;VAR:INDEX=0"}</definedName>
    <definedName name="_566__FDSAUDITLINK__" hidden="1">{"fdsup://directions/FAT Viewer?action=UPDATE&amp;creator=factset&amp;DYN_ARGS=TRUE&amp;DOC_NAME=FAT:FQL_AUDITING_CLIENT_TEMPLATE.FAT&amp;display_string=Audit&amp;VAR:KEY=ANAHARYFUF&amp;VAR:QUERY=RkZfTkVUX0lOQyhBTk4sMCwsLCxVU0Qp&amp;WINDOW=FIRST_POPUP&amp;HEIGHT=450&amp;WIDTH=450&amp;START_MAXIMI","ZED=FALSE&amp;VAR:CALENDAR=FIVEDAY&amp;VAR:SYMBOL=0&amp;VAR:INDEX=0"}</definedName>
    <definedName name="_567__FDSAUDITLINK__" hidden="1">{"fdsup://directions/FAT Viewer?action=UPDATE&amp;creator=factset&amp;DYN_ARGS=TRUE&amp;DOC_NAME=FAT:FQL_AUDITING_CLIENT_TEMPLATE.FAT&amp;display_string=Audit&amp;VAR:KEY=GXSLWPUHQR&amp;VAR:QUERY=RkZfRUJJVERBX09QRVIoQU5OLC0xRlksLCwsVVNEKQ==&amp;WINDOW=FIRST_POPUP&amp;HEIGHT=450&amp;WIDTH=450&amp;","START_MAXIMIZED=FALSE&amp;VAR:CALENDAR=FIVEDAY&amp;VAR:SYMBOL=0&amp;VAR:INDEX=0"}</definedName>
    <definedName name="_568__FDSAUDITLINK__" hidden="1">{"fdsup://directions/FAT Viewer?action=UPDATE&amp;creator=factset&amp;DYN_ARGS=TRUE&amp;DOC_NAME=FAT:FQL_AUDITING_CLIENT_TEMPLATE.FAT&amp;display_string=Audit&amp;VAR:KEY=CRCZEPYNYT&amp;VAR:QUERY=RkZfRUJJVERBX09QRVIoQU5OLDAsLCwsVVNEKQ==&amp;WINDOW=FIRST_POPUP&amp;HEIGHT=450&amp;WIDTH=450&amp;STAR","T_MAXIMIZED=FALSE&amp;VAR:CALENDAR=FIVEDAY&amp;VAR:SYMBOL=0&amp;VAR:INDEX=0"}</definedName>
    <definedName name="_569__FDSAUDITLINK__" hidden="1">{"fdsup://directions/FAT Viewer?action=UPDATE&amp;creator=factset&amp;DYN_ARGS=TRUE&amp;DOC_NAME=FAT:FQL_AUDITING_CLIENT_TEMPLATE.FAT&amp;display_string=Audit&amp;VAR:KEY=MTKXUDOXEH&amp;VAR:QUERY=RkZfRU5UUlBSX1ZBTF9EQUlMWSgwLCwsLFVTRCwnRElMJyk=&amp;WINDOW=FIRST_POPUP&amp;HEIGHT=450&amp;WIDTH=","450&amp;START_MAXIMIZED=FALSE&amp;VAR:CALENDAR=FIVEDAY&amp;VAR:SYMBOL=0&amp;VAR:INDEX=0"}</definedName>
    <definedName name="_57__FDSAUDITLINK__" hidden="1">{"fdsup://Directions/FactSet Auditing Viewer?action=AUDIT_VALUE&amp;DB=129&amp;ID1=22362210&amp;VALUEID=07011&amp;SDATE=2009&amp;PERIODTYPE=ANN_STD&amp;window=popup_no_bar&amp;width=385&amp;height=120&amp;START_MAXIMIZED=FALSE&amp;creator=factset&amp;display_string=Audit"}</definedName>
    <definedName name="_570__FDSAUDITLINK__" hidden="1">{"fdsup://directions/FAT Viewer?action=UPDATE&amp;creator=factset&amp;DYN_ARGS=TRUE&amp;DOC_NAME=FAT:FQL_AUDITING_CLIENT_TEMPLATE.FAT&amp;display_string=Audit&amp;VAR:KEY=GNOBODELOR&amp;VAR:QUERY=RkZfREVCVChBTk4sMCwsLCxVU0Qp&amp;WINDOW=FIRST_POPUP&amp;HEIGHT=450&amp;WIDTH=450&amp;START_MAXIMIZED=","FALSE&amp;VAR:CALENDAR=FIVEDAY&amp;VAR:SYMBOL=0&amp;VAR:INDEX=0"}</definedName>
    <definedName name="_571__FDSAUDITLINK__" hidden="1">{"fdsup://directions/FAT Viewer?action=UPDATE&amp;creator=factset&amp;DYN_ARGS=TRUE&amp;DOC_NAME=FAT:FQL_AUDITING_CLIENT_TEMPLATE.FAT&amp;display_string=Audit&amp;VAR:KEY=GJSHCHCLOR&amp;VAR:QUERY=RkZfTkVUX0lOQyhBTk4sLTJGWSwsLCxVU0Qp&amp;WINDOW=FIRST_POPUP&amp;HEIGHT=450&amp;WIDTH=450&amp;START_MA","XIMIZED=FALSE&amp;VAR:CALENDAR=FIVEDAY&amp;VAR:SYMBOL=0&amp;VAR:INDEX=0"}</definedName>
    <definedName name="_572__FDSAUDITLINK__" hidden="1">{"fdsup://directions/FAT Viewer?action=UPDATE&amp;creator=factset&amp;DYN_ARGS=TRUE&amp;DOC_NAME=FAT:FQL_AUDITING_CLIENT_TEMPLATE.FAT&amp;display_string=Audit&amp;VAR:KEY=WFWFGNKPCB&amp;VAR:QUERY=RkZfTkVUX0lOQyhBTk4sLTFGWSwsLCxVU0Qp&amp;WINDOW=FIRST_POPUP&amp;HEIGHT=450&amp;WIDTH=450&amp;START_MA","XIMIZED=FALSE&amp;VAR:CALENDAR=FIVEDAY&amp;VAR:SYMBOL=0&amp;VAR:INDEX=0"}</definedName>
    <definedName name="_58__FDSAUDITLINK__" hidden="1">{"fdsup://Directions/FactSet Auditing Viewer?action=AUDIT_VALUE&amp;DB=129&amp;ID1=22362210&amp;VALUEID=07011&amp;SDATE=2009&amp;PERIODTYPE=ANN_STD&amp;window=popup_no_bar&amp;width=385&amp;height=120&amp;START_MAXIMIZED=FALSE&amp;creator=factset&amp;display_string=Audit"}</definedName>
    <definedName name="_587__FDSAUDITLINK__" hidden="1">{"fdsup://directions/FAT Viewer?action=UPDATE&amp;creator=factset&amp;DYN_ARGS=TRUE&amp;DOC_NAME=FAT:FQL_AUDITING_CLIENT_TEMPLATE.FAT&amp;display_string=Audit&amp;VAR:KEY=QPGJQRMVKT&amp;VAR:QUERY=RkZfTkVUX0lOQyhBTk4sLTFGWSwsLCxVU0Qp&amp;WINDOW=FIRST_POPUP&amp;HEIGHT=450&amp;WIDTH=450&amp;START_MA","XIMIZED=FALSE&amp;VAR:CALENDAR=FIVEDAY&amp;VAR:INDEX=0"}</definedName>
    <definedName name="_59__FDSAUDITLINK__" hidden="1">{"fdsup://directions/FAT Viewer?action=UPDATE&amp;creator=factset&amp;DYN_ARGS=TRUE&amp;DOC_NAME=FAT:FQL_AUDITING_CLIENT_TEMPLATE.FAT&amp;display_string=Audit&amp;VAR:KEY=SVQZSZQFOR&amp;VAR:QUERY=KCgoKEZGX1NITERSU19FUShRVFIsMCwsLFJTLFVTRClAKEZGX0xJQUJTX1NITERSU19FUShRVFIsMCwsLFJTL","FVTRCktRkZfTElBQlMoUVRSLDAsLCxSUyxVU0QpKSkpQCgoRkZfU0hMRFJTX0VRKFNFTUksMCwsLFJTLFVTRClAKEZGX0xJQUJTX1NITERSU19FUShTRU1JLDAsLCxSUyxVU0QpLUZGX0xJQUJTKFNFTUksMCwsLFJTLFVTRCkpKSkpQEZGX1NITERSU19FUShBTk4sMCwsLFJTLFVTRCkp&amp;WINDOW=FIRST_POPUP&amp;HEIGHT=450&amp;WIDTH=450","&amp;START_MAXIMIZED=FALSE&amp;VAR:CALENDAR=US&amp;VAR:SYMBOL=COWN&amp;VAR:INDEX=0"}</definedName>
    <definedName name="_593__FDSAUDITLINK__" hidden="1">{"fdsup://directions/FAT Viewer?action=UPDATE&amp;creator=factset&amp;DYN_ARGS=TRUE&amp;DOC_NAME=FAT:FQL_AUDITING_CLIENT_TEMPLATE.FAT&amp;display_string=Audit&amp;VAR:KEY=SFGVQZWTCJ&amp;VAR:QUERY=RkZfRU5UUlBSX1ZBTF9EQUlMWSgwLCwsLFVTRCwnRElMJykgLyBGRl9TQUxFUyhNT04sMCwsLCxVU0Qp&amp;WIND","OW=FIRST_POPUP&amp;HEIGHT=450&amp;WIDTH=450&amp;START_MAXIMIZED=FALSE&amp;VAR:CALENDAR=FIVEDAY&amp;VAR:SYMBOL=0&amp;VAR:INDEX=0"}</definedName>
    <definedName name="_594__FDSAUDITLINK__" hidden="1">{"fdsup://directions/FAT Viewer?action=UPDATE&amp;creator=factset&amp;DYN_ARGS=TRUE&amp;DOC_NAME=FAT:FQL_AUDITING_CLIENT_TEMPLATE.FAT&amp;display_string=Audit&amp;VAR:KEY=GNOBODELOR&amp;VAR:QUERY=RkZfREVCVChBTk4sMCwsLCxVU0Qp&amp;WINDOW=FIRST_POPUP&amp;HEIGHT=450&amp;WIDTH=450&amp;START_MAXIMIZED=","FALSE&amp;VAR:CALENDAR=FIVEDAY&amp;VAR:SYMBOL=0&amp;VAR:INDEX=0"}</definedName>
    <definedName name="_596__FDSAUDITLINK__" hidden="1">{"fdsup://directions/FAT Viewer?action=UPDATE&amp;creator=factset&amp;DYN_ARGS=TRUE&amp;DOC_NAME=FAT:FQL_AUDITING_CLIENT_TEMPLATE.FAT&amp;display_string=Audit&amp;VAR:KEY=MTKXUDOXEH&amp;VAR:QUERY=RkZfRU5UUlBSX1ZBTF9EQUlMWSgwLCwsLFVTRCwnRElMJyk=&amp;WINDOW=FIRST_POPUP&amp;HEIGHT=450&amp;WIDTH=","450&amp;START_MAXIMIZED=FALSE&amp;VAR:CALENDAR=FIVEDAY&amp;VAR:SYMBOL=0&amp;VAR:INDEX=0"}</definedName>
    <definedName name="_597__FDSAUDITLINK__" hidden="1">{"fdsup://directions/FAT Viewer?action=UPDATE&amp;creator=factset&amp;DYN_ARGS=TRUE&amp;DOC_NAME=FAT:FQL_AUDITING_CLIENT_TEMPLATE.FAT&amp;display_string=Audit&amp;VAR:KEY=GJSHCHCLOR&amp;VAR:QUERY=RkZfTkVUX0lOQyhBTk4sLTJGWSwsLCxVU0Qp&amp;WINDOW=FIRST_POPUP&amp;HEIGHT=450&amp;WIDTH=450&amp;START_MA","XIMIZED=FALSE&amp;VAR:CALENDAR=FIVEDAY&amp;VAR:SYMBOL=0&amp;VAR:INDEX=0"}</definedName>
    <definedName name="_598__FDSAUDITLINK__" hidden="1">{"fdsup://directions/FAT Viewer?action=UPDATE&amp;creator=factset&amp;DYN_ARGS=TRUE&amp;DOC_NAME=FAT:FQL_AUDITING_CLIENT_TEMPLATE.FAT&amp;display_string=Audit&amp;VAR:KEY=WFWFGNKPCB&amp;VAR:QUERY=RkZfTkVUX0lOQyhBTk4sLTFGWSwsLCxVU0Qp&amp;WINDOW=FIRST_POPUP&amp;HEIGHT=450&amp;WIDTH=450&amp;START_MA","XIMIZED=FALSE&amp;VAR:CALENDAR=FIVEDAY&amp;VAR:SYMBOL=0&amp;VAR:INDEX=0"}</definedName>
    <definedName name="_599__FDSAUDITLINK__" hidden="1">{"fdsup://directions/FAT Viewer?action=UPDATE&amp;creator=factset&amp;DYN_ARGS=TRUE&amp;DOC_NAME=FAT:FQL_AUDITING_CLIENT_TEMPLATE.FAT&amp;display_string=Audit&amp;VAR:KEY=ALKVKPOVUH&amp;VAR:QUERY=RkZfRUJJVERBX09QRVIoQU5OLC0yRlksLCwsVVNEKQ==&amp;WINDOW=FIRST_POPUP&amp;HEIGHT=450&amp;WIDTH=450&amp;","START_MAXIMIZED=FALSE&amp;VAR:CALENDAR=FIVEDAY&amp;VAR:SYMBOL=0&amp;VAR:INDEX=0"}</definedName>
    <definedName name="_6__123Graph_AChart_14" hidden="1">#REF!</definedName>
    <definedName name="_6__123Graph_BChart_4" hidden="1">#REF!</definedName>
    <definedName name="_6__123Graph_X_FABP_L.WK1_FAB" hidden="1">#REF!</definedName>
    <definedName name="_6__FDSAUDITLINK__" hidden="1">{"fdsup://directions/FAT Viewer?action=UPDATE&amp;creator=factset&amp;DYN_ARGS=TRUE&amp;DOC_NAME=FAT:FQL_AUDITING_CLIENT_TEMPLATE.FAT&amp;display_string=Audit&amp;VAR:KEY=JQXSDWPQJS&amp;VAR:QUERY=KChGRl9FQklUREEoTFRNLDAsLCxSRixVU0QpQEZGX0VCSVREQShMVE1TX1NFTUksMCwsLFJGLFVTRCkpQEZGX","0VCSVREQShBTk4sMCwsLFJGLFVTRCkp&amp;WINDOW=FIRST_POPUP&amp;HEIGHT=450&amp;WIDTH=450&amp;START_MAXIMIZED=FALSE&amp;VAR:CALENDAR=US&amp;VAR:SYMBOL=TSRA&amp;VAR:INDEX=0"}</definedName>
    <definedName name="_6__FDSAUDITLINK___1" hidden="1">{"fdsup://IBCentral/FAT Viewer?action=UPDATE&amp;creator=factset&amp;DOC_NAME=fat:reuters_annual_shs_src_window.fat&amp;display_string=Audit&amp;DYN_ARGS=TRUE&amp;VAR:ID1=48887910&amp;VAR:RCODE=FDSSHSOUTDEPS&amp;VAR:SDATE=20071299&amp;VAR:FREQ=Y&amp;VAR:RELITEM=RF&amp;VAR:CURRENCY=&amp;VAR:CURRSOURCE","=EXSHARE&amp;VAR:NATFREQ=ANNUAL&amp;VAR:RFIELD=FINALIZED&amp;VAR:DB_TYPE=&amp;VAR:UNITS=MONTHLY&amp;window=popup&amp;width=450&amp;height=300&amp;START_MAXIMIZED=FALSE"}</definedName>
    <definedName name="_6_0_Table2_" hidden="1">#REF!</definedName>
    <definedName name="_60__FDSAUDITLINK__" hidden="1">{"fdsup://Directions/FactSet Auditing Viewer?action=AUDIT_VALUE&amp;DB=129&amp;ID1=11134A10&amp;VALUEID=07011&amp;SDATE=2009&amp;PERIODTYPE=ANN_STD&amp;window=popup_no_bar&amp;width=385&amp;height=120&amp;START_MAXIMIZED=FALSE&amp;creator=factset&amp;display_string=Audit"}</definedName>
    <definedName name="_600__FDSAUDITLINK__" hidden="1">{"fdsup://directions/FAT Viewer?action=UPDATE&amp;creator=factset&amp;DYN_ARGS=TRUE&amp;DOC_NAME=FAT:FQL_AUDITING_CLIENT_TEMPLATE.FAT&amp;display_string=Audit&amp;VAR:KEY=ANAHARYFUF&amp;VAR:QUERY=RkZfTkVUX0lOQyhBTk4sMCwsLCxVU0Qp&amp;WINDOW=FIRST_POPUP&amp;HEIGHT=450&amp;WIDTH=450&amp;START_MAXIMI","ZED=FALSE&amp;VAR:CALENDAR=FIVEDAY&amp;VAR:SYMBOL=0&amp;VAR:INDEX=0"}</definedName>
    <definedName name="_601__FDSAUDITLINK__" hidden="1">{"fdsup://directions/FAT Viewer?action=UPDATE&amp;creator=factset&amp;DYN_ARGS=TRUE&amp;DOC_NAME=FAT:FQL_AUDITING_CLIENT_TEMPLATE.FAT&amp;display_string=Audit&amp;VAR:KEY=GXSLWPUHQR&amp;VAR:QUERY=RkZfRUJJVERBX09QRVIoQU5OLC0xRlksLCwsVVNEKQ==&amp;WINDOW=FIRST_POPUP&amp;HEIGHT=450&amp;WIDTH=450&amp;","START_MAXIMIZED=FALSE&amp;VAR:CALENDAR=FIVEDAY&amp;VAR:SYMBOL=0&amp;VAR:INDEX=0"}</definedName>
    <definedName name="_602__FDSAUDITLINK__" hidden="1">{"fdsup://directions/FAT Viewer?action=UPDATE&amp;creator=factset&amp;DYN_ARGS=TRUE&amp;DOC_NAME=FAT:FQL_AUDITING_CLIENT_TEMPLATE.FAT&amp;display_string=Audit&amp;VAR:KEY=CRCZEPYNYT&amp;VAR:QUERY=RkZfRUJJVERBX09QRVIoQU5OLDAsLCwsVVNEKQ==&amp;WINDOW=FIRST_POPUP&amp;HEIGHT=450&amp;WIDTH=450&amp;STAR","T_MAXIMIZED=FALSE&amp;VAR:CALENDAR=FIVEDAY&amp;VAR:SYMBOL=0&amp;VAR:INDEX=0"}</definedName>
    <definedName name="_603__FDSAUDITLINK__" hidden="1">{"fdsup://directions/FAT Viewer?action=UPDATE&amp;creator=factset&amp;DYN_ARGS=TRUE&amp;DOC_NAME=FAT:FQL_AUDITING_CLIENT_TEMPLATE.FAT&amp;display_string=Audit&amp;VAR:KEY=MTKXUDOXEH&amp;VAR:QUERY=RkZfRU5UUlBSX1ZBTF9EQUlMWSgwLCwsLFVTRCwnRElMJyk=&amp;WINDOW=FIRST_POPUP&amp;HEIGHT=450&amp;WIDTH=","450&amp;START_MAXIMIZED=FALSE&amp;VAR:CALENDAR=FIVEDAY&amp;VAR:SYMBOL=0&amp;VAR:INDEX=0"}</definedName>
    <definedName name="_604__FDSAUDITLINK__" hidden="1">{"fdsup://directions/FAT Viewer?action=UPDATE&amp;creator=factset&amp;DYN_ARGS=TRUE&amp;DOC_NAME=FAT:FQL_AUDITING_CLIENT_TEMPLATE.FAT&amp;display_string=Audit&amp;VAR:KEY=APIXWVSNML&amp;VAR:QUERY=RkZfRU5UUlBSX1ZBTF9EQUlMWSgwLCwsLFVTRCwnRElMJykgLyBGRV9FU1RJTUFURShTQUxFUygpLE1FQU4sQ","U5OVUFMX1JPTEwsKzIsMCwsLCcsQ1VSUkVOQ1k9VVNELEZJWEVEUkFURT1OTywnKQ==&amp;WINDOW=FIRST_POPUP&amp;HEIGHT=450&amp;WIDTH=450&amp;START_MAXIMIZED=FALSE&amp;VAR:CALENDAR=FIVEDAY&amp;VAR:SYMBOL=0&amp;VAR:INDEX=0"}</definedName>
    <definedName name="_605__FDSAUDITLINK__" hidden="1">{"fdsup://directions/FAT Viewer?action=UPDATE&amp;creator=factset&amp;DYN_ARGS=TRUE&amp;DOC_NAME=FAT:FQL_AUDITING_CLIENT_TEMPLATE.FAT&amp;display_string=Audit&amp;VAR:KEY=GHKFCHAXAP&amp;VAR:QUERY=RkZfRU5UUlBSX1ZBTF9EQUlMWSgwLCwsLFVTRCwnRElMJykgLyBGRV9FU1RJTUFURShTQUxFUygpLE1FQU4sQ","U5OVUFMX1JPTEwsKzEsMCwsLCcsQ1VSUkVOQ1k9VVNELEZJWEVEUkFURT1OTywnKQ==&amp;WINDOW=FIRST_POPUP&amp;HEIGHT=450&amp;WIDTH=450&amp;START_MAXIMIZED=FALSE&amp;VAR:CALENDAR=FIVEDAY&amp;VAR:SYMBOL=0&amp;VAR:INDEX=0"}</definedName>
    <definedName name="_606__FDSAUDITLINK__" hidden="1">{"fdsup://directions/FAT Viewer?action=UPDATE&amp;creator=factset&amp;DYN_ARGS=TRUE&amp;DOC_NAME=FAT:FQL_AUDITING_CLIENT_TEMPLATE.FAT&amp;display_string=Audit&amp;VAR:KEY=SFGVQZWTCJ&amp;VAR:QUERY=RkZfRU5UUlBSX1ZBTF9EQUlMWSgwLCwsLFVTRCwnRElMJykgLyBGRl9TQUxFUyhNT04sMCwsLCxVU0Qp&amp;WIND","OW=FIRST_POPUP&amp;HEIGHT=450&amp;WIDTH=450&amp;START_MAXIMIZED=FALSE&amp;VAR:CALENDAR=FIVEDAY&amp;VAR:SYMBOL=0&amp;VAR:INDEX=0"}</definedName>
    <definedName name="_607__FDSAUDITLINK__" hidden="1">{"fdsup://directions/FAT Viewer?action=UPDATE&amp;creator=factset&amp;DYN_ARGS=TRUE&amp;DOC_NAME=FAT:FQL_AUDITING_CLIENT_TEMPLATE.FAT&amp;display_string=Audit&amp;VAR:KEY=CRCZEPYNYT&amp;VAR:QUERY=RkZfRUJJVERBX09QRVIoQU5OLDAsLCwsVVNEKQ==&amp;WINDOW=FIRST_POPUP&amp;HEIGHT=450&amp;WIDTH=450&amp;STAR","T_MAXIMIZED=FALSE&amp;VAR:CALENDAR=FIVEDAY&amp;VAR:SYMBOL=0&amp;VAR:INDEX=0"}</definedName>
    <definedName name="_609__FDSAUDITLINK__" hidden="1">{"fdsup://directions/FAT Viewer?action=UPDATE&amp;creator=factset&amp;DYN_ARGS=TRUE&amp;DOC_NAME=FAT:FQL_AUDITING_CLIENT_TEMPLATE.FAT&amp;display_string=Audit&amp;VAR:KEY=GXSLWPUHQR&amp;VAR:QUERY=RkZfRUJJVERBX09QRVIoQU5OLC0xRlksLCwsVVNEKQ==&amp;WINDOW=FIRST_POPUP&amp;HEIGHT=450&amp;WIDTH=450&amp;","START_MAXIMIZED=FALSE&amp;VAR:CALENDAR=FIVEDAY&amp;VAR:SYMBOL=0&amp;VAR:INDEX=0"}</definedName>
    <definedName name="_61__FDSAUDITLINK__" hidden="1">{"fdsup://Directions/FactSet Auditing Viewer?action=AUDIT_VALUE&amp;DB=129&amp;ID1=11134A10&amp;VALUEID=07011&amp;SDATE=2009&amp;PERIODTYPE=ANN_STD&amp;window=popup_no_bar&amp;width=385&amp;height=120&amp;START_MAXIMIZED=FALSE&amp;creator=factset&amp;display_string=Audit"}</definedName>
    <definedName name="_610__FDSAUDITLINK__" hidden="1">{"fdsup://directions/FAT Viewer?action=UPDATE&amp;creator=factset&amp;DYN_ARGS=TRUE&amp;DOC_NAME=FAT:FQL_AUDITING_CLIENT_TEMPLATE.FAT&amp;display_string=Audit&amp;VAR:KEY=GNOBODELOR&amp;VAR:QUERY=RkZfREVCVChBTk4sMCwsLCxVU0Qp&amp;WINDOW=FIRST_POPUP&amp;HEIGHT=450&amp;WIDTH=450&amp;START_MAXIMIZED=","FALSE&amp;VAR:CALENDAR=FIVEDAY&amp;VAR:SYMBOL=0&amp;VAR:INDEX=0"}</definedName>
    <definedName name="_611__FDSAUDITLINK__" hidden="1">{"fdsup://directions/FAT Viewer?action=UPDATE&amp;creator=factset&amp;DYN_ARGS=TRUE&amp;DOC_NAME=FAT:FQL_AUDITING_CLIENT_TEMPLATE.FAT&amp;display_string=Audit&amp;VAR:KEY=GJSHCHCLOR&amp;VAR:QUERY=RkZfTkVUX0lOQyhBTk4sLTJGWSwsLCxVU0Qp&amp;WINDOW=FIRST_POPUP&amp;HEIGHT=450&amp;WIDTH=450&amp;START_MA","XIMIZED=FALSE&amp;VAR:CALENDAR=FIVEDAY&amp;VAR:SYMBOL=0&amp;VAR:INDEX=0"}</definedName>
    <definedName name="_612__FDSAUDITLINK__" hidden="1">{"fdsup://directions/FAT Viewer?action=UPDATE&amp;creator=factset&amp;DYN_ARGS=TRUE&amp;DOC_NAME=FAT:FQL_AUDITING_CLIENT_TEMPLATE.FAT&amp;display_string=Audit&amp;VAR:KEY=WFWFGNKPCB&amp;VAR:QUERY=RkZfTkVUX0lOQyhBTk4sLTFGWSwsLCxVU0Qp&amp;WINDOW=FIRST_POPUP&amp;HEIGHT=450&amp;WIDTH=450&amp;START_MA","XIMIZED=FALSE&amp;VAR:CALENDAR=FIVEDAY&amp;VAR:SYMBOL=0&amp;VAR:INDEX=0"}</definedName>
    <definedName name="_613__FDSAUDITLINK__" hidden="1">{"fdsup://directions/FAT Viewer?action=UPDATE&amp;creator=factset&amp;DYN_ARGS=TRUE&amp;DOC_NAME=FAT:FQL_AUDITING_CLIENT_TEMPLATE.FAT&amp;display_string=Audit&amp;VAR:KEY=ALKVKPOVUH&amp;VAR:QUERY=RkZfRUJJVERBX09QRVIoQU5OLC0yRlksLCwsVVNEKQ==&amp;WINDOW=FIRST_POPUP&amp;HEIGHT=450&amp;WIDTH=450&amp;","START_MAXIMIZED=FALSE&amp;VAR:CALENDAR=FIVEDAY&amp;VAR:SYMBOL=0&amp;VAR:INDEX=0"}</definedName>
    <definedName name="_614__FDSAUDITLINK__" hidden="1">{"fdsup://directions/FAT Viewer?action=UPDATE&amp;creator=factset&amp;DYN_ARGS=TRUE&amp;DOC_NAME=FAT:FQL_AUDITING_CLIENT_TEMPLATE.FAT&amp;display_string=Audit&amp;VAR:KEY=ANAHARYFUF&amp;VAR:QUERY=RkZfTkVUX0lOQyhBTk4sMCwsLCxVU0Qp&amp;WINDOW=FIRST_POPUP&amp;HEIGHT=450&amp;WIDTH=450&amp;START_MAXIMI","ZED=FALSE&amp;VAR:CALENDAR=FIVEDAY&amp;VAR:SYMBOL=0&amp;VAR:INDEX=0"}</definedName>
    <definedName name="_615__FDSAUDITLINK__" hidden="1">{"fdsup://directions/FAT Viewer?action=UPDATE&amp;creator=factset&amp;DYN_ARGS=TRUE&amp;DOC_NAME=FAT:FQL_AUDITING_CLIENT_TEMPLATE.FAT&amp;display_string=Audit&amp;VAR:KEY=GXSLWPUHQR&amp;VAR:QUERY=RkZfRUJJVERBX09QRVIoQU5OLC0xRlksLCwsVVNEKQ==&amp;WINDOW=FIRST_POPUP&amp;HEIGHT=450&amp;WIDTH=450&amp;","START_MAXIMIZED=FALSE&amp;VAR:CALENDAR=FIVEDAY&amp;VAR:SYMBOL=0&amp;VAR:INDEX=0"}</definedName>
    <definedName name="_616__FDSAUDITLINK__" hidden="1">{"fdsup://directions/FAT Viewer?action=UPDATE&amp;creator=factset&amp;DYN_ARGS=TRUE&amp;DOC_NAME=FAT:FQL_AUDITING_CLIENT_TEMPLATE.FAT&amp;display_string=Audit&amp;VAR:KEY=CRCZEPYNYT&amp;VAR:QUERY=RkZfRUJJVERBX09QRVIoQU5OLDAsLCwsVVNEKQ==&amp;WINDOW=FIRST_POPUP&amp;HEIGHT=450&amp;WIDTH=450&amp;STAR","T_MAXIMIZED=FALSE&amp;VAR:CALENDAR=FIVEDAY&amp;VAR:SYMBOL=0&amp;VAR:INDEX=0"}</definedName>
    <definedName name="_617__FDSAUDITLINK__" hidden="1">{"fdsup://directions/FAT Viewer?action=UPDATE&amp;creator=factset&amp;DYN_ARGS=TRUE&amp;DOC_NAME=FAT:FQL_AUDITING_CLIENT_TEMPLATE.FAT&amp;display_string=Audit&amp;VAR:KEY=MTKXUDOXEH&amp;VAR:QUERY=RkZfRU5UUlBSX1ZBTF9EQUlMWSgwLCwsLFVTRCwnRElMJyk=&amp;WINDOW=FIRST_POPUP&amp;HEIGHT=450&amp;WIDTH=","450&amp;START_MAXIMIZED=FALSE&amp;VAR:CALENDAR=FIVEDAY&amp;VAR:SYMBOL=0&amp;VAR:INDEX=0"}</definedName>
    <definedName name="_618__FDSAUDITLINK__" hidden="1">{"fdsup://directions/FAT Viewer?action=UPDATE&amp;creator=factset&amp;DYN_ARGS=TRUE&amp;DOC_NAME=FAT:FQL_AUDITING_CLIENT_TEMPLATE.FAT&amp;display_string=Audit&amp;VAR:KEY=UFCFQZIZUP&amp;VAR:QUERY=RkZfRU5UUlBSX1ZBTF9EQUlMWSgwLCwsLFVTRCwnRElMJykgLyBGRV9FU1RJTUFURShFQklUREEsTUVBTixBT","k5VQUxfUk9MTCwrMiwwLCwsJyxDVVJSRU5DWT1VU0QsRklYRURSQVRFPU5PLCcp&amp;WINDOW=FIRST_POPUP&amp;HEIGHT=450&amp;WIDTH=450&amp;START_MAXIMIZED=FALSE&amp;VAR:CALENDAR=FIVEDAY&amp;VAR:SYMBOL=2174&amp;VAR:INDEX=0"}</definedName>
    <definedName name="_619__FDSAUDITLINK__" hidden="1">{"fdsup://directions/FAT Viewer?action=UPDATE&amp;creator=factset&amp;DYN_ARGS=TRUE&amp;DOC_NAME=FAT:FQL_AUDITING_CLIENT_TEMPLATE.FAT&amp;display_string=Audit&amp;VAR:KEY=APIXWVSNML&amp;VAR:QUERY=RkZfRU5UUlBSX1ZBTF9EQUlMWSgwLCwsLFVTRCwnRElMJykgLyBGRV9FU1RJTUFURShTQUxFUygpLE1FQU4sQ","U5OVUFMX1JPTEwsKzIsMCwsLCcsQ1VSUkVOQ1k9VVNELEZJWEVEUkFURT1OTywnKQ==&amp;WINDOW=FIRST_POPUP&amp;HEIGHT=450&amp;WIDTH=450&amp;START_MAXIMIZED=FALSE&amp;VAR:CALENDAR=FIVEDAY&amp;VAR:SYMBOL=0&amp;VAR:INDEX=0"}</definedName>
    <definedName name="_62__FDSAUDITLINK__" hidden="1">{"fdsup://directions/FAT Viewer?action=UPDATE&amp;creator=factset&amp;DYN_ARGS=TRUE&amp;DOC_NAME=FAT:FQL_AUDITING_CLIENT_TEMPLATE.FAT&amp;display_string=Audit&amp;VAR:KEY=KZIDOPCPIV&amp;VAR:QUERY=KCgoKEZGX1NITERSU19FUShRVFIsMCwsLFJTLFVTRClAKEZGX0xJQUJTX1NITERSU19FUShRVFIsMCwsLFJTL","FVTRCktRkZfTElBQlMoUVRSLDAsLCxSUyxVU0QpKSkpQCgoRkZfU0hMRFJTX0VRKFNFTUksMCwsLFJTLFVTRClAKEZGX0xJQUJTX1NITERSU19FUShTRU1JLDAsLCxSUyxVU0QpLUZGX0xJQUJTKFNFTUksMCwsLFJTLFVTRCkpKSkpQEZGX1NITERSU19FUShBTk4sMCwsLFJTLFVTRCkp&amp;WINDOW=FIRST_POPUP&amp;HEIGHT=450&amp;WIDTH=450","&amp;START_MAXIMIZED=FALSE&amp;VAR:CALENDAR=US&amp;VAR:SYMBOL=BPSG&amp;VAR:INDEX=0"}</definedName>
    <definedName name="_620__FDSAUDITLINK__" hidden="1">{"fdsup://directions/FAT Viewer?action=UPDATE&amp;creator=factset&amp;DYN_ARGS=TRUE&amp;DOC_NAME=FAT:FQL_AUDITING_CLIENT_TEMPLATE.FAT&amp;display_string=Audit&amp;VAR:KEY=ANAHARYFUF&amp;VAR:QUERY=RkZfTkVUX0lOQyhBTk4sMCwsLCxVU0Qp&amp;WINDOW=FIRST_POPUP&amp;HEIGHT=450&amp;WIDTH=450&amp;START_MAXIMI","ZED=FALSE&amp;VAR:CALENDAR=FIVEDAY&amp;VAR:SYMBOL=0&amp;VAR:INDEX=0"}</definedName>
    <definedName name="_622__FDSAUDITLINK__" hidden="1">{"fdsup://directions/FAT Viewer?action=UPDATE&amp;creator=factset&amp;DYN_ARGS=TRUE&amp;DOC_NAME=FAT:FQL_AUDITING_CLIENT_TEMPLATE.FAT&amp;display_string=Audit&amp;VAR:KEY=ALKVKPOVUH&amp;VAR:QUERY=RkZfRUJJVERBX09QRVIoQU5OLC0yRlksLCwsVVNEKQ==&amp;WINDOW=FIRST_POPUP&amp;HEIGHT=450&amp;WIDTH=450&amp;","START_MAXIMIZED=FALSE&amp;VAR:CALENDAR=FIVEDAY&amp;VAR:SYMBOL=0&amp;VAR:INDEX=0"}</definedName>
    <definedName name="_623__FDSAUDITLINK__" hidden="1">{"fdsup://directions/FAT Viewer?action=UPDATE&amp;creator=factset&amp;DYN_ARGS=TRUE&amp;DOC_NAME=FAT:FQL_AUDITING_CLIENT_TEMPLATE.FAT&amp;display_string=Audit&amp;VAR:KEY=MTKXUDOXEH&amp;VAR:QUERY=RkZfRU5UUlBSX1ZBTF9EQUlMWSgwLCwsLFVTRCwnRElMJyk=&amp;WINDOW=FIRST_POPUP&amp;HEIGHT=450&amp;WIDTH=","450&amp;START_MAXIMIZED=FALSE&amp;VAR:CALENDAR=FIVEDAY&amp;VAR:SYMBOL=0&amp;VAR:INDEX=0"}</definedName>
    <definedName name="_624__FDSAUDITLINK__" hidden="1">{"fdsup://directions/FAT Viewer?action=UPDATE&amp;creator=factset&amp;DYN_ARGS=TRUE&amp;DOC_NAME=FAT:FQL_AUDITING_CLIENT_TEMPLATE.FAT&amp;display_string=Audit&amp;VAR:KEY=GNOBODELOR&amp;VAR:QUERY=RkZfREVCVChBTk4sMCwsLCxVU0Qp&amp;WINDOW=FIRST_POPUP&amp;HEIGHT=450&amp;WIDTH=450&amp;START_MAXIMIZED=","FALSE&amp;VAR:CALENDAR=FIVEDAY&amp;VAR:SYMBOL=0&amp;VAR:INDEX=0"}</definedName>
    <definedName name="_625__FDSAUDITLINK__" hidden="1">{"fdsup://directions/FAT Viewer?action=UPDATE&amp;creator=factset&amp;DYN_ARGS=TRUE&amp;DOC_NAME=FAT:FQL_AUDITING_CLIENT_TEMPLATE.FAT&amp;display_string=Audit&amp;VAR:KEY=GJSHCHCLOR&amp;VAR:QUERY=RkZfTkVUX0lOQyhBTk4sLTJGWSwsLCxVU0Qp&amp;WINDOW=FIRST_POPUP&amp;HEIGHT=450&amp;WIDTH=450&amp;START_MA","XIMIZED=FALSE&amp;VAR:CALENDAR=FIVEDAY&amp;VAR:SYMBOL=0&amp;VAR:INDEX=0"}</definedName>
    <definedName name="_626__FDSAUDITLINK__" hidden="1">{"fdsup://directions/FAT Viewer?action=UPDATE&amp;creator=factset&amp;DYN_ARGS=TRUE&amp;DOC_NAME=FAT:FQL_AUDITING_CLIENT_TEMPLATE.FAT&amp;display_string=Audit&amp;VAR:KEY=WFWFGNKPCB&amp;VAR:QUERY=RkZfTkVUX0lOQyhBTk4sLTFGWSwsLCxVU0Qp&amp;WINDOW=FIRST_POPUP&amp;HEIGHT=450&amp;WIDTH=450&amp;START_MA","XIMIZED=FALSE&amp;VAR:CALENDAR=FIVEDAY&amp;VAR:SYMBOL=0&amp;VAR:INDEX=0"}</definedName>
    <definedName name="_627__FDSAUDITLINK__" hidden="1">{"fdsup://directions/FAT Viewer?action=UPDATE&amp;creator=factset&amp;DYN_ARGS=TRUE&amp;DOC_NAME=FAT:FQL_AUDITING_CLIENT_TEMPLATE.FAT&amp;display_string=Audit&amp;VAR:KEY=ALKVKPOVUH&amp;VAR:QUERY=RkZfRUJJVERBX09QRVIoQU5OLC0yRlksLCwsVVNEKQ==&amp;WINDOW=FIRST_POPUP&amp;HEIGHT=450&amp;WIDTH=450&amp;","START_MAXIMIZED=FALSE&amp;VAR:CALENDAR=FIVEDAY&amp;VAR:SYMBOL=0&amp;VAR:INDEX=0"}</definedName>
    <definedName name="_628__FDSAUDITLINK__" hidden="1">{"fdsup://directions/FAT Viewer?action=UPDATE&amp;creator=factset&amp;DYN_ARGS=TRUE&amp;DOC_NAME=FAT:FQL_AUDITING_CLIENT_TEMPLATE.FAT&amp;display_string=Audit&amp;VAR:KEY=ANAHARYFUF&amp;VAR:QUERY=RkZfTkVUX0lOQyhBTk4sMCwsLCxVU0Qp&amp;WINDOW=FIRST_POPUP&amp;HEIGHT=450&amp;WIDTH=450&amp;START_MAXIMI","ZED=FALSE&amp;VAR:CALENDAR=FIVEDAY&amp;VAR:SYMBOL=0&amp;VAR:INDEX=0"}</definedName>
    <definedName name="_629__FDSAUDITLINK__" hidden="1">{"fdsup://directions/FAT Viewer?action=UPDATE&amp;creator=factset&amp;DYN_ARGS=TRUE&amp;DOC_NAME=FAT:FQL_AUDITING_CLIENT_TEMPLATE.FAT&amp;display_string=Audit&amp;VAR:KEY=GXSLWPUHQR&amp;VAR:QUERY=RkZfRUJJVERBX09QRVIoQU5OLC0xRlksLCwsVVNEKQ==&amp;WINDOW=FIRST_POPUP&amp;HEIGHT=450&amp;WIDTH=450&amp;","START_MAXIMIZED=FALSE&amp;VAR:CALENDAR=FIVEDAY&amp;VAR:SYMBOL=0&amp;VAR:INDEX=0"}</definedName>
    <definedName name="_63__FDSAUDITLINK__" hidden="1">{"fdsup://Directions/FactSet Auditing Viewer?action=AUDIT_VALUE&amp;DB=129&amp;ID1=29977A10&amp;VALUEID=07011&amp;SDATE=2009&amp;PERIODTYPE=ANN_STD&amp;window=popup_no_bar&amp;width=385&amp;height=120&amp;START_MAXIMIZED=FALSE&amp;creator=factset&amp;display_string=Audit"}</definedName>
    <definedName name="_630__FDSAUDITLINK__" hidden="1">{"fdsup://directions/FAT Viewer?action=UPDATE&amp;creator=factset&amp;DYN_ARGS=TRUE&amp;DOC_NAME=FAT:FQL_AUDITING_CLIENT_TEMPLATE.FAT&amp;display_string=Audit&amp;VAR:KEY=MHWFUNGPGT&amp;VAR:QUERY=RkZfRU5UUlBSX1ZBTF9EQUlMWSgwLCwsLFVTRCwnRElMJykgLyBGRV9FU1RJTUFURShFQklUKCksTUVBTixBT","k5VQUxfUk9MTCwrMiwwLCwsJyxDVVJSRU5DWT1VU0QsRklYRURSQVRFPU5PLCcp&amp;WINDOW=FIRST_POPUP&amp;HEIGHT=450&amp;WIDTH=450&amp;START_MAXIMIZED=FALSE&amp;VAR:CALENDAR=FIVEDAY&amp;VAR:SYMBOL=2174&amp;VAR:INDEX=0"}</definedName>
    <definedName name="_631__FDSAUDITLINK__" hidden="1">{"fdsup://directions/FAT Viewer?action=UPDATE&amp;creator=factset&amp;DYN_ARGS=TRUE&amp;DOC_NAME=FAT:FQL_AUDITING_CLIENT_TEMPLATE.FAT&amp;display_string=Audit&amp;VAR:KEY=CNINOFSVIX&amp;VAR:QUERY=RkZfRU5UUlBSX1ZBTF9EQUlMWSgwLCwsLFVTRCwnRElMJykgLyBGRl9FQklUX09QRVIoTU9OLDAsLCwsVVNEK","Q==&amp;WINDOW=FIRST_POPUP&amp;HEIGHT=450&amp;WIDTH=450&amp;START_MAXIMIZED=FALSE&amp;VAR:CALENDAR=FIVEDAY&amp;VAR:SYMBOL=2174&amp;VAR:INDEX=0"}</definedName>
    <definedName name="_632__FDSAUDITLINK__" hidden="1">{"fdsup://directions/FAT Viewer?action=UPDATE&amp;creator=factset&amp;DYN_ARGS=TRUE&amp;DOC_NAME=FAT:FQL_AUDITING_CLIENT_TEMPLATE.FAT&amp;display_string=Audit&amp;VAR:KEY=EFUNIVYXMT&amp;VAR:QUERY=RkZfRU5UUlBSX1ZBTF9EQUlMWSgwLCwsLFVTRCwnRElMJykgLyBGRV9FU1RJTUFURShTQUxFUygpLE1FQU4sQ","U5OVUFMX1JPTEwsKzIsMCwsLCcsQ1VSUkVOQ1k9VVNELEZJWEVEUkFURT1OTywnKQ==&amp;WINDOW=FIRST_POPUP&amp;HEIGHT=450&amp;WIDTH=450&amp;START_MAXIMIZED=FALSE&amp;VAR:CALENDAR=FIVEDAY&amp;VAR:SYMBOL=2174&amp;VAR:INDEX=0"}</definedName>
    <definedName name="_635__FDSAUDITLINK__" hidden="1">{"fdsup://directions/FAT Viewer?action=UPDATE&amp;creator=factset&amp;DYN_ARGS=TRUE&amp;DOC_NAME=FAT:FQL_AUDITING_CLIENT_TEMPLATE.FAT&amp;display_string=Audit&amp;VAR:KEY=ERAZOLINWR&amp;VAR:QUERY=RkZfRU5UUlBSX1ZBTF9EQUlMWSgwLCwsLFVTRCwnRElMJykgLyBGRV9FU1RJTUFURShFQklUKCksTUVBTixBT","k5VQUxfUk9MTCwrMSwwLCwsJyxDVVJSRU5DWT1VU0QsRklYRURSQVRFPU5PLCcp&amp;WINDOW=FIRST_POPUP&amp;HEIGHT=450&amp;WIDTH=450&amp;START_MAXIMIZED=FALSE&amp;VAR:CALENDAR=FIVEDAY&amp;VAR:SYMBOL=2174&amp;VAR:INDEX=0"}</definedName>
    <definedName name="_636__FDSAUDITLINK__" hidden="1">{"fdsup://directions/FAT Viewer?action=UPDATE&amp;creator=factset&amp;DYN_ARGS=TRUE&amp;DOC_NAME=FAT:FQL_AUDITING_CLIENT_TEMPLATE.FAT&amp;display_string=Audit&amp;VAR:KEY=CRCZEPYNYT&amp;VAR:QUERY=RkZfRUJJVERBX09QRVIoQU5OLDAsLCwsVVNEKQ==&amp;WINDOW=FIRST_POPUP&amp;HEIGHT=450&amp;WIDTH=450&amp;STAR","T_MAXIMIZED=FALSE&amp;VAR:CALENDAR=FIVEDAY&amp;VAR:SYMBOL=0&amp;VAR:INDEX=0"}</definedName>
    <definedName name="_637__FDSAUDITLINK__" hidden="1">{"fdsup://directions/FAT Viewer?action=UPDATE&amp;creator=factset&amp;DYN_ARGS=TRUE&amp;DOC_NAME=FAT:FQL_AUDITING_CLIENT_TEMPLATE.FAT&amp;display_string=Audit&amp;VAR:KEY=MTKXUDOXEH&amp;VAR:QUERY=RkZfRU5UUlBSX1ZBTF9EQUlMWSgwLCwsLFVTRCwnRElMJyk=&amp;WINDOW=FIRST_POPUP&amp;HEIGHT=450&amp;WIDTH=","450&amp;START_MAXIMIZED=FALSE&amp;VAR:CALENDAR=FIVEDAY&amp;VAR:SYMBOL=0&amp;VAR:INDEX=0"}</definedName>
    <definedName name="_638__FDSAUDITLINK__" hidden="1">{"fdsup://directions/FAT Viewer?action=UPDATE&amp;creator=factset&amp;DYN_ARGS=TRUE&amp;DOC_NAME=FAT:FQL_AUDITING_CLIENT_TEMPLATE.FAT&amp;display_string=Audit&amp;VAR:KEY=GNOBODELOR&amp;VAR:QUERY=RkZfREVCVChBTk4sMCwsLCxVU0Qp&amp;WINDOW=FIRST_POPUP&amp;HEIGHT=450&amp;WIDTH=450&amp;START_MAXIMIZED=","FALSE&amp;VAR:CALENDAR=FIVEDAY&amp;VAR:SYMBOL=0&amp;VAR:INDEX=0"}</definedName>
    <definedName name="_639__FDSAUDITLINK__" hidden="1">{"fdsup://directions/FAT Viewer?action=UPDATE&amp;creator=factset&amp;DYN_ARGS=TRUE&amp;DOC_NAME=FAT:FQL_AUDITING_CLIENT_TEMPLATE.FAT&amp;display_string=Audit&amp;VAR:KEY=GJSHCHCLOR&amp;VAR:QUERY=RkZfTkVUX0lOQyhBTk4sLTJGWSwsLCxVU0Qp&amp;WINDOW=FIRST_POPUP&amp;HEIGHT=450&amp;WIDTH=450&amp;START_MA","XIMIZED=FALSE&amp;VAR:CALENDAR=FIVEDAY&amp;VAR:SYMBOL=0&amp;VAR:INDEX=0"}</definedName>
    <definedName name="_64__FDSAUDITLINK__" hidden="1">{"fdsup://Directions/FactSet Auditing Viewer?action=AUDIT_VALUE&amp;DB=129&amp;ID1=29977A10&amp;VALUEID=07011&amp;SDATE=2009&amp;PERIODTYPE=ANN_STD&amp;window=popup_no_bar&amp;width=385&amp;height=120&amp;START_MAXIMIZED=FALSE&amp;creator=factset&amp;display_string=Audit"}</definedName>
    <definedName name="_640__FDSAUDITLINK__" hidden="1">{"fdsup://directions/FAT Viewer?action=UPDATE&amp;creator=factset&amp;DYN_ARGS=TRUE&amp;DOC_NAME=FAT:FQL_AUDITING_CLIENT_TEMPLATE.FAT&amp;display_string=Audit&amp;VAR:KEY=WFWFGNKPCB&amp;VAR:QUERY=RkZfTkVUX0lOQyhBTk4sLTFGWSwsLCxVU0Qp&amp;WINDOW=FIRST_POPUP&amp;HEIGHT=450&amp;WIDTH=450&amp;START_MA","XIMIZED=FALSE&amp;VAR:CALENDAR=FIVEDAY&amp;VAR:SYMBOL=0&amp;VAR:INDEX=0"}</definedName>
    <definedName name="_641__FDSAUDITLINK__" hidden="1">{"fdsup://directions/FAT Viewer?action=UPDATE&amp;creator=factset&amp;DYN_ARGS=TRUE&amp;DOC_NAME=FAT:FQL_AUDITING_CLIENT_TEMPLATE.FAT&amp;display_string=Audit&amp;VAR:KEY=ALKVKPOVUH&amp;VAR:QUERY=RkZfRUJJVERBX09QRVIoQU5OLC0yRlksLCwsVVNEKQ==&amp;WINDOW=FIRST_POPUP&amp;HEIGHT=450&amp;WIDTH=450&amp;","START_MAXIMIZED=FALSE&amp;VAR:CALENDAR=FIVEDAY&amp;VAR:SYMBOL=0&amp;VAR:INDEX=0"}</definedName>
    <definedName name="_642__FDSAUDITLINK__" hidden="1">{"fdsup://directions/FAT Viewer?action=UPDATE&amp;creator=factset&amp;DYN_ARGS=TRUE&amp;DOC_NAME=FAT:FQL_AUDITING_CLIENT_TEMPLATE.FAT&amp;display_string=Audit&amp;VAR:KEY=ANAHARYFUF&amp;VAR:QUERY=RkZfTkVUX0lOQyhBTk4sMCwsLCxVU0Qp&amp;WINDOW=FIRST_POPUP&amp;HEIGHT=450&amp;WIDTH=450&amp;START_MAXIMI","ZED=FALSE&amp;VAR:CALENDAR=FIVEDAY&amp;VAR:SYMBOL=0&amp;VAR:INDEX=0"}</definedName>
    <definedName name="_643__FDSAUDITLINK__" hidden="1">{"fdsup://directions/FAT Viewer?action=UPDATE&amp;creator=factset&amp;DYN_ARGS=TRUE&amp;DOC_NAME=FAT:FQL_AUDITING_CLIENT_TEMPLATE.FAT&amp;display_string=Audit&amp;VAR:KEY=QZWHUBMDQN&amp;VAR:QUERY=RkZfTkVUX0lOQyhBTk4sLTJGWSwsLCxVU0Qp&amp;WINDOW=FIRST_POPUP&amp;HEIGHT=450&amp;WIDTH=450&amp;START_MA","XIMIZED=FALSE&amp;VAR:CALENDAR=FIVEDAY&amp;VAR:INDEX=0"}</definedName>
    <definedName name="_644__FDSAUDITLINK__" hidden="1">{"fdsup://directions/FAT Viewer?action=UPDATE&amp;creator=factset&amp;DYN_ARGS=TRUE&amp;DOC_NAME=FAT:FQL_AUDITING_CLIENT_TEMPLATE.FAT&amp;display_string=Audit&amp;VAR:KEY=YFONKDIRKH&amp;VAR:QUERY=RkZfRUJJVERBX09QRVIoQU5OLC0xRlksLCwsVVNEKQ==&amp;WINDOW=FIRST_POPUP&amp;HEIGHT=450&amp;WIDTH=450&amp;","START_MAXIMIZED=FALSE&amp;VAR:CALENDAR=FIVEDAY&amp;VAR:INDEX=0"}</definedName>
    <definedName name="_645__FDSAUDITLINK__" hidden="1">{"fdsup://directions/FAT Viewer?action=UPDATE&amp;creator=factset&amp;DYN_ARGS=TRUE&amp;DOC_NAME=FAT:FQL_AUDITING_CLIENT_TEMPLATE.FAT&amp;display_string=Audit&amp;VAR:KEY=GBUPMNAHKV&amp;VAR:QUERY=RkZfRU5UUlBSX1ZBTF9EQUlMWSgwLCwsLFVTRCwnRElMJykgLyBGRV9FU1RJTUFURShFQklUREEsTUVBTixBT","k5VQUxfUk9MTCwrMiwwLCwsJyxDVVJSRU5DWT1VU0QsRklYRURSQVRFPU5PLCcp&amp;WINDOW=FIRST_POPUP&amp;HEIGHT=450&amp;WIDTH=450&amp;START_MAXIMIZED=FALSE&amp;VAR:CALENDAR=FIVEDAY&amp;VAR:SYMBOL=0&amp;VAR:INDEX=0"}</definedName>
    <definedName name="_647__FDSAUDITLINK__" hidden="1">{"fdsup://directions/FAT Viewer?action=UPDATE&amp;creator=factset&amp;DYN_ARGS=TRUE&amp;DOC_NAME=FAT:FQL_AUDITING_CLIENT_TEMPLATE.FAT&amp;display_string=Audit&amp;VAR:KEY=IFUFUZONSD&amp;VAR:QUERY=RkZfRU5UUlBSX1ZBTF9EQUlMWSgwLCwsLFVTRCwnRElMJykgLyBGRV9FU1RJTUFURShFQklUKCksTUVBTixBT","k5VQUxfUk9MTCwrMSwwLCwsJyxDVVJSRU5DWT1VU0QsRklYRURSQVRFPU5PLCcp&amp;WINDOW=FIRST_POPUP&amp;HEIGHT=450&amp;WIDTH=450&amp;START_MAXIMIZED=FALSE&amp;VAR:CALENDAR=FIVEDAY&amp;VAR:SYMBOL=0&amp;VAR:INDEX=0"}</definedName>
    <definedName name="_648__FDSAUDITLINK__" hidden="1">{"fdsup://directions/FAT Viewer?action=UPDATE&amp;creator=factset&amp;DYN_ARGS=TRUE&amp;DOC_NAME=FAT:FQL_AUDITING_CLIENT_TEMPLATE.FAT&amp;display_string=Audit&amp;VAR:KEY=GXSLWPUHQR&amp;VAR:QUERY=RkZfRUJJVERBX09QRVIoQU5OLC0xRlksLCwsVVNEKQ==&amp;WINDOW=FIRST_POPUP&amp;HEIGHT=450&amp;WIDTH=450&amp;","START_MAXIMIZED=FALSE&amp;VAR:CALENDAR=FIVEDAY&amp;VAR:SYMBOL=0&amp;VAR:INDEX=0"}</definedName>
    <definedName name="_649__FDSAUDITLINK__" hidden="1">{"fdsup://directions/FAT Viewer?action=UPDATE&amp;creator=factset&amp;DYN_ARGS=TRUE&amp;DOC_NAME=FAT:FQL_AUDITING_CLIENT_TEMPLATE.FAT&amp;display_string=Audit&amp;VAR:KEY=CRCZEPYNYT&amp;VAR:QUERY=RkZfRUJJVERBX09QRVIoQU5OLDAsLCwsVVNEKQ==&amp;WINDOW=FIRST_POPUP&amp;HEIGHT=450&amp;WIDTH=450&amp;STAR","T_MAXIMIZED=FALSE&amp;VAR:CALENDAR=FIVEDAY&amp;VAR:SYMBOL=0&amp;VAR:INDEX=0"}</definedName>
    <definedName name="_65__FDSAUDITLINK__" hidden="1">{"fdsup://directions/FAT Viewer?action=UPDATE&amp;creator=factset&amp;DYN_ARGS=TRUE&amp;DOC_NAME=FAT:FQL_AUDITING_CLIENT_TEMPLATE.FAT&amp;display_string=Audit&amp;VAR:KEY=AVAZGTKDUN&amp;VAR:QUERY=KCgoKEZGX1NITERSU19FUShRVFIsMCwsLFJTLFVTRClAKEZGX0xJQUJTX1NITERSU19FUShRVFIsMCwsLFJTL","FVTRCktRkZfTElBQlMoUVRSLDAsLCxSUyxVU0QpKSkpQCgoRkZfU0hMRFJTX0VRKFNFTUksMCwsLFJTLFVTRClAKEZGX0xJQUJTX1NITERSU19FUShTRU1JLDAsLCxSUyxVU0QpLUZGX0xJQUJTKFNFTUksMCwsLFJTLFVTRCkpKSkpQEZGX1NITERSU19FUShBTk4sMCwsLFJTLFVTRCkp&amp;WINDOW=FIRST_POPUP&amp;HEIGHT=450&amp;WIDTH=450","&amp;START_MAXIMIZED=FALSE&amp;VAR:CALENDAR=US&amp;VAR:SYMBOL=EVR&amp;VAR:INDEX=0"}</definedName>
    <definedName name="_650__FDSAUDITLINK__" hidden="1">{"fdsup://directions/FAT Viewer?action=UPDATE&amp;creator=factset&amp;DYN_ARGS=TRUE&amp;DOC_NAME=FAT:FQL_AUDITING_CLIENT_TEMPLATE.FAT&amp;display_string=Audit&amp;VAR:KEY=MTKXUDOXEH&amp;VAR:QUERY=RkZfRU5UUlBSX1ZBTF9EQUlMWSgwLCwsLFVTRCwnRElMJyk=&amp;WINDOW=FIRST_POPUP&amp;HEIGHT=450&amp;WIDTH=","450&amp;START_MAXIMIZED=FALSE&amp;VAR:CALENDAR=FIVEDAY&amp;VAR:SYMBOL=0&amp;VAR:INDEX=0"}</definedName>
    <definedName name="_651__FDSAUDITLINK__" hidden="1">{"fdsup://directions/FAT Viewer?action=UPDATE&amp;creator=factset&amp;DYN_ARGS=TRUE&amp;DOC_NAME=FAT:FQL_AUDITING_CLIENT_TEMPLATE.FAT&amp;display_string=Audit&amp;VAR:KEY=GNOBODELOR&amp;VAR:QUERY=RkZfREVCVChBTk4sMCwsLCxVU0Qp&amp;WINDOW=FIRST_POPUP&amp;HEIGHT=450&amp;WIDTH=450&amp;START_MAXIMIZED=","FALSE&amp;VAR:CALENDAR=FIVEDAY&amp;VAR:SYMBOL=0&amp;VAR:INDEX=0"}</definedName>
    <definedName name="_652__FDSAUDITLINK__" hidden="1">{"fdsup://directions/FAT Viewer?action=UPDATE&amp;creator=factset&amp;DYN_ARGS=TRUE&amp;DOC_NAME=FAT:FQL_AUDITING_CLIENT_TEMPLATE.FAT&amp;display_string=Audit&amp;VAR:KEY=GJSHCHCLOR&amp;VAR:QUERY=RkZfTkVUX0lOQyhBTk4sLTJGWSwsLCxVU0Qp&amp;WINDOW=FIRST_POPUP&amp;HEIGHT=450&amp;WIDTH=450&amp;START_MA","XIMIZED=FALSE&amp;VAR:CALENDAR=FIVEDAY&amp;VAR:SYMBOL=0&amp;VAR:INDEX=0"}</definedName>
    <definedName name="_653__FDSAUDITLINK__" hidden="1">{"fdsup://directions/FAT Viewer?action=UPDATE&amp;creator=factset&amp;DYN_ARGS=TRUE&amp;DOC_NAME=FAT:FQL_AUDITING_CLIENT_TEMPLATE.FAT&amp;display_string=Audit&amp;VAR:KEY=WFWFGNKPCB&amp;VAR:QUERY=RkZfTkVUX0lOQyhBTk4sLTFGWSwsLCxVU0Qp&amp;WINDOW=FIRST_POPUP&amp;HEIGHT=450&amp;WIDTH=450&amp;START_MA","XIMIZED=FALSE&amp;VAR:CALENDAR=FIVEDAY&amp;VAR:SYMBOL=0&amp;VAR:INDEX=0"}</definedName>
    <definedName name="_654__FDSAUDITLINK__" hidden="1">{"fdsup://directions/FAT Viewer?action=UPDATE&amp;creator=factset&amp;DYN_ARGS=TRUE&amp;DOC_NAME=FAT:FQL_AUDITING_CLIENT_TEMPLATE.FAT&amp;display_string=Audit&amp;VAR:KEY=ALKVKPOVUH&amp;VAR:QUERY=RkZfRUJJVERBX09QRVIoQU5OLC0yRlksLCwsVVNEKQ==&amp;WINDOW=FIRST_POPUP&amp;HEIGHT=450&amp;WIDTH=450&amp;","START_MAXIMIZED=FALSE&amp;VAR:CALENDAR=FIVEDAY&amp;VAR:SYMBOL=0&amp;VAR:INDEX=0"}</definedName>
    <definedName name="_658__FDSAUDITLINK__" hidden="1">{"fdsup://directions/FAT Viewer?action=UPDATE&amp;creator=factset&amp;DYN_ARGS=TRUE&amp;DOC_NAME=FAT:FQL_AUDITING_CLIENT_TEMPLATE.FAT&amp;display_string=Audit&amp;VAR:KEY=KREFMRYLKH&amp;VAR:QUERY=RkZfRU5UUlBSX1ZBTF9EQUlMWSgwLCwsLFVTRCwnRElMJykgLyBGRl9FQklUREFfT1BFUihNT04sMCwsLCxVU","0Qp&amp;WINDOW=FIRST_POPUP&amp;HEIGHT=450&amp;WIDTH=450&amp;START_MAXIMIZED=FALSE&amp;VAR:CALENDAR=FIVEDAY&amp;VAR:SYMBOL=0&amp;VAR:INDEX=0"}</definedName>
    <definedName name="_66__FDSAUDITLINK__" hidden="1">{"fdsup://Directions/FactSet Auditing Viewer?action=AUDIT_VALUE&amp;DB=129&amp;ID1=72407810&amp;VALUEID=07011&amp;SDATE=2009&amp;PERIODTYPE=ANN_STD&amp;window=popup_no_bar&amp;width=385&amp;height=120&amp;START_MAXIMIZED=FALSE&amp;creator=factset&amp;display_string=Audit"}</definedName>
    <definedName name="_660__FDSAUDITLINK__" hidden="1">{"fdsup://directions/FAT Viewer?action=UPDATE&amp;creator=factset&amp;DYN_ARGS=TRUE&amp;DOC_NAME=FAT:FQL_AUDITING_CLIENT_TEMPLATE.FAT&amp;display_string=Audit&amp;VAR:KEY=GBUPMNAHKV&amp;VAR:QUERY=RkZfRU5UUlBSX1ZBTF9EQUlMWSgwLCwsLFVTRCwnRElMJykgLyBGRV9FU1RJTUFURShFQklUREEsTUVBTixBT","k5VQUxfUk9MTCwrMiwwLCwsJyxDVVJSRU5DWT1VU0QsRklYRURSQVRFPU5PLCcp&amp;WINDOW=FIRST_POPUP&amp;HEIGHT=450&amp;WIDTH=450&amp;START_MAXIMIZED=FALSE&amp;VAR:CALENDAR=FIVEDAY&amp;VAR:SYMBOL=0&amp;VAR:INDEX=0"}</definedName>
    <definedName name="_661__FDSAUDITLINK__" hidden="1">{"fdsup://directions/FAT Viewer?action=UPDATE&amp;creator=factset&amp;DYN_ARGS=TRUE&amp;DOC_NAME=FAT:FQL_AUDITING_CLIENT_TEMPLATE.FAT&amp;display_string=Audit&amp;VAR:KEY=ANAHARYFUF&amp;VAR:QUERY=RkZfTkVUX0lOQyhBTk4sMCwsLCxVU0Qp&amp;WINDOW=FIRST_POPUP&amp;HEIGHT=450&amp;WIDTH=450&amp;START_MAXIMI","ZED=FALSE&amp;VAR:CALENDAR=FIVEDAY&amp;VAR:SYMBOL=0&amp;VAR:INDEX=0"}</definedName>
    <definedName name="_662__FDSAUDITLINK__" hidden="1">{"fdsup://directions/FAT Viewer?action=UPDATE&amp;creator=factset&amp;DYN_ARGS=TRUE&amp;DOC_NAME=FAT:FQL_AUDITING_CLIENT_TEMPLATE.FAT&amp;display_string=Audit&amp;VAR:KEY=GXSLWPUHQR&amp;VAR:QUERY=RkZfRUJJVERBX09QRVIoQU5OLC0xRlksLCwsVVNEKQ==&amp;WINDOW=FIRST_POPUP&amp;HEIGHT=450&amp;WIDTH=450&amp;","START_MAXIMIZED=FALSE&amp;VAR:CALENDAR=FIVEDAY&amp;VAR:SYMBOL=0&amp;VAR:INDEX=0"}</definedName>
    <definedName name="_663__FDSAUDITLINK__" hidden="1">{"fdsup://directions/FAT Viewer?action=UPDATE&amp;creator=factset&amp;DYN_ARGS=TRUE&amp;DOC_NAME=FAT:FQL_AUDITING_CLIENT_TEMPLATE.FAT&amp;display_string=Audit&amp;VAR:KEY=CRCZEPYNYT&amp;VAR:QUERY=RkZfRUJJVERBX09QRVIoQU5OLDAsLCwsVVNEKQ==&amp;WINDOW=FIRST_POPUP&amp;HEIGHT=450&amp;WIDTH=450&amp;STAR","T_MAXIMIZED=FALSE&amp;VAR:CALENDAR=FIVEDAY&amp;VAR:SYMBOL=0&amp;VAR:INDEX=0"}</definedName>
    <definedName name="_664__FDSAUDITLINK__" hidden="1">{"fdsup://directions/FAT Viewer?action=UPDATE&amp;creator=factset&amp;DYN_ARGS=TRUE&amp;DOC_NAME=FAT:FQL_AUDITING_CLIENT_TEMPLATE.FAT&amp;display_string=Audit&amp;VAR:KEY=MTKXUDOXEH&amp;VAR:QUERY=RkZfRU5UUlBSX1ZBTF9EQUlMWSgwLCwsLFVTRCwnRElMJyk=&amp;WINDOW=FIRST_POPUP&amp;HEIGHT=450&amp;WIDTH=","450&amp;START_MAXIMIZED=FALSE&amp;VAR:CALENDAR=FIVEDAY&amp;VAR:SYMBOL=0&amp;VAR:INDEX=0"}</definedName>
    <definedName name="_665__FDSAUDITLINK__" hidden="1">{"fdsup://directions/FAT Viewer?action=UPDATE&amp;creator=factset&amp;DYN_ARGS=TRUE&amp;DOC_NAME=FAT:FQL_AUDITING_CLIENT_TEMPLATE.FAT&amp;display_string=Audit&amp;VAR:KEY=GNOBODELOR&amp;VAR:QUERY=RkZfREVCVChBTk4sMCwsLCxVU0Qp&amp;WINDOW=FIRST_POPUP&amp;HEIGHT=450&amp;WIDTH=450&amp;START_MAXIMIZED=","FALSE&amp;VAR:CALENDAR=FIVEDAY&amp;VAR:SYMBOL=0&amp;VAR:INDEX=0"}</definedName>
    <definedName name="_666__FDSAUDITLINK__" hidden="1">{"fdsup://directions/FAT Viewer?action=UPDATE&amp;creator=factset&amp;DYN_ARGS=TRUE&amp;DOC_NAME=FAT:FQL_AUDITING_CLIENT_TEMPLATE.FAT&amp;display_string=Audit&amp;VAR:KEY=GJSHCHCLOR&amp;VAR:QUERY=RkZfTkVUX0lOQyhBTk4sLTJGWSwsLCxVU0Qp&amp;WINDOW=FIRST_POPUP&amp;HEIGHT=450&amp;WIDTH=450&amp;START_MA","XIMIZED=FALSE&amp;VAR:CALENDAR=FIVEDAY&amp;VAR:SYMBOL=0&amp;VAR:INDEX=0"}</definedName>
    <definedName name="_667__FDSAUDITLINK__" hidden="1">{"fdsup://directions/FAT Viewer?action=UPDATE&amp;creator=factset&amp;DYN_ARGS=TRUE&amp;DOC_NAME=FAT:FQL_AUDITING_CLIENT_TEMPLATE.FAT&amp;display_string=Audit&amp;VAR:KEY=WFWFGNKPCB&amp;VAR:QUERY=RkZfTkVUX0lOQyhBTk4sLTFGWSwsLCxVU0Qp&amp;WINDOW=FIRST_POPUP&amp;HEIGHT=450&amp;WIDTH=450&amp;START_MA","XIMIZED=FALSE&amp;VAR:CALENDAR=FIVEDAY&amp;VAR:SYMBOL=0&amp;VAR:INDEX=0"}</definedName>
    <definedName name="_67__FDSAUDITLINK__" hidden="1">{"fdsup://Directions/FactSet Auditing Viewer?action=AUDIT_VALUE&amp;DB=129&amp;ID1=72407810&amp;VALUEID=07011&amp;SDATE=2009&amp;PERIODTYPE=ANN_STD&amp;window=popup_no_bar&amp;width=385&amp;height=120&amp;START_MAXIMIZED=FALSE&amp;creator=factset&amp;display_string=Audit"}</definedName>
    <definedName name="_671__FDSAUDITLINK__" hidden="1">{"fdsup://directions/FAT Viewer?action=UPDATE&amp;creator=factset&amp;DYN_ARGS=TRUE&amp;DOC_NAME=FAT:FQL_AUDITING_CLIENT_TEMPLATE.FAT&amp;display_string=Audit&amp;VAR:KEY=SFGVQZWTCJ&amp;VAR:QUERY=RkZfRU5UUlBSX1ZBTF9EQUlMWSgwLCwsLFVTRCwnRElMJykgLyBGRl9TQUxFUyhNT04sMCwsLCxVU0Qp&amp;WIND","OW=FIRST_POPUP&amp;HEIGHT=450&amp;WIDTH=450&amp;START_MAXIMIZED=FALSE&amp;VAR:CALENDAR=FIVEDAY&amp;VAR:SYMBOL=0&amp;VAR:INDEX=0"}</definedName>
    <definedName name="_673__FDSAUDITLINK__" hidden="1">{"fdsup://directions/FAT Viewer?action=UPDATE&amp;creator=factset&amp;DYN_ARGS=TRUE&amp;DOC_NAME=FAT:FQL_AUDITING_CLIENT_TEMPLATE.FAT&amp;display_string=Audit&amp;VAR:KEY=APIXWVSNML&amp;VAR:QUERY=RkZfRU5UUlBSX1ZBTF9EQUlMWSgwLCwsLFVTRCwnRElMJykgLyBGRV9FU1RJTUFURShTQUxFUygpLE1FQU4sQ","U5OVUFMX1JPTEwsKzIsMCwsLCcsQ1VSUkVOQ1k9VVNELEZJWEVEUkFURT1OTywnKQ==&amp;WINDOW=FIRST_POPUP&amp;HEIGHT=450&amp;WIDTH=450&amp;START_MAXIMIZED=FALSE&amp;VAR:CALENDAR=FIVEDAY&amp;VAR:SYMBOL=0&amp;VAR:INDEX=0"}</definedName>
    <definedName name="_674__FDSAUDITLINK__" hidden="1">{"fdsup://directions/FAT Viewer?action=UPDATE&amp;creator=factset&amp;DYN_ARGS=TRUE&amp;DOC_NAME=FAT:FQL_AUDITING_CLIENT_TEMPLATE.FAT&amp;display_string=Audit&amp;VAR:KEY=ALKVKPOVUH&amp;VAR:QUERY=RkZfRUJJVERBX09QRVIoQU5OLC0yRlksLCwsVVNEKQ==&amp;WINDOW=FIRST_POPUP&amp;HEIGHT=450&amp;WIDTH=450&amp;","START_MAXIMIZED=FALSE&amp;VAR:CALENDAR=FIVEDAY&amp;VAR:SYMBOL=0&amp;VAR:INDEX=0"}</definedName>
    <definedName name="_675__FDSAUDITLINK__" hidden="1">{"fdsup://directions/FAT Viewer?action=UPDATE&amp;creator=factset&amp;DYN_ARGS=TRUE&amp;DOC_NAME=FAT:FQL_AUDITING_CLIENT_TEMPLATE.FAT&amp;display_string=Audit&amp;VAR:KEY=ANAHARYFUF&amp;VAR:QUERY=RkZfTkVUX0lOQyhBTk4sMCwsLCxVU0Qp&amp;WINDOW=FIRST_POPUP&amp;HEIGHT=450&amp;WIDTH=450&amp;START_MAXIMI","ZED=FALSE&amp;VAR:CALENDAR=FIVEDAY&amp;VAR:SYMBOL=0&amp;VAR:INDEX=0"}</definedName>
    <definedName name="_676__FDSAUDITLINK__" hidden="1">{"fdsup://directions/FAT Viewer?action=UPDATE&amp;creator=factset&amp;DYN_ARGS=TRUE&amp;DOC_NAME=FAT:FQL_AUDITING_CLIENT_TEMPLATE.FAT&amp;display_string=Audit&amp;VAR:KEY=GXSLWPUHQR&amp;VAR:QUERY=RkZfRUJJVERBX09QRVIoQU5OLC0xRlksLCwsVVNEKQ==&amp;WINDOW=FIRST_POPUP&amp;HEIGHT=450&amp;WIDTH=450&amp;","START_MAXIMIZED=FALSE&amp;VAR:CALENDAR=FIVEDAY&amp;VAR:SYMBOL=0&amp;VAR:INDEX=0"}</definedName>
    <definedName name="_677__FDSAUDITLINK__" hidden="1">{"fdsup://directions/FAT Viewer?action=UPDATE&amp;creator=factset&amp;DYN_ARGS=TRUE&amp;DOC_NAME=FAT:FQL_AUDITING_CLIENT_TEMPLATE.FAT&amp;display_string=Audit&amp;VAR:KEY=CRCZEPYNYT&amp;VAR:QUERY=RkZfRUJJVERBX09QRVIoQU5OLDAsLCwsVVNEKQ==&amp;WINDOW=FIRST_POPUP&amp;HEIGHT=450&amp;WIDTH=450&amp;STAR","T_MAXIMIZED=FALSE&amp;VAR:CALENDAR=FIVEDAY&amp;VAR:SYMBOL=0&amp;VAR:INDEX=0"}</definedName>
    <definedName name="_678__FDSAUDITLINK__" hidden="1">{"fdsup://directions/FAT Viewer?action=UPDATE&amp;creator=factset&amp;DYN_ARGS=TRUE&amp;DOC_NAME=FAT:FQL_AUDITING_CLIENT_TEMPLATE.FAT&amp;display_string=Audit&amp;VAR:KEY=MTKXUDOXEH&amp;VAR:QUERY=RkZfRU5UUlBSX1ZBTF9EQUlMWSgwLCwsLFVTRCwnRElMJyk=&amp;WINDOW=FIRST_POPUP&amp;HEIGHT=450&amp;WIDTH=","450&amp;START_MAXIMIZED=FALSE&amp;VAR:CALENDAR=FIVEDAY&amp;VAR:SYMBOL=0&amp;VAR:INDEX=0"}</definedName>
    <definedName name="_679__FDSAUDITLINK__" hidden="1">{"fdsup://directions/FAT Viewer?action=UPDATE&amp;creator=factset&amp;DYN_ARGS=TRUE&amp;DOC_NAME=FAT:FQL_AUDITING_CLIENT_TEMPLATE.FAT&amp;display_string=Audit&amp;VAR:KEY=GNOBODELOR&amp;VAR:QUERY=RkZfREVCVChBTk4sMCwsLCxVU0Qp&amp;WINDOW=FIRST_POPUP&amp;HEIGHT=450&amp;WIDTH=450&amp;START_MAXIMIZED=","FALSE&amp;VAR:CALENDAR=FIVEDAY&amp;VAR:SYMBOL=0&amp;VAR:INDEX=0"}</definedName>
    <definedName name="_68__FDSAUDITLINK__" hidden="1">{"fdsup://directions/FAT Viewer?action=UPDATE&amp;creator=factset&amp;DYN_ARGS=TRUE&amp;DOC_NAME=FAT:FQL_AUDITING_CLIENT_TEMPLATE.FAT&amp;display_string=Audit&amp;VAR:KEY=ERYXCVKHIH&amp;VAR:QUERY=KCgoKEZGX1NITERSU19FUShRVFIsMCwsLFJTLFVTRClAKEZGX0xJQUJTX1NITERSU19FUShRVFIsMCwsLFJTL","FVTRCktRkZfTElBQlMoUVRSLDAsLCxSUyxVU0QpKSkpQCgoRkZfU0hMRFJTX0VRKFNFTUksMCwsLFJTLFVTRClAKEZGX0xJQUJTX1NITERSU19FUShTRU1JLDAsLCxSUyxVU0QpLUZGX0xJQUJTKFNFTUksMCwsLFJTLFVTRCkpKSkpQEZGX1NITERSU19FUShBTk4sMCwsLFJTLFVTRCkp&amp;WINDOW=FIRST_POPUP&amp;HEIGHT=450&amp;WIDTH=450","&amp;START_MAXIMIZED=FALSE&amp;VAR:CALENDAR=US&amp;VAR:SYMBOL=PJC&amp;VAR:INDEX=0"}</definedName>
    <definedName name="_680__FDSAUDITLINK__" hidden="1">{"fdsup://directions/FAT Viewer?action=UPDATE&amp;creator=factset&amp;DYN_ARGS=TRUE&amp;DOC_NAME=FAT:FQL_AUDITING_CLIENT_TEMPLATE.FAT&amp;display_string=Audit&amp;VAR:KEY=GJSHCHCLOR&amp;VAR:QUERY=RkZfTkVUX0lOQyhBTk4sLTJGWSwsLCxVU0Qp&amp;WINDOW=FIRST_POPUP&amp;HEIGHT=450&amp;WIDTH=450&amp;START_MA","XIMIZED=FALSE&amp;VAR:CALENDAR=FIVEDAY&amp;VAR:SYMBOL=0&amp;VAR:INDEX=0"}</definedName>
    <definedName name="_683__FDSAUDITLINK__" hidden="1">{"fdsup://directions/FAT Viewer?action=UPDATE&amp;creator=factset&amp;DYN_ARGS=TRUE&amp;DOC_NAME=FAT:FQL_AUDITING_CLIENT_TEMPLATE.FAT&amp;display_string=Audit&amp;VAR:KEY=IFUFUZONSD&amp;VAR:QUERY=RkZfRU5UUlBSX1ZBTF9EQUlMWSgwLCwsLFVTRCwnRElMJykgLyBGRV9FU1RJTUFURShFQklUKCksTUVBTixBT","k5VQUxfUk9MTCwrMSwwLCwsJyxDVVJSRU5DWT1VU0QsRklYRURSQVRFPU5PLCcp&amp;WINDOW=FIRST_POPUP&amp;HEIGHT=450&amp;WIDTH=450&amp;START_MAXIMIZED=FALSE&amp;VAR:CALENDAR=FIVEDAY&amp;VAR:SYMBOL=0&amp;VAR:INDEX=0"}</definedName>
    <definedName name="_685__FDSAUDITLINK__" hidden="1">{"fdsup://directions/FAT Viewer?action=UPDATE&amp;creator=factset&amp;DYN_ARGS=TRUE&amp;DOC_NAME=FAT:FQL_AUDITING_CLIENT_TEMPLATE.FAT&amp;display_string=Audit&amp;VAR:KEY=EVABOBQJEJ&amp;VAR:QUERY=RkZfRU5UUlBSX1ZBTF9EQUlMWSgwLCwsLFVTRCwnRElMJykgLyBGRl9FQklUREFfT1BFUihNT04sMCwsLCxVU","0Qp&amp;WINDOW=FIRST_POPUP&amp;HEIGHT=450&amp;WIDTH=450&amp;START_MAXIMIZED=FALSE&amp;VAR:CALENDAR=FIVEDAY&amp;VAR:SYMBOL=2174&amp;VAR:INDEX=0"}</definedName>
    <definedName name="_686__FDSAUDITLINK__" hidden="1">{"fdsup://directions/FAT Viewer?action=UPDATE&amp;creator=factset&amp;DYN_ARGS=TRUE&amp;DOC_NAME=FAT:FQL_AUDITING_CLIENT_TEMPLATE.FAT&amp;display_string=Audit&amp;VAR:KEY=WFWFGNKPCB&amp;VAR:QUERY=RkZfTkVUX0lOQyhBTk4sLTFGWSwsLCxVU0Qp&amp;WINDOW=FIRST_POPUP&amp;HEIGHT=450&amp;WIDTH=450&amp;START_MA","XIMIZED=FALSE&amp;VAR:CALENDAR=FIVEDAY&amp;VAR:SYMBOL=0&amp;VAR:INDEX=0"}</definedName>
    <definedName name="_687__FDSAUDITLINK__" hidden="1">{"fdsup://directions/FAT Viewer?action=UPDATE&amp;creator=factset&amp;DYN_ARGS=TRUE&amp;DOC_NAME=FAT:FQL_AUDITING_CLIENT_TEMPLATE.FAT&amp;display_string=Audit&amp;VAR:KEY=ALKVKPOVUH&amp;VAR:QUERY=RkZfRUJJVERBX09QRVIoQU5OLC0yRlksLCwsVVNEKQ==&amp;WINDOW=FIRST_POPUP&amp;HEIGHT=450&amp;WIDTH=450&amp;","START_MAXIMIZED=FALSE&amp;VAR:CALENDAR=FIVEDAY&amp;VAR:SYMBOL=0&amp;VAR:INDEX=0"}</definedName>
    <definedName name="_689__FDSAUDITLINK__" hidden="1">{"fdsup://directions/FAT Viewer?action=UPDATE&amp;creator=factset&amp;DYN_ARGS=TRUE&amp;DOC_NAME=FAT:FQL_AUDITING_CLIENT_TEMPLATE.FAT&amp;display_string=Audit&amp;VAR:KEY=ANAHARYFUF&amp;VAR:QUERY=RkZfTkVUX0lOQyhBTk4sMCwsLCxVU0Qp&amp;WINDOW=FIRST_POPUP&amp;HEIGHT=450&amp;WIDTH=450&amp;START_MAXIMI","ZED=FALSE&amp;VAR:CALENDAR=FIVEDAY&amp;VAR:SYMBOL=0&amp;VAR:INDEX=0"}</definedName>
    <definedName name="_69__FDSAUDITLINK__" hidden="1">{"fdsup://directions/FAT Viewer?action=UPDATE&amp;creator=factset&amp;DYN_ARGS=TRUE&amp;DOC_NAME=FAT:FQL_AUDITING_CLIENT_TEMPLATE.FAT&amp;display_string=Audit&amp;VAR:KEY=UBSVUFUDYN&amp;VAR:QUERY=KCgoKEZGX1NITERSU19FUShRVFIsMCwsLFJTLFVTRClAKEZGX0xJQUJTX1NITERSU19FUShRVFIsMCwsLFJTL","FVTRCktRkZfTElBQlMoUVRSLDAsLCxSUyxVU0QpKSkpQCgoRkZfU0hMRFJTX0VRKFNFTUksMCwsLFJTLFVTRClAKEZGX0xJQUJTX1NITERSU19FUShTRU1JLDAsLCxSUyxVU0QpLUZGX0xJQUJTKFNFTUksMCwsLFJTLFVTRCkpKSkpQEZGX1NITERSU19FUShBTk4sMCwsLFJTLFVTRCkp&amp;WINDOW=FIRST_POPUP&amp;HEIGHT=450&amp;WIDTH=450","&amp;START_MAXIMIZED=FALSE&amp;VAR:CALENDAR=US&amp;VAR:SYMBOL=GHL&amp;VAR:INDEX=0"}</definedName>
    <definedName name="_690__FDSAUDITLINK__" hidden="1">{"fdsup://directions/FAT Viewer?action=UPDATE&amp;creator=factset&amp;DYN_ARGS=TRUE&amp;DOC_NAME=FAT:FQL_AUDITING_CLIENT_TEMPLATE.FAT&amp;display_string=Audit&amp;VAR:KEY=GXSLWPUHQR&amp;VAR:QUERY=RkZfRUJJVERBX09QRVIoQU5OLC0xRlksLCwsVVNEKQ==&amp;WINDOW=FIRST_POPUP&amp;HEIGHT=450&amp;WIDTH=450&amp;","START_MAXIMIZED=FALSE&amp;VAR:CALENDAR=FIVEDAY&amp;VAR:SYMBOL=0&amp;VAR:INDEX=0"}</definedName>
    <definedName name="_691__FDSAUDITLINK__" hidden="1">{"fdsup://directions/FAT Viewer?action=UPDATE&amp;creator=factset&amp;DYN_ARGS=TRUE&amp;DOC_NAME=FAT:FQL_AUDITING_CLIENT_TEMPLATE.FAT&amp;display_string=Audit&amp;VAR:KEY=CRCZEPYNYT&amp;VAR:QUERY=RkZfRUJJVERBX09QRVIoQU5OLDAsLCwsVVNEKQ==&amp;WINDOW=FIRST_POPUP&amp;HEIGHT=450&amp;WIDTH=450&amp;STAR","T_MAXIMIZED=FALSE&amp;VAR:CALENDAR=FIVEDAY&amp;VAR:SYMBOL=0&amp;VAR:INDEX=0"}</definedName>
    <definedName name="_692__FDSAUDITLINK__" hidden="1">{"fdsup://directions/FAT Viewer?action=UPDATE&amp;creator=factset&amp;DYN_ARGS=TRUE&amp;DOC_NAME=FAT:FQL_AUDITING_CLIENT_TEMPLATE.FAT&amp;display_string=Audit&amp;VAR:KEY=MTKXUDOXEH&amp;VAR:QUERY=RkZfRU5UUlBSX1ZBTF9EQUlMWSgwLCwsLFVTRCwnRElMJyk=&amp;WINDOW=FIRST_POPUP&amp;HEIGHT=450&amp;WIDTH=","450&amp;START_MAXIMIZED=FALSE&amp;VAR:CALENDAR=FIVEDAY&amp;VAR:SYMBOL=0&amp;VAR:INDEX=0"}</definedName>
    <definedName name="_696__FDSAUDITLINK__" hidden="1">{"fdsup://directions/FAT Viewer?action=UPDATE&amp;creator=factset&amp;DYN_ARGS=TRUE&amp;DOC_NAME=FAT:FQL_AUDITING_CLIENT_TEMPLATE.FAT&amp;display_string=Audit&amp;VAR:KEY=UXYLQJWZGR&amp;VAR:QUERY=RkZfRUJJVERBX09QRVIoQU5OLDAsLCwsVVNEKQ==&amp;WINDOW=FIRST_POPUP&amp;HEIGHT=450&amp;WIDTH=450&amp;STAR","T_MAXIMIZED=FALSE&amp;VAR:CALENDAR=FIVEDAY&amp;VAR:INDEX=0"}</definedName>
    <definedName name="_699__FDSAUDITLINK__" hidden="1">{"fdsup://directions/FAT Viewer?action=UPDATE&amp;creator=factset&amp;DYN_ARGS=TRUE&amp;DOC_NAME=FAT:FQL_AUDITING_CLIENT_TEMPLATE.FAT&amp;display_string=Audit&amp;VAR:KEY=GNOBODELOR&amp;VAR:QUERY=RkZfREVCVChBTk4sMCwsLCxVU0Qp&amp;WINDOW=FIRST_POPUP&amp;HEIGHT=450&amp;WIDTH=450&amp;START_MAXIMIZED=","FALSE&amp;VAR:CALENDAR=FIVEDAY&amp;VAR:SYMBOL=0&amp;VAR:INDEX=0"}</definedName>
    <definedName name="_7__123Graph_A_FABP_L.WK1_FAB" hidden="1">#REF!</definedName>
    <definedName name="_7__123Graph_AChart_2" hidden="1">#REF!</definedName>
    <definedName name="_7__123Graph_XChart_2" hidden="1">#REF!</definedName>
    <definedName name="_7__FDSAUDITLINK__" hidden="1">{"fdsup://Directions/FactSet Auditing Viewer?action=AUDIT_VALUE&amp;DB=129&amp;ID1=03783310&amp;VALUEID=07011&amp;SDATE=2010&amp;PERIODTYPE=ANN_STD&amp;window=popup_no_bar&amp;width=385&amp;height=120&amp;START_MAXIMIZED=FALSE&amp;creator=factset&amp;display_string=Audit"}</definedName>
    <definedName name="_7__FDSAUDITLINK___1" hidden="1">{"fdsup://IBCentral/FAT Viewer?action=UPDATE&amp;creator=factset&amp;DOC_NAME=fat:reuters_annual_shs_src_window.fat&amp;display_string=Audit&amp;DYN_ARGS=TRUE&amp;VAR:ID1=90385D10&amp;VAR:RCODE=FDSSHSOUTDEPS&amp;VAR:SDATE=20071299&amp;VAR:FREQ=Y&amp;VAR:RELITEM=RF&amp;VAR:CURRENCY=&amp;VAR:CURRSOURCE","=EXSHARE&amp;VAR:NATFREQ=ANNUAL&amp;VAR:RFIELD=FINALIZED&amp;VAR:DB_TYPE=&amp;VAR:UNITS=MONTHLY&amp;window=popup&amp;width=450&amp;height=300&amp;START_MAXIMIZED=FALSE"}</definedName>
    <definedName name="_7_0_S" hidden="1">#REF!</definedName>
    <definedName name="_70__FDSAUDITLINK__" hidden="1">{"fdsup://directions/FAT Viewer?action=UPDATE&amp;creator=factset&amp;DYN_ARGS=TRUE&amp;DOC_NAME=FAT:FQL_AUDITING_CLIENT_TEMPLATE.FAT&amp;display_string=Audit&amp;VAR:KEY=YDUTQHKZMH&amp;VAR:QUERY=KCgoKEZGX1NITERSU19FUShRVFIsMCwsLFJTLFVTRClAKEZGX0xJQUJTX1NITERSU19FUShRVFIsMCwsLFJTL","FVTRCktRkZfTElBQlMoUVRSLDAsLCxSUyxVU0QpKSkpQCgoRkZfU0hMRFJTX0VRKFNFTUksMCwsLFJTLFVTRClAKEZGX0xJQUJTX1NITERSU19FUShTRU1JLDAsLCxSUyxVU0QpLUZGX0xJQUJTKFNFTUksMCwsLFJTLFVTRCkpKSkpQEZGX1NITERSU19FUShBTk4sMCwsLFJTLFVTRCkp&amp;WINDOW=FIRST_POPUP&amp;HEIGHT=450&amp;WIDTH=450","&amp;START_MAXIMIZED=FALSE&amp;VAR:CALENDAR=US&amp;VAR:SYMBOL=LAZ&amp;VAR:INDEX=0"}</definedName>
    <definedName name="_700__FDSAUDITLINK__" hidden="1">{"fdsup://directions/FAT Viewer?action=UPDATE&amp;creator=factset&amp;DYN_ARGS=TRUE&amp;DOC_NAME=FAT:FQL_AUDITING_CLIENT_TEMPLATE.FAT&amp;display_string=Audit&amp;VAR:KEY=GJSHCHCLOR&amp;VAR:QUERY=RkZfTkVUX0lOQyhBTk4sLTJGWSwsLCxVU0Qp&amp;WINDOW=FIRST_POPUP&amp;HEIGHT=450&amp;WIDTH=450&amp;START_MA","XIMIZED=FALSE&amp;VAR:CALENDAR=FIVEDAY&amp;VAR:SYMBOL=0&amp;VAR:INDEX=0"}</definedName>
    <definedName name="_702__FDSAUDITLINK__" hidden="1">{"fdsup://directions/FAT Viewer?action=UPDATE&amp;creator=factset&amp;DYN_ARGS=TRUE&amp;DOC_NAME=FAT:FQL_AUDITING_CLIENT_TEMPLATE.FAT&amp;display_string=Audit&amp;VAR:KEY=WFWFGNKPCB&amp;VAR:QUERY=RkZfTkVUX0lOQyhBTk4sLTFGWSwsLCxVU0Qp&amp;WINDOW=FIRST_POPUP&amp;HEIGHT=450&amp;WIDTH=450&amp;START_MA","XIMIZED=FALSE&amp;VAR:CALENDAR=FIVEDAY&amp;VAR:SYMBOL=0&amp;VAR:INDEX=0"}</definedName>
    <definedName name="_703__FDSAUDITLINK__" hidden="1">{"fdsup://directions/FAT Viewer?action=UPDATE&amp;creator=factset&amp;DYN_ARGS=TRUE&amp;DOC_NAME=FAT:FQL_AUDITING_CLIENT_TEMPLATE.FAT&amp;display_string=Audit&amp;VAR:KEY=ALKVKPOVUH&amp;VAR:QUERY=RkZfRUJJVERBX09QRVIoQU5OLC0yRlksLCwsVVNEKQ==&amp;WINDOW=FIRST_POPUP&amp;HEIGHT=450&amp;WIDTH=450&amp;","START_MAXIMIZED=FALSE&amp;VAR:CALENDAR=FIVEDAY&amp;VAR:SYMBOL=0&amp;VAR:INDEX=0"}</definedName>
    <definedName name="_704__FDSAUDITLINK__" hidden="1">{"fdsup://directions/FAT Viewer?action=UPDATE&amp;creator=factset&amp;DYN_ARGS=TRUE&amp;DOC_NAME=FAT:FQL_AUDITING_CLIENT_TEMPLATE.FAT&amp;display_string=Audit&amp;VAR:KEY=ANAHARYFUF&amp;VAR:QUERY=RkZfTkVUX0lOQyhBTk4sMCwsLCxVU0Qp&amp;WINDOW=FIRST_POPUP&amp;HEIGHT=450&amp;WIDTH=450&amp;START_MAXIMI","ZED=FALSE&amp;VAR:CALENDAR=FIVEDAY&amp;VAR:SYMBOL=0&amp;VAR:INDEX=0"}</definedName>
    <definedName name="_705__FDSAUDITLINK__" hidden="1">{"fdsup://directions/FAT Viewer?action=UPDATE&amp;creator=factset&amp;DYN_ARGS=TRUE&amp;DOC_NAME=FAT:FQL_AUDITING_CLIENT_TEMPLATE.FAT&amp;display_string=Audit&amp;VAR:KEY=GXSLWPUHQR&amp;VAR:QUERY=RkZfRUJJVERBX09QRVIoQU5OLC0xRlksLCwsVVNEKQ==&amp;WINDOW=FIRST_POPUP&amp;HEIGHT=450&amp;WIDTH=450&amp;","START_MAXIMIZED=FALSE&amp;VAR:CALENDAR=FIVEDAY&amp;VAR:SYMBOL=0&amp;VAR:INDEX=0"}</definedName>
    <definedName name="_71__FDSAUDITLINK__" hidden="1">{"fdsup://Directions/FactSet Auditing Viewer?action=AUDIT_VALUE&amp;DB=129&amp;ID1=47231910&amp;VALUEID=07011&amp;SDATE=2009&amp;PERIODTYPE=ANN_STD&amp;window=popup_no_bar&amp;width=385&amp;height=120&amp;START_MAXIMIZED=FALSE&amp;creator=factset&amp;display_string=Audit"}</definedName>
    <definedName name="_711__FDSAUDITLINK__" hidden="1">{"fdsup://directions/FAT Viewer?action=UPDATE&amp;creator=factset&amp;DYN_ARGS=TRUE&amp;DOC_NAME=FAT:FQL_AUDITING_CLIENT_TEMPLATE.FAT&amp;display_string=Audit&amp;VAR:KEY=FGRGROBALC&amp;VAR:QUERY=RkZfREVCVChBTk4sMCwsLCxVU0Qp&amp;WINDOW=FIRST_POPUP&amp;HEIGHT=450&amp;WIDTH=450&amp;START_MAXIMIZED=","FALSE&amp;VAR:CALENDAR=FIVEDAY&amp;VAR:INDEX=0"}</definedName>
    <definedName name="_712__FDSAUDITLINK__" hidden="1">{"fdsup://directions/FAT Viewer?action=UPDATE&amp;creator=factset&amp;DYN_ARGS=TRUE&amp;DOC_NAME=FAT:FQL_AUDITING_CLIENT_TEMPLATE.FAT&amp;display_string=Audit&amp;VAR:KEY=CRCZEPYNYT&amp;VAR:QUERY=RkZfRUJJVERBX09QRVIoQU5OLDAsLCwsVVNEKQ==&amp;WINDOW=FIRST_POPUP&amp;HEIGHT=450&amp;WIDTH=450&amp;STAR","T_MAXIMIZED=FALSE&amp;VAR:CALENDAR=FIVEDAY&amp;VAR:SYMBOL=0&amp;VAR:INDEX=0"}</definedName>
    <definedName name="_713__FDSAUDITLINK__" hidden="1">{"fdsup://directions/FAT Viewer?action=UPDATE&amp;creator=factset&amp;DYN_ARGS=TRUE&amp;DOC_NAME=FAT:FQL_AUDITING_CLIENT_TEMPLATE.FAT&amp;display_string=Audit&amp;VAR:KEY=MTKXUDOXEH&amp;VAR:QUERY=RkZfRU5UUlBSX1ZBTF9EQUlMWSgwLCwsLFVTRCwnRElMJyk=&amp;WINDOW=FIRST_POPUP&amp;HEIGHT=450&amp;WIDTH=","450&amp;START_MAXIMIZED=FALSE&amp;VAR:CALENDAR=FIVEDAY&amp;VAR:SYMBOL=0&amp;VAR:INDEX=0"}</definedName>
    <definedName name="_714__FDSAUDITLINK__" hidden="1">{"fdsup://directions/FAT Viewer?action=UPDATE&amp;creator=factset&amp;DYN_ARGS=TRUE&amp;DOC_NAME=FAT:FQL_AUDITING_CLIENT_TEMPLATE.FAT&amp;display_string=Audit&amp;VAR:KEY=GNOBODELOR&amp;VAR:QUERY=RkZfREVCVChBTk4sMCwsLCxVU0Qp&amp;WINDOW=FIRST_POPUP&amp;HEIGHT=450&amp;WIDTH=450&amp;START_MAXIMIZED=","FALSE&amp;VAR:CALENDAR=FIVEDAY&amp;VAR:SYMBOL=0&amp;VAR:INDEX=0"}</definedName>
    <definedName name="_715__FDSAUDITLINK__" hidden="1">{"fdsup://directions/FAT Viewer?action=UPDATE&amp;creator=factset&amp;DYN_ARGS=TRUE&amp;DOC_NAME=FAT:FQL_AUDITING_CLIENT_TEMPLATE.FAT&amp;display_string=Audit&amp;VAR:KEY=GJSHCHCLOR&amp;VAR:QUERY=RkZfTkVUX0lOQyhBTk4sLTJGWSwsLCxVU0Qp&amp;WINDOW=FIRST_POPUP&amp;HEIGHT=450&amp;WIDTH=450&amp;START_MA","XIMIZED=FALSE&amp;VAR:CALENDAR=FIVEDAY&amp;VAR:SYMBOL=0&amp;VAR:INDEX=0"}</definedName>
    <definedName name="_716__FDSAUDITLINK__" hidden="1">{"fdsup://directions/FAT Viewer?action=UPDATE&amp;creator=factset&amp;DYN_ARGS=TRUE&amp;DOC_NAME=FAT:FQL_AUDITING_CLIENT_TEMPLATE.FAT&amp;display_string=Audit&amp;VAR:KEY=WFWFGNKPCB&amp;VAR:QUERY=RkZfTkVUX0lOQyhBTk4sLTFGWSwsLCxVU0Qp&amp;WINDOW=FIRST_POPUP&amp;HEIGHT=450&amp;WIDTH=450&amp;START_MA","XIMIZED=FALSE&amp;VAR:CALENDAR=FIVEDAY&amp;VAR:SYMBOL=0&amp;VAR:INDEX=0"}</definedName>
    <definedName name="_718__FDSAUDITLINK__" hidden="1">{"fdsup://directions/FAT Viewer?action=UPDATE&amp;creator=factset&amp;DYN_ARGS=TRUE&amp;DOC_NAME=FAT:FQL_AUDITING_CLIENT_TEMPLATE.FAT&amp;display_string=Audit&amp;VAR:KEY=GXSLWPUHQR&amp;VAR:QUERY=RkZfRUJJVERBX09QRVIoQU5OLC0xRlksLCwsVVNEKQ==&amp;WINDOW=FIRST_POPUP&amp;HEIGHT=450&amp;WIDTH=450&amp;","START_MAXIMIZED=FALSE&amp;VAR:CALENDAR=FIVEDAY&amp;VAR:SYMBOL=0&amp;VAR:INDEX=0"}</definedName>
    <definedName name="_72__FDSAUDITLINK__" hidden="1">{"fdsup://directions/FAT Viewer?action=UPDATE&amp;creator=factset&amp;DYN_ARGS=TRUE&amp;DOC_NAME=FAT:FQL_AUDITING_CLIENT_TEMPLATE.FAT&amp;display_string=Audit&amp;VAR:KEY=KHYFUZWBKT&amp;VAR:QUERY=KChGRl9ORVRfSU5DKExUTSwwLCwsUkYsVVNEKUBGRl9ORVRfSU5DKExUTVNfU0VNSSwwLCwsUkYsVVNEKSlAR","kZfTkVUX0lOQyhBTk4sMCwsLFJGLFVTRCkp&amp;WINDOW=FIRST_POPUP&amp;HEIGHT=450&amp;WIDTH=450&amp;START_MAXIMIZED=FALSE&amp;VAR:CALENDAR=US&amp;VAR:SYMBOL=B0ZSH6&amp;VAR:INDEX=0"}</definedName>
    <definedName name="_722__FDSAUDITLINK__" hidden="1">{"fdsup://directions/FAT Viewer?action=UPDATE&amp;creator=factset&amp;DYN_ARGS=TRUE&amp;DOC_NAME=FAT:FQL_AUDITING_CLIENT_TEMPLATE.FAT&amp;display_string=Audit&amp;VAR:KEY=VMROBMFQHS&amp;VAR:QUERY=RkZfRUJJVERBX09QRVIoQU5OLDAsLCwsVVNEKQ==&amp;WINDOW=FIRST_POPUP&amp;HEIGHT=450&amp;WIDTH=450&amp;STAR","T_MAXIMIZED=FALSE&amp;VAR:CALENDAR=FIVEDAY&amp;VAR:INDEX=0"}</definedName>
    <definedName name="_724__FDSAUDITLINK__" hidden="1">{"fdsup://directions/FAT Viewer?action=UPDATE&amp;creator=factset&amp;DYN_ARGS=TRUE&amp;DOC_NAME=FAT:FQL_AUDITING_CLIENT_TEMPLATE.FAT&amp;display_string=Audit&amp;VAR:KEY=FCLWRIZAVK&amp;VAR:QUERY=RkZfRUJJVERBX09QRVIoQU5OLC0xRlksLCwsVVNEKQ==&amp;WINDOW=FIRST_POPUP&amp;HEIGHT=450&amp;WIDTH=450&amp;","START_MAXIMIZED=FALSE&amp;VAR:CALENDAR=FIVEDAY&amp;VAR:INDEX=0"}</definedName>
    <definedName name="_725__FDSAUDITLINK__" hidden="1">{"fdsup://directions/FAT Viewer?action=UPDATE&amp;creator=factset&amp;DYN_ARGS=TRUE&amp;DOC_NAME=FAT:FQL_AUDITING_CLIENT_TEMPLATE.FAT&amp;display_string=Audit&amp;VAR:KEY=CRCZEPYNYT&amp;VAR:QUERY=RkZfRUJJVERBX09QRVIoQU5OLDAsLCwsVVNEKQ==&amp;WINDOW=FIRST_POPUP&amp;HEIGHT=450&amp;WIDTH=450&amp;STAR","T_MAXIMIZED=FALSE&amp;VAR:CALENDAR=FIVEDAY&amp;VAR:SYMBOL=0&amp;VAR:INDEX=0"}</definedName>
    <definedName name="_726__FDSAUDITLINK__" hidden="1">{"fdsup://directions/FAT Viewer?action=UPDATE&amp;creator=factset&amp;DYN_ARGS=TRUE&amp;DOC_NAME=FAT:FQL_AUDITING_CLIENT_TEMPLATE.FAT&amp;display_string=Audit&amp;VAR:KEY=MTKXUDOXEH&amp;VAR:QUERY=RkZfRU5UUlBSX1ZBTF9EQUlMWSgwLCwsLFVTRCwnRElMJyk=&amp;WINDOW=FIRST_POPUP&amp;HEIGHT=450&amp;WIDTH=","450&amp;START_MAXIMIZED=FALSE&amp;VAR:CALENDAR=FIVEDAY&amp;VAR:SYMBOL=0&amp;VAR:INDEX=0"}</definedName>
    <definedName name="_727__FDSAUDITLINK__" hidden="1">{"fdsup://directions/FAT Viewer?action=UPDATE&amp;creator=factset&amp;DYN_ARGS=TRUE&amp;DOC_NAME=FAT:FQL_AUDITING_CLIENT_TEMPLATE.FAT&amp;display_string=Audit&amp;VAR:KEY=GNOBODELOR&amp;VAR:QUERY=RkZfREVCVChBTk4sMCwsLCxVU0Qp&amp;WINDOW=FIRST_POPUP&amp;HEIGHT=450&amp;WIDTH=450&amp;START_MAXIMIZED=","FALSE&amp;VAR:CALENDAR=FIVEDAY&amp;VAR:SYMBOL=0&amp;VAR:INDEX=0"}</definedName>
    <definedName name="_73__FDSAUDITLINK__" hidden="1">{"fdsup://directions/FAT Viewer?action=UPDATE&amp;creator=factset&amp;DYN_ARGS=TRUE&amp;DOC_NAME=FAT:FQL_AUDITING_CLIENT_TEMPLATE.FAT&amp;display_string=Audit&amp;VAR:KEY=KJWJQPURWT&amp;VAR:QUERY=KCgoKEZGX1NITERSU19FUShRVFIsMCwsLFJTLFVTRClAKEZGX0xJQUJTX1NITERSU19FUShRVFIsMCwsLFJTL","FVTRCktRkZfTElBQlMoUVRSLDAsLCxSUyxVU0QpKSkpQCgoRkZfU0hMRFJTX0VRKFNFTUksMCwsLFJTLFVTRClAKEZGX0xJQUJTX1NITERSU19FUShTRU1JLDAsLCxSUyxVU0QpLUZGX0xJQUJTKFNFTUksMCwsLFJTLFVTRCkpKSkpQEZGX1NITERSU19FUShBTk4sMCwsLFJTLFVTRCkp&amp;WINDOW=FIRST_POPUP&amp;HEIGHT=450&amp;WIDTH=450","&amp;START_MAXIMIZED=FALSE&amp;VAR:CALENDAR=US&amp;VAR:SYMBOL=JEF&amp;VAR:INDEX=0"}</definedName>
    <definedName name="_730__FDSAUDITLINK__" hidden="1">{"fdsup://directions/FAT Viewer?action=UPDATE&amp;creator=factset&amp;DYN_ARGS=TRUE&amp;DOC_NAME=FAT:FQL_AUDITING_CLIENT_TEMPLATE.FAT&amp;display_string=Audit&amp;VAR:KEY=ALKVKPOVUH&amp;VAR:QUERY=RkZfRUJJVERBX09QRVIoQU5OLC0yRlksLCwsVVNEKQ==&amp;WINDOW=FIRST_POPUP&amp;HEIGHT=450&amp;WIDTH=450&amp;","START_MAXIMIZED=FALSE&amp;VAR:CALENDAR=FIVEDAY&amp;VAR:SYMBOL=0&amp;VAR:INDEX=0"}</definedName>
    <definedName name="_735__FDSAUDITLINK__" hidden="1">{"fdsup://directions/FAT Viewer?action=UPDATE&amp;creator=factset&amp;DYN_ARGS=TRUE&amp;DOC_NAME=FAT:FQL_AUDITING_CLIENT_TEMPLATE.FAT&amp;display_string=Audit&amp;VAR:KEY=NALOPQFQHA&amp;VAR:QUERY=RkZfRUJJVERBX09QRVIoQU5OLC0yRlksLCwsVVNEKQ==&amp;WINDOW=FIRST_POPUP&amp;HEIGHT=450&amp;WIDTH=450&amp;","START_MAXIMIZED=FALSE&amp;VAR:CALENDAR=FIVEDAY&amp;VAR:INDEX=0"}</definedName>
    <definedName name="_737__FDSAUDITLINK__" hidden="1">{"fdsup://directions/FAT Viewer?action=UPDATE&amp;creator=factset&amp;DYN_ARGS=TRUE&amp;DOC_NAME=FAT:FQL_AUDITING_CLIENT_TEMPLATE.FAT&amp;display_string=Audit&amp;VAR:KEY=FYHKLYZQFU&amp;VAR:QUERY=RkZfTkVUX0lOQyhBTk4sMCwsLCxVU0Qp&amp;WINDOW=FIRST_POPUP&amp;HEIGHT=450&amp;WIDTH=450&amp;START_MAXIMI","ZED=FALSE&amp;VAR:CALENDAR=FIVEDAY&amp;VAR:INDEX=0"}</definedName>
    <definedName name="_74__FDSAUDITLINK__" hidden="1">{"fdsup://directions/FAT Viewer?action=UPDATE&amp;creator=factset&amp;DYN_ARGS=TRUE&amp;DOC_NAME=FAT:FQL_AUDITING_CLIENT_TEMPLATE.FAT&amp;display_string=Audit&amp;VAR:KEY=GNUDEFAXMF&amp;VAR:QUERY=KChGRl9ORVRfSU5DKExUTSwwLCwsUkYsVVNEKUBGRl9ORVRfSU5DKExUTVNfU0VNSSwwLCwsUkYsVVNEKSlAR","kZfTkVUX0lOQyhBTk4sMCwsLFJGLFVTRCkp&amp;WINDOW=FIRST_POPUP&amp;HEIGHT=450&amp;WIDTH=450&amp;START_MAXIMIZED=FALSE&amp;VAR:CALENDAR=US&amp;VAR:SYMBOL=TWPG&amp;VAR:INDEX=0"}</definedName>
    <definedName name="_745__FDSAUDITLINK__" hidden="1">{"fdsup://directions/FAT Viewer?action=UPDATE&amp;creator=factset&amp;DYN_ARGS=TRUE&amp;DOC_NAME=FAT:FQL_AUDITING_CLIENT_TEMPLATE.FAT&amp;display_string=Audit&amp;VAR:KEY=LODYLSFITO&amp;VAR:QUERY=RkZfRU5UUlBSX1ZBTF9EQUlMWSgwLCwsLFVTRCwnRElMJyk=&amp;WINDOW=FIRST_POPUP&amp;HEIGHT=450&amp;WIDTH=","450&amp;START_MAXIMIZED=FALSE&amp;VAR:CALENDAR=FIVEDAY&amp;VAR:INDEX=0"}</definedName>
    <definedName name="_746__FDSAUDITLINK__" hidden="1">{"fdsup://directions/FAT Viewer?action=UPDATE&amp;creator=factset&amp;DYN_ARGS=TRUE&amp;DOC_NAME=FAT:FQL_AUDITING_CLIENT_TEMPLATE.FAT&amp;display_string=Audit&amp;VAR:KEY=NUFAFUPWRM&amp;VAR:QUERY=RkZfTkVUX0lOQyhBTk4sLTJGWSwsLCxVU0Qp&amp;WINDOW=FIRST_POPUP&amp;HEIGHT=450&amp;WIDTH=450&amp;START_MA","XIMIZED=FALSE&amp;VAR:CALENDAR=FIVEDAY&amp;VAR:INDEX=0"}</definedName>
    <definedName name="_747__FDSAUDITLINK__" hidden="1">{"fdsup://directions/FAT Viewer?action=UPDATE&amp;creator=factset&amp;DYN_ARGS=TRUE&amp;DOC_NAME=FAT:FQL_AUDITING_CLIENT_TEMPLATE.FAT&amp;display_string=Audit&amp;VAR:KEY=ZQLYXCHMBO&amp;VAR:QUERY=RkZfTkVUX0lOQyhBTk4sLTFGWSwsLCxVU0Qp&amp;WINDOW=FIRST_POPUP&amp;HEIGHT=450&amp;WIDTH=450&amp;START_MA","XIMIZED=FALSE&amp;VAR:CALENDAR=FIVEDAY&amp;VAR:INDEX=0"}</definedName>
    <definedName name="_748__FDSAUDITLINK__" hidden="1">{"fdsup://directions/FAT Viewer?action=UPDATE&amp;creator=factset&amp;DYN_ARGS=TRUE&amp;DOC_NAME=FAT:FQL_AUDITING_CLIENT_TEMPLATE.FAT&amp;display_string=Audit&amp;VAR:KEY=EDMXENALUD&amp;VAR:QUERY=RkZfRU5UUlBSX1ZBTF9EQUlMWSgwLCwsLFVTRCwnRElMJykgLyBGRV9FU1RJTUFURShFQklUREEsTUVBTixBT","k5VQUxfUk9MTCwrMSwwLCwsJyxDVVJSRU5DWT1VU0QsRklYRURSQVRFPU5PLCcp&amp;WINDOW=FIRST_POPUP&amp;HEIGHT=450&amp;WIDTH=450&amp;START_MAXIMIZED=FALSE&amp;VAR:CALENDAR=FIVEDAY&amp;VAR:SYMBOL=0&amp;VAR:INDEX=0"}</definedName>
    <definedName name="_749__FDSAUDITLINK__" hidden="1">{"fdsup://directions/FAT Viewer?action=UPDATE&amp;creator=factset&amp;DYN_ARGS=TRUE&amp;DOC_NAME=FAT:FQL_AUDITING_CLIENT_TEMPLATE.FAT&amp;display_string=Audit&amp;VAR:KEY=KREFMRYLKH&amp;VAR:QUERY=RkZfRU5UUlBSX1ZBTF9EQUlMWSgwLCwsLFVTRCwnRElMJykgLyBGRl9FQklUREFfT1BFUihNT04sMCwsLCxVU","0Qp&amp;WINDOW=FIRST_POPUP&amp;HEIGHT=450&amp;WIDTH=450&amp;START_MAXIMIZED=FALSE&amp;VAR:CALENDAR=FIVEDAY&amp;VAR:SYMBOL=0&amp;VAR:INDEX=0"}</definedName>
    <definedName name="_75__FDSAUDITLINK__" hidden="1">{"fdsup://directions/FAT Viewer?action=UPDATE&amp;creator=factset&amp;DYN_ARGS=TRUE&amp;DOC_NAME=FAT:FQL_AUDITING_CLIENT_TEMPLATE.FAT&amp;display_string=Audit&amp;VAR:KEY=URYXUZQROR&amp;VAR:QUERY=KChGRl9FQklUKExUTSwwLCwsUkYsVVNEKUBGRl9FQklUKExUTVNfU0VNSSwwLCwsUkYsVVNEKSlARkZfRUJJV","ChBTk4sMCwsLFJGLFVTRCkp&amp;WINDOW=FIRST_POPUP&amp;HEIGHT=450&amp;WIDTH=450&amp;START_MAXIMIZED=FALSE&amp;VAR:CALENDAR=US&amp;VAR:SYMBOL=TWPG&amp;VAR:INDEX=0"}</definedName>
    <definedName name="_750__FDSAUDITLINK__" hidden="1">{"fdsup://directions/FAT Viewer?action=UPDATE&amp;creator=factset&amp;DYN_ARGS=TRUE&amp;DOC_NAME=FAT:FQL_AUDITING_CLIENT_TEMPLATE.FAT&amp;display_string=Audit&amp;VAR:KEY=MPCDMRIZAZ&amp;VAR:QUERY=RkZfRU5UUlBSX1ZBTF9EQUlMWSgwLCwsLFVTRCwnRElMJykgLyBGRV9FU1RJTUFURShFQklUKCksTUVBTixBT","k5VQUxfUk9MTCwrMiwwLCwsJyxDVVJSRU5DWT1VU0QsRklYRURSQVRFPU5PLCcp&amp;WINDOW=FIRST_POPUP&amp;HEIGHT=450&amp;WIDTH=450&amp;START_MAXIMIZED=FALSE&amp;VAR:CALENDAR=FIVEDAY&amp;VAR:SYMBOL=0&amp;VAR:INDEX=0"}</definedName>
    <definedName name="_751__FDSAUDITLINK__" hidden="1">{"fdsup://directions/FAT Viewer?action=UPDATE&amp;creator=factset&amp;DYN_ARGS=TRUE&amp;DOC_NAME=FAT:FQL_AUDITING_CLIENT_TEMPLATE.FAT&amp;display_string=Audit&amp;VAR:KEY=IFUFUZONSD&amp;VAR:QUERY=RkZfRU5UUlBSX1ZBTF9EQUlMWSgwLCwsLFVTRCwnRElMJykgLyBGRV9FU1RJTUFURShFQklUKCksTUVBTixBT","k5VQUxfUk9MTCwrMSwwLCwsJyxDVVJSRU5DWT1VU0QsRklYRURSQVRFPU5PLCcp&amp;WINDOW=FIRST_POPUP&amp;HEIGHT=450&amp;WIDTH=450&amp;START_MAXIMIZED=FALSE&amp;VAR:CALENDAR=FIVEDAY&amp;VAR:SYMBOL=0&amp;VAR:INDEX=0"}</definedName>
    <definedName name="_752__FDSAUDITLINK__" hidden="1">{"fdsup://directions/FAT Viewer?action=UPDATE&amp;creator=factset&amp;DYN_ARGS=TRUE&amp;DOC_NAME=FAT:FQL_AUDITING_CLIENT_TEMPLATE.FAT&amp;display_string=Audit&amp;VAR:KEY=CVOVGPSROZ&amp;VAR:QUERY=RkZfRU5UUlBSX1ZBTF9EQUlMWSgwLCwsLFVTRCwnRElMJykgLyBGRl9FQklUX09QRVIoTU9OLDAsLCwsVVNEK","Q==&amp;WINDOW=FIRST_POPUP&amp;HEIGHT=450&amp;WIDTH=450&amp;START_MAXIMIZED=FALSE&amp;VAR:CALENDAR=FIVEDAY&amp;VAR:SYMBOL=0&amp;VAR:INDEX=0"}</definedName>
    <definedName name="_753__FDSAUDITLINK__" hidden="1">{"fdsup://directions/FAT Viewer?action=UPDATE&amp;creator=factset&amp;DYN_ARGS=TRUE&amp;DOC_NAME=FAT:FQL_AUDITING_CLIENT_TEMPLATE.FAT&amp;display_string=Audit&amp;VAR:KEY=APIXWVSNML&amp;VAR:QUERY=RkZfRU5UUlBSX1ZBTF9EQUlMWSgwLCwsLFVTRCwnRElMJykgLyBGRV9FU1RJTUFURShTQUxFUygpLE1FQU4sQ","U5OVUFMX1JPTEwsKzIsMCwsLCcsQ1VSUkVOQ1k9VVNELEZJWEVEUkFURT1OTywnKQ==&amp;WINDOW=FIRST_POPUP&amp;HEIGHT=450&amp;WIDTH=450&amp;START_MAXIMIZED=FALSE&amp;VAR:CALENDAR=FIVEDAY&amp;VAR:SYMBOL=0&amp;VAR:INDEX=0"}</definedName>
    <definedName name="_754__FDSAUDITLINK__" hidden="1">{"fdsup://directions/FAT Viewer?action=UPDATE&amp;creator=factset&amp;DYN_ARGS=TRUE&amp;DOC_NAME=FAT:FQL_AUDITING_CLIENT_TEMPLATE.FAT&amp;display_string=Audit&amp;VAR:KEY=CVOVGPSROZ&amp;VAR:QUERY=RkZfRU5UUlBSX1ZBTF9EQUlMWSgwLCwsLFVTRCwnRElMJykgLyBGRl9FQklUX09QRVIoTU9OLDAsLCwsVVNEK","Q==&amp;WINDOW=FIRST_POPUP&amp;HEIGHT=450&amp;WIDTH=450&amp;START_MAXIMIZED=FALSE&amp;VAR:CALENDAR=FIVEDAY&amp;VAR:SYMBOL=0&amp;VAR:INDEX=0"}</definedName>
    <definedName name="_755__FDSAUDITLINK__" hidden="1">{"fdsup://directions/FAT Viewer?action=UPDATE&amp;creator=factset&amp;DYN_ARGS=TRUE&amp;DOC_NAME=FAT:FQL_AUDITING_CLIENT_TEMPLATE.FAT&amp;display_string=Audit&amp;VAR:KEY=MTKXUDOXEH&amp;VAR:QUERY=RkZfRU5UUlBSX1ZBTF9EQUlMWSgwLCwsLFVTRCwnRElMJyk=&amp;WINDOW=FIRST_POPUP&amp;HEIGHT=450&amp;WIDTH=","450&amp;START_MAXIMIZED=FALSE&amp;VAR:CALENDAR=FIVEDAY&amp;VAR:SYMBOL=0&amp;VAR:INDEX=0"}</definedName>
    <definedName name="_756__FDSAUDITLINK__" hidden="1">{"fdsup://directions/FAT Viewer?action=UPDATE&amp;creator=factset&amp;DYN_ARGS=TRUE&amp;DOC_NAME=FAT:FQL_AUDITING_CLIENT_TEMPLATE.FAT&amp;display_string=Audit&amp;VAR:KEY=GBUPMNAHKV&amp;VAR:QUERY=RkZfRU5UUlBSX1ZBTF9EQUlMWSgwLCwsLFVTRCwnRElMJykgLyBGRV9FU1RJTUFURShFQklUREEsTUVBTixBT","k5VQUxfUk9MTCwrMiwwLCwsJyxDVVJSRU5DWT1VU0QsRklYRURSQVRFPU5PLCcp&amp;WINDOW=FIRST_POPUP&amp;HEIGHT=450&amp;WIDTH=450&amp;START_MAXIMIZED=FALSE&amp;VAR:CALENDAR=FIVEDAY&amp;VAR:SYMBOL=0&amp;VAR:INDEX=0"}</definedName>
    <definedName name="_757__FDSAUDITLINK__" hidden="1">{"fdsup://directions/FAT Viewer?action=UPDATE&amp;creator=factset&amp;DYN_ARGS=TRUE&amp;DOC_NAME=FAT:FQL_AUDITING_CLIENT_TEMPLATE.FAT&amp;display_string=Audit&amp;VAR:KEY=EDMXENALUD&amp;VAR:QUERY=RkZfRU5UUlBSX1ZBTF9EQUlMWSgwLCwsLFVTRCwnRElMJykgLyBGRV9FU1RJTUFURShFQklUREEsTUVBTixBT","k5VQUxfUk9MTCwrMSwwLCwsJyxDVVJSRU5DWT1VU0QsRklYRURSQVRFPU5PLCcp&amp;WINDOW=FIRST_POPUP&amp;HEIGHT=450&amp;WIDTH=450&amp;START_MAXIMIZED=FALSE&amp;VAR:CALENDAR=FIVEDAY&amp;VAR:SYMBOL=0&amp;VAR:INDEX=0"}</definedName>
    <definedName name="_758__FDSAUDITLINK__" hidden="1">{"fdsup://directions/FAT Viewer?action=UPDATE&amp;creator=factset&amp;DYN_ARGS=TRUE&amp;DOC_NAME=FAT:FQL_AUDITING_CLIENT_TEMPLATE.FAT&amp;display_string=Audit&amp;VAR:KEY=KREFMRYLKH&amp;VAR:QUERY=RkZfRU5UUlBSX1ZBTF9EQUlMWSgwLCwsLFVTRCwnRElMJykgLyBGRl9FQklUREFfT1BFUihNT04sMCwsLCxVU","0Qp&amp;WINDOW=FIRST_POPUP&amp;HEIGHT=450&amp;WIDTH=450&amp;START_MAXIMIZED=FALSE&amp;VAR:CALENDAR=FIVEDAY&amp;VAR:SYMBOL=0&amp;VAR:INDEX=0"}</definedName>
    <definedName name="_759__FDSAUDITLINK__" hidden="1">{"fdsup://directions/FAT Viewer?action=UPDATE&amp;creator=factset&amp;DYN_ARGS=TRUE&amp;DOC_NAME=FAT:FQL_AUDITING_CLIENT_TEMPLATE.FAT&amp;display_string=Audit&amp;VAR:KEY=MPCDMRIZAZ&amp;VAR:QUERY=RkZfRU5UUlBSX1ZBTF9EQUlMWSgwLCwsLFVTRCwnRElMJykgLyBGRV9FU1RJTUFURShFQklUKCksTUVBTixBT","k5VQUxfUk9MTCwrMiwwLCwsJyxDVVJSRU5DWT1VU0QsRklYRURSQVRFPU5PLCcp&amp;WINDOW=FIRST_POPUP&amp;HEIGHT=450&amp;WIDTH=450&amp;START_MAXIMIZED=FALSE&amp;VAR:CALENDAR=FIVEDAY&amp;VAR:SYMBOL=0&amp;VAR:INDEX=0"}</definedName>
    <definedName name="_76__FDSAUDITLINK__" hidden="1">{"fdsup://directions/FAT Viewer?action=UPDATE&amp;creator=factset&amp;DYN_ARGS=TRUE&amp;DOC_NAME=FAT:FQL_AUDITING_CLIENT_TEMPLATE.FAT&amp;display_string=Audit&amp;VAR:KEY=UZQJGDMNEZ&amp;VAR:QUERY=KChGRl9FQklUREEoTFRNLDAsLCxSRixVU0QpQEZGX0VCSVREQShMVE1TX1NFTUksMCwsLFJGLFVTRCkpQEZGX","0VCSVREQShBTk4sMCwsLFJGLFVTRCkp&amp;WINDOW=FIRST_POPUP&amp;HEIGHT=450&amp;WIDTH=450&amp;START_MAXIMIZED=FALSE&amp;VAR:CALENDAR=US&amp;VAR:SYMBOL=TWPG&amp;VAR:INDEX=0"}</definedName>
    <definedName name="_760__FDSAUDITLINK__" hidden="1">{"fdsup://directions/FAT Viewer?action=UPDATE&amp;creator=factset&amp;DYN_ARGS=TRUE&amp;DOC_NAME=FAT:FQL_AUDITING_CLIENT_TEMPLATE.FAT&amp;display_string=Audit&amp;VAR:KEY=IFUFUZONSD&amp;VAR:QUERY=RkZfRU5UUlBSX1ZBTF9EQUlMWSgwLCwsLFVTRCwnRElMJykgLyBGRV9FU1RJTUFURShFQklUKCksTUVBTixBT","k5VQUxfUk9MTCwrMSwwLCwsJyxDVVJSRU5DWT1VU0QsRklYRURSQVRFPU5PLCcp&amp;WINDOW=FIRST_POPUP&amp;HEIGHT=450&amp;WIDTH=450&amp;START_MAXIMIZED=FALSE&amp;VAR:CALENDAR=FIVEDAY&amp;VAR:SYMBOL=0&amp;VAR:INDEX=0"}</definedName>
    <definedName name="_761__FDSAUDITLINK__" hidden="1">{"fdsup://directions/FAT Viewer?action=UPDATE&amp;creator=factset&amp;DYN_ARGS=TRUE&amp;DOC_NAME=FAT:FQL_AUDITING_CLIENT_TEMPLATE.FAT&amp;display_string=Audit&amp;VAR:KEY=MPCDMRIZAZ&amp;VAR:QUERY=RkZfRU5UUlBSX1ZBTF9EQUlMWSgwLCwsLFVTRCwnRElMJykgLyBGRV9FU1RJTUFURShFQklUKCksTUVBTixBT","k5VQUxfUk9MTCwrMiwwLCwsJyxDVVJSRU5DWT1VU0QsRklYRURSQVRFPU5PLCcp&amp;WINDOW=FIRST_POPUP&amp;HEIGHT=450&amp;WIDTH=450&amp;START_MAXIMIZED=FALSE&amp;VAR:CALENDAR=FIVEDAY&amp;VAR:SYMBOL=0&amp;VAR:INDEX=0"}</definedName>
    <definedName name="_762__FDSAUDITLINK__" hidden="1">{"fdsup://directions/FAT Viewer?action=UPDATE&amp;creator=factset&amp;DYN_ARGS=TRUE&amp;DOC_NAME=FAT:FQL_AUDITING_CLIENT_TEMPLATE.FAT&amp;display_string=Audit&amp;VAR:KEY=GHKFCHAXAP&amp;VAR:QUERY=RkZfRU5UUlBSX1ZBTF9EQUlMWSgwLCwsLFVTRCwnRElMJykgLyBGRV9FU1RJTUFURShTQUxFUygpLE1FQU4sQ","U5OVUFMX1JPTEwsKzEsMCwsLCcsQ1VSUkVOQ1k9VVNELEZJWEVEUkFURT1OTywnKQ==&amp;WINDOW=FIRST_POPUP&amp;HEIGHT=450&amp;WIDTH=450&amp;START_MAXIMIZED=FALSE&amp;VAR:CALENDAR=FIVEDAY&amp;VAR:SYMBOL=0&amp;VAR:INDEX=0"}</definedName>
    <definedName name="_763__FDSAUDITLINK__" hidden="1">{"fdsup://directions/FAT Viewer?action=UPDATE&amp;creator=factset&amp;DYN_ARGS=TRUE&amp;DOC_NAME=FAT:FQL_AUDITING_CLIENT_TEMPLATE.FAT&amp;display_string=Audit&amp;VAR:KEY=SFGVQZWTCJ&amp;VAR:QUERY=RkZfRU5UUlBSX1ZBTF9EQUlMWSgwLCwsLFVTRCwnRElMJykgLyBGRl9TQUxFUyhNT04sMCwsLCxVU0Qp&amp;WIND","OW=FIRST_POPUP&amp;HEIGHT=450&amp;WIDTH=450&amp;START_MAXIMIZED=FALSE&amp;VAR:CALENDAR=FIVEDAY&amp;VAR:SYMBOL=0&amp;VAR:INDEX=0"}</definedName>
    <definedName name="_764__FDSAUDITLINK__" hidden="1">{"fdsup://directions/FAT Viewer?action=UPDATE&amp;creator=factset&amp;DYN_ARGS=TRUE&amp;DOC_NAME=FAT:FQL_AUDITING_CLIENT_TEMPLATE.FAT&amp;display_string=Audit&amp;VAR:KEY=MTKXUDOXEH&amp;VAR:QUERY=RkZfRU5UUlBSX1ZBTF9EQUlMWSgwLCwsLFVTRCwnRElMJyk=&amp;WINDOW=FIRST_POPUP&amp;HEIGHT=450&amp;WIDTH=","450&amp;START_MAXIMIZED=FALSE&amp;VAR:CALENDAR=FIVEDAY&amp;VAR:SYMBOL=0&amp;VAR:INDEX=0"}</definedName>
    <definedName name="_765__FDSAUDITLINK__" hidden="1">{"fdsup://directions/FAT Viewer?action=UPDATE&amp;creator=factset&amp;DYN_ARGS=TRUE&amp;DOC_NAME=FAT:FQL_AUDITING_CLIENT_TEMPLATE.FAT&amp;display_string=Audit&amp;VAR:KEY=GBUPMNAHKV&amp;VAR:QUERY=RkZfRU5UUlBSX1ZBTF9EQUlMWSgwLCwsLFVTRCwnRElMJykgLyBGRV9FU1RJTUFURShFQklUREEsTUVBTixBT","k5VQUxfUk9MTCwrMiwwLCwsJyxDVVJSRU5DWT1VU0QsRklYRURSQVRFPU5PLCcp&amp;WINDOW=FIRST_POPUP&amp;HEIGHT=450&amp;WIDTH=450&amp;START_MAXIMIZED=FALSE&amp;VAR:CALENDAR=FIVEDAY&amp;VAR:SYMBOL=0&amp;VAR:INDEX=0"}</definedName>
    <definedName name="_766__FDSAUDITLINK__" hidden="1">{"fdsup://directions/FAT Viewer?action=UPDATE&amp;creator=factset&amp;DYN_ARGS=TRUE&amp;DOC_NAME=FAT:FQL_AUDITING_CLIENT_TEMPLATE.FAT&amp;display_string=Audit&amp;VAR:KEY=EDMXENALUD&amp;VAR:QUERY=RkZfRU5UUlBSX1ZBTF9EQUlMWSgwLCwsLFVTRCwnRElMJykgLyBGRV9FU1RJTUFURShFQklUREEsTUVBTixBT","k5VQUxfUk9MTCwrMSwwLCwsJyxDVVJSRU5DWT1VU0QsRklYRURSQVRFPU5PLCcp&amp;WINDOW=FIRST_POPUP&amp;HEIGHT=450&amp;WIDTH=450&amp;START_MAXIMIZED=FALSE&amp;VAR:CALENDAR=FIVEDAY&amp;VAR:SYMBOL=0&amp;VAR:INDEX=0"}</definedName>
    <definedName name="_767__FDSAUDITLINK__" hidden="1">{"fdsup://directions/FAT Viewer?action=UPDATE&amp;creator=factset&amp;DYN_ARGS=TRUE&amp;DOC_NAME=FAT:FQL_AUDITING_CLIENT_TEMPLATE.FAT&amp;display_string=Audit&amp;VAR:KEY=KREFMRYLKH&amp;VAR:QUERY=RkZfRU5UUlBSX1ZBTF9EQUlMWSgwLCwsLFVTRCwnRElMJykgLyBGRl9FQklUREFfT1BFUihNT04sMCwsLCxVU","0Qp&amp;WINDOW=FIRST_POPUP&amp;HEIGHT=450&amp;WIDTH=450&amp;START_MAXIMIZED=FALSE&amp;VAR:CALENDAR=FIVEDAY&amp;VAR:SYMBOL=0&amp;VAR:INDEX=0"}</definedName>
    <definedName name="_768__FDSAUDITLINK__" hidden="1">{"fdsup://directions/FAT Viewer?action=UPDATE&amp;creator=factset&amp;DYN_ARGS=TRUE&amp;DOC_NAME=FAT:FQL_AUDITING_CLIENT_TEMPLATE.FAT&amp;display_string=Audit&amp;VAR:KEY=YDSVEFGVIL&amp;VAR:QUERY=RkZfRU5UUlBSX1ZBTF9EQUlMWSgwLCwsLFVTRCwnRElMJykgLyBGRV9FU1RJTUFURShFQklUREEsTUVBTixBT","k5VQUxfUk9MTCwrMSwwLCwsJyxDVVJSRU5DWT1VU0QsRklYRURSQVRFPU5PLCcp&amp;WINDOW=FIRST_POPUP&amp;HEIGHT=450&amp;WIDTH=450&amp;START_MAXIMIZED=FALSE&amp;VAR:CALENDAR=FIVEDAY&amp;VAR:SYMBOL=2174&amp;VAR:INDEX=0"}</definedName>
    <definedName name="_769__FDSAUDITLINK__" hidden="1">{"fdsup://directions/FAT Viewer?action=UPDATE&amp;creator=factset&amp;DYN_ARGS=TRUE&amp;DOC_NAME=FAT:FQL_AUDITING_CLIENT_TEMPLATE.FAT&amp;display_string=Audit&amp;VAR:KEY=CVOVGPSROZ&amp;VAR:QUERY=RkZfRU5UUlBSX1ZBTF9EQUlMWSgwLCwsLFVTRCwnRElMJykgLyBGRl9FQklUX09QRVIoTU9OLDAsLCwsVVNEK","Q==&amp;WINDOW=FIRST_POPUP&amp;HEIGHT=450&amp;WIDTH=450&amp;START_MAXIMIZED=FALSE&amp;VAR:CALENDAR=FIVEDAY&amp;VAR:SYMBOL=0&amp;VAR:INDEX=0"}</definedName>
    <definedName name="_77__FDSAUDITLINK__" hidden="1">{"fdsup://directions/FAT Viewer?action=UPDATE&amp;creator=factset&amp;DYN_ARGS=TRUE&amp;DOC_NAME=FAT:FQL_AUDITING_CLIENT_TEMPLATE.FAT&amp;display_string=Audit&amp;VAR:KEY=IFGLEBSLWL&amp;VAR:QUERY=KChGRl9ORVRfSU5DKExUTSwwLCwsUkYsVVNEKUBGRl9ORVRfSU5DKExUTVNfU0VNSSwwLCwsUkYsVVNEKSlAR","kZfTkVUX0lOQyhBTk4sMCwsLFJGLFVTRCkp&amp;WINDOW=FIRST_POPUP&amp;HEIGHT=450&amp;WIDTH=450&amp;START_MAXIMIZED=FALSE&amp;VAR:CALENDAR=US&amp;VAR:SYMBOL=JMP&amp;VAR:INDEX=0"}</definedName>
    <definedName name="_770__FDSAUDITLINK__" hidden="1">{"fdsup://Directions/FactSet Auditing Viewer?action=AUDIT_VALUE&amp;DB=129&amp;ID1=610483&amp;VALUEID=01001&amp;SDATE=2010&amp;PERIODTYPE=ANN_STD&amp;SCFT=3&amp;window=popup_no_bar&amp;width=385&amp;height=120&amp;START_MAXIMIZED=FALSE&amp;creator=factset&amp;display_string=Audit"}</definedName>
    <definedName name="_771__FDSAUDITLINK__" hidden="1">{"fdsup://Directions/FactSet Auditing Viewer?action=AUDIT_VALUE&amp;DB=129&amp;ID1=B03GD6&amp;VALUEID=01001&amp;SDATE=2010&amp;PERIODTYPE=ANN_STD&amp;SCFT=3&amp;window=popup_no_bar&amp;width=385&amp;height=120&amp;START_MAXIMIZED=FALSE&amp;creator=factset&amp;display_string=Audit"}</definedName>
    <definedName name="_772__FDSAUDITLINK__" hidden="1">{"fdsup://Directions/FactSet Auditing Viewer?action=AUDIT_VALUE&amp;DB=129&amp;ID1=B05JSD&amp;VALUEID=01001&amp;SDATE=2011&amp;PERIODTYPE=ANN_STD&amp;SCFT=3&amp;window=popup_no_bar&amp;width=385&amp;height=120&amp;START_MAXIMIZED=FALSE&amp;creator=factset&amp;display_string=Audit"}</definedName>
    <definedName name="_773__FDSAUDITLINK__" hidden="1">{"fdsup://Directions/FactSet Auditing Viewer?action=AUDIT_VALUE&amp;DB=129&amp;ID1=B0BVB9&amp;VALUEID=01001&amp;SDATE=2010&amp;PERIODTYPE=ANN_STD&amp;SCFT=3&amp;window=popup_no_bar&amp;width=385&amp;height=120&amp;START_MAXIMIZED=FALSE&amp;creator=factset&amp;display_string=Audit"}</definedName>
    <definedName name="_774__FDSAUDITLINK__" hidden="1">{"fdsup://Directions/FactSet Auditing Viewer?action=AUDIT_VALUE&amp;DB=129&amp;ID1=630898&amp;VALUEID=01001&amp;SDATE=2010&amp;PERIODTYPE=ANN_STD&amp;SCFT=3&amp;window=popup_no_bar&amp;width=385&amp;height=120&amp;START_MAXIMIZED=FALSE&amp;creator=factset&amp;display_string=Audit"}</definedName>
    <definedName name="_775__FDSAUDITLINK__" hidden="1">{"fdsup://Directions/FactSet Auditing Viewer?action=AUDIT_VALUE&amp;DB=129&amp;ID1=B1VJ4Z&amp;VALUEID=01001&amp;SDATE=2011&amp;PERIODTYPE=ANN_STD&amp;SCFT=3&amp;window=popup_no_bar&amp;width=385&amp;height=120&amp;START_MAXIMIZED=FALSE&amp;creator=factset&amp;display_string=Audit"}</definedName>
    <definedName name="_776__FDSAUDITLINK__" hidden="1">{"fdsup://Directions/FactSet Auditing Viewer?action=AUDIT_VALUE&amp;DB=129&amp;ID1=614261&amp;VALUEID=01001&amp;SDATE=2011&amp;PERIODTYPE=ANN_STD&amp;SCFT=3&amp;window=popup_no_bar&amp;width=385&amp;height=120&amp;START_MAXIMIZED=FALSE&amp;creator=factset&amp;display_string=Audit"}</definedName>
    <definedName name="_777__FDSAUDITLINK__" hidden="1">{"fdsup://Directions/FactSet Auditing Viewer?action=AUDIT_VALUE&amp;DB=129&amp;ID1=B0BQQX&amp;VALUEID=01001&amp;SDATE=2010&amp;PERIODTYPE=ANN_STD&amp;SCFT=3&amp;window=popup_no_bar&amp;width=385&amp;height=120&amp;START_MAXIMIZED=FALSE&amp;creator=factset&amp;display_string=Audit"}</definedName>
    <definedName name="_778__FDSAUDITLINK__" hidden="1">{"fdsup://Directions/FactSet Auditing Viewer?action=AUDIT_VALUE&amp;DB=129&amp;ID1=B3XNKM&amp;VALUEID=01001&amp;SDATE=2010&amp;PERIODTYPE=ANN_STD&amp;SCFT=3&amp;window=popup_no_bar&amp;width=385&amp;height=120&amp;START_MAXIMIZED=FALSE&amp;creator=factset&amp;display_string=Audit"}</definedName>
    <definedName name="_779__FDSAUDITLINK__" hidden="1">{"fdsup://Directions/FactSet Auditing Viewer?action=AUDIT_VALUE&amp;DB=129&amp;ID1=641903&amp;VALUEID=01001&amp;SDATE=2010&amp;PERIODTYPE=ANN_STD&amp;SCFT=3&amp;window=popup_no_bar&amp;width=385&amp;height=120&amp;START_MAXIMIZED=FALSE&amp;creator=factset&amp;display_string=Audit"}</definedName>
    <definedName name="_78__FDSAUDITLINK__" hidden="1">{"fdsup://directions/FAT Viewer?action=UPDATE&amp;creator=factset&amp;DYN_ARGS=TRUE&amp;DOC_NAME=FAT:FQL_AUDITING_CLIENT_TEMPLATE.FAT&amp;display_string=Audit&amp;VAR:KEY=SZUPOFCRSL&amp;VAR:QUERY=KChGRl9FQklUKExUTSwwLCwsUkYsVVNEKUBGRl9FQklUKExUTVNfU0VNSSwwLCwsUkYsVVNEKSlARkZfRUJJV","ChBTk4sMCwsLFJGLFVTRCkp&amp;WINDOW=FIRST_POPUP&amp;HEIGHT=450&amp;WIDTH=450&amp;START_MAXIMIZED=FALSE&amp;VAR:CALENDAR=US&amp;VAR:SYMBOL=JMP&amp;VAR:INDEX=0"}</definedName>
    <definedName name="_780__FDSAUDITLINK__" hidden="1">{"fdsup://Directions/FactSet Auditing Viewer?action=AUDIT_VALUE&amp;DB=129&amp;ID1=B43G3B&amp;VALUEID=01001&amp;SDATE=2010&amp;PERIODTYPE=ANN_STD&amp;SCFT=3&amp;window=popup_no_bar&amp;width=385&amp;height=120&amp;START_MAXIMIZED=FALSE&amp;creator=factset&amp;display_string=Audit"}</definedName>
    <definedName name="_781__FDSAUDITLINK__" hidden="1">{"fdsup://Directions/FactSet Auditing Viewer?action=AUDIT_VALUE&amp;DB=129&amp;ID1=680084&amp;VALUEID=01001&amp;SDATE=2010&amp;PERIODTYPE=ANN_STD&amp;SCFT=3&amp;window=popup_no_bar&amp;width=385&amp;height=120&amp;START_MAXIMIZED=FALSE&amp;creator=factset&amp;display_string=Audit"}</definedName>
    <definedName name="_782__FDSAUDITLINK__" hidden="1">{"fdsup://Directions/FactSet Auditing Viewer?action=AUDIT_VALUE&amp;DB=129&amp;ID1=B0LLBY&amp;VALUEID=01001&amp;SDATE=2010&amp;PERIODTYPE=ANN_STD&amp;SCFT=3&amp;window=popup_no_bar&amp;width=385&amp;height=120&amp;START_MAXIMIZED=FALSE&amp;creator=factset&amp;display_string=Audit"}</definedName>
    <definedName name="_783__FDSAUDITLINK__" hidden="1">{"fdsup://Directions/FactSet Auditing Viewer?action=AUDIT_VALUE&amp;DB=129&amp;ID1=642439&amp;VALUEID=01001&amp;SDATE=2010&amp;PERIODTYPE=ANN_STD&amp;SCFT=3&amp;window=popup_no_bar&amp;width=385&amp;height=120&amp;START_MAXIMIZED=FALSE&amp;creator=factset&amp;display_string=Audit"}</definedName>
    <definedName name="_784__FDSAUDITLINK__" hidden="1">{"fdsup://Directions/FactSet Auditing Viewer?action=AUDIT_VALUE&amp;DB=129&amp;ID1=B0G7FW&amp;VALUEID=01001&amp;SDATE=2010&amp;PERIODTYPE=ANN_STD&amp;SCFT=3&amp;window=popup_no_bar&amp;width=385&amp;height=120&amp;START_MAXIMIZED=FALSE&amp;creator=factset&amp;display_string=Audit"}</definedName>
    <definedName name="_785__FDSAUDITLINK__" hidden="1">{"fdsup://Directions/FactSet Auditing Viewer?action=AUDIT_VALUE&amp;DB=129&amp;ID1=B6VLQS&amp;VALUEID=01001&amp;SDATE=2010&amp;PERIODTYPE=ANN_STD&amp;SCFT=3&amp;window=popup_no_bar&amp;width=385&amp;height=120&amp;START_MAXIMIZED=FALSE&amp;creator=factset&amp;display_string=Audit"}</definedName>
    <definedName name="_786__FDSAUDITLINK__" hidden="1">{"fdsup://Directions/FactSet Auditing Viewer?action=AUDIT_VALUE&amp;DB=129&amp;ID1=673525&amp;VALUEID=01001&amp;SDATE=2010&amp;PERIODTYPE=ANN_STD&amp;SCFT=3&amp;window=popup_no_bar&amp;width=385&amp;height=120&amp;START_MAXIMIZED=FALSE&amp;creator=factset&amp;display_string=Audit"}</definedName>
    <definedName name="_787__FDSAUDITLINK__" hidden="1">{"fdsup://Directions/FactSet Auditing Viewer?action=AUDIT_VALUE&amp;DB=129&amp;ID1=B058J5&amp;VALUEID=01001&amp;SDATE=2011&amp;PERIODTYPE=ANN_STD&amp;SCFT=3&amp;window=popup_no_bar&amp;width=385&amp;height=120&amp;START_MAXIMIZED=FALSE&amp;creator=factset&amp;display_string=Audit"}</definedName>
    <definedName name="_788__FDSAUDITLINK__" hidden="1">{"fdsup://Directions/FactSet Auditing Viewer?action=AUDIT_VALUE&amp;DB=129&amp;ID1=637227&amp;VALUEID=01001&amp;SDATE=2010&amp;PERIODTYPE=ANN_STD&amp;SCFT=3&amp;window=popup_no_bar&amp;width=385&amp;height=120&amp;START_MAXIMIZED=FALSE&amp;creator=factset&amp;display_string=Audit"}</definedName>
    <definedName name="_789__FDSAUDITLINK__" hidden="1">{"fdsup://Directions/FactSet Auditing Viewer?action=AUDIT_VALUE&amp;DB=129&amp;ID1=637494&amp;VALUEID=01001&amp;SDATE=2011&amp;PERIODTYPE=ANN_STD&amp;SCFT=3&amp;window=popup_no_bar&amp;width=385&amp;height=120&amp;START_MAXIMIZED=FALSE&amp;creator=factset&amp;display_string=Audit"}</definedName>
    <definedName name="_79__FDSAUDITLINK__" hidden="1">{"fdsup://directions/FAT Viewer?action=UPDATE&amp;creator=factset&amp;DYN_ARGS=TRUE&amp;DOC_NAME=FAT:FQL_AUDITING_CLIENT_TEMPLATE.FAT&amp;display_string=Audit&amp;VAR:KEY=MVYNGXYRYJ&amp;VAR:QUERY=KChGRl9FQklUREEoTFRNLDAsLCxSRixVU0QpQEZGX0VCSVREQShMVE1TX1NFTUksMCwsLFJGLFVTRCkpQEZGX","0VCSVREQShBTk4sMCwsLFJGLFVTRCkp&amp;WINDOW=FIRST_POPUP&amp;HEIGHT=450&amp;WIDTH=450&amp;START_MAXIMIZED=FALSE&amp;VAR:CALENDAR=US&amp;VAR:SYMBOL=JMP&amp;VAR:INDEX=0"}</definedName>
    <definedName name="_790__FDSAUDITLINK__" hidden="1">{"fdsup://Directions/FactSet Auditing Viewer?action=AUDIT_VALUE&amp;DB=129&amp;ID1=B0LWM4&amp;VALUEID=01001&amp;SDATE=2010&amp;PERIODTYPE=ANN_STD&amp;SCFT=3&amp;window=popup_no_bar&amp;width=385&amp;height=120&amp;START_MAXIMIZED=FALSE&amp;creator=factset&amp;display_string=Audit"}</definedName>
    <definedName name="_791__FDSAUDITLINK__" hidden="1">{"fdsup://Directions/FactSet Auditing Viewer?action=AUDIT_VALUE&amp;DB=129&amp;ID1=669811&amp;VALUEID=01001&amp;SDATE=2011&amp;PERIODTYPE=ANN_STD&amp;SCFT=3&amp;window=popup_no_bar&amp;width=385&amp;height=120&amp;START_MAXIMIZED=FALSE&amp;creator=factset&amp;display_string=Audit"}</definedName>
    <definedName name="_792__FDSAUDITLINK__" hidden="1">{"fdsup://Directions/FactSet Auditing Viewer?action=AUDIT_VALUE&amp;DB=129&amp;ID1=669811&amp;VALUEID=01001&amp;SDATE=2011&amp;PERIODTYPE=ANN_STD&amp;SCFT=3&amp;window=popup_no_bar&amp;width=385&amp;height=120&amp;START_MAXIMIZED=FALSE&amp;creator=factset&amp;display_string=Audit"}</definedName>
    <definedName name="_793__FDSAUDITLINK__" hidden="1">{"fdsup://Directions/FactSet Auditing Viewer?action=AUDIT_VALUE&amp;DB=129&amp;ID1=B0LWM4&amp;VALUEID=01001&amp;SDATE=2010&amp;PERIODTYPE=ANN_STD&amp;SCFT=3&amp;window=popup_no_bar&amp;width=385&amp;height=120&amp;START_MAXIMIZED=FALSE&amp;creator=factset&amp;display_string=Audit"}</definedName>
    <definedName name="_794__FDSAUDITLINK__" hidden="1">{"fdsup://Directions/FactSet Auditing Viewer?action=AUDIT_VALUE&amp;DB=129&amp;ID1=637494&amp;VALUEID=01001&amp;SDATE=2011&amp;PERIODTYPE=ANN_STD&amp;SCFT=3&amp;window=popup_no_bar&amp;width=385&amp;height=120&amp;START_MAXIMIZED=FALSE&amp;creator=factset&amp;display_string=Audit"}</definedName>
    <definedName name="_795__FDSAUDITLINK__" hidden="1">{"fdsup://Directions/FactSet Auditing Viewer?action=AUDIT_VALUE&amp;DB=129&amp;ID1=637227&amp;VALUEID=01001&amp;SDATE=2010&amp;PERIODTYPE=ANN_STD&amp;SCFT=3&amp;window=popup_no_bar&amp;width=385&amp;height=120&amp;START_MAXIMIZED=FALSE&amp;creator=factset&amp;display_string=Audit"}</definedName>
    <definedName name="_796__FDSAUDITLINK__" hidden="1">{"fdsup://Directions/FactSet Auditing Viewer?action=AUDIT_VALUE&amp;DB=129&amp;ID1=B058J5&amp;VALUEID=01001&amp;SDATE=2011&amp;PERIODTYPE=ANN_STD&amp;SCFT=3&amp;window=popup_no_bar&amp;width=385&amp;height=120&amp;START_MAXIMIZED=FALSE&amp;creator=factset&amp;display_string=Audit"}</definedName>
    <definedName name="_797__FDSAUDITLINK__" hidden="1">{"fdsup://Directions/FactSet Auditing Viewer?action=AUDIT_VALUE&amp;DB=129&amp;ID1=673525&amp;VALUEID=01001&amp;SDATE=2010&amp;PERIODTYPE=ANN_STD&amp;SCFT=3&amp;window=popup_no_bar&amp;width=385&amp;height=120&amp;START_MAXIMIZED=FALSE&amp;creator=factset&amp;display_string=Audit"}</definedName>
    <definedName name="_798__FDSAUDITLINK__" hidden="1">{"fdsup://Directions/FactSet Auditing Viewer?action=AUDIT_VALUE&amp;DB=129&amp;ID1=B6VLQS&amp;VALUEID=01001&amp;SDATE=2010&amp;PERIODTYPE=ANN_STD&amp;SCFT=3&amp;window=popup_no_bar&amp;width=385&amp;height=120&amp;START_MAXIMIZED=FALSE&amp;creator=factset&amp;display_string=Audit"}</definedName>
    <definedName name="_799__FDSAUDITLINK__" hidden="1">{"fdsup://Directions/FactSet Auditing Viewer?action=AUDIT_VALUE&amp;DB=129&amp;ID1=B0G7FW&amp;VALUEID=01001&amp;SDATE=2010&amp;PERIODTYPE=ANN_STD&amp;SCFT=3&amp;window=popup_no_bar&amp;width=385&amp;height=120&amp;START_MAXIMIZED=FALSE&amp;creator=factset&amp;display_string=Audit"}</definedName>
    <definedName name="_8__123Graph_A_FABP_L.WK1_FAB" hidden="1">#REF!</definedName>
    <definedName name="_8__123Graph_ACHART_1" hidden="1">#REF!</definedName>
    <definedName name="_8__123Graph_AChart_3" hidden="1">#REF!</definedName>
    <definedName name="_8__123Graph_ADEPREC" hidden="1">#REF!</definedName>
    <definedName name="_8__123Graph_XChart_3" hidden="1">#REF!</definedName>
    <definedName name="_8__FDSAUDITLINK__" hidden="1">{"fdsup://directions/FAT Viewer?action=UPDATE&amp;creator=factset&amp;DYN_ARGS=TRUE&amp;DOC_NAME=FAT:FQL_AUDITING_CLIENT_TEMPLATE.FAT&amp;display_string=Audit&amp;VAR:KEY=SLMNKJIRGJ&amp;VAR:QUERY=KEZGX0VCSVREQShMVE0sMTIvMzEvMjAwOSwsLFJGLFVTRClARkZfRUJJVERBX0lCKExUTSwxMi8zMS8yMDA5L","CwsUkYsVVNEKSk=&amp;WINDOW=FIRST_POPUP&amp;HEIGHT=450&amp;WIDTH=450&amp;START_MAXIMIZED=FALSE&amp;VAR:CALENDAR=US&amp;VAR:SYMBOL=MIPS&amp;VAR:INDEX=0"}</definedName>
    <definedName name="_8__FDSAUDITLINK___1" hidden="1">{"fdsup://IBCentral/FAT Viewer?action=UPDATE&amp;creator=factset&amp;DOC_NAME=fat:reuters_annual_shs_src_window.fat&amp;display_string=Audit&amp;DYN_ARGS=TRUE&amp;VAR:ID1=580685&amp;VAR:RCODE=FDSSHSOUTDEPS&amp;VAR:SDATE=20071299&amp;VAR:FREQ=Y&amp;VAR:RELITEM=RF&amp;VAR:CURRENCY=&amp;VAR:CURRSOURCE=E","XSHARE&amp;VAR:NATFREQ=ANNUAL&amp;VAR:RFIELD=FINALIZED&amp;VAR:DB_TYPE=&amp;VAR:UNITS=MONTHLY&amp;window=popup&amp;width=450&amp;height=300&amp;START_MAXIMIZED=FALSE"}</definedName>
    <definedName name="_8_0_Table2_" hidden="1">#REF!</definedName>
    <definedName name="_80__FDSAUDITLINK__" hidden="1">{"fdsup://Directions/FactSet Auditing Viewer?action=AUDIT_VALUE&amp;DB=129&amp;ID1=Y9369110&amp;VALUEID=07011&amp;SDATE=2009&amp;PERIODTYPE=ANN_STD&amp;window=popup_no_bar&amp;width=385&amp;height=120&amp;START_MAXIMIZED=FALSE&amp;creator=factset&amp;display_string=Audit"}</definedName>
    <definedName name="_800__FDSAUDITLINK__" hidden="1">{"fdsup://Directions/FactSet Auditing Viewer?action=AUDIT_VALUE&amp;DB=129&amp;ID1=642439&amp;VALUEID=01001&amp;SDATE=2010&amp;PERIODTYPE=ANN_STD&amp;SCFT=3&amp;window=popup_no_bar&amp;width=385&amp;height=120&amp;START_MAXIMIZED=FALSE&amp;creator=factset&amp;display_string=Audit"}</definedName>
    <definedName name="_801__FDSAUDITLINK__" hidden="1">{"fdsup://Directions/FactSet Auditing Viewer?action=AUDIT_VALUE&amp;DB=129&amp;ID1=B0LLBY&amp;VALUEID=01001&amp;SDATE=2010&amp;PERIODTYPE=ANN_STD&amp;SCFT=3&amp;window=popup_no_bar&amp;width=385&amp;height=120&amp;START_MAXIMIZED=FALSE&amp;creator=factset&amp;display_string=Audit"}</definedName>
    <definedName name="_802__FDSAUDITLINK__" hidden="1">{"fdsup://Directions/FactSet Auditing Viewer?action=AUDIT_VALUE&amp;DB=129&amp;ID1=680084&amp;VALUEID=01001&amp;SDATE=2010&amp;PERIODTYPE=ANN_STD&amp;SCFT=3&amp;window=popup_no_bar&amp;width=385&amp;height=120&amp;START_MAXIMIZED=FALSE&amp;creator=factset&amp;display_string=Audit"}</definedName>
    <definedName name="_803__FDSAUDITLINK__" hidden="1">{"fdsup://Directions/FactSet Auditing Viewer?action=AUDIT_VALUE&amp;DB=129&amp;ID1=B43G3B&amp;VALUEID=01001&amp;SDATE=2010&amp;PERIODTYPE=ANN_STD&amp;SCFT=3&amp;window=popup_no_bar&amp;width=385&amp;height=120&amp;START_MAXIMIZED=FALSE&amp;creator=factset&amp;display_string=Audit"}</definedName>
    <definedName name="_804__FDSAUDITLINK__" hidden="1">{"fdsup://Directions/FactSet Auditing Viewer?action=AUDIT_VALUE&amp;DB=129&amp;ID1=641903&amp;VALUEID=01001&amp;SDATE=2010&amp;PERIODTYPE=ANN_STD&amp;SCFT=3&amp;window=popup_no_bar&amp;width=385&amp;height=120&amp;START_MAXIMIZED=FALSE&amp;creator=factset&amp;display_string=Audit"}</definedName>
    <definedName name="_805__FDSAUDITLINK__" hidden="1">{"fdsup://Directions/FactSet Auditing Viewer?action=AUDIT_VALUE&amp;DB=129&amp;ID1=B3XNKM&amp;VALUEID=01001&amp;SDATE=2010&amp;PERIODTYPE=ANN_STD&amp;SCFT=3&amp;window=popup_no_bar&amp;width=385&amp;height=120&amp;START_MAXIMIZED=FALSE&amp;creator=factset&amp;display_string=Audit"}</definedName>
    <definedName name="_806__FDSAUDITLINK__" hidden="1">{"fdsup://Directions/FactSet Auditing Viewer?action=AUDIT_VALUE&amp;DB=129&amp;ID1=B0BQQX&amp;VALUEID=01001&amp;SDATE=2010&amp;PERIODTYPE=ANN_STD&amp;SCFT=3&amp;window=popup_no_bar&amp;width=385&amp;height=120&amp;START_MAXIMIZED=FALSE&amp;creator=factset&amp;display_string=Audit"}</definedName>
    <definedName name="_807__FDSAUDITLINK__" hidden="1">{"fdsup://Directions/FactSet Auditing Viewer?action=AUDIT_VALUE&amp;DB=129&amp;ID1=614261&amp;VALUEID=01001&amp;SDATE=2011&amp;PERIODTYPE=ANN_STD&amp;SCFT=3&amp;window=popup_no_bar&amp;width=385&amp;height=120&amp;START_MAXIMIZED=FALSE&amp;creator=factset&amp;display_string=Audit"}</definedName>
    <definedName name="_808__FDSAUDITLINK__" hidden="1">{"fdsup://Directions/FactSet Auditing Viewer?action=AUDIT_VALUE&amp;DB=129&amp;ID1=B1VJ4Z&amp;VALUEID=01001&amp;SDATE=2011&amp;PERIODTYPE=ANN_STD&amp;SCFT=3&amp;window=popup_no_bar&amp;width=385&amp;height=120&amp;START_MAXIMIZED=FALSE&amp;creator=factset&amp;display_string=Audit"}</definedName>
    <definedName name="_809__FDSAUDITLINK__" hidden="1">{"fdsup://Directions/FactSet Auditing Viewer?action=AUDIT_VALUE&amp;DB=129&amp;ID1=630898&amp;VALUEID=01001&amp;SDATE=2010&amp;PERIODTYPE=ANN_STD&amp;SCFT=3&amp;window=popup_no_bar&amp;width=385&amp;height=120&amp;START_MAXIMIZED=FALSE&amp;creator=factset&amp;display_string=Audit"}</definedName>
    <definedName name="_81__FDSAUDITLINK__" hidden="1">{"fdsup://Directions/FactSet Auditing Viewer?action=AUDIT_VALUE&amp;DB=129&amp;ID1=46629U10&amp;VALUEID=01001&amp;SDATE=200904&amp;PERIODTYPE=QTR_STD&amp;window=popup_no_bar&amp;width=385&amp;height=120&amp;START_MAXIMIZED=FALSE&amp;creator=factset&amp;display_string=Audit"}</definedName>
    <definedName name="_810__FDSAUDITLINK__" hidden="1">{"fdsup://Directions/FactSet Auditing Viewer?action=AUDIT_VALUE&amp;DB=129&amp;ID1=B0BVB9&amp;VALUEID=01001&amp;SDATE=2010&amp;PERIODTYPE=ANN_STD&amp;SCFT=3&amp;window=popup_no_bar&amp;width=385&amp;height=120&amp;START_MAXIMIZED=FALSE&amp;creator=factset&amp;display_string=Audit"}</definedName>
    <definedName name="_811__FDSAUDITLINK__" hidden="1">{"fdsup://Directions/FactSet Auditing Viewer?action=AUDIT_VALUE&amp;DB=129&amp;ID1=B05JSD&amp;VALUEID=01001&amp;SDATE=2011&amp;PERIODTYPE=ANN_STD&amp;SCFT=3&amp;window=popup_no_bar&amp;width=385&amp;height=120&amp;START_MAXIMIZED=FALSE&amp;creator=factset&amp;display_string=Audit"}</definedName>
    <definedName name="_812__FDSAUDITLINK__" hidden="1">{"fdsup://Directions/FactSet Auditing Viewer?action=AUDIT_VALUE&amp;DB=129&amp;ID1=B03GD6&amp;VALUEID=01001&amp;SDATE=2010&amp;PERIODTYPE=ANN_STD&amp;SCFT=3&amp;window=popup_no_bar&amp;width=385&amp;height=120&amp;START_MAXIMIZED=FALSE&amp;creator=factset&amp;display_string=Audit"}</definedName>
    <definedName name="_813__FDSAUDITLINK__" hidden="1">{"fdsup://Directions/FactSet Auditing Viewer?action=AUDIT_VALUE&amp;DB=129&amp;ID1=610483&amp;VALUEID=01001&amp;SDATE=2010&amp;PERIODTYPE=ANN_STD&amp;SCFT=3&amp;window=popup_no_bar&amp;width=385&amp;height=120&amp;START_MAXIMIZED=FALSE&amp;creator=factset&amp;display_string=Audit"}</definedName>
    <definedName name="_814__FDSAUDITLINK__" hidden="1">{"fdsup://directions/FAT Viewer?action=UPDATE&amp;creator=factset&amp;DYN_ARGS=TRUE&amp;DOC_NAME=FAT:FQL_AUDITING_CLIENT_TEMPLATE.FAT&amp;display_string=Audit&amp;VAR:KEY=CNGBSXYLAB&amp;VAR:QUERY=RkZfRUJJVERBX09QRVIoQU5OLC0yRlksLCwsVVNEKQ==&amp;WINDOW=FIRST_POPUP&amp;HEIGHT=450&amp;WIDTH=450&amp;","START_MAXIMIZED=FALSE&amp;VAR:CALENDAR=FIVEDAY&amp;VAR:INDEX=0"}</definedName>
    <definedName name="_815__FDSAUDITLINK__" hidden="1">{"fdsup://directions/FAT Viewer?action=UPDATE&amp;creator=factset&amp;DYN_ARGS=TRUE&amp;DOC_NAME=FAT:FQL_AUDITING_CLIENT_TEMPLATE.FAT&amp;display_string=Audit&amp;VAR:KEY=EDMXENALUD&amp;VAR:QUERY=RkZfRU5UUlBSX1ZBTF9EQUlMWSgwLCwsLFVTRCwnRElMJykgLyBGRV9FU1RJTUFURShFQklUREEsTUVBTixBT","k5VQUxfUk9MTCwrMSwwLCwsJyxDVVJSRU5DWT1VU0QsRklYRURSQVRFPU5PLCcp&amp;WINDOW=FIRST_POPUP&amp;HEIGHT=450&amp;WIDTH=450&amp;START_MAXIMIZED=FALSE&amp;VAR:CALENDAR=FIVEDAY&amp;VAR:SYMBOL=0&amp;VAR:INDEX=0"}</definedName>
    <definedName name="_816__FDSAUDITLINK__" hidden="1">{"fdsup://directions/FAT Viewer?action=UPDATE&amp;creator=factset&amp;DYN_ARGS=TRUE&amp;DOC_NAME=FAT:FQL_AUDITING_CLIENT_TEMPLATE.FAT&amp;display_string=Audit&amp;VAR:KEY=KREFMRYLKH&amp;VAR:QUERY=RkZfRU5UUlBSX1ZBTF9EQUlMWSgwLCwsLFVTRCwnRElMJykgLyBGRl9FQklUREFfT1BFUihNT04sMCwsLCxVU","0Qp&amp;WINDOW=FIRST_POPUP&amp;HEIGHT=450&amp;WIDTH=450&amp;START_MAXIMIZED=FALSE&amp;VAR:CALENDAR=FIVEDAY&amp;VAR:SYMBOL=0&amp;VAR:INDEX=0"}</definedName>
    <definedName name="_817__FDSAUDITLINK__" hidden="1">{"fdsup://directions/FAT Viewer?action=UPDATE&amp;creator=factset&amp;DYN_ARGS=TRUE&amp;DOC_NAME=FAT:FQL_AUDITING_CLIENT_TEMPLATE.FAT&amp;display_string=Audit&amp;VAR:KEY=MPCDMRIZAZ&amp;VAR:QUERY=RkZfRU5UUlBSX1ZBTF9EQUlMWSgwLCwsLFVTRCwnRElMJykgLyBGRV9FU1RJTUFURShFQklUKCksTUVBTixBT","k5VQUxfUk9MTCwrMiwwLCwsJyxDVVJSRU5DWT1VU0QsRklYRURSQVRFPU5PLCcp&amp;WINDOW=FIRST_POPUP&amp;HEIGHT=450&amp;WIDTH=450&amp;START_MAXIMIZED=FALSE&amp;VAR:CALENDAR=FIVEDAY&amp;VAR:SYMBOL=0&amp;VAR:INDEX=0"}</definedName>
    <definedName name="_818__FDSAUDITLINK__" hidden="1">{"fdsup://directions/FAT Viewer?action=UPDATE&amp;creator=factset&amp;DYN_ARGS=TRUE&amp;DOC_NAME=FAT:FQL_AUDITING_CLIENT_TEMPLATE.FAT&amp;display_string=Audit&amp;VAR:KEY=IFUFUZONSD&amp;VAR:QUERY=RkZfRU5UUlBSX1ZBTF9EQUlMWSgwLCwsLFVTRCwnRElMJykgLyBGRV9FU1RJTUFURShFQklUKCksTUVBTixBT","k5VQUxfUk9MTCwrMSwwLCwsJyxDVVJSRU5DWT1VU0QsRklYRURSQVRFPU5PLCcp&amp;WINDOW=FIRST_POPUP&amp;HEIGHT=450&amp;WIDTH=450&amp;START_MAXIMIZED=FALSE&amp;VAR:CALENDAR=FIVEDAY&amp;VAR:SYMBOL=0&amp;VAR:INDEX=0"}</definedName>
    <definedName name="_819__FDSAUDITLINK__" hidden="1">{"fdsup://directions/FAT Viewer?action=UPDATE&amp;creator=factset&amp;DYN_ARGS=TRUE&amp;DOC_NAME=FAT:FQL_AUDITING_CLIENT_TEMPLATE.FAT&amp;display_string=Audit&amp;VAR:KEY=CVOVGPSROZ&amp;VAR:QUERY=RkZfRU5UUlBSX1ZBTF9EQUlMWSgwLCwsLFVTRCwnRElMJykgLyBGRl9FQklUX09QRVIoTU9OLDAsLCwsVVNEK","Q==&amp;WINDOW=FIRST_POPUP&amp;HEIGHT=450&amp;WIDTH=450&amp;START_MAXIMIZED=FALSE&amp;VAR:CALENDAR=FIVEDAY&amp;VAR:SYMBOL=0&amp;VAR:INDEX=0"}</definedName>
    <definedName name="_82__FDSAUDITLINK__" hidden="1">{"fdsup://Directions/FactSet Auditing Viewer?action=AUDIT_VALUE&amp;DB=129&amp;ID1=46629U10&amp;VALUEID=01001&amp;SDATE=200901&amp;PERIODTYPE=QTR_STD&amp;window=popup_no_bar&amp;width=385&amp;height=120&amp;START_MAXIMIZED=FALSE&amp;creator=factset&amp;display_string=Audit"}</definedName>
    <definedName name="_820__FDSAUDITLINK__" hidden="1">{"fdsup://directions/FAT Viewer?action=UPDATE&amp;creator=factset&amp;DYN_ARGS=TRUE&amp;DOC_NAME=FAT:FQL_AUDITING_CLIENT_TEMPLATE.FAT&amp;display_string=Audit&amp;VAR:KEY=APIXWVSNML&amp;VAR:QUERY=RkZfRU5UUlBSX1ZBTF9EQUlMWSgwLCwsLFVTRCwnRElMJykgLyBGRV9FU1RJTUFURShTQUxFUygpLE1FQU4sQ","U5OVUFMX1JPTEwsKzIsMCwsLCcsQ1VSUkVOQ1k9VVNELEZJWEVEUkFURT1OTywnKQ==&amp;WINDOW=FIRST_POPUP&amp;HEIGHT=450&amp;WIDTH=450&amp;START_MAXIMIZED=FALSE&amp;VAR:CALENDAR=FIVEDAY&amp;VAR:SYMBOL=0&amp;VAR:INDEX=0"}</definedName>
    <definedName name="_821__FDSAUDITLINK__" hidden="1">{"fdsup://directions/FAT Viewer?action=UPDATE&amp;creator=factset&amp;DYN_ARGS=TRUE&amp;DOC_NAME=FAT:FQL_AUDITING_CLIENT_TEMPLATE.FAT&amp;display_string=Audit&amp;VAR:KEY=UXYLQJWZGR&amp;VAR:QUERY=RkZfRUJJVERBX09QRVIoQU5OLDAsLCwsVVNEKQ==&amp;WINDOW=FIRST_POPUP&amp;HEIGHT=450&amp;WIDTH=450&amp;STAR","T_MAXIMIZED=FALSE&amp;VAR:CALENDAR=FIVEDAY&amp;VAR:INDEX=0"}</definedName>
    <definedName name="_822__FDSAUDITLINK__" hidden="1">{"fdsup://directions/FAT Viewer?action=UPDATE&amp;creator=factset&amp;DYN_ARGS=TRUE&amp;DOC_NAME=FAT:FQL_AUDITING_CLIENT_TEMPLATE.FAT&amp;display_string=Audit&amp;VAR:KEY=CVOVGPSROZ&amp;VAR:QUERY=RkZfRU5UUlBSX1ZBTF9EQUlMWSgwLCwsLFVTRCwnRElMJykgLyBGRl9FQklUX09QRVIoTU9OLDAsLCwsVVNEK","Q==&amp;WINDOW=FIRST_POPUP&amp;HEIGHT=450&amp;WIDTH=450&amp;START_MAXIMIZED=FALSE&amp;VAR:CALENDAR=FIVEDAY&amp;VAR:SYMBOL=0&amp;VAR:INDEX=0"}</definedName>
    <definedName name="_823__FDSAUDITLINK__" hidden="1">{"fdsup://directions/FAT Viewer?action=UPDATE&amp;creator=factset&amp;DYN_ARGS=TRUE&amp;DOC_NAME=FAT:FQL_AUDITING_CLIENT_TEMPLATE.FAT&amp;display_string=Audit&amp;VAR:KEY=APIXWVSNML&amp;VAR:QUERY=RkZfRU5UUlBSX1ZBTF9EQUlMWSgwLCwsLFVTRCwnRElMJykgLyBGRV9FU1RJTUFURShTQUxFUygpLE1FQU4sQ","U5OVUFMX1JPTEwsKzIsMCwsLCcsQ1VSUkVOQ1k9VVNELEZJWEVEUkFURT1OTywnKQ==&amp;WINDOW=FIRST_POPUP&amp;HEIGHT=450&amp;WIDTH=450&amp;START_MAXIMIZED=FALSE&amp;VAR:CALENDAR=FIVEDAY&amp;VAR:SYMBOL=0&amp;VAR:INDEX=0"}</definedName>
    <definedName name="_824__FDSAUDITLINK__" hidden="1">{"fdsup://directions/FAT Viewer?action=UPDATE&amp;creator=factset&amp;DYN_ARGS=TRUE&amp;DOC_NAME=FAT:FQL_AUDITING_CLIENT_TEMPLATE.FAT&amp;display_string=Audit&amp;VAR:KEY=GHKFCHAXAP&amp;VAR:QUERY=RkZfRU5UUlBSX1ZBTF9EQUlMWSgwLCwsLFVTRCwnRElMJykgLyBGRV9FU1RJTUFURShTQUxFUygpLE1FQU4sQ","U5OVUFMX1JPTEwsKzEsMCwsLCcsQ1VSUkVOQ1k9VVNELEZJWEVEUkFURT1OTywnKQ==&amp;WINDOW=FIRST_POPUP&amp;HEIGHT=450&amp;WIDTH=450&amp;START_MAXIMIZED=FALSE&amp;VAR:CALENDAR=FIVEDAY&amp;VAR:SYMBOL=0&amp;VAR:INDEX=0"}</definedName>
    <definedName name="_825__FDSAUDITLINK__" hidden="1">{"fdsup://directions/FAT Viewer?action=UPDATE&amp;creator=factset&amp;DYN_ARGS=TRUE&amp;DOC_NAME=FAT:FQL_AUDITING_CLIENT_TEMPLATE.FAT&amp;display_string=Audit&amp;VAR:KEY=SFGVQZWTCJ&amp;VAR:QUERY=RkZfRU5UUlBSX1ZBTF9EQUlMWSgwLCwsLFVTRCwnRElMJykgLyBGRl9TQUxFUyhNT04sMCwsLCxVU0Qp&amp;WIND","OW=FIRST_POPUP&amp;HEIGHT=450&amp;WIDTH=450&amp;START_MAXIMIZED=FALSE&amp;VAR:CALENDAR=FIVEDAY&amp;VAR:SYMBOL=0&amp;VAR:INDEX=0"}</definedName>
    <definedName name="_826__FDSAUDITLINK__" hidden="1">{"fdsup://directions/FAT Viewer?action=UPDATE&amp;creator=factset&amp;DYN_ARGS=TRUE&amp;DOC_NAME=FAT:FQL_AUDITING_CLIENT_TEMPLATE.FAT&amp;display_string=Audit&amp;VAR:KEY=MTKXUDOXEH&amp;VAR:QUERY=RkZfRU5UUlBSX1ZBTF9EQUlMWSgwLCwsLFVTRCwnRElMJyk=&amp;WINDOW=FIRST_POPUP&amp;HEIGHT=450&amp;WIDTH=","450&amp;START_MAXIMIZED=FALSE&amp;VAR:CALENDAR=FIVEDAY&amp;VAR:SYMBOL=0&amp;VAR:INDEX=0"}</definedName>
    <definedName name="_827__FDSAUDITLINK__" hidden="1">{"fdsup://directions/FAT Viewer?action=UPDATE&amp;creator=factset&amp;DYN_ARGS=TRUE&amp;DOC_NAME=FAT:FQL_AUDITING_CLIENT_TEMPLATE.FAT&amp;display_string=Audit&amp;VAR:KEY=GBUPMNAHKV&amp;VAR:QUERY=RkZfRU5UUlBSX1ZBTF9EQUlMWSgwLCwsLFVTRCwnRElMJykgLyBGRV9FU1RJTUFURShFQklUREEsTUVBTixBT","k5VQUxfUk9MTCwrMiwwLCwsJyxDVVJSRU5DWT1VU0QsRklYRURSQVRFPU5PLCcp&amp;WINDOW=FIRST_POPUP&amp;HEIGHT=450&amp;WIDTH=450&amp;START_MAXIMIZED=FALSE&amp;VAR:CALENDAR=FIVEDAY&amp;VAR:SYMBOL=0&amp;VAR:INDEX=0"}</definedName>
    <definedName name="_828__FDSAUDITLINK__" hidden="1">{"fdsup://directions/FAT Viewer?action=UPDATE&amp;creator=factset&amp;DYN_ARGS=TRUE&amp;DOC_NAME=FAT:FQL_AUDITING_CLIENT_TEMPLATE.FAT&amp;display_string=Audit&amp;VAR:KEY=MTKXUDOXEH&amp;VAR:QUERY=RkZfRU5UUlBSX1ZBTF9EQUlMWSgwLCwsLFVTRCwnRElMJyk=&amp;WINDOW=FIRST_POPUP&amp;HEIGHT=450&amp;WIDTH=","450&amp;START_MAXIMIZED=FALSE&amp;VAR:CALENDAR=FIVEDAY&amp;VAR:SYMBOL=0&amp;VAR:INDEX=0"}</definedName>
    <definedName name="_829__FDSAUDITLINK__" hidden="1">{"fdsup://directions/FAT Viewer?action=UPDATE&amp;creator=factset&amp;DYN_ARGS=TRUE&amp;DOC_NAME=FAT:FQL_AUDITING_CLIENT_TEMPLATE.FAT&amp;display_string=Audit&amp;VAR:KEY=MPCDMRIZAZ&amp;VAR:QUERY=RkZfRU5UUlBSX1ZBTF9EQUlMWSgwLCwsLFVTRCwnRElMJykgLyBGRV9FU1RJTUFURShFQklUKCksTUVBTixBT","k5VQUxfUk9MTCwrMiwwLCwsJyxDVVJSRU5DWT1VU0QsRklYRURSQVRFPU5PLCcp&amp;WINDOW=FIRST_POPUP&amp;HEIGHT=450&amp;WIDTH=450&amp;START_MAXIMIZED=FALSE&amp;VAR:CALENDAR=FIVEDAY&amp;VAR:SYMBOL=0&amp;VAR:INDEX=0"}</definedName>
    <definedName name="_83__FDSAUDITLINK__" hidden="1">{"fdsup://directions/FAT Viewer?action=UPDATE&amp;creator=factset&amp;DYN_ARGS=TRUE&amp;DOC_NAME=FAT:FQL_AUDITING_CLIENT_TEMPLATE.FAT&amp;display_string=Audit&amp;VAR:KEY=ONOJEJCLGB&amp;VAR:QUERY=KChGRl9ORVRfSU5DKExUTSwwLCwsUkYsVVNEKUBGRl9ORVRfSU5DKExUTVNfU0VNSSwwLCwsUkYsVVNEKSlAR","kZfTkVUX0lOQyhBTk4sMCwsLFJGLFVTRCkp&amp;WINDOW=FIRST_POPUP&amp;HEIGHT=450&amp;WIDTH=450&amp;START_MAXIMIZED=FALSE&amp;VAR:CALENDAR=US&amp;VAR:SYMBOL=2174&amp;VAR:INDEX=0"}</definedName>
    <definedName name="_830__FDSAUDITLINK__" hidden="1">{"fdsup://directions/FAT Viewer?action=UPDATE&amp;creator=factset&amp;DYN_ARGS=TRUE&amp;DOC_NAME=FAT:FQL_AUDITING_CLIENT_TEMPLATE.FAT&amp;display_string=Audit&amp;VAR:KEY=IFUFUZONSD&amp;VAR:QUERY=RkZfRU5UUlBSX1ZBTF9EQUlMWSgwLCwsLFVTRCwnRElMJykgLyBGRV9FU1RJTUFURShFQklUKCksTUVBTixBT","k5VQUxfUk9MTCwrMSwwLCwsJyxDVVJSRU5DWT1VU0QsRklYRURSQVRFPU5PLCcp&amp;WINDOW=FIRST_POPUP&amp;HEIGHT=450&amp;WIDTH=450&amp;START_MAXIMIZED=FALSE&amp;VAR:CALENDAR=FIVEDAY&amp;VAR:SYMBOL=0&amp;VAR:INDEX=0"}</definedName>
    <definedName name="_831__FDSAUDITLINK__" hidden="1">{"fdsup://directions/FAT Viewer?action=UPDATE&amp;creator=factset&amp;DYN_ARGS=TRUE&amp;DOC_NAME=FAT:FQL_AUDITING_CLIENT_TEMPLATE.FAT&amp;display_string=Audit&amp;VAR:KEY=CVOVGPSROZ&amp;VAR:QUERY=RkZfRU5UUlBSX1ZBTF9EQUlMWSgwLCwsLFVTRCwnRElMJykgLyBGRl9FQklUX09QRVIoTU9OLDAsLCwsVVNEK","Q==&amp;WINDOW=FIRST_POPUP&amp;HEIGHT=450&amp;WIDTH=450&amp;START_MAXIMIZED=FALSE&amp;VAR:CALENDAR=FIVEDAY&amp;VAR:SYMBOL=0&amp;VAR:INDEX=0"}</definedName>
    <definedName name="_832__FDSAUDITLINK__" hidden="1">{"fdsup://directions/FAT Viewer?action=UPDATE&amp;creator=factset&amp;DYN_ARGS=TRUE&amp;DOC_NAME=FAT:FQL_AUDITING_CLIENT_TEMPLATE.FAT&amp;display_string=Audit&amp;VAR:KEY=APIXWVSNML&amp;VAR:QUERY=RkZfRU5UUlBSX1ZBTF9EQUlMWSgwLCwsLFVTRCwnRElMJykgLyBGRV9FU1RJTUFURShTQUxFUygpLE1FQU4sQ","U5OVUFMX1JPTEwsKzIsMCwsLCcsQ1VSUkVOQ1k9VVNELEZJWEVEUkFURT1OTywnKQ==&amp;WINDOW=FIRST_POPUP&amp;HEIGHT=450&amp;WIDTH=450&amp;START_MAXIMIZED=FALSE&amp;VAR:CALENDAR=FIVEDAY&amp;VAR:SYMBOL=0&amp;VAR:INDEX=0"}</definedName>
    <definedName name="_833__FDSAUDITLINK__" hidden="1">{"fdsup://directions/FAT Viewer?action=UPDATE&amp;creator=factset&amp;DYN_ARGS=TRUE&amp;DOC_NAME=FAT:FQL_AUDITING_CLIENT_TEMPLATE.FAT&amp;display_string=Audit&amp;VAR:KEY=GHKFCHAXAP&amp;VAR:QUERY=RkZfRU5UUlBSX1ZBTF9EQUlMWSgwLCwsLFVTRCwnRElMJykgLyBGRV9FU1RJTUFURShTQUxFUygpLE1FQU4sQ","U5OVUFMX1JPTEwsKzEsMCwsLCcsQ1VSUkVOQ1k9VVNELEZJWEVEUkFURT1OTywnKQ==&amp;WINDOW=FIRST_POPUP&amp;HEIGHT=450&amp;WIDTH=450&amp;START_MAXIMIZED=FALSE&amp;VAR:CALENDAR=FIVEDAY&amp;VAR:SYMBOL=0&amp;VAR:INDEX=0"}</definedName>
    <definedName name="_834__FDSAUDITLINK__" hidden="1">{"fdsup://directions/FAT Viewer?action=UPDATE&amp;creator=factset&amp;DYN_ARGS=TRUE&amp;DOC_NAME=FAT:FQL_AUDITING_CLIENT_TEMPLATE.FAT&amp;display_string=Audit&amp;VAR:KEY=SFGVQZWTCJ&amp;VAR:QUERY=RkZfRU5UUlBSX1ZBTF9EQUlMWSgwLCwsLFVTRCwnRElMJykgLyBGRl9TQUxFUyhNT04sMCwsLCxVU0Qp&amp;WIND","OW=FIRST_POPUP&amp;HEIGHT=450&amp;WIDTH=450&amp;START_MAXIMIZED=FALSE&amp;VAR:CALENDAR=FIVEDAY&amp;VAR:SYMBOL=0&amp;VAR:INDEX=0"}</definedName>
    <definedName name="_835__FDSAUDITLINK__" hidden="1">{"fdsup://directions/FAT Viewer?action=UPDATE&amp;creator=factset&amp;DYN_ARGS=TRUE&amp;DOC_NAME=FAT:FQL_AUDITING_CLIENT_TEMPLATE.FAT&amp;display_string=Audit&amp;VAR:KEY=GHKFCHAXAP&amp;VAR:QUERY=RkZfRU5UUlBSX1ZBTF9EQUlMWSgwLCwsLFVTRCwnRElMJykgLyBGRV9FU1RJTUFURShTQUxFUygpLE1FQU4sQ","U5OVUFMX1JPTEwsKzEsMCwsLCcsQ1VSUkVOQ1k9VVNELEZJWEVEUkFURT1OTywnKQ==&amp;WINDOW=FIRST_POPUP&amp;HEIGHT=450&amp;WIDTH=450&amp;START_MAXIMIZED=FALSE&amp;VAR:CALENDAR=FIVEDAY&amp;VAR:SYMBOL=0&amp;VAR:INDEX=0"}</definedName>
    <definedName name="_836__FDSAUDITLINK__" hidden="1">{"fdsup://directions/FAT Viewer?action=UPDATE&amp;creator=factset&amp;DYN_ARGS=TRUE&amp;DOC_NAME=FAT:FQL_AUDITING_CLIENT_TEMPLATE.FAT&amp;display_string=Audit&amp;VAR:KEY=MPCDMRIZAZ&amp;VAR:QUERY=RkZfRU5UUlBSX1ZBTF9EQUlMWSgwLCwsLFVTRCwnRElMJykgLyBGRV9FU1RJTUFURShFQklUKCksTUVBTixBT","k5VQUxfUk9MTCwrMiwwLCwsJyxDVVJSRU5DWT1VU0QsRklYRURSQVRFPU5PLCcp&amp;WINDOW=FIRST_POPUP&amp;HEIGHT=450&amp;WIDTH=450&amp;START_MAXIMIZED=FALSE&amp;VAR:CALENDAR=FIVEDAY&amp;VAR:SYMBOL=0&amp;VAR:INDEX=0"}</definedName>
    <definedName name="_837__FDSAUDITLINK__" hidden="1">{"fdsup://directions/FAT Viewer?action=UPDATE&amp;creator=factset&amp;DYN_ARGS=TRUE&amp;DOC_NAME=FAT:FQL_AUDITING_CLIENT_TEMPLATE.FAT&amp;display_string=Audit&amp;VAR:KEY=IFUFUZONSD&amp;VAR:QUERY=RkZfRU5UUlBSX1ZBTF9EQUlMWSgwLCwsLFVTRCwnRElMJykgLyBGRV9FU1RJTUFURShFQklUKCksTUVBTixBT","k5VQUxfUk9MTCwrMSwwLCwsJyxDVVJSRU5DWT1VU0QsRklYRURSQVRFPU5PLCcp&amp;WINDOW=FIRST_POPUP&amp;HEIGHT=450&amp;WIDTH=450&amp;START_MAXIMIZED=FALSE&amp;VAR:CALENDAR=FIVEDAY&amp;VAR:SYMBOL=0&amp;VAR:INDEX=0"}</definedName>
    <definedName name="_838__FDSAUDITLINK__" hidden="1">{"fdsup://directions/FAT Viewer?action=UPDATE&amp;creator=factset&amp;DYN_ARGS=TRUE&amp;DOC_NAME=FAT:FQL_AUDITING_CLIENT_TEMPLATE.FAT&amp;display_string=Audit&amp;VAR:KEY=CVOVGPSROZ&amp;VAR:QUERY=RkZfRU5UUlBSX1ZBTF9EQUlMWSgwLCwsLFVTRCwnRElMJykgLyBGRl9FQklUX09QRVIoTU9OLDAsLCwsVVNEK","Q==&amp;WINDOW=FIRST_POPUP&amp;HEIGHT=450&amp;WIDTH=450&amp;START_MAXIMIZED=FALSE&amp;VAR:CALENDAR=FIVEDAY&amp;VAR:SYMBOL=0&amp;VAR:INDEX=0"}</definedName>
    <definedName name="_839__FDSAUDITLINK__" hidden="1">{"fdsup://directions/FAT Viewer?action=UPDATE&amp;creator=factset&amp;DYN_ARGS=TRUE&amp;DOC_NAME=FAT:FQL_AUDITING_CLIENT_TEMPLATE.FAT&amp;display_string=Audit&amp;VAR:KEY=APIXWVSNML&amp;VAR:QUERY=RkZfRU5UUlBSX1ZBTF9EQUlMWSgwLCwsLFVTRCwnRElMJykgLyBGRV9FU1RJTUFURShTQUxFUygpLE1FQU4sQ","U5OVUFMX1JPTEwsKzIsMCwsLCcsQ1VSUkVOQ1k9VVNELEZJWEVEUkFURT1OTywnKQ==&amp;WINDOW=FIRST_POPUP&amp;HEIGHT=450&amp;WIDTH=450&amp;START_MAXIMIZED=FALSE&amp;VAR:CALENDAR=FIVEDAY&amp;VAR:SYMBOL=0&amp;VAR:INDEX=0"}</definedName>
    <definedName name="_84__FDSAUDITLINK__" hidden="1">{"fdsup://directions/FAT Viewer?action=UPDATE&amp;creator=factset&amp;DYN_ARGS=TRUE&amp;DOC_NAME=FAT:FQL_AUDITING_CLIENT_TEMPLATE.FAT&amp;display_string=Audit&amp;VAR:KEY=MZKDKNKHEP&amp;VAR:QUERY=KChGRl9FQklUKExUTSwwLCwsUkYsVVNEKUBGRl9FQklUKExUTVNfU0VNSSwwLCwsUkYsVVNEKSlARkZfRUJJV","ChBTk4sMCwsLFJGLFVTRCkp&amp;WINDOW=FIRST_POPUP&amp;HEIGHT=450&amp;WIDTH=450&amp;START_MAXIMIZED=FALSE&amp;VAR:CALENDAR=US&amp;VAR:SYMBOL=2174&amp;VAR:INDEX=0"}</definedName>
    <definedName name="_840__FDSAUDITLINK__" hidden="1">{"fdsup://directions/FAT Viewer?action=UPDATE&amp;creator=factset&amp;DYN_ARGS=TRUE&amp;DOC_NAME=FAT:FQL_AUDITING_CLIENT_TEMPLATE.FAT&amp;display_string=Audit&amp;VAR:KEY=EDMXENALUD&amp;VAR:QUERY=RkZfRU5UUlBSX1ZBTF9EQUlMWSgwLCwsLFVTRCwnRElMJykgLyBGRV9FU1RJTUFURShFQklUREEsTUVBTixBT","k5VQUxfUk9MTCwrMSwwLCwsJyxDVVJSRU5DWT1VU0QsRklYRURSQVRFPU5PLCcp&amp;WINDOW=FIRST_POPUP&amp;HEIGHT=450&amp;WIDTH=450&amp;START_MAXIMIZED=FALSE&amp;VAR:CALENDAR=FIVEDAY&amp;VAR:SYMBOL=0&amp;VAR:INDEX=0"}</definedName>
    <definedName name="_841__FDSAUDITLINK__" hidden="1">{"fdsup://directions/FAT Viewer?action=UPDATE&amp;creator=factset&amp;DYN_ARGS=TRUE&amp;DOC_NAME=FAT:FQL_AUDITING_CLIENT_TEMPLATE.FAT&amp;display_string=Audit&amp;VAR:KEY=KREFMRYLKH&amp;VAR:QUERY=RkZfRU5UUlBSX1ZBTF9EQUlMWSgwLCwsLFVTRCwnRElMJykgLyBGRl9FQklUREFfT1BFUihNT04sMCwsLCxVU","0Qp&amp;WINDOW=FIRST_POPUP&amp;HEIGHT=450&amp;WIDTH=450&amp;START_MAXIMIZED=FALSE&amp;VAR:CALENDAR=FIVEDAY&amp;VAR:SYMBOL=0&amp;VAR:INDEX=0"}</definedName>
    <definedName name="_842__FDSAUDITLINK__" hidden="1">{"fdsup://directions/FAT Viewer?action=UPDATE&amp;creator=factset&amp;DYN_ARGS=TRUE&amp;DOC_NAME=FAT:FQL_AUDITING_CLIENT_TEMPLATE.FAT&amp;display_string=Audit&amp;VAR:KEY=MPCDMRIZAZ&amp;VAR:QUERY=RkZfRU5UUlBSX1ZBTF9EQUlMWSgwLCwsLFVTRCwnRElMJykgLyBGRV9FU1RJTUFURShFQklUKCksTUVBTixBT","k5VQUxfUk9MTCwrMiwwLCwsJyxDVVJSRU5DWT1VU0QsRklYRURSQVRFPU5PLCcp&amp;WINDOW=FIRST_POPUP&amp;HEIGHT=450&amp;WIDTH=450&amp;START_MAXIMIZED=FALSE&amp;VAR:CALENDAR=FIVEDAY&amp;VAR:SYMBOL=0&amp;VAR:INDEX=0"}</definedName>
    <definedName name="_843__FDSAUDITLINK__" hidden="1">{"fdsup://directions/FAT Viewer?action=UPDATE&amp;creator=factset&amp;DYN_ARGS=TRUE&amp;DOC_NAME=FAT:FQL_AUDITING_CLIENT_TEMPLATE.FAT&amp;display_string=Audit&amp;VAR:KEY=IFUFUZONSD&amp;VAR:QUERY=RkZfRU5UUlBSX1ZBTF9EQUlMWSgwLCwsLFVTRCwnRElMJykgLyBGRV9FU1RJTUFURShFQklUKCksTUVBTixBT","k5VQUxfUk9MTCwrMSwwLCwsJyxDVVJSRU5DWT1VU0QsRklYRURSQVRFPU5PLCcp&amp;WINDOW=FIRST_POPUP&amp;HEIGHT=450&amp;WIDTH=450&amp;START_MAXIMIZED=FALSE&amp;VAR:CALENDAR=FIVEDAY&amp;VAR:SYMBOL=0&amp;VAR:INDEX=0"}</definedName>
    <definedName name="_844__FDSAUDITLINK__" hidden="1">{"fdsup://directions/FAT Viewer?action=UPDATE&amp;creator=factset&amp;DYN_ARGS=TRUE&amp;DOC_NAME=FAT:FQL_AUDITING_CLIENT_TEMPLATE.FAT&amp;display_string=Audit&amp;VAR:KEY=CVOVGPSROZ&amp;VAR:QUERY=RkZfRU5UUlBSX1ZBTF9EQUlMWSgwLCwsLFVTRCwnRElMJykgLyBGRl9FQklUX09QRVIoTU9OLDAsLCwsVVNEK","Q==&amp;WINDOW=FIRST_POPUP&amp;HEIGHT=450&amp;WIDTH=450&amp;START_MAXIMIZED=FALSE&amp;VAR:CALENDAR=FIVEDAY&amp;VAR:SYMBOL=0&amp;VAR:INDEX=0"}</definedName>
    <definedName name="_845__FDSAUDITLINK__" hidden="1">{"fdsup://directions/FAT Viewer?action=UPDATE&amp;creator=factset&amp;DYN_ARGS=TRUE&amp;DOC_NAME=FAT:FQL_AUDITING_CLIENT_TEMPLATE.FAT&amp;display_string=Audit&amp;VAR:KEY=APIXWVSNML&amp;VAR:QUERY=RkZfRU5UUlBSX1ZBTF9EQUlMWSgwLCwsLFVTRCwnRElMJykgLyBGRV9FU1RJTUFURShTQUxFUygpLE1FQU4sQ","U5OVUFMX1JPTEwsKzIsMCwsLCcsQ1VSUkVOQ1k9VVNELEZJWEVEUkFURT1OTywnKQ==&amp;WINDOW=FIRST_POPUP&amp;HEIGHT=450&amp;WIDTH=450&amp;START_MAXIMIZED=FALSE&amp;VAR:CALENDAR=FIVEDAY&amp;VAR:SYMBOL=0&amp;VAR:INDEX=0"}</definedName>
    <definedName name="_846__FDSAUDITLINK__" hidden="1">{"fdsup://directions/FAT Viewer?action=UPDATE&amp;creator=factset&amp;DYN_ARGS=TRUE&amp;DOC_NAME=FAT:FQL_AUDITING_CLIENT_TEMPLATE.FAT&amp;display_string=Audit&amp;VAR:KEY=EDMXENALUD&amp;VAR:QUERY=RkZfRU5UUlBSX1ZBTF9EQUlMWSgwLCwsLFVTRCwnRElMJykgLyBGRV9FU1RJTUFURShFQklUREEsTUVBTixBT","k5VQUxfUk9MTCwrMSwwLCwsJyxDVVJSRU5DWT1VU0QsRklYRURSQVRFPU5PLCcp&amp;WINDOW=FIRST_POPUP&amp;HEIGHT=450&amp;WIDTH=450&amp;START_MAXIMIZED=FALSE&amp;VAR:CALENDAR=FIVEDAY&amp;VAR:SYMBOL=0&amp;VAR:INDEX=0"}</definedName>
    <definedName name="_847__FDSAUDITLINK__" hidden="1">{"fdsup://directions/FAT Viewer?action=UPDATE&amp;creator=factset&amp;DYN_ARGS=TRUE&amp;DOC_NAME=FAT:FQL_AUDITING_CLIENT_TEMPLATE.FAT&amp;display_string=Audit&amp;VAR:KEY=KREFMRYLKH&amp;VAR:QUERY=RkZfRU5UUlBSX1ZBTF9EQUlMWSgwLCwsLFVTRCwnRElMJykgLyBGRl9FQklUREFfT1BFUihNT04sMCwsLCxVU","0Qp&amp;WINDOW=FIRST_POPUP&amp;HEIGHT=450&amp;WIDTH=450&amp;START_MAXIMIZED=FALSE&amp;VAR:CALENDAR=FIVEDAY&amp;VAR:SYMBOL=0&amp;VAR:INDEX=0"}</definedName>
    <definedName name="_848__FDSAUDITLINK__" hidden="1">{"fdsup://directions/FAT Viewer?action=UPDATE&amp;creator=factset&amp;DYN_ARGS=TRUE&amp;DOC_NAME=FAT:FQL_AUDITING_CLIENT_TEMPLATE.FAT&amp;display_string=Audit&amp;VAR:KEY=MPCDMRIZAZ&amp;VAR:QUERY=RkZfRU5UUlBSX1ZBTF9EQUlMWSgwLCwsLFVTRCwnRElMJykgLyBGRV9FU1RJTUFURShFQklUKCksTUVBTixBT","k5VQUxfUk9MTCwrMiwwLCwsJyxDVVJSRU5DWT1VU0QsRklYRURSQVRFPU5PLCcp&amp;WINDOW=FIRST_POPUP&amp;HEIGHT=450&amp;WIDTH=450&amp;START_MAXIMIZED=FALSE&amp;VAR:CALENDAR=FIVEDAY&amp;VAR:SYMBOL=0&amp;VAR:INDEX=0"}</definedName>
    <definedName name="_849__FDSAUDITLINK__" hidden="1">{"fdsup://directions/FAT Viewer?action=UPDATE&amp;creator=factset&amp;DYN_ARGS=TRUE&amp;DOC_NAME=FAT:FQL_AUDITING_CLIENT_TEMPLATE.FAT&amp;display_string=Audit&amp;VAR:KEY=IFUFUZONSD&amp;VAR:QUERY=RkZfRU5UUlBSX1ZBTF9EQUlMWSgwLCwsLFVTRCwnRElMJykgLyBGRV9FU1RJTUFURShFQklUKCksTUVBTixBT","k5VQUxfUk9MTCwrMSwwLCwsJyxDVVJSRU5DWT1VU0QsRklYRURSQVRFPU5PLCcp&amp;WINDOW=FIRST_POPUP&amp;HEIGHT=450&amp;WIDTH=450&amp;START_MAXIMIZED=FALSE&amp;VAR:CALENDAR=FIVEDAY&amp;VAR:SYMBOL=0&amp;VAR:INDEX=0"}</definedName>
    <definedName name="_85__FDSAUDITLINK__" hidden="1">{"fdsup://directions/FAT Viewer?action=UPDATE&amp;creator=factset&amp;DYN_ARGS=TRUE&amp;DOC_NAME=FAT:FQL_AUDITING_CLIENT_TEMPLATE.FAT&amp;display_string=Audit&amp;VAR:KEY=QHANKRAVAB&amp;VAR:QUERY=KChGRl9FQklUREEoTFRNLDAsLCxSRixVU0QpQEZGX0VCSVREQShMVE1TX1NFTUksMCwsLFJGLFVTRCkpQEZGX","0VCSVREQShBTk4sMCwsLFJGLFVTRCkp&amp;WINDOW=FIRST_POPUP&amp;HEIGHT=450&amp;WIDTH=450&amp;START_MAXIMIZED=FALSE&amp;VAR:CALENDAR=US&amp;VAR:SYMBOL=2174&amp;VAR:INDEX=0"}</definedName>
    <definedName name="_850__FDSAUDITLINK__" hidden="1">{"fdsup://directions/FAT Viewer?action=UPDATE&amp;creator=factset&amp;DYN_ARGS=TRUE&amp;DOC_NAME=FAT:FQL_AUDITING_CLIENT_TEMPLATE.FAT&amp;display_string=Audit&amp;VAR:KEY=CVOVGPSROZ&amp;VAR:QUERY=RkZfRU5UUlBSX1ZBTF9EQUlMWSgwLCwsLFVTRCwnRElMJykgLyBGRl9FQklUX09QRVIoTU9OLDAsLCwsVVNEK","Q==&amp;WINDOW=FIRST_POPUP&amp;HEIGHT=450&amp;WIDTH=450&amp;START_MAXIMIZED=FALSE&amp;VAR:CALENDAR=FIVEDAY&amp;VAR:SYMBOL=0&amp;VAR:INDEX=0"}</definedName>
    <definedName name="_851__FDSAUDITLINK__" hidden="1">{"fdsup://directions/FAT Viewer?action=UPDATE&amp;creator=factset&amp;DYN_ARGS=TRUE&amp;DOC_NAME=FAT:FQL_AUDITING_CLIENT_TEMPLATE.FAT&amp;display_string=Audit&amp;VAR:KEY=APIXWVSNML&amp;VAR:QUERY=RkZfRU5UUlBSX1ZBTF9EQUlMWSgwLCwsLFVTRCwnRElMJykgLyBGRV9FU1RJTUFURShTQUxFUygpLE1FQU4sQ","U5OVUFMX1JPTEwsKzIsMCwsLCcsQ1VSUkVOQ1k9VVNELEZJWEVEUkFURT1OTywnKQ==&amp;WINDOW=FIRST_POPUP&amp;HEIGHT=450&amp;WIDTH=450&amp;START_MAXIMIZED=FALSE&amp;VAR:CALENDAR=FIVEDAY&amp;VAR:SYMBOL=0&amp;VAR:INDEX=0"}</definedName>
    <definedName name="_852__FDSAUDITLINK__" hidden="1">{"fdsup://directions/FAT Viewer?action=UPDATE&amp;creator=factset&amp;DYN_ARGS=TRUE&amp;DOC_NAME=FAT:FQL_AUDITING_CLIENT_TEMPLATE.FAT&amp;display_string=Audit&amp;VAR:KEY=EDMXENALUD&amp;VAR:QUERY=RkZfRU5UUlBSX1ZBTF9EQUlMWSgwLCwsLFVTRCwnRElMJykgLyBGRV9FU1RJTUFURShFQklUREEsTUVBTixBT","k5VQUxfUk9MTCwrMSwwLCwsJyxDVVJSRU5DWT1VU0QsRklYRURSQVRFPU5PLCcp&amp;WINDOW=FIRST_POPUP&amp;HEIGHT=450&amp;WIDTH=450&amp;START_MAXIMIZED=FALSE&amp;VAR:CALENDAR=FIVEDAY&amp;VAR:SYMBOL=0&amp;VAR:INDEX=0"}</definedName>
    <definedName name="_853__FDSAUDITLINK__" hidden="1">{"fdsup://directions/FAT Viewer?action=UPDATE&amp;creator=factset&amp;DYN_ARGS=TRUE&amp;DOC_NAME=FAT:FQL_AUDITING_CLIENT_TEMPLATE.FAT&amp;display_string=Audit&amp;VAR:KEY=KREFMRYLKH&amp;VAR:QUERY=RkZfRU5UUlBSX1ZBTF9EQUlMWSgwLCwsLFVTRCwnRElMJykgLyBGRl9FQklUREFfT1BFUihNT04sMCwsLCxVU","0Qp&amp;WINDOW=FIRST_POPUP&amp;HEIGHT=450&amp;WIDTH=450&amp;START_MAXIMIZED=FALSE&amp;VAR:CALENDAR=FIVEDAY&amp;VAR:SYMBOL=0&amp;VAR:INDEX=0"}</definedName>
    <definedName name="_854__FDSAUDITLINK__" hidden="1">{"fdsup://directions/FAT Viewer?action=UPDATE&amp;creator=factset&amp;DYN_ARGS=TRUE&amp;DOC_NAME=FAT:FQL_AUDITING_CLIENT_TEMPLATE.FAT&amp;display_string=Audit&amp;VAR:KEY=MPCDMRIZAZ&amp;VAR:QUERY=RkZfRU5UUlBSX1ZBTF9EQUlMWSgwLCwsLFVTRCwnRElMJykgLyBGRV9FU1RJTUFURShFQklUKCksTUVBTixBT","k5VQUxfUk9MTCwrMiwwLCwsJyxDVVJSRU5DWT1VU0QsRklYRURSQVRFPU5PLCcp&amp;WINDOW=FIRST_POPUP&amp;HEIGHT=450&amp;WIDTH=450&amp;START_MAXIMIZED=FALSE&amp;VAR:CALENDAR=FIVEDAY&amp;VAR:SYMBOL=0&amp;VAR:INDEX=0"}</definedName>
    <definedName name="_855__FDSAUDITLINK__" hidden="1">{"fdsup://directions/FAT Viewer?action=UPDATE&amp;creator=factset&amp;DYN_ARGS=TRUE&amp;DOC_NAME=FAT:FQL_AUDITING_CLIENT_TEMPLATE.FAT&amp;display_string=Audit&amp;VAR:KEY=IFUFUZONSD&amp;VAR:QUERY=RkZfRU5UUlBSX1ZBTF9EQUlMWSgwLCwsLFVTRCwnRElMJykgLyBGRV9FU1RJTUFURShFQklUKCksTUVBTixBT","k5VQUxfUk9MTCwrMSwwLCwsJyxDVVJSRU5DWT1VU0QsRklYRURSQVRFPU5PLCcp&amp;WINDOW=FIRST_POPUP&amp;HEIGHT=450&amp;WIDTH=450&amp;START_MAXIMIZED=FALSE&amp;VAR:CALENDAR=FIVEDAY&amp;VAR:SYMBOL=0&amp;VAR:INDEX=0"}</definedName>
    <definedName name="_856__FDSAUDITLINK__" hidden="1">{"fdsup://directions/FAT Viewer?action=UPDATE&amp;creator=factset&amp;DYN_ARGS=TRUE&amp;DOC_NAME=FAT:FQL_AUDITING_CLIENT_TEMPLATE.FAT&amp;display_string=Audit&amp;VAR:KEY=CVOVGPSROZ&amp;VAR:QUERY=RkZfRU5UUlBSX1ZBTF9EQUlMWSgwLCwsLFVTRCwnRElMJykgLyBGRl9FQklUX09QRVIoTU9OLDAsLCwsVVNEK","Q==&amp;WINDOW=FIRST_POPUP&amp;HEIGHT=450&amp;WIDTH=450&amp;START_MAXIMIZED=FALSE&amp;VAR:CALENDAR=FIVEDAY&amp;VAR:SYMBOL=0&amp;VAR:INDEX=0"}</definedName>
    <definedName name="_857__FDSAUDITLINK__" hidden="1">{"fdsup://directions/FAT Viewer?action=UPDATE&amp;creator=factset&amp;DYN_ARGS=TRUE&amp;DOC_NAME=FAT:FQL_AUDITING_CLIENT_TEMPLATE.FAT&amp;display_string=Audit&amp;VAR:KEY=APIXWVSNML&amp;VAR:QUERY=RkZfRU5UUlBSX1ZBTF9EQUlMWSgwLCwsLFVTRCwnRElMJykgLyBGRV9FU1RJTUFURShTQUxFUygpLE1FQU4sQ","U5OVUFMX1JPTEwsKzIsMCwsLCcsQ1VSUkVOQ1k9VVNELEZJWEVEUkFURT1OTywnKQ==&amp;WINDOW=FIRST_POPUP&amp;HEIGHT=450&amp;WIDTH=450&amp;START_MAXIMIZED=FALSE&amp;VAR:CALENDAR=FIVEDAY&amp;VAR:SYMBOL=0&amp;VAR:INDEX=0"}</definedName>
    <definedName name="_858__FDSAUDITLINK__" hidden="1">{"fdsup://directions/FAT Viewer?action=UPDATE&amp;creator=factset&amp;DYN_ARGS=TRUE&amp;DOC_NAME=FAT:FQL_AUDITING_CLIENT_TEMPLATE.FAT&amp;display_string=Audit&amp;VAR:KEY=EDMXENALUD&amp;VAR:QUERY=RkZfRU5UUlBSX1ZBTF9EQUlMWSgwLCwsLFVTRCwnRElMJykgLyBGRV9FU1RJTUFURShFQklUREEsTUVBTixBT","k5VQUxfUk9MTCwrMSwwLCwsJyxDVVJSRU5DWT1VU0QsRklYRURSQVRFPU5PLCcp&amp;WINDOW=FIRST_POPUP&amp;HEIGHT=450&amp;WIDTH=450&amp;START_MAXIMIZED=FALSE&amp;VAR:CALENDAR=FIVEDAY&amp;VAR:SYMBOL=0&amp;VAR:INDEX=0"}</definedName>
    <definedName name="_859__FDSAUDITLINK__" hidden="1">{"fdsup://directions/FAT Viewer?action=UPDATE&amp;creator=factset&amp;DYN_ARGS=TRUE&amp;DOC_NAME=FAT:FQL_AUDITING_CLIENT_TEMPLATE.FAT&amp;display_string=Audit&amp;VAR:KEY=KREFMRYLKH&amp;VAR:QUERY=RkZfRU5UUlBSX1ZBTF9EQUlMWSgwLCwsLFVTRCwnRElMJykgLyBGRl9FQklUREFfT1BFUihNT04sMCwsLCxVU","0Qp&amp;WINDOW=FIRST_POPUP&amp;HEIGHT=450&amp;WIDTH=450&amp;START_MAXIMIZED=FALSE&amp;VAR:CALENDAR=FIVEDAY&amp;VAR:SYMBOL=0&amp;VAR:INDEX=0"}</definedName>
    <definedName name="_86__FDSAUDITLINK__" hidden="1">{"fdsup://Directions/FactSet Auditing Viewer?action=AUDIT_VALUE&amp;DB=129&amp;ID1=22362210&amp;VALUEID=01251&amp;SDATE=2009&amp;PERIODTYPE=ANN_STD&amp;window=popup_no_bar&amp;width=385&amp;height=120&amp;START_MAXIMIZED=FALSE&amp;creator=factset&amp;display_string=Audit"}</definedName>
    <definedName name="_860__FDSAUDITLINK__" hidden="1">{"fdsup://directions/FAT Viewer?action=UPDATE&amp;creator=factset&amp;DYN_ARGS=TRUE&amp;DOC_NAME=FAT:FQL_AUDITING_CLIENT_TEMPLATE.FAT&amp;display_string=Audit&amp;VAR:KEY=MPCDMRIZAZ&amp;VAR:QUERY=RkZfRU5UUlBSX1ZBTF9EQUlMWSgwLCwsLFVTRCwnRElMJykgLyBGRV9FU1RJTUFURShFQklUKCksTUVBTixBT","k5VQUxfUk9MTCwrMiwwLCwsJyxDVVJSRU5DWT1VU0QsRklYRURSQVRFPU5PLCcp&amp;WINDOW=FIRST_POPUP&amp;HEIGHT=450&amp;WIDTH=450&amp;START_MAXIMIZED=FALSE&amp;VAR:CALENDAR=FIVEDAY&amp;VAR:SYMBOL=0&amp;VAR:INDEX=0"}</definedName>
    <definedName name="_861__FDSAUDITLINK__" hidden="1">{"fdsup://directions/FAT Viewer?action=UPDATE&amp;creator=factset&amp;DYN_ARGS=TRUE&amp;DOC_NAME=FAT:FQL_AUDITING_CLIENT_TEMPLATE.FAT&amp;display_string=Audit&amp;VAR:KEY=IFUFUZONSD&amp;VAR:QUERY=RkZfRU5UUlBSX1ZBTF9EQUlMWSgwLCwsLFVTRCwnRElMJykgLyBGRV9FU1RJTUFURShFQklUKCksTUVBTixBT","k5VQUxfUk9MTCwrMSwwLCwsJyxDVVJSRU5DWT1VU0QsRklYRURSQVRFPU5PLCcp&amp;WINDOW=FIRST_POPUP&amp;HEIGHT=450&amp;WIDTH=450&amp;START_MAXIMIZED=FALSE&amp;VAR:CALENDAR=FIVEDAY&amp;VAR:SYMBOL=0&amp;VAR:INDEX=0"}</definedName>
    <definedName name="_862__FDSAUDITLINK__" hidden="1">{"fdsup://directions/FAT Viewer?action=UPDATE&amp;creator=factset&amp;DYN_ARGS=TRUE&amp;DOC_NAME=FAT:FQL_AUDITING_CLIENT_TEMPLATE.FAT&amp;display_string=Audit&amp;VAR:KEY=CVOVGPSROZ&amp;VAR:QUERY=RkZfRU5UUlBSX1ZBTF9EQUlMWSgwLCwsLFVTRCwnRElMJykgLyBGRl9FQklUX09QRVIoTU9OLDAsLCwsVVNEK","Q==&amp;WINDOW=FIRST_POPUP&amp;HEIGHT=450&amp;WIDTH=450&amp;START_MAXIMIZED=FALSE&amp;VAR:CALENDAR=FIVEDAY&amp;VAR:SYMBOL=0&amp;VAR:INDEX=0"}</definedName>
    <definedName name="_863__FDSAUDITLINK__" hidden="1">{"fdsup://directions/FAT Viewer?action=UPDATE&amp;creator=factset&amp;DYN_ARGS=TRUE&amp;DOC_NAME=FAT:FQL_AUDITING_CLIENT_TEMPLATE.FAT&amp;display_string=Audit&amp;VAR:KEY=APIXWVSNML&amp;VAR:QUERY=RkZfRU5UUlBSX1ZBTF9EQUlMWSgwLCwsLFVTRCwnRElMJykgLyBGRV9FU1RJTUFURShTQUxFUygpLE1FQU4sQ","U5OVUFMX1JPTEwsKzIsMCwsLCcsQ1VSUkVOQ1k9VVNELEZJWEVEUkFURT1OTywnKQ==&amp;WINDOW=FIRST_POPUP&amp;HEIGHT=450&amp;WIDTH=450&amp;START_MAXIMIZED=FALSE&amp;VAR:CALENDAR=FIVEDAY&amp;VAR:SYMBOL=0&amp;VAR:INDEX=0"}</definedName>
    <definedName name="_864__FDSAUDITLINK__" hidden="1">{"fdsup://directions/FAT Viewer?action=UPDATE&amp;creator=factset&amp;DYN_ARGS=TRUE&amp;DOC_NAME=FAT:FQL_AUDITING_CLIENT_TEMPLATE.FAT&amp;display_string=Audit&amp;VAR:KEY=EDMXENALUD&amp;VAR:QUERY=RkZfRU5UUlBSX1ZBTF9EQUlMWSgwLCwsLFVTRCwnRElMJykgLyBGRV9FU1RJTUFURShFQklUREEsTUVBTixBT","k5VQUxfUk9MTCwrMSwwLCwsJyxDVVJSRU5DWT1VU0QsRklYRURSQVRFPU5PLCcp&amp;WINDOW=FIRST_POPUP&amp;HEIGHT=450&amp;WIDTH=450&amp;START_MAXIMIZED=FALSE&amp;VAR:CALENDAR=FIVEDAY&amp;VAR:SYMBOL=0&amp;VAR:INDEX=0"}</definedName>
    <definedName name="_865__FDSAUDITLINK__" hidden="1">{"fdsup://directions/FAT Viewer?action=UPDATE&amp;creator=factset&amp;DYN_ARGS=TRUE&amp;DOC_NAME=FAT:FQL_AUDITING_CLIENT_TEMPLATE.FAT&amp;display_string=Audit&amp;VAR:KEY=KREFMRYLKH&amp;VAR:QUERY=RkZfRU5UUlBSX1ZBTF9EQUlMWSgwLCwsLFVTRCwnRElMJykgLyBGRl9FQklUREFfT1BFUihNT04sMCwsLCxVU","0Qp&amp;WINDOW=FIRST_POPUP&amp;HEIGHT=450&amp;WIDTH=450&amp;START_MAXIMIZED=FALSE&amp;VAR:CALENDAR=FIVEDAY&amp;VAR:SYMBOL=0&amp;VAR:INDEX=0"}</definedName>
    <definedName name="_866__FDSAUDITLINK__" hidden="1">{"fdsup://directions/FAT Viewer?action=UPDATE&amp;creator=factset&amp;DYN_ARGS=TRUE&amp;DOC_NAME=FAT:FQL_AUDITING_CLIENT_TEMPLATE.FAT&amp;display_string=Audit&amp;VAR:KEY=MPCDMRIZAZ&amp;VAR:QUERY=RkZfRU5UUlBSX1ZBTF9EQUlMWSgwLCwsLFVTRCwnRElMJykgLyBGRV9FU1RJTUFURShFQklUKCksTUVBTixBT","k5VQUxfUk9MTCwrMiwwLCwsJyxDVVJSRU5DWT1VU0QsRklYRURSQVRFPU5PLCcp&amp;WINDOW=FIRST_POPUP&amp;HEIGHT=450&amp;WIDTH=450&amp;START_MAXIMIZED=FALSE&amp;VAR:CALENDAR=FIVEDAY&amp;VAR:SYMBOL=0&amp;VAR:INDEX=0"}</definedName>
    <definedName name="_867__FDSAUDITLINK__" hidden="1">{"fdsup://directions/FAT Viewer?action=UPDATE&amp;creator=factset&amp;DYN_ARGS=TRUE&amp;DOC_NAME=FAT:FQL_AUDITING_CLIENT_TEMPLATE.FAT&amp;display_string=Audit&amp;VAR:KEY=IFUFUZONSD&amp;VAR:QUERY=RkZfRU5UUlBSX1ZBTF9EQUlMWSgwLCwsLFVTRCwnRElMJykgLyBGRV9FU1RJTUFURShFQklUKCksTUVBTixBT","k5VQUxfUk9MTCwrMSwwLCwsJyxDVVJSRU5DWT1VU0QsRklYRURSQVRFPU5PLCcp&amp;WINDOW=FIRST_POPUP&amp;HEIGHT=450&amp;WIDTH=450&amp;START_MAXIMIZED=FALSE&amp;VAR:CALENDAR=FIVEDAY&amp;VAR:SYMBOL=0&amp;VAR:INDEX=0"}</definedName>
    <definedName name="_868__FDSAUDITLINK__" hidden="1">{"fdsup://directions/FAT Viewer?action=UPDATE&amp;creator=factset&amp;DYN_ARGS=TRUE&amp;DOC_NAME=FAT:FQL_AUDITING_CLIENT_TEMPLATE.FAT&amp;display_string=Audit&amp;VAR:KEY=CVOVGPSROZ&amp;VAR:QUERY=RkZfRU5UUlBSX1ZBTF9EQUlMWSgwLCwsLFVTRCwnRElMJykgLyBGRl9FQklUX09QRVIoTU9OLDAsLCwsVVNEK","Q==&amp;WINDOW=FIRST_POPUP&amp;HEIGHT=450&amp;WIDTH=450&amp;START_MAXIMIZED=FALSE&amp;VAR:CALENDAR=FIVEDAY&amp;VAR:SYMBOL=0&amp;VAR:INDEX=0"}</definedName>
    <definedName name="_869__FDSAUDITLINK__" hidden="1">{"fdsup://directions/FAT Viewer?action=UPDATE&amp;creator=factset&amp;DYN_ARGS=TRUE&amp;DOC_NAME=FAT:FQL_AUDITING_CLIENT_TEMPLATE.FAT&amp;display_string=Audit&amp;VAR:KEY=APIXWVSNML&amp;VAR:QUERY=RkZfRU5UUlBSX1ZBTF9EQUlMWSgwLCwsLFVTRCwnRElMJykgLyBGRV9FU1RJTUFURShTQUxFUygpLE1FQU4sQ","U5OVUFMX1JPTEwsKzIsMCwsLCcsQ1VSUkVOQ1k9VVNELEZJWEVEUkFURT1OTywnKQ==&amp;WINDOW=FIRST_POPUP&amp;HEIGHT=450&amp;WIDTH=450&amp;START_MAXIMIZED=FALSE&amp;VAR:CALENDAR=FIVEDAY&amp;VAR:SYMBOL=0&amp;VAR:INDEX=0"}</definedName>
    <definedName name="_87__FDSAUDITLINK__" hidden="1">{"fdsup://directions/FAT Viewer?action=UPDATE&amp;creator=factset&amp;DYN_ARGS=TRUE&amp;DOC_NAME=FAT:FQL_AUDITING_CLIENT_TEMPLATE.FAT&amp;display_string=Audit&amp;VAR:KEY=ULOPQJWPAF&amp;VAR:QUERY=KChGRl9ORVRfSU5DKExUTSwwLCwsUkYsVVNEKUBGRl9ORVRfSU5DKExUTVNfU0VNSSwwLCwsUkYsVVNEKSlAR","kZfTkVUX0lOQyhBTk4sMCwsLFJGLFVTRCkp&amp;WINDOW=FIRST_POPUP&amp;HEIGHT=450&amp;WIDTH=450&amp;START_MAXIMIZED=FALSE&amp;VAR:CALENDAR=US&amp;VAR:SYMBOL=COWN&amp;VAR:INDEX=0"}</definedName>
    <definedName name="_870__FDSAUDITLINK__" hidden="1">{"fdsup://directions/FAT Viewer?action=UPDATE&amp;creator=factset&amp;DYN_ARGS=TRUE&amp;DOC_NAME=FAT:FQL_AUDITING_CLIENT_TEMPLATE.FAT&amp;display_string=Audit&amp;VAR:KEY=EDMXENALUD&amp;VAR:QUERY=RkZfRU5UUlBSX1ZBTF9EQUlMWSgwLCwsLFVTRCwnRElMJykgLyBGRV9FU1RJTUFURShFQklUREEsTUVBTixBT","k5VQUxfUk9MTCwrMSwwLCwsJyxDVVJSRU5DWT1VU0QsRklYRURSQVRFPU5PLCcp&amp;WINDOW=FIRST_POPUP&amp;HEIGHT=450&amp;WIDTH=450&amp;START_MAXIMIZED=FALSE&amp;VAR:CALENDAR=FIVEDAY&amp;VAR:SYMBOL=0&amp;VAR:INDEX=0"}</definedName>
    <definedName name="_871__FDSAUDITLINK__" hidden="1">{"fdsup://directions/FAT Viewer?action=UPDATE&amp;creator=factset&amp;DYN_ARGS=TRUE&amp;DOC_NAME=FAT:FQL_AUDITING_CLIENT_TEMPLATE.FAT&amp;display_string=Audit&amp;VAR:KEY=KREFMRYLKH&amp;VAR:QUERY=RkZfRU5UUlBSX1ZBTF9EQUlMWSgwLCwsLFVTRCwnRElMJykgLyBGRl9FQklUREFfT1BFUihNT04sMCwsLCxVU","0Qp&amp;WINDOW=FIRST_POPUP&amp;HEIGHT=450&amp;WIDTH=450&amp;START_MAXIMIZED=FALSE&amp;VAR:CALENDAR=FIVEDAY&amp;VAR:SYMBOL=0&amp;VAR:INDEX=0"}</definedName>
    <definedName name="_872__FDSAUDITLINK__" hidden="1">{"fdsup://directions/FAT Viewer?action=UPDATE&amp;creator=factset&amp;DYN_ARGS=TRUE&amp;DOC_NAME=FAT:FQL_AUDITING_CLIENT_TEMPLATE.FAT&amp;display_string=Audit&amp;VAR:KEY=UXYLQJWZGR&amp;VAR:QUERY=RkZfRUJJVERBX09QRVIoQU5OLDAsLCwsVVNEKQ==&amp;WINDOW=FIRST_POPUP&amp;HEIGHT=450&amp;WIDTH=450&amp;STAR","T_MAXIMIZED=FALSE&amp;VAR:CALENDAR=FIVEDAY&amp;VAR:INDEX=0"}</definedName>
    <definedName name="_873__FDSAUDITLINK__" hidden="1">{"fdsup://directions/FAT Viewer?action=UPDATE&amp;creator=factset&amp;DYN_ARGS=TRUE&amp;DOC_NAME=FAT:FQL_AUDITING_CLIENT_TEMPLATE.FAT&amp;display_string=Audit&amp;VAR:KEY=QLMRCPQLQB&amp;VAR:QUERY=RkZfRU5UUlBSX1ZBTF9EQUlMWSgwLCwsLFVTRCwnRElMJyk=&amp;WINDOW=FIRST_POPUP&amp;HEIGHT=450&amp;WIDTH=","450&amp;START_MAXIMIZED=FALSE&amp;VAR:CALENDAR=FIVEDAY&amp;VAR:INDEX=0"}</definedName>
    <definedName name="_874__FDSAUDITLINK__" hidden="1">{"fdsup://directions/FAT Viewer?action=UPDATE&amp;creator=factset&amp;DYN_ARGS=TRUE&amp;DOC_NAME=FAT:FQL_AUDITING_CLIENT_TEMPLATE.FAT&amp;display_string=Audit&amp;VAR:KEY=MNMXCDKLSH&amp;VAR:QUERY=RkZfREVCVChBTk4sMCwsLCxVU0Qp&amp;WINDOW=FIRST_POPUP&amp;HEIGHT=450&amp;WIDTH=450&amp;START_MAXIMIZED=","FALSE&amp;VAR:CALENDAR=FIVEDAY&amp;VAR:INDEX=0"}</definedName>
    <definedName name="_875__FDSAUDITLINK__" hidden="1">{"fdsup://directions/FAT Viewer?action=UPDATE&amp;creator=factset&amp;DYN_ARGS=TRUE&amp;DOC_NAME=FAT:FQL_AUDITING_CLIENT_TEMPLATE.FAT&amp;display_string=Audit&amp;VAR:KEY=QZWHUBMDQN&amp;VAR:QUERY=RkZfTkVUX0lOQyhBTk4sLTJGWSwsLCxVU0Qp&amp;WINDOW=FIRST_POPUP&amp;HEIGHT=450&amp;WIDTH=450&amp;START_MA","XIMIZED=FALSE&amp;VAR:CALENDAR=FIVEDAY&amp;VAR:INDEX=0"}</definedName>
    <definedName name="_876__FDSAUDITLINK__" hidden="1">{"fdsup://directions/FAT Viewer?action=UPDATE&amp;creator=factset&amp;DYN_ARGS=TRUE&amp;DOC_NAME=FAT:FQL_AUDITING_CLIENT_TEMPLATE.FAT&amp;display_string=Audit&amp;VAR:KEY=UXYLQJWZGR&amp;VAR:QUERY=RkZfRUJJVERBX09QRVIoQU5OLDAsLCwsVVNEKQ==&amp;WINDOW=FIRST_POPUP&amp;HEIGHT=450&amp;WIDTH=450&amp;STAR","T_MAXIMIZED=FALSE&amp;VAR:CALENDAR=FIVEDAY&amp;VAR:INDEX=0"}</definedName>
    <definedName name="_877__FDSAUDITLINK__" hidden="1">{"fdsup://directions/FAT Viewer?action=UPDATE&amp;creator=factset&amp;DYN_ARGS=TRUE&amp;DOC_NAME=FAT:FQL_AUDITING_CLIENT_TEMPLATE.FAT&amp;display_string=Audit&amp;VAR:KEY=QLMRCPQLQB&amp;VAR:QUERY=RkZfRU5UUlBSX1ZBTF9EQUlMWSgwLCwsLFVTRCwnRElMJyk=&amp;WINDOW=FIRST_POPUP&amp;HEIGHT=450&amp;WIDTH=","450&amp;START_MAXIMIZED=FALSE&amp;VAR:CALENDAR=FIVEDAY&amp;VAR:INDEX=0"}</definedName>
    <definedName name="_878__FDSAUDITLINK__" hidden="1">{"fdsup://directions/FAT Viewer?action=UPDATE&amp;creator=factset&amp;DYN_ARGS=TRUE&amp;DOC_NAME=FAT:FQL_AUDITING_CLIENT_TEMPLATE.FAT&amp;display_string=Audit&amp;VAR:KEY=MNMXCDKLSH&amp;VAR:QUERY=RkZfREVCVChBTk4sMCwsLCxVU0Qp&amp;WINDOW=FIRST_POPUP&amp;HEIGHT=450&amp;WIDTH=450&amp;START_MAXIMIZED=","FALSE&amp;VAR:CALENDAR=FIVEDAY&amp;VAR:INDEX=0"}</definedName>
    <definedName name="_879__FDSAUDITLINK__" hidden="1">{"fdsup://directions/FAT Viewer?action=UPDATE&amp;creator=factset&amp;DYN_ARGS=TRUE&amp;DOC_NAME=FAT:FQL_AUDITING_CLIENT_TEMPLATE.FAT&amp;display_string=Audit&amp;VAR:KEY=QZWHUBMDQN&amp;VAR:QUERY=RkZfTkVUX0lOQyhBTk4sLTJGWSwsLCxVU0Qp&amp;WINDOW=FIRST_POPUP&amp;HEIGHT=450&amp;WIDTH=450&amp;START_MA","XIMIZED=FALSE&amp;VAR:CALENDAR=FIVEDAY&amp;VAR:INDEX=0"}</definedName>
    <definedName name="_88__FDSAUDITLINK__" hidden="1">{"fdsup://directions/FAT Viewer?action=UPDATE&amp;creator=factset&amp;DYN_ARGS=TRUE&amp;DOC_NAME=FAT:FQL_AUDITING_CLIENT_TEMPLATE.FAT&amp;display_string=Audit&amp;VAR:KEY=UXELWXUDQH&amp;VAR:QUERY=KChGRl9FQklUKExUTSwwLCwsUkYsVVNEKUBGRl9FQklUKExUTVNfU0VNSSwwLCwsUkYsVVNEKSlARkZfRUJJV","ChBTk4sMCwsLFJGLFVTRCkp&amp;WINDOW=FIRST_POPUP&amp;HEIGHT=450&amp;WIDTH=450&amp;START_MAXIMIZED=FALSE&amp;VAR:CALENDAR=US&amp;VAR:SYMBOL=COWN&amp;VAR:INDEX=0"}</definedName>
    <definedName name="_880__FDSAUDITLINK__" hidden="1">{"fdsup://directions/FAT Viewer?action=UPDATE&amp;creator=factset&amp;DYN_ARGS=TRUE&amp;DOC_NAME=FAT:FQL_AUDITING_CLIENT_TEMPLATE.FAT&amp;display_string=Audit&amp;VAR:KEY=QPGJQRMVKT&amp;VAR:QUERY=RkZfTkVUX0lOQyhBTk4sLTFGWSwsLCxVU0Qp&amp;WINDOW=FIRST_POPUP&amp;HEIGHT=450&amp;WIDTH=450&amp;START_MA","XIMIZED=FALSE&amp;VAR:CALENDAR=FIVEDAY&amp;VAR:INDEX=0"}</definedName>
    <definedName name="_881__FDSAUDITLINK__" hidden="1">{"fdsup://directions/FAT Viewer?action=UPDATE&amp;creator=factset&amp;DYN_ARGS=TRUE&amp;DOC_NAME=FAT:FQL_AUDITING_CLIENT_TEMPLATE.FAT&amp;display_string=Audit&amp;VAR:KEY=SFUTQRMBOD&amp;VAR:QUERY=RkZfTkVUX0lOQyhBTk4sMCwsLCxVU0Qp&amp;WINDOW=FIRST_POPUP&amp;HEIGHT=450&amp;WIDTH=450&amp;START_MAXIMI","ZED=FALSE&amp;VAR:CALENDAR=FIVEDAY&amp;VAR:INDEX=0"}</definedName>
    <definedName name="_882__FDSAUDITLINK__" hidden="1">{"fdsup://directions/FAT Viewer?action=UPDATE&amp;creator=factset&amp;DYN_ARGS=TRUE&amp;DOC_NAME=FAT:FQL_AUDITING_CLIENT_TEMPLATE.FAT&amp;display_string=Audit&amp;VAR:KEY=MNMXCDKLSH&amp;VAR:QUERY=RkZfREVCVChBTk4sMCwsLCxVU0Qp&amp;WINDOW=FIRST_POPUP&amp;HEIGHT=450&amp;WIDTH=450&amp;START_MAXIMIZED=","FALSE&amp;VAR:CALENDAR=FIVEDAY&amp;VAR:INDEX=0"}</definedName>
    <definedName name="_883__FDSAUDITLINK__" hidden="1">{"fdsup://directions/FAT Viewer?action=UPDATE&amp;creator=factset&amp;DYN_ARGS=TRUE&amp;DOC_NAME=FAT:FQL_AUDITING_CLIENT_TEMPLATE.FAT&amp;display_string=Audit&amp;VAR:KEY=QZWHUBMDQN&amp;VAR:QUERY=RkZfTkVUX0lOQyhBTk4sLTJGWSwsLCxVU0Qp&amp;WINDOW=FIRST_POPUP&amp;HEIGHT=450&amp;WIDTH=450&amp;START_MA","XIMIZED=FALSE&amp;VAR:CALENDAR=FIVEDAY&amp;VAR:INDEX=0"}</definedName>
    <definedName name="_884__FDSAUDITLINK__" hidden="1">{"fdsup://directions/FAT Viewer?action=UPDATE&amp;creator=factset&amp;DYN_ARGS=TRUE&amp;DOC_NAME=FAT:FQL_AUDITING_CLIENT_TEMPLATE.FAT&amp;display_string=Audit&amp;VAR:KEY=QPGJQRMVKT&amp;VAR:QUERY=RkZfTkVUX0lOQyhBTk4sLTFGWSwsLCxVU0Qp&amp;WINDOW=FIRST_POPUP&amp;HEIGHT=450&amp;WIDTH=450&amp;START_MA","XIMIZED=FALSE&amp;VAR:CALENDAR=FIVEDAY&amp;VAR:INDEX=0"}</definedName>
    <definedName name="_885__FDSAUDITLINK__" hidden="1">{"fdsup://directions/FAT Viewer?action=UPDATE&amp;creator=factset&amp;DYN_ARGS=TRUE&amp;DOC_NAME=FAT:FQL_AUDITING_CLIENT_TEMPLATE.FAT&amp;display_string=Audit&amp;VAR:KEY=SFUTQRMBOD&amp;VAR:QUERY=RkZfTkVUX0lOQyhBTk4sMCwsLCxVU0Qp&amp;WINDOW=FIRST_POPUP&amp;HEIGHT=450&amp;WIDTH=450&amp;START_MAXIMI","ZED=FALSE&amp;VAR:CALENDAR=FIVEDAY&amp;VAR:INDEX=0"}</definedName>
    <definedName name="_886__FDSAUDITLINK__" hidden="1">{"fdsup://directions/FAT Viewer?action=UPDATE&amp;creator=factset&amp;DYN_ARGS=TRUE&amp;DOC_NAME=FAT:FQL_AUDITING_CLIENT_TEMPLATE.FAT&amp;display_string=Audit&amp;VAR:KEY=CNGBSXYLAB&amp;VAR:QUERY=RkZfRUJJVERBX09QRVIoQU5OLC0yRlksLCwsVVNEKQ==&amp;WINDOW=FIRST_POPUP&amp;HEIGHT=450&amp;WIDTH=450&amp;","START_MAXIMIZED=FALSE&amp;VAR:CALENDAR=FIVEDAY&amp;VAR:INDEX=0"}</definedName>
    <definedName name="_887__FDSAUDITLINK__" hidden="1">{"fdsup://directions/FAT Viewer?action=UPDATE&amp;creator=factset&amp;DYN_ARGS=TRUE&amp;DOC_NAME=FAT:FQL_AUDITING_CLIENT_TEMPLATE.FAT&amp;display_string=Audit&amp;VAR:KEY=YFONKDIRKH&amp;VAR:QUERY=RkZfRUJJVERBX09QRVIoQU5OLC0xRlksLCwsVVNEKQ==&amp;WINDOW=FIRST_POPUP&amp;HEIGHT=450&amp;WIDTH=450&amp;","START_MAXIMIZED=FALSE&amp;VAR:CALENDAR=FIVEDAY&amp;VAR:INDEX=0"}</definedName>
    <definedName name="_888__FDSAUDITLINK__" hidden="1">{"fdsup://Directions/FactSet Auditing Viewer?action=AUDIT_VALUE&amp;DB=129&amp;ID1=B2PG34&amp;VALUEID=01001&amp;SDATE=2011&amp;PERIODTYPE=ANN_STD&amp;SCFT=3&amp;window=popup_no_bar&amp;width=385&amp;height=120&amp;START_MAXIMIZED=FALSE&amp;creator=factset&amp;display_string=Audit"}</definedName>
    <definedName name="_889__FDSAUDITLINK__" hidden="1">{"fdsup://directions/FAT Viewer?action=UPDATE&amp;creator=factset&amp;DYN_ARGS=TRUE&amp;DOC_NAME=FAT:FQL_AUDITING_CLIENT_TEMPLATE.FAT&amp;display_string=Audit&amp;VAR:KEY=QZWHUBMDQN&amp;VAR:QUERY=RkZfTkVUX0lOQyhBTk4sLTJGWSwsLCxVU0Qp&amp;WINDOW=FIRST_POPUP&amp;HEIGHT=450&amp;WIDTH=450&amp;START_MA","XIMIZED=FALSE&amp;VAR:CALENDAR=FIVEDAY&amp;VAR:INDEX=0"}</definedName>
    <definedName name="_89__FDSAUDITLINK__" hidden="1">{"fdsup://directions/FAT Viewer?action=UPDATE&amp;creator=factset&amp;DYN_ARGS=TRUE&amp;DOC_NAME=FAT:FQL_AUDITING_CLIENT_TEMPLATE.FAT&amp;display_string=Audit&amp;VAR:KEY=ADITWPGNED&amp;VAR:QUERY=KChGRl9FQklUREEoTFRNLDAsLCxSRixVU0QpQEZGX0VCSVREQShMVE1TX1NFTUksMCwsLFJGLFVTRCkpQEZGX","0VCSVREQShBTk4sMCwsLFJGLFVTRCkp&amp;WINDOW=FIRST_POPUP&amp;HEIGHT=450&amp;WIDTH=450&amp;START_MAXIMIZED=FALSE&amp;VAR:CALENDAR=US&amp;VAR:SYMBOL=COWN&amp;VAR:INDEX=0"}</definedName>
    <definedName name="_890__FDSAUDITLINK__" hidden="1">{"fdsup://directions/FAT Viewer?action=UPDATE&amp;creator=factset&amp;DYN_ARGS=TRUE&amp;DOC_NAME=FAT:FQL_AUDITING_CLIENT_TEMPLATE.FAT&amp;display_string=Audit&amp;VAR:KEY=QPGJQRMVKT&amp;VAR:QUERY=RkZfTkVUX0lOQyhBTk4sLTFGWSwsLCxVU0Qp&amp;WINDOW=FIRST_POPUP&amp;HEIGHT=450&amp;WIDTH=450&amp;START_MA","XIMIZED=FALSE&amp;VAR:CALENDAR=FIVEDAY&amp;VAR:INDEX=0"}</definedName>
    <definedName name="_891__FDSAUDITLINK__" hidden="1">{"fdsup://directions/FAT Viewer?action=UPDATE&amp;creator=factset&amp;DYN_ARGS=TRUE&amp;DOC_NAME=FAT:FQL_AUDITING_CLIENT_TEMPLATE.FAT&amp;display_string=Audit&amp;VAR:KEY=SFUTQRMBOD&amp;VAR:QUERY=RkZfTkVUX0lOQyhBTk4sMCwsLCxVU0Qp&amp;WINDOW=FIRST_POPUP&amp;HEIGHT=450&amp;WIDTH=450&amp;START_MAXIMI","ZED=FALSE&amp;VAR:CALENDAR=FIVEDAY&amp;VAR:INDEX=0"}</definedName>
    <definedName name="_892__FDSAUDITLINK__" hidden="1">{"fdsup://directions/FAT Viewer?action=UPDATE&amp;creator=factset&amp;DYN_ARGS=TRUE&amp;DOC_NAME=FAT:FQL_AUDITING_CLIENT_TEMPLATE.FAT&amp;display_string=Audit&amp;VAR:KEY=CNGBSXYLAB&amp;VAR:QUERY=RkZfRUJJVERBX09QRVIoQU5OLC0yRlksLCwsVVNEKQ==&amp;WINDOW=FIRST_POPUP&amp;HEIGHT=450&amp;WIDTH=450&amp;","START_MAXIMIZED=FALSE&amp;VAR:CALENDAR=FIVEDAY&amp;VAR:INDEX=0"}</definedName>
    <definedName name="_893__FDSAUDITLINK__" hidden="1">{"fdsup://directions/FAT Viewer?action=UPDATE&amp;creator=factset&amp;DYN_ARGS=TRUE&amp;DOC_NAME=FAT:FQL_AUDITING_CLIENT_TEMPLATE.FAT&amp;display_string=Audit&amp;VAR:KEY=YFONKDIRKH&amp;VAR:QUERY=RkZfRUJJVERBX09QRVIoQU5OLC0xRlksLCwsVVNEKQ==&amp;WINDOW=FIRST_POPUP&amp;HEIGHT=450&amp;WIDTH=450&amp;","START_MAXIMIZED=FALSE&amp;VAR:CALENDAR=FIVEDAY&amp;VAR:INDEX=0"}</definedName>
    <definedName name="_894__FDSAUDITLINK__" hidden="1">{"fdsup://directions/FAT Viewer?action=UPDATE&amp;creator=factset&amp;DYN_ARGS=TRUE&amp;DOC_NAME=FAT:FQL_AUDITING_CLIENT_TEMPLATE.FAT&amp;display_string=Audit&amp;VAR:KEY=CNGBSXYLAB&amp;VAR:QUERY=RkZfRUJJVERBX09QRVIoQU5OLC0yRlksLCwsVVNEKQ==&amp;WINDOW=FIRST_POPUP&amp;HEIGHT=450&amp;WIDTH=450&amp;","START_MAXIMIZED=FALSE&amp;VAR:CALENDAR=FIVEDAY&amp;VAR:INDEX=0"}</definedName>
    <definedName name="_895__FDSAUDITLINK__" hidden="1">{"fdsup://directions/FAT Viewer?action=UPDATE&amp;creator=factset&amp;DYN_ARGS=TRUE&amp;DOC_NAME=FAT:FQL_AUDITING_CLIENT_TEMPLATE.FAT&amp;display_string=Audit&amp;VAR:KEY=YFONKDIRKH&amp;VAR:QUERY=RkZfRUJJVERBX09QRVIoQU5OLC0xRlksLCwsVVNEKQ==&amp;WINDOW=FIRST_POPUP&amp;HEIGHT=450&amp;WIDTH=450&amp;","START_MAXIMIZED=FALSE&amp;VAR:CALENDAR=FIVEDAY&amp;VAR:INDEX=0"}</definedName>
    <definedName name="_896__FDSAUDITLINK__" hidden="1">{"fdsup://directions/FAT Viewer?action=UPDATE&amp;creator=factset&amp;DYN_ARGS=TRUE&amp;DOC_NAME=FAT:FQL_AUDITING_CLIENT_TEMPLATE.FAT&amp;display_string=Audit&amp;VAR:KEY=UXYLQJWZGR&amp;VAR:QUERY=RkZfRUJJVERBX09QRVIoQU5OLDAsLCwsVVNEKQ==&amp;WINDOW=FIRST_POPUP&amp;HEIGHT=450&amp;WIDTH=450&amp;STAR","T_MAXIMIZED=FALSE&amp;VAR:CALENDAR=FIVEDAY&amp;VAR:INDEX=0"}</definedName>
    <definedName name="_897__FDSAUDITLINK__" hidden="1">{"fdsup://directions/FAT Viewer?action=UPDATE&amp;creator=factset&amp;DYN_ARGS=TRUE&amp;DOC_NAME=FAT:FQL_AUDITING_CLIENT_TEMPLATE.FAT&amp;display_string=Audit&amp;VAR:KEY=QZWHUBMDQN&amp;VAR:QUERY=RkZfTkVUX0lOQyhBTk4sLTJGWSwsLCxVU0Qp&amp;WINDOW=FIRST_POPUP&amp;HEIGHT=450&amp;WIDTH=450&amp;START_MA","XIMIZED=FALSE&amp;VAR:CALENDAR=FIVEDAY&amp;VAR:INDEX=0"}</definedName>
    <definedName name="_898__FDSAUDITLINK__" hidden="1">{"fdsup://directions/FAT Viewer?action=UPDATE&amp;creator=factset&amp;DYN_ARGS=TRUE&amp;DOC_NAME=FAT:FQL_AUDITING_CLIENT_TEMPLATE.FAT&amp;display_string=Audit&amp;VAR:KEY=QPGJQRMVKT&amp;VAR:QUERY=RkZfTkVUX0lOQyhBTk4sLTFGWSwsLCxVU0Qp&amp;WINDOW=FIRST_POPUP&amp;HEIGHT=450&amp;WIDTH=450&amp;START_MA","XIMIZED=FALSE&amp;VAR:CALENDAR=FIVEDAY&amp;VAR:INDEX=0"}</definedName>
    <definedName name="_899__FDSAUDITLINK__" hidden="1">{"fdsup://directions/FAT Viewer?action=UPDATE&amp;creator=factset&amp;DYN_ARGS=TRUE&amp;DOC_NAME=FAT:FQL_AUDITING_CLIENT_TEMPLATE.FAT&amp;display_string=Audit&amp;VAR:KEY=SFUTQRMBOD&amp;VAR:QUERY=RkZfTkVUX0lOQyhBTk4sMCwsLCxVU0Qp&amp;WINDOW=FIRST_POPUP&amp;HEIGHT=450&amp;WIDTH=450&amp;START_MAXIMI","ZED=FALSE&amp;VAR:CALENDAR=FIVEDAY&amp;VAR:INDEX=0"}</definedName>
    <definedName name="_9__123Graph_ACHART_3" hidden="1">#REF!</definedName>
    <definedName name="_9__123Graph_AChart_4" hidden="1">#REF!</definedName>
    <definedName name="_9__123Graph_B_FABP_L.WK1_FAB" hidden="1">#REF!</definedName>
    <definedName name="_9__123Graph_XChart_4" hidden="1">#REF!</definedName>
    <definedName name="_9__FDSAUDITLINK__" hidden="1">{"fdsup://Directions/FactSet Auditing Viewer?action=AUDIT_VALUE&amp;DB=129&amp;ID1=60456710&amp;VALUEID=07011&amp;SDATE=2011&amp;PERIODTYPE=ANN_STD&amp;SCFT=3&amp;window=popup_no_bar&amp;width=385&amp;height=120&amp;START_MAXIMIZED=FALSE&amp;creator=factset&amp;display_string=Audit"}</definedName>
    <definedName name="_9__FDSAUDITLINK___1" hidden="1">{"fdsup://IBCentral/FAT Viewer?action=UPDATE&amp;creator=factset&amp;DOC_NAME=fat:reuters_annual_shs_src_window.fat&amp;display_string=Audit&amp;DYN_ARGS=TRUE&amp;VAR:ID1=87424N10&amp;VAR:RCODE=FDSSHSOUTDEPS&amp;VAR:SDATE=20071299&amp;VAR:FREQ=Y&amp;VAR:RELITEM=RF&amp;VAR:CURRENCY=&amp;VAR:CURRSOURCE","=EXSHARE&amp;VAR:NATFREQ=ANNUAL&amp;VAR:RFIELD=FINALIZED&amp;VAR:DB_TYPE=&amp;VAR:UNITS=MONTHLY&amp;window=popup&amp;width=450&amp;height=300&amp;START_MAXIMIZED=FALSE"}</definedName>
    <definedName name="_9_0_Table2_" hidden="1">#REF!</definedName>
    <definedName name="_90__FDSAUDITLINK__" hidden="1">{"fdsup://Directions/FactSet Auditing Viewer?action=AUDIT_VALUE&amp;DB=129&amp;ID1=22362210&amp;VALUEID=01001&amp;SDATE=2009&amp;PERIODTYPE=ANN_STD&amp;window=popup_no_bar&amp;width=385&amp;height=120&amp;START_MAXIMIZED=FALSE&amp;creator=factset&amp;display_string=Audit"}</definedName>
    <definedName name="_900__FDSAUDITLINK__" hidden="1">{"fdsup://directions/FAT Viewer?action=UPDATE&amp;creator=factset&amp;DYN_ARGS=TRUE&amp;DOC_NAME=FAT:FQL_AUDITING_CLIENT_TEMPLATE.FAT&amp;display_string=Audit&amp;VAR:KEY=QPGJQRMVKT&amp;VAR:QUERY=RkZfTkVUX0lOQyhBTk4sLTFGWSwsLCxVU0Qp&amp;WINDOW=FIRST_POPUP&amp;HEIGHT=450&amp;WIDTH=450&amp;START_MA","XIMIZED=FALSE&amp;VAR:CALENDAR=FIVEDAY&amp;VAR:INDEX=0"}</definedName>
    <definedName name="_901__FDSAUDITLINK__" hidden="1">{"fdsup://directions/FAT Viewer?action=UPDATE&amp;creator=factset&amp;DYN_ARGS=TRUE&amp;DOC_NAME=FAT:FQL_AUDITING_CLIENT_TEMPLATE.FAT&amp;display_string=Audit&amp;VAR:KEY=SFUTQRMBOD&amp;VAR:QUERY=RkZfTkVUX0lOQyhBTk4sMCwsLCxVU0Qp&amp;WINDOW=FIRST_POPUP&amp;HEIGHT=450&amp;WIDTH=450&amp;START_MAXIMI","ZED=FALSE&amp;VAR:CALENDAR=FIVEDAY&amp;VAR:INDEX=0"}</definedName>
    <definedName name="_902__FDSAUDITLINK__" hidden="1">{"fdsup://directions/FAT Viewer?action=UPDATE&amp;creator=factset&amp;DYN_ARGS=TRUE&amp;DOC_NAME=FAT:FQL_AUDITING_CLIENT_TEMPLATE.FAT&amp;display_string=Audit&amp;VAR:KEY=CNGBSXYLAB&amp;VAR:QUERY=RkZfRUJJVERBX09QRVIoQU5OLC0yRlksLCwsVVNEKQ==&amp;WINDOW=FIRST_POPUP&amp;HEIGHT=450&amp;WIDTH=450&amp;","START_MAXIMIZED=FALSE&amp;VAR:CALENDAR=FIVEDAY&amp;VAR:INDEX=0"}</definedName>
    <definedName name="_903__FDSAUDITLINK__" hidden="1">{"fdsup://directions/FAT Viewer?action=UPDATE&amp;creator=factset&amp;DYN_ARGS=TRUE&amp;DOC_NAME=FAT:FQL_AUDITING_CLIENT_TEMPLATE.FAT&amp;display_string=Audit&amp;VAR:KEY=YFONKDIRKH&amp;VAR:QUERY=RkZfRUJJVERBX09QRVIoQU5OLC0xRlksLCwsVVNEKQ==&amp;WINDOW=FIRST_POPUP&amp;HEIGHT=450&amp;WIDTH=450&amp;","START_MAXIMIZED=FALSE&amp;VAR:CALENDAR=FIVEDAY&amp;VAR:INDEX=0"}</definedName>
    <definedName name="_904__FDSAUDITLINK__" hidden="1">{"fdsup://directions/FAT Viewer?action=UPDATE&amp;creator=factset&amp;DYN_ARGS=TRUE&amp;DOC_NAME=FAT:FQL_AUDITING_CLIENT_TEMPLATE.FAT&amp;display_string=Audit&amp;VAR:KEY=UXYLQJWZGR&amp;VAR:QUERY=RkZfRUJJVERBX09QRVIoQU5OLDAsLCwsVVNEKQ==&amp;WINDOW=FIRST_POPUP&amp;HEIGHT=450&amp;WIDTH=450&amp;STAR","T_MAXIMIZED=FALSE&amp;VAR:CALENDAR=FIVEDAY&amp;VAR:INDEX=0"}</definedName>
    <definedName name="_905__FDSAUDITLINK__" hidden="1">{"fdsup://directions/FAT Viewer?action=UPDATE&amp;creator=factset&amp;DYN_ARGS=TRUE&amp;DOC_NAME=FAT:FQL_AUDITING_CLIENT_TEMPLATE.FAT&amp;display_string=Audit&amp;VAR:KEY=QZWHUBMDQN&amp;VAR:QUERY=RkZfTkVUX0lOQyhBTk4sLTJGWSwsLCxVU0Qp&amp;WINDOW=FIRST_POPUP&amp;HEIGHT=450&amp;WIDTH=450&amp;START_MA","XIMIZED=FALSE&amp;VAR:CALENDAR=FIVEDAY&amp;VAR:INDEX=0"}</definedName>
    <definedName name="_906__FDSAUDITLINK__" hidden="1">{"fdsup://directions/FAT Viewer?action=UPDATE&amp;creator=factset&amp;DYN_ARGS=TRUE&amp;DOC_NAME=FAT:FQL_AUDITING_CLIENT_TEMPLATE.FAT&amp;display_string=Audit&amp;VAR:KEY=UXYLQJWZGR&amp;VAR:QUERY=RkZfRUJJVERBX09QRVIoQU5OLDAsLCwsVVNEKQ==&amp;WINDOW=FIRST_POPUP&amp;HEIGHT=450&amp;WIDTH=450&amp;STAR","T_MAXIMIZED=FALSE&amp;VAR:CALENDAR=FIVEDAY&amp;VAR:INDEX=0"}</definedName>
    <definedName name="_907__FDSAUDITLINK__" hidden="1">{"fdsup://directions/FAT Viewer?action=UPDATE&amp;creator=factset&amp;DYN_ARGS=TRUE&amp;DOC_NAME=FAT:FQL_AUDITING_CLIENT_TEMPLATE.FAT&amp;display_string=Audit&amp;VAR:KEY=QPGJQRMVKT&amp;VAR:QUERY=RkZfTkVUX0lOQyhBTk4sLTFGWSwsLCxVU0Qp&amp;WINDOW=FIRST_POPUP&amp;HEIGHT=450&amp;WIDTH=450&amp;START_MA","XIMIZED=FALSE&amp;VAR:CALENDAR=FIVEDAY&amp;VAR:INDEX=0"}</definedName>
    <definedName name="_908__FDSAUDITLINK__" hidden="1">{"fdsup://directions/FAT Viewer?action=UPDATE&amp;creator=factset&amp;DYN_ARGS=TRUE&amp;DOC_NAME=FAT:FQL_AUDITING_CLIENT_TEMPLATE.FAT&amp;display_string=Audit&amp;VAR:KEY=SFUTQRMBOD&amp;VAR:QUERY=RkZfTkVUX0lOQyhBTk4sMCwsLCxVU0Qp&amp;WINDOW=FIRST_POPUP&amp;HEIGHT=450&amp;WIDTH=450&amp;START_MAXIMI","ZED=FALSE&amp;VAR:CALENDAR=FIVEDAY&amp;VAR:INDEX=0"}</definedName>
    <definedName name="_909__FDSAUDITLINK__" hidden="1">{"fdsup://directions/FAT Viewer?action=UPDATE&amp;creator=factset&amp;DYN_ARGS=TRUE&amp;DOC_NAME=FAT:FQL_AUDITING_CLIENT_TEMPLATE.FAT&amp;display_string=Audit&amp;VAR:KEY=CNGBSXYLAB&amp;VAR:QUERY=RkZfRUJJVERBX09QRVIoQU5OLC0yRlksLCwsVVNEKQ==&amp;WINDOW=FIRST_POPUP&amp;HEIGHT=450&amp;WIDTH=450&amp;","START_MAXIMIZED=FALSE&amp;VAR:CALENDAR=FIVEDAY&amp;VAR:INDEX=0"}</definedName>
    <definedName name="_91__FDSAUDITLINK__" hidden="1">{"fdsup://Directions/FactSet Auditing Viewer?action=AUDIT_VALUE&amp;DB=129&amp;ID1=22362210&amp;VALUEID=01001&amp;SDATE=2009&amp;PERIODTYPE=ANN_STD&amp;window=popup_no_bar&amp;width=385&amp;height=120&amp;START_MAXIMIZED=FALSE&amp;creator=factset&amp;display_string=Audit"}</definedName>
    <definedName name="_910__FDSAUDITLINK__" hidden="1">{"fdsup://directions/FAT Viewer?action=UPDATE&amp;creator=factset&amp;DYN_ARGS=TRUE&amp;DOC_NAME=FAT:FQL_AUDITING_CLIENT_TEMPLATE.FAT&amp;display_string=Audit&amp;VAR:KEY=YFONKDIRKH&amp;VAR:QUERY=RkZfRUJJVERBX09QRVIoQU5OLC0xRlksLCwsVVNEKQ==&amp;WINDOW=FIRST_POPUP&amp;HEIGHT=450&amp;WIDTH=450&amp;","START_MAXIMIZED=FALSE&amp;VAR:CALENDAR=FIVEDAY&amp;VAR:INDEX=0"}</definedName>
    <definedName name="_911__FDSAUDITLINK__" hidden="1">{"fdsup://directions/FAT Viewer?action=UPDATE&amp;creator=factset&amp;DYN_ARGS=TRUE&amp;DOC_NAME=FAT:FQL_AUDITING_CLIENT_TEMPLATE.FAT&amp;display_string=Audit&amp;VAR:KEY=UXYLQJWZGR&amp;VAR:QUERY=RkZfRUJJVERBX09QRVIoQU5OLDAsLCwsVVNEKQ==&amp;WINDOW=FIRST_POPUP&amp;HEIGHT=450&amp;WIDTH=450&amp;STAR","T_MAXIMIZED=FALSE&amp;VAR:CALENDAR=FIVEDAY&amp;VAR:INDEX=0"}</definedName>
    <definedName name="_912__FDSAUDITLINK__" hidden="1">{"fdsup://directions/FAT Viewer?action=UPDATE&amp;creator=factset&amp;DYN_ARGS=TRUE&amp;DOC_NAME=FAT:FQL_AUDITING_CLIENT_TEMPLATE.FAT&amp;display_string=Audit&amp;VAR:KEY=UXYLQJWZGR&amp;VAR:QUERY=RkZfRUJJVERBX09QRVIoQU5OLDAsLCwsVVNEKQ==&amp;WINDOW=FIRST_POPUP&amp;HEIGHT=450&amp;WIDTH=450&amp;STAR","T_MAXIMIZED=FALSE&amp;VAR:CALENDAR=FIVEDAY&amp;VAR:INDEX=0"}</definedName>
    <definedName name="_913__FDSAUDITLINK__" hidden="1">{"fdsup://directions/FAT Viewer?action=UPDATE&amp;creator=factset&amp;DYN_ARGS=TRUE&amp;DOC_NAME=FAT:FQL_AUDITING_CLIENT_TEMPLATE.FAT&amp;display_string=Audit&amp;VAR:KEY=QZWHUBMDQN&amp;VAR:QUERY=RkZfTkVUX0lOQyhBTk4sLTJGWSwsLCxVU0Qp&amp;WINDOW=FIRST_POPUP&amp;HEIGHT=450&amp;WIDTH=450&amp;START_MA","XIMIZED=FALSE&amp;VAR:CALENDAR=FIVEDAY&amp;VAR:INDEX=0"}</definedName>
    <definedName name="_914__FDSAUDITLINK__" hidden="1">{"fdsup://directions/FAT Viewer?action=UPDATE&amp;creator=factset&amp;DYN_ARGS=TRUE&amp;DOC_NAME=FAT:FQL_AUDITING_CLIENT_TEMPLATE.FAT&amp;display_string=Audit&amp;VAR:KEY=QPGJQRMVKT&amp;VAR:QUERY=RkZfTkVUX0lOQyhBTk4sLTFGWSwsLCxVU0Qp&amp;WINDOW=FIRST_POPUP&amp;HEIGHT=450&amp;WIDTH=450&amp;START_MA","XIMIZED=FALSE&amp;VAR:CALENDAR=FIVEDAY&amp;VAR:INDEX=0"}</definedName>
    <definedName name="_915__FDSAUDITLINK__" hidden="1">{"fdsup://directions/FAT Viewer?action=UPDATE&amp;creator=factset&amp;DYN_ARGS=TRUE&amp;DOC_NAME=FAT:FQL_AUDITING_CLIENT_TEMPLATE.FAT&amp;display_string=Audit&amp;VAR:KEY=SFUTQRMBOD&amp;VAR:QUERY=RkZfTkVUX0lOQyhBTk4sMCwsLCxVU0Qp&amp;WINDOW=FIRST_POPUP&amp;HEIGHT=450&amp;WIDTH=450&amp;START_MAXIMI","ZED=FALSE&amp;VAR:CALENDAR=FIVEDAY&amp;VAR:INDEX=0"}</definedName>
    <definedName name="_916__FDSAUDITLINK__" hidden="1">{"fdsup://directions/FAT Viewer?action=UPDATE&amp;creator=factset&amp;DYN_ARGS=TRUE&amp;DOC_NAME=FAT:FQL_AUDITING_CLIENT_TEMPLATE.FAT&amp;display_string=Audit&amp;VAR:KEY=CNGBSXYLAB&amp;VAR:QUERY=RkZfRUJJVERBX09QRVIoQU5OLC0yRlksLCwsVVNEKQ==&amp;WINDOW=FIRST_POPUP&amp;HEIGHT=450&amp;WIDTH=450&amp;","START_MAXIMIZED=FALSE&amp;VAR:CALENDAR=FIVEDAY&amp;VAR:INDEX=0"}</definedName>
    <definedName name="_917__FDSAUDITLINK__" hidden="1">{"fdsup://directions/FAT Viewer?action=UPDATE&amp;creator=factset&amp;DYN_ARGS=TRUE&amp;DOC_NAME=FAT:FQL_AUDITING_CLIENT_TEMPLATE.FAT&amp;display_string=Audit&amp;VAR:KEY=YFONKDIRKH&amp;VAR:QUERY=RkZfRUJJVERBX09QRVIoQU5OLC0xRlksLCwsVVNEKQ==&amp;WINDOW=FIRST_POPUP&amp;HEIGHT=450&amp;WIDTH=450&amp;","START_MAXIMIZED=FALSE&amp;VAR:CALENDAR=FIVEDAY&amp;VAR:INDEX=0"}</definedName>
    <definedName name="_918__FDSAUDITLINK__" hidden="1">{"fdsup://directions/FAT Viewer?action=UPDATE&amp;creator=factset&amp;DYN_ARGS=TRUE&amp;DOC_NAME=FAT:FQL_AUDITING_CLIENT_TEMPLATE.FAT&amp;display_string=Audit&amp;VAR:KEY=YFONKDIRKH&amp;VAR:QUERY=RkZfRUJJVERBX09QRVIoQU5OLC0xRlksLCwsVVNEKQ==&amp;WINDOW=FIRST_POPUP&amp;HEIGHT=450&amp;WIDTH=450&amp;","START_MAXIMIZED=FALSE&amp;VAR:CALENDAR=FIVEDAY&amp;VAR:INDEX=0"}</definedName>
    <definedName name="_919__FDSAUDITLINK__" hidden="1">{"fdsup://directions/FAT Viewer?action=UPDATE&amp;creator=factset&amp;DYN_ARGS=TRUE&amp;DOC_NAME=FAT:FQL_AUDITING_CLIENT_TEMPLATE.FAT&amp;display_string=Audit&amp;VAR:KEY=UXYLQJWZGR&amp;VAR:QUERY=RkZfRUJJVERBX09QRVIoQU5OLDAsLCwsVVNEKQ==&amp;WINDOW=FIRST_POPUP&amp;HEIGHT=450&amp;WIDTH=450&amp;STAR","T_MAXIMIZED=FALSE&amp;VAR:CALENDAR=FIVEDAY&amp;VAR:INDEX=0"}</definedName>
    <definedName name="_92__FDSAUDITLINK__" hidden="1">{"fdsup://Directions/FactSet Auditing Viewer?action=AUDIT_VALUE&amp;DB=129&amp;ID1=22362210&amp;VALUEID=01001&amp;SDATE=200904&amp;PERIODTYPE=QTR_STD&amp;window=popup_no_bar&amp;width=385&amp;height=120&amp;START_MAXIMIZED=FALSE&amp;creator=factset&amp;display_string=Audit"}</definedName>
    <definedName name="_920__FDSAUDITLINK__" hidden="1">{"fdsup://directions/FAT Viewer?action=UPDATE&amp;creator=factset&amp;DYN_ARGS=TRUE&amp;DOC_NAME=FAT:FQL_AUDITING_CLIENT_TEMPLATE.FAT&amp;display_string=Audit&amp;VAR:KEY=QZWHUBMDQN&amp;VAR:QUERY=RkZfTkVUX0lOQyhBTk4sLTJGWSwsLCxVU0Qp&amp;WINDOW=FIRST_POPUP&amp;HEIGHT=450&amp;WIDTH=450&amp;START_MA","XIMIZED=FALSE&amp;VAR:CALENDAR=FIVEDAY&amp;VAR:INDEX=0"}</definedName>
    <definedName name="_921__FDSAUDITLINK__" hidden="1">{"fdsup://directions/FAT Viewer?action=UPDATE&amp;creator=factset&amp;DYN_ARGS=TRUE&amp;DOC_NAME=FAT:FQL_AUDITING_CLIENT_TEMPLATE.FAT&amp;display_string=Audit&amp;VAR:KEY=QPGJQRMVKT&amp;VAR:QUERY=RkZfTkVUX0lOQyhBTk4sLTFGWSwsLCxVU0Qp&amp;WINDOW=FIRST_POPUP&amp;HEIGHT=450&amp;WIDTH=450&amp;START_MA","XIMIZED=FALSE&amp;VAR:CALENDAR=FIVEDAY&amp;VAR:INDEX=0"}</definedName>
    <definedName name="_922__FDSAUDITLINK__" hidden="1">{"fdsup://directions/FAT Viewer?action=UPDATE&amp;creator=factset&amp;DYN_ARGS=TRUE&amp;DOC_NAME=FAT:FQL_AUDITING_CLIENT_TEMPLATE.FAT&amp;display_string=Audit&amp;VAR:KEY=SFUTQRMBOD&amp;VAR:QUERY=RkZfTkVUX0lOQyhBTk4sMCwsLCxVU0Qp&amp;WINDOW=FIRST_POPUP&amp;HEIGHT=450&amp;WIDTH=450&amp;START_MAXIMI","ZED=FALSE&amp;VAR:CALENDAR=FIVEDAY&amp;VAR:INDEX=0"}</definedName>
    <definedName name="_923__FDSAUDITLINK__" hidden="1">{"fdsup://directions/FAT Viewer?action=UPDATE&amp;creator=factset&amp;DYN_ARGS=TRUE&amp;DOC_NAME=FAT:FQL_AUDITING_CLIENT_TEMPLATE.FAT&amp;display_string=Audit&amp;VAR:KEY=CNGBSXYLAB&amp;VAR:QUERY=RkZfRUJJVERBX09QRVIoQU5OLC0yRlksLCwsVVNEKQ==&amp;WINDOW=FIRST_POPUP&amp;HEIGHT=450&amp;WIDTH=450&amp;","START_MAXIMIZED=FALSE&amp;VAR:CALENDAR=FIVEDAY&amp;VAR:INDEX=0"}</definedName>
    <definedName name="_924__FDSAUDITLINK__" hidden="1">{"fdsup://directions/FAT Viewer?action=UPDATE&amp;creator=factset&amp;DYN_ARGS=TRUE&amp;DOC_NAME=FAT:FQL_AUDITING_CLIENT_TEMPLATE.FAT&amp;display_string=Audit&amp;VAR:KEY=SFUTQRMBOD&amp;VAR:QUERY=RkZfTkVUX0lOQyhBTk4sMCwsLCxVU0Qp&amp;WINDOW=FIRST_POPUP&amp;HEIGHT=450&amp;WIDTH=450&amp;START_MAXIMI","ZED=FALSE&amp;VAR:CALENDAR=FIVEDAY&amp;VAR:INDEX=0"}</definedName>
    <definedName name="_925__FDSAUDITLINK__" hidden="1">{"fdsup://directions/FAT Viewer?action=UPDATE&amp;creator=factset&amp;DYN_ARGS=TRUE&amp;DOC_NAME=FAT:FQL_AUDITING_CLIENT_TEMPLATE.FAT&amp;display_string=Audit&amp;VAR:KEY=CNGBSXYLAB&amp;VAR:QUERY=RkZfRUJJVERBX09QRVIoQU5OLC0yRlksLCwsVVNEKQ==&amp;WINDOW=FIRST_POPUP&amp;HEIGHT=450&amp;WIDTH=450&amp;","START_MAXIMIZED=FALSE&amp;VAR:CALENDAR=FIVEDAY&amp;VAR:INDEX=0"}</definedName>
    <definedName name="_926__FDSAUDITLINK__" hidden="1">{"fdsup://directions/FAT Viewer?action=UPDATE&amp;creator=factset&amp;DYN_ARGS=TRUE&amp;DOC_NAME=FAT:FQL_AUDITING_CLIENT_TEMPLATE.FAT&amp;display_string=Audit&amp;VAR:KEY=YFONKDIRKH&amp;VAR:QUERY=RkZfRUJJVERBX09QRVIoQU5OLC0xRlksLCwsVVNEKQ==&amp;WINDOW=FIRST_POPUP&amp;HEIGHT=450&amp;WIDTH=450&amp;","START_MAXIMIZED=FALSE&amp;VAR:CALENDAR=FIVEDAY&amp;VAR:INDEX=0"}</definedName>
    <definedName name="_927__FDSAUDITLINK__" hidden="1">{"fdsup://directions/FAT Viewer?action=UPDATE&amp;creator=factset&amp;DYN_ARGS=TRUE&amp;DOC_NAME=FAT:FQL_AUDITING_CLIENT_TEMPLATE.FAT&amp;display_string=Audit&amp;VAR:KEY=UXYLQJWZGR&amp;VAR:QUERY=RkZfRUJJVERBX09QRVIoQU5OLDAsLCwsVVNEKQ==&amp;WINDOW=FIRST_POPUP&amp;HEIGHT=450&amp;WIDTH=450&amp;STAR","T_MAXIMIZED=FALSE&amp;VAR:CALENDAR=FIVEDAY&amp;VAR:INDEX=0"}</definedName>
    <definedName name="_928__FDSAUDITLINK__" hidden="1">{"fdsup://directions/FAT Viewer?action=UPDATE&amp;creator=factset&amp;DYN_ARGS=TRUE&amp;DOC_NAME=FAT:FQL_AUDITING_CLIENT_TEMPLATE.FAT&amp;display_string=Audit&amp;VAR:KEY=QLMRCPQLQB&amp;VAR:QUERY=RkZfRU5UUlBSX1ZBTF9EQUlMWSgwLCwsLFVTRCwnRElMJyk=&amp;WINDOW=FIRST_POPUP&amp;HEIGHT=450&amp;WIDTH=","450&amp;START_MAXIMIZED=FALSE&amp;VAR:CALENDAR=FIVEDAY&amp;VAR:INDEX=0"}</definedName>
    <definedName name="_929__FDSAUDITLINK__" hidden="1">{"fdsup://directions/FAT Viewer?action=UPDATE&amp;creator=factset&amp;DYN_ARGS=TRUE&amp;DOC_NAME=FAT:FQL_AUDITING_CLIENT_TEMPLATE.FAT&amp;display_string=Audit&amp;VAR:KEY=MNMXCDKLSH&amp;VAR:QUERY=RkZfREVCVChBTk4sMCwsLCxVU0Qp&amp;WINDOW=FIRST_POPUP&amp;HEIGHT=450&amp;WIDTH=450&amp;START_MAXIMIZED=","FALSE&amp;VAR:CALENDAR=FIVEDAY&amp;VAR:INDEX=0"}</definedName>
    <definedName name="_93__FDSAUDITLINK__" hidden="1">{"fdsup://directions/FAT Viewer?action=UPDATE&amp;creator=factset&amp;DYN_ARGS=TRUE&amp;DOC_NAME=FAT:FQL_AUDITING_CLIENT_TEMPLATE.FAT&amp;display_string=Audit&amp;VAR:KEY=WJABELWZQR&amp;VAR:QUERY=KChGRl9ORVRfSU5DKExUTSwwLCwsUkYsVVNEKUBGRl9ORVRfSU5DKExUTVNfU0VNSSwwLCwsUkYsVVNEKSlAR","kZfTkVUX0lOQyhBTk4sMCwsLFJGLFVTRCkp&amp;WINDOW=FIRST_POPUP&amp;HEIGHT=450&amp;WIDTH=450&amp;START_MAXIMIZED=FALSE&amp;VAR:CALENDAR=US&amp;VAR:SYMBOL=EVR&amp;VAR:INDEX=0"}</definedName>
    <definedName name="_930__FDSAUDITLINK__" hidden="1">{"fdsup://directions/FAT Viewer?action=UPDATE&amp;creator=factset&amp;DYN_ARGS=TRUE&amp;DOC_NAME=FAT:FQL_AUDITING_CLIENT_TEMPLATE.FAT&amp;display_string=Audit&amp;VAR:KEY=CNGBSXYLAB&amp;VAR:QUERY=RkZfRUJJVERBX09QRVIoQU5OLC0yRlksLCwsVVNEKQ==&amp;WINDOW=FIRST_POPUP&amp;HEIGHT=450&amp;WIDTH=450&amp;","START_MAXIMIZED=FALSE&amp;VAR:CALENDAR=FIVEDAY&amp;VAR:INDEX=0"}</definedName>
    <definedName name="_931__FDSAUDITLINK__" hidden="1">{"fdsup://directions/FAT Viewer?action=UPDATE&amp;creator=factset&amp;DYN_ARGS=TRUE&amp;DOC_NAME=FAT:FQL_AUDITING_CLIENT_TEMPLATE.FAT&amp;display_string=Audit&amp;VAR:KEY=YFONKDIRKH&amp;VAR:QUERY=RkZfRUJJVERBX09QRVIoQU5OLC0xRlksLCwsVVNEKQ==&amp;WINDOW=FIRST_POPUP&amp;HEIGHT=450&amp;WIDTH=450&amp;","START_MAXIMIZED=FALSE&amp;VAR:CALENDAR=FIVEDAY&amp;VAR:INDEX=0"}</definedName>
    <definedName name="_932__FDSAUDITLINK__" hidden="1">{"fdsup://directions/FAT Viewer?action=UPDATE&amp;creator=factset&amp;DYN_ARGS=TRUE&amp;DOC_NAME=FAT:FQL_AUDITING_CLIENT_TEMPLATE.FAT&amp;display_string=Audit&amp;VAR:KEY=UXYLQJWZGR&amp;VAR:QUERY=RkZfRUJJVERBX09QRVIoQU5OLDAsLCwsVVNEKQ==&amp;WINDOW=FIRST_POPUP&amp;HEIGHT=450&amp;WIDTH=450&amp;STAR","T_MAXIMIZED=FALSE&amp;VAR:CALENDAR=FIVEDAY&amp;VAR:INDEX=0"}</definedName>
    <definedName name="_933__FDSAUDITLINK__" hidden="1">{"fdsup://directions/FAT Viewer?action=UPDATE&amp;creator=factset&amp;DYN_ARGS=TRUE&amp;DOC_NAME=FAT:FQL_AUDITING_CLIENT_TEMPLATE.FAT&amp;display_string=Audit&amp;VAR:KEY=QLMRCPQLQB&amp;VAR:QUERY=RkZfRU5UUlBSX1ZBTF9EQUlMWSgwLCwsLFVTRCwnRElMJyk=&amp;WINDOW=FIRST_POPUP&amp;HEIGHT=450&amp;WIDTH=","450&amp;START_MAXIMIZED=FALSE&amp;VAR:CALENDAR=FIVEDAY&amp;VAR:INDEX=0"}</definedName>
    <definedName name="_934__FDSAUDITLINK__" hidden="1">{"fdsup://directions/FAT Viewer?action=UPDATE&amp;creator=factset&amp;DYN_ARGS=TRUE&amp;DOC_NAME=FAT:FQL_AUDITING_CLIENT_TEMPLATE.FAT&amp;display_string=Audit&amp;VAR:KEY=MNMXCDKLSH&amp;VAR:QUERY=RkZfREVCVChBTk4sMCwsLCxVU0Qp&amp;WINDOW=FIRST_POPUP&amp;HEIGHT=450&amp;WIDTH=450&amp;START_MAXIMIZED=","FALSE&amp;VAR:CALENDAR=FIVEDAY&amp;VAR:INDEX=0"}</definedName>
    <definedName name="_935__FDSAUDITLINK__" hidden="1">{"fdsup://directions/FAT Viewer?action=UPDATE&amp;creator=factset&amp;DYN_ARGS=TRUE&amp;DOC_NAME=FAT:FQL_AUDITING_CLIENT_TEMPLATE.FAT&amp;display_string=Audit&amp;VAR:KEY=QZWHUBMDQN&amp;VAR:QUERY=RkZfTkVUX0lOQyhBTk4sLTJGWSwsLCxVU0Qp&amp;WINDOW=FIRST_POPUP&amp;HEIGHT=450&amp;WIDTH=450&amp;START_MA","XIMIZED=FALSE&amp;VAR:CALENDAR=FIVEDAY&amp;VAR:INDEX=0"}</definedName>
    <definedName name="_936__FDSAUDITLINK__" hidden="1">{"fdsup://directions/FAT Viewer?action=UPDATE&amp;creator=factset&amp;DYN_ARGS=TRUE&amp;DOC_NAME=FAT:FQL_AUDITING_CLIENT_TEMPLATE.FAT&amp;display_string=Audit&amp;VAR:KEY=YFONKDIRKH&amp;VAR:QUERY=RkZfRUJJVERBX09QRVIoQU5OLC0xRlksLCwsVVNEKQ==&amp;WINDOW=FIRST_POPUP&amp;HEIGHT=450&amp;WIDTH=450&amp;","START_MAXIMIZED=FALSE&amp;VAR:CALENDAR=FIVEDAY&amp;VAR:INDEX=0"}</definedName>
    <definedName name="_937__FDSAUDITLINK__" hidden="1">{"fdsup://directions/FAT Viewer?action=UPDATE&amp;creator=factset&amp;DYN_ARGS=TRUE&amp;DOC_NAME=FAT:FQL_AUDITING_CLIENT_TEMPLATE.FAT&amp;display_string=Audit&amp;VAR:KEY=UXYLQJWZGR&amp;VAR:QUERY=RkZfRUJJVERBX09QRVIoQU5OLDAsLCwsVVNEKQ==&amp;WINDOW=FIRST_POPUP&amp;HEIGHT=450&amp;WIDTH=450&amp;STAR","T_MAXIMIZED=FALSE&amp;VAR:CALENDAR=FIVEDAY&amp;VAR:INDEX=0"}</definedName>
    <definedName name="_938__FDSAUDITLINK__" hidden="1">{"fdsup://directions/FAT Viewer?action=UPDATE&amp;creator=factset&amp;DYN_ARGS=TRUE&amp;DOC_NAME=FAT:FQL_AUDITING_CLIENT_TEMPLATE.FAT&amp;display_string=Audit&amp;VAR:KEY=QLMRCPQLQB&amp;VAR:QUERY=RkZfRU5UUlBSX1ZBTF9EQUlMWSgwLCwsLFVTRCwnRElMJyk=&amp;WINDOW=FIRST_POPUP&amp;HEIGHT=450&amp;WIDTH=","450&amp;START_MAXIMIZED=FALSE&amp;VAR:CALENDAR=FIVEDAY&amp;VAR:INDEX=0"}</definedName>
    <definedName name="_939__FDSAUDITLINK__" hidden="1">{"fdsup://directions/FAT Viewer?action=UPDATE&amp;creator=factset&amp;DYN_ARGS=TRUE&amp;DOC_NAME=FAT:FQL_AUDITING_CLIENT_TEMPLATE.FAT&amp;display_string=Audit&amp;VAR:KEY=MNMXCDKLSH&amp;VAR:QUERY=RkZfREVCVChBTk4sMCwsLCxVU0Qp&amp;WINDOW=FIRST_POPUP&amp;HEIGHT=450&amp;WIDTH=450&amp;START_MAXIMIZED=","FALSE&amp;VAR:CALENDAR=FIVEDAY&amp;VAR:INDEX=0"}</definedName>
    <definedName name="_94__FDSAUDITLINK__" hidden="1">{"fdsup://directions/FAT Viewer?action=UPDATE&amp;creator=factset&amp;DYN_ARGS=TRUE&amp;DOC_NAME=FAT:FQL_AUDITING_CLIENT_TEMPLATE.FAT&amp;display_string=Audit&amp;VAR:KEY=GLEHSPOFWT&amp;VAR:QUERY=KChGRl9FQklUKExUTSwwLCwsUkYsVVNEKUBGRl9FQklUKExUTVNfU0VNSSwwLCwsUkYsVVNEKSlARkZfRUJJV","ChBTk4sMCwsLFJGLFVTRCkp&amp;WINDOW=FIRST_POPUP&amp;HEIGHT=450&amp;WIDTH=450&amp;START_MAXIMIZED=FALSE&amp;VAR:CALENDAR=US&amp;VAR:SYMBOL=EVR&amp;VAR:INDEX=0"}</definedName>
    <definedName name="_940__FDSAUDITLINK__" hidden="1">{"fdsup://directions/FAT Viewer?action=UPDATE&amp;creator=factset&amp;DYN_ARGS=TRUE&amp;DOC_NAME=FAT:FQL_AUDITING_CLIENT_TEMPLATE.FAT&amp;display_string=Audit&amp;VAR:KEY=QZWHUBMDQN&amp;VAR:QUERY=RkZfTkVUX0lOQyhBTk4sLTJGWSwsLCxVU0Qp&amp;WINDOW=FIRST_POPUP&amp;HEIGHT=450&amp;WIDTH=450&amp;START_MA","XIMIZED=FALSE&amp;VAR:CALENDAR=FIVEDAY&amp;VAR:INDEX=0"}</definedName>
    <definedName name="_941__FDSAUDITLINK__" hidden="1">{"fdsup://directions/FAT Viewer?action=UPDATE&amp;creator=factset&amp;DYN_ARGS=TRUE&amp;DOC_NAME=FAT:FQL_AUDITING_CLIENT_TEMPLATE.FAT&amp;display_string=Audit&amp;VAR:KEY=QPGJQRMVKT&amp;VAR:QUERY=RkZfTkVUX0lOQyhBTk4sLTFGWSwsLCxVU0Qp&amp;WINDOW=FIRST_POPUP&amp;HEIGHT=450&amp;WIDTH=450&amp;START_MA","XIMIZED=FALSE&amp;VAR:CALENDAR=FIVEDAY&amp;VAR:INDEX=0"}</definedName>
    <definedName name="_942__FDSAUDITLINK__" hidden="1">{"fdsup://directions/FAT Viewer?action=UPDATE&amp;creator=factset&amp;DYN_ARGS=TRUE&amp;DOC_NAME=FAT:FQL_AUDITING_CLIENT_TEMPLATE.FAT&amp;display_string=Audit&amp;VAR:KEY=SFUTQRMBOD&amp;VAR:QUERY=RkZfTkVUX0lOQyhBTk4sMCwsLCxVU0Qp&amp;WINDOW=FIRST_POPUP&amp;HEIGHT=450&amp;WIDTH=450&amp;START_MAXIMI","ZED=FALSE&amp;VAR:CALENDAR=FIVEDAY&amp;VAR:INDEX=0"}</definedName>
    <definedName name="_943__FDSAUDITLINK__" hidden="1">{"fdsup://directions/FAT Viewer?action=UPDATE&amp;creator=factset&amp;DYN_ARGS=TRUE&amp;DOC_NAME=FAT:FQL_AUDITING_CLIENT_TEMPLATE.FAT&amp;display_string=Audit&amp;VAR:KEY=CNGBSXYLAB&amp;VAR:QUERY=RkZfRUJJVERBX09QRVIoQU5OLC0yRlksLCwsVVNEKQ==&amp;WINDOW=FIRST_POPUP&amp;HEIGHT=450&amp;WIDTH=450&amp;","START_MAXIMIZED=FALSE&amp;VAR:CALENDAR=FIVEDAY&amp;VAR:INDEX=0"}</definedName>
    <definedName name="_944__FDSAUDITLINK__" hidden="1">{"fdsup://directions/FAT Viewer?action=UPDATE&amp;creator=factset&amp;DYN_ARGS=TRUE&amp;DOC_NAME=FAT:FQL_AUDITING_CLIENT_TEMPLATE.FAT&amp;display_string=Audit&amp;VAR:KEY=YFONKDIRKH&amp;VAR:QUERY=RkZfRUJJVERBX09QRVIoQU5OLC0xRlksLCwsVVNEKQ==&amp;WINDOW=FIRST_POPUP&amp;HEIGHT=450&amp;WIDTH=450&amp;","START_MAXIMIZED=FALSE&amp;VAR:CALENDAR=FIVEDAY&amp;VAR:INDEX=0"}</definedName>
    <definedName name="_945__FDSAUDITLINK__" hidden="1">{"fdsup://directions/FAT Viewer?action=UPDATE&amp;creator=factset&amp;DYN_ARGS=TRUE&amp;DOC_NAME=FAT:FQL_AUDITING_CLIENT_TEMPLATE.FAT&amp;display_string=Audit&amp;VAR:KEY=UXYLQJWZGR&amp;VAR:QUERY=RkZfRUJJVERBX09QRVIoQU5OLDAsLCwsVVNEKQ==&amp;WINDOW=FIRST_POPUP&amp;HEIGHT=450&amp;WIDTH=450&amp;STAR","T_MAXIMIZED=FALSE&amp;VAR:CALENDAR=FIVEDAY&amp;VAR:INDEX=0"}</definedName>
    <definedName name="_946__FDSAUDITLINK__" hidden="1">{"fdsup://directions/FAT Viewer?action=UPDATE&amp;creator=factset&amp;DYN_ARGS=TRUE&amp;DOC_NAME=FAT:FQL_AUDITING_CLIENT_TEMPLATE.FAT&amp;display_string=Audit&amp;VAR:KEY=QLMRCPQLQB&amp;VAR:QUERY=RkZfRU5UUlBSX1ZBTF9EQUlMWSgwLCwsLFVTRCwnRElMJyk=&amp;WINDOW=FIRST_POPUP&amp;HEIGHT=450&amp;WIDTH=","450&amp;START_MAXIMIZED=FALSE&amp;VAR:CALENDAR=FIVEDAY&amp;VAR:INDEX=0"}</definedName>
    <definedName name="_947__FDSAUDITLINK__" hidden="1">{"fdsup://directions/FAT Viewer?action=UPDATE&amp;creator=factset&amp;DYN_ARGS=TRUE&amp;DOC_NAME=FAT:FQL_AUDITING_CLIENT_TEMPLATE.FAT&amp;display_string=Audit&amp;VAR:KEY=MNMXCDKLSH&amp;VAR:QUERY=RkZfREVCVChBTk4sMCwsLCxVU0Qp&amp;WINDOW=FIRST_POPUP&amp;HEIGHT=450&amp;WIDTH=450&amp;START_MAXIMIZED=","FALSE&amp;VAR:CALENDAR=FIVEDAY&amp;VAR:INDEX=0"}</definedName>
    <definedName name="_948__FDSAUDITLINK__" hidden="1">{"fdsup://directions/FAT Viewer?action=UPDATE&amp;creator=factset&amp;DYN_ARGS=TRUE&amp;DOC_NAME=FAT:FQL_AUDITING_CLIENT_TEMPLATE.FAT&amp;display_string=Audit&amp;VAR:KEY=QZWHUBMDQN&amp;VAR:QUERY=RkZfTkVUX0lOQyhBTk4sLTJGWSwsLCxVU0Qp&amp;WINDOW=FIRST_POPUP&amp;HEIGHT=450&amp;WIDTH=450&amp;START_MA","XIMIZED=FALSE&amp;VAR:CALENDAR=FIVEDAY&amp;VAR:INDEX=0"}</definedName>
    <definedName name="_949__FDSAUDITLINK__" hidden="1">{"fdsup://directions/FAT Viewer?action=UPDATE&amp;creator=factset&amp;DYN_ARGS=TRUE&amp;DOC_NAME=FAT:FQL_AUDITING_CLIENT_TEMPLATE.FAT&amp;display_string=Audit&amp;VAR:KEY=QPGJQRMVKT&amp;VAR:QUERY=RkZfTkVUX0lOQyhBTk4sLTFGWSwsLCxVU0Qp&amp;WINDOW=FIRST_POPUP&amp;HEIGHT=450&amp;WIDTH=450&amp;START_MA","XIMIZED=FALSE&amp;VAR:CALENDAR=FIVEDAY&amp;VAR:INDEX=0"}</definedName>
    <definedName name="_95__FDSAUDITLINK__" hidden="1">{"fdsup://directions/FAT Viewer?action=UPDATE&amp;creator=factset&amp;DYN_ARGS=TRUE&amp;DOC_NAME=FAT:FQL_AUDITING_CLIENT_TEMPLATE.FAT&amp;display_string=Audit&amp;VAR:KEY=YLADYZWDAZ&amp;VAR:QUERY=KChGRl9FQklUREEoTFRNLDAsLCxSRixVU0QpQEZGX0VCSVREQShMVE1TX1NFTUksMCwsLFJGLFVTRCkpQEZGX","0VCSVREQShBTk4sMCwsLFJGLFVTRCkp&amp;WINDOW=FIRST_POPUP&amp;HEIGHT=450&amp;WIDTH=450&amp;START_MAXIMIZED=FALSE&amp;VAR:CALENDAR=US&amp;VAR:SYMBOL=EVR&amp;VAR:INDEX=0"}</definedName>
    <definedName name="_950__FDSAUDITLINK__" hidden="1">{"fdsup://directions/FAT Viewer?action=UPDATE&amp;creator=factset&amp;DYN_ARGS=TRUE&amp;DOC_NAME=FAT:FQL_AUDITING_CLIENT_TEMPLATE.FAT&amp;display_string=Audit&amp;VAR:KEY=SFUTQRMBOD&amp;VAR:QUERY=RkZfTkVUX0lOQyhBTk4sMCwsLCxVU0Qp&amp;WINDOW=FIRST_POPUP&amp;HEIGHT=450&amp;WIDTH=450&amp;START_MAXIMI","ZED=FALSE&amp;VAR:CALENDAR=FIVEDAY&amp;VAR:INDEX=0"}</definedName>
    <definedName name="_951__FDSAUDITLINK__" hidden="1">{"fdsup://directions/FAT Viewer?action=UPDATE&amp;creator=factset&amp;DYN_ARGS=TRUE&amp;DOC_NAME=FAT:FQL_AUDITING_CLIENT_TEMPLATE.FAT&amp;display_string=Audit&amp;VAR:KEY=GJSHCHCLOR&amp;VAR:QUERY=RkZfTkVUX0lOQyhBTk4sLTJGWSwsLCxVU0Qp&amp;WINDOW=FIRST_POPUP&amp;HEIGHT=450&amp;WIDTH=450&amp;START_MA","XIMIZED=FALSE&amp;VAR:CALENDAR=FIVEDAY&amp;VAR:SYMBOL=0&amp;VAR:INDEX=0"}</definedName>
    <definedName name="_952__FDSAUDITLINK__" hidden="1">{"fdsup://directions/FAT Viewer?action=UPDATE&amp;creator=factset&amp;DYN_ARGS=TRUE&amp;DOC_NAME=FAT:FQL_AUDITING_CLIENT_TEMPLATE.FAT&amp;display_string=Audit&amp;VAR:KEY=WFWFGNKPCB&amp;VAR:QUERY=RkZfTkVUX0lOQyhBTk4sLTFGWSwsLCxVU0Qp&amp;WINDOW=FIRST_POPUP&amp;HEIGHT=450&amp;WIDTH=450&amp;START_MA","XIMIZED=FALSE&amp;VAR:CALENDAR=FIVEDAY&amp;VAR:SYMBOL=0&amp;VAR:INDEX=0"}</definedName>
    <definedName name="_953__FDSAUDITLINK__" hidden="1">{"fdsup://directions/FAT Viewer?action=UPDATE&amp;creator=factset&amp;DYN_ARGS=TRUE&amp;DOC_NAME=FAT:FQL_AUDITING_CLIENT_TEMPLATE.FAT&amp;display_string=Audit&amp;VAR:KEY=ANAHARYFUF&amp;VAR:QUERY=RkZfTkVUX0lOQyhBTk4sMCwsLCxVU0Qp&amp;WINDOW=FIRST_POPUP&amp;HEIGHT=450&amp;WIDTH=450&amp;START_MAXIMI","ZED=FALSE&amp;VAR:CALENDAR=FIVEDAY&amp;VAR:SYMBOL=0&amp;VAR:INDEX=0"}</definedName>
    <definedName name="_954__FDSAUDITLINK__" hidden="1">{"fdsup://directions/FAT Viewer?action=UPDATE&amp;creator=factset&amp;DYN_ARGS=TRUE&amp;DOC_NAME=FAT:FQL_AUDITING_CLIENT_TEMPLATE.FAT&amp;display_string=Audit&amp;VAR:KEY=ALKVKPOVUH&amp;VAR:QUERY=RkZfRUJJVERBX09QRVIoQU5OLC0yRlksLCwsVVNEKQ==&amp;WINDOW=FIRST_POPUP&amp;HEIGHT=450&amp;WIDTH=450&amp;","START_MAXIMIZED=FALSE&amp;VAR:CALENDAR=FIVEDAY&amp;VAR:SYMBOL=0&amp;VAR:INDEX=0"}</definedName>
    <definedName name="_955__FDSAUDITLINK__" hidden="1">{"fdsup://directions/FAT Viewer?action=UPDATE&amp;creator=factset&amp;DYN_ARGS=TRUE&amp;DOC_NAME=FAT:FQL_AUDITING_CLIENT_TEMPLATE.FAT&amp;display_string=Audit&amp;VAR:KEY=GXSLWPUHQR&amp;VAR:QUERY=RkZfRUJJVERBX09QRVIoQU5OLC0xRlksLCwsVVNEKQ==&amp;WINDOW=FIRST_POPUP&amp;HEIGHT=450&amp;WIDTH=450&amp;","START_MAXIMIZED=FALSE&amp;VAR:CALENDAR=FIVEDAY&amp;VAR:SYMBOL=0&amp;VAR:INDEX=0"}</definedName>
    <definedName name="_956__FDSAUDITLINK__" hidden="1">{"fdsup://directions/FAT Viewer?action=UPDATE&amp;creator=factset&amp;DYN_ARGS=TRUE&amp;DOC_NAME=FAT:FQL_AUDITING_CLIENT_TEMPLATE.FAT&amp;display_string=Audit&amp;VAR:KEY=CRCZEPYNYT&amp;VAR:QUERY=RkZfRUJJVERBX09QRVIoQU5OLDAsLCwsVVNEKQ==&amp;WINDOW=FIRST_POPUP&amp;HEIGHT=450&amp;WIDTH=450&amp;STAR","T_MAXIMIZED=FALSE&amp;VAR:CALENDAR=FIVEDAY&amp;VAR:SYMBOL=0&amp;VAR:INDEX=0"}</definedName>
    <definedName name="_957__FDSAUDITLINK__" hidden="1">{"fdsup://directions/FAT Viewer?action=UPDATE&amp;creator=factset&amp;DYN_ARGS=TRUE&amp;DOC_NAME=FAT:FQL_AUDITING_CLIENT_TEMPLATE.FAT&amp;display_string=Audit&amp;VAR:KEY=MTKXUDOXEH&amp;VAR:QUERY=RkZfRU5UUlBSX1ZBTF9EQUlMWSgwLCwsLFVTRCwnRElMJyk=&amp;WINDOW=FIRST_POPUP&amp;HEIGHT=450&amp;WIDTH=","450&amp;START_MAXIMIZED=FALSE&amp;VAR:CALENDAR=FIVEDAY&amp;VAR:SYMBOL=0&amp;VAR:INDEX=0"}</definedName>
    <definedName name="_958__FDSAUDITLINK__" hidden="1">{"fdsup://directions/FAT Viewer?action=UPDATE&amp;creator=factset&amp;DYN_ARGS=TRUE&amp;DOC_NAME=FAT:FQL_AUDITING_CLIENT_TEMPLATE.FAT&amp;display_string=Audit&amp;VAR:KEY=GNOBODELOR&amp;VAR:QUERY=RkZfREVCVChBTk4sMCwsLCxVU0Qp&amp;WINDOW=FIRST_POPUP&amp;HEIGHT=450&amp;WIDTH=450&amp;START_MAXIMIZED=","FALSE&amp;VAR:CALENDAR=FIVEDAY&amp;VAR:SYMBOL=0&amp;VAR:INDEX=0"}</definedName>
    <definedName name="_959__FDSAUDITLINK__" hidden="1">{"fdsup://directions/FAT Viewer?action=UPDATE&amp;creator=factset&amp;DYN_ARGS=TRUE&amp;DOC_NAME=FAT:FQL_AUDITING_CLIENT_TEMPLATE.FAT&amp;display_string=Audit&amp;VAR:KEY=GJSHCHCLOR&amp;VAR:QUERY=RkZfTkVUX0lOQyhBTk4sLTJGWSwsLCxVU0Qp&amp;WINDOW=FIRST_POPUP&amp;HEIGHT=450&amp;WIDTH=450&amp;START_MA","XIMIZED=FALSE&amp;VAR:CALENDAR=FIVEDAY&amp;VAR:SYMBOL=0&amp;VAR:INDEX=0"}</definedName>
    <definedName name="_96__FDSAUDITLINK__" hidden="1">{"fdsup://Directions/FactSet Auditing Viewer?action=AUDIT_VALUE&amp;DB=129&amp;ID1=29977A10&amp;VALUEID=01001&amp;SDATE=200904&amp;PERIODTYPE=QTR_STD&amp;window=popup_no_bar&amp;width=385&amp;height=120&amp;START_MAXIMIZED=FALSE&amp;creator=factset&amp;display_string=Audit"}</definedName>
    <definedName name="_960__FDSAUDITLINK__" hidden="1">{"fdsup://directions/FAT Viewer?action=UPDATE&amp;creator=factset&amp;DYN_ARGS=TRUE&amp;DOC_NAME=FAT:FQL_AUDITING_CLIENT_TEMPLATE.FAT&amp;display_string=Audit&amp;VAR:KEY=WFWFGNKPCB&amp;VAR:QUERY=RkZfTkVUX0lOQyhBTk4sLTFGWSwsLCxVU0Qp&amp;WINDOW=FIRST_POPUP&amp;HEIGHT=450&amp;WIDTH=450&amp;START_MA","XIMIZED=FALSE&amp;VAR:CALENDAR=FIVEDAY&amp;VAR:SYMBOL=0&amp;VAR:INDEX=0"}</definedName>
    <definedName name="_961__FDSAUDITLINK__" hidden="1">{"fdsup://directions/FAT Viewer?action=UPDATE&amp;creator=factset&amp;DYN_ARGS=TRUE&amp;DOC_NAME=FAT:FQL_AUDITING_CLIENT_TEMPLATE.FAT&amp;display_string=Audit&amp;VAR:KEY=ANAHARYFUF&amp;VAR:QUERY=RkZfTkVUX0lOQyhBTk4sMCwsLCxVU0Qp&amp;WINDOW=FIRST_POPUP&amp;HEIGHT=450&amp;WIDTH=450&amp;START_MAXIMI","ZED=FALSE&amp;VAR:CALENDAR=FIVEDAY&amp;VAR:SYMBOL=0&amp;VAR:INDEX=0"}</definedName>
    <definedName name="_962__FDSAUDITLINK__" hidden="1">{"fdsup://directions/FAT Viewer?action=UPDATE&amp;creator=factset&amp;DYN_ARGS=TRUE&amp;DOC_NAME=FAT:FQL_AUDITING_CLIENT_TEMPLATE.FAT&amp;display_string=Audit&amp;VAR:KEY=ALKVKPOVUH&amp;VAR:QUERY=RkZfRUJJVERBX09QRVIoQU5OLC0yRlksLCwsVVNEKQ==&amp;WINDOW=FIRST_POPUP&amp;HEIGHT=450&amp;WIDTH=450&amp;","START_MAXIMIZED=FALSE&amp;VAR:CALENDAR=FIVEDAY&amp;VAR:SYMBOL=0&amp;VAR:INDEX=0"}</definedName>
    <definedName name="_963__FDSAUDITLINK__" hidden="1">{"fdsup://directions/FAT Viewer?action=UPDATE&amp;creator=factset&amp;DYN_ARGS=TRUE&amp;DOC_NAME=FAT:FQL_AUDITING_CLIENT_TEMPLATE.FAT&amp;display_string=Audit&amp;VAR:KEY=GXSLWPUHQR&amp;VAR:QUERY=RkZfRUJJVERBX09QRVIoQU5OLC0xRlksLCwsVVNEKQ==&amp;WINDOW=FIRST_POPUP&amp;HEIGHT=450&amp;WIDTH=450&amp;","START_MAXIMIZED=FALSE&amp;VAR:CALENDAR=FIVEDAY&amp;VAR:SYMBOL=0&amp;VAR:INDEX=0"}</definedName>
    <definedName name="_964__FDSAUDITLINK__" hidden="1">{"fdsup://directions/FAT Viewer?action=UPDATE&amp;creator=factset&amp;DYN_ARGS=TRUE&amp;DOC_NAME=FAT:FQL_AUDITING_CLIENT_TEMPLATE.FAT&amp;display_string=Audit&amp;VAR:KEY=CRCZEPYNYT&amp;VAR:QUERY=RkZfRUJJVERBX09QRVIoQU5OLDAsLCwsVVNEKQ==&amp;WINDOW=FIRST_POPUP&amp;HEIGHT=450&amp;WIDTH=450&amp;STAR","T_MAXIMIZED=FALSE&amp;VAR:CALENDAR=FIVEDAY&amp;VAR:SYMBOL=0&amp;VAR:INDEX=0"}</definedName>
    <definedName name="_965__FDSAUDITLINK__" hidden="1">{"fdsup://directions/FAT Viewer?action=UPDATE&amp;creator=factset&amp;DYN_ARGS=TRUE&amp;DOC_NAME=FAT:FQL_AUDITING_CLIENT_TEMPLATE.FAT&amp;display_string=Audit&amp;VAR:KEY=MTKXUDOXEH&amp;VAR:QUERY=RkZfRU5UUlBSX1ZBTF9EQUlMWSgwLCwsLFVTRCwnRElMJyk=&amp;WINDOW=FIRST_POPUP&amp;HEIGHT=450&amp;WIDTH=","450&amp;START_MAXIMIZED=FALSE&amp;VAR:CALENDAR=FIVEDAY&amp;VAR:SYMBOL=0&amp;VAR:INDEX=0"}</definedName>
    <definedName name="_966__FDSAUDITLINK__" hidden="1">{"fdsup://directions/FAT Viewer?action=UPDATE&amp;creator=factset&amp;DYN_ARGS=TRUE&amp;DOC_NAME=FAT:FQL_AUDITING_CLIENT_TEMPLATE.FAT&amp;display_string=Audit&amp;VAR:KEY=GNOBODELOR&amp;VAR:QUERY=RkZfREVCVChBTk4sMCwsLCxVU0Qp&amp;WINDOW=FIRST_POPUP&amp;HEIGHT=450&amp;WIDTH=450&amp;START_MAXIMIZED=","FALSE&amp;VAR:CALENDAR=FIVEDAY&amp;VAR:SYMBOL=0&amp;VAR:INDEX=0"}</definedName>
    <definedName name="_967__FDSAUDITLINK__" hidden="1">{"fdsup://directions/FAT Viewer?action=UPDATE&amp;creator=factset&amp;DYN_ARGS=TRUE&amp;DOC_NAME=FAT:FQL_AUDITING_CLIENT_TEMPLATE.FAT&amp;display_string=Audit&amp;VAR:KEY=GJSHCHCLOR&amp;VAR:QUERY=RkZfTkVUX0lOQyhBTk4sLTJGWSwsLCxVU0Qp&amp;WINDOW=FIRST_POPUP&amp;HEIGHT=450&amp;WIDTH=450&amp;START_MA","XIMIZED=FALSE&amp;VAR:CALENDAR=FIVEDAY&amp;VAR:SYMBOL=0&amp;VAR:INDEX=0"}</definedName>
    <definedName name="_968__FDSAUDITLINK__" hidden="1">{"fdsup://directions/FAT Viewer?action=UPDATE&amp;creator=factset&amp;DYN_ARGS=TRUE&amp;DOC_NAME=FAT:FQL_AUDITING_CLIENT_TEMPLATE.FAT&amp;display_string=Audit&amp;VAR:KEY=WFWFGNKPCB&amp;VAR:QUERY=RkZfTkVUX0lOQyhBTk4sLTFGWSwsLCxVU0Qp&amp;WINDOW=FIRST_POPUP&amp;HEIGHT=450&amp;WIDTH=450&amp;START_MA","XIMIZED=FALSE&amp;VAR:CALENDAR=FIVEDAY&amp;VAR:SYMBOL=0&amp;VAR:INDEX=0"}</definedName>
    <definedName name="_969__FDSAUDITLINK__" hidden="1">{"fdsup://directions/FAT Viewer?action=UPDATE&amp;creator=factset&amp;DYN_ARGS=TRUE&amp;DOC_NAME=FAT:FQL_AUDITING_CLIENT_TEMPLATE.FAT&amp;display_string=Audit&amp;VAR:KEY=ANAHARYFUF&amp;VAR:QUERY=RkZfTkVUX0lOQyhBTk4sMCwsLCxVU0Qp&amp;WINDOW=FIRST_POPUP&amp;HEIGHT=450&amp;WIDTH=450&amp;START_MAXIMI","ZED=FALSE&amp;VAR:CALENDAR=FIVEDAY&amp;VAR:SYMBOL=0&amp;VAR:INDEX=0"}</definedName>
    <definedName name="_97__FDSAUDITLINK__" hidden="1">{"fdsup://Directions/FactSet Auditing Viewer?action=AUDIT_VALUE&amp;DB=129&amp;ID1=29977A10&amp;VALUEID=01001&amp;SDATE=200901&amp;PERIODTYPE=QTR_STD&amp;window=popup_no_bar&amp;width=385&amp;height=120&amp;START_MAXIMIZED=FALSE&amp;creator=factset&amp;display_string=Audit"}</definedName>
    <definedName name="_970__FDSAUDITLINK__" hidden="1">{"fdsup://directions/FAT Viewer?action=UPDATE&amp;creator=factset&amp;DYN_ARGS=TRUE&amp;DOC_NAME=FAT:FQL_AUDITING_CLIENT_TEMPLATE.FAT&amp;display_string=Audit&amp;VAR:KEY=ALKVKPOVUH&amp;VAR:QUERY=RkZfRUJJVERBX09QRVIoQU5OLC0yRlksLCwsVVNEKQ==&amp;WINDOW=FIRST_POPUP&amp;HEIGHT=450&amp;WIDTH=450&amp;","START_MAXIMIZED=FALSE&amp;VAR:CALENDAR=FIVEDAY&amp;VAR:SYMBOL=0&amp;VAR:INDEX=0"}</definedName>
    <definedName name="_971__FDSAUDITLINK__" hidden="1">{"fdsup://directions/FAT Viewer?action=UPDATE&amp;creator=factset&amp;DYN_ARGS=TRUE&amp;DOC_NAME=FAT:FQL_AUDITING_CLIENT_TEMPLATE.FAT&amp;display_string=Audit&amp;VAR:KEY=GXSLWPUHQR&amp;VAR:QUERY=RkZfRUJJVERBX09QRVIoQU5OLC0xRlksLCwsVVNEKQ==&amp;WINDOW=FIRST_POPUP&amp;HEIGHT=450&amp;WIDTH=450&amp;","START_MAXIMIZED=FALSE&amp;VAR:CALENDAR=FIVEDAY&amp;VAR:SYMBOL=0&amp;VAR:INDEX=0"}</definedName>
    <definedName name="_972__FDSAUDITLINK__" hidden="1">{"fdsup://directions/FAT Viewer?action=UPDATE&amp;creator=factset&amp;DYN_ARGS=TRUE&amp;DOC_NAME=FAT:FQL_AUDITING_CLIENT_TEMPLATE.FAT&amp;display_string=Audit&amp;VAR:KEY=CRCZEPYNYT&amp;VAR:QUERY=RkZfRUJJVERBX09QRVIoQU5OLDAsLCwsVVNEKQ==&amp;WINDOW=FIRST_POPUP&amp;HEIGHT=450&amp;WIDTH=450&amp;STAR","T_MAXIMIZED=FALSE&amp;VAR:CALENDAR=FIVEDAY&amp;VAR:SYMBOL=0&amp;VAR:INDEX=0"}</definedName>
    <definedName name="_973__FDSAUDITLINK__" hidden="1">{"fdsup://directions/FAT Viewer?action=UPDATE&amp;creator=factset&amp;DYN_ARGS=TRUE&amp;DOC_NAME=FAT:FQL_AUDITING_CLIENT_TEMPLATE.FAT&amp;display_string=Audit&amp;VAR:KEY=MTKXUDOXEH&amp;VAR:QUERY=RkZfRU5UUlBSX1ZBTF9EQUlMWSgwLCwsLFVTRCwnRElMJyk=&amp;WINDOW=FIRST_POPUP&amp;HEIGHT=450&amp;WIDTH=","450&amp;START_MAXIMIZED=FALSE&amp;VAR:CALENDAR=FIVEDAY&amp;VAR:SYMBOL=0&amp;VAR:INDEX=0"}</definedName>
    <definedName name="_974__FDSAUDITLINK__" hidden="1">{"fdsup://directions/FAT Viewer?action=UPDATE&amp;creator=factset&amp;DYN_ARGS=TRUE&amp;DOC_NAME=FAT:FQL_AUDITING_CLIENT_TEMPLATE.FAT&amp;display_string=Audit&amp;VAR:KEY=GNOBODELOR&amp;VAR:QUERY=RkZfREVCVChBTk4sMCwsLCxVU0Qp&amp;WINDOW=FIRST_POPUP&amp;HEIGHT=450&amp;WIDTH=450&amp;START_MAXIMIZED=","FALSE&amp;VAR:CALENDAR=FIVEDAY&amp;VAR:SYMBOL=0&amp;VAR:INDEX=0"}</definedName>
    <definedName name="_975__FDSAUDITLINK__" hidden="1">{"fdsup://directions/FAT Viewer?action=UPDATE&amp;creator=factset&amp;DYN_ARGS=TRUE&amp;DOC_NAME=FAT:FQL_AUDITING_CLIENT_TEMPLATE.FAT&amp;display_string=Audit&amp;VAR:KEY=GJSHCHCLOR&amp;VAR:QUERY=RkZfTkVUX0lOQyhBTk4sLTJGWSwsLCxVU0Qp&amp;WINDOW=FIRST_POPUP&amp;HEIGHT=450&amp;WIDTH=450&amp;START_MA","XIMIZED=FALSE&amp;VAR:CALENDAR=FIVEDAY&amp;VAR:SYMBOL=0&amp;VAR:INDEX=0"}</definedName>
    <definedName name="_976__FDSAUDITLINK__" hidden="1">{"fdsup://directions/FAT Viewer?action=UPDATE&amp;creator=factset&amp;DYN_ARGS=TRUE&amp;DOC_NAME=FAT:FQL_AUDITING_CLIENT_TEMPLATE.FAT&amp;display_string=Audit&amp;VAR:KEY=WFWFGNKPCB&amp;VAR:QUERY=RkZfTkVUX0lOQyhBTk4sLTFGWSwsLCxVU0Qp&amp;WINDOW=FIRST_POPUP&amp;HEIGHT=450&amp;WIDTH=450&amp;START_MA","XIMIZED=FALSE&amp;VAR:CALENDAR=FIVEDAY&amp;VAR:SYMBOL=0&amp;VAR:INDEX=0"}</definedName>
    <definedName name="_977__FDSAUDITLINK__" hidden="1">{"fdsup://directions/FAT Viewer?action=UPDATE&amp;creator=factset&amp;DYN_ARGS=TRUE&amp;DOC_NAME=FAT:FQL_AUDITING_CLIENT_TEMPLATE.FAT&amp;display_string=Audit&amp;VAR:KEY=ANAHARYFUF&amp;VAR:QUERY=RkZfTkVUX0lOQyhBTk4sMCwsLCxVU0Qp&amp;WINDOW=FIRST_POPUP&amp;HEIGHT=450&amp;WIDTH=450&amp;START_MAXIMI","ZED=FALSE&amp;VAR:CALENDAR=FIVEDAY&amp;VAR:SYMBOL=0&amp;VAR:INDEX=0"}</definedName>
    <definedName name="_978__FDSAUDITLINK__" hidden="1">{"fdsup://directions/FAT Viewer?action=UPDATE&amp;creator=factset&amp;DYN_ARGS=TRUE&amp;DOC_NAME=FAT:FQL_AUDITING_CLIENT_TEMPLATE.FAT&amp;display_string=Audit&amp;VAR:KEY=ALKVKPOVUH&amp;VAR:QUERY=RkZfRUJJVERBX09QRVIoQU5OLC0yRlksLCwsVVNEKQ==&amp;WINDOW=FIRST_POPUP&amp;HEIGHT=450&amp;WIDTH=450&amp;","START_MAXIMIZED=FALSE&amp;VAR:CALENDAR=FIVEDAY&amp;VAR:SYMBOL=0&amp;VAR:INDEX=0"}</definedName>
    <definedName name="_979__FDSAUDITLINK__" hidden="1">{"fdsup://directions/FAT Viewer?action=UPDATE&amp;creator=factset&amp;DYN_ARGS=TRUE&amp;DOC_NAME=FAT:FQL_AUDITING_CLIENT_TEMPLATE.FAT&amp;display_string=Audit&amp;VAR:KEY=GXSLWPUHQR&amp;VAR:QUERY=RkZfRUJJVERBX09QRVIoQU5OLC0xRlksLCwsVVNEKQ==&amp;WINDOW=FIRST_POPUP&amp;HEIGHT=450&amp;WIDTH=450&amp;","START_MAXIMIZED=FALSE&amp;VAR:CALENDAR=FIVEDAY&amp;VAR:SYMBOL=0&amp;VAR:INDEX=0"}</definedName>
    <definedName name="_98__FDSAUDITLINK__" hidden="1">{"fdsup://directions/FAT Viewer?action=UPDATE&amp;creator=factset&amp;DYN_ARGS=TRUE&amp;DOC_NAME=FAT:FQL_AUDITING_CLIENT_TEMPLATE.FAT&amp;display_string=Audit&amp;VAR:KEY=SVOZWLATYF&amp;VAR:QUERY=KChGRl9ORVRfSU5DKExUTSwwLCwsUkYsVVNEKUBGRl9ORVRfSU5DKExUTVNfU0VNSSwwLCwsUkYsVVNEKSlAR","kZfTkVUX0lOQyhBTk4sMCwsLFJGLFVTRCkp&amp;WINDOW=FIRST_POPUP&amp;HEIGHT=450&amp;WIDTH=450&amp;START_MAXIMIZED=FALSE&amp;VAR:CALENDAR=US&amp;VAR:SYMBOL=PJC&amp;VAR:INDEX=0"}</definedName>
    <definedName name="_980__FDSAUDITLINK__" hidden="1">{"fdsup://directions/FAT Viewer?action=UPDATE&amp;creator=factset&amp;DYN_ARGS=TRUE&amp;DOC_NAME=FAT:FQL_AUDITING_CLIENT_TEMPLATE.FAT&amp;display_string=Audit&amp;VAR:KEY=CRCZEPYNYT&amp;VAR:QUERY=RkZfRUJJVERBX09QRVIoQU5OLDAsLCwsVVNEKQ==&amp;WINDOW=FIRST_POPUP&amp;HEIGHT=450&amp;WIDTH=450&amp;STAR","T_MAXIMIZED=FALSE&amp;VAR:CALENDAR=FIVEDAY&amp;VAR:SYMBOL=0&amp;VAR:INDEX=0"}</definedName>
    <definedName name="_981__FDSAUDITLINK__" hidden="1">{"fdsup://directions/FAT Viewer?action=UPDATE&amp;creator=factset&amp;DYN_ARGS=TRUE&amp;DOC_NAME=FAT:FQL_AUDITING_CLIENT_TEMPLATE.FAT&amp;display_string=Audit&amp;VAR:KEY=MTKXUDOXEH&amp;VAR:QUERY=RkZfRU5UUlBSX1ZBTF9EQUlMWSgwLCwsLFVTRCwnRElMJyk=&amp;WINDOW=FIRST_POPUP&amp;HEIGHT=450&amp;WIDTH=","450&amp;START_MAXIMIZED=FALSE&amp;VAR:CALENDAR=FIVEDAY&amp;VAR:SYMBOL=0&amp;VAR:INDEX=0"}</definedName>
    <definedName name="_982__FDSAUDITLINK__" hidden="1">{"fdsup://Directions/FactSet Auditing Viewer?action=AUDIT_VALUE&amp;DB=129&amp;ID1=B2PG34&amp;VALUEID=02999&amp;SDATE=2011&amp;PERIODTYPE=ANN_STD&amp;SCFT=3&amp;window=popup_no_bar&amp;width=385&amp;height=120&amp;START_MAXIMIZED=FALSE&amp;creator=factset&amp;display_string=Audit"}</definedName>
    <definedName name="_983__FDSAUDITLINK__" hidden="1">{"fdsup://directions/FAT Viewer?action=UPDATE&amp;creator=factset&amp;DYN_ARGS=TRUE&amp;DOC_NAME=FAT:FQL_AUDITING_CLIENT_TEMPLATE.FAT&amp;display_string=Audit&amp;VAR:KEY=SZIPSDMHIZ&amp;VAR:QUERY=RkZfREVCVChBTk4sMCwsLCxVU0Qp&amp;WINDOW=FIRST_POPUP&amp;HEIGHT=450&amp;WIDTH=450&amp;START_MAXIMIZED=","FALSE&amp;VAR:CALENDAR=FIVEDAY&amp;VAR:SYMBOL=2174&amp;VAR:INDEX=0"}</definedName>
    <definedName name="_984__FDSAUDITLINK__" hidden="1">{"fdsup://Directions/FactSet Auditing Viewer?action=AUDIT_VALUE&amp;DB=129&amp;ID1=B2PG34&amp;VALUEID=02001&amp;SDATE=2011&amp;PERIODTYPE=ANN_STD&amp;SCFT=3&amp;window=popup_no_bar&amp;width=385&amp;height=120&amp;START_MAXIMIZED=FALSE&amp;creator=factset&amp;display_string=Audit"}</definedName>
    <definedName name="_985__FDSAUDITLINK__" hidden="1">{"fdsup://directions/FAT Viewer?action=UPDATE&amp;creator=factset&amp;DYN_ARGS=TRUE&amp;DOC_NAME=FAT:FQL_AUDITING_CLIENT_TEMPLATE.FAT&amp;display_string=Audit&amp;VAR:KEY=ADKFAVKFAZ&amp;VAR:QUERY=RkZfTkVUX0lOQyhBTk4sLTJGWSwsLCxVU0Qp&amp;WINDOW=FIRST_POPUP&amp;HEIGHT=450&amp;WIDTH=450&amp;START_MA","XIMIZED=FALSE&amp;VAR:CALENDAR=FIVEDAY&amp;VAR:SYMBOL=2174&amp;VAR:INDEX=0"}</definedName>
    <definedName name="_986__FDSAUDITLINK__" hidden="1">{"fdsup://directions/FAT Viewer?action=UPDATE&amp;creator=factset&amp;DYN_ARGS=TRUE&amp;DOC_NAME=FAT:FQL_AUDITING_CLIENT_TEMPLATE.FAT&amp;display_string=Audit&amp;VAR:KEY=QZCDQXIVOZ&amp;VAR:QUERY=RkZfTkVUX0lOQyhBTk4sLTFGWSwsLCxVU0Qp&amp;WINDOW=FIRST_POPUP&amp;HEIGHT=450&amp;WIDTH=450&amp;START_MA","XIMIZED=FALSE&amp;VAR:CALENDAR=FIVEDAY&amp;VAR:SYMBOL=2174&amp;VAR:INDEX=0"}</definedName>
    <definedName name="_987__FDSAUDITLINK__" hidden="1">{"fdsup://directions/FAT Viewer?action=UPDATE&amp;creator=factset&amp;DYN_ARGS=TRUE&amp;DOC_NAME=FAT:FQL_AUDITING_CLIENT_TEMPLATE.FAT&amp;display_string=Audit&amp;VAR:KEY=CVEBMDSRGF&amp;VAR:QUERY=RkZfTkVUX0lOQyhBTk4sMCwsLCxVU0Qp&amp;WINDOW=FIRST_POPUP&amp;HEIGHT=450&amp;WIDTH=450&amp;START_MAXIMI","ZED=FALSE&amp;VAR:CALENDAR=FIVEDAY&amp;VAR:SYMBOL=2174&amp;VAR:INDEX=0"}</definedName>
    <definedName name="_988__FDSAUDITLINK__" hidden="1">{"fdsup://directions/FAT Viewer?action=UPDATE&amp;creator=factset&amp;DYN_ARGS=TRUE&amp;DOC_NAME=FAT:FQL_AUDITING_CLIENT_TEMPLATE.FAT&amp;display_string=Audit&amp;VAR:KEY=AZUNEPIBGV&amp;VAR:QUERY=RkZfRUJJVERBX09QRVIoQU5OLC0yRlksLCwsVVNEKQ==&amp;WINDOW=FIRST_POPUP&amp;HEIGHT=450&amp;WIDTH=450&amp;","START_MAXIMIZED=FALSE&amp;VAR:CALENDAR=FIVEDAY&amp;VAR:SYMBOL=2174&amp;VAR:INDEX=0"}</definedName>
    <definedName name="_989__FDSAUDITLINK__" hidden="1">{"fdsup://directions/FAT Viewer?action=UPDATE&amp;creator=factset&amp;DYN_ARGS=TRUE&amp;DOC_NAME=FAT:FQL_AUDITING_CLIENT_TEMPLATE.FAT&amp;display_string=Audit&amp;VAR:KEY=WNSNGZQFIR&amp;VAR:QUERY=RkZfRUJJVERBX09QRVIoQU5OLC0xRlksLCwsVVNEKQ==&amp;WINDOW=FIRST_POPUP&amp;HEIGHT=450&amp;WIDTH=450&amp;","START_MAXIMIZED=FALSE&amp;VAR:CALENDAR=FIVEDAY&amp;VAR:SYMBOL=2174&amp;VAR:INDEX=0"}</definedName>
    <definedName name="_99__FDSAUDITLINK__" hidden="1">{"fdsup://directions/FAT Viewer?action=UPDATE&amp;creator=factset&amp;DYN_ARGS=TRUE&amp;DOC_NAME=FAT:FQL_AUDITING_CLIENT_TEMPLATE.FAT&amp;display_string=Audit&amp;VAR:KEY=ODMJIXAJEB&amp;VAR:QUERY=KChGRl9FQklUKExUTSwwLCwsUkYsVVNEKUBGRl9FQklUKExUTVNfU0VNSSwwLCwsUkYsVVNEKSlARkZfRUJJV","ChBTk4sMCwsLFJGLFVTRCkp&amp;WINDOW=FIRST_POPUP&amp;HEIGHT=450&amp;WIDTH=450&amp;START_MAXIMIZED=FALSE&amp;VAR:CALENDAR=US&amp;VAR:SYMBOL=PJC&amp;VAR:INDEX=0"}</definedName>
    <definedName name="_990__FDSAUDITLINK__" hidden="1">{"fdsup://directions/FAT Viewer?action=UPDATE&amp;creator=factset&amp;DYN_ARGS=TRUE&amp;DOC_NAME=FAT:FQL_AUDITING_CLIENT_TEMPLATE.FAT&amp;display_string=Audit&amp;VAR:KEY=IHQBSLSBSP&amp;VAR:QUERY=RkZfRUJJVERBX09QRVIoQU5OLDAsLCwsVVNEKQ==&amp;WINDOW=FIRST_POPUP&amp;HEIGHT=450&amp;WIDTH=450&amp;STAR","T_MAXIMIZED=FALSE&amp;VAR:CALENDAR=FIVEDAY&amp;VAR:SYMBOL=2174&amp;VAR:INDEX=0"}</definedName>
    <definedName name="_991__FDSAUDITLINK__" hidden="1">{"fdsup://Directions/FactSet Auditing Viewer?action=AUDIT_VALUE&amp;DB=129&amp;ID1=B2PG34&amp;VALUEID=01001&amp;SDATE=2009&amp;PERIODTYPE=ANN_STD&amp;SCFT=3&amp;window=popup_no_bar&amp;width=385&amp;height=120&amp;START_MAXIMIZED=FALSE&amp;creator=factset&amp;display_string=Audit"}</definedName>
    <definedName name="_993__FDSAUDITLINK__" hidden="1">{"fdsup://Directions/FactSet Auditing Viewer?action=AUDIT_VALUE&amp;DB=129&amp;ID1=B2PG34&amp;VALUEID=01001&amp;SDATE=2010&amp;PERIODTYPE=ANN_STD&amp;SCFT=3&amp;window=popup_no_bar&amp;width=385&amp;height=120&amp;START_MAXIMIZED=FALSE&amp;creator=factset&amp;display_string=Audit"}</definedName>
    <definedName name="_a1" hidden="1">{"mgmt forecast",#N/A,FALSE,"Mgmt Forecast";"dcf table",#N/A,FALSE,"Mgmt Forecast";"sensitivity",#N/A,FALSE,"Mgmt Forecast";"table inputs",#N/A,FALSE,"Mgmt Forecast";"calculations",#N/A,FALSE,"Mgmt Forecast"}</definedName>
    <definedName name="_a2" hidden="1">{"mgmt forecast",#N/A,FALSE,"Mgmt Forecast";"dcf table",#N/A,FALSE,"Mgmt Forecast";"sensitivity",#N/A,FALSE,"Mgmt Forecast";"table inputs",#N/A,FALSE,"Mgmt Forecast";"calculations",#N/A,FALSE,"Mgmt Forecast"}</definedName>
    <definedName name="_a3" hidden="1">{#N/A,#N/A,FALSE,"Sheet1"}</definedName>
    <definedName name="_aa2" hidden="1">{#N/A,#N/A,FALSE,"Hip.Bas";#N/A,#N/A,FALSE,"ventas";#N/A,#N/A,FALSE,"ingre-Año";#N/A,#N/A,FALSE,"ventas-Año";#N/A,#N/A,FALSE,"Costepro";#N/A,#N/A,FALSE,"inversion";#N/A,#N/A,FALSE,"personal";#N/A,#N/A,FALSE,"Gastos-V";#N/A,#N/A,FALSE,"Circulante";#N/A,#N/A,FALSE,"CONSOLI";#N/A,#N/A,FALSE,"Es-Fin";#N/A,#N/A,FALSE,"Margen-P"}</definedName>
    <definedName name="_aa3" hidden="1">{#N/A,#N/A,FALSE,"Hip.Bas";#N/A,#N/A,FALSE,"ventas";#N/A,#N/A,FALSE,"ingre-Año";#N/A,#N/A,FALSE,"ventas-Año";#N/A,#N/A,FALSE,"Costepro";#N/A,#N/A,FALSE,"inversion";#N/A,#N/A,FALSE,"personal";#N/A,#N/A,FALSE,"Gastos-V";#N/A,#N/A,FALSE,"Circulante";#N/A,#N/A,FALSE,"CONSOLI";#N/A,#N/A,FALSE,"Es-Fin";#N/A,#N/A,FALSE,"Margen-P"}</definedName>
    <definedName name="_Actual_for_2004_Measure" hidden="1">#REF!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0</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w1"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_bdm.000EB8A6D93C413992A5B12EB87DD958.edm" hidden="1">#REF!</definedName>
    <definedName name="_bdm.001AF53F2E7741A19120274B8F1121CF.edm" hidden="1">#REF!</definedName>
    <definedName name="_bdm.003747B3A6F2452A9A17EE3841D6925D.edm" hidden="1">#REF!</definedName>
    <definedName name="_bdm.006ED034A1E84C349E2BF0C9122BCE91.edm" hidden="1">#REF!</definedName>
    <definedName name="_bdm.008864E27FC645EC9C1D49192538ABF2.edm" hidden="1">#REF!</definedName>
    <definedName name="_bdm.011B25FD58584BE49FAA9104A27FA026.edm" hidden="1">#REF!</definedName>
    <definedName name="_bdm.0135F38942EA415ABA1242F8D19BB820.edm" hidden="1">#REF!</definedName>
    <definedName name="_bdm.013D9AB206134AF984FD35E16971DB10.edm" hidden="1">#REF!</definedName>
    <definedName name="_bdm.013E29D54A5C4663BD09DCEEE90F9C63.edm" hidden="1">#REF!</definedName>
    <definedName name="_bdm.01708757A0FF42108D15A53E93D08A8C.edm" hidden="1">#REF!</definedName>
    <definedName name="_bdm.01842824C2CD4995876376D33DC15FC8.edm" hidden="1">#REF!</definedName>
    <definedName name="_bdm.0197487E6BAE4012A2DB58A15F11BFDA.edm" hidden="1">#REF!</definedName>
    <definedName name="_bdm.01A48356CA614AA2A018EF00080BE07C.edm" hidden="1">#REF!</definedName>
    <definedName name="_bdm.01C4E48B12144E81AFE723339F66CEE6.edm" hidden="1">#REF!</definedName>
    <definedName name="_bdm.0212DFFC1A0C410AB03B85791489E314.edm" hidden="1">#REF!</definedName>
    <definedName name="_bdm.022CF86BF987483BB10AAFB5B1C91F77.edm" hidden="1">#REF!</definedName>
    <definedName name="_bdm.028FCD3144FB491CB0F8D104ABDA8359.edm" hidden="1">#REF!</definedName>
    <definedName name="_bdm.02dbe91adec246f19994e3c64f55d121.edm" hidden="1">#REF!</definedName>
    <definedName name="_bdm.02FBCE4E66684356B566C1E93F04980A.edm" hidden="1">#REF!</definedName>
    <definedName name="_bdm.039319CF694C4C5584D048AE4C04DDB6.edm" hidden="1">#REF!</definedName>
    <definedName name="_bdm.03B85F4EE48C47768F05B07356E641ED.edm" hidden="1">#REF!</definedName>
    <definedName name="_bdm.041EF8E06C6C43299CFE6274C0DC24E8.edm" hidden="1">#REF!</definedName>
    <definedName name="_bdm.0433F916AB6E45968DAD6DBD16813C8D.edm" hidden="1">#REF!</definedName>
    <definedName name="_bdm.0437DC906FA14A30B2AE847EFAB08E1D.edm" hidden="1">#REF!</definedName>
    <definedName name="_bdm.058CA692969840C6B39FD589C8EC69F8.edm" hidden="1">#REF!</definedName>
    <definedName name="_bdm.065831D98AF74CAB8829D9C0F2B2668C.edm" hidden="1">#REF!</definedName>
    <definedName name="_bdm.0678489278AD43B5891B56F5BC2BD612.edm" hidden="1">#REF!</definedName>
    <definedName name="_bdm.06B3C8551A534DBD93C454DEF0ED0D51.edm" hidden="1">#REF!</definedName>
    <definedName name="_bdm.06E875BD8DED42C6A982E0DF01444CB4.edm" hidden="1">#REF!</definedName>
    <definedName name="_bdm.0709937E180F4D929D03BD378E15836C.edm" hidden="1">#REF!</definedName>
    <definedName name="_bdm.0727FB01840844D786CB71C844C9EB4C.edm" hidden="1">#REF!</definedName>
    <definedName name="_bdm.07372F83DCFB4F69958B8EA64C8056B6.edm" hidden="1">#REF!</definedName>
    <definedName name="_bdm.07770C4610E5438D97E300C16D056E98.edm" hidden="1">#REF!</definedName>
    <definedName name="_bdm.0790C24348414BF1A79950F6A42EC814.edm" hidden="1">#REF!</definedName>
    <definedName name="_bdm.07A525EC1B204C5F981D196664998D39.edm" hidden="1">#REF!</definedName>
    <definedName name="_bdm.07C6157034BF4310B391D979A3F43018.edm" hidden="1">#REF!</definedName>
    <definedName name="_bdm.0856444A9BB54767BA2B5B0042696B59.edm" hidden="1">#REF!</definedName>
    <definedName name="_bdm.08A21430E19247319541FB48B7F96B3B.edm" hidden="1">#REF!</definedName>
    <definedName name="_bdm.08e6cfbcec224a1ebd4746541cfa3cac.edm" hidden="1">#REF!</definedName>
    <definedName name="_bdm.08E8494C642149E2BAA440AC4598F75C.edm" hidden="1">#REF!</definedName>
    <definedName name="_bdm.08E906A3B032434B809DF8092B86D2B7.edm" hidden="1">#REF!</definedName>
    <definedName name="_bdm.0912BFB2E1F947198DD0A3C49AD33809.edm" hidden="1">#REF!</definedName>
    <definedName name="_bdm.092CEBFB196B4EF4B15692A7302FE797.edm" hidden="1">#REF!</definedName>
    <definedName name="_bdm.0937F7D5D75D47909A107C4153EF30C5.edm" hidden="1">#REF!</definedName>
    <definedName name="_bdm.09AFAB3DD45C40259D0D661C70D88F63.edm" hidden="1">#REF!</definedName>
    <definedName name="_bdm.09C3225684E349BEB89F2E58043DB05E.edm" hidden="1">#REF!</definedName>
    <definedName name="_bdm.09D6CDB831CF4F4A9FA7FA3F64E57896.edm" hidden="1">#REF!</definedName>
    <definedName name="_bdm.0A04109F4DE642828211F8E5FFD2E8BC.edm" hidden="1">#REF!</definedName>
    <definedName name="_bdm.0A2F43ABE2D04B9F9FD289DB08A58AD3.edm" hidden="1">#REF!</definedName>
    <definedName name="_bdm.0A7798EECA3D4C6F924BC65BF9B248C5.edm" hidden="1">#REF!</definedName>
    <definedName name="_bdm.0AC199B2BFCB425890520B873A3C5640.edm" hidden="1">#REF!</definedName>
    <definedName name="_bdm.0B76EE16113A4227B46300A4E53E823A.edm" hidden="1">#REF!</definedName>
    <definedName name="_bdm.0b9b8a24f3a5432ba0d34c62d7daa2ca.edm" hidden="1">#REF!</definedName>
    <definedName name="_bdm.0C3E5CF43C2D474FA7BDC729CF976626.edm" hidden="1">#REF!</definedName>
    <definedName name="_bdm.0C69F422CAD94383AE899860DA775AE7.edm" hidden="1">#REF!</definedName>
    <definedName name="_bdm.0CCF402554B047B89758A622C678946A.edm" hidden="1">#REF!</definedName>
    <definedName name="_bdm.0D25F30EA56E41E79E9E0990DF106014.edm" hidden="1">#REF!</definedName>
    <definedName name="_bdm.0D4CEDC083BA43AC9CBE3B19BB267CC8.edm" hidden="1">#REF!</definedName>
    <definedName name="_bdm.0D66F2102DA9453796575F3EF733FD97.edm" hidden="1">#REF!</definedName>
    <definedName name="_bdm.0D71F6FDA79149FA8C2D2979B25A5B47.edm" hidden="1">#REF!</definedName>
    <definedName name="_bdm.0D7D0A2FF0C84D239C7EA05F0A554C60.edm" hidden="1">#REF!</definedName>
    <definedName name="_bdm.0D85BEC366274B1098DE770C99D18955.edm" hidden="1">#REF!</definedName>
    <definedName name="_bdm.0DCDCCC1E4A34B12855B401E53BD857C.edm" hidden="1">#REF!</definedName>
    <definedName name="_bdm.0E2265CB85284910B3F24AA4CFF74CE8.edm" hidden="1">#REF!</definedName>
    <definedName name="_bdm.0E57AFED54194B4AB10554B9FD6F997C.edm" hidden="1">#REF!</definedName>
    <definedName name="_bdm.0E57DDE48F394EB2B947D10612C8E4C3.edm" hidden="1">#REF!</definedName>
    <definedName name="_bdm.0E619AD851C544279B34512FAE41A17E.edm" hidden="1">#REF!</definedName>
    <definedName name="_bdm.0ED7044BEB924B1FAB3CDF9911304ADE.edm" hidden="1">#REF!</definedName>
    <definedName name="_bdm.0F362917160D47D9A41FA3818D32F960.edm" hidden="1">#REF!</definedName>
    <definedName name="_bdm.0F64D64A02C448C48F32AAE2E66C5ACD.edm" hidden="1">#REF!</definedName>
    <definedName name="_bdm.0F9E4A75A8084A4EAC9D233E819CA240.edm" hidden="1">#REF!</definedName>
    <definedName name="_bdm.0FA0190C04FD4CC38DF90FD3F44F85BF.edm" hidden="1">#REF!</definedName>
    <definedName name="_bdm.10A16FCF34A04B028F591584679F9F8F.edm" hidden="1">#REF!</definedName>
    <definedName name="_bdm.1158CBDD464747C4BE48E55469ADAB34.edm" hidden="1">#REF!</definedName>
    <definedName name="_bdm.11719CF8A9514B50A87E4CC2323DE06F.edm" hidden="1">#REF!</definedName>
    <definedName name="_bdm.11F0CB25C5EB436487D4840A44CDDCFA.edm" hidden="1">#REF!</definedName>
    <definedName name="_bdm.1207F06A4CAE4314B21AC3610F28A8A7.edm" hidden="1">#REF!</definedName>
    <definedName name="_bdm.125357CAB9954C50A5BD65384B3014C7.edm" hidden="1">#REF!</definedName>
    <definedName name="_bdm.126DB9BBC03144B79056BB8BE2CECCDF.edm" hidden="1">#REF!</definedName>
    <definedName name="_bdm.12949C6AD7164DEA9E2FD3E74D86A366.edm" hidden="1">#REF!</definedName>
    <definedName name="_bdm.130517D5DFA3488882A6990A36700E2F.edm" hidden="1">#REF!</definedName>
    <definedName name="_bdm.1338F8100D5E4355B0159C839D447E11.edm" hidden="1">#REF!</definedName>
    <definedName name="_bdm.13D95984D0CF4647A0CC3A50460D6D6A.edm" hidden="1">#REF!</definedName>
    <definedName name="_bdm.13F072D832924B0C92666390467079A3.edm" hidden="1">#REF!</definedName>
    <definedName name="_bdm.142211909C59468685464AE535817CCC.edm" hidden="1">#REF!</definedName>
    <definedName name="_bdm.14242E807BA2453F9DBDEA6DF4858FE8.edm" hidden="1">#REF!</definedName>
    <definedName name="_bdm.145263BE62B047C0BA8DAAEB322DF029.edm" hidden="1">#REF!</definedName>
    <definedName name="_bdm.145E335457CF49589ADFD6587FCEEB0C.edm" hidden="1">#REF!</definedName>
    <definedName name="_bdm.1531FBC4C1A0444D9B850D503047D493.edm" hidden="1">#REF!</definedName>
    <definedName name="_bdm.1537b45e435b44c9ac2e67217bd8b611.edm" hidden="1">#REF!</definedName>
    <definedName name="_bdm.154A0EEDC2C1429CAB787754D44BC151.edm" hidden="1">#REF!</definedName>
    <definedName name="_bdm.155c66bd8ec242f68e70e027a4270924.edm" hidden="1">#REF!</definedName>
    <definedName name="_bdm.159A40241D984E22B6E755BD37282CB3.edm" hidden="1">#REF!</definedName>
    <definedName name="_bdm.15A1AF27FB224EB893236CB9E053131E.edm" hidden="1">#REF!</definedName>
    <definedName name="_bdm.15E83807182E469E9DFA0964047E9888.edm" hidden="1">#REF!</definedName>
    <definedName name="_bdm.15EA24CEEF264530945DC97086B11C80.edm" hidden="1">#REF!</definedName>
    <definedName name="_bdm.162A900B45F64BF7822CAE79CB10BA5E.edm" hidden="1">#REF!</definedName>
    <definedName name="_bdm.1667D34F451B47A291E6F994C4DCF306.edm" hidden="1">#REF!</definedName>
    <definedName name="_bdm.16811257DCDE44DDB81A76A61F6B7F7E.edm" hidden="1">#REF!</definedName>
    <definedName name="_bdm.1695E429EEF54FE1BAF2E4011702C2CA.edm" hidden="1">#REF!</definedName>
    <definedName name="_bdm.16D55D9972914991B64D39AEB296CB0C.edm" hidden="1">#REF!</definedName>
    <definedName name="_bdm.17A0F3974A5A43768101F4374AE1B16D.edm" hidden="1">#REF!</definedName>
    <definedName name="_bdm.17BE326EA6EB4DB091110CF05D75516B.edm" hidden="1">#REF!</definedName>
    <definedName name="_bdm.182A9FBA83B8432D9BDB413817C02B72.edm" hidden="1">#REF!</definedName>
    <definedName name="_bdm.1887192C25D1488D8AAB32CF3883BFF9.edm" hidden="1">#REF!</definedName>
    <definedName name="_bdm.192BE9AC5AF24C509A211230C2240CA9.edm" hidden="1">#REF!</definedName>
    <definedName name="_bdm.1955A69578F44A839B502BCC8124577D.edm" hidden="1">#REF!</definedName>
    <definedName name="_bdm.195E47E570BE45F8A2EB7AF40512102C.edm" hidden="1">#REF!</definedName>
    <definedName name="_bdm.1979A3BD57A74BA2A0DBA381D942F7A1.edm" hidden="1">#REF!</definedName>
    <definedName name="_bdm.199EC7D8A8DC4405B9B299CC3C65C379.edm" hidden="1">#REF!</definedName>
    <definedName name="_bdm.19AD5D6414E749F79A80465322737660.edm" hidden="1">#REF!</definedName>
    <definedName name="_bdm.19DFC8088FAA449B830F76E630D45546.edm" hidden="1">#REF!</definedName>
    <definedName name="_bdm.1A14860B82AD489986628B131292500F.edm" hidden="1">#REF!</definedName>
    <definedName name="_bdm.1A87FBAB81144725BFC4BF8D1862C389.edm" hidden="1">#REF!</definedName>
    <definedName name="_bdm.1ACC49982289490CB47D76BD3C6B2696.edm" hidden="1">#REF!</definedName>
    <definedName name="_bdm.1AE501503E404302AB7FFDA533A1BA2B.edm" hidden="1">#REF!</definedName>
    <definedName name="_bdm.1B0AC81D6080410395D414073E96136E.edm" hidden="1">#REF!</definedName>
    <definedName name="_bdm.1B0E323094674DB9ABED807C5644A4DC.edm" hidden="1">#REF!</definedName>
    <definedName name="_bdm.1B9ED7B7CF634121AC757081B0DD7D5E.edm" hidden="1">#REF!</definedName>
    <definedName name="_bdm.1BA9313F7F7B4EF1A70633AC07832EE6.edm" hidden="1">#REF!</definedName>
    <definedName name="_bdm.1bc2ff79d23844259e7a826f4f5fbe6e.edm" hidden="1">#REF!</definedName>
    <definedName name="_bdm.1BCAC811DDCB47EAA6BF9A137C1C416D.edm" hidden="1">#REF!</definedName>
    <definedName name="_bdm.1BF7A9DEA97342338735D8879A4A34CF.edm" hidden="1">#REF!</definedName>
    <definedName name="_bdm.1C18C33FEA9E4275A82D5BBD43F81EDE.edm" hidden="1">#REF!</definedName>
    <definedName name="_bdm.1C1E3A23B50046EC8F9EED91DF3CD787.edm" hidden="1">#REF!</definedName>
    <definedName name="_bdm.1c9401d0e92643738847071ccf5086ee.edm" hidden="1">#REF!</definedName>
    <definedName name="_bdm.1cb7e6dc996b4b998459c51f3fe60121.edm" hidden="1">#REF!</definedName>
    <definedName name="_bdm.1CDC573934724E70B2A5C1F7CF45E60E.edm" hidden="1">#REF!</definedName>
    <definedName name="_bdm.1CDE706ABE974904AB10D5BEDFF51CF1.edm" hidden="1">#REF!</definedName>
    <definedName name="_bdm.1CECFA91417F4009B2FDA72450A5F8C3.edm" hidden="1">#REF!</definedName>
    <definedName name="_bdm.1D12670863CD4A9EAA7BB07D1DC279EA.edm" hidden="1">#REF!</definedName>
    <definedName name="_bdm.1D31ADDD89E94A38B7BE8F46C37088B8.edm" hidden="1">#REF!</definedName>
    <definedName name="_bdm.1D52F36C41324EF4B068BE9A17809F46.edm" hidden="1">#REF!</definedName>
    <definedName name="_bdm.1D568C423E98429BA50CE4A5BAE58185.edm" hidden="1">#REF!</definedName>
    <definedName name="_bdm.1DB0ADB97D0742ABAEA2D7376DC21402.edm" hidden="1">#REF!</definedName>
    <definedName name="_bdm.1DB35B0ACFD44B3FB77F2F83EEA498E0.edm" hidden="1">#REF!</definedName>
    <definedName name="_bdm.1DD18287B58D428BA7FE8D45A5E25034.edm" hidden="1">#REF!</definedName>
    <definedName name="_bdm.1E250A9BBD0C4AD693576C2B2FF4F068.edm" hidden="1">#REF!</definedName>
    <definedName name="_bdm.1EA526B8C5E34CB28AA8EA1D2F45E8B8.edm" hidden="1">#REF!</definedName>
    <definedName name="_bdm.1F5003A0871A40B2BA29C920FD199116.edm" hidden="1">#REF!</definedName>
    <definedName name="_bdm.1F8BC3D6609C4B51B2A5DEAC429FC129.edm" hidden="1">#REF!</definedName>
    <definedName name="_bdm.1F9C91E94CE14B24B0069000F5CDCBF8.edm" hidden="1">#REF!</definedName>
    <definedName name="_bdm.1FA54639BEE54EB59134EE16B377A8E4.edm" hidden="1">#REF!</definedName>
    <definedName name="_bdm.20311D687E1A431B9FAC57B210E2C282.edm" hidden="1">#REF!</definedName>
    <definedName name="_bdm.203A700151E74AC194E303E69BA9C259.edm" hidden="1">#REF!</definedName>
    <definedName name="_bdm.2042429E53AA4C08AC9E617404CB7153.edm" hidden="1">#REF!</definedName>
    <definedName name="_bdm.20D1717E1E1E47928AB731E30DB9947C.edm" hidden="1">#REF!</definedName>
    <definedName name="_bdm.20FCD0CCBF15413696E662EF72288202.edm" hidden="1">#REF!</definedName>
    <definedName name="_bdm.2146F47469374C119AAD2030C068F203.edm" hidden="1">#REF!</definedName>
    <definedName name="_bdm.216732AF4C6F4D62986B44EFA0222B3E.edm" hidden="1">#REF!</definedName>
    <definedName name="_bdm.220BF2124E2349CCAE98AD60CF444845.edm" hidden="1">#REF!</definedName>
    <definedName name="_bdm.221A9393172942218BF4C88122E45E37.edm" hidden="1">#REF!</definedName>
    <definedName name="_bdm.2241BA10D26F4C11ACE5C55EE1145E07.edm" hidden="1">#REF!</definedName>
    <definedName name="_bdm.22580D505BB142AE89184E80A3C603F1.edm" hidden="1">#REF!</definedName>
    <definedName name="_bdm.22D130A03AB9421CA1FCB40CD2D46030.edm" hidden="1">#REF!</definedName>
    <definedName name="_bdm.23056F044CE54F1EAE02244737BEB950.edm" hidden="1">#REF!</definedName>
    <definedName name="_bdm.2354D5B7850B47EAB812611EF94F3CBD.edm" hidden="1">#REF!</definedName>
    <definedName name="_bdm.2369D5E6E96E4F578EDFD21B3D32D27A.edm" hidden="1">#REF!</definedName>
    <definedName name="_bdm.236C22246BBA4C3EA017A5454CFE263C.edm" hidden="1">#REF!</definedName>
    <definedName name="_bdm.23E6040EB1D940BDAC5668A82F403360.edm" hidden="1">#REF!</definedName>
    <definedName name="_bdm.243033C870B1496C99352D2CA046D777.edm" hidden="1">#REF!</definedName>
    <definedName name="_bdm.24439DF47D0E407FB0E10FB0C97E3593.edm" hidden="1">#REF!</definedName>
    <definedName name="_bdm.244A633BE51C4BE6B52308EE3028EE18.edm" hidden="1">#REF!</definedName>
    <definedName name="_bdm.24653E169C004075BC082966F7F64907.edm" hidden="1">#REF!</definedName>
    <definedName name="_bdm.24B1F2DA7EB7430AACEDDDC204D78793.edm" hidden="1">#REF!</definedName>
    <definedName name="_bdm.255680A2BE3648E1B7BD7122DD345919.edm" hidden="1">#REF!</definedName>
    <definedName name="_bdm.27D8EF2E9E6F414DA976AD0C5088E800.edm" hidden="1">#REF!</definedName>
    <definedName name="_bdm.283E599F1CAC49599565AB148FCCFEC2.edm" hidden="1">#REF!</definedName>
    <definedName name="_bdm.2888b3eab89a43ad8eefb1052df74095.edm" hidden="1">#REF!</definedName>
    <definedName name="_bdm.28CA7875302E480899C83C4C746AC2F9.edm" hidden="1">#REF!</definedName>
    <definedName name="_bdm.28CC8624E0B34500BA82B7F28B86AA75.edm" hidden="1">#REF!</definedName>
    <definedName name="_bdm.28EE8743507B426FA4B33569964B820D.edm" hidden="1">#REF!</definedName>
    <definedName name="_bdm.290BD3F17F46471DBEB7F26906C89E5B.edm" hidden="1">#REF!</definedName>
    <definedName name="_bdm.2931D0A87E59489D8A3D02CDFF8B24A1.edm" hidden="1">#REF!</definedName>
    <definedName name="_bdm.297F424C2D004837B7123A2638F14DFC.edm" hidden="1">#REF!</definedName>
    <definedName name="_bdm.297FC9D4E51A4B0E8E20DB007AD1E0E9.edm" hidden="1">#REF!</definedName>
    <definedName name="_bdm.29A8DCA729B0480692191BBA1ECB364B.edm" hidden="1">#REF!</definedName>
    <definedName name="_bdm.29D2BFE68E4B4D4FB1F4DF43010F7A1D.edm" hidden="1">#REF!</definedName>
    <definedName name="_bdm.2A4E451E80F6415691B1E1070ED5601D.edm" hidden="1">#REF!</definedName>
    <definedName name="_bdm.2A6BF6DD8E584605BFD2E8ED1A2EE461.edm" hidden="1">#REF!</definedName>
    <definedName name="_bdm.2AD9591EB5324E1881983F904BB8556B.edm" hidden="1">#REF!</definedName>
    <definedName name="_bdm.2AF2C812D99445A3BE058A5036406E7C.edm" hidden="1">#REF!</definedName>
    <definedName name="_bdm.2B53328A111A4766BFF6B3964F856064.edm" hidden="1">#REF!</definedName>
    <definedName name="_bdm.2B8B33E735974D8BA19CDDBFDA10BED0.edm" hidden="1">#REF!</definedName>
    <definedName name="_bdm.2C129A74F01D4339AE5BBFA3E6C802F2.edm" hidden="1">#REF!</definedName>
    <definedName name="_bdm.2C962C94BB624EE49E36D5F241F8F320.edm" hidden="1">#REF!</definedName>
    <definedName name="_bdm.2CDB4FAF449542D697F9D6D12C2EC8F7.edm" hidden="1">#REF!</definedName>
    <definedName name="_bdm.2CFBB96DCC934281B58C1FC3E874DB82.edm" hidden="1">#REF!</definedName>
    <definedName name="_bdm.2D5A6F2FF9894B1799FB50C94E31CCD0.edm" hidden="1">#REF!</definedName>
    <definedName name="_bdm.2D5DF318909F47B480C5E9C85BF924A8.edm" hidden="1">#REF!</definedName>
    <definedName name="_bdm.2D7A91730F9842D98F6308186687B43B.edm" hidden="1">#REF!</definedName>
    <definedName name="_bdm.2E1C7F0C1962444AA8095EC6F2E1E2FF.edm" hidden="1">#REF!</definedName>
    <definedName name="_bdm.2EE9F91D5241460AAC5150A0A8DD30FF.edm" hidden="1">#REF!</definedName>
    <definedName name="_bdm.2F24A8BD52384E19A7A637CDC5866186.edm" hidden="1">#REF!</definedName>
    <definedName name="_bdm.2F3014E1336748ACBFF127711BF518B2.edm" hidden="1">#REF!</definedName>
    <definedName name="_bdm.2FB3830FED5E424F8026724EF15EEF7F.edm" hidden="1">#REF!</definedName>
    <definedName name="_bdm.2FCA1F3D04DA47F398AB6557BE3FF8EB.edm" hidden="1">#REF!</definedName>
    <definedName name="_bdm.3013634DB3174C49BABD6DF26D10BA26.edm" hidden="1">#REF!</definedName>
    <definedName name="_bdm.3092689E7F68403C9292BEBC403D2B15.edm" hidden="1">#REF!</definedName>
    <definedName name="_bdm.30A52CDB53DF446BAFD2608C82CBBFBB.edm" hidden="1">#REF!</definedName>
    <definedName name="_bdm.314BBCC8E133420F829BD730B4381557.edm" hidden="1">#REF!</definedName>
    <definedName name="_bdm.314C85E17B5E42D6A4C2682712442560.edm" hidden="1">#REF!</definedName>
    <definedName name="_bdm.31B6306E8C7A4EAF81733B5AA24BFCBF.edm" hidden="1">#REF!</definedName>
    <definedName name="_bdm.31C8B970845647EDB873D792EF7B5E79.edm" hidden="1">#REF!</definedName>
    <definedName name="_bdm.31CB3BA853174858A4C4025B64B4F379.edm" hidden="1">#REF!</definedName>
    <definedName name="_bdm.31e6e666f01d491d9e6a48d724eeaa43.edm" hidden="1">#REF!</definedName>
    <definedName name="_bdm.3233C7588C1749BD8058EE5AB4019F01.edm" hidden="1">#REF!</definedName>
    <definedName name="_bdm.32BCB63BF3684EFC95D579D4E9F5942A.edm" hidden="1">#REF!</definedName>
    <definedName name="_bdm.32F194AB526A44D9A8C9B1AC67B969D8.edm" hidden="1">#REF!</definedName>
    <definedName name="_bdm.337AD6D1572C4F9F85EBEA75803B9C15.edm" hidden="1">#REF!</definedName>
    <definedName name="_bdm.3398062E473B4B32AFF075C67EE2C160.edm" hidden="1">#REF!</definedName>
    <definedName name="_bdm.33986131B98D4251964CED25651EB644.edm" hidden="1">#REF!</definedName>
    <definedName name="_bdm.33DE38A7759D4118B521D651D0CFFC66.edm" hidden="1">#REF!</definedName>
    <definedName name="_bdm.34435927B8D14248B0C154993B72DEB3.edm" hidden="1">#REF!</definedName>
    <definedName name="_bdm.34CBC8E3193247218D22E454CC03207C.edm" hidden="1">#REF!</definedName>
    <definedName name="_bdm.35407A2B587E4D00AC28E15112A7D1EF.edm" hidden="1">#REF!</definedName>
    <definedName name="_bdm.35AECC5D2E9F4E508DDE563733B25B07.edm" hidden="1">#REF!</definedName>
    <definedName name="_bdm.35B7F02BF059416ABF74CE2648BCC59C.edm" hidden="1">#REF!</definedName>
    <definedName name="_bdm.35E62A4D6D1742CDBE37807FC20D0FB9.edm" hidden="1">#REF!</definedName>
    <definedName name="_bdm.36567611414E4F8FAA2D0AFB6001D1ED.edm" hidden="1">#REF!</definedName>
    <definedName name="_bdm.367985CB18ED464082C32C8004AF3DBB.edm" hidden="1">#REF!</definedName>
    <definedName name="_bdm.36C0086C3BD4411FB5AE346B62201E00.edm" hidden="1">#REF!</definedName>
    <definedName name="_bdm.36CBBEFFDC2848E1A8129A5BD9AEA2E9.edm" hidden="1">#REF!</definedName>
    <definedName name="_bdm.36CBE75C6D9745BFB4392A73393E2875.edm" hidden="1">#REF!</definedName>
    <definedName name="_bdm.36EED78BCF6A4F329A6F03710E956449.edm" hidden="1">#REF!</definedName>
    <definedName name="_bdm.37185768DF3E4C10AB9A458860AA499E.edm" hidden="1">#REF!</definedName>
    <definedName name="_bdm.376319E5335E41348647B98BBBF61682.edm" hidden="1">#REF!</definedName>
    <definedName name="_bdm.3799E9FB8BEF4A6893F43F27EC95C8AA.edm" hidden="1">#REF!</definedName>
    <definedName name="_bdm.37F4C6C134A044238455E969E28AD670.edm" hidden="1">#REF!</definedName>
    <definedName name="_bdm.380420F5EFE0498488EF5E95BA68D1CA.edm" hidden="1">#REF!</definedName>
    <definedName name="_bdm.381FD6B3BF33438385FE6CCE4608869C.edm" hidden="1">#REF!</definedName>
    <definedName name="_bdm.38B7258F5EFB4986A43819115B206DB2.edm" hidden="1">#REF!</definedName>
    <definedName name="_bdm.38F9B1050E204BAA8E4CC25AB0668D64.edm" hidden="1">#REF!</definedName>
    <definedName name="_bdm.390076B2B1724DC282FEE00A112E92A1.edm" hidden="1">#REF!</definedName>
    <definedName name="_bdm.398E21BD26974E99B0C3E226AAC64DAC.edm" hidden="1">#REF!</definedName>
    <definedName name="_bdm.399A38FA5E494B158020B00731123182.edm" hidden="1">#REF!</definedName>
    <definedName name="_bdm.39BC9C346A6F4E11BB0CE8B8F8392C19.edm" hidden="1">#REF!</definedName>
    <definedName name="_bdm.39C46D7FA8694EF0AC24C6E14F02EE2D.edm" hidden="1">#REF!</definedName>
    <definedName name="_bdm.3A4AF8DBFC4D4164BC2010E4235A20E8.edm" hidden="1">#REF!</definedName>
    <definedName name="_bdm.3B8522F3ED7A4BCCB773D1FE69842F9E.edm" hidden="1">#REF!</definedName>
    <definedName name="_bdm.3B8E7A0EA01041C391BA21BC930D1529.edm" hidden="1">#REF!</definedName>
    <definedName name="_bdm.3B97C2AD00364D37BCD479E7216675C2.edm" hidden="1">#REF!</definedName>
    <definedName name="_bdm.3BB95F4C655048B89B8364D7B960F54B.edm" hidden="1">#REF!</definedName>
    <definedName name="_bdm.3BD8C7410460442D94800BA334361DD4.edm" hidden="1">#REF!</definedName>
    <definedName name="_bdm.3C0E1C95B7A243FA991988B5F87495BA.edm" hidden="1">#REF!</definedName>
    <definedName name="_bdm.3C31C06D23424B0F9BBDD31A60FAFE51.edm" hidden="1">#REF!</definedName>
    <definedName name="_bdm.3C6262B1B9C140AB8A295AD5117BBFC0.edm" hidden="1">#REF!</definedName>
    <definedName name="_bdm.3C79A173CCCA4761A6BA250D471EF165.edm" hidden="1">#REF!</definedName>
    <definedName name="_bdm.3D4818FE98214A0DA4DD456BC95C9182.edm" hidden="1">#REF!</definedName>
    <definedName name="_bdm.3D67E5DD898C480593F246A4FB5AC379.edm" hidden="1">#REF!</definedName>
    <definedName name="_bdm.3DBA5000F1F44B01A8013D8A2776F93B.edm" hidden="1">#REF!</definedName>
    <definedName name="_bdm.3DCDA2F122984E918C3632823ABDEE7E.edm" hidden="1">#REF!</definedName>
    <definedName name="_bdm.3E1FAD2C99594B8BB40F6E5DF68A9C8D.edm" hidden="1">#REF!</definedName>
    <definedName name="_bdm.3E254AD5EF174F4BBF2A52E6DC592586.edm" hidden="1">#REF!</definedName>
    <definedName name="_bdm.3E4995F3DEB84497B30812B36492435D.edm" hidden="1">#REF!</definedName>
    <definedName name="_bdm.3E57427E33094E3C860DC6DE6540CD25.edm" hidden="1">#REF!</definedName>
    <definedName name="_bdm.3E8EC4CECED840DCB546D616AFBF28DB.edm" hidden="1">#REF!</definedName>
    <definedName name="_bdm.3F406A1BAFBA406884390E04219232B2.edm" hidden="1">#REF!</definedName>
    <definedName name="_bdm.3FA0034DC994420E9AF906A97C0E681E.edm" hidden="1">#REF!</definedName>
    <definedName name="_bdm.3FF64950CD6C47A7A397499F026F3C39.edm" hidden="1">#REF!</definedName>
    <definedName name="_bdm.40112559D5E4466E884D3B1F8FCDDD12.edm" hidden="1">#REF!</definedName>
    <definedName name="_bdm.405AFCC67CCF49BF97536EC8B68EFBC7.edm" hidden="1">#REF!</definedName>
    <definedName name="_bdm.40A391CBA1DF473DA629EA7DF58FFA62.edm" hidden="1">#REF!</definedName>
    <definedName name="_bdm.40EBF2FE6C974EB8935CFA36A4C326D4.edm" hidden="1">#REF!</definedName>
    <definedName name="_bdm.40F8836405664838BFF062ACDB223116.edm" hidden="1">#REF!</definedName>
    <definedName name="_bdm.417FF8FC3C0D41B198142AB1F592CA8C.edm" hidden="1">#REF!</definedName>
    <definedName name="_bdm.41DC81018F2F407CA5527E0CB57460F2.edm" hidden="1">#REF!</definedName>
    <definedName name="_bdm.41E65365630F492CB20D46D6918D1F18.edm" hidden="1">#REF!</definedName>
    <definedName name="_bdm.41F33DEBB3734931A66992C1AAB6A031.edm" hidden="1">#REF!</definedName>
    <definedName name="_bdm.42076A77A6D742958F98CD63B1A53089.edm" hidden="1">#REF!</definedName>
    <definedName name="_bdm.421BA818E9094C49B7FFE188E59680DB.edm" hidden="1">#REF!</definedName>
    <definedName name="_bdm.42796A2C5BC143D8BD1787A88E3A655D.edm" hidden="1">#REF!</definedName>
    <definedName name="_bdm.42812B22AD0A41A2923066B8C187E9EE.edm" hidden="1">#REF!</definedName>
    <definedName name="_bdm.4345BC61883A467DAD689B143D4E7C97.edm" hidden="1">#REF!</definedName>
    <definedName name="_bdm.436A5B2A89364957861D771BE99A9506.edm" hidden="1">#REF!</definedName>
    <definedName name="_bdm.43970535467C4553B38D31CF93689521.edm" hidden="1">#REF!</definedName>
    <definedName name="_bdm.4403443089104777A1B4ABBD4F0ACFAB.edm" hidden="1">#REF!</definedName>
    <definedName name="_bdm.4475071FF37F4A048AAEEC13BD8E4700.edm" hidden="1">#REF!</definedName>
    <definedName name="_bdm.449E70B7B28C49D39D798E9B25B13B75.edm" hidden="1">#REF!</definedName>
    <definedName name="_bdm.44B860AABB0841F99DC42A7A4CECFB43.edm" hidden="1">#REF!</definedName>
    <definedName name="_bdm.44CEB15CC0D04D63AE9B575CD8B5E892.edm" hidden="1">#REF!</definedName>
    <definedName name="_bdm.44DA4D25D50C4DF2A22F7E9F1E64C82A.edm" hidden="1">#REF!</definedName>
    <definedName name="_bdm.45096BB25DB244BBB3D1C693DF142CC0.edm" hidden="1">#REF!</definedName>
    <definedName name="_bdm.4525BDD717B545F7B28B2C7BA7720B2A.edm" hidden="1">#REF!</definedName>
    <definedName name="_bdm.4532287E2BF345DE96143190B56A981D.edm" hidden="1">#REF!</definedName>
    <definedName name="_bdm.45AEAF6B19414AD4BEF6F29E647A87CA.edm" hidden="1">#REF!</definedName>
    <definedName name="_bdm.45C1B34078194882A5A60EAAC24A0223.edm" hidden="1">#REF!</definedName>
    <definedName name="_bdm.4603CDE236824AAC8FC9AD5FF4C418D2.edm" hidden="1">#REF!</definedName>
    <definedName name="_bdm.469A7F3F71F04EC497598BFA373B0209.edm" hidden="1">#REF!</definedName>
    <definedName name="_bdm.46BC919F4EC44D91B7266304BFFC61A4.edm" hidden="1">#REF!</definedName>
    <definedName name="_bdm.46CA101F12174A36A8CCE14751A20B7D.edm" hidden="1">#REF!</definedName>
    <definedName name="_bdm.470206EF5F7844478D4BCDDE32346CC0.edm" hidden="1">#REF!</definedName>
    <definedName name="_bdm.4745397FA48C4A34B881ED85BB504E5A.edm" hidden="1">#REF!</definedName>
    <definedName name="_bdm.4745FD3F262747C2BD5A42CC2A8544A6.edm" hidden="1">#REF!</definedName>
    <definedName name="_bdm.47532CA1B0964B6BA65DD3B6D8AF607D.edm" hidden="1">#REF!</definedName>
    <definedName name="_bdm.47A7B870E4C649B5ACD2C11BB8045AD8.edm" hidden="1">#REF!</definedName>
    <definedName name="_bdm.47CEDC8A53E74E568210DBBAB6265D2E.edm" hidden="1">#REF!</definedName>
    <definedName name="_bdm.47F6196DA00C4CD0AC70EF2DF9331ED4.edm" hidden="1">#REF!</definedName>
    <definedName name="_bdm.4859319D4AC945D884100E3027944EEF.edm" hidden="1">#REF!</definedName>
    <definedName name="_bdm.48682481CC204A2F8C4C77978F03C19B.edm" hidden="1">#REF!</definedName>
    <definedName name="_bdm.488DBA8CF2BB42D2B34411D4D056C112.edm" hidden="1">#REF!</definedName>
    <definedName name="_bdm.488E237133064EFDBAAAB5617C1FB2F7.edm" hidden="1">#REF!</definedName>
    <definedName name="_bdm.48BAD1CB1A254419A166CF08AF09B145.edm" hidden="1">#REF!</definedName>
    <definedName name="_bdm.490301242B7149EEBCA315C7E022E293.edm" hidden="1">#REF!</definedName>
    <definedName name="_bdm.4916C99812684171BD1277B70572E4DE.edm" hidden="1">#REF!</definedName>
    <definedName name="_bdm.492D8A5184EB4813849156403900D6EA.edm" hidden="1">#REF!</definedName>
    <definedName name="_bdm.4932211FBF85435C95A64195D96775FD.edm" hidden="1">#REF!</definedName>
    <definedName name="_bdm.496EC2F381D5411992B05B40C46838E1.edm" hidden="1">#REF!</definedName>
    <definedName name="_bdm.4A606C0EC578442084D602B1DD3B0DF8.edm" hidden="1">#REF!</definedName>
    <definedName name="_bdm.4A72692E881F47FC8DF63BE843DCCE99.edm" hidden="1">#REF!</definedName>
    <definedName name="_bdm.4A783F7B38A041C398FB4289780089BB.edm" hidden="1">#REF!</definedName>
    <definedName name="_bdm.4A8087F5E768429C9C2D6188D3DE2F92.edm" hidden="1">#REF!</definedName>
    <definedName name="_bdm.4ADFE6E8E29D4F799D5F784A962DE0B4.edm" hidden="1">#REF!</definedName>
    <definedName name="_bdm.4B00E8BB533D4516AE51D9D3ABF57AAD.edm" hidden="1">#REF!</definedName>
    <definedName name="_bdm.4B076FF6777C48058DB9E99021E44192.edm" hidden="1">#REF!</definedName>
    <definedName name="_bdm.4B533623101E4741AB0D037BFE985F4B.edm" hidden="1">#REF!</definedName>
    <definedName name="_bdm.4B612965AA2C4F409D48BD9E97026198.edm" hidden="1">#REF!</definedName>
    <definedName name="_bdm.4B6B2ADC3C344C2883A5BF9646E357EA.edm" hidden="1">#REF!</definedName>
    <definedName name="_bdm.4B6C46E59B454A699514A08F9C129618.edm" hidden="1">#REF!</definedName>
    <definedName name="_bdm.4BA88AF9071C434EB75CA3D111800785.edm" hidden="1">#REF!</definedName>
    <definedName name="_bdm.4BC2715A04894F539C9A840AD7C6E1F3.edm" hidden="1">#REF!</definedName>
    <definedName name="_bdm.4C1A311D94D54388BC346092426EBC85.edm" hidden="1">#REF!</definedName>
    <definedName name="_bdm.4C2081DDA1A44BB899E804A8F87F6BE6.edm" hidden="1">#REF!</definedName>
    <definedName name="_bdm.4C4CA548823941D0979C9AD4CADB1483.edm" hidden="1">#REF!</definedName>
    <definedName name="_bdm.4C8543E50909469B854A222A74EC0920.edm" hidden="1">#REF!</definedName>
    <definedName name="_bdm.4CCB1CCC25C4472D8D2F479631AE5C74.edm" hidden="1">#REF!</definedName>
    <definedName name="_bdm.4CDA3DE0CF3B4F0A9D29A0950667235B.edm" hidden="1">#REF!</definedName>
    <definedName name="_bdm.4CFB2746B53D488A91399EB4B0CB849C.edm" hidden="1">#REF!</definedName>
    <definedName name="_bdm.4D647EB3DEC74F4784C742F079ED2D1E.edm" hidden="1">#REF!</definedName>
    <definedName name="_bdm.4D77F958FD5C4724AEC7A4633ABA40D0.edm" hidden="1">#REF!</definedName>
    <definedName name="_bdm.4D8A60806CD0446E82655AD6EB899F07.edm" hidden="1">#REF!</definedName>
    <definedName name="_bdm.4DD714AD356144A3A44876024E769B9E.edm" hidden="1">#REF!</definedName>
    <definedName name="_bdm.4E2D78F033E2441D989566786572A130.edm" hidden="1">#REF!</definedName>
    <definedName name="_bdm.4E316E87D53041F2AF3532629B1596B9.edm" hidden="1">#REF!</definedName>
    <definedName name="_bdm.4E37CB62D75D4FD1B85C191F26BDFD3A.edm" hidden="1">#REF!</definedName>
    <definedName name="_bdm.4E77908CBC1A4F388B871FC250BFCE36.edm" hidden="1">#REF!</definedName>
    <definedName name="_bdm.4EE3828522224C68814290C88B70563A.edm" hidden="1">#REF!</definedName>
    <definedName name="_bdm.4EEC9DC396F346D381ABA3FF33125413.edm" hidden="1">#REF!</definedName>
    <definedName name="_bdm.4F833764966A4C349F79524486F08B93.edm" hidden="1">#REF!</definedName>
    <definedName name="_bdm.4FBC9B6DB5CC4C1DA264DD9BC8D9BECC.edm" hidden="1">#REF!</definedName>
    <definedName name="_bdm.4FC8C391D8854E0E98C969AAE2A3D36E.edm" hidden="1">#REF!</definedName>
    <definedName name="_bdm.4FF61B99AD7B47ACA93E8EC86F8592D5.edm" hidden="1">#REF!</definedName>
    <definedName name="_bdm.5014FA65B2824A279B1E0373193E433C.edm" hidden="1">#REF!</definedName>
    <definedName name="_bdm.50363F92D3A24194AE175164F602BAEE.edm" hidden="1">#REF!</definedName>
    <definedName name="_bdm.50812AE82AB74A268901B4115199C717.edm" hidden="1">#REF!</definedName>
    <definedName name="_bdm.50B0187CEB404A68BF4C1219050ADA96.edm" hidden="1">#REF!</definedName>
    <definedName name="_bdm.50B9C55EE23B46768A54107065AED371.edm" hidden="1">#REF!</definedName>
    <definedName name="_bdm.50ED1A40F9EE49E8B1D577557493701F.edm" hidden="1">#REF!</definedName>
    <definedName name="_bdm.513B86FAEF234EBB9F06FBC32C900D9C.edm" hidden="1">#REF!</definedName>
    <definedName name="_bdm.514E4BF9373940C0ABF3DDBC268D2AB1.edm" hidden="1">#REF!</definedName>
    <definedName name="_bdm.51BA7DB25EBE448ABBFEDB9BB5640A41.edm" hidden="1">#REF!</definedName>
    <definedName name="_bdm.51ED47706F7F41F0979B7DC45C3F4DF3.edm" hidden="1">#REF!</definedName>
    <definedName name="_bdm.52269580E6B84785A4CDA16DA08414CF.edm" hidden="1">#REF!</definedName>
    <definedName name="_bdm.525B180BDD28450DB933B8D8D0545D48.edm" hidden="1">#REF!</definedName>
    <definedName name="_bdm.531299A9D81F4C2C93934AA4114AC560.edm" hidden="1">#REF!</definedName>
    <definedName name="_bdm.53472CAC8AEB44209D9A2CAA9F7BEB88.edm" hidden="1">#REF!</definedName>
    <definedName name="_bdm.534DA17E266744D78FA3BEAD10F2C738.edm" hidden="1">#REF!</definedName>
    <definedName name="_bdm.535FFFAE74274E1C8B1F485F05A6A303.edm" hidden="1">#REF!</definedName>
    <definedName name="_bdm.53B84E3D34E84ED79FAC4D2978EA7DAC.edm" hidden="1">#REF!</definedName>
    <definedName name="_bdm.55535C651C84456796B61515CFAD5C9D.edm" hidden="1">#REF!</definedName>
    <definedName name="_bdm.5554B1BA80034FB38ED63014FCA2F283.edm" hidden="1">#REF!</definedName>
    <definedName name="_bdm.55728FB90CFA4BA4B42E718850D41ACF.edm" hidden="1">#REF!</definedName>
    <definedName name="_bdm.565A9E7B49DB4C5780DCBA06446B44E1.edm" hidden="1">#REF!</definedName>
    <definedName name="_bdm.566650B74F284A04980CAF017A8DA27E.edm" hidden="1">#REF!</definedName>
    <definedName name="_bdm.56B9D25CFD854D67876863F44B4EDAB3.edm" hidden="1">#REF!</definedName>
    <definedName name="_bdm.574F044D02C84D2AA26205001596D2EC.edm" hidden="1">#REF!</definedName>
    <definedName name="_bdm.576F5B2AE1FD4769A74F5A100DDFCE3A.edm" hidden="1">#REF!</definedName>
    <definedName name="_bdm.579C23B4A21C4D8499B175914E722010.edm" hidden="1">#REF!</definedName>
    <definedName name="_bdm.57A0784D146543B6B34C86A7D11FFF51.edm" hidden="1">#REF!</definedName>
    <definedName name="_bdm.57B0C259739E4F99B36381332C57D30B.edm" hidden="1">#REF!</definedName>
    <definedName name="_bdm.57B2DEE8B5D745FF8CDEBB5C2A13DC54.edm" hidden="1">#REF!</definedName>
    <definedName name="_bdm.57D94A0EDD504B1BB6B01D06372D916F.edm" hidden="1">#REF!</definedName>
    <definedName name="_bdm.57DEA67A166A4B81A12F7571D3497B0D.edm" hidden="1">#REF!</definedName>
    <definedName name="_bdm.58195DC6A7414A37BF2595979B2C9CB2.edm" hidden="1">#REF!</definedName>
    <definedName name="_bdm.58AD3DD795F14DC6A2A5E4805392625E.edm" hidden="1">#REF!</definedName>
    <definedName name="_bdm.594A5507A05C48968D525721C3670FF0.edm" hidden="1">#REF!</definedName>
    <definedName name="_bdm.599CC5D95B6447BD961CF0BBFC70EB51.edm" hidden="1">#REF!</definedName>
    <definedName name="_bdm.59A8C4A4FC084119AD23E55381E0ABBA.edm" hidden="1">#REF!</definedName>
    <definedName name="_bdm.59ADD7F14F86475992826D69A91733ED.edm" hidden="1">#REF!</definedName>
    <definedName name="_bdm.5AD5193A591B443A91382D0AC3748949.edm" hidden="1">#REF!</definedName>
    <definedName name="_bdm.5B43395BFC6141A2ACDFE9353D43FCC9.edm" hidden="1">#REF!</definedName>
    <definedName name="_bdm.5B5E7F13594244308FB90F30FAC070AF.edm" hidden="1">#REF!</definedName>
    <definedName name="_bdm.5B67ACBAD14E4510AAA380B097ACD9FE.edm" hidden="1">#REF!</definedName>
    <definedName name="_bdm.5B73EEA478664A0EAF6ACFE5F354659D.edm" hidden="1">#REF!</definedName>
    <definedName name="_bdm.5B74DF75EA074C5B9D8471E9E865E07F.edm" hidden="1">#REF!</definedName>
    <definedName name="_bdm.5BC01332605A416DACCC87C99C93D14C.edm" hidden="1">#REF!</definedName>
    <definedName name="_bdm.5BE99EDC21BF49D1AEBF1CD9E483DBD8.edm" hidden="1">#REF!</definedName>
    <definedName name="_bdm.5BF922A505904465958AE5007E273679.edm" hidden="1">#REF!</definedName>
    <definedName name="_bdm.5C2C294AED2E4CCD9F49A93AEF9057CD.edm" hidden="1">#REF!</definedName>
    <definedName name="_bdm.5C5386C5A18048C78D1B60D9C7CDADA4.edm" hidden="1">#REF!</definedName>
    <definedName name="_bdm.5C775E3798A2425EB40B07112C580DAB.edm" hidden="1">#REF!</definedName>
    <definedName name="_bdm.5CB3E7386A3B446797319EC35B6F3662.edm" hidden="1">#REF!</definedName>
    <definedName name="_bdm.5CDFFBA1D93C47A593D321BC335B82DD.edm" hidden="1">#REF!</definedName>
    <definedName name="_bdm.5CE2137A24CF466996ACEA3893488722.edm" hidden="1">#REF!</definedName>
    <definedName name="_bdm.5cea7bdb11fc4da5ad17b05f709baa1a.edm" hidden="1">#REF!</definedName>
    <definedName name="_bdm.5D1FC9886D044B90A825BE2ABFCA8F94.edm" hidden="1">#REF!</definedName>
    <definedName name="_bdm.5D8553A07A1E4AA0A9EAE5902CF1FD1E.edm" hidden="1">#REF!</definedName>
    <definedName name="_bdm.5DB7A4C9C62C47538C6C5E3D29C1FF2A.edm" hidden="1">#REF!</definedName>
    <definedName name="_bdm.5DE15D5236534969B7A62D4909CA4DA8.edm" hidden="1">#REF!</definedName>
    <definedName name="_bdm.5DFC73F990E4481599AA49889538BDDD.edm" hidden="1">#REF!</definedName>
    <definedName name="_bdm.5E2314137FF6470AA748AD5DE881E368.edm" hidden="1">#REF!</definedName>
    <definedName name="_bdm.5E6BFC95C5654F05B703A36680725732.edm" hidden="1">#REF!</definedName>
    <definedName name="_bdm.5EF48EA95F9142C4BBEADAF17A039319.edm" hidden="1">#REF!</definedName>
    <definedName name="_bdm.5F6410A3D60549D6B03C98204BEF3473.edm" hidden="1">#REF!</definedName>
    <definedName name="_bdm.5F76D1A87FB347F2A19B9966A0E3AB7B.edm" hidden="1">#REF!</definedName>
    <definedName name="_bdm.5FB0077B0D12404E9547C2EFB3C2CA3B.edm" hidden="1">#REF!</definedName>
    <definedName name="_bdm.600B0C2BFB904EFEA1CAF1E07149BB3C.edm" hidden="1">#REF!</definedName>
    <definedName name="_bdm.6020D2B665E8423FABAC4549F09DFF90.edm" hidden="1">#REF!</definedName>
    <definedName name="_bdm.604600B0F9C147AD8A00D9693D4E2A70.edm" hidden="1">#REF!</definedName>
    <definedName name="_bdm.60B0E14EDE144D25A47E87DC4C1A97AE.edm" hidden="1">#REF!</definedName>
    <definedName name="_bdm.60BC93D516F14BDEB07C25BF279C46D6.edm" hidden="1">#REF!</definedName>
    <definedName name="_bdm.60CC501887F44DF0ABB28E1DF2DD8C2B.edm" hidden="1">#REF!</definedName>
    <definedName name="_bdm.60F4385113E940D6B9753F567368D8F8.edm" hidden="1">#REF!</definedName>
    <definedName name="_bdm.612C272EE1CD4083966D60153EC1C0A5.edm" hidden="1">#REF!</definedName>
    <definedName name="_bdm.61339B68388D43708B18CE714EDF1949.edm" hidden="1">#REF!</definedName>
    <definedName name="_bdm.620DA7BECEC3407AA327D2D103124C67.edm" hidden="1">#REF!</definedName>
    <definedName name="_bdm.6290728516F8480BBE311F5A8D2E3158.edm" hidden="1">#REF!</definedName>
    <definedName name="_bdm.633CFB0137554FD39CC29FCD767876AC.edm" hidden="1">#REF!</definedName>
    <definedName name="_bdm.635D1119572E44B9B4177E655C8BCF65.edm" hidden="1">#REF!</definedName>
    <definedName name="_bdm.63CE42EEC6CF4F4CABCC008BDED4C4D4.edm" hidden="1">#REF!</definedName>
    <definedName name="_bdm.63CF90EB5C7148C38DF9F74DE1AA60F5.edm" hidden="1">#REF!</definedName>
    <definedName name="_bdm.6406C354857549378E285E77D03213D9.edm" hidden="1">#REF!</definedName>
    <definedName name="_bdm.64169669F2834794A8325515EAFF013E.edm" hidden="1">#REF!</definedName>
    <definedName name="_bdm.6446DC99222449E4AFF20CC77D4B13F1.edm" hidden="1">#REF!</definedName>
    <definedName name="_bdm.6451671546AF4D309E4BA77B2F28964A.edm" hidden="1">#REF!</definedName>
    <definedName name="_bdm.647953bac24841eba69dc210cb82f208.edm" hidden="1">#REF!</definedName>
    <definedName name="_bdm.64C24747F3554B7DBF029B9A5E8ADD55.edm" hidden="1">#REF!</definedName>
    <definedName name="_bdm.65183E14530440BDAD6CD5AE54BE67F2.edm" hidden="1">#REF!</definedName>
    <definedName name="_bdm.652770F060594AFFA2E8CBC29AAA3DAD.edm" hidden="1">#REF!</definedName>
    <definedName name="_bdm.65516BF838624D69AB9E981E986F2999.edm" hidden="1">#REF!</definedName>
    <definedName name="_bdm.6570DC6AE1D84AB08363D7841ECDB9B4.edm" hidden="1">#REF!</definedName>
    <definedName name="_bdm.65A4690C04B2493EAFBF41B8D83EC55F.edm" hidden="1">#REF!</definedName>
    <definedName name="_bdm.65A714D0B09148ECA96844DFB9C4B62F.edm" hidden="1">#REF!</definedName>
    <definedName name="_bdm.65CCAA1ECA1445588E4DD3781FD8C204.edm" hidden="1">#REF!</definedName>
    <definedName name="_bdm.65E2D6A39B69480DB4BCAEA50A096C49.edm" hidden="1">#REF!</definedName>
    <definedName name="_bdm.65E7C903CF4C418698F9B8CA92F860FF.edm" hidden="1">#REF!</definedName>
    <definedName name="_bdm.6615C7F19C8D442186AE6E09EF77236E.edm" hidden="1">#REF!</definedName>
    <definedName name="_bdm.661EA362D27444EDBC99E1244FBE17DB.edm" hidden="1">#REF!</definedName>
    <definedName name="_bdm.6636C83B3FFC446092EF3E999791D177.edm" hidden="1">#REF!</definedName>
    <definedName name="_bdm.66377CBEF0FA4DE38BBE20C21EE658B6.edm" hidden="1">#REF!</definedName>
    <definedName name="_bdm.6657E4DA471B436D8241282C5C4D2221.edm" hidden="1">#REF!</definedName>
    <definedName name="_bdm.6662A4D0A81D4AFC91DD99A0D0602B1A.edm" hidden="1">#REF!</definedName>
    <definedName name="_bdm.66CE8F8472584C03A22DED7BC8430F6A.edm" hidden="1">#REF!</definedName>
    <definedName name="_bdm.66E5337022A64798B3F06A50AED0A825.edm" hidden="1">#REF!</definedName>
    <definedName name="_bdm.6744804FD7074843815764A01D65BEDC.edm" hidden="1">#REF!</definedName>
    <definedName name="_bdm.67552A077D06470F878707D0138DCB70.edm" hidden="1">#REF!</definedName>
    <definedName name="_bdm.6755B5D1A2EA4D1D8103281B30A03993.edm" hidden="1">#REF!</definedName>
    <definedName name="_bdm.678A7A7C9E084C68A08CC1E990135B54.edm" hidden="1">#REF!</definedName>
    <definedName name="_bdm.67D24E4D48274633BE27D876F806788D.edm" hidden="1">#REF!</definedName>
    <definedName name="_bdm.68184134FC2F454FB974F218DC00E7D6.edm" hidden="1">#REF!</definedName>
    <definedName name="_bdm.681EFA119DB9406F9DF1ED78EAAC84A1.edm" hidden="1">#REF!</definedName>
    <definedName name="_bdm.684F0A64B586481ABC1F19988AF56735.edm" hidden="1">#REF!</definedName>
    <definedName name="_bdm.686BA4B0EE0F4A2B8C1DF0AB3048169A.edm" hidden="1">#REF!</definedName>
    <definedName name="_bdm.689BB5FDBF2F4B5B99CC8F0BF35C6461.edm" hidden="1">#REF!</definedName>
    <definedName name="_bdm.68CAC98C93F548739294D47AF955A8EA.edm" hidden="1">#REF!</definedName>
    <definedName name="_bdm.68CB43D4B24E4ED2AD158214E5E6B2B9.edm" hidden="1">#REF!</definedName>
    <definedName name="_bdm.68D736440C4D4F37A86628213703287E.edm" hidden="1">#REF!</definedName>
    <definedName name="_bdm.68EF90E974924946A34FD26880BB5537.edm" hidden="1">#REF!</definedName>
    <definedName name="_bdm.6936904F447D4EC68E7EF173D0C5D062.edm" hidden="1">#REF!</definedName>
    <definedName name="_bdm.6A52AD2AE3AF421D94E31E092ADDAE99.edm" hidden="1">#REF!</definedName>
    <definedName name="_bdm.6A5ED2555E5C4BB4ABCE79B8EDE944FB.edm" hidden="1">#REF!</definedName>
    <definedName name="_bdm.6A873B2BCB804EAFBC2B77456972A3B7.edm" hidden="1">#REF!</definedName>
    <definedName name="_bdm.6AFFAA2B35274E798FAC9C31D8065D54.edm" hidden="1">#REF!</definedName>
    <definedName name="_bdm.6B51F5C481B544A9BD8A725432C96AC5.edm" hidden="1">#REF!</definedName>
    <definedName name="_bdm.6C3C21AC95604C08847848B124ADF48C.edm" hidden="1">#REF!</definedName>
    <definedName name="_bdm.6C41853A3BA84340A90E32104EB4AB01.edm" hidden="1">#REF!</definedName>
    <definedName name="_bdm.6C545A5672834C759EB8220799CC8363.edm" hidden="1">#REF!</definedName>
    <definedName name="_bdm.6C85ACB8704442A7A04045A2521265B4.edm" hidden="1">#REF!</definedName>
    <definedName name="_bdm.6CF69594D8AD440EBCBDFCBD28712674.edm" hidden="1">#REF!</definedName>
    <definedName name="_bdm.6D37F9B911524C0F8520EF90ED32DB2C.edm" hidden="1">#REF!</definedName>
    <definedName name="_bdm.6D80109B25D5424383004604AEA9BDF5.edm" hidden="1">#REF!</definedName>
    <definedName name="_bdm.6DF3EF3ACED94101B5BCBF6E5B3D6F4C.edm" hidden="1">#REF!</definedName>
    <definedName name="_bdm.6E2F057B730B4657AF2CF08815C87FFF.edm" hidden="1">#REF!</definedName>
    <definedName name="_bdm.6E847D97942440FE804E4EB0802EFAAE.edm" hidden="1">#REF!</definedName>
    <definedName name="_bdm.6EF7119EAD6340CD92B03399ECEA8E2B.edm" hidden="1">#REF!</definedName>
    <definedName name="_bdm.6F0C6B8291EA46E0AD8496FF3F626799.edm" hidden="1">#REF!</definedName>
    <definedName name="_bdm.6F2AEF76A618474F82A9CEBB24EE1F6D.edm" hidden="1">#REF!</definedName>
    <definedName name="_bdm.6F619F8CD06943BDAECED3953268AF65.edm" hidden="1">#REF!</definedName>
    <definedName name="_bdm.6fa2726c8e074c1b86238493dc2c29e9.edm" hidden="1">#REF!</definedName>
    <definedName name="_bdm.6FAEE423EE824B2FBD0CF679DDF4C711.edm" hidden="1">#REF!</definedName>
    <definedName name="_bdm.6FD44E0A6565403489DC6D1D1B3FF914.edm" hidden="1">#REF!</definedName>
    <definedName name="_bdm.70048BDD4A7E4929A406D066035DB80F.edm" hidden="1">#REF!</definedName>
    <definedName name="_bdm.701D6A5DFFE241CFBCFCDEEEFF7B9BCF.edm" hidden="1">#REF!</definedName>
    <definedName name="_bdm.706b133c985b4292916aec40de98dd04.edm" hidden="1">#REF!</definedName>
    <definedName name="_bdm.707f3bfa678d4ed4a3aefc9b9d5c8dfc.edm" hidden="1">#REF!</definedName>
    <definedName name="_bdm.712D82233F5943DB93E4B654F22BD97B.edm" hidden="1">#REF!</definedName>
    <definedName name="_bdm.713FEA2C2E5A491BBD7190A42191AE79.edm" hidden="1">#REF!</definedName>
    <definedName name="_bdm.716B89077B64499C9E1BCE3DA49ADB3F.edm" hidden="1">#REF!</definedName>
    <definedName name="_bdm.718780569997471EB4F1ADF965C79E67.edm" hidden="1">#REF!</definedName>
    <definedName name="_bdm.718C8DEDE2974B66AB1835C3FB3900B5.edm" hidden="1">#REF!</definedName>
    <definedName name="_bdm.71A863AD5E9E4CB3AA4EF0A9091A93C4.edm" hidden="1">#REF!</definedName>
    <definedName name="_bdm.71C1FEC549104A54AB83A17A7B38F132.edm" hidden="1">#REF!</definedName>
    <definedName name="_bdm.71CF3BAE909942D79F8A55676ED3E4FF.edm" hidden="1">#REF!</definedName>
    <definedName name="_bdm.71F7ABF3C603452486B9BCA03F52BCED.edm" hidden="1">#REF!</definedName>
    <definedName name="_bdm.71F975E341104B55BC3D4CFEDA7A213B.edm" hidden="1">#REF!</definedName>
    <definedName name="_bdm.7241906BBC9A475EA726FA52210E5CEA.edm" hidden="1">#REF!</definedName>
    <definedName name="_bdm.72704a4132cf4d26b6c32d6b5514ec73.edm" hidden="1">#REF!</definedName>
    <definedName name="_bdm.7287AD3211274B9B8E5B1CC0A7D3CD4F.edm" hidden="1">#REF!</definedName>
    <definedName name="_bdm.7295872893D34B8E8474F3A43581A390.edm" hidden="1">#REF!</definedName>
    <definedName name="_bdm.72B7FF1692DC40DCAEC82CB7DB4AC2A4.edm" hidden="1">#REF!</definedName>
    <definedName name="_bdm.72E2E89D1BCD40BDA21D5C0C6CDCEC91.edm" hidden="1">#REF!</definedName>
    <definedName name="_bdm.7317FA0965BB429EA337AD9E02AC0386.edm" hidden="1">#REF!</definedName>
    <definedName name="_bdm.73792C09BA20415894D1776E2333B30D.edm" hidden="1">#REF!</definedName>
    <definedName name="_bdm.7386361E77F5404AA8E68C49E609D83F.edm" hidden="1">#REF!</definedName>
    <definedName name="_bdm.73D953FDB78449C7A47A7DEFA6D8509D.edm" hidden="1">#REF!</definedName>
    <definedName name="_bdm.73E4C56E04A8434685AC6E318E4DB50A.edm" hidden="1">#REF!</definedName>
    <definedName name="_bdm.73E995FADFF04E8E83E4998F03AED0FD.edm" hidden="1">#REF!</definedName>
    <definedName name="_bdm.73F36604F28945798910A8125A790330.edm" hidden="1">#REF!</definedName>
    <definedName name="_bdm.74046AA8A4F84BD3888B1D29A8D95BB5.edm" hidden="1">#REF!</definedName>
    <definedName name="_bdm.74077A4FE54F4520BDE062E7FF3C173B.edm" hidden="1">#REF!</definedName>
    <definedName name="_bdm.742B0E1ACE094AC795FF145F1ABA8553.edm" hidden="1">#REF!</definedName>
    <definedName name="_bdm.744D31944E284D8F801779872D883368.edm" hidden="1">#REF!</definedName>
    <definedName name="_bdm.746978C3B6A94892BED7C3DE3AED904B.edm" hidden="1">#REF!</definedName>
    <definedName name="_bdm.749B6C801E93432A9612E032C7C1C449.edm" hidden="1">#REF!</definedName>
    <definedName name="_bdm.74A3A24E66774DB89BB86CE353661400.edm" hidden="1">#REF!</definedName>
    <definedName name="_bdm.74AE004EEF4546E39FAD1A98FF3967AB.edm" hidden="1">#REF!</definedName>
    <definedName name="_bdm.755FD9437A7448B3B0E7713393ECCB48.edm" hidden="1">#REF!</definedName>
    <definedName name="_bdm.7584F6B47FB04649910D785BED6CC6AE.edm" hidden="1">#REF!</definedName>
    <definedName name="_bdm.759218C157294636A70227DA7847E6A0.edm" hidden="1">#REF!</definedName>
    <definedName name="_bdm.75AF7B9E7CDE4E1DA5F61F72D3EE1CAE.edm" hidden="1">#REF!</definedName>
    <definedName name="_bdm.75DCB153729047F4870BA8829C0A795E.edm" hidden="1">#REF!</definedName>
    <definedName name="_bdm.760CE3760193415BB5391E7718FEF8FC.edm" hidden="1">#REF!</definedName>
    <definedName name="_bdm.76186E45501C4A5598A4719D7F5450E0.edm" hidden="1">#REF!</definedName>
    <definedName name="_bdm.7667606FD1BF4E08B50F274015DB683F.edm" hidden="1">#REF!</definedName>
    <definedName name="_bdm.7671C9F3365348DFB0D3C25E5D7E2BCB.edm" hidden="1">#REF!</definedName>
    <definedName name="_bdm.76AD57D1CB1D43FB8FF4D680B78F4B3B.edm" hidden="1">#REF!</definedName>
    <definedName name="_bdm.77CE98ECBAC441CEB11324F14E7312BE.edm" hidden="1">#REF!</definedName>
    <definedName name="_bdm.780863854BC84162B3E94176CBE37B54.edm" hidden="1">#REF!</definedName>
    <definedName name="_bdm.780A6FF00EB049D4B61E603ED518279E.edm" hidden="1">#REF!</definedName>
    <definedName name="_bdm.780D61CE51A5410A8360A1D7F58CC6A7.edm" hidden="1">#REF!</definedName>
    <definedName name="_bdm.786C2A0C73D947259D5C03F48925E7B8.edm" hidden="1">#REF!</definedName>
    <definedName name="_bdm.78A6ED1C6A0144AFBDECACE988503CF0.edm" hidden="1">#REF!</definedName>
    <definedName name="_bdm.78BEAB894A6C4A638D5F70065B582E43.edm" hidden="1">#REF!</definedName>
    <definedName name="_bdm.78CDA029750F4AEAA94BB3CA2BE97774.edm" hidden="1">#REF!</definedName>
    <definedName name="_bdm.78DEE23FC09B4E25A5BDF1AFE1555CA7.edm" hidden="1">#REF!</definedName>
    <definedName name="_bdm.79048CB2734E42A1813A19AF346D6F3B.edm" hidden="1">#REF!</definedName>
    <definedName name="_bdm.795463DE7F094799B0FBCAD462703F08.edm" hidden="1">#REF!</definedName>
    <definedName name="_bdm.795C457511284B6088F0E06FFFA7DF21.edm" hidden="1">#REF!</definedName>
    <definedName name="_bdm.79871DB83CB640A0B693F749114558D1.edm" hidden="1">#REF!</definedName>
    <definedName name="_bdm.79FD3F90A6C949168DC4029894E336FD.edm" hidden="1">#REF!</definedName>
    <definedName name="_bdm.7A0A95368E734241A0FD4133ADA36873.edm" hidden="1">#REF!</definedName>
    <definedName name="_bdm.7A43279EF73C4531ABB73A70F7FFA370.edm" hidden="1">#REF!</definedName>
    <definedName name="_bdm.7A518FAA38604780A25DF4686F0D0CBE.edm" hidden="1">#REF!</definedName>
    <definedName name="_bdm.7A8577E910904AA098FE5C16F9781F61.edm" hidden="1">#REF!</definedName>
    <definedName name="_bdm.7A877A8A3FDE4630B8CFA589622EFA32.edm" hidden="1">#REF!</definedName>
    <definedName name="_bdm.7B005105DA744F0F9A0D93E4F632545C.edm" hidden="1">#REF!</definedName>
    <definedName name="_bdm.7B9D069494B84730AA08A5F27AA59E79.edm" hidden="1">#REF!</definedName>
    <definedName name="_bdm.7BBE5682BF5349FE814DB1C67C412D1A.edm" hidden="1">#REF!</definedName>
    <definedName name="_bdm.7C037EAA3A9B46E1866CA044CB2C4455.edm" hidden="1">#REF!</definedName>
    <definedName name="_bdm.7C1331A7138B4FE19901194A5770BB43.edm" hidden="1">#REF!</definedName>
    <definedName name="_bdm.7C22218B99E7475A8E8311BCBDB6E2FC.edm" hidden="1">#REF!</definedName>
    <definedName name="_bdm.7C34919F0F2F4FC08546460F84CA54C2.edm" hidden="1">#REF!</definedName>
    <definedName name="_bdm.7CFB3C7A53C14AD6AF8A33D3A7D69CAF.edm" hidden="1">#REF!</definedName>
    <definedName name="_bdm.7DC0FF1008B949E4ACD637C545B2DEC5.edm" hidden="1">#REF!</definedName>
    <definedName name="_bdm.7DD7298AEF9E4FD19848028C570F8E1B.edm" hidden="1">#REF!</definedName>
    <definedName name="_bdm.7E949A478C5C4E8EA81F6B538A05C3B2.edm" hidden="1">#REF!</definedName>
    <definedName name="_bdm.7EE7DAB411954D89A86BAAA8589DB4EB.edm" hidden="1">#REF!</definedName>
    <definedName name="_bdm.7F32FCF6E2A64C5384BD39EF67796556.edm" hidden="1">#REF!</definedName>
    <definedName name="_bdm.7F68B67DC19F4EDF8DE59A0DE9040A3C.edm" hidden="1">#REF!</definedName>
    <definedName name="_bdm.7F6B191219C7413A9C9BD20F10A73E9F.edm" hidden="1">#REF!</definedName>
    <definedName name="_bdm.7FB2D5CB000D457097C2125A23ABD8A3.edm" hidden="1">#REF!</definedName>
    <definedName name="_bdm.7FE57F8331F24393BAF982653AAA215F.edm" hidden="1">#REF!</definedName>
    <definedName name="_bdm.8000D0ED14F143D7BF3B830D04AC70A5.edm" hidden="1">#REF!</definedName>
    <definedName name="_bdm.8046897D72AB4E13A26DADC7F932EADC.edm" hidden="1">#REF!</definedName>
    <definedName name="_bdm.807AD1B4903D4C29B197D3AB40C2E14D.edm" hidden="1">#REF!</definedName>
    <definedName name="_bdm.80B72B4CC7864BB786C9377070B58484.edm" hidden="1">#REF!</definedName>
    <definedName name="_bdm.80DEAC0476F04910A7FDC59A2672A0C5.edm" hidden="1">#REF!</definedName>
    <definedName name="_bdm.81272063F9DF4246A3802FA6269CDABC.edm" hidden="1">#REF!</definedName>
    <definedName name="_bdm.8140B3C71E3743CE9E0E685B348B0AAF.edm" hidden="1">#REF!</definedName>
    <definedName name="_bdm.8160F5180AA2414F85BBC64FFC15533A.edm" hidden="1">#REF!</definedName>
    <definedName name="_bdm.8161011CCB9B42DEB9D7FDDFA0418443.edm" hidden="1">#REF!</definedName>
    <definedName name="_bdm.819C8A9889DC4125A766BBEBDBEA5B74.edm" hidden="1">#REF!</definedName>
    <definedName name="_bdm.81ACE81BBA164E598B7D514CD4E45E03.edm" hidden="1">#REF!</definedName>
    <definedName name="_bdm.81CE6D9341AC430CA15D9013A9109D94.edm" hidden="1">#REF!</definedName>
    <definedName name="_bdm.82233BB6D04D4B1BA1907C25E722DE73.edm" hidden="1">#REF!</definedName>
    <definedName name="_bdm.8249142CB5874BF5947E26128AE2C536.edm" hidden="1">#REF!</definedName>
    <definedName name="_bdm.825093C866094DA18554A9A1EDB45C8E.edm" hidden="1">#REF!</definedName>
    <definedName name="_bdm.827CE9CBE1A5419EA323BA343A7F3281.edm" hidden="1">#REF!</definedName>
    <definedName name="_bdm.834773793C014201BDD4E468FE590ABF.edm" hidden="1">#REF!</definedName>
    <definedName name="_bdm.8364506A8F67436AB4C2D4EA73F22E60.edm" hidden="1">#REF!</definedName>
    <definedName name="_bdm.838B0FCDD7B049979F00837C0F84FC52.edm" hidden="1">#REF!</definedName>
    <definedName name="_bdm.83AAA1C402B7473D8D9212209B6D47DC.edm" hidden="1">#REF!</definedName>
    <definedName name="_bdm.83AE7C906A23448AB8FFA6E88E903D8E.edm" hidden="1">#REF!</definedName>
    <definedName name="_bdm.83B61F7F15D74DEF81EC79A0EE6FEAB8.edm" hidden="1">#REF!</definedName>
    <definedName name="_bdm.83D7DDB91E0E4A50AE907BCF05E74CA7.edm" hidden="1">#REF!</definedName>
    <definedName name="_bdm.84051D4190F8449CB0BF1132905819D9.edm" hidden="1">#REF!</definedName>
    <definedName name="_bdm.8487AE5D8AE54BD790AD4F5C2B99FBFF.edm" hidden="1">#REF!</definedName>
    <definedName name="_bdm.848E4AC1402F4D02B9044804BF0B5C89.edm" hidden="1">#REF!</definedName>
    <definedName name="_bdm.84C040F25399428B89F1A1EA545B1BBF.edm" hidden="1">#REF!</definedName>
    <definedName name="_bdm.84DE8D4E81164E479C7007B370CD10F4.edm" hidden="1">#REF!</definedName>
    <definedName name="_bdm.8526E4E157E94271B230FBE469CCE094.edm" hidden="1">#REF!</definedName>
    <definedName name="_bdm.85856CB199BE415FA9C6118E45F4A29C.edm" hidden="1">#REF!</definedName>
    <definedName name="_bdm.858C8CF3CE7441899FDDA9B6C57E6C65.edm" hidden="1">#REF!</definedName>
    <definedName name="_bdm.858E6CCDF89A4FB88D717E14CB51B701.edm" hidden="1">#REF!</definedName>
    <definedName name="_bdm.85BB5722EE86428896EC5BEE8B117527.edm" hidden="1">#REF!</definedName>
    <definedName name="_bdm.861CC7F4F1994F79B904080564E78D73.edm" hidden="1">#REF!</definedName>
    <definedName name="_bdm.862A5E6516DA4B6A817DD26657CCDCEA.edm" hidden="1">#REF!</definedName>
    <definedName name="_bdm.866D5A88DDF044E999C29D3885CA52D9.edm" hidden="1">#REF!</definedName>
    <definedName name="_bdm.86B9E838DDE2464AB661049C0722626C.edm" hidden="1">#REF!</definedName>
    <definedName name="_bdm.8726070A89AB4B3882A9D33302DE411C.edm" hidden="1">#REF!</definedName>
    <definedName name="_bdm.880149438B4E40769C513F230A62AADB.edm" hidden="1">#REF!</definedName>
    <definedName name="_bdm.88175DFAB5D642E59B28E5A5E2A9E7D9.edm" hidden="1">#REF!</definedName>
    <definedName name="_bdm.885D4051384C4401875164F2A1B9CC7B.edm" hidden="1">#REF!</definedName>
    <definedName name="_bdm.8860d0adebed45c9866869622610af93.edm" hidden="1">#REF!</definedName>
    <definedName name="_bdm.8863207985944CDC9477BE90EAFB154A.edm" hidden="1">#REF!</definedName>
    <definedName name="_bdm.887B2159D64B4777B0B66B0BCEB7A045.edm" hidden="1">#REF!</definedName>
    <definedName name="_bdm.888A658DFF374BE6A511AD3B013100E0.edm" hidden="1">#REF!</definedName>
    <definedName name="_bdm.889BDA1E0994448EB1CFE7A9081E6BFA.edm" hidden="1">#REF!</definedName>
    <definedName name="_bdm.88CA575C8E4447C184EF246F886F95BD.edm" hidden="1">#REF!</definedName>
    <definedName name="_bdm.88DED8903826409DB598C5E7D2F75047.edm" hidden="1">#REF!</definedName>
    <definedName name="_bdm.8914963490F74F339E93019DC422D36D.edm" hidden="1">#REF!</definedName>
    <definedName name="_bdm.89466E0617564FA8A23EC92260226AA6.edm" hidden="1">#REF!</definedName>
    <definedName name="_bdm.895EE46A61C74F33A2EEBF94F805BE04.edm" hidden="1">#REF!</definedName>
    <definedName name="_bdm.899b2c04b8e54c39bf2c3820af7b4e78.edm" hidden="1">#REF!</definedName>
    <definedName name="_bdm.89E64871580A42708DA6F5B8074CE3A1.edm" hidden="1">#REF!</definedName>
    <definedName name="_bdm.8A3190BD38CB4DD8BA49200CB4D0DF46.edm" hidden="1">#REF!</definedName>
    <definedName name="_bdm.8A3CB704298D40188F7F699D8EA472A8.edm" hidden="1">#REF!</definedName>
    <definedName name="_bdm.8A492CD34E3144BCAC0DC9E20684BF8F.edm" hidden="1">#REF!</definedName>
    <definedName name="_bdm.8A815BA55AC94E268F12479D3C4056A2.edm" hidden="1">#REF!</definedName>
    <definedName name="_bdm.8A91DB1644E0456B8D29BE9D4BBDEAD2.edm" hidden="1">#REF!</definedName>
    <definedName name="_bdm.8aa1fb62e6f942f68613c6446ff523c4.edm" hidden="1">#REF!</definedName>
    <definedName name="_bdm.8AE8558948E54DBD8CC0EEFA5B387EB3.edm" hidden="1">#REF!</definedName>
    <definedName name="_bdm.8B322929D53F443C944656E333FA6096.edm" hidden="1">#REF!</definedName>
    <definedName name="_bdm.8B64E737F231433C8F1CDC360F025319.edm" hidden="1">#REF!</definedName>
    <definedName name="_bdm.8B78A2AB957747F6B93B8D303C35F585.edm" hidden="1">#REF!</definedName>
    <definedName name="_bdm.8B85DC90E26746F0A653A77A132FF6E5.edm" hidden="1">#REF!</definedName>
    <definedName name="_bdm.8BA3D1CFAAC54559BBDD5D7796041B60.edm" hidden="1">#REF!</definedName>
    <definedName name="_bdm.8C06422A01984EF683A5110143C46D79.edm" hidden="1">#REF!</definedName>
    <definedName name="_bdm.8C41B65CE6E94B249D7FAF1E8C329E6B.edm" hidden="1">#REF!</definedName>
    <definedName name="_bdm.8C64B8EF40FF4BF3A2F282273731F3E6.edm" hidden="1">#REF!</definedName>
    <definedName name="_bdm.8C9301FA29A0429E98EDA65CE0602697.edm" hidden="1">#REF!</definedName>
    <definedName name="_bdm.8C935CDBF11F49B69508354DFC780C29.edm" hidden="1">#REF!</definedName>
    <definedName name="_bdm.8CD6E93CB59D414FAD0F42463A07BB7B.edm" hidden="1">#REF!</definedName>
    <definedName name="_bdm.8CF22BC186664377B11799448A626E8F.edm" hidden="1">#REF!</definedName>
    <definedName name="_bdm.8D086B5E3D0C46E0BD024DAEC7F24AD4.edm" hidden="1">#REF!</definedName>
    <definedName name="_bdm.8D3EC86C52BA4606BD1A5A5867FE3C64.edm" hidden="1">#REF!</definedName>
    <definedName name="_bdm.8D54297434454447AAF435693D46CD7F.edm" hidden="1">#REF!</definedName>
    <definedName name="_bdm.8D6D486671AC47318BC62B7346A075C2.edm" hidden="1">#REF!</definedName>
    <definedName name="_bdm.8D6DA4D1A93E4F0BAB3F6088BCBE409B.edm" hidden="1">#REF!</definedName>
    <definedName name="_bdm.8D79F59BC35F4AAD9A236AE9A431062D.edm" hidden="1">#REF!</definedName>
    <definedName name="_bdm.8D7CD62906BC499D9EEDADA70CFC7B26.edm" hidden="1">#REF!</definedName>
    <definedName name="_bdm.8D82C8C99D7046CF9CAD1659795D3182.edm" hidden="1">#REF!</definedName>
    <definedName name="_bdm.8D9BAA080EDB4388AA8280AA410B5073.edm" hidden="1">#REF!</definedName>
    <definedName name="_bdm.8DB979EE16B945ADB35E53BB54F0CC81.edm" hidden="1">#REF!</definedName>
    <definedName name="_bdm.8E4F78A3EED34ED19509EF5F4BB4333A.edm" hidden="1">#REF!</definedName>
    <definedName name="_bdm.8EA0C54DC51D461B9CA3B97B1AC16C3C.edm" hidden="1">#REF!</definedName>
    <definedName name="_bdm.8EFE2922B3F64A25B03888194D6F1B9C.edm" hidden="1">#REF!</definedName>
    <definedName name="_bdm.8FA0DB3B47234E3CA0A745517A50C55B.edm" hidden="1">#REF!</definedName>
    <definedName name="_bdm.8FB1CF2FD37F44B88AD2697E483BF623.edm" hidden="1">#REF!</definedName>
    <definedName name="_bdm.900FE6B511334CE09799E7B869B786E3.edm" hidden="1">#REF!</definedName>
    <definedName name="_bdm.903570DDD20F48FFB40AF6926CFD0838.edm" hidden="1">#REF!</definedName>
    <definedName name="_bdm.90643D70A19C47A1BB75DF1835CC9670.edm" hidden="1">#REF!</definedName>
    <definedName name="_bdm.908AA8A95AEB4324B10B20CCB383E800.edm" hidden="1">#REF!</definedName>
    <definedName name="_bdm.90A3C6ACD4684869B959CD791EC1F91A.edm" hidden="1">#REF!</definedName>
    <definedName name="_bdm.90C8215E5BD54A7A9E22328502F19FF8.edm" hidden="1">#REF!</definedName>
    <definedName name="_bdm.90DFE3A60CA249D5A87DD9C00562D2B4.edm" hidden="1">#REF!</definedName>
    <definedName name="_bdm.90FCFFCEC10B4A6A9F688105027C04FA.edm" hidden="1">#REF!</definedName>
    <definedName name="_bdm.912D8FA1135E4F16845D504BD8610070.edm" hidden="1">#REF!</definedName>
    <definedName name="_bdm.91C9B260BC2A41E9B16ACBDEFA19A73B.edm" hidden="1">#REF!</definedName>
    <definedName name="_bdm.920A0F51D0DD4FB1951996C84984715E.edm" hidden="1">#REF!</definedName>
    <definedName name="_bdm.9224D39E8B534D3086640BADA8FF9D22.edm" hidden="1">#REF!</definedName>
    <definedName name="_bdm.924FB4728A8E459691A8321945A588BD.edm" hidden="1">#REF!</definedName>
    <definedName name="_bdm.92AF9E69A1E24937B6AFB393E6895FE6.edm" hidden="1">#REF!</definedName>
    <definedName name="_bdm.930AF6CA95CB425B966A9C7517AD43C0.edm" hidden="1">#REF!</definedName>
    <definedName name="_bdm.9338BE5A60D24EBEAB6CB5E2FBC186C4.edm" hidden="1">#REF!</definedName>
    <definedName name="_bdm.940268481BCF4EBFB96B40804C898A69.edm" hidden="1">#REF!</definedName>
    <definedName name="_bdm.94796D4DB1624C1883FC44C0A6137965.edm" hidden="1">#REF!</definedName>
    <definedName name="_bdm.9485A1B057CC47ADB12AA58182F67FC1.edm" hidden="1">#REF!</definedName>
    <definedName name="_bdm.950F999350D2402F8F9CD252B846448F.edm" hidden="1">#REF!</definedName>
    <definedName name="_bdm.952D6C3494F740B9B6AB89B5B627F0AF.edm" hidden="1">#REF!</definedName>
    <definedName name="_bdm.954BEEC1583F4F45B57AF4FCFC591302.edm" hidden="1">#REF!</definedName>
    <definedName name="_bdm.955A87A0840C45B680A1C5A9848C8488.edm" hidden="1">#REF!</definedName>
    <definedName name="_bdm.9560ED134D5240719CDF5E8305669B28.edm" hidden="1">#REF!</definedName>
    <definedName name="_bdm.9569A4D6F29F4A2E9633FD1EFF5FD642.edm" hidden="1">#REF!</definedName>
    <definedName name="_bdm.956EB32E4CE04D8090AC2BCFB0A5E944.edm" hidden="1">#REF!</definedName>
    <definedName name="_bdm.9599E71E069D4694A4308F9390EACE0C.edm" hidden="1">#REF!</definedName>
    <definedName name="_bdm.96066A119F654AD985813B6E79D70A8E.edm" hidden="1">#REF!</definedName>
    <definedName name="_bdm.96929BF5864F482BAACC43FED8AC120B.edm" hidden="1">#REF!</definedName>
    <definedName name="_bdm.97562BC7360A4C108A81BA96A6152153.edm" hidden="1">#REF!</definedName>
    <definedName name="_bdm.97C831ED83734796B9DBC83751131384.edm" hidden="1">#REF!</definedName>
    <definedName name="_bdm.9891137968384BC3BC258754113F7FB4.edm" hidden="1">#REF!</definedName>
    <definedName name="_bdm.989C2D6780374A03933687BB00F7403B.edm" hidden="1">#REF!</definedName>
    <definedName name="_bdm.98EDE5664877452D9564E502C4E78EB9.edm" hidden="1">#REF!</definedName>
    <definedName name="_bdm.99854DD3891E445A9498DDEDFC86191B.edm" hidden="1">#REF!</definedName>
    <definedName name="_bdm.999BD36007574D72976FC3CD5BE51769.edm" hidden="1">#REF!</definedName>
    <definedName name="_bdm.9A51C4E9834C499C8E127D72F95222C1.edm" hidden="1">#REF!</definedName>
    <definedName name="_bdm.9ACF978DB46D4B27A791244E02C39383.edm" hidden="1">#REF!</definedName>
    <definedName name="_bdm.9ba439b558534e2ea4403faee3fdb105.edm" hidden="1">#REF!</definedName>
    <definedName name="_bdm.9BED4F0D3104470DA59089488DE3A451.edm" hidden="1">#REF!</definedName>
    <definedName name="_bdm.9C26B01883584D23A0EEEB2B79EB3397.edm" hidden="1">#REF!</definedName>
    <definedName name="_bdm.9C832138E8AE4DC1834BCCD06A2E088B.edm" hidden="1">#REF!</definedName>
    <definedName name="_bdm.9cd45dd0122e46928babaeea36f5fe6c.edm" hidden="1">#REF!</definedName>
    <definedName name="_bdm.9CF58387819B44E3BAC94551365B35BD.edm" hidden="1">#REF!</definedName>
    <definedName name="_bdm.9D04F99DB13548A6AF4DD844CAA56568.edm" hidden="1">#REF!</definedName>
    <definedName name="_bdm.9D43E943417445ED85D6A7102E3E8315.edm" hidden="1">#REF!</definedName>
    <definedName name="_bdm.9D675A1A8AD745BA903962E0018363F9.edm" hidden="1">#REF!</definedName>
    <definedName name="_bdm.9DCF4C7295FC494A827327367CB77234.edm" hidden="1">#REF!</definedName>
    <definedName name="_bdm.9DDD9E78E9C44739A5B0B053C9889667.edm" hidden="1">#REF!</definedName>
    <definedName name="_bdm.9E3B072569F0481BB44A4F19123CED1A.edm" hidden="1">#REF!</definedName>
    <definedName name="_bdm.9E5358047E13482682441224B2BD8CEA.edm" hidden="1">#REF!</definedName>
    <definedName name="_bdm.9E839F28785248C394335CEBA9C58DA5.edm" hidden="1">#REF!</definedName>
    <definedName name="_bdm.9EA663208E51497F97D7992EA0000F50.edm" hidden="1">#REF!</definedName>
    <definedName name="_bdm.9EBD318991AF430E9C76993D4BD37CE6.edm" hidden="1">#REF!</definedName>
    <definedName name="_bdm.9EF28BA5C76746829186982B47CFE18F.edm" hidden="1">#REF!</definedName>
    <definedName name="_bdm.9F41FEF3B94343C3BA70C9DFB1EC00F8.edm" hidden="1">#REF!</definedName>
    <definedName name="_bdm.9F624989C7F74AE8BC7E695101E00664.edm" hidden="1">#REF!</definedName>
    <definedName name="_bdm.9F62F88DCFFF4F52A1D29D4A6698DE0E.edm" hidden="1">#REF!</definedName>
    <definedName name="_bdm.9f6ceee203e94c719ef79fb8e6ac6dc6.edm" hidden="1">#REF!</definedName>
    <definedName name="_bdm.A02FA8A70F0E408D94269B1F484E34DB.edm" hidden="1">#REF!</definedName>
    <definedName name="_bdm.A041BB2A7CD8408887C53C0D3EBE40E8.edm" hidden="1">#REF!</definedName>
    <definedName name="_bdm.A08384FC0EF44C50AD60DE29A72BE425.edm" hidden="1">#REF!</definedName>
    <definedName name="_bdm.A08404B942744738AD935BC650A3E542.edm" hidden="1">#REF!</definedName>
    <definedName name="_bdm.A0DD5211C89A4AE68A1ECFCB64FE2D26.edm" hidden="1">#REF!</definedName>
    <definedName name="_bdm.A12E83E16E76498BB90075A3B5C34A88.edm" hidden="1">#REF!</definedName>
    <definedName name="_bdm.A1433DFE1DAF4ACCA11FFC4F5F28D1AA.edm" hidden="1">#REF!</definedName>
    <definedName name="_bdm.A18132FC3F3342DABB10D4CCD727BA67.edm" hidden="1">#REF!</definedName>
    <definedName name="_bdm.A1F2B6409CD7425CAC798AB6C5F6FB5B.edm" hidden="1">#REF!</definedName>
    <definedName name="_bdm.A202E4ACBDA44B45A85F8FA1DCC66E11.edm" hidden="1">#REF!</definedName>
    <definedName name="_bdm.a253d84fd03245f8bdadcfd3a20d93bc.edm" hidden="1">#REF!</definedName>
    <definedName name="_bdm.A28D4ED714CD4CA88C11F0CBE470935E.edm" hidden="1">#REF!</definedName>
    <definedName name="_bdm.A2A0ED8BC65C45379A530AAFE4617CD9.edm" hidden="1">#REF!</definedName>
    <definedName name="_bdm.A2AAB5BBD7944F0BB788A2CE413088D3.edm" hidden="1">#REF!</definedName>
    <definedName name="_bdm.A2BFF84F4CC34774AD625B6D399473E4.edm" hidden="1">#REF!</definedName>
    <definedName name="_bdm.A2F754B116544C0DA3777EE4283473FC.edm" hidden="1">#REF!</definedName>
    <definedName name="_bdm.A348F4BEB7CE41BAA0221950FBEBC966.edm" hidden="1">#REF!</definedName>
    <definedName name="_bdm.A3729AD8894D417EBF0E35167E7CD68C.edm" hidden="1">#REF!</definedName>
    <definedName name="_bdm.A3FDC1E4164A45E485196544B4D5B590.edm" hidden="1">#REF!</definedName>
    <definedName name="_bdm.A4037FE5EC384836AFE1552295245158.edm" hidden="1">#REF!</definedName>
    <definedName name="_bdm.A43DACD74AFF4D2781689B61C2333422.edm" hidden="1">#REF!</definedName>
    <definedName name="_bdm.A467139AD39640AF97B8603B0977AE86.edm" hidden="1">#REF!</definedName>
    <definedName name="_bdm.A470B3CFDA3F4FD0BF1EEB8D71A2623B.edm" hidden="1">#REF!</definedName>
    <definedName name="_bdm.A470CA5FED6041FEBC1EC37E28EC7DC3.edm" hidden="1">#REF!</definedName>
    <definedName name="_bdm.A49562D9699A4FE883B9C74A9E113FBF.edm" hidden="1">#REF!</definedName>
    <definedName name="_bdm.A69272A4F82344B18E6F35C4FEE5CB00.edm" hidden="1">#REF!</definedName>
    <definedName name="_bdm.A6942078050042589889DC168F92BA2F.edm" hidden="1">#REF!</definedName>
    <definedName name="_bdm.A6D5D5BE9B8D4572B4B65EF9B8B3B53B.edm" hidden="1">#REF!</definedName>
    <definedName name="_bdm.A6D7EA25277D45AC8C2C60CB5F178778.edm" hidden="1">#REF!</definedName>
    <definedName name="_bdm.A6F4359E09FC417E948172BF7206CEBE.edm" hidden="1">#REF!</definedName>
    <definedName name="_bdm.A73046639537422192DDAB0E7BF0413E.edm" hidden="1">#REF!</definedName>
    <definedName name="_bdm.A733E4DF48214AD0A52C890E108341C6.edm" hidden="1">#REF!</definedName>
    <definedName name="_bdm.A737E2BEAD62480D9DE24F3DD76B5A8E.edm" hidden="1">#REF!</definedName>
    <definedName name="_bdm.A769E45D9E584B0482F38385330F766E.edm" hidden="1">#REF!</definedName>
    <definedName name="_bdm.A77FC71116174A3A8A3D66F06CAD732E.edm" hidden="1">#REF!</definedName>
    <definedName name="_bdm.A7AF57688F77444AA4C86EF55DE0BBB1.edm" hidden="1">#REF!</definedName>
    <definedName name="_bdm.A7BD44AC7F5B4CA5AD390385662D8838.edm" hidden="1">#REF!</definedName>
    <definedName name="_bdm.A80901631C3A404FBDF06DB8D4F3015F.edm" hidden="1">#REF!</definedName>
    <definedName name="_bdm.A8220C2919D74971A28135A436A10E76.edm" hidden="1">#REF!</definedName>
    <definedName name="_bdm.A83E7B5A3A22489186EB3D1CE0D186CE.edm" hidden="1">#REF!</definedName>
    <definedName name="_bdm.A83F9BFDA26C4DF5A331E3769725D794.edm" hidden="1">#REF!</definedName>
    <definedName name="_bdm.A85486B322794D77BF1C6A81AEAFE488.edm" hidden="1">#REF!</definedName>
    <definedName name="_bdm.A87F0343816C4B00A848C30B70BF8C91.edm" hidden="1">#REF!</definedName>
    <definedName name="_bdm.A99695FDF8F841E58E288B1972E913B0.edm" hidden="1">#REF!</definedName>
    <definedName name="_bdm.A9E3240BA7B34DDDAFEFBD34858D688B.edm" hidden="1">#REF!</definedName>
    <definedName name="_bdm.AA39163E72BA4A799CE9B20C0420E566.edm" hidden="1">#REF!</definedName>
    <definedName name="_bdm.AA3B00CA538B4170BC9172D90C4D0D61.edm" hidden="1">#REF!</definedName>
    <definedName name="_bdm.AA4C35EDCCD9419C8CE0457C53D7E50B.edm" hidden="1">#REF!</definedName>
    <definedName name="_bdm.AA6615E7803C492AB2D71656A0DBD240.edm" hidden="1">#REF!</definedName>
    <definedName name="_bdm.AA86395705C64E8880689B68D0DFC2DF.edm" hidden="1">#REF!</definedName>
    <definedName name="_bdm.AAE17AE71F9E4D63814858A316658595.edm" hidden="1">#REF!</definedName>
    <definedName name="_bdm.AAF5CE366D08433B852FFB2FE6BEE7BD.edm" hidden="1">#REF!</definedName>
    <definedName name="_bdm.AB09FA4C44D64A40BCFB545C08BAFD93.edm" hidden="1">#REF!</definedName>
    <definedName name="_bdm.AB14D56BE77C4B9B9DA2E8184A1DF436.edm" hidden="1">#REF!</definedName>
    <definedName name="_bdm.AB3019983F6B4316835E1967524648FC.edm" hidden="1">#REF!</definedName>
    <definedName name="_bdm.ab5bd070bbf84f7e9fb40a409af0ff41.edm" hidden="1">#REF!</definedName>
    <definedName name="_bdm.AB9C13836CED4567B53E9B582B0342DF.edm" hidden="1">#REF!</definedName>
    <definedName name="_bdm.ABAC954A098E4356906F14FDAF2954C0.edm" hidden="1">#REF!</definedName>
    <definedName name="_bdm.AC3CFCBD64AF4465A21B16462691640B.edm" hidden="1">#REF!</definedName>
    <definedName name="_bdm.AC6640CEDCE441578FAA92381559EE63.edm" hidden="1">#REF!</definedName>
    <definedName name="_bdm.AC817B8114854C9AA1C3BBD614D5DC16.edm" hidden="1">#REF!</definedName>
    <definedName name="_bdm.AD4475C6049D4AFD8060E9A1FC6E4A4D.edm" hidden="1">#REF!</definedName>
    <definedName name="_bdm.AD6C4367A22644B6B29B4934EDB7648D.edm" hidden="1">#REF!</definedName>
    <definedName name="_bdm.AD76BB8F7E66408C980C2B593D8176F0.edm" hidden="1">#REF!</definedName>
    <definedName name="_bdm.ADB3C30D7DA74741A8E764413E501F32.edm" hidden="1">#REF!</definedName>
    <definedName name="_bdm.ADBBC52509E84A8AB4591CE7B43ED9D2.edm" hidden="1">#REF!</definedName>
    <definedName name="_bdm.ADC9AFA37B1C41BE9D28617CD60766CB.edm" hidden="1">#REF!</definedName>
    <definedName name="_bdm.AE27A77C217245259E0259A13819A9F6.edm" hidden="1">#REF!</definedName>
    <definedName name="_bdm.AE324C0EFF074C0197C95B1FB405D773.edm" hidden="1">#REF!</definedName>
    <definedName name="_bdm.AE5ADE38CD254C8CA25AF7947556E0C5.edm" hidden="1">#REF!</definedName>
    <definedName name="_bdm.AE5EFC8A440F4DAEA4675884E7FC20A6.edm" hidden="1">#REF!</definedName>
    <definedName name="_bdm.AE6936B336C044B1BBBD12FCF4CD0028.edm" hidden="1">#REF!</definedName>
    <definedName name="_bdm.AE6FCA00EA8F4D7FAB4F82446B6941CF.edm" hidden="1">#REF!</definedName>
    <definedName name="_bdm.AF1844E2732B44F79A2F43077BF709AF.edm" hidden="1">#REF!</definedName>
    <definedName name="_bdm.AF35239CE0974434AC10DACCD1E36B59.edm" hidden="1">#REF!</definedName>
    <definedName name="_bdm.af6c8941be5840cb9c166e91b7e5b198.edm" hidden="1">#REF!</definedName>
    <definedName name="_bdm.AFCF23D83892422FAC7545C43EA58DB6.edm" hidden="1">#REF!</definedName>
    <definedName name="_bdm.B04649C3967146F79FEDA4226837A011.edm" hidden="1">#REF!</definedName>
    <definedName name="_bdm.B05868D7CFB5427BA7667BFE5523A38C.edm" hidden="1">#REF!</definedName>
    <definedName name="_bdm.B08D9B2E1E5C467FAD84153C4F8C218F.edm" hidden="1">#REF!</definedName>
    <definedName name="_bdm.B11A7C87792B41DD911022A159DA9FA1.edm" hidden="1">#REF!</definedName>
    <definedName name="_bdm.b122d6565e71431abfd7aeb9b109ca8b.edm" hidden="1">#REF!</definedName>
    <definedName name="_bdm.B160ACD87BBE404295D6E718C7EEE8BD.edm" hidden="1">#REF!</definedName>
    <definedName name="_bdm.B17C0AFAB1004D9DBFF2C69FB42EB4DA.edm" hidden="1">#REF!</definedName>
    <definedName name="_bdm.B1820589BF7D48F08786D8D56A4DDDFC.edm" hidden="1">#REF!</definedName>
    <definedName name="_bdm.B1D13CA3107D4038A214A3833A2E2EAB.edm" hidden="1">#REF!</definedName>
    <definedName name="_bdm.B1F42FE6D8604637BBC6CC64E835F4AD.edm" hidden="1">#REF!</definedName>
    <definedName name="_bdm.B21787D56AC441A79E3AD13FD19B6441.edm" hidden="1">#REF!</definedName>
    <definedName name="_bdm.B26F9BEC34194C2C88A5750A643D43D7.edm" hidden="1">#REF!</definedName>
    <definedName name="_bdm.B2FCEC92C0464D9F82B354EDE35E6654.edm" hidden="1">#REF!</definedName>
    <definedName name="_bdm.B340EEAFA4054E38829CC9CFF2A07E42.edm" hidden="1">#REF!</definedName>
    <definedName name="_bdm.B35B97B8793B4C7A9FA22AC0F0AED334.edm" hidden="1">#REF!</definedName>
    <definedName name="_bdm.B3A75AE6B43D4F35A3BBAADA036DBFDE.edm" hidden="1">#REF!</definedName>
    <definedName name="_bdm.B41AAE715AFA4D149E59AC3EBCFABA59.edm" hidden="1">#REF!</definedName>
    <definedName name="_bdm.B42573B5D56F41359F8626B7EC000C2F.edm" hidden="1">#REF!</definedName>
    <definedName name="_bdm.B4C84D0CC9FF4A328B976BB13E1D7CA0.edm" hidden="1">#REF!</definedName>
    <definedName name="_bdm.B4F9C0FC434644B2A901DD43ADE90E65.edm" hidden="1">#REF!</definedName>
    <definedName name="_bdm.B50C4A5A74A0427EAF61F18779F02C15.edm" hidden="1">#REF!</definedName>
    <definedName name="_bdm.B51D87D353C24686B87B194FFC020F76.edm" hidden="1">#REF!</definedName>
    <definedName name="_bdm.B52F8392671A43959D4291658FD25D97.edm" hidden="1">#REF!</definedName>
    <definedName name="_bdm.B5A393A56AE24866AE28D251FD9C58AF.edm" hidden="1">#REF!</definedName>
    <definedName name="_bdm.B5BBB5108E1A44E797E876894F01B919.edm" hidden="1">#REF!</definedName>
    <definedName name="_bdm.B5D0B6F2DA3044C2B0160E4D2F3D091A.edm" hidden="1">#REF!</definedName>
    <definedName name="_bdm.B5E6FE458A3848568DAD2D671EED324E.edm" hidden="1">#REF!</definedName>
    <definedName name="_bdm.B667E4AA4A2F4F7BA5DCB3D3FFD10BE3.edm" hidden="1">#REF!</definedName>
    <definedName name="_bdm.B6848C371F2D4907A8B604A77C6BFF15.edm" hidden="1">#REF!</definedName>
    <definedName name="_bdm.B6918BA8F55F4441BB1C89457A7D9BD7.edm" hidden="1">#REF!</definedName>
    <definedName name="_bdm.B6AD30C905F443A29824E83F7AF67D8E.edm" hidden="1">#REF!</definedName>
    <definedName name="_bdm.B6E8FCE40ACF4A369ADD07DFFAA098D8.edm" hidden="1">#REF!</definedName>
    <definedName name="_bdm.B72666BF7A2A42C0B1A8CA63EEC84EB1.edm" hidden="1">#REF!</definedName>
    <definedName name="_bdm.B72D4353FA7D4459BE39FD30AB111512.edm" hidden="1">#REF!</definedName>
    <definedName name="_bdm.b7fbb8aee57d418fba5e8f32b93364c8.edm" hidden="1">#REF!</definedName>
    <definedName name="_bdm.B8A08A536E5D40019F51EB28AD395DB9.edm" hidden="1">#REF!</definedName>
    <definedName name="_bdm.B8E60192F21F41268115BB3CF01A44E8.edm" hidden="1">#REF!</definedName>
    <definedName name="_bdm.B930E6AA513A448BAF08C508A591FE1F.edm" hidden="1">#REF!</definedName>
    <definedName name="_bdm.B957D0EEA3EC4B44A0CB099FE0F61F87.edm" hidden="1">#REF!</definedName>
    <definedName name="_bdm.B97327BFC9C149229E236CEDFEEE11BE.edm" hidden="1">#REF!</definedName>
    <definedName name="_bdm.B992F56BF2DC4355A52C48814710CF28.edm" hidden="1">#REF!</definedName>
    <definedName name="_bdm.B9CBB87A735C4C95A58B1150932B604B.edm" hidden="1">#REF!</definedName>
    <definedName name="_bdm.ba34f719a1f44480916be4d78bbd0d3f.edm" hidden="1">#REF!</definedName>
    <definedName name="_bdm.BA4DA65D5FE94BADBB08B5C69CD6662C.edm" hidden="1">#REF!</definedName>
    <definedName name="_bdm.BA6009C5D5C8466A94DB9823E0AEF783.edm" hidden="1">#REF!</definedName>
    <definedName name="_bdm.BA69D08144F645039A6944B51E997904.edm" hidden="1">#REF!</definedName>
    <definedName name="_bdm.bad4116376ae4f18b391637944a19259.edm" hidden="1">#REF!</definedName>
    <definedName name="_bdm.BB376D15F8814C8C9DBF8D7331DE1F95.edm" hidden="1">#REF!</definedName>
    <definedName name="_bdm.BB44247E72E44F4BB75FDA227048693A.edm" hidden="1">#REF!</definedName>
    <definedName name="_bdm.BB7F212D0D9D4770BC65A1D31FBC12B3.edm" hidden="1">#REF!</definedName>
    <definedName name="_bdm.BBB17F076952403A9C3D323588726E58.edm" hidden="1">#REF!</definedName>
    <definedName name="_bdm.BBBB2C3757F94880AF280F98089F55D5.edm" hidden="1">#REF!</definedName>
    <definedName name="_bdm.BBF206CFCD144A1D8BC9A2D302F48F91.edm" hidden="1">#REF!</definedName>
    <definedName name="_bdm.BC8B9711970B42E6BDF9945D6D0C97B7.edm" hidden="1">#REF!</definedName>
    <definedName name="_bdm.BD2B0605A30441DAADCC93A7AFAE5BA4.edm" hidden="1">#REF!</definedName>
    <definedName name="_bdm.BD79EBD31D534FC6A991C730014C32B1.edm" hidden="1">#REF!</definedName>
    <definedName name="_bdm.BDA21382DABB4DE3923CD8FAA3C4062C.edm" hidden="1">#REF!</definedName>
    <definedName name="_bdm.BDE71E8F074A405AACA36B13074DDC36.edm" hidden="1">#REF!</definedName>
    <definedName name="_bdm.BE1BB69FA2BA44669F5A0F18B84E1F3F.edm" hidden="1">#REF!</definedName>
    <definedName name="_bdm.BE6013984A2248778FF9FC5A515FFEAF.edm" hidden="1">#REF!</definedName>
    <definedName name="_bdm.BE642C5827FD477B8DBA7A7C7151B188.edm" hidden="1">#REF!</definedName>
    <definedName name="_bdm.BEDC30F690D4470691CE72B7C8CA4B71.edm" hidden="1">#REF!</definedName>
    <definedName name="_bdm.BF091548045D4966A16362B2F34CF198.edm" hidden="1">#REF!</definedName>
    <definedName name="_bdm.BF165F6F2EBE483D922CCB5C733CC7BC.edm" hidden="1">#REF!</definedName>
    <definedName name="_bdm.BFA65FFBF4244EFA8704668DCE55A7E5.edm" hidden="1">#REF!</definedName>
    <definedName name="_bdm.BFB2303463084596B58FFD9A36A7F01F.edm" hidden="1">#REF!</definedName>
    <definedName name="_bdm.BFEDE1F28A8B4C878F6790D9E0BEAB64.edm" hidden="1">#REF!</definedName>
    <definedName name="_bdm.C01B95EC0F294CC1BE98174EAA81581A.edm" hidden="1">#REF!</definedName>
    <definedName name="_bdm.C06CC84222DC412F998A7908A094E905.edm" hidden="1">#REF!</definedName>
    <definedName name="_bdm.C0A73CF047C64ADAB1A9E7FBD763925D.edm" hidden="1">#REF!</definedName>
    <definedName name="_bdm.C0CAD2B5D919416EBBE50902B6A16285.edm" hidden="1">#REF!</definedName>
    <definedName name="_bdm.C0DFBF2BDBE747F29A6DD5CCB710B849.edm" hidden="1">#REF!</definedName>
    <definedName name="_bdm.C131632933F543CCBC37431F5FE1F95F.edm" hidden="1">#REF!</definedName>
    <definedName name="_bdm.C16FA342A5BD40A9BB2F9D1DF3AB2129.edm" hidden="1">#REF!</definedName>
    <definedName name="_bdm.C1893DAF126E4BCD85598CDB9915B843.edm" hidden="1">#REF!</definedName>
    <definedName name="_bdm.C1D8BC6B942A4BF9A068DB14E033D2D6.edm" hidden="1">#REF!</definedName>
    <definedName name="_bdm.C22F3F6982324D4F918B253D5338696E.edm" hidden="1">#REF!</definedName>
    <definedName name="_bdm.C263C78EEBAE4B97916A80C4EB27E9BE.edm" hidden="1">#REF!</definedName>
    <definedName name="_bdm.C276E50163FA4084A43CF2DA3EFD3A6C.edm" hidden="1">#REF!</definedName>
    <definedName name="_bdm.C27A87D5C52041419DB4810D2A1FF5BE.edm" hidden="1">#REF!</definedName>
    <definedName name="_bdm.C2DFDDF38EE7498EA476890EDAD5621B.edm" hidden="1">#REF!</definedName>
    <definedName name="_bdm.C2F7F084DF914959AEF6BBB275B1C040.edm" hidden="1">#REF!</definedName>
    <definedName name="_bdm.C31B2E6C795D42CCB8796DBC9F4302D9.edm" hidden="1">#REF!</definedName>
    <definedName name="_bdm.C38062192C134E98889D70A2588A02EC.edm" hidden="1">#REF!</definedName>
    <definedName name="_bdm.C3A6BE3B66B548529D5D28F13533F0FC.edm" hidden="1">#REF!</definedName>
    <definedName name="_bdm.C4283B0B4A09400D8C5F79954248E122.edm" hidden="1">#REF!</definedName>
    <definedName name="_bdm.C451FA52C8D243D5B6AF2B6C9406EBDE.edm" hidden="1">#REF!</definedName>
    <definedName name="_bdm.C4CA81947B4048D3B27E40102905D7F3.edm" hidden="1">#REF!</definedName>
    <definedName name="_bdm.C511CF254C39486D8522728B099B2A34.edm" hidden="1">#REF!</definedName>
    <definedName name="_bdm.C527CBBDFD9E491BA6048BB6B2EB83A7.edm" hidden="1">#REF!</definedName>
    <definedName name="_bdm.c554f2aa9f154419b4050bfd5e1f49ca.edm" hidden="1">#REF!</definedName>
    <definedName name="_bdm.C56C159226A745BD8A9ACDBE0FD6FE34.edm" hidden="1">#REF!</definedName>
    <definedName name="_bdm.C58884F297EF400CA5ADDC7DED4D5FA7.edm" hidden="1">#REF!</definedName>
    <definedName name="_bdm.C599B1F55D5040CCBE60A30CCFB53B7A.edm" hidden="1">#REF!</definedName>
    <definedName name="_bdm.C5A626AF13F0405689CF4992811055E6.edm" hidden="1">#REF!</definedName>
    <definedName name="_bdm.C5CFB6182CAA45F48D61301027F8123B.edm" hidden="1">#REF!</definedName>
    <definedName name="_bdm.C5E2B70B72F54CEF8A85015551655625.edm" hidden="1">#REF!</definedName>
    <definedName name="_bdm.C62162FBF2C441D3AA0C8DD946DB3C02.edm" hidden="1">#REF!</definedName>
    <definedName name="_bdm.C6A174C8495D47FA89E3B2974B68AA91.edm" hidden="1">#REF!</definedName>
    <definedName name="_bdm.C6B6E12D6B4B40988C69E24586644996.edm" hidden="1">#REF!</definedName>
    <definedName name="_bdm.C6C2EED50D3D4836A46A7D127FE1B9D4.edm" hidden="1">#REF!</definedName>
    <definedName name="_bdm.C73E0BD8BF49436394DA9783869E5106.edm" hidden="1">#REF!</definedName>
    <definedName name="_bdm.C751294F3E3745E39B1035DA3AD3D189.edm" hidden="1">#REF!</definedName>
    <definedName name="_bdm.C822102D5D234B6788508000638E7485.edm" hidden="1">#REF!</definedName>
    <definedName name="_bdm.C866AE97B20049FFA67898E653032648.edm" hidden="1">#REF!</definedName>
    <definedName name="_bdm.C8D19485751B42F2A9D992CEFE6EE597.edm" hidden="1">#REF!</definedName>
    <definedName name="_bdm.C97D6C5198A6412386769BEF9031BC10.edm" hidden="1">#REF!</definedName>
    <definedName name="_bdm.C9D3523830F04159A144C3E5F3CBC66D.edm" hidden="1">#REF!</definedName>
    <definedName name="_bdm.c9fd7ccd27154215a6dc71ee0bc95a8d.edm" hidden="1">#REF!</definedName>
    <definedName name="_bdm.CB3A517CD4E94A889ACE29D3AE21ADEF.edm" hidden="1">#REF!</definedName>
    <definedName name="_bdm.CC88EE5264074A36B58B8991303D85D8.edm" hidden="1">#REF!</definedName>
    <definedName name="_bdm.CCFDF2CAF2404B3BAF4FF45ACA161506.edm" hidden="1">#REF!</definedName>
    <definedName name="_bdm.CD256FB3A6D34235BD8974448FE21836.edm" hidden="1">#REF!</definedName>
    <definedName name="_bdm.CD5CE1F6B9EB4B7EACA98755E12B69BA.edm" hidden="1">#REF!</definedName>
    <definedName name="_bdm.CD9E64009C8A4D1CA0158F883F95B3EC.edm" hidden="1">#REF!</definedName>
    <definedName name="_bdm.CDD4446DCE2C4BC1AD2DD61525198CC2.edm" hidden="1">#REF!</definedName>
    <definedName name="_bdm.CE59A3F2F7494C1BA80D5B2C09D5F8EF.edm" hidden="1">#REF!</definedName>
    <definedName name="_bdm.CE98884435BC45229A56427221417663.edm" hidden="1">#REF!</definedName>
    <definedName name="_bdm.CEA1646E71ED40FC935DFE9B38B85AE6.edm" hidden="1">#REF!</definedName>
    <definedName name="_bdm.CECDD7CB7A09430EA1F498A5A3993152.edm" hidden="1">#REF!</definedName>
    <definedName name="_bdm.CEF145C36DC24CBE9C5CE450517F92A7.edm" hidden="1">#REF!</definedName>
    <definedName name="_bdm.D027076B2085414B8BC8536060E0DD1C.edm" hidden="1">#REF!</definedName>
    <definedName name="_bdm.D0321F1B3D9B488D8FF95D2AD486658E.edm" hidden="1">#REF!</definedName>
    <definedName name="_bdm.D0B2D36CE3BE4320A3A70B3F2B343754.edm" hidden="1">#REF!</definedName>
    <definedName name="_bdm.D0F7BA3EF3C44CA2AF2AE844614A90AF.edm" hidden="1">#REF!</definedName>
    <definedName name="_bdm.D155FEEBAAEC4D168A4B7A2FC6236F70.edm" hidden="1">#REF!</definedName>
    <definedName name="_bdm.D16A2F0F7C7342DB95CF66EF75698CC2.edm" hidden="1">#REF!</definedName>
    <definedName name="_bdm.D17EA099031C443B89E6C979CDDF3D48.edm" hidden="1">#REF!</definedName>
    <definedName name="_bdm.D1DD91327B0043D78FDB63F681987851.edm" hidden="1">#REF!</definedName>
    <definedName name="_bdm.D21064A94142442EB09311F714A732FB.edm" hidden="1">#REF!</definedName>
    <definedName name="_bdm.D25BB3AE46BB43C3A640E80FD58ECC84.edm" hidden="1">#REF!</definedName>
    <definedName name="_bdm.D27162F00AD24DA6AE74573FE9582BDC.edm" hidden="1">#REF!</definedName>
    <definedName name="_bdm.D297ABA4790F4C89A7C91B74C327B473.edm" hidden="1">#REF!</definedName>
    <definedName name="_bdm.D2BA4D66AD8540E686618FA2C71939EC.edm" hidden="1">#REF!</definedName>
    <definedName name="_bdm.D2FD496CF6844CDA93D3B6803DF1D95D.edm" hidden="1">#REF!</definedName>
    <definedName name="_bdm.D35BA7B5A28A40D18F8F6A0281EC44B5.edm" hidden="1">#REF!</definedName>
    <definedName name="_bdm.D37DB5D007B04D399DB4FF8B8EA3BB3A.edm" hidden="1">#REF!</definedName>
    <definedName name="_bdm.D39ED324460A4919983487645D644B9D.edm" hidden="1">#REF!</definedName>
    <definedName name="_bdm.D3D488B9C4AE4EEE8141F2A5A00B080A.edm" hidden="1">#REF!</definedName>
    <definedName name="_bdm.D3DE07BBD27B43DAB99B676DA04F8FCC.edm" hidden="1">#REF!</definedName>
    <definedName name="_bdm.D3E72E1F7E634302BBBB99361751B510.edm" hidden="1">#REF!</definedName>
    <definedName name="_bdm.D401571F8DF74258A826BA602D5B6F68.edm" hidden="1">#REF!</definedName>
    <definedName name="_bdm.D40B4FCD95CD499E95F86C53242327CA.edm" hidden="1">#REF!</definedName>
    <definedName name="_bdm.D4115EB10D0C4D27B47147A611642AEE.edm" hidden="1">#REF!</definedName>
    <definedName name="_bdm.D42AA0C9CEAA43B9B3C7F0F0A7500C7B.edm" hidden="1">#REF!</definedName>
    <definedName name="_bdm.D42B16D4F2024A34B54BD2B88A2F1DDD.edm" hidden="1">#REF!</definedName>
    <definedName name="_bdm.D4335BB8375C4B738DD69C65D8B6FE1D.edm" hidden="1">#REF!</definedName>
    <definedName name="_bdm.D43D51E1DD4945BEB6844D478A7A6C11.edm" hidden="1">#REF!</definedName>
    <definedName name="_bdm.d45e0402a4154e419f21f910b7b81b04.edm" hidden="1">#REF!</definedName>
    <definedName name="_bdm.D4AE4867DDC441BAB2EFFEC140D0E4AB.edm" hidden="1">#REF!</definedName>
    <definedName name="_bdm.D53013194EEE472984E11A2191F9C465.edm" hidden="1">#REF!</definedName>
    <definedName name="_bdm.d5806332f74d4bc09e92e9c8c420173b.edm" hidden="1">#REF!</definedName>
    <definedName name="_bdm.D580BFFFE56D40BFA4B4D2B065D9B257.edm" hidden="1">#REF!</definedName>
    <definedName name="_bdm.D59247841D9A449CBE11D3D5833DBA19.edm" hidden="1">#REF!</definedName>
    <definedName name="_bdm.D5950E145566437BB267826165CD29DD.edm" hidden="1">#REF!</definedName>
    <definedName name="_bdm.D5A19310B66D4F12A556C4E4AF381F6E.edm" hidden="1">#REF!</definedName>
    <definedName name="_bdm.D5B47DCCB1F94C51BE3B8A4294227781.edm" hidden="1">#REF!</definedName>
    <definedName name="_bdm.D5D30A58A64741778F2E632D1BB4764F.edm" hidden="1">#REF!</definedName>
    <definedName name="_bdm.d62dc1f42d2944df9a4b2031e908740f.edm" hidden="1">#REF!</definedName>
    <definedName name="_bdm.D631DD5BE09A4807A8A8E65DE6AE66CB.edm" hidden="1">#REF!</definedName>
    <definedName name="_bdm.D63FC568F55445DBBD443BBC3E736A03.edm" hidden="1">#REF!</definedName>
    <definedName name="_bdm.D66126F9F13746FCAAE1B1BF1D368A59.edm" hidden="1">#REF!</definedName>
    <definedName name="_bdm.D6841C1B90F64F53B60436C6CA93A93D.edm" hidden="1">#REF!</definedName>
    <definedName name="_bdm.D6AEF052E2F64B2AA6535DE5DF547824.edm" hidden="1">#REF!</definedName>
    <definedName name="_bdm.D6BC5CB448134D179642494E6CE87220.edm" hidden="1">#REF!</definedName>
    <definedName name="_bdm.D6F6254AC58F480289A93C8A878362E5.edm" hidden="1">#REF!</definedName>
    <definedName name="_bdm.D7BAB6E5D03B4311A32AF5D025046CD7.edm" hidden="1">#REF!</definedName>
    <definedName name="_bdm.D7E4E6417C7C493D9BD427D9C93E8A2B.edm" hidden="1">#REF!</definedName>
    <definedName name="_bdm.D82187C5AFD14C4388D8673A5CAB8581.edm" hidden="1">#REF!</definedName>
    <definedName name="_bdm.D891502F1CE947059D4E2BAFEEF5227C.edm" hidden="1">#REF!</definedName>
    <definedName name="_bdm.D8D335F2F5564CE1AA2412C4ACD8C31C.edm" hidden="1">#REF!</definedName>
    <definedName name="_bdm.D908BEEA633A497BB67D0D9030D6214B.edm" hidden="1">#REF!</definedName>
    <definedName name="_bdm.D96858F302744E2CBA10106AED3868AC.edm" hidden="1">#REF!</definedName>
    <definedName name="_bdm.D999EE2259B0442CA65B91399F082094.edm" hidden="1">#REF!</definedName>
    <definedName name="_bdm.D9A21B4534BF46839A4552C038097465.edm" hidden="1">#REF!</definedName>
    <definedName name="_bdm.DA10C2E927D44DDBB755C9E813384DDA.edm" hidden="1">#REF!</definedName>
    <definedName name="_bdm.DA201FDCCE4741E7A225E8C4126DD92A.edm" hidden="1">#REF!</definedName>
    <definedName name="_bdm.DA71774CDF574275B148970715375176.edm" hidden="1">#REF!</definedName>
    <definedName name="_bdm.DA79F75D425943CEA46AADB2DC016F3C.edm" hidden="1">#REF!</definedName>
    <definedName name="_bdm.DB2D644ADC70448396208B405CB5F146.edm" hidden="1">#REF!</definedName>
    <definedName name="_bdm.DB53A85BF34A463B9C010C901272581F.edm" hidden="1">#REF!</definedName>
    <definedName name="_bdm.DB66B8725661431495E52B8CE87BDDB9.edm" hidden="1">#REF!</definedName>
    <definedName name="_bdm.DB8AE6D04DA04EDE88FB80ECBBE7FE6C.edm" hidden="1">#REF!</definedName>
    <definedName name="_bdm.DB9E7A4A0B3947EAB515C0C1BCCD5F5B.edm" hidden="1">#REF!</definedName>
    <definedName name="_bdm.dba771b5cbd8426aa06f5bc9927423e5.edm" hidden="1">#REF!</definedName>
    <definedName name="_bdm.DC57267F5489490990322A9A1AFDFC99.edm" hidden="1">#REF!</definedName>
    <definedName name="_bdm.dca66f0ff62a42e39911ab1639e8c80a.edm" hidden="1">#REF!</definedName>
    <definedName name="_bdm.DCC8E8B0942A40F7BE683E58AC6744D9.edm" hidden="1">#REF!</definedName>
    <definedName name="_bdm.DCCC5070D94F4512AAF01DC2E23F7446.edm" hidden="1">#REF!</definedName>
    <definedName name="_bdm.DCE2774AF8414DC8B11D30B538070F7F.edm" hidden="1">#REF!</definedName>
    <definedName name="_bdm.DCFC403C39504305ACC7BA56E2A57132.edm" hidden="1">#REF!</definedName>
    <definedName name="_bdm.DD3B5AB4BAD34A689C8D08D71A8ED5A2.edm" hidden="1">#REF!</definedName>
    <definedName name="_bdm.DDA539D54BC4420FA98482FCAFEE5F9F.edm" hidden="1">#REF!</definedName>
    <definedName name="_bdm.DE0B31E1EABB4A489B1DACB278079834.edm" hidden="1">#REF!</definedName>
    <definedName name="_bdm.DE183DD6C6794E4EACA8AE98049C1D22.edm" hidden="1">#REF!</definedName>
    <definedName name="_bdm.DF32BE435E244264AAD9AAAD9EB02DEB.edm" hidden="1">#REF!</definedName>
    <definedName name="_bdm.DF78B6BDEB5D44A1AC2247A8F5092767.edm" hidden="1">#REF!</definedName>
    <definedName name="_bdm.DFBC40C8675F445ABC47FA26CDBE7F4F.edm" hidden="1">#REF!</definedName>
    <definedName name="_bdm.DFD611F4F355448A96F8D55F215A6ADD.edm" hidden="1">#REF!</definedName>
    <definedName name="_bdm.DFE90002F50142A98BEC5F1D9C338EBF.edm" hidden="1">#REF!</definedName>
    <definedName name="_bdm.E028B48D31604241B42AC6A2844A4DA0.edm" hidden="1">#REF!</definedName>
    <definedName name="_bdm.E04C85454F1A4B449AF46A08DBE619E6.edm" hidden="1">#REF!</definedName>
    <definedName name="_bdm.E118A6D115EB4C7B9BEF5B1865D5AA5F.edm" hidden="1">#REF!</definedName>
    <definedName name="_bdm.E1D70BA8D99C495985827D589EDF11DF.edm" hidden="1">#REF!</definedName>
    <definedName name="_bdm.E1EDD6D855274908BCDC4BBA9B68665C.edm" hidden="1">#REF!</definedName>
    <definedName name="_bdm.E23D8BC5FFC6463B94B1D5476C2EF53E.edm" hidden="1">#REF!</definedName>
    <definedName name="_bdm.E28163042B8C471EAFF1F043C4135388.edm" hidden="1">#REF!</definedName>
    <definedName name="_bdm.E284BF7CFDBD4A49A58E10AD6EE416C3.edm" hidden="1">#REF!</definedName>
    <definedName name="_bdm.E2B252D29EC04F59805B4C4299407C0F.edm" hidden="1">#REF!</definedName>
    <definedName name="_bdm.E2DE704F545044DBA1F220584FF0BA6E.edm" hidden="1">#REF!</definedName>
    <definedName name="_bdm.E2FC0A7853D04B9AB690D96034C5154F.edm" hidden="1">#REF!</definedName>
    <definedName name="_bdm.E357983EE1B74EF3870B0997595273BA.edm" hidden="1">#REF!</definedName>
    <definedName name="_bdm.E403A19F53664871B571AF94FB669636.edm" hidden="1">#REF!</definedName>
    <definedName name="_bdm.E411C9728CF5460C84BD3D3928A363D7.edm" hidden="1">#REF!</definedName>
    <definedName name="_bdm.E41C36DB303D4B9E97FDEDC8EA02AAE5.edm" hidden="1">#REF!</definedName>
    <definedName name="_bdm.E45E1A48A136431FBBE5BDBF86D0C8AE.edm" hidden="1">#REF!</definedName>
    <definedName name="_bdm.E4B73A551D7445CEBAAB88DE8BAACFD4.edm" hidden="1">#REF!</definedName>
    <definedName name="_bdm.E574D70C055F4DA48CE80EB9BA147783.edm" hidden="1">#REF!</definedName>
    <definedName name="_bdm.E58B265B75644100999DB9B8E0E68996.edm" hidden="1">#REF!</definedName>
    <definedName name="_bdm.E6664B42ED854979B8D834A79C2D05E3.edm" hidden="1">#REF!</definedName>
    <definedName name="_bdm.E6984919A30549B7BC354B0D04E843C0.edm" hidden="1">#REF!</definedName>
    <definedName name="_bdm.E6FBC101DE6347A3924980E92436B441.edm" hidden="1">#REF!</definedName>
    <definedName name="_bdm.E73EAB3F96444EC09E5825660D93721F.edm" hidden="1">#REF!</definedName>
    <definedName name="_bdm.E75986E5579B42F9B922EB49C4703761.edm" hidden="1">#REF!</definedName>
    <definedName name="_bdm.E76160DC0C8A4DAC9052DC8BAE074BF8.edm" hidden="1">#REF!</definedName>
    <definedName name="_bdm.E7AFABBE969A43619FE177C5AC9A9D54.edm" hidden="1">#REF!</definedName>
    <definedName name="_bdm.E7EAA75348294060BB65C555268EC0C8.edm" hidden="1">#REF!</definedName>
    <definedName name="_bdm.E7F6B4F71F824C5DA6343DA2352C05CC.edm" hidden="1">#REF!</definedName>
    <definedName name="_bdm.E832E2D642C14799A91A166C2EA22AAC.edm" hidden="1">#REF!</definedName>
    <definedName name="_bdm.E85A93C9AF814008BF02B2BDF5D6D5C3.edm" hidden="1">#REF!</definedName>
    <definedName name="_bdm.E868D69FC5754C27A7B4C6899D771A00.edm" hidden="1">#REF!</definedName>
    <definedName name="_bdm.E879C0607BA54B8F96210EBC5B2DDE5F.edm" hidden="1">#REF!</definedName>
    <definedName name="_bdm.E88AE0735B52432BB9CCC143CDD56DB4.edm" hidden="1">#REF!</definedName>
    <definedName name="_bdm.E93BF2A299C046398159787F639505A6.edm" hidden="1">#REF!</definedName>
    <definedName name="_bdm.E94554C319164AF3815AE5E431EDBBEA.edm" hidden="1">#REF!</definedName>
    <definedName name="_bdm.E98C0DAA445A43A182B012254DDE3CF6.edm" hidden="1">#REF!</definedName>
    <definedName name="_bdm.E98D7DFA4242402497CC3114C67BDAAC.edm" hidden="1">#REF!</definedName>
    <definedName name="_bdm.E9D1D6F0D15A48E0A7C10FEB13081CE7.edm" hidden="1">#REF!</definedName>
    <definedName name="_bdm.E9F20B094B5C432380706435C3F317BD.edm" hidden="1">#REF!</definedName>
    <definedName name="_bdm.E9F8AEB141E34F22BBAB0026028FC02A.edm" hidden="1">#REF!</definedName>
    <definedName name="_bdm.EA0D314FEA784B95BE19CDF05E581AEF.edm" hidden="1">#REF!</definedName>
    <definedName name="_bdm.EA870B5264F94FBE89EA90292A61304E.edm" hidden="1">#REF!</definedName>
    <definedName name="_bdm.EA8D92CD5749475AAB4CB1D95407E4D0.edm" hidden="1">#REF!</definedName>
    <definedName name="_bdm.EA94C88A0D92442ABA7C3677163BA6A1.edm" hidden="1">#REF!</definedName>
    <definedName name="_bdm.ea9904b369d1417b8b5a0e9279085dad.edm" hidden="1">#REF!</definedName>
    <definedName name="_bdm.eac8abb662b748bd9d362dff24116530.edm" hidden="1">#REF!</definedName>
    <definedName name="_bdm.EB1B353BCC0743B1B44CAA389DC3A584.edm" hidden="1">#REF!</definedName>
    <definedName name="_bdm.EB45FEEA39604EB581500F0EE3AA719C.edm" hidden="1">#REF!</definedName>
    <definedName name="_bdm.EBA6E98EB67E43A3A560B5913B7A5032.edm" hidden="1">#REF!</definedName>
    <definedName name="_bdm.EC267DBA491E4E61B136F8772F8997C0.edm" hidden="1">#REF!</definedName>
    <definedName name="_bdm.EC49F682B95F4BDA9DC6E46756FA457E.edm" hidden="1">#REF!</definedName>
    <definedName name="_bdm.EC53756BE00946249E28765BD5E5A4FD.edm" hidden="1">#REF!</definedName>
    <definedName name="_bdm.EC59170C0DF241C1911D47A7B61D75CB.edm" hidden="1">#REF!</definedName>
    <definedName name="_bdm.EC78C3BE8E2E436B85012F1FCED2ED2E.edm" hidden="1">#REF!</definedName>
    <definedName name="_bdm.EC81793859F44A638EF74C4C46B60FB8.edm" hidden="1">#REF!</definedName>
    <definedName name="_bdm.ECDC76C0A83E4079A09DFCFC1B77430F.edm" hidden="1">#REF!</definedName>
    <definedName name="_bdm.ECE1BD4B7EED42AF861DDAF249045ED5.edm" hidden="1">#REF!</definedName>
    <definedName name="_bdm.ED970816244548B3989059C13225BC5D.edm" hidden="1">#REF!</definedName>
    <definedName name="_bdm.EDD8B7E1343E408D9C910F3436BBE75A.edm" hidden="1">#REF!</definedName>
    <definedName name="_bdm.EDDDE303DB6042A7A2AFAF04708371B2.edm" hidden="1">#REF!</definedName>
    <definedName name="_bdm.EDF33FCCB18245C88517589764F77652.edm" hidden="1">#REF!</definedName>
    <definedName name="_bdm.EE13DCC22CAC48468BB0E24E81BE39C3.edm" hidden="1">#REF!</definedName>
    <definedName name="_bdm.EE360EE5B7EA439695A1E6AF24B552F5.edm" hidden="1">#REF!</definedName>
    <definedName name="_bdm.EE3B3D901A0F409F814580EB3D0D7AA0.edm" hidden="1">#REF!</definedName>
    <definedName name="_bdm.EE4206FFE34F4B62B3377CA510232BBF.edm" hidden="1">#REF!</definedName>
    <definedName name="_bdm.EEC53E7A416E4D68AEF0EC2828ED94B1.edm" hidden="1">#REF!</definedName>
    <definedName name="_bdm.EECBC88E226247BFBA94E4B2638CD7FF.edm" hidden="1">#REF!</definedName>
    <definedName name="_bdm.EED323D9E95442EFBF03752D5FBBDEFB.edm" hidden="1">#REF!</definedName>
    <definedName name="_bdm.EF45A31579874FA5ABBA17DEB1E64D35.edm" hidden="1">#REF!</definedName>
    <definedName name="_bdm.EF6677EE4C964AA1A772DC20421CAC95.edm" hidden="1">#REF!</definedName>
    <definedName name="_bdm.EFF559F3358F4846BCDC9C36DE177D5D.edm" hidden="1">#REF!</definedName>
    <definedName name="_bdm.F03E6CAAB37C451CB5302B53AC572E19.edm" hidden="1">#REF!</definedName>
    <definedName name="_bdm.F06DA6F224994F9AA3DAE45AD22E1A7A.edm" hidden="1">#REF!</definedName>
    <definedName name="_bdm.F0C3E00596B449858FAC795932AAD7EA.edm" hidden="1">#REF!</definedName>
    <definedName name="_bdm.F0FF8073F0064485A64767D29A9B903B.edm" hidden="1">#REF!</definedName>
    <definedName name="_bdm.F13E0FF669784140A6E7E5C9128239E2.edm" hidden="1">#REF!</definedName>
    <definedName name="_bdm.F17CC758ADBC4F7AB39097771E7085F1.edm" hidden="1">#REF!</definedName>
    <definedName name="_bdm.F1904A2A9F9A4DA6B72749FDDCFFC0B0.edm" hidden="1">#REF!</definedName>
    <definedName name="_bdm.F1DB2FAF1F4E4EB4AC0EEF2A70171938.edm" hidden="1">#REF!</definedName>
    <definedName name="_bdm.F22615A9607B43D29D6BC2BB252E6B66.edm" hidden="1">#REF!</definedName>
    <definedName name="_bdm.F28B331B28254A8F91BD4C03659CAA27.edm" hidden="1">#REF!</definedName>
    <definedName name="_bdm.F2FFEFD62E934BF48F4731DB2B4F3D73.edm" hidden="1">#REF!</definedName>
    <definedName name="_bdm.F32B9BD2D3144EE3A771C6147F79802F.edm" hidden="1">#REF!</definedName>
    <definedName name="_bdm.f35dbae3b3a047959866929816db77a3.edm" hidden="1">#REF!</definedName>
    <definedName name="_bdm.F3B78B44895F4C448875FD9FAB3BED6E.edm" hidden="1">#REF!</definedName>
    <definedName name="_bdm.F3B792F2E9754D63B378A60D1176658F.edm" hidden="1">#REF!</definedName>
    <definedName name="_bdm.F406CD2448304ACDB628F5E7FA0DA402.edm" hidden="1">#REF!</definedName>
    <definedName name="_bdm.F437639C1E074D999624A4BEDC5B695D.edm" hidden="1">#REF!</definedName>
    <definedName name="_bdm.F45BF7C88B014D68810F8BEB82A7A143.edm" hidden="1">#REF!</definedName>
    <definedName name="_bdm.f4aa0ea49b0c448692ff3ae646e5e19d.edm" hidden="1">#REF!</definedName>
    <definedName name="_bdm.F4F8E05495EC4D0D8C58BF7E390C95AF.edm" hidden="1">#REF!</definedName>
    <definedName name="_bdm.F5362034A7FF4E05AB1D55F0839B8F90.edm" hidden="1">#REF!</definedName>
    <definedName name="_bdm.F5381A4563D54AB3ADB5AB3336923A4B.edm" hidden="1">#REF!</definedName>
    <definedName name="_bdm.F599D268B4BF4204B79A060D65774DC0.edm" hidden="1">#REF!</definedName>
    <definedName name="_bdm.F6129BE6EE4049A1AAD6432FE027A139.edm" hidden="1">#REF!</definedName>
    <definedName name="_bdm.F65B7D67BC5A4D1AA51A9A708F4AAEC6.edm" hidden="1">#REF!</definedName>
    <definedName name="_bdm.F794A2460E56406C91EB88EF4FC75B85.edm" hidden="1">#REF!</definedName>
    <definedName name="_bdm.F801C78F06134DBDA3240FC7D7B01019.edm" hidden="1">#REF!</definedName>
    <definedName name="_bdm.F8560F8767984BDB9E26EDCB9CAA2AFE.edm" hidden="1">#REF!</definedName>
    <definedName name="_bdm.F94070689B644784B8948F63FE73BF62.edm" hidden="1">#REF!</definedName>
    <definedName name="_bdm.F9C5C6F8F39E47FABE65D2F9B40626CE.edm" hidden="1">#REF!</definedName>
    <definedName name="_bdm.F9EC7E79547042CCB070BC576E71C55A.edm" hidden="1">#REF!</definedName>
    <definedName name="_bdm.F9FA563285F2469FB2853A898E4F2BD4.edm" hidden="1">#REF!</definedName>
    <definedName name="_bdm.FA4C9F7AF701406F960F707797553641.edm" hidden="1">#REF!</definedName>
    <definedName name="_bdm.FastTrackBookmark.6_24_2014_10_15_03_PM.edm" hidden="1">#REF!</definedName>
    <definedName name="_bdm.FB19CF19E51847FDBE7D69736C466CBF.edm" hidden="1">#REF!</definedName>
    <definedName name="_bdm.fb61f3fdb7bd4326b3c077afcaead454.edm" hidden="1">#REF!</definedName>
    <definedName name="_bdm.FBA683D87C95472781CEB7E3DCDB1102.edm" hidden="1">#REF!</definedName>
    <definedName name="_bdm.FBB70F9536454F6EA652914D5D8E6589.edm" hidden="1">#REF!</definedName>
    <definedName name="_bdm.FBE6282C852A4553A9B4F4EB1A597086.edm" hidden="1">#REF!</definedName>
    <definedName name="_bdm.FBF7032BE1C44DB28FDE4A5B7BACC1B6.edm" hidden="1">#REF!</definedName>
    <definedName name="_bdm.FC09F6A5EAAE47BA827CC5F356D747CD.edm" hidden="1">#REF!</definedName>
    <definedName name="_bdm.FC2E461E4B3D40879F42A682D6F29111.edm" hidden="1">#REF!</definedName>
    <definedName name="_bdm.FC99FDD05DF440A6AFA648B0340404A6.edm" hidden="1">#REF!</definedName>
    <definedName name="_bdm.FCA01AEA2E904961A8EDF2EB3200E612.edm" hidden="1">#REF!</definedName>
    <definedName name="_bdm.FCDA184D4AEC4499B828C8E29A1BFA12.edm" hidden="1">#REF!</definedName>
    <definedName name="_bdm.FCEC2FA5E45F4EAE9E94F102BDC2444C.edm" hidden="1">#REF!</definedName>
    <definedName name="_bdm.FCF1CA7542BF42A8BB2DB5A647A292ED.edm" hidden="1">#REF!</definedName>
    <definedName name="_bdm.FD0E18A117614C858F482A39221A50FE.edm" hidden="1">#REF!</definedName>
    <definedName name="_bdm.FD3D6D5790E04EC18254B4845416333A.edm" hidden="1">#REF!</definedName>
    <definedName name="_bdm.FD729976145343E38DFCF4DC1A6B0EC8.edm" hidden="1">#REF!</definedName>
    <definedName name="_bdm.FDD229C295FA48D38D00D70815347D86.edm" hidden="1">#REF!</definedName>
    <definedName name="_bdm.FDE08839AD134B66A6A7F8F6F2C7949D.edm" hidden="1">#REF!</definedName>
    <definedName name="_bdm.FE2B4AE843F449EFA50529C37B884731.edm" hidden="1">#REF!</definedName>
    <definedName name="_bdm.FE617C93C384410184937574688E6C1C.edm" hidden="1">#REF!</definedName>
    <definedName name="_bdm.fed0b74aab944dd4a92309bf2c107c86.edm" hidden="1">#REF!</definedName>
    <definedName name="_bdm.FED4E1BEEB844C92BA127D0D8B447707.edm" hidden="1">#REF!</definedName>
    <definedName name="_bdm.FF6F0035140E4E78A41392A1EE19F293.edm" hidden="1">#REF!</definedName>
    <definedName name="_bdm.FF8D3213E2C94E8B9CCBE6174F1EAEC3.edm" hidden="1">#REF!</definedName>
    <definedName name="_bdm.FF93C03CF020466BA58E5A1F02051D8E.edm" hidden="1">#REF!</definedName>
    <definedName name="_bdm.FF9B9B16E58040FFBCDDCA833BA66A07.edm" hidden="1">#REF!</definedName>
    <definedName name="_bdm.FF9FA4672CC04E1790FFFBBF31765C92.edm" hidden="1">#REF!</definedName>
    <definedName name="_bdm.FFC760F7CE064EB18B3869ACF83FAAF5.edm" hidden="1">#REF!</definedName>
    <definedName name="_bdm.ffefd07e58244223bcf623f65729ae4c.edm" hidden="1">#REF!</definedName>
    <definedName name="_bdm.ToolkitBookmark.6_17_2004_9_35_05_AM.edm" hidden="1">#REF!</definedName>
    <definedName name="_bdm.ToolkitBookmark.9_29_2003_10_30_55_AM.edm" hidden="1">#REF!</definedName>
    <definedName name="_bg2" hidden="1">{#N/A,#N/A,TRUE,"Summary - 1";#N/A,#N/A,TRUE,"Summary - 2";#N/A,#N/A,TRUE,"Group Analysis";#N/A,#N/A,TRUE,"FM Analysis";#N/A,#N/A,TRUE,"T&amp;M-Onsite";#N/A,#N/A,TRUE,"FP-Onsite";#N/A,#N/A,TRUE,"NB-Onsite";#N/A,#N/A,TRUE,"T&amp;M-Offshore";#N/A,#N/A,TRUE,"FP-Offshore";#N/A,#N/A,TRUE,"Appendix-A";#N/A,#N/A,TRUE,"Appendix-B"}</definedName>
    <definedName name="_bg2_1" hidden="1">{#N/A,#N/A,TRUE,"Summary - 1";#N/A,#N/A,TRUE,"Summary - 2";#N/A,#N/A,TRUE,"Group Analysis";#N/A,#N/A,TRUE,"FM Analysis";#N/A,#N/A,TRUE,"T&amp;M-Onsite";#N/A,#N/A,TRUE,"FP-Onsite";#N/A,#N/A,TRUE,"NB-Onsite";#N/A,#N/A,TRUE,"T&amp;M-Offshore";#N/A,#N/A,TRUE,"FP-Offshore";#N/A,#N/A,TRUE,"Appendix-A";#N/A,#N/A,TRUE,"Appendix-B"}</definedName>
    <definedName name="_bg3" hidden="1">{#N/A,#N/A,TRUE,"Summary - 1";#N/A,#N/A,TRUE,"Summary - 2";#N/A,#N/A,TRUE,"Group Analysis";#N/A,#N/A,TRUE,"FM Analysis";#N/A,#N/A,TRUE,"T&amp;M-Onsite";#N/A,#N/A,TRUE,"FP-Onsite";#N/A,#N/A,TRUE,"NB-Onsite";#N/A,#N/A,TRUE,"T&amp;M-Offshore";#N/A,#N/A,TRUE,"FP-Offshore";#N/A,#N/A,TRUE,"Appendix-A";#N/A,#N/A,TRUE,"Appendix-B"}</definedName>
    <definedName name="_bg3_1" hidden="1">{#N/A,#N/A,TRUE,"Summary - 1";#N/A,#N/A,TRUE,"Summary - 2";#N/A,#N/A,TRUE,"Group Analysis";#N/A,#N/A,TRUE,"FM Analysis";#N/A,#N/A,TRUE,"T&amp;M-Onsite";#N/A,#N/A,TRUE,"FP-Onsite";#N/A,#N/A,TRUE,"NB-Onsite";#N/A,#N/A,TRUE,"T&amp;M-Offshore";#N/A,#N/A,TRUE,"FP-Offshore";#N/A,#N/A,TRUE,"Appendix-A";#N/A,#N/A,TRUE,"Appendix-B"}</definedName>
    <definedName name="_BU4" hidden="1">{"Page 1",#N/A,TRUE,"Sheet1";"Page 2",#N/A,TRUE,"Sheet1"}</definedName>
    <definedName name="_BU4_1" hidden="1">{"Page 1",#N/A,TRUE,"Sheet1";"Page 2",#N/A,TRUE,"Sheet1"}</definedName>
    <definedName name="_Budget_for_Measure" hidden="1">#REF!</definedName>
    <definedName name="_CashFlow1" hidden="1">#REF!</definedName>
    <definedName name="_cd1" hidden="1">{#N/A,#N/A,FALSE,"Job Sched"}</definedName>
    <definedName name="_cd2" hidden="1">{#N/A,#N/A,FALSE,"Job Sched"}</definedName>
    <definedName name="_CD3" hidden="1">{#N/A,#N/A,FALSE,"Job Sched"}</definedName>
    <definedName name="_cd4" hidden="1">{#N/A,#N/A,FALSE,"Job Sched"}</definedName>
    <definedName name="_Cd5" hidden="1">{#N/A,#N/A,FALSE,"A"}</definedName>
    <definedName name="_cd8" hidden="1">{#N/A,#N/A,FALSE,"Job Sched"}</definedName>
    <definedName name="_Dist_Values" hidden="1">#REF!</definedName>
    <definedName name="_FDS2" hidden="1">{"bs",#N/A,FALSE,"SCF"}</definedName>
    <definedName name="_Fill" hidden="1">#REF!</definedName>
    <definedName name="_xlnm._FilterDatabase" localSheetId="9" hidden="1">'Quikirr Data'!$B$3:$AK$103</definedName>
    <definedName name="_xlnm._FilterDatabase" localSheetId="10" hidden="1">'Source Data'!$B$3:$AK$103</definedName>
    <definedName name="_xlnm._FilterDatabase" hidden="1">#REF!</definedName>
    <definedName name="_for_YTD_Year" hidden="1">#REF!</definedName>
    <definedName name="_fy97" hidden="1">{#N/A,#N/A,FALSE,"FY97";#N/A,#N/A,FALSE,"FY98";#N/A,#N/A,FALSE,"FY99";#N/A,#N/A,FALSE,"FY00";#N/A,#N/A,FALSE,"FY01"}</definedName>
    <definedName name="_GR3" hidden="1">{"Informes",#N/A,FALSE,"CA";"Informes",#N/A,FALSE,"CN";"Informes",#N/A,FALSE,"INVERSIONES";"Informes",#N/A,FALSE,"CN Oficial";"Informes",#N/A,FALSE,"CA Oficial";"Informes",#N/A,FALSE,"Res Datos Areas"}</definedName>
    <definedName name="_GSRATES_1" hidden="1">"CT300001Latest          "</definedName>
    <definedName name="_GSRATES_COUNT" hidden="1">1</definedName>
    <definedName name="_GSRATESR_1" hidden="1">#N/A</definedName>
    <definedName name="_hhh9" hidden="1">{#N/A,#N/A,FALSE,"MAY";#N/A,#N/A,FALSE,"Q2";#N/A,#N/A,FALSE,"YTD"}</definedName>
    <definedName name="_Key1" hidden="1">#REF!</definedName>
    <definedName name="_Key2" hidden="1">#REF!</definedName>
    <definedName name="_mfg2" hidden="1">{"PAGE 1",#N/A,FALSE,"WEST_OT"}</definedName>
    <definedName name="_mfg3" hidden="1">{"PAGE 1",#N/A,FALSE,"WEST_OT"}</definedName>
    <definedName name="_mfg4" hidden="1">{"PAGE 1",#N/A,FALSE,"WEST_OT"}</definedName>
    <definedName name="_mfg5" hidden="1">{"PAGE 1",#N/A,FALSE,"WEST_OT"}</definedName>
    <definedName name="_mp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na2" hidden="1">"100"</definedName>
    <definedName name="_na3" hidden="1">"50"</definedName>
    <definedName name="_na4" hidden="1">"IQ_LTM_DATE"</definedName>
    <definedName name="_ok2" hidden="1">{"Capex by project",#N/A,FALSE,"Capex by Project"}</definedName>
    <definedName name="_ok3" hidden="1">{"MESROS",#N/A,FALSE,"ROS";"MESOFF",#N/A,FALSE,"OFF";"MESBEA",#N/A,FALSE,"BEA";"MESCOF",#N/A,FALSE,"COF";"MESTEL",#N/A,FALSE,"TEL";"MESCON",#N/A,FALSE,"CON";"MESINT",#N/A,FALSE,"INT"}</definedName>
    <definedName name="_Order1" hidden="1">0</definedName>
    <definedName name="_Order2" hidden="1">255</definedName>
    <definedName name="_P00comps1" hidden="1">#REF!</definedName>
    <definedName name="_P00comps2" hidden="1">#REF!</definedName>
    <definedName name="_P00DCF_Summary" hidden="1">#REF!</definedName>
    <definedName name="_Parse" hidden="1">#REF!</definedName>
    <definedName name="_Parse_In" hidden="1">#REF!</definedName>
    <definedName name="_Parse_Out" hidden="1">#REF!</definedName>
    <definedName name="_ppp2" hidden="1">{"FCB_ALL",#N/A,FALSE,"FCB"}</definedName>
    <definedName name="_Q1" hidden="1">{"'Standalone List Price Trends'!$A$1:$X$56"}</definedName>
    <definedName name="_Q1_1" hidden="1">{"'Standalone List Price Trends'!$A$1:$X$56"}</definedName>
    <definedName name="_Q2" hidden="1">{"'Standalone List Price Trends'!$A$1:$X$56"}</definedName>
    <definedName name="_Q2_1" hidden="1">{"'Standalone List Price Trends'!$A$1:$X$56"}</definedName>
    <definedName name="_Q3" hidden="1">{"'Standalone List Price Trends'!$A$1:$X$56"}</definedName>
    <definedName name="_Q3_1" hidden="1">{"'Standalone List Price Trends'!$A$1:$X$56"}</definedName>
    <definedName name="_Q4" hidden="1">{"'Standalone List Price Trends'!$A$1:$X$56"}</definedName>
    <definedName name="_Q4_1" hidden="1">{"'Standalone List Price Trends'!$A$1:$X$56"}</definedName>
    <definedName name="_Q5" hidden="1">{"'Standalone List Price Trends'!$A$1:$X$56"}</definedName>
    <definedName name="_Q5_1" hidden="1">{"'Standalone List Price Trends'!$A$1:$X$56"}</definedName>
    <definedName name="_Q9" hidden="1">{"'Standalone List Price Trends'!$A$1:$X$56"}</definedName>
    <definedName name="_Q9_1" hidden="1">{"'Standalone List Price Trends'!$A$1:$X$56"}</definedName>
    <definedName name="_Regression_Int" hidden="1">1</definedName>
    <definedName name="_Regression_Out" hidden="1">#REF!</definedName>
    <definedName name="_Regression_X" hidden="1">#REF!</definedName>
    <definedName name="_Regression_Y" hidden="1">#REF!</definedName>
    <definedName name="_Rf_Feb_Act_for_YTD" hidden="1">#REF!</definedName>
    <definedName name="_Rf_Oct_Act_for_2003_YTD" hidden="1">#REF!</definedName>
    <definedName name="_rw1" hidden="1">{"'Standalone List Price Trends'!$A$1:$X$56"}</definedName>
    <definedName name="_rw1_1" hidden="1">{"'Standalone List Price Trends'!$A$1:$X$56"}</definedName>
    <definedName name="_rw2" hidden="1">{"'Standalone List Price Trends'!$A$1:$X$56"}</definedName>
    <definedName name="_rw2_1" hidden="1">{"'Standalone List Price Trends'!$A$1:$X$56"}</definedName>
    <definedName name="_rw3" hidden="1">{"'Standalone List Price Trends'!$A$1:$X$56"}</definedName>
    <definedName name="_rw3_1" hidden="1">{"'Standalone List Price Trends'!$A$1:$X$56"}</definedName>
    <definedName name="_rw4" hidden="1">{"'Standalone List Price Trends'!$A$1:$X$56"}</definedName>
    <definedName name="_rw4_1" hidden="1">{"'Standalone List Price Trends'!$A$1:$X$56"}</definedName>
    <definedName name="_scenchg_count" hidden="1">1</definedName>
    <definedName name="_Sort" hidden="1">#REF!</definedName>
    <definedName name="_Sort2" hidden="1">#REF!</definedName>
    <definedName name="_Table1_In1" hidden="1">#REF!</definedName>
    <definedName name="_Table1_Out" hidden="1">#N/A</definedName>
    <definedName name="_Table2_In1" hidden="1">#N/A</definedName>
    <definedName name="_Table2_In2" hidden="1">#REF!</definedName>
    <definedName name="_Table2_Out" hidden="1">#N/A</definedName>
    <definedName name="_Table3_In2" hidden="1">#REF!</definedName>
    <definedName name="_test1" hidden="1">#REF!</definedName>
    <definedName name="_uuu11" hidden="1">{#N/A,#N/A,FALSE,"MAY";#N/A,#N/A,FALSE,"Q2";#N/A,#N/A,FALSE,"YTD"}</definedName>
    <definedName name="_WC1" hidden="1">#REF!</definedName>
    <definedName name="_WC2" hidden="1">#REF!</definedName>
    <definedName name="_wrn1" hidden="1">{#N/A,#N/A,FALSE,"DCF";#N/A,#N/A,FALSE,"WACC";#N/A,#N/A,FALSE,"Sales_EBIT";#N/A,#N/A,FALSE,"Capex_Depreciation";#N/A,#N/A,FALSE,"WC";#N/A,#N/A,FALSE,"Interest";#N/A,#N/A,FALSE,"Assumptions"}</definedName>
    <definedName name="_Zbalance_sheet_2" hidden="1">{0,0,0,0,1,-4105,70.8661417322835,53.8582677165354,70.8661417322835,70.8661417322835,2,FALSE,FALSE,FALSE,FALSE,FALSE,#N/A,1,112,1,1,"","","","","","",FALSE}</definedName>
    <definedName name="_ZDCF_Summary" hidden="1">{0,0,0,0,1,-4105,41.04,53.8582677165354,64.08,51.84,2,FALSE,FALSE,FALSE,FALSE,FALSE,#N/A,1,65,1,1,"","","","","","",FALSE}</definedName>
    <definedName name="_Zdrivers_quarterly" hidden="1">{0,0,0,0,1,-4105,59.76,25.5118110236221,69.12,70.8661417322835,2,FALSE,FALSE,FALSE,FALSE,FALSE,#N/A,1,63,1,1,"","","","","","",FALSE}</definedName>
    <definedName name="_Zfinacials_quarterly_nots" hidden="1">{0,0,0,0,1,-4105,70.8661417322835,53.8582677165354,70.8661417322835,70.8661417322835,2,FALSE,FALSE,FALSE,FALSE,FALSE,#N/A,1,55,1,1,"","","","","","",FALSE}</definedName>
    <definedName name="_Zfinancials_quarterly" hidden="1">{0,0,0,0,1,-4105,70.8661417322835,53.8582677165354,70.8661417322835,70.8661417322835,2,FALSE,FALSE,FALSE,FALSE,FALSE,#N/A,1,55,1,1,"","","","","","",FALSE}</definedName>
    <definedName name="_Zyearly" hidden="1">{0,0,0,0,1,-4105,14.1732283464567,53.8582677165354,70.8661417322835,70.8661417322835,2,FALSE,FALSE,FALSE,FALSE,FALSE,#N/A,1,75,1,1,"","","","","","",FALSE}</definedName>
    <definedName name="_Zyearly2" hidden="1">{0,0,0,0,1,-4105,70.8661417322835,53.8582677165354,70.8661417322835,70.8661417322835,2,FALSE,FALSE,FALSE,FALSE,FALSE,#N/A,1,75,1,1,"","","","","","",FALSE}</definedName>
    <definedName name="a" hidden="1">{#N/A,#N/A,FALSE,"REV 110 PRNE (Bureau-Frankfurt)";#N/A,#N/A,FALSE,"REV 120 PRNE (Bureau - Paris)"}</definedName>
    <definedName name="aa" hidden="1">{#N/A,#N/A,FALSE,"Sheet1"}</definedName>
    <definedName name="AA.Report.Files" hidden="1">#REF!</definedName>
    <definedName name="AA.Reports.Available" hidden="1">#REF!</definedName>
    <definedName name="aaa" hidden="1">{#N/A,#N/A,FALSE,"Model";#N/A,#N/A,FALSE,"Division"}</definedName>
    <definedName name="AAA_DOCTOPS" hidden="1">"AAA_SET"</definedName>
    <definedName name="AAA_duser" hidden="1">"OFF"</definedName>
    <definedName name="aaaaa" hidden="1">{"COMPCFT",#N/A,FALSE,"CFT";"COMPAPP",#N/A,FALSE,"APP";"COMPJEW",#N/A,FALSE,"JEW";"COMPHOM",#N/A,FALSE,"HOM";"COMPCOL",#N/A,FALSE,"COL"}</definedName>
    <definedName name="aaaaaaaaaaaaa" hidden="1">{"'Standalone List Price Trends'!$A$1:$X$56"}</definedName>
    <definedName name="aaaaaaaaaaaaa_1" hidden="1">{"'Standalone List Price Trends'!$A$1:$X$56"}</definedName>
    <definedName name="aab" hidden="1">{#N/A,#N/A,FALSE,"sum (2)";#N/A,#N/A,FALSE,"bs";#N/A,#N/A,FALSE,"is";#N/A,#N/A,FALSE,"cf";#N/A,#N/A,FALSE,"ltd";#N/A,#N/A,FALSE,"irr (2)"}</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b" hidden="1">#REF!</definedName>
    <definedName name="abc" hidden="1">{"histincome",#N/A,FALSE,"hyfins";"closing balance",#N/A,FALSE,"hyfins"}</definedName>
    <definedName name="abc_1" hidden="1">{"histincome",#N/A,FALSE,"hyfins";"closing balance",#N/A,FALSE,"hyfins"}</definedName>
    <definedName name="Access_Button" hidden="1">"CONSOL_SIM_List"</definedName>
    <definedName name="AccessDatabase" hidden="1">"I:\DEPT8900\OEL\FY01\Reports\Budget Comparison\Comparitive Budget TEST.mdb"</definedName>
    <definedName name="Acquistions" hidden="1">39723.3704050926</definedName>
    <definedName name="actual" hidden="1">#REF!</definedName>
    <definedName name="ACwvu.BS." hidden="1">#N/A</definedName>
    <definedName name="aDfa" hidden="1">{#N/A,#N/A,FALSE,"Aging Summary";#N/A,#N/A,FALSE,"Ratio Analysis";#N/A,#N/A,FALSE,"Test 120 Day Accts";#N/A,#N/A,FALSE,"Tickmarks"}</definedName>
    <definedName name="adfadf" hidden="1">{"'Sheet1'!$A$1:$J$121"}</definedName>
    <definedName name="adsada" hidden="1">{"Normal View",#N/A,TRUE,"Lead Schedule";"Normal View",#N/A,TRUE,"Membership Summary";"Normal View",#N/A,TRUE,"Enrolments";"Target Rate",#N/A,TRUE,"Renewals";"Attrition Rate",#N/A,TRUE,"Renewals";"Members Expiring",#N/A,TRUE,"Renewals";"Profit and Loss Tables",#N/A,TRUE,"Renewals";"Terms",#N/A,TRUE,"Renewals";"Extensions Normal View",#N/A,TRUE,"Extensions";"Normal View",#N/A,TRUE,"Deferred Subscriptions";"Normal View",#N/A,TRUE,"Subs cost of sales"}</definedName>
    <definedName name="adsf" hidden="1">{#N/A,#N/A,FALSE,"Job Sched"}</definedName>
    <definedName name="advancedSettingsInput" hidden="1">#REF!</definedName>
    <definedName name="advancedSettingsInputFA" hidden="1">#REF!</definedName>
    <definedName name="advancedSettingsInputMC" hidden="1">#REF!</definedName>
    <definedName name="ajhwuy" hidden="1">{"Normal View",#N/A,TRUE,"Lead Schedule";"Normal View",#N/A,TRUE,"Membership Summary";"Normal View",#N/A,TRUE,"Enrolments";"Target Rate",#N/A,TRUE,"Renewals";"Attrition Rate",#N/A,TRUE,"Renewals";"Members Expiring",#N/A,TRUE,"Renewals";"Profit and Loss Tables",#N/A,TRUE,"Renewals";"Terms",#N/A,TRUE,"Renewals";"Extensions Normal View",#N/A,TRUE,"Extensions";"Normal View",#N/A,TRUE,"Deferred Subscriptions";"Normal View",#N/A,TRUE,"Subs cost of sales"}</definedName>
    <definedName name="Alchemy.prt.2" hidden="1">{TRUE,TRUE,-2,-16.25,486,278.25,FALSE,TRUE,TRUE,TRUE,0,1,4,4,1,0.973404255319149,0.952380952380952,4,TRUE,TRUE,3,TRUE,1,FALSE,100,"Swvu.PRT.","ACwvu.PRT.",#N/A,FALSE,FALSE,0.01,0.01,0.75,0.1,2,"&amp;R&amp;""Times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name="Alchemy_______hhh9" hidden="1">{#N/A,#N/A,FALSE,"MAY";#N/A,#N/A,FALSE,"Q2";#N/A,#N/A,FALSE,"YTD"}</definedName>
    <definedName name="Alchemy_______uuu111" hidden="1">{#N/A,#N/A,FALSE,"MAY";#N/A,#N/A,FALSE,"Q2";#N/A,#N/A,FALSE,"YTD"}</definedName>
    <definedName name="Alchemy____hhh9" hidden="1">{#N/A,#N/A,FALSE,"MAY";#N/A,#N/A,FALSE,"Q2";#N/A,#N/A,FALSE,"YTD"}</definedName>
    <definedName name="Alchemy____uuu11" hidden="1">{#N/A,#N/A,FALSE,"MAY";#N/A,#N/A,FALSE,"Q2";#N/A,#N/A,FALSE,"YTD"}</definedName>
    <definedName name="Alchemy___hhh9" hidden="1">{#N/A,#N/A,FALSE,"MAY";#N/A,#N/A,FALSE,"Q2";#N/A,#N/A,FALSE,"YTD"}</definedName>
    <definedName name="Alchemy___uuu11" hidden="1">{#N/A,#N/A,FALSE,"MAY";#N/A,#N/A,FALSE,"Q2";#N/A,#N/A,FALSE,"YTD"}</definedName>
    <definedName name="Alchemy__hhh9" hidden="1">{#N/A,#N/A,FALSE,"MAY";#N/A,#N/A,FALSE,"Q2";#N/A,#N/A,FALSE,"YTD"}</definedName>
    <definedName name="Alchemy__uuu11" hidden="1">{#N/A,#N/A,FALSE,"MAY";#N/A,#N/A,FALSE,"Q2";#N/A,#N/A,FALSE,"YTD"}</definedName>
    <definedName name="Alchemy_hhh9" hidden="1">{#N/A,#N/A,FALSE,"MAY";#N/A,#N/A,FALSE,"Q2";#N/A,#N/A,FALSE,"YTD"}</definedName>
    <definedName name="Alchemy_uuu11" hidden="1">{#N/A,#N/A,FALSE,"MAY";#N/A,#N/A,FALSE,"Q2";#N/A,#N/A,FALSE,"YTD"}</definedName>
    <definedName name="Alchemy0" hidden="1">{#N/A,#N/A,FALSE,"New Depr Sch-150% DB";#N/A,#N/A,FALSE,"Cash Flows RLP";#N/A,#N/A,FALSE,"IRR";#N/A,#N/A,FALSE,"Proforma IS";#N/A,#N/A,FALSE,"Assumptions"}</definedName>
    <definedName name="Alchemycommonstart" hidden="1">#REF!</definedName>
    <definedName name="AlchemyDATA_01" hidden="1">#REF!</definedName>
    <definedName name="Alchemyddd" hidden="1">{"histincome",#N/A,FALSE,"hyfins";"closing balance",#N/A,FALSE,"hyfins"}</definedName>
    <definedName name="Alchemydsfadsf" hidden="1">{"histincome",#N/A,FALSE,"hyfins";"closing balance",#N/A,FALSE,"hyfins"}</definedName>
    <definedName name="AlchemyHemorrhage" hidden="1">{"mgmt forecast",#N/A,FALSE,"Mgmt Forecast";"dcf table",#N/A,FALSE,"Mgmt Forecast";"sensitivity",#N/A,FALSE,"Mgmt Forecast";"table inputs",#N/A,FALSE,"Mgmt Forecast";"calculations",#N/A,FALSE,"Mgmt Forecast"}</definedName>
    <definedName name="Alchemyhhh1" hidden="1">{#N/A,#N/A,FALSE,"MAY";#N/A,#N/A,FALSE,"Q2";#N/A,#N/A,FALSE,"YTD"}</definedName>
    <definedName name="Alchemyhhh9" hidden="1">{#N/A,#N/A,FALSE,"MAY";#N/A,#N/A,FALSE,"Q2";#N/A,#N/A,FALSE,"YTD"}</definedName>
    <definedName name="Alchemyhhhh" hidden="1">{#N/A,#N/A,FALSE,"MAY";#N/A,#N/A,FALSE,"Q2";#N/A,#N/A,FALSE,"YTD"}</definedName>
    <definedName name="Alchemyhhhh7000" hidden="1">{#N/A,#N/A,FALSE,"MAY";#N/A,#N/A,FALSE,"Q2";#N/A,#N/A,FALSE,"YTD"}</definedName>
    <definedName name="AlchemyHTML_Control" hidden="1">{"'Sheet1'!$A$1:$L$21"}</definedName>
    <definedName name="Alchemyklk" hidden="1">{TRUE,TRUE,-2,-16.25,486,278.25,FALSE,TRUE,TRUE,TRUE,0,1,4,4,1,0.973404255319149,0.952380952380952,4,TRUE,TRUE,3,TRUE,1,FALSE,100,"Swvu.PRT.","ACwvu.PRT.",#N/A,FALSE,FALSE,0.01,0.01,0.75,0.1,2,"&amp;R&amp;""Times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name="Alchemylkjlkj" hidden="1">{"Final",#N/A,FALSE,"Feb-96"}</definedName>
    <definedName name="Alchemynewname7000" hidden="1">{#N/A,#N/A,FALSE,"MAY";#N/A,#N/A,FALSE,"Q2";#N/A,#N/A,FALSE,"YTD"}</definedName>
    <definedName name="Alchemynewname9" hidden="1">{#N/A,#N/A,FALSE,"MAY";#N/A,#N/A,FALSE,"Q2";#N/A,#N/A,FALSE,"YTD"}</definedName>
    <definedName name="Alchemyshdhd" hidden="1">{TRUE,TRUE,-2,-16.25,486,278.25,FALSE,TRUE,TRUE,TRUE,0,1,4,4,1,0.973404255319149,0.952380952380952,4,TRUE,TRUE,3,TRUE,1,FALSE,100,"Swvu.PRT.","ACwvu.PRT.",#N/A,FALSE,FALSE,0.01,0.01,0.75,0.1,2,"&amp;R&amp;""Times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name="Alchemyuuu11" hidden="1">{#N/A,#N/A,FALSE,"MAY";#N/A,#N/A,FALSE,"Q2";#N/A,#N/A,FALSE,"YTD"}</definedName>
    <definedName name="Alchemyuuuu" hidden="1">{#N/A,#N/A,FALSE,"MAY";#N/A,#N/A,FALSE,"Q2";#N/A,#N/A,FALSE,"YTD"}</definedName>
    <definedName name="Alchemyuuuu9" hidden="1">{#N/A,#N/A,FALSE,"MAY";#N/A,#N/A,FALSE,"Q2";#N/A,#N/A,FALSE,"YTD"}</definedName>
    <definedName name="Alchemyuuuuu1" hidden="1">{#N/A,#N/A,FALSE,"MAY";#N/A,#N/A,FALSE,"Q2";#N/A,#N/A,FALSE,"YTD"}</definedName>
    <definedName name="Alchemywhat" hidden="1">{TRUE,TRUE,-2,-16.25,486,278.25,FALSE,TRUE,TRUE,TRUE,0,1,2,4,1,0.987654320987654,0.952380952380952,3,TRUE,TRUE,3,TRUE,1,FALSE,100,"Swvu.ALL.","ACwvu.ALL.",#N/A,FALSE,FALSE,0.01,0.01,0.5,0.2,2,"&amp;R&amp;""Times New Roman""&amp;F
&amp;D   &amp;T","",TRUE,FALSE,FALSE,FALSE,1,100,#N/A,#N/A,"=R1C1:R53C15",FALSE,#N/A,"Cwvu.ALL.",FALSE,FALSE,TRUE,1,65532,65532,FALSE,FALSE,TRUE,TRUE,TRUE}</definedName>
    <definedName name="Alchemywrn.Aging._.and_.Trend._.Analysis." hidden="1">{#N/A,#N/A,FALSE,"Aging Summary";#N/A,#N/A,FALSE,"Ratio Analysis";#N/A,#N/A,FALSE,"Test 120 Day Accts";#N/A,#N/A,FALSE,"Tickmarks"}</definedName>
    <definedName name="Alchemywrn.Basic._.Report" hidden="1">{#N/A,#N/A,FALSE,"New Depr Sch-150% DB";#N/A,#N/A,FALSE,"Cash Flows RLP";#N/A,#N/A,FALSE,"IRR";#N/A,#N/A,FALSE,"Proforma IS";#N/A,#N/A,FALSE,"Assumptions"}</definedName>
    <definedName name="Alchemywrn.clientcopy."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Alchemywrn.columbus" hidden="1">{"IS_plan vs Act",#N/A,FALSE,"IS_Plan-Act";"is_curr&amp;YTD",#N/A,FALSE,"IS_Plan-Act";"is_last5mos",#N/A,FALSE,"IS_Plan-Act";"is_vsYTD_RR",#N/A,FALSE,"IS_Plan-Act";"bs",#N/A,FALSE,"IS_Plan-Act";"bs_last5mos",#N/A,FALSE,"IS_Plan-Act";"cf",#N/A,FALSE,"IS_Plan-Act"}</definedName>
    <definedName name="Alchemywrn.Complete._.Report." hidden="1">{#N/A,#N/A,FALSE,"Assumptions";#N/A,#N/A,FALSE,"Proforma IS";#N/A,#N/A,FALSE,"Cash Flows RLP";#N/A,#N/A,FALSE,"IRR";#N/A,#N/A,FALSE,"New Depr Sch-150% DB";#N/A,#N/A,FALSE,"Comments"}</definedName>
    <definedName name="Alchemywrn.consolidated." hidden="1">{"IS_planvsActual",#N/A,FALSE,"IS_Plan-Act";"IS_curr&amp;YTD",#N/A,FALSE,"IS";"BS_curr&amp;lastmo",#N/A,FALSE,"BS";"bs 4 qtrs",#N/A,FALSE,"BS";"cf",#N/A,FALSE,"CF"}</definedName>
    <definedName name="Alchemywrn.dcf." hidden="1">{"mgmt forecast",#N/A,FALSE,"Mgmt Forecast";"dcf table",#N/A,FALSE,"Mgmt Forecast";"sensitivity",#N/A,FALSE,"Mgmt Forecast";"table inputs",#N/A,FALSE,"Mgmt Forecast";"calculations",#N/A,FALSE,"Mgmt Forecast"}</definedName>
    <definedName name="Alchemywrn.dcf2." hidden="1">{"mgmt forecast",#N/A,FALSE,"Mgmt Forecast";"dcf table",#N/A,FALSE,"Mgmt Forecast";"sensitivity",#N/A,FALSE,"Mgmt Forecast";"table inputs",#N/A,FALSE,"Mgmt Forecast";"calculations",#N/A,FALSE,"Mgmt Forecast"}</definedName>
    <definedName name="Alchemywrn.Draft." hidden="1">{"Draft",#N/A,FALSE,"Feb-96"}</definedName>
    <definedName name="Alchemywrn.filecopy."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Alchemywrn.Final." hidden="1">{"Final",#N/A,FALSE,"Feb-96"}</definedName>
    <definedName name="Alchemywrn.Financial._.Statements." hidden="1">{"Consolidated Balance Sheet",#N/A,FALSE,"Sheet2";"Consolidating Balance Sheet",#N/A,FALSE,"Sheet2";"Consolidated Income Statement",#N/A,FALSE,"Sheet2";"Consolidating Income Statement",#N/A,FALSE,"Sheet2";"Statement of Stockholders equity",#N/A,FALSE,"Sheet2"}</definedName>
    <definedName name="Alchemywrn.FY97SBP." hidden="1">{#N/A,#N/A,FALSE,"FY97";#N/A,#N/A,FALSE,"FY98";#N/A,#N/A,FALSE,"FY99";#N/A,#N/A,FALSE,"FY00";#N/A,#N/A,FALSE,"FY01"}</definedName>
    <definedName name="Alchemywrn.MAY95." hidden="1">{#N/A,#N/A,FALSE,"MAY";#N/A,#N/A,FALSE,"Q2";#N/A,#N/A,FALSE,"YTD"}</definedName>
    <definedName name="Alchemywrn.may959" hidden="1">{#N/A,#N/A,FALSE,"MAY";#N/A,#N/A,FALSE,"Q2";#N/A,#N/A,FALSE,"YTD"}</definedName>
    <definedName name="Alchemywrn.phoenix." hidden="1">{"is_plan vs Act",#N/A,FALSE,"IS_Plan-Act";"is_curr&amp;YTD",#N/A,FALSE,"IS_Plan-Act";"is_last5mos",#N/A,FALSE,"IS_Plan-Act";"is_vsYTD_RR",#N/A,FALSE,"IS_Plan-Act";"bs",#N/A,FALSE,"IS_Plan-Act";"bs_last5mos",#N/A,FALSE,"IS_Plan-Act";"cf",#N/A,FALSE,"IS_Plan-Act"}</definedName>
    <definedName name="Alchemywrn.Projections." hidden="1">{"Volume",#N/A,FALSE,"volume";"revenue",#N/A,FALSE,"revenue"}</definedName>
    <definedName name="Alchemywrn.Relevant." hidden="1">{#N/A,#N/A,FALSE,"Title Page";#N/A,#N/A,FALSE,"Conclusions";#N/A,#N/A,FALSE,"Assum.";#N/A,#N/A,FALSE,"Sun  DCF-WC-Dep";#N/A,#N/A,FALSE,"MarketValue";#N/A,#N/A,FALSE,"BalSheet";#N/A,#N/A,FALSE,"WACC";#N/A,#N/A,FALSE,"PC+ Info.";#N/A,#N/A,FALSE,"PC+Info_2"}</definedName>
    <definedName name="Alchemywrn.report" hidden="1">{#N/A,#N/A,TRUE,"Mgmt hilites-cons";#N/A,#N/A,TRUE,"P&amp;L Cons";#N/A,#N/A,TRUE,"BS cons";#N/A,#N/A,TRUE,"cf cons";"bklg-cons-gr",#N/A,TRUE,"stops_chrts";"wkly rev-cons-gr",#N/A,TRUE,"stops_chrts";"revperhead-cons-gr",#N/A,TRUE,"stops_chrts";#N/A,#N/A,TRUE,"stops-hdct";"rev&amp;mrg-cons",#N/A,TRUE,"stops_chrts";"opexp-cons-gr",#N/A,TRUE,"stops_chrts";"opinc-cons-gr",#N/A,TRUE,"stops_chrts";"netin-cons-gr",#N/A,TRUE,"stops_chrts";"dsr-cons-gr",#N/A,TRUE,"stops_chrts";"DoH-cons-gr",#N/A,TRUE,"stops_chrts";"wrk cap-cons-gr",#N/A,TRUE,"stops_chrts";#N/A,#N/A,TRUE,"stops-wkg cap";"RoI-cons-gr",#N/A,TRUE,"stops_chrts";"RoE-Cons-gr",#N/A,TRUE,"stops_chrts";#N/A,#N/A,TRUE,"stops- rsrvs";#N/A,#N/A,TRUE,"Mgmt hilites-phx";#N/A,#N/A,TRUE,"P&amp;L phoenix";#N/A,#N/A,TRUE,"BS phoenix";#N/A,#N/A,TRUE,"cf phx";#N/A,#N/A,TRUE,"stops-bkgs, backlog";#N/A,#N/A,TRUE,"stops - commissions-phx";"wkly rev-phx",#N/A,TRUE,"stops_chrts";"revperhead-phx-gr",#N/A,TRUE,"stops_chrts";"rev&amp;mrg-phx-gr",#N/A,TRUE,"stops_chrts";#N/A,#N/A,TRUE,"stops-gm phx";"opexp-phx-gr",#N/A,TRUE,"stops_chrts";#N/A,#N/A,TRUE,"stops-idsexp";#N/A,#N/A,TRUE,"stops-ops";#N/A,#N/A,TRUE,"stops-r&amp;d";#N/A,#N/A,TRUE,"stops-sga";"opinc-phx-gr",#N/A,TRUE,"stops_chrts";"netinc-phx-gr",#N/A,TRUE,"stops_chrts";"dsr-phx-gr",#N/A,TRUE,"stops_chrts";#N/A,#N/A,TRUE,"stops-ar-phx";"DoH-phx-gr",#N/A,TRUE,"stops_chrts";#N/A,#N/A,TRUE,"stops-inv -phx";#N/A,#N/A,TRUE,"stops-cap-phx";#N/A,#N/A,TRUE,"Mgmt hilites-col";#N/A,#N/A,TRUE,"P&amp;L columbus";#N/A,#N/A,TRUE,"BS columbus";#N/A,#N/A,TRUE,"cf col";"wkly rev-col-gr",#N/A,TRUE,"stops_chrts";"revperhead-col-gr",#N/A,TRUE,"stops_chrts";"rev&amp;mrg-col-gr",#N/A,TRUE,"stops_chrts";#N/A,#N/A,TRUE,"stops-gm col";"opexp-col-gr",#N/A,TRUE,"stops_chrts";"opinc-col-gr",#N/A,TRUE,"stops_chrts";"netinc-col-gr",#N/A,TRUE,"stops_chrts";"dsr-col-gr",#N/A,TRUE,"stops_chrts";"DoH-Col-gr",#N/A,TRUE,"stops_chrts";#N/A,#N/A,TRUE,"stops-inv -col";#N/A,#N/A,TRUE,"stops-cap-col";#N/A,#N/A,TRUE,"stops - commissions-col"}</definedName>
    <definedName name="Alchemywrn.Revs." hidden="1">{"Base_rev",#N/A,FALSE,"Proj_IS_Base";"Projrev",#N/A,FALSE,"Proj_IS_wOTLC";"Delta",#N/A,FALSE,"Delta Rev_PV"}</definedName>
    <definedName name="Alchemywrn.sum." hidden="1">{"Opsys",#N/A,FALSE,"NPV_OPsys";"NT",#N/A,FALSE,"NPV_NT";"DevP",#N/A,FALSE,"NPV_DevPdt";"Office",#N/A,FALSE,"NPV_Office"}</definedName>
    <definedName name="Alchemywrn.upstairs." hidden="1">{"histincome",#N/A,FALSE,"hyfins";"closing balance",#N/A,FALSE,"hyfins"}</definedName>
    <definedName name="Alchemywvu.ALL." hidden="1">{TRUE,TRUE,-2,-16.25,486,278.25,FALSE,TRUE,TRUE,TRUE,0,1,2,4,1,0.987654320987654,0.952380952380952,3,TRUE,TRUE,3,TRUE,1,FALSE,100,"Swvu.ALL.","ACwvu.ALL.",#N/A,FALSE,FALSE,0.01,0.01,0.5,0.2,2,"&amp;R&amp;""Times New Roman""&amp;F
&amp;D   &amp;T","",TRUE,FALSE,FALSE,FALSE,1,100,#N/A,#N/A,"=R1C1:R53C15",FALSE,#N/A,"Cwvu.ALL.",FALSE,FALSE,TRUE,1,65532,65532,FALSE,FALSE,TRUE,TRUE,TRUE}</definedName>
    <definedName name="Alchemywvu.all.2" hidden="1">{TRUE,TRUE,-2,-16.25,486,278.25,FALSE,TRUE,TRUE,TRUE,0,1,2,4,1,0.987654320987654,0.952380952380952,3,TRUE,TRUE,3,TRUE,1,FALSE,100,"Swvu.ALL.","ACwvu.ALL.",#N/A,FALSE,FALSE,0.01,0.01,0.5,0.2,2,"&amp;R&amp;""Times New Roman""&amp;F
&amp;D   &amp;T","",TRUE,FALSE,FALSE,FALSE,1,100,#N/A,#N/A,"=R1C1:R53C15",FALSE,#N/A,"Cwvu.ALL.",FALSE,FALSE,TRUE,1,65532,65532,FALSE,FALSE,TRUE,TRUE,TRUE}</definedName>
    <definedName name="Alchemywvu.all2" hidden="1">{TRUE,TRUE,-2,-16.25,486,278.25,FALSE,TRUE,TRUE,TRUE,0,1,2,4,1,0.987654320987654,0.952380952380952,3,TRUE,TRUE,3,TRUE,1,FALSE,100,"Swvu.ALL.","ACwvu.ALL.",#N/A,FALSE,FALSE,0.01,0.01,0.5,0.2,2,"&amp;R&amp;""Times New Roman""&amp;F
&amp;D   &amp;T","",TRUE,FALSE,FALSE,FALSE,1,100,#N/A,#N/A,"=R1C1:R53C15",FALSE,#N/A,"Cwvu.ALL.",FALSE,FALSE,TRUE,1,65532,65532,FALSE,FALSE,TRUE,TRUE,TRUE}</definedName>
    <definedName name="Alchemywvu.all3" hidden="1">{TRUE,TRUE,-2,-16.25,486,278.25,FALSE,TRUE,TRUE,TRUE,0,1,2,4,1,0.987654320987654,0.952380952380952,3,TRUE,TRUE,3,TRUE,1,FALSE,100,"Swvu.ALL.","ACwvu.ALL.",#N/A,FALSE,FALSE,0.01,0.01,0.5,0.2,2,"&amp;R&amp;""Times New Roman""&amp;F
&amp;D   &amp;T","",TRUE,FALSE,FALSE,FALSE,1,100,#N/A,#N/A,"=R1C1:R53C15",FALSE,#N/A,"Cwvu.ALL.",FALSE,FALSE,TRUE,1,65532,65532,FALSE,FALSE,TRUE,TRUE,TRUE}</definedName>
    <definedName name="Alchemywvu.PRT." hidden="1">{TRUE,TRUE,-2,-16.25,486,278.25,FALSE,TRUE,TRUE,TRUE,0,1,4,4,1,0.973404255319149,0.952380952380952,4,TRUE,TRUE,3,TRUE,1,FALSE,100,"Swvu.PRT.","ACwvu.PRT.",#N/A,FALSE,FALSE,0.01,0.01,0.75,0.1,2,"&amp;R&amp;""Times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name="Alchemywvu.prt.3" hidden="1">{TRUE,TRUE,-2,-16.25,486,278.25,FALSE,TRUE,TRUE,TRUE,0,1,4,4,1,0.973404255319149,0.952380952380952,4,TRUE,TRUE,3,TRUE,1,FALSE,100,"Swvu.PRT.","ACwvu.PRT.",#N/A,FALSE,FALSE,0.01,0.01,0.75,0.1,2,"&amp;R&amp;""Times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name="Alchemywvu.prt2" hidden="1">{TRUE,TRUE,-2,-16.25,486,278.25,FALSE,TRUE,TRUE,TRUE,0,1,4,4,1,0.973404255319149,0.952380952380952,4,TRUE,TRUE,3,TRUE,1,FALSE,100,"Swvu.PRT.","ACwvu.PRT.",#N/A,FALSE,FALSE,0.01,0.01,0.75,0.1,2,"&amp;R&amp;""Times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name="Alchemywvu.prt3" hidden="1">{TRUE,TRUE,-2,-16.25,486,278.25,FALSE,TRUE,TRUE,TRUE,0,1,4,4,1,0.973404255319149,0.952380952380952,4,TRUE,TRUE,3,TRUE,1,FALSE,100,"Swvu.PRT.","ACwvu.PRT.",#N/A,FALSE,FALSE,0.01,0.01,0.75,0.1,2,"&amp;R&amp;""Times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name="Alchemyww.Rele" hidden="1">{#N/A,#N/A,FALSE,"Title Page";#N/A,#N/A,FALSE,"Conclusions";#N/A,#N/A,FALSE,"Assum.";#N/A,#N/A,FALSE,"Sun  DCF-WC-Dep";#N/A,#N/A,FALSE,"MarketValue";#N/A,#N/A,FALSE,"BalSheet";#N/A,#N/A,FALSE,"WACC";#N/A,#N/A,FALSE,"PC+ Info.";#N/A,#N/A,FALSE,"PC+Info_2"}</definedName>
    <definedName name="Alchemywwvu.all2" hidden="1">{TRUE,TRUE,-2,-16.25,486,278.25,FALSE,TRUE,TRUE,TRUE,0,1,2,4,1,0.987654320987654,0.952380952380952,3,TRUE,TRUE,3,TRUE,1,FALSE,100,"Swvu.ALL.","ACwvu.ALL.",#N/A,FALSE,FALSE,0.01,0.01,0.5,0.2,2,"&amp;R&amp;""Times New Roman""&amp;F
&amp;D   &amp;T","",TRUE,FALSE,FALSE,FALSE,1,100,#N/A,#N/A,"=R1C1:R53C15",FALSE,#N/A,"Cwvu.ALL.",FALSE,FALSE,TRUE,1,65532,65532,FALSE,FALSE,TRUE,TRUE,TRUE}</definedName>
    <definedName name="Alchemyx" hidden="1">{#N/A,#N/A,FALSE,"FY97";#N/A,#N/A,FALSE,"FY98";#N/A,#N/A,FALSE,"FY99";#N/A,#N/A,FALSE,"FY00";#N/A,#N/A,FALSE,"FY01"}</definedName>
    <definedName name="Alchemyxys" hidden="1">{#N/A,#N/A,FALSE,"Title Page";#N/A,#N/A,FALSE,"Conclusions";#N/A,#N/A,FALSE,"Assum.";#N/A,#N/A,FALSE,"Sun  DCF-WC-Dep";#N/A,#N/A,FALSE,"MarketValue";#N/A,#N/A,FALSE,"BalSheet";#N/A,#N/A,FALSE,"WACC";#N/A,#N/A,FALSE,"PC+ Info.";#N/A,#N/A,FALSE,"PC+Info_2"}</definedName>
    <definedName name="Alchemyzzz.com" hidden="1">{#N/A,#N/A,FALSE,"Title Page";#N/A,#N/A,FALSE,"Conclusions";#N/A,#N/A,FALSE,"Assum.";#N/A,#N/A,FALSE,"Sun  DCF-WC-Dep";#N/A,#N/A,FALSE,"MarketValue";#N/A,#N/A,FALSE,"BalSheet";#N/A,#N/A,FALSE,"WACC";#N/A,#N/A,FALSE,"PC+ Info.";#N/A,#N/A,FALSE,"PC+Info_2"}</definedName>
    <definedName name="anscount" hidden="1">1</definedName>
    <definedName name="arsdf" hidden="1">{#N/A,#N/A,FALSE,"Aging Summary";#N/A,#N/A,FALSE,"Ratio Analysis";#N/A,#N/A,FALSE,"Test 120 Day Accts";#N/A,#N/A,FALSE,"Tickmarks"}</definedName>
    <definedName name="as" hidden="1">{"FCB_ALL",#N/A,FALSE,"FCB"}</definedName>
    <definedName name="AS2DocOpenMode" hidden="1">"AS2DocumentEdit"</definedName>
    <definedName name="AS2HasNoAutoHeaderFooter" hidden="1">" "</definedName>
    <definedName name="AS2NamedRange" hidden="1">3</definedName>
    <definedName name="AS2ReportLS" hidden="1">1</definedName>
    <definedName name="AS2StaticLS" hidden="1">#REF!</definedName>
    <definedName name="AS2SyncStepLS" hidden="1">0</definedName>
    <definedName name="AS2TickmarkLS" hidden="1">#REF!</definedName>
    <definedName name="AS2VersionLS" hidden="1">300</definedName>
    <definedName name="asdafasf" hidden="1">{"Normal View",#N/A,TRUE,"Lead Schedule";"Normal View",#N/A,TRUE,"Membership Summary";"Normal View",#N/A,TRUE,"Enrolments";"Target Rate",#N/A,TRUE,"Renewals";"Attrition Rate",#N/A,TRUE,"Renewals";"Members Expiring",#N/A,TRUE,"Renewals";"Profit and Loss Tables",#N/A,TRUE,"Renewals";"Terms",#N/A,TRUE,"Renewals";"Extensions Normal View",#N/A,TRUE,"Extensions";"Normal View",#N/A,TRUE,"Deferred Subscriptions";"Normal View",#N/A,TRUE,"Subs cost of sales"}</definedName>
    <definedName name="asdf" hidden="1">{"'Standalone List Price Trends'!$A$1:$X$56"}</definedName>
    <definedName name="asdf_1" hidden="1">{"'Standalone List Price Trends'!$A$1:$X$56"}</definedName>
    <definedName name="asdf2" hidden="1">{"COMPCFT",#N/A,FALSE,"CFT";"COMPAPP",#N/A,FALSE,"APP";"COMPJEW",#N/A,FALSE,"JEW";"COMPHOM",#N/A,FALSE,"HOM";"COMPCOL",#N/A,FALSE,"COL"}</definedName>
    <definedName name="asdfadsf" hidden="1">{"'Sheet1'!$A$1:$J$121"}</definedName>
    <definedName name="asdfasf" hidden="1">38939.6653819444</definedName>
    <definedName name="asdtf" hidden="1">{"'Standalone List Price Trends'!$A$1:$X$56"}</definedName>
    <definedName name="asdtf_1" hidden="1">{"'Standalone List Price Trends'!$A$1:$X$56"}</definedName>
    <definedName name="asfd" hidden="1">#REF!</definedName>
    <definedName name="asggdasgasdg" hidden="1">{"'Standalone List Price Trends'!$A$1:$X$56"}</definedName>
    <definedName name="asggdasgasdg_1" hidden="1">{"'Standalone List Price Trends'!$A$1:$X$56"}</definedName>
    <definedName name="AUto1" hidden="1">{#N/A,#N/A,FALSE,"Sheet1"}</definedName>
    <definedName name="AUto2" hidden="1">{#N/A,#N/A,FALSE,"Sheet1"}</definedName>
    <definedName name="avegmultiple" hidden="1">#REF!</definedName>
    <definedName name="aw"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b" hidden="1">{#N/A,#N/A,FALSE,"REV 110 PRNE (Bureau-Frankfurt)";#N/A,#N/A,FALSE,"REV 120 PRNE (Bureau - Paris)"}</definedName>
    <definedName name="ba" hidden="1">{#N/A,#N/A,FALSE,"Budget96 Revised"}</definedName>
    <definedName name="bad" hidden="1">{#N/A,#N/A,FALSE,"CASH";#N/A,#N/A,FALSE,"ACCT REC";#N/A,#N/A,FALSE,"PP&amp;E";#N/A,#N/A,FALSE,"OTHER ASSETS";#N/A,#N/A,FALSE,"CP LTD";#N/A,#N/A,FALSE,"ACCT PAY";#N/A,#N/A,FALSE,"ACCRUED OTH AP";#N/A,#N/A,FALSE,"LTD";#N/A,#N/A,FALSE,"REVENUES &amp; EXPENSES"}</definedName>
    <definedName name="bd" hidden="1">#N/A</definedName>
    <definedName name="Bear" hidden="1">{#N/A,#N/A,FALSE,"TS";#N/A,#N/A,FALSE,"Combo";#N/A,#N/A,FALSE,"FAIR";#N/A,#N/A,FALSE,"RBC";#N/A,#N/A,FALSE,"xxxx";#N/A,#N/A,FALSE,"A_D";#N/A,#N/A,FALSE,"WACC";#N/A,#N/A,FALSE,"DCF";#N/A,#N/A,FALSE,"LBO";#N/A,#N/A,FALSE,"AcqMults";#N/A,#N/A,FALSE,"CompMults"}</definedName>
    <definedName name="belnew" hidden="1">{"IS",#N/A,FALSE,"IS";"RPTIS",#N/A,FALSE,"RPTIS";"STATS",#N/A,FALSE,"STATS";"CELL",#N/A,FALSE,"CELL";"BS",#N/A,FALSE,"BS"}</definedName>
    <definedName name="bg" hidden="1">{#N/A,#N/A,TRUE,"Summary - 1";#N/A,#N/A,TRUE,"Summary - 2";#N/A,#N/A,TRUE,"Group Analysis";#N/A,#N/A,TRUE,"FM Analysis";#N/A,#N/A,TRUE,"T&amp;M-Onsite";#N/A,#N/A,TRUE,"FP-Onsite";#N/A,#N/A,TRUE,"NB-Onsite";#N/A,#N/A,TRUE,"T&amp;M-Offshore";#N/A,#N/A,TRUE,"FP-Offshore";#N/A,#N/A,TRUE,"Appendix-A";#N/A,#N/A,TRUE,"Appendix-B"}</definedName>
    <definedName name="bg_1" hidden="1">{#N/A,#N/A,TRUE,"Summary - 1";#N/A,#N/A,TRUE,"Summary - 2";#N/A,#N/A,TRUE,"Group Analysis";#N/A,#N/A,TRUE,"FM Analysis";#N/A,#N/A,TRUE,"T&amp;M-Onsite";#N/A,#N/A,TRUE,"FP-Onsite";#N/A,#N/A,TRUE,"NB-Onsite";#N/A,#N/A,TRUE,"T&amp;M-Offshore";#N/A,#N/A,TRUE,"FP-Offshore";#N/A,#N/A,TRUE,"Appendix-A";#N/A,#N/A,TRUE,"Appendix-B"}</definedName>
    <definedName name="BG_Del" hidden="1">15</definedName>
    <definedName name="BG_Ins" hidden="1">4</definedName>
    <definedName name="BG_Mod" hidden="1">6</definedName>
    <definedName name="bg3sheet" hidden="1">{#N/A,#N/A,TRUE,"Summary - 1";#N/A,#N/A,TRUE,"Summary - 2";#N/A,#N/A,TRUE,"Group Analysis";#N/A,#N/A,TRUE,"FM Analysis";#N/A,#N/A,TRUE,"T&amp;M-Onsite";#N/A,#N/A,TRUE,"FP-Onsite";#N/A,#N/A,TRUE,"NB-Onsite";#N/A,#N/A,TRUE,"T&amp;M-Offshore";#N/A,#N/A,TRUE,"FP-Offshore";#N/A,#N/A,TRUE,"Appendix-A";#N/A,#N/A,TRUE,"Appendix-B"}</definedName>
    <definedName name="bg3sheet_1" hidden="1">{#N/A,#N/A,TRUE,"Summary - 1";#N/A,#N/A,TRUE,"Summary - 2";#N/A,#N/A,TRUE,"Group Analysis";#N/A,#N/A,TRUE,"FM Analysis";#N/A,#N/A,TRUE,"T&amp;M-Onsite";#N/A,#N/A,TRUE,"FP-Onsite";#N/A,#N/A,TRUE,"NB-Onsite";#N/A,#N/A,TRUE,"T&amp;M-Offshore";#N/A,#N/A,TRUE,"FP-Offshore";#N/A,#N/A,TRUE,"Appendix-A";#N/A,#N/A,TRUE,"Appendix-B"}</definedName>
    <definedName name="bgisheet" hidden="1">{#N/A,#N/A,TRUE,"Summary - 1";#N/A,#N/A,TRUE,"Summary - 2";#N/A,#N/A,TRUE,"Group Analysis";#N/A,#N/A,TRUE,"FM Analysis";#N/A,#N/A,TRUE,"T&amp;M-Onsite";#N/A,#N/A,TRUE,"FP-Onsite";#N/A,#N/A,TRUE,"NB-Onsite";#N/A,#N/A,TRUE,"T&amp;M-Offshore";#N/A,#N/A,TRUE,"FP-Offshore";#N/A,#N/A,TRUE,"Appendix-A";#N/A,#N/A,TRUE,"Appendix-B"}</definedName>
    <definedName name="bgisheet_1" hidden="1">{#N/A,#N/A,TRUE,"Summary - 1";#N/A,#N/A,TRUE,"Summary - 2";#N/A,#N/A,TRUE,"Group Analysis";#N/A,#N/A,TRUE,"FM Analysis";#N/A,#N/A,TRUE,"T&amp;M-Onsite";#N/A,#N/A,TRUE,"FP-Onsite";#N/A,#N/A,TRUE,"NB-Onsite";#N/A,#N/A,TRUE,"T&amp;M-Offshore";#N/A,#N/A,TRUE,"FP-Offshore";#N/A,#N/A,TRUE,"Appendix-A";#N/A,#N/A,TRUE,"Appendix-B"}</definedName>
    <definedName name="bill" hidden="1">{"PAGE 1",#N/A,FALSE,"WEST_OT"}</definedName>
    <definedName name="bill1" hidden="1">{"PAGE 1",#N/A,FALSE,"WEST_OT"}</definedName>
    <definedName name="bill2" hidden="1">{"PAGE 1",#N/A,FALSE,"WEST_OT"}</definedName>
    <definedName name="bill3" hidden="1">{"PAGE 1",#N/A,FALSE,"WEST_OT"}</definedName>
    <definedName name="billrev2" hidden="1">{"PAGE 1",#N/A,FALSE,"WEST_OT"}</definedName>
    <definedName name="BLPH1" hidden="1">#REF!</definedName>
    <definedName name="BLPH10" hidden="1">#REF!</definedName>
    <definedName name="BLPH11" hidden="1">#REF!</definedName>
    <definedName name="BLPH2" hidden="1">#REF!</definedName>
    <definedName name="BLPH3" hidden="1">#REF!</definedName>
    <definedName name="BLPH4" hidden="1">#REF!</definedName>
    <definedName name="BLPH5" hidden="1">#REF!</definedName>
    <definedName name="BLPH6" hidden="1">#REF!</definedName>
    <definedName name="BLPH7" hidden="1">#REF!</definedName>
    <definedName name="BLPH8" hidden="1">#REF!</definedName>
    <definedName name="BLPH9" hidden="1">#REF!</definedName>
    <definedName name="bnnn" hidden="1">{"consolidated",#N/A,FALSE,"Sheet1";"cms",#N/A,FALSE,"Sheet1";"fse",#N/A,FALSE,"Sheet1"}</definedName>
    <definedName name="bs" hidden="1">{#N/A,#N/A,FALSE,"Job Sched"}</definedName>
    <definedName name="but" hidden="1">{"page1",#N/A,FALSE,"GIRLBO";"page2",#N/A,FALSE,"GIRLBO";"page3",#N/A,FALSE,"GIRLBO";"page4",#N/A,FALSE,"GIRLBO";"page5",#N/A,FALSE,"GIRLBO"}</definedName>
    <definedName name="bye" hidden="1">{#N/A,#N/A,FALSE,"Aging Summary";#N/A,#N/A,FALSE,"Ratio Analysis";#N/A,#N/A,FALSE,"Test 120 Day Accts";#N/A,#N/A,FALSE,"Tickmarks"}</definedName>
    <definedName name="cagla1293" hidden="1">{"MESROS",#N/A,FALSE,"ROS";"MESOFF",#N/A,FALSE,"OFF";"MESBEA",#N/A,FALSE,"BEA";"MESCOF",#N/A,FALSE,"COF";"MESTEL",#N/A,FALSE,"TEL";"MESCON",#N/A,FALSE,"CON";"MESINT",#N/A,FALSE,"INT"}</definedName>
    <definedName name="cancel" hidden="1">{"PARTNERS CAPITAL STMT",#N/A,FALSE,"Partners Capital"}</definedName>
    <definedName name="cancel2" hidden="1">{"PNLProjDL",#N/A,FALSE,"PROJCO";"PNLParDL",#N/A,FALSE,"Parent"}</definedName>
    <definedName name="cancel3" hidden="1">{"Summary",#N/A,FALSE,"MICMULT";"Income Statement",#N/A,FALSE,"MICMULT";"Cash Flows",#N/A,FALSE,"MICMULT"}</definedName>
    <definedName name="cb_Chart_1" hidden="1">#REF!</definedName>
    <definedName name="cb_Chart_1_opts" hidden="1">"1, 5, 1, False, 2, True, False, , 0, False, False, 1, 1"</definedName>
    <definedName name="cb_Chart_2_opts" hidden="1">"1, 1, 1, False, 2, False, False, , 0, False, False, 1, 1"</definedName>
    <definedName name="cb_Chart_3_opts" hidden="1">"1, 1, 1, False, 2, False, False, , 0, False, False, 1, 1"</definedName>
    <definedName name="cb_sChart1489E789_opts" hidden="1">"2, 1, 2, True, 2, False, False, , 0, False, True, 2, 2"</definedName>
    <definedName name="cb_sChart1489EC54_opts" hidden="1">"2, 1, 2, True, 2, False, False, , 0, False, True, 2, 2"</definedName>
    <definedName name="cb_sChart18009FE8_opts" hidden="1">"1, 1, 1, False, 2, False, False, , 0, False, False, 1, 1"</definedName>
    <definedName name="cb_sChart1801153B_opts" hidden="1">"1, 1, 1, False, 2, False, False, , 0, False, True, 1, 1"</definedName>
    <definedName name="cb_sChart1CC916DC_opts" hidden="1">"1, 10, 1, False, 2, False, False, , 0, False, False, 1, 1"</definedName>
    <definedName name="cb_sChart1D0218BA_opts" hidden="1">"1, 1, 1, False, 2, False, False, , 0, False, False, 1, 1"</definedName>
    <definedName name="cb_sChart1D0219E7_opts" hidden="1">"1, 1, 1, False, 2, False, False, , 0, False, False, 1, 1"</definedName>
    <definedName name="cb_sChart1D022117_opts" hidden="1">"1, 1, 1, False, 2, False, False, , 0, False, False, 1, 1"</definedName>
    <definedName name="cb_sChart1D02CAAE_opts" hidden="1">"1, 10, 1, False, 2, False, False, , 0, False, False, 1, 1"</definedName>
    <definedName name="cb_sChart1D03E238_opts" hidden="1">"1, 1, 1, False, 2, False, False, , 0, False, False, 1, 1"</definedName>
    <definedName name="cb_sChart1D03E90C_opts" hidden="1">"1, 1, 1, False, 2, False, False, , 0, False, False, 1, 1"</definedName>
    <definedName name="cb_sChart1D1405AB_opts" hidden="1">"1, 10, 1, False, 2, False, False, , 0, False, False, 1, 1"</definedName>
    <definedName name="cb_sChart1D1426E6_opts" hidden="1">"1, 10, 1, False, 2, False, False, , 0, False, False, 1, 1"</definedName>
    <definedName name="cb_sChart1D14336C_opts" hidden="1">"1, 10, 1, False, 2, False, False, , 0, False, False, 1, 1"</definedName>
    <definedName name="cb_sChart1D14587E_opts" hidden="1">"1, 10, 1, False, 2, False, False, , 0, False, False, 1, 1"</definedName>
    <definedName name="cb_sChart41E9A35_opts" hidden="1">"1, 9, 1, False, 2, False, False, , 0, False, True, 1, 1"</definedName>
    <definedName name="cb_sChart68E08A4_opts" hidden="1">"1, 1, 1, False, 2, True, False, , 0, False, False, 2, 2"</definedName>
    <definedName name="cb_sChart6F544DD_opts" hidden="1">"1, 3, 1, False, 2, False, False, , 0, False, False, 2, 1"</definedName>
    <definedName name="cb_sChart74FE4B0_opts" hidden="1">"1, 4, 1, False, 2, True, False, , 0, False, False, 1, 1"</definedName>
    <definedName name="cb_sChart74FE8FC_opts" hidden="1">"1, 4, 1, False, 2, True, False, , 0, False, False, 1, 1"</definedName>
    <definedName name="cb_sChartF046D89_opts" hidden="1">"1, 1, 1, False, 2, True, False, , 1, False, False, 1, 1"</definedName>
    <definedName name="cb_sChartF048B26_opts" hidden="1">"1, 5, 1, False, 2, False, False, , 1, False, False, 1, 2"</definedName>
    <definedName name="cb_sChartF2B7B01_opts" hidden="1">"1, 1, 1, False, 2, True, False, , 1, False, False, 1, 1"</definedName>
    <definedName name="CBWorkbookPriority" hidden="1">-1100774622</definedName>
    <definedName name="çç" hidden="1">{"Informes",#N/A,FALSE,"CA";"Informes",#N/A,FALSE,"CN";"Informes",#N/A,FALSE,"INVERSIONES";"Informes",#N/A,FALSE,"CN Oficial";"Informes",#N/A,FALSE,"CA Oficial";"Informes",#N/A,FALSE,"Res Datos Areas"}</definedName>
    <definedName name="ccc" hidden="1">{#N/A,#N/A,FALSE,"Calc";#N/A,#N/A,FALSE,"Sensitivity";#N/A,#N/A,FALSE,"LT Earn.Dil.";#N/A,#N/A,FALSE,"Dil. AVP"}</definedName>
    <definedName name="ccccc" hidden="1">{"10yp key data",#N/A,FALSE,"Market Data"}</definedName>
    <definedName name="cd0" hidden="1">{#N/A,#N/A,FALSE,"Job Sched"}</definedName>
    <definedName name="CDW" hidden="1">{#N/A,#N/A,FALSE,"Job Sched"}</definedName>
    <definedName name="ChangeRange" hidden="1">#REF!</definedName>
    <definedName name="Chicago_Summary_4" hidden="1">{#N/A,#N/A,FALSE,"Additional ARPU"}</definedName>
    <definedName name="CIQANR_067f37da007e40d58d76f1d5dbcf1ff1" hidden="1">#REF!</definedName>
    <definedName name="CIQANR_0aa7c5a9df1b4329b73c6ce74cc9abe3" hidden="1">#REF!</definedName>
    <definedName name="CIQANR_1980d3da487e4459a34a020e1091f666" hidden="1">#REF!</definedName>
    <definedName name="CIQANR_2412609fe8254087973519efd5daecaa" hidden="1">#REF!</definedName>
    <definedName name="CIQANR_36dba8b571de4586863f6dddfeee83e8" hidden="1">#REF!</definedName>
    <definedName name="CIQANR_525783645b91456ea17aeb39e238a497" hidden="1">#REF!</definedName>
    <definedName name="CIQANR_565993cf588b4a9cb8493ab3b833c4a1" hidden="1">#REF!</definedName>
    <definedName name="CIQANR_6ad90bf9783a4800ad2004a3c97a8521" hidden="1">#REF!</definedName>
    <definedName name="CIQANR_719fb227f1534f5099c4a4e24285d0a8" hidden="1">#REF!</definedName>
    <definedName name="CIQANR_761f469826b4491baf7584746dfb7103" hidden="1">#REF!</definedName>
    <definedName name="CIQANR_77a05fcee280427fa0357dcf128fad9e" hidden="1">#REF!</definedName>
    <definedName name="CIQANR_81efb3fdced145138ba9f3f4509b4de8" hidden="1">#REF!</definedName>
    <definedName name="CIQANR_96a8f218001d4f7f8921d7f9d58659bf" hidden="1">#REF!</definedName>
    <definedName name="CIQANR_af11a26019d149ad85c5850222fdad78" hidden="1">#REF!</definedName>
    <definedName name="CIQANR_b674fba9c22f4bb48030d5d733c55f22" hidden="1">#REF!</definedName>
    <definedName name="CIQANR_bbf8af690a174e3ea80dd9e90680c5be" hidden="1">#REF!</definedName>
    <definedName name="CIQANR_cebc30798dcf49f2acdc556a8986f165" hidden="1">#REF!</definedName>
    <definedName name="CIQANR_d2c7beadd8784d81baa516c468004024" hidden="1">#REF!</definedName>
    <definedName name="CIQANR_d65a0285a50940769c89dff0aa0269a3" hidden="1">#REF!</definedName>
    <definedName name="CIQANR_f114291ca0e14bbd9e7ee3ba562021b4" hidden="1">#REF!</definedName>
    <definedName name="CIQWBGuid" hidden="1">"Employee Information.xlsx"</definedName>
    <definedName name="CIQWBGuid_1" hidden="1">"fb1cfeb4-1712-4812-8186-2d2e951af60b"</definedName>
    <definedName name="Code" hidden="1">#REF!</definedName>
    <definedName name="comm" hidden="1">{"PAGE 1",#N/A,FALSE,"WEST_OT"}</definedName>
    <definedName name="comm2" hidden="1">{"PAGE 1",#N/A,FALSE,"WEST_OT"}</definedName>
    <definedName name="comm3" hidden="1">{"PAGE 1",#N/A,FALSE,"WEST_OT"}</definedName>
    <definedName name="commonstart" hidden="1">#REF!</definedName>
    <definedName name="commrev2" hidden="1">{"PAGE 1",#N/A,FALSE,"WEST_OT"}</definedName>
    <definedName name="Comp" hidden="1">#REF!</definedName>
    <definedName name="comp1" hidden="1">{#N/A,#N/A,FALSE,"Sheet1"}</definedName>
    <definedName name="comp21" hidden="1">#REF!</definedName>
    <definedName name="comp22" hidden="1">#REF!</definedName>
    <definedName name="comp23" hidden="1">#REF!</definedName>
    <definedName name="comp24" hidden="1">#REF!</definedName>
    <definedName name="comp25" hidden="1">#REF!</definedName>
    <definedName name="comp26" hidden="1">#REF!</definedName>
    <definedName name="comp27" hidden="1">#REF!</definedName>
    <definedName name="comp28" hidden="1">#REF!</definedName>
    <definedName name="comp29" hidden="1">#REF!</definedName>
    <definedName name="comp30" hidden="1">#REF!</definedName>
    <definedName name="comp31" hidden="1">#REF!</definedName>
    <definedName name="comp32" hidden="1">#REF!</definedName>
    <definedName name="comp33" hidden="1">#REF!</definedName>
    <definedName name="comp34" hidden="1">#REF!</definedName>
    <definedName name="comp35" hidden="1">#REF!</definedName>
    <definedName name="comp36" hidden="1">#REF!</definedName>
    <definedName name="comp7" hidden="1">{#N/A,#N/A,FALSE,"Sheet1"}</definedName>
    <definedName name="comp9" hidden="1">{#N/A,#N/A,FALSE,"Sheet1"}</definedName>
    <definedName name="comparisonTypeCurrent" hidden="1">#REF!</definedName>
    <definedName name="comparisonTypeCurrentAC" hidden="1">#REF!</definedName>
    <definedName name="comparisonTypeCurrentAW" hidden="1">#REF!</definedName>
    <definedName name="compnam" hidden="1">#REF!</definedName>
    <definedName name="comps" hidden="1">#REF!</definedName>
    <definedName name="ContentsHelp" hidden="1">#REF!</definedName>
    <definedName name="Covenants" hidden="1">{#N/A,#N/A,FALSE,"MAY";#N/A,#N/A,FALSE,"Q2";#N/A,#N/A,FALSE,"YTD"}</definedName>
    <definedName name="CreateTable" hidden="1">#REF!</definedName>
    <definedName name="cu102.ShareScalingFactor" hidden="1">1000000</definedName>
    <definedName name="cu103.EmployeeScalingFactor" hidden="1">1000</definedName>
    <definedName name="cu107.DPSSymbol" hidden="1">"p"</definedName>
    <definedName name="cu107.EPSSymbol" hidden="1">"p"</definedName>
    <definedName name="cu71.ScalingFactor" hidden="1">1000000</definedName>
    <definedName name="Current_Period" hidden="1">#REF!</definedName>
    <definedName name="curse" hidden="1">#REF!</definedName>
    <definedName name="Cwvu.ALL." hidden="1">#REF!,#REF!</definedName>
    <definedName name="Cwvu.all.2" hidden="1">#REF!,#REF!</definedName>
    <definedName name="Cwvu.GREY_ALL." hidden="1">#REF!</definedName>
    <definedName name="Cwvu.PRT." hidden="1">#REF!,#REF!,#REF!,#REF!,#REF!</definedName>
    <definedName name="Cwvu.prt.2" hidden="1">#REF!,#REF!,#REF!,#REF!,#REF!</definedName>
    <definedName name="cxdd" hidden="1">{#N/A,#N/A,TRUE,"Summary";#N/A,#N/A,TRUE,"Financials"}</definedName>
    <definedName name="d" hidden="1">{"'Standalone List Price Trends'!$A$1:$X$56"}</definedName>
    <definedName name="d_1" hidden="1">{"'Standalone List Price Trends'!$A$1:$X$56"}</definedName>
    <definedName name="Data.Dump" hidden="1">OFFSET(#REF!,1,0)</definedName>
    <definedName name="DATA_01" hidden="1">#REF!</definedName>
    <definedName name="DATA_06" hidden="1">#REF!</definedName>
    <definedName name="data1" hidden="1">#REF!</definedName>
    <definedName name="data2" hidden="1">#REF!</definedName>
    <definedName name="data3" hidden="1">#REF!</definedName>
    <definedName name="Database.File" hidden="1">#REF!</definedName>
    <definedName name="DCF_"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ddd" hidden="1">{"Historical and Estimates",#N/A,FALSE,"DCF";"Notes",#N/A,FALSE,"DCF";"Discounted DFCF Analysis",#N/A,FALSE,"DCF";"Debt Table",#N/A,FALSE,"DCF";"Misc.",#N/A,FALSE,"DCF"}</definedName>
    <definedName name="ddddd" hidden="1">{"10yp tariffs",#N/A,FALSE,"Celtel alternative 6"}</definedName>
    <definedName name="dddddd" hidden="1">{"WACC_filecopy",#N/A,FALSE,"Inputs";"Beta_filecopy",#N/A,FALSE,"Inputs";"SCF_filecopy",#N/A,FALSE,"Inputs";"ProBS_filecopy",#N/A,FALSE,"Inputs";"BS_filecopy",#N/A,FALSE,"Inputs";"ProIS_filecopy",#N/A,FALSE,"Inputs";"IS_filecopy",#N/A,FALSE,"Inputs"}</definedName>
    <definedName name="ddde" hidden="1">#REF!</definedName>
    <definedName name="Dec95JobSched" hidden="1">{#N/A,#N/A,FALSE,"Job Sched"}</definedName>
    <definedName name="def" hidden="1">{"510 Opex",#N/A,FALSE,"510";"520 Opex",#N/A,FALSE,"520";"UK Cons Opex",#N/A,FALSE,"Consulting-UK";"522 Opex",#N/A,FALSE,"522";"530 Opex",#N/A,FALSE,"530";"600 Opex",#N/A,FALSE,"600";"601 Opex",#N/A,FALSE,"601";"603 Opex",#N/A,FALSE,"603";"610 Opex",#N/A,FALSE,"610";"UK Sales Opex",#N/A,FALSE,"Sales-UK";"640 Opex",#N/A,FALSE,"640";"642 Opex",#N/A,FALSE,"642";"UK Mktg Opex",#N/A,FALSE,"Marketing - UK";"650 Opex",#N/A,FALSE,"650";"700 Opex",#N/A,FALSE,"700";"710 Opex",#N/A,FALSE,"710";"715 Opex",#N/A,FALSE,"715(DCS)";"720 Opex",#N/A,FALSE,"720(QA)";"800 Opex",#N/A,FALSE,"800";"810 Opex",#N/A,FALSE,"810";"820 Opex",#N/A,FALSE,"820";"830 Opex",#N/A,FALSE,"830";"850 Opex",#N/A,FALSE,"850";"851 Opex",#N/A,FALSE,"851";"Fringe Opex",#N/A,FALSE,"Fringe-825"}</definedName>
    <definedName name="delete" hidden="1">{"STMT OF CASH FLOWS",#N/A,FALSE,"Cash Flows Indirect"}</definedName>
    <definedName name="delete2" hidden="1">{"BALANCE SHEET ACCTS",#N/A,TRUE,"Working Trial Balance";"INCOME STMT ACCTS",#N/A,TRUE,"Working Trial Balance"}</definedName>
    <definedName name="DeleteRange" hidden="1">#REF!</definedName>
    <definedName name="DeleteTable" hidden="1">#REF!</definedName>
    <definedName name="dev_tech" hidden="1">#REF!</definedName>
    <definedName name="dfa" hidden="1">{#N/A,#N/A,FALSE,"Additional ARPU"}</definedName>
    <definedName name="dfadf" hidden="1">{#N/A,#N/A,FALSE,"Additional ARPU"}</definedName>
    <definedName name="dfd" hidden="1">{"FCB_ALL",#N/A,FALSE,"FCB";"GREY_ALL",#N/A,FALSE,"GREY"}</definedName>
    <definedName name="dfdas" hidden="1">{"FCB_ALL",#N/A,FALSE,"FCB";"GREY_ALL",#N/A,FALSE,"GREY"}</definedName>
    <definedName name="dfdfd" hidden="1">{"FCB_ALL",#N/A,FALSE,"FCB";"GREY_ALL",#N/A,FALSE,"GREY"}</definedName>
    <definedName name="dfdfdfd" hidden="1">{"FCB_ALL",#N/A,FALSE,"FCB"}</definedName>
    <definedName name="dfsa" hidden="1">#REF!</definedName>
    <definedName name="dfsafdsa" hidden="1">#REF!</definedName>
    <definedName name="dgdg" hidden="1">{#N/A,#N/A,FALSE,"Calc";#N/A,#N/A,FALSE,"Sensitivity";#N/A,#N/A,FALSE,"LT Earn.Dil.";#N/A,#N/A,FALSE,"Dil. AVP"}</definedName>
    <definedName name="dgdgss" hidden="1">{"consolidated",#N/A,FALSE,"Sheet1";"cms",#N/A,FALSE,"Sheet1";"fse",#N/A,FALSE,"Sheet1"}</definedName>
    <definedName name="dimensionsAC" hidden="1">#REF!</definedName>
    <definedName name="dimensionsAW" hidden="1">#REF!</definedName>
    <definedName name="Discount" hidden="1">#REF!</definedName>
    <definedName name="display_area_2" hidden="1">#REF!</definedName>
    <definedName name="dkdkdk" hidden="1">{#N/A,#N/A,TRUE,"CIN-11";#N/A,#N/A,TRUE,"CIN-13";#N/A,#N/A,TRUE,"CIN-14";#N/A,#N/A,TRUE,"CIN-16";#N/A,#N/A,TRUE,"CIN-17";#N/A,#N/A,TRUE,"CIN-18";#N/A,#N/A,TRUE,"CIN Earnings To Fixed Charges";#N/A,#N/A,TRUE,"CIN Financial Ratios";#N/A,#N/A,TRUE,"CIN-IS";#N/A,#N/A,TRUE,"CIN-BS";#N/A,#N/A,TRUE,"CIN-CS";#N/A,#N/A,TRUE,"Invest In Unconsol Subs"}</definedName>
    <definedName name="dkdkdk_1" hidden="1">{#N/A,#N/A,TRUE,"CIN-11";#N/A,#N/A,TRUE,"CIN-13";#N/A,#N/A,TRUE,"CIN-14";#N/A,#N/A,TRUE,"CIN-16";#N/A,#N/A,TRUE,"CIN-17";#N/A,#N/A,TRUE,"CIN-18";#N/A,#N/A,TRUE,"CIN Earnings To Fixed Charges";#N/A,#N/A,TRUE,"CIN Financial Ratios";#N/A,#N/A,TRUE,"CIN-IS";#N/A,#N/A,TRUE,"CIN-BS";#N/A,#N/A,TRUE,"CIN-CS";#N/A,#N/A,TRUE,"Invest In Unconsol Subs"}</definedName>
    <definedName name="DME_BeforeCloseCompleted" hidden="1">"True"</definedName>
    <definedName name="DME_Dirty" hidden="1">"False"</definedName>
    <definedName name="dsfadsf" hidden="1">{"histincome",#N/A,FALSE,"hyfins";"closing balance",#N/A,FALSE,"hyfins"}</definedName>
    <definedName name="dsg" hidden="1">{#N/A,#N/A,FALSE,"Calc";#N/A,#N/A,FALSE,"Sensitivity";#N/A,#N/A,FALSE,"LT Earn.Dil.";#N/A,#N/A,FALSE,"Dil. AVP"}</definedName>
    <definedName name="dyfhn" hidden="1">{#N/A,#N/A,FALSE,"Aging Summary";#N/A,#N/A,FALSE,"Ratio Analysis";#N/A,#N/A,FALSE,"Test 120 Day Accts";#N/A,#N/A,FALSE,"Tickmarks"}</definedName>
    <definedName name="e" hidden="1">{#N/A,#N/A,FALSE,"WIRE-XXX";#N/A,#N/A,FALSE,"WIRE-COR";#N/A,#N/A,FALSE,"WIRE-SAT";#N/A,#N/A,FALSE,"WIRE-ATP";#N/A,#N/A,FALSE,"WIRE-DEN";#N/A,#N/A,FALSE,"WIRE-STV";#N/A,#N/A,FALSE,"WIRE-ATL";#N/A,#N/A,FALSE,"WIRE-CAR";#N/A,#N/A,FALSE,"WIRE-NVN";#N/A,#N/A,FALSE,"WIRE-RED";#N/A,#N/A,FALSE,"WIRE-SPE"}</definedName>
    <definedName name="e_1" hidden="1">{#N/A,#N/A,FALSE,"WIRE-XXX";#N/A,#N/A,FALSE,"WIRE-COR";#N/A,#N/A,FALSE,"WIRE-SAT";#N/A,#N/A,FALSE,"WIRE-ATP";#N/A,#N/A,FALSE,"WIRE-DEN";#N/A,#N/A,FALSE,"WIRE-STV";#N/A,#N/A,FALSE,"WIRE-ATL";#N/A,#N/A,FALSE,"WIRE-CAR";#N/A,#N/A,FALSE,"WIRE-NVN";#N/A,#N/A,FALSE,"WIRE-RED";#N/A,#N/A,FALSE,"WIRE-SPE"}</definedName>
    <definedName name="earn1" hidden="1">#REF!</definedName>
    <definedName name="eeeee" hidden="1">{"budget992000 tariff and usage",#N/A,FALSE,"Celtel alternative 6"}</definedName>
    <definedName name="eeeeeee" hidden="1">4</definedName>
    <definedName name="eeeeeeeeeee" hidden="1">27</definedName>
    <definedName name="eferferfge"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effodd" hidden="1">{"'Standalone List Price Trends'!$A$1:$X$56"}</definedName>
    <definedName name="effodd_1" hidden="1">{"'Standalone List Price Trends'!$A$1:$X$56"}</definedName>
    <definedName name="Electrolytic" hidden="1">{#N/A,#N/A,FALSE,"Naming &amp; Assumptions";#N/A,#N/A,FALSE,"Summary";#N/A,#N/A,FALSE,"Equity Summary";#N/A,#N/A,FALSE,"Price Summary";#N/A,#N/A,FALSE,"DCF";#N/A,#N/A,FALSE,"IRR";#N/A,#N/A,FALSE,"Ratios";#N/A,#N/A,FALSE,"Debt Paydown";#N/A,#N/A,FALSE,"JAII Amort. Schedule";#N/A,#N/A,FALSE,"JAII Assumptions";#N/A,#N/A,FALSE,"JAII Income";#N/A,#N/A,FALSE,"JAII Balance";#N/A,#N/A,FALSE,"JAII Cashflow";#N/A,#N/A,FALSE,"JAC";#N/A,#N/A,FALSE,"JAC Buildup";#N/A,#N/A,FALSE,"JAC%";#N/A,#N/A,FALSE,"Bostrom";#N/A,#N/A,FALSE,"Fabco";#N/A,#N/A,FALSE,"Brillion";#N/A,#N/A,FALSE,"Gunite";#N/A,#N/A,FALSE,"Interco";#N/A,#N/A,FALSE,"JAIX"}</definedName>
    <definedName name="emily" hidden="1">{#N/A,#N/A,FALSE,"Calc";#N/A,#N/A,FALSE,"Sensitivity";#N/A,#N/A,FALSE,"LT Earn.Dil.";#N/A,#N/A,FALSE,"Dil. AVP"}</definedName>
    <definedName name="endDateComparison" hidden="1">#REF!</definedName>
    <definedName name="endDateComparisonAC" hidden="1">#REF!</definedName>
    <definedName name="endDateComparisonAW" hidden="1">#REF!</definedName>
    <definedName name="Eng" hidden="1">{"PAGE 1",#N/A,FALSE,"WEST_OT"}</definedName>
    <definedName name="ENG_BI_EXE_NAME" hidden="1">"BICORE.EXE"</definedName>
    <definedName name="ENG_BI_EXEC_CMD_ARGS" hidden="1">"03304607809710411410511904104507305405005205304905905405006205604904804104605812808208309207707409207506209611711611306711511411210611712209305509206811610911610211013008206809713012409212011511307211111811909811013009404709606711511411210611912107707"</definedName>
    <definedName name="ENG_BI_EXEC_CMD_ARGS_10" hidden="1">"06007111611011310111012507806804109309810812610206203907707508703404105606203601506104808710111912010512011706301006908509812010706601506009310611511107806903309009711212210107004105004805804905105404805205305004304104706603701106105108410112010707101"</definedName>
    <definedName name="ENG_BI_EXEC_CMD_ARGS_11" hidden="1">"7061047078111119110114115115109110119116066130124080086068073087069077087066082074078084066049129"</definedName>
    <definedName name="ENG_BI_EXEC_CMD_ARGS_2" hidden="1">"30940620430770750870391340390460741320850700830650820890950760880680730660841221191161051141150411181030320741101021191051031021251320770660880940810700650531291280951211211061181061171020730660870740820950780820650820810680860770720910491341300961121"</definedName>
    <definedName name="ENG_BI_EXEC_CMD_ARGS_3" hidden="1">"23106119102116105073066076074084069081080072065109101120053057055096097121113126128095116119105127106116105073067086087069086066097109116106110134124096117117102113105108085065082076068080072069065106110134130096112126099109110099071084077089074078093"</definedName>
    <definedName name="ENG_BI_EXEC_CMD_ARGS_4" hidden="1">"08306607807306108712611512510811011504111210303706511310611411410809712912809611312109811211009907609208308207807906809406108908806813413209511612209910910909907407807809807606608209208506608708407207008407807004805303707509811411710111912104105704904"</definedName>
    <definedName name="ENG_BI_EXEC_CMD_ARGS_5" hidden="1">"90651261241001121211031081141080700770830900700690820730830680770720850690700520500370681051041011181071011180370510490530561291280951211240991081141000710780780930740650910780780720660510490530561291280951211240991081141000710780780930740650910920840"</definedName>
    <definedName name="ENG_BI_EXEC_CMD_ARGS_6" hidden="1">"69087085062054048053061125132102113117107109106104067089087082086088078088077070079072068069089069070058050032083098111122097118126032059057049060130124096116117102113105108074086082091078080083084076088084074091084072070085070065048053037074106117118"</definedName>
    <definedName name="ENG_BI_EXEC_CMD_ARGS_7" hidden="1">"09712312203305504805306112513210411211811011909812010108107008307608607807707407906908906909208906106907811012211011511211410910511511607101706108311011611611011111406701006909411510511906301106408511910611408207503308610610911810606103810210011811411"</definedName>
    <definedName name="ENG_BI_EXEC_CMD_ARGS_8" hidden="1">"00380520630110640691141041141301191170801061161161241111181050320951061081211060620350881141211060340560690110600890981161201191151191000410950971121221020620380340510670100690911151171241171021050671151151101101081161091161110330900971121221010700410"</definedName>
    <definedName name="ENG_BI_EXEC_CMD_ARGS_9" hidden="1">"71097117116102039032051067010069056085119106115063014060087086076092108115118110115079102109105037086106117117105066035078084067086082068095056035032056063011065068070083097118110032090102109118105061038114097124060049048104098113117034036052062041019"</definedName>
    <definedName name="ENG_BI_GEN_LIC" hidden="1">"0"</definedName>
    <definedName name="ENG_BI_GEN_LIC_WS" hidden="1">"True"</definedName>
    <definedName name="ENG_BI_LBI" hidden="1">"ZWO2WPZ6UU"</definedName>
    <definedName name="ENG_BI_PROFILE_PATH" hidden="1">"C:\ProgramData\Alchemex\AlchemexSmartReporting\MetaData\MAS\Report Designer Add-In S500 Demo 1-0-2\BICORE_profiler_20130111_145418.csv"</definedName>
    <definedName name="ENG_BI_REPOS_FILE" hidden="1">"\\MPCRMDV1\Sage\SMI\alchemex.svd"</definedName>
    <definedName name="ENG_BI_REPOS_PATH" hidden="1">"\\MPCRMDV1\Sage\SMI"</definedName>
    <definedName name="ENG_BI_TLA" hidden="1">"85;74;60;19;171;241;189;183;200;182;157;252;231;116;97;269;260;59;254;102;172;41;274;49;182;161;181;129;254;229;208;128"</definedName>
    <definedName name="equity2row" hidden="1">#REF!</definedName>
    <definedName name="equityrow" hidden="1">#REF!</definedName>
    <definedName name="EraseMe" hidden="1">{#N/A,#N/A,FALSE,"Job Sched"}</definedName>
    <definedName name="essbase12month" hidden="1">{"balsheet",#N/A,FALSE,"A"}</definedName>
    <definedName name="essbase12month_1" hidden="1">{"balsheet",#N/A,FALSE,"A"}</definedName>
    <definedName name="est_mvic" hidden="1">#REF!</definedName>
    <definedName name="etet" hidden="1">{#N/A,#N/A,FALSE,"Calc";#N/A,#N/A,FALSE,"Sensitivity";#N/A,#N/A,FALSE,"LT Earn.Dil.";#N/A,#N/A,FALSE,"Dil. AVP"}</definedName>
    <definedName name="ev.Calculation" hidden="1">-4105</definedName>
    <definedName name="ev.Initialized" hidden="1">FALSE</definedName>
    <definedName name="EV__CVPARAMS__" hidden="1">"Trend!$B$17:$C$38;"</definedName>
    <definedName name="EV__DECIMALSYMBOL__" hidden="1">"."</definedName>
    <definedName name="EV__EVCOM_OPTIONS__" hidden="1">8</definedName>
    <definedName name="EV__EXPOPTIONS__" hidden="1">0</definedName>
    <definedName name="EV__LASTREFTIME__" hidden="1">41702.4316666667</definedName>
    <definedName name="EV__LOCKEDCVW__FINANCE" hidden="1">"INCOME_STATEMENT,ACTUAL,TOTWITHALLOC,Madras_Chem_BU,All_Interco,USD,2012.MAR,ALL_VENDORS,PERIODIC,"</definedName>
    <definedName name="EV__LOCKEDCVW__PERFORMANCE" hidden="1">"INCOME_STATEMENT,ACTUAL,Tot_Rpt,WLOO,All_InterCo,USD,2008.SEP,PERIODIC,"</definedName>
    <definedName name="EV__LOCKEDCVW__RATE" hidden="1">"ACTUAL,USD,RateInput,2001.TOTAL,1100,PERIODIC,"</definedName>
    <definedName name="EV__LOCKSTATUS__" hidden="1">1</definedName>
    <definedName name="EV__MAXEXPCOLS__" hidden="1">100</definedName>
    <definedName name="EV__MAXEXPROWS__" hidden="1">1000</definedName>
    <definedName name="EV__MEMORYCVW__" hidden="1">0</definedName>
    <definedName name="EV__WBEVMODE__" hidden="1">0</definedName>
    <definedName name="EV__WBREFOPTIONS__" hidden="1">134217728</definedName>
    <definedName name="EV__WBVERSION__" hidden="1">0</definedName>
    <definedName name="EV_LASTREFTIME" hidden="1">38943.6463310185</definedName>
    <definedName name="ewfsd" hidden="1">#REF!</definedName>
    <definedName name="ExbMult_Total" hidden="1">#REF!</definedName>
    <definedName name="exbnumlist" hidden="1">#REF!</definedName>
    <definedName name="fa" hidden="1">{#N/A,#N/A,FALSE,"Income";#N/A,#N/A,FALSE,"Cost of Goods Sold";#N/A,#N/A,FALSE,"Other Costs";#N/A,#N/A,FALSE,"Other Income";#N/A,#N/A,FALSE,"Taxes";#N/A,#N/A,FALSE,"Other Deductions";#N/A,#N/A,FALSE,"Compensation of Officers"}</definedName>
    <definedName name="FCode" hidden="1">#REF!</definedName>
    <definedName name="FDP_0_1_aUrv" hidden="1">#REF!</definedName>
    <definedName name="FDP_1_1_aUrv" hidden="1">#REF!</definedName>
    <definedName name="FDP_10_1_aDrv" hidden="1">#REF!</definedName>
    <definedName name="FDP_100_1_aUrv" hidden="1">#REF!</definedName>
    <definedName name="FDP_101_1_aUrv" hidden="1">#REF!</definedName>
    <definedName name="FDP_102_1_aUrv" hidden="1">#REF!</definedName>
    <definedName name="FDP_103_1_aUrv" hidden="1">#REF!</definedName>
    <definedName name="FDP_104_1_aUrv" hidden="1">#REF!</definedName>
    <definedName name="FDP_105_1_aUrv" hidden="1">#REF!</definedName>
    <definedName name="FDP_106_1_aUrv" hidden="1">#REF!</definedName>
    <definedName name="FDP_107_1_aUrv" hidden="1">#REF!</definedName>
    <definedName name="FDP_108_1_aUrv" hidden="1">#REF!</definedName>
    <definedName name="FDP_109_1_aUrv" hidden="1">#REF!</definedName>
    <definedName name="FDP_11_1_aDrv" hidden="1">#REF!</definedName>
    <definedName name="FDP_110_1_aUrv" hidden="1">#REF!</definedName>
    <definedName name="FDP_111_1_aUrv" hidden="1">#REF!</definedName>
    <definedName name="FDP_112_1_aUrv" hidden="1">#REF!</definedName>
    <definedName name="FDP_113_1_aUrv" hidden="1">#REF!</definedName>
    <definedName name="FDP_114_1_aUrv" hidden="1">#REF!</definedName>
    <definedName name="FDP_115_1_aUrv" hidden="1">#REF!</definedName>
    <definedName name="FDP_116_1_aUrv" hidden="1">#REF!</definedName>
    <definedName name="FDP_117_1_aUrv" hidden="1">#REF!</definedName>
    <definedName name="FDP_118_1_aUrv" hidden="1">#REF!</definedName>
    <definedName name="FDP_119_1_aUrv" hidden="1">#REF!</definedName>
    <definedName name="FDP_12_1_aDrv" hidden="1">#REF!</definedName>
    <definedName name="FDP_120_1_aUrv" hidden="1">#REF!</definedName>
    <definedName name="FDP_121_1_aUrv" hidden="1">#REF!</definedName>
    <definedName name="FDP_122_1_aUrv" hidden="1">#REF!</definedName>
    <definedName name="FDP_123_1_aUrv" hidden="1">#REF!</definedName>
    <definedName name="FDP_124_1_aUrv" hidden="1">#REF!</definedName>
    <definedName name="FDP_125_1_aUrv" hidden="1">#REF!</definedName>
    <definedName name="FDP_126_1_aUrv" hidden="1">#REF!</definedName>
    <definedName name="FDP_127_1_aUrv" hidden="1">#REF!</definedName>
    <definedName name="FDP_128_1_aUrv" hidden="1">#REF!</definedName>
    <definedName name="FDP_129_1_aUrv" hidden="1">#REF!</definedName>
    <definedName name="FDP_13_1_aUrv" hidden="1">#REF!</definedName>
    <definedName name="FDP_130_1_aUrv" hidden="1">#REF!</definedName>
    <definedName name="FDP_131_1_aSrv" hidden="1">#REF!</definedName>
    <definedName name="FDP_132_1_aUrv" hidden="1">#REF!</definedName>
    <definedName name="FDP_133_1_aUrv" hidden="1">#REF!</definedName>
    <definedName name="FDP_134_1_aUrv" hidden="1">#REF!</definedName>
    <definedName name="FDP_135_1_aUrv" hidden="1">#REF!</definedName>
    <definedName name="FDP_136_1_aSrv" hidden="1">#REF!</definedName>
    <definedName name="FDP_137_1_aUrv" hidden="1">#REF!</definedName>
    <definedName name="FDP_138_1_aUrv" hidden="1">#REF!</definedName>
    <definedName name="FDP_139_1_aUrv" hidden="1">#REF!</definedName>
    <definedName name="FDP_14_1_aUrv" hidden="1">#REF!</definedName>
    <definedName name="FDP_140_1_aUrv" hidden="1">#REF!</definedName>
    <definedName name="FDP_141_1_aUrv" hidden="1">#REF!</definedName>
    <definedName name="FDP_142_1_aUrv" hidden="1">#REF!</definedName>
    <definedName name="FDP_143_1_aUrv" hidden="1">#REF!</definedName>
    <definedName name="FDP_144_1_aUrv" hidden="1">#REF!</definedName>
    <definedName name="FDP_145_1_aUrv" hidden="1">#REF!</definedName>
    <definedName name="FDP_146_1_aUrv" hidden="1">#REF!</definedName>
    <definedName name="FDP_147_1_aUrv" hidden="1">#REF!</definedName>
    <definedName name="FDP_148_1_aUrv" hidden="1">#REF!</definedName>
    <definedName name="FDP_149_1_aUrv" hidden="1">#REF!</definedName>
    <definedName name="FDP_15_1_aUrv" hidden="1">#REF!</definedName>
    <definedName name="FDP_150_1_aSrv" hidden="1">#REF!</definedName>
    <definedName name="FDP_151_1_aUrv" hidden="1">#REF!</definedName>
    <definedName name="FDP_152_1_aSrv" hidden="1">#REF!</definedName>
    <definedName name="FDP_153_1_aUrv" hidden="1">#REF!</definedName>
    <definedName name="FDP_154_1_aSrv" hidden="1">#REF!</definedName>
    <definedName name="FDP_155_1_aUrv" hidden="1">#REF!</definedName>
    <definedName name="FDP_156_1_aSrv" hidden="1">#REF!</definedName>
    <definedName name="FDP_157_1_aUrv" hidden="1">#REF!</definedName>
    <definedName name="FDP_158_1_aSrv" hidden="1">#REF!</definedName>
    <definedName name="FDP_158_1_aUrv" hidden="1">#REF!</definedName>
    <definedName name="FDP_159_1_aUrv" hidden="1">#REF!</definedName>
    <definedName name="FDP_16_1_aUrv" hidden="1">#REF!</definedName>
    <definedName name="FDP_160_1_aSrv" hidden="1">#REF!</definedName>
    <definedName name="FDP_160_1_aUrv" hidden="1">#REF!</definedName>
    <definedName name="FDP_161_1_aDrv" hidden="1">#REF!</definedName>
    <definedName name="FDP_161_1_aUrv" hidden="1">#REF!</definedName>
    <definedName name="FDP_162_1_aDrv" hidden="1">#REF!</definedName>
    <definedName name="FDP_163_1_aDrv" hidden="1">#REF!</definedName>
    <definedName name="FDP_164_1_aDrv" hidden="1">#REF!</definedName>
    <definedName name="FDP_165_1_aDrv" hidden="1">#REF!</definedName>
    <definedName name="FDP_166_1_aDrv" hidden="1">#REF!</definedName>
    <definedName name="FDP_166_1_aUrv" hidden="1">#REF!</definedName>
    <definedName name="FDP_167_1_aDrv" hidden="1">#REF!</definedName>
    <definedName name="FDP_167_1_aUrv" hidden="1">#REF!</definedName>
    <definedName name="FDP_168_1_aDrv" hidden="1">#REF!</definedName>
    <definedName name="FDP_168_1_aUrv" hidden="1">#REF!</definedName>
    <definedName name="FDP_169_1_aDrv" hidden="1">#REF!</definedName>
    <definedName name="FDP_17_1_aUrv" hidden="1">#REF!</definedName>
    <definedName name="FDP_170_1_aDrv" hidden="1">#REF!</definedName>
    <definedName name="FDP_170_1_aUrv" hidden="1">#REF!</definedName>
    <definedName name="FDP_171_1_aDrv" hidden="1">#REF!</definedName>
    <definedName name="FDP_171_1_aUrv" hidden="1">#REF!</definedName>
    <definedName name="FDP_172_1_aDrv" hidden="1">#REF!</definedName>
    <definedName name="FDP_172_1_aUrv" hidden="1">#REF!</definedName>
    <definedName name="FDP_173_1_aDrv" hidden="1">#REF!</definedName>
    <definedName name="FDP_173_1_aUrv" hidden="1">#REF!</definedName>
    <definedName name="FDP_174_1_aDrv" hidden="1">#REF!</definedName>
    <definedName name="FDP_174_1_aUrv" hidden="1">#REF!</definedName>
    <definedName name="FDP_175_1_aUrv" hidden="1">#REF!</definedName>
    <definedName name="FDP_176_1_aUrv" hidden="1">#REF!</definedName>
    <definedName name="FDP_177_1_aUrv" hidden="1">#REF!</definedName>
    <definedName name="FDP_178_1_aUrv" hidden="1">#REF!</definedName>
    <definedName name="FDP_179_1_aUrv" hidden="1">#REF!</definedName>
    <definedName name="FDP_18_1_aUrv" hidden="1">#REF!</definedName>
    <definedName name="FDP_180_1_aUdv" hidden="1">#REF!</definedName>
    <definedName name="FDP_180_1_aUrv" hidden="1">#REF!</definedName>
    <definedName name="FDP_181_1_aUdv" hidden="1">#REF!</definedName>
    <definedName name="FDP_181_1_aUrv" hidden="1">#REF!</definedName>
    <definedName name="FDP_182_1_aUdv" hidden="1">#REF!</definedName>
    <definedName name="FDP_183_1_aUdv" hidden="1">#REF!</definedName>
    <definedName name="FDP_184_1_aUdv" hidden="1">#REF!</definedName>
    <definedName name="FDP_185_1_aUdv" hidden="1">#REF!</definedName>
    <definedName name="FDP_186_1_aUdv" hidden="1">#REF!</definedName>
    <definedName name="FDP_187_1_aUdv" hidden="1">#REF!</definedName>
    <definedName name="FDP_188_1_aUdv" hidden="1">#REF!</definedName>
    <definedName name="FDP_189_1_aUdv" hidden="1">#REF!</definedName>
    <definedName name="FDP_19_1_aUrv" hidden="1">#REF!</definedName>
    <definedName name="FDP_190_1_aUdv" hidden="1">#REF!</definedName>
    <definedName name="FDP_191_1_aUdv" hidden="1">#REF!</definedName>
    <definedName name="FDP_192_1_aUdv" hidden="1">#REF!</definedName>
    <definedName name="FDP_193_1_aUdv" hidden="1">#REF!</definedName>
    <definedName name="FDP_194_1_aUdv" hidden="1">#REF!</definedName>
    <definedName name="FDP_195_1_aUdv" hidden="1">#REF!</definedName>
    <definedName name="FDP_196_1_aUdv" hidden="1">#REF!</definedName>
    <definedName name="FDP_196_1aUdv1" hidden="1">#REF!</definedName>
    <definedName name="FDP_197_1_aUdv" hidden="1">#REF!</definedName>
    <definedName name="FDP_198_1_aUdv" hidden="1">#REF!</definedName>
    <definedName name="FDP_199_1_aUdv" hidden="1">#REF!</definedName>
    <definedName name="FDP_2_1_aUrv" hidden="1">#REF!</definedName>
    <definedName name="FDP_20_1_aUrv" hidden="1">#REF!</definedName>
    <definedName name="FDP_21_1_aUrv" hidden="1">#REF!</definedName>
    <definedName name="FDP_22_1_aUrv" hidden="1">#REF!</definedName>
    <definedName name="FDP_23_1_aDrv" hidden="1">#REF!</definedName>
    <definedName name="FDP_23_1_aUrv" hidden="1">#REF!</definedName>
    <definedName name="FDP_24_1_aUrv" hidden="1">#REF!</definedName>
    <definedName name="FDP_25_1_aUrv" hidden="1">#REF!</definedName>
    <definedName name="FDP_26_1_aUrv" hidden="1">#REF!</definedName>
    <definedName name="FDP_27_1_aUrv" hidden="1">#REF!</definedName>
    <definedName name="FDP_28_1_aUrv" hidden="1">#REF!</definedName>
    <definedName name="FDP_29_1_aDrv" hidden="1">#REF!</definedName>
    <definedName name="FDP_29_1_aUrv" hidden="1">#REF!</definedName>
    <definedName name="FDP_3_1_aUrv" hidden="1">#REF!</definedName>
    <definedName name="FDP_30_1_aDrv" hidden="1">#REF!</definedName>
    <definedName name="FDP_30_1_aUrv" hidden="1">#REF!</definedName>
    <definedName name="FDP_31_1_aDrv" hidden="1">#REF!</definedName>
    <definedName name="FDP_31_1_aUrv" hidden="1">#REF!</definedName>
    <definedName name="FDP_32_1_aUrv" hidden="1">#REF!</definedName>
    <definedName name="FDP_33_1_aUrv" hidden="1">#REF!</definedName>
    <definedName name="FDP_34_1_aUrv" hidden="1">#REF!</definedName>
    <definedName name="FDP_35_1_aSrv" hidden="1">#REF!</definedName>
    <definedName name="FDP_35_1_aUrv" hidden="1">#REF!</definedName>
    <definedName name="FDP_36_1_aUrv" hidden="1">#REF!</definedName>
    <definedName name="FDP_37_1_aUrv" hidden="1">#REF!</definedName>
    <definedName name="FDP_38_1_aUrv" hidden="1">#REF!</definedName>
    <definedName name="FDP_39_1_aUrv" hidden="1">#REF!</definedName>
    <definedName name="FDP_4_1_aUrv" hidden="1">#REF!</definedName>
    <definedName name="FDP_40_1_aUrv" hidden="1">#REF!</definedName>
    <definedName name="FDP_41_1_aSrv" hidden="1">#REF!</definedName>
    <definedName name="FDP_42_1_aDrv" hidden="1">#REF!</definedName>
    <definedName name="FDP_42_1_aSrv" hidden="1">#REF!</definedName>
    <definedName name="FDP_43_1_aDrv" hidden="1">#REF!</definedName>
    <definedName name="FDP_43_1_aUrv" hidden="1">#REF!</definedName>
    <definedName name="FDP_44_1_aDrv" hidden="1">#REF!</definedName>
    <definedName name="FDP_44_1_aUrv" hidden="1">#REF!</definedName>
    <definedName name="FDP_45_1_aDrv" hidden="1">#REF!</definedName>
    <definedName name="FDP_45_1_aUrv" hidden="1">#REF!</definedName>
    <definedName name="FDP_46_1_aDrv" hidden="1">#REF!</definedName>
    <definedName name="FDP_46_1_aUrv" hidden="1">#REF!</definedName>
    <definedName name="FDP_47_1_aDrv" hidden="1">#REF!</definedName>
    <definedName name="FDP_47_1_aUrv" hidden="1">#REF!</definedName>
    <definedName name="FDP_48_1_aDrv" hidden="1">#REF!</definedName>
    <definedName name="FDP_48_1_aSrv" hidden="1">#REF!</definedName>
    <definedName name="FDP_49_1_aDrv" hidden="1">#REF!</definedName>
    <definedName name="FDP_49_1_aUrv" hidden="1">#REF!</definedName>
    <definedName name="FDP_5_1_aUrv" hidden="1">#REF!</definedName>
    <definedName name="FDP_50_1_aDrv" hidden="1">#REF!</definedName>
    <definedName name="FDP_50_1_aUrv" hidden="1">#REF!</definedName>
    <definedName name="FDP_51_1_aDrv" hidden="1">#REF!</definedName>
    <definedName name="FDP_51_1_aUrv" hidden="1">#REF!</definedName>
    <definedName name="FDP_52_1_aDrv" hidden="1">#REF!</definedName>
    <definedName name="FDP_52_1_aUrv" hidden="1">#REF!</definedName>
    <definedName name="FDP_53_1_aDrv" hidden="1">#REF!</definedName>
    <definedName name="FDP_53_1_aUrv" hidden="1">#REF!</definedName>
    <definedName name="FDP_54_1_aUrv" hidden="1">#REF!</definedName>
    <definedName name="FDP_55_1_aUrv" hidden="1">#REF!</definedName>
    <definedName name="FDP_56_1_aUrv" hidden="1">#REF!</definedName>
    <definedName name="FDP_57_1_aUrv" hidden="1">#REF!</definedName>
    <definedName name="FDP_58_1_aUrv" hidden="1">#REF!</definedName>
    <definedName name="FDP_59_1_aUrv" hidden="1">#REF!</definedName>
    <definedName name="FDP_6_1_aUrv" hidden="1">#REF!</definedName>
    <definedName name="FDP_60_1_aUrv" hidden="1">#REF!</definedName>
    <definedName name="FDP_61_1_aSrv" hidden="1">#REF!</definedName>
    <definedName name="FDP_61_1_aUrv" hidden="1">#REF!</definedName>
    <definedName name="FDP_62_1_aSrv" hidden="1">#REF!</definedName>
    <definedName name="FDP_62_1_aUrv" hidden="1">#REF!</definedName>
    <definedName name="FDP_63_1_aUrv" hidden="1">#REF!</definedName>
    <definedName name="FDP_64_1_aSrv" hidden="1">#REF!</definedName>
    <definedName name="FDP_64_1_aUrv" hidden="1">#REF!</definedName>
    <definedName name="FDP_65_1_aSrv" hidden="1">#REF!</definedName>
    <definedName name="FDP_65_1_aUrv" hidden="1">#REF!</definedName>
    <definedName name="FDP_66_1_aUrv" hidden="1">#REF!</definedName>
    <definedName name="FDP_67_1_aUrv" hidden="1">#REF!</definedName>
    <definedName name="FDP_68_1_aUrv" hidden="1">#REF!</definedName>
    <definedName name="FDP_69_1_aUrv" hidden="1">#REF!</definedName>
    <definedName name="FDP_7_1_aUrv" hidden="1">#REF!</definedName>
    <definedName name="FDP_70_1_aDrv" hidden="1">#REF!</definedName>
    <definedName name="FDP_70_1_aUrv" hidden="1">#REF!</definedName>
    <definedName name="FDP_71_1_aUrv" hidden="1">#REF!</definedName>
    <definedName name="FDP_72_1_aDrv" hidden="1">#REF!</definedName>
    <definedName name="FDP_72_1_aUrv" hidden="1">#REF!</definedName>
    <definedName name="FDP_73_1_aUrv" hidden="1">#REF!</definedName>
    <definedName name="FDP_74_1_aDdv" hidden="1">#REF!</definedName>
    <definedName name="FDP_74_1_aUrv" hidden="1">#REF!</definedName>
    <definedName name="FDP_75_1_aSrv" hidden="1">#REF!</definedName>
    <definedName name="FDP_75_1_aUrv" hidden="1">#REF!</definedName>
    <definedName name="FDP_76_1_aUrv" hidden="1">#REF!</definedName>
    <definedName name="FDP_77_1_aUrv" hidden="1">#REF!</definedName>
    <definedName name="FDP_78_1_aUrv" hidden="1">#REF!</definedName>
    <definedName name="FDP_79_1_aUrv" hidden="1">#REF!</definedName>
    <definedName name="FDP_8_1_aDrv" hidden="1">#REF!</definedName>
    <definedName name="FDP_80_1_aUrv" hidden="1">#REF!</definedName>
    <definedName name="FDP_81_1_aSrv" hidden="1">#REF!</definedName>
    <definedName name="FDP_82_1_aUrv" hidden="1">#REF!</definedName>
    <definedName name="FDP_83_1_aSrv" hidden="1">#REF!</definedName>
    <definedName name="FDP_84_1_aUrv" hidden="1">#REF!</definedName>
    <definedName name="FDP_85_1_aUrv" hidden="1">#REF!</definedName>
    <definedName name="FDP_86_1_aUrv" hidden="1">#REF!</definedName>
    <definedName name="FDP_87_1_aSrv" hidden="1">#REF!</definedName>
    <definedName name="FDP_87_1_aUrv" hidden="1">#REF!</definedName>
    <definedName name="FDP_87_1_rUrv" hidden="1">#REF!</definedName>
    <definedName name="FDP_88_1_aUrv" hidden="1">#REF!</definedName>
    <definedName name="FDP_89_1_aSrv" hidden="1">#REF!</definedName>
    <definedName name="FDP_89_1_aUrv" hidden="1">#REF!</definedName>
    <definedName name="FDP_9_1_aDrv" hidden="1">#REF!</definedName>
    <definedName name="FDP_90_1_aUrv" hidden="1">#REF!</definedName>
    <definedName name="FDP_91_1_aUrv" hidden="1">#REF!</definedName>
    <definedName name="FDP_92_1_aSrv" hidden="1">#REF!</definedName>
    <definedName name="FDP_93_1_aDrv" hidden="1">#REF!</definedName>
    <definedName name="FDP_94_1_aUrv" hidden="1">#REF!</definedName>
    <definedName name="FDP_95_1_aUrv" hidden="1">#REF!</definedName>
    <definedName name="FDP_96_1_aUrv" hidden="1">#REF!</definedName>
    <definedName name="FDP_97_1_aUrv" hidden="1">#REF!</definedName>
    <definedName name="FDP_98_1_aUrv" hidden="1">#REF!</definedName>
    <definedName name="FDP_99_1_aUrv" hidden="1">#REF!</definedName>
    <definedName name="FDS" hidden="1">{"bs",#N/A,FALSE,"SCF"}</definedName>
    <definedName name="fdsa" hidden="1">{"'Standalone List Price Trends'!$A$1:$X$56"}</definedName>
    <definedName name="fdsa_1" hidden="1">{"'Standalone List Price Trends'!$A$1:$X$56"}</definedName>
    <definedName name="fe"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ff" hidden="1">{#N/A,#N/A,FALSE,"2003 Est";#N/A,#N/A,FALSE,"2003 Pr";#N/A,#N/A,FALSE,"2003 Plan"}</definedName>
    <definedName name="ffff" hidden="1">{"bs",#N/A,FALSE,"SCF"}</definedName>
    <definedName name="ffffff" hidden="1">{"budget992000 capex",#N/A,FALSE,"Celtel alternative 6"}</definedName>
    <definedName name="fffffffffff" hidden="1">{"'Standalone List Price Trends'!$A$1:$X$56"}</definedName>
    <definedName name="fffffffffff_1" hidden="1">{"'Standalone List Price Trends'!$A$1:$X$56"}</definedName>
    <definedName name="fg" hidden="1">{#N/A,#N/A,FALSE,"Aging Summary";#N/A,#N/A,FALSE,"Ratio Analysis";#N/A,#N/A,FALSE,"Test 120 Day Accts";#N/A,#N/A,FALSE,"Tickmarks"}</definedName>
    <definedName name="fgsg" hidden="1">{"consolidated",#N/A,FALSE,"Sheet1";"cms",#N/A,FALSE,"Sheet1";"fse",#N/A,FALSE,"Sheet1"}</definedName>
    <definedName name="FIELD6" hidden="1">{"MESROS",#N/A,FALSE,"ROS";"MESOFF",#N/A,FALSE,"OFF";"MESBEA",#N/A,FALSE,"BEA";"MESCOF",#N/A,FALSE,"COF";"MESTEL",#N/A,FALSE,"TEL";"MESCON",#N/A,FALSE,"CON";"MESINT",#N/A,FALSE,"INT"}</definedName>
    <definedName name="FIELD6A" hidden="1">{"MESROS",#N/A,FALSE,"ROS";"MESOFF",#N/A,FALSE,"OFF";"MESBEA",#N/A,FALSE,"BEA";"MESCOF",#N/A,FALSE,"COF";"MESTEL",#N/A,FALSE,"TEL";"MESCON",#N/A,FALSE,"CON";"MESINT",#N/A,FALSE,"INT"}</definedName>
    <definedName name="File.Type" hidden="1">#REF!</definedName>
    <definedName name="Fill2" hidden="1">#REF!</definedName>
    <definedName name="financials" hidden="1">{"PAGE1",#N/A,FALSE,"BID (3)";"PAGE2",#N/A,FALSE,"BID (3)"}</definedName>
    <definedName name="finres" hidden="1">#REF!</definedName>
    <definedName name="Fixed.Assets" hidden="1">{#N/A,#N/A,FALSE,"Income";#N/A,#N/A,FALSE,"Cost of Goods Sold";#N/A,#N/A,FALSE,"Other Costs";#N/A,#N/A,FALSE,"Other Income";#N/A,#N/A,FALSE,"Taxes";#N/A,#N/A,FALSE,"Other Deductions";#N/A,#N/A,FALSE,"Compensation of Officers"}</definedName>
    <definedName name="FootnoteDefaults" hidden="1">{1;TRUE;5;"Times New Roman";FALSE;FALSE;TRUE;18;8;-4.5;-4;1;2;2;1;TRUE;5}</definedName>
    <definedName name="Foreign" hidden="1">{#N/A,#N/A,FALSE,"Income";#N/A,#N/A,FALSE,"Cost of Goods Sold";#N/A,#N/A,FALSE,"Other Costs";#N/A,#N/A,FALSE,"Other Income";#N/A,#N/A,FALSE,"Taxes";#N/A,#N/A,FALSE,"Other Deductions";#N/A,#N/A,FALSE,"Compensation of Officers"}</definedName>
    <definedName name="Foreign.Info" hidden="1">{#N/A,#N/A,FALSE,"Income";#N/A,#N/A,FALSE,"Cost of Goods Sold";#N/A,#N/A,FALSE,"Other Costs";#N/A,#N/A,FALSE,"Other Income";#N/A,#N/A,FALSE,"Taxes";#N/A,#N/A,FALSE,"Other Deductions";#N/A,#N/A,FALSE,"Compensation of Officers"}</definedName>
    <definedName name="FOXDCF" hidden="1">{#N/A,#N/A,FALSE,"Sheet1"}</definedName>
    <definedName name="FP" hidden="1">{#N/A,#N/A,TRUE,"Summary - 1";#N/A,#N/A,TRUE,"Summary - 2";#N/A,#N/A,TRUE,"Group Analysis";#N/A,#N/A,TRUE,"FM Analysis";#N/A,#N/A,TRUE,"T&amp;M-Onsite";#N/A,#N/A,TRUE,"FP-Onsite";#N/A,#N/A,TRUE,"NB-Onsite";#N/A,#N/A,TRUE,"T&amp;M-Offshore";#N/A,#N/A,TRUE,"FP-Offshore";#N/A,#N/A,TRUE,"Appendix-A";#N/A,#N/A,TRUE,"Appendix-B"}</definedName>
    <definedName name="FP_1" hidden="1">{#N/A,#N/A,TRUE,"Summary - 1";#N/A,#N/A,TRUE,"Summary - 2";#N/A,#N/A,TRUE,"Group Analysis";#N/A,#N/A,TRUE,"FM Analysis";#N/A,#N/A,TRUE,"T&amp;M-Onsite";#N/A,#N/A,TRUE,"FP-Onsite";#N/A,#N/A,TRUE,"NB-Onsite";#N/A,#N/A,TRUE,"T&amp;M-Offshore";#N/A,#N/A,TRUE,"FP-Offshore";#N/A,#N/A,TRUE,"Appendix-A";#N/A,#N/A,TRUE,"Appendix-B"}</definedName>
    <definedName name="fsd" hidden="1">#REF!</definedName>
    <definedName name="fsfs" hidden="1">{#N/A,#N/A,FALSE,"Calc";#N/A,#N/A,FALSE,"Sensitivity";#N/A,#N/A,FALSE,"LT Earn.Dil.";#N/A,#N/A,FALSE,"Dil. AVP"}</definedName>
    <definedName name="fssdf" hidden="1">REPT(#REF!,4)&amp;#REF!&amp;REPT(#REF!,2)&amp;#REF!&amp;REPT(#REF!,2)&amp;" "&amp;REPT(#REF!,2)&amp;#REF!&amp;REPT(#REF!,2)&amp;#REF!&amp;REPT(#REF!,2)</definedName>
    <definedName name="fuelco_wrn.test1." hidden="1">{"Income Statement",#N/A,FALSE,"CFMODEL";"Balance Sheet",#N/A,FALSE,"CFMODEL"}</definedName>
    <definedName name="fuelco_wrn.test2." hidden="1">{"SourcesUses",#N/A,TRUE,"CFMODEL";"TransOverview",#N/A,TRUE,"CFMODEL"}</definedName>
    <definedName name="fuelco_wrn.test3." hidden="1">{"SourcesUses",#N/A,TRUE,#N/A;"TransOverview",#N/A,TRUE,"CFMODEL"}</definedName>
    <definedName name="fuelco_wrn.test4." hidden="1">{"SourcesUses",#N/A,TRUE,"FundsFlow";"TransOverview",#N/A,TRUE,"FundsFlow"}</definedName>
    <definedName name="fxgn" hidden="1">{"Normal View",#N/A,TRUE,"Lead Schedule";"Profit and Loss account",#N/A,TRUE,"US Schedules";"Causal Schedule",#N/A,TRUE,"US Inputs";"Normal View",#N/A,TRUE,"Membership Summary";"Normal View",#N/A,TRUE,"Exchanges Summary";"Normal View",#N/A,TRUE,"Travel Summary";"Normal View",#N/A,TRUE,"Other Revenue Summary";"Normal View",#N/A,TRUE,"Year on Year Cost Summary";"Normal View",#N/A,TRUE,"Staff Costs Summary";"Normal View",#N/A,TRUE,"Cost Summary";"Normal View",#N/A,TRUE,"Fixed Costs";"Normal View",#N/A,TRUE,"Flexed Variable Costs";"Normal View",#N/A,TRUE,"Existing Discretionary";"Normal View",#N/A,TRUE,"Exst Discretionary Expln";"Normal View",#N/A,TRUE,"New Initiatives";"Normal View",#N/A,TRUE,"New Initiatives Expln";"Total Additions 1996",#N/A,TRUE,"Total Heads";#N/A,#N/A,TRUE,"Heads Justifications 96";"Total Additions 1997",#N/A,TRUE,"Total Heads";"Normal View",#N/A,TRUE,"Heads Justifications 97";"Capex by project",#N/A,TRUE,"Capex by Project";"Normal View",#N/A,TRUE,"Capex Justification";"Marketing Expenses",#N/A,TRUE,"US Inputs";"Normal View",#N/A,TRUE,"Prices input";"Normal View",#N/A,TRUE,"Cash Flow";"Normal View",#N/A,TRUE,"Balance Sheet Summary"}</definedName>
    <definedName name="G_F0" hidden="1">#REF!</definedName>
    <definedName name="GA" hidden="1">{#N/A,#N/A,FALSE,"Job Sched"}</definedName>
    <definedName name="genco" hidden="1">{#N/A,#N/A,TRUE,"CIN-11";#N/A,#N/A,TRUE,"CIN-13";#N/A,#N/A,TRUE,"CIN-14";#N/A,#N/A,TRUE,"CIN-16";#N/A,#N/A,TRUE,"CIN-17";#N/A,#N/A,TRUE,"CIN-18";#N/A,#N/A,TRUE,"CIN Earnings To Fixed Charges";#N/A,#N/A,TRUE,"CIN Financial Ratios";#N/A,#N/A,TRUE,"CIN-IS";#N/A,#N/A,TRUE,"CIN-BS";#N/A,#N/A,TRUE,"CIN-CS";#N/A,#N/A,TRUE,"Invest In Unconsol Subs"}</definedName>
    <definedName name="genco_1" hidden="1">{#N/A,#N/A,TRUE,"CIN-11";#N/A,#N/A,TRUE,"CIN-13";#N/A,#N/A,TRUE,"CIN-14";#N/A,#N/A,TRUE,"CIN-16";#N/A,#N/A,TRUE,"CIN-17";#N/A,#N/A,TRUE,"CIN-18";#N/A,#N/A,TRUE,"CIN Earnings To Fixed Charges";#N/A,#N/A,TRUE,"CIN Financial Ratios";#N/A,#N/A,TRUE,"CIN-IS";#N/A,#N/A,TRUE,"CIN-BS";#N/A,#N/A,TRUE,"CIN-CS";#N/A,#N/A,TRUE,"Invest In Unconsol Subs"}</definedName>
    <definedName name="ggg" hidden="1">{#N/A,#N/A,FALSE,"A"}</definedName>
    <definedName name="ggggg" hidden="1">{"budget992000_customers",#N/A,FALSE,"Celtel alternative 6"}</definedName>
    <definedName name="ggggggg" hidden="1">{"budget992000 profit and loss",#N/A,FALSE,"Celtel alternative 6"}</definedName>
    <definedName name="ghi" hidden="1">{"510 Opex",#N/A,FALSE,"510";"520 Opex",#N/A,FALSE,"520";"UK Cons Opex",#N/A,FALSE,"Consulting-UK";"522 Opex",#N/A,FALSE,"522";"530 Opex",#N/A,FALSE,"530";"600 Opex",#N/A,FALSE,"600";"601 Opex",#N/A,FALSE,"601";"603 Opex",#N/A,FALSE,"603";"610 Opex",#N/A,FALSE,"610";"UK Sales Opex",#N/A,FALSE,"Sales-UK";"640 Opex",#N/A,FALSE,"640";"642 Opex",#N/A,FALSE,"642";"UK Mktg Opex",#N/A,FALSE,"Marketing - UK";"650 Opex",#N/A,FALSE,"650";"700 Opex",#N/A,FALSE,"700";"710 Opex",#N/A,FALSE,"710";"715 Opex",#N/A,FALSE,"715(DCS)";"720 Opex",#N/A,FALSE,"720(QA)";"800 Opex",#N/A,FALSE,"800";"810 Opex",#N/A,FALSE,"810";"820 Opex",#N/A,FALSE,"820";"830 Opex",#N/A,FALSE,"830";"850 Opex",#N/A,FALSE,"850";"851 Opex",#N/A,FALSE,"851";"Fringe Opex",#N/A,FALSE,"Fringe-825"}</definedName>
    <definedName name="gilb.wrn.test2." hidden="1">{"SourcesUses",#N/A,TRUE,"CFMODEL";"TransOverview",#N/A,TRUE,"CFMODEL"}</definedName>
    <definedName name="gilb.wrn.test3." hidden="1">{"SourcesUses",#N/A,TRUE,#N/A;"TransOverview",#N/A,TRUE,"CFMODEL"}</definedName>
    <definedName name="gilb.wrn.test4." hidden="1">{"SourcesUses",#N/A,TRUE,"FundsFlow";"TransOverview",#N/A,TRUE,"FundsFlow"}</definedName>
    <definedName name="gilb_wrn.test1" hidden="1">{"Income Statement",#N/A,FALSE,"CFMODEL";"Balance Sheet",#N/A,FALSE,"CFMODEL"}</definedName>
    <definedName name="gjhfg" hidden="1">#REF!</definedName>
    <definedName name="GlideChartMarker" hidden="1">"Chart!A1"</definedName>
    <definedName name="GlideDataMarker" hidden="1">"Data!A1"</definedName>
    <definedName name="GlideHiddenMarker" hidden="1">"Costcurvedata!A1"</definedName>
    <definedName name="GlideMaxCharts" hidden="1">7</definedName>
    <definedName name="grossnetdebt" hidden="1">#REF!</definedName>
    <definedName name="h" hidden="1">{"'Standalone List Price Trends'!$A$1:$X$56"}</definedName>
    <definedName name="h_1" hidden="1">{"'Standalone List Price Trends'!$A$1:$X$56"}</definedName>
    <definedName name="ha" hidden="1">{#N/A,#N/A,FALSE,"Budget96 Revised"}</definedName>
    <definedName name="help" hidden="1">{"510 Opex",#N/A,FALSE,"510";"520 Opex",#N/A,FALSE,"520";"UK Cons Opex",#N/A,FALSE,"Consulting-UK";"522 Opex",#N/A,FALSE,"522";"530 Opex",#N/A,FALSE,"530";"600 Opex",#N/A,FALSE,"600";"601 Opex",#N/A,FALSE,"601";"603 Opex",#N/A,FALSE,"603";"610 Opex",#N/A,FALSE,"610";"UK Sales Opex",#N/A,FALSE,"Sales-UK";"640 Opex",#N/A,FALSE,"640";"642 Opex",#N/A,FALSE,"642";"UK Mktg Opex",#N/A,FALSE,"Marketing - UK";"650 Opex",#N/A,FALSE,"650";"700 Opex",#N/A,FALSE,"700";"710 Opex",#N/A,FALSE,"710";"715 Opex",#N/A,FALSE,"715(DCS)";"720 Opex",#N/A,FALSE,"720(QA)";"800 Opex",#N/A,FALSE,"800";"810 Opex",#N/A,FALSE,"810";"820 Opex",#N/A,FALSE,"820";"830 Opex",#N/A,FALSE,"830";"850 Opex",#N/A,FALSE,"850";"851 Opex",#N/A,FALSE,"851";"Fringe Opex",#N/A,FALSE,"Fringe-825"}</definedName>
    <definedName name="help1" hidden="1">{"Capex by project",#N/A,FALSE,"Capex by Project"}</definedName>
    <definedName name="help2" hidden="1">{"Capex by project",#N/A,FALSE,"Capex by Project"}</definedName>
    <definedName name="help3" hidden="1">{"Capex by project",#N/A,FALSE,"Capex by Project"}</definedName>
    <definedName name="help9999" hidden="1">{"Capex by project",#N/A,FALSE,"Capex by Project"}</definedName>
    <definedName name="helpcagla" hidden="1">{"Capex by project",#N/A,FALSE,"Capex by Project"}</definedName>
    <definedName name="Hemorrhage" hidden="1">{"mgmt forecast",#N/A,FALSE,"Mgmt Forecast";"dcf table",#N/A,FALSE,"Mgmt Forecast";"sensitivity",#N/A,FALSE,"Mgmt Forecast";"table inputs",#N/A,FALSE,"Mgmt Forecast";"calculations",#N/A,FALSE,"Mgmt Forecast"}</definedName>
    <definedName name="hh" hidden="1">{#N/A,#N/A,FALSE,"TOTAL mtd";#N/A,#N/A,FALSE,"BSE mtd";#N/A,#N/A,FALSE,"BSS mtd";#N/A,#N/A,FALSE,"TDE mtd";#N/A,#N/A,FALSE,"TDS mtd";#N/A,#N/A,FALSE,"FA mtd";#N/A,#N/A,FALSE,"TIS mtd";#N/A,#N/A,FALSE,"SEC mtd";#N/A,#N/A,FALSE,"SND mtd";#N/A,#N/A,FALSE,"NC mtd";#N/A,#N/A,FALSE,"MT&amp;C BS mtd";#N/A,#N/A,FALSE,"OT BS mtd";#N/A,#N/A,FALSE,"EM mtd";#N/A,#N/A,FALSE,"WI mtd";#N/A,#N/A,FALSE,"MT&amp;C TD mtd";#N/A,#N/A,FALSE,"OT TD mtd";#N/A,#N/A,FALSE,"Sales mtd";#N/A,#N/A,FALSE,"Orders mtd"}</definedName>
    <definedName name="hhh" hidden="1">#REF!</definedName>
    <definedName name="hhhh" hidden="1">{#N/A,#N/A,FALSE,"MAY";#N/A,#N/A,FALSE,"Q2";#N/A,#N/A,FALSE,"YTD"}</definedName>
    <definedName name="hhhh1" hidden="1">{#N/A,#N/A,FALSE,"MAY";#N/A,#N/A,FALSE,"Q2";#N/A,#N/A,FALSE,"YTD"}</definedName>
    <definedName name="hhhh7000" hidden="1">{#N/A,#N/A,FALSE,"MAY";#N/A,#N/A,FALSE,"Q2";#N/A,#N/A,FALSE,"YTD"}</definedName>
    <definedName name="HiddenRows" hidden="1">#REF!</definedName>
    <definedName name="hn.ConvertZero1" hidden="1">#REF!,#REF!,#REF!,#REF!,#REF!,#REF!,#REF!,#REF!,#REF!,#REF!</definedName>
    <definedName name="hn.ConvertZero2" hidden="1">#REF!,#REF!,#REF!,#REF!,#REF!,#REF!,#REF!,#REF!</definedName>
    <definedName name="hn.ConvertZero3" hidden="1">#REF!,#REF!,#REF!,#REF!,#REF!</definedName>
    <definedName name="hn.ConvertZero4" hidden="1">#REF!,#REF!,#REF!,#REF!,#REF!,#REF!,#REF!,#REF!</definedName>
    <definedName name="hn.ConvertZeroUnhide1" hidden="1">#REF!,#REF!,#REF!</definedName>
    <definedName name="hn.Delete015" hidden="1">#REF!,#REF!,#REF!,#REF!</definedName>
    <definedName name="hn.DZ_MultByFXRates" hidden="1">#REF!,#REF!,#REF!,#REF!</definedName>
    <definedName name="hn.ExtDb" hidden="1">FALSE</definedName>
    <definedName name="hn.LTM_MultByFXRates" hidden="1">#REF!,#REF!,#REF!,#REF!,#REF!,#REF!,#REF!</definedName>
    <definedName name="hn.ModelType" hidden="1">"DEAL"</definedName>
    <definedName name="hn.ModelVersion" hidden="1">1</definedName>
    <definedName name="hn.MultbyFXRates" hidden="1">#REF!,#REF!,#REF!,#REF!,#REF!,#REF!,#REF!</definedName>
    <definedName name="hn.MultByFXRates1" hidden="1">#REF!,#REF!,#REF!,#REF!,#REF!</definedName>
    <definedName name="hn.MultByFXRates2" hidden="1">#REF!,#REF!,#REF!,#REF!,#REF!</definedName>
    <definedName name="hn.MultByFXRates3" hidden="1">#REF!,#REF!,#REF!,#REF!,#REF!</definedName>
    <definedName name="hn.MultbyFxrates4" hidden="1">#REF!,#REF!,#REF!,#REF!,#REF!,#REF!,#REF!</definedName>
    <definedName name="hn.multbyfxrates5" hidden="1">#REF!,#REF!,#REF!,#REF!,#REF!</definedName>
    <definedName name="hn.multbyfxrates6" hidden="1">#REF!,#REF!,#REF!,#REF!,#REF!</definedName>
    <definedName name="hn.multbyfxrates7" hidden="1">#REF!,#REF!,#REF!,#REF!,#REF!</definedName>
    <definedName name="hn.MultByFXRatesBot1" hidden="1">#REF!,#REF!,#REF!,#REF!,#REF!,#REF!,#REF!,#REF!,#REF!,#REF!,#REF!,#REF!</definedName>
    <definedName name="hn.MultByFXRatesBot2" hidden="1">#REF!,#REF!,#REF!,#REF!,#REF!,#REF!,#REF!,#REF!,#REF!,#REF!,#REF!,#REF!</definedName>
    <definedName name="hn.MultByFXRatesBot3" hidden="1">#REF!,#REF!,#REF!,#REF!,#REF!,#REF!,#REF!,#REF!,#REF!,#REF!,#REF!,#REF!</definedName>
    <definedName name="hn.MultByFXRatesBot4" hidden="1">#REF!,#REF!,#REF!,#REF!,#REF!,#REF!,#REF!,#REF!,#REF!,#REF!,#REF!,#REF!,#REF!</definedName>
    <definedName name="hn.MultByFXRatesBot5" hidden="1">#REF!,#REF!,#REF!,#REF!,#REF!,#REF!,#REF!,#REF!,#REF!,#REF!,#REF!</definedName>
    <definedName name="hn.MultByFXRatesBot6" hidden="1">#REF!,#REF!,#REF!,#REF!,#REF!,#REF!,#REF!,#REF!,#REF!,#REF!,#REF!</definedName>
    <definedName name="hn.MultByFXRatesBot7" hidden="1">#REF!,#REF!,#REF!,#REF!,#REF!,#REF!,#REF!,#REF!,#REF!,#REF!,#REF!</definedName>
    <definedName name="hn.MultByFXRatesTop1" hidden="1">#REF!,#REF!,#REF!,#REF!,#REF!,#REF!,#REF!,#REF!,#REF!,#REF!,#REF!,#REF!</definedName>
    <definedName name="hn.MultByFXRatesTop2" hidden="1">#REF!,#REF!,#REF!,#REF!,#REF!,#REF!,#REF!,#REF!,#REF!,#REF!,#REF!,#REF!,#REF!,#REF!,#REF!</definedName>
    <definedName name="hn.MultByFXRatesTop3" hidden="1">#REF!,#REF!,#REF!,#REF!,#REF!,#REF!,#REF!,#REF!,#REF!,#REF!,#REF!,#REF!,#REF!,#REF!,#REF!</definedName>
    <definedName name="hn.MultByFXRatesTop4" hidden="1">#REF!,#REF!,#REF!,#REF!,#REF!,#REF!,#REF!,#REF!,#REF!,#REF!,#REF!,#REF!,#REF!,#REF!,#REF!</definedName>
    <definedName name="hn.MultByFXRatesTop5" hidden="1">#REF!,#REF!,#REF!,#REF!,#REF!,#REF!,#REF!,#REF!,#REF!,#REF!,#REF!,#REF!</definedName>
    <definedName name="hn.MultByFXRatesTop6" hidden="1">#REF!,#REF!,#REF!,#REF!,#REF!,#REF!,#REF!,#REF!,#REF!,#REF!,#REF!,#REF!,#REF!,#REF!,#REF!</definedName>
    <definedName name="hn.MultByFXRatesTop7" hidden="1">#REF!,#REF!,#REF!,#REF!,#REF!,#REF!,#REF!,#REF!,#REF!,#REF!,#REF!,#REF!,#REF!,#REF!,#REF!</definedName>
    <definedName name="hn.NoUpload" hidden="1">0</definedName>
    <definedName name="hn.RolledForward" hidden="1">FALSE</definedName>
    <definedName name="hod" hidden="1">{#N/A,#N/A,FALSE,"TS";#N/A,#N/A,FALSE,"Combo";#N/A,#N/A,FALSE,"FAIR";#N/A,#N/A,FALSE,"RBC";#N/A,#N/A,FALSE,"xxxx";#N/A,#N/A,FALSE,"A_D";#N/A,#N/A,FALSE,"WACC";#N/A,#N/A,FALSE,"DCF";#N/A,#N/A,FALSE,"LBO";#N/A,#N/A,FALSE,"AcqMults";#N/A,#N/A,FALSE,"CompMults"}</definedName>
    <definedName name="home" hidden="1">{"WACC_filecopy",#N/A,FALSE,"Inputs";"Beta_filecopy",#N/A,FALSE,"Inputs";"SCF_filecopy",#N/A,FALSE,"Inputs";"ProBS_filecopy",#N/A,FALSE,"Inputs";"BS_filecopy",#N/A,FALSE,"Inputs";"ProIS_filecopy",#N/A,FALSE,"Inputs";"IS_filecopy",#N/A,FALSE,"Inputs"}</definedName>
    <definedName name="houy" hidden="1">{#N/A,#N/A,FALSE,"AD_Purchase";#N/A,#N/A,FALSE,"Credit";#N/A,#N/A,FALSE,"PF Acquisition";#N/A,#N/A,FALSE,"PF Offering"}</definedName>
    <definedName name="HQ" hidden="1">{#N/A,#N/A,FALSE,"6405";#N/A,#N/A,FALSE,"6406";#N/A,#N/A,FALSE,"6409";#N/A,#N/A,FALSE,"6425";#N/A,#N/A,FALSE,"6426";#N/A,#N/A,FALSE,"6427";#N/A,#N/A,FALSE,"6440";#N/A,#N/A,FALSE,"6441";#N/A,#N/A,FALSE,"6442";#N/A,#N/A,FALSE,"6443"}</definedName>
    <definedName name="HTML_CodePage" hidden="1">1252</definedName>
    <definedName name="HTML_Control" hidden="1">{"'Standalone List Price Trends'!$A$1:$X$56"}</definedName>
    <definedName name="HTML_Control2" hidden="1">{"'action plan'!$D$13"}</definedName>
    <definedName name="HTML_Description" hidden="1">""</definedName>
    <definedName name="HTML_Email" hidden="1">""</definedName>
    <definedName name="HTML_Header" hidden="1">"Standalone List Price Trends"</definedName>
    <definedName name="HTML_LastUpdate" hidden="1">"3/5/98"</definedName>
    <definedName name="HTML_LineAfter" hidden="1">FALSE</definedName>
    <definedName name="HTML_LineBefore" hidden="1">FALSE</definedName>
    <definedName name="HTML_Name" hidden="1">"Kevin Mitchell"</definedName>
    <definedName name="HTML_OBDlg2" hidden="1">TRUE</definedName>
    <definedName name="HTML_OBDlg3" hidden="1">TRUE</definedName>
    <definedName name="HTML_OBDlg4" hidden="1">TRUE</definedName>
    <definedName name="HTML_OS" hidden="1">0</definedName>
    <definedName name="HTML_PathFile" hidden="1">"C:\Kevin's Data\SW$\SW$SVC HTML\Strends.htm"</definedName>
    <definedName name="HTML_PathFileMac" hidden="1">"Macintosh HD:Web Site “~adamodar”:pc:datasets:MyHTML.html"</definedName>
    <definedName name="HTML_PathTemplate" hidden="1">"H:\Intranet\exchrate.htm"</definedName>
    <definedName name="HTML_Title" hidden="1">"Switch Prices 03-98 xl97"</definedName>
    <definedName name="HTML1_1" hidden="1">"'[CHARTBK.XLS]OH Summary'!$A$10:$I$34"</definedName>
    <definedName name="HTML1_10" hidden="1">""</definedName>
    <definedName name="HTML1_11" hidden="1">1</definedName>
    <definedName name="HTML1_12" hidden="1">"C:\EXCELDTA\OEL\FY97 Expense Actuals\MyHTML.htm"</definedName>
    <definedName name="HTML1_2" hidden="1">1</definedName>
    <definedName name="HTML1_5" hidden="1">""</definedName>
    <definedName name="HTML1_6" hidden="1">-4146</definedName>
    <definedName name="HTML1_7" hidden="1">-4146</definedName>
    <definedName name="HTML1_8" hidden="1">"12/11/96"</definedName>
    <definedName name="HTMLCount" hidden="1">1</definedName>
    <definedName name="HUh" hidden="1">{"'Standalone List Price Trends'!$A$1:$X$56"}</definedName>
    <definedName name="HUh_1" hidden="1">{"'Standalone List Price Trends'!$A$1:$X$56"}</definedName>
    <definedName name="ii" hidden="1">#REF!</definedName>
    <definedName name="iiiii" hidden="1">{#N/A,#N/A,FALSE,"Calc";#N/A,#N/A,FALSE,"Sensitivity";#N/A,#N/A,FALSE,"LT Earn.Dil.";#N/A,#N/A,FALSE,"Dil. AVP"}</definedName>
    <definedName name="INFO_BI_EXE_NAME" hidden="1">"BICORE.EXE"</definedName>
    <definedName name="INFO_EXE_SERVER_PATH" hidden="1">"C:\Program Files (x86)\Sage Software\Sage MAS 500 Client\Managed Applications\SMIFramework\BICORE.EXE"</definedName>
    <definedName name="INFO_INSTANCE_ID" hidden="1">"0"</definedName>
    <definedName name="INFO_INSTANCE_NAME" hidden="1">"MGR New Detailed Rolling IncStmt_20180117_12_00_36_000.xls"</definedName>
    <definedName name="INFO_REPORT_CODE" hidden="1">"S500-AI01-1-2"</definedName>
    <definedName name="INFO_REPORT_ID" hidden="1">"9"</definedName>
    <definedName name="INFO_REPORT_NAME" hidden="1">"MGR New Detailed Rolling IncStmt"</definedName>
    <definedName name="INFO_RUN_USER" hidden="1">""</definedName>
    <definedName name="INFO_RUN_WORKSTATION" hidden="1">"MPCRMDV1"</definedName>
    <definedName name="Intang.Lead" hidden="1">{#N/A,#N/A,FALSE,"Income";#N/A,#N/A,FALSE,"Cost of Goods Sold";#N/A,#N/A,FALSE,"Other Costs";#N/A,#N/A,FALSE,"Other Income";#N/A,#N/A,FALSE,"Taxes";#N/A,#N/A,FALSE,"Other Deductions";#N/A,#N/A,FALSE,"Compensation of Officers"}</definedName>
    <definedName name="IntangLead" hidden="1">{#N/A,#N/A,FALSE,"Income";#N/A,#N/A,FALSE,"Cost of Goods Sold";#N/A,#N/A,FALSE,"Other Costs";#N/A,#N/A,FALSE,"Other Income";#N/A,#N/A,FALSE,"Taxes";#N/A,#N/A,FALSE,"Other Deductions";#N/A,#N/A,FALSE,"Compensation of Officers"}</definedName>
    <definedName name="Interco2" hidden="1">{#N/A,#N/A,FALSE,"Job Sched"}</definedName>
    <definedName name="IntroPrintArea" hidden="1">#REF!</definedName>
    <definedName name="invcap" hidden="1">#REF!</definedName>
    <definedName name="invcap2" hidden="1">#REF!</definedName>
    <definedName name="ip" hidden="1">{"'Standalone List Price Trends'!$A$1:$X$56"}</definedName>
    <definedName name="ip_1" hidden="1">{"'Standalone List Price Trends'!$A$1:$X$56"}</definedName>
    <definedName name="ipcc" hidden="1">{"'Standalone List Price Trends'!$A$1:$X$56"}</definedName>
    <definedName name="ipcc_1" hidden="1">{"'Standalone List Price Trends'!$A$1:$X$56"}</definedName>
    <definedName name="IQ_1_4_CONSTRUCTION_GROSS_LOANS_FFIEC" hidden="1">"c13402"</definedName>
    <definedName name="IQ_1_4_CONSTRUCTION_LL_REC_DOM_FFIEC" hidden="1">"c12899"</definedName>
    <definedName name="IQ_1_4_CONSTRUCTION_LOAN_COMMITMENTS_UNUSED_FFIEC" hidden="1">"c13244"</definedName>
    <definedName name="IQ_1_4_CONSTRUCTION_LOANS_DUE_30_89_FFIEC" hidden="1">"c13257"</definedName>
    <definedName name="IQ_1_4_CONSTRUCTION_LOANS_DUE_90_FFIEC" hidden="1">"c13285"</definedName>
    <definedName name="IQ_1_4_CONSTRUCTION_LOANS_NON_ACCRUAL_FFIEC" hidden="1">"c13311"</definedName>
    <definedName name="IQ_1_4_CONSTRUCTION_RISK_BASED_FFIEC" hidden="1">"c13423"</definedName>
    <definedName name="IQ_1_4_FAMILY_JUNIOR_LIENS_CHARGE_OFFS_FDIC" hidden="1">"c6605"</definedName>
    <definedName name="IQ_1_4_FAMILY_JUNIOR_LIENS_NET_CHARGE_OFFS_FDIC" hidden="1">"c6643"</definedName>
    <definedName name="IQ_1_4_FAMILY_JUNIOR_LIENS_RECOVERIES_FDIC" hidden="1">"c6624"</definedName>
    <definedName name="IQ_1_4_FAMILY_RES_DOM_FFIEC" hidden="1">"c15269"</definedName>
    <definedName name="IQ_1_4_FAMILY_SENIOR_LIENS_CHARGE_OFFS_FDIC" hidden="1">"c6604"</definedName>
    <definedName name="IQ_1_4_FAMILY_SENIOR_LIENS_NET_CHARGE_OFFS_FDIC" hidden="1">"c6642"</definedName>
    <definedName name="IQ_1_4_FAMILY_SENIOR_LIENS_RECOVERIES_FDIC" hidden="1">"c6623"</definedName>
    <definedName name="IQ_1_4_HOME_EQUITY_NET_LOANS_FDIC" hidden="1">"c6441"</definedName>
    <definedName name="IQ_1_4_RESIDENTIAL_FIRST_LIENS_NET_LOANS_FDIC" hidden="1">"c6439"</definedName>
    <definedName name="IQ_1_4_RESIDENTIAL_JUNIOR_LIENS_NET_LOANS_FDIC" hidden="1">"c6440"</definedName>
    <definedName name="IQ_1_4_RESIDENTIAL_LOANS_FDIC" hidden="1">"c6310"</definedName>
    <definedName name="IQ_30YR_FIXED_MORTGAGE" hidden="1">"c6811"</definedName>
    <definedName name="IQ_30YR_FIXED_MORTGAGE_FC" hidden="1">"c7691"</definedName>
    <definedName name="IQ_30YR_FIXED_MORTGAGE_POP" hidden="1">"c7031"</definedName>
    <definedName name="IQ_30YR_FIXED_MORTGAGE_POP_FC" hidden="1">"c7911"</definedName>
    <definedName name="IQ_30YR_FIXED_MORTGAGE_YOY" hidden="1">"c7251"</definedName>
    <definedName name="IQ_30YR_FIXED_MORTGAGE_YOY_FC" hidden="1">"c8131"</definedName>
    <definedName name="IQ_ABS_AVAIL_SALE_FFIEC" hidden="1">"c12802"</definedName>
    <definedName name="IQ_ABS_FFIEC" hidden="1">"c12788"</definedName>
    <definedName name="IQ_ABS_INVEST_SECURITIES_FFIEC" hidden="1">"c13461"</definedName>
    <definedName name="IQ_ABS_PERIOD" hidden="1">"c13823"</definedName>
    <definedName name="IQ_ABS_PERIOD_EST" hidden="1">"c16122"</definedName>
    <definedName name="IQ_ACCEPTANCES_OTHER_FOREIGN_BANKS_LL_REC_FFIEC" hidden="1">"c15293"</definedName>
    <definedName name="IQ_ACCEPTANCES_OTHER_US_BANKS_LL_REC_FFIEC" hidden="1">"c15292"</definedName>
    <definedName name="IQ_ACCOUNT_CHANGE" hidden="1">"c413"</definedName>
    <definedName name="IQ_ACCOUNT_CODE_INTEREST_PENALTIES" hidden="1">"c15741"</definedName>
    <definedName name="IQ_ACCOUNTING_FFIEC" hidden="1">"c13054"</definedName>
    <definedName name="IQ_ACCOUNTING_STANDARD" hidden="1">"c4539"</definedName>
    <definedName name="IQ_ACCOUNTING_STANDARD_CIQ" hidden="1">"c5092"</definedName>
    <definedName name="IQ_ACCOUNTING_STANDARD_CIQ_COL" hidden="1">"c11739"</definedName>
    <definedName name="IQ_ACCOUNTS_PAY" hidden="1">"c32"</definedName>
    <definedName name="IQ_ACCR_INT_PAY" hidden="1">"c1"</definedName>
    <definedName name="IQ_ACCR_INT_PAY_CF" hidden="1">"c2"</definedName>
    <definedName name="IQ_ACCR_INT_RECEIV" hidden="1">"c3"</definedName>
    <definedName name="IQ_ACCR_INT_RECEIV_CF" hidden="1">"c4"</definedName>
    <definedName name="IQ_ACCRUED_EXP" hidden="1">"c8"</definedName>
    <definedName name="IQ_ACCRUED_INTEREST_RECEIVABLE_FFIEC" hidden="1">"c12842"</definedName>
    <definedName name="IQ_ACCT_RECV_10YR_ANN_CAGR" hidden="1">"c6159"</definedName>
    <definedName name="IQ_ACCT_RECV_10YR_ANN_GROWTH" hidden="1">"c1924"</definedName>
    <definedName name="IQ_ACCT_RECV_1YR_ANN_GROWTH" hidden="1">"c1919"</definedName>
    <definedName name="IQ_ACCT_RECV_2YR_ANN_CAGR" hidden="1">"c6155"</definedName>
    <definedName name="IQ_ACCT_RECV_2YR_ANN_GROWTH" hidden="1">"c1920"</definedName>
    <definedName name="IQ_ACCT_RECV_3YR_ANN_CAGR" hidden="1">"c6156"</definedName>
    <definedName name="IQ_ACCT_RECV_3YR_ANN_GROWTH" hidden="1">"c1921"</definedName>
    <definedName name="IQ_ACCT_RECV_5YR_ANN_CAGR" hidden="1">"c6157"</definedName>
    <definedName name="IQ_ACCT_RECV_5YR_ANN_GROWTH" hidden="1">"c1922"</definedName>
    <definedName name="IQ_ACCT_RECV_7YR_ANN_CAGR" hidden="1">"c6158"</definedName>
    <definedName name="IQ_ACCT_RECV_7YR_ANN_GROWTH" hidden="1">"c1923"</definedName>
    <definedName name="IQ_ACCUM_DEP" hidden="1">"c7"</definedName>
    <definedName name="IQ_ACCUMULATED_PENSION_OBLIGATION" hidden="1">"c2108"</definedName>
    <definedName name="IQ_ACCUMULATED_PENSION_OBLIGATION_DOMESTIC" hidden="1">"c2657"</definedName>
    <definedName name="IQ_ACCUMULATED_PENSION_OBLIGATION_FOREIGN" hidden="1">"c2665"</definedName>
    <definedName name="IQ_ACQ_COST_SUB" hidden="1">"c2125"</definedName>
    <definedName name="IQ_ACQ_COST_WIRELESS_SUB" hidden="1">"c2125"</definedName>
    <definedName name="IQ_ACQ_COSTS_CAPITALIZED" hidden="1">"c5"</definedName>
    <definedName name="IQ_ACQUIRE_REAL_ESTATE_CF" hidden="1">"c6"</definedName>
    <definedName name="IQ_ACQUIRED_BY_REPORTING_BANK_FDIC" hidden="1">"c6535"</definedName>
    <definedName name="IQ_ACQUISITION_COST_SUB" hidden="1">"c15807"</definedName>
    <definedName name="IQ_ACQUISITION_RE_ASSETS" hidden="1">"c1628"</definedName>
    <definedName name="IQ_ACTUAL_PRODUCTION_ALUM" hidden="1">"c9247"</definedName>
    <definedName name="IQ_ACTUAL_PRODUCTION_CATHODE_COP" hidden="1">"c9192"</definedName>
    <definedName name="IQ_ACTUAL_PRODUCTION_COAL" hidden="1">"c9821"</definedName>
    <definedName name="IQ_ACTUAL_PRODUCTION_COP" hidden="1">"c9191"</definedName>
    <definedName name="IQ_ACTUAL_PRODUCTION_DIAM" hidden="1">"c9671"</definedName>
    <definedName name="IQ_ACTUAL_PRODUCTION_GOLD" hidden="1">"c9032"</definedName>
    <definedName name="IQ_ACTUAL_PRODUCTION_IRON" hidden="1">"c9406"</definedName>
    <definedName name="IQ_ACTUAL_PRODUCTION_LEAD" hidden="1">"c9459"</definedName>
    <definedName name="IQ_ACTUAL_PRODUCTION_MANG" hidden="1">"c9512"</definedName>
    <definedName name="IQ_ACTUAL_PRODUCTION_MET_COAL" hidden="1">"c9761"</definedName>
    <definedName name="IQ_ACTUAL_PRODUCTION_MOLYB" hidden="1">"c9724"</definedName>
    <definedName name="IQ_ACTUAL_PRODUCTION_NICK" hidden="1">"c9300"</definedName>
    <definedName name="IQ_ACTUAL_PRODUCTION_PLAT" hidden="1">"c9138"</definedName>
    <definedName name="IQ_ACTUAL_PRODUCTION_SILVER" hidden="1">"c9085"</definedName>
    <definedName name="IQ_ACTUAL_PRODUCTION_STEAM" hidden="1">"c9791"</definedName>
    <definedName name="IQ_ACTUAL_PRODUCTION_TITAN" hidden="1">"c9565"</definedName>
    <definedName name="IQ_ACTUAL_PRODUCTION_URAN" hidden="1">"c9618"</definedName>
    <definedName name="IQ_ACTUAL_PRODUCTION_ZINC" hidden="1">"c9353"</definedName>
    <definedName name="IQ_AD" hidden="1">"c7"</definedName>
    <definedName name="IQ_ADD_PAID_IN" hidden="1">"c39"</definedName>
    <definedName name="IQ_ADD_TAX_POSITIONS_CURRENT_YR" hidden="1">"c15733"</definedName>
    <definedName name="IQ_ADD_TAX_POSITIONS_PRIOR_YRS" hidden="1">"c15735"</definedName>
    <definedName name="IQ_ADDIN" hidden="1">"AUTO"</definedName>
    <definedName name="IQ_ADDITIONAL_NON_INT_INC_FDIC" hidden="1">"c6574"</definedName>
    <definedName name="IQ_ADDITIONS_NON_ACCRUAL_ASSET_DURING_QTR_FFIEC" hidden="1">"c15349"</definedName>
    <definedName name="IQ_ADJ_AVG_BANK_ASSETS" hidden="1">"c2671"</definedName>
    <definedName name="IQ_ADJUSTABLE_RATE_LOANS_FDIC" hidden="1">"c6375"</definedName>
    <definedName name="IQ_ADJUSTED_NAV_COVERED" hidden="1">"c9963"</definedName>
    <definedName name="IQ_ADJUSTED_NAV_GROUP" hidden="1">"c9949"</definedName>
    <definedName name="IQ_ADMIN_RATIO" hidden="1">"c2784"</definedName>
    <definedName name="IQ_ADVERTISING" hidden="1">"c2246"</definedName>
    <definedName name="IQ_ADVERTISING_MARKETING" hidden="1">"c1566"</definedName>
    <definedName name="IQ_ADVERTISING_MARKETING_EXPENSES_FFIEC" hidden="1">"c13048"</definedName>
    <definedName name="IQ_AE" hidden="1">"c8"</definedName>
    <definedName name="IQ_AE_BNK" hidden="1">"c9"</definedName>
    <definedName name="IQ_AE_BR" hidden="1">"c10"</definedName>
    <definedName name="IQ_AE_CM" hidden="1">"c10"</definedName>
    <definedName name="IQ_AE_FIN" hidden="1">"c11"</definedName>
    <definedName name="IQ_AE_INS" hidden="1">"c12"</definedName>
    <definedName name="IQ_AE_RE" hidden="1">"c6195"</definedName>
    <definedName name="IQ_AE_REIT" hidden="1">"c13"</definedName>
    <definedName name="IQ_AE_UTI" hidden="1">"c14"</definedName>
    <definedName name="IQ_AFFO" hidden="1">"c8756"</definedName>
    <definedName name="IQ_AFFO_DILUTED" hidden="1">"c16188"</definedName>
    <definedName name="IQ_AFFO_PER_SHARE_BASIC" hidden="1">"c8869"</definedName>
    <definedName name="IQ_AFFO_PER_SHARE_DILUTED" hidden="1">"c8870"</definedName>
    <definedName name="IQ_AFS_INVEST_SECURITIES_FFIEC" hidden="1">"c13456"</definedName>
    <definedName name="IQ_AFS_SECURITIES_TIER_1_FFIEC" hidden="1">"c13343"</definedName>
    <definedName name="IQ_AFTER_TAX_INCOME_FDIC" hidden="1">"c6583"</definedName>
    <definedName name="IQ_AG_PROD_FARM_LOANS_DOM_QUARTERLY_AVG_FFIEC" hidden="1">"c15477"</definedName>
    <definedName name="IQ_AGENCY" hidden="1">"c8960"</definedName>
    <definedName name="IQ_AGENCY_INVEST_SECURITIES_FFIEC" hidden="1">"c13458"</definedName>
    <definedName name="IQ_AGG_BANK_OVER_TOTAL" hidden="1">"c24684"</definedName>
    <definedName name="IQ_AGG_BANK_SHARES" hidden="1">"c24686"</definedName>
    <definedName name="IQ_AGG_BANK_VALUE" hidden="1">"c24685"</definedName>
    <definedName name="IQ_AGG_COMPANY_FOUNDATION_OVER_TOTAL" hidden="1">"c13769"</definedName>
    <definedName name="IQ_AGG_COMPANY_FOUNDATION_SHARES" hidden="1">"c13783"</definedName>
    <definedName name="IQ_AGG_COMPANY_FOUNDATION_VALUE" hidden="1">"c13776"</definedName>
    <definedName name="IQ_AGG_CORPORATE_OVER_TOTAL" hidden="1">"c13767"</definedName>
    <definedName name="IQ_AGG_CORPORATE_SHARES" hidden="1">"c13781"</definedName>
    <definedName name="IQ_AGG_CORPORATE_VALUE" hidden="1">"c13774"</definedName>
    <definedName name="IQ_AGG_ENDOWMENT_OVER_TOTAL" hidden="1">"c24678"</definedName>
    <definedName name="IQ_AGG_ENDOWMENT_SHARES" hidden="1">"c24680"</definedName>
    <definedName name="IQ_AGG_ENDOWMENT_VALUE" hidden="1">"c24679"</definedName>
    <definedName name="IQ_AGG_ESOP_OVER_TOTAL" hidden="1">"c13768"</definedName>
    <definedName name="IQ_AGG_ESOP_SHARES" hidden="1">"c13782"</definedName>
    <definedName name="IQ_AGG_ESOP_VALUE" hidden="1">"c13775"</definedName>
    <definedName name="IQ_AGG_FAMILY_OVER_TOTAL" hidden="1">"c24687"</definedName>
    <definedName name="IQ_AGG_FAMILY_SHARES" hidden="1">"c24689"</definedName>
    <definedName name="IQ_AGG_FAMILY_VALUE" hidden="1">"c24688"</definedName>
    <definedName name="IQ_AGG_FOUNDATION_SHARES" hidden="1">"c13783"</definedName>
    <definedName name="IQ_AGG_FOUNDATION_VALUE" hidden="1">"c13776"</definedName>
    <definedName name="IQ_AGG_HEDGEFUND_OVER_TOTAL" hidden="1">"c13771"</definedName>
    <definedName name="IQ_AGG_HEDGEFUND_SHARES" hidden="1">"c13785"</definedName>
    <definedName name="IQ_AGG_HEDGEFUND_VALUE" hidden="1">"c13778"</definedName>
    <definedName name="IQ_AGG_INSIDER_OVER_TOTAL" hidden="1">"c1581"</definedName>
    <definedName name="IQ_AGG_INSIDER_SHARES" hidden="1">"c13780"</definedName>
    <definedName name="IQ_AGG_INSIDER_VALUE" hidden="1">"c13773"</definedName>
    <definedName name="IQ_AGG_INSTITUTION_HEDGEFUND_OVER_TOTAL" hidden="1">"c24711"</definedName>
    <definedName name="IQ_AGG_INSTITUTION_HEDGEFUND_SHARES" hidden="1">"c24713"</definedName>
    <definedName name="IQ_AGG_INSTITUTION_HEDGEFUND_VALUE" hidden="1">"c24712"</definedName>
    <definedName name="IQ_AGG_INSTITUTION_SOVEREIGN_OVER_TOTAL" hidden="1">"c24717"</definedName>
    <definedName name="IQ_AGG_INSTITUTION_SOVEREIGN_SHARES" hidden="1">"c24719"</definedName>
    <definedName name="IQ_AGG_INSTITUTION_SOVEREIGN_VALUE" hidden="1">"c24718"</definedName>
    <definedName name="IQ_AGG_INSTITUTION_UNCLASSIFIED_OVER_TOTAL" hidden="1">"c24696"</definedName>
    <definedName name="IQ_AGG_INSTITUTION_UNCLASSIFIED_SHARES" hidden="1">"c24698"</definedName>
    <definedName name="IQ_AGG_INSTITUTION_UNCLASSIFIED_VALUE" hidden="1">"c24697"</definedName>
    <definedName name="IQ_AGG_INSTITUTION_VC_PE_OVER_TOTAL" hidden="1">"c24714"</definedName>
    <definedName name="IQ_AGG_INSTITUTION_VC_PE_SHARES" hidden="1">"c24716"</definedName>
    <definedName name="IQ_AGG_INSTITUTION_VC_PE_VALUE" hidden="1">"c24715"</definedName>
    <definedName name="IQ_AGG_INSTITUTIONAL_OVER_TOTAL" hidden="1">"c1580"</definedName>
    <definedName name="IQ_AGG_INSTITUTIONAL_SHARES" hidden="1">"c13779"</definedName>
    <definedName name="IQ_AGG_INSTITUTIONAL_VALUE" hidden="1">"c13772"</definedName>
    <definedName name="IQ_AGG_INSURANCE_OVER_TOTAL" hidden="1">"c24681"</definedName>
    <definedName name="IQ_AGG_INSURANCE_SHARES" hidden="1">"c24683"</definedName>
    <definedName name="IQ_AGG_INSURANCE_VALUE" hidden="1">"c24682"</definedName>
    <definedName name="IQ_AGG_MONEY_MANAGERS_OVER_TOTAL" hidden="1">"c24669"</definedName>
    <definedName name="IQ_AGG_MONEY_MANAGERS_SHARES" hidden="1">"c24671"</definedName>
    <definedName name="IQ_AGG_MONEY_MANAGERS_VALUE" hidden="1">"c24670"</definedName>
    <definedName name="IQ_AGG_OTHER_OVER_TOTAL" hidden="1">"c13770"</definedName>
    <definedName name="IQ_AGG_OTHER_SHARES" hidden="1">"c13784"</definedName>
    <definedName name="IQ_AGG_OTHER_VALUE" hidden="1">"c13777"</definedName>
    <definedName name="IQ_AGG_PENSION_OVER_TOTAL" hidden="1">"c24675"</definedName>
    <definedName name="IQ_AGG_PENSION_SHARES" hidden="1">"c24677"</definedName>
    <definedName name="IQ_AGG_PENSION_VALUE" hidden="1">"c24676"</definedName>
    <definedName name="IQ_AGG_SOVEREIGN_OVER_TOTAL" hidden="1">"c24690"</definedName>
    <definedName name="IQ_AGG_SOVEREIGN_SHARES" hidden="1">"c24692"</definedName>
    <definedName name="IQ_AGG_SOVEREIGN_VALUE" hidden="1">"c24691"</definedName>
    <definedName name="IQ_AGG_STATE_OVER_TOTAL" hidden="1">"c24705"</definedName>
    <definedName name="IQ_AGG_STATE_SHARES" hidden="1">"c24707"</definedName>
    <definedName name="IQ_AGG_STATE_VALUE" hidden="1">"c24706"</definedName>
    <definedName name="IQ_AGG_STRATEGIC_CORP_PRIVATE_OVER_TOTAL" hidden="1">"c24702"</definedName>
    <definedName name="IQ_AGG_STRATEGIC_CORP_PRIVATE_SHARES" hidden="1">"c24704"</definedName>
    <definedName name="IQ_AGG_STRATEGIC_CORP_PRIVATE_VALUE" hidden="1">"c24703"</definedName>
    <definedName name="IQ_AGG_STRATEGIC_CORP_PUBLIC_OVER_TOTAL" hidden="1">"c24699"</definedName>
    <definedName name="IQ_AGG_STRATEGIC_CORP_PUBLIC_SHARES" hidden="1">"c24701"</definedName>
    <definedName name="IQ_AGG_STRATEGIC_CORP_PUBLIC_VALUE" hidden="1">"c24700"</definedName>
    <definedName name="IQ_AGG_STRATEGIC_HEDGEFUND_OVER_TOTAL" hidden="1">"c24726"</definedName>
    <definedName name="IQ_AGG_STRATEGIC_HEDGEFUND_SHARES" hidden="1">"c24728"</definedName>
    <definedName name="IQ_AGG_STRATEGIC_HEDGEFUND_VALUE" hidden="1">"c24727"</definedName>
    <definedName name="IQ_AGG_STRATEGIC_OVER_TOTAL" hidden="1">"c24708"</definedName>
    <definedName name="IQ_AGG_STRATEGIC_SHARES" hidden="1">"c24710"</definedName>
    <definedName name="IQ_AGG_STRATEGIC_SWF_OVER_TOTAL" hidden="1">"c24723"</definedName>
    <definedName name="IQ_AGG_STRATEGIC_SWF_SHARES" hidden="1">"c24725"</definedName>
    <definedName name="IQ_AGG_STRATEGIC_SWF_VALUE" hidden="1">"c24724"</definedName>
    <definedName name="IQ_AGG_STRATEGIC_VALUE" hidden="1">"c24709"</definedName>
    <definedName name="IQ_AGG_STRATEGIC_VC_PE_OVER_TOTAL" hidden="1">"c24720"</definedName>
    <definedName name="IQ_AGG_STRATEGIC_VC_PE_SHARES" hidden="1">"c24722"</definedName>
    <definedName name="IQ_AGG_STRATEGIC_VC_PE_VALUE" hidden="1">"c24721"</definedName>
    <definedName name="IQ_AGG_VC_PE_OVER_TOTAL" hidden="1">"c24672"</definedName>
    <definedName name="IQ_AGG_VC_PE_SHARES" hidden="1">"c24674"</definedName>
    <definedName name="IQ_AGG_VC_PE_VALUE" hidden="1">"c24673"</definedName>
    <definedName name="IQ_AGRICULTURAL_GROSS_LOANS_FFIEC" hidden="1">"c13413"</definedName>
    <definedName name="IQ_AGRICULTURAL_LOANS_FOREIGN_FFIEC" hidden="1">"c13481"</definedName>
    <definedName name="IQ_AGRICULTURAL_PRODUCTION_CHARGE_OFFS_FDIC" hidden="1">"c6597"</definedName>
    <definedName name="IQ_AGRICULTURAL_PRODUCTION_CHARGE_OFFS_LESS_THAN_300M_FDIC" hidden="1">"c6655"</definedName>
    <definedName name="IQ_AGRICULTURAL_PRODUCTION_NET_CHARGE_OFFS_FDIC" hidden="1">"c6635"</definedName>
    <definedName name="IQ_AGRICULTURAL_PRODUCTION_NET_CHARGE_OFFS_LESS_THAN_300M_FDIC" hidden="1">"c6657"</definedName>
    <definedName name="IQ_AGRICULTURAL_PRODUCTION_RECOVERIES_FDIC" hidden="1">"c6616"</definedName>
    <definedName name="IQ_AGRICULTURAL_PRODUCTION_RECOVERIES_LESS_THAN_300M_FDIC" hidden="1">"c6656"</definedName>
    <definedName name="IQ_AGRICULTURAL_RISK_BASED_FFIEC" hidden="1">"c13434"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AVG_PSGR_FARE" hidden="1">"c10029"</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NUMBER_HRS_FLOWN" hidden="1">"c10037"</definedName>
    <definedName name="IQ_AIR_NUMBER_OPERATING_AIRCRAFT_AVG" hidden="1">"c10035"</definedName>
    <definedName name="IQ_AIR_NUMBER_TRIPS_FLOWN" hidden="1">"c10030"</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EX_PER_ASK_EXCL_FUEL" hidden="1">"c10034"</definedName>
    <definedName name="IQ_AIR_OPEX_PER_ASM_EXCL_FUEL" hidden="1">"c10033"</definedName>
    <definedName name="IQ_AIR_OPTIONS" hidden="1">"c2837"</definedName>
    <definedName name="IQ_AIR_ORDERS" hidden="1">"c2836"</definedName>
    <definedName name="IQ_AIR_OWNED" hidden="1">"c2832"</definedName>
    <definedName name="IQ_AIR_PERCENTAGE_SALES_VIA_INTERNET" hidden="1">"c10036"</definedName>
    <definedName name="IQ_AIR_PSGR_HAUL_AVG_LENGTH_KM" hidden="1">"c10032"</definedName>
    <definedName name="IQ_AIR_PSGR_HAUL_AVG_LENGTH_MILES" hidden="1">"c10031"</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IRCRAFT_RENT" hidden="1">"c17872"</definedName>
    <definedName name="IQ_ALL_OTHER_DEPOSITS_FOREIGN_DEP_FFIEC" hidden="1">"c15347"</definedName>
    <definedName name="IQ_ALL_OTHER_INVEST_UNCONSOL_SUBS_FFIEC" hidden="1">"c15275"</definedName>
    <definedName name="IQ_ALL_OTHER_LEASES_CHARGE_OFFS_FFIEC" hidden="1">"c13185"</definedName>
    <definedName name="IQ_ALL_OTHER_LEASES_RECOV_FFIEC" hidden="1">"c13207"</definedName>
    <definedName name="IQ_ALL_OTHER_LOANS_CHARGE_OFFS_FFIEC" hidden="1">"c13183"</definedName>
    <definedName name="IQ_ALL_OTHER_LOANS_RECOV_FFIEC" hidden="1">"c13205"</definedName>
    <definedName name="IQ_ALL_OTHER_TRADING_LIABILITIES_DOM_FFIEC" hidden="1">"c12942"</definedName>
    <definedName name="IQ_ALLOW_BORROW_CONST" hidden="1">"c15"</definedName>
    <definedName name="IQ_ALLOW_CONST" hidden="1">"c16"</definedName>
    <definedName name="IQ_ALLOW_DOUBT_ACCT" hidden="1">"c2092"</definedName>
    <definedName name="IQ_ALLOW_EQUITY_CONST" hidden="1">"c16"</definedName>
    <definedName name="IQ_ALLOW_LL" hidden="1">"c17"</definedName>
    <definedName name="IQ_ALLOW_LL_LOSSES_FFIEC" hidden="1">"c12810"</definedName>
    <definedName name="IQ_ALLOWABLE_T2_CAPITAL_FFIEC" hidden="1">"c13150"</definedName>
    <definedName name="IQ_ALLOWANCE_10YR_ANN_CAGR" hidden="1">"c6035"</definedName>
    <definedName name="IQ_ALLOWANCE_10YR_ANN_GROWTH" hidden="1">"c18"</definedName>
    <definedName name="IQ_ALLOWANCE_1YR_ANN_GROWTH" hidden="1">"c19"</definedName>
    <definedName name="IQ_ALLOWANCE_2YR_ANN_CAGR" hidden="1">"c6036"</definedName>
    <definedName name="IQ_ALLOWANCE_2YR_ANN_GROWTH" hidden="1">"c20"</definedName>
    <definedName name="IQ_ALLOWANCE_3YR_ANN_CAGR" hidden="1">"c6037"</definedName>
    <definedName name="IQ_ALLOWANCE_3YR_ANN_GROWTH" hidden="1">"c21"</definedName>
    <definedName name="IQ_ALLOWANCE_5YR_ANN_CAGR" hidden="1">"c6038"</definedName>
    <definedName name="IQ_ALLOWANCE_5YR_ANN_GROWTH" hidden="1">"c22"</definedName>
    <definedName name="IQ_ALLOWANCE_7YR_ANN_CAGR" hidden="1">"c6039"</definedName>
    <definedName name="IQ_ALLOWANCE_7YR_ANN_GROWTH" hidden="1">"c23"</definedName>
    <definedName name="IQ_ALLOWANCE_CHARGE_OFFS" hidden="1">"c24"</definedName>
    <definedName name="IQ_ALLOWANCE_CREDIT_LOSSES_OFF_BS_FFIEC" hidden="1">"c12871"</definedName>
    <definedName name="IQ_ALLOWANCE_LL_LOSSES_T2_FFIEC" hidden="1">"c13146"</definedName>
    <definedName name="IQ_ALLOWANCE_NON_PERF_LOANS" hidden="1">"c25"</definedName>
    <definedName name="IQ_ALLOWANCE_TOTAL_LOANS" hidden="1">"c26"</definedName>
    <definedName name="IQ_AMENDED_BALANCE_PREVIOUS_YR_FDIC" hidden="1">"c6499"</definedName>
    <definedName name="IQ_AMORT_EXP_IMPAIRMENT_OTHER_INTANGIBLE_ASSETS_FFIEC" hidden="1">"c13026"</definedName>
    <definedName name="IQ_AMORT_EXPENSE_FDIC" hidden="1">"c6677"</definedName>
    <definedName name="IQ_AMORTIZATION" hidden="1">"c1471"</definedName>
    <definedName name="IQ_AMORTIZED_COST_FDIC" hidden="1">"c6426"</definedName>
    <definedName name="IQ_AMOUNT_FINANCIAL_LOC_CONVEYED_FFIEC" hidden="1">"c13250"</definedName>
    <definedName name="IQ_AMOUNT_PERFORMANCE_LOC_CONVEYED_FFIEC" hidden="1">"c13252"</definedName>
    <definedName name="IQ_AMT_OUT" hidden="1">"c2145"</definedName>
    <definedName name="IQ_ANALYST_DET_EST" hidden="1">"c12043"</definedName>
    <definedName name="IQ_ANALYST_DET_EST_THOM" hidden="1">"c12071"</definedName>
    <definedName name="IQ_ANALYST_EMAIL" hidden="1">"c13738"</definedName>
    <definedName name="IQ_ANALYST_NAME" hidden="1">"c13736"</definedName>
    <definedName name="IQ_ANALYST_NON_PER_DET_EST" hidden="1">"c12755"</definedName>
    <definedName name="IQ_ANALYST_NON_PER_DET_EST_THOM" hidden="1">"c12759"</definedName>
    <definedName name="IQ_ANALYST_PHONE" hidden="1">"c13737"</definedName>
    <definedName name="IQ_ANALYST_START_DATE" hidden="1">"c13740"</definedName>
    <definedName name="IQ_ANNU_DISTRIBUTION_UNIT" hidden="1">"c3004"</definedName>
    <definedName name="IQ_ANNUAL_DIVIDEND" hidden="1">"c229"</definedName>
    <definedName name="IQ_ANNUAL_PREMIUM_EQUIVALENT_NEW_BUSINESS" hidden="1">"c9972"</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NNUITY_SALES_FEES_COMMISSIONS_FFIEC" hidden="1">"c13007"</definedName>
    <definedName name="IQ_AP" hidden="1">"c32"</definedName>
    <definedName name="IQ_AP_BNK" hidden="1">"c33"</definedName>
    <definedName name="IQ_AP_BR" hidden="1">"c34"</definedName>
    <definedName name="IQ_AP_CM" hidden="1">"c34"</definedName>
    <definedName name="IQ_AP_FIN" hidden="1">"c35"</definedName>
    <definedName name="IQ_AP_INS" hidden="1">"c36"</definedName>
    <definedName name="IQ_AP_RE" hidden="1">"c6196"</definedName>
    <definedName name="IQ_AP_REIT" hidden="1">"c37"</definedName>
    <definedName name="IQ_AP_UTI" hidden="1">"c38"</definedName>
    <definedName name="IQ_APIC" hidden="1">"c39"</definedName>
    <definedName name="IQ_APPLICABLE_INCOME_TAXES_FTE_FFIEC" hidden="1">"c13853"</definedName>
    <definedName name="IQ_AR" hidden="1">"c40"</definedName>
    <definedName name="IQ_AR_BR" hidden="1">"c41"</definedName>
    <definedName name="IQ_AR_CM" hidden="1">"c41"</definedName>
    <definedName name="IQ_AR_LT" hidden="1">"c42"</definedName>
    <definedName name="IQ_AR_RE" hidden="1">"c6197"</definedName>
    <definedName name="IQ_AR_REIT" hidden="1">"c43"</definedName>
    <definedName name="IQ_AR_TURNS" hidden="1">"c44"</definedName>
    <definedName name="IQ_AR_UTI" hidden="1">"c45"</definedName>
    <definedName name="IQ_ARPU" hidden="1">"c2126"</definedName>
    <definedName name="IQ_ARPU_ANALOG_CABLE" hidden="1">"c2864"</definedName>
    <definedName name="IQ_ARPU_BASIC_CABLE" hidden="1">"c2866"</definedName>
    <definedName name="IQ_ARPU_BBAND" hidden="1">"c2867"</definedName>
    <definedName name="IQ_ARPU_DIG_CABLE" hidden="1">"c2865"</definedName>
    <definedName name="IQ_ARPU_PHONE" hidden="1">"c2868"</definedName>
    <definedName name="IQ_ARPU_POSTPAID_WIRELESS" hidden="1">"c15758"</definedName>
    <definedName name="IQ_ARPU_PREPAID_WIRELESS" hidden="1">"c15759"</definedName>
    <definedName name="IQ_ARPU_RETAIL_WIRELESS" hidden="1">"c15760"</definedName>
    <definedName name="IQ_ARPU_SATELLITE" hidden="1">"c15790"</definedName>
    <definedName name="IQ_ARPU_TOTAL" hidden="1">"c2869"</definedName>
    <definedName name="IQ_ARPU_WHOLESALE_WIRELESS" hidden="1">"c15761"</definedName>
    <definedName name="IQ_ARPU_WIRELESS" hidden="1">"c2126"</definedName>
    <definedName name="IQ_ASSET_BACKED_FDIC" hidden="1">"c6301"</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CM" hidden="1">"c53"</definedName>
    <definedName name="IQ_ASSET_WRITEDOWN_CF_FIN" hidden="1">"c54"</definedName>
    <definedName name="IQ_ASSET_WRITEDOWN_CF_INS" hidden="1">"c55"</definedName>
    <definedName name="IQ_ASSET_WRITEDOWN_CF_RE" hidden="1">"c6198"</definedName>
    <definedName name="IQ_ASSET_WRITEDOWN_CF_REIT" hidden="1">"c56"</definedName>
    <definedName name="IQ_ASSET_WRITEDOWN_CF_UTI" hidden="1">"c57"</definedName>
    <definedName name="IQ_ASSET_WRITEDOWN_CM" hidden="1">"c50"</definedName>
    <definedName name="IQ_ASSET_WRITEDOWN_FIN" hidden="1">"c58"</definedName>
    <definedName name="IQ_ASSET_WRITEDOWN_INS" hidden="1">"c59"</definedName>
    <definedName name="IQ_ASSET_WRITEDOWN_RE" hidden="1">"c6199"</definedName>
    <definedName name="IQ_ASSET_WRITEDOWN_REIT" hidden="1">"c60"</definedName>
    <definedName name="IQ_ASSET_WRITEDOWN_SUPPLE" hidden="1">"c13812"</definedName>
    <definedName name="IQ_ASSET_WRITEDOWN_UTI" hidden="1">"c61"</definedName>
    <definedName name="IQ_ASSETS_AP" hidden="1">"c8883"</definedName>
    <definedName name="IQ_ASSETS_AP_ABS" hidden="1">"c8902"</definedName>
    <definedName name="IQ_ASSETS_CAP_LEASE_DEPR" hidden="1">"c2068"</definedName>
    <definedName name="IQ_ASSETS_CAP_LEASE_GROSS" hidden="1">"c2069"</definedName>
    <definedName name="IQ_ASSETS_FAIR_VALUE" hidden="1">"c13843"</definedName>
    <definedName name="IQ_ASSETS_HELD_FDIC" hidden="1">"c6305"</definedName>
    <definedName name="IQ_ASSETS_LEVEL_1" hidden="1">"c13839"</definedName>
    <definedName name="IQ_ASSETS_LEVEL_2" hidden="1">"c13840"</definedName>
    <definedName name="IQ_ASSETS_LEVEL_3" hidden="1">"c13841"</definedName>
    <definedName name="IQ_ASSETS_NAME_AP" hidden="1">"c8921"</definedName>
    <definedName name="IQ_ASSETS_NAME_AP_ABS" hidden="1">"c8940"</definedName>
    <definedName name="IQ_ASSETS_NETTING_OTHER_ADJUSTMENTS" hidden="1">"c13842"</definedName>
    <definedName name="IQ_ASSETS_OPER_LEASE_DEPR" hidden="1">"c2070"</definedName>
    <definedName name="IQ_ASSETS_OPER_LEASE_GROSS" hidden="1">"c2071"</definedName>
    <definedName name="IQ_ASSETS_PER_EMPLOYEE_FDIC" hidden="1">"c6737"</definedName>
    <definedName name="IQ_ASSETS_REPRICE_ASSETS_TOT_FFIEC" hidden="1">"c13454"</definedName>
    <definedName name="IQ_ASSETS_SOLD_1_4_FAMILY_LOANS_FDIC" hidden="1">"c6686"</definedName>
    <definedName name="IQ_ASSETS_SOLD_AUTO_LOANS_FDIC" hidden="1">"c6680"</definedName>
    <definedName name="IQ_ASSETS_SOLD_CL_LOANS_FDIC" hidden="1">"c6681"</definedName>
    <definedName name="IQ_ASSETS_SOLD_CREDIT_CARDS_RECEIVABLES_FDIC" hidden="1">"c6683"</definedName>
    <definedName name="IQ_ASSETS_SOLD_HOME_EQUITY_LINES_FDIC" hidden="1">"c6684"</definedName>
    <definedName name="IQ_ASSETS_SOLD_OTHER_CONSUMER_LOANS_FDIC" hidden="1">"c6682"</definedName>
    <definedName name="IQ_ASSETS_SOLD_OTHER_LOANS_FDIC" hidden="1">"c6685"</definedName>
    <definedName name="IQ_ASSIGNED_RESERVES_COAL" hidden="1">"c15912"</definedName>
    <definedName name="IQ_ASSIGNED_RESERVES_TO_TOTAL_RESERVES_COAL" hidden="1">"c15955"</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LOSSES" hidden="1">"c15870"</definedName>
    <definedName name="IQ_ASSUMED_PC_EARNED" hidden="1">"c2746"</definedName>
    <definedName name="IQ_ASSUMED_PREMIUMS_EARNED_GROSS_PREMIUMS_EARNED" hidden="1">"c15886"</definedName>
    <definedName name="IQ_ASSUMED_PREMIUMS_WRITTEN_GROSS_PREMIUMS_WRITTEN" hidden="1">"c15884"</definedName>
    <definedName name="IQ_ASSUMED_WRITTEN" hidden="1">"c2725"</definedName>
    <definedName name="IQ_ATM_FEES_FFIEC" hidden="1">"c13042"</definedName>
    <definedName name="IQ_ATM_INTERCHANGE_EXPENSES_FFIEC" hidden="1">"c13056"</definedName>
    <definedName name="IQ_AUDITOR_NAME" hidden="1">"c1539"</definedName>
    <definedName name="IQ_AUDITOR_OPINION" hidden="1">"c1540"</definedName>
    <definedName name="IQ_AUM" hidden="1">"c10043"</definedName>
    <definedName name="IQ_AUM_EQUITY_FUNDS" hidden="1">"c10039"</definedName>
    <definedName name="IQ_AUM_FIXED_INCOME_FUNDS" hidden="1">"c10040"</definedName>
    <definedName name="IQ_AUM_MONEY_MARKET_FUNDS" hidden="1">"c10041"</definedName>
    <definedName name="IQ_AUM_OTHER" hidden="1">"c10042"</definedName>
    <definedName name="IQ_AUTO_LOANS_TOTAL_LOANS" hidden="1">"c15713"</definedName>
    <definedName name="IQ_AUTO_REGIST_NEW" hidden="1">"c6923"</definedName>
    <definedName name="IQ_AUTO_REGIST_NEW_APR" hidden="1">"c7583"</definedName>
    <definedName name="IQ_AUTO_REGIST_NEW_APR_FC" hidden="1">"c8463"</definedName>
    <definedName name="IQ_AUTO_REGIST_NEW_FC" hidden="1">"c7803"</definedName>
    <definedName name="IQ_AUTO_REGIST_NEW_POP" hidden="1">"c7143"</definedName>
    <definedName name="IQ_AUTO_REGIST_NEW_POP_FC" hidden="1">"c8023"</definedName>
    <definedName name="IQ_AUTO_REGIST_NEW_YOY" hidden="1">"c7363"</definedName>
    <definedName name="IQ_AUTO_REGIST_NEW_YOY_FC" hidden="1">"c8243"</definedName>
    <definedName name="IQ_AUTO_SALES_DOM" hidden="1">"c6852"</definedName>
    <definedName name="IQ_AUTO_SALES_DOM_APR" hidden="1">"c7512"</definedName>
    <definedName name="IQ_AUTO_SALES_DOM_APR_FC" hidden="1">"c8392"</definedName>
    <definedName name="IQ_AUTO_SALES_DOM_FC" hidden="1">"c7732"</definedName>
    <definedName name="IQ_AUTO_SALES_DOM_POP" hidden="1">"c7072"</definedName>
    <definedName name="IQ_AUTO_SALES_DOM_POP_FC" hidden="1">"c7952"</definedName>
    <definedName name="IQ_AUTO_SALES_DOM_YOY" hidden="1">"c7292"</definedName>
    <definedName name="IQ_AUTO_SALES_DOM_YOY_FC" hidden="1">"c8172"</definedName>
    <definedName name="IQ_AUTO_SALES_FOREIGN" hidden="1">"c6873"</definedName>
    <definedName name="IQ_AUTO_SALES_FOREIGN_APR" hidden="1">"c7533"</definedName>
    <definedName name="IQ_AUTO_SALES_FOREIGN_APR_FC" hidden="1">"c8413"</definedName>
    <definedName name="IQ_AUTO_SALES_FOREIGN_FC" hidden="1">"c7753"</definedName>
    <definedName name="IQ_AUTO_SALES_FOREIGN_POP" hidden="1">"c7093"</definedName>
    <definedName name="IQ_AUTO_SALES_FOREIGN_POP_FC" hidden="1">"c7973"</definedName>
    <definedName name="IQ_AUTO_SALES_FOREIGN_YOY" hidden="1">"c7313"</definedName>
    <definedName name="IQ_AUTO_SALES_FOREIGN_YOY_FC" hidden="1">"c8193"</definedName>
    <definedName name="IQ_AUTO_WRITTEN" hidden="1">"c62"</definedName>
    <definedName name="IQ_AVAIL_FOR_SALE_FAIR_VALUE_TOT_FFIEC" hidden="1">"c15399"</definedName>
    <definedName name="IQ_AVAIL_FOR_SALE_LEVEL_1_FFIEC" hidden="1">"c15421"</definedName>
    <definedName name="IQ_AVAIL_FOR_SALE_LEVEL_2_FFIEC" hidden="1">"c15434"</definedName>
    <definedName name="IQ_AVAIL_FOR_SALE_LEVEL_3_FFIEC" hidden="1">"c15447"</definedName>
    <definedName name="IQ_AVAILABLE_FOR_SALE_FDIC" hidden="1">"c6409"</definedName>
    <definedName name="IQ_AVAILABLE_SALE_SEC_FFIEC" hidden="1">"c12791"</definedName>
    <definedName name="IQ_AVERAGE_ASSETS_FDIC" hidden="1">"c6362"</definedName>
    <definedName name="IQ_AVERAGE_ASSETS_QUART_FDIC" hidden="1">"c6363"</definedName>
    <definedName name="IQ_AVERAGE_DEPOSITS" hidden="1">"c15256"</definedName>
    <definedName name="IQ_AVERAGE_EARNING_ASSETS_FDIC" hidden="1">"c6748"</definedName>
    <definedName name="IQ_AVERAGE_EQUITY_FDIC" hidden="1">"c6749"</definedName>
    <definedName name="IQ_AVERAGE_INTEREST_BEARING_DEPOSITS" hidden="1">"c15254"</definedName>
    <definedName name="IQ_AVERAGE_LOANS_FDIC" hidden="1">"c6750"</definedName>
    <definedName name="IQ_AVERAGE_LOANS_HFI" hidden="1">"c15251"</definedName>
    <definedName name="IQ_AVERAGE_LOANS_HFS" hidden="1">"c15252"</definedName>
    <definedName name="IQ_AVERAGE_NON_INTEREST_BEARING_DEPOSITS" hidden="1">"c15255"</definedName>
    <definedName name="IQ_AVG_BANK_ASSETS" hidden="1">"c2072"</definedName>
    <definedName name="IQ_AVG_BANK_LOANS" hidden="1">"c2073"</definedName>
    <definedName name="IQ_AVG_BROKER_REC" hidden="1">"c63"</definedName>
    <definedName name="IQ_AVG_BROKER_REC_CIQ" hidden="1">"c3612"</definedName>
    <definedName name="IQ_AVG_BROKER_REC_NO" hidden="1">"c64"</definedName>
    <definedName name="IQ_AVG_BROKER_REC_NO_CIQ" hidden="1">"c4657"</definedName>
    <definedName name="IQ_AVG_BROKER_REC_NO_REUT" hidden="1">"c5315"</definedName>
    <definedName name="IQ_AVG_BROKER_REC_NO_THOM" hidden="1">"c5094"</definedName>
    <definedName name="IQ_AVG_BROKER_REC_REUT" hidden="1">"c3630"</definedName>
    <definedName name="IQ_AVG_BROKER_REC_THOM" hidden="1">"c3648"</definedName>
    <definedName name="IQ_AVG_CALORIFIC_VALUE_COAL" hidden="1">"c9828"</definedName>
    <definedName name="IQ_AVG_CALORIFIC_VALUE_MET_COAL" hidden="1">"c9764"</definedName>
    <definedName name="IQ_AVG_CALORIFIC_VALUE_STEAM" hidden="1">"c9794"</definedName>
    <definedName name="IQ_AVG_DAILY_VOL" hidden="1">"c65"</definedName>
    <definedName name="IQ_AVG_EMPLOYEES" hidden="1">"c6019"</definedName>
    <definedName name="IQ_AVG_GRADE_ALUM" hidden="1">"c9254"</definedName>
    <definedName name="IQ_AVG_GRADE_COP" hidden="1">"c9201"</definedName>
    <definedName name="IQ_AVG_GRADE_DIAM" hidden="1">"c9678"</definedName>
    <definedName name="IQ_AVG_GRADE_GOLD" hidden="1">"c9039"</definedName>
    <definedName name="IQ_AVG_GRADE_IRON" hidden="1">"c9413"</definedName>
    <definedName name="IQ_AVG_GRADE_LEAD" hidden="1">"c9466"</definedName>
    <definedName name="IQ_AVG_GRADE_MANG" hidden="1">"c9519"</definedName>
    <definedName name="IQ_AVG_GRADE_MOLYB" hidden="1">"c9731"</definedName>
    <definedName name="IQ_AVG_GRADE_NICK" hidden="1">"c9307"</definedName>
    <definedName name="IQ_AVG_GRADE_PLAT" hidden="1">"c9145"</definedName>
    <definedName name="IQ_AVG_GRADE_SILVER" hidden="1">"c9092"</definedName>
    <definedName name="IQ_AVG_GRADE_TITAN" hidden="1">"c9572"</definedName>
    <definedName name="IQ_AVG_GRADE_URAN" hidden="1">"c9625"</definedName>
    <definedName name="IQ_AVG_GRADE_ZINC" hidden="1">"c9360"</definedName>
    <definedName name="IQ_AVG_INDUSTRY_REC" hidden="1">"c4455"</definedName>
    <definedName name="IQ_AVG_INDUSTRY_REC_CIQ" hidden="1">"c4984"</definedName>
    <definedName name="IQ_AVG_INDUSTRY_REC_CIQ_COL" hidden="1">"c11631"</definedName>
    <definedName name="IQ_AVG_INDUSTRY_REC_NO" hidden="1">"c4454"</definedName>
    <definedName name="IQ_AVG_INDUSTRY_REC_NO_CIQ" hidden="1">"c4983"</definedName>
    <definedName name="IQ_AVG_INDUSTRY_REC_NO_CIQ_COL" hidden="1">"c11630"</definedName>
    <definedName name="IQ_AVG_INT_BEAR_LIAB" hidden="1">"c66"</definedName>
    <definedName name="IQ_AVG_INT_BEAR_LIAB_10YR_ANN_CAGR" hidden="1">"c6040"</definedName>
    <definedName name="IQ_AVG_INT_BEAR_LIAB_10YR_ANN_GROWTH" hidden="1">"c67"</definedName>
    <definedName name="IQ_AVG_INT_BEAR_LIAB_1YR_ANN_GROWTH" hidden="1">"c68"</definedName>
    <definedName name="IQ_AVG_INT_BEAR_LIAB_2YR_ANN_CAGR" hidden="1">"c6041"</definedName>
    <definedName name="IQ_AVG_INT_BEAR_LIAB_2YR_ANN_GROWTH" hidden="1">"c69"</definedName>
    <definedName name="IQ_AVG_INT_BEAR_LIAB_3YR_ANN_CAGR" hidden="1">"c6042"</definedName>
    <definedName name="IQ_AVG_INT_BEAR_LIAB_3YR_ANN_GROWTH" hidden="1">"c70"</definedName>
    <definedName name="IQ_AVG_INT_BEAR_LIAB_5YR_ANN_CAGR" hidden="1">"c6043"</definedName>
    <definedName name="IQ_AVG_INT_BEAR_LIAB_5YR_ANN_GROWTH" hidden="1">"c71"</definedName>
    <definedName name="IQ_AVG_INT_BEAR_LIAB_7YR_ANN_CAGR" hidden="1">"c6044"</definedName>
    <definedName name="IQ_AVG_INT_BEAR_LIAB_7YR_ANN_GROWTH" hidden="1">"c72"</definedName>
    <definedName name="IQ_AVG_INT_EARN_ASSETS" hidden="1">"c73"</definedName>
    <definedName name="IQ_AVG_INT_EARN_ASSETS_10YR_ANN_CAGR" hidden="1">"c6045"</definedName>
    <definedName name="IQ_AVG_INT_EARN_ASSETS_10YR_ANN_GROWTH" hidden="1">"c74"</definedName>
    <definedName name="IQ_AVG_INT_EARN_ASSETS_1YR_ANN_GROWTH" hidden="1">"c75"</definedName>
    <definedName name="IQ_AVG_INT_EARN_ASSETS_2YR_ANN_CAGR" hidden="1">"c6046"</definedName>
    <definedName name="IQ_AVG_INT_EARN_ASSETS_2YR_ANN_GROWTH" hidden="1">"c76"</definedName>
    <definedName name="IQ_AVG_INT_EARN_ASSETS_3YR_ANN_CAGR" hidden="1">"c6047"</definedName>
    <definedName name="IQ_AVG_INT_EARN_ASSETS_3YR_ANN_GROWTH" hidden="1">"c77"</definedName>
    <definedName name="IQ_AVG_INT_EARN_ASSETS_5YR_ANN_CAGR" hidden="1">"c6048"</definedName>
    <definedName name="IQ_AVG_INT_EARN_ASSETS_5YR_ANN_GROWTH" hidden="1">"c78"</definedName>
    <definedName name="IQ_AVG_INT_EARN_ASSETS_7YR_ANN_CAGR" hidden="1">"c6049"</definedName>
    <definedName name="IQ_AVG_INT_EARN_ASSETS_7YR_ANN_GROWTH" hidden="1">"c79"</definedName>
    <definedName name="IQ_AVG_INV_HOMEBUILDING" hidden="1">"c15812"</definedName>
    <definedName name="IQ_AVG_INV_HOMES" hidden="1">"c15810"</definedName>
    <definedName name="IQ_AVG_INV_LAND_LOTS" hidden="1">"c15811"</definedName>
    <definedName name="IQ_AVG_MKTCAP" hidden="1">"c80"</definedName>
    <definedName name="IQ_AVG_PRICE" hidden="1">"c81"</definedName>
    <definedName name="IQ_AVG_PRICE_TARGET" hidden="1">"c82"</definedName>
    <definedName name="IQ_AVG_PRODUCTION_PER_MINE_ALUM" hidden="1">"c9249"</definedName>
    <definedName name="IQ_AVG_PRODUCTION_PER_MINE_COAL" hidden="1">"c9823"</definedName>
    <definedName name="IQ_AVG_PRODUCTION_PER_MINE_COP" hidden="1">"c9194"</definedName>
    <definedName name="IQ_AVG_PRODUCTION_PER_MINE_DIAM" hidden="1">"c9673"</definedName>
    <definedName name="IQ_AVG_PRODUCTION_PER_MINE_GOLD" hidden="1">"c9034"</definedName>
    <definedName name="IQ_AVG_PRODUCTION_PER_MINE_IRON" hidden="1">"c9408"</definedName>
    <definedName name="IQ_AVG_PRODUCTION_PER_MINE_LEAD" hidden="1">"c9461"</definedName>
    <definedName name="IQ_AVG_PRODUCTION_PER_MINE_MANG" hidden="1">"c9514"</definedName>
    <definedName name="IQ_AVG_PRODUCTION_PER_MINE_MOLYB" hidden="1">"c9726"</definedName>
    <definedName name="IQ_AVG_PRODUCTION_PER_MINE_NICK" hidden="1">"c9302"</definedName>
    <definedName name="IQ_AVG_PRODUCTION_PER_MINE_PLAT" hidden="1">"c9140"</definedName>
    <definedName name="IQ_AVG_PRODUCTION_PER_MINE_SILVER" hidden="1">"c9087"</definedName>
    <definedName name="IQ_AVG_PRODUCTION_PER_MINE_TITAN" hidden="1">"c9567"</definedName>
    <definedName name="IQ_AVG_PRODUCTION_PER_MINE_URAN" hidden="1">"c9620"</definedName>
    <definedName name="IQ_AVG_PRODUCTION_PER_MINE_ZINC" hidden="1">"c9355"</definedName>
    <definedName name="IQ_AVG_REAL_PRICE_POST_TREAT_REFINING_ALUM" hidden="1">"c9259"</definedName>
    <definedName name="IQ_AVG_REAL_PRICE_POST_TREAT_REFINING_COP" hidden="1">"c9206"</definedName>
    <definedName name="IQ_AVG_REAL_PRICE_POST_TREAT_REFINING_DIAM" hidden="1">"c9683"</definedName>
    <definedName name="IQ_AVG_REAL_PRICE_POST_TREAT_REFINING_GOLD" hidden="1">"c9044"</definedName>
    <definedName name="IQ_AVG_REAL_PRICE_POST_TREAT_REFINING_IRON" hidden="1">"c9418"</definedName>
    <definedName name="IQ_AVG_REAL_PRICE_POST_TREAT_REFINING_LEAD" hidden="1">"c9471"</definedName>
    <definedName name="IQ_AVG_REAL_PRICE_POST_TREAT_REFINING_MANG" hidden="1">"c9524"</definedName>
    <definedName name="IQ_AVG_REAL_PRICE_POST_TREAT_REFINING_MOLYB" hidden="1">"c9736"</definedName>
    <definedName name="IQ_AVG_REAL_PRICE_POST_TREAT_REFINING_NICK" hidden="1">"c9311"</definedName>
    <definedName name="IQ_AVG_REAL_PRICE_POST_TREAT_REFINING_PLAT" hidden="1">"c9150"</definedName>
    <definedName name="IQ_AVG_REAL_PRICE_POST_TREAT_REFINING_SILVER" hidden="1">"c9097"</definedName>
    <definedName name="IQ_AVG_REAL_PRICE_POST_TREAT_REFINING_TITAN" hidden="1">"c9577"</definedName>
    <definedName name="IQ_AVG_REAL_PRICE_POST_TREAT_REFINING_URAN" hidden="1">"c9630"</definedName>
    <definedName name="IQ_AVG_REAL_PRICE_POST_TREAT_REFINING_ZINC" hidden="1">"c9365"</definedName>
    <definedName name="IQ_AVG_REAL_PRICE_PRE_TREAT_REFINING_ALUM" hidden="1">"c9258"</definedName>
    <definedName name="IQ_AVG_REAL_PRICE_PRE_TREAT_REFINING_COP" hidden="1">"c9205"</definedName>
    <definedName name="IQ_AVG_REAL_PRICE_PRE_TREAT_REFINING_DIAM" hidden="1">"c9682"</definedName>
    <definedName name="IQ_AVG_REAL_PRICE_PRE_TREAT_REFINING_GOLD" hidden="1">"c9043"</definedName>
    <definedName name="IQ_AVG_REAL_PRICE_PRE_TREAT_REFINING_IRON" hidden="1">"c9417"</definedName>
    <definedName name="IQ_AVG_REAL_PRICE_PRE_TREAT_REFINING_LEAD" hidden="1">"c9470"</definedName>
    <definedName name="IQ_AVG_REAL_PRICE_PRE_TREAT_REFINING_MANG" hidden="1">"c9523"</definedName>
    <definedName name="IQ_AVG_REAL_PRICE_PRE_TREAT_REFINING_MOLYB" hidden="1">"c9735"</definedName>
    <definedName name="IQ_AVG_REAL_PRICE_PRE_TREAT_REFINING_NICK" hidden="1">"c9312"</definedName>
    <definedName name="IQ_AVG_REAL_PRICE_PRE_TREAT_REFINING_PLAT" hidden="1">"c9149"</definedName>
    <definedName name="IQ_AVG_REAL_PRICE_PRE_TREAT_REFINING_SILVER" hidden="1">"c9096"</definedName>
    <definedName name="IQ_AVG_REAL_PRICE_PRE_TREAT_REFINING_TITAN" hidden="1">"c9576"</definedName>
    <definedName name="IQ_AVG_REAL_PRICE_PRE_TREAT_REFINING_URAN" hidden="1">"c9629"</definedName>
    <definedName name="IQ_AVG_REAL_PRICE_PRE_TREAT_REFINING_ZINC" hidden="1">"c9364"</definedName>
    <definedName name="IQ_AVG_REALIZED_PRICE_AFTER_HEDGING_ALUM" hidden="1">"c9257"</definedName>
    <definedName name="IQ_AVG_REALIZED_PRICE_AFTER_HEDGING_COAL" hidden="1">"c9830"</definedName>
    <definedName name="IQ_AVG_REALIZED_PRICE_AFTER_HEDGING_COP" hidden="1">"c9204"</definedName>
    <definedName name="IQ_AVG_REALIZED_PRICE_AFTER_HEDGING_DIAM" hidden="1">"c9681"</definedName>
    <definedName name="IQ_AVG_REALIZED_PRICE_AFTER_HEDGING_GOLD" hidden="1">"c9042"</definedName>
    <definedName name="IQ_AVG_REALIZED_PRICE_AFTER_HEDGING_IRON" hidden="1">"c9416"</definedName>
    <definedName name="IQ_AVG_REALIZED_PRICE_AFTER_HEDGING_LEAD" hidden="1">"c9469"</definedName>
    <definedName name="IQ_AVG_REALIZED_PRICE_AFTER_HEDGING_MANG" hidden="1">"c9522"</definedName>
    <definedName name="IQ_AVG_REALIZED_PRICE_AFTER_HEDGING_MET_COAL" hidden="1">"c9766"</definedName>
    <definedName name="IQ_AVG_REALIZED_PRICE_AFTER_HEDGING_MOLYB" hidden="1">"c9734"</definedName>
    <definedName name="IQ_AVG_REALIZED_PRICE_AFTER_HEDGING_NICK" hidden="1">"c9310"</definedName>
    <definedName name="IQ_AVG_REALIZED_PRICE_AFTER_HEDGING_PLAT" hidden="1">"c9148"</definedName>
    <definedName name="IQ_AVG_REALIZED_PRICE_AFTER_HEDGING_SILVER" hidden="1">"c9095"</definedName>
    <definedName name="IQ_AVG_REALIZED_PRICE_AFTER_HEDGING_STEAM" hidden="1">"c9796"</definedName>
    <definedName name="IQ_AVG_REALIZED_PRICE_AFTER_HEDGING_TITAN" hidden="1">"c9575"</definedName>
    <definedName name="IQ_AVG_REALIZED_PRICE_AFTER_HEDGING_URAN" hidden="1">"c9628"</definedName>
    <definedName name="IQ_AVG_REALIZED_PRICE_AFTER_HEDGING_ZINC" hidden="1">"c9363"</definedName>
    <definedName name="IQ_AVG_REALIZED_PRICE_BEFORE_HEDGING_ALUM" hidden="1">"c9256"</definedName>
    <definedName name="IQ_AVG_REALIZED_PRICE_BEFORE_HEDGING_COAL" hidden="1">"c9829"</definedName>
    <definedName name="IQ_AVG_REALIZED_PRICE_BEFORE_HEDGING_COP" hidden="1">"c9203"</definedName>
    <definedName name="IQ_AVG_REALIZED_PRICE_BEFORE_HEDGING_DIAM" hidden="1">"c9680"</definedName>
    <definedName name="IQ_AVG_REALIZED_PRICE_BEFORE_HEDGING_GOLD" hidden="1">"c9041"</definedName>
    <definedName name="IQ_AVG_REALIZED_PRICE_BEFORE_HEDGING_IRON" hidden="1">"c9415"</definedName>
    <definedName name="IQ_AVG_REALIZED_PRICE_BEFORE_HEDGING_LEAD" hidden="1">"c9468"</definedName>
    <definedName name="IQ_AVG_REALIZED_PRICE_BEFORE_HEDGING_MANG" hidden="1">"c9521"</definedName>
    <definedName name="IQ_AVG_REALIZED_PRICE_BEFORE_HEDGING_MET_COAL" hidden="1">"c9765"</definedName>
    <definedName name="IQ_AVG_REALIZED_PRICE_BEFORE_HEDGING_MOLYB" hidden="1">"c9733"</definedName>
    <definedName name="IQ_AVG_REALIZED_PRICE_BEFORE_HEDGING_NICK" hidden="1">"c9309"</definedName>
    <definedName name="IQ_AVG_REALIZED_PRICE_BEFORE_HEDGING_PLAT" hidden="1">"c9147"</definedName>
    <definedName name="IQ_AVG_REALIZED_PRICE_BEFORE_HEDGING_SILVER" hidden="1">"c9094"</definedName>
    <definedName name="IQ_AVG_REALIZED_PRICE_BEFORE_HEDGING_STEAM" hidden="1">"c9795"</definedName>
    <definedName name="IQ_AVG_REALIZED_PRICE_BEFORE_HEDGING_TITAN" hidden="1">"c9574"</definedName>
    <definedName name="IQ_AVG_REALIZED_PRICE_BEFORE_HEDGING_URAN" hidden="1">"c9627"</definedName>
    <definedName name="IQ_AVG_REALIZED_PRICE_BEFORE_HEDGING_ZINC" hidden="1">"c9362"</definedName>
    <definedName name="IQ_AVG_SHAREOUTSTANDING" hidden="1">"c83"</definedName>
    <definedName name="IQ_AVG_TEMP_EMPLOYEES" hidden="1">"c6020"</definedName>
    <definedName name="IQ_AVG_TEV" hidden="1">"c84"</definedName>
    <definedName name="IQ_AVG_TOTAL_ASSETS_LEVERAGE_CAPITAL_FFIEC" hidden="1">"c13159"</definedName>
    <definedName name="IQ_AVG_TOTAL_ASSETS_LEVERAGE_RATIO_FFIEC" hidden="1">"c13154"</definedName>
    <definedName name="IQ_AVG_VOLUME" hidden="1">"c65"</definedName>
    <definedName name="IQ_AVG_WAGES" hidden="1">"c6812"</definedName>
    <definedName name="IQ_AVG_WAGES_APR" hidden="1">"c7472"</definedName>
    <definedName name="IQ_AVG_WAGES_APR_FC" hidden="1">"c8352"</definedName>
    <definedName name="IQ_AVG_WAGES_FC" hidden="1">"c7692"</definedName>
    <definedName name="IQ_AVG_WAGES_POP" hidden="1">"c7032"</definedName>
    <definedName name="IQ_AVG_WAGES_POP_FC" hidden="1">"c7912"</definedName>
    <definedName name="IQ_AVG_WAGES_YOY" hidden="1">"c7252"</definedName>
    <definedName name="IQ_AVG_WAGES_YOY_FC" hidden="1">"c8132"</definedName>
    <definedName name="IQ_BALANCE_GOODS_APR_FC_UNUSED" hidden="1">"c8353"</definedName>
    <definedName name="IQ_BALANCE_GOODS_APR_FC_UNUSED_UNUSED_UNUSED" hidden="1">"c8353"</definedName>
    <definedName name="IQ_BALANCE_GOODS_APR_UNUSED" hidden="1">"c7473"</definedName>
    <definedName name="IQ_BALANCE_GOODS_APR_UNUSED_UNUSED_UNUSED" hidden="1">"c7473"</definedName>
    <definedName name="IQ_BALANCE_GOODS_FC_UNUSED" hidden="1">"c7693"</definedName>
    <definedName name="IQ_BALANCE_GOODS_FC_UNUSED_UNUSED_UNUSED" hidden="1">"c7693"</definedName>
    <definedName name="IQ_BALANCE_GOODS_POP_FC_UNUSED" hidden="1">"c7913"</definedName>
    <definedName name="IQ_BALANCE_GOODS_POP_FC_UNUSED_UNUSED_UNUSED" hidden="1">"c7913"</definedName>
    <definedName name="IQ_BALANCE_GOODS_POP_UNUSED" hidden="1">"c7033"</definedName>
    <definedName name="IQ_BALANCE_GOODS_POP_UNUSED_UNUSED_UNUSED" hidden="1">"c7033"</definedName>
    <definedName name="IQ_BALANCE_GOODS_REAL" hidden="1">"c6952"</definedName>
    <definedName name="IQ_BALANCE_GOODS_REAL_APR" hidden="1">"c7612"</definedName>
    <definedName name="IQ_BALANCE_GOODS_REAL_APR_FC" hidden="1">"c8492"</definedName>
    <definedName name="IQ_BALANCE_GOODS_REAL_FC" hidden="1">"c7832"</definedName>
    <definedName name="IQ_BALANCE_GOODS_REAL_POP" hidden="1">"c7172"</definedName>
    <definedName name="IQ_BALANCE_GOODS_REAL_POP_FC" hidden="1">"c8052"</definedName>
    <definedName name="IQ_BALANCE_GOODS_REAL_SAAR" hidden="1">"c6953"</definedName>
    <definedName name="IQ_BALANCE_GOODS_REAL_SAAR_APR" hidden="1">"c7613"</definedName>
    <definedName name="IQ_BALANCE_GOODS_REAL_SAAR_APR_FC" hidden="1">"c8493"</definedName>
    <definedName name="IQ_BALANCE_GOODS_REAL_SAAR_FC" hidden="1">"c7833"</definedName>
    <definedName name="IQ_BALANCE_GOODS_REAL_SAAR_POP" hidden="1">"c7173"</definedName>
    <definedName name="IQ_BALANCE_GOODS_REAL_SAAR_POP_FC" hidden="1">"c8053"</definedName>
    <definedName name="IQ_BALANCE_GOODS_REAL_SAAR_USD_APR_FC" hidden="1">"c11893"</definedName>
    <definedName name="IQ_BALANCE_GOODS_REAL_SAAR_USD_FC" hidden="1">"c11890"</definedName>
    <definedName name="IQ_BALANCE_GOODS_REAL_SAAR_USD_POP_FC" hidden="1">"c11891"</definedName>
    <definedName name="IQ_BALANCE_GOODS_REAL_SAAR_USD_YOY_FC" hidden="1">"c11892"</definedName>
    <definedName name="IQ_BALANCE_GOODS_REAL_SAAR_YOY" hidden="1">"c7393"</definedName>
    <definedName name="IQ_BALANCE_GOODS_REAL_SAAR_YOY_FC" hidden="1">"c8273"</definedName>
    <definedName name="IQ_BALANCE_GOODS_REAL_USD_APR_FC" hidden="1">"c11889"</definedName>
    <definedName name="IQ_BALANCE_GOODS_REAL_USD_FC" hidden="1">"c11886"</definedName>
    <definedName name="IQ_BALANCE_GOODS_REAL_USD_POP_FC" hidden="1">"c11887"</definedName>
    <definedName name="IQ_BALANCE_GOODS_REAL_USD_YOY_FC" hidden="1">"c11888"</definedName>
    <definedName name="IQ_BALANCE_GOODS_REAL_YOY" hidden="1">"c7392"</definedName>
    <definedName name="IQ_BALANCE_GOODS_REAL_YOY_FC" hidden="1">"c8272"</definedName>
    <definedName name="IQ_BALANCE_GOODS_SAAR" hidden="1">"c6814"</definedName>
    <definedName name="IQ_BALANCE_GOODS_SAAR_APR" hidden="1">"c7474"</definedName>
    <definedName name="IQ_BALANCE_GOODS_SAAR_APR_FC" hidden="1">"c8354"</definedName>
    <definedName name="IQ_BALANCE_GOODS_SAAR_FC" hidden="1">"c7694"</definedName>
    <definedName name="IQ_BALANCE_GOODS_SAAR_POP" hidden="1">"c7034"</definedName>
    <definedName name="IQ_BALANCE_GOODS_SAAR_POP_FC" hidden="1">"c7914"</definedName>
    <definedName name="IQ_BALANCE_GOODS_SAAR_USD_APR_FC" hidden="1">"c11762"</definedName>
    <definedName name="IQ_BALANCE_GOODS_SAAR_USD_FC" hidden="1">"c11759"</definedName>
    <definedName name="IQ_BALANCE_GOODS_SAAR_USD_POP_FC" hidden="1">"c11760"</definedName>
    <definedName name="IQ_BALANCE_GOODS_SAAR_USD_YOY_FC" hidden="1">"c11761"</definedName>
    <definedName name="IQ_BALANCE_GOODS_SAAR_YOY" hidden="1">"c7254"</definedName>
    <definedName name="IQ_BALANCE_GOODS_SAAR_YOY_FC" hidden="1">"c8134"</definedName>
    <definedName name="IQ_BALANCE_GOODS_UNUSED" hidden="1">"c6813"</definedName>
    <definedName name="IQ_BALANCE_GOODS_UNUSED_UNUSED_UNUSED" hidden="1">"c6813"</definedName>
    <definedName name="IQ_BALANCE_GOODS_USD_APR_FC" hidden="1">"c11758"</definedName>
    <definedName name="IQ_BALANCE_GOODS_USD_FC" hidden="1">"c11755"</definedName>
    <definedName name="IQ_BALANCE_GOODS_USD_POP_FC" hidden="1">"c11756"</definedName>
    <definedName name="IQ_BALANCE_GOODS_USD_YOY_FC" hidden="1">"c11757"</definedName>
    <definedName name="IQ_BALANCE_GOODS_YOY_FC_UNUSED" hidden="1">"c8133"</definedName>
    <definedName name="IQ_BALANCE_GOODS_YOY_FC_UNUSED_UNUSED_UNUSED" hidden="1">"c8133"</definedName>
    <definedName name="IQ_BALANCE_GOODS_YOY_UNUSED" hidden="1">"c7253"</definedName>
    <definedName name="IQ_BALANCE_GOODS_YOY_UNUSED_UNUSED_UNUSED" hidden="1">"c7253"</definedName>
    <definedName name="IQ_BALANCE_SERV_APR_FC_UNUSED" hidden="1">"c8355"</definedName>
    <definedName name="IQ_BALANCE_SERV_APR_FC_UNUSED_UNUSED_UNUSED" hidden="1">"c8355"</definedName>
    <definedName name="IQ_BALANCE_SERV_APR_UNUSED" hidden="1">"c7475"</definedName>
    <definedName name="IQ_BALANCE_SERV_APR_UNUSED_UNUSED_UNUSED" hidden="1">"c7475"</definedName>
    <definedName name="IQ_BALANCE_SERV_FC_UNUSED" hidden="1">"c7695"</definedName>
    <definedName name="IQ_BALANCE_SERV_FC_UNUSED_UNUSED_UNUSED" hidden="1">"c7695"</definedName>
    <definedName name="IQ_BALANCE_SERV_POP_FC_UNUSED" hidden="1">"c7915"</definedName>
    <definedName name="IQ_BALANCE_SERV_POP_FC_UNUSED_UNUSED_UNUSED" hidden="1">"c7915"</definedName>
    <definedName name="IQ_BALANCE_SERV_POP_UNUSED" hidden="1">"c7035"</definedName>
    <definedName name="IQ_BALANCE_SERV_POP_UNUSED_UNUSED_UNUSED" hidden="1">"c7035"</definedName>
    <definedName name="IQ_BALANCE_SERV_SAAR" hidden="1">"c6816"</definedName>
    <definedName name="IQ_BALANCE_SERV_SAAR_APR" hidden="1">"c7476"</definedName>
    <definedName name="IQ_BALANCE_SERV_SAAR_APR_FC" hidden="1">"c8356"</definedName>
    <definedName name="IQ_BALANCE_SERV_SAAR_FC" hidden="1">"c7696"</definedName>
    <definedName name="IQ_BALANCE_SERV_SAAR_POP" hidden="1">"c7036"</definedName>
    <definedName name="IQ_BALANCE_SERV_SAAR_POP_FC" hidden="1">"c7916"</definedName>
    <definedName name="IQ_BALANCE_SERV_SAAR_YOY" hidden="1">"c7256"</definedName>
    <definedName name="IQ_BALANCE_SERV_SAAR_YOY_FC" hidden="1">"c8136"</definedName>
    <definedName name="IQ_BALANCE_SERV_UNUSED" hidden="1">"c6815"</definedName>
    <definedName name="IQ_BALANCE_SERV_UNUSED_UNUSED_UNUSED" hidden="1">"c6815"</definedName>
    <definedName name="IQ_BALANCE_SERV_USD_APR_FC" hidden="1">"c11766"</definedName>
    <definedName name="IQ_BALANCE_SERV_USD_FC" hidden="1">"c11763"</definedName>
    <definedName name="IQ_BALANCE_SERV_USD_POP_FC" hidden="1">"c11764"</definedName>
    <definedName name="IQ_BALANCE_SERV_USD_YOY_FC" hidden="1">"c11765"</definedName>
    <definedName name="IQ_BALANCE_SERV_YOY_FC_UNUSED" hidden="1">"c8135"</definedName>
    <definedName name="IQ_BALANCE_SERV_YOY_FC_UNUSED_UNUSED_UNUSED" hidden="1">"c8135"</definedName>
    <definedName name="IQ_BALANCE_SERV_YOY_UNUSED" hidden="1">"c7255"</definedName>
    <definedName name="IQ_BALANCE_SERV_YOY_UNUSED_UNUSED_UNUSED" hidden="1">"c7255"</definedName>
    <definedName name="IQ_BALANCE_SERVICES_REAL" hidden="1">"c6954"</definedName>
    <definedName name="IQ_BALANCE_SERVICES_REAL_APR" hidden="1">"c7614"</definedName>
    <definedName name="IQ_BALANCE_SERVICES_REAL_APR_FC" hidden="1">"c8494"</definedName>
    <definedName name="IQ_BALANCE_SERVICES_REAL_FC" hidden="1">"c7834"</definedName>
    <definedName name="IQ_BALANCE_SERVICES_REAL_POP" hidden="1">"c7174"</definedName>
    <definedName name="IQ_BALANCE_SERVICES_REAL_POP_FC" hidden="1">"c8054"</definedName>
    <definedName name="IQ_BALANCE_SERVICES_REAL_SAAR" hidden="1">"c6955"</definedName>
    <definedName name="IQ_BALANCE_SERVICES_REAL_SAAR_APR" hidden="1">"c7615"</definedName>
    <definedName name="IQ_BALANCE_SERVICES_REAL_SAAR_APR_FC" hidden="1">"c8495"</definedName>
    <definedName name="IQ_BALANCE_SERVICES_REAL_SAAR_FC" hidden="1">"c7835"</definedName>
    <definedName name="IQ_BALANCE_SERVICES_REAL_SAAR_POP" hidden="1">"c7175"</definedName>
    <definedName name="IQ_BALANCE_SERVICES_REAL_SAAR_POP_FC" hidden="1">"c8055"</definedName>
    <definedName name="IQ_BALANCE_SERVICES_REAL_SAAR_YOY" hidden="1">"c7395"</definedName>
    <definedName name="IQ_BALANCE_SERVICES_REAL_SAAR_YOY_FC" hidden="1">"c8275"</definedName>
    <definedName name="IQ_BALANCE_SERVICES_REAL_USD_APR_FC" hidden="1">"c11897"</definedName>
    <definedName name="IQ_BALANCE_SERVICES_REAL_USD_FC" hidden="1">"c11894"</definedName>
    <definedName name="IQ_BALANCE_SERVICES_REAL_USD_POP_FC" hidden="1">"c11895"</definedName>
    <definedName name="IQ_BALANCE_SERVICES_REAL_USD_YOY_FC" hidden="1">"c11896"</definedName>
    <definedName name="IQ_BALANCE_SERVICES_REAL_YOY" hidden="1">"c7394"</definedName>
    <definedName name="IQ_BALANCE_SERVICES_REAL_YOY_FC" hidden="1">"c8274"</definedName>
    <definedName name="IQ_BALANCE_TRADE_APR_FC_UNUSED" hidden="1">"c8357"</definedName>
    <definedName name="IQ_BALANCE_TRADE_APR_FC_UNUSED_UNUSED_UNUSED" hidden="1">"c8357"</definedName>
    <definedName name="IQ_BALANCE_TRADE_APR_UNUSED" hidden="1">"c7477"</definedName>
    <definedName name="IQ_BALANCE_TRADE_APR_UNUSED_UNUSED_UNUSED" hidden="1">"c7477"</definedName>
    <definedName name="IQ_BALANCE_TRADE_FC_UNUSED" hidden="1">"c7697"</definedName>
    <definedName name="IQ_BALANCE_TRADE_FC_UNUSED_UNUSED_UNUSED" hidden="1">"c7697"</definedName>
    <definedName name="IQ_BALANCE_TRADE_POP_FC_UNUSED" hidden="1">"c7917"</definedName>
    <definedName name="IQ_BALANCE_TRADE_POP_FC_UNUSED_UNUSED_UNUSED" hidden="1">"c7917"</definedName>
    <definedName name="IQ_BALANCE_TRADE_POP_UNUSED" hidden="1">"c7037"</definedName>
    <definedName name="IQ_BALANCE_TRADE_POP_UNUSED_UNUSED_UNUSED" hidden="1">"c7037"</definedName>
    <definedName name="IQ_BALANCE_TRADE_REAL" hidden="1">"c6956"</definedName>
    <definedName name="IQ_BALANCE_TRADE_REAL_APR" hidden="1">"c7616"</definedName>
    <definedName name="IQ_BALANCE_TRADE_REAL_APR_FC" hidden="1">"c8496"</definedName>
    <definedName name="IQ_BALANCE_TRADE_REAL_FC" hidden="1">"c7836"</definedName>
    <definedName name="IQ_BALANCE_TRADE_REAL_POP" hidden="1">"c7176"</definedName>
    <definedName name="IQ_BALANCE_TRADE_REAL_POP_FC" hidden="1">"c8056"</definedName>
    <definedName name="IQ_BALANCE_TRADE_REAL_SAAR" hidden="1">"c6957"</definedName>
    <definedName name="IQ_BALANCE_TRADE_REAL_SAAR_APR" hidden="1">"c7617"</definedName>
    <definedName name="IQ_BALANCE_TRADE_REAL_SAAR_APR_FC" hidden="1">"c8497"</definedName>
    <definedName name="IQ_BALANCE_TRADE_REAL_SAAR_FC" hidden="1">"c7837"</definedName>
    <definedName name="IQ_BALANCE_TRADE_REAL_SAAR_POP" hidden="1">"c7177"</definedName>
    <definedName name="IQ_BALANCE_TRADE_REAL_SAAR_POP_FC" hidden="1">"c8057"</definedName>
    <definedName name="IQ_BALANCE_TRADE_REAL_SAAR_USD_APR_FC" hidden="1">"c11905"</definedName>
    <definedName name="IQ_BALANCE_TRADE_REAL_SAAR_USD_FC" hidden="1">"c11902"</definedName>
    <definedName name="IQ_BALANCE_TRADE_REAL_SAAR_USD_POP_FC" hidden="1">"c11903"</definedName>
    <definedName name="IQ_BALANCE_TRADE_REAL_SAAR_USD_YOY_FC" hidden="1">"c11904"</definedName>
    <definedName name="IQ_BALANCE_TRADE_REAL_SAAR_YOY" hidden="1">"c7397"</definedName>
    <definedName name="IQ_BALANCE_TRADE_REAL_SAAR_YOY_FC" hidden="1">"c8277"</definedName>
    <definedName name="IQ_BALANCE_TRADE_REAL_USD_APR_FC" hidden="1">"c11901"</definedName>
    <definedName name="IQ_BALANCE_TRADE_REAL_USD_FC" hidden="1">"c11898"</definedName>
    <definedName name="IQ_BALANCE_TRADE_REAL_USD_POP_FC" hidden="1">"c11899"</definedName>
    <definedName name="IQ_BALANCE_TRADE_REAL_USD_YOY_FC" hidden="1">"c11900"</definedName>
    <definedName name="IQ_BALANCE_TRADE_REAL_YOY" hidden="1">"c7396"</definedName>
    <definedName name="IQ_BALANCE_TRADE_REAL_YOY_FC" hidden="1">"c8276"</definedName>
    <definedName name="IQ_BALANCE_TRADE_SAAR" hidden="1">"c6818"</definedName>
    <definedName name="IQ_BALANCE_TRADE_SAAR_APR" hidden="1">"c7478"</definedName>
    <definedName name="IQ_BALANCE_TRADE_SAAR_APR_FC" hidden="1">"c8358"</definedName>
    <definedName name="IQ_BALANCE_TRADE_SAAR_FC" hidden="1">"c7698"</definedName>
    <definedName name="IQ_BALANCE_TRADE_SAAR_POP" hidden="1">"c7038"</definedName>
    <definedName name="IQ_BALANCE_TRADE_SAAR_POP_FC" hidden="1">"c7918"</definedName>
    <definedName name="IQ_BALANCE_TRADE_SAAR_USD_APR_FC" hidden="1">"c11774"</definedName>
    <definedName name="IQ_BALANCE_TRADE_SAAR_USD_FC" hidden="1">"c11771"</definedName>
    <definedName name="IQ_BALANCE_TRADE_SAAR_USD_POP_FC" hidden="1">"c11772"</definedName>
    <definedName name="IQ_BALANCE_TRADE_SAAR_USD_YOY_FC" hidden="1">"c11773"</definedName>
    <definedName name="IQ_BALANCE_TRADE_SAAR_YOY" hidden="1">"c7258"</definedName>
    <definedName name="IQ_BALANCE_TRADE_SAAR_YOY_FC" hidden="1">"c8138"</definedName>
    <definedName name="IQ_BALANCE_TRADE_UNUSED" hidden="1">"c6817"</definedName>
    <definedName name="IQ_BALANCE_TRADE_UNUSED_UNUSED_UNUSED" hidden="1">"c6817"</definedName>
    <definedName name="IQ_BALANCE_TRADE_USD_APR_FC" hidden="1">"c11770"</definedName>
    <definedName name="IQ_BALANCE_TRADE_USD_FC" hidden="1">"c11767"</definedName>
    <definedName name="IQ_BALANCE_TRADE_USD_POP_FC" hidden="1">"c11768"</definedName>
    <definedName name="IQ_BALANCE_TRADE_USD_YOY_FC" hidden="1">"c11769"</definedName>
    <definedName name="IQ_BALANCE_TRADE_YOY_FC_UNUSED" hidden="1">"c8137"</definedName>
    <definedName name="IQ_BALANCE_TRADE_YOY_FC_UNUSED_UNUSED_UNUSED" hidden="1">"c8137"</definedName>
    <definedName name="IQ_BALANCE_TRADE_YOY_UNUSED" hidden="1">"c7257"</definedName>
    <definedName name="IQ_BALANCE_TRADE_YOY_UNUSED_UNUSED_UNUSED" hidden="1">"c7257"</definedName>
    <definedName name="IQ_BALANCES_DUE_DEPOSITORY_INSTITUTIONS_FDIC" hidden="1">"c6389"</definedName>
    <definedName name="IQ_BALANCES_DUE_FOREIGN_FDIC" hidden="1">"c6391"</definedName>
    <definedName name="IQ_BALANCES_DUE_FRB_FDIC" hidden="1">"c6393"</definedName>
    <definedName name="IQ_BANK_BENEFICIARY_FDIC" hidden="1">"c6505"</definedName>
    <definedName name="IQ_BANK_DEBT" hidden="1">"c2544"</definedName>
    <definedName name="IQ_BANK_DEBT_PCT" hidden="1">"c2545"</definedName>
    <definedName name="IQ_BANK_GUARANTOR_FDIC" hidden="1">"c6506"</definedName>
    <definedName name="IQ_BANK_LOAN_LIST" hidden="1">"c13507"</definedName>
    <definedName name="IQ_BANK_PREMISES_FDIC" hidden="1">"c6329"</definedName>
    <definedName name="IQ_BANK_SECURITIZATION_1_4_FAMILY_LOANS_FDIC" hidden="1">"c6721"</definedName>
    <definedName name="IQ_BANK_SECURITIZATION_AUTO_LOANS_FDIC" hidden="1">"c6715"</definedName>
    <definedName name="IQ_BANK_SECURITIZATION_CL_LOANS_FDIC" hidden="1">"c6716"</definedName>
    <definedName name="IQ_BANK_SECURITIZATION_CREDIT_CARDS_RECEIVABLES_FDIC" hidden="1">"c6718"</definedName>
    <definedName name="IQ_BANK_SECURITIZATION_HOME_EQUITY_LINES_FDIC" hidden="1">"c6719"</definedName>
    <definedName name="IQ_BANK_SECURITIZATION_OTHER_CONSUMER_LOANS_FDIC" hidden="1">"c6717"</definedName>
    <definedName name="IQ_BANK_SECURITIZATION_OTHER_LOANS_FDIC" hidden="1">"c6720"</definedName>
    <definedName name="IQ_BANKING_FEES_OPERATING_INC_FFIEC" hidden="1">"c13386"</definedName>
    <definedName name="IQ_BANKS_FOREIGN_COUNTRIES_NON_TRANS_ACCTS_FFIEC" hidden="1">"c15326"</definedName>
    <definedName name="IQ_BANKS_FOREIGN_COUNTRIES_TOTAL_DEPOSITS_FDIC" hidden="1">"c6475"</definedName>
    <definedName name="IQ_BANKS_FOREIGN_COUNTRIES_TRANS_ACCTS_FFIEC" hidden="1">"c15318"</definedName>
    <definedName name="IQ_BASE_RENT" hidden="1">"c16017"</definedName>
    <definedName name="IQ_BASE_RENT_OPERATING_LEASE_EXPIRING_AFTER_FIVE" hidden="1">"c16107"</definedName>
    <definedName name="IQ_BASE_RENT_OPERATING_LEASE_EXPIRING_CY" hidden="1">"c16101"</definedName>
    <definedName name="IQ_BASE_RENT_OPERATING_LEASE_EXPIRING_CY1" hidden="1">"c16102"</definedName>
    <definedName name="IQ_BASE_RENT_OPERATING_LEASE_EXPIRING_CY2" hidden="1">"c16103"</definedName>
    <definedName name="IQ_BASE_RENT_OPERATING_LEASE_EXPIRING_CY3" hidden="1">"c16104"</definedName>
    <definedName name="IQ_BASE_RENT_OPERATING_LEASE_EXPIRING_CY4" hidden="1">"c16105"</definedName>
    <definedName name="IQ_BASE_RENT_OPERATING_LEASE_EXPIRING_NEXT_FIVE" hidden="1">"c16106"</definedName>
    <definedName name="IQ_BASE_RENT_OPERATING_LEASE_EXPIRING_TOTAL" hidden="1">"c16108"</definedName>
    <definedName name="IQ_BASE_RENT_RENTAL_REVENUE" hidden="1">"c16062"</definedName>
    <definedName name="IQ_BASIC_EPS_EXCL" hidden="1">"c85"</definedName>
    <definedName name="IQ_BASIC_EPS_INCL" hidden="1">"c86"</definedName>
    <definedName name="IQ_BASIC_NAV_SHARES" hidden="1">"c16012"</definedName>
    <definedName name="IQ_BASIC_NORMAL_EPS" hidden="1">"c1592"</definedName>
    <definedName name="IQ_BASIC_OUTSTANDING_CURRENT_EST" hidden="1">"c4128"</definedName>
    <definedName name="IQ_BASIC_OUTSTANDING_CURRENT_EST_CIQ" hidden="1">"c4541"</definedName>
    <definedName name="IQ_BASIC_OUTSTANDING_CURRENT_HIGH_EST" hidden="1">"c4129"</definedName>
    <definedName name="IQ_BASIC_OUTSTANDING_CURRENT_HIGH_EST_CIQ" hidden="1">"c4542"</definedName>
    <definedName name="IQ_BASIC_OUTSTANDING_CURRENT_LOW_EST" hidden="1">"c4130"</definedName>
    <definedName name="IQ_BASIC_OUTSTANDING_CURRENT_LOW_EST_CIQ" hidden="1">"c4543"</definedName>
    <definedName name="IQ_BASIC_OUTSTANDING_CURRENT_MEDIAN_EST" hidden="1">"c4131"</definedName>
    <definedName name="IQ_BASIC_OUTSTANDING_CURRENT_MEDIAN_EST_CIQ" hidden="1">"c4544"</definedName>
    <definedName name="IQ_BASIC_OUTSTANDING_CURRENT_NUM_EST" hidden="1">"c4132"</definedName>
    <definedName name="IQ_BASIC_OUTSTANDING_CURRENT_NUM_EST_CIQ" hidden="1">"c4545"</definedName>
    <definedName name="IQ_BASIC_OUTSTANDING_CURRENT_STDDEV_EST" hidden="1">"c4133"</definedName>
    <definedName name="IQ_BASIC_OUTSTANDING_CURRENT_STDDEV_EST_CIQ" hidden="1">"c4546"</definedName>
    <definedName name="IQ_BASIC_OUTSTANDING_EST" hidden="1">"c4134"</definedName>
    <definedName name="IQ_BASIC_OUTSTANDING_EST_CIQ" hidden="1">"c4547"</definedName>
    <definedName name="IQ_BASIC_OUTSTANDING_HIGH_EST" hidden="1">"c4135"</definedName>
    <definedName name="IQ_BASIC_OUTSTANDING_HIGH_EST_CIQ" hidden="1">"c4548"</definedName>
    <definedName name="IQ_BASIC_OUTSTANDING_LOW_EST" hidden="1">"c4136"</definedName>
    <definedName name="IQ_BASIC_OUTSTANDING_LOW_EST_CIQ" hidden="1">"c4549"</definedName>
    <definedName name="IQ_BASIC_OUTSTANDING_MEDIAN_EST" hidden="1">"c4137"</definedName>
    <definedName name="IQ_BASIC_OUTSTANDING_MEDIAN_EST_CIQ" hidden="1">"c4550"</definedName>
    <definedName name="IQ_BASIC_OUTSTANDING_NUM_EST" hidden="1">"c4138"</definedName>
    <definedName name="IQ_BASIC_OUTSTANDING_NUM_EST_CIQ" hidden="1">"c4551"</definedName>
    <definedName name="IQ_BASIC_OUTSTANDING_STDDEV_EST" hidden="1">"c4139"</definedName>
    <definedName name="IQ_BASIC_OUTSTANDING_STDDEV_EST_CIQ" hidden="1">"c4552"</definedName>
    <definedName name="IQ_BASIC_WEIGHT" hidden="1">"c87"</definedName>
    <definedName name="IQ_BASIC_WEIGHT_EST" hidden="1">"c4140"</definedName>
    <definedName name="IQ_BASIC_WEIGHT_EST_CIQ" hidden="1">"c4553"</definedName>
    <definedName name="IQ_BASIC_WEIGHT_GUIDANCE" hidden="1">"c4141"</definedName>
    <definedName name="IQ_BASIC_WEIGHT_HIGH_EST" hidden="1">"c4142"</definedName>
    <definedName name="IQ_BASIC_WEIGHT_HIGH_EST_CIQ" hidden="1">"c4554"</definedName>
    <definedName name="IQ_BASIC_WEIGHT_LOW_EST" hidden="1">"c4143"</definedName>
    <definedName name="IQ_BASIC_WEIGHT_LOW_EST_CIQ" hidden="1">"c4555"</definedName>
    <definedName name="IQ_BASIC_WEIGHT_MEDIAN_EST" hidden="1">"c4144"</definedName>
    <definedName name="IQ_BASIC_WEIGHT_MEDIAN_EST_CIQ" hidden="1">"c4556"</definedName>
    <definedName name="IQ_BASIC_WEIGHT_NUM_EST" hidden="1">"c4145"</definedName>
    <definedName name="IQ_BASIC_WEIGHT_NUM_EST_CIQ" hidden="1">"c4557"</definedName>
    <definedName name="IQ_BASIC_WEIGHT_STDDEV_EST" hidden="1">"c4146"</definedName>
    <definedName name="IQ_BASIC_WEIGHT_STDDEV_EST_CIQ" hidden="1">"c4558"</definedName>
    <definedName name="IQ_BENCHMARK_SECURITY" hidden="1">"c2154"</definedName>
    <definedName name="IQ_BENCHMARK_SPRD" hidden="1">"c2153"</definedName>
    <definedName name="IQ_BENCHMARK_YIELD" hidden="1">"c8955"</definedName>
    <definedName name="IQ_BETA" hidden="1">"c88"</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ALL_OTHER_COMP" hidden="1">"c18992"</definedName>
    <definedName name="IQ_BOARD_MEMBER_ANNUAL_CASH_COMP" hidden="1">"c18993"</definedName>
    <definedName name="IQ_BOARD_MEMBER_AS_REPORTED_COMP" hidden="1">"c18997"</definedName>
    <definedName name="IQ_BOARD_MEMBER_AS_REPORTED_DIRECTOR_COMP" hidden="1">"c19009"</definedName>
    <definedName name="IQ_BOARD_MEMBER_ASSISTANT_EMAIL" hidden="1">"c15179"</definedName>
    <definedName name="IQ_BOARD_MEMBER_ASSISTANT_FAX" hidden="1">"c15181"</definedName>
    <definedName name="IQ_BOARD_MEMBER_ASSISTANT_NAME" hidden="1">"c15178"</definedName>
    <definedName name="IQ_BOARD_MEMBER_ASSISTANT_PHONE" hidden="1">"c15180"</definedName>
    <definedName name="IQ_BOARD_MEMBER_BACKGROUND" hidden="1">"c2101"</definedName>
    <definedName name="IQ_BOARD_MEMBER_BONUS" hidden="1">"c18988"</definedName>
    <definedName name="IQ_BOARD_MEMBER_CALCULATED_COMP" hidden="1">"c18995"</definedName>
    <definedName name="IQ_BOARD_MEMBER_CHANGE_PENSION" hidden="1">"c19010"</definedName>
    <definedName name="IQ_BOARD_MEMBER_DIRECT_FAX" hidden="1">"c15176"</definedName>
    <definedName name="IQ_BOARD_MEMBER_DIRECT_PHONE" hidden="1">"c15175"</definedName>
    <definedName name="IQ_BOARD_MEMBER_DIRECTOR_BONUS" hidden="1">"c19004"</definedName>
    <definedName name="IQ_BOARD_MEMBER_DIRECTOR_CHANGE_PENSION" hidden="1">"c19005"</definedName>
    <definedName name="IQ_BOARD_MEMBER_DIRECTOR_FEE" hidden="1">"c19001"</definedName>
    <definedName name="IQ_BOARD_MEMBER_DIRECTOR_NON_EQUITY_COMP" hidden="1">"c19006"</definedName>
    <definedName name="IQ_BOARD_MEMBER_DIRECTOR_OPTION_AWARDS" hidden="1">"c19002"</definedName>
    <definedName name="IQ_BOARD_MEMBER_DIRECTOR_OTHER" hidden="1">"c19003"</definedName>
    <definedName name="IQ_BOARD_MEMBER_DIRECTOR_STOCK_AWARDS" hidden="1">"c19007"</definedName>
    <definedName name="IQ_BOARD_MEMBER_DIRECTOR_STOCK_GRANTS" hidden="1">"c19034"</definedName>
    <definedName name="IQ_BOARD_MEMBER_DIRECTOR_STOCK_OPTIONS" hidden="1">"c19008"</definedName>
    <definedName name="IQ_BOARD_MEMBER_EMAIL" hidden="1">"c15177"</definedName>
    <definedName name="IQ_BOARD_MEMBER_EQUITY_INCENTIVE" hidden="1">"c19030"</definedName>
    <definedName name="IQ_BOARD_MEMBER_EST_PAYMENTS_CHANGE_CONTROL" hidden="1">"c18999"</definedName>
    <definedName name="IQ_BOARD_MEMBER_EST_PAYMENTS_TERMINATION" hidden="1">"c19011"</definedName>
    <definedName name="IQ_BOARD_MEMBER_EXERCISABLE_OPTIONS" hidden="1">"c19014"</definedName>
    <definedName name="IQ_BOARD_MEMBER_EXERCISABLE_VALUES" hidden="1">"c19015"</definedName>
    <definedName name="IQ_BOARD_MEMBER_EXERCISED_OPTIONS" hidden="1">"c19012"</definedName>
    <definedName name="IQ_BOARD_MEMBER_EXERCISED_VALUES" hidden="1">"c19013"</definedName>
    <definedName name="IQ_BOARD_MEMBER_FAX" hidden="1">"c2100"</definedName>
    <definedName name="IQ_BOARD_MEMBER_ID" hidden="1">"c13756"</definedName>
    <definedName name="IQ_BOARD_MEMBER_LT_INCENTIVE" hidden="1">"c18991"</definedName>
    <definedName name="IQ_BOARD_MEMBER_MAIN_FAX" hidden="1">"c15174"</definedName>
    <definedName name="IQ_BOARD_MEMBER_MAIN_PHONE" hidden="1">"c15173"</definedName>
    <definedName name="IQ_BOARD_MEMBER_MARKET_VALUE_SHARES_NOT_VESTED" hidden="1">"c19029"</definedName>
    <definedName name="IQ_BOARD_MEMBER_NON_EQUITY_INCENTIVE" hidden="1">"c19000"</definedName>
    <definedName name="IQ_BOARD_MEMBER_NUM_SHARED_NOT_VESTED" hidden="1">"c19028"</definedName>
    <definedName name="IQ_BOARD_MEMBER_NUM_SHARES_ACQUIRED" hidden="1">"c19026"</definedName>
    <definedName name="IQ_BOARD_MEMBER_OFFICE" hidden="1">"c2098"</definedName>
    <definedName name="IQ_BOARD_MEMBER_OFFICE_ADDRESS" hidden="1">"c15172"</definedName>
    <definedName name="IQ_BOARD_MEMBER_OPTION_AWARDS" hidden="1">"c18996"</definedName>
    <definedName name="IQ_BOARD_MEMBER_OPTION_MARKET_PRICE" hidden="1">"c19025"</definedName>
    <definedName name="IQ_BOARD_MEMBER_OPTION_PRICE" hidden="1">"c19024"</definedName>
    <definedName name="IQ_BOARD_MEMBER_OTHER_ANNUAL_COMP" hidden="1">"c18989"</definedName>
    <definedName name="IQ_BOARD_MEMBER_OTHER_COMP" hidden="1">"c18998"</definedName>
    <definedName name="IQ_BOARD_MEMBER_PHONE" hidden="1">"c2099"</definedName>
    <definedName name="IQ_BOARD_MEMBER_RESTRICTED_STOCK_COMP" hidden="1">"c18990"</definedName>
    <definedName name="IQ_BOARD_MEMBER_SALARY" hidden="1">"c18987"</definedName>
    <definedName name="IQ_BOARD_MEMBER_ST_COMP" hidden="1">"c18994"</definedName>
    <definedName name="IQ_BOARD_MEMBER_TITLE" hidden="1">"c97"</definedName>
    <definedName name="IQ_BOARD_MEMBER_TOTAL_NUM_STOCK_AWARDS" hidden="1">"c19033"</definedName>
    <definedName name="IQ_BOARD_MEMBER_TOTAL_OPTIONS" hidden="1">"c19022"</definedName>
    <definedName name="IQ_BOARD_MEMBER_TOTAL_STOCK_VALUE" hidden="1">"c19032"</definedName>
    <definedName name="IQ_BOARD_MEMBER_TOTAL_VALUE_OPTIONS" hidden="1">"c19023"</definedName>
    <definedName name="IQ_BOARD_MEMBER_UNCLASSIFIED_OPTIONS" hidden="1">"c19018"</definedName>
    <definedName name="IQ_BOARD_MEMBER_UNCLASSIFIED_OPTIONS_VALUE" hidden="1">"c19019"</definedName>
    <definedName name="IQ_BOARD_MEMBER_UNEARNED_STOCK_VALUE" hidden="1">"c19031"</definedName>
    <definedName name="IQ_BOARD_MEMBER_UNEXERCISABLE_OPTIONS" hidden="1">"c19016"</definedName>
    <definedName name="IQ_BOARD_MEMBER_UNEXERCISABLE_VALUES" hidden="1">"c19017"</definedName>
    <definedName name="IQ_BOARD_MEMBER_UNEXERCISED_UNEARNED_OPTIONS" hidden="1">"c19020"</definedName>
    <definedName name="IQ_BOARD_MEMBER_UNEXERCISED_UNEARNED_OPTIONS_VALUE" hidden="1">"c19021"</definedName>
    <definedName name="IQ_BOARD_MEMBER_VALUE_VESTING" hidden="1">"c19027"</definedName>
    <definedName name="IQ_BOND_COUPON" hidden="1">"c2183"</definedName>
    <definedName name="IQ_BOND_COUPON_TYPE" hidden="1">"c2184"</definedName>
    <definedName name="IQ_BOND_LIST" hidden="1">"c13505"</definedName>
    <definedName name="IQ_BOND_PRICE" hidden="1">"c2162"</definedName>
    <definedName name="IQ_BONDRATING_FITCH" hidden="1">"c223"</definedName>
    <definedName name="IQ_BONDRATING_FITCH_DATE" hidden="1">"c241"</definedName>
    <definedName name="IQ_BONDRATING_SP" hidden="1">"c224"</definedName>
    <definedName name="IQ_BONDRATING_SP_DATE" hidden="1">"c242"</definedName>
    <definedName name="IQ_BOOK_VALUE" hidden="1">"IQ_BOOK_VALUE"</definedName>
    <definedName name="IQ_BOP" hidden="1">"c20560"</definedName>
    <definedName name="IQ_BOP_BALANCE_ON_CURRENT_ACCOUNT" hidden="1">"c20561"</definedName>
    <definedName name="IQ_BOP_BALANCE_ON_GOODS" hidden="1">"c20562"</definedName>
    <definedName name="IQ_BOP_BALANCE_ON_GOODS_SERVICES" hidden="1">"c20563"</definedName>
    <definedName name="IQ_BOP_BALANCE_ON_INCOME" hidden="1">"c20564"</definedName>
    <definedName name="IQ_BOP_BALANCE_ON_SERVICES" hidden="1">"c20565"</definedName>
    <definedName name="IQ_BOP_CAPITAL_TRANSACTION_NET" hidden="1">"c20566"</definedName>
    <definedName name="IQ_BOP_CURRENT_TRANSFER_GOVERNMENT_GRANTS" hidden="1">"c20567"</definedName>
    <definedName name="IQ_BOP_CURRENT_TRANSFER_GOVERNMENT_PENSIONS" hidden="1">"c20568"</definedName>
    <definedName name="IQ_BOP_CURRENT_TRANSFER_NET" hidden="1">"c20569"</definedName>
    <definedName name="IQ_BOP_CURRENT_TRANSFER_PRIVATE_TRANSFER" hidden="1">"c20570"</definedName>
    <definedName name="IQ_BOP_EXPORTS_AND_RECEIPTS" hidden="1">"c20571"</definedName>
    <definedName name="IQ_BOP_EXPORTS_GOODS" hidden="1">"c20572"</definedName>
    <definedName name="IQ_BOP_EXPORTS_GOODS_SERVICES" hidden="1">"c20573"</definedName>
    <definedName name="IQ_BOP_EXPORTS_SERVICES" hidden="1">"c20574"</definedName>
    <definedName name="IQ_BOP_EXPORTS_SERVICES_FARES" hidden="1">"c20575"</definedName>
    <definedName name="IQ_BOP_EXPORTS_SERVICES_GOVERNMENT_MISC" hidden="1">"c20576"</definedName>
    <definedName name="IQ_BOP_EXPORTS_SERVICES_MILITARY_SALES_CONTRACTS" hidden="1">"c20577"</definedName>
    <definedName name="IQ_BOP_EXPORTS_SERVICES_OTHER" hidden="1">"c20578"</definedName>
    <definedName name="IQ_BOP_EXPORTS_SERVICES_ROYALTIES" hidden="1">"c20579"</definedName>
    <definedName name="IQ_BOP_EXPORTS_SERVICES_TRANSPORTATION" hidden="1">"c20580"</definedName>
    <definedName name="IQ_BOP_EXPORTS_SERVICES_TRAVEL" hidden="1">"c20581"</definedName>
    <definedName name="IQ_BOP_FOREIGN_ASSETS" hidden="1">"c20582"</definedName>
    <definedName name="IQ_BOP_FOREIGN_ASSETS_OFFICIAL" hidden="1">"c20583"</definedName>
    <definedName name="IQ_BOP_FOREIGN_ASSETS_OFFICIAL_BANK_LIABILITIES" hidden="1">"c20584"</definedName>
    <definedName name="IQ_BOP_FOREIGN_ASSETS_OFFICIAL_GOVT_LIABILITIES" hidden="1">"c20585"</definedName>
    <definedName name="IQ_BOP_FOREIGN_ASSETS_OFFICIAL_GOVT_SECURITIES" hidden="1">"c20586"</definedName>
    <definedName name="IQ_BOP_FOREIGN_ASSETS_OFFICIAL_GOVT_SECURITIES_OTHER" hidden="1">"c20587"</definedName>
    <definedName name="IQ_BOP_FOREIGN_ASSETS_OFFICIAL_OTHER" hidden="1">"c20588"</definedName>
    <definedName name="IQ_BOP_FOREIGN_ASSETS_OFFICIAL_TREASURIES" hidden="1">"c20589"</definedName>
    <definedName name="IQ_BOP_FOREIGN_ASSETS_OTHER" hidden="1">"c20590"</definedName>
    <definedName name="IQ_BOP_FOREIGN_ASSETS_OTHER_BANK_LIABILITIES" hidden="1">"c20591"</definedName>
    <definedName name="IQ_BOP_FOREIGN_ASSETS_OTHER_CURRENCY" hidden="1">"c20592"</definedName>
    <definedName name="IQ_BOP_FOREIGN_ASSETS_OTHER_DIRECT_INVEST" hidden="1">"c20593"</definedName>
    <definedName name="IQ_BOP_FOREIGN_ASSETS_OTHER_LIABILITIES_TO_FOREIGNERS" hidden="1">"c20594"</definedName>
    <definedName name="IQ_BOP_FOREIGN_ASSETS_OTHER_SECURITIES" hidden="1">"c20595"</definedName>
    <definedName name="IQ_BOP_FOREIGN_ASSETS_OTHER_TREASURIES" hidden="1">"c20596"</definedName>
    <definedName name="IQ_BOP_IMPORTS_AND_PAYMENTS" hidden="1">"c20597"</definedName>
    <definedName name="IQ_BOP_IMPORTS_GOODS" hidden="1">"c20598"</definedName>
    <definedName name="IQ_BOP_IMPORTS_GOODS_SERVICES" hidden="1">"c20599"</definedName>
    <definedName name="IQ_BOP_IMPORTS_SERVICES" hidden="1">"c20600"</definedName>
    <definedName name="IQ_BOP_IMPORTS_SERVICES_DEF_EXPENDITURES" hidden="1">"c20601"</definedName>
    <definedName name="IQ_BOP_IMPORTS_SERVICES_FARES" hidden="1">"c20602"</definedName>
    <definedName name="IQ_BOP_IMPORTS_SERVICES_GOVERNMENT_MISC" hidden="1">"c20603"</definedName>
    <definedName name="IQ_BOP_IMPORTS_SERVICES_OTHER" hidden="1">"c20604"</definedName>
    <definedName name="IQ_BOP_IMPORTS_SERVICES_ROYALTIES" hidden="1">"c20605"</definedName>
    <definedName name="IQ_BOP_IMPORTS_SERVICES_TRANSPORTATION" hidden="1">"c20606"</definedName>
    <definedName name="IQ_BOP_IMPORTS_SERVICES_TRAVEL" hidden="1">"c20607"</definedName>
    <definedName name="IQ_BOP_PAYMENTS" hidden="1">"c20608"</definedName>
    <definedName name="IQ_BOP_PAYMENTS_DIRECT_INVEST" hidden="1">"c20609"</definedName>
    <definedName name="IQ_BOP_PAYMENTS_EMPLOYEE_COMPENSATION" hidden="1">"c20610"</definedName>
    <definedName name="IQ_BOP_PAYMENTS_FOREGN_OWNED_ASSETS" hidden="1">"c20611"</definedName>
    <definedName name="IQ_BOP_PAYMENTS_GOVT" hidden="1">"c20612"</definedName>
    <definedName name="IQ_BOP_PAYMENTS_OTHER" hidden="1">"c20613"</definedName>
    <definedName name="IQ_BOP_RECEIPTS" hidden="1">"c20614"</definedName>
    <definedName name="IQ_BOP_RECEIPTS_DIRECT_INVEST" hidden="1">"c20615"</definedName>
    <definedName name="IQ_BOP_RECEIPTS_EMPLOYEE_COMPENSATION" hidden="1">"c20616"</definedName>
    <definedName name="IQ_BOP_RECEIPTS_GOVT" hidden="1">"c20617"</definedName>
    <definedName name="IQ_BOP_RECEIPTS_OTHER" hidden="1">"c20618"</definedName>
    <definedName name="IQ_BOP_RECEIPTS_US_ASSETS_ABROAD" hidden="1">"c20619"</definedName>
    <definedName name="IQ_BOP_STATISTICAL_DISCREPANCY" hidden="1">"c20620"</definedName>
    <definedName name="IQ_BOP_US_ASSETS_ABROAD" hidden="1">"c20621"</definedName>
    <definedName name="IQ_BOP_US_GOVT_ASSETS" hidden="1">"c20622"</definedName>
    <definedName name="IQ_BOP_US_GOVT_ASSETS_FX" hidden="1">"c20623"</definedName>
    <definedName name="IQ_BOP_US_GOVT_ASSETS_US_CREDITS" hidden="1">"c20624"</definedName>
    <definedName name="IQ_BOP_US_GOVT_ASSETS_US_CREDITS_REPAYMENTS" hidden="1">"c20625"</definedName>
    <definedName name="IQ_BOP_US_PRIVATE_ASSETS" hidden="1">"c20626"</definedName>
    <definedName name="IQ_BOP_US_PRIVATE_ASSETS_CLAIMS_BANKS_BROKERS" hidden="1">"c20627"</definedName>
    <definedName name="IQ_BOP_US_PRIVATE_ASSETS_CLAIMS_ON_FOREIGNERS" hidden="1">"c20628"</definedName>
    <definedName name="IQ_BOP_US_PRIVATE_ASSETS_DIRECT_INVEST" hidden="1">"c20629"</definedName>
    <definedName name="IQ_BOP_US_PRIVATE_ASSETS_FOREIGN_SECURITIES" hidden="1">"c20630"</definedName>
    <definedName name="IQ_BOP_US_RESERVE_ASSETS" hidden="1">"c20631"</definedName>
    <definedName name="IQ_BOP_US_RESERVE_ASSETS_DRAWING_RIGHTS" hidden="1">"c20632"</definedName>
    <definedName name="IQ_BOP_US_RESERVE_ASSETS_FX" hidden="1">"c20633"</definedName>
    <definedName name="IQ_BOP_US_RESERVE_ASSETS_GOLD" hidden="1">"c20634"</definedName>
    <definedName name="IQ_BOP_US_RESERVE_ASSETS_IMF_RESERVES" hidden="1">"c20635"</definedName>
    <definedName name="IQ_BORROWED_MONEY_QUARTERLY_AVG_FFIEC" hidden="1">"c13091"</definedName>
    <definedName name="IQ_BORROWINGS_LESS_1YR_ASSETS_TOT_FFIEC" hidden="1">"c13450"</definedName>
    <definedName name="IQ_BROK_COMISSION" hidden="1">"c98"</definedName>
    <definedName name="IQ_BROK_COMMISSION" hidden="1">"c3514"</definedName>
    <definedName name="IQ_BROKER_DEPOSIT_LESS_THAN_100000_1_YR_LESS_FFIEC" hidden="1">"c15307"</definedName>
    <definedName name="IQ_BROKER_DEPOSIT_LESS_THAN_100000_1_YR_MORE_FFIEC" hidden="1">"c15308"</definedName>
    <definedName name="IQ_BROKER_DEPOSIT_LESS_THAN_100000_FFIEC" hidden="1">"c15306"</definedName>
    <definedName name="IQ_BROKER_DEPOSIT_MORE_THAN_100000_1_YR_LESS_FFIEC" hidden="1">"c15310"</definedName>
    <definedName name="IQ_BROKER_DEPOSIT_MORE_THAN_100000_1_YR_MORE_FFIEC" hidden="1">"c15311"</definedName>
    <definedName name="IQ_BROKER_DEPOSIT_MORE_THAN_100000_FFIEC" hidden="1">"c15309"</definedName>
    <definedName name="IQ_BROKERED_DEPOSITS_FDIC" hidden="1">"c6486"</definedName>
    <definedName name="IQ_BUDGET_BALANCE_APR_FC_UNUSED" hidden="1">"c8359"</definedName>
    <definedName name="IQ_BUDGET_BALANCE_APR_FC_UNUSED_UNUSED_UNUSED" hidden="1">"c8359"</definedName>
    <definedName name="IQ_BUDGET_BALANCE_APR_UNUSED" hidden="1">"c7479"</definedName>
    <definedName name="IQ_BUDGET_BALANCE_APR_UNUSED_UNUSED_UNUSED" hidden="1">"c7479"</definedName>
    <definedName name="IQ_BUDGET_BALANCE_FC_UNUSED" hidden="1">"c7699"</definedName>
    <definedName name="IQ_BUDGET_BALANCE_FC_UNUSED_UNUSED_UNUSED" hidden="1">"c7699"</definedName>
    <definedName name="IQ_BUDGET_BALANCE_POP_FC_UNUSED" hidden="1">"c7919"</definedName>
    <definedName name="IQ_BUDGET_BALANCE_POP_FC_UNUSED_UNUSED_UNUSED" hidden="1">"c7919"</definedName>
    <definedName name="IQ_BUDGET_BALANCE_POP_UNUSED" hidden="1">"c7039"</definedName>
    <definedName name="IQ_BUDGET_BALANCE_POP_UNUSED_UNUSED_UNUSED" hidden="1">"c7039"</definedName>
    <definedName name="IQ_BUDGET_BALANCE_SAAR" hidden="1">"c6820"</definedName>
    <definedName name="IQ_BUDGET_BALANCE_SAAR_APR" hidden="1">"c7480"</definedName>
    <definedName name="IQ_BUDGET_BALANCE_SAAR_APR_FC" hidden="1">"c8360"</definedName>
    <definedName name="IQ_BUDGET_BALANCE_SAAR_FC" hidden="1">"c7700"</definedName>
    <definedName name="IQ_BUDGET_BALANCE_SAAR_POP" hidden="1">"c7040"</definedName>
    <definedName name="IQ_BUDGET_BALANCE_SAAR_POP_FC" hidden="1">"c7920"</definedName>
    <definedName name="IQ_BUDGET_BALANCE_SAAR_YOY" hidden="1">"c7260"</definedName>
    <definedName name="IQ_BUDGET_BALANCE_SAAR_YOY_FC" hidden="1">"c8140"</definedName>
    <definedName name="IQ_BUDGET_BALANCE_UNUSED" hidden="1">"c6819"</definedName>
    <definedName name="IQ_BUDGET_BALANCE_UNUSED_UNUSED_UNUSED" hidden="1">"c6819"</definedName>
    <definedName name="IQ_BUDGET_BALANCE_YOY_FC_UNUSED" hidden="1">"c8139"</definedName>
    <definedName name="IQ_BUDGET_BALANCE_YOY_FC_UNUSED_UNUSED_UNUSED" hidden="1">"c8139"</definedName>
    <definedName name="IQ_BUDGET_BALANCE_YOY_UNUSED" hidden="1">"c7259"</definedName>
    <definedName name="IQ_BUDGET_BALANCE_YOY_UNUSED_UNUSED_UNUSED" hidden="1">"c7259"</definedName>
    <definedName name="IQ_BUDGET_RECEIPTS_APR_FC_UNUSED" hidden="1">"c8361"</definedName>
    <definedName name="IQ_BUDGET_RECEIPTS_APR_FC_UNUSED_UNUSED_UNUSED" hidden="1">"c8361"</definedName>
    <definedName name="IQ_BUDGET_RECEIPTS_APR_UNUSED" hidden="1">"c7481"</definedName>
    <definedName name="IQ_BUDGET_RECEIPTS_APR_UNUSED_UNUSED_UNUSED" hidden="1">"c7481"</definedName>
    <definedName name="IQ_BUDGET_RECEIPTS_FC_UNUSED" hidden="1">"c7701"</definedName>
    <definedName name="IQ_BUDGET_RECEIPTS_FC_UNUSED_UNUSED_UNUSED" hidden="1">"c7701"</definedName>
    <definedName name="IQ_BUDGET_RECEIPTS_POP_FC_UNUSED" hidden="1">"c7921"</definedName>
    <definedName name="IQ_BUDGET_RECEIPTS_POP_FC_UNUSED_UNUSED_UNUSED" hidden="1">"c7921"</definedName>
    <definedName name="IQ_BUDGET_RECEIPTS_POP_UNUSED" hidden="1">"c7041"</definedName>
    <definedName name="IQ_BUDGET_RECEIPTS_POP_UNUSED_UNUSED_UNUSED" hidden="1">"c7041"</definedName>
    <definedName name="IQ_BUDGET_RECEIPTS_UNUSED" hidden="1">"c6821"</definedName>
    <definedName name="IQ_BUDGET_RECEIPTS_UNUSED_UNUSED_UNUSED" hidden="1">"c6821"</definedName>
    <definedName name="IQ_BUDGET_RECEIPTS_YOY_FC_UNUSED" hidden="1">"c8141"</definedName>
    <definedName name="IQ_BUDGET_RECEIPTS_YOY_FC_UNUSED_UNUSED_UNUSED" hidden="1">"c8141"</definedName>
    <definedName name="IQ_BUDGET_RECEIPTS_YOY_UNUSED" hidden="1">"c7261"</definedName>
    <definedName name="IQ_BUDGET_RECEIPTS_YOY_UNUSED_UNUSED_UNUSED" hidden="1">"c7261"</definedName>
    <definedName name="IQ_BUDGET_SPENDING" hidden="1">"c6822"</definedName>
    <definedName name="IQ_BUDGET_SPENDING_APR" hidden="1">"c7482"</definedName>
    <definedName name="IQ_BUDGET_SPENDING_APR_FC" hidden="1">"c8362"</definedName>
    <definedName name="IQ_BUDGET_SPENDING_FC" hidden="1">"c7702"</definedName>
    <definedName name="IQ_BUDGET_SPENDING_POP" hidden="1">"c7042"</definedName>
    <definedName name="IQ_BUDGET_SPENDING_POP_FC" hidden="1">"c7922"</definedName>
    <definedName name="IQ_BUDGET_SPENDING_REAL" hidden="1">"c6958"</definedName>
    <definedName name="IQ_BUDGET_SPENDING_REAL_APR" hidden="1">"c7618"</definedName>
    <definedName name="IQ_BUDGET_SPENDING_REAL_APR_FC" hidden="1">"c8498"</definedName>
    <definedName name="IQ_BUDGET_SPENDING_REAL_FC" hidden="1">"c7838"</definedName>
    <definedName name="IQ_BUDGET_SPENDING_REAL_POP" hidden="1">"c7178"</definedName>
    <definedName name="IQ_BUDGET_SPENDING_REAL_POP_FC" hidden="1">"c8058"</definedName>
    <definedName name="IQ_BUDGET_SPENDING_REAL_SAAR" hidden="1">"c6959"</definedName>
    <definedName name="IQ_BUDGET_SPENDING_REAL_SAAR_APR" hidden="1">"c7619"</definedName>
    <definedName name="IQ_BUDGET_SPENDING_REAL_SAAR_APR_FC" hidden="1">"c8499"</definedName>
    <definedName name="IQ_BUDGET_SPENDING_REAL_SAAR_FC" hidden="1">"c7839"</definedName>
    <definedName name="IQ_BUDGET_SPENDING_REAL_SAAR_POP" hidden="1">"c7179"</definedName>
    <definedName name="IQ_BUDGET_SPENDING_REAL_SAAR_POP_FC" hidden="1">"c8059"</definedName>
    <definedName name="IQ_BUDGET_SPENDING_REAL_SAAR_USD" hidden="1">"c11906"</definedName>
    <definedName name="IQ_BUDGET_SPENDING_REAL_SAAR_USD_APR" hidden="1">"c11909"</definedName>
    <definedName name="IQ_BUDGET_SPENDING_REAL_SAAR_USD_POP" hidden="1">"c11907"</definedName>
    <definedName name="IQ_BUDGET_SPENDING_REAL_SAAR_USD_YOY" hidden="1">"c11908"</definedName>
    <definedName name="IQ_BUDGET_SPENDING_REAL_SAAR_YOY" hidden="1">"c7399"</definedName>
    <definedName name="IQ_BUDGET_SPENDING_REAL_SAAR_YOY_FC" hidden="1">"c8279"</definedName>
    <definedName name="IQ_BUDGET_SPENDING_REAL_YOY" hidden="1">"c7398"</definedName>
    <definedName name="IQ_BUDGET_SPENDING_REAL_YOY_FC" hidden="1">"c8278"</definedName>
    <definedName name="IQ_BUDGET_SPENDING_SAAR" hidden="1">"c6823"</definedName>
    <definedName name="IQ_BUDGET_SPENDING_SAAR_APR" hidden="1">"c7483"</definedName>
    <definedName name="IQ_BUDGET_SPENDING_SAAR_APR_FC" hidden="1">"c8363"</definedName>
    <definedName name="IQ_BUDGET_SPENDING_SAAR_FC" hidden="1">"c7703"</definedName>
    <definedName name="IQ_BUDGET_SPENDING_SAAR_POP" hidden="1">"c7043"</definedName>
    <definedName name="IQ_BUDGET_SPENDING_SAAR_POP_FC" hidden="1">"c7923"</definedName>
    <definedName name="IQ_BUDGET_SPENDING_SAAR_USD_APR_FC" hidden="1">"c11782"</definedName>
    <definedName name="IQ_BUDGET_SPENDING_SAAR_USD_FC" hidden="1">"c11779"</definedName>
    <definedName name="IQ_BUDGET_SPENDING_SAAR_USD_POP_FC" hidden="1">"c11780"</definedName>
    <definedName name="IQ_BUDGET_SPENDING_SAAR_USD_YOY_FC" hidden="1">"c11781"</definedName>
    <definedName name="IQ_BUDGET_SPENDING_SAAR_YOY" hidden="1">"c7263"</definedName>
    <definedName name="IQ_BUDGET_SPENDING_SAAR_YOY_FC" hidden="1">"c8143"</definedName>
    <definedName name="IQ_BUDGET_SPENDING_USD_APR_FC" hidden="1">"c11778"</definedName>
    <definedName name="IQ_BUDGET_SPENDING_USD_FC" hidden="1">"c11775"</definedName>
    <definedName name="IQ_BUDGET_SPENDING_USD_POP_FC" hidden="1">"c11776"</definedName>
    <definedName name="IQ_BUDGET_SPENDING_USD_YOY_FC" hidden="1">"c11777"</definedName>
    <definedName name="IQ_BUDGET_SPENDING_YOY" hidden="1">"c7262"</definedName>
    <definedName name="IQ_BUDGET_SPENDING_YOY_FC" hidden="1">"c8142"</definedName>
    <definedName name="IQ_BUILDINGS" hidden="1">"c99"</definedName>
    <definedName name="IQ_BUS_SEG_ASSETS" hidden="1">"c4067"</definedName>
    <definedName name="IQ_BUS_SEG_ASSETS_ABS" hidden="1">"c4089"</definedName>
    <definedName name="IQ_BUS_SEG_ASSETS_TOTAL" hidden="1">"c4112"</definedName>
    <definedName name="IQ_BUS_SEG_CAPEX" hidden="1">"c4079"</definedName>
    <definedName name="IQ_BUS_SEG_CAPEX_ABS" hidden="1">"c4101"</definedName>
    <definedName name="IQ_BUS_SEG_CAPEX_TOTAL" hidden="1">"c4116"</definedName>
    <definedName name="IQ_BUS_SEG_DA" hidden="1">"c4078"</definedName>
    <definedName name="IQ_BUS_SEG_DA_ABS" hidden="1">"c4100"</definedName>
    <definedName name="IQ_BUS_SEG_DA_TOTAL" hidden="1">"c4115"</definedName>
    <definedName name="IQ_BUS_SEG_DESCRIPTION" hidden="1">"c15589"</definedName>
    <definedName name="IQ_BUS_SEG_DESCRIPTION_ABS" hidden="1">"c15577"</definedName>
    <definedName name="IQ_BUS_SEG_EARNINGS_OP" hidden="1">"c4063"</definedName>
    <definedName name="IQ_BUS_SEG_EARNINGS_OP_ABS" hidden="1">"c4085"</definedName>
    <definedName name="IQ_BUS_SEG_EARNINGS_OP_TOTAL" hidden="1">"c4108"</definedName>
    <definedName name="IQ_BUS_SEG_EBT" hidden="1">"c4064"</definedName>
    <definedName name="IQ_BUS_SEG_EBT_ABS" hidden="1">"c4086"</definedName>
    <definedName name="IQ_BUS_SEG_EBT_TOTAL" hidden="1">"c4110"</definedName>
    <definedName name="IQ_BUS_SEG_GP" hidden="1">"c4066"</definedName>
    <definedName name="IQ_BUS_SEG_GP_ABS" hidden="1">"c4088"</definedName>
    <definedName name="IQ_BUS_SEG_GP_TOTAL" hidden="1">"c4109"</definedName>
    <definedName name="IQ_BUS_SEG_INC_TAX" hidden="1">"c4077"</definedName>
    <definedName name="IQ_BUS_SEG_INC_TAX_ABS" hidden="1">"c4099"</definedName>
    <definedName name="IQ_BUS_SEG_INC_TAX_TOTAL" hidden="1">"c4114"</definedName>
    <definedName name="IQ_BUS_SEG_INTEREST_EXP" hidden="1">"c4076"</definedName>
    <definedName name="IQ_BUS_SEG_INTEREST_EXP_ABS" hidden="1">"c4098"</definedName>
    <definedName name="IQ_BUS_SEG_INTEREST_EXP_TOTAL" hidden="1">"c4113"</definedName>
    <definedName name="IQ_BUS_SEG_NAIC" hidden="1">"c15588"</definedName>
    <definedName name="IQ_BUS_SEG_NAIC_ABS" hidden="1">"c15576"</definedName>
    <definedName name="IQ_BUS_SEG_NAME" hidden="1">"c5482"</definedName>
    <definedName name="IQ_BUS_SEG_NAME_ABS" hidden="1">"c5483"</definedName>
    <definedName name="IQ_BUS_SEG_NI" hidden="1">"c4065"</definedName>
    <definedName name="IQ_BUS_SEG_NI_ABS" hidden="1">"c4087"</definedName>
    <definedName name="IQ_BUS_SEG_NI_TOTAL" hidden="1">"c4111"</definedName>
    <definedName name="IQ_BUS_SEG_OPER_INC" hidden="1">"c4062"</definedName>
    <definedName name="IQ_BUS_SEG_OPER_INC_ABS" hidden="1">"c4084"</definedName>
    <definedName name="IQ_BUS_SEG_OPER_INC_TOTAL" hidden="1">"c4107"</definedName>
    <definedName name="IQ_BUS_SEG_PRIMARY_GIC" hidden="1">"c15584"</definedName>
    <definedName name="IQ_BUS_SEG_PRIMARY_GIC_ABS" hidden="1">"c15572"</definedName>
    <definedName name="IQ_BUS_SEG_PRIMARY_SIC" hidden="1">"c15586"</definedName>
    <definedName name="IQ_BUS_SEG_PRIMARY_SIC_ABS" hidden="1">"c15574"</definedName>
    <definedName name="IQ_BUS_SEG_REV" hidden="1">"c4068"</definedName>
    <definedName name="IQ_BUS_SEG_REV_ABS" hidden="1">"c4090"</definedName>
    <definedName name="IQ_BUS_SEG_REV_TOTAL" hidden="1">"c4106"</definedName>
    <definedName name="IQ_BUS_SEG_SECONDARY_GIC" hidden="1">"c15585"</definedName>
    <definedName name="IQ_BUS_SEG_SECONDARY_GIC_ABS" hidden="1">"c15573"</definedName>
    <definedName name="IQ_BUS_SEG_SECONDARY_SIC" hidden="1">"c15587"</definedName>
    <definedName name="IQ_BUS_SEG_SECONDARY_SIC_ABS" hidden="1">"c15575"</definedName>
    <definedName name="IQ_BUSINESS_COMBINATIONS_FFIEC" hidden="1">"c12967"</definedName>
    <definedName name="IQ_BUSINESS_DESCRIPTION" hidden="1">"c322"</definedName>
    <definedName name="IQ_BV_ACT_OR_EST_CIQ" hidden="1">"c5068"</definedName>
    <definedName name="IQ_BV_ACT_OR_EST_CIQ_COL" hidden="1">"c11715"</definedName>
    <definedName name="IQ_BV_ACT_OR_EST_REUT" hidden="1">"c5471"</definedName>
    <definedName name="IQ_BV_ACT_OR_EST_THOM" hidden="1">"c5308"</definedName>
    <definedName name="IQ_BV_EST" hidden="1">"c5624"</definedName>
    <definedName name="IQ_BV_EST_CIQ" hidden="1">"c4737"</definedName>
    <definedName name="IQ_BV_EST_REUT" hidden="1">"c5403"</definedName>
    <definedName name="IQ_BV_EST_THOM" hidden="1">"c5147"</definedName>
    <definedName name="IQ_BV_HIGH_EST" hidden="1">"c5626"</definedName>
    <definedName name="IQ_BV_HIGH_EST_CIQ" hidden="1">"c4739"</definedName>
    <definedName name="IQ_BV_HIGH_EST_REUT" hidden="1">"c5405"</definedName>
    <definedName name="IQ_BV_HIGH_EST_THOM" hidden="1">"c5149"</definedName>
    <definedName name="IQ_BV_LOW_EST" hidden="1">"c5627"</definedName>
    <definedName name="IQ_BV_LOW_EST_CIQ" hidden="1">"c4740"</definedName>
    <definedName name="IQ_BV_LOW_EST_REUT" hidden="1">"c5406"</definedName>
    <definedName name="IQ_BV_LOW_EST_THOM" hidden="1">"c5150"</definedName>
    <definedName name="IQ_BV_MEDIAN_EST" hidden="1">"c5625"</definedName>
    <definedName name="IQ_BV_MEDIAN_EST_CIQ" hidden="1">"c4738"</definedName>
    <definedName name="IQ_BV_MEDIAN_EST_REUT" hidden="1">"c5404"</definedName>
    <definedName name="IQ_BV_MEDIAN_EST_THOM" hidden="1">"c5148"</definedName>
    <definedName name="IQ_BV_NUM_EST" hidden="1">"c5628"</definedName>
    <definedName name="IQ_BV_NUM_EST_CIQ" hidden="1">"c4741"</definedName>
    <definedName name="IQ_BV_NUM_EST_REUT" hidden="1">"c5407"</definedName>
    <definedName name="IQ_BV_NUM_EST_THOM" hidden="1">"c5151"</definedName>
    <definedName name="IQ_BV_OVER_SHARES" hidden="1">"c100"</definedName>
    <definedName name="IQ_BV_SHARE" hidden="1">"c100"</definedName>
    <definedName name="IQ_BV_SHARE_ACT_OR_EST" hidden="1">"c3587"</definedName>
    <definedName name="IQ_BV_SHARE_ACT_OR_EST_CIQ" hidden="1">"c5072"</definedName>
    <definedName name="IQ_BV_SHARE_ACT_OR_EST_CIQ_COL" hidden="1">"c11719"</definedName>
    <definedName name="IQ_BV_SHARE_ACT_OR_EST_REUT" hidden="1">"c5477"</definedName>
    <definedName name="IQ_BV_SHARE_ACT_OR_EST_THOM" hidden="1">"c5312"</definedName>
    <definedName name="IQ_BV_SHARE_DET_EST" hidden="1">"c12047"</definedName>
    <definedName name="IQ_BV_SHARE_DET_EST_CURRENCY" hidden="1">"c12456"</definedName>
    <definedName name="IQ_BV_SHARE_DET_EST_CURRENCY_THOM" hidden="1">"c12476"</definedName>
    <definedName name="IQ_BV_SHARE_DET_EST_DATE" hidden="1">"c12200"</definedName>
    <definedName name="IQ_BV_SHARE_DET_EST_DATE_THOM" hidden="1">"c12225"</definedName>
    <definedName name="IQ_BV_SHARE_DET_EST_INCL" hidden="1">"c12339"</definedName>
    <definedName name="IQ_BV_SHARE_DET_EST_INCL_THOM" hidden="1">"c12359"</definedName>
    <definedName name="IQ_BV_SHARE_DET_EST_ORIGIN" hidden="1">"c12573"</definedName>
    <definedName name="IQ_BV_SHARE_DET_EST_ORIGIN_THOM" hidden="1">"c12595"</definedName>
    <definedName name="IQ_BV_SHARE_DET_EST_THOM" hidden="1">"c12075"</definedName>
    <definedName name="IQ_BV_SHARE_EST" hidden="1">"c3541"</definedName>
    <definedName name="IQ_BV_SHARE_EST_CIQ" hidden="1">"c3800"</definedName>
    <definedName name="IQ_BV_SHARE_EST_REUT" hidden="1">"c5439"</definedName>
    <definedName name="IQ_BV_SHARE_EST_THOM" hidden="1">"c4020"</definedName>
    <definedName name="IQ_BV_SHARE_HIGH_EST" hidden="1">"c3542"</definedName>
    <definedName name="IQ_BV_SHARE_HIGH_EST_CIQ" hidden="1">"c3802"</definedName>
    <definedName name="IQ_BV_SHARE_HIGH_EST_REUT" hidden="1">"c5441"</definedName>
    <definedName name="IQ_BV_SHARE_HIGH_EST_THOM" hidden="1">"c4022"</definedName>
    <definedName name="IQ_BV_SHARE_LOW_EST" hidden="1">"c3543"</definedName>
    <definedName name="IQ_BV_SHARE_LOW_EST_CIQ" hidden="1">"c3803"</definedName>
    <definedName name="IQ_BV_SHARE_LOW_EST_REUT" hidden="1">"c5442"</definedName>
    <definedName name="IQ_BV_SHARE_LOW_EST_THOM" hidden="1">"c4023"</definedName>
    <definedName name="IQ_BV_SHARE_MEDIAN_EST" hidden="1">"c3544"</definedName>
    <definedName name="IQ_BV_SHARE_MEDIAN_EST_CIQ" hidden="1">"c3801"</definedName>
    <definedName name="IQ_BV_SHARE_MEDIAN_EST_REUT" hidden="1">"c5440"</definedName>
    <definedName name="IQ_BV_SHARE_MEDIAN_EST_THOM" hidden="1">"c4021"</definedName>
    <definedName name="IQ_BV_SHARE_NUM_EST" hidden="1">"c3539"</definedName>
    <definedName name="IQ_BV_SHARE_NUM_EST_CIQ" hidden="1">"c3804"</definedName>
    <definedName name="IQ_BV_SHARE_NUM_EST_REUT" hidden="1">"c5443"</definedName>
    <definedName name="IQ_BV_SHARE_NUM_EST_THOM" hidden="1">"c4024"</definedName>
    <definedName name="IQ_BV_SHARE_STDDEV_EST" hidden="1">"c3540"</definedName>
    <definedName name="IQ_BV_SHARE_STDDEV_EST_CIQ" hidden="1">"c3805"</definedName>
    <definedName name="IQ_BV_SHARE_STDDEV_EST_REUT" hidden="1">"c5444"</definedName>
    <definedName name="IQ_BV_SHARE_STDDEV_EST_THOM" hidden="1">"c4025"</definedName>
    <definedName name="IQ_BV_STDDEV_EST" hidden="1">"c5629"</definedName>
    <definedName name="IQ_BV_STDDEV_EST_CIQ" hidden="1">"c4742"</definedName>
    <definedName name="IQ_BV_STDDEV_EST_REUT" hidden="1">"c5408"</definedName>
    <definedName name="IQ_BV_STDDEV_EST_THOM" hidden="1">"c5152"</definedName>
    <definedName name="IQ_CA_AP" hidden="1">"c8881"</definedName>
    <definedName name="IQ_CA_AP_ABS" hidden="1">"c8900"</definedName>
    <definedName name="IQ_CA_NAME_AP" hidden="1">"c8919"</definedName>
    <definedName name="IQ_CA_NAME_AP_ABS" hidden="1">"c8938"</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BUS_PHONE" hidden="1">"c15773"</definedName>
    <definedName name="IQ_CABLE_SUBS_DIG" hidden="1">"c2856"</definedName>
    <definedName name="IQ_CABLE_SUBS_LONG_DIST_PHONE" hidden="1">"c15775"</definedName>
    <definedName name="IQ_CABLE_SUBS_NON_VIDEO" hidden="1">"c2860"</definedName>
    <definedName name="IQ_CABLE_SUBS_PHONE" hidden="1">"c2859"</definedName>
    <definedName name="IQ_CABLE_SUBS_RES_PHONE" hidden="1">"c15772"</definedName>
    <definedName name="IQ_CABLE_SUBS_SATELITE" hidden="1">"c15771"</definedName>
    <definedName name="IQ_CABLE_SUBS_TOTAL" hidden="1">"c2862"</definedName>
    <definedName name="IQ_CABLE_SUBS_WHOLE_PHONE" hidden="1">"c15774"</definedName>
    <definedName name="IQ_CABLE_THP" hidden="1">"c2847"</definedName>
    <definedName name="IQ_CABLE_TOTAL_PENETRATION" hidden="1">"c2854"</definedName>
    <definedName name="IQ_CABLE_TOTAL_REV" hidden="1">"c2883"</definedName>
    <definedName name="IQ_CAL_Q" hidden="1">"c101"</definedName>
    <definedName name="IQ_CAL_Q_EST" hidden="1">"c6796"</definedName>
    <definedName name="IQ_CAL_Q_EST_CIQ" hidden="1">"c6808"</definedName>
    <definedName name="IQ_CAL_Q_EST_CIQ_COL" hidden="1">"c11743"</definedName>
    <definedName name="IQ_CAL_Q_EST_REUT" hidden="1">"c6800"</definedName>
    <definedName name="IQ_CAL_Q_EST_THOM" hidden="1">"c6804"</definedName>
    <definedName name="IQ_CAL_Y" hidden="1">"c102"</definedName>
    <definedName name="IQ_CAL_Y_EST" hidden="1">"c6797"</definedName>
    <definedName name="IQ_CAL_Y_EST_CIQ" hidden="1">"c6809"</definedName>
    <definedName name="IQ_CAL_Y_EST_CIQ_COL" hidden="1">"c11744"</definedName>
    <definedName name="IQ_CAL_Y_EST_REUT" hidden="1">"c6801"</definedName>
    <definedName name="IQ_CAL_Y_EST_THOM" hidden="1">"c6805"</definedName>
    <definedName name="IQ_CALC_TYPE_BS" hidden="1">"c3086"</definedName>
    <definedName name="IQ_CALC_TYPE_CF" hidden="1">"c3085"</definedName>
    <definedName name="IQ_CALC_TYPE_IS" hidden="1">"c3084"</definedName>
    <definedName name="IQ_CALL_DATE_SCHEDULE" hidden="1">"c2481"</definedName>
    <definedName name="IQ_CALL_FEATURE" hidden="1">"c2197"</definedName>
    <definedName name="IQ_CALL_PRICE_SCHEDULE" hidden="1">"c2482"</definedName>
    <definedName name="IQ_CALLABLE" hidden="1">"c2196"</definedName>
    <definedName name="IQ_CAP_INVEST_CABLE" hidden="1">"c15794"</definedName>
    <definedName name="IQ_CAP_INVEST_COMMERCIAL" hidden="1">"c15800"</definedName>
    <definedName name="IQ_CAP_INVEST_CUST_PREMISE_EQUIP" hidden="1">"c15795"</definedName>
    <definedName name="IQ_CAP_INVEST_LINE_EXTENSIONS" hidden="1">"c15797"</definedName>
    <definedName name="IQ_CAP_INVEST_SCALABLE_INFRASTRUCTURE" hidden="1">"c15796"</definedName>
    <definedName name="IQ_CAP_INVEST_SUPPORT" hidden="1">"c15799"</definedName>
    <definedName name="IQ_CAP_INVEST_UPGRADE_REBUILD" hidden="1">"c15798"</definedName>
    <definedName name="IQ_CAP_LOSS_CF_1YR" hidden="1">"c3474"</definedName>
    <definedName name="IQ_CAP_LOSS_CF_2YR" hidden="1">"c3475"</definedName>
    <definedName name="IQ_CAP_LOSS_CF_3YR" hidden="1">"c3476"</definedName>
    <definedName name="IQ_CAP_LOSS_CF_4YR" hidden="1">"c3477"</definedName>
    <definedName name="IQ_CAP_LOSS_CF_5YR" hidden="1">"c3478"</definedName>
    <definedName name="IQ_CAP_LOSS_CF_AFTER_FIVE" hidden="1">"c3479"</definedName>
    <definedName name="IQ_CAP_LOSS_CF_MAX_YEAR" hidden="1">"c3482"</definedName>
    <definedName name="IQ_CAP_LOSS_CF_NO_EXP" hidden="1">"c3480"</definedName>
    <definedName name="IQ_CAP_LOSS_CF_TOTAL" hidden="1">"c3481"</definedName>
    <definedName name="IQ_CAP_UTIL_RATE" hidden="1">"c6824"</definedName>
    <definedName name="IQ_CAP_UTIL_RATE_POP" hidden="1">"c7044"</definedName>
    <definedName name="IQ_CAP_UTIL_RATE_YOY" hidden="1">"c7264"</definedName>
    <definedName name="IQ_CAPEX" hidden="1">"c103"</definedName>
    <definedName name="IQ_CAPEX_10YR_ANN_CAGR" hidden="1">"c6050"</definedName>
    <definedName name="IQ_CAPEX_10YR_ANN_GROWTH" hidden="1">"c104"</definedName>
    <definedName name="IQ_CAPEX_1YR_ANN_GROWTH" hidden="1">"c105"</definedName>
    <definedName name="IQ_CAPEX_2YR_ANN_CAGR" hidden="1">"c6051"</definedName>
    <definedName name="IQ_CAPEX_2YR_ANN_GROWTH" hidden="1">"c106"</definedName>
    <definedName name="IQ_CAPEX_3YR_ANN_CAGR" hidden="1">"c6052"</definedName>
    <definedName name="IQ_CAPEX_3YR_ANN_GROWTH" hidden="1">"c107"</definedName>
    <definedName name="IQ_CAPEX_5YR_ANN_CAGR" hidden="1">"c6053"</definedName>
    <definedName name="IQ_CAPEX_5YR_ANN_GROWTH" hidden="1">"c108"</definedName>
    <definedName name="IQ_CAPEX_7YR_ANN_CAGR" hidden="1">"c6054"</definedName>
    <definedName name="IQ_CAPEX_7YR_ANN_GROWTH" hidden="1">"c109"</definedName>
    <definedName name="IQ_CAPEX_ACT_OR_EST" hidden="1">"c3584"</definedName>
    <definedName name="IQ_CAPEX_ACT_OR_EST_CIQ" hidden="1">"c5071"</definedName>
    <definedName name="IQ_CAPEX_ACT_OR_EST_CIQ_COL" hidden="1">"c11718"</definedName>
    <definedName name="IQ_CAPEX_ACT_OR_EST_REUT" hidden="1">"c5474"</definedName>
    <definedName name="IQ_CAPEX_ACT_OR_EST_THOM" hidden="1">"c5546"</definedName>
    <definedName name="IQ_CAPEX_BNK" hidden="1">"c110"</definedName>
    <definedName name="IQ_CAPEX_BR" hidden="1">"c111"</definedName>
    <definedName name="IQ_CAPEX_CM" hidden="1">"c111"</definedName>
    <definedName name="IQ_CAPEX_DET_EST" hidden="1">"c12048"</definedName>
    <definedName name="IQ_CAPEX_DET_EST_CURRENCY" hidden="1">"c12457"</definedName>
    <definedName name="IQ_CAPEX_DET_EST_CURRENCY_THOM" hidden="1">"c12477"</definedName>
    <definedName name="IQ_CAPEX_DET_EST_DATE" hidden="1">"c12201"</definedName>
    <definedName name="IQ_CAPEX_DET_EST_DATE_THOM" hidden="1">"c12226"</definedName>
    <definedName name="IQ_CAPEX_DET_EST_INCL" hidden="1">"c12340"</definedName>
    <definedName name="IQ_CAPEX_DET_EST_INCL_THOM" hidden="1">"c12360"</definedName>
    <definedName name="IQ_CAPEX_DET_EST_ORIGIN" hidden="1">"c12765"</definedName>
    <definedName name="IQ_CAPEX_DET_EST_ORIGIN_THOM" hidden="1">"c12596"</definedName>
    <definedName name="IQ_CAPEX_DET_EST_THOM" hidden="1">"c12076"</definedName>
    <definedName name="IQ_CAPEX_EST" hidden="1">"c3523"</definedName>
    <definedName name="IQ_CAPEX_EST_CIQ" hidden="1">"c3807"</definedName>
    <definedName name="IQ_CAPEX_EST_REUT" hidden="1">"c3969"</definedName>
    <definedName name="IQ_CAPEX_EST_THOM" hidden="1">"c5502"</definedName>
    <definedName name="IQ_CAPEX_FIN" hidden="1">"c112"</definedName>
    <definedName name="IQ_CAPEX_GUIDANCE" hidden="1">"c4150"</definedName>
    <definedName name="IQ_CAPEX_GUIDANCE_CIQ" hidden="1">"c4562"</definedName>
    <definedName name="IQ_CAPEX_GUIDANCE_CIQ_COL" hidden="1">"c11211"</definedName>
    <definedName name="IQ_CAPEX_HIGH_EST" hidden="1">"c3524"</definedName>
    <definedName name="IQ_CAPEX_HIGH_EST_CIQ" hidden="1">"c3809"</definedName>
    <definedName name="IQ_CAPEX_HIGH_EST_REUT" hidden="1">"c3971"</definedName>
    <definedName name="IQ_CAPEX_HIGH_EST_THOM" hidden="1">"c5504"</definedName>
    <definedName name="IQ_CAPEX_HIGH_GUIDANCE" hidden="1">"c4180"</definedName>
    <definedName name="IQ_CAPEX_HIGH_GUIDANCE_CIQ" hidden="1">"c4592"</definedName>
    <definedName name="IQ_CAPEX_HIGH_GUIDANCE_CIQ_COL" hidden="1">"c11241"</definedName>
    <definedName name="IQ_CAPEX_INS" hidden="1">"c113"</definedName>
    <definedName name="IQ_CAPEX_LOW_EST" hidden="1">"c3525"</definedName>
    <definedName name="IQ_CAPEX_LOW_EST_CIQ" hidden="1">"c3810"</definedName>
    <definedName name="IQ_CAPEX_LOW_EST_REUT" hidden="1">"c3972"</definedName>
    <definedName name="IQ_CAPEX_LOW_EST_THOM" hidden="1">"c5505"</definedName>
    <definedName name="IQ_CAPEX_LOW_GUIDANCE" hidden="1">"c4220"</definedName>
    <definedName name="IQ_CAPEX_LOW_GUIDANCE_CIQ" hidden="1">"c4632"</definedName>
    <definedName name="IQ_CAPEX_LOW_GUIDANCE_CIQ_COL" hidden="1">"c11281"</definedName>
    <definedName name="IQ_CAPEX_MEDIAN_EST" hidden="1">"c3526"</definedName>
    <definedName name="IQ_CAPEX_MEDIAN_EST_CIQ" hidden="1">"c3808"</definedName>
    <definedName name="IQ_CAPEX_MEDIAN_EST_REUT" hidden="1">"c3970"</definedName>
    <definedName name="IQ_CAPEX_MEDIAN_EST_THOM" hidden="1">"c5503"</definedName>
    <definedName name="IQ_CAPEX_NUM_EST" hidden="1">"c3521"</definedName>
    <definedName name="IQ_CAPEX_NUM_EST_CIQ" hidden="1">"c3811"</definedName>
    <definedName name="IQ_CAPEX_NUM_EST_REUT" hidden="1">"c3973"</definedName>
    <definedName name="IQ_CAPEX_NUM_EST_THOM" hidden="1">"c5506"</definedName>
    <definedName name="IQ_CAPEX_PCT_REV" hidden="1">"c19144"</definedName>
    <definedName name="IQ_CAPEX_STDDEV_EST" hidden="1">"c3522"</definedName>
    <definedName name="IQ_CAPEX_STDDEV_EST_CIQ" hidden="1">"c3812"</definedName>
    <definedName name="IQ_CAPEX_STDDEV_EST_REUT" hidden="1">"c3974"</definedName>
    <definedName name="IQ_CAPEX_STDDEV_EST_THOM" hidden="1">"c5507"</definedName>
    <definedName name="IQ_CAPEX_UTI" hidden="1">"c114"</definedName>
    <definedName name="IQ_CAPITAL_ALLOCATION_ADJUSTMENT_FOREIGN_FFIEC" hidden="1">"c15389"</definedName>
    <definedName name="IQ_CAPITAL_LEASE" hidden="1">"c115"</definedName>
    <definedName name="IQ_CAPITAL_LEASES" hidden="1">"c115"</definedName>
    <definedName name="IQ_CAPITAL_LEASES_TOTAL" hidden="1">"c3031"</definedName>
    <definedName name="IQ_CAPITAL_LEASES_TOTAL_PCT" hidden="1">"c2506"</definedName>
    <definedName name="IQ_CAPITAL_RAISED_PERIOD_COVERED" hidden="1">"c9959"</definedName>
    <definedName name="IQ_CAPITAL_RAISED_PERIOD_GROUP" hidden="1">"c9945"</definedName>
    <definedName name="IQ_CAPITAL_UNDER_MANAGE" hidden="1">"c18929"</definedName>
    <definedName name="IQ_CAPITAL_UNDER_MANAGE_CURRENCY" hidden="1">"c19171"</definedName>
    <definedName name="IQ_CAPITAL_UNDER_MANAGE_DATE" hidden="1">"c18930"</definedName>
    <definedName name="IQ_CAPITALIZED_INTEREST" hidden="1">"c2076"</definedName>
    <definedName name="IQ_CAPITALIZED_INTEREST_BOP" hidden="1">"c3459"</definedName>
    <definedName name="IQ_CAPITALIZED_INTEREST_EOP" hidden="1">"c3464"</definedName>
    <definedName name="IQ_CAPITALIZED_INTEREST_EXP" hidden="1">"c3461"</definedName>
    <definedName name="IQ_CAPITALIZED_INTEREST_OTHER_ADJ" hidden="1">"c3463"</definedName>
    <definedName name="IQ_CAPITALIZED_INTEREST_WRITE_OFF" hidden="1">"c3462"</definedName>
    <definedName name="IQ_CASH" hidden="1">"c118"</definedName>
    <definedName name="IQ_CASH_ACQUIRE_CF" hidden="1">"c1630"</definedName>
    <definedName name="IQ_CASH_BALANCES_DUE_FFIEC" hidden="1">"c12773"</definedName>
    <definedName name="IQ_CASH_BANKS_FOREIGN_COUNTRIES_DOM_FFIEC" hidden="1">"c15289"</definedName>
    <definedName name="IQ_CASH_COLLECTION_UNPOSTED_DEBITS_CURRENCY_FFIEC" hidden="1">"c15279"</definedName>
    <definedName name="IQ_CASH_COLLECTION_UNPOSTED_DEBITS_DOM_FFIEC" hidden="1">"c15286"</definedName>
    <definedName name="IQ_CASH_CONVERSION" hidden="1">"c117"</definedName>
    <definedName name="IQ_CASH_COST_ALUM" hidden="1">"c9252"</definedName>
    <definedName name="IQ_CASH_COST_COAL" hidden="1">"c9825"</definedName>
    <definedName name="IQ_CASH_COST_COP" hidden="1">"c9199"</definedName>
    <definedName name="IQ_CASH_COST_DIAM" hidden="1">"c9676"</definedName>
    <definedName name="IQ_CASH_COST_GOLD" hidden="1">"c9037"</definedName>
    <definedName name="IQ_CASH_COST_IRON" hidden="1">"c9411"</definedName>
    <definedName name="IQ_CASH_COST_LEAD" hidden="1">"c9464"</definedName>
    <definedName name="IQ_CASH_COST_MANG" hidden="1">"c9517"</definedName>
    <definedName name="IQ_CASH_COST_MET_COAL" hidden="1">"c9762"</definedName>
    <definedName name="IQ_CASH_COST_MOLYB" hidden="1">"c9729"</definedName>
    <definedName name="IQ_CASH_COST_NICK" hidden="1">"c9305"</definedName>
    <definedName name="IQ_CASH_COST_PER_SUB" hidden="1">"c15763"</definedName>
    <definedName name="IQ_CASH_COST_PLAT" hidden="1">"c9143"</definedName>
    <definedName name="IQ_CASH_COST_SILVER" hidden="1">"c9090"</definedName>
    <definedName name="IQ_CASH_COST_STEAM" hidden="1">"c9792"</definedName>
    <definedName name="IQ_CASH_COST_TITAN" hidden="1">"c9570"</definedName>
    <definedName name="IQ_CASH_COST_URAN" hidden="1">"c9623"</definedName>
    <definedName name="IQ_CASH_COST_ZINC" hidden="1">"c9358"</definedName>
    <definedName name="IQ_CASH_DEPOSITORY_INSTIT_US_DOM_FFIEC" hidden="1">"c15288"</definedName>
    <definedName name="IQ_CASH_DIVIDENDS_NET_INCOME_FDIC" hidden="1">"c6738"</definedName>
    <definedName name="IQ_CASH_DUE_BANKS" hidden="1">"c118"</definedName>
    <definedName name="IQ_CASH_DUE_OTHER_FED_RESERVE_BANKS_DOM_FFIEC" hidden="1">"c15290"</definedName>
    <definedName name="IQ_CASH_DUE_OTHER_FED_RESERVE_BANKS_FFIEC" hidden="1">"c15284"</definedName>
    <definedName name="IQ_CASH_DUE_US_BRANCH_FOREIGN_BANK_FFIEC" hidden="1">"c15280"</definedName>
    <definedName name="IQ_CASH_EPS_ACT_OR_EST" hidden="1">"c5638"</definedName>
    <definedName name="IQ_CASH_EPS_ACT_OR_EST_THOM" hidden="1">"c5646"</definedName>
    <definedName name="IQ_CASH_EPS_DET_EST_CURRENCY_THOM" hidden="1">"c12478"</definedName>
    <definedName name="IQ_CASH_EPS_DET_EST_DATE_THOM" hidden="1">"c12227"</definedName>
    <definedName name="IQ_CASH_EPS_DET_EST_INCL_THOM" hidden="1">"c12361"</definedName>
    <definedName name="IQ_CASH_EPS_DET_EST_ORIGIN_THOM" hidden="1">"c12597"</definedName>
    <definedName name="IQ_CASH_EPS_DET_EST_THOM" hidden="1">"c12077"</definedName>
    <definedName name="IQ_CASH_EPS_EST" hidden="1">"c5631"</definedName>
    <definedName name="IQ_CASH_EPS_EST_THOM" hidden="1">"c5639"</definedName>
    <definedName name="IQ_CASH_EPS_HIGH_EST" hidden="1">"c5633"</definedName>
    <definedName name="IQ_CASH_EPS_HIGH_EST_THOM" hidden="1">"c5641"</definedName>
    <definedName name="IQ_CASH_EPS_LOW_EST" hidden="1">"c5634"</definedName>
    <definedName name="IQ_CASH_EPS_LOW_EST_THOM" hidden="1">"c5642"</definedName>
    <definedName name="IQ_CASH_EPS_MEDIAN_EST" hidden="1">"c5632"</definedName>
    <definedName name="IQ_CASH_EPS_MEDIAN_EST_THOM" hidden="1">"c5640"</definedName>
    <definedName name="IQ_CASH_EPS_NUM_EST" hidden="1">"c5635"</definedName>
    <definedName name="IQ_CASH_EPS_NUM_EST_THOM" hidden="1">"c5643"</definedName>
    <definedName name="IQ_CASH_EPS_STDDEV_EST" hidden="1">"c5636"</definedName>
    <definedName name="IQ_CASH_EPS_STDDEV_EST_THOM" hidden="1">"c5644"</definedName>
    <definedName name="IQ_CASH_EQUIV" hidden="1">"c118"</definedName>
    <definedName name="IQ_CASH_FINAN" hidden="1">"c119"</definedName>
    <definedName name="IQ_CASH_FINAN_AP" hidden="1">"c8890"</definedName>
    <definedName name="IQ_CASH_FINAN_AP_ABS" hidden="1">"c8909"</definedName>
    <definedName name="IQ_CASH_FINAN_NAME_AP" hidden="1">"c8928"</definedName>
    <definedName name="IQ_CASH_FINAN_NAME_AP_ABS" hidden="1">"c8947"</definedName>
    <definedName name="IQ_CASH_FINAN_SUBTOTAL_AP" hidden="1">"c10111"</definedName>
    <definedName name="IQ_CASH_FLOW_ACT_OR_EST" hidden="1">"c4154"</definedName>
    <definedName name="IQ_CASH_FLOW_ACT_OR_EST_CIQ" hidden="1">"c4566"</definedName>
    <definedName name="IQ_CASH_FLOW_ACT_OR_EST_CIQ_COL" hidden="1">"c11215"</definedName>
    <definedName name="IQ_CASH_FLOW_EST" hidden="1">"c4153"</definedName>
    <definedName name="IQ_CASH_FLOW_EST_CIQ" hidden="1">"c4565"</definedName>
    <definedName name="IQ_CASH_FLOW_GUIDANCE" hidden="1">"c4155"</definedName>
    <definedName name="IQ_CASH_FLOW_GUIDANCE_CIQ" hidden="1">"c4567"</definedName>
    <definedName name="IQ_CASH_FLOW_GUIDANCE_CIQ_COL" hidden="1">"c11216"</definedName>
    <definedName name="IQ_CASH_FLOW_HIGH_EST" hidden="1">"c4156"</definedName>
    <definedName name="IQ_CASH_FLOW_HIGH_EST_CIQ" hidden="1">"c4568"</definedName>
    <definedName name="IQ_CASH_FLOW_HIGH_GUIDANCE" hidden="1">"c4201"</definedName>
    <definedName name="IQ_CASH_FLOW_HIGH_GUIDANCE_CIQ" hidden="1">"c4613"</definedName>
    <definedName name="IQ_CASH_FLOW_HIGH_GUIDANCE_CIQ_COL" hidden="1">"c11262"</definedName>
    <definedName name="IQ_CASH_FLOW_LOW_EST" hidden="1">"c4157"</definedName>
    <definedName name="IQ_CASH_FLOW_LOW_EST_CIQ" hidden="1">"c4569"</definedName>
    <definedName name="IQ_CASH_FLOW_LOW_GUIDANCE" hidden="1">"c4241"</definedName>
    <definedName name="IQ_CASH_FLOW_LOW_GUIDANCE_CIQ" hidden="1">"c4653"</definedName>
    <definedName name="IQ_CASH_FLOW_LOW_GUIDANCE_CIQ_COL" hidden="1">"c11302"</definedName>
    <definedName name="IQ_CASH_FLOW_MEDIAN_EST" hidden="1">"c4158"</definedName>
    <definedName name="IQ_CASH_FLOW_MEDIAN_EST_CIQ" hidden="1">"c4570"</definedName>
    <definedName name="IQ_CASH_FLOW_NUM_EST" hidden="1">"c4159"</definedName>
    <definedName name="IQ_CASH_FLOW_NUM_EST_CIQ" hidden="1">"c4571"</definedName>
    <definedName name="IQ_CASH_FLOW_STDDEV_EST" hidden="1">"c4160"</definedName>
    <definedName name="IQ_CASH_FLOW_STDDEV_EST_CIQ" hidden="1">"c4572"</definedName>
    <definedName name="IQ_CASH_FOREIGN_BRANCH_OTHER_US_BANKS_FFIEC" hidden="1">"c15282"</definedName>
    <definedName name="IQ_CASH_IN_PROCESS_FDIC" hidden="1">"c6386"</definedName>
    <definedName name="IQ_CASH_INTEREST" hidden="1">"c120"</definedName>
    <definedName name="IQ_CASH_INTEREST_FINAN" hidden="1">"c6295"</definedName>
    <definedName name="IQ_CASH_INTEREST_INVEST" hidden="1">"c6294"</definedName>
    <definedName name="IQ_CASH_INTEREST_NET" hidden="1">"c12753"</definedName>
    <definedName name="IQ_CASH_INTEREST_OPER" hidden="1">"c6293"</definedName>
    <definedName name="IQ_CASH_INTEREST_RECEIVED" hidden="1">"c12754"</definedName>
    <definedName name="IQ_CASH_INVEST" hidden="1">"c121"</definedName>
    <definedName name="IQ_CASH_INVEST_AP" hidden="1">"c8889"</definedName>
    <definedName name="IQ_CASH_INVEST_AP_ABS" hidden="1">"c8908"</definedName>
    <definedName name="IQ_CASH_INVEST_NAME_AP" hidden="1">"c8927"</definedName>
    <definedName name="IQ_CASH_INVEST_NAME_AP_ABS" hidden="1">"c8946"</definedName>
    <definedName name="IQ_CASH_INVEST_SUBTOTAL_AP" hidden="1">"c8991"</definedName>
    <definedName name="IQ_CASH_OPER" hidden="1">"c122"</definedName>
    <definedName name="IQ_CASH_OPER_ACT_OR_EST" hidden="1">"c4164"</definedName>
    <definedName name="IQ_CASH_OPER_ACT_OR_EST_CIQ" hidden="1">"c4576"</definedName>
    <definedName name="IQ_CASH_OPER_ACT_OR_EST_CIQ_COL" hidden="1">"c11225"</definedName>
    <definedName name="IQ_CASH_OPER_AP" hidden="1">"c8888"</definedName>
    <definedName name="IQ_CASH_OPER_AP_ABS" hidden="1">"c8907"</definedName>
    <definedName name="IQ_CASH_OPER_EST" hidden="1">"c4163"</definedName>
    <definedName name="IQ_CASH_OPER_EST_CIQ" hidden="1">"c4575"</definedName>
    <definedName name="IQ_CASH_OPER_GUIDANCE" hidden="1">"c4165"</definedName>
    <definedName name="IQ_CASH_OPER_GUIDANCE_CIQ" hidden="1">"c4577"</definedName>
    <definedName name="IQ_CASH_OPER_GUIDANCE_CIQ_COL" hidden="1">"c11226"</definedName>
    <definedName name="IQ_CASH_OPER_HIGH_EST" hidden="1">"c4166"</definedName>
    <definedName name="IQ_CASH_OPER_HIGH_EST_CIQ" hidden="1">"c4578"</definedName>
    <definedName name="IQ_CASH_OPER_HIGH_GUIDANCE" hidden="1">"c4185"</definedName>
    <definedName name="IQ_CASH_OPER_HIGH_GUIDANCE_CIQ" hidden="1">"c4597"</definedName>
    <definedName name="IQ_CASH_OPER_HIGH_GUIDANCE_CIQ_COL" hidden="1">"c11246"</definedName>
    <definedName name="IQ_CASH_OPER_LOW_EST" hidden="1">"c4244"</definedName>
    <definedName name="IQ_CASH_OPER_LOW_EST_CIQ" hidden="1">"c4768"</definedName>
    <definedName name="IQ_CASH_OPER_LOW_GUIDANCE" hidden="1">"c4225"</definedName>
    <definedName name="IQ_CASH_OPER_LOW_GUIDANCE_CIQ" hidden="1">"c4637"</definedName>
    <definedName name="IQ_CASH_OPER_LOW_GUIDANCE_CIQ_COL" hidden="1">"c11286"</definedName>
    <definedName name="IQ_CASH_OPER_MEDIAN_EST" hidden="1">"c4245"</definedName>
    <definedName name="IQ_CASH_OPER_MEDIAN_EST_CIQ" hidden="1">"c4771"</definedName>
    <definedName name="IQ_CASH_OPER_NAME_AP" hidden="1">"c8926"</definedName>
    <definedName name="IQ_CASH_OPER_NAME_AP_ABS" hidden="1">"c8945"</definedName>
    <definedName name="IQ_CASH_OPER_NUM_EST" hidden="1">"c4246"</definedName>
    <definedName name="IQ_CASH_OPER_NUM_EST_CIQ" hidden="1">"c4772"</definedName>
    <definedName name="IQ_CASH_OPER_STDDEV_EST" hidden="1">"c4247"</definedName>
    <definedName name="IQ_CASH_OPER_STDDEV_EST_CIQ" hidden="1">"c4773"</definedName>
    <definedName name="IQ_CASH_OPER_SUBTOTAL_AP" hidden="1">"c8990"</definedName>
    <definedName name="IQ_CASH_OTHER_ADJ_AP" hidden="1">"c8891"</definedName>
    <definedName name="IQ_CASH_OTHER_ADJ_AP_ABS" hidden="1">"c8910"</definedName>
    <definedName name="IQ_CASH_OTHER_ADJ_NAME_AP" hidden="1">"c8929"</definedName>
    <definedName name="IQ_CASH_OTHER_ADJ_NAME_AP_ABS" hidden="1">"c8948"</definedName>
    <definedName name="IQ_CASH_OTHER_BANKS_FOREIGN_COUNTRIES_FFIEC" hidden="1">"c15283"</definedName>
    <definedName name="IQ_CASH_OTHER_US_COMM_BANK_DEP_INSTIT_FFIEC" hidden="1">"c15281"</definedName>
    <definedName name="IQ_CASH_SEGREG" hidden="1">"c123"</definedName>
    <definedName name="IQ_CASH_SHARE" hidden="1">"c1911"</definedName>
    <definedName name="IQ_CASH_ST" hidden="1">"c124"</definedName>
    <definedName name="IQ_CASH_ST_INVEST" hidden="1">"c124"</definedName>
    <definedName name="IQ_CASH_ST_INVEST_EST" hidden="1">"c4249"</definedName>
    <definedName name="IQ_CASH_ST_INVEST_EST_CIQ" hidden="1">"c4775"</definedName>
    <definedName name="IQ_CASH_ST_INVEST_GUIDANCE" hidden="1">"c4250"</definedName>
    <definedName name="IQ_CASH_ST_INVEST_GUIDANCE_CIQ" hidden="1">"c4776"</definedName>
    <definedName name="IQ_CASH_ST_INVEST_GUIDANCE_CIQ_COL" hidden="1">"c11423"</definedName>
    <definedName name="IQ_CASH_ST_INVEST_HIGH_EST" hidden="1">"c4251"</definedName>
    <definedName name="IQ_CASH_ST_INVEST_HIGH_EST_CIQ" hidden="1">"c4777"</definedName>
    <definedName name="IQ_CASH_ST_INVEST_HIGH_GUIDANCE" hidden="1">"c4195"</definedName>
    <definedName name="IQ_CASH_ST_INVEST_HIGH_GUIDANCE_CIQ" hidden="1">"c4607"</definedName>
    <definedName name="IQ_CASH_ST_INVEST_HIGH_GUIDANCE_CIQ_COL" hidden="1">"c11256"</definedName>
    <definedName name="IQ_CASH_ST_INVEST_LOW_EST" hidden="1">"c4252"</definedName>
    <definedName name="IQ_CASH_ST_INVEST_LOW_EST_CIQ" hidden="1">"c4778"</definedName>
    <definedName name="IQ_CASH_ST_INVEST_LOW_GUIDANCE" hidden="1">"c4235"</definedName>
    <definedName name="IQ_CASH_ST_INVEST_LOW_GUIDANCE_CIQ" hidden="1">"c4647"</definedName>
    <definedName name="IQ_CASH_ST_INVEST_LOW_GUIDANCE_CIQ_COL" hidden="1">"c11296"</definedName>
    <definedName name="IQ_CASH_ST_INVEST_MEDIAN_EST" hidden="1">"c4253"</definedName>
    <definedName name="IQ_CASH_ST_INVEST_MEDIAN_EST_CIQ" hidden="1">"c4779"</definedName>
    <definedName name="IQ_CASH_ST_INVEST_NUM_EST" hidden="1">"c4254"</definedName>
    <definedName name="IQ_CASH_ST_INVEST_NUM_EST_CIQ" hidden="1">"c4780"</definedName>
    <definedName name="IQ_CASH_ST_INVEST_STDDEV_EST" hidden="1">"c4255"</definedName>
    <definedName name="IQ_CASH_ST_INVEST_STDDEV_EST_CIQ" hidden="1">"c4781"</definedName>
    <definedName name="IQ_CASH_STRUCTURED_PRODUCTS_AVAIL_SALE_FFIEC" hidden="1">"c15263"</definedName>
    <definedName name="IQ_CASH_STRUCTURED_PRODUCTS_FFIEC" hidden="1">"c15260"</definedName>
    <definedName name="IQ_CASH_TAXES" hidden="1">"c125"</definedName>
    <definedName name="IQ_CASH_TAXES_FINAN" hidden="1">"c6292"</definedName>
    <definedName name="IQ_CASH_TAXES_INVEST" hidden="1">"c6291"</definedName>
    <definedName name="IQ_CASH_TAXES_OPER" hidden="1">"c6290"</definedName>
    <definedName name="IQ_CATASTROPHIC_LOSS_RATIO" hidden="1">"c15881"</definedName>
    <definedName name="IQ_CCE_FDIC" hidden="1">"c6296"</definedName>
    <definedName name="IQ_CDS_5YR_CIQID" hidden="1">"c11751"</definedName>
    <definedName name="IQ_CDS_ASK" hidden="1">"c6027"</definedName>
    <definedName name="IQ_CDS_BID" hidden="1">"c6026"</definedName>
    <definedName name="IQ_CDS_COUPON" hidden="1">"c15234"</definedName>
    <definedName name="IQ_CDS_CURRENCY" hidden="1">"c6031"</definedName>
    <definedName name="IQ_CDS_DERIVATIVES_BENEFICIARY_FFIEC" hidden="1">"c13119"</definedName>
    <definedName name="IQ_CDS_DERIVATIVES_GUARANTOR_FFIEC" hidden="1">"c13112"</definedName>
    <definedName name="IQ_CDS_EVAL_DATE" hidden="1">"c6029"</definedName>
    <definedName name="IQ_CDS_LIST" hidden="1">"c13510"</definedName>
    <definedName name="IQ_CDS_LOAN_LIST" hidden="1">"c13518"</definedName>
    <definedName name="IQ_CDS_MID" hidden="1">"c6028"</definedName>
    <definedName name="IQ_CDS_NAME" hidden="1">"c6034"</definedName>
    <definedName name="IQ_CDS_NEXT_SERIES_ID" hidden="1">"c15231"</definedName>
    <definedName name="IQ_CDS_PREV_SERIES_ID" hidden="1">"c15232"</definedName>
    <definedName name="IQ_CDS_PRICE_TYPE" hidden="1">"c15233"</definedName>
    <definedName name="IQ_CDS_SENIOR_LIST" hidden="1">"c13508"</definedName>
    <definedName name="IQ_CDS_SUB_LIST" hidden="1">"c13509"</definedName>
    <definedName name="IQ_CDS_TERM" hidden="1">"c6030"</definedName>
    <definedName name="IQ_CDS_TYPE" hidden="1">"c6025"</definedName>
    <definedName name="IQ_CEDED_AH_EARNED" hidden="1">"c2743"</definedName>
    <definedName name="IQ_CEDED_CLAIM_ADJ_EXP_RESERVE_BOP" hidden="1">"c15875"</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LOSSES" hidden="1">"c15872"</definedName>
    <definedName name="IQ_CEDED_PC_EARNED" hidden="1">"c2748"</definedName>
    <definedName name="IQ_CEDED_PREMIUMS_EARNED_GROSS_PREMIUMS_EARNED" hidden="1">"c15887"</definedName>
    <definedName name="IQ_CEDED_PREMIUMS_WRITTEN_GROSS_PREMIUMS_WRITTEN" hidden="1">"c15885"</definedName>
    <definedName name="IQ_CEDED_WRITTEN" hidden="1">"c2727"</definedName>
    <definedName name="IQ_CEO_ID" hidden="1">"c15210"</definedName>
    <definedName name="IQ_CEO_NAME" hidden="1">"c15209"</definedName>
    <definedName name="IQ_CERTIFIED_OFFICIAL_CHECKS_TRANS_ACCTS_FFIEC" hidden="1">"c15320"</definedName>
    <definedName name="IQ_CFO_10YR_ANN_CAGR" hidden="1">"c6055"</definedName>
    <definedName name="IQ_CFO_10YR_ANN_GROWTH" hidden="1">"c126"</definedName>
    <definedName name="IQ_CFO_1YR_ANN_GROWTH" hidden="1">"c127"</definedName>
    <definedName name="IQ_CFO_2YR_ANN_CAGR" hidden="1">"c6056"</definedName>
    <definedName name="IQ_CFO_2YR_ANN_GROWTH" hidden="1">"c128"</definedName>
    <definedName name="IQ_CFO_3YR_ANN_CAGR" hidden="1">"c6057"</definedName>
    <definedName name="IQ_CFO_3YR_ANN_GROWTH" hidden="1">"c129"</definedName>
    <definedName name="IQ_CFO_5YR_ANN_CAGR" hidden="1">"c6058"</definedName>
    <definedName name="IQ_CFO_5YR_ANN_GROWTH" hidden="1">"c130"</definedName>
    <definedName name="IQ_CFO_7YR_ANN_CAGR" hidden="1">"c6059"</definedName>
    <definedName name="IQ_CFO_7YR_ANN_GROWTH" hidden="1">"c131"</definedName>
    <definedName name="IQ_CFO_CURRENT_LIAB" hidden="1">"c132"</definedName>
    <definedName name="IQ_CFO_ID" hidden="1">"c15212"</definedName>
    <definedName name="IQ_CFO_NAME" hidden="1">"c15211"</definedName>
    <definedName name="IQ_CFPS_ACT_OR_EST" hidden="1">"c2217"</definedName>
    <definedName name="IQ_CFPS_ACT_OR_EST_CIQ" hidden="1">"c5061"</definedName>
    <definedName name="IQ_CFPS_ACT_OR_EST_CIQ_COL" hidden="1">"c11708"</definedName>
    <definedName name="IQ_CFPS_ACT_OR_EST_REUT" hidden="1">"c5463"</definedName>
    <definedName name="IQ_CFPS_ACT_OR_EST_THOM" hidden="1">"c5301"</definedName>
    <definedName name="IQ_CFPS_DET_EST" hidden="1">"c12049"</definedName>
    <definedName name="IQ_CFPS_DET_EST_CURRENCY" hidden="1">"c12458"</definedName>
    <definedName name="IQ_CFPS_DET_EST_CURRENCY_THOM" hidden="1">"c12479"</definedName>
    <definedName name="IQ_CFPS_DET_EST_DATE" hidden="1">"c12202"</definedName>
    <definedName name="IQ_CFPS_DET_EST_DATE_THOM" hidden="1">"c12228"</definedName>
    <definedName name="IQ_CFPS_DET_EST_INCL" hidden="1">"c12341"</definedName>
    <definedName name="IQ_CFPS_DET_EST_INCL_THOM" hidden="1">"c12362"</definedName>
    <definedName name="IQ_CFPS_DET_EST_ORIGIN" hidden="1">"c12575"</definedName>
    <definedName name="IQ_CFPS_DET_EST_ORIGIN_THOM" hidden="1">"c12598"</definedName>
    <definedName name="IQ_CFPS_DET_EST_THOM" hidden="1">"c12078"</definedName>
    <definedName name="IQ_CFPS_EST" hidden="1">"c1667"</definedName>
    <definedName name="IQ_CFPS_EST_CIQ" hidden="1">"c3675"</definedName>
    <definedName name="IQ_CFPS_EST_REUT" hidden="1">"c3844"</definedName>
    <definedName name="IQ_CFPS_EST_THOM" hidden="1">"c4006"</definedName>
    <definedName name="IQ_CFPS_GUIDANCE" hidden="1">"c4256"</definedName>
    <definedName name="IQ_CFPS_GUIDANCE_CIQ" hidden="1">"c4782"</definedName>
    <definedName name="IQ_CFPS_GUIDANCE_CIQ_COL" hidden="1">"c11429"</definedName>
    <definedName name="IQ_CFPS_HIGH_EST" hidden="1">"c1669"</definedName>
    <definedName name="IQ_CFPS_HIGH_EST_CIQ" hidden="1">"c3677"</definedName>
    <definedName name="IQ_CFPS_HIGH_EST_REUT" hidden="1">"c3846"</definedName>
    <definedName name="IQ_CFPS_HIGH_EST_THOM" hidden="1">"c4008"</definedName>
    <definedName name="IQ_CFPS_HIGH_GUIDANCE" hidden="1">"c4167"</definedName>
    <definedName name="IQ_CFPS_HIGH_GUIDANCE_CIQ" hidden="1">"c4579"</definedName>
    <definedName name="IQ_CFPS_HIGH_GUIDANCE_CIQ_COL" hidden="1">"c11228"</definedName>
    <definedName name="IQ_CFPS_LOW_EST" hidden="1">"c1670"</definedName>
    <definedName name="IQ_CFPS_LOW_EST_CIQ" hidden="1">"c3678"</definedName>
    <definedName name="IQ_CFPS_LOW_EST_REUT" hidden="1">"c3847"</definedName>
    <definedName name="IQ_CFPS_LOW_EST_THOM" hidden="1">"c4009"</definedName>
    <definedName name="IQ_CFPS_LOW_GUIDANCE" hidden="1">"c4207"</definedName>
    <definedName name="IQ_CFPS_LOW_GUIDANCE_CIQ" hidden="1">"c4619"</definedName>
    <definedName name="IQ_CFPS_LOW_GUIDANCE_CIQ_COL" hidden="1">"c11268"</definedName>
    <definedName name="IQ_CFPS_MEDIAN_EST" hidden="1">"c1668"</definedName>
    <definedName name="IQ_CFPS_MEDIAN_EST_CIQ" hidden="1">"c3676"</definedName>
    <definedName name="IQ_CFPS_MEDIAN_EST_REUT" hidden="1">"c3845"</definedName>
    <definedName name="IQ_CFPS_MEDIAN_EST_THOM" hidden="1">"c4007"</definedName>
    <definedName name="IQ_CFPS_NUM_EST" hidden="1">"c1671"</definedName>
    <definedName name="IQ_CFPS_NUM_EST_CIQ" hidden="1">"c3679"</definedName>
    <definedName name="IQ_CFPS_NUM_EST_REUT" hidden="1">"c3848"</definedName>
    <definedName name="IQ_CFPS_NUM_EST_THOM" hidden="1">"c4010"</definedName>
    <definedName name="IQ_CFPS_STDDEV_EST" hidden="1">"c1672"</definedName>
    <definedName name="IQ_CFPS_STDDEV_EST_CIQ" hidden="1">"c3680"</definedName>
    <definedName name="IQ_CFPS_STDDEV_EST_REUT" hidden="1">"c3849"</definedName>
    <definedName name="IQ_CFPS_STDDEV_EST_THOM" hidden="1">"c4011"</definedName>
    <definedName name="IQ_CH" hidden="1">110000</definedName>
    <definedName name="IQ_CHAIRMAN_ID" hidden="1">"c15218"</definedName>
    <definedName name="IQ_CHAIRMAN_NAME" hidden="1">"c15217"</definedName>
    <definedName name="IQ_CHANGE_AP" hidden="1">"c133"</definedName>
    <definedName name="IQ_CHANGE_AP_BNK" hidden="1">"c134"</definedName>
    <definedName name="IQ_CHANGE_AP_BR" hidden="1">"c135"</definedName>
    <definedName name="IQ_CHANGE_AP_CM" hidden="1">"c135"</definedName>
    <definedName name="IQ_CHANGE_AP_FIN" hidden="1">"c136"</definedName>
    <definedName name="IQ_CHANGE_AP_INS" hidden="1">"c137"</definedName>
    <definedName name="IQ_CHANGE_AP_RE" hidden="1">"c6200"</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CM" hidden="1">"c142"</definedName>
    <definedName name="IQ_CHANGE_AR_FIN" hidden="1">"c143"</definedName>
    <definedName name="IQ_CHANGE_AR_INS" hidden="1">"c144"</definedName>
    <definedName name="IQ_CHANGE_AR_RE" hidden="1">"c6201"</definedName>
    <definedName name="IQ_CHANGE_AR_REIT" hidden="1">"c145"</definedName>
    <definedName name="IQ_CHANGE_AR_UTI" hidden="1">"c146"</definedName>
    <definedName name="IQ_CHANGE_DEF_TAX" hidden="1">"c147"</definedName>
    <definedName name="IQ_CHANGE_DEF_TAX_TOTAL" hidden="1">"c15557"</definedName>
    <definedName name="IQ_CHANGE_DEPOSIT_ACCT" hidden="1">"c148"</definedName>
    <definedName name="IQ_CHANGE_FAIR_VALUE_FINANCIAL_LIAB_T1_FFIEC" hidden="1">"c13138"</definedName>
    <definedName name="IQ_CHANGE_FAIR_VALUE_OPTIONS_FFIEC" hidden="1">"c13045"</definedName>
    <definedName name="IQ_CHANGE_INC_TAX" hidden="1">"c149"</definedName>
    <definedName name="IQ_CHANGE_INS_RES_LIAB" hidden="1">"c150"</definedName>
    <definedName name="IQ_CHANGE_INVENT" hidden="1">"c6826"</definedName>
    <definedName name="IQ_CHANGE_INVENT_APR" hidden="1">"c7486"</definedName>
    <definedName name="IQ_CHANGE_INVENT_POP" hidden="1">"c7046"</definedName>
    <definedName name="IQ_CHANGE_INVENT_REAL_APR_FC_UNUSED" hidden="1">"c8500"</definedName>
    <definedName name="IQ_CHANGE_INVENT_REAL_APR_FC_UNUSED_UNUSED_UNUSED" hidden="1">"c8500"</definedName>
    <definedName name="IQ_CHANGE_INVENT_REAL_APR_UNUSED" hidden="1">"c7620"</definedName>
    <definedName name="IQ_CHANGE_INVENT_REAL_APR_UNUSED_UNUSED_UNUSED" hidden="1">"c7620"</definedName>
    <definedName name="IQ_CHANGE_INVENT_REAL_FC_UNUSED" hidden="1">"c7840"</definedName>
    <definedName name="IQ_CHANGE_INVENT_REAL_FC_UNUSED_UNUSED_UNUSED" hidden="1">"c7840"</definedName>
    <definedName name="IQ_CHANGE_INVENT_REAL_POP_FC_UNUSED" hidden="1">"c8060"</definedName>
    <definedName name="IQ_CHANGE_INVENT_REAL_POP_FC_UNUSED_UNUSED_UNUSED" hidden="1">"c8060"</definedName>
    <definedName name="IQ_CHANGE_INVENT_REAL_POP_UNUSED" hidden="1">"c7180"</definedName>
    <definedName name="IQ_CHANGE_INVENT_REAL_POP_UNUSED_UNUSED_UNUSED" hidden="1">"c7180"</definedName>
    <definedName name="IQ_CHANGE_INVENT_REAL_SAAR" hidden="1">"c6962"</definedName>
    <definedName name="IQ_CHANGE_INVENT_REAL_SAAR_APR" hidden="1">"c7622"</definedName>
    <definedName name="IQ_CHANGE_INVENT_REAL_SAAR_APR_FC" hidden="1">"c8502"</definedName>
    <definedName name="IQ_CHANGE_INVENT_REAL_SAAR_FC" hidden="1">"c7842"</definedName>
    <definedName name="IQ_CHANGE_INVENT_REAL_SAAR_POP" hidden="1">"c7182"</definedName>
    <definedName name="IQ_CHANGE_INVENT_REAL_SAAR_POP_FC" hidden="1">"c8062"</definedName>
    <definedName name="IQ_CHANGE_INVENT_REAL_SAAR_USD_APR_FC" hidden="1">"c11917"</definedName>
    <definedName name="IQ_CHANGE_INVENT_REAL_SAAR_USD_FC" hidden="1">"c11914"</definedName>
    <definedName name="IQ_CHANGE_INVENT_REAL_SAAR_USD_POP_FC" hidden="1">"c11915"</definedName>
    <definedName name="IQ_CHANGE_INVENT_REAL_SAAR_USD_YOY_FC" hidden="1">"c11916"</definedName>
    <definedName name="IQ_CHANGE_INVENT_REAL_SAAR_YOY" hidden="1">"c7402"</definedName>
    <definedName name="IQ_CHANGE_INVENT_REAL_SAAR_YOY_FC" hidden="1">"c8282"</definedName>
    <definedName name="IQ_CHANGE_INVENT_REAL_UNUSED" hidden="1">"c6960"</definedName>
    <definedName name="IQ_CHANGE_INVENT_REAL_UNUSED_UNUSED_UNUSED" hidden="1">"c6960"</definedName>
    <definedName name="IQ_CHANGE_INVENT_REAL_USD_APR_FC" hidden="1">"c11913"</definedName>
    <definedName name="IQ_CHANGE_INVENT_REAL_USD_FC" hidden="1">"c11910"</definedName>
    <definedName name="IQ_CHANGE_INVENT_REAL_USD_POP_FC" hidden="1">"c11911"</definedName>
    <definedName name="IQ_CHANGE_INVENT_REAL_USD_YOY_FC" hidden="1">"c11912"</definedName>
    <definedName name="IQ_CHANGE_INVENT_REAL_YOY_FC_UNUSED" hidden="1">"c8280"</definedName>
    <definedName name="IQ_CHANGE_INVENT_REAL_YOY_FC_UNUSED_UNUSED_UNUSED" hidden="1">"c8280"</definedName>
    <definedName name="IQ_CHANGE_INVENT_REAL_YOY_UNUSED" hidden="1">"c7400"</definedName>
    <definedName name="IQ_CHANGE_INVENT_REAL_YOY_UNUSED_UNUSED_UNUSED" hidden="1">"c7400"</definedName>
    <definedName name="IQ_CHANGE_INVENT_SAAR" hidden="1">"c6827"</definedName>
    <definedName name="IQ_CHANGE_INVENT_SAAR_APR" hidden="1">"c7487"</definedName>
    <definedName name="IQ_CHANGE_INVENT_SAAR_APR_FC" hidden="1">"c8367"</definedName>
    <definedName name="IQ_CHANGE_INVENT_SAAR_FC" hidden="1">"c7707"</definedName>
    <definedName name="IQ_CHANGE_INVENT_SAAR_POP" hidden="1">"c7047"</definedName>
    <definedName name="IQ_CHANGE_INVENT_SAAR_POP_FC" hidden="1">"c7927"</definedName>
    <definedName name="IQ_CHANGE_INVENT_SAAR_YOY" hidden="1">"c7267"</definedName>
    <definedName name="IQ_CHANGE_INVENT_SAAR_YOY_FC" hidden="1">"c8147"</definedName>
    <definedName name="IQ_CHANGE_INVENT_YOY" hidden="1">"c7266"</definedName>
    <definedName name="IQ_CHANGE_INVENTORY" hidden="1">"c151"</definedName>
    <definedName name="IQ_CHANGE_NET_OPER_ASSETS" hidden="1">"c3592"</definedName>
    <definedName name="IQ_CHANGE_NET_WORKING_CAPITAL" hidden="1">"c1909"</definedName>
    <definedName name="IQ_CHANGE_OTHER_NET_OPER_ASSETS" hidden="1">"c3593"</definedName>
    <definedName name="IQ_CHANGE_OTHER_NET_OPER_ASSETS_BNK" hidden="1">"c3594"</definedName>
    <definedName name="IQ_CHANGE_OTHER_NET_OPER_ASSETS_BR" hidden="1">"c3595"</definedName>
    <definedName name="IQ_CHANGE_OTHER_NET_OPER_ASSETS_CM" hidden="1">"c3595"</definedName>
    <definedName name="IQ_CHANGE_OTHER_NET_OPER_ASSETS_FIN" hidden="1">"c3596"</definedName>
    <definedName name="IQ_CHANGE_OTHER_NET_OPER_ASSETS_INS" hidden="1">"c3597"</definedName>
    <definedName name="IQ_CHANGE_OTHER_NET_OPER_ASSETS_RE" hidden="1">"c6285"</definedName>
    <definedName name="IQ_CHANGE_OTHER_NET_OPER_ASSETS_REIT" hidden="1">"c3598"</definedName>
    <definedName name="IQ_CHANGE_OTHER_NET_OPER_ASSETS_UTI" hidden="1">"c3599"</definedName>
    <definedName name="IQ_CHANGE_OTHER_WORK_CAP" hidden="1">"c152"</definedName>
    <definedName name="IQ_CHANGE_OTHER_WORK_CAP_BNK" hidden="1">"c153"</definedName>
    <definedName name="IQ_CHANGE_OTHER_WORK_CAP_BR" hidden="1">"c154"</definedName>
    <definedName name="IQ_CHANGE_OTHER_WORK_CAP_CM"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PRIVATE_INVENT" hidden="1">"c6828"</definedName>
    <definedName name="IQ_CHANGE_PRIVATE_INVENT_APR" hidden="1">"c7488"</definedName>
    <definedName name="IQ_CHANGE_PRIVATE_INVENT_APR_FC" hidden="1">"c8368"</definedName>
    <definedName name="IQ_CHANGE_PRIVATE_INVENT_FC" hidden="1">"c7708"</definedName>
    <definedName name="IQ_CHANGE_PRIVATE_INVENT_POP" hidden="1">"c7048"</definedName>
    <definedName name="IQ_CHANGE_PRIVATE_INVENT_POP_FC" hidden="1">"c7928"</definedName>
    <definedName name="IQ_CHANGE_PRIVATE_INVENT_YOY" hidden="1">"c7268"</definedName>
    <definedName name="IQ_CHANGE_PRIVATE_INVENT_YOY_FC" hidden="1">"c8148"</definedName>
    <definedName name="IQ_CHANGE_TRADING_ASSETS" hidden="1">"c159"</definedName>
    <definedName name="IQ_CHANGE_UNEARN_REV" hidden="1">"c160"</definedName>
    <definedName name="IQ_CHANGE_UNRECOG_TAX_BENEFIT_1_YR_MAX" hidden="1">"c15747"</definedName>
    <definedName name="IQ_CHANGE_UNRECOG_TAX_BENEFIT_1_YR_MIN" hidden="1">"c15746"</definedName>
    <definedName name="IQ_CHANGE_WORK_CAP" hidden="1">"c161"</definedName>
    <definedName name="IQ_CHANGES_WORK_CAP" hidden="1">"c161"</definedName>
    <definedName name="IQ_CHARGE_OFFS_1_4_FAMILY_FDIC" hidden="1">"c6756"</definedName>
    <definedName name="IQ_CHARGE_OFFS_1_4_FAMILY_LOANS_FDIC" hidden="1">"c6714"</definedName>
    <definedName name="IQ_CHARGE_OFFS_AUTO_LOANS_FDIC" hidden="1">"c6708"</definedName>
    <definedName name="IQ_CHARGE_OFFS_CL_LOANS_FDIC" hidden="1">"c6709"</definedName>
    <definedName name="IQ_CHARGE_OFFS_COMMERCIAL_INDUSTRIAL_FDIC" hidden="1">"c6759"</definedName>
    <definedName name="IQ_CHARGE_OFFS_COMMERCIAL_RE_FDIC" hidden="1">"c6754"</definedName>
    <definedName name="IQ_CHARGE_OFFS_COMMERCIAL_RE_NOT_SECURED_FDIC" hidden="1">"c6764"</definedName>
    <definedName name="IQ_CHARGE_OFFS_CONSTRUCTION_DEVELOPMENT_FDIC" hidden="1">"c6753"</definedName>
    <definedName name="IQ_CHARGE_OFFS_CREDIT_CARDS_FDIC" hidden="1">"c6761"</definedName>
    <definedName name="IQ_CHARGE_OFFS_CREDIT_CARDS_RECEIVABLES_FDIC" hidden="1">"c6711"</definedName>
    <definedName name="IQ_CHARGE_OFFS_GROSS" hidden="1">"c162"</definedName>
    <definedName name="IQ_CHARGE_OFFS_HOME_EQUITY_FDIC" hidden="1">"c6757"</definedName>
    <definedName name="IQ_CHARGE_OFFS_HOME_EQUITY_LINES_FDIC" hidden="1">"c6712"</definedName>
    <definedName name="IQ_CHARGE_OFFS_INDIVIDUALS_FDIC" hidden="1">"c6760"</definedName>
    <definedName name="IQ_CHARGE_OFFS_MULTI_FAMILY_FDIC" hidden="1">"c6755"</definedName>
    <definedName name="IQ_CHARGE_OFFS_NET" hidden="1">"c163"</definedName>
    <definedName name="IQ_CHARGE_OFFS_OTHER_1_4_FAMILY_FDIC" hidden="1">"c6758"</definedName>
    <definedName name="IQ_CHARGE_OFFS_OTHER_CONSUMER_LOANS_FDIC" hidden="1">"c6710"</definedName>
    <definedName name="IQ_CHARGE_OFFS_OTHER_INDIVIDUAL_FDIC" hidden="1">"c6762"</definedName>
    <definedName name="IQ_CHARGE_OFFS_OTHER_LOANS_FDIC" hidden="1">"c6763"</definedName>
    <definedName name="IQ_CHARGE_OFFS_OTHER_LOANS_OTHER_FDIC" hidden="1">"c6713"</definedName>
    <definedName name="IQ_CHARGE_OFFS_RE_LOANS_FDIC" hidden="1">"c6752"</definedName>
    <definedName name="IQ_CHARGE_OFFS_RECOVERED" hidden="1">"c164"</definedName>
    <definedName name="IQ_CHARGE_OFFS_TOTAL_AVG_LOANS" hidden="1">"c165"</definedName>
    <definedName name="IQ_CHICAGO_PMI" hidden="1">"c6829"</definedName>
    <definedName name="IQ_CHICAGO_PMI_APR" hidden="1">"c7489"</definedName>
    <definedName name="IQ_CHICAGO_PMI_APR_FC" hidden="1">"c8369"</definedName>
    <definedName name="IQ_CHICAGO_PMI_FC" hidden="1">"c7709"</definedName>
    <definedName name="IQ_CHICAGO_PMI_POP" hidden="1">"c7049"</definedName>
    <definedName name="IQ_CHICAGO_PMI_POP_FC" hidden="1">"c7929"</definedName>
    <definedName name="IQ_CHICAGO_PMI_YOY" hidden="1">"c7269"</definedName>
    <definedName name="IQ_CHICAGO_PMI_YOY_FC" hidden="1">"c8149"</definedName>
    <definedName name="IQ_CHURN_BASIC_CABLE" hidden="1">"c2871"</definedName>
    <definedName name="IQ_CHURN_BBAND" hidden="1">"c2872"</definedName>
    <definedName name="IQ_CHURN_DIG_CABLE" hidden="1">"c2870"</definedName>
    <definedName name="IQ_CHURN_PHONE" hidden="1">"c2873"</definedName>
    <definedName name="IQ_CHURN_POSTPAID_WIRELESS" hidden="1">"c2121"</definedName>
    <definedName name="IQ_CHURN_PREPAID_WIRELESS" hidden="1">"c2120"</definedName>
    <definedName name="IQ_CHURN_SATELLITE" hidden="1">"c15791"</definedName>
    <definedName name="IQ_CHURN_TOTAL" hidden="1">"c2874"</definedName>
    <definedName name="IQ_CHURN_TOTAL_WIRELESS" hidden="1">"c2122"</definedName>
    <definedName name="IQ_CITY" hidden="1">"c166"</definedName>
    <definedName name="IQ_CL_AP" hidden="1">"c8884"</definedName>
    <definedName name="IQ_CL_AP_ABS" hidden="1">"c8903"</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NAME_AP" hidden="1">"c8922"</definedName>
    <definedName name="IQ_CL_NAME_AP_ABS" hidden="1">"c8941"</definedName>
    <definedName name="IQ_CL_OBLIGATION_IMMEDIATE" hidden="1">"c2253"</definedName>
    <definedName name="IQ_CLAIMS_ADJUSTMENT_EXP_PC_FFIEC" hidden="1">"c13100"</definedName>
    <definedName name="IQ_CLASS_MARKETCAP" hidden="1">"c13512"</definedName>
    <definedName name="IQ_CLASS_SHARESOUTSTANDING" hidden="1">"c13513"</definedName>
    <definedName name="IQ_CLASSA_OPTIONS_BEG_OS" hidden="1">"c2679"</definedName>
    <definedName name="IQ_CLASSA_OPTIONS_CANCELLED" hidden="1">"c2682"</definedName>
    <definedName name="IQ_CLASSA_OPTIONS_END_OS" hidden="1">"c2683"</definedName>
    <definedName name="IQ_CLASSA_OPTIONS_EXERCISABLE_END_OS" hidden="1">"c5809"</definedName>
    <definedName name="IQ_CLASSA_OPTIONS_EXERCISED" hidden="1">"c2681"</definedName>
    <definedName name="IQ_CLASSA_OPTIONS_GRANTED" hidden="1">"c2680"</definedName>
    <definedName name="IQ_CLASSA_OPTIONS_STRIKE_PRICE_BEG_OS" hidden="1">"c5810"</definedName>
    <definedName name="IQ_CLASSA_OPTIONS_STRIKE_PRICE_CANCELLED" hidden="1">"c5812"</definedName>
    <definedName name="IQ_CLASSA_OPTIONS_STRIKE_PRICE_EXERCISABLE" hidden="1">"c5813"</definedName>
    <definedName name="IQ_CLASSA_OPTIONS_STRIKE_PRICE_EXERCISED" hidden="1">"c5811"</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ASSB_OUTSTANDING_BS_DATE" hidden="1">"c1972"</definedName>
    <definedName name="IQ_CLASSB_OUTSTANDING_FILING_DATE" hidden="1">"c1974"</definedName>
    <definedName name="IQ_CLOSED_END_1_4_FAM_LOANS_TOT_LOANS_FFIEC" hidden="1">"c13866"</definedName>
    <definedName name="IQ_CLOSED_END_1_4_FIRST_LIENS_TRADING_DOM_FFIEC" hidden="1">"c12928"</definedName>
    <definedName name="IQ_CLOSED_END_1_4_JR_LIENS_LL_REC_DOM_FFIEC" hidden="1">"c12904"</definedName>
    <definedName name="IQ_CLOSED_END_1_4_JUNIOR_LIENS_TRADING_DOM_FFIEC" hidden="1">"c12929"</definedName>
    <definedName name="IQ_CLOSED_END_SEC_1_4_1ST_LIENS_CHARGE_OFFS_FFIEC" hidden="1">"c13169"</definedName>
    <definedName name="IQ_CLOSED_END_SEC_1_4_1ST_LIENS_DUE_30_89_FFIEC" hidden="1">"c13261"</definedName>
    <definedName name="IQ_CLOSED_END_SEC_1_4_1ST_LIENS_DUE_90_FFIEC" hidden="1">"c13289"</definedName>
    <definedName name="IQ_CLOSED_END_SEC_1_4_1ST_LIENS_NON_ACCRUAL_FFIEC" hidden="1">"c13315"</definedName>
    <definedName name="IQ_CLOSED_END_SEC_1_4_1ST_LIENS_RECOV_FFIEC" hidden="1">"c13191"</definedName>
    <definedName name="IQ_CLOSED_END_SEC_1_4_JR_LIENS_CHARGE_OFFS_FFIEC" hidden="1">"c13170"</definedName>
    <definedName name="IQ_CLOSED_END_SEC_1_4_JR_LIENS_DUE_30_89_FFIEC" hidden="1">"c13262"</definedName>
    <definedName name="IQ_CLOSED_END_SEC_1_4_JR_LIENS_DUE_90_FFIEC" hidden="1">"c13290"</definedName>
    <definedName name="IQ_CLOSED_END_SEC_1_4_JR_LIENS_NON_ACCRUAL_FFIEC" hidden="1">"c13316"</definedName>
    <definedName name="IQ_CLOSED_END_SEC_1_4_JR_LIENS_RECOV_FFIEC" hidden="1">"c13192"</definedName>
    <definedName name="IQ_CLOSED_END_SEC_1_4_RESIDENT_CHARGE_OFFS_FFIEC" hidden="1">"c15397"</definedName>
    <definedName name="IQ_CLOSED_END_SEC_1_4_RESIDENT_DUE_30_89_FFIEC" hidden="1">"c15413"</definedName>
    <definedName name="IQ_CLOSED_END_SEC_1_4_RESIDENT_DUE_90_FFIEC" hidden="1">"c15417"</definedName>
    <definedName name="IQ_CLOSED_END_SEC_1_4_RESIDENT_NON_ACCRUAL_FFIEC" hidden="1">"c15460"</definedName>
    <definedName name="IQ_CLOSED_END_SEC_1_4_RESIDENT_RECOV_FFIEC" hidden="1">"c15398"</definedName>
    <definedName name="IQ_CLOSED_END_SECURED_1_4_FIRST_LIENS_LL_REC_DOM_FFIEC" hidden="1">"c12903"</definedName>
    <definedName name="IQ_CLOSED_LOANS_GROSS_LOANS_FFIEC" hidden="1">"c13399"</definedName>
    <definedName name="IQ_CLOSED_LOANS_RISK_BASED_FFIEC" hidden="1">"c13420"</definedName>
    <definedName name="IQ_CLOSEPRICE" hidden="1">"c174"</definedName>
    <definedName name="IQ_CLOSEPRICE_ADJ" hidden="1">"c2115"</definedName>
    <definedName name="IQ_CLOSEPRICE_RT" hidden="1">"CLOSE"</definedName>
    <definedName name="IQ_CMBS_ISSUED_AVAIL_SALE_FFIEC" hidden="1">"c12800"</definedName>
    <definedName name="IQ_CMBS_ISSUED_FFIEC" hidden="1">"c12786"</definedName>
    <definedName name="IQ_CMO_FDIC" hidden="1">"c6406"</definedName>
    <definedName name="IQ_CO_INVESTORS" hidden="1">"c18910"</definedName>
    <definedName name="IQ_CO_INVESTORS_ID" hidden="1">"c18911"</definedName>
    <definedName name="IQ_CO_INVESTORS_INVESTMENT" hidden="1">"c19113"</definedName>
    <definedName name="IQ_CO_INVESTORS_NUM_INVESTMENTS" hidden="1">"c19170"</definedName>
    <definedName name="IQ_COAL_SALES_TO_OPERATING_REVENUE_COAL" hidden="1">"c15954"</definedName>
    <definedName name="IQ_COGS" hidden="1">"c175"</definedName>
    <definedName name="IQ_COLLATERAL_TYPE" hidden="1">"c8954"</definedName>
    <definedName name="IQ_COLLECTION_DOMESTIC_FDIC" hidden="1">"c6387"</definedName>
    <definedName name="IQ_COM_TARGET_PRICE" hidden="1">"c13606"</definedName>
    <definedName name="IQ_COM_TARGET_PRICE_CIQ" hidden="1">"c13599"</definedName>
    <definedName name="IQ_COM_TARGET_PRICE_HIGH" hidden="1">"c13607"</definedName>
    <definedName name="IQ_COM_TARGET_PRICE_HIGH_CIQ" hidden="1">"c13600"</definedName>
    <definedName name="IQ_COM_TARGET_PRICE_LOW" hidden="1">"c13608"</definedName>
    <definedName name="IQ_COM_TARGET_PRICE_LOW_CIQ" hidden="1">"c13601"</definedName>
    <definedName name="IQ_COM_TARGET_PRICE_MEDIAN" hidden="1">"c13609"</definedName>
    <definedName name="IQ_COM_TARGET_PRICE_MEDIAN_CIQ" hidden="1">"c13602"</definedName>
    <definedName name="IQ_COM_TARGET_PRICE_NUM" hidden="1">"c13604"</definedName>
    <definedName name="IQ_COM_TARGET_PRICE_NUM_CIQ" hidden="1">"c13597"</definedName>
    <definedName name="IQ_COM_TARGET_PRICE_STDDEV" hidden="1">"c13605"</definedName>
    <definedName name="IQ_COM_TARGET_PRICE_STDDEV_CIQ" hidden="1">"c13598"</definedName>
    <definedName name="IQ_COMBINED_RATIO" hidden="1">"c176"</definedName>
    <definedName name="IQ_COMM_BANKS_OTHER_DEP_INST_US_TRANS_ACCTS_FFIEC" hidden="1">"c15317"</definedName>
    <definedName name="IQ_COMM_BANKS_OTHER_INST_US_NON_TRANS_ACCTS_FFIEC" hidden="1">"c15325"</definedName>
    <definedName name="IQ_COMM_IND_LOANS_TOT_LOANS_FFIEC" hidden="1">"c13874"</definedName>
    <definedName name="IQ_COMM_INDUSTRIAL_LL_REC_FFIEC" hidden="1">"c18880"</definedName>
    <definedName name="IQ_COMM_INDUSTRIAL_LOANS_FFIEC" hidden="1">"c12821"</definedName>
    <definedName name="IQ_COMM_INDUSTRIAL_NON_US_LL_REC_FFIEC" hidden="1">"c12888"</definedName>
    <definedName name="IQ_COMM_INDUSTRIAL_US_LL_REC_FFIEC" hidden="1">"c12887"</definedName>
    <definedName name="IQ_COMM_RE_FARM_LOANS_TOT_LOANS_FFIEC" hidden="1">"c13872"</definedName>
    <definedName name="IQ_COMM_RE_NONFARM_NONRES_TOT_LOANS_FFIEC" hidden="1">"c13871"</definedName>
    <definedName name="IQ_COMMERCIAL_BANKS_DEPOSITS_FOREIGN_FDIC" hidden="1">"c6480"</definedName>
    <definedName name="IQ_COMMERCIAL_BANKS_LOANS_FDIC" hidden="1">"c6434"</definedName>
    <definedName name="IQ_COMMERCIAL_BANKS_NONTRANSACTION_ACCOUNTS_FDIC" hidden="1">"c6548"</definedName>
    <definedName name="IQ_COMMERCIAL_BANKS_TOTAL_DEPOSITS_FDIC" hidden="1">"c6474"</definedName>
    <definedName name="IQ_COMMERCIAL_BANKS_TOTAL_LOANS_FOREIGN_FDIC" hidden="1">"c6444"</definedName>
    <definedName name="IQ_COMMERCIAL_BANKS_TRANSACTION_ACCOUNTS_FDIC" hidden="1">"c6540"</definedName>
    <definedName name="IQ_COMMERCIAL_DOM" hidden="1">"c177"</definedName>
    <definedName name="IQ_COMMERCIAL_FIRE_WRITTEN" hidden="1">"c178"</definedName>
    <definedName name="IQ_COMMERCIAL_INDUSTRIAL_CHARGE_OFFS_FDIC" hidden="1">"c6598"</definedName>
    <definedName name="IQ_COMMERCIAL_INDUSTRIAL_DOM_QUARTERLY_AVG_FFIEC" hidden="1">"c15478"</definedName>
    <definedName name="IQ_COMMERCIAL_INDUSTRIAL_GROSS_LOANS_FFIEC" hidden="1">"c13410"</definedName>
    <definedName name="IQ_COMMERCIAL_INDUSTRIAL_LOANS_DUE_30_89_FFIEC" hidden="1">"c13271"</definedName>
    <definedName name="IQ_COMMERCIAL_INDUSTRIAL_LOANS_DUE_90_FFIEC" hidden="1">"c13297"</definedName>
    <definedName name="IQ_COMMERCIAL_INDUSTRIAL_LOANS_LL_REC_DOM_FFIEC" hidden="1">"c12910"</definedName>
    <definedName name="IQ_COMMERCIAL_INDUSTRIAL_LOANS_NET_FDIC" hidden="1">"c6317"</definedName>
    <definedName name="IQ_COMMERCIAL_INDUSTRIAL_LOANS_NON_ACCRUAL_FFIEC" hidden="1">"c13323"</definedName>
    <definedName name="IQ_COMMERCIAL_INDUSTRIAL_NET_CHARGE_OFFS_FDIC" hidden="1">"c6636"</definedName>
    <definedName name="IQ_COMMERCIAL_INDUSTRIAL_NON_US_CHARGE_OFFS_FFIEC" hidden="1">"c13179"</definedName>
    <definedName name="IQ_COMMERCIAL_INDUSTRIAL_NON_US_DUE_30_89_FFIEC" hidden="1">"c15415"</definedName>
    <definedName name="IQ_COMMERCIAL_INDUSTRIAL_NON_US_DUE_90_FFIEC" hidden="1">"c15419"</definedName>
    <definedName name="IQ_COMMERCIAL_INDUSTRIAL_NON_US_NON_ACCRUAL_FFIEC" hidden="1">"c15464"</definedName>
    <definedName name="IQ_COMMERCIAL_INDUSTRIAL_NON_US_RECOV_FFIEC" hidden="1">"c13201"</definedName>
    <definedName name="IQ_COMMERCIAL_INDUSTRIAL_RECOVERIES_FDIC" hidden="1">"c6617"</definedName>
    <definedName name="IQ_COMMERCIAL_INDUSTRIAL_RISK_BASED_FFIEC" hidden="1">"c13431"</definedName>
    <definedName name="IQ_COMMERCIAL_INDUSTRIAL_TOTAL_LOANS_FOREIGN_FDIC" hidden="1">"c6451"</definedName>
    <definedName name="IQ_COMMERCIAL_INDUSTRIAL_TRADING_DOM_FFIEC" hidden="1">"c12932"</definedName>
    <definedName name="IQ_COMMERCIAL_INDUSTRIAL_US_CHARGE_OFFS_FFIEC" hidden="1">"c13178"</definedName>
    <definedName name="IQ_COMMERCIAL_INDUSTRIAL_US_DUE_30_89_FFIEC" hidden="1">"c15414"</definedName>
    <definedName name="IQ_COMMERCIAL_INDUSTRIAL_US_DUE_90_FFIEC" hidden="1">"c15418"</definedName>
    <definedName name="IQ_COMMERCIAL_INDUSTRIAL_US_NON_ACCRUAL_FFIEC" hidden="1">"c15463"</definedName>
    <definedName name="IQ_COMMERCIAL_INDUSTRIAL_US_RECOV_FFIEC" hidden="1">"c13200"</definedName>
    <definedName name="IQ_COMMERCIAL_INVEST_CABLE_INVEST" hidden="1">"c15806"</definedName>
    <definedName name="IQ_COMMERCIAL_LOANS_TOTAL_LOANS" hidden="1">"c15709"</definedName>
    <definedName name="IQ_COMMERCIAL_MORT" hidden="1">"c179"</definedName>
    <definedName name="IQ_COMMERCIAL_OTHER_LOC_FFIEC" hidden="1">"c13253"</definedName>
    <definedName name="IQ_COMMERCIAL_PAPER_ASSETS_TOT_FFIEC" hidden="1">"c13449"</definedName>
    <definedName name="IQ_COMMERCIAL_PAPER_FFIEC" hidden="1">"c12863"</definedName>
    <definedName name="IQ_COMMERCIAL_RE_CONSTRUCTION_LAND_DEV_FDIC" hidden="1">"c6526"</definedName>
    <definedName name="IQ_COMMERCIAL_RE_GROSS_LOANS_FFIEC" hidden="1">"c13400"</definedName>
    <definedName name="IQ_COMMERCIAL_RE_LOANS_FDIC" hidden="1">"c6312"</definedName>
    <definedName name="IQ_COMMERCIAL_RE_LOANS_TOTAL_LOANS" hidden="1">"c15710"</definedName>
    <definedName name="IQ_COMMERCIAL_RE_RISK_BASED_FFIEC" hidden="1">"c13421"</definedName>
    <definedName name="IQ_COMMISS_FEES" hidden="1">"c180"</definedName>
    <definedName name="IQ_COMMISSION_DEF" hidden="1">"c181"</definedName>
    <definedName name="IQ_COMMITMENTS_BUY_SEC_OTHER_OFF_BS_FFIEC" hidden="1">"c13128"</definedName>
    <definedName name="IQ_COMMITMENTS_COMMERCIAL_RE_UNUSED_FFIEC" hidden="1">"c13243"</definedName>
    <definedName name="IQ_COMMITMENTS_MATURITY_EXCEEDING_1YR_FDIC" hidden="1">"c6531"</definedName>
    <definedName name="IQ_COMMITMENTS_NOT_SECURED_RE_FDIC" hidden="1">"c6528"</definedName>
    <definedName name="IQ_COMMITMENTS_SECURED_RE_FDIC" hidden="1">"c6527"</definedName>
    <definedName name="IQ_COMMITMENTS_SELL_SEC_OTHER_OFF_BS_FFIEC" hidden="1">"c13129"</definedName>
    <definedName name="IQ_COMMODITY_EXPOSURE_FFIEC" hidden="1">"c13061"</definedName>
    <definedName name="IQ_COMMODITY_EXPOSURES_FDIC" hidden="1">"c6665"</definedName>
    <definedName name="IQ_COMMON" hidden="1">"c182"</definedName>
    <definedName name="IQ_COMMON_APIC" hidden="1">"c183"</definedName>
    <definedName name="IQ_COMMON_APIC_BNK" hidden="1">"c184"</definedName>
    <definedName name="IQ_COMMON_APIC_BR" hidden="1">"c185"</definedName>
    <definedName name="IQ_COMMON_APIC_CM" hidden="1">"c185"</definedName>
    <definedName name="IQ_COMMON_APIC_FIN" hidden="1">"c186"</definedName>
    <definedName name="IQ_COMMON_APIC_INS" hidden="1">"c187"</definedName>
    <definedName name="IQ_COMMON_APIC_RE" hidden="1">"c6202"</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CAGR" hidden="1">"c6060"</definedName>
    <definedName name="IQ_COMMON_EQUITY_10YR_ANN_GROWTH" hidden="1">"c191"</definedName>
    <definedName name="IQ_COMMON_EQUITY_1YR_ANN_GROWTH" hidden="1">"c192"</definedName>
    <definedName name="IQ_COMMON_EQUITY_2YR_ANN_CAGR" hidden="1">"c6061"</definedName>
    <definedName name="IQ_COMMON_EQUITY_2YR_ANN_GROWTH" hidden="1">"c193"</definedName>
    <definedName name="IQ_COMMON_EQUITY_3YR_ANN_CAGR" hidden="1">"c6062"</definedName>
    <definedName name="IQ_COMMON_EQUITY_3YR_ANN_GROWTH" hidden="1">"c194"</definedName>
    <definedName name="IQ_COMMON_EQUITY_5YR_ANN_CAGR" hidden="1">"c6063"</definedName>
    <definedName name="IQ_COMMON_EQUITY_5YR_ANN_GROWTH" hidden="1">"c195"</definedName>
    <definedName name="IQ_COMMON_EQUITY_7YR_ANN_CAGR" hidden="1">"c6064"</definedName>
    <definedName name="IQ_COMMON_EQUITY_7YR_ANN_GROWTH" hidden="1">"c196"</definedName>
    <definedName name="IQ_COMMON_FDIC" hidden="1">"c6350"</definedName>
    <definedName name="IQ_COMMON_ISSUED" hidden="1">"c197"</definedName>
    <definedName name="IQ_COMMON_ISSUED_BNK" hidden="1">"c198"</definedName>
    <definedName name="IQ_COMMON_ISSUED_BR" hidden="1">"c199"</definedName>
    <definedName name="IQ_COMMON_ISSUED_CM" hidden="1">"c199"</definedName>
    <definedName name="IQ_COMMON_ISSUED_FIN" hidden="1">"c200"</definedName>
    <definedName name="IQ_COMMON_ISSUED_INS" hidden="1">"c201"</definedName>
    <definedName name="IQ_COMMON_ISSUED_RE" hidden="1">"c6203"</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CM" hidden="1">"c208"</definedName>
    <definedName name="IQ_COMMON_REP_FIN" hidden="1">"c209"</definedName>
    <definedName name="IQ_COMMON_REP_INS" hidden="1">"c210"</definedName>
    <definedName name="IQ_COMMON_REP_RE" hidden="1">"c6204"</definedName>
    <definedName name="IQ_COMMON_REP_REIT" hidden="1">"c211"</definedName>
    <definedName name="IQ_COMMON_REP_UTI" hidden="1">"c212"</definedName>
    <definedName name="IQ_COMMON_STOCK" hidden="1">"c182"</definedName>
    <definedName name="IQ_COMMON_STOCK_FFIEC" hidden="1">"c12876"</definedName>
    <definedName name="IQ_COMP_BENEFITS" hidden="1">"c213"</definedName>
    <definedName name="IQ_COMPANY_ADDRESS" hidden="1">"c214"</definedName>
    <definedName name="IQ_COMPANY_ID" hidden="1">"c3513"</definedName>
    <definedName name="IQ_COMPANY_ID_QUICK_MATCH" hidden="1">"c16227"</definedName>
    <definedName name="IQ_COMPANY_NAME" hidden="1">"c215"</definedName>
    <definedName name="IQ_COMPANY_NAME_LONG" hidden="1">"c1585"</definedName>
    <definedName name="IQ_COMPANY_NAME_QUICK_MATCH" hidden="1">"c16228"</definedName>
    <definedName name="IQ_COMPANY_NOTE" hidden="1">"c6792"</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ICKER_NO_EXCH" hidden="1">"c15490"</definedName>
    <definedName name="IQ_COMPANY_TYPE" hidden="1">"c2096"</definedName>
    <definedName name="IQ_COMPANY_WEBSITE" hidden="1">"c220"</definedName>
    <definedName name="IQ_COMPANY_ZIP" hidden="1">"c221"</definedName>
    <definedName name="IQ_COMPETITOR_ALL" hidden="1">"c13754"</definedName>
    <definedName name="IQ_COMPETITOR_NAMED_BY_COMPANY" hidden="1">"c13751"</definedName>
    <definedName name="IQ_COMPETITOR_NAMED_BY_COMPETITOR" hidden="1">"c13752"</definedName>
    <definedName name="IQ_COMPETITOR_NAMED_BY_THIRDPARTY" hidden="1">"c13753"</definedName>
    <definedName name="IQ_COMPOSITE_CYCLICAL_IND" hidden="1">"c6830"</definedName>
    <definedName name="IQ_COMPOSITE_CYCLICAL_IND_APR" hidden="1">"c7490"</definedName>
    <definedName name="IQ_COMPOSITE_CYCLICAL_IND_APR_FC" hidden="1">"c8370"</definedName>
    <definedName name="IQ_COMPOSITE_CYCLICAL_IND_FC" hidden="1">"c7710"</definedName>
    <definedName name="IQ_COMPOSITE_CYCLICAL_IND_POP" hidden="1">"c7050"</definedName>
    <definedName name="IQ_COMPOSITE_CYCLICAL_IND_POP_FC" hidden="1">"c7930"</definedName>
    <definedName name="IQ_COMPOSITE_CYCLICAL_IND_YOY" hidden="1">"c7270"</definedName>
    <definedName name="IQ_COMPOSITE_CYCLICAL_IND_YOY_FC" hidden="1">"c8150"</definedName>
    <definedName name="IQ_CONSOL_BEDS" hidden="1">"c8782"</definedName>
    <definedName name="IQ_CONSOL_PROP_OPERATIONAL" hidden="1">"c8758"</definedName>
    <definedName name="IQ_CONSOL_PROP_OTHER_OWNED" hidden="1">"c8760"</definedName>
    <definedName name="IQ_CONSOL_PROP_TOTAL" hidden="1">"c8761"</definedName>
    <definedName name="IQ_CONSOL_PROP_UNDEVELOPED" hidden="1">"c8759"</definedName>
    <definedName name="IQ_CONSOL_ROOMS" hidden="1">"c8786"</definedName>
    <definedName name="IQ_CONSOL_SQ_FT_OPERATIONAL" hidden="1">"c8774"</definedName>
    <definedName name="IQ_CONSOL_SQ_FT_OTHER_OWNED" hidden="1">"c8776"</definedName>
    <definedName name="IQ_CONSOL_SQ_FT_TOTAL" hidden="1">"c8777"</definedName>
    <definedName name="IQ_CONSOL_SQ_FT_UNDEVELOPED" hidden="1">"c8775"</definedName>
    <definedName name="IQ_CONSOL_UNITS_OPERATIONAL" hidden="1">"c8766"</definedName>
    <definedName name="IQ_CONSOL_UNITS_OTHER_OWNED" hidden="1">"c8768"</definedName>
    <definedName name="IQ_CONSOL_UNITS_TOTAL" hidden="1">"c8769"</definedName>
    <definedName name="IQ_CONSOL_UNITS_UNDEVELOPED" hidden="1">"c8767"</definedName>
    <definedName name="IQ_CONSOLIDATED_ASSETS_QUARTERLY_AVG_FFIEC" hidden="1">"c13087"</definedName>
    <definedName name="IQ_CONSOLIDATED_NI_FOREIGN_FFIEC" hidden="1">"c15396"</definedName>
    <definedName name="IQ_CONST_LAND_DEV_LOANS_TOT_LOANS_FFIEC" hidden="1">"c13865"</definedName>
    <definedName name="IQ_CONST_LAND_DEVELOP_OTHER_DOM_CHARGE_OFFS_FFIEC" hidden="1">"c13628"</definedName>
    <definedName name="IQ_CONST_LAND_DEVELOP_OTHER_DOM_RECOV_FFIEC" hidden="1">"c13632"</definedName>
    <definedName name="IQ_CONSTITUENTS" hidden="1">"c19169"</definedName>
    <definedName name="IQ_CONSTITUENTS_NAME" hidden="1">"c19192"</definedName>
    <definedName name="IQ_CONSTRUCTION_DEV_LOANS_FDIC" hidden="1">"c6313"</definedName>
    <definedName name="IQ_CONSTRUCTION_LAND_DEV_DOM_FFIEC" hidden="1">"c15267"</definedName>
    <definedName name="IQ_CONSTRUCTION_LAND_DEVELOPMENT_CHARGE_OFFS_FDIC" hidden="1">"c6594"</definedName>
    <definedName name="IQ_CONSTRUCTION_LAND_DEVELOPMENT_NET_CHARGE_OFFS_FDIC" hidden="1">"c6632"</definedName>
    <definedName name="IQ_CONSTRUCTION_LAND_DEVELOPMENT_RECOVERIES_FDIC" hidden="1">"c6613"</definedName>
    <definedName name="IQ_CONSTRUCTION_LL_REC_DOM_FFIEC" hidden="1">"c12900"</definedName>
    <definedName name="IQ_CONSTRUCTION_LOANS" hidden="1">"c222"</definedName>
    <definedName name="IQ_CONSTRUCTION_LOANS_DOM_DUE_30_89_FFIEC" hidden="1">"c13256"</definedName>
    <definedName name="IQ_CONSTRUCTION_LOANS_DOM_DUE_90_FFIEC" hidden="1">"c13284"</definedName>
    <definedName name="IQ_CONSTRUCTION_LOANS_DOM_NON_ACCRUAL_FFIEC" hidden="1">"c13310"</definedName>
    <definedName name="IQ_CONSTRUCTION_LOANS_GROSS_LOANS_FFIEC" hidden="1">"c13401"</definedName>
    <definedName name="IQ_CONSTRUCTION_LOANS_TOTAL_LOANS" hidden="1">"c15711"</definedName>
    <definedName name="IQ_CONSTRUCTION_RISK_BASED_FFIEC" hidden="1">"c13422"</definedName>
    <definedName name="IQ_CONSULTING_FFIEC" hidden="1">"c13055"</definedName>
    <definedName name="IQ_CONSUMER_COMFORT" hidden="1">"c6831"</definedName>
    <definedName name="IQ_CONSUMER_COMFORT_APR" hidden="1">"c7491"</definedName>
    <definedName name="IQ_CONSUMER_COMFORT_APR_FC" hidden="1">"c8371"</definedName>
    <definedName name="IQ_CONSUMER_COMFORT_FC" hidden="1">"c7711"</definedName>
    <definedName name="IQ_CONSUMER_COMFORT_POP" hidden="1">"c7051"</definedName>
    <definedName name="IQ_CONSUMER_COMFORT_POP_FC" hidden="1">"c7931"</definedName>
    <definedName name="IQ_CONSUMER_CONFIDENCE" hidden="1">"c6832"</definedName>
    <definedName name="IQ_CONSUMER_CONFIDENCE_APR" hidden="1">"c7492"</definedName>
    <definedName name="IQ_CONSUMER_CONFIDENCE_APR_FC" hidden="1">"c8372"</definedName>
    <definedName name="IQ_CONSUMER_CONFIDENCE_FC" hidden="1">"c7712"</definedName>
    <definedName name="IQ_CONSUMER_CONFIDENCE_POP" hidden="1">"c7052"</definedName>
    <definedName name="IQ_CONSUMER_CONFIDENCE_POP_FC" hidden="1">"c7932"</definedName>
    <definedName name="IQ_CONSUMER_CONFIDENCE_YOY" hidden="1">"c7272"</definedName>
    <definedName name="IQ_CONSUMER_CONFIDENCE_YOY_FC" hidden="1">"c8152"</definedName>
    <definedName name="IQ_CONSUMER_LEASES_LL_REC_FFIEC" hidden="1">"c12895"</definedName>
    <definedName name="IQ_CONSUMER_LENDING" hidden="1">"c6833"</definedName>
    <definedName name="IQ_CONSUMER_LENDING_APR" hidden="1">"c7493"</definedName>
    <definedName name="IQ_CONSUMER_LENDING_APR_FC" hidden="1">"c8373"</definedName>
    <definedName name="IQ_CONSUMER_LENDING_FC" hidden="1">"c7713"</definedName>
    <definedName name="IQ_CONSUMER_LENDING_GROSS" hidden="1">"c6878"</definedName>
    <definedName name="IQ_CONSUMER_LENDING_GROSS_APR" hidden="1">"c7538"</definedName>
    <definedName name="IQ_CONSUMER_LENDING_GROSS_APR_FC" hidden="1">"c8418"</definedName>
    <definedName name="IQ_CONSUMER_LENDING_GROSS_FC" hidden="1">"c7758"</definedName>
    <definedName name="IQ_CONSUMER_LENDING_GROSS_POP" hidden="1">"c7098"</definedName>
    <definedName name="IQ_CONSUMER_LENDING_GROSS_POP_FC" hidden="1">"c7978"</definedName>
    <definedName name="IQ_CONSUMER_LENDING_GROSS_YOY" hidden="1">"c7318"</definedName>
    <definedName name="IQ_CONSUMER_LENDING_GROSS_YOY_FC" hidden="1">"c8198"</definedName>
    <definedName name="IQ_CONSUMER_LENDING_NET" hidden="1">"c6922"</definedName>
    <definedName name="IQ_CONSUMER_LENDING_NET_APR" hidden="1">"c7582"</definedName>
    <definedName name="IQ_CONSUMER_LENDING_NET_APR_FC" hidden="1">"c8462"</definedName>
    <definedName name="IQ_CONSUMER_LENDING_NET_FC" hidden="1">"c7802"</definedName>
    <definedName name="IQ_CONSUMER_LENDING_NET_POP" hidden="1">"c7142"</definedName>
    <definedName name="IQ_CONSUMER_LENDING_NET_POP_FC" hidden="1">"c8022"</definedName>
    <definedName name="IQ_CONSUMER_LENDING_NET_YOY" hidden="1">"c7362"</definedName>
    <definedName name="IQ_CONSUMER_LENDING_NET_YOY_FC" hidden="1">"c8242"</definedName>
    <definedName name="IQ_CONSUMER_LENDING_POP" hidden="1">"c7053"</definedName>
    <definedName name="IQ_CONSUMER_LENDING_POP_FC" hidden="1">"c7933"</definedName>
    <definedName name="IQ_CONSUMER_LENDING_TOTAL" hidden="1">"c7018"</definedName>
    <definedName name="IQ_CONSUMER_LENDING_TOTAL_APR" hidden="1">"c7678"</definedName>
    <definedName name="IQ_CONSUMER_LENDING_TOTAL_APR_FC" hidden="1">"c8558"</definedName>
    <definedName name="IQ_CONSUMER_LENDING_TOTAL_FC" hidden="1">"c7898"</definedName>
    <definedName name="IQ_CONSUMER_LENDING_TOTAL_POP" hidden="1">"c7238"</definedName>
    <definedName name="IQ_CONSUMER_LENDING_TOTAL_POP_FC" hidden="1">"c8118"</definedName>
    <definedName name="IQ_CONSUMER_LENDING_TOTAL_YOY" hidden="1">"c7458"</definedName>
    <definedName name="IQ_CONSUMER_LENDING_TOTAL_YOY_FC" hidden="1">"c8338"</definedName>
    <definedName name="IQ_CONSUMER_LENDING_YOY" hidden="1">"c7273"</definedName>
    <definedName name="IQ_CONSUMER_LENDING_YOY_FC" hidden="1">"c8153"</definedName>
    <definedName name="IQ_CONSUMER_LOANS" hidden="1">"c223"</definedName>
    <definedName name="IQ_CONSUMER_LOANS_LL_REC_DOM_FFIEC" hidden="1">"c12911"</definedName>
    <definedName name="IQ_CONSUMER_LOANS_TOT_LOANS_FFIEC" hidden="1">"c13875"</definedName>
    <definedName name="IQ_CONSUMER_LOANS_TOTAL_LOANS" hidden="1">"c15712"</definedName>
    <definedName name="IQ_CONSUMER_SPENDING" hidden="1">"c6834"</definedName>
    <definedName name="IQ_CONSUMER_SPENDING_APR" hidden="1">"c7494"</definedName>
    <definedName name="IQ_CONSUMER_SPENDING_APR_FC" hidden="1">"c8374"</definedName>
    <definedName name="IQ_CONSUMER_SPENDING_DURABLE" hidden="1">"c6835"</definedName>
    <definedName name="IQ_CONSUMER_SPENDING_DURABLE_APR" hidden="1">"c7495"</definedName>
    <definedName name="IQ_CONSUMER_SPENDING_DURABLE_APR_FC" hidden="1">"c8375"</definedName>
    <definedName name="IQ_CONSUMER_SPENDING_DURABLE_FC" hidden="1">"c7715"</definedName>
    <definedName name="IQ_CONSUMER_SPENDING_DURABLE_POP" hidden="1">"c7055"</definedName>
    <definedName name="IQ_CONSUMER_SPENDING_DURABLE_POP_FC" hidden="1">"c7935"</definedName>
    <definedName name="IQ_CONSUMER_SPENDING_DURABLE_REAL" hidden="1">"c6964"</definedName>
    <definedName name="IQ_CONSUMER_SPENDING_DURABLE_REAL_APR" hidden="1">"c7624"</definedName>
    <definedName name="IQ_CONSUMER_SPENDING_DURABLE_REAL_APR_FC" hidden="1">"c8504"</definedName>
    <definedName name="IQ_CONSUMER_SPENDING_DURABLE_REAL_FC" hidden="1">"c7844"</definedName>
    <definedName name="IQ_CONSUMER_SPENDING_DURABLE_REAL_POP" hidden="1">"c7184"</definedName>
    <definedName name="IQ_CONSUMER_SPENDING_DURABLE_REAL_POP_FC" hidden="1">"c8064"</definedName>
    <definedName name="IQ_CONSUMER_SPENDING_DURABLE_REAL_SAAR" hidden="1">"c6965"</definedName>
    <definedName name="IQ_CONSUMER_SPENDING_DURABLE_REAL_SAAR_APR" hidden="1">"c7625"</definedName>
    <definedName name="IQ_CONSUMER_SPENDING_DURABLE_REAL_SAAR_APR_FC" hidden="1">"c8505"</definedName>
    <definedName name="IQ_CONSUMER_SPENDING_DURABLE_REAL_SAAR_FC" hidden="1">"c7845"</definedName>
    <definedName name="IQ_CONSUMER_SPENDING_DURABLE_REAL_SAAR_POP" hidden="1">"c7185"</definedName>
    <definedName name="IQ_CONSUMER_SPENDING_DURABLE_REAL_SAAR_POP_FC" hidden="1">"c8065"</definedName>
    <definedName name="IQ_CONSUMER_SPENDING_DURABLE_REAL_SAAR_YOY" hidden="1">"c7405"</definedName>
    <definedName name="IQ_CONSUMER_SPENDING_DURABLE_REAL_SAAR_YOY_FC" hidden="1">"c8285"</definedName>
    <definedName name="IQ_CONSUMER_SPENDING_DURABLE_REAL_YOY" hidden="1">"c7404"</definedName>
    <definedName name="IQ_CONSUMER_SPENDING_DURABLE_REAL_YOY_FC" hidden="1">"c8284"</definedName>
    <definedName name="IQ_CONSUMER_SPENDING_DURABLE_YOY" hidden="1">"c7275"</definedName>
    <definedName name="IQ_CONSUMER_SPENDING_DURABLE_YOY_FC" hidden="1">"c8155"</definedName>
    <definedName name="IQ_CONSUMER_SPENDING_FC" hidden="1">"c7714"</definedName>
    <definedName name="IQ_CONSUMER_SPENDING_NONDURABLE" hidden="1">"c6836"</definedName>
    <definedName name="IQ_CONSUMER_SPENDING_NONDURABLE_APR" hidden="1">"c7496"</definedName>
    <definedName name="IQ_CONSUMER_SPENDING_NONDURABLE_APR_FC" hidden="1">"c8376"</definedName>
    <definedName name="IQ_CONSUMER_SPENDING_NONDURABLE_FC" hidden="1">"c7716"</definedName>
    <definedName name="IQ_CONSUMER_SPENDING_NONDURABLE_POP" hidden="1">"c7056"</definedName>
    <definedName name="IQ_CONSUMER_SPENDING_NONDURABLE_POP_FC" hidden="1">"c7936"</definedName>
    <definedName name="IQ_CONSUMER_SPENDING_NONDURABLE_REAL" hidden="1">"c6966"</definedName>
    <definedName name="IQ_CONSUMER_SPENDING_NONDURABLE_REAL_APR" hidden="1">"c7626"</definedName>
    <definedName name="IQ_CONSUMER_SPENDING_NONDURABLE_REAL_APR_FC" hidden="1">"c8506"</definedName>
    <definedName name="IQ_CONSUMER_SPENDING_NONDURABLE_REAL_FC" hidden="1">"c7846"</definedName>
    <definedName name="IQ_CONSUMER_SPENDING_NONDURABLE_REAL_POP" hidden="1">"c7186"</definedName>
    <definedName name="IQ_CONSUMER_SPENDING_NONDURABLE_REAL_POP_FC" hidden="1">"c8066"</definedName>
    <definedName name="IQ_CONSUMER_SPENDING_NONDURABLE_REAL_SAAR" hidden="1">"c6967"</definedName>
    <definedName name="IQ_CONSUMER_SPENDING_NONDURABLE_REAL_SAAR_APR" hidden="1">"c7627"</definedName>
    <definedName name="IQ_CONSUMER_SPENDING_NONDURABLE_REAL_SAAR_APR_FC" hidden="1">"c8507"</definedName>
    <definedName name="IQ_CONSUMER_SPENDING_NONDURABLE_REAL_SAAR_FC" hidden="1">"c7847"</definedName>
    <definedName name="IQ_CONSUMER_SPENDING_NONDURABLE_REAL_SAAR_POP" hidden="1">"c7187"</definedName>
    <definedName name="IQ_CONSUMER_SPENDING_NONDURABLE_REAL_SAAR_POP_FC" hidden="1">"c8067"</definedName>
    <definedName name="IQ_CONSUMER_SPENDING_NONDURABLE_REAL_SAAR_YOY" hidden="1">"c7407"</definedName>
    <definedName name="IQ_CONSUMER_SPENDING_NONDURABLE_REAL_SAAR_YOY_FC" hidden="1">"c8287"</definedName>
    <definedName name="IQ_CONSUMER_SPENDING_NONDURABLE_REAL_YOY" hidden="1">"c7406"</definedName>
    <definedName name="IQ_CONSUMER_SPENDING_NONDURABLE_REAL_YOY_FC" hidden="1">"c8286"</definedName>
    <definedName name="IQ_CONSUMER_SPENDING_NONDURABLE_YOY" hidden="1">"c7276"</definedName>
    <definedName name="IQ_CONSUMER_SPENDING_NONDURABLE_YOY_FC" hidden="1">"c8156"</definedName>
    <definedName name="IQ_CONSUMER_SPENDING_POP" hidden="1">"c7054"</definedName>
    <definedName name="IQ_CONSUMER_SPENDING_POP_FC" hidden="1">"c7934"</definedName>
    <definedName name="IQ_CONSUMER_SPENDING_REAL" hidden="1">"c6963"</definedName>
    <definedName name="IQ_CONSUMER_SPENDING_REAL_APR" hidden="1">"c7623"</definedName>
    <definedName name="IQ_CONSUMER_SPENDING_REAL_APR_FC" hidden="1">"c8503"</definedName>
    <definedName name="IQ_CONSUMER_SPENDING_REAL_FC" hidden="1">"c7843"</definedName>
    <definedName name="IQ_CONSUMER_SPENDING_REAL_POP" hidden="1">"c7183"</definedName>
    <definedName name="IQ_CONSUMER_SPENDING_REAL_POP_FC" hidden="1">"c8063"</definedName>
    <definedName name="IQ_CONSUMER_SPENDING_REAL_SAAR" hidden="1">"c6968"</definedName>
    <definedName name="IQ_CONSUMER_SPENDING_REAL_SAAR_APR" hidden="1">"c7628"</definedName>
    <definedName name="IQ_CONSUMER_SPENDING_REAL_SAAR_APR_FC" hidden="1">"c8508"</definedName>
    <definedName name="IQ_CONSUMER_SPENDING_REAL_SAAR_FC" hidden="1">"c7848"</definedName>
    <definedName name="IQ_CONSUMER_SPENDING_REAL_SAAR_POP" hidden="1">"c7188"</definedName>
    <definedName name="IQ_CONSUMER_SPENDING_REAL_SAAR_POP_FC" hidden="1">"c8068"</definedName>
    <definedName name="IQ_CONSUMER_SPENDING_REAL_SAAR_YOY" hidden="1">"c7408"</definedName>
    <definedName name="IQ_CONSUMER_SPENDING_REAL_SAAR_YOY_FC" hidden="1">"c8288"</definedName>
    <definedName name="IQ_CONSUMER_SPENDING_REAL_USD_APR_FC" hidden="1">"c11921"</definedName>
    <definedName name="IQ_CONSUMER_SPENDING_REAL_USD_FC" hidden="1">"c11918"</definedName>
    <definedName name="IQ_CONSUMER_SPENDING_REAL_USD_POP_FC" hidden="1">"c11919"</definedName>
    <definedName name="IQ_CONSUMER_SPENDING_REAL_USD_YOY_FC" hidden="1">"c11920"</definedName>
    <definedName name="IQ_CONSUMER_SPENDING_REAL_YOY" hidden="1">"c7403"</definedName>
    <definedName name="IQ_CONSUMER_SPENDING_REAL_YOY_FC" hidden="1">"c8283"</definedName>
    <definedName name="IQ_CONSUMER_SPENDING_SERVICES" hidden="1">"c6837"</definedName>
    <definedName name="IQ_CONSUMER_SPENDING_SERVICES_APR" hidden="1">"c7497"</definedName>
    <definedName name="IQ_CONSUMER_SPENDING_SERVICES_APR_FC" hidden="1">"c8377"</definedName>
    <definedName name="IQ_CONSUMER_SPENDING_SERVICES_FC" hidden="1">"c7717"</definedName>
    <definedName name="IQ_CONSUMER_SPENDING_SERVICES_POP" hidden="1">"c7057"</definedName>
    <definedName name="IQ_CONSUMER_SPENDING_SERVICES_POP_FC" hidden="1">"c7937"</definedName>
    <definedName name="IQ_CONSUMER_SPENDING_SERVICES_REAL" hidden="1">"c6969"</definedName>
    <definedName name="IQ_CONSUMER_SPENDING_SERVICES_REAL_APR" hidden="1">"c7629"</definedName>
    <definedName name="IQ_CONSUMER_SPENDING_SERVICES_REAL_APR_FC" hidden="1">"c8509"</definedName>
    <definedName name="IQ_CONSUMER_SPENDING_SERVICES_REAL_FC" hidden="1">"c7849"</definedName>
    <definedName name="IQ_CONSUMER_SPENDING_SERVICES_REAL_POP" hidden="1">"c7189"</definedName>
    <definedName name="IQ_CONSUMER_SPENDING_SERVICES_REAL_POP_FC" hidden="1">"c8069"</definedName>
    <definedName name="IQ_CONSUMER_SPENDING_SERVICES_REAL_SAAR" hidden="1">"c6970"</definedName>
    <definedName name="IQ_CONSUMER_SPENDING_SERVICES_REAL_SAAR_APR" hidden="1">"c7630"</definedName>
    <definedName name="IQ_CONSUMER_SPENDING_SERVICES_REAL_SAAR_APR_FC" hidden="1">"c8510"</definedName>
    <definedName name="IQ_CONSUMER_SPENDING_SERVICES_REAL_SAAR_FC" hidden="1">"c7850"</definedName>
    <definedName name="IQ_CONSUMER_SPENDING_SERVICES_REAL_SAAR_POP" hidden="1">"c7190"</definedName>
    <definedName name="IQ_CONSUMER_SPENDING_SERVICES_REAL_SAAR_POP_FC" hidden="1">"c8070"</definedName>
    <definedName name="IQ_CONSUMER_SPENDING_SERVICES_REAL_SAAR_YOY" hidden="1">"c7410"</definedName>
    <definedName name="IQ_CONSUMER_SPENDING_SERVICES_REAL_SAAR_YOY_FC" hidden="1">"c8290"</definedName>
    <definedName name="IQ_CONSUMER_SPENDING_SERVICES_REAL_YOY" hidden="1">"c7409"</definedName>
    <definedName name="IQ_CONSUMER_SPENDING_SERVICES_REAL_YOY_FC" hidden="1">"c8289"</definedName>
    <definedName name="IQ_CONSUMER_SPENDING_SERVICES_YOY" hidden="1">"c7277"</definedName>
    <definedName name="IQ_CONSUMER_SPENDING_SERVICES_YOY_FC" hidden="1">"c8157"</definedName>
    <definedName name="IQ_CONSUMER_SPENDING_YOY" hidden="1">"c7274"</definedName>
    <definedName name="IQ_CONSUMER_SPENDING_YOY_FC" hidden="1">"c8154"</definedName>
    <definedName name="IQ_CONTINGENT_LIABILITIES" hidden="1">"c18873"</definedName>
    <definedName name="IQ_CONTRACT_OBLIGATION_AFTER_FIVE" hidden="1">"c15691"</definedName>
    <definedName name="IQ_CONTRACT_OBLIGATION_CY" hidden="1">"c15685"</definedName>
    <definedName name="IQ_CONTRACT_OBLIGATION_CY1" hidden="1">"c15686"</definedName>
    <definedName name="IQ_CONTRACT_OBLIGATION_CY2" hidden="1">"c15687"</definedName>
    <definedName name="IQ_CONTRACT_OBLIGATION_CY3" hidden="1">"c15688"</definedName>
    <definedName name="IQ_CONTRACT_OBLIGATION_CY4" hidden="1">"c15689"</definedName>
    <definedName name="IQ_CONTRACT_OBLIGATION_NEXT_FIVE" hidden="1">"c15690"</definedName>
    <definedName name="IQ_CONTRACT_OBLIGATION_TOTAL" hidden="1">"c15692"</definedName>
    <definedName name="IQ_CONTRACTS_OTHER_COMMODITIES_EQUITIES._FDIC" hidden="1">"c6522"</definedName>
    <definedName name="IQ_CONTRACTS_OTHER_COMMODITIES_EQUITIES_FDIC" hidden="1">"c6522"</definedName>
    <definedName name="IQ_CONTRIB_ID_DET_EST" hidden="1">"c12045"</definedName>
    <definedName name="IQ_CONTRIB_ID_DET_EST_THOM" hidden="1">"c12073"</definedName>
    <definedName name="IQ_CONTRIB_NAME_DET_EST" hidden="1">"c12046"</definedName>
    <definedName name="IQ_CONTRIB_NAME_DET_EST_THOM" hidden="1">"c12074"</definedName>
    <definedName name="IQ_CONTRIB_NAME_NON_PER_DET_EST" hidden="1">"c12760"</definedName>
    <definedName name="IQ_CONTRIB_NAME_NON_PER_DET_EST_THOM" hidden="1">"c12764"</definedName>
    <definedName name="IQ_CONTRIB_REC_DET_EST" hidden="1">"c12051"</definedName>
    <definedName name="IQ_CONTRIB_REC_DET_EST_DATE" hidden="1">"c12204"</definedName>
    <definedName name="IQ_CONTRIB_REC_DET_EST_DATE_THOM" hidden="1">"c12230"</definedName>
    <definedName name="IQ_CONTRIB_REC_DET_EST_ORIGIN" hidden="1">"c12577"</definedName>
    <definedName name="IQ_CONTRIB_REC_DET_EST_ORIGIN_THOM" hidden="1">"c12600"</definedName>
    <definedName name="IQ_CONTRIB_REC_DET_EST_THOM" hidden="1">"c12080"</definedName>
    <definedName name="IQ_CONTRIBUTOR_CIQID" hidden="1">"c13742"</definedName>
    <definedName name="IQ_CONTRIBUTOR_NAME" hidden="1">"c13735"</definedName>
    <definedName name="IQ_CONTRIBUTOR_START_DATE" hidden="1">"c13741"</definedName>
    <definedName name="IQ_CONV_DATE" hidden="1">"c2191"</definedName>
    <definedName name="IQ_CONV_EXP_DATE" hidden="1">"c3043"</definedName>
    <definedName name="IQ_CONV_PREMIUM" hidden="1">"c2195"</definedName>
    <definedName name="IQ_CONV_PRICE" hidden="1">"c2193"</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SION_COMMON_FFIEC" hidden="1">"c12964"</definedName>
    <definedName name="IQ_CONVERSION_PREF_FFIEC" hidden="1">"c12962"</definedName>
    <definedName name="IQ_CONVERT" hidden="1">"c2536"</definedName>
    <definedName name="IQ_CONVERT_DEBT" hidden="1">"c224"</definedName>
    <definedName name="IQ_CONVERT_PCT" hidden="1">"c2537"</definedName>
    <definedName name="IQ_CONVEXITY" hidden="1">"c2182"</definedName>
    <definedName name="IQ_CONVEYED_TO_OTHERS_FDIC" hidden="1">"c6534"</definedName>
    <definedName name="IQ_COO_ID" hidden="1">"c15222"</definedName>
    <definedName name="IQ_COO_NAME" hidden="1">"c15221"</definedName>
    <definedName name="IQ_CORE_CAPITAL_RATIO_FDIC" hidden="1">"c6745"</definedName>
    <definedName name="IQ_CORE_DEPOSITS_ASSETS_TOT_FFIEC" hidden="1">"c13442"</definedName>
    <definedName name="IQ_CORE_DEPOSITS_FFIEC" hidden="1">"c13862"</definedName>
    <definedName name="IQ_CORE_DEPOSITS_TOT_DEPOSITS_FFIEC" hidden="1">"c13911"</definedName>
    <definedName name="IQ_CORE_TIER_ONE_CAPITAL" hidden="1">"c15244"</definedName>
    <definedName name="IQ_CORE_TIER_ONE_CAPITAL_RATIO" hidden="1">"c15240"</definedName>
    <definedName name="IQ_CORP_GOODS_PRICE_INDEX_APR_FC_UNUSED" hidden="1">"c8381"</definedName>
    <definedName name="IQ_CORP_GOODS_PRICE_INDEX_APR_FC_UNUSED_UNUSED_UNUSED" hidden="1">"c8381"</definedName>
    <definedName name="IQ_CORP_GOODS_PRICE_INDEX_APR_UNUSED" hidden="1">"c7501"</definedName>
    <definedName name="IQ_CORP_GOODS_PRICE_INDEX_APR_UNUSED_UNUSED_UNUSED" hidden="1">"c7501"</definedName>
    <definedName name="IQ_CORP_GOODS_PRICE_INDEX_FC_UNUSED" hidden="1">"c7721"</definedName>
    <definedName name="IQ_CORP_GOODS_PRICE_INDEX_FC_UNUSED_UNUSED_UNUSED" hidden="1">"c7721"</definedName>
    <definedName name="IQ_CORP_GOODS_PRICE_INDEX_POP_FC_UNUSED" hidden="1">"c7941"</definedName>
    <definedName name="IQ_CORP_GOODS_PRICE_INDEX_POP_FC_UNUSED_UNUSED_UNUSED" hidden="1">"c7941"</definedName>
    <definedName name="IQ_CORP_GOODS_PRICE_INDEX_POP_UNUSED" hidden="1">"c7061"</definedName>
    <definedName name="IQ_CORP_GOODS_PRICE_INDEX_POP_UNUSED_UNUSED_UNUSED" hidden="1">"c7061"</definedName>
    <definedName name="IQ_CORP_GOODS_PRICE_INDEX_UNUSED" hidden="1">"c6841"</definedName>
    <definedName name="IQ_CORP_GOODS_PRICE_INDEX_UNUSED_UNUSED_UNUSED" hidden="1">"c6841"</definedName>
    <definedName name="IQ_CORP_GOODS_PRICE_INDEX_YOY_FC_UNUSED" hidden="1">"c8161"</definedName>
    <definedName name="IQ_CORP_GOODS_PRICE_INDEX_YOY_FC_UNUSED_UNUSED_UNUSED" hidden="1">"c8161"</definedName>
    <definedName name="IQ_CORP_GOODS_PRICE_INDEX_YOY_UNUSED" hidden="1">"c7281"</definedName>
    <definedName name="IQ_CORP_GOODS_PRICE_INDEX_YOY_UNUSED_UNUSED_UNUSED" hidden="1">"c7281"</definedName>
    <definedName name="IQ_CORP_PROFIT" hidden="1">"c20636"</definedName>
    <definedName name="IQ_CORP_PROFITS" hidden="1">"c6843"</definedName>
    <definedName name="IQ_CORP_PROFITS_AFTER_TAX_SAAR" hidden="1">"c6842"</definedName>
    <definedName name="IQ_CORP_PROFITS_AFTER_TAX_SAAR_APR" hidden="1">"c7502"</definedName>
    <definedName name="IQ_CORP_PROFITS_AFTER_TAX_SAAR_APR_FC" hidden="1">"c8382"</definedName>
    <definedName name="IQ_CORP_PROFITS_AFTER_TAX_SAAR_FC" hidden="1">"c7722"</definedName>
    <definedName name="IQ_CORP_PROFITS_AFTER_TAX_SAAR_POP" hidden="1">"c7062"</definedName>
    <definedName name="IQ_CORP_PROFITS_AFTER_TAX_SAAR_POP_FC" hidden="1">"c7942"</definedName>
    <definedName name="IQ_CORP_PROFITS_AFTER_TAX_SAAR_YOY" hidden="1">"c7282"</definedName>
    <definedName name="IQ_CORP_PROFITS_AFTER_TAX_SAAR_YOY_FC" hidden="1">"c8162"</definedName>
    <definedName name="IQ_CORP_PROFITS_AFTER_TAXES" hidden="1">"c20637"</definedName>
    <definedName name="IQ_CORP_PROFITS_APR" hidden="1">"c7503"</definedName>
    <definedName name="IQ_CORP_PROFITS_APR_FC" hidden="1">"c8383"</definedName>
    <definedName name="IQ_CORP_PROFITS_FC" hidden="1">"c7723"</definedName>
    <definedName name="IQ_CORP_PROFITS_POP" hidden="1">"c7063"</definedName>
    <definedName name="IQ_CORP_PROFITS_POP_FC" hidden="1">"c7943"</definedName>
    <definedName name="IQ_CORP_PROFITS_SAAR" hidden="1">"c6844"</definedName>
    <definedName name="IQ_CORP_PROFITS_SAAR_APR" hidden="1">"c7504"</definedName>
    <definedName name="IQ_CORP_PROFITS_SAAR_APR_FC" hidden="1">"c8384"</definedName>
    <definedName name="IQ_CORP_PROFITS_SAAR_FC" hidden="1">"c7724"</definedName>
    <definedName name="IQ_CORP_PROFITS_SAAR_POP" hidden="1">"c7064"</definedName>
    <definedName name="IQ_CORP_PROFITS_SAAR_POP_FC" hidden="1">"c7944"</definedName>
    <definedName name="IQ_CORP_PROFITS_SAAR_YOY" hidden="1">"c7284"</definedName>
    <definedName name="IQ_CORP_PROFITS_SAAR_YOY_FC" hidden="1">"c8164"</definedName>
    <definedName name="IQ_CORP_PROFITS_TAXES" hidden="1">"c20638"</definedName>
    <definedName name="IQ_CORP_PROFITS_YOY" hidden="1">"c7283"</definedName>
    <definedName name="IQ_CORP_PROFITS_YOY_FC" hidden="1">"c8163"</definedName>
    <definedName name="IQ_CORPORATE_OVER_TOTAL" hidden="1">"c13767"</definedName>
    <definedName name="IQ_COST_BORROWED_FUNDS_FFIEC" hidden="1">"c13492"</definedName>
    <definedName name="IQ_COST_BORROWING" hidden="1">"c2936"</definedName>
    <definedName name="IQ_COST_BORROWINGS" hidden="1">"c225"</definedName>
    <definedName name="IQ_COST_CAPITAL_NEW_BUSINESS" hidden="1">"c9968"</definedName>
    <definedName name="IQ_COST_FOREIGN_DEPOSITS_FFIEC" hidden="1">"c13490"</definedName>
    <definedName name="IQ_COST_FUNDS" hidden="1">"c15726"</definedName>
    <definedName name="IQ_COST_FUNDS_PURCHASED_FFIEC" hidden="1">"c13491"</definedName>
    <definedName name="IQ_COST_INT_DEPOSITS_FFIEC" hidden="1">"c13489"</definedName>
    <definedName name="IQ_COST_OF_FUNDING_ASSETS_FDIC" hidden="1">"c6725"</definedName>
    <definedName name="IQ_COST_REV" hidden="1">"c226"</definedName>
    <definedName name="IQ_COST_REVENUE" hidden="1">"c226"</definedName>
    <definedName name="IQ_COST_SALES_COAL" hidden="1">"c15933"</definedName>
    <definedName name="IQ_COST_SALES_PER_UNIT_SOLD_COAL" hidden="1">"c15944"</definedName>
    <definedName name="IQ_COST_SALES_TO_SALES_COAL" hidden="1">"c15951"</definedName>
    <definedName name="IQ_COST_SAVINGS" hidden="1">"c227"</definedName>
    <definedName name="IQ_COST_SERVICE" hidden="1">"c228"</definedName>
    <definedName name="IQ_COST_SOLVENCY_CAPITAL_COVERED" hidden="1">"c9965"</definedName>
    <definedName name="IQ_COST_SOLVENCY_CAPITAL_GROUP" hidden="1">"c9951"</definedName>
    <definedName name="IQ_COST_TOTAL_BORROWINGS" hidden="1">"c229"</definedName>
    <definedName name="IQ_COUNTRY_NAME" hidden="1">"c230"</definedName>
    <definedName name="IQ_COUNTRY_NAME_ECON" hidden="1">"c11752"</definedName>
    <definedName name="IQ_COUPON_FORMULA" hidden="1">"c8965"</definedName>
    <definedName name="IQ_COVERAGE_RATIO" hidden="1">"c15243"</definedName>
    <definedName name="IQ_COVERED_POPS" hidden="1">"c2124"</definedName>
    <definedName name="IQ_COVERED_WIRELESS_POPS" hidden="1">"c2124"</definedName>
    <definedName name="IQ_CP" hidden="1">"c2495"</definedName>
    <definedName name="IQ_CP_PCT" hidden="1">"c2496"</definedName>
    <definedName name="IQ_CPI" hidden="1">"c6845"</definedName>
    <definedName name="IQ_CPI_APR" hidden="1">"c7505"</definedName>
    <definedName name="IQ_CPI_APR_FC" hidden="1">"c8385"</definedName>
    <definedName name="IQ_CPI_CORE" hidden="1">"c6838"</definedName>
    <definedName name="IQ_CPI_CORE_APR" hidden="1">"c7498"</definedName>
    <definedName name="IQ_CPI_CORE_POP" hidden="1">"c7058"</definedName>
    <definedName name="IQ_CPI_CORE_YOY" hidden="1">"c7278"</definedName>
    <definedName name="IQ_CPI_FC" hidden="1">"c7725"</definedName>
    <definedName name="IQ_CPI_POP" hidden="1">"c7065"</definedName>
    <definedName name="IQ_CPI_POP_FC" hidden="1">"c7945"</definedName>
    <definedName name="IQ_CPI_YOY" hidden="1">"c7285"</definedName>
    <definedName name="IQ_CPI_YOY_FC" hidden="1">"c8165"</definedName>
    <definedName name="IQ_CPI_YOY_PCT" hidden="1">"c20639"</definedName>
    <definedName name="IQ_CPI_YOY_PCT_FC" hidden="1">"c20640"</definedName>
    <definedName name="IQ_CQ" hidden="1">5000</definedName>
    <definedName name="IQ_CREDIT_CARD_CHARGE_OFFS_FDIC" hidden="1">"c6652"</definedName>
    <definedName name="IQ_CREDIT_CARD_FEE" hidden="1">"c231"</definedName>
    <definedName name="IQ_CREDIT_CARD_FEE_BNK" hidden="1">"c231"</definedName>
    <definedName name="IQ_CREDIT_CARD_FEE_FIN" hidden="1">"c1583"</definedName>
    <definedName name="IQ_CREDIT_CARD_GROSS_LOANS_FFIEC" hidden="1">"c13412"</definedName>
    <definedName name="IQ_CREDIT_CARD_INTERCHANGE_FEES_FFIEC" hidden="1">"c13046"</definedName>
    <definedName name="IQ_CREDIT_CARD_LINES_FDIC" hidden="1">"c6525"</definedName>
    <definedName name="IQ_CREDIT_CARD_LINES_UNUSED_FFIEC" hidden="1">"c13242"</definedName>
    <definedName name="IQ_CREDIT_CARD_LOANS_CHARGE_OFFS_FFIEC" hidden="1">"c13180"</definedName>
    <definedName name="IQ_CREDIT_CARD_LOANS_DOM_QUARTERLY_AVG_FFIEC" hidden="1">"c15480"</definedName>
    <definedName name="IQ_CREDIT_CARD_LOANS_DUE_30_89_FFIEC" hidden="1">"c13272"</definedName>
    <definedName name="IQ_CREDIT_CARD_LOANS_DUE_90_FFIEC" hidden="1">"c13298"</definedName>
    <definedName name="IQ_CREDIT_CARD_LOANS_FDIC" hidden="1">"c6319"</definedName>
    <definedName name="IQ_CREDIT_CARD_LOANS_NON_ACCRUAL_FFIEC" hidden="1">"c13324"</definedName>
    <definedName name="IQ_CREDIT_CARD_LOANS_RECOV_FFIEC" hidden="1">"c13202"</definedName>
    <definedName name="IQ_CREDIT_CARD_NET_CHARGE_OFFS_FDIC" hidden="1">"c6654"</definedName>
    <definedName name="IQ_CREDIT_CARD_RECOVERIES_FDIC" hidden="1">"c6653"</definedName>
    <definedName name="IQ_CREDIT_CARD_RISK_BASED_FFIEC" hidden="1">"c13433"</definedName>
    <definedName name="IQ_CREDIT_CARDS_CONSUMER_LOANS_FFIEC" hidden="1">"c12822"</definedName>
    <definedName name="IQ_CREDIT_CARDS_LL_REC_FFIEC" hidden="1">"c12889"</definedName>
    <definedName name="IQ_CREDIT_CARDS_LOANS_TRADING_DOM_FFIEC" hidden="1">"c12933"</definedName>
    <definedName name="IQ_CREDIT_EXPOSURE" hidden="1">"c10038"</definedName>
    <definedName name="IQ_CREDIT_EXPOSURE_FFIEC" hidden="1">"c13062"</definedName>
    <definedName name="IQ_CREDIT_LOSS_CF" hidden="1">"c232"</definedName>
    <definedName name="IQ_CREDIT_LOSS_PROVISION_NET_CHARGE_OFFS_FDIC" hidden="1">"c6734"</definedName>
    <definedName name="IQ_CREDIT_LOSSES_DERIVATIVES_FFIEC" hidden="1">"c13068"</definedName>
    <definedName name="IQ_CREDIT_OPTIONS_DERIVATIVES_BENEFICIARY_FFIEC" hidden="1">"c13121"</definedName>
    <definedName name="IQ_CREDIT_OPTIONS_DERIVATIVES_GUARANTOR_FFIEC" hidden="1">"c13114"</definedName>
    <definedName name="IQ_CUMULATIVE_PREFERREDS_T2_FFIEC" hidden="1">"c13145"</definedName>
    <definedName name="IQ_CUMULATIVE_SPLIT_FACTOR" hidden="1">"c2094"</definedName>
    <definedName name="IQ_CURR_ACCT_BALANCE" hidden="1">"c20641"</definedName>
    <definedName name="IQ_CURR_ACCT_BALANCE_APR_FC_UNUSED" hidden="1">"c8387"</definedName>
    <definedName name="IQ_CURR_ACCT_BALANCE_APR_FC_UNUSED_UNUSED_UNUSED" hidden="1">"c8387"</definedName>
    <definedName name="IQ_CURR_ACCT_BALANCE_APR_UNUSED" hidden="1">"c7507"</definedName>
    <definedName name="IQ_CURR_ACCT_BALANCE_APR_UNUSED_UNUSED_UNUSED" hidden="1">"c7507"</definedName>
    <definedName name="IQ_CURR_ACCT_BALANCE_FC_UNUSED" hidden="1">"c7727"</definedName>
    <definedName name="IQ_CURR_ACCT_BALANCE_FC_UNUSED_UNUSED_UNUSED" hidden="1">"c7727"</definedName>
    <definedName name="IQ_CURR_ACCT_BALANCE_PCT" hidden="1">"c6846"</definedName>
    <definedName name="IQ_CURR_ACCT_BALANCE_PCT_FC" hidden="1">"c7726"</definedName>
    <definedName name="IQ_CURR_ACCT_BALANCE_PCT_GDP" hidden="1">"c20642"</definedName>
    <definedName name="IQ_CURR_ACCT_BALANCE_PCT_POP" hidden="1">"c7066"</definedName>
    <definedName name="IQ_CURR_ACCT_BALANCE_PCT_POP_FC" hidden="1">"c7946"</definedName>
    <definedName name="IQ_CURR_ACCT_BALANCE_PCT_YOY" hidden="1">"c7286"</definedName>
    <definedName name="IQ_CURR_ACCT_BALANCE_PCT_YOY_FC" hidden="1">"c8166"</definedName>
    <definedName name="IQ_CURR_ACCT_BALANCE_POP_FC_UNUSED" hidden="1">"c7947"</definedName>
    <definedName name="IQ_CURR_ACCT_BALANCE_POP_FC_UNUSED_UNUSED_UNUSED" hidden="1">"c7947"</definedName>
    <definedName name="IQ_CURR_ACCT_BALANCE_POP_UNUSED" hidden="1">"c7067"</definedName>
    <definedName name="IQ_CURR_ACCT_BALANCE_POP_UNUSED_UNUSED_UNUSED" hidden="1">"c7067"</definedName>
    <definedName name="IQ_CURR_ACCT_BALANCE_SAAR" hidden="1">"c6848"</definedName>
    <definedName name="IQ_CURR_ACCT_BALANCE_SAAR_APR" hidden="1">"c7508"</definedName>
    <definedName name="IQ_CURR_ACCT_BALANCE_SAAR_APR_FC" hidden="1">"c8388"</definedName>
    <definedName name="IQ_CURR_ACCT_BALANCE_SAAR_FC" hidden="1">"c7728"</definedName>
    <definedName name="IQ_CURR_ACCT_BALANCE_SAAR_POP" hidden="1">"c7068"</definedName>
    <definedName name="IQ_CURR_ACCT_BALANCE_SAAR_POP_FC" hidden="1">"c7948"</definedName>
    <definedName name="IQ_CURR_ACCT_BALANCE_SAAR_USD_APR_FC" hidden="1">"c11797"</definedName>
    <definedName name="IQ_CURR_ACCT_BALANCE_SAAR_USD_FC" hidden="1">"c11794"</definedName>
    <definedName name="IQ_CURR_ACCT_BALANCE_SAAR_USD_POP_FC" hidden="1">"c11795"</definedName>
    <definedName name="IQ_CURR_ACCT_BALANCE_SAAR_USD_YOY_FC" hidden="1">"c11796"</definedName>
    <definedName name="IQ_CURR_ACCT_BALANCE_SAAR_YOY" hidden="1">"c7288"</definedName>
    <definedName name="IQ_CURR_ACCT_BALANCE_SAAR_YOY_FC" hidden="1">"c8168"</definedName>
    <definedName name="IQ_CURR_ACCT_BALANCE_UNUSED" hidden="1">"c6847"</definedName>
    <definedName name="IQ_CURR_ACCT_BALANCE_UNUSED_UNUSED_UNUSED" hidden="1">"c6847"</definedName>
    <definedName name="IQ_CURR_ACCT_BALANCE_USD" hidden="1">"c11786"</definedName>
    <definedName name="IQ_CURR_ACCT_BALANCE_USD_APR" hidden="1">"c11789"</definedName>
    <definedName name="IQ_CURR_ACCT_BALANCE_USD_APR_FC" hidden="1">"c11793"</definedName>
    <definedName name="IQ_CURR_ACCT_BALANCE_USD_FC" hidden="1">"c11790"</definedName>
    <definedName name="IQ_CURR_ACCT_BALANCE_USD_POP" hidden="1">"c11787"</definedName>
    <definedName name="IQ_CURR_ACCT_BALANCE_USD_POP_FC" hidden="1">"c11791"</definedName>
    <definedName name="IQ_CURR_ACCT_BALANCE_USD_YOY" hidden="1">"c11788"</definedName>
    <definedName name="IQ_CURR_ACCT_BALANCE_USD_YOY_FC" hidden="1">"c11792"</definedName>
    <definedName name="IQ_CURR_ACCT_BALANCE_YOY_FC_UNUSED" hidden="1">"c8167"</definedName>
    <definedName name="IQ_CURR_ACCT_BALANCE_YOY_FC_UNUSED_UNUSED_UNUSED" hidden="1">"c8167"</definedName>
    <definedName name="IQ_CURR_ACCT_BALANCE_YOY_UNUSED" hidden="1">"c7287"</definedName>
    <definedName name="IQ_CURR_ACCT_BALANCE_YOY_UNUSED_UNUSED_UNUSED" hidden="1">"c7287"</definedName>
    <definedName name="IQ_CURR_ACCT_INC_RECEIPTS" hidden="1">"c6849"</definedName>
    <definedName name="IQ_CURR_ACCT_INC_RECEIPTS_APR" hidden="1">"c7509"</definedName>
    <definedName name="IQ_CURR_ACCT_INC_RECEIPTS_APR_FC" hidden="1">"c8389"</definedName>
    <definedName name="IQ_CURR_ACCT_INC_RECEIPTS_FC" hidden="1">"c7729"</definedName>
    <definedName name="IQ_CURR_ACCT_INC_RECEIPTS_POP" hidden="1">"c7069"</definedName>
    <definedName name="IQ_CURR_ACCT_INC_RECEIPTS_POP_FC" hidden="1">"c7949"</definedName>
    <definedName name="IQ_CURR_ACCT_INC_RECEIPTS_YOY" hidden="1">"c7289"</definedName>
    <definedName name="IQ_CURR_ACCT_INC_RECEIPTS_YOY_FC" hidden="1">"c8169"</definedName>
    <definedName name="IQ_CURR_DOMESTIC_TAXES" hidden="1">"c2074"</definedName>
    <definedName name="IQ_CURR_FOREIGN_TAXES" hidden="1">"c2075"</definedName>
    <definedName name="IQ_CURR_TAXES" hidden="1">"c19141"</definedName>
    <definedName name="IQ_CURRENCY_COIN_DOM_FFIEC" hidden="1">"c15287"</definedName>
    <definedName name="IQ_CURRENCY_COIN_DOMESTIC_FDIC" hidden="1">"c6388"</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CM" hidden="1">"c236"</definedName>
    <definedName name="IQ_CURRENCY_GAIN_FIN" hidden="1">"c237"</definedName>
    <definedName name="IQ_CURRENCY_GAIN_INS" hidden="1">"c238"</definedName>
    <definedName name="IQ_CURRENCY_GAIN_RE" hidden="1">"c6205"</definedName>
    <definedName name="IQ_CURRENCY_GAIN_REIT" hidden="1">"c239"</definedName>
    <definedName name="IQ_CURRENCY_GAIN_UTI" hidden="1">"c240"</definedName>
    <definedName name="IQ_CURRENT_BENCHMARK" hidden="1">"c6780"</definedName>
    <definedName name="IQ_CURRENT_BENCHMARK_CIQID" hidden="1">"c6781"</definedName>
    <definedName name="IQ_CURRENT_BENCHMARK_MATURITY" hidden="1">"c6782"</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CM" hidden="1">"c1567"</definedName>
    <definedName name="IQ_CURRENT_PORT_DEBT_FIN" hidden="1">"c1568"</definedName>
    <definedName name="IQ_CURRENT_PORT_DEBT_INS" hidden="1">"c1569"</definedName>
    <definedName name="IQ_CURRENT_PORT_DEBT_RE" hidden="1">"c6283"</definedName>
    <definedName name="IQ_CURRENT_PORT_DEBT_REIT" hidden="1">"c1570"</definedName>
    <definedName name="IQ_CURRENT_PORT_DEBT_UTI" hidden="1">"c1571"</definedName>
    <definedName name="IQ_CURRENT_PORT_FHLB_DEBT" hidden="1">"c5657"</definedName>
    <definedName name="IQ_CURRENT_PORT_LEASES" hidden="1">"c245"</definedName>
    <definedName name="IQ_CURRENT_PORT_PCT" hidden="1">"c2541"</definedName>
    <definedName name="IQ_CURRENT_RATIO" hidden="1">"c246"</definedName>
    <definedName name="IQ_CUSIP" hidden="1">"c2245"</definedName>
    <definedName name="IQ_CUST_PREMISE_EQUIP_CABLE_INVEST" hidden="1">"c15801"</definedName>
    <definedName name="IQ_CUSTOMER_LIAB_ACCEPTANCES_OUT_FFIEC" hidden="1">"c12835"</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CM" hidden="1">"c251"</definedName>
    <definedName name="IQ_DA_CF_FIN" hidden="1">"c252"</definedName>
    <definedName name="IQ_DA_CF_INS" hidden="1">"c253"</definedName>
    <definedName name="IQ_DA_CF_RE" hidden="1">"c6206"</definedName>
    <definedName name="IQ_DA_CF_REIT" hidden="1">"c254"</definedName>
    <definedName name="IQ_DA_CF_UTI" hidden="1">"c255"</definedName>
    <definedName name="IQ_DA_CM" hidden="1">"c248"</definedName>
    <definedName name="IQ_DA_EBITDA" hidden="1">"c5528"</definedName>
    <definedName name="IQ_DA_FIN" hidden="1">"c256"</definedName>
    <definedName name="IQ_DA_INS" hidden="1">"c257"</definedName>
    <definedName name="IQ_DA_RE" hidden="1">"c6207"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CM" hidden="1">"c263"</definedName>
    <definedName name="IQ_DA_SUPPL_CF_FIN" hidden="1">"c264"</definedName>
    <definedName name="IQ_DA_SUPPL_CF_INS" hidden="1">"c265"</definedName>
    <definedName name="IQ_DA_SUPPL_CF_RE" hidden="1">"c6208"</definedName>
    <definedName name="IQ_DA_SUPPL_CF_REIT" hidden="1">"c266"</definedName>
    <definedName name="IQ_DA_SUPPL_CF_UTI" hidden="1">"c267"</definedName>
    <definedName name="IQ_DA_SUPPL_CM" hidden="1">"c260"</definedName>
    <definedName name="IQ_DA_SUPPL_FIN" hidden="1">"c268"</definedName>
    <definedName name="IQ_DA_SUPPL_INS" hidden="1">"c269"</definedName>
    <definedName name="IQ_DA_SUPPL_RE" hidden="1">"c6209"</definedName>
    <definedName name="IQ_DA_SUPPL_REIT" hidden="1">"c270"</definedName>
    <definedName name="IQ_DA_SUPPL_UTI" hidden="1">"c271"</definedName>
    <definedName name="IQ_DA_UTI" hidden="1">"c272"</definedName>
    <definedName name="IQ_DAILY" hidden="1">500000</definedName>
    <definedName name="IQ_DATA_PROCESSING_EXP_FFIEC" hidden="1">"c13047"</definedName>
    <definedName name="IQ_DATA_SET" hidden="1">"c19244"</definedName>
    <definedName name="IQ_DATED_DATE" hidden="1">"c2185"</definedName>
    <definedName name="IQ_DAY_COUNT" hidden="1">"c2161"</definedName>
    <definedName name="IQ_DAYS_COVER_SHORT" hidden="1">"c1578"</definedName>
    <definedName name="IQ_DAYS_DELAY" hidden="1">"c8963"</definedName>
    <definedName name="IQ_DAYS_INVENTORY_OUT" hidden="1">"c273"</definedName>
    <definedName name="IQ_DAYS_PAY_OUTST" hidden="1">"c274"</definedName>
    <definedName name="IQ_DAYS_PAYABLE_OUT" hidden="1">"c274"</definedName>
    <definedName name="IQ_DAYS_SALES_OUT" hidden="1">"c275"</definedName>
    <definedName name="IQ_DAYS_SALES_OUTST" hidden="1">"c275"</definedName>
    <definedName name="IQ_DEBT_1_5_INVEST_SECURITIES_FFIEC" hidden="1">"c13465"</definedName>
    <definedName name="IQ_DEBT_ADJ" hidden="1">"c2515"</definedName>
    <definedName name="IQ_DEBT_ADJ_PCT" hidden="1">"c2516"</definedName>
    <definedName name="IQ_DEBT_EQUITY_EST" hidden="1">"c4257"</definedName>
    <definedName name="IQ_DEBT_EQUITY_EST_CIQ" hidden="1">"c4783"</definedName>
    <definedName name="IQ_DEBT_EQUITY_HIGH_EST" hidden="1">"c4258"</definedName>
    <definedName name="IQ_DEBT_EQUITY_HIGH_EST_CIQ" hidden="1">"c4784"</definedName>
    <definedName name="IQ_DEBT_EQUITY_LOW_EST" hidden="1">"c4259"</definedName>
    <definedName name="IQ_DEBT_EQUITY_LOW_EST_CIQ" hidden="1">"c4785"</definedName>
    <definedName name="IQ_DEBT_EQUITY_MEDIAN_EST" hidden="1">"c4260"</definedName>
    <definedName name="IQ_DEBT_EQUITY_MEDIAN_EST_CIQ" hidden="1">"c4786"</definedName>
    <definedName name="IQ_DEBT_EQUITY_NUM_EST" hidden="1">"c4261"</definedName>
    <definedName name="IQ_DEBT_EQUITY_NUM_EST_CIQ" hidden="1">"c4787"</definedName>
    <definedName name="IQ_DEBT_EQUITY_STDDEV_EST" hidden="1">"c4262"</definedName>
    <definedName name="IQ_DEBT_EQUITY_STDDEV_EST_CIQ" hidden="1">"c4788"</definedName>
    <definedName name="IQ_DEBT_EQUIV_NET_PBO" hidden="1">"c2938"</definedName>
    <definedName name="IQ_DEBT_EQUIV_OPER_LEASE" hidden="1">"c2935"</definedName>
    <definedName name="IQ_DEBT_LESS_1YR_INVEST_SECURITIES_FFIEC" hidden="1">"c13464"</definedName>
    <definedName name="IQ_DEBT_MATURING_MORE_THAN_ONE_YEAR_FFIEC" hidden="1">"c13164"</definedName>
    <definedName name="IQ_DEBT_MATURING_WITHIN_ONE_YEAR_FFIEC" hidden="1">"c13163"</definedName>
    <definedName name="IQ_DEBT_SEC_OVER_5YR_INVEST_SECURITIES_FFIEC" hidden="1">"c13466"</definedName>
    <definedName name="IQ_DEBT_SECURITIES_FOREIGN_FFIEC" hidden="1">"c13484"</definedName>
    <definedName name="IQ_DEBT_SECURITIES_OTHER_ASSETS_DUE_30_89_FFIEC" hidden="1">"c13279"</definedName>
    <definedName name="IQ_DEBT_SECURITIES_OTHER_ASSETS_DUE_90_FFIEC" hidden="1">"c13305"</definedName>
    <definedName name="IQ_DEBT_SECURITIES_OTHER_ASSETS_NON_ACCRUAL_FFIEC" hidden="1">"c13331"</definedName>
    <definedName name="IQ_DECREASE_INT_EXPENSE_FFIEC" hidden="1">"c13064"</definedName>
    <definedName name="IQ_DEDUCTIONS_TOTAL_RISK_BASED_CAPITAL_FFIEC" hidden="1">"c13152"</definedName>
    <definedName name="IQ_DEF_ACQ_CST" hidden="1">"c301"</definedName>
    <definedName name="IQ_DEF_AMORT" hidden="1">"c276"</definedName>
    <definedName name="IQ_DEF_AMORT_BNK" hidden="1">"c277"</definedName>
    <definedName name="IQ_DEF_AMORT_BR" hidden="1">"c278"</definedName>
    <definedName name="IQ_DEF_AMORT_CM"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CM" hidden="1">"c288"</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CM" hidden="1">"c294"</definedName>
    <definedName name="IQ_DEF_CHARGES_LT_FIN" hidden="1">"c295"</definedName>
    <definedName name="IQ_DEF_CHARGES_LT_INS" hidden="1">"c296"</definedName>
    <definedName name="IQ_DEF_CHARGES_LT_RE" hidden="1">"c6210"</definedName>
    <definedName name="IQ_DEF_CHARGES_LT_REIT" hidden="1">"c297"</definedName>
    <definedName name="IQ_DEF_CHARGES_LT_UTI" hidden="1">"c298"</definedName>
    <definedName name="IQ_DEF_CHARGES_RE" hidden="1">"c6211"</definedName>
    <definedName name="IQ_DEF_CHARGES_REIT" hidden="1">"c299"</definedName>
    <definedName name="IQ_DEF_CONTRIBUTION_TOTAL_COST" hidden="1">"c300"</definedName>
    <definedName name="IQ_DEF_INC_TAX" hidden="1">"c313"</definedName>
    <definedName name="IQ_DEF_POLICY_ACQ_COSTS" hidden="1">"c301"</definedName>
    <definedName name="IQ_DEF_POLICY_ACQ_COSTS_CF" hidden="1">"c302"</definedName>
    <definedName name="IQ_DEF_POLICY_AMORT" hidden="1">"c303"</definedName>
    <definedName name="IQ_DEF_SPENDING_REAL_SAAR" hidden="1">"c6971"</definedName>
    <definedName name="IQ_DEF_SPENDING_REAL_SAAR_APR" hidden="1">"c7631"</definedName>
    <definedName name="IQ_DEF_SPENDING_REAL_SAAR_APR_FC" hidden="1">"c8511"</definedName>
    <definedName name="IQ_DEF_SPENDING_REAL_SAAR_FC" hidden="1">"c7851"</definedName>
    <definedName name="IQ_DEF_SPENDING_REAL_SAAR_POP" hidden="1">"c7191"</definedName>
    <definedName name="IQ_DEF_SPENDING_REAL_SAAR_POP_FC" hidden="1">"c8071"</definedName>
    <definedName name="IQ_DEF_SPENDING_REAL_SAAR_YOY" hidden="1">"c7411"</definedName>
    <definedName name="IQ_DEF_SPENDING_REAL_SAAR_YOY_FC" hidden="1">"c8291"</definedName>
    <definedName name="IQ_DEF_TAX_ASSET_LT_BR" hidden="1">"c304"</definedName>
    <definedName name="IQ_DEF_TAX_ASSET_LT_CM" hidden="1">"c304"</definedName>
    <definedName name="IQ_DEF_TAX_ASSET_LT_FIN" hidden="1">"c305"</definedName>
    <definedName name="IQ_DEF_TAX_ASSET_LT_INS" hidden="1">"c306"</definedName>
    <definedName name="IQ_DEF_TAX_ASSET_LT_RE" hidden="1">"c6212"</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CM" hidden="1">"c315"</definedName>
    <definedName name="IQ_DEF_TAX_LIAB_LT_FIN" hidden="1">"c316"</definedName>
    <definedName name="IQ_DEF_TAX_LIAB_LT_INS" hidden="1">"c317"</definedName>
    <definedName name="IQ_DEF_TAX_LIAB_LT_RE" hidden="1">"c6213"</definedName>
    <definedName name="IQ_DEF_TAX_LIAB_LT_REIT" hidden="1">"c318"</definedName>
    <definedName name="IQ_DEF_TAX_LIAB_LT_UTI" hidden="1">"c319"</definedName>
    <definedName name="IQ_DEFERRED_CONTINGENT_RENT" hidden="1">"c16181"</definedName>
    <definedName name="IQ_DEFERRED_DOMESTIC_TAXES" hidden="1">"c2077"</definedName>
    <definedName name="IQ_DEFERRED_FOREIGN_TAXES" hidden="1">"c2078"</definedName>
    <definedName name="IQ_DEFERRED_INC_TAX" hidden="1">"c315"</definedName>
    <definedName name="IQ_DEFERRED_TAX_ASSETS_FFIEC" hidden="1">"c12843"</definedName>
    <definedName name="IQ_DEFERRED_TAX_ASSETS_T1_FFIEC" hidden="1">"c13141"</definedName>
    <definedName name="IQ_DEFERRED_TAX_LIAB_FFIEC" hidden="1">"c12870"</definedName>
    <definedName name="IQ_DEFERRED_TAX_NAV" hidden="1">"c16003"</definedName>
    <definedName name="IQ_DEFERRED_TAX_NNAV" hidden="1">"c16008"</definedName>
    <definedName name="IQ_DEFERRED_TAXES" hidden="1">"c147"</definedName>
    <definedName name="IQ_DEFERRED_TAXES_TOTAL" hidden="1">"c19142"</definedName>
    <definedName name="IQ_DELIVERED_HOMES_NEW_ORDERS" hidden="1">"c15821"</definedName>
    <definedName name="IQ_DELIVERED_HOMES_PRICE_NEW_ORDER_PRICE" hidden="1">"c15822"</definedName>
    <definedName name="IQ_DEMAND_DEP" hidden="1">"c320"</definedName>
    <definedName name="IQ_DEMAND_DEPOSITS_COMMERCIAL_BANK_SUBS_FFIEC" hidden="1">"c12945"</definedName>
    <definedName name="IQ_DEMAND_DEPOSITS_FDIC" hidden="1">"c6489"</definedName>
    <definedName name="IQ_DEMAND_DEPOSITS_TOT_DEPOSITS_FFIEC" hidden="1">"c13902"</definedName>
    <definedName name="IQ_DEPOSIT_ACCOUNTS_LESS_THAN_100K_FDIC" hidden="1">"c6494"</definedName>
    <definedName name="IQ_DEPOSIT_ACCOUNTS_MORE_THAN_100K_FDIC" hidden="1">"c6492"</definedName>
    <definedName name="IQ_DEPOSITORY_INST_ACCEPTANCES_LL_REC_DOM_FFIEC" hidden="1">"c12908"</definedName>
    <definedName name="IQ_DEPOSITORY_INST_GROSS_LOANS_FFIEC" hidden="1">"c13409"</definedName>
    <definedName name="IQ_DEPOSITORY_INST_RISK_BASED_FFIEC" hidden="1">"c13430"</definedName>
    <definedName name="IQ_DEPOSITORY_INSTITUTIONS_CHARGE_OFFS_FDIC" hidden="1">"c6596"</definedName>
    <definedName name="IQ_DEPOSITORY_INSTITUTIONS_NET_CHARGE_OFFS_FDIC" hidden="1">"c6634"</definedName>
    <definedName name="IQ_DEPOSITORY_INSTITUTIONS_RECOVERIES_FDIC" hidden="1">"c6615"</definedName>
    <definedName name="IQ_DEPOSITS_100K_MORE_ASSETS_TOT_FFIEC" hidden="1">"c13444"</definedName>
    <definedName name="IQ_DEPOSITS_DOM_FFIEC" hidden="1">"c12850"</definedName>
    <definedName name="IQ_DEPOSITS_FAIR_VALUE_TOT_FFIEC" hidden="1">"c13213"</definedName>
    <definedName name="IQ_DEPOSITS_FIN" hidden="1">"c321"</definedName>
    <definedName name="IQ_DEPOSITS_FOREIGN_BANKS_FOREIGN_AGENCIES_FFIEC" hidden="1">"c15344"</definedName>
    <definedName name="IQ_DEPOSITS_FOREIGN_FFIEC" hidden="1">"c12853"</definedName>
    <definedName name="IQ_DEPOSITS_HELD_DOMESTIC_FDIC" hidden="1">"c6340"</definedName>
    <definedName name="IQ_DEPOSITS_HELD_FOREIGN_FDIC" hidden="1">"c6341"</definedName>
    <definedName name="IQ_DEPOSITS_INTEREST_SECURITIES" hidden="1">"c5509"</definedName>
    <definedName name="IQ_DEPOSITS_LESS_100K_COMMERCIAL_BANK_SUBS_FFIEC" hidden="1">"c12948"</definedName>
    <definedName name="IQ_DEPOSITS_LESS_THAN_100K_AFTER_THREE_YEARS_FDIC" hidden="1">"c6464"</definedName>
    <definedName name="IQ_DEPOSITS_LESS_THAN_100K_THREE_MONTHS_FDIC" hidden="1">"c6461"</definedName>
    <definedName name="IQ_DEPOSITS_LESS_THAN_100K_THREE_YEARS_FDIC" hidden="1">"c6463"</definedName>
    <definedName name="IQ_DEPOSITS_LESS_THAN_100K_TWELVE_MONTHS_FDIC" hidden="1">"c6462"</definedName>
    <definedName name="IQ_DEPOSITS_LEVEL_1_FFIEC" hidden="1">"c13221"</definedName>
    <definedName name="IQ_DEPOSITS_LEVEL_2_FFIEC" hidden="1">"c13229"</definedName>
    <definedName name="IQ_DEPOSITS_LEVEL_3_FFIEC" hidden="1">"c13237"</definedName>
    <definedName name="IQ_DEPOSITS_MORE_100K_COMMERCIAL_BANK_SUBS_FFIEC" hidden="1">"c12949"</definedName>
    <definedName name="IQ_DEPOSITS_MORE_THAN_100K_AFTER_THREE_YEARS_FDIC" hidden="1">"c6469"</definedName>
    <definedName name="IQ_DEPOSITS_MORE_THAN_100K_THREE_MONTHS_FDIC" hidden="1">"c6466"</definedName>
    <definedName name="IQ_DEPOSITS_MORE_THAN_100K_THREE_YEARS_FDIC" hidden="1">"c6468"</definedName>
    <definedName name="IQ_DEPOSITS_MORE_THAN_100K_TWELVE_MONTHS_FDIC" hidden="1">"c6467"</definedName>
    <definedName name="IQ_DEPRE_AMORT" hidden="1">"c247"</definedName>
    <definedName name="IQ_DEPRE_AMORT_SUPPL" hidden="1">"c1593"</definedName>
    <definedName name="IQ_DEPRE_DEPLE" hidden="1">"c261"</definedName>
    <definedName name="IQ_DEPRE_SUPP" hidden="1">"c1443"</definedName>
    <definedName name="IQ_DERIVATIVE_ASSETS_FAIR_VALUE_TOT_FFIEC" hidden="1">"c15403"</definedName>
    <definedName name="IQ_DERIVATIVE_ASSETS_LEVEL_1_FFIEC" hidden="1">"c15425"</definedName>
    <definedName name="IQ_DERIVATIVE_ASSETS_LEVEL_2_FFIEC" hidden="1">"c15438"</definedName>
    <definedName name="IQ_DERIVATIVE_ASSETS_LEVEL_3_FFIEC" hidden="1">"c15451"</definedName>
    <definedName name="IQ_DERIVATIVE_LIAB_CURRENT" hidden="1">"c17873"</definedName>
    <definedName name="IQ_DERIVATIVE_LIAB_NON_CURRENT" hidden="1">"c17874"</definedName>
    <definedName name="IQ_DERIVATIVE_LIABILITIES_FAIR_VALUE_TOT_FFIEC" hidden="1">"c15407"</definedName>
    <definedName name="IQ_DERIVATIVE_LIABILITIES_LEVEL_1_FFIEC" hidden="1">"c15429"</definedName>
    <definedName name="IQ_DERIVATIVE_LIABILITIES_LEVEL_2_FFIEC" hidden="1">"c15442"</definedName>
    <definedName name="IQ_DERIVATIVE_LIABILITIES_LEVEL_3_FFIEC" hidden="1">"c15455"</definedName>
    <definedName name="IQ_DERIVATIVE_TRADING_ASSETS" hidden="1">"c17875"</definedName>
    <definedName name="IQ_DERIVATIVES_FDIC" hidden="1">"c6523"</definedName>
    <definedName name="IQ_DERIVATIVES_NEGATIVE_FAIR_VALUE_DOM_FFIEC" hidden="1">"c12943"</definedName>
    <definedName name="IQ_DERIVATIVES_NEGATIVE_VALUE_FFIEC" hidden="1">"c12861"</definedName>
    <definedName name="IQ_DERIVATIVES_POS_FAIR_VALUE_FFIEC" hidden="1">"c12827"</definedName>
    <definedName name="IQ_DERIVATIVES_POSITIVE_FAIR_VALUE_TRADING_DOM_FFIEC" hidden="1">"c12938"</definedName>
    <definedName name="IQ_DESCRIPTION_LONG" hidden="1">"c322"</definedName>
    <definedName name="IQ_DEVELOP_LAND" hidden="1">"c323"</definedName>
    <definedName name="IQ_DEVELOPMENT_EXPENSE" hidden="1">"c16040"</definedName>
    <definedName name="IQ_DEVELOPMENT_REVENUE" hidden="1">"c16024"</definedName>
    <definedName name="IQ_DIC" hidden="1">"c13834"</definedName>
    <definedName name="IQ_DIFF_LASTCLOSE_TARGET_PRICE" hidden="1">"c1854"</definedName>
    <definedName name="IQ_DIFF_LASTCLOSE_TARGET_PRICE_CIQ" hidden="1">"c4767"</definedName>
    <definedName name="IQ_DIFF_LASTCLOSE_TARGET_PRICE_REUT" hidden="1">"c5436"</definedName>
    <definedName name="IQ_DIFF_LASTCLOSE_TARGET_PRICE_THOM" hidden="1">"c5278"</definedName>
    <definedName name="IQ_DIG_SUB_BASIC_SUB" hidden="1">"c16202"</definedName>
    <definedName name="IQ_DIG_SUB_VIDEO_SUB" hidden="1">"c15788"</definedName>
    <definedName name="IQ_DIGITAL_SUB_TOTAL_HOMES_PASSED" hidden="1">"c15769"</definedName>
    <definedName name="IQ_DIGITAL_VIDEO_PENETRATION" hidden="1">"c15768"</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OUTSTANDING_CURRENT_EST" hidden="1">"c4263"</definedName>
    <definedName name="IQ_DILUT_OUTSTANDING_CURRENT_EST_CIQ" hidden="1">"c4789"</definedName>
    <definedName name="IQ_DILUT_OUTSTANDING_CURRENT_HIGH_EST" hidden="1">"c4264"</definedName>
    <definedName name="IQ_DILUT_OUTSTANDING_CURRENT_HIGH_EST_CIQ" hidden="1">"c4790"</definedName>
    <definedName name="IQ_DILUT_OUTSTANDING_CURRENT_LOW_EST" hidden="1">"c4265"</definedName>
    <definedName name="IQ_DILUT_OUTSTANDING_CURRENT_LOW_EST_CIQ" hidden="1">"c4791"</definedName>
    <definedName name="IQ_DILUT_OUTSTANDING_CURRENT_MEDIAN_EST" hidden="1">"c4266"</definedName>
    <definedName name="IQ_DILUT_OUTSTANDING_CURRENT_MEDIAN_EST_CIQ" hidden="1">"c4792"</definedName>
    <definedName name="IQ_DILUT_OUTSTANDING_CURRENT_NUM_EST" hidden="1">"c4267"</definedName>
    <definedName name="IQ_DILUT_OUTSTANDING_CURRENT_NUM_EST_CIQ" hidden="1">"c4793"</definedName>
    <definedName name="IQ_DILUT_OUTSTANDING_CURRENT_STDDEV_EST" hidden="1">"c4268"</definedName>
    <definedName name="IQ_DILUT_OUTSTANDING_CURRENT_STDDEV_EST_CIQ" hidden="1">"c4794"</definedName>
    <definedName name="IQ_DILUT_WEIGHT" hidden="1">"c326"</definedName>
    <definedName name="IQ_DILUT_WEIGHT_EST" hidden="1">"c4269"</definedName>
    <definedName name="IQ_DILUT_WEIGHT_EST_CIQ" hidden="1">"c4795"</definedName>
    <definedName name="IQ_DILUT_WEIGHT_GUIDANCE" hidden="1">"c4270"</definedName>
    <definedName name="IQ_DILUT_WEIGHT_HIGH_EST" hidden="1">"c4271"</definedName>
    <definedName name="IQ_DILUT_WEIGHT_HIGH_EST_CIQ" hidden="1">"c4796"</definedName>
    <definedName name="IQ_DILUT_WEIGHT_LOW_EST" hidden="1">"c4272"</definedName>
    <definedName name="IQ_DILUT_WEIGHT_LOW_EST_CIQ" hidden="1">"c4797"</definedName>
    <definedName name="IQ_DILUT_WEIGHT_MEDIAN_EST" hidden="1">"c4273"</definedName>
    <definedName name="IQ_DILUT_WEIGHT_MEDIAN_EST_CIQ" hidden="1">"c4798"</definedName>
    <definedName name="IQ_DILUT_WEIGHT_NUM_EST" hidden="1">"c4274"</definedName>
    <definedName name="IQ_DILUT_WEIGHT_NUM_EST_CIQ" hidden="1">"c4799"</definedName>
    <definedName name="IQ_DILUT_WEIGHT_STDDEV_EST" hidden="1">"c4275"</definedName>
    <definedName name="IQ_DILUT_WEIGHT_STDDEV_EST_CIQ" hidden="1">"c4800"</definedName>
    <definedName name="IQ_DILUTED_EPRA_NAV" hidden="1">"c16005"</definedName>
    <definedName name="IQ_DILUTED_EPRA_NAV_SHARE_RE" hidden="1">"c16014"</definedName>
    <definedName name="IQ_DILUTED_EPRA_NNAV" hidden="1">"c16010"</definedName>
    <definedName name="IQ_DILUTED_EPRA_NNAV_SHARE_RE" hidden="1">"c16015"</definedName>
    <definedName name="IQ_DILUTED_NAV_RE" hidden="1">"c15998"</definedName>
    <definedName name="IQ_DILUTED_NAV_SHARE_RE" hidden="1">"c16013"</definedName>
    <definedName name="IQ_DILUTED_NAV_SHARES" hidden="1">"c16016"</definedName>
    <definedName name="IQ_DILUTION_EFFECT_NAV" hidden="1">"c15997"</definedName>
    <definedName name="IQ_DIRECT_AH_EARNED" hidden="1">"c2740"</definedName>
    <definedName name="IQ_DIRECT_EARNED" hidden="1">"c2730"</definedName>
    <definedName name="IQ_DIRECT_INDIRECT_RE_VENTURES_FFIEC" hidden="1">"c15266"</definedName>
    <definedName name="IQ_DIRECT_INDIRECT_RE_VENTURES_UNCONSOL_FFIEC" hidden="1">"c15274"</definedName>
    <definedName name="IQ_DIRECT_LIFE_EARNED" hidden="1">"c2735"</definedName>
    <definedName name="IQ_DIRECT_LIFE_IN_FORCE" hidden="1">"c2765"</definedName>
    <definedName name="IQ_DIRECT_LOSSES" hidden="1">"c15869"</definedName>
    <definedName name="IQ_DIRECT_PC_EARNED" hidden="1">"c2745"</definedName>
    <definedName name="IQ_DIRECT_WRITTEN" hidden="1">"c2724"</definedName>
    <definedName name="IQ_DIRECTORS_FEES_FFIEC" hidden="1">"c13049"</definedName>
    <definedName name="IQ_DISALLOWED_DEFERRED_TAX_ASSETS_FFIEC" hidden="1">"c13157"</definedName>
    <definedName name="IQ_DISALLOWED_GOODWILL_INTANGIBLE_ASSETS_FFIEC" hidden="1">"c13155"</definedName>
    <definedName name="IQ_DISALLOWED_GOODWILL_INTANGIBLES_T1_FFIEC" hidden="1">"c13137"</definedName>
    <definedName name="IQ_DISALLOWED_SERVICING_ASSETS_FFIEC" hidden="1">"c13156"</definedName>
    <definedName name="IQ_DISALLOWED_SERVICING_ASSETS_T1_FFIEC" hidden="1">"c13140"</definedName>
    <definedName name="IQ_DISCONT_OPER" hidden="1">"c333"</definedName>
    <definedName name="IQ_DISCOUNT_RATE_PENSION_DOMESTIC" hidden="1">"c327"</definedName>
    <definedName name="IQ_DISCOUNT_RATE_PENSION_FOREIGN" hidden="1">"c328"</definedName>
    <definedName name="IQ_DISCRETIONARY_CAPEX" hidden="1">"c16183"</definedName>
    <definedName name="IQ_DISPOSABLE_PERSONAL_INC" hidden="1">"c6850"</definedName>
    <definedName name="IQ_DISPOSABLE_PERSONAL_INC_APR" hidden="1">"c7510"</definedName>
    <definedName name="IQ_DISPOSABLE_PERSONAL_INC_APR_FC" hidden="1">"c8390"</definedName>
    <definedName name="IQ_DISPOSABLE_PERSONAL_INC_FC" hidden="1">"c7730"</definedName>
    <definedName name="IQ_DISPOSABLE_PERSONAL_INC_POP" hidden="1">"c7070"</definedName>
    <definedName name="IQ_DISPOSABLE_PERSONAL_INC_POP_FC" hidden="1">"c7950"</definedName>
    <definedName name="IQ_DISPOSABLE_PERSONAL_INC_REAL" hidden="1">"c11922"</definedName>
    <definedName name="IQ_DISPOSABLE_PERSONAL_INC_REAL_APR" hidden="1">"c11925"</definedName>
    <definedName name="IQ_DISPOSABLE_PERSONAL_INC_REAL_POP" hidden="1">"c11923"</definedName>
    <definedName name="IQ_DISPOSABLE_PERSONAL_INC_REAL_YOY" hidden="1">"c11924"</definedName>
    <definedName name="IQ_DISPOSABLE_PERSONAL_INC_SAAR" hidden="1">"c6851"</definedName>
    <definedName name="IQ_DISPOSABLE_PERSONAL_INC_SAAR_APR" hidden="1">"c7511"</definedName>
    <definedName name="IQ_DISPOSABLE_PERSONAL_INC_SAAR_APR_FC" hidden="1">"c8391"</definedName>
    <definedName name="IQ_DISPOSABLE_PERSONAL_INC_SAAR_FC" hidden="1">"c7731"</definedName>
    <definedName name="IQ_DISPOSABLE_PERSONAL_INC_SAAR_POP" hidden="1">"c7071"</definedName>
    <definedName name="IQ_DISPOSABLE_PERSONAL_INC_SAAR_POP_FC" hidden="1">"c7951"</definedName>
    <definedName name="IQ_DISPOSABLE_PERSONAL_INC_SAAR_USD_APR_FC" hidden="1">"c11805"</definedName>
    <definedName name="IQ_DISPOSABLE_PERSONAL_INC_SAAR_USD_FC" hidden="1">"c11802"</definedName>
    <definedName name="IQ_DISPOSABLE_PERSONAL_INC_SAAR_USD_POP_FC" hidden="1">"c11803"</definedName>
    <definedName name="IQ_DISPOSABLE_PERSONAL_INC_SAAR_USD_YOY_FC" hidden="1">"c11804"</definedName>
    <definedName name="IQ_DISPOSABLE_PERSONAL_INC_SAAR_YOY" hidden="1">"c7291"</definedName>
    <definedName name="IQ_DISPOSABLE_PERSONAL_INC_SAAR_YOY_FC" hidden="1">"c8171"</definedName>
    <definedName name="IQ_DISPOSABLE_PERSONAL_INC_USD_APR_FC" hidden="1">"c11801"</definedName>
    <definedName name="IQ_DISPOSABLE_PERSONAL_INC_USD_FC" hidden="1">"c11798"</definedName>
    <definedName name="IQ_DISPOSABLE_PERSONAL_INC_USD_POP_FC" hidden="1">"c11799"</definedName>
    <definedName name="IQ_DISPOSABLE_PERSONAL_INC_USD_YOY_FC" hidden="1">"c11800"</definedName>
    <definedName name="IQ_DISPOSABLE_PERSONAL_INC_YOY" hidden="1">"c7290"</definedName>
    <definedName name="IQ_DISPOSABLE_PERSONAL_INC_YOY_FC" hidden="1">"c8170"</definedName>
    <definedName name="IQ_DISTR_EXCESS_EARN" hidden="1">"c329"</definedName>
    <definedName name="IQ_DISTRIBUTABLE_CASH" hidden="1">"c3002"</definedName>
    <definedName name="IQ_DISTRIBUTABLE_CASH_ACT_OR_EST" hidden="1">"c4278"</definedName>
    <definedName name="IQ_DISTRIBUTABLE_CASH_ACT_OR_EST_CIQ" hidden="1">"c4803"</definedName>
    <definedName name="IQ_DISTRIBUTABLE_CASH_ACT_OR_EST_CIQ_COL" hidden="1">"c11450"</definedName>
    <definedName name="IQ_DISTRIBUTABLE_CASH_EST" hidden="1">"c4277"</definedName>
    <definedName name="IQ_DISTRIBUTABLE_CASH_EST_CIQ" hidden="1">"c4802"</definedName>
    <definedName name="IQ_DISTRIBUTABLE_CASH_GUIDANCE" hidden="1">"c4279"</definedName>
    <definedName name="IQ_DISTRIBUTABLE_CASH_GUIDANCE_CIQ" hidden="1">"c4804"</definedName>
    <definedName name="IQ_DISTRIBUTABLE_CASH_GUIDANCE_CIQ_COL" hidden="1">"c11451"</definedName>
    <definedName name="IQ_DISTRIBUTABLE_CASH_HIGH_EST" hidden="1">"c4280"</definedName>
    <definedName name="IQ_DISTRIBUTABLE_CASH_HIGH_EST_CIQ" hidden="1">"c4805"</definedName>
    <definedName name="IQ_DISTRIBUTABLE_CASH_HIGH_GUIDANCE" hidden="1">"c4198"</definedName>
    <definedName name="IQ_DISTRIBUTABLE_CASH_HIGH_GUIDANCE_CIQ" hidden="1">"c4610"</definedName>
    <definedName name="IQ_DISTRIBUTABLE_CASH_HIGH_GUIDANCE_CIQ_COL" hidden="1">"c11259"</definedName>
    <definedName name="IQ_DISTRIBUTABLE_CASH_LOW_EST" hidden="1">"c4281"</definedName>
    <definedName name="IQ_DISTRIBUTABLE_CASH_LOW_EST_CIQ" hidden="1">"c4806"</definedName>
    <definedName name="IQ_DISTRIBUTABLE_CASH_LOW_GUIDANCE" hidden="1">"c4238"</definedName>
    <definedName name="IQ_DISTRIBUTABLE_CASH_LOW_GUIDANCE_CIQ" hidden="1">"c4650"</definedName>
    <definedName name="IQ_DISTRIBUTABLE_CASH_LOW_GUIDANCE_CIQ_COL" hidden="1">"c11299"</definedName>
    <definedName name="IQ_DISTRIBUTABLE_CASH_MEDIAN_EST" hidden="1">"c4282"</definedName>
    <definedName name="IQ_DISTRIBUTABLE_CASH_MEDIAN_EST_CIQ" hidden="1">"c4807"</definedName>
    <definedName name="IQ_DISTRIBUTABLE_CASH_NUM_EST" hidden="1">"c4283"</definedName>
    <definedName name="IQ_DISTRIBUTABLE_CASH_NUM_EST_CIQ" hidden="1">"c4808"</definedName>
    <definedName name="IQ_DISTRIBUTABLE_CASH_PAYOUT" hidden="1">"c3005"</definedName>
    <definedName name="IQ_DISTRIBUTABLE_CASH_PER_SHARE_DILUTED" hidden="1">"c16191"</definedName>
    <definedName name="IQ_DISTRIBUTABLE_CASH_SHARE" hidden="1">"c3003"</definedName>
    <definedName name="IQ_DISTRIBUTABLE_CASH_SHARE_ACT_OR_EST" hidden="1">"c4286"</definedName>
    <definedName name="IQ_DISTRIBUTABLE_CASH_SHARE_ACT_OR_EST_CIQ" hidden="1">"c4811"</definedName>
    <definedName name="IQ_DISTRIBUTABLE_CASH_SHARE_ACT_OR_EST_CIQ_COL" hidden="1">"c11458"</definedName>
    <definedName name="IQ_DISTRIBUTABLE_CASH_SHARE_EST" hidden="1">"c4285"</definedName>
    <definedName name="IQ_DISTRIBUTABLE_CASH_SHARE_EST_CIQ" hidden="1">"c4810"</definedName>
    <definedName name="IQ_DISTRIBUTABLE_CASH_SHARE_GUIDANCE" hidden="1">"c4287"</definedName>
    <definedName name="IQ_DISTRIBUTABLE_CASH_SHARE_GUIDANCE_CIQ" hidden="1">"c4812"</definedName>
    <definedName name="IQ_DISTRIBUTABLE_CASH_SHARE_GUIDANCE_CIQ_COL" hidden="1">"c11459"</definedName>
    <definedName name="IQ_DISTRIBUTABLE_CASH_SHARE_HIGH_EST" hidden="1">"c4288"</definedName>
    <definedName name="IQ_DISTRIBUTABLE_CASH_SHARE_HIGH_EST_CIQ" hidden="1">"c4813"</definedName>
    <definedName name="IQ_DISTRIBUTABLE_CASH_SHARE_HIGH_GUIDANCE" hidden="1">"c4199"</definedName>
    <definedName name="IQ_DISTRIBUTABLE_CASH_SHARE_HIGH_GUIDANCE_CIQ" hidden="1">"c4611"</definedName>
    <definedName name="IQ_DISTRIBUTABLE_CASH_SHARE_HIGH_GUIDANCE_CIQ_COL" hidden="1">"c11260"</definedName>
    <definedName name="IQ_DISTRIBUTABLE_CASH_SHARE_LOW_EST" hidden="1">"c4289"</definedName>
    <definedName name="IQ_DISTRIBUTABLE_CASH_SHARE_LOW_EST_CIQ" hidden="1">"c4814"</definedName>
    <definedName name="IQ_DISTRIBUTABLE_CASH_SHARE_LOW_GUIDANCE" hidden="1">"c4239"</definedName>
    <definedName name="IQ_DISTRIBUTABLE_CASH_SHARE_LOW_GUIDANCE_CIQ" hidden="1">"c4651"</definedName>
    <definedName name="IQ_DISTRIBUTABLE_CASH_SHARE_LOW_GUIDANCE_CIQ_COL" hidden="1">"c11300"</definedName>
    <definedName name="IQ_DISTRIBUTABLE_CASH_SHARE_MEDIAN_EST" hidden="1">"c4290"</definedName>
    <definedName name="IQ_DISTRIBUTABLE_CASH_SHARE_MEDIAN_EST_CIQ" hidden="1">"c4815"</definedName>
    <definedName name="IQ_DISTRIBUTABLE_CASH_SHARE_NUM_EST" hidden="1">"c4291"</definedName>
    <definedName name="IQ_DISTRIBUTABLE_CASH_SHARE_NUM_EST_CIQ" hidden="1">"c4816"</definedName>
    <definedName name="IQ_DISTRIBUTABLE_CASH_SHARE_STDDEV_EST" hidden="1">"c4292"</definedName>
    <definedName name="IQ_DISTRIBUTABLE_CASH_SHARE_STDDEV_EST_CIQ" hidden="1">"c4817"</definedName>
    <definedName name="IQ_DISTRIBUTABLE_CASH_SHARES_BASIC" hidden="1">"c16189"</definedName>
    <definedName name="IQ_DISTRIBUTABLE_CASH_SHARES_DILUTED" hidden="1">"c16190"</definedName>
    <definedName name="IQ_DISTRIBUTABLE_CASH_STDDEV_EST" hidden="1">"c4294"</definedName>
    <definedName name="IQ_DISTRIBUTABLE_CASH_STDDEV_EST_CIQ" hidden="1">"c4819"</definedName>
    <definedName name="IQ_DIV_AMOUNT" hidden="1">"c3041"</definedName>
    <definedName name="IQ_DIV_PAYMENT_DATE" hidden="1">"c2106"</definedName>
    <definedName name="IQ_DIV_PAYMENT_TYPE" hidden="1">"c12752"</definedName>
    <definedName name="IQ_DIV_RECORD_DATE" hidden="1">"c2105"</definedName>
    <definedName name="IQ_DIV_SHARE" hidden="1">"c330"</definedName>
    <definedName name="IQ_DIVEST_CF" hidden="1">"c331"</definedName>
    <definedName name="IQ_DIVID_SHARE" hidden="1">"c330"</definedName>
    <definedName name="IQ_DIVIDEND_EST" hidden="1">"c4296"</definedName>
    <definedName name="IQ_DIVIDEND_EST_CIQ" hidden="1">"c4821"</definedName>
    <definedName name="IQ_DIVIDEND_HIGH_EST" hidden="1">"c4297"</definedName>
    <definedName name="IQ_DIVIDEND_HIGH_EST_CIQ" hidden="1">"c4822"</definedName>
    <definedName name="IQ_DIVIDEND_LOW_EST" hidden="1">"c4298"</definedName>
    <definedName name="IQ_DIVIDEND_LOW_EST_CIQ" hidden="1">"c4823"</definedName>
    <definedName name="IQ_DIVIDEND_MEDIAN_EST" hidden="1">"c4299"</definedName>
    <definedName name="IQ_DIVIDEND_MEDIAN_EST_CIQ" hidden="1">"c4824"</definedName>
    <definedName name="IQ_DIVIDEND_NUM_EST" hidden="1">"c4300"</definedName>
    <definedName name="IQ_DIVIDEND_NUM_EST_CIQ" hidden="1">"c4825"</definedName>
    <definedName name="IQ_DIVIDEND_STDDEV_EST" hidden="1">"c4301"</definedName>
    <definedName name="IQ_DIVIDEND_STDDEV_EST_CIQ" hidden="1">"c4826"</definedName>
    <definedName name="IQ_DIVIDEND_YIELD" hidden="1">"c332"</definedName>
    <definedName name="IQ_DIVIDENDS_DECLARED_COMMON_FDIC" hidden="1">"c6659"</definedName>
    <definedName name="IQ_DIVIDENDS_DECLARED_COMMON_FFIEC" hidden="1">"c12969"</definedName>
    <definedName name="IQ_DIVIDENDS_DECLARED_PREFERRED_FDIC" hidden="1">"c6658"</definedName>
    <definedName name="IQ_DIVIDENDS_DECLARED_PREFERRED_FFIEC" hidden="1">"c12968"</definedName>
    <definedName name="IQ_DIVIDENDS_FDIC" hidden="1">"c6660"</definedName>
    <definedName name="IQ_DIVIDENDS_NET_INCOME_FFIEC" hidden="1">"c13349"</definedName>
    <definedName name="IQ_DIVIDENDS_PAID_DECLARED_PERIOD_COVERED" hidden="1">"c9960"</definedName>
    <definedName name="IQ_DIVIDENDS_PAID_DECLARED_PERIOD_GROUP" hidden="1">"c9946"</definedName>
    <definedName name="IQ_DNB_OTHER_EXP_INC_TAX_US" hidden="1">"c6787"</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OC_CLAUSE" hidden="1">"c6032"</definedName>
    <definedName name="IQ_DOM_OFFICE_DEPOSITS_TOT_DEPOSITS_FFIEC" hidden="1">"c13910"</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CAGR" hidden="1">"c6065"</definedName>
    <definedName name="IQ_DPS_10YR_ANN_GROWTH" hidden="1">"c337"</definedName>
    <definedName name="IQ_DPS_1YR_ANN_GROWTH" hidden="1">"c338"</definedName>
    <definedName name="IQ_DPS_2YR_ANN_CAGR" hidden="1">"c6066"</definedName>
    <definedName name="IQ_DPS_2YR_ANN_GROWTH" hidden="1">"c339"</definedName>
    <definedName name="IQ_DPS_3YR_ANN_CAGR" hidden="1">"c6067"</definedName>
    <definedName name="IQ_DPS_3YR_ANN_GROWTH" hidden="1">"c340"</definedName>
    <definedName name="IQ_DPS_5YR_ANN_CAGR" hidden="1">"c6068"</definedName>
    <definedName name="IQ_DPS_5YR_ANN_GROWTH" hidden="1">"c341"</definedName>
    <definedName name="IQ_DPS_7YR_ANN_CAGR" hidden="1">"c6069"</definedName>
    <definedName name="IQ_DPS_7YR_ANN_GROWTH" hidden="1">"c342"</definedName>
    <definedName name="IQ_DPS_ACT_OR_EST" hidden="1">"c2218"</definedName>
    <definedName name="IQ_DPS_ACT_OR_EST_CIQ" hidden="1">"c5062"</definedName>
    <definedName name="IQ_DPS_ACT_OR_EST_CIQ_COL" hidden="1">"c11709"</definedName>
    <definedName name="IQ_DPS_ACT_OR_EST_REUT" hidden="1">"c5464"</definedName>
    <definedName name="IQ_DPS_ACT_OR_EST_THOM" hidden="1">"c5302"</definedName>
    <definedName name="IQ_DPS_DET_EST" hidden="1">"c12052"</definedName>
    <definedName name="IQ_DPS_DET_EST_CURRENCY" hidden="1">"c12459"</definedName>
    <definedName name="IQ_DPS_DET_EST_CURRENCY_THOM" hidden="1">"c12480"</definedName>
    <definedName name="IQ_DPS_DET_EST_DATE" hidden="1">"c12205"</definedName>
    <definedName name="IQ_DPS_DET_EST_DATE_THOM" hidden="1">"c12231"</definedName>
    <definedName name="IQ_DPS_DET_EST_INCL" hidden="1">"c12342"</definedName>
    <definedName name="IQ_DPS_DET_EST_INCL_THOM" hidden="1">"c12363"</definedName>
    <definedName name="IQ_DPS_DET_EST_ORIGIN" hidden="1">"c12578"</definedName>
    <definedName name="IQ_DPS_DET_EST_ORIGIN_THOM" hidden="1">"c12601"</definedName>
    <definedName name="IQ_DPS_DET_EST_THOM" hidden="1">"c12081"</definedName>
    <definedName name="IQ_DPS_EST" hidden="1">"c1674"</definedName>
    <definedName name="IQ_DPS_EST_BOTTOM_UP" hidden="1">"c5493"</definedName>
    <definedName name="IQ_DPS_EST_BOTTOM_UP_CIQ" hidden="1">"c12030"</definedName>
    <definedName name="IQ_DPS_EST_BOTTOM_UP_REUT" hidden="1">"c5501"</definedName>
    <definedName name="IQ_DPS_EST_CIQ" hidden="1">"c3682"</definedName>
    <definedName name="IQ_DPS_EST_REUT" hidden="1">"c3851"</definedName>
    <definedName name="IQ_DPS_EST_THOM" hidden="1">"c4013"</definedName>
    <definedName name="IQ_DPS_GUIDANCE" hidden="1">"c4302"</definedName>
    <definedName name="IQ_DPS_GUIDANCE_CIQ" hidden="1">"c4827"</definedName>
    <definedName name="IQ_DPS_GUIDANCE_CIQ_COL" hidden="1">"c11474"</definedName>
    <definedName name="IQ_DPS_HIGH_EST" hidden="1">"c1676"</definedName>
    <definedName name="IQ_DPS_HIGH_EST_CIQ" hidden="1">"c3684"</definedName>
    <definedName name="IQ_DPS_HIGH_EST_REUT" hidden="1">"c3853"</definedName>
    <definedName name="IQ_DPS_HIGH_EST_THOM" hidden="1">"c4015"</definedName>
    <definedName name="IQ_DPS_HIGH_GUIDANCE" hidden="1">"c4168"</definedName>
    <definedName name="IQ_DPS_HIGH_GUIDANCE_CIQ" hidden="1">"c4580"</definedName>
    <definedName name="IQ_DPS_HIGH_GUIDANCE_CIQ_COL" hidden="1">"c11229"</definedName>
    <definedName name="IQ_DPS_LOW_EST" hidden="1">"c1677"</definedName>
    <definedName name="IQ_DPS_LOW_EST_CIQ" hidden="1">"c3685"</definedName>
    <definedName name="IQ_DPS_LOW_EST_REUT" hidden="1">"c3854"</definedName>
    <definedName name="IQ_DPS_LOW_EST_THOM" hidden="1">"c4016"</definedName>
    <definedName name="IQ_DPS_LOW_GUIDANCE" hidden="1">"c4208"</definedName>
    <definedName name="IQ_DPS_LOW_GUIDANCE_CIQ" hidden="1">"c4620"</definedName>
    <definedName name="IQ_DPS_LOW_GUIDANCE_CIQ_COL" hidden="1">"c11269"</definedName>
    <definedName name="IQ_DPS_MEDIAN_EST" hidden="1">"c1675"</definedName>
    <definedName name="IQ_DPS_MEDIAN_EST_CIQ" hidden="1">"c3683"</definedName>
    <definedName name="IQ_DPS_MEDIAN_EST_REUT" hidden="1">"c3852"</definedName>
    <definedName name="IQ_DPS_MEDIAN_EST_THOM" hidden="1">"c4014"</definedName>
    <definedName name="IQ_DPS_NUM_EST" hidden="1">"c1678"</definedName>
    <definedName name="IQ_DPS_NUM_EST_CIQ" hidden="1">"c3686"</definedName>
    <definedName name="IQ_DPS_NUM_EST_REUT" hidden="1">"c3855"</definedName>
    <definedName name="IQ_DPS_NUM_EST_THOM" hidden="1">"c4017"</definedName>
    <definedName name="IQ_DPS_STDDEV_EST" hidden="1">"c1679"</definedName>
    <definedName name="IQ_DPS_STDDEV_EST_CIQ" hidden="1">"c3687"</definedName>
    <definedName name="IQ_DPS_STDDEV_EST_REUT" hidden="1">"c3856"</definedName>
    <definedName name="IQ_DPS_STDDEV_EST_THOM" hidden="1">"c4018"</definedName>
    <definedName name="IQ_DURABLE_INVENTORIES" hidden="1">"c6853"</definedName>
    <definedName name="IQ_DURABLE_INVENTORIES_APR" hidden="1">"c7513"</definedName>
    <definedName name="IQ_DURABLE_INVENTORIES_APR_FC" hidden="1">"c8393"</definedName>
    <definedName name="IQ_DURABLE_INVENTORIES_FC" hidden="1">"c7733"</definedName>
    <definedName name="IQ_DURABLE_INVENTORIES_POP" hidden="1">"c7073"</definedName>
    <definedName name="IQ_DURABLE_INVENTORIES_POP_FC" hidden="1">"c7953"</definedName>
    <definedName name="IQ_DURABLE_INVENTORIES_YOY" hidden="1">"c7293"</definedName>
    <definedName name="IQ_DURABLE_INVENTORIES_YOY_FC" hidden="1">"c8173"</definedName>
    <definedName name="IQ_DURABLE_ORDERS" hidden="1">"c6854"</definedName>
    <definedName name="IQ_DURABLE_ORDERS_APR" hidden="1">"c7514"</definedName>
    <definedName name="IQ_DURABLE_ORDERS_APR_FC" hidden="1">"c8394"</definedName>
    <definedName name="IQ_DURABLE_ORDERS_FC" hidden="1">"c7734"</definedName>
    <definedName name="IQ_DURABLE_ORDERS_POP" hidden="1">"c7074"</definedName>
    <definedName name="IQ_DURABLE_ORDERS_POP_FC" hidden="1">"c7954"</definedName>
    <definedName name="IQ_DURABLE_ORDERS_YOY" hidden="1">"c7294"</definedName>
    <definedName name="IQ_DURABLE_ORDERS_YOY_FC" hidden="1">"c8174"</definedName>
    <definedName name="IQ_DURABLE_SHIPMENTS" hidden="1">"c6855"</definedName>
    <definedName name="IQ_DURABLE_SHIPMENTS_APR" hidden="1">"c7515"</definedName>
    <definedName name="IQ_DURABLE_SHIPMENTS_APR_FC" hidden="1">"c8395"</definedName>
    <definedName name="IQ_DURABLE_SHIPMENTS_FC" hidden="1">"c7735"</definedName>
    <definedName name="IQ_DURABLE_SHIPMENTS_POP" hidden="1">"c7075"</definedName>
    <definedName name="IQ_DURABLE_SHIPMENTS_POP_FC" hidden="1">"c7955"</definedName>
    <definedName name="IQ_DURABLE_SHIPMENTS_YOY" hidden="1">"c7295"</definedName>
    <definedName name="IQ_DURABLE_SHIPMENTS_YOY_FC" hidden="1">"c8175"</definedName>
    <definedName name="IQ_DURATION" hidden="1">"c2181"</definedName>
    <definedName name="IQ_EARNING_ASSET_INT_BEAR_LIABILITIES" hidden="1">"c15703"</definedName>
    <definedName name="IQ_EARNING_ASSET_YIELD" hidden="1">"c343"</definedName>
    <definedName name="IQ_EARNING_ASSETS_AVG_ASSETS_FFIEC" hidden="1">"c13354"</definedName>
    <definedName name="IQ_EARNING_ASSETS_FDIC" hidden="1">"c6360"</definedName>
    <definedName name="IQ_EARNING_ASSETS_QUARTERLY_AVG_FFIEC" hidden="1">"c13086"</definedName>
    <definedName name="IQ_EARNING_ASSETS_REPRICE_ASSETS_TOT_FFIEC" hidden="1">"c13451"</definedName>
    <definedName name="IQ_EARNING_ASSETS_YIELD_FDIC" hidden="1">"c6724"</definedName>
    <definedName name="IQ_EARNING_CO" hidden="1">"c344"</definedName>
    <definedName name="IQ_EARNING_CO_10YR_ANN_CAGR" hidden="1">"c6070"</definedName>
    <definedName name="IQ_EARNING_CO_10YR_ANN_GROWTH" hidden="1">"c345"</definedName>
    <definedName name="IQ_EARNING_CO_1YR_ANN_GROWTH" hidden="1">"c346"</definedName>
    <definedName name="IQ_EARNING_CO_2YR_ANN_CAGR" hidden="1">"c6071"</definedName>
    <definedName name="IQ_EARNING_CO_2YR_ANN_GROWTH" hidden="1">"c347"</definedName>
    <definedName name="IQ_EARNING_CO_3YR_ANN_CAGR" hidden="1">"c6072"</definedName>
    <definedName name="IQ_EARNING_CO_3YR_ANN_GROWTH" hidden="1">"c348"</definedName>
    <definedName name="IQ_EARNING_CO_5YR_ANN_CAGR" hidden="1">"c6073"</definedName>
    <definedName name="IQ_EARNING_CO_5YR_ANN_GROWTH" hidden="1">"c349"</definedName>
    <definedName name="IQ_EARNING_CO_7YR_ANN_CAGR" hidden="1">"c6074"</definedName>
    <definedName name="IQ_EARNING_CO_7YR_ANN_GROWTH" hidden="1">"c350"</definedName>
    <definedName name="IQ_EARNING_CO_MARGIN" hidden="1">"c351"</definedName>
    <definedName name="IQ_EARNINGS_ANNOUNCE_DATE" hidden="1">"c1649"</definedName>
    <definedName name="IQ_EARNINGS_ANNOUNCE_DATE_CIQ" hidden="1">"c4656"</definedName>
    <definedName name="IQ_EARNINGS_ANNOUNCE_DATE_REUT" hidden="1">"c5314"</definedName>
    <definedName name="IQ_EARNINGS_ANNOUNCE_DATE_THOM" hidden="1">"c5093"</definedName>
    <definedName name="IQ_EARNINGS_CO_FFIEC" hidden="1">"c13032"</definedName>
    <definedName name="IQ_EARNINGS_CONT_OPS_HOMEBUILDING_SALES" hidden="1">"c15817"</definedName>
    <definedName name="IQ_EARNINGS_COVERAGE_LOSSES_FFIEC" hidden="1">"c13351"</definedName>
    <definedName name="IQ_EARNINGS_COVERAGE_NET_CHARGE_OFFS_FDIC" hidden="1">"c6735"</definedName>
    <definedName name="IQ_EARNINGS_LIFE_INSURANCE_FFIEC" hidden="1">"c13041"</definedName>
    <definedName name="IQ_EARNINGS_PERIOD_COVERED" hidden="1">"c9958"</definedName>
    <definedName name="IQ_EARNINGS_PERIOD_GROUP" hidden="1">"c9944"</definedName>
    <definedName name="IQ_EBIT" hidden="1">"c352"</definedName>
    <definedName name="IQ_EBIT_10K" hidden="1">"IQ_EBIT_10K"</definedName>
    <definedName name="IQ_EBIT_10Q" hidden="1">"IQ_EBIT_10Q"</definedName>
    <definedName name="IQ_EBIT_10Q1" hidden="1">"IQ_EBIT_10Q1"</definedName>
    <definedName name="IQ_EBIT_10YR_ANN_CAGR" hidden="1">"c6075"</definedName>
    <definedName name="IQ_EBIT_10YR_ANN_GROWTH" hidden="1">"c353"</definedName>
    <definedName name="IQ_EBIT_1YR_ANN_GROWTH" hidden="1">"c354"</definedName>
    <definedName name="IQ_EBIT_2YR_ANN_CAGR" hidden="1">"c6076"</definedName>
    <definedName name="IQ_EBIT_2YR_ANN_GROWTH" hidden="1">"c355"</definedName>
    <definedName name="IQ_EBIT_3YR_ANN_CAGR" hidden="1">"c6077"</definedName>
    <definedName name="IQ_EBIT_3YR_ANN_GROWTH" hidden="1">"c356"</definedName>
    <definedName name="IQ_EBIT_5YR_ANN_CAGR" hidden="1">"c6078"</definedName>
    <definedName name="IQ_EBIT_5YR_ANN_GROWTH" hidden="1">"c357"</definedName>
    <definedName name="IQ_EBIT_7YR_ANN_CAGR" hidden="1">"c6079"</definedName>
    <definedName name="IQ_EBIT_7YR_ANN_GROWTH" hidden="1">"c358"</definedName>
    <definedName name="IQ_EBIT_ACT_OR_EST" hidden="1">"c2219"</definedName>
    <definedName name="IQ_EBIT_ACT_OR_EST_CIQ" hidden="1">"c5063"</definedName>
    <definedName name="IQ_EBIT_ACT_OR_EST_CIQ_COL" hidden="1">"c11710"</definedName>
    <definedName name="IQ_EBIT_ACT_OR_EST_REUT" hidden="1">"c5465"</definedName>
    <definedName name="IQ_EBIT_ACT_OR_EST_THOM" hidden="1">"c5303"</definedName>
    <definedName name="IQ_EBIT_DET_EST" hidden="1">"c12053"</definedName>
    <definedName name="IQ_EBIT_DET_EST_CURRENCY" hidden="1">"c12460"</definedName>
    <definedName name="IQ_EBIT_DET_EST_CURRENCY_THOM" hidden="1">"c12481"</definedName>
    <definedName name="IQ_EBIT_DET_EST_DATE" hidden="1">"c12206"</definedName>
    <definedName name="IQ_EBIT_DET_EST_DATE_THOM" hidden="1">"c12232"</definedName>
    <definedName name="IQ_EBIT_DET_EST_INCL" hidden="1">"c12343"</definedName>
    <definedName name="IQ_EBIT_DET_EST_INCL_THOM" hidden="1">"c12364"</definedName>
    <definedName name="IQ_EBIT_DET_EST_ORIGIN" hidden="1">"c12579"</definedName>
    <definedName name="IQ_EBIT_DET_EST_ORIGIN_THOM" hidden="1">"c12602"</definedName>
    <definedName name="IQ_EBIT_DET_EST_THOM" hidden="1">"c12082"</definedName>
    <definedName name="IQ_EBIT_EQ_INC" hidden="1">"c3498"</definedName>
    <definedName name="IQ_EBIT_EQ_INC_EXCL_SBC" hidden="1">"c3502"</definedName>
    <definedName name="IQ_EBIT_EST" hidden="1">"c1681"</definedName>
    <definedName name="IQ_EBIT_EST_CIQ" hidden="1">"c4674"</definedName>
    <definedName name="IQ_EBIT_EST_REUT" hidden="1">"c5333"</definedName>
    <definedName name="IQ_EBIT_EST_THOM" hidden="1">"c5105"</definedName>
    <definedName name="IQ_EBIT_EXCL_SBC" hidden="1">"c3082"</definedName>
    <definedName name="IQ_EBIT_GROWTH_1" hidden="1">"c157"</definedName>
    <definedName name="IQ_EBIT_GROWTH_2" hidden="1">"c161"</definedName>
    <definedName name="IQ_EBIT_GUIDANCE" hidden="1">"c4303"</definedName>
    <definedName name="IQ_EBIT_GUIDANCE_CIQ" hidden="1">"c4828"</definedName>
    <definedName name="IQ_EBIT_GUIDANCE_CIQ_COL" hidden="1">"c11475"</definedName>
    <definedName name="IQ_EBIT_GW_ACT_OR_EST" hidden="1">"c4306"</definedName>
    <definedName name="IQ_EBIT_GW_ACT_OR_EST_CIQ" hidden="1">"c4831"</definedName>
    <definedName name="IQ_EBIT_GW_ACT_OR_EST_CIQ_COL" hidden="1">"c11478"</definedName>
    <definedName name="IQ_EBIT_GW_EST" hidden="1">"c4305"</definedName>
    <definedName name="IQ_EBIT_GW_EST_CIQ" hidden="1">"c4830"</definedName>
    <definedName name="IQ_EBIT_GW_GUIDANCE" hidden="1">"c4307"</definedName>
    <definedName name="IQ_EBIT_GW_GUIDANCE_CIQ" hidden="1">"c4832"</definedName>
    <definedName name="IQ_EBIT_GW_GUIDANCE_CIQ_COL" hidden="1">"c11479"</definedName>
    <definedName name="IQ_EBIT_GW_HIGH_EST" hidden="1">"c4308"</definedName>
    <definedName name="IQ_EBIT_GW_HIGH_EST_CIQ" hidden="1">"c4833"</definedName>
    <definedName name="IQ_EBIT_GW_HIGH_GUIDANCE" hidden="1">"c4171"</definedName>
    <definedName name="IQ_EBIT_GW_HIGH_GUIDANCE_CIQ" hidden="1">"c4583"</definedName>
    <definedName name="IQ_EBIT_GW_HIGH_GUIDANCE_CIQ_COL" hidden="1">"c11232"</definedName>
    <definedName name="IQ_EBIT_GW_LOW_EST" hidden="1">"c4309"</definedName>
    <definedName name="IQ_EBIT_GW_LOW_EST_CIQ" hidden="1">"c4834"</definedName>
    <definedName name="IQ_EBIT_GW_LOW_GUIDANCE" hidden="1">"c4211"</definedName>
    <definedName name="IQ_EBIT_GW_LOW_GUIDANCE_CIQ" hidden="1">"c4623"</definedName>
    <definedName name="IQ_EBIT_GW_LOW_GUIDANCE_CIQ_COL" hidden="1">"c11272"</definedName>
    <definedName name="IQ_EBIT_GW_MEDIAN_EST" hidden="1">"c4310"</definedName>
    <definedName name="IQ_EBIT_GW_MEDIAN_EST_CIQ" hidden="1">"c4835"</definedName>
    <definedName name="IQ_EBIT_GW_NUM_EST" hidden="1">"c4311"</definedName>
    <definedName name="IQ_EBIT_GW_NUM_EST_CIQ" hidden="1">"c4836"</definedName>
    <definedName name="IQ_EBIT_GW_STDDEV_EST" hidden="1">"c4312"</definedName>
    <definedName name="IQ_EBIT_GW_STDDEV_EST_CIQ" hidden="1">"c4837"</definedName>
    <definedName name="IQ_EBIT_HIGH_EST" hidden="1">"c1683"</definedName>
    <definedName name="IQ_EBIT_HIGH_EST_CIQ" hidden="1">"c4676"</definedName>
    <definedName name="IQ_EBIT_HIGH_EST_REUT" hidden="1">"c5335"</definedName>
    <definedName name="IQ_EBIT_HIGH_EST_THOM" hidden="1">"c5107"</definedName>
    <definedName name="IQ_EBIT_HIGH_GUIDANCE" hidden="1">"c4172"</definedName>
    <definedName name="IQ_EBIT_HIGH_GUIDANCE_CIQ" hidden="1">"c4584"</definedName>
    <definedName name="IQ_EBIT_HIGH_GUIDANCE_CIQ_COL" hidden="1">"c11233"</definedName>
    <definedName name="IQ_EBIT_HOMEBUILDING_SALES" hidden="1">"c15815"</definedName>
    <definedName name="IQ_EBIT_INT" hidden="1">"c360"</definedName>
    <definedName name="IQ_EBIT_LOW_EST" hidden="1">"c1684"</definedName>
    <definedName name="IQ_EBIT_LOW_EST_CIQ" hidden="1">"c4677"</definedName>
    <definedName name="IQ_EBIT_LOW_EST_REUT" hidden="1">"c5336"</definedName>
    <definedName name="IQ_EBIT_LOW_EST_THOM" hidden="1">"c5108"</definedName>
    <definedName name="IQ_EBIT_LOW_GUIDANCE" hidden="1">"c4212"</definedName>
    <definedName name="IQ_EBIT_LOW_GUIDANCE_CIQ" hidden="1">"c4624"</definedName>
    <definedName name="IQ_EBIT_LOW_GUIDANCE_CIQ_COL" hidden="1">"c11273"</definedName>
    <definedName name="IQ_EBIT_MARGIN" hidden="1">"c359"</definedName>
    <definedName name="IQ_EBIT_MEDIAN_EST" hidden="1">"c1682"</definedName>
    <definedName name="IQ_EBIT_MEDIAN_EST_CIQ" hidden="1">"c4675"</definedName>
    <definedName name="IQ_EBIT_MEDIAN_EST_REUT" hidden="1">"c5334"</definedName>
    <definedName name="IQ_EBIT_MEDIAN_EST_THOM" hidden="1">"c5106"</definedName>
    <definedName name="IQ_EBIT_NUM_EST" hidden="1">"c1685"</definedName>
    <definedName name="IQ_EBIT_NUM_EST_CIQ" hidden="1">"c4678"</definedName>
    <definedName name="IQ_EBIT_NUM_EST_REUT" hidden="1">"c5337"</definedName>
    <definedName name="IQ_EBIT_NUM_EST_THOM" hidden="1">"c5109"</definedName>
    <definedName name="IQ_EBIT_OVER_IE" hidden="1">"c360"</definedName>
    <definedName name="IQ_EBIT_SBC_ACT_OR_EST" hidden="1">"c4316"</definedName>
    <definedName name="IQ_EBIT_SBC_ACT_OR_EST_CIQ" hidden="1">"c4841"</definedName>
    <definedName name="IQ_EBIT_SBC_ACT_OR_EST_CIQ_COL" hidden="1">"c11488"</definedName>
    <definedName name="IQ_EBIT_SBC_EST" hidden="1">"c4315"</definedName>
    <definedName name="IQ_EBIT_SBC_EST_CIQ" hidden="1">"c4840"</definedName>
    <definedName name="IQ_EBIT_SBC_GUIDANCE" hidden="1">"c4317"</definedName>
    <definedName name="IQ_EBIT_SBC_GUIDANCE_CIQ" hidden="1">"c4842"</definedName>
    <definedName name="IQ_EBIT_SBC_GUIDANCE_CIQ_COL" hidden="1">"c11489"</definedName>
    <definedName name="IQ_EBIT_SBC_GW_ACT_OR_EST" hidden="1">"c4320"</definedName>
    <definedName name="IQ_EBIT_SBC_GW_ACT_OR_EST_CIQ" hidden="1">"c4845"</definedName>
    <definedName name="IQ_EBIT_SBC_GW_ACT_OR_EST_CIQ_COL" hidden="1">"c11492"</definedName>
    <definedName name="IQ_EBIT_SBC_GW_EST" hidden="1">"c4319"</definedName>
    <definedName name="IQ_EBIT_SBC_GW_EST_CIQ" hidden="1">"c4844"</definedName>
    <definedName name="IQ_EBIT_SBC_GW_GUIDANCE" hidden="1">"c4321"</definedName>
    <definedName name="IQ_EBIT_SBC_GW_GUIDANCE_CIQ" hidden="1">"c4846"</definedName>
    <definedName name="IQ_EBIT_SBC_GW_GUIDANCE_CIQ_COL" hidden="1">"c11493"</definedName>
    <definedName name="IQ_EBIT_SBC_GW_HIGH_EST" hidden="1">"c4322"</definedName>
    <definedName name="IQ_EBIT_SBC_GW_HIGH_EST_CIQ" hidden="1">"c4847"</definedName>
    <definedName name="IQ_EBIT_SBC_GW_HIGH_GUIDANCE" hidden="1">"c4193"</definedName>
    <definedName name="IQ_EBIT_SBC_GW_HIGH_GUIDANCE_CIQ" hidden="1">"c4605"</definedName>
    <definedName name="IQ_EBIT_SBC_GW_HIGH_GUIDANCE_CIQ_COL" hidden="1">"c11254"</definedName>
    <definedName name="IQ_EBIT_SBC_GW_LOW_EST" hidden="1">"c4323"</definedName>
    <definedName name="IQ_EBIT_SBC_GW_LOW_EST_CIQ" hidden="1">"c4848"</definedName>
    <definedName name="IQ_EBIT_SBC_GW_LOW_GUIDANCE" hidden="1">"c4233"</definedName>
    <definedName name="IQ_EBIT_SBC_GW_LOW_GUIDANCE_CIQ" hidden="1">"c4645"</definedName>
    <definedName name="IQ_EBIT_SBC_GW_LOW_GUIDANCE_CIQ_COL" hidden="1">"c11294"</definedName>
    <definedName name="IQ_EBIT_SBC_GW_MEDIAN_EST" hidden="1">"c4324"</definedName>
    <definedName name="IQ_EBIT_SBC_GW_MEDIAN_EST_CIQ" hidden="1">"c4849"</definedName>
    <definedName name="IQ_EBIT_SBC_GW_NUM_EST" hidden="1">"c4325"</definedName>
    <definedName name="IQ_EBIT_SBC_GW_NUM_EST_CIQ" hidden="1">"c4850"</definedName>
    <definedName name="IQ_EBIT_SBC_GW_STDDEV_EST" hidden="1">"c4326"</definedName>
    <definedName name="IQ_EBIT_SBC_GW_STDDEV_EST_CIQ" hidden="1">"c4851"</definedName>
    <definedName name="IQ_EBIT_SBC_HIGH_EST" hidden="1">"c4328"</definedName>
    <definedName name="IQ_EBIT_SBC_HIGH_EST_CIQ" hidden="1">"c4853"</definedName>
    <definedName name="IQ_EBIT_SBC_HIGH_GUIDANCE" hidden="1">"c4192"</definedName>
    <definedName name="IQ_EBIT_SBC_HIGH_GUIDANCE_CIQ" hidden="1">"c4604"</definedName>
    <definedName name="IQ_EBIT_SBC_HIGH_GUIDANCE_CIQ_COL" hidden="1">"c11253"</definedName>
    <definedName name="IQ_EBIT_SBC_LOW_EST" hidden="1">"c4329"</definedName>
    <definedName name="IQ_EBIT_SBC_LOW_EST_CIQ" hidden="1">"c4854"</definedName>
    <definedName name="IQ_EBIT_SBC_LOW_GUIDANCE" hidden="1">"c4232"</definedName>
    <definedName name="IQ_EBIT_SBC_LOW_GUIDANCE_CIQ" hidden="1">"c4644"</definedName>
    <definedName name="IQ_EBIT_SBC_LOW_GUIDANCE_CIQ_COL" hidden="1">"c11293"</definedName>
    <definedName name="IQ_EBIT_SBC_MEDIAN_EST" hidden="1">"c4330"</definedName>
    <definedName name="IQ_EBIT_SBC_MEDIAN_EST_CIQ" hidden="1">"c4855"</definedName>
    <definedName name="IQ_EBIT_SBC_NUM_EST" hidden="1">"c4331"</definedName>
    <definedName name="IQ_EBIT_SBC_NUM_EST_CIQ" hidden="1">"c4856"</definedName>
    <definedName name="IQ_EBIT_SBC_STDDEV_EST" hidden="1">"c4332"</definedName>
    <definedName name="IQ_EBIT_SBC_STDDEV_EST_CIQ" hidden="1">"c4857"</definedName>
    <definedName name="IQ_EBIT_STDDEV_EST" hidden="1">"c1686"</definedName>
    <definedName name="IQ_EBIT_STDDEV_EST_CIQ" hidden="1">"c4679"</definedName>
    <definedName name="IQ_EBIT_STDDEV_EST_REUT" hidden="1">"c5338"</definedName>
    <definedName name="IQ_EBIT_STDDEV_EST_THOM" hidden="1">"c5110"</definedName>
    <definedName name="IQ_EBITA" hidden="1">"c1910"</definedName>
    <definedName name="IQ_EBITA_10YR_ANN_CAGR" hidden="1">"c6184"</definedName>
    <definedName name="IQ_EBITA_10YR_ANN_GROWTH" hidden="1">"c1954"</definedName>
    <definedName name="IQ_EBITA_1YR_ANN_GROWTH" hidden="1">"c1949"</definedName>
    <definedName name="IQ_EBITA_2YR_ANN_CAGR" hidden="1">"c6180"</definedName>
    <definedName name="IQ_EBITA_2YR_ANN_GROWTH" hidden="1">"c1950"</definedName>
    <definedName name="IQ_EBITA_3YR_ANN_CAGR" hidden="1">"c6181"</definedName>
    <definedName name="IQ_EBITA_3YR_ANN_GROWTH" hidden="1">"c1951"</definedName>
    <definedName name="IQ_EBITA_5YR_ANN_CAGR" hidden="1">"c6182"</definedName>
    <definedName name="IQ_EBITA_5YR_ANN_GROWTH" hidden="1">"c1952"</definedName>
    <definedName name="IQ_EBITA_7YR_ANN_CAGR" hidden="1">"c6183"</definedName>
    <definedName name="IQ_EBITA_7YR_ANN_GROWTH" hidden="1">"c1953"</definedName>
    <definedName name="IQ_EBITA_EQ_INC" hidden="1">"c3497"</definedName>
    <definedName name="IQ_EBITA_EQ_INC_EXCL_SBC" hidden="1">"c3501"</definedName>
    <definedName name="IQ_EBITA_EXCL_SBC" hidden="1">"c3080"</definedName>
    <definedName name="IQ_EBITA_MARGIN" hidden="1">"c1963"</definedName>
    <definedName name="IQ_EBITDA" hidden="1">"c361"</definedName>
    <definedName name="IQ_EBITDA_10K" hidden="1">"IQ_EBITDA_10K"</definedName>
    <definedName name="IQ_EBITDA_10Q" hidden="1">"IQ_EBITDA_10Q"</definedName>
    <definedName name="IQ_EBITDA_10Q1" hidden="1">"IQ_EBITDA_10Q1"</definedName>
    <definedName name="IQ_EBITDA_10YR_ANN_CAGR" hidden="1">"c6080"</definedName>
    <definedName name="IQ_EBITDA_10YR_ANN_GROWTH" hidden="1">"c362"</definedName>
    <definedName name="IQ_EBITDA_1YR_ANN_GROWTH" hidden="1">"c363"</definedName>
    <definedName name="IQ_EBITDA_2YR_ANN_CAGR" hidden="1">"c6081"</definedName>
    <definedName name="IQ_EBITDA_2YR_ANN_GROWTH" hidden="1">"c364"</definedName>
    <definedName name="IQ_EBITDA_3YR_ANN_CAGR" hidden="1">"c6082"</definedName>
    <definedName name="IQ_EBITDA_3YR_ANN_GROWTH" hidden="1">"c365"</definedName>
    <definedName name="IQ_EBITDA_5YR_ANN_CAGR" hidden="1">"c6083"</definedName>
    <definedName name="IQ_EBITDA_5YR_ANN_GROWTH" hidden="1">"c366"</definedName>
    <definedName name="IQ_EBITDA_7YR_ANN_CAGR" hidden="1">"c6084"</definedName>
    <definedName name="IQ_EBITDA_7YR_ANN_GROWTH" hidden="1">"c367"</definedName>
    <definedName name="IQ_EBITDA_ACT_OR_EST" hidden="1">"c2215"</definedName>
    <definedName name="IQ_EBITDA_ACT_OR_EST_CIQ" hidden="1">"c5060"</definedName>
    <definedName name="IQ_EBITDA_ACT_OR_EST_CIQ_COL" hidden="1">"c11707"</definedName>
    <definedName name="IQ_EBITDA_ACT_OR_EST_REUT" hidden="1">"c5462"</definedName>
    <definedName name="IQ_EBITDA_ACT_OR_EST_THOM" hidden="1">"c5300"</definedName>
    <definedName name="IQ_EBITDA_CAPEX" hidden="1">"c19143"</definedName>
    <definedName name="IQ_EBITDA_CAPEX_INT" hidden="1">"c368"</definedName>
    <definedName name="IQ_EBITDA_CAPEX_OVER_TOTAL_IE" hidden="1">"c368"</definedName>
    <definedName name="IQ_EBITDA_DET_EST" hidden="1">"c12054"</definedName>
    <definedName name="IQ_EBITDA_DET_EST_CURRENCY" hidden="1">"c12461"</definedName>
    <definedName name="IQ_EBITDA_DET_EST_CURRENCY_THOM" hidden="1">"c12482"</definedName>
    <definedName name="IQ_EBITDA_DET_EST_DATE" hidden="1">"c12207"</definedName>
    <definedName name="IQ_EBITDA_DET_EST_DATE_THOM" hidden="1">"c12233"</definedName>
    <definedName name="IQ_EBITDA_DET_EST_INCL" hidden="1">"c12344"</definedName>
    <definedName name="IQ_EBITDA_DET_EST_INCL_THOM" hidden="1">"c12365"</definedName>
    <definedName name="IQ_EBITDA_DET_EST_ORIGIN" hidden="1">"c12580"</definedName>
    <definedName name="IQ_EBITDA_DET_EST_ORIGIN_THOM" hidden="1">"c12603"</definedName>
    <definedName name="IQ_EBITDA_DET_EST_THOM" hidden="1">"c12083"</definedName>
    <definedName name="IQ_EBITDA_EQ_INC" hidden="1">"c3496"</definedName>
    <definedName name="IQ_EBITDA_EQ_INC_EXCL_SBC" hidden="1">"c3500"</definedName>
    <definedName name="IQ_EBITDA_EST" hidden="1">"c369"</definedName>
    <definedName name="IQ_EBITDA_EST_CIQ" hidden="1">"c3622"</definedName>
    <definedName name="IQ_EBITDA_EST_REUT" hidden="1">"c3640"</definedName>
    <definedName name="IQ_EBITDA_EST_THOM" hidden="1">"c3658"</definedName>
    <definedName name="IQ_EBITDA_EXCL_SBC" hidden="1">"c3081"</definedName>
    <definedName name="IQ_EBITDA_GROWTH_1" hidden="1">"c156"</definedName>
    <definedName name="IQ_EBITDA_GROWTH_2" hidden="1">"c160"</definedName>
    <definedName name="IQ_EBITDA_GUIDANCE" hidden="1">"c4334"</definedName>
    <definedName name="IQ_EBITDA_GUIDANCE_CIQ" hidden="1">"c4859"</definedName>
    <definedName name="IQ_EBITDA_GUIDANCE_CIQ_COL" hidden="1">"c11506"</definedName>
    <definedName name="IQ_EBITDA_HIGH_EST" hidden="1">"c370"</definedName>
    <definedName name="IQ_EBITDA_HIGH_EST_CIQ" hidden="1">"c3624"</definedName>
    <definedName name="IQ_EBITDA_HIGH_EST_REUT" hidden="1">"c3642"</definedName>
    <definedName name="IQ_EBITDA_HIGH_EST_THOM" hidden="1">"c3660"</definedName>
    <definedName name="IQ_EBITDA_HIGH_GUIDANCE" hidden="1">"c4170"</definedName>
    <definedName name="IQ_EBITDA_HIGH_GUIDANCE_CIQ" hidden="1">"c4582"</definedName>
    <definedName name="IQ_EBITDA_HIGH_GUIDANCE_CIQ_COL" hidden="1">"c11231"</definedName>
    <definedName name="IQ_EBITDA_HOMEBUILDING_SALES" hidden="1">"c15814"</definedName>
    <definedName name="IQ_EBITDA_INT" hidden="1">"c373"</definedName>
    <definedName name="IQ_EBITDA_LOW_EST" hidden="1">"c371"</definedName>
    <definedName name="IQ_EBITDA_LOW_EST_CIQ" hidden="1">"c3625"</definedName>
    <definedName name="IQ_EBITDA_LOW_EST_REUT" hidden="1">"c3643"</definedName>
    <definedName name="IQ_EBITDA_LOW_EST_THOM" hidden="1">"c3661"</definedName>
    <definedName name="IQ_EBITDA_LOW_GUIDANCE" hidden="1">"c4210"</definedName>
    <definedName name="IQ_EBITDA_LOW_GUIDANCE_CIQ" hidden="1">"c4622"</definedName>
    <definedName name="IQ_EBITDA_LOW_GUIDANCE_CIQ_COL" hidden="1">"c11271"</definedName>
    <definedName name="IQ_EBITDA_MARGIN" hidden="1">"c372"</definedName>
    <definedName name="IQ_EBITDA_MEDIAN_EST" hidden="1">"c1663"</definedName>
    <definedName name="IQ_EBITDA_MEDIAN_EST_CIQ" hidden="1">"c3623"</definedName>
    <definedName name="IQ_EBITDA_MEDIAN_EST_REUT" hidden="1">"c3641"</definedName>
    <definedName name="IQ_EBITDA_MEDIAN_EST_THOM" hidden="1">"c3659"</definedName>
    <definedName name="IQ_EBITDA_NO_EST" hidden="1">"c267"</definedName>
    <definedName name="IQ_EBITDA_NUM_EST" hidden="1">"c374"</definedName>
    <definedName name="IQ_EBITDA_NUM_EST_CIQ" hidden="1">"c3626"</definedName>
    <definedName name="IQ_EBITDA_NUM_EST_REUT" hidden="1">"c3644"</definedName>
    <definedName name="IQ_EBITDA_NUM_EST_THOM" hidden="1">"c3662"</definedName>
    <definedName name="IQ_EBITDA_OVER_TOTAL_IE" hidden="1">"c373"</definedName>
    <definedName name="IQ_EBITDA_SBC_ACT_OR_EST" hidden="1">"c4337"</definedName>
    <definedName name="IQ_EBITDA_SBC_ACT_OR_EST_CIQ" hidden="1">"c4862"</definedName>
    <definedName name="IQ_EBITDA_SBC_ACT_OR_EST_CIQ_COL" hidden="1">"c11509"</definedName>
    <definedName name="IQ_EBITDA_SBC_EST" hidden="1">"c4336"</definedName>
    <definedName name="IQ_EBITDA_SBC_EST_CIQ" hidden="1">"c4861"</definedName>
    <definedName name="IQ_EBITDA_SBC_GUIDANCE" hidden="1">"c4338"</definedName>
    <definedName name="IQ_EBITDA_SBC_GUIDANCE_CIQ" hidden="1">"c4863"</definedName>
    <definedName name="IQ_EBITDA_SBC_GUIDANCE_CIQ_COL" hidden="1">"c11510"</definedName>
    <definedName name="IQ_EBITDA_SBC_HIGH_EST" hidden="1">"c4339"</definedName>
    <definedName name="IQ_EBITDA_SBC_HIGH_EST_CIQ" hidden="1">"c4864"</definedName>
    <definedName name="IQ_EBITDA_SBC_HIGH_GUIDANCE" hidden="1">"c4194"</definedName>
    <definedName name="IQ_EBITDA_SBC_HIGH_GUIDANCE_CIQ" hidden="1">"c4606"</definedName>
    <definedName name="IQ_EBITDA_SBC_HIGH_GUIDANCE_CIQ_COL" hidden="1">"c11255"</definedName>
    <definedName name="IQ_EBITDA_SBC_LOW_EST" hidden="1">"c4340"</definedName>
    <definedName name="IQ_EBITDA_SBC_LOW_EST_CIQ" hidden="1">"c4865"</definedName>
    <definedName name="IQ_EBITDA_SBC_LOW_GUIDANCE" hidden="1">"c4234"</definedName>
    <definedName name="IQ_EBITDA_SBC_LOW_GUIDANCE_CIQ" hidden="1">"c4646"</definedName>
    <definedName name="IQ_EBITDA_SBC_LOW_GUIDANCE_CIQ_COL" hidden="1">"c11295"</definedName>
    <definedName name="IQ_EBITDA_SBC_MEDIAN_EST" hidden="1">"c4341"</definedName>
    <definedName name="IQ_EBITDA_SBC_MEDIAN_EST_CIQ" hidden="1">"c4866"</definedName>
    <definedName name="IQ_EBITDA_SBC_NUM_EST" hidden="1">"c4342"</definedName>
    <definedName name="IQ_EBITDA_SBC_NUM_EST_CIQ" hidden="1">"c4867"</definedName>
    <definedName name="IQ_EBITDA_SBC_STDDEV_EST" hidden="1">"c4343"</definedName>
    <definedName name="IQ_EBITDA_SBC_STDDEV_EST_CIQ" hidden="1">"c4868"</definedName>
    <definedName name="IQ_EBITDA_STDDEV_EST" hidden="1">"c375"</definedName>
    <definedName name="IQ_EBITDA_STDDEV_EST_CIQ" hidden="1">"c3627"</definedName>
    <definedName name="IQ_EBITDA_STDDEV_EST_REUT" hidden="1">"c3645"</definedName>
    <definedName name="IQ_EBITDA_STDDEV_EST_THOM" hidden="1">"c3663"</definedName>
    <definedName name="IQ_EBITDAR" hidden="1">"c2989"</definedName>
    <definedName name="IQ_EBITDAR_EQ_INC" hidden="1">"c3499"</definedName>
    <definedName name="IQ_EBITDAR_EQ_INC_EXCL_SBC" hidden="1">"c3503"</definedName>
    <definedName name="IQ_EBITDAR_EXCL_SBC" hidden="1">"c3083"</definedName>
    <definedName name="IQ_EBT" hidden="1">"c376"</definedName>
    <definedName name="IQ_EBT_BNK" hidden="1">"c377"</definedName>
    <definedName name="IQ_EBT_BR" hidden="1">"c378"</definedName>
    <definedName name="IQ_EBT_CM" hidden="1">"c378"</definedName>
    <definedName name="IQ_EBT_EXCL" hidden="1">"c379"</definedName>
    <definedName name="IQ_EBT_EXCL_BNK" hidden="1">"c380"</definedName>
    <definedName name="IQ_EBT_EXCL_BR" hidden="1">"c381"</definedName>
    <definedName name="IQ_EBT_EXCL_CM" hidden="1">"c381"</definedName>
    <definedName name="IQ_EBT_EXCL_FIN" hidden="1">"c382"</definedName>
    <definedName name="IQ_EBT_EXCL_INS" hidden="1">"c383"</definedName>
    <definedName name="IQ_EBT_EXCL_MARGIN" hidden="1">"c1462"</definedName>
    <definedName name="IQ_EBT_EXCL_RE" hidden="1">"c6214"</definedName>
    <definedName name="IQ_EBT_EXCL_REIT" hidden="1">"c384"</definedName>
    <definedName name="IQ_EBT_EXCL_UTI" hidden="1">"c385"</definedName>
    <definedName name="IQ_EBT_FFIEC" hidden="1">"c13029"</definedName>
    <definedName name="IQ_EBT_FIN" hidden="1">"c386"</definedName>
    <definedName name="IQ_EBT_FTE_FFIEC" hidden="1">"c13037"</definedName>
    <definedName name="IQ_EBT_GAAP_GUIDANCE" hidden="1">"c4345"</definedName>
    <definedName name="IQ_EBT_GAAP_GUIDANCE_CIQ" hidden="1">"c4870"</definedName>
    <definedName name="IQ_EBT_GAAP_GUIDANCE_CIQ_COL" hidden="1">"c11517"</definedName>
    <definedName name="IQ_EBT_GAAP_HIGH_GUIDANCE" hidden="1">"c4174"</definedName>
    <definedName name="IQ_EBT_GAAP_HIGH_GUIDANCE_CIQ" hidden="1">"c4586"</definedName>
    <definedName name="IQ_EBT_GAAP_HIGH_GUIDANCE_CIQ_COL" hidden="1">"c11235"</definedName>
    <definedName name="IQ_EBT_GAAP_LOW_GUIDANCE" hidden="1">"c4214"</definedName>
    <definedName name="IQ_EBT_GAAP_LOW_GUIDANCE_CIQ" hidden="1">"c4626"</definedName>
    <definedName name="IQ_EBT_GAAP_LOW_GUIDANCE_CIQ_COL" hidden="1">"c11275"</definedName>
    <definedName name="IQ_EBT_GUIDANCE" hidden="1">"c4346"</definedName>
    <definedName name="IQ_EBT_GUIDANCE_CIQ" hidden="1">"c4871"</definedName>
    <definedName name="IQ_EBT_GUIDANCE_CIQ_COL" hidden="1">"c11518"</definedName>
    <definedName name="IQ_EBT_GW_GUIDANCE" hidden="1">"c4347"</definedName>
    <definedName name="IQ_EBT_GW_GUIDANCE_CIQ" hidden="1">"c4872"</definedName>
    <definedName name="IQ_EBT_GW_GUIDANCE_CIQ_COL" hidden="1">"c11519"</definedName>
    <definedName name="IQ_EBT_GW_HIGH_GUIDANCE" hidden="1">"c4175"</definedName>
    <definedName name="IQ_EBT_GW_HIGH_GUIDANCE_CIQ" hidden="1">"c4587"</definedName>
    <definedName name="IQ_EBT_GW_HIGH_GUIDANCE_CIQ_COL" hidden="1">"c11236"</definedName>
    <definedName name="IQ_EBT_GW_LOW_GUIDANCE" hidden="1">"c4215"</definedName>
    <definedName name="IQ_EBT_GW_LOW_GUIDANCE_CIQ" hidden="1">"c4627"</definedName>
    <definedName name="IQ_EBT_GW_LOW_GUIDANCE_CIQ_COL" hidden="1">"c11276"</definedName>
    <definedName name="IQ_EBT_HIGH_GUIDANCE" hidden="1">"c4173"</definedName>
    <definedName name="IQ_EBT_HIGH_GUIDANCE_CIQ" hidden="1">"c4585"</definedName>
    <definedName name="IQ_EBT_HIGH_GUIDANCE_CIQ_COL" hidden="1">"c11234"</definedName>
    <definedName name="IQ_EBT_HOMEBUILDING_SALES" hidden="1">"c15816"</definedName>
    <definedName name="IQ_EBT_INCL_MARGIN" hidden="1">"c387"</definedName>
    <definedName name="IQ_EBT_INS" hidden="1">"c388"</definedName>
    <definedName name="IQ_EBT_LOW_GUIDANCE" hidden="1">"c4213"</definedName>
    <definedName name="IQ_EBT_LOW_GUIDANCE_CIQ" hidden="1">"c4625"</definedName>
    <definedName name="IQ_EBT_LOW_GUIDANCE_CIQ_COL" hidden="1">"c11274"</definedName>
    <definedName name="IQ_EBT_RE" hidden="1">"c6215"</definedName>
    <definedName name="IQ_EBT_REIT" hidden="1">"c389"</definedName>
    <definedName name="IQ_EBT_SBC_ACT_OR_EST" hidden="1">"c4350"</definedName>
    <definedName name="IQ_EBT_SBC_ACT_OR_EST_CIQ" hidden="1">"c4875"</definedName>
    <definedName name="IQ_EBT_SBC_ACT_OR_EST_CIQ_COL" hidden="1">"c11522"</definedName>
    <definedName name="IQ_EBT_SBC_EST" hidden="1">"c4349"</definedName>
    <definedName name="IQ_EBT_SBC_EST_CIQ" hidden="1">"c4874"</definedName>
    <definedName name="IQ_EBT_SBC_GUIDANCE" hidden="1">"c4351"</definedName>
    <definedName name="IQ_EBT_SBC_GUIDANCE_CIQ" hidden="1">"c4876"</definedName>
    <definedName name="IQ_EBT_SBC_GUIDANCE_CIQ_COL" hidden="1">"c11523"</definedName>
    <definedName name="IQ_EBT_SBC_GW_ACT_OR_EST" hidden="1">"c4354"</definedName>
    <definedName name="IQ_EBT_SBC_GW_ACT_OR_EST_CIQ" hidden="1">"c4879"</definedName>
    <definedName name="IQ_EBT_SBC_GW_ACT_OR_EST_CIQ_COL" hidden="1">"c11526"</definedName>
    <definedName name="IQ_EBT_SBC_GW_EST" hidden="1">"c4353"</definedName>
    <definedName name="IQ_EBT_SBC_GW_EST_CIQ" hidden="1">"c4878"</definedName>
    <definedName name="IQ_EBT_SBC_GW_GUIDANCE" hidden="1">"c4355"</definedName>
    <definedName name="IQ_EBT_SBC_GW_GUIDANCE_CIQ" hidden="1">"c4880"</definedName>
    <definedName name="IQ_EBT_SBC_GW_GUIDANCE_CIQ_COL" hidden="1">"c11527"</definedName>
    <definedName name="IQ_EBT_SBC_GW_HIGH_EST" hidden="1">"c4356"</definedName>
    <definedName name="IQ_EBT_SBC_GW_HIGH_EST_CIQ" hidden="1">"c4881"</definedName>
    <definedName name="IQ_EBT_SBC_GW_HIGH_GUIDANCE" hidden="1">"c4191"</definedName>
    <definedName name="IQ_EBT_SBC_GW_HIGH_GUIDANCE_CIQ" hidden="1">"c4603"</definedName>
    <definedName name="IQ_EBT_SBC_GW_HIGH_GUIDANCE_CIQ_COL" hidden="1">"c11252"</definedName>
    <definedName name="IQ_EBT_SBC_GW_LOW_EST" hidden="1">"c4357"</definedName>
    <definedName name="IQ_EBT_SBC_GW_LOW_EST_CIQ" hidden="1">"c4882"</definedName>
    <definedName name="IQ_EBT_SBC_GW_LOW_GUIDANCE" hidden="1">"c4231"</definedName>
    <definedName name="IQ_EBT_SBC_GW_LOW_GUIDANCE_CIQ" hidden="1">"c4643"</definedName>
    <definedName name="IQ_EBT_SBC_GW_LOW_GUIDANCE_CIQ_COL" hidden="1">"c11292"</definedName>
    <definedName name="IQ_EBT_SBC_GW_MEDIAN_EST" hidden="1">"c4358"</definedName>
    <definedName name="IQ_EBT_SBC_GW_MEDIAN_EST_CIQ" hidden="1">"c4883"</definedName>
    <definedName name="IQ_EBT_SBC_GW_NUM_EST" hidden="1">"c4359"</definedName>
    <definedName name="IQ_EBT_SBC_GW_NUM_EST_CIQ" hidden="1">"c4884"</definedName>
    <definedName name="IQ_EBT_SBC_GW_STDDEV_EST" hidden="1">"c4360"</definedName>
    <definedName name="IQ_EBT_SBC_GW_STDDEV_EST_CIQ" hidden="1">"c4885"</definedName>
    <definedName name="IQ_EBT_SBC_HIGH_EST" hidden="1">"c4362"</definedName>
    <definedName name="IQ_EBT_SBC_HIGH_EST_CIQ" hidden="1">"c4887"</definedName>
    <definedName name="IQ_EBT_SBC_HIGH_GUIDANCE" hidden="1">"c4190"</definedName>
    <definedName name="IQ_EBT_SBC_HIGH_GUIDANCE_CIQ" hidden="1">"c4602"</definedName>
    <definedName name="IQ_EBT_SBC_HIGH_GUIDANCE_CIQ_COL" hidden="1">"c11251"</definedName>
    <definedName name="IQ_EBT_SBC_LOW_EST" hidden="1">"c4363"</definedName>
    <definedName name="IQ_EBT_SBC_LOW_EST_CIQ" hidden="1">"c4888"</definedName>
    <definedName name="IQ_EBT_SBC_LOW_GUIDANCE" hidden="1">"c4230"</definedName>
    <definedName name="IQ_EBT_SBC_LOW_GUIDANCE_CIQ" hidden="1">"c4642"</definedName>
    <definedName name="IQ_EBT_SBC_LOW_GUIDANCE_CIQ_COL" hidden="1">"c11291"</definedName>
    <definedName name="IQ_EBT_SBC_MEDIAN_EST" hidden="1">"c4364"</definedName>
    <definedName name="IQ_EBT_SBC_MEDIAN_EST_CIQ" hidden="1">"c4889"</definedName>
    <definedName name="IQ_EBT_SBC_NUM_EST" hidden="1">"c4365"</definedName>
    <definedName name="IQ_EBT_SBC_NUM_EST_CIQ" hidden="1">"c4890"</definedName>
    <definedName name="IQ_EBT_SBC_STDDEV_EST" hidden="1">"c4366"</definedName>
    <definedName name="IQ_EBT_SBC_STDDEV_EST_CIQ" hidden="1">"c4891"</definedName>
    <definedName name="IQ_EBT_SUBTOTAL_AP" hidden="1">"c8982"</definedName>
    <definedName name="IQ_EBT_UTI" hidden="1">"c390"</definedName>
    <definedName name="IQ_ECO_METRIC_6825_UNUSED" hidden="1">"c6825"</definedName>
    <definedName name="IQ_ECO_METRIC_6825_UNUSED_UNUSED_UNUSED" hidden="1">"c6825"</definedName>
    <definedName name="IQ_ECO_METRIC_6839_UNUSED" hidden="1">"c6839"</definedName>
    <definedName name="IQ_ECO_METRIC_6839_UNUSED_UNUSED_UNUSED" hidden="1">"c6839"</definedName>
    <definedName name="IQ_ECO_METRIC_6896_UNUSED" hidden="1">"c6896"</definedName>
    <definedName name="IQ_ECO_METRIC_6896_UNUSED_UNUSED_UNUSED" hidden="1">"c6896"</definedName>
    <definedName name="IQ_ECO_METRIC_6897_UNUSED" hidden="1">"c6897"</definedName>
    <definedName name="IQ_ECO_METRIC_6897_UNUSED_UNUSED_UNUSED" hidden="1">"c6897"</definedName>
    <definedName name="IQ_ECO_METRIC_6927" hidden="1">"c6927"</definedName>
    <definedName name="IQ_ECO_METRIC_6988_UNUSED" hidden="1">"c6988"</definedName>
    <definedName name="IQ_ECO_METRIC_6988_UNUSED_UNUSED_UNUSED" hidden="1">"c6988"</definedName>
    <definedName name="IQ_ECO_METRIC_7045_UNUSED" hidden="1">"c7045"</definedName>
    <definedName name="IQ_ECO_METRIC_7045_UNUSED_UNUSED_UNUSED" hidden="1">"c7045"</definedName>
    <definedName name="IQ_ECO_METRIC_7059_UNUSED" hidden="1">"c7059"</definedName>
    <definedName name="IQ_ECO_METRIC_7059_UNUSED_UNUSED_UNUSED" hidden="1">"c7059"</definedName>
    <definedName name="IQ_ECO_METRIC_7116_UNUSED" hidden="1">"c7116"</definedName>
    <definedName name="IQ_ECO_METRIC_7116_UNUSED_UNUSED_UNUSED" hidden="1">"c7116"</definedName>
    <definedName name="IQ_ECO_METRIC_7117_UNUSED" hidden="1">"c7117"</definedName>
    <definedName name="IQ_ECO_METRIC_7117_UNUSED_UNUSED_UNUSED" hidden="1">"c7117"</definedName>
    <definedName name="IQ_ECO_METRIC_7147" hidden="1">"c7147"</definedName>
    <definedName name="IQ_ECO_METRIC_7208_UNUSED" hidden="1">"c7208"</definedName>
    <definedName name="IQ_ECO_METRIC_7208_UNUSED_UNUSED_UNUSED" hidden="1">"c7208"</definedName>
    <definedName name="IQ_ECO_METRIC_7265_UNUSED" hidden="1">"c7265"</definedName>
    <definedName name="IQ_ECO_METRIC_7265_UNUSED_UNUSED_UNUSED" hidden="1">"c7265"</definedName>
    <definedName name="IQ_ECO_METRIC_7279_UNUSED" hidden="1">"c7279"</definedName>
    <definedName name="IQ_ECO_METRIC_7279_UNUSED_UNUSED_UNUSED" hidden="1">"c7279"</definedName>
    <definedName name="IQ_ECO_METRIC_7336_UNUSED" hidden="1">"c7336"</definedName>
    <definedName name="IQ_ECO_METRIC_7336_UNUSED_UNUSED_UNUSED" hidden="1">"c7336"</definedName>
    <definedName name="IQ_ECO_METRIC_7337_UNUSED" hidden="1">"c7337"</definedName>
    <definedName name="IQ_ECO_METRIC_7337_UNUSED_UNUSED_UNUSED" hidden="1">"c7337"</definedName>
    <definedName name="IQ_ECO_METRIC_7367" hidden="1">"c7367"</definedName>
    <definedName name="IQ_ECO_METRIC_7428_UNUSED" hidden="1">"c7428"</definedName>
    <definedName name="IQ_ECO_METRIC_7428_UNUSED_UNUSED_UNUSED" hidden="1">"c7428"</definedName>
    <definedName name="IQ_ECO_METRIC_7556_UNUSED" hidden="1">"c7556"</definedName>
    <definedName name="IQ_ECO_METRIC_7556_UNUSED_UNUSED_UNUSED" hidden="1">"c7556"</definedName>
    <definedName name="IQ_ECO_METRIC_7557_UNUSED" hidden="1">"c7557"</definedName>
    <definedName name="IQ_ECO_METRIC_7557_UNUSED_UNUSED_UNUSED" hidden="1">"c7557"</definedName>
    <definedName name="IQ_ECO_METRIC_7587" hidden="1">"c7587"</definedName>
    <definedName name="IQ_ECO_METRIC_7648_UNUSED" hidden="1">"c7648"</definedName>
    <definedName name="IQ_ECO_METRIC_7648_UNUSED_UNUSED_UNUSED" hidden="1">"c7648"</definedName>
    <definedName name="IQ_ECO_METRIC_7704" hidden="1">"c7704"</definedName>
    <definedName name="IQ_ECO_METRIC_7705_UNUSED" hidden="1">"c7705"</definedName>
    <definedName name="IQ_ECO_METRIC_7705_UNUSED_UNUSED_UNUSED" hidden="1">"c7705"</definedName>
    <definedName name="IQ_ECO_METRIC_7706" hidden="1">"c7706"</definedName>
    <definedName name="IQ_ECO_METRIC_7718" hidden="1">"c7718"</definedName>
    <definedName name="IQ_ECO_METRIC_7719_UNUSED" hidden="1">"c7719"</definedName>
    <definedName name="IQ_ECO_METRIC_7719_UNUSED_UNUSED_UNUSED" hidden="1">"c7719"</definedName>
    <definedName name="IQ_ECO_METRIC_7776_UNUSED" hidden="1">"c7776"</definedName>
    <definedName name="IQ_ECO_METRIC_7776_UNUSED_UNUSED_UNUSED" hidden="1">"c7776"</definedName>
    <definedName name="IQ_ECO_METRIC_7777_UNUSED" hidden="1">"c7777"</definedName>
    <definedName name="IQ_ECO_METRIC_7777_UNUSED_UNUSED_UNUSED" hidden="1">"c7777"</definedName>
    <definedName name="IQ_ECO_METRIC_7807" hidden="1">"c7807"</definedName>
    <definedName name="IQ_ECO_METRIC_7811" hidden="1">"c7811"</definedName>
    <definedName name="IQ_ECO_METRIC_7868_UNUSED" hidden="1">"c7868"</definedName>
    <definedName name="IQ_ECO_METRIC_7868_UNUSED_UNUSED_UNUSED" hidden="1">"c7868"</definedName>
    <definedName name="IQ_ECO_METRIC_7873" hidden="1">"c7873"</definedName>
    <definedName name="IQ_ECO_METRIC_7924" hidden="1">"c7924"</definedName>
    <definedName name="IQ_ECO_METRIC_7925_UNUSED" hidden="1">"c7925"</definedName>
    <definedName name="IQ_ECO_METRIC_7925_UNUSED_UNUSED_UNUSED" hidden="1">"c7925"</definedName>
    <definedName name="IQ_ECO_METRIC_7926" hidden="1">"c7926"</definedName>
    <definedName name="IQ_ECO_METRIC_7938" hidden="1">"c7938"</definedName>
    <definedName name="IQ_ECO_METRIC_7939_UNUSED" hidden="1">"c7939"</definedName>
    <definedName name="IQ_ECO_METRIC_7939_UNUSED_UNUSED_UNUSED" hidden="1">"c7939"</definedName>
    <definedName name="IQ_ECO_METRIC_7996_UNUSED" hidden="1">"c7996"</definedName>
    <definedName name="IQ_ECO_METRIC_7996_UNUSED_UNUSED_UNUSED" hidden="1">"c7996"</definedName>
    <definedName name="IQ_ECO_METRIC_7997_UNUSED" hidden="1">"c7997"</definedName>
    <definedName name="IQ_ECO_METRIC_7997_UNUSED_UNUSED_UNUSED" hidden="1">"c7997"</definedName>
    <definedName name="IQ_ECO_METRIC_8027" hidden="1">"c8027"</definedName>
    <definedName name="IQ_ECO_METRIC_8031" hidden="1">"c8031"</definedName>
    <definedName name="IQ_ECO_METRIC_8088_UNUSED" hidden="1">"c8088"</definedName>
    <definedName name="IQ_ECO_METRIC_8088_UNUSED_UNUSED_UNUSED" hidden="1">"c8088"</definedName>
    <definedName name="IQ_ECO_METRIC_8093" hidden="1">"c8093"</definedName>
    <definedName name="IQ_ECO_METRIC_8144" hidden="1">"c8144"</definedName>
    <definedName name="IQ_ECO_METRIC_8145_UNUSED" hidden="1">"c8145"</definedName>
    <definedName name="IQ_ECO_METRIC_8145_UNUSED_UNUSED_UNUSED" hidden="1">"c8145"</definedName>
    <definedName name="IQ_ECO_METRIC_8146" hidden="1">"c8146"</definedName>
    <definedName name="IQ_ECO_METRIC_8158" hidden="1">"c8158"</definedName>
    <definedName name="IQ_ECO_METRIC_8159_UNUSED" hidden="1">"c8159"</definedName>
    <definedName name="IQ_ECO_METRIC_8159_UNUSED_UNUSED_UNUSED" hidden="1">"c8159"</definedName>
    <definedName name="IQ_ECO_METRIC_8216_UNUSED" hidden="1">"c8216"</definedName>
    <definedName name="IQ_ECO_METRIC_8216_UNUSED_UNUSED_UNUSED" hidden="1">"c8216"</definedName>
    <definedName name="IQ_ECO_METRIC_8217_UNUSED" hidden="1">"c8217"</definedName>
    <definedName name="IQ_ECO_METRIC_8217_UNUSED_UNUSED_UNUSED" hidden="1">"c8217"</definedName>
    <definedName name="IQ_ECO_METRIC_8247" hidden="1">"c8247"</definedName>
    <definedName name="IQ_ECO_METRIC_8251" hidden="1">"c8251"</definedName>
    <definedName name="IQ_ECO_METRIC_8308_UNUSED" hidden="1">"c8308"</definedName>
    <definedName name="IQ_ECO_METRIC_8308_UNUSED_UNUSED_UNUSED" hidden="1">"c8308"</definedName>
    <definedName name="IQ_ECO_METRIC_8313" hidden="1">"c8313"</definedName>
    <definedName name="IQ_ECO_METRIC_8366" hidden="1">"c8366"</definedName>
    <definedName name="IQ_ECO_METRIC_8378" hidden="1">"c8378"</definedName>
    <definedName name="IQ_ECO_METRIC_8436_UNUSED" hidden="1">"c8436"</definedName>
    <definedName name="IQ_ECO_METRIC_8436_UNUSED_UNUSED_UNUSED" hidden="1">"c8436"</definedName>
    <definedName name="IQ_ECO_METRIC_8437_UNUSED" hidden="1">"c8437"</definedName>
    <definedName name="IQ_ECO_METRIC_8437_UNUSED_UNUSED_UNUSED" hidden="1">"c8437"</definedName>
    <definedName name="IQ_ECO_METRIC_8467" hidden="1">"c8467"</definedName>
    <definedName name="IQ_ECO_METRIC_8471" hidden="1">"c8471"</definedName>
    <definedName name="IQ_ECO_METRIC_8528_UNUSED" hidden="1">"c8528"</definedName>
    <definedName name="IQ_ECO_METRIC_8528_UNUSED_UNUSED_UNUSED" hidden="1">"c8528"</definedName>
    <definedName name="IQ_ECO_METRIC_8533" hidden="1">"c8533"</definedName>
    <definedName name="IQ_ECS_AUTHORIZED_SHARES" hidden="1">"c5583"</definedName>
    <definedName name="IQ_ECS_AUTHORIZED_SHARES_ABS" hidden="1">"c5597"</definedName>
    <definedName name="IQ_ECS_AUTHORIZED_SHARES_OTHER" hidden="1">"c15613"</definedName>
    <definedName name="IQ_ECS_AUTHORIZED_SHARES_OTHER_ABS" hidden="1">"c15630"</definedName>
    <definedName name="IQ_ECS_CONVERT_FACTOR" hidden="1">"c5581"</definedName>
    <definedName name="IQ_ECS_CONVERT_FACTOR_ABS" hidden="1">"c5595"</definedName>
    <definedName name="IQ_ECS_CONVERT_FACTOR_OTHER" hidden="1">"c15611"</definedName>
    <definedName name="IQ_ECS_CONVERT_FACTOR_OTHER_ABS" hidden="1">"c15628"</definedName>
    <definedName name="IQ_ECS_CONVERT_INTO" hidden="1">"c5580"</definedName>
    <definedName name="IQ_ECS_CONVERT_INTO_ABS" hidden="1">"c5594"</definedName>
    <definedName name="IQ_ECS_CONVERT_INTO_OTHER" hidden="1">"c15610"</definedName>
    <definedName name="IQ_ECS_CONVERT_INTO_OTHER_ABS" hidden="1">"c15627"</definedName>
    <definedName name="IQ_ECS_CONVERT_PRIMARY_FACTOR" hidden="1">"c15592"</definedName>
    <definedName name="IQ_ECS_CONVERT_PRIMARY_FACTOR_ABS" hidden="1">"c15596"</definedName>
    <definedName name="IQ_ECS_CONVERT_TYPE" hidden="1">"c5579"</definedName>
    <definedName name="IQ_ECS_CONVERT_TYPE_ABS" hidden="1">"c5593"</definedName>
    <definedName name="IQ_ECS_CONVERT_TYPE_OTHER" hidden="1">"c15609"</definedName>
    <definedName name="IQ_ECS_CONVERT_TYPE_OTHER_ABS" hidden="1">"c15626"</definedName>
    <definedName name="IQ_ECS_INACTIVE_DATE" hidden="1">"c5576"</definedName>
    <definedName name="IQ_ECS_INACTIVE_DATE_ABS" hidden="1">"c5590"</definedName>
    <definedName name="IQ_ECS_INACTIVE_DATE_OTHER" hidden="1">"c15606"</definedName>
    <definedName name="IQ_ECS_INACTIVE_DATE_OTHER_ABS" hidden="1">"c15623"</definedName>
    <definedName name="IQ_ECS_NAME" hidden="1">"c5571"</definedName>
    <definedName name="IQ_ECS_NAME_ABS" hidden="1">"c5585"</definedName>
    <definedName name="IQ_ECS_NAME_OTHER" hidden="1">"c15599"</definedName>
    <definedName name="IQ_ECS_NAME_OTHER_ABS" hidden="1">"c15616"</definedName>
    <definedName name="IQ_ECS_NUM_SHAREHOLDERS" hidden="1">"c5584"</definedName>
    <definedName name="IQ_ECS_NUM_SHAREHOLDERS_ABS" hidden="1">"c5598"</definedName>
    <definedName name="IQ_ECS_NUM_SHAREHOLDERS_BENEFICIAL_BS_DATE" hidden="1">"c16234"</definedName>
    <definedName name="IQ_ECS_NUM_SHAREHOLDERS_BENEFICIAL_BS_DATE_ABS" hidden="1">"c16235"</definedName>
    <definedName name="IQ_ECS_NUM_SHAREHOLDERS_BENEFICIAL_BS_DATE_OTHER" hidden="1">"c16236"</definedName>
    <definedName name="IQ_ECS_NUM_SHAREHOLDERS_BENEFICIAL_BS_DATE_OTHER_ABS" hidden="1">"c16237"</definedName>
    <definedName name="IQ_ECS_NUM_SHAREHOLDERS_BENEFICIAL_FILING_DATE" hidden="1">"c16230"</definedName>
    <definedName name="IQ_ECS_NUM_SHAREHOLDERS_BENEFICIAL_FILING_DATE_ABS" hidden="1">"c16231"</definedName>
    <definedName name="IQ_ECS_NUM_SHAREHOLDERS_BENEFICIAL_FILING_DATE_OTHER" hidden="1">"c16232"</definedName>
    <definedName name="IQ_ECS_NUM_SHAREHOLDERS_BENEFICIAL_FILING_DATE_OTHER_ABS" hidden="1">"c16233"</definedName>
    <definedName name="IQ_ECS_NUM_SHAREHOLDERS_BS_DATE" hidden="1">"c16238"</definedName>
    <definedName name="IQ_ECS_NUM_SHAREHOLDERS_BS_DATE_ABS" hidden="1">"c16239"</definedName>
    <definedName name="IQ_ECS_NUM_SHAREHOLDERS_BS_DATE_OTHER" hidden="1">"c16240"</definedName>
    <definedName name="IQ_ECS_NUM_SHAREHOLDERS_BS_DATE_OTHER_ABS" hidden="1">"c16241"</definedName>
    <definedName name="IQ_ECS_NUM_SHAREHOLDERS_FILING_DATE" hidden="1">"c5584"</definedName>
    <definedName name="IQ_ECS_NUM_SHAREHOLDERS_FILING_DATE_ABS" hidden="1">"c5598"</definedName>
    <definedName name="IQ_ECS_NUM_SHAREHOLDERS_FILING_DATE_OTHER" hidden="1">"c15615"</definedName>
    <definedName name="IQ_ECS_NUM_SHAREHOLDERS_FILING_DATE_OTHER_ABS" hidden="1">"c15632"</definedName>
    <definedName name="IQ_ECS_NUM_SHAREHOLDERS_OTHER" hidden="1">"c16244"</definedName>
    <definedName name="IQ_ECS_NUM_SHAREHOLDERS_OTHER_ABS" hidden="1">"c16245"</definedName>
    <definedName name="IQ_ECS_PAR_VALUE" hidden="1">"c5577"</definedName>
    <definedName name="IQ_ECS_PAR_VALUE_ABS" hidden="1">"c5591"</definedName>
    <definedName name="IQ_ECS_PAR_VALUE_CURRENCY" hidden="1">"c5578"</definedName>
    <definedName name="IQ_ECS_PAR_VALUE_CURRENCY_ABS" hidden="1">"c5592"</definedName>
    <definedName name="IQ_ECS_PAR_VALUE_CURRENCY_OTHER" hidden="1">"c15608"</definedName>
    <definedName name="IQ_ECS_PAR_VALUE_CURRENCY_OTHER_ABS" hidden="1">"c15625"</definedName>
    <definedName name="IQ_ECS_PAR_VALUE_OTHER" hidden="1">"c15607"</definedName>
    <definedName name="IQ_ECS_PAR_VALUE_OTHER_ABS" hidden="1">"c15624"</definedName>
    <definedName name="IQ_ECS_PARTICIPATE_FLAG" hidden="1">"c15591"</definedName>
    <definedName name="IQ_ECS_PARTICIPATE_FLAG_ABS" hidden="1">"c15595"</definedName>
    <definedName name="IQ_ECS_PARTICIPATE_FLAG_OTHER" hidden="1">"c15614"</definedName>
    <definedName name="IQ_ECS_PARTICIPATE_FLAG_OTHER_ABS" hidden="1">"c15631"</definedName>
    <definedName name="IQ_ECS_SHARES_OUT_BS_DATE" hidden="1">"c5572"</definedName>
    <definedName name="IQ_ECS_SHARES_OUT_BS_DATE_ABS" hidden="1">"c5586"</definedName>
    <definedName name="IQ_ECS_SHARES_OUT_BS_DATE_OTHER" hidden="1">"c15600"</definedName>
    <definedName name="IQ_ECS_SHARES_OUT_BS_DATE_OTHER_ABS" hidden="1">"c15617"</definedName>
    <definedName name="IQ_ECS_SHARES_OUT_FILING_DATE" hidden="1">"c5573"</definedName>
    <definedName name="IQ_ECS_SHARES_OUT_FILING_DATE_ABS" hidden="1">"c5587"</definedName>
    <definedName name="IQ_ECS_SHARES_OUT_FILING_DATE_OTHER" hidden="1">"c15601"</definedName>
    <definedName name="IQ_ECS_SHARES_OUT_FILING_DATE_OTHER_ABS" hidden="1">"c15618"</definedName>
    <definedName name="IQ_ECS_START_DATE" hidden="1">"c5575"</definedName>
    <definedName name="IQ_ECS_START_DATE_ABS" hidden="1">"c5589"</definedName>
    <definedName name="IQ_ECS_START_DATE_OTHER" hidden="1">"c15605"</definedName>
    <definedName name="IQ_ECS_START_DATE_OTHER_ABS" hidden="1">"c15622"</definedName>
    <definedName name="IQ_ECS_TICKER" hidden="1">"c15594"</definedName>
    <definedName name="IQ_ECS_TICKER_ABS" hidden="1">"c15598"</definedName>
    <definedName name="IQ_ECS_TICKER_OTHER" hidden="1">"c15603"</definedName>
    <definedName name="IQ_ECS_TICKER_OTHER_ABS" hidden="1">"c15620"</definedName>
    <definedName name="IQ_ECS_TRADING_ITEM_CIQID" hidden="1">"c15593"</definedName>
    <definedName name="IQ_ECS_TRADING_ITEM_CIQID_ABS" hidden="1">"c15597"</definedName>
    <definedName name="IQ_ECS_TRADING_ITEM_CIQID_OTHER" hidden="1">"c15602"</definedName>
    <definedName name="IQ_ECS_TRADING_ITEM_CIQID_OTHER_ABS" hidden="1">"c15619"</definedName>
    <definedName name="IQ_ECS_TYPE" hidden="1">"c5574"</definedName>
    <definedName name="IQ_ECS_TYPE_ABS" hidden="1">"c5588"</definedName>
    <definedName name="IQ_ECS_TYPE_OTHER" hidden="1">"c15604"</definedName>
    <definedName name="IQ_ECS_TYPE_OTHER_ABS" hidden="1">"c15621"</definedName>
    <definedName name="IQ_ECS_VOTING" hidden="1">"c5582"</definedName>
    <definedName name="IQ_ECS_VOTING_ABS" hidden="1">"c5596"</definedName>
    <definedName name="IQ_ECS_VOTING_OTHER" hidden="1">"c15612"</definedName>
    <definedName name="IQ_ECS_VOTING_OTHER_ABS" hidden="1">"c15629"</definedName>
    <definedName name="IQ_EFFECT_SPECIAL_CHARGE" hidden="1">"c1595"</definedName>
    <definedName name="IQ_EFFECT_TAX_RATE" hidden="1">"c1899"</definedName>
    <definedName name="IQ_EFFECTIVE_DATE" hidden="1">"c8966"</definedName>
    <definedName name="IQ_EFFICIENCY_RATIO" hidden="1">"c391"</definedName>
    <definedName name="IQ_EFFICIENCY_RATIO_FDIC" hidden="1">"c6736"</definedName>
    <definedName name="IQ_ELIMINATIONS_CONSOL_OFFICES_FOREIGN_FFIEC" hidden="1">"c15395"</definedName>
    <definedName name="IQ_EMBEDDED_VAL_COVERED" hidden="1">"c9962"</definedName>
    <definedName name="IQ_EMBEDDED_VAL_COVERED_BEG" hidden="1">"c9957"</definedName>
    <definedName name="IQ_EMBEDDED_VAL_GROUP" hidden="1">"c9948"</definedName>
    <definedName name="IQ_EMBEDDED_VAL_GROUP_BEG" hidden="1">"c9943"</definedName>
    <definedName name="IQ_EMPLOY_COST_INDEX_BENEFITS" hidden="1">"c6857"</definedName>
    <definedName name="IQ_EMPLOY_COST_INDEX_BENEFITS_APR" hidden="1">"c7517"</definedName>
    <definedName name="IQ_EMPLOY_COST_INDEX_BENEFITS_APR_FC" hidden="1">"c8397"</definedName>
    <definedName name="IQ_EMPLOY_COST_INDEX_BENEFITS_FC" hidden="1">"c7737"</definedName>
    <definedName name="IQ_EMPLOY_COST_INDEX_BENEFITS_POP" hidden="1">"c7077"</definedName>
    <definedName name="IQ_EMPLOY_COST_INDEX_BENEFITS_POP_FC" hidden="1">"c7957"</definedName>
    <definedName name="IQ_EMPLOY_COST_INDEX_BENEFITS_YOY" hidden="1">"c7297"</definedName>
    <definedName name="IQ_EMPLOY_COST_INDEX_BENEFITS_YOY_FC" hidden="1">"c8177"</definedName>
    <definedName name="IQ_EMPLOY_COST_INDEX_COMP" hidden="1">"c6856"</definedName>
    <definedName name="IQ_EMPLOY_COST_INDEX_COMP_APR" hidden="1">"c7516"</definedName>
    <definedName name="IQ_EMPLOY_COST_INDEX_COMP_APR_FC" hidden="1">"c8396"</definedName>
    <definedName name="IQ_EMPLOY_COST_INDEX_COMP_FC" hidden="1">"c7736"</definedName>
    <definedName name="IQ_EMPLOY_COST_INDEX_COMP_POP" hidden="1">"c7076"</definedName>
    <definedName name="IQ_EMPLOY_COST_INDEX_COMP_POP_FC" hidden="1">"c7956"</definedName>
    <definedName name="IQ_EMPLOY_COST_INDEX_COMP_YOY" hidden="1">"c7296"</definedName>
    <definedName name="IQ_EMPLOY_COST_INDEX_COMP_YOY_FC" hidden="1">"c8176"</definedName>
    <definedName name="IQ_EMPLOY_COST_INDEX_WAGE_SALARY" hidden="1">"c6858"</definedName>
    <definedName name="IQ_EMPLOY_COST_INDEX_WAGE_SALARY_APR" hidden="1">"c7518"</definedName>
    <definedName name="IQ_EMPLOY_COST_INDEX_WAGE_SALARY_APR_FC" hidden="1">"c8398"</definedName>
    <definedName name="IQ_EMPLOY_COST_INDEX_WAGE_SALARY_FC" hidden="1">"c7738"</definedName>
    <definedName name="IQ_EMPLOY_COST_INDEX_WAGE_SALARY_POP" hidden="1">"c7078"</definedName>
    <definedName name="IQ_EMPLOY_COST_INDEX_WAGE_SALARY_POP_FC" hidden="1">"c7958"</definedName>
    <definedName name="IQ_EMPLOY_COST_INDEX_WAGE_SALARY_YOY" hidden="1">"c7298"</definedName>
    <definedName name="IQ_EMPLOY_COST_INDEX_WAGE_SALARY_YOY_FC" hidden="1">"c8178"</definedName>
    <definedName name="IQ_EMPLOYEES" hidden="1">"c392"</definedName>
    <definedName name="IQ_EMPLOYEES_FFIEC" hidden="1">"c13035"</definedName>
    <definedName name="IQ_EMPLOYEES_UNDER_UNION_CONTRACTS" hidden="1">"c16109"</definedName>
    <definedName name="IQ_EMPLOYMENT_YOY" hidden="1">"c20643"</definedName>
    <definedName name="IQ_ENERGY_CRUDE_STOCK" hidden="1">"c20644"</definedName>
    <definedName name="IQ_ENERGY_FUEL_OIL_STOCK" hidden="1">"c20645"</definedName>
    <definedName name="IQ_ENERGY_GASOLINE_AVERAGE" hidden="1">"c20646"</definedName>
    <definedName name="IQ_ENERGY_GASOLINE_STOCK" hidden="1">"c20647"</definedName>
    <definedName name="IQ_ENERGY_PROPANE_STOCK" hidden="1">"c20648"</definedName>
    <definedName name="IQ_ENERGY_WTI_SPOT" hidden="1">"c20649"</definedName>
    <definedName name="IQ_ENTERPRISE_VALUE" hidden="1">"c84"</definedName>
    <definedName name="IQ_ENTITLEMENT_DET_EST" hidden="1">"c12044"</definedName>
    <definedName name="IQ_ENTITLEMENT_DET_EST_THOM" hidden="1">"c12072"</definedName>
    <definedName name="IQ_ENTREPRENEURAL_PROPERTY_INC" hidden="1">"c6859"</definedName>
    <definedName name="IQ_ENTREPRENEURAL_PROPERTY_INC_APR" hidden="1">"c7519"</definedName>
    <definedName name="IQ_ENTREPRENEURAL_PROPERTY_INC_APR_FC" hidden="1">"c8399"</definedName>
    <definedName name="IQ_ENTREPRENEURAL_PROPERTY_INC_FC" hidden="1">"c7739"</definedName>
    <definedName name="IQ_ENTREPRENEURAL_PROPERTY_INC_POP" hidden="1">"c7079"</definedName>
    <definedName name="IQ_ENTREPRENEURAL_PROPERTY_INC_POP_FC" hidden="1">"c7959"</definedName>
    <definedName name="IQ_ENTREPRENEURAL_PROPERTY_INC_YOY" hidden="1">"c7299"</definedName>
    <definedName name="IQ_ENTREPRENEURAL_PROPERTY_INC_YOY_FC" hidden="1">"c8179"</definedName>
    <definedName name="IQ_EPS" hidden="1">"IQ_EPS"</definedName>
    <definedName name="IQ_EPS_10K" hidden="1">"IQ_EPS_10K"</definedName>
    <definedName name="IQ_EPS_10Q" hidden="1">"IQ_EPS_10Q"</definedName>
    <definedName name="IQ_EPS_10Q1" hidden="1">"IQ_EPS_10Q1"</definedName>
    <definedName name="IQ_EPS_10YR_ANN_CAGR" hidden="1">"c6085"</definedName>
    <definedName name="IQ_EPS_10YR_ANN_GROWTH" hidden="1">"c393"</definedName>
    <definedName name="IQ_EPS_1YR_ANN_GROWTH" hidden="1">"c394"</definedName>
    <definedName name="IQ_EPS_2YR_ANN_CAGR" hidden="1">"c6086"</definedName>
    <definedName name="IQ_EPS_2YR_ANN_GROWTH" hidden="1">"c395"</definedName>
    <definedName name="IQ_EPS_3YR_ANN_CAGR" hidden="1">"c6087"</definedName>
    <definedName name="IQ_EPS_3YR_ANN_GROWTH" hidden="1">"c396"</definedName>
    <definedName name="IQ_EPS_5YR_ANN_CAGR" hidden="1">"c6088"</definedName>
    <definedName name="IQ_EPS_5YR_ANN_GROWTH" hidden="1">"c397"</definedName>
    <definedName name="IQ_EPS_7YR_ANN_CAGR" hidden="1">"c6089"</definedName>
    <definedName name="IQ_EPS_7YR_ANN_GROWTH" hidden="1">"c398"</definedName>
    <definedName name="IQ_EPS_ACT_OR_EST" hidden="1">"c2213"</definedName>
    <definedName name="IQ_EPS_ACT_OR_EST_CIQ" hidden="1">"c5058"</definedName>
    <definedName name="IQ_EPS_ACT_OR_EST_CIQ_COL" hidden="1">"c11705"</definedName>
    <definedName name="IQ_EPS_ACT_OR_EST_REUT" hidden="1">"c5460"</definedName>
    <definedName name="IQ_EPS_ACT_OR_EST_THOM" hidden="1">"c5298"</definedName>
    <definedName name="IQ_EPS_AP" hidden="1">"c8880"</definedName>
    <definedName name="IQ_EPS_AP_ABS" hidden="1">"c8899"</definedName>
    <definedName name="IQ_EPS_DET_EST_CURRENCY_THOM" hidden="1">"c12484"</definedName>
    <definedName name="IQ_EPS_DET_EST_DATE_THOM" hidden="1">"c12235"</definedName>
    <definedName name="IQ_EPS_DET_EST_INCL_THOM" hidden="1">"c12367"</definedName>
    <definedName name="IQ_EPS_DET_EST_ORIGIN_THOM" hidden="1">"c12605"</definedName>
    <definedName name="IQ_EPS_DET_EST_THOM" hidden="1">"c12085"</definedName>
    <definedName name="IQ_EPS_EST" hidden="1">"c399"</definedName>
    <definedName name="IQ_EPS_EST_1" hidden="1">"IQ_EPS_EST_1"</definedName>
    <definedName name="IQ_EPS_EST_BOTTOM_UP" hidden="1">"c5489"</definedName>
    <definedName name="IQ_EPS_EST_BOTTOM_UP_CIQ" hidden="1">"c12026"</definedName>
    <definedName name="IQ_EPS_EST_BOTTOM_UP_REUT" hidden="1">"c5497"</definedName>
    <definedName name="IQ_EPS_EST_BOTTOM_UP_THOM" hidden="1">"c5647"</definedName>
    <definedName name="IQ_EPS_EST_CIQ" hidden="1">"c4994"</definedName>
    <definedName name="IQ_EPS_EST_REUT" hidden="1">"c5453"</definedName>
    <definedName name="IQ_EPS_EST_THOM" hidden="1">"c5290"</definedName>
    <definedName name="IQ_EPS_EXCL_GUIDANCE" hidden="1">"c4368"</definedName>
    <definedName name="IQ_EPS_EXCL_GUIDANCE_CIQ" hidden="1">"c4893"</definedName>
    <definedName name="IQ_EPS_EXCL_GUIDANCE_CIQ_COL" hidden="1">"c11540"</definedName>
    <definedName name="IQ_EPS_EXCL_HIGH_GUIDANCE" hidden="1">"c4369"</definedName>
    <definedName name="IQ_EPS_EXCL_HIGH_GUIDANCE_CIQ" hidden="1">"c4894"</definedName>
    <definedName name="IQ_EPS_EXCL_HIGH_GUIDANCE_CIQ_COL" hidden="1">"c11541"</definedName>
    <definedName name="IQ_EPS_EXCL_LOW_GUIDANCE" hidden="1">"c4204"</definedName>
    <definedName name="IQ_EPS_EXCL_LOW_GUIDANCE_CIQ" hidden="1">"c4616"</definedName>
    <definedName name="IQ_EPS_EXCL_LOW_GUIDANCE_CIQ_COL" hidden="1">"c11265"</definedName>
    <definedName name="IQ_EPS_GAAP_GUIDANCE" hidden="1">"c4370"</definedName>
    <definedName name="IQ_EPS_GAAP_GUIDANCE_CIQ" hidden="1">"c4895"</definedName>
    <definedName name="IQ_EPS_GAAP_GUIDANCE_CIQ_COL" hidden="1">"c11542"</definedName>
    <definedName name="IQ_EPS_GAAP_HIGH_GUIDANCE" hidden="1">"c4371"</definedName>
    <definedName name="IQ_EPS_GAAP_HIGH_GUIDANCE_CIQ" hidden="1">"c4896"</definedName>
    <definedName name="IQ_EPS_GAAP_HIGH_GUIDANCE_CIQ_COL" hidden="1">"c11543"</definedName>
    <definedName name="IQ_EPS_GAAP_LOW_GUIDANCE" hidden="1">"c4205"</definedName>
    <definedName name="IQ_EPS_GAAP_LOW_GUIDANCE_CIQ" hidden="1">"c4617"</definedName>
    <definedName name="IQ_EPS_GAAP_LOW_GUIDANCE_CIQ_COL" hidden="1">"c11266"</definedName>
    <definedName name="IQ_EPS_GROWTH_GUIDANCE" hidden="1">"c13495"</definedName>
    <definedName name="IQ_EPS_GROWTH_GUIDANCE_CIQ" hidden="1">"c32283"</definedName>
    <definedName name="IQ_EPS_GROWTH_GUIDANCE_CIQ_COL" hidden="1">"c32286"</definedName>
    <definedName name="IQ_EPS_GROWTH_HIGH_GUIDANCE" hidden="1">"c13496"</definedName>
    <definedName name="IQ_EPS_GROWTH_HIGH_GUIDANCE_CIQ" hidden="1">"c32284"</definedName>
    <definedName name="IQ_EPS_GROWTH_HIGH_GUIDANCE_CIQ_COL" hidden="1">"c32287"</definedName>
    <definedName name="IQ_EPS_GROWTH_LOW_GUIDANCE" hidden="1">"c13497"</definedName>
    <definedName name="IQ_EPS_GROWTH_LOW_GUIDANCE_CIQ" hidden="1">"c32285"</definedName>
    <definedName name="IQ_EPS_GROWTH_LOW_GUIDANCE_CIQ_COL" hidden="1">"c32288"</definedName>
    <definedName name="IQ_EPS_GW_ACT_OR_EST" hidden="1">"c2223"</definedName>
    <definedName name="IQ_EPS_GW_ACT_OR_EST_CIQ" hidden="1">"c5066"</definedName>
    <definedName name="IQ_EPS_GW_ACT_OR_EST_REUT" hidden="1">"c5469"</definedName>
    <definedName name="IQ_EPS_GW_DET_EST" hidden="1">"c12056"</definedName>
    <definedName name="IQ_EPS_GW_DET_EST_CURRENCY" hidden="1">"c12463"</definedName>
    <definedName name="IQ_EPS_GW_DET_EST_CURRENCY_THOM" hidden="1">"c12485"</definedName>
    <definedName name="IQ_EPS_GW_DET_EST_DATE" hidden="1">"c12209"</definedName>
    <definedName name="IQ_EPS_GW_DET_EST_DATE_THOM" hidden="1">"c12236"</definedName>
    <definedName name="IQ_EPS_GW_DET_EST_INCL" hidden="1">"c12346"</definedName>
    <definedName name="IQ_EPS_GW_DET_EST_INCL_THOM" hidden="1">"c12368"</definedName>
    <definedName name="IQ_EPS_GW_DET_EST_ORIGIN" hidden="1">"c12582"</definedName>
    <definedName name="IQ_EPS_GW_DET_EST_ORIGIN_THOM" hidden="1">"c12606"</definedName>
    <definedName name="IQ_EPS_GW_DET_EST_THOM" hidden="1">"c12086"</definedName>
    <definedName name="IQ_EPS_GW_EST" hidden="1">"c1737"</definedName>
    <definedName name="IQ_EPS_GW_EST_BOTTOM_UP" hidden="1">"c5491"</definedName>
    <definedName name="IQ_EPS_GW_EST_BOTTOM_UP_CIQ" hidden="1">"c12028"</definedName>
    <definedName name="IQ_EPS_GW_EST_BOTTOM_UP_REUT" hidden="1">"c5499"</definedName>
    <definedName name="IQ_EPS_GW_EST_CIQ" hidden="1">"c4723"</definedName>
    <definedName name="IQ_EPS_GW_EST_REUT" hidden="1">"c5389"</definedName>
    <definedName name="IQ_EPS_GW_EST_THOM" hidden="1">"c5133"</definedName>
    <definedName name="IQ_EPS_GW_GUIDANCE" hidden="1">"c4372"</definedName>
    <definedName name="IQ_EPS_GW_GUIDANCE_CIQ" hidden="1">"c4897"</definedName>
    <definedName name="IQ_EPS_GW_GUIDANCE_CIQ_COL" hidden="1">"c11544"</definedName>
    <definedName name="IQ_EPS_GW_HIGH_EST" hidden="1">"c1739"</definedName>
    <definedName name="IQ_EPS_GW_HIGH_EST_CIQ" hidden="1">"c4725"</definedName>
    <definedName name="IQ_EPS_GW_HIGH_EST_REUT" hidden="1">"c5391"</definedName>
    <definedName name="IQ_EPS_GW_HIGH_EST_THOM" hidden="1">"c5135"</definedName>
    <definedName name="IQ_EPS_GW_HIGH_GUIDANCE" hidden="1">"c4373"</definedName>
    <definedName name="IQ_EPS_GW_HIGH_GUIDANCE_CIQ" hidden="1">"c4898"</definedName>
    <definedName name="IQ_EPS_GW_HIGH_GUIDANCE_CIQ_COL" hidden="1">"c11545"</definedName>
    <definedName name="IQ_EPS_GW_LOW_EST" hidden="1">"c1740"</definedName>
    <definedName name="IQ_EPS_GW_LOW_EST_CIQ" hidden="1">"c4726"</definedName>
    <definedName name="IQ_EPS_GW_LOW_EST_REUT" hidden="1">"c5392"</definedName>
    <definedName name="IQ_EPS_GW_LOW_EST_THOM" hidden="1">"c5136"</definedName>
    <definedName name="IQ_EPS_GW_LOW_GUIDANCE" hidden="1">"c4206"</definedName>
    <definedName name="IQ_EPS_GW_LOW_GUIDANCE_CIQ" hidden="1">"c4618"</definedName>
    <definedName name="IQ_EPS_GW_LOW_GUIDANCE_CIQ_COL" hidden="1">"c11267"</definedName>
    <definedName name="IQ_EPS_GW_MEDIAN_EST" hidden="1">"c1738"</definedName>
    <definedName name="IQ_EPS_GW_MEDIAN_EST_CIQ" hidden="1">"c4724"</definedName>
    <definedName name="IQ_EPS_GW_MEDIAN_EST_REUT" hidden="1">"c5390"</definedName>
    <definedName name="IQ_EPS_GW_MEDIAN_EST_THOM" hidden="1">"c5134"</definedName>
    <definedName name="IQ_EPS_GW_NUM_EST" hidden="1">"c1741"</definedName>
    <definedName name="IQ_EPS_GW_NUM_EST_CIQ" hidden="1">"c4727"</definedName>
    <definedName name="IQ_EPS_GW_NUM_EST_REUT" hidden="1">"c5393"</definedName>
    <definedName name="IQ_EPS_GW_NUM_EST_THOM" hidden="1">"c5137"</definedName>
    <definedName name="IQ_EPS_GW_STDDEV_EST" hidden="1">"c1742"</definedName>
    <definedName name="IQ_EPS_GW_STDDEV_EST_CIQ" hidden="1">"c4728"</definedName>
    <definedName name="IQ_EPS_GW_STDDEV_EST_REUT" hidden="1">"c5394"</definedName>
    <definedName name="IQ_EPS_GW_STDDEV_EST_THOM" hidden="1">"c5138"</definedName>
    <definedName name="IQ_EPS_HIGH_EST" hidden="1">"c400"</definedName>
    <definedName name="IQ_EPS_HIGH_EST_CIQ" hidden="1">"c4995"</definedName>
    <definedName name="IQ_EPS_HIGH_EST_REUT" hidden="1">"c5454"</definedName>
    <definedName name="IQ_EPS_HIGH_EST_THOM" hidden="1">"c5291"</definedName>
    <definedName name="IQ_EPS_LOW_EST" hidden="1">"c401"</definedName>
    <definedName name="IQ_EPS_LOW_EST_CIQ" hidden="1">"c4996"</definedName>
    <definedName name="IQ_EPS_LOW_EST_REUT" hidden="1">"c5455"</definedName>
    <definedName name="IQ_EPS_LOW_EST_THOM" hidden="1">"c5292"</definedName>
    <definedName name="IQ_EPS_MEDIAN_EST" hidden="1">"c1661"</definedName>
    <definedName name="IQ_EPS_MEDIAN_EST_CIQ" hidden="1">"c4997"</definedName>
    <definedName name="IQ_EPS_MEDIAN_EST_REUT" hidden="1">"c5456"</definedName>
    <definedName name="IQ_EPS_MEDIAN_EST_THOM" hidden="1">"c5293"</definedName>
    <definedName name="IQ_EPS_NAME_AP" hidden="1">"c8918"</definedName>
    <definedName name="IQ_EPS_NAME_AP_ABS" hidden="1">"c8937"</definedName>
    <definedName name="IQ_EPS_NO_EST" hidden="1">"c271"</definedName>
    <definedName name="IQ_EPS_NORM" hidden="1">"c1902"</definedName>
    <definedName name="IQ_EPS_NORM_DET_EST" hidden="1">"c12058"</definedName>
    <definedName name="IQ_EPS_NORM_DET_EST_CURRENCY" hidden="1">"c12465"</definedName>
    <definedName name="IQ_EPS_NORM_DET_EST_DATE" hidden="1">"c12211"</definedName>
    <definedName name="IQ_EPS_NORM_DET_EST_INCL" hidden="1">"c12348"</definedName>
    <definedName name="IQ_EPS_NORM_DET_EST_ORIGIN" hidden="1">"c12583"</definedName>
    <definedName name="IQ_EPS_NORM_EST" hidden="1">"c2226"</definedName>
    <definedName name="IQ_EPS_NORM_EST_BOTTOM_UP" hidden="1">"c5490"</definedName>
    <definedName name="IQ_EPS_NORM_EST_BOTTOM_UP_CIQ" hidden="1">"c12027"</definedName>
    <definedName name="IQ_EPS_NORM_EST_BOTTOM_UP_REUT" hidden="1">"c5498"</definedName>
    <definedName name="IQ_EPS_NORM_EST_CIQ" hidden="1">"c4667"</definedName>
    <definedName name="IQ_EPS_NORM_EST_REUT" hidden="1">"c5326"</definedName>
    <definedName name="IQ_EPS_NORM_HIGH_EST" hidden="1">"c2228"</definedName>
    <definedName name="IQ_EPS_NORM_HIGH_EST_CIQ" hidden="1">"c4669"</definedName>
    <definedName name="IQ_EPS_NORM_HIGH_EST_REUT" hidden="1">"c5328"</definedName>
    <definedName name="IQ_EPS_NORM_LOW_EST" hidden="1">"c2229"</definedName>
    <definedName name="IQ_EPS_NORM_LOW_EST_CIQ" hidden="1">"c4670"</definedName>
    <definedName name="IQ_EPS_NORM_LOW_EST_REUT" hidden="1">"c5329"</definedName>
    <definedName name="IQ_EPS_NORM_MEDIAN_EST" hidden="1">"c2227"</definedName>
    <definedName name="IQ_EPS_NORM_MEDIAN_EST_CIQ" hidden="1">"c4668"</definedName>
    <definedName name="IQ_EPS_NORM_MEDIAN_EST_REUT" hidden="1">"c5327"</definedName>
    <definedName name="IQ_EPS_NORM_NUM_EST" hidden="1">"c2230"</definedName>
    <definedName name="IQ_EPS_NORM_NUM_EST_CIQ" hidden="1">"c4671"</definedName>
    <definedName name="IQ_EPS_NORM_NUM_EST_REUT" hidden="1">"c5330"</definedName>
    <definedName name="IQ_EPS_NORM_STDDEV_EST" hidden="1">"c2231"</definedName>
    <definedName name="IQ_EPS_NORM_STDDEV_EST_CIQ" hidden="1">"c4672"</definedName>
    <definedName name="IQ_EPS_NORM_STDDEV_EST_REUT" hidden="1">"c5331"</definedName>
    <definedName name="IQ_EPS_NUM_EST" hidden="1">"c402"</definedName>
    <definedName name="IQ_EPS_NUM_EST_CIQ" hidden="1">"c4992"</definedName>
    <definedName name="IQ_EPS_NUM_EST_REUT" hidden="1">"c5451"</definedName>
    <definedName name="IQ_EPS_NUM_EST_THOM" hidden="1">"c5288"</definedName>
    <definedName name="IQ_EPS_PRIMARY_EST" hidden="1">"c2226"</definedName>
    <definedName name="IQ_EPS_PRIMARY_HIGH_EST" hidden="1">"c2228"</definedName>
    <definedName name="IQ_EPS_PRIMARY_LOW_EST" hidden="1">"c2229"</definedName>
    <definedName name="IQ_EPS_PRIMARY_MEDIAN_EST" hidden="1">"c2227"</definedName>
    <definedName name="IQ_EPS_PRIMARY_NUM_EST" hidden="1">"c2230"</definedName>
    <definedName name="IQ_EPS_PRIMARY_STDDEV_EST" hidden="1">"c2231"</definedName>
    <definedName name="IQ_EPS_REPORT_ACT_OR_EST" hidden="1">"c2224"</definedName>
    <definedName name="IQ_EPS_REPORT_ACT_OR_EST_CIQ" hidden="1">"c5067"</definedName>
    <definedName name="IQ_EPS_REPORT_ACT_OR_EST_REUT" hidden="1">"c5470"</definedName>
    <definedName name="IQ_EPS_REPORT_ACT_OR_EST_THOM" hidden="1">"c5307"</definedName>
    <definedName name="IQ_EPS_REPORTED_DET_EST" hidden="1">"c12057"</definedName>
    <definedName name="IQ_EPS_REPORTED_DET_EST_CURRENCY" hidden="1">"c12464"</definedName>
    <definedName name="IQ_EPS_REPORTED_DET_EST_CURRENCY_THOM" hidden="1">"c12486"</definedName>
    <definedName name="IQ_EPS_REPORTED_DET_EST_DATE" hidden="1">"c12210"</definedName>
    <definedName name="IQ_EPS_REPORTED_DET_EST_DATE_THOM" hidden="1">"c12237"</definedName>
    <definedName name="IQ_EPS_REPORTED_DET_EST_INCL" hidden="1">"c12347"</definedName>
    <definedName name="IQ_EPS_REPORTED_DET_EST_INCL_THOM" hidden="1">"c12369"</definedName>
    <definedName name="IQ_EPS_REPORTED_DET_EST_ORIGIN" hidden="1">"c12772"</definedName>
    <definedName name="IQ_EPS_REPORTED_DET_EST_ORIGIN_THOM" hidden="1">"c12607"</definedName>
    <definedName name="IQ_EPS_REPORTED_DET_EST_THOM" hidden="1">"c12087"</definedName>
    <definedName name="IQ_EPS_REPORTED_EST" hidden="1">"c1744"</definedName>
    <definedName name="IQ_EPS_REPORTED_EST_BOTTOM_UP" hidden="1">"c5492"</definedName>
    <definedName name="IQ_EPS_REPORTED_EST_BOTTOM_UP_CIQ" hidden="1">"c12029"</definedName>
    <definedName name="IQ_EPS_REPORTED_EST_BOTTOM_UP_REUT" hidden="1">"c5500"</definedName>
    <definedName name="IQ_EPS_REPORTED_EST_CIQ" hidden="1">"c4730"</definedName>
    <definedName name="IQ_EPS_REPORTED_EST_REUT" hidden="1">"c5396"</definedName>
    <definedName name="IQ_EPS_REPORTED_EST_THOM" hidden="1">"c5140"</definedName>
    <definedName name="IQ_EPS_REPORTED_HIGH_EST" hidden="1">"c1746"</definedName>
    <definedName name="IQ_EPS_REPORTED_HIGH_EST_CIQ" hidden="1">"c4732"</definedName>
    <definedName name="IQ_EPS_REPORTED_HIGH_EST_REUT" hidden="1">"c5398"</definedName>
    <definedName name="IQ_EPS_REPORTED_HIGH_EST_THOM" hidden="1">"c5142"</definedName>
    <definedName name="IQ_EPS_REPORTED_LOW_EST" hidden="1">"c1747"</definedName>
    <definedName name="IQ_EPS_REPORTED_LOW_EST_CIQ" hidden="1">"c4733"</definedName>
    <definedName name="IQ_EPS_REPORTED_LOW_EST_REUT" hidden="1">"c5399"</definedName>
    <definedName name="IQ_EPS_REPORTED_LOW_EST_THOM" hidden="1">"c5143"</definedName>
    <definedName name="IQ_EPS_REPORTED_MEDIAN_EST" hidden="1">"c1745"</definedName>
    <definedName name="IQ_EPS_REPORTED_MEDIAN_EST_CIQ" hidden="1">"c4731"</definedName>
    <definedName name="IQ_EPS_REPORTED_MEDIAN_EST_REUT" hidden="1">"c5397"</definedName>
    <definedName name="IQ_EPS_REPORTED_MEDIAN_EST_THOM" hidden="1">"c5141"</definedName>
    <definedName name="IQ_EPS_REPORTED_NUM_EST" hidden="1">"c1748"</definedName>
    <definedName name="IQ_EPS_REPORTED_NUM_EST_CIQ" hidden="1">"c4734"</definedName>
    <definedName name="IQ_EPS_REPORTED_NUM_EST_REUT" hidden="1">"c5400"</definedName>
    <definedName name="IQ_EPS_REPORTED_NUM_EST_THOM" hidden="1">"c5144"</definedName>
    <definedName name="IQ_EPS_REPORTED_STDDEV_EST" hidden="1">"c1749"</definedName>
    <definedName name="IQ_EPS_REPORTED_STDDEV_EST_CIQ" hidden="1">"c4735"</definedName>
    <definedName name="IQ_EPS_REPORTED_STDDEV_EST_REUT" hidden="1">"c5401"</definedName>
    <definedName name="IQ_EPS_REPORTED_STDDEV_EST_THOM" hidden="1">"c5145"</definedName>
    <definedName name="IQ_EPS_SBC_ACT_OR_EST" hidden="1">"c4376"</definedName>
    <definedName name="IQ_EPS_SBC_ACT_OR_EST_CIQ" hidden="1">"c4901"</definedName>
    <definedName name="IQ_EPS_SBC_ACT_OR_EST_CIQ_COL" hidden="1">"c11548"</definedName>
    <definedName name="IQ_EPS_SBC_EST" hidden="1">"c4375"</definedName>
    <definedName name="IQ_EPS_SBC_EST_CIQ" hidden="1">"c4900"</definedName>
    <definedName name="IQ_EPS_SBC_GUIDANCE" hidden="1">"c4377"</definedName>
    <definedName name="IQ_EPS_SBC_GUIDANCE_CIQ" hidden="1">"c4902"</definedName>
    <definedName name="IQ_EPS_SBC_GUIDANCE_CIQ_COL" hidden="1">"c11549"</definedName>
    <definedName name="IQ_EPS_SBC_GW_ACT_OR_EST" hidden="1">"c4380"</definedName>
    <definedName name="IQ_EPS_SBC_GW_ACT_OR_EST_CIQ" hidden="1">"c4905"</definedName>
    <definedName name="IQ_EPS_SBC_GW_ACT_OR_EST_CIQ_COL" hidden="1">"c11552"</definedName>
    <definedName name="IQ_EPS_SBC_GW_EST" hidden="1">"c4379"</definedName>
    <definedName name="IQ_EPS_SBC_GW_EST_CIQ" hidden="1">"c4904"</definedName>
    <definedName name="IQ_EPS_SBC_GW_GUIDANCE" hidden="1">"c4381"</definedName>
    <definedName name="IQ_EPS_SBC_GW_GUIDANCE_CIQ" hidden="1">"c4906"</definedName>
    <definedName name="IQ_EPS_SBC_GW_GUIDANCE_CIQ_COL" hidden="1">"c11553"</definedName>
    <definedName name="IQ_EPS_SBC_GW_HIGH_EST" hidden="1">"c4382"</definedName>
    <definedName name="IQ_EPS_SBC_GW_HIGH_EST_CIQ" hidden="1">"c4907"</definedName>
    <definedName name="IQ_EPS_SBC_GW_HIGH_GUIDANCE" hidden="1">"c4189"</definedName>
    <definedName name="IQ_EPS_SBC_GW_HIGH_GUIDANCE_CIQ" hidden="1">"c4601"</definedName>
    <definedName name="IQ_EPS_SBC_GW_HIGH_GUIDANCE_CIQ_COL" hidden="1">"c11250"</definedName>
    <definedName name="IQ_EPS_SBC_GW_LOW_EST" hidden="1">"c4383"</definedName>
    <definedName name="IQ_EPS_SBC_GW_LOW_EST_CIQ" hidden="1">"c4908"</definedName>
    <definedName name="IQ_EPS_SBC_GW_LOW_GUIDANCE" hidden="1">"c4229"</definedName>
    <definedName name="IQ_EPS_SBC_GW_LOW_GUIDANCE_CIQ" hidden="1">"c4641"</definedName>
    <definedName name="IQ_EPS_SBC_GW_LOW_GUIDANCE_CIQ_COL" hidden="1">"c11290"</definedName>
    <definedName name="IQ_EPS_SBC_GW_MEDIAN_EST" hidden="1">"c4384"</definedName>
    <definedName name="IQ_EPS_SBC_GW_MEDIAN_EST_CIQ" hidden="1">"c4909"</definedName>
    <definedName name="IQ_EPS_SBC_GW_NUM_EST" hidden="1">"c4385"</definedName>
    <definedName name="IQ_EPS_SBC_GW_NUM_EST_CIQ" hidden="1">"c4910"</definedName>
    <definedName name="IQ_EPS_SBC_GW_STDDEV_EST" hidden="1">"c4386"</definedName>
    <definedName name="IQ_EPS_SBC_GW_STDDEV_EST_CIQ" hidden="1">"c4911"</definedName>
    <definedName name="IQ_EPS_SBC_HIGH_EST" hidden="1">"c4388"</definedName>
    <definedName name="IQ_EPS_SBC_HIGH_EST_CIQ" hidden="1">"c4913"</definedName>
    <definedName name="IQ_EPS_SBC_HIGH_GUIDANCE" hidden="1">"c4188"</definedName>
    <definedName name="IQ_EPS_SBC_HIGH_GUIDANCE_CIQ" hidden="1">"c4600"</definedName>
    <definedName name="IQ_EPS_SBC_HIGH_GUIDANCE_CIQ_COL" hidden="1">"c11249"</definedName>
    <definedName name="IQ_EPS_SBC_LOW_EST" hidden="1">"c4389"</definedName>
    <definedName name="IQ_EPS_SBC_LOW_EST_CIQ" hidden="1">"c4914"</definedName>
    <definedName name="IQ_EPS_SBC_LOW_GUIDANCE" hidden="1">"c4228"</definedName>
    <definedName name="IQ_EPS_SBC_LOW_GUIDANCE_CIQ" hidden="1">"c4640"</definedName>
    <definedName name="IQ_EPS_SBC_LOW_GUIDANCE_CIQ_COL" hidden="1">"c11289"</definedName>
    <definedName name="IQ_EPS_SBC_MEDIAN_EST" hidden="1">"c4390"</definedName>
    <definedName name="IQ_EPS_SBC_MEDIAN_EST_CIQ" hidden="1">"c4915"</definedName>
    <definedName name="IQ_EPS_SBC_NUM_EST" hidden="1">"c4391"</definedName>
    <definedName name="IQ_EPS_SBC_NUM_EST_CIQ" hidden="1">"c4916"</definedName>
    <definedName name="IQ_EPS_SBC_STDDEV_EST" hidden="1">"c4392"</definedName>
    <definedName name="IQ_EPS_SBC_STDDEV_EST_CIQ" hidden="1">"c4917"</definedName>
    <definedName name="IQ_EPS_STDDEV_EST" hidden="1">"c403"</definedName>
    <definedName name="IQ_EPS_STDDEV_EST_CIQ" hidden="1">"c4993"</definedName>
    <definedName name="IQ_EPS_STDDEV_EST_REUT" hidden="1">"c5452"</definedName>
    <definedName name="IQ_EPS_STDDEV_EST_THOM" hidden="1">"c5289"</definedName>
    <definedName name="IQ_EQUITY_AFFIL" hidden="1">"c552"</definedName>
    <definedName name="IQ_EQUITY_AP" hidden="1">"c8887"</definedName>
    <definedName name="IQ_EQUITY_AP_ABS" hidden="1">"c8906"</definedName>
    <definedName name="IQ_EQUITY_ASSETS_TOT_FFIEC" hidden="1">"c13436"</definedName>
    <definedName name="IQ_EQUITY_BEG_EXCL_FFIEC" hidden="1">"c12957"</definedName>
    <definedName name="IQ_EQUITY_BEG_FFIEC" hidden="1">"c12959"</definedName>
    <definedName name="IQ_EQUITY_CAPITAL_ASSETS_FDIC" hidden="1">"c6744"</definedName>
    <definedName name="IQ_EQUITY_CAPITAL_QUARTERLY_AVG_FFIEC" hidden="1">"c13092"</definedName>
    <definedName name="IQ_EQUITY_ENDING_FFIEC" hidden="1">"c12973"</definedName>
    <definedName name="IQ_EQUITY_FDIC" hidden="1">"c6353"</definedName>
    <definedName name="IQ_EQUITY_INDEX_EXPOSURE_FFIEC" hidden="1">"c13060"</definedName>
    <definedName name="IQ_EQUITY_LIST" hidden="1">"c15158"</definedName>
    <definedName name="IQ_EQUITY_METHOD" hidden="1">"c404"</definedName>
    <definedName name="IQ_EQUITY_NAME_AP" hidden="1">"c8925"</definedName>
    <definedName name="IQ_EQUITY_NAME_AP_ABS" hidden="1">"c8944"</definedName>
    <definedName name="IQ_EQUITY_SEC_FAIR_VALUE_FFIEC" hidden="1">"c12805"</definedName>
    <definedName name="IQ_EQUITY_SEC_INVEST_SECURITIES_FFIEC" hidden="1">"c13463"</definedName>
    <definedName name="IQ_EQUITY_SECURITIES_FDIC" hidden="1">"c6304"</definedName>
    <definedName name="IQ_EQUITY_SECURITIES_QUARTERLY_AVG_FFIEC" hidden="1">"c15474"</definedName>
    <definedName name="IQ_EQUITY_SECURITIES_WITHOUT_FAIR_VALUES_FFIEC" hidden="1">"c12846"</definedName>
    <definedName name="IQ_EQUITY_SECURITY_EXPOSURES_FDIC" hidden="1">"c6664"</definedName>
    <definedName name="IQ_EQUITY_TIER_ONE_CAPITAL" hidden="1">"c15246"</definedName>
    <definedName name="IQ_EQUITY_TIER_ONE_CAPITAL_RATIO" hidden="1">"c15242"</definedName>
    <definedName name="IQ_EQV_OVER_BV" hidden="1">"c1596"</definedName>
    <definedName name="IQ_EQV_OVER_LTM_PRETAX_INC" hidden="1">"c739"</definedName>
    <definedName name="IQ_ESOP_DEBT" hidden="1">"c1597"</definedName>
    <definedName name="IQ_ESOP_DEBT_GUARANTEED_FFIEC" hidden="1">"c12971"</definedName>
    <definedName name="IQ_ESOP_OVER_TOTAL" hidden="1">"c13768"</definedName>
    <definedName name="IQ_EST_ACT_BV" hidden="1">"c5630"</definedName>
    <definedName name="IQ_EST_ACT_BV_CIQ" hidden="1">"c4743"</definedName>
    <definedName name="IQ_EST_ACT_BV_REUT" hidden="1">"c5409"</definedName>
    <definedName name="IQ_EST_ACT_BV_SHARE" hidden="1">"c3549"</definedName>
    <definedName name="IQ_EST_ACT_BV_SHARE_CIQ" hidden="1">"c3806"</definedName>
    <definedName name="IQ_EST_ACT_BV_SHARE_REUT" hidden="1">"c5445"</definedName>
    <definedName name="IQ_EST_ACT_BV_SHARE_THOM" hidden="1">"c4026"</definedName>
    <definedName name="IQ_EST_ACT_BV_THOM" hidden="1">"c5153"</definedName>
    <definedName name="IQ_EST_ACT_CAPEX" hidden="1">"c3546"</definedName>
    <definedName name="IQ_EST_ACT_CAPEX_CIQ" hidden="1">"c3813"</definedName>
    <definedName name="IQ_EST_ACT_CAPEX_REUT" hidden="1">"c3975"</definedName>
    <definedName name="IQ_EST_ACT_CAPEX_THOM" hidden="1">"c5508"</definedName>
    <definedName name="IQ_EST_ACT_CASH_EPS" hidden="1">"c5637"</definedName>
    <definedName name="IQ_EST_ACT_CASH_EPS_THOM" hidden="1">"c5645"</definedName>
    <definedName name="IQ_EST_ACT_CASH_FLOW" hidden="1">"c4394"</definedName>
    <definedName name="IQ_EST_ACT_CASH_FLOW_CIQ" hidden="1">"c4919"</definedName>
    <definedName name="IQ_EST_ACT_CASH_OPER" hidden="1">"c4395"</definedName>
    <definedName name="IQ_EST_ACT_CASH_OPER_CIQ" hidden="1">"c4920"</definedName>
    <definedName name="IQ_EST_ACT_CFPS" hidden="1">"c1673"</definedName>
    <definedName name="IQ_EST_ACT_CFPS_CIQ" hidden="1">"c3681"</definedName>
    <definedName name="IQ_EST_ACT_CFPS_REUT" hidden="1">"c3850"</definedName>
    <definedName name="IQ_EST_ACT_CFPS_THOM" hidden="1">"c4012"</definedName>
    <definedName name="IQ_EST_ACT_DISTRIBUTABLE_CASH" hidden="1">"c4396"</definedName>
    <definedName name="IQ_EST_ACT_DISTRIBUTABLE_CASH_CIQ" hidden="1">"c4921"</definedName>
    <definedName name="IQ_EST_ACT_DISTRIBUTABLE_CASH_CIQ_COL" hidden="1">"c11568"</definedName>
    <definedName name="IQ_EST_ACT_DISTRIBUTABLE_CASH_SHARE" hidden="1">"c4397"</definedName>
    <definedName name="IQ_EST_ACT_DISTRIBUTABLE_CASH_SHARE_CIQ" hidden="1">"c4922"</definedName>
    <definedName name="IQ_EST_ACT_DPS" hidden="1">"c1680"</definedName>
    <definedName name="IQ_EST_ACT_DPS_CIQ" hidden="1">"c3688"</definedName>
    <definedName name="IQ_EST_ACT_DPS_REUT" hidden="1">"c3857"</definedName>
    <definedName name="IQ_EST_ACT_DPS_THOM" hidden="1">"c4019"</definedName>
    <definedName name="IQ_EST_ACT_EBIT" hidden="1">"c1687"</definedName>
    <definedName name="IQ_EST_ACT_EBIT_CIQ" hidden="1">"c4680"</definedName>
    <definedName name="IQ_EST_ACT_EBIT_GW" hidden="1">"c4398"</definedName>
    <definedName name="IQ_EST_ACT_EBIT_GW_CIQ" hidden="1">"c4923"</definedName>
    <definedName name="IQ_EST_ACT_EBIT_REUT" hidden="1">"c5339"</definedName>
    <definedName name="IQ_EST_ACT_EBIT_SBC" hidden="1">"c4399"</definedName>
    <definedName name="IQ_EST_ACT_EBIT_SBC_CIQ" hidden="1">"c4924"</definedName>
    <definedName name="IQ_EST_ACT_EBIT_SBC_GW" hidden="1">"c4400"</definedName>
    <definedName name="IQ_EST_ACT_EBIT_SBC_GW_CIQ" hidden="1">"c4925"</definedName>
    <definedName name="IQ_EST_ACT_EBIT_THOM" hidden="1">"c5111"</definedName>
    <definedName name="IQ_EST_ACT_EBITDA" hidden="1">"c1664"</definedName>
    <definedName name="IQ_EST_ACT_EBITDA_CIQ" hidden="1">"c3667"</definedName>
    <definedName name="IQ_EST_ACT_EBITDA_REUT" hidden="1">"c3836"</definedName>
    <definedName name="IQ_EST_ACT_EBITDA_SBC" hidden="1">"c4401"</definedName>
    <definedName name="IQ_EST_ACT_EBITDA_SBC_CIQ" hidden="1">"c4926"</definedName>
    <definedName name="IQ_EST_ACT_EBITDA_THOM" hidden="1">"c3998"</definedName>
    <definedName name="IQ_EST_ACT_EBT_SBC" hidden="1">"c4402"</definedName>
    <definedName name="IQ_EST_ACT_EBT_SBC_CIQ" hidden="1">"c4927"</definedName>
    <definedName name="IQ_EST_ACT_EBT_SBC_GW" hidden="1">"c4403"</definedName>
    <definedName name="IQ_EST_ACT_EBT_SBC_GW_CIQ" hidden="1">"c4928"</definedName>
    <definedName name="IQ_EST_ACT_EPS" hidden="1">"c1648"</definedName>
    <definedName name="IQ_EST_ACT_EPS_CIQ" hidden="1">"c4998"</definedName>
    <definedName name="IQ_EST_ACT_EPS_GW" hidden="1">"c1743"</definedName>
    <definedName name="IQ_EST_ACT_EPS_GW_CIQ" hidden="1">"c4729"</definedName>
    <definedName name="IQ_EST_ACT_EPS_GW_REUT" hidden="1">"c5395"</definedName>
    <definedName name="IQ_EST_ACT_EPS_GW_THOM" hidden="1">"c5139"</definedName>
    <definedName name="IQ_EST_ACT_EPS_NORM" hidden="1">"c2232"</definedName>
    <definedName name="IQ_EST_ACT_EPS_NORM_CIQ" hidden="1">"c4673"</definedName>
    <definedName name="IQ_EST_ACT_EPS_NORM_REUT" hidden="1">"c5332"</definedName>
    <definedName name="IQ_EST_ACT_EPS_PRIMARY" hidden="1">"c2232"</definedName>
    <definedName name="IQ_EST_ACT_EPS_REPORTED" hidden="1">"c1750"</definedName>
    <definedName name="IQ_EST_ACT_EPS_REPORTED_CIQ" hidden="1">"c4736"</definedName>
    <definedName name="IQ_EST_ACT_EPS_REPORTED_REUT" hidden="1">"c5402"</definedName>
    <definedName name="IQ_EST_ACT_EPS_REPORTED_THOM" hidden="1">"c5146"</definedName>
    <definedName name="IQ_EST_ACT_EPS_REUT" hidden="1">"c5457"</definedName>
    <definedName name="IQ_EST_ACT_EPS_SBC" hidden="1">"c4404"</definedName>
    <definedName name="IQ_EST_ACT_EPS_SBC_CIQ" hidden="1">"c4929"</definedName>
    <definedName name="IQ_EST_ACT_EPS_SBC_GW" hidden="1">"c4405"</definedName>
    <definedName name="IQ_EST_ACT_EPS_SBC_GW_CIQ" hidden="1">"c4930"</definedName>
    <definedName name="IQ_EST_ACT_EPS_THOM" hidden="1">"c5294"</definedName>
    <definedName name="IQ_EST_ACT_FFO" hidden="1">"c1666"</definedName>
    <definedName name="IQ_EST_ACT_FFO_ADJ" hidden="1">"c4406"</definedName>
    <definedName name="IQ_EST_ACT_FFO_ADJ_CIQ" hidden="1">"c4931"</definedName>
    <definedName name="IQ_EST_ACT_FFO_CIQ" hidden="1">"c4932"</definedName>
    <definedName name="IQ_EST_ACT_FFO_CIQ_COL" hidden="1">"c11579"</definedName>
    <definedName name="IQ_EST_ACT_FFO_REUT" hidden="1">"c3843"</definedName>
    <definedName name="IQ_EST_ACT_FFO_SHARE" hidden="1">"c4407"</definedName>
    <definedName name="IQ_EST_ACT_FFO_SHARE_CIQ" hidden="1">"c3674"</definedName>
    <definedName name="IQ_EST_ACT_FFO_SHARE_SHARE_REUT" hidden="1">"c3843"</definedName>
    <definedName name="IQ_EST_ACT_FFO_THOM" hidden="1">"c4005"</definedName>
    <definedName name="IQ_EST_ACT_GROSS_MARGIN" hidden="1">"c5553"</definedName>
    <definedName name="IQ_EST_ACT_GROSS_MARGIN_THOM" hidden="1">"c5561"</definedName>
    <definedName name="IQ_EST_ACT_MAINT_CAPEX" hidden="1">"c4408"</definedName>
    <definedName name="IQ_EST_ACT_MAINT_CAPEX_CIQ" hidden="1">"c4933"</definedName>
    <definedName name="IQ_EST_ACT_NAV" hidden="1">"c1757"</definedName>
    <definedName name="IQ_EST_ACT_NAV_SHARE" hidden="1">"c5608"</definedName>
    <definedName name="IQ_EST_ACT_NAV_SHARE_CIQ" hidden="1">"c12031"</definedName>
    <definedName name="IQ_EST_ACT_NAV_SHARE_REUT" hidden="1">"c5616"</definedName>
    <definedName name="IQ_EST_ACT_NAV_THOM" hidden="1">"c5600"</definedName>
    <definedName name="IQ_EST_ACT_NET_DEBT" hidden="1">"c3545"</definedName>
    <definedName name="IQ_EST_ACT_NET_DEBT_CIQ" hidden="1">"c3820"</definedName>
    <definedName name="IQ_EST_ACT_NET_DEBT_REUT" hidden="1">"c5446"</definedName>
    <definedName name="IQ_EST_ACT_NET_DEBT_THOM" hidden="1">"c4033"</definedName>
    <definedName name="IQ_EST_ACT_NI" hidden="1">"c1722"</definedName>
    <definedName name="IQ_EST_ACT_NI_CIQ" hidden="1">"c4708"</definedName>
    <definedName name="IQ_EST_ACT_NI_GW" hidden="1">"c1729"</definedName>
    <definedName name="IQ_EST_ACT_NI_GW_CIQ" hidden="1">"c4715"</definedName>
    <definedName name="IQ_EST_ACT_NI_GW_REUT" hidden="1">"c5381"</definedName>
    <definedName name="IQ_EST_ACT_NI_GW_THOM" hidden="1">"c5139"</definedName>
    <definedName name="IQ_EST_ACT_NI_REPORTED" hidden="1">"c1736"</definedName>
    <definedName name="IQ_EST_ACT_NI_REPORTED_CIQ" hidden="1">"c4722"</definedName>
    <definedName name="IQ_EST_ACT_NI_REPORTED_REUT" hidden="1">"c5388"</definedName>
    <definedName name="IQ_EST_ACT_NI_REUT" hidden="1">"c5374"</definedName>
    <definedName name="IQ_EST_ACT_NI_SBC" hidden="1">"c4409"</definedName>
    <definedName name="IQ_EST_ACT_NI_SBC_CIQ" hidden="1">"c4934"</definedName>
    <definedName name="IQ_EST_ACT_NI_SBC_GW" hidden="1">"c4410"</definedName>
    <definedName name="IQ_EST_ACT_NI_SBC_GW_CIQ" hidden="1">"c4935"</definedName>
    <definedName name="IQ_EST_ACT_NI_THOM" hidden="1">"c5132"</definedName>
    <definedName name="IQ_EST_ACT_OPER_INC" hidden="1">"c1694"</definedName>
    <definedName name="IQ_EST_ACT_OPER_INC_CIQ" hidden="1">"c12016"</definedName>
    <definedName name="IQ_EST_ACT_OPER_INC_REUT" hidden="1">"c5346"</definedName>
    <definedName name="IQ_EST_ACT_OPER_INC_THOM" hidden="1">"c5118"</definedName>
    <definedName name="IQ_EST_ACT_PRETAX_GW_INC" hidden="1">"c1708"</definedName>
    <definedName name="IQ_EST_ACT_PRETAX_GW_INC_CIQ" hidden="1">"c4694"</definedName>
    <definedName name="IQ_EST_ACT_PRETAX_GW_INC_REUT" hidden="1">"c5360"</definedName>
    <definedName name="IQ_EST_ACT_PRETAX_INC" hidden="1">"c1701"</definedName>
    <definedName name="IQ_EST_ACT_PRETAX_INC_CIQ" hidden="1">"c4687"</definedName>
    <definedName name="IQ_EST_ACT_PRETAX_INC_REUT" hidden="1">"c5353"</definedName>
    <definedName name="IQ_EST_ACT_PRETAX_INC_THOM" hidden="1">"c5125"</definedName>
    <definedName name="IQ_EST_ACT_PRETAX_REPORT_INC" hidden="1">"c1715"</definedName>
    <definedName name="IQ_EST_ACT_PRETAX_REPORT_INC_CIQ" hidden="1">"c4701"</definedName>
    <definedName name="IQ_EST_ACT_PRETAX_REPORT_INC_REUT" hidden="1">"c5367"</definedName>
    <definedName name="IQ_EST_ACT_RECURRING_PROFIT" hidden="1">"c4411"</definedName>
    <definedName name="IQ_EST_ACT_RECURRING_PROFIT_CIQ" hidden="1">"c4936"</definedName>
    <definedName name="IQ_EST_ACT_RECURRING_PROFIT_SHARE" hidden="1">"c4412"</definedName>
    <definedName name="IQ_EST_ACT_RECURRING_PROFIT_SHARE_CIQ" hidden="1">"c4937"</definedName>
    <definedName name="IQ_EST_ACT_RETURN_ASSETS" hidden="1">"c3547"</definedName>
    <definedName name="IQ_EST_ACT_RETURN_ASSETS_REUT" hidden="1">"c3996"</definedName>
    <definedName name="IQ_EST_ACT_RETURN_ASSETS_THOM" hidden="1">"c4040"</definedName>
    <definedName name="IQ_EST_ACT_RETURN_EQUITY" hidden="1">"c3548"</definedName>
    <definedName name="IQ_EST_ACT_RETURN_EQUITY_REUT" hidden="1">"c3989"</definedName>
    <definedName name="IQ_EST_ACT_RETURN_EQUITY_THOM" hidden="1">"c5287"</definedName>
    <definedName name="IQ_EST_ACT_REV" hidden="1">"c2113"</definedName>
    <definedName name="IQ_EST_ACT_REV_CIQ" hidden="1">"c3666"</definedName>
    <definedName name="IQ_EST_ACT_REV_REUT" hidden="1">"c3835"</definedName>
    <definedName name="IQ_EST_ACT_REV_THOM" hidden="1">"c3997"</definedName>
    <definedName name="IQ_EST_BV_DIFF_CIQ" hidden="1">"c4765"</definedName>
    <definedName name="IQ_EST_BV_DIFF_REUT" hidden="1">"c5433"</definedName>
    <definedName name="IQ_EST_BV_DIFF_THOM" hidden="1">"c5204"</definedName>
    <definedName name="IQ_EST_BV_SHARE_DIFF" hidden="1">"c4147"</definedName>
    <definedName name="IQ_EST_BV_SHARE_DIFF_CIQ" hidden="1">"c4559"</definedName>
    <definedName name="IQ_EST_BV_SHARE_SURPRISE_PERCENT" hidden="1">"c4148"</definedName>
    <definedName name="IQ_EST_BV_SHARE_SURPRISE_PERCENT_CIQ" hidden="1">"c4560"</definedName>
    <definedName name="IQ_EST_BV_SURPRISE_PERCENT_CIQ" hidden="1">"c4766"</definedName>
    <definedName name="IQ_EST_BV_SURPRISE_PERCENT_REUT" hidden="1">"c5434"</definedName>
    <definedName name="IQ_EST_BV_SURPRISE_PERCENT_THOM" hidden="1">"c5205"</definedName>
    <definedName name="IQ_EST_CAPEX_DIFF" hidden="1">"c4149"</definedName>
    <definedName name="IQ_EST_CAPEX_DIFF_CIQ" hidden="1">"c4561"</definedName>
    <definedName name="IQ_EST_CAPEX_GROWTH_1YR" hidden="1">"c3588"</definedName>
    <definedName name="IQ_EST_CAPEX_GROWTH_1YR_CIQ" hidden="1">"c4972"</definedName>
    <definedName name="IQ_EST_CAPEX_GROWTH_1YR_REUT" hidden="1">"c5447"</definedName>
    <definedName name="IQ_EST_CAPEX_GROWTH_1YR_THOM" hidden="1">"c5542"</definedName>
    <definedName name="IQ_EST_CAPEX_GROWTH_2YR" hidden="1">"c3589"</definedName>
    <definedName name="IQ_EST_CAPEX_GROWTH_2YR_CIQ" hidden="1">"c4973"</definedName>
    <definedName name="IQ_EST_CAPEX_GROWTH_2YR_REUT" hidden="1">"c5448"</definedName>
    <definedName name="IQ_EST_CAPEX_GROWTH_2YR_THOM" hidden="1">"c5543"</definedName>
    <definedName name="IQ_EST_CAPEX_GROWTH_Q_1YR" hidden="1">"c3590"</definedName>
    <definedName name="IQ_EST_CAPEX_GROWTH_Q_1YR_CIQ" hidden="1">"c4974"</definedName>
    <definedName name="IQ_EST_CAPEX_GROWTH_Q_1YR_REUT" hidden="1">"c5449"</definedName>
    <definedName name="IQ_EST_CAPEX_GROWTH_Q_1YR_THOM" hidden="1">"c5544"</definedName>
    <definedName name="IQ_EST_CAPEX_SEQ_GROWTH_Q" hidden="1">"c3591"</definedName>
    <definedName name="IQ_EST_CAPEX_SEQ_GROWTH_Q_CIQ" hidden="1">"c4975"</definedName>
    <definedName name="IQ_EST_CAPEX_SEQ_GROWTH_Q_REUT" hidden="1">"c5450"</definedName>
    <definedName name="IQ_EST_CAPEX_SEQ_GROWTH_Q_THOM" hidden="1">"c5545"</definedName>
    <definedName name="IQ_EST_CAPEX_SURPRISE_PERCENT" hidden="1">"c4151"</definedName>
    <definedName name="IQ_EST_CAPEX_SURPRISE_PERCENT_CIQ" hidden="1">"c4563"</definedName>
    <definedName name="IQ_EST_CASH_FLOW_DIFF" hidden="1">"c4152"</definedName>
    <definedName name="IQ_EST_CASH_FLOW_DIFF_CIQ" hidden="1">"c4564"</definedName>
    <definedName name="IQ_EST_CASH_FLOW_DIFF_CIQ_COL" hidden="1">"c11213"</definedName>
    <definedName name="IQ_EST_CASH_FLOW_SURPRISE_PERCENT" hidden="1">"c4161"</definedName>
    <definedName name="IQ_EST_CASH_FLOW_SURPRISE_PERCENT_CIQ" hidden="1">"c4573"</definedName>
    <definedName name="IQ_EST_CASH_FLOW_SURPRISE_PERCENT_CIQ_COL" hidden="1">"c11222"</definedName>
    <definedName name="IQ_EST_CASH_OPER_DIFF" hidden="1">"c4162"</definedName>
    <definedName name="IQ_EST_CASH_OPER_DIFF_CIQ" hidden="1">"c4574"</definedName>
    <definedName name="IQ_EST_CASH_OPER_DIFF_CIQ_COL" hidden="1">"c11223"</definedName>
    <definedName name="IQ_EST_CASH_OPER_SURPRISE_PERCENT" hidden="1">"c4248"</definedName>
    <definedName name="IQ_EST_CASH_OPER_SURPRISE_PERCENT_CIQ" hidden="1">"c4774"</definedName>
    <definedName name="IQ_EST_CASH_OPER_SURPRISE_PERCENT_CIQ_COL" hidden="1">"c11421"</definedName>
    <definedName name="IQ_EST_CFPS_DIFF" hidden="1">"c1871"</definedName>
    <definedName name="IQ_EST_CFPS_DIFF_CIQ" hidden="1">"c3723"</definedName>
    <definedName name="IQ_EST_CFPS_DIFF_REUT" hidden="1">"c3892"</definedName>
    <definedName name="IQ_EST_CFPS_DIFF_THOM" hidden="1">"c5188"</definedName>
    <definedName name="IQ_EST_CFPS_GROWTH_1YR" hidden="1">"c1774"</definedName>
    <definedName name="IQ_EST_CFPS_GROWTH_1YR_CIQ" hidden="1">"c3709"</definedName>
    <definedName name="IQ_EST_CFPS_GROWTH_1YR_REUT" hidden="1">"c3878"</definedName>
    <definedName name="IQ_EST_CFPS_GROWTH_1YR_THOM" hidden="1">"c5174"</definedName>
    <definedName name="IQ_EST_CFPS_GROWTH_2YR" hidden="1">"c1775"</definedName>
    <definedName name="IQ_EST_CFPS_GROWTH_2YR_CIQ" hidden="1">"c3710"</definedName>
    <definedName name="IQ_EST_CFPS_GROWTH_2YR_REUT" hidden="1">"c3879"</definedName>
    <definedName name="IQ_EST_CFPS_GROWTH_2YR_THOM" hidden="1">"c5175"</definedName>
    <definedName name="IQ_EST_CFPS_GROWTH_Q_1YR" hidden="1">"c1776"</definedName>
    <definedName name="IQ_EST_CFPS_GROWTH_Q_1YR_CIQ" hidden="1">"c3711"</definedName>
    <definedName name="IQ_EST_CFPS_GROWTH_Q_1YR_REUT" hidden="1">"c3880"</definedName>
    <definedName name="IQ_EST_CFPS_GROWTH_Q_1YR_THOM" hidden="1">"c5176"</definedName>
    <definedName name="IQ_EST_CFPS_SEQ_GROWTH_Q" hidden="1">"c1777"</definedName>
    <definedName name="IQ_EST_CFPS_SEQ_GROWTH_Q_CIQ" hidden="1">"c3712"</definedName>
    <definedName name="IQ_EST_CFPS_SEQ_GROWTH_Q_REUT" hidden="1">"c3881"</definedName>
    <definedName name="IQ_EST_CFPS_SEQ_GROWTH_Q_THOM" hidden="1">"c5177"</definedName>
    <definedName name="IQ_EST_CFPS_SURPRISE_PERCENT" hidden="1">"c1872"</definedName>
    <definedName name="IQ_EST_CFPS_SURPRISE_PERCENT_CIQ" hidden="1">"c3724"</definedName>
    <definedName name="IQ_EST_CFPS_SURPRISE_PERCENT_REUT" hidden="1">"c3893"</definedName>
    <definedName name="IQ_EST_CFPS_SURPRISE_PERCENT_THOM" hidden="1">"c5189"</definedName>
    <definedName name="IQ_EST_CURRENCY" hidden="1">"c2140"</definedName>
    <definedName name="IQ_EST_CURRENCY_CIQ" hidden="1">"c4769"</definedName>
    <definedName name="IQ_EST_CURRENCY_REUT" hidden="1">"c5437"</definedName>
    <definedName name="IQ_EST_CURRENCY_THOM" hidden="1">"c5280"</definedName>
    <definedName name="IQ_EST_DATE" hidden="1">"c1634"</definedName>
    <definedName name="IQ_EST_DATE_CIQ" hidden="1">"c4770"</definedName>
    <definedName name="IQ_EST_DATE_REUT" hidden="1">"c5438"</definedName>
    <definedName name="IQ_EST_DATE_THOM" hidden="1">"c5281"</definedName>
    <definedName name="IQ_EST_DISTRIBUTABLE_CASH_DIFF" hidden="1">"c4276"</definedName>
    <definedName name="IQ_EST_DISTRIBUTABLE_CASH_DIFF_CIQ" hidden="1">"c4801"</definedName>
    <definedName name="IQ_EST_DISTRIBUTABLE_CASH_DIFF_CIQ_COL" hidden="1">"c11448"</definedName>
    <definedName name="IQ_EST_DISTRIBUTABLE_CASH_GROWTH_1YR" hidden="1">"c4413"</definedName>
    <definedName name="IQ_EST_DISTRIBUTABLE_CASH_GROWTH_1YR_CIQ" hidden="1">"c4938"</definedName>
    <definedName name="IQ_EST_DISTRIBUTABLE_CASH_GROWTH_1YR_CIQ_COL" hidden="1">"c11585"</definedName>
    <definedName name="IQ_EST_DISTRIBUTABLE_CASH_GROWTH_2YR" hidden="1">"c4414"</definedName>
    <definedName name="IQ_EST_DISTRIBUTABLE_CASH_GROWTH_2YR_CIQ" hidden="1">"c4939"</definedName>
    <definedName name="IQ_EST_DISTRIBUTABLE_CASH_GROWTH_2YR_CIQ_COL" hidden="1">"c11586"</definedName>
    <definedName name="IQ_EST_DISTRIBUTABLE_CASH_GROWTH_Q_1YR" hidden="1">"c4415"</definedName>
    <definedName name="IQ_EST_DISTRIBUTABLE_CASH_GROWTH_Q_1YR_CIQ" hidden="1">"c4940"</definedName>
    <definedName name="IQ_EST_DISTRIBUTABLE_CASH_GROWTH_Q_1YR_CIQ_COL" hidden="1">"c11587"</definedName>
    <definedName name="IQ_EST_DISTRIBUTABLE_CASH_SEQ_GROWTH_Q" hidden="1">"c4416"</definedName>
    <definedName name="IQ_EST_DISTRIBUTABLE_CASH_SEQ_GROWTH_Q_CIQ" hidden="1">"c4941"</definedName>
    <definedName name="IQ_EST_DISTRIBUTABLE_CASH_SEQ_GROWTH_Q_CIQ_COL" hidden="1">"c11588"</definedName>
    <definedName name="IQ_EST_DISTRIBUTABLE_CASH_SHARE_DIFF" hidden="1">"c4284"</definedName>
    <definedName name="IQ_EST_DISTRIBUTABLE_CASH_SHARE_DIFF_CIQ" hidden="1">"c4809"</definedName>
    <definedName name="IQ_EST_DISTRIBUTABLE_CASH_SHARE_DIFF_CIQ_COL" hidden="1">"c11456"</definedName>
    <definedName name="IQ_EST_DISTRIBUTABLE_CASH_SHARE_GROWTH_1YR" hidden="1">"c4417"</definedName>
    <definedName name="IQ_EST_DISTRIBUTABLE_CASH_SHARE_GROWTH_1YR_CIQ" hidden="1">"c4942"</definedName>
    <definedName name="IQ_EST_DISTRIBUTABLE_CASH_SHARE_GROWTH_1YR_CIQ_COL" hidden="1">"c11589"</definedName>
    <definedName name="IQ_EST_DISTRIBUTABLE_CASH_SHARE_GROWTH_2YR" hidden="1">"c4418"</definedName>
    <definedName name="IQ_EST_DISTRIBUTABLE_CASH_SHARE_GROWTH_2YR_CIQ" hidden="1">"c4943"</definedName>
    <definedName name="IQ_EST_DISTRIBUTABLE_CASH_SHARE_GROWTH_2YR_CIQ_COL" hidden="1">"c11590"</definedName>
    <definedName name="IQ_EST_DISTRIBUTABLE_CASH_SHARE_GROWTH_Q_1YR" hidden="1">"c4419"</definedName>
    <definedName name="IQ_EST_DISTRIBUTABLE_CASH_SHARE_GROWTH_Q_1YR_CIQ" hidden="1">"c4944"</definedName>
    <definedName name="IQ_EST_DISTRIBUTABLE_CASH_SHARE_GROWTH_Q_1YR_CIQ_COL" hidden="1">"c11591"</definedName>
    <definedName name="IQ_EST_DISTRIBUTABLE_CASH_SHARE_SEQ_GROWTH_Q" hidden="1">"c4420"</definedName>
    <definedName name="IQ_EST_DISTRIBUTABLE_CASH_SHARE_SEQ_GROWTH_Q_CIQ" hidden="1">"c4945"</definedName>
    <definedName name="IQ_EST_DISTRIBUTABLE_CASH_SHARE_SEQ_GROWTH_Q_CIQ_COL" hidden="1">"c11592"</definedName>
    <definedName name="IQ_EST_DISTRIBUTABLE_CASH_SHARE_SURPRISE_PERCENT" hidden="1">"c4293"</definedName>
    <definedName name="IQ_EST_DISTRIBUTABLE_CASH_SHARE_SURPRISE_PERCENT_CIQ" hidden="1">"c4818"</definedName>
    <definedName name="IQ_EST_DISTRIBUTABLE_CASH_SHARE_SURPRISE_PERCENT_CIQ_COL" hidden="1">"c11465"</definedName>
    <definedName name="IQ_EST_DISTRIBUTABLE_CASH_SURPRISE_PERCENT" hidden="1">"c4295"</definedName>
    <definedName name="IQ_EST_DISTRIBUTABLE_CASH_SURPRISE_PERCENT_CIQ" hidden="1">"c4820"</definedName>
    <definedName name="IQ_EST_DISTRIBUTABLE_CASH_SURPRISE_PERCENT_CIQ_COL" hidden="1">"c11467"</definedName>
    <definedName name="IQ_EST_DPS_DIFF" hidden="1">"c1873"</definedName>
    <definedName name="IQ_EST_DPS_DIFF_CIQ" hidden="1">"c3725"</definedName>
    <definedName name="IQ_EST_DPS_DIFF_REUT" hidden="1">"c3894"</definedName>
    <definedName name="IQ_EST_DPS_DIFF_THOM" hidden="1">"c5190"</definedName>
    <definedName name="IQ_EST_DPS_GROWTH_1YR" hidden="1">"c1778"</definedName>
    <definedName name="IQ_EST_DPS_GROWTH_1YR_CIQ" hidden="1">"c3713"</definedName>
    <definedName name="IQ_EST_DPS_GROWTH_1YR_REUT" hidden="1">"c3882"</definedName>
    <definedName name="IQ_EST_DPS_GROWTH_1YR_THOM" hidden="1">"c5178"</definedName>
    <definedName name="IQ_EST_DPS_GROWTH_2YR" hidden="1">"c1779"</definedName>
    <definedName name="IQ_EST_DPS_GROWTH_2YR_CIQ" hidden="1">"c3714"</definedName>
    <definedName name="IQ_EST_DPS_GROWTH_2YR_REUT" hidden="1">"c3883"</definedName>
    <definedName name="IQ_EST_DPS_GROWTH_2YR_THOM" hidden="1">"c5179"</definedName>
    <definedName name="IQ_EST_DPS_GROWTH_Q_1YR" hidden="1">"c1780"</definedName>
    <definedName name="IQ_EST_DPS_GROWTH_Q_1YR_CIQ" hidden="1">"c3715"</definedName>
    <definedName name="IQ_EST_DPS_GROWTH_Q_1YR_REUT" hidden="1">"c3884"</definedName>
    <definedName name="IQ_EST_DPS_GROWTH_Q_1YR_THOM" hidden="1">"c5180"</definedName>
    <definedName name="IQ_EST_DPS_SEQ_GROWTH_Q" hidden="1">"c1781"</definedName>
    <definedName name="IQ_EST_DPS_SEQ_GROWTH_Q_CIQ" hidden="1">"c3716"</definedName>
    <definedName name="IQ_EST_DPS_SEQ_GROWTH_Q_REUT" hidden="1">"c3885"</definedName>
    <definedName name="IQ_EST_DPS_SEQ_GROWTH_Q_THOM" hidden="1">"c5181"</definedName>
    <definedName name="IQ_EST_DPS_SURPRISE_PERCENT" hidden="1">"c1874"</definedName>
    <definedName name="IQ_EST_DPS_SURPRISE_PERCENT_CIQ" hidden="1">"c3726"</definedName>
    <definedName name="IQ_EST_DPS_SURPRISE_PERCENT_REUT" hidden="1">"c3895"</definedName>
    <definedName name="IQ_EST_DPS_SURPRISE_PERCENT_THOM" hidden="1">"c5191"</definedName>
    <definedName name="IQ_EST_EBIT_DIFF" hidden="1">"c1875"</definedName>
    <definedName name="IQ_EST_EBIT_DIFF_CIQ" hidden="1">"c4747"</definedName>
    <definedName name="IQ_EST_EBIT_DIFF_REUT" hidden="1">"c5413"</definedName>
    <definedName name="IQ_EST_EBIT_DIFF_THOM" hidden="1">"c5192"</definedName>
    <definedName name="IQ_EST_EBIT_GW_DIFF" hidden="1">"c4304"</definedName>
    <definedName name="IQ_EST_EBIT_GW_DIFF_CIQ" hidden="1">"c4829"</definedName>
    <definedName name="IQ_EST_EBIT_GW_DIFF_CIQ_COL" hidden="1">"c11476"</definedName>
    <definedName name="IQ_EST_EBIT_GW_SURPRISE_PERCENT" hidden="1">"c4313"</definedName>
    <definedName name="IQ_EST_EBIT_GW_SURPRISE_PERCENT_CIQ" hidden="1">"c4838"</definedName>
    <definedName name="IQ_EST_EBIT_GW_SURPRISE_PERCENT_CIQ_COL" hidden="1">"c11485"</definedName>
    <definedName name="IQ_EST_EBIT_SBC_DIFF" hidden="1">"c4314"</definedName>
    <definedName name="IQ_EST_EBIT_SBC_DIFF_CIQ" hidden="1">"c4839"</definedName>
    <definedName name="IQ_EST_EBIT_SBC_DIFF_CIQ_COL" hidden="1">"c11486"</definedName>
    <definedName name="IQ_EST_EBIT_SBC_GW_DIFF" hidden="1">"c4318"</definedName>
    <definedName name="IQ_EST_EBIT_SBC_GW_DIFF_CIQ" hidden="1">"c4843"</definedName>
    <definedName name="IQ_EST_EBIT_SBC_GW_DIFF_CIQ_COL" hidden="1">"c11490"</definedName>
    <definedName name="IQ_EST_EBIT_SBC_GW_SURPRISE_PERCENT" hidden="1">"c4327"</definedName>
    <definedName name="IQ_EST_EBIT_SBC_GW_SURPRISE_PERCENT_CIQ" hidden="1">"c4852"</definedName>
    <definedName name="IQ_EST_EBIT_SBC_GW_SURPRISE_PERCENT_CIQ_COL" hidden="1">"c11499"</definedName>
    <definedName name="IQ_EST_EBIT_SBC_SURPRISE_PERCENT" hidden="1">"c4333"</definedName>
    <definedName name="IQ_EST_EBIT_SBC_SURPRISE_PERCENT_CIQ" hidden="1">"c4858"</definedName>
    <definedName name="IQ_EST_EBIT_SBC_SURPRISE_PERCENT_CIQ_COL" hidden="1">"c11505"</definedName>
    <definedName name="IQ_EST_EBIT_SURPRISE_PERCENT" hidden="1">"c1876"</definedName>
    <definedName name="IQ_EST_EBIT_SURPRISE_PERCENT_CIQ" hidden="1">"c4748"</definedName>
    <definedName name="IQ_EST_EBIT_SURPRISE_PERCENT_REUT" hidden="1">"c5414"</definedName>
    <definedName name="IQ_EST_EBIT_SURPRISE_PERCENT_THOM" hidden="1">"c5193"</definedName>
    <definedName name="IQ_EST_EBITDA_DIFF" hidden="1">"c1867"</definedName>
    <definedName name="IQ_EST_EBITDA_DIFF_CIQ" hidden="1">"c3719"</definedName>
    <definedName name="IQ_EST_EBITDA_DIFF_REUT" hidden="1">"c3888"</definedName>
    <definedName name="IQ_EST_EBITDA_DIFF_THOM" hidden="1">"c5184"</definedName>
    <definedName name="IQ_EST_EBITDA_GROWTH_1YR" hidden="1">"c1766"</definedName>
    <definedName name="IQ_EST_EBITDA_GROWTH_1YR_CIQ" hidden="1">"c3695"</definedName>
    <definedName name="IQ_EST_EBITDA_GROWTH_1YR_REUT" hidden="1">"c3864"</definedName>
    <definedName name="IQ_EST_EBITDA_GROWTH_1YR_THOM" hidden="1">"c5161"</definedName>
    <definedName name="IQ_EST_EBITDA_GROWTH_2YR" hidden="1">"c1767"</definedName>
    <definedName name="IQ_EST_EBITDA_GROWTH_2YR_CIQ" hidden="1">"c3696"</definedName>
    <definedName name="IQ_EST_EBITDA_GROWTH_2YR_REUT" hidden="1">"c3865"</definedName>
    <definedName name="IQ_EST_EBITDA_GROWTH_2YR_THOM" hidden="1">"c5162"</definedName>
    <definedName name="IQ_EST_EBITDA_GROWTH_Q_1YR" hidden="1">"c1768"</definedName>
    <definedName name="IQ_EST_EBITDA_GROWTH_Q_1YR_CIQ" hidden="1">"c3697"</definedName>
    <definedName name="IQ_EST_EBITDA_GROWTH_Q_1YR_REUT" hidden="1">"c3866"</definedName>
    <definedName name="IQ_EST_EBITDA_GROWTH_Q_1YR_THOM" hidden="1">"c5163"</definedName>
    <definedName name="IQ_EST_EBITDA_SBC_DIFF" hidden="1">"c4335"</definedName>
    <definedName name="IQ_EST_EBITDA_SBC_DIFF_CIQ" hidden="1">"c4860"</definedName>
    <definedName name="IQ_EST_EBITDA_SBC_DIFF_CIQ_COL" hidden="1">"c11507"</definedName>
    <definedName name="IQ_EST_EBITDA_SBC_SURPRISE_PERCENT" hidden="1">"c4344"</definedName>
    <definedName name="IQ_EST_EBITDA_SBC_SURPRISE_PERCENT_CIQ" hidden="1">"c4869"</definedName>
    <definedName name="IQ_EST_EBITDA_SBC_SURPRISE_PERCENT_CIQ_COL" hidden="1">"c11516"</definedName>
    <definedName name="IQ_EST_EBITDA_SEQ_GROWTH_Q" hidden="1">"c1769"</definedName>
    <definedName name="IQ_EST_EBITDA_SEQ_GROWTH_Q_CIQ" hidden="1">"c3698"</definedName>
    <definedName name="IQ_EST_EBITDA_SEQ_GROWTH_Q_REUT" hidden="1">"c3867"</definedName>
    <definedName name="IQ_EST_EBITDA_SEQ_GROWTH_Q_THOM" hidden="1">"c5164"</definedName>
    <definedName name="IQ_EST_EBITDA_SURPRISE_PERCENT" hidden="1">"c1868"</definedName>
    <definedName name="IQ_EST_EBITDA_SURPRISE_PERCENT_CIQ" hidden="1">"c3720"</definedName>
    <definedName name="IQ_EST_EBITDA_SURPRISE_PERCENT_REUT" hidden="1">"c3889"</definedName>
    <definedName name="IQ_EST_EBITDA_SURPRISE_PERCENT_THOM" hidden="1">"c5185"</definedName>
    <definedName name="IQ_EST_EBT_SBC_DIFF" hidden="1">"c4348"</definedName>
    <definedName name="IQ_EST_EBT_SBC_DIFF_CIQ" hidden="1">"c4873"</definedName>
    <definedName name="IQ_EST_EBT_SBC_DIFF_CIQ_COL" hidden="1">"c11520"</definedName>
    <definedName name="IQ_EST_EBT_SBC_GW_DIFF" hidden="1">"c4352"</definedName>
    <definedName name="IQ_EST_EBT_SBC_GW_DIFF_CIQ" hidden="1">"c4877"</definedName>
    <definedName name="IQ_EST_EBT_SBC_GW_DIFF_CIQ_COL" hidden="1">"c11524"</definedName>
    <definedName name="IQ_EST_EBT_SBC_GW_SURPRISE_PERCENT" hidden="1">"c4361"</definedName>
    <definedName name="IQ_EST_EBT_SBC_GW_SURPRISE_PERCENT_CIQ" hidden="1">"c4886"</definedName>
    <definedName name="IQ_EST_EBT_SBC_GW_SURPRISE_PERCENT_CIQ_COL" hidden="1">"c11533"</definedName>
    <definedName name="IQ_EST_EBT_SBC_SURPRISE_PERCENT" hidden="1">"c4367"</definedName>
    <definedName name="IQ_EST_EBT_SBC_SURPRISE_PERCENT_CIQ" hidden="1">"c4892"</definedName>
    <definedName name="IQ_EST_EBT_SBC_SURPRISE_PERCENT_CIQ_COL" hidden="1">"c11539"</definedName>
    <definedName name="IQ_EST_EPS_DIFF" hidden="1">"c1864"</definedName>
    <definedName name="IQ_EST_EPS_DIFF_CIQ" hidden="1">"c4999"</definedName>
    <definedName name="IQ_EST_EPS_DIFF_REUT" hidden="1">"c5458"</definedName>
    <definedName name="IQ_EST_EPS_DIFF_THOM" hidden="1">"c5295"</definedName>
    <definedName name="IQ_EST_EPS_GROWTH_1YR" hidden="1">"c1636"</definedName>
    <definedName name="IQ_EST_EPS_GROWTH_1YR_CIQ" hidden="1">"c3628"</definedName>
    <definedName name="IQ_EST_EPS_GROWTH_1YR_REUT" hidden="1">"c3646"</definedName>
    <definedName name="IQ_EST_EPS_GROWTH_1YR_THOM" hidden="1">"c3664"</definedName>
    <definedName name="IQ_EST_EPS_GROWTH_2YR" hidden="1">"c1637"</definedName>
    <definedName name="IQ_EST_EPS_GROWTH_2YR_CIQ" hidden="1">"c3689"</definedName>
    <definedName name="IQ_EST_EPS_GROWTH_2YR_REUT" hidden="1">"c3858"</definedName>
    <definedName name="IQ_EST_EPS_GROWTH_2YR_THOM" hidden="1">"c5154"</definedName>
    <definedName name="IQ_EST_EPS_GROWTH_5YR" hidden="1">"c1655"</definedName>
    <definedName name="IQ_EST_EPS_GROWTH_5YR_BOTTOM_UP" hidden="1">"c5487"</definedName>
    <definedName name="IQ_EST_EPS_GROWTH_5YR_BOTTOM_UP_CIQ" hidden="1">"c12024"</definedName>
    <definedName name="IQ_EST_EPS_GROWTH_5YR_BOTTOM_UP_REUT" hidden="1">"c5495"</definedName>
    <definedName name="IQ_EST_EPS_GROWTH_5YR_CIQ" hidden="1">"c3615"</definedName>
    <definedName name="IQ_EST_EPS_GROWTH_5YR_HIGH" hidden="1">"c1657"</definedName>
    <definedName name="IQ_EST_EPS_GROWTH_5YR_HIGH_CIQ" hidden="1">"c4663"</definedName>
    <definedName name="IQ_EST_EPS_GROWTH_5YR_HIGH_REUT" hidden="1">"c5322"</definedName>
    <definedName name="IQ_EST_EPS_GROWTH_5YR_HIGH_THOM" hidden="1">"c5101"</definedName>
    <definedName name="IQ_EST_EPS_GROWTH_5YR_LOW" hidden="1">"c1658"</definedName>
    <definedName name="IQ_EST_EPS_GROWTH_5YR_LOW_CIQ" hidden="1">"c4664"</definedName>
    <definedName name="IQ_EST_EPS_GROWTH_5YR_LOW_REUT" hidden="1">"c5323"</definedName>
    <definedName name="IQ_EST_EPS_GROWTH_5YR_LOW_THOM" hidden="1">"c5102"</definedName>
    <definedName name="IQ_EST_EPS_GROWTH_5YR_MEDIAN" hidden="1">"c1656"</definedName>
    <definedName name="IQ_EST_EPS_GROWTH_5YR_MEDIAN_CIQ" hidden="1">"c5480"</definedName>
    <definedName name="IQ_EST_EPS_GROWTH_5YR_MEDIAN_REUT" hidden="1">"c5321"</definedName>
    <definedName name="IQ_EST_EPS_GROWTH_5YR_MEDIAN_THOM" hidden="1">"c5100"</definedName>
    <definedName name="IQ_EST_EPS_GROWTH_5YR_NUM" hidden="1">"c1659"</definedName>
    <definedName name="IQ_EST_EPS_GROWTH_5YR_NUM_CIQ" hidden="1">"c4665"</definedName>
    <definedName name="IQ_EST_EPS_GROWTH_5YR_NUM_REUT" hidden="1">"c5324"</definedName>
    <definedName name="IQ_EST_EPS_GROWTH_5YR_NUM_THOM" hidden="1">"c5103"</definedName>
    <definedName name="IQ_EST_EPS_GROWTH_5YR_REUT" hidden="1">"c3633"</definedName>
    <definedName name="IQ_EST_EPS_GROWTH_5YR_STDDEV" hidden="1">"c1660"</definedName>
    <definedName name="IQ_EST_EPS_GROWTH_5YR_STDDEV_CIQ" hidden="1">"c4666"</definedName>
    <definedName name="IQ_EST_EPS_GROWTH_5YR_STDDEV_REUT" hidden="1">"c5325"</definedName>
    <definedName name="IQ_EST_EPS_GROWTH_5YR_STDDEV_THOM" hidden="1">"c5104"</definedName>
    <definedName name="IQ_EST_EPS_GROWTH_5YR_THOM" hidden="1">"c3651"</definedName>
    <definedName name="IQ_EST_EPS_GROWTH_Q_1YR" hidden="1">"c1641"</definedName>
    <definedName name="IQ_EST_EPS_GROWTH_Q_1YR_CIQ" hidden="1">"c4744"</definedName>
    <definedName name="IQ_EST_EPS_GROWTH_Q_1YR_REUT" hidden="1">"c5410"</definedName>
    <definedName name="IQ_EST_EPS_GROWTH_Q_1YR_THOM" hidden="1">"c5155"</definedName>
    <definedName name="IQ_EST_EPS_GW_DIFF" hidden="1">"c1891"</definedName>
    <definedName name="IQ_EST_EPS_GW_DIFF_CIQ" hidden="1">"c4761"</definedName>
    <definedName name="IQ_EST_EPS_GW_DIFF_REUT" hidden="1">"c5429"</definedName>
    <definedName name="IQ_EST_EPS_GW_DIFF_THOM" hidden="1">"c5200"</definedName>
    <definedName name="IQ_EST_EPS_GW_SURPRISE_PERCENT" hidden="1">"c1892"</definedName>
    <definedName name="IQ_EST_EPS_GW_SURPRISE_PERCENT_CIQ" hidden="1">"c4762"</definedName>
    <definedName name="IQ_EST_EPS_GW_SURPRISE_PERCENT_REUT" hidden="1">"c5430"</definedName>
    <definedName name="IQ_EST_EPS_GW_SURPRISE_PERCENT_THOM" hidden="1">"c5201"</definedName>
    <definedName name="IQ_EST_EPS_NORM_DIFF" hidden="1">"c2247"</definedName>
    <definedName name="IQ_EST_EPS_NORM_DIFF_CIQ" hidden="1">"c4745"</definedName>
    <definedName name="IQ_EST_EPS_NORM_DIFF_REUT" hidden="1">"c5411"</definedName>
    <definedName name="IQ_EST_EPS_NORM_SURPRISE_PERCENT" hidden="1">"c2248"</definedName>
    <definedName name="IQ_EST_EPS_NORM_SURPRISE_PERCENT_CIQ" hidden="1">"c4746"</definedName>
    <definedName name="IQ_EST_EPS_NORM_SURPRISE_PERCENT_REUT" hidden="1">"c5412"</definedName>
    <definedName name="IQ_EST_EPS_REPORT_DIFF" hidden="1">"c1893"</definedName>
    <definedName name="IQ_EST_EPS_REPORT_DIFF_CIQ" hidden="1">"c4763"</definedName>
    <definedName name="IQ_EST_EPS_REPORT_DIFF_REUT" hidden="1">"c5431"</definedName>
    <definedName name="IQ_EST_EPS_REPORT_DIFF_THOM" hidden="1">"c5202"</definedName>
    <definedName name="IQ_EST_EPS_REPORT_SURPRISE_PERCENT" hidden="1">"c1894"</definedName>
    <definedName name="IQ_EST_EPS_REPORT_SURPRISE_PERCENT_CIQ" hidden="1">"c4764"</definedName>
    <definedName name="IQ_EST_EPS_REPORT_SURPRISE_PERCENT_REUT" hidden="1">"c5432"</definedName>
    <definedName name="IQ_EST_EPS_REPORT_SURPRISE_PERCENT_THOM" hidden="1">"c5203"</definedName>
    <definedName name="IQ_EST_EPS_SBC_DIFF" hidden="1">"c4374"</definedName>
    <definedName name="IQ_EST_EPS_SBC_DIFF_CIQ" hidden="1">"c4899"</definedName>
    <definedName name="IQ_EST_EPS_SBC_DIFF_CIQ_COL" hidden="1">"c11546"</definedName>
    <definedName name="IQ_EST_EPS_SBC_GW_DIFF" hidden="1">"c4378"</definedName>
    <definedName name="IQ_EST_EPS_SBC_GW_DIFF_CIQ" hidden="1">"c4903"</definedName>
    <definedName name="IQ_EST_EPS_SBC_GW_DIFF_CIQ_COL" hidden="1">"c11550"</definedName>
    <definedName name="IQ_EST_EPS_SBC_GW_SURPRISE_PERCENT" hidden="1">"c4387"</definedName>
    <definedName name="IQ_EST_EPS_SBC_GW_SURPRISE_PERCENT_CIQ" hidden="1">"c4912"</definedName>
    <definedName name="IQ_EST_EPS_SBC_GW_SURPRISE_PERCENT_CIQ_COL" hidden="1">"c11559"</definedName>
    <definedName name="IQ_EST_EPS_SBC_SURPRISE_PERCENT" hidden="1">"c4393"</definedName>
    <definedName name="IQ_EST_EPS_SBC_SURPRISE_PERCENT_CIQ" hidden="1">"c4918"</definedName>
    <definedName name="IQ_EST_EPS_SBC_SURPRISE_PERCENT_CIQ_COL" hidden="1">"c11565"</definedName>
    <definedName name="IQ_EST_EPS_SEQ_GROWTH_Q" hidden="1">"c1764"</definedName>
    <definedName name="IQ_EST_EPS_SEQ_GROWTH_Q_CIQ" hidden="1">"c3690"</definedName>
    <definedName name="IQ_EST_EPS_SEQ_GROWTH_Q_REUT" hidden="1">"c3859"</definedName>
    <definedName name="IQ_EST_EPS_SEQ_GROWTH_Q_THOM" hidden="1">"c5156"</definedName>
    <definedName name="IQ_EST_EPS_SURPRISE" hidden="1">"c1635"</definedName>
    <definedName name="IQ_EST_EPS_SURPRISE_PERCENT" hidden="1">"c1635"</definedName>
    <definedName name="IQ_EST_EPS_SURPRISE_PERCENT_CIQ" hidden="1">"c5000"</definedName>
    <definedName name="IQ_EST_EPS_SURPRISE_PERCENT_REUT" hidden="1">"c5459"</definedName>
    <definedName name="IQ_EST_EPS_SURPRISE_PERCENT_THOM" hidden="1">"c5296"</definedName>
    <definedName name="IQ_EST_FAIR_VALUE_MORT_SERVICING_ASSETS_FFIEC" hidden="1">"c12956"</definedName>
    <definedName name="IQ_EST_FFO_ADJ_DIFF" hidden="1">"c4433"</definedName>
    <definedName name="IQ_EST_FFO_ADJ_DIFF_CIQ" hidden="1">"c4958"</definedName>
    <definedName name="IQ_EST_FFO_ADJ_DIFF_CIQ_COL" hidden="1">"c11605"</definedName>
    <definedName name="IQ_EST_FFO_ADJ_GROWTH_1YR" hidden="1">"c4421"</definedName>
    <definedName name="IQ_EST_FFO_ADJ_GROWTH_1YR_CIQ" hidden="1">"c4946"</definedName>
    <definedName name="IQ_EST_FFO_ADJ_GROWTH_1YR_CIQ_COL" hidden="1">"c11593"</definedName>
    <definedName name="IQ_EST_FFO_ADJ_GROWTH_2YR" hidden="1">"c4422"</definedName>
    <definedName name="IQ_EST_FFO_ADJ_GROWTH_2YR_CIQ" hidden="1">"c4947"</definedName>
    <definedName name="IQ_EST_FFO_ADJ_GROWTH_2YR_CIQ_COL" hidden="1">"c11594"</definedName>
    <definedName name="IQ_EST_FFO_ADJ_GROWTH_Q_1YR" hidden="1">"c4423"</definedName>
    <definedName name="IQ_EST_FFO_ADJ_GROWTH_Q_1YR_CIQ" hidden="1">"c4948"</definedName>
    <definedName name="IQ_EST_FFO_ADJ_GROWTH_Q_1YR_CIQ_COL" hidden="1">"c11595"</definedName>
    <definedName name="IQ_EST_FFO_ADJ_SEQ_GROWTH_Q" hidden="1">"c4424"</definedName>
    <definedName name="IQ_EST_FFO_ADJ_SEQ_GROWTH_Q_CIQ" hidden="1">"c4949"</definedName>
    <definedName name="IQ_EST_FFO_ADJ_SEQ_GROWTH_Q_CIQ_COL" hidden="1">"c11596"</definedName>
    <definedName name="IQ_EST_FFO_ADJ_SURPRISE_PERCENT" hidden="1">"c4442"</definedName>
    <definedName name="IQ_EST_FFO_ADJ_SURPRISE_PERCENT_CIQ" hidden="1">"c4967"</definedName>
    <definedName name="IQ_EST_FFO_ADJ_SURPRISE_PERCENT_CIQ_COL" hidden="1">"c11614"</definedName>
    <definedName name="IQ_EST_FFO_DIFF" hidden="1">"c1869"</definedName>
    <definedName name="IQ_EST_FFO_DIFF_CIQ" hidden="1">"c4969"</definedName>
    <definedName name="IQ_EST_FFO_DIFF_CIQ_COL" hidden="1">"c11616"</definedName>
    <definedName name="IQ_EST_FFO_DIFF_REUT" hidden="1">"c3890"</definedName>
    <definedName name="IQ_EST_FFO_DIFF_THOM" hidden="1">"c5186"</definedName>
    <definedName name="IQ_EST_FFO_GROWTH_1YR" hidden="1">"c1770"</definedName>
    <definedName name="IQ_EST_FFO_GROWTH_1YR_CIQ" hidden="1">"c4950"</definedName>
    <definedName name="IQ_EST_FFO_GROWTH_1YR_CIQ_COL" hidden="1">"c11597"</definedName>
    <definedName name="IQ_EST_FFO_GROWTH_1YR_REUT" hidden="1">"c3874"</definedName>
    <definedName name="IQ_EST_FFO_GROWTH_1YR_THOM" hidden="1">"c5170"</definedName>
    <definedName name="IQ_EST_FFO_GROWTH_2YR" hidden="1">"c1771"</definedName>
    <definedName name="IQ_EST_FFO_GROWTH_2YR_CIQ" hidden="1">"c4951"</definedName>
    <definedName name="IQ_EST_FFO_GROWTH_2YR_CIQ_COL" hidden="1">"c11598"</definedName>
    <definedName name="IQ_EST_FFO_GROWTH_2YR_REUT" hidden="1">"c3875"</definedName>
    <definedName name="IQ_EST_FFO_GROWTH_2YR_THOM" hidden="1">"c5171"</definedName>
    <definedName name="IQ_EST_FFO_GROWTH_Q_1YR" hidden="1">"c1772"</definedName>
    <definedName name="IQ_EST_FFO_GROWTH_Q_1YR_CIQ" hidden="1">"c4952"</definedName>
    <definedName name="IQ_EST_FFO_GROWTH_Q_1YR_CIQ_COL" hidden="1">"c11599"</definedName>
    <definedName name="IQ_EST_FFO_GROWTH_Q_1YR_REUT" hidden="1">"c3876"</definedName>
    <definedName name="IQ_EST_FFO_GROWTH_Q_1YR_THOM" hidden="1">"c5172"</definedName>
    <definedName name="IQ_EST_FFO_SEQ_GROWTH_Q" hidden="1">"c1773"</definedName>
    <definedName name="IQ_EST_FFO_SEQ_GROWTH_Q_CIQ" hidden="1">"c4953"</definedName>
    <definedName name="IQ_EST_FFO_SEQ_GROWTH_Q_CIQ_COL" hidden="1">"c11600"</definedName>
    <definedName name="IQ_EST_FFO_SEQ_GROWTH_Q_REUT" hidden="1">"c3877"</definedName>
    <definedName name="IQ_EST_FFO_SEQ_GROWTH_Q_THOM" hidden="1">"c5173"</definedName>
    <definedName name="IQ_EST_FFO_SHARE_DIFF" hidden="1">"c4444"</definedName>
    <definedName name="IQ_EST_FFO_SHARE_DIFF_CIQ" hidden="1">"c3721"</definedName>
    <definedName name="IQ_EST_FFO_SHARE_GROWTH_1YR" hidden="1">"c4425"</definedName>
    <definedName name="IQ_EST_FFO_SHARE_GROWTH_1YR_CIQ" hidden="1">"c3705"</definedName>
    <definedName name="IQ_EST_FFO_SHARE_GROWTH_2YR" hidden="1">"c4426"</definedName>
    <definedName name="IQ_EST_FFO_SHARE_GROWTH_2YR_CIQ" hidden="1">"c3706"</definedName>
    <definedName name="IQ_EST_FFO_SHARE_GROWTH_Q_1YR" hidden="1">"c4427"</definedName>
    <definedName name="IQ_EST_FFO_SHARE_GROWTH_Q_1YR_CIQ" hidden="1">"c3707"</definedName>
    <definedName name="IQ_EST_FFO_SHARE_SEQ_GROWTH_Q" hidden="1">"c4428"</definedName>
    <definedName name="IQ_EST_FFO_SHARE_SEQ_GROWTH_Q_CIQ" hidden="1">"c3708"</definedName>
    <definedName name="IQ_EST_FFO_SHARE_SHARE_DIFF_REUT" hidden="1">"c3890"</definedName>
    <definedName name="IQ_EST_FFO_SHARE_SHARE_SURPRISE_PERCENT_REUT" hidden="1">"c3891"</definedName>
    <definedName name="IQ_EST_FFO_SHARE_SURPRISE_PERCENT" hidden="1">"c4453"</definedName>
    <definedName name="IQ_EST_FFO_SHARE_SURPRISE_PERCENT_CIQ" hidden="1">"c3722"</definedName>
    <definedName name="IQ_EST_FFO_SURPRISE_PERCENT" hidden="1">"c1870"</definedName>
    <definedName name="IQ_EST_FFO_SURPRISE_PERCENT_CIQ" hidden="1">"c4982"</definedName>
    <definedName name="IQ_EST_FFO_SURPRISE_PERCENT_CIQ_COL" hidden="1">"c11629"</definedName>
    <definedName name="IQ_EST_FFO_SURPRISE_PERCENT_REUT" hidden="1">"c3891"</definedName>
    <definedName name="IQ_EST_FFO_SURPRISE_PERCENT_THOM" hidden="1">"c5187"</definedName>
    <definedName name="IQ_EST_FOOTNOTE" hidden="1">"c4540"</definedName>
    <definedName name="IQ_EST_FOOTNOTE_CIQ" hidden="1">"c12022"</definedName>
    <definedName name="IQ_EST_FOOTNOTE_REUT" hidden="1">"c5478"</definedName>
    <definedName name="IQ_EST_FOOTNOTE_THOM" hidden="1">"c5313"</definedName>
    <definedName name="IQ_EST_MAINT_CAPEX_DIFF" hidden="1">"c4456"</definedName>
    <definedName name="IQ_EST_MAINT_CAPEX_DIFF_CIQ" hidden="1">"c4985"</definedName>
    <definedName name="IQ_EST_MAINT_CAPEX_DIFF_CIQ_COL" hidden="1">"c11632"</definedName>
    <definedName name="IQ_EST_MAINT_CAPEX_GROWTH_1YR" hidden="1">"c4429"</definedName>
    <definedName name="IQ_EST_MAINT_CAPEX_GROWTH_1YR_CIQ" hidden="1">"c4954"</definedName>
    <definedName name="IQ_EST_MAINT_CAPEX_GROWTH_1YR_CIQ_COL" hidden="1">"c11601"</definedName>
    <definedName name="IQ_EST_MAINT_CAPEX_GROWTH_2YR" hidden="1">"c4430"</definedName>
    <definedName name="IQ_EST_MAINT_CAPEX_GROWTH_2YR_CIQ" hidden="1">"c4955"</definedName>
    <definedName name="IQ_EST_MAINT_CAPEX_GROWTH_2YR_CIQ_COL" hidden="1">"c11602"</definedName>
    <definedName name="IQ_EST_MAINT_CAPEX_GROWTH_Q_1YR" hidden="1">"c4431"</definedName>
    <definedName name="IQ_EST_MAINT_CAPEX_GROWTH_Q_1YR_CIQ" hidden="1">"c4956"</definedName>
    <definedName name="IQ_EST_MAINT_CAPEX_GROWTH_Q_1YR_CIQ_COL" hidden="1">"c11603"</definedName>
    <definedName name="IQ_EST_MAINT_CAPEX_SEQ_GROWTH_Q" hidden="1">"c4432"</definedName>
    <definedName name="IQ_EST_MAINT_CAPEX_SEQ_GROWTH_Q_CIQ" hidden="1">"c4957"</definedName>
    <definedName name="IQ_EST_MAINT_CAPEX_SEQ_GROWTH_Q_CIQ_COL" hidden="1">"c11604"</definedName>
    <definedName name="IQ_EST_MAINT_CAPEX_SURPRISE_PERCENT" hidden="1">"c4465"</definedName>
    <definedName name="IQ_EST_MAINT_CAPEX_SURPRISE_PERCENT_CIQ" hidden="1">"c5003"</definedName>
    <definedName name="IQ_EST_MAINT_CAPEX_SURPRISE_PERCENT_CIQ_COL" hidden="1">"c11650"</definedName>
    <definedName name="IQ_EST_NAV_DIFF" hidden="1">"c1895"</definedName>
    <definedName name="IQ_EST_NAV_SHARE_SURPRISE_PERCENT" hidden="1">"c1896"</definedName>
    <definedName name="IQ_EST_NAV_SURPRISE_PERCENT" hidden="1">"c1896"</definedName>
    <definedName name="IQ_EST_NET_DEBT_DIFF" hidden="1">"c4466"</definedName>
    <definedName name="IQ_EST_NET_DEBT_DIFF_CIQ" hidden="1">"c5004"</definedName>
    <definedName name="IQ_EST_NET_DEBT_SURPRISE_PERCENT" hidden="1">"c4468"</definedName>
    <definedName name="IQ_EST_NET_DEBT_SURPRISE_PERCENT_CIQ" hidden="1">"c5006"</definedName>
    <definedName name="IQ_EST_NEXT_EARNINGS_DATE" hidden="1">"c13591"</definedName>
    <definedName name="IQ_EST_NI_DIFF" hidden="1">"c1885"</definedName>
    <definedName name="IQ_EST_NI_DIFF_CIQ" hidden="1">"c4755"</definedName>
    <definedName name="IQ_EST_NI_DIFF_REUT" hidden="1">"c5423"</definedName>
    <definedName name="IQ_EST_NI_DIFF_THOM" hidden="1">"c5198"</definedName>
    <definedName name="IQ_EST_NI_GW_DIFF" hidden="1">"c1887"</definedName>
    <definedName name="IQ_EST_NI_GW_DIFF_CIQ" hidden="1">"c4757"</definedName>
    <definedName name="IQ_EST_NI_GW_DIFF_REUT" hidden="1">"c5425"</definedName>
    <definedName name="IQ_EST_NI_GW_DIFF_THOM" hidden="1">"c5200"</definedName>
    <definedName name="IQ_EST_NI_GW_SURPRISE_PERCENT" hidden="1">"c1888"</definedName>
    <definedName name="IQ_EST_NI_GW_SURPRISE_PERCENT_CIQ" hidden="1">"c4758"</definedName>
    <definedName name="IQ_EST_NI_GW_SURPRISE_PERCENT_REUT" hidden="1">"c5426"</definedName>
    <definedName name="IQ_EST_NI_GW_SURPRISE_PERCENT_THOM" hidden="1">"c5201"</definedName>
    <definedName name="IQ_EST_NI_REPORT_DIFF" hidden="1">"c1889"</definedName>
    <definedName name="IQ_EST_NI_REPORT_DIFF_CIQ" hidden="1">"c4759"</definedName>
    <definedName name="IQ_EST_NI_REPORT_DIFF_REUT" hidden="1">"c5427"</definedName>
    <definedName name="IQ_EST_NI_REPORT_SURPRISE_PERCENT" hidden="1">"c1890"</definedName>
    <definedName name="IQ_EST_NI_REPORT_SURPRISE_PERCENT_CIQ" hidden="1">"c4760"</definedName>
    <definedName name="IQ_EST_NI_REPORT_SURPRISE_PERCENT_REUT" hidden="1">"c5428"</definedName>
    <definedName name="IQ_EST_NI_SBC_DIFF" hidden="1">"c4472"</definedName>
    <definedName name="IQ_EST_NI_SBC_DIFF_CIQ" hidden="1">"c5010"</definedName>
    <definedName name="IQ_EST_NI_SBC_DIFF_CIQ_COL" hidden="1">"c11657"</definedName>
    <definedName name="IQ_EST_NI_SBC_GW_DIFF" hidden="1">"c4476"</definedName>
    <definedName name="IQ_EST_NI_SBC_GW_DIFF_CIQ" hidden="1">"c5014"</definedName>
    <definedName name="IQ_EST_NI_SBC_GW_DIFF_CIQ_COL" hidden="1">"c11661"</definedName>
    <definedName name="IQ_EST_NI_SBC_GW_SURPRISE_PERCENT" hidden="1">"c4485"</definedName>
    <definedName name="IQ_EST_NI_SBC_GW_SURPRISE_PERCENT_CIQ" hidden="1">"c5023"</definedName>
    <definedName name="IQ_EST_NI_SBC_GW_SURPRISE_PERCENT_CIQ_COL" hidden="1">"c11670"</definedName>
    <definedName name="IQ_EST_NI_SBC_SURPRISE_PERCENT" hidden="1">"c4491"</definedName>
    <definedName name="IQ_EST_NI_SBC_SURPRISE_PERCENT_CIQ" hidden="1">"c5029"</definedName>
    <definedName name="IQ_EST_NI_SBC_SURPRISE_PERCENT_CIQ_COL" hidden="1">"c11676"</definedName>
    <definedName name="IQ_EST_NI_SURPRISE_PERCENT" hidden="1">"c1886"</definedName>
    <definedName name="IQ_EST_NI_SURPRISE_PERCENT_CIQ" hidden="1">"c4756"</definedName>
    <definedName name="IQ_EST_NI_SURPRISE_PERCENT_REUT" hidden="1">"c5424"</definedName>
    <definedName name="IQ_EST_NI_SURPRISE_PERCENT_THOM" hidden="1">"c5199"</definedName>
    <definedName name="IQ_EST_NUM_BUY" hidden="1">"c1759"</definedName>
    <definedName name="IQ_EST_NUM_BUY_CIQ" hidden="1">"c3700"</definedName>
    <definedName name="IQ_EST_NUM_BUY_REUT" hidden="1">"c3869"</definedName>
    <definedName name="IQ_EST_NUM_BUY_THOM" hidden="1">"c5165"</definedName>
    <definedName name="IQ_EST_NUM_HIGH_REC" hidden="1">"c5649"</definedName>
    <definedName name="IQ_EST_NUM_HIGH_REC_CIQ" hidden="1">"c3701"</definedName>
    <definedName name="IQ_EST_NUM_HIGH_REC_REUT" hidden="1">"c3870"</definedName>
    <definedName name="IQ_EST_NUM_HIGH_REC_THOM" hidden="1">"c5166"</definedName>
    <definedName name="IQ_EST_NUM_HIGHEST_REC" hidden="1">"c5648"</definedName>
    <definedName name="IQ_EST_NUM_HIGHEST_REC_CIQ" hidden="1">"c3700"</definedName>
    <definedName name="IQ_EST_NUM_HIGHEST_REC_REUT" hidden="1">"c3869"</definedName>
    <definedName name="IQ_EST_NUM_HIGHEST_REC_THOM" hidden="1">"c5165"</definedName>
    <definedName name="IQ_EST_NUM_HOLD" hidden="1">"c1761"</definedName>
    <definedName name="IQ_EST_NUM_HOLD_CIQ" hidden="1">"c3702"</definedName>
    <definedName name="IQ_EST_NUM_HOLD_REUT" hidden="1">"c3871"</definedName>
    <definedName name="IQ_EST_NUM_HOLD_THOM" hidden="1">"c5167"</definedName>
    <definedName name="IQ_EST_NUM_LOW_REC" hidden="1">"c5651"</definedName>
    <definedName name="IQ_EST_NUM_LOW_REC_CIQ" hidden="1">"c3703"</definedName>
    <definedName name="IQ_EST_NUM_LOW_REC_REUT" hidden="1">"c3872"</definedName>
    <definedName name="IQ_EST_NUM_LOW_REC_THOM" hidden="1">"c5168"</definedName>
    <definedName name="IQ_EST_NUM_LOWEST_REC" hidden="1">"c5652"</definedName>
    <definedName name="IQ_EST_NUM_LOWEST_REC_CIQ" hidden="1">"c3704"</definedName>
    <definedName name="IQ_EST_NUM_LOWEST_REC_REUT" hidden="1">"c3873"</definedName>
    <definedName name="IQ_EST_NUM_LOWEST_REC_THOM" hidden="1">"c5169"</definedName>
    <definedName name="IQ_EST_NUM_NEUTRAL_REC" hidden="1">"c5650"</definedName>
    <definedName name="IQ_EST_NUM_NEUTRAL_REC_CIQ" hidden="1">"c3702"</definedName>
    <definedName name="IQ_EST_NUM_NEUTRAL_REC_REUT" hidden="1">"c3871"</definedName>
    <definedName name="IQ_EST_NUM_NEUTRAL_REC_THOM" hidden="1">"c5167"</definedName>
    <definedName name="IQ_EST_NUM_NO_OPINION" hidden="1">"c1758"</definedName>
    <definedName name="IQ_EST_NUM_NO_OPINION_CIQ" hidden="1">"c3699"</definedName>
    <definedName name="IQ_EST_NUM_NO_OPINION_REUT" hidden="1">"c3868"</definedName>
    <definedName name="IQ_EST_NUM_OUTPERFORM" hidden="1">"c1760"</definedName>
    <definedName name="IQ_EST_NUM_OUTPERFORM_CIQ" hidden="1">"c3701"</definedName>
    <definedName name="IQ_EST_NUM_OUTPERFORM_REUT" hidden="1">"c3870"</definedName>
    <definedName name="IQ_EST_NUM_OUTPERFORM_THOM" hidden="1">"c5166"</definedName>
    <definedName name="IQ_EST_NUM_SELL" hidden="1">"c1763"</definedName>
    <definedName name="IQ_EST_NUM_SELL_CIQ" hidden="1">"c3704"</definedName>
    <definedName name="IQ_EST_NUM_SELL_REUT" hidden="1">"c3873"</definedName>
    <definedName name="IQ_EST_NUM_SELL_THOM" hidden="1">"c5169"</definedName>
    <definedName name="IQ_EST_NUM_UNDERPERFORM" hidden="1">"c1762"</definedName>
    <definedName name="IQ_EST_NUM_UNDERPERFORM_CIQ" hidden="1">"c3703"</definedName>
    <definedName name="IQ_EST_NUM_UNDERPERFORM_REUT" hidden="1">"c3872"</definedName>
    <definedName name="IQ_EST_NUM_UNDERPERFORM_THOM" hidden="1">"c5168"</definedName>
    <definedName name="IQ_EST_OPER_INC_DIFF" hidden="1">"c1877"</definedName>
    <definedName name="IQ_EST_OPER_INC_DIFF_CIQ" hidden="1">"c12017"</definedName>
    <definedName name="IQ_EST_OPER_INC_DIFF_REUT" hidden="1">"c5415"</definedName>
    <definedName name="IQ_EST_OPER_INC_DIFF_THOM" hidden="1">"c5194"</definedName>
    <definedName name="IQ_EST_OPER_INC_SURPRISE_PERCENT" hidden="1">"c1878"</definedName>
    <definedName name="IQ_EST_OPER_INC_SURPRISE_PERCENT_CIQ" hidden="1">"c12018"</definedName>
    <definedName name="IQ_EST_OPER_INC_SURPRISE_PERCENT_REUT" hidden="1">"c5416"</definedName>
    <definedName name="IQ_EST_OPER_INC_SURPRISE_PERCENT_THOM" hidden="1">"c5195"</definedName>
    <definedName name="IQ_EST_PERIOD_ID" hidden="1">"c13923"</definedName>
    <definedName name="IQ_EST_PRE_TAX_DIFF" hidden="1">"c1879"</definedName>
    <definedName name="IQ_EST_PRE_TAX_DIFF_CIQ" hidden="1">"c4749"</definedName>
    <definedName name="IQ_EST_PRE_TAX_DIFF_REUT" hidden="1">"c5417"</definedName>
    <definedName name="IQ_EST_PRE_TAX_DIFF_THOM" hidden="1">"c5196"</definedName>
    <definedName name="IQ_EST_PRE_TAX_GW_DIFF" hidden="1">"c1881"</definedName>
    <definedName name="IQ_EST_PRE_TAX_GW_DIFF_CIQ" hidden="1">"c4751"</definedName>
    <definedName name="IQ_EST_PRE_TAX_GW_DIFF_REUT" hidden="1">"c5419"</definedName>
    <definedName name="IQ_EST_PRE_TAX_GW_SURPRISE_PERCENT" hidden="1">"c1882"</definedName>
    <definedName name="IQ_EST_PRE_TAX_GW_SURPRISE_PERCENT_CIQ" hidden="1">"c4752"</definedName>
    <definedName name="IQ_EST_PRE_TAX_GW_SURPRISE_PERCENT_REUT" hidden="1">"c5420"</definedName>
    <definedName name="IQ_EST_PRE_TAX_REPORT_DIFF" hidden="1">"c1883"</definedName>
    <definedName name="IQ_EST_PRE_TAX_REPORT_DIFF_CIQ" hidden="1">"c4753"</definedName>
    <definedName name="IQ_EST_PRE_TAX_REPORT_DIFF_REUT" hidden="1">"c5421"</definedName>
    <definedName name="IQ_EST_PRE_TAX_REPORT_SURPRISE_PERCENT" hidden="1">"c1884"</definedName>
    <definedName name="IQ_EST_PRE_TAX_REPORT_SURPRISE_PERCENT_CIQ" hidden="1">"c4754"</definedName>
    <definedName name="IQ_EST_PRE_TAX_REPORT_SURPRISE_PERCENT_REUT" hidden="1">"c5422"</definedName>
    <definedName name="IQ_EST_PRE_TAX_SURPRISE_PERCENT" hidden="1">"c1880"</definedName>
    <definedName name="IQ_EST_PRE_TAX_SURPRISE_PERCENT_CIQ" hidden="1">"c4750"</definedName>
    <definedName name="IQ_EST_PRE_TAX_SURPRISE_PERCENT_REUT" hidden="1">"c5418"</definedName>
    <definedName name="IQ_EST_PRE_TAX_SURPRISE_PERCENT_THOM" hidden="1">"c5197"</definedName>
    <definedName name="IQ_EST_RECURRING_PROFIT_SHARE_DIFF" hidden="1">"c4505"</definedName>
    <definedName name="IQ_EST_RECURRING_PROFIT_SHARE_DIFF_CIQ" hidden="1">"c5043"</definedName>
    <definedName name="IQ_EST_RECURRING_PROFIT_SHARE_DIFF_CIQ_COL" hidden="1">"c11690"</definedName>
    <definedName name="IQ_EST_RECURRING_PROFIT_SHARE_SURPRISE_PERCENT" hidden="1">"c4515"</definedName>
    <definedName name="IQ_EST_RECURRING_PROFIT_SHARE_SURPRISE_PERCENT_CIQ" hidden="1">"c5053"</definedName>
    <definedName name="IQ_EST_RECURRING_PROFIT_SHARE_SURPRISE_PERCENT_CIQ_COL" hidden="1">"c11700"</definedName>
    <definedName name="IQ_EST_REUT_ACT_CAPEX" hidden="1">"c3975"</definedName>
    <definedName name="IQ_EST_REV_DIFF" hidden="1">"c1865"</definedName>
    <definedName name="IQ_EST_REV_DIFF_CIQ" hidden="1">"c3717"</definedName>
    <definedName name="IQ_EST_REV_DIFF_REUT" hidden="1">"c3886"</definedName>
    <definedName name="IQ_EST_REV_DIFF_THOM" hidden="1">"c5182"</definedName>
    <definedName name="IQ_EST_REV_GROWTH_1YR" hidden="1">"c1638"</definedName>
    <definedName name="IQ_EST_REV_GROWTH_1YR_CIQ" hidden="1">"c3691"</definedName>
    <definedName name="IQ_EST_REV_GROWTH_1YR_REUT" hidden="1">"c3860"</definedName>
    <definedName name="IQ_EST_REV_GROWTH_1YR_THOM" hidden="1">"c5157"</definedName>
    <definedName name="IQ_EST_REV_GROWTH_2YR" hidden="1">"c1639"</definedName>
    <definedName name="IQ_EST_REV_GROWTH_2YR_CIQ" hidden="1">"c3692"</definedName>
    <definedName name="IQ_EST_REV_GROWTH_2YR_REUT" hidden="1">"c3861"</definedName>
    <definedName name="IQ_EST_REV_GROWTH_2YR_THOM" hidden="1">"c5158"</definedName>
    <definedName name="IQ_EST_REV_GROWTH_Q_1YR" hidden="1">"c1640"</definedName>
    <definedName name="IQ_EST_REV_GROWTH_Q_1YR_CIQ" hidden="1">"c3693"</definedName>
    <definedName name="IQ_EST_REV_GROWTH_Q_1YR_REUT" hidden="1">"c3862"</definedName>
    <definedName name="IQ_EST_REV_GROWTH_Q_1YR_THOM" hidden="1">"c5159"</definedName>
    <definedName name="IQ_EST_REV_SEQ_GROWTH_Q" hidden="1">"c1765"</definedName>
    <definedName name="IQ_EST_REV_SEQ_GROWTH_Q_CIQ" hidden="1">"c3694"</definedName>
    <definedName name="IQ_EST_REV_SEQ_GROWTH_Q_REUT" hidden="1">"c3863"</definedName>
    <definedName name="IQ_EST_REV_SEQ_GROWTH_Q_THOM" hidden="1">"c5160"</definedName>
    <definedName name="IQ_EST_REV_SURPRISE_PERCENT" hidden="1">"c1866"</definedName>
    <definedName name="IQ_EST_REV_SURPRISE_PERCENT_CIQ" hidden="1">"c3718"</definedName>
    <definedName name="IQ_EST_REV_SURPRISE_PERCENT_REUT" hidden="1">"c3887"</definedName>
    <definedName name="IQ_EST_REV_SURPRISE_PERCENT_THOM" hidden="1">"c5183"</definedName>
    <definedName name="IQ_EST_VENDOR" hidden="1">"c5564"</definedName>
    <definedName name="IQ_ESTIMATED_ASSESSABLE_DEPOSITS_FDIC" hidden="1">"c6490"</definedName>
    <definedName name="IQ_ESTIMATED_INSURED_DEPOSITS_FDIC" hidden="1">"c6491"</definedName>
    <definedName name="IQ_EV_OVER_EMPLOYEE" hidden="1">"c1225"</definedName>
    <definedName name="IQ_EV_OVER_LTM_EBIT" hidden="1">"c1221"</definedName>
    <definedName name="IQ_EV_OVER_LTM_EBITDA" hidden="1">"c1223"</definedName>
    <definedName name="IQ_EV_OVER_LTM_REVENUE" hidden="1">"c1227"</definedName>
    <definedName name="IQ_EV_OVER_REVENUE_EST" hidden="1">"c165"</definedName>
    <definedName name="IQ_EV_OVER_REVENUE_EST_1" hidden="1">"c166"</definedName>
    <definedName name="IQ_EVAL_DATE" hidden="1">"c2180"</definedName>
    <definedName name="IQ_EVENT_ADDRESS" hidden="1">"c19167"</definedName>
    <definedName name="IQ_EVENT_ADVISORS" hidden="1">"c19147"</definedName>
    <definedName name="IQ_EVENT_AGENDA" hidden="1">"c19168"</definedName>
    <definedName name="IQ_EVENT_CALL_DESCRIPTION" hidden="1">"c19154"</definedName>
    <definedName name="IQ_EVENT_CONTACT" hidden="1">"c19160"</definedName>
    <definedName name="IQ_EVENT_DATE" hidden="1">"c13819"</definedName>
    <definedName name="IQ_EVENT_EMAIL" hidden="1">"c19162"</definedName>
    <definedName name="IQ_EVENT_ID" hidden="1">"c13818"</definedName>
    <definedName name="IQ_EVENT_LIVE_AUDIO_DETAILS_WEBCAST_URL" hidden="1">"c19153"</definedName>
    <definedName name="IQ_EVENT_LIVE_OTHER_PASSCODE" hidden="1">"c19152"</definedName>
    <definedName name="IQ_EVENT_LIVE_OTHER_PHONE_NUMBER" hidden="1">"c19151"</definedName>
    <definedName name="IQ_EVENT_LIVE_PASSCODE" hidden="1">"c19150"</definedName>
    <definedName name="IQ_EVENT_LIVE_PHONE_NUMBER" hidden="1">"c19149"</definedName>
    <definedName name="IQ_EVENT_MARKETINDICATOR" hidden="1">"c19166"</definedName>
    <definedName name="IQ_EVENT_OTHER_CONTACT" hidden="1">"c19163"</definedName>
    <definedName name="IQ_EVENT_OTHER_CONTACT_EMAIL" hidden="1">"c19165"</definedName>
    <definedName name="IQ_EVENT_OTHER_CONTACT_PHONE" hidden="1">"c19164"</definedName>
    <definedName name="IQ_EVENT_PHONE" hidden="1">"c19161"</definedName>
    <definedName name="IQ_EVENT_REPLAY_AUDIO_DETAILS_WEBCAST_URL" hidden="1">"c19159"</definedName>
    <definedName name="IQ_EVENT_REPLAY_BEGINS" hidden="1">"c19157"</definedName>
    <definedName name="IQ_EVENT_REPLAY_ENDS" hidden="1">"c19158"</definedName>
    <definedName name="IQ_EVENT_REPLAY_PASSCODE" hidden="1">"c19156"</definedName>
    <definedName name="IQ_EVENT_REPLAY_PHONE_NUMBER" hidden="1">"c19155"</definedName>
    <definedName name="IQ_EVENT_SITUATION" hidden="1">"c19148"</definedName>
    <definedName name="IQ_EVENT_SOURCE" hidden="1">"c19146"</definedName>
    <definedName name="IQ_EVENT_TIME" hidden="1">"c13820"</definedName>
    <definedName name="IQ_EVENT_TYPE" hidden="1">"c13821"</definedName>
    <definedName name="IQ_EXCEL_DATA_METHOD" hidden="1">"c16229"</definedName>
    <definedName name="IQ_EXCHANGE" hidden="1">"c405"</definedName>
    <definedName name="IQ_EXCISE_TAXES_EXCL_SALES" hidden="1">"c5515"</definedName>
    <definedName name="IQ_EXCISE_TAXES_INCL_SALES" hidden="1">"c5514"</definedName>
    <definedName name="IQ_EXERCISE_PRICE" hidden="1">"c406"</definedName>
    <definedName name="IQ_EXERCISED" hidden="1">"c406"</definedName>
    <definedName name="IQ_EXP_REIMBURSE_RENTAL_REVENUE" hidden="1">"c16064"</definedName>
    <definedName name="IQ_EXP_RETTRN_PENSION_FOREIGN" hidden="1">"c408"</definedName>
    <definedName name="IQ_EXP_RETURN_PENSION_DOMESTIC" hidden="1">"c407"</definedName>
    <definedName name="IQ_EXP_RETURN_PENSION_FOREIGN" hidden="1">"c408"</definedName>
    <definedName name="IQ_EXPENSE_CODE_" hidden="1">"Bigdog"</definedName>
    <definedName name="IQ_EXPENSE_REIMBURSEMENTS" hidden="1">"c16020"</definedName>
    <definedName name="IQ_EXPENSES_AP" hidden="1">"c8875"</definedName>
    <definedName name="IQ_EXPENSES_AP_ABS" hidden="1">"c8894"</definedName>
    <definedName name="IQ_EXPENSES_FIXED_ASSETS_FFIEC" hidden="1">"c13024"</definedName>
    <definedName name="IQ_EXPENSES_NAME_AP" hidden="1">"c8913"</definedName>
    <definedName name="IQ_EXPENSES_NAME_AP_ABS" hidden="1">"c8932"</definedName>
    <definedName name="IQ_EXPLORATION_EXPENDITURE_ALUM" hidden="1">"c9255"</definedName>
    <definedName name="IQ_EXPLORATION_EXPENDITURE_COAL" hidden="1">"c9827"</definedName>
    <definedName name="IQ_EXPLORATION_EXPENDITURE_COP" hidden="1">"c9202"</definedName>
    <definedName name="IQ_EXPLORATION_EXPENDITURE_DIAM" hidden="1">"c9679"</definedName>
    <definedName name="IQ_EXPLORATION_EXPENDITURE_GOLD" hidden="1">"c9040"</definedName>
    <definedName name="IQ_EXPLORATION_EXPENDITURE_IRON" hidden="1">"c9414"</definedName>
    <definedName name="IQ_EXPLORATION_EXPENDITURE_LEAD" hidden="1">"c9467"</definedName>
    <definedName name="IQ_EXPLORATION_EXPENDITURE_MANG" hidden="1">"c9520"</definedName>
    <definedName name="IQ_EXPLORATION_EXPENDITURE_MOLYB" hidden="1">"c9732"</definedName>
    <definedName name="IQ_EXPLORATION_EXPENDITURE_NICK" hidden="1">"c9308"</definedName>
    <definedName name="IQ_EXPLORATION_EXPENDITURE_PLAT" hidden="1">"c9146"</definedName>
    <definedName name="IQ_EXPLORATION_EXPENDITURE_SILVER" hidden="1">"c9093"</definedName>
    <definedName name="IQ_EXPLORATION_EXPENDITURE_TITAN" hidden="1">"c9573"</definedName>
    <definedName name="IQ_EXPLORATION_EXPENDITURE_URAN" hidden="1">"c9626"</definedName>
    <definedName name="IQ_EXPLORATION_EXPENDITURE_ZINC" hidden="1">"c9361"</definedName>
    <definedName name="IQ_EXPLORE_DRILL" hidden="1">"c409"</definedName>
    <definedName name="IQ_EXPLORE_DRILL_EXP_TOTAL" hidden="1">"c13850"</definedName>
    <definedName name="IQ_EXPORT_PRICE_INDEX" hidden="1">"c6860"</definedName>
    <definedName name="IQ_EXPORT_PRICE_INDEX_APR" hidden="1">"c7520"</definedName>
    <definedName name="IQ_EXPORT_PRICE_INDEX_APR_FC" hidden="1">"c8400"</definedName>
    <definedName name="IQ_EXPORT_PRICE_INDEX_FC" hidden="1">"c7740"</definedName>
    <definedName name="IQ_EXPORT_PRICE_INDEX_POP" hidden="1">"c7080"</definedName>
    <definedName name="IQ_EXPORT_PRICE_INDEX_POP_FC" hidden="1">"c7960"</definedName>
    <definedName name="IQ_EXPORT_PRICE_INDEX_YOY" hidden="1">"c7300"</definedName>
    <definedName name="IQ_EXPORT_PRICE_INDEX_YOY_FC" hidden="1">"c8180"</definedName>
    <definedName name="IQ_EXPORT_USD" hidden="1">"c20650"</definedName>
    <definedName name="IQ_EXPORTS_APR_FC_UNUSED" hidden="1">"c8401"</definedName>
    <definedName name="IQ_EXPORTS_APR_FC_UNUSED_UNUSED_UNUSED" hidden="1">"c8401"</definedName>
    <definedName name="IQ_EXPORTS_APR_UNUSED" hidden="1">"c7521"</definedName>
    <definedName name="IQ_EXPORTS_APR_UNUSED_UNUSED_UNUSED" hidden="1">"c7521"</definedName>
    <definedName name="IQ_EXPORTS_FACTOR_SERVICES" hidden="1">"c6862"</definedName>
    <definedName name="IQ_EXPORTS_FACTOR_SERVICES_APR" hidden="1">"c7522"</definedName>
    <definedName name="IQ_EXPORTS_FACTOR_SERVICES_APR_FC" hidden="1">"c8402"</definedName>
    <definedName name="IQ_EXPORTS_FACTOR_SERVICES_FC" hidden="1">"c7742"</definedName>
    <definedName name="IQ_EXPORTS_FACTOR_SERVICES_POP" hidden="1">"c7082"</definedName>
    <definedName name="IQ_EXPORTS_FACTOR_SERVICES_POP_FC" hidden="1">"c7962"</definedName>
    <definedName name="IQ_EXPORTS_FACTOR_SERVICES_SAAR" hidden="1">"c6863"</definedName>
    <definedName name="IQ_EXPORTS_FACTOR_SERVICES_SAAR_APR" hidden="1">"c7523"</definedName>
    <definedName name="IQ_EXPORTS_FACTOR_SERVICES_SAAR_APR_FC" hidden="1">"c8403"</definedName>
    <definedName name="IQ_EXPORTS_FACTOR_SERVICES_SAAR_FC" hidden="1">"c7743"</definedName>
    <definedName name="IQ_EXPORTS_FACTOR_SERVICES_SAAR_POP" hidden="1">"c7083"</definedName>
    <definedName name="IQ_EXPORTS_FACTOR_SERVICES_SAAR_POP_FC" hidden="1">"c7963"</definedName>
    <definedName name="IQ_EXPORTS_FACTOR_SERVICES_SAAR_USD_APR_FC" hidden="1">"c11817"</definedName>
    <definedName name="IQ_EXPORTS_FACTOR_SERVICES_SAAR_USD_FC" hidden="1">"c11814"</definedName>
    <definedName name="IQ_EXPORTS_FACTOR_SERVICES_SAAR_USD_POP_FC" hidden="1">"c11815"</definedName>
    <definedName name="IQ_EXPORTS_FACTOR_SERVICES_SAAR_USD_YOY_FC" hidden="1">"c11816"</definedName>
    <definedName name="IQ_EXPORTS_FACTOR_SERVICES_SAAR_YOY" hidden="1">"c7303"</definedName>
    <definedName name="IQ_EXPORTS_FACTOR_SERVICES_SAAR_YOY_FC" hidden="1">"c8183"</definedName>
    <definedName name="IQ_EXPORTS_FACTOR_SERVICES_USD_APR_FC" hidden="1">"c11813"</definedName>
    <definedName name="IQ_EXPORTS_FACTOR_SERVICES_USD_FC" hidden="1">"c11810"</definedName>
    <definedName name="IQ_EXPORTS_FACTOR_SERVICES_USD_POP_FC" hidden="1">"c11811"</definedName>
    <definedName name="IQ_EXPORTS_FACTOR_SERVICES_USD_YOY_FC" hidden="1">"c11812"</definedName>
    <definedName name="IQ_EXPORTS_FACTOR_SERVICES_YOY" hidden="1">"c7302"</definedName>
    <definedName name="IQ_EXPORTS_FACTOR_SERVICES_YOY_FC" hidden="1">"c8182"</definedName>
    <definedName name="IQ_EXPORTS_FC_UNUSED" hidden="1">"c7741"</definedName>
    <definedName name="IQ_EXPORTS_FC_UNUSED_UNUSED_UNUSED" hidden="1">"c7741"</definedName>
    <definedName name="IQ_EXPORTS_GOODS" hidden="1">"c6864"</definedName>
    <definedName name="IQ_EXPORTS_GOODS_APR" hidden="1">"c7524"</definedName>
    <definedName name="IQ_EXPORTS_GOODS_APR_FC" hidden="1">"c8404"</definedName>
    <definedName name="IQ_EXPORTS_GOODS_FC" hidden="1">"c7744"</definedName>
    <definedName name="IQ_EXPORTS_GOODS_NONFACTOR_SERVICES" hidden="1">"c6865"</definedName>
    <definedName name="IQ_EXPORTS_GOODS_NONFACTOR_SERVICES_APR" hidden="1">"c7525"</definedName>
    <definedName name="IQ_EXPORTS_GOODS_NONFACTOR_SERVICES_APR_FC" hidden="1">"c8405"</definedName>
    <definedName name="IQ_EXPORTS_GOODS_NONFACTOR_SERVICES_FC" hidden="1">"c7745"</definedName>
    <definedName name="IQ_EXPORTS_GOODS_NONFACTOR_SERVICES_POP" hidden="1">"c7085"</definedName>
    <definedName name="IQ_EXPORTS_GOODS_NONFACTOR_SERVICES_POP_FC" hidden="1">"c7965"</definedName>
    <definedName name="IQ_EXPORTS_GOODS_NONFACTOR_SERVICES_YOY" hidden="1">"c7305"</definedName>
    <definedName name="IQ_EXPORTS_GOODS_NONFACTOR_SERVICES_YOY_FC" hidden="1">"c8185"</definedName>
    <definedName name="IQ_EXPORTS_GOODS_POP" hidden="1">"c7084"</definedName>
    <definedName name="IQ_EXPORTS_GOODS_POP_FC" hidden="1">"c7964"</definedName>
    <definedName name="IQ_EXPORTS_GOODS_REAL" hidden="1">"c6973"</definedName>
    <definedName name="IQ_EXPORTS_GOODS_REAL_APR" hidden="1">"c7633"</definedName>
    <definedName name="IQ_EXPORTS_GOODS_REAL_APR_FC" hidden="1">"c8513"</definedName>
    <definedName name="IQ_EXPORTS_GOODS_REAL_FC" hidden="1">"c7853"</definedName>
    <definedName name="IQ_EXPORTS_GOODS_REAL_POP" hidden="1">"c7193"</definedName>
    <definedName name="IQ_EXPORTS_GOODS_REAL_POP_FC" hidden="1">"c8073"</definedName>
    <definedName name="IQ_EXPORTS_GOODS_REAL_SAAR" hidden="1">"c11930"</definedName>
    <definedName name="IQ_EXPORTS_GOODS_REAL_SAAR_APR" hidden="1">"c11933"</definedName>
    <definedName name="IQ_EXPORTS_GOODS_REAL_SAAR_APR_FC_UNUSED" hidden="1">"c8512"</definedName>
    <definedName name="IQ_EXPORTS_GOODS_REAL_SAAR_APR_FC_UNUSED_UNUSED_UNUSED" hidden="1">"c8512"</definedName>
    <definedName name="IQ_EXPORTS_GOODS_REAL_SAAR_APR_UNUSED" hidden="1">"c7632"</definedName>
    <definedName name="IQ_EXPORTS_GOODS_REAL_SAAR_APR_UNUSED_UNUSED_UNUSED" hidden="1">"c7632"</definedName>
    <definedName name="IQ_EXPORTS_GOODS_REAL_SAAR_FC_UNUSED" hidden="1">"c7852"</definedName>
    <definedName name="IQ_EXPORTS_GOODS_REAL_SAAR_FC_UNUSED_UNUSED_UNUSED" hidden="1">"c7852"</definedName>
    <definedName name="IQ_EXPORTS_GOODS_REAL_SAAR_POP" hidden="1">"c11931"</definedName>
    <definedName name="IQ_EXPORTS_GOODS_REAL_SAAR_POP_FC_UNUSED" hidden="1">"c8072"</definedName>
    <definedName name="IQ_EXPORTS_GOODS_REAL_SAAR_POP_FC_UNUSED_UNUSED_UNUSED" hidden="1">"c8072"</definedName>
    <definedName name="IQ_EXPORTS_GOODS_REAL_SAAR_POP_UNUSED" hidden="1">"c7192"</definedName>
    <definedName name="IQ_EXPORTS_GOODS_REAL_SAAR_POP_UNUSED_UNUSED_UNUSED" hidden="1">"c7192"</definedName>
    <definedName name="IQ_EXPORTS_GOODS_REAL_SAAR_UNUSED" hidden="1">"c6972"</definedName>
    <definedName name="IQ_EXPORTS_GOODS_REAL_SAAR_UNUSED_UNUSED_UNUSED" hidden="1">"c6972"</definedName>
    <definedName name="IQ_EXPORTS_GOODS_REAL_SAAR_YOY" hidden="1">"c11932"</definedName>
    <definedName name="IQ_EXPORTS_GOODS_REAL_SAAR_YOY_FC_UNUSED" hidden="1">"c8292"</definedName>
    <definedName name="IQ_EXPORTS_GOODS_REAL_SAAR_YOY_FC_UNUSED_UNUSED_UNUSED" hidden="1">"c8292"</definedName>
    <definedName name="IQ_EXPORTS_GOODS_REAL_SAAR_YOY_UNUSED" hidden="1">"c7412"</definedName>
    <definedName name="IQ_EXPORTS_GOODS_REAL_SAAR_YOY_UNUSED_UNUSED_UNUSED" hidden="1">"c7412"</definedName>
    <definedName name="IQ_EXPORTS_GOODS_REAL_YOY" hidden="1">"c7413"</definedName>
    <definedName name="IQ_EXPORTS_GOODS_REAL_YOY_FC" hidden="1">"c8293"</definedName>
    <definedName name="IQ_EXPORTS_GOODS_SERVICES" hidden="1">"c6866"</definedName>
    <definedName name="IQ_EXPORTS_GOODS_SERVICES_APR" hidden="1">"c7526"</definedName>
    <definedName name="IQ_EXPORTS_GOODS_SERVICES_APR_FC" hidden="1">"c8406"</definedName>
    <definedName name="IQ_EXPORTS_GOODS_SERVICES_FC" hidden="1">"c7746"</definedName>
    <definedName name="IQ_EXPORTS_GOODS_SERVICES_POP" hidden="1">"c7086"</definedName>
    <definedName name="IQ_EXPORTS_GOODS_SERVICES_POP_FC" hidden="1">"c7966"</definedName>
    <definedName name="IQ_EXPORTS_GOODS_SERVICES_REAL" hidden="1">"c6974"</definedName>
    <definedName name="IQ_EXPORTS_GOODS_SERVICES_REAL_APR" hidden="1">"c7634"</definedName>
    <definedName name="IQ_EXPORTS_GOODS_SERVICES_REAL_APR_FC" hidden="1">"c8514"</definedName>
    <definedName name="IQ_EXPORTS_GOODS_SERVICES_REAL_FC" hidden="1">"c7854"</definedName>
    <definedName name="IQ_EXPORTS_GOODS_SERVICES_REAL_POP" hidden="1">"c7194"</definedName>
    <definedName name="IQ_EXPORTS_GOODS_SERVICES_REAL_POP_FC" hidden="1">"c8074"</definedName>
    <definedName name="IQ_EXPORTS_GOODS_SERVICES_REAL_SAAR" hidden="1">"c6975"</definedName>
    <definedName name="IQ_EXPORTS_GOODS_SERVICES_REAL_SAAR_APR" hidden="1">"c7635"</definedName>
    <definedName name="IQ_EXPORTS_GOODS_SERVICES_REAL_SAAR_APR_FC" hidden="1">"c8515"</definedName>
    <definedName name="IQ_EXPORTS_GOODS_SERVICES_REAL_SAAR_FC" hidden="1">"c7855"</definedName>
    <definedName name="IQ_EXPORTS_GOODS_SERVICES_REAL_SAAR_POP" hidden="1">"c7195"</definedName>
    <definedName name="IQ_EXPORTS_GOODS_SERVICES_REAL_SAAR_POP_FC" hidden="1">"c8075"</definedName>
    <definedName name="IQ_EXPORTS_GOODS_SERVICES_REAL_SAAR_YOY" hidden="1">"c7415"</definedName>
    <definedName name="IQ_EXPORTS_GOODS_SERVICES_REAL_SAAR_YOY_FC" hidden="1">"c8295"</definedName>
    <definedName name="IQ_EXPORTS_GOODS_SERVICES_REAL_USD" hidden="1">"c11926"</definedName>
    <definedName name="IQ_EXPORTS_GOODS_SERVICES_REAL_USD_APR" hidden="1">"c11929"</definedName>
    <definedName name="IQ_EXPORTS_GOODS_SERVICES_REAL_USD_POP" hidden="1">"c11927"</definedName>
    <definedName name="IQ_EXPORTS_GOODS_SERVICES_REAL_USD_YOY" hidden="1">"c11928"</definedName>
    <definedName name="IQ_EXPORTS_GOODS_SERVICES_REAL_YOY" hidden="1">"c7414"</definedName>
    <definedName name="IQ_EXPORTS_GOODS_SERVICES_REAL_YOY_FC" hidden="1">"c8294"</definedName>
    <definedName name="IQ_EXPORTS_GOODS_SERVICES_SAAR" hidden="1">"c6867"</definedName>
    <definedName name="IQ_EXPORTS_GOODS_SERVICES_SAAR_APR" hidden="1">"c7527"</definedName>
    <definedName name="IQ_EXPORTS_GOODS_SERVICES_SAAR_APR_FC" hidden="1">"c8407"</definedName>
    <definedName name="IQ_EXPORTS_GOODS_SERVICES_SAAR_FC" hidden="1">"c7747"</definedName>
    <definedName name="IQ_EXPORTS_GOODS_SERVICES_SAAR_POP" hidden="1">"c7087"</definedName>
    <definedName name="IQ_EXPORTS_GOODS_SERVICES_SAAR_POP_FC" hidden="1">"c7967"</definedName>
    <definedName name="IQ_EXPORTS_GOODS_SERVICES_SAAR_YOY" hidden="1">"c7307"</definedName>
    <definedName name="IQ_EXPORTS_GOODS_SERVICES_SAAR_YOY_FC" hidden="1">"c8187"</definedName>
    <definedName name="IQ_EXPORTS_GOODS_SERVICES_USD" hidden="1">"c11822"</definedName>
    <definedName name="IQ_EXPORTS_GOODS_SERVICES_USD_APR" hidden="1">"c11825"</definedName>
    <definedName name="IQ_EXPORTS_GOODS_SERVICES_USD_POP" hidden="1">"c11823"</definedName>
    <definedName name="IQ_EXPORTS_GOODS_SERVICES_USD_YOY" hidden="1">"c11824"</definedName>
    <definedName name="IQ_EXPORTS_GOODS_SERVICES_YOY" hidden="1">"c7306"</definedName>
    <definedName name="IQ_EXPORTS_GOODS_SERVICES_YOY_FC" hidden="1">"c8186"</definedName>
    <definedName name="IQ_EXPORTS_GOODS_USD" hidden="1">"c11818"</definedName>
    <definedName name="IQ_EXPORTS_GOODS_USD_APR" hidden="1">"c11821"</definedName>
    <definedName name="IQ_EXPORTS_GOODS_USD_POP" hidden="1">"c11819"</definedName>
    <definedName name="IQ_EXPORTS_GOODS_USD_YOY" hidden="1">"c11820"</definedName>
    <definedName name="IQ_EXPORTS_GOODS_YOY" hidden="1">"c7304"</definedName>
    <definedName name="IQ_EXPORTS_GOODS_YOY_FC" hidden="1">"c8184"</definedName>
    <definedName name="IQ_EXPORTS_NONFACTOR_SERVICES" hidden="1">"c6868"</definedName>
    <definedName name="IQ_EXPORTS_NONFACTOR_SERVICES_APR" hidden="1">"c7528"</definedName>
    <definedName name="IQ_EXPORTS_NONFACTOR_SERVICES_APR_FC" hidden="1">"c8408"</definedName>
    <definedName name="IQ_EXPORTS_NONFACTOR_SERVICES_FC" hidden="1">"c7748"</definedName>
    <definedName name="IQ_EXPORTS_NONFACTOR_SERVICES_POP" hidden="1">"c7088"</definedName>
    <definedName name="IQ_EXPORTS_NONFACTOR_SERVICES_POP_FC" hidden="1">"c7968"</definedName>
    <definedName name="IQ_EXPORTS_NONFACTOR_SERVICES_YOY" hidden="1">"c7308"</definedName>
    <definedName name="IQ_EXPORTS_NONFACTOR_SERVICES_YOY_FC" hidden="1">"c8188"</definedName>
    <definedName name="IQ_EXPORTS_POP_FC_UNUSED" hidden="1">"c7961"</definedName>
    <definedName name="IQ_EXPORTS_POP_FC_UNUSED_UNUSED_UNUSED" hidden="1">"c7961"</definedName>
    <definedName name="IQ_EXPORTS_POP_UNUSED" hidden="1">"c7081"</definedName>
    <definedName name="IQ_EXPORTS_POP_UNUSED_UNUSED_UNUSED" hidden="1">"c7081"</definedName>
    <definedName name="IQ_EXPORTS_SERVICES_REAL" hidden="1">"c6977"</definedName>
    <definedName name="IQ_EXPORTS_SERVICES_REAL_APR" hidden="1">"c7637"</definedName>
    <definedName name="IQ_EXPORTS_SERVICES_REAL_APR_FC" hidden="1">"c8517"</definedName>
    <definedName name="IQ_EXPORTS_SERVICES_REAL_FC" hidden="1">"c7857"</definedName>
    <definedName name="IQ_EXPORTS_SERVICES_REAL_POP" hidden="1">"c7197"</definedName>
    <definedName name="IQ_EXPORTS_SERVICES_REAL_POP_FC" hidden="1">"c8077"</definedName>
    <definedName name="IQ_EXPORTS_SERVICES_REAL_SAAR" hidden="1">"c11934"</definedName>
    <definedName name="IQ_EXPORTS_SERVICES_REAL_SAAR_APR" hidden="1">"c11937"</definedName>
    <definedName name="IQ_EXPORTS_SERVICES_REAL_SAAR_APR_FC_UNUSED" hidden="1">"c8516"</definedName>
    <definedName name="IQ_EXPORTS_SERVICES_REAL_SAAR_APR_FC_UNUSED_UNUSED_UNUSED" hidden="1">"c8516"</definedName>
    <definedName name="IQ_EXPORTS_SERVICES_REAL_SAAR_APR_UNUSED" hidden="1">"c7636"</definedName>
    <definedName name="IQ_EXPORTS_SERVICES_REAL_SAAR_APR_UNUSED_UNUSED_UNUSED" hidden="1">"c7636"</definedName>
    <definedName name="IQ_EXPORTS_SERVICES_REAL_SAAR_FC_UNUSED" hidden="1">"c7856"</definedName>
    <definedName name="IQ_EXPORTS_SERVICES_REAL_SAAR_FC_UNUSED_UNUSED_UNUSED" hidden="1">"c7856"</definedName>
    <definedName name="IQ_EXPORTS_SERVICES_REAL_SAAR_POP" hidden="1">"c11935"</definedName>
    <definedName name="IQ_EXPORTS_SERVICES_REAL_SAAR_POP_FC_UNUSED" hidden="1">"c8076"</definedName>
    <definedName name="IQ_EXPORTS_SERVICES_REAL_SAAR_POP_FC_UNUSED_UNUSED_UNUSED" hidden="1">"c8076"</definedName>
    <definedName name="IQ_EXPORTS_SERVICES_REAL_SAAR_POP_UNUSED" hidden="1">"c7196"</definedName>
    <definedName name="IQ_EXPORTS_SERVICES_REAL_SAAR_POP_UNUSED_UNUSED_UNUSED" hidden="1">"c7196"</definedName>
    <definedName name="IQ_EXPORTS_SERVICES_REAL_SAAR_UNUSED" hidden="1">"c6976"</definedName>
    <definedName name="IQ_EXPORTS_SERVICES_REAL_SAAR_UNUSED_UNUSED_UNUSED" hidden="1">"c6976"</definedName>
    <definedName name="IQ_EXPORTS_SERVICES_REAL_SAAR_YOY" hidden="1">"c11936"</definedName>
    <definedName name="IQ_EXPORTS_SERVICES_REAL_SAAR_YOY_FC_UNUSED" hidden="1">"c8296"</definedName>
    <definedName name="IQ_EXPORTS_SERVICES_REAL_SAAR_YOY_FC_UNUSED_UNUSED_UNUSED" hidden="1">"c8296"</definedName>
    <definedName name="IQ_EXPORTS_SERVICES_REAL_SAAR_YOY_UNUSED" hidden="1">"c7416"</definedName>
    <definedName name="IQ_EXPORTS_SERVICES_REAL_SAAR_YOY_UNUSED_UNUSED_UNUSED" hidden="1">"c7416"</definedName>
    <definedName name="IQ_EXPORTS_SERVICES_REAL_YOY" hidden="1">"c7417"</definedName>
    <definedName name="IQ_EXPORTS_SERVICES_REAL_YOY_FC" hidden="1">"c8297"</definedName>
    <definedName name="IQ_EXPORTS_UNUSED" hidden="1">"c6861"</definedName>
    <definedName name="IQ_EXPORTS_UNUSED_UNUSED_UNUSED" hidden="1">"c6861"</definedName>
    <definedName name="IQ_EXPORTS_USD" hidden="1">"c11806"</definedName>
    <definedName name="IQ_EXPORTS_USD_APR" hidden="1">"c11809"</definedName>
    <definedName name="IQ_EXPORTS_USD_POP" hidden="1">"c11807"</definedName>
    <definedName name="IQ_EXPORTS_USD_YOY" hidden="1">"c11808"</definedName>
    <definedName name="IQ_EXPORTS_YOY_FC_UNUSED" hidden="1">"c8181"</definedName>
    <definedName name="IQ_EXPORTS_YOY_FC_UNUSED_UNUSED_UNUSED" hidden="1">"c8181"</definedName>
    <definedName name="IQ_EXPORTS_YOY_UNUSED" hidden="1">"c7301"</definedName>
    <definedName name="IQ_EXPORTS_YOY_UNUSED_UNUSED_UNUSED" hidden="1">"c7301"</definedName>
    <definedName name="IQ_EXTRA_ACC_ATEMS_BR" hidden="1">"c412"</definedName>
    <definedName name="IQ_EXTRA_ACC_ITEMS" hidden="1">"c410"</definedName>
    <definedName name="IQ_EXTRA_ACC_ITEMS_BNK" hidden="1">"c411"</definedName>
    <definedName name="IQ_EXTRA_ACC_ITEMS_BR" hidden="1">"c412"</definedName>
    <definedName name="IQ_EXTRA_ACC_ITEMS_CM" hidden="1">"c412"</definedName>
    <definedName name="IQ_EXTRA_ACC_ITEMS_FIN" hidden="1">"c413"</definedName>
    <definedName name="IQ_EXTRA_ACC_ITEMS_INS" hidden="1">"c414"</definedName>
    <definedName name="IQ_EXTRA_ACC_ITEMS_RE" hidden="1">"c6216"</definedName>
    <definedName name="IQ_EXTRA_ACC_ITEMS_REIT" hidden="1">"c415"</definedName>
    <definedName name="IQ_EXTRA_ACC_ITEMS_UTI" hidden="1">"c416"</definedName>
    <definedName name="IQ_EXTRA_AVG_ASSETS_FFIEC" hidden="1">"c13369"</definedName>
    <definedName name="IQ_EXTRA_ITEMS" hidden="1">"c413"</definedName>
    <definedName name="IQ_EXTRA_ITEMS_OTHER_ADJUSTMENTS_FOREIGN_FFIEC" hidden="1">"c15392"</definedName>
    <definedName name="IQ_EXTRAORDINARY_GAINS_FDIC" hidden="1">"c6586"</definedName>
    <definedName name="IQ_EXTRAORDINARY_ITEMS_FFIEC" hidden="1">"c13033"</definedName>
    <definedName name="IQ_FAD" hidden="1">"c8757"</definedName>
    <definedName name="IQ_FAD_PAYOUT_RATIO" hidden="1">"c8872"</definedName>
    <definedName name="IQ_FAIR_VALUE_CHANGE_INCL_EARNINGS" hidden="1">"c13849"</definedName>
    <definedName name="IQ_FAIR_VALUE_DEBT" hidden="1">"c16007"</definedName>
    <definedName name="IQ_FAIR_VALUE_FDIC" hidden="1">"c6427"</definedName>
    <definedName name="IQ_FAIR_VALUE_FIN_INSTRUMENTS_NAV" hidden="1">"c16002"</definedName>
    <definedName name="IQ_FAIR_VALUE_FIN_INSTRUMENTS_NNAV" hidden="1">"c16006"</definedName>
    <definedName name="IQ_FAIR_VALUE_TRADING_PROP" hidden="1">"c16001"</definedName>
    <definedName name="IQ_FARM_LOANS_NET_FDIC" hidden="1">"c6316"</definedName>
    <definedName name="IQ_FARM_LOANS_TOT_LOANS_FFIEC" hidden="1">"c13870"</definedName>
    <definedName name="IQ_FARM_LOANS_TOTAL_LOANS_FOREIGN_FDIC" hidden="1">"c6450"</definedName>
    <definedName name="IQ_FARMLAND_DOM_FFIEC" hidden="1">"c15268"</definedName>
    <definedName name="IQ_FARMLAND_LOANS_FDIC" hidden="1">"c6314"</definedName>
    <definedName name="IQ_FDI_INFLOWS" hidden="1">"c20651"</definedName>
    <definedName name="IQ_FDI_NET" hidden="1">"c20652"</definedName>
    <definedName name="IQ_FDI_OUTFLOWS" hidden="1">"c20653"</definedName>
    <definedName name="IQ_FDIC" hidden="1">"c417"</definedName>
    <definedName name="IQ_FDIC_DEPOSIT_INSURANCE_FFIEC" hidden="1">"c13053"</definedName>
    <definedName name="IQ_FED_BUDGET_RECEIPTS" hidden="1">"c6869"</definedName>
    <definedName name="IQ_FED_BUDGET_RECEIPTS_APR" hidden="1">"c7529"</definedName>
    <definedName name="IQ_FED_BUDGET_RECEIPTS_APR_FC" hidden="1">"c8409"</definedName>
    <definedName name="IQ_FED_BUDGET_RECEIPTS_FC" hidden="1">"c7749"</definedName>
    <definedName name="IQ_FED_BUDGET_RECEIPTS_POP" hidden="1">"c7089"</definedName>
    <definedName name="IQ_FED_BUDGET_RECEIPTS_POP_FC" hidden="1">"c7969"</definedName>
    <definedName name="IQ_FED_BUDGET_RECEIPTS_YOY" hidden="1">"c7309"</definedName>
    <definedName name="IQ_FED_BUDGET_RECEIPTS_YOY_FC" hidden="1">"c8189"</definedName>
    <definedName name="IQ_FED_FUND_PURCHASED_SEC_SOLD_REPURCHASE_FFIEC" hidden="1">"c15489"</definedName>
    <definedName name="IQ_FED_FUND_SOLD_SEC_PURCHASED_RESELL_FFIEC" hidden="1">"c15488"</definedName>
    <definedName name="IQ_FED_FUNDS_AVAIL" hidden="1">"c2523"</definedName>
    <definedName name="IQ_FED_FUNDS_PURCH_SEC_SOLD_FAIR_VALUE_TOT_FFIEC" hidden="1">"c15406"</definedName>
    <definedName name="IQ_FED_FUNDS_PURCH_SEC_SOLD_LEVEL_1_FFIEC" hidden="1">"c15428"</definedName>
    <definedName name="IQ_FED_FUNDS_PURCH_SEC_SOLD_LEVEL_2_FFIEC" hidden="1">"c15441"</definedName>
    <definedName name="IQ_FED_FUNDS_PURCH_SEC_SOLD_LEVEL_3_FFIEC" hidden="1">"c15454"</definedName>
    <definedName name="IQ_FED_FUNDS_PURCHASED_DOM_FFIEC" hidden="1">"c12856"</definedName>
    <definedName name="IQ_FED_FUNDS_PURCHASED_FDIC" hidden="1">"c6343"</definedName>
    <definedName name="IQ_FED_FUNDS_PURCHASED_QUARTERLY_AVG_FFIEC" hidden="1">"c13090"</definedName>
    <definedName name="IQ_FED_FUNDS_SOLD_DOM_FFIEC" hidden="1">"c12806"</definedName>
    <definedName name="IQ_FED_FUNDS_SOLD_FDIC" hidden="1">"c6307"</definedName>
    <definedName name="IQ_FED_FUNDS_SOLD_QUARTERLY_AVG_FFIEC" hidden="1">"c13080"</definedName>
    <definedName name="IQ_FED_FUNDS_SOLD_SEC_PURCH_FAIR_VALUE_TOT_FFIEC" hidden="1">"c15402"</definedName>
    <definedName name="IQ_FED_FUNDS_SOLD_SEC_PURCH_LEVEL_1_FFIEC" hidden="1">"c15424"</definedName>
    <definedName name="IQ_FED_FUNDS_SOLD_SEC_PURCH_LEVEL_2_FFIEC" hidden="1">"c15437"</definedName>
    <definedName name="IQ_FED_FUNDS_SOLD_SEC_PURCH_LEVEL_3_FFIEC" hidden="1">"c15450"</definedName>
    <definedName name="IQ_FEDFUNDS_PURCHASED_RELATED" hidden="1">"c19132"</definedName>
    <definedName name="IQ_FEDFUNDS_SOLD" hidden="1">"c2256"</definedName>
    <definedName name="IQ_FEDFUNDS_SOLD_RELATED" hidden="1">"c19130"</definedName>
    <definedName name="IQ_FEES_COMMISSIONS_BROKERAGE_FFIEC" hidden="1">"c13005"</definedName>
    <definedName name="IQ_FEES_OTHER_INCOME" hidden="1">"c15257"</definedName>
    <definedName name="IQ_FFO" hidden="1">"c1574"</definedName>
    <definedName name="IQ_FFO_ACT_OR_EST" hidden="1">"c2216"</definedName>
    <definedName name="IQ_FFO_ADJ_ACT_OR_EST" hidden="1">"c4435"</definedName>
    <definedName name="IQ_FFO_ADJ_ACT_OR_EST_CIQ" hidden="1">"c4960"</definedName>
    <definedName name="IQ_FFO_ADJ_ACT_OR_EST_CIQ_COL" hidden="1">"c11607"</definedName>
    <definedName name="IQ_FFO_ADJ_EST" hidden="1">"c4434"</definedName>
    <definedName name="IQ_FFO_ADJ_EST_CIQ" hidden="1">"c4959"</definedName>
    <definedName name="IQ_FFO_ADJ_GUIDANCE" hidden="1">"c4436"</definedName>
    <definedName name="IQ_FFO_ADJ_GUIDANCE_CIQ" hidden="1">"c4961"</definedName>
    <definedName name="IQ_FFO_ADJ_GUIDANCE_CIQ_COL" hidden="1">"c11608"</definedName>
    <definedName name="IQ_FFO_ADJ_HIGH_EST" hidden="1">"c4437"</definedName>
    <definedName name="IQ_FFO_ADJ_HIGH_EST_CIQ" hidden="1">"c4962"</definedName>
    <definedName name="IQ_FFO_ADJ_HIGH_GUIDANCE" hidden="1">"c4202"</definedName>
    <definedName name="IQ_FFO_ADJ_HIGH_GUIDANCE_CIQ" hidden="1">"c4614"</definedName>
    <definedName name="IQ_FFO_ADJ_HIGH_GUIDANCE_CIQ_COL" hidden="1">"c11263"</definedName>
    <definedName name="IQ_FFO_ADJ_LOW_EST" hidden="1">"c4438"</definedName>
    <definedName name="IQ_FFO_ADJ_LOW_EST_CIQ" hidden="1">"c4963"</definedName>
    <definedName name="IQ_FFO_ADJ_LOW_GUIDANCE" hidden="1">"c4242"</definedName>
    <definedName name="IQ_FFO_ADJ_LOW_GUIDANCE_CIQ" hidden="1">"c4654"</definedName>
    <definedName name="IQ_FFO_ADJ_LOW_GUIDANCE_CIQ_COL" hidden="1">"c11303"</definedName>
    <definedName name="IQ_FFO_ADJ_MEDIAN_EST" hidden="1">"c4439"</definedName>
    <definedName name="IQ_FFO_ADJ_MEDIAN_EST_CIQ" hidden="1">"c4964"</definedName>
    <definedName name="IQ_FFO_ADJ_NUM_EST" hidden="1">"c4440"</definedName>
    <definedName name="IQ_FFO_ADJ_NUM_EST_CIQ" hidden="1">"c4965"</definedName>
    <definedName name="IQ_FFO_ADJ_STDDEV_EST" hidden="1">"c4441"</definedName>
    <definedName name="IQ_FFO_ADJ_STDDEV_EST_CIQ" hidden="1">"c4966"</definedName>
    <definedName name="IQ_FFO_DILUTED" hidden="1">"c16186"</definedName>
    <definedName name="IQ_FFO_EST" hidden="1">"c418"</definedName>
    <definedName name="IQ_FFO_EST_CIQ" hidden="1">"c3668"</definedName>
    <definedName name="IQ_FFO_EST_CIQ_COL" hidden="1">"c11617"</definedName>
    <definedName name="IQ_FFO_EST_DET_EST" hidden="1">"c12059"</definedName>
    <definedName name="IQ_FFO_EST_DET_EST_CURRENCY" hidden="1">"c12466"</definedName>
    <definedName name="IQ_FFO_EST_DET_EST_CURRENCY_REUT" hidden="1">"c12536"</definedName>
    <definedName name="IQ_FFO_EST_DET_EST_CURRENCY_THOM" hidden="1">"c12487"</definedName>
    <definedName name="IQ_FFO_EST_DET_EST_DATE" hidden="1">"c12212"</definedName>
    <definedName name="IQ_FFO_EST_DET_EST_DATE_REUT" hidden="1">"c12295"</definedName>
    <definedName name="IQ_FFO_EST_DET_EST_DATE_THOM" hidden="1">"c12238"</definedName>
    <definedName name="IQ_FFO_EST_DET_EST_INCL" hidden="1">"c12349"</definedName>
    <definedName name="IQ_FFO_EST_DET_EST_INCL_REUT" hidden="1">"c12419"</definedName>
    <definedName name="IQ_FFO_EST_DET_EST_INCL_THOM" hidden="1">"c12370"</definedName>
    <definedName name="IQ_FFO_EST_DET_EST_ORIGIN" hidden="1">"c12722"</definedName>
    <definedName name="IQ_FFO_EST_DET_EST_ORIGIN_REUT" hidden="1">"c12724"</definedName>
    <definedName name="IQ_FFO_EST_DET_EST_ORIGIN_THOM" hidden="1">"c12608"</definedName>
    <definedName name="IQ_FFO_EST_DET_EST_REUT" hidden="1">"c12153"</definedName>
    <definedName name="IQ_FFO_EST_DET_EST_THOM" hidden="1">"c12088"</definedName>
    <definedName name="IQ_FFO_EST_REUT" hidden="1">"c3837"</definedName>
    <definedName name="IQ_FFO_EST_THOM" hidden="1">"c3999"</definedName>
    <definedName name="IQ_FFO_GUIDANCE" hidden="1">"c4443"</definedName>
    <definedName name="IQ_FFO_GUIDANCE_CIQ" hidden="1">"c4968"</definedName>
    <definedName name="IQ_FFO_GUIDANCE_CIQ_COL" hidden="1">"c11615"</definedName>
    <definedName name="IQ_FFO_HIGH_EST" hidden="1">"c419"</definedName>
    <definedName name="IQ_FFO_HIGH_EST_CIQ" hidden="1">"c3670"</definedName>
    <definedName name="IQ_FFO_HIGH_EST_CIQ_COL" hidden="1">"c11624"</definedName>
    <definedName name="IQ_FFO_HIGH_EST_REUT" hidden="1">"c3839"</definedName>
    <definedName name="IQ_FFO_HIGH_EST_THOM" hidden="1">"c4001"</definedName>
    <definedName name="IQ_FFO_HIGH_GUIDANCE" hidden="1">"c4184"</definedName>
    <definedName name="IQ_FFO_HIGH_GUIDANCE_CIQ" hidden="1">"c4596"</definedName>
    <definedName name="IQ_FFO_HIGH_GUIDANCE_CIQ_COL" hidden="1">"c11245"</definedName>
    <definedName name="IQ_FFO_LOW_EST" hidden="1">"c420"</definedName>
    <definedName name="IQ_FFO_LOW_EST_CIQ" hidden="1">"c3671"</definedName>
    <definedName name="IQ_FFO_LOW_EST_CIQ_COL" hidden="1">"c11625"</definedName>
    <definedName name="IQ_FFO_LOW_EST_REUT" hidden="1">"c3840"</definedName>
    <definedName name="IQ_FFO_LOW_EST_THOM" hidden="1">"c4002"</definedName>
    <definedName name="IQ_FFO_LOW_GUIDANCE" hidden="1">"c4224"</definedName>
    <definedName name="IQ_FFO_LOW_GUIDANCE_CIQ" hidden="1">"c4636"</definedName>
    <definedName name="IQ_FFO_LOW_GUIDANCE_CIQ_COL" hidden="1">"c11285"</definedName>
    <definedName name="IQ_FFO_MEDIAN_EST" hidden="1">"c1665"</definedName>
    <definedName name="IQ_FFO_MEDIAN_EST_CIQ" hidden="1">"c3669"</definedName>
    <definedName name="IQ_FFO_MEDIAN_EST_CIQ_COL" hidden="1">"c11626"</definedName>
    <definedName name="IQ_FFO_MEDIAN_EST_REUT" hidden="1">"c3838"</definedName>
    <definedName name="IQ_FFO_MEDIAN_EST_THOM" hidden="1">"c4000"</definedName>
    <definedName name="IQ_FFO_NO_EST" hidden="1">"c276"</definedName>
    <definedName name="IQ_FFO_NUM_EST" hidden="1">"c421"</definedName>
    <definedName name="IQ_FFO_NUM_EST_CIQ" hidden="1">"c3672"</definedName>
    <definedName name="IQ_FFO_NUM_EST_CIQ_COL" hidden="1">"c11627"</definedName>
    <definedName name="IQ_FFO_NUM_EST_REUT" hidden="1">"c3841"</definedName>
    <definedName name="IQ_FFO_NUM_EST_THOM" hidden="1">"c4003"</definedName>
    <definedName name="IQ_FFO_PAYOUT_RATIO" hidden="1">"c3492"</definedName>
    <definedName name="IQ_FFO_PER_SHARE_BASIC" hidden="1">"c8867"</definedName>
    <definedName name="IQ_FFO_PER_SHARE_DILUTED" hidden="1">"c8868"</definedName>
    <definedName name="IQ_FFO_SHARE_ACT_OR_EST" hidden="1">"c4446"</definedName>
    <definedName name="IQ_FFO_SHARE_ACT_OR_EST_CIQ" hidden="1">"c4971"</definedName>
    <definedName name="IQ_FFO_SHARE_ACT_OR_EST_CIQ_COL" hidden="1">"c11618"</definedName>
    <definedName name="IQ_FFO_SHARE_EST" hidden="1">"c4445"</definedName>
    <definedName name="IQ_FFO_SHARE_EST_CIQ" hidden="1">"c3668"</definedName>
    <definedName name="IQ_FFO_SHARE_GUIDANCE" hidden="1">"c4447"</definedName>
    <definedName name="IQ_FFO_SHARE_GUIDANCE_CIQ" hidden="1">"c4976"</definedName>
    <definedName name="IQ_FFO_SHARE_GUIDANCE_CIQ_COL" hidden="1">"c11623"</definedName>
    <definedName name="IQ_FFO_SHARE_HIGH_EST" hidden="1">"c4448"</definedName>
    <definedName name="IQ_FFO_SHARE_HIGH_EST_CIQ" hidden="1">"c3670"</definedName>
    <definedName name="IQ_FFO_SHARE_HIGH_GUIDANCE" hidden="1">"c4203"</definedName>
    <definedName name="IQ_FFO_SHARE_HIGH_GUIDANCE_CIQ" hidden="1">"c4615"</definedName>
    <definedName name="IQ_FFO_SHARE_HIGH_GUIDANCE_CIQ_COL" hidden="1">"c11264"</definedName>
    <definedName name="IQ_FFO_SHARE_LOW_EST" hidden="1">"c4449"</definedName>
    <definedName name="IQ_FFO_SHARE_LOW_EST_CIQ" hidden="1">"c3671"</definedName>
    <definedName name="IQ_FFO_SHARE_LOW_GUIDANCE" hidden="1">"c4243"</definedName>
    <definedName name="IQ_FFO_SHARE_LOW_GUIDANCE_CIQ" hidden="1">"c4655"</definedName>
    <definedName name="IQ_FFO_SHARE_LOW_GUIDANCE_CIQ_COL" hidden="1">"c11304"</definedName>
    <definedName name="IQ_FFO_SHARE_MEDIAN_EST" hidden="1">"c4450"</definedName>
    <definedName name="IQ_FFO_SHARE_MEDIAN_EST_CIQ" hidden="1">"c3669"</definedName>
    <definedName name="IQ_FFO_SHARE_NUM_EST" hidden="1">"c4451"</definedName>
    <definedName name="IQ_FFO_SHARE_NUM_EST_CIQ" hidden="1">"c3672"</definedName>
    <definedName name="IQ_FFO_SHARE_SHARE_EST_DET_EST" hidden="1">"c12059"</definedName>
    <definedName name="IQ_FFO_SHARE_SHARE_EST_DET_EST_CURRENCY" hidden="1">"c12466"</definedName>
    <definedName name="IQ_FFO_SHARE_SHARE_EST_DET_EST_CURRENCY_REUT" hidden="1">"c12536"</definedName>
    <definedName name="IQ_FFO_SHARE_SHARE_EST_DET_EST_DATE" hidden="1">"c12212"</definedName>
    <definedName name="IQ_FFO_SHARE_SHARE_EST_DET_EST_DATE_REUT" hidden="1">"c12295"</definedName>
    <definedName name="IQ_FFO_SHARE_SHARE_EST_DET_EST_INCL" hidden="1">"c12349"</definedName>
    <definedName name="IQ_FFO_SHARE_SHARE_EST_DET_EST_INCL_REUT" hidden="1">"c12419"</definedName>
    <definedName name="IQ_FFO_SHARE_SHARE_EST_DET_EST_ORIGIN_REUT" hidden="1">"c12724"</definedName>
    <definedName name="IQ_FFO_SHARE_SHARE_EST_DET_EST_REUT" hidden="1">"c12153"</definedName>
    <definedName name="IQ_FFO_SHARE_SHARE_EST_REUT" hidden="1">"c3837"</definedName>
    <definedName name="IQ_FFO_SHARE_SHARE_HIGH_EST_REUT" hidden="1">"c3839"</definedName>
    <definedName name="IQ_FFO_SHARE_SHARE_LOW_EST_REUT" hidden="1">"c3840"</definedName>
    <definedName name="IQ_FFO_SHARE_SHARE_MEDIAN_EST_REUT" hidden="1">"c3838"</definedName>
    <definedName name="IQ_FFO_SHARE_SHARE_NUM_EST_REUT" hidden="1">"c3841"</definedName>
    <definedName name="IQ_FFO_SHARE_SHARE_STDDEV_EST_REUT" hidden="1">"c3842"</definedName>
    <definedName name="IQ_FFO_SHARE_STDDEV_EST" hidden="1">"c4452"</definedName>
    <definedName name="IQ_FFO_SHARE_STDDEV_EST_CIQ" hidden="1">"c3673"</definedName>
    <definedName name="IQ_FFO_SHARES_BASIC" hidden="1">"c16185"</definedName>
    <definedName name="IQ_FFO_SHARES_DILUTED" hidden="1">"c16187"</definedName>
    <definedName name="IQ_FFO_STDDEV_EST" hidden="1">"c422"</definedName>
    <definedName name="IQ_FFO_STDDEV_EST_CIQ" hidden="1">"c3673"</definedName>
    <definedName name="IQ_FFO_STDDEV_EST_CIQ_COL" hidden="1">"c11628"</definedName>
    <definedName name="IQ_FFO_STDDEV_EST_REUT" hidden="1">"c3842"</definedName>
    <definedName name="IQ_FFO_STDDEV_EST_THOM" hidden="1">"c4004"</definedName>
    <definedName name="IQ_FFO_TOTAL_REVENUE" hidden="1">"c16060"</definedName>
    <definedName name="IQ_FH" hidden="1">100000</definedName>
    <definedName name="IQ_FHLB_ADVANCES_FDIC" hidden="1">"c6366"</definedName>
    <definedName name="IQ_FHLB_DEBT" hidden="1">"c423"</definedName>
    <definedName name="IQ_FHLB_DUE_AFTER_FIVE" hidden="1">"c2086"</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HLB_DUE_NEXTVFIVE" hidden="1">"c2085"</definedName>
    <definedName name="IQ_FIDUCIARY_ACTIVITIES_FDIC" hidden="1">"c6571"</definedName>
    <definedName name="IQ_FIDUCIARY_INCOME_OPERATING_INC_FFIEC" hidden="1">"c13383"</definedName>
    <definedName name="IQ_FIFETEEN_YEAR_FIXED_AND_FLOATING_RATE_FDIC" hidden="1">"c6423"</definedName>
    <definedName name="IQ_FIFETEEN_YEAR_MORTGAGE_PASS_THROUGHS_FDIC" hidden="1">"c6415"</definedName>
    <definedName name="IQ_FII_12M_RETURN" hidden="1">"c25807"</definedName>
    <definedName name="IQ_FII_3M_RETURN" hidden="1">"c25808"</definedName>
    <definedName name="IQ_FII_6M_RETURN" hidden="1">"c25809"</definedName>
    <definedName name="IQ_FII_AVGBIDSPREAD" hidden="1">"c25820"</definedName>
    <definedName name="IQ_FII_CONVEX" hidden="1">"c25799"</definedName>
    <definedName name="IQ_FII_COUPON" hidden="1">"c25800"</definedName>
    <definedName name="IQ_FII_DAILY_RETURN" hidden="1">"c25810"</definedName>
    <definedName name="IQ_FII_DURTW" hidden="1">"c25802"</definedName>
    <definedName name="IQ_FII_EXCESS_RETURN" hidden="1">"c25819"</definedName>
    <definedName name="IQ_FII_INDEXPRICE" hidden="1">"c25806"</definedName>
    <definedName name="IQ_FII_MATURITY" hidden="1">"c25804"</definedName>
    <definedName name="IQ_FII_MODDUR" hidden="1">"c25801"</definedName>
    <definedName name="IQ_FII_MTD_RETURN_COUPON" hidden="1">"c25813"</definedName>
    <definedName name="IQ_FII_MTD_RETURN_CURRENCY" hidden="1">"c25814"</definedName>
    <definedName name="IQ_FII_MTD_RETURN_PAYDOWN" hidden="1">"c25815"</definedName>
    <definedName name="IQ_FII_MTD_RETURN_PRICE" hidden="1">"c25816"</definedName>
    <definedName name="IQ_FII_MTD_RETURN_TOTAL" hidden="1">"c25812"</definedName>
    <definedName name="IQ_FII_MV" hidden="1">"c25803"</definedName>
    <definedName name="IQ_FII_NUMISSUE" hidden="1">"c25805"</definedName>
    <definedName name="IQ_FII_OAS" hidden="1">"c25798"</definedName>
    <definedName name="IQ_FII_RETURN_INCEPTION" hidden="1">"c25811"</definedName>
    <definedName name="IQ_FII_YTD_RETURN" hidden="1">"c25817"</definedName>
    <definedName name="IQ_FII_YTW" hidden="1">"c25818"</definedName>
    <definedName name="IQ_FILING_CURRENCY" hidden="1">"c2129"</definedName>
    <definedName name="IQ_FILING_CURRENCY_AP" hidden="1">"c11747"</definedName>
    <definedName name="IQ_FILINGDATE_BS" hidden="1">"c424"</definedName>
    <definedName name="IQ_FILINGDATE_CF" hidden="1">"c425"</definedName>
    <definedName name="IQ_FILINGDATE_IS" hidden="1">"c426"</definedName>
    <definedName name="IQ_FILM_RIGHTS" hidden="1">"c2254"</definedName>
    <definedName name="IQ_FIN_COLLECTION_ID" hidden="1">"c13922"</definedName>
    <definedName name="IQ_FIN_DATA_SOURCE" hidden="1">"c6788"</definedName>
    <definedName name="IQ_FIN_DIV_ASSETS_CURRENT" hidden="1">"c427"</definedName>
    <definedName name="IQ_FIN_DIV_ASSETS_LT" hidden="1">"c428"</definedName>
    <definedName name="IQ_FIN_DIV_CASH_EQUIV" hidden="1">"c6289"</definedName>
    <definedName name="IQ_FIN_DIV_CURRENT_PORT_DEBT_TOTAL" hidden="1">"c5524"</definedName>
    <definedName name="IQ_FIN_DIV_CURRENT_PORT_LEASES_TOTAL" hidden="1">"c5523"</definedName>
    <definedName name="IQ_FIN_DIV_DEBT_CURRENT" hidden="1">"c429"</definedName>
    <definedName name="IQ_FIN_DIV_DEBT_LT" hidden="1">"c430"</definedName>
    <definedName name="IQ_FIN_DIV_DEBT_LT_TOTAL" hidden="1">"c5526"</definedName>
    <definedName name="IQ_FIN_DIV_DEBT_TOTAL" hidden="1">"c5656"</definedName>
    <definedName name="IQ_FIN_DIV_EXP" hidden="1">"c431"</definedName>
    <definedName name="IQ_FIN_DIV_INT_EXP" hidden="1">"c432"</definedName>
    <definedName name="IQ_FIN_DIV_LEASES_LT_TOTAL" hidden="1">"c5525"</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LT_DEBT_TOTAL" hidden="1">"c5655"</definedName>
    <definedName name="IQ_FIN_DIV_NOTES_PAY_TOTAL" hidden="1">"c5522"</definedName>
    <definedName name="IQ_FIN_DIV_REV" hidden="1">"c437"</definedName>
    <definedName name="IQ_FIN_DIV_ST_DEBT_TOTAL" hidden="1">"c5527"</definedName>
    <definedName name="IQ_FIN_DIV_ST_INVEST" hidden="1">"c6288"</definedName>
    <definedName name="IQ_FIN_INSTANCE_ID" hidden="1">"c13921"</definedName>
    <definedName name="IQ_FIN_PERIOD_ID" hidden="1">"c13920"</definedName>
    <definedName name="IQ_FINANCIAL_LOC_FOREIGN_GUARANTEES_FFIEC" hidden="1">"c13249"</definedName>
    <definedName name="IQ_FINANCIAL_SERVICING_ASSETS_FAIR_VALUE_TOT_FFIEC" hidden="1">"c13212"</definedName>
    <definedName name="IQ_FINANCIAL_SERVICING_ASSETS_LEVEL_1_FFIEC" hidden="1">"c13220"</definedName>
    <definedName name="IQ_FINANCIAL_SERVICING_ASSETS_LEVEL_2_FFIEC" hidden="1">"c13228"</definedName>
    <definedName name="IQ_FINANCIAL_SERVICING_ASSETS_LEVEL_3_FFIEC" hidden="1">"c13236"</definedName>
    <definedName name="IQ_FINANCIAL_SERVICING_LIAB_FAIR_VALUE_TOT_FFIEC" hidden="1">"c13215"</definedName>
    <definedName name="IQ_FINANCIAL_SERVICING_LIAB_LEVEL_1_FFIEC" hidden="1">"c13223"</definedName>
    <definedName name="IQ_FINANCIAL_SERVICING_LIAB_LEVEL_2_FFIEC" hidden="1">"c13231"</definedName>
    <definedName name="IQ_FINANCIAL_SERVICING_LIAB_LEVEL_3_FFIEC" hidden="1">"c13239"</definedName>
    <definedName name="IQ_FINANCING_CASH" hidden="1">"c893"</definedName>
    <definedName name="IQ_FINANCING_CASH_SUPPL" hidden="1">"c899"</definedName>
    <definedName name="IQ_FINANCING_OBLIG_CURRENT" hidden="1">"c11753"</definedName>
    <definedName name="IQ_FINANCING_OBLIG_NON_CURRENT" hidden="1">"c11754"</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BALANCE_PCT_GDP" hidden="1">"c20654"</definedName>
    <definedName name="IQ_FISCAL_Q" hidden="1">"c440"</definedName>
    <definedName name="IQ_FISCAL_Q_EST" hidden="1">"c6794"</definedName>
    <definedName name="IQ_FISCAL_Q_EST_CIQ" hidden="1">"c6806"</definedName>
    <definedName name="IQ_FISCAL_Q_EST_CIQ_COL" hidden="1">"c11741"</definedName>
    <definedName name="IQ_FISCAL_Q_EST_REUT" hidden="1">"c6798"</definedName>
    <definedName name="IQ_FISCAL_Q_EST_THOM" hidden="1">"c6802"</definedName>
    <definedName name="IQ_FISCAL_Y" hidden="1">"c441"</definedName>
    <definedName name="IQ_FISCAL_Y_EST" hidden="1">"c6795"</definedName>
    <definedName name="IQ_FISCAL_Y_EST_CIQ" hidden="1">"c6807"</definedName>
    <definedName name="IQ_FISCAL_Y_EST_CIQ_COL" hidden="1">"c11742"</definedName>
    <definedName name="IQ_FISCAL_Y_EST_REUT" hidden="1">"c6799"</definedName>
    <definedName name="IQ_FISCAL_Y_EST_THOM" hidden="1">"c6803"</definedName>
    <definedName name="IQ_FIVE_PERCENT_AMOUNT" hidden="1">"c240"</definedName>
    <definedName name="IQ_FIVE_PERCENT_CIQID" hidden="1">"c19094"</definedName>
    <definedName name="IQ_FIVE_PERCENT_DERIVATIVES" hidden="1">"c19096"</definedName>
    <definedName name="IQ_FIVE_PERCENT_NAME" hidden="1">"c19093"</definedName>
    <definedName name="IQ_FIVE_PERCENT_OWNER" hidden="1">"c442"</definedName>
    <definedName name="IQ_FIVE_PERCENT_PERCENT" hidden="1">"c19097"</definedName>
    <definedName name="IQ_FIVE_PERCENT_POSITION_DATE" hidden="1">"c19099"</definedName>
    <definedName name="IQ_FIVE_PERCENT_SHARES" hidden="1">"c19095"</definedName>
    <definedName name="IQ_FIVE_PERCENT_VALUE" hidden="1">"c19098"</definedName>
    <definedName name="IQ_FIVE_YEAR_FIXED_AND_FLOATING_RATE_FDIC" hidden="1">"c6422"</definedName>
    <definedName name="IQ_FIVE_YEAR_MORTGAGE_PASS_THROUGHS_FDIC" hidden="1">"c6414"</definedName>
    <definedName name="IQ_FIVEPERCENT_OWNER" hidden="1">"c239"</definedName>
    <definedName name="IQ_FIVEPERCENT_PERCENT" hidden="1">"c443"</definedName>
    <definedName name="IQ_FIVEPERCENT_SHARES" hidden="1">"c444"</definedName>
    <definedName name="IQ_FIX_FREQUENCY" hidden="1">"c8964"</definedName>
    <definedName name="IQ_FIXED_ASSET_TURNS" hidden="1">"c445"</definedName>
    <definedName name="IQ_FIXED_INCOME_LIST" hidden="1">"c13504"</definedName>
    <definedName name="IQ_FIXED_INVEST_APR_FC_UNUSED" hidden="1">"c8410"</definedName>
    <definedName name="IQ_FIXED_INVEST_APR_FC_UNUSED_UNUSED_UNUSED" hidden="1">"c8410"</definedName>
    <definedName name="IQ_FIXED_INVEST_APR_UNUSED" hidden="1">"c7530"</definedName>
    <definedName name="IQ_FIXED_INVEST_APR_UNUSED_UNUSED_UNUSED" hidden="1">"c7530"</definedName>
    <definedName name="IQ_FIXED_INVEST_FC_UNUSED" hidden="1">"c7750"</definedName>
    <definedName name="IQ_FIXED_INVEST_FC_UNUSED_UNUSED_UNUSED" hidden="1">"c7750"</definedName>
    <definedName name="IQ_FIXED_INVEST_MACH_EQUIP" hidden="1">"c6871"</definedName>
    <definedName name="IQ_FIXED_INVEST_MACH_EQUIP_APR" hidden="1">"c7531"</definedName>
    <definedName name="IQ_FIXED_INVEST_MACH_EQUIP_APR_FC" hidden="1">"c8411"</definedName>
    <definedName name="IQ_FIXED_INVEST_MACH_EQUIP_FC" hidden="1">"c7751"</definedName>
    <definedName name="IQ_FIXED_INVEST_MACH_EQUIP_POP" hidden="1">"c7091"</definedName>
    <definedName name="IQ_FIXED_INVEST_MACH_EQUIP_POP_FC" hidden="1">"c7971"</definedName>
    <definedName name="IQ_FIXED_INVEST_MACH_EQUIP_REAL" hidden="1">"c6979"</definedName>
    <definedName name="IQ_FIXED_INVEST_MACH_EQUIP_REAL_APR" hidden="1">"c7639"</definedName>
    <definedName name="IQ_FIXED_INVEST_MACH_EQUIP_REAL_APR_FC" hidden="1">"c8519"</definedName>
    <definedName name="IQ_FIXED_INVEST_MACH_EQUIP_REAL_FC" hidden="1">"c7859"</definedName>
    <definedName name="IQ_FIXED_INVEST_MACH_EQUIP_REAL_POP" hidden="1">"c7199"</definedName>
    <definedName name="IQ_FIXED_INVEST_MACH_EQUIP_REAL_POP_FC" hidden="1">"c8079"</definedName>
    <definedName name="IQ_FIXED_INVEST_MACH_EQUIP_REAL_YOY" hidden="1">"c7419"</definedName>
    <definedName name="IQ_FIXED_INVEST_MACH_EQUIP_REAL_YOY_FC" hidden="1">"c8299"</definedName>
    <definedName name="IQ_FIXED_INVEST_MACH_EQUIP_YOY" hidden="1">"c7311"</definedName>
    <definedName name="IQ_FIXED_INVEST_MACH_EQUIP_YOY_FC" hidden="1">"c8191"</definedName>
    <definedName name="IQ_FIXED_INVEST_POP_FC_UNUSED" hidden="1">"c7970"</definedName>
    <definedName name="IQ_FIXED_INVEST_POP_FC_UNUSED_UNUSED_UNUSED" hidden="1">"c7970"</definedName>
    <definedName name="IQ_FIXED_INVEST_POP_UNUSED" hidden="1">"c7090"</definedName>
    <definedName name="IQ_FIXED_INVEST_POP_UNUSED_UNUSED_UNUSED" hidden="1">"c7090"</definedName>
    <definedName name="IQ_FIXED_INVEST_REAL_APR_FC_UNUSED" hidden="1">"c8518"</definedName>
    <definedName name="IQ_FIXED_INVEST_REAL_APR_FC_UNUSED_UNUSED_UNUSED" hidden="1">"c8518"</definedName>
    <definedName name="IQ_FIXED_INVEST_REAL_APR_UNUSED" hidden="1">"c7638"</definedName>
    <definedName name="IQ_FIXED_INVEST_REAL_APR_UNUSED_UNUSED_UNUSED" hidden="1">"c7638"</definedName>
    <definedName name="IQ_FIXED_INVEST_REAL_FC_UNUSED" hidden="1">"c7858"</definedName>
    <definedName name="IQ_FIXED_INVEST_REAL_FC_UNUSED_UNUSED_UNUSED" hidden="1">"c7858"</definedName>
    <definedName name="IQ_FIXED_INVEST_REAL_POP_FC_UNUSED" hidden="1">"c8078"</definedName>
    <definedName name="IQ_FIXED_INVEST_REAL_POP_FC_UNUSED_UNUSED_UNUSED" hidden="1">"c8078"</definedName>
    <definedName name="IQ_FIXED_INVEST_REAL_POP_UNUSED" hidden="1">"c7198"</definedName>
    <definedName name="IQ_FIXED_INVEST_REAL_POP_UNUSED_UNUSED_UNUSED" hidden="1">"c7198"</definedName>
    <definedName name="IQ_FIXED_INVEST_REAL_SAAR" hidden="1">"c6980"</definedName>
    <definedName name="IQ_FIXED_INVEST_REAL_SAAR_APR" hidden="1">"c7640"</definedName>
    <definedName name="IQ_FIXED_INVEST_REAL_SAAR_APR_FC" hidden="1">"c8520"</definedName>
    <definedName name="IQ_FIXED_INVEST_REAL_SAAR_FC" hidden="1">"c7860"</definedName>
    <definedName name="IQ_FIXED_INVEST_REAL_SAAR_POP" hidden="1">"c7200"</definedName>
    <definedName name="IQ_FIXED_INVEST_REAL_SAAR_POP_FC" hidden="1">"c8080"</definedName>
    <definedName name="IQ_FIXED_INVEST_REAL_SAAR_USD_APR_FC" hidden="1">"c11945"</definedName>
    <definedName name="IQ_FIXED_INVEST_REAL_SAAR_USD_FC" hidden="1">"c11942"</definedName>
    <definedName name="IQ_FIXED_INVEST_REAL_SAAR_USD_POP_FC" hidden="1">"c11943"</definedName>
    <definedName name="IQ_FIXED_INVEST_REAL_SAAR_USD_YOY_FC" hidden="1">"c11944"</definedName>
    <definedName name="IQ_FIXED_INVEST_REAL_SAAR_YOY" hidden="1">"c7420"</definedName>
    <definedName name="IQ_FIXED_INVEST_REAL_SAAR_YOY_FC" hidden="1">"c8300"</definedName>
    <definedName name="IQ_FIXED_INVEST_REAL_UNUSED" hidden="1">"c6978"</definedName>
    <definedName name="IQ_FIXED_INVEST_REAL_UNUSED_UNUSED_UNUSED" hidden="1">"c6978"</definedName>
    <definedName name="IQ_FIXED_INVEST_REAL_USD_APR_FC" hidden="1">"c11941"</definedName>
    <definedName name="IQ_FIXED_INVEST_REAL_USD_FC" hidden="1">"c11938"</definedName>
    <definedName name="IQ_FIXED_INVEST_REAL_USD_POP_FC" hidden="1">"c11939"</definedName>
    <definedName name="IQ_FIXED_INVEST_REAL_USD_YOY_FC" hidden="1">"c11940"</definedName>
    <definedName name="IQ_FIXED_INVEST_REAL_YOY_FC_UNUSED" hidden="1">"c8298"</definedName>
    <definedName name="IQ_FIXED_INVEST_REAL_YOY_FC_UNUSED_UNUSED_UNUSED" hidden="1">"c8298"</definedName>
    <definedName name="IQ_FIXED_INVEST_REAL_YOY_UNUSED" hidden="1">"c7418"</definedName>
    <definedName name="IQ_FIXED_INVEST_REAL_YOY_UNUSED_UNUSED_UNUSED" hidden="1">"c7418"</definedName>
    <definedName name="IQ_FIXED_INVEST_SAAR" hidden="1">"c6872"</definedName>
    <definedName name="IQ_FIXED_INVEST_SAAR_APR" hidden="1">"c7532"</definedName>
    <definedName name="IQ_FIXED_INVEST_SAAR_APR_FC" hidden="1">"c8412"</definedName>
    <definedName name="IQ_FIXED_INVEST_SAAR_FC" hidden="1">"c7752"</definedName>
    <definedName name="IQ_FIXED_INVEST_SAAR_POP" hidden="1">"c7092"</definedName>
    <definedName name="IQ_FIXED_INVEST_SAAR_POP_FC" hidden="1">"c7972"</definedName>
    <definedName name="IQ_FIXED_INVEST_SAAR_USD_APR_FC" hidden="1">"c11833"</definedName>
    <definedName name="IQ_FIXED_INVEST_SAAR_USD_FC" hidden="1">"c11830"</definedName>
    <definedName name="IQ_FIXED_INVEST_SAAR_USD_POP_FC" hidden="1">"c11831"</definedName>
    <definedName name="IQ_FIXED_INVEST_SAAR_USD_YOY_FC" hidden="1">"c11832"</definedName>
    <definedName name="IQ_FIXED_INVEST_SAAR_YOY" hidden="1">"c7312"</definedName>
    <definedName name="IQ_FIXED_INVEST_SAAR_YOY_FC" hidden="1">"c8192"</definedName>
    <definedName name="IQ_FIXED_INVEST_UNUSED" hidden="1">"c6870"</definedName>
    <definedName name="IQ_FIXED_INVEST_UNUSED_UNUSED_UNUSED" hidden="1">"c6870"</definedName>
    <definedName name="IQ_FIXED_INVEST_USD_APR_FC" hidden="1">"c11829"</definedName>
    <definedName name="IQ_FIXED_INVEST_USD_FC" hidden="1">"c11826"</definedName>
    <definedName name="IQ_FIXED_INVEST_USD_POP_FC" hidden="1">"c11827"</definedName>
    <definedName name="IQ_FIXED_INVEST_USD_YOY_FC" hidden="1">"c11828"</definedName>
    <definedName name="IQ_FIXED_INVEST_YOY_FC_UNUSED" hidden="1">"c8190"</definedName>
    <definedName name="IQ_FIXED_INVEST_YOY_FC_UNUSED_UNUSED_UNUSED" hidden="1">"c8190"</definedName>
    <definedName name="IQ_FIXED_INVEST_YOY_UNUSED" hidden="1">"c7310"</definedName>
    <definedName name="IQ_FIXED_INVEST_YOY_UNUSED_UNUSED_UNUSED" hidden="1">"c7310"</definedName>
    <definedName name="IQ_FIXED_RATE_DEBT" hidden="1">"c17894"</definedName>
    <definedName name="IQ_FIXED_RATE_DEBT_PCT" hidden="1">"c18008"</definedName>
    <definedName name="IQ_FLOAT" hidden="1">"c225"</definedName>
    <definedName name="IQ_FLOAT_PERCENT" hidden="1">"c1575"</definedName>
    <definedName name="IQ_FNMA_FHLMC_FDIC" hidden="1">"c6397"</definedName>
    <definedName name="IQ_FNMA_FHLMC_GNMA_FDIC" hidden="1">"c6399"</definedName>
    <definedName name="IQ_FORECLOSED_PROP_GNMA_LOANS_FFIEC" hidden="1">"c15272"</definedName>
    <definedName name="IQ_FORECLOSED_PROPERTIES_FDIC" hidden="1">"c6459"</definedName>
    <definedName name="IQ_FOREIGN_BANK_LOANS_FDIC" hidden="1">"c6437"</definedName>
    <definedName name="IQ_FOREIGN_BANKS_DEPOSITS_FOREIGN_FDIC" hidden="1">"c6481"</definedName>
    <definedName name="IQ_FOREIGN_BANKS_DUE_30_89_FFIEC" hidden="1">"c13269"</definedName>
    <definedName name="IQ_FOREIGN_BANKS_DUE_90_FFIEC" hidden="1">"c13295"</definedName>
    <definedName name="IQ_FOREIGN_BANKS_LOAN_CHARG_OFFS_FDIC" hidden="1">"c6645"</definedName>
    <definedName name="IQ_FOREIGN_BANKS_NET_CHARGE_OFFS_FDIC" hidden="1">"c6647"</definedName>
    <definedName name="IQ_FOREIGN_BANKS_NON_ACCRUAL_FFIEC" hidden="1">"c13321"</definedName>
    <definedName name="IQ_FOREIGN_BANKS_NONTRANSACTION_ACCOUNTS_FDIC" hidden="1">"c6550"</definedName>
    <definedName name="IQ_FOREIGN_BANKS_RECOVERIES_FDIC" hidden="1">"c6646"</definedName>
    <definedName name="IQ_FOREIGN_BANKS_TRANSACTION_ACCOUNTS_FDIC" hidden="1">"c6542"</definedName>
    <definedName name="IQ_FOREIGN_BRANCHES_U.S._BANKS_LOANS_FDIC" hidden="1">"c6438"</definedName>
    <definedName name="IQ_FOREIGN_BRANCHES_US_BANKS_FDIC" hidden="1">"c6392"</definedName>
    <definedName name="IQ_FOREIGN_BRANCHES_US_BANKS_LOANS_FDIC" hidden="1">"c6438"</definedName>
    <definedName name="IQ_FOREIGN_COUNTRIES_BANKS_TOTAL_LOANS_FOREIGN_FDIC" hidden="1">"c6445"</definedName>
    <definedName name="IQ_FOREIGN_DEBT_SECURITIES_FDIC" hidden="1">"c6303"</definedName>
    <definedName name="IQ_FOREIGN_DEP_IB" hidden="1">"c446"</definedName>
    <definedName name="IQ_FOREIGN_DEP_NON_IB" hidden="1">"c447"</definedName>
    <definedName name="IQ_FOREIGN_DEPOSITS_ASSETS_TOT_FFIEC" hidden="1">"c13445"</definedName>
    <definedName name="IQ_FOREIGN_DEPOSITS_NONTRANSACTION_ACCOUNTS_FDIC" hidden="1">"c6549"</definedName>
    <definedName name="IQ_FOREIGN_DEPOSITS_TOT_FFIEC" hidden="1">"c13486"</definedName>
    <definedName name="IQ_FOREIGN_DEPOSITS_TOTAL_DEPOSITS" hidden="1">"c15719"</definedName>
    <definedName name="IQ_FOREIGN_DEPOSITS_TRANSACTION_ACCOUNTS_FDIC" hidden="1">"c6541"</definedName>
    <definedName name="IQ_FOREIGN_EXCHANGE" hidden="1">"c451"</definedName>
    <definedName name="IQ_FOREIGN_EXCHANGE_EXPOSURES_FDIC" hidden="1">"c6663"</definedName>
    <definedName name="IQ_FOREIGN_GOVERNMENT_LOANS_FDIC" hidden="1">"c6430"</definedName>
    <definedName name="IQ_FOREIGN_GOVERNMENTS_CHARGE_OFFS_FDIC" hidden="1">"c6600"</definedName>
    <definedName name="IQ_FOREIGN_GOVERNMENTS_DEPOSITS_FOREIGN_FDIC" hidden="1">"c6482"</definedName>
    <definedName name="IQ_FOREIGN_GOVERNMENTS_NET_CHARGE_OFFS_FDIC" hidden="1">"c6638"</definedName>
    <definedName name="IQ_FOREIGN_GOVERNMENTS_NONTRANSACTION_ACCOUNTS_FDIC" hidden="1">"c6551"</definedName>
    <definedName name="IQ_FOREIGN_GOVERNMENTS_RECOVERIES_FDIC" hidden="1">"c6619"</definedName>
    <definedName name="IQ_FOREIGN_GOVERNMENTS_TOTAL_DEPOSITS_FDIC" hidden="1">"c6476"</definedName>
    <definedName name="IQ_FOREIGN_GOVERNMENTS_TRANSACTION_ACCOUNTS_FDIC" hidden="1">"c6543"</definedName>
    <definedName name="IQ_FOREIGN_GOVT_OFFICIAL_INST_FOREIGN_DEP_FFIEC" hidden="1">"c15345"</definedName>
    <definedName name="IQ_FOREIGN_GOVT_OFFICIAL_INST_NON_TRANS_ACCTS_FFIEC" hidden="1">"c15327"</definedName>
    <definedName name="IQ_FOREIGN_GOVT_OFFICIAL_INST_TRANS_ACCTS_FFIEC" hidden="1">"c15319"</definedName>
    <definedName name="IQ_FOREIGN_LL_REC_FFIEC" hidden="1">"c12892"</definedName>
    <definedName name="IQ_FOREIGN_LOANS" hidden="1">"c448"</definedName>
    <definedName name="IQ_FOREIGN_LOANS_LEASES_FOREIGN_FFIEC" hidden="1">"c13478"</definedName>
    <definedName name="IQ_FOREIGN_LOANS_TOTAL_LOANS" hidden="1">"c15714"</definedName>
    <definedName name="IQ_FOUNDATION_OVER_TOTAL" hidden="1">"c13769"</definedName>
    <definedName name="IQ_FQ" hidden="1">500</definedName>
    <definedName name="IQ_FREE_OPERATING_CASH_FLOW_DEBT_CSD" hidden="1">"c27718"</definedName>
    <definedName name="IQ_FTOOL_CAPEX" hidden="1">"c16212"</definedName>
    <definedName name="IQ_FTOOL_CASH" hidden="1">"c16213"</definedName>
    <definedName name="IQ_FTOOL_CASH_INVEST" hidden="1">"c16214"</definedName>
    <definedName name="IQ_FTOOL_EBT" hidden="1">"c16215"</definedName>
    <definedName name="IQ_FTOOL_NI" hidden="1">"c16216"</definedName>
    <definedName name="IQ_FTOOL_NI_CF" hidden="1">"c16206"</definedName>
    <definedName name="IQ_FTOOL_NUMBER_SHAREHOLDERS" hidden="1">"c16207"</definedName>
    <definedName name="IQ_FTOOL_SHARES_PER_DR" hidden="1">"c16208"</definedName>
    <definedName name="IQ_FTOOL_TOTAL_ASSETS" hidden="1">"c16209"</definedName>
    <definedName name="IQ_FTOOL_TOTAL_LIAB_EQUITY" hidden="1">"c16210"</definedName>
    <definedName name="IQ_FTOOL_TOTAL_REV" hidden="1">"c16211"</definedName>
    <definedName name="IQ_FUEL" hidden="1">"c449"</definedName>
    <definedName name="IQ_FULL_TIME" hidden="1">"c450"</definedName>
    <definedName name="IQ_FULLY_INSURED_BROKERED_DEPOSITS_FFIEC" hidden="1">"c15305"</definedName>
    <definedName name="IQ_FULLY_INSURED_DEPOSITS_FDIC" hidden="1">"c6487"</definedName>
    <definedName name="IQ_FUND_ANALYSIS" hidden="1">"c19198"</definedName>
    <definedName name="IQ_FUND_AUTHORIZED_SALE" hidden="1">"c19199"</definedName>
    <definedName name="IQ_FUND_BENCHMARK" hidden="1">"c19200"</definedName>
    <definedName name="IQ_FUND_BENCHMARK_ID" hidden="1">"c19201"</definedName>
    <definedName name="IQ_FUND_DISCOUNT_OR_PREMIUM" hidden="1">"c19242"</definedName>
    <definedName name="IQ_FUND_FEE_INC_NON_INT_INC_FFIEC" hidden="1">"c13493"</definedName>
    <definedName name="IQ_FUND_GEOGRAPHIC_MANDATE" hidden="1">"c19195"</definedName>
    <definedName name="IQ_FUND_MARKET_CAP_EMPHASIS" hidden="1">"c19197"</definedName>
    <definedName name="IQ_FUND_NAV" hidden="1">"c15225"</definedName>
    <definedName name="IQ_FUND_PRIMARY_ADVISOR" hidden="1">"c19091"</definedName>
    <definedName name="IQ_FUND_SECTOR_EMPHASIS" hidden="1">"c19196"</definedName>
    <definedName name="IQ_FUND_VEHICLE_TYPE" hidden="1">"c19194"</definedName>
    <definedName name="IQ_FUNDING_DEPENDENCE_FFIEC" hidden="1">"c13336"</definedName>
    <definedName name="IQ_FUNDING_DEPENDENCE_ST_FFIEC" hidden="1">"c13337"</definedName>
    <definedName name="IQ_FUNDS_PURCHASED_ASSETS_TOT_FFIEC" hidden="1">"c13446"</definedName>
    <definedName name="IQ_FUTURES_FORWARD_CONTRACTS_NOTIONAL_AMOUNT_FDIC" hidden="1">"c6518"</definedName>
    <definedName name="IQ_FUTURES_FORWARD_CONTRACTS_RATE_RISK_FDIC" hidden="1">"c6508"</definedName>
    <definedName name="IQ_FWD" hidden="1">"LTM"</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WD_Q3" hidden="1">"504"</definedName>
    <definedName name="IQ_FWD_Q4" hidden="1">"505"</definedName>
    <definedName name="IQ_FWD_Q5" hidden="1">"506"</definedName>
    <definedName name="IQ_FWD_Q6" hidden="1">"507"</definedName>
    <definedName name="IQ_FWD_Q7" hidden="1">"508"</definedName>
    <definedName name="IQ_FWD1" hidden="1">"LTM"</definedName>
    <definedName name="IQ_FX" hidden="1">"c451"</definedName>
    <definedName name="IQ_FX_CONTRACTS_FDIC" hidden="1">"c6517"</definedName>
    <definedName name="IQ_FX_CONTRACTS_FFIEC" hidden="1">"c13125"</definedName>
    <definedName name="IQ_FX_CONTRACTS_SPOT_FDIC" hidden="1">"c6356"</definedName>
    <definedName name="IQ_FX_EXPOSURE_FFIEC" hidden="1">"c13059"</definedName>
    <definedName name="IQ_FX_RATE" hidden="1">"c20655"</definedName>
    <definedName name="IQ_FX_RATE_FC" hidden="1">"c20656"</definedName>
    <definedName name="IQ_FX_RESERVES" hidden="1">"c20657"</definedName>
    <definedName name="IQ_FX_RESERVES_PCT_GDP" hidden="1">"c20658"</definedName>
    <definedName name="IQ_FX_RESERVES_PCT_GDP_FC" hidden="1">"c20659"</definedName>
    <definedName name="IQ_FY" hidden="1">1000</definedName>
    <definedName name="IQ_FY_DATE" hidden="1">"IQ_FY_DATE"</definedName>
    <definedName name="IQ_GA_EXP" hidden="1">"c2241"</definedName>
    <definedName name="IQ_GAAP_BS" hidden="1">"c6789"</definedName>
    <definedName name="IQ_GAAP_CF" hidden="1">"c6790"</definedName>
    <definedName name="IQ_GAAP_EST_CIQ" hidden="1">"c13924"</definedName>
    <definedName name="IQ_GAAP_IS" hidden="1">"c6194"</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CM" hidden="1">"c457"</definedName>
    <definedName name="IQ_GAIN_ASSETS_CF_FIN" hidden="1">"c458"</definedName>
    <definedName name="IQ_GAIN_ASSETS_CF_INS" hidden="1">"c459"</definedName>
    <definedName name="IQ_GAIN_ASSETS_CF_RE" hidden="1">"c6217"</definedName>
    <definedName name="IQ_GAIN_ASSETS_CF_REIT" hidden="1">"c460"</definedName>
    <definedName name="IQ_GAIN_ASSETS_CF_UTI" hidden="1">"c461"</definedName>
    <definedName name="IQ_GAIN_ASSETS_CM" hidden="1">"c454"</definedName>
    <definedName name="IQ_GAIN_ASSETS_FIN" hidden="1">"c462"</definedName>
    <definedName name="IQ_GAIN_ASSETS_INS" hidden="1">"c463"</definedName>
    <definedName name="IQ_GAIN_ASSETS_RE" hidden="1">"c6218"</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CM" hidden="1">"c474"</definedName>
    <definedName name="IQ_GAIN_ASSETS_REV_FIN" hidden="1">"c475"</definedName>
    <definedName name="IQ_GAIN_ASSETS_REV_INS" hidden="1">"c476"</definedName>
    <definedName name="IQ_GAIN_ASSETS_REV_RE" hidden="1">"c6219"</definedName>
    <definedName name="IQ_GAIN_ASSETS_REV_REIT" hidden="1">"c477"</definedName>
    <definedName name="IQ_GAIN_ASSETS_REV_UTI" hidden="1">"c478"</definedName>
    <definedName name="IQ_GAIN_ASSETS_UTI" hidden="1">"c479"</definedName>
    <definedName name="IQ_GAIN_CREDIT_DERIVATIVES_FFIEC" hidden="1">"c13066"</definedName>
    <definedName name="IQ_GAIN_CREDIT_DERIVATIVES_NON_TRADING_FFIEC" hidden="1">"c13067"</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CM" hidden="1">"c482"</definedName>
    <definedName name="IQ_GAIN_INVEST_CF_FIN" hidden="1">"c483"</definedName>
    <definedName name="IQ_GAIN_INVEST_CF_INS" hidden="1">"c484"</definedName>
    <definedName name="IQ_GAIN_INVEST_CF_RE" hidden="1">"c6220"</definedName>
    <definedName name="IQ_GAIN_INVEST_CF_REIT" hidden="1">"c485"</definedName>
    <definedName name="IQ_GAIN_INVEST_CF_UTI" hidden="1">"c486"</definedName>
    <definedName name="IQ_GAIN_INVEST_CM" hidden="1">"c1464"</definedName>
    <definedName name="IQ_GAIN_INVEST_FIN" hidden="1">"c1465"</definedName>
    <definedName name="IQ_GAIN_INVEST_INS" hidden="1">"c1466"</definedName>
    <definedName name="IQ_GAIN_INVEST_RE" hidden="1">"c6278"</definedName>
    <definedName name="IQ_GAIN_INVEST_REC_BNK" hidden="1">"c488"</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CM" hidden="1">"c496"</definedName>
    <definedName name="IQ_GAIN_INVEST_REV_FIN" hidden="1">"c497"</definedName>
    <definedName name="IQ_GAIN_INVEST_REV_INS" hidden="1">"c498"</definedName>
    <definedName name="IQ_GAIN_INVEST_REV_RE" hidden="1">"c6221"</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LOSS_HTM_AFS_SECURITIES_FOREIGN_FFIEC" hidden="1">"c15384"</definedName>
    <definedName name="IQ_GAIN_SALE_ASSETS" hidden="1">"c452"</definedName>
    <definedName name="IQ_GAIN_SALE_LOANS_FDIC" hidden="1">"c6673"</definedName>
    <definedName name="IQ_GAIN_SALE_RE_FDIC" hidden="1">"c6674"</definedName>
    <definedName name="IQ_GAINS_AFS_AVG_ASSETS_FFIEC" hidden="1">"c13364"</definedName>
    <definedName name="IQ_GAINS_ASSETS_TOT_FFIEC" hidden="1">"c13073"</definedName>
    <definedName name="IQ_GAINS_AVAIL_SALE_EQUITY_SEC_T2_FFIEC" hidden="1">"c13147"</definedName>
    <definedName name="IQ_GAINS_AVAIL_SALE_SEC_T1_FFIEC" hidden="1">"c13131"</definedName>
    <definedName name="IQ_GAINS_CASH_FLOW_HEDGES_T1_FFIEC" hidden="1">"c13133"</definedName>
    <definedName name="IQ_GAINS_HTM_AVG_ASSETS_FFIEC" hidden="1">"c13363"</definedName>
    <definedName name="IQ_GAINS_INSTRUMENT_SPECIFIC_CREDIT_RISK_LIAB_FFIEC" hidden="1">"c13076"</definedName>
    <definedName name="IQ_GAINS_INSTRUMENT_SPECIFIC_RISK_FFIEC" hidden="1">"c13074"</definedName>
    <definedName name="IQ_GAINS_INSURANCE_ACTIVITIES_FFIEC" hidden="1">"c13072"</definedName>
    <definedName name="IQ_GAINS_LIABILITIES_FFIEC" hidden="1">"c13075"</definedName>
    <definedName name="IQ_GAINS_SALE_ASSETS_FDIC" hidden="1">"c6675"</definedName>
    <definedName name="IQ_GAINS_SALE_LOANS_LEASES_FFIEC" hidden="1">"c13013"</definedName>
    <definedName name="IQ_GAINS_SALE_OTHER_ASSETS_FFIEC" hidden="1">"c13015"</definedName>
    <definedName name="IQ_GAINS_SALE_OTHER_RE_OWNED_FFIEC" hidden="1">"c13014"</definedName>
    <definedName name="IQ_GAINS_SECURITIZATION_OPERATING_INC_FFIEC" hidden="1">"c13391"</definedName>
    <definedName name="IQ_GDP" hidden="1">"c6874"</definedName>
    <definedName name="IQ_GDP_APR" hidden="1">"c7534"</definedName>
    <definedName name="IQ_GDP_APR_FC" hidden="1">"c8414"</definedName>
    <definedName name="IQ_GDP_FC" hidden="1">"c7754"</definedName>
    <definedName name="IQ_GDP_POP" hidden="1">"c7094"</definedName>
    <definedName name="IQ_GDP_POP_FC" hidden="1">"c7974"</definedName>
    <definedName name="IQ_GDP_REAL" hidden="1">"c6981"</definedName>
    <definedName name="IQ_GDP_REAL_APR" hidden="1">"c7641"</definedName>
    <definedName name="IQ_GDP_REAL_APR_FC" hidden="1">"c8521"</definedName>
    <definedName name="IQ_GDP_REAL_FC" hidden="1">"c7861"</definedName>
    <definedName name="IQ_GDP_REAL_POP" hidden="1">"c7201"</definedName>
    <definedName name="IQ_GDP_REAL_POP_FC" hidden="1">"c8081"</definedName>
    <definedName name="IQ_GDP_REAL_SAAR" hidden="1">"c6982"</definedName>
    <definedName name="IQ_GDP_REAL_SAAR_APR" hidden="1">"c7642"</definedName>
    <definedName name="IQ_GDP_REAL_SAAR_APR_FC" hidden="1">"c8522"</definedName>
    <definedName name="IQ_GDP_REAL_SAAR_FC" hidden="1">"c7862"</definedName>
    <definedName name="IQ_GDP_REAL_SAAR_POP" hidden="1">"c7202"</definedName>
    <definedName name="IQ_GDP_REAL_SAAR_POP_FC" hidden="1">"c8082"</definedName>
    <definedName name="IQ_GDP_REAL_SAAR_YOY" hidden="1">"c7422"</definedName>
    <definedName name="IQ_GDP_REAL_SAAR_YOY_FC" hidden="1">"c8302"</definedName>
    <definedName name="IQ_GDP_REAL_USD" hidden="1">"c11946"</definedName>
    <definedName name="IQ_GDP_REAL_USD_APR" hidden="1">"c11949"</definedName>
    <definedName name="IQ_GDP_REAL_USD_POP" hidden="1">"c11947"</definedName>
    <definedName name="IQ_GDP_REAL_USD_YOY" hidden="1">"c11948"</definedName>
    <definedName name="IQ_GDP_REAL_YOY" hidden="1">"c7421"</definedName>
    <definedName name="IQ_GDP_REAL_YOY_FC" hidden="1">"c8301"</definedName>
    <definedName name="IQ_GDP_SAAR" hidden="1">"c6875"</definedName>
    <definedName name="IQ_GDP_SAAR_APR" hidden="1">"c7535"</definedName>
    <definedName name="IQ_GDP_SAAR_APR_FC" hidden="1">"c8415"</definedName>
    <definedName name="IQ_GDP_SAAR_FC" hidden="1">"c7755"</definedName>
    <definedName name="IQ_GDP_SAAR_POP" hidden="1">"c7095"</definedName>
    <definedName name="IQ_GDP_SAAR_POP_FC" hidden="1">"c7975"</definedName>
    <definedName name="IQ_GDP_SAAR_YOY" hidden="1">"c7315"</definedName>
    <definedName name="IQ_GDP_SAAR_YOY_FC" hidden="1">"c8195"</definedName>
    <definedName name="IQ_GDP_USD" hidden="1">"c11834"</definedName>
    <definedName name="IQ_GDP_USD_APR" hidden="1">"c11837"</definedName>
    <definedName name="IQ_GDP_USD_POP" hidden="1">"c11835"</definedName>
    <definedName name="IQ_GDP_USD_YOY" hidden="1">"c11836"</definedName>
    <definedName name="IQ_GDP_YOY" hidden="1">"c7314"</definedName>
    <definedName name="IQ_GDP_YOY_FC" hidden="1">"c8194"</definedName>
    <definedName name="IQ_GENERAL_ALLOWANCE" hidden="1">"c15248"</definedName>
    <definedName name="IQ_GEO_SEG_ASSETS" hidden="1">"c4069"</definedName>
    <definedName name="IQ_GEO_SEG_ASSETS_ABS" hidden="1">"c4091"</definedName>
    <definedName name="IQ_GEO_SEG_ASSETS_TOTAL" hidden="1">"c4123"</definedName>
    <definedName name="IQ_GEO_SEG_CAPEX" hidden="1">"c4083"</definedName>
    <definedName name="IQ_GEO_SEG_CAPEX_ABS" hidden="1">"c4105"</definedName>
    <definedName name="IQ_GEO_SEG_CAPEX_TOTAL" hidden="1">"c4127"</definedName>
    <definedName name="IQ_GEO_SEG_DA" hidden="1">"c4082"</definedName>
    <definedName name="IQ_GEO_SEG_DA_ABS" hidden="1">"c4104"</definedName>
    <definedName name="IQ_GEO_SEG_DA_TOTAL" hidden="1">"c4126"</definedName>
    <definedName name="IQ_GEO_SEG_EARNINGS_OP" hidden="1">"c4073"</definedName>
    <definedName name="IQ_GEO_SEG_EARNINGS_OP_ABS" hidden="1">"c4095"</definedName>
    <definedName name="IQ_GEO_SEG_EARNINGS_OP_TOTAL" hidden="1">"c4119"</definedName>
    <definedName name="IQ_GEO_SEG_EBT" hidden="1">"c4072"</definedName>
    <definedName name="IQ_GEO_SEG_EBT_ABS" hidden="1">"c4094"</definedName>
    <definedName name="IQ_GEO_SEG_EBT_TOTAL" hidden="1">"c4121"</definedName>
    <definedName name="IQ_GEO_SEG_GP" hidden="1">"c4070"</definedName>
    <definedName name="IQ_GEO_SEG_GP_ABS" hidden="1">"c4092"</definedName>
    <definedName name="IQ_GEO_SEG_GP_TOTAL" hidden="1">"c4120"</definedName>
    <definedName name="IQ_GEO_SEG_INC_TAX" hidden="1">"c4081"</definedName>
    <definedName name="IQ_GEO_SEG_INC_TAX_ABS" hidden="1">"c4103"</definedName>
    <definedName name="IQ_GEO_SEG_INC_TAX_TOTAL" hidden="1">"c4125"</definedName>
    <definedName name="IQ_GEO_SEG_INTEREST_EXP" hidden="1">"c4080"</definedName>
    <definedName name="IQ_GEO_SEG_INTEREST_EXP_ABS" hidden="1">"c4102"</definedName>
    <definedName name="IQ_GEO_SEG_INTEREST_EXP_TOTAL" hidden="1">"c4124"</definedName>
    <definedName name="IQ_GEO_SEG_NAME" hidden="1">"c5484"</definedName>
    <definedName name="IQ_GEO_SEG_NAME_ABS" hidden="1">"c5485"</definedName>
    <definedName name="IQ_GEO_SEG_NI" hidden="1">"c4071"</definedName>
    <definedName name="IQ_GEO_SEG_NI_ABS" hidden="1">"c4093"</definedName>
    <definedName name="IQ_GEO_SEG_NI_TOTAL" hidden="1">"c4122"</definedName>
    <definedName name="IQ_GEO_SEG_OPER_INC" hidden="1">"c4075"</definedName>
    <definedName name="IQ_GEO_SEG_OPER_INC_ABS" hidden="1">"c4097"</definedName>
    <definedName name="IQ_GEO_SEG_OPER_INC_TOTAL" hidden="1">"c4118"</definedName>
    <definedName name="IQ_GEO_SEG_REV" hidden="1">"c4074"</definedName>
    <definedName name="IQ_GEO_SEG_REV_ABS" hidden="1">"c4096"</definedName>
    <definedName name="IQ_GEO_SEG_REV_TOTAL" hidden="1">"c4117"</definedName>
    <definedName name="IQ_GICS_CODE" hidden="1">"c16201"</definedName>
    <definedName name="IQ_GLA_PCT_LEASED_CONSOL" hidden="1">"c8810"</definedName>
    <definedName name="IQ_GLA_PCT_LEASED_MANAGED" hidden="1">"c8812"</definedName>
    <definedName name="IQ_GLA_PCT_LEASED_OTHER" hidden="1">"c8813"</definedName>
    <definedName name="IQ_GLA_PCT_LEASED_TOTAL" hidden="1">"c8814"</definedName>
    <definedName name="IQ_GLA_PCT_LEASED_UNCONSOL" hidden="1">"c8811"</definedName>
    <definedName name="IQ_GLA_SQ_FT_CONSOL" hidden="1">"c8790"</definedName>
    <definedName name="IQ_GLA_SQ_FT_MANAGED" hidden="1">"c8792"</definedName>
    <definedName name="IQ_GLA_SQ_FT_OTHER" hidden="1">"c8793"</definedName>
    <definedName name="IQ_GLA_SQ_FT_TOTAL" hidden="1">"c8794"</definedName>
    <definedName name="IQ_GLA_SQ_FT_UNCONSOL" hidden="1">"c8791"</definedName>
    <definedName name="IQ_GLA_SQ_METER_CONSOL" hidden="1">"c8795"</definedName>
    <definedName name="IQ_GLA_SQ_METER_MANAGED" hidden="1">"c8797"</definedName>
    <definedName name="IQ_GLA_SQ_METER_OTHER" hidden="1">"c8798"</definedName>
    <definedName name="IQ_GLA_SQ_METER_TOTAL" hidden="1">"c8799"</definedName>
    <definedName name="IQ_GLA_SQ_METER_UNCONSOL" hidden="1">"c8796"</definedName>
    <definedName name="IQ_GNMA_FDIC" hidden="1">"c6398"</definedName>
    <definedName name="IQ_GOODWILL_FDIC" hidden="1">"c6334"</definedName>
    <definedName name="IQ_GOODWILL_FFIEC" hidden="1">"c12836"</definedName>
    <definedName name="IQ_GOODWILL_IMPAIRMENT_FDIC" hidden="1">"c6678"</definedName>
    <definedName name="IQ_GOODWILL_IMPAIRMENT_FFIEC" hidden="1">"c13025"</definedName>
    <definedName name="IQ_GOODWILL_INTAN_FDIC" hidden="1">"c6333"</definedName>
    <definedName name="IQ_GOODWILL_NET" hidden="1">"c530"</definedName>
    <definedName name="IQ_GOVT_CAPITAL_TRANSFER_PAYMENTS" hidden="1">"c20660"</definedName>
    <definedName name="IQ_GOVT_CAPITAL_TRANSFER_RECEIPTS" hidden="1">"c20661"</definedName>
    <definedName name="IQ_GOVT_CONSUM_FIXED_CAPITAL" hidden="1">"c20663"</definedName>
    <definedName name="IQ_GOVT_CONTRIBUTIONS_SOCIAL_INSURANCE" hidden="1">"c20664"</definedName>
    <definedName name="IQ_GOVT_CURRENT_EXPENDITURES" hidden="1">"c20665"</definedName>
    <definedName name="IQ_GOVT_CURRENT_RECEIPTS" hidden="1">"c20666"</definedName>
    <definedName name="IQ_GOVT_ENTERPRISE_SURPLUS" hidden="1">"c20667"</definedName>
    <definedName name="IQ_GOVT_EXPENDITURES" hidden="1">"c20668"</definedName>
    <definedName name="IQ_GOVT_EXPENDITURES_FEDERAL" hidden="1">"c20669"</definedName>
    <definedName name="IQ_GOVT_GROSS_INVEST" hidden="1">"c20673"</definedName>
    <definedName name="IQ_GOVT_GROSS_INVEST_EQUIP" hidden="1">"c20674"</definedName>
    <definedName name="IQ_GOVT_GROSS_INVEST_FEDERAL" hidden="1">"c20676"</definedName>
    <definedName name="IQ_GOVT_GROSS_INVEST_FEDERAL_DEF_EQUIP" hidden="1">"c20679"</definedName>
    <definedName name="IQ_GOVT_GROSS_INVEST_FEDERAL_DEFENSE_STRUCTURES" hidden="1">"c20677"</definedName>
    <definedName name="IQ_GOVT_GROSS_INVEST_FEDERAL_EQUIP" hidden="1">"c20680"</definedName>
    <definedName name="IQ_GOVT_GROSS_INVEST_FEDERAL_NONDEF_EQUIP" hidden="1">"c20682"</definedName>
    <definedName name="IQ_GOVT_GROSS_INVEST_FEDERAL_NONDEFENSE_STRUCTURES" hidden="1">"c24741"</definedName>
    <definedName name="IQ_GOVT_GROSS_INVEST_FEDERAL_STRUCTURES" hidden="1">"c20683"</definedName>
    <definedName name="IQ_GOVT_GROSS_INVEST_STATE_LOCAL_EQUIP" hidden="1">"c20685"</definedName>
    <definedName name="IQ_GOVT_GROSS_INVEST_STATE_LOCAL_STRUCTURES" hidden="1">"c20686"</definedName>
    <definedName name="IQ_GOVT_GROSS_INVEST_STRUCTURES" hidden="1">"c20687"</definedName>
    <definedName name="IQ_GOVT_INTEREST_PAYMENTS" hidden="1">"c20688"</definedName>
    <definedName name="IQ_GOVT_INTEREST_PAYMENTS_PERSON" hidden="1">"c20689"</definedName>
    <definedName name="IQ_GOVT_INTEREST_PAYMENTS_WORLD" hidden="1">"c20690"</definedName>
    <definedName name="IQ_GOVT_NET_BORROWING" hidden="1">"c20691"</definedName>
    <definedName name="IQ_GOVT_NET_PURCHASE_NONPRODUCED_ASSETS" hidden="1">"c20692"</definedName>
    <definedName name="IQ_GOVT_NET_SAVING" hidden="1">"c20693"</definedName>
    <definedName name="IQ_GOVT_PERSONAL_TAXES_RECEIPTS" hidden="1">"c6876"</definedName>
    <definedName name="IQ_GOVT_PERSONAL_TAXES_RECEIPTS_APR" hidden="1">"c7536"</definedName>
    <definedName name="IQ_GOVT_PERSONAL_TAXES_RECEIPTS_APR_FC" hidden="1">"c8416"</definedName>
    <definedName name="IQ_GOVT_PERSONAL_TAXES_RECEIPTS_FC" hidden="1">"c7756"</definedName>
    <definedName name="IQ_GOVT_PERSONAL_TAXES_RECEIPTS_POP" hidden="1">"c7096"</definedName>
    <definedName name="IQ_GOVT_PERSONAL_TAXES_RECEIPTS_POP_FC" hidden="1">"c7976"</definedName>
    <definedName name="IQ_GOVT_PERSONAL_TAXES_RECEIPTS_YOY" hidden="1">"c7316"</definedName>
    <definedName name="IQ_GOVT_PERSONAL_TAXES_RECEIPTS_YOY_FC" hidden="1">"c8196"</definedName>
    <definedName name="IQ_GOVT_REAL_EXPENDITURES" hidden="1">"c20694"</definedName>
    <definedName name="IQ_GOVT_REAL_EXPENDITURES_FEDERAL" hidden="1">"c20695"</definedName>
    <definedName name="IQ_GOVT_REAL_GROSS_INVEST" hidden="1">"c20699"</definedName>
    <definedName name="IQ_GOVT_REAL_GROSS_INVEST_EQUIP" hidden="1">"c20700"</definedName>
    <definedName name="IQ_GOVT_REAL_GROSS_INVEST_FEDERAL" hidden="1">"c20701"</definedName>
    <definedName name="IQ_GOVT_REAL_GROSS_INVEST_FEDERAL_DEF_EQUIP" hidden="1">"c20704"</definedName>
    <definedName name="IQ_GOVT_REAL_GROSS_INVEST_FEDERAL_DEFENSE_STRUCTURES" hidden="1">"c20702"</definedName>
    <definedName name="IQ_GOVT_REAL_GROSS_INVEST_FEDERAL_EQUIP" hidden="1">"c20705"</definedName>
    <definedName name="IQ_GOVT_REAL_GROSS_INVEST_FEDERAL_NONDEF_EQUIP" hidden="1">"c20707"</definedName>
    <definedName name="IQ_GOVT_REAL_GROSS_INVEST_FEDERAL_NONDEFENSE_STRUCTURES" hidden="1">"c24742"</definedName>
    <definedName name="IQ_GOVT_REAL_GROSS_INVEST_FEDERAL_STRUCTURES" hidden="1">"c20708"</definedName>
    <definedName name="IQ_GOVT_REAL_GROSS_INVEST_STATE_LOCAL_EQUIP" hidden="1">"c20710"</definedName>
    <definedName name="IQ_GOVT_REAL_GROSS_INVEST_STATE_LOCAL_STRUCTURES" hidden="1">"c20711"</definedName>
    <definedName name="IQ_GOVT_REAL_GROSS_INVEST_STRUCTURES" hidden="1">"c20712"</definedName>
    <definedName name="IQ_GOVT_REAL_RECEIPTS_CONSUM_INVEST_RESIDUAL" hidden="1">"c20717"</definedName>
    <definedName name="IQ_GOVT_RECEIPTS" hidden="1">"c6877"</definedName>
    <definedName name="IQ_GOVT_RECEIPTS_APR" hidden="1">"c7537"</definedName>
    <definedName name="IQ_GOVT_RECEIPTS_APR_FC" hidden="1">"c8417"</definedName>
    <definedName name="IQ_GOVT_RECEIPTS_ASSETS" hidden="1">"c20719"</definedName>
    <definedName name="IQ_GOVT_RECEIPTS_ASSETS_DIVIDENDS" hidden="1">"c20720"</definedName>
    <definedName name="IQ_GOVT_RECEIPTS_ASSETS_INTEREST" hidden="1">"c20721"</definedName>
    <definedName name="IQ_GOVT_RECEIPTS_ASSETS_RENT" hidden="1">"c20722"</definedName>
    <definedName name="IQ_GOVT_RECEIPTS_EXPENSITURES_OTHER" hidden="1">"c20728"</definedName>
    <definedName name="IQ_GOVT_RECEIPTS_FC" hidden="1">"c7757"</definedName>
    <definedName name="IQ_GOVT_RECEIPTS_POP" hidden="1">"c7097"</definedName>
    <definedName name="IQ_GOVT_RECEIPTS_POP_FC" hidden="1">"c7977"</definedName>
    <definedName name="IQ_GOVT_RECEIPTS_TRANSFER" hidden="1">"c20729"</definedName>
    <definedName name="IQ_GOVT_RECEIPTS_TRANSFER_BUSINESS" hidden="1">"c20730"</definedName>
    <definedName name="IQ_GOVT_RECEIPTS_TRANSFER_PERSONAL" hidden="1">"c20731"</definedName>
    <definedName name="IQ_GOVT_RECEIPTS_YOY" hidden="1">"c7317"</definedName>
    <definedName name="IQ_GOVT_RECEIPTS_YOY_FC" hidden="1">"c8197"</definedName>
    <definedName name="IQ_GOVT_SOCIAL_BENEFITS" hidden="1">"c20732"</definedName>
    <definedName name="IQ_GOVT_SOCIAL_BENEFITS_PERSONS" hidden="1">"c20733"</definedName>
    <definedName name="IQ_GOVT_SOCIAL_BENEFITS_WORLD" hidden="1">"c20734"</definedName>
    <definedName name="IQ_GOVT_SOCIAL_INSURANCE_FUNDS" hidden="1">"c20735"</definedName>
    <definedName name="IQ_GOVT_SUBSIDIES" hidden="1">"c20736"</definedName>
    <definedName name="IQ_GOVT_TAX_RECEIPTS" hidden="1">"c20737"</definedName>
    <definedName name="IQ_GOVT_TAX_RECEIPTS_CORPORATE" hidden="1">"c20738"</definedName>
    <definedName name="IQ_GOVT_TAX_RECEIPTS_CORPORATE_FED_RESERVE" hidden="1">"c20739"</definedName>
    <definedName name="IQ_GOVT_TAX_RECEIPTS_CORPORATE_OTHER" hidden="1">"c20740"</definedName>
    <definedName name="IQ_GOVT_TAX_RECEIPTS_CUSTOMS" hidden="1">"c20741"</definedName>
    <definedName name="IQ_GOVT_TAX_RECEIPTS_EXCISE" hidden="1">"c20742"</definedName>
    <definedName name="IQ_GOVT_TAX_RECEIPTS_PERSONAL" hidden="1">"c20743"</definedName>
    <definedName name="IQ_GOVT_TAX_RECEIPTS_PRODUCTION_IMPORTS" hidden="1">"c20744"</definedName>
    <definedName name="IQ_GOVT_TAX_RECEIPTS_WORLD" hidden="1">"c20745"</definedName>
    <definedName name="IQ_GOVT_TOTAL_EXPENDITURES" hidden="1">"c20746"</definedName>
    <definedName name="IQ_GOVT_TOTAL_RECEIPTS" hidden="1">"c20747"</definedName>
    <definedName name="IQ_GOVT_TRANSFER_PAYMENTS" hidden="1">"c20748"</definedName>
    <definedName name="IQ_GOVT_TRANSFER_PAYMENTS_OTHER" hidden="1">"c20749"</definedName>
    <definedName name="IQ_GOVT_TRANSFER_PAYMENTS_OTHER_STATE_LOCAL" hidden="1">"c20750"</definedName>
    <definedName name="IQ_GOVT_TRANSFER_PAYMENTS_OTHER_WORLD" hidden="1">"c20751"</definedName>
    <definedName name="IQ_GOVT_WAGE_ACCRUAL" hidden="1">"c20752"</definedName>
    <definedName name="IQ_GP" hidden="1">"c511"</definedName>
    <definedName name="IQ_GP_10YR_ANN_CAGR" hidden="1">"c6090"</definedName>
    <definedName name="IQ_GP_10YR_ANN_GROWTH" hidden="1">"c512"</definedName>
    <definedName name="IQ_GP_1YR_ANN_GROWTH" hidden="1">"c513"</definedName>
    <definedName name="IQ_GP_2YR_ANN_CAGR" hidden="1">"c6091"</definedName>
    <definedName name="IQ_GP_2YR_ANN_GROWTH" hidden="1">"c514"</definedName>
    <definedName name="IQ_GP_3YR_ANN_CAGR" hidden="1">"c6092"</definedName>
    <definedName name="IQ_GP_3YR_ANN_GROWTH" hidden="1">"c515"</definedName>
    <definedName name="IQ_GP_5YR_ANN_CAGR" hidden="1">"c6093"</definedName>
    <definedName name="IQ_GP_5YR_ANN_GROWTH" hidden="1">"c516"</definedName>
    <definedName name="IQ_GP_7YR_ANN_CAGR" hidden="1">"c6094"</definedName>
    <definedName name="IQ_GP_7YR_ANN_GROWTH" hidden="1">"c517"</definedName>
    <definedName name="IQ_GPPE" hidden="1">"c518"</definedName>
    <definedName name="IQ_GROSS_ADD_BASIC" hidden="1">"c15776"</definedName>
    <definedName name="IQ_GROSS_ADD_BBAND" hidden="1">"c15779"</definedName>
    <definedName name="IQ_GROSS_ADD_DIG" hidden="1">"c15777"</definedName>
    <definedName name="IQ_GROSS_ADD_PHONE" hidden="1">"c15780"</definedName>
    <definedName name="IQ_GROSS_ADD_POSTPAID_WIRELESS" hidden="1">"c15750"</definedName>
    <definedName name="IQ_GROSS_ADD_PREPAID_WIRELESS" hidden="1">"c15751"</definedName>
    <definedName name="IQ_GROSS_ADD_RESELL_WHOLESALE_WIRELESS" hidden="1">"c15752"</definedName>
    <definedName name="IQ_GROSS_ADD_RGU" hidden="1">"c15781"</definedName>
    <definedName name="IQ_GROSS_ADD_SATELLITE" hidden="1">"c15778"</definedName>
    <definedName name="IQ_GROSS_ADD_TOTAL_WIRELESS" hidden="1">"c15753"</definedName>
    <definedName name="IQ_GROSS_AH_EARNED" hidden="1">"c2742"</definedName>
    <definedName name="IQ_GROSS_CLAIM_ADJ_EXP_RESERVE_BOP" hidden="1">"c15874"</definedName>
    <definedName name="IQ_GROSS_CLAIM_EXP_INCUR" hidden="1">"c2755"</definedName>
    <definedName name="IQ_GROSS_CLAIM_EXP_PAID" hidden="1">"c2758"</definedName>
    <definedName name="IQ_GROSS_CLAIM_EXP_RES" hidden="1">"c2752"</definedName>
    <definedName name="IQ_GROSS_DIVID" hidden="1">"c192"</definedName>
    <definedName name="IQ_GROSS_EARNED" hidden="1">"c2732"</definedName>
    <definedName name="IQ_GROSS_GW" hidden="1">"c519"</definedName>
    <definedName name="IQ_GROSS_INTAN" hidden="1">"c520"</definedName>
    <definedName name="IQ_GROSS_LIFE_EARNED" hidden="1">"c2737"</definedName>
    <definedName name="IQ_GROSS_LIFE_IN_FORCE" hidden="1">"c2767"</definedName>
    <definedName name="IQ_GROSS_LOANS" hidden="1">"c521"</definedName>
    <definedName name="IQ_GROSS_LOANS_10YR_ANN_CAGR" hidden="1">"c6095"</definedName>
    <definedName name="IQ_GROSS_LOANS_10YR_ANN_GROWTH" hidden="1">"c522"</definedName>
    <definedName name="IQ_GROSS_LOANS_1YR_ANN_GROWTH" hidden="1">"c523"</definedName>
    <definedName name="IQ_GROSS_LOANS_2YR_ANN_CAGR" hidden="1">"c6096"</definedName>
    <definedName name="IQ_GROSS_LOANS_2YR_ANN_GROWTH" hidden="1">"c524"</definedName>
    <definedName name="IQ_GROSS_LOANS_3YR_ANN_CAGR" hidden="1">"c6097"</definedName>
    <definedName name="IQ_GROSS_LOANS_3YR_ANN_GROWTH" hidden="1">"c525"</definedName>
    <definedName name="IQ_GROSS_LOANS_5YR_ANN_CAGR" hidden="1">"c6098"</definedName>
    <definedName name="IQ_GROSS_LOANS_5YR_ANN_GROWTH" hidden="1">"c526"</definedName>
    <definedName name="IQ_GROSS_LOANS_7YR_ANN_CAGR" hidden="1">"c6099"</definedName>
    <definedName name="IQ_GROSS_LOANS_7YR_ANN_GROWTH" hidden="1">"c527"</definedName>
    <definedName name="IQ_GROSS_LOANS_TOTAL_DEPOSITS" hidden="1">"c528"</definedName>
    <definedName name="IQ_GROSS_LOSSES" hidden="1">"c15871"</definedName>
    <definedName name="IQ_GROSS_LOSSES_AVG_LOANS_FFIEC" hidden="1">"c13475"</definedName>
    <definedName name="IQ_GROSS_MARGIN" hidden="1">"c529"</definedName>
    <definedName name="IQ_GROSS_MARGIN_ACT_OR_EST" hidden="1">"c5554"</definedName>
    <definedName name="IQ_GROSS_MARGIN_ACT_OR_EST_THOM" hidden="1">"c5562"</definedName>
    <definedName name="IQ_GROSS_MARGIN_DET_EST_DATE_THOM" hidden="1">"c12239"</definedName>
    <definedName name="IQ_GROSS_MARGIN_DET_EST_INCL_THOM" hidden="1">"c12371"</definedName>
    <definedName name="IQ_GROSS_MARGIN_DET_EST_ORIGIN_THOM" hidden="1">"c12609"</definedName>
    <definedName name="IQ_GROSS_MARGIN_DET_EST_THOM" hidden="1">"c12089"</definedName>
    <definedName name="IQ_GROSS_MARGIN_EST" hidden="1">"c5547"</definedName>
    <definedName name="IQ_GROSS_MARGIN_EST_THOM" hidden="1">"c5555"</definedName>
    <definedName name="IQ_GROSS_MARGIN_HIGH_EST" hidden="1">"c5549"</definedName>
    <definedName name="IQ_GROSS_MARGIN_HIGH_EST_THOM" hidden="1">"c5557"</definedName>
    <definedName name="IQ_GROSS_MARGIN_LOW_EST" hidden="1">"c5550"</definedName>
    <definedName name="IQ_GROSS_MARGIN_LOW_EST_THOM" hidden="1">"c5558"</definedName>
    <definedName name="IQ_GROSS_MARGIN_MEDIAN_EST" hidden="1">"c5548"</definedName>
    <definedName name="IQ_GROSS_MARGIN_MEDIAN_EST_THOM" hidden="1">"c5556"</definedName>
    <definedName name="IQ_GROSS_MARGIN_NUM_EST" hidden="1">"c5551"</definedName>
    <definedName name="IQ_GROSS_MARGIN_NUM_EST_THOM" hidden="1">"c5559"</definedName>
    <definedName name="IQ_GROSS_MARGIN_STDDEV_EST" hidden="1">"c5552"</definedName>
    <definedName name="IQ_GROSS_MARGIN_STDDEV_EST_THOM" hidden="1">"c5560"</definedName>
    <definedName name="IQ_GROSS_PC_EARNED" hidden="1">"c2747"</definedName>
    <definedName name="IQ_GROSS_PREMIUMS_WRITTEN_AVG_ASSETS" hidden="1">"c15893"</definedName>
    <definedName name="IQ_GROSS_PREMIUMS_WRITTEN_AVG_EQUITY" hidden="1">"c15892"</definedName>
    <definedName name="IQ_GROSS_PREMIUMS_WRITTEN_AVG_STATUTORY_SURPLUS" hidden="1">"c15894"</definedName>
    <definedName name="IQ_GROSS_PROFIT" hidden="1">"c511"</definedName>
    <definedName name="IQ_GROSS_SPRD" hidden="1">"c2155"</definedName>
    <definedName name="IQ_GROSS_WRITTEN" hidden="1">"c2726"</definedName>
    <definedName name="IQ_GROUP_EMBEDDED_VALUE_ASSET_MANAGEMENT" hidden="1">"c9955"</definedName>
    <definedName name="IQ_GROUP_EMBEDDED_VALUE_HEALTH" hidden="1">"c9954"</definedName>
    <definedName name="IQ_GROUP_EMBEDDED_VALUE_LIFE" hidden="1">"c9953"</definedName>
    <definedName name="IQ_GROUP_EMBEDDED_VALUE_LIFE_OTHER" hidden="1">"c9956"</definedName>
    <definedName name="IQ_GVKEY" hidden="1">"c15590"</definedName>
    <definedName name="IQ_GVKEY_OTHER" hidden="1">"c15633"</definedName>
    <definedName name="IQ_GW" hidden="1">"c530"</definedName>
    <definedName name="IQ_GW_AMORT_BR" hidden="1">"c532"</definedName>
    <definedName name="IQ_GW_AMORT_CM" hidden="1">"c532"</definedName>
    <definedName name="IQ_GW_AMORT_FIN" hidden="1">"c540"</definedName>
    <definedName name="IQ_GW_AMORT_INS" hidden="1">"c541"</definedName>
    <definedName name="IQ_GW_AMORT_REIT" hidden="1">"c542"</definedName>
    <definedName name="IQ_GW_AMORT_UTI" hidden="1">"c543"</definedName>
    <definedName name="IQ_GW_INTAN" hidden="1">"c19145"</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CM" hidden="1">"c1473"</definedName>
    <definedName name="IQ_GW_INTAN_AMORT_CF_FIN" hidden="1">"c1474"</definedName>
    <definedName name="IQ_GW_INTAN_AMORT_CF_INS" hidden="1">"c1475"</definedName>
    <definedName name="IQ_GW_INTAN_AMORT_CF_RE" hidden="1">"c6279"</definedName>
    <definedName name="IQ_GW_INTAN_AMORT_CF_REIT" hidden="1">"c1476"</definedName>
    <definedName name="IQ_GW_INTAN_AMORT_CF_UTI" hidden="1">"c1477"</definedName>
    <definedName name="IQ_GW_INTAN_AMORT_CM" hidden="1">"c1470"</definedName>
    <definedName name="IQ_GW_INTAN_AMORT_FIN" hidden="1">"c1478"</definedName>
    <definedName name="IQ_GW_INTAN_AMORT_INS" hidden="1">"c1479"</definedName>
    <definedName name="IQ_GW_INTAN_AMORT_RE" hidden="1">"c6280"</definedName>
    <definedName name="IQ_GW_INTAN_AMORT_REIT" hidden="1">"c1480"</definedName>
    <definedName name="IQ_GW_INTAN_AMORT_UTI" hidden="1">"c1481"</definedName>
    <definedName name="IQ_HC_ADJUSTED_DISCHARGES" hidden="1">"c9977"</definedName>
    <definedName name="IQ_HC_ADMISSIONS" hidden="1">"c5953"</definedName>
    <definedName name="IQ_HC_ADMISSIONS_GROWTH" hidden="1">"c5997"</definedName>
    <definedName name="IQ_HC_ADMISSIONS_MANAGED_CARE" hidden="1">"c5956"</definedName>
    <definedName name="IQ_HC_ADMISSIONS_MEDICAID" hidden="1">"c5955"</definedName>
    <definedName name="IQ_HC_ADMISSIONS_MEDICARE" hidden="1">"c5954"</definedName>
    <definedName name="IQ_HC_ADMISSIONS_OTHER" hidden="1">"c5957"</definedName>
    <definedName name="IQ_HC_ADMISSIONS_SF" hidden="1">"c6006"</definedName>
    <definedName name="IQ_HC_ALFS" hidden="1">"c5952"</definedName>
    <definedName name="IQ_HC_ASO_COVERED_LIVES" hidden="1">"c9982"</definedName>
    <definedName name="IQ_HC_ASO_MEMBERSHIP" hidden="1">"c9985"</definedName>
    <definedName name="IQ_HC_AVG_BEDS_SVC" hidden="1">"c5951"</definedName>
    <definedName name="IQ_HC_AVG_DAILY_CENSUS" hidden="1">"c5965"</definedName>
    <definedName name="IQ_HC_AVG_LICENSED_BEDS" hidden="1">"c5949"</definedName>
    <definedName name="IQ_HC_AVG_LICENSED_BEDS_SF" hidden="1">"c6004"</definedName>
    <definedName name="IQ_HC_AVG_STAY" hidden="1">"c5966"</definedName>
    <definedName name="IQ_HC_AVG_STAY_SF" hidden="1">"c6016"</definedName>
    <definedName name="IQ_HC_BEDS_SVC" hidden="1">"c5950"</definedName>
    <definedName name="IQ_HC_CASES" hidden="1">"c9978"</definedName>
    <definedName name="IQ_HC_CLAIMS_RESERVES" hidden="1">"c9989"</definedName>
    <definedName name="IQ_HC_DAYS_REV_OUT" hidden="1">"c5993"</definedName>
    <definedName name="IQ_HC_DISCHARGES" hidden="1">"c9976"</definedName>
    <definedName name="IQ_HC_EQUIV_ADMISSIONS_GROWTH" hidden="1">"c5998"</definedName>
    <definedName name="IQ_HC_EQUIVALENT_ADMISSIONS" hidden="1">"c5958"</definedName>
    <definedName name="IQ_HC_EQUIVALENT_ADMISSIONS_SF" hidden="1">"c6007"</definedName>
    <definedName name="IQ_HC_EQUIVALENT_PATIENT_DAYS" hidden="1">"c9980"</definedName>
    <definedName name="IQ_HC_ER_VISITS" hidden="1">"c5964"</definedName>
    <definedName name="IQ_HC_ER_VISITS_SF" hidden="1">"c6017"</definedName>
    <definedName name="IQ_HC_GROSS_INPATIENT_REV" hidden="1">"c5987"</definedName>
    <definedName name="IQ_HC_GROSS_OUTPATIENT_REV" hidden="1">"c5988"</definedName>
    <definedName name="IQ_HC_GROSS_PATIENT_REV" hidden="1">"c5989"</definedName>
    <definedName name="IQ_HC_HOSP_FACILITIES_CONSOL" hidden="1">"c5945"</definedName>
    <definedName name="IQ_HC_HOSP_FACILITIES_CONSOL_SF" hidden="1">"c6000"</definedName>
    <definedName name="IQ_HC_HOSP_FACILITIES_NON_CONSOL" hidden="1">"c5946"</definedName>
    <definedName name="IQ_HC_HOSP_FACILITIES_NON_CONSOL_SF" hidden="1">"c6001"</definedName>
    <definedName name="IQ_HC_HOSP_FACILITIES_TOTAL" hidden="1">"c5947"</definedName>
    <definedName name="IQ_HC_HOSP_FACILITIES_TOTAL_SF" hidden="1">"c6002"</definedName>
    <definedName name="IQ_HC_INPATIENT_PROCEDURES" hidden="1">"c5961"</definedName>
    <definedName name="IQ_HC_INPATIENT_PROCEDURES_SF" hidden="1">"c6011"</definedName>
    <definedName name="IQ_HC_INPATIENT_REV_PER_ADMISSION" hidden="1">"c5994"</definedName>
    <definedName name="IQ_HC_INTPATIENT_SVCS_PCT_REV" hidden="1">"c5975"</definedName>
    <definedName name="IQ_HC_INTPATIENT_SVCS_PCT_REV_SF" hidden="1">"c6015"</definedName>
    <definedName name="IQ_HC_LICENSED_BEDS" hidden="1">"c5948"</definedName>
    <definedName name="IQ_HC_LICENSED_BEDS_SF" hidden="1">"c6003"</definedName>
    <definedName name="IQ_HC_MANAGED_CARE_PCT_ADMISSIONS" hidden="1">"c5982"</definedName>
    <definedName name="IQ_HC_MANAGED_CARE_PCT_REV" hidden="1">"c5978"</definedName>
    <definedName name="IQ_HC_MEDICAID_PCT_ADMISSIONS" hidden="1">"c5981"</definedName>
    <definedName name="IQ_HC_MEDICAID_PCT_REV" hidden="1">"c5977"</definedName>
    <definedName name="IQ_HC_MEDICAL_EXPENSE_RATIO" hidden="1">"c9987"</definedName>
    <definedName name="IQ_HC_MEDICARE_PCT_ADMISSIONS" hidden="1">"c5980"</definedName>
    <definedName name="IQ_HC_MEDICARE_PCT_REV" hidden="1">"c5976"</definedName>
    <definedName name="IQ_HC_NET_INPATIENT_REV" hidden="1">"c5984"</definedName>
    <definedName name="IQ_HC_NET_OUTPATIENT_REV" hidden="1">"c5985"</definedName>
    <definedName name="IQ_HC_NET_PATIENT_REV" hidden="1">"c5986"</definedName>
    <definedName name="IQ_HC_NET_PATIENT_REV_SF" hidden="1">"c6005"</definedName>
    <definedName name="IQ_HC_OCC_RATE" hidden="1">"c5967"</definedName>
    <definedName name="IQ_HC_OCC_RATE_LICENSED_BEDS" hidden="1">"c5968"</definedName>
    <definedName name="IQ_HC_OCC_RATE_SF" hidden="1">"c6009"</definedName>
    <definedName name="IQ_HC_OPEX_SUPPLIES" hidden="1">"c5990"</definedName>
    <definedName name="IQ_HC_OTHER_OPEX_PCT_REV" hidden="1">"c5973"</definedName>
    <definedName name="IQ_HC_OUTPATIENT_PROCEDURES" hidden="1">"c5962"</definedName>
    <definedName name="IQ_HC_OUTPATIENT_PROCEDURES_SF" hidden="1">"c6012"</definedName>
    <definedName name="IQ_HC_OUTPATIENT_REV_PER_ADMISSION" hidden="1">"c5995"</definedName>
    <definedName name="IQ_HC_OUTPATIENT_SVCS_PCT_REV" hidden="1">"c5974"</definedName>
    <definedName name="IQ_HC_OUTPATIENT_SVCS_PCT_REV_SF" hidden="1">"c6014"</definedName>
    <definedName name="IQ_HC_PATIENT_DAYS" hidden="1">"c5960"</definedName>
    <definedName name="IQ_HC_PATIENT_DAYS_SF" hidden="1">"c6010"</definedName>
    <definedName name="IQ_HC_PROF_GEN_LIAB_CLAIM_PAID" hidden="1">"c5991"</definedName>
    <definedName name="IQ_HC_PROF_GEN_LIAB_EXP_BENEFIT" hidden="1">"c5992"</definedName>
    <definedName name="IQ_HC_PROVISION_DOUBTFUL_PCT_REV" hidden="1">"c5972"</definedName>
    <definedName name="IQ_HC_REV_GROWTH" hidden="1">"c5996"</definedName>
    <definedName name="IQ_HC_REV_PER_CASE" hidden="1">"c9979"</definedName>
    <definedName name="IQ_HC_REV_PER_DISCHARGE" hidden="1">"c9990"</definedName>
    <definedName name="IQ_HC_REV_PER_EQUIV_ADMISSION" hidden="1">"c5959"</definedName>
    <definedName name="IQ_HC_REV_PER_EQUIV_ADMISSION_SF" hidden="1">"c6008"</definedName>
    <definedName name="IQ_HC_REV_PER_EQUIV_ADMISSIONS_GROWTH" hidden="1">"c5999"</definedName>
    <definedName name="IQ_HC_REV_PER_PATIENT_DAY" hidden="1">"c5969"</definedName>
    <definedName name="IQ_HC_REV_PER_PATIENT_DAY_SF" hidden="1">"c6018"</definedName>
    <definedName name="IQ_HC_RISK_COVERED_LIVES" hidden="1">"c9981"</definedName>
    <definedName name="IQ_HC_RISK_MEMBERSHIP" hidden="1">"c9984"</definedName>
    <definedName name="IQ_HC_SALARIES_PCT_REV" hidden="1">"c5970"</definedName>
    <definedName name="IQ_HC_SGA_MARGIN" hidden="1">"c9988"</definedName>
    <definedName name="IQ_HC_SUPPLIES_PCT_REV" hidden="1">"c5971"</definedName>
    <definedName name="IQ_HC_TOTAL_COVERED_LIVES" hidden="1">"c9983"</definedName>
    <definedName name="IQ_HC_TOTAL_MEMBERSHIP" hidden="1">"c9986"</definedName>
    <definedName name="IQ_HC_TOTAL_PROCEDURES" hidden="1">"c5963"</definedName>
    <definedName name="IQ_HC_TOTAL_PROCEDURES_SF" hidden="1">"c6013"</definedName>
    <definedName name="IQ_HC_UNINSURED_PCT_ADMISSIONS" hidden="1">"c5983"</definedName>
    <definedName name="IQ_HC_UNINSURED_PCT_REV" hidden="1">"c5979"</definedName>
    <definedName name="IQ_HEDGEFUND_OVER_TOTAL" hidden="1">"c13771"</definedName>
    <definedName name="IQ_HEDGING_ACTIVITIES" hidden="1">"c17899"</definedName>
    <definedName name="IQ_HEDGING_ACTIVITIES_PCT" hidden="1">"c18013"</definedName>
    <definedName name="IQ_HELD_MATURITY_FDIC" hidden="1">"c6408"</definedName>
    <definedName name="IQ_HG_ACQUIRED_FRANCHISE_HOTEL_PROPERTIES" hidden="1">"c8584"</definedName>
    <definedName name="IQ_HG_ACQUIRED_FRANCHISE_ROOMS" hidden="1">"c8614"</definedName>
    <definedName name="IQ_HG_ACQUIRED_HOTEL_PROPERTIES" hidden="1">"c8572"</definedName>
    <definedName name="IQ_HG_ACQUIRED_MANAGED_HOTEL_PROPERTIES" hidden="1">"c8590"</definedName>
    <definedName name="IQ_HG_ACQUIRED_MANAGED_ROOMS" hidden="1">"c8620"</definedName>
    <definedName name="IQ_HG_ACQUIRED_OTHER_HOTEL_PROPERTIES" hidden="1">"c8596"</definedName>
    <definedName name="IQ_HG_ACQUIRED_OTHER_ROOMS" hidden="1">"c8626"</definedName>
    <definedName name="IQ_HG_ACQUIRED_OWNED_HOTEL_PROPERTIES" hidden="1">"c8578"</definedName>
    <definedName name="IQ_HG_ACQUIRED_OWNED_ROOMS" hidden="1">"c8608"</definedName>
    <definedName name="IQ_HG_ACQUIRED_ROOMS" hidden="1">"c8602"</definedName>
    <definedName name="IQ_HG_ADR_CHANGE_FRANCHISE" hidden="1">"c8684"</definedName>
    <definedName name="IQ_HG_ADR_CHANGE_MANAGED" hidden="1">"c8685"</definedName>
    <definedName name="IQ_HG_ADR_CHANGE_OTHER" hidden="1">"c8686"</definedName>
    <definedName name="IQ_HG_ADR_CHANGE_OWNED" hidden="1">"c8683"</definedName>
    <definedName name="IQ_HG_ADR_CHANGE_OWNED_COMP" hidden="1">"c8709"</definedName>
    <definedName name="IQ_HG_ADR_CHANGE_TOTAL" hidden="1">"c8687"</definedName>
    <definedName name="IQ_HG_ADR_CHANGE_TOTAL_COMP" hidden="1">"c8710"</definedName>
    <definedName name="IQ_HG_ADR_FRANCHISE" hidden="1">"c8664"</definedName>
    <definedName name="IQ_HG_ADR_MANAGED" hidden="1">"c8665"</definedName>
    <definedName name="IQ_HG_ADR_OTHER" hidden="1">"c8666"</definedName>
    <definedName name="IQ_HG_ADR_OWNED" hidden="1">"c8663"</definedName>
    <definedName name="IQ_HG_ADR_OWNED_COMP" hidden="1">"c8701"</definedName>
    <definedName name="IQ_HG_ADR_TOTAL" hidden="1">"c8667"</definedName>
    <definedName name="IQ_HG_ADR_TOTAL_COMP" hidden="1">"c8702"</definedName>
    <definedName name="IQ_HG_CASINO_EXP_DIRECT_OPERATING_EXP" hidden="1">"c15981"</definedName>
    <definedName name="IQ_HG_CASINO_GROSS_PROFIT" hidden="1">"c15974"</definedName>
    <definedName name="IQ_HG_CASINO_MARGIN" hidden="1">"c15976"</definedName>
    <definedName name="IQ_HG_CASINO_OPERATING_MARGIN" hidden="1">"c15977"</definedName>
    <definedName name="IQ_HG_CASINOS_JV" hidden="1">"c8631"</definedName>
    <definedName name="IQ_HG_CASINOS_MANAGED" hidden="1">"c8632"</definedName>
    <definedName name="IQ_HG_CASINOS_OWNED" hidden="1">"c8630"</definedName>
    <definedName name="IQ_HG_CASINOS_TOTAL" hidden="1">"c8633"</definedName>
    <definedName name="IQ_HG_CLOSED_FRANCHISE_HOTEL_PROPERTIES" hidden="1">"c8586"</definedName>
    <definedName name="IQ_HG_CLOSED_FRANCHISE_ROOMS" hidden="1">"c8616"</definedName>
    <definedName name="IQ_HG_CLOSED_HOTEL_PROPERTIES" hidden="1">"c8574"</definedName>
    <definedName name="IQ_HG_CLOSED_MANAGED_HOTEL_PROPERTIES" hidden="1">"c8592"</definedName>
    <definedName name="IQ_HG_CLOSED_MANAGED_ROOMS" hidden="1">"c8622"</definedName>
    <definedName name="IQ_HG_CLOSED_OTHER_HOTEL_PROPERTIES" hidden="1">"c8598"</definedName>
    <definedName name="IQ_HG_CLOSED_OTHER_ROOMS" hidden="1">"c8628"</definedName>
    <definedName name="IQ_HG_CLOSED_OWNED_HOTEL_PROPERTIES" hidden="1">"c8580"</definedName>
    <definedName name="IQ_HG_CLOSED_OWNED_ROOMS" hidden="1">"c8610"</definedName>
    <definedName name="IQ_HG_CLOSED_ROOMS" hidden="1">"c8604"</definedName>
    <definedName name="IQ_HG_CONFERENCE_SPACE" hidden="1">"c15971"</definedName>
    <definedName name="IQ_HG_EXP_CASINO" hidden="1">"c8733"</definedName>
    <definedName name="IQ_HG_EXP_DEVELOPMENT" hidden="1">"c8738"</definedName>
    <definedName name="IQ_HG_EXP_DIRECT_CASINO_GAMING" hidden="1">"c15994"</definedName>
    <definedName name="IQ_HG_EXP_ENTERTAINMENT" hidden="1">"c8736"</definedName>
    <definedName name="IQ_HG_EXP_FOOD_BEV" hidden="1">"c8734"</definedName>
    <definedName name="IQ_HG_EXP_FRANCHISE_MANAGEMENT" hidden="1">"c8744"</definedName>
    <definedName name="IQ_HG_EXP_OTHER_DIRECT_HOTEL_MOTEL" hidden="1">"c15995"</definedName>
    <definedName name="IQ_HG_EXP_OTHER_MNGD_FRANCHISE_PROP" hidden="1">"c8742"</definedName>
    <definedName name="IQ_HG_EXP_OWNED_LEASED_CONSOL_JV" hidden="1">"c8740"</definedName>
    <definedName name="IQ_HG_EXP_REIMBURSEMENTS" hidden="1">"c8743"</definedName>
    <definedName name="IQ_HG_EXP_RETAIL" hidden="1">"c8737"</definedName>
    <definedName name="IQ_HG_EXP_ROOMS" hidden="1">"c8735"</definedName>
    <definedName name="IQ_HG_EXP_THEATRE_CONCESSION" hidden="1">"c8739"</definedName>
    <definedName name="IQ_HG_EXP_VACA_OWNERSHIP_RES" hidden="1">"c8741"</definedName>
    <definedName name="IQ_HG_FOOD_BEV_EXP_DIRECT_OPERATING_EXP" hidden="1">"c15980"</definedName>
    <definedName name="IQ_HG_FOOD_BEV_REV_TOTAL_REV" hidden="1">"c15983"</definedName>
    <definedName name="IQ_HG_FOOD_PROM_COSTS" hidden="1">"c8746"</definedName>
    <definedName name="IQ_HG_FRANCHISE_HOTEL_PROPERTIES_BEG" hidden="1">"c8582"</definedName>
    <definedName name="IQ_HG_FRANCHISE_ROOMS_BEG" hidden="1">"c8612"</definedName>
    <definedName name="IQ_HG_GAMING_SPACE_JV" hidden="1">"c8635"</definedName>
    <definedName name="IQ_HG_GAMING_SPACE_MANAGED" hidden="1">"c8636"</definedName>
    <definedName name="IQ_HG_GAMING_SPACE_OWNED" hidden="1">"c8634"</definedName>
    <definedName name="IQ_HG_GAMING_SPACE_TOTAL" hidden="1">"c8637"</definedName>
    <definedName name="IQ_HG_HOTEL_PROPERTIES_BEG" hidden="1">"c8570"</definedName>
    <definedName name="IQ_HG_LAND_AVAIL_JV" hidden="1">"c8647"</definedName>
    <definedName name="IQ_HG_LAND_AVAIL_MANAGED" hidden="1">"c8648"</definedName>
    <definedName name="IQ_HG_LAND_AVAIL_OWNED" hidden="1">"c8646"</definedName>
    <definedName name="IQ_HG_LAND_AVAIL_TOTAL" hidden="1">"c8649"</definedName>
    <definedName name="IQ_HG_LAND_JV" hidden="1">"c8651"</definedName>
    <definedName name="IQ_HG_LAND_MANAGED" hidden="1">"c8652"</definedName>
    <definedName name="IQ_HG_LAND_OWNED" hidden="1">"c8650"</definedName>
    <definedName name="IQ_HG_LAND_TOTAL" hidden="1">"c8653"</definedName>
    <definedName name="IQ_HG_MANAGED_HOTEL_PROPERTIES_BEG" hidden="1">"c8588"</definedName>
    <definedName name="IQ_HG_MANAGED_ROOMS_BEG" hidden="1">"c8618"</definedName>
    <definedName name="IQ_HG_NUMBER_SUITES" hidden="1">"c15970"</definedName>
    <definedName name="IQ_HG_NUMBER_TABLES_AVG" hidden="1">"c15973"</definedName>
    <definedName name="IQ_HG_OCCUPANCY_CHANGE_FRANCHISE" hidden="1">"c8675"</definedName>
    <definedName name="IQ_HG_OCCUPANCY_CHANGE_MANAGED" hidden="1">"c8677"</definedName>
    <definedName name="IQ_HG_OCCUPANCY_CHANGE_OTHER" hidden="1">"c8679"</definedName>
    <definedName name="IQ_HG_OCCUPANCY_CHANGE_OWNED" hidden="1">"c8673"</definedName>
    <definedName name="IQ_HG_OCCUPANCY_CHANGE_OWNED_COMP" hidden="1">"c8705"</definedName>
    <definedName name="IQ_HG_OCCUPANCY_CHANGE_TOTAL" hidden="1">"c8681"</definedName>
    <definedName name="IQ_HG_OCCUPANCY_CHANGE_TOTAL_COMP" hidden="1">"c8707"</definedName>
    <definedName name="IQ_HG_OCCUPANCY_FRANCHISE" hidden="1">"c8659"</definedName>
    <definedName name="IQ_HG_OCCUPANCY_INCDEC_FRANCHISE" hidden="1">"c8676"</definedName>
    <definedName name="IQ_HG_OCCUPANCY_INCDEC_MANAGED" hidden="1">"c8678"</definedName>
    <definedName name="IQ_HG_OCCUPANCY_INCDEC_OTHER" hidden="1">"c8680"</definedName>
    <definedName name="IQ_HG_OCCUPANCY_INCDEC_OWNED" hidden="1">"c8674"</definedName>
    <definedName name="IQ_HG_OCCUPANCY_INCDEC_OWNED_COMP" hidden="1">"c8706"</definedName>
    <definedName name="IQ_HG_OCCUPANCY_INCDEC_TOTAL" hidden="1">"c8682"</definedName>
    <definedName name="IQ_HG_OCCUPANCY_INCDEC_TOTAL_COMP" hidden="1">"c8708"</definedName>
    <definedName name="IQ_HG_OCCUPANCY_MANAGED" hidden="1">"c8660"</definedName>
    <definedName name="IQ_HG_OCCUPANCY_OTHER" hidden="1">"c8661"</definedName>
    <definedName name="IQ_HG_OCCUPANCY_OWNED" hidden="1">"c8658"</definedName>
    <definedName name="IQ_HG_OCCUPANCY_OWNED_COMP" hidden="1">"c8699"</definedName>
    <definedName name="IQ_HG_OCCUPANCY_TOTAL" hidden="1">"c8662"</definedName>
    <definedName name="IQ_HG_OCCUPANCY_TOTAL_COMP" hidden="1">"c8700"</definedName>
    <definedName name="IQ_HG_OPENED_FRANCHISE_HOTEL_PROPERTIES" hidden="1">"c8583"</definedName>
    <definedName name="IQ_HG_OPENED_FRANCHISE_ROOMS" hidden="1">"c8613"</definedName>
    <definedName name="IQ_HG_OPENED_HOTEL_PROPERTIES" hidden="1">"c8571"</definedName>
    <definedName name="IQ_HG_OPENED_MANAGED_HOTEL_PROPERTIES" hidden="1">"c8589"</definedName>
    <definedName name="IQ_HG_OPENED_MANAGED_ROOMS" hidden="1">"c8619"</definedName>
    <definedName name="IQ_HG_OPENED_OTHER_HOTEL_PROPERTIES" hidden="1">"c8595"</definedName>
    <definedName name="IQ_HG_OPENED_OTHER_ROOMS" hidden="1">"c8625"</definedName>
    <definedName name="IQ_HG_OPENED_OWNED_HOTEL_PROPERTIES" hidden="1">"c8577"</definedName>
    <definedName name="IQ_HG_OPENED_OWNED_ROOMS" hidden="1">"c8607"</definedName>
    <definedName name="IQ_HG_OPENED_ROOMS" hidden="1">"c8601"</definedName>
    <definedName name="IQ_HG_OTHER_HOTEL_PROPERTIES_BEG" hidden="1">"c8594"</definedName>
    <definedName name="IQ_HG_OTHER_PROM_COSTS" hidden="1">"c8747"</definedName>
    <definedName name="IQ_HG_OTHER_ROOMS_BEG" hidden="1">"c8624"</definedName>
    <definedName name="IQ_HG_OWNED_HOTEL_PROPERTIES_BEG" hidden="1">"c8576"</definedName>
    <definedName name="IQ_HG_OWNED_ROOMS_BEG" hidden="1">"c8606"</definedName>
    <definedName name="IQ_HG_PARKING_SPACES_JV" hidden="1">"c8655"</definedName>
    <definedName name="IQ_HG_PARKING_SPACES_MANAGED" hidden="1">"c8656"</definedName>
    <definedName name="IQ_HG_PARKING_SPACES_OWNED" hidden="1">"c8654"</definedName>
    <definedName name="IQ_HG_PARKING_SPACES_TOTAL" hidden="1">"c8657"</definedName>
    <definedName name="IQ_HG_PROMO_ALLOW_GROSS_OPERATING_REV" hidden="1">"c15979"</definedName>
    <definedName name="IQ_HG_REV_BASE_MANAGEMENT_FEES" hidden="1">"c8726"</definedName>
    <definedName name="IQ_HG_REV_CASINO" hidden="1">"c8713"</definedName>
    <definedName name="IQ_HG_REV_COST_REIMBURSEMENT" hidden="1">"c8728"</definedName>
    <definedName name="IQ_HG_REV_ENTERTAINMENT" hidden="1">"c8716"</definedName>
    <definedName name="IQ_HG_REV_FOOD_BEV" hidden="1">"c8714"</definedName>
    <definedName name="IQ_HG_REV_FRANCHISE" hidden="1">"c8725"</definedName>
    <definedName name="IQ_HG_REV_GROSS_OPERATING" hidden="1">"c15993"</definedName>
    <definedName name="IQ_HG_REV_INCENTIVE_MANAGEMENT_FEES" hidden="1">"c8727"</definedName>
    <definedName name="IQ_HG_REV_MANAGEMENT_FEES" hidden="1">"c8718"</definedName>
    <definedName name="IQ_HG_REV_OTHER_CASINO" hidden="1">"c15992"</definedName>
    <definedName name="IQ_HG_REV_OTHER_MNGD_FRANCHISE_PROP" hidden="1">"c8730"</definedName>
    <definedName name="IQ_HG_REV_OTHER_OP_SEGMENT" hidden="1">"c8721"</definedName>
    <definedName name="IQ_HG_REV_OTHER_OWNERSHIP_MIX" hidden="1">"c8731"</definedName>
    <definedName name="IQ_HG_REV_OWNED_LEASED_CONSOL_JV_HOTELS" hidden="1">"c8724"</definedName>
    <definedName name="IQ_HG_REV_PROMOTIONAL_ALLOWANCE" hidden="1">"c8722"</definedName>
    <definedName name="IQ_HG_REV_RACING" hidden="1">"c8719"</definedName>
    <definedName name="IQ_HG_REV_RETAIL" hidden="1">"c8717"</definedName>
    <definedName name="IQ_HG_REV_ROOMS" hidden="1">"c8715"</definedName>
    <definedName name="IQ_HG_REV_SLOT_MACHINE" hidden="1">"c15990"</definedName>
    <definedName name="IQ_HG_REV_TABLE" hidden="1">"c15991"</definedName>
    <definedName name="IQ_HG_REV_THEATRE_CONCESSION" hidden="1">"c8720"</definedName>
    <definedName name="IQ_HG_REV_TOTAL_OP_SEGMENT" hidden="1">"c8723"</definedName>
    <definedName name="IQ_HG_REV_TOTAL_OWNERSHIP_MIX" hidden="1">"c8732"</definedName>
    <definedName name="IQ_HG_REV_VACA_OWNERSHIP_RES_SALES_SVCS" hidden="1">"c8729"</definedName>
    <definedName name="IQ_HG_REVENUES_CHANGE_OWNED_COMP" hidden="1">"c8697"</definedName>
    <definedName name="IQ_HG_REVENUES_CHANGE_TOTAL_COMP" hidden="1">"c8698"</definedName>
    <definedName name="IQ_HG_REVPAR_CHANGE_MANAGED" hidden="1">"c8690"</definedName>
    <definedName name="IQ_HG_REVPAR_CHANGE_OTHER" hidden="1">"c8691"</definedName>
    <definedName name="IQ_HG_REVPAR_CHANGE_OWNED" hidden="1">"c8688"</definedName>
    <definedName name="IQ_HG_REVPAR_CHANGE_OWNED_COMP" hidden="1">"c8711"</definedName>
    <definedName name="IQ_HG_REVPAR_CHANGE_TOTAL" hidden="1">"c8692"</definedName>
    <definedName name="IQ_HG_REVPAR_CHANGE_TOTAL_COMP" hidden="1">"c8712"</definedName>
    <definedName name="IQ_HG_REVPAR_CHNAGE_FRANCHISE" hidden="1">"c8689"</definedName>
    <definedName name="IQ_HG_REVPAR_FRANCHISE" hidden="1">"c8669"</definedName>
    <definedName name="IQ_HG_REVPAR_MANAGED" hidden="1">"c8670"</definedName>
    <definedName name="IQ_HG_REVPAR_OTHER" hidden="1">"c8671"</definedName>
    <definedName name="IQ_HG_REVPAR_OWNED" hidden="1">"c8668"</definedName>
    <definedName name="IQ_HG_REVPAR_OWNED_COMP" hidden="1">"c8703"</definedName>
    <definedName name="IQ_HG_REVPAR_TOTAL" hidden="1">"c8672"</definedName>
    <definedName name="IQ_HG_REVPAR_TOTAL_COMP" hidden="1">"c8704"</definedName>
    <definedName name="IQ_HG_ROOM_EXP_DIRECT_OPERATING_EXP" hidden="1">"c15982"</definedName>
    <definedName name="IQ_HG_ROOM_GROSS_PROFIT" hidden="1">"c15975"</definedName>
    <definedName name="IQ_HG_ROOM_MARGIN" hidden="1">"c15978"</definedName>
    <definedName name="IQ_HG_ROOM_PROM_COSTS" hidden="1">"c8745"</definedName>
    <definedName name="IQ_HG_ROOM_REV_TOTAL_REV" hidden="1">"c15984"</definedName>
    <definedName name="IQ_HG_ROOMS_BEG" hidden="1">"c8600"</definedName>
    <definedName name="IQ_HG_SAME_PROPERTIES_CASINO_REV_CHANGE" hidden="1">"c15987"</definedName>
    <definedName name="IQ_HG_SAME_PROPERTIES_FOOD_BEV_REV_CHANGE" hidden="1">"c15989"</definedName>
    <definedName name="IQ_HG_SAME_PROPERTIES_ROOM_REV_CHANGE" hidden="1">"c15988"</definedName>
    <definedName name="IQ_HG_SAME_PROPERTIES_SLOT_MACHINE_REV_CHANGE" hidden="1">"c15985"</definedName>
    <definedName name="IQ_HG_SAME_PROPERTIES_TABLE_REV_CHANGE" hidden="1">"c15986"</definedName>
    <definedName name="IQ_HG_SLOT_MACHINES_AVG" hidden="1">"c15972"</definedName>
    <definedName name="IQ_HG_SLOT_MACHINES_JV" hidden="1">"c8639"</definedName>
    <definedName name="IQ_HG_SLOT_MACHINES_MANAGED" hidden="1">"c8640"</definedName>
    <definedName name="IQ_HG_SLOT_MACHINES_OWNED" hidden="1">"c8638"</definedName>
    <definedName name="IQ_HG_SLOT_MACHINES_TOTAL" hidden="1">"c8641"</definedName>
    <definedName name="IQ_HG_SOLD_FRANCHISE_HOTEL_PROPERTIES" hidden="1">"c8585"</definedName>
    <definedName name="IQ_HG_SOLD_FRANCHISE_ROOMS" hidden="1">"c8615"</definedName>
    <definedName name="IQ_HG_SOLD_HOTEL_PROPERTIES" hidden="1">"c8573"</definedName>
    <definedName name="IQ_HG_SOLD_MANAGED_HOTEL_PROPERTIES" hidden="1">"c8591"</definedName>
    <definedName name="IQ_HG_SOLD_MANAGED_ROOMS" hidden="1">"c8621"</definedName>
    <definedName name="IQ_HG_SOLD_OTHER_HOTEL_PROPERTIES" hidden="1">"c8597"</definedName>
    <definedName name="IQ_HG_SOLD_OTHER_ROOMS" hidden="1">"c8627"</definedName>
    <definedName name="IQ_HG_SOLD_OWNED_HOTEL_PROPERTIES" hidden="1">"c8579"</definedName>
    <definedName name="IQ_HG_SOLD_OWNED_ROOMS" hidden="1">"c8609"</definedName>
    <definedName name="IQ_HG_SOLD_ROOMS" hidden="1">"c8603"</definedName>
    <definedName name="IQ_HG_TABLE_GAMES_JV" hidden="1">"c8643"</definedName>
    <definedName name="IQ_HG_TABLE_GAMES_MANAGED" hidden="1">"c8644"</definedName>
    <definedName name="IQ_HG_TABLE_GAMES_OWNED" hidden="1">"c8642"</definedName>
    <definedName name="IQ_HG_TABLE_GAMES_TOTAL" hidden="1">"c8645"</definedName>
    <definedName name="IQ_HG_TABLES_JV" hidden="1">"c8643"</definedName>
    <definedName name="IQ_HG_TABLES_MANAGED" hidden="1">"c8644"</definedName>
    <definedName name="IQ_HG_TABLES_OWNED" hidden="1">"c8642"</definedName>
    <definedName name="IQ_HG_TABLES_TOTAL" hidden="1">"c8645"</definedName>
    <definedName name="IQ_HG_TOTAL_FRANCHISE_HOTEL_PROPERTIES" hidden="1">"c8587"</definedName>
    <definedName name="IQ_HG_TOTAL_FRANCHISE_ROOMS" hidden="1">"c8617"</definedName>
    <definedName name="IQ_HG_TOTAL_HOTEL_PROPERTIES" hidden="1">"c8575"</definedName>
    <definedName name="IQ_HG_TOTAL_MANAGED_HOTEL_PROPERTIES" hidden="1">"c8593"</definedName>
    <definedName name="IQ_HG_TOTAL_MANAGED_ROOMS" hidden="1">"c8623"</definedName>
    <definedName name="IQ_HG_TOTAL_OTHER_HOTEL_PROPERTIES" hidden="1">"c8599"</definedName>
    <definedName name="IQ_HG_TOTAL_OTHER_ROOMS" hidden="1">"c8629"</definedName>
    <definedName name="IQ_HG_TOTAL_OWNED_HOTEL_PROPERTIES" hidden="1">"c8581"</definedName>
    <definedName name="IQ_HG_TOTAL_OWNED_PROPERTIES_COMP" hidden="1">"c8693"</definedName>
    <definedName name="IQ_HG_TOTAL_OWNED_ROOMS" hidden="1">"c8611"</definedName>
    <definedName name="IQ_HG_TOTAL_OWNED_ROOMS_COMP" hidden="1">"c8695"</definedName>
    <definedName name="IQ_HG_TOTAL_PROM_COSTS" hidden="1">"c8748"</definedName>
    <definedName name="IQ_HG_TOTAL_PROPERTIES_COMP" hidden="1">"c8694"</definedName>
    <definedName name="IQ_HG_TOTAL_ROOMS" hidden="1">"c8605"</definedName>
    <definedName name="IQ_HG_TOTAL_ROOMS_COMP" hidden="1">"c8696"</definedName>
    <definedName name="IQ_HIGH_LOW_CLOSEPRICE_DATE" hidden="1">"c1204"</definedName>
    <definedName name="IQ_HIGH_SULFUR_CONTENT_RESERVES_COAL" hidden="1">"c15928"</definedName>
    <definedName name="IQ_HIGH_SULFURE_RESERVES_TO_TOTAL_RESERVES_COAL" hidden="1">"c15963"</definedName>
    <definedName name="IQ_HIGH_TARGET_PRICE" hidden="1">"c1651"</definedName>
    <definedName name="IQ_HIGH_TARGET_PRICE_CIQ" hidden="1">"c4659"</definedName>
    <definedName name="IQ_HIGH_TARGET_PRICE_REUT" hidden="1">"c5317"</definedName>
    <definedName name="IQ_HIGH_TARGET_PRICE_THOM" hidden="1">"c5096"</definedName>
    <definedName name="IQ_HIGHPRICE" hidden="1">"c545"</definedName>
    <definedName name="IQ_HOLDER_CIQID" hidden="1">"c13787"</definedName>
    <definedName name="IQ_HOLDER_CIQID_SECURITY" hidden="1">"c13794"</definedName>
    <definedName name="IQ_HOLDER_DERIVATIVES" hidden="1">"c13789"</definedName>
    <definedName name="IQ_HOLDER_DERIVATIVES_SECURITY" hidden="1">"c13796"</definedName>
    <definedName name="IQ_HOLDER_FUND_CIQID" hidden="1">"c19084"</definedName>
    <definedName name="IQ_HOLDER_FUND_DERIVATIVES" hidden="1">"c19115"</definedName>
    <definedName name="IQ_HOLDER_FUND_NAME" hidden="1">"c19083"</definedName>
    <definedName name="IQ_HOLDER_FUND_NUMBER" hidden="1">"c19090"</definedName>
    <definedName name="IQ_HOLDER_FUND_PERCENT" hidden="1">"c19085"</definedName>
    <definedName name="IQ_HOLDER_FUND_POSITION_DATE" hidden="1">"c19088"</definedName>
    <definedName name="IQ_HOLDER_FUND_PRIMARY_ADVISOR" hidden="1">"c19089"</definedName>
    <definedName name="IQ_HOLDER_FUND_SHARES" hidden="1">"c19086"</definedName>
    <definedName name="IQ_HOLDER_FUND_VALUE" hidden="1">"c19087"</definedName>
    <definedName name="IQ_HOLDER_NAME" hidden="1">"c13786"</definedName>
    <definedName name="IQ_HOLDER_NAME_SECURITY" hidden="1">"c13793"</definedName>
    <definedName name="IQ_HOLDER_PERCENT" hidden="1">"c13790"</definedName>
    <definedName name="IQ_HOLDER_PERCENT_SECURITY" hidden="1">"c13831"</definedName>
    <definedName name="IQ_HOLDER_POSITION_DATE" hidden="1">"c13792"</definedName>
    <definedName name="IQ_HOLDER_POSITION_DATE_SECURITY" hidden="1">"c13798"</definedName>
    <definedName name="IQ_HOLDER_SHARES" hidden="1">"c13788"</definedName>
    <definedName name="IQ_HOLDER_SHARES_SECURITY" hidden="1">"c13795"</definedName>
    <definedName name="IQ_HOLDER_VALUE" hidden="1">"c13791"</definedName>
    <definedName name="IQ_HOLDER_VALUE_SECURITY" hidden="1">"c13797"</definedName>
    <definedName name="IQ_HOLDING_CIQID" hidden="1">"c13802"</definedName>
    <definedName name="IQ_HOLDING_NAME" hidden="1">"c13799"</definedName>
    <definedName name="IQ_HOLDING_PERCENT" hidden="1">"c13805"</definedName>
    <definedName name="IQ_HOLDING_PERCENT_PORTFOLIO" hidden="1">"c13806"</definedName>
    <definedName name="IQ_HOLDING_POSITION_DATE" hidden="1">"c13808"</definedName>
    <definedName name="IQ_HOLDING_SECURITY_TYPE" hidden="1">"c13803"</definedName>
    <definedName name="IQ_HOLDING_SHARES" hidden="1">"c13804"</definedName>
    <definedName name="IQ_HOLDING_TICKER" hidden="1">"c13800"</definedName>
    <definedName name="IQ_HOLDING_TRADING_ITEM_CIQID" hidden="1">"c13801"</definedName>
    <definedName name="IQ_HOLDING_VALUE" hidden="1">"c13807"</definedName>
    <definedName name="IQ_HOLDINGS_AFRICA_MIDEAST_PERCENT" hidden="1">"c19235"</definedName>
    <definedName name="IQ_HOLDINGS_AFRICA_MIDEAST_VALUE" hidden="1">"c19234"</definedName>
    <definedName name="IQ_HOLDINGS_ASIA_PERCENT" hidden="1">"c19233"</definedName>
    <definedName name="IQ_HOLDINGS_ASIA_VALUE" hidden="1">"c19232"</definedName>
    <definedName name="IQ_HOLDINGS_CONSUMER_DISCRETIONARY_PERCENT" hidden="1">"c19213"</definedName>
    <definedName name="IQ_HOLDINGS_CONSUMER_DISCRETIONARY_VALUE" hidden="1">"c19212"</definedName>
    <definedName name="IQ_HOLDINGS_CONSUMER_STAPLES_PERCENT" hidden="1">"c19219"</definedName>
    <definedName name="IQ_HOLDINGS_CONSUMER_STAPLES_VALUE" hidden="1">"c19218"</definedName>
    <definedName name="IQ_HOLDINGS_ENERGY_PERCENT" hidden="1">"c19215"</definedName>
    <definedName name="IQ_HOLDINGS_ENERGY_VALUE" hidden="1">"c19214"</definedName>
    <definedName name="IQ_HOLDINGS_EUROPE_PERCENT" hidden="1">"c19229"</definedName>
    <definedName name="IQ_HOLDINGS_EUROPE_VALUE" hidden="1">"c19228"</definedName>
    <definedName name="IQ_HOLDINGS_FINANCIALS_PERCENT" hidden="1">"c19209"</definedName>
    <definedName name="IQ_HOLDINGS_FINANCIALS_VALUE" hidden="1">"c19208"</definedName>
    <definedName name="IQ_HOLDINGS_HEALTHCARE_PERCENT" hidden="1">"c19211"</definedName>
    <definedName name="IQ_HOLDINGS_HEALTHCARE_VALUE" hidden="1">"c19210"</definedName>
    <definedName name="IQ_HOLDINGS_INDUSTRIALS_PERCENT" hidden="1">"c19217"</definedName>
    <definedName name="IQ_HOLDINGS_INDUSTRIALS_VALUE" hidden="1">"c19216"</definedName>
    <definedName name="IQ_HOLDINGS_IT_PERCENT" hidden="1">"c19207"</definedName>
    <definedName name="IQ_HOLDINGS_IT_VALUE" hidden="1">"c19206"</definedName>
    <definedName name="IQ_HOLDINGS_LATIN_CARIBBEAN_PERCENT" hidden="1">"c19231"</definedName>
    <definedName name="IQ_HOLDINGS_LATIN_CARIBBEAN_VALUE" hidden="1">"c19230"</definedName>
    <definedName name="IQ_HOLDINGS_MATERIALS_PERCENT" hidden="1">"c19223"</definedName>
    <definedName name="IQ_HOLDINGS_MATERIALS_VALUE" hidden="1">"c19222"</definedName>
    <definedName name="IQ_HOLDINGS_TELECOMM_PERCENT" hidden="1">"c19221"</definedName>
    <definedName name="IQ_HOLDINGS_TELECOMM_VALUE" hidden="1">"c19220"</definedName>
    <definedName name="IQ_HOLDINGS_US_CANADA_PERCENT" hidden="1">"c19227"</definedName>
    <definedName name="IQ_HOLDINGS_US_CANADA_VALUE" hidden="1">"c19226"</definedName>
    <definedName name="IQ_HOLDINGS_UTILITIES_PERCENT" hidden="1">"c19225"</definedName>
    <definedName name="IQ_HOLDINGS_UTILITIES_VALUE" hidden="1">"c19224"</definedName>
    <definedName name="IQ_HOME_AVG_LOAN_SIZE" hidden="1">"c5911"</definedName>
    <definedName name="IQ_HOME_BACKLOG" hidden="1">"c5844"</definedName>
    <definedName name="IQ_HOME_BACKLOG_AVG_JV" hidden="1">"c5848"</definedName>
    <definedName name="IQ_HOME_BACKLOG_AVG_JV_GROWTH" hidden="1">"c5928"</definedName>
    <definedName name="IQ_HOME_BACKLOG_AVG_JV_INC" hidden="1">"c5851"</definedName>
    <definedName name="IQ_HOME_BACKLOG_AVG_JV_INC_GROWTH" hidden="1">"c5931"</definedName>
    <definedName name="IQ_HOME_BACKLOG_AVG_PRICE" hidden="1">"c5845"</definedName>
    <definedName name="IQ_HOME_BACKLOG_AVG_PRICE_GROWTH" hidden="1">"c5925"</definedName>
    <definedName name="IQ_HOME_BACKLOG_GROWTH" hidden="1">"c5924"</definedName>
    <definedName name="IQ_HOME_BACKLOG_JV" hidden="1">"c5847"</definedName>
    <definedName name="IQ_HOME_BACKLOG_JV_GROWTH" hidden="1">"c5927"</definedName>
    <definedName name="IQ_HOME_BACKLOG_JV_INC" hidden="1">"c5850"</definedName>
    <definedName name="IQ_HOME_BACKLOG_JV_INC_GROWTH" hidden="1">"c5930"</definedName>
    <definedName name="IQ_HOME_BACKLOG_VALUE" hidden="1">"c5846"</definedName>
    <definedName name="IQ_HOME_BACKLOG_VALUE_GROWTH" hidden="1">"c5926"</definedName>
    <definedName name="IQ_HOME_BACKLOG_VALUE_JV" hidden="1">"c5849"</definedName>
    <definedName name="IQ_HOME_BACKLOG_VALUE_JV_GROWTH" hidden="1">"c5929"</definedName>
    <definedName name="IQ_HOME_BACKLOG_VALUE_JV_INC" hidden="1">"c5852"</definedName>
    <definedName name="IQ_HOME_BACKLOG_VALUE_JV_INC_GROWTH" hidden="1">"c5932"</definedName>
    <definedName name="IQ_HOME_CANCELLATION_RATE" hidden="1">"c16192"</definedName>
    <definedName name="IQ_HOME_CANCELLATION_RATE_INCL_JV" hidden="1">"c16194"</definedName>
    <definedName name="IQ_HOME_CANCELLATION_RATE_JV" hidden="1">"c16193"</definedName>
    <definedName name="IQ_HOME_COMMUNITIES_ACTIVE" hidden="1">"c5862"</definedName>
    <definedName name="IQ_HOME_COMMUNITIES_ACTIVE_GROWTH" hidden="1">"c5942"</definedName>
    <definedName name="IQ_HOME_COMMUNITIES_ACTIVE_JV" hidden="1">"c5863"</definedName>
    <definedName name="IQ_HOME_COMMUNITIES_ACTIVE_JV_GROWTH" hidden="1">"c5943"</definedName>
    <definedName name="IQ_HOME_COMMUNITIES_ACTIVE_JV_INC" hidden="1">"c5864"</definedName>
    <definedName name="IQ_HOME_COMMUNITIES_ACTIVE_JV_INC_GROWTH" hidden="1">"c5944"</definedName>
    <definedName name="IQ_HOME_COST_CONSTRUCTION_SVCS" hidden="1">"c5882"</definedName>
    <definedName name="IQ_HOME_COST_ELIMINATIONS_OTHER" hidden="1">"c5883"</definedName>
    <definedName name="IQ_HOME_COST_FINANCIAL_SVCS" hidden="1">"c5881"</definedName>
    <definedName name="IQ_HOME_COST_HOUSING" hidden="1">"c5877"</definedName>
    <definedName name="IQ_HOME_COST_LAND_LOT" hidden="1">"c5878"</definedName>
    <definedName name="IQ_HOME_COST_OTHER_HOMEBUILDING" hidden="1">"c5879"</definedName>
    <definedName name="IQ_HOME_COST_TOTAL" hidden="1">"c5884"</definedName>
    <definedName name="IQ_HOME_COST_TOTAL_HOMEBUILDING" hidden="1">"c5880"</definedName>
    <definedName name="IQ_HOME_DELIVERED" hidden="1">"c5835"</definedName>
    <definedName name="IQ_HOME_DELIVERED_AVG_PRICE" hidden="1">"c5836"</definedName>
    <definedName name="IQ_HOME_DELIVERED_AVG_PRICE_GROWTH" hidden="1">"c5916"</definedName>
    <definedName name="IQ_HOME_DELIVERED_AVG_PRICE_JV" hidden="1">"c5839"</definedName>
    <definedName name="IQ_HOME_DELIVERED_AVG_PRICE_JV_GROWTH" hidden="1">"c5919"</definedName>
    <definedName name="IQ_HOME_DELIVERED_AVG_PRICE_JV_INC" hidden="1">"c5842"</definedName>
    <definedName name="IQ_HOME_DELIVERED_AVG_PRICE_JV_INC_GROWTH" hidden="1">"c5922"</definedName>
    <definedName name="IQ_HOME_DELIVERED_GROWTH" hidden="1">"c5915"</definedName>
    <definedName name="IQ_HOME_DELIVERED_JV" hidden="1">"c5838"</definedName>
    <definedName name="IQ_HOME_DELIVERED_JV_GROWTH" hidden="1">"c5918"</definedName>
    <definedName name="IQ_HOME_DELIVERED_JV_INC" hidden="1">"c5841"</definedName>
    <definedName name="IQ_HOME_DELIVERED_JV_INC_GROWTH" hidden="1">"c5921"</definedName>
    <definedName name="IQ_HOME_DELIVERED_VALUE" hidden="1">"c5837"</definedName>
    <definedName name="IQ_HOME_DELIVERED_VALUE_GROWTH" hidden="1">"c5917"</definedName>
    <definedName name="IQ_HOME_DELIVERED_VALUE_JV" hidden="1">"c5840"</definedName>
    <definedName name="IQ_HOME_DELIVERED_VALUE_JV_GROWTH" hidden="1">"c5920"</definedName>
    <definedName name="IQ_HOME_DELIVERED_VALUE_JV_INC" hidden="1">"c5843"</definedName>
    <definedName name="IQ_HOME_DELIVERED_VALUE_JV_INC_GROWTH" hidden="1">"c5923"</definedName>
    <definedName name="IQ_HOME_EQUITY_LOANS_TOT_LOANS_FFIEC" hidden="1">"c13867"</definedName>
    <definedName name="IQ_HOME_EQUITY_LOC_NET_CHARGE_OFFS_FDIC" hidden="1">"c6644"</definedName>
    <definedName name="IQ_HOME_EQUITY_LOC_TOTAL_CHARGE_OFFS_FDIC" hidden="1">"c6606"</definedName>
    <definedName name="IQ_HOME_EQUITY_LOC_TOTAL_RECOVERIES_FDIC" hidden="1">"c6625"</definedName>
    <definedName name="IQ_HOME_FINISHED_HOMES_CIP" hidden="1">"c5865"</definedName>
    <definedName name="IQ_HOME_FIRSTLIEN_MORT_ORIGINATED" hidden="1">"c5905"</definedName>
    <definedName name="IQ_HOME_FIRSTLIEN_MORT_ORIGINATED_VOL" hidden="1">"c5908"</definedName>
    <definedName name="IQ_HOME_HUC" hidden="1">"c5822"</definedName>
    <definedName name="IQ_HOME_HUC_JV" hidden="1">"c5823"</definedName>
    <definedName name="IQ_HOME_HUC_JV_INC" hidden="1">"c5824"</definedName>
    <definedName name="IQ_HOME_INV_NOT_OWNED" hidden="1">"c5868"</definedName>
    <definedName name="IQ_HOME_LAND_DEVELOPMENT" hidden="1">"c5866"</definedName>
    <definedName name="IQ_HOME_LAND_FUTURE_DEVELOPMENT" hidden="1">"c5867"</definedName>
    <definedName name="IQ_HOME_LOAN_APPLICATIONS" hidden="1">"c5910"</definedName>
    <definedName name="IQ_HOME_LOANS_SOLD_COUNT" hidden="1">"c5912"</definedName>
    <definedName name="IQ_HOME_LOANS_SOLD_VALUE" hidden="1">"c5913"</definedName>
    <definedName name="IQ_HOME_LOTS_CONTROLLED" hidden="1">"c5831"</definedName>
    <definedName name="IQ_HOME_LOTS_FINISHED" hidden="1">"c5827"</definedName>
    <definedName name="IQ_HOME_LOTS_HELD_SALE" hidden="1">"c5830"</definedName>
    <definedName name="IQ_HOME_LOTS_JV" hidden="1">"c5833"</definedName>
    <definedName name="IQ_HOME_LOTS_JV_INC" hidden="1">"c5834"</definedName>
    <definedName name="IQ_HOME_LOTS_OTHER" hidden="1">"c5832"</definedName>
    <definedName name="IQ_HOME_LOTS_OWNED" hidden="1">"c5828"</definedName>
    <definedName name="IQ_HOME_LOTS_UNDER_DEVELOPMENT" hidden="1">"c5826"</definedName>
    <definedName name="IQ_HOME_LOTS_UNDER_OPTION" hidden="1">"c5829"</definedName>
    <definedName name="IQ_HOME_LOTS_UNDEVELOPED" hidden="1">"c5825"</definedName>
    <definedName name="IQ_HOME_MORT_CAPTURE_RATE" hidden="1">"c5906"</definedName>
    <definedName name="IQ_HOME_MORT_ORIGINATED" hidden="1">"c5907"</definedName>
    <definedName name="IQ_HOME_OBLIGATIONS_INV_NOT_OWNED" hidden="1">"c5914"</definedName>
    <definedName name="IQ_HOME_ORDERS" hidden="1">"c5853"</definedName>
    <definedName name="IQ_HOME_ORDERS_AVG_PRICE" hidden="1">"c5854"</definedName>
    <definedName name="IQ_HOME_ORDERS_AVG_PRICE_GROWTH" hidden="1">"c5934"</definedName>
    <definedName name="IQ_HOME_ORDERS_AVG_PRICE_JV" hidden="1">"c5857"</definedName>
    <definedName name="IQ_HOME_ORDERS_AVG_PRICE_JV_GROWTH" hidden="1">"c5937"</definedName>
    <definedName name="IQ_HOME_ORDERS_AVG_PRICE_JV_INC" hidden="1">"c5860"</definedName>
    <definedName name="IQ_HOME_ORDERS_AVG_PRICE_JV_INC_GROWTH" hidden="1">"c5940"</definedName>
    <definedName name="IQ_HOME_ORDERS_GROWTH" hidden="1">"c5933"</definedName>
    <definedName name="IQ_HOME_ORDERS_JV" hidden="1">"c5856"</definedName>
    <definedName name="IQ_HOME_ORDERS_JV_GROWTH" hidden="1">"c5936"</definedName>
    <definedName name="IQ_HOME_ORDERS_JV_INC" hidden="1">"c5859"</definedName>
    <definedName name="IQ_HOME_ORDERS_JV_INC_GROWTH" hidden="1">"c5939"</definedName>
    <definedName name="IQ_HOME_ORDERS_VALUE" hidden="1">"c5855"</definedName>
    <definedName name="IQ_HOME_ORDERS_VALUE_GROWTH" hidden="1">"c5935"</definedName>
    <definedName name="IQ_HOME_ORDERS_VALUE_JV" hidden="1">"c5858"</definedName>
    <definedName name="IQ_HOME_ORDERS_VALUE_JV_GROWTH" hidden="1">"c5938"</definedName>
    <definedName name="IQ_HOME_ORDERS_VALUE_JV_INC" hidden="1">"c5861"</definedName>
    <definedName name="IQ_HOME_ORDERS_VALUE_JV_INC_GROWTH" hidden="1">"c5941"</definedName>
    <definedName name="IQ_HOME_ORIGINATION_TOTAL" hidden="1">"c5909"</definedName>
    <definedName name="IQ_HOME_PRETAX_INC_CONSTRUCTION_SVCS" hidden="1">"c5890"</definedName>
    <definedName name="IQ_HOME_PRETAX_INC_ELIMINATIONS_OTHER" hidden="1">"c5891"</definedName>
    <definedName name="IQ_HOME_PRETAX_INC_FINANCIAL_SVCS" hidden="1">"c5889"</definedName>
    <definedName name="IQ_HOME_PRETAX_INC_HOUSING" hidden="1">"c5885"</definedName>
    <definedName name="IQ_HOME_PRETAX_INC_LAND_LOT" hidden="1">"c5886"</definedName>
    <definedName name="IQ_HOME_PRETAX_INC_OTHER_HOMEBUILDING" hidden="1">"c5887"</definedName>
    <definedName name="IQ_HOME_PRETAX_INC_TOTAL" hidden="1">"c5892"</definedName>
    <definedName name="IQ_HOME_PRETAX_INC_TOTAL_HOMEBUILDING" hidden="1">"c5888"</definedName>
    <definedName name="IQ_HOME_PURCH_OBLIGATION_1YR" hidden="1">"c5898"</definedName>
    <definedName name="IQ_HOME_PURCH_OBLIGATION_2YR" hidden="1">"c5899"</definedName>
    <definedName name="IQ_HOME_PURCH_OBLIGATION_3YR" hidden="1">"c5900"</definedName>
    <definedName name="IQ_HOME_PURCH_OBLIGATION_4YR" hidden="1">"c5901"</definedName>
    <definedName name="IQ_HOME_PURCH_OBLIGATION_5YR" hidden="1">"c5902"</definedName>
    <definedName name="IQ_HOME_PURCH_OBLIGATION_AFTER5" hidden="1">"c5903"</definedName>
    <definedName name="IQ_HOME_PURCH_OBLIGATION_TOTAL" hidden="1">"c5904"</definedName>
    <definedName name="IQ_HOME_REV_CONSTRUCTION_SERVICES" hidden="1">"c5874"</definedName>
    <definedName name="IQ_HOME_REV_ELIMINATIONS_OTHER" hidden="1">"c5875"</definedName>
    <definedName name="IQ_HOME_REV_FINANCIAL_SERVICES" hidden="1">"c5873"</definedName>
    <definedName name="IQ_HOME_REV_HOUSING" hidden="1">"c5872"</definedName>
    <definedName name="IQ_HOME_REV_LAND_LOT" hidden="1">"c5870"</definedName>
    <definedName name="IQ_HOME_REV_OTHER_HOMEBUILDING" hidden="1">"c5871"</definedName>
    <definedName name="IQ_HOME_REV_TOTAL" hidden="1">"c5876"</definedName>
    <definedName name="IQ_HOME_SALES_NEW" hidden="1">"c6924"</definedName>
    <definedName name="IQ_HOME_SALES_NEW_APR" hidden="1">"c7584"</definedName>
    <definedName name="IQ_HOME_SALES_NEW_APR_FC" hidden="1">"c8464"</definedName>
    <definedName name="IQ_HOME_SALES_NEW_FC" hidden="1">"c7804"</definedName>
    <definedName name="IQ_HOME_SALES_NEW_POP" hidden="1">"c7144"</definedName>
    <definedName name="IQ_HOME_SALES_NEW_POP_FC" hidden="1">"c8024"</definedName>
    <definedName name="IQ_HOME_SALES_NEW_YOY" hidden="1">"c7364"</definedName>
    <definedName name="IQ_HOME_SALES_NEW_YOY_FC" hidden="1">"c8244"</definedName>
    <definedName name="IQ_HOME_TOTAL_INV" hidden="1">"c5869"</definedName>
    <definedName name="IQ_HOME_WARRANTY_RES_BEG" hidden="1">"c5893"</definedName>
    <definedName name="IQ_HOME_WARRANTY_RES_END" hidden="1">"c5897"</definedName>
    <definedName name="IQ_HOME_WARRANTY_RES_ISS" hidden="1">"c5894"</definedName>
    <definedName name="IQ_HOME_WARRANTY_RES_OTHER" hidden="1">"c5896"</definedName>
    <definedName name="IQ_HOME_WARRANTY_RES_PAY" hidden="1">"c5895"</definedName>
    <definedName name="IQ_HOMEBUILDING_COGS_SALES" hidden="1">"c15813"</definedName>
    <definedName name="IQ_HOMEBUILDING_INV_TURN" hidden="1">"c15819"</definedName>
    <definedName name="IQ_HOMEBUILDING_TURN" hidden="1">"c15820"</definedName>
    <definedName name="IQ_HOMEOWNERS_WRITTEN" hidden="1">"c546"</definedName>
    <definedName name="IQ_HOTEL_OPERATING_EXPENSE" hidden="1">"c16042"</definedName>
    <definedName name="IQ_HOTEL_OPERATING_REVENUE" hidden="1">"c16026"</definedName>
    <definedName name="IQ_HOURLY_COMP" hidden="1">"c6879"</definedName>
    <definedName name="IQ_HOURLY_COMP_APR" hidden="1">"c7539"</definedName>
    <definedName name="IQ_HOURLY_COMP_APR_FC" hidden="1">"c8419"</definedName>
    <definedName name="IQ_HOURLY_COMP_FC" hidden="1">"c7759"</definedName>
    <definedName name="IQ_HOURLY_COMP_POP" hidden="1">"c7099"</definedName>
    <definedName name="IQ_HOURLY_COMP_POP_FC" hidden="1">"c7979"</definedName>
    <definedName name="IQ_HOURLY_COMP_YOY" hidden="1">"c7319"</definedName>
    <definedName name="IQ_HOURLY_COMP_YOY_FC" hidden="1">"c8199"</definedName>
    <definedName name="IQ_HOUSING_30YR_MORTGAGE" hidden="1">"c20753"</definedName>
    <definedName name="IQ_HOUSING_COMPLETION" hidden="1">"c20754"</definedName>
    <definedName name="IQ_HOUSING_COMPLETIONS" hidden="1">"c6881"</definedName>
    <definedName name="IQ_HOUSING_COMPLETIONS_APR" hidden="1">"c7541"</definedName>
    <definedName name="IQ_HOUSING_COMPLETIONS_APR_FC" hidden="1">"c8421"</definedName>
    <definedName name="IQ_HOUSING_COMPLETIONS_FC" hidden="1">"c7761"</definedName>
    <definedName name="IQ_HOUSING_COMPLETIONS_POP" hidden="1">"c7101"</definedName>
    <definedName name="IQ_HOUSING_COMPLETIONS_POP_FC" hidden="1">"c7981"</definedName>
    <definedName name="IQ_HOUSING_COMPLETIONS_SINGLE_FAM_APR_FC_UNUSED" hidden="1">"c8422"</definedName>
    <definedName name="IQ_HOUSING_COMPLETIONS_SINGLE_FAM_APR_FC_UNUSED_UNUSED_UNUSED" hidden="1">"c8422"</definedName>
    <definedName name="IQ_HOUSING_COMPLETIONS_SINGLE_FAM_APR_UNUSED" hidden="1">"c7542"</definedName>
    <definedName name="IQ_HOUSING_COMPLETIONS_SINGLE_FAM_APR_UNUSED_UNUSED_UNUSED" hidden="1">"c7542"</definedName>
    <definedName name="IQ_HOUSING_COMPLETIONS_SINGLE_FAM_FC_UNUSED" hidden="1">"c7762"</definedName>
    <definedName name="IQ_HOUSING_COMPLETIONS_SINGLE_FAM_FC_UNUSED_UNUSED_UNUSED" hidden="1">"c7762"</definedName>
    <definedName name="IQ_HOUSING_COMPLETIONS_SINGLE_FAM_POP_FC_UNUSED" hidden="1">"c7982"</definedName>
    <definedName name="IQ_HOUSING_COMPLETIONS_SINGLE_FAM_POP_FC_UNUSED_UNUSED_UNUSED" hidden="1">"c7982"</definedName>
    <definedName name="IQ_HOUSING_COMPLETIONS_SINGLE_FAM_POP_UNUSED" hidden="1">"c7102"</definedName>
    <definedName name="IQ_HOUSING_COMPLETIONS_SINGLE_FAM_POP_UNUSED_UNUSED_UNUSED" hidden="1">"c7102"</definedName>
    <definedName name="IQ_HOUSING_COMPLETIONS_SINGLE_FAM_UNUSED" hidden="1">"c6882"</definedName>
    <definedName name="IQ_HOUSING_COMPLETIONS_SINGLE_FAM_UNUSED_UNUSED_UNUSED" hidden="1">"c6882"</definedName>
    <definedName name="IQ_HOUSING_COMPLETIONS_SINGLE_FAM_YOY_FC_UNUSED" hidden="1">"c8202"</definedName>
    <definedName name="IQ_HOUSING_COMPLETIONS_SINGLE_FAM_YOY_FC_UNUSED_UNUSED_UNUSED" hidden="1">"c8202"</definedName>
    <definedName name="IQ_HOUSING_COMPLETIONS_SINGLE_FAM_YOY_UNUSED" hidden="1">"c7322"</definedName>
    <definedName name="IQ_HOUSING_COMPLETIONS_SINGLE_FAM_YOY_UNUSED_UNUSED_UNUSED" hidden="1">"c7322"</definedName>
    <definedName name="IQ_HOUSING_COMPLETIONS_YOY" hidden="1">"c7321"</definedName>
    <definedName name="IQ_HOUSING_COMPLETIONS_YOY_FC" hidden="1">"c8201"</definedName>
    <definedName name="IQ_HOUSING_CONSTRUCTION_PERMITS" hidden="1">"c20755"</definedName>
    <definedName name="IQ_HOUSING_CONSTRUCTION_PRIVATE" hidden="1">"c20756"</definedName>
    <definedName name="IQ_HOUSING_EXISTING_HOME_SALES" hidden="1">"c20757"</definedName>
    <definedName name="IQ_HOUSING_HOMEOWNER_VACANCY" hidden="1">"c20758"</definedName>
    <definedName name="IQ_HOUSING_HOMEOWNERSHIP_RATE" hidden="1">"c20759"</definedName>
    <definedName name="IQ_HOUSING_MEDIAN_SALES_PRICE" hidden="1">"c20760"</definedName>
    <definedName name="IQ_HOUSING_NEW_HOME_SALES" hidden="1">"c20761"</definedName>
    <definedName name="IQ_HOUSING_PENDING_HOME_SALE_INDEX" hidden="1">"c20762"</definedName>
    <definedName name="IQ_HOUSING_PERMITS" hidden="1">"c6883"</definedName>
    <definedName name="IQ_HOUSING_PERMITS_APR" hidden="1">"c7543"</definedName>
    <definedName name="IQ_HOUSING_PERMITS_APR_FC" hidden="1">"c8423"</definedName>
    <definedName name="IQ_HOUSING_PERMITS_FC" hidden="1">"c7763"</definedName>
    <definedName name="IQ_HOUSING_PERMITS_POP" hidden="1">"c7103"</definedName>
    <definedName name="IQ_HOUSING_PERMITS_POP_FC" hidden="1">"c7983"</definedName>
    <definedName name="IQ_HOUSING_PERMITS_YOY" hidden="1">"c7323"</definedName>
    <definedName name="IQ_HOUSING_PERMITS_YOY_FC" hidden="1">"c8203"</definedName>
    <definedName name="IQ_HOUSING_RENTAL_VACANCY" hidden="1">"c20763"</definedName>
    <definedName name="IQ_HOUSING_START" hidden="1">"c20764"</definedName>
    <definedName name="IQ_HOUSING_STARTS" hidden="1">"c6884"</definedName>
    <definedName name="IQ_HOUSING_STARTS_APR" hidden="1">"c7544"</definedName>
    <definedName name="IQ_HOUSING_STARTS_APR_FC" hidden="1">"c8424"</definedName>
    <definedName name="IQ_HOUSING_STARTS_FC" hidden="1">"c7764"</definedName>
    <definedName name="IQ_HOUSING_STARTS_POP" hidden="1">"c7104"</definedName>
    <definedName name="IQ_HOUSING_STARTS_POP_FC" hidden="1">"c7984"</definedName>
    <definedName name="IQ_HOUSING_STARTS_SAAR" hidden="1">"c6885"</definedName>
    <definedName name="IQ_HOUSING_STARTS_SAAR_APR" hidden="1">"c7545"</definedName>
    <definedName name="IQ_HOUSING_STARTS_SAAR_APR_FC" hidden="1">"c8425"</definedName>
    <definedName name="IQ_HOUSING_STARTS_SAAR_FC" hidden="1">"c7765"</definedName>
    <definedName name="IQ_HOUSING_STARTS_SAAR_POP" hidden="1">"c7105"</definedName>
    <definedName name="IQ_HOUSING_STARTS_SAAR_POP_FC" hidden="1">"c7985"</definedName>
    <definedName name="IQ_HOUSING_STARTS_SAAR_YOY" hidden="1">"c7325"</definedName>
    <definedName name="IQ_HOUSING_STARTS_SAAR_YOY_FC" hidden="1">"c8205"</definedName>
    <definedName name="IQ_HOUSING_STARTS_YOY" hidden="1">"c7324"</definedName>
    <definedName name="IQ_HOUSING_STARTS_YOY_FC" hidden="1">"c8204"</definedName>
    <definedName name="IQ_HRS_WORKED_FULL_PT" hidden="1">"c6880"</definedName>
    <definedName name="IQ_HRS_WORKED_FULL_PT_APR" hidden="1">"c7540"</definedName>
    <definedName name="IQ_HRS_WORKED_FULL_PT_APR_FC" hidden="1">"c8420"</definedName>
    <definedName name="IQ_HRS_WORKED_FULL_PT_FC" hidden="1">"c7760"</definedName>
    <definedName name="IQ_HRS_WORKED_FULL_PT_POP" hidden="1">"c7100"</definedName>
    <definedName name="IQ_HRS_WORKED_FULL_PT_POP_FC" hidden="1">"c7980"</definedName>
    <definedName name="IQ_HRS_WORKED_FULL_PT_YOY" hidden="1">"c7320"</definedName>
    <definedName name="IQ_HRS_WORKED_FULL_PT_YOY_FC" hidden="1">"c8200"</definedName>
    <definedName name="IQ_HTM_INVEST_SECURITIES_FFIEC" hidden="1">"c13455"</definedName>
    <definedName name="IQ_HTM_SECURITIES_TIER_1_FFIEC" hidden="1">"c13342"</definedName>
    <definedName name="IQ_HYBRID_CAPITAL" hidden="1">"c15245"</definedName>
    <definedName name="IQ_HYBRID_STRUCTURED_PRODUCTS_AVAIL_SALE_FFIEC" hidden="1">"c15265"</definedName>
    <definedName name="IQ_HYBRID_STRUCTURED_PRODUCTS_FFIEC" hidden="1">"c15262"</definedName>
    <definedName name="IQ_IB_ADVISORY_UNDERWRITING_FEES_FOREIGN_FFIEC" hidden="1">"c15378"</definedName>
    <definedName name="IQ_IBF_COMM_INDUST_LOANS_FFIEC" hidden="1">"c15298"</definedName>
    <definedName name="IQ_IBF_DEPOSIT_LIABILITIES_DUE_TO_BANKS_FFIEC" hidden="1">"c15300"</definedName>
    <definedName name="IQ_IM_AVG_REV_PER_CLICK" hidden="1">"c9991"</definedName>
    <definedName name="IQ_IM_NUMBER_PAGE_VIEWS" hidden="1">"c9993"</definedName>
    <definedName name="IQ_IM_NUMBER_PAID_CLICKS" hidden="1">"c9995"</definedName>
    <definedName name="IQ_IM_NUMBER_PAID_CLICKS_GROWTH" hidden="1">"c9996"</definedName>
    <definedName name="IQ_IM_PAGE_VIEWS_GROWTH" hidden="1">"c9994"</definedName>
    <definedName name="IQ_IM_REV_PER_PAGE_VIEW_GROWTH" hidden="1">"c9992"</definedName>
    <definedName name="IQ_IM_TRAFFIC_ACQUISITION_CHANGE" hidden="1">"c9998"</definedName>
    <definedName name="IQ_IM_TRAFFIC_ACQUISITION_COST_TO_AD_REV_RATIO" hidden="1">"c10000"</definedName>
    <definedName name="IQ_IM_TRAFFIC_ACQUISITION_COST_TO_TOTAL_REV_RATIO" hidden="1">"c9999"</definedName>
    <definedName name="IQ_IM_TRAFFIC_ACQUISITION_COSTS" hidden="1">"c9997"</definedName>
    <definedName name="IQ_IMPACT_UNRECOG_TAX_BENEFIT_EFFECTIVE_TAX" hidden="1">"c15748"</definedName>
    <definedName name="IQ_IMPAIR_OIL" hidden="1">"c547"</definedName>
    <definedName name="IQ_IMPAIRED_LOANS" hidden="1">"c15250"</definedName>
    <definedName name="IQ_IMPAIRMENT_GW" hidden="1">"c548"</definedName>
    <definedName name="IQ_IMPAIRMENT_GW_SUPPLE" hidden="1">"c13811"</definedName>
    <definedName name="IQ_IMPORT_PRICE_INDEX" hidden="1">"c6886"</definedName>
    <definedName name="IQ_IMPORT_PRICE_INDEX_APR" hidden="1">"c7546"</definedName>
    <definedName name="IQ_IMPORT_PRICE_INDEX_APR_FC" hidden="1">"c8426"</definedName>
    <definedName name="IQ_IMPORT_PRICE_INDEX_FC" hidden="1">"c7766"</definedName>
    <definedName name="IQ_IMPORT_PRICE_INDEX_POP" hidden="1">"c7106"</definedName>
    <definedName name="IQ_IMPORT_PRICE_INDEX_POP_FC" hidden="1">"c7986"</definedName>
    <definedName name="IQ_IMPORT_PRICE_INDEX_YOY" hidden="1">"c7326"</definedName>
    <definedName name="IQ_IMPORT_PRICE_INDEX_YOY_FC" hidden="1">"c8206"</definedName>
    <definedName name="IQ_IMPORTS_GOODS" hidden="1">"c6887"</definedName>
    <definedName name="IQ_IMPORTS_GOODS_APR" hidden="1">"c7547"</definedName>
    <definedName name="IQ_IMPORTS_GOODS_APR_FC" hidden="1">"c8427"</definedName>
    <definedName name="IQ_IMPORTS_GOODS_FC" hidden="1">"c7767"</definedName>
    <definedName name="IQ_IMPORTS_GOODS_NONFACTOR_SERVICES" hidden="1">"c6888"</definedName>
    <definedName name="IQ_IMPORTS_GOODS_NONFACTOR_SERVICES_APR" hidden="1">"c7548"</definedName>
    <definedName name="IQ_IMPORTS_GOODS_NONFACTOR_SERVICES_APR_FC" hidden="1">"c8428"</definedName>
    <definedName name="IQ_IMPORTS_GOODS_NONFACTOR_SERVICES_FC" hidden="1">"c7768"</definedName>
    <definedName name="IQ_IMPORTS_GOODS_NONFACTOR_SERVICES_POP" hidden="1">"c7108"</definedName>
    <definedName name="IQ_IMPORTS_GOODS_NONFACTOR_SERVICES_POP_FC" hidden="1">"c7988"</definedName>
    <definedName name="IQ_IMPORTS_GOODS_NONFACTOR_SERVICES_YOY" hidden="1">"c7328"</definedName>
    <definedName name="IQ_IMPORTS_GOODS_NONFACTOR_SERVICES_YOY_FC" hidden="1">"c8208"</definedName>
    <definedName name="IQ_IMPORTS_GOODS_POP" hidden="1">"c7107"</definedName>
    <definedName name="IQ_IMPORTS_GOODS_POP_FC" hidden="1">"c7987"</definedName>
    <definedName name="IQ_IMPORTS_GOODS_REAL" hidden="1">"c11950"</definedName>
    <definedName name="IQ_IMPORTS_GOODS_REAL_APR" hidden="1">"c11953"</definedName>
    <definedName name="IQ_IMPORTS_GOODS_REAL_POP" hidden="1">"c11951"</definedName>
    <definedName name="IQ_IMPORTS_GOODS_REAL_SAAR_APR_FC_UNUSED" hidden="1">"c8523"</definedName>
    <definedName name="IQ_IMPORTS_GOODS_REAL_SAAR_APR_FC_UNUSED_UNUSED_UNUSED" hidden="1">"c8523"</definedName>
    <definedName name="IQ_IMPORTS_GOODS_REAL_SAAR_APR_UNUSED" hidden="1">"c7643"</definedName>
    <definedName name="IQ_IMPORTS_GOODS_REAL_SAAR_APR_UNUSED_UNUSED_UNUSED" hidden="1">"c7643"</definedName>
    <definedName name="IQ_IMPORTS_GOODS_REAL_SAAR_FC_UNUSED" hidden="1">"c7863"</definedName>
    <definedName name="IQ_IMPORTS_GOODS_REAL_SAAR_FC_UNUSED_UNUSED_UNUSED" hidden="1">"c7863"</definedName>
    <definedName name="IQ_IMPORTS_GOODS_REAL_SAAR_POP_FC_UNUSED" hidden="1">"c8083"</definedName>
    <definedName name="IQ_IMPORTS_GOODS_REAL_SAAR_POP_FC_UNUSED_UNUSED_UNUSED" hidden="1">"c8083"</definedName>
    <definedName name="IQ_IMPORTS_GOODS_REAL_SAAR_POP_UNUSED" hidden="1">"c7203"</definedName>
    <definedName name="IQ_IMPORTS_GOODS_REAL_SAAR_POP_UNUSED_UNUSED_UNUSED" hidden="1">"c7203"</definedName>
    <definedName name="IQ_IMPORTS_GOODS_REAL_SAAR_UNUSED" hidden="1">"c6983"</definedName>
    <definedName name="IQ_IMPORTS_GOODS_REAL_SAAR_UNUSED_UNUSED_UNUSED" hidden="1">"c6983"</definedName>
    <definedName name="IQ_IMPORTS_GOODS_REAL_SAAR_YOY_FC_UNUSED" hidden="1">"c8303"</definedName>
    <definedName name="IQ_IMPORTS_GOODS_REAL_SAAR_YOY_FC_UNUSED_UNUSED_UNUSED" hidden="1">"c8303"</definedName>
    <definedName name="IQ_IMPORTS_GOODS_REAL_SAAR_YOY_UNUSED" hidden="1">"c7423"</definedName>
    <definedName name="IQ_IMPORTS_GOODS_REAL_SAAR_YOY_UNUSED_UNUSED_UNUSED" hidden="1">"c7423"</definedName>
    <definedName name="IQ_IMPORTS_GOODS_REAL_YOY" hidden="1">"c11952"</definedName>
    <definedName name="IQ_IMPORTS_GOODS_SAAR" hidden="1">"c6891"</definedName>
    <definedName name="IQ_IMPORTS_GOODS_SAAR_APR" hidden="1">"c7551"</definedName>
    <definedName name="IQ_IMPORTS_GOODS_SAAR_APR_FC" hidden="1">"c8431"</definedName>
    <definedName name="IQ_IMPORTS_GOODS_SAAR_FC" hidden="1">"c7771"</definedName>
    <definedName name="IQ_IMPORTS_GOODS_SAAR_POP" hidden="1">"c7111"</definedName>
    <definedName name="IQ_IMPORTS_GOODS_SAAR_POP_FC" hidden="1">"c7991"</definedName>
    <definedName name="IQ_IMPORTS_GOODS_SAAR_USD_APR_FC" hidden="1">"c11849"</definedName>
    <definedName name="IQ_IMPORTS_GOODS_SAAR_USD_FC" hidden="1">"c11846"</definedName>
    <definedName name="IQ_IMPORTS_GOODS_SAAR_USD_POP_FC" hidden="1">"c11847"</definedName>
    <definedName name="IQ_IMPORTS_GOODS_SAAR_USD_YOY_FC" hidden="1">"c11848"</definedName>
    <definedName name="IQ_IMPORTS_GOODS_SAAR_YOY" hidden="1">"c7331"</definedName>
    <definedName name="IQ_IMPORTS_GOODS_SAAR_YOY_FC" hidden="1">"c8211"</definedName>
    <definedName name="IQ_IMPORTS_GOODS_SERVICES_APR_FC_UNUSED" hidden="1">"c8429"</definedName>
    <definedName name="IQ_IMPORTS_GOODS_SERVICES_APR_FC_UNUSED_UNUSED_UNUSED" hidden="1">"c8429"</definedName>
    <definedName name="IQ_IMPORTS_GOODS_SERVICES_APR_UNUSED" hidden="1">"c7549"</definedName>
    <definedName name="IQ_IMPORTS_GOODS_SERVICES_APR_UNUSED_UNUSED_UNUSED" hidden="1">"c7549"</definedName>
    <definedName name="IQ_IMPORTS_GOODS_SERVICES_FC_UNUSED" hidden="1">"c7769"</definedName>
    <definedName name="IQ_IMPORTS_GOODS_SERVICES_FC_UNUSED_UNUSED_UNUSED" hidden="1">"c7769"</definedName>
    <definedName name="IQ_IMPORTS_GOODS_SERVICES_POP_FC_UNUSED" hidden="1">"c7989"</definedName>
    <definedName name="IQ_IMPORTS_GOODS_SERVICES_POP_FC_UNUSED_UNUSED_UNUSED" hidden="1">"c7989"</definedName>
    <definedName name="IQ_IMPORTS_GOODS_SERVICES_POP_UNUSED" hidden="1">"c7109"</definedName>
    <definedName name="IQ_IMPORTS_GOODS_SERVICES_POP_UNUSED_UNUSED_UNUSED" hidden="1">"c7109"</definedName>
    <definedName name="IQ_IMPORTS_GOODS_SERVICES_REAL" hidden="1">"c6985"</definedName>
    <definedName name="IQ_IMPORTS_GOODS_SERVICES_REAL_APR" hidden="1">"c7645"</definedName>
    <definedName name="IQ_IMPORTS_GOODS_SERVICES_REAL_APR_FC" hidden="1">"c8525"</definedName>
    <definedName name="IQ_IMPORTS_GOODS_SERVICES_REAL_FC" hidden="1">"c7865"</definedName>
    <definedName name="IQ_IMPORTS_GOODS_SERVICES_REAL_POP" hidden="1">"c7205"</definedName>
    <definedName name="IQ_IMPORTS_GOODS_SERVICES_REAL_POP_FC" hidden="1">"c8085"</definedName>
    <definedName name="IQ_IMPORTS_GOODS_SERVICES_REAL_SAAR" hidden="1">"c11958"</definedName>
    <definedName name="IQ_IMPORTS_GOODS_SERVICES_REAL_SAAR_APR" hidden="1">"c11961"</definedName>
    <definedName name="IQ_IMPORTS_GOODS_SERVICES_REAL_SAAR_APR_FC_UNUSED" hidden="1">"c8524"</definedName>
    <definedName name="IQ_IMPORTS_GOODS_SERVICES_REAL_SAAR_APR_FC_UNUSED_UNUSED_UNUSED" hidden="1">"c8524"</definedName>
    <definedName name="IQ_IMPORTS_GOODS_SERVICES_REAL_SAAR_APR_UNUSED" hidden="1">"c7644"</definedName>
    <definedName name="IQ_IMPORTS_GOODS_SERVICES_REAL_SAAR_APR_UNUSED_UNUSED_UNUSED" hidden="1">"c7644"</definedName>
    <definedName name="IQ_IMPORTS_GOODS_SERVICES_REAL_SAAR_FC_UNUSED" hidden="1">"c7864"</definedName>
    <definedName name="IQ_IMPORTS_GOODS_SERVICES_REAL_SAAR_FC_UNUSED_UNUSED_UNUSED" hidden="1">"c7864"</definedName>
    <definedName name="IQ_IMPORTS_GOODS_SERVICES_REAL_SAAR_POP" hidden="1">"c11959"</definedName>
    <definedName name="IQ_IMPORTS_GOODS_SERVICES_REAL_SAAR_POP_FC_UNUSED" hidden="1">"c8084"</definedName>
    <definedName name="IQ_IMPORTS_GOODS_SERVICES_REAL_SAAR_POP_FC_UNUSED_UNUSED_UNUSED" hidden="1">"c8084"</definedName>
    <definedName name="IQ_IMPORTS_GOODS_SERVICES_REAL_SAAR_POP_UNUSED" hidden="1">"c7204"</definedName>
    <definedName name="IQ_IMPORTS_GOODS_SERVICES_REAL_SAAR_POP_UNUSED_UNUSED_UNUSED" hidden="1">"c7204"</definedName>
    <definedName name="IQ_IMPORTS_GOODS_SERVICES_REAL_SAAR_UNUSED" hidden="1">"c6984"</definedName>
    <definedName name="IQ_IMPORTS_GOODS_SERVICES_REAL_SAAR_UNUSED_UNUSED_UNUSED" hidden="1">"c6984"</definedName>
    <definedName name="IQ_IMPORTS_GOODS_SERVICES_REAL_SAAR_USD" hidden="1">"c11962"</definedName>
    <definedName name="IQ_IMPORTS_GOODS_SERVICES_REAL_SAAR_USD_APR" hidden="1">"c11965"</definedName>
    <definedName name="IQ_IMPORTS_GOODS_SERVICES_REAL_SAAR_USD_APR_FC" hidden="1">"c11969"</definedName>
    <definedName name="IQ_IMPORTS_GOODS_SERVICES_REAL_SAAR_USD_FC" hidden="1">"c11966"</definedName>
    <definedName name="IQ_IMPORTS_GOODS_SERVICES_REAL_SAAR_USD_POP" hidden="1">"c11963"</definedName>
    <definedName name="IQ_IMPORTS_GOODS_SERVICES_REAL_SAAR_USD_POP_FC" hidden="1">"c11967"</definedName>
    <definedName name="IQ_IMPORTS_GOODS_SERVICES_REAL_SAAR_USD_YOY" hidden="1">"c11964"</definedName>
    <definedName name="IQ_IMPORTS_GOODS_SERVICES_REAL_SAAR_USD_YOY_FC" hidden="1">"c11968"</definedName>
    <definedName name="IQ_IMPORTS_GOODS_SERVICES_REAL_SAAR_YOY" hidden="1">"c11960"</definedName>
    <definedName name="IQ_IMPORTS_GOODS_SERVICES_REAL_SAAR_YOY_FC_UNUSED" hidden="1">"c8304"</definedName>
    <definedName name="IQ_IMPORTS_GOODS_SERVICES_REAL_SAAR_YOY_FC_UNUSED_UNUSED_UNUSED" hidden="1">"c8304"</definedName>
    <definedName name="IQ_IMPORTS_GOODS_SERVICES_REAL_SAAR_YOY_UNUSED" hidden="1">"c7424"</definedName>
    <definedName name="IQ_IMPORTS_GOODS_SERVICES_REAL_SAAR_YOY_UNUSED_UNUSED_UNUSED" hidden="1">"c7424"</definedName>
    <definedName name="IQ_IMPORTS_GOODS_SERVICES_REAL_USD" hidden="1">"c11954"</definedName>
    <definedName name="IQ_IMPORTS_GOODS_SERVICES_REAL_USD_APR" hidden="1">"c11957"</definedName>
    <definedName name="IQ_IMPORTS_GOODS_SERVICES_REAL_USD_POP" hidden="1">"c11955"</definedName>
    <definedName name="IQ_IMPORTS_GOODS_SERVICES_REAL_USD_YOY" hidden="1">"c11956"</definedName>
    <definedName name="IQ_IMPORTS_GOODS_SERVICES_REAL_YOY" hidden="1">"c7425"</definedName>
    <definedName name="IQ_IMPORTS_GOODS_SERVICES_REAL_YOY_FC" hidden="1">"c8305"</definedName>
    <definedName name="IQ_IMPORTS_GOODS_SERVICES_SAAR" hidden="1">"c6890"</definedName>
    <definedName name="IQ_IMPORTS_GOODS_SERVICES_SAAR_APR" hidden="1">"c7550"</definedName>
    <definedName name="IQ_IMPORTS_GOODS_SERVICES_SAAR_APR_FC" hidden="1">"c8430"</definedName>
    <definedName name="IQ_IMPORTS_GOODS_SERVICES_SAAR_FC" hidden="1">"c7770"</definedName>
    <definedName name="IQ_IMPORTS_GOODS_SERVICES_SAAR_POP" hidden="1">"c7110"</definedName>
    <definedName name="IQ_IMPORTS_GOODS_SERVICES_SAAR_POP_FC" hidden="1">"c7990"</definedName>
    <definedName name="IQ_IMPORTS_GOODS_SERVICES_SAAR_YOY" hidden="1">"c7330"</definedName>
    <definedName name="IQ_IMPORTS_GOODS_SERVICES_SAAR_YOY_FC" hidden="1">"c8210"</definedName>
    <definedName name="IQ_IMPORTS_GOODS_SERVICES_UNUSED" hidden="1">"c6889"</definedName>
    <definedName name="IQ_IMPORTS_GOODS_SERVICES_UNUSED_UNUSED_UNUSED" hidden="1">"c6889"</definedName>
    <definedName name="IQ_IMPORTS_GOODS_SERVICES_USD" hidden="1">"c11842"</definedName>
    <definedName name="IQ_IMPORTS_GOODS_SERVICES_USD_APR" hidden="1">"c11845"</definedName>
    <definedName name="IQ_IMPORTS_GOODS_SERVICES_USD_POP" hidden="1">"c11843"</definedName>
    <definedName name="IQ_IMPORTS_GOODS_SERVICES_USD_YOY" hidden="1">"c11844"</definedName>
    <definedName name="IQ_IMPORTS_GOODS_SERVICES_YOY_FC_UNUSED" hidden="1">"c8209"</definedName>
    <definedName name="IQ_IMPORTS_GOODS_SERVICES_YOY_FC_UNUSED_UNUSED_UNUSED" hidden="1">"c8209"</definedName>
    <definedName name="IQ_IMPORTS_GOODS_SERVICES_YOY_UNUSED" hidden="1">"c7329"</definedName>
    <definedName name="IQ_IMPORTS_GOODS_SERVICES_YOY_UNUSED_UNUSED_UNUSED" hidden="1">"c7329"</definedName>
    <definedName name="IQ_IMPORTS_GOODS_USD_APR_FC" hidden="1">"c11841"</definedName>
    <definedName name="IQ_IMPORTS_GOODS_USD_FC" hidden="1">"c11838"</definedName>
    <definedName name="IQ_IMPORTS_GOODS_USD_POP_FC" hidden="1">"c11839"</definedName>
    <definedName name="IQ_IMPORTS_GOODS_USD_YOY_FC" hidden="1">"c11840"</definedName>
    <definedName name="IQ_IMPORTS_GOODS_YOY" hidden="1">"c7327"</definedName>
    <definedName name="IQ_IMPORTS_GOODS_YOY_FC" hidden="1">"c8207"</definedName>
    <definedName name="IQ_IMPORTS_NONFACTOR_SERVICES" hidden="1">"c6892"</definedName>
    <definedName name="IQ_IMPORTS_NONFACTOR_SERVICES_APR" hidden="1">"c7552"</definedName>
    <definedName name="IQ_IMPORTS_NONFACTOR_SERVICES_APR_FC" hidden="1">"c8432"</definedName>
    <definedName name="IQ_IMPORTS_NONFACTOR_SERVICES_FC" hidden="1">"c7772"</definedName>
    <definedName name="IQ_IMPORTS_NONFACTOR_SERVICES_POP" hidden="1">"c7112"</definedName>
    <definedName name="IQ_IMPORTS_NONFACTOR_SERVICES_POP_FC" hidden="1">"c7992"</definedName>
    <definedName name="IQ_IMPORTS_NONFACTOR_SERVICES_SAAR" hidden="1">"c6893"</definedName>
    <definedName name="IQ_IMPORTS_NONFACTOR_SERVICES_SAAR_APR" hidden="1">"c7553"</definedName>
    <definedName name="IQ_IMPORTS_NONFACTOR_SERVICES_SAAR_APR_FC" hidden="1">"c8433"</definedName>
    <definedName name="IQ_IMPORTS_NONFACTOR_SERVICES_SAAR_FC" hidden="1">"c7773"</definedName>
    <definedName name="IQ_IMPORTS_NONFACTOR_SERVICES_SAAR_POP" hidden="1">"c7113"</definedName>
    <definedName name="IQ_IMPORTS_NONFACTOR_SERVICES_SAAR_POP_FC" hidden="1">"c7993"</definedName>
    <definedName name="IQ_IMPORTS_NONFACTOR_SERVICES_SAAR_USD_APR_FC" hidden="1">"c11857"</definedName>
    <definedName name="IQ_IMPORTS_NONFACTOR_SERVICES_SAAR_USD_FC" hidden="1">"c11854"</definedName>
    <definedName name="IQ_IMPORTS_NONFACTOR_SERVICES_SAAR_USD_POP_FC" hidden="1">"c11855"</definedName>
    <definedName name="IQ_IMPORTS_NONFACTOR_SERVICES_SAAR_USD_YOY_FC" hidden="1">"c11856"</definedName>
    <definedName name="IQ_IMPORTS_NONFACTOR_SERVICES_SAAR_YOY" hidden="1">"c7333"</definedName>
    <definedName name="IQ_IMPORTS_NONFACTOR_SERVICES_SAAR_YOY_FC" hidden="1">"c8213"</definedName>
    <definedName name="IQ_IMPORTS_NONFACTOR_SERVICES_USD_APR_FC" hidden="1">"c11853"</definedName>
    <definedName name="IQ_IMPORTS_NONFACTOR_SERVICES_USD_FC" hidden="1">"c11850"</definedName>
    <definedName name="IQ_IMPORTS_NONFACTOR_SERVICES_USD_POP_FC" hidden="1">"c11851"</definedName>
    <definedName name="IQ_IMPORTS_NONFACTOR_SERVICES_USD_YOY_FC" hidden="1">"c11852"</definedName>
    <definedName name="IQ_IMPORTS_NONFACTOR_SERVICES_YOY" hidden="1">"c7332"</definedName>
    <definedName name="IQ_IMPORTS_NONFACTOR_SERVICES_YOY_FC" hidden="1">"c8212"</definedName>
    <definedName name="IQ_IMPORTS_SERVICES" hidden="1">"c11858"</definedName>
    <definedName name="IQ_IMPORTS_SERVICES_APR" hidden="1">"c11861"</definedName>
    <definedName name="IQ_IMPORTS_SERVICES_POP" hidden="1">"c11859"</definedName>
    <definedName name="IQ_IMPORTS_SERVICES_REAL" hidden="1">"c6986"</definedName>
    <definedName name="IQ_IMPORTS_SERVICES_REAL_APR" hidden="1">"c7646"</definedName>
    <definedName name="IQ_IMPORTS_SERVICES_REAL_APR_FC" hidden="1">"c8526"</definedName>
    <definedName name="IQ_IMPORTS_SERVICES_REAL_FC" hidden="1">"c7866"</definedName>
    <definedName name="IQ_IMPORTS_SERVICES_REAL_POP" hidden="1">"c7206"</definedName>
    <definedName name="IQ_IMPORTS_SERVICES_REAL_POP_FC" hidden="1">"c8086"</definedName>
    <definedName name="IQ_IMPORTS_SERVICES_REAL_YOY" hidden="1">"c7426"</definedName>
    <definedName name="IQ_IMPORTS_SERVICES_REAL_YOY_FC" hidden="1">"c8306"</definedName>
    <definedName name="IQ_IMPORTS_SERVICES_YOY" hidden="1">"c11860"</definedName>
    <definedName name="IQ_IMPORTS_USD" hidden="1">"c20765"</definedName>
    <definedName name="IQ_IMPUT_OPER_LEASE_DEPR" hidden="1">"c2987"</definedName>
    <definedName name="IQ_IMPUT_OPER_LEASE_INT_EXP" hidden="1">"c2986"</definedName>
    <definedName name="IQ_INC_AFTER_TAX" hidden="1">"c1598"</definedName>
    <definedName name="IQ_INC_AVAIL_EXCL" hidden="1">"c789"</definedName>
    <definedName name="IQ_INC_AVAIL_INCL" hidden="1">"c791"</definedName>
    <definedName name="IQ_INC_BEFORE_TAX" hidden="1">"c386"</definedName>
    <definedName name="IQ_INC_DOM_LOANS_FFIEC" hidden="1">"c12975"</definedName>
    <definedName name="IQ_INC_EQUITY" hidden="1">"c549"</definedName>
    <definedName name="IQ_INC_EQUITY_BR" hidden="1">"c550"</definedName>
    <definedName name="IQ_INC_EQUITY_CF" hidden="1">"c551"</definedName>
    <definedName name="IQ_INC_EQUITY_CM" hidden="1">"c550"</definedName>
    <definedName name="IQ_INC_EQUITY_FIN" hidden="1">"c552"</definedName>
    <definedName name="IQ_INC_EQUITY_INS" hidden="1">"c553"</definedName>
    <definedName name="IQ_INC_EQUITY_RE" hidden="1">"c6222"</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CIDENTAL_CHANGES_BUSINESS_COMBINATIONS_FDIC" hidden="1">"c6502"</definedName>
    <definedName name="IQ_INCOME_BEFORE_EXTRA_FDIC" hidden="1">"c6585"</definedName>
    <definedName name="IQ_INCOME_CHECKS_FFIEC" hidden="1">"c13040"</definedName>
    <definedName name="IQ_INCOME_EARNED_FDIC" hidden="1">"c6359"</definedName>
    <definedName name="IQ_INCOME_FIDUCIARY_ACTIVITIES_FFIEC" hidden="1">"c13002"</definedName>
    <definedName name="IQ_INCOME_LEASE_FINANCING_REC_FFIEC" hidden="1">"c12980"</definedName>
    <definedName name="IQ_INCOME_LOANS_LEASES_TAX_EXEMPT_FFIEC" hidden="1">"c13038"</definedName>
    <definedName name="IQ_INCOME_OTHER_INSURANCE_ACTIVITIES_FFIEC" hidden="1">"c13009"</definedName>
    <definedName name="IQ_INCOME_SALE_MUTUAL_FUNDS_DOM_FFIEC" hidden="1">"c13069"</definedName>
    <definedName name="IQ_INCOME_SECURITIES_TAX_EXEMPT_FFIEC" hidden="1">"c13039"</definedName>
    <definedName name="IQ_INCOME_TAX_FOREIGN_FFIEC" hidden="1">"c15391"</definedName>
    <definedName name="IQ_INCOME_TAXES_FDIC" hidden="1">"c6582"</definedName>
    <definedName name="IQ_INCOME_TAXES_FFIEC" hidden="1">"c13030"</definedName>
    <definedName name="IQ_INCREASE_INT_INCOME_FFIEC" hidden="1">"c13063"</definedName>
    <definedName name="IQ_IND_PROD_INDEX_GROWTH" hidden="1">"c20766"</definedName>
    <definedName name="IQ_INDEX_CURRENCY" hidden="1">"c15224"</definedName>
    <definedName name="IQ_INDEX_LEADING_IND" hidden="1">"c6894"</definedName>
    <definedName name="IQ_INDEX_LEADING_IND_APR" hidden="1">"c7554"</definedName>
    <definedName name="IQ_INDEX_LEADING_IND_APR_FC" hidden="1">"c8434"</definedName>
    <definedName name="IQ_INDEX_LEADING_IND_FC" hidden="1">"c7774"</definedName>
    <definedName name="IQ_INDEX_LEADING_IND_POP" hidden="1">"c7114"</definedName>
    <definedName name="IQ_INDEX_LEADING_IND_POP_FC" hidden="1">"c7994"</definedName>
    <definedName name="IQ_INDEX_LEADING_IND_YOY" hidden="1">"c7334"</definedName>
    <definedName name="IQ_INDEX_LEADING_IND_YOY_FC" hidden="1">"c8214"</definedName>
    <definedName name="IQ_INDEX_SHARES" hidden="1">"c19193"</definedName>
    <definedName name="IQ_INDEX_TYPE" hidden="1">"c15223"</definedName>
    <definedName name="IQ_INDEXCONSTITUENT_CLOSEPRICE" hidden="1">"c19241"</definedName>
    <definedName name="IQ_INDICATED_ATTRIB_ORE_RESOURCES_ALUM" hidden="1">"c9238"</definedName>
    <definedName name="IQ_INDICATED_ATTRIB_ORE_RESOURCES_COP" hidden="1">"c9182"</definedName>
    <definedName name="IQ_INDICATED_ATTRIB_ORE_RESOURCES_DIAM" hidden="1">"c9662"</definedName>
    <definedName name="IQ_INDICATED_ATTRIB_ORE_RESOURCES_GOLD" hidden="1">"c9023"</definedName>
    <definedName name="IQ_INDICATED_ATTRIB_ORE_RESOURCES_IRON" hidden="1">"c9397"</definedName>
    <definedName name="IQ_INDICATED_ATTRIB_ORE_RESOURCES_LEAD" hidden="1">"c9450"</definedName>
    <definedName name="IQ_INDICATED_ATTRIB_ORE_RESOURCES_MANG" hidden="1">"c9503"</definedName>
    <definedName name="IQ_INDICATED_ATTRIB_ORE_RESOURCES_MOLYB" hidden="1">"c9715"</definedName>
    <definedName name="IQ_INDICATED_ATTRIB_ORE_RESOURCES_NICK" hidden="1">"c9291"</definedName>
    <definedName name="IQ_INDICATED_ATTRIB_ORE_RESOURCES_PLAT" hidden="1">"c9129"</definedName>
    <definedName name="IQ_INDICATED_ATTRIB_ORE_RESOURCES_SILVER" hidden="1">"c9076"</definedName>
    <definedName name="IQ_INDICATED_ATTRIB_ORE_RESOURCES_TITAN" hidden="1">"c9556"</definedName>
    <definedName name="IQ_INDICATED_ATTRIB_ORE_RESOURCES_URAN" hidden="1">"c9609"</definedName>
    <definedName name="IQ_INDICATED_ATTRIB_ORE_RESOURCES_ZINC" hidden="1">"c9344"</definedName>
    <definedName name="IQ_INDICATED_ORE_RESOURCES_ALUM" hidden="1">"c9224"</definedName>
    <definedName name="IQ_INDICATED_ORE_RESOURCES_COP" hidden="1">"c9168"</definedName>
    <definedName name="IQ_INDICATED_ORE_RESOURCES_DIAM" hidden="1">"c9648"</definedName>
    <definedName name="IQ_INDICATED_ORE_RESOURCES_GOLD" hidden="1">"c9009"</definedName>
    <definedName name="IQ_INDICATED_ORE_RESOURCES_IRON" hidden="1">"c9383"</definedName>
    <definedName name="IQ_INDICATED_ORE_RESOURCES_LEAD" hidden="1">"c9436"</definedName>
    <definedName name="IQ_INDICATED_ORE_RESOURCES_MANG" hidden="1">"c9489"</definedName>
    <definedName name="IQ_INDICATED_ORE_RESOURCES_MOLYB" hidden="1">"c9701"</definedName>
    <definedName name="IQ_INDICATED_ORE_RESOURCES_NICK" hidden="1">"c9277"</definedName>
    <definedName name="IQ_INDICATED_ORE_RESOURCES_PLAT" hidden="1">"c9115"</definedName>
    <definedName name="IQ_INDICATED_ORE_RESOURCES_SILVER" hidden="1">"c9062"</definedName>
    <definedName name="IQ_INDICATED_ORE_RESOURCES_TITAN" hidden="1">"c9542"</definedName>
    <definedName name="IQ_INDICATED_ORE_RESOURCES_URAN" hidden="1">"c9595"</definedName>
    <definedName name="IQ_INDICATED_ORE_RESOURCES_ZINC" hidden="1">"c9330"</definedName>
    <definedName name="IQ_INDICATED_RECOV_ATTRIB_RESOURCES_ALUM" hidden="1">"c9243"</definedName>
    <definedName name="IQ_INDICATED_RECOV_ATTRIB_RESOURCES_COAL" hidden="1">"c9817"</definedName>
    <definedName name="IQ_INDICATED_RECOV_ATTRIB_RESOURCES_COP" hidden="1">"c9187"</definedName>
    <definedName name="IQ_INDICATED_RECOV_ATTRIB_RESOURCES_DIAM" hidden="1">"c9667"</definedName>
    <definedName name="IQ_INDICATED_RECOV_ATTRIB_RESOURCES_GOLD" hidden="1">"c9028"</definedName>
    <definedName name="IQ_INDICATED_RECOV_ATTRIB_RESOURCES_IRON" hidden="1">"c9402"</definedName>
    <definedName name="IQ_INDICATED_RECOV_ATTRIB_RESOURCES_LEAD" hidden="1">"c9455"</definedName>
    <definedName name="IQ_INDICATED_RECOV_ATTRIB_RESOURCES_MANG" hidden="1">"c9508"</definedName>
    <definedName name="IQ_INDICATED_RECOV_ATTRIB_RESOURCES_MET_COAL" hidden="1">"c9757"</definedName>
    <definedName name="IQ_INDICATED_RECOV_ATTRIB_RESOURCES_MOLYB" hidden="1">"c9720"</definedName>
    <definedName name="IQ_INDICATED_RECOV_ATTRIB_RESOURCES_NICK" hidden="1">"c9296"</definedName>
    <definedName name="IQ_INDICATED_RECOV_ATTRIB_RESOURCES_PLAT" hidden="1">"c9134"</definedName>
    <definedName name="IQ_INDICATED_RECOV_ATTRIB_RESOURCES_SILVER" hidden="1">"c9081"</definedName>
    <definedName name="IQ_INDICATED_RECOV_ATTRIB_RESOURCES_STEAM" hidden="1">"c9787"</definedName>
    <definedName name="IQ_INDICATED_RECOV_ATTRIB_RESOURCES_TITAN" hidden="1">"c9561"</definedName>
    <definedName name="IQ_INDICATED_RECOV_ATTRIB_RESOURCES_URAN" hidden="1">"c9614"</definedName>
    <definedName name="IQ_INDICATED_RECOV_ATTRIB_RESOURCES_ZINC" hidden="1">"c9349"</definedName>
    <definedName name="IQ_INDICATED_RECOV_RESOURCES_ALUM" hidden="1">"c9233"</definedName>
    <definedName name="IQ_INDICATED_RECOV_RESOURCES_COAL" hidden="1">"c9812"</definedName>
    <definedName name="IQ_INDICATED_RECOV_RESOURCES_COP" hidden="1">"c9177"</definedName>
    <definedName name="IQ_INDICATED_RECOV_RESOURCES_DIAM" hidden="1">"c9657"</definedName>
    <definedName name="IQ_INDICATED_RECOV_RESOURCES_GOLD" hidden="1">"c9018"</definedName>
    <definedName name="IQ_INDICATED_RECOV_RESOURCES_IRON" hidden="1">"c9392"</definedName>
    <definedName name="IQ_INDICATED_RECOV_RESOURCES_LEAD" hidden="1">"c9445"</definedName>
    <definedName name="IQ_INDICATED_RECOV_RESOURCES_MANG" hidden="1">"c9498"</definedName>
    <definedName name="IQ_INDICATED_RECOV_RESOURCES_MET_COAL" hidden="1">"c9752"</definedName>
    <definedName name="IQ_INDICATED_RECOV_RESOURCES_MOLYB" hidden="1">"c9710"</definedName>
    <definedName name="IQ_INDICATED_RECOV_RESOURCES_NICK" hidden="1">"c9286"</definedName>
    <definedName name="IQ_INDICATED_RECOV_RESOURCES_PLAT" hidden="1">"c9124"</definedName>
    <definedName name="IQ_INDICATED_RECOV_RESOURCES_SILVER" hidden="1">"c9071"</definedName>
    <definedName name="IQ_INDICATED_RECOV_RESOURCES_STEAM" hidden="1">"c9782"</definedName>
    <definedName name="IQ_INDICATED_RECOV_RESOURCES_TITAN" hidden="1">"c9551"</definedName>
    <definedName name="IQ_INDICATED_RECOV_RESOURCES_URAN" hidden="1">"c9604"</definedName>
    <definedName name="IQ_INDICATED_RECOV_RESOURCES_ZINC" hidden="1">"c9339"</definedName>
    <definedName name="IQ_INDICATED_RESOURCES_CALORIFIC_VALUE_COAL" hidden="1">"c9807"</definedName>
    <definedName name="IQ_INDICATED_RESOURCES_CALORIFIC_VALUE_MET_COAL" hidden="1">"c9747"</definedName>
    <definedName name="IQ_INDICATED_RESOURCES_CALORIFIC_VALUE_STEAM" hidden="1">"c9777"</definedName>
    <definedName name="IQ_INDICATED_RESOURCES_GRADE_ALUM" hidden="1">"c9225"</definedName>
    <definedName name="IQ_INDICATED_RESOURCES_GRADE_COP" hidden="1">"c9169"</definedName>
    <definedName name="IQ_INDICATED_RESOURCES_GRADE_DIAM" hidden="1">"c9649"</definedName>
    <definedName name="IQ_INDICATED_RESOURCES_GRADE_GOLD" hidden="1">"c9010"</definedName>
    <definedName name="IQ_INDICATED_RESOURCES_GRADE_IRON" hidden="1">"c9384"</definedName>
    <definedName name="IQ_INDICATED_RESOURCES_GRADE_LEAD" hidden="1">"c9437"</definedName>
    <definedName name="IQ_INDICATED_RESOURCES_GRADE_MANG" hidden="1">"c9490"</definedName>
    <definedName name="IQ_INDICATED_RESOURCES_GRADE_MOLYB" hidden="1">"c9702"</definedName>
    <definedName name="IQ_INDICATED_RESOURCES_GRADE_NICK" hidden="1">"c9278"</definedName>
    <definedName name="IQ_INDICATED_RESOURCES_GRADE_PLAT" hidden="1">"c9116"</definedName>
    <definedName name="IQ_INDICATED_RESOURCES_GRADE_SILVER" hidden="1">"c9063"</definedName>
    <definedName name="IQ_INDICATED_RESOURCES_GRADE_TITAN" hidden="1">"c9543"</definedName>
    <definedName name="IQ_INDICATED_RESOURCES_GRADE_URAN" hidden="1">"c9596"</definedName>
    <definedName name="IQ_INDICATED_RESOURCES_GRADE_ZINC" hidden="1">"c9331"</definedName>
    <definedName name="IQ_INDIVIDUAL" hidden="1">"c15182"</definedName>
    <definedName name="IQ_INDIVIDUAL_ACTIVE_BOARD_MEMBERSHIPS" hidden="1">"c15201"</definedName>
    <definedName name="IQ_INDIVIDUAL_ACTIVE_PRO_AFFILIATIONS" hidden="1">"c15199"</definedName>
    <definedName name="IQ_INDIVIDUAL_AGE" hidden="1">"c15191"</definedName>
    <definedName name="IQ_INDIVIDUAL_ALL_OTHER_COMP" hidden="1">"c19040"</definedName>
    <definedName name="IQ_INDIVIDUAL_ANNUAL_CASH_COMP" hidden="1">"c19041"</definedName>
    <definedName name="IQ_INDIVIDUAL_AS_REPORTED_COMP" hidden="1">"c19045"</definedName>
    <definedName name="IQ_INDIVIDUAL_AS_REPORTED_DIRECTOR_COMP" hidden="1">"c19057"</definedName>
    <definedName name="IQ_INDIVIDUAL_ASSISTANT_EMAIL" hidden="1">"c15206"</definedName>
    <definedName name="IQ_INDIVIDUAL_ASSISTANT_FAX" hidden="1">"c15208"</definedName>
    <definedName name="IQ_INDIVIDUAL_ASSISTANT_NAME" hidden="1">"c15205"</definedName>
    <definedName name="IQ_INDIVIDUAL_ASSISTANT_PHONE" hidden="1">"c15207"</definedName>
    <definedName name="IQ_INDIVIDUAL_BACKGROUND" hidden="1">"c15184"</definedName>
    <definedName name="IQ_INDIVIDUAL_BONUS" hidden="1">"c19036"</definedName>
    <definedName name="IQ_INDIVIDUAL_CALCULATED_COMP" hidden="1">"c19043"</definedName>
    <definedName name="IQ_INDIVIDUAL_CHANGE_PENSION" hidden="1">"c19058"</definedName>
    <definedName name="IQ_INDIVIDUAL_DIRECT_FAX" hidden="1">"c15189"</definedName>
    <definedName name="IQ_INDIVIDUAL_DIRECT_PHONE" hidden="1">"c15188"</definedName>
    <definedName name="IQ_INDIVIDUAL_DIRECTOR_BONUS" hidden="1">"c19052"</definedName>
    <definedName name="IQ_INDIVIDUAL_DIRECTOR_CHANGE_PENSION" hidden="1">"c19053"</definedName>
    <definedName name="IQ_INDIVIDUAL_DIRECTOR_FEE" hidden="1">"c19049"</definedName>
    <definedName name="IQ_INDIVIDUAL_DIRECTOR_NON_EQUITY_COMP" hidden="1">"c19054"</definedName>
    <definedName name="IQ_INDIVIDUAL_DIRECTOR_OPTION_AWARDS" hidden="1">"c19050"</definedName>
    <definedName name="IQ_INDIVIDUAL_DIRECTOR_OTHER" hidden="1">"c19051"</definedName>
    <definedName name="IQ_INDIVIDUAL_DIRECTOR_STOCK_AWARDS" hidden="1">"c19055"</definedName>
    <definedName name="IQ_INDIVIDUAL_DIRECTOR_STOCK_GRANTS" hidden="1">"c19082"</definedName>
    <definedName name="IQ_INDIVIDUAL_DIRECTOR_STOCK_OPTIONS" hidden="1">"c19056"</definedName>
    <definedName name="IQ_INDIVIDUAL_EDUCATION" hidden="1">"c15203"</definedName>
    <definedName name="IQ_INDIVIDUAL_EMAIL" hidden="1">"c15193"</definedName>
    <definedName name="IQ_INDIVIDUAL_EQUITY_INCENTIVE" hidden="1">"c19078"</definedName>
    <definedName name="IQ_INDIVIDUAL_EST_PAYMENTS_CHANGE_CONTROL" hidden="1">"c19047"</definedName>
    <definedName name="IQ_INDIVIDUAL_EST_PAYMENTS_TERMINATION" hidden="1">"c19059"</definedName>
    <definedName name="IQ_INDIVIDUAL_EXERCISABLE_OPTIONS" hidden="1">"c19062"</definedName>
    <definedName name="IQ_INDIVIDUAL_EXERCISABLE_VALUES" hidden="1">"c19063"</definedName>
    <definedName name="IQ_INDIVIDUAL_EXERCISED_OPTIONS" hidden="1">"c19060"</definedName>
    <definedName name="IQ_INDIVIDUAL_EXERCISED_VALUES" hidden="1">"c19061"</definedName>
    <definedName name="IQ_INDIVIDUAL_FAMILY_LOAN_DOM_QUARTERLY_AVG_FFIEC" hidden="1">"c15479"</definedName>
    <definedName name="IQ_INDIVIDUAL_HOME_ADDRESS" hidden="1">"c15194"</definedName>
    <definedName name="IQ_INDIVIDUAL_HOME_FAX" hidden="1">"c15196"</definedName>
    <definedName name="IQ_INDIVIDUAL_HOME_PHONE" hidden="1">"c15195"</definedName>
    <definedName name="IQ_INDIVIDUAL_LT_INCENTIVE" hidden="1">"c19039"</definedName>
    <definedName name="IQ_INDIVIDUAL_MAIN_FAX" hidden="1">"c15187"</definedName>
    <definedName name="IQ_INDIVIDUAL_MAIN_PHONE" hidden="1">"c15186"</definedName>
    <definedName name="IQ_INDIVIDUAL_MARKET_VALUE_SHARES_NOT_VESTED" hidden="1">"c19077"</definedName>
    <definedName name="IQ_INDIVIDUAL_MOBILE" hidden="1">"c15198"</definedName>
    <definedName name="IQ_INDIVIDUAL_NICKNAME" hidden="1">"c15192"</definedName>
    <definedName name="IQ_INDIVIDUAL_NON_EQUITY_INCENTIVE" hidden="1">"c19048"</definedName>
    <definedName name="IQ_INDIVIDUAL_NOTES" hidden="1">"c15204"</definedName>
    <definedName name="IQ_INDIVIDUAL_NUM_SHARED_NOT_VESTED" hidden="1">"c19076"</definedName>
    <definedName name="IQ_INDIVIDUAL_NUM_SHARES_ACQUIRED" hidden="1">"c19074"</definedName>
    <definedName name="IQ_INDIVIDUAL_OFFICE_ADDRESS" hidden="1">"c15185"</definedName>
    <definedName name="IQ_INDIVIDUAL_OPTION_AWARDS" hidden="1">"c19044"</definedName>
    <definedName name="IQ_INDIVIDUAL_OPTION_MARKET_PRICE" hidden="1">"c19073"</definedName>
    <definedName name="IQ_INDIVIDUAL_OPTION_PRICE" hidden="1">"c19072"</definedName>
    <definedName name="IQ_INDIVIDUAL_OTHER_ANNUAL_COMP" hidden="1">"c19037"</definedName>
    <definedName name="IQ_INDIVIDUAL_OTHER_COMP" hidden="1">"c19046"</definedName>
    <definedName name="IQ_INDIVIDUAL_OTHER_PHONE" hidden="1">"c15197"</definedName>
    <definedName name="IQ_INDIVIDUAL_PARTNER_CORP_NON_TRANS_ACCTS_FFIEC" hidden="1">"c15322"</definedName>
    <definedName name="IQ_INDIVIDUAL_PARTNER_CORP_TRANS_ACCTS_FFIEC" hidden="1">"c15314"</definedName>
    <definedName name="IQ_INDIVIDUAL_PARTNER_CORPS_FOREIGN_DEP_FFIEC" hidden="1">"c15342"</definedName>
    <definedName name="IQ_INDIVIDUAL_PRIOR_BOARD_MEMBERSHIPS" hidden="1">"c15202"</definedName>
    <definedName name="IQ_INDIVIDUAL_PRIOR_PRO_AFFILIATIONS" hidden="1">"c15200"</definedName>
    <definedName name="IQ_INDIVIDUAL_RESTRICTED_STOCK_COMP" hidden="1">"c19038"</definedName>
    <definedName name="IQ_INDIVIDUAL_SALARY" hidden="1">"c19035"</definedName>
    <definedName name="IQ_INDIVIDUAL_SPECIALTY" hidden="1">"c15190"</definedName>
    <definedName name="IQ_INDIVIDUAL_ST_COMP" hidden="1">"c19042"</definedName>
    <definedName name="IQ_INDIVIDUAL_TITLE" hidden="1">"c15183"</definedName>
    <definedName name="IQ_INDIVIDUAL_TOTAL_NUM_STOCK_AWARDS" hidden="1">"c19081"</definedName>
    <definedName name="IQ_INDIVIDUAL_TOTAL_OPTIONS" hidden="1">"c19070"</definedName>
    <definedName name="IQ_INDIVIDUAL_TOTAL_STOCK_VALUE" hidden="1">"c19080"</definedName>
    <definedName name="IQ_INDIVIDUAL_TOTAL_VALUE_OPTIONS" hidden="1">"c19071"</definedName>
    <definedName name="IQ_INDIVIDUAL_UNCLASSIFIED_OPTIONS" hidden="1">"c19066"</definedName>
    <definedName name="IQ_INDIVIDUAL_UNCLASSIFIED_OPTIONS_VALUE" hidden="1">"c19067"</definedName>
    <definedName name="IQ_INDIVIDUAL_UNEARNED_STOCK_VALUE" hidden="1">"c19079"</definedName>
    <definedName name="IQ_INDIVIDUAL_UNEXERCISABLE_OPTIONS" hidden="1">"c19064"</definedName>
    <definedName name="IQ_INDIVIDUAL_UNEXERCISABLE_VALUES" hidden="1">"c19065"</definedName>
    <definedName name="IQ_INDIVIDUAL_UNEXERCISED_UNEARNED_OPTIONS" hidden="1">"c19068"</definedName>
    <definedName name="IQ_INDIVIDUAL_UNEXERCISED_UNEARNED_OPTIONS_VALUE" hidden="1">"c19069"</definedName>
    <definedName name="IQ_INDIVIDUAL_VALUE_VESTING" hidden="1">"c19075"</definedName>
    <definedName name="IQ_INDIVIDUALS_CHARGE_OFFS_FDIC" hidden="1">"c6599"</definedName>
    <definedName name="IQ_INDIVIDUALS_GROSS_LOANS_FFIEC" hidden="1">"c13411"</definedName>
    <definedName name="IQ_INDIVIDUALS_LOANS_FDIC" hidden="1">"c6318"</definedName>
    <definedName name="IQ_INDIVIDUALS_NET_CHARGE_OFFS_FDIC" hidden="1">"c6637"</definedName>
    <definedName name="IQ_INDIVIDUALS_OTHER_LOANS_FDIC" hidden="1">"c6321"</definedName>
    <definedName name="IQ_INDIVIDUALS_PARTNERSHIPS_CORP_DEPOSITS_FOREIGN_FDIC" hidden="1">"c6479"</definedName>
    <definedName name="IQ_INDIVIDUALS_PARTNERSHIPS_CORP_NONTRANSACTION_ACCOUNTS_FDIC" hidden="1">"c6545"</definedName>
    <definedName name="IQ_INDIVIDUALS_PARTNERSHIPS_CORP_TOTAL_DEPOSITS_FDIC" hidden="1">"c6471"</definedName>
    <definedName name="IQ_INDIVIDUALS_PARTNERSHIPS_CORP_TRANSACTION_ACCOUNTS_FDIC" hidden="1">"c6537"</definedName>
    <definedName name="IQ_INDIVIDUALS_RECOVERIES_FDIC" hidden="1">"c6618"</definedName>
    <definedName name="IQ_INDIVIDUALS_RISK_BASED_FFIEC" hidden="1">"c13432"</definedName>
    <definedName name="IQ_INDUSTRIAL_AUTO_SALES_DOMESTIC" hidden="1">"c20767"</definedName>
    <definedName name="IQ_INDUSTRIAL_AUTO_SALES_FOREIGN" hidden="1">"c20768"</definedName>
    <definedName name="IQ_INDUSTRIAL_AUTO_SALES_TOTAL" hidden="1">"c20769"</definedName>
    <definedName name="IQ_INDUSTRIAL_CAPACITY_UTILIZATION" hidden="1">"c20770"</definedName>
    <definedName name="IQ_INDUSTRIAL_IPI" hidden="1">"c20771"</definedName>
    <definedName name="IQ_INDUSTRIAL_MV_ASSEMBLIES_AUTO" hidden="1">"c20772"</definedName>
    <definedName name="IQ_INDUSTRIAL_MV_ASSEMBLIES_TOTAL" hidden="1">"c20773"</definedName>
    <definedName name="IQ_INDUSTRIAL_MV_ASSEMBLIES_TRUCKS" hidden="1">"c20774"</definedName>
    <definedName name="IQ_INDUSTRIAL_MV_ASSEMBLIES_TRUCKS_HEAVY" hidden="1">"c20775"</definedName>
    <definedName name="IQ_INDUSTRIAL_MV_ASSEMBLIES_TRUCKS_LIGHT" hidden="1">"c20776"</definedName>
    <definedName name="IQ_INDUSTRIAL_PROD" hidden="1">"c6895"</definedName>
    <definedName name="IQ_INDUSTRIAL_PROD_APR" hidden="1">"c7555"</definedName>
    <definedName name="IQ_INDUSTRIAL_PROD_APR_FC" hidden="1">"c8435"</definedName>
    <definedName name="IQ_INDUSTRIAL_PROD_FC" hidden="1">"c7775"</definedName>
    <definedName name="IQ_INDUSTRIAL_PROD_POP" hidden="1">"c7115"</definedName>
    <definedName name="IQ_INDUSTRIAL_PROD_POP_FC" hidden="1">"c7995"</definedName>
    <definedName name="IQ_INDUSTRIAL_PROD_YOY" hidden="1">"c7335"</definedName>
    <definedName name="IQ_INDUSTRIAL_PROD_YOY_FC" hidden="1">"c8215"</definedName>
    <definedName name="IQ_INDUSTRY" hidden="1">"c3601"</definedName>
    <definedName name="IQ_INDUSTRY_GROUP" hidden="1">"c3602"</definedName>
    <definedName name="IQ_INDUSTRY_SECTOR" hidden="1">"c3603"</definedName>
    <definedName name="IQ_INFERRED_ATTRIB_ORE_RESOURCES_ALUM" hidden="1">"c9240"</definedName>
    <definedName name="IQ_INFERRED_ATTRIB_ORE_RESOURCES_COP" hidden="1">"c9184"</definedName>
    <definedName name="IQ_INFERRED_ATTRIB_ORE_RESOURCES_DIAM" hidden="1">"c9664"</definedName>
    <definedName name="IQ_INFERRED_ATTRIB_ORE_RESOURCES_GOLD" hidden="1">"c9025"</definedName>
    <definedName name="IQ_INFERRED_ATTRIB_ORE_RESOURCES_IRON" hidden="1">"c9399"</definedName>
    <definedName name="IQ_INFERRED_ATTRIB_ORE_RESOURCES_LEAD" hidden="1">"c9452"</definedName>
    <definedName name="IQ_INFERRED_ATTRIB_ORE_RESOURCES_MANG" hidden="1">"c9505"</definedName>
    <definedName name="IQ_INFERRED_ATTRIB_ORE_RESOURCES_MOLYB" hidden="1">"c9717"</definedName>
    <definedName name="IQ_INFERRED_ATTRIB_ORE_RESOURCES_NICK" hidden="1">"c9293"</definedName>
    <definedName name="IQ_INFERRED_ATTRIB_ORE_RESOURCES_PLAT" hidden="1">"c9131"</definedName>
    <definedName name="IQ_INFERRED_ATTRIB_ORE_RESOURCES_SILVER" hidden="1">"c9078"</definedName>
    <definedName name="IQ_INFERRED_ATTRIB_ORE_RESOURCES_TITAN" hidden="1">"c9558"</definedName>
    <definedName name="IQ_INFERRED_ATTRIB_ORE_RESOURCES_URAN" hidden="1">"c9611"</definedName>
    <definedName name="IQ_INFERRED_ATTRIB_ORE_RESOURCES_ZINC" hidden="1">"c9346"</definedName>
    <definedName name="IQ_INFERRED_ORE_RESOURCES_ALUM" hidden="1">"c9228"</definedName>
    <definedName name="IQ_INFERRED_ORE_RESOURCES_COP" hidden="1">"c9172"</definedName>
    <definedName name="IQ_INFERRED_ORE_RESOURCES_DIAM" hidden="1">"c9652"</definedName>
    <definedName name="IQ_INFERRED_ORE_RESOURCES_GOLD" hidden="1">"c9013"</definedName>
    <definedName name="IQ_INFERRED_ORE_RESOURCES_IRON" hidden="1">"c9387"</definedName>
    <definedName name="IQ_INFERRED_ORE_RESOURCES_LEAD" hidden="1">"c9440"</definedName>
    <definedName name="IQ_INFERRED_ORE_RESOURCES_MANG" hidden="1">"c9493"</definedName>
    <definedName name="IQ_INFERRED_ORE_RESOURCES_MOLYB" hidden="1">"c9705"</definedName>
    <definedName name="IQ_INFERRED_ORE_RESOURCES_NICK" hidden="1">"c9281"</definedName>
    <definedName name="IQ_INFERRED_ORE_RESOURCES_PLAT" hidden="1">"c9119"</definedName>
    <definedName name="IQ_INFERRED_ORE_RESOURCES_SILVER" hidden="1">"c9066"</definedName>
    <definedName name="IQ_INFERRED_ORE_RESOURCES_TITAN" hidden="1">"c9546"</definedName>
    <definedName name="IQ_INFERRED_ORE_RESOURCES_URAN" hidden="1">"c9599"</definedName>
    <definedName name="IQ_INFERRED_ORE_RESOURCES_ZINC" hidden="1">"c9334"</definedName>
    <definedName name="IQ_INFERRED_RECOV_ATTRIB_RESOURCES_ALUM" hidden="1">"c9245"</definedName>
    <definedName name="IQ_INFERRED_RECOV_ATTRIB_RESOURCES_COAL" hidden="1">"c9819"</definedName>
    <definedName name="IQ_INFERRED_RECOV_ATTRIB_RESOURCES_COP" hidden="1">"c9189"</definedName>
    <definedName name="IQ_INFERRED_RECOV_ATTRIB_RESOURCES_DIAM" hidden="1">"c9669"</definedName>
    <definedName name="IQ_INFERRED_RECOV_ATTRIB_RESOURCES_GOLD" hidden="1">"c9030"</definedName>
    <definedName name="IQ_INFERRED_RECOV_ATTRIB_RESOURCES_IRON" hidden="1">"c9404"</definedName>
    <definedName name="IQ_INFERRED_RECOV_ATTRIB_RESOURCES_LEAD" hidden="1">"c9457"</definedName>
    <definedName name="IQ_INFERRED_RECOV_ATTRIB_RESOURCES_MANG" hidden="1">"c9510"</definedName>
    <definedName name="IQ_INFERRED_RECOV_ATTRIB_RESOURCES_MET_COAL" hidden="1">"c9759"</definedName>
    <definedName name="IQ_INFERRED_RECOV_ATTRIB_RESOURCES_MOLYB" hidden="1">"c9722"</definedName>
    <definedName name="IQ_INFERRED_RECOV_ATTRIB_RESOURCES_NICK" hidden="1">"c9298"</definedName>
    <definedName name="IQ_INFERRED_RECOV_ATTRIB_RESOURCES_PLAT" hidden="1">"c9136"</definedName>
    <definedName name="IQ_INFERRED_RECOV_ATTRIB_RESOURCES_SILVER" hidden="1">"c9083"</definedName>
    <definedName name="IQ_INFERRED_RECOV_ATTRIB_RESOURCES_STEAM" hidden="1">"c9789"</definedName>
    <definedName name="IQ_INFERRED_RECOV_ATTRIB_RESOURCES_TITAN" hidden="1">"c9563"</definedName>
    <definedName name="IQ_INFERRED_RECOV_ATTRIB_RESOURCES_URAN" hidden="1">"c9616"</definedName>
    <definedName name="IQ_INFERRED_RECOV_ATTRIB_RESOURCES_ZINC" hidden="1">"c9351"</definedName>
    <definedName name="IQ_INFERRED_RECOV_RESOURCES_ALUM" hidden="1">"c9235"</definedName>
    <definedName name="IQ_INFERRED_RECOV_RESOURCES_COAL" hidden="1">"c9814"</definedName>
    <definedName name="IQ_INFERRED_RECOV_RESOURCES_COP" hidden="1">"c9179"</definedName>
    <definedName name="IQ_INFERRED_RECOV_RESOURCES_DIAM" hidden="1">"c9659"</definedName>
    <definedName name="IQ_INFERRED_RECOV_RESOURCES_GOLD" hidden="1">"c9020"</definedName>
    <definedName name="IQ_INFERRED_RECOV_RESOURCES_IRON" hidden="1">"c9394"</definedName>
    <definedName name="IQ_INFERRED_RECOV_RESOURCES_LEAD" hidden="1">"c9447"</definedName>
    <definedName name="IQ_INFERRED_RECOV_RESOURCES_MANG" hidden="1">"c9500"</definedName>
    <definedName name="IQ_INFERRED_RECOV_RESOURCES_MET_COAL" hidden="1">"c9754"</definedName>
    <definedName name="IQ_INFERRED_RECOV_RESOURCES_MOLYB" hidden="1">"c9712"</definedName>
    <definedName name="IQ_INFERRED_RECOV_RESOURCES_NICK" hidden="1">"c9288"</definedName>
    <definedName name="IQ_INFERRED_RECOV_RESOURCES_PLAT" hidden="1">"c9126"</definedName>
    <definedName name="IQ_INFERRED_RECOV_RESOURCES_SILVER" hidden="1">"c9073"</definedName>
    <definedName name="IQ_INFERRED_RECOV_RESOURCES_STEAM" hidden="1">"c9784"</definedName>
    <definedName name="IQ_INFERRED_RECOV_RESOURCES_TITAN" hidden="1">"c9553"</definedName>
    <definedName name="IQ_INFERRED_RECOV_RESOURCES_URAN" hidden="1">"c9606"</definedName>
    <definedName name="IQ_INFERRED_RECOV_RESOURCES_ZINC" hidden="1">"c9341"</definedName>
    <definedName name="IQ_INFERRED_RESOURCES_CALORIFIC_VALUE_COAL" hidden="1">"c9809"</definedName>
    <definedName name="IQ_INFERRED_RESOURCES_CALORIFIC_VALUE_MET_COAL" hidden="1">"c9749"</definedName>
    <definedName name="IQ_INFERRED_RESOURCES_CALORIFIC_VALUE_STEAM" hidden="1">"c9779"</definedName>
    <definedName name="IQ_INFERRED_RESOURCES_GRADE_ALUM" hidden="1">"c9229"</definedName>
    <definedName name="IQ_INFERRED_RESOURCES_GRADE_COP" hidden="1">"c9173"</definedName>
    <definedName name="IQ_INFERRED_RESOURCES_GRADE_DIAM" hidden="1">"c9653"</definedName>
    <definedName name="IQ_INFERRED_RESOURCES_GRADE_GOLD" hidden="1">"c9014"</definedName>
    <definedName name="IQ_INFERRED_RESOURCES_GRADE_IRON" hidden="1">"c9388"</definedName>
    <definedName name="IQ_INFERRED_RESOURCES_GRADE_LEAD" hidden="1">"c9441"</definedName>
    <definedName name="IQ_INFERRED_RESOURCES_GRADE_MANG" hidden="1">"c9494"</definedName>
    <definedName name="IQ_INFERRED_RESOURCES_GRADE_MOLYB" hidden="1">"c9706"</definedName>
    <definedName name="IQ_INFERRED_RESOURCES_GRADE_NICK" hidden="1">"c9282"</definedName>
    <definedName name="IQ_INFERRED_RESOURCES_GRADE_PLAT" hidden="1">"c9120"</definedName>
    <definedName name="IQ_INFERRED_RESOURCES_GRADE_SILVER" hidden="1">"c9067"</definedName>
    <definedName name="IQ_INFERRED_RESOURCES_GRADE_TITAN" hidden="1">"c9547"</definedName>
    <definedName name="IQ_INFERRED_RESOURCES_GRADE_URAN" hidden="1">"c9600"</definedName>
    <definedName name="IQ_INFERRED_RESOURCES_GRADE_ZINC" hidden="1">"c9335"</definedName>
    <definedName name="IQ_INFLATION_CPI_APPAREL" hidden="1">"c20777"</definedName>
    <definedName name="IQ_INFLATION_CPI_EDUCATION" hidden="1">"c20778"</definedName>
    <definedName name="IQ_INFLATION_CPI_FOOD" hidden="1">"c20779"</definedName>
    <definedName name="IQ_INFLATION_CPI_HOUSING" hidden="1">"c20780"</definedName>
    <definedName name="IQ_INFLATION_CPI_MEDICAL" hidden="1">"c20781"</definedName>
    <definedName name="IQ_INFLATION_CPI_OTHER" hidden="1">"c20782"</definedName>
    <definedName name="IQ_INFLATION_CPI_RECREATION" hidden="1">"c20783"</definedName>
    <definedName name="IQ_INFLATION_CPI_TRANSPORTATION" hidden="1">"c20784"</definedName>
    <definedName name="IQ_INFLATION_CPI_TRANSPORTATION_PUBLIC" hidden="1">"c20785"</definedName>
    <definedName name="IQ_INFLATION_CPI_URBAN_ALL" hidden="1">"c20786"</definedName>
    <definedName name="IQ_INFLATION_PPI_FINISHED_GOODS" hidden="1">"c20787"</definedName>
    <definedName name="IQ_INFLATION_PPI_FINISHED_GOODS_EX_FOOD_ENERGY" hidden="1">"c20788"</definedName>
    <definedName name="IQ_INFLATION_RATE" hidden="1">"c6899"</definedName>
    <definedName name="IQ_INFLATION_RATE_CORE" hidden="1">"c11783"</definedName>
    <definedName name="IQ_INFLATION_RATE_CORE_POP" hidden="1">"c11784"</definedName>
    <definedName name="IQ_INFLATION_RATE_CORE_YOY" hidden="1">"c11785"</definedName>
    <definedName name="IQ_INFLATION_RATE_FC" hidden="1">"c7779"</definedName>
    <definedName name="IQ_INFLATION_RATE_POP" hidden="1">"c7119"</definedName>
    <definedName name="IQ_INFLATION_RATE_POP_FC" hidden="1">"c7999"</definedName>
    <definedName name="IQ_INFLATION_RATE_YOY" hidden="1">"c7339"</definedName>
    <definedName name="IQ_INFLATION_RATE_YOY_FC" hidden="1">"c8219"</definedName>
    <definedName name="IQ_INITIAL_CLAIMS" hidden="1">"c6900"</definedName>
    <definedName name="IQ_INITIAL_CLAIMS_APR" hidden="1">"c7560"</definedName>
    <definedName name="IQ_INITIAL_CLAIMS_APR_FC" hidden="1">"c8440"</definedName>
    <definedName name="IQ_INITIAL_CLAIMS_FC" hidden="1">"c7780"</definedName>
    <definedName name="IQ_INITIAL_CLAIMS_POP" hidden="1">"c7120"</definedName>
    <definedName name="IQ_INITIAL_CLAIMS_POP_FC" hidden="1">"c8000"</definedName>
    <definedName name="IQ_INITIAL_TRANSACTION" hidden="1">"c18885"</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CM" hidden="1">"c572"</definedName>
    <definedName name="IQ_INS_SETTLE_FIN" hidden="1">"c573"</definedName>
    <definedName name="IQ_INS_SETTLE_INS" hidden="1">"c574"</definedName>
    <definedName name="IQ_INS_SETTLE_RE" hidden="1">"c6223"</definedName>
    <definedName name="IQ_INS_SETTLE_REIT" hidden="1">"c575"</definedName>
    <definedName name="IQ_INS_SETTLE_SUPPLE" hidden="1">"c13814"</definedName>
    <definedName name="IQ_INS_SETTLE_UTI" hidden="1">"c576"</definedName>
    <definedName name="IQ_INSIDER_3MTH_BOUGHT" hidden="1">"c1534"</definedName>
    <definedName name="IQ_INSIDER_3MTH_BOUGHT_PCT" hidden="1">"c1534"</definedName>
    <definedName name="IQ_INSIDER_3MTH_NET" hidden="1">"c1535"</definedName>
    <definedName name="IQ_INSIDER_3MTH_NET_PCT" hidden="1">"c1535"</definedName>
    <definedName name="IQ_INSIDER_3MTH_SOLD" hidden="1">"c1533"</definedName>
    <definedName name="IQ_INSIDER_3MTH_SOLD_PCT" hidden="1">"c1533"</definedName>
    <definedName name="IQ_INSIDER_6MTH_BOUGHT" hidden="1">"c1537"</definedName>
    <definedName name="IQ_INSIDER_6MTH_BOUGHT_PCT" hidden="1">"c1537"</definedName>
    <definedName name="IQ_INSIDER_6MTH_NET" hidden="1">"c1538"</definedName>
    <definedName name="IQ_INSIDER_6MTH_NET_PCT" hidden="1">"c1538"</definedName>
    <definedName name="IQ_INSIDER_6MTH_SOLD" hidden="1">"c1536"</definedName>
    <definedName name="IQ_INSIDER_6MTH_SOLD_PCT" hidden="1">"c1536"</definedName>
    <definedName name="IQ_INSIDER_AMOUNT" hidden="1">"c238"</definedName>
    <definedName name="IQ_INSIDER_CIQID" hidden="1">"c19101"</definedName>
    <definedName name="IQ_INSIDER_DERIVATIVES" hidden="1">"c19102"</definedName>
    <definedName name="IQ_INSIDER_LOANS_FDIC" hidden="1">"c6365"</definedName>
    <definedName name="IQ_INSIDER_NAME" hidden="1">"c19100"</definedName>
    <definedName name="IQ_INSIDER_OVER_TOTAL" hidden="1">"c1581"</definedName>
    <definedName name="IQ_INSIDER_OWNER" hidden="1">"c577"</definedName>
    <definedName name="IQ_INSIDER_PERCENT" hidden="1">"c578"</definedName>
    <definedName name="IQ_INSIDER_POSITION_DATE" hidden="1">"c19104"</definedName>
    <definedName name="IQ_INSIDER_SHARES" hidden="1">"c579"</definedName>
    <definedName name="IQ_INSIDER_VALUE" hidden="1">"c19103"</definedName>
    <definedName name="IQ_INST_DEPOSITS" hidden="1">"c89"</definedName>
    <definedName name="IQ_INSTITUTION_TYPE" hidden="1">"c24730"</definedName>
    <definedName name="IQ_INSTITUTIONAL_AMOUNT" hidden="1">"c236"</definedName>
    <definedName name="IQ_INSTITUTIONAL_CIQID" hidden="1">"c19106"</definedName>
    <definedName name="IQ_INSTITUTIONAL_DERIVATIVES" hidden="1">"c19107"</definedName>
    <definedName name="IQ_INSTITUTIONAL_NAME" hidden="1">"c19105"</definedName>
    <definedName name="IQ_INSTITUTIONAL_OVER_TOTAL" hidden="1">"c1580"</definedName>
    <definedName name="IQ_INSTITUTIONAL_OWNER" hidden="1">"c580"</definedName>
    <definedName name="IQ_INSTITUTIONAL_PERCENT" hidden="1">"c581"</definedName>
    <definedName name="IQ_INSTITUTIONAL_POSITION_DATE" hidden="1">"c19109"</definedName>
    <definedName name="IQ_INSTITUTIONAL_SHARES" hidden="1">"c582"</definedName>
    <definedName name="IQ_INSTITUTIONAL_VALUE" hidden="1">"c19108"</definedName>
    <definedName name="IQ_INSTITUTIONS_EARNINGS_GAINS_FDIC" hidden="1">"c6723"</definedName>
    <definedName name="IQ_INSUR_RECEIV" hidden="1">"c1600"</definedName>
    <definedName name="IQ_INSURANCE_COMMISSION_FEES_FDIC" hidden="1">"c6670"</definedName>
    <definedName name="IQ_INSURANCE_REINSURANCE_UNDERWRITING_INCOME_FFIEC" hidden="1">"c13008"</definedName>
    <definedName name="IQ_INSURANCE_REV_OPERATING_INC_FFIEC" hidden="1">"c13387"</definedName>
    <definedName name="IQ_INSURANCE_UNDERWRITING_INCOME_FDIC" hidden="1">"c6671"</definedName>
    <definedName name="IQ_INT_BEARING_DEPOSITS" hidden="1">"c1166"</definedName>
    <definedName name="IQ_INT_BEARING_FUNDS_AVG_ASSETS_FFIEC" hidden="1">"c13355"</definedName>
    <definedName name="IQ_INT_BEARING_LIABILITIES_REPRICE_ASSETS_TOT_FFIEC" hidden="1">"c13452"</definedName>
    <definedName name="IQ_INT_BORROW" hidden="1">"c583"</definedName>
    <definedName name="IQ_INT_DEMAND_NOTES_FDIC" hidden="1">"c6567"</definedName>
    <definedName name="IQ_INT_DEPOSITS" hidden="1">"c584"</definedName>
    <definedName name="IQ_INT_DEPOSITS_DOM_FFIEC" hidden="1">"c12852"</definedName>
    <definedName name="IQ_INT_DEPOSITS_DOM_QUARTERLY_AVG_FFIEC" hidden="1">"c13088"</definedName>
    <definedName name="IQ_INT_DEPOSITS_FOREIGN_FFIEC" hidden="1">"c12855"</definedName>
    <definedName name="IQ_INT_DEPOSITS_FOREIGN_QUARTERLY_AVG_FFIEC" hidden="1">"c13089"</definedName>
    <definedName name="IQ_INT_DIV_INC" hidden="1">"c585"</definedName>
    <definedName name="IQ_INT_DIV_INC_MBS_FFIEC" hidden="1">"c12984"</definedName>
    <definedName name="IQ_INT_DIV_INC_SECURITIES_FFIEC" hidden="1">"c12982"</definedName>
    <definedName name="IQ_INT_DIV_INC_SECURITIES_OTHER_FFIEC" hidden="1">"c12985"</definedName>
    <definedName name="IQ_INT_DIV_INC_TREASURY_SECURITIES_FFIEC" hidden="1">"c12983"</definedName>
    <definedName name="IQ_INT_DOMESTIC_DEPOSITS_FDIC" hidden="1">"c6564"</definedName>
    <definedName name="IQ_INT_EXP_AVG_ASSETS_FFIEC" hidden="1">"c13357"</definedName>
    <definedName name="IQ_INT_EXP_BR" hidden="1">"c586"</definedName>
    <definedName name="IQ_INT_EXP_CM" hidden="1">"c586"</definedName>
    <definedName name="IQ_INT_EXP_COVERAGE" hidden="1">"c587"</definedName>
    <definedName name="IQ_INT_EXP_EARNING_ASSETS_FFIEC" hidden="1">"c13376"</definedName>
    <definedName name="IQ_INT_EXP_FED_FUNDS_PURCHASED_FFIEC" hidden="1">"c12996"</definedName>
    <definedName name="IQ_INT_EXP_FIN" hidden="1">"c588"</definedName>
    <definedName name="IQ_INT_EXP_INCL_CAP" hidden="1">"c2988"</definedName>
    <definedName name="IQ_INT_EXP_INS" hidden="1">"c589"</definedName>
    <definedName name="IQ_INT_EXP_LTD" hidden="1">"c2086"</definedName>
    <definedName name="IQ_INT_EXP_RE" hidden="1">"c6224"</definedName>
    <definedName name="IQ_INT_EXP_REIT" hidden="1">"c590"</definedName>
    <definedName name="IQ_INT_EXP_TOTAL" hidden="1">"c591"</definedName>
    <definedName name="IQ_INT_EXP_TOTAL_BNK_SUBTOTAL_AP" hidden="1">"c8977"</definedName>
    <definedName name="IQ_INT_EXP_TOTAL_FDIC" hidden="1">"c6569"</definedName>
    <definedName name="IQ_INT_EXP_UTI" hidden="1">"c592"</definedName>
    <definedName name="IQ_INT_EXPENSE_AVG_ASSET" hidden="1">"c15705"</definedName>
    <definedName name="IQ_INT_FED_FUNDS_FDIC" hidden="1">"c6566"</definedName>
    <definedName name="IQ_INT_FEE_INC_ACCEPTANCE_OTHER_BANKS_DOM_FFIEC" hidden="1">"c15357"</definedName>
    <definedName name="IQ_INT_FEE_INC_AGRICULTURE_LOANS_FARMERS_DOM_FFIEC" hidden="1">"c15355"</definedName>
    <definedName name="IQ_INT_FEE_INC_COMM_IND_LOANS_DOM_FFIEC" hidden="1">"c15356"</definedName>
    <definedName name="IQ_INT_FEE_INC_CREDIT_CARDS_DOM_FFIEC" hidden="1">"c15358"</definedName>
    <definedName name="IQ_INT_FEE_INC_DEPOSITORY_LOANS_DOM_FFIEC" hidden="1">"c15354"</definedName>
    <definedName name="IQ_INT_FEE_INC_FOREIGN_GOVT_LOANS_DOM_FFIEC" hidden="1">"c15360"</definedName>
    <definedName name="IQ_INT_FEE_INC_INDIVIDUAL_LOANS_DOM_FFIEC" hidden="1">"c15359"</definedName>
    <definedName name="IQ_INT_FEE_INC_LOANS_1_4_DOM_FFIEC" hidden="1">"c12976"</definedName>
    <definedName name="IQ_INT_FEE_INC_LOANS_DOM_FFIEC" hidden="1">"c13335"</definedName>
    <definedName name="IQ_INT_FEE_INC_LOANS_FOREIGN_FFIEC" hidden="1">"c12979"</definedName>
    <definedName name="IQ_INT_FEE_INC_LOANS_OTHER_DOM_FFIEC" hidden="1">"c12978"</definedName>
    <definedName name="IQ_INT_FEE_INC_RE_LOANS_DOM_FFIEC" hidden="1">"c15353"</definedName>
    <definedName name="IQ_INT_FEE_INC_SECURED_RE_DOM_FFIEC" hidden="1">"c12977"</definedName>
    <definedName name="IQ_INT_FEE_INC_TAX_EXEMPT_OBLIGATIONS_DOM_FFIEC" hidden="1">"c15362"</definedName>
    <definedName name="IQ_INT_FEE_INC_TAXABLE_OBLIGATIONS_DOM_FFIEC" hidden="1">"c15361"</definedName>
    <definedName name="IQ_INT_FEE_INCOME_FFIEC" hidden="1">"c12974"</definedName>
    <definedName name="IQ_INT_FOREIGN_DEPOSITS_FDIC" hidden="1">"c6565"</definedName>
    <definedName name="IQ_INT_INC_AVG_ASSETS_FFIEC" hidden="1">"c13356"</definedName>
    <definedName name="IQ_INT_INC_BR" hidden="1">"c593"</definedName>
    <definedName name="IQ_INT_INC_CM" hidden="1">"c593"</definedName>
    <definedName name="IQ_INT_INC_DEPOSITORY_INST_FDIC" hidden="1">"c6558"</definedName>
    <definedName name="IQ_INT_INC_DOM_LOANS_FDIC" hidden="1">"c6555"</definedName>
    <definedName name="IQ_INT_INC_DUE_DEPOSITORY_INSTITUTIONS_FFIEC" hidden="1">"c12981"</definedName>
    <definedName name="IQ_INT_INC_EARNING_ASSETS_FFIEC" hidden="1">"c13375"</definedName>
    <definedName name="IQ_INT_INC_FED_FUNDS_FDIC" hidden="1">"c6561"</definedName>
    <definedName name="IQ_INT_INC_FED_FUNDS_SOLD_FFIEC" hidden="1">"c12987"</definedName>
    <definedName name="IQ_INT_INC_FIN" hidden="1">"c594"</definedName>
    <definedName name="IQ_INT_INC_FOREIGN_LOANS_FDIC" hidden="1">"c6556"</definedName>
    <definedName name="IQ_INT_INC_INVEST" hidden="1">"c595"</definedName>
    <definedName name="IQ_INT_INC_LEASE_RECEIVABLES_FDIC" hidden="1">"c6557"</definedName>
    <definedName name="IQ_INT_INC_LOANS" hidden="1">"c596"</definedName>
    <definedName name="IQ_INT_INC_OTHER_FDIC" hidden="1">"c6562"</definedName>
    <definedName name="IQ_INT_INC_RE" hidden="1">"c6225"</definedName>
    <definedName name="IQ_INT_INC_REIT" hidden="1">"c597"</definedName>
    <definedName name="IQ_INT_INC_SECURITIES_FDIC" hidden="1">"c6559"</definedName>
    <definedName name="IQ_INT_INC_TE_AVG_ASSETS_FFIEC" hidden="1">"c13358"</definedName>
    <definedName name="IQ_INT_INC_TE_EARNING_ASSETS_FFIEC" hidden="1">"c13377"</definedName>
    <definedName name="IQ_INT_INC_TOTAL" hidden="1">"c598"</definedName>
    <definedName name="IQ_INT_INC_TOTAL_BNK_SUBTOTAL_AP" hidden="1">"c8976"</definedName>
    <definedName name="IQ_INT_INC_TOTAL_FDIC" hidden="1">"c6563"</definedName>
    <definedName name="IQ_INT_INC_TRADING_ACCOUNTS_FDIC" hidden="1">"c6560"</definedName>
    <definedName name="IQ_INT_INC_TRADING_ASSETS_FFIEC" hidden="1">"c12986"</definedName>
    <definedName name="IQ_INT_INC_UTI" hidden="1">"c599"</definedName>
    <definedName name="IQ_INT_INCOME_AVG_ASSET" hidden="1">"c15704"</definedName>
    <definedName name="IQ_INT_INCOME_FTE_AVG_ASSETS_FFIEC" hidden="1">"c13856"</definedName>
    <definedName name="IQ_INT_INCOME_FTE_AVG_EARNING_ASSETS_FFIEC" hidden="1">"c13857"</definedName>
    <definedName name="IQ_INT_INCOME_FTE_FFIEC" hidden="1">"c13852"</definedName>
    <definedName name="IQ_INT_INV_INC" hidden="1">"c600"</definedName>
    <definedName name="IQ_INT_INV_INC_RE" hidden="1">"c6226"</definedName>
    <definedName name="IQ_INT_INV_INC_REIT" hidden="1">"c601"</definedName>
    <definedName name="IQ_INT_INV_INC_UTI" hidden="1">"c602"</definedName>
    <definedName name="IQ_INT_ON_BORROWING_COVERAGE" hidden="1">"c603"</definedName>
    <definedName name="IQ_INT_ON_DEPOSITS_DOM_FFIEC" hidden="1">"c12991"</definedName>
    <definedName name="IQ_INT_ON_DEPOSITS_FFIEC" hidden="1">"c12990"</definedName>
    <definedName name="IQ_INT_ON_DEPOSITS_FOREIGN_FFIEC" hidden="1">"c12995"</definedName>
    <definedName name="IQ_INT_RATE_EXPOSURE_FFIEC" hidden="1">"c13058"</definedName>
    <definedName name="IQ_INT_RATE_SPREAD" hidden="1">"c604"</definedName>
    <definedName name="IQ_INT_SAVINGS_DEPOSITS_MMDA_DOM_FFIEC" hidden="1">"c15364"</definedName>
    <definedName name="IQ_INT_SUB_NOTES_FDIC" hidden="1">"c6568"</definedName>
    <definedName name="IQ_INT_SUB_NOTES_FFIEC" hidden="1">"c12998"</definedName>
    <definedName name="IQ_INT_TIME_DEPOSITS_LESS_THAN_100K_DOM_FFIEC" hidden="1">"c12993"</definedName>
    <definedName name="IQ_INT_TIME_DEPOSITS_MORE_THAN_100K_DOM_FFIEC" hidden="1">"c12992"</definedName>
    <definedName name="IQ_INT_TRADING_LIABILITIES_FFIEC" hidden="1">"c12997"</definedName>
    <definedName name="IQ_INT_TRANSACTION_ACCOUNTS_DOM_FFIEC" hidden="1">"c15363"</definedName>
    <definedName name="IQ_INTANGIBLES_NET" hidden="1">"c907"</definedName>
    <definedName name="IQ_INTEL_EPS_EST" hidden="1">"c24729"</definedName>
    <definedName name="IQ_INTERBANK_RATIO" hidden="1">"c19134"</definedName>
    <definedName name="IQ_INTEREST_ACCRUED_ON_DEPOSITS_DOM_FFIEC" hidden="1">"c15277"</definedName>
    <definedName name="IQ_INTEREST_BEARING_BALANCES_FDIC" hidden="1">"c6371"</definedName>
    <definedName name="IQ_INTEREST_BEARING_BALANCES_QUARTERLY_AVG_FFIEC" hidden="1">"c15467"</definedName>
    <definedName name="IQ_INTEREST_BEARING_CASH_FFIEC" hidden="1">"c15259"</definedName>
    <definedName name="IQ_INTEREST_BEARING_CASH_FOREIGN_FFIEC" hidden="1">"c12776"</definedName>
    <definedName name="IQ_INTEREST_BEARING_CASH_US_FFIEC" hidden="1">"c12775"</definedName>
    <definedName name="IQ_INTEREST_BEARING_DEPOSITS_DOMESTIC_FDIC" hidden="1">"c6478"</definedName>
    <definedName name="IQ_INTEREST_BEARING_DEPOSITS_FDIC" hidden="1">"c6373"</definedName>
    <definedName name="IQ_INTEREST_BEARING_DEPOSITS_FOREIGN_FDIC" hidden="1">"c6485"</definedName>
    <definedName name="IQ_INTEREST_BEARING_TRANS_DOM_QUARTERLY_AVG_FFIEC" hidden="1">"c15484"</definedName>
    <definedName name="IQ_INTEREST_CASH_DEPOSITS" hidden="1">"c2255"</definedName>
    <definedName name="IQ_INTEREST_EXP" hidden="1">"c618"</definedName>
    <definedName name="IQ_INTEREST_EXP_NET" hidden="1">"c1450"</definedName>
    <definedName name="IQ_INTEREST_EXP_NON" hidden="1">"c618"</definedName>
    <definedName name="IQ_INTEREST_EXP_SUPPL" hidden="1">"c1460"</definedName>
    <definedName name="IQ_INTEREST_INC" hidden="1">"c769"</definedName>
    <definedName name="IQ_INTEREST_INC_10K" hidden="1">"IQ_INTEREST_INC_10K"</definedName>
    <definedName name="IQ_INTEREST_INC_10Q" hidden="1">"IQ_INTEREST_INC_10Q"</definedName>
    <definedName name="IQ_INTEREST_INC_10Q1" hidden="1">"IQ_INTEREST_INC_10Q1"</definedName>
    <definedName name="IQ_INTEREST_INC_NON" hidden="1">"c619"</definedName>
    <definedName name="IQ_INTEREST_INVEST_INC" hidden="1">"c619"</definedName>
    <definedName name="IQ_INTEREST_LT_DEBT" hidden="1">"c2086"</definedName>
    <definedName name="IQ_INTEREST_PENALTIES_RECOG_BS_AFTER_TAX" hidden="1">"c15745"</definedName>
    <definedName name="IQ_INTEREST_PENALTIES_RECOG_BS_PRE_TAX" hidden="1">"c15744"</definedName>
    <definedName name="IQ_INTEREST_PENALTIES_RECOG_IS_AFTER_TAX" hidden="1">"c15743"</definedName>
    <definedName name="IQ_INTEREST_PENALTIES_RECOG_IS_PRE_TAX" hidden="1">"c15742"</definedName>
    <definedName name="IQ_INTEREST_RATE_CONTRACTS_FDIC" hidden="1">"c6512"</definedName>
    <definedName name="IQ_INTEREST_RATE_EXPOSURES_FDIC" hidden="1">"c6662"</definedName>
    <definedName name="IQ_INTERNAL_ALLOCATIONS_INC_EXP_FOREIGN_FFIEC" hidden="1">"c15394"</definedName>
    <definedName name="IQ_INV_10YR_ANN_CAGR" hidden="1">"c6164"</definedName>
    <definedName name="IQ_INV_10YR_ANN_GROWTH" hidden="1">"c1930"</definedName>
    <definedName name="IQ_INV_1YR_ANN_GROWTH" hidden="1">"c1925"</definedName>
    <definedName name="IQ_INV_2YR_ANN_CAGR" hidden="1">"c6160"</definedName>
    <definedName name="IQ_INV_2YR_ANN_GROWTH" hidden="1">"c1926"</definedName>
    <definedName name="IQ_INV_3YR_ANN_CAGR" hidden="1">"c6161"</definedName>
    <definedName name="IQ_INV_3YR_ANN_GROWTH" hidden="1">"c1927"</definedName>
    <definedName name="IQ_INV_5YR_ANN_CAGR" hidden="1">"c6162"</definedName>
    <definedName name="IQ_INV_5YR_ANN_GROWTH" hidden="1">"c1928"</definedName>
    <definedName name="IQ_INV_7YR_ANN_CAGR" hidden="1">"c6163"</definedName>
    <definedName name="IQ_INV_7YR_ANN_GROWTH" hidden="1">"c1929"</definedName>
    <definedName name="IQ_INV_BANKING_FEE" hidden="1">"c620"</definedName>
    <definedName name="IQ_INV_METHOD" hidden="1">"c621"</definedName>
    <definedName name="IQ_INV_REL_ID" hidden="1">"c15220"</definedName>
    <definedName name="IQ_INV_REL_NAME" hidden="1">"c15219"</definedName>
    <definedName name="IQ_INVENTORIES" hidden="1">"c6901"</definedName>
    <definedName name="IQ_INVENTORIES_APR" hidden="1">"c7561"</definedName>
    <definedName name="IQ_INVENTORIES_APR_FC" hidden="1">"c8441"</definedName>
    <definedName name="IQ_INVENTORIES_FC" hidden="1">"c7781"</definedName>
    <definedName name="IQ_INVENTORIES_POP" hidden="1">"c7121"</definedName>
    <definedName name="IQ_INVENTORIES_POP_FC" hidden="1">"c8001"</definedName>
    <definedName name="IQ_INVENTORIES_YOY" hidden="1">"c7341"</definedName>
    <definedName name="IQ_INVENTORIES_YOY_FC" hidden="1">"c8221"</definedName>
    <definedName name="IQ_INVENTORY" hidden="1">"c622"</definedName>
    <definedName name="IQ_INVENTORY_TURNS" hidden="1">"c623"</definedName>
    <definedName name="IQ_INVENTORY_UTI" hidden="1">"c624"</definedName>
    <definedName name="IQ_INVEST_CRITERIA_EBITDA_MAX" hidden="1">"c18907"</definedName>
    <definedName name="IQ_INVEST_CRITERIA_EBITDA_MIN" hidden="1">"c18906"</definedName>
    <definedName name="IQ_INVEST_CRITERIA_EQUITY_MAX" hidden="1">"c18901"</definedName>
    <definedName name="IQ_INVEST_CRITERIA_EQUITY_MIN" hidden="1">"c18900"</definedName>
    <definedName name="IQ_INVEST_CRITERIA_EV_MAX" hidden="1">"c18903"</definedName>
    <definedName name="IQ_INVEST_CRITERIA_EV_MIN" hidden="1">"c18902"</definedName>
    <definedName name="IQ_INVEST_CRITERIA_GEOGRAPHY" hidden="1">"c18898"</definedName>
    <definedName name="IQ_INVEST_CRITERIA_INDUSTRY" hidden="1">"c18897"</definedName>
    <definedName name="IQ_INVEST_CRITERIA_STAGES" hidden="1">"c18899"</definedName>
    <definedName name="IQ_INVEST_CRITERIA_TOT_REV_MAX" hidden="1">"c18905"</definedName>
    <definedName name="IQ_INVEST_CRITERIA_TOT_REV_MIN" hidden="1">"c18904"</definedName>
    <definedName name="IQ_INVEST_DEBT" hidden="1">"c625"</definedName>
    <definedName name="IQ_INVEST_EQUITY_PREF" hidden="1">"c626"</definedName>
    <definedName name="IQ_INVEST_FHLB" hidden="1">"c627"</definedName>
    <definedName name="IQ_INVEST_GOV_SECURITY" hidden="1">"c5510"</definedName>
    <definedName name="IQ_INVEST_LOANS_CF" hidden="1">"c628"</definedName>
    <definedName name="IQ_INVEST_LOANS_CF_BNK" hidden="1">"c629"</definedName>
    <definedName name="IQ_INVEST_LOANS_CF_BR" hidden="1">"c630"</definedName>
    <definedName name="IQ_INVEST_LOANS_CF_CM" hidden="1">"c630"</definedName>
    <definedName name="IQ_INVEST_LOANS_CF_FIN" hidden="1">"c631"</definedName>
    <definedName name="IQ_INVEST_LOANS_CF_INS" hidden="1">"c632"</definedName>
    <definedName name="IQ_INVEST_LOANS_CF_RE" hidden="1">"c6227"</definedName>
    <definedName name="IQ_INVEST_LOANS_CF_REIT" hidden="1">"c633"</definedName>
    <definedName name="IQ_INVEST_LOANS_CF_UTI" hidden="1">"c634"</definedName>
    <definedName name="IQ_INVEST_MUNI_SECURITY" hidden="1">"c5512"</definedName>
    <definedName name="IQ_INVEST_REAL_ESTATE" hidden="1">"c635"</definedName>
    <definedName name="IQ_INVEST_SECURITIES_ASSETS_TOT_FFIEC" hidden="1">"c13440"</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CM" hidden="1">"c639"</definedName>
    <definedName name="IQ_INVEST_SECURITY_CF_FIN" hidden="1">"c640"</definedName>
    <definedName name="IQ_INVEST_SECURITY_CF_INS" hidden="1">"c641"</definedName>
    <definedName name="IQ_INVEST_SECURITY_CF_RE" hidden="1">"c6228"</definedName>
    <definedName name="IQ_INVEST_SECURITY_CF_REIT" hidden="1">"c642"</definedName>
    <definedName name="IQ_INVEST_SECURITY_CF_UTI" hidden="1">"c643"</definedName>
    <definedName name="IQ_INVEST_SECURITY_SUPPL" hidden="1">"c5511"</definedName>
    <definedName name="IQ_INVEST_UNCONSOLIDATED_SUBS_FFIEC" hidden="1">"c12834"</definedName>
    <definedName name="IQ_INVESTMENT_ADVISOR" hidden="1">"c19236"</definedName>
    <definedName name="IQ_INVESTMENT_ADVISOR_ID" hidden="1">"c19237"</definedName>
    <definedName name="IQ_INVESTMENT_ADVISOR_PRIMARY" hidden="1">"c19239"</definedName>
    <definedName name="IQ_INVESTMENT_ADVISOR_PRIMARY_ID" hidden="1">"c19240"</definedName>
    <definedName name="IQ_INVESTMENT_ADVISOR_REL" hidden="1">"c19238"</definedName>
    <definedName name="IQ_INVESTMENT_BANKING_BROKERAGE_FEES_FFIEC" hidden="1">"c13627"</definedName>
    <definedName name="IQ_INVESTMENT_BANKING_FEES_COMMISSIONS_FFIEC" hidden="1">"c13006"</definedName>
    <definedName name="IQ_INVESTMENT_BANKING_OTHER_FEES_FDIC" hidden="1">"c6666"</definedName>
    <definedName name="IQ_INVESTMENT_PARTNERSHIP" hidden="1">"c16072"</definedName>
    <definedName name="IQ_INVESTMENTS_ALL" hidden="1">"c18891"</definedName>
    <definedName name="IQ_INVESTMENTS_ALL_COVER" hidden="1">"c19112"</definedName>
    <definedName name="IQ_INVESTMENTS_ALL_ID" hidden="1">"c18892"</definedName>
    <definedName name="IQ_INVESTMENTS_ALL_REL" hidden="1">"c18894"</definedName>
    <definedName name="IQ_INVESTMENTS_ALL_STAKE" hidden="1">"c18893"</definedName>
    <definedName name="IQ_INVESTMENTS_CURR" hidden="1">"c18881"</definedName>
    <definedName name="IQ_INVESTMENTS_CURR_COVER" hidden="1">"c19110"</definedName>
    <definedName name="IQ_INVESTMENTS_CURR_ID" hidden="1">"c18882"</definedName>
    <definedName name="IQ_INVESTMENTS_CURR_REL" hidden="1">"c18884"</definedName>
    <definedName name="IQ_INVESTMENTS_CURR_STAKE" hidden="1">"c18883"</definedName>
    <definedName name="IQ_INVESTMENTS_LP" hidden="1">"c18912"</definedName>
    <definedName name="IQ_INVESTMENTS_LP_ID" hidden="1">"c18913"</definedName>
    <definedName name="IQ_INVESTMENTS_LP_REL" hidden="1">"c18914"</definedName>
    <definedName name="IQ_INVESTMENTS_PENDING" hidden="1">"c18887"</definedName>
    <definedName name="IQ_INVESTMENTS_PENDING_COVER" hidden="1">"c19111"</definedName>
    <definedName name="IQ_INVESTMENTS_PENDING_ID" hidden="1">"c18888"</definedName>
    <definedName name="IQ_INVESTMENTS_PENDING_REL" hidden="1">"c18890"</definedName>
    <definedName name="IQ_INVESTMENTS_PENDING_STAKE" hidden="1">"c18889"</definedName>
    <definedName name="IQ_INVESTMENTS_PRIOR" hidden="1">"c18895"</definedName>
    <definedName name="IQ_INVESTMENTS_PRIOR_ID" hidden="1">"c18896"</definedName>
    <definedName name="IQ_IPRD" hidden="1">"c644"</definedName>
    <definedName name="IQ_IPRD_SUPPLE" hidden="1">"c13813"</definedName>
    <definedName name="IQ_IRA_KEOGH_ACCOUNTS_FDIC" hidden="1">"c6496"</definedName>
    <definedName name="IQ_ISIN" hidden="1">"c12041"</definedName>
    <definedName name="IQ_ISM_INDEX" hidden="1">"c6902"</definedName>
    <definedName name="IQ_ISM_INDEX_APR" hidden="1">"c7562"</definedName>
    <definedName name="IQ_ISM_INDEX_APR_FC" hidden="1">"c8442"</definedName>
    <definedName name="IQ_ISM_INDEX_FC" hidden="1">"c7782"</definedName>
    <definedName name="IQ_ISM_INDEX_POP" hidden="1">"c7122"</definedName>
    <definedName name="IQ_ISM_INDEX_POP_FC" hidden="1">"c8002"</definedName>
    <definedName name="IQ_ISM_INDEX_YOY" hidden="1">"c7342"</definedName>
    <definedName name="IQ_ISM_INDEX_YOY_FC" hidden="1">"c8222"</definedName>
    <definedName name="IQ_ISM_SERVICES_APR_FC_UNUSED" hidden="1">"c8443"</definedName>
    <definedName name="IQ_ISM_SERVICES_APR_FC_UNUSED_UNUSED_UNUSED" hidden="1">"c8443"</definedName>
    <definedName name="IQ_ISM_SERVICES_APR_UNUSED" hidden="1">"c7563"</definedName>
    <definedName name="IQ_ISM_SERVICES_APR_UNUSED_UNUSED_UNUSED" hidden="1">"c7563"</definedName>
    <definedName name="IQ_ISM_SERVICES_FC_UNUSED" hidden="1">"c7783"</definedName>
    <definedName name="IQ_ISM_SERVICES_FC_UNUSED_UNUSED_UNUSED" hidden="1">"c7783"</definedName>
    <definedName name="IQ_ISM_SERVICES_INDEX" hidden="1">"c11862"</definedName>
    <definedName name="IQ_ISM_SERVICES_INDEX_APR" hidden="1">"c11865"</definedName>
    <definedName name="IQ_ISM_SERVICES_INDEX_POP" hidden="1">"c11863"</definedName>
    <definedName name="IQ_ISM_SERVICES_INDEX_YOY" hidden="1">"c11864"</definedName>
    <definedName name="IQ_ISM_SERVICES_POP_FC_UNUSED" hidden="1">"c8003"</definedName>
    <definedName name="IQ_ISM_SERVICES_POP_FC_UNUSED_UNUSED_UNUSED" hidden="1">"c8003"</definedName>
    <definedName name="IQ_ISM_SERVICES_POP_UNUSED" hidden="1">"c7123"</definedName>
    <definedName name="IQ_ISM_SERVICES_POP_UNUSED_UNUSED_UNUSED" hidden="1">"c7123"</definedName>
    <definedName name="IQ_ISM_SERVICES_UNUSED" hidden="1">"c6903"</definedName>
    <definedName name="IQ_ISM_SERVICES_UNUSED_UNUSED_UNUSED" hidden="1">"c6903"</definedName>
    <definedName name="IQ_ISM_SERVICES_YOY_FC_UNUSED" hidden="1">"c8223"</definedName>
    <definedName name="IQ_ISM_SERVICES_YOY_FC_UNUSED_UNUSED_UNUSED" hidden="1">"c8223"</definedName>
    <definedName name="IQ_ISM_SERVICES_YOY_UNUSED" hidden="1">"c7343"</definedName>
    <definedName name="IQ_ISM_SERVICES_YOY_UNUSED_UNUSED_UNUSED" hidden="1">"c7343"</definedName>
    <definedName name="IQ_ISS_DEBT_NET" hidden="1">"c751"</definedName>
    <definedName name="IQ_ISS_STOCK_NET" hidden="1">"c1601"</definedName>
    <definedName name="IQ_ISSUE_CURRENCY" hidden="1">"c2156"</definedName>
    <definedName name="IQ_ISSUE_NAME" hidden="1">"c2142"</definedName>
    <definedName name="IQ_ISSUED_GUARANTEED_US_FDIC" hidden="1">"c6404"</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KEY_DEV_COMPANY_ID" hidden="1">"c13830"</definedName>
    <definedName name="IQ_KEY_DEV_COMPANY_NAME" hidden="1">"c13829"</definedName>
    <definedName name="IQ_KEY_DEV_DATE" hidden="1">"c13763"</definedName>
    <definedName name="IQ_KEY_DEV_HEADLINE" hidden="1">"c13761"</definedName>
    <definedName name="IQ_KEY_DEV_ID" hidden="1">"c13760"</definedName>
    <definedName name="IQ_KEY_DEV_ID_INCL_SUBS" hidden="1">"c13832"</definedName>
    <definedName name="IQ_KEY_DEV_SITUATION" hidden="1">"c13762"</definedName>
    <definedName name="IQ_KEY_DEV_SOURCE" hidden="1">"c13765"</definedName>
    <definedName name="IQ_KEY_DEV_TIME" hidden="1">"c13833"</definedName>
    <definedName name="IQ_KEY_DEV_TRANSACTION_ID" hidden="1">"c13766"</definedName>
    <definedName name="IQ_KEY_DEV_TYPE" hidden="1">"c13764"</definedName>
    <definedName name="IQ_LABOR_BENEFITS_CIVILIANS" hidden="1">"c20789"</definedName>
    <definedName name="IQ_LABOR_BENEFITS_GOVT" hidden="1">"c20790"</definedName>
    <definedName name="IQ_LABOR_BENEFITS_PRIVATE_INDUSTRY" hidden="1">"c20791"</definedName>
    <definedName name="IQ_LABOR_COMP_CIVILIANS" hidden="1">"c20792"</definedName>
    <definedName name="IQ_LABOR_COMP_GOVT" hidden="1">"c20793"</definedName>
    <definedName name="IQ_LABOR_COMP_PRIVATE_INDUSTRY" hidden="1">"c20794"</definedName>
    <definedName name="IQ_LABOR_NONFARM_PAYROLL" hidden="1">"c20795"</definedName>
    <definedName name="IQ_LABOR_UNEMPLOYMENT_CLAIMS" hidden="1">"c20796"</definedName>
    <definedName name="IQ_LABOR_UNEMPLOYMENT_CLAIMS_4WEEK" hidden="1">"c20797"</definedName>
    <definedName name="IQ_LABOR_UNEMPLOYMENT_RATE" hidden="1">"c20798"</definedName>
    <definedName name="IQ_LABOR_UNEMPLOYMENT_RATE_PCT_INSURED" hidden="1">"c20799"</definedName>
    <definedName name="IQ_LABOR_WAGES_CIVILIANS" hidden="1">"c20800"</definedName>
    <definedName name="IQ_LABOR_WAGES_GOVT" hidden="1">"c20801"</definedName>
    <definedName name="IQ_LABOR_WAGES_PRIVATE_INDUSTRY" hidden="1">"c20802"</definedName>
    <definedName name="IQ_LAND" hidden="1">"c645"</definedName>
    <definedName name="IQ_LAND_MINERAL_RIGHTS_TO_PPE_GROSS_COAL" hidden="1">"c15949"</definedName>
    <definedName name="IQ_LAND_MINERAL_RIGHTS_TO_PPE_NET_COAL" hidden="1">"c15950"</definedName>
    <definedName name="IQ_LANDS_MINERAL_RIGHTS_GROSS_COAL" hidden="1">"c15938"</definedName>
    <definedName name="IQ_LANDS_MINERAL_RIGHTS_NET_COAL" hidden="1">"c15939"</definedName>
    <definedName name="IQ_LAPSE_STATUTE_LIMITATIONS" hidden="1">"c15738"</definedName>
    <definedName name="IQ_LARGE_CAP_LABOR_COST_INDEX" hidden="1">"c6904"</definedName>
    <definedName name="IQ_LARGE_CAP_LABOR_COST_INDEX_APR" hidden="1">"c7564"</definedName>
    <definedName name="IQ_LARGE_CAP_LABOR_COST_INDEX_APR_FC" hidden="1">"c8444"</definedName>
    <definedName name="IQ_LARGE_CAP_LABOR_COST_INDEX_FC" hidden="1">"c7784"</definedName>
    <definedName name="IQ_LARGE_CAP_LABOR_COST_INDEX_POP" hidden="1">"c7124"</definedName>
    <definedName name="IQ_LARGE_CAP_LABOR_COST_INDEX_POP_FC" hidden="1">"c8004"</definedName>
    <definedName name="IQ_LARGE_CAP_LABOR_COST_INDEX_YOY" hidden="1">"c7344"</definedName>
    <definedName name="IQ_LARGE_CAP_LABOR_COST_INDEX_YOY_FC" hidden="1">"c8224"</definedName>
    <definedName name="IQ_LAST_EBIT_MARGIN" hidden="1">"IQ_LAST_EBIT_MARGIN"</definedName>
    <definedName name="IQ_LAST_EBITDA_MARGIN" hidden="1">"IQ_LAST_EBITDA_MARGIN"</definedName>
    <definedName name="IQ_LAST_GROSS_MARGIN" hidden="1">"IQ_LAST_GROSS_MARGIN"</definedName>
    <definedName name="IQ_LAST_NET_INC_MARGIN" hidden="1">"IQ_LAST_NET_INC_MARGIN"</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 hidden="1">"1"</definedName>
    <definedName name="IQ_LATEST_MONTHLY_FACTOR" hidden="1">"c8971"</definedName>
    <definedName name="IQ_LATEST_MONTHLY_FACTOR_DATE" hidden="1">"c8972"</definedName>
    <definedName name="IQ_LATEST_TRANSACTION" hidden="1">"c18886"</definedName>
    <definedName name="IQ_LATESTK" hidden="1">1000</definedName>
    <definedName name="IQ_LATESTKFR" hidden="1">"100"</definedName>
    <definedName name="IQ_LATESTQ" hidden="1">500</definedName>
    <definedName name="IQ_LATESTQFR" hidden="1">"50"</definedName>
    <definedName name="IQ_LEAD_UNDERWRITER" hidden="1">"c8957"</definedName>
    <definedName name="IQ_LEASE_EXPENSE" hidden="1">"c16039"</definedName>
    <definedName name="IQ_LEASE_FIN_RECEIVABLES_NON_US_CHARGE_OFFS_FFIEC" hidden="1">"c13631"</definedName>
    <definedName name="IQ_LEASE_FIN_RECEIVABLES_NON_US_RECOV_FFIEC" hidden="1">"c13635"</definedName>
    <definedName name="IQ_LEASE_FIN_RECEIVABLES_US_CHARGE_OFFS_FFIEC" hidden="1">"c13630"</definedName>
    <definedName name="IQ_LEASE_FIN_RECEIVABLES_US_RECOV_FFIEC" hidden="1">"c13634"</definedName>
    <definedName name="IQ_LEASE_FINANCE" hidden="1">"c5654"</definedName>
    <definedName name="IQ_LEASE_FINANCING_REC_DUE_30_89_FFIEC" hidden="1">"c13276"</definedName>
    <definedName name="IQ_LEASE_FINANCING_REC_DUE_90_FFIEC" hidden="1">"c13302"</definedName>
    <definedName name="IQ_LEASE_FINANCING_REC_NON_ACCRUAL_FFIEC" hidden="1">"c13328"</definedName>
    <definedName name="IQ_LEASE_FINANCING_RECEIVABLES_CHARGE_OFFS_FDIC" hidden="1">"c6602"</definedName>
    <definedName name="IQ_LEASE_FINANCING_RECEIVABLES_DOM_FFIEC" hidden="1">"c12915"</definedName>
    <definedName name="IQ_LEASE_FINANCING_RECEIVABLES_FDIC" hidden="1">"c6433"</definedName>
    <definedName name="IQ_LEASE_FINANCING_RECEIVABLES_NET_CHARGE_OFFS_FDIC" hidden="1">"c6640"</definedName>
    <definedName name="IQ_LEASE_FINANCING_RECEIVABLES_QUARTERLY_AVG_FFIEC" hidden="1">"c15483"</definedName>
    <definedName name="IQ_LEASE_FINANCING_RECEIVABLES_RECOVERIES_FDIC" hidden="1">"c6621"</definedName>
    <definedName name="IQ_LEASE_FINANCING_RECEIVABLES_TOTAL_LOANS_FOREIGN_FDIC" hidden="1">"c6449"</definedName>
    <definedName name="IQ_LEASE_PMT_REC_AFTER_FIVE" hidden="1">"c16099"</definedName>
    <definedName name="IQ_LEASE_PMT_REC_CY" hidden="1">"c16093"</definedName>
    <definedName name="IQ_LEASE_PMT_REC_CY1" hidden="1">"c16094"</definedName>
    <definedName name="IQ_LEASE_PMT_REC_CY2" hidden="1">"c16095"</definedName>
    <definedName name="IQ_LEASE_PMT_REC_CY3" hidden="1">"c16096"</definedName>
    <definedName name="IQ_LEASE_PMT_REC_CY4" hidden="1">"c16097"</definedName>
    <definedName name="IQ_LEASE_PMT_REC_NEXT_FIVE" hidden="1">"c16098"</definedName>
    <definedName name="IQ_LEASE_PMT_REC_TOTAL" hidden="1">"c16100"</definedName>
    <definedName name="IQ_LEASE_RECEIVABLES_FOREIGN_FFIEC" hidden="1">"c13483"</definedName>
    <definedName name="IQ_LEASE_REVENUE" hidden="1">"c16023"</definedName>
    <definedName name="IQ_LEASE_TERMINATION_FEES" hidden="1">"c16182"</definedName>
    <definedName name="IQ_LEASED_RESERVES_COAL" hidden="1">"c15918"</definedName>
    <definedName name="IQ_LEASED_RESERVES_TO_TOTAL_RESERVES_COAL" hidden="1">"c15958"</definedName>
    <definedName name="IQ_LEASES_INDIVIDUALS_CHARGE_OFFS_FFIEC" hidden="1">"c13184"</definedName>
    <definedName name="IQ_LEASES_INDIVIDUALS_RECOV_FFIEC" hidden="1">"c13206"</definedName>
    <definedName name="IQ_LEASES_PERSONAL_EXP_DUE_30_89_FFIEC" hidden="1">"c13277"</definedName>
    <definedName name="IQ_LEASES_PERSONAL_EXP_DUE_90_FFIEC" hidden="1">"c13303"</definedName>
    <definedName name="IQ_LEASES_PERSONAL_EXP_NON_ACCRUAL_FFIEC" hidden="1">"c13329"</definedName>
    <definedName name="IQ_LEGAL_FEES_FFIEC" hidden="1">"c13052"</definedName>
    <definedName name="IQ_LEGAL_SETTLE" hidden="1">"c647"</definedName>
    <definedName name="IQ_LEGAL_SETTLE_BNK" hidden="1">"c648"</definedName>
    <definedName name="IQ_LEGAL_SETTLE_BR" hidden="1">"c649"</definedName>
    <definedName name="IQ_LEGAL_SETTLE_CM" hidden="1">"c649"</definedName>
    <definedName name="IQ_LEGAL_SETTLE_FIN" hidden="1">"c650"</definedName>
    <definedName name="IQ_LEGAL_SETTLE_INS" hidden="1">"c651"</definedName>
    <definedName name="IQ_LEGAL_SETTLE_RE" hidden="1">"c6229"</definedName>
    <definedName name="IQ_LEGAL_SETTLE_REIT" hidden="1">"c652"</definedName>
    <definedName name="IQ_LEGAL_SETTLE_SUPPLE" hidden="1">"c13815"</definedName>
    <definedName name="IQ_LEGAL_SETTLE_UTI" hidden="1">"c653"</definedName>
    <definedName name="IQ_LEVERAGE_RATIO" hidden="1">"c654"</definedName>
    <definedName name="IQ_LEVERED_FCF" hidden="1">"c1907"</definedName>
    <definedName name="IQ_LFCF_10YR_ANN_CAGR" hidden="1">"c6174"</definedName>
    <definedName name="IQ_LFCF_10YR_ANN_GROWTH" hidden="1">"c1942"</definedName>
    <definedName name="IQ_LFCF_1YR_ANN_GROWTH" hidden="1">"c1937"</definedName>
    <definedName name="IQ_LFCF_2YR_ANN_CAGR" hidden="1">"c6170"</definedName>
    <definedName name="IQ_LFCF_2YR_ANN_GROWTH" hidden="1">"c1938"</definedName>
    <definedName name="IQ_LFCF_3YR_ANN_CAGR" hidden="1">"c6171"</definedName>
    <definedName name="IQ_LFCF_3YR_ANN_GROWTH" hidden="1">"c1939"</definedName>
    <definedName name="IQ_LFCF_5YR_ANN_CAGR" hidden="1">"c6172"</definedName>
    <definedName name="IQ_LFCF_5YR_ANN_GROWTH" hidden="1">"c1940"</definedName>
    <definedName name="IQ_LFCF_7YR_ANN_CAGR" hidden="1">"c6173"</definedName>
    <definedName name="IQ_LFCF_7YR_ANN_GROWTH" hidden="1">"c1941"</definedName>
    <definedName name="IQ_LFCF_MARGIN" hidden="1">"c1961"</definedName>
    <definedName name="IQ_LH_STATUTORY_SURPLUS" hidden="1">"c2771"</definedName>
    <definedName name="IQ_LIAB_AP" hidden="1">"c8886"</definedName>
    <definedName name="IQ_LIAB_AP_ABS" hidden="1">"c8905"</definedName>
    <definedName name="IQ_LIAB_NAME_AP" hidden="1">"c8924"</definedName>
    <definedName name="IQ_LIAB_NAME_AP_ABS" hidden="1">"c8943"</definedName>
    <definedName name="IQ_LIABILITIES_FAIR_VALUE" hidden="1">"c13848"</definedName>
    <definedName name="IQ_LIABILITIES_LEVEL_1" hidden="1">"c13844"</definedName>
    <definedName name="IQ_LIABILITIES_LEVEL_2" hidden="1">"c13845"</definedName>
    <definedName name="IQ_LIABILITIES_LEVEL_3" hidden="1">"c13846"</definedName>
    <definedName name="IQ_LIABILITIES_NETTING_OTHER_ADJUSTMENTS" hidden="1">"c13847"</definedName>
    <definedName name="IQ_LIABILITY_ACCEPTANCES_OUT_FFIEC" hidden="1">"c12866"</definedName>
    <definedName name="IQ_LIABILITY_SHORT_POSITIONS_DOM_FFIEC" hidden="1">"c12941"</definedName>
    <definedName name="IQ_LICENSED_POPS" hidden="1">"c2123"</definedName>
    <definedName name="IQ_LICENSED_WIRELESS_POPS" hidden="1">"c2123"</definedName>
    <definedName name="IQ_LIFE_EARNED" hidden="1">"c2739"</definedName>
    <definedName name="IQ_LIFE_INSURANCE_ASSETS_FDIC" hidden="1">"c6372"</definedName>
    <definedName name="IQ_LIFE_INSURANCE_ASSETS_FFIEC" hidden="1">"c12847"</definedName>
    <definedName name="IQ_LIFOR" hidden="1">"c655"</definedName>
    <definedName name="IQ_LIMITED_PARTNERS" hidden="1">"c18915"</definedName>
    <definedName name="IQ_LIMITED_PARTNERS_ID" hidden="1">"c18916"</definedName>
    <definedName name="IQ_LIMITED_PARTNERS_REL" hidden="1">"c19114"</definedName>
    <definedName name="IQ_LINE_EXTENSIONS_CABLE_INVEST" hidden="1">"c15803"</definedName>
    <definedName name="IQ_LIQUID_ASSETS_ASSETS_TOT_FFIEC" hidden="1">"c13439"</definedName>
    <definedName name="IQ_LIQUID_ASSETS_NONCORE_FUNDING_FFIEC" hidden="1">"c13339"</definedName>
    <definedName name="IQ_LIQUIDATION_VALUE_PREFERRED_CONVERT" hidden="1">"c13835"</definedName>
    <definedName name="IQ_LIQUIDATION_VALUE_PREFERRED_NON_REDEEM" hidden="1">"c13836"</definedName>
    <definedName name="IQ_LIQUIDATION_VALUE_PREFERRED_REDEEM" hidden="1">"c13837"</definedName>
    <definedName name="IQ_LISTING_CURRENCY" hidden="1">"c2127"</definedName>
    <definedName name="IQ_LL" hidden="1">"c656"</definedName>
    <definedName name="IQ_LME_INVENTORY" hidden="1">"c24740"</definedName>
    <definedName name="IQ_LOAN_ALLOW_GROSS_LOANS_FFIEC" hidden="1">"c13415"</definedName>
    <definedName name="IQ_LOAN_ALLOWANCE_GROSS_LOSSES_FFIEC" hidden="1">"c13352"</definedName>
    <definedName name="IQ_LOAN_ALLOWANCE_NET_LOANS_FFIEC" hidden="1">"c13472"</definedName>
    <definedName name="IQ_LOAN_ALLOWANCE_NONACCRUAL_ASSETS_FFIEC" hidden="1">"c13473"</definedName>
    <definedName name="IQ_LOAN_ALLOWANCE_PAST_DUE_NONACCRUAL_FFIEC" hidden="1">"c13474"</definedName>
    <definedName name="IQ_LOAN_COMMITMENTS_FAIR_VALUE_TOT_FFIEC" hidden="1">"c13216"</definedName>
    <definedName name="IQ_LOAN_COMMITMENTS_LEVEL_1_FFIEC" hidden="1">"c13224"</definedName>
    <definedName name="IQ_LOAN_COMMITMENTS_LEVEL_2_FFIEC" hidden="1">"c13232"</definedName>
    <definedName name="IQ_LOAN_COMMITMENTS_LEVEL_3_FFIEC" hidden="1">"c13240"</definedName>
    <definedName name="IQ_LOAN_COMMITMENTS_REVOLVING_FDIC" hidden="1">"c6524"</definedName>
    <definedName name="IQ_LOAN_LEASE_RECEIV" hidden="1">"c657"</definedName>
    <definedName name="IQ_LOAN_LOSS" hidden="1">"c656"</definedName>
    <definedName name="IQ_LOAN_LOSS_ALLOW_FDIC" hidden="1">"c6326"</definedName>
    <definedName name="IQ_LOAN_LOSS_ALLOWANCE_NON_PERF_ASSETS_FFIEC" hidden="1">"c13912"</definedName>
    <definedName name="IQ_LOAN_LOSS_ALLOWANCE_NONCURRENT_LOANS_FDIC" hidden="1">"c6740"</definedName>
    <definedName name="IQ_LOAN_LOSS_PROVISION_FOREIGN_FFIEC" hidden="1">"c15382"</definedName>
    <definedName name="IQ_LOAN_LOSSES_AVERAGE_LOANS_FFIEC" hidden="1">"c13350"</definedName>
    <definedName name="IQ_LOAN_LOSSES_FDIC" hidden="1">"c6580"</definedName>
    <definedName name="IQ_LOAN_SERVICE_REV" hidden="1">"c658"</definedName>
    <definedName name="IQ_LOANS_AGRICULTURAL_PROD_LL_REC_FFIEC" hidden="1">"c12886"</definedName>
    <definedName name="IQ_LOANS_AND_LEASES_HELD_FDIC" hidden="1">"c6367"</definedName>
    <definedName name="IQ_LOANS_CF" hidden="1">"c659"</definedName>
    <definedName name="IQ_LOANS_CF_BNK" hidden="1">"c660"</definedName>
    <definedName name="IQ_LOANS_CF_BR" hidden="1">"c661"</definedName>
    <definedName name="IQ_LOANS_CF_CM" hidden="1">"c661"</definedName>
    <definedName name="IQ_LOANS_CF_FIN" hidden="1">"c662"</definedName>
    <definedName name="IQ_LOANS_CF_INS" hidden="1">"c663"</definedName>
    <definedName name="IQ_LOANS_CF_RE" hidden="1">"c6230"</definedName>
    <definedName name="IQ_LOANS_CF_REIT" hidden="1">"c664"</definedName>
    <definedName name="IQ_LOANS_CF_UTI" hidden="1">"c665"</definedName>
    <definedName name="IQ_LOANS_DEPOSITORY_INST_US_LL_REC_FFIEC" hidden="1">"c12884"</definedName>
    <definedName name="IQ_LOANS_DEPOSITORY_INSTITUTIONS_FDIC" hidden="1">"c6382"</definedName>
    <definedName name="IQ_LOANS_DOM_QUARTERLY_AVG_FFIEC" hidden="1">"c13084"</definedName>
    <definedName name="IQ_LOANS_FARMERS_CHARGE_OFFS_FFIEC" hidden="1">"c13177"</definedName>
    <definedName name="IQ_LOANS_FARMERS_RECOV_FFIEC" hidden="1">"c13199"</definedName>
    <definedName name="IQ_LOANS_FINANCE_AGRICULTURAL_DUE_30_89_FFIEC" hidden="1">"c13270"</definedName>
    <definedName name="IQ_LOANS_FINANCE_AGRICULTURAL_DUE_90_FFIEC" hidden="1">"c13296"</definedName>
    <definedName name="IQ_LOANS_FINANCE_AGRICULTURAL_NON_ACCRUAL_FFIEC" hidden="1">"c13322"</definedName>
    <definedName name="IQ_LOANS_FINANCE_AGRICULTURAL_PROD_LL_REC_DOM_FFIEC" hidden="1">"c12909"</definedName>
    <definedName name="IQ_LOANS_FOR_SALE" hidden="1">"c666"</definedName>
    <definedName name="IQ_LOANS_FOREIGN_GOV_CHARGE_OFFS_FFIEC" hidden="1">"c13182"</definedName>
    <definedName name="IQ_LOANS_FOREIGN_GOV_DUE_30_89_FFIEC" hidden="1">"c13274"</definedName>
    <definedName name="IQ_LOANS_FOREIGN_GOV_DUE_90_FFIEC" hidden="1">"c13300"</definedName>
    <definedName name="IQ_LOANS_FOREIGN_GOV_LL_REC_DOM_FFIEC" hidden="1">"c12912"</definedName>
    <definedName name="IQ_LOANS_FOREIGN_GOV_NON_ACCRUAL_FFIEC" hidden="1">"c13326"</definedName>
    <definedName name="IQ_LOANS_FOREIGN_GOV_RECOV_FFIEC" hidden="1">"c13204"</definedName>
    <definedName name="IQ_LOANS_FOREIGN_INST_CHARGE_OFFS_FFIEC" hidden="1">"c13176"</definedName>
    <definedName name="IQ_LOANS_FOREIGN_INST_RECOV_FFIEC" hidden="1">"c13198"</definedName>
    <definedName name="IQ_LOANS_FOREIGN_LL_REC_FFIEC" hidden="1">"c12885"</definedName>
    <definedName name="IQ_LOANS_GOV_GUARANTEED_DUE_30_89_FFIEC" hidden="1">"c13281"</definedName>
    <definedName name="IQ_LOANS_GOV_GUARANTEED_DUE_90_FFIEC" hidden="1">"c13307"</definedName>
    <definedName name="IQ_LOANS_GOV_GUARANTEED_EXCL_GNMA_DUE_30_89_FFIEC" hidden="1">"c13282"</definedName>
    <definedName name="IQ_LOANS_GOV_GUARANTEED_EXCL_GNMA_DUE_90_FFIEC" hidden="1">"c13308"</definedName>
    <definedName name="IQ_LOANS_GOV_GUARANTEED_EXCL_GNMA_NON_ACCRUAL_FFIEC" hidden="1">"c13333"</definedName>
    <definedName name="IQ_LOANS_GOV_GUARANTEED_NON_ACCRUAL_FFIEC" hidden="1">"c13332"</definedName>
    <definedName name="IQ_LOANS_HELD_FOREIGN_FDIC" hidden="1">"c6315"</definedName>
    <definedName name="IQ_LOANS_INDIVIDUALS_FOREIGN_FFIEC" hidden="1">"c13480"</definedName>
    <definedName name="IQ_LOANS_LEASES_ASSETS_TOT_FFIEC" hidden="1">"c13437"</definedName>
    <definedName name="IQ_LOANS_LEASES_FAIR_VALUE_TOT_FFIEC" hidden="1">"c13209"</definedName>
    <definedName name="IQ_LOANS_LEASES_FOREIGN_FDIC" hidden="1">"c6383"</definedName>
    <definedName name="IQ_LOANS_LEASES_GROSS_FDIC" hidden="1">"c6323"</definedName>
    <definedName name="IQ_LOANS_LEASES_GROSS_FOREIGN_FDIC" hidden="1">"c6384"</definedName>
    <definedName name="IQ_LOANS_LEASES_HELD_SALE_FFIEC" hidden="1">"c12808"</definedName>
    <definedName name="IQ_LOANS_LEASES_HFI_FAIR_VALUE_TOT_FFIEC" hidden="1">"c15401"</definedName>
    <definedName name="IQ_LOANS_LEASES_HFI_LEVEL_1_FFIEC" hidden="1">"c15423"</definedName>
    <definedName name="IQ_LOANS_LEASES_HFI_LEVEL_2_FFIEC" hidden="1">"c15436"</definedName>
    <definedName name="IQ_LOANS_LEASES_HFI_LEVEL_3_FFIEC" hidden="1">"c15449"</definedName>
    <definedName name="IQ_LOANS_LEASES_HFS_FAIR_VALUE_TOT_FFIEC" hidden="1">"c15400"</definedName>
    <definedName name="IQ_LOANS_LEASES_HFS_LEVEL_1_FFIEC" hidden="1">"c15422"</definedName>
    <definedName name="IQ_LOANS_LEASES_HFS_LEVEL_2_FFIEC" hidden="1">"c15435"</definedName>
    <definedName name="IQ_LOANS_LEASES_HFS_LEVEL_3_FFIEC" hidden="1">"c15448"</definedName>
    <definedName name="IQ_LOANS_LEASES_LEVEL_1_FFIEC" hidden="1">"c13217"</definedName>
    <definedName name="IQ_LOANS_LEASES_LEVEL_2_FFIEC" hidden="1">"c13225"</definedName>
    <definedName name="IQ_LOANS_LEASES_LEVEL_3_FFIEC" hidden="1">"c13233"</definedName>
    <definedName name="IQ_LOANS_LEASES_NET_FDIC" hidden="1">"c6327"</definedName>
    <definedName name="IQ_LOANS_LEASES_NET_UNEARNED_FDIC" hidden="1">"c6325"</definedName>
    <definedName name="IQ_LOANS_LEASES_NET_UNEARNED_INC_ALLOWANCE_FFIEC" hidden="1">"c12811"</definedName>
    <definedName name="IQ_LOANS_LEASES_NET_UNEARNED_INCOME_FFIEC" hidden="1">"c12809"</definedName>
    <definedName name="IQ_LOANS_LEASES_QUARTERLY_AVG_FFIEC" hidden="1">"c13081"</definedName>
    <definedName name="IQ_LOANS_LOC_ASSETS_TOT_FFIEC" hidden="1">"c13441"</definedName>
    <definedName name="IQ_LOANS_NOT_SECURED_RE_FDIC" hidden="1">"c6381"</definedName>
    <definedName name="IQ_LOANS_PAST_DUE" hidden="1">"c667"</definedName>
    <definedName name="IQ_LOANS_PURCHASING_CARRYING_SECURITIES_LL_REC_DOM_FFIEC" hidden="1">"c12913"</definedName>
    <definedName name="IQ_LOANS_RECEIV_CURRENT" hidden="1">"c668"</definedName>
    <definedName name="IQ_LOANS_RECEIV_LT" hidden="1">"c669"</definedName>
    <definedName name="IQ_LOANS_RECEIV_LT_UTI" hidden="1">"c670"</definedName>
    <definedName name="IQ_LOANS_SEC_RE_FOREIGN_CHARGE_OFFS_FFIEC" hidden="1">"c13174"</definedName>
    <definedName name="IQ_LOANS_SEC_RE_FOREIGN_RECOV_FFIEC" hidden="1">"c13196"</definedName>
    <definedName name="IQ_LOANS_SECURED_1_4_DOM_QUARTERLY_AVG_FFIEC" hidden="1">"c13082"</definedName>
    <definedName name="IQ_LOANS_SECURED_BY_RE_CHARGE_OFFS_FDIC" hidden="1">"c6588"</definedName>
    <definedName name="IQ_LOANS_SECURED_BY_RE_RECOVERIES_FDIC" hidden="1">"c6607"</definedName>
    <definedName name="IQ_LOANS_SECURED_CONSTRUCTION_TRADING_DOM_FFIEC" hidden="1">"c12925"</definedName>
    <definedName name="IQ_LOANS_SECURED_FARMLAND_TRADING_DOM_FFIEC" hidden="1">"c12926"</definedName>
    <definedName name="IQ_LOANS_SECURED_NON_US_FDIC" hidden="1">"c6380"</definedName>
    <definedName name="IQ_LOANS_SECURED_RE_DOM_QUARTERLY_AVG_FFIEC" hidden="1">"c13083"</definedName>
    <definedName name="IQ_LOANS_SECURED_RE_FFIEC" hidden="1">"c12820"</definedName>
    <definedName name="IQ_LOANS_SECURED_RE_LL_REC_FFIEC" hidden="1">"c12883"</definedName>
    <definedName name="IQ_LOANS_SECURED_RE_NET_CHARGE_OFFS_FDIC" hidden="1">"c6626"</definedName>
    <definedName name="IQ_LOANS_TO_DEPOSITORY_INSTITUTIONS_FOREIGN_FDIC" hidden="1">"c6453"</definedName>
    <definedName name="IQ_LOANS_TO_FOREIGN_GOVERNMENTS_FDIC" hidden="1">"c6448"</definedName>
    <definedName name="IQ_LOANS_TO_INDIVIDUALS_FOREIGN_FDIC" hidden="1">"c6452"</definedName>
    <definedName name="IQ_LOANS_US_INST_CHARGE_OFFS_FFIEC" hidden="1">"c13175"</definedName>
    <definedName name="IQ_LOANS_US_INST_RECOV_FFIEC" hidden="1">"c13197"</definedName>
    <definedName name="IQ_LONG_TERM_ASSETS_FDIC" hidden="1">"c6361"</definedName>
    <definedName name="IQ_LONG_TERM_DEBT" hidden="1">"c674"</definedName>
    <definedName name="IQ_LONG_TERM_DEBT_OVER_TOTAL_CAP" hidden="1">"c677"</definedName>
    <definedName name="IQ_LONG_TERM_GROWTH" hidden="1">"c671"</definedName>
    <definedName name="IQ_LONG_TERM_INV" hidden="1">"c697"</definedName>
    <definedName name="IQ_LOSS_ALLOWANCE_LOANS_FDIC" hidden="1">"c6739"</definedName>
    <definedName name="IQ_LOSS_AVAIL_SALE_EQUITY_SEC_T1_FFIEC" hidden="1">"c13132"</definedName>
    <definedName name="IQ_LOSS_LOSS_EXP" hidden="1">"c672"</definedName>
    <definedName name="IQ_LOSS_TO_NET_EARNED" hidden="1">"c2751"</definedName>
    <definedName name="IQ_LOW_SULFUR_CONTENT_RESERVES_COAL" hidden="1">"c15924"</definedName>
    <definedName name="IQ_LOW_SULFURE_RESERVES_TO_TOTAL_RESERVES_COAL" hidden="1">"c15961"</definedName>
    <definedName name="IQ_LOW_TARGET_PRICE" hidden="1">"c1652"</definedName>
    <definedName name="IQ_LOW_TARGET_PRICE_CIQ" hidden="1">"c4660"</definedName>
    <definedName name="IQ_LOW_TARGET_PRICE_REUT" hidden="1">"c5318"</definedName>
    <definedName name="IQ_LOW_TARGET_PRICE_THOM" hidden="1">"c5097"</definedName>
    <definedName name="IQ_LOWPRICE" hidden="1">"c673"</definedName>
    <definedName name="IQ_LT_ASSETS_AP" hidden="1">"c8882"</definedName>
    <definedName name="IQ_LT_ASSETS_AP_ABS" hidden="1">"c8901"</definedName>
    <definedName name="IQ_LT_ASSETS_NAME_AP" hidden="1">"c8920"</definedName>
    <definedName name="IQ_LT_ASSETS_NAME_AP_ABS" hidden="1">"c8939"</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CM" hidden="1">"c676"</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CM" hidden="1">"c683"</definedName>
    <definedName name="IQ_LT_DEBT_ISSUED_FIN" hidden="1">"c684"</definedName>
    <definedName name="IQ_LT_DEBT_ISSUED_INS" hidden="1">"c685"</definedName>
    <definedName name="IQ_LT_DEBT_ISSUED_RE" hidden="1">"c6231"</definedName>
    <definedName name="IQ_LT_DEBT_ISSUED_REIT" hidden="1">"c686"</definedName>
    <definedName name="IQ_LT_DEBT_ISSUED_UTI" hidden="1">"c687"</definedName>
    <definedName name="IQ_LT_DEBT_MATURING_1YR_INT_SENSITIVITY_FFIEC" hidden="1">"c13097"</definedName>
    <definedName name="IQ_LT_DEBT_RE" hidden="1">"c6232"</definedName>
    <definedName name="IQ_LT_DEBT_REIT" hidden="1">"c688"</definedName>
    <definedName name="IQ_LT_DEBT_REPAID" hidden="1">"c689"</definedName>
    <definedName name="IQ_LT_DEBT_REPAID_BNK" hidden="1">"c690"</definedName>
    <definedName name="IQ_LT_DEBT_REPAID_BR" hidden="1">"c691"</definedName>
    <definedName name="IQ_LT_DEBT_REPAID_CM" hidden="1">"c691"</definedName>
    <definedName name="IQ_LT_DEBT_REPAID_FIN" hidden="1">"c692"</definedName>
    <definedName name="IQ_LT_DEBT_REPAID_INS" hidden="1">"c693"</definedName>
    <definedName name="IQ_LT_DEBT_REPAID_RE" hidden="1">"c6233"</definedName>
    <definedName name="IQ_LT_DEBT_REPAID_REIT" hidden="1">"c694"</definedName>
    <definedName name="IQ_LT_DEBT_REPAID_UTI" hidden="1">"c695"</definedName>
    <definedName name="IQ_LT_DEBT_REPRICE_ASSETS_TOT_FFIEC" hidden="1">"c13453"</definedName>
    <definedName name="IQ_LT_DEBT_REPRICING_WITHIN_1_YR_INT_SENSITIVITY_FFIEC" hidden="1">"c13095"</definedName>
    <definedName name="IQ_LT_DEBT_UTI" hidden="1">"c696"</definedName>
    <definedName name="IQ_LT_GROWTH_DET_EST" hidden="1">"c12060"</definedName>
    <definedName name="IQ_LT_GROWTH_DET_EST_DATE" hidden="1">"c12213"</definedName>
    <definedName name="IQ_LT_GROWTH_DET_EST_DATE_THOM" hidden="1">"c12240"</definedName>
    <definedName name="IQ_LT_GROWTH_DET_EST_INCL" hidden="1">"c12350"</definedName>
    <definedName name="IQ_LT_GROWTH_DET_EST_INCL_THOM" hidden="1">"c12372"</definedName>
    <definedName name="IQ_LT_GROWTH_DET_EST_ORIGIN" hidden="1">"c12725"</definedName>
    <definedName name="IQ_LT_GROWTH_DET_EST_ORIGIN_THOM" hidden="1">"c12610"</definedName>
    <definedName name="IQ_LT_GROWTH_DET_EST_THOM" hidden="1">"c12090"</definedName>
    <definedName name="IQ_LT_INVEST" hidden="1">"c697"</definedName>
    <definedName name="IQ_LT_INVEST_BR" hidden="1">"c698"</definedName>
    <definedName name="IQ_LT_INVEST_CM" hidden="1">"c698"</definedName>
    <definedName name="IQ_LT_INVEST_FIN" hidden="1">"c699"</definedName>
    <definedName name="IQ_LT_INVEST_RE" hidden="1">"c6234"</definedName>
    <definedName name="IQ_LT_INVEST_REIT" hidden="1">"c700"</definedName>
    <definedName name="IQ_LT_INVEST_UTI" hidden="1">"c701"</definedName>
    <definedName name="IQ_LT_LIAB_AP" hidden="1">"c8885"</definedName>
    <definedName name="IQ_LT_LIAB_AP_ABS" hidden="1">"c8904"</definedName>
    <definedName name="IQ_LT_LIAB_NAME_AP" hidden="1">"c8923"</definedName>
    <definedName name="IQ_LT_LIAB_NAME_AP_ABS" hidden="1">"c8942"</definedName>
    <definedName name="IQ_LT_NOTE_RECEIV" hidden="1">"c1602"</definedName>
    <definedName name="IQ_LT_SENIOR_DEBT" hidden="1">"c702"</definedName>
    <definedName name="IQ_LT_SUB_DEBT" hidden="1">"c703"</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DATE" hidden="1">"IQ_LTM_DATE"</definedName>
    <definedName name="IQ_LTM_REVENUE_OVER_EMPLOYEES" hidden="1">"c1304"</definedName>
    <definedName name="IQ_LTMMONTH" hidden="1">120000</definedName>
    <definedName name="IQ_M1" hidden="1">"c6906"</definedName>
    <definedName name="IQ_M1_APR" hidden="1">"c7566"</definedName>
    <definedName name="IQ_M1_APR_FC" hidden="1">"c8446"</definedName>
    <definedName name="IQ_M1_FC" hidden="1">"c7786"</definedName>
    <definedName name="IQ_M1_POP" hidden="1">"c7126"</definedName>
    <definedName name="IQ_M1_POP_FC" hidden="1">"c8006"</definedName>
    <definedName name="IQ_M1_YOY" hidden="1">"c7346"</definedName>
    <definedName name="IQ_M1_YOY_FC" hidden="1">"c8226"</definedName>
    <definedName name="IQ_M2" hidden="1">"c6907"</definedName>
    <definedName name="IQ_M2_APR" hidden="1">"c7567"</definedName>
    <definedName name="IQ_M2_APR_FC" hidden="1">"c8447"</definedName>
    <definedName name="IQ_M2_FC" hidden="1">"c7787"</definedName>
    <definedName name="IQ_M2_POP" hidden="1">"c7127"</definedName>
    <definedName name="IQ_M2_POP_FC" hidden="1">"c8007"</definedName>
    <definedName name="IQ_M2_YOY" hidden="1">"c7347"</definedName>
    <definedName name="IQ_M2_YOY_FC" hidden="1">"c8227"</definedName>
    <definedName name="IQ_M3" hidden="1">"c6908"</definedName>
    <definedName name="IQ_M3_APR" hidden="1">"c7568"</definedName>
    <definedName name="IQ_M3_APR_FC" hidden="1">"c8448"</definedName>
    <definedName name="IQ_M3_FC" hidden="1">"c7788"</definedName>
    <definedName name="IQ_M3_POP" hidden="1">"c7128"</definedName>
    <definedName name="IQ_M3_POP_FC" hidden="1">"c8008"</definedName>
    <definedName name="IQ_M3_YOY" hidden="1">"c7348"</definedName>
    <definedName name="IQ_M3_YOY_FC" hidden="1">"c8228"</definedName>
    <definedName name="IQ_MACHINERY" hidden="1">"c711"</definedName>
    <definedName name="IQ_MACRO_SURVEY_BUSINESS_BAROMETER" hidden="1">"c20803"</definedName>
    <definedName name="IQ_MACRO_SURVEY_BUSINESS_CONDITION" hidden="1">"c20804"</definedName>
    <definedName name="IQ_MACRO_SURVEY_BUSINESS_CONDITIONS" hidden="1">"c20805"</definedName>
    <definedName name="IQ_MACRO_SURVEY_CONSUMER_COMFORT" hidden="1">"c20806"</definedName>
    <definedName name="IQ_MACRO_SURVEY_CONSUMER_CONFIDENCE" hidden="1">"c20807"</definedName>
    <definedName name="IQ_MACRO_SURVEY_CONSUMER_SENTIMENT" hidden="1">"c20808"</definedName>
    <definedName name="IQ_MACRO_SURVEY_ISM_NONMANUFACTURING" hidden="1">"c20809"</definedName>
    <definedName name="IQ_MACRO_SURVEY_ISM_PMI" hidden="1">"c20810"</definedName>
    <definedName name="IQ_MACRO_SURVEY_LEADING_INDICATOR" hidden="1">"c20811"</definedName>
    <definedName name="IQ_MACRO_SURVEY_PMAC_DIFFUSION" hidden="1">"c20812"</definedName>
    <definedName name="IQ_MAINT_CAPEX" hidden="1">"c2947"</definedName>
    <definedName name="IQ_MAINT_CAPEX_ACT_OR_EST" hidden="1">"c4458"</definedName>
    <definedName name="IQ_MAINT_CAPEX_ACT_OR_EST_CIQ" hidden="1">"c4987"</definedName>
    <definedName name="IQ_MAINT_CAPEX_ACT_OR_EST_CIQ_COL" hidden="1">"c11634"</definedName>
    <definedName name="IQ_MAINT_CAPEX_EST" hidden="1">"c4457"</definedName>
    <definedName name="IQ_MAINT_CAPEX_EST_CIQ" hidden="1">"c4986"</definedName>
    <definedName name="IQ_MAINT_CAPEX_GUIDANCE" hidden="1">"c4459"</definedName>
    <definedName name="IQ_MAINT_CAPEX_GUIDANCE_CIQ" hidden="1">"c4988"</definedName>
    <definedName name="IQ_MAINT_CAPEX_GUIDANCE_CIQ_COL" hidden="1">"c11635"</definedName>
    <definedName name="IQ_MAINT_CAPEX_HIGH_EST" hidden="1">"c4460"</definedName>
    <definedName name="IQ_MAINT_CAPEX_HIGH_EST_CIQ" hidden="1">"c4989"</definedName>
    <definedName name="IQ_MAINT_CAPEX_HIGH_GUIDANCE" hidden="1">"c4197"</definedName>
    <definedName name="IQ_MAINT_CAPEX_HIGH_GUIDANCE_CIQ" hidden="1">"c4609"</definedName>
    <definedName name="IQ_MAINT_CAPEX_HIGH_GUIDANCE_CIQ_COL" hidden="1">"c11258"</definedName>
    <definedName name="IQ_MAINT_CAPEX_LOW_EST" hidden="1">"c4461"</definedName>
    <definedName name="IQ_MAINT_CAPEX_LOW_EST_CIQ" hidden="1">"c4990"</definedName>
    <definedName name="IQ_MAINT_CAPEX_LOW_GUIDANCE" hidden="1">"c4237"</definedName>
    <definedName name="IQ_MAINT_CAPEX_LOW_GUIDANCE_CIQ" hidden="1">"c4649"</definedName>
    <definedName name="IQ_MAINT_CAPEX_LOW_GUIDANCE_CIQ_COL" hidden="1">"c11298"</definedName>
    <definedName name="IQ_MAINT_CAPEX_MEDIAN_EST" hidden="1">"c4462"</definedName>
    <definedName name="IQ_MAINT_CAPEX_MEDIAN_EST_CIQ" hidden="1">"c4991"</definedName>
    <definedName name="IQ_MAINT_CAPEX_NUM_EST" hidden="1">"c4463"</definedName>
    <definedName name="IQ_MAINT_CAPEX_NUM_EST_CIQ" hidden="1">"c5001"</definedName>
    <definedName name="IQ_MAINT_CAPEX_STDDEV_EST" hidden="1">"c4464"</definedName>
    <definedName name="IQ_MAINT_CAPEX_STDDEV_EST_CIQ" hidden="1">"c5002"</definedName>
    <definedName name="IQ_MAINT_REPAIR" hidden="1">"c2087"</definedName>
    <definedName name="IQ_MAKE_WHOLE_END_DATE" hidden="1">"c2493"</definedName>
    <definedName name="IQ_MAKE_WHOLE_SPREAD" hidden="1">"c2494"</definedName>
    <definedName name="IQ_MAKE_WHOLE_START_DATE" hidden="1">"c2492"</definedName>
    <definedName name="IQ_MAN_INVENTORIES" hidden="1">"c6913"</definedName>
    <definedName name="IQ_MAN_INVENTORIES_APR" hidden="1">"c7573"</definedName>
    <definedName name="IQ_MAN_INVENTORIES_APR_FC" hidden="1">"c8453"</definedName>
    <definedName name="IQ_MAN_INVENTORIES_FC" hidden="1">"c7793"</definedName>
    <definedName name="IQ_MAN_INVENTORIES_POP" hidden="1">"c7133"</definedName>
    <definedName name="IQ_MAN_INVENTORIES_POP_FC" hidden="1">"c8013"</definedName>
    <definedName name="IQ_MAN_INVENTORIES_YOY" hidden="1">"c7353"</definedName>
    <definedName name="IQ_MAN_INVENTORIES_YOY_FC" hidden="1">"c8233"</definedName>
    <definedName name="IQ_MAN_IS_RATIO" hidden="1">"c6912"</definedName>
    <definedName name="IQ_MAN_IS_RATIO_APR" hidden="1">"c7572"</definedName>
    <definedName name="IQ_MAN_IS_RATIO_APR_FC" hidden="1">"c8452"</definedName>
    <definedName name="IQ_MAN_IS_RATIO_FC" hidden="1">"c7792"</definedName>
    <definedName name="IQ_MAN_IS_RATIO_POP" hidden="1">"c7132"</definedName>
    <definedName name="IQ_MAN_IS_RATIO_POP_FC" hidden="1">"c8012"</definedName>
    <definedName name="IQ_MAN_IS_RATIO_YOY" hidden="1">"c7352"</definedName>
    <definedName name="IQ_MAN_IS_RATIO_YOY_FC" hidden="1">"c8232"</definedName>
    <definedName name="IQ_MAN_ORDERS" hidden="1">"c6914"</definedName>
    <definedName name="IQ_MAN_ORDERS_APR" hidden="1">"c7574"</definedName>
    <definedName name="IQ_MAN_ORDERS_APR_FC" hidden="1">"c8454"</definedName>
    <definedName name="IQ_MAN_ORDERS_FC" hidden="1">"c7794"</definedName>
    <definedName name="IQ_MAN_ORDERS_POP" hidden="1">"c7134"</definedName>
    <definedName name="IQ_MAN_ORDERS_POP_FC" hidden="1">"c8014"</definedName>
    <definedName name="IQ_MAN_ORDERS_YOY" hidden="1">"c7354"</definedName>
    <definedName name="IQ_MAN_ORDERS_YOY_FC" hidden="1">"c8234"</definedName>
    <definedName name="IQ_MAN_OUTPUT_HR" hidden="1">"c6915"</definedName>
    <definedName name="IQ_MAN_OUTPUT_HR_APR" hidden="1">"c7575"</definedName>
    <definedName name="IQ_MAN_OUTPUT_HR_APR_FC" hidden="1">"c8455"</definedName>
    <definedName name="IQ_MAN_OUTPUT_HR_FC" hidden="1">"c7795"</definedName>
    <definedName name="IQ_MAN_OUTPUT_HR_POP" hidden="1">"c7135"</definedName>
    <definedName name="IQ_MAN_OUTPUT_HR_POP_FC" hidden="1">"c8015"</definedName>
    <definedName name="IQ_MAN_OUTPUT_HR_YOY" hidden="1">"c7355"</definedName>
    <definedName name="IQ_MAN_OUTPUT_HR_YOY_FC" hidden="1">"c8235"</definedName>
    <definedName name="IQ_MAN_PAYROLLS" hidden="1">"c6916"</definedName>
    <definedName name="IQ_MAN_PAYROLLS_APR" hidden="1">"c7576"</definedName>
    <definedName name="IQ_MAN_PAYROLLS_APR_FC" hidden="1">"c8456"</definedName>
    <definedName name="IQ_MAN_PAYROLLS_FC" hidden="1">"c7796"</definedName>
    <definedName name="IQ_MAN_PAYROLLS_POP" hidden="1">"c7136"</definedName>
    <definedName name="IQ_MAN_PAYROLLS_POP_FC" hidden="1">"c8016"</definedName>
    <definedName name="IQ_MAN_PAYROLLS_YOY" hidden="1">"c7356"</definedName>
    <definedName name="IQ_MAN_PAYROLLS_YOY_FC" hidden="1">"c8236"</definedName>
    <definedName name="IQ_MAN_SHIPMENTS" hidden="1">"c6917"</definedName>
    <definedName name="IQ_MAN_SHIPMENTS_APR" hidden="1">"c7577"</definedName>
    <definedName name="IQ_MAN_SHIPMENTS_APR_FC" hidden="1">"c8457"</definedName>
    <definedName name="IQ_MAN_SHIPMENTS_FC" hidden="1">"c7797"</definedName>
    <definedName name="IQ_MAN_SHIPMENTS_POP" hidden="1">"c7137"</definedName>
    <definedName name="IQ_MAN_SHIPMENTS_POP_FC" hidden="1">"c8017"</definedName>
    <definedName name="IQ_MAN_SHIPMENTS_YOY" hidden="1">"c7357"</definedName>
    <definedName name="IQ_MAN_SHIPMENTS_YOY_FC" hidden="1">"c8237"</definedName>
    <definedName name="IQ_MAN_TOTAL_HR" hidden="1">"c6918"</definedName>
    <definedName name="IQ_MAN_TOTAL_HR_APR" hidden="1">"c7578"</definedName>
    <definedName name="IQ_MAN_TOTAL_HR_APR_FC" hidden="1">"c8458"</definedName>
    <definedName name="IQ_MAN_TOTAL_HR_FC" hidden="1">"c7798"</definedName>
    <definedName name="IQ_MAN_TOTAL_HR_POP" hidden="1">"c7138"</definedName>
    <definedName name="IQ_MAN_TOTAL_HR_POP_FC" hidden="1">"c8018"</definedName>
    <definedName name="IQ_MAN_TOTAL_HR_YOY" hidden="1">"c7358"</definedName>
    <definedName name="IQ_MAN_TOTAL_HR_YOY_FC" hidden="1">"c8238"</definedName>
    <definedName name="IQ_MAN_TRADE_INVENTORIES" hidden="1">"c6910"</definedName>
    <definedName name="IQ_MAN_TRADE_INVENTORIES_APR" hidden="1">"c7570"</definedName>
    <definedName name="IQ_MAN_TRADE_INVENTORIES_APR_FC" hidden="1">"c8450"</definedName>
    <definedName name="IQ_MAN_TRADE_INVENTORIES_FC" hidden="1">"c7790"</definedName>
    <definedName name="IQ_MAN_TRADE_INVENTORIES_POP" hidden="1">"c7130"</definedName>
    <definedName name="IQ_MAN_TRADE_INVENTORIES_POP_FC" hidden="1">"c8010"</definedName>
    <definedName name="IQ_MAN_TRADE_INVENTORIES_YOY" hidden="1">"c7350"</definedName>
    <definedName name="IQ_MAN_TRADE_INVENTORIES_YOY_FC" hidden="1">"c8230"</definedName>
    <definedName name="IQ_MAN_TRADE_IS_RATIO" hidden="1">"c6909"</definedName>
    <definedName name="IQ_MAN_TRADE_IS_RATIO_FC" hidden="1">"c7789"</definedName>
    <definedName name="IQ_MAN_TRADE_IS_RATIO_POP" hidden="1">"c7129"</definedName>
    <definedName name="IQ_MAN_TRADE_IS_RATIO_POP_FC" hidden="1">"c8009"</definedName>
    <definedName name="IQ_MAN_TRADE_IS_RATIO_YOY" hidden="1">"c7349"</definedName>
    <definedName name="IQ_MAN_TRADE_IS_RATIO_YOY_FC" hidden="1">"c8229"</definedName>
    <definedName name="IQ_MAN_TRADE_SALES" hidden="1">"c6911"</definedName>
    <definedName name="IQ_MAN_TRADE_SALES_APR" hidden="1">"c7571"</definedName>
    <definedName name="IQ_MAN_TRADE_SALES_APR_FC" hidden="1">"c8451"</definedName>
    <definedName name="IQ_MAN_TRADE_SALES_FC" hidden="1">"c7791"</definedName>
    <definedName name="IQ_MAN_TRADE_SALES_POP" hidden="1">"c7131"</definedName>
    <definedName name="IQ_MAN_TRADE_SALES_POP_FC" hidden="1">"c8011"</definedName>
    <definedName name="IQ_MAN_TRADE_SALES_YOY" hidden="1">"c7351"</definedName>
    <definedName name="IQ_MAN_TRADE_SALES_YOY_FC" hidden="1">"c8231"</definedName>
    <definedName name="IQ_MAN_WAGES" hidden="1">"c6919"</definedName>
    <definedName name="IQ_MAN_WAGES_APR" hidden="1">"c7579"</definedName>
    <definedName name="IQ_MAN_WAGES_APR_FC" hidden="1">"c8459"</definedName>
    <definedName name="IQ_MAN_WAGES_FC" hidden="1">"c7799"</definedName>
    <definedName name="IQ_MAN_WAGES_POP" hidden="1">"c7139"</definedName>
    <definedName name="IQ_MAN_WAGES_POP_FC" hidden="1">"c8019"</definedName>
    <definedName name="IQ_MAN_WAGES_YOY" hidden="1">"c7359"</definedName>
    <definedName name="IQ_MAN_WAGES_YOY_FC" hidden="1">"c8239"</definedName>
    <definedName name="IQ_MANAGED_PROP" hidden="1">"c8763"</definedName>
    <definedName name="IQ_MANAGED_SQ_FT" hidden="1">"c8779"</definedName>
    <definedName name="IQ_MANAGED_UNITS" hidden="1">"c8771"</definedName>
    <definedName name="IQ_MANUFACTURING_INV_APPAREL" hidden="1">"c20813"</definedName>
    <definedName name="IQ_MANUFACTURING_INV_BEVERAGE" hidden="1">"c20814"</definedName>
    <definedName name="IQ_MANUFACTURING_INV_CHEMICALS" hidden="1">"c20815"</definedName>
    <definedName name="IQ_MANUFACTURING_INV_COMPUTER" hidden="1">"c20816"</definedName>
    <definedName name="IQ_MANUFACTURING_INV_DUR" hidden="1">"c20817"</definedName>
    <definedName name="IQ_MANUFACTURING_INV_DUR_MISC" hidden="1">"c20818"</definedName>
    <definedName name="IQ_MANUFACTURING_INV_ELECTRIC" hidden="1">"c20819"</definedName>
    <definedName name="IQ_MANUFACTURING_INV_FAB_METALS" hidden="1">"c20820"</definedName>
    <definedName name="IQ_MANUFACTURING_INV_FOOD" hidden="1">"c20821"</definedName>
    <definedName name="IQ_MANUFACTURING_INV_FURNITURE" hidden="1">"c20822"</definedName>
    <definedName name="IQ_MANUFACTURING_INV_LEATHER" hidden="1">"c20823"</definedName>
    <definedName name="IQ_MANUFACTURING_INV_MACHINERY" hidden="1">"c20824"</definedName>
    <definedName name="IQ_MANUFACTURING_INV_MINERAL" hidden="1">"c20825"</definedName>
    <definedName name="IQ_MANUFACTURING_INV_NONDUR" hidden="1">"c20826"</definedName>
    <definedName name="IQ_MANUFACTURING_INV_PAPER" hidden="1">"c20827"</definedName>
    <definedName name="IQ_MANUFACTURING_INV_PETROLEUM" hidden="1">"c20828"</definedName>
    <definedName name="IQ_MANUFACTURING_INV_PLASTICS" hidden="1">"c20829"</definedName>
    <definedName name="IQ_MANUFACTURING_INV_PRIMARY_METALS" hidden="1">"c20830"</definedName>
    <definedName name="IQ_MANUFACTURING_INV_PRINTING" hidden="1">"c20831"</definedName>
    <definedName name="IQ_MANUFACTURING_INV_SALES_RATIO" hidden="1">"c20832"</definedName>
    <definedName name="IQ_MANUFACTURING_INV_TEXTILE_MILLS" hidden="1">"c20833"</definedName>
    <definedName name="IQ_MANUFACTURING_INV_TEXTILE_PRODUCTS" hidden="1">"c20834"</definedName>
    <definedName name="IQ_MANUFACTURING_INV_TOTAL" hidden="1">"c20835"</definedName>
    <definedName name="IQ_MANUFACTURING_INV_TRANSPORTATION" hidden="1">"c20836"</definedName>
    <definedName name="IQ_MANUFACTURING_INV_WOOD" hidden="1">"c20837"</definedName>
    <definedName name="IQ_MANUFACTURING_NEW_ORDERS" hidden="1">"c20838"</definedName>
    <definedName name="IQ_MANUFACTURING_NEW_ORDERS_COMPUTERS" hidden="1">"c20839"</definedName>
    <definedName name="IQ_MANUFACTURING_NEW_ORDERS_DUR" hidden="1">"c20840"</definedName>
    <definedName name="IQ_MANUFACTURING_NEW_ORDERS_ELECTRIC" hidden="1">"c20841"</definedName>
    <definedName name="IQ_MANUFACTURING_NEW_ORDERS_FAB_METALS" hidden="1">"c20842"</definedName>
    <definedName name="IQ_MANUFACTURING_NEW_ORDERS_FURNITURE" hidden="1">"c20843"</definedName>
    <definedName name="IQ_MANUFACTURING_NEW_ORDERS_MACHINERY" hidden="1">"c20844"</definedName>
    <definedName name="IQ_MANUFACTURING_NEW_ORDERS_METALS" hidden="1">"c20845"</definedName>
    <definedName name="IQ_MANUFACTURING_NEW_ORDERS_NONDUR" hidden="1">"c20846"</definedName>
    <definedName name="IQ_MANUFACTURING_NEW_ORDERS_TRANSPORTATION" hidden="1">"c20847"</definedName>
    <definedName name="IQ_MANUFACTURING_SHIPMENTS_APPAREL" hidden="1">"c20848"</definedName>
    <definedName name="IQ_MANUFACTURING_SHIPMENTS_BEVERAGE" hidden="1">"c20849"</definedName>
    <definedName name="IQ_MANUFACTURING_SHIPMENTS_CHEMICALS" hidden="1">"c20850"</definedName>
    <definedName name="IQ_MANUFACTURING_SHIPMENTS_DUR" hidden="1">"c20851"</definedName>
    <definedName name="IQ_MANUFACTURING_SHIPMENTS_DUR_COMPUTER" hidden="1">"c20852"</definedName>
    <definedName name="IQ_MANUFACTURING_SHIPMENTS_DUR_ELECTRIC" hidden="1">"c20853"</definedName>
    <definedName name="IQ_MANUFACTURING_SHIPMENTS_DUR_FAB_METALS" hidden="1">"c20854"</definedName>
    <definedName name="IQ_MANUFACTURING_SHIPMENTS_DUR_FURNITURE" hidden="1">"c20855"</definedName>
    <definedName name="IQ_MANUFACTURING_SHIPMENTS_DUR_MACHINERY" hidden="1">"c20856"</definedName>
    <definedName name="IQ_MANUFACTURING_SHIPMENTS_DUR_MINERALS" hidden="1">"c20857"</definedName>
    <definedName name="IQ_MANUFACTURING_SHIPMENTS_DUR_MISC" hidden="1">"c20858"</definedName>
    <definedName name="IQ_MANUFACTURING_SHIPMENTS_DUR_PRIM_METALS" hidden="1">"c20859"</definedName>
    <definedName name="IQ_MANUFACTURING_SHIPMENTS_DUR_TRANSPORTATION" hidden="1">"c20860"</definedName>
    <definedName name="IQ_MANUFACTURING_SHIPMENTS_DUR_WOOD" hidden="1">"c20861"</definedName>
    <definedName name="IQ_MANUFACTURING_SHIPMENTS_FOOD" hidden="1">"c20862"</definedName>
    <definedName name="IQ_MANUFACTURING_SHIPMENTS_LEATHER" hidden="1">"c20863"</definedName>
    <definedName name="IQ_MANUFACTURING_SHIPMENTS_NONDUR" hidden="1">"c20864"</definedName>
    <definedName name="IQ_MANUFACTURING_SHIPMENTS_PAPER" hidden="1">"c20865"</definedName>
    <definedName name="IQ_MANUFACTURING_SHIPMENTS_PETROLEUM" hidden="1">"c20866"</definedName>
    <definedName name="IQ_MANUFACTURING_SHIPMENTS_PLASTICS" hidden="1">"c20867"</definedName>
    <definedName name="IQ_MANUFACTURING_SHIPMENTS_PRINTING" hidden="1">"c20868"</definedName>
    <definedName name="IQ_MANUFACTURING_SHIPMENTS_TEXTILE_MILLS" hidden="1">"c20869"</definedName>
    <definedName name="IQ_MANUFACTURING_SHIPMENTS_TEXTILE_PRODUCTS" hidden="1">"c20870"</definedName>
    <definedName name="IQ_MANUFACTURING_SHIPMENTS_TOTAL" hidden="1">"c20871"</definedName>
    <definedName name="IQ_MANUFACTURING_UNFILLED_ORDERS" hidden="1">"c20872"</definedName>
    <definedName name="IQ_MANUFACTURING_UNFILLED_ORDERS_COMPUTERS" hidden="1">"c20873"</definedName>
    <definedName name="IQ_MANUFACTURING_UNFILLED_ORDERS_DUR" hidden="1">"c20874"</definedName>
    <definedName name="IQ_MANUFACTURING_UNFILLED_ORDERS_ELECTRIC" hidden="1">"c20875"</definedName>
    <definedName name="IQ_MANUFACTURING_UNFILLED_ORDERS_FAB_METALS" hidden="1">"c20876"</definedName>
    <definedName name="IQ_MANUFACTURING_UNFILLED_ORDERS_FURNITURE" hidden="1">"c20877"</definedName>
    <definedName name="IQ_MANUFACTURING_UNFILLED_ORDERS_MACHINERY" hidden="1">"c20878"</definedName>
    <definedName name="IQ_MANUFACTURING_UNFILLED_ORDERS_METALS" hidden="1">"c20879"</definedName>
    <definedName name="IQ_MANUFACTURING_UNFILLED_ORDERS_TRANSPORTATION" hidden="1">"c20880"</definedName>
    <definedName name="IQ_MARGIN_ANNUAL_PREMIUM_EQUIVALENT_NEW_BUSINESS" hidden="1">"c9970"</definedName>
    <definedName name="IQ_MARGIN_PV_PREMIUMS_NEW_BUSINESS" hidden="1">"c9971"</definedName>
    <definedName name="IQ_MARKET_CAP_LFCF" hidden="1">"c2209"</definedName>
    <definedName name="IQ_MARKETCAP" hidden="1">"c712"</definedName>
    <definedName name="IQ_MARKETING" hidden="1">"c2239"</definedName>
    <definedName name="IQ_MARKETING_PROMOTION_EXPENSE" hidden="1">"c16035"</definedName>
    <definedName name="IQ_MARKTCAP" hidden="1">"c258"</definedName>
    <definedName name="IQ_MATERIALS_SUPPLES_INVENTORY_COAL" hidden="1">"c15942"</definedName>
    <definedName name="IQ_MATURITY_DATE" hidden="1">"c2146"</definedName>
    <definedName name="IQ_MATURITY_ONE_YEAR_LESS_FDIC" hidden="1">"c6425"</definedName>
    <definedName name="IQ_MBS_INVEST_SECURITIES_FFIEC" hidden="1">"c13460"</definedName>
    <definedName name="IQ_MBS_OTHER_ISSUED_FNMA_OTHERS_AVAIL_SALE_FFIEC" hidden="1">"c12799"</definedName>
    <definedName name="IQ_MBS_OTHER_ISSUED_FNMA_OTHERS_FFIEC" hidden="1">"c12785"</definedName>
    <definedName name="IQ_MBS_PASS_THROUGH_FNMA_AVAIL_SALE_FFIEC" hidden="1">"c12797"</definedName>
    <definedName name="IQ_MBS_PASS_THROUGH_FNMA_FFIEC" hidden="1">"c12783"</definedName>
    <definedName name="IQ_MBS_PASS_THROUGH_GNMA_AVAIL_SALE_FFIEC" hidden="1">"c12796"</definedName>
    <definedName name="IQ_MBS_PASS_THROUGH_GNMA_FFIEC" hidden="1">"c12782"</definedName>
    <definedName name="IQ_MBS_PASS_THROUGH_ISSUED_FNMA_GNMA_TRADING_DOM_FFIEC" hidden="1">"c12921"</definedName>
    <definedName name="IQ_MBS_PASS_THROUGH_OTHER_AVAIL_SALE_FFIEC" hidden="1">"c12798"</definedName>
    <definedName name="IQ_MBS_PASS_THROUGH_OTHER_FFIEC" hidden="1">"c12784"</definedName>
    <definedName name="IQ_MBS_QUARTERLY_AVG_FFIEC" hidden="1">"c15471"</definedName>
    <definedName name="IQ_MC_ASO_COVERED_LIVES" hidden="1">"c9918"</definedName>
    <definedName name="IQ_MC_ASO_MEMBERSHIP" hidden="1">"c9921"</definedName>
    <definedName name="IQ_MC_CLAIMS_RESERVES" hidden="1">"c9941"</definedName>
    <definedName name="IQ_MC_COMBINED_RATIO" hidden="1">"c9933"</definedName>
    <definedName name="IQ_MC_COMMERCIAL_ASO_FEES" hidden="1">"c15862"</definedName>
    <definedName name="IQ_MC_COMMERCIAL_NON_RISK_MEMBERS" hidden="1">"c15835"</definedName>
    <definedName name="IQ_MC_COMMERCIAL_PREMIUMS" hidden="1">"c15852"</definedName>
    <definedName name="IQ_MC_DAYS_CLAIMS_PAYABLE" hidden="1">"c9937"</definedName>
    <definedName name="IQ_MC_DAYS_CLAIMS_PAYABLE_EXCL_CAPITATION" hidden="1">"c9938"</definedName>
    <definedName name="IQ_MC_DENTAL_MEMBERS" hidden="1">"c15832"</definedName>
    <definedName name="IQ_MC_DENTAL_PREMIUMS" hidden="1">"c15858"</definedName>
    <definedName name="IQ_MC_HMO_MEMBERS" hidden="1">"c15824"</definedName>
    <definedName name="IQ_MC_HMO_PREMIUMS" hidden="1">"c15850"</definedName>
    <definedName name="IQ_MC_INDEMNITY_MEMBERS" hidden="1">"c15825"</definedName>
    <definedName name="IQ_MC_INDEMNITY_PREMIUMS" hidden="1">"c15851"</definedName>
    <definedName name="IQ_MC_MEDICAID_ASO_FEES" hidden="1">"c15865"</definedName>
    <definedName name="IQ_MC_MEDICAID_MEMBERS" hidden="1">"c15830"</definedName>
    <definedName name="IQ_MC_MEDICAID_NON_RISK_MEMBERS" hidden="1">"c15838"</definedName>
    <definedName name="IQ_MC_MEDICAID_PREMIUMS" hidden="1">"c15856"</definedName>
    <definedName name="IQ_MC_MEDICAL_COST" hidden="1">"c15847"</definedName>
    <definedName name="IQ_MC_MEDICAL_COSTS_PMPM" hidden="1">"c9925"</definedName>
    <definedName name="IQ_MC_MEDICARE_ASO_FEES" hidden="1">"c15864"</definedName>
    <definedName name="IQ_MC_MEDICARE_MEMBERS" hidden="1">"c15828"</definedName>
    <definedName name="IQ_MC_MEDICARE_NON_RISK_MEMBERS" hidden="1">"c15837"</definedName>
    <definedName name="IQ_MC_MEDICARE_PART_D_MEMBERS" hidden="1">"c15829"</definedName>
    <definedName name="IQ_MC_MEDICARE_PART_D_PREMIUMS" hidden="1">"c15855"</definedName>
    <definedName name="IQ_MC_MEDICARE_PREMIUMS" hidden="1">"c15854"</definedName>
    <definedName name="IQ_MC_MILITARY_ASO_FEES" hidden="1">"c15863"</definedName>
    <definedName name="IQ_MC_MILITARY_MEMBERS" hidden="1">"c15827"</definedName>
    <definedName name="IQ_MC_MILITARY_NON_RISK_MEMBERS" hidden="1">"c15836"</definedName>
    <definedName name="IQ_MC_MILITARY_PREMIUMS" hidden="1">"c15853"</definedName>
    <definedName name="IQ_MC_NET_INVESTMENT_INCOME" hidden="1">"c15845"</definedName>
    <definedName name="IQ_MC_OTHER_REV" hidden="1">"c15846"</definedName>
    <definedName name="IQ_MC_PARENT_CASH" hidden="1">"c9942"</definedName>
    <definedName name="IQ_MC_PPO_POS_MEMBERS" hidden="1">"c15823"</definedName>
    <definedName name="IQ_MC_PPO_POS_PREMIUMS" hidden="1">"c15849"</definedName>
    <definedName name="IQ_MC_PREMIUMS" hidden="1">"c15861"</definedName>
    <definedName name="IQ_MC_PREMIUMS_PMPM" hidden="1">"c9924"</definedName>
    <definedName name="IQ_MC_RATIO" hidden="1">"c2783"</definedName>
    <definedName name="IQ_MC_RECEIPT_CYCLE_TIME_DAYS" hidden="1">"c9939"</definedName>
    <definedName name="IQ_MC_RECEIPT_CYCLE_TIME_MONTHS" hidden="1">"c9940"</definedName>
    <definedName name="IQ_MC_RISK_COVERED_LIVES" hidden="1">"c9917"</definedName>
    <definedName name="IQ_MC_RISK_MEMBERSHIP" hidden="1">"c9920"</definedName>
    <definedName name="IQ_MC_SELLILNG_COSTS_RATIO" hidden="1">"c9928"</definedName>
    <definedName name="IQ_MC_SGA_PMPM" hidden="1">"c9926"</definedName>
    <definedName name="IQ_MC_SPECIALTY_ASO_FEES" hidden="1">"c15867"</definedName>
    <definedName name="IQ_MC_SPECIALTY_NON_RISK_MEMBERS" hidden="1">"c15840"</definedName>
    <definedName name="IQ_MC_STATUTORY_SURPLUS" hidden="1">"c2772"</definedName>
    <definedName name="IQ_MC_TANGIBLE_EQUITY_MEDICAL_COST" hidden="1">"c15848"</definedName>
    <definedName name="IQ_MC_TANGIBLE_EQUITY_PER_MEMBER" hidden="1">"c15843"</definedName>
    <definedName name="IQ_MC_TOTAL_ASO_FEES" hidden="1">"c15868"</definedName>
    <definedName name="IQ_MC_TOTAL_COMMERCIAL_MEMBERS" hidden="1">"c15826"</definedName>
    <definedName name="IQ_MC_TOTAL_COVERED_LIVES" hidden="1">"c9919"</definedName>
    <definedName name="IQ_MC_TOTAL_EQUITY_PER_MEMBER" hidden="1">"c15842"</definedName>
    <definedName name="IQ_MC_TOTAL_GOVT_ASO_FEES" hidden="1">"c15866"</definedName>
    <definedName name="IQ_MC_TOTAL_GOVT_MEMBERS" hidden="1">"c15831"</definedName>
    <definedName name="IQ_MC_TOTAL_GOVT_NON_RISK_MEMBERS" hidden="1">"c15839"</definedName>
    <definedName name="IQ_MC_TOTAL_GOVT_PREMIUMS" hidden="1">"c15857"</definedName>
    <definedName name="IQ_MC_TOTAL_MEMBERSHIP" hidden="1">"c9922"</definedName>
    <definedName name="IQ_MC_TOTAL_MEMBERSHIP_CAPITATION" hidden="1">"c9923"</definedName>
    <definedName name="IQ_MC_TOTAL_OTHER_MEMBERS" hidden="1">"c15833"</definedName>
    <definedName name="IQ_MC_TOTAL_OTHER_PREMIUMS" hidden="1">"c15859"</definedName>
    <definedName name="IQ_MC_TOTAL_RESERVES_PER_MEMBER" hidden="1">"c15844"</definedName>
    <definedName name="IQ_MC_TOTAL_SEPCIALTY_MEMBERS" hidden="1">"c15834"</definedName>
    <definedName name="IQ_MC_TOTAL_SEPCIALTY_PREMIUMS" hidden="1">"c15860"</definedName>
    <definedName name="IQ_MC_TOTAL_STATUTORY_CAPITAL_SURPLUS_PER_MEMBER" hidden="1">"c15841"</definedName>
    <definedName name="IQ_MC_UNPROCESSED_CLAIMS_INVENTORY_DAYS" hidden="1">"c9936"</definedName>
    <definedName name="IQ_MC_UNPROCESSED_CLAIMS_INVENTORY_NUMBER" hidden="1">"c9934"</definedName>
    <definedName name="IQ_MC_UNPROCESSED_CLAIMS_INVENTORY_VALUE" hidden="1">"c9935"</definedName>
    <definedName name="IQ_MEASURED_ATTRIB_ORE_RESOURCES_ALUM" hidden="1">"c9237"</definedName>
    <definedName name="IQ_MEASURED_ATTRIB_ORE_RESOURCES_COP" hidden="1">"c9181"</definedName>
    <definedName name="IQ_MEASURED_ATTRIB_ORE_RESOURCES_DIAM" hidden="1">"c9661"</definedName>
    <definedName name="IQ_MEASURED_ATTRIB_ORE_RESOURCES_GOLD" hidden="1">"c9022"</definedName>
    <definedName name="IQ_MEASURED_ATTRIB_ORE_RESOURCES_IRON" hidden="1">"c9396"</definedName>
    <definedName name="IQ_MEASURED_ATTRIB_ORE_RESOURCES_LEAD" hidden="1">"c9449"</definedName>
    <definedName name="IQ_MEASURED_ATTRIB_ORE_RESOURCES_MANG" hidden="1">"c9502"</definedName>
    <definedName name="IQ_MEASURED_ATTRIB_ORE_RESOURCES_MOLYB" hidden="1">"c9714"</definedName>
    <definedName name="IQ_MEASURED_ATTRIB_ORE_RESOURCES_NICK" hidden="1">"c9290"</definedName>
    <definedName name="IQ_MEASURED_ATTRIB_ORE_RESOURCES_PLAT" hidden="1">"c9128"</definedName>
    <definedName name="IQ_MEASURED_ATTRIB_ORE_RESOURCES_SILVER" hidden="1">"c9075"</definedName>
    <definedName name="IQ_MEASURED_ATTRIB_ORE_RESOURCES_TITAN" hidden="1">"c9555"</definedName>
    <definedName name="IQ_MEASURED_ATTRIB_ORE_RESOURCES_URAN" hidden="1">"c9608"</definedName>
    <definedName name="IQ_MEASURED_ATTRIB_ORE_RESOURCES_ZINC" hidden="1">"c9343"</definedName>
    <definedName name="IQ_MEASURED_INDICATED_ATTRIB_ORE_RESOURCES_ALUM" hidden="1">"c9239"</definedName>
    <definedName name="IQ_MEASURED_INDICATED_ATTRIB_ORE_RESOURCES_COP" hidden="1">"c9183"</definedName>
    <definedName name="IQ_MEASURED_INDICATED_ATTRIB_ORE_RESOURCES_DIAM" hidden="1">"c9663"</definedName>
    <definedName name="IQ_MEASURED_INDICATED_ATTRIB_ORE_RESOURCES_GOLD" hidden="1">"c9024"</definedName>
    <definedName name="IQ_MEASURED_INDICATED_ATTRIB_ORE_RESOURCES_IRON" hidden="1">"c9398"</definedName>
    <definedName name="IQ_MEASURED_INDICATED_ATTRIB_ORE_RESOURCES_LEAD" hidden="1">"c9451"</definedName>
    <definedName name="IQ_MEASURED_INDICATED_ATTRIB_ORE_RESOURCES_MANG" hidden="1">"c9504"</definedName>
    <definedName name="IQ_MEASURED_INDICATED_ATTRIB_ORE_RESOURCES_MOLYB" hidden="1">"c9716"</definedName>
    <definedName name="IQ_MEASURED_INDICATED_ATTRIB_ORE_RESOURCES_NICK" hidden="1">"c9292"</definedName>
    <definedName name="IQ_MEASURED_INDICATED_ATTRIB_ORE_RESOURCES_PLAT" hidden="1">"c9130"</definedName>
    <definedName name="IQ_MEASURED_INDICATED_ATTRIB_ORE_RESOURCES_SILVER" hidden="1">"c9077"</definedName>
    <definedName name="IQ_MEASURED_INDICATED_ATTRIB_ORE_RESOURCES_TITAN" hidden="1">"c9557"</definedName>
    <definedName name="IQ_MEASURED_INDICATED_ATTRIB_ORE_RESOURCES_URAN" hidden="1">"c9610"</definedName>
    <definedName name="IQ_MEASURED_INDICATED_ATTRIB_ORE_RESOURCES_ZINC" hidden="1">"c9345"</definedName>
    <definedName name="IQ_MEASURED_INDICATED_ORE_RESOURCES_ALUM" hidden="1">"c9226"</definedName>
    <definedName name="IQ_MEASURED_INDICATED_ORE_RESOURCES_COP" hidden="1">"c9170"</definedName>
    <definedName name="IQ_MEASURED_INDICATED_ORE_RESOURCES_DIAM" hidden="1">"c9650"</definedName>
    <definedName name="IQ_MEASURED_INDICATED_ORE_RESOURCES_GOLD" hidden="1">"c9011"</definedName>
    <definedName name="IQ_MEASURED_INDICATED_ORE_RESOURCES_IRON" hidden="1">"c9385"</definedName>
    <definedName name="IQ_MEASURED_INDICATED_ORE_RESOURCES_LEAD" hidden="1">"c9438"</definedName>
    <definedName name="IQ_MEASURED_INDICATED_ORE_RESOURCES_MANG" hidden="1">"c9491"</definedName>
    <definedName name="IQ_MEASURED_INDICATED_ORE_RESOURCES_MOLYB" hidden="1">"c9703"</definedName>
    <definedName name="IQ_MEASURED_INDICATED_ORE_RESOURCES_NICK" hidden="1">"c9279"</definedName>
    <definedName name="IQ_MEASURED_INDICATED_ORE_RESOURCES_PLAT" hidden="1">"c9117"</definedName>
    <definedName name="IQ_MEASURED_INDICATED_ORE_RESOURCES_SILVER" hidden="1">"c9064"</definedName>
    <definedName name="IQ_MEASURED_INDICATED_ORE_RESOURCES_TITAN" hidden="1">"c9544"</definedName>
    <definedName name="IQ_MEASURED_INDICATED_ORE_RESOURCES_URAN" hidden="1">"c9597"</definedName>
    <definedName name="IQ_MEASURED_INDICATED_ORE_RESOURCES_ZINC" hidden="1">"c9332"</definedName>
    <definedName name="IQ_MEASURED_INDICATED_RECOV_RESOURCES_ALUM" hidden="1">"c9234"</definedName>
    <definedName name="IQ_MEASURED_INDICATED_RECOV_RESOURCES_COAL" hidden="1">"c9813"</definedName>
    <definedName name="IQ_MEASURED_INDICATED_RECOV_RESOURCES_COP" hidden="1">"c9178"</definedName>
    <definedName name="IQ_MEASURED_INDICATED_RECOV_RESOURCES_DIAM" hidden="1">"c9658"</definedName>
    <definedName name="IQ_MEASURED_INDICATED_RECOV_RESOURCES_GOLD" hidden="1">"c9019"</definedName>
    <definedName name="IQ_MEASURED_INDICATED_RECOV_RESOURCES_IRON" hidden="1">"c9393"</definedName>
    <definedName name="IQ_MEASURED_INDICATED_RECOV_RESOURCES_LEAD" hidden="1">"c9446"</definedName>
    <definedName name="IQ_MEASURED_INDICATED_RECOV_RESOURCES_MANG" hidden="1">"c9499"</definedName>
    <definedName name="IQ_MEASURED_INDICATED_RECOV_RESOURCES_MET_COAL" hidden="1">"c9753"</definedName>
    <definedName name="IQ_MEASURED_INDICATED_RECOV_RESOURCES_MOLYB" hidden="1">"c9711"</definedName>
    <definedName name="IQ_MEASURED_INDICATED_RECOV_RESOURCES_NICK" hidden="1">"c9287"</definedName>
    <definedName name="IQ_MEASURED_INDICATED_RECOV_RESOURCES_PLAT" hidden="1">"c9125"</definedName>
    <definedName name="IQ_MEASURED_INDICATED_RECOV_RESOURCES_SILVER" hidden="1">"c9072"</definedName>
    <definedName name="IQ_MEASURED_INDICATED_RECOV_RESOURCES_STEAM" hidden="1">"c9783"</definedName>
    <definedName name="IQ_MEASURED_INDICATED_RECOV_RESOURCES_TITAN" hidden="1">"c9552"</definedName>
    <definedName name="IQ_MEASURED_INDICATED_RECOV_RESOURCES_URAN" hidden="1">"c9605"</definedName>
    <definedName name="IQ_MEASURED_INDICATED_RECOV_RESOURCES_ZINC" hidden="1">"c9340"</definedName>
    <definedName name="IQ_MEASURED_INDICATED_RESOURCES_GRADE_ALUM" hidden="1">"c9227"</definedName>
    <definedName name="IQ_MEASURED_INDICATED_RESOURCES_GRADE_COP" hidden="1">"c9171"</definedName>
    <definedName name="IQ_MEASURED_INDICATED_RESOURCES_GRADE_DIAM" hidden="1">"c9651"</definedName>
    <definedName name="IQ_MEASURED_INDICATED_RESOURCES_GRADE_GOLD" hidden="1">"c9012"</definedName>
    <definedName name="IQ_MEASURED_INDICATED_RESOURCES_GRADE_IRON" hidden="1">"c9386"</definedName>
    <definedName name="IQ_MEASURED_INDICATED_RESOURCES_GRADE_LEAD" hidden="1">"c9439"</definedName>
    <definedName name="IQ_MEASURED_INDICATED_RESOURCES_GRADE_MANG" hidden="1">"c9492"</definedName>
    <definedName name="IQ_MEASURED_INDICATED_RESOURCES_GRADE_MOLYB" hidden="1">"c9704"</definedName>
    <definedName name="IQ_MEASURED_INDICATED_RESOURCES_GRADE_NICK" hidden="1">"c9280"</definedName>
    <definedName name="IQ_MEASURED_INDICATED_RESOURCES_GRADE_PLAT" hidden="1">"c9118"</definedName>
    <definedName name="IQ_MEASURED_INDICATED_RESOURCES_GRADE_SILVER" hidden="1">"c9065"</definedName>
    <definedName name="IQ_MEASURED_INDICATED_RESOURCES_GRADE_TITAN" hidden="1">"c9545"</definedName>
    <definedName name="IQ_MEASURED_INDICATED_RESOURCES_GRADE_URAN" hidden="1">"c9598"</definedName>
    <definedName name="IQ_MEASURED_INDICATED_RESOURCES_GRADE_ZINC" hidden="1">"c9333"</definedName>
    <definedName name="IQ_MEASURED_ORE_RESOURCES_ALUM" hidden="1">"c9222"</definedName>
    <definedName name="IQ_MEASURED_ORE_RESOURCES_COP" hidden="1">"c9166"</definedName>
    <definedName name="IQ_MEASURED_ORE_RESOURCES_DIAM" hidden="1">"c9646"</definedName>
    <definedName name="IQ_MEASURED_ORE_RESOURCES_GOLD" hidden="1">"c9007"</definedName>
    <definedName name="IQ_MEASURED_ORE_RESOURCES_IRON" hidden="1">"c9381"</definedName>
    <definedName name="IQ_MEASURED_ORE_RESOURCES_LEAD" hidden="1">"c9434"</definedName>
    <definedName name="IQ_MEASURED_ORE_RESOURCES_MANG" hidden="1">"c9487"</definedName>
    <definedName name="IQ_MEASURED_ORE_RESOURCES_MOLYB" hidden="1">"c9699"</definedName>
    <definedName name="IQ_MEASURED_ORE_RESOURCES_NICK" hidden="1">"c9275"</definedName>
    <definedName name="IQ_MEASURED_ORE_RESOURCES_PLAT" hidden="1">"c9113"</definedName>
    <definedName name="IQ_MEASURED_ORE_RESOURCES_SILVER" hidden="1">"c9060"</definedName>
    <definedName name="IQ_MEASURED_ORE_RESOURCES_TITAN" hidden="1">"c9540"</definedName>
    <definedName name="IQ_MEASURED_ORE_RESOURCES_URAN" hidden="1">"c9593"</definedName>
    <definedName name="IQ_MEASURED_ORE_RESOURCES_ZINC" hidden="1">"c9328"</definedName>
    <definedName name="IQ_MEASURED_RECOV_ATTRIB_RESOURCES_ALUM" hidden="1">"c9242"</definedName>
    <definedName name="IQ_MEASURED_RECOV_ATTRIB_RESOURCES_COAL" hidden="1">"c9816"</definedName>
    <definedName name="IQ_MEASURED_RECOV_ATTRIB_RESOURCES_COP" hidden="1">"c9186"</definedName>
    <definedName name="IQ_MEASURED_RECOV_ATTRIB_RESOURCES_DIAM" hidden="1">"c9666"</definedName>
    <definedName name="IQ_MEASURED_RECOV_ATTRIB_RESOURCES_GOLD" hidden="1">"c9027"</definedName>
    <definedName name="IQ_MEASURED_RECOV_ATTRIB_RESOURCES_IRON" hidden="1">"c9401"</definedName>
    <definedName name="IQ_MEASURED_RECOV_ATTRIB_RESOURCES_LEAD" hidden="1">"c9454"</definedName>
    <definedName name="IQ_MEASURED_RECOV_ATTRIB_RESOURCES_MANG" hidden="1">"c9507"</definedName>
    <definedName name="IQ_MEASURED_RECOV_ATTRIB_RESOURCES_MET_COAL" hidden="1">"c9756"</definedName>
    <definedName name="IQ_MEASURED_RECOV_ATTRIB_RESOURCES_MOLYB" hidden="1">"c9719"</definedName>
    <definedName name="IQ_MEASURED_RECOV_ATTRIB_RESOURCES_NICK" hidden="1">"c9295"</definedName>
    <definedName name="IQ_MEASURED_RECOV_ATTRIB_RESOURCES_PLAT" hidden="1">"c9133"</definedName>
    <definedName name="IQ_MEASURED_RECOV_ATTRIB_RESOURCES_SILVER" hidden="1">"c9080"</definedName>
    <definedName name="IQ_MEASURED_RECOV_ATTRIB_RESOURCES_STEAM" hidden="1">"c9786"</definedName>
    <definedName name="IQ_MEASURED_RECOV_ATTRIB_RESOURCES_TITAN" hidden="1">"c9560"</definedName>
    <definedName name="IQ_MEASURED_RECOV_ATTRIB_RESOURCES_URAN" hidden="1">"c9613"</definedName>
    <definedName name="IQ_MEASURED_RECOV_ATTRIB_RESOURCES_ZINC" hidden="1">"c9348"</definedName>
    <definedName name="IQ_MEASURED_RECOV_RESOURCES_ALUM" hidden="1">"c9232"</definedName>
    <definedName name="IQ_MEASURED_RECOV_RESOURCES_COAL" hidden="1">"c9811"</definedName>
    <definedName name="IQ_MEASURED_RECOV_RESOURCES_COP" hidden="1">"c9176"</definedName>
    <definedName name="IQ_MEASURED_RECOV_RESOURCES_DIAM" hidden="1">"c9656"</definedName>
    <definedName name="IQ_MEASURED_RECOV_RESOURCES_GOLD" hidden="1">"c9017"</definedName>
    <definedName name="IQ_MEASURED_RECOV_RESOURCES_IRON" hidden="1">"c9391"</definedName>
    <definedName name="IQ_MEASURED_RECOV_RESOURCES_LEAD" hidden="1">"c9444"</definedName>
    <definedName name="IQ_MEASURED_RECOV_RESOURCES_MANG" hidden="1">"c9497"</definedName>
    <definedName name="IQ_MEASURED_RECOV_RESOURCES_MET_COAL" hidden="1">"c9751"</definedName>
    <definedName name="IQ_MEASURED_RECOV_RESOURCES_MOLYB" hidden="1">"c9709"</definedName>
    <definedName name="IQ_MEASURED_RECOV_RESOURCES_NICK" hidden="1">"c9285"</definedName>
    <definedName name="IQ_MEASURED_RECOV_RESOURCES_PLAT" hidden="1">"c9123"</definedName>
    <definedName name="IQ_MEASURED_RECOV_RESOURCES_SILVER" hidden="1">"c9070"</definedName>
    <definedName name="IQ_MEASURED_RECOV_RESOURCES_STEAM" hidden="1">"c9781"</definedName>
    <definedName name="IQ_MEASURED_RECOV_RESOURCES_TITAN" hidden="1">"c9550"</definedName>
    <definedName name="IQ_MEASURED_RECOV_RESOURCES_URAN" hidden="1">"c9603"</definedName>
    <definedName name="IQ_MEASURED_RECOV_RESOURCES_ZINC" hidden="1">"c9338"</definedName>
    <definedName name="IQ_MEASURED_RESOURCES_CALORIFIC_VALUE_COAL" hidden="1">"c9806"</definedName>
    <definedName name="IQ_MEASURED_RESOURCES_CALORIFIC_VALUE_MET_COAL" hidden="1">"c9746"</definedName>
    <definedName name="IQ_MEASURED_RESOURCES_CALORIFIC_VALUE_STEAM" hidden="1">"c9776"</definedName>
    <definedName name="IQ_MEASURED_RESOURCES_GRADE_ALUM" hidden="1">"c9223"</definedName>
    <definedName name="IQ_MEASURED_RESOURCES_GRADE_COP" hidden="1">"c9167"</definedName>
    <definedName name="IQ_MEASURED_RESOURCES_GRADE_DIAM" hidden="1">"c9647"</definedName>
    <definedName name="IQ_MEASURED_RESOURCES_GRADE_GOLD" hidden="1">"c9008"</definedName>
    <definedName name="IQ_MEASURED_RESOURCES_GRADE_IRON" hidden="1">"c9382"</definedName>
    <definedName name="IQ_MEASURED_RESOURCES_GRADE_LEAD" hidden="1">"c9435"</definedName>
    <definedName name="IQ_MEASURED_RESOURCES_GRADE_MANG" hidden="1">"c9488"</definedName>
    <definedName name="IQ_MEASURED_RESOURCES_GRADE_MOLYB" hidden="1">"c9700"</definedName>
    <definedName name="IQ_MEASURED_RESOURCES_GRADE_NICK" hidden="1">"c9276"</definedName>
    <definedName name="IQ_MEASURED_RESOURCES_GRADE_PLAT" hidden="1">"c9114"</definedName>
    <definedName name="IQ_MEASURED_RESOURCES_GRADE_SILVER" hidden="1">"c9061"</definedName>
    <definedName name="IQ_MEASURED_RESOURCES_GRADE_TITAN" hidden="1">"c9541"</definedName>
    <definedName name="IQ_MEASURED_RESOURCES_GRADE_URAN" hidden="1">"c9594"</definedName>
    <definedName name="IQ_MEASURED_RESOURCES_GRADE_ZINC" hidden="1">"c9329"</definedName>
    <definedName name="IQ_MEDIAN_NEW_HOME_SALES_APR_FC_UNUSED" hidden="1">"c8460"</definedName>
    <definedName name="IQ_MEDIAN_NEW_HOME_SALES_APR_FC_UNUSED_UNUSED_UNUSED" hidden="1">"c8460"</definedName>
    <definedName name="IQ_MEDIAN_NEW_HOME_SALES_APR_UNUSED" hidden="1">"c7580"</definedName>
    <definedName name="IQ_MEDIAN_NEW_HOME_SALES_APR_UNUSED_UNUSED_UNUSED" hidden="1">"c7580"</definedName>
    <definedName name="IQ_MEDIAN_NEW_HOME_SALES_FC_UNUSED" hidden="1">"c7800"</definedName>
    <definedName name="IQ_MEDIAN_NEW_HOME_SALES_FC_UNUSED_UNUSED_UNUSED" hidden="1">"c7800"</definedName>
    <definedName name="IQ_MEDIAN_NEW_HOME_SALES_POP_FC_UNUSED" hidden="1">"c8020"</definedName>
    <definedName name="IQ_MEDIAN_NEW_HOME_SALES_POP_FC_UNUSED_UNUSED_UNUSED" hidden="1">"c8020"</definedName>
    <definedName name="IQ_MEDIAN_NEW_HOME_SALES_POP_UNUSED" hidden="1">"c7140"</definedName>
    <definedName name="IQ_MEDIAN_NEW_HOME_SALES_POP_UNUSED_UNUSED_UNUSED" hidden="1">"c7140"</definedName>
    <definedName name="IQ_MEDIAN_NEW_HOME_SALES_UNUSED" hidden="1">"c6920"</definedName>
    <definedName name="IQ_MEDIAN_NEW_HOME_SALES_UNUSED_UNUSED_UNUSED" hidden="1">"c6920"</definedName>
    <definedName name="IQ_MEDIAN_NEW_HOME_SALES_YOY_FC_UNUSED" hidden="1">"c8240"</definedName>
    <definedName name="IQ_MEDIAN_NEW_HOME_SALES_YOY_FC_UNUSED_UNUSED_UNUSED" hidden="1">"c8240"</definedName>
    <definedName name="IQ_MEDIAN_NEW_HOME_SALES_YOY_UNUSED" hidden="1">"c7360"</definedName>
    <definedName name="IQ_MEDIAN_NEW_HOME_SALES_YOY_UNUSED_UNUSED_UNUSED" hidden="1">"c7360"</definedName>
    <definedName name="IQ_MEDIAN_TARGET_PRICE" hidden="1">"c1650"</definedName>
    <definedName name="IQ_MEDIAN_TARGET_PRICE_CIQ" hidden="1">"c4658"</definedName>
    <definedName name="IQ_MEDIAN_TARGET_PRICE_REUT" hidden="1">"c5316"</definedName>
    <definedName name="IQ_MEDIAN_TARGET_PRICE_THOM" hidden="1">"c5095"</definedName>
    <definedName name="IQ_MEDIUM_SULFUR_CONTENT_RESERVES_COAL" hidden="1">"c15926"</definedName>
    <definedName name="IQ_MEDIUM_SULFURE_RESERVES_TO_TOTAL_RESERVES_COAL" hidden="1">"c15962"</definedName>
    <definedName name="IQ_MERGER" hidden="1">"c713"</definedName>
    <definedName name="IQ_MERGER_BNK" hidden="1">"c714"</definedName>
    <definedName name="IQ_MERGER_BR" hidden="1">"c715"</definedName>
    <definedName name="IQ_MERGER_CM" hidden="1">"c715"</definedName>
    <definedName name="IQ_MERGER_FIN" hidden="1">"c716"</definedName>
    <definedName name="IQ_MERGER_INS" hidden="1">"c717"</definedName>
    <definedName name="IQ_MERGER_RE" hidden="1">"c6235"</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CM" hidden="1">"c721"</definedName>
    <definedName name="IQ_MERGER_RESTRUCTURE_FIN" hidden="1">"c722"</definedName>
    <definedName name="IQ_MERGER_RESTRUCTURE_INS" hidden="1">"c723"</definedName>
    <definedName name="IQ_MERGER_RESTRUCTURE_RE" hidden="1">"c6236"</definedName>
    <definedName name="IQ_MERGER_RESTRUCTURE_REIT" hidden="1">"c724"</definedName>
    <definedName name="IQ_MERGER_RESTRUCTURE_UTI" hidden="1">"c725"</definedName>
    <definedName name="IQ_MERGER_SUPPLE" hidden="1">"c13810"</definedName>
    <definedName name="IQ_MERGER_UTI" hidden="1">"c726"</definedName>
    <definedName name="IQ_MI_RECOV_ATTRIB_RESOURCES_ALUM" hidden="1">"c9244"</definedName>
    <definedName name="IQ_MI_RECOV_ATTRIB_RESOURCES_COAL" hidden="1">"c9818"</definedName>
    <definedName name="IQ_MI_RECOV_ATTRIB_RESOURCES_COP" hidden="1">"c9188"</definedName>
    <definedName name="IQ_MI_RECOV_ATTRIB_RESOURCES_DIAM" hidden="1">"c9668"</definedName>
    <definedName name="IQ_MI_RECOV_ATTRIB_RESOURCES_GOLD" hidden="1">"c9029"</definedName>
    <definedName name="IQ_MI_RECOV_ATTRIB_RESOURCES_IRON" hidden="1">"c9403"</definedName>
    <definedName name="IQ_MI_RECOV_ATTRIB_RESOURCES_LEAD" hidden="1">"c9456"</definedName>
    <definedName name="IQ_MI_RECOV_ATTRIB_RESOURCES_MANG" hidden="1">"c9509"</definedName>
    <definedName name="IQ_MI_RECOV_ATTRIB_RESOURCES_MET_COAL" hidden="1">"c9758"</definedName>
    <definedName name="IQ_MI_RECOV_ATTRIB_RESOURCES_MOLYB" hidden="1">"c9721"</definedName>
    <definedName name="IQ_MI_RECOV_ATTRIB_RESOURCES_NICK" hidden="1">"c9297"</definedName>
    <definedName name="IQ_MI_RECOV_ATTRIB_RESOURCES_PLAT" hidden="1">"c9135"</definedName>
    <definedName name="IQ_MI_RECOV_ATTRIB_RESOURCES_SILVER" hidden="1">"c9082"</definedName>
    <definedName name="IQ_MI_RECOV_ATTRIB_RESOURCES_STEAM" hidden="1">"c9788"</definedName>
    <definedName name="IQ_MI_RECOV_ATTRIB_RESOURCES_TITAN" hidden="1">"c9562"</definedName>
    <definedName name="IQ_MI_RECOV_ATTRIB_RESOURCES_URAN" hidden="1">"c9615"</definedName>
    <definedName name="IQ_MI_RECOV_ATTRIB_RESOURCES_ZINC" hidden="1">"c9350"</definedName>
    <definedName name="IQ_MI_RESOURCES_CALORIFIC_VALUE_COAL" hidden="1">"c9808"</definedName>
    <definedName name="IQ_MI_RESOURCES_CALORIFIC_VALUE_MET_COAL" hidden="1">"c9748"</definedName>
    <definedName name="IQ_MI_RESOURCES_CALORIFIC_VALUE_STEAM" hidden="1">"c9778"</definedName>
    <definedName name="IQ_MILES_PASSED" hidden="1">"c2848"</definedName>
    <definedName name="IQ_MIN_USE_PER_SUB" hidden="1">"c15764"</definedName>
    <definedName name="IQ_MINE_DEVELOPMENT_GROSS_COAL" hidden="1">"c15940"</definedName>
    <definedName name="IQ_MINORITY_INT_AVG_ASSETS_FFIEC" hidden="1">"c13367"</definedName>
    <definedName name="IQ_MINORITY_INT_BS_FFIEC" hidden="1">"c12874"</definedName>
    <definedName name="IQ_MINORITY_INT_FFIEC" hidden="1">"c13031"</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CM" hidden="1">"c729"</definedName>
    <definedName name="IQ_MINORITY_INTEREST_FIN" hidden="1">"c731"</definedName>
    <definedName name="IQ_MINORITY_INTEREST_INS" hidden="1">"c732"</definedName>
    <definedName name="IQ_MINORITY_INTEREST_IS" hidden="1">"c733"</definedName>
    <definedName name="IQ_MINORITY_INTEREST_RE" hidden="1">"c6237"</definedName>
    <definedName name="IQ_MINORITY_INTEREST_REIT" hidden="1">"c734"</definedName>
    <definedName name="IQ_MINORITY_INTEREST_TOTAL" hidden="1">"c1905"</definedName>
    <definedName name="IQ_MINORITY_INTEREST_UTI" hidden="1">"c735"</definedName>
    <definedName name="IQ_MINTUTES_USED_LOCAL" hidden="1">"c15808"</definedName>
    <definedName name="IQ_MINTUTES_USED_LONG_DIST" hidden="1">"c15809"</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KTCAP_TOTAL_REV_FWD_CIQ" hidden="1">"c4041"</definedName>
    <definedName name="IQ_MKTCAP_TOTAL_REV_FWD_REUT" hidden="1">"c4048"</definedName>
    <definedName name="IQ_MKTCAP_TOTAL_REV_FWD_THOM" hidden="1">"c4055"</definedName>
    <definedName name="IQ_MM_ACCOUNT" hidden="1">"c743"</definedName>
    <definedName name="IQ_MM_ACCRETION_EXPENSE" hidden="1">"c9845"</definedName>
    <definedName name="IQ_MM_ARO_BEG" hidden="1">"c9842"</definedName>
    <definedName name="IQ_MM_ARO_TOTAL" hidden="1">"c9850"</definedName>
    <definedName name="IQ_MM_CURRENT_PORT_ARO" hidden="1">"c9851"</definedName>
    <definedName name="IQ_MM_DEVELOPED_ACREAGE" hidden="1">"c9832"</definedName>
    <definedName name="IQ_MM_DEVELOPED_SQ_KMS" hidden="1">"c9831"</definedName>
    <definedName name="IQ_MM_DEVELOPED_SQ_MILES" hidden="1">"c9833"</definedName>
    <definedName name="IQ_MM_EXPLORATION_EXPENDITURE_TOT" hidden="1">"c9840"</definedName>
    <definedName name="IQ_MM_FX_ADJUSTMENT" hidden="1">"c9847"</definedName>
    <definedName name="IQ_MM_LIABILITIES_INCURRED_ACQUIRED" hidden="1">"c9843"</definedName>
    <definedName name="IQ_MM_LIABILITIES_REL_SPIN_OFFS" hidden="1">"c9848"</definedName>
    <definedName name="IQ_MM_LIABILITIES_SETTLED_DISPOSED" hidden="1">"c9844"</definedName>
    <definedName name="IQ_MM_NON_CURRENT_PORT_ARO" hidden="1">"c9852"</definedName>
    <definedName name="IQ_MM_NUMBER_MINES" hidden="1">"c9839"</definedName>
    <definedName name="IQ_MM_OTHER_ADJUSTMENTS_ARO" hidden="1">"c9849"</definedName>
    <definedName name="IQ_MM_REMAINING_MINE_LIFE" hidden="1">"c9838"</definedName>
    <definedName name="IQ_MM_RESOURCES_INCL_EXCL_RESERVES" hidden="1">"c9841"</definedName>
    <definedName name="IQ_MM_REVISIONS_ESTIMATE" hidden="1">"c9846"</definedName>
    <definedName name="IQ_MM_STRIPPING_RATIO" hidden="1">"c9837"</definedName>
    <definedName name="IQ_MM_UNDEVELOPED_ACREAGE" hidden="1">"c9835"</definedName>
    <definedName name="IQ_MM_UNDEVELOPED_SQ_KMS" hidden="1">"c9834"</definedName>
    <definedName name="IQ_MM_UNDEVELOPED_SQ_MILES" hidden="1">"c9836"</definedName>
    <definedName name="IQ_MMDA_NON_TRANS_ACCTS_FFIEC" hidden="1">"c15330"</definedName>
    <definedName name="IQ_MMDA_SAVINGS_TOT_DEPOSITS_FFIEC" hidden="1">"c13905"</definedName>
    <definedName name="IQ_MONEY_MARKET_ACCOUNTS_COMMERCIAL_BANK_SUBS_FFIEC" hidden="1">"c12947"</definedName>
    <definedName name="IQ_MONEY_MARKET_ACCOUNTS_OTHER_INSTITUTIONS_FFIEC" hidden="1">"c12952"</definedName>
    <definedName name="IQ_MONEY_MARKET_DEPOSIT_ACCOUNTS_FDIC" hidden="1">"c6553"</definedName>
    <definedName name="IQ_MONEY_MKT_DEPOSITS_TOTAL_DEPOSITS" hidden="1">"c15720"</definedName>
    <definedName name="IQ_MONEY_MKT_SAVINGS_ACCT_DEPOSITS_TOTAL_DEPOSITS" hidden="1">"c15722"</definedName>
    <definedName name="IQ_MONEY_SUPPLY_M1" hidden="1">"c20881"</definedName>
    <definedName name="IQ_MONEY_SUPPLY_M2" hidden="1">"c20882"</definedName>
    <definedName name="IQ_MONTH" hidden="1">15000</definedName>
    <definedName name="IQ_MOODYS_ACTION_LT" hidden="1">"c5660"</definedName>
    <definedName name="IQ_MOODYS_ACTION_ST" hidden="1">"c5663"</definedName>
    <definedName name="IQ_MOODYS_BANK_FIN_STRENGTH_ACTION_LT" hidden="1">"c5669"</definedName>
    <definedName name="IQ_MOODYS_BANK_FIN_STRENGTH_DATE_LT" hidden="1">"c5668"</definedName>
    <definedName name="IQ_MOODYS_BANK_FIN_STRENGTH_LT" hidden="1">"c5670"</definedName>
    <definedName name="IQ_MOODYS_CORP_FAMILY_ACTION_LT" hidden="1">"c5666"</definedName>
    <definedName name="IQ_MOODYS_CORP_FAMILY_DATE_LT" hidden="1">"c5665"</definedName>
    <definedName name="IQ_MOODYS_CORP_FAMILY_LT" hidden="1">"c5667"</definedName>
    <definedName name="IQ_MOODYS_DATE_LT" hidden="1">"c5659"</definedName>
    <definedName name="IQ_MOODYS_DATE_ST" hidden="1">"c5662"</definedName>
    <definedName name="IQ_MOODYS_INS_FIN_STRENGTH_ACTION_LT" hidden="1">"c5672"</definedName>
    <definedName name="IQ_MOODYS_INS_FIN_STRENGTH_ACTION_ST" hidden="1">"c5675"</definedName>
    <definedName name="IQ_MOODYS_INS_FIN_STRENGTH_DATE_LT" hidden="1">"c5671"</definedName>
    <definedName name="IQ_MOODYS_INS_FIN_STRENGTH_DATE_ST" hidden="1">"c5674"</definedName>
    <definedName name="IQ_MOODYS_INS_FIN_STRENGTH_LT" hidden="1">"c5673"</definedName>
    <definedName name="IQ_MOODYS_INS_FIN_STRENGTH_ST" hidden="1">"c5676"</definedName>
    <definedName name="IQ_MOODYS_ISSUE_ACTION_LT" hidden="1">"c5683"</definedName>
    <definedName name="IQ_MOODYS_ISSUE_ACTION_ST" hidden="1">"c6784"</definedName>
    <definedName name="IQ_MOODYS_ISSUE_DATE_LT" hidden="1">"c5682"</definedName>
    <definedName name="IQ_MOODYS_ISSUE_DATE_ST" hidden="1">"c6783"</definedName>
    <definedName name="IQ_MOODYS_ISSUE_LT" hidden="1">"c5684"</definedName>
    <definedName name="IQ_MOODYS_ISSUE_ST" hidden="1">"c6785"</definedName>
    <definedName name="IQ_MOODYS_ISSUE_WATCHLIST_DATE" hidden="1">"c5685"</definedName>
    <definedName name="IQ_MOODYS_ISSUE_WATCHLIST_INDICATOR" hidden="1">"c5687"</definedName>
    <definedName name="IQ_MOODYS_ISSUE_WATCHLIST_REASON" hidden="1">"c5686"</definedName>
    <definedName name="IQ_MOODYS_LATEST_DATE_LT" hidden="1">"c12711"</definedName>
    <definedName name="IQ_MOODYS_LATEST_DATE_ST" hidden="1">"c12715"</definedName>
    <definedName name="IQ_MOODYS_LATEST_LT" hidden="1">"c12710"</definedName>
    <definedName name="IQ_MOODYS_LATEST_ST" hidden="1">"c12714"</definedName>
    <definedName name="IQ_MOODYS_LATEST_TYPE_LT" hidden="1">"c12713"</definedName>
    <definedName name="IQ_MOODYS_LATEST_TYPE_ST" hidden="1">"c12717"</definedName>
    <definedName name="IQ_MOODYS_LT" hidden="1">"c5661"</definedName>
    <definedName name="IQ_MOODYS_OUTLOOK" hidden="1">"c5678"</definedName>
    <definedName name="IQ_MOODYS_OUTLOOK_DATE" hidden="1">"c5677"</definedName>
    <definedName name="IQ_MOODYS_ST" hidden="1">"c5664"</definedName>
    <definedName name="IQ_MOODYS_WATCHLIST_DATE" hidden="1">"c5679"</definedName>
    <definedName name="IQ_MOODYS_WATCHLIST_INDICATOR" hidden="1">"c5681"</definedName>
    <definedName name="IQ_MOODYS_WATCHLIST_REASON" hidden="1">"c5680"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BACKED_SECURITIES_FDIC" hidden="1">"c6402"</definedName>
    <definedName name="IQ_MORTGAGE_DEBT_UNDER_CAPITAL_LEASES_FFIEC" hidden="1">"c15276"</definedName>
    <definedName name="IQ_MORTGAGE_SERV_RIGHTS" hidden="1">"c2242"</definedName>
    <definedName name="IQ_MORTGAGE_SERVICING_ASSETS_FFIEC" hidden="1">"c12838"</definedName>
    <definedName name="IQ_MORTGAGE_SERVICING_FDIC" hidden="1">"c6335"</definedName>
    <definedName name="IQ_MTD" hidden="1">800000</definedName>
    <definedName name="IQ_MTM_ADJ" hidden="1">"c16000"</definedName>
    <definedName name="IQ_MULTI_RES_PROPERTIES_TRADING_DOM_FFIEC" hidden="1">"c12930"</definedName>
    <definedName name="IQ_MULTIFAM_5_LOANS_TOT_LOANS_FFIEC" hidden="1">"c13869"</definedName>
    <definedName name="IQ_MULTIFAMILY_LOANS_GROSS_LOANS_FFIEC" hidden="1">"c13404"</definedName>
    <definedName name="IQ_MULTIFAMILY_LOANS_RISK_BASED_FFIEC" hidden="1">"c13425"</definedName>
    <definedName name="IQ_MULTIFAMILY_RES_DOM_FFIEC" hidden="1">"c15270"</definedName>
    <definedName name="IQ_MULTIFAMILY_RESIDENTIAL_LOANS_FDIC" hidden="1">"c6311"</definedName>
    <definedName name="IQ_MUNI_ADVALOREM_TAX" hidden="1">"c15144"</definedName>
    <definedName name="IQ_MUNI_AMT_TAX" hidden="1">"c15146"</definedName>
    <definedName name="IQ_MUNI_BANK_QUALIFIED" hidden="1">"c15148"</definedName>
    <definedName name="IQ_MUNI_DEP_TRUST_ELIGIBLE" hidden="1">"c15149"</definedName>
    <definedName name="IQ_MUNI_ECONOMIC_DEFEASANCE" hidden="1">"c15151"</definedName>
    <definedName name="IQ_MUNI_ESCROW" hidden="1">"c15228"</definedName>
    <definedName name="IQ_MUNI_FED_TAX" hidden="1">"c15147"</definedName>
    <definedName name="IQ_MUNI_LEGAL_DEFEASANCE" hidden="1">"c15150"</definedName>
    <definedName name="IQ_MUNI_OFFERING_TYPE" hidden="1">"c15143"</definedName>
    <definedName name="IQ_MUNI_OPTIONAL_REDEMPTION_DEFEASANCE" hidden="1">"c15152"</definedName>
    <definedName name="IQ_MUNI_PRE_REFUNDED_DATE" hidden="1">"c15154"</definedName>
    <definedName name="IQ_MUNI_PRE_REFUNDED_DATED_DATE" hidden="1">"c15156"</definedName>
    <definedName name="IQ_MUNI_PRE_REFUNDED_PRICE" hidden="1">"c15155"</definedName>
    <definedName name="IQ_MUNI_PRE_REFUNDED_TYPE" hidden="1">"c15153"</definedName>
    <definedName name="IQ_MUNI_PURPOSE" hidden="1">"c15226"</definedName>
    <definedName name="IQ_MUNI_STATE_TAX" hidden="1">"c15145"</definedName>
    <definedName name="IQ_MUNI_TERRITORY" hidden="1">"c15142"</definedName>
    <definedName name="IQ_MUNI_TYPE" hidden="1">"c15227"</definedName>
    <definedName name="IQ_MUNICIPAL_INVEST_SECURITIES_FFIEC" hidden="1">"c13459"</definedName>
    <definedName name="IQ_MUTUAL_FUND_LIST" hidden="1">"c19092"</definedName>
    <definedName name="IQ_NAMES_REVISION_DATE_" hidden="1">41379.6952199074</definedName>
    <definedName name="IQ_NAMES_REVISION_DATE__1" hidden="1">42067.9334606481</definedName>
    <definedName name="IQ_NAMES_REVISION_DATE__1_1" hidden="1">41449.4017592593</definedName>
    <definedName name="IQ_NAMES_REVISION_DATE__2" hidden="1">41449.4017592593</definedName>
    <definedName name="IQ_NAPM_BUS_CONDITIONS" hidden="1">"c6921"</definedName>
    <definedName name="IQ_NAPM_BUS_CONDITIONS_APR" hidden="1">"c7581"</definedName>
    <definedName name="IQ_NAPM_BUS_CONDITIONS_APR_FC" hidden="1">"c8461"</definedName>
    <definedName name="IQ_NAPM_BUS_CONDITIONS_FC" hidden="1">"c7801"</definedName>
    <definedName name="IQ_NAPM_BUS_CONDITIONS_POP" hidden="1">"c7141"</definedName>
    <definedName name="IQ_NAPM_BUS_CONDITIONS_POP_FC" hidden="1">"c8021"</definedName>
    <definedName name="IQ_NAPM_BUS_CONDITIONS_YOY" hidden="1">"c7361"</definedName>
    <definedName name="IQ_NAPM_BUS_CONDITIONS_YOY_FC" hidden="1">"c8241"</definedName>
    <definedName name="IQ_NATIVE_COMPANY_NAME" hidden="1">"c13822"</definedName>
    <definedName name="IQ_NAV_ACT_OR_EST" hidden="1">"c2225"</definedName>
    <definedName name="IQ_NAV_ACT_OR_EST_THOM" hidden="1">"c5607"</definedName>
    <definedName name="IQ_NAV_DET_EST_CURRENCY_THOM" hidden="1">"c12490"</definedName>
    <definedName name="IQ_NAV_DET_EST_DATE_THOM" hidden="1">"c12241"</definedName>
    <definedName name="IQ_NAV_DET_EST_INCL_THOM" hidden="1">"c12373"</definedName>
    <definedName name="IQ_NAV_DET_EST_ORIGIN_THOM" hidden="1">"c12707"</definedName>
    <definedName name="IQ_NAV_DET_EST_THOM" hidden="1">"c12091"</definedName>
    <definedName name="IQ_NAV_EST" hidden="1">"c1751"</definedName>
    <definedName name="IQ_NAV_EST_THOM" hidden="1">"c5601"</definedName>
    <definedName name="IQ_NAV_HIGH_EST" hidden="1">"c1753"</definedName>
    <definedName name="IQ_NAV_HIGH_EST_THOM" hidden="1">"c5604"</definedName>
    <definedName name="IQ_NAV_LOW_EST" hidden="1">"c1754"</definedName>
    <definedName name="IQ_NAV_LOW_EST_THOM" hidden="1">"c5605"</definedName>
    <definedName name="IQ_NAV_MEDIAN_EST" hidden="1">"c1752"</definedName>
    <definedName name="IQ_NAV_MEDIAN_EST_THOM" hidden="1">"c5602"</definedName>
    <definedName name="IQ_NAV_NUM_EST" hidden="1">"c1755"</definedName>
    <definedName name="IQ_NAV_NUM_EST_THOM" hidden="1">"c5606"</definedName>
    <definedName name="IQ_NAV_RE" hidden="1">"c15996"</definedName>
    <definedName name="IQ_NAV_SHARE_ACT_OR_EST" hidden="1">"c2225"</definedName>
    <definedName name="IQ_NAV_SHARE_ACT_OR_EST_CIQ" hidden="1">"c12038"</definedName>
    <definedName name="IQ_NAV_SHARE_ACT_OR_EST_REUT" hidden="1">"c5623"</definedName>
    <definedName name="IQ_NAV_SHARE_DET_EST_ORIGIN" hidden="1">"c12585"</definedName>
    <definedName name="IQ_NAV_SHARE_DET_EST_ORIGIN_THOM" hidden="1">"c12611"</definedName>
    <definedName name="IQ_NAV_SHARE_EST" hidden="1">"c5609"</definedName>
    <definedName name="IQ_NAV_SHARE_EST_CIQ" hidden="1">"c12032"</definedName>
    <definedName name="IQ_NAV_SHARE_EST_REUT" hidden="1">"c5617"</definedName>
    <definedName name="IQ_NAV_SHARE_HIGH_EST" hidden="1">"c5612"</definedName>
    <definedName name="IQ_NAV_SHARE_HIGH_EST_CIQ" hidden="1">"c12035"</definedName>
    <definedName name="IQ_NAV_SHARE_HIGH_EST_REUT" hidden="1">"c5620"</definedName>
    <definedName name="IQ_NAV_SHARE_LOW_EST" hidden="1">"c5613"</definedName>
    <definedName name="IQ_NAV_SHARE_LOW_EST_CIQ" hidden="1">"c12036"</definedName>
    <definedName name="IQ_NAV_SHARE_LOW_EST_REUT" hidden="1">"c5621"</definedName>
    <definedName name="IQ_NAV_SHARE_MEDIAN_EST" hidden="1">"c5610"</definedName>
    <definedName name="IQ_NAV_SHARE_MEDIAN_EST_CIQ" hidden="1">"c12033"</definedName>
    <definedName name="IQ_NAV_SHARE_MEDIAN_EST_REUT" hidden="1">"c5618"</definedName>
    <definedName name="IQ_NAV_SHARE_NUM_EST" hidden="1">"c5614"</definedName>
    <definedName name="IQ_NAV_SHARE_NUM_EST_CIQ" hidden="1">"c12037"</definedName>
    <definedName name="IQ_NAV_SHARE_NUM_EST_REUT" hidden="1">"c5622"</definedName>
    <definedName name="IQ_NAV_SHARE_RE" hidden="1">"c16011"</definedName>
    <definedName name="IQ_NAV_SHARE_STDDEV_EST" hidden="1">"c5611"</definedName>
    <definedName name="IQ_NAV_SHARE_STDDEV_EST_CIQ" hidden="1">"c12034"</definedName>
    <definedName name="IQ_NAV_SHARE_STDDEV_EST_REUT" hidden="1">"c5619"</definedName>
    <definedName name="IQ_NAV_STDDEV_EST" hidden="1">"c1756"</definedName>
    <definedName name="IQ_NAV_STDDEV_EST_THOM" hidden="1">"c5603"</definedName>
    <definedName name="IQ_NCLS_CLOSED_END_1_4_FAM_LOANS_TOT_LOANS_FFIEC" hidden="1">"c13891"</definedName>
    <definedName name="IQ_NCLS_COMM_IND_LOANS_TOT_LOANS_FFIEC" hidden="1">"c13898"</definedName>
    <definedName name="IQ_NCLS_COMM_RE_FARM_LOANS_TOT_LOANS_FFIEC" hidden="1">"c13897"</definedName>
    <definedName name="IQ_NCLS_COMM_RE_NONFARM_NONRES_TOT_LOANS_FFIEC" hidden="1">"c13896"</definedName>
    <definedName name="IQ_NCLS_CONST_LAND_DEV_LOANS_TOT_LOANS_FFIEC" hidden="1">"c13890"</definedName>
    <definedName name="IQ_NCLS_CONSUMER_LOANS_TOT_LOANS_FFIEC" hidden="1">"c13899"</definedName>
    <definedName name="IQ_NCLS_FARM_LOANS_TOT_LOANS_FFIEC" hidden="1">"c13895"</definedName>
    <definedName name="IQ_NCLS_HOME_EQUITY_LOANS_TOT_LOANS_FFIEC" hidden="1">"c13892"</definedName>
    <definedName name="IQ_NCLS_MULTIFAM_5_LOANS_TOT_LOANS_FFIEC" hidden="1">"c13894"</definedName>
    <definedName name="IQ_NCLS_TOT_1_4_FAM_LOANS_TOT_LOANS_FFIEC" hidden="1">"c13893"</definedName>
    <definedName name="IQ_NCLS_TOT_LEASES_TOT_LOANS_FFIEC" hidden="1">"c13900"</definedName>
    <definedName name="IQ_NCLS_TOT_LOANS_TOT_LOANS_FFIEC" hidden="1">"c13901"</definedName>
    <definedName name="IQ_NCOS_CLOSED_END_1_4_FAM_LOANS_TOT_LOANS_FFIEC" hidden="1">"c13879"</definedName>
    <definedName name="IQ_NCOS_COMM_IND_LOANS_TOT_LOANS_FFIEC" hidden="1">"c13886"</definedName>
    <definedName name="IQ_NCOS_COMM_RE_FARM_LOANS_TOT_LOANS_FFIEC" hidden="1">"c13885"</definedName>
    <definedName name="IQ_NCOS_COMM_RE_NONFARM_NONRES_TOT_LOANS_FFIEC" hidden="1">"c13884"</definedName>
    <definedName name="IQ_NCOS_CONST_LAND_DEV_LOANS_TOT_LOANS_FFIEC" hidden="1">"c13878"</definedName>
    <definedName name="IQ_NCOS_CONSUMER_LOANS_TOT_LOANS_FFIEC" hidden="1">"c13887"</definedName>
    <definedName name="IQ_NCOS_FARM_LOANS_TOT_LOANS_FFIEC" hidden="1">"c13883"</definedName>
    <definedName name="IQ_NCOS_HOME_EQUITY_LOANS_TOT_LOANS_FFIEC" hidden="1">"c13880"</definedName>
    <definedName name="IQ_NCOS_MULTIFAM_5_LOANS_TOT_LOANS_FFIEC" hidden="1">"c13882"</definedName>
    <definedName name="IQ_NCOS_TOT_1_4_FAM_LOANS_TOT_LOANS_FFIEC" hidden="1">"c13881"</definedName>
    <definedName name="IQ_NCOS_TOT_LEASES_TOT_LOANS_FFIEC" hidden="1">"c13888"</definedName>
    <definedName name="IQ_NCOS_TOT_LOANS_TOT_LOANS_FFIEC" hidden="1">"c13889"</definedName>
    <definedName name="IQ_NEGATIVE_FAIR_VALUE_DERIVATIVES_BENEFICIARY_FFIEC" hidden="1">"c13124"</definedName>
    <definedName name="IQ_NEGATIVE_FAIR_VALUE_DERIVATIVES_GUARANTOR_FFIEC" hidden="1">"c13117"</definedName>
    <definedName name="IQ_NET_ADD_BASIC" hidden="1">"c15782"</definedName>
    <definedName name="IQ_NET_ADD_BBAND" hidden="1">"c15785"</definedName>
    <definedName name="IQ_NET_ADD_DIG" hidden="1">"c15783"</definedName>
    <definedName name="IQ_NET_ADD_PHONE" hidden="1">"c15786"</definedName>
    <definedName name="IQ_NET_ADD_POSTPAID_WIRELESS" hidden="1">"c15754"</definedName>
    <definedName name="IQ_NET_ADD_PREPAID_WIRELESS" hidden="1">"c15755"</definedName>
    <definedName name="IQ_NET_ADD_RESELL_WHOLESALE_WIRELESS" hidden="1">"c15756"</definedName>
    <definedName name="IQ_NET_ADD_RGU" hidden="1">"c15787"</definedName>
    <definedName name="IQ_NET_ADD_SATELLITE" hidden="1">"c15784"</definedName>
    <definedName name="IQ_NET_ADD_TOTAL_WIRELESS" hidden="1">"c15757"</definedName>
    <definedName name="IQ_NET_BOOKING_LOCATION_ADJUSTMENT_FOREIGN_FFIEC" hidden="1">"c15385"</definedName>
    <definedName name="IQ_NET_CHANGE" hidden="1">"c749"</definedName>
    <definedName name="IQ_NET_CHARGE_OFFS_FDIC" hidden="1">"c6641"</definedName>
    <definedName name="IQ_NET_CHARGE_OFFS_LOANS_FDIC" hidden="1">"c6751"</definedName>
    <definedName name="IQ_NET_CLAIM_ADJ_EXP_RESERVE_BOP" hidden="1">"c15877"</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ACT_OR_EST" hidden="1">"c3583"</definedName>
    <definedName name="IQ_NET_DEBT_ACT_OR_EST_CIQ" hidden="1">"c5070"</definedName>
    <definedName name="IQ_NET_DEBT_ACT_OR_EST_CIQ_COL" hidden="1">"c11717"</definedName>
    <definedName name="IQ_NET_DEBT_ACT_OR_EST_REUT" hidden="1">"c5473"</definedName>
    <definedName name="IQ_NET_DEBT_ACT_OR_EST_THOM" hidden="1">"c5309"</definedName>
    <definedName name="IQ_NET_DEBT_DET_EST" hidden="1">"c12061"</definedName>
    <definedName name="IQ_NET_DEBT_DET_EST_CURRENCY" hidden="1">"c12468"</definedName>
    <definedName name="IQ_NET_DEBT_DET_EST_CURRENCY_THOM" hidden="1">"c12491"</definedName>
    <definedName name="IQ_NET_DEBT_DET_EST_DATE" hidden="1">"c12214"</definedName>
    <definedName name="IQ_NET_DEBT_DET_EST_DATE_THOM" hidden="1">"c12242"</definedName>
    <definedName name="IQ_NET_DEBT_DET_EST_INCL" hidden="1">"c12351"</definedName>
    <definedName name="IQ_NET_DEBT_DET_EST_INCL_THOM" hidden="1">"c12374"</definedName>
    <definedName name="IQ_NET_DEBT_DET_EST_ORIGIN" hidden="1">"c12586"</definedName>
    <definedName name="IQ_NET_DEBT_DET_EST_ORIGIN_THOM" hidden="1">"c12612"</definedName>
    <definedName name="IQ_NET_DEBT_DET_EST_THOM" hidden="1">"c12092"</definedName>
    <definedName name="IQ_NET_DEBT_EBITDA" hidden="1">"c750"</definedName>
    <definedName name="IQ_NET_DEBT_EBITDA_CAPEX" hidden="1">"c2949"</definedName>
    <definedName name="IQ_NET_DEBT_EST" hidden="1">"c3517"</definedName>
    <definedName name="IQ_NET_DEBT_EST_CIQ" hidden="1">"c3814"</definedName>
    <definedName name="IQ_NET_DEBT_EST_REUT" hidden="1">"c3976"</definedName>
    <definedName name="IQ_NET_DEBT_EST_THOM" hidden="1">"c4027"</definedName>
    <definedName name="IQ_NET_DEBT_GUIDANCE" hidden="1">"c4467"</definedName>
    <definedName name="IQ_NET_DEBT_GUIDANCE_CIQ" hidden="1">"c5005"</definedName>
    <definedName name="IQ_NET_DEBT_GUIDANCE_CIQ_COL" hidden="1">"c11652"</definedName>
    <definedName name="IQ_NET_DEBT_HIGH_EST" hidden="1">"c3518"</definedName>
    <definedName name="IQ_NET_DEBT_HIGH_EST_CIQ" hidden="1">"c3816"</definedName>
    <definedName name="IQ_NET_DEBT_HIGH_EST_REUT" hidden="1">"c3978"</definedName>
    <definedName name="IQ_NET_DEBT_HIGH_EST_THOM" hidden="1">"c4029"</definedName>
    <definedName name="IQ_NET_DEBT_HIGH_GUIDANCE" hidden="1">"c4181"</definedName>
    <definedName name="IQ_NET_DEBT_HIGH_GUIDANCE_CIQ" hidden="1">"c4593"</definedName>
    <definedName name="IQ_NET_DEBT_HIGH_GUIDANCE_CIQ_COL" hidden="1">"c11242"</definedName>
    <definedName name="IQ_NET_DEBT_ISSUED" hidden="1">"c751"</definedName>
    <definedName name="IQ_NET_DEBT_ISSUED_BNK" hidden="1">"c752"</definedName>
    <definedName name="IQ_NET_DEBT_ISSUED_BR" hidden="1">"c753"</definedName>
    <definedName name="IQ_NET_DEBT_ISSUED_CM" hidden="1">"c753"</definedName>
    <definedName name="IQ_NET_DEBT_ISSUED_FIN" hidden="1">"c754"</definedName>
    <definedName name="IQ_NET_DEBT_ISSUED_INS" hidden="1">"c755"</definedName>
    <definedName name="IQ_NET_DEBT_ISSUED_RE" hidden="1">"c6238"</definedName>
    <definedName name="IQ_NET_DEBT_ISSUED_REIT" hidden="1">"c756"</definedName>
    <definedName name="IQ_NET_DEBT_ISSUED_UTI" hidden="1">"c757"</definedName>
    <definedName name="IQ_NET_DEBT_LOW_EST" hidden="1">"c3519"</definedName>
    <definedName name="IQ_NET_DEBT_LOW_EST_CIQ" hidden="1">"c3817"</definedName>
    <definedName name="IQ_NET_DEBT_LOW_EST_REUT" hidden="1">"c3979"</definedName>
    <definedName name="IQ_NET_DEBT_LOW_EST_THOM" hidden="1">"c4030"</definedName>
    <definedName name="IQ_NET_DEBT_LOW_GUIDANCE" hidden="1">"c4221"</definedName>
    <definedName name="IQ_NET_DEBT_LOW_GUIDANCE_CIQ" hidden="1">"c4633"</definedName>
    <definedName name="IQ_NET_DEBT_LOW_GUIDANCE_CIQ_COL" hidden="1">"c11282"</definedName>
    <definedName name="IQ_NET_DEBT_MEDIAN_EST" hidden="1">"c3520"</definedName>
    <definedName name="IQ_NET_DEBT_MEDIAN_EST_CIQ" hidden="1">"c3815"</definedName>
    <definedName name="IQ_NET_DEBT_MEDIAN_EST_REUT" hidden="1">"c3977"</definedName>
    <definedName name="IQ_NET_DEBT_MEDIAN_EST_THOM" hidden="1">"c4028"</definedName>
    <definedName name="IQ_NET_DEBT_NUM_EST" hidden="1">"c3515"</definedName>
    <definedName name="IQ_NET_DEBT_NUM_EST_CIQ" hidden="1">"c3818"</definedName>
    <definedName name="IQ_NET_DEBT_NUM_EST_REUT" hidden="1">"c3980"</definedName>
    <definedName name="IQ_NET_DEBT_NUM_EST_THOM" hidden="1">"c4031"</definedName>
    <definedName name="IQ_NET_DEBT_STDDEV_EST" hidden="1">"c3516"</definedName>
    <definedName name="IQ_NET_DEBT_STDDEV_EST_CIQ" hidden="1">"c3819"</definedName>
    <definedName name="IQ_NET_DEBT_STDDEV_EST_REUT" hidden="1">"c3981"</definedName>
    <definedName name="IQ_NET_DEBT_STDDEV_EST_THOM" hidden="1">"c4032"</definedName>
    <definedName name="IQ_NET_EARNED" hidden="1">"c2734"</definedName>
    <definedName name="IQ_NET_FUNDS_PURCHASED_ASSETS_TOT_FFIEC" hidden="1">"c13448"</definedName>
    <definedName name="IQ_NET_GAIN_LOSS_OREO_EXP_FFIEC" hidden="1">"c15370"</definedName>
    <definedName name="IQ_NET_GAIN_LOSS_OREO_INC_FFIEC" hidden="1">"c15367"</definedName>
    <definedName name="IQ_NET_GAIN_LOSS_SALES_LOANS_EXP_FFIEC" hidden="1">"c15371"</definedName>
    <definedName name="IQ_NET_GAIN_LOSS_SALES_LOANS_INC_FFIEC" hidden="1">"c15368"</definedName>
    <definedName name="IQ_NET_GAIN_SALE_PREMISES_FIXED_ASSETS_EXP_FFIEC" hidden="1">"c15372"</definedName>
    <definedName name="IQ_NET_GAIN_SALE_PREMISES_FIXED_ASSETS_INC_FFIEC" hidden="1">"c15369"</definedName>
    <definedName name="IQ_NET_INC" hidden="1">"c781"</definedName>
    <definedName name="IQ_NET_INC_10K" hidden="1">"IQ_NET_INC_10K"</definedName>
    <definedName name="IQ_NET_INC_10Q" hidden="1">"IQ_NET_INC_10Q"</definedName>
    <definedName name="IQ_NET_INC_10Q1" hidden="1">"IQ_NET_INC_10Q1"</definedName>
    <definedName name="IQ_NET_INC_BEFORE" hidden="1">"c344"</definedName>
    <definedName name="IQ_NET_INC_CF" hidden="1">"c793"</definedName>
    <definedName name="IQ_NET_INC_GROWTH_1" hidden="1">"c158"</definedName>
    <definedName name="IQ_NET_INC_GROWTH_2" hidden="1">"c162"</definedName>
    <definedName name="IQ_NET_INC_MARGIN" hidden="1">"c794"</definedName>
    <definedName name="IQ_NET_INCOME_FDIC" hidden="1">"c6587"</definedName>
    <definedName name="IQ_NET_INCOME_HOMEBUILDING_SALES" hidden="1">"c15818"</definedName>
    <definedName name="IQ_NET_INCOME_LH_FFIEC" hidden="1">"c13110"</definedName>
    <definedName name="IQ_NET_INCOME_PC_FFIEC" hidden="1">"c13103"</definedName>
    <definedName name="IQ_NET_INCOME_SHE_FFIEC" hidden="1">"c12960"</definedName>
    <definedName name="IQ_NET_INT_INC_10YR_ANN_CAGR" hidden="1">"c6100"</definedName>
    <definedName name="IQ_NET_INT_INC_10YR_ANN_GROWTH" hidden="1">"c758"</definedName>
    <definedName name="IQ_NET_INT_INC_1YR_ANN_GROWTH" hidden="1">"c759"</definedName>
    <definedName name="IQ_NET_INT_INC_2YR_ANN_CAGR" hidden="1">"c6101"</definedName>
    <definedName name="IQ_NET_INT_INC_2YR_ANN_GROWTH" hidden="1">"c760"</definedName>
    <definedName name="IQ_NET_INT_INC_3YR_ANN_CAGR" hidden="1">"c6102"</definedName>
    <definedName name="IQ_NET_INT_INC_3YR_ANN_GROWTH" hidden="1">"c761"</definedName>
    <definedName name="IQ_NET_INT_INC_5YR_ANN_CAGR" hidden="1">"c6103"</definedName>
    <definedName name="IQ_NET_INT_INC_5YR_ANN_GROWTH" hidden="1">"c762"</definedName>
    <definedName name="IQ_NET_INT_INC_7YR_ANN_CAGR" hidden="1">"c6104"</definedName>
    <definedName name="IQ_NET_INT_INC_7YR_ANN_GROWTH" hidden="1">"c763"</definedName>
    <definedName name="IQ_NET_INT_INC_AFTER_LL_BNK_SUBTOTAL_AP" hidden="1">"c8979"</definedName>
    <definedName name="IQ_NET_INT_INC_BNK" hidden="1">"c764"</definedName>
    <definedName name="IQ_NET_INT_INC_BNK_AP" hidden="1">"c8874"</definedName>
    <definedName name="IQ_NET_INT_INC_BNK_AP_ABS" hidden="1">"c8893"</definedName>
    <definedName name="IQ_NET_INT_INC_BNK_FDIC" hidden="1">"c6570"</definedName>
    <definedName name="IQ_NET_INT_INC_BNK_NAME_AP" hidden="1">"c8912"</definedName>
    <definedName name="IQ_NET_INT_INC_BNK_NAME_AP_ABS" hidden="1">"c8931"</definedName>
    <definedName name="IQ_NET_INT_INC_BNK_SUBTOTAL_AP" hidden="1">"c8978"</definedName>
    <definedName name="IQ_NET_INT_INC_BR" hidden="1">"c765"</definedName>
    <definedName name="IQ_NET_INT_INC_CM" hidden="1">"c765"</definedName>
    <definedName name="IQ_NET_INT_INC_FIN" hidden="1">"c766"</definedName>
    <definedName name="IQ_NET_INT_INC_TOTAL_REV" hidden="1">"c767"</definedName>
    <definedName name="IQ_NET_INT_INCOME_AVG_ASSET" hidden="1">"c15706"</definedName>
    <definedName name="IQ_NET_INT_INCOME_FFIEC" hidden="1">"c13001"</definedName>
    <definedName name="IQ_NET_INT_INCOME_FTE_FFIEC" hidden="1">"c13036"</definedName>
    <definedName name="IQ_NET_INT_MARGIN" hidden="1">"c768"</definedName>
    <definedName name="IQ_NET_INTEREST_EXP" hidden="1">"c769"</definedName>
    <definedName name="IQ_NET_INTEREST_EXP_RE" hidden="1">"c6239"</definedName>
    <definedName name="IQ_NET_INTEREST_EXP_REIT" hidden="1">"c770"</definedName>
    <definedName name="IQ_NET_INTEREST_EXP_UTI" hidden="1">"c771"</definedName>
    <definedName name="IQ_NET_INTEREST_INC" hidden="1">"c764"</definedName>
    <definedName name="IQ_NET_INTEREST_INC_AFTER_LL" hidden="1">"c1604"</definedName>
    <definedName name="IQ_NET_INTEREST_INC_INTERNATIONAL_OPS_FFIEC" hidden="1">"c15375"</definedName>
    <definedName name="IQ_NET_INTEREST_MARGIN_FDIC" hidden="1">"c6726"</definedName>
    <definedName name="IQ_NET_LIFE_INS_IN_FORCE" hidden="1">"c2769"</definedName>
    <definedName name="IQ_NET_LOANS" hidden="1">"c772"</definedName>
    <definedName name="IQ_NET_LOANS_10YR_ANN_CAGR" hidden="1">"c6105"</definedName>
    <definedName name="IQ_NET_LOANS_10YR_ANN_GROWTH" hidden="1">"c773"</definedName>
    <definedName name="IQ_NET_LOANS_1YR_ANN_GROWTH" hidden="1">"c774"</definedName>
    <definedName name="IQ_NET_LOANS_2YR_ANN_CAGR" hidden="1">"c6106"</definedName>
    <definedName name="IQ_NET_LOANS_2YR_ANN_GROWTH" hidden="1">"c775"</definedName>
    <definedName name="IQ_NET_LOANS_3YR_ANN_CAGR" hidden="1">"c6107"</definedName>
    <definedName name="IQ_NET_LOANS_3YR_ANN_GROWTH" hidden="1">"c776"</definedName>
    <definedName name="IQ_NET_LOANS_5YR_ANN_CAGR" hidden="1">"c6108"</definedName>
    <definedName name="IQ_NET_LOANS_5YR_ANN_GROWTH" hidden="1">"c777"</definedName>
    <definedName name="IQ_NET_LOANS_7YR_ANN_CAGR" hidden="1">"c6109"</definedName>
    <definedName name="IQ_NET_LOANS_7YR_ANN_GROWTH" hidden="1">"c778"</definedName>
    <definedName name="IQ_NET_LOANS_CORE_DEPOSITS_FFIEC" hidden="1">"c13341"</definedName>
    <definedName name="IQ_NET_LOANS_DEPOSITS_FFIEC" hidden="1">"c13340"</definedName>
    <definedName name="IQ_NET_LOANS_EQUITY_FFIEC" hidden="1">"c13347"</definedName>
    <definedName name="IQ_NET_LOANS_LEASES_CORE_DEPOSITS_FDIC" hidden="1">"c6743"</definedName>
    <definedName name="IQ_NET_LOANS_LEASES_DEPOSITS_FDIC" hidden="1">"c6742"</definedName>
    <definedName name="IQ_NET_LOANS_TOTAL_DEPOSITS" hidden="1">"c779"</definedName>
    <definedName name="IQ_NET_LOSSES" hidden="1">"c15873"</definedName>
    <definedName name="IQ_NET_NONINTEREST_INC_EXP_INTERNATIONAL_OPS_FFIEC" hidden="1">"c15387"</definedName>
    <definedName name="IQ_NET_OPERATING_INCOME_ASSETS_FDIC" hidden="1">"c6729"</definedName>
    <definedName name="IQ_NET_PREMIUM_WRITTEN_STATUTORY_SURPLUS" hidden="1">"c15880"</definedName>
    <definedName name="IQ_NET_PREMIUMS_WRITTEN_AVG_ASSETS" hidden="1">"c15888"</definedName>
    <definedName name="IQ_NET_PREMIUMS_WRITTEN_AVG_EQUITY" hidden="1">"c15891"</definedName>
    <definedName name="IQ_NET_PREMIUMS_WRITTEN_AVG_STATUTORY_SURPLUS" hidden="1">"c15890"</definedName>
    <definedName name="IQ_NET_PREMIUMS_WRITTEN_GROSS_PREMIUMS_WRITTEN" hidden="1">"c15889"</definedName>
    <definedName name="IQ_NET_RENTAL_EXP_FN" hidden="1">"c780"</definedName>
    <definedName name="IQ_NET_SECURITIZATION_INC_FOREIGN_FFIEC" hidden="1">"c15379"</definedName>
    <definedName name="IQ_NET_SECURITIZATION_INCOME_FDIC" hidden="1">"c6669"</definedName>
    <definedName name="IQ_NET_SERVICING_FEES_FDIC" hidden="1">"c6668"</definedName>
    <definedName name="IQ_NET_TO_GROSS_EARNED" hidden="1">"c2750"</definedName>
    <definedName name="IQ_NET_TO_GROSS_WRITTEN" hidden="1">"c2729"</definedName>
    <definedName name="IQ_NET_WORKING_CAP" hidden="1">"c3493"</definedName>
    <definedName name="IQ_NET_WRITTEN" hidden="1">"c2728"</definedName>
    <definedName name="IQ_NEW_PREM" hidden="1">"c2785"</definedName>
    <definedName name="IQ_NEWS" hidden="1">"c13743"</definedName>
    <definedName name="IQ_NEWS_DATE" hidden="1">"c13746"</definedName>
    <definedName name="IQ_NEWS_SOURCE" hidden="1">"c13745"</definedName>
    <definedName name="IQ_NEWS_TIME" hidden="1">"c13759"</definedName>
    <definedName name="IQ_NEWS_URL" hidden="1">"c13744"</definedName>
    <definedName name="IQ_NEXT_CALL_DATE" hidden="1">"c2198"</definedName>
    <definedName name="IQ_NEXT_CALL_PRICE" hidden="1">"c2199"</definedName>
    <definedName name="IQ_NEXT_EARNINGS_DATE" hidden="1">"c13592"</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EXT_YR_PROD_EST_MAX_ALUM" hidden="1">"c9251"</definedName>
    <definedName name="IQ_NEXT_YR_PROD_EST_MAX_CATHODE_COP" hidden="1">"c9198"</definedName>
    <definedName name="IQ_NEXT_YR_PROD_EST_MAX_COP" hidden="1">"c9196"</definedName>
    <definedName name="IQ_NEXT_YR_PROD_EST_MAX_DIAM" hidden="1">"c9675"</definedName>
    <definedName name="IQ_NEXT_YR_PROD_EST_MAX_GOLD" hidden="1">"c9036"</definedName>
    <definedName name="IQ_NEXT_YR_PROD_EST_MAX_IRON" hidden="1">"c9410"</definedName>
    <definedName name="IQ_NEXT_YR_PROD_EST_MAX_LEAD" hidden="1">"c9463"</definedName>
    <definedName name="IQ_NEXT_YR_PROD_EST_MAX_MANG" hidden="1">"c9516"</definedName>
    <definedName name="IQ_NEXT_YR_PROD_EST_MAX_MOLYB" hidden="1">"c9728"</definedName>
    <definedName name="IQ_NEXT_YR_PROD_EST_MAX_NICK" hidden="1">"c9304"</definedName>
    <definedName name="IQ_NEXT_YR_PROD_EST_MAX_PLAT" hidden="1">"c9142"</definedName>
    <definedName name="IQ_NEXT_YR_PROD_EST_MAX_SILVER" hidden="1">"c9089"</definedName>
    <definedName name="IQ_NEXT_YR_PROD_EST_MAX_TITAN" hidden="1">"c9569"</definedName>
    <definedName name="IQ_NEXT_YR_PROD_EST_MAX_URAN" hidden="1">"c9622"</definedName>
    <definedName name="IQ_NEXT_YR_PROD_EST_MAX_ZINC" hidden="1">"c9357"</definedName>
    <definedName name="IQ_NEXT_YR_PROD_EST_MIN_ALUM" hidden="1">"c9250"</definedName>
    <definedName name="IQ_NEXT_YR_PROD_EST_MIN_CATHODE_COP" hidden="1">"c9197"</definedName>
    <definedName name="IQ_NEXT_YR_PROD_EST_MIN_COP" hidden="1">"c9195"</definedName>
    <definedName name="IQ_NEXT_YR_PROD_EST_MIN_DIAM" hidden="1">"c9674"</definedName>
    <definedName name="IQ_NEXT_YR_PROD_EST_MIN_GOLD" hidden="1">"c9035"</definedName>
    <definedName name="IQ_NEXT_YR_PROD_EST_MIN_IRON" hidden="1">"c9409"</definedName>
    <definedName name="IQ_NEXT_YR_PROD_EST_MIN_LEAD" hidden="1">"c9462"</definedName>
    <definedName name="IQ_NEXT_YR_PROD_EST_MIN_MANG" hidden="1">"c9515"</definedName>
    <definedName name="IQ_NEXT_YR_PROD_EST_MIN_MOLYB" hidden="1">"c9727"</definedName>
    <definedName name="IQ_NEXT_YR_PROD_EST_MIN_NICK" hidden="1">"c9303"</definedName>
    <definedName name="IQ_NEXT_YR_PROD_EST_MIN_PLAT" hidden="1">"c9141"</definedName>
    <definedName name="IQ_NEXT_YR_PROD_EST_MIN_SILVER" hidden="1">"c9088"</definedName>
    <definedName name="IQ_NEXT_YR_PROD_EST_MIN_TITAN" hidden="1">"c9568"</definedName>
    <definedName name="IQ_NEXT_YR_PROD_EST_MIN_URAN" hidden="1">"c9621"</definedName>
    <definedName name="IQ_NEXT_YR_PROD_EST_MIN_ZINC" hidden="1">"c9356"</definedName>
    <definedName name="IQ_NI" hidden="1">"c781"</definedName>
    <definedName name="IQ_NI_10YR_ANN_CAGR" hidden="1">"c6110"</definedName>
    <definedName name="IQ_NI_10YR_ANN_GROWTH" hidden="1">"c782"</definedName>
    <definedName name="IQ_NI_1YR_ANN_GROWTH" hidden="1">"c783"</definedName>
    <definedName name="IQ_NI_2YR_ANN_CAGR" hidden="1">"c6111"</definedName>
    <definedName name="IQ_NI_2YR_ANN_GROWTH" hidden="1">"c784"</definedName>
    <definedName name="IQ_NI_3YR_ANN_CAGR" hidden="1">"c6112"</definedName>
    <definedName name="IQ_NI_3YR_ANN_GROWTH" hidden="1">"c785"</definedName>
    <definedName name="IQ_NI_5YR_ANN_CAGR" hidden="1">"c6113"</definedName>
    <definedName name="IQ_NI_5YR_ANN_GROWTH" hidden="1">"c786"</definedName>
    <definedName name="IQ_NI_7YR_ANN_CAGR" hidden="1">"c6114"</definedName>
    <definedName name="IQ_NI_7YR_ANN_GROWTH" hidden="1">"c787"</definedName>
    <definedName name="IQ_NI_ACT_OR_EST" hidden="1">"c2222"</definedName>
    <definedName name="IQ_NI_ACT_OR_EST_CIQ" hidden="1">"c5065"</definedName>
    <definedName name="IQ_NI_ACT_OR_EST_CIQ_COL" hidden="1">"c11712"</definedName>
    <definedName name="IQ_NI_ACT_OR_EST_REUT" hidden="1">"c5468"</definedName>
    <definedName name="IQ_NI_ACT_OR_EST_THOM" hidden="1">"c5306"</definedName>
    <definedName name="IQ_NI_AFTER_CAPITALIZED" hidden="1">"c788"</definedName>
    <definedName name="IQ_NI_AVAIL_EXCL" hidden="1">"c789"</definedName>
    <definedName name="IQ_NI_AVAIL_EXCL_MARGIN" hidden="1">"c790"</definedName>
    <definedName name="IQ_NI_AVAIL_INCL" hidden="1">"c791"</definedName>
    <definedName name="IQ_NI_AVAIL_SUBTOTAL_AP" hidden="1">"c8984"</definedName>
    <definedName name="IQ_NI_AVG_ASSETS_FFIEC" hidden="1">"c13370"</definedName>
    <definedName name="IQ_NI_BANK_AND_NONCONTROLLING_INTEREST_FFIEC" hidden="1">"c15365"</definedName>
    <definedName name="IQ_NI_BEFORE_CAPITALIZED" hidden="1">"c792"</definedName>
    <definedName name="IQ_NI_BEFORE_INTERNAL_ALLOCATIONS_FOREIGN_FFIEC" hidden="1">"c15393"</definedName>
    <definedName name="IQ_NI_CF" hidden="1">"c793"</definedName>
    <definedName name="IQ_NI_CHARGES_AP" hidden="1">"c8879"</definedName>
    <definedName name="IQ_NI_CHARGES_AP_ABS" hidden="1">"c8898"</definedName>
    <definedName name="IQ_NI_CHARGES_NAME_AP" hidden="1">"c8917"</definedName>
    <definedName name="IQ_NI_CHARGES_NAME_AP_ABS" hidden="1">"c8936"</definedName>
    <definedName name="IQ_NI_DET_EST" hidden="1">"c12062"</definedName>
    <definedName name="IQ_NI_DET_EST_CURRENCY" hidden="1">"c12469"</definedName>
    <definedName name="IQ_NI_DET_EST_CURRENCY_THOM" hidden="1">"c12492"</definedName>
    <definedName name="IQ_NI_DET_EST_DATE" hidden="1">"c12215"</definedName>
    <definedName name="IQ_NI_DET_EST_DATE_THOM" hidden="1">"c12243"</definedName>
    <definedName name="IQ_NI_DET_EST_INCL" hidden="1">"c12352"</definedName>
    <definedName name="IQ_NI_DET_EST_INCL_THOM" hidden="1">"c12375"</definedName>
    <definedName name="IQ_NI_DET_EST_ORIGIN" hidden="1">"c12587"</definedName>
    <definedName name="IQ_NI_DET_EST_ORIGIN_THOM" hidden="1">"c12613"</definedName>
    <definedName name="IQ_NI_DET_EST_THOM" hidden="1">"c12093"</definedName>
    <definedName name="IQ_NI_EST" hidden="1">"c1716"</definedName>
    <definedName name="IQ_NI_EST_CIQ" hidden="1">"c4702"</definedName>
    <definedName name="IQ_NI_EST_REUT" hidden="1">"c5368"</definedName>
    <definedName name="IQ_NI_EST_THOM" hidden="1">"c5126"</definedName>
    <definedName name="IQ_NI_FFIEC" hidden="1">"c13034"</definedName>
    <definedName name="IQ_NI_GAAP_GUIDANCE" hidden="1">"c4470"</definedName>
    <definedName name="IQ_NI_GAAP_GUIDANCE_CIQ" hidden="1">"c5008"</definedName>
    <definedName name="IQ_NI_GAAP_GUIDANCE_CIQ_COL" hidden="1">"c11655"</definedName>
    <definedName name="IQ_NI_GAAP_HIGH_GUIDANCE" hidden="1">"c4177"</definedName>
    <definedName name="IQ_NI_GAAP_HIGH_GUIDANCE_CIQ" hidden="1">"c4589"</definedName>
    <definedName name="IQ_NI_GAAP_HIGH_GUIDANCE_CIQ_COL" hidden="1">"c11238"</definedName>
    <definedName name="IQ_NI_GAAP_LOW_GUIDANCE" hidden="1">"c4217"</definedName>
    <definedName name="IQ_NI_GAAP_LOW_GUIDANCE_CIQ" hidden="1">"c4629"</definedName>
    <definedName name="IQ_NI_GAAP_LOW_GUIDANCE_CIQ_COL" hidden="1">"c11278"</definedName>
    <definedName name="IQ_NI_GUIDANCE" hidden="1">"c4469"</definedName>
    <definedName name="IQ_NI_GUIDANCE_CIQ" hidden="1">"c5007"</definedName>
    <definedName name="IQ_NI_GUIDANCE_CIQ_COL" hidden="1">"c11654"</definedName>
    <definedName name="IQ_NI_GW_DET_EST" hidden="1">"c12063"</definedName>
    <definedName name="IQ_NI_GW_DET_EST_CURRENCY" hidden="1">"c12470"</definedName>
    <definedName name="IQ_NI_GW_DET_EST_DATE" hidden="1">"c12216"</definedName>
    <definedName name="IQ_NI_GW_DET_EST_INCL" hidden="1">"c12353"</definedName>
    <definedName name="IQ_NI_GW_EST" hidden="1">"c1723"</definedName>
    <definedName name="IQ_NI_GW_EST_CIQ" hidden="1">"c4709"</definedName>
    <definedName name="IQ_NI_GW_EST_REUT" hidden="1">"c5375"</definedName>
    <definedName name="IQ_NI_GW_EST_THOM" hidden="1">"c5133"</definedName>
    <definedName name="IQ_NI_GW_GUIDANCE" hidden="1">"c4471"</definedName>
    <definedName name="IQ_NI_GW_GUIDANCE_CIQ" hidden="1">"c5009"</definedName>
    <definedName name="IQ_NI_GW_GUIDANCE_CIQ_COL" hidden="1">"c11656"</definedName>
    <definedName name="IQ_NI_GW_HIGH_EST" hidden="1">"c1725"</definedName>
    <definedName name="IQ_NI_GW_HIGH_EST_CIQ" hidden="1">"c4711"</definedName>
    <definedName name="IQ_NI_GW_HIGH_EST_REUT" hidden="1">"c5377"</definedName>
    <definedName name="IQ_NI_GW_HIGH_EST_THOM" hidden="1">"c5135"</definedName>
    <definedName name="IQ_NI_GW_HIGH_GUIDANCE" hidden="1">"c4178"</definedName>
    <definedName name="IQ_NI_GW_HIGH_GUIDANCE_CIQ" hidden="1">"c4590"</definedName>
    <definedName name="IQ_NI_GW_HIGH_GUIDANCE_CIQ_COL" hidden="1">"c11239"</definedName>
    <definedName name="IQ_NI_GW_LOW_EST" hidden="1">"c1726"</definedName>
    <definedName name="IQ_NI_GW_LOW_EST_CIQ" hidden="1">"c4712"</definedName>
    <definedName name="IQ_NI_GW_LOW_EST_REUT" hidden="1">"c5378"</definedName>
    <definedName name="IQ_NI_GW_LOW_EST_THOM" hidden="1">"c5136"</definedName>
    <definedName name="IQ_NI_GW_LOW_GUIDANCE" hidden="1">"c4218"</definedName>
    <definedName name="IQ_NI_GW_LOW_GUIDANCE_CIQ" hidden="1">"c4630"</definedName>
    <definedName name="IQ_NI_GW_LOW_GUIDANCE_CIQ_COL" hidden="1">"c11279"</definedName>
    <definedName name="IQ_NI_GW_MEDIAN_EST" hidden="1">"c1724"</definedName>
    <definedName name="IQ_NI_GW_MEDIAN_EST_CIQ" hidden="1">"c4710"</definedName>
    <definedName name="IQ_NI_GW_MEDIAN_EST_REUT" hidden="1">"c5376"</definedName>
    <definedName name="IQ_NI_GW_MEDIAN_EST_THOM" hidden="1">"c5134"</definedName>
    <definedName name="IQ_NI_GW_NUM_EST" hidden="1">"c1727"</definedName>
    <definedName name="IQ_NI_GW_NUM_EST_CIQ" hidden="1">"c4713"</definedName>
    <definedName name="IQ_NI_GW_NUM_EST_REUT" hidden="1">"c5379"</definedName>
    <definedName name="IQ_NI_GW_NUM_EST_THOM" hidden="1">"c5137"</definedName>
    <definedName name="IQ_NI_GW_STDDEV_EST" hidden="1">"c1728"</definedName>
    <definedName name="IQ_NI_GW_STDDEV_EST_CIQ" hidden="1">"c4714"</definedName>
    <definedName name="IQ_NI_GW_STDDEV_EST_REUT" hidden="1">"c5380"</definedName>
    <definedName name="IQ_NI_GW_STDDEV_EST_THOM" hidden="1">"c5138"</definedName>
    <definedName name="IQ_NI_HIGH_EST" hidden="1">"c1718"</definedName>
    <definedName name="IQ_NI_HIGH_EST_CIQ" hidden="1">"c4704"</definedName>
    <definedName name="IQ_NI_HIGH_EST_REUT" hidden="1">"c5370"</definedName>
    <definedName name="IQ_NI_HIGH_EST_THOM" hidden="1">"c5128"</definedName>
    <definedName name="IQ_NI_HIGH_GUIDANCE" hidden="1">"c4176"</definedName>
    <definedName name="IQ_NI_HIGH_GUIDANCE_CIQ" hidden="1">"c4588"</definedName>
    <definedName name="IQ_NI_HIGH_GUIDANCE_CIQ_COL" hidden="1">"c11237"</definedName>
    <definedName name="IQ_NI_LOW_EST" hidden="1">"c1719"</definedName>
    <definedName name="IQ_NI_LOW_EST_CIQ" hidden="1">"c4705"</definedName>
    <definedName name="IQ_NI_LOW_EST_REUT" hidden="1">"c5371"</definedName>
    <definedName name="IQ_NI_LOW_EST_THOM" hidden="1">"c5129"</definedName>
    <definedName name="IQ_NI_LOW_GUIDANCE" hidden="1">"c4216"</definedName>
    <definedName name="IQ_NI_LOW_GUIDANCE_CIQ" hidden="1">"c4628"</definedName>
    <definedName name="IQ_NI_LOW_GUIDANCE_CIQ_COL" hidden="1">"c11277"</definedName>
    <definedName name="IQ_NI_MARGIN" hidden="1">"c794"</definedName>
    <definedName name="IQ_NI_MEDIAN_EST" hidden="1">"c1717"</definedName>
    <definedName name="IQ_NI_MEDIAN_EST_CIQ" hidden="1">"c4703"</definedName>
    <definedName name="IQ_NI_MEDIAN_EST_REUT" hidden="1">"c5369"</definedName>
    <definedName name="IQ_NI_MEDIAN_EST_THOM" hidden="1">"c5127"</definedName>
    <definedName name="IQ_NI_NON_CONTROLLING_INTERESTS_FFIEC" hidden="1">"c15366"</definedName>
    <definedName name="IQ_NI_NORM" hidden="1">"c1901"</definedName>
    <definedName name="IQ_NI_NORM_10YR_ANN_CAGR" hidden="1">"c6189"</definedName>
    <definedName name="IQ_NI_NORM_10YR_ANN_GROWTH" hidden="1">"c1960"</definedName>
    <definedName name="IQ_NI_NORM_1YR_ANN_GROWTH" hidden="1">"c1955"</definedName>
    <definedName name="IQ_NI_NORM_2YR_ANN_CAGR" hidden="1">"c6185"</definedName>
    <definedName name="IQ_NI_NORM_2YR_ANN_GROWTH" hidden="1">"c1956"</definedName>
    <definedName name="IQ_NI_NORM_3YR_ANN_CAGR" hidden="1">"c6186"</definedName>
    <definedName name="IQ_NI_NORM_3YR_ANN_GROWTH" hidden="1">"c1957"</definedName>
    <definedName name="IQ_NI_NORM_5YR_ANN_CAGR" hidden="1">"c6187"</definedName>
    <definedName name="IQ_NI_NORM_5YR_ANN_GROWTH" hidden="1">"c1958"</definedName>
    <definedName name="IQ_NI_NORM_7YR_ANN_CAGR" hidden="1">"c6188"</definedName>
    <definedName name="IQ_NI_NORM_7YR_ANN_GROWTH" hidden="1">"c1959"</definedName>
    <definedName name="IQ_NI_NORM_MARGIN" hidden="1">"c1964"</definedName>
    <definedName name="IQ_NI_NUM_EST" hidden="1">"c1720"</definedName>
    <definedName name="IQ_NI_NUM_EST_CIQ" hidden="1">"c4706"</definedName>
    <definedName name="IQ_NI_NUM_EST_REUT" hidden="1">"c5372"</definedName>
    <definedName name="IQ_NI_NUM_EST_THOM" hidden="1">"c5130"</definedName>
    <definedName name="IQ_NI_REPORTED_DET_EST_ORIGIN" hidden="1">"c12588"</definedName>
    <definedName name="IQ_NI_REPORTED_EST" hidden="1">"c1730"</definedName>
    <definedName name="IQ_NI_REPORTED_EST_CIQ" hidden="1">"c4716"</definedName>
    <definedName name="IQ_NI_REPORTED_EST_REUT" hidden="1">"c5382"</definedName>
    <definedName name="IQ_NI_REPORTED_HIGH_EST" hidden="1">"c1732"</definedName>
    <definedName name="IQ_NI_REPORTED_HIGH_EST_CIQ" hidden="1">"c4718"</definedName>
    <definedName name="IQ_NI_REPORTED_HIGH_EST_REUT" hidden="1">"c5384"</definedName>
    <definedName name="IQ_NI_REPORTED_LOW_EST" hidden="1">"c1733"</definedName>
    <definedName name="IQ_NI_REPORTED_LOW_EST_CIQ" hidden="1">"c4719"</definedName>
    <definedName name="IQ_NI_REPORTED_LOW_EST_REUT" hidden="1">"c5385"</definedName>
    <definedName name="IQ_NI_REPORTED_MEDIAN_EST" hidden="1">"c1731"</definedName>
    <definedName name="IQ_NI_REPORTED_MEDIAN_EST_CIQ" hidden="1">"c4717"</definedName>
    <definedName name="IQ_NI_REPORTED_MEDIAN_EST_REUT" hidden="1">"c5383"</definedName>
    <definedName name="IQ_NI_REPORTED_NUM_EST" hidden="1">"c1734"</definedName>
    <definedName name="IQ_NI_REPORTED_NUM_EST_CIQ" hidden="1">"c4720"</definedName>
    <definedName name="IQ_NI_REPORTED_NUM_EST_REUT" hidden="1">"c5386"</definedName>
    <definedName name="IQ_NI_REPORTED_STDDEV_EST" hidden="1">"c1735"</definedName>
    <definedName name="IQ_NI_REPORTED_STDDEV_EST_CIQ" hidden="1">"c4721"</definedName>
    <definedName name="IQ_NI_REPORTED_STDDEV_EST_REUT" hidden="1">"c5387"</definedName>
    <definedName name="IQ_NI_SBC_ACT_OR_EST" hidden="1">"c4474"</definedName>
    <definedName name="IQ_NI_SBC_ACT_OR_EST_CIQ" hidden="1">"c5012"</definedName>
    <definedName name="IQ_NI_SBC_ACT_OR_EST_CIQ_COL" hidden="1">"c11659"</definedName>
    <definedName name="IQ_NI_SBC_EST" hidden="1">"c4473"</definedName>
    <definedName name="IQ_NI_SBC_EST_CIQ" hidden="1">"c5011"</definedName>
    <definedName name="IQ_NI_SBC_GUIDANCE" hidden="1">"c4475"</definedName>
    <definedName name="IQ_NI_SBC_GUIDANCE_CIQ" hidden="1">"c5013"</definedName>
    <definedName name="IQ_NI_SBC_GUIDANCE_CIQ_COL" hidden="1">"c11660"</definedName>
    <definedName name="IQ_NI_SBC_GW_ACT_OR_EST" hidden="1">"c4478"</definedName>
    <definedName name="IQ_NI_SBC_GW_ACT_OR_EST_CIQ" hidden="1">"c5016"</definedName>
    <definedName name="IQ_NI_SBC_GW_ACT_OR_EST_CIQ_COL" hidden="1">"c11663"</definedName>
    <definedName name="IQ_NI_SBC_GW_EST" hidden="1">"c4477"</definedName>
    <definedName name="IQ_NI_SBC_GW_EST_CIQ" hidden="1">"c5015"</definedName>
    <definedName name="IQ_NI_SBC_GW_GUIDANCE" hidden="1">"c4479"</definedName>
    <definedName name="IQ_NI_SBC_GW_GUIDANCE_CIQ" hidden="1">"c5017"</definedName>
    <definedName name="IQ_NI_SBC_GW_GUIDANCE_CIQ_COL" hidden="1">"c11664"</definedName>
    <definedName name="IQ_NI_SBC_GW_HIGH_EST" hidden="1">"c4480"</definedName>
    <definedName name="IQ_NI_SBC_GW_HIGH_EST_CIQ" hidden="1">"c5018"</definedName>
    <definedName name="IQ_NI_SBC_GW_HIGH_GUIDANCE" hidden="1">"c4187"</definedName>
    <definedName name="IQ_NI_SBC_GW_HIGH_GUIDANCE_CIQ" hidden="1">"c4599"</definedName>
    <definedName name="IQ_NI_SBC_GW_HIGH_GUIDANCE_CIQ_COL" hidden="1">"c11248"</definedName>
    <definedName name="IQ_NI_SBC_GW_LOW_EST" hidden="1">"c4481"</definedName>
    <definedName name="IQ_NI_SBC_GW_LOW_EST_CIQ" hidden="1">"c5019"</definedName>
    <definedName name="IQ_NI_SBC_GW_LOW_GUIDANCE" hidden="1">"c4227"</definedName>
    <definedName name="IQ_NI_SBC_GW_LOW_GUIDANCE_CIQ" hidden="1">"c4639"</definedName>
    <definedName name="IQ_NI_SBC_GW_LOW_GUIDANCE_CIQ_COL" hidden="1">"c11288"</definedName>
    <definedName name="IQ_NI_SBC_GW_MEDIAN_EST" hidden="1">"c4482"</definedName>
    <definedName name="IQ_NI_SBC_GW_MEDIAN_EST_CIQ" hidden="1">"c5020"</definedName>
    <definedName name="IQ_NI_SBC_GW_NUM_EST" hidden="1">"c4483"</definedName>
    <definedName name="IQ_NI_SBC_GW_NUM_EST_CIQ" hidden="1">"c5021"</definedName>
    <definedName name="IQ_NI_SBC_GW_STDDEV_EST" hidden="1">"c4484"</definedName>
    <definedName name="IQ_NI_SBC_GW_STDDEV_EST_CIQ" hidden="1">"c5022"</definedName>
    <definedName name="IQ_NI_SBC_HIGH_EST" hidden="1">"c4486"</definedName>
    <definedName name="IQ_NI_SBC_HIGH_EST_CIQ" hidden="1">"c5024"</definedName>
    <definedName name="IQ_NI_SBC_HIGH_GUIDANCE" hidden="1">"c4186"</definedName>
    <definedName name="IQ_NI_SBC_HIGH_GUIDANCE_CIQ" hidden="1">"c4598"</definedName>
    <definedName name="IQ_NI_SBC_HIGH_GUIDANCE_CIQ_COL" hidden="1">"c11247"</definedName>
    <definedName name="IQ_NI_SBC_LOW_EST" hidden="1">"c4487"</definedName>
    <definedName name="IQ_NI_SBC_LOW_EST_CIQ" hidden="1">"c5025"</definedName>
    <definedName name="IQ_NI_SBC_LOW_GUIDANCE" hidden="1">"c4226"</definedName>
    <definedName name="IQ_NI_SBC_LOW_GUIDANCE_CIQ" hidden="1">"c4638"</definedName>
    <definedName name="IQ_NI_SBC_LOW_GUIDANCE_CIQ_COL" hidden="1">"c11287"</definedName>
    <definedName name="IQ_NI_SBC_MEDIAN_EST" hidden="1">"c4488"</definedName>
    <definedName name="IQ_NI_SBC_MEDIAN_EST_CIQ" hidden="1">"c5026"</definedName>
    <definedName name="IQ_NI_SBC_NUM_EST" hidden="1">"c4489"</definedName>
    <definedName name="IQ_NI_SBC_NUM_EST_CIQ" hidden="1">"c5027"</definedName>
    <definedName name="IQ_NI_SBC_STDDEV_EST" hidden="1">"c4490"</definedName>
    <definedName name="IQ_NI_SBC_STDDEV_EST_CIQ" hidden="1">"c5028"</definedName>
    <definedName name="IQ_NI_SFAS" hidden="1">"c795"</definedName>
    <definedName name="IQ_NI_STDDEV_EST" hidden="1">"c1721"</definedName>
    <definedName name="IQ_NI_STDDEV_EST_CIQ" hidden="1">"c4707"</definedName>
    <definedName name="IQ_NI_STDDEV_EST_REUT" hidden="1">"c5373"</definedName>
    <definedName name="IQ_NI_STDDEV_EST_THOM" hidden="1">"c5131"</definedName>
    <definedName name="IQ_NI_SUBTOTAL_AP" hidden="1">"c8983"</definedName>
    <definedName name="IQ_NLA_PCT_LEASED_CONSOL" hidden="1">"c8815"</definedName>
    <definedName name="IQ_NLA_PCT_LEASED_MANAGED" hidden="1">"c8817"</definedName>
    <definedName name="IQ_NLA_PCT_LEASED_OTHER" hidden="1">"c8818"</definedName>
    <definedName name="IQ_NLA_PCT_LEASED_TOTAL" hidden="1">"c8819"</definedName>
    <definedName name="IQ_NLA_PCT_LEASED_UNCONSOL" hidden="1">"c8816"</definedName>
    <definedName name="IQ_NLA_SQ_FT_CONSOL" hidden="1">"c8800"</definedName>
    <definedName name="IQ_NLA_SQ_FT_MANAGED" hidden="1">"c8802"</definedName>
    <definedName name="IQ_NLA_SQ_FT_OTHER" hidden="1">"c8803"</definedName>
    <definedName name="IQ_NLA_SQ_FT_TOTAL" hidden="1">"c8804"</definedName>
    <definedName name="IQ_NLA_SQ_FT_UNCONSOL" hidden="1">"c8801"</definedName>
    <definedName name="IQ_NLA_SQ_METER_CONSOL" hidden="1">"c8805"</definedName>
    <definedName name="IQ_NLA_SQ_METER_MANAGED" hidden="1">"c8807"</definedName>
    <definedName name="IQ_NLA_SQ_METER_OTHER" hidden="1">"c8808"</definedName>
    <definedName name="IQ_NLA_SQ_METER_TOTAL" hidden="1">"c8809"</definedName>
    <definedName name="IQ_NLA_SQ_METER_UNCONSOL" hidden="1">"c8806"</definedName>
    <definedName name="IQ_NOI_INCL_UNCONSOL" hidden="1">"c16068"</definedName>
    <definedName name="IQ_NOL_CF_1YR" hidden="1">"c3465"</definedName>
    <definedName name="IQ_NOL_CF_2YR" hidden="1">"c3466"</definedName>
    <definedName name="IQ_NOL_CF_3YR" hidden="1">"c3467"</definedName>
    <definedName name="IQ_NOL_CF_4YR" hidden="1">"c3468"</definedName>
    <definedName name="IQ_NOL_CF_5YR" hidden="1">"c3469"</definedName>
    <definedName name="IQ_NOL_CF_AFTER_FIVE" hidden="1">"c3470"</definedName>
    <definedName name="IQ_NOL_CF_MAX_YEAR" hidden="1">"c3473"</definedName>
    <definedName name="IQ_NOL_CF_NO_EXP" hidden="1">"c3471"</definedName>
    <definedName name="IQ_NOL_CF_TOTAL" hidden="1">"c3472"</definedName>
    <definedName name="IQ_NOM_DOMESTIC_PURCHASES" hidden="1">"c20883"</definedName>
    <definedName name="IQ_NOM_EXPORT" hidden="1">"c20884"</definedName>
    <definedName name="IQ_NOM_EXPORT_GOODS" hidden="1">"c20885"</definedName>
    <definedName name="IQ_NOM_EXPORT_INCOME" hidden="1">"c20886"</definedName>
    <definedName name="IQ_NOM_EXPORT_SERVICES" hidden="1">"c20887"</definedName>
    <definedName name="IQ_NOM_GDP" hidden="1">"c20888"</definedName>
    <definedName name="IQ_NOM_GDP_RESIDUAL" hidden="1">"c20889"</definedName>
    <definedName name="IQ_NOM_GNP" hidden="1">"c20890"</definedName>
    <definedName name="IQ_NOM_GOVT_CONSUM_INVEST" hidden="1">"c20891"</definedName>
    <definedName name="IQ_NOM_GOVT_CONSUM_INVEST_DEF" hidden="1">"c20892"</definedName>
    <definedName name="IQ_NOM_GOVT_CONSUM_INVEST_DEF_CONSUM" hidden="1">"c20893"</definedName>
    <definedName name="IQ_NOM_GOVT_CONSUM_INVEST_DEF_INVEST" hidden="1">"c20894"</definedName>
    <definedName name="IQ_NOM_GOVT_CONSUM_INVEST_FEDERAL" hidden="1">"c20895"</definedName>
    <definedName name="IQ_NOM_GOVT_CONSUM_INVEST_NONDEF" hidden="1">"c20896"</definedName>
    <definedName name="IQ_NOM_GOVT_CONSUM_INVEST_NONDEF_CONSUM" hidden="1">"c20897"</definedName>
    <definedName name="IQ_NOM_GOVT_CONSUM_INVEST_NONDEF_INVEST" hidden="1">"c20898"</definedName>
    <definedName name="IQ_NOM_GOVT_CONSUM_INVEST_STATE_LOCAL" hidden="1">"c20899"</definedName>
    <definedName name="IQ_NOM_GOVT_CONSUM_INVEST_STATE_LOCAL_CONSUM" hidden="1">"c20900"</definedName>
    <definedName name="IQ_NOM_GOVT_CONSUM_INVEST_STATE_LOCAL_INVEST" hidden="1">"c20901"</definedName>
    <definedName name="IQ_NOM_IMPORT" hidden="1">"c20902"</definedName>
    <definedName name="IQ_NOM_IMPORT_GOODS" hidden="1">"c20903"</definedName>
    <definedName name="IQ_NOM_IMPORT_INCOME" hidden="1">"c20904"</definedName>
    <definedName name="IQ_NOM_IMPORT_SERVICES" hidden="1">"c20905"</definedName>
    <definedName name="IQ_NOM_NET_DOMESTIC_PRODUCTION" hidden="1">"c20906"</definedName>
    <definedName name="IQ_NOM_NET_EXPORT" hidden="1">"c20907"</definedName>
    <definedName name="IQ_NOM_PCE" hidden="1">"c20908"</definedName>
    <definedName name="IQ_NOM_PCE_CLOTHING" hidden="1">"c20909"</definedName>
    <definedName name="IQ_NOM_PCE_DUR_GOODS" hidden="1">"c20910"</definedName>
    <definedName name="IQ_NOM_PCE_DUR_GOODS_OTHER" hidden="1">"c20911"</definedName>
    <definedName name="IQ_NOM_PCE_FINANCIAL" hidden="1">"c20912"</definedName>
    <definedName name="IQ_NOM_PCE_FOOD_ACCOMADATIONS" hidden="1">"c20913"</definedName>
    <definedName name="IQ_NOM_PCE_FOOD_BEVERAGE" hidden="1">"c20914"</definedName>
    <definedName name="IQ_NOM_PCE_FURNISHINGS" hidden="1">"c20915"</definedName>
    <definedName name="IQ_NOM_PCE_GAS" hidden="1">"c20916"</definedName>
    <definedName name="IQ_NOM_PCE_GOOD" hidden="1">"c20917"</definedName>
    <definedName name="IQ_NOM_PCE_HEALTH_CARE" hidden="1">"c20918"</definedName>
    <definedName name="IQ_NOM_PCE_HOUSEHOLD_CONSUM" hidden="1">"c20919"</definedName>
    <definedName name="IQ_NOM_PCE_HOUSEHOLD_CONSUM_OTHER" hidden="1">"c20920"</definedName>
    <definedName name="IQ_NOM_PCE_HOUSING" hidden="1">"c20921"</definedName>
    <definedName name="IQ_NOM_PCE_MOTOR_VEHICLE" hidden="1">"c20922"</definedName>
    <definedName name="IQ_NOM_PCE_NONDUR_GOODS" hidden="1">"c20923"</definedName>
    <definedName name="IQ_NOM_PCE_NONDUR_GOODS_OTHER" hidden="1">"c20924"</definedName>
    <definedName name="IQ_NOM_PCE_NONPROFIT_CONSUM" hidden="1">"c20925"</definedName>
    <definedName name="IQ_NOM_PCE_NONPROFIT_OUTPUT" hidden="1">"c20926"</definedName>
    <definedName name="IQ_NOM_PCE_NONPROFIT_RECEIPTS" hidden="1">"c20927"</definedName>
    <definedName name="IQ_NOM_PCE_RECREATION_GOODS" hidden="1">"c20928"</definedName>
    <definedName name="IQ_NOM_PCE_RECREATION_SERVICES" hidden="1">"c20929"</definedName>
    <definedName name="IQ_NOM_PCE_SERVICES" hidden="1">"c20930"</definedName>
    <definedName name="IQ_NOM_PCE_TRANSPORTATION" hidden="1">"c20931"</definedName>
    <definedName name="IQ_NOM_PRIVATE_INVEST" hidden="1">"c20932"</definedName>
    <definedName name="IQ_NOM_PRIVATE_INVEST_EQUIP" hidden="1">"c20933"</definedName>
    <definedName name="IQ_NOM_PRIVATE_INVEST_EQUIP_OTHER" hidden="1">"c20934"</definedName>
    <definedName name="IQ_NOM_PRIVATE_INVEST_FIXED" hidden="1">"c20935"</definedName>
    <definedName name="IQ_NOM_PRIVATE_INVEST_INDUSTRIAL_EQUIP" hidden="1">"c20936"</definedName>
    <definedName name="IQ_NOM_PRIVATE_INVEST_INFO_EQUIP" hidden="1">"c20937"</definedName>
    <definedName name="IQ_NOM_PRIVATE_INVEST_INFO_EQUIP_COMPUTERS" hidden="1">"c20938"</definedName>
    <definedName name="IQ_NOM_PRIVATE_INVEST_INFO_EQUIP_OTHER" hidden="1">"c20939"</definedName>
    <definedName name="IQ_NOM_PRIVATE_INVEST_INFO_EQUIP_SOFTWARE" hidden="1">"c20940"</definedName>
    <definedName name="IQ_NOM_PRIVATE_INVEST_NONRES" hidden="1">"c20941"</definedName>
    <definedName name="IQ_NOM_PRIVATE_INVEST_PRIVATE_INV_CHANGE" hidden="1">"c20942"</definedName>
    <definedName name="IQ_NOM_PRIVATE_INVEST_PRIVATE_INV_FARMS" hidden="1">"c20943"</definedName>
    <definedName name="IQ_NOM_PRIVATE_INVEST_PRIVATE_INV_NONFARMS" hidden="1">"c20944"</definedName>
    <definedName name="IQ_NOM_PRIVATE_INVEST_RES" hidden="1">"c20945"</definedName>
    <definedName name="IQ_NOM_PRIVATE_INVEST_STRUCTURES" hidden="1">"c20946"</definedName>
    <definedName name="IQ_NOM_PRIVATE_INVEST_TRANSPORTATION_EQUIP" hidden="1">"c20947"</definedName>
    <definedName name="IQ_NOM_SALES_TO_DOMESTIC_PURCHASES" hidden="1">"c20948"</definedName>
    <definedName name="IQ_NOMINAL_GDP" hidden="1">"c20949"</definedName>
    <definedName name="IQ_NOMINAL_GDP_FC" hidden="1">"c20950"</definedName>
    <definedName name="IQ_NOMINAL_GDP_PER_CAPITA" hidden="1">"c20951"</definedName>
    <definedName name="IQ_NOMINAL_GDP_PER_CAPITA_FC" hidden="1">"c20952"</definedName>
    <definedName name="IQ_NON_ACCRU_ALLOW_RECEIVABLES_FFIEC" hidden="1">"c13353"</definedName>
    <definedName name="IQ_NON_ACCRUAL_ASSET_SOLD_DURING_QTR_FFIEC" hidden="1">"c15350"</definedName>
    <definedName name="IQ_NON_ACCRUAL_LOANS" hidden="1">"c796"</definedName>
    <definedName name="IQ_NON_CASH" hidden="1">"c797"</definedName>
    <definedName name="IQ_NON_CASH_ITEMS" hidden="1">"c797"</definedName>
    <definedName name="IQ_NON_CD_DEPOSITS" hidden="1">"c15718"</definedName>
    <definedName name="IQ_NON_CD_DEPOSITS_TOTAL_DEPOSITS" hidden="1">"c15725"</definedName>
    <definedName name="IQ_NON_CURRENT_LOANS_FFIEC" hidden="1">"c13860"</definedName>
    <definedName name="IQ_NON_FARM_NONRES_PROPERTIES_TRADING_DOM_FFIEC" hidden="1">"c12931"</definedName>
    <definedName name="IQ_NON_INS_EXP" hidden="1">"c798"</definedName>
    <definedName name="IQ_NON_INS_REV" hidden="1">"c799"</definedName>
    <definedName name="IQ_NON_INT_BAL_OTHER_INSTITUTIONS_FFIEC" hidden="1">"c12950"</definedName>
    <definedName name="IQ_NON_INT_BEAR_CD" hidden="1">"c800"</definedName>
    <definedName name="IQ_NON_INT_BEARING_DEPOSITS" hidden="1">"c800"</definedName>
    <definedName name="IQ_NON_INT_DEPOSITS_DOM_FFIEC" hidden="1">"c12851"</definedName>
    <definedName name="IQ_NON_INT_DEPOSITS_FOREIGN_FFIEC" hidden="1">"c12854"</definedName>
    <definedName name="IQ_NON_INT_EXP" hidden="1">"c801"</definedName>
    <definedName name="IQ_NON_INT_EXP_AVG_ASSETS_FFIEC" hidden="1">"c18878"</definedName>
    <definedName name="IQ_NON_INT_EXP_BNK_AP" hidden="1">"c8877"</definedName>
    <definedName name="IQ_NON_INT_EXP_BNK_AP_ABS" hidden="1">"c8896"</definedName>
    <definedName name="IQ_NON_INT_EXP_BNK_NAME_AP" hidden="1">"c8915"</definedName>
    <definedName name="IQ_NON_INT_EXP_BNK_NAME_AP_ABS" hidden="1">"c8934"</definedName>
    <definedName name="IQ_NON_INT_EXP_BNK_SUBTOTAL_AP" hidden="1">"c8981"</definedName>
    <definedName name="IQ_NON_INT_EXP_FDIC" hidden="1">"c6579"</definedName>
    <definedName name="IQ_NON_INT_EXPENSE_AVG_ASSET" hidden="1">"c15708"</definedName>
    <definedName name="IQ_NON_INT_EXPENSE_FFIEC" hidden="1">"c13028"</definedName>
    <definedName name="IQ_NON_INT_INC" hidden="1">"c802"</definedName>
    <definedName name="IQ_NON_INT_INC_10YR_ANN_CAGR" hidden="1">"c6115"</definedName>
    <definedName name="IQ_NON_INT_INC_10YR_ANN_GROWTH" hidden="1">"c803"</definedName>
    <definedName name="IQ_NON_INT_INC_1YR_ANN_GROWTH" hidden="1">"c804"</definedName>
    <definedName name="IQ_NON_INT_INC_2YR_ANN_CAGR" hidden="1">"c6116"</definedName>
    <definedName name="IQ_NON_INT_INC_2YR_ANN_GROWTH" hidden="1">"c805"</definedName>
    <definedName name="IQ_NON_INT_INC_3YR_ANN_CAGR" hidden="1">"c6117"</definedName>
    <definedName name="IQ_NON_INT_INC_3YR_ANN_GROWTH" hidden="1">"c806"</definedName>
    <definedName name="IQ_NON_INT_INC_5YR_ANN_CAGR" hidden="1">"c6118"</definedName>
    <definedName name="IQ_NON_INT_INC_5YR_ANN_GROWTH" hidden="1">"c807"</definedName>
    <definedName name="IQ_NON_INT_INC_7YR_ANN_CAGR" hidden="1">"c6119"</definedName>
    <definedName name="IQ_NON_INT_INC_7YR_ANN_GROWTH" hidden="1">"c808"</definedName>
    <definedName name="IQ_NON_INT_INC_AVG_ASSETS_FFIEC" hidden="1">"c13359"</definedName>
    <definedName name="IQ_NON_INT_INC_BNK_AP" hidden="1">"c8876"</definedName>
    <definedName name="IQ_NON_INT_INC_BNK_AP_ABS" hidden="1">"c8895"</definedName>
    <definedName name="IQ_NON_INT_INC_BNK_NAME_AP" hidden="1">"c8914"</definedName>
    <definedName name="IQ_NON_INT_INC_BNK_NAME_AP_ABS" hidden="1">"c8933"</definedName>
    <definedName name="IQ_NON_INT_INC_BNK_SUBTOTAL_AP" hidden="1">"c8980"</definedName>
    <definedName name="IQ_NON_INT_INC_FDIC" hidden="1">"c6575"</definedName>
    <definedName name="IQ_NON_INT_INC_OPERATING_INC_FFIEC" hidden="1">"c13382"</definedName>
    <definedName name="IQ_NON_INT_INCOME_AVG_ASSET" hidden="1">"c15707"</definedName>
    <definedName name="IQ_NON_INT_INCOME_FFIEC" hidden="1">"c13017"</definedName>
    <definedName name="IQ_NON_INTEREST_EXP" hidden="1">"c801"</definedName>
    <definedName name="IQ_NON_INTEREST_INC" hidden="1">"c802"</definedName>
    <definedName name="IQ_NON_OPER_EXP" hidden="1">"c809"</definedName>
    <definedName name="IQ_NON_OPER_INC" hidden="1">"c810"</definedName>
    <definedName name="IQ_NON_PERF_ASSETS_10YR_ANN_CAGR" hidden="1">"c6120"</definedName>
    <definedName name="IQ_NON_PERF_ASSETS_10YR_ANN_GROWTH" hidden="1">"c811"</definedName>
    <definedName name="IQ_NON_PERF_ASSETS_1YR_ANN_GROWTH" hidden="1">"c812"</definedName>
    <definedName name="IQ_NON_PERF_ASSETS_2YR_ANN_CAGR" hidden="1">"c6121"</definedName>
    <definedName name="IQ_NON_PERF_ASSETS_2YR_ANN_GROWTH" hidden="1">"c813"</definedName>
    <definedName name="IQ_NON_PERF_ASSETS_3YR_ANN_CAGR" hidden="1">"c6122"</definedName>
    <definedName name="IQ_NON_PERF_ASSETS_3YR_ANN_GROWTH" hidden="1">"c814"</definedName>
    <definedName name="IQ_NON_PERF_ASSETS_5YR_ANN_CAGR" hidden="1">"c6123"</definedName>
    <definedName name="IQ_NON_PERF_ASSETS_5YR_ANN_GROWTH" hidden="1">"c815"</definedName>
    <definedName name="IQ_NON_PERF_ASSETS_7YR_ANN_CAGR" hidden="1">"c6124"</definedName>
    <definedName name="IQ_NON_PERF_ASSETS_7YR_ANN_GROWTH" hidden="1">"c816"</definedName>
    <definedName name="IQ_NON_PERF_ASSETS_EQUITY" hidden="1">"c15702"</definedName>
    <definedName name="IQ_NON_PERF_ASSETS_LOANS_OREO" hidden="1">"c15701"</definedName>
    <definedName name="IQ_NON_PERF_ASSETS_TOTAL_ASSETS" hidden="1">"c817"</definedName>
    <definedName name="IQ_NON_PERF_LOANS_10YR_ANN_CAGR" hidden="1">"c6125"</definedName>
    <definedName name="IQ_NON_PERF_LOANS_10YR_ANN_GROWTH" hidden="1">"c818"</definedName>
    <definedName name="IQ_NON_PERF_LOANS_1YR_ANN_GROWTH" hidden="1">"c819"</definedName>
    <definedName name="IQ_NON_PERF_LOANS_2YR_ANN_CAGR" hidden="1">"c6126"</definedName>
    <definedName name="IQ_NON_PERF_LOANS_2YR_ANN_GROWTH" hidden="1">"c820"</definedName>
    <definedName name="IQ_NON_PERF_LOANS_3YR_ANN_CAGR" hidden="1">"c6127"</definedName>
    <definedName name="IQ_NON_PERF_LOANS_3YR_ANN_GROWTH" hidden="1">"c821"</definedName>
    <definedName name="IQ_NON_PERF_LOANS_5YR_ANN_CAGR" hidden="1">"c6128"</definedName>
    <definedName name="IQ_NON_PERF_LOANS_5YR_ANN_GROWTH" hidden="1">"c822"</definedName>
    <definedName name="IQ_NON_PERF_LOANS_7YR_ANN_CAGR" hidden="1">"c6129"</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ASSETS_FFIEC" hidden="1">"c13859"</definedName>
    <definedName name="IQ_NON_PERFORMING_LOANS" hidden="1">"c827"</definedName>
    <definedName name="IQ_NON_PERFORMING_LOANS_FFIEC" hidden="1">"c13861"</definedName>
    <definedName name="IQ_NON_RE_DA" hidden="1">"c16179"</definedName>
    <definedName name="IQ_NON_RENTAL_NOI" hidden="1">"c16066"</definedName>
    <definedName name="IQ_NON_RENTAL_OPERATING_EXPENSE" hidden="1">"c16046"</definedName>
    <definedName name="IQ_NON_US_ADDRESS_LEASE_FIN_REC_FFIEC" hidden="1">"c13625"</definedName>
    <definedName name="IQ_NON_US_ADDRESSEES_TOTAL_LOANS_FOREIGN_FDIC" hidden="1">"c6443"</definedName>
    <definedName name="IQ_NON_US_CHARGE_OFFS_AND_RECOVERIES_FDIC" hidden="1">"c6650"</definedName>
    <definedName name="IQ_NON_US_CHARGE_OFFS_FDIC" hidden="1">"c6648"</definedName>
    <definedName name="IQ_NON_US_COMMERCIAL_INDUSTRIAL_CHARGE_OFFS_FDIC" hidden="1">"c6651"</definedName>
    <definedName name="IQ_NON_US_NET_LOANS_FDIC" hidden="1">"c6376"</definedName>
    <definedName name="IQ_NON_US_RECOVERIES_FDIC" hidden="1">"c6649"</definedName>
    <definedName name="IQ_NONCASH_INCOME_AMORT_CLOSED_END_LOANS_FFIEC" hidden="1">"c13078"</definedName>
    <definedName name="IQ_NONCASH_PENSION_EXP" hidden="1">"c3000"</definedName>
    <definedName name="IQ_NONCORE_ASSETS_TOT_FFIEC" hidden="1">"c13443"</definedName>
    <definedName name="IQ_NONCURRENT_LOANS_1_4_FAMILY_FDIC" hidden="1">"c6770"</definedName>
    <definedName name="IQ_NONCURRENT_LOANS_COMMERCIAL_INDUSTRIAL_FDIC" hidden="1">"c6773"</definedName>
    <definedName name="IQ_NONCURRENT_LOANS_COMMERCIAL_RE_FDIC" hidden="1">"c6768"</definedName>
    <definedName name="IQ_NONCURRENT_LOANS_COMMERCIAL_RE_NOT_SECURED_FDIC" hidden="1">"c6778"</definedName>
    <definedName name="IQ_NONCURRENT_LOANS_CONSTRUCTION_LAND_DEV_FDIC" hidden="1">"c6767"</definedName>
    <definedName name="IQ_NONCURRENT_LOANS_CREDIT_CARD_FDIC" hidden="1">"c6775"</definedName>
    <definedName name="IQ_NONCURRENT_LOANS_GUARANTEED_FDIC" hidden="1">"c6358"</definedName>
    <definedName name="IQ_NONCURRENT_LOANS_HOME_EQUITY_FDIC" hidden="1">"c6771"</definedName>
    <definedName name="IQ_NONCURRENT_LOANS_INDIVIDUALS_FDIC" hidden="1">"c6774"</definedName>
    <definedName name="IQ_NONCURRENT_LOANS_LEASES_FDIC" hidden="1">"c6357"</definedName>
    <definedName name="IQ_NONCURRENT_LOANS_MULTIFAMILY_FDIC" hidden="1">"c6769"</definedName>
    <definedName name="IQ_NONCURRENT_LOANS_OTHER_FAMILY_FDIC" hidden="1">"c6772"</definedName>
    <definedName name="IQ_NONCURRENT_LOANS_OTHER_INDIVIDUAL_FDIC" hidden="1">"c6776"</definedName>
    <definedName name="IQ_NONCURRENT_LOANS_OTHER_LOANS_FDIC" hidden="1">"c6777"</definedName>
    <definedName name="IQ_NONCURRENT_LOANS_RE_FDIC" hidden="1">"c6766"</definedName>
    <definedName name="IQ_NONCURRENT_LOANS_TOTAL_LOANS_FDIC" hidden="1">"c6765"</definedName>
    <definedName name="IQ_NONCURRENT_OREO_ASSETS_FDIC" hidden="1">"c6741"</definedName>
    <definedName name="IQ_NONDEF_CAPITAL_GOODS_ORDERS" hidden="1">"c6932"</definedName>
    <definedName name="IQ_NONDEF_CAPITAL_GOODS_ORDERS_APR" hidden="1">"c7592"</definedName>
    <definedName name="IQ_NONDEF_CAPITAL_GOODS_ORDERS_APR_FC" hidden="1">"c8472"</definedName>
    <definedName name="IQ_NONDEF_CAPITAL_GOODS_ORDERS_FC" hidden="1">"c7812"</definedName>
    <definedName name="IQ_NONDEF_CAPITAL_GOODS_ORDERS_POP" hidden="1">"c7152"</definedName>
    <definedName name="IQ_NONDEF_CAPITAL_GOODS_ORDERS_POP_FC" hidden="1">"c8032"</definedName>
    <definedName name="IQ_NONDEF_CAPITAL_GOODS_ORDERS_YOY" hidden="1">"c7372"</definedName>
    <definedName name="IQ_NONDEF_CAPITAL_GOODS_ORDERS_YOY_FC" hidden="1">"c8252"</definedName>
    <definedName name="IQ_NONDEF_CAPITAL_GOODS_SHIPMENTS" hidden="1">"c6933"</definedName>
    <definedName name="IQ_NONDEF_CAPITAL_GOODS_SHIPMENTS_APR" hidden="1">"c7593"</definedName>
    <definedName name="IQ_NONDEF_CAPITAL_GOODS_SHIPMENTS_APR_FC" hidden="1">"c8473"</definedName>
    <definedName name="IQ_NONDEF_CAPITAL_GOODS_SHIPMENTS_FC" hidden="1">"c7813"</definedName>
    <definedName name="IQ_NONDEF_CAPITAL_GOODS_SHIPMENTS_POP" hidden="1">"c7153"</definedName>
    <definedName name="IQ_NONDEF_CAPITAL_GOODS_SHIPMENTS_POP_FC" hidden="1">"c8033"</definedName>
    <definedName name="IQ_NONDEF_CAPITAL_GOODS_SHIPMENTS_YOY" hidden="1">"c7373"</definedName>
    <definedName name="IQ_NONDEF_CAPITAL_GOODS_SHIPMENTS_YOY_FC" hidden="1">"c8253"</definedName>
    <definedName name="IQ_NONDEF_SPENDING_SAAR" hidden="1">"c6934"</definedName>
    <definedName name="IQ_NONDEF_SPENDING_SAAR_APR" hidden="1">"c7594"</definedName>
    <definedName name="IQ_NONDEF_SPENDING_SAAR_APR_FC" hidden="1">"c8474"</definedName>
    <definedName name="IQ_NONDEF_SPENDING_SAAR_FC" hidden="1">"c7814"</definedName>
    <definedName name="IQ_NONDEF_SPENDING_SAAR_POP" hidden="1">"c7154"</definedName>
    <definedName name="IQ_NONDEF_SPENDING_SAAR_POP_FC" hidden="1">"c8034"</definedName>
    <definedName name="IQ_NONDEF_SPENDING_SAAR_YOY" hidden="1">"c7374"</definedName>
    <definedName name="IQ_NONDEF_SPENDING_SAAR_YOY_FC" hidden="1">"c8254"</definedName>
    <definedName name="IQ_NONFARM_EMP_HRS_PCT_CHANGE" hidden="1">"c6935"</definedName>
    <definedName name="IQ_NONFARM_EMP_HRS_PCT_CHANGE_FC" hidden="1">"c7815"</definedName>
    <definedName name="IQ_NONFARM_EMP_HRS_PCT_CHANGE_POP" hidden="1">"c7155"</definedName>
    <definedName name="IQ_NONFARM_EMP_HRS_PCT_CHANGE_POP_FC" hidden="1">"c8035"</definedName>
    <definedName name="IQ_NONFARM_EMP_HRS_PCT_CHANGE_YOY" hidden="1">"c7375"</definedName>
    <definedName name="IQ_NONFARM_EMP_HRS_PCT_CHANGE_YOY_FC" hidden="1">"c8255"</definedName>
    <definedName name="IQ_NONFARM_NONRES_DOM_FFIEC" hidden="1">"c15271"</definedName>
    <definedName name="IQ_NONFARM_NONRES_GROSS_LOANS_FFIEC" hidden="1">"c13405"</definedName>
    <definedName name="IQ_NONFARM_NONRES_LL_REC_DOM_FFIEC" hidden="1">"c13626"</definedName>
    <definedName name="IQ_NONFARM_NONRES_RISK_BASED_FFIEC" hidden="1">"c13426"</definedName>
    <definedName name="IQ_NONFARM_OUTPUT_PER_HR" hidden="1">"c6936"</definedName>
    <definedName name="IQ_NONFARM_OUTPUT_PER_HR_APR" hidden="1">"c7596"</definedName>
    <definedName name="IQ_NONFARM_OUTPUT_PER_HR_APR_FC" hidden="1">"c8476"</definedName>
    <definedName name="IQ_NONFARM_OUTPUT_PER_HR_FC" hidden="1">"c7816"</definedName>
    <definedName name="IQ_NONFARM_OUTPUT_PER_HR_POP" hidden="1">"c7156"</definedName>
    <definedName name="IQ_NONFARM_OUTPUT_PER_HR_POP_FC" hidden="1">"c8036"</definedName>
    <definedName name="IQ_NONFARM_OUTPUT_PER_HR_YOY" hidden="1">"c7376"</definedName>
    <definedName name="IQ_NONFARM_OUTPUT_PER_HR_YOY_FC" hidden="1">"c8256"</definedName>
    <definedName name="IQ_NONFARM_PAYROLLS" hidden="1">"c6926"</definedName>
    <definedName name="IQ_NONFARM_PAYROLLS_APR" hidden="1">"c7586"</definedName>
    <definedName name="IQ_NONFARM_PAYROLLS_APR_FC" hidden="1">"c8466"</definedName>
    <definedName name="IQ_NONFARM_PAYROLLS_FC" hidden="1">"c7806"</definedName>
    <definedName name="IQ_NONFARM_PAYROLLS_POP" hidden="1">"c7146"</definedName>
    <definedName name="IQ_NONFARM_PAYROLLS_POP_FC" hidden="1">"c8026"</definedName>
    <definedName name="IQ_NONFARM_PAYROLLS_YOY" hidden="1">"c7366"</definedName>
    <definedName name="IQ_NONFARM_PAYROLLS_YOY_FC" hidden="1">"c8246"</definedName>
    <definedName name="IQ_NONFARM_TOTAL_HR_INDEX" hidden="1">"c6937"</definedName>
    <definedName name="IQ_NONFARM_TOTAL_HR_INDEX_APR" hidden="1">"c7597"</definedName>
    <definedName name="IQ_NONFARM_TOTAL_HR_INDEX_APR_FC" hidden="1">"c8477"</definedName>
    <definedName name="IQ_NONFARM_TOTAL_HR_INDEX_FC" hidden="1">"c7817"</definedName>
    <definedName name="IQ_NONFARM_TOTAL_HR_INDEX_POP" hidden="1">"c7157"</definedName>
    <definedName name="IQ_NONFARM_TOTAL_HR_INDEX_POP_FC" hidden="1">"c8037"</definedName>
    <definedName name="IQ_NONFARM_TOTAL_HR_INDEX_YOY" hidden="1">"c7377"</definedName>
    <definedName name="IQ_NONFARM_TOTAL_HR_INDEX_YOY_FC" hidden="1">"c8257"</definedName>
    <definedName name="IQ_NONFARM_WAGES" hidden="1">"c6938"</definedName>
    <definedName name="IQ_NONFARM_WAGES_APR" hidden="1">"c7598"</definedName>
    <definedName name="IQ_NONFARM_WAGES_APR_FC" hidden="1">"c8478"</definedName>
    <definedName name="IQ_NONFARM_WAGES_FC" hidden="1">"c7818"</definedName>
    <definedName name="IQ_NONFARM_WAGES_INDEX" hidden="1">"c6939"</definedName>
    <definedName name="IQ_NONFARM_WAGES_INDEX_APR" hidden="1">"c7599"</definedName>
    <definedName name="IQ_NONFARM_WAGES_INDEX_APR_FC" hidden="1">"c8479"</definedName>
    <definedName name="IQ_NONFARM_WAGES_INDEX_FC" hidden="1">"c7819"</definedName>
    <definedName name="IQ_NONFARM_WAGES_INDEX_POP" hidden="1">"c7159"</definedName>
    <definedName name="IQ_NONFARM_WAGES_INDEX_POP_FC" hidden="1">"c8039"</definedName>
    <definedName name="IQ_NONFARM_WAGES_INDEX_YOY" hidden="1">"c7379"</definedName>
    <definedName name="IQ_NONFARM_WAGES_INDEX_YOY_FC" hidden="1">"c8259"</definedName>
    <definedName name="IQ_NONFARM_WAGES_POP" hidden="1">"c7158"</definedName>
    <definedName name="IQ_NONFARM_WAGES_POP_FC" hidden="1">"c8038"</definedName>
    <definedName name="IQ_NONFARM_WAGES_YOY" hidden="1">"c7378"</definedName>
    <definedName name="IQ_NONFARM_WAGES_YOY_FC" hidden="1">"c8258"</definedName>
    <definedName name="IQ_NONINTEREST_BEARING_BALANCES_FDIC" hidden="1">"c6394"</definedName>
    <definedName name="IQ_NONINTEREST_BEARING_CASH_FFIEC" hidden="1">"c12774"</definedName>
    <definedName name="IQ_NONINTEREST_BEARING_DEPOSITS_DOMESTIC_FDIC" hidden="1">"c6477"</definedName>
    <definedName name="IQ_NONINTEREST_BEARING_DEPOSITS_FOREIGN_FDIC" hidden="1">"c6484"</definedName>
    <definedName name="IQ_NONINTEREST_EXPENSE_EARNING_ASSETS_FDIC" hidden="1">"c6728"</definedName>
    <definedName name="IQ_NONINTEREST_INC_FOREIGN_FFIEC" hidden="1">"c15376"</definedName>
    <definedName name="IQ_NONINTEREST_INCOME_EARNING_ASSETS_FDIC" hidden="1">"c6727"</definedName>
    <definedName name="IQ_NONMORTGAGE_SERVICING_FDIC" hidden="1">"c6336"</definedName>
    <definedName name="IQ_NONQUALIFYING_PREFERRED_T1_FFIEC" hidden="1">"c13134"</definedName>
    <definedName name="IQ_NONRECOURSE_DEBT" hidden="1">"c2550"</definedName>
    <definedName name="IQ_NONRECOURSE_DEBT_PCT" hidden="1">"c2551"</definedName>
    <definedName name="IQ_NONRES_FIXED_INVEST" hidden="1">"c6931"</definedName>
    <definedName name="IQ_NONRES_FIXED_INVEST_APR" hidden="1">"c7591"</definedName>
    <definedName name="IQ_NONRES_FIXED_INVEST_POP" hidden="1">"c7151"</definedName>
    <definedName name="IQ_NONRES_FIXED_INVEST_PRIV_APR_FC_UNUSED" hidden="1">"c8468"</definedName>
    <definedName name="IQ_NONRES_FIXED_INVEST_PRIV_APR_FC_UNUSED_UNUSED_UNUSED" hidden="1">"c8468"</definedName>
    <definedName name="IQ_NONRES_FIXED_INVEST_PRIV_APR_UNUSED" hidden="1">"c7588"</definedName>
    <definedName name="IQ_NONRES_FIXED_INVEST_PRIV_APR_UNUSED_UNUSED_UNUSED" hidden="1">"c7588"</definedName>
    <definedName name="IQ_NONRES_FIXED_INVEST_PRIV_FC_UNUSED" hidden="1">"c7808"</definedName>
    <definedName name="IQ_NONRES_FIXED_INVEST_PRIV_FC_UNUSED_UNUSED_UNUSED" hidden="1">"c7808"</definedName>
    <definedName name="IQ_NONRES_FIXED_INVEST_PRIV_POP_FC_UNUSED" hidden="1">"c8028"</definedName>
    <definedName name="IQ_NONRES_FIXED_INVEST_PRIV_POP_FC_UNUSED_UNUSED_UNUSED" hidden="1">"c8028"</definedName>
    <definedName name="IQ_NONRES_FIXED_INVEST_PRIV_POP_UNUSED" hidden="1">"c7148"</definedName>
    <definedName name="IQ_NONRES_FIXED_INVEST_PRIV_POP_UNUSED_UNUSED_UNUSED" hidden="1">"c7148"</definedName>
    <definedName name="IQ_NONRES_FIXED_INVEST_PRIV_REAL" hidden="1">"c6989"</definedName>
    <definedName name="IQ_NONRES_FIXED_INVEST_PRIV_REAL_APR" hidden="1">"c7649"</definedName>
    <definedName name="IQ_NONRES_FIXED_INVEST_PRIV_REAL_APR_FC" hidden="1">"c8529"</definedName>
    <definedName name="IQ_NONRES_FIXED_INVEST_PRIV_REAL_FC" hidden="1">"c7869"</definedName>
    <definedName name="IQ_NONRES_FIXED_INVEST_PRIV_REAL_POP" hidden="1">"c7209"</definedName>
    <definedName name="IQ_NONRES_FIXED_INVEST_PRIV_REAL_POP_FC" hidden="1">"c8089"</definedName>
    <definedName name="IQ_NONRES_FIXED_INVEST_PRIV_REAL_SAAR" hidden="1">"c6990"</definedName>
    <definedName name="IQ_NONRES_FIXED_INVEST_PRIV_REAL_SAAR_APR" hidden="1">"c7650"</definedName>
    <definedName name="IQ_NONRES_FIXED_INVEST_PRIV_REAL_SAAR_APR_FC" hidden="1">"c8530"</definedName>
    <definedName name="IQ_NONRES_FIXED_INVEST_PRIV_REAL_SAAR_FC" hidden="1">"c7870"</definedName>
    <definedName name="IQ_NONRES_FIXED_INVEST_PRIV_REAL_SAAR_POP" hidden="1">"c7210"</definedName>
    <definedName name="IQ_NONRES_FIXED_INVEST_PRIV_REAL_SAAR_POP_FC" hidden="1">"c8090"</definedName>
    <definedName name="IQ_NONRES_FIXED_INVEST_PRIV_REAL_SAAR_USD_APR_FC" hidden="1">"c11981"</definedName>
    <definedName name="IQ_NONRES_FIXED_INVEST_PRIV_REAL_SAAR_USD_FC" hidden="1">"c11978"</definedName>
    <definedName name="IQ_NONRES_FIXED_INVEST_PRIV_REAL_SAAR_USD_POP_FC" hidden="1">"c11979"</definedName>
    <definedName name="IQ_NONRES_FIXED_INVEST_PRIV_REAL_SAAR_USD_YOY_FC" hidden="1">"c11980"</definedName>
    <definedName name="IQ_NONRES_FIXED_INVEST_PRIV_REAL_SAAR_YOY" hidden="1">"c7430"</definedName>
    <definedName name="IQ_NONRES_FIXED_INVEST_PRIV_REAL_SAAR_YOY_FC" hidden="1">"c8310"</definedName>
    <definedName name="IQ_NONRES_FIXED_INVEST_PRIV_REAL_USD_APR_FC" hidden="1">"c11977"</definedName>
    <definedName name="IQ_NONRES_FIXED_INVEST_PRIV_REAL_USD_FC" hidden="1">"c11974"</definedName>
    <definedName name="IQ_NONRES_FIXED_INVEST_PRIV_REAL_USD_POP_FC" hidden="1">"c11975"</definedName>
    <definedName name="IQ_NONRES_FIXED_INVEST_PRIV_REAL_USD_YOY_FC" hidden="1">"c11976"</definedName>
    <definedName name="IQ_NONRES_FIXED_INVEST_PRIV_REAL_YOY" hidden="1">"c7429"</definedName>
    <definedName name="IQ_NONRES_FIXED_INVEST_PRIV_REAL_YOY_FC" hidden="1">"c8309"</definedName>
    <definedName name="IQ_NONRES_FIXED_INVEST_PRIV_SAAR" hidden="1">"c6929"</definedName>
    <definedName name="IQ_NONRES_FIXED_INVEST_PRIV_SAAR_APR" hidden="1">"c7589"</definedName>
    <definedName name="IQ_NONRES_FIXED_INVEST_PRIV_SAAR_APR_FC" hidden="1">"c8469"</definedName>
    <definedName name="IQ_NONRES_FIXED_INVEST_PRIV_SAAR_FC" hidden="1">"c7809"</definedName>
    <definedName name="IQ_NONRES_FIXED_INVEST_PRIV_SAAR_POP" hidden="1">"c7149"</definedName>
    <definedName name="IQ_NONRES_FIXED_INVEST_PRIV_SAAR_POP_FC" hidden="1">"c8029"</definedName>
    <definedName name="IQ_NONRES_FIXED_INVEST_PRIV_SAAR_USD_APR_FC" hidden="1">"c11877"</definedName>
    <definedName name="IQ_NONRES_FIXED_INVEST_PRIV_SAAR_USD_FC" hidden="1">"c11874"</definedName>
    <definedName name="IQ_NONRES_FIXED_INVEST_PRIV_SAAR_USD_POP_FC" hidden="1">"c11875"</definedName>
    <definedName name="IQ_NONRES_FIXED_INVEST_PRIV_SAAR_USD_YOY_FC" hidden="1">"c11876"</definedName>
    <definedName name="IQ_NONRES_FIXED_INVEST_PRIV_SAAR_YOY" hidden="1">"c7369"</definedName>
    <definedName name="IQ_NONRES_FIXED_INVEST_PRIV_SAAR_YOY_FC" hidden="1">"c8249"</definedName>
    <definedName name="IQ_NONRES_FIXED_INVEST_PRIV_UNUSED" hidden="1">"c6928"</definedName>
    <definedName name="IQ_NONRES_FIXED_INVEST_PRIV_UNUSED_UNUSED_UNUSED" hidden="1">"c6928"</definedName>
    <definedName name="IQ_NONRES_FIXED_INVEST_PRIV_USD_APR_FC" hidden="1">"c11873"</definedName>
    <definedName name="IQ_NONRES_FIXED_INVEST_PRIV_USD_FC" hidden="1">"c11870"</definedName>
    <definedName name="IQ_NONRES_FIXED_INVEST_PRIV_USD_POP_FC" hidden="1">"c11871"</definedName>
    <definedName name="IQ_NONRES_FIXED_INVEST_PRIV_USD_YOY_FC" hidden="1">"c11872"</definedName>
    <definedName name="IQ_NONRES_FIXED_INVEST_PRIV_YOY_FC_UNUSED" hidden="1">"c8248"</definedName>
    <definedName name="IQ_NONRES_FIXED_INVEST_PRIV_YOY_FC_UNUSED_UNUSED_UNUSED" hidden="1">"c8248"</definedName>
    <definedName name="IQ_NONRES_FIXED_INVEST_PRIV_YOY_UNUSED" hidden="1">"c7368"</definedName>
    <definedName name="IQ_NONRES_FIXED_INVEST_PRIV_YOY_UNUSED_UNUSED_UNUSED" hidden="1">"c7368"</definedName>
    <definedName name="IQ_NONRES_FIXED_INVEST_REAL" hidden="1">"c6993"</definedName>
    <definedName name="IQ_NONRES_FIXED_INVEST_REAL_APR" hidden="1">"c7653"</definedName>
    <definedName name="IQ_NONRES_FIXED_INVEST_REAL_POP" hidden="1">"c7213"</definedName>
    <definedName name="IQ_NONRES_FIXED_INVEST_REAL_SAAR" hidden="1">"c6987"</definedName>
    <definedName name="IQ_NONRES_FIXED_INVEST_REAL_SAAR_APR" hidden="1">"c7647"</definedName>
    <definedName name="IQ_NONRES_FIXED_INVEST_REAL_SAAR_APR_FC" hidden="1">"c8527"</definedName>
    <definedName name="IQ_NONRES_FIXED_INVEST_REAL_SAAR_FC" hidden="1">"c7867"</definedName>
    <definedName name="IQ_NONRES_FIXED_INVEST_REAL_SAAR_POP" hidden="1">"c7207"</definedName>
    <definedName name="IQ_NONRES_FIXED_INVEST_REAL_SAAR_POP_FC" hidden="1">"c8087"</definedName>
    <definedName name="IQ_NONRES_FIXED_INVEST_REAL_SAAR_YOY" hidden="1">"c7427"</definedName>
    <definedName name="IQ_NONRES_FIXED_INVEST_REAL_SAAR_YOY_FC" hidden="1">"c8307"</definedName>
    <definedName name="IQ_NONRES_FIXED_INVEST_REAL_USD_APR_FC" hidden="1">"c11973"</definedName>
    <definedName name="IQ_NONRES_FIXED_INVEST_REAL_USD_FC" hidden="1">"c11970"</definedName>
    <definedName name="IQ_NONRES_FIXED_INVEST_REAL_USD_POP_FC" hidden="1">"c11971"</definedName>
    <definedName name="IQ_NONRES_FIXED_INVEST_REAL_USD_YOY_FC" hidden="1">"c11972"</definedName>
    <definedName name="IQ_NONRES_FIXED_INVEST_REAL_YOY" hidden="1">"c7433"</definedName>
    <definedName name="IQ_NONRES_FIXED_INVEST_STRUCT" hidden="1">"c6930"</definedName>
    <definedName name="IQ_NONRES_FIXED_INVEST_STRUCT_APR" hidden="1">"c7590"</definedName>
    <definedName name="IQ_NONRES_FIXED_INVEST_STRUCT_APR_FC" hidden="1">"c8470"</definedName>
    <definedName name="IQ_NONRES_FIXED_INVEST_STRUCT_FC" hidden="1">"c7810"</definedName>
    <definedName name="IQ_NONRES_FIXED_INVEST_STRUCT_POP" hidden="1">"c7150"</definedName>
    <definedName name="IQ_NONRES_FIXED_INVEST_STRUCT_POP_FC" hidden="1">"c8030"</definedName>
    <definedName name="IQ_NONRES_FIXED_INVEST_STRUCT_REAL" hidden="1">"c6992"</definedName>
    <definedName name="IQ_NONRES_FIXED_INVEST_STRUCT_REAL_APR" hidden="1">"c7652"</definedName>
    <definedName name="IQ_NONRES_FIXED_INVEST_STRUCT_REAL_APR_FC" hidden="1">"c8532"</definedName>
    <definedName name="IQ_NONRES_FIXED_INVEST_STRUCT_REAL_FC" hidden="1">"c7872"</definedName>
    <definedName name="IQ_NONRES_FIXED_INVEST_STRUCT_REAL_POP" hidden="1">"c7212"</definedName>
    <definedName name="IQ_NONRES_FIXED_INVEST_STRUCT_REAL_POP_FC" hidden="1">"c8092"</definedName>
    <definedName name="IQ_NONRES_FIXED_INVEST_STRUCT_REAL_SAAR" hidden="1">"c6991"</definedName>
    <definedName name="IQ_NONRES_FIXED_INVEST_STRUCT_REAL_SAAR_APR" hidden="1">"c7651"</definedName>
    <definedName name="IQ_NONRES_FIXED_INVEST_STRUCT_REAL_SAAR_APR_FC" hidden="1">"c8531"</definedName>
    <definedName name="IQ_NONRES_FIXED_INVEST_STRUCT_REAL_SAAR_FC" hidden="1">"c7871"</definedName>
    <definedName name="IQ_NONRES_FIXED_INVEST_STRUCT_REAL_SAAR_POP" hidden="1">"c7211"</definedName>
    <definedName name="IQ_NONRES_FIXED_INVEST_STRUCT_REAL_SAAR_POP_FC" hidden="1">"c8091"</definedName>
    <definedName name="IQ_NONRES_FIXED_INVEST_STRUCT_REAL_SAAR_YOY" hidden="1">"c7431"</definedName>
    <definedName name="IQ_NONRES_FIXED_INVEST_STRUCT_REAL_SAAR_YOY_FC" hidden="1">"c8311"</definedName>
    <definedName name="IQ_NONRES_FIXED_INVEST_STRUCT_REAL_USD_APR_FC" hidden="1">"c11985"</definedName>
    <definedName name="IQ_NONRES_FIXED_INVEST_STRUCT_REAL_USD_FC" hidden="1">"c11982"</definedName>
    <definedName name="IQ_NONRES_FIXED_INVEST_STRUCT_REAL_USD_POP_FC" hidden="1">"c11983"</definedName>
    <definedName name="IQ_NONRES_FIXED_INVEST_STRUCT_REAL_USD_YOY_FC" hidden="1">"c11984"</definedName>
    <definedName name="IQ_NONRES_FIXED_INVEST_STRUCT_REAL_YOY" hidden="1">"c7432"</definedName>
    <definedName name="IQ_NONRES_FIXED_INVEST_STRUCT_REAL_YOY_FC" hidden="1">"c8312"</definedName>
    <definedName name="IQ_NONRES_FIXED_INVEST_STRUCT_USD_APR_FC" hidden="1">"c11881"</definedName>
    <definedName name="IQ_NONRES_FIXED_INVEST_STRUCT_USD_FC" hidden="1">"c11878"</definedName>
    <definedName name="IQ_NONRES_FIXED_INVEST_STRUCT_USD_POP_FC" hidden="1">"c11879"</definedName>
    <definedName name="IQ_NONRES_FIXED_INVEST_STRUCT_USD_YOY_FC" hidden="1">"c11880"</definedName>
    <definedName name="IQ_NONRES_FIXED_INVEST_STRUCT_YOY" hidden="1">"c7370"</definedName>
    <definedName name="IQ_NONRES_FIXED_INVEST_STRUCT_YOY_FC" hidden="1">"c8250"</definedName>
    <definedName name="IQ_NONRES_FIXED_INVEST_USD_APR_FC" hidden="1">"c11869"</definedName>
    <definedName name="IQ_NONRES_FIXED_INVEST_USD_FC" hidden="1">"c11866"</definedName>
    <definedName name="IQ_NONRES_FIXED_INVEST_USD_POP_FC" hidden="1">"c11867"</definedName>
    <definedName name="IQ_NONRES_FIXED_INVEST_USD_YOY_FC" hidden="1">"c11868"</definedName>
    <definedName name="IQ_NONRES_FIXED_INVEST_YOY" hidden="1">"c7371"</definedName>
    <definedName name="IQ_NONTRADING_SECURITIES_FAIR_VALUE_TOT_FFIEC" hidden="1">"c13211"</definedName>
    <definedName name="IQ_NONTRADING_SECURITIES_LEVEL_1_FFIEC" hidden="1">"c13219"</definedName>
    <definedName name="IQ_NONTRADING_SECURITIES_LEVEL_2_FFIEC" hidden="1">"c13227"</definedName>
    <definedName name="IQ_NONTRADING_SECURITIES_LEVEL_3_FFIEC" hidden="1">"c13235"</definedName>
    <definedName name="IQ_NONTRANSACTION_ACCOUNTS_FDIC" hidden="1">"c6552"</definedName>
    <definedName name="IQ_NONUTIL_REV" hidden="1">"c2089"</definedName>
    <definedName name="IQ_NORM_EPS_ACT_OR_EST" hidden="1">"c2249"</definedName>
    <definedName name="IQ_NORM_EPS_ACT_OR_EST_CIQ" hidden="1">"c5069"</definedName>
    <definedName name="IQ_NORM_EPS_ACT_OR_EST_REUT" hidden="1">"c5472"</definedName>
    <definedName name="IQ_NORMAL_INC_AFTER" hidden="1">"c1605"</definedName>
    <definedName name="IQ_NORMAL_INC_AVAIL" hidden="1">"c1606"</definedName>
    <definedName name="IQ_NORMAL_INC_BEFORE" hidden="1">"c1607"</definedName>
    <definedName name="IQ_NOTES_PAY" hidden="1">"c1176"</definedName>
    <definedName name="IQ_NOTIONAL_AMOUNT_CREDIT_DERIVATIVES_FDIC" hidden="1">"c6507"</definedName>
    <definedName name="IQ_NOTIONAL_AMT_DERIVATIVES_BENEFICIARY_FFIEC" hidden="1">"c13118"</definedName>
    <definedName name="IQ_NOTIONAL_AMT_DERIVATIVES_GUARANTOR_FFIEC" hidden="1">"c13111"</definedName>
    <definedName name="IQ_NOTIONAL_VALUE_EXCHANGE_SWAPS_FDIC" hidden="1">"c6516"</definedName>
    <definedName name="IQ_NOTIONAL_VALUE_OTHER_SWAPS_FDIC" hidden="1">"c6521"</definedName>
    <definedName name="IQ_NOTIONAL_VALUE_RATE_SWAPS_FDIC" hidden="1">"c6511"</definedName>
    <definedName name="IQ_NOW_ACCOUNT" hidden="1">"c828"</definedName>
    <definedName name="IQ_NOW_ATS_ACCOUNTS_COMMERCIAL_BANK_SUBS_FFIEC" hidden="1">"c12946"</definedName>
    <definedName name="IQ_NOW_ATS_ACCOUNTS_OTHER_INSTITUTIONS_FFIEC" hidden="1">"c12951"</definedName>
    <definedName name="IQ_NOW_OTHER_TRANS_ACCTS_TOT_DEPOSITS_FFIEC" hidden="1">"c13903"</definedName>
    <definedName name="IQ_NPPE" hidden="1">"c829"</definedName>
    <definedName name="IQ_NPPE_10YR_ANN_CAGR" hidden="1">"c6130"</definedName>
    <definedName name="IQ_NPPE_10YR_ANN_GROWTH" hidden="1">"c830"</definedName>
    <definedName name="IQ_NPPE_1YR_ANN_GROWTH" hidden="1">"c831"</definedName>
    <definedName name="IQ_NPPE_2YR_ANN_CAGR" hidden="1">"c6131"</definedName>
    <definedName name="IQ_NPPE_2YR_ANN_GROWTH" hidden="1">"c832"</definedName>
    <definedName name="IQ_NPPE_3YR_ANN_CAGR" hidden="1">"c6132"</definedName>
    <definedName name="IQ_NPPE_3YR_ANN_GROWTH" hidden="1">"c833"</definedName>
    <definedName name="IQ_NPPE_5YR_ANN_CAGR" hidden="1">"c6133"</definedName>
    <definedName name="IQ_NPPE_5YR_ANN_GROWTH" hidden="1">"c834"</definedName>
    <definedName name="IQ_NPPE_7YR_ANN_CAGR" hidden="1">"c6134"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_CONTRIBUTORS" hidden="1">"c13739"</definedName>
    <definedName name="IQ_NUM_OFFICES" hidden="1">"c2088"</definedName>
    <definedName name="IQ_NUMBER_ADRHOLDERS" hidden="1">"c1970"</definedName>
    <definedName name="IQ_NUMBER_CELL_SITES" hidden="1">"c15762"</definedName>
    <definedName name="IQ_NUMBER_DAYS" hidden="1">"c1904"</definedName>
    <definedName name="IQ_NUMBER_DEPOSITS_LESS_THAN_100K_FDIC" hidden="1">"c6495"</definedName>
    <definedName name="IQ_NUMBER_DEPOSITS_MORE_THAN_100K_FDIC" hidden="1">"c6493"</definedName>
    <definedName name="IQ_NUMBER_MINES_ALUM" hidden="1">"c9248"</definedName>
    <definedName name="IQ_NUMBER_MINES_COAL" hidden="1">"c9822"</definedName>
    <definedName name="IQ_NUMBER_MINES_COP" hidden="1">"c9193"</definedName>
    <definedName name="IQ_NUMBER_MINES_DIAM" hidden="1">"c9672"</definedName>
    <definedName name="IQ_NUMBER_MINES_GOLD" hidden="1">"c9033"</definedName>
    <definedName name="IQ_NUMBER_MINES_IRON" hidden="1">"c9407"</definedName>
    <definedName name="IQ_NUMBER_MINES_LEAD" hidden="1">"c9460"</definedName>
    <definedName name="IQ_NUMBER_MINES_MANG" hidden="1">"c9513"</definedName>
    <definedName name="IQ_NUMBER_MINES_MOLYB" hidden="1">"c9725"</definedName>
    <definedName name="IQ_NUMBER_MINES_NICK" hidden="1">"c9301"</definedName>
    <definedName name="IQ_NUMBER_MINES_PLAT" hidden="1">"c9139"</definedName>
    <definedName name="IQ_NUMBER_MINES_SILVER" hidden="1">"c9086"</definedName>
    <definedName name="IQ_NUMBER_MINES_TITAN" hidden="1">"c9566"</definedName>
    <definedName name="IQ_NUMBER_MINES_URAN" hidden="1">"c9619"</definedName>
    <definedName name="IQ_NUMBER_MINES_ZINC" hidden="1">"c9354"</definedName>
    <definedName name="IQ_NUMBER_SHAREHOLDERS" hidden="1">"c1967"</definedName>
    <definedName name="IQ_NUMBER_SHAREHOLDERS_CLASSA" hidden="1">"c1968"</definedName>
    <definedName name="IQ_NUMBER_SHAREHOLDERS_CLASSB" hidden="1">"c1969"</definedName>
    <definedName name="IQ_NUMBER_SHAREHOLDERS_OTHER" hidden="1">"c1969"</definedName>
    <definedName name="IQ_NUMBER_WIRELESS_TOWERS" hidden="1">"c15766"</definedName>
    <definedName name="IQ_OBLIGATION_STATES_POLI_SUBD_US_LL_REC_DOM_FFIEC" hidden="1">"c15295"</definedName>
    <definedName name="IQ_OBLIGATION_STATES_POLI_SUBD_US_LL_REC_FFIEC" hidden="1">"c15294"</definedName>
    <definedName name="IQ_OBLIGATIONS_OF_STATES_TOTAL_LOANS_FOREIGN_FDIC" hidden="1">"c6447"</definedName>
    <definedName name="IQ_OBLIGATIONS_STATES_FDIC" hidden="1">"c6431"</definedName>
    <definedName name="IQ_OCCUPANCY_CONSOL" hidden="1">"c8840"</definedName>
    <definedName name="IQ_OCCUPANCY_EXP_AVG_ASSETS_FFIEC" hidden="1">"c13372"</definedName>
    <definedName name="IQ_OCCUPANCY_EXP_OPERATING_INC_FFIEC" hidden="1">"c13380"</definedName>
    <definedName name="IQ_OCCUPANCY_MANAGED" hidden="1">"c8842"</definedName>
    <definedName name="IQ_OCCUPANCY_OTHER" hidden="1">"c8843"</definedName>
    <definedName name="IQ_OCCUPANCY_SAME_PROP" hidden="1">"c8845"</definedName>
    <definedName name="IQ_OCCUPANCY_TOTAL" hidden="1">"c8844"</definedName>
    <definedName name="IQ_OCCUPANCY_UNCONSOL" hidden="1">"c8841"</definedName>
    <definedName name="IQ_OCCUPY_EXP" hidden="1">"c839"</definedName>
    <definedName name="IQ_OECD_LEAD_INDICATOR" hidden="1">"c20953"</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GAS_EQUIV_PRODUCTION_MMCFE" hidden="1">"c10061"</definedName>
    <definedName name="IQ_OG_AVG_DAILY_OIL_EQUIV_PRODUCTION_KBOE" hidden="1">"c10060"</definedName>
    <definedName name="IQ_OG_AVG_DAILY_PROD_GAS" hidden="1">"c2910"</definedName>
    <definedName name="IQ_OG_AVG_DAILY_PROD_NGL" hidden="1">"c2911"</definedName>
    <definedName name="IQ_OG_AVG_DAILY_PROD_OIL" hidden="1">"c2909"</definedName>
    <definedName name="IQ_OG_AVG_DAILY_PRODUCTION_GAS_MMCM" hidden="1">"c10059"</definedName>
    <definedName name="IQ_OG_AVG_DAILY_SALES_VOL_EQ_INC_GAS" hidden="1">"c5797"</definedName>
    <definedName name="IQ_OG_AVG_DAILY_SALES_VOL_EQ_INC_NGL" hidden="1">"c5798"</definedName>
    <definedName name="IQ_OG_AVG_DAILY_SALES_VOL_EQ_INC_OIL" hidden="1">"c5796"</definedName>
    <definedName name="IQ_OG_AVG_GAS_PRICE_CBM_HEDGED" hidden="1">"c10054"</definedName>
    <definedName name="IQ_OG_AVG_GAS_PRICE_CBM_UNHEDGED" hidden="1">"c10055"</definedName>
    <definedName name="IQ_OG_AVG_PRODUCTION_COST_BBL" hidden="1">"c10062"</definedName>
    <definedName name="IQ_OG_AVG_PRODUCTION_COST_BOE" hidden="1">"c10064"</definedName>
    <definedName name="IQ_OG_AVG_PRODUCTION_COST_MCF" hidden="1">"c10063"</definedName>
    <definedName name="IQ_OG_AVG_PRODUCTION_COST_MCFE" hidden="1">"c10065"</definedName>
    <definedName name="IQ_OG_CLOSE_BALANCE_GAS" hidden="1">"c2049"</definedName>
    <definedName name="IQ_OG_CLOSE_BALANCE_NGL" hidden="1">"c2920"</definedName>
    <definedName name="IQ_OG_CLOSE_BALANCE_OIL" hidden="1">"c2037"</definedName>
    <definedName name="IQ_OG_DAILY_PRDUCTION_GROWTH_GAS" hidden="1">"c12732"</definedName>
    <definedName name="IQ_OG_DAILY_PRDUCTION_GROWTH_GAS_EQUIVALENT" hidden="1">"c12733"</definedName>
    <definedName name="IQ_OG_DAILY_PRDUCTION_GROWTH_NGL" hidden="1">"c12734"</definedName>
    <definedName name="IQ_OG_DAILY_PRDUCTION_GROWTH_OIL" hidden="1">"c12735"</definedName>
    <definedName name="IQ_OG_DAILY_PRDUCTION_GROWTH_OIL_EQUIVALENT" hidden="1">"c12736"</definedName>
    <definedName name="IQ_OG_DAILY_PRODUCTION_GROWTH_GAS" hidden="1">"c10073"</definedName>
    <definedName name="IQ_OG_DAILY_PRODUCTION_GROWTH_GAS_EQUIVALENT" hidden="1">"c10076"</definedName>
    <definedName name="IQ_OG_DAILY_PRODUCTION_GROWTH_NGL" hidden="1">"c10074"</definedName>
    <definedName name="IQ_OG_DAILY_PRODUCTION_GROWTH_OIL" hidden="1">"c10072"</definedName>
    <definedName name="IQ_OG_DAILY_PRODUCTION_GROWTH_OIL_EQUIVALENT" hidden="1">"c10075"</definedName>
    <definedName name="IQ_OG_DCF_BEFORE_TAXES" hidden="1">"c2023"</definedName>
    <definedName name="IQ_OG_DCF_BEFORE_TAXES_GAS" hidden="1">"c2025"</definedName>
    <definedName name="IQ_OG_DCF_BEFORE_TAXES_OIL" hidden="1">"c2024"</definedName>
    <definedName name="IQ_OG_DEVELOPED_ACRE_GROSS_EQ_INC" hidden="1">"c5802"</definedName>
    <definedName name="IQ_OG_DEVELOPED_ACRE_NET_EQ_INC" hidden="1">"c5803"</definedName>
    <definedName name="IQ_OG_DEVELOPED_RESERVES_GAS" hidden="1">"c2053"</definedName>
    <definedName name="IQ_OG_DEVELOPED_RESERVES_GAS_BCM" hidden="1">"c10045"</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AFFILIATES_RESERVES_GAS_BCM" hidden="1">"c10047"</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PLORATION_DEVELOPMENT_COST" hidden="1">"c10081"</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GROSS_DEVELOPED_AREA_SQ_KM" hidden="1">"c10079"</definedName>
    <definedName name="IQ_OG_GROSS_DEVELOPMENT_DRY_WELLS_DRILLED" hidden="1">"c10098"</definedName>
    <definedName name="IQ_OG_GROSS_DEVELOPMENT_PRODUCTIVE_WELLS_DRILLED" hidden="1">"c10097"</definedName>
    <definedName name="IQ_OG_GROSS_DEVELOPMENT_PRODUCTIVE_WELLS_DRILLED_GAS" hidden="1">"c15907"</definedName>
    <definedName name="IQ_OG_GROSS_DEVELOPMENT_PRODUCTIVE_WELLS_DRILLED_OIL" hidden="1">"c15906"</definedName>
    <definedName name="IQ_OG_GROSS_DEVELOPMENT_TOTAL_WELLS_DRILLED" hidden="1">"c10099"</definedName>
    <definedName name="IQ_OG_GROSS_EXPLORATORY_DRY_WELLS_DRILLED" hidden="1">"c10095"</definedName>
    <definedName name="IQ_OG_GROSS_EXPLORATORY_PRODUCTIVE_WELLS_DRILLED" hidden="1">"c10094"</definedName>
    <definedName name="IQ_OG_GROSS_EXPLORATORY_PRODUCTIVE_WELLS_DRILLED_GAS" hidden="1">"c15905"</definedName>
    <definedName name="IQ_OG_GROSS_EXPLORATORY_PRODUCTIVE_WELLS_DRILLED_OIL" hidden="1">"c15904"</definedName>
    <definedName name="IQ_OG_GROSS_EXPLORATORY_TOTAL_WELLS_DRILLED" hidden="1">"c10096"</definedName>
    <definedName name="IQ_OG_GROSS_OPERATED_WELLS" hidden="1">"c10092"</definedName>
    <definedName name="IQ_OG_GROSS_PRODUCING_WELLS_GAS" hidden="1">"c15897"</definedName>
    <definedName name="IQ_OG_GROSS_PRODUCING_WELLS_OIL" hidden="1">"c15896"</definedName>
    <definedName name="IQ_OG_GROSS_PRODUCTIVE_WELLS_DRILLED_GAS" hidden="1">"c15901"</definedName>
    <definedName name="IQ_OG_GROSS_PRODUCTIVE_WELLS_DRILLED_OIL" hidden="1">"c15900"</definedName>
    <definedName name="IQ_OG_GROSS_PRODUCTIVE_WELLS_GAS" hidden="1">"c10087"</definedName>
    <definedName name="IQ_OG_GROSS_PRODUCTIVE_WELLS_OIL" hidden="1">"c10086"</definedName>
    <definedName name="IQ_OG_GROSS_PRODUCTIVE_WELLS_TOTAL" hidden="1">"c10088"</definedName>
    <definedName name="IQ_OG_GROSS_TOTAL_WELLS_DRILLED" hidden="1">"c10100"</definedName>
    <definedName name="IQ_OG_GROSS_UNDEVELOPED_AREA_SQ_KM" hidden="1">"c10077"</definedName>
    <definedName name="IQ_OG_GROSS_WELLS_DRILLING" hidden="1">"c10108"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DEVELOPED_AREA_SQ_KM" hidden="1">"c10080"</definedName>
    <definedName name="IQ_OG_NET_DEVELOPMENT_DRY_WELLS_DRILLED" hidden="1">"c10105"</definedName>
    <definedName name="IQ_OG_NET_DEVELOPMENT_PRODUCTIVE_WELLS_DRILLED" hidden="1">"c10104"</definedName>
    <definedName name="IQ_OG_NET_DEVELOPMENT_PRODUCTIVE_WELLS_DRILLED_GAS" hidden="1">"c15911"</definedName>
    <definedName name="IQ_OG_NET_DEVELOPMENT_PRODUCTIVE_WELLS_DRILLED_OIL" hidden="1">"c15910"</definedName>
    <definedName name="IQ_OG_NET_DEVELOPMENT_TOTAL_WELLS_DRILLED" hidden="1">"c10106"</definedName>
    <definedName name="IQ_OG_NET_EXPLORATORY_DRY_WELLS_DRILLED" hidden="1">"c10102"</definedName>
    <definedName name="IQ_OG_NET_EXPLORATORY_PRODUCTIVE_WELLS_DRILLED" hidden="1">"c10101"</definedName>
    <definedName name="IQ_OG_NET_EXPLORATORY_PRODUCTIVE_WELLS_DRILLED_GAS" hidden="1">"c15909"</definedName>
    <definedName name="IQ_OG_NET_EXPLORATORY_PRODUCTIVE_WELLS_DRILLED_OIL" hidden="1">"c15908"</definedName>
    <definedName name="IQ_OG_NET_EXPLORATORY_TOTAL_WELLS_DRILLED" hidden="1">"c10103"</definedName>
    <definedName name="IQ_OG_NET_FUTURE_CASH_FLOWS" hidden="1">"c1996"</definedName>
    <definedName name="IQ_OG_NET_FUTURE_CASH_FLOWS_GAS" hidden="1">"c2016"</definedName>
    <definedName name="IQ_OG_NET_FUTURE_CASH_FLOWS_OIL" hidden="1">"c2006"</definedName>
    <definedName name="IQ_OG_NET_OPERATED_WELLS" hidden="1">"c10093"</definedName>
    <definedName name="IQ_OG_NET_PRODUCING_WELLS_GAS" hidden="1">"c15899"</definedName>
    <definedName name="IQ_OG_NET_PRODUCING_WELLS_OIL" hidden="1">"c15898"</definedName>
    <definedName name="IQ_OG_NET_PRODUCTIVE_WELLS_DRILLED_GAS" hidden="1">"c15903"</definedName>
    <definedName name="IQ_OG_NET_PRODUCTIVE_WELLS_DRILLED_OIL" hidden="1">"c15902"</definedName>
    <definedName name="IQ_OG_NET_PRODUCTIVE_WELLS_GAS" hidden="1">"c10090"</definedName>
    <definedName name="IQ_OG_NET_PRODUCTIVE_WELLS_OIL" hidden="1">"c10089"</definedName>
    <definedName name="IQ_OG_NET_PRODUCTIVE_WELLS_TOTAL" hidden="1">"c10091"</definedName>
    <definedName name="IQ_OG_NET_TOTAL_WELLS_DRILLED" hidden="1">"c10107"</definedName>
    <definedName name="IQ_OG_NET_UNDEVELOPED_AREA_SQ_KM" hidden="1">"c10078"</definedName>
    <definedName name="IQ_OG_NET_WELLS_DRILLING" hidden="1">"c10109"</definedName>
    <definedName name="IQ_OG_NUMBER_WELLS_NEW" hidden="1">"c10085"</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 hidden="1">"c1999"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DUCTION_GROWTH_GAS" hidden="1">"c12737"</definedName>
    <definedName name="IQ_OG_PRDUCTION_GROWTH_GAS_EQUIVALENT" hidden="1">"c12738"</definedName>
    <definedName name="IQ_OG_PRDUCTION_GROWTH_NGL" hidden="1">"c12739"</definedName>
    <definedName name="IQ_OG_PRDUCTION_GROWTH_OIL" hidden="1">"c12740"</definedName>
    <definedName name="IQ_OG_PRDUCTION_GROWTH_OIL_EQUIVALENT" hidden="1">"c12741"</definedName>
    <definedName name="IQ_OG_PRDUCTION_GROWTH_TOAL" hidden="1">"c12742"</definedName>
    <definedName name="IQ_OG_PRODUCTION_GAS" hidden="1">"c2047"</definedName>
    <definedName name="IQ_OG_PRODUCTION_GROWTH_GAS" hidden="1">"c10067"</definedName>
    <definedName name="IQ_OG_PRODUCTION_GROWTH_GAS_EQUIVALENT" hidden="1">"c10070"</definedName>
    <definedName name="IQ_OG_PRODUCTION_GROWTH_NGL" hidden="1">"c10068"</definedName>
    <definedName name="IQ_OG_PRODUCTION_GROWTH_OIL" hidden="1">"c10066"</definedName>
    <definedName name="IQ_OG_PRODUCTION_GROWTH_OIL_EQUIVALENT" hidden="1">"c10069"</definedName>
    <definedName name="IQ_OG_PRODUCTION_GROWTH_TOTAL" hidden="1">"c10071"</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SERVE_REPLACEMENT_RATIO" hidden="1">"c5799"</definedName>
    <definedName name="IQ_OG_REVISIONS_GAS" hidden="1">"c2042"</definedName>
    <definedName name="IQ_OG_REVISIONS_NGL" hidden="1">"c2913"</definedName>
    <definedName name="IQ_OG_REVISIONS_OIL" hidden="1">"c2030"</definedName>
    <definedName name="IQ_OG_RIGS_NON_OPERATED" hidden="1">"c10083"</definedName>
    <definedName name="IQ_OG_RIGS_OPERATED" hidden="1">"c10082"</definedName>
    <definedName name="IQ_OG_RIGS_TOTAL" hidden="1">"c10084"</definedName>
    <definedName name="IQ_OG_SALES_IN_PLACE_GAS" hidden="1">"c2046"</definedName>
    <definedName name="IQ_OG_SALES_IN_PLACE_NGL" hidden="1">"c2917"</definedName>
    <definedName name="IQ_OG_SALES_IN_PLACE_OIL" hidden="1">"c2034"</definedName>
    <definedName name="IQ_OG_SALES_VOL_EQ_INC_GAS" hidden="1">"c5794"</definedName>
    <definedName name="IQ_OG_SALES_VOL_EQ_INC_NGL" hidden="1">"c5795"</definedName>
    <definedName name="IQ_OG_SALES_VOL_EQ_INC_OIL" hidden="1">"c5793"</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EQUIV_PRODUCTION_BCFE" hidden="1">"c10058"</definedName>
    <definedName name="IQ_OG_TOTAL_GAS_PRODUCTION" hidden="1">"c2060"</definedName>
    <definedName name="IQ_OG_TOTAL_LIQUID_GAS_PRODUCTION" hidden="1">"c2235"</definedName>
    <definedName name="IQ_OG_TOTAL_OIL_EQUIV_PRODUCTION_MMBOE" hidden="1">"c10057"</definedName>
    <definedName name="IQ_OG_TOTAL_OIL_PRODUCTION" hidden="1">"c2059"</definedName>
    <definedName name="IQ_OG_TOTAL_OIL_PRODUCTON" hidden="1">"c2059"</definedName>
    <definedName name="IQ_OG_TOTAL_POSSIBLE_RESERVES_GAS_BCF" hidden="1">"c10050"</definedName>
    <definedName name="IQ_OG_TOTAL_POSSIBLE_RESERVES_GAS_BCM" hidden="1">"c10051"</definedName>
    <definedName name="IQ_OG_TOTAL_POSSIBLE_RESERVES_OIL_MMBBLS" hidden="1">"c10053"</definedName>
    <definedName name="IQ_OG_TOTAL_PROBABLE_RESERVES_GAS_BCF" hidden="1">"c10048"</definedName>
    <definedName name="IQ_OG_TOTAL_PROBABLE_RESERVES_GAS_BCM" hidden="1">"c10049"</definedName>
    <definedName name="IQ_OG_TOTAL_PROBABLE_RESERVES_OIL_MMBBLS" hidden="1">"c10052"</definedName>
    <definedName name="IQ_OG_TOTAL_PRODUCTION_GAS_BCM" hidden="1">"c10056"</definedName>
    <definedName name="IQ_OG_TOTAL_PROVED_RESERVES_GAS_BCM" hidden="1">"c10046"</definedName>
    <definedName name="IQ_OG_UNDEVELOPED_ACRE_GROSS_EQ_INC" hidden="1">"c5800"</definedName>
    <definedName name="IQ_OG_UNDEVELOPED_ACRE_NET_EQ_INC" hidden="1">"c5801"</definedName>
    <definedName name="IQ_OG_UNDEVELOPED_RESERVES_GAS" hidden="1">"c2051"</definedName>
    <definedName name="IQ_OG_UNDEVELOPED_RESERVES_GAS_BCM" hidden="1">"c10044"</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B_ACCRUED_LIAB" hidden="1">"c3308"</definedName>
    <definedName name="IQ_OPEB_ACCRUED_LIAB_DOM" hidden="1">"c3306"</definedName>
    <definedName name="IQ_OPEB_ACCRUED_LIAB_FOREIGN" hidden="1">"c3307"</definedName>
    <definedName name="IQ_OPEB_ACCUM_OTHER_CI" hidden="1">"c3314"</definedName>
    <definedName name="IQ_OPEB_ACCUM_OTHER_CI_DOM" hidden="1">"c3312"</definedName>
    <definedName name="IQ_OPEB_ACCUM_OTHER_CI_FOREIGN" hidden="1">"c3313"</definedName>
    <definedName name="IQ_OPEB_ACT_NEXT" hidden="1">"c5774"</definedName>
    <definedName name="IQ_OPEB_ACT_NEXT_DOM" hidden="1">"c5772"</definedName>
    <definedName name="IQ_OPEB_ACT_NEXT_FOREIGN" hidden="1">"c5773"</definedName>
    <definedName name="IQ_OPEB_AMT_RECOG_NEXT" hidden="1">"c5783"</definedName>
    <definedName name="IQ_OPEB_AMT_RECOG_NEXT_DOM" hidden="1">"c5781"</definedName>
    <definedName name="IQ_OPEB_AMT_RECOG_NEXT_FOREIGN" hidden="1">"c5782"</definedName>
    <definedName name="IQ_OPEB_ASSETS" hidden="1">"c3356"</definedName>
    <definedName name="IQ_OPEB_ASSETS_ACQ" hidden="1">"c3347"</definedName>
    <definedName name="IQ_OPEB_ASSETS_ACQ_DOM" hidden="1">"c3345"</definedName>
    <definedName name="IQ_OPEB_ASSETS_ACQ_FOREIGN" hidden="1">"c3346"</definedName>
    <definedName name="IQ_OPEB_ASSETS_ACTUAL_RETURN" hidden="1">"c3332"</definedName>
    <definedName name="IQ_OPEB_ASSETS_ACTUAL_RETURN_DOM" hidden="1">"c3330"</definedName>
    <definedName name="IQ_OPEB_ASSETS_ACTUAL_RETURN_FOREIGN" hidden="1">"c3331"</definedName>
    <definedName name="IQ_OPEB_ASSETS_BEG" hidden="1">"c3329"</definedName>
    <definedName name="IQ_OPEB_ASSETS_BEG_DOM" hidden="1">"c3327"</definedName>
    <definedName name="IQ_OPEB_ASSETS_BEG_FOREIGN" hidden="1">"c3328"</definedName>
    <definedName name="IQ_OPEB_ASSETS_BENEFITS_PAID" hidden="1">"c3341"</definedName>
    <definedName name="IQ_OPEB_ASSETS_BENEFITS_PAID_DOM" hidden="1">"c3339"</definedName>
    <definedName name="IQ_OPEB_ASSETS_BENEFITS_PAID_FOREIGN" hidden="1">"c3340"</definedName>
    <definedName name="IQ_OPEB_ASSETS_CURTAIL" hidden="1">"c3350"</definedName>
    <definedName name="IQ_OPEB_ASSETS_CURTAIL_DOM" hidden="1">"c3348"</definedName>
    <definedName name="IQ_OPEB_ASSETS_CURTAIL_FOREIGN" hidden="1">"c3349"</definedName>
    <definedName name="IQ_OPEB_ASSETS_DOM" hidden="1">"c3354"</definedName>
    <definedName name="IQ_OPEB_ASSETS_EMPLOYER_CONTRIBUTIONS" hidden="1">"c3335"</definedName>
    <definedName name="IQ_OPEB_ASSETS_EMPLOYER_CONTRIBUTIONS_DOM" hidden="1">"c3333"</definedName>
    <definedName name="IQ_OPEB_ASSETS_EMPLOYER_CONTRIBUTIONS_FOREIGN" hidden="1">"c3334"</definedName>
    <definedName name="IQ_OPEB_ASSETS_FOREIGN" hidden="1">"c3355"</definedName>
    <definedName name="IQ_OPEB_ASSETS_FX_ADJ" hidden="1">"c3344"</definedName>
    <definedName name="IQ_OPEB_ASSETS_FX_ADJ_DOM" hidden="1">"c3342"</definedName>
    <definedName name="IQ_OPEB_ASSETS_FX_ADJ_FOREIGN" hidden="1">"c3343"</definedName>
    <definedName name="IQ_OPEB_ASSETS_OTHER_PLAN_ADJ" hidden="1">"c3353"</definedName>
    <definedName name="IQ_OPEB_ASSETS_OTHER_PLAN_ADJ_DOM" hidden="1">"c3351"</definedName>
    <definedName name="IQ_OPEB_ASSETS_OTHER_PLAN_ADJ_FOREIGN" hidden="1">"c3352"</definedName>
    <definedName name="IQ_OPEB_ASSETS_PARTICIP_CONTRIBUTIONS" hidden="1">"c3338"</definedName>
    <definedName name="IQ_OPEB_ASSETS_PARTICIP_CONTRIBUTIONS_DOM" hidden="1">"c3336"</definedName>
    <definedName name="IQ_OPEB_ASSETS_PARTICIP_CONTRIBUTIONS_FOREIGN" hidden="1">"c3337"</definedName>
    <definedName name="IQ_OPEB_BENEFIT_INFO_DATE" hidden="1">"c3410"</definedName>
    <definedName name="IQ_OPEB_BENEFIT_INFO_DATE_DOM" hidden="1">"c3408"</definedName>
    <definedName name="IQ_OPEB_BENEFIT_INFO_DATE_FOREIGN" hidden="1">"c3409"</definedName>
    <definedName name="IQ_OPEB_BREAKDOWN_EQ" hidden="1">"c3275"</definedName>
    <definedName name="IQ_OPEB_BREAKDOWN_EQ_DOM" hidden="1">"c3273"</definedName>
    <definedName name="IQ_OPEB_BREAKDOWN_EQ_FOREIGN" hidden="1">"c3274"</definedName>
    <definedName name="IQ_OPEB_BREAKDOWN_FI" hidden="1">"c3278"</definedName>
    <definedName name="IQ_OPEB_BREAKDOWN_FI_DOM" hidden="1">"c3276"</definedName>
    <definedName name="IQ_OPEB_BREAKDOWN_FI_FOREIGN" hidden="1">"c3277"</definedName>
    <definedName name="IQ_OPEB_BREAKDOWN_OTHER" hidden="1">"c3284"</definedName>
    <definedName name="IQ_OPEB_BREAKDOWN_OTHER_DOM" hidden="1">"c3282"</definedName>
    <definedName name="IQ_OPEB_BREAKDOWN_OTHER_FOREIGN" hidden="1">"c3283"</definedName>
    <definedName name="IQ_OPEB_BREAKDOWN_PCT_EQ" hidden="1">"c3263"</definedName>
    <definedName name="IQ_OPEB_BREAKDOWN_PCT_EQ_DOM" hidden="1">"c3261"</definedName>
    <definedName name="IQ_OPEB_BREAKDOWN_PCT_EQ_FOREIGN" hidden="1">"c3262"</definedName>
    <definedName name="IQ_OPEB_BREAKDOWN_PCT_FI" hidden="1">"c3266"</definedName>
    <definedName name="IQ_OPEB_BREAKDOWN_PCT_FI_DOM" hidden="1">"c3264"</definedName>
    <definedName name="IQ_OPEB_BREAKDOWN_PCT_FI_FOREIGN" hidden="1">"c3265"</definedName>
    <definedName name="IQ_OPEB_BREAKDOWN_PCT_OTHER" hidden="1">"c3272"</definedName>
    <definedName name="IQ_OPEB_BREAKDOWN_PCT_OTHER_DOM" hidden="1">"c3270"</definedName>
    <definedName name="IQ_OPEB_BREAKDOWN_PCT_OTHER_FOREIGN" hidden="1">"c3271"</definedName>
    <definedName name="IQ_OPEB_BREAKDOWN_PCT_RE" hidden="1">"c3269"</definedName>
    <definedName name="IQ_OPEB_BREAKDOWN_PCT_RE_DOM" hidden="1">"c3267"</definedName>
    <definedName name="IQ_OPEB_BREAKDOWN_PCT_RE_FOREIGN" hidden="1">"c3268"</definedName>
    <definedName name="IQ_OPEB_BREAKDOWN_RE" hidden="1">"c3281"</definedName>
    <definedName name="IQ_OPEB_BREAKDOWN_RE_DOM" hidden="1">"c3279"</definedName>
    <definedName name="IQ_OPEB_BREAKDOWN_RE_FOREIGN" hidden="1">"c3280"</definedName>
    <definedName name="IQ_OPEB_CI_ACT" hidden="1">"c5759"</definedName>
    <definedName name="IQ_OPEB_CI_ACT_DOM" hidden="1">"c5757"</definedName>
    <definedName name="IQ_OPEB_CI_ACT_FOREIGN" hidden="1">"c5758"</definedName>
    <definedName name="IQ_OPEB_CI_NET_AMT_RECOG" hidden="1">"c5771"</definedName>
    <definedName name="IQ_OPEB_CI_NET_AMT_RECOG_DOM" hidden="1">"c5769"</definedName>
    <definedName name="IQ_OPEB_CI_NET_AMT_RECOG_FOREIGN" hidden="1">"c5770"</definedName>
    <definedName name="IQ_OPEB_CI_OTHER_MISC_ADJ" hidden="1">"c5768"</definedName>
    <definedName name="IQ_OPEB_CI_OTHER_MISC_ADJ_DOM" hidden="1">"c5766"</definedName>
    <definedName name="IQ_OPEB_CI_OTHER_MISC_ADJ_FOREIGN" hidden="1">"c5767"</definedName>
    <definedName name="IQ_OPEB_CI_PRIOR_SERVICE" hidden="1">"c5762"</definedName>
    <definedName name="IQ_OPEB_CI_PRIOR_SERVICE_DOM" hidden="1">"c5760"</definedName>
    <definedName name="IQ_OPEB_CI_PRIOR_SERVICE_FOREIGN" hidden="1">"c5761"</definedName>
    <definedName name="IQ_OPEB_CI_TRANSITION" hidden="1">"c5765"</definedName>
    <definedName name="IQ_OPEB_CI_TRANSITION_DOM" hidden="1">"c5763"</definedName>
    <definedName name="IQ_OPEB_CI_TRANSITION_FOREIGN" hidden="1">"c5764"</definedName>
    <definedName name="IQ_OPEB_CL" hidden="1">"c5789"</definedName>
    <definedName name="IQ_OPEB_CL_DOM" hidden="1">"c5787"</definedName>
    <definedName name="IQ_OPEB_CL_FOREIGN" hidden="1">"c5788"</definedName>
    <definedName name="IQ_OPEB_DECREASE_EFFECT_PBO" hidden="1">"c3458"</definedName>
    <definedName name="IQ_OPEB_DECREASE_EFFECT_PBO_DOM" hidden="1">"c3456"</definedName>
    <definedName name="IQ_OPEB_DECREASE_EFFECT_PBO_FOREIGN" hidden="1">"c3457"</definedName>
    <definedName name="IQ_OPEB_DECREASE_EFFECT_SERVICE_INT_COST" hidden="1">"c3455"</definedName>
    <definedName name="IQ_OPEB_DECREASE_EFFECT_SERVICE_INT_COST_DOM" hidden="1">"c3453"</definedName>
    <definedName name="IQ_OPEB_DECREASE_EFFECT_SERVICE_INT_COST_FOREIGN" hidden="1">"c3454"</definedName>
    <definedName name="IQ_OPEB_DISC_RATE_MAX" hidden="1">"c3422"</definedName>
    <definedName name="IQ_OPEB_DISC_RATE_MAX_DOM" hidden="1">"c3420"</definedName>
    <definedName name="IQ_OPEB_DISC_RATE_MAX_FOREIGN" hidden="1">"c3421"</definedName>
    <definedName name="IQ_OPEB_DISC_RATE_MIN" hidden="1">"c3419"</definedName>
    <definedName name="IQ_OPEB_DISC_RATE_MIN_DOM" hidden="1">"c3417"</definedName>
    <definedName name="IQ_OPEB_DISC_RATE_MIN_FOREIGN" hidden="1">"c3418"</definedName>
    <definedName name="IQ_OPEB_EST_BENEFIT_1YR" hidden="1">"c3287"</definedName>
    <definedName name="IQ_OPEB_EST_BENEFIT_1YR_DOM" hidden="1">"c3285"</definedName>
    <definedName name="IQ_OPEB_EST_BENEFIT_1YR_FOREIGN" hidden="1">"c3286"</definedName>
    <definedName name="IQ_OPEB_EST_BENEFIT_2YR" hidden="1">"c3290"</definedName>
    <definedName name="IQ_OPEB_EST_BENEFIT_2YR_DOM" hidden="1">"c3288"</definedName>
    <definedName name="IQ_OPEB_EST_BENEFIT_2YR_FOREIGN" hidden="1">"c3289"</definedName>
    <definedName name="IQ_OPEB_EST_BENEFIT_3YR" hidden="1">"c3293"</definedName>
    <definedName name="IQ_OPEB_EST_BENEFIT_3YR_DOM" hidden="1">"c3291"</definedName>
    <definedName name="IQ_OPEB_EST_BENEFIT_3YR_FOREIGN" hidden="1">"c3292"</definedName>
    <definedName name="IQ_OPEB_EST_BENEFIT_4YR" hidden="1">"c3296"</definedName>
    <definedName name="IQ_OPEB_EST_BENEFIT_4YR_DOM" hidden="1">"c3294"</definedName>
    <definedName name="IQ_OPEB_EST_BENEFIT_4YR_FOREIGN" hidden="1">"c3295"</definedName>
    <definedName name="IQ_OPEB_EST_BENEFIT_5YR" hidden="1">"c3299"</definedName>
    <definedName name="IQ_OPEB_EST_BENEFIT_5YR_DOM" hidden="1">"c3297"</definedName>
    <definedName name="IQ_OPEB_EST_BENEFIT_5YR_FOREIGN" hidden="1">"c3298"</definedName>
    <definedName name="IQ_OPEB_EST_BENEFIT_AFTER5" hidden="1">"c3302"</definedName>
    <definedName name="IQ_OPEB_EST_BENEFIT_AFTER5_DOM" hidden="1">"c3300"</definedName>
    <definedName name="IQ_OPEB_EST_BENEFIT_AFTER5_FOREIGN" hidden="1">"c3301"</definedName>
    <definedName name="IQ_OPEB_EXP_RATE_RETURN_MAX" hidden="1">"c3434"</definedName>
    <definedName name="IQ_OPEB_EXP_RATE_RETURN_MAX_DOM" hidden="1">"c3432"</definedName>
    <definedName name="IQ_OPEB_EXP_RATE_RETURN_MAX_FOREIGN" hidden="1">"c3433"</definedName>
    <definedName name="IQ_OPEB_EXP_RATE_RETURN_MIN" hidden="1">"c3431"</definedName>
    <definedName name="IQ_OPEB_EXP_RATE_RETURN_MIN_DOM" hidden="1">"c3429"</definedName>
    <definedName name="IQ_OPEB_EXP_RATE_RETURN_MIN_FOREIGN" hidden="1">"c3430"</definedName>
    <definedName name="IQ_OPEB_EXP_RETURN" hidden="1">"c3398"</definedName>
    <definedName name="IQ_OPEB_EXP_RETURN_DOM" hidden="1">"c3396"</definedName>
    <definedName name="IQ_OPEB_EXP_RETURN_FOREIGN" hidden="1">"c3397"</definedName>
    <definedName name="IQ_OPEB_HEALTH_COST_TREND_INITIAL" hidden="1">"c3413"</definedName>
    <definedName name="IQ_OPEB_HEALTH_COST_TREND_INITIAL_DOM" hidden="1">"c3411"</definedName>
    <definedName name="IQ_OPEB_HEALTH_COST_TREND_INITIAL_FOREIGN" hidden="1">"c3412"</definedName>
    <definedName name="IQ_OPEB_HEALTH_COST_TREND_ULTIMATE" hidden="1">"c3416"</definedName>
    <definedName name="IQ_OPEB_HEALTH_COST_TREND_ULTIMATE_DOM" hidden="1">"c3414"</definedName>
    <definedName name="IQ_OPEB_HEALTH_COST_TREND_ULTIMATE_FOREIGN" hidden="1">"c3415"</definedName>
    <definedName name="IQ_OPEB_INCREASE_EFFECT_PBO" hidden="1">"c3452"</definedName>
    <definedName name="IQ_OPEB_INCREASE_EFFECT_PBO_DOM" hidden="1">"c3450"</definedName>
    <definedName name="IQ_OPEB_INCREASE_EFFECT_PBO_FOREIGN" hidden="1">"c3451"</definedName>
    <definedName name="IQ_OPEB_INCREASE_EFFECT_SERVICE_INT_COST" hidden="1">"c3449"</definedName>
    <definedName name="IQ_OPEB_INCREASE_EFFECT_SERVICE_INT_COST_DOM" hidden="1">"c3447"</definedName>
    <definedName name="IQ_OPEB_INCREASE_EFFECT_SERVICE_INT_COST_FOREIGN" hidden="1">"c3448"</definedName>
    <definedName name="IQ_OPEB_INTAN_ASSETS" hidden="1">"c3311"</definedName>
    <definedName name="IQ_OPEB_INTAN_ASSETS_DOM" hidden="1">"c3309"</definedName>
    <definedName name="IQ_OPEB_INTAN_ASSETS_FOREIGN" hidden="1">"c3310"</definedName>
    <definedName name="IQ_OPEB_INTEREST_COST" hidden="1">"c3395"</definedName>
    <definedName name="IQ_OPEB_INTEREST_COST_DOM" hidden="1">"c3393"</definedName>
    <definedName name="IQ_OPEB_INTEREST_COST_FOREIGN" hidden="1">"c3394"</definedName>
    <definedName name="IQ_OPEB_LT_ASSETS" hidden="1">"c5786"</definedName>
    <definedName name="IQ_OPEB_LT_ASSETS_DOM" hidden="1">"c5784"</definedName>
    <definedName name="IQ_OPEB_LT_ASSETS_FOREIGN" hidden="1">"c5785"</definedName>
    <definedName name="IQ_OPEB_LT_LIAB" hidden="1">"c5792"</definedName>
    <definedName name="IQ_OPEB_LT_LIAB_DOM" hidden="1">"c5790"</definedName>
    <definedName name="IQ_OPEB_LT_LIAB_FOREIGN" hidden="1">"c5791"</definedName>
    <definedName name="IQ_OPEB_NET_ASSET_RECOG" hidden="1">"c3326"</definedName>
    <definedName name="IQ_OPEB_NET_ASSET_RECOG_DOM" hidden="1">"c3324"</definedName>
    <definedName name="IQ_OPEB_NET_ASSET_RECOG_FOREIGN" hidden="1">"c3325"</definedName>
    <definedName name="IQ_OPEB_OBLIGATION_ACCUMULATED" hidden="1">"c3407"</definedName>
    <definedName name="IQ_OPEB_OBLIGATION_ACCUMULATED_DOM" hidden="1">"c3405"</definedName>
    <definedName name="IQ_OPEB_OBLIGATION_ACCUMULATED_FOREIGN" hidden="1">"c3406"</definedName>
    <definedName name="IQ_OPEB_OBLIGATION_ACQ" hidden="1">"c3380"</definedName>
    <definedName name="IQ_OPEB_OBLIGATION_ACQ_DOM" hidden="1">"c3378"</definedName>
    <definedName name="IQ_OPEB_OBLIGATION_ACQ_FOREIGN" hidden="1">"c3379"</definedName>
    <definedName name="IQ_OPEB_OBLIGATION_ACTUARIAL_GAIN_LOSS" hidden="1">"c3371"</definedName>
    <definedName name="IQ_OPEB_OBLIGATION_ACTUARIAL_GAIN_LOSS_DOM" hidden="1">"c3369"</definedName>
    <definedName name="IQ_OPEB_OBLIGATION_ACTUARIAL_GAIN_LOSS_FOREIGN" hidden="1">"c3370"</definedName>
    <definedName name="IQ_OPEB_OBLIGATION_BEG" hidden="1">"c3359"</definedName>
    <definedName name="IQ_OPEB_OBLIGATION_BEG_DOM" hidden="1">"c3357"</definedName>
    <definedName name="IQ_OPEB_OBLIGATION_BEG_FOREIGN" hidden="1">"c3358"</definedName>
    <definedName name="IQ_OPEB_OBLIGATION_CURTAIL" hidden="1">"c3383"</definedName>
    <definedName name="IQ_OPEB_OBLIGATION_CURTAIL_DOM" hidden="1">"c3381"</definedName>
    <definedName name="IQ_OPEB_OBLIGATION_CURTAIL_FOREIGN" hidden="1">"c3382"</definedName>
    <definedName name="IQ_OPEB_OBLIGATION_EMPLOYEE_CONTRIBUTIONS" hidden="1">"c3368"</definedName>
    <definedName name="IQ_OPEB_OBLIGATION_EMPLOYEE_CONTRIBUTIONS_DOM" hidden="1">"c3366"</definedName>
    <definedName name="IQ_OPEB_OBLIGATION_EMPLOYEE_CONTRIBUTIONS_FOREIGN" hidden="1">"c3367"</definedName>
    <definedName name="IQ_OPEB_OBLIGATION_FX_ADJ" hidden="1">"c3377"</definedName>
    <definedName name="IQ_OPEB_OBLIGATION_FX_ADJ_DOM" hidden="1">"c3375"</definedName>
    <definedName name="IQ_OPEB_OBLIGATION_FX_ADJ_FOREIGN" hidden="1">"c3376"</definedName>
    <definedName name="IQ_OPEB_OBLIGATION_INTEREST_COST" hidden="1">"c3365"</definedName>
    <definedName name="IQ_OPEB_OBLIGATION_INTEREST_COST_DOM" hidden="1">"c3363"</definedName>
    <definedName name="IQ_OPEB_OBLIGATION_INTEREST_COST_FOREIGN" hidden="1">"c3364"</definedName>
    <definedName name="IQ_OPEB_OBLIGATION_OTHER_PLAN_ADJ" hidden="1">"c3386"</definedName>
    <definedName name="IQ_OPEB_OBLIGATION_OTHER_PLAN_ADJ_DOM" hidden="1">"c3384"</definedName>
    <definedName name="IQ_OPEB_OBLIGATION_OTHER_PLAN_ADJ_FOREIGN" hidden="1">"c3385"</definedName>
    <definedName name="IQ_OPEB_OBLIGATION_PAID" hidden="1">"c3374"</definedName>
    <definedName name="IQ_OPEB_OBLIGATION_PAID_DOM" hidden="1">"c3372"</definedName>
    <definedName name="IQ_OPEB_OBLIGATION_PAID_FOREIGN" hidden="1">"c3373"</definedName>
    <definedName name="IQ_OPEB_OBLIGATION_PROJECTED" hidden="1">"c3389"</definedName>
    <definedName name="IQ_OPEB_OBLIGATION_PROJECTED_DOM" hidden="1">"c3387"</definedName>
    <definedName name="IQ_OPEB_OBLIGATION_PROJECTED_FOREIGN" hidden="1">"c3388"</definedName>
    <definedName name="IQ_OPEB_OBLIGATION_SERVICE_COST" hidden="1">"c3362"</definedName>
    <definedName name="IQ_OPEB_OBLIGATION_SERVICE_COST_DOM" hidden="1">"c3360"</definedName>
    <definedName name="IQ_OPEB_OBLIGATION_SERVICE_COST_FOREIGN" hidden="1">"c3361"</definedName>
    <definedName name="IQ_OPEB_OTHER" hidden="1">"c3317"</definedName>
    <definedName name="IQ_OPEB_OTHER_ADJ" hidden="1">"c3323"</definedName>
    <definedName name="IQ_OPEB_OTHER_ADJ_DOM" hidden="1">"c3321"</definedName>
    <definedName name="IQ_OPEB_OTHER_ADJ_FOREIGN" hidden="1">"c3322"</definedName>
    <definedName name="IQ_OPEB_OTHER_COST" hidden="1">"c3401"</definedName>
    <definedName name="IQ_OPEB_OTHER_COST_DOM" hidden="1">"c3399"</definedName>
    <definedName name="IQ_OPEB_OTHER_COST_FOREIGN" hidden="1">"c3400"</definedName>
    <definedName name="IQ_OPEB_OTHER_DOM" hidden="1">"c3315"</definedName>
    <definedName name="IQ_OPEB_OTHER_FOREIGN" hidden="1">"c3316"</definedName>
    <definedName name="IQ_OPEB_PBO_ASSUMED_RATE_RET_MAX" hidden="1">"c3440"</definedName>
    <definedName name="IQ_OPEB_PBO_ASSUMED_RATE_RET_MAX_DOM" hidden="1">"c3438"</definedName>
    <definedName name="IQ_OPEB_PBO_ASSUMED_RATE_RET_MAX_FOREIGN" hidden="1">"c3439"</definedName>
    <definedName name="IQ_OPEB_PBO_ASSUMED_RATE_RET_MIN" hidden="1">"c3437"</definedName>
    <definedName name="IQ_OPEB_PBO_ASSUMED_RATE_RET_MIN_DOM" hidden="1">"c3435"</definedName>
    <definedName name="IQ_OPEB_PBO_ASSUMED_RATE_RET_MIN_FOREIGN" hidden="1">"c3436"</definedName>
    <definedName name="IQ_OPEB_PBO_RATE_COMP_INCREASE_MAX" hidden="1">"c3446"</definedName>
    <definedName name="IQ_OPEB_PBO_RATE_COMP_INCREASE_MAX_DOM" hidden="1">"c3444"</definedName>
    <definedName name="IQ_OPEB_PBO_RATE_COMP_INCREASE_MAX_FOREIGN" hidden="1">"c3445"</definedName>
    <definedName name="IQ_OPEB_PBO_RATE_COMP_INCREASE_MIN" hidden="1">"c3443"</definedName>
    <definedName name="IQ_OPEB_PBO_RATE_COMP_INCREASE_MIN_DOM" hidden="1">"c3441"</definedName>
    <definedName name="IQ_OPEB_PBO_RATE_COMP_INCREASE_MIN_FOREIGN" hidden="1">"c3442"</definedName>
    <definedName name="IQ_OPEB_PREPAID_COST" hidden="1">"c3305"</definedName>
    <definedName name="IQ_OPEB_PREPAID_COST_DOM" hidden="1">"c3303"</definedName>
    <definedName name="IQ_OPEB_PREPAID_COST_FOREIGN" hidden="1">"c3304"</definedName>
    <definedName name="IQ_OPEB_PRIOR_SERVICE_NEXT" hidden="1">"c5777"</definedName>
    <definedName name="IQ_OPEB_PRIOR_SERVICE_NEXT_DOM" hidden="1">"c5775"</definedName>
    <definedName name="IQ_OPEB_PRIOR_SERVICE_NEXT_FOREIGN" hidden="1">"c5776"</definedName>
    <definedName name="IQ_OPEB_RATE_COMP_INCREASE_MAX" hidden="1">"c3428"</definedName>
    <definedName name="IQ_OPEB_RATE_COMP_INCREASE_MAX_DOM" hidden="1">"c3426"</definedName>
    <definedName name="IQ_OPEB_RATE_COMP_INCREASE_MAX_FOREIGN" hidden="1">"c3427"</definedName>
    <definedName name="IQ_OPEB_RATE_COMP_INCREASE_MIN" hidden="1">"c3425"</definedName>
    <definedName name="IQ_OPEB_RATE_COMP_INCREASE_MIN_DOM" hidden="1">"c3423"</definedName>
    <definedName name="IQ_OPEB_RATE_COMP_INCREASE_MIN_FOREIGN" hidden="1">"c3424"</definedName>
    <definedName name="IQ_OPEB_SERVICE_COST" hidden="1">"c3392"</definedName>
    <definedName name="IQ_OPEB_SERVICE_COST_DOM" hidden="1">"c3390"</definedName>
    <definedName name="IQ_OPEB_SERVICE_COST_FOREIGN" hidden="1">"c3391"</definedName>
    <definedName name="IQ_OPEB_TOTAL_COST" hidden="1">"c3404"</definedName>
    <definedName name="IQ_OPEB_TOTAL_COST_DOM" hidden="1">"c3402"</definedName>
    <definedName name="IQ_OPEB_TOTAL_COST_FOREIGN" hidden="1">"c3403"</definedName>
    <definedName name="IQ_OPEB_TRANSITION_NEXT" hidden="1">"c5780"</definedName>
    <definedName name="IQ_OPEB_TRANSITION_NEXT_DOM" hidden="1">"c5778"</definedName>
    <definedName name="IQ_OPEB_TRANSITION_NEXT_FOREIGN" hidden="1">"c5779"</definedName>
    <definedName name="IQ_OPEB_UNRECOG_PRIOR" hidden="1">"c3320"</definedName>
    <definedName name="IQ_OPEB_UNRECOG_PRIOR_DOM" hidden="1">"c3318"</definedName>
    <definedName name="IQ_OPEB_UNRECOG_PRIOR_FOREIGN" hidden="1">"c3319"</definedName>
    <definedName name="IQ_OPENED55" hidden="1">1</definedName>
    <definedName name="IQ_OPENPRICE" hidden="1">"c848"</definedName>
    <definedName name="IQ_OPER_INC" hidden="1">"c849"</definedName>
    <definedName name="IQ_OPER_INC_ACT_OR_EST" hidden="1">"c2220"</definedName>
    <definedName name="IQ_OPER_INC_ACT_OR_EST_CIQ" hidden="1">"c12019"</definedName>
    <definedName name="IQ_OPER_INC_ACT_OR_EST_REUT" hidden="1">"c5466"</definedName>
    <definedName name="IQ_OPER_INC_ACT_OR_EST_THOM" hidden="1">"c5304"</definedName>
    <definedName name="IQ_OPER_INC_BR" hidden="1">"c850"</definedName>
    <definedName name="IQ_OPER_INC_CM" hidden="1">"c850"</definedName>
    <definedName name="IQ_OPER_INC_DET_EST" hidden="1">"c12064"</definedName>
    <definedName name="IQ_OPER_INC_DET_EST_CURRENCY" hidden="1">"c12471"</definedName>
    <definedName name="IQ_OPER_INC_DET_EST_CURRENCY_THOM" hidden="1">"c12494"</definedName>
    <definedName name="IQ_OPER_INC_DET_EST_DATE" hidden="1">"c12217"</definedName>
    <definedName name="IQ_OPER_INC_DET_EST_DATE_THOM" hidden="1">"c12245"</definedName>
    <definedName name="IQ_OPER_INC_DET_EST_INCL" hidden="1">"c12354"</definedName>
    <definedName name="IQ_OPER_INC_DET_EST_INCL_THOM" hidden="1">"c12377"</definedName>
    <definedName name="IQ_OPER_INC_DET_EST_ORIGIN" hidden="1">"c12589"</definedName>
    <definedName name="IQ_OPER_INC_DET_EST_ORIGIN_THOM" hidden="1">"c12615"</definedName>
    <definedName name="IQ_OPER_INC_DET_EST_THOM" hidden="1">"c12095"</definedName>
    <definedName name="IQ_OPER_INC_EST" hidden="1">"c1688"</definedName>
    <definedName name="IQ_OPER_INC_EST_CIQ" hidden="1">"c12010"</definedName>
    <definedName name="IQ_OPER_INC_EST_REUT" hidden="1">"c5340"</definedName>
    <definedName name="IQ_OPER_INC_EST_THOM" hidden="1">"c5112"</definedName>
    <definedName name="IQ_OPER_INC_FIN" hidden="1">"c851"</definedName>
    <definedName name="IQ_OPER_INC_HIGH_EST" hidden="1">"c1690"</definedName>
    <definedName name="IQ_OPER_INC_HIGH_EST_CIQ" hidden="1">"c12012"</definedName>
    <definedName name="IQ_OPER_INC_HIGH_EST_REUT" hidden="1">"c5342"</definedName>
    <definedName name="IQ_OPER_INC_HIGH_EST_THOM" hidden="1">"c5114"</definedName>
    <definedName name="IQ_OPER_INC_INS" hidden="1">"c852"</definedName>
    <definedName name="IQ_OPER_INC_LOW_EST" hidden="1">"c1691"</definedName>
    <definedName name="IQ_OPER_INC_LOW_EST_CIQ" hidden="1">"c12013"</definedName>
    <definedName name="IQ_OPER_INC_LOW_EST_REUT" hidden="1">"c5343"</definedName>
    <definedName name="IQ_OPER_INC_LOW_EST_THOM" hidden="1">"c5115"</definedName>
    <definedName name="IQ_OPER_INC_MARGIN" hidden="1">"c362"</definedName>
    <definedName name="IQ_OPER_INC_MEDIAN_EST" hidden="1">"c1689"</definedName>
    <definedName name="IQ_OPER_INC_MEDIAN_EST_CIQ" hidden="1">"c12011"</definedName>
    <definedName name="IQ_OPER_INC_MEDIAN_EST_REUT" hidden="1">"c5341"</definedName>
    <definedName name="IQ_OPER_INC_MEDIAN_EST_THOM" hidden="1">"c5113"</definedName>
    <definedName name="IQ_OPER_INC_NUM_EST" hidden="1">"c1692"</definedName>
    <definedName name="IQ_OPER_INC_NUM_EST_CIQ" hidden="1">"c12014"</definedName>
    <definedName name="IQ_OPER_INC_NUM_EST_REUT" hidden="1">"c5344"</definedName>
    <definedName name="IQ_OPER_INC_NUM_EST_THOM" hidden="1">"c5116"</definedName>
    <definedName name="IQ_OPER_INC_RE" hidden="1">"c6240"</definedName>
    <definedName name="IQ_OPER_INC_REIT" hidden="1">"c853"</definedName>
    <definedName name="IQ_OPER_INC_STDDEV_EST" hidden="1">"c1693"</definedName>
    <definedName name="IQ_OPER_INC_STDDEV_EST_CIQ" hidden="1">"c12015"</definedName>
    <definedName name="IQ_OPER_INC_STDDEV_EST_REUT" hidden="1">"c5345"</definedName>
    <definedName name="IQ_OPER_INC_STDDEV_EST_THOM" hidden="1">"c5117"</definedName>
    <definedName name="IQ_OPER_INC_UTI" hidden="1">"c854"</definedName>
    <definedName name="IQ_OPERATING_EXP_AVG_ASSETS_FFIEC" hidden="1">"c13373"</definedName>
    <definedName name="IQ_OPERATING_INC_AVG_ASSETS_FFIEC" hidden="1">"c13368"</definedName>
    <definedName name="IQ_OPERATING_INC_TE_AVG_ASSETS_FFIEC" hidden="1">"c13360"</definedName>
    <definedName name="IQ_OPERATING_NOI_AVG_GROSS_PROP" hidden="1">"c16058"</definedName>
    <definedName name="IQ_OPERATIONS_EXP" hidden="1">"c855"</definedName>
    <definedName name="IQ_OPTIONS_BEG_OS" hidden="1">"c1572"</definedName>
    <definedName name="IQ_OPTIONS_CANCELLED" hidden="1">"c856"</definedName>
    <definedName name="IQ_OPTIONS_END_OS" hidden="1">"c1573"</definedName>
    <definedName name="IQ_OPTIONS_EXCERCISED" hidden="1">"c2116"</definedName>
    <definedName name="IQ_OPTIONS_EXERCISABLE_END_OS" hidden="1">"c5804"</definedName>
    <definedName name="IQ_OPTIONS_EXERCISED" hidden="1">"c2116"</definedName>
    <definedName name="IQ_OPTIONS_GRANTED" hidden="1">"c2673"</definedName>
    <definedName name="IQ_OPTIONS_ISSUED" hidden="1">"c857"</definedName>
    <definedName name="IQ_OPTIONS_OS" hidden="1">"c858"</definedName>
    <definedName name="IQ_OPTIONS_STRIKE_PRICE_BEG_OS" hidden="1">"c5805"</definedName>
    <definedName name="IQ_OPTIONS_STRIKE_PRICE_CANCELLED" hidden="1">"c5807"</definedName>
    <definedName name="IQ_OPTIONS_STRIKE_PRICE_EXERCISABLE" hidden="1">"c5808"</definedName>
    <definedName name="IQ_OPTIONS_STRIKE_PRICE_EXERCISED" hidden="1">"c5806"</definedName>
    <definedName name="IQ_OPTIONS_STRIKE_PRICE_GRANTED" hidden="1">"c2678"</definedName>
    <definedName name="IQ_OPTIONS_STRIKE_PRICE_OS" hidden="1">"c2677"</definedName>
    <definedName name="IQ_ORDER_BACKLOG" hidden="1">"c2090"</definedName>
    <definedName name="IQ_OREO_1_4_RESIDENTIAL_FDIC" hidden="1">"c6454"</definedName>
    <definedName name="IQ_OREO_COMMERCIAL_RE_FDIC" hidden="1">"c6456"</definedName>
    <definedName name="IQ_OREO_CONSTRUCTION_DEVELOPMENT_FDIC" hidden="1">"c6457"</definedName>
    <definedName name="IQ_OREO_FARMLAND_FDIC" hidden="1">"c6458"</definedName>
    <definedName name="IQ_OREO_FFIEC" hidden="1">"c12831"</definedName>
    <definedName name="IQ_OREO_FOREIGN_FDIC" hidden="1">"c6460"</definedName>
    <definedName name="IQ_OREO_FOREIGN_FFIEC" hidden="1">"c15273"</definedName>
    <definedName name="IQ_OREO_MULTI_FAMILY_RESIDENTIAL_FDIC" hidden="1">"c6455"</definedName>
    <definedName name="IQ_OREO_OTHER_FFIEC" hidden="1">"c12833"</definedName>
    <definedName name="IQ_OTHER_ADDITIONS_T1_FFIEC" hidden="1">"c13142"</definedName>
    <definedName name="IQ_OTHER_ADDITIONS_T2_FFIEC" hidden="1">"c13148"</definedName>
    <definedName name="IQ_OTHER_ADJ_CLAIM_ADJ_EXP_INCURRED" hidden="1">"c15878"</definedName>
    <definedName name="IQ_OTHER_ADJ_CLAIM_ADJ_EXP_PAID" hidden="1">"c15879"</definedName>
    <definedName name="IQ_OTHER_ADJ_RESERVE_BOP" hidden="1">"c15876"</definedName>
    <definedName name="IQ_OTHER_ADJ_RESERVES" hidden="1">"c15882"</definedName>
    <definedName name="IQ_OTHER_ADJUST_GROSS_LOANS" hidden="1">"c859"</definedName>
    <definedName name="IQ_OTHER_ADJUSTMENTS_COVERED" hidden="1">"c9961"</definedName>
    <definedName name="IQ_OTHER_ADJUSTMENTS_FFIEC" hidden="1">"c12972"</definedName>
    <definedName name="IQ_OTHER_ADJUSTMENTS_GROUP" hidden="1">"c9947"</definedName>
    <definedName name="IQ_OTHER_AFFO" hidden="1">"c16180"</definedName>
    <definedName name="IQ_OTHER_AMORT" hidden="1">"c5563"</definedName>
    <definedName name="IQ_OTHER_AMORT_BNK" hidden="1">"c5565"</definedName>
    <definedName name="IQ_OTHER_AMORT_BR" hidden="1">"c5566"</definedName>
    <definedName name="IQ_OTHER_AMORT_CM" hidden="1">"c5566"</definedName>
    <definedName name="IQ_OTHER_AMORT_FIN" hidden="1">"c5567"</definedName>
    <definedName name="IQ_OTHER_AMORT_INS" hidden="1">"c5568"</definedName>
    <definedName name="IQ_OTHER_AMORT_RE" hidden="1">"c6287"</definedName>
    <definedName name="IQ_OTHER_AMORT_REIT" hidden="1">"c5569"</definedName>
    <definedName name="IQ_OTHER_AMORT_UTI" hidden="1">"c5570"</definedName>
    <definedName name="IQ_OTHER_ASSETS" hidden="1">"c860"</definedName>
    <definedName name="IQ_OTHER_ASSETS_BNK" hidden="1">"c861"</definedName>
    <definedName name="IQ_OTHER_ASSETS_BR" hidden="1">"c862"</definedName>
    <definedName name="IQ_OTHER_ASSETS_CM" hidden="1">"c862"</definedName>
    <definedName name="IQ_OTHER_ASSETS_FDIC" hidden="1">"c6338"</definedName>
    <definedName name="IQ_OTHER_ASSETS_FFIEC" hidden="1">"c12848"</definedName>
    <definedName name="IQ_OTHER_ASSETS_FIN" hidden="1">"c863"</definedName>
    <definedName name="IQ_OTHER_ASSETS_INS" hidden="1">"c864"</definedName>
    <definedName name="IQ_OTHER_ASSETS_RE" hidden="1">"c6241"</definedName>
    <definedName name="IQ_OTHER_ASSETS_REIT" hidden="1">"c865"</definedName>
    <definedName name="IQ_OTHER_ASSETS_SERV_RIGHTS" hidden="1">"c2243"</definedName>
    <definedName name="IQ_OTHER_ASSETS_TOTAL_FFIEC" hidden="1">"c12841"</definedName>
    <definedName name="IQ_OTHER_ASSETS_UTI" hidden="1">"c866"</definedName>
    <definedName name="IQ_OTHER_BEARING_LIAB" hidden="1">"c1608"</definedName>
    <definedName name="IQ_OTHER_BEDS" hidden="1">"c8784"</definedName>
    <definedName name="IQ_OTHER_BENEFITS_OBLIGATION" hidden="1">"c867"</definedName>
    <definedName name="IQ_OTHER_BORROWED_FUNDS_FDIC" hidden="1">"c6345"</definedName>
    <definedName name="IQ_OTHER_BORROWED_MONEY_FAIR_VALUE_TOT_FFIEC" hidden="1">"c15409"</definedName>
    <definedName name="IQ_OTHER_BORROWED_MONEY_FFIEC" hidden="1">"c12862"</definedName>
    <definedName name="IQ_OTHER_BORROWED_MONEY_LEVEL_1_FFIEC" hidden="1">"c15431"</definedName>
    <definedName name="IQ_OTHER_BORROWED_MONEY_LEVEL_2_FFIEC" hidden="1">"c15444"</definedName>
    <definedName name="IQ_OTHER_BORROWED_MONEY_LEVEL_3_FFIEC" hidden="1">"c15457"</definedName>
    <definedName name="IQ_OTHER_BORROWED_MONEY_LT_FFIEC" hidden="1">"c12865"</definedName>
    <definedName name="IQ_OTHER_BORROWED_MONEY_ST_FFIEC" hidden="1">"c12864"</definedName>
    <definedName name="IQ_OTHER_CA" hidden="1">"c868"</definedName>
    <definedName name="IQ_OTHER_CA_SUPPL" hidden="1">"c869"</definedName>
    <definedName name="IQ_OTHER_CA_SUPPL_BNK" hidden="1">"c870"</definedName>
    <definedName name="IQ_OTHER_CA_SUPPL_BR" hidden="1">"c871"</definedName>
    <definedName name="IQ_OTHER_CA_SUPPL_CM" hidden="1">"c871"</definedName>
    <definedName name="IQ_OTHER_CA_SUPPL_FIN" hidden="1">"c872"</definedName>
    <definedName name="IQ_OTHER_CA_SUPPL_INS" hidden="1">"c873"</definedName>
    <definedName name="IQ_OTHER_CA_SUPPL_RE" hidden="1">"c6242"</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CM" hidden="1">"c880"</definedName>
    <definedName name="IQ_OTHER_CL_SUPPL_FIN" hidden="1">"c881"</definedName>
    <definedName name="IQ_OTHER_CL_SUPPL_INS" hidden="1">"c6021"</definedName>
    <definedName name="IQ_OTHER_CL_SUPPL_RE" hidden="1">"c6243"</definedName>
    <definedName name="IQ_OTHER_CL_SUPPL_REIT" hidden="1">"c882"</definedName>
    <definedName name="IQ_OTHER_CL_SUPPL_UTI" hidden="1">"c883"</definedName>
    <definedName name="IQ_OTHER_CL_UTI" hidden="1">"c884"</definedName>
    <definedName name="IQ_OTHER_COMPREHENSIVE_INCOME_FDIC" hidden="1">"c6503"</definedName>
    <definedName name="IQ_OTHER_COMPREHENSIVE_INCOME_FFIEC" hidden="1">"c12970"</definedName>
    <definedName name="IQ_OTHER_CONSTRUCTION_GROSS_LOANS_FFIEC" hidden="1">"c13403"</definedName>
    <definedName name="IQ_OTHER_CONSTRUCTION_LOANS_DUE_30_89_FFIEC" hidden="1">"c13258"</definedName>
    <definedName name="IQ_OTHER_CONSTRUCTION_LOANS_DUE_90_FFIEC" hidden="1">"c13286"</definedName>
    <definedName name="IQ_OTHER_CONSTRUCTION_LOANS_NON_ACCRUAL_FFIEC" hidden="1">"c13312"</definedName>
    <definedName name="IQ_OTHER_CONSTRUCTION_LOANS_UNUSED_FFIEC" hidden="1">"c13245"</definedName>
    <definedName name="IQ_OTHER_CONSTRUCTION_RISK_BASED_FFIEC" hidden="1">"c13424"</definedName>
    <definedName name="IQ_OTHER_CONSUMER_LL_REC_FFIEC" hidden="1">"c12891"</definedName>
    <definedName name="IQ_OTHER_CONSUMER_LOANS_FFIEC" hidden="1">"c12824"</definedName>
    <definedName name="IQ_OTHER_CONSUMER_LOANS_TRADING_DOM_FFIEC" hidden="1">"c12935"</definedName>
    <definedName name="IQ_OTHER_CURRENT_ASSETS" hidden="1">"c868"</definedName>
    <definedName name="IQ_OTHER_CURRENT_LIAB" hidden="1">"c877"</definedName>
    <definedName name="IQ_OTHER_DEBT" hidden="1">"c2507"</definedName>
    <definedName name="IQ_OTHER_DEBT_PCT" hidden="1">"c2508"</definedName>
    <definedName name="IQ_OTHER_DEBT_SEC_DOM_AVAIL_SALE_FFIEC" hidden="1">"c12803"</definedName>
    <definedName name="IQ_OTHER_DEBT_SEC_FOREIGN_AVAIL_SALE_FFIEC" hidden="1">"c12804"</definedName>
    <definedName name="IQ_OTHER_DEBT_SEC_INVEST_SECURITIES_FFIEC" hidden="1">"c13462"</definedName>
    <definedName name="IQ_OTHER_DEBT_SEC_TRADING_DOM_FFIEC" hidden="1">"c12924"</definedName>
    <definedName name="IQ_OTHER_DEBT_SEC_TRADING_FFIEC" hidden="1">"c12819"</definedName>
    <definedName name="IQ_OTHER_DEBT_SECURITIES_DOM_FFIEC" hidden="1">"c12789"</definedName>
    <definedName name="IQ_OTHER_DEBT_SECURITIES_FOREIGN_FFIEC" hidden="1">"c12790"</definedName>
    <definedName name="IQ_OTHER_DEBT_SECURITIES_QUARTERLY_AVG_FFIEC" hidden="1">"c15473"</definedName>
    <definedName name="IQ_OTHER_DEDUCTIONS_LEVERAGE_RATIO_FFIEC" hidden="1">"c13158"</definedName>
    <definedName name="IQ_OTHER_DEP" hidden="1">"c885"</definedName>
    <definedName name="IQ_OTHER_DEPOSITORY_INSTITUTIONS_LOANS_FDIC" hidden="1">"c6436"</definedName>
    <definedName name="IQ_OTHER_DEPOSITORY_INSTITUTIONS_TOTAL_LOANS_FOREIGN_FDIC" hidden="1">"c6442"</definedName>
    <definedName name="IQ_OTHER_DEPOSITS_FFIEC" hidden="1">"c12994"</definedName>
    <definedName name="IQ_OTHER_DEPOSITS_TOTAL_DEPOSITS" hidden="1">"c15724"</definedName>
    <definedName name="IQ_OTHER_DERIVATIVES_BENEFICIARY_FFIEC" hidden="1">"c13122"</definedName>
    <definedName name="IQ_OTHER_DERIVATIVES_GUARANTOR_FFIEC" hidden="1">"c13115"</definedName>
    <definedName name="IQ_OTHER_DEVELOPMENT_EXPENSE" hidden="1">"c16041"</definedName>
    <definedName name="IQ_OTHER_DEVELOPMENT_REVENUE" hidden="1">"c16025"</definedName>
    <definedName name="IQ_OTHER_DOMESTIC_DEBT_SECURITIES_FDIC" hidden="1">"c6302"</definedName>
    <definedName name="IQ_OTHER_EARNING" hidden="1">"c1609"</definedName>
    <definedName name="IQ_OTHER_EPRA_NAV_ADJ" hidden="1">"c16004"</definedName>
    <definedName name="IQ_OTHER_EPRA_NNAV_ADJ" hidden="1">"c16009"</definedName>
    <definedName name="IQ_OTHER_EQUITY" hidden="1">"c886"</definedName>
    <definedName name="IQ_OTHER_EQUITY_BNK" hidden="1">"c887"</definedName>
    <definedName name="IQ_OTHER_EQUITY_BR" hidden="1">"c888"</definedName>
    <definedName name="IQ_OTHER_EQUITY_CAPITAL_COMPS_FFIEC" hidden="1">"c12880"</definedName>
    <definedName name="IQ_OTHER_EQUITY_CM" hidden="1">"c888"</definedName>
    <definedName name="IQ_OTHER_EQUITY_FFIEC" hidden="1">"c12879"</definedName>
    <definedName name="IQ_OTHER_EQUITY_FIN" hidden="1">"c889"</definedName>
    <definedName name="IQ_OTHER_EQUITY_INS" hidden="1">"c890"</definedName>
    <definedName name="IQ_OTHER_EQUITY_RE" hidden="1">"c6244"</definedName>
    <definedName name="IQ_OTHER_EQUITY_REIT" hidden="1">"c891"</definedName>
    <definedName name="IQ_OTHER_EQUITY_UTI" hidden="1">"c892"</definedName>
    <definedName name="IQ_OTHER_EXP_OPERATING_INC_FFIEC" hidden="1">"c13381"</definedName>
    <definedName name="IQ_OTHER_FAD" hidden="1">"c16184"</definedName>
    <definedName name="IQ_OTHER_FINANCE_ACT" hidden="1">"c893"</definedName>
    <definedName name="IQ_OTHER_FINANCE_ACT_BNK" hidden="1">"c894"</definedName>
    <definedName name="IQ_OTHER_FINANCE_ACT_BR" hidden="1">"c895"</definedName>
    <definedName name="IQ_OTHER_FINANCE_ACT_CM" hidden="1">"c895"</definedName>
    <definedName name="IQ_OTHER_FINANCE_ACT_FIN" hidden="1">"c896"</definedName>
    <definedName name="IQ_OTHER_FINANCE_ACT_INS" hidden="1">"c897"</definedName>
    <definedName name="IQ_OTHER_FINANCE_ACT_RE" hidden="1">"c6245"</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CM" hidden="1">"c901"</definedName>
    <definedName name="IQ_OTHER_FINANCE_ACT_SUPPL_FIN" hidden="1">"c902"</definedName>
    <definedName name="IQ_OTHER_FINANCE_ACT_SUPPL_INS" hidden="1">"c903"</definedName>
    <definedName name="IQ_OTHER_FINANCE_ACT_SUPPL_RE" hidden="1">"c6246"</definedName>
    <definedName name="IQ_OTHER_FINANCE_ACT_SUPPL_REIT" hidden="1">"c904"</definedName>
    <definedName name="IQ_OTHER_FINANCE_ACT_SUPPL_UTI" hidden="1">"c905"</definedName>
    <definedName name="IQ_OTHER_FINANCE_ACT_UTI" hidden="1">"c906"</definedName>
    <definedName name="IQ_OTHER_FOREIGN_LOANS_FOREIGN_FFIEC" hidden="1">"c13482"</definedName>
    <definedName name="IQ_OTHER_IBF_DEPOSIT_LIABILITIES_FFIEC" hidden="1">"c15301"</definedName>
    <definedName name="IQ_OTHER_INDIVIDUAL_FAMILY_DOM_QUARTERLY_AVG_FFIEC" hidden="1">"c15481"</definedName>
    <definedName name="IQ_OTHER_INSURANCE_FEES_FDIC" hidden="1">"c6672"</definedName>
    <definedName name="IQ_OTHER_INSURANCE_PREMIUMS_FFIEC" hidden="1">"c13071"</definedName>
    <definedName name="IQ_OTHER_INT_EXPENSE_FFIEC" hidden="1">"c12999"</definedName>
    <definedName name="IQ_OTHER_INT_INCOME_FFIEC" hidden="1">"c12988"</definedName>
    <definedName name="IQ_OTHER_INTAN" hidden="1">"c907"</definedName>
    <definedName name="IQ_OTHER_INTAN_BNK" hidden="1">"c908"</definedName>
    <definedName name="IQ_OTHER_INTAN_BR" hidden="1">"c909"</definedName>
    <definedName name="IQ_OTHER_INTAN_CM" hidden="1">"c909"</definedName>
    <definedName name="IQ_OTHER_INTAN_FIN" hidden="1">"c910"</definedName>
    <definedName name="IQ_OTHER_INTAN_INS" hidden="1">"c911"</definedName>
    <definedName name="IQ_OTHER_INTAN_RE" hidden="1">"c6247"</definedName>
    <definedName name="IQ_OTHER_INTAN_REIT" hidden="1">"c912"</definedName>
    <definedName name="IQ_OTHER_INTAN_UTI" hidden="1">"c913"</definedName>
    <definedName name="IQ_OTHER_INTANGIBLE_ASSETS_FFIEC" hidden="1">"c12837"</definedName>
    <definedName name="IQ_OTHER_INTANGIBLE_ASSETS_TOT_FFIEC" hidden="1">"c12840"</definedName>
    <definedName name="IQ_OTHER_INTANGIBLE_FDIC" hidden="1">"c6337"</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CM" hidden="1">"c918"</definedName>
    <definedName name="IQ_OTHER_INVEST_ACT_FIN" hidden="1">"c919"</definedName>
    <definedName name="IQ_OTHER_INVEST_ACT_INS" hidden="1">"c920"</definedName>
    <definedName name="IQ_OTHER_INVEST_ACT_RE" hidden="1">"c6248"</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CM" hidden="1">"c924"</definedName>
    <definedName name="IQ_OTHER_INVEST_ACT_SUPPL_FIN" hidden="1">"c925"</definedName>
    <definedName name="IQ_OTHER_INVEST_ACT_SUPPL_INS" hidden="1">"c926"</definedName>
    <definedName name="IQ_OTHER_INVEST_ACT_SUPPL_RE" hidden="1">"c6249"</definedName>
    <definedName name="IQ_OTHER_INVEST_ACT_SUPPL_REIT" hidden="1">"c927"</definedName>
    <definedName name="IQ_OTHER_INVEST_ACT_SUPPL_UTI" hidden="1">"c928"</definedName>
    <definedName name="IQ_OTHER_INVEST_ACT_UTI" hidden="1">"c929"</definedName>
    <definedName name="IQ_OTHER_INVESTING" hidden="1">"c916"</definedName>
    <definedName name="IQ_OTHER_LEASES_DUE_30_89_FFIEC" hidden="1">"c13278"</definedName>
    <definedName name="IQ_OTHER_LEASES_DUE_90_FFIEC" hidden="1">"c13304"</definedName>
    <definedName name="IQ_OTHER_LEASES_LL_REC_FFIEC" hidden="1">"c12896"</definedName>
    <definedName name="IQ_OTHER_LEASES_NON_ACCRUAL_FFIEC" hidden="1">"c13330"</definedName>
    <definedName name="IQ_OTHER_LIAB" hidden="1">"c930"</definedName>
    <definedName name="IQ_OTHER_LIAB_BNK" hidden="1">"c931"</definedName>
    <definedName name="IQ_OTHER_LIAB_BR" hidden="1">"c932"</definedName>
    <definedName name="IQ_OTHER_LIAB_CM"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CM" hidden="1">"c937"</definedName>
    <definedName name="IQ_OTHER_LIAB_LT_FIN" hidden="1">"c938"</definedName>
    <definedName name="IQ_OTHER_LIAB_LT_INS" hidden="1">"c939"</definedName>
    <definedName name="IQ_OTHER_LIAB_LT_RE" hidden="1">"c6250"</definedName>
    <definedName name="IQ_OTHER_LIAB_LT_REIT" hidden="1">"c940"</definedName>
    <definedName name="IQ_OTHER_LIAB_LT_UTI" hidden="1">"c941"</definedName>
    <definedName name="IQ_OTHER_LIAB_RE" hidden="1">"c6251"</definedName>
    <definedName name="IQ_OTHER_LIAB_REIT" hidden="1">"c942"</definedName>
    <definedName name="IQ_OTHER_LIAB_UTI" hidden="1">"c943"</definedName>
    <definedName name="IQ_OTHER_LIAB_WRITTEN" hidden="1">"c944"</definedName>
    <definedName name="IQ_OTHER_LIABILITIES_FDIC" hidden="1">"c6347"</definedName>
    <definedName name="IQ_OTHER_LIABILITIES_FFIEC" hidden="1">"c12872"</definedName>
    <definedName name="IQ_OTHER_LIABILITIES_TOTAL_FFIEC" hidden="1">"c12869"</definedName>
    <definedName name="IQ_OTHER_LL_REC_FFIEC" hidden="1">"c12894"</definedName>
    <definedName name="IQ_OTHER_LOANS" hidden="1">"c945"</definedName>
    <definedName name="IQ_OTHER_LOANS_CHARGE_OFFS_FDIC" hidden="1">"c6601"</definedName>
    <definedName name="IQ_OTHER_LOANS_DUE_30_89_FFIEC" hidden="1">"c13275"</definedName>
    <definedName name="IQ_OTHER_LOANS_DUE_90_FFIEC" hidden="1">"c13301"</definedName>
    <definedName name="IQ_OTHER_LOANS_FFIEC" hidden="1">"c12825"</definedName>
    <definedName name="IQ_OTHER_LOANS_FOREIGN_FDIC" hidden="1">"c6446"</definedName>
    <definedName name="IQ_OTHER_LOANS_GROSS_LOANS_FFIEC" hidden="1">"c13414"</definedName>
    <definedName name="IQ_OTHER_LOANS_INDIVIDUALS_CHARGE_OFFS_FFIEC" hidden="1">"c13181"</definedName>
    <definedName name="IQ_OTHER_LOANS_INDIVIDUALS_DUE_30_89_FFIEC" hidden="1">"c13273"</definedName>
    <definedName name="IQ_OTHER_LOANS_INDIVIDUALS_DUE_90_FFIEC" hidden="1">"c13299"</definedName>
    <definedName name="IQ_OTHER_LOANS_INDIVIDUALS_NON_ACCRUAL_FFIEC" hidden="1">"c13325"</definedName>
    <definedName name="IQ_OTHER_LOANS_INDIVIDUALS_RECOV_FFIEC" hidden="1">"c13203"</definedName>
    <definedName name="IQ_OTHER_LOANS_LEASES_FDIC" hidden="1">"c6322"</definedName>
    <definedName name="IQ_OTHER_LOANS_LL_REC_DOM_FFIEC" hidden="1">"c12914"</definedName>
    <definedName name="IQ_OTHER_LOANS_NET_CHARGE_OFFS_FDIC" hidden="1">"c6639"</definedName>
    <definedName name="IQ_OTHER_LOANS_NON_ACCRUAL_FFIEC" hidden="1">"c13327"</definedName>
    <definedName name="IQ_OTHER_LOANS_RECOVERIES_FDIC" hidden="1">"c6620"</definedName>
    <definedName name="IQ_OTHER_LOANS_RISK_BASED_FFIEC" hidden="1">"c13435"</definedName>
    <definedName name="IQ_OTHER_LOANS_TOTAL_FDIC" hidden="1">"c6432"</definedName>
    <definedName name="IQ_OTHER_LOANS_TOTAL_LOANS" hidden="1">"c15716"</definedName>
    <definedName name="IQ_OTHER_LOANS_TRADING_DOM_FFIEC" hidden="1">"c12936"</definedName>
    <definedName name="IQ_OTHER_LONG_TERM" hidden="1">"c946"</definedName>
    <definedName name="IQ_OTHER_LT_ASSETS" hidden="1">"c946"</definedName>
    <definedName name="IQ_OTHER_LT_ASSETS_BNK" hidden="1">"c947"</definedName>
    <definedName name="IQ_OTHER_LT_ASSETS_BR" hidden="1">"c948"</definedName>
    <definedName name="IQ_OTHER_LT_ASSETS_CM" hidden="1">"c948"</definedName>
    <definedName name="IQ_OTHER_LT_ASSETS_FIN" hidden="1">"c949"</definedName>
    <definedName name="IQ_OTHER_LT_ASSETS_INS" hidden="1">"c950"</definedName>
    <definedName name="IQ_OTHER_LT_ASSETS_RE" hidden="1">"c6252"</definedName>
    <definedName name="IQ_OTHER_LT_ASSETS_REIT" hidden="1">"c951"</definedName>
    <definedName name="IQ_OTHER_LT_ASSETS_UTI" hidden="1">"c952"</definedName>
    <definedName name="IQ_OTHER_MBS_AVAIL_SALE_FFIEC" hidden="1">"c12801"</definedName>
    <definedName name="IQ_OTHER_MBS_FFIEC" hidden="1">"c12787"</definedName>
    <definedName name="IQ_OTHER_MBS_ISSUED_FNMA_GNMA_TRADING_DOM_FFIEC" hidden="1">"c12922"</definedName>
    <definedName name="IQ_OTHER_MBS_ISSUED_FNMA_GNMA_TRADING_FFIEC" hidden="1">"c12817"</definedName>
    <definedName name="IQ_OTHER_MBS_TRADING_DOM_FFIEC" hidden="1">"c12923"</definedName>
    <definedName name="IQ_OTHER_MBS_TRADING_FFIEC" hidden="1">"c12818"</definedName>
    <definedName name="IQ_OTHER_MINING_REVENUE_COAL" hidden="1">"c15931"</definedName>
    <definedName name="IQ_OTHER_NET" hidden="1">"c959"</definedName>
    <definedName name="IQ_OTHER_NON_INT_ALLOCATIONS_FFIEC" hidden="1">"c13065"</definedName>
    <definedName name="IQ_OTHER_NON_INT_EXP" hidden="1">"c953"</definedName>
    <definedName name="IQ_OTHER_NON_INT_EXP_FDIC" hidden="1">"c6578"</definedName>
    <definedName name="IQ_OTHER_NON_INT_EXP_FFIEC" hidden="1">"c13027"</definedName>
    <definedName name="IQ_OTHER_NON_INT_EXP_TOTAL" hidden="1">"c954"</definedName>
    <definedName name="IQ_OTHER_NON_INT_EXPENSE_FDIC" hidden="1">"c6679"</definedName>
    <definedName name="IQ_OTHER_NON_INT_INC" hidden="1">"c955"</definedName>
    <definedName name="IQ_OTHER_NON_INT_INC_FDIC" hidden="1">"c6676"</definedName>
    <definedName name="IQ_OTHER_NON_INT_INC_OPERATING_INC_FFIEC" hidden="1">"c13392"</definedName>
    <definedName name="IQ_OTHER_NON_INT_INCOME_FFIEC" hidden="1">"c13016"</definedName>
    <definedName name="IQ_OTHER_NON_OPER_EXP" hidden="1">"c956"</definedName>
    <definedName name="IQ_OTHER_NON_OPER_EXP_BR" hidden="1">"c957"</definedName>
    <definedName name="IQ_OTHER_NON_OPER_EXP_CM" hidden="1">"c957"</definedName>
    <definedName name="IQ_OTHER_NON_OPER_EXP_FIN" hidden="1">"c958"</definedName>
    <definedName name="IQ_OTHER_NON_OPER_EXP_INS" hidden="1">"c959"</definedName>
    <definedName name="IQ_OTHER_NON_OPER_EXP_RE" hidden="1">"c6253"</definedName>
    <definedName name="IQ_OTHER_NON_OPER_EXP_REIT" hidden="1">"c960"</definedName>
    <definedName name="IQ_OTHER_NON_OPER_EXP_SUPPL" hidden="1">"c961"</definedName>
    <definedName name="IQ_OTHER_NON_OPER_EXP_SUPPL_BR" hidden="1">"c962"</definedName>
    <definedName name="IQ_OTHER_NON_OPER_EXP_SUPPL_CM" hidden="1">"c962"</definedName>
    <definedName name="IQ_OTHER_NON_OPER_EXP_SUPPL_FIN" hidden="1">"c963"</definedName>
    <definedName name="IQ_OTHER_NON_OPER_EXP_SUPPL_INS" hidden="1">"c964"</definedName>
    <definedName name="IQ_OTHER_NON_OPER_EXP_SUPPL_RE" hidden="1">"c6254"</definedName>
    <definedName name="IQ_OTHER_NON_OPER_EXP_SUPPL_REIT" hidden="1">"c965"</definedName>
    <definedName name="IQ_OTHER_NON_OPER_EXP_SUPPL_UTI" hidden="1">"c966"</definedName>
    <definedName name="IQ_OTHER_NON_OPER_EXP_UTI" hidden="1">"c967"</definedName>
    <definedName name="IQ_OTHER_NONFARM_NONRES_GROSS_LOANS_FFIEC" hidden="1">"c13407"</definedName>
    <definedName name="IQ_OTHER_NONFARM_NONRES_LL_REC_DOM_FFIEC" hidden="1">"c12907"</definedName>
    <definedName name="IQ_OTHER_NONFARM_NONRES_RISK_BASED_FFIEC" hidden="1">"c13428"</definedName>
    <definedName name="IQ_OTHER_NONINTEREST_INC_FOREIGN_FFIEC" hidden="1">"c15380"</definedName>
    <definedName name="IQ_OTHER_OFF_BS_ITEMS_FFIEC" hidden="1">"c13126"</definedName>
    <definedName name="IQ_OTHER_OFF_BS_LIAB_FDIC" hidden="1">"c6533"</definedName>
    <definedName name="IQ_OTHER_OPER" hidden="1">"c982"</definedName>
    <definedName name="IQ_OTHER_OPER_ACT" hidden="1">"c983"</definedName>
    <definedName name="IQ_OTHER_OPER_ACT_BNK" hidden="1">"c984"</definedName>
    <definedName name="IQ_OTHER_OPER_ACT_BR" hidden="1">"c985"</definedName>
    <definedName name="IQ_OTHER_OPER_ACT_CM" hidden="1">"c985"</definedName>
    <definedName name="IQ_OTHER_OPER_ACT_FIN" hidden="1">"c986"</definedName>
    <definedName name="IQ_OTHER_OPER_ACT_INS" hidden="1">"c987"</definedName>
    <definedName name="IQ_OTHER_OPER_ACT_RE" hidden="1">"c6255"</definedName>
    <definedName name="IQ_OTHER_OPER_ACT_REIT" hidden="1">"c988"</definedName>
    <definedName name="IQ_OTHER_OPER_ACT_UTI" hidden="1">"c989"</definedName>
    <definedName name="IQ_OTHER_OPER_BR" hidden="1">"c990"</definedName>
    <definedName name="IQ_OTHER_OPER_CM" hidden="1">"c990"</definedName>
    <definedName name="IQ_OTHER_OPER_FIN" hidden="1">"c991"</definedName>
    <definedName name="IQ_OTHER_OPER_INS" hidden="1">"c992"</definedName>
    <definedName name="IQ_OTHER_OPER_RE" hidden="1">"c6256"</definedName>
    <definedName name="IQ_OTHER_OPER_REIT" hidden="1">"c993"</definedName>
    <definedName name="IQ_OTHER_OPER_SUPPL_BR" hidden="1">"c994"</definedName>
    <definedName name="IQ_OTHER_OPER_SUPPL_CM" hidden="1">"c994"</definedName>
    <definedName name="IQ_OTHER_OPER_SUPPL_FIN" hidden="1">"c995"</definedName>
    <definedName name="IQ_OTHER_OPER_SUPPL_INS" hidden="1">"c996"</definedName>
    <definedName name="IQ_OTHER_OPER_SUPPL_RE" hidden="1">"c6257"</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CM" hidden="1">"c1000"</definedName>
    <definedName name="IQ_OTHER_OPER_TOT_FIN" hidden="1">"c1001"</definedName>
    <definedName name="IQ_OTHER_OPER_TOT_INS" hidden="1">"c1002"</definedName>
    <definedName name="IQ_OTHER_OPER_TOT_RE" hidden="1">"c6258"</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ABLE_END_OS" hidden="1">"c5814"</definedName>
    <definedName name="IQ_OTHER_OPTIONS_EXERCISED" hidden="1">"c2688"</definedName>
    <definedName name="IQ_OTHER_OPTIONS_GRANTED" hidden="1">"c2687"</definedName>
    <definedName name="IQ_OTHER_OPTIONS_STRIKE_PRICE_BEG_OS" hidden="1">"c5815"</definedName>
    <definedName name="IQ_OTHER_OPTIONS_STRIKE_PRICE_CANCELLED" hidden="1">"c5817"</definedName>
    <definedName name="IQ_OTHER_OPTIONS_STRIKE_PRICE_EXERCISABLE" hidden="1">"c5818"</definedName>
    <definedName name="IQ_OTHER_OPTIONS_STRIKE_PRICE_EXERCISED" hidden="1">"c5816"</definedName>
    <definedName name="IQ_OTHER_OPTIONS_STRIKE_PRICE_OS" hidden="1">"c2691"</definedName>
    <definedName name="IQ_OTHER_OUTSTANDING_BS_DATE" hidden="1">"c1972"</definedName>
    <definedName name="IQ_OTHER_OUTSTANDING_FILING_DATE" hidden="1">"c1974"</definedName>
    <definedName name="IQ_OTHER_OVER_TOTAL" hidden="1">"c13770"</definedName>
    <definedName name="IQ_OTHER_PC_WRITTEN" hidden="1">"c1006"</definedName>
    <definedName name="IQ_OTHER_PROP" hidden="1">"c8764"</definedName>
    <definedName name="IQ_OTHER_PROP_OPERATING_EXPENSE" hidden="1">"c16043"</definedName>
    <definedName name="IQ_OTHER_PROP_OPERATING_REVENUE" hidden="1">"c16027"</definedName>
    <definedName name="IQ_OTHER_RE_OWNED_FDIC" hidden="1">"c6330"</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CM" hidden="1">"c1011"</definedName>
    <definedName name="IQ_OTHER_REV_FIN" hidden="1">"c1012"</definedName>
    <definedName name="IQ_OTHER_REV_INS" hidden="1">"c1013"</definedName>
    <definedName name="IQ_OTHER_REV_RE" hidden="1">"c6259"</definedName>
    <definedName name="IQ_OTHER_REV_REIT" hidden="1">"c1014"</definedName>
    <definedName name="IQ_OTHER_REV_SUPPL" hidden="1">"c1015"</definedName>
    <definedName name="IQ_OTHER_REV_SUPPL_BR" hidden="1">"c1016"</definedName>
    <definedName name="IQ_OTHER_REV_SUPPL_CM" hidden="1">"c1016"</definedName>
    <definedName name="IQ_OTHER_REV_SUPPL_FIN" hidden="1">"c1017"</definedName>
    <definedName name="IQ_OTHER_REV_SUPPL_INS" hidden="1">"c1018"</definedName>
    <definedName name="IQ_OTHER_REV_SUPPL_RE" hidden="1">"c6260"</definedName>
    <definedName name="IQ_OTHER_REV_SUPPL_REIT" hidden="1">"c1019"</definedName>
    <definedName name="IQ_OTHER_REV_SUPPL_UTI" hidden="1">"c1020"</definedName>
    <definedName name="IQ_OTHER_REV_UTI" hidden="1">"c1021"</definedName>
    <definedName name="IQ_OTHER_REVENUE" hidden="1">"c1010"</definedName>
    <definedName name="IQ_OTHER_REVOL_CREDIT_CONSUMER_LOANS_FFIEC" hidden="1">"c12823"</definedName>
    <definedName name="IQ_OTHER_REVOLVING_CREDIT_LL_REC_FFIEC" hidden="1">"c12890"</definedName>
    <definedName name="IQ_OTHER_REVOLVING_CREDIT_LOANS_TRADING_DOM_FFIEC" hidden="1">"c12934"</definedName>
    <definedName name="IQ_OTHER_ROOMS" hidden="1">"c8788"</definedName>
    <definedName name="IQ_OTHER_SAVINGS_DEPOSITS_FDIC" hidden="1">"c6554"</definedName>
    <definedName name="IQ_OTHER_SAVINGS_DEPOSITS_NON_TRANS_ACCTS_FFIEC" hidden="1">"c15331"</definedName>
    <definedName name="IQ_OTHER_SECURITIES_QUARTERLY_AVG_FFIEC" hidden="1">"c15472"</definedName>
    <definedName name="IQ_OTHER_SQ_FT" hidden="1">"c8780"</definedName>
    <definedName name="IQ_OTHER_STRIKE_PRICE_GRANTED" hidden="1">"c2692"</definedName>
    <definedName name="IQ_OTHER_TAX_EQUIVALENT_ADJUSTMENTS_FFIEC" hidden="1">"c13855"</definedName>
    <definedName name="IQ_OTHER_TRADING_ASSETS_FAIR_VALUE_TOT_FFIEC" hidden="1">"c15404"</definedName>
    <definedName name="IQ_OTHER_TRADING_ASSETS_FFIEC" hidden="1">"c12826"</definedName>
    <definedName name="IQ_OTHER_TRADING_ASSETS_LEVEL_1_FFIEC" hidden="1">"c15426"</definedName>
    <definedName name="IQ_OTHER_TRADING_ASSETS_LEVEL_2_FFIEC" hidden="1">"c15439"</definedName>
    <definedName name="IQ_OTHER_TRADING_ASSETS_LEVEL_3_FFIEC" hidden="1">"c15452"</definedName>
    <definedName name="IQ_OTHER_TRADING_ASSETS_TOTAL_FFIEC" hidden="1">"c12937"</definedName>
    <definedName name="IQ_OTHER_TRADING_LIABILITIES_FAIR_VALUE_TOT_FFIEC" hidden="1">"c15408"</definedName>
    <definedName name="IQ_OTHER_TRADING_LIABILITIES_FFIEC" hidden="1">"c12860"</definedName>
    <definedName name="IQ_OTHER_TRADING_LIABILITIES_LEVEL_1_FFIEC" hidden="1">"c15430"</definedName>
    <definedName name="IQ_OTHER_TRADING_LIABILITIES_LEVEL_2_FFIEC" hidden="1">"c15443"</definedName>
    <definedName name="IQ_OTHER_TRADING_LIABILITIES_LEVEL_3_FFIEC" hidden="1">"c15456"</definedName>
    <definedName name="IQ_OTHER_TRANSACTIONS_FDIC" hidden="1">"c6504"</definedName>
    <definedName name="IQ_OTHER_UNDRAWN" hidden="1">"c2522"</definedName>
    <definedName name="IQ_OTHER_UNITS" hidden="1">"c8772"</definedName>
    <definedName name="IQ_OTHER_UNUSED_COMMITMENTS_FDIC" hidden="1">"c6530"</definedName>
    <definedName name="IQ_OTHER_UNUSED_FFIEC" hidden="1">"c13248"</definedName>
    <definedName name="IQ_OTHER_UNUSUAL" hidden="1">"c1488"</definedName>
    <definedName name="IQ_OTHER_UNUSUAL_BNK" hidden="1">"c1560"</definedName>
    <definedName name="IQ_OTHER_UNUSUAL_BR" hidden="1">"c1561"</definedName>
    <definedName name="IQ_OTHER_UNUSUAL_CM" hidden="1">"c1561"</definedName>
    <definedName name="IQ_OTHER_UNUSUAL_FIN" hidden="1">"c1562"</definedName>
    <definedName name="IQ_OTHER_UNUSUAL_INS" hidden="1">"c1563"</definedName>
    <definedName name="IQ_OTHER_UNUSUAL_RE" hidden="1">"c6282"</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CM" hidden="1">"c1496"</definedName>
    <definedName name="IQ_OTHER_UNUSUAL_SUPPL_FIN" hidden="1">"c1497"</definedName>
    <definedName name="IQ_OTHER_UNUSUAL_SUPPL_INS" hidden="1">"c1498"</definedName>
    <definedName name="IQ_OTHER_UNUSUAL_SUPPL_RE" hidden="1">"c6281"</definedName>
    <definedName name="IQ_OTHER_UNUSUAL_SUPPL_REIT" hidden="1">"c1499"</definedName>
    <definedName name="IQ_OTHER_UNUSUAL_SUPPL_UTI" hidden="1">"c1500"</definedName>
    <definedName name="IQ_OTHER_UNUSUAL_SUPPLE" hidden="1">"c13816"</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"c1022"</definedName>
    <definedName name="IQ_OUTSTANDING_FILING_DATE" hidden="1">"c1023"</definedName>
    <definedName name="IQ_OUTSTANDING_FILING_DATE_TOTAL" hidden="1">"c2107"</definedName>
    <definedName name="IQ_OVER_FIFETEEN_YEAR_MORTGAGE_PASS_THROUGHS_FDIC" hidden="1">"c6416"</definedName>
    <definedName name="IQ_OVER_FIFTEEN_YEAR_FIXED_AND_FLOATING_RATE_FDIC" hidden="1">"c6424"</definedName>
    <definedName name="IQ_OVER_THREE_YEARS_FDIC" hidden="1">"c6418"</definedName>
    <definedName name="IQ_OVERHEAD_EXP_AVG_ASSETS_FFIEC" hidden="1">"c13361"</definedName>
    <definedName name="IQ_OVERHEAD_EXP_REV_FFIEC" hidden="1">"c13494"</definedName>
    <definedName name="IQ_OVERHEAD_NON_INT_INC_AVG_ASSETS_FFIEC" hidden="1">"c13374"</definedName>
    <definedName name="IQ_OVERHEAD_NON_INT_OPERATING_INC_FFIEC" hidden="1">"c13393"</definedName>
    <definedName name="IQ_OVERHEAD_OPERATING_INC_FFIEC" hidden="1">"c13378"</definedName>
    <definedName name="IQ_OWNED_RESERVES_COAL" hidden="1">"c15916"</definedName>
    <definedName name="IQ_OWNED_RESERVES_TO_TOTAL_RESERVES_COAL" hidden="1">"c15957"</definedName>
    <definedName name="IQ_OWNER_OCCUPIED_GROSS_LOANS_FFIEC" hidden="1">"c13406"</definedName>
    <definedName name="IQ_OWNER_OCCUPIED_LOANS_RISK_BASED_FFIEC" hidden="1">"c13427"</definedName>
    <definedName name="IQ_OWNER_OCCUPIED_NONFARM_NONRES_LL_REC_DOM_FFIEC" hidden="1">"c12906"</definedName>
    <definedName name="IQ_OWNERSHIP" hidden="1">"c2160"</definedName>
    <definedName name="IQ_PART_TIME" hidden="1">"c1024"</definedName>
    <definedName name="IQ_PARTICIPATION_POOLS_RESIDENTIAL_MORTGAGES_FDIC" hidden="1">"c6403"</definedName>
    <definedName name="IQ_PARTICIPATIONS_ACCEPTANCES_FFIEC" hidden="1">"c13254"</definedName>
    <definedName name="IQ_PARTNERSHIP_INC_RE" hidden="1">"c12039"</definedName>
    <definedName name="IQ_PASS_THROUGH_FNMA_GNMA_TRADING_FFIEC" hidden="1">"c12816"</definedName>
    <definedName name="IQ_PAST_DUE_30_1_4_FAMILY_LOANS_FDIC" hidden="1">"c6693"</definedName>
    <definedName name="IQ_PAST_DUE_30_AUTO_LOANS_FDIC" hidden="1">"c6687"</definedName>
    <definedName name="IQ_PAST_DUE_30_CL_LOANS_FDIC" hidden="1">"c6688"</definedName>
    <definedName name="IQ_PAST_DUE_30_CREDIT_CARDS_RECEIVABLES_FDIC" hidden="1">"c6690"</definedName>
    <definedName name="IQ_PAST_DUE_30_HOME_EQUITY_LINES_FDIC" hidden="1">"c6691"</definedName>
    <definedName name="IQ_PAST_DUE_30_OTHER_CONSUMER_LOANS_FDIC" hidden="1">"c6689"</definedName>
    <definedName name="IQ_PAST_DUE_30_OTHER_LOANS_FDIC" hidden="1">"c6692"</definedName>
    <definedName name="IQ_PAST_DUE_90_1_4_FAMILY_LOANS_FDIC" hidden="1">"c6700"</definedName>
    <definedName name="IQ_PAST_DUE_90_AUTO_LOANS_FDIC" hidden="1">"c6694"</definedName>
    <definedName name="IQ_PAST_DUE_90_CL_LOANS_FDIC" hidden="1">"c6695"</definedName>
    <definedName name="IQ_PAST_DUE_90_CREDIT_CARDS_RECEIVABLES_FDIC" hidden="1">"c6697"</definedName>
    <definedName name="IQ_PAST_DUE_90_HOME_EQUITY_LINES_FDIC" hidden="1">"c6698"</definedName>
    <definedName name="IQ_PAST_DUE_90_OTHER_CONSUMER_LOANS_FDIC" hidden="1">"c6696"</definedName>
    <definedName name="IQ_PAST_DUE_90_OTHER_LOANS_FDIC" hidden="1">"c6699"</definedName>
    <definedName name="IQ_PAST_DUE_ALLOW_GROSS_LOANS_FFIEC" hidden="1">"c13416"</definedName>
    <definedName name="IQ_PAY_ACCRUED" hidden="1">"c8"</definedName>
    <definedName name="IQ_PAYOUT_RATIO" hidden="1">"c1900"</definedName>
    <definedName name="IQ_PBV" hidden="1">"c1025"</definedName>
    <definedName name="IQ_PBV_AVG" hidden="1">"c1026"</definedName>
    <definedName name="IQ_PBV_FWD" hidden="1">"c15235"</definedName>
    <definedName name="IQ_PBV_FWD_CIQ" hidden="1">"c15236"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EXCL_FWD_CIQ" hidden="1">"c4042"</definedName>
    <definedName name="IQ_PE_EXCL_FWD_REUT" hidden="1">"c4049"</definedName>
    <definedName name="IQ_PE_EXCL_FWD_THOM" hidden="1">"c4056"</definedName>
    <definedName name="IQ_PE_FUND_DATE_EST" hidden="1">"c19174"</definedName>
    <definedName name="IQ_PE_FUND_DATE_MONTH" hidden="1">"c19172"</definedName>
    <definedName name="IQ_PE_FUND_DATE_YEAR" hidden="1">"c18925"</definedName>
    <definedName name="IQ_PE_FUND_FAMILIES" hidden="1">"c18917"</definedName>
    <definedName name="IQ_PE_FUND_FAMILIES_ID" hidden="1">"c18918"</definedName>
    <definedName name="IQ_PE_FUND_FAMILIES_REL" hidden="1">"c18919"</definedName>
    <definedName name="IQ_PE_FUND_ID" hidden="1">"c18923"</definedName>
    <definedName name="IQ_PE_FUND_INVEST_AMOUNT" hidden="1">"c18933"</definedName>
    <definedName name="IQ_PE_FUND_INVEST_DATE_MONTH" hidden="1">"c19173"</definedName>
    <definedName name="IQ_PE_FUND_INVEST_DATE_YEAR" hidden="1">"c18934"</definedName>
    <definedName name="IQ_PE_FUND_NAME" hidden="1">"c18922"</definedName>
    <definedName name="IQ_PE_FUND_SIZE" hidden="1">"c18924"</definedName>
    <definedName name="IQ_PE_FUND_STAGE" hidden="1">"c18928"</definedName>
    <definedName name="IQ_PE_FUND_TARGET_MAX" hidden="1">"c18927"</definedName>
    <definedName name="IQ_PE_FUND_TARGET_MIN" hidden="1">"c18926"</definedName>
    <definedName name="IQ_PE_FUND_TRANSACTION_COMMENTS" hidden="1">"c18931"</definedName>
    <definedName name="IQ_PE_NORMALIZED" hidden="1">"c2207"</definedName>
    <definedName name="IQ_PE_RATIO" hidden="1">"c1610"</definedName>
    <definedName name="IQ_PEG_FWD" hidden="1">"c1863"</definedName>
    <definedName name="IQ_PEG_FWD_CIQ" hidden="1">"c4045"</definedName>
    <definedName name="IQ_PEG_FWD_REUT" hidden="1">"c4052"</definedName>
    <definedName name="IQ_PEG_FWD_THOM" hidden="1">"c4059"</definedName>
    <definedName name="IQ_PENETRATION_BASIC_CABLE" hidden="1">"c16204"</definedName>
    <definedName name="IQ_PENETRATION_BBAND" hidden="1">"c2852"</definedName>
    <definedName name="IQ_PENETRATION_BBAND_THP" hidden="1">"c2851"</definedName>
    <definedName name="IQ_PENETRATION_PHONE" hidden="1">"c2853"</definedName>
    <definedName name="IQ_PENETRATION_VIDEO" hidden="1">"c2850"</definedName>
    <definedName name="IQ_PENSION" hidden="1">"c1031"</definedName>
    <definedName name="IQ_PENSION_ACCRUED_LIAB" hidden="1">"c3134"</definedName>
    <definedName name="IQ_PENSION_ACCRUED_LIAB_DOM" hidden="1">"c3132"</definedName>
    <definedName name="IQ_PENSION_ACCRUED_LIAB_FOREIGN" hidden="1">"c3133"</definedName>
    <definedName name="IQ_PENSION_ACCUM_OTHER_CI" hidden="1">"c3140"</definedName>
    <definedName name="IQ_PENSION_ACCUM_OTHER_CI_DOM" hidden="1">"c3138"</definedName>
    <definedName name="IQ_PENSION_ACCUM_OTHER_CI_FOREIGN" hidden="1">"c3139"</definedName>
    <definedName name="IQ_PENSION_ACCUMULATED_OBLIGATION" hidden="1">"c3570"</definedName>
    <definedName name="IQ_PENSION_ACCUMULATED_OBLIGATION_DOMESTIC" hidden="1">"c3568"</definedName>
    <definedName name="IQ_PENSION_ACCUMULATED_OBLIGATION_FOREIGN" hidden="1">"c3569"</definedName>
    <definedName name="IQ_PENSION_ACT_NEXT" hidden="1">"c5738"</definedName>
    <definedName name="IQ_PENSION_ACT_NEXT_DOM" hidden="1">"c5736"</definedName>
    <definedName name="IQ_PENSION_ACT_NEXT_FOREIGN" hidden="1">"c5737"</definedName>
    <definedName name="IQ_PENSION_AMT_RECOG_NEXT_DOM" hidden="1">"c5745"</definedName>
    <definedName name="IQ_PENSION_AMT_RECOG_NEXT_FOREIGN" hidden="1">"c5746"</definedName>
    <definedName name="IQ_PENSION_AMT_RECOG_PERIOD" hidden="1">"c5747"</definedName>
    <definedName name="IQ_PENSION_ASSETS" hidden="1">"c3182"</definedName>
    <definedName name="IQ_PENSION_ASSETS_ACQ" hidden="1">"c3173"</definedName>
    <definedName name="IQ_PENSION_ASSETS_ACQ_DOM" hidden="1">"c3171"</definedName>
    <definedName name="IQ_PENSION_ASSETS_ACQ_FOREIGN" hidden="1">"c3172"</definedName>
    <definedName name="IQ_PENSION_ASSETS_ACTUAL_RETURN" hidden="1">"c3158"</definedName>
    <definedName name="IQ_PENSION_ASSETS_ACTUAL_RETURN_DOM" hidden="1">"c3156"</definedName>
    <definedName name="IQ_PENSION_ASSETS_ACTUAL_RETURN_FOREIGN" hidden="1">"c3157"</definedName>
    <definedName name="IQ_PENSION_ASSETS_BEG" hidden="1">"c3155"</definedName>
    <definedName name="IQ_PENSION_ASSETS_BEG_DOM" hidden="1">"c3153"</definedName>
    <definedName name="IQ_PENSION_ASSETS_BEG_FOREIGN" hidden="1">"c3154"</definedName>
    <definedName name="IQ_PENSION_ASSETS_BENEFITS_PAID" hidden="1">"c3167"</definedName>
    <definedName name="IQ_PENSION_ASSETS_BENEFITS_PAID_DOM" hidden="1">"c3165"</definedName>
    <definedName name="IQ_PENSION_ASSETS_BENEFITS_PAID_FOREIGN" hidden="1">"c3166"</definedName>
    <definedName name="IQ_PENSION_ASSETS_CURTAIL" hidden="1">"c3176"</definedName>
    <definedName name="IQ_PENSION_ASSETS_CURTAIL_DOM" hidden="1">"c3174"</definedName>
    <definedName name="IQ_PENSION_ASSETS_CURTAIL_FOREIGN" hidden="1">"c3175"</definedName>
    <definedName name="IQ_PENSION_ASSETS_DOM" hidden="1">"c3180"</definedName>
    <definedName name="IQ_PENSION_ASSETS_EMPLOYER_CONTRIBUTIONS" hidden="1">"c3161"</definedName>
    <definedName name="IQ_PENSION_ASSETS_EMPLOYER_CONTRIBUTIONS_DOM" hidden="1">"c3159"</definedName>
    <definedName name="IQ_PENSION_ASSETS_EMPLOYER_CONTRIBUTIONS_FOREIGN" hidden="1">"c3160"</definedName>
    <definedName name="IQ_PENSION_ASSETS_FOREIGN" hidden="1">"c3181"</definedName>
    <definedName name="IQ_PENSION_ASSETS_FX_ADJ" hidden="1">"c3170"</definedName>
    <definedName name="IQ_PENSION_ASSETS_FX_ADJ_DOM" hidden="1">"c3168"</definedName>
    <definedName name="IQ_PENSION_ASSETS_FX_ADJ_FOREIGN" hidden="1">"c3169"</definedName>
    <definedName name="IQ_PENSION_ASSETS_OTHER_PLAN_ADJ" hidden="1">"c3179"</definedName>
    <definedName name="IQ_PENSION_ASSETS_OTHER_PLAN_ADJ_DOM" hidden="1">"c3177"</definedName>
    <definedName name="IQ_PENSION_ASSETS_OTHER_PLAN_ADJ_FOREIGN" hidden="1">"c3178"</definedName>
    <definedName name="IQ_PENSION_ASSETS_PARTICIP_CONTRIBUTIONS" hidden="1">"c3164"</definedName>
    <definedName name="IQ_PENSION_ASSETS_PARTICIP_CONTRIBUTIONS_DOM" hidden="1">"c3162"</definedName>
    <definedName name="IQ_PENSION_ASSETS_PARTICIP_CONTRIBUTIONS_FOREIGN" hidden="1">"c3163"</definedName>
    <definedName name="IQ_PENSION_BENEFIT_INFO_DATE" hidden="1">"c3230"</definedName>
    <definedName name="IQ_PENSION_BENEFIT_INFO_DATE_DOM" hidden="1">"c3228"</definedName>
    <definedName name="IQ_PENSION_BENEFIT_INFO_DATE_FOREIGN" hidden="1">"c3229"</definedName>
    <definedName name="IQ_PENSION_BREAKDOWN_EQ" hidden="1">"c3101"</definedName>
    <definedName name="IQ_PENSION_BREAKDOWN_EQ_DOM" hidden="1">"c3099"</definedName>
    <definedName name="IQ_PENSION_BREAKDOWN_EQ_FOREIGN" hidden="1">"c3100"</definedName>
    <definedName name="IQ_PENSION_BREAKDOWN_FI" hidden="1">"c3104"</definedName>
    <definedName name="IQ_PENSION_BREAKDOWN_FI_DOM" hidden="1">"c3102"</definedName>
    <definedName name="IQ_PENSION_BREAKDOWN_FI_FOREIGN" hidden="1">"c3103"</definedName>
    <definedName name="IQ_PENSION_BREAKDOWN_OTHER" hidden="1">"c3110"</definedName>
    <definedName name="IQ_PENSION_BREAKDOWN_OTHER_DOM" hidden="1">"c3108"</definedName>
    <definedName name="IQ_PENSION_BREAKDOWN_OTHER_FOREIGN" hidden="1">"c3109"</definedName>
    <definedName name="IQ_PENSION_BREAKDOWN_PCT_EQ" hidden="1">"c3089"</definedName>
    <definedName name="IQ_PENSION_BREAKDOWN_PCT_EQ_DOM" hidden="1">"c3087"</definedName>
    <definedName name="IQ_PENSION_BREAKDOWN_PCT_EQ_FOREIGN" hidden="1">"c3088"</definedName>
    <definedName name="IQ_PENSION_BREAKDOWN_PCT_FI" hidden="1">"c3092"</definedName>
    <definedName name="IQ_PENSION_BREAKDOWN_PCT_FI_DOM" hidden="1">"c3090"</definedName>
    <definedName name="IQ_PENSION_BREAKDOWN_PCT_FI_FOREIGN" hidden="1">"c3091"</definedName>
    <definedName name="IQ_PENSION_BREAKDOWN_PCT_OTHER" hidden="1">"c3098"</definedName>
    <definedName name="IQ_PENSION_BREAKDOWN_PCT_OTHER_DOM" hidden="1">"c3096"</definedName>
    <definedName name="IQ_PENSION_BREAKDOWN_PCT_OTHER_FOREIGN" hidden="1">"c3097"</definedName>
    <definedName name="IQ_PENSION_BREAKDOWN_PCT_RE" hidden="1">"c3095"</definedName>
    <definedName name="IQ_PENSION_BREAKDOWN_PCT_RE_DOM" hidden="1">"c3093"</definedName>
    <definedName name="IQ_PENSION_BREAKDOWN_PCT_RE_FOREIGN" hidden="1">"c3094"</definedName>
    <definedName name="IQ_PENSION_BREAKDOWN_RE" hidden="1">"c3107"</definedName>
    <definedName name="IQ_PENSION_BREAKDOWN_RE_DOM" hidden="1">"c3105"</definedName>
    <definedName name="IQ_PENSION_BREAKDOWN_RE_FOREIGN" hidden="1">"c3106"</definedName>
    <definedName name="IQ_PENSION_CI_ACT" hidden="1">"c5723"</definedName>
    <definedName name="IQ_PENSION_CI_ACT_DOM" hidden="1">"c5721"</definedName>
    <definedName name="IQ_PENSION_CI_ACT_FOREIGN" hidden="1">"c5722"</definedName>
    <definedName name="IQ_PENSION_CI_NET_AMT_RECOG" hidden="1">"c5735"</definedName>
    <definedName name="IQ_PENSION_CI_NET_AMT_RECOG_DOM" hidden="1">"c5733"</definedName>
    <definedName name="IQ_PENSION_CI_NET_AMT_RECOG_FOREIGN" hidden="1">"c5734"</definedName>
    <definedName name="IQ_PENSION_CI_OTHER_MISC_ADJ" hidden="1">"c5732"</definedName>
    <definedName name="IQ_PENSION_CI_OTHER_MISC_ADJ_DOM" hidden="1">"c5730"</definedName>
    <definedName name="IQ_PENSION_CI_OTHER_MISC_ADJ_FOREIGN" hidden="1">"c5731"</definedName>
    <definedName name="IQ_PENSION_CI_PRIOR_SERVICE" hidden="1">"c5726"</definedName>
    <definedName name="IQ_PENSION_CI_PRIOR_SERVICE_DOM" hidden="1">"c5724"</definedName>
    <definedName name="IQ_PENSION_CI_PRIOR_SERVICE_FOREIGN" hidden="1">"c5725"</definedName>
    <definedName name="IQ_PENSION_CI_TRANSITION" hidden="1">"c5729"</definedName>
    <definedName name="IQ_PENSION_CI_TRANSITION_DOM" hidden="1">"c5727"</definedName>
    <definedName name="IQ_PENSION_CI_TRANSITION_FOREIGN" hidden="1">"c5728"</definedName>
    <definedName name="IQ_PENSION_CL" hidden="1">"c5753"</definedName>
    <definedName name="IQ_PENSION_CL_DOM" hidden="1">"c5751"</definedName>
    <definedName name="IQ_PENSION_CL_FOREIGN" hidden="1">"c5752"</definedName>
    <definedName name="IQ_PENSION_CONTRIBUTION_TOTAL_COST" hidden="1">"c3559"</definedName>
    <definedName name="IQ_PENSION_DISC_RATE_MAX" hidden="1">"c3236"</definedName>
    <definedName name="IQ_PENSION_DISC_RATE_MAX_DOM" hidden="1">"c3234"</definedName>
    <definedName name="IQ_PENSION_DISC_RATE_MAX_FOREIGN" hidden="1">"c3235"</definedName>
    <definedName name="IQ_PENSION_DISC_RATE_MIN" hidden="1">"c3233"</definedName>
    <definedName name="IQ_PENSION_DISC_RATE_MIN_DOM" hidden="1">"c3231"</definedName>
    <definedName name="IQ_PENSION_DISC_RATE_MIN_FOREIGN" hidden="1">"c3232"</definedName>
    <definedName name="IQ_PENSION_DISCOUNT_RATE_DOMESTIC" hidden="1">"c3573"</definedName>
    <definedName name="IQ_PENSION_DISCOUNT_RATE_FOREIGN" hidden="1">"c3574"</definedName>
    <definedName name="IQ_PENSION_EST_BENEFIT_1YR" hidden="1">"c3113"</definedName>
    <definedName name="IQ_PENSION_EST_BENEFIT_1YR_DOM" hidden="1">"c3111"</definedName>
    <definedName name="IQ_PENSION_EST_BENEFIT_1YR_FOREIGN" hidden="1">"c3112"</definedName>
    <definedName name="IQ_PENSION_EST_BENEFIT_2YR" hidden="1">"c3116"</definedName>
    <definedName name="IQ_PENSION_EST_BENEFIT_2YR_DOM" hidden="1">"c3114"</definedName>
    <definedName name="IQ_PENSION_EST_BENEFIT_2YR_FOREIGN" hidden="1">"c3115"</definedName>
    <definedName name="IQ_PENSION_EST_BENEFIT_3YR" hidden="1">"c3119"</definedName>
    <definedName name="IQ_PENSION_EST_BENEFIT_3YR_DOM" hidden="1">"c3117"</definedName>
    <definedName name="IQ_PENSION_EST_BENEFIT_3YR_FOREIGN" hidden="1">"c3118"</definedName>
    <definedName name="IQ_PENSION_EST_BENEFIT_4YR" hidden="1">"c3122"</definedName>
    <definedName name="IQ_PENSION_EST_BENEFIT_4YR_DOM" hidden="1">"c3120"</definedName>
    <definedName name="IQ_PENSION_EST_BENEFIT_4YR_FOREIGN" hidden="1">"c3121"</definedName>
    <definedName name="IQ_PENSION_EST_BENEFIT_5YR" hidden="1">"c3125"</definedName>
    <definedName name="IQ_PENSION_EST_BENEFIT_5YR_DOM" hidden="1">"c3123"</definedName>
    <definedName name="IQ_PENSION_EST_BENEFIT_5YR_FOREIGN" hidden="1">"c3124"</definedName>
    <definedName name="IQ_PENSION_EST_BENEFIT_AFTER5" hidden="1">"c3128"</definedName>
    <definedName name="IQ_PENSION_EST_BENEFIT_AFTER5_DOM" hidden="1">"c3126"</definedName>
    <definedName name="IQ_PENSION_EST_BENEFIT_AFTER5_FOREIGN" hidden="1">"c3127"</definedName>
    <definedName name="IQ_PENSION_EST_CONTRIBUTIONS_NEXTYR" hidden="1">"c3218"</definedName>
    <definedName name="IQ_PENSION_EST_CONTRIBUTIONS_NEXTYR_DOM" hidden="1">"c3216"</definedName>
    <definedName name="IQ_PENSION_EST_CONTRIBUTIONS_NEXTYR_FOREIGN" hidden="1">"c3217"</definedName>
    <definedName name="IQ_PENSION_EXP_RATE_RETURN_MAX" hidden="1">"c3248"</definedName>
    <definedName name="IQ_PENSION_EXP_RATE_RETURN_MAX_DOM" hidden="1">"c3246"</definedName>
    <definedName name="IQ_PENSION_EXP_RATE_RETURN_MAX_FOREIGN" hidden="1">"c3247"</definedName>
    <definedName name="IQ_PENSION_EXP_RATE_RETURN_MIN" hidden="1">"c3245"</definedName>
    <definedName name="IQ_PENSION_EXP_RATE_RETURN_MIN_DOM" hidden="1">"c3243"</definedName>
    <definedName name="IQ_PENSION_EXP_RATE_RETURN_MIN_FOREIGN" hidden="1">"c3244"</definedName>
    <definedName name="IQ_PENSION_EXP_RETURN_DOMESTIC" hidden="1">"c3571"</definedName>
    <definedName name="IQ_PENSION_EXP_RETURN_FOREIGN" hidden="1">"c3572"</definedName>
    <definedName name="IQ_PENSION_INTAN_ASSETS" hidden="1">"c3137"</definedName>
    <definedName name="IQ_PENSION_INTAN_ASSETS_DOM" hidden="1">"c3135"</definedName>
    <definedName name="IQ_PENSION_INTAN_ASSETS_FOREIGN" hidden="1">"c3136"</definedName>
    <definedName name="IQ_PENSION_INTEREST_COST" hidden="1">"c3582"</definedName>
    <definedName name="IQ_PENSION_INTEREST_COST_DOM" hidden="1">"c3580"</definedName>
    <definedName name="IQ_PENSION_INTEREST_COST_FOREIGN" hidden="1">"c3581"</definedName>
    <definedName name="IQ_PENSION_LT_ASSETS" hidden="1">"c5750"</definedName>
    <definedName name="IQ_PENSION_LT_ASSETS_DOM" hidden="1">"c5748"</definedName>
    <definedName name="IQ_PENSION_LT_ASSETS_FOREIGN" hidden="1">"c5749"</definedName>
    <definedName name="IQ_PENSION_LT_LIAB" hidden="1">"c5756"</definedName>
    <definedName name="IQ_PENSION_LT_LIAB_DOM" hidden="1">"c5754"</definedName>
    <definedName name="IQ_PENSION_LT_LIAB_FOREIGN" hidden="1">"c5755"</definedName>
    <definedName name="IQ_PENSION_NET_ASSET_RECOG" hidden="1">"c3152"</definedName>
    <definedName name="IQ_PENSION_NET_ASSET_RECOG_DOM" hidden="1">"c3150"</definedName>
    <definedName name="IQ_PENSION_NET_ASSET_RECOG_FOREIGN" hidden="1">"c3151"</definedName>
    <definedName name="IQ_PENSION_OBLIGATION_ACQ" hidden="1">"c3206"</definedName>
    <definedName name="IQ_PENSION_OBLIGATION_ACQ_DOM" hidden="1">"c3204"</definedName>
    <definedName name="IQ_PENSION_OBLIGATION_ACQ_FOREIGN" hidden="1">"c3205"</definedName>
    <definedName name="IQ_PENSION_OBLIGATION_ACTUARIAL_GAIN_LOSS" hidden="1">"c3197"</definedName>
    <definedName name="IQ_PENSION_OBLIGATION_ACTUARIAL_GAIN_LOSS_DOM" hidden="1">"c3195"</definedName>
    <definedName name="IQ_PENSION_OBLIGATION_ACTUARIAL_GAIN_LOSS_FOREIGN" hidden="1">"c3196"</definedName>
    <definedName name="IQ_PENSION_OBLIGATION_BEG" hidden="1">"c3185"</definedName>
    <definedName name="IQ_PENSION_OBLIGATION_BEG_DOM" hidden="1">"c3183"</definedName>
    <definedName name="IQ_PENSION_OBLIGATION_BEG_FOREIGN" hidden="1">"c3184"</definedName>
    <definedName name="IQ_PENSION_OBLIGATION_CURTAIL" hidden="1">"c3209"</definedName>
    <definedName name="IQ_PENSION_OBLIGATION_CURTAIL_DOM" hidden="1">"c3207"</definedName>
    <definedName name="IQ_PENSION_OBLIGATION_CURTAIL_FOREIGN" hidden="1">"c3208"</definedName>
    <definedName name="IQ_PENSION_OBLIGATION_EMPLOYEE_CONTRIBUTIONS" hidden="1">"c3194"</definedName>
    <definedName name="IQ_PENSION_OBLIGATION_EMPLOYEE_CONTRIBUTIONS_DOM" hidden="1">"c3192"</definedName>
    <definedName name="IQ_PENSION_OBLIGATION_EMPLOYEE_CONTRIBUTIONS_FOREIGN" hidden="1">"c3193"</definedName>
    <definedName name="IQ_PENSION_OBLIGATION_FX_ADJ" hidden="1">"c3203"</definedName>
    <definedName name="IQ_PENSION_OBLIGATION_FX_ADJ_DOM" hidden="1">"c3201"</definedName>
    <definedName name="IQ_PENSION_OBLIGATION_FX_ADJ_FOREIGN" hidden="1">"c3202"</definedName>
    <definedName name="IQ_PENSION_OBLIGATION_INTEREST_COST" hidden="1">"c3191"</definedName>
    <definedName name="IQ_PENSION_OBLIGATION_INTEREST_COST_DOM" hidden="1">"c3189"</definedName>
    <definedName name="IQ_PENSION_OBLIGATION_INTEREST_COST_FOREIGN" hidden="1">"c3190"</definedName>
    <definedName name="IQ_PENSION_OBLIGATION_OTHER_COST" hidden="1">"c3555"</definedName>
    <definedName name="IQ_PENSION_OBLIGATION_OTHER_COST_DOM" hidden="1">"c3553"</definedName>
    <definedName name="IQ_PENSION_OBLIGATION_OTHER_COST_FOREIGN" hidden="1">"c3554"</definedName>
    <definedName name="IQ_PENSION_OBLIGATION_OTHER_PLAN_ADJ" hidden="1">"c3212"</definedName>
    <definedName name="IQ_PENSION_OBLIGATION_OTHER_PLAN_ADJ_DOM" hidden="1">"c3210"</definedName>
    <definedName name="IQ_PENSION_OBLIGATION_OTHER_PLAN_ADJ_FOREIGN" hidden="1">"c3211"</definedName>
    <definedName name="IQ_PENSION_OBLIGATION_PAID" hidden="1">"c3200"</definedName>
    <definedName name="IQ_PENSION_OBLIGATION_PAID_DOM" hidden="1">"c3198"</definedName>
    <definedName name="IQ_PENSION_OBLIGATION_PAID_FOREIGN" hidden="1">"c3199"</definedName>
    <definedName name="IQ_PENSION_OBLIGATION_PROJECTED" hidden="1">"c3215"</definedName>
    <definedName name="IQ_PENSION_OBLIGATION_PROJECTED_DOM" hidden="1">"c3213"</definedName>
    <definedName name="IQ_PENSION_OBLIGATION_PROJECTED_FOREIGN" hidden="1">"c3214"</definedName>
    <definedName name="IQ_PENSION_OBLIGATION_ROA" hidden="1">"c3552"</definedName>
    <definedName name="IQ_PENSION_OBLIGATION_ROA_DOM" hidden="1">"c3550"</definedName>
    <definedName name="IQ_PENSION_OBLIGATION_ROA_FOREIGN" hidden="1">"c3551"</definedName>
    <definedName name="IQ_PENSION_OBLIGATION_SERVICE_COST" hidden="1">"c3188"</definedName>
    <definedName name="IQ_PENSION_OBLIGATION_SERVICE_COST_DOM" hidden="1">"c3186"</definedName>
    <definedName name="IQ_PENSION_OBLIGATION_SERVICE_COST_FOREIGN" hidden="1">"c3187"</definedName>
    <definedName name="IQ_PENSION_OBLIGATION_TOTAL_COST" hidden="1">"c3558"</definedName>
    <definedName name="IQ_PENSION_OBLIGATION_TOTAL_COST_DOM" hidden="1">"c3556"</definedName>
    <definedName name="IQ_PENSION_OBLIGATION_TOTAL_COST_FOREIGN" hidden="1">"c3557"</definedName>
    <definedName name="IQ_PENSION_OTHER" hidden="1">"c3143"</definedName>
    <definedName name="IQ_PENSION_OTHER_ADJ" hidden="1">"c3149"</definedName>
    <definedName name="IQ_PENSION_OTHER_ADJ_DOM" hidden="1">"c3147"</definedName>
    <definedName name="IQ_PENSION_OTHER_ADJ_FOREIGN" hidden="1">"c3148"</definedName>
    <definedName name="IQ_PENSION_OTHER_DOM" hidden="1">"c3141"</definedName>
    <definedName name="IQ_PENSION_OTHER_FOREIGN" hidden="1">"c3142"</definedName>
    <definedName name="IQ_PENSION_PBO_ASSUMED_RATE_RET_MAX" hidden="1">"c3254"</definedName>
    <definedName name="IQ_PENSION_PBO_ASSUMED_RATE_RET_MAX_DOM" hidden="1">"c3252"</definedName>
    <definedName name="IQ_PENSION_PBO_ASSUMED_RATE_RET_MAX_FOREIGN" hidden="1">"c3253"</definedName>
    <definedName name="IQ_PENSION_PBO_ASSUMED_RATE_RET_MIN" hidden="1">"c3251"</definedName>
    <definedName name="IQ_PENSION_PBO_ASSUMED_RATE_RET_MIN_DOM" hidden="1">"c3249"</definedName>
    <definedName name="IQ_PENSION_PBO_ASSUMED_RATE_RET_MIN_FOREIGN" hidden="1">"c3250"</definedName>
    <definedName name="IQ_PENSION_PBO_RATE_COMP_INCREASE_MAX" hidden="1">"c3260"</definedName>
    <definedName name="IQ_PENSION_PBO_RATE_COMP_INCREASE_MAX_DOM" hidden="1">"c3258"</definedName>
    <definedName name="IQ_PENSION_PBO_RATE_COMP_INCREASE_MAX_FOREIGN" hidden="1">"c3259"</definedName>
    <definedName name="IQ_PENSION_PBO_RATE_COMP_INCREASE_MIN" hidden="1">"c3257"</definedName>
    <definedName name="IQ_PENSION_PBO_RATE_COMP_INCREASE_MIN_DOM" hidden="1">"c3255"</definedName>
    <definedName name="IQ_PENSION_PBO_RATE_COMP_INCREASE_MIN_FOREIGN" hidden="1">"c3256"</definedName>
    <definedName name="IQ_PENSION_PREPAID_COST" hidden="1">"c3131"</definedName>
    <definedName name="IQ_PENSION_PREPAID_COST_DOM" hidden="1">"c3129"</definedName>
    <definedName name="IQ_PENSION_PREPAID_COST_FOREIGN" hidden="1">"c3130"</definedName>
    <definedName name="IQ_PENSION_PRIOR_SERVICE_NEXT" hidden="1">"c5741"</definedName>
    <definedName name="IQ_PENSION_PRIOR_SERVICE_NEXT_DOM" hidden="1">"c5739"</definedName>
    <definedName name="IQ_PENSION_PRIOR_SERVICE_NEXT_FOREIGN" hidden="1">"c5740"</definedName>
    <definedName name="IQ_PENSION_PROJECTED_OBLIGATION" hidden="1">"c3566"</definedName>
    <definedName name="IQ_PENSION_PROJECTED_OBLIGATION_DOMESTIC" hidden="1">"c3564"</definedName>
    <definedName name="IQ_PENSION_PROJECTED_OBLIGATION_FOREIGN" hidden="1">"c3565"</definedName>
    <definedName name="IQ_PENSION_QUART_ADDL_CONTRIBUTIONS_EXP" hidden="1">"c3224"</definedName>
    <definedName name="IQ_PENSION_QUART_ADDL_CONTRIBUTIONS_EXP_DOM" hidden="1">"c3222"</definedName>
    <definedName name="IQ_PENSION_QUART_ADDL_CONTRIBUTIONS_EXP_FOREIGN" hidden="1">"c3223"</definedName>
    <definedName name="IQ_PENSION_QUART_EMPLOYER_CONTRIBUTIONS" hidden="1">"c3221"</definedName>
    <definedName name="IQ_PENSION_QUART_EMPLOYER_CONTRIBUTIONS_DOM" hidden="1">"c3219"</definedName>
    <definedName name="IQ_PENSION_QUART_EMPLOYER_CONTRIBUTIONS_FOREIGN" hidden="1">"c3220"</definedName>
    <definedName name="IQ_PENSION_RATE_COMP_GROWTH_DOMESTIC" hidden="1">"c3575"</definedName>
    <definedName name="IQ_PENSION_RATE_COMP_GROWTH_FOREIGN" hidden="1">"c3576"</definedName>
    <definedName name="IQ_PENSION_RATE_COMP_INCREASE_MAX" hidden="1">"c3242"</definedName>
    <definedName name="IQ_PENSION_RATE_COMP_INCREASE_MAX_DOM" hidden="1">"c3240"</definedName>
    <definedName name="IQ_PENSION_RATE_COMP_INCREASE_MAX_FOREIGN" hidden="1">"c3241"</definedName>
    <definedName name="IQ_PENSION_RATE_COMP_INCREASE_MIN" hidden="1">"c3239"</definedName>
    <definedName name="IQ_PENSION_RATE_COMP_INCREASE_MIN_DOM" hidden="1">"c3237"</definedName>
    <definedName name="IQ_PENSION_RATE_COMP_INCREASE_MIN_FOREIGN" hidden="1">"c3238"</definedName>
    <definedName name="IQ_PENSION_SERVICE_COST" hidden="1">"c3579"</definedName>
    <definedName name="IQ_PENSION_SERVICE_COST_DOM" hidden="1">"c3577"</definedName>
    <definedName name="IQ_PENSION_SERVICE_COST_FOREIGN" hidden="1">"c3578"</definedName>
    <definedName name="IQ_PENSION_TOTAL_ASSETS" hidden="1">"c3563"</definedName>
    <definedName name="IQ_PENSION_TOTAL_ASSETS_DOMESTIC" hidden="1">"c3561"</definedName>
    <definedName name="IQ_PENSION_TOTAL_ASSETS_FOREIGN" hidden="1">"c3562"</definedName>
    <definedName name="IQ_PENSION_TOTAL_EXP" hidden="1">"c3560"</definedName>
    <definedName name="IQ_PENSION_TRANSITION_NEXT" hidden="1">"c5744"</definedName>
    <definedName name="IQ_PENSION_TRANSITION_NEXT_DOM" hidden="1">"c5742"</definedName>
    <definedName name="IQ_PENSION_TRANSITION_NEXT_FOREIGN" hidden="1">"c5743"</definedName>
    <definedName name="IQ_PENSION_UNFUNDED_ADDL_MIN_LIAB" hidden="1">"c3227"</definedName>
    <definedName name="IQ_PENSION_UNFUNDED_ADDL_MIN_LIAB_DOM" hidden="1">"c3225"</definedName>
    <definedName name="IQ_PENSION_UNFUNDED_ADDL_MIN_LIAB_FOREIGN" hidden="1">"c3226"</definedName>
    <definedName name="IQ_PENSION_UNRECOG_PRIOR" hidden="1">"c3146"</definedName>
    <definedName name="IQ_PENSION_UNRECOG_PRIOR_DOM" hidden="1">"c3144"</definedName>
    <definedName name="IQ_PENSION_UNRECOG_PRIOR_FOREIGN" hidden="1">"c3145"</definedName>
    <definedName name="IQ_PENSION_UV_LIAB" hidden="1">"c3567"</definedName>
    <definedName name="IQ_PERCENT_CHANGE_EST_5YR_GROWTH_RATE_12MONTHS" hidden="1">"c1852"</definedName>
    <definedName name="IQ_PERCENT_CHANGE_EST_5YR_GROWTH_RATE_12MONTHS_CIQ" hidden="1">"c3790"</definedName>
    <definedName name="IQ_PERCENT_CHANGE_EST_5YR_GROWTH_RATE_12MONTHS_REUT" hidden="1">"c3959"</definedName>
    <definedName name="IQ_PERCENT_CHANGE_EST_5YR_GROWTH_RATE_12MONTHS_THOM" hidden="1">"c5269"</definedName>
    <definedName name="IQ_PERCENT_CHANGE_EST_5YR_GROWTH_RATE_18MONTHS" hidden="1">"c1853"</definedName>
    <definedName name="IQ_PERCENT_CHANGE_EST_5YR_GROWTH_RATE_18MONTHS_CIQ" hidden="1">"c3791"</definedName>
    <definedName name="IQ_PERCENT_CHANGE_EST_5YR_GROWTH_RATE_18MONTHS_REUT" hidden="1">"c3960"</definedName>
    <definedName name="IQ_PERCENT_CHANGE_EST_5YR_GROWTH_RATE_18MONTHS_THOM" hidden="1">"c5270"</definedName>
    <definedName name="IQ_PERCENT_CHANGE_EST_5YR_GROWTH_RATE_3MONTHS" hidden="1">"c1849"</definedName>
    <definedName name="IQ_PERCENT_CHANGE_EST_5YR_GROWTH_RATE_3MONTHS_CIQ" hidden="1">"c3787"</definedName>
    <definedName name="IQ_PERCENT_CHANGE_EST_5YR_GROWTH_RATE_3MONTHS_REUT" hidden="1">"c3956"</definedName>
    <definedName name="IQ_PERCENT_CHANGE_EST_5YR_GROWTH_RATE_3MONTHS_THOM" hidden="1">"c5266"</definedName>
    <definedName name="IQ_PERCENT_CHANGE_EST_5YR_GROWTH_RATE_6MONTHS" hidden="1">"c1850"</definedName>
    <definedName name="IQ_PERCENT_CHANGE_EST_5YR_GROWTH_RATE_6MONTHS_CIQ" hidden="1">"c3788"</definedName>
    <definedName name="IQ_PERCENT_CHANGE_EST_5YR_GROWTH_RATE_6MONTHS_REUT" hidden="1">"c3957"</definedName>
    <definedName name="IQ_PERCENT_CHANGE_EST_5YR_GROWTH_RATE_6MONTHS_THOM" hidden="1">"c5267"</definedName>
    <definedName name="IQ_PERCENT_CHANGE_EST_5YR_GROWTH_RATE_9MONTHS" hidden="1">"c1851"</definedName>
    <definedName name="IQ_PERCENT_CHANGE_EST_5YR_GROWTH_RATE_9MONTHS_CIQ" hidden="1">"c3789"</definedName>
    <definedName name="IQ_PERCENT_CHANGE_EST_5YR_GROWTH_RATE_9MONTHS_REUT" hidden="1">"c3958"</definedName>
    <definedName name="IQ_PERCENT_CHANGE_EST_5YR_GROWTH_RATE_9MONTHS_THOM" hidden="1">"c5268"</definedName>
    <definedName name="IQ_PERCENT_CHANGE_EST_5YR_GROWTH_RATE_DAY" hidden="1">"c1846"</definedName>
    <definedName name="IQ_PERCENT_CHANGE_EST_5YR_GROWTH_RATE_DAY_CIQ" hidden="1">"c3785"</definedName>
    <definedName name="IQ_PERCENT_CHANGE_EST_5YR_GROWTH_RATE_DAY_REUT" hidden="1">"c3954"</definedName>
    <definedName name="IQ_PERCENT_CHANGE_EST_5YR_GROWTH_RATE_DAY_THOM" hidden="1">"c5264"</definedName>
    <definedName name="IQ_PERCENT_CHANGE_EST_5YR_GROWTH_RATE_MONTH" hidden="1">"c1848"</definedName>
    <definedName name="IQ_PERCENT_CHANGE_EST_5YR_GROWTH_RATE_MONTH_CIQ" hidden="1">"c3786"</definedName>
    <definedName name="IQ_PERCENT_CHANGE_EST_5YR_GROWTH_RATE_MONTH_REUT" hidden="1">"c3955"</definedName>
    <definedName name="IQ_PERCENT_CHANGE_EST_5YR_GROWTH_RATE_MONTH_THOM" hidden="1">"c5265"</definedName>
    <definedName name="IQ_PERCENT_CHANGE_EST_5YR_GROWTH_RATE_WEEK" hidden="1">"c1847"</definedName>
    <definedName name="IQ_PERCENT_CHANGE_EST_5YR_GROWTH_RATE_WEEK_CIQ" hidden="1">"c3797"</definedName>
    <definedName name="IQ_PERCENT_CHANGE_EST_5YR_GROWTH_RATE_WEEK_REUT" hidden="1">"c5435"</definedName>
    <definedName name="IQ_PERCENT_CHANGE_EST_5YR_GROWTH_RATE_WEEK_THOM" hidden="1">"c5277"</definedName>
    <definedName name="IQ_PERCENT_CHANGE_EST_CFPS_12MONTHS" hidden="1">"c1812"</definedName>
    <definedName name="IQ_PERCENT_CHANGE_EST_CFPS_12MONTHS_CIQ" hidden="1">"c3755"</definedName>
    <definedName name="IQ_PERCENT_CHANGE_EST_CFPS_12MONTHS_REUT" hidden="1">"c3924"</definedName>
    <definedName name="IQ_PERCENT_CHANGE_EST_CFPS_12MONTHS_THOM" hidden="1">"c5234"</definedName>
    <definedName name="IQ_PERCENT_CHANGE_EST_CFPS_18MONTHS" hidden="1">"c1813"</definedName>
    <definedName name="IQ_PERCENT_CHANGE_EST_CFPS_18MONTHS_CIQ" hidden="1">"c3756"</definedName>
    <definedName name="IQ_PERCENT_CHANGE_EST_CFPS_18MONTHS_REUT" hidden="1">"c3925"</definedName>
    <definedName name="IQ_PERCENT_CHANGE_EST_CFPS_18MONTHS_THOM" hidden="1">"c5235"</definedName>
    <definedName name="IQ_PERCENT_CHANGE_EST_CFPS_3MONTHS" hidden="1">"c1809"</definedName>
    <definedName name="IQ_PERCENT_CHANGE_EST_CFPS_3MONTHS_CIQ" hidden="1">"c3752"</definedName>
    <definedName name="IQ_PERCENT_CHANGE_EST_CFPS_3MONTHS_REUT" hidden="1">"c3921"</definedName>
    <definedName name="IQ_PERCENT_CHANGE_EST_CFPS_3MONTHS_THOM" hidden="1">"c5231"</definedName>
    <definedName name="IQ_PERCENT_CHANGE_EST_CFPS_6MONTHS" hidden="1">"c1810"</definedName>
    <definedName name="IQ_PERCENT_CHANGE_EST_CFPS_6MONTHS_CIQ" hidden="1">"c3753"</definedName>
    <definedName name="IQ_PERCENT_CHANGE_EST_CFPS_6MONTHS_REUT" hidden="1">"c3922"</definedName>
    <definedName name="IQ_PERCENT_CHANGE_EST_CFPS_6MONTHS_THOM" hidden="1">"c5232"</definedName>
    <definedName name="IQ_PERCENT_CHANGE_EST_CFPS_9MONTHS" hidden="1">"c1811"</definedName>
    <definedName name="IQ_PERCENT_CHANGE_EST_CFPS_9MONTHS_CIQ" hidden="1">"c3754"</definedName>
    <definedName name="IQ_PERCENT_CHANGE_EST_CFPS_9MONTHS_REUT" hidden="1">"c3923"</definedName>
    <definedName name="IQ_PERCENT_CHANGE_EST_CFPS_9MONTHS_THOM" hidden="1">"c5233"</definedName>
    <definedName name="IQ_PERCENT_CHANGE_EST_CFPS_DAY" hidden="1">"c1806"</definedName>
    <definedName name="IQ_PERCENT_CHANGE_EST_CFPS_DAY_CIQ" hidden="1">"c3750"</definedName>
    <definedName name="IQ_PERCENT_CHANGE_EST_CFPS_DAY_REUT" hidden="1">"c3919"</definedName>
    <definedName name="IQ_PERCENT_CHANGE_EST_CFPS_DAY_THOM" hidden="1">"c5229"</definedName>
    <definedName name="IQ_PERCENT_CHANGE_EST_CFPS_MONTH" hidden="1">"c1808"</definedName>
    <definedName name="IQ_PERCENT_CHANGE_EST_CFPS_MONTH_CIQ" hidden="1">"c3751"</definedName>
    <definedName name="IQ_PERCENT_CHANGE_EST_CFPS_MONTH_REUT" hidden="1">"c3920"</definedName>
    <definedName name="IQ_PERCENT_CHANGE_EST_CFPS_MONTH_THOM" hidden="1">"c5230"</definedName>
    <definedName name="IQ_PERCENT_CHANGE_EST_CFPS_WEEK" hidden="1">"c1807"</definedName>
    <definedName name="IQ_PERCENT_CHANGE_EST_CFPS_WEEK_CIQ" hidden="1">"c3793"</definedName>
    <definedName name="IQ_PERCENT_CHANGE_EST_CFPS_WEEK_REUT" hidden="1">"c3962"</definedName>
    <definedName name="IQ_PERCENT_CHANGE_EST_CFPS_WEEK_THOM" hidden="1">"c5272"</definedName>
    <definedName name="IQ_PERCENT_CHANGE_EST_DPS_12MONTHS" hidden="1">"c1820"</definedName>
    <definedName name="IQ_PERCENT_CHANGE_EST_DPS_12MONTHS_CIQ" hidden="1">"c3762"</definedName>
    <definedName name="IQ_PERCENT_CHANGE_EST_DPS_12MONTHS_REUT" hidden="1">"c3931"</definedName>
    <definedName name="IQ_PERCENT_CHANGE_EST_DPS_12MONTHS_THOM" hidden="1">"c5241"</definedName>
    <definedName name="IQ_PERCENT_CHANGE_EST_DPS_18MONTHS" hidden="1">"c1821"</definedName>
    <definedName name="IQ_PERCENT_CHANGE_EST_DPS_18MONTHS_CIQ" hidden="1">"c3763"</definedName>
    <definedName name="IQ_PERCENT_CHANGE_EST_DPS_18MONTHS_REUT" hidden="1">"c3932"</definedName>
    <definedName name="IQ_PERCENT_CHANGE_EST_DPS_18MONTHS_THOM" hidden="1">"c5242"</definedName>
    <definedName name="IQ_PERCENT_CHANGE_EST_DPS_3MONTHS" hidden="1">"c1817"</definedName>
    <definedName name="IQ_PERCENT_CHANGE_EST_DPS_3MONTHS_CIQ" hidden="1">"c3759"</definedName>
    <definedName name="IQ_PERCENT_CHANGE_EST_DPS_3MONTHS_REUT" hidden="1">"c3928"</definedName>
    <definedName name="IQ_PERCENT_CHANGE_EST_DPS_3MONTHS_THOM" hidden="1">"c5238"</definedName>
    <definedName name="IQ_PERCENT_CHANGE_EST_DPS_6MONTHS" hidden="1">"c1818"</definedName>
    <definedName name="IQ_PERCENT_CHANGE_EST_DPS_6MONTHS_CIQ" hidden="1">"c3760"</definedName>
    <definedName name="IQ_PERCENT_CHANGE_EST_DPS_6MONTHS_REUT" hidden="1">"c3929"</definedName>
    <definedName name="IQ_PERCENT_CHANGE_EST_DPS_6MONTHS_THOM" hidden="1">"c5239"</definedName>
    <definedName name="IQ_PERCENT_CHANGE_EST_DPS_9MONTHS" hidden="1">"c1819"</definedName>
    <definedName name="IQ_PERCENT_CHANGE_EST_DPS_9MONTHS_CIQ" hidden="1">"c3761"</definedName>
    <definedName name="IQ_PERCENT_CHANGE_EST_DPS_9MONTHS_REUT" hidden="1">"c3930"</definedName>
    <definedName name="IQ_PERCENT_CHANGE_EST_DPS_9MONTHS_THOM" hidden="1">"c5240"</definedName>
    <definedName name="IQ_PERCENT_CHANGE_EST_DPS_DAY" hidden="1">"c1814"</definedName>
    <definedName name="IQ_PERCENT_CHANGE_EST_DPS_DAY_CIQ" hidden="1">"c3757"</definedName>
    <definedName name="IQ_PERCENT_CHANGE_EST_DPS_DAY_REUT" hidden="1">"c3926"</definedName>
    <definedName name="IQ_PERCENT_CHANGE_EST_DPS_DAY_THOM" hidden="1">"c5236"</definedName>
    <definedName name="IQ_PERCENT_CHANGE_EST_DPS_MONTH" hidden="1">"c1816"</definedName>
    <definedName name="IQ_PERCENT_CHANGE_EST_DPS_MONTH_CIQ" hidden="1">"c3758"</definedName>
    <definedName name="IQ_PERCENT_CHANGE_EST_DPS_MONTH_REUT" hidden="1">"c3927"</definedName>
    <definedName name="IQ_PERCENT_CHANGE_EST_DPS_MONTH_THOM" hidden="1">"c5237"</definedName>
    <definedName name="IQ_PERCENT_CHANGE_EST_DPS_WEEK" hidden="1">"c1815"</definedName>
    <definedName name="IQ_PERCENT_CHANGE_EST_DPS_WEEK_CIQ" hidden="1">"c3794"</definedName>
    <definedName name="IQ_PERCENT_CHANGE_EST_DPS_WEEK_REUT" hidden="1">"c3963"</definedName>
    <definedName name="IQ_PERCENT_CHANGE_EST_DPS_WEEK_THOM" hidden="1">"c5273"</definedName>
    <definedName name="IQ_PERCENT_CHANGE_EST_EBITDA_12MONTHS" hidden="1">"c1804"</definedName>
    <definedName name="IQ_PERCENT_CHANGE_EST_EBITDA_12MONTHS_CIQ" hidden="1">"c3748"</definedName>
    <definedName name="IQ_PERCENT_CHANGE_EST_EBITDA_12MONTHS_REUT" hidden="1">"c3917"</definedName>
    <definedName name="IQ_PERCENT_CHANGE_EST_EBITDA_12MONTHS_THOM" hidden="1">"c5227"</definedName>
    <definedName name="IQ_PERCENT_CHANGE_EST_EBITDA_18MONTHS" hidden="1">"c1805"</definedName>
    <definedName name="IQ_PERCENT_CHANGE_EST_EBITDA_18MONTHS_CIQ" hidden="1">"c3749"</definedName>
    <definedName name="IQ_PERCENT_CHANGE_EST_EBITDA_18MONTHS_REUT" hidden="1">"c3918"</definedName>
    <definedName name="IQ_PERCENT_CHANGE_EST_EBITDA_18MONTHS_THOM" hidden="1">"c5228"</definedName>
    <definedName name="IQ_PERCENT_CHANGE_EST_EBITDA_3MONTHS" hidden="1">"c1801"</definedName>
    <definedName name="IQ_PERCENT_CHANGE_EST_EBITDA_3MONTHS_CIQ" hidden="1">"c3745"</definedName>
    <definedName name="IQ_PERCENT_CHANGE_EST_EBITDA_3MONTHS_REUT" hidden="1">"c3914"</definedName>
    <definedName name="IQ_PERCENT_CHANGE_EST_EBITDA_3MONTHS_THOM" hidden="1">"c5224"</definedName>
    <definedName name="IQ_PERCENT_CHANGE_EST_EBITDA_6MONTHS" hidden="1">"c1802"</definedName>
    <definedName name="IQ_PERCENT_CHANGE_EST_EBITDA_6MONTHS_CIQ" hidden="1">"c3746"</definedName>
    <definedName name="IQ_PERCENT_CHANGE_EST_EBITDA_6MONTHS_REUT" hidden="1">"c3915"</definedName>
    <definedName name="IQ_PERCENT_CHANGE_EST_EBITDA_6MONTHS_THOM" hidden="1">"c5225"</definedName>
    <definedName name="IQ_PERCENT_CHANGE_EST_EBITDA_9MONTHS" hidden="1">"c1803"</definedName>
    <definedName name="IQ_PERCENT_CHANGE_EST_EBITDA_9MONTHS_CIQ" hidden="1">"c3747"</definedName>
    <definedName name="IQ_PERCENT_CHANGE_EST_EBITDA_9MONTHS_REUT" hidden="1">"c3916"</definedName>
    <definedName name="IQ_PERCENT_CHANGE_EST_EBITDA_9MONTHS_THOM" hidden="1">"c5226"</definedName>
    <definedName name="IQ_PERCENT_CHANGE_EST_EBITDA_DAY" hidden="1">"c1798"</definedName>
    <definedName name="IQ_PERCENT_CHANGE_EST_EBITDA_DAY_CIQ" hidden="1">"c3743"</definedName>
    <definedName name="IQ_PERCENT_CHANGE_EST_EBITDA_DAY_REUT" hidden="1">"c3912"</definedName>
    <definedName name="IQ_PERCENT_CHANGE_EST_EBITDA_DAY_THOM" hidden="1">"c5222"</definedName>
    <definedName name="IQ_PERCENT_CHANGE_EST_EBITDA_MONTH" hidden="1">"c1800"</definedName>
    <definedName name="IQ_PERCENT_CHANGE_EST_EBITDA_MONTH_CIQ" hidden="1">"c3744"</definedName>
    <definedName name="IQ_PERCENT_CHANGE_EST_EBITDA_MONTH_REUT" hidden="1">"c3913"</definedName>
    <definedName name="IQ_PERCENT_CHANGE_EST_EBITDA_MONTH_THOM" hidden="1">"c5223"</definedName>
    <definedName name="IQ_PERCENT_CHANGE_EST_EBITDA_WEEK" hidden="1">"c1799"</definedName>
    <definedName name="IQ_PERCENT_CHANGE_EST_EBITDA_WEEK_CIQ" hidden="1">"c3792"</definedName>
    <definedName name="IQ_PERCENT_CHANGE_EST_EBITDA_WEEK_REUT" hidden="1">"c3961"</definedName>
    <definedName name="IQ_PERCENT_CHANGE_EST_EBITDA_WEEK_THOM" hidden="1">"c5271"</definedName>
    <definedName name="IQ_PERCENT_CHANGE_EST_EPS_12MONTHS" hidden="1">"c1788"</definedName>
    <definedName name="IQ_PERCENT_CHANGE_EST_EPS_12MONTHS_CIQ" hidden="1">"c3733"</definedName>
    <definedName name="IQ_PERCENT_CHANGE_EST_EPS_12MONTHS_REUT" hidden="1">"c3902"</definedName>
    <definedName name="IQ_PERCENT_CHANGE_EST_EPS_12MONTHS_THOM" hidden="1">"c5212"</definedName>
    <definedName name="IQ_PERCENT_CHANGE_EST_EPS_18MONTHS" hidden="1">"c1789"</definedName>
    <definedName name="IQ_PERCENT_CHANGE_EST_EPS_18MONTHS_CIQ" hidden="1">"c3734"</definedName>
    <definedName name="IQ_PERCENT_CHANGE_EST_EPS_18MONTHS_REUT" hidden="1">"c3903"</definedName>
    <definedName name="IQ_PERCENT_CHANGE_EST_EPS_18MONTHS_THOM" hidden="1">"c5213"</definedName>
    <definedName name="IQ_PERCENT_CHANGE_EST_EPS_3MONTHS" hidden="1">"c1785"</definedName>
    <definedName name="IQ_PERCENT_CHANGE_EST_EPS_3MONTHS_CIQ" hidden="1">"c3730"</definedName>
    <definedName name="IQ_PERCENT_CHANGE_EST_EPS_3MONTHS_REUT" hidden="1">"c3899"</definedName>
    <definedName name="IQ_PERCENT_CHANGE_EST_EPS_3MONTHS_THOM" hidden="1">"c5209"</definedName>
    <definedName name="IQ_PERCENT_CHANGE_EST_EPS_6MONTHS" hidden="1">"c1786"</definedName>
    <definedName name="IQ_PERCENT_CHANGE_EST_EPS_6MONTHS_CIQ" hidden="1">"c3731"</definedName>
    <definedName name="IQ_PERCENT_CHANGE_EST_EPS_6MONTHS_REUT" hidden="1">"c3900"</definedName>
    <definedName name="IQ_PERCENT_CHANGE_EST_EPS_6MONTHS_THOM" hidden="1">"c5210"</definedName>
    <definedName name="IQ_PERCENT_CHANGE_EST_EPS_9MONTHS" hidden="1">"c1787"</definedName>
    <definedName name="IQ_PERCENT_CHANGE_EST_EPS_9MONTHS_CIQ" hidden="1">"c3732"</definedName>
    <definedName name="IQ_PERCENT_CHANGE_EST_EPS_9MONTHS_REUT" hidden="1">"c3901"</definedName>
    <definedName name="IQ_PERCENT_CHANGE_EST_EPS_9MONTHS_THOM" hidden="1">"c5211"</definedName>
    <definedName name="IQ_PERCENT_CHANGE_EST_EPS_DAY" hidden="1">"c1782"</definedName>
    <definedName name="IQ_PERCENT_CHANGE_EST_EPS_DAY_CIQ" hidden="1">"c3727"</definedName>
    <definedName name="IQ_PERCENT_CHANGE_EST_EPS_DAY_REUT" hidden="1">"c3896"</definedName>
    <definedName name="IQ_PERCENT_CHANGE_EST_EPS_DAY_THOM" hidden="1">"c5206"</definedName>
    <definedName name="IQ_PERCENT_CHANGE_EST_EPS_MONTH" hidden="1">"c1784"</definedName>
    <definedName name="IQ_PERCENT_CHANGE_EST_EPS_MONTH_CIQ" hidden="1">"c3729"</definedName>
    <definedName name="IQ_PERCENT_CHANGE_EST_EPS_MONTH_REUT" hidden="1">"c3898"</definedName>
    <definedName name="IQ_PERCENT_CHANGE_EST_EPS_MONTH_THOM" hidden="1">"c5208"</definedName>
    <definedName name="IQ_PERCENT_CHANGE_EST_EPS_WEEK" hidden="1">"c1783"</definedName>
    <definedName name="IQ_PERCENT_CHANGE_EST_EPS_WEEK_CIQ" hidden="1">"c3728"</definedName>
    <definedName name="IQ_PERCENT_CHANGE_EST_EPS_WEEK_REUT" hidden="1">"c3897"</definedName>
    <definedName name="IQ_PERCENT_CHANGE_EST_EPS_WEEK_THOM" hidden="1">"c5207"</definedName>
    <definedName name="IQ_PERCENT_CHANGE_EST_FFO_12MONTHS" hidden="1">"c1828"</definedName>
    <definedName name="IQ_PERCENT_CHANGE_EST_FFO_12MONTHS_CIQ" hidden="1">"c3769"</definedName>
    <definedName name="IQ_PERCENT_CHANGE_EST_FFO_12MONTHS_REUT" hidden="1">"c3938"</definedName>
    <definedName name="IQ_PERCENT_CHANGE_EST_FFO_12MONTHS_THOM" hidden="1">"c5248"</definedName>
    <definedName name="IQ_PERCENT_CHANGE_EST_FFO_18MONTHS" hidden="1">"c1829"</definedName>
    <definedName name="IQ_PERCENT_CHANGE_EST_FFO_18MONTHS_CIQ" hidden="1">"c3770"</definedName>
    <definedName name="IQ_PERCENT_CHANGE_EST_FFO_18MONTHS_REUT" hidden="1">"c3939"</definedName>
    <definedName name="IQ_PERCENT_CHANGE_EST_FFO_18MONTHS_THOM" hidden="1">"c5249"</definedName>
    <definedName name="IQ_PERCENT_CHANGE_EST_FFO_3MONTHS" hidden="1">"c1825"</definedName>
    <definedName name="IQ_PERCENT_CHANGE_EST_FFO_3MONTHS_CIQ" hidden="1">"c3766"</definedName>
    <definedName name="IQ_PERCENT_CHANGE_EST_FFO_3MONTHS_REUT" hidden="1">"c3935"</definedName>
    <definedName name="IQ_PERCENT_CHANGE_EST_FFO_3MONTHS_THOM" hidden="1">"c5245"</definedName>
    <definedName name="IQ_PERCENT_CHANGE_EST_FFO_6MONTHS" hidden="1">"c1826"</definedName>
    <definedName name="IQ_PERCENT_CHANGE_EST_FFO_6MONTHS_CIQ" hidden="1">"c3767"</definedName>
    <definedName name="IQ_PERCENT_CHANGE_EST_FFO_6MONTHS_REUT" hidden="1">"c3936"</definedName>
    <definedName name="IQ_PERCENT_CHANGE_EST_FFO_6MONTHS_THOM" hidden="1">"c5246"</definedName>
    <definedName name="IQ_PERCENT_CHANGE_EST_FFO_9MONTHS" hidden="1">"c1827"</definedName>
    <definedName name="IQ_PERCENT_CHANGE_EST_FFO_9MONTHS_CIQ" hidden="1">"c3768"</definedName>
    <definedName name="IQ_PERCENT_CHANGE_EST_FFO_9MONTHS_REUT" hidden="1">"c3937"</definedName>
    <definedName name="IQ_PERCENT_CHANGE_EST_FFO_9MONTHS_THOM" hidden="1">"c5247"</definedName>
    <definedName name="IQ_PERCENT_CHANGE_EST_FFO_DAY" hidden="1">"c1822"</definedName>
    <definedName name="IQ_PERCENT_CHANGE_EST_FFO_DAY_CIQ" hidden="1">"c3764"</definedName>
    <definedName name="IQ_PERCENT_CHANGE_EST_FFO_DAY_REUT" hidden="1">"c3933"</definedName>
    <definedName name="IQ_PERCENT_CHANGE_EST_FFO_DAY_THOM" hidden="1">"c5243"</definedName>
    <definedName name="IQ_PERCENT_CHANGE_EST_FFO_MONTH" hidden="1">"c1824"</definedName>
    <definedName name="IQ_PERCENT_CHANGE_EST_FFO_MONTH_CIQ" hidden="1">"c3765"</definedName>
    <definedName name="IQ_PERCENT_CHANGE_EST_FFO_MONTH_REUT" hidden="1">"c3934"</definedName>
    <definedName name="IQ_PERCENT_CHANGE_EST_FFO_MONTH_THOM" hidden="1">"c5244"</definedName>
    <definedName name="IQ_PERCENT_CHANGE_EST_FFO_SHARE_12MONTHS" hidden="1">"c1828"</definedName>
    <definedName name="IQ_PERCENT_CHANGE_EST_FFO_SHARE_12MONTHS_CIQ" hidden="1">"c3769"</definedName>
    <definedName name="IQ_PERCENT_CHANGE_EST_FFO_SHARE_18MONTHS" hidden="1">"c1829"</definedName>
    <definedName name="IQ_PERCENT_CHANGE_EST_FFO_SHARE_18MONTHS_CIQ" hidden="1">"c3770"</definedName>
    <definedName name="IQ_PERCENT_CHANGE_EST_FFO_SHARE_3MONTHS" hidden="1">"c1825"</definedName>
    <definedName name="IQ_PERCENT_CHANGE_EST_FFO_SHARE_3MONTHS_CIQ" hidden="1">"c3766"</definedName>
    <definedName name="IQ_PERCENT_CHANGE_EST_FFO_SHARE_6MONTHS" hidden="1">"c1826"</definedName>
    <definedName name="IQ_PERCENT_CHANGE_EST_FFO_SHARE_6MONTHS_CIQ" hidden="1">"c3767"</definedName>
    <definedName name="IQ_PERCENT_CHANGE_EST_FFO_SHARE_9MONTHS" hidden="1">"c1827"</definedName>
    <definedName name="IQ_PERCENT_CHANGE_EST_FFO_SHARE_9MONTHS_CIQ" hidden="1">"c3768"</definedName>
    <definedName name="IQ_PERCENT_CHANGE_EST_FFO_SHARE_DAY" hidden="1">"c1822"</definedName>
    <definedName name="IQ_PERCENT_CHANGE_EST_FFO_SHARE_DAY_CIQ" hidden="1">"c3764"</definedName>
    <definedName name="IQ_PERCENT_CHANGE_EST_FFO_SHARE_MONTH" hidden="1">"c1824"</definedName>
    <definedName name="IQ_PERCENT_CHANGE_EST_FFO_SHARE_MONTH_CIQ" hidden="1">"c3765"</definedName>
    <definedName name="IQ_PERCENT_CHANGE_EST_FFO_SHARE_SHARE_12MONTHS" hidden="1">"c1828"</definedName>
    <definedName name="IQ_PERCENT_CHANGE_EST_FFO_SHARE_SHARE_12MONTHS_CIQ" hidden="1">"c3769"</definedName>
    <definedName name="IQ_PERCENT_CHANGE_EST_FFO_SHARE_SHARE_12MONTHS_REUT" hidden="1">"c3938"</definedName>
    <definedName name="IQ_PERCENT_CHANGE_EST_FFO_SHARE_SHARE_18MONTHS" hidden="1">"c1829"</definedName>
    <definedName name="IQ_PERCENT_CHANGE_EST_FFO_SHARE_SHARE_18MONTHS_CIQ" hidden="1">"c3770"</definedName>
    <definedName name="IQ_PERCENT_CHANGE_EST_FFO_SHARE_SHARE_18MONTHS_REUT" hidden="1">"c3939"</definedName>
    <definedName name="IQ_PERCENT_CHANGE_EST_FFO_SHARE_SHARE_3MONTHS" hidden="1">"c1825"</definedName>
    <definedName name="IQ_PERCENT_CHANGE_EST_FFO_SHARE_SHARE_3MONTHS_CIQ" hidden="1">"c3766"</definedName>
    <definedName name="IQ_PERCENT_CHANGE_EST_FFO_SHARE_SHARE_3MONTHS_REUT" hidden="1">"c3935"</definedName>
    <definedName name="IQ_PERCENT_CHANGE_EST_FFO_SHARE_SHARE_6MONTHS" hidden="1">"c1826"</definedName>
    <definedName name="IQ_PERCENT_CHANGE_EST_FFO_SHARE_SHARE_6MONTHS_CIQ" hidden="1">"c3767"</definedName>
    <definedName name="IQ_PERCENT_CHANGE_EST_FFO_SHARE_SHARE_6MONTHS_REUT" hidden="1">"c3936"</definedName>
    <definedName name="IQ_PERCENT_CHANGE_EST_FFO_SHARE_SHARE_9MONTHS" hidden="1">"c1827"</definedName>
    <definedName name="IQ_PERCENT_CHANGE_EST_FFO_SHARE_SHARE_9MONTHS_CIQ" hidden="1">"c3768"</definedName>
    <definedName name="IQ_PERCENT_CHANGE_EST_FFO_SHARE_SHARE_9MONTHS_REUT" hidden="1">"c3937"</definedName>
    <definedName name="IQ_PERCENT_CHANGE_EST_FFO_SHARE_SHARE_DAY" hidden="1">"c1822"</definedName>
    <definedName name="IQ_PERCENT_CHANGE_EST_FFO_SHARE_SHARE_DAY_CIQ" hidden="1">"c3764"</definedName>
    <definedName name="IQ_PERCENT_CHANGE_EST_FFO_SHARE_SHARE_DAY_REUT" hidden="1">"c3933"</definedName>
    <definedName name="IQ_PERCENT_CHANGE_EST_FFO_SHARE_SHARE_MONTH" hidden="1">"c1824"</definedName>
    <definedName name="IQ_PERCENT_CHANGE_EST_FFO_SHARE_SHARE_MONTH_CIQ" hidden="1">"c3765"</definedName>
    <definedName name="IQ_PERCENT_CHANGE_EST_FFO_SHARE_SHARE_MONTH_REUT" hidden="1">"c3934"</definedName>
    <definedName name="IQ_PERCENT_CHANGE_EST_FFO_SHARE_SHARE_WEEK" hidden="1">"c1823"</definedName>
    <definedName name="IQ_PERCENT_CHANGE_EST_FFO_SHARE_SHARE_WEEK_CIQ" hidden="1">"c3795"</definedName>
    <definedName name="IQ_PERCENT_CHANGE_EST_FFO_SHARE_SHARE_WEEK_REUT" hidden="1">"c3964"</definedName>
    <definedName name="IQ_PERCENT_CHANGE_EST_FFO_SHARE_WEEK" hidden="1">"c1823"</definedName>
    <definedName name="IQ_PERCENT_CHANGE_EST_FFO_SHARE_WEEK_CIQ" hidden="1">"c3795"</definedName>
    <definedName name="IQ_PERCENT_CHANGE_EST_FFO_WEEK" hidden="1">"c1823"</definedName>
    <definedName name="IQ_PERCENT_CHANGE_EST_FFO_WEEK_CIQ" hidden="1">"c3795"</definedName>
    <definedName name="IQ_PERCENT_CHANGE_EST_FFO_WEEK_REUT" hidden="1">"c3964"</definedName>
    <definedName name="IQ_PERCENT_CHANGE_EST_FFO_WEEK_THOM" hidden="1">"c5274"</definedName>
    <definedName name="IQ_PERCENT_CHANGE_EST_PRICE_TARGET_12MONTHS" hidden="1">"c1844"</definedName>
    <definedName name="IQ_PERCENT_CHANGE_EST_PRICE_TARGET_12MONTHS_CIQ" hidden="1">"c3783"</definedName>
    <definedName name="IQ_PERCENT_CHANGE_EST_PRICE_TARGET_12MONTHS_REUT" hidden="1">"c3952"</definedName>
    <definedName name="IQ_PERCENT_CHANGE_EST_PRICE_TARGET_12MONTHS_THOM" hidden="1">"c5262"</definedName>
    <definedName name="IQ_PERCENT_CHANGE_EST_PRICE_TARGET_18MONTHS" hidden="1">"c1845"</definedName>
    <definedName name="IQ_PERCENT_CHANGE_EST_PRICE_TARGET_18MONTHS_CIQ" hidden="1">"c3784"</definedName>
    <definedName name="IQ_PERCENT_CHANGE_EST_PRICE_TARGET_18MONTHS_REUT" hidden="1">"c3953"</definedName>
    <definedName name="IQ_PERCENT_CHANGE_EST_PRICE_TARGET_18MONTHS_THOM" hidden="1">"c5263"</definedName>
    <definedName name="IQ_PERCENT_CHANGE_EST_PRICE_TARGET_3MONTHS" hidden="1">"c1841"</definedName>
    <definedName name="IQ_PERCENT_CHANGE_EST_PRICE_TARGET_3MONTHS_CIQ" hidden="1">"c3780"</definedName>
    <definedName name="IQ_PERCENT_CHANGE_EST_PRICE_TARGET_3MONTHS_REUT" hidden="1">"c3949"</definedName>
    <definedName name="IQ_PERCENT_CHANGE_EST_PRICE_TARGET_3MONTHS_THOM" hidden="1">"c5259"</definedName>
    <definedName name="IQ_PERCENT_CHANGE_EST_PRICE_TARGET_6MONTHS" hidden="1">"c1842"</definedName>
    <definedName name="IQ_PERCENT_CHANGE_EST_PRICE_TARGET_6MONTHS_CIQ" hidden="1">"c3781"</definedName>
    <definedName name="IQ_PERCENT_CHANGE_EST_PRICE_TARGET_6MONTHS_REUT" hidden="1">"c3950"</definedName>
    <definedName name="IQ_PERCENT_CHANGE_EST_PRICE_TARGET_6MONTHS_THOM" hidden="1">"c5260"</definedName>
    <definedName name="IQ_PERCENT_CHANGE_EST_PRICE_TARGET_9MONTHS" hidden="1">"c1843"</definedName>
    <definedName name="IQ_PERCENT_CHANGE_EST_PRICE_TARGET_9MONTHS_CIQ" hidden="1">"c3782"</definedName>
    <definedName name="IQ_PERCENT_CHANGE_EST_PRICE_TARGET_9MONTHS_REUT" hidden="1">"c3951"</definedName>
    <definedName name="IQ_PERCENT_CHANGE_EST_PRICE_TARGET_9MONTHS_THOM" hidden="1">"c5261"</definedName>
    <definedName name="IQ_PERCENT_CHANGE_EST_PRICE_TARGET_DAY" hidden="1">"c1838"</definedName>
    <definedName name="IQ_PERCENT_CHANGE_EST_PRICE_TARGET_DAY_CIQ" hidden="1">"c3778"</definedName>
    <definedName name="IQ_PERCENT_CHANGE_EST_PRICE_TARGET_DAY_REUT" hidden="1">"c3947"</definedName>
    <definedName name="IQ_PERCENT_CHANGE_EST_PRICE_TARGET_DAY_THOM" hidden="1">"c5257"</definedName>
    <definedName name="IQ_PERCENT_CHANGE_EST_PRICE_TARGET_MONTH" hidden="1">"c1840"</definedName>
    <definedName name="IQ_PERCENT_CHANGE_EST_PRICE_TARGET_MONTH_CIQ" hidden="1">"c3779"</definedName>
    <definedName name="IQ_PERCENT_CHANGE_EST_PRICE_TARGET_MONTH_REUT" hidden="1">"c3948"</definedName>
    <definedName name="IQ_PERCENT_CHANGE_EST_PRICE_TARGET_MONTH_THOM" hidden="1">"c5258"</definedName>
    <definedName name="IQ_PERCENT_CHANGE_EST_PRICE_TARGET_WEEK" hidden="1">"c1839"</definedName>
    <definedName name="IQ_PERCENT_CHANGE_EST_PRICE_TARGET_WEEK_CIQ" hidden="1">"c3798"</definedName>
    <definedName name="IQ_PERCENT_CHANGE_EST_PRICE_TARGET_WEEK_REUT" hidden="1">"c3967"</definedName>
    <definedName name="IQ_PERCENT_CHANGE_EST_PRICE_TARGET_WEEK_THOM" hidden="1">"c5276"</definedName>
    <definedName name="IQ_PERCENT_CHANGE_EST_RECO_12MONTHS" hidden="1">"c1836"</definedName>
    <definedName name="IQ_PERCENT_CHANGE_EST_RECO_12MONTHS_CIQ" hidden="1">"c3776"</definedName>
    <definedName name="IQ_PERCENT_CHANGE_EST_RECO_12MONTHS_REUT" hidden="1">"c3945"</definedName>
    <definedName name="IQ_PERCENT_CHANGE_EST_RECO_12MONTHS_THOM" hidden="1">"c5255"</definedName>
    <definedName name="IQ_PERCENT_CHANGE_EST_RECO_18MONTHS" hidden="1">"c1837"</definedName>
    <definedName name="IQ_PERCENT_CHANGE_EST_RECO_18MONTHS_CIQ" hidden="1">"c3777"</definedName>
    <definedName name="IQ_PERCENT_CHANGE_EST_RECO_18MONTHS_REUT" hidden="1">"c3946"</definedName>
    <definedName name="IQ_PERCENT_CHANGE_EST_RECO_18MONTHS_THOM" hidden="1">"c5256"</definedName>
    <definedName name="IQ_PERCENT_CHANGE_EST_RECO_3MONTHS" hidden="1">"c1833"</definedName>
    <definedName name="IQ_PERCENT_CHANGE_EST_RECO_3MONTHS_CIQ" hidden="1">"c3773"</definedName>
    <definedName name="IQ_PERCENT_CHANGE_EST_RECO_3MONTHS_REUT" hidden="1">"c3942"</definedName>
    <definedName name="IQ_PERCENT_CHANGE_EST_RECO_3MONTHS_THOM" hidden="1">"c5252"</definedName>
    <definedName name="IQ_PERCENT_CHANGE_EST_RECO_6MONTHS" hidden="1">"c1834"</definedName>
    <definedName name="IQ_PERCENT_CHANGE_EST_RECO_6MONTHS_CIQ" hidden="1">"c3774"</definedName>
    <definedName name="IQ_PERCENT_CHANGE_EST_RECO_6MONTHS_REUT" hidden="1">"c3943"</definedName>
    <definedName name="IQ_PERCENT_CHANGE_EST_RECO_6MONTHS_THOM" hidden="1">"c5253"</definedName>
    <definedName name="IQ_PERCENT_CHANGE_EST_RECO_9MONTHS" hidden="1">"c1835"</definedName>
    <definedName name="IQ_PERCENT_CHANGE_EST_RECO_9MONTHS_CIQ" hidden="1">"c3775"</definedName>
    <definedName name="IQ_PERCENT_CHANGE_EST_RECO_9MONTHS_REUT" hidden="1">"c3944"</definedName>
    <definedName name="IQ_PERCENT_CHANGE_EST_RECO_9MONTHS_THOM" hidden="1">"c5254"</definedName>
    <definedName name="IQ_PERCENT_CHANGE_EST_RECO_DAY" hidden="1">"c1830"</definedName>
    <definedName name="IQ_PERCENT_CHANGE_EST_RECO_DAY_CIQ" hidden="1">"c3771"</definedName>
    <definedName name="IQ_PERCENT_CHANGE_EST_RECO_DAY_REUT" hidden="1">"c3940"</definedName>
    <definedName name="IQ_PERCENT_CHANGE_EST_RECO_DAY_THOM" hidden="1">"c5250"</definedName>
    <definedName name="IQ_PERCENT_CHANGE_EST_RECO_MONTH" hidden="1">"c1832"</definedName>
    <definedName name="IQ_PERCENT_CHANGE_EST_RECO_MONTH_CIQ" hidden="1">"c3772"</definedName>
    <definedName name="IQ_PERCENT_CHANGE_EST_RECO_MONTH_REUT" hidden="1">"c3941"</definedName>
    <definedName name="IQ_PERCENT_CHANGE_EST_RECO_MONTH_THOM" hidden="1">"c5251"</definedName>
    <definedName name="IQ_PERCENT_CHANGE_EST_RECO_WEEK" hidden="1">"c1831"</definedName>
    <definedName name="IQ_PERCENT_CHANGE_EST_RECO_WEEK_CIQ" hidden="1">"c3796"</definedName>
    <definedName name="IQ_PERCENT_CHANGE_EST_RECO_WEEK_REUT" hidden="1">"c3965"</definedName>
    <definedName name="IQ_PERCENT_CHANGE_EST_RECO_WEEK_THOM" hidden="1">"c5275"</definedName>
    <definedName name="IQ_PERCENT_CHANGE_EST_REV_12MONTHS" hidden="1">"c1796"</definedName>
    <definedName name="IQ_PERCENT_CHANGE_EST_REV_12MONTHS_CIQ" hidden="1">"c3741"</definedName>
    <definedName name="IQ_PERCENT_CHANGE_EST_REV_12MONTHS_REUT" hidden="1">"c3910"</definedName>
    <definedName name="IQ_PERCENT_CHANGE_EST_REV_12MONTHS_THOM" hidden="1">"c5220"</definedName>
    <definedName name="IQ_PERCENT_CHANGE_EST_REV_18MONTHS" hidden="1">"c1797"</definedName>
    <definedName name="IQ_PERCENT_CHANGE_EST_REV_18MONTHS_CIQ" hidden="1">"c3742"</definedName>
    <definedName name="IQ_PERCENT_CHANGE_EST_REV_18MONTHS_REUT" hidden="1">"c3911"</definedName>
    <definedName name="IQ_PERCENT_CHANGE_EST_REV_18MONTHS_THOM" hidden="1">"c5221"</definedName>
    <definedName name="IQ_PERCENT_CHANGE_EST_REV_3MONTHS" hidden="1">"c1793"</definedName>
    <definedName name="IQ_PERCENT_CHANGE_EST_REV_3MONTHS_CIQ" hidden="1">"c3738"</definedName>
    <definedName name="IQ_PERCENT_CHANGE_EST_REV_3MONTHS_REUT" hidden="1">"c3907"</definedName>
    <definedName name="IQ_PERCENT_CHANGE_EST_REV_3MONTHS_THOM" hidden="1">"c5217"</definedName>
    <definedName name="IQ_PERCENT_CHANGE_EST_REV_6MONTHS" hidden="1">"c1794"</definedName>
    <definedName name="IQ_PERCENT_CHANGE_EST_REV_6MONTHS_CIQ" hidden="1">"c3739"</definedName>
    <definedName name="IQ_PERCENT_CHANGE_EST_REV_6MONTHS_REUT" hidden="1">"c3908"</definedName>
    <definedName name="IQ_PERCENT_CHANGE_EST_REV_6MONTHS_THOM" hidden="1">"c5218"</definedName>
    <definedName name="IQ_PERCENT_CHANGE_EST_REV_9MONTHS" hidden="1">"c1795"</definedName>
    <definedName name="IQ_PERCENT_CHANGE_EST_REV_9MONTHS_CIQ" hidden="1">"c3740"</definedName>
    <definedName name="IQ_PERCENT_CHANGE_EST_REV_9MONTHS_REUT" hidden="1">"c3909"</definedName>
    <definedName name="IQ_PERCENT_CHANGE_EST_REV_9MONTHS_THOM" hidden="1">"c5219"</definedName>
    <definedName name="IQ_PERCENT_CHANGE_EST_REV_DAY" hidden="1">"c1790"</definedName>
    <definedName name="IQ_PERCENT_CHANGE_EST_REV_DAY_CIQ" hidden="1">"c3735"</definedName>
    <definedName name="IQ_PERCENT_CHANGE_EST_REV_DAY_REUT" hidden="1">"c3904"</definedName>
    <definedName name="IQ_PERCENT_CHANGE_EST_REV_DAY_THOM" hidden="1">"c5214"</definedName>
    <definedName name="IQ_PERCENT_CHANGE_EST_REV_MONTH" hidden="1">"c1792"</definedName>
    <definedName name="IQ_PERCENT_CHANGE_EST_REV_MONTH_CIQ" hidden="1">"c3737"</definedName>
    <definedName name="IQ_PERCENT_CHANGE_EST_REV_MONTH_REUT" hidden="1">"c3906"</definedName>
    <definedName name="IQ_PERCENT_CHANGE_EST_REV_MONTH_THOM" hidden="1">"c5216"</definedName>
    <definedName name="IQ_PERCENT_CHANGE_EST_REV_WEEK" hidden="1">"c1791"</definedName>
    <definedName name="IQ_PERCENT_CHANGE_EST_REV_WEEK_CIQ" hidden="1">"c3736"</definedName>
    <definedName name="IQ_PERCENT_CHANGE_EST_REV_WEEK_REUT" hidden="1">"c3905"</definedName>
    <definedName name="IQ_PERCENT_CHANGE_EST_REV_WEEK_THOM" hidden="1">"c5215"</definedName>
    <definedName name="IQ_PERCENT_FLOAT" hidden="1">"c227"</definedName>
    <definedName name="IQ_PERCENT_INSURED_FDIC" hidden="1">"c6374"</definedName>
    <definedName name="IQ_PERCENTAGE_RENT" hidden="1">"c16018"</definedName>
    <definedName name="IQ_PERCENTAGE_RENT_RENTAL_REVENUE" hidden="1">"c16063"</definedName>
    <definedName name="IQ_PERFORMANCE_LOC_FOREIGN_GUARANTEES_FFIEC" hidden="1">"c13251"</definedName>
    <definedName name="IQ_PERIODDATE" hidden="1">"c1034"</definedName>
    <definedName name="IQ_PERIODDATE_AP" hidden="1">"c11745"</definedName>
    <definedName name="IQ_PERIODDATE_BS" hidden="1">"c1032"</definedName>
    <definedName name="IQ_PERIODDATE_CF" hidden="1">"c1033"</definedName>
    <definedName name="IQ_PERIODDATE_FDIC" hidden="1">"c13646"</definedName>
    <definedName name="IQ_PERIODDATE_FFIEC" hidden="1">"c13645"</definedName>
    <definedName name="IQ_PERIODDATE_IS" hidden="1">"c1034"</definedName>
    <definedName name="IQ_PERIODLENGTH_AP" hidden="1">"c11746"</definedName>
    <definedName name="IQ_PERIODLENGTH_CF" hidden="1">"c1502"</definedName>
    <definedName name="IQ_PERIODLENGTH_IS" hidden="1">"c1503"</definedName>
    <definedName name="IQ_PERSON_INCOME" hidden="1">"c20954"</definedName>
    <definedName name="IQ_PERSONAL_CONSUMER_SPENDING_DURABLE" hidden="1">"c6942"</definedName>
    <definedName name="IQ_PERSONAL_CONSUMER_SPENDING_DURABLE_APR" hidden="1">"c7602"</definedName>
    <definedName name="IQ_PERSONAL_CONSUMER_SPENDING_DURABLE_APR_FC" hidden="1">"c8482"</definedName>
    <definedName name="IQ_PERSONAL_CONSUMER_SPENDING_DURABLE_FC" hidden="1">"c7822"</definedName>
    <definedName name="IQ_PERSONAL_CONSUMER_SPENDING_DURABLE_POP" hidden="1">"c7162"</definedName>
    <definedName name="IQ_PERSONAL_CONSUMER_SPENDING_DURABLE_POP_FC" hidden="1">"c8042"</definedName>
    <definedName name="IQ_PERSONAL_CONSUMER_SPENDING_DURABLE_YOY" hidden="1">"c7382"</definedName>
    <definedName name="IQ_PERSONAL_CONSUMER_SPENDING_DURABLE_YOY_FC" hidden="1">"c8262"</definedName>
    <definedName name="IQ_PERSONAL_CONSUMER_SPENDING_NONDURABLE" hidden="1">"c6940"</definedName>
    <definedName name="IQ_PERSONAL_CONSUMER_SPENDING_NONDURABLE_APR" hidden="1">"c7600"</definedName>
    <definedName name="IQ_PERSONAL_CONSUMER_SPENDING_NONDURABLE_APR_FC" hidden="1">"c8480"</definedName>
    <definedName name="IQ_PERSONAL_CONSUMER_SPENDING_NONDURABLE_FC" hidden="1">"c7820"</definedName>
    <definedName name="IQ_PERSONAL_CONSUMER_SPENDING_NONDURABLE_POP" hidden="1">"c7160"</definedName>
    <definedName name="IQ_PERSONAL_CONSUMER_SPENDING_NONDURABLE_POP_FC" hidden="1">"c8040"</definedName>
    <definedName name="IQ_PERSONAL_CONSUMER_SPENDING_NONDURABLE_YOY" hidden="1">"c7380"</definedName>
    <definedName name="IQ_PERSONAL_CONSUMER_SPENDING_NONDURABLE_YOY_FC" hidden="1">"c8260"</definedName>
    <definedName name="IQ_PERSONAL_CONSUMER_SPENDING_REAL" hidden="1">"c6994"</definedName>
    <definedName name="IQ_PERSONAL_CONSUMER_SPENDING_REAL_APR" hidden="1">"c7654"</definedName>
    <definedName name="IQ_PERSONAL_CONSUMER_SPENDING_REAL_APR_FC" hidden="1">"c8534"</definedName>
    <definedName name="IQ_PERSONAL_CONSUMER_SPENDING_REAL_FC" hidden="1">"c7874"</definedName>
    <definedName name="IQ_PERSONAL_CONSUMER_SPENDING_REAL_POP" hidden="1">"c7214"</definedName>
    <definedName name="IQ_PERSONAL_CONSUMER_SPENDING_REAL_POP_FC" hidden="1">"c8094"</definedName>
    <definedName name="IQ_PERSONAL_CONSUMER_SPENDING_REAL_YOY" hidden="1">"c7434"</definedName>
    <definedName name="IQ_PERSONAL_CONSUMER_SPENDING_REAL_YOY_FC" hidden="1">"c8314"</definedName>
    <definedName name="IQ_PERSONAL_CONSUMER_SPENDING_SERVICES" hidden="1">"c6941"</definedName>
    <definedName name="IQ_PERSONAL_CONSUMER_SPENDING_SERVICES_APR" hidden="1">"c7601"</definedName>
    <definedName name="IQ_PERSONAL_CONSUMER_SPENDING_SERVICES_APR_FC" hidden="1">"c8481"</definedName>
    <definedName name="IQ_PERSONAL_CONSUMER_SPENDING_SERVICES_FC" hidden="1">"c7821"</definedName>
    <definedName name="IQ_PERSONAL_CONSUMER_SPENDING_SERVICES_POP" hidden="1">"c7161"</definedName>
    <definedName name="IQ_PERSONAL_CONSUMER_SPENDING_SERVICES_POP_FC" hidden="1">"c8041"</definedName>
    <definedName name="IQ_PERSONAL_CONSUMER_SPENDING_SERVICES_YOY" hidden="1">"c7381"</definedName>
    <definedName name="IQ_PERSONAL_CONSUMER_SPENDING_SERVICES_YOY_FC" hidden="1">"c8261"</definedName>
    <definedName name="IQ_PERSONAL_CURRENT_TAXES" hidden="1">"c20956"</definedName>
    <definedName name="IQ_PERSONAL_DISPOSABLE_INCOME" hidden="1">"c20957"</definedName>
    <definedName name="IQ_PERSONAL_INCOME" hidden="1">"c6943"</definedName>
    <definedName name="IQ_PERSONAL_INCOME_APR" hidden="1">"c7603"</definedName>
    <definedName name="IQ_PERSONAL_INCOME_APR_FC" hidden="1">"c8483"</definedName>
    <definedName name="IQ_PERSONAL_INCOME_ASSETS" hidden="1">"c20958"</definedName>
    <definedName name="IQ_PERSONAL_INCOME_ASSETS_DIVIDEND" hidden="1">"c20959"</definedName>
    <definedName name="IQ_PERSONAL_INCOME_ASSETS_INTEREST" hidden="1">"c20960"</definedName>
    <definedName name="IQ_PERSONAL_INCOME_CHAINED_DOLLARS" hidden="1">"c20961"</definedName>
    <definedName name="IQ_PERSONAL_INCOME_COMPENSATION" hidden="1">"c20962"</definedName>
    <definedName name="IQ_PERSONAL_INCOME_EMPLOYER_GOVT_INSURANCE_CONTRIBUTION" hidden="1">"c20963"</definedName>
    <definedName name="IQ_PERSONAL_INCOME_EMPLOYER_PENSION_CONTRIBUTION" hidden="1">"c20964"</definedName>
    <definedName name="IQ_PERSONAL_INCOME_EX_TRANSFER_RECEIPTS" hidden="1">"c20965"</definedName>
    <definedName name="IQ_PERSONAL_INCOME_FC" hidden="1">"c7823"</definedName>
    <definedName name="IQ_PERSONAL_INCOME_GOVT_CONTRIBUTION_SOCIAL_INS" hidden="1">"c20966"</definedName>
    <definedName name="IQ_PERSONAL_INCOME_GOVT_SOCIAL_BENEFITS" hidden="1">"c20967"</definedName>
    <definedName name="IQ_PERSONAL_INCOME_GOVT_SOCIAL_BENEFITS_FAMILY" hidden="1">"c20968"</definedName>
    <definedName name="IQ_PERSONAL_INCOME_GOVT_SOCIAL_BENEFITS_OTHER" hidden="1">"c20969"</definedName>
    <definedName name="IQ_PERSONAL_INCOME_GOVT_SOCIAL_BENEFITS_UNEMPLOYMENT" hidden="1">"c20970"</definedName>
    <definedName name="IQ_PERSONAL_INCOME_GOVT_SOCIAL_BENEFITS_VETERANS" hidden="1">"c20971"</definedName>
    <definedName name="IQ_PERSONAL_INCOME_GOVT_SOCIAL_BENEFITS_WELFARE" hidden="1">"c20972"</definedName>
    <definedName name="IQ_PERSONAL_INCOME_PCT_CHANGE" hidden="1">"c20973"</definedName>
    <definedName name="IQ_PERSONAL_INCOME_PCT_CHANGE_CHAINED_DOLLARS" hidden="1">"c20974"</definedName>
    <definedName name="IQ_PERSONAL_INCOME_PER_CAPITA" hidden="1">"c20975"</definedName>
    <definedName name="IQ_PERSONAL_INCOME_PER_CAPITA_CHAINED_DOLLARS" hidden="1">"c20976"</definedName>
    <definedName name="IQ_PERSONAL_INCOME_POP" hidden="1">"c7163"</definedName>
    <definedName name="IQ_PERSONAL_INCOME_POP_FC" hidden="1">"c8043"</definedName>
    <definedName name="IQ_PERSONAL_INCOME_PROPIETOR" hidden="1">"c20977"</definedName>
    <definedName name="IQ_PERSONAL_INCOME_PROPIETOR_FARM" hidden="1">"c20978"</definedName>
    <definedName name="IQ_PERSONAL_INCOME_PROPIETOR_NONFARM" hidden="1">"c20979"</definedName>
    <definedName name="IQ_PERSONAL_INCOME_RENTAL" hidden="1">"c20980"</definedName>
    <definedName name="IQ_PERSONAL_INCOME_SAAR" hidden="1">"c6944"</definedName>
    <definedName name="IQ_PERSONAL_INCOME_SAAR_APR" hidden="1">"c7604"</definedName>
    <definedName name="IQ_PERSONAL_INCOME_SAAR_APR_FC" hidden="1">"c8484"</definedName>
    <definedName name="IQ_PERSONAL_INCOME_SAAR_FC" hidden="1">"c7824"</definedName>
    <definedName name="IQ_PERSONAL_INCOME_SAAR_POP" hidden="1">"c7164"</definedName>
    <definedName name="IQ_PERSONAL_INCOME_SAAR_POP_FC" hidden="1">"c8044"</definedName>
    <definedName name="IQ_PERSONAL_INCOME_SAAR_YOY" hidden="1">"c7384"</definedName>
    <definedName name="IQ_PERSONAL_INCOME_SAAR_YOY_FC" hidden="1">"c8264"</definedName>
    <definedName name="IQ_PERSONAL_INCOME_TRANSFER_RECEIPTS" hidden="1">"c20981"</definedName>
    <definedName name="IQ_PERSONAL_INCOME_TRANSFER_RECEIPTS_OTHER" hidden="1">"c20982"</definedName>
    <definedName name="IQ_PERSONAL_INCOME_USD_APR_FC" hidden="1">"c11885"</definedName>
    <definedName name="IQ_PERSONAL_INCOME_USD_FC" hidden="1">"c11882"</definedName>
    <definedName name="IQ_PERSONAL_INCOME_USD_POP_FC" hidden="1">"c11883"</definedName>
    <definedName name="IQ_PERSONAL_INCOME_USD_YOY_FC" hidden="1">"c11884"</definedName>
    <definedName name="IQ_PERSONAL_INCOME_WAGE_SUPPLEMENTS" hidden="1">"c20983"</definedName>
    <definedName name="IQ_PERSONAL_INCOME_WAGES" hidden="1">"c20984"</definedName>
    <definedName name="IQ_PERSONAL_INCOME_WAGES_GOVT" hidden="1">"c20985"</definedName>
    <definedName name="IQ_PERSONAL_INCOME_WAGES_PRIVATE_INDUSTRY" hidden="1">"c20986"</definedName>
    <definedName name="IQ_PERSONAL_INCOME_YOY" hidden="1">"c7383"</definedName>
    <definedName name="IQ_PERSONAL_INCOME_YOY_FC" hidden="1">"c8263"</definedName>
    <definedName name="IQ_PERSONAL_INTEREST_PAYMENTS" hidden="1">"c20987"</definedName>
    <definedName name="IQ_PERSONAL_OUTLAYS" hidden="1">"c20988"</definedName>
    <definedName name="IQ_PERSONAL_SAVINGS" hidden="1">"c20989"</definedName>
    <definedName name="IQ_PERSONAL_SAVINGS_PCT_INCOME" hidden="1">"c20990"</definedName>
    <definedName name="IQ_PERSONAL_TRANSFER_PAYMENTS" hidden="1">"c20991"</definedName>
    <definedName name="IQ_PERSONAL_TRANSFER_PAYMENTS_GOVT" hidden="1">"c20992"</definedName>
    <definedName name="IQ_PERSONAL_TRANSFER_PAYMENTS_WORLD" hidden="1">"c20993"</definedName>
    <definedName name="IQ_PERSONNEL_EXP_AVG_ASSETS_FFIEC" hidden="1">"c13371"</definedName>
    <definedName name="IQ_PERSONNEL_EXP_OPERATING_INC_FFIEC" hidden="1">"c13379"</definedName>
    <definedName name="IQ_PERTYPE" hidden="1">"c1611"</definedName>
    <definedName name="IQ_PHARMBIO_NUMBER_LICENSED_PATENT_APP" hidden="1">"c10018"</definedName>
    <definedName name="IQ_PHARMBIO_NUMBER_LICENSED_PATENTS" hidden="1">"c10017"</definedName>
    <definedName name="IQ_PHARMBIO_NUMBER_PATENTS" hidden="1">"c10015"</definedName>
    <definedName name="IQ_PHARMBIO_NUMBER_PROD__APPROVED_DURING_PERIOD" hidden="1">"c12750"</definedName>
    <definedName name="IQ_PHARMBIO_NUMBER_PROD__CLINICAL_DEV" hidden="1">"c12745"</definedName>
    <definedName name="IQ_PHARMBIO_NUMBER_PROD__LAUNCHED_DURING_PERIOD" hidden="1">"c12751"</definedName>
    <definedName name="IQ_PHARMBIO_NUMBER_PROD__PHASE_I" hidden="1">"c12746"</definedName>
    <definedName name="IQ_PHARMBIO_NUMBER_PROD__PHASE_II" hidden="1">"c12747"</definedName>
    <definedName name="IQ_PHARMBIO_NUMBER_PROD__PHASE_III" hidden="1">"c12748"</definedName>
    <definedName name="IQ_PHARMBIO_NUMBER_PROD__PRE_CLINICAL_TRIALS" hidden="1">"c12744"</definedName>
    <definedName name="IQ_PHARMBIO_NUMBER_PROD__PRE_REGISTRATION" hidden="1">"c12749"</definedName>
    <definedName name="IQ_PHARMBIO_NUMBER_PROD__RESEARCH_DEV" hidden="1">"c12743"</definedName>
    <definedName name="IQ_PHARMBIO_NUMBER_PROD_APPROVED_DURING_PERIOD" hidden="1">"c10027"</definedName>
    <definedName name="IQ_PHARMBIO_NUMBER_PROD_CLINICAL_DEV" hidden="1">"c10022"</definedName>
    <definedName name="IQ_PHARMBIO_NUMBER_PROD_DISCOVERY_RESEARCH" hidden="1">"c10019"</definedName>
    <definedName name="IQ_PHARMBIO_NUMBER_PROD_LAUNCHED_DURING_PERIOD" hidden="1">"c10028"</definedName>
    <definedName name="IQ_PHARMBIO_NUMBER_PROD_PHASE_I" hidden="1">"c10023"</definedName>
    <definedName name="IQ_PHARMBIO_NUMBER_PROD_PHASE_II" hidden="1">"c10024"</definedName>
    <definedName name="IQ_PHARMBIO_NUMBER_PROD_PHASE_III" hidden="1">"c10025"</definedName>
    <definedName name="IQ_PHARMBIO_NUMBER_PROD_PRE_CLINICAL_TRIALS" hidden="1">"c10021"</definedName>
    <definedName name="IQ_PHARMBIO_NUMBER_PROD_PRE_REGISTRATION" hidden="1">"c10026"</definedName>
    <definedName name="IQ_PHARMBIO_NUMBER_PROD_RESEARCH_DEV" hidden="1">"c10020"</definedName>
    <definedName name="IQ_PHARMBIO_PATENT_APP" hidden="1">"c10016"</definedName>
    <definedName name="IQ_PHILADELPHIA_FED_DIFFUSION_INDEX" hidden="1">"c6945"</definedName>
    <definedName name="IQ_PHILADELPHIA_FED_DIFFUSION_INDEX_APR" hidden="1">"c7605"</definedName>
    <definedName name="IQ_PHILADELPHIA_FED_DIFFUSION_INDEX_APR_FC" hidden="1">"c8485"</definedName>
    <definedName name="IQ_PHILADELPHIA_FED_DIFFUSION_INDEX_FC" hidden="1">"c7825"</definedName>
    <definedName name="IQ_PHILADELPHIA_FED_DIFFUSION_INDEX_POP" hidden="1">"c7165"</definedName>
    <definedName name="IQ_PHILADELPHIA_FED_DIFFUSION_INDEX_POP_FC" hidden="1">"c8045"</definedName>
    <definedName name="IQ_PHILADELPHIA_FED_DIFFUSION_INDEX_YOY" hidden="1">"c7385"</definedName>
    <definedName name="IQ_PHILADELPHIA_FED_DIFFUSION_INDEX_YOY_FC" hidden="1">"c8265"</definedName>
    <definedName name="IQ_PLEDGED_SEC_INVEST_SECURITIES_FFIEC" hidden="1">"c13467"</definedName>
    <definedName name="IQ_PLEDGED_SECURITIES_FDIC" hidden="1">"c6401"</definedName>
    <definedName name="IQ_PLEDGED_SECURITIES_FFIEC" hidden="1">"c24743"</definedName>
    <definedName name="IQ_PLL" hidden="1">"c2114"</definedName>
    <definedName name="IQ_PMAC_DIFFUSION_INDEX" hidden="1">"c6946"</definedName>
    <definedName name="IQ_PMAC_DIFFUSION_INDEX_APR" hidden="1">"c7606"</definedName>
    <definedName name="IQ_PMAC_DIFFUSION_INDEX_APR_FC" hidden="1">"c8486"</definedName>
    <definedName name="IQ_PMAC_DIFFUSION_INDEX_FC" hidden="1">"c7826"</definedName>
    <definedName name="IQ_PMAC_DIFFUSION_INDEX_POP" hidden="1">"c7166"</definedName>
    <definedName name="IQ_PMAC_DIFFUSION_INDEX_POP_FC" hidden="1">"c8046"</definedName>
    <definedName name="IQ_PMAC_DIFFUSION_INDEX_YOY" hidden="1">"c7386"</definedName>
    <definedName name="IQ_PMAC_DIFFUSION_INDEX_YOY_FC" hidden="1">"c8266"</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LICYHOLDER_BENEFITS_LH_FFIEC" hidden="1">"c13107"</definedName>
    <definedName name="IQ_POOL_AMT_ORIGINAL" hidden="1">"c8970"</definedName>
    <definedName name="IQ_POOL_NAME" hidden="1">"c8967"</definedName>
    <definedName name="IQ_POOL_NUMBER" hidden="1">"c8968"</definedName>
    <definedName name="IQ_POOL_TYPE" hidden="1">"c8969"</definedName>
    <definedName name="IQ_POPULATION" hidden="1">"c20994"</definedName>
    <definedName name="IQ_POPULATION_FC" hidden="1">"c20995"</definedName>
    <definedName name="IQ_PORTFOLIO_INVESTMENT_NET" hidden="1">"c20996"</definedName>
    <definedName name="IQ_PORTFOLIO_SHARES" hidden="1">"c19116"</definedName>
    <definedName name="IQ_POSITIVE_FAIR_VALUE_DERIVATIVES_BENEFICIARY_FFIEC" hidden="1">"c13123"</definedName>
    <definedName name="IQ_POSITIVE_FAIR_VALUE_DERIVATIVES_GUARANTOR_FFIEC" hidden="1">"c13116"</definedName>
    <definedName name="IQ_POST_RETIRE_EXP" hidden="1">"c1039"</definedName>
    <definedName name="IQ_POSTAGE_FFIEC" hidden="1">"c13051"</definedName>
    <definedName name="IQ_POSTPAID_CHURN" hidden="1">"c2121"</definedName>
    <definedName name="IQ_POSTPAID_SUBS" hidden="1">"c2118"</definedName>
    <definedName name="IQ_POTENTIAL_UPSIDE" hidden="1">"c1855"</definedName>
    <definedName name="IQ_POTENTIAL_UPSIDE_CIQ" hidden="1">"c3799"</definedName>
    <definedName name="IQ_POTENTIAL_UPSIDE_REUT" hidden="1">"c3968"</definedName>
    <definedName name="IQ_POTENTIAL_UPSIDE_THOM" hidden="1">"c5279"</definedName>
    <definedName name="IQ_PP_ATTRIB_ORE_RESERVES_ALUM" hidden="1">"c9218"</definedName>
    <definedName name="IQ_PP_ATTRIB_ORE_RESERVES_COP" hidden="1">"c9162"</definedName>
    <definedName name="IQ_PP_ATTRIB_ORE_RESERVES_DIAM" hidden="1">"c9642"</definedName>
    <definedName name="IQ_PP_ATTRIB_ORE_RESERVES_GOLD" hidden="1">"c9003"</definedName>
    <definedName name="IQ_PP_ATTRIB_ORE_RESERVES_IRON" hidden="1">"c9377"</definedName>
    <definedName name="IQ_PP_ATTRIB_ORE_RESERVES_LEAD" hidden="1">"c9430"</definedName>
    <definedName name="IQ_PP_ATTRIB_ORE_RESERVES_MANG" hidden="1">"c9483"</definedName>
    <definedName name="IQ_PP_ATTRIB_ORE_RESERVES_MOLYB" hidden="1">"c9695"</definedName>
    <definedName name="IQ_PP_ATTRIB_ORE_RESERVES_NICK" hidden="1">"c9271"</definedName>
    <definedName name="IQ_PP_ATTRIB_ORE_RESERVES_PLAT" hidden="1">"c9109"</definedName>
    <definedName name="IQ_PP_ATTRIB_ORE_RESERVES_SILVER" hidden="1">"c9056"</definedName>
    <definedName name="IQ_PP_ATTRIB_ORE_RESERVES_TITAN" hidden="1">"c9536"</definedName>
    <definedName name="IQ_PP_ATTRIB_ORE_RESERVES_URAN" hidden="1">"c9589"</definedName>
    <definedName name="IQ_PP_ATTRIB_ORE_RESERVES_ZINC" hidden="1">"c9324"</definedName>
    <definedName name="IQ_PP_ORE_RESERVES_ALUM" hidden="1">"c9211"</definedName>
    <definedName name="IQ_PP_ORE_RESERVES_COP" hidden="1">"c9155"</definedName>
    <definedName name="IQ_PP_ORE_RESERVES_DIAM" hidden="1">"c9635"</definedName>
    <definedName name="IQ_PP_ORE_RESERVES_GOLD" hidden="1">"c8996"</definedName>
    <definedName name="IQ_PP_ORE_RESERVES_IRON" hidden="1">"c9370"</definedName>
    <definedName name="IQ_PP_ORE_RESERVES_LEAD" hidden="1">"c9423"</definedName>
    <definedName name="IQ_PP_ORE_RESERVES_MANG" hidden="1">"c9476"</definedName>
    <definedName name="IQ_PP_ORE_RESERVES_MOLYB" hidden="1">"c9688"</definedName>
    <definedName name="IQ_PP_ORE_RESERVES_NICK" hidden="1">"c9264"</definedName>
    <definedName name="IQ_PP_ORE_RESERVES_PLAT" hidden="1">"c9102"</definedName>
    <definedName name="IQ_PP_ORE_RESERVES_SILVER" hidden="1">"c9049"</definedName>
    <definedName name="IQ_PP_ORE_RESERVES_TITAN" hidden="1">"c9529"</definedName>
    <definedName name="IQ_PP_ORE_RESERVES_URAN" hidden="1">"c9582"</definedName>
    <definedName name="IQ_PP_ORE_RESERVES_ZINC" hidden="1">"c9317"</definedName>
    <definedName name="IQ_PP_RECOV_ATTRIB_RESERVES_ALUM" hidden="1">"c9221"</definedName>
    <definedName name="IQ_PP_RECOV_ATTRIB_RESERVES_COAL" hidden="1">"c9805"</definedName>
    <definedName name="IQ_PP_RECOV_ATTRIB_RESERVES_COP" hidden="1">"c9165"</definedName>
    <definedName name="IQ_PP_RECOV_ATTRIB_RESERVES_DIAM" hidden="1">"c9645"</definedName>
    <definedName name="IQ_PP_RECOV_ATTRIB_RESERVES_GOLD" hidden="1">"c9006"</definedName>
    <definedName name="IQ_PP_RECOV_ATTRIB_RESERVES_IRON" hidden="1">"c9380"</definedName>
    <definedName name="IQ_PP_RECOV_ATTRIB_RESERVES_LEAD" hidden="1">"c9433"</definedName>
    <definedName name="IQ_PP_RECOV_ATTRIB_RESERVES_MANG" hidden="1">"c9486"</definedName>
    <definedName name="IQ_PP_RECOV_ATTRIB_RESERVES_MET_COAL" hidden="1">"c9745"</definedName>
    <definedName name="IQ_PP_RECOV_ATTRIB_RESERVES_MOLYB" hidden="1">"c9698"</definedName>
    <definedName name="IQ_PP_RECOV_ATTRIB_RESERVES_NICK" hidden="1">"c9274"</definedName>
    <definedName name="IQ_PP_RECOV_ATTRIB_RESERVES_PLAT" hidden="1">"c9112"</definedName>
    <definedName name="IQ_PP_RECOV_ATTRIB_RESERVES_SILVER" hidden="1">"c9059"</definedName>
    <definedName name="IQ_PP_RECOV_ATTRIB_RESERVES_STEAM" hidden="1">"c9775"</definedName>
    <definedName name="IQ_PP_RECOV_ATTRIB_RESERVES_TITAN" hidden="1">"c9539"</definedName>
    <definedName name="IQ_PP_RECOV_ATTRIB_RESERVES_URAN" hidden="1">"c9592"</definedName>
    <definedName name="IQ_PP_RECOV_ATTRIB_RESERVES_ZINC" hidden="1">"c9327"</definedName>
    <definedName name="IQ_PP_RECOV_RESERVES_ALUM" hidden="1">"c9215"</definedName>
    <definedName name="IQ_PP_RECOV_RESERVES_COAL" hidden="1">"c9802"</definedName>
    <definedName name="IQ_PP_RECOV_RESERVES_COP" hidden="1">"c9159"</definedName>
    <definedName name="IQ_PP_RECOV_RESERVES_DIAM" hidden="1">"c9639"</definedName>
    <definedName name="IQ_PP_RECOV_RESERVES_GOLD" hidden="1">"c9000"</definedName>
    <definedName name="IQ_PP_RECOV_RESERVES_IRON" hidden="1">"c9374"</definedName>
    <definedName name="IQ_PP_RECOV_RESERVES_LEAD" hidden="1">"c9427"</definedName>
    <definedName name="IQ_PP_RECOV_RESERVES_MANG" hidden="1">"c9480"</definedName>
    <definedName name="IQ_PP_RECOV_RESERVES_MET_COAL" hidden="1">"c9742"</definedName>
    <definedName name="IQ_PP_RECOV_RESERVES_MOLYB" hidden="1">"c9692"</definedName>
    <definedName name="IQ_PP_RECOV_RESERVES_NICK" hidden="1">"c9268"</definedName>
    <definedName name="IQ_PP_RECOV_RESERVES_PLAT" hidden="1">"c9106"</definedName>
    <definedName name="IQ_PP_RECOV_RESERVES_SILVER" hidden="1">"c9053"</definedName>
    <definedName name="IQ_PP_RECOV_RESERVES_STEAM" hidden="1">"c9772"</definedName>
    <definedName name="IQ_PP_RECOV_RESERVES_TITAN" hidden="1">"c9533"</definedName>
    <definedName name="IQ_PP_RECOV_RESERVES_URAN" hidden="1">"c9586"</definedName>
    <definedName name="IQ_PP_RECOV_RESERVES_ZINC" hidden="1">"c9321"</definedName>
    <definedName name="IQ_PP_RESERVES_CALORIFIC_VALUE_COAL" hidden="1">"c9799"</definedName>
    <definedName name="IQ_PP_RESERVES_CALORIFIC_VALUE_MET_COAL" hidden="1">"c9739"</definedName>
    <definedName name="IQ_PP_RESERVES_CALORIFIC_VALUE_STEAM" hidden="1">"c9769"</definedName>
    <definedName name="IQ_PP_RESERVES_GRADE_ALUM" hidden="1">"c9212"</definedName>
    <definedName name="IQ_PP_RESERVES_GRADE_COP" hidden="1">"c9156"</definedName>
    <definedName name="IQ_PP_RESERVES_GRADE_DIAM" hidden="1">"c9636"</definedName>
    <definedName name="IQ_PP_RESERVES_GRADE_GOLD" hidden="1">"c8997"</definedName>
    <definedName name="IQ_PP_RESERVES_GRADE_IRON" hidden="1">"c9371"</definedName>
    <definedName name="IQ_PP_RESERVES_GRADE_LEAD" hidden="1">"c9424"</definedName>
    <definedName name="IQ_PP_RESERVES_GRADE_MANG" hidden="1">"c9477"</definedName>
    <definedName name="IQ_PP_RESERVES_GRADE_MOLYB" hidden="1">"c9689"</definedName>
    <definedName name="IQ_PP_RESERVES_GRADE_NICK" hidden="1">"c9265"</definedName>
    <definedName name="IQ_PP_RESERVES_GRADE_PLAT" hidden="1">"c9103"</definedName>
    <definedName name="IQ_PP_RESERVES_GRADE_SILVER" hidden="1">"c9050"</definedName>
    <definedName name="IQ_PP_RESERVES_GRADE_TITAN" hidden="1">"c9530"</definedName>
    <definedName name="IQ_PP_RESERVES_GRADE_URAN" hidden="1">"c9583"</definedName>
    <definedName name="IQ_PP_RESERVES_GRADE_ZINC" hidden="1">"c9318"</definedName>
    <definedName name="IQ_PPI" hidden="1">"c6810"</definedName>
    <definedName name="IQ_PPI_APR" hidden="1">"c7470"</definedName>
    <definedName name="IQ_PPI_APR_FC" hidden="1">"c8350"</definedName>
    <definedName name="IQ_PPI_CORE" hidden="1">"c6840"</definedName>
    <definedName name="IQ_PPI_CORE_APR" hidden="1">"c7500"</definedName>
    <definedName name="IQ_PPI_CORE_APR_FC" hidden="1">"c8380"</definedName>
    <definedName name="IQ_PPI_CORE_FC" hidden="1">"c7720"</definedName>
    <definedName name="IQ_PPI_CORE_POP" hidden="1">"c7060"</definedName>
    <definedName name="IQ_PPI_CORE_POP_FC" hidden="1">"c7940"</definedName>
    <definedName name="IQ_PPI_CORE_YOY" hidden="1">"c7280"</definedName>
    <definedName name="IQ_PPI_CORE_YOY_FC" hidden="1">"c8160"</definedName>
    <definedName name="IQ_PPI_FC" hidden="1">"c7690"</definedName>
    <definedName name="IQ_PPI_POP" hidden="1">"c7030"</definedName>
    <definedName name="IQ_PPI_POP_FC" hidden="1">"c7910"</definedName>
    <definedName name="IQ_PPI_YOY" hidden="1">"c7250"</definedName>
    <definedName name="IQ_PPI_YOY_FC" hidden="1">"c8130"</definedName>
    <definedName name="IQ_PRE_OPEN_COST" hidden="1">"c1040"</definedName>
    <definedName name="IQ_PRE_TAX_ACT_OR_EST" hidden="1">"c2221"</definedName>
    <definedName name="IQ_PRE_TAX_ACT_OR_EST_CIQ" hidden="1">"c5064"</definedName>
    <definedName name="IQ_PRE_TAX_ACT_OR_EST_CIQ_COL" hidden="1">"c11711"</definedName>
    <definedName name="IQ_PRE_TAX_ACT_OR_EST_REUT" hidden="1">"c5467"</definedName>
    <definedName name="IQ_PRE_TAX_ACT_OR_EST_THOM" hidden="1">"c5305"</definedName>
    <definedName name="IQ_PRE_TAX_INCOME_FDIC" hidden="1">"c6581"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CM" hidden="1">"c1047"</definedName>
    <definedName name="IQ_PREF_ISSUED_FIN" hidden="1">"c1048"</definedName>
    <definedName name="IQ_PREF_ISSUED_INS" hidden="1">"c1049"</definedName>
    <definedName name="IQ_PREF_ISSUED_RE" hidden="1">"c6261"</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CM" hidden="1">"c1055"</definedName>
    <definedName name="IQ_PREF_OTHER_FIN" hidden="1">"c1056"</definedName>
    <definedName name="IQ_PREF_OTHER_INS" hidden="1">"c1057"</definedName>
    <definedName name="IQ_PREF_OTHER_RE" hidden="1">"c6262"</definedName>
    <definedName name="IQ_PREF_OTHER_REIT" hidden="1">"c1058"</definedName>
    <definedName name="IQ_PREF_OTHER_UTI" hidden="1">"c6022"</definedName>
    <definedName name="IQ_PREF_REDEEM" hidden="1">"c1059"</definedName>
    <definedName name="IQ_PREF_REP" hidden="1">"c1060"</definedName>
    <definedName name="IQ_PREF_REP_BNK" hidden="1">"c1061"</definedName>
    <definedName name="IQ_PREF_REP_BR" hidden="1">"c1062"</definedName>
    <definedName name="IQ_PREF_REP_CM" hidden="1">"c1062"</definedName>
    <definedName name="IQ_PREF_REP_FIN" hidden="1">"c1063"</definedName>
    <definedName name="IQ_PREF_REP_INS" hidden="1">"c1064"</definedName>
    <definedName name="IQ_PREF_REP_RE" hidden="1">"c6263"</definedName>
    <definedName name="IQ_PREF_REP_REIT" hidden="1">"c1065"</definedName>
    <definedName name="IQ_PREF_REP_UTI" hidden="1">"c1066"</definedName>
    <definedName name="IQ_PREF_STOCK" hidden="1">"c1052"</definedName>
    <definedName name="IQ_PREF_STOCK_FFIEC" hidden="1">"c12875"</definedName>
    <definedName name="IQ_PREF_TOT" hidden="1">"c1044"</definedName>
    <definedName name="IQ_PREFERRED_DEPOSITS_FFIEC" hidden="1">"c15312"</definedName>
    <definedName name="IQ_PREFERRED_FDIC" hidden="1">"c6349"</definedName>
    <definedName name="IQ_PREFERRED_LIST" hidden="1">"c13506"</definedName>
    <definedName name="IQ_PREMISES_EQUIPMENT_FDIC" hidden="1">"c6577"</definedName>
    <definedName name="IQ_PREMISES_FIXED_ASSETS_CAP_LEASES_FFIEC" hidden="1">"c12830"</definedName>
    <definedName name="IQ_PREMIUM_INSURANCE_CREDIT_FFIEC" hidden="1">"c13070"</definedName>
    <definedName name="IQ_PREMIUMS_ANNUITY_REV" hidden="1">"c1067"</definedName>
    <definedName name="IQ_PREPAID_CHURN" hidden="1">"c2120"</definedName>
    <definedName name="IQ_PREPAID_EXP" hidden="1">"c1068"</definedName>
    <definedName name="IQ_PREPAID_EXPEN" hidden="1">"c1068"</definedName>
    <definedName name="IQ_PREPAID_SUBS" hidden="1">"c2117"</definedName>
    <definedName name="IQ_PRESIDENT_ID" hidden="1">"c15216"</definedName>
    <definedName name="IQ_PRESIDENT_NAME" hidden="1">"c15215"</definedName>
    <definedName name="IQ_PRETAX_GW_INC_EST" hidden="1">"c1702"</definedName>
    <definedName name="IQ_PRETAX_GW_INC_EST_CIQ" hidden="1">"c4688"</definedName>
    <definedName name="IQ_PRETAX_GW_INC_EST_REUT" hidden="1">"c5354"</definedName>
    <definedName name="IQ_PRETAX_GW_INC_HIGH_EST" hidden="1">"c1704"</definedName>
    <definedName name="IQ_PRETAX_GW_INC_HIGH_EST_CIQ" hidden="1">"c4690"</definedName>
    <definedName name="IQ_PRETAX_GW_INC_HIGH_EST_REUT" hidden="1">"c5356"</definedName>
    <definedName name="IQ_PRETAX_GW_INC_LOW_EST" hidden="1">"c1705"</definedName>
    <definedName name="IQ_PRETAX_GW_INC_LOW_EST_CIQ" hidden="1">"c4691"</definedName>
    <definedName name="IQ_PRETAX_GW_INC_LOW_EST_REUT" hidden="1">"c5357"</definedName>
    <definedName name="IQ_PRETAX_GW_INC_MEDIAN_EST" hidden="1">"c1703"</definedName>
    <definedName name="IQ_PRETAX_GW_INC_MEDIAN_EST_CIQ" hidden="1">"c4689"</definedName>
    <definedName name="IQ_PRETAX_GW_INC_MEDIAN_EST_REUT" hidden="1">"c5355"</definedName>
    <definedName name="IQ_PRETAX_GW_INC_NUM_EST" hidden="1">"c1706"</definedName>
    <definedName name="IQ_PRETAX_GW_INC_NUM_EST_CIQ" hidden="1">"c4692"</definedName>
    <definedName name="IQ_PRETAX_GW_INC_NUM_EST_REUT" hidden="1">"c5358"</definedName>
    <definedName name="IQ_PRETAX_GW_INC_STDDEV_EST" hidden="1">"c1707"</definedName>
    <definedName name="IQ_PRETAX_GW_INC_STDDEV_EST_CIQ" hidden="1">"c4693"</definedName>
    <definedName name="IQ_PRETAX_GW_INC_STDDEV_EST_REUT" hidden="1">"c5359"</definedName>
    <definedName name="IQ_PRETAX_INC" hidden="1">"IQ_PRETAX_INC"</definedName>
    <definedName name="IQ_PRETAX_INC_10K" hidden="1">"IQ_PRETAX_INC_10K"</definedName>
    <definedName name="IQ_PRETAX_INC_10Q" hidden="1">"IQ_PRETAX_INC_10Q"</definedName>
    <definedName name="IQ_PRETAX_INC_10Q1" hidden="1">"IQ_PRETAX_INC_10Q1"</definedName>
    <definedName name="IQ_PRETAX_INC_AFTER_CAP_ALLOCATION_FOREIGN_FFIEC" hidden="1">"c15390"</definedName>
    <definedName name="IQ_PRETAX_INC_BEFORE_CAP_ALLOCATION_FOREIGN_FFIEC" hidden="1">"c15388"</definedName>
    <definedName name="IQ_PRETAX_INC_DET_EST" hidden="1">"c12055"</definedName>
    <definedName name="IQ_PRETAX_INC_DET_EST_CURRENCY" hidden="1">"c12462"</definedName>
    <definedName name="IQ_PRETAX_INC_DET_EST_CURRENCY_THOM" hidden="1">"c12483"</definedName>
    <definedName name="IQ_PRETAX_INC_DET_EST_DATE" hidden="1">"c12208"</definedName>
    <definedName name="IQ_PRETAX_INC_DET_EST_DATE_THOM" hidden="1">"c12234"</definedName>
    <definedName name="IQ_PRETAX_INC_DET_EST_INCL" hidden="1">"c12345"</definedName>
    <definedName name="IQ_PRETAX_INC_DET_EST_INCL_THOM" hidden="1">"c12366"</definedName>
    <definedName name="IQ_PRETAX_INC_DET_EST_ORIGIN" hidden="1">"c12771"</definedName>
    <definedName name="IQ_PRETAX_INC_DET_EST_ORIGIN_THOM" hidden="1">"c12604"</definedName>
    <definedName name="IQ_PRETAX_INC_DET_EST_THOM" hidden="1">"c12084"</definedName>
    <definedName name="IQ_PRETAX_INC_EST" hidden="1">"c1695"</definedName>
    <definedName name="IQ_PRETAX_INC_EST_CIQ" hidden="1">"c4681"</definedName>
    <definedName name="IQ_PRETAX_INC_EST_REUT" hidden="1">"c5347"</definedName>
    <definedName name="IQ_PRETAX_INC_EST_THOM" hidden="1">"c5119"</definedName>
    <definedName name="IQ_PRETAX_INC_HIGH_EST" hidden="1">"c1697"</definedName>
    <definedName name="IQ_PRETAX_INC_HIGH_EST_CIQ" hidden="1">"c4683"</definedName>
    <definedName name="IQ_PRETAX_INC_HIGH_EST_REUT" hidden="1">"c5349"</definedName>
    <definedName name="IQ_PRETAX_INC_HIGH_EST_THOM" hidden="1">"c5121"</definedName>
    <definedName name="IQ_PRETAX_INC_LOW_EST" hidden="1">"c1698"</definedName>
    <definedName name="IQ_PRETAX_INC_LOW_EST_CIQ" hidden="1">"c4684"</definedName>
    <definedName name="IQ_PRETAX_INC_LOW_EST_REUT" hidden="1">"c5350"</definedName>
    <definedName name="IQ_PRETAX_INC_LOW_EST_THOM" hidden="1">"c5122"</definedName>
    <definedName name="IQ_PRETAX_INC_MEDIAN_EST" hidden="1">"c1696"</definedName>
    <definedName name="IQ_PRETAX_INC_MEDIAN_EST_CIQ" hidden="1">"c4682"</definedName>
    <definedName name="IQ_PRETAX_INC_MEDIAN_EST_REUT" hidden="1">"c5348"</definedName>
    <definedName name="IQ_PRETAX_INC_MEDIAN_EST_THOM" hidden="1">"c5120"</definedName>
    <definedName name="IQ_PRETAX_INC_NUM_EST" hidden="1">"c1699"</definedName>
    <definedName name="IQ_PRETAX_INC_NUM_EST_CIQ" hidden="1">"c4685"</definedName>
    <definedName name="IQ_PRETAX_INC_NUM_EST_REUT" hidden="1">"c5351"</definedName>
    <definedName name="IQ_PRETAX_INC_NUM_EST_THOM" hidden="1">"c5123"</definedName>
    <definedName name="IQ_PRETAX_INC_STDDEV_EST" hidden="1">"c1700"</definedName>
    <definedName name="IQ_PRETAX_INC_STDDEV_EST_CIQ" hidden="1">"c4686"</definedName>
    <definedName name="IQ_PRETAX_INC_STDDEV_EST_REUT" hidden="1">"c5352"</definedName>
    <definedName name="IQ_PRETAX_INC_STDDEV_EST_THOM" hidden="1">"c5124"</definedName>
    <definedName name="IQ_PRETAX_OPERATING_INC_AVG_ASSETS_FFIEC" hidden="1">"c13365"</definedName>
    <definedName name="IQ_PRETAX_REPORT_INC_EST" hidden="1">"c1709"</definedName>
    <definedName name="IQ_PRETAX_REPORT_INC_EST_CIQ" hidden="1">"c4695"</definedName>
    <definedName name="IQ_PRETAX_REPORT_INC_EST_REUT" hidden="1">"c5361"</definedName>
    <definedName name="IQ_PRETAX_REPORT_INC_HIGH_EST" hidden="1">"c1711"</definedName>
    <definedName name="IQ_PRETAX_REPORT_INC_HIGH_EST_CIQ" hidden="1">"c4697"</definedName>
    <definedName name="IQ_PRETAX_REPORT_INC_HIGH_EST_REUT" hidden="1">"c5363"</definedName>
    <definedName name="IQ_PRETAX_REPORT_INC_LOW_EST" hidden="1">"c1712"</definedName>
    <definedName name="IQ_PRETAX_REPORT_INC_LOW_EST_CIQ" hidden="1">"c4698"</definedName>
    <definedName name="IQ_PRETAX_REPORT_INC_LOW_EST_REUT" hidden="1">"c5364"</definedName>
    <definedName name="IQ_PRETAX_REPORT_INC_MEDIAN_EST" hidden="1">"c1710"</definedName>
    <definedName name="IQ_PRETAX_REPORT_INC_MEDIAN_EST_CIQ" hidden="1">"c4696"</definedName>
    <definedName name="IQ_PRETAX_REPORT_INC_MEDIAN_EST_REUT" hidden="1">"c5362"</definedName>
    <definedName name="IQ_PRETAX_REPORT_INC_NUM_EST" hidden="1">"c1713"</definedName>
    <definedName name="IQ_PRETAX_REPORT_INC_NUM_EST_CIQ" hidden="1">"c4699"</definedName>
    <definedName name="IQ_PRETAX_REPORT_INC_NUM_EST_REUT" hidden="1">"c5365"</definedName>
    <definedName name="IQ_PRETAX_REPORT_INC_STDDEV_EST" hidden="1">"c1714"</definedName>
    <definedName name="IQ_PRETAX_REPORT_INC_STDDEV_EST_CIQ" hidden="1">"c4700"</definedName>
    <definedName name="IQ_PRETAX_REPORT_INC_STDDEV_EST_REUT" hidden="1">"c5366"</definedName>
    <definedName name="IQ_PRETAX_RETURN_ASSETS_FDIC" hidden="1">"c6731"</definedName>
    <definedName name="IQ_PREV_MONTHLY_FACTOR" hidden="1">"c8973"</definedName>
    <definedName name="IQ_PREV_MONTHLY_FACTOR_DATE" hidden="1">"c8974"</definedName>
    <definedName name="IQ_PREVIOUS_TIME_RT" hidden="1">"PREVIOUSLASTTIME"</definedName>
    <definedName name="IQ_PRICE_CFPS_FWD" hidden="1">"c2237"</definedName>
    <definedName name="IQ_PRICE_CFPS_FWD_CIQ" hidden="1">"c4046"</definedName>
    <definedName name="IQ_PRICE_CFPS_FWD_REUT" hidden="1">"c4053"</definedName>
    <definedName name="IQ_PRICE_CFPS_FWD_THOM" hidden="1">"c4060"</definedName>
    <definedName name="IQ_PRICE_OVER_BVPS" hidden="1">"c1026"</definedName>
    <definedName name="IQ_PRICE_OVER_EPS_EST" hidden="1">"c174"</definedName>
    <definedName name="IQ_PRICE_OVER_EPS_EST_1" hidden="1">"c175"</definedName>
    <definedName name="IQ_PRICE_OVER_LTM_EPS" hidden="1">"c1029"</definedName>
    <definedName name="IQ_PRICE_PAID_FARM_INDEX" hidden="1">"c6948"</definedName>
    <definedName name="IQ_PRICE_PAID_FARM_INDEX_APR" hidden="1">"c7608"</definedName>
    <definedName name="IQ_PRICE_PAID_FARM_INDEX_APR_FC" hidden="1">"c8488"</definedName>
    <definedName name="IQ_PRICE_PAID_FARM_INDEX_FC" hidden="1">"c7828"</definedName>
    <definedName name="IQ_PRICE_PAID_FARM_INDEX_POP" hidden="1">"c7168"</definedName>
    <definedName name="IQ_PRICE_PAID_FARM_INDEX_POP_FC" hidden="1">"c8048"</definedName>
    <definedName name="IQ_PRICE_PAID_FARM_INDEX_YOY" hidden="1">"c7388"</definedName>
    <definedName name="IQ_PRICE_PAID_FARM_INDEX_YOY_FC" hidden="1">"c8268"</definedName>
    <definedName name="IQ_PRICE_TARGET" hidden="1">"c82"</definedName>
    <definedName name="IQ_PRICE_TARGET_BOTTOM_UP" hidden="1">"c5486"</definedName>
    <definedName name="IQ_PRICE_TARGET_BOTTOM_UP_CIQ" hidden="1">"c12023"</definedName>
    <definedName name="IQ_PRICE_TARGET_BOTTOM_UP_REUT" hidden="1">"c5494"</definedName>
    <definedName name="IQ_PRICE_TARGET_CIQ" hidden="1">"c3613"</definedName>
    <definedName name="IQ_PRICE_TARGET_REUT" hidden="1">"c3631"</definedName>
    <definedName name="IQ_PRICE_TARGET_THOM" hidden="1">"c3649"</definedName>
    <definedName name="IQ_PRICE_VOL_HIST_2YR" hidden="1">"c15637"</definedName>
    <definedName name="IQ_PRICE_VOL_HIST_3MTH" hidden="1">"c15634"</definedName>
    <definedName name="IQ_PRICE_VOL_HIST_5YR" hidden="1">"c15638"</definedName>
    <definedName name="IQ_PRICE_VOL_HIST_6MTH" hidden="1">"c15635"</definedName>
    <definedName name="IQ_PRICE_VOL_HIST_YR" hidden="1">"c15636"</definedName>
    <definedName name="IQ_PRICE_VOLATILITY_EST" hidden="1">"c4492"</definedName>
    <definedName name="IQ_PRICE_VOLATILITY_EST_CIQ" hidden="1">"c5030"</definedName>
    <definedName name="IQ_PRICE_VOLATILITY_EST_CIQ_COL" hidden="1">"c11677"</definedName>
    <definedName name="IQ_PRICE_VOLATILITY_HIGH" hidden="1">"c4493"</definedName>
    <definedName name="IQ_PRICE_VOLATILITY_HIGH_CIQ" hidden="1">"c5031"</definedName>
    <definedName name="IQ_PRICE_VOLATILITY_HIGH_CIQ_COL" hidden="1">"c11678"</definedName>
    <definedName name="IQ_PRICE_VOLATILITY_LOW" hidden="1">"c4494"</definedName>
    <definedName name="IQ_PRICE_VOLATILITY_LOW_CIQ" hidden="1">"c5032"</definedName>
    <definedName name="IQ_PRICE_VOLATILITY_LOW_CIQ_COL" hidden="1">"c11679"</definedName>
    <definedName name="IQ_PRICE_VOLATILITY_MEDIAN" hidden="1">"c4495"</definedName>
    <definedName name="IQ_PRICE_VOLATILITY_MEDIAN_CIQ" hidden="1">"c5033"</definedName>
    <definedName name="IQ_PRICE_VOLATILITY_MEDIAN_CIQ_COL" hidden="1">"c11680"</definedName>
    <definedName name="IQ_PRICE_VOLATILITY_NUM" hidden="1">"c4496"</definedName>
    <definedName name="IQ_PRICE_VOLATILITY_NUM_CIQ" hidden="1">"c5034"</definedName>
    <definedName name="IQ_PRICE_VOLATILITY_NUM_CIQ_COL" hidden="1">"c11681"</definedName>
    <definedName name="IQ_PRICE_VOLATILITY_STDDEV" hidden="1">"c4497"</definedName>
    <definedName name="IQ_PRICE_VOLATILITY_STDDEV_CIQ" hidden="1">"c5035"</definedName>
    <definedName name="IQ_PRICE_VOLATILITY_STDDEV_CIQ_COL" hidden="1">"c11682"</definedName>
    <definedName name="IQ_PRICEDATE" hidden="1">"c1069"</definedName>
    <definedName name="IQ_PRICEDATETIME" hidden="1">"IQ_PRICEDATETIME"</definedName>
    <definedName name="IQ_PRICING_DATE" hidden="1">"c1613"</definedName>
    <definedName name="IQ_PRIMARY_EPS_TYPE" hidden="1">"c4498"</definedName>
    <definedName name="IQ_PRIMARY_EPS_TYPE_CIQ" hidden="1">"c5036"</definedName>
    <definedName name="IQ_PRIMARY_EPS_TYPE_REUT" hidden="1">"c5481"</definedName>
    <definedName name="IQ_PRIMARY_EPS_TYPE_THOM" hidden="1">"c5297"</definedName>
    <definedName name="IQ_PRIMARY_EST_CONSOLIDATION" hidden="1">"c16246"</definedName>
    <definedName name="IQ_PRIMARY_EST_CONSOLIDATION_CIQ" hidden="1">"c16247"</definedName>
    <definedName name="IQ_PRIMARY_INDUSTRY" hidden="1">"c1070"</definedName>
    <definedName name="IQ_PRIMARY_SIC_CODE" hidden="1">"c16218"</definedName>
    <definedName name="IQ_PRIMARY_SIC_INDUSTRY" hidden="1">"c16217"</definedName>
    <definedName name="IQ_PRINCIPAL_AMT" hidden="1">"c2157"</definedName>
    <definedName name="IQ_PRIVATE_CONST_TOTAL_APR_FC_UNUSED" hidden="1">"c8559"</definedName>
    <definedName name="IQ_PRIVATE_CONST_TOTAL_APR_FC_UNUSED_UNUSED_UNUSED" hidden="1">"c8559"</definedName>
    <definedName name="IQ_PRIVATE_CONST_TOTAL_APR_UNUSED" hidden="1">"c7679"</definedName>
    <definedName name="IQ_PRIVATE_CONST_TOTAL_APR_UNUSED_UNUSED_UNUSED" hidden="1">"c7679"</definedName>
    <definedName name="IQ_PRIVATE_CONST_TOTAL_FC_UNUSED" hidden="1">"c7899"</definedName>
    <definedName name="IQ_PRIVATE_CONST_TOTAL_FC_UNUSED_UNUSED_UNUSED" hidden="1">"c7899"</definedName>
    <definedName name="IQ_PRIVATE_CONST_TOTAL_POP_FC_UNUSED" hidden="1">"c8119"</definedName>
    <definedName name="IQ_PRIVATE_CONST_TOTAL_POP_FC_UNUSED_UNUSED_UNUSED" hidden="1">"c8119"</definedName>
    <definedName name="IQ_PRIVATE_CONST_TOTAL_POP_UNUSED" hidden="1">"c7239"</definedName>
    <definedName name="IQ_PRIVATE_CONST_TOTAL_POP_UNUSED_UNUSED_UNUSED" hidden="1">"c7239"</definedName>
    <definedName name="IQ_PRIVATE_CONST_TOTAL_UNUSED" hidden="1">"c7019"</definedName>
    <definedName name="IQ_PRIVATE_CONST_TOTAL_UNUSED_UNUSED_UNUSED" hidden="1">"c7019"</definedName>
    <definedName name="IQ_PRIVATE_CONST_TOTAL_YOY_FC_UNUSED" hidden="1">"c8339"</definedName>
    <definedName name="IQ_PRIVATE_CONST_TOTAL_YOY_FC_UNUSED_UNUSED_UNUSED" hidden="1">"c8339"</definedName>
    <definedName name="IQ_PRIVATE_CONST_TOTAL_YOY_UNUSED" hidden="1">"c7459"</definedName>
    <definedName name="IQ_PRIVATE_CONST_TOTAL_YOY_UNUSED_UNUSED_UNUSED" hidden="1">"c7459"</definedName>
    <definedName name="IQ_PRIVATE_FIXED_INVEST_TOTAL" hidden="1">"c12006"</definedName>
    <definedName name="IQ_PRIVATE_FIXED_INVEST_TOTAL_APR" hidden="1">"c12009"</definedName>
    <definedName name="IQ_PRIVATE_FIXED_INVEST_TOTAL_POP" hidden="1">"c12007"</definedName>
    <definedName name="IQ_PRIVATE_FIXED_INVEST_TOTAL_YOY" hidden="1">"c12008"</definedName>
    <definedName name="IQ_PRIVATE_NONRES_CONST_IMPROV" hidden="1">"c6949"</definedName>
    <definedName name="IQ_PRIVATE_NONRES_CONST_IMPROV_APR" hidden="1">"c7609"</definedName>
    <definedName name="IQ_PRIVATE_NONRES_CONST_IMPROV_APR_FC" hidden="1">"c8489"</definedName>
    <definedName name="IQ_PRIVATE_NONRES_CONST_IMPROV_FC" hidden="1">"c7829"</definedName>
    <definedName name="IQ_PRIVATE_NONRES_CONST_IMPROV_POP" hidden="1">"c7169"</definedName>
    <definedName name="IQ_PRIVATE_NONRES_CONST_IMPROV_POP_FC" hidden="1">"c8049"</definedName>
    <definedName name="IQ_PRIVATE_NONRES_CONST_IMPROV_YOY" hidden="1">"c7389"</definedName>
    <definedName name="IQ_PRIVATE_NONRES_CONST_IMPROV_YOY_FC" hidden="1">"c8269"</definedName>
    <definedName name="IQ_PRIVATE_RES_CONST_IMPROV" hidden="1">"c6950"</definedName>
    <definedName name="IQ_PRIVATE_RES_CONST_IMPROV_APR" hidden="1">"c7610"</definedName>
    <definedName name="IQ_PRIVATE_RES_CONST_IMPROV_APR_FC" hidden="1">"c8490"</definedName>
    <definedName name="IQ_PRIVATE_RES_CONST_IMPROV_FC" hidden="1">"c7830"</definedName>
    <definedName name="IQ_PRIVATE_RES_CONST_IMPROV_POP" hidden="1">"c7170"</definedName>
    <definedName name="IQ_PRIVATE_RES_CONST_IMPROV_POP_FC" hidden="1">"c8050"</definedName>
    <definedName name="IQ_PRIVATE_RES_CONST_IMPROV_YOY" hidden="1">"c7390"</definedName>
    <definedName name="IQ_PRIVATE_RES_CONST_IMPROV_YOY_FC" hidden="1">"c8270"</definedName>
    <definedName name="IQ_PRIVATE_RES_CONST_REAL_APR_FC_UNUSED" hidden="1">"c8535"</definedName>
    <definedName name="IQ_PRIVATE_RES_CONST_REAL_APR_FC_UNUSED_UNUSED_UNUSED" hidden="1">"c8535"</definedName>
    <definedName name="IQ_PRIVATE_RES_CONST_REAL_APR_UNUSED" hidden="1">"c7655"</definedName>
    <definedName name="IQ_PRIVATE_RES_CONST_REAL_APR_UNUSED_UNUSED_UNUSED" hidden="1">"c7655"</definedName>
    <definedName name="IQ_PRIVATE_RES_CONST_REAL_FC_UNUSED" hidden="1">"c7875"</definedName>
    <definedName name="IQ_PRIVATE_RES_CONST_REAL_FC_UNUSED_UNUSED_UNUSED" hidden="1">"c7875"</definedName>
    <definedName name="IQ_PRIVATE_RES_CONST_REAL_POP_FC_UNUSED" hidden="1">"c8095"</definedName>
    <definedName name="IQ_PRIVATE_RES_CONST_REAL_POP_FC_UNUSED_UNUSED_UNUSED" hidden="1">"c8095"</definedName>
    <definedName name="IQ_PRIVATE_RES_CONST_REAL_POP_UNUSED" hidden="1">"c7215"</definedName>
    <definedName name="IQ_PRIVATE_RES_CONST_REAL_POP_UNUSED_UNUSED_UNUSED" hidden="1">"c7215"</definedName>
    <definedName name="IQ_PRIVATE_RES_CONST_REAL_UNUSED" hidden="1">"c6995"</definedName>
    <definedName name="IQ_PRIVATE_RES_CONST_REAL_UNUSED_UNUSED_UNUSED" hidden="1">"c6995"</definedName>
    <definedName name="IQ_PRIVATE_RES_CONST_REAL_YOY_FC_UNUSED" hidden="1">"c8315"</definedName>
    <definedName name="IQ_PRIVATE_RES_CONST_REAL_YOY_FC_UNUSED_UNUSED_UNUSED" hidden="1">"c8315"</definedName>
    <definedName name="IQ_PRIVATE_RES_CONST_REAL_YOY_UNUSED" hidden="1">"c7435"</definedName>
    <definedName name="IQ_PRIVATE_RES_CONST_REAL_YOY_UNUSED_UNUSED_UNUSED" hidden="1">"c7435"</definedName>
    <definedName name="IQ_PRIVATE_RES_FIXED_INVEST_REAL" hidden="1">"c11986"</definedName>
    <definedName name="IQ_PRIVATE_RES_FIXED_INVEST_REAL_APR" hidden="1">"c11989"</definedName>
    <definedName name="IQ_PRIVATE_RES_FIXED_INVEST_REAL_POP" hidden="1">"c11987"</definedName>
    <definedName name="IQ_PRIVATE_RES_FIXED_INVEST_REAL_YOY" hidden="1">"c11988"</definedName>
    <definedName name="IQ_PRIVATELY_ISSUED_MORTGAGE_BACKED_SECURITIES_FDIC" hidden="1">"c6407"</definedName>
    <definedName name="IQ_PRIVATELY_ISSUED_MORTGAGE_PASS_THROUGHS_FDIC" hidden="1">"c6405"</definedName>
    <definedName name="IQ_PRO_FORMA_BASIC_EPS" hidden="1">"c1614"</definedName>
    <definedName name="IQ_PRO_FORMA_DILUT_EPS" hidden="1">"c1615"</definedName>
    <definedName name="IQ_PRO_FORMA_NET_INC" hidden="1">"c795"</definedName>
    <definedName name="IQ_PROBABLE_ATTRIB_ORE_RESERVES_ALUM" hidden="1">"c9217"</definedName>
    <definedName name="IQ_PROBABLE_ATTRIB_ORE_RESERVES_COP" hidden="1">"c9161"</definedName>
    <definedName name="IQ_PROBABLE_ATTRIB_ORE_RESERVES_DIAM" hidden="1">"c9641"</definedName>
    <definedName name="IQ_PROBABLE_ATTRIB_ORE_RESERVES_GOLD" hidden="1">"c9002"</definedName>
    <definedName name="IQ_PROBABLE_ATTRIB_ORE_RESERVES_IRON" hidden="1">"c9376"</definedName>
    <definedName name="IQ_PROBABLE_ATTRIB_ORE_RESERVES_LEAD" hidden="1">"c9429"</definedName>
    <definedName name="IQ_PROBABLE_ATTRIB_ORE_RESERVES_MANG" hidden="1">"c9482"</definedName>
    <definedName name="IQ_PROBABLE_ATTRIB_ORE_RESERVES_MOLYB" hidden="1">"c9694"</definedName>
    <definedName name="IQ_PROBABLE_ATTRIB_ORE_RESERVES_NICK" hidden="1">"c9270"</definedName>
    <definedName name="IQ_PROBABLE_ATTRIB_ORE_RESERVES_PLAT" hidden="1">"c9108"</definedName>
    <definedName name="IQ_PROBABLE_ATTRIB_ORE_RESERVES_SILVER" hidden="1">"c9055"</definedName>
    <definedName name="IQ_PROBABLE_ATTRIB_ORE_RESERVES_TITAN" hidden="1">"c9535"</definedName>
    <definedName name="IQ_PROBABLE_ATTRIB_ORE_RESERVES_URAN" hidden="1">"c9588"</definedName>
    <definedName name="IQ_PROBABLE_ATTRIB_ORE_RESERVES_ZINC" hidden="1">"c9323"</definedName>
    <definedName name="IQ_PROBABLE_ORE_RESERVES_ALUM" hidden="1">"c9209"</definedName>
    <definedName name="IQ_PROBABLE_ORE_RESERVES_COP" hidden="1">"c9153"</definedName>
    <definedName name="IQ_PROBABLE_ORE_RESERVES_DIAM" hidden="1">"c9633"</definedName>
    <definedName name="IQ_PROBABLE_ORE_RESERVES_GOLD" hidden="1">"c8994"</definedName>
    <definedName name="IQ_PROBABLE_ORE_RESERVES_IRON" hidden="1">"c9368"</definedName>
    <definedName name="IQ_PROBABLE_ORE_RESERVES_LEAD" hidden="1">"c9421"</definedName>
    <definedName name="IQ_PROBABLE_ORE_RESERVES_MANG" hidden="1">"c9474"</definedName>
    <definedName name="IQ_PROBABLE_ORE_RESERVES_MOLYB" hidden="1">"c9686"</definedName>
    <definedName name="IQ_PROBABLE_ORE_RESERVES_NICK" hidden="1">"c9262"</definedName>
    <definedName name="IQ_PROBABLE_ORE_RESERVES_PLAT" hidden="1">"c9100"</definedName>
    <definedName name="IQ_PROBABLE_ORE_RESERVES_SILVER" hidden="1">"c9047"</definedName>
    <definedName name="IQ_PROBABLE_ORE_RESERVES_TITAN" hidden="1">"c9527"</definedName>
    <definedName name="IQ_PROBABLE_ORE_RESERVES_URAN" hidden="1">"c9580"</definedName>
    <definedName name="IQ_PROBABLE_ORE_RESERVES_ZINC" hidden="1">"c9315"</definedName>
    <definedName name="IQ_PROBABLE_RECOV_ATTRIB_RESERVES_ALUM" hidden="1">"c9220"</definedName>
    <definedName name="IQ_PROBABLE_RECOV_ATTRIB_RESERVES_COAL" hidden="1">"c9804"</definedName>
    <definedName name="IQ_PROBABLE_RECOV_ATTRIB_RESERVES_COP" hidden="1">"c9164"</definedName>
    <definedName name="IQ_PROBABLE_RECOV_ATTRIB_RESERVES_DIAM" hidden="1">"c9644"</definedName>
    <definedName name="IQ_PROBABLE_RECOV_ATTRIB_RESERVES_GOLD" hidden="1">"c9005"</definedName>
    <definedName name="IQ_PROBABLE_RECOV_ATTRIB_RESERVES_IRON" hidden="1">"c9379"</definedName>
    <definedName name="IQ_PROBABLE_RECOV_ATTRIB_RESERVES_LEAD" hidden="1">"c9432"</definedName>
    <definedName name="IQ_PROBABLE_RECOV_ATTRIB_RESERVES_MANG" hidden="1">"c9485"</definedName>
    <definedName name="IQ_PROBABLE_RECOV_ATTRIB_RESERVES_MET_COAL" hidden="1">"c9744"</definedName>
    <definedName name="IQ_PROBABLE_RECOV_ATTRIB_RESERVES_MOLYB" hidden="1">"c9697"</definedName>
    <definedName name="IQ_PROBABLE_RECOV_ATTRIB_RESERVES_NICK" hidden="1">"c9273"</definedName>
    <definedName name="IQ_PROBABLE_RECOV_ATTRIB_RESERVES_PLAT" hidden="1">"c9111"</definedName>
    <definedName name="IQ_PROBABLE_RECOV_ATTRIB_RESERVES_SILVER" hidden="1">"c9058"</definedName>
    <definedName name="IQ_PROBABLE_RECOV_ATTRIB_RESERVES_STEAM" hidden="1">"c9774"</definedName>
    <definedName name="IQ_PROBABLE_RECOV_ATTRIB_RESERVES_TITAN" hidden="1">"c9538"</definedName>
    <definedName name="IQ_PROBABLE_RECOV_ATTRIB_RESERVES_URAN" hidden="1">"c9591"</definedName>
    <definedName name="IQ_PROBABLE_RECOV_ATTRIB_RESERVES_ZINC" hidden="1">"c9326"</definedName>
    <definedName name="IQ_PROBABLE_RECOV_RESERVES_ALUM" hidden="1">"c9214"</definedName>
    <definedName name="IQ_PROBABLE_RECOV_RESERVES_COAL" hidden="1">"c9801"</definedName>
    <definedName name="IQ_PROBABLE_RECOV_RESERVES_COP" hidden="1">"c9158"</definedName>
    <definedName name="IQ_PROBABLE_RECOV_RESERVES_DIAM" hidden="1">"c9638"</definedName>
    <definedName name="IQ_PROBABLE_RECOV_RESERVES_GOLD" hidden="1">"c8999"</definedName>
    <definedName name="IQ_PROBABLE_RECOV_RESERVES_IRON" hidden="1">"c9373"</definedName>
    <definedName name="IQ_PROBABLE_RECOV_RESERVES_LEAD" hidden="1">"c9426"</definedName>
    <definedName name="IQ_PROBABLE_RECOV_RESERVES_MANG" hidden="1">"c9479"</definedName>
    <definedName name="IQ_PROBABLE_RECOV_RESERVES_MET_COAL" hidden="1">"c9741"</definedName>
    <definedName name="IQ_PROBABLE_RECOV_RESERVES_MOLYB" hidden="1">"c9691"</definedName>
    <definedName name="IQ_PROBABLE_RECOV_RESERVES_NICK" hidden="1">"c9267"</definedName>
    <definedName name="IQ_PROBABLE_RECOV_RESERVES_PLAT" hidden="1">"c9105"</definedName>
    <definedName name="IQ_PROBABLE_RECOV_RESERVES_SILVER" hidden="1">"c9052"</definedName>
    <definedName name="IQ_PROBABLE_RECOV_RESERVES_STEAM" hidden="1">"c9771"</definedName>
    <definedName name="IQ_PROBABLE_RECOV_RESERVES_TITAN" hidden="1">"c9532"</definedName>
    <definedName name="IQ_PROBABLE_RECOV_RESERVES_URAN" hidden="1">"c9585"</definedName>
    <definedName name="IQ_PROBABLE_RECOV_RESERVES_ZINC" hidden="1">"c9320"</definedName>
    <definedName name="IQ_PROBABLE_RESERVES_CALORIFIC_VALUE_COAL" hidden="1">"c9798"</definedName>
    <definedName name="IQ_PROBABLE_RESERVES_CALORIFIC_VALUE_MET_COAL" hidden="1">"c9738"</definedName>
    <definedName name="IQ_PROBABLE_RESERVES_CALORIFIC_VALUE_STEAM" hidden="1">"c9768"</definedName>
    <definedName name="IQ_PROBABLE_RESERVES_GRADE_ALUM" hidden="1">"c9210"</definedName>
    <definedName name="IQ_PROBABLE_RESERVES_GRADE_COP" hidden="1">"c9154"</definedName>
    <definedName name="IQ_PROBABLE_RESERVES_GRADE_DIAM" hidden="1">"c9634"</definedName>
    <definedName name="IQ_PROBABLE_RESERVES_GRADE_GOLD" hidden="1">"c8995"</definedName>
    <definedName name="IQ_PROBABLE_RESERVES_GRADE_IRON" hidden="1">"c9369"</definedName>
    <definedName name="IQ_PROBABLE_RESERVES_GRADE_LEAD" hidden="1">"c9422"</definedName>
    <definedName name="IQ_PROBABLE_RESERVES_GRADE_MANG" hidden="1">"c9475"</definedName>
    <definedName name="IQ_PROBABLE_RESERVES_GRADE_MOLYB" hidden="1">"c9687"</definedName>
    <definedName name="IQ_PROBABLE_RESERVES_GRADE_NICK" hidden="1">"c9263"</definedName>
    <definedName name="IQ_PROBABLE_RESERVES_GRADE_PLAT" hidden="1">"c9101"</definedName>
    <definedName name="IQ_PROBABLE_RESERVES_GRADE_SILVER" hidden="1">"c9048"</definedName>
    <definedName name="IQ_PROBABLE_RESERVES_GRADE_TITAN" hidden="1">"c9528"</definedName>
    <definedName name="IQ_PROBABLE_RESERVES_GRADE_URAN" hidden="1">"c9581"</definedName>
    <definedName name="IQ_PROBABLE_RESERVES_GRADE_ZINC" hidden="1">"c9316"</definedName>
    <definedName name="IQ_PROBABLE_RESERVES_TO_TOTAL_RESERVES_COAL" hidden="1">"c15953"</definedName>
    <definedName name="IQ_PRODUCTION_COST_ALUM" hidden="1">"c9253"</definedName>
    <definedName name="IQ_PRODUCTION_COST_COAL" hidden="1">"c9826"</definedName>
    <definedName name="IQ_PRODUCTION_COST_COP" hidden="1">"c9200"</definedName>
    <definedName name="IQ_PRODUCTION_COST_DIAM" hidden="1">"c9677"</definedName>
    <definedName name="IQ_PRODUCTION_COST_GOLD" hidden="1">"c9038"</definedName>
    <definedName name="IQ_PRODUCTION_COST_IRON" hidden="1">"c9412"</definedName>
    <definedName name="IQ_PRODUCTION_COST_LEAD" hidden="1">"c9465"</definedName>
    <definedName name="IQ_PRODUCTION_COST_MANG" hidden="1">"c9518"</definedName>
    <definedName name="IQ_PRODUCTION_COST_MET_COAL" hidden="1">"c9763"</definedName>
    <definedName name="IQ_PRODUCTION_COST_MOLYB" hidden="1">"c9730"</definedName>
    <definedName name="IQ_PRODUCTION_COST_NICK" hidden="1">"c9306"</definedName>
    <definedName name="IQ_PRODUCTION_COST_PLAT" hidden="1">"c9144"</definedName>
    <definedName name="IQ_PRODUCTION_COST_SILVER" hidden="1">"c9091"</definedName>
    <definedName name="IQ_PRODUCTION_COST_STEAM" hidden="1">"c9793"</definedName>
    <definedName name="IQ_PRODUCTION_COST_TITAN" hidden="1">"c9571"</definedName>
    <definedName name="IQ_PRODUCTION_COST_URAN" hidden="1">"c9624"</definedName>
    <definedName name="IQ_PRODUCTION_COST_ZINC" hidden="1">"c9359"</definedName>
    <definedName name="IQ_PRODUCTION_TO_SOLD_COAL" hidden="1">"c15945"</definedName>
    <definedName name="IQ_PROFESSIONAL" hidden="1">"c1071"</definedName>
    <definedName name="IQ_PROFESSIONAL_ALL_OTHER_COMP" hidden="1">"c18944"</definedName>
    <definedName name="IQ_PROFESSIONAL_ANNUAL_CASH_COMP" hidden="1">"c18945"</definedName>
    <definedName name="IQ_PROFESSIONAL_AS_REPORTED_COMP" hidden="1">"c18949"</definedName>
    <definedName name="IQ_PROFESSIONAL_AS_REPORTED_DIRECTOR_COMP" hidden="1">"c18961"</definedName>
    <definedName name="IQ_PROFESSIONAL_ASSISTANT_EMAIL" hidden="1">"c15169"</definedName>
    <definedName name="IQ_PROFESSIONAL_ASSISTANT_FAX" hidden="1">"c15171"</definedName>
    <definedName name="IQ_PROFESSIONAL_ASSISTANT_NAME" hidden="1">"c15168"</definedName>
    <definedName name="IQ_PROFESSIONAL_ASSISTANT_PHONE" hidden="1">"c15170"</definedName>
    <definedName name="IQ_PROFESSIONAL_BACKGROUND" hidden="1">"c15161"</definedName>
    <definedName name="IQ_PROFESSIONAL_BONUS" hidden="1">"c18940"</definedName>
    <definedName name="IQ_PROFESSIONAL_CALCULATED_COMP" hidden="1">"c18947"</definedName>
    <definedName name="IQ_PROFESSIONAL_CHANGE_PENSION" hidden="1">"c18962"</definedName>
    <definedName name="IQ_PROFESSIONAL_DIRECT_FAX" hidden="1">"c15166"</definedName>
    <definedName name="IQ_PROFESSIONAL_DIRECT_PHONE" hidden="1">"c15165"</definedName>
    <definedName name="IQ_PROFESSIONAL_DIRECTOR_BONUS" hidden="1">"c18956"</definedName>
    <definedName name="IQ_PROFESSIONAL_DIRECTOR_CHANGE_PENSION" hidden="1">"c18957"</definedName>
    <definedName name="IQ_PROFESSIONAL_DIRECTOR_FEE" hidden="1">"c18953"</definedName>
    <definedName name="IQ_PROFESSIONAL_DIRECTOR_NON_EQUITY_COMP" hidden="1">"c18958"</definedName>
    <definedName name="IQ_PROFESSIONAL_DIRECTOR_OPTION_AWARDS" hidden="1">"c18954"</definedName>
    <definedName name="IQ_PROFESSIONAL_DIRECTOR_OTHER" hidden="1">"c18955"</definedName>
    <definedName name="IQ_PROFESSIONAL_DIRECTOR_STOCK_AWARDS" hidden="1">"c18959"</definedName>
    <definedName name="IQ_PROFESSIONAL_DIRECTOR_STOCK_GRANTS" hidden="1">"c18986"</definedName>
    <definedName name="IQ_PROFESSIONAL_DIRECTOR_STOCK_OPTIONS" hidden="1">"c18960"</definedName>
    <definedName name="IQ_PROFESSIONAL_EMAIL" hidden="1">"c15167"</definedName>
    <definedName name="IQ_PROFESSIONAL_EQUITY_INCENTIVE" hidden="1">"c18982"</definedName>
    <definedName name="IQ_PROFESSIONAL_EST_PAYMENTS_CHANGE_CONTROL" hidden="1">"c18951"</definedName>
    <definedName name="IQ_PROFESSIONAL_EST_PAYMENTS_TERMINATION" hidden="1">"c18963"</definedName>
    <definedName name="IQ_PROFESSIONAL_EXERCISABLE_OPTIONS" hidden="1">"c18966"</definedName>
    <definedName name="IQ_PROFESSIONAL_EXERCISABLE_VALUES" hidden="1">"c18967"</definedName>
    <definedName name="IQ_PROFESSIONAL_EXERCISED_OPTIONS" hidden="1">"c18964"</definedName>
    <definedName name="IQ_PROFESSIONAL_EXERCISED_VALUES" hidden="1">"c18965"</definedName>
    <definedName name="IQ_PROFESSIONAL_ID" hidden="1">"c13755"</definedName>
    <definedName name="IQ_PROFESSIONAL_LT_INCENTIVE" hidden="1">"c18943"</definedName>
    <definedName name="IQ_PROFESSIONAL_MAIN_FAX" hidden="1">"c15164"</definedName>
    <definedName name="IQ_PROFESSIONAL_MAIN_PHONE" hidden="1">"c15163"</definedName>
    <definedName name="IQ_PROFESSIONAL_MARKET_VALUE_SHARES_NOT_VESTED" hidden="1">"c18981"</definedName>
    <definedName name="IQ_PROFESSIONAL_NON_EQUITY_INCENTIVE" hidden="1">"c18952"</definedName>
    <definedName name="IQ_PROFESSIONAL_NUM_SHARED_NOT_VESTED" hidden="1">"c18980"</definedName>
    <definedName name="IQ_PROFESSIONAL_NUM_SHARES_ACQUIRED" hidden="1">"c18978"</definedName>
    <definedName name="IQ_PROFESSIONAL_OFFICE_ADDRESS" hidden="1">"c15162"</definedName>
    <definedName name="IQ_PROFESSIONAL_OPTION_AWARDS" hidden="1">"c18948"</definedName>
    <definedName name="IQ_PROFESSIONAL_OPTION_MARKET_PRICE" hidden="1">"c18977"</definedName>
    <definedName name="IQ_PROFESSIONAL_OPTION_PRICE" hidden="1">"c18976"</definedName>
    <definedName name="IQ_PROFESSIONAL_OTHER_ANNUAL_COMP" hidden="1">"c18941"</definedName>
    <definedName name="IQ_PROFESSIONAL_OTHER_COMP" hidden="1">"c18950"</definedName>
    <definedName name="IQ_PROFESSIONAL_RESTRICTED_STOCK_COMP" hidden="1">"c18942"</definedName>
    <definedName name="IQ_PROFESSIONAL_SALARY" hidden="1">"c18939"</definedName>
    <definedName name="IQ_PROFESSIONAL_ST_COMP" hidden="1">"c18946"</definedName>
    <definedName name="IQ_PROFESSIONAL_TITLE" hidden="1">"c1072"</definedName>
    <definedName name="IQ_PROFESSIONAL_TOTAL_NUM_STOCK_AWARDS" hidden="1">"c18985"</definedName>
    <definedName name="IQ_PROFESSIONAL_TOTAL_OPTIONS" hidden="1">"c18974"</definedName>
    <definedName name="IQ_PROFESSIONAL_TOTAL_STOCK_VALUE" hidden="1">"c18984"</definedName>
    <definedName name="IQ_PROFESSIONAL_TOTAL_VALUE_OPTIONS" hidden="1">"c18975"</definedName>
    <definedName name="IQ_PROFESSIONAL_UNCLASSIFIED_OPTIONS" hidden="1">"c18970"</definedName>
    <definedName name="IQ_PROFESSIONAL_UNCLASSIFIED_OPTIONS_VALUE" hidden="1">"c18971"</definedName>
    <definedName name="IQ_PROFESSIONAL_UNEARNED_STOCK_VALUE" hidden="1">"c18983"</definedName>
    <definedName name="IQ_PROFESSIONAL_UNEXERCISABLE_OPTIONS" hidden="1">"c18968"</definedName>
    <definedName name="IQ_PROFESSIONAL_UNEXERCISABLE_VALUES" hidden="1">"c18969"</definedName>
    <definedName name="IQ_PROFESSIONAL_UNEXERCISED_UNEARNED_OPTIONS" hidden="1">"c18972"</definedName>
    <definedName name="IQ_PROFESSIONAL_UNEXERCISED_UNEARNED_OPTIONS_VALUE" hidden="1">"c18973"</definedName>
    <definedName name="IQ_PROFESSIONAL_VALUE_VESTING" hidden="1">"c18979"</definedName>
    <definedName name="IQ_PROFIT_AFTER_COST_CAPITAL_NEW_BUSINESS" hidden="1">"c9969"</definedName>
    <definedName name="IQ_PROFIT_BEFORE_COST_CAPITAL_NEW_BUSINESS" hidden="1">"c9967"</definedName>
    <definedName name="IQ_PROGRAMMING_COSTS" hidden="1">"c2884"</definedName>
    <definedName name="IQ_PROJECTED_PENSION_OBLIGATION" hidden="1">"c1292"</definedName>
    <definedName name="IQ_PROJECTED_PENSION_OBLIGATION_DOMESTIC" hidden="1">"c2656"</definedName>
    <definedName name="IQ_PROJECTED_PENSION_OBLIGATION_FOREIGN" hidden="1">"c2664"</definedName>
    <definedName name="IQ_PROP_MGMT_EXPENSE" hidden="1">"c16038"</definedName>
    <definedName name="IQ_PROP_MGMT_INCOME" hidden="1">"c16028"</definedName>
    <definedName name="IQ_PROP_OPERATING_EXPENSE" hidden="1">"c16037"</definedName>
    <definedName name="IQ_PROP_RENTAL_REVENUE" hidden="1">"c16019"</definedName>
    <definedName name="IQ_PROP_SALES_EXPENSE" hidden="1">"c16044"</definedName>
    <definedName name="IQ_PROPERTY_EXP" hidden="1">"c1073"</definedName>
    <definedName name="IQ_PROPERTY_GROSS" hidden="1">"c518"</definedName>
    <definedName name="IQ_PROPERTY_MGMT_FEE" hidden="1">"c1074"</definedName>
    <definedName name="IQ_PROPERTY_NET" hidden="1">"c829"</definedName>
    <definedName name="IQ_PROPERTY_TAX_INSURANCE" hidden="1">"c16033"</definedName>
    <definedName name="IQ_PROV_BAD_DEBTS" hidden="1">"c1075"</definedName>
    <definedName name="IQ_PROV_BAD_DEBTS_CF" hidden="1">"c1076"</definedName>
    <definedName name="IQ_PROVED_ATTRIB_ORE_RESERVES_ALUM" hidden="1">"c9216"</definedName>
    <definedName name="IQ_PROVED_ATTRIB_ORE_RESERVES_COP" hidden="1">"c9160"</definedName>
    <definedName name="IQ_PROVED_ATTRIB_ORE_RESERVES_DIAM" hidden="1">"c9640"</definedName>
    <definedName name="IQ_PROVED_ATTRIB_ORE_RESERVES_GOLD" hidden="1">"c9001"</definedName>
    <definedName name="IQ_PROVED_ATTRIB_ORE_RESERVES_IRON" hidden="1">"c9375"</definedName>
    <definedName name="IQ_PROVED_ATTRIB_ORE_RESERVES_LEAD" hidden="1">"c9428"</definedName>
    <definedName name="IQ_PROVED_ATTRIB_ORE_RESERVES_MANG" hidden="1">"c9481"</definedName>
    <definedName name="IQ_PROVED_ATTRIB_ORE_RESERVES_MOLYB" hidden="1">"c9693"</definedName>
    <definedName name="IQ_PROVED_ATTRIB_ORE_RESERVES_NICK" hidden="1">"c9269"</definedName>
    <definedName name="IQ_PROVED_ATTRIB_ORE_RESERVES_PLAT" hidden="1">"c9107"</definedName>
    <definedName name="IQ_PROVED_ATTRIB_ORE_RESERVES_SILVER" hidden="1">"c9054"</definedName>
    <definedName name="IQ_PROVED_ATTRIB_ORE_RESERVES_TITAN" hidden="1">"c9534"</definedName>
    <definedName name="IQ_PROVED_ATTRIB_ORE_RESERVES_URAN" hidden="1">"c9587"</definedName>
    <definedName name="IQ_PROVED_ATTRIB_ORE_RESERVES_ZINC" hidden="1">"c9322"</definedName>
    <definedName name="IQ_PROVED_ORE_RESERVES_ALUM" hidden="1">"c9207"</definedName>
    <definedName name="IQ_PROVED_ORE_RESERVES_COP" hidden="1">"c9151"</definedName>
    <definedName name="IQ_PROVED_ORE_RESERVES_DIAM" hidden="1">"c9631"</definedName>
    <definedName name="IQ_PROVED_ORE_RESERVES_GOLD" hidden="1">"c8992"</definedName>
    <definedName name="IQ_PROVED_ORE_RESERVES_IRON" hidden="1">"c9366"</definedName>
    <definedName name="IQ_PROVED_ORE_RESERVES_LEAD" hidden="1">"c9419"</definedName>
    <definedName name="IQ_PROVED_ORE_RESERVES_MANG" hidden="1">"c9472"</definedName>
    <definedName name="IQ_PROVED_ORE_RESERVES_MOLYB" hidden="1">"c9684"</definedName>
    <definedName name="IQ_PROVED_ORE_RESERVES_NICK" hidden="1">"c9260"</definedName>
    <definedName name="IQ_PROVED_ORE_RESERVES_PLAT" hidden="1">"c9098"</definedName>
    <definedName name="IQ_PROVED_ORE_RESERVES_SILVER" hidden="1">"c9045"</definedName>
    <definedName name="IQ_PROVED_ORE_RESERVES_TITAN" hidden="1">"c9525"</definedName>
    <definedName name="IQ_PROVED_ORE_RESERVES_URAN" hidden="1">"c9578"</definedName>
    <definedName name="IQ_PROVED_ORE_RESERVES_ZINC" hidden="1">"c9313"</definedName>
    <definedName name="IQ_PROVED_RECOV_ATTRIB_RESERVES_ALUM" hidden="1">"c9219"</definedName>
    <definedName name="IQ_PROVED_RECOV_ATTRIB_RESERVES_COAL" hidden="1">"c9803"</definedName>
    <definedName name="IQ_PROVED_RECOV_ATTRIB_RESERVES_COP" hidden="1">"c9163"</definedName>
    <definedName name="IQ_PROVED_RECOV_ATTRIB_RESERVES_DIAM" hidden="1">"c9643"</definedName>
    <definedName name="IQ_PROVED_RECOV_ATTRIB_RESERVES_GOLD" hidden="1">"c9004"</definedName>
    <definedName name="IQ_PROVED_RECOV_ATTRIB_RESERVES_IRON" hidden="1">"c9378"</definedName>
    <definedName name="IQ_PROVED_RECOV_ATTRIB_RESERVES_LEAD" hidden="1">"c9431"</definedName>
    <definedName name="IQ_PROVED_RECOV_ATTRIB_RESERVES_MANG" hidden="1">"c9484"</definedName>
    <definedName name="IQ_PROVED_RECOV_ATTRIB_RESERVES_MET_COAL" hidden="1">"c9743"</definedName>
    <definedName name="IQ_PROVED_RECOV_ATTRIB_RESERVES_MOLYB" hidden="1">"c9696"</definedName>
    <definedName name="IQ_PROVED_RECOV_ATTRIB_RESERVES_NICK" hidden="1">"c9272"</definedName>
    <definedName name="IQ_PROVED_RECOV_ATTRIB_RESERVES_PLAT" hidden="1">"c9110"</definedName>
    <definedName name="IQ_PROVED_RECOV_ATTRIB_RESERVES_SILVER" hidden="1">"c9057"</definedName>
    <definedName name="IQ_PROVED_RECOV_ATTRIB_RESERVES_STEAM" hidden="1">"c9773"</definedName>
    <definedName name="IQ_PROVED_RECOV_ATTRIB_RESERVES_TITAN" hidden="1">"c9537"</definedName>
    <definedName name="IQ_PROVED_RECOV_ATTRIB_RESERVES_URAN" hidden="1">"c9590"</definedName>
    <definedName name="IQ_PROVED_RECOV_ATTRIB_RESERVES_ZINC" hidden="1">"c9325"</definedName>
    <definedName name="IQ_PROVED_RECOV_RESERVES_ALUM" hidden="1">"c9213"</definedName>
    <definedName name="IQ_PROVED_RECOV_RESERVES_COAL" hidden="1">"c9800"</definedName>
    <definedName name="IQ_PROVED_RECOV_RESERVES_COP" hidden="1">"c9157"</definedName>
    <definedName name="IQ_PROVED_RECOV_RESERVES_DIAM" hidden="1">"c9637"</definedName>
    <definedName name="IQ_PROVED_RECOV_RESERVES_GOLD" hidden="1">"c8998"</definedName>
    <definedName name="IQ_PROVED_RECOV_RESERVES_IRON" hidden="1">"c9372"</definedName>
    <definedName name="IQ_PROVED_RECOV_RESERVES_LEAD" hidden="1">"c9425"</definedName>
    <definedName name="IQ_PROVED_RECOV_RESERVES_MANG" hidden="1">"c9478"</definedName>
    <definedName name="IQ_PROVED_RECOV_RESERVES_MET_COAL" hidden="1">"c9740"</definedName>
    <definedName name="IQ_PROVED_RECOV_RESERVES_MOLYB" hidden="1">"c9690"</definedName>
    <definedName name="IQ_PROVED_RECOV_RESERVES_NICK" hidden="1">"c9266"</definedName>
    <definedName name="IQ_PROVED_RECOV_RESERVES_PLAT" hidden="1">"c9104"</definedName>
    <definedName name="IQ_PROVED_RECOV_RESERVES_SILVER" hidden="1">"c9051"</definedName>
    <definedName name="IQ_PROVED_RECOV_RESERVES_STEAM" hidden="1">"c9770"</definedName>
    <definedName name="IQ_PROVED_RECOV_RESERVES_TITAN" hidden="1">"c9531"</definedName>
    <definedName name="IQ_PROVED_RECOV_RESERVES_URAN" hidden="1">"c9584"</definedName>
    <definedName name="IQ_PROVED_RECOV_RESERVES_ZINC" hidden="1">"c9319"</definedName>
    <definedName name="IQ_PROVED_RESERVES_CALORIFIC_VALUE_COAL" hidden="1">"c9797"</definedName>
    <definedName name="IQ_PROVED_RESERVES_CALORIFIC_VALUE_MET_COAL" hidden="1">"c9737"</definedName>
    <definedName name="IQ_PROVED_RESERVES_CALORIFIC_VALUE_STEAM" hidden="1">"c9767"</definedName>
    <definedName name="IQ_PROVED_RESERVES_GRADE_ALUM" hidden="1">"c9208"</definedName>
    <definedName name="IQ_PROVED_RESERVES_GRADE_COP" hidden="1">"c9152"</definedName>
    <definedName name="IQ_PROVED_RESERVES_GRADE_DIAM" hidden="1">"c9632"</definedName>
    <definedName name="IQ_PROVED_RESERVES_GRADE_GOLD" hidden="1">"c8993"</definedName>
    <definedName name="IQ_PROVED_RESERVES_GRADE_IRON" hidden="1">"c9367"</definedName>
    <definedName name="IQ_PROVED_RESERVES_GRADE_LEAD" hidden="1">"c9420"</definedName>
    <definedName name="IQ_PROVED_RESERVES_GRADE_MANG" hidden="1">"c9473"</definedName>
    <definedName name="IQ_PROVED_RESERVES_GRADE_MOLYB" hidden="1">"c9685"</definedName>
    <definedName name="IQ_PROVED_RESERVES_GRADE_NICK" hidden="1">"c9261"</definedName>
    <definedName name="IQ_PROVED_RESERVES_GRADE_PLAT" hidden="1">"c9099"</definedName>
    <definedName name="IQ_PROVED_RESERVES_GRADE_SILVER" hidden="1">"c9046"</definedName>
    <definedName name="IQ_PROVED_RESERVES_GRADE_TITAN" hidden="1">"c9526"</definedName>
    <definedName name="IQ_PROVED_RESERVES_GRADE_URAN" hidden="1">"c9579"</definedName>
    <definedName name="IQ_PROVED_RESERVES_GRADE_ZINC" hidden="1">"c9314"</definedName>
    <definedName name="IQ_PROVEN_RESERVES_TO_TOTAL_RESERVES_COAL" hidden="1">"c15952"</definedName>
    <definedName name="IQ_PROVISION_10YR_ANN_CAGR" hidden="1">"c6135"</definedName>
    <definedName name="IQ_PROVISION_10YR_ANN_GROWTH" hidden="1">"c1077"</definedName>
    <definedName name="IQ_PROVISION_1YR_ANN_GROWTH" hidden="1">"c1078"</definedName>
    <definedName name="IQ_PROVISION_2YR_ANN_CAGR" hidden="1">"c6136"</definedName>
    <definedName name="IQ_PROVISION_2YR_ANN_GROWTH" hidden="1">"c1079"</definedName>
    <definedName name="IQ_PROVISION_3YR_ANN_CAGR" hidden="1">"c6137"</definedName>
    <definedName name="IQ_PROVISION_3YR_ANN_GROWTH" hidden="1">"c1080"</definedName>
    <definedName name="IQ_PROVISION_5YR_ANN_CAGR" hidden="1">"c6138"</definedName>
    <definedName name="IQ_PROVISION_5YR_ANN_GROWTH" hidden="1">"c1081"</definedName>
    <definedName name="IQ_PROVISION_7YR_ANN_CAGR" hidden="1">"c6139"</definedName>
    <definedName name="IQ_PROVISION_7YR_ANN_GROWTH" hidden="1">"c1082"</definedName>
    <definedName name="IQ_PROVISION_AVG_LOANS" hidden="1">"c15717"</definedName>
    <definedName name="IQ_PROVISION_CHARGE_OFFS" hidden="1">"c1083"</definedName>
    <definedName name="IQ_PROVISION_LL_FFIEC" hidden="1">"c13019"</definedName>
    <definedName name="IQ_PROVISION_LOAN_LOSS_AVG_ASSETS_FFIEC" hidden="1">"c18879"</definedName>
    <definedName name="IQ_PROVISION_LOSSES_AVG_ASSETS_FFIEC" hidden="1">"c13362"</definedName>
    <definedName name="IQ_PROVISION_LOSSES_AVG_LOANS_FFIEC" hidden="1">"c13470"</definedName>
    <definedName name="IQ_PROVISION_LOSSES_NET_LOSSES_FFIEC" hidden="1">"c13471"</definedName>
    <definedName name="IQ_PSGR_REV" hidden="1">"c19125"</definedName>
    <definedName name="IQ_PTBV" hidden="1">"c1084"</definedName>
    <definedName name="IQ_PTBV_AVG" hidden="1">"c1085"</definedName>
    <definedName name="IQ_PURCHASE_FOREIGN_CURRENCIES_FDIC" hidden="1">"c6513"</definedName>
    <definedName name="IQ_PURCHASE_TREASURY_FFIEC" hidden="1">"c12966"</definedName>
    <definedName name="IQ_PURCHASED_COAL" hidden="1">"c15934"</definedName>
    <definedName name="IQ_PURCHASED_CREDIT_RELS_SERVICING_ASSETS_FFIEC" hidden="1">"c12839"</definedName>
    <definedName name="IQ_PURCHASED_OPTION_CONTRACTS_FDIC" hidden="1">"c6510"</definedName>
    <definedName name="IQ_PURCHASED_OPTION_CONTRACTS_FX_RISK_FDIC" hidden="1">"c6515"</definedName>
    <definedName name="IQ_PURCHASED_OPTION_CONTRACTS_NON_FX_IR_FDIC" hidden="1">"c6520"</definedName>
    <definedName name="IQ_PURCHASED_PRODUCTION_TO_SOLD_COAL" hidden="1">"c15947"</definedName>
    <definedName name="IQ_PURCHASED_TO_PRODUCTION_COAL" hidden="1">"c15948"</definedName>
    <definedName name="IQ_PURCHASED_TO_SOLD_COAL" hidden="1">"c15946"</definedName>
    <definedName name="IQ_PURCHASES_EQUIP_NONRES_SAAR_APR_FC_UNUSED" hidden="1">"c8491"</definedName>
    <definedName name="IQ_PURCHASES_EQUIP_NONRES_SAAR_APR_FC_UNUSED_UNUSED_UNUSED" hidden="1">"c8491"</definedName>
    <definedName name="IQ_PURCHASES_EQUIP_NONRES_SAAR_APR_UNUSED" hidden="1">"c7611"</definedName>
    <definedName name="IQ_PURCHASES_EQUIP_NONRES_SAAR_APR_UNUSED_UNUSED_UNUSED" hidden="1">"c7611"</definedName>
    <definedName name="IQ_PURCHASES_EQUIP_NONRES_SAAR_FC_UNUSED" hidden="1">"c7831"</definedName>
    <definedName name="IQ_PURCHASES_EQUIP_NONRES_SAAR_FC_UNUSED_UNUSED_UNUSED" hidden="1">"c7831"</definedName>
    <definedName name="IQ_PURCHASES_EQUIP_NONRES_SAAR_POP_FC_UNUSED" hidden="1">"c8051"</definedName>
    <definedName name="IQ_PURCHASES_EQUIP_NONRES_SAAR_POP_FC_UNUSED_UNUSED_UNUSED" hidden="1">"c8051"</definedName>
    <definedName name="IQ_PURCHASES_EQUIP_NONRES_SAAR_POP_UNUSED" hidden="1">"c7171"</definedName>
    <definedName name="IQ_PURCHASES_EQUIP_NONRES_SAAR_POP_UNUSED_UNUSED_UNUSED" hidden="1">"c7171"</definedName>
    <definedName name="IQ_PURCHASES_EQUIP_NONRES_SAAR_UNUSED" hidden="1">"c6951"</definedName>
    <definedName name="IQ_PURCHASES_EQUIP_NONRES_SAAR_UNUSED_UNUSED_UNUSED" hidden="1">"c6951"</definedName>
    <definedName name="IQ_PURCHASES_EQUIP_NONRES_SAAR_YOY_FC_UNUSED" hidden="1">"c8271"</definedName>
    <definedName name="IQ_PURCHASES_EQUIP_NONRES_SAAR_YOY_FC_UNUSED_UNUSED_UNUSED" hidden="1">"c8271"</definedName>
    <definedName name="IQ_PURCHASES_EQUIP_NONRES_SAAR_YOY_UNUSED" hidden="1">"c7391"</definedName>
    <definedName name="IQ_PURCHASES_EQUIP_NONRES_SAAR_YOY_UNUSED_UNUSED_UNUSED" hidden="1">"c7391"</definedName>
    <definedName name="IQ_PURCHASING_SECURITIES_LL_REC_FFIEC" hidden="1">"c12893"</definedName>
    <definedName name="IQ_PUT_DATE_SCHEDULE" hidden="1">"c2483"</definedName>
    <definedName name="IQ_PUT_NOTIFICATION" hidden="1">"c2485"</definedName>
    <definedName name="IQ_PUT_PRICE_SCHEDULE" hidden="1">"c2484"</definedName>
    <definedName name="IQ_PV_PREMIUMS_NEW_BUSINESS" hidden="1">"c9973"</definedName>
    <definedName name="IQ_QTD" hidden="1">750000</definedName>
    <definedName name="IQ_QUALIFYING_MINORITY_INT_T1_FFIEC" hidden="1">"c13135"</definedName>
    <definedName name="IQ_QUALIFYING_SUB_DEBT_REDEEM_PREF_T2_FFIEC" hidden="1">"c13144"</definedName>
    <definedName name="IQ_QUALIFYING_TRUST_PREFERRED_T1_FFIEC" hidden="1">"c13136"</definedName>
    <definedName name="IQ_QUICK_COMP" hidden="1">"c13750"</definedName>
    <definedName name="IQ_QUICK_RATIO" hidden="1">"c1086"</definedName>
    <definedName name="IQ_RATE_COMP_GROWTH_DOMESTIC" hidden="1">"c1087"</definedName>
    <definedName name="IQ_RATE_COMP_GROWTH_FOREIGN" hidden="1">"c1088"</definedName>
    <definedName name="IQ_RAW_INV" hidden="1">"c1089"</definedName>
    <definedName name="IQ_RAW_SALEABLE_INVENTORY_COAL" hidden="1">"c15941"</definedName>
    <definedName name="IQ_RC" hidden="1">"c2497"</definedName>
    <definedName name="IQ_RC_PCT" hidden="1">"c2498"</definedName>
    <definedName name="IQ_RD_EXP" hidden="1">"c1090"</definedName>
    <definedName name="IQ_RD_EXP_FN" hidden="1">"c1091"</definedName>
    <definedName name="IQ_RE" hidden="1">"c1092"</definedName>
    <definedName name="IQ_RE_1_4_RISK_BASED_FFIEC" hidden="1">"c13418"</definedName>
    <definedName name="IQ_RE_ACQ_SATISFACTION_DEBTS_FFIEC" hidden="1">"c12832"</definedName>
    <definedName name="IQ_RE_ASSET_DEVELOPMENT_PROP" hidden="1">"c19136"</definedName>
    <definedName name="IQ_RE_ASSET_INVESTMENT_PROP" hidden="1">"c19135"</definedName>
    <definedName name="IQ_RE_ASSET_OTHER_PROP" hidden="1">"c19137"</definedName>
    <definedName name="IQ_RE_ASSET_TOTAL_PROP" hidden="1">"c19138"</definedName>
    <definedName name="IQ_RE_DEPR_AMORT" hidden="1">"c8750"</definedName>
    <definedName name="IQ_RE_DEPRECIATION" hidden="1">"c16045"</definedName>
    <definedName name="IQ_RE_FARMLAND_GROSS_LOANS_FFIEC" hidden="1">"c13408"</definedName>
    <definedName name="IQ_RE_FARMLAND_RISK_BASED_FFIEC" hidden="1">"c13429"</definedName>
    <definedName name="IQ_RE_FCCR" hidden="1">"c8858"</definedName>
    <definedName name="IQ_RE_FCCR_CONT_OPS" hidden="1">"c8859"</definedName>
    <definedName name="IQ_RE_FCCR_INCL_DISC_OPS" hidden="1">"c8860"</definedName>
    <definedName name="IQ_RE_FCCR_INCL_PREF_DIV" hidden="1">"c8861"</definedName>
    <definedName name="IQ_RE_FCCR_INCL_PREF_DIV_CONT_OPS" hidden="1">"c8862"</definedName>
    <definedName name="IQ_RE_FCCR_INCL_PREF_DIV_INCL_DISC_OPS" hidden="1">"c8863"</definedName>
    <definedName name="IQ_RE_FIXED_CHARGES" hidden="1">"c8856"</definedName>
    <definedName name="IQ_RE_FIXED_CHARGES_INCL_PREF_DIV" hidden="1">"c8857"</definedName>
    <definedName name="IQ_RE_FORECLOSURE_FDIC" hidden="1">"c6332"</definedName>
    <definedName name="IQ_RE_FOREIGN_FFIEC" hidden="1">"c13479"</definedName>
    <definedName name="IQ_RE_GAIN_LOSS_SALE_ASSETS" hidden="1">"c8751"</definedName>
    <definedName name="IQ_RE_INVEST_FDIC" hidden="1">"c6331"</definedName>
    <definedName name="IQ_RE_LOANS_1_4_GROSS_LOANS_FFIEC" hidden="1">"c13397"</definedName>
    <definedName name="IQ_RE_LOANS_DOM_QUARTERLY_AVG_FFIEC" hidden="1">"c15476"</definedName>
    <definedName name="IQ_RE_LOANS_DOMESTIC_CHARGE_OFFS_FDIC" hidden="1">"c6589"</definedName>
    <definedName name="IQ_RE_LOANS_DOMESTIC_FDIC" hidden="1">"c6309"</definedName>
    <definedName name="IQ_RE_LOANS_DOMESTIC_NET_CHARGE_OFFS_FDIC" hidden="1">"c6627"</definedName>
    <definedName name="IQ_RE_LOANS_DOMESTIC_RECOVERIES_FDIC" hidden="1">"c6608"</definedName>
    <definedName name="IQ_RE_LOANS_FDIC" hidden="1">"c6308"</definedName>
    <definedName name="IQ_RE_LOANS_FOREIGN_CHARGE_OFFS_FDIC" hidden="1">"c6595"</definedName>
    <definedName name="IQ_RE_LOANS_FOREIGN_NET_CHARGE_OFFS_FDIC" hidden="1">"c6633"</definedName>
    <definedName name="IQ_RE_LOANS_FOREIGN_RECOVERIES_FDIC" hidden="1">"c6614"</definedName>
    <definedName name="IQ_RE_LOANS_GROSS_LOANS_FFIEC" hidden="1">"c13396"</definedName>
    <definedName name="IQ_RE_MAINT_CAPEX" hidden="1">"c8755"</definedName>
    <definedName name="IQ_RE_MINORITY_INTEREST" hidden="1">"c8752"</definedName>
    <definedName name="IQ_RE_NET_INCOME" hidden="1">"c8749"</definedName>
    <definedName name="IQ_RE_NOI" hidden="1">"c8864"</definedName>
    <definedName name="IQ_RE_NOI_GROWTH_SAME_PROP" hidden="1">"c8866"</definedName>
    <definedName name="IQ_RE_NOI_SAME_PROP" hidden="1">"c8865"</definedName>
    <definedName name="IQ_RE_OTHER_ITEMS" hidden="1">"c8753"</definedName>
    <definedName name="IQ_RE_RENTAL_EXPENSE" hidden="1">"c16036"</definedName>
    <definedName name="IQ_RE_RISK_BASED_FFIEC" hidden="1">"c13417"</definedName>
    <definedName name="IQ_REAL_DOMESTIC_PURCHASES" hidden="1">"c20997"</definedName>
    <definedName name="IQ_REAL_ESTATE" hidden="1">"c1093"</definedName>
    <definedName name="IQ_REAL_ESTATE_ASSETS" hidden="1">"c1094"</definedName>
    <definedName name="IQ_REAL_EXPORT" hidden="1">"c20998"</definedName>
    <definedName name="IQ_REAL_EXPORT_GOODS" hidden="1">"c20999"</definedName>
    <definedName name="IQ_REAL_EXPORT_INCOME" hidden="1">"c21000"</definedName>
    <definedName name="IQ_REAL_EXPORT_SERVICES" hidden="1">"c21001"</definedName>
    <definedName name="IQ_REAL_FIXED_INVESTMENT" hidden="1">"c21002"</definedName>
    <definedName name="IQ_REAL_GDP" hidden="1">"c21003"</definedName>
    <definedName name="IQ_REAL_GDP_FC" hidden="1">"c21004"</definedName>
    <definedName name="IQ_REAL_GDP_GROWTH" hidden="1">"c21005"</definedName>
    <definedName name="IQ_REAL_GDP_GROWTH_FC" hidden="1">"c21006"</definedName>
    <definedName name="IQ_REAL_GDP_USD" hidden="1">"c21007"</definedName>
    <definedName name="IQ_REAL_GDP_USD_FC" hidden="1">"c21008"</definedName>
    <definedName name="IQ_REAL_GNP" hidden="1">"c21009"</definedName>
    <definedName name="IQ_REAL_GOVT_CONSUM_INVEST" hidden="1">"c21010"</definedName>
    <definedName name="IQ_REAL_GOVT_CONSUM_INVEST_DEF" hidden="1">"c21011"</definedName>
    <definedName name="IQ_REAL_GOVT_CONSUM_INVEST_DEF_CONSUM" hidden="1">"c21012"</definedName>
    <definedName name="IQ_REAL_GOVT_CONSUM_INVEST_DEF_INVEST" hidden="1">"c21013"</definedName>
    <definedName name="IQ_REAL_GOVT_CONSUM_INVEST_FEDERAL" hidden="1">"c21014"</definedName>
    <definedName name="IQ_REAL_GOVT_CONSUM_INVEST_NONDEF" hidden="1">"c21015"</definedName>
    <definedName name="IQ_REAL_GOVT_CONSUM_INVEST_NONDEF_CONSUM" hidden="1">"c21016"</definedName>
    <definedName name="IQ_REAL_GOVT_CONSUM_INVEST_NONDEF_INVEST" hidden="1">"c21017"</definedName>
    <definedName name="IQ_REAL_GOVT_CONSUM_INVEST_STATE_LOCAL" hidden="1">"c21018"</definedName>
    <definedName name="IQ_REAL_GOVT_CONSUM_INVEST_STATE_LOCAL_CONSUM" hidden="1">"c21019"</definedName>
    <definedName name="IQ_REAL_GOVT_CONSUM_INVEST_STATE_LOCAL_INVEST" hidden="1">"c21020"</definedName>
    <definedName name="IQ_REAL_IMPORT" hidden="1">"c21021"</definedName>
    <definedName name="IQ_REAL_IMPORT_GOODS" hidden="1">"c21022"</definedName>
    <definedName name="IQ_REAL_IMPORT_INCOME" hidden="1">"c21023"</definedName>
    <definedName name="IQ_REAL_IMPORT_SERVICES" hidden="1">"c21024"</definedName>
    <definedName name="IQ_REAL_NET_DOMESTIC_PRODUCTION" hidden="1">"c21025"</definedName>
    <definedName name="IQ_REAL_NET_EXPORT" hidden="1">"c21026"</definedName>
    <definedName name="IQ_REAL_PCE" hidden="1">"c21027"</definedName>
    <definedName name="IQ_REAL_PCE_CLOTHING" hidden="1">"c21028"</definedName>
    <definedName name="IQ_REAL_PCE_DUR_GOODS" hidden="1">"c21029"</definedName>
    <definedName name="IQ_REAL_PCE_DUR_GOODS_OTHER" hidden="1">"c21030"</definedName>
    <definedName name="IQ_REAL_PCE_FINANCIAL" hidden="1">"c21031"</definedName>
    <definedName name="IQ_REAL_PCE_FOOD_ACCOMADATIONS" hidden="1">"c21032"</definedName>
    <definedName name="IQ_REAL_PCE_FOOD_BEVERAGE" hidden="1">"c21033"</definedName>
    <definedName name="IQ_REAL_PCE_FURNISHINGS" hidden="1">"c21034"</definedName>
    <definedName name="IQ_REAL_PCE_GAS" hidden="1">"c21035"</definedName>
    <definedName name="IQ_REAL_PCE_GOOD" hidden="1">"c21036"</definedName>
    <definedName name="IQ_REAL_PCE_HEALTH_CARE" hidden="1">"c21037"</definedName>
    <definedName name="IQ_REAL_PCE_HOUSEHOLD_CONSUM" hidden="1">"c21038"</definedName>
    <definedName name="IQ_REAL_PCE_HOUSEHOLD_CONSUM_OTHER" hidden="1">"c21039"</definedName>
    <definedName name="IQ_REAL_PCE_HOUSING" hidden="1">"c21040"</definedName>
    <definedName name="IQ_REAL_PCE_MOTOR_VEHICLE" hidden="1">"c21041"</definedName>
    <definedName name="IQ_REAL_PCE_NONDUR_GOODS" hidden="1">"c21042"</definedName>
    <definedName name="IQ_REAL_PCE_NONDUR_GOODS_OTHER" hidden="1">"c21043"</definedName>
    <definedName name="IQ_REAL_PCE_NONPROFIT_CONSUM" hidden="1">"c21044"</definedName>
    <definedName name="IQ_REAL_PCE_NONPROFIT_OUTPUT" hidden="1">"c21045"</definedName>
    <definedName name="IQ_REAL_PCE_NONPROFIT_RECEIPTS" hidden="1">"c21046"</definedName>
    <definedName name="IQ_REAL_PCE_RECREATION_GOODS" hidden="1">"c21047"</definedName>
    <definedName name="IQ_REAL_PCE_RECREATION_SERVICES" hidden="1">"c21048"</definedName>
    <definedName name="IQ_REAL_PCE_SERVICES" hidden="1">"c21049"</definedName>
    <definedName name="IQ_REAL_PCE_TRANSPORTATION" hidden="1">"c21050"</definedName>
    <definedName name="IQ_REAL_PRIVATE_CONSUM_GROWTH" hidden="1">"c21051"</definedName>
    <definedName name="IQ_REAL_PRIVATE_INVEST" hidden="1">"c21052"</definedName>
    <definedName name="IQ_REAL_PRIVATE_INVEST_EQUIP" hidden="1">"c21053"</definedName>
    <definedName name="IQ_REAL_PRIVATE_INVEST_EQUIP_OTHER" hidden="1">"c21054"</definedName>
    <definedName name="IQ_REAL_PRIVATE_INVEST_FIXED" hidden="1">"c21055"</definedName>
    <definedName name="IQ_REAL_PRIVATE_INVEST_INDUSTRIAL_EQUIP" hidden="1">"c21056"</definedName>
    <definedName name="IQ_REAL_PRIVATE_INVEST_INFO_EQUIP" hidden="1">"c21057"</definedName>
    <definedName name="IQ_REAL_PRIVATE_INVEST_INFO_EQUIP_COMPUTERS" hidden="1">"c21058"</definedName>
    <definedName name="IQ_REAL_PRIVATE_INVEST_INFO_EQUIP_OTHER" hidden="1">"c21059"</definedName>
    <definedName name="IQ_REAL_PRIVATE_INVEST_INFO_EQUIP_SOFTWARE" hidden="1">"c21060"</definedName>
    <definedName name="IQ_REAL_PRIVATE_INVEST_NONRES" hidden="1">"c21061"</definedName>
    <definedName name="IQ_REAL_PRIVATE_INVEST_PRIVATE_INV_CHANGE" hidden="1">"c21062"</definedName>
    <definedName name="IQ_REAL_PRIVATE_INVEST_PRIVATE_INV_FARMS" hidden="1">"c21063"</definedName>
    <definedName name="IQ_REAL_PRIVATE_INVEST_PRIVATE_INV_NONFARMS" hidden="1">"c21064"</definedName>
    <definedName name="IQ_REAL_PRIVATE_INVEST_RES" hidden="1">"c21065"</definedName>
    <definedName name="IQ_REAL_PRIVATE_INVEST_STRUCTURES" hidden="1">"c21066"</definedName>
    <definedName name="IQ_REAL_PRIVATE_INVEST_TRANSPORTATION_EQUIP" hidden="1">"c21067"</definedName>
    <definedName name="IQ_REAL_SALES_TO_DOMESTIC_PURCHASES" hidden="1">"c21068"</definedName>
    <definedName name="IQ_REALIZED_GAINS_AVAIL_SALE_SEC_FFIEC" hidden="1">"c13022"</definedName>
    <definedName name="IQ_REALIZED_GAINS_HELD_MATURITY_SEC_FFIEC" hidden="1">"c13021"</definedName>
    <definedName name="IQ_REALIZED_GAINS_SEC_TOT_FFIEC" hidden="1">"c13517"</definedName>
    <definedName name="IQ_RECENT_FUNDS" hidden="1">"c18908"</definedName>
    <definedName name="IQ_RECENT_FUNDS_ID" hidden="1">"c18909"</definedName>
    <definedName name="IQ_RECOVERIES_1_4_FAMILY_LOANS_FDIC" hidden="1">"c6707"</definedName>
    <definedName name="IQ_RECOVERIES_AUTO_LOANS_FDIC" hidden="1">"c6701"</definedName>
    <definedName name="IQ_RECOVERIES_AVG_LOANS_FFIEC" hidden="1">"c13476"</definedName>
    <definedName name="IQ_RECOVERIES_CL_LOANS_FDIC" hidden="1">"c6702"</definedName>
    <definedName name="IQ_RECOVERIES_CREDIT_CARDS_RECEIVABLES_FDIC" hidden="1">"c6704"</definedName>
    <definedName name="IQ_RECOVERIES_HOME_EQUITY_LINES_FDIC" hidden="1">"c6705"</definedName>
    <definedName name="IQ_RECOVERIES_OTHER_CONSUMER_LOANS_FDIC" hidden="1">"c6703"</definedName>
    <definedName name="IQ_RECOVERIES_OTHER_LOANS_FDIC" hidden="1">"c6706"</definedName>
    <definedName name="IQ_RECURRING_PROFIT_ACT_OR_EST" hidden="1">"c4507"</definedName>
    <definedName name="IQ_RECURRING_PROFIT_ACT_OR_EST_CIQ" hidden="1">"c5045"</definedName>
    <definedName name="IQ_RECURRING_PROFIT_ACT_OR_EST_CIQ_COL" hidden="1">"c11692"</definedName>
    <definedName name="IQ_RECURRING_PROFIT_EST" hidden="1">"c4499"</definedName>
    <definedName name="IQ_RECURRING_PROFIT_EST_CIQ" hidden="1">"c5037"</definedName>
    <definedName name="IQ_RECURRING_PROFIT_GUIDANCE" hidden="1">"c4500"</definedName>
    <definedName name="IQ_RECURRING_PROFIT_GUIDANCE_CIQ" hidden="1">"c5038"</definedName>
    <definedName name="IQ_RECURRING_PROFIT_GUIDANCE_CIQ_COL" hidden="1">"c11685"</definedName>
    <definedName name="IQ_RECURRING_PROFIT_HIGH_EST" hidden="1">"c4501"</definedName>
    <definedName name="IQ_RECURRING_PROFIT_HIGH_EST_CIQ" hidden="1">"c5039"</definedName>
    <definedName name="IQ_RECURRING_PROFIT_HIGH_GUIDANCE" hidden="1">"c4179"</definedName>
    <definedName name="IQ_RECURRING_PROFIT_HIGH_GUIDANCE_CIQ" hidden="1">"c4591"</definedName>
    <definedName name="IQ_RECURRING_PROFIT_HIGH_GUIDANCE_CIQ_COL" hidden="1">"c11240"</definedName>
    <definedName name="IQ_RECURRING_PROFIT_LOW_EST" hidden="1">"c4502"</definedName>
    <definedName name="IQ_RECURRING_PROFIT_LOW_EST_CIQ" hidden="1">"c5040"</definedName>
    <definedName name="IQ_RECURRING_PROFIT_LOW_GUIDANCE" hidden="1">"c4219"</definedName>
    <definedName name="IQ_RECURRING_PROFIT_LOW_GUIDANCE_CIQ" hidden="1">"c4631"</definedName>
    <definedName name="IQ_RECURRING_PROFIT_LOW_GUIDANCE_CIQ_COL" hidden="1">"c11280"</definedName>
    <definedName name="IQ_RECURRING_PROFIT_MEDIAN_EST" hidden="1">"c4503"</definedName>
    <definedName name="IQ_RECURRING_PROFIT_MEDIAN_EST_CIQ" hidden="1">"c5041"</definedName>
    <definedName name="IQ_RECURRING_PROFIT_NUM_EST" hidden="1">"c4504"</definedName>
    <definedName name="IQ_RECURRING_PROFIT_NUM_EST_CIQ" hidden="1">"c5042"</definedName>
    <definedName name="IQ_RECURRING_PROFIT_SHARE_ACT_OR_EST" hidden="1">"c4508"</definedName>
    <definedName name="IQ_RECURRING_PROFIT_SHARE_ACT_OR_EST_CIQ" hidden="1">"c5046"</definedName>
    <definedName name="IQ_RECURRING_PROFIT_SHARE_ACT_OR_EST_CIQ_COL" hidden="1">"c11693"</definedName>
    <definedName name="IQ_RECURRING_PROFIT_SHARE_EST" hidden="1">"c4506"</definedName>
    <definedName name="IQ_RECURRING_PROFIT_SHARE_EST_CIQ" hidden="1">"c5044"</definedName>
    <definedName name="IQ_RECURRING_PROFIT_SHARE_GUIDANCE" hidden="1">"c4509"</definedName>
    <definedName name="IQ_RECURRING_PROFIT_SHARE_GUIDANCE_CIQ" hidden="1">"c5047"</definedName>
    <definedName name="IQ_RECURRING_PROFIT_SHARE_GUIDANCE_CIQ_COL" hidden="1">"c11694"</definedName>
    <definedName name="IQ_RECURRING_PROFIT_SHARE_HIGH_EST" hidden="1">"c4510"</definedName>
    <definedName name="IQ_RECURRING_PROFIT_SHARE_HIGH_EST_CIQ" hidden="1">"c5048"</definedName>
    <definedName name="IQ_RECURRING_PROFIT_SHARE_HIGH_GUIDANCE" hidden="1">"c4200"</definedName>
    <definedName name="IQ_RECURRING_PROFIT_SHARE_HIGH_GUIDANCE_CIQ" hidden="1">"c4612"</definedName>
    <definedName name="IQ_RECURRING_PROFIT_SHARE_HIGH_GUIDANCE_CIQ_COL" hidden="1">"c11261"</definedName>
    <definedName name="IQ_RECURRING_PROFIT_SHARE_LOW_EST" hidden="1">"c4511"</definedName>
    <definedName name="IQ_RECURRING_PROFIT_SHARE_LOW_EST_CIQ" hidden="1">"c5049"</definedName>
    <definedName name="IQ_RECURRING_PROFIT_SHARE_LOW_GUIDANCE" hidden="1">"c4240"</definedName>
    <definedName name="IQ_RECURRING_PROFIT_SHARE_LOW_GUIDANCE_CIQ" hidden="1">"c4652"</definedName>
    <definedName name="IQ_RECURRING_PROFIT_SHARE_LOW_GUIDANCE_CIQ_COL" hidden="1">"c11301"</definedName>
    <definedName name="IQ_RECURRING_PROFIT_SHARE_MEDIAN_EST" hidden="1">"c4512"</definedName>
    <definedName name="IQ_RECURRING_PROFIT_SHARE_MEDIAN_EST_CIQ" hidden="1">"c5050"</definedName>
    <definedName name="IQ_RECURRING_PROFIT_SHARE_NUM_EST" hidden="1">"c4513"</definedName>
    <definedName name="IQ_RECURRING_PROFIT_SHARE_NUM_EST_CIQ" hidden="1">"c5051"</definedName>
    <definedName name="IQ_RECURRING_PROFIT_SHARE_STDDEV_EST" hidden="1">"c4514"</definedName>
    <definedName name="IQ_RECURRING_PROFIT_SHARE_STDDEV_EST_CIQ" hidden="1">"c5052"</definedName>
    <definedName name="IQ_RECURRING_PROFIT_STDDEV_EST" hidden="1">"c4516"</definedName>
    <definedName name="IQ_RECURRING_PROFIT_STDDEV_EST_CIQ" hidden="1">"c5054"</definedName>
    <definedName name="IQ_REDEEM_PREF_STOCK" hidden="1">"c1059"</definedName>
    <definedName name="IQ_REDUCTION_TAX_POSITION_CURRENT_YR" hidden="1">"c15734"</definedName>
    <definedName name="IQ_REDUCTION_TAX_POSITION_PRIOR_YRS" hidden="1">"c15736"</definedName>
    <definedName name="IQ_REF_ENTITY" hidden="1">"c6033"</definedName>
    <definedName name="IQ_REF_ENTITY_CIQID" hidden="1">"c6024"</definedName>
    <definedName name="IQ_REF_ENTITY_TICKER" hidden="1">"c6023"</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INSURANCE_RECOVERABLE_ASSETS_LH_FFIEC" hidden="1">"c13104"</definedName>
    <definedName name="IQ_REINSURANCE_RECOVERABLE_ASSETS_PC_FFIEC" hidden="1">"c13098"</definedName>
    <definedName name="IQ_RELATED_PLANS_FDIC" hidden="1">"c6320"</definedName>
    <definedName name="IQ_RENT_AVG_PROP" hidden="1">"c16056"</definedName>
    <definedName name="IQ_RENT_OTHER_INC_FROM_OREO_FFIEC" hidden="1">"c13043"</definedName>
    <definedName name="IQ_RENT_PER_SQ_FT_AVG_CONSOL" hidden="1">"c8846"</definedName>
    <definedName name="IQ_RENT_PER_SQ_FT_AVG_MANAGED" hidden="1">"c8848"</definedName>
    <definedName name="IQ_RENT_PER_SQ_FT_AVG_OTHER" hidden="1">"c8849"</definedName>
    <definedName name="IQ_RENT_PER_SQ_FT_AVG_TOTAL" hidden="1">"c8850"</definedName>
    <definedName name="IQ_RENT_PER_SQ_FT_AVG_UNCONSOL" hidden="1">"c8847"</definedName>
    <definedName name="IQ_RENT_PER_SQ_METER_AVG_CONSOL" hidden="1">"c8851"</definedName>
    <definedName name="IQ_RENT_PER_SQ_METER_AVG_MANAGED" hidden="1">"c8853"</definedName>
    <definedName name="IQ_RENT_PER_SQ_METER_AVG_OTHER" hidden="1">"c8854"</definedName>
    <definedName name="IQ_RENT_PER_SQ_METER_AVG_TOTAL" hidden="1">"c8855"</definedName>
    <definedName name="IQ_RENT_PER_SQ_METER_AVG_UNCONSOL" hidden="1">"c8852"</definedName>
    <definedName name="IQ_RENT_SAFE_DEPOSIT_FFIEC" hidden="1">"c13044"</definedName>
    <definedName name="IQ_RENTAL_NOI" hidden="1">"c16065"</definedName>
    <definedName name="IQ_RENTAL_NOI_AVG_GROSS_PROP" hidden="1">"c16057"</definedName>
    <definedName name="IQ_RENTAL_NOI_TOTAL_RENT_REVENUE" hidden="1">"c16061"</definedName>
    <definedName name="IQ_RENTAL_REV" hidden="1">"c1101"</definedName>
    <definedName name="IQ_REPAIRS_MAINTENANCE" hidden="1">"c16032"</definedName>
    <definedName name="IQ_REPO" hidden="1">"c19133"</definedName>
    <definedName name="IQ_REPRICEABLE_EARNING_ASSETS_INT_SENSITIVITY_FFIEC" hidden="1">"c13093"</definedName>
    <definedName name="IQ_REPRICEABLE_INT_DEPOSITS_INT_SENSITIVITY_FFIEC" hidden="1">"c13094"</definedName>
    <definedName name="IQ_REPURCHASED_REBOOKED_GNMA_DUE_30_89_FFIEC" hidden="1">"c13283"</definedName>
    <definedName name="IQ_REPURCHASED_REBOOKED_GNMA_DUE_90_FFIEC" hidden="1">"c13309"</definedName>
    <definedName name="IQ_REPURCHASED_REBOOKED_GNMA_NON_ACCRUAL_FFIEC" hidden="1">"c13334"</definedName>
    <definedName name="IQ_RES_CONST_REAL_APR_FC_UNUSED" hidden="1">"c8536"</definedName>
    <definedName name="IQ_RES_CONST_REAL_APR_FC_UNUSED_UNUSED_UNUSED" hidden="1">"c8536"</definedName>
    <definedName name="IQ_RES_CONST_REAL_APR_UNUSED" hidden="1">"c7656"</definedName>
    <definedName name="IQ_RES_CONST_REAL_APR_UNUSED_UNUSED_UNUSED" hidden="1">"c7656"</definedName>
    <definedName name="IQ_RES_CONST_REAL_FC_UNUSED" hidden="1">"c7876"</definedName>
    <definedName name="IQ_RES_CONST_REAL_FC_UNUSED_UNUSED_UNUSED" hidden="1">"c7876"</definedName>
    <definedName name="IQ_RES_CONST_REAL_POP_FC_UNUSED" hidden="1">"c8096"</definedName>
    <definedName name="IQ_RES_CONST_REAL_POP_FC_UNUSED_UNUSED_UNUSED" hidden="1">"c8096"</definedName>
    <definedName name="IQ_RES_CONST_REAL_POP_UNUSED" hidden="1">"c7216"</definedName>
    <definedName name="IQ_RES_CONST_REAL_POP_UNUSED_UNUSED_UNUSED" hidden="1">"c7216"</definedName>
    <definedName name="IQ_RES_CONST_REAL_SAAR_APR_FC_UNUSED" hidden="1">"c8537"</definedName>
    <definedName name="IQ_RES_CONST_REAL_SAAR_APR_FC_UNUSED_UNUSED_UNUSED" hidden="1">"c8537"</definedName>
    <definedName name="IQ_RES_CONST_REAL_SAAR_APR_UNUSED" hidden="1">"c7657"</definedName>
    <definedName name="IQ_RES_CONST_REAL_SAAR_APR_UNUSED_UNUSED_UNUSED" hidden="1">"c7657"</definedName>
    <definedName name="IQ_RES_CONST_REAL_SAAR_FC_UNUSED" hidden="1">"c7877"</definedName>
    <definedName name="IQ_RES_CONST_REAL_SAAR_FC_UNUSED_UNUSED_UNUSED" hidden="1">"c7877"</definedName>
    <definedName name="IQ_RES_CONST_REAL_SAAR_POP_FC_UNUSED" hidden="1">"c8097"</definedName>
    <definedName name="IQ_RES_CONST_REAL_SAAR_POP_FC_UNUSED_UNUSED_UNUSED" hidden="1">"c8097"</definedName>
    <definedName name="IQ_RES_CONST_REAL_SAAR_POP_UNUSED" hidden="1">"c7217"</definedName>
    <definedName name="IQ_RES_CONST_REAL_SAAR_POP_UNUSED_UNUSED_UNUSED" hidden="1">"c7217"</definedName>
    <definedName name="IQ_RES_CONST_REAL_SAAR_UNUSED" hidden="1">"c6997"</definedName>
    <definedName name="IQ_RES_CONST_REAL_SAAR_UNUSED_UNUSED_UNUSED" hidden="1">"c6997"</definedName>
    <definedName name="IQ_RES_CONST_REAL_SAAR_YOY_FC_UNUSED" hidden="1">"c8317"</definedName>
    <definedName name="IQ_RES_CONST_REAL_SAAR_YOY_FC_UNUSED_UNUSED_UNUSED" hidden="1">"c8317"</definedName>
    <definedName name="IQ_RES_CONST_REAL_SAAR_YOY_UNUSED" hidden="1">"c7437"</definedName>
    <definedName name="IQ_RES_CONST_REAL_SAAR_YOY_UNUSED_UNUSED_UNUSED" hidden="1">"c7437"</definedName>
    <definedName name="IQ_RES_CONST_REAL_UNUSED" hidden="1">"c6996"</definedName>
    <definedName name="IQ_RES_CONST_REAL_UNUSED_UNUSED_UNUSED" hidden="1">"c6996"</definedName>
    <definedName name="IQ_RES_CONST_REAL_YOY_FC_UNUSED" hidden="1">"c8316"</definedName>
    <definedName name="IQ_RES_CONST_REAL_YOY_FC_UNUSED_UNUSED_UNUSED" hidden="1">"c8316"</definedName>
    <definedName name="IQ_RES_CONST_REAL_YOY_UNUSED" hidden="1">"c7436"</definedName>
    <definedName name="IQ_RES_CONST_REAL_YOY_UNUSED_UNUSED_UNUSED" hidden="1">"c7436"</definedName>
    <definedName name="IQ_RES_CONST_SAAR_APR_FC_UNUSED" hidden="1">"c8540"</definedName>
    <definedName name="IQ_RES_CONST_SAAR_APR_FC_UNUSED_UNUSED_UNUSED" hidden="1">"c8540"</definedName>
    <definedName name="IQ_RES_CONST_SAAR_APR_UNUSED" hidden="1">"c7660"</definedName>
    <definedName name="IQ_RES_CONST_SAAR_APR_UNUSED_UNUSED_UNUSED" hidden="1">"c7660"</definedName>
    <definedName name="IQ_RES_CONST_SAAR_FC_UNUSED" hidden="1">"c7880"</definedName>
    <definedName name="IQ_RES_CONST_SAAR_FC_UNUSED_UNUSED_UNUSED" hidden="1">"c7880"</definedName>
    <definedName name="IQ_RES_CONST_SAAR_POP_FC_UNUSED" hidden="1">"c8100"</definedName>
    <definedName name="IQ_RES_CONST_SAAR_POP_FC_UNUSED_UNUSED_UNUSED" hidden="1">"c8100"</definedName>
    <definedName name="IQ_RES_CONST_SAAR_POP_UNUSED" hidden="1">"c7220"</definedName>
    <definedName name="IQ_RES_CONST_SAAR_POP_UNUSED_UNUSED_UNUSED" hidden="1">"c7220"</definedName>
    <definedName name="IQ_RES_CONST_SAAR_UNUSED" hidden="1">"c7000"</definedName>
    <definedName name="IQ_RES_CONST_SAAR_UNUSED_UNUSED_UNUSED" hidden="1">"c7000"</definedName>
    <definedName name="IQ_RES_CONST_SAAR_YOY_FC_UNUSED" hidden="1">"c8320"</definedName>
    <definedName name="IQ_RES_CONST_SAAR_YOY_FC_UNUSED_UNUSED_UNUSED" hidden="1">"c8320"</definedName>
    <definedName name="IQ_RES_CONST_SAAR_YOY_UNUSED" hidden="1">"c7440"</definedName>
    <definedName name="IQ_RES_CONST_SAAR_YOY_UNUSED_UNUSED_UNUSED" hidden="1">"c7440"</definedName>
    <definedName name="IQ_RES_FIXED_INVEST" hidden="1">"c7001"</definedName>
    <definedName name="IQ_RES_FIXED_INVEST_APR" hidden="1">"c7661"</definedName>
    <definedName name="IQ_RES_FIXED_INVEST_APR_FC" hidden="1">"c8541"</definedName>
    <definedName name="IQ_RES_FIXED_INVEST_FC" hidden="1">"c7881"</definedName>
    <definedName name="IQ_RES_FIXED_INVEST_POP" hidden="1">"c7221"</definedName>
    <definedName name="IQ_RES_FIXED_INVEST_POP_FC" hidden="1">"c8101"</definedName>
    <definedName name="IQ_RES_FIXED_INVEST_REAL" hidden="1">"c6998"</definedName>
    <definedName name="IQ_RES_FIXED_INVEST_REAL_APR" hidden="1">"c7658"</definedName>
    <definedName name="IQ_RES_FIXED_INVEST_REAL_APR_FC" hidden="1">"c8538"</definedName>
    <definedName name="IQ_RES_FIXED_INVEST_REAL_FC" hidden="1">"c7878"</definedName>
    <definedName name="IQ_RES_FIXED_INVEST_REAL_POP" hidden="1">"c7218"</definedName>
    <definedName name="IQ_RES_FIXED_INVEST_REAL_POP_FC" hidden="1">"c8098"</definedName>
    <definedName name="IQ_RES_FIXED_INVEST_REAL_YOY" hidden="1">"c7438"</definedName>
    <definedName name="IQ_RES_FIXED_INVEST_REAL_YOY_FC" hidden="1">"c8318"</definedName>
    <definedName name="IQ_RES_FIXED_INVEST_SAAR" hidden="1">"c11994"</definedName>
    <definedName name="IQ_RES_FIXED_INVEST_SAAR_APR" hidden="1">"c11997"</definedName>
    <definedName name="IQ_RES_FIXED_INVEST_SAAR_POP" hidden="1">"c11995"</definedName>
    <definedName name="IQ_RES_FIXED_INVEST_SAAR_REAL" hidden="1">"c11990"</definedName>
    <definedName name="IQ_RES_FIXED_INVEST_SAAR_REAL_APR" hidden="1">"c11993"</definedName>
    <definedName name="IQ_RES_FIXED_INVEST_SAAR_REAL_POP" hidden="1">"c11991"</definedName>
    <definedName name="IQ_RES_FIXED_INVEST_SAAR_REAL_YOY" hidden="1">"c11992"</definedName>
    <definedName name="IQ_RES_FIXED_INVEST_SAAR_YOY" hidden="1">"c11996"</definedName>
    <definedName name="IQ_RES_FIXED_INVEST_YOY" hidden="1">"c7441"</definedName>
    <definedName name="IQ_RES_FIXED_INVEST_YOY_FC" hidden="1">"c8321"</definedName>
    <definedName name="IQ_RESEARCH_DEV" hidden="1">"c1090"</definedName>
    <definedName name="IQ_RESIDENTIAL_LOANS" hidden="1">"c1102"</definedName>
    <definedName name="IQ_REST_ACQUIRED_AFFILIATED_OTHER_RESTAURANTS" hidden="1">"c9873"</definedName>
    <definedName name="IQ_REST_ACQUIRED_FRANCHISE_RESTAURANTS" hidden="1">"c9867"</definedName>
    <definedName name="IQ_REST_ACQUIRED_OWNED_RESTAURANTS" hidden="1">"c9861"</definedName>
    <definedName name="IQ_REST_ACQUIRED_RESTAURANTS" hidden="1">"c9855"</definedName>
    <definedName name="IQ_REST_AFFILIATED_OTHER_RESTAURANTS_BEG" hidden="1">"c9871"</definedName>
    <definedName name="IQ_REST_AVG_VALUE_TRANSACTION" hidden="1">"c9887"</definedName>
    <definedName name="IQ_REST_AVG_VALUE_TRANSACTION_GROWTH" hidden="1">"c9888"</definedName>
    <definedName name="IQ_REST_AVG_WEEKLY_SALES" hidden="1">"c9879"</definedName>
    <definedName name="IQ_REST_AVG_WEEKLY_SALES_FRANCHISE" hidden="1">"c9877"</definedName>
    <definedName name="IQ_REST_AVG_WEEKLY_SALES_OWNED" hidden="1">"c9878"</definedName>
    <definedName name="IQ_REST_CLOSED_AFFILIATED_OTHER_RESTAURANTS" hidden="1">"c9874"</definedName>
    <definedName name="IQ_REST_CLOSED_FRANCHISE_RESTAURANTS" hidden="1">"c9868"</definedName>
    <definedName name="IQ_REST_CLOSED_OWNED_RESTAURANTS" hidden="1">"c9862"</definedName>
    <definedName name="IQ_REST_CLOSED_RESTAURANTS" hidden="1">"c9856"</definedName>
    <definedName name="IQ_REST_FRANCHISE_RESTAURANTS_BEG" hidden="1">"c9865"</definedName>
    <definedName name="IQ_REST_GUEST_COUNT_GROWTH" hidden="1">"c9889"</definedName>
    <definedName name="IQ_REST_OPENED_AFFILIATED_OTHER_RESTAURANTS" hidden="1">"c9872"</definedName>
    <definedName name="IQ_REST_OPENED_FRANCHISE_RESTAURANTS" hidden="1">"c9866"</definedName>
    <definedName name="IQ_REST_OPENED_OWNED_RESTAURANTS" hidden="1">"c9860"</definedName>
    <definedName name="IQ_REST_OPENED_RESTAURANTS" hidden="1">"c9854"</definedName>
    <definedName name="IQ_REST_OPERATING_MARGIN" hidden="1">"c9886"</definedName>
    <definedName name="IQ_REST_OWNED_RESTAURANTS_BEG" hidden="1">"c9859"</definedName>
    <definedName name="IQ_REST_RESTAURANTS_BEG" hidden="1">"c9853"</definedName>
    <definedName name="IQ_REST_SAME_RESTAURANT_SALES" hidden="1">"c9885"</definedName>
    <definedName name="IQ_REST_SAME_RESTAURANT_SALES_FRANCHISE" hidden="1">"c9883"</definedName>
    <definedName name="IQ_REST_SAME_RESTAURANT_SALES_GROWTH" hidden="1">"c9882"</definedName>
    <definedName name="IQ_REST_SAME_RESTAURANT_SALES_GROWTH_FRANCHISE" hidden="1">"c9880"</definedName>
    <definedName name="IQ_REST_SAME_RESTAURANT_SALES_GROWTH_OWNED" hidden="1">"c9881"</definedName>
    <definedName name="IQ_REST_SAME_RESTAURANT_SALES_OWNED" hidden="1">"c9884"</definedName>
    <definedName name="IQ_REST_SOLD_AFFILIATED_OTHER_RESTAURANTS" hidden="1">"c9875"</definedName>
    <definedName name="IQ_REST_SOLD_FRANCHISE_RESTAURANTS" hidden="1">"c9869"</definedName>
    <definedName name="IQ_REST_SOLD_OWNED_RESTAURANTS" hidden="1">"c9863"</definedName>
    <definedName name="IQ_REST_SOLD_RESTAURANTS" hidden="1">"c9857"</definedName>
    <definedName name="IQ_REST_TOTAL_AFFILIATED_OTHER_RESTAURANTS" hidden="1">"c9876"</definedName>
    <definedName name="IQ_REST_TOTAL_FRANCHISE_RESTAURANTS" hidden="1">"c9870"</definedName>
    <definedName name="IQ_REST_TOTAL_OWNED_RESTAURANTS" hidden="1">"c9864"</definedName>
    <definedName name="IQ_REST_TOTAL_RESTAURANTS" hidden="1">"c9858"</definedName>
    <definedName name="IQ_RESTATEMENT_BS" hidden="1">"c1643"</definedName>
    <definedName name="IQ_RESTATEMENT_CF" hidden="1">"c1644"</definedName>
    <definedName name="IQ_RESTATEMENT_IS" hidden="1">"c1642"</definedName>
    <definedName name="IQ_RESTATEMENTS_FFIEC" hidden="1">"c12958"</definedName>
    <definedName name="IQ_RESTATEMENTS_NET_FDIC" hidden="1">"c6500"</definedName>
    <definedName name="IQ_RESTR_STOCK_COMP" hidden="1">"c3506"</definedName>
    <definedName name="IQ_RESTR_STOCK_COMP_PRETAX" hidden="1">"c3504"</definedName>
    <definedName name="IQ_RESTR_STOCK_COMP_TAX" hidden="1">"c3505"</definedName>
    <definedName name="IQ_RESTRICTED_CASH" hidden="1">"c1103"</definedName>
    <definedName name="IQ_RESTRICTED_CASH_NON_CURRENT" hidden="1">"c6192"</definedName>
    <definedName name="IQ_RESTRICTED_CASH_TOTAL" hidden="1">"c6193"</definedName>
    <definedName name="IQ_RESTRUCTURE" hidden="1">"c1104"</definedName>
    <definedName name="IQ_RESTRUCTURE_BNK" hidden="1">"c1105"</definedName>
    <definedName name="IQ_RESTRUCTURE_BR" hidden="1">"c1106"</definedName>
    <definedName name="IQ_RESTRUCTURE_CF" hidden="1">"c1107"</definedName>
    <definedName name="IQ_RESTRUCTURE_CM" hidden="1">"c1106"</definedName>
    <definedName name="IQ_RESTRUCTURE_FIN" hidden="1">"c1108"</definedName>
    <definedName name="IQ_RESTRUCTURE_INS" hidden="1">"c1109"</definedName>
    <definedName name="IQ_RESTRUCTURE_RE" hidden="1">"c6264"</definedName>
    <definedName name="IQ_RESTRUCTURE_REIT" hidden="1">"c1110"</definedName>
    <definedName name="IQ_RESTRUCTURE_SUPPLE" hidden="1">"c13809"</definedName>
    <definedName name="IQ_RESTRUCTURE_UTI" hidden="1">"c1111"</definedName>
    <definedName name="IQ_RESTRUCTURED_LOANS" hidden="1">"c1112"</definedName>
    <definedName name="IQ_RESTRUCTURED_LOANS_1_4_RESIDENTIAL_FDIC" hidden="1">"c6378"</definedName>
    <definedName name="IQ_RESTRUCTURED_LOANS_LEASES_FDIC" hidden="1">"c6377"</definedName>
    <definedName name="IQ_RESTRUCTURED_LOANS_NON_1_4_FDIC" hidden="1">"c6379"</definedName>
    <definedName name="IQ_RETAIL_ACQUIRED_AFFILIATED_OTHER_STORES" hidden="1">"c9892"</definedName>
    <definedName name="IQ_RETAIL_ACQUIRED_FRANCHISE_STORES" hidden="1">"c2903"</definedName>
    <definedName name="IQ_RETAIL_ACQUIRED_OWNED_STORES" hidden="1">"c2895"</definedName>
    <definedName name="IQ_RETAIL_ACQUIRED_STORES" hidden="1">"c2887"</definedName>
    <definedName name="IQ_RETAIL_AFFILIATED_OTHER_STORES_BEG" hidden="1">"c9890"</definedName>
    <definedName name="IQ_RETAIL_AVG_SQ_METERS_GROSS" hidden="1">"c9908"</definedName>
    <definedName name="IQ_RETAIL_AVG_SQ_METERS_NET" hidden="1">"c9907"</definedName>
    <definedName name="IQ_RETAIL_AVG_STORE_SIZE_GROSS" hidden="1">"c2066"</definedName>
    <definedName name="IQ_RETAIL_AVG_STORE_SIZE_NET" hidden="1">"c2067"</definedName>
    <definedName name="IQ_RETAIL_AVG_VALUE_TRANSACTION" hidden="1">"c9915"</definedName>
    <definedName name="IQ_RETAIL_AVG_VALUE_TRANSACTION_GROWTH" hidden="1">"c9916"</definedName>
    <definedName name="IQ_RETAIL_AVG_WK_SALES" hidden="1">"c2891"</definedName>
    <definedName name="IQ_RETAIL_AVG_WK_SALES_FRANCHISE" hidden="1">"c2899"</definedName>
    <definedName name="IQ_RETAIL_AVG_WK_SALES_OWNED" hidden="1">"c2907"</definedName>
    <definedName name="IQ_RETAIL_CATALOG_REVENUES" hidden="1">"c9903"</definedName>
    <definedName name="IQ_RETAIL_CLOSED_AFFILIATED_OTHER_STORES" hidden="1">"c9893"</definedName>
    <definedName name="IQ_RETAIL_CLOSED_FRANCHISE_STORES" hidden="1">"c2896"</definedName>
    <definedName name="IQ_RETAIL_CLOSED_OWNED_STORES" hidden="1">"c2904"</definedName>
    <definedName name="IQ_RETAIL_CLOSED_STORES" hidden="1">"c2063"</definedName>
    <definedName name="IQ_RETAIL_DEPOSITS_FDIC" hidden="1">"c6488"</definedName>
    <definedName name="IQ_RETAIL_FRANCHISE_STORES_BEG" hidden="1">"c2893"</definedName>
    <definedName name="IQ_RETAIL_GROSS_MARGIN" hidden="1">"c9899"</definedName>
    <definedName name="IQ_RETAIL_INV_BUILDING_MATERIAL" hidden="1">"c21069"</definedName>
    <definedName name="IQ_RETAIL_INV_CLOTHING" hidden="1">"c21070"</definedName>
    <definedName name="IQ_RETAIL_INV_DEPT_STORE" hidden="1">"c21071"</definedName>
    <definedName name="IQ_RETAIL_INV_FOOD" hidden="1">"c21072"</definedName>
    <definedName name="IQ_RETAIL_INV_FURNITURE" hidden="1">"c21073"</definedName>
    <definedName name="IQ_RETAIL_INV_GENERAL" hidden="1">"c21074"</definedName>
    <definedName name="IQ_RETAIL_INV_MOTOR_VEHICLE" hidden="1">"c21075"</definedName>
    <definedName name="IQ_RETAIL_INV_SALES_RATIO_BUILDING" hidden="1">"c21076"</definedName>
    <definedName name="IQ_RETAIL_INV_SALES_RATIO_CLOTHING" hidden="1">"c21077"</definedName>
    <definedName name="IQ_RETAIL_INV_SALES_RATIO_DEPT_STORE" hidden="1">"c21078"</definedName>
    <definedName name="IQ_RETAIL_INV_SALES_RATIO_FOOD" hidden="1">"c21079"</definedName>
    <definedName name="IQ_RETAIL_INV_SALES_RATIO_FURNITURE" hidden="1">"c21080"</definedName>
    <definedName name="IQ_RETAIL_INV_SALES_RATIO_GENERAL" hidden="1">"c21081"</definedName>
    <definedName name="IQ_RETAIL_INV_SALES_RATIO_MV" hidden="1">"c21082"</definedName>
    <definedName name="IQ_RETAIL_INV_SALES_RATIO_TOTAL" hidden="1">"c21083"</definedName>
    <definedName name="IQ_RETAIL_INV_SALES_RATIO_TOTAL_EX_MV" hidden="1">"c21084"</definedName>
    <definedName name="IQ_RETAIL_INV_TOTAL" hidden="1">"c21085"</definedName>
    <definedName name="IQ_RETAIL_INV_TOTAL_EX_MOTOR_VEHICLE" hidden="1">"c21086"</definedName>
    <definedName name="IQ_RETAIL_IS_RATIO" hidden="1">"c7002"</definedName>
    <definedName name="IQ_RETAIL_IS_RATIO_FC" hidden="1">"c7882"</definedName>
    <definedName name="IQ_RETAIL_IS_RATIO_POP" hidden="1">"c7222"</definedName>
    <definedName name="IQ_RETAIL_IS_RATIO_POP_FC" hidden="1">"c8102"</definedName>
    <definedName name="IQ_RETAIL_IS_RATIO_YOY" hidden="1">"c7442"</definedName>
    <definedName name="IQ_RETAIL_IS_RATIO_YOY_FC" hidden="1">"c8322"</definedName>
    <definedName name="IQ_RETAIL_MERCHANDISE_MARGIN" hidden="1">"c9901"</definedName>
    <definedName name="IQ_RETAIL_ONLINE_REVENUES" hidden="1">"c9904"</definedName>
    <definedName name="IQ_RETAIL_OPENED_AFFILIATED_OTHER_STORES" hidden="1">"c9891"</definedName>
    <definedName name="IQ_RETAIL_OPENED_FRANCHISE_STORES" hidden="1">"c2894"</definedName>
    <definedName name="IQ_RETAIL_OPENED_OWNED_STORES" hidden="1">"c2902"</definedName>
    <definedName name="IQ_RETAIL_OPENED_STORES" hidden="1">"c2062"</definedName>
    <definedName name="IQ_RETAIL_OPERATING_MARGIN" hidden="1">"c9900"</definedName>
    <definedName name="IQ_RETAIL_OWNED_STORES_BEG" hidden="1">"c2901"</definedName>
    <definedName name="IQ_RETAIL_REVENUES" hidden="1">"c9902"</definedName>
    <definedName name="IQ_RETAIL_SALES" hidden="1">"c7003"</definedName>
    <definedName name="IQ_RETAIL_SALES_APR" hidden="1">"c7663"</definedName>
    <definedName name="IQ_RETAIL_SALES_APR_FC" hidden="1">"c8543"</definedName>
    <definedName name="IQ_RETAIL_SALES_BUILDING_MATERIAL" hidden="1">"c21087"</definedName>
    <definedName name="IQ_RETAIL_SALES_CATALOG" hidden="1">"c9903"</definedName>
    <definedName name="IQ_RETAIL_SALES_CLOTHING" hidden="1">"c21088"</definedName>
    <definedName name="IQ_RETAIL_SALES_FC" hidden="1">"c7883"</definedName>
    <definedName name="IQ_RETAIL_SALES_FOOD" hidden="1">"c7004"</definedName>
    <definedName name="IQ_RETAIL_SALES_FOOD_APR" hidden="1">"c7664"</definedName>
    <definedName name="IQ_RETAIL_SALES_FOOD_APR_FC" hidden="1">"c8544"</definedName>
    <definedName name="IQ_RETAIL_SALES_FOOD_EXCL_VEHICLE" hidden="1">"c7005"</definedName>
    <definedName name="IQ_RETAIL_SALES_FOOD_EXCL_VEHICLE_APR" hidden="1">"c7665"</definedName>
    <definedName name="IQ_RETAIL_SALES_FOOD_EXCL_VEHICLE_APR_FC" hidden="1">"c8545"</definedName>
    <definedName name="IQ_RETAIL_SALES_FOOD_EXCL_VEHICLE_FC" hidden="1">"c7885"</definedName>
    <definedName name="IQ_RETAIL_SALES_FOOD_EXCL_VEHICLE_POP" hidden="1">"c7225"</definedName>
    <definedName name="IQ_RETAIL_SALES_FOOD_EXCL_VEHICLE_POP_FC" hidden="1">"c8105"</definedName>
    <definedName name="IQ_RETAIL_SALES_FOOD_EXCL_VEHICLE_YOY" hidden="1">"c7445"</definedName>
    <definedName name="IQ_RETAIL_SALES_FOOD_EXCL_VEHICLE_YOY_FC" hidden="1">"c8325"</definedName>
    <definedName name="IQ_RETAIL_SALES_FOOD_FC" hidden="1">"c7884"</definedName>
    <definedName name="IQ_RETAIL_SALES_FOOD_POP" hidden="1">"c7224"</definedName>
    <definedName name="IQ_RETAIL_SALES_FOOD_POP_FC" hidden="1">"c8104"</definedName>
    <definedName name="IQ_RETAIL_SALES_FOOD_YOY" hidden="1">"c7444"</definedName>
    <definedName name="IQ_RETAIL_SALES_FOOD_YOY_FC" hidden="1">"c8324"</definedName>
    <definedName name="IQ_RETAIL_SALES_FOODSTUFF" hidden="1">"c21089"</definedName>
    <definedName name="IQ_RETAIL_SALES_FURNITURE" hidden="1">"c21090"</definedName>
    <definedName name="IQ_RETAIL_SALES_GAS" hidden="1">"c21091"</definedName>
    <definedName name="IQ_RETAIL_SALES_GENERAL" hidden="1">"c21092"</definedName>
    <definedName name="IQ_RETAIL_SALES_HEALTH" hidden="1">"c21093"</definedName>
    <definedName name="IQ_RETAIL_SALES_MISC" hidden="1">"c21094"</definedName>
    <definedName name="IQ_RETAIL_SALES_MOTOR_VEHICLE" hidden="1">"c21095"</definedName>
    <definedName name="IQ_RETAIL_SALES_NONSTORES" hidden="1">"c21096"</definedName>
    <definedName name="IQ_RETAIL_SALES_ONLINE" hidden="1">"c9904"</definedName>
    <definedName name="IQ_RETAIL_SALES_POP" hidden="1">"c7223"</definedName>
    <definedName name="IQ_RETAIL_SALES_POP_FC" hidden="1">"c8103"</definedName>
    <definedName name="IQ_RETAIL_SALES_RETAIL" hidden="1">"c9902"</definedName>
    <definedName name="IQ_RETAIL_SALES_SAAR" hidden="1">"c7009"</definedName>
    <definedName name="IQ_RETAIL_SALES_SAAR_APR" hidden="1">"c7669"</definedName>
    <definedName name="IQ_RETAIL_SALES_SAAR_APR_FC" hidden="1">"c8549"</definedName>
    <definedName name="IQ_RETAIL_SALES_SAAR_FC" hidden="1">"c7889"</definedName>
    <definedName name="IQ_RETAIL_SALES_SAAR_POP" hidden="1">"c7229"</definedName>
    <definedName name="IQ_RETAIL_SALES_SAAR_POP_FC" hidden="1">"c8109"</definedName>
    <definedName name="IQ_RETAIL_SALES_SAAR_YOY" hidden="1">"c7449"</definedName>
    <definedName name="IQ_RETAIL_SALES_SAAR_YOY_FC" hidden="1">"c8329"</definedName>
    <definedName name="IQ_RETAIL_SALES_SPORTING_GOODS" hidden="1">"c21097"</definedName>
    <definedName name="IQ_RETAIL_SALES_SQ_METER_COMPARABLE_GROSS" hidden="1">"c9914"</definedName>
    <definedName name="IQ_RETAIL_SALES_SQ_METER_COMPARABLE_NET" hidden="1">"c9913"</definedName>
    <definedName name="IQ_RETAIL_SALES_SQ_METER_GROSS" hidden="1">"c9910"</definedName>
    <definedName name="IQ_RETAIL_SALES_SQ_METER_NET" hidden="1">"c9909"</definedName>
    <definedName name="IQ_RETAIL_SALES_SQ_METER_OWNED_GROSS" hidden="1">"c9912"</definedName>
    <definedName name="IQ_RETAIL_SALES_SQ_METER_OWNED_NET" hidden="1">"c9911"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ALES_TOTAL" hidden="1">"c21098"</definedName>
    <definedName name="IQ_RETAIL_SALES_TOTAL_EX_MOTOR_VEHICLE" hidden="1">"c21099"</definedName>
    <definedName name="IQ_RETAIL_SALES_VALUE_INDEX" hidden="1">"c7006"</definedName>
    <definedName name="IQ_RETAIL_SALES_VALUE_INDEX_APR" hidden="1">"c7666"</definedName>
    <definedName name="IQ_RETAIL_SALES_VALUE_INDEX_APR_FC" hidden="1">"c8546"</definedName>
    <definedName name="IQ_RETAIL_SALES_VALUE_INDEX_FC" hidden="1">"c7886"</definedName>
    <definedName name="IQ_RETAIL_SALES_VALUE_INDEX_POP" hidden="1">"c7226"</definedName>
    <definedName name="IQ_RETAIL_SALES_VALUE_INDEX_POP_FC" hidden="1">"c8106"</definedName>
    <definedName name="IQ_RETAIL_SALES_VALUE_INDEX_YOY" hidden="1">"c7446"</definedName>
    <definedName name="IQ_RETAIL_SALES_VALUE_INDEX_YOY_FC" hidden="1">"c8326"</definedName>
    <definedName name="IQ_RETAIL_SALES_VOL_INDEX" hidden="1">"c7007"</definedName>
    <definedName name="IQ_RETAIL_SALES_VOL_INDEX_APR" hidden="1">"c7667"</definedName>
    <definedName name="IQ_RETAIL_SALES_VOL_INDEX_APR_FC" hidden="1">"c8547"</definedName>
    <definedName name="IQ_RETAIL_SALES_VOL_INDEX_EXCL_MOTOR" hidden="1">"c7008"</definedName>
    <definedName name="IQ_RETAIL_SALES_VOL_INDEX_EXCL_MOTOR_APR" hidden="1">"c7668"</definedName>
    <definedName name="IQ_RETAIL_SALES_VOL_INDEX_EXCL_MOTOR_APR_FC" hidden="1">"c8548"</definedName>
    <definedName name="IQ_RETAIL_SALES_VOL_INDEX_EXCL_MOTOR_FC" hidden="1">"c7888"</definedName>
    <definedName name="IQ_RETAIL_SALES_VOL_INDEX_EXCL_MOTOR_POP" hidden="1">"c7228"</definedName>
    <definedName name="IQ_RETAIL_SALES_VOL_INDEX_EXCL_MOTOR_POP_FC" hidden="1">"c8108"</definedName>
    <definedName name="IQ_RETAIL_SALES_VOL_INDEX_EXCL_MOTOR_YOY" hidden="1">"c7448"</definedName>
    <definedName name="IQ_RETAIL_SALES_VOL_INDEX_EXCL_MOTOR_YOY_FC" hidden="1">"c8328"</definedName>
    <definedName name="IQ_RETAIL_SALES_VOL_INDEX_FC" hidden="1">"c7887"</definedName>
    <definedName name="IQ_RETAIL_SALES_VOL_INDEX_POP" hidden="1">"c7227"</definedName>
    <definedName name="IQ_RETAIL_SALES_VOL_INDEX_POP_FC" hidden="1">"c8107"</definedName>
    <definedName name="IQ_RETAIL_SALES_VOL_INDEX_YOY" hidden="1">"c7447"</definedName>
    <definedName name="IQ_RETAIL_SALES_VOL_INDEX_YOY_FC" hidden="1">"c8327"</definedName>
    <definedName name="IQ_RETAIL_SALES_YOY" hidden="1">"c7443"</definedName>
    <definedName name="IQ_RETAIL_SALES_YOY_FC" hidden="1">"c8323"</definedName>
    <definedName name="IQ_RETAIL_SALES_YOY_PCT" hidden="1">"c21100"</definedName>
    <definedName name="IQ_RETAIL_SAME_STORE_SALES" hidden="1">"c9898"</definedName>
    <definedName name="IQ_RETAIL_SAME_STORE_SALES_FRANCHISE" hidden="1">"c9896"</definedName>
    <definedName name="IQ_RETAIL_SAME_STORE_SALES_OWNED" hidden="1">"c9897"</definedName>
    <definedName name="IQ_RETAIL_SOLD_AFFILIATED_OTHER_STORES" hidden="1">"c9894"</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AFFILIATED_OTHER_STORES" hidden="1">"c9895"</definedName>
    <definedName name="IQ_RETAIL_TOTAL_FRANCHISE_STORES" hidden="1">"c2898"</definedName>
    <definedName name="IQ_RETAIL_TOTAL_OWNED_STORES" hidden="1">"c2906"</definedName>
    <definedName name="IQ_RETAIL_TOTAL_SQ_METERS_GROSS" hidden="1">"c9906"</definedName>
    <definedName name="IQ_RETAIL_TOTAL_SQ_METERS_NET" hidden="1">"c9905"</definedName>
    <definedName name="IQ_RETAIL_TOTAL_STORES" hidden="1">"c2061"</definedName>
    <definedName name="IQ_RETAIL_WHOLESALE_REVENUES" hidden="1">"c15895"</definedName>
    <definedName name="IQ_RETAINED_EARN" hidden="1">"c1092"</definedName>
    <definedName name="IQ_RETAINED_EARNINGS_AVERAGE_EQUITY_FDIC" hidden="1">"c6733"</definedName>
    <definedName name="IQ_RETAINED_EARNINGS_EQUITY_FFIEC" hidden="1">"c13348"</definedName>
    <definedName name="IQ_RETAINED_EARNINGS_FFIEC" hidden="1">"c12878"</definedName>
    <definedName name="IQ_RETURN_ASSETS" hidden="1">"c1113"</definedName>
    <definedName name="IQ_RETURN_ASSETS_ACT_OR_EST" hidden="1">"c3585"</definedName>
    <definedName name="IQ_RETURN_ASSETS_ACT_OR_EST_CIQ" hidden="1">"c12020"</definedName>
    <definedName name="IQ_RETURN_ASSETS_ACT_OR_EST_REUT" hidden="1">"c5475"</definedName>
    <definedName name="IQ_RETURN_ASSETS_ACT_OR_EST_THOM" hidden="1">"c5310"</definedName>
    <definedName name="IQ_RETURN_ASSETS_BANK" hidden="1">"c1114"</definedName>
    <definedName name="IQ_RETURN_ASSETS_BROK" hidden="1">"c1115"</definedName>
    <definedName name="IQ_RETURN_ASSETS_CM" hidden="1">"c1115"</definedName>
    <definedName name="IQ_RETURN_ASSETS_DET_EST" hidden="1">"c12066"</definedName>
    <definedName name="IQ_RETURN_ASSETS_DET_EST_DATE" hidden="1">"c12219"</definedName>
    <definedName name="IQ_RETURN_ASSETS_DET_EST_DATE_THOM" hidden="1">"c12247"</definedName>
    <definedName name="IQ_RETURN_ASSETS_DET_EST_INCL" hidden="1">"c12356"</definedName>
    <definedName name="IQ_RETURN_ASSETS_DET_EST_INCL_THOM" hidden="1">"c12379"</definedName>
    <definedName name="IQ_RETURN_ASSETS_DET_EST_ORIGIN" hidden="1">"c12591"</definedName>
    <definedName name="IQ_RETURN_ASSETS_DET_EST_ORIGIN_THOM" hidden="1">"c12617"</definedName>
    <definedName name="IQ_RETURN_ASSETS_DET_EST_THOM" hidden="1">"c12097"</definedName>
    <definedName name="IQ_RETURN_ASSETS_EST" hidden="1">"c3529"</definedName>
    <definedName name="IQ_RETURN_ASSETS_EST_CIQ" hidden="1">"c3828"</definedName>
    <definedName name="IQ_RETURN_ASSETS_EST_REUT" hidden="1">"c3990"</definedName>
    <definedName name="IQ_RETURN_ASSETS_EST_THOM" hidden="1">"c4034"</definedName>
    <definedName name="IQ_RETURN_ASSETS_FDIC" hidden="1">"c6730"</definedName>
    <definedName name="IQ_RETURN_ASSETS_FS" hidden="1">"c1116"</definedName>
    <definedName name="IQ_RETURN_ASSETS_GUIDANCE" hidden="1">"c4517"</definedName>
    <definedName name="IQ_RETURN_ASSETS_GUIDANCE_CIQ" hidden="1">"c5055"</definedName>
    <definedName name="IQ_RETURN_ASSETS_GUIDANCE_CIQ_COL" hidden="1">"c11702"</definedName>
    <definedName name="IQ_RETURN_ASSETS_HIGH_EST" hidden="1">"c3530"</definedName>
    <definedName name="IQ_RETURN_ASSETS_HIGH_EST_CIQ" hidden="1">"c3830"</definedName>
    <definedName name="IQ_RETURN_ASSETS_HIGH_EST_REUT" hidden="1">"c3992"</definedName>
    <definedName name="IQ_RETURN_ASSETS_HIGH_EST_THOM" hidden="1">"c4036"</definedName>
    <definedName name="IQ_RETURN_ASSETS_HIGH_GUIDANCE" hidden="1">"c4183"</definedName>
    <definedName name="IQ_RETURN_ASSETS_HIGH_GUIDANCE_CIQ" hidden="1">"c4595"</definedName>
    <definedName name="IQ_RETURN_ASSETS_HIGH_GUIDANCE_CIQ_COL" hidden="1">"c11244"</definedName>
    <definedName name="IQ_RETURN_ASSETS_LOW_EST" hidden="1">"c3531"</definedName>
    <definedName name="IQ_RETURN_ASSETS_LOW_EST_CIQ" hidden="1">"c3831"</definedName>
    <definedName name="IQ_RETURN_ASSETS_LOW_EST_REUT" hidden="1">"c3993"</definedName>
    <definedName name="IQ_RETURN_ASSETS_LOW_EST_THOM" hidden="1">"c4037"</definedName>
    <definedName name="IQ_RETURN_ASSETS_LOW_GUIDANCE" hidden="1">"c4223"</definedName>
    <definedName name="IQ_RETURN_ASSETS_LOW_GUIDANCE_CIQ" hidden="1">"c4635"</definedName>
    <definedName name="IQ_RETURN_ASSETS_LOW_GUIDANCE_CIQ_COL" hidden="1">"c11284"</definedName>
    <definedName name="IQ_RETURN_ASSETS_MEDIAN_EST" hidden="1">"c3532"</definedName>
    <definedName name="IQ_RETURN_ASSETS_MEDIAN_EST_CIQ" hidden="1">"c3829"</definedName>
    <definedName name="IQ_RETURN_ASSETS_MEDIAN_EST_REUT" hidden="1">"c3991"</definedName>
    <definedName name="IQ_RETURN_ASSETS_MEDIAN_EST_THOM" hidden="1">"c4035"</definedName>
    <definedName name="IQ_RETURN_ASSETS_NUM_EST" hidden="1">"c3527"</definedName>
    <definedName name="IQ_RETURN_ASSETS_NUM_EST_CIQ" hidden="1">"c3832"</definedName>
    <definedName name="IQ_RETURN_ASSETS_NUM_EST_REUT" hidden="1">"c3994"</definedName>
    <definedName name="IQ_RETURN_ASSETS_NUM_EST_THOM" hidden="1">"c4038"</definedName>
    <definedName name="IQ_RETURN_ASSETS_STDDEV_EST" hidden="1">"c3528"</definedName>
    <definedName name="IQ_RETURN_ASSETS_STDDEV_EST_CIQ" hidden="1">"c3833"</definedName>
    <definedName name="IQ_RETURN_ASSETS_STDDEV_EST_REUT" hidden="1">"c3995"</definedName>
    <definedName name="IQ_RETURN_ASSETS_STDDEV_EST_THOM" hidden="1">"c4039"</definedName>
    <definedName name="IQ_RETURN_CAPITAL" hidden="1">"c1117"</definedName>
    <definedName name="IQ_RETURN_COMMON_EQUITY" hidden="1">"c13838"</definedName>
    <definedName name="IQ_RETURN_EMBEDDED_VALUE" hidden="1">"c9974"</definedName>
    <definedName name="IQ_RETURN_EQUITY" hidden="1">"c1118"</definedName>
    <definedName name="IQ_RETURN_EQUITY_ACT_OR_EST" hidden="1">"c3586"</definedName>
    <definedName name="IQ_RETURN_EQUITY_ACT_OR_EST_CIQ" hidden="1">"c12021"</definedName>
    <definedName name="IQ_RETURN_EQUITY_ACT_OR_EST_REUT" hidden="1">"c5476"</definedName>
    <definedName name="IQ_RETURN_EQUITY_ACT_OR_EST_THOM" hidden="1">"c5311"</definedName>
    <definedName name="IQ_RETURN_EQUITY_BANK" hidden="1">"c1119"</definedName>
    <definedName name="IQ_RETURN_EQUITY_BROK" hidden="1">"c1120"</definedName>
    <definedName name="IQ_RETURN_EQUITY_CM" hidden="1">"c1120"</definedName>
    <definedName name="IQ_RETURN_EQUITY_DET_EST" hidden="1">"c12067"</definedName>
    <definedName name="IQ_RETURN_EQUITY_DET_EST_DATE" hidden="1">"c12220"</definedName>
    <definedName name="IQ_RETURN_EQUITY_DET_EST_DATE_THOM" hidden="1">"c12248"</definedName>
    <definedName name="IQ_RETURN_EQUITY_DET_EST_INCL" hidden="1">"c12357"</definedName>
    <definedName name="IQ_RETURN_EQUITY_DET_EST_INCL_THOM" hidden="1">"c12380"</definedName>
    <definedName name="IQ_RETURN_EQUITY_DET_EST_ORIGIN" hidden="1">"c12592"</definedName>
    <definedName name="IQ_RETURN_EQUITY_DET_EST_ORIGIN_THOM" hidden="1">"c12618"</definedName>
    <definedName name="IQ_RETURN_EQUITY_DET_EST_THOM" hidden="1">"c12098"</definedName>
    <definedName name="IQ_RETURN_EQUITY_EST" hidden="1">"c3535"</definedName>
    <definedName name="IQ_RETURN_EQUITY_EST_CIQ" hidden="1">"c3821"</definedName>
    <definedName name="IQ_RETURN_EQUITY_EST_REUT" hidden="1">"c3983"</definedName>
    <definedName name="IQ_RETURN_EQUITY_EST_THOM" hidden="1">"c5479"</definedName>
    <definedName name="IQ_RETURN_EQUITY_FDIC" hidden="1">"c6732"</definedName>
    <definedName name="IQ_RETURN_EQUITY_FS" hidden="1">"c1121"</definedName>
    <definedName name="IQ_RETURN_EQUITY_GUIDANCE" hidden="1">"c4518"</definedName>
    <definedName name="IQ_RETURN_EQUITY_GUIDANCE_CIQ" hidden="1">"c5056"</definedName>
    <definedName name="IQ_RETURN_EQUITY_GUIDANCE_CIQ_COL" hidden="1">"c11703"</definedName>
    <definedName name="IQ_RETURN_EQUITY_HIGH_EST" hidden="1">"c3536"</definedName>
    <definedName name="IQ_RETURN_EQUITY_HIGH_EST_CIQ" hidden="1">"c3823"</definedName>
    <definedName name="IQ_RETURN_EQUITY_HIGH_EST_REUT" hidden="1">"c3985"</definedName>
    <definedName name="IQ_RETURN_EQUITY_HIGH_EST_THOM" hidden="1">"c5283"</definedName>
    <definedName name="IQ_RETURN_EQUITY_HIGH_GUIDANCE" hidden="1">"c4182"</definedName>
    <definedName name="IQ_RETURN_EQUITY_HIGH_GUIDANCE_CIQ" hidden="1">"c4594"</definedName>
    <definedName name="IQ_RETURN_EQUITY_HIGH_GUIDANCE_CIQ_COL" hidden="1">"c11243"</definedName>
    <definedName name="IQ_RETURN_EQUITY_LOW_EST" hidden="1">"c3537"</definedName>
    <definedName name="IQ_RETURN_EQUITY_LOW_EST_CIQ" hidden="1">"c3824"</definedName>
    <definedName name="IQ_RETURN_EQUITY_LOW_EST_REUT" hidden="1">"c3986"</definedName>
    <definedName name="IQ_RETURN_EQUITY_LOW_EST_THOM" hidden="1">"c5284"</definedName>
    <definedName name="IQ_RETURN_EQUITY_LOW_GUIDANCE" hidden="1">"c4222"</definedName>
    <definedName name="IQ_RETURN_EQUITY_LOW_GUIDANCE_CIQ" hidden="1">"c4634"</definedName>
    <definedName name="IQ_RETURN_EQUITY_LOW_GUIDANCE_CIQ_COL" hidden="1">"c11283"</definedName>
    <definedName name="IQ_RETURN_EQUITY_MEDIAN_EST" hidden="1">"c3538"</definedName>
    <definedName name="IQ_RETURN_EQUITY_MEDIAN_EST_CIQ" hidden="1">"c3822"</definedName>
    <definedName name="IQ_RETURN_EQUITY_MEDIAN_EST_REUT" hidden="1">"c3984"</definedName>
    <definedName name="IQ_RETURN_EQUITY_MEDIAN_EST_THOM" hidden="1">"c5282"</definedName>
    <definedName name="IQ_RETURN_EQUITY_NUM_EST" hidden="1">"c3533"</definedName>
    <definedName name="IQ_RETURN_EQUITY_NUM_EST_CIQ" hidden="1">"c3825"</definedName>
    <definedName name="IQ_RETURN_EQUITY_NUM_EST_REUT" hidden="1">"c3987"</definedName>
    <definedName name="IQ_RETURN_EQUITY_NUM_EST_THOM" hidden="1">"c5285"</definedName>
    <definedName name="IQ_RETURN_EQUITY_STDDEV_EST" hidden="1">"c3534"</definedName>
    <definedName name="IQ_RETURN_EQUITY_STDDEV_EST_CIQ" hidden="1">"c3826"</definedName>
    <definedName name="IQ_RETURN_EQUITY_STDDEV_EST_REUT" hidden="1">"c3988"</definedName>
    <definedName name="IQ_RETURN_EQUITY_STDDEV_EST_THOM" hidden="1">"c5286"</definedName>
    <definedName name="IQ_RETURN_INVESTMENT" hidden="1">"c1117"</definedName>
    <definedName name="IQ_REV" hidden="1">"c1122"</definedName>
    <definedName name="IQ_REV_AP" hidden="1">"c8873"</definedName>
    <definedName name="IQ_REV_AP_ABS" hidden="1">"c8892"</definedName>
    <definedName name="IQ_REV_BEFORE_LL" hidden="1">"c1123"</definedName>
    <definedName name="IQ_REV_BEFORE_LOAN_LOSS_FOREIGN_FFIEC" hidden="1">"c15381"</definedName>
    <definedName name="IQ_REV_DET_EST" hidden="1">"c12065"</definedName>
    <definedName name="IQ_REV_DET_EST_CURRENCY" hidden="1">"c12472"</definedName>
    <definedName name="IQ_REV_DET_EST_CURRENCY_THOM" hidden="1">"c12495"</definedName>
    <definedName name="IQ_REV_DET_EST_DATE" hidden="1">"c12218"</definedName>
    <definedName name="IQ_REV_DET_EST_DATE_THOM" hidden="1">"c12246"</definedName>
    <definedName name="IQ_REV_DET_EST_INCL" hidden="1">"c12355"</definedName>
    <definedName name="IQ_REV_DET_EST_INCL_THOM" hidden="1">"c12378"</definedName>
    <definedName name="IQ_REV_DET_EST_ORIGIN" hidden="1">"c12590"</definedName>
    <definedName name="IQ_REV_DET_EST_ORIGIN_THOM" hidden="1">"c12616"</definedName>
    <definedName name="IQ_REV_DET_EST_THOM" hidden="1">"c12096"</definedName>
    <definedName name="IQ_REV_NAME_AP" hidden="1">"c8911"</definedName>
    <definedName name="IQ_REV_NAME_AP_ABS" hidden="1">"c8930"</definedName>
    <definedName name="IQ_REV_STDDEV_EST" hidden="1">"c1124"</definedName>
    <definedName name="IQ_REV_STDDEV_EST_CIQ" hidden="1">"c3621"</definedName>
    <definedName name="IQ_REV_STDDEV_EST_REUT" hidden="1">"c3639"</definedName>
    <definedName name="IQ_REV_STDDEV_EST_THOM" hidden="1">"c3657"</definedName>
    <definedName name="IQ_REV_UTI" hidden="1">"c1125"</definedName>
    <definedName name="IQ_REVALUATION_GAINS_DERIVATIVE_DOM_FFIEC" hidden="1">"c12828"</definedName>
    <definedName name="IQ_REVALUATION_GAINS_DERIVATIVE_FOREIGN_FFIEC" hidden="1">"c12829"</definedName>
    <definedName name="IQ_REVALUATION_GAINS_FDIC" hidden="1">"c6428"</definedName>
    <definedName name="IQ_REVALUATION_LOSSES_FDIC" hidden="1">"c6429"</definedName>
    <definedName name="IQ_REVALUATION_NON_TRADING_PROP" hidden="1">"c15999"</definedName>
    <definedName name="IQ_REVENUE" hidden="1">"c1122"</definedName>
    <definedName name="IQ_REVENUE_10K" hidden="1">"IQ_REVENUE_10K"</definedName>
    <definedName name="IQ_REVENUE_10Q" hidden="1">"IQ_REVENUE_10Q"</definedName>
    <definedName name="IQ_REVENUE_10Q1" hidden="1">"IQ_REVENUE_10Q1"</definedName>
    <definedName name="IQ_REVENUE_ACT_OR_EST" hidden="1">"c2214"</definedName>
    <definedName name="IQ_REVENUE_ACT_OR_EST_CIQ" hidden="1">"c5059"</definedName>
    <definedName name="IQ_REVENUE_ACT_OR_EST_CIQ_COL" hidden="1">"c11706"</definedName>
    <definedName name="IQ_REVENUE_ACT_OR_EST_REUT" hidden="1">"c5461"</definedName>
    <definedName name="IQ_REVENUE_ACT_OR_EST_THOM" hidden="1">"c5299"</definedName>
    <definedName name="IQ_REVENUE_ADVERTISING" hidden="1">"c2880"</definedName>
    <definedName name="IQ_REVENUE_ANALOG_CABLE" hidden="1">"c2875"</definedName>
    <definedName name="IQ_REVENUE_BASIC_CABLE" hidden="1">"c2877"</definedName>
    <definedName name="IQ_REVENUE_BBAND" hidden="1">"c2878"</definedName>
    <definedName name="IQ_REVENUE_BEFORE_LL_FFIEC" hidden="1">"c13018"</definedName>
    <definedName name="IQ_REVENUE_COMMERCIAL" hidden="1">"c2881"</definedName>
    <definedName name="IQ_REVENUE_DIGITAL_CABLE" hidden="1">"c2876"</definedName>
    <definedName name="IQ_REVENUE_EST" hidden="1">"c1126"</definedName>
    <definedName name="IQ_REVENUE_EST_1" hidden="1">"IQ_REVENUE_EST_1"</definedName>
    <definedName name="IQ_REVENUE_EST_BOTTOM_UP" hidden="1">"c5488"</definedName>
    <definedName name="IQ_REVENUE_EST_BOTTOM_UP_CIQ" hidden="1">"c12025"</definedName>
    <definedName name="IQ_REVENUE_EST_BOTTOM_UP_REUT" hidden="1">"c5496"</definedName>
    <definedName name="IQ_REVENUE_EST_CIQ" hidden="1">"c3616"</definedName>
    <definedName name="IQ_REVENUE_EST_REUT" hidden="1">"c3634"</definedName>
    <definedName name="IQ_REVENUE_EST_THOM" hidden="1">"c3652"</definedName>
    <definedName name="IQ_REVENUE_GROWTH_1" hidden="1">"c155"</definedName>
    <definedName name="IQ_REVENUE_GROWTH_2" hidden="1">"c159"</definedName>
    <definedName name="IQ_REVENUE_GUIDANCE" hidden="1">"c4519"</definedName>
    <definedName name="IQ_REVENUE_GUIDANCE_CIQ" hidden="1">"c5057"</definedName>
    <definedName name="IQ_REVENUE_GUIDANCE_CIQ_COL" hidden="1">"c11704"</definedName>
    <definedName name="IQ_REVENUE_HIGH_EST" hidden="1">"c1127"</definedName>
    <definedName name="IQ_REVENUE_HIGH_EST_CIQ" hidden="1">"c3618"</definedName>
    <definedName name="IQ_REVENUE_HIGH_EST_REUT" hidden="1">"c3636"</definedName>
    <definedName name="IQ_REVENUE_HIGH_EST_THOM" hidden="1">"c3654"</definedName>
    <definedName name="IQ_REVENUE_HIGH_GUIDANCE" hidden="1">"c4169"</definedName>
    <definedName name="IQ_REVENUE_HIGH_GUIDANCE_CIQ" hidden="1">"c4581"</definedName>
    <definedName name="IQ_REVENUE_HIGH_GUIDANCE_CIQ_COL" hidden="1">"c11230"</definedName>
    <definedName name="IQ_REVENUE_LOW_EST" hidden="1">"c1128"</definedName>
    <definedName name="IQ_REVENUE_LOW_EST_CIQ" hidden="1">"c3619"</definedName>
    <definedName name="IQ_REVENUE_LOW_EST_REUT" hidden="1">"c3637"</definedName>
    <definedName name="IQ_REVENUE_LOW_EST_THOM" hidden="1">"c3655"</definedName>
    <definedName name="IQ_REVENUE_LOW_GUIDANCE" hidden="1">"c4209"</definedName>
    <definedName name="IQ_REVENUE_LOW_GUIDANCE_CIQ" hidden="1">"c4621"</definedName>
    <definedName name="IQ_REVENUE_LOW_GUIDANCE_CIQ_COL" hidden="1">"c11270"</definedName>
    <definedName name="IQ_REVENUE_MEDIAN_EST" hidden="1">"c1662"</definedName>
    <definedName name="IQ_REVENUE_MEDIAN_EST_CIQ" hidden="1">"c3617"</definedName>
    <definedName name="IQ_REVENUE_MEDIAN_EST_REUT" hidden="1">"c3635"</definedName>
    <definedName name="IQ_REVENUE_MEDIAN_EST_THOM" hidden="1">"c3653"</definedName>
    <definedName name="IQ_REVENUE_NO_EST" hidden="1">"c263"</definedName>
    <definedName name="IQ_REVENUE_NUM_EST" hidden="1">"c1129"</definedName>
    <definedName name="IQ_REVENUE_NUM_EST_CIQ" hidden="1">"c3620"</definedName>
    <definedName name="IQ_REVENUE_NUM_EST_REUT" hidden="1">"c3638"</definedName>
    <definedName name="IQ_REVENUE_NUM_EST_THOM" hidden="1">"c3656"</definedName>
    <definedName name="IQ_REVENUE_OTHER" hidden="1">"c2882"</definedName>
    <definedName name="IQ_REVENUE_PHONE" hidden="1">"c2879"</definedName>
    <definedName name="IQ_REVENUE_TOTAL" hidden="1">"c2883"</definedName>
    <definedName name="IQ_REVENUES_SATELLITE" hidden="1">"c15792"</definedName>
    <definedName name="IQ_REVENUES_WIRELESS" hidden="1">"c15793"</definedName>
    <definedName name="IQ_REVERSE_REPO" hidden="1">"c19131"</definedName>
    <definedName name="IQ_REVISION_DATE" hidden="1">39211.8153356481</definedName>
    <definedName name="IQ_REVISION_DATE_" hidden="1">38971.8579513889</definedName>
    <definedName name="IQ_REVOLV_OPEN_SECURED_1_4_LL_REC_DOM_FFIEC" hidden="1">"c12902"</definedName>
    <definedName name="IQ_REVOLVING_HOME_EQUITY_LINES_UNUSED_FFIEC" hidden="1">"c13241"</definedName>
    <definedName name="IQ_REVOLVING_LOANS_GROSS_LOANS_FFIEC" hidden="1">"c13398"</definedName>
    <definedName name="IQ_REVOLVING_LOANS_RISK_BASED_FFIEC" hidden="1">"c13419"</definedName>
    <definedName name="IQ_REVOLVING_LOANS_SEC_1_4_DOM_CHARGE_OFFS_FFIEC" hidden="1">"c13168"</definedName>
    <definedName name="IQ_REVOLVING_LOANS_SEC_1_4_DOM_RECOV_FFIEC" hidden="1">"c13190"</definedName>
    <definedName name="IQ_REVOLVING_OPEN_END_1_4_TRADING_DOM_FFIEC" hidden="1">"c12927"</definedName>
    <definedName name="IQ_REVOLVING_SECURED_1_4_DUE_30_89_FFIEC" hidden="1">"c13260"</definedName>
    <definedName name="IQ_REVOLVING_SECURED_1_4_DUE_90_FFIEC" hidden="1">"c13288"</definedName>
    <definedName name="IQ_REVOLVING_SECURED_1_4_NON_ACCRUAL_FFIEC" hidden="1">"c13314"</definedName>
    <definedName name="IQ_REVOLVING_SECURED_1_–4_NON_ACCRUAL_FFIEC" hidden="1">"c13314"</definedName>
    <definedName name="IQ_RGU" hidden="1">"c2863"</definedName>
    <definedName name="IQ_RISK_ADJ_BANK_ASSETS" hidden="1">"c2670"</definedName>
    <definedName name="IQ_RISK_WEIGHTED_ASSETS_0_PCT_FFIEC" hidden="1">"c18874"</definedName>
    <definedName name="IQ_RISK_WEIGHTED_ASSETS_100_PCT_FFIEC" hidden="1">"c18877"</definedName>
    <definedName name="IQ_RISK_WEIGHTED_ASSETS_20_PCT_FFIEC" hidden="1">"c18875"</definedName>
    <definedName name="IQ_RISK_WEIGHTED_ASSETS_50_PCT_FFIEC" hidden="1">"c18876"</definedName>
    <definedName name="IQ_RISK_WEIGHTED_ASSETS_FDIC" hidden="1">"c6370"</definedName>
    <definedName name="IQ_ROAM_MIN_USE_OTHER_CARRIERS" hidden="1">"c15765"</definedName>
    <definedName name="IQ_ROYALTIES_DUE_AFTER_FIVE" hidden="1">"c15969"</definedName>
    <definedName name="IQ_ROYALTIES_DUE_CY" hidden="1">"c15964"</definedName>
    <definedName name="IQ_ROYALTIES_DUE_CY1" hidden="1">"c15965"</definedName>
    <definedName name="IQ_ROYALTIES_DUE_CY2" hidden="1">"c15966"</definedName>
    <definedName name="IQ_ROYALTIES_DUE_CY3" hidden="1">"c15967"</definedName>
    <definedName name="IQ_ROYALTIES_DUE_CY4" hidden="1">"c15968"</definedName>
    <definedName name="IQ_ROYALTY_REVENUE_COAL" hidden="1">"c15932"</definedName>
    <definedName name="IQ_RSI" hidden="1">"c12704"</definedName>
    <definedName name="IQ_RSI_ADJ" hidden="1">"c12705"</definedName>
    <definedName name="IQ_SALARIED_WORKFORCE" hidden="1">"c7010"</definedName>
    <definedName name="IQ_SALARIED_WORKFORCE_APR" hidden="1">"c7670"</definedName>
    <definedName name="IQ_SALARIED_WORKFORCE_APR_FC" hidden="1">"c8550"</definedName>
    <definedName name="IQ_SALARIED_WORKFORCE_FC" hidden="1">"c7890"</definedName>
    <definedName name="IQ_SALARIED_WORKFORCE_POP" hidden="1">"c7230"</definedName>
    <definedName name="IQ_SALARIED_WORKFORCE_POP_FC" hidden="1">"c8110"</definedName>
    <definedName name="IQ_SALARIED_WORKFORCE_YOY" hidden="1">"c7450"</definedName>
    <definedName name="IQ_SALARIED_WORKFORCE_YOY_FC" hidden="1">"c8330"</definedName>
    <definedName name="IQ_SALARIES_EMPLOYEE_BENEFITS_FFIEC" hidden="1">"c13023"</definedName>
    <definedName name="IQ_SALARIES_OTHER_BENEFITS" hidden="1">"c16176"</definedName>
    <definedName name="IQ_SALARY" hidden="1">"c1130"</definedName>
    <definedName name="IQ_SALARY_FDIC" hidden="1">"c6576"</definedName>
    <definedName name="IQ_SALE_COMMON_GROSS_FFIEC" hidden="1">"c12963"</definedName>
    <definedName name="IQ_SALE_CONVERSION_ACQUISITION_NET_COMMON_FFIEC" hidden="1">"c15351"</definedName>
    <definedName name="IQ_SALE_CONVERSION_RETIREMENT_STOCK_FDIC" hidden="1">"c6661"</definedName>
    <definedName name="IQ_SALE_INTAN_CF" hidden="1">"c1131"</definedName>
    <definedName name="IQ_SALE_INTAN_CF_BNK" hidden="1">"c1132"</definedName>
    <definedName name="IQ_SALE_INTAN_CF_BR" hidden="1">"c1133"</definedName>
    <definedName name="IQ_SALE_INTAN_CF_CM" hidden="1">"c1133"</definedName>
    <definedName name="IQ_SALE_INTAN_CF_FIN" hidden="1">"c1134"</definedName>
    <definedName name="IQ_SALE_INTAN_CF_INS" hidden="1">"c1135"</definedName>
    <definedName name="IQ_SALE_INTAN_CF_RE" hidden="1">"c6284"</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CM" hidden="1">"c1139"</definedName>
    <definedName name="IQ_SALE_PPE_CF_FIN" hidden="1">"c1140"</definedName>
    <definedName name="IQ_SALE_PPE_CF_INS" hidden="1">"c1141"</definedName>
    <definedName name="IQ_SALE_PPE_CF_UTI" hidden="1">"c1142"</definedName>
    <definedName name="IQ_SALE_PREF_FFIEC" hidden="1">"c12961"</definedName>
    <definedName name="IQ_SALE_PROP" hidden="1">"c16029"</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CM" hidden="1">"c1145"</definedName>
    <definedName name="IQ_SALE_REAL_ESTATE_CF_FIN" hidden="1">"c1146"</definedName>
    <definedName name="IQ_SALE_REAL_ESTATE_CF_INS" hidden="1">"c1147"</definedName>
    <definedName name="IQ_SALE_REAL_ESTATE_CF_UTI" hidden="1">"c1148"</definedName>
    <definedName name="IQ_SALE_TREASURY_FFIEC" hidden="1">"c12965"</definedName>
    <definedName name="IQ_SALES_COAL" hidden="1">"c15930"</definedName>
    <definedName name="IQ_SALES_MARKETING" hidden="1">"c2240"</definedName>
    <definedName name="IQ_SALES_TO_TOTAL_REVENUE_COAL" hidden="1">"c15943"</definedName>
    <definedName name="IQ_SAME_PROP_AGG_GLA" hidden="1">"c16055"</definedName>
    <definedName name="IQ_SAME_PROP_AGG_UNITS" hidden="1">"c16053"</definedName>
    <definedName name="IQ_SAME_PROP_EXPENSE" hidden="1">"c16050"</definedName>
    <definedName name="IQ_SAME_PROP_EXPENSE_GROWTH" hidden="1">"c16051"</definedName>
    <definedName name="IQ_SAME_PROP_NUMBER_PROP" hidden="1">"c16052"</definedName>
    <definedName name="IQ_SAME_PROP_PORTFOLIO_AREA" hidden="1">"c16054"</definedName>
    <definedName name="IQ_SAME_PROP_REV_GROWTH" hidden="1">"c16049"</definedName>
    <definedName name="IQ_SAME_PROP_REVENUE" hidden="1">"c16048"</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AVINGS_ACCT_DEPOSITS_TOTAL_DEPOSITS" hidden="1">"c15721"</definedName>
    <definedName name="IQ_SAVINGS_DEPOSITS_NON_TRANS_ACCTS_FFIEC" hidden="1">"c15329"</definedName>
    <definedName name="IQ_SAVINGS_DEPOSITS_QUARTERLY_AVG_FFIEC" hidden="1">"c15485"</definedName>
    <definedName name="IQ_SAVINGS_RATE_DISP_INC_PCT" hidden="1">"c7011"</definedName>
    <definedName name="IQ_SAVINGS_RATE_DISP_INC_PCT_FC" hidden="1">"c7891"</definedName>
    <definedName name="IQ_SAVINGS_RATE_DISP_INC_PCT_POP" hidden="1">"c7231"</definedName>
    <definedName name="IQ_SAVINGS_RATE_DISP_INC_PCT_POP_FC" hidden="1">"c8111"</definedName>
    <definedName name="IQ_SAVINGS_RATE_DISP_INC_PCT_YOY" hidden="1">"c7451"</definedName>
    <definedName name="IQ_SAVINGS_RATE_DISP_INC_PCT_YOY_FC" hidden="1">"c8331"</definedName>
    <definedName name="IQ_SAVINGS_RATE_GDP_PCT" hidden="1">"c7012"</definedName>
    <definedName name="IQ_SAVINGS_RATE_GDP_PCT_FC" hidden="1">"c7892"</definedName>
    <definedName name="IQ_SAVINGS_RATE_GDP_PCT_POP" hidden="1">"c7232"</definedName>
    <definedName name="IQ_SAVINGS_RATE_GDP_PCT_POP_FC" hidden="1">"c8112"</definedName>
    <definedName name="IQ_SAVINGS_RATE_GDP_PCT_YOY" hidden="1">"c7452"</definedName>
    <definedName name="IQ_SAVINGS_RATE_GDP_PCT_YOY_FC" hidden="1">"c8332"</definedName>
    <definedName name="IQ_SAVINGS_RATE_PERSONAL_INC_PCT" hidden="1">"c7013"</definedName>
    <definedName name="IQ_SAVINGS_RATE_PERSONAL_INC_PCT_FC" hidden="1">"c7893"</definedName>
    <definedName name="IQ_SAVINGS_RATE_PERSONAL_INC_PCT_POP" hidden="1">"c7233"</definedName>
    <definedName name="IQ_SAVINGS_RATE_PERSONAL_INC_PCT_POP_FC" hidden="1">"c8113"</definedName>
    <definedName name="IQ_SAVINGS_RATE_PERSONAL_INC_PCT_YOY" hidden="1">"c7453"</definedName>
    <definedName name="IQ_SAVINGS_RATE_PERSONAL_INC_PCT_YOY_FC" hidden="1">"c8333"</definedName>
    <definedName name="IQ_SBC_EXPENSE_FFIEC" hidden="1">"c13077"</definedName>
    <definedName name="IQ_SCALABLE_INFRASTRUCTURE_CABLE_INVEST" hidden="1">"c15802"</definedName>
    <definedName name="IQ_SEC_1_4_CONSTRUCTION_DOM_CHARGE_OFFS_FFIEC" hidden="1">"c13165"</definedName>
    <definedName name="IQ_SEC_1_4_CONSTRUCTION_DOM_RECOV_FFIEC" hidden="1">"c13187"</definedName>
    <definedName name="IQ_SEC_BORROWED_OFF_BS_FFIEC" hidden="1">"c13127"</definedName>
    <definedName name="IQ_SEC_FARMLAND_DOM_CHARGE_OFFS_FFIEC" hidden="1">"c13167"</definedName>
    <definedName name="IQ_SEC_FARMLAND_DOM_RECOV_FFIEC" hidden="1">"c13189"</definedName>
    <definedName name="IQ_SEC_FUNDS_PURCHASED_ASSETS_TOT_FFIEC" hidden="1">"c13447"</definedName>
    <definedName name="IQ_SEC_ISSUED_US_AVAIL_SALE_FFIEC" hidden="1">"c12795"</definedName>
    <definedName name="IQ_SEC_ISSUED_US_TRADING_DOM_FFIEC" hidden="1">"c12920"</definedName>
    <definedName name="IQ_SEC_ISSUED_US_TRADING_FFIEC" hidden="1">"c12815"</definedName>
    <definedName name="IQ_SEC_MULTIFAM_DOM_CHARGE_OFFS_FFIEC" hidden="1">"c13171"</definedName>
    <definedName name="IQ_SEC_MULTIFAM_DOM_DUE_30_89_FFIEC" hidden="1">"c13263"</definedName>
    <definedName name="IQ_SEC_MULTIFAM_DOM_DUE_90_FFIEC" hidden="1">"c13291"</definedName>
    <definedName name="IQ_SEC_MULTIFAM_DOM_NON_ACCRUAL_FFIEC" hidden="1">"c13317"</definedName>
    <definedName name="IQ_SEC_MULTIFAM_DOM_RECOV_FFIEC" hidden="1">"c13193"</definedName>
    <definedName name="IQ_SEC_NONFARM_NONRES_CHARGE_OFFS_FFIEC" hidden="1">"c13629"</definedName>
    <definedName name="IQ_SEC_NONFARM_NONRES_DOM_OFFICES_DUE_30_89_FFIEC" hidden="1">"c13264"</definedName>
    <definedName name="IQ_SEC_NONFARM_NONRES_DOM_OFFICES_DUE_90_FFIEC" hidden="1">"c13292"</definedName>
    <definedName name="IQ_SEC_NONFARM_NONRES_DOM_OFFICES_NON_ACCRUAL_FFIEC" hidden="1">"c13318"</definedName>
    <definedName name="IQ_SEC_NONFARM_NONRES_RECOV_FFIEC" hidden="1">"c13633"</definedName>
    <definedName name="IQ_SEC_OTHER_CONSTRUCTION_DOM_CHARGE_OFFS_FFIEC" hidden="1">"c13166"</definedName>
    <definedName name="IQ_SEC_OTHER_CONSTRUCTION_DOM_RECOV_FFIEC" hidden="1">"c13188"</definedName>
    <definedName name="IQ_SEC_OTHER_NONFARM_NONRES_CHARGE_OFFS_FFIEC" hidden="1">"c13173"</definedName>
    <definedName name="IQ_SEC_OTHER_NONFARM_NONRES_DUE_30_89_FFIEC" hidden="1">"c13266"</definedName>
    <definedName name="IQ_SEC_OTHER_NONFARM_NONRES_DUE_90_FFIEC" hidden="1">"c13637"</definedName>
    <definedName name="IQ_SEC_OTHER_NONFARM_NONRES_NON_ACCRUAL_FFIEC" hidden="1">"c15462"</definedName>
    <definedName name="IQ_SEC_OTHER_NONFARM_NONRES_RECOV_FFIEC" hidden="1">"c13195"</definedName>
    <definedName name="IQ_SEC_OWNER_NONFARM_NONRES_CHARGE_OFFS_FFIEC" hidden="1">"c13172"</definedName>
    <definedName name="IQ_SEC_OWNER_NONFARM_NONRES_DUE_30_89_FFIEC" hidden="1">"c13265"</definedName>
    <definedName name="IQ_SEC_OWNER_NONFARM_NONRES_DUE_90_FFIEC" hidden="1">"c13636"</definedName>
    <definedName name="IQ_SEC_OWNER_NONFARM_NONRES_NON_ACCRUAL_FFIEC" hidden="1">"c15461"</definedName>
    <definedName name="IQ_SEC_OWNER_NONFARM_NONRES_RECOV_FFIEC" hidden="1">"c13194"</definedName>
    <definedName name="IQ_SEC_PURCHASED_RESELL" hidden="1">"c5513"</definedName>
    <definedName name="IQ_SEC_PURCHASED_RESELL_FFIEC" hidden="1">"c12807"</definedName>
    <definedName name="IQ_SEC_RE_FOREIGN_DUE_30_89_FFIEC" hidden="1">"c13267"</definedName>
    <definedName name="IQ_SEC_RE_FOREIGN_DUE_90_FFIEC" hidden="1">"c13293"</definedName>
    <definedName name="IQ_SEC_RE_FOREIGN_NON_ACCRUAL_FFIEC" hidden="1">"c13319"</definedName>
    <definedName name="IQ_SEC_SOLD_REPURCHASE_FFIEC" hidden="1">"c12857"</definedName>
    <definedName name="IQ_SECOND_LIEN_BONDS_NOTES" hidden="1">"c17893"</definedName>
    <definedName name="IQ_SECOND_LIEN_BONDS_NOTES_PCT" hidden="1">"c18007"</definedName>
    <definedName name="IQ_SECOND_LIEN_DEBT" hidden="1">"c17898"</definedName>
    <definedName name="IQ_SECOND_LIEN_DEBT_PCT" hidden="1">"c18012"</definedName>
    <definedName name="IQ_SECOND_LIEN_LOANS" hidden="1">"c17892"</definedName>
    <definedName name="IQ_SECOND_LIEN_LOANS_PCT" hidden="1">"c18006"</definedName>
    <definedName name="IQ_SECUR_RECEIV" hidden="1">"c1151"</definedName>
    <definedName name="IQ_SECURED_1_4_FAMILY_RESIDENTIAL_CHARGE_OFFS_FDIC" hidden="1">"c6590"</definedName>
    <definedName name="IQ_SECURED_1_4_FAMILY_RESIDENTIAL_NET_CHARGE_OFFS_FDIC" hidden="1">"c6628"</definedName>
    <definedName name="IQ_SECURED_1_4_FAMILY_RESIDENTIAL_RECOVERIES_FDIC" hidden="1">"c6609"</definedName>
    <definedName name="IQ_SECURED_DEBT" hidden="1">"c2546"</definedName>
    <definedName name="IQ_SECURED_DEBT_PCT" hidden="1">"c2547"</definedName>
    <definedName name="IQ_SECURED_FARMLAND_CHARGE_OFFS_FDIC" hidden="1">"c6593"</definedName>
    <definedName name="IQ_SECURED_FARMLAND_DOM_DUE_30_89_FFIEC" hidden="1">"c13259"</definedName>
    <definedName name="IQ_SECURED_FARMLAND_DOM_DUE_90_FFIEC" hidden="1">"c13287"</definedName>
    <definedName name="IQ_SECURED_FARMLAND_DOM_NON_ACCRUAL_FFIEC" hidden="1">"c13313"</definedName>
    <definedName name="IQ_SECURED_FARMLAND_LL_REC_DOM_FFIEC" hidden="1">"c12901"</definedName>
    <definedName name="IQ_SECURED_FARMLAND_NET_CHARGE_OFFS_FDIC" hidden="1">"c6631"</definedName>
    <definedName name="IQ_SECURED_FARMLAND_RECOVERIES_FDIC" hidden="1">"c6612"</definedName>
    <definedName name="IQ_SECURED_MULTI_RES_LL_REC_DOM_FFIEC" hidden="1">"c12905"</definedName>
    <definedName name="IQ_SECURED_MULTIFAMILY_RESIDENTIAL_CHARGE_OFFS_FDIC" hidden="1">"c6591"</definedName>
    <definedName name="IQ_SECURED_MULTIFAMILY_RESIDENTIAL_NET_CHARGE_OFFS_FDIC" hidden="1">"c6629"</definedName>
    <definedName name="IQ_SECURED_MULTIFAMILY_RESIDENTIAL_RECOVERIES_FDIC" hidden="1">"c6610"</definedName>
    <definedName name="IQ_SECURED_NONFARM_NONRESIDENTIAL_CHARGE_OFFS_FDIC" hidden="1">"c6592"</definedName>
    <definedName name="IQ_SECURED_NONFARM_NONRESIDENTIAL_NET_CHARGE_OFFS_FDIC" hidden="1">"c6630"</definedName>
    <definedName name="IQ_SECURED_NONFARM_NONRESIDENTIAL_RECOVERIES_FDIC" hidden="1">"c6611"</definedName>
    <definedName name="IQ_SECURITIES_GAINS_FDIC" hidden="1">"c6584"</definedName>
    <definedName name="IQ_SECURITIES_HELD_MATURITY_FFIEC" hidden="1">"c12777"</definedName>
    <definedName name="IQ_SECURITIES_ISSUED_STATES_FDIC" hidden="1">"c6300"</definedName>
    <definedName name="IQ_SECURITIES_ISSUED_US_FFIEC" hidden="1">"c12781"</definedName>
    <definedName name="IQ_SECURITIES_LENT_FDIC" hidden="1">"c6532"</definedName>
    <definedName name="IQ_SECURITIES_LENT_FFIEC" hidden="1">"c13255"</definedName>
    <definedName name="IQ_SECURITIES_QUARTERLY_AVG_FFIEC" hidden="1">"c13079"</definedName>
    <definedName name="IQ_SECURITIES_STATE_POLI_SUBD_QUARTERLY_AVG_FFIEC" hidden="1">"c15470"</definedName>
    <definedName name="IQ_SECURITIES_UNDERWRITING_FDIC" hidden="1">"c6529"</definedName>
    <definedName name="IQ_SECURITIES_UNDERWRITING_UNUSED_FFIEC" hidden="1">"c13247"</definedName>
    <definedName name="IQ_SECURITIZATION_INC_OPERATING_INC_FFIEC" hidden="1">"c13390"</definedName>
    <definedName name="IQ_SECURITIZATION_INCOME_FFIEC" hidden="1">"c13012"</definedName>
    <definedName name="IQ_SECURITIZED_DEBT" hidden="1">"c17897"</definedName>
    <definedName name="IQ_SECURITIZED_DEBT_PCT" hidden="1">"c18011"</definedName>
    <definedName name="IQ_SECURITY_ACTIVE_STATUS" hidden="1">"c15160"</definedName>
    <definedName name="IQ_SECURITY_BORROW" hidden="1">"c1152"</definedName>
    <definedName name="IQ_SECURITY_LEVEL" hidden="1">"c2159"</definedName>
    <definedName name="IQ_SECURITY_NAME" hidden="1">"c15159"</definedName>
    <definedName name="IQ_SECURITY_NOTES" hidden="1">"c2202"</definedName>
    <definedName name="IQ_SECURITY_OWN" hidden="1">"c1153"</definedName>
    <definedName name="IQ_SECURITY_RESELL" hidden="1">"c1154"</definedName>
    <definedName name="IQ_SECURITY_TYPE" hidden="1">"c2158"</definedName>
    <definedName name="IQ_SEDOL" hidden="1">"c12042"</definedName>
    <definedName name="IQ_SELECTED_FOREIGN_ASSETS_FFIEC" hidden="1">"c13485"</definedName>
    <definedName name="IQ_SEMI_BACKLOG" hidden="1">"c10005"</definedName>
    <definedName name="IQ_SEMI_BACKLOG_AVG_PRICE" hidden="1">"c10006"</definedName>
    <definedName name="IQ_SEMI_BACKLOG_VALUE" hidden="1">"c10007"</definedName>
    <definedName name="IQ_SEMI_BOOK_TO_BILL_RATIO" hidden="1">"c10008"</definedName>
    <definedName name="IQ_SEMI_ORDER_AVG_PRICE" hidden="1">"c10002"</definedName>
    <definedName name="IQ_SEMI_ORDER_VALUE" hidden="1">"c10003"</definedName>
    <definedName name="IQ_SEMI_ORDER_VALUE_CHANGE" hidden="1">"c10004"</definedName>
    <definedName name="IQ_SEMI_ORDERS" hidden="1">"c10001"</definedName>
    <definedName name="IQ_SEMI_WARRANTY_RES_ACQ" hidden="1">"c10011"</definedName>
    <definedName name="IQ_SEMI_WARRANTY_RES_BEG" hidden="1">"c10009"</definedName>
    <definedName name="IQ_SEMI_WARRANTY_RES_END" hidden="1">"c10014"</definedName>
    <definedName name="IQ_SEMI_WARRANTY_RES_ISS" hidden="1">"c10010"</definedName>
    <definedName name="IQ_SEMI_WARRANTY_RES_OTHER" hidden="1">"c10013"</definedName>
    <definedName name="IQ_SEMI_WARRANTY_RES_PAY" hidden="1">"c10012"</definedName>
    <definedName name="IQ_SEP_ACCOUNT_ASSETS_LH_FFIEC" hidden="1">"c13105"</definedName>
    <definedName name="IQ_SEPARATE_ACCOUNT_LIAB_LH_FFIEC" hidden="1">"c13108"</definedName>
    <definedName name="IQ_SEPARATE_ACCT_ASSETS" hidden="1">"c1155"</definedName>
    <definedName name="IQ_SEPARATE_ACCT_LIAB" hidden="1">"c1156"</definedName>
    <definedName name="IQ_SERV_CHARGE_DEPOSITS" hidden="1">"c1157"</definedName>
    <definedName name="IQ_SERVICE_CHARGES_DEPOSIT_ACCOUNTS_DOM_FFIEC" hidden="1">"c13003"</definedName>
    <definedName name="IQ_SERVICE_CHARGES_FDIC" hidden="1">"c6572"</definedName>
    <definedName name="IQ_SERVICE_CHARGES_OPERATING_INC_FFIEC" hidden="1">"c13384"</definedName>
    <definedName name="IQ_SERVICE_FEE" hidden="1">"c8951"</definedName>
    <definedName name="IQ_SERVICING_FEES_FFIEC" hidden="1">"c13011"</definedName>
    <definedName name="IQ_SERVICING_FEES_OPERATING_INC_FFIEC" hidden="1">"c13389"</definedName>
    <definedName name="IQ_SETTLEMENTS_TAX_AUTHORITIES" hidden="1">"c15737"</definedName>
    <definedName name="IQ_SGA" hidden="1">"c1158"</definedName>
    <definedName name="IQ_SGA_BNK" hidden="1">"c1159"</definedName>
    <definedName name="IQ_SGA_INS" hidden="1">"c1160"</definedName>
    <definedName name="IQ_SGA_MARGIN" hidden="1">"c1898"</definedName>
    <definedName name="IQ_SGA_RE" hidden="1">"c6265"</definedName>
    <definedName name="IQ_SGA_REIT" hidden="1">"c1161"</definedName>
    <definedName name="IQ_SGA_SUPPL" hidden="1">"c1162"</definedName>
    <definedName name="IQ_SGA_UTI" hidden="1">"c1163"</definedName>
    <definedName name="IQ_SHARE_PARTNERSHIP_ASSETS" hidden="1">"c16071"</definedName>
    <definedName name="IQ_SHARE_PARTNERSHIP_CONSOL_JV_DEBT" hidden="1">"c19139"</definedName>
    <definedName name="IQ_SHARE_PARTNERSHIP_CURRENT_ASSETS" hidden="1">"c16069"</definedName>
    <definedName name="IQ_SHARE_PARTNERSHIP_CURRENT_LIAB" hidden="1">"c16073"</definedName>
    <definedName name="IQ_SHARE_PARTNERSHIP_CURRENT_TAX" hidden="1">"c16091"</definedName>
    <definedName name="IQ_SHARE_PARTNERSHIP_DEBT" hidden="1">"c16078"</definedName>
    <definedName name="IQ_SHARE_PARTNERSHIP_DEFERRED_TAX" hidden="1">"c16092"</definedName>
    <definedName name="IQ_SHARE_PARTNERSHIP_DEPRECIATION" hidden="1">"c16089"</definedName>
    <definedName name="IQ_SHARE_PARTNERSHIP_FLOAT_DEBT" hidden="1">"c16077"</definedName>
    <definedName name="IQ_SHARE_PARTNERSHIP_FR_DEBT" hidden="1">"c16076"</definedName>
    <definedName name="IQ_SHARE_PARTNERSHIP_INT_EXPENSE" hidden="1">"c16088"</definedName>
    <definedName name="IQ_SHARE_PARTNERSHIP_INT_INCOME" hidden="1">"c16090"</definedName>
    <definedName name="IQ_SHARE_PARTNERSHIP_LIAB" hidden="1">"c16075"</definedName>
    <definedName name="IQ_SHARE_PARTNERSHIP_LT_ASSETS" hidden="1">"c16070"</definedName>
    <definedName name="IQ_SHARE_PARTNERSHIP_NOI" hidden="1">"c16084"</definedName>
    <definedName name="IQ_SHARE_PARTNERSHIP_NON_CURRENT_LIAB" hidden="1">"c16074"</definedName>
    <definedName name="IQ_SHARE_PARTNERSHIP_OPEX" hidden="1">"c16086"</definedName>
    <definedName name="IQ_SHARE_PARTNERSHIP_OTHER_EXPENSE" hidden="1">"c16087"</definedName>
    <definedName name="IQ_SHARE_PARTNERSHIP_OTHER_INCOME" hidden="1">"c16085"</definedName>
    <definedName name="IQ_SHARE_PARTNERSHIP_REVENUE" hidden="1">"c16083"</definedName>
    <definedName name="IQ_SHARE_RE_ASSET" hidden="1">"c16082"</definedName>
    <definedName name="IQ_SHARE_RE_ASSET_DEVELOP_PROP" hidden="1">"c16080"</definedName>
    <definedName name="IQ_SHARE_RE_ASSET_INV_PROP" hidden="1">"c16079"</definedName>
    <definedName name="IQ_SHARE_RE_ASSET_OTHER" hidden="1">"c16081"</definedName>
    <definedName name="IQ_SHAREOUTSTANDING" hidden="1">"c83"</definedName>
    <definedName name="IQ_SHAREOUTSTANDING_1" hidden="1">"c1347"</definedName>
    <definedName name="IQ_SHARES_PER_DR" hidden="1">"c204"</definedName>
    <definedName name="IQ_SHARES_PURCHASED_AVERAGE_PRICE" hidden="1">"c5821"</definedName>
    <definedName name="IQ_SHARES_PURCHASED_QUARTER" hidden="1">"c5820"</definedName>
    <definedName name="IQ_SHARESOUTSTANDING" hidden="1">"c1164"</definedName>
    <definedName name="IQ_SHORT_BUSINESS_DESCRIPTION" hidden="1">"c24668"</definedName>
    <definedName name="IQ_SHORT_INTEREST" hidden="1">"c1165"</definedName>
    <definedName name="IQ_SHORT_INTEREST_OVER_FLOAT" hidden="1">"c1577"</definedName>
    <definedName name="IQ_SHORT_INTEREST_PERCENT" hidden="1">"c1576"</definedName>
    <definedName name="IQ_SHORT_INTEREST_VOLUME" hidden="1">"c228"</definedName>
    <definedName name="IQ_SHORT_POSITIONS_FFIEC" hidden="1">"c12859"</definedName>
    <definedName name="IQ_SHORT_TERM_INVEST" hidden="1">"c1197"</definedName>
    <definedName name="IQ_SMALL_INT_BEAR_CD" hidden="1">"c1166"</definedName>
    <definedName name="IQ_SOC_SEC_RECEIPTS_SAAR_USD_APR_FC" hidden="1">"c12005"</definedName>
    <definedName name="IQ_SOC_SEC_RECEIPTS_SAAR_USD_FC" hidden="1">"c12002"</definedName>
    <definedName name="IQ_SOC_SEC_RECEIPTS_SAAR_USD_POP_FC" hidden="1">"c12003"</definedName>
    <definedName name="IQ_SOC_SEC_RECEIPTS_SAAR_USD_YOY_FC" hidden="1">"c12004"</definedName>
    <definedName name="IQ_SOC_SEC_RECEIPTS_USD_APR_FC" hidden="1">"c12001"</definedName>
    <definedName name="IQ_SOC_SEC_RECEIPTS_USD_FC" hidden="1">"c11998"</definedName>
    <definedName name="IQ_SOC_SEC_RECEIPTS_USD_POP_FC" hidden="1">"c11999"</definedName>
    <definedName name="IQ_SOC_SEC_RECEIPTS_USD_YOY_FC" hidden="1">"c12000"</definedName>
    <definedName name="IQ_SOCIAL_SEC_RECEIPTS" hidden="1">"c7015"</definedName>
    <definedName name="IQ_SOCIAL_SEC_RECEIPTS_APR" hidden="1">"c7675"</definedName>
    <definedName name="IQ_SOCIAL_SEC_RECEIPTS_APR_FC" hidden="1">"c8555"</definedName>
    <definedName name="IQ_SOCIAL_SEC_RECEIPTS_FC" hidden="1">"c7895"</definedName>
    <definedName name="IQ_SOCIAL_SEC_RECEIPTS_POP" hidden="1">"c7235"</definedName>
    <definedName name="IQ_SOCIAL_SEC_RECEIPTS_POP_FC" hidden="1">"c8115"</definedName>
    <definedName name="IQ_SOCIAL_SEC_RECEIPTS_SAAR" hidden="1">"c7016"</definedName>
    <definedName name="IQ_SOCIAL_SEC_RECEIPTS_SAAR_APR" hidden="1">"c7676"</definedName>
    <definedName name="IQ_SOCIAL_SEC_RECEIPTS_SAAR_APR_FC" hidden="1">"c8556"</definedName>
    <definedName name="IQ_SOCIAL_SEC_RECEIPTS_SAAR_FC" hidden="1">"c7896"</definedName>
    <definedName name="IQ_SOCIAL_SEC_RECEIPTS_SAAR_POP" hidden="1">"c7236"</definedName>
    <definedName name="IQ_SOCIAL_SEC_RECEIPTS_SAAR_POP_FC" hidden="1">"c8116"</definedName>
    <definedName name="IQ_SOCIAL_SEC_RECEIPTS_SAAR_YOY" hidden="1">"c7456"</definedName>
    <definedName name="IQ_SOCIAL_SEC_RECEIPTS_SAAR_YOY_FC" hidden="1">"c8336"</definedName>
    <definedName name="IQ_SOCIAL_SEC_RECEIPTS_YOY" hidden="1">"c7455"</definedName>
    <definedName name="IQ_SOCIAL_SEC_RECEIPTS_YOY_FC" hidden="1">"c8335"</definedName>
    <definedName name="IQ_SOFTWARE" hidden="1">"c1167"</definedName>
    <definedName name="IQ_SOLD_COAL" hidden="1">"c15936"</definedName>
    <definedName name="IQ_SOURCE" hidden="1">"c1168"</definedName>
    <definedName name="IQ_SP" hidden="1">"c2171"</definedName>
    <definedName name="IQ_SP_BANK" hidden="1">"c2637"</definedName>
    <definedName name="IQ_SP_BANK_ACTION" hidden="1">"c2636"</definedName>
    <definedName name="IQ_SP_BANK_DATE" hidden="1">"c2635"</definedName>
    <definedName name="IQ_SP_DATE" hidden="1">"c2172"</definedName>
    <definedName name="IQ_SP_FIN_ENHANCE_FX" hidden="1">"c2631"</definedName>
    <definedName name="IQ_SP_FIN_ENHANCE_FX_ACTION" hidden="1">"c2630"</definedName>
    <definedName name="IQ_SP_FIN_ENHANCE_FX_DATE" hidden="1">"c2629"</definedName>
    <definedName name="IQ_SP_FIN_ENHANCE_LC" hidden="1">"c2634"</definedName>
    <definedName name="IQ_SP_FIN_ENHANCE_LC_ACTION" hidden="1">"c2633"</definedName>
    <definedName name="IQ_SP_FIN_ENHANCE_LC_DATE" hidden="1">"c2632"</definedName>
    <definedName name="IQ_SP_FIN_STRENGTH_LC_ACTION_LT" hidden="1">"c2625"</definedName>
    <definedName name="IQ_SP_FIN_STRENGTH_LC_ACTION_ST" hidden="1">"c2626"</definedName>
    <definedName name="IQ_SP_FIN_STRENGTH_LC_DATE_LT" hidden="1">"c2623"</definedName>
    <definedName name="IQ_SP_FIN_STRENGTH_LC_DATE_ST" hidden="1">"c2624"</definedName>
    <definedName name="IQ_SP_FIN_STRENGTH_LC_LT" hidden="1">"c2627"</definedName>
    <definedName name="IQ_SP_FIN_STRENGTH_LC_ST" hidden="1">"c2628"</definedName>
    <definedName name="IQ_SP_FX_ACTION_LT" hidden="1">"c2613"</definedName>
    <definedName name="IQ_SP_FX_ACTION_ST" hidden="1">"c2614"</definedName>
    <definedName name="IQ_SP_FX_DATE_LT" hidden="1">"c2611"</definedName>
    <definedName name="IQ_SP_FX_DATE_ST" hidden="1">"c2612"</definedName>
    <definedName name="IQ_SP_FX_LT" hidden="1">"c2615"</definedName>
    <definedName name="IQ_SP_FX_ST" hidden="1">"c2616"</definedName>
    <definedName name="IQ_SP_ISSUE_ACTION" hidden="1">"c2644"</definedName>
    <definedName name="IQ_SP_ISSUE_DATE" hidden="1">"c2643"</definedName>
    <definedName name="IQ_SP_ISSUE_LT" hidden="1">"c2645"</definedName>
    <definedName name="IQ_SP_ISSUE_NSR_ACTION_LT" hidden="1">"c13616"</definedName>
    <definedName name="IQ_SP_ISSUE_NSR_ACTION_ST" hidden="1">"c13622"</definedName>
    <definedName name="IQ_SP_ISSUE_NSR_DATE_LT" hidden="1">"c13615"</definedName>
    <definedName name="IQ_SP_ISSUE_NSR_DATE_ST" hidden="1">"c13621"</definedName>
    <definedName name="IQ_SP_ISSUE_NSR_LT" hidden="1">"c13614"</definedName>
    <definedName name="IQ_SP_ISSUE_NSR_ST" hidden="1">"c13620"</definedName>
    <definedName name="IQ_SP_ISSUE_OUTLOOK_WATCH" hidden="1">"c2650"</definedName>
    <definedName name="IQ_SP_ISSUE_OUTLOOK_WATCH_DATE" hidden="1">"c2649"</definedName>
    <definedName name="IQ_SP_ISSUE_RECOVER" hidden="1">"c2648"</definedName>
    <definedName name="IQ_SP_ISSUE_RECOVER_ACTION" hidden="1">"c2647"</definedName>
    <definedName name="IQ_SP_ISSUE_RECOVER_DATE" hidden="1">"c2646"</definedName>
    <definedName name="IQ_SP_LC_ACTION_LT" hidden="1">"c2619"</definedName>
    <definedName name="IQ_SP_LC_ACTION_ST" hidden="1">"c2620"</definedName>
    <definedName name="IQ_SP_LC_DATE_LT" hidden="1">"c2617"</definedName>
    <definedName name="IQ_SP_LC_DATE_ST" hidden="1">"c2618"</definedName>
    <definedName name="IQ_SP_LC_LT" hidden="1">"c2621"</definedName>
    <definedName name="IQ_SP_LC_ST" hidden="1">"c2622"</definedName>
    <definedName name="IQ_SP_NSR_ACTION_LT" hidden="1">"c13613"</definedName>
    <definedName name="IQ_SP_NSR_ACTION_ST" hidden="1">"c13619"</definedName>
    <definedName name="IQ_SP_NSR_DATE_LT" hidden="1">"c13612"</definedName>
    <definedName name="IQ_SP_NSR_DATE_ST" hidden="1">"c13618"</definedName>
    <definedName name="IQ_SP_NSR_LT" hidden="1">"c13611"</definedName>
    <definedName name="IQ_SP_NSR_ST" hidden="1">"c13617"</definedName>
    <definedName name="IQ_SP_OUTLOOK_WATCH" hidden="1">"c2639"</definedName>
    <definedName name="IQ_SP_OUTLOOK_WATCH_DATE" hidden="1">"c2638"</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CM" hidden="1">"c1171"</definedName>
    <definedName name="IQ_SPECIAL_DIV_CF_FIN" hidden="1">"c1172"</definedName>
    <definedName name="IQ_SPECIAL_DIV_CF_INS" hidden="1">"c1173"</definedName>
    <definedName name="IQ_SPECIAL_DIV_CF_RE" hidden="1">"c6266"</definedName>
    <definedName name="IQ_SPECIAL_DIV_CF_REIT" hidden="1">"c1174"</definedName>
    <definedName name="IQ_SPECIAL_DIV_CF_UTI" hidden="1">"c1175"</definedName>
    <definedName name="IQ_SPECIAL_DIV_SHARE" hidden="1">"c3007"</definedName>
    <definedName name="IQ_SPECIALTIES" hidden="1">"c18932"</definedName>
    <definedName name="IQ_SPECIFIC_ALLOWANCE" hidden="1">"c15247"</definedName>
    <definedName name="IQ_SPONSORS" hidden="1">"c18920"</definedName>
    <definedName name="IQ_SPONSORS_ID" hidden="1">"c18921"</definedName>
    <definedName name="IQ_SQ_FT_LEASED_GROSS_CONSOL" hidden="1">"c8820"</definedName>
    <definedName name="IQ_SQ_FT_LEASED_GROSS_MANAGED" hidden="1">"c8822"</definedName>
    <definedName name="IQ_SQ_FT_LEASED_GROSS_OTHER" hidden="1">"c8823"</definedName>
    <definedName name="IQ_SQ_FT_LEASED_GROSS_TOTAL" hidden="1">"c8824"</definedName>
    <definedName name="IQ_SQ_FT_LEASED_GROSS_UNCONSOL" hidden="1">"c8821"</definedName>
    <definedName name="IQ_SQ_FT_LEASED_NET_CONSOL" hidden="1">"c8825"</definedName>
    <definedName name="IQ_SQ_FT_LEASED_NET_MANAGED" hidden="1">"c8827"</definedName>
    <definedName name="IQ_SQ_FT_LEASED_NET_OTHER" hidden="1">"c8828"</definedName>
    <definedName name="IQ_SQ_FT_LEASED_NET_TOTAL" hidden="1">"c8829"</definedName>
    <definedName name="IQ_SQ_FT_LEASED_NET_UNCONSOL" hidden="1">"c8826"</definedName>
    <definedName name="IQ_SQ_METER_LEASED_GROSS_CONSOL" hidden="1">"c8830"</definedName>
    <definedName name="IQ_SQ_METER_LEASED_GROSS_MANAGED" hidden="1">"c8832"</definedName>
    <definedName name="IQ_SQ_METER_LEASED_GROSS_OTHER" hidden="1">"c8833"</definedName>
    <definedName name="IQ_SQ_METER_LEASED_GROSS_TOTAL" hidden="1">"c8834"</definedName>
    <definedName name="IQ_SQ_METER_LEASED_GROSS_UNCONSOL" hidden="1">"c8831"</definedName>
    <definedName name="IQ_SQ_METER_LEASED_NET_CONSOL" hidden="1">"c8835"</definedName>
    <definedName name="IQ_SQ_METER_LEASED_NET_MANAGED" hidden="1">"c8837"</definedName>
    <definedName name="IQ_SQ_METER_LEASED_NET_OTHER" hidden="1">"c8838"</definedName>
    <definedName name="IQ_SQ_METER_LEASED_NET_TOTAL" hidden="1">"c8839"</definedName>
    <definedName name="IQ_SQ_METER_LEASED_NET_UNCONSOL" hidden="1">"c8836"</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ECURED_BONDS_NOTES" hidden="1">"c17889"</definedName>
    <definedName name="IQ_SR_SECURED_BONDS_NOTES_PCT" hidden="1">"c18003"</definedName>
    <definedName name="IQ_SR_SECURED_LOANS" hidden="1">"c17888"</definedName>
    <definedName name="IQ_SR_SECURED_LOANS_PCT" hidden="1">"c18002"</definedName>
    <definedName name="IQ_SR_SUB_DEBT" hidden="1">"c2530"</definedName>
    <definedName name="IQ_SR_SUB_DEBT_EBITDA" hidden="1">"c2556"</definedName>
    <definedName name="IQ_SR_SUB_DEBT_EBITDA_CAPEX" hidden="1">"c2557"</definedName>
    <definedName name="IQ_SR_SUB_DEBT_PCT" hidden="1">"c2531"</definedName>
    <definedName name="IQ_SR_UNSECURED_BONDS_NOTES" hidden="1">"c17891"</definedName>
    <definedName name="IQ_SR_UNSECURED_BONDS_NOTES_PCT" hidden="1">"c18005"</definedName>
    <definedName name="IQ_ST_DEBT" hidden="1">"c1176"</definedName>
    <definedName name="IQ_ST_DEBT_BNK" hidden="1">"c1177"</definedName>
    <definedName name="IQ_ST_DEBT_BR" hidden="1">"c1178"</definedName>
    <definedName name="IQ_ST_DEBT_CM"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CM" hidden="1">"c1183"</definedName>
    <definedName name="IQ_ST_DEBT_ISSUED_FIN" hidden="1">"c1184"</definedName>
    <definedName name="IQ_ST_DEBT_ISSUED_INS" hidden="1">"c1185"</definedName>
    <definedName name="IQ_ST_DEBT_ISSUED_RE" hidden="1">"c6267"</definedName>
    <definedName name="IQ_ST_DEBT_ISSUED_REIT" hidden="1">"c1186"</definedName>
    <definedName name="IQ_ST_DEBT_ISSUED_UTI" hidden="1">"c1187"</definedName>
    <definedName name="IQ_ST_DEBT_PCT" hidden="1">"c2539"</definedName>
    <definedName name="IQ_ST_DEBT_RE" hidden="1">"c6268"</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CM" hidden="1">"c1191"</definedName>
    <definedName name="IQ_ST_DEBT_REPAID_FIN" hidden="1">"c1192"</definedName>
    <definedName name="IQ_ST_DEBT_REPAID_INS" hidden="1">"c1193"</definedName>
    <definedName name="IQ_ST_DEBT_REPAID_RE" hidden="1">"c6269"</definedName>
    <definedName name="IQ_ST_DEBT_REPAID_REIT" hidden="1">"c1194"</definedName>
    <definedName name="IQ_ST_DEBT_REPAID_UTI" hidden="1">"c1195"</definedName>
    <definedName name="IQ_ST_DEBT_UTI" hidden="1">"c1196"</definedName>
    <definedName name="IQ_ST_FHLB_DEBT" hidden="1">"c5658"</definedName>
    <definedName name="IQ_ST_INVEST" hidden="1">"c1197"</definedName>
    <definedName name="IQ_ST_INVEST_ASSETS_TOT_FFIEC" hidden="1">"c13438"</definedName>
    <definedName name="IQ_ST_INVEST_ST_NONCORE_FUNDING_FFIEC" hidden="1">"c13338"</definedName>
    <definedName name="IQ_ST_INVEST_UTI" hidden="1">"c1198"</definedName>
    <definedName name="IQ_ST_NOTE_RECEIV" hidden="1">"c1199"</definedName>
    <definedName name="IQ_STAND_REC_DET_EST" hidden="1">"c12069"</definedName>
    <definedName name="IQ_STAND_REC_DET_EST_DATE" hidden="1">"c12222"</definedName>
    <definedName name="IQ_STAND_REC_DET_EST_DATE_THOM" hidden="1">"c12250"</definedName>
    <definedName name="IQ_STAND_REC_DET_EST_ORIGIN" hidden="1">"c12594"</definedName>
    <definedName name="IQ_STAND_REC_DET_EST_ORIGIN_THOM" hidden="1">"c12620"</definedName>
    <definedName name="IQ_STAND_REC_DET_EST_THOM" hidden="1">"c12100"</definedName>
    <definedName name="IQ_STAND_REC_NUM_DET_EST" hidden="1">"c12068"</definedName>
    <definedName name="IQ_STAND_REC_NUM_DET_EST_DATE" hidden="1">"c12221"</definedName>
    <definedName name="IQ_STAND_REC_NUM_DET_EST_DATE_THOM" hidden="1">"c12249"</definedName>
    <definedName name="IQ_STAND_REC_NUM_DET_EST_ORIGIN" hidden="1">"c12593"</definedName>
    <definedName name="IQ_STAND_REC_NUM_DET_EST_ORIGIN_THOM" hidden="1">"c12619"</definedName>
    <definedName name="IQ_STAND_REC_NUM_DET_EST_THOM" hidden="1">"c12099"</definedName>
    <definedName name="IQ_STANDBY_LOC_FHLB_BANK_BEHALF_OFF_BS_FFIEC" hidden="1">"c15412"</definedName>
    <definedName name="IQ_STATE" hidden="1">"c1200"</definedName>
    <definedName name="IQ_STATE_LOCAL_SPENDING_SAAR" hidden="1">"c7017"</definedName>
    <definedName name="IQ_STATE_LOCAL_SPENDING_SAAR_APR" hidden="1">"c7677"</definedName>
    <definedName name="IQ_STATE_LOCAL_SPENDING_SAAR_APR_FC" hidden="1">"c8557"</definedName>
    <definedName name="IQ_STATE_LOCAL_SPENDING_SAAR_FC" hidden="1">"c7897"</definedName>
    <definedName name="IQ_STATE_LOCAL_SPENDING_SAAR_POP" hidden="1">"c7237"</definedName>
    <definedName name="IQ_STATE_LOCAL_SPENDING_SAAR_POP_FC" hidden="1">"c8117"</definedName>
    <definedName name="IQ_STATE_LOCAL_SPENDING_SAAR_YOY" hidden="1">"c7457"</definedName>
    <definedName name="IQ_STATE_LOCAL_SPENDING_SAAR_YOY_FC" hidden="1">"c8337"</definedName>
    <definedName name="IQ_STATES_NONTRANSACTION_ACCOUNTS_FDIC" hidden="1">"c6547"</definedName>
    <definedName name="IQ_STATES_POLI_SUBD_US_NON_TRANS_ACCTS_FFIEC" hidden="1">"c15324"</definedName>
    <definedName name="IQ_STATES_POLI_SUBD_US_TRANS_ACCTS_FFIEC" hidden="1">"c15316"</definedName>
    <definedName name="IQ_STATES_TOTAL_DEPOSITS_FDIC" hidden="1">"c6473"</definedName>
    <definedName name="IQ_STATES_TRANSACTION_ACCOUNTS_FDIC" hidden="1">"c6539"</definedName>
    <definedName name="IQ_STATUTORY_SURPLUS" hidden="1">"c1201"</definedName>
    <definedName name="IQ_STATUTORY_SURPLUS_GAAP_EQUITY" hidden="1">"c15883"</definedName>
    <definedName name="IQ_STOCK_BASED" hidden="1">"c1202"</definedName>
    <definedName name="IQ_STOCK_BASED_AT" hidden="1">"c2999"</definedName>
    <definedName name="IQ_STOCK_BASED_CF" hidden="1">"c1203"</definedName>
    <definedName name="IQ_STOCK_BASED_COGS" hidden="1">"c2990"</definedName>
    <definedName name="IQ_STOCK_BASED_COMP" hidden="1">"c1204"</definedName>
    <definedName name="IQ_STOCK_BASED_COMP_PRETAX" hidden="1">"c3510"</definedName>
    <definedName name="IQ_STOCK_BASED_COMP_TAX" hidden="1">"c3511"</definedName>
    <definedName name="IQ_STOCK_BASED_EST" hidden="1">"c4520"</definedName>
    <definedName name="IQ_STOCK_BASED_EST_CIQ" hidden="1">"c5073"</definedName>
    <definedName name="IQ_STOCK_BASED_EXPLORE_DRILL" hidden="1">"c13851"</definedName>
    <definedName name="IQ_STOCK_BASED_GA" hidden="1">"c2993"</definedName>
    <definedName name="IQ_STOCK_BASED_HIGH_EST" hidden="1">"c4521"</definedName>
    <definedName name="IQ_STOCK_BASED_HIGH_EST_CIQ" hidden="1">"c5074"</definedName>
    <definedName name="IQ_STOCK_BASED_LOW_EST" hidden="1">"c4522"</definedName>
    <definedName name="IQ_STOCK_BASED_LOW_EST_CIQ" hidden="1">"c5075"</definedName>
    <definedName name="IQ_STOCK_BASED_MEDIAN_EST" hidden="1">"c4523"</definedName>
    <definedName name="IQ_STOCK_BASED_MEDIAN_EST_CIQ" hidden="1">"c5076"</definedName>
    <definedName name="IQ_STOCK_BASED_NUM_EST" hidden="1">"c4524"</definedName>
    <definedName name="IQ_STOCK_BASED_NUM_EST_CIQ" hidden="1">"c5077"</definedName>
    <definedName name="IQ_STOCK_BASED_OTHER" hidden="1">"c2995"</definedName>
    <definedName name="IQ_STOCK_BASED_RD" hidden="1">"c2991"</definedName>
    <definedName name="IQ_STOCK_BASED_SGA" hidden="1">"c2994"</definedName>
    <definedName name="IQ_STOCK_BASED_SM" hidden="1">"c2992"</definedName>
    <definedName name="IQ_STOCK_BASED_STDDEV_EST" hidden="1">"c4525"</definedName>
    <definedName name="IQ_STOCK_BASED_STDDEV_EST_CIQ" hidden="1">"c5078"</definedName>
    <definedName name="IQ_STOCK_BASED_TOTAL" hidden="1">"c3040"</definedName>
    <definedName name="IQ_STOCK_MARKET_INDEX" hidden="1">"c21101"</definedName>
    <definedName name="IQ_STOCK_OPTIONS_COMP" hidden="1">"c3509"</definedName>
    <definedName name="IQ_STOCK_OPTIONS_COMP_PRETAX" hidden="1">"c3507"</definedName>
    <definedName name="IQ_STOCK_OPTIONS_COMP_TAX" hidden="1">"c3508"</definedName>
    <definedName name="IQ_STRAIGHT_LINE_RENT_ADJ" hidden="1">"c16178"</definedName>
    <definedName name="IQ_STRATEGY_NOTE" hidden="1">"c6791"</definedName>
    <definedName name="IQ_STRIKE_PRICE_ISSUED" hidden="1">"c1645"</definedName>
    <definedName name="IQ_STRIKE_PRICE_OS" hidden="1">"c1646"</definedName>
    <definedName name="IQ_STRIPS_RECEIVABLE_MORTGAGE_LOANS_FFIEC" hidden="1">"c12844"</definedName>
    <definedName name="IQ_STRIPS_RECEIVABLE_OTHER_FFIEC" hidden="1">"c12845"</definedName>
    <definedName name="IQ_STRUCT_FIN_CLASS" hidden="1">"c8950"</definedName>
    <definedName name="IQ_STRUCT_FIN_SERIES" hidden="1">"c8956"</definedName>
    <definedName name="IQ_STRUCTURED_NOTES_INVEST_SECURITIES_FFIEC" hidden="1">"c13468"</definedName>
    <definedName name="IQ_STRUCTURING_NOTES_TIER_1_FFIEC" hidden="1">"c13344"</definedName>
    <definedName name="IQ_STW" hidden="1">"c2166"</definedName>
    <definedName name="IQ_STYLE_GROWTH_VALUE" hidden="1">"c19203"</definedName>
    <definedName name="IQ_STYLE_HIGH_YIELD" hidden="1">"c19204"</definedName>
    <definedName name="IQ_STYLE_MARKET_CAP" hidden="1">"c19202"</definedName>
    <definedName name="IQ_STYLE_REPORTED" hidden="1">"c19205"</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FDIC" hidden="1">"c6346"</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UB_NOTES_DEBENTURES_FAIR_VALUE_TOT_FFIEC" hidden="1">"c15410"</definedName>
    <definedName name="IQ_SUB_NOTES_DEBENTURES_FFIEC" hidden="1">"c12867"</definedName>
    <definedName name="IQ_SUB_NOTES_DEBENTURES_LEVEL_1_FFIEC" hidden="1">"c15432"</definedName>
    <definedName name="IQ_SUB_NOTES_DEBENTURES_LEVEL_2_FFIEC" hidden="1">"c15445"</definedName>
    <definedName name="IQ_SUB_NOTES_DEBENTURES_LEVEL_3_FFIEC" hidden="1">"c15458"</definedName>
    <definedName name="IQ_SUB_NOTES_PAYABLE_UNCONSOLIDATED_TRUSTS_FFIEC" hidden="1">"c12868"</definedName>
    <definedName name="IQ_SUBS_ANALOG_CABLE" hidden="1">"c2855"</definedName>
    <definedName name="IQ_SUBS_BASIC_CABLE" hidden="1">"c16205"</definedName>
    <definedName name="IQ_SUBS_BBAND" hidden="1">"c2858"</definedName>
    <definedName name="IQ_SUBS_BUNDLED" hidden="1">"c2861"</definedName>
    <definedName name="IQ_SUBS_DIG_CABLE" hidden="1">"c2856"</definedName>
    <definedName name="IQ_SUBS_NON_VIDEO" hidden="1">"c2860"</definedName>
    <definedName name="IQ_SUBS_PHONE" hidden="1">"c2859"</definedName>
    <definedName name="IQ_SUBS_POSTPAID_WIRELESS" hidden="1">"c2118"</definedName>
    <definedName name="IQ_SUBS_PREPAID_WIRELESS" hidden="1">"c2117"</definedName>
    <definedName name="IQ_SUBS_RESELL_WHOLESALE_WIRELESS" hidden="1">"c15749"</definedName>
    <definedName name="IQ_SUBS_TOTAL" hidden="1">"c2862"</definedName>
    <definedName name="IQ_SUBS_TOTAL_WIRELESS" hidden="1">"c2119"</definedName>
    <definedName name="IQ_SUBS_VIDEO" hidden="1">"c2857"</definedName>
    <definedName name="IQ_SUPPLIES_FFIEC" hidden="1">"c13050"</definedName>
    <definedName name="IQ_SUPPORT_INFRASTRUCTURE_CABLE_INVEST" hidden="1">"c15805"</definedName>
    <definedName name="IQ_SURFACE_RESERVES_COAL" hidden="1">"c15920"</definedName>
    <definedName name="IQ_SURFACE_RESERVES_TO_TOTAL_RESERVES_COAL" hidden="1">"c15959"</definedName>
    <definedName name="IQ_SURPLUS_FDIC" hidden="1">"c6351"</definedName>
    <definedName name="IQ_SURPLUS_FFIEC" hidden="1">"c12877"</definedName>
    <definedName name="IQ_SVA" hidden="1">"c1214"</definedName>
    <definedName name="IQ_SYMBOL_RT" hidden="1">"SYMBOL"</definedName>
    <definedName name="IQ_SYNTHETIC_STRUCTURED_PRODUCTS_AVAIL_SALE_FFIEC" hidden="1">"c15264"</definedName>
    <definedName name="IQ_SYNTHETIC_STRUCTURED_PRODUCTS_FFIEC" hidden="1">"c15261"</definedName>
    <definedName name="IQ_TANGIBLE_ASSETS_FFIEC" hidden="1">"c13916"</definedName>
    <definedName name="IQ_TANGIBLE_COMMON_EQUITY_FFIEC" hidden="1">"c13914"</definedName>
    <definedName name="IQ_TANGIBLE_EQUITY_ASSETS_FFIEC" hidden="1">"c13346"</definedName>
    <definedName name="IQ_TANGIBLE_EQUITY_FFIEC" hidden="1">"c13915"</definedName>
    <definedName name="IQ_TANGIBLE_TIER_1_LEVERAGE_FFIEC" hidden="1">"c13345"</definedName>
    <definedName name="IQ_TARGET_PRICE_DET_EST" hidden="1">"c12070"</definedName>
    <definedName name="IQ_TARGET_PRICE_DET_EST_CURRENCY" hidden="1">"c12475"</definedName>
    <definedName name="IQ_TARGET_PRICE_DET_EST_CURRENCY_THOM" hidden="1">"c12498"</definedName>
    <definedName name="IQ_TARGET_PRICE_DET_EST_DATE" hidden="1">"c12223"</definedName>
    <definedName name="IQ_TARGET_PRICE_DET_EST_DATE_THOM" hidden="1">"c12251"</definedName>
    <definedName name="IQ_TARGET_PRICE_DET_EST_INCL" hidden="1">"c12358"</definedName>
    <definedName name="IQ_TARGET_PRICE_DET_EST_INCL_THOM" hidden="1">"c12381"</definedName>
    <definedName name="IQ_TARGET_PRICE_DET_EST_ORIGIN" hidden="1">"c12729"</definedName>
    <definedName name="IQ_TARGET_PRICE_DET_EST_ORIGIN_THOM" hidden="1">"c12621"</definedName>
    <definedName name="IQ_TARGET_PRICE_DET_EST_THOM" hidden="1">"c12101"</definedName>
    <definedName name="IQ_TARGET_PRICE_LASTCLOSE" hidden="1">"c1855"</definedName>
    <definedName name="IQ_TARGET_PRICE_NUM" hidden="1">"c1653"</definedName>
    <definedName name="IQ_TARGET_PRICE_NUM_CIQ" hidden="1">"c4661"</definedName>
    <definedName name="IQ_TARGET_PRICE_NUM_REUT" hidden="1">"c5319"</definedName>
    <definedName name="IQ_TARGET_PRICE_NUM_THOM" hidden="1">"c5098"</definedName>
    <definedName name="IQ_TARGET_PRICE_STDDEV" hidden="1">"c1654"</definedName>
    <definedName name="IQ_TARGET_PRICE_STDDEV_CIQ" hidden="1">"c4662"</definedName>
    <definedName name="IQ_TARGET_PRICE_STDDEV_REUT" hidden="1">"c5320"</definedName>
    <definedName name="IQ_TARGET_PRICE_STDDEV_THOM" hidden="1">"c5099"</definedName>
    <definedName name="IQ_TARP_INIT_INVEST_AMT" hidden="1">"c17863"</definedName>
    <definedName name="IQ_TARP_INIT_INVEST_DATE_ANN" hidden="1">"c17861"</definedName>
    <definedName name="IQ_TARP_INIT_INVEST_DATE_CLOSED" hidden="1">"c17862"</definedName>
    <definedName name="IQ_TARP_INVESTOR_STATUS" hidden="1">"c17865"</definedName>
    <definedName name="IQ_TARP_REMAINING_AMT" hidden="1">"c17869"</definedName>
    <definedName name="IQ_TARP_REMAINING_SEC_DES" hidden="1">"c17870"</definedName>
    <definedName name="IQ_TARP_REPAYMENT_DISP" hidden="1">"c17866"</definedName>
    <definedName name="IQ_TARP_REPAYMENT_DISP_AMT" hidden="1">"c17868"</definedName>
    <definedName name="IQ_TARP_REPAYMENT_DISP_DATE" hidden="1">"c17867"</definedName>
    <definedName name="IQ_TARP_ROUND" hidden="1">"c17859"</definedName>
    <definedName name="IQ_TARP_STATUS" hidden="1">"c17864"</definedName>
    <definedName name="IQ_TARP_TR_AMT" hidden="1">"c17857"</definedName>
    <definedName name="IQ_TARP_TR_DATE" hidden="1">"c17856"</definedName>
    <definedName name="IQ_TARP_TR_TYPE" hidden="1">"c17858"</definedName>
    <definedName name="IQ_TARP_TRANSACTION_ID" hidden="1">"c17871"</definedName>
    <definedName name="IQ_TAX_BENEFIT_CF_1YR" hidden="1">"c3483"</definedName>
    <definedName name="IQ_TAX_BENEFIT_CF_2YR" hidden="1">"c3484"</definedName>
    <definedName name="IQ_TAX_BENEFIT_CF_3YR" hidden="1">"c3485"</definedName>
    <definedName name="IQ_TAX_BENEFIT_CF_4YR" hidden="1">"c3486"</definedName>
    <definedName name="IQ_TAX_BENEFIT_CF_5YR" hidden="1">"c3487"</definedName>
    <definedName name="IQ_TAX_BENEFIT_CF_AFTER_FIVE" hidden="1">"c3488"</definedName>
    <definedName name="IQ_TAX_BENEFIT_CF_MAX_YEAR" hidden="1">"c3491"</definedName>
    <definedName name="IQ_TAX_BENEFIT_CF_NO_EXP" hidden="1">"c3489"</definedName>
    <definedName name="IQ_TAX_BENEFIT_CF_TOTAL" hidden="1">"c3490"</definedName>
    <definedName name="IQ_TAX_BENEFIT_OPTIONS" hidden="1">"c1215"</definedName>
    <definedName name="IQ_TAX_EQUIV_NET_INT_INC" hidden="1">"c1216"</definedName>
    <definedName name="IQ_TAX_EQUIVALENT_ADJUSTMENTS_FFIEC" hidden="1">"c13854"</definedName>
    <definedName name="IQ_TAX_OTHER_EXP_AP" hidden="1">"c8878"</definedName>
    <definedName name="IQ_TAX_OTHER_EXP_AP_ABS" hidden="1">"c8897"</definedName>
    <definedName name="IQ_TAX_OTHER_EXP_NAME_AP" hidden="1">"c8916"</definedName>
    <definedName name="IQ_TAX_OTHER_EXP_NAME_AP_ABS" hidden="1">"c8935"</definedName>
    <definedName name="IQ_TAXES_ADJ_NOI_FFIEC" hidden="1">"c13395"</definedName>
    <definedName name="IQ_TAXES_NOI_FFIEC" hidden="1">"c13394"</definedName>
    <definedName name="IQ_TAXES_TE_AVG_ASSETS_FFIEC" hidden="1">"c13366"</definedName>
    <definedName name="IQ_TBV" hidden="1">"c1906"</definedName>
    <definedName name="IQ_TBV_10YR_ANN_CAGR" hidden="1">"c6169"</definedName>
    <definedName name="IQ_TBV_10YR_ANN_GROWTH" hidden="1">"c1936"</definedName>
    <definedName name="IQ_TBV_1YR_ANN_GROWTH" hidden="1">"c1931"</definedName>
    <definedName name="IQ_TBV_2YR_ANN_CAGR" hidden="1">"c6165"</definedName>
    <definedName name="IQ_TBV_2YR_ANN_GROWTH" hidden="1">"c1932"</definedName>
    <definedName name="IQ_TBV_3YR_ANN_CAGR" hidden="1">"c6166"</definedName>
    <definedName name="IQ_TBV_3YR_ANN_GROWTH" hidden="1">"c1933"</definedName>
    <definedName name="IQ_TBV_5YR_ANN_CAGR" hidden="1">"c6167"</definedName>
    <definedName name="IQ_TBV_5YR_ANN_GROWTH" hidden="1">"c1934"</definedName>
    <definedName name="IQ_TBV_7YR_ANN_CAGR" hidden="1">"c6168"</definedName>
    <definedName name="IQ_TBV_7YR_ANN_GROWTH" hidden="1">"c1935"</definedName>
    <definedName name="IQ_TBV_EXCL_FFIEC" hidden="1">"c13516"</definedName>
    <definedName name="IQ_TBV_SHARE" hidden="1">"c1217"</definedName>
    <definedName name="IQ_TBV_SHARE_REPORTED" hidden="1">"c19140"</definedName>
    <definedName name="IQ_TELECOM_FFIEC" hidden="1">"c13057"</definedName>
    <definedName name="IQ_TEMPLATE" hidden="1">"c1521"</definedName>
    <definedName name="IQ_TENANT" hidden="1">"c1218"</definedName>
    <definedName name="IQ_TENANT_LEASE_COMMISSION" hidden="1">"c16177"</definedName>
    <definedName name="IQ_TERM_LOANS" hidden="1">"c2499"</definedName>
    <definedName name="IQ_TERM_LOANS_PCT" hidden="1">"c2500"</definedName>
    <definedName name="IQ_TEV" hidden="1">"c1219"</definedName>
    <definedName name="IQ_TEV_DET_EST_CURRENCY_THOM" hidden="1">"c12499"</definedName>
    <definedName name="IQ_TEV_DET_EST_DATE_THOM" hidden="1">"c12252"</definedName>
    <definedName name="IQ_TEV_DET_EST_INCL_THOM" hidden="1">"c12382"</definedName>
    <definedName name="IQ_TEV_DET_EST_ORIGIN_THOM" hidden="1">"c12709"</definedName>
    <definedName name="IQ_TEV_DET_EST_THOM" hidden="1">"c12102"</definedName>
    <definedName name="IQ_TEV_EBIT" hidden="1">"c1220"</definedName>
    <definedName name="IQ_TEV_EBIT_AVG" hidden="1">"c1221"</definedName>
    <definedName name="IQ_TEV_EBIT_FWD" hidden="1">"c2238"</definedName>
    <definedName name="IQ_TEV_EBIT_FWD_CIQ" hidden="1">"c4047"</definedName>
    <definedName name="IQ_TEV_EBIT_FWD_REUT" hidden="1">"c4054"</definedName>
    <definedName name="IQ_TEV_EBIT_FWD_THOM" hidden="1">"c4061"</definedName>
    <definedName name="IQ_TEV_EBITDA" hidden="1">"c1222"</definedName>
    <definedName name="IQ_TEV_EBITDA_AVG" hidden="1">"c1223"</definedName>
    <definedName name="IQ_TEV_EBITDA_FWD" hidden="1">"c1224"</definedName>
    <definedName name="IQ_TEV_EBITDA_FWD_CIQ" hidden="1">"c4043"</definedName>
    <definedName name="IQ_TEV_EBITDA_FWD_REUT" hidden="1">"c4050"</definedName>
    <definedName name="IQ_TEV_EBITDA_FWD_THOM" hidden="1">"c4057"</definedName>
    <definedName name="IQ_TEV_EMPLOYEE_AVG" hidden="1">"c1225"</definedName>
    <definedName name="IQ_TEV_EST" hidden="1">"c4526"</definedName>
    <definedName name="IQ_TEV_EST_CIQ" hidden="1">"c5079"</definedName>
    <definedName name="IQ_TEV_EST_THOM" hidden="1">"c5529"</definedName>
    <definedName name="IQ_TEV_HIGH_EST" hidden="1">"c4527"</definedName>
    <definedName name="IQ_TEV_HIGH_EST_CIQ" hidden="1">"c5080"</definedName>
    <definedName name="IQ_TEV_HIGH_EST_THOM" hidden="1">"c5530"</definedName>
    <definedName name="IQ_TEV_LOW_EST" hidden="1">"c4528"</definedName>
    <definedName name="IQ_TEV_LOW_EST_CIQ" hidden="1">"c5081"</definedName>
    <definedName name="IQ_TEV_LOW_EST_THOM" hidden="1">"c5531"</definedName>
    <definedName name="IQ_TEV_MEDIAN_EST" hidden="1">"c4529"</definedName>
    <definedName name="IQ_TEV_MEDIAN_EST_CIQ" hidden="1">"c5082"</definedName>
    <definedName name="IQ_TEV_MEDIAN_EST_THOM" hidden="1">"c5532"</definedName>
    <definedName name="IQ_TEV_NUM_EST" hidden="1">"c4530"</definedName>
    <definedName name="IQ_TEV_NUM_EST_CIQ" hidden="1">"c5083"</definedName>
    <definedName name="IQ_TEV_NUM_EST_THOM" hidden="1">"c5533"</definedName>
    <definedName name="IQ_TEV_STDDEV_EST" hidden="1">"c4531"</definedName>
    <definedName name="IQ_TEV_STDDEV_EST_CIQ" hidden="1">"c5084"</definedName>
    <definedName name="IQ_TEV_STDDEV_EST_THOM" hidden="1">"c5534"</definedName>
    <definedName name="IQ_TEV_TOTAL_REV" hidden="1">"c1226"</definedName>
    <definedName name="IQ_TEV_TOTAL_REV_AVG" hidden="1">"c1227"</definedName>
    <definedName name="IQ_TEV_TOTAL_REV_FWD" hidden="1">"c1228"</definedName>
    <definedName name="IQ_TEV_TOTAL_REV_FWD_CIQ" hidden="1">"c4044"</definedName>
    <definedName name="IQ_TEV_TOTAL_REV_FWD_REUT" hidden="1">"c4051"</definedName>
    <definedName name="IQ_TEV_TOTAL_REV_FWD_THOM" hidden="1">"c4058"</definedName>
    <definedName name="IQ_TEV_UFCF" hidden="1">"c2208"</definedName>
    <definedName name="IQ_THREE_MONTHS_FIXED_AND_FLOATING_FDIC" hidden="1">"c6419"</definedName>
    <definedName name="IQ_THREE_MONTHS_MORTGAGE_PASS_THROUGHS_FDIC" hidden="1">"c6411"</definedName>
    <definedName name="IQ_THREE_YEAR_FIXED_AND_FLOATING_RATE_FDIC" hidden="1">"c6421"</definedName>
    <definedName name="IQ_THREE_YEAR_MORTGAGE_PASS_THROUGHS_FDIC" hidden="1">"c6413"</definedName>
    <definedName name="IQ_THREE_YEARS_LESS_FDIC" hidden="1">"c6417"</definedName>
    <definedName name="IQ_TIER_1_CAPITAL_BEFORE_CHARGES_T1_FFIEC" hidden="1">"c13139"</definedName>
    <definedName name="IQ_TIER_1_CAPITAL_FFIEC" hidden="1">"c13143"</definedName>
    <definedName name="IQ_TIER_1_LEVERAGE_RATIO_FFIEC" hidden="1">"c13160"</definedName>
    <definedName name="IQ_TIER_1_RISK_BASED_CAPITAL_RATIO_FDIC" hidden="1">"c6746"</definedName>
    <definedName name="IQ_TIER_1_RISK_BASED_CAPITAL_RATIO_FFIEC" hidden="1">"c13161"</definedName>
    <definedName name="IQ_TIER_2_CAPITAL_FFIEC" hidden="1">"c13149"</definedName>
    <definedName name="IQ_TIER_3_CAPITAL_ALLOCATED_MARKET_RISK_FFIEC" hidden="1">"c13151"</definedName>
    <definedName name="IQ_TIER_ONE_CAPITAL" hidden="1">"c2667"</definedName>
    <definedName name="IQ_TIER_ONE_FDIC" hidden="1">"c6369"</definedName>
    <definedName name="IQ_TIER_ONE_RATIO" hidden="1">"c1229"</definedName>
    <definedName name="IQ_TIER_TWO_CAPITAL" hidden="1">"c2669"</definedName>
    <definedName name="IQ_TIER_TWO_CAPITAL_RATIO" hidden="1">"c15241"</definedName>
    <definedName name="IQ_TIME_DEP" hidden="1">"c1230"</definedName>
    <definedName name="IQ_TIME_DEPOSIT_LESS_100000_QUARTERLY_AVG_FFIEC" hidden="1">"c15487"</definedName>
    <definedName name="IQ_TIME_DEPOSIT_MORE_100000_QUARTERLY_AVG_FFIEC" hidden="1">"c15486"</definedName>
    <definedName name="IQ_TIME_DEPOSITS_LESS_100K_OTHER_INSTITUTIONS_FFIEC" hidden="1">"c12953"</definedName>
    <definedName name="IQ_TIME_DEPOSITS_LESS_100K_TOT_DEPOSITS_FFIEC" hidden="1">"c13907"</definedName>
    <definedName name="IQ_TIME_DEPOSITS_LESS_THAN_100K_FDIC" hidden="1">"c6465"</definedName>
    <definedName name="IQ_TIME_DEPOSITS_MORE_100K_OTHER_INSTITUTIONS_FFIEC" hidden="1">"c12954"</definedName>
    <definedName name="IQ_TIME_DEPOSITS_MORE_100K_TOT_DEPOSITS_FFIEC" hidden="1">"c13906"</definedName>
    <definedName name="IQ_TIME_DEPOSITS_MORE_THAN_100K_FDIC" hidden="1">"c6470"</definedName>
    <definedName name="IQ_TIME_DEPOSITS_TOTAL_DEPOSITS" hidden="1">"c15723"</definedName>
    <definedName name="IQ_TODAY" hidden="1">0</definedName>
    <definedName name="IQ_TOT_1_4_FAM_LOANS_TOT_LOANS_FFIEC" hidden="1">"c13868"</definedName>
    <definedName name="IQ_TOT_ADJ_INC" hidden="1">"c1616"</definedName>
    <definedName name="IQ_TOT_LEASES_TOT_LOANS_FFIEC" hidden="1">"c13876"</definedName>
    <definedName name="IQ_TOT_NON_RE_LOANS_TOT_LOANS_FFIEC" hidden="1">"c13877"</definedName>
    <definedName name="IQ_TOT_NONTRANS_ACCTS_TOT_DEPOSITS_FFIEC" hidden="1">"c13909"</definedName>
    <definedName name="IQ_TOT_RE_LOANS_TOT_LOANS_FFIEC" hidden="1">"c13873"</definedName>
    <definedName name="IQ_TOT_TIME_DEPOSITS_TOT_DEPOSITS_FFIEC" hidden="1">"c13908"</definedName>
    <definedName name="IQ_TOTAL_AR_BR" hidden="1">"c1231"</definedName>
    <definedName name="IQ_TOTAL_AR_CM" hidden="1">"c1231"</definedName>
    <definedName name="IQ_TOTAL_AR_RE" hidden="1">"c6270"</definedName>
    <definedName name="IQ_TOTAL_AR_REIT" hidden="1">"c1232"</definedName>
    <definedName name="IQ_TOTAL_AR_UTI" hidden="1">"c1233"</definedName>
    <definedName name="IQ_TOTAL_ASSETS" hidden="1">"c1234"</definedName>
    <definedName name="IQ_TOTAL_ASSETS_10YR_ANN_CAGR" hidden="1">"c6140"</definedName>
    <definedName name="IQ_TOTAL_ASSETS_10YR_ANN_GROWTH" hidden="1">"c1235"</definedName>
    <definedName name="IQ_TOTAL_ASSETS_1YR_ANN_GROWTH" hidden="1">"c1236"</definedName>
    <definedName name="IQ_TOTAL_ASSETS_2YR_ANN_CAGR" hidden="1">"c6141"</definedName>
    <definedName name="IQ_TOTAL_ASSETS_2YR_ANN_GROWTH" hidden="1">"c1237"</definedName>
    <definedName name="IQ_TOTAL_ASSETS_3YR_ANN_CAGR" hidden="1">"c6142"</definedName>
    <definedName name="IQ_TOTAL_ASSETS_3YR_ANN_GROWTH" hidden="1">"c1238"</definedName>
    <definedName name="IQ_TOTAL_ASSETS_5YR_ANN_CAGR" hidden="1">"c6143"</definedName>
    <definedName name="IQ_TOTAL_ASSETS_5YR_ANN_GROWTH" hidden="1">"c1239"</definedName>
    <definedName name="IQ_TOTAL_ASSETS_7YR_ANN_CAGR" hidden="1">"c6144"</definedName>
    <definedName name="IQ_TOTAL_ASSETS_7YR_ANN_GROWTH" hidden="1">"c1240"</definedName>
    <definedName name="IQ_TOTAL_ASSETS_BNK_SUBTOTAL_AP" hidden="1">"c13644"</definedName>
    <definedName name="IQ_TOTAL_ASSETS_FAIR_VALUE_TOT_FFIEC" hidden="1">"c15405"</definedName>
    <definedName name="IQ_TOTAL_ASSETS_FDIC" hidden="1">"c6339"</definedName>
    <definedName name="IQ_TOTAL_ASSETS_FFIEC" hidden="1">"c12849"</definedName>
    <definedName name="IQ_TOTAL_ASSETS_LEVEL_1_FFIEC" hidden="1">"c15427"</definedName>
    <definedName name="IQ_TOTAL_ASSETS_LEVEL_2_FFIEC" hidden="1">"c15440"</definedName>
    <definedName name="IQ_TOTAL_ASSETS_LEVEL_3_FFIEC" hidden="1">"c15453"</definedName>
    <definedName name="IQ_TOTAL_ASSETS_LH_FFIEC" hidden="1">"c13106"</definedName>
    <definedName name="IQ_TOTAL_ASSETS_PC_FFIEC" hidden="1">"c13099"</definedName>
    <definedName name="IQ_TOTAL_ASSETS_SUBTOTAL_AP" hidden="1">"c8985"</definedName>
    <definedName name="IQ_TOTAL_ATTRIB_ORE_RESOURCES_ALUM" hidden="1">"c9241"</definedName>
    <definedName name="IQ_TOTAL_ATTRIB_ORE_RESOURCES_COP" hidden="1">"c9185"</definedName>
    <definedName name="IQ_TOTAL_ATTRIB_ORE_RESOURCES_DIAM" hidden="1">"c9665"</definedName>
    <definedName name="IQ_TOTAL_ATTRIB_ORE_RESOURCES_GOLD" hidden="1">"c9026"</definedName>
    <definedName name="IQ_TOTAL_ATTRIB_ORE_RESOURCES_IRON" hidden="1">"c9400"</definedName>
    <definedName name="IQ_TOTAL_ATTRIB_ORE_RESOURCES_LEAD" hidden="1">"c9453"</definedName>
    <definedName name="IQ_TOTAL_ATTRIB_ORE_RESOURCES_MANG" hidden="1">"c9506"</definedName>
    <definedName name="IQ_TOTAL_ATTRIB_ORE_RESOURCES_MOLYB" hidden="1">"c9718"</definedName>
    <definedName name="IQ_TOTAL_ATTRIB_ORE_RESOURCES_NICK" hidden="1">"c9294"</definedName>
    <definedName name="IQ_TOTAL_ATTRIB_ORE_RESOURCES_PLAT" hidden="1">"c9132"</definedName>
    <definedName name="IQ_TOTAL_ATTRIB_ORE_RESOURCES_SILVER" hidden="1">"c9079"</definedName>
    <definedName name="IQ_TOTAL_ATTRIB_ORE_RESOURCES_TITAN" hidden="1">"c9559"</definedName>
    <definedName name="IQ_TOTAL_ATTRIB_ORE_RESOURCES_URAN" hidden="1">"c9612"</definedName>
    <definedName name="IQ_TOTAL_ATTRIB_ORE_RESOURCES_ZINC" hidden="1">"c9347"</definedName>
    <definedName name="IQ_TOTAL_AVG_CE_TOTAL_AVG_ASSETS" hidden="1">"c1241"</definedName>
    <definedName name="IQ_TOTAL_AVG_EQUITY_TOTAL_AVG_ASSETS" hidden="1">"c1242"</definedName>
    <definedName name="IQ_TOTAL_BANK_CAPITAL" hidden="1">"c2668"</definedName>
    <definedName name="IQ_TOTAL_BEDS" hidden="1">"c8785"</definedName>
    <definedName name="IQ_TOTAL_BROKERED_DEPOSIT_FFIEC" hidden="1">"c15304"</definedName>
    <definedName name="IQ_TOTAL_CA" hidden="1">"c1243"</definedName>
    <definedName name="IQ_TOTAL_CA_SUBTOTAL_AP" hidden="1">"c8986"</definedName>
    <definedName name="IQ_TOTAL_CAP" hidden="1">"c1507"</definedName>
    <definedName name="IQ_TOTAL_CAPITAL_RATIO" hidden="1">"c1244"</definedName>
    <definedName name="IQ_TOTAL_CASH_DIVID" hidden="1">"c1266"</definedName>
    <definedName name="IQ_TOTAL_CASH_DUE_DEPOSITORY_INSTIT_DOM_FFIEC" hidden="1">"c15291"</definedName>
    <definedName name="IQ_TOTAL_CASH_DUE_DEPOSITORY_INSTIT_FFIEC" hidden="1">"c15285"</definedName>
    <definedName name="IQ_TOTAL_CASH_FINAN" hidden="1">"c119"</definedName>
    <definedName name="IQ_TOTAL_CASH_INVEST" hidden="1">"c121"</definedName>
    <definedName name="IQ_TOTAL_CASH_OPER" hidden="1">"c122"</definedName>
    <definedName name="IQ_TOTAL_CHARGE_OFFS_FDIC" hidden="1">"c6603"</definedName>
    <definedName name="IQ_TOTAL_CHURN" hidden="1">"c2122"</definedName>
    <definedName name="IQ_TOTAL_CL" hidden="1">"c1245"</definedName>
    <definedName name="IQ_TOTAL_CL_SUBTOTAL_AP" hidden="1">"c8987"</definedName>
    <definedName name="IQ_TOTAL_COAL_PRODUCTION_COAL" hidden="1">"c9824"</definedName>
    <definedName name="IQ_TOTAL_COMMON" hidden="1">"c1022"</definedName>
    <definedName name="IQ_TOTAL_COMMON_EQUITY" hidden="1">"c1246"</definedName>
    <definedName name="IQ_TOTAL_COMMON_EQUITY_FFIEC" hidden="1">"c13913"</definedName>
    <definedName name="IQ_TOTAL_COMMON_EQUITY_TOTAL_ASSETS_FFIEC" hidden="1">"c13864"</definedName>
    <definedName name="IQ_TOTAL_COMMON_SHARES_OUT_FFIEC" hidden="1">"c12955"</definedName>
    <definedName name="IQ_TOTAL_CONSTRUCTION_LL_REC_DOM_FFIEC" hidden="1">"c13515"</definedName>
    <definedName name="IQ_TOTAL_CURRENT_ASSETS" hidden="1">"c1243"</definedName>
    <definedName name="IQ_TOTAL_CURRENT_LIAB" hidden="1">"c1245"</definedName>
    <definedName name="IQ_TOTAL_DEBT" hidden="1">"c1247"</definedName>
    <definedName name="IQ_TOTAL_DEBT_CAPITAL" hidden="1">"c1248"</definedName>
    <definedName name="IQ_TOTAL_DEBT_CURRENT" hidden="1">"c6190"</definedName>
    <definedName name="IQ_TOTAL_DEBT_DUE" hidden="1">"c2509"</definedName>
    <definedName name="IQ_TOTAL_DEBT_EBITDA" hidden="1">"c1249"</definedName>
    <definedName name="IQ_TOTAL_DEBT_EBITDA_CAPEX" hidden="1">"c2948"</definedName>
    <definedName name="IQ_TOTAL_DEBT_EQUITY" hidden="1">"c1250"</definedName>
    <definedName name="IQ_TOTAL_DEBT_EST" hidden="1">"c4532"</definedName>
    <definedName name="IQ_TOTAL_DEBT_EST_CIQ" hidden="1">"c5085"</definedName>
    <definedName name="IQ_TOTAL_DEBT_EXCL_FIN" hidden="1">"c2937"</definedName>
    <definedName name="IQ_TOTAL_DEBT_GUIDANCE" hidden="1">"c4533"</definedName>
    <definedName name="IQ_TOTAL_DEBT_GUIDANCE_CIQ" hidden="1">"c5086"</definedName>
    <definedName name="IQ_TOTAL_DEBT_GUIDANCE_CIQ_COL" hidden="1">"c11733"</definedName>
    <definedName name="IQ_TOTAL_DEBT_HIGH_EST" hidden="1">"c4534"</definedName>
    <definedName name="IQ_TOTAL_DEBT_HIGH_EST_CIQ" hidden="1">"c5087"</definedName>
    <definedName name="IQ_TOTAL_DEBT_HIGH_GUIDANCE" hidden="1">"c4196"</definedName>
    <definedName name="IQ_TOTAL_DEBT_HIGH_GUIDANCE_CIQ" hidden="1">"c4608"</definedName>
    <definedName name="IQ_TOTAL_DEBT_HIGH_GUIDANCE_CIQ_COL" hidden="1">"c11257"</definedName>
    <definedName name="IQ_TOTAL_DEBT_ISSUED" hidden="1">"c1251"</definedName>
    <definedName name="IQ_TOTAL_DEBT_ISSUED_BNK" hidden="1">"c1252"</definedName>
    <definedName name="IQ_TOTAL_DEBT_ISSUED_BR" hidden="1">"c1253"</definedName>
    <definedName name="IQ_TOTAL_DEBT_ISSUED_CM" hidden="1">"c1253"</definedName>
    <definedName name="IQ_TOTAL_DEBT_ISSUED_FIN" hidden="1">"c1254"</definedName>
    <definedName name="IQ_TOTAL_DEBT_ISSUED_RE" hidden="1">"c6271"</definedName>
    <definedName name="IQ_TOTAL_DEBT_ISSUED_REIT" hidden="1">"c1255"</definedName>
    <definedName name="IQ_TOTAL_DEBT_ISSUED_UTI" hidden="1">"c1256"</definedName>
    <definedName name="IQ_TOTAL_DEBT_ISSUES_INS" hidden="1">"c1257"</definedName>
    <definedName name="IQ_TOTAL_DEBT_LOW_EST" hidden="1">"c4535"</definedName>
    <definedName name="IQ_TOTAL_DEBT_LOW_EST_CIQ" hidden="1">"c5088"</definedName>
    <definedName name="IQ_TOTAL_DEBT_LOW_GUIDANCE" hidden="1">"c4236"</definedName>
    <definedName name="IQ_TOTAL_DEBT_LOW_GUIDANCE_CIQ" hidden="1">"c4648"</definedName>
    <definedName name="IQ_TOTAL_DEBT_LOW_GUIDANCE_CIQ_COL" hidden="1">"c11297"</definedName>
    <definedName name="IQ_TOTAL_DEBT_MEDIAN_EST" hidden="1">"c4536"</definedName>
    <definedName name="IQ_TOTAL_DEBT_MEDIAN_EST_CIQ" hidden="1">"c5089"</definedName>
    <definedName name="IQ_TOTAL_DEBT_NON_CURRENT" hidden="1">"c6191"</definedName>
    <definedName name="IQ_TOTAL_DEBT_NUM_EST" hidden="1">"c4537"</definedName>
    <definedName name="IQ_TOTAL_DEBT_NUM_EST_CIQ" hidden="1">"c5090"</definedName>
    <definedName name="IQ_TOTAL_DEBT_OVER_EBITDA" hidden="1">"c1249"</definedName>
    <definedName name="IQ_TOTAL_DEBT_OVER_TOTAL_BV" hidden="1">"c1250"</definedName>
    <definedName name="IQ_TOTAL_DEBT_OVER_TOTAL_CAP" hidden="1">"c1248"</definedName>
    <definedName name="IQ_TOTAL_DEBT_REPAID" hidden="1">"c1258"</definedName>
    <definedName name="IQ_TOTAL_DEBT_REPAID_BNK" hidden="1">"c1259"</definedName>
    <definedName name="IQ_TOTAL_DEBT_REPAID_BR" hidden="1">"c1260"</definedName>
    <definedName name="IQ_TOTAL_DEBT_REPAID_CM" hidden="1">"c1260"</definedName>
    <definedName name="IQ_TOTAL_DEBT_REPAID_FIN" hidden="1">"c1261"</definedName>
    <definedName name="IQ_TOTAL_DEBT_REPAID_INS" hidden="1">"c1262"</definedName>
    <definedName name="IQ_TOTAL_DEBT_REPAID_RE" hidden="1">"c6272"</definedName>
    <definedName name="IQ_TOTAL_DEBT_REPAID_REIT" hidden="1">"c1263"</definedName>
    <definedName name="IQ_TOTAL_DEBT_REPAID_UTI" hidden="1">"c1264"</definedName>
    <definedName name="IQ_TOTAL_DEBT_SECURITIES_FDIC" hidden="1">"c6410"</definedName>
    <definedName name="IQ_TOTAL_DEBT_STDDEV_EST" hidden="1">"c4538"</definedName>
    <definedName name="IQ_TOTAL_DEBT_STDDEV_EST_CIQ" hidden="1">"c5091"</definedName>
    <definedName name="IQ_TOTAL_DEPOSITS" hidden="1">"c1265"</definedName>
    <definedName name="IQ_TOTAL_DEPOSITS_DOM_FFIEC" hidden="1">"c15313"</definedName>
    <definedName name="IQ_TOTAL_DEPOSITS_FDIC" hidden="1">"c6342"</definedName>
    <definedName name="IQ_TOTAL_DEPOSITS_FFIEC" hidden="1">"c13623"</definedName>
    <definedName name="IQ_TOTAL_DEPOSITS_SUPPLE" hidden="1">"c15253"</definedName>
    <definedName name="IQ_TOTAL_DIV_PAID_CF" hidden="1">"c1266"</definedName>
    <definedName name="IQ_TOTAL_EMPLOYEE" hidden="1">"c1522"</definedName>
    <definedName name="IQ_TOTAL_EMPLOYEES" hidden="1">"c1522"</definedName>
    <definedName name="IQ_TOTAL_EMPLOYEES_FDIC" hidden="1">"c6355"</definedName>
    <definedName name="IQ_TOTAL_EQUITY" hidden="1">"c1267"</definedName>
    <definedName name="IQ_TOTAL_EQUITY_10YR_ANN_CAGR" hidden="1">"c6145"</definedName>
    <definedName name="IQ_TOTAL_EQUITY_10YR_ANN_GROWTH" hidden="1">"c1268"</definedName>
    <definedName name="IQ_TOTAL_EQUITY_1YR_ANN_GROWTH" hidden="1">"c1269"</definedName>
    <definedName name="IQ_TOTAL_EQUITY_2YR_ANN_CAGR" hidden="1">"c6146"</definedName>
    <definedName name="IQ_TOTAL_EQUITY_2YR_ANN_GROWTH" hidden="1">"c1270"</definedName>
    <definedName name="IQ_TOTAL_EQUITY_3YR_ANN_CAGR" hidden="1">"c6147"</definedName>
    <definedName name="IQ_TOTAL_EQUITY_3YR_ANN_GROWTH" hidden="1">"c1271"</definedName>
    <definedName name="IQ_TOTAL_EQUITY_5YR_ANN_CAGR" hidden="1">"c6148"</definedName>
    <definedName name="IQ_TOTAL_EQUITY_5YR_ANN_GROWTH" hidden="1">"c1272"</definedName>
    <definedName name="IQ_TOTAL_EQUITY_7YR_ANN_CAGR" hidden="1">"c6149"</definedName>
    <definedName name="IQ_TOTAL_EQUITY_7YR_ANN_GROWTH" hidden="1">"c1273"</definedName>
    <definedName name="IQ_TOTAL_EQUITY_ALLOWANCE_TOTAL_LOANS" hidden="1">"c1274"</definedName>
    <definedName name="IQ_TOTAL_EQUITY_CAPITAL_T1_FFIEC" hidden="1">"c13130"</definedName>
    <definedName name="IQ_TOTAL_EQUITY_FFIEC" hidden="1">"c12881"</definedName>
    <definedName name="IQ_TOTAL_EQUITY_INCL_MINORITY_INTEREST_FFIEC" hidden="1">"c15278"</definedName>
    <definedName name="IQ_TOTAL_EQUITY_LH_FFIEC" hidden="1">"c13109"</definedName>
    <definedName name="IQ_TOTAL_EQUITY_PC_FFIEC" hidden="1">"c13102"</definedName>
    <definedName name="IQ_TOTAL_EQUITY_SUBTOTAL_AP" hidden="1">"c8989"</definedName>
    <definedName name="IQ_TOTAL_EQUITY_TOTAL_ASSETS_FFIEC" hidden="1">"c13863"</definedName>
    <definedName name="IQ_TOTAL_FOREIGN_DEPOSITS_FFIEC" hidden="1">"c15348"</definedName>
    <definedName name="IQ_TOTAL_FOREIGN_LOANS_QUARTERLY_AVG_FFIEC" hidden="1">"c15482"</definedName>
    <definedName name="IQ_TOTAL_IBF_ASSETS_CONSOL_BANK_FFIEC" hidden="1">"c15299"</definedName>
    <definedName name="IQ_TOTAL_IBF_LIABILITIES_FFIEC" hidden="1">"c15302"</definedName>
    <definedName name="IQ_TOTAL_IBF_LL_REC_FFIEC" hidden="1">"c15297"</definedName>
    <definedName name="IQ_TOTAL_INT_EXPENSE_FFIEC" hidden="1">"c13000"</definedName>
    <definedName name="IQ_TOTAL_INT_INCOME_FFIEC" hidden="1">"c12989"</definedName>
    <definedName name="IQ_TOTAL_INTEREST_EXP" hidden="1">"c591"</definedName>
    <definedName name="IQ_TOTAL_INTEREST_EXP_FOREIGN_FFIEC" hidden="1">"c15374"</definedName>
    <definedName name="IQ_TOTAL_INTEREST_INC_FOREIGN_FFIEC" hidden="1">"c15373"</definedName>
    <definedName name="IQ_TOTAL_INVENTORY" hidden="1">"c622"</definedName>
    <definedName name="IQ_TOTAL_INVEST" hidden="1">"c1275"</definedName>
    <definedName name="IQ_TOTAL_IRA_KEOGH_PLAN_ACCOUNTS_FFIEC" hidden="1">"c15303"</definedName>
    <definedName name="IQ_TOTAL_LIAB" hidden="1">"c1276"</definedName>
    <definedName name="IQ_TOTAL_LIAB_BNK" hidden="1">"c1277"</definedName>
    <definedName name="IQ_TOTAL_LIAB_BR" hidden="1">"c1278"</definedName>
    <definedName name="IQ_TOTAL_LIAB_CM" hidden="1">"c1278"</definedName>
    <definedName name="IQ_TOTAL_LIAB_EQUITY" hidden="1">"c1279"</definedName>
    <definedName name="IQ_TOTAL_LIAB_EQUITY_FDIC" hidden="1">"c6354"</definedName>
    <definedName name="IQ_TOTAL_LIAB_EQUITY_SUBTOTAL_AP" hidden="1">"c8988"</definedName>
    <definedName name="IQ_TOTAL_LIAB_FIN" hidden="1">"c1280"</definedName>
    <definedName name="IQ_TOTAL_LIAB_INS" hidden="1">"c1281"</definedName>
    <definedName name="IQ_TOTAL_LIAB_RE" hidden="1">"c6273"</definedName>
    <definedName name="IQ_TOTAL_LIAB_REIT" hidden="1">"c1282"</definedName>
    <definedName name="IQ_TOTAL_LIAB_SHAREHOLD" hidden="1">"c1279"</definedName>
    <definedName name="IQ_TOTAL_LIAB_TOTAL_ASSETS" hidden="1">"c1283"</definedName>
    <definedName name="IQ_TOTAL_LIABILITIES_EQUITY_FFIEC" hidden="1">"c12882"</definedName>
    <definedName name="IQ_TOTAL_LIABILITIES_FAIR_VALUE_TOT_FFIEC" hidden="1">"c15411"</definedName>
    <definedName name="IQ_TOTAL_LIABILITIES_FDIC" hidden="1">"c6348"</definedName>
    <definedName name="IQ_TOTAL_LIABILITIES_FFIEC" hidden="1">"c12873"</definedName>
    <definedName name="IQ_TOTAL_LIABILITIES_LEVEL_1_FFIEC" hidden="1">"c15433"</definedName>
    <definedName name="IQ_TOTAL_LIABILITIES_LEVEL_2_FFIEC" hidden="1">"c15446"</definedName>
    <definedName name="IQ_TOTAL_LIABILITIES_LEVEL_3_FFIEC" hidden="1">"c15459"</definedName>
    <definedName name="IQ_TOTAL_LL_REC_DOM_FFIEC" hidden="1">"c12917"</definedName>
    <definedName name="IQ_TOTAL_LL_REC_FFIEC" hidden="1">"c12898"</definedName>
    <definedName name="IQ_TOTAL_LOANS" hidden="1">"c5653"</definedName>
    <definedName name="IQ_TOTAL_LOANS_DOM_QUARTERLY_AVG_FFIEC" hidden="1">"c15475"</definedName>
    <definedName name="IQ_TOTAL_LOANS_LEASES_AND_OTHER_DUE_30_89_FFIEC" hidden="1">"c15416"</definedName>
    <definedName name="IQ_TOTAL_LOANS_LEASES_AND_OTHER_DUE_90_FFIEC" hidden="1">"c15420"</definedName>
    <definedName name="IQ_TOTAL_LOANS_LEASES_AND_OTHER_NON_ACCRUAL_FFIEC" hidden="1">"c15466"</definedName>
    <definedName name="IQ_TOTAL_LOANS_LEASES_CHARGE_OFFS_FFIEC" hidden="1">"c13186"</definedName>
    <definedName name="IQ_TOTAL_LOANS_LEASES_DUE_30_89_FFIEC" hidden="1">"c13280"</definedName>
    <definedName name="IQ_TOTAL_LOANS_LEASES_DUE_90_FFIEC" hidden="1">"c13306"</definedName>
    <definedName name="IQ_TOTAL_LOANS_LEASES_NON_ACCRUAL_FFIEC" hidden="1">"c13757"</definedName>
    <definedName name="IQ_TOTAL_LOANS_LEASES_RECOV_FFIEC" hidden="1">"c13208"</definedName>
    <definedName name="IQ_TOTAL_LONG_DEBT" hidden="1">"c1617"</definedName>
    <definedName name="IQ_TOTAL_NON_REC" hidden="1">"c1444"</definedName>
    <definedName name="IQ_TOTAL_NON_TRANS_ACCTS_FFIEC" hidden="1">"c15328"</definedName>
    <definedName name="IQ_TOTAL_NONINTEREST_EXPENSE_FOREIGN_FFIEC" hidden="1">"c15386"</definedName>
    <definedName name="IQ_TOTAL_OPER_EXP_BR" hidden="1">"c1284"</definedName>
    <definedName name="IQ_TOTAL_OPER_EXP_CM" hidden="1">"c1284"</definedName>
    <definedName name="IQ_TOTAL_OPER_EXP_FIN" hidden="1">"c1285"</definedName>
    <definedName name="IQ_TOTAL_OPER_EXP_INS" hidden="1">"c1286"</definedName>
    <definedName name="IQ_TOTAL_OPER_EXP_RE" hidden="1">"c6274"</definedName>
    <definedName name="IQ_TOTAL_OPER_EXP_REIT" hidden="1">"c1287"</definedName>
    <definedName name="IQ_TOTAL_OPER_EXP_UTI" hidden="1">"c1288"</definedName>
    <definedName name="IQ_TOTAL_OPER_EXPEN" hidden="1">"c1445"</definedName>
    <definedName name="IQ_TOTAL_OPERATING_EXPENSE" hidden="1">"c16047"</definedName>
    <definedName name="IQ_TOTAL_OPERATING_REVENUE" hidden="1">"c16030"</definedName>
    <definedName name="IQ_TOTAL_OPTIONS_BEG_OS" hidden="1">"c2693"</definedName>
    <definedName name="IQ_TOTAL_OPTIONS_CANCELLED" hidden="1">"c2696"</definedName>
    <definedName name="IQ_TOTAL_OPTIONS_END_OS" hidden="1">"c2697"</definedName>
    <definedName name="IQ_TOTAL_OPTIONS_EXERCISABLE_END_OS" hidden="1">"c5819"</definedName>
    <definedName name="IQ_TOTAL_OPTIONS_EXERCISED" hidden="1">"c2695"</definedName>
    <definedName name="IQ_TOTAL_OPTIONS_GRANTED" hidden="1">"c2694"</definedName>
    <definedName name="IQ_TOTAL_ORE_RESOURCES_ALUM" hidden="1">"c9230"</definedName>
    <definedName name="IQ_TOTAL_ORE_RESOURCES_COP" hidden="1">"c9174"</definedName>
    <definedName name="IQ_TOTAL_ORE_RESOURCES_DIAM" hidden="1">"c9654"</definedName>
    <definedName name="IQ_TOTAL_ORE_RESOURCES_GOLD" hidden="1">"c9015"</definedName>
    <definedName name="IQ_TOTAL_ORE_RESOURCES_IRON" hidden="1">"c9389"</definedName>
    <definedName name="IQ_TOTAL_ORE_RESOURCES_LEAD" hidden="1">"c9442"</definedName>
    <definedName name="IQ_TOTAL_ORE_RESOURCES_MANG" hidden="1">"c9495"</definedName>
    <definedName name="IQ_TOTAL_ORE_RESOURCES_MOLYB" hidden="1">"c9707"</definedName>
    <definedName name="IQ_TOTAL_ORE_RESOURCES_NICK" hidden="1">"c9283"</definedName>
    <definedName name="IQ_TOTAL_ORE_RESOURCES_PLAT" hidden="1">"c9121"</definedName>
    <definedName name="IQ_TOTAL_ORE_RESOURCES_SILVER" hidden="1">"c9068"</definedName>
    <definedName name="IQ_TOTAL_ORE_RESOURCES_TITAN" hidden="1">"c9548"</definedName>
    <definedName name="IQ_TOTAL_ORE_RESOURCES_URAN" hidden="1">"c9601"</definedName>
    <definedName name="IQ_TOTAL_ORE_RESOURCES_ZINC" hidden="1">"c9336"</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P" hidden="1">"c8765"</definedName>
    <definedName name="IQ_TOTAL_PROVED_RESERVES_NGL" hidden="1">"c2924"</definedName>
    <definedName name="IQ_TOTAL_PROVED_RESERVES_OIL" hidden="1">"c2040"</definedName>
    <definedName name="IQ_TOTAL_RE_LOANS_TOTAL_LOANS" hidden="1">"c15715"</definedName>
    <definedName name="IQ_TOTAL_RE_NOI_AVG_GROSS_PROP" hidden="1">"c16059"</definedName>
    <definedName name="IQ_TOTAL_RECEIV" hidden="1">"c1293"</definedName>
    <definedName name="IQ_TOTAL_RECOV_ATTRIB_RESOURCES_ALUM" hidden="1">"c9246"</definedName>
    <definedName name="IQ_TOTAL_RECOV_ATTRIB_RESOURCES_COAL" hidden="1">"c9820"</definedName>
    <definedName name="IQ_TOTAL_RECOV_ATTRIB_RESOURCES_COP" hidden="1">"c9190"</definedName>
    <definedName name="IQ_TOTAL_RECOV_ATTRIB_RESOURCES_DIAM" hidden="1">"c9670"</definedName>
    <definedName name="IQ_TOTAL_RECOV_ATTRIB_RESOURCES_GOLD" hidden="1">"c9031"</definedName>
    <definedName name="IQ_TOTAL_RECOV_ATTRIB_RESOURCES_IRON" hidden="1">"c9405"</definedName>
    <definedName name="IQ_TOTAL_RECOV_ATTRIB_RESOURCES_LEAD" hidden="1">"c9458"</definedName>
    <definedName name="IQ_TOTAL_RECOV_ATTRIB_RESOURCES_MANG" hidden="1">"c9511"</definedName>
    <definedName name="IQ_TOTAL_RECOV_ATTRIB_RESOURCES_MET_COAL" hidden="1">"c9760"</definedName>
    <definedName name="IQ_TOTAL_RECOV_ATTRIB_RESOURCES_MOLYB" hidden="1">"c9723"</definedName>
    <definedName name="IQ_TOTAL_RECOV_ATTRIB_RESOURCES_NICK" hidden="1">"c9299"</definedName>
    <definedName name="IQ_TOTAL_RECOV_ATTRIB_RESOURCES_PLAT" hidden="1">"c9137"</definedName>
    <definedName name="IQ_TOTAL_RECOV_ATTRIB_RESOURCES_SILVER" hidden="1">"c9084"</definedName>
    <definedName name="IQ_TOTAL_RECOV_ATTRIB_RESOURCES_STEAM" hidden="1">"c9790"</definedName>
    <definedName name="IQ_TOTAL_RECOV_ATTRIB_RESOURCES_TITAN" hidden="1">"c9564"</definedName>
    <definedName name="IQ_TOTAL_RECOV_ATTRIB_RESOURCES_URAN" hidden="1">"c9617"</definedName>
    <definedName name="IQ_TOTAL_RECOV_ATTRIB_RESOURCES_ZINC" hidden="1">"c9352"</definedName>
    <definedName name="IQ_TOTAL_RECOV_RESOURCES_ALUM" hidden="1">"c9236"</definedName>
    <definedName name="IQ_TOTAL_RECOV_RESOURCES_COAL" hidden="1">"c9815"</definedName>
    <definedName name="IQ_TOTAL_RECOV_RESOURCES_COP" hidden="1">"c9180"</definedName>
    <definedName name="IQ_TOTAL_RECOV_RESOURCES_DIAM" hidden="1">"c9660"</definedName>
    <definedName name="IQ_TOTAL_RECOV_RESOURCES_GOLD" hidden="1">"c9021"</definedName>
    <definedName name="IQ_TOTAL_RECOV_RESOURCES_IRON" hidden="1">"c9395"</definedName>
    <definedName name="IQ_TOTAL_RECOV_RESOURCES_LEAD" hidden="1">"c9448"</definedName>
    <definedName name="IQ_TOTAL_RECOV_RESOURCES_MANG" hidden="1">"c9501"</definedName>
    <definedName name="IQ_TOTAL_RECOV_RESOURCES_MET_COAL" hidden="1">"c9755"</definedName>
    <definedName name="IQ_TOTAL_RECOV_RESOURCES_MOLYB" hidden="1">"c9713"</definedName>
    <definedName name="IQ_TOTAL_RECOV_RESOURCES_NICK" hidden="1">"c9289"</definedName>
    <definedName name="IQ_TOTAL_RECOV_RESOURCES_PLAT" hidden="1">"c9127"</definedName>
    <definedName name="IQ_TOTAL_RECOV_RESOURCES_SILVER" hidden="1">"c9074"</definedName>
    <definedName name="IQ_TOTAL_RECOV_RESOURCES_STEAM" hidden="1">"c9785"</definedName>
    <definedName name="IQ_TOTAL_RECOV_RESOURCES_TITAN" hidden="1">"c9554"</definedName>
    <definedName name="IQ_TOTAL_RECOV_RESOURCES_URAN" hidden="1">"c9607"</definedName>
    <definedName name="IQ_TOTAL_RECOV_RESOURCES_ZINC" hidden="1">"c9342"</definedName>
    <definedName name="IQ_TOTAL_RECOVERIES_FDIC" hidden="1">"c6622"</definedName>
    <definedName name="IQ_TOTAL_RENTAL_REVENUE" hidden="1">"c16022"</definedName>
    <definedName name="IQ_TOTAL_RESERVES" hidden="1">"c21102"</definedName>
    <definedName name="IQ_TOTAL_RESOURCES_CALORIFIC_VALUE_COAL" hidden="1">"c9810"</definedName>
    <definedName name="IQ_TOTAL_RESOURCES_CALORIFIC_VALUE_MET_COAL" hidden="1">"c9750"</definedName>
    <definedName name="IQ_TOTAL_RESOURCES_CALORIFIC_VALUE_STEAM" hidden="1">"c9780"</definedName>
    <definedName name="IQ_TOTAL_RESOURCES_GRADE_ALUM" hidden="1">"c9231"</definedName>
    <definedName name="IQ_TOTAL_RESOURCES_GRADE_COP" hidden="1">"c9175"</definedName>
    <definedName name="IQ_TOTAL_RESOURCES_GRADE_DIAM" hidden="1">"c9655"</definedName>
    <definedName name="IQ_TOTAL_RESOURCES_GRADE_GOLD" hidden="1">"c9016"</definedName>
    <definedName name="IQ_TOTAL_RESOURCES_GRADE_IRON" hidden="1">"c9390"</definedName>
    <definedName name="IQ_TOTAL_RESOURCES_GRADE_LEAD" hidden="1">"c9443"</definedName>
    <definedName name="IQ_TOTAL_RESOURCES_GRADE_MANG" hidden="1">"c9496"</definedName>
    <definedName name="IQ_TOTAL_RESOURCES_GRADE_MOLYB" hidden="1">"c9708"</definedName>
    <definedName name="IQ_TOTAL_RESOURCES_GRADE_NICK" hidden="1">"c9284"</definedName>
    <definedName name="IQ_TOTAL_RESOURCES_GRADE_PLAT" hidden="1">"c9122"</definedName>
    <definedName name="IQ_TOTAL_RESOURCES_GRADE_SILVER" hidden="1">"c9069"</definedName>
    <definedName name="IQ_TOTAL_RESOURCES_GRADE_TITAN" hidden="1">"c9549"</definedName>
    <definedName name="IQ_TOTAL_RESOURCES_GRADE_URAN" hidden="1">"c9602"</definedName>
    <definedName name="IQ_TOTAL_RESOURCES_GRADE_ZINC" hidden="1">"c9337"</definedName>
    <definedName name="IQ_TOTAL_RETURN_SWAPS_DERIVATIVES_BENEFICIARY_FFIEC" hidden="1">"c13120"</definedName>
    <definedName name="IQ_TOTAL_RETURN_SWAPS_DERIVATIVES_GUARANTOR_FFIEC" hidden="1">"c13113"</definedName>
    <definedName name="IQ_TOTAL_REV" hidden="1">"c1294"</definedName>
    <definedName name="IQ_TOTAL_REV_10YR_ANN_CAGR" hidden="1">"c6150"</definedName>
    <definedName name="IQ_TOTAL_REV_10YR_ANN_GROWTH" hidden="1">"c1295"</definedName>
    <definedName name="IQ_TOTAL_REV_1YR_ANN_GROWTH" hidden="1">"c1296"</definedName>
    <definedName name="IQ_TOTAL_REV_2YR_ANN_CAGR" hidden="1">"c6151"</definedName>
    <definedName name="IQ_TOTAL_REV_2YR_ANN_GROWTH" hidden="1">"c1297"</definedName>
    <definedName name="IQ_TOTAL_REV_3YR_ANN_CAGR" hidden="1">"c6152"</definedName>
    <definedName name="IQ_TOTAL_REV_3YR_ANN_GROWTH" hidden="1">"c1298"</definedName>
    <definedName name="IQ_TOTAL_REV_5YR_ANN_CAGR" hidden="1">"c6153"</definedName>
    <definedName name="IQ_TOTAL_REV_5YR_ANN_GROWTH" hidden="1">"c1299"</definedName>
    <definedName name="IQ_TOTAL_REV_7YR_ANN_CAGR" hidden="1">"c6154"</definedName>
    <definedName name="IQ_TOTAL_REV_7YR_ANN_GROWTH" hidden="1">"c1300"</definedName>
    <definedName name="IQ_TOTAL_REV_AS_REPORTED" hidden="1">"c1301"</definedName>
    <definedName name="IQ_TOTAL_REV_BNK" hidden="1">"c1302"</definedName>
    <definedName name="IQ_TOTAL_REV_BNK_FDIC" hidden="1">"c6786"</definedName>
    <definedName name="IQ_TOTAL_REV_BR" hidden="1">"c1303"</definedName>
    <definedName name="IQ_TOTAL_REV_CM" hidden="1">"c1303"</definedName>
    <definedName name="IQ_TOTAL_REV_EMPLOYEE" hidden="1">"c1304"</definedName>
    <definedName name="IQ_TOTAL_REV_FIN" hidden="1">"c1305"</definedName>
    <definedName name="IQ_TOTAL_REV_INS" hidden="1">"c1306"</definedName>
    <definedName name="IQ_TOTAL_REV_RE" hidden="1">"c6275"</definedName>
    <definedName name="IQ_TOTAL_REV_REIT" hidden="1">"c1307"</definedName>
    <definedName name="IQ_TOTAL_REV_SHARE" hidden="1">"c1912"</definedName>
    <definedName name="IQ_TOTAL_REV_SUBTOTAL_AP" hidden="1">"c8975"</definedName>
    <definedName name="IQ_TOTAL_REV_UTI" hidden="1">"c1308"</definedName>
    <definedName name="IQ_TOTAL_REVENUE" hidden="1">"c1294"</definedName>
    <definedName name="IQ_TOTAL_REVENUE_FFIEC" hidden="1">"c13020"</definedName>
    <definedName name="IQ_TOTAL_REVENUE_FOREIGN_FFIEC" hidden="1">"c15383"</definedName>
    <definedName name="IQ_TOTAL_RISK_BASED_CAPITAL_FFIEC" hidden="1">"c13153"</definedName>
    <definedName name="IQ_TOTAL_RISK_BASED_CAPITAL_RATIO_FDIC" hidden="1">"c6747"</definedName>
    <definedName name="IQ_TOTAL_RISK_BASED_CAPITAL_RATIO_FFIEC" hidden="1">"c13162"</definedName>
    <definedName name="IQ_TOTAL_RISK_WEIGHTED_ASSETS_FFIEC" hidden="1">"c13858"</definedName>
    <definedName name="IQ_TOTAL_ROOMS" hidden="1">"c8789"</definedName>
    <definedName name="IQ_TOTAL_SECURITIES_FDIC" hidden="1">"c6306"</definedName>
    <definedName name="IQ_TOTAL_SPECIAL" hidden="1">"c1618"</definedName>
    <definedName name="IQ_TOTAL_SQ_FT" hidden="1">"c8781"</definedName>
    <definedName name="IQ_TOTAL_SR_SECURED" hidden="1">"c17890"</definedName>
    <definedName name="IQ_TOTAL_SR_SECURED_EBITDA" hidden="1">"c17901"</definedName>
    <definedName name="IQ_TOTAL_SR_SECURED_EBITDA_CAPEX" hidden="1">"c17902"</definedName>
    <definedName name="IQ_TOTAL_SR_SECURED_PCT" hidden="1">"c18004"</definedName>
    <definedName name="IQ_TOTAL_ST_BORROW" hidden="1">"c1177"</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TIME_DEPOSITS_FDIC" hidden="1">"c6497"</definedName>
    <definedName name="IQ_TOTAL_TIME_LESS_100000_1_TO_3_YEARS_FFIEC" hidden="1">"c15335"</definedName>
    <definedName name="IQ_TOTAL_TIME_LESS_100000_3_MONTHS_LESS_FFIEC" hidden="1">"c15333"</definedName>
    <definedName name="IQ_TOTAL_TIME_LESS_100000_3_TO_12_MONTHS_FFIEC" hidden="1">"c15334"</definedName>
    <definedName name="IQ_TOTAL_TIME_LESS_100000_FFIEC" hidden="1">"c15332"</definedName>
    <definedName name="IQ_TOTAL_TIME_LESS_100000_OVER_3_YEARS_FFIEC" hidden="1">"c15336"</definedName>
    <definedName name="IQ_TOTAL_TIME_MORE_100000_1_TO_3_YEARS_FFIEC" hidden="1">"c15340"</definedName>
    <definedName name="IQ_TOTAL_TIME_MORE_100000_3_MONTHS_LESS_FFIEC" hidden="1">"c15338"</definedName>
    <definedName name="IQ_TOTAL_TIME_MORE_100000_3_TO_12_MONTHS_FFIEC" hidden="1">"c15339"</definedName>
    <definedName name="IQ_TOTAL_TIME_MORE_100000_FFIEC" hidden="1">"c15337"</definedName>
    <definedName name="IQ_TOTAL_TIME_MORE_100000_OVER_3_YEARS_FFIEC" hidden="1">"c15341"</definedName>
    <definedName name="IQ_TOTAL_TIME_SAVINGS_DEPOSITS_FDIC" hidden="1">"c6498"</definedName>
    <definedName name="IQ_TOTAL_TRADING_ASSETS_FFIEC" hidden="1">"c12939"</definedName>
    <definedName name="IQ_TOTAL_TRADING_LIAB_DOM_FFIEC" hidden="1">"c12944"</definedName>
    <definedName name="IQ_TOTAL_TRADING_LIAB_FOREIGN_FFIEC" hidden="1">"c15296"</definedName>
    <definedName name="IQ_TOTAL_TRANS_ACCTS_FFIEC" hidden="1">"c15321"</definedName>
    <definedName name="IQ_TOTAL_UNITS" hidden="1">"c8773"</definedName>
    <definedName name="IQ_TOTAL_UNUSED_COMMITMENTS_FDIC" hidden="1">"c6536"</definedName>
    <definedName name="IQ_TOTAL_UNUSUAL" hidden="1">"c1508"</definedName>
    <definedName name="IQ_TOTAL_UNUSUAL_BNK" hidden="1">"c5516"</definedName>
    <definedName name="IQ_TOTAL_UNUSUAL_BR" hidden="1">"c5517"</definedName>
    <definedName name="IQ_TOTAL_UNUSUAL_CM" hidden="1">"c5517"</definedName>
    <definedName name="IQ_TOTAL_UNUSUAL_FIN" hidden="1">"c5518"</definedName>
    <definedName name="IQ_TOTAL_UNUSUAL_INS" hidden="1">"c5519"</definedName>
    <definedName name="IQ_TOTAL_UNUSUAL_RE" hidden="1">"c6286"</definedName>
    <definedName name="IQ_TOTAL_UNUSUAL_REIT" hidden="1">"c5520"</definedName>
    <definedName name="IQ_TOTAL_UNUSUAL_SUPPLE" hidden="1">"c13817"</definedName>
    <definedName name="IQ_TOTAL_UNUSUAL_UTI" hidden="1">"c5521"</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_EQ_INC" hidden="1">"c3611"</definedName>
    <definedName name="IQ_TR_ACQ_EBITDA" hidden="1">"c2381"</definedName>
    <definedName name="IQ_TR_ACQ_EBITDA_EQ_INC" hidden="1">"c3610"</definedName>
    <definedName name="IQ_TR_ACQ_FILING_CURRENCY" hidden="1">"c3033"</definedName>
    <definedName name="IQ_TR_ACQ_FILINGDATE" hidden="1">"c3607"</definedName>
    <definedName name="IQ_TR_ACQ_MCAP_1DAY" hidden="1">"c2345"</definedName>
    <definedName name="IQ_TR_ACQ_MIN_INT" hidden="1">"c2374"</definedName>
    <definedName name="IQ_TR_ACQ_NET_DEBT" hidden="1">"c2373"</definedName>
    <definedName name="IQ_TR_ACQ_NI" hidden="1">"c2378"</definedName>
    <definedName name="IQ_TR_ACQ_PERIODDATE" hidden="1">"c3606"</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DJ_SIZE_FINAL" hidden="1">"c16265"</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_TERM_FEE" hidden="1">"c13638"</definedName>
    <definedName name="IQ_TR_BUY_TERM_FEE_PCT" hidden="1">"c13639"</definedName>
    <definedName name="IQ_TR_BUYBACK_TO_CLOSE" hidden="1">"c13919"</definedName>
    <definedName name="IQ_TR_BUYBACK_TO_HIGH" hidden="1">"c13917"</definedName>
    <definedName name="IQ_TR_BUYBACK_TO_LOW" hidden="1">"c13918"</definedName>
    <definedName name="IQ_TR_BUYER_ID" hidden="1">"c2404"</definedName>
    <definedName name="IQ_TR_BUYERNAME" hidden="1">"c2401"</definedName>
    <definedName name="IQ_TR_CANCELLED_DATE" hidden="1">"c2284"</definedName>
    <definedName name="IQ_TR_CASH_CONSID_PCT" hidden="1">"c2296"</definedName>
    <definedName name="IQ_TR_CASH_CONSID_PCT_FINAL" hidden="1">"c16268"</definedName>
    <definedName name="IQ_TR_CASH_ST_INVEST" hidden="1">"c3025"</definedName>
    <definedName name="IQ_TR_CASH_ST_INVEST_FINAL" hidden="1">"c16266"</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PPROACH" hidden="1">"c12706"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BT_CONSID_PCT_FINAL" hidden="1">"c16274"</definedName>
    <definedName name="IQ_TR_DEF_AGRMT_DATE" hidden="1">"c2285"</definedName>
    <definedName name="IQ_TR_DISCLOSED_FEES_EXP" hidden="1">"c2288"</definedName>
    <definedName name="IQ_TR_EARNOUTS" hidden="1">"c3023"</definedName>
    <definedName name="IQ_TR_EARNOUTS_FINAL" hidden="1">"c16262"</definedName>
    <definedName name="IQ_TR_EXPIRED_DATE" hidden="1">"c2412"</definedName>
    <definedName name="IQ_TR_GROSS_OFFERING_AMT" hidden="1">"c2262"</definedName>
    <definedName name="IQ_TR_HYBRID_CONSID_PCT" hidden="1">"c2300"</definedName>
    <definedName name="IQ_TR_HYBRID_CONSID_PCT_FINAL" hidden="1">"c16276"</definedName>
    <definedName name="IQ_TR_IMPLIED_EQ" hidden="1">"c3018"</definedName>
    <definedName name="IQ_TR_IMPLIED_EQ_BV" hidden="1">"c3019"</definedName>
    <definedName name="IQ_TR_IMPLIED_EQ_BV_FINAL" hidden="1">"c16255"</definedName>
    <definedName name="IQ_TR_IMPLIED_EQ_FINAL" hidden="1">"c16253"</definedName>
    <definedName name="IQ_TR_IMPLIED_EQ_NI_LTM" hidden="1">"c3020"</definedName>
    <definedName name="IQ_TR_IMPLIED_EQ_NI_LTM_FINAL" hidden="1">"c16254"</definedName>
    <definedName name="IQ_TR_IMPLIED_EV" hidden="1">"c2301"</definedName>
    <definedName name="IQ_TR_IMPLIED_EV_BV" hidden="1">"c2306"</definedName>
    <definedName name="IQ_TR_IMPLIED_EV_EBIT" hidden="1">"c2302"</definedName>
    <definedName name="IQ_TR_IMPLIED_EV_EBIT_FINAL" hidden="1">"c16252"</definedName>
    <definedName name="IQ_TR_IMPLIED_EV_EBIT_FWD" hidden="1">"c17878"</definedName>
    <definedName name="IQ_TR_IMPLIED_EV_EBITDA" hidden="1">"c2303"</definedName>
    <definedName name="IQ_TR_IMPLIED_EV_EBITDA_FINAL" hidden="1">"c16251"</definedName>
    <definedName name="IQ_TR_IMPLIED_EV_EBITDA_FWD" hidden="1">"c17877"</definedName>
    <definedName name="IQ_TR_IMPLIED_EV_FINAL" hidden="1">"c16249"</definedName>
    <definedName name="IQ_TR_IMPLIED_EV_NI_LTM" hidden="1">"c2307"</definedName>
    <definedName name="IQ_TR_IMPLIED_EV_REV" hidden="1">"c2304"</definedName>
    <definedName name="IQ_TR_IMPLIED_EV_REV_FINAL" hidden="1">"c16250"</definedName>
    <definedName name="IQ_TR_IMPLIED_EV_REV_FWD" hidden="1">"c17876"</definedName>
    <definedName name="IQ_TR_INIT_FILED_DATE" hidden="1">"c3495"</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ASSUM_LIABILITIES_FINAL" hidden="1">"c16264"</definedName>
    <definedName name="IQ_TR_NET_PROCEEDS" hidden="1">"c2267"</definedName>
    <definedName name="IQ_TR_OFFER_DATE" hidden="1">"c2265"</definedName>
    <definedName name="IQ_TR_OFFER_DATE_MA" hidden="1">"c3035"</definedName>
    <definedName name="IQ_TR_OFFER_PER_SHARE" hidden="1">"c3017"</definedName>
    <definedName name="IQ_TR_OFFER_PER_SHARE_FINAL" hidden="1">"c16257"</definedName>
    <definedName name="IQ_TR_OFFER_PRICE_BV_FWD" hidden="1">"c17880"</definedName>
    <definedName name="IQ_TR_OFFER_PRICE_EARNINGS_FWD" hidden="1">"c17879"</definedName>
    <definedName name="IQ_TR_OPTIONS_CONSID_PCT" hidden="1">"c2311"</definedName>
    <definedName name="IQ_TR_OPTIONS_CONSID_PCT_FINAL" hidden="1">"c16278"</definedName>
    <definedName name="IQ_TR_OTHER_CONSID" hidden="1">"c3022"</definedName>
    <definedName name="IQ_TR_OTHER_CONSID_FINAL" hidden="1">"c16261"</definedName>
    <definedName name="IQ_TR_PCT_SOUGHT" hidden="1">"c2309"</definedName>
    <definedName name="IQ_TR_PCT_SOUGHT_ACQUIRED_FINAL" hidden="1">"c16256"</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_1D_PRICE" hidden="1">"c19180"</definedName>
    <definedName name="IQ_TR_PO_1D_RETURN" hidden="1">"c19179"</definedName>
    <definedName name="IQ_TR_PO_1M_PRICE" hidden="1">"c19184"</definedName>
    <definedName name="IQ_TR_PO_1M_RETURN" hidden="1">"c19183"</definedName>
    <definedName name="IQ_TR_PO_1W_PRICE" hidden="1">"c19182"</definedName>
    <definedName name="IQ_TR_PO_1W_RETURN" hidden="1">"c19181"</definedName>
    <definedName name="IQ_TR_PO_1Y_PRICE" hidden="1">"c19190"</definedName>
    <definedName name="IQ_TR_PO_1Y_RETURN" hidden="1">"c19189"</definedName>
    <definedName name="IQ_TR_PO_3M_PRICE" hidden="1">"c19186"</definedName>
    <definedName name="IQ_TR_PO_3M_RETURN" hidden="1">"c19185"</definedName>
    <definedName name="IQ_TR_PO_6M_PRICE" hidden="1">"c19188"</definedName>
    <definedName name="IQ_TR_PO_6M_RETURN" hidden="1">"c19187"</definedName>
    <definedName name="IQ_TR_POSTMONEY_VAL" hidden="1">"c2286"</definedName>
    <definedName name="IQ_TR_PREDEAL_SITUATION" hidden="1">"c2390"</definedName>
    <definedName name="IQ_TR_PREF_CONSID_PCT" hidden="1">"c2310"</definedName>
    <definedName name="IQ_TR_PREF_CONSID_PCT_FINAL" hidden="1">"c16272"</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OFFER_PER_SHARE" hidden="1">"c18872"</definedName>
    <definedName name="IQ_TR_PT_PCT_SHARES" hidden="1">"c2416"</definedName>
    <definedName name="IQ_TR_RATING_FEES" hidden="1">"c2275"</definedName>
    <definedName name="IQ_TR_REG_EFFECT_DATE" hidden="1">"c2264"</definedName>
    <definedName name="IQ_TR_REG_FILED_DATE" hidden="1">"c2263"</definedName>
    <definedName name="IQ_TR_REGISTRATION_FEES" hidden="1">"c2274"</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_TERM_FEE" hidden="1">"c2298"</definedName>
    <definedName name="IQ_TR_SELL_TERM_FEE_PCT" hidden="1">"c2297"</definedName>
    <definedName name="IQ_TR_SELLER_DILUT_EPS_EXCL" hidden="1">"c17703"</definedName>
    <definedName name="IQ_TR_SELLER_EARNING_CO" hidden="1">"c17702"</definedName>
    <definedName name="IQ_TR_SELLER_EBIT" hidden="1">"c17700"</definedName>
    <definedName name="IQ_TR_SELLER_EBITDA" hidden="1">"c17699"</definedName>
    <definedName name="IQ_TR_SELLER_ID" hidden="1">"c2406"</definedName>
    <definedName name="IQ_TR_SELLER_MIN_INT" hidden="1">"c17707"</definedName>
    <definedName name="IQ_TR_SELLER_NET_DEBT" hidden="1">"c17709"</definedName>
    <definedName name="IQ_TR_SELLER_NI" hidden="1">"c17701"</definedName>
    <definedName name="IQ_TR_SELLER_TOTAL_ASSETS" hidden="1">"c17710"</definedName>
    <definedName name="IQ_TR_SELLER_TOTAL_CASH_ST_INVEST" hidden="1">"c17708"</definedName>
    <definedName name="IQ_TR_SELLER_TOTAL_COMMON_EQ" hidden="1">"c17704"</definedName>
    <definedName name="IQ_TR_SELLER_TOTAL_DEBT" hidden="1">"c17705"</definedName>
    <definedName name="IQ_TR_SELLER_TOTAL_PREF" hidden="1">"c17706"</definedName>
    <definedName name="IQ_TR_SELLER_TOTAL_REV" hidden="1">"c17698"</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PIN_DEF_AGRMT_DATE" hidden="1">"c17696"</definedName>
    <definedName name="IQ_TR_SPIN_DIST_RATIO_FINAL" hidden="1">"c17734"</definedName>
    <definedName name="IQ_TR_SPIN_DIST_RATIO_OFFER" hidden="1">"c17728"</definedName>
    <definedName name="IQ_TR_SPIN_DIST_SHARES_FINAL" hidden="1">"c17852"</definedName>
    <definedName name="IQ_TR_SPIN_DIST_SHARES_OFFER" hidden="1">"c17729"</definedName>
    <definedName name="IQ_TR_SPIN_DIST_VALUE" hidden="1">"c17711"</definedName>
    <definedName name="IQ_TR_SPIN_DIST_VALUE_FINAL" hidden="1">"c17722"</definedName>
    <definedName name="IQ_TR_SPIN_DIST_VALUE_OFFER" hidden="1">"c17712"</definedName>
    <definedName name="IQ_TR_SPIN_IMPLIED_EQ_BV_OFFER" hidden="1">"c17721"</definedName>
    <definedName name="IQ_TR_SPIN_IMPLIED_EQ_NI_LTM_OFFER" hidden="1">"c17720"</definedName>
    <definedName name="IQ_TR_SPIN_IMPLIED_EQ_OFFER" hidden="1">"c17714"</definedName>
    <definedName name="IQ_TR_SPIN_IMPLIED_EV_EBIT_OFFER" hidden="1">"c17719"</definedName>
    <definedName name="IQ_TR_SPIN_IMPLIED_EV_EBITDA_OFFER" hidden="1">"c17718"</definedName>
    <definedName name="IQ_TR_SPIN_IMPLIED_EV_OFFER" hidden="1">"c17716"</definedName>
    <definedName name="IQ_TR_SPIN_IMPLIED_EV_REV_OFFER" hidden="1">"c17717"</definedName>
    <definedName name="IQ_TR_SPIN_NET_ASSUM_LIAB_OFFER" hidden="1">"c17715"</definedName>
    <definedName name="IQ_TR_SPIN_PARENT_SHARES_OUT_FINAL" hidden="1">"c17733"</definedName>
    <definedName name="IQ_TR_SPIN_PARENT_SHARES_OUT_OFFER" hidden="1">"c17727"</definedName>
    <definedName name="IQ_TR_SPIN_PCT_DIST_FINAL" hidden="1">"c17723"</definedName>
    <definedName name="IQ_TR_SPIN_PCT_DIST_OFFER" hidden="1">"c17713"</definedName>
    <definedName name="IQ_TR_SPIN_RECORD_DATE" hidden="1">"c17697"</definedName>
    <definedName name="IQ_TR_SPIN_SECURITY_CIQID" hidden="1">"c17724"</definedName>
    <definedName name="IQ_TR_SPIN_SECURITY_PCT_DIST_FINAL" hidden="1">"c17732"</definedName>
    <definedName name="IQ_TR_SPIN_SECURITY_PCT_DIST_OFFER" hidden="1">"c17726"</definedName>
    <definedName name="IQ_TR_SPIN_SECURITY_PRICE_FINAL" hidden="1">"c17731"</definedName>
    <definedName name="IQ_TR_SPIN_SECURITY_PRICE_OFFER" hidden="1">"c17725"</definedName>
    <definedName name="IQ_TR_SPIN_VALUE_CONSID_FINAL" hidden="1">"c17853"</definedName>
    <definedName name="IQ_TR_SPIN_VALUE_CONSID_OFFER" hidden="1">"c17730"</definedName>
    <definedName name="IQ_TR_STATUS" hidden="1">"c2399"</definedName>
    <definedName name="IQ_TR_STOCK_CONSID_PCT" hidden="1">"c2312"</definedName>
    <definedName name="IQ_TR_STOCK_CONSID_PCT_FINAL" hidden="1">"c16270"</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BV_SHARE_EST" hidden="1">"c17885"</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_EQ_INC" hidden="1">"c3609"</definedName>
    <definedName name="IQ_TR_TARGET_EBIT_EST" hidden="1">"c17883"</definedName>
    <definedName name="IQ_TR_TARGET_EBITDA" hidden="1">"c2334"</definedName>
    <definedName name="IQ_TR_TARGET_EBITDA_EQ_INC" hidden="1">"c3608"</definedName>
    <definedName name="IQ_TR_TARGET_EBITDA_EST" hidden="1">"c17882"</definedName>
    <definedName name="IQ_TR_TARGET_EPS_EST" hidden="1">"c17884"</definedName>
    <definedName name="IQ_TR_TARGET_EST_CURRENCY" hidden="1">"c17886"</definedName>
    <definedName name="IQ_TR_TARGET_EST_DATE" hidden="1">"c17887"</definedName>
    <definedName name="IQ_TR_TARGET_FILING_CURRENCY" hidden="1">"c3034"</definedName>
    <definedName name="IQ_TR_TARGET_FILINGDATE" hidden="1">"c3605"</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ERIODDATE" hidden="1">"c3604"</definedName>
    <definedName name="IQ_TR_TARGET_PRICEDATE_1D" hidden="1">"c2341"</definedName>
    <definedName name="IQ_TR_TARGET_RETURN" hidden="1">"c2355"</definedName>
    <definedName name="IQ_TR_TARGET_REVENUE_EST" hidden="1">"c17881"</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ASH_FINAL" hidden="1">"c16267"</definedName>
    <definedName name="IQ_TR_TOTAL_CONSID_SH" hidden="1">"c2316"</definedName>
    <definedName name="IQ_TR_TOTAL_CONSID_SH_FINAL" hidden="1">"c16260"</definedName>
    <definedName name="IQ_TR_TOTAL_DEBT" hidden="1">"c2317"</definedName>
    <definedName name="IQ_TR_TOTAL_DEBT_FINAL" hidden="1">"c16273"</definedName>
    <definedName name="IQ_TR_TOTAL_GROSS_TV" hidden="1">"c2318"</definedName>
    <definedName name="IQ_TR_TOTAL_GROSS_TV_FINAL" hidden="1">"c16259"</definedName>
    <definedName name="IQ_TR_TOTAL_HYBRID" hidden="1">"c2319"</definedName>
    <definedName name="IQ_TR_TOTAL_HYBRID_FINAL" hidden="1">"c16275"</definedName>
    <definedName name="IQ_TR_TOTAL_LEGAL_FEES" hidden="1">"c2272"</definedName>
    <definedName name="IQ_TR_TOTAL_NET_TV" hidden="1">"c2320"</definedName>
    <definedName name="IQ_TR_TOTAL_NET_TV_FINAL" hidden="1">"c16258"</definedName>
    <definedName name="IQ_TR_TOTAL_NEWMONEY" hidden="1">"c2289"</definedName>
    <definedName name="IQ_TR_TOTAL_OPTIONS" hidden="1">"c2322"</definedName>
    <definedName name="IQ_TR_TOTAL_OPTIONS_BUYER" hidden="1">"c3026"</definedName>
    <definedName name="IQ_TR_TOTAL_OPTIONS_BUYER_FINAL" hidden="1">"c16277"</definedName>
    <definedName name="IQ_TR_TOTAL_OPTIONS_FINAL" hidden="1">"c16263"</definedName>
    <definedName name="IQ_TR_TOTAL_PREFERRED" hidden="1">"c2321"</definedName>
    <definedName name="IQ_TR_TOTAL_PREFERRED_FINAL" hidden="1">"c16271"</definedName>
    <definedName name="IQ_TR_TOTAL_REG_AMT" hidden="1">"c2261"</definedName>
    <definedName name="IQ_TR_TOTAL_STOCK" hidden="1">"c2323"</definedName>
    <definedName name="IQ_TR_TOTAL_STOCK_FINAL" hidden="1">"c16269"</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"c40"</definedName>
    <definedName name="IQ_TRADE_BALANCE_USD" hidden="1">"c21103"</definedName>
    <definedName name="IQ_TRADE_PRINCIPAL" hidden="1">"c1309"</definedName>
    <definedName name="IQ_TRADING_ACCOUNT_GAINS_FEES_FDIC" hidden="1">"c6573"</definedName>
    <definedName name="IQ_TRADING_ASSETS" hidden="1">"c1310"</definedName>
    <definedName name="IQ_TRADING_ASSETS_FAIR_VALUE_TOT_FFIEC" hidden="1">"c13210"</definedName>
    <definedName name="IQ_TRADING_ASSETS_FDIC" hidden="1">"c6328"</definedName>
    <definedName name="IQ_TRADING_ASSETS_FFIEC" hidden="1">"c12812"</definedName>
    <definedName name="IQ_TRADING_ASSETS_FOREIGN_FFIEC" hidden="1">"c12940"</definedName>
    <definedName name="IQ_TRADING_ASSETS_LEVEL_1_FFIEC" hidden="1">"c13218"</definedName>
    <definedName name="IQ_TRADING_ASSETS_LEVEL_2_FFIEC" hidden="1">"c13226"</definedName>
    <definedName name="IQ_TRADING_ASSETS_LEVEL_3_FFIEC" hidden="1">"c13234"</definedName>
    <definedName name="IQ_TRADING_ASSETS_QUARTERLY_AVG_FFIEC" hidden="1">"c13085"</definedName>
    <definedName name="IQ_TRADING_CURRENCY" hidden="1">"c2212"</definedName>
    <definedName name="IQ_TRADING_ITEM_CIQID" hidden="1">"c8949"</definedName>
    <definedName name="IQ_TRADING_LIABILITIES_FAIR_VALUE_TOT_FFIEC" hidden="1">"c13214"</definedName>
    <definedName name="IQ_TRADING_LIABILITIES_FDIC" hidden="1">"c6344"</definedName>
    <definedName name="IQ_TRADING_LIABILITIES_FFIEC" hidden="1">"c12858"</definedName>
    <definedName name="IQ_TRADING_LIABILITIES_LEVEL_1_FFIEC" hidden="1">"c13222"</definedName>
    <definedName name="IQ_TRADING_LIABILITIES_LEVEL_2_FFIEC" hidden="1">"c13230"</definedName>
    <definedName name="IQ_TRADING_LIABILITIES_LEVEL_3_FFIEC" hidden="1">"c13238"</definedName>
    <definedName name="IQ_TRADING_REV_FOREIGN_FFIEC" hidden="1">"c15377"</definedName>
    <definedName name="IQ_TRADING_REV_OPERATING_INC_FFIEC" hidden="1">"c13385"</definedName>
    <definedName name="IQ_TRADING_REVENUE_FFIEC" hidden="1">"c13004"</definedName>
    <definedName name="IQ_TRANS_ACCTS_TOT_DEPOSITS_FFIEC" hidden="1">"c13904"</definedName>
    <definedName name="IQ_TRANS_IMPACT_FIN_48_CURRENT_ASSETS" hidden="1">"c15727"</definedName>
    <definedName name="IQ_TRANS_IMPACT_FIN_48_CURRENT_LIABILITIES" hidden="1">"c15729"</definedName>
    <definedName name="IQ_TRANS_IMPACT_FIN_48_LT_ASSETS" hidden="1">"c15728"</definedName>
    <definedName name="IQ_TRANS_IMPACT_FIN_48_NON_CURRENT_LIABILITIES" hidden="1">"c15730"</definedName>
    <definedName name="IQ_TRANS_IMPACT_FIN_48_RETAINED_EARNINGS" hidden="1">"c15731"</definedName>
    <definedName name="IQ_TRANSACTION_ACCOUNTS_FDIC" hidden="1">"c6544"</definedName>
    <definedName name="IQ_TRANSACTION_LIST" hidden="1">"c15126"</definedName>
    <definedName name="IQ_TRANSACTION_LIST_BANKRUPTCY" hidden="1">"c15131"</definedName>
    <definedName name="IQ_TRANSACTION_LIST_BUYBACK" hidden="1">"c15129"</definedName>
    <definedName name="IQ_TRANSACTION_LIST_INCL_SUBS" hidden="1">"c15132"</definedName>
    <definedName name="IQ_TRANSACTION_LIST_INCL_SUBS_BANKRUPTCY" hidden="1">"c15137"</definedName>
    <definedName name="IQ_TRANSACTION_LIST_INCL_SUBS_BUYBACK" hidden="1">"c15135"</definedName>
    <definedName name="IQ_TRANSACTION_LIST_INCL_SUBS_MA" hidden="1">"c15133"</definedName>
    <definedName name="IQ_TRANSACTION_LIST_INCL_SUBS_PO" hidden="1">"c15136"</definedName>
    <definedName name="IQ_TRANSACTION_LIST_INCL_SUBS_PP" hidden="1">"c15134"</definedName>
    <definedName name="IQ_TRANSACTION_LIST_MA" hidden="1">"c15127"</definedName>
    <definedName name="IQ_TRANSACTION_LIST_PO" hidden="1">"c15130"</definedName>
    <definedName name="IQ_TRANSACTION_LIST_PP" hidden="1">"c15128"</definedName>
    <definedName name="IQ_TREASURER_ID" hidden="1">"c15214"</definedName>
    <definedName name="IQ_TREASURER_NAME" hidden="1">"c15213"</definedName>
    <definedName name="IQ_TREASURY" hidden="1">"c1311"</definedName>
    <definedName name="IQ_TREASURY_INVEST_SECURITIES_FFIEC" hidden="1">"c13457"</definedName>
    <definedName name="IQ_TREASURY_OTHER_EQUITY" hidden="1">"c1312"</definedName>
    <definedName name="IQ_TREASURY_OTHER_EQUITY_BNK" hidden="1">"c1313"</definedName>
    <definedName name="IQ_TREASURY_OTHER_EQUITY_BR" hidden="1">"c1314"</definedName>
    <definedName name="IQ_TREASURY_OTHER_EQUITY_CM" hidden="1">"c1314"</definedName>
    <definedName name="IQ_TREASURY_OTHER_EQUITY_FIN" hidden="1">"c1315"</definedName>
    <definedName name="IQ_TREASURY_OTHER_EQUITY_INS" hidden="1">"c1316"</definedName>
    <definedName name="IQ_TREASURY_OTHER_EQUITY_RE" hidden="1">"c6276"</definedName>
    <definedName name="IQ_TREASURY_OTHER_EQUITY_REIT" hidden="1">"c1317"</definedName>
    <definedName name="IQ_TREASURY_OTHER_EQUITY_UTI" hidden="1">"c1318"</definedName>
    <definedName name="IQ_TREASURY_STOCK" hidden="1">"c1311"</definedName>
    <definedName name="IQ_TREASURY_STOCK_TRANSACTIONS_FDIC" hidden="1">"c6501"</definedName>
    <definedName name="IQ_TREASURY_STOCK_TRANSACTIONS_FFIEC" hidden="1">"c15352"</definedName>
    <definedName name="IQ_TRUCK_ASSEMBLIES" hidden="1">"c7021"</definedName>
    <definedName name="IQ_TRUCK_ASSEMBLIES_APR" hidden="1">"c7681"</definedName>
    <definedName name="IQ_TRUCK_ASSEMBLIES_APR_FC" hidden="1">"c8561"</definedName>
    <definedName name="IQ_TRUCK_ASSEMBLIES_FC" hidden="1">"c7901"</definedName>
    <definedName name="IQ_TRUCK_ASSEMBLIES_POP" hidden="1">"c7241"</definedName>
    <definedName name="IQ_TRUCK_ASSEMBLIES_POP_FC" hidden="1">"c8121"</definedName>
    <definedName name="IQ_TRUCK_ASSEMBLIES_YOY" hidden="1">"c7461"</definedName>
    <definedName name="IQ_TRUCK_ASSEMBLIES_YOY_FC" hidden="1">"c8341"</definedName>
    <definedName name="IQ_TRUST_INC" hidden="1">"c1319"</definedName>
    <definedName name="IQ_TRUST_PREF" hidden="1">"c1320"</definedName>
    <definedName name="IQ_TRUST_PREFERRED" hidden="1">"c3029"</definedName>
    <definedName name="IQ_TRUST_PREFERRED_PCT" hidden="1">"c3030"</definedName>
    <definedName name="IQ_TRUSTEE" hidden="1">"c8959"</definedName>
    <definedName name="IQ_TWELVE_MONTHS_FIXED_AND_FLOATING_FDIC" hidden="1">"c6420"</definedName>
    <definedName name="IQ_TWELVE_MONTHS_MORTGAGE_PASS_THROUGHS_FDIC" hidden="1">"c6412"</definedName>
    <definedName name="IQ_UFCF_10YR_ANN_CAGR" hidden="1">"c6179"</definedName>
    <definedName name="IQ_UFCF_10YR_ANN_GROWTH" hidden="1">"c1948"</definedName>
    <definedName name="IQ_UFCF_1YR_ANN_GROWTH" hidden="1">"c1943"</definedName>
    <definedName name="IQ_UFCF_2YR_ANN_CAGR" hidden="1">"c6175"</definedName>
    <definedName name="IQ_UFCF_2YR_ANN_GROWTH" hidden="1">"c1944"</definedName>
    <definedName name="IQ_UFCF_3YR_ANN_CAGR" hidden="1">"c6176"</definedName>
    <definedName name="IQ_UFCF_3YR_ANN_GROWTH" hidden="1">"c1945"</definedName>
    <definedName name="IQ_UFCF_5YR_ANN_CAGR" hidden="1">"c6177"</definedName>
    <definedName name="IQ_UFCF_5YR_ANN_GROWTH" hidden="1">"c1946"</definedName>
    <definedName name="IQ_UFCF_7YR_ANN_CAGR" hidden="1">"c6178"</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ASSIGNED_RESERVES_COAL" hidden="1">"c15914"</definedName>
    <definedName name="IQ_UNASSIGNED_RESERVES_TO_TOTAL_RESERVES_COAL" hidden="1">"c15956"</definedName>
    <definedName name="IQ_UNCLASSIFIED_PROPERTY_OPERATING_EXPENSE" hidden="1">"c16034"</definedName>
    <definedName name="IQ_UNCLASSIFIED_RENTAL_INCOME" hidden="1">"c16021"</definedName>
    <definedName name="IQ_UNCONSOL_BEDS" hidden="1">"c8783"</definedName>
    <definedName name="IQ_UNCONSOL_NOI" hidden="1">"c16067"</definedName>
    <definedName name="IQ_UNCONSOL_PROP" hidden="1">"c8762"</definedName>
    <definedName name="IQ_UNCONSOL_ROOMS" hidden="1">"c8787"</definedName>
    <definedName name="IQ_UNCONSOL_SQ_FT" hidden="1">"c8778"</definedName>
    <definedName name="IQ_UNCONSOL_UNITS" hidden="1">"c8770"</definedName>
    <definedName name="IQ_UNDERGROUND_RESERVES_COAL" hidden="1">"c15922"</definedName>
    <definedName name="IQ_UNDERGROUND_RESERVES_TO_TOTAL_RESERVES_COAL" hidden="1">"c15960"</definedName>
    <definedName name="IQ_UNDERWRITER" hidden="1">"c8958"</definedName>
    <definedName name="IQ_UNDERWRITING_PROFIT" hidden="1">"c9975"</definedName>
    <definedName name="IQ_UNDIVIDED_PROFITS_FDIC" hidden="1">"c6352"</definedName>
    <definedName name="IQ_UNDRAWN_CP" hidden="1">"c2518"</definedName>
    <definedName name="IQ_UNDRAWN_CREDIT" hidden="1">"c3032"</definedName>
    <definedName name="IQ_UNDRAWN_FED_FUNDS" hidden="1">"c2524"</definedName>
    <definedName name="IQ_UNDRAWN_FHLB" hidden="1">"c2520"</definedName>
    <definedName name="IQ_UNDRAWN_LC" hidden="1">"c2521"</definedName>
    <definedName name="IQ_UNDRAWN_RC" hidden="1">"c2517"</definedName>
    <definedName name="IQ_UNDRAWN_SECURITIZED" hidden="1">"c17900"</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CM" hidden="1">"c1324"</definedName>
    <definedName name="IQ_UNEARN_REV_CURRENT_FIN" hidden="1">"c1325"</definedName>
    <definedName name="IQ_UNEARN_REV_CURRENT_INS" hidden="1">"c1326"</definedName>
    <definedName name="IQ_UNEARN_REV_CURRENT_RE" hidden="1">"c6277"</definedName>
    <definedName name="IQ_UNEARN_REV_CURRENT_REIT" hidden="1">"c1327"</definedName>
    <definedName name="IQ_UNEARN_REV_CURRENT_UTI" hidden="1">"c1328"</definedName>
    <definedName name="IQ_UNEARN_REV_LT" hidden="1">"c1329"</definedName>
    <definedName name="IQ_UNEARNED_INCOME_FDIC" hidden="1">"c6324"</definedName>
    <definedName name="IQ_UNEARNED_INCOME_FOREIGN_FDIC" hidden="1">"c6385"</definedName>
    <definedName name="IQ_UNEARNED_INCOME_LL_REC_DOM_FFIEC" hidden="1">"c12916"</definedName>
    <definedName name="IQ_UNEARNED_INCOME_LL_REC_FFIEC" hidden="1">"c12897"</definedName>
    <definedName name="IQ_UNEARNED_PREMIUMS_PC_FFIEC" hidden="1">"c13101"</definedName>
    <definedName name="IQ_UNEMPLOY_RATE" hidden="1">"c21104"</definedName>
    <definedName name="IQ_UNEMPLOYMENT_RATE" hidden="1">"c7023"</definedName>
    <definedName name="IQ_UNEMPLOYMENT_RATE_FC" hidden="1">"c7903"</definedName>
    <definedName name="IQ_UNEMPLOYMENT_RATE_POP" hidden="1">"c7243"</definedName>
    <definedName name="IQ_UNEMPLOYMENT_RATE_POP_FC" hidden="1">"c8123"</definedName>
    <definedName name="IQ_UNEMPLOYMENT_RATE_YOY" hidden="1">"c7463"</definedName>
    <definedName name="IQ_UNEMPLOYMENT_RATE_YOY_FC" hidden="1">"c8343"</definedName>
    <definedName name="IQ_UNIT_LABOR_COST_INDEX" hidden="1">"c7025"</definedName>
    <definedName name="IQ_UNIT_LABOR_COST_INDEX_APR" hidden="1">"c7685"</definedName>
    <definedName name="IQ_UNIT_LABOR_COST_INDEX_APR_FC" hidden="1">"c8565"</definedName>
    <definedName name="IQ_UNIT_LABOR_COST_INDEX_FC" hidden="1">"c7905"</definedName>
    <definedName name="IQ_UNIT_LABOR_COST_INDEX_PCT_CHANGE" hidden="1">"c7024"</definedName>
    <definedName name="IQ_UNIT_LABOR_COST_INDEX_PCT_CHANGE_FC" hidden="1">"c7904"</definedName>
    <definedName name="IQ_UNIT_LABOR_COST_INDEX_PCT_CHANGE_POP" hidden="1">"c7244"</definedName>
    <definedName name="IQ_UNIT_LABOR_COST_INDEX_PCT_CHANGE_POP_FC" hidden="1">"c8124"</definedName>
    <definedName name="IQ_UNIT_LABOR_COST_INDEX_PCT_CHANGE_YOY" hidden="1">"c7464"</definedName>
    <definedName name="IQ_UNIT_LABOR_COST_INDEX_PCT_CHANGE_YOY_FC" hidden="1">"c8344"</definedName>
    <definedName name="IQ_UNIT_LABOR_COST_INDEX_POP" hidden="1">"c7245"</definedName>
    <definedName name="IQ_UNIT_LABOR_COST_INDEX_POP_FC" hidden="1">"c8125"</definedName>
    <definedName name="IQ_UNIT_LABOR_COST_INDEX_YOY" hidden="1">"c7465"</definedName>
    <definedName name="IQ_UNIT_LABOR_COST_INDEX_YOY_FC" hidden="1">"c8345"</definedName>
    <definedName name="IQ_UNLEVERED_FCF" hidden="1">"c1908"</definedName>
    <definedName name="IQ_UNPAID_CLAIMS" hidden="1">"c1330"</definedName>
    <definedName name="IQ_UNPROFITABLE_INSTITUTIONS_FDIC" hidden="1">"c6722"</definedName>
    <definedName name="IQ_UNREALIZED_GAIN" hidden="1">"c1619"</definedName>
    <definedName name="IQ_UNRECOG_TAX_BENEFIT_BEG_PERIOD" hidden="1">"c15732"</definedName>
    <definedName name="IQ_UNRECOG_TAX_BENEFIT_END_PERIOD" hidden="1">"c15740"</definedName>
    <definedName name="IQ_UNRECOG_TAX_BENEFIT_OTHER_ADJ" hidden="1">"c15739"</definedName>
    <definedName name="IQ_UNSECURED_COMMITMENTS_COMMERCIAL_RE_UNUSED_FFIEC" hidden="1">"c13246"</definedName>
    <definedName name="IQ_UNSECURED_DEBT" hidden="1">"c2548"</definedName>
    <definedName name="IQ_UNSECURED_DEBT_PCT" hidden="1">"c2549"</definedName>
    <definedName name="IQ_UNUSED_LOAN_COMMITMENTS_FDIC" hidden="1">"c6368"</definedName>
    <definedName name="IQ_UNUSUAL_EXP" hidden="1">"c18"</definedName>
    <definedName name="IQ_UPGRADE_REBUILD_CABLE_INVEST" hidden="1">"c15804"</definedName>
    <definedName name="IQ_US_ADDRESS_LEASE_FIN_REC_FFIEC" hidden="1">"c13624"</definedName>
    <definedName name="IQ_US_AGENCY_OBLIG_FFIEC" hidden="1">"c12779"</definedName>
    <definedName name="IQ_US_AGENCY_OBLIG_TRADING_DOM_FFIEC" hidden="1">"c12919"</definedName>
    <definedName name="IQ_US_AGENCY_OBLIG_TRADING_FFIEC" hidden="1">"c12814"</definedName>
    <definedName name="IQ_US_AGENCY_OBLIGATIONS_AVAIL_SALE_FFIEC" hidden="1">"c12793"</definedName>
    <definedName name="IQ_US_BANKS_OTHER_INST_FOREIGN_DEP_FFIEC" hidden="1">"c15343"</definedName>
    <definedName name="IQ_US_BRANCHES_FOREIGN_BANK_LOANS_FDIC" hidden="1">"c6435"</definedName>
    <definedName name="IQ_US_BRANCHES_FOREIGN_BANKS_FDIC" hidden="1">"c6390"</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COST_REV_ADJ" hidden="1">"c2951"</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S_GOV_AGENCIES_FDIC" hidden="1">"c6395"</definedName>
    <definedName name="IQ_US_GOV_DEPOSITS_FDIC" hidden="1">"c6483"</definedName>
    <definedName name="IQ_US_GOV_ENTERPRISES_FDIC" hidden="1">"c6396"</definedName>
    <definedName name="IQ_US_GOV_NONCURRENT_LOANS_TOTAL_NONCURRENT_FDIC" hidden="1">"c6779"</definedName>
    <definedName name="IQ_US_GOV_NONTRANSACTION_ACCOUNTS_FDIC" hidden="1">"c6546"</definedName>
    <definedName name="IQ_US_GOV_OBLIGATIONS_FDIC" hidden="1">"c6299"</definedName>
    <definedName name="IQ_US_GOV_SECURITIES_FDIC" hidden="1">"c6297"</definedName>
    <definedName name="IQ_US_GOV_TOTAL_DEPOSITS_FDIC" hidden="1">"c6472"</definedName>
    <definedName name="IQ_US_GOV_TRANSACTION_ACCOUNTS_FDIC" hidden="1">"c6538"</definedName>
    <definedName name="IQ_US_GOVT_NON_TRANS_ACCTS_FFIEC" hidden="1">"c15323"</definedName>
    <definedName name="IQ_US_GOVT_STATE_POLI_SUBD_IN_US_FOREIGN_DEP_FFIEC" hidden="1">"c15346"</definedName>
    <definedName name="IQ_US_GOVT_TRANS_ACCTS_FFIEC" hidden="1">"c15315"</definedName>
    <definedName name="IQ_US_INST_DUE_30_89_FFIEC" hidden="1">"c13268"</definedName>
    <definedName name="IQ_US_INST_DUE_90_FFIEC" hidden="1">"c13294"</definedName>
    <definedName name="IQ_US_INST_NON_ACCRUAL_FFIEC" hidden="1">"c13320"</definedName>
    <definedName name="IQ_US_SPONSORED_AGENCY_OBLIG_AVAIL_SALE_FFIEC" hidden="1">"c12794"</definedName>
    <definedName name="IQ_US_SPONSORED_AGENCY_OBLIG_FFIEC" hidden="1">"c12780"</definedName>
    <definedName name="IQ_US_TREASURY_SEC_AVAIL_SALE_FFIEC" hidden="1">"c12792"</definedName>
    <definedName name="IQ_US_TREASURY_SEC_TRADING_DOM_FFIEC" hidden="1">"c12918"</definedName>
    <definedName name="IQ_US_TREASURY_SEC_TRADING_FFIEC" hidden="1">"c12813"</definedName>
    <definedName name="IQ_US_TREASURY_SECURITIES_FDIC" hidden="1">"c6298"</definedName>
    <definedName name="IQ_US_TREASURY_SECURITIES_FFIEC" hidden="1">"c12778"</definedName>
    <definedName name="IQ_UST_SEC_GOVT_AGENCY_CORP_QUARTERLY_AVG_FFIEC" hidden="1">"c15469"</definedName>
    <definedName name="IQ_UST_SECURITIES_GOVT_AGENCY_QUARTERLY_AVG_FFIEC" hidden="1">"c15468"</definedName>
    <definedName name="IQ_UTIL_PPE_NET" hidden="1">"c1620"</definedName>
    <definedName name="IQ_UTIL_REV" hidden="1">"c2091"</definedName>
    <definedName name="IQ_UTILITY_EXPENSE" hidden="1">"c16031"</definedName>
    <definedName name="IQ_UV_PENSION_LIAB" hidden="1">"c1332"</definedName>
    <definedName name="IQ_VALUATION_ALLOWANCES_FDIC" hidden="1">"c6400"</definedName>
    <definedName name="IQ_VALUE_TRADED" hidden="1">"c1519"</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ARIABLE_RATE_DEBT" hidden="1">"c17895"</definedName>
    <definedName name="IQ_VARIABLE_RATE_DEBT_PCT" hidden="1">"c18009"</definedName>
    <definedName name="IQ_VARIABLE_RATE_PREFERREDS_INT_SENSITIVITY_FFIEC" hidden="1">"c13096"</definedName>
    <definedName name="IQ_VC_REV_OPERATING_INC_FFIEC" hidden="1">"c13388"</definedName>
    <definedName name="IQ_VC_REVENUE_FDIC" hidden="1">"c6667"</definedName>
    <definedName name="IQ_VEHICLE_ASSEMBLIES_LIGHT" hidden="1">"c6905"</definedName>
    <definedName name="IQ_VEHICLE_ASSEMBLIES_LIGHT_APR" hidden="1">"c7565"</definedName>
    <definedName name="IQ_VEHICLE_ASSEMBLIES_LIGHT_APR_FC" hidden="1">"c8445"</definedName>
    <definedName name="IQ_VEHICLE_ASSEMBLIES_LIGHT_FC" hidden="1">"c7785"</definedName>
    <definedName name="IQ_VEHICLE_ASSEMBLIES_LIGHT_NEW" hidden="1">"c6925"</definedName>
    <definedName name="IQ_VEHICLE_ASSEMBLIES_LIGHT_NEW_APR" hidden="1">"c7585"</definedName>
    <definedName name="IQ_VEHICLE_ASSEMBLIES_LIGHT_NEW_APR_FC" hidden="1">"c8465"</definedName>
    <definedName name="IQ_VEHICLE_ASSEMBLIES_LIGHT_NEW_FC" hidden="1">"c7805"</definedName>
    <definedName name="IQ_VEHICLE_ASSEMBLIES_LIGHT_NEW_POP" hidden="1">"c7145"</definedName>
    <definedName name="IQ_VEHICLE_ASSEMBLIES_LIGHT_NEW_POP_FC" hidden="1">"c8025"</definedName>
    <definedName name="IQ_VEHICLE_ASSEMBLIES_LIGHT_NEW_YOY" hidden="1">"c7365"</definedName>
    <definedName name="IQ_VEHICLE_ASSEMBLIES_LIGHT_NEW_YOY_FC" hidden="1">"c8245"</definedName>
    <definedName name="IQ_VEHICLE_ASSEMBLIES_LIGHT_POP" hidden="1">"c7125"</definedName>
    <definedName name="IQ_VEHICLE_ASSEMBLIES_LIGHT_POP_FC" hidden="1">"c8005"</definedName>
    <definedName name="IQ_VEHICLE_ASSEMBLIES_LIGHT_YOY" hidden="1">"c7345"</definedName>
    <definedName name="IQ_VEHICLE_ASSEMBLIES_LIGHT_YOY_FC" hidden="1">"c8225"</definedName>
    <definedName name="IQ_VEHICLE_ASSEMBLIES_TOTAL" hidden="1">"c7020"</definedName>
    <definedName name="IQ_VEHICLE_ASSEMBLIES_TOTAL_APR" hidden="1">"c7680"</definedName>
    <definedName name="IQ_VEHICLE_ASSEMBLIES_TOTAL_APR_FC" hidden="1">"c8560"</definedName>
    <definedName name="IQ_VEHICLE_ASSEMBLIES_TOTAL_FC" hidden="1">"c7900"</definedName>
    <definedName name="IQ_VEHICLE_ASSEMBLIES_TOTAL_POP" hidden="1">"c7240"</definedName>
    <definedName name="IQ_VEHICLE_ASSEMBLIES_TOTAL_POP_FC" hidden="1">"c8120"</definedName>
    <definedName name="IQ_VEHICLE_ASSEMBLIES_TOTAL_YOY" hidden="1">"c7460"</definedName>
    <definedName name="IQ_VEHICLE_ASSEMBLIES_TOTAL_YOY_FC" hidden="1">"c8340"</definedName>
    <definedName name="IQ_VEHICLE_LOANS" hidden="1">"c15249"</definedName>
    <definedName name="IQ_VENTURE_CAPITAL_REVENUE_FFIEC" hidden="1">"c13010"</definedName>
    <definedName name="IQ_VIF_AFTER_COST_CAPITAL_COVERED" hidden="1">"c9966"</definedName>
    <definedName name="IQ_VIF_AFTER_COST_CAPITAL_GROUP" hidden="1">"c9952"</definedName>
    <definedName name="IQ_VIF_BEFORE_COST_CAPITAL_COVERED" hidden="1">"c9964"</definedName>
    <definedName name="IQ_VIF_BEFORE_COST_CAPITAL_GROUP" hidden="1">"c9950"</definedName>
    <definedName name="IQ_VOICE_SUB_BASIC_SUB" hidden="1">"c16203"</definedName>
    <definedName name="IQ_VOICE_SUB_TOTAL_HOMES_PASSED" hidden="1">"c15770"</definedName>
    <definedName name="IQ_VOICE_SUB_VIDEO_SUB" hidden="1">"c15789"</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ATILE_LIABILITIES_FDIC" hidden="1">"c6364"</definedName>
    <definedName name="IQ_VOLUME" hidden="1">"c1333"</definedName>
    <definedName name="IQ_VWAP" hidden="1">"c13514"</definedName>
    <definedName name="IQ_WAC_CURRENT" hidden="1">"c8961"</definedName>
    <definedName name="IQ_WAC_ORIGINAL" hidden="1">"c8953"</definedName>
    <definedName name="IQ_WAM_CURRENT" hidden="1">"c8962"</definedName>
    <definedName name="IQ_WAM_ORIGINAL" hidden="1">"c8952"</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 hidden="1">50000</definedName>
    <definedName name="IQ_WEIGHTED_AVG_PRICE" hidden="1">"c1334"</definedName>
    <definedName name="IQ_WHOLESALE_INV_ALCOHOL" hidden="1">"c21105"</definedName>
    <definedName name="IQ_WHOLESALE_INV_APPAREL" hidden="1">"c21106"</definedName>
    <definedName name="IQ_WHOLESALE_INV_CHEMICALS" hidden="1">"c21107"</definedName>
    <definedName name="IQ_WHOLESALE_INV_COMPUTER" hidden="1">"c21108"</definedName>
    <definedName name="IQ_WHOLESALE_INV_DRUGS" hidden="1">"c21109"</definedName>
    <definedName name="IQ_WHOLESALE_INV_DUR" hidden="1">"c21110"</definedName>
    <definedName name="IQ_WHOLESALE_INV_DUR_MISC" hidden="1">"c21111"</definedName>
    <definedName name="IQ_WHOLESALE_INV_ELECTRIC" hidden="1">"c21112"</definedName>
    <definedName name="IQ_WHOLESALE_INV_EQUIP" hidden="1">"c21113"</definedName>
    <definedName name="IQ_WHOLESALE_INV_FARM_PRODUCT" hidden="1">"c21114"</definedName>
    <definedName name="IQ_WHOLESALE_INV_FURNITURE" hidden="1">"c21115"</definedName>
    <definedName name="IQ_WHOLESALE_INV_GROCERIES" hidden="1">"c21116"</definedName>
    <definedName name="IQ_WHOLESALE_INV_HARDWARE" hidden="1">"c21117"</definedName>
    <definedName name="IQ_WHOLESALE_INV_LUMBER" hidden="1">"c21118"</definedName>
    <definedName name="IQ_WHOLESALE_INV_MACHINERY" hidden="1">"c21119"</definedName>
    <definedName name="IQ_WHOLESALE_INV_METALS_MINERALS" hidden="1">"c21120"</definedName>
    <definedName name="IQ_WHOLESALE_INV_MOTOR_VEHICLE" hidden="1">"c21121"</definedName>
    <definedName name="IQ_WHOLESALE_INV_NONDUR" hidden="1">"c21122"</definedName>
    <definedName name="IQ_WHOLESALE_INV_NONDUR_MISC" hidden="1">"c21123"</definedName>
    <definedName name="IQ_WHOLESALE_INV_PAPER" hidden="1">"c21124"</definedName>
    <definedName name="IQ_WHOLESALE_INV_PETROLEUM" hidden="1">"c21125"</definedName>
    <definedName name="IQ_WHOLESALE_INV_SALES_RATIO_ALCOHOL" hidden="1">"c21126"</definedName>
    <definedName name="IQ_WHOLESALE_INV_SALES_RATIO_APPAREL" hidden="1">"c21127"</definedName>
    <definedName name="IQ_WHOLESALE_INV_SALES_RATIO_CHEMICALS" hidden="1">"c21128"</definedName>
    <definedName name="IQ_WHOLESALE_INV_SALES_RATIO_COMPUTER" hidden="1">"c21129"</definedName>
    <definedName name="IQ_WHOLESALE_INV_SALES_RATIO_DRUGS" hidden="1">"c21130"</definedName>
    <definedName name="IQ_WHOLESALE_INV_SALES_RATIO_DUR" hidden="1">"c21131"</definedName>
    <definedName name="IQ_WHOLESALE_INV_SALES_RATIO_DUR_MISC" hidden="1">"c21132"</definedName>
    <definedName name="IQ_WHOLESALE_INV_SALES_RATIO_ELECTRIC" hidden="1">"c21133"</definedName>
    <definedName name="IQ_WHOLESALE_INV_SALES_RATIO_EQUIP" hidden="1">"c21134"</definedName>
    <definedName name="IQ_WHOLESALE_INV_SALES_RATIO_FARM_PRODUCT" hidden="1">"c21135"</definedName>
    <definedName name="IQ_WHOLESALE_INV_SALES_RATIO_FURNITURE" hidden="1">"c21136"</definedName>
    <definedName name="IQ_WHOLESALE_INV_SALES_RATIO_GROCERIES" hidden="1">"c21137"</definedName>
    <definedName name="IQ_WHOLESALE_INV_SALES_RATIO_HARDWARE" hidden="1">"c21138"</definedName>
    <definedName name="IQ_WHOLESALE_INV_SALES_RATIO_LUMBER" hidden="1">"c21139"</definedName>
    <definedName name="IQ_WHOLESALE_INV_SALES_RATIO_MACHINERY" hidden="1">"c21140"</definedName>
    <definedName name="IQ_WHOLESALE_INV_SALES_RATIO_METALS_MINERALS" hidden="1">"c21141"</definedName>
    <definedName name="IQ_WHOLESALE_INV_SALES_RATIO_MOTOR_VEHICLE" hidden="1">"c21142"</definedName>
    <definedName name="IQ_WHOLESALE_INV_SALES_RATIO_NONDUR" hidden="1">"c21143"</definedName>
    <definedName name="IQ_WHOLESALE_INV_SALES_RATIO_NONDUR_MISC" hidden="1">"c21144"</definedName>
    <definedName name="IQ_WHOLESALE_INV_SALES_RATIO_PAPER" hidden="1">"c21145"</definedName>
    <definedName name="IQ_WHOLESALE_INV_SALES_RATIO_PETROLEUM" hidden="1">"c21146"</definedName>
    <definedName name="IQ_WHOLESALE_INV_SALES_RATIO_TOTAL" hidden="1">"c21147"</definedName>
    <definedName name="IQ_WHOLESALE_INV_TOTAL" hidden="1">"c21148"</definedName>
    <definedName name="IQ_WHOLESALE_INVENTORIES" hidden="1">"c7027"</definedName>
    <definedName name="IQ_WHOLESALE_INVENTORIES_APR" hidden="1">"c7687"</definedName>
    <definedName name="IQ_WHOLESALE_INVENTORIES_APR_FC" hidden="1">"c8567"</definedName>
    <definedName name="IQ_WHOLESALE_INVENTORIES_FC" hidden="1">"c7907"</definedName>
    <definedName name="IQ_WHOLESALE_INVENTORIES_POP" hidden="1">"c7247"</definedName>
    <definedName name="IQ_WHOLESALE_INVENTORIES_POP_FC" hidden="1">"c8127"</definedName>
    <definedName name="IQ_WHOLESALE_INVENTORIES_YOY" hidden="1">"c7467"</definedName>
    <definedName name="IQ_WHOLESALE_INVENTORIES_YOY_FC" hidden="1">"c8347"</definedName>
    <definedName name="IQ_WHOLESALE_IS_RATIO" hidden="1">"c7026"</definedName>
    <definedName name="IQ_WHOLESALE_IS_RATIO_FC" hidden="1">"c7906"</definedName>
    <definedName name="IQ_WHOLESALE_IS_RATIO_POP" hidden="1">"c7246"</definedName>
    <definedName name="IQ_WHOLESALE_IS_RATIO_POP_FC" hidden="1">"c8126"</definedName>
    <definedName name="IQ_WHOLESALE_IS_RATIO_YOY" hidden="1">"c7466"</definedName>
    <definedName name="IQ_WHOLESALE_IS_RATIO_YOY_FC" hidden="1">"c8346"</definedName>
    <definedName name="IQ_WHOLESALE_SALES" hidden="1">"c7028"</definedName>
    <definedName name="IQ_WHOLESALE_SALES_ALCOHOL" hidden="1">"c21149"</definedName>
    <definedName name="IQ_WHOLESALE_SALES_APPAREL" hidden="1">"c21150"</definedName>
    <definedName name="IQ_WHOLESALE_SALES_APR" hidden="1">"c7688"</definedName>
    <definedName name="IQ_WHOLESALE_SALES_APR_FC" hidden="1">"c8568"</definedName>
    <definedName name="IQ_WHOLESALE_SALES_CHEMICALS" hidden="1">"c21151"</definedName>
    <definedName name="IQ_WHOLESALE_SALES_COMPUTER" hidden="1">"c21152"</definedName>
    <definedName name="IQ_WHOLESALE_SALES_DRUGS" hidden="1">"c21153"</definedName>
    <definedName name="IQ_WHOLESALE_SALES_DUR" hidden="1">"c21154"</definedName>
    <definedName name="IQ_WHOLESALE_SALES_DUR_MISC" hidden="1">"c21155"</definedName>
    <definedName name="IQ_WHOLESALE_SALES_ELECTRIC" hidden="1">"c21156"</definedName>
    <definedName name="IQ_WHOLESALE_SALES_EQUIP" hidden="1">"c21157"</definedName>
    <definedName name="IQ_WHOLESALE_SALES_FARM_PRODUCT" hidden="1">"c21158"</definedName>
    <definedName name="IQ_WHOLESALE_SALES_FC" hidden="1">"c7908"</definedName>
    <definedName name="IQ_WHOLESALE_SALES_FURNITURE" hidden="1">"c21159"</definedName>
    <definedName name="IQ_WHOLESALE_SALES_GROCERIES" hidden="1">"c21160"</definedName>
    <definedName name="IQ_WHOLESALE_SALES_HARDWARE" hidden="1">"c21161"</definedName>
    <definedName name="IQ_WHOLESALE_SALES_INDEX" hidden="1">"c7029"</definedName>
    <definedName name="IQ_WHOLESALE_SALES_INDEX_APR" hidden="1">"c7689"</definedName>
    <definedName name="IQ_WHOLESALE_SALES_INDEX_APR_FC" hidden="1">"c8569"</definedName>
    <definedName name="IQ_WHOLESALE_SALES_INDEX_FC" hidden="1">"c7909"</definedName>
    <definedName name="IQ_WHOLESALE_SALES_INDEX_POP" hidden="1">"c7249"</definedName>
    <definedName name="IQ_WHOLESALE_SALES_INDEX_POP_FC" hidden="1">"c8129"</definedName>
    <definedName name="IQ_WHOLESALE_SALES_INDEX_YOY" hidden="1">"c7469"</definedName>
    <definedName name="IQ_WHOLESALE_SALES_INDEX_YOY_FC" hidden="1">"c8349"</definedName>
    <definedName name="IQ_WHOLESALE_SALES_LUMBER" hidden="1">"c21162"</definedName>
    <definedName name="IQ_WHOLESALE_SALES_MACHINERY" hidden="1">"c21163"</definedName>
    <definedName name="IQ_WHOLESALE_SALES_METALS_MINERALS" hidden="1">"c21164"</definedName>
    <definedName name="IQ_WHOLESALE_SALES_MOTOR_VEHICLE" hidden="1">"c21165"</definedName>
    <definedName name="IQ_WHOLESALE_SALES_NONDUR" hidden="1">"c21166"</definedName>
    <definedName name="IQ_WHOLESALE_SALES_NONDUR_MISC" hidden="1">"c21167"</definedName>
    <definedName name="IQ_WHOLESALE_SALES_PAPER" hidden="1">"c21168"</definedName>
    <definedName name="IQ_WHOLESALE_SALES_PETROLEUM" hidden="1">"c21169"</definedName>
    <definedName name="IQ_WHOLESALE_SALES_POP" hidden="1">"c7248"</definedName>
    <definedName name="IQ_WHOLESALE_SALES_POP_FC" hidden="1">"c8128"</definedName>
    <definedName name="IQ_WHOLESALE_SALES_TOTAL" hidden="1">"c21170"</definedName>
    <definedName name="IQ_WHOLESALE_SALES_YOY" hidden="1">"c7468"</definedName>
    <definedName name="IQ_WHOLESALE_SALES_YOY_FC" hidden="1">"c8348"</definedName>
    <definedName name="IQ_WIP_INV" hidden="1">"c1335"</definedName>
    <definedName name="IQ_WIRELESS_PENETRATION" hidden="1">"c15767"</definedName>
    <definedName name="IQ_WORKING_CAP" hidden="1">"c3494"</definedName>
    <definedName name="IQ_WORKMEN_WRITTEN" hidden="1">"c1336"</definedName>
    <definedName name="IQ_WRITTEN_OPTION_CONTRACTS_FDIC" hidden="1">"c6509"</definedName>
    <definedName name="IQ_WRITTEN_OPTION_CONTRACTS_FX_RISK_FDIC" hidden="1">"c6514"</definedName>
    <definedName name="IQ_WRITTEN_OPTION_CONTRACTS_NON_FX_IR_FDIC" hidden="1">"c6519"</definedName>
    <definedName name="IQ_WTD_AVG_IR_AFTER_FIVE" hidden="1">"c15700"</definedName>
    <definedName name="IQ_WTD_AVG_IR_CY" hidden="1">"c15695"</definedName>
    <definedName name="IQ_WTD_AVG_IR_CY1" hidden="1">"c15696"</definedName>
    <definedName name="IQ_WTD_AVG_IR_CY2" hidden="1">"c15697"</definedName>
    <definedName name="IQ_WTD_AVG_IR_CY3" hidden="1">"c15698"</definedName>
    <definedName name="IQ_WTD_AVG_IR_CY4" hidden="1">"c15699"</definedName>
    <definedName name="IQ_WTD_AVG_IR_LT_DEBT" hidden="1">"c15693"</definedName>
    <definedName name="IQ_WTD_AVG_IR_TOTAL_DEBT" hidden="1">"c15694"</definedName>
    <definedName name="IQ_XDIV_DATE" hidden="1">"c2104"</definedName>
    <definedName name="IQ_YEAR_FOUNDED" hidden="1">"c6793"</definedName>
    <definedName name="IQ_YEARHIGH" hidden="1">"c1337"</definedName>
    <definedName name="IQ_YEARHIGH_DATE" hidden="1">"c2250"</definedName>
    <definedName name="IQ_YEARHIGH_RT" hidden="1">"YEARHIGH"</definedName>
    <definedName name="IQ_YEARLOW" hidden="1">"c1338"</definedName>
    <definedName name="IQ_YEARLOW_DATE" hidden="1">"c2251"</definedName>
    <definedName name="IQ_YEARLOW_RT" hidden="1">"YEARLOW"</definedName>
    <definedName name="IQ_YIELD_FED_FUNDS_SOLD_FFIEC" hidden="1">"c13487"</definedName>
    <definedName name="IQ_YIELD_TRADING_ASSETS_FFIEC" hidden="1">"c13488"</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Q_ZERO_COUPON_DEBT" hidden="1">"c17896"</definedName>
    <definedName name="IQ_ZERO_COUPON_DEBT_PCT" hidden="1">"c18010"</definedName>
    <definedName name="IQB_BOOKMARK_COUNT" hidden="1">1</definedName>
    <definedName name="IQB_BOOKMARK_LOCATION_0" hidden="1">#REF!</definedName>
    <definedName name="IQB_CURRENT_BOOKMARK" hidden="1">0</definedName>
    <definedName name="IQNAMESREVISIONDATE3xMerge" hidden="1">40814.8169212962</definedName>
    <definedName name="IQNamesRevisionDateEP" hidden="1">40814.8169212962</definedName>
    <definedName name="IQRA11" hidden="1">"$A$12:$A$517"</definedName>
    <definedName name="IQRA13" hidden="1">"$A$14:$A$265"</definedName>
    <definedName name="IQRA14" hidden="1">"$A$15:$A$520"</definedName>
    <definedName name="IQRA2" hidden="1">"$A$3:$A$45"</definedName>
    <definedName name="IQRA3" hidden="1">"$A$4:$A$509"</definedName>
    <definedName name="IQRA8" hidden="1">"$A$9:$A$964"</definedName>
    <definedName name="IQRAA12" hidden="1">"$AA$13"</definedName>
    <definedName name="IQRAA13" hidden="1">"$AA$14"</definedName>
    <definedName name="IQRAB12" hidden="1">"$AB$13"</definedName>
    <definedName name="IQRAcquisitionsAA3" hidden="1">#REF!</definedName>
    <definedName name="IQRAcquisitionsAB3" hidden="1">#REF!</definedName>
    <definedName name="IQRAcquisitionsAC3" hidden="1">#REF!</definedName>
    <definedName name="IQRAcquisitionsB3" hidden="1">#REF!</definedName>
    <definedName name="IQRAcquisitionsC3" hidden="1">#REF!</definedName>
    <definedName name="IQRAcquisitionsD3" hidden="1">#REF!</definedName>
    <definedName name="IQRAcquisitionsE3" hidden="1">#REF!</definedName>
    <definedName name="IQRAcquisitionsF3" hidden="1">#REF!</definedName>
    <definedName name="IQRAcquisitionsG3" hidden="1">#REF!</definedName>
    <definedName name="IQRAcquisitionsH3" hidden="1">#REF!</definedName>
    <definedName name="IQRAcquisitionsI3" hidden="1">#REF!</definedName>
    <definedName name="IQRAcquisitionsJ3" hidden="1">#REF!</definedName>
    <definedName name="IQRAcquisitionsK3" hidden="1">#REF!</definedName>
    <definedName name="IQRAcquisitionsL3" hidden="1">#REF!</definedName>
    <definedName name="IQRAcquisitionsM3" hidden="1">#REF!</definedName>
    <definedName name="IQRAcquisitionsN3" hidden="1">#REF!</definedName>
    <definedName name="IQRAcquisitionsO3" hidden="1">#REF!</definedName>
    <definedName name="IQRAcquisitionsP3" hidden="1">#REF!</definedName>
    <definedName name="IQRAcquisitionsQ3" hidden="1">#REF!</definedName>
    <definedName name="IQRAcquisitionsR3" hidden="1">#REF!</definedName>
    <definedName name="IQRAcquisitionsS3" hidden="1">#REF!</definedName>
    <definedName name="IQRAcquisitionsT3" hidden="1">#REF!</definedName>
    <definedName name="IQRAcquisitionsU3" hidden="1">#REF!</definedName>
    <definedName name="IQRAcquisitionsV3" hidden="1">#REF!</definedName>
    <definedName name="IQRAcquisitionsW3" hidden="1">#REF!</definedName>
    <definedName name="IQRAcquisitionsY3" hidden="1">#REF!</definedName>
    <definedName name="IQRAcquisitionsZ3" hidden="1">#REF!</definedName>
    <definedName name="IQRAM13" hidden="1">"$AM$14:$AM$18"</definedName>
    <definedName name="IQRAN114" hidden="1">"$AN$115:$AN$134"</definedName>
    <definedName name="IQRAQ5" hidden="1">"$AQ$6"</definedName>
    <definedName name="IQRAR36" hidden="1">"$AR$37:$AR$67"</definedName>
    <definedName name="IQRAR6" hidden="1">"$AR$7:$AR$24"</definedName>
    <definedName name="IQRAR7" hidden="1">"$AR$8:$AR$16"</definedName>
    <definedName name="IQRAR8" hidden="1">"$AR$9:$AR$15"</definedName>
    <definedName name="IQRAR9" hidden="1">"$AR$10:$AR$23"</definedName>
    <definedName name="IQRB11" hidden="1">"$B$12:$B$16"</definedName>
    <definedName name="IQRB13" hidden="1">"$B$14:$B$270"</definedName>
    <definedName name="IQRB14" hidden="1">"$B$15:$B$267"</definedName>
    <definedName name="IQRB15" hidden="1">"$B$16:$B$268"</definedName>
    <definedName name="IQRB16" hidden="1">"$B$17:$B$269"</definedName>
    <definedName name="IQRB17" hidden="1">"$B$18:$B$270"</definedName>
    <definedName name="IQRB18" hidden="1">"$B$19:$B$271"</definedName>
    <definedName name="IQRB2" hidden="1">"$B$3:$B$45"</definedName>
    <definedName name="IQRB23" hidden="1">"$B$24:$B$276"</definedName>
    <definedName name="IQRB27" hidden="1">"$B$28:$B$280"</definedName>
    <definedName name="IQRB29" hidden="1">"$B$30:$B$282"</definedName>
    <definedName name="IQRB3" hidden="1">"$B$4:$B$256"</definedName>
    <definedName name="IQRB30" hidden="1">"$B$31:$B$283"</definedName>
    <definedName name="IQRB31" hidden="1">"$B$32:$B$284"</definedName>
    <definedName name="IQRB32" hidden="1">"$B$33:$B$285"</definedName>
    <definedName name="IQRB33" hidden="1">"$B$34:$B$286"</definedName>
    <definedName name="IQRB4" hidden="1">"$B$5:$B$256"</definedName>
    <definedName name="IQRB8" hidden="1">"$B$9:$B$964"</definedName>
    <definedName name="IQRBackupD5" hidden="1">#REF!</definedName>
    <definedName name="IQRBB40" hidden="1">"$BB$41:$BB$45"</definedName>
    <definedName name="IQRBSCashA2" hidden="1">#REF!</definedName>
    <definedName name="IQRBSCashB2" hidden="1">#REF!</definedName>
    <definedName name="IQRC10" hidden="1">"$C$11:$C$263"</definedName>
    <definedName name="IQRC11" hidden="1">"$C$12:$C$967"</definedName>
    <definedName name="IQRC12" hidden="1">"$C$13"</definedName>
    <definedName name="IQRC13" hidden="1">"$C$14:$C$265"</definedName>
    <definedName name="IQRC14" hidden="1">"$C$15:$C$267"</definedName>
    <definedName name="IQRC15" hidden="1">"$C$16:$C$268"</definedName>
    <definedName name="IQRC16" hidden="1">"$C$17:$C$269"</definedName>
    <definedName name="IQRC17" hidden="1">"$C$18:$C$270"</definedName>
    <definedName name="IQRC18" hidden="1">"$C$19:$C$271"</definedName>
    <definedName name="IQRC23" hidden="1">"$C$24:$C$276"</definedName>
    <definedName name="IQRC27" hidden="1">"$C$28:$C$280"</definedName>
    <definedName name="IQRC29" hidden="1">"$C$30:$C$282"</definedName>
    <definedName name="IQRC3" hidden="1">"$C$4:$C$65"</definedName>
    <definedName name="IQRC30" hidden="1">"$C$31:$C$283"</definedName>
    <definedName name="IQRC31" hidden="1">"$C$32:$C$284"</definedName>
    <definedName name="IQRC32" hidden="1">"$C$33:$C$285"</definedName>
    <definedName name="IQRC33" hidden="1">"$C$34:$C$286"</definedName>
    <definedName name="IQRC4" hidden="1">"$C$5:$C$175"</definedName>
    <definedName name="IQRC8" hidden="1">"$C$9:$C$964"</definedName>
    <definedName name="IQRCompaniesCIQOutputH12" hidden="1">#REF!</definedName>
    <definedName name="IQRCompaniesCIQOutputH13" hidden="1">#REF!</definedName>
    <definedName name="IQRCompaniesCIQOutputH14" hidden="1">#REF!</definedName>
    <definedName name="IQRCompaniesCIQOutputH15" hidden="1">#REF!</definedName>
    <definedName name="IQRCompaniesCIQOutputH16" hidden="1">#REF!</definedName>
    <definedName name="IQRCompaniesCIQOutputH17" hidden="1">#REF!</definedName>
    <definedName name="IQRCompaniesCIQOutputH18" hidden="1">#REF!</definedName>
    <definedName name="IQRCompaniesCIQOutputH19" hidden="1">#REF!</definedName>
    <definedName name="IQRCompaniesCIQOutputH20" hidden="1">#REF!</definedName>
    <definedName name="IQRCompaniesCIQOutputH21" hidden="1">#REF!</definedName>
    <definedName name="IQRCompaniesCIQOutputH22" hidden="1">#REF!</definedName>
    <definedName name="IQRCompaniesCIQOutputH23" hidden="1">#REF!</definedName>
    <definedName name="IQRCompaniesCIQOutputH24" hidden="1">#REF!</definedName>
    <definedName name="IQRCompaniesCIQOutputH25" hidden="1">#REF!</definedName>
    <definedName name="IQRCompaniesCIQOutputH26" hidden="1">#REF!</definedName>
    <definedName name="IQRCompaniesCIQOutputH27" hidden="1">#REF!</definedName>
    <definedName name="IQRCompaniesCIQOutputH28" hidden="1">#REF!</definedName>
    <definedName name="IQRCompaniesCIQOutputH29" hidden="1">#REF!</definedName>
    <definedName name="IQRCompaniesCIQOutputH30" hidden="1">#REF!</definedName>
    <definedName name="IQRCompaniesCIQOutputH31" hidden="1">#REF!</definedName>
    <definedName name="IQRCompaniesCIQOutputH32" hidden="1">#REF!</definedName>
    <definedName name="IQRCompaniesCIQOutputH33" hidden="1">#REF!</definedName>
    <definedName name="IQRCompaniesCIQOutputH34" hidden="1">#REF!</definedName>
    <definedName name="IQRCompaniesCIQOutputH35" hidden="1">#REF!</definedName>
    <definedName name="IQRCompaniesCIQOutputH36" hidden="1">#REF!</definedName>
    <definedName name="IQRCompaniesCIQOutputH37" hidden="1">#REF!</definedName>
    <definedName name="IQRCompaniesCIQOutputH38" hidden="1">#REF!</definedName>
    <definedName name="IQRCompaniesCIQOutputH39" hidden="1">#REF!</definedName>
    <definedName name="IQRCompaniesCIQOutputH40" hidden="1">#REF!</definedName>
    <definedName name="IQRCompaniesCIQOutputH41" hidden="1">#REF!</definedName>
    <definedName name="IQRCompaniesCIQOutputH42" hidden="1">#REF!</definedName>
    <definedName name="IQRCompaniesCIQOutputH43" hidden="1">#REF!</definedName>
    <definedName name="IQRCompaniesCIQOutputN12" hidden="1">#REF!</definedName>
    <definedName name="IQRCompaniesCIQOutputN13" hidden="1">#REF!</definedName>
    <definedName name="IQRCompaniesCIQOutputN14" hidden="1">#REF!</definedName>
    <definedName name="IQRCompaniesCIQOutputN15" hidden="1">#REF!</definedName>
    <definedName name="IQRCompaniesCIQOutputN16" hidden="1">#REF!</definedName>
    <definedName name="IQRCompaniesCIQOutputN17" hidden="1">#REF!</definedName>
    <definedName name="IQRCompaniesCIQOutputN18" hidden="1">#REF!</definedName>
    <definedName name="IQRCompaniesCIQOutputN19" hidden="1">#REF!</definedName>
    <definedName name="IQRCompaniesCIQOutputN20" hidden="1">#REF!</definedName>
    <definedName name="IQRCompaniesCIQOutputN21" hidden="1">#REF!</definedName>
    <definedName name="IQRCompaniesCIQOutputN22" hidden="1">#REF!</definedName>
    <definedName name="IQRCompaniesCIQOutputN23" hidden="1">#REF!</definedName>
    <definedName name="IQRCompaniesCIQOutputN24" hidden="1">#REF!</definedName>
    <definedName name="IQRCompaniesCIQOutputN25" hidden="1">#REF!</definedName>
    <definedName name="IQRCompaniesCIQOutputN26" hidden="1">#REF!</definedName>
    <definedName name="IQRCompaniesCIQOutputN27" hidden="1">#REF!</definedName>
    <definedName name="IQRCompaniesCIQOutputN28" hidden="1">#REF!</definedName>
    <definedName name="IQRCompaniesCIQOutputN29" hidden="1">#REF!</definedName>
    <definedName name="IQRCompaniesCIQOutputN30" hidden="1">#REF!</definedName>
    <definedName name="IQRCompaniesCIQOutputN31" hidden="1">#REF!</definedName>
    <definedName name="IQRCompaniesCIQOutputN32" hidden="1">#REF!</definedName>
    <definedName name="IQRCompaniesCIQOutputN33" hidden="1">#REF!</definedName>
    <definedName name="IQRCompaniesCIQOutputN34" hidden="1">#REF!</definedName>
    <definedName name="IQRCompaniesCIQOutputN35" hidden="1">#REF!</definedName>
    <definedName name="IQRCompaniesCIQOutputN36" hidden="1">#REF!</definedName>
    <definedName name="IQRCompaniesCIQOutputN37" hidden="1">#REF!</definedName>
    <definedName name="IQRCompaniesCIQOutputN38" hidden="1">#REF!</definedName>
    <definedName name="IQRCompaniesCIQOutputN39" hidden="1">#REF!</definedName>
    <definedName name="IQRCompaniesCIQOutputN40" hidden="1">#REF!</definedName>
    <definedName name="IQRCompaniesCIQOutputN41" hidden="1">#REF!</definedName>
    <definedName name="IQRCompaniesCIQOutputN42" hidden="1">#REF!</definedName>
    <definedName name="IQRCompaniesCIQOutputN43" hidden="1">#REF!</definedName>
    <definedName name="IQRCompaniesH102" hidden="1">#REF!</definedName>
    <definedName name="IQRCompaniesH103" hidden="1">#REF!</definedName>
    <definedName name="IQRCompaniesH105" hidden="1">#REF!</definedName>
    <definedName name="IQRCompaniesH107" hidden="1">#REF!</definedName>
    <definedName name="IQRCompaniesH108" hidden="1">#REF!</definedName>
    <definedName name="IQRCompaniesH109" hidden="1">#REF!</definedName>
    <definedName name="IQRCompaniesH110" hidden="1">#REF!</definedName>
    <definedName name="IQRCompaniesH114" hidden="1">#REF!</definedName>
    <definedName name="IQRCompaniesH115" hidden="1">#REF!</definedName>
    <definedName name="IQRCompaniesH116" hidden="1">#REF!</definedName>
    <definedName name="IQRCompaniesH118" hidden="1">#REF!</definedName>
    <definedName name="IQRCompaniesH119" hidden="1">#REF!</definedName>
    <definedName name="IQRCompaniesH12" hidden="1">#REF!</definedName>
    <definedName name="IQRCompaniesH121" hidden="1">#REF!</definedName>
    <definedName name="IQRCompaniesH123" hidden="1">#REF!</definedName>
    <definedName name="IQRCompaniesH124" hidden="1">#REF!</definedName>
    <definedName name="IQRCompaniesH129" hidden="1">#REF!</definedName>
    <definedName name="IQRCompaniesH13" hidden="1">#REF!</definedName>
    <definedName name="IQRCompaniesH133" hidden="1">#REF!</definedName>
    <definedName name="IQRCompaniesH135" hidden="1">#REF!</definedName>
    <definedName name="IQRCompaniesH136" hidden="1">#REF!</definedName>
    <definedName name="IQRCompaniesH138" hidden="1">#REF!</definedName>
    <definedName name="IQRCompaniesH14" hidden="1">#REF!</definedName>
    <definedName name="IQRCompaniesH140" hidden="1">#REF!</definedName>
    <definedName name="IQRCompaniesH141" hidden="1">#REF!</definedName>
    <definedName name="IQRCompaniesH143" hidden="1">#REF!</definedName>
    <definedName name="IQRCompaniesH147" hidden="1">#REF!</definedName>
    <definedName name="IQRCompaniesH148" hidden="1">#REF!</definedName>
    <definedName name="IQRCompaniesH15" hidden="1">#REF!</definedName>
    <definedName name="IQRCompaniesH152" hidden="1">#REF!</definedName>
    <definedName name="IQRCompaniesH154" hidden="1">#REF!</definedName>
    <definedName name="IQRCompaniesH155" hidden="1">#REF!</definedName>
    <definedName name="IQRCompaniesH158" hidden="1">#REF!</definedName>
    <definedName name="IQRCompaniesH16" hidden="1">#REF!</definedName>
    <definedName name="IQRCompaniesH17" hidden="1">#REF!</definedName>
    <definedName name="IQRCompaniesH18" hidden="1">#REF!</definedName>
    <definedName name="IQRCompaniesH19" hidden="1">#REF!</definedName>
    <definedName name="IQRCompaniesH20" hidden="1">#REF!</definedName>
    <definedName name="IQRCompaniesH21" hidden="1">#REF!</definedName>
    <definedName name="IQRCompaniesH22" hidden="1">#REF!</definedName>
    <definedName name="IQRCompaniesH23" hidden="1">#REF!</definedName>
    <definedName name="IQRCompaniesH24" hidden="1">#REF!</definedName>
    <definedName name="IQRCompaniesH25" hidden="1">#REF!</definedName>
    <definedName name="IQRCompaniesH26" hidden="1">#REF!</definedName>
    <definedName name="IQRCompaniesH27" hidden="1">#REF!</definedName>
    <definedName name="IQRCompaniesH28" hidden="1">#REF!</definedName>
    <definedName name="IQRCompaniesH29" hidden="1">#REF!</definedName>
    <definedName name="IQRCompaniesH30" hidden="1">#REF!</definedName>
    <definedName name="IQRCompaniesH31" hidden="1">#REF!</definedName>
    <definedName name="IQRCompaniesH32" hidden="1">#REF!</definedName>
    <definedName name="IQRCompaniesH33" hidden="1">#REF!</definedName>
    <definedName name="IQRCompaniesH34" hidden="1">#REF!</definedName>
    <definedName name="IQRCompaniesH35" hidden="1">#REF!</definedName>
    <definedName name="IQRCompaniesH36" hidden="1">#REF!</definedName>
    <definedName name="IQRCompaniesH37" hidden="1">#REF!</definedName>
    <definedName name="IQRCompaniesH38" hidden="1">#REF!</definedName>
    <definedName name="IQRCompaniesH39" hidden="1">#REF!</definedName>
    <definedName name="IQRCompaniesH40" hidden="1">#REF!</definedName>
    <definedName name="IQRCompaniesH41" hidden="1">#REF!</definedName>
    <definedName name="IQRCompaniesH42" hidden="1">#REF!</definedName>
    <definedName name="IQRCompaniesH43" hidden="1">#REF!</definedName>
    <definedName name="IQRCompaniesH44" hidden="1">#REF!</definedName>
    <definedName name="IQRCompaniesH45" hidden="1">#REF!</definedName>
    <definedName name="IQRCompaniesH46" hidden="1">#REF!</definedName>
    <definedName name="IQRCompaniesH47" hidden="1">#REF!</definedName>
    <definedName name="IQRCompaniesH48" hidden="1">#REF!</definedName>
    <definedName name="IQRCompaniesH49" hidden="1">#REF!</definedName>
    <definedName name="IQRCompaniesH50" hidden="1">#REF!</definedName>
    <definedName name="IQRCompaniesH51" hidden="1">#REF!</definedName>
    <definedName name="IQRCompaniesH52" hidden="1">#REF!</definedName>
    <definedName name="IQRCompaniesH53" hidden="1">#REF!</definedName>
    <definedName name="IQRCompaniesH54" hidden="1">#REF!</definedName>
    <definedName name="IQRCompaniesH55" hidden="1">#REF!</definedName>
    <definedName name="IQRCompaniesH56" hidden="1">#REF!</definedName>
    <definedName name="IQRCompaniesH57" hidden="1">#REF!</definedName>
    <definedName name="IQRCompaniesH58" hidden="1">#REF!</definedName>
    <definedName name="IQRCompaniesH59" hidden="1">#REF!</definedName>
    <definedName name="IQRCompaniesH60" hidden="1">#REF!</definedName>
    <definedName name="IQRCompaniesH61" hidden="1">#REF!</definedName>
    <definedName name="IQRCompaniesH62" hidden="1">#REF!</definedName>
    <definedName name="IQRCompaniesH63" hidden="1">#REF!</definedName>
    <definedName name="IQRCompaniesH64" hidden="1">#REF!</definedName>
    <definedName name="IQRCompaniesH65" hidden="1">#REF!</definedName>
    <definedName name="IQRCompaniesH66" hidden="1">#REF!</definedName>
    <definedName name="IQRCompaniesH67" hidden="1">#REF!</definedName>
    <definedName name="IQRCompaniesH68" hidden="1">#REF!</definedName>
    <definedName name="IQRCompaniesH69" hidden="1">#REF!</definedName>
    <definedName name="IQRCompaniesH70" hidden="1">#REF!</definedName>
    <definedName name="IQRCompaniesH71" hidden="1">#REF!</definedName>
    <definedName name="IQRCompaniesH72" hidden="1">#REF!</definedName>
    <definedName name="IQRCompaniesH73" hidden="1">#REF!</definedName>
    <definedName name="IQRCompaniesH74" hidden="1">#REF!</definedName>
    <definedName name="IQRCompaniesH75" hidden="1">#REF!</definedName>
    <definedName name="IQRCompaniesH76" hidden="1">#REF!</definedName>
    <definedName name="IQRCompaniesH77" hidden="1">#REF!</definedName>
    <definedName name="IQRCompaniesH78" hidden="1">#REF!</definedName>
    <definedName name="IQRCompaniesH79" hidden="1">#REF!</definedName>
    <definedName name="IQRCompaniesH80" hidden="1">#REF!</definedName>
    <definedName name="IQRCompaniesH81" hidden="1">#REF!</definedName>
    <definedName name="IQRCompaniesH82" hidden="1">#REF!</definedName>
    <definedName name="IQRCompaniesH83" hidden="1">#REF!</definedName>
    <definedName name="IQRCompaniesH84" hidden="1">#REF!</definedName>
    <definedName name="IQRCompaniesH86" hidden="1">#REF!</definedName>
    <definedName name="IQRCompaniesH88" hidden="1">#REF!</definedName>
    <definedName name="IQRCompaniesH91" hidden="1">#REF!</definedName>
    <definedName name="IQRCompaniesH94" hidden="1">#REF!</definedName>
    <definedName name="IQRCompaniesH95" hidden="1">#REF!</definedName>
    <definedName name="IQRCompaniesH96" hidden="1">#REF!</definedName>
    <definedName name="IQRCompaniesH97" hidden="1">#REF!</definedName>
    <definedName name="IQRCompaniesH99" hidden="1">#REF!</definedName>
    <definedName name="IQRCompaniesN102" hidden="1">#REF!</definedName>
    <definedName name="IQRCompaniesN103" hidden="1">#REF!</definedName>
    <definedName name="IQRCompaniesN105" hidden="1">#REF!</definedName>
    <definedName name="IQRCompaniesN107" hidden="1">#REF!</definedName>
    <definedName name="IQRCompaniesN108" hidden="1">#REF!</definedName>
    <definedName name="IQRCompaniesN109" hidden="1">#REF!</definedName>
    <definedName name="IQRCompaniesN110" hidden="1">#REF!</definedName>
    <definedName name="IQRCompaniesN114" hidden="1">#REF!</definedName>
    <definedName name="IQRCompaniesN115" hidden="1">#REF!</definedName>
    <definedName name="IQRCompaniesN116" hidden="1">#REF!</definedName>
    <definedName name="IQRCompaniesN118" hidden="1">#REF!</definedName>
    <definedName name="IQRCompaniesN119" hidden="1">#REF!</definedName>
    <definedName name="IQRCompaniesN12" hidden="1">#REF!</definedName>
    <definedName name="IQRCompaniesN121" hidden="1">#REF!</definedName>
    <definedName name="IQRCompaniesN123" hidden="1">#REF!</definedName>
    <definedName name="IQRCompaniesN124" hidden="1">#REF!</definedName>
    <definedName name="IQRCompaniesN129" hidden="1">#REF!</definedName>
    <definedName name="IQRCompaniesN13" hidden="1">#REF!</definedName>
    <definedName name="IQRCompaniesN133" hidden="1">#REF!</definedName>
    <definedName name="IQRCompaniesN135" hidden="1">#REF!</definedName>
    <definedName name="IQRCompaniesN136" hidden="1">#REF!</definedName>
    <definedName name="IQRCompaniesN138" hidden="1">#REF!</definedName>
    <definedName name="IQRCompaniesN14" hidden="1">#REF!</definedName>
    <definedName name="IQRCompaniesN140" hidden="1">#REF!</definedName>
    <definedName name="IQRCompaniesN141" hidden="1">#REF!</definedName>
    <definedName name="IQRCompaniesN143" hidden="1">#REF!</definedName>
    <definedName name="IQRCompaniesN147" hidden="1">#REF!</definedName>
    <definedName name="IQRCompaniesN148" hidden="1">#REF!</definedName>
    <definedName name="IQRCompaniesN15" hidden="1">#REF!</definedName>
    <definedName name="IQRCompaniesN152" hidden="1">#REF!</definedName>
    <definedName name="IQRCompaniesN154" hidden="1">#REF!</definedName>
    <definedName name="IQRCompaniesN155" hidden="1">#REF!</definedName>
    <definedName name="IQRCompaniesN158" hidden="1">#REF!</definedName>
    <definedName name="IQRCompaniesN16" hidden="1">#REF!</definedName>
    <definedName name="IQRCompaniesN17" hidden="1">#REF!</definedName>
    <definedName name="IQRCompaniesN18" hidden="1">#REF!</definedName>
    <definedName name="IQRCompaniesN19" hidden="1">#REF!</definedName>
    <definedName name="IQRCompaniesN20" hidden="1">#REF!</definedName>
    <definedName name="IQRCompaniesN21" hidden="1">#REF!</definedName>
    <definedName name="IQRCompaniesN22" hidden="1">#REF!</definedName>
    <definedName name="IQRCompaniesN23" hidden="1">#REF!</definedName>
    <definedName name="IQRCompaniesN24" hidden="1">#REF!</definedName>
    <definedName name="IQRCompaniesN25" hidden="1">#REF!</definedName>
    <definedName name="IQRCompaniesN26" hidden="1">#REF!</definedName>
    <definedName name="IQRCompaniesN27" hidden="1">#REF!</definedName>
    <definedName name="IQRCompaniesN28" hidden="1">#REF!</definedName>
    <definedName name="IQRCompaniesN29" hidden="1">#REF!</definedName>
    <definedName name="IQRCompaniesN30" hidden="1">#REF!</definedName>
    <definedName name="IQRCompaniesN31" hidden="1">#REF!</definedName>
    <definedName name="IQRCompaniesN32" hidden="1">#REF!</definedName>
    <definedName name="IQRCompaniesN33" hidden="1">#REF!</definedName>
    <definedName name="IQRCompaniesN34" hidden="1">#REF!</definedName>
    <definedName name="IQRCompaniesN35" hidden="1">#REF!</definedName>
    <definedName name="IQRCompaniesN36" hidden="1">#REF!</definedName>
    <definedName name="IQRCompaniesN37" hidden="1">#REF!</definedName>
    <definedName name="IQRCompaniesN38" hidden="1">#REF!</definedName>
    <definedName name="IQRCompaniesN39" hidden="1">#REF!</definedName>
    <definedName name="IQRCompaniesN40" hidden="1">#REF!</definedName>
    <definedName name="IQRCompaniesN41" hidden="1">#REF!</definedName>
    <definedName name="IQRCompaniesN42" hidden="1">#REF!</definedName>
    <definedName name="IQRCompaniesN43" hidden="1">#REF!</definedName>
    <definedName name="IQRCompaniesN44" hidden="1">#REF!</definedName>
    <definedName name="IQRCompaniesN45" hidden="1">#REF!</definedName>
    <definedName name="IQRCompaniesN46" hidden="1">#REF!</definedName>
    <definedName name="IQRCompaniesN47" hidden="1">#REF!</definedName>
    <definedName name="IQRCompaniesN48" hidden="1">#REF!</definedName>
    <definedName name="IQRCompaniesN49" hidden="1">#REF!</definedName>
    <definedName name="IQRCompaniesN50" hidden="1">#REF!</definedName>
    <definedName name="IQRCompaniesN51" hidden="1">#REF!</definedName>
    <definedName name="IQRCompaniesN52" hidden="1">#REF!</definedName>
    <definedName name="IQRCompaniesN53" hidden="1">#REF!</definedName>
    <definedName name="IQRCompaniesN54" hidden="1">#REF!</definedName>
    <definedName name="IQRCompaniesN55" hidden="1">#REF!</definedName>
    <definedName name="IQRCompaniesN56" hidden="1">#REF!</definedName>
    <definedName name="IQRCompaniesN57" hidden="1">#REF!</definedName>
    <definedName name="IQRCompaniesN58" hidden="1">#REF!</definedName>
    <definedName name="IQRCompaniesN59" hidden="1">#REF!</definedName>
    <definedName name="IQRCompaniesN60" hidden="1">#REF!</definedName>
    <definedName name="IQRCompaniesN61" hidden="1">#REF!</definedName>
    <definedName name="IQRCompaniesN62" hidden="1">#REF!</definedName>
    <definedName name="IQRCompaniesN63" hidden="1">#REF!</definedName>
    <definedName name="IQRCompaniesN64" hidden="1">#REF!</definedName>
    <definedName name="IQRCompaniesN65" hidden="1">#REF!</definedName>
    <definedName name="IQRCompaniesN66" hidden="1">#REF!</definedName>
    <definedName name="IQRCompaniesN67" hidden="1">#REF!</definedName>
    <definedName name="IQRCompaniesN68" hidden="1">#REF!</definedName>
    <definedName name="IQRCompaniesN69" hidden="1">#REF!</definedName>
    <definedName name="IQRCompaniesN70" hidden="1">#REF!</definedName>
    <definedName name="IQRCompaniesN71" hidden="1">#REF!</definedName>
    <definedName name="IQRCompaniesN72" hidden="1">#REF!</definedName>
    <definedName name="IQRCompaniesN73" hidden="1">#REF!</definedName>
    <definedName name="IQRCompaniesN74" hidden="1">#REF!</definedName>
    <definedName name="IQRCompaniesN75" hidden="1">#REF!</definedName>
    <definedName name="IQRCompaniesN76" hidden="1">#REF!</definedName>
    <definedName name="IQRCompaniesN77" hidden="1">#REF!</definedName>
    <definedName name="IQRCompaniesN78" hidden="1">#REF!</definedName>
    <definedName name="IQRCompaniesN79" hidden="1">#REF!</definedName>
    <definedName name="IQRCompaniesN80" hidden="1">#REF!</definedName>
    <definedName name="IQRCompaniesN81" hidden="1">#REF!</definedName>
    <definedName name="IQRCompaniesN82" hidden="1">#REF!</definedName>
    <definedName name="IQRCompaniesN83" hidden="1">#REF!</definedName>
    <definedName name="IQRCompaniesN84" hidden="1">#REF!</definedName>
    <definedName name="IQRCompaniesN86" hidden="1">#REF!</definedName>
    <definedName name="IQRCompaniesN88" hidden="1">#REF!</definedName>
    <definedName name="IQRCompaniesN91" hidden="1">#REF!</definedName>
    <definedName name="IQRCompaniesN94" hidden="1">#REF!</definedName>
    <definedName name="IQRCompaniesN95" hidden="1">#REF!</definedName>
    <definedName name="IQRCompaniesN96" hidden="1">#REF!</definedName>
    <definedName name="IQRCompaniesN97" hidden="1">#REF!</definedName>
    <definedName name="IQRCompaniesN99" hidden="1">#REF!</definedName>
    <definedName name="IQRCompanyProfilerAE54" hidden="1">#REF!</definedName>
    <definedName name="IQRCompanyProfilerF101" hidden="1">#REF!</definedName>
    <definedName name="IQRCompanyProfilerI54" hidden="1">#REF!</definedName>
    <definedName name="IQRCompsTableCJ15" hidden="1">#REF!</definedName>
    <definedName name="IQRD11" hidden="1">"$D$12:$D$967"</definedName>
    <definedName name="IQRD14" hidden="1">"$D$15:$D$267"</definedName>
    <definedName name="IQRD15" hidden="1">"$D$16:$D$268"</definedName>
    <definedName name="IQRD16" hidden="1">"$D$17:$D$269"</definedName>
    <definedName name="IQRD17" hidden="1">"$D$18:$D$270"</definedName>
    <definedName name="IQRD18" hidden="1">"$D$19:$D$271"</definedName>
    <definedName name="IQRD19" hidden="1">"$D$20:$D$24"</definedName>
    <definedName name="IQRD23" hidden="1">"$D$24:$D$276"</definedName>
    <definedName name="IQRD27" hidden="1">"$D$28:$D$280"</definedName>
    <definedName name="IQRD29" hidden="1">"$D$30:$D$282"</definedName>
    <definedName name="IQRD30" hidden="1">"$D$31:$D$283"</definedName>
    <definedName name="IQRD31" hidden="1">"$D$32:$D$284"</definedName>
    <definedName name="IQRD32" hidden="1">"$D$33:$D$285"</definedName>
    <definedName name="IQRD33" hidden="1">"$D$34:$D$286"</definedName>
    <definedName name="IQRD5" hidden="1">"$D$6:$D$426"</definedName>
    <definedName name="IQRD8" hidden="1">"$D$9:$D$964"</definedName>
    <definedName name="IQRE13" hidden="1">"$E$14"</definedName>
    <definedName name="IQRE14" hidden="1">"$E$15:$E$267"</definedName>
    <definedName name="IQRE15" hidden="1">"$E$16:$E$268"</definedName>
    <definedName name="IQRE16" hidden="1">"$E$17:$E$269"</definedName>
    <definedName name="IQRE17" hidden="1">"$E$18:$E$270"</definedName>
    <definedName name="IQRE18" hidden="1">"$E$19:$E$271"</definedName>
    <definedName name="IQRE23" hidden="1">"$E$24:$E$276"</definedName>
    <definedName name="IQRE27" hidden="1">"$E$28:$E$280"</definedName>
    <definedName name="IQRE29" hidden="1">"$E$30:$E$282"</definedName>
    <definedName name="IQRE30" hidden="1">"$E$31:$E$283"</definedName>
    <definedName name="IQRE31" hidden="1">"$E$32:$E$284"</definedName>
    <definedName name="IQRE32" hidden="1">"$E$33:$E$285"</definedName>
    <definedName name="IQRE33" hidden="1">"$E$34:$E$286"</definedName>
    <definedName name="IQRE5" hidden="1">"$E$6:$E$9"</definedName>
    <definedName name="IQRE8" hidden="1">"$E$9:$E$964"</definedName>
    <definedName name="IQRExchangeRatioGraphC13" hidden="1">#REF!</definedName>
    <definedName name="IQRF12" hidden="1">"$F$13"</definedName>
    <definedName name="IQRF13" hidden="1">"$F$14"</definedName>
    <definedName name="IQRF14" hidden="1">"$F$15"</definedName>
    <definedName name="IQRF33" hidden="1">"$F$34:$F$286"</definedName>
    <definedName name="IQRF7" hidden="1">"$F$8:$F$50"</definedName>
    <definedName name="IQRFactSetPricesG14" hidden="1">#REF!</definedName>
    <definedName name="IQRFactSetPricesJ14" hidden="1">#REF!</definedName>
    <definedName name="IQRFactSetPricesP14" hidden="1">#REF!</definedName>
    <definedName name="IQRFactSetPricesS14" hidden="1">#REF!</definedName>
    <definedName name="IQRFundingAmountD10" hidden="1">#REF!</definedName>
    <definedName name="IQRFundingAmountD12" hidden="1">#REF!</definedName>
    <definedName name="IQRFundingAmountD13" hidden="1">#REF!</definedName>
    <definedName name="IQRFundingAmountD14" hidden="1">#REF!</definedName>
    <definedName name="IQRFundingAmountD17" hidden="1">#REF!</definedName>
    <definedName name="IQRFundingAmountD18" hidden="1">#REF!</definedName>
    <definedName name="IQRFundingAmountD19" hidden="1">#REF!</definedName>
    <definedName name="IQRFundingAmountD20" hidden="1">#REF!</definedName>
    <definedName name="IQRFundingAmountD21" hidden="1">#REF!</definedName>
    <definedName name="IQRFundingAmountD22" hidden="1">#REF!</definedName>
    <definedName name="IQRFundingAmountD23" hidden="1">#REF!</definedName>
    <definedName name="IQRFundingAmountD24" hidden="1">#REF!</definedName>
    <definedName name="IQRFundingAmountD25" hidden="1">#REF!</definedName>
    <definedName name="IQRFundingAmountD26" hidden="1">#REF!</definedName>
    <definedName name="IQRFundingAmountD27" hidden="1">#REF!</definedName>
    <definedName name="IQRFundingAmountD28" hidden="1">#REF!</definedName>
    <definedName name="IQRFundingAmountD29" hidden="1">#REF!</definedName>
    <definedName name="IQRFundingAmountD30" hidden="1">#REF!</definedName>
    <definedName name="IQRFundingAmountD31" hidden="1">#REF!</definedName>
    <definedName name="IQRFundingAmountD32" hidden="1">#REF!</definedName>
    <definedName name="IQRFundingAmountD33" hidden="1">#REF!</definedName>
    <definedName name="IQRFundingAmountD34" hidden="1">#REF!</definedName>
    <definedName name="IQRFundingAmountD36" hidden="1">#REF!</definedName>
    <definedName name="IQRFundingAmountD5" hidden="1">#REF!</definedName>
    <definedName name="IQRFundingAmountD6" hidden="1">#REF!</definedName>
    <definedName name="IQRFundingAmountD7" hidden="1">#REF!</definedName>
    <definedName name="IQRFundingAmountD8" hidden="1">#REF!</definedName>
    <definedName name="IQRFundingAmountD9" hidden="1">#REF!</definedName>
    <definedName name="IQRG12" hidden="1">"$H$12:$L$12"</definedName>
    <definedName name="IQRG14" hidden="1">"$G$15:$G$267"</definedName>
    <definedName name="IQRG15" hidden="1">"$G$16:$G$268"</definedName>
    <definedName name="IQRG16" hidden="1">"$G$17:$G$269"</definedName>
    <definedName name="IQRG17" hidden="1">"$G$18:$G$270"</definedName>
    <definedName name="IQRG18" hidden="1">"$G$19:$G$271"</definedName>
    <definedName name="IQRG23" hidden="1">"$G$24:$G$276"</definedName>
    <definedName name="IQRG27" hidden="1">"$G$28:$G$280"</definedName>
    <definedName name="IQRG29" hidden="1">"$G$30:$G$282"</definedName>
    <definedName name="IQRG30" hidden="1">"$G$31:$G$283"</definedName>
    <definedName name="IQRG31" hidden="1">"$G$32:$G$284"</definedName>
    <definedName name="IQRG32" hidden="1">"$G$33:$G$285"</definedName>
    <definedName name="IQRG33" hidden="1">"$G$34:$G$286"</definedName>
    <definedName name="IQRGraphsZ13" hidden="1">#REF!</definedName>
    <definedName name="IQRH12" hidden="1">"$I$12:$M$12"</definedName>
    <definedName name="IQRH13" hidden="1">"$I$13"</definedName>
    <definedName name="IQRH14" hidden="1">"$H$15:$H$267"</definedName>
    <definedName name="IQRH15" hidden="1">"$H$16:$H$268"</definedName>
    <definedName name="IQRH16" hidden="1">"$H$17:$H$269"</definedName>
    <definedName name="IQRH17" hidden="1">"$H$18:$H$270"</definedName>
    <definedName name="IQRH18" hidden="1">"$H$19:$H$271"</definedName>
    <definedName name="IQRH19" hidden="1">"$I$19:$M$19"</definedName>
    <definedName name="IQRH20" hidden="1">"$I$20:$M$20"</definedName>
    <definedName name="IQRH21" hidden="1">"$I$21"</definedName>
    <definedName name="IQRH22" hidden="1">"$I$22"</definedName>
    <definedName name="IQRH23" hidden="1">"$H$24:$H$276"</definedName>
    <definedName name="IQRH24" hidden="1">"$I$24"</definedName>
    <definedName name="IQRH25" hidden="1">"$I$25"</definedName>
    <definedName name="IQRH26" hidden="1">"$I$26"</definedName>
    <definedName name="IQRH27" hidden="1">"$H$28:$H$280"</definedName>
    <definedName name="IQRH28" hidden="1">"$I$28"</definedName>
    <definedName name="IQRH29" hidden="1">"$H$30:$H$282"</definedName>
    <definedName name="IQRH30" hidden="1">"$H$31:$H$283"</definedName>
    <definedName name="IQRH31" hidden="1">"$H$32:$H$284"</definedName>
    <definedName name="IQRH32" hidden="1">"$H$33:$H$285"</definedName>
    <definedName name="IQRH33" hidden="1">"$H$34:$H$286"</definedName>
    <definedName name="IQRH34" hidden="1">"$I$34"</definedName>
    <definedName name="IQRH35" hidden="1">"$I$35:$M$35"</definedName>
    <definedName name="IQRH36" hidden="1">"$I$36"</definedName>
    <definedName name="IQRH37" hidden="1">"$I$37:$M$37"</definedName>
    <definedName name="IQRH38" hidden="1">"$I$38:$M$38"</definedName>
    <definedName name="IQRH39" hidden="1">"$I$39"</definedName>
    <definedName name="IQRH40" hidden="1">"$I$40"</definedName>
    <definedName name="IQRH41" hidden="1">"$I$41"</definedName>
    <definedName name="IQRH42" hidden="1">"$I$42"</definedName>
    <definedName name="IQRH43" hidden="1">"$I$43"</definedName>
    <definedName name="IQRH44" hidden="1">"$I$44"</definedName>
    <definedName name="IQRH45" hidden="1">"$I$45"</definedName>
    <definedName name="IQRH46" hidden="1">"$I$46"</definedName>
    <definedName name="IQRH47" hidden="1">"$I$47"</definedName>
    <definedName name="IQRH48" hidden="1">"$I$48"</definedName>
    <definedName name="IQRH49" hidden="1">"$I$49"</definedName>
    <definedName name="IQRH50" hidden="1">"$I$50"</definedName>
    <definedName name="IQRH51" hidden="1">"$I$51"</definedName>
    <definedName name="IQRI10" hidden="1">"$I$11:$I$388"</definedName>
    <definedName name="IQRI12" hidden="1">"$I$13"</definedName>
    <definedName name="IQRI13" hidden="1">"$I$14"</definedName>
    <definedName name="IQRI14" hidden="1">"$I$15:$I$267"</definedName>
    <definedName name="IQRI15" hidden="1">"$I$16:$I$268"</definedName>
    <definedName name="IQRI16" hidden="1">"$I$17:$I$269"</definedName>
    <definedName name="IQRI17" hidden="1">"$I$18:$I$270"</definedName>
    <definedName name="IQRI18" hidden="1">"$I$19:$I$271"</definedName>
    <definedName name="IQRI23" hidden="1">"$I$24:$I$276"</definedName>
    <definedName name="IQRI27" hidden="1">"$I$28:$I$280"</definedName>
    <definedName name="IQRI29" hidden="1">"$I$30:$I$282"</definedName>
    <definedName name="IQRI30" hidden="1">"$I$31:$I$283"</definedName>
    <definedName name="IQRI31" hidden="1">"$I$32:$I$284"</definedName>
    <definedName name="IQRI32" hidden="1">"$I$33:$I$285"</definedName>
    <definedName name="IQRI33" hidden="1">"$I$34:$I$286"</definedName>
    <definedName name="IQRIndexChartC13" hidden="1">#REF!</definedName>
    <definedName name="IQRJ12" hidden="1">"$J$13"</definedName>
    <definedName name="IQRJ33" hidden="1">"$J$34:$J$286"</definedName>
    <definedName name="IQRK12" hidden="1">"$K$13"</definedName>
    <definedName name="IQRK13" hidden="1">"$K$14:$K$34"</definedName>
    <definedName name="IQRL12" hidden="1">"$L$13:$L$34"</definedName>
    <definedName name="IQRL13" hidden="1">"$L$14:$L$34"</definedName>
    <definedName name="IQRM12" hidden="1">"$N$12:$R$12"</definedName>
    <definedName name="IQRM13" hidden="1">"$M$14:$M$34"</definedName>
    <definedName name="IQRN12" hidden="1">"$O$12:$S$12"</definedName>
    <definedName name="IQRN13" hidden="1">"$O$13"</definedName>
    <definedName name="IQRN14" hidden="1">"$O$14"</definedName>
    <definedName name="IQRN15" hidden="1">"$O$15:$S$15"</definedName>
    <definedName name="IQRN16" hidden="1">"$O$16:$S$16"</definedName>
    <definedName name="IQRN17" hidden="1">"$O$17:$S$17"</definedName>
    <definedName name="IQRN18" hidden="1">"$O$18:$S$18"</definedName>
    <definedName name="IQRN19" hidden="1">"$O$19:$S$19"</definedName>
    <definedName name="IQRN20" hidden="1">"$O$20:$S$20"</definedName>
    <definedName name="IQRN21" hidden="1">"$O$21"</definedName>
    <definedName name="IQRN22" hidden="1">"$O$22"</definedName>
    <definedName name="IQRN23" hidden="1">"$O$23"</definedName>
    <definedName name="IQRN24" hidden="1">"$O$24"</definedName>
    <definedName name="IQRN25" hidden="1">"$O$25"</definedName>
    <definedName name="IQRN26" hidden="1">"$O$26"</definedName>
    <definedName name="IQRN27" hidden="1">"$O$27"</definedName>
    <definedName name="IQRN28" hidden="1">"$O$28"</definedName>
    <definedName name="IQRN29" hidden="1">"$O$29:$S$29"</definedName>
    <definedName name="IQRN30" hidden="1">"$O$30:$S$30"</definedName>
    <definedName name="IQRN31" hidden="1">"$O$31:$Q$31"</definedName>
    <definedName name="IQRN32" hidden="1">"$O$32:$S$32"</definedName>
    <definedName name="IQRN33" hidden="1">"$O$33:$S$33"</definedName>
    <definedName name="IQRN34" hidden="1">"$O$34"</definedName>
    <definedName name="IQRN35" hidden="1">"$O$35:$S$35"</definedName>
    <definedName name="IQRN36" hidden="1">"$O$36"</definedName>
    <definedName name="IQRN37" hidden="1">"$O$37:$S$37"</definedName>
    <definedName name="IQRN38" hidden="1">"$O$38:$S$38"</definedName>
    <definedName name="IQRN39" hidden="1">"$O$39"</definedName>
    <definedName name="IQRN40" hidden="1">"$O$40"</definedName>
    <definedName name="IQRN41" hidden="1">"$O$41"</definedName>
    <definedName name="IQRN42" hidden="1">"$O$42"</definedName>
    <definedName name="IQRN43" hidden="1">"$O$43"</definedName>
    <definedName name="IQRN44" hidden="1">"$O$44"</definedName>
    <definedName name="IQRN45" hidden="1">"$O$45"</definedName>
    <definedName name="IQRN46" hidden="1">"$O$46"</definedName>
    <definedName name="IQRN47" hidden="1">"$O$47"</definedName>
    <definedName name="IQRN48" hidden="1">"$O$48"</definedName>
    <definedName name="IQRN49" hidden="1">"$O$49"</definedName>
    <definedName name="IQRN50" hidden="1">"$O$50"</definedName>
    <definedName name="IQRN51" hidden="1">"$O$51"</definedName>
    <definedName name="IQRN6" hidden="1">"$N$7"</definedName>
    <definedName name="IQRO12" hidden="1">"$O$13"</definedName>
    <definedName name="IQRO13" hidden="1">"$O$14"</definedName>
    <definedName name="IQRP12" hidden="1">"$P$13"</definedName>
    <definedName name="IQRPeopleH12" hidden="1">#REF!</definedName>
    <definedName name="IQRPeopleH13" hidden="1">#REF!</definedName>
    <definedName name="IQRPeopleH14" hidden="1">#REF!</definedName>
    <definedName name="IQRPeopleH15" hidden="1">#REF!</definedName>
    <definedName name="IQRPeopleN12" hidden="1">#REF!</definedName>
    <definedName name="IQRPeopleN13" hidden="1">#REF!</definedName>
    <definedName name="IQRPeopleN14" hidden="1">#REF!</definedName>
    <definedName name="IQRPeopleN15" hidden="1">#REF!</definedName>
    <definedName name="IQRQ12" hidden="1">"$Q$13"</definedName>
    <definedName name="IQRQ13" hidden="1">"$Q$14"</definedName>
    <definedName name="IQRR12" hidden="1">"$R$13"</definedName>
    <definedName name="IQRR13" hidden="1">"$R$14"</definedName>
    <definedName name="IQRS12" hidden="1">"$S$13"</definedName>
    <definedName name="IQRS13" hidden="1">"$S$14"</definedName>
    <definedName name="IQRSheet1C3" hidden="1">#REF!</definedName>
    <definedName name="IQRSheet1H12" hidden="1">#REF!</definedName>
    <definedName name="IQRSheet1H13" hidden="1">#REF!</definedName>
    <definedName name="IQRSheet1H14" hidden="1">#REF!</definedName>
    <definedName name="IQRSheet1H15" hidden="1">#REF!</definedName>
    <definedName name="IQRSheet1H16" hidden="1">#REF!</definedName>
    <definedName name="IQRSheet1H17" hidden="1">#REF!</definedName>
    <definedName name="IQRSheet1H18" hidden="1">#REF!</definedName>
    <definedName name="IQRSheet1H19" hidden="1">#REF!</definedName>
    <definedName name="IQRSheet1H20" hidden="1">#REF!</definedName>
    <definedName name="IQRSheet1N12" hidden="1">#REF!</definedName>
    <definedName name="IQRSheet1N13" hidden="1">#REF!</definedName>
    <definedName name="IQRSheet1N14" hidden="1">#REF!</definedName>
    <definedName name="IQRSheet1N15" hidden="1">#REF!</definedName>
    <definedName name="IQRSheet1N16" hidden="1">#REF!</definedName>
    <definedName name="IQRSheet1N17" hidden="1">#REF!</definedName>
    <definedName name="IQRSheet1N18" hidden="1">#REF!</definedName>
    <definedName name="IQRSheet1N19" hidden="1">#REF!</definedName>
    <definedName name="IQRSheet1N20" hidden="1">#REF!</definedName>
    <definedName name="IQRSheet3C10" hidden="1">#REF!</definedName>
    <definedName name="IQRSheet3C11" hidden="1">#REF!</definedName>
    <definedName name="IQRSheet3C13" hidden="1">#REF!</definedName>
    <definedName name="IQRSheet3C15" hidden="1">#REF!</definedName>
    <definedName name="IQRSheet3C16" hidden="1">#REF!</definedName>
    <definedName name="IQRSheet3C17" hidden="1">#REF!</definedName>
    <definedName name="IQRSheet3C19" hidden="1">#REF!</definedName>
    <definedName name="IQRSheet3C20" hidden="1">#REF!</definedName>
    <definedName name="IQRSheet3C21" hidden="1">#REF!</definedName>
    <definedName name="IQRSheet3C22" hidden="1">#REF!</definedName>
    <definedName name="IQRSheet3C23" hidden="1">#REF!</definedName>
    <definedName name="IQRSheet3C24" hidden="1">#REF!</definedName>
    <definedName name="IQRSheet3C27" hidden="1">#REF!</definedName>
    <definedName name="IQRSheet3C28" hidden="1">#REF!</definedName>
    <definedName name="IQRSheet3C29" hidden="1">#REF!</definedName>
    <definedName name="IQRSheet3C30" hidden="1">#REF!</definedName>
    <definedName name="IQRSheet3C4" hidden="1">#REF!</definedName>
    <definedName name="IQRSheet3C6" hidden="1">#REF!</definedName>
    <definedName name="IQRSheet3C7" hidden="1">#REF!</definedName>
    <definedName name="IQRSheet3C8" hidden="1">#REF!</definedName>
    <definedName name="IQRSheet3C9" hidden="1">#REF!</definedName>
    <definedName name="IQRT12" hidden="1">"$T$13"</definedName>
    <definedName name="IQRT13" hidden="1">"$T$14"</definedName>
    <definedName name="IQRT38" hidden="1">"$T$39:$T$291"</definedName>
    <definedName name="IQRU12" hidden="1">"$U$13"</definedName>
    <definedName name="IQRU13" hidden="1">"$U$14"</definedName>
    <definedName name="IQRU14" hidden="1">"$U$15:$U$19"</definedName>
    <definedName name="IQRV12" hidden="1">"$V$13"</definedName>
    <definedName name="IQRV13" hidden="1">"$V$14"</definedName>
    <definedName name="IQRW12" hidden="1">"$W$13"</definedName>
    <definedName name="IQRW13" hidden="1">"$W$14"</definedName>
    <definedName name="IQRX12" hidden="1">"$X$13"</definedName>
    <definedName name="IQRX13" hidden="1">"$X$14"</definedName>
    <definedName name="IQRY12" hidden="1">"$Y$13"</definedName>
    <definedName name="IQRY13" hidden="1">"$Y$14"</definedName>
    <definedName name="IQRZ12" hidden="1">"$Z$13"</definedName>
    <definedName name="IQRZ13" hidden="1">"$Z$14"</definedName>
    <definedName name="IQRZ38" hidden="1">"$Z$39:$Z$43"</definedName>
    <definedName name="IQSFINListB13" hidden="1">"$B$14:$B$1369"</definedName>
    <definedName name="IQSFINListB15" hidden="1">"$B$16:$B$443"</definedName>
    <definedName name="iQShowHideColumns" hidden="1">"iQShowAnnual"</definedName>
    <definedName name="IQSInputsB8" hidden="1">"$B$9:$B$135"</definedName>
    <definedName name="IQSInputsC51" hidden="1">"$C$52:$C$140"</definedName>
    <definedName name="IQSListB262" hidden="1">"$B$263:$B$350"</definedName>
    <definedName name="IQSListB85" hidden="1">"$B$86:$B$308"</definedName>
    <definedName name="IQSListC329" hidden="1">"$C$330:$C$384"</definedName>
    <definedName name="IsColHidden" hidden="1">FALSE</definedName>
    <definedName name="ishideend" hidden="1">#REF!</definedName>
    <definedName name="ishidestart" hidden="1">#REF!</definedName>
    <definedName name="IsLTMColHidden" hidden="1">FALSE</definedName>
    <definedName name="ITW" hidden="1">{"bs",#N/A,FALSE,"SCF"}</definedName>
    <definedName name="jazz" hidden="1">{#N/A,#N/A,FALSE,"Spain MKT";#N/A,#N/A,FALSE,"Assumptions";#N/A,#N/A,FALSE,"Adve";#N/A,#N/A,FALSE,"E-Commerce";#N/A,#N/A,FALSE,"Opex";#N/A,#N/A,FALSE,"P&amp;L";#N/A,#N/A,FALSE,"FCF &amp; DCF"}</definedName>
    <definedName name="jazz2" hidden="1">{#N/A,#N/A,FALSE,"Spain MKT";#N/A,#N/A,FALSE,"Assumptions";#N/A,#N/A,FALSE,"Adve";#N/A,#N/A,FALSE,"E-Commerce";#N/A,#N/A,FALSE,"Opex";#N/A,#N/A,FALSE,"P&amp;L";#N/A,#N/A,FALSE,"FCF &amp; DCF"}</definedName>
    <definedName name="jj" hidden="1">{"Page 1",#N/A,FALSE,"Sheet1";"Page 2",#N/A,FALSE,"Sheet1"}</definedName>
    <definedName name="jj_1" hidden="1">{"Page 1",#N/A,FALSE,"Sheet1";"Page 2",#N/A,FALSE,"Sheet1"}</definedName>
    <definedName name="jk" hidden="1">{#N/A,#N/A,FALSE,"FY97";#N/A,#N/A,FALSE,"FY98";#N/A,#N/A,FALSE,"FY99";#N/A,#N/A,FALSE,"FY00";#N/A,#N/A,FALSE,"FY01"}</definedName>
    <definedName name="k" hidden="1">{"'Standalone List Price Trends'!$A$1:$X$56"}</definedName>
    <definedName name="k_1" hidden="1">{"'Standalone List Price Trends'!$A$1:$X$56"}</definedName>
    <definedName name="K2_WBEVMODE" hidden="1">-1</definedName>
    <definedName name="Key1a" hidden="1">#REF!</definedName>
    <definedName name="Key2a" hidden="1">#REF!</definedName>
    <definedName name="kl" hidden="1">{#N/A,#N/A,FALSE,"FY97";#N/A,#N/A,FALSE,"FY98";#N/A,#N/A,FALSE,"FY99";#N/A,#N/A,FALSE,"FY00";#N/A,#N/A,FALSE,"FY01"}</definedName>
    <definedName name="klk" hidden="1">{TRUE,TRUE,-2,-16.25,486,278.25,FALSE,TRUE,TRUE,TRUE,0,1,4,4,1,0.973404255319149,0.952380952380952,4,TRUE,TRUE,3,TRUE,1,FALSE,100,"Swvu.PRT.","ACwvu.PRT.",#N/A,FALSE,FALSE,0.01,0.01,0.75,0.1,2,"&amp;R&amp;""Times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name="last" hidden="1">#REF!</definedName>
    <definedName name="LBOAnalysis2" hidden="1">{"WACC_clientcopy",#N/A,FALSE,"Inputs";"Beta_clientcopy",#N/A,FALSE,"Inputs";"SCF_clientcopy",#N/A,FALSE,"Inputs";"ProBS_clientcopy",#N/A,FALSE,"Inputs";"BS_clientcopy",#N/A,FALSE,"Inputs";"ProIS_clientcopy",#N/A,FALSE,"Inputs";"IS_clientcopy",#N/A,FALSE,"Inputs";"Ratios_clientcopy",#N/A,FALSE,"Ratios"}</definedName>
    <definedName name="limcount" hidden="1">1</definedName>
    <definedName name="ListOffset" hidden="1">1</definedName>
    <definedName name="lkjlkj" hidden="1">{"Final",#N/A,FALSE,"Feb-96"}</definedName>
    <definedName name="lklkl" hidden="1">{"consolidated",#N/A,FALSE,"Sheet1";"cms",#N/A,FALSE,"Sheet1";"fse",#N/A,FALSE,"Sheet1"}</definedName>
    <definedName name="ll" hidden="1">{#N/A,#N/A,FALSE,"Aging Summary";#N/A,#N/A,FALSE,"Ratio Analysis";#N/A,#N/A,FALSE,"Test 120 Day Accts";#N/A,#N/A,FALSE,"Tickmarks"}</definedName>
    <definedName name="ll_1" hidden="1">{#N/A,#N/A,FALSE,"Aging Summary";#N/A,#N/A,FALSE,"Ratio Analysis";#N/A,#N/A,FALSE,"Test 120 Day Accts";#N/A,#N/A,FALSE,"Tickmarks"}</definedName>
    <definedName name="llc.Info" hidden="1">{#N/A,#N/A,FALSE,"Income";#N/A,#N/A,FALSE,"Cost of Goods Sold";#N/A,#N/A,FALSE,"Other Costs";#N/A,#N/A,FALSE,"Other Income";#N/A,#N/A,FALSE,"Taxes";#N/A,#N/A,FALSE,"Other Deductions";#N/A,#N/A,FALSE,"Compensation of Officers"}</definedName>
    <definedName name="LLCP" hidden="1">{"PAGE1",#N/A,FALSE,"BID (3)";"PAGE2",#N/A,FALSE,"BID (3)"}</definedName>
    <definedName name="lllll" hidden="1">{"MESROS",#N/A,FALSE,"ROS";"MESOFF",#N/A,FALSE,"OFF";"MESBEA",#N/A,FALSE,"BEA";"MESCOF",#N/A,FALSE,"COF";"MESTEL",#N/A,FALSE,"TEL";"MESCON",#N/A,FALSE,"CON";"MESINT",#N/A,FALSE,"INT"}</definedName>
    <definedName name="lnk_CoName" hidden="1">#REF!</definedName>
    <definedName name="lnk_countryID" hidden="1">#REF!</definedName>
    <definedName name="lnk_cpyID" hidden="1">#REF!</definedName>
    <definedName name="lnk_display_Currency" hidden="1">#REF!</definedName>
    <definedName name="lnk_drate_update" hidden="1">#REF!</definedName>
    <definedName name="lnk_IndustryType" hidden="1">#REF!</definedName>
    <definedName name="lnk_LastFiscalYear" hidden="1">#REF!</definedName>
    <definedName name="lnk_numForecastYears" hidden="1">#REF!</definedName>
    <definedName name="lnk_numHistoricalYears" hidden="1">#REF!</definedName>
    <definedName name="lnk_Print_Area" hidden="1">#REF!</definedName>
    <definedName name="lnk_rData_Start_Driver" hidden="1">#REF!</definedName>
    <definedName name="lnk_rData_Start_Result" hidden="1">#REF!</definedName>
    <definedName name="lnk_rDataStart" hidden="1">#REF!</definedName>
    <definedName name="lnk_rSourceFore" hidden="1">#REF!</definedName>
    <definedName name="lnk_rSourceFore1st" hidden="1">#REF!</definedName>
    <definedName name="lnk_rSourceHist" hidden="1">#REF!</definedName>
    <definedName name="lnk_rYearRow" hidden="1">#REF!</definedName>
    <definedName name="lnk_rYearRow_Driver" hidden="1">#REF!</definedName>
    <definedName name="lnk_rYearRow_Result" hidden="1">#REF!</definedName>
    <definedName name="lnk_ScenarioName" hidden="1">#REF!</definedName>
    <definedName name="lnk_TICK" hidden="1">#REF!</definedName>
    <definedName name="lnk_update" hidden="1">#REF!</definedName>
    <definedName name="lnk_version" hidden="1">#REF!</definedName>
    <definedName name="LOCAL_MYSQL_DATE_FORMAT" localSheetId="1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tusGraphChart1" hidden="1">#N/A</definedName>
    <definedName name="lotusgraphchart1b" hidden="1">#N/A</definedName>
    <definedName name="lotusgraphchart1x" hidden="1">#N/A</definedName>
    <definedName name="ltmnonasset1" hidden="1">#REF!</definedName>
    <definedName name="ltmnonasset2" hidden="1">#REF!</definedName>
    <definedName name="ltmnonliab1" hidden="1">#REF!</definedName>
    <definedName name="ltmnonliab2" hidden="1">#REF!</definedName>
    <definedName name="Major_Accomp"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Mark" hidden="1">{"WACC_clientcopy",#N/A,FALSE,"Inputs";"Beta_clientcopy",#N/A,FALSE,"Inputs";"SCF_clientcopy",#N/A,FALSE,"Inputs";"ProBS_clientcopy",#N/A,FALSE,"Inputs";"BS_clientcopy",#N/A,FALSE,"Inputs";"ProIS_clientcopy",#N/A,FALSE,"Inputs";"IS_clientcopy",#N/A,FALSE,"Inputs";"Ratios_clientcopy",#N/A,FALSE,"Ratios"}</definedName>
    <definedName name="mason?" hidden="1">{#N/A,#N/A,FALSE,"Data &amp; Key Results";#N/A,#N/A,FALSE,"Summary Template";#N/A,#N/A,FALSE,"Budget";#N/A,#N/A,FALSE,"Present Value Comparison";#N/A,#N/A,FALSE,"Cashflow";#N/A,#N/A,FALSE,"Income";#N/A,#N/A,FALSE,"Inputs"}</definedName>
    <definedName name="mason2" hidden="1">{#N/A,#N/A,FALSE,"Data &amp; Key Results";#N/A,#N/A,FALSE,"Summary Template";#N/A,#N/A,FALSE,"Budget";#N/A,#N/A,FALSE,"Present Value Comparison";#N/A,#N/A,FALSE,"Cashflow";#N/A,#N/A,FALSE,"Income";#N/A,#N/A,FALSE,"Inputs"}</definedName>
    <definedName name="mason3" hidden="1">{#N/A,#N/A,FALSE,"Data &amp; Key Results";#N/A,#N/A,FALSE,"Summary Template";#N/A,#N/A,FALSE,"Budget";#N/A,#N/A,FALSE,"Present Value Comparison";#N/A,#N/A,FALSE,"Cashflow";#N/A,#N/A,FALSE,"Income";#N/A,#N/A,FALSE,"Inputs"}</definedName>
    <definedName name="mason4" hidden="1">{#N/A,#N/A,FALSE,"Data &amp; Key Results";#N/A,#N/A,FALSE,"Summary Template";#N/A,#N/A,FALSE,"Budget";#N/A,#N/A,FALSE,"Present Value Comparison";#N/A,#N/A,FALSE,"Cashflow";#N/A,#N/A,FALSE,"Income";#N/A,#N/A,FALSE,"Inputs"}</definedName>
    <definedName name="mason5" hidden="1">{#N/A,#N/A,FALSE,"Data &amp; Key Results";#N/A,#N/A,FALSE,"Summary Template";#N/A,#N/A,FALSE,"Budget";#N/A,#N/A,FALSE,"Present Value Comparison";#N/A,#N/A,FALSE,"Cashflow";#N/A,#N/A,FALSE,"Income";#N/A,#N/A,FALSE,"Inputs"}</definedName>
    <definedName name="masonII" hidden="1">{#N/A,#N/A,FALSE,"Data &amp; Key Results";#N/A,#N/A,FALSE,"Summary Template";#N/A,#N/A,FALSE,"Budget";#N/A,#N/A,FALSE,"Present Value Comparison";#N/A,#N/A,FALSE,"Cashflow";#N/A,#N/A,FALSE,"Income";#N/A,#N/A,FALSE,"Inputs"}</definedName>
    <definedName name="May1Forecast" hidden="1">{"Page 1",#N/A,FALSE,"Sheet1";"Page 2",#N/A,FALSE,"Sheet1"}</definedName>
    <definedName name="May1Forecast_1" hidden="1">{"Page 1",#N/A,FALSE,"Sheet1";"Page 2",#N/A,FALSE,"Sheet1"}</definedName>
    <definedName name="MayForecast" hidden="1">{"Page 1",#N/A,FALSE,"Sheet1";"Page 2",#N/A,FALSE,"Sheet1"}</definedName>
    <definedName name="MayForecast_1" hidden="1">{"Page 1",#N/A,FALSE,"Sheet1";"Page 2",#N/A,FALSE,"Sheet1"}</definedName>
    <definedName name="medmult" hidden="1">#REF!</definedName>
    <definedName name="Merge___hhh9" hidden="1">{#N/A,#N/A,FALSE,"MAY";#N/A,#N/A,FALSE,"Q2";#N/A,#N/A,FALSE,"YTD"}</definedName>
    <definedName name="Merge___uuu11" hidden="1">{#N/A,#N/A,FALSE,"MAY";#N/A,#N/A,FALSE,"Q2";#N/A,#N/A,FALSE,"YTD"}</definedName>
    <definedName name="Merge__hhh9" hidden="1">{#N/A,#N/A,FALSE,"MAY";#N/A,#N/A,FALSE,"Q2";#N/A,#N/A,FALSE,"YTD"}</definedName>
    <definedName name="Merge__uuu11" hidden="1">{#N/A,#N/A,FALSE,"MAY";#N/A,#N/A,FALSE,"Q2";#N/A,#N/A,FALSE,"YTD"}</definedName>
    <definedName name="Merge_hhh9" hidden="1">{#N/A,#N/A,FALSE,"MAY";#N/A,#N/A,FALSE,"Q2";#N/A,#N/A,FALSE,"YTD"}</definedName>
    <definedName name="Merge_uuu11" hidden="1">{#N/A,#N/A,FALSE,"MAY";#N/A,#N/A,FALSE,"Q2";#N/A,#N/A,FALSE,"YTD"}</definedName>
    <definedName name="Merge2vu.prt3" hidden="1">{TRUE,TRUE,-2,-16.25,486,278.25,FALSE,TRUE,TRUE,TRUE,0,1,4,4,1,0.973404255319149,0.952380952380952,4,TRUE,TRUE,3,TRUE,1,FALSE,100,"Swvu.PRT.","ACwvu.PRT.",#N/A,FALSE,FALSE,0.01,0.01,0.75,0.1,2,"&amp;R&amp;""Times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name="Mergecommonstart" hidden="1">#REF!</definedName>
    <definedName name="MergeDATA_01" hidden="1">#REF!</definedName>
    <definedName name="Mergeddd" hidden="1">{"histincome",#N/A,FALSE,"hyfins";"closing balance",#N/A,FALSE,"hyfins"}</definedName>
    <definedName name="Mergedsfadsf" hidden="1">{"histincome",#N/A,FALSE,"hyfins";"closing balance",#N/A,FALSE,"hyfins"}</definedName>
    <definedName name="MergeHemorrhage" hidden="1">{"mgmt forecast",#N/A,FALSE,"Mgmt Forecast";"dcf table",#N/A,FALSE,"Mgmt Forecast";"sensitivity",#N/A,FALSE,"Mgmt Forecast";"table inputs",#N/A,FALSE,"Mgmt Forecast";"calculations",#N/A,FALSE,"Mgmt Forecast"}</definedName>
    <definedName name="Mergehhh9" hidden="1">{#N/A,#N/A,FALSE,"MAY";#N/A,#N/A,FALSE,"Q2";#N/A,#N/A,FALSE,"YTD"}</definedName>
    <definedName name="Mergehhhh" hidden="1">{#N/A,#N/A,FALSE,"MAY";#N/A,#N/A,FALSE,"Q2";#N/A,#N/A,FALSE,"YTD"}</definedName>
    <definedName name="Mergehhhh1" hidden="1">{#N/A,#N/A,FALSE,"MAY";#N/A,#N/A,FALSE,"Q2";#N/A,#N/A,FALSE,"YTD"}</definedName>
    <definedName name="Mergehhhh7000" hidden="1">{#N/A,#N/A,FALSE,"MAY";#N/A,#N/A,FALSE,"Q2";#N/A,#N/A,FALSE,"YTD"}</definedName>
    <definedName name="MergeHTML_Control" hidden="1">{"'Sheet1'!$A$1:$L$21"}</definedName>
    <definedName name="Mergeklk" hidden="1">{TRUE,TRUE,-2,-16.25,486,278.25,FALSE,TRUE,TRUE,TRUE,0,1,4,4,1,0.973404255319149,0.952380952380952,4,TRUE,TRUE,3,TRUE,1,FALSE,100,"Swvu.PRT.","ACwvu.PRT.",#N/A,FALSE,FALSE,0.01,0.01,0.75,0.1,2,"&amp;R&amp;""Times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name="Mergelkjkj" hidden="1">{"Final",#N/A,FALSE,"Feb-96"}</definedName>
    <definedName name="Mergenewname7000" hidden="1">{#N/A,#N/A,FALSE,"MAY";#N/A,#N/A,FALSE,"Q2";#N/A,#N/A,FALSE,"YTD"}</definedName>
    <definedName name="Mergenewname9" hidden="1">{#N/A,#N/A,FALSE,"MAY";#N/A,#N/A,FALSE,"Q2";#N/A,#N/A,FALSE,"YTD"}</definedName>
    <definedName name="Mergeo" hidden="1">{#N/A,#N/A,FALSE,"New Depr Sch-150% DB";#N/A,#N/A,FALSE,"Cash Flows RLP";#N/A,#N/A,FALSE,"IRR";#N/A,#N/A,FALSE,"Proforma IS";#N/A,#N/A,FALSE,"Assumptions"}</definedName>
    <definedName name="Mergeshdhd" hidden="1">{TRUE,TRUE,-2,-16.25,486,278.25,FALSE,TRUE,TRUE,TRUE,0,1,4,4,1,0.973404255319149,0.952380952380952,4,TRUE,TRUE,3,TRUE,1,FALSE,100,"Swvu.PRT.","ACwvu.PRT.",#N/A,FALSE,FALSE,0.01,0.01,0.75,0.1,2,"&amp;R&amp;""Times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name="Mergeuuu11" hidden="1">{#N/A,#N/A,FALSE,"MAY";#N/A,#N/A,FALSE,"Q2";#N/A,#N/A,FALSE,"YTD"}</definedName>
    <definedName name="Mergeuuuu" hidden="1">{#N/A,#N/A,FALSE,"MAY";#N/A,#N/A,FALSE,"Q2";#N/A,#N/A,FALSE,"YTD"}</definedName>
    <definedName name="Mergeuuuu1" hidden="1">{#N/A,#N/A,FALSE,"MAY";#N/A,#N/A,FALSE,"Q2";#N/A,#N/A,FALSE,"YTD"}</definedName>
    <definedName name="Mergeuuuu9" hidden="1">{#N/A,#N/A,FALSE,"MAY";#N/A,#N/A,FALSE,"Q2";#N/A,#N/A,FALSE,"YTD"}</definedName>
    <definedName name="Mergewhat" hidden="1">{TRUE,TRUE,-2,-16.25,486,278.25,FALSE,TRUE,TRUE,TRUE,0,1,2,4,1,0.987654320987654,0.952380952380952,3,TRUE,TRUE,3,TRUE,1,FALSE,100,"Swvu.ALL.","ACwvu.ALL.",#N/A,FALSE,FALSE,0.01,0.01,0.5,0.2,2,"&amp;R&amp;""Times New Roman""&amp;F
&amp;D   &amp;T","",TRUE,FALSE,FALSE,FALSE,1,100,#N/A,#N/A,"=R1C1:R53C15",FALSE,#N/A,"Cwvu.ALL.",FALSE,FALSE,TRUE,1,65532,65532,FALSE,FALSE,TRUE,TRUE,TRUE}</definedName>
    <definedName name="Mergewrn.Aging._.and._.Trend._.Analysis" hidden="1">{#N/A,#N/A,FALSE,"Aging Summary";#N/A,#N/A,FALSE,"Ratio Analysis";#N/A,#N/A,FALSE,"Test 120 Day Accts";#N/A,#N/A,FALSE,"Tickmarks"}</definedName>
    <definedName name="Mergewrn.Basic.Report" hidden="1">{#N/A,#N/A,FALSE,"New Depr Sch-150% DB";#N/A,#N/A,FALSE,"Cash Flows RLP";#N/A,#N/A,FALSE,"IRR";#N/A,#N/A,FALSE,"Proforma IS";#N/A,#N/A,FALSE,"Assumptions"}</definedName>
    <definedName name="Mergewrn.clientcopy."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Mergewrn.columbus" hidden="1">{"IS_plan vs Act",#N/A,FALSE,"IS_Plan-Act";"is_curr&amp;YTD",#N/A,FALSE,"IS_Plan-Act";"is_last5mos",#N/A,FALSE,"IS_Plan-Act";"is_vsYTD_RR",#N/A,FALSE,"IS_Plan-Act";"bs",#N/A,FALSE,"IS_Plan-Act";"bs_last5mos",#N/A,FALSE,"IS_Plan-Act";"cf",#N/A,FALSE,"IS_Plan-Act"}</definedName>
    <definedName name="Mergewrn.Complete._.Report." hidden="1">{#N/A,#N/A,FALSE,"Assumptions";#N/A,#N/A,FALSE,"Proforma IS";#N/A,#N/A,FALSE,"Cash Flows RLP";#N/A,#N/A,FALSE,"IRR";#N/A,#N/A,FALSE,"New Depr Sch-150% DB";#N/A,#N/A,FALSE,"Comments"}</definedName>
    <definedName name="Mergewrn.consolidated." hidden="1">{"IS_planvsActual",#N/A,FALSE,"IS_Plan-Act";"IS_curr&amp;YTD",#N/A,FALSE,"IS";"BS_curr&amp;lastmo",#N/A,FALSE,"BS";"bs 4 qtrs",#N/A,FALSE,"BS";"cf",#N/A,FALSE,"CF"}</definedName>
    <definedName name="Mergewrn.dcf." hidden="1">{"mgmt forecast",#N/A,FALSE,"Mgmt Forecast";"dcf table",#N/A,FALSE,"Mgmt Forecast";"sensitivity",#N/A,FALSE,"Mgmt Forecast";"table inputs",#N/A,FALSE,"Mgmt Forecast";"calculations",#N/A,FALSE,"Mgmt Forecast"}</definedName>
    <definedName name="Mergewrn.dcf2." hidden="1">{"mgmt forecast",#N/A,FALSE,"Mgmt Forecast";"dcf table",#N/A,FALSE,"Mgmt Forecast";"sensitivity",#N/A,FALSE,"Mgmt Forecast";"table inputs",#N/A,FALSE,"Mgmt Forecast";"calculations",#N/A,FALSE,"Mgmt Forecast"}</definedName>
    <definedName name="Mergewrn.Draft." hidden="1">{"Draft",#N/A,FALSE,"Feb-96"}</definedName>
    <definedName name="Mergewrn.filecopy."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Mergewrn.Final." hidden="1">{"Final",#N/A,FALSE,"Feb-96"}</definedName>
    <definedName name="Mergewrn.Financial._.Statements." hidden="1">{"Consolidated Balance Sheet",#N/A,FALSE,"Sheet2";"Consolidating Balance Sheet",#N/A,FALSE,"Sheet2";"Consolidated Income Statement",#N/A,FALSE,"Sheet2";"Consolidating Income Statement",#N/A,FALSE,"Sheet2";"Statement of Stockholders equity",#N/A,FALSE,"Sheet2"}</definedName>
    <definedName name="Mergewrn.FY97SBP." hidden="1">{#N/A,#N/A,FALSE,"FY97";#N/A,#N/A,FALSE,"FY98";#N/A,#N/A,FALSE,"FY99";#N/A,#N/A,FALSE,"FY00";#N/A,#N/A,FALSE,"FY01"}</definedName>
    <definedName name="Mergewrn.MAY95\" hidden="1">{#N/A,#N/A,FALSE,"MAY";#N/A,#N/A,FALSE,"Q2";#N/A,#N/A,FALSE,"YTD"}</definedName>
    <definedName name="Mergewrn.may959" hidden="1">{#N/A,#N/A,FALSE,"MAY";#N/A,#N/A,FALSE,"Q2";#N/A,#N/A,FALSE,"YTD"}</definedName>
    <definedName name="Mergewrn.phoenix." hidden="1">{"is_plan vs Act",#N/A,FALSE,"IS_Plan-Act";"is_curr&amp;YTD",#N/A,FALSE,"IS_Plan-Act";"is_last5mos",#N/A,FALSE,"IS_Plan-Act";"is_vsYTD_RR",#N/A,FALSE,"IS_Plan-Act";"bs",#N/A,FALSE,"IS_Plan-Act";"bs_last5mos",#N/A,FALSE,"IS_Plan-Act";"cf",#N/A,FALSE,"IS_Plan-Act"}</definedName>
    <definedName name="Mergewrn.print." hidden="1">{#N/A,#N/A,FALSE,"Japan 2003";#N/A,#N/A,FALSE,"Sheet2"}</definedName>
    <definedName name="Mergewrn.Projections." hidden="1">{"Volume",#N/A,FALSE,"volume";"revenue",#N/A,FALSE,"revenue"}</definedName>
    <definedName name="Mergewrn.Relevant" hidden="1">{#N/A,#N/A,FALSE,"Title Page";#N/A,#N/A,FALSE,"Conclusions";#N/A,#N/A,FALSE,"Assum.";#N/A,#N/A,FALSE,"Sun  DCF-WC-Dep";#N/A,#N/A,FALSE,"MarketValue";#N/A,#N/A,FALSE,"BalSheet";#N/A,#N/A,FALSE,"WACC";#N/A,#N/A,FALSE,"PC+ Info.";#N/A,#N/A,FALSE,"PC+Info_2"}</definedName>
    <definedName name="Mergewrn.report." hidden="1">{#N/A,#N/A,TRUE,"Mgmt hilites-cons";#N/A,#N/A,TRUE,"P&amp;L Cons";#N/A,#N/A,TRUE,"BS cons";#N/A,#N/A,TRUE,"cf cons";"bklg-cons-gr",#N/A,TRUE,"stops_chrts";"wkly rev-cons-gr",#N/A,TRUE,"stops_chrts";"revperhead-cons-gr",#N/A,TRUE,"stops_chrts";#N/A,#N/A,TRUE,"stops-hdct";"rev&amp;mrg-cons",#N/A,TRUE,"stops_chrts";"opexp-cons-gr",#N/A,TRUE,"stops_chrts";"opinc-cons-gr",#N/A,TRUE,"stops_chrts";"netin-cons-gr",#N/A,TRUE,"stops_chrts";"dsr-cons-gr",#N/A,TRUE,"stops_chrts";"DoH-cons-gr",#N/A,TRUE,"stops_chrts";"wrk cap-cons-gr",#N/A,TRUE,"stops_chrts";#N/A,#N/A,TRUE,"stops-wkg cap";"RoI-cons-gr",#N/A,TRUE,"stops_chrts";"RoE-Cons-gr",#N/A,TRUE,"stops_chrts";#N/A,#N/A,TRUE,"stops- rsrvs";#N/A,#N/A,TRUE,"Mgmt hilites-phx";#N/A,#N/A,TRUE,"P&amp;L phoenix";#N/A,#N/A,TRUE,"BS phoenix";#N/A,#N/A,TRUE,"cf phx";#N/A,#N/A,TRUE,"stops-bkgs, backlog";#N/A,#N/A,TRUE,"stops - commissions-phx";"wkly rev-phx",#N/A,TRUE,"stops_chrts";"revperhead-phx-gr",#N/A,TRUE,"stops_chrts";"rev&amp;mrg-phx-gr",#N/A,TRUE,"stops_chrts";#N/A,#N/A,TRUE,"stops-gm phx";"opexp-phx-gr",#N/A,TRUE,"stops_chrts";#N/A,#N/A,TRUE,"stops-idsexp";#N/A,#N/A,TRUE,"stops-ops";#N/A,#N/A,TRUE,"stops-r&amp;d";#N/A,#N/A,TRUE,"stops-sga";"opinc-phx-gr",#N/A,TRUE,"stops_chrts";"netinc-phx-gr",#N/A,TRUE,"stops_chrts";"dsr-phx-gr",#N/A,TRUE,"stops_chrts";#N/A,#N/A,TRUE,"stops-ar-phx";"DoH-phx-gr",#N/A,TRUE,"stops_chrts";#N/A,#N/A,TRUE,"stops-inv -phx";#N/A,#N/A,TRUE,"stops-cap-phx";#N/A,#N/A,TRUE,"Mgmt hilites-col";#N/A,#N/A,TRUE,"P&amp;L columbus";#N/A,#N/A,TRUE,"BS columbus";#N/A,#N/A,TRUE,"cf col";"wkly rev-col-gr",#N/A,TRUE,"stops_chrts";"revperhead-col-gr",#N/A,TRUE,"stops_chrts";"rev&amp;mrg-col-gr",#N/A,TRUE,"stops_chrts";#N/A,#N/A,TRUE,"stops-gm col";"opexp-col-gr",#N/A,TRUE,"stops_chrts";"opinc-col-gr",#N/A,TRUE,"stops_chrts";"netinc-col-gr",#N/A,TRUE,"stops_chrts";"dsr-col-gr",#N/A,TRUE,"stops_chrts";"DoH-Col-gr",#N/A,TRUE,"stops_chrts";#N/A,#N/A,TRUE,"stops-inv -col";#N/A,#N/A,TRUE,"stops-cap-col";#N/A,#N/A,TRUE,"stops - commissions-col"}</definedName>
    <definedName name="Mergewrn.Revs." hidden="1">{"Base_rev",#N/A,FALSE,"Proj_IS_Base";"Projrev",#N/A,FALSE,"Proj_IS_wOTLC";"Delta",#N/A,FALSE,"Delta Rev_PV"}</definedName>
    <definedName name="Mergewrn.sum." hidden="1">{"Opsys",#N/A,FALSE,"NPV_OPsys";"NT",#N/A,FALSE,"NPV_NT";"DevP",#N/A,FALSE,"NPV_DevPdt";"Office",#N/A,FALSE,"NPV_Office"}</definedName>
    <definedName name="Mergewrn.test." hidden="1">{#N/A,#N/A,TRUE,"stops- rsrvs";#N/A,#N/A,TRUE,"P&amp;L phoenix";#N/A,#N/A,TRUE,"BS phoenix";#N/A,#N/A,TRUE,"P&amp;L columbus";#N/A,#N/A,TRUE,"BS columbus"}</definedName>
    <definedName name="Mergewrn.upstairs." hidden="1">{"histincome",#N/A,FALSE,"hyfins";"closing balance",#N/A,FALSE,"hyfins"}</definedName>
    <definedName name="Mergewvu.ALL." hidden="1">{TRUE,TRUE,-2,-16.25,486,278.25,FALSE,TRUE,TRUE,TRUE,0,1,2,4,1,0.987654320987654,0.952380952380952,3,TRUE,TRUE,3,TRUE,1,FALSE,100,"Swvu.ALL.","ACwvu.ALL.",#N/A,FALSE,FALSE,0.01,0.01,0.5,0.2,2,"&amp;R&amp;""Times New Roman""&amp;F
&amp;D   &amp;T","",TRUE,FALSE,FALSE,FALSE,1,100,#N/A,#N/A,"=R1C1:R53C15",FALSE,#N/A,"Cwvu.ALL.",FALSE,FALSE,TRUE,1,65532,65532,FALSE,FALSE,TRUE,TRUE,TRUE}</definedName>
    <definedName name="Mergewvu.all.2" hidden="1">{TRUE,TRUE,-2,-16.25,486,278.25,FALSE,TRUE,TRUE,TRUE,0,1,2,4,1,0.987654320987654,0.952380952380952,3,TRUE,TRUE,3,TRUE,1,FALSE,100,"Swvu.ALL.","ACwvu.ALL.",#N/A,FALSE,FALSE,0.01,0.01,0.5,0.2,2,"&amp;R&amp;""Times New Roman""&amp;F
&amp;D   &amp;T","",TRUE,FALSE,FALSE,FALSE,1,100,#N/A,#N/A,"=R1C1:R53C15",FALSE,#N/A,"Cwvu.ALL.",FALSE,FALSE,TRUE,1,65532,65532,FALSE,FALSE,TRUE,TRUE,TRUE}</definedName>
    <definedName name="Mergewvu.all2" hidden="1">{TRUE,TRUE,-2,-16.25,486,278.25,FALSE,TRUE,TRUE,TRUE,0,1,2,4,1,0.987654320987654,0.952380952380952,3,TRUE,TRUE,3,TRUE,1,FALSE,100,"Swvu.ALL.","ACwvu.ALL.",#N/A,FALSE,FALSE,0.01,0.01,0.5,0.2,2,"&amp;R&amp;""Times New Roman""&amp;F
&amp;D   &amp;T","",TRUE,FALSE,FALSE,FALSE,1,100,#N/A,#N/A,"=R1C1:R53C15",FALSE,#N/A,"Cwvu.ALL.",FALSE,FALSE,TRUE,1,65532,65532,FALSE,FALSE,TRUE,TRUE,TRUE}</definedName>
    <definedName name="Mergewvu.all3" hidden="1">{TRUE,TRUE,-2,-16.25,486,278.25,FALSE,TRUE,TRUE,TRUE,0,1,2,4,1,0.987654320987654,0.952380952380952,3,TRUE,TRUE,3,TRUE,1,FALSE,100,"Swvu.ALL.","ACwvu.ALL.",#N/A,FALSE,FALSE,0.01,0.01,0.5,0.2,2,"&amp;R&amp;""Times New Roman""&amp;F
&amp;D   &amp;T","",TRUE,FALSE,FALSE,FALSE,1,100,#N/A,#N/A,"=R1C1:R53C15",FALSE,#N/A,"Cwvu.ALL.",FALSE,FALSE,TRUE,1,65532,65532,FALSE,FALSE,TRUE,TRUE,TRUE}</definedName>
    <definedName name="Mergewvu.PRT." hidden="1">{TRUE,TRUE,-2,-16.25,486,278.25,FALSE,TRUE,TRUE,TRUE,0,1,4,4,1,0.973404255319149,0.952380952380952,4,TRUE,TRUE,3,TRUE,1,FALSE,100,"Swvu.PRT.","ACwvu.PRT.",#N/A,FALSE,FALSE,0.01,0.01,0.75,0.1,2,"&amp;R&amp;""Times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name="Mergewvu.prt.2" hidden="1">{TRUE,TRUE,-2,-16.25,486,278.25,FALSE,TRUE,TRUE,TRUE,0,1,4,4,1,0.973404255319149,0.952380952380952,4,TRUE,TRUE,3,TRUE,1,FALSE,100,"Swvu.PRT.","ACwvu.PRT.",#N/A,FALSE,FALSE,0.01,0.01,0.75,0.1,2,"&amp;R&amp;""Times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name="Mergewvu.prt.3" hidden="1">{TRUE,TRUE,-2,-16.25,486,278.25,FALSE,TRUE,TRUE,TRUE,0,1,4,4,1,0.973404255319149,0.952380952380952,4,TRUE,TRUE,3,TRUE,1,FALSE,100,"Swvu.PRT.","ACwvu.PRT.",#N/A,FALSE,FALSE,0.01,0.01,0.75,0.1,2,"&amp;R&amp;""Times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name="Mergewvu.prt2" hidden="1">{TRUE,TRUE,-2,-16.25,486,278.25,FALSE,TRUE,TRUE,TRUE,0,1,4,4,1,0.973404255319149,0.952380952380952,4,TRUE,TRUE,3,TRUE,1,FALSE,100,"Swvu.PRT.","ACwvu.PRT.",#N/A,FALSE,FALSE,0.01,0.01,0.75,0.1,2,"&amp;R&amp;""Times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name="Mergeww.Rele" hidden="1">{#N/A,#N/A,FALSE,"Title Page";#N/A,#N/A,FALSE,"Conclusions";#N/A,#N/A,FALSE,"Assum.";#N/A,#N/A,FALSE,"Sun  DCF-WC-Dep";#N/A,#N/A,FALSE,"MarketValue";#N/A,#N/A,FALSE,"BalSheet";#N/A,#N/A,FALSE,"WACC";#N/A,#N/A,FALSE,"PC+ Info.";#N/A,#N/A,FALSE,"PC+Info_2"}</definedName>
    <definedName name="Mergewwvu.all2" hidden="1">{TRUE,TRUE,-2,-16.25,486,278.25,FALSE,TRUE,TRUE,TRUE,0,1,2,4,1,0.987654320987654,0.952380952380952,3,TRUE,TRUE,3,TRUE,1,FALSE,100,"Swvu.ALL.","ACwvu.ALL.",#N/A,FALSE,FALSE,0.01,0.01,0.5,0.2,2,"&amp;R&amp;""Times New Roman""&amp;F
&amp;D   &amp;T","",TRUE,FALSE,FALSE,FALSE,1,100,#N/A,#N/A,"=R1C1:R53C15",FALSE,#N/A,"Cwvu.ALL.",FALSE,FALSE,TRUE,1,65532,65532,FALSE,FALSE,TRUE,TRUE,TRUE}</definedName>
    <definedName name="Mergex" hidden="1">{#N/A,#N/A,FALSE,"FY97";#N/A,#N/A,FALSE,"FY98";#N/A,#N/A,FALSE,"FY99";#N/A,#N/A,FALSE,"FY00";#N/A,#N/A,FALSE,"FY01"}</definedName>
    <definedName name="Mergexys" hidden="1">{#N/A,#N/A,FALSE,"Title Page";#N/A,#N/A,FALSE,"Conclusions";#N/A,#N/A,FALSE,"Assum.";#N/A,#N/A,FALSE,"Sun  DCF-WC-Dep";#N/A,#N/A,FALSE,"MarketValue";#N/A,#N/A,FALSE,"BalSheet";#N/A,#N/A,FALSE,"WACC";#N/A,#N/A,FALSE,"PC+ Info.";#N/A,#N/A,FALSE,"PC+Info_2"}</definedName>
    <definedName name="Mergezzz.com" hidden="1">{#N/A,#N/A,FALSE,"Title Page";#N/A,#N/A,FALSE,"Conclusions";#N/A,#N/A,FALSE,"Assum.";#N/A,#N/A,FALSE,"Sun  DCF-WC-Dep";#N/A,#N/A,FALSE,"MarketValue";#N/A,#N/A,FALSE,"BalSheet";#N/A,#N/A,FALSE,"WACC";#N/A,#N/A,FALSE,"PC+ Info.";#N/A,#N/A,FALSE,"PC+Info_2"}</definedName>
    <definedName name="MerrillPrintIt" hidden="1">#REF!</definedName>
    <definedName name="metricsAC" hidden="1">#REF!</definedName>
    <definedName name="MEWarning" hidden="1">1</definedName>
    <definedName name="mfgr" hidden="1">{"PAGE 1",#N/A,FALSE,"WEST_OT"}</definedName>
    <definedName name="mfgtest" hidden="1">{"PAGE 1",#N/A,FALSE,"WEST_OT"}</definedName>
    <definedName name="mike" hidden="1">#REF!</definedName>
    <definedName name="minadj" hidden="1">#REF!</definedName>
    <definedName name="minadj2" hidden="1">#REF!</definedName>
    <definedName name="minorityintyes" hidden="1">#REF!</definedName>
    <definedName name="mj" hidden="1">{#N/A,#N/A,FALSE,"FY97";#N/A,#N/A,FALSE,"FY98";#N/A,#N/A,FALSE,"FY99";#N/A,#N/A,FALSE,"FY00";#N/A,#N/A,FALSE,"FY01"}</definedName>
    <definedName name="mktdisc" hidden="1">#REF!</definedName>
    <definedName name="mktdisc2" hidden="1">#REF!</definedName>
    <definedName name="mktformat" hidden="1">#REF!</definedName>
    <definedName name="mktformat2" hidden="1">#REF!</definedName>
    <definedName name="MLNK4275a95188254e84bb6fa67e8d448542" hidden="1">#REF!</definedName>
    <definedName name="MLNK4882720d8ef24141b9c34ca6788eef0a" hidden="1">#REF!</definedName>
    <definedName name="MLNK6fd12fca9ae8482ab83a3cf6ae752f02" hidden="1">#REF!</definedName>
    <definedName name="MLNK7e0cedd28c844bc581b12910e04c0fed" hidden="1">#REF!</definedName>
    <definedName name="MLNK897a7af0891a4d0abe552087984b801f" hidden="1">#REF!</definedName>
    <definedName name="MLNK9134e4e7f6b74402890ce2693aa14962" hidden="1">#REF!</definedName>
    <definedName name="MLNKa586bbe6525d4ab5a85dc6f1f14f767a" hidden="1">#REF!</definedName>
    <definedName name="MLNKb1ca5a94587140b9bc58b3a9325b0176" hidden="1">#REF!</definedName>
    <definedName name="MLNKe27ca76487794cc6b21cbf8af6cd842f" hidden="1">#REF!</definedName>
    <definedName name="MLNKe3963c1b00c14c589e25861aefaeccce" hidden="1">#REF!</definedName>
    <definedName name="MLNKfb2bf3fbed654fadaaa68ed01f0b18d9" hidden="1">#REF!</definedName>
    <definedName name="MLNKfb968a3dcbba410cbd2bbc4cc47ba24a" hidden="1">#REF!</definedName>
    <definedName name="mmmmm" hidden="1">{#N/A,#N/A,FALSE,"Calc";#N/A,#N/A,FALSE,"Sensitivity";#N/A,#N/A,FALSE,"LT Earn.Dil.";#N/A,#N/A,FALSE,"Dil. AVP"}</definedName>
    <definedName name="monthly" hidden="1">{"Monthly",#N/A,FALSE,"1.2"}</definedName>
    <definedName name="monthly_1" hidden="1">{"Monthly",#N/A,FALSE,"1.2"}</definedName>
    <definedName name="multcash2" hidden="1">#REF!</definedName>
    <definedName name="multformrow" hidden="1">#REF!</definedName>
    <definedName name="multformrow2" hidden="1">#REF!</definedName>
    <definedName name="multtable" hidden="1">#REF!</definedName>
    <definedName name="mvicebit_col" hidden="1">#REF!</definedName>
    <definedName name="mvicebitda_col" hidden="1">#REF!</definedName>
    <definedName name="mvicprojebitda_col" hidden="1">#REF!</definedName>
    <definedName name="mvicrev_col" hidden="1">#REF!</definedName>
    <definedName name="MW" hidden="1">{#N/A,#N/A,FALSE,"Job Sched"}</definedName>
    <definedName name="n" hidden="1">{"Page 1",#N/A,FALSE,"Sheet1";"Page 2",#N/A,FALSE,"Sheet1"}</definedName>
    <definedName name="n_1" hidden="1">{"Page 1",#N/A,FALSE,"Sheet1";"Page 2",#N/A,FALSE,"Sheet1"}</definedName>
    <definedName name="na" hidden="1">"IQ_FY_DATE"</definedName>
    <definedName name="Nada" hidden="1">{"'Printed'!$A$1:$Z$48","'Printed'!$A$1"}</definedName>
    <definedName name="new" hidden="1">"45W4K24XKT8NFPH9C57CG54AP"</definedName>
    <definedName name="new_1" hidden="1">{#N/A,#N/A,FALSE,"WIRE-XXX";#N/A,#N/A,FALSE,"WIRE-COR";#N/A,#N/A,FALSE,"WIRE-SAT";#N/A,#N/A,FALSE,"WIRE-ATP";#N/A,#N/A,FALSE,"WIRE-DEN";#N/A,#N/A,FALSE,"WIRE-STV";#N/A,#N/A,FALSE,"WIRE-ATL";#N/A,#N/A,FALSE,"WIRE-CAR";#N/A,#N/A,FALSE,"WIRE-NVN";#N/A,#N/A,FALSE,"WIRE-RED";#N/A,#N/A,FALSE,"WIRE-SPE"}</definedName>
    <definedName name="newbel" hidden="1">{"IS",#N/A,FALSE,"IS";"RPTIS",#N/A,FALSE,"RPTIS";"STATS",#N/A,FALSE,"STATS";"CELL",#N/A,FALSE,"CELL";"BS",#N/A,FALSE,"BS"}</definedName>
    <definedName name="newbp1" hidden="1">{#N/A,#N/A,FALSE,"ACQ_GRAPHS";#N/A,#N/A,FALSE,"T_1 GRAPHS";#N/A,#N/A,FALSE,"T_2 GRAPHS";#N/A,#N/A,FALSE,"COMB_GRAPHS"}</definedName>
    <definedName name="newbp1_1" hidden="1">{#N/A,#N/A,FALSE,"ACQ_GRAPHS";#N/A,#N/A,FALSE,"T_1 GRAPHS";#N/A,#N/A,FALSE,"T_2 GRAPHS";#N/A,#N/A,FALSE,"COMB_GRAPHS"}</definedName>
    <definedName name="newdata" hidden="1">{"PAGE 1",#N/A,FALSE,"WEST_OT"}</definedName>
    <definedName name="newdata2" hidden="1">{"PAGE 1",#N/A,FALSE,"WEST_OT"}</definedName>
    <definedName name="newer" hidden="1">#REF!</definedName>
    <definedName name="newname" hidden="1">#REF!</definedName>
    <definedName name="newname7000" hidden="1">{#N/A,#N/A,FALSE,"MAY";#N/A,#N/A,FALSE,"Q2";#N/A,#N/A,FALSE,"YTD"}</definedName>
    <definedName name="newname9" hidden="1">{#N/A,#N/A,FALSE,"MAY";#N/A,#N/A,FALSE,"Q2";#N/A,#N/A,FALSE,"YTD"}</definedName>
    <definedName name="NewRange" hidden="1">#REF!</definedName>
    <definedName name="newview" hidden="1">{#N/A,#N/A,FALSE,"Summary";#N/A,#N/A,FALSE,"Signatures";#N/A,#N/A,FALSE,"FL Current";#N/A,#N/A,FALSE,"Assumptions";#N/A,#N/A,FALSE,"Assumptions";#N/A,#N/A,FALSE,"Assumptions";#N/A,#N/A,FALSE,"FL Last";#N/A,#N/A,FALSE,"FL Orig";#N/A,#N/A,FALSE,"C to G Explain"}</definedName>
    <definedName name="newview2" hidden="1">{#N/A,#N/A,FALSE,"Summary";#N/A,#N/A,FALSE,"Signatures";#N/A,#N/A,FALSE,"FL Current";#N/A,#N/A,FALSE,"Assumptions";#N/A,#N/A,FALSE,"Assumptions";#N/A,#N/A,FALSE,"Assumptions";#N/A,#N/A,FALSE,"FL Last";#N/A,#N/A,FALSE,"FL Orig";#N/A,#N/A,FALSE,"C to G Explain"}</definedName>
    <definedName name="newview2a" hidden="1">{"Cover Page",#N/A,TRUE,"Cover";"Strategy",#N/A,TRUE,"Strategy";"Financial Summary",#N/A,TRUE,"Summary";"Signatures",#N/A,TRUE,"Signatures";"FL Current",#N/A,TRUE,"FL Current";#N/A,#N/A,TRUE,"Capital";"FL Assum1",#N/A,TRUE,"Assumptions";"FL Assum2",#N/A,TRUE,"Assumptions";"FL Assum3",#N/A,TRUE,"Assumptions";"FL Last",#N/A,TRUE,"FL Last";#N/A,#N/A,TRUE,"FL Orig";#N/A,#N/A,TRUE,"C to G Explain";#N/A,#N/A,TRUE,"Tornado";#N/A,#N/A,TRUE,"Sensitivity";#N/A,#N/A,TRUE,"Alt View"}</definedName>
    <definedName name="newview2b" hidden="1">{"Cover Page",#N/A,TRUE,"Cover";"Strategy",#N/A,TRUE,"Strategy";"Financial Summary",#N/A,TRUE,"Summary";"Signatures",#N/A,TRUE,"Signatures";"FL Current",#N/A,TRUE,"FL Current";#N/A,#N/A,TRUE,"Capital";"FL Assum1",#N/A,TRUE,"Assumptions";"FL Assum2",#N/A,TRUE,"Assumptions";"FL Assum3",#N/A,TRUE,"Assumptions";"FL Last",#N/A,TRUE,"FL Last";#N/A,#N/A,TRUE,"FL Orig";#N/A,#N/A,TRUE,"C to G Explain";#N/A,#N/A,TRUE,"Tornado";#N/A,#N/A,TRUE,"Sensitivity";#N/A,#N/A,TRUE,"Alt View"}</definedName>
    <definedName name="newview3" hidden="1">{#N/A,#N/A,FALSE,"Summary";#N/A,#N/A,FALSE,"Signatures";#N/A,#N/A,FALSE,"FL Current";#N/A,#N/A,FALSE,"Assumptions";#N/A,#N/A,FALSE,"Assumptions";#N/A,#N/A,FALSE,"Assumptions";#N/A,#N/A,FALSE,"FL Last";#N/A,#N/A,FALSE,"FL Orig";#N/A,#N/A,FALSE,"C to G Explain"}</definedName>
    <definedName name="newview3a" hidden="1">{#N/A,#N/A,FALSE,"Summary";#N/A,#N/A,FALSE,"Signatures";#N/A,#N/A,FALSE,"FL Current";#N/A,#N/A,FALSE,"Assumptions";#N/A,#N/A,FALSE,"Assumptions";#N/A,#N/A,FALSE,"Assumptions";#N/A,#N/A,FALSE,"FL Last";#N/A,#N/A,FALSE,"FL Orig";#N/A,#N/A,FALSE,"C to G Explain"}</definedName>
    <definedName name="newview3b" hidden="1">{#N/A,#N/A,FALSE,"Summary";#N/A,#N/A,FALSE,"Signatures";#N/A,#N/A,FALSE,"FL Current";#N/A,#N/A,FALSE,"Assumptions";#N/A,#N/A,FALSE,"Assumptions";#N/A,#N/A,FALSE,"Assumptions";#N/A,#N/A,FALSE,"FL Last";#N/A,#N/A,FALSE,"FL Orig";#N/A,#N/A,FALSE,"C to G Explain"}</definedName>
    <definedName name="nname" hidden="1">38743.7825231481</definedName>
    <definedName name="nnnn" hidden="1">{#N/A,#N/A,FALSE,"Job Sched"}</definedName>
    <definedName name="noidea" hidden="1">{#N/A,#N/A,FALSE,"Calc";#N/A,#N/A,FALSE,"Sensitivity";#N/A,#N/A,FALSE,"LT Earn.Dil.";#N/A,#N/A,FALSE,"Dil. AVP"}</definedName>
    <definedName name="NoteTextNames" hidden="1">{"Text 9";"Text 10";"Text 11";"Text 12"}</definedName>
    <definedName name="november" hidden="1">{"bs",#N/A,FALSE,"SCF"}</definedName>
    <definedName name="o" hidden="1">{#N/A,#N/A,FALSE,"New Depr Sch-150% DB";#N/A,#N/A,FALSE,"Cash Flows RLP";#N/A,#N/A,FALSE,"IRR";#N/A,#N/A,FALSE,"Proforma IS";#N/A,#N/A,FALSE,"Assumptions"}</definedName>
    <definedName name="OCTBS" hidden="1">{#N/A,#N/A,FALSE,"Assump2";#N/A,#N/A,FALSE,"Income2";#N/A,#N/A,FALSE,"Balance2";#N/A,#N/A,FALSE,"DCF Filter";#N/A,#N/A,FALSE,"Trans Assump2";#N/A,#N/A,FALSE,"Combined Income2";#N/A,#N/A,FALSE,"Combined Balance2"}</definedName>
    <definedName name="old" hidden="1">{#N/A,#N/A,FALSE,"Income";#N/A,#N/A,FALSE,"Cost of Goods Sold";#N/A,#N/A,FALSE,"Other Costs";#N/A,#N/A,FALSE,"Other Income";#N/A,#N/A,FALSE,"Taxes";#N/A,#N/A,FALSE,"Other Deductions";#N/A,#N/A,FALSE,"Compensation of Officers"}</definedName>
    <definedName name="Old_Dashboard_1" hidden="1">39632.4085763889</definedName>
    <definedName name="olddata" hidden="1">{"PAGE 1",#N/A,FALSE,"WEST_OT"}</definedName>
    <definedName name="olddata1" hidden="1">{"PAGE 1",#N/A,FALSE,"WEST_OT"}</definedName>
    <definedName name="olddata2" hidden="1">{"PAGE 1",#N/A,FALSE,"WEST_OT"}</definedName>
    <definedName name="olddata3" hidden="1">{"PAGE 1",#N/A,FALSE,"WEST_OT"}</definedName>
    <definedName name="ooooo" hidden="1">{#N/A,#N/A,FALSE,"Calc";#N/A,#N/A,FALSE,"Sensitivity";#N/A,#N/A,FALSE,"LT Earn.Dil.";#N/A,#N/A,FALSE,"Dil. AVP"}</definedName>
    <definedName name="oooooo" hidden="1">{"COMPROS",#N/A,FALSE,"ROS";"COMPOFF",#N/A,FALSE,"OFF";"COMPBEA",#N/A,FALSE,"BEA";"COMPCOF",#N/A,FALSE,"COF";"COMPTEL",#N/A,FALSE,"TEL";"COMPCON",#N/A,FALSE,"CON";"COMPINT",#N/A,FALSE,"INT"}</definedName>
    <definedName name="Opportunities"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Order__1" hidden="1">0</definedName>
    <definedName name="OrderTable" hidden="1">#REF!</definedName>
    <definedName name="Ownership" hidden="1">OFFSET(#REF!,1,0)</definedName>
    <definedName name="p_1" hidden="1">{"Page 1",#N/A,FALSE,"Sheet1";"Page 2",#N/A,FALSE,"Sheet1"}</definedName>
    <definedName name="panther_wrn.test1." hidden="1">{"Income Statement",#N/A,FALSE,"CFMODEL";"Balance Sheet",#N/A,FALSE,"CFMODEL"}</definedName>
    <definedName name="panther_wrn.test2." hidden="1">{"SourcesUses",#N/A,TRUE,"CFMODEL";"TransOverview",#N/A,TRUE,"CFMODEL"}</definedName>
    <definedName name="panther_wrn.test3." hidden="1">{"SourcesUses",#N/A,TRUE,#N/A;"TransOverview",#N/A,TRUE,"CFMODEL"}</definedName>
    <definedName name="panther_wrn.test4." hidden="1">{"SourcesUses",#N/A,TRUE,"FundsFlow";"TransOverview",#N/A,TRUE,"FundsFlow"}</definedName>
    <definedName name="patty" hidden="1">{"PAGE 1",#N/A,FALSE,"WEST_OT"}</definedName>
    <definedName name="perm" hidden="1">{"PAGE 1",#N/A,FALSE,"WEST_OT"}</definedName>
    <definedName name="perm1" hidden="1">{"PAGE 1",#N/A,FALSE,"WEST_OT"}</definedName>
    <definedName name="perm3" hidden="1">{"PAGE 1",#N/A,FALSE,"WEST_OT"}</definedName>
    <definedName name="perm4" hidden="1">{"PAGE 1",#N/A,FALSE,"WEST_OT"}</definedName>
    <definedName name="perm5" hidden="1">{"PAGE 2",#N/A,FALSE,"WEST_OT"}</definedName>
    <definedName name="perm6" hidden="1">{"PAGE 2",#N/A,FALSE,"WEST_OT"}</definedName>
    <definedName name="perm7" hidden="1">{"PAGE 1",#N/A,FALSE,"WEST_OT"}</definedName>
    <definedName name="PLAYCORP" hidden="1">{"tot_bow",#N/A,FALSE,"AMF"}</definedName>
    <definedName name="poso_wrn.test1." hidden="1">{"Income Statement",#N/A,FALSE,"CFMODEL";"Balance Sheet",#N/A,FALSE,"CFMODEL"}</definedName>
    <definedName name="poso_wrn.test2." hidden="1">{"SourcesUses",#N/A,TRUE,"CFMODEL";"TransOverview",#N/A,TRUE,"CFMODEL"}</definedName>
    <definedName name="poso_wrn.test3." hidden="1">{"SourcesUses",#N/A,TRUE,#N/A;"TransOverview",#N/A,TRUE,"CFMODEL"}</definedName>
    <definedName name="poso_wrn.test4." hidden="1">{"SourcesUses",#N/A,TRUE,"FundsFlow";"TransOverview",#N/A,TRUE,"FundsFlow"}</definedName>
    <definedName name="pp" hidden="1">{#N/A,#N/A,FALSE,"Calc";#N/A,#N/A,FALSE,"Sensitivity";#N/A,#N/A,FALSE,"LT Earn.Dil.";#N/A,#N/A,FALSE,"Dil. AVP"}</definedName>
    <definedName name="ppp" hidden="1">{"'Exchange Rates'!$A$1:$Q$33","'Exchange Rates'!$A$35:$Q$46"}</definedName>
    <definedName name="pppp" hidden="1">{#N/A,#N/A,FALSE,"REV 110 PRNE (Bureau-Frankfurt)";#N/A,#N/A,FALSE,"REV 120 PRNE (Bureau - Paris)"}</definedName>
    <definedName name="ppppp" hidden="1">{#N/A,#N/A,FALSE,"REV 110 PRNE (Bureau-Frankfurt)";#N/A,#N/A,FALSE,"REV 120 PRNE (Bureau - Paris)"}</definedName>
    <definedName name="pppppp" hidden="1">{"Normal View",#N/A,TRUE,"Lead Schedule";"Profit and Loss account",#N/A,TRUE,"US Schedules";"Causal Schedule",#N/A,TRUE,"US Inputs";"Normal View",#N/A,TRUE,"Membership Summary";"Normal View",#N/A,TRUE,"Exchanges Summary";"Normal View",#N/A,TRUE,"Travel Summary";"Normal View",#N/A,TRUE,"Other Revenue Summary";"Normal View",#N/A,TRUE,"Year on Year Cost Summary";"Normal View",#N/A,TRUE,"Staff Costs Summary";"Normal View",#N/A,TRUE,"Cost Summary";"Normal View",#N/A,TRUE,"Fixed Costs";"Normal View",#N/A,TRUE,"Flexed Variable Costs";"Normal View",#N/A,TRUE,"Existing Discretionary";"Normal View",#N/A,TRUE,"Exst Discretionary Expln";"Normal View",#N/A,TRUE,"New Initiatives";"Normal View",#N/A,TRUE,"New Initiatives Expln";"Total Additions 1996",#N/A,TRUE,"Total Heads";#N/A,#N/A,TRUE,"Heads Justifications 96";"Total Additions 1997",#N/A,TRUE,"Total Heads";"Normal View",#N/A,TRUE,"Heads Justifications 97";"Capex by project",#N/A,TRUE,"Capex by Project";"Normal View",#N/A,TRUE,"Capex Justification";"Marketing Expenses",#N/A,TRUE,"US Inputs";"Normal View",#N/A,TRUE,"Prices input";"Normal View",#N/A,TRUE,"Cash Flow";"Normal View",#N/A,TRUE,"Balance Sheet Summary"}</definedName>
    <definedName name="pr" hidden="1">27</definedName>
    <definedName name="Presentation"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pricebook_col" hidden="1">#REF!</definedName>
    <definedName name="priceearnings_col" hidden="1">#REF!</definedName>
    <definedName name="Print.All.SPF" hidden="1">{#N/A,#N/A,TRUE,"Austrapay Proposal";#N/A,#N/A,TRUE,"SPF Recovery Calc";#N/A,#N/A,TRUE,"Capex Schedule";#N/A,#N/A,TRUE,"Schedule 1";#N/A,#N/A,TRUE,"Capital Budget  by Year";#N/A,#N/A,TRUE,"Depreciation by Year";#N/A,#N/A,TRUE,"Funding By Year";#N/A,#N/A,TRUE,"WBC Revenue Schedule";#N/A,#N/A,TRUE,"WBC Pricing Schedule"}</definedName>
    <definedName name="_xlnm.Print_Area" localSheetId="3">'Annual Waterfall'!$B$2:$H$66</definedName>
    <definedName name="_xlnm.Print_Area" localSheetId="5">'LTM Waterfall'!$B$2:$AC$66</definedName>
    <definedName name="_xlnm.Print_Area" localSheetId="4">'Quarterly Waterfall'!$B$2:$Q$79</definedName>
    <definedName name="_xlnm.Print_Area" localSheetId="0">ToC!$B$2:$G$27</definedName>
    <definedName name="_xlnm.Print_Area" localSheetId="7">'Top Customers'!$B$2:$Z$128</definedName>
    <definedName name="ProdForm" hidden="1">#REF!</definedName>
    <definedName name="Product" hidden="1">#REF!</definedName>
    <definedName name="profimp2" hidden="1">{"PAGE 1",#N/A,FALSE,"WEST_OT"}</definedName>
    <definedName name="profimp3" hidden="1">{"PAGE 2",#N/A,FALSE,"WEST_OT"}</definedName>
    <definedName name="profimp5" hidden="1">{"PAGE 1",#N/A,FALSE,"WEST_OT"}</definedName>
    <definedName name="profimptest" hidden="1">{"PAGE 2",#N/A,FALSE,"WEST_OT"}</definedName>
    <definedName name="proformrow" hidden="1">#REF!</definedName>
    <definedName name="projdepamort" hidden="1">#REF!</definedName>
    <definedName name="projepsstart" hidden="1">#REF!</definedName>
    <definedName name="projint" hidden="1">#REF!</definedName>
    <definedName name="projrev" hidden="1">#REF!</definedName>
    <definedName name="projtax" hidden="1">#REF!</definedName>
    <definedName name="PUB_FileID" hidden="1">"L10003649.xls"</definedName>
    <definedName name="PUB_UserID" hidden="1">"MAYERX"</definedName>
    <definedName name="qqqqqqqqqq" hidden="1">{"'12690-8951'!$A$1:$L$58"}</definedName>
    <definedName name="rap" hidden="1">{"Page 1",#N/A,FALSE,"Sheet1";"Page 2",#N/A,FALSE,"Sheet1"}</definedName>
    <definedName name="rap_1" hidden="1">{"Page 1",#N/A,FALSE,"Sheet1";"Page 2",#N/A,FALSE,"Sheet1"}</definedName>
    <definedName name="RCArea" hidden="1">#REF!</definedName>
    <definedName name="RDArea" hidden="1">#REF!</definedName>
    <definedName name="RedefinePrintTableRange" hidden="1">#REF!</definedName>
    <definedName name="redo" hidden="1">{#N/A,#N/A,FALSE,"ACQ_GRAPHS";#N/A,#N/A,FALSE,"T_1 GRAPHS";#N/A,#N/A,FALSE,"T_2 GRAPHS";#N/A,#N/A,FALSE,"COMB_GRAPHS"}</definedName>
    <definedName name="redo_1" hidden="1">{#N/A,#N/A,FALSE,"ACQ_GRAPHS";#N/A,#N/A,FALSE,"T_1 GRAPHS";#N/A,#N/A,FALSE,"T_2 GRAPHS";#N/A,#N/A,FALSE,"COMB_GRAPHS"}</definedName>
    <definedName name="regmult" hidden="1">#REF!</definedName>
    <definedName name="Regression" hidden="1">#REF!</definedName>
    <definedName name="RegY" hidden="1">#REF!</definedName>
    <definedName name="Related" hidden="1">{#N/A,#N/A,FALSE,"Job Sched"}</definedName>
    <definedName name="rich" hidden="1">{"Capital Plan CA Schedule",#N/A,TRUE,"Capital Plan";"Capital Plan Summary",#N/A,TRUE,"Capital Plan"}</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10000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lrrename" hidden="1">{#N/A,#N/A,FALSE,"Budget96 Revised"}</definedName>
    <definedName name="rlrrename1" hidden="1">{#N/A,#N/A,FALSE,"Budget96 Revised"}</definedName>
    <definedName name="rngCopyFormulasSource" hidden="1">#REF!</definedName>
    <definedName name="Rock2" hidden="1">{"LBO Summary",#N/A,FALSE,"Summary";"Income Statement",#N/A,FALSE,"Model";"Cash Flow",#N/A,FALSE,"Model";"Balance Sheet",#N/A,FALSE,"Model";"Working Capital",#N/A,FALSE,"Model";"Pro Forma Balance Sheets",#N/A,FALSE,"PFBS";"Debt Balances",#N/A,FALSE,"Model";"Fee Schedules",#N/A,FALSE,"Model"}</definedName>
    <definedName name="Rock2_1" hidden="1">{"LBO Summary",#N/A,FALSE,"Summary";"Income Statement",#N/A,FALSE,"Model";"Cash Flow",#N/A,FALSE,"Model";"Balance Sheet",#N/A,FALSE,"Model";"Working Capital",#N/A,FALSE,"Model";"Pro Forma Balance Sheets",#N/A,FALSE,"PFBS";"Debt Balances",#N/A,FALSE,"Model";"Fee Schedules",#N/A,FALSE,"Model"}</definedName>
    <definedName name="Rockwell" hidden="1">{"LBO Summary",#N/A,FALSE,"Summary"}</definedName>
    <definedName name="Rockwell_1" hidden="1">{"LBO Summary",#N/A,FALSE,"Summary"}</definedName>
    <definedName name="rowLimitDDvalues" hidden="1">#REF!</definedName>
    <definedName name="rrrrrr" hidden="1">{"cash plan",#N/A,FALSE,"fccashflow"}</definedName>
    <definedName name="rw" hidden="1">{"'Standalone List Price Trends'!$A$1:$X$56"}</definedName>
    <definedName name="rw_1" hidden="1">{"'Standalone List Price Trends'!$A$1:$X$56"}</definedName>
    <definedName name="rwrwr" hidden="1">{"'Standalone List Price Trends'!$A$1:$X$56"}</definedName>
    <definedName name="rwrwr_1" hidden="1">{"'Standalone List Price Trends'!$A$1:$X$56"}</definedName>
    <definedName name="rwrwrwrwr" hidden="1">{"'Standalone List Price Trends'!$A$1:$X$56"}</definedName>
    <definedName name="rwrwrwrwr_1" hidden="1">{"'Standalone List Price Trends'!$A$1:$X$56"}</definedName>
    <definedName name="Rwvu.PRT." hidden="1">#REF!,#REF!</definedName>
    <definedName name="Rwvu.Prt.2" hidden="1">#REF!,#REF!</definedName>
    <definedName name="rwwr" hidden="1">{"'Standalone List Price Trends'!$A$1:$X$56"}</definedName>
    <definedName name="rwwr_1" hidden="1">{"'Standalone List Price Trends'!$A$1:$X$56"}</definedName>
    <definedName name="sadf" hidden="1">{#N/A,#N/A,TRUE,"Summary";#N/A,#N/A,TRUE,"Financials"}</definedName>
    <definedName name="sandy2" hidden="1">#REF!</definedName>
    <definedName name="SAPBEXrevision" hidden="1">6</definedName>
    <definedName name="SAPBEXsysID" hidden="1">"BWP"</definedName>
    <definedName name="SAPBEXwbID" hidden="1">"45NNECFYCVYICHS3WUSAZ7LS1"</definedName>
    <definedName name="SAPFuncF4Help" hidden="1">#N/A</definedName>
    <definedName name="sc" hidden="1">{"Page 1",#N/A,FALSE,"Sheet1";"Page 2",#N/A,FALSE,"Sheet1"}</definedName>
    <definedName name="sc_1" hidden="1">{"Page 1",#N/A,FALSE,"Sheet1";"Page 2",#N/A,FALSE,"Sheet1"}</definedName>
    <definedName name="scen_date1" hidden="1">34437.7679166667</definedName>
    <definedName name="scen_name1" hidden="1">"kredi"</definedName>
    <definedName name="scen_num" hidden="1">1</definedName>
    <definedName name="scen_user1" hidden="1">"ECZACIBAŞI - AVON KOZMETİK"</definedName>
    <definedName name="scen_value1" hidden="1">5920234.68567012</definedName>
    <definedName name="sddddd" hidden="1">{#N/A,#N/A,FALSE,"IB Totgeo Q1-Q4 ";#N/A,#N/A,FALSE,"IB AEME";#N/A,#N/A,FALSE,"IB West";#N/A,#N/A,FALSE,"IB Central";#N/A,#N/A,FALSE,"IB South ";#N/A,#N/A,FALSE,"IB North";#N/A,#N/A,FALSE,"IB Reg Tot ";#N/A,#N/A,FALSE,"IB Reg Tot graph"}</definedName>
    <definedName name="sdfas" hidden="1">#REF!</definedName>
    <definedName name="sdfasdf" localSheetId="1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sdfasdf"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sdfasgqearg" hidden="1">{"Capex by project",#N/A,FALSE,"Capex by Project"}</definedName>
    <definedName name="sdfd" hidden="1">{#N/A,#N/A,FALSE,"AR Summ.";#N/A,#N/A,FALSE,"Dec top 5 collects";#N/A,#N/A,FALSE,"Top 5 AR";#N/A,#N/A,FALSE,"Top 5&gt;90";#N/A,#N/A,FALSE,"AR Flow by Region";#N/A,#N/A,FALSE,"PrePays";#N/A,#N/A,FALSE,"Op&amp;Risk"}</definedName>
    <definedName name="sdfds" hidden="1">{"'Standalone List Price Trends'!$A$1:$X$56"}</definedName>
    <definedName name="sdfds_1" hidden="1">{"'Standalone List Price Trends'!$A$1:$X$56"}</definedName>
    <definedName name="sdfg" hidden="1">{#N/A,#N/A,FALSE,"Sheet1"}</definedName>
    <definedName name="sdfgs" hidden="1">{"Normal View",#N/A,TRUE,"Lead Schedule";"Profit and Loss account",#N/A,TRUE,"US Schedules";"Causal Schedule",#N/A,TRUE,"US Inputs";"Normal View",#N/A,TRUE,"Membership Summary";"Normal View",#N/A,TRUE,"Exchanges Summary";"Normal View",#N/A,TRUE,"Travel Summary";"Normal View",#N/A,TRUE,"Other Revenue Summary";"Normal View",#N/A,TRUE,"Year on Year Cost Summary";"Normal View",#N/A,TRUE,"Staff Costs Summary";"Normal View",#N/A,TRUE,"Cost Summary";"Normal View",#N/A,TRUE,"Fixed Costs";"Normal View",#N/A,TRUE,"Flexed Variable Costs";"Normal View",#N/A,TRUE,"Existing Discretionary";"Normal View",#N/A,TRUE,"Exst Discretionary Expln";"Normal View",#N/A,TRUE,"New Initiatives";"Normal View",#N/A,TRUE,"New Initiatives Expln";"Total Additions 1996",#N/A,TRUE,"Total Heads";#N/A,#N/A,TRUE,"Heads Justifications 96";"Total Additions 1997",#N/A,TRUE,"Total Heads";"Normal View",#N/A,TRUE,"Heads Justifications 97";"Capex by project",#N/A,TRUE,"Capex by Project";"Normal View",#N/A,TRUE,"Capex Justification";"Marketing Expenses",#N/A,TRUE,"US Inputs";"Normal View",#N/A,TRUE,"Prices input";"Normal View",#N/A,TRUE,"Cash Flow";"Normal View",#N/A,TRUE,"Balance Sheet Summary"}</definedName>
    <definedName name="SecretArchiveNumber" hidden="1">1</definedName>
    <definedName name="Seg_LBO_Summ" hidden="1">{"LBO Summary",#N/A,FALSE,"Summary"}</definedName>
    <definedName name="Seg_LBO_Summ_1" hidden="1">{"LBO Summary",#N/A,FALSE,"Summary"}</definedName>
    <definedName name="segmentSelectionCodes" hidden="1">#REF!</definedName>
    <definedName name="segmentSelectionNames" hidden="1">#REF!</definedName>
    <definedName name="sencount" hidden="1">1</definedName>
    <definedName name="sfgv" hidden="1">{"consolidated",#N/A,FALSE,"Sheet1";"cms",#N/A,FALSE,"Sheet1";"fse",#N/A,FALSE,"Sheet1"}</definedName>
    <definedName name="sfq" hidden="1">{#N/A,#N/A,FALSE,"Calc";#N/A,#N/A,FALSE,"Sensitivity";#N/A,#N/A,FALSE,"LT Earn.Dil.";#N/A,#N/A,FALSE,"Dil. AVP"}</definedName>
    <definedName name="sgdg" hidden="1">{#N/A,#N/A,FALSE,"Calc";#N/A,#N/A,FALSE,"Sensitivity";#N/A,#N/A,FALSE,"LT Earn.Dil.";#N/A,#N/A,FALSE,"Dil. AVP"}</definedName>
    <definedName name="sgsx" hidden="1">{"consolidated",#N/A,FALSE,"Sheet1";"cms",#N/A,FALSE,"Sheet1";"fse",#N/A,FALSE,"Sheet1"}</definedName>
    <definedName name="shdhd" hidden="1">{TRUE,TRUE,-2,-16.25,486,278.25,FALSE,TRUE,TRUE,TRUE,0,1,4,4,1,0.973404255319149,0.952380952380952,4,TRUE,TRUE,3,TRUE,1,FALSE,100,"Swvu.PRT.","ACwvu.PRT.",#N/A,FALSE,FALSE,0.01,0.01,0.75,0.1,2,"&amp;R&amp;""Times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name="SHOO" hidden="1">{#N/A,#N/A,FALSE,"Sheet1"}</definedName>
    <definedName name="Show.Acct.Update.Warning" hidden="1">#REF!</definedName>
    <definedName name="Show.MDB.Update.Warning" hidden="1">#REF!</definedName>
    <definedName name="solver_adj" hidden="1">#REF!</definedName>
    <definedName name="solver_cvg" hidden="1">0.001</definedName>
    <definedName name="solver_drv" hidden="1">1</definedName>
    <definedName name="solver_est" hidden="1">1</definedName>
    <definedName name="solver_itr" hidden="1">100</definedName>
    <definedName name="solver_lin" hidden="1">0</definedName>
    <definedName name="solver_neg" hidden="1">2</definedName>
    <definedName name="solver_num" hidden="1">0</definedName>
    <definedName name="solver_nwt" hidden="1">1</definedName>
    <definedName name="solver_oldobj" hidden="1">1543721.6579517</definedName>
    <definedName name="solver_opt" hidden="1">#REF!</definedName>
    <definedName name="solver_pre" hidden="1">0.000001</definedName>
    <definedName name="solver_rel1" hidden="1">2</definedName>
    <definedName name="solver_rh" hidden="1">4</definedName>
    <definedName name="solver_rhs1" hidden="1">1542801</definedName>
    <definedName name="solver_scl" hidden="1">2</definedName>
    <definedName name="solver_sho" hidden="1">2</definedName>
    <definedName name="solver_tim" hidden="1">100</definedName>
    <definedName name="solver_tm?" hidden="1">0</definedName>
    <definedName name="solver_tmE" hidden="1">0</definedName>
    <definedName name="solver_tmÊ" hidden="1">0</definedName>
    <definedName name="solver_tmp" hidden="1">1542801</definedName>
    <definedName name="solver_tmК" hidden="1">0</definedName>
    <definedName name="solver_tol" hidden="1">0.05</definedName>
    <definedName name="solver_ty?" hidden="1">3</definedName>
    <definedName name="solver_tyð" hidden="1">3</definedName>
    <definedName name="solver_typ" hidden="1">3</definedName>
    <definedName name="solver_tyр" hidden="1">3</definedName>
    <definedName name="solver_va" hidden="1">27</definedName>
    <definedName name="solver_val" hidden="1">0.6</definedName>
    <definedName name="Sort1" hidden="1">#REF!</definedName>
    <definedName name="Sort2" hidden="1">#REF!</definedName>
    <definedName name="SpecialPrice" hidden="1">#REF!</definedName>
    <definedName name="spoc" hidden="1">{"Page 1",#N/A,FALSE,"Sheet1";"Page 2",#N/A,FALSE,"Sheet1"}</definedName>
    <definedName name="spoc_1" hidden="1">{"Page 1",#N/A,FALSE,"Sheet1";"Page 2",#N/A,FALSE,"Sheet1"}</definedName>
    <definedName name="SS" hidden="1">{"'Exchange Rates'!$A$1:$Q$33","'Exchange Rates'!$A$35:$Q$46"}</definedName>
    <definedName name="sssss" hidden="1">{#N/A,#N/A,FALSE,"Calc";#N/A,#N/A,FALSE,"Sensitivity";#N/A,#N/A,FALSE,"LT Earn.Dil.";#N/A,#N/A,FALSE,"Dil. AVP"}</definedName>
    <definedName name="startDateComparison" hidden="1">#REF!</definedName>
    <definedName name="startDateComparisonAC" hidden="1">#REF!</definedName>
    <definedName name="startDateComparisonAW" hidden="1">#REF!</definedName>
    <definedName name="STRADA" hidden="1">{"'Printed'!$A$1:$Z$48","'Printed'!$A$1"}</definedName>
    <definedName name="Strategieplan" hidden="1">{#N/A,#N/A,TRUE,"Deckblatt";#N/A,#N/A,TRUE,"Inhaltsverz.";#N/A,#N/A,TRUE,"1.1. Organisationsplan";#N/A,#N/A,TRUE,"1.2. Budget-Übersicht";#N/A,#N/A,TRUE,"2. AE-AB-UE";#N/A,#N/A,TRUE,"3.1. 5-Jahres-Plan";#N/A,#N/A,TRUE,"3.2. Plan-Erg.rg.";#N/A,#N/A,TRUE,"4. Bilanz";#N/A,#N/A,TRUE,"5. Finanzplan";#N/A,#N/A,TRUE,"6. Investionen";#N/A,#N/A,TRUE,"7. Personalplan"}</definedName>
    <definedName name="stuff" hidden="1">#REF!</definedName>
    <definedName name="subj_EBITDA" hidden="1">#REF!</definedName>
    <definedName name="SUMMARY_BOOK" hidden="1">{"page1",#N/A,FALSE,"GIRLBO";"page2",#N/A,FALSE,"GIRLBO";"page3",#N/A,FALSE,"GIRLBO";"page4",#N/A,FALSE,"GIRLBO";"page5",#N/A,FALSE,"GIRLBO"}</definedName>
    <definedName name="SV_ENCPT_LOGON_PWD" hidden="1">"078104085088070118116120102"</definedName>
    <definedName name="SV_ENCPT_LOGON_USER" hidden="1">"095094088070084103101110107110"</definedName>
    <definedName name="Swvu.BS." hidden="1">#N/A</definedName>
    <definedName name="t" hidden="1">{"'Sheet1'!$A$1:$H$96"}</definedName>
    <definedName name="t_1" hidden="1">{"'Sheet1'!$A$1:$H$96"}</definedName>
    <definedName name="Table2Out" hidden="1">#REF!</definedName>
    <definedName name="Table3" hidden="1">#REF!</definedName>
    <definedName name="TargetDCF2" hidden="1">{#N/A,#N/A,FALSE,"Sheet1"}</definedName>
    <definedName name="tbl_ProdInfo" hidden="1">#REF!</definedName>
    <definedName name="TEMP" hidden="1">{"PAGE 1",#N/A,FALSE,"WEST_OT"}</definedName>
    <definedName name="temp1" hidden="1">{"PAGE 1",#N/A,FALSE,"WEST_OT"}</definedName>
    <definedName name="temp2" hidden="1">{"PAGE 1",#N/A,FALSE,"WEST_OT"}</definedName>
    <definedName name="temp3" hidden="1">{"PAGE 1",#N/A,FALSE,"WEST_OT"}</definedName>
    <definedName name="tempxxx" hidden="1">0</definedName>
    <definedName name="tesg4" hidden="1">{"PAGE 1",#N/A,FALSE,"WEST_OT"}</definedName>
    <definedName name="test"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test1" hidden="1">{"Page 1",#N/A,FALSE,"Sheet1";"Page 2",#N/A,FALSE,"Sheet1"}</definedName>
    <definedName name="test1_1" hidden="1">{"Page 1",#N/A,FALSE,"Sheet1";"Page 2",#N/A,FALSE,"Sheet1"}</definedName>
    <definedName name="test10" hidden="1">{"PAGE 1",#N/A,FALSE,"WEST_OT"}</definedName>
    <definedName name="test11" hidden="1">{"PAGE 1",#N/A,FALSE,"WEST_OT"}</definedName>
    <definedName name="test12" hidden="1">{"PAGE 2",#N/A,FALSE,"WEST_OT"}</definedName>
    <definedName name="test1232" hidden="1">{#N/A,#N/A,FALSE,"CASH";#N/A,#N/A,FALSE,"ACCT REC";#N/A,#N/A,FALSE,"PP&amp;E";#N/A,#N/A,FALSE,"OTHER ASSETS";#N/A,#N/A,FALSE,"CP LTD";#N/A,#N/A,FALSE,"ACCT PAY";#N/A,#N/A,FALSE,"ACCRUED OTH AP";#N/A,#N/A,FALSE,"LTD";#N/A,#N/A,FALSE,"REVENUES &amp; EXPENSES"}</definedName>
    <definedName name="test1234567" hidden="1">{#N/A,#N/A,FALSE,"Aging Summary";#N/A,#N/A,FALSE,"Ratio Analysis";#N/A,#N/A,FALSE,"Test 120 Day Accts";#N/A,#N/A,FALSE,"Tickmarks"}</definedName>
    <definedName name="test13" hidden="1">{"PAGE 2",#N/A,FALSE,"WEST_OT"}</definedName>
    <definedName name="test14" hidden="1">{"PAGE 1",#N/A,FALSE,"WEST_OT"}</definedName>
    <definedName name="test15" hidden="1">{"PAGE 1",#N/A,FALSE,"WEST_OT"}</definedName>
    <definedName name="test2" hidden="1">{"Page 1",#N/A,FALSE,"Sheet1";"Page 2",#N/A,FALSE,"Sheet1"}</definedName>
    <definedName name="test2_1" hidden="1">{"Page 1",#N/A,FALSE,"Sheet1";"Page 2",#N/A,FALSE,"Sheet1"}</definedName>
    <definedName name="test20" hidden="1">{"PAGE 1",#N/A,FALSE,"WEST_OT"}</definedName>
    <definedName name="test21" hidden="1">{"PAGE 1",#N/A,FALSE,"WEST_OT"}</definedName>
    <definedName name="test22" hidden="1">{"PAGE 1",#N/A,FALSE,"WEST_OT"}</definedName>
    <definedName name="test23" hidden="1">{"PAGE 1",#N/A,FALSE,"WEST_OT"}</definedName>
    <definedName name="test2343543w" hidden="1">{"'Bellville Acetylene'!$A$1:$L$99"}</definedName>
    <definedName name="test24" hidden="1">{"PAGE 1",#N/A,FALSE,"WEST_OT"}</definedName>
    <definedName name="test25" hidden="1">{"PAGE 1",#N/A,FALSE,"WEST_OT"}</definedName>
    <definedName name="test26" hidden="1">{"PAGE 1",#N/A,FALSE,"WEST_OT"}</definedName>
    <definedName name="test27" hidden="1">{"PAGE 1",#N/A,FALSE,"WEST_OT"}</definedName>
    <definedName name="test28" hidden="1">{"PAGE 1",#N/A,FALSE,"WEST_OT"}</definedName>
    <definedName name="test29" hidden="1">{"PAGE 1",#N/A,FALSE,"WEST_OT"}</definedName>
    <definedName name="test3" hidden="1">{"PAGE 1",#N/A,FALSE,"WEST_OT"}</definedName>
    <definedName name="test30" hidden="1">{"PAGE 2",#N/A,FALSE,"WEST_OT"}</definedName>
    <definedName name="test31" hidden="1">{"PAGE 1",#N/A,FALSE,"WEST_OT"}</definedName>
    <definedName name="test32" hidden="1">{"PAGE 1",#N/A,FALSE,"WEST_OT"}</definedName>
    <definedName name="test33" hidden="1">{"PAGE 1",#N/A,FALSE,"WEST_OT"}</definedName>
    <definedName name="test34" hidden="1">{"PAGE 1",#N/A,FALSE,"WEST_OT"}</definedName>
    <definedName name="test35" hidden="1">{"PAGE 1",#N/A,FALSE,"WEST_OT"}</definedName>
    <definedName name="test36" hidden="1">{"PAGE 1",#N/A,FALSE,"WEST_OT"}</definedName>
    <definedName name="test37" hidden="1">{"PAGE 2",#N/A,FALSE,"WEST_OT"}</definedName>
    <definedName name="test38" hidden="1">{"PAGE 1",#N/A,FALSE,"WEST_OT"}</definedName>
    <definedName name="test39" hidden="1">{"PAGE 1",#N/A,FALSE,"WEST_OT"}</definedName>
    <definedName name="test4" hidden="1">{"PAGE 1",#N/A,FALSE,"WEST_OT"}</definedName>
    <definedName name="test40" hidden="1">{"PAGE 2",#N/A,FALSE,"WEST_OT"}</definedName>
    <definedName name="test41" hidden="1">{"PAGE 1",#N/A,FALSE,"WEST_OT"}</definedName>
    <definedName name="test42" hidden="1">{"PAGE 1",#N/A,FALSE,"WEST_OT"}</definedName>
    <definedName name="test43" hidden="1">{"PAGE 2",#N/A,FALSE,"WEST_OT"}</definedName>
    <definedName name="test44" hidden="1">{"PAGE 2",#N/A,FALSE,"WEST_OT"}</definedName>
    <definedName name="test45" hidden="1">{"PAGE 1",#N/A,FALSE,"WEST_OT"}</definedName>
    <definedName name="test46" hidden="1">{"PAGE 1",#N/A,FALSE,"WEST_OT"}</definedName>
    <definedName name="test5" hidden="1">{"PAGE 1",#N/A,FALSE,"WEST_OT"}</definedName>
    <definedName name="test546667" hidden="1">{#N/A,#N/A,TRUE,"Summary";#N/A,#N/A,TRUE,"Financials"}</definedName>
    <definedName name="test6" hidden="1">{"PAGE 2",#N/A,FALSE,"WEST_OT"}</definedName>
    <definedName name="test7" hidden="1">{"PAGE 2",#N/A,FALSE,"WEST_OT"}</definedName>
    <definedName name="test8" hidden="1">{"PAGE 1",#N/A,FALSE,"WEST_OT"}</definedName>
    <definedName name="test9" hidden="1">{"PAGE 1",#N/A,FALSE,"WEST_OT"}</definedName>
    <definedName name="testpage" hidden="1">{"Page 1",#N/A,FALSE,"Sheet1";"Page 2",#N/A,FALSE,"Sheet1"}</definedName>
    <definedName name="testpage_1" hidden="1">{"Page 1",#N/A,FALSE,"Sheet1";"Page 2",#N/A,FALSE,"Sheet1"}</definedName>
    <definedName name="TestyDeleteMe" hidden="1">#REF!</definedName>
    <definedName name="TextRefCopyRangeCount" hidden="1">6</definedName>
    <definedName name="thth" hidden="1">{#N/A,#N/A,FALSE,"Calc";#N/A,#N/A,FALSE,"Sensitivity";#N/A,#N/A,FALSE,"LT Earn.Dil.";#N/A,#N/A,FALSE,"Dil. AVP"}</definedName>
    <definedName name="TOTAL_IN" hidden="1">{"Informes",#N/A,FALSE,"CA";"Informes",#N/A,FALSE,"CN";"Informes",#N/A,FALSE,"INVERSIONES";"Informes",#N/A,FALSE,"CN Oficial";"Informes",#N/A,FALSE,"CA Oficial";"Informes",#N/A,FALSE,"Res Datos Areas"}</definedName>
    <definedName name="TOTAL_INFORMES" hidden="1">{"Informes",#N/A,FALSE,"CA";"Informes",#N/A,FALSE,"CN";"Informes",#N/A,FALSE,"INVERSIONES";"Informes",#N/A,FALSE,"CN Oficial";"Informes",#N/A,FALSE,"CA Oficial";"Informes",#N/A,FALSE,"Res Datos Areas"}</definedName>
    <definedName name="totcap" hidden="1">#REF!,#REF!,#REF!,#REF!</definedName>
    <definedName name="trend" hidden="1">{#N/A,#N/A,FALSE,"Aging Summary";#N/A,#N/A,FALSE,"Ratio Analysis";#N/A,#N/A,FALSE,"Test 120 Day Accts";#N/A,#N/A,FALSE,"Tickmarks"}</definedName>
    <definedName name="trend_1" hidden="1">{#N/A,#N/A,FALSE,"Aging Summary";#N/A,#N/A,FALSE,"Ratio Analysis";#N/A,#N/A,FALSE,"Test 120 Day Accts";#N/A,#N/A,FALSE,"Tickmarks"}</definedName>
    <definedName name="ttt" hidden="1">{"PAGE 1",#N/A,FALSE,"WEST_OT"}</definedName>
    <definedName name="TTTT" hidden="1">{"PAGE 1",#N/A,FALSE,"WEST_OT"}</definedName>
    <definedName name="ttttttt"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u" hidden="1">{#N/A,#N/A,FALSE,"Aging Summary";#N/A,#N/A,FALSE,"Ratio Analysis";#N/A,#N/A,FALSE,"Test 120 Day Accts";#N/A,#N/A,FALSE,"Tickmarks"}</definedName>
    <definedName name="uu" hidden="1">{"'Exchange Rates'!$A$1:$Q$33","'Exchange Rates'!$A$35:$Q$46"}</definedName>
    <definedName name="uuuu9" hidden="1">{#N/A,#N/A,FALSE,"MAY";#N/A,#N/A,FALSE,"Q2";#N/A,#N/A,FALSE,"YTD"}</definedName>
    <definedName name="uuuuu" hidden="1">{#N/A,#N/A,FALSE,"MAY";#N/A,#N/A,FALSE,"Q2";#N/A,#N/A,FALSE,"YTD"}</definedName>
    <definedName name="uuuuu1" hidden="1">{#N/A,#N/A,FALSE,"MAY";#N/A,#N/A,FALSE,"Q2";#N/A,#N/A,FALSE,"YTD"}</definedName>
    <definedName name="uuuuuuuuuuuuuuuuuuuu" hidden="1">{"COMPCFT",#N/A,FALSE,"CFT";"COMPAPP",#N/A,FALSE,"APP";"COMPJEW",#N/A,FALSE,"JEW";"COMPHOM",#N/A,FALSE,"HOM";"COMPCOL",#N/A,FALSE,"COL"}</definedName>
    <definedName name="uyhihkjhkjh" hidden="1">{"COMPROS",#N/A,FALSE,"ROS";"COMPOFF",#N/A,FALSE,"OFF";"COMPBEA",#N/A,FALSE,"BEA";"COMPCOF",#N/A,FALSE,"COF";"COMPTEL",#N/A,FALSE,"TEL";"COMPCON",#N/A,FALSE,"CON";"COMPINT",#N/A,FALSE,"INT"}</definedName>
    <definedName name="V_F0" hidden="1">#REF!</definedName>
    <definedName name="V_F1" hidden="1">#REF!</definedName>
    <definedName name="V_F10" hidden="1">#REF!</definedName>
    <definedName name="V_F11" hidden="1">#REF!</definedName>
    <definedName name="V_F12" hidden="1">#REF!</definedName>
    <definedName name="V_F13" hidden="1">#REF!</definedName>
    <definedName name="V_F2" hidden="1">#REF!</definedName>
    <definedName name="V_F3" hidden="1">#REF!</definedName>
    <definedName name="V_F4" hidden="1">#REF!</definedName>
    <definedName name="V_F5" hidden="1">#REF!</definedName>
    <definedName name="V_F6" hidden="1">#REF!</definedName>
    <definedName name="V_F7" hidden="1">#REF!</definedName>
    <definedName name="V_F8" hidden="1">#REF!</definedName>
    <definedName name="V_F9" hidden="1">#REF!</definedName>
    <definedName name="vf" hidden="1">{#N/A,#N/A,FALSE,"Budget96 Revised"}</definedName>
    <definedName name="victor" hidden="1">{"multiple",#N/A,FALSE,"client";"margins",#N/A,FALSE,"client";"data",#N/A,FALSE,"client"}</definedName>
    <definedName name="vo" hidden="1">{"consolidated",#N/A,FALSE,"Sheet1";"cms",#N/A,FALSE,"Sheet1";"fse",#N/A,FALSE,"Sheet1"}</definedName>
    <definedName name="w" hidden="1">{#N/A,#N/A,FALSE,"Naming &amp; Assumptions";#N/A,#N/A,FALSE,"Summary";#N/A,#N/A,FALSE,"Equity Summary";#N/A,#N/A,FALSE,"Price Summary";#N/A,#N/A,FALSE,"DCF";#N/A,#N/A,FALSE,"IRR";#N/A,#N/A,FALSE,"Ratios";#N/A,#N/A,FALSE,"Debt Paydown";#N/A,#N/A,FALSE,"JAII Amort. Schedule";#N/A,#N/A,FALSE,"JAII Assumptions";#N/A,#N/A,FALSE,"JAII Income";#N/A,#N/A,FALSE,"JAII Balance";#N/A,#N/A,FALSE,"JAII Cashflow";#N/A,#N/A,FALSE,"JAC";#N/A,#N/A,FALSE,"JAC Buildup";#N/A,#N/A,FALSE,"JAC%";#N/A,#N/A,FALSE,"Bostrom";#N/A,#N/A,FALSE,"Fabco";#N/A,#N/A,FALSE,"Brillion";#N/A,#N/A,FALSE,"Gunite";#N/A,#N/A,FALSE,"Interco";#N/A,#N/A,FALSE,"JAIX"}</definedName>
    <definedName name="WC" hidden="1">#REF!</definedName>
    <definedName name="what" hidden="1">{TRUE,TRUE,-2,-16.25,486,278.25,FALSE,TRUE,TRUE,TRUE,0,1,2,4,1,0.987654320987654,0.952380952380952,3,TRUE,TRUE,3,TRUE,1,FALSE,100,"Swvu.ALL.","ACwvu.ALL.",#N/A,FALSE,FALSE,0.01,0.01,0.5,0.2,2,"&amp;R&amp;""Times New Roman""&amp;F
&amp;D   &amp;T","",TRUE,FALSE,FALSE,FALSE,1,100,#N/A,#N/A,"=R1C1:R53C15",FALSE,#N/A,"Cwvu.ALL.",FALSE,FALSE,TRUE,1,65532,65532,FALSE,FALSE,TRUE,TRUE,TRUE}</definedName>
    <definedName name="WHO" hidden="1">{"'12690-8951'!$A$1:$L$58"}</definedName>
    <definedName name="wlkednjfc" hidden="1">{#N/A,#N/A,FALSE,"Aging Summary";#N/A,#N/A,FALSE,"Ratio Analysis";#N/A,#N/A,FALSE,"Test 120 Day Accts";#N/A,#N/A,FALSE,"Tickmarks"}</definedName>
    <definedName name="word" hidden="1">{#N/A,#N/A,TRUE,"Deckblatt";#N/A,#N/A,TRUE,"Inhaltsverz.";#N/A,#N/A,TRUE,"1.1. Organisationsplan";#N/A,#N/A,TRUE,"1.2. Budget-Übersicht";#N/A,#N/A,TRUE,"2. AE-AB-UE";#N/A,#N/A,TRUE,"3.1. 5-Jahres-Plan";#N/A,#N/A,TRUE,"3.2. Plan-Erg.rg.";#N/A,#N/A,TRUE,"4. Bilanz";#N/A,#N/A,TRUE,"5. Finanzplan";#N/A,#N/A,TRUE,"6. Investionen";#N/A,#N/A,TRUE,"7. Personalplan"}</definedName>
    <definedName name="WQWQ" hidden="1">{"adm_pl",#N/A,FALSE,"PL"}</definedName>
    <definedName name="wrd.2._.pagers.3" hidden="1">{"Cover",#N/A,FALSE,"Cover";"Summary",#N/A,FALSE,"Summarpage"}</definedName>
    <definedName name="wrn.1." hidden="1">{#N/A,#N/A,FALSE,"Calc";#N/A,#N/A,FALSE,"Sensitivity";#N/A,#N/A,FALSE,"LT Earn.Dil.";#N/A,#N/A,FALSE,"Dil. AVP"}</definedName>
    <definedName name="wrn.10." hidden="1">{"cover",#N/A,TRUE,"Cover";"toc3",#N/A,TRUE,"TOC";"over",#N/A,TRUE,"Overview";"ts2",#N/A,TRUE,"Det_Trans_Sum";"ei1c",#N/A,TRUE,"Earnings Impact";"ad1",#N/A,TRUE,"accretion dilution";"pfis1",#N/A,TRUE,"Pro Forma Income Statement";"acq1c",#N/A,TRUE,"Acquirer";"tar1c",#N/A,TRUE,"Target"}</definedName>
    <definedName name="wrn.10yp._.balance._.sheet." hidden="1">{"10yp balance sheet",#N/A,FALSE,"Celtel alternative 6"}</definedName>
    <definedName name="wrn.10yp._.capex." hidden="1">{"10yp capex",#N/A,FALSE,"Celtel alternative 6"}</definedName>
    <definedName name="wrn.10yp._.customers." hidden="1">{"10yp customers",#N/A,FALSE,"Celtel alternative 6"}</definedName>
    <definedName name="wrn.10yp._.graphs." hidden="1">{"10yp graphs",#N/A,FALSE,"Market Data"}</definedName>
    <definedName name="wrn.10yp._.key._.data." hidden="1">{"10yp key data",#N/A,FALSE,"Market Data"}</definedName>
    <definedName name="wrn.10yp._.profit._.and._.loss." hidden="1">{"10yp profit and loss",#N/A,FALSE,"Celtel alternative 6"}</definedName>
    <definedName name="wrn.10yp._.tariffs." hidden="1">{"10yp tariffs",#N/A,FALSE,"Celtel alternative 6"}</definedName>
    <definedName name="wrn.11." hidden="1">{"cover",#N/A,TRUE,"Cover";"toc3",#N/A,TRUE,"TOC";"over",#N/A,TRUE,"Overview";"ts2",#N/A,TRUE,"Det_Trans_Sum";"ei2c",#N/A,TRUE,"Earnings Impact";"ad2",#N/A,TRUE,"accretion dilution";"pfis2",#N/A,TRUE,"Pro Forma Income Statement";"acq2c",#N/A,TRUE,"Acquirer";"tar2c",#N/A,TRUE,"Target"}</definedName>
    <definedName name="wrn.12." hidden="1">{"cover",#N/A,TRUE,"Cover";"toc3",#N/A,TRUE,"TOC";"over",#N/A,TRUE,"Overview";"ts2",#N/A,TRUE,"Det_Trans_Sum";"ei3c",#N/A,TRUE,"Earnings Impact";"ad3",#N/A,TRUE,"accretion dilution";"pfis3",#N/A,TRUE,"Pro Forma Income Statement";"acq3c",#N/A,TRUE,"Acquirer";"tar3c",#N/A,TRUE,"Target"}</definedName>
    <definedName name="wrn.13." hidden="1">{"cover",#N/A,TRUE,"Cover";"toc4",#N/A,TRUE,"TOC";"over",#N/A,TRUE,"Overview";"ts2",#N/A,TRUE,"Det_Trans_Sum";"eic",#N/A,TRUE,"Earnings Impact";"ad",#N/A,TRUE,"accretion dilution";"tas",#N/A,TRUE,"TaintedShares";"hg",#N/A,TRUE,"Has-Gets";"pfis",#N/A,TRUE,"Pro Forma Income Statement";"ca",#N/A,TRUE,"Contribution_Analysis";"acqc",#N/A,TRUE,"Acquirer";"tarc",#N/A,TRUE,"Target"}</definedName>
    <definedName name="wrn.14." hidden="1">{"cover",#N/A,TRUE,"Cover";"toc4",#N/A,TRUE,"TOC";"over",#N/A,TRUE,"Overview";"ts2",#N/A,TRUE,"Det_Trans_Sum";"ei1c",#N/A,TRUE,"Earnings Impact";"ad1",#N/A,TRUE,"accretion dilution";"tas",#N/A,TRUE,"TaintedShares";"hg1",#N/A,TRUE,"Has-Gets";"pfis1",#N/A,TRUE,"Pro Forma Income Statement";"ca1",#N/A,TRUE,"Contribution_Analysis";"acq1c",#N/A,TRUE,"Acquirer";"tar1c",#N/A,TRUE,"Target"}</definedName>
    <definedName name="wrn.15." hidden="1">{"cover",#N/A,TRUE,"Cover";"toc4",#N/A,TRUE,"TOC";"over",#N/A,TRUE,"Overview";"ts2",#N/A,TRUE,"Det_Trans_Sum";"ei2c",#N/A,TRUE,"Earnings Impact";"ad2",#N/A,TRUE,"accretion dilution";"tas",#N/A,TRUE,"TaintedShares";"hg2",#N/A,TRUE,"Has-Gets";"pfis2",#N/A,TRUE,"Pro Forma Income Statement";"ca2",#N/A,TRUE,"Contribution_Analysis";"acq2c",#N/A,TRUE,"Acquirer";"tar2c",#N/A,TRUE,"Target"}</definedName>
    <definedName name="wrn.16." hidden="1">{"cover",#N/A,TRUE,"Cover";"toc4",#N/A,TRUE,"TOC";"over",#N/A,TRUE,"Overview";"ts2",#N/A,TRUE,"Det_Trans_Sum";"ei3c",#N/A,TRUE,"Earnings Impact";"ad3",#N/A,TRUE,"accretion dilution";"tas",#N/A,TRUE,"TaintedShares";"hg3",#N/A,TRUE,"Has-Gets";"pfis3",#N/A,TRUE,"Pro Forma Income Statement";"ca3",#N/A,TRUE,"Contribution_Analysis";"acq3c",#N/A,TRUE,"Acquirer";"tar3c",#N/A,TRUE,"Target"}</definedName>
    <definedName name="wrn.17." hidden="1">{"cover",#N/A,TRUE,"Cover";"toc5",#N/A,TRUE,"TOC";"over",#N/A,TRUE,"Overview";"ts2",#N/A,TRUE,"Det_Trans_Sum";"eic",#N/A,TRUE,"Earnings Impact";"ad",#N/A,TRUE,"accretion dilution";"pfis",#N/A,TRUE,"Pro Forma Income Statement";"ca",#N/A,TRUE,"Contribution_Analysis";"acqc",#N/A,TRUE,"Acquirer";"tarc",#N/A,TRUE,"Target"}</definedName>
    <definedName name="wrn.18." hidden="1">{"cover",#N/A,TRUE,"Cover";"toc5",#N/A,TRUE,"TOC";"over",#N/A,TRUE,"Overview";"ts2",#N/A,TRUE,"Det_Trans_Sum";"ei1c",#N/A,TRUE,"Earnings Impact";"ad1",#N/A,TRUE,"accretion dilution";"pfis1",#N/A,TRUE,"Pro Forma Income Statement";"ca1",#N/A,TRUE,"Contribution_Analysis";"acq1c",#N/A,TRUE,"Acquirer";"tar1c",#N/A,TRUE,"Target"}</definedName>
    <definedName name="wrn.19." hidden="1">{"cover",#N/A,TRUE,"Cover";"toc5",#N/A,TRUE,"TOC";"ts2",#N/A,TRUE,"Det_Trans_Sum";"over",#N/A,TRUE,"Overview";"ei2c",#N/A,TRUE,"Earnings Impact";"ad2",#N/A,TRUE,"accretion dilution";"pfis2",#N/A,TRUE,"Pro Forma Income Statement";"ca2",#N/A,TRUE,"Contribution_Analysis";"acq2c",#N/A,TRUE,"Acquirer";"tar2c",#N/A,TRUE,"Target"}</definedName>
    <definedName name="wrn.1999._.Corporate." hidden="1">{"1999Corporate",#N/A,FALSE,"Corporate"}</definedName>
    <definedName name="wrn.1999._.Funding." hidden="1">{"1999Funding",#N/A,FALSE,"Funding"}</definedName>
    <definedName name="wrn.1999._.Grp._.Adjustments." hidden="1">{"1999GrpAdj",#N/A,FALSE,"Grp Adj"}</definedName>
    <definedName name="wrn.1999._.Grp._.Consol." hidden="1">{"1999GrpConsol",#N/A,FALSE,"Grp Consol"}</definedName>
    <definedName name="wrn.1999._.HTUK." hidden="1">{"1999HTUK",#N/A,FALSE,"HTUK"}</definedName>
    <definedName name="wrn.1999._.International." hidden="1">{"1999International",#N/A,FALSE,"International"}</definedName>
    <definedName name="wrn.1999._.OIDL." hidden="1">{"1999OIDL",#N/A,FALSE,"OIDL"}</definedName>
    <definedName name="wrn.1999._.Trust." hidden="1">{"1999Trust",#N/A,FALSE,"Trust"}</definedName>
    <definedName name="wrn.2." hidden="1">{"cover",#N/A,TRUE,"Cover";"toc1",#N/A,TRUE,"TOC";"ts1",#N/A,TRUE,"Transaction Summary";"ei1",#N/A,TRUE,"Earnings Impact";"ad1",#N/A,TRUE,"accretion dilution"}</definedName>
    <definedName name="wrn.2._.pagers." hidden="1">{"Cover",#N/A,FALSE,"Cover";"Summary",#N/A,FALSE,"Summarpage"}</definedName>
    <definedName name="wrn.2._.pagers.2" hidden="1">{"Cover",#N/A,FALSE,"Cover";"Summary",#N/A,FALSE,"Summarpage"}</definedName>
    <definedName name="wrn.20." hidden="1">{"cover",#N/A,TRUE,"Cover";"toc5",#N/A,TRUE,"TOC";"over",#N/A,TRUE,"Overview";"ts2",#N/A,TRUE,"Det_Trans_Sum";"ei3c",#N/A,TRUE,"Earnings Impact";"ad3",#N/A,TRUE,"accretion dilution";"pfis3",#N/A,TRUE,"Pro Forma Income Statement";"ca3",#N/A,TRUE,"Contribution_Analysis";"acq3c",#N/A,TRUE,"Acquirer";"tar3c",#N/A,TRUE,"Target"}</definedName>
    <definedName name="wrn.2000._.Corporate." hidden="1">{"2000Corporate",#N/A,FALSE,"Corporate"}</definedName>
    <definedName name="wrn.2000._.Funding." hidden="1">{"2000Funding",#N/A,FALSE,"Funding"}</definedName>
    <definedName name="wrn.2000._.Grp._.Adjustments." hidden="1">{"2000GrpAdj",#N/A,FALSE,"Grp Adj"}</definedName>
    <definedName name="wrn.2000._.Grp._.Consol." hidden="1">{"2000GrpConsol",#N/A,FALSE,"Grp Consol"}</definedName>
    <definedName name="wrn.2000._.HTUK." hidden="1">{"2000HTUK",#N/A,FALSE,"HTUK"}</definedName>
    <definedName name="wrn.2000._.International." hidden="1">{"2000International",#N/A,FALSE,"International"}</definedName>
    <definedName name="wrn.2000._.OIDL." hidden="1">{"2000OIDL",#N/A,FALSE,"OIDL"}</definedName>
    <definedName name="wrn.2000._.Trust." hidden="1">{"2000Trust",#N/A,FALSE,"Trust"}</definedName>
    <definedName name="wrn.2003._.Detail._.in._.Dollars." hidden="1">{#N/A,#N/A,FALSE,"2003 Est";#N/A,#N/A,FALSE,"2003 Pr";#N/A,#N/A,FALSE,"2003 Plan"}</definedName>
    <definedName name="wrn.2003._.Detail._.per._.pax." hidden="1">{#N/A,#N/A,FALSE,"2003 Est per pax";#N/A,#N/A,FALSE,"2003 Pr per pax";#N/A,#N/A,FALSE,"2003 Plan per pax"}</definedName>
    <definedName name="wrn.2003._.RM._.Reports." hidden="1">{#N/A,#N/A,FALSE,"Prd Summ 03Prvs03E";#N/A,#N/A,FALSE,"Prd Summ 03Pvs03E"}</definedName>
    <definedName name="wrn.2004._.Detail._.in._.Dollars." hidden="1">{#N/A,#N/A,FALSE,"2004 Est";#N/A,#N/A,FALSE,"2004 Pr Est";#N/A,#N/A,FALSE,"2004 Plan"}</definedName>
    <definedName name="wrn.2004._.Detail._.per._.pax." hidden="1">{#N/A,#N/A,FALSE,"2004 Est per pax";#N/A,#N/A,FALSE,"2004 Pr per pax";#N/A,#N/A,FALSE,"2004 Plan per pax"}</definedName>
    <definedName name="wrn.2004._.RM._.Reports." hidden="1">{#N/A,#N/A,FALSE,"Prd Summ 04Pvs04E";#N/A,#N/A,FALSE,"Prd Summ 04Prvs04E";#N/A,#N/A,FALSE,"Prd Summ 03Evs04E"}</definedName>
    <definedName name="wrn.21." hidden="1">{"cover",#N/A,TRUE,"Cover";"toc6",#N/A,TRUE,"TOC";"over",#N/A,TRUE,"Overview";"ts2",#N/A,TRUE,"Det_Trans_Sum";"eic",#N/A,TRUE,"Earnings Impact";"ad",#N/A,TRUE,"accretion dilution";"hg",#N/A,TRUE,"Has-Gets";"pfis",#N/A,TRUE,"Pro Forma Income Statement";"ca",#N/A,TRUE,"Contribution_Analysis";"acqc",#N/A,TRUE,"Acquirer";"tarc",#N/A,TRUE,"Target"}</definedName>
    <definedName name="wrn.22." hidden="1">{"cover",#N/A,TRUE,"Cover";"toc6",#N/A,TRUE,"TOC";"over",#N/A,TRUE,"Overview";"ts2",#N/A,TRUE,"Det_Trans_Sum";"ei1c",#N/A,TRUE,"Earnings Impact";"ad1",#N/A,TRUE,"accretion dilution";"hg1",#N/A,TRUE,"Has-Gets";"pfis1",#N/A,TRUE,"Pro Forma Income Statement";"ca1",#N/A,TRUE,"Contribution_Analysis";"acq1c",#N/A,TRUE,"Acquirer";"tar1c",#N/A,TRUE,"Target"}</definedName>
    <definedName name="wrn.23." hidden="1">{"cover",#N/A,TRUE,"Cover";"toc6",#N/A,TRUE,"TOC";"pfis3",#N/A,TRUE,"Overview";"ts2",#N/A,TRUE,"Det_Trans_Sum";"ei2c",#N/A,TRUE,"Earnings Impact";"ad2",#N/A,TRUE,"accretion dilution";"hg2",#N/A,TRUE,"Has-Gets";"pfis2",#N/A,TRUE,"Pro Forma Income Statement";"ca2",#N/A,TRUE,"Contribution_Analysis";"acq2c",#N/A,TRUE,"Acquirer";"tar2c",#N/A,TRUE,"Target"}</definedName>
    <definedName name="wrn.24." hidden="1">{"cover",#N/A,TRUE,"Cover";"toc6",#N/A,TRUE,"TOC";"over",#N/A,TRUE,"Overview";"ts2",#N/A,TRUE,"Det_Trans_Sum";"ei3c",#N/A,TRUE,"Earnings Impact";"ad3",#N/A,TRUE,"accretion dilution";"hg3",#N/A,TRUE,"Has-Gets";"pfis",#N/A,TRUE,"Pro Forma Income Statement";"ca3",#N/A,TRUE,"Contribution_Analysis";"acq3c",#N/A,TRUE,"Acquirer";"tar3c",#N/A,TRUE,"Target"}</definedName>
    <definedName name="wrn.25." hidden="1">{"cover",#N/A,TRUE,"Cover";"toc3",#N/A,TRUE,"TOC";"over",#N/A,TRUE,"Overview";"ts2",#N/A,TRUE,"Det_Trans_Sum";"ei",#N/A,TRUE,"Earnings Impact";"ad",#N/A,TRUE,"accretion dilution";"pfis",#N/A,TRUE,"Pro Forma Income Statement";"acq",#N/A,TRUE,"Acquirer";"tar",#N/A,TRUE,"Target"}</definedName>
    <definedName name="wrn.26." hidden="1">{"cover",#N/A,TRUE,"Cover";"toc3",#N/A,TRUE,"TOC";"over",#N/A,TRUE,"Overview";"ts2",#N/A,TRUE,"Det_Trans_Sum";"ei1",#N/A,TRUE,"Earnings Impact";"ad1",#N/A,TRUE,"accretion dilution";"pfis1",#N/A,TRUE,"Pro Forma Income Statement";"acq1",#N/A,TRUE,"Acquirer";"tar1",#N/A,TRUE,"Target"}</definedName>
    <definedName name="wrn.27." hidden="1">{"cover",#N/A,TRUE,"Cover";"toc3",#N/A,TRUE,"TOC";"over",#N/A,TRUE,"Overview";"ts2",#N/A,TRUE,"Det_Trans_Sum";"ei2",#N/A,TRUE,"Earnings Impact";"ad2",#N/A,TRUE,"accretion dilution";"pfis2",#N/A,TRUE,"Pro Forma Income Statement";"acq2",#N/A,TRUE,"Acquirer";"tar2",#N/A,TRUE,"Target"}</definedName>
    <definedName name="wrn.28." hidden="1">{"cover",#N/A,TRUE,"Cover";"toc3",#N/A,TRUE,"TOC";"over",#N/A,TRUE,"Overview";"ts2",#N/A,TRUE,"Det_Trans_Sum";"ei3",#N/A,TRUE,"Earnings Impact";"ad3",#N/A,TRUE,"accretion dilution";"pfis3",#N/A,TRUE,"Pro Forma Income Statement";"acq3",#N/A,TRUE,"Acquirer";"tar3",#N/A,TRUE,"Target"}</definedName>
    <definedName name="wrn.29." hidden="1">{"cover",#N/A,TRUE,"Cover";"toc4",#N/A,TRUE,"TOC";"over",#N/A,TRUE,"Overview";"ts2",#N/A,TRUE,"Det_Trans_Sum";"ei",#N/A,TRUE,"Earnings Impact";"ad",#N/A,TRUE,"accretion dilution";"tas",#N/A,TRUE,"TaintedShares";"hg",#N/A,TRUE,"Has-Gets";"pfis",#N/A,TRUE,"Pro Forma Income Statement";"ca",#N/A,TRUE,"Contribution_Analysis";"acq",#N/A,TRUE,"Acquirer";"tar",#N/A,TRUE,"Target"}</definedName>
    <definedName name="wrn.3." hidden="1">{"cover",#N/A,TRUE,"Cover";"toc1",#N/A,TRUE,"TOC";"ts1",#N/A,TRUE,"Transaction Summary";"ei2",#N/A,TRUE,"Earnings Impact";"ad2",#N/A,TRUE,"accretion dilution"}</definedName>
    <definedName name="wrn.30." hidden="1">{"cover",#N/A,TRUE,"Cover";"toc4",#N/A,TRUE,"TOC";"over",#N/A,TRUE,"Overview";"ts2",#N/A,TRUE,"Det_Trans_Sum";"ei1",#N/A,TRUE,"Earnings Impact";"ad1",#N/A,TRUE,"accretion dilution";"tas",#N/A,TRUE,"TaintedShares";"hg1",#N/A,TRUE,"Has-Gets";"pfis1",#N/A,TRUE,"Pro Forma Income Statement";"ca1",#N/A,TRUE,"Contribution_Analysis";"acq1",#N/A,TRUE,"Acquirer";"tar1",#N/A,TRUE,"Target"}</definedName>
    <definedName name="wrn.31." hidden="1">{"cover",#N/A,TRUE,"Cover";"toc4",#N/A,TRUE,"TOC";"over",#N/A,TRUE,"Overview";"ts2",#N/A,TRUE,"Det_Trans_Sum";"ei2",#N/A,TRUE,"Earnings Impact";"ad2",#N/A,TRUE,"accretion dilution";"tas",#N/A,TRUE,"TaintedShares";"hg2",#N/A,TRUE,"Has-Gets";"pfis2",#N/A,TRUE,"Pro Forma Income Statement";"ca2",#N/A,TRUE,"Contribution_Analysis";"acq2",#N/A,TRUE,"Acquirer";"tar2",#N/A,TRUE,"Target"}</definedName>
    <definedName name="wrn.32." hidden="1">{"cover",#N/A,TRUE,"Cover";"toc4",#N/A,TRUE,"TOC";"over",#N/A,TRUE,"Overview";"ts2",#N/A,TRUE,"Det_Trans_Sum";"ei3",#N/A,TRUE,"Earnings Impact";"ad3",#N/A,TRUE,"accretion dilution";"tas",#N/A,TRUE,"TaintedShares";"hg3",#N/A,TRUE,"Has-Gets";"pfis3",#N/A,TRUE,"Pro Forma Income Statement";"ca3",#N/A,TRUE,"Contribution_Analysis";"acq3",#N/A,TRUE,"Acquirer";"tar3",#N/A,TRUE,"Target"}</definedName>
    <definedName name="wrn.33." hidden="1">{"cover",#N/A,TRUE,"Cover";"toc5",#N/A,TRUE,"TOC";"over",#N/A,TRUE,"Overview";"ts2",#N/A,TRUE,"Det_Trans_Sum";"ei",#N/A,TRUE,"Earnings Impact";"ad",#N/A,TRUE,"accretion dilution";"pfis",#N/A,TRUE,"Pro Forma Income Statement";"ca",#N/A,TRUE,"Contribution_Analysis";"acq",#N/A,TRUE,"Acquirer";"tar",#N/A,TRUE,"Target"}</definedName>
    <definedName name="wrn.34." hidden="1">{"cover",#N/A,TRUE,"Cover";"toc5",#N/A,TRUE,"TOC";"over",#N/A,TRUE,"Overview";"ts2",#N/A,TRUE,"Det_Trans_Sum";"ei1",#N/A,TRUE,"Earnings Impact";"ad1",#N/A,TRUE,"accretion dilution";"pfis1",#N/A,TRUE,"Pro Forma Income Statement";"ca1",#N/A,TRUE,"Contribution_Analysis";"acq1",#N/A,TRUE,"Acquirer";"tar1",#N/A,TRUE,"Target"}</definedName>
    <definedName name="wrn.35." hidden="1">{"cover",#N/A,TRUE,"Cover";"toc5",#N/A,TRUE,"TOC";"over",#N/A,TRUE,"Overview";"ts2",#N/A,TRUE,"Det_Trans_Sum";"ei2",#N/A,TRUE,"Earnings Impact";"ad2",#N/A,TRUE,"accretion dilution";"pfis2",#N/A,TRUE,"Pro Forma Income Statement";"ca2",#N/A,TRUE,"Contribution_Analysis";"acq2",#N/A,TRUE,"Acquirer";"tar2",#N/A,TRUE,"Target"}</definedName>
    <definedName name="wrn.36." hidden="1">{"cover",#N/A,TRUE,"Cover";"toc5",#N/A,TRUE,"TOC";"over",#N/A,TRUE,"Overview";"ts2",#N/A,TRUE,"Det_Trans_Sum";"ei3",#N/A,TRUE,"Earnings Impact";"ad3",#N/A,TRUE,"accretion dilution";"pfis3",#N/A,TRUE,"Pro Forma Income Statement";"ca3",#N/A,TRUE,"Contribution_Analysis";"acq3",#N/A,TRUE,"Acquirer";"tar3",#N/A,TRUE,"Target"}</definedName>
    <definedName name="wrn.37." hidden="1">{"cover",#N/A,TRUE,"Cover";"toc6",#N/A,TRUE,"TOC";"over",#N/A,TRUE,"Overview";"ts2",#N/A,TRUE,"Det_Trans_Sum";"ei",#N/A,TRUE,"Earnings Impact";"ad",#N/A,TRUE,"accretion dilution";"hg",#N/A,TRUE,"Has-Gets";"pfis",#N/A,TRUE,"Pro Forma Income Statement";"ca",#N/A,TRUE,"Contribution_Analysis";"acq",#N/A,TRUE,"Acquirer";"tar",#N/A,TRUE,"Target"}</definedName>
    <definedName name="wrn.38." hidden="1">{"cover",#N/A,TRUE,"Cover";"toc6",#N/A,TRUE,"TOC";"over",#N/A,TRUE,"Overview";"ts2",#N/A,TRUE,"Det_Trans_Sum";"ei1",#N/A,TRUE,"Earnings Impact";"ad1",#N/A,TRUE,"accretion dilution";"hg1",#N/A,TRUE,"Has-Gets";"pfis1",#N/A,TRUE,"Pro Forma Income Statement";"ca1",#N/A,TRUE,"Contribution_Analysis";"acq1",#N/A,TRUE,"Acquirer";"tar1",#N/A,TRUE,"Target"}</definedName>
    <definedName name="wrn.39." hidden="1">{"cover",#N/A,TRUE,"Cover";"toc6",#N/A,TRUE,"TOC";"over",#N/A,TRUE,"Overview";"ts2",#N/A,TRUE,"Det_Trans_Sum";"ei2",#N/A,TRUE,"Earnings Impact";"ad2",#N/A,TRUE,"accretion dilution";"hg2",#N/A,TRUE,"Has-Gets";"pfis2",#N/A,TRUE,"Pro Forma Income Statement";"ca2",#N/A,TRUE,"Contribution_Analysis";"acq2",#N/A,TRUE,"Acquirer";"tar2",#N/A,TRUE,"Target"}</definedName>
    <definedName name="wrn.4." hidden="1">{"toc1",#N/A,FALSE,"TOC";"cover",#N/A,FALSE,"Cover";"ts1",#N/A,FALSE,"Transaction Summary";"ei3",#N/A,FALSE,"Earnings Impact";"ad3",#N/A,FALSE,"accretion dilution"}</definedName>
    <definedName name="wrn.40." hidden="1">{"cover",#N/A,TRUE,"Cover";"toc6",#N/A,TRUE,"TOC";"over",#N/A,TRUE,"Overview";"ts2",#N/A,TRUE,"Det_Trans_Sum";"ei3",#N/A,TRUE,"Earnings Impact";"ad3",#N/A,TRUE,"accretion dilution";"hg3",#N/A,TRUE,"Has-Gets";"pfis3",#N/A,TRUE,"Pro Forma Income Statement";"ca3",#N/A,TRUE,"Contribution_Analysis";"acq3",#N/A,TRUE,"Acquirer";"tar3",#N/A,TRUE,"Target"}</definedName>
    <definedName name="wrn.41." hidden="1">{"cover",#N/A,TRUE,"Cover";"toc7",#N/A,TRUE,"TOC";"over",#N/A,TRUE,"Overview";"ts2",#N/A,TRUE,"Det_Trans_Sum";"eic",#N/A,TRUE,"Earnings Impact";"ad",#N/A,TRUE,"accretion dilution";"pfis",#N/A,TRUE,"Pro Forma Income Statement";"profba",#N/A,TRUE,"Pro Forma Balance Sheet";"acqc",#N/A,TRUE,"Acquirer";"tarc",#N/A,TRUE,"Target"}</definedName>
    <definedName name="wrn.42." hidden="1">{"cover",#N/A,TRUE,"Cover";"toc7",#N/A,TRUE,"TOC";"over",#N/A,TRUE,"Overview";"ts2",#N/A,TRUE,"Det_Trans_Sum";"ei1c",#N/A,TRUE,"Earnings Impact";"ad1",#N/A,TRUE,"accretion dilution";"pfis1",#N/A,TRUE,"Pro Forma Income Statement";"profba",#N/A,TRUE,"Pro Forma Balance Sheet";"acq1c",#N/A,TRUE,"Acquirer";"tar1c",#N/A,TRUE,"Target"}</definedName>
    <definedName name="wrn.43." hidden="1">{"cover",#N/A,TRUE,"Cover";"toc7",#N/A,TRUE,"TOC";"over",#N/A,TRUE,"Overview";"ts2",#N/A,TRUE,"Det_Trans_Sum";"ei2c",#N/A,TRUE,"Earnings Impact";"ad2",#N/A,TRUE,"accretion dilution";"pfis2",#N/A,TRUE,"Pro Forma Income Statement";"profba",#N/A,TRUE,"Pro Forma Balance Sheet";"acq2c",#N/A,TRUE,"Acquirer";"tar2c",#N/A,TRUE,"Target"}</definedName>
    <definedName name="wrn.44." hidden="1">{"cover",#N/A,TRUE,"Cover";"toc7",#N/A,TRUE,"TOC";"over",#N/A,TRUE,"Overview";"ts2",#N/A,TRUE,"Det_Trans_Sum";"ei3c",#N/A,TRUE,"Earnings Impact";"ad3",#N/A,TRUE,"accretion dilution";"pfis3",#N/A,TRUE,"Pro Forma Income Statement";"profba",#N/A,TRUE,"Pro Forma Balance Sheet";"acq3c",#N/A,TRUE,"Acquirer";"tar3c",#N/A,TRUE,"Target"}</definedName>
    <definedName name="wrn.45." hidden="1">{"cover",#N/A,TRUE,"Cover";"toc8",#N/A,TRUE,"TOC";"over",#N/A,TRUE,"Overview";"ts2",#N/A,TRUE,"Det_Trans_Sum";"eic",#N/A,TRUE,"Earnings Impact";"ad",#N/A,TRUE,"accretion dilution";"pfis",#N/A,TRUE,"Pro Forma Income Statement";"ca",#N/A,TRUE,"Contribution_Analysis";"profba",#N/A,TRUE,"Pro Forma Balance Sheet";"acqc",#N/A,TRUE,"Acquirer";"tarc",#N/A,TRUE,"Target"}</definedName>
    <definedName name="wrn.46." hidden="1">{"cover",#N/A,TRUE,"Cover";"toc8",#N/A,TRUE,"TOC";"over",#N/A,TRUE,"Overview";"ts2",#N/A,TRUE,"Det_Trans_Sum";"ei1c",#N/A,TRUE,"Earnings Impact";"ad1",#N/A,TRUE,"accretion dilution";"pfis1",#N/A,TRUE,"Pro Forma Income Statement";"ca1",#N/A,TRUE,"Contribution_Analysis";"profba",#N/A,TRUE,"Pro Forma Balance Sheet";"acq1c",#N/A,TRUE,"Acquirer";"tar1c",#N/A,TRUE,"Target"}</definedName>
    <definedName name="wrn.47."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wrn.48." hidden="1">{"cover",#N/A,TRUE,"Cover";"toc8",#N/A,TRUE,"TOC";"over",#N/A,TRUE,"Overview";"ts2",#N/A,TRUE,"Det_Trans_Sum";"ei3c",#N/A,TRUE,"Earnings Impact";"ad3",#N/A,TRUE,"accretion dilution";"pfis3",#N/A,TRUE,"Pro Forma Income Statement";"ca3",#N/A,TRUE,"Contribution_Analysis";"profba",#N/A,TRUE,"Pro Forma Balance Sheet";"acq3c",#N/A,TRUE,"Acquirer";"tar3c",#N/A,TRUE,"Target"}</definedName>
    <definedName name="wrn.49." hidden="1">{"cover",#N/A,TRUE,"Cover";"toc9",#N/A,TRUE,"TOC";"over",#N/A,TRUE,"Overview";"ts2",#N/A,TRUE,"Det_Trans_Sum";"eic",#N/A,TRUE,"Earnings Impact";"ad",#N/A,TRUE,"accretion dilution";"tas",#N/A,TRUE,"TaintedShares";"hg",#N/A,TRUE,"Has-Gets";"pfis",#N/A,TRUE,"Pro Forma Income Statement";"ca",#N/A,TRUE,"Contribution_Analysis";"profba",#N/A,TRUE,"Pro Forma Balance Sheet";"acqc",#N/A,TRUE,"Acquirer";"tarc",#N/A,TRUE,"Target"}</definedName>
    <definedName name="wrn.5." hidden="1">{"cover",#N/A,TRUE,"Cover";"toc2",#N/A,TRUE,"TOC";"ts1",#N/A,TRUE,"Transaction Summary";"ei",#N/A,TRUE,"Earnings Impact";"ad",#N/A,TRUE,"accretion dilution";"hg",#N/A,TRUE,"Has-Gets"}</definedName>
    <definedName name="wrn.50." hidden="1">{"cover",#N/A,TRUE,"Cover";"toc9",#N/A,TRUE,"TOC";"over",#N/A,TRUE,"Overview";"ts2",#N/A,TRUE,"Det_Trans_Sum";"ei1c",#N/A,TRUE,"Earnings Impact";"ad1",#N/A,TRUE,"accretion dilution";"tas",#N/A,TRUE,"TaintedShares";"hg1",#N/A,TRUE,"Has-Gets";"pfis1",#N/A,TRUE,"Pro Forma Income Statement";"ca1",#N/A,TRUE,"Contribution_Analysis";"profba",#N/A,TRUE,"Pro Forma Balance Sheet";"acq1c",#N/A,TRUE,"Acquirer";"tar1c",#N/A,TRUE,"Target"}</definedName>
    <definedName name="wrn.51." hidden="1">{"cover",#N/A,TRUE,"Cover";"toc9",#N/A,TRUE,"TOC";"over",#N/A,TRUE,"Overview";"ei2c",#N/A,TRUE,"Earnings Impact";"ts2",#N/A,TRUE,"Det_Trans_Sum";"ad2",#N/A,TRUE,"accretion dilution";"tas",#N/A,TRUE,"TaintedShares";"hg2",#N/A,TRUE,"Has-Gets";"pfis2",#N/A,TRUE,"Pro Forma Income Statement";"ca2",#N/A,TRUE,"Contribution_Analysis";"profba",#N/A,TRUE,"Pro Forma Balance Sheet";"acq2c",#N/A,TRUE,"Acquirer";"tar2c",#N/A,TRUE,"Target"}</definedName>
    <definedName name="wrn.52." hidden="1">{"cover",#N/A,TRUE,"Cover";"toc9",#N/A,TRUE,"TOC";"over",#N/A,TRUE,"Overview";"ts2",#N/A,TRUE,"Det_Trans_Sum";"ei3c",#N/A,TRUE,"Earnings Impact";"ad3",#N/A,TRUE,"accretion dilution";"tas",#N/A,TRUE,"TaintedShares";"hg3",#N/A,TRUE,"Has-Gets";"pfis3",#N/A,TRUE,"Pro Forma Income Statement";"ca3",#N/A,TRUE,"Contribution_Analysis";"profba",#N/A,TRUE,"Pro Forma Balance Sheet";"acq3c",#N/A,TRUE,"Acquirer";"tar3c",#N/A,TRUE,"Target"}</definedName>
    <definedName name="wrn.53." hidden="1">{"cover",#N/A,TRUE,"Cover";"toc10",#N/A,TRUE,"TOC";"over",#N/A,TRUE,"Overview";"ts2",#N/A,TRUE,"Det_Trans_Sum";"eic",#N/A,TRUE,"Earnings Impact";"ad",#N/A,TRUE,"accretion dilution";"hg",#N/A,TRUE,"Has-Gets";"pfis",#N/A,TRUE,"Pro Forma Income Statement";"ca",#N/A,TRUE,"Contribution_Analysis";"profba",#N/A,TRUE,"Pro Forma Balance Sheet";"acqc",#N/A,TRUE,"Acquirer";"tarc",#N/A,TRUE,"Target"}</definedName>
    <definedName name="wrn.54." hidden="1">{"cover",#N/A,TRUE,"Cover";"toc10",#N/A,TRUE,"TOC";"over",#N/A,TRUE,"Overview";"over",#N/A,TRUE,"Det_Trans_Sum";"ei1c",#N/A,TRUE,"Earnings Impact";"ad1",#N/A,TRUE,"accretion dilution";"hg1",#N/A,TRUE,"Has-Gets";"pfis1",#N/A,TRUE,"Pro Forma Income Statement";"ca1",#N/A,TRUE,"Contribution_Analysis";"profba",#N/A,TRUE,"Pro Forma Balance Sheet";"acq1c",#N/A,TRUE,"Acquirer";"tar1c",#N/A,TRUE,"Target"}</definedName>
    <definedName name="wrn.55." hidden="1">{"cover",#N/A,TRUE,"Cover";"toc10",#N/A,TRUE,"TOC";"over",#N/A,TRUE,"Overview";"ts2",#N/A,TRUE,"Det_Trans_Sum";"ei2c",#N/A,TRUE,"Earnings Impact";"ad2",#N/A,TRUE,"accretion dilution";"hg2",#N/A,TRUE,"Has-Gets";"pfis2",#N/A,TRUE,"Pro Forma Income Statement";"ca2",#N/A,TRUE,"Contribution_Analysis";"profba",#N/A,TRUE,"Pro Forma Balance Sheet";"acq2c",#N/A,TRUE,"Acquirer";"tar2c",#N/A,TRUE,"Target"}</definedName>
    <definedName name="wrn.56." hidden="1">{"cover",#N/A,TRUE,"Cover";"toc10",#N/A,TRUE,"TOC";"over",#N/A,TRUE,"Overview";"ts2",#N/A,TRUE,"Det_Trans_Sum";"ei3c",#N/A,TRUE,"Earnings Impact";"ad3",#N/A,TRUE,"accretion dilution";"hg3",#N/A,TRUE,"Has-Gets";"pfis3",#N/A,TRUE,"Pro Forma Income Statement";"ca3",#N/A,TRUE,"Contribution_Analysis";"profba",#N/A,TRUE,"Pro Forma Balance Sheet";"acq3c",#N/A,TRUE,"Acquirer";"tar3c",#N/A,TRUE,"Target"}</definedName>
    <definedName name="wrn.57." hidden="1">{"cover",#N/A,TRUE,"Cover";"toc7",#N/A,TRUE,"TOC";"over",#N/A,TRUE,"Overview";"ts2",#N/A,TRUE,"Det_Trans_Sum";"ei",#N/A,TRUE,"Earnings Impact";"ad",#N/A,TRUE,"accretion dilution";"pfis",#N/A,TRUE,"Pro Forma Income Statement";"profba",#N/A,TRUE,"Pro Forma Balance Sheet";"acq",#N/A,TRUE,"Acquirer";"tar",#N/A,TRUE,"Target"}</definedName>
    <definedName name="wrn.58." hidden="1">{"cover",#N/A,TRUE,"Cover";"toc7",#N/A,TRUE,"TOC";"over",#N/A,TRUE,"Overview";"ts2",#N/A,TRUE,"Det_Trans_Sum";"ei1",#N/A,TRUE,"Earnings Impact";"ad1",#N/A,TRUE,"accretion dilution";"pfis1",#N/A,TRUE,"Pro Forma Income Statement";"profba",#N/A,TRUE,"Pro Forma Balance Sheet";"acq1",#N/A,TRUE,"Acquirer";"tar1",#N/A,TRUE,"Target"}</definedName>
    <definedName name="wrn.59." hidden="1">{"cover",#N/A,TRUE,"Cover";"toc7",#N/A,TRUE,"TOC";"over",#N/A,TRUE,"Overview";"ts2",#N/A,TRUE,"Det_Trans_Sum";"ei2",#N/A,TRUE,"Earnings Impact";"ad2",#N/A,TRUE,"accretion dilution";"pfis2",#N/A,TRUE,"Pro Forma Income Statement";"profba",#N/A,TRUE,"Pro Forma Balance Sheet";"acq2",#N/A,TRUE,"Acquirer";"tar2",#N/A,TRUE,"Target"}</definedName>
    <definedName name="wrn.6." hidden="1">{"cover",#N/A,TRUE,"Cover";"toc2",#N/A,TRUE,"TOC";"ts1",#N/A,TRUE,"Transaction Summary";"ei1",#N/A,TRUE,"Earnings Impact";"ad1",#N/A,TRUE,"accretion dilution";"hg1",#N/A,TRUE,"Has-Gets"}</definedName>
    <definedName name="wrn.60." hidden="1">{"cover",#N/A,TRUE,"Cover";"toc7",#N/A,TRUE,"TOC";"over",#N/A,TRUE,"Overview";"ts2",#N/A,TRUE,"Det_Trans_Sum";"ei3",#N/A,TRUE,"Earnings Impact";"ad3",#N/A,TRUE,"accretion dilution";"pfis3",#N/A,TRUE,"Pro Forma Income Statement";"profba",#N/A,TRUE,"Pro Forma Balance Sheet";"acq3",#N/A,TRUE,"Acquirer";"tar3",#N/A,TRUE,"Target"}</definedName>
    <definedName name="wrn.61." hidden="1">{"cover",#N/A,TRUE,"Cover";"toc8",#N/A,TRUE,"TOC";"over",#N/A,TRUE,"Overview";"ts2",#N/A,TRUE,"Det_Trans_Sum";"ei",#N/A,TRUE,"Earnings Impact";"ad",#N/A,TRUE,"accretion dilution";"tas",#N/A,TRUE,"TaintedShares";"hg",#N/A,TRUE,"Has-Gets";"pfis",#N/A,TRUE,"Pro Forma Income Statement";"ca",#N/A,TRUE,"Contribution_Analysis";"profba",#N/A,TRUE,"Pro Forma Balance Sheet";"acq",#N/A,TRUE,"Acquirer";"tar",#N/A,TRUE,"Target"}</definedName>
    <definedName name="wrn.62." hidden="1">{"cover",#N/A,TRUE,"Cover";"toc8",#N/A,TRUE,"TOC";"over",#N/A,TRUE,"Overview";"ts2",#N/A,TRUE,"Det_Trans_Sum";"ei1",#N/A,TRUE,"Earnings Impact";"ad1",#N/A,TRUE,"accretion dilution";"tas",#N/A,TRUE,"TaintedShares";"hg1",#N/A,TRUE,"Has-Gets";"pfis1",#N/A,TRUE,"Pro Forma Income Statement";"ca1",#N/A,TRUE,"Contribution_Analysis";"profba",#N/A,TRUE,"Pro Forma Balance Sheet";"acq1",#N/A,TRUE,"Acquirer";"tar1",#N/A,TRUE,"Target"}</definedName>
    <definedName name="wrn.63." hidden="1">{"cover",#N/A,TRUE,"Cover";"toc8",#N/A,TRUE,"TOC";"over",#N/A,TRUE,"Overview";"ts2",#N/A,TRUE,"Det_Trans_Sum";"ei2",#N/A,TRUE,"Earnings Impact";"ad2",#N/A,TRUE,"accretion dilution";"tas",#N/A,TRUE,"TaintedShares";"hg2",#N/A,TRUE,"Has-Gets";"pfis2",#N/A,TRUE,"Pro Forma Income Statement";"ca2",#N/A,TRUE,"Contribution_Analysis";"profba",#N/A,TRUE,"Pro Forma Balance Sheet";"acq2",#N/A,TRUE,"Acquirer";"tar2",#N/A,TRUE,"Target"}</definedName>
    <definedName name="wrn.64." hidden="1">{"cover",#N/A,TRUE,"Cover";"toc8",#N/A,TRUE,"TOC";"over",#N/A,TRUE,"Overview";"ts2",#N/A,TRUE,"Det_Trans_Sum";"ei3",#N/A,TRUE,"Earnings Impact";"ad3",#N/A,TRUE,"accretion dilution";"tas",#N/A,TRUE,"TaintedShares";"hg3",#N/A,TRUE,"Has-Gets";"pfis3",#N/A,TRUE,"Pro Forma Income Statement";"ca3",#N/A,TRUE,"Contribution_Analysis";"profba",#N/A,TRUE,"Pro Forma Balance Sheet";"acq3",#N/A,TRUE,"Acquirer";"tar3",#N/A,TRUE,"Target"}</definedName>
    <definedName name="wrn.65." hidden="1">{"cover",#N/A,TRUE,"Cover";"toc9",#N/A,TRUE,"TOC";"over",#N/A,TRUE,"Overview";"ts2",#N/A,TRUE,"Det_Trans_Sum";"ei",#N/A,TRUE,"Earnings Impact";"ad1",#N/A,TRUE,"accretion dilution";"pfis",#N/A,TRUE,"Pro Forma Income Statement";"ca",#N/A,TRUE,"Contribution_Analysis";"profba",#N/A,TRUE,"Pro Forma Balance Sheet";"acq",#N/A,TRUE,"Acquirer";"tar",#N/A,TRUE,"Target"}</definedName>
    <definedName name="wrn.66." hidden="1">{"cover",#N/A,TRUE,"Cover";"toc9",#N/A,TRUE,"TOC";"over",#N/A,TRUE,"Overview";"ts2",#N/A,TRUE,"Det_Trans_Sum";"ei1",#N/A,TRUE,"Earnings Impact";"ad1",#N/A,TRUE,"accretion dilution";"pfis1",#N/A,TRUE,"Pro Forma Income Statement";"ca1",#N/A,TRUE,"Contribution_Analysis";"profba",#N/A,TRUE,"Pro Forma Balance Sheet";"acq1",#N/A,TRUE,"Acquirer";"tar1",#N/A,TRUE,"Target"}</definedName>
    <definedName name="wrn.67." hidden="1">{"cover",#N/A,TRUE,"Cover";"toc9",#N/A,TRUE,"TOC";"over",#N/A,TRUE,"Overview";"ts2",#N/A,TRUE,"Det_Trans_Sum";"ei2",#N/A,TRUE,"Earnings Impact";"ad2",#N/A,TRUE,"accretion dilution";"pfis2",#N/A,TRUE,"Pro Forma Income Statement";"ca2",#N/A,TRUE,"Contribution_Analysis";"profba",#N/A,TRUE,"Pro Forma Balance Sheet";"acq2",#N/A,TRUE,"Acquirer";"tar2",#N/A,TRUE,"Target"}</definedName>
    <definedName name="wrn.68." hidden="1">{"cover",#N/A,TRUE,"Cover";"toc9",#N/A,TRUE,"TOC";"over",#N/A,TRUE,"Overview";"ts2",#N/A,TRUE,"Det_Trans_Sum";"ei3",#N/A,TRUE,"Earnings Impact";"ad3",#N/A,TRUE,"accretion dilution";"pfis3",#N/A,TRUE,"Pro Forma Income Statement";"ca3",#N/A,TRUE,"Contribution_Analysis";"profba",#N/A,TRUE,"Pro Forma Balance Sheet";"acq3",#N/A,TRUE,"Acquirer";"tar3",#N/A,TRUE,"Target"}</definedName>
    <definedName name="wrn.69." hidden="1">{"cover",#N/A,TRUE,"Cover";"toc10",#N/A,TRUE,"TOC";"over",#N/A,TRUE,"Overview";"ts2",#N/A,TRUE,"Det_Trans_Sum";"ei",#N/A,TRUE,"Earnings Impact";"ad",#N/A,TRUE,"accretion dilution";"hg",#N/A,TRUE,"Has-Gets";"pfis",#N/A,TRUE,"Pro Forma Income Statement";"ca",#N/A,TRUE,"Contribution_Analysis";"profba",#N/A,TRUE,"Pro Forma Balance Sheet";"acq",#N/A,TRUE,"Acquirer";"tar",#N/A,TRUE,"Target"}</definedName>
    <definedName name="wrn.7." hidden="1">{"cover",#N/A,TRUE,"Cover";"toc2",#N/A,TRUE,"TOC";"ts1",#N/A,TRUE,"Transaction Summary";"ei2c",#N/A,TRUE,"Earnings Impact";"ad2",#N/A,TRUE,"accretion dilution";"hg2",#N/A,TRUE,"Has-Gets"}</definedName>
    <definedName name="wrn.70." hidden="1">{"cover",#N/A,TRUE,"Cover";"toc10",#N/A,TRUE,"TOC";"over",#N/A,TRUE,"Overview";"ts2",#N/A,TRUE,"Det_Trans_Sum";"ei1",#N/A,TRUE,"Earnings Impact";"ad1",#N/A,TRUE,"accretion dilution";"hg",#N/A,TRUE,"Has-Gets";"pfis1",#N/A,TRUE,"Pro Forma Income Statement";"ca1",#N/A,TRUE,"Contribution_Analysis";"profba",#N/A,TRUE,"Pro Forma Balance Sheet";"acq1",#N/A,TRUE,"Acquirer";"tar1",#N/A,TRUE,"Target"}</definedName>
    <definedName name="wrn.71." hidden="1">{"cover",#N/A,TRUE,"Cover";"toc10",#N/A,TRUE,"TOC";"over",#N/A,TRUE,"Overview";"ts2",#N/A,TRUE,"Det_Trans_Sum";"ei2",#N/A,TRUE,"Earnings Impact";"ad2",#N/A,TRUE,"accretion dilution";"hg2",#N/A,TRUE,"Has-Gets";"pfis2",#N/A,TRUE,"Pro Forma Income Statement";"ca2",#N/A,TRUE,"Contribution_Analysis";"profba",#N/A,TRUE,"Pro Forma Balance Sheet";"acq2",#N/A,TRUE,"Acquirer";"tar2",#N/A,TRUE,"Target"}</definedName>
    <definedName name="wrn.72." hidden="1">{"cover",#N/A,TRUE,"Cover";"toc10",#N/A,TRUE,"TOC";"over",#N/A,TRUE,"Overview";"ts2",#N/A,TRUE,"Det_Trans_Sum";"ei3",#N/A,TRUE,"Earnings Impact";"ad3",#N/A,TRUE,"accretion dilution";"hg3",#N/A,TRUE,"Has-Gets";"pfis3",#N/A,TRUE,"Pro Forma Income Statement";"ca3",#N/A,TRUE,"Contribution_Analysis";"profba",#N/A,TRUE,"Pro Forma Balance Sheet";"acq3",#N/A,TRUE,"Acquirer";"tar3",#N/A,TRUE,"Target"}</definedName>
    <definedName name="wrn.8." hidden="1">{"cover",#N/A,TRUE,"Cover";"toc2",#N/A,TRUE,"TOC";"ts1",#N/A,TRUE,"Transaction Summary";"ei3",#N/A,TRUE,"Earnings Impact";"ad3",#N/A,TRUE,"accretion dilution";"hg3",#N/A,TRUE,"Has-Gets"}</definedName>
    <definedName name="wrn.9." hidden="1">{"cover",#N/A,TRUE,"Cover";"toc3",#N/A,TRUE,"TOC";"over",#N/A,TRUE,"Overview";"ts2",#N/A,TRUE,"Det_Trans_Sum";"eic",#N/A,TRUE,"Earnings Impact";"ad",#N/A,TRUE,"accretion dilution";"pfis",#N/A,TRUE,"Pro Forma Income Statement";"acqc",#N/A,TRUE,"Acquirer";"tarc",#N/A,TRUE,"Target"}</definedName>
    <definedName name="wrn.94PV." hidden="1">{"Page1",#N/A,FALSE,"94PV";"Page2",#N/A,FALSE,"94PV"}</definedName>
    <definedName name="wrn.96._.Plan." hidden="1">{#N/A,#N/A,TRUE,"INPUT Sale &amp; PS GP Plan";#N/A,#N/A,TRUE,"INPUT TTB GP &amp; Elim";#N/A,#N/A,TRUE,"INPUT OCOS";#N/A,#N/A,TRUE,"INPUT Op Exp PLAN";#N/A,#N/A,TRUE,"PRINT P &amp; L FCST";#N/A,#N/A,TRUE,"INPUT Sales &amp; GP FCST";#N/A,#N/A,TRUE,"Print Sales &amp; GP Growth";#N/A,#N/A,TRUE,"capexp";#N/A,#N/A,TRUE,"MC-Regional P&amp;L and Cash Flow";#N/A,#N/A,TRUE,"MC - Standard Account";#N/A,#N/A,TRUE,"MC - List of Customer Names";#N/A,#N/A,TRUE,"MC - Product Line";#N/A,#N/A,TRUE,"Assumptions";#N/A,#N/A,TRUE,"Up-Down";#N/A,#N/A,TRUE,"OPEX Growth";#N/A,#N/A,TRUE,"HPO-Selling";#N/A,#N/A,TRUE,"HPO-Distribution";#N/A,#N/A,TRUE,"HPO-Transportation";#N/A,#N/A,TRUE,"HPO-Trans Charged";#N/A,#N/A,TRUE,"HPO-Bad Debt";#N/A,#N/A,TRUE,"HP-Other G&amp;A"}</definedName>
    <definedName name="wrn.96_.Plan1." hidden="1">{#N/A,#N/A,TRUE,"INPUT Sale &amp; PS GP Plan";#N/A,#N/A,TRUE,"INPUT TTB GP &amp; Elim";#N/A,#N/A,TRUE,"INPUT OCOS";#N/A,#N/A,TRUE,"INPUT Op Exp PLAN";#N/A,#N/A,TRUE,"PRINT P &amp; L FCST";#N/A,#N/A,TRUE,"INPUT Sales &amp; GP FCST";#N/A,#N/A,TRUE,"Print Sales &amp; GP Growth";#N/A,#N/A,TRUE,"capexp";#N/A,#N/A,TRUE,"MC-Regional P&amp;L and Cash Flow";#N/A,#N/A,TRUE,"MC - Standard Account";#N/A,#N/A,TRUE,"MC - List of Customer Names";#N/A,#N/A,TRUE,"MC - Product Line";#N/A,#N/A,TRUE,"Assumptions";#N/A,#N/A,TRUE,"Up-Down";#N/A,#N/A,TRUE,"OPEX Growth";#N/A,#N/A,TRUE,"HPO-Selling";#N/A,#N/A,TRUE,"HPO-Distribution";#N/A,#N/A,TRUE,"HPO-Transportation";#N/A,#N/A,TRUE,"HPO-Trans Charged";#N/A,#N/A,TRUE,"HPO-Bad Debt";#N/A,#N/A,TRUE,"HP-Other G&amp;A"}</definedName>
    <definedName name="wrn.A_VALUATION." hidden="1">{#N/A,#N/A,FALSE,"A_D";#N/A,#N/A,FALSE,"WACC";#N/A,#N/A,FALSE,"DCF";#N/A,#N/A,FALSE,"A";#N/A,#N/A,FALSE,"LBO";#N/A,#N/A,FALSE,"C";#N/A,#N/A,FALSE,"impd";#N/A,#N/A,FALSE,"comps"}</definedName>
    <definedName name="wrn.Accr_Dil." hidden="1">{#N/A,#N/A,FALSE,"Debt Accr";#N/A,#N/A,FALSE,"Stock Accr";#N/A,#N/A,FALSE,"Debt Stock Accr"}</definedName>
    <definedName name="wrn.Accretion." hidden="1">{"Accretion",#N/A,FALSE,"Assum"}</definedName>
    <definedName name="wrn.Accretion._1" hidden="1">{"Accretion",#N/A,FALSE,"Assum"}</definedName>
    <definedName name="wrn.AcqState." hidden="1">{#N/A,#N/A,TRUE,"Acq-Ass";#N/A,#N/A,TRUE,"Acq-IS";#N/A,#N/A,TRUE,"Acq-BS";#N/A,#N/A,TRUE,"Acq-CF"}</definedName>
    <definedName name="wrn.AcqState._2" hidden="1">{#N/A,#N/A,TRUE,"Acq-Ass";#N/A,#N/A,TRUE,"Acq-IS";#N/A,#N/A,TRUE,"Acq-BS";#N/A,#N/A,TRUE,"Acq-CF"}</definedName>
    <definedName name="wrn.AcqState._22" hidden="1">{#N/A,#N/A,TRUE,"Acq-Ass";#N/A,#N/A,TRUE,"Acq-IS";#N/A,#N/A,TRUE,"Acq-BS";#N/A,#N/A,TRUE,"Acq-CF"}</definedName>
    <definedName name="wrn.AcqState._2b" hidden="1">{#N/A,#N/A,TRUE,"Acq-Ass";#N/A,#N/A,TRUE,"Acq-IS";#N/A,#N/A,TRUE,"Acq-BS";#N/A,#N/A,TRUE,"Acq-CF"}</definedName>
    <definedName name="wrn.AcqState.2" hidden="1">{#N/A,#N/A,TRUE,"Acq-Ass";#N/A,#N/A,TRUE,"Acq-IS";#N/A,#N/A,TRUE,"Acq-BS";#N/A,#N/A,TRUE,"Acq-CF"}</definedName>
    <definedName name="wrn.AcqState.a" hidden="1">{#N/A,#N/A,TRUE,"Acq-Ass";#N/A,#N/A,TRUE,"Acq-IS";#N/A,#N/A,TRUE,"Acq-BS";#N/A,#N/A,TRUE,"Acq-CF"}</definedName>
    <definedName name="wrn.Acquiror." hidden="1">{#N/A,#N/A,TRUE,"Acq-Ass";#N/A,#N/A,TRUE,"Acq-IS";#N/A,#N/A,TRUE,"Acq-BS";#N/A,#N/A,TRUE,"Acq-CF";#N/A,#N/A,TRUE,"Acq-Proj";#N/A,#N/A,TRUE,"Acq-CapEx";#N/A,#N/A,TRUE,"Acq-Debt";#N/A,#N/A,TRUE,"Acq-Int";#N/A,#N/A,TRUE,"Acq-BD";#N/A,#N/A,TRUE,"Acq-TD";#N/A,#N/A,TRUE,"Acq-Taxes";#N/A,#N/A,TRUE,"Acq-Credit";#N/A,#N/A,TRUE,"Acq-Val";#N/A,#N/A,TRUE,"Acq-Mult Val"}</definedName>
    <definedName name="wrn.Acquiror._2" hidden="1">{#N/A,#N/A,TRUE,"Acq-Ass";#N/A,#N/A,TRUE,"Acq-IS";#N/A,#N/A,TRUE,"Acq-BS";#N/A,#N/A,TRUE,"Acq-CF";#N/A,#N/A,TRUE,"Acq-Proj";#N/A,#N/A,TRUE,"Acq-CapEx";#N/A,#N/A,TRUE,"Acq-Debt";#N/A,#N/A,TRUE,"Acq-Int";#N/A,#N/A,TRUE,"Acq-BD";#N/A,#N/A,TRUE,"Acq-TD";#N/A,#N/A,TRUE,"Acq-Taxes";#N/A,#N/A,TRUE,"Acq-Credit";#N/A,#N/A,TRUE,"Acq-Val";#N/A,#N/A,TRUE,"Acq-Mult Val"}</definedName>
    <definedName name="wrn.Acquiror._22" hidden="1">{#N/A,#N/A,TRUE,"Acq-Ass";#N/A,#N/A,TRUE,"Acq-IS";#N/A,#N/A,TRUE,"Acq-BS";#N/A,#N/A,TRUE,"Acq-CF";#N/A,#N/A,TRUE,"Acq-Proj";#N/A,#N/A,TRUE,"Acq-CapEx";#N/A,#N/A,TRUE,"Acq-Debt";#N/A,#N/A,TRUE,"Acq-Int";#N/A,#N/A,TRUE,"Acq-BD";#N/A,#N/A,TRUE,"Acq-TD";#N/A,#N/A,TRUE,"Acq-Taxes";#N/A,#N/A,TRUE,"Acq-Credit";#N/A,#N/A,TRUE,"Acq-Val";#N/A,#N/A,TRUE,"Acq-Mult Val"}</definedName>
    <definedName name="wrn.Acquiror.2" hidden="1">{#N/A,#N/A,TRUE,"Acq-Ass";#N/A,#N/A,TRUE,"Acq-IS";#N/A,#N/A,TRUE,"Acq-BS";#N/A,#N/A,TRUE,"Acq-CF";#N/A,#N/A,TRUE,"Acq-Proj";#N/A,#N/A,TRUE,"Acq-CapEx";#N/A,#N/A,TRUE,"Acq-Debt";#N/A,#N/A,TRUE,"Acq-Int";#N/A,#N/A,TRUE,"Acq-BD";#N/A,#N/A,TRUE,"Acq-TD";#N/A,#N/A,TRUE,"Acq-Taxes";#N/A,#N/A,TRUE,"Acq-Credit";#N/A,#N/A,TRUE,"Acq-Val";#N/A,#N/A,TRUE,"Acq-Mult Val"}</definedName>
    <definedName name="wrn.AcqVal." hidden="1">{#N/A,#N/A,FALSE,"Acq-Val";#N/A,#N/A,FALSE,"Acq-Mult Val"}</definedName>
    <definedName name="wrn.AcqVal._2" hidden="1">{#N/A,#N/A,FALSE,"Acq-Val";#N/A,#N/A,FALSE,"Acq-Mult Val"}</definedName>
    <definedName name="wrn.AcqVal._22" hidden="1">{#N/A,#N/A,FALSE,"Acq-Val";#N/A,#N/A,FALSE,"Acq-Mult Val"}</definedName>
    <definedName name="wrn.AcqVal.2" hidden="1">{#N/A,#N/A,FALSE,"Acq-Val";#N/A,#N/A,FALSE,"Acq-Mult Val"}</definedName>
    <definedName name="wrn.adj95." hidden="1">{"adj95mult",#N/A,FALSE,"COMPCO";"adj95est",#N/A,FALSE,"COMPCO"}</definedName>
    <definedName name="wrn.adm_pl." hidden="1">{"adm_pl",#N/A,FALSE,"PL"}</definedName>
    <definedName name="wrn.adm_rtp." hidden="1">{"adm_rtp",#N/A,FALSE,"PQ"}</definedName>
    <definedName name="wrn.AFPONLY." hidden="1">{"dols",#N/A,FALSE,"G&amp;A_ORAC";"DOLS",#N/A,FALSE,"G&amp;A_TOT";"DOLS",#N/A,FALSE,"G&amp;A_HR";"DOLS",#N/A,FALSE,"G&amp;A_FAC";"DOLS",#N/A,FALSE,"G&amp;A_SLGH";"dols",#N/A,FALSE,"G&amp;A_PDELT";"DOLS",#N/A,FALSE,"G&amp;A_FIN";"dols",#N/A,FALSE,"G&amp;A_CRPSV";"DOLS",#N/A,FALSE,"G&amp;A_OPN";"DOLS",#N/A,FALSE,"G&amp;A_BLB";"DOLS",#N/A,FALSE,"G&amp;A_SSC";"DOLS",#N/A,FALSE,"G&amp;A_LEG"}</definedName>
    <definedName name="wrn.Aging._.and._.Trend._.Analysis." hidden="1">{#N/A,#N/A,FALSE,"Aging Summary";#N/A,#N/A,FALSE,"Ratio Analysis";#N/A,#N/A,FALSE,"Test 120 Day Accts";#N/A,#N/A,FALSE,"Tickmarks"}</definedName>
    <definedName name="wrn.Aging._.and._.Trend._.Analysis._1" hidden="1">{#N/A,#N/A,FALSE,"Aging Summary";#N/A,#N/A,FALSE,"Ratio Analysis";#N/A,#N/A,FALSE,"Test 120 Day Accts";#N/A,#N/A,FALSE,"Tickmarks"}</definedName>
    <definedName name="wrn.ALL." hidden="1">{#N/A,#N/A,FALSE,"INPUTS";#N/A,#N/A,FALSE,"PROFORMA BSHEET";#N/A,#N/A,FALSE,"COMBINED";#N/A,#N/A,FALSE,"ACQUIROR";#N/A,#N/A,FALSE,"TARGET 1";#N/A,#N/A,FALSE,"TARGET 2";#N/A,#N/A,FALSE,"HIGH YIELD";#N/A,#N/A,FALSE,"OVERFUND"}</definedName>
    <definedName name="wrn.All._.Company._.Analyses." hidden="1">{"Methodology and Sourcing",#N/A,FALSE,"Methodology and Sourcing";"britishtelecom",#N/A,FALSE,"BT out";"CTC",#N/A,FALSE,"CTC out";"DT",#N/A,FALSE,"DT out";"FT",#N/A,FALSE,"FT out";"HKT",#N/A,FALSE,"HKT out";"KPN",#N/A,FALSE,"KPN out";"MATAV",#N/A,FALSE,"MATAV out";"PT Telkom",#N/A,FALSE,"PT Telkom out";"Tel Arg",#N/A,FALSE,"Tel Arg out";"Telef Arg",#N/A,FALSE,"TASA out";"Tel Asia",#N/A,FALSE,"Tel. Asia Out";"T de E",#N/A,FALSE,"T de E out";"Tel Malay",#N/A,FALSE,"Tel Malay out";"TELMEX",#N/A,FALSE,"Telmex out";"TNZ",#N/A,FALSE,"TNZ out";"Telkom SA",#N/A,FALSE,"Telkom SA out";"SPT",#N/A,FALSE,"SPT out";"USA",#N/A,FALSE,"USA out"}</definedName>
    <definedName name="wrn.all._.gulp._.sheets."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input."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Pages."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_1"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Sections." hidden="1">{"Data Entry",#N/A,FALSE,"COMPTEMP";"Ratios",#N/A,FALSE,"COMPTEMP";"Aggregate Values",#N/A,FALSE,"COMPTEMP";"Equity Multiples",#N/A,FALSE,"COMPTEMP";"Summary Overview",#N/A,FALSE,"COMPTEMP"}</definedName>
    <definedName name="wrn.ALL._.SHEETS." hidden="1">{#N/A,#N/A,FALSE,"Adj Proj";#N/A,#N/A,FALSE,"Sheet1";#N/A,#N/A,FALSE,"LBO";#N/A,#N/A,FALSE,"LBOMER";#N/A,#N/A,FALSE,"WACC";#N/A,#N/A,FALSE,"DCF";#N/A,#N/A,FALSE,"DCFMER";#N/A,#N/A,FALSE,"Pooling";#N/A,#N/A,FALSE,"income";#N/A,#N/A,FALSE,"Offer"}</definedName>
    <definedName name="wrn.ALL._.STATEMENTS." hidden="1">{"BALANCE SHEET",#N/A,FALSE,"Balance Sheet";"INCOME STATEMENT",#N/A,FALSE,"Income Statement";"STMT OF CASH FLOWS",#N/A,FALSE,"Cash Flows Indirect";"PARTNERS CAPITAL STMT",#N/A,FALSE,"Partners Capital"}</definedName>
    <definedName name="wrn.All._.Views." hidden="1">{#N/A,#N/A,FALSE,"Summary";#N/A,#N/A,FALSE,"Signatures";#N/A,#N/A,FALSE,"FL Current";#N/A,#N/A,FALSE,"Assumptions";#N/A,#N/A,FALSE,"Assumptions";#N/A,#N/A,FALSE,"Assumptions";#N/A,#N/A,FALSE,"FL Last";#N/A,#N/A,FALSE,"FL Orig";#N/A,#N/A,FALSE,"C to G Explain"}</definedName>
    <definedName name="wrn.ALL._1" hidden="1">{#N/A,#N/A,FALSE,"INPUTS";#N/A,#N/A,FALSE,"PROFORMA BSHEET";#N/A,#N/A,FALSE,"COMBINED";#N/A,#N/A,FALSE,"ACQUIROR";#N/A,#N/A,FALSE,"TARGET 1";#N/A,#N/A,FALSE,"TARGET 2";#N/A,#N/A,FALSE,"HIGH YIELD";#N/A,#N/A,FALSE,"OVERFUND"}</definedName>
    <definedName name="wrn.all.2" hidden="1">{#N/A,#N/A,FALSE,"DCF";#N/A,#N/A,FALSE,"WACC";#N/A,#N/A,FALSE,"Sales_EBIT";#N/A,#N/A,FALSE,"Capex_Depreciation";#N/A,#N/A,FALSE,"WC";#N/A,#N/A,FALSE,"Interest";#N/A,#N/A,FALSE,"Assumptions"}</definedName>
    <definedName name="wrn.All_Models." hidden="1">{#N/A,#N/A,FALSE,"Summary";#N/A,#N/A,FALSE,"Projections";#N/A,#N/A,FALSE,"Mkt Mults";#N/A,#N/A,FALSE,"DCF";#N/A,#N/A,FALSE,"Accr Dil";#N/A,#N/A,FALSE,"PIC LBO";#N/A,#N/A,FALSE,"MULT10_4";#N/A,#N/A,FALSE,"CBI LBO"}</definedName>
    <definedName name="wrn.All_Sheets." hidden="1">{#N/A,#N/A,FALSE,"Projections";#N/A,#N/A,FALSE,"Contribution_Stock";#N/A,#N/A,FALSE,"PF_Combo_Stock";#N/A,#N/A,FALSE,"Projections";#N/A,#N/A,FALSE,"Contribution_Cash";#N/A,#N/A,FALSE,"PF_Combo_Cash";#N/A,#N/A,FALSE,"IPO_Cash"}</definedName>
    <definedName name="wrn.ALL2." hidden="1">{#N/A,#N/A,FALSE,"DCF";#N/A,#N/A,FALSE,"WACC";#N/A,#N/A,FALSE,"Sales_EBIT";#N/A,#N/A,FALSE,"Capex_Depreciation";#N/A,#N/A,FALSE,"WC";#N/A,#N/A,FALSE,"Interest";#N/A,#N/A,FALSE,"Assumptions"}</definedName>
    <definedName name="wrn.allb" hidden="1">{"Historical and Estimates",#N/A,FALSE,"DCF";"Notes",#N/A,FALSE,"DCF";"Discounted DFCF Analysis",#N/A,FALSE,"DCF";"Debt Table",#N/A,FALSE,"DCF";"Misc.",#N/A,FALSE,"DCF"}</definedName>
    <definedName name="wrn.ALLbutPREMIUM." hidden="1">{#N/A,#N/A,FALSE,"Projections";#N/A,#N/A,FALSE,"AccrDil";#N/A,#N/A,FALSE,"PurchPriMult";#N/A,#N/A,FALSE,"Mults7_13";#N/A,#N/A,FALSE,"Mkt Mults";#N/A,#N/A,FALSE,"Acq Mults";#N/A,#N/A,FALSE,"StockPrices";#N/A,#N/A,FALSE,"Prem Paid";#N/A,#N/A,FALSE,"DCF";#N/A,#N/A,FALSE,"AUTO";#N/A,#N/A,FALSE,"Relative Trading";#N/A,#N/A,FALSE,"Mkt Val";#N/A,#N/A,FALSE,"Acq Val"}</definedName>
    <definedName name="wrn.AllModels." hidden="1">{#N/A,#N/A,FALSE,"AD_Purchase";#N/A,#N/A,FALSE,"Credit";#N/A,#N/A,FALSE,"PF Acquisition";#N/A,#N/A,FALSE,"PF Offering"}</definedName>
    <definedName name="wrn.Americas." hidden="1">{#N/A,#N/A,FALSE,"Americas"}</definedName>
    <definedName name="wrn.Amortization." hidden="1">{"Exist Debt Amort",#N/A,TRUE,"Financials";"Intangible Amort",#N/A,TRUE,"Financials";"Proj Debt Amort",#N/A,TRUE,"Financials";"Proj Pfd Amort",#N/A,TRUE,"Financials"}</definedName>
    <definedName name="wrn.Amortization._1" hidden="1">{"Exist Debt Amort",#N/A,TRUE,"Financials";"Intangible Amort",#N/A,TRUE,"Financials";"Proj Debt Amort",#N/A,TRUE,"Financials";"Proj Pfd Amort",#N/A,TRUE,"Financials"}</definedName>
    <definedName name="wrn.argentina." hidden="1">{"argentina",#N/A,FALSE,"PL"}</definedName>
    <definedName name="wrn.ARPU._.composition." hidden="1">{#N/A,#N/A,FALSE,"Additional ARPU"}</definedName>
    <definedName name="wrn.asg." hidden="1">{#N/A,#N/A,FALSE,"Exh 1";#N/A,#N/A,FALSE,"Exh 2";#N/A,#N/A,FALSE,"Exh 2a";#N/A,#N/A,FALSE,"Exh 3";#N/A,#N/A,FALSE,"Exhib 4";#N/A,#N/A,FALSE,"eh 5";#N/A,#N/A,FALSE,"Exh 6"}</definedName>
    <definedName name="wrn.asg._1" hidden="1">{#N/A,#N/A,FALSE,"Exh 1";#N/A,#N/A,FALSE,"Exh 2";#N/A,#N/A,FALSE,"Exh 2a";#N/A,#N/A,FALSE,"Exh 3";#N/A,#N/A,FALSE,"Exhib 4";#N/A,#N/A,FALSE,"eh 5";#N/A,#N/A,FALSE,"Exh 6"}</definedName>
    <definedName name="wrn.Asia."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sumptions." hidden="1">{"Assumptions",#N/A,FALSE,"Assum"}</definedName>
    <definedName name="wrn.Assumptions._1" hidden="1">{"Assumptions",#N/A,FALSE,"Assum"}</definedName>
    <definedName name="wrn.Auto._.Comp." hidden="1">{#N/A,#N/A,FALSE,"Sheet1"}</definedName>
    <definedName name="wrn.BALANCE._.SHEET." hidden="1">{"BALANCE SHEET",#N/A,FALSE,"Balance Sheet"}</definedName>
    <definedName name="wrn.balsheet." hidden="1">{"balsheet",#N/A,FALSE,"A"}</definedName>
    <definedName name="wrn.balsheet._1" hidden="1">{"balsheet",#N/A,FALSE,"A"}</definedName>
    <definedName name="wrn.Bank._.of._.America." hidden="1">{#N/A,#N/A,TRUE,"Cover_Page";#N/A,#N/A,TRUE,"Balance Sheet FY12";#N/A,#N/A,TRUE,"Debt Covenants_BofA_Cons";#N/A,#N/A,TRUE,"Consolidated-Cash Flow";#N/A,#N/A,TRUE,"CY_Per Inc FY12";#N/A,#N/A,TRUE,"Income FY12";#N/A,#N/A,TRUE,"Consolidated"}</definedName>
    <definedName name="wrn.Basic." hidden="1">{#N/A,#N/A,FALSE,"e-Svc Level";#N/A,#N/A,FALSE,"e-Hosted";#N/A,#N/A,FALSE,"e-Licensed";#N/A,#N/A,FALSE,"Assumptions"}</definedName>
    <definedName name="wrn.Basic._.Report." hidden="1">{#N/A,#N/A,FALSE,"New Depr Sch-150% DB";#N/A,#N/A,FALSE,"Cash Flows RLP";#N/A,#N/A,FALSE,"IRR";#N/A,#N/A,FALSE,"Proforma IS";#N/A,#N/A,FALSE,"Assumptions"}</definedName>
    <definedName name="wrn.Basic._1" hidden="1">{#N/A,#N/A,FALSE,"e-Svc Level";#N/A,#N/A,FALSE,"e-Hosted";#N/A,#N/A,FALSE,"e-Licensed";#N/A,#N/A,FALSE,"Assumptions"}</definedName>
    <definedName name="wrn.basics." hidden="1">{#N/A,#N/A,FALSE,"TSUM";#N/A,#N/A,FALSE,"shares";#N/A,#N/A,FALSE,"earnout";#N/A,#N/A,FALSE,"Heaty";#N/A,#N/A,FALSE,"self-tend";#N/A,#N/A,FALSE,"self-sum"}</definedName>
    <definedName name="wrn.BEL." hidden="1">{"IS",#N/A,FALSE,"IS";"RPTIS",#N/A,FALSE,"RPTIS";"STATS",#N/A,FALSE,"STATS";"CELL",#N/A,FALSE,"CELL";"BS",#N/A,FALSE,"BS"}</definedName>
    <definedName name="wrn.BGEN." hidden="1">{"Revenue",#N/A,FALSE,"Revenue";"QEarn1",#N/A,FALSE,"Qearn";"QEarn2",#N/A,FALSE,"Qearn";"QMargin",#N/A,FALSE,"Margin";"Cashflow",#N/A,FALSE,"Cashflow";"Product Pipeline",#N/A,FALSE,"Product Pipeline";"Comment Model",#N/A,FALSE,"Comment P&amp;L"}</definedName>
    <definedName name="wrn.BID." hidden="1">{"PAGE1",#N/A,FALSE,"BID (3)";"PAGE2",#N/A,FALSE,"BID (3)"}</definedName>
    <definedName name="wrn.BidCo." hidden="1">{#N/A,#N/A,FALSE,"BidCo Assumptions";#N/A,#N/A,FALSE,"Credit Stats";#N/A,#N/A,FALSE,"Bidco Summary";#N/A,#N/A,FALSE,"BIDCO Consolidated"}</definedName>
    <definedName name="wrn.BKD." hidden="1">{#N/A,#N/A,FALSE,"Cover_Page";#N/A,#N/A,FALSE,"Balance Sheet FY12";#N/A,#N/A,FALSE,"Debt Covenants_US Bank_Cons";#N/A,#N/A,FALSE,"Debt Covenants_BofA_Cons";#N/A,#N/A,FALSE,"Consolidated-Cash Flow";#N/A,#N/A,FALSE,"CY_Per Inc FY12";#N/A,#N/A,FALSE,"Income FY12";#N/A,#N/A,FALSE,"Consolidated"}</definedName>
    <definedName name="wrn.BODMeeting." hidden="1">{"SummarySalesIncome",#N/A,FALSE,"Various";"ConsIncomeStmt",#N/A,FALSE,"2qtr";"ConsIncStmt-BOD",#N/A,FALSE,"PLSum";"SGAExpenses",#N/A,FALSE,"Expenses";"QuarterlySum",#N/A,FALSE,"Qtr Copy";"BalanceSheet",#N/A,FALSE,"Various";"CashFlows",#N/A,FALSE,"Various";#N/A,#N/A,FALSE,"CashSuff";#N/A,#N/A,FALSE,"Cap";"Ratios",#N/A,FALSE,"Various";#N/A,#N/A,FALSE,"Comp";#N/A,#N/A,FALSE,"Invest";#N/A,#N/A,FALSE,"GP";#N/A,#N/A,FALSE,"Avg$";#N/A,#N/A,FALSE,"CCard";#N/A,#N/A,FALSE,"Stores";#N/A,#N/A,FALSE,"PlanOpen"}</definedName>
    <definedName name="wrn.BostonMkt." hidden="1">{#N/A,#N/A,FALSE,"Summary";#N/A,#N/A,FALSE,"7oz";#N/A,#N/A,FALSE,"16oz"}</definedName>
    <definedName name="wrn.BOTH." hidden="1">{"DOLS",#N/A,FALSE,"G&amp;A_TOT";"PDS",#N/A,FALSE,"G&amp;A_TOT"}</definedName>
    <definedName name="wrn.bow_argentina." hidden="1">{"bow_argentina",#N/A,FALSE,"AMF"}</definedName>
    <definedName name="wrn.bow_brasil." hidden="1">{"bow_brasil",#N/A,FALSE,"AMF"}</definedName>
    <definedName name="wrn.BPlan." hidden="1">{#N/A,#N/A,FALSE,"F_Plan";#N/A,#N/A,FALSE,"Parameter"}</definedName>
    <definedName name="wrn.breakup." hidden="1">{"comps1",#N/A,FALSE,"Comps Sheet";"comps2",#N/A,FALSE,"Comps Sheet";"comps3",#N/A,FALSE,"Comps Sheet";"comps4",#N/A,FALSE,"Comps Sheet";"comps5",#N/A,FALSE,"Comps Sheet";"comps6",#N/A,FALSE,"Comps Sheet";"ec",#N/A,FALSE,"E&amp;C";"environmental",#N/A,FALSE,"Environmental";"heavy",#N/A,FALSE,"Heavy Const."}</definedName>
    <definedName name="wrn.bret." hidden="1">{"Notes 29&amp;30",#N/A,FALSE,"Notes 28-30"}</definedName>
    <definedName name="wrn.Budget." hidden="1">{#N/A,#N/A,FALSE,"QSum";#N/A,#N/A,FALSE,"1Q";#N/A,#N/A,FALSE,"2Q";#N/A,#N/A,FALSE,"3Q";#N/A,#N/A,FALSE,"4Q";#N/A,#N/A,FALSE,"Mthly";#N/A,#N/A,FALSE,"Cur.vs.Prior"}</definedName>
    <definedName name="wrn.budget._.balance._.sheet." hidden="1">{"bugdet992000 balance sheet",#N/A,FALSE,"Celtel alternative 6"}</definedName>
    <definedName name="wrn.budget._.capex." hidden="1">{"budget992000 capex",#N/A,FALSE,"Celtel alternative 6"}</definedName>
    <definedName name="wrn.budget._.customers." hidden="1">{"budget992000_customers",#N/A,FALSE,"Celtel alternative 6"}</definedName>
    <definedName name="wrn.Budget._.Detail." hidden="1">{#N/A,#N/A,FALSE,"Salaries";#N/A,#N/A,FALSE,"Carmen";#N/A,#N/A,FALSE,"Bonus";#N/A,#N/A,FALSE,"Benefits1";#N/A,#N/A,FALSE,"Benefits2";#N/A,#N/A,FALSE,"Benefits3";#N/A,#N/A,FALSE,"Benefits4";#N/A,#N/A,FALSE,"Other1";#N/A,#N/A,FALSE,"Other2";#N/A,#N/A,FALSE,"Other3";#N/A,#N/A,FALSE,"Other4";#N/A,#N/A,FALSE,"Other5";#N/A,#N/A,FALSE,"MIS Other"}</definedName>
    <definedName name="wrn.budget._.profit._.and._.loss." hidden="1">{"budget992000 profit and loss",#N/A,FALSE,"Celtel alternative 6"}</definedName>
    <definedName name="wrn.budget._.tariffs._.and._.usage." hidden="1">{"budget992000 tariff and usage",#N/A,FALSE,"Celtel alternative 6"}</definedName>
    <definedName name="wrn.budgetb." hidden="1">{#N/A,#N/A,FALSE,"Total REGN by Month";#N/A,#N/A,FALSE,"Total REGN Board Formats ";#N/A,#N/A,FALSE,"Summary By Dept";#N/A,#N/A,FALSE,"Research";#N/A,#N/A,FALSE,"Protein Science";#N/A,#N/A,FALSE,"Development";#N/A,#N/A,FALSE,"Regulatory";#N/A,#N/A,FALSE,"Clinical";#N/A,#N/A,FALSE,"Pilot Plant";#N/A,#N/A,FALSE,"Site Services";#N/A,#N/A,FALSE,"Administration";#N/A,#N/A,FALSE,"Legal";#N/A,#N/A,FALSE,"Rensselaer";#N/A,#N/A,FALSE,"Corporate";#N/A,#N/A,FALSE,"Plug-Tarrytown";#N/A,#N/A,FALSE,"Plug-Rensselaer"}</definedName>
    <definedName name="wrn.bullshit1." hidden="1">{#N/A,#N/A,FALSE,"Sheet1";#N/A,#N/A,FALSE,"Summary";#N/A,#N/A,FALSE,"proj1";#N/A,#N/A,FALSE,"proj2"}</definedName>
    <definedName name="wrn.CAG." hidden="1">{#N/A,#N/A,FALSE,"CAG"}</definedName>
    <definedName name="wrn.CAG._1" hidden="1">{#N/A,#N/A,FALSE,"CAG"}</definedName>
    <definedName name="wrn.calc_all." hidden="1">{"calc_hours",#N/A,FALSE,"calculations";"calc_kwh",#N/A,FALSE,"calculations";"calc_energy_rates",#N/A,FALSE,"calculations";"calc_cp1",#N/A,FALSE,"calculations";"calc_cp2",#N/A,FALSE,"calculations";"calc_coal",#N/A,FALSE,"calculations";"calc_pet_coke",#N/A,FALSE,"calculations";"calc_var1",#N/A,FALSE,"calculations";"calc_var2",#N/A,FALSE,"calculations";"calc_bank",#N/A,FALSE,"calculations"}</definedName>
    <definedName name="wrn.CAP." hidden="1">{"CAP",#N/A,FALSE,"CAP"}</definedName>
    <definedName name="wrn.CAP._.NO._.ADJ." hidden="1">{"CAP NO ADJ",#N/A,FALSE,"CAP"}</definedName>
    <definedName name="wrn.Capital._.Plan._.Report." hidden="1">{"Capital Plan CA Schedule",#N/A,TRUE,"Capital Plan";"Capital Plan Summary",#N/A,TRUE,"Capital Plan"}</definedName>
    <definedName name="wrn.CASE._.STUDY." hidden="1">{#N/A,#N/A,TRUE,"Cover";#N/A,#N/A,TRUE,"financial_model";#N/A,#N/A,TRUE,"cover_lbo";#N/A,#N/A,TRUE,"mini_lbo";#N/A,#N/A,TRUE,"IPO";#N/A,#N/A,TRUE,"WACC"}</definedName>
    <definedName name="wrn.Cash._.Plan." hidden="1">{"cash plan",#N/A,FALSE,"fccashflow"}</definedName>
    <definedName name="wrn.CGE" hidden="1">{#N/A,#N/A,TRUE,"CIN-11";#N/A,#N/A,TRUE,"CIN-13";#N/A,#N/A,TRUE,"CIN-14";#N/A,#N/A,TRUE,"CIN-16";#N/A,#N/A,TRUE,"CIN-17";#N/A,#N/A,TRUE,"CIN-18";#N/A,#N/A,TRUE,"CIN Earnings To Fixed Charges";#N/A,#N/A,TRUE,"CIN Financial Ratios";#N/A,#N/A,TRUE,"CIN-IS";#N/A,#N/A,TRUE,"CIN-BS";#N/A,#N/A,TRUE,"CIN-CS";#N/A,#N/A,TRUE,"Invest In Unconsol Subs"}</definedName>
    <definedName name="wrn.CGE_1" hidden="1">{#N/A,#N/A,TRUE,"CIN-11";#N/A,#N/A,TRUE,"CIN-13";#N/A,#N/A,TRUE,"CIN-14";#N/A,#N/A,TRUE,"CIN-16";#N/A,#N/A,TRUE,"CIN-17";#N/A,#N/A,TRUE,"CIN-18";#N/A,#N/A,TRUE,"CIN Earnings To Fixed Charges";#N/A,#N/A,TRUE,"CIN Financial Ratios";#N/A,#N/A,TRUE,"CIN-IS";#N/A,#N/A,TRUE,"CIN-BS";#N/A,#N/A,TRUE,"CIN-CS";#N/A,#N/A,TRUE,"Invest In Unconsol Subs"}</definedName>
    <definedName name="wrn.cge2" hidden="1">{#N/A,#N/A,TRUE,"CIN-11";#N/A,#N/A,TRUE,"CIN-13";#N/A,#N/A,TRUE,"CIN-14";#N/A,#N/A,TRUE,"CIN-16";#N/A,#N/A,TRUE,"CIN-17";#N/A,#N/A,TRUE,"CIN-18";#N/A,#N/A,TRUE,"CIN Earnings To Fixed Charges";#N/A,#N/A,TRUE,"CIN Financial Ratios";#N/A,#N/A,TRUE,"CIN-IS";#N/A,#N/A,TRUE,"CIN-BS";#N/A,#N/A,TRUE,"CIN-CS";#N/A,#N/A,TRUE,"Invest In Unconsol Subs"}</definedName>
    <definedName name="wrn.cge2_1" hidden="1">{#N/A,#N/A,TRUE,"CIN-11";#N/A,#N/A,TRUE,"CIN-13";#N/A,#N/A,TRUE,"CIN-14";#N/A,#N/A,TRUE,"CIN-16";#N/A,#N/A,TRUE,"CIN-17";#N/A,#N/A,TRUE,"CIN-18";#N/A,#N/A,TRUE,"CIN Earnings To Fixed Charges";#N/A,#N/A,TRUE,"CIN Financial Ratios";#N/A,#N/A,TRUE,"CIN-IS";#N/A,#N/A,TRUE,"CIN-BS";#N/A,#N/A,TRUE,"CIN-CS";#N/A,#N/A,TRUE,"Invest In Unconsol Subs"}</definedName>
    <definedName name="wrn.CIN." hidden="1">{#N/A,#N/A,TRUE,"CIN-11";#N/A,#N/A,TRUE,"CIN-13";#N/A,#N/A,TRUE,"CIN-14";#N/A,#N/A,TRUE,"CIN-16";#N/A,#N/A,TRUE,"CIN-17";#N/A,#N/A,TRUE,"CIN-18";#N/A,#N/A,TRUE,"CIN Earnings To Fixed Charges";#N/A,#N/A,TRUE,"CIN Financial Ratios";#N/A,#N/A,TRUE,"CIN-IS";#N/A,#N/A,TRUE,"CIN-BS";#N/A,#N/A,TRUE,"CIN-CS";#N/A,#N/A,TRUE,"Invest In Unconsol Subs"}</definedName>
    <definedName name="wrn.CIN._1" hidden="1">{#N/A,#N/A,TRUE,"CIN-11";#N/A,#N/A,TRUE,"CIN-13";#N/A,#N/A,TRUE,"CIN-14";#N/A,#N/A,TRUE,"CIN-16";#N/A,#N/A,TRUE,"CIN-17";#N/A,#N/A,TRUE,"CIN-18";#N/A,#N/A,TRUE,"CIN Earnings To Fixed Charges";#N/A,#N/A,TRUE,"CIN Financial Ratios";#N/A,#N/A,TRUE,"CIN-IS";#N/A,#N/A,TRUE,"CIN-BS";#N/A,#N/A,TRUE,"CIN-CS";#N/A,#N/A,TRUE,"Invest In Unconsol Subs"}</definedName>
    <definedName name="wrn.cinergy." hidden="1">{#N/A,#N/A,FALSE,"CINERGY"}</definedName>
    <definedName name="wrn.cinergy._1" hidden="1">{#N/A,#N/A,FALSE,"CINERGY"}</definedName>
    <definedName name="wrn.client." hidden="1">{"multiple",#N/A,FALSE,"client";"margins",#N/A,FALSE,"client";"data",#N/A,FALSE,"client"}</definedName>
    <definedName name="wrn.Client3." hidden="1">{"data",#N/A,FALSE,"client (3)";"margins",#N/A,FALSE,"client (3)";"multiple",#N/A,FALSE,"client (3)"}</definedName>
    <definedName name="wrn.client4." hidden="1">{"multiple",#N/A,FALSE,"client (4)";"margins",#N/A,FALSE,"client (4)";"data",#N/A,FALSE,"client (4)"}</definedName>
    <definedName name="wrn.clientcopy."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1." hidden="1">{"WACC_clientcopy",#N/A,FALSE,"Inputs";"Beta_clientcopy",#N/A,FALSE,"Inputs";"SCF_clientcopy",#N/A,FALSE,"Inputs";"ProBS_clientcopy",#N/A,FALSE,"Inputs";"BS_clientcopy",#N/A,FALSE,"Inputs";"ProIS_clientcopy",#N/A,FALSE,"Inputs";"IS_clientcopy",#N/A,FALSE,"Inputs";"Ratios_clientcopy",#N/A,FALSE,"Ratios"}</definedName>
    <definedName name="wrn.clientcopy2." hidden="1">{"WACC_clientcopy",#N/A,FALSE,"Inputs";"Beta_clientcopy",#N/A,FALSE,"Inputs";"SCF_clientcopy",#N/A,FALSE,"Inputs";"ProBS_clientcopy",#N/A,FALSE,"Inputs";"BS_clientcopy",#N/A,FALSE,"Inputs";"ProIS_clientcopy",#N/A,FALSE,"Inputs";"IS_clientcopy",#N/A,FALSE,"Inputs";"Ratios_clientcopy",#N/A,FALSE,"Ratios"}</definedName>
    <definedName name="wrn.clientcopy3." hidden="1">{"WACC_clientcopy",#N/A,FALSE,"Inputs";"Beta_clientcopy",#N/A,FALSE,"Inputs";"SCF_clientcopy",#N/A,FALSE,"Inputs";"ProBS_clientcopy",#N/A,FALSE,"Inputs";"BS_clientcopy",#N/A,FALSE,"Inputs";"ProIS_clientcopy",#N/A,FALSE,"Inputs";"IS_clientcopy",#N/A,FALSE,"Inputs";"Ratios_clientcopy",#N/A,FALSE,"Ratios"}</definedName>
    <definedName name="wrn.columbus." hidden="1">{"IS_plan vs Act",#N/A,FALSE,"IS_Plan-Act";"is_curr&amp;YTD",#N/A,FALSE,"IS_Plan-Act";"is_last5mos",#N/A,FALSE,"IS_Plan-Act";"is_vsYTD_RR",#N/A,FALSE,"IS_Plan-Act";"bs",#N/A,FALSE,"IS_Plan-Act";"bs_last5mos",#N/A,FALSE,"IS_Plan-Act";"cf",#N/A,FALSE,"IS_Plan-Act"}</definedName>
    <definedName name="wrn.Combination." hidden="1">{#N/A,#N/A,FALSE,"Combo-Ass ";#N/A,#N/A,FALSE,"Combo-AD sum";#N/A,#N/A,FALSE,"Combo-Syn Sens";#N/A,#N/A,FALSE,"Combo-Contr";#N/A,#N/A,FALSE,"Combo-Credit Sum";#N/A,#N/A,FALSE,"Combo-Credit";#N/A,#N/A,FALSE,"Combo-AD";#N/A,#N/A,FALSE,"Combo-AD";#N/A,#N/A,FALSE,"Combo-AD CF";#N/A,#N/A,FALSE,"Combo-IS";#N/A,#N/A,FALSE,"Combo-BS";#N/A,#N/A,FALSE,"Combo-CF";#N/A,#N/A,FALSE,"Combo-Debt";#N/A,#N/A,FALSE,"Combo-Int";#N/A,#N/A,FALSE,"Combo-CapEx";#N/A,#N/A,FALSE,"Combo-BD";#N/A,#N/A,FALSE,"Combo-TD";#N/A,#N/A,FALSE,"Combo-Taxes";#N/A,#N/A,FALSE,"Combo-Val";#N/A,#N/A,FALSE,"Combo-Mult Va"}</definedName>
    <definedName name="wrn.Combination._2" hidden="1">{#N/A,#N/A,FALSE,"Combo-Ass ";#N/A,#N/A,FALSE,"Combo-AD sum";#N/A,#N/A,FALSE,"Combo-Syn Sens";#N/A,#N/A,FALSE,"Combo-Contr";#N/A,#N/A,FALSE,"Combo-Credit Sum";#N/A,#N/A,FALSE,"Combo-Credit";#N/A,#N/A,FALSE,"Combo-AD";#N/A,#N/A,FALSE,"Combo-AD";#N/A,#N/A,FALSE,"Combo-AD CF";#N/A,#N/A,FALSE,"Combo-IS";#N/A,#N/A,FALSE,"Combo-BS";#N/A,#N/A,FALSE,"Combo-CF";#N/A,#N/A,FALSE,"Combo-Debt";#N/A,#N/A,FALSE,"Combo-Int";#N/A,#N/A,FALSE,"Combo-CapEx";#N/A,#N/A,FALSE,"Combo-BD";#N/A,#N/A,FALSE,"Combo-TD";#N/A,#N/A,FALSE,"Combo-Taxes";#N/A,#N/A,FALSE,"Combo-Val";#N/A,#N/A,FALSE,"Combo-Mult Va"}</definedName>
    <definedName name="wrn.Combination._22" hidden="1">{#N/A,#N/A,FALSE,"Combo-Ass ";#N/A,#N/A,FALSE,"Combo-AD sum";#N/A,#N/A,FALSE,"Combo-Syn Sens";#N/A,#N/A,FALSE,"Combo-Contr";#N/A,#N/A,FALSE,"Combo-Credit Sum";#N/A,#N/A,FALSE,"Combo-Credit";#N/A,#N/A,FALSE,"Combo-AD";#N/A,#N/A,FALSE,"Combo-AD";#N/A,#N/A,FALSE,"Combo-AD CF";#N/A,#N/A,FALSE,"Combo-IS";#N/A,#N/A,FALSE,"Combo-BS";#N/A,#N/A,FALSE,"Combo-CF";#N/A,#N/A,FALSE,"Combo-Debt";#N/A,#N/A,FALSE,"Combo-Int";#N/A,#N/A,FALSE,"Combo-CapEx";#N/A,#N/A,FALSE,"Combo-BD";#N/A,#N/A,FALSE,"Combo-TD";#N/A,#N/A,FALSE,"Combo-Taxes";#N/A,#N/A,FALSE,"Combo-Val";#N/A,#N/A,FALSE,"Combo-Mult Va"}</definedName>
    <definedName name="wrn.Combination.2" hidden="1">{#N/A,#N/A,FALSE,"Combo-Ass ";#N/A,#N/A,FALSE,"Combo-AD sum";#N/A,#N/A,FALSE,"Combo-Syn Sens";#N/A,#N/A,FALSE,"Combo-Contr";#N/A,#N/A,FALSE,"Combo-Credit Sum";#N/A,#N/A,FALSE,"Combo-Credit";#N/A,#N/A,FALSE,"Combo-AD";#N/A,#N/A,FALSE,"Combo-AD";#N/A,#N/A,FALSE,"Combo-AD CF";#N/A,#N/A,FALSE,"Combo-IS";#N/A,#N/A,FALSE,"Combo-BS";#N/A,#N/A,FALSE,"Combo-CF";#N/A,#N/A,FALSE,"Combo-Debt";#N/A,#N/A,FALSE,"Combo-Int";#N/A,#N/A,FALSE,"Combo-CapEx";#N/A,#N/A,FALSE,"Combo-BD";#N/A,#N/A,FALSE,"Combo-TD";#N/A,#N/A,FALSE,"Combo-Taxes";#N/A,#N/A,FALSE,"Combo-Val";#N/A,#N/A,FALSE,"Combo-Mult Va"}</definedName>
    <definedName name="wrn.COMBINED." hidden="1">{#N/A,#N/A,FALSE,"INPUTS";#N/A,#N/A,FALSE,"PROFORMA BSHEET";#N/A,#N/A,FALSE,"COMBINED";#N/A,#N/A,FALSE,"HIGH YIELD";#N/A,#N/A,FALSE,"COMB_GRAPHS"}</definedName>
    <definedName name="wrn.COMBINED._1" hidden="1">{#N/A,#N/A,FALSE,"INPUTS";#N/A,#N/A,FALSE,"PROFORMA BSHEET";#N/A,#N/A,FALSE,"COMBINED";#N/A,#N/A,FALSE,"HIGH YIELD";#N/A,#N/A,FALSE,"COMB_GRAPHS"}</definedName>
    <definedName name="wrn.ComboResults." hidden="1">{#N/A,#N/A,FALSE,"Combo-Ass ";#N/A,#N/A,FALSE,"Combo-AD sum";#N/A,#N/A,FALSE,"Combo-Syn Sens";#N/A,#N/A,FALSE,"Combo-Contr";#N/A,#N/A,FALSE,"Combo-Credit Sum";#N/A,#N/A,FALSE,"Combo-Credit";#N/A,#N/A,FALSE,"Combo-AD";#N/A,#N/A,FALSE,"Combo-AD CF"}</definedName>
    <definedName name="wrn.ComboResults._2" hidden="1">{#N/A,#N/A,FALSE,"Combo-Ass ";#N/A,#N/A,FALSE,"Combo-AD sum";#N/A,#N/A,FALSE,"Combo-Syn Sens";#N/A,#N/A,FALSE,"Combo-Contr";#N/A,#N/A,FALSE,"Combo-Credit Sum";#N/A,#N/A,FALSE,"Combo-Credit";#N/A,#N/A,FALSE,"Combo-AD";#N/A,#N/A,FALSE,"Combo-AD CF"}</definedName>
    <definedName name="wrn.ComboResults._22" hidden="1">{#N/A,#N/A,FALSE,"Combo-Ass ";#N/A,#N/A,FALSE,"Combo-AD sum";#N/A,#N/A,FALSE,"Combo-Syn Sens";#N/A,#N/A,FALSE,"Combo-Contr";#N/A,#N/A,FALSE,"Combo-Credit Sum";#N/A,#N/A,FALSE,"Combo-Credit";#N/A,#N/A,FALSE,"Combo-AD";#N/A,#N/A,FALSE,"Combo-AD CF"}</definedName>
    <definedName name="wrn.ComboResults.2" hidden="1">{#N/A,#N/A,FALSE,"Combo-Ass ";#N/A,#N/A,FALSE,"Combo-AD sum";#N/A,#N/A,FALSE,"Combo-Syn Sens";#N/A,#N/A,FALSE,"Combo-Contr";#N/A,#N/A,FALSE,"Combo-Credit Sum";#N/A,#N/A,FALSE,"Combo-Credit";#N/A,#N/A,FALSE,"Combo-AD";#N/A,#N/A,FALSE,"Combo-AD CF"}</definedName>
    <definedName name="wrn.ComboState." hidden="1">{#N/A,#N/A,FALSE,"Combo-Ass ";#N/A,#N/A,FALSE,"Combo-IS";#N/A,#N/A,FALSE,"Combo-BS";#N/A,#N/A,FALSE,"Combo-CF"}</definedName>
    <definedName name="wrn.ComboState._2" hidden="1">{#N/A,#N/A,FALSE,"Combo-Ass ";#N/A,#N/A,FALSE,"Combo-IS";#N/A,#N/A,FALSE,"Combo-BS";#N/A,#N/A,FALSE,"Combo-CF"}</definedName>
    <definedName name="wrn.ComboState._22" hidden="1">{#N/A,#N/A,FALSE,"Combo-Ass ";#N/A,#N/A,FALSE,"Combo-IS";#N/A,#N/A,FALSE,"Combo-BS";#N/A,#N/A,FALSE,"Combo-CF"}</definedName>
    <definedName name="wrn.ComboState.2" hidden="1">{#N/A,#N/A,FALSE,"Combo-Ass ";#N/A,#N/A,FALSE,"Combo-IS";#N/A,#N/A,FALSE,"Combo-BS";#N/A,#N/A,FALSE,"Combo-CF"}</definedName>
    <definedName name="wrn.Comparativo._.Anual." hidden="1">{"COMPROS",#N/A,FALSE,"ROS";"COMPOFF",#N/A,FALSE,"OFF";"COMPBEA",#N/A,FALSE,"BEA";"COMPCOF",#N/A,FALSE,"COF";"COMPTEL",#N/A,FALSE,"TEL";"COMPCON",#N/A,FALSE,"CON";"COMPINT",#N/A,FALSE,"INT"}</definedName>
    <definedName name="wrn.Comparativo._.Mes." hidden="1">{"MESROS",#N/A,FALSE,"ROS";"MESOFF",#N/A,FALSE,"OFF";"MESBEA",#N/A,FALSE,"BEA";"MESCOF",#N/A,FALSE,"COF";"MESTEL",#N/A,FALSE,"TEL";"MESCON",#N/A,FALSE,"CON";"MESINT",#N/A,FALSE,"INT"}</definedName>
    <definedName name="wrn.COMPCO." hidden="1">{"Page1",#N/A,FALSE,"CompCo";"Page2",#N/A,FALSE,"CompCo"}</definedName>
    <definedName name="wrn.Complete."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_.Report." hidden="1">{#N/A,#N/A,FALSE,"Assumptions";#N/A,#N/A,FALSE,"Proforma IS";#N/A,#N/A,FALSE,"Cash Flows RLP";#N/A,#N/A,FALSE,"IRR";#N/A,#N/A,FALSE,"New Depr Sch-150% DB";#N/A,#N/A,FALSE,"Comments"}</definedName>
    <definedName name="wrn.Complete.2"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NSOLIDADO." hidden="1">{"CONSOLIDADO",#N/A,FALSE,"TOT"}</definedName>
    <definedName name="wrn.consolidated." hidden="1">{"IS_planvsActual",#N/A,FALSE,"IS_Plan-Act";"IS_curr&amp;YTD",#N/A,FALSE,"IS";"BS_curr&amp;lastmo",#N/A,FALSE,"BS";"bs 4 qtrs",#N/A,FALSE,"BS";"cf",#N/A,FALSE,"CF"}</definedName>
    <definedName name="wrn.Continous._.Page._.Numbers._.DCF." hidden="1">{#N/A,#N/A,TRUE,"Cover Page";#N/A,#N/A,TRUE,"Assumptions MPM";#N/A,#N/A,TRUE,"Summary Sheet MPM";#N/A,#N/A,TRUE,"Output MPM";#N/A,#N/A,TRUE,"Input MPM";#N/A,#N/A,TRUE,"Assets MPM";#N/A,#N/A,TRUE,"Valuation Summary MPM";#N/A,#N/A,TRUE,"KMK";#N/A,#N/A,TRUE,"Demag";#N/A,#N/A,TRUE,"Van Dorn";#N/A,#N/A,TRUE,"Billion";#N/A,#N/A,TRUE,"Berstorff";#N/A,#N/A,TRUE,"Assumptions Netstal";#N/A,#N/A,TRUE,"Summary Sheet Netstal";#N/A,#N/A,TRUE,"Output Netstal";#N/A,#N/A,TRUE,"Input Netstal";#N/A,#N/A,TRUE,"Assets Netstal";#N/A,#N/A,TRUE,"Valuation Summary Netstal";#N/A,#N/A,TRUE,"Growth Assumpt BUs";#N/A,#N/A,TRUE,"Growth Analysis";#N/A,#N/A,TRUE,"Assumptions MPM ex N";#N/A,#N/A,TRUE,"Summary Sheet MPM ex N";#N/A,#N/A,TRUE,"Output MPM ex N";#N/A,#N/A,TRUE,"Input MPM ex N";#N/A,#N/A,TRUE,"Assets MPM ex N";#N/A,#N/A,TRUE,"Valuation Summary MPM ex N"}</definedName>
    <definedName name="wrn.CONTRACT._.WIP._.1997." hidden="1">{#N/A,#N/A,FALSE,"A"}</definedName>
    <definedName name="wrn.contribution." hidden="1">{#N/A,#N/A,FALSE,"Contribution Analysis"}</definedName>
    <definedName name="wrn.Cost._.Center._.Opex." hidden="1">{"510 Opex",#N/A,FALSE,"510";"520 Opex",#N/A,FALSE,"520";"UK Cons Opex",#N/A,FALSE,"Consulting-UK";"522 Opex",#N/A,FALSE,"522";"530 Opex",#N/A,FALSE,"530";"600 Opex",#N/A,FALSE,"600";"601 Opex",#N/A,FALSE,"601";"603 Opex",#N/A,FALSE,"603";"610 Opex",#N/A,FALSE,"610";"UK Sales Opex",#N/A,FALSE,"Sales-UK";"640 Opex",#N/A,FALSE,"640";"642 Opex",#N/A,FALSE,"642";"UK Mktg Opex",#N/A,FALSE,"Marketing - UK";"650 Opex",#N/A,FALSE,"650";"700 Opex",#N/A,FALSE,"700";"710 Opex",#N/A,FALSE,"710";"715 Opex",#N/A,FALSE,"715(DCS)";"720 Opex",#N/A,FALSE,"720(QA)";"800 Opex",#N/A,FALSE,"800";"810 Opex",#N/A,FALSE,"810";"820 Opex",#N/A,FALSE,"820";"830 Opex",#N/A,FALSE,"830";"850 Opex",#N/A,FALSE,"850";"851 Opex",#N/A,FALSE,"851";"Fringe Opex",#N/A,FALSE,"Fringe-825"}</definedName>
    <definedName name="wrn.Cover." hidden="1">{"coverall",#N/A,FALSE,"Definitions";"cover1",#N/A,FALSE,"Definitions";"cover2",#N/A,FALSE,"Definitions";"cover3",#N/A,FALSE,"Definitions";"cover4",#N/A,FALSE,"Definitions";"cover5",#N/A,FALSE,"Definitions";"blank",#N/A,FALSE,"Definitions"}</definedName>
    <definedName name="wrn.cowboy." hidden="1">{"assumptions",#N/A,FALSE,"Assumption Summary";"proforma97",#N/A,FALSE,"97 pro forma";"sensitivity97",#N/A,FALSE,"97 sensitivity ";"proforma98",#N/A,FALSE,"98 pro forma";"sensitivity98",#N/A,FALSE,"98 sensitivity"}</definedName>
    <definedName name="wrn.CPB." hidden="1">{#N/A,#N/A,FALSE,"CPB"}</definedName>
    <definedName name="wrn.CPB._1" hidden="1">{#N/A,#N/A,FALSE,"CPB"}</definedName>
    <definedName name="wrn.Credit._.Summary." hidden="1">{#N/A,#N/A,FALSE,"Credit Summary"}</definedName>
    <definedName name="wrn.Credit._.Summary._1" hidden="1">{#N/A,#N/A,FALSE,"Credit Summary"}</definedName>
    <definedName name="wrn.crossroads." hidden="1">{#N/A,#N/A,FALSE,"RENT ROLL";#N/A,#N/A,FALSE,"CAM";#N/A,#N/A,FALSE,"TAXES";#N/A,#N/A,FALSE,"INSURANCE";#N/A,#N/A,FALSE,"HVAC";#N/A,#N/A,FALSE,"MARKETING"}</definedName>
    <definedName name="wrn.crossroads._1" hidden="1">{#N/A,#N/A,FALSE,"RENT ROLL";#N/A,#N/A,FALSE,"CAM";#N/A,#N/A,FALSE,"TAXES";#N/A,#N/A,FALSE,"INSURANCE";#N/A,#N/A,FALSE,"HVAC";#N/A,#N/A,FALSE,"MARKETING"}</definedName>
    <definedName name="wrn.CRT." hidden="1">{#N/A,#N/A,TRUE,"Title Sheet";#N/A,#N/A,TRUE,"Contents";#N/A,#N/A,TRUE,"Scenarios";#N/A,#N/A,TRUE,"WACC";#N/A,#N/A,TRUE,"Valuation-PERPETUITY";#N/A,#N/A,TRUE,"IS - Conso";#N/A,#N/A,TRUE,"IS - Conso (US$ '95)";#N/A,#N/A,TRUE,"Cash Flow - Conso";#N/A,#N/A,TRUE,"Cash Flow - Conso (US$'95)";#N/A,#N/A,TRUE,"BS - Conso";#N/A,#N/A,TRUE,"BS - Conso (US$'95)";#N/A,#N/A,TRUE,"Macro Assumptions";#N/A,#N/A,TRUE,"Supply assumptions";#N/A,#N/A,TRUE,"Tariffs-Elasticities (FIXED)";#N/A,#N/A,TRUE,"Fixed - Revenues";#N/A,#N/A,TRUE,"Cellular - Revenues";#N/A,#N/A,TRUE,"Fixed - OPEX";#N/A,#N/A,TRUE,"Cellular - OPEX";#N/A,#N/A,TRUE,"Fixed - CAPEX";#N/A,#N/A,TRUE," mobile - CAPEX ";#N/A,#N/A,TRUE,"Debt ";#N/A,#N/A,TRUE,"Taxes";#N/A,#N/A,TRUE,"Dividends";#N/A,#N/A,TRUE,"Net WC";#N/A,#N/A,TRUE,"Ratios";#N/A,#N/A,TRUE,"Ratios IS-Conso";#N/A,#N/A,TRUE,"Ratios BS - Conso";#N/A,#N/A,TRUE,"Proforma - Fixed";#N/A,#N/A,TRUE,"Proforma- Cellular"}</definedName>
    <definedName name="wrn.csc." hidden="1">{"orixcsc",#N/A,FALSE,"ORIX CSC";"orixcsc2",#N/A,FALSE,"ORIX CSC"}</definedName>
    <definedName name="wrn.csc2." hidden="1">{#N/A,#N/A,FALSE,"ORIX CSC"}</definedName>
    <definedName name="wrn.database." hidden="1">{"subs",#N/A,FALSE,"database ";"proportional",#N/A,FALSE,"database "}</definedName>
    <definedName name="wrn.dcf." hidden="1">{"mgmt forecast",#N/A,FALSE,"Mgmt Forecast";"dcf table",#N/A,FALSE,"Mgmt Forecast";"sensitivity",#N/A,FALSE,"Mgmt Forecast";"table inputs",#N/A,FALSE,"Mgmt Forecast";"calculations",#N/A,FALSE,"Mgmt Forecast"}</definedName>
    <definedName name="wrn.DCF._.Valuation." hidden="1">{"value box",#N/A,TRUE,"DPL Inc. Fin Statements";"unlevered free cash flows",#N/A,TRUE,"DPL Inc. Fin Statements"}</definedName>
    <definedName name="wrn.dcf._1" hidden="1">{"mgmt forecast",#N/A,FALSE,"Mgmt Forecast";"dcf table",#N/A,FALSE,"Mgmt Forecast";"sensitivity",#N/A,FALSE,"Mgmt Forecast";"table inputs",#N/A,FALSE,"Mgmt Forecast";"calculations",#N/A,FALSE,"Mgmt Forecast"}</definedName>
    <definedName name="wrn.dcf2." hidden="1">{"mgmt forecast",#N/A,FALSE,"Mgmt Forecast";"dcf table",#N/A,FALSE,"Mgmt Forecast";"sensitivity",#N/A,FALSE,"Mgmt Forecast";"table inputs",#N/A,FALSE,"Mgmt Forecast";"calculations",#N/A,FALSE,"Mgmt Forecast"}</definedName>
    <definedName name="wrn.DCFEpervier." hidden="1">{#N/A,#N/A,FALSE,"Inc. Statement-DCF";#N/A,#N/A,FALSE,"Assumptions";#N/A,#N/A,FALSE,"Inputs - Sales (KFF)";#N/A,#N/A,FALSE,"Inputs - Margins %";#N/A,#N/A,FALSE,"Inputs - Units";#N/A,#N/A,FALSE,"Output - Prices";#N/A,#N/A,FALSE,"Outputs - Margins (KFF)";#N/A,#N/A,FALSE,"Outputs - Costs";#N/A,#N/A,FALSE,"Outputs - Costs % ";#N/A,#N/A,FALSE,"Output - Units % Inc.";#N/A,#N/A,FALSE,"Output - Sales % Inc";#N/A,#N/A,FALSE,"Output - Prices % Inc.";#N/A,#N/A,FALSE,"WACC"}</definedName>
    <definedName name="wrn.Debt." hidden="1">{"debt summary",#N/A,FALSE,"Debt";"loan details",#N/A,FALSE,"Debt"}</definedName>
    <definedName name="wrn.Depreciation." hidden="1">{"GAAP Deprec",#N/A,TRUE,"Financials";"Tax Deprec",#N/A,TRUE,"Financials"}</definedName>
    <definedName name="wrn.Depreciation._1" hidden="1">{"GAAP Deprec",#N/A,TRUE,"Financials";"Tax Deprec",#N/A,TRUE,"Financials"}</definedName>
    <definedName name="wrn.detail." hidden="1">{#N/A,#N/A,FALSE,"TOTAL SSS";#N/A,#N/A,FALSE,"SES Y93";#N/A,#N/A,FALSE,"SES AW FEE";#N/A,#N/A,FALSE,"DSP BK14";#N/A,#N/A,FALSE,"DSP BK14 AW FEE";#N/A,#N/A,FALSE,"DSP BLK 14 FPLOE";#N/A,#N/A,FALSE,"DSP BLK 14 FPLOE";#N/A,#N/A,FALSE,"S14 DESGN";#N/A,#N/A,FALSE,"DSP BLK 18";#N/A,#N/A,FALSE,"DSP BLK 18 AW FEE";#N/A,#N/A,FALSE,"DSP BL18 FFP";#N/A,#N/A,FALSE,"DSP BLK18 CPAF";#N/A,#N/A,FALSE,"DSP BLK 23";#N/A,#N/A,FALSE,"DSP BLK 23 AW FEE";#N/A,#N/A,FALSE,"DSP 23 TERM";#N/A,#N/A,FALSE,"H2O DAMAGE";#N/A,#N/A,FALSE,"DSP ENG";#N/A,#N/A,FALSE,"SBIR";#N/A,#N/A,FALSE,"SBIR STUDY";#N/A,#N/A,FALSE,"CTPP";#N/A,#N/A,FALSE,"CTPP AW FEE";#N/A,#N/A,FALSE,"JTAGS";#N/A,#N/A,FALSE,"TSD";#N/A,#N/A,FALSE,"TSDE";#N/A,#N/A,FALSE,"SRSU";#N/A,#N/A,FALSE,"SRSU Spares";#N/A,#N/A,FALSE,"TSS";#N/A,#N/A,FALSE,"LVI";#N/A,#N/A,FALSE,"GS14";#N/A,#N/A,FALSE,"GS14 CPFF";#N/A,#N/A,FALSE,"GCO";#N/A,#N/A,FALSE,"GCO";#N/A,#N/A,FALSE,"PUP";#N/A,#N/A,FALSE,"CENTRAL FP";#N/A,#N/A,FALSE,"CENTRAL CPFF";#N/A,#N/A,FALSE,"CENTRAL TERM";#N/A,#N/A,FALSE,"WAM";#N/A,#N/A,FALSE,"SPIRIT III";#N/A,#N/A,FALSE,"LLUM";#N/A,#N/A,FALSE,"Mixed Signal";#N/A,#N/A,FALSE,"HGCDTE";#N/A,#N/A,FALSE,"CO INV";#N/A,#N/A,FALSE,"MISC"}</definedName>
    <definedName name="wrn.Detailed._.Package." hidden="1">{"Normal View",#N/A,TRUE,"Lead Schedule";"Profit and Loss account",#N/A,TRUE,"US Schedules";"Causal Schedule",#N/A,TRUE,"US Inputs";"Normal View",#N/A,TRUE,"Membership Summary";"Normal View",#N/A,TRUE,"Exchanges Summary";"Normal View",#N/A,TRUE,"Travel Summary";"Normal View",#N/A,TRUE,"Other Revenue Summary";"Normal View",#N/A,TRUE,"Year on Year Cost Summary";"Normal View",#N/A,TRUE,"Staff Costs Summary";"Normal View",#N/A,TRUE,"Cost Summary";"Normal View",#N/A,TRUE,"Fixed Costs";"Normal View",#N/A,TRUE,"Flexed Variable Costs";"Normal View",#N/A,TRUE,"Existing Discretionary";"Normal View",#N/A,TRUE,"Exst Discretionary Expln";"Normal View",#N/A,TRUE,"New Initiatives";"Normal View",#N/A,TRUE,"New Initiatives Expln";"Total Additions 1996",#N/A,TRUE,"Total Heads";#N/A,#N/A,TRUE,"Heads Justifications 96";"Total Additions 1997",#N/A,TRUE,"Total Heads";"Normal View",#N/A,TRUE,"Heads Justifications 97";"Capex by project",#N/A,TRUE,"Capex by Project";"Normal View",#N/A,TRUE,"Capex Justification";"Marketing Expenses",#N/A,TRUE,"US Inputs";"Normal View",#N/A,TRUE,"Prices input";"Normal View",#N/A,TRUE,"Cash Flow";"Normal View",#N/A,TRUE,"Balance Sheet Summary"}</definedName>
    <definedName name="wrn.detailed._.package.2" hidden="1">{"Normal View",#N/A,TRUE,"Lead Schedule";"Profit and Loss account",#N/A,TRUE,"US Schedules";"Causal Schedule",#N/A,TRUE,"US Inputs";"Normal View",#N/A,TRUE,"Membership Summary";"Normal View",#N/A,TRUE,"Exchanges Summary";"Normal View",#N/A,TRUE,"Travel Summary";"Normal View",#N/A,TRUE,"Other Revenue Summary";"Normal View",#N/A,TRUE,"Year on Year Cost Summary";"Normal View",#N/A,TRUE,"Staff Costs Summary";"Normal View",#N/A,TRUE,"Cost Summary";"Normal View",#N/A,TRUE,"Fixed Costs";"Normal View",#N/A,TRUE,"Flexed Variable Costs";"Normal View",#N/A,TRUE,"Existing Discretionary";"Normal View",#N/A,TRUE,"Exst Discretionary Expln";"Normal View",#N/A,TRUE,"New Initiatives";"Normal View",#N/A,TRUE,"New Initiatives Expln";"Total Additions 1996",#N/A,TRUE,"Total Heads";#N/A,#N/A,TRUE,"Heads Justifications 96";"Total Additions 1997",#N/A,TRUE,"Total Heads";"Normal View",#N/A,TRUE,"Heads Justifications 97";"Capex by project",#N/A,TRUE,"Capex by Project";"Normal View",#N/A,TRUE,"Capex Justification";"Marketing Expenses",#N/A,TRUE,"US Inputs";"Normal View",#N/A,TRUE,"Prices input";"Normal View",#N/A,TRUE,"Cash Flow";"Normal View",#N/A,TRUE,"Balance Sheet Summary"}</definedName>
    <definedName name="wrn.Detailed._.Profit._.and._.Loss." hidden="1">{#N/A,#N/A,FALSE,"P&amp;L CONSOLIDATED";#N/A,#N/A,FALSE,"Cyperus";#N/A,#N/A,FALSE,"ANP";#N/A,#N/A,FALSE,"PRNE CORE"}</definedName>
    <definedName name="wrn.devdeal." hidden="1">{"top",#N/A,TRUE,"Detail";"next",#N/A,TRUE,"Detail";"then",#N/A,TRUE,"Detail";"and",#N/A,TRUE,"Detail";"inaddition",#N/A,TRUE,"Detail";"finally",#N/A,TRUE,"Detail"}</definedName>
    <definedName name="wrn.Development._.Hours." hidden="1">{#N/A,#N/A,FALSE,"July 95";#N/A,#N/A,FALSE,"Aug 95";#N/A,#N/A,FALSE,"Sep 95";#N/A,#N/A,FALSE,"October 95"}</definedName>
    <definedName name="wrn.Development._.Hours._1" hidden="1">{#N/A,#N/A,FALSE,"July 95";#N/A,#N/A,FALSE,"Aug 95";#N/A,#N/A,FALSE,"Sep 95";#N/A,#N/A,FALSE,"October 95"}</definedName>
    <definedName name="wrn.div_bow." hidden="1">{"div_bow",#N/A,FALSE,"AMF"}</definedName>
    <definedName name="wrn.div_pls." hidden="1">{"div_pls",#N/A,FALSE,"PL"}</definedName>
    <definedName name="wrn.div_rtp." hidden="1">{"div_rtp",#N/A,FALSE,"PQ"}</definedName>
    <definedName name="wrn.divisões." hidden="1">{"divisões",#N/A,FALSE,"TOT"}</definedName>
    <definedName name="wrn.djall." hidden="1">{"djcash",#N/A,FALSE,"DJann";"djinc",#N/A,FALSE,"DJann";"djtaxes",#N/A,FALSE,"DJann";"djbuspub",#N/A,FALSE,"DJann";"djwall",#N/A,FALSE,"DJann";"djcompprs",#N/A,FALSE,"DJann";"djteler",#N/A,FALSE,"DJann"}</definedName>
    <definedName name="wrn.document." hidden="1">{"consolidated",#N/A,FALSE,"Sheet1";"cms",#N/A,FALSE,"Sheet1";"fse",#N/A,FALSE,"Sheet1"}</definedName>
    <definedName name="wrn.DOLS." hidden="1">{"PDS",#N/A,FALSE,"G&amp;A_TOT"}</definedName>
    <definedName name="wrn.DPI._.Summary." hidden="1">{#N/A,#N/A,TRUE,"Summary";#N/A,#N/A,TRUE,"Financials"}</definedName>
    <definedName name="wrn.Draft." hidden="1">{"Draft",#N/A,FALSE,"Feb-96"}</definedName>
    <definedName name="wrn.EAC._.Reports." hidden="1">{#N/A,#N/A,FALSE,"SUMMARY";#N/A,#N/A,FALSE,"EAC96PLA";#N/A,#N/A,FALSE,"EAC96EXT";#N/A,#N/A,FALSE,"FINSUM";#N/A,#N/A,FALSE,"1996PL";#N/A,#N/A,FALSE,"RISKOP3rd";#N/A,#N/A,FALSE,"RISKTOTAL";#N/A,#N/A,FALSE,"STAFFING";#N/A,#N/A,FALSE,"Balsht"}</definedName>
    <definedName name="wrn.ebitda." hidden="1">{#N/A,#N/A,FALSE,"2003_Input - P&amp;L"}</definedName>
    <definedName name="wrn.ebitda2" hidden="1">{#N/A,#N/A,FALSE,"2003_Input - P&amp;L"}</definedName>
    <definedName name="wrn.Economic._.Value._.Added._.Analysis." hidden="1">{"EVA",#N/A,FALSE,"EVA";"WACC",#N/A,FALSE,"WACC"}</definedName>
    <definedName name="wrn.ecpall." hidden="1">{"ecpcash",#N/A,FALSE,"ECPann";"ecpinc",#N/A,FALSE,"ECPann";"ecpindia",#N/A,FALSE,"ECPann";"ecpmun",#N/A,FALSE,"ECPann";"ecpphoenix",#N/A,FALSE,"ECPann";"ecpothe",#N/A,FALSE,"ECPann";"ecpbalsht",#N/A,FALSE,"ECPann"}</definedName>
    <definedName name="wrn.emea." hidden="1">{#N/A,#N/A,FALSE,"AR Summ.";#N/A,#N/A,FALSE,"Dec top 5 collects";#N/A,#N/A,FALSE,"Top 5 AR";#N/A,#N/A,FALSE,"Top 5&gt;90";#N/A,#N/A,FALSE,"AR Flow by Region";#N/A,#N/A,FALSE,"PrePays";#N/A,#N/A,FALSE,"Op&amp;Risk"}</definedName>
    <definedName name="wrn.Employee._.Efficiency." hidden="1">{"Employee Efficiency",#N/A,FALSE,"Benchmarking"}</definedName>
    <definedName name="wrn.Entire._.Model." hidden="1">{"Clothing PL",#N/A,FALSE,"H1H2";"Food PL",#N/A,FALSE,"H1H2";"Group PL",#N/A,FALSE,"H1H2";"Home Furnishings PL",#N/A,FALSE,"H1H2";"LFL assumptions",#N/A,FALSE,"H1H2";"Sales by division",#N/A,FALSE,"H1H2";"UK Retail PL",#N/A,FALSE,"H1H2"}</definedName>
    <definedName name="wrn.Europe."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verything."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verything._1"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x.._.A." hidden="1">{"Page 1",#N/A,TRUE,"Sheet1";"Page 2",#N/A,TRUE,"Sheet1"}</definedName>
    <definedName name="wrn.Ex.._.A._1" hidden="1">{"Page 1",#N/A,TRUE,"Sheet1";"Page 2",#N/A,TRUE,"Sheet1"}</definedName>
    <definedName name="wrn.exhibits." hidden="1">{#N/A,#N/A,FALSE,"Base";#N/A,#N/A,FALSE,"TAC";#N/A,#N/A,FALSE,"TDC";#N/A,#N/A,FALSE,"Base (2)";#N/A,#N/A,FALSE,"T-Bonus";#N/A,#N/A,FALSE,"T-Bonus (2)"}</definedName>
    <definedName name="wrn.FCB." hidden="1">{"FCB_ALL",#N/A,FALSE,"FCB"}</definedName>
    <definedName name="wrn.FCB._1" hidden="1">{"FCB_ALL",#N/A,FALSE,"FCB"}</definedName>
    <definedName name="wrn.fcb2" hidden="1">{"FCB_ALL",#N/A,FALSE,"FCB"}</definedName>
    <definedName name="wrn.fcb2_1" hidden="1">{"FCB_ALL",#N/A,FALSE,"FCB"}</definedName>
    <definedName name="wrn.fcopy2" hidden="1">{"WACC_filecopy",#N/A,FALSE,"Inputs";"Beta_filecopy",#N/A,FALSE,"Inputs";"SCF_filecopy",#N/A,FALSE,"Inputs";"ProBS_filecopy",#N/A,FALSE,"Inputs";"BS_filecopy",#N/A,FALSE,"Inputs";"ProIS_filecopy",#N/A,FALSE,"Inputs";"IS_filecopy",#N/A,FALSE,"Inputs"}</definedName>
    <definedName name="wrn.filecopy."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1." hidden="1">{"WACC_filecopy",#N/A,FALSE,"Inputs";"Beta_filecopy",#N/A,FALSE,"Inputs";"SCF_filecopy",#N/A,FALSE,"Inputs";"ProBS_filecopy",#N/A,FALSE,"Inputs";"BS_filecopy",#N/A,FALSE,"Inputs";"ProIS_filecopy",#N/A,FALSE,"Inputs";"IS_filecopy",#N/A,FALSE,"Inputs"}</definedName>
    <definedName name="wrn.filecopy2." hidden="1">{"WACC_filecopy",#N/A,FALSE,"Inputs";"Beta_filecopy",#N/A,FALSE,"Inputs";"SCF_filecopy",#N/A,FALSE,"Inputs";"ProBS_filecopy",#N/A,FALSE,"Inputs";"BS_filecopy",#N/A,FALSE,"Inputs";"ProIS_filecopy",#N/A,FALSE,"Inputs";"IS_filecopy",#N/A,FALSE,"Inputs"}</definedName>
    <definedName name="wrn.Filter." hidden="1">{#N/A,#N/A,FALSE,"Assump2";#N/A,#N/A,FALSE,"Income2";#N/A,#N/A,FALSE,"Balance2";#N/A,#N/A,FALSE,"DCF Filter";#N/A,#N/A,FALSE,"Trans Assump2";#N/A,#N/A,FALSE,"Combined Income2";#N/A,#N/A,FALSE,"Combined Balance2"}</definedName>
    <definedName name="wrn.FIN97." hidden="1">{#N/A,#N/A,FALSE,"FIN97 DETAIL"}</definedName>
    <definedName name="wrn.Final." hidden="1">{"Final",#N/A,FALSE,"Feb-96"}</definedName>
    <definedName name="wrn.FINALS." hidden="1">{"SUMM NO ADJ",#N/A,FALSE,"SUMM";"VENT NO ADJ",#N/A,FALSE,"VENT";"CAP NO ADJ",#N/A,FALSE,"CAP";"PSHIP COMMITS",#N/A,FALSE,"PSHP";"PSHIP NO ADJ",#N/A,FALSE,"PSHP";"VGI INT NO ADJ",#N/A,FALSE,"VGIN";"VGI EXT NO ADJ",#N/A,FALSE,"VGEX";"DIR COMMITS",#N/A,FALSE,"Commit";"DIRECT",#N/A,FALSE,"DIRECT"}</definedName>
    <definedName name="wrn.Financial._.Statements." hidden="1">{"Consolidated Balance Sheet",#N/A,FALSE,"Sheet2";"Consolidating Balance Sheet",#N/A,FALSE,"Sheet2";"Consolidated Income Statement",#N/A,FALSE,"Sheet2";"Consolidating Income Statement",#N/A,FALSE,"Sheet2";"Statement of Stockholders equity",#N/A,FALSE,"Sheet2"}</definedName>
    <definedName name="wrn.Financial._.Statements._.all._.detail." hidden="1">{#N/A,#N/A,TRUE,"P&amp;L CONSOLIDATED";#N/A,#N/A,TRUE,"Cyperus";#N/A,#N/A,TRUE,"ANP";#N/A,#N/A,TRUE,"South Africa";#N/A,#N/A,TRUE,"PRNE CORE";#N/A,#N/A,TRUE,"Targeting";#N/A,#N/A,TRUE,"Distribution";#N/A,#N/A,TRUE,"A - Disclose";#N/A,#N/A,TRUE,"B - Others";#N/A,#N/A,TRUE,"Measurement";#N/A,#N/A,TRUE,"OVERHEADS";#N/A,#N/A,TRUE,"Consolidated B Sheet";#N/A,#N/A,TRUE,"Consolidated Cashflow"}</definedName>
    <definedName name="wrn.Financials." hidden="1">{"Inc Stmt",#N/A,TRUE,"Financials";"Common Size",#N/A,TRUE,"Financials";"BS Assets",#N/A,TRUE,"Financials";"BS Liabilities",#N/A,TRUE,"Financials";"Cash Flow Stmt",#N/A,TRUE,"Financials";"DCF",#N/A,TRUE,"Financials"}</definedName>
    <definedName name="wrn.Financials._1" hidden="1">{"Inc Stmt",#N/A,TRUE,"Financials";"Common Size",#N/A,TRUE,"Financials";"BS Assets",#N/A,TRUE,"Financials";"BS Liabilities",#N/A,TRUE,"Financials";"Cash Flow Stmt",#N/A,TRUE,"Financials";"DCF",#N/A,TRUE,"Financials"}</definedName>
    <definedName name="wrn.FINAUTOREPS." hidden="1">{#N/A,#N/A,FALSE,"5100";#N/A,#N/A,FALSE,"5115";#N/A,#N/A,FALSE,"5121";#N/A,#N/A,FALSE,"GPHM";#N/A,#N/A,FALSE,"GPHY"}</definedName>
    <definedName name="wrn.first2." hidden="1">{#N/A,#N/A,FALSE,"sum-don";#N/A,#N/A,FALSE,"inc-don"}</definedName>
    <definedName name="wrn.first3." hidden="1">{#N/A,#N/A,FALSE,"Summary";#N/A,#N/A,FALSE,"proj1";#N/A,#N/A,FALSE,"proj2"}</definedName>
    <definedName name="wrn.first4." hidden="1">{#N/A,#N/A,FALSE,"Summary";#N/A,#N/A,FALSE,"proj1";#N/A,#N/A,FALSE,"proj2";#N/A,#N/A,FALSE,"DCF"}</definedName>
    <definedName name="wrn.forecast." hidden="1">{#N/A,#N/A,FALSE,"model"}</definedName>
    <definedName name="wrn.forecast2" hidden="1">{#N/A,#N/A,FALSE,"model"}</definedName>
    <definedName name="wrn.forecast2qf." hidden="1">{#N/A,#N/A,FALSE,"REV 110 PRNE (Bureau-Frankfurt)";#N/A,#N/A,FALSE,"REV 120 PRNE (Bureau - Paris)"}</definedName>
    <definedName name="wrn.forecastassumptions." hidden="1">{#N/A,#N/A,FALSE,"model"}</definedName>
    <definedName name="wrn.forecastassumptions2" hidden="1">{#N/A,#N/A,FALSE,"model"}</definedName>
    <definedName name="wrn.forecastROIC." hidden="1">{#N/A,#N/A,FALSE,"model"}</definedName>
    <definedName name="wrn.forecastROIC2" hidden="1">{#N/A,#N/A,FALSE,"model"}</definedName>
    <definedName name="wrn.Full." hidden="1">{"Summary",#N/A,TRUE,"Sheet1";"Returns",#N/A,TRUE,"Sheet1";"IS",#N/A,TRUE,"Sheet1";"BS",#N/A,TRUE,"Sheet1";"CF",#N/A,TRUE,"Sheet1";"Cover6",#N/A,TRUE,"Sheet1";"WC7",#N/A,TRUE,"Sheet1";"Debt8",#N/A,TRUE,"Sheet1";"Tax9",#N/A,TRUE,"Sheet1"}</definedName>
    <definedName name="wrn.Full._.Model." hidden="1">{"P&amp;L",#N/A,FALSE,"P&amp;LPlan";"Cashflow",#N/A,FALSE,"Cash Flow";"Bal Sht",#N/A,FALSE,"Bal Sht";"Revenue",#N/A,FALSE,"Revenue";"Capital",#N/A,FALSE,"Capital";"Assumptions",#N/A,FALSE,"Assumptions";"G&amp;A",#N/A,FALSE,"G&amp;A";"Sales",#N/A,FALSE,"Sales";"Mktg",#N/A,FALSE,"Mktg";"R&amp;D",#N/A,FALSE,"R&amp;D";"Ttl Svc Cost",#N/A,FALSE,"TotalSvcCost";"Tech Sppt",#N/A,FALSE,"Tech Support";"Consulting",#N/A,FALSE,"Consulting";"Training",#N/A,FALSE,"Training"}</definedName>
    <definedName name="wrn.Full._.Model._1" hidden="1">{"P&amp;L",#N/A,FALSE,"P&amp;LPlan";"Cashflow",#N/A,FALSE,"Cash Flow";"Bal Sht",#N/A,FALSE,"Bal Sht";"Revenue",#N/A,FALSE,"Revenue";"Capital",#N/A,FALSE,"Capital";"Assumptions",#N/A,FALSE,"Assumptions";"G&amp;A",#N/A,FALSE,"G&amp;A";"Sales",#N/A,FALSE,"Sales";"Mktg",#N/A,FALSE,"Mktg";"R&amp;D",#N/A,FALSE,"R&amp;D";"Ttl Svc Cost",#N/A,FALSE,"TotalSvcCost";"Tech Sppt",#N/A,FALSE,"Tech Support";"Consulting",#N/A,FALSE,"Consulting";"Training",#N/A,FALSE,"Training"}</definedName>
    <definedName name="wrn.full._.report."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without._.data." hidden="1">{#N/A,#N/A,FALSE,"Title";#N/A,#N/A,FALSE,"Contents";#N/A,#N/A,FALSE,"Executive summary";#N/A,#N/A,FALSE,"Assumptions";#N/A,#N/A,FALSE,"Nybron";#N/A,#N/A,FALSE,"Trading Nybron";#N/A,#N/A,FALSE,"Transactions Nybron";#N/A,#N/A,FALSE,"DCF Nybron";#N/A,#N/A,FALSE,"Poggenpohl";#N/A,#N/A,FALSE,"Trading Poggenpohl";#N/A,#N/A,FALSE,"Transactions Poggenpohl";#N/A,#N/A,FALSE,"DCF Poggenpohl";#N/A,#N/A,FALSE,"Elit";#N/A,#N/A,FALSE,"DCF Elit";#N/A,#N/A,FALSE,"LBO"}</definedName>
    <definedName name="wrn.Full._.Workbook._.Report." hidden="1">{"Balance Sheet Summary",#N/A,TRUE,"Balance Sheet";"Cash Flow Summary",#N/A,TRUE,"Cash Flow";"Capital Plan CA Schedule",#N/A,TRUE,"Capital Plan";"Capital Plan Summary",#N/A,TRUE,"Capital Plan"}</definedName>
    <definedName name="wrn.FY96sbp99" hidden="1">{#N/A,#N/A,FALSE,"FY97";#N/A,#N/A,FALSE,"FY98";#N/A,#N/A,FALSE,"FY99";#N/A,#N/A,FALSE,"FY00";#N/A,#N/A,FALSE,"FY01"}</definedName>
    <definedName name="wrn.FY97SBP." hidden="1">{#N/A,#N/A,FALSE,"FY97";#N/A,#N/A,FALSE,"FY98";#N/A,#N/A,FALSE,"FY99";#N/A,#N/A,FALSE,"FY00";#N/A,#N/A,FALSE,"FY01"}</definedName>
    <definedName name="wrn.FY97SBP2" hidden="1">{#N/A,#N/A,FALSE,"FY97";#N/A,#N/A,FALSE,"FY98";#N/A,#N/A,FALSE,"FY99";#N/A,#N/A,FALSE,"FY00";#N/A,#N/A,FALSE,"FY01"}</definedName>
    <definedName name="wrn.GCIall." hidden="1">{"gcicash",#N/A,FALSE,"GCIINC";"gciinc",#N/A,FALSE,"GCIINC";"gciexclusa",#N/A,FALSE,"GCIINC";"usatdy",#N/A,FALSE,"GCIINC"}</definedName>
    <definedName name="wrn.GGR._.Network._.Exhibit." hidden="1">{"Network Summary",#N/A,TRUE,"Summary";"Piping Summary",#N/A,TRUE," Piping";"Meters Summary",#N/A,TRUE,"Meters &amp; Connections";"Connections Summary",#N/A,TRUE,"Meters &amp; Connections";"Stations Summary",#N/A,TRUE,"Stations Pivot"}</definedName>
    <definedName name="wrn.GIS." hidden="1">{#N/A,#N/A,FALSE,"GIS"}</definedName>
    <definedName name="wrn.GIS._1" hidden="1">{#N/A,#N/A,FALSE,"GIS"}</definedName>
    <definedName name="wrn.GRAPHS." hidden="1">{#N/A,#N/A,FALSE,"ACQ_GRAPHS";#N/A,#N/A,FALSE,"T_1 GRAPHS";#N/A,#N/A,FALSE,"T_2 GRAPHS";#N/A,#N/A,FALSE,"COMB_GRAPHS"}</definedName>
    <definedName name="wrn.GRAPHS._1" hidden="1">{#N/A,#N/A,FALSE,"ACQ_GRAPHS";#N/A,#N/A,FALSE,"T_1 GRAPHS";#N/A,#N/A,FALSE,"T_2 GRAPHS";#N/A,#N/A,FALSE,"COMB_GRAPHS"}</definedName>
    <definedName name="wrn.HEAT." hidden="1">{#N/A,#N/A,FALSE,"Heat";#N/A,#N/A,FALSE,"DCF";#N/A,#N/A,FALSE,"LBO";#N/A,#N/A,FALSE,"A";#N/A,#N/A,FALSE,"C";#N/A,#N/A,FALSE,"impd";#N/A,#N/A,FALSE,"Accr-Dilu"}</definedName>
    <definedName name="wrn.HIG." hidden="1">{#N/A,#N/A,FALSE,"Cover";"bs",#N/A,FALSE,"Final_Reports";"soo",#N/A,FALSE,"Final_Reports";"socf",#N/A,FALSE,"Final_Reports";"sose",#N/A,FALSE,"Final_Reports";"bs_by_month",#N/A,FALSE,"Final_Reports";"soo_by_month",#N/A,FALSE,"Final_Reports";"socf_by_month",#N/A,FALSE,"Final_Reports";#N/A,#N/A,FALSE,"Variance";"kpi",#N/A,FALSE,"KPI"}</definedName>
    <definedName name="wrn.history." hidden="1">{#N/A,#N/A,FALSE,"model"}</definedName>
    <definedName name="wrn.history2" hidden="1">{#N/A,#N/A,FALSE,"model"}</definedName>
    <definedName name="wrn.histROIC." hidden="1">{#N/A,#N/A,FALSE,"model"}</definedName>
    <definedName name="wrn.histROIC2" hidden="1">{#N/A,#N/A,FALSE,"model"}</definedName>
    <definedName name="wrn.HNZ." hidden="1">{#N/A,#N/A,FALSE,"HNZ"}</definedName>
    <definedName name="wrn.HNZ._1" hidden="1">{#N/A,#N/A,FALSE,"HNZ"}</definedName>
    <definedName name="wrn.Hydraulic."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2." hidden="1">{#N/A,#N/A,FALSE,"HuscoCombined-Summ";#N/A,#N/A,FALSE,"HuscoCombined-Income";#N/A,#N/A,FALSE,"HuscoCombined-Offering";#N/A,#N/A,FALSE,"Husco-Income";#N/A,#N/A,FALSE,"TargetEngineer";#N/A,#N/A,FALSE,"TargetAcqCalc";#N/A,#N/A,FALSE,"Husco-Acq"}</definedName>
    <definedName name="wrn.IB." hidden="1">{#N/A,#N/A,FALSE,"IB Totgeo Q1-Q4 ";#N/A,#N/A,FALSE,"IB AEME";#N/A,#N/A,FALSE,"IB West";#N/A,#N/A,FALSE,"IB Central";#N/A,#N/A,FALSE,"IB South ";#N/A,#N/A,FALSE,"IB North";#N/A,#N/A,FALSE,"IB Reg Tot ";#N/A,#N/A,FALSE,"IB Reg Tot graph"}</definedName>
    <definedName name="wrn.IDPH." hidden="1">{"Rituxan Revenues",#N/A,FALSE,"B cell Revenues";"QEarn1",#N/A,FALSE,"Qearn";"QEarn2",#N/A,FALSE,"Qearn";"QMargin",#N/A,FALSE,"qmargin";"Cashflow",#N/A,FALSE,"cashflow";"Product Pipeline",#N/A,FALSE,"Product Pipeline"}</definedName>
    <definedName name="wrn.Ilijan._.Print." hidden="1">{#N/A,#N/A,TRUE,"CoverLetter";#N/A,#N/A,TRUE,"Scope";#N/A,#N/A,TRUE,"Table of Contents";#N/A,#N/A,TRUE,"Summary";#N/A,#N/A,TRUE,"Assumptions";#N/A,#N/A,TRUE,"OrgChart";#N/A,#N/A,TRUE,"Schedule";#N/A,#N/A,TRUE,"Mob";#N/A,#N/A,TRUE,"Spares";#N/A,#N/A,TRUE,"MobStaff";#N/A,#N/A,TRUE,"Training";#N/A,#N/A,TRUE,"MobBackup";#N/A,#N/A,TRUE,"ComOps";#N/A,#N/A,TRUE,"Staff_Yrs1,3";#N/A,#N/A,TRUE,"Staff_Yrs4,5";#N/A,#N/A,TRUE,"Staff_Yrs6+";#N/A,#N/A,TRUE,"ExpatBenefits";#N/A,#N/A,TRUE,"ContractStaff";#N/A,#N/A,TRUE,"CommOpnsBackup";#N/A,#N/A,TRUE,"MR";#N/A,#N/A,TRUE,"CTG L&amp;E";#N/A,#N/A,TRUE,"STG L&amp;E";#N/A,#N/A,TRUE,"Rotation";#N/A,#N/A,TRUE,"AvailModl";#N/A,#N/A,TRUE,"Data";#N/A,#N/A,TRUE,"Comparisons";#N/A,#N/A,TRUE,"ScopeSplit"}</definedName>
    <definedName name="wrn.ilya." hidden="1">{#N/A,#N/A,TRUE,"Staff cost as % of revenue";#N/A,#N/A,TRUE,"Depreciation as % of sales";#N/A,#N/A,TRUE,"Employee cost";#N/A,#N/A,TRUE,"Traffic per line";#N/A,#N/A,TRUE,"Lines per employee"}</definedName>
    <definedName name="wrn.ilya1." hidden="1">{#N/A,#N/A,TRUE,"Staff cost as % of revenue";#N/A,#N/A,TRUE,"Depreciation as % of sales";#N/A,#N/A,TRUE,"Employee cost";#N/A,#N/A,TRUE,"Traffic per line";#N/A,#N/A,TRUE,"Lines per employee"}</definedName>
    <definedName name="wrn.Import._.figures." hidden="1">{"reports",#N/A,FALSE,"Balance Sheet"}</definedName>
    <definedName name="wrn.Income._.Detail." hidden="1">{#N/A,#N/A,FALSE,"Income";#N/A,#N/A,FALSE,"Cost of Goods Sold";#N/A,#N/A,FALSE,"Other Costs";#N/A,#N/A,FALSE,"Other Income";#N/A,#N/A,FALSE,"Taxes";#N/A,#N/A,FALSE,"Other Deductions";#N/A,#N/A,FALSE,"Compensation of Officers"}</definedName>
    <definedName name="wrn.INCOME._.STATEMENT." hidden="1">{"INCOME STATEMENT",#N/A,FALSE,"Income Statement"}</definedName>
    <definedName name="wrn.Informes." hidden="1">{#N/A,#N/A,FALSE,"CN Oficial RESUMIDA EXCanon";#N/A,#N/A,FALSE,"CN Oficial";#N/A,#N/A,FALSE,"CA Oficial";#N/A,#N/A,FALSE,"PLANTILLA";#N/A,#N/A,FALSE,"BAL";#N/A,#N/A,FALSE,"PT_Finanzas";#N/A,#N/A,FALSE,"INVERSIONES BIEN"}</definedName>
    <definedName name="wrn.ING." hidden="1">{"bs-ING",#N/A,FALSE,"ING Reports";"soo-ING",#N/A,FALSE,"ING Reports";"socf-ING",#N/A,FALSE,"ING Reports"}</definedName>
    <definedName name="wrn.Input._.Print._.Area." hidden="1">{#N/A,#N/A,FALSE,"inputs";#N/A,#N/A,FALSE,"inputs"}</definedName>
    <definedName name="wrn.Inputs." hidden="1">{#N/A,#N/A,FALSE,"Inputs";#N/A,#N/A,FALSE,"Mkt";#N/A,#N/A,FALSE,"Rev";#N/A,#N/A,FALSE,"Costs"}</definedName>
    <definedName name="wrn.INTERNAL._.REPORTS." hidden="1">{"capex",#N/A,FALSE,"CAPEX RECAP";"asset disposals",#N/A,FALSE,"ASSET DISPOSITIONS";#N/A,#N/A,FALSE,"G&amp;A by Month";#N/A,#N/A,FALSE,"G&amp;A Compare";#N/A,#N/A,FALSE,"G&amp;A Month Only Compare"}</definedName>
    <definedName name="wrn.international." hidden="1">{"sweden",#N/A,FALSE,"Sweden";"germany",#N/A,FALSE,"Germany";"portugal",#N/A,FALSE,"Portugal";"belgium",#N/A,FALSE,"Belgium";"japan",#N/A,FALSE,"Japan ";"italy",#N/A,FALSE,"Italy";"spain",#N/A,FALSE,"Spain";"korea",#N/A,FALSE,"Korea"}</definedName>
    <definedName name="wrn.Investment._.Summary." hidden="1">{#N/A,#N/A,TRUE,"Summary";#N/A,#N/A,TRUE,"Financials";#N/A,#N/A,TRUE,"Assumptions";#N/A,#N/A,TRUE,"Pro Forma";#N/A,#N/A,TRUE,"Debt";#N/A,#N/A,TRUE,"Amortization";#N/A,#N/A,TRUE,"GG Returns"}</definedName>
    <definedName name="wrn.IPO._.Valuation." hidden="1">{"assumptions",#N/A,FALSE,"Scenario 1";"valuation",#N/A,FALSE,"Scenario 1"}</definedName>
    <definedName name="wrn.IPO._.Valuation._1" hidden="1">{"assumptions",#N/A,FALSE,"Scenario 1";"valuation",#N/A,FALSE,"Scenario 1"}</definedName>
    <definedName name="wrn.ipovalue." hidden="1">{#N/A,#N/A,FALSE,"puboff";#N/A,#N/A,FALSE,"valuation";#N/A,#N/A,FALSE,"finanalsis";#N/A,#N/A,FALSE,"split";#N/A,#N/A,FALSE,"ownership"}</definedName>
    <definedName name="wrn.ISCG._.model." hidden="1">{#N/A,#N/A,FALSE,"Second";#N/A,#N/A,FALSE,"ownership";#N/A,#N/A,FALSE,"Valuation";#N/A,#N/A,FALSE,"Eqiv";#N/A,#N/A,FALSE,"Mults";#N/A,#N/A,FALSE,"ISCG Graphics"}</definedName>
    <definedName name="wrn.jerrys_copy." hidden="1">{#N/A,#N/A,FALSE,"Cover_Page";#N/A,#N/A,FALSE,"Balance Sheet FY12";#N/A,#N/A,FALSE,"Debt Covenants_US Bank";#N/A,#N/A,FALSE,"Debt Covenants_Bank of Amercia";#N/A,#N/A,FALSE,"Con Bal_Sheet";#N/A,#N/A,FALSE,"Balance Sheet FY11";#N/A,#N/A,FALSE,"Consolidated-Cash Flow";#N/A,#N/A,FALSE,"CY_Per Inc FY12";#N/A,#N/A,FALSE,"Income FY12";#N/A,#N/A,FALSE,"Con Inc_Stmt CY";#N/A,#N/A,FALSE,"I_S Summary";#N/A,#N/A,FALSE,"Consolidated";#N/A,#N/A,FALSE,"WD";#N/A,#N/A,FALSE,"Pace";#N/A,#N/A,FALSE,"Pace Elim";#N/A,#N/A,FALSE,"WA";#N/A,#N/A,FALSE,"WA Elim";#N/A,#N/A,FALSE,"Cr Memo_Reclass";#N/A,#N/A,FALSE,"Notes"}</definedName>
    <definedName name="wrn.K." hidden="1">{#N/A,#N/A,FALSE,"K"}</definedName>
    <definedName name="wrn.K._1" hidden="1">{#N/A,#N/A,FALSE,"K"}</definedName>
    <definedName name="wrn.K3._.Annual." hidden="1">{"K3Cash",#N/A,FALSE,"Ann";"K3Income",#N/A,FALSE,"Ann";"K3Educ",#N/A,FALSE,"Ann";"K3media",#N/A,FALSE,"Ann";"K3Info",#N/A,FALSE,"Ann";"K3Valuation",#N/A,FALSE,"Ann"}</definedName>
    <definedName name="wrn.K3._.Quarterly." hidden="1">{"K3 first",#N/A,FALSE,"Qtr.";"K3 second",#N/A,FALSE,"Qtr.";"K3 Third",#N/A,FALSE,"Qtr.";"K3 Fourth",#N/A,FALSE,"Qtr.";"K3 Full",#N/A,FALSE,"Qtr."}</definedName>
    <definedName name="wrn.kriall." hidden="1">{"kricash",#N/A,FALSE,"INC";"kriinc",#N/A,FALSE,"INC";"krimiami",#N/A,FALSE,"INC";"kriother",#N/A,FALSE,"INC";"kripapers",#N/A,FALSE,"INC"}</definedName>
    <definedName name="wrn.LBO._.Summary." hidden="1">{"LBO Summary",#N/A,FALSE,"Summary"}</definedName>
    <definedName name="wrn.LBO._.Summary._1" hidden="1">{"LBO Summary",#N/A,FALSE,"Summary"}</definedName>
    <definedName name="wrn.legal." hidden="1">{"long",#N/A,FALSE,"ESC"}</definedName>
    <definedName name="wrn.Line._.Efficiency." hidden="1">{"Line Efficiency",#N/A,FALSE,"Benchmarking"}</definedName>
    <definedName name="wrn.Maine." hidden="1">{"Assumptions",#N/A,TRUE,"Assumptions";"Income",#N/A,TRUE,"Income";"Balance",#N/A,TRUE,"Balance"}</definedName>
    <definedName name="wrn.Maine2."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son._.Deliverables." hidden="1">{#N/A,#N/A,FALSE,"Data &amp; Key Results";#N/A,#N/A,FALSE,"Summary Template";#N/A,#N/A,FALSE,"Budget";#N/A,#N/A,FALSE,"Present Value Comparison";#N/A,#N/A,FALSE,"Cashflow";#N/A,#N/A,FALSE,"Income";#N/A,#N/A,FALSE,"Inputs"}</definedName>
    <definedName name="wrn.MAY95." hidden="1">{#N/A,#N/A,FALSE,"MAY";#N/A,#N/A,FALSE,"Q2";#N/A,#N/A,FALSE,"YTD"}</definedName>
    <definedName name="wrn.may959" hidden="1">{#N/A,#N/A,FALSE,"MAY";#N/A,#N/A,FALSE,"Q2";#N/A,#N/A,FALSE,"YTD"}</definedName>
    <definedName name="wrn.MCCRK." hidden="1">{#N/A,#N/A,FALSE,"MCCRK"}</definedName>
    <definedName name="wrn.MCCRK._1" hidden="1">{#N/A,#N/A,FALSE,"MCCRK"}</definedName>
    <definedName name="wrn.MEDI." hidden="1">{"Revenues",#N/A,FALSE,"Revenues";"QEarn1",#N/A,FALSE,"Qearn";"QEarn2",#N/A,FALSE,"Qearn";"QMargin",#N/A,FALSE,"Qmargin";"Cashflow",#N/A,FALSE,"Cashflow";"Product Pipeline",#N/A,FALSE,"Product Pipeline";"First Call Tables",#N/A,FALSE,"First Call Tables";"Comment P&amp;L",#N/A,FALSE,"Comment P&amp;L"}</definedName>
    <definedName name="wrn.merge." hidden="1">{#N/A,#N/A,FALSE,"IPO";#N/A,#N/A,FALSE,"DCF";#N/A,#N/A,FALSE,"LBO";#N/A,#N/A,FALSE,"MULT_VAL";#N/A,#N/A,FALSE,"Status Quo";#N/A,#N/A,FALSE,"Recap"}</definedName>
    <definedName name="wrn.MergerModel." hidden="1">{"Deal",#N/A,FALSE,"Deal";"acquiror",#N/A,FALSE,"Acquiror";"Target",#N/A,FALSE,"Target"}</definedName>
    <definedName name="wrn.mhpall." hidden="1">{"mhpcash",#N/A,FALSE,"MHPNEWX";"mhpinc",#N/A,FALSE,"MHPNEWX";"mhptax",#N/A,FALSE,"MHPNEWX";"mhpbroad",#N/A,FALSE,"MHPNEWX";"mhpeduc",#N/A,FALSE,"MHPNEWX";"mhpfin",#N/A,FALSE,"MHPNEWX";"mhpinfo",#N/A,FALSE,"MHPNEWX"}</definedName>
    <definedName name="wrn.mikes_copy." hidden="1">{#N/A,#N/A,FALSE,"Cover_Page";#N/A,#N/A,FALSE,"Balance Sheet FY12";#N/A,#N/A,FALSE,"Balance Sheet FY11";#N/A,#N/A,FALSE,"Debt Covenants_US Bank_Cons";#N/A,#N/A,FALSE,"Debt Covenants_BofA_Cons";#N/A,#N/A,FALSE,"Consolidated-Cash Flow";#N/A,#N/A,FALSE,"CY_Per Inc FY12";#N/A,#N/A,FALSE,"Income FY12";#N/A,#N/A,FALSE,"Con Bal_Sheet";#N/A,#N/A,FALSE,"Con Inc_Stmt CY";#N/A,#N/A,FALSE,"Con Inc_Stmt BD";#N/A,#N/A,FALSE,"Con Inc_Stmt PY";#N/A,#N/A,FALSE,"I_S Summary";#N/A,#N/A,FALSE,"Consolidated";#N/A,#N/A,FALSE,"WD";#N/A,#N/A,FALSE,"Pace";#N/A,#N/A,FALSE,"Pace Elim";#N/A,#N/A,FALSE,"WA";#N/A,#N/A,FALSE,"WA Elim";#N/A,#N/A,FALSE,"Cr Memo_Reclass"}</definedName>
    <definedName name="wrn.MK._.TO._.MKT." hidden="1">{"SUMM",#N/A,FALSE,"SUMM";"VENT",#N/A,FALSE,"VENT";"CAP",#N/A,FALSE,"CAP";"PSHIP COMMITS",#N/A,FALSE,"PSHP";"PSHIP",#N/A,FALSE,"PSHP";"VGI INT",#N/A,FALSE,"VGIN";"VGI EXT",#N/A,FALSE,"VGEX"}</definedName>
    <definedName name="wrn.model." hidden="1">{"page1",#N/A,FALSE,"GIRLBO";"page2",#N/A,FALSE,"GIRLBO";"page3",#N/A,FALSE,"GIRLBO";"page4",#N/A,FALSE,"GIRLBO";"page5",#N/A,FALSE,"GIRLBO"}</definedName>
    <definedName name="wrn.Monthly._.Act._.P_L." hidden="1">{"Monthly",#N/A,FALSE,"1.2"}</definedName>
    <definedName name="wrn.Monthly._.Act._.P_L._1" hidden="1">{"Monthly",#N/A,FALSE,"1.2"}</definedName>
    <definedName name="wrn.Mor._.Pack._.January." hidden="1">{#N/A,#N/A,FALSE,"Contents";"Jan 96",#N/A,FALSE,"1.1";#N/A,#N/A,FALSE,"1.2";#N/A,#N/A,FALSE,"1.3";#N/A,#N/A,FALSE,"1.4";#N/A,#N/A,FALSE,"2.0";#N/A,#N/A,FALSE,"3.1";#N/A,#N/A,FALSE,"3.2";#N/A,#N/A,FALSE,"4.1";#N/A,#N/A,FALSE,"4.2";#N/A,#N/A,FALSE,"5.1";#N/A,#N/A,FALSE,"5.2";#N/A,#N/A,FALSE,"5.3";#N/A,#N/A,FALSE,"6.1";#N/A,#N/A,FALSE,"6.2";#N/A,#N/A,FALSE,"7.0";#N/A,#N/A,FALSE,"8.0"}</definedName>
    <definedName name="wrn.Mor._.Pack._.January._1" hidden="1">{#N/A,#N/A,FALSE,"Contents";"Jan 96",#N/A,FALSE,"1.1";#N/A,#N/A,FALSE,"1.2";#N/A,#N/A,FALSE,"1.3";#N/A,#N/A,FALSE,"1.4";#N/A,#N/A,FALSE,"2.0";#N/A,#N/A,FALSE,"3.1";#N/A,#N/A,FALSE,"3.2";#N/A,#N/A,FALSE,"4.1";#N/A,#N/A,FALSE,"4.2";#N/A,#N/A,FALSE,"5.1";#N/A,#N/A,FALSE,"5.2";#N/A,#N/A,FALSE,"5.3";#N/A,#N/A,FALSE,"6.1";#N/A,#N/A,FALSE,"6.2";#N/A,#N/A,FALSE,"7.0";#N/A,#N/A,FALSE,"8.0"}</definedName>
    <definedName name="wrn.Mpc._.Actual._.por._.Mes." hidden="1">{"MPCROS",#N/A,FALSE,"ROS";"MPCOFF",#N/A,FALSE,"OFF";"MPCBEA",#N/A,FALSE,"BEA";"MPCCOF",#N/A,FALSE,"COF";"MPCTEL",#N/A,FALSE,"TEL";"MPCCON",#N/A,FALSE,"CON";"MPCINT",#N/A,FALSE,"INT"}</definedName>
    <definedName name="wrn.MRP._.Pack._.excl._.cash." hidden="1">{#N/A,#N/A,FALSE,"Header";#N/A,#N/A,FALSE,"Group Statement";#N/A,#N/A,FALSE,"Tog Report";#N/A,#N/A,FALSE,"Togethr Comments";#N/A,#N/A,FALSE,"Customer Admin Report";#N/A,#N/A,FALSE,"Insure Report";#N/A,#N/A,FALSE,"Insure Comments";#N/A,#N/A,FALSE,"XCS Report";#N/A,#N/A,FALSE,"XCS Comments";#N/A,#N/A,FALSE,"Proc Report";#N/A,#N/A,FALSE,"Proc Comments";#N/A,#N/A,FALSE,"New Entity (0502) Report";#N/A,#N/A,FALSE,"Bus Serv &amp; Invest "}</definedName>
    <definedName name="wrn.MRP._.Pack._.excl._.cash._1" hidden="1">{#N/A,#N/A,FALSE,"Header";#N/A,#N/A,FALSE,"Group Statement";#N/A,#N/A,FALSE,"Tog Report";#N/A,#N/A,FALSE,"Togethr Comments";#N/A,#N/A,FALSE,"Customer Admin Report";#N/A,#N/A,FALSE,"Insure Report";#N/A,#N/A,FALSE,"Insure Comments";#N/A,#N/A,FALSE,"XCS Report";#N/A,#N/A,FALSE,"XCS Comments";#N/A,#N/A,FALSE,"Proc Report";#N/A,#N/A,FALSE,"Proc Comments";#N/A,#N/A,FALSE,"New Entity (0502) Report";#N/A,#N/A,FALSE,"Bus Serv &amp; Invest "}</definedName>
    <definedName name="wrn.MRP._.Pack._.excl._.commentary." hidden="1">{#N/A,#N/A,FALSE,"Header";#N/A,#N/A,FALSE,"Group Statement";#N/A,#N/A,FALSE,"Group P&amp;L Analysis";#N/A,#N/A,FALSE,"Tog Report";#N/A,#N/A,FALSE,"Customer Admin Report";#N/A,#N/A,FALSE,"Insure Report";#N/A,#N/A,FALSE,"XCS Report";#N/A,#N/A,FALSE,"Proc Report";#N/A,#N/A,FALSE,"New Entity (0502) Report";#N/A,#N/A,FALSE,"Bus Serv &amp; Invest ";#N/A,#N/A,FALSE,"Cash Flow"}</definedName>
    <definedName name="wrn.MRP._.Pack._.excl._.commentary._1" hidden="1">{#N/A,#N/A,FALSE,"Header";#N/A,#N/A,FALSE,"Group Statement";#N/A,#N/A,FALSE,"Group P&amp;L Analysis";#N/A,#N/A,FALSE,"Tog Report";#N/A,#N/A,FALSE,"Customer Admin Report";#N/A,#N/A,FALSE,"Insure Report";#N/A,#N/A,FALSE,"XCS Report";#N/A,#N/A,FALSE,"Proc Report";#N/A,#N/A,FALSE,"New Entity (0502) Report";#N/A,#N/A,FALSE,"Bus Serv &amp; Invest ";#N/A,#N/A,FALSE,"Cash Flow"}</definedName>
    <definedName name="wrn.MRP._.Pack._.inc._.commentary." hidden="1">{#N/A,#N/A,FALSE,"Header";#N/A,#N/A,FALSE,"Group Statement";#N/A,#N/A,FALSE,"Tog Report";#N/A,#N/A,FALSE,"Togethr Comments";#N/A,#N/A,FALSE,"Customer Admin Report";#N/A,#N/A,FALSE,"Insure Report";#N/A,#N/A,FALSE,"Insure Comments";#N/A,#N/A,FALSE,"XCS Report";#N/A,#N/A,FALSE,"XCS Comments";#N/A,#N/A,FALSE,"Proc Report";#N/A,#N/A,FALSE,"Proc Comments";#N/A,#N/A,FALSE,"New Entity (0502) Report";#N/A,#N/A,FALSE,"Bus Serv &amp; Invest ";#N/A,#N/A,FALSE,"Cash Flow"}</definedName>
    <definedName name="wrn.MRP._.Pack._.inc._.commentary._1" hidden="1">{#N/A,#N/A,FALSE,"Header";#N/A,#N/A,FALSE,"Group Statement";#N/A,#N/A,FALSE,"Tog Report";#N/A,#N/A,FALSE,"Togethr Comments";#N/A,#N/A,FALSE,"Customer Admin Report";#N/A,#N/A,FALSE,"Insure Report";#N/A,#N/A,FALSE,"Insure Comments";#N/A,#N/A,FALSE,"XCS Report";#N/A,#N/A,FALSE,"XCS Comments";#N/A,#N/A,FALSE,"Proc Report";#N/A,#N/A,FALSE,"Proc Comments";#N/A,#N/A,FALSE,"New Entity (0502) Report";#N/A,#N/A,FALSE,"Bus Serv &amp; Invest ";#N/A,#N/A,FALSE,"Cash Flow"}</definedName>
    <definedName name="wrn.NA." hidden="1">{#N/A,#N/A,FALSE,"NA"}</definedName>
    <definedName name="wrn.NA._1" hidden="1">{#N/A,#N/A,FALSE,"NA"}</definedName>
    <definedName name="wrn.newest." hidden="1">{#N/A,#N/A,TRUE,"TS";#N/A,#N/A,TRUE,"Combo";#N/A,#N/A,TRUE,"FAIR";#N/A,#N/A,TRUE,"RBC";#N/A,#N/A,TRUE,"xxxx"}</definedName>
    <definedName name="wrn.Nico." hidden="1">{#N/A,#N/A,TRUE,"Cover";#N/A,#N/A,TRUE,"Transaction Summary";#N/A,#N/A,TRUE,"Earnings Impact";#N/A,#N/A,TRUE,"accretion dilution"}</definedName>
    <definedName name="wrn.Normal." hidden="1">{#N/A,#N/A,FALSE,"Market Values I";#N/A,#N/A,FALSE,"Market Values II";#N/A,#N/A,FALSE,"DT Shareholding";#N/A,#N/A,FALSE,"Purchase of Sprint1";#N/A,#N/A,FALSE,"Purchase of Sprint2";#N/A,#N/A,FALSE,"Financial Impact1";#N/A,#N/A,FALSE,"Financial Impact2";#N/A,#N/A,FALSE,"Financial Impact3";#N/A,#N/A,FALSE,"Flowback"}</definedName>
    <definedName name="wrn.nytaann." hidden="1">{"nytacash",#N/A,FALSE,"GLOBEINC";"nytainc",#N/A,FALSE,"GLOBEINC";"nytanyt",#N/A,FALSE,"GLOBEINC";"nytareg",#N/A,FALSE,"GLOBEINC";"nytaglobe",#N/A,FALSE,"GLOBEINC";"nytapprttl",#N/A,FALSE,"GLOBEINC"}</definedName>
    <definedName name="wrn.OOCONLY." hidden="1">{"OOCDOLS",#N/A,FALSE,"G&amp;A_CRPSV";"OOCDOL",#N/A,FALSE,"G&amp;A_FAC"}</definedName>
    <definedName name="wrn.Opportunity._.Assessment." hidden="1">{#N/A,#N/A,TRUE,"Summary";#N/A,#N/A,TRUE,"Assumptions";#N/A,#N/A,TRUE,"Comparison";#N/A,#N/A,TRUE,"Financials";#N/A,#N/A,TRUE,"Plan v. Act"}</definedName>
    <definedName name="wrn.ops._.costs." hidden="1">{"page1",#N/A,FALSE,"APCI Operations Detail  ";"page2",#N/A,FALSE,"APCI Operations Detail  ";"page3",#N/A,FALSE,"APCI Operations Detail  ";"page4",#N/A,FALSE,"APCI Operations Detail  "}</definedName>
    <definedName name="wrn.Output."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vhd." hidden="1">{#N/A,#N/A,FALSE,"OVHDSUM"}</definedName>
    <definedName name="wrn.ovhd1." hidden="1">{#N/A,#N/A,FALSE,"OVHDSUM"}</definedName>
    <definedName name="wrn.P_and_L." hidden="1">{#N/A,#N/A,FALSE,"RMS Base (allocated)";#N/A,#N/A,FALSE,"Humana";#N/A,#N/A,FALSE,"NJRM";#N/A,#N/A,FALSE,"GSNS";#N/A,#N/A,FALSE,"Total"}</definedName>
    <definedName name="wrn.packer._.1."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ge._.1." hidden="1">{"Page 1",#N/A,FALSE,"Sheet1";"Page 2",#N/A,FALSE,"Sheet1"}</definedName>
    <definedName name="wrn.Page._.1._1" hidden="1">{"Page 1",#N/A,FALSE,"Sheet1";"Page 2",#N/A,FALSE,"Sheet1"}</definedName>
    <definedName name="wrn.PAGE._.2." hidden="1">{"PAGE 2",#N/A,FALSE,"WEST_OT"}</definedName>
    <definedName name="wrn.PAGE._.3." hidden="1">{"PAGE 2",#N/A,FALSE,"WEST_OT"}</definedName>
    <definedName name="wrn.PandL_Summary." hidden="1">{#N/A,#N/A,FALSE,"Summary"}</definedName>
    <definedName name="wrn.Part._.1." hidden="1">{#N/A,#N/A,FALSE,"Title";#N/A,#N/A,FALSE,"Tbl Contents";#N/A,#N/A,FALSE,"Management Summary (1)";#N/A,#N/A,FALSE,"Major Project  (1)";#N/A,#N/A,FALSE,"Qterly Income";#N/A,#N/A,FALSE,"Major Project [2]";#N/A,#N/A,FALSE,"Project PBT chart 4A";#N/A,#N/A,FALSE,"Income Statement";#N/A,#N/A,FALSE,"Variance analysis";#N/A,#N/A,FALSE,"Mntly Income";#N/A,#N/A,FALSE,"Variance analysis";#N/A,#N/A,FALSE,"Cur Mnth Cash";#N/A,#N/A,FALSE,"Current Qtr Cash";#N/A,#N/A,FALSE,"Qtrly Cashflow";#N/A,#N/A,FALSE,"Mnthly Cashflow";#N/A,#N/A,FALSE,"Accts. Rec.";#N/A,#N/A,FALSE,"Headcnt Det";#N/A,#N/A,FALSE,"Gross Headcount";#N/A,#N/A,FALSE,"Management Summary [2]";#N/A,#N/A,FALSE,"Major Project [2]";#N/A,#N/A,FALSE,"Variance analysis"}</definedName>
    <definedName name="wrn.Part._.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wrn.PARTNERS._.CAPITAL._.STMT." hidden="1">{"PARTNERS CAPITAL STMT",#N/A,FALSE,"Partners Capital"}</definedName>
    <definedName name="wrn.PDS." hidden="1">{"PDS",#N/A,FALSE,"G&amp;A_TOT"}</definedName>
    <definedName name="wrn.phoenix." hidden="1">{"is_plan vs Act",#N/A,FALSE,"IS_Plan-Act";"is_curr&amp;YTD",#N/A,FALSE,"IS_Plan-Act";"is_last5mos",#N/A,FALSE,"IS_Plan-Act";"is_vsYTD_RR",#N/A,FALSE,"IS_Plan-Act";"bs",#N/A,FALSE,"IS_Plan-Act";"bs_last5mos",#N/A,FALSE,"IS_Plan-Act";"cf",#N/A,FALSE,"IS_Plan-Act"}</definedName>
    <definedName name="wrn.pl_brasil." hidden="1">{"PL_Brasil",#N/A,FALSE,"PL"}</definedName>
    <definedName name="wrn.plbscf." hidden="1">{"p_l",#N/A,FALSE,"Summary Accounts"}</definedName>
    <definedName name="wrn.portugal." hidden="1">{"portugal",#N/A,FALSE,"PL"}</definedName>
    <definedName name="wrn.pq_dr." hidden="1">{"pq_dr",#N/A,FALSE,"PQ"}</definedName>
    <definedName name="wrn.pq_pe." hidden="1">{"pq_pe",#N/A,FALSE,"PQ"}</definedName>
    <definedName name="wrn.pq_sp." hidden="1">{"pq_sp",#N/A,FALSE,"PQ"}</definedName>
    <definedName name="wrn.PRES_OUT." hidden="1">{"page1",#N/A,FALSE,"PRESENTATION";"page2",#N/A,FALSE,"PRESENTATION";#N/A,#N/A,FALSE,"Valuation Summary"}</definedName>
    <definedName name="wrn.PrimeCo." hidden="1">{"print 1",#N/A,FALSE,"PrimeCo PCS";"print 2",#N/A,FALSE,"PrimeCo PCS";"valuation",#N/A,FALSE,"PrimeCo PCS"}</definedName>
    <definedName name="wrn.print" hidden="1">{"page1",#N/A,FALSE,"PROFORMA";"page2",#N/A,FALSE,"PROFORMA";"page3",#N/A,FALSE,"PROFORMA";"page4",#N/A,FALSE,"PROFORMA";"page5",#N/A,FALSE,"PROFORMA";"page6",#N/A,FALSE,"PROFORMA";"page7",#N/A,FALSE,"PROFORMA";"page8",#N/A,FALSE,"PROFORMA"}</definedName>
    <definedName name="wrn.Print." hidden="1">{"vi1",#N/A,FALSE,"Financial Statements";"vi2",#N/A,FALSE,"Financial Statements";#N/A,#N/A,FALSE,"DCF"}</definedName>
    <definedName name="wrn.PRINT._.ALL." hidden="1">{#N/A,#N/A,FALSE,"COVER";#N/A,#N/A,FALSE,"T of C";#N/A,#N/A,FALSE,"Balance Sheet";#N/A,#N/A,FALSE,"Consolidated";#N/A,#N/A,FALSE,"Cash Flows";#N/A,#N/A,FALSE,"Sales";#N/A,#N/A,FALSE,"1998";#N/A,#N/A,FALSE,"1999";#N/A,#N/A,FALSE,"2000";#N/A,#N/A,FALSE,"2001";#N/A,#N/A,FALSE,"2003";#N/A,#N/A,FALSE,"Hotel";#N/A,#N/A,FALSE,"Mfg";#N/A,#N/A,FALSE,"Balance Sheet"}</definedName>
    <definedName name="wrn.Print._.All._.Pages." hidden="1">{"LBO Summary",#N/A,FALSE,"Summary";"Income Statement",#N/A,FALSE,"Model";"Cash Flow",#N/A,FALSE,"Model";"Balance Sheet",#N/A,FALSE,"Model";"Working Capital",#N/A,FALSE,"Model";"Pro Forma Balance Sheets",#N/A,FALSE,"PFBS";"Debt Balances",#N/A,FALSE,"Model";"Fee Schedules",#N/A,FALSE,"Model"}</definedName>
    <definedName name="wrn.Print._.All._.Pages._1" hidden="1">{"LBO Summary",#N/A,FALSE,"Summary";"Income Statement",#N/A,FALSE,"Model";"Cash Flow",#N/A,FALSE,"Model";"Balance Sheet",#N/A,FALSE,"Model";"Working Capital",#N/A,FALSE,"Model";"Pro Forma Balance Sheets",#N/A,FALSE,"PFBS";"Debt Balances",#N/A,FALSE,"Model";"Fee Schedules",#N/A,FALSE,"Model"}</definedName>
    <definedName name="wrn.Print._.All._.Worksheets." hidden="1">{#N/A,#N/A,FALSE,"Capitaliztion Matrix";#N/A,#N/A,FALSE,"4YR P&amp;L";#N/A,#N/A,FALSE,"Program Contributions";#N/A,#N/A,FALSE,"P&amp;L Trans YR 2";#N/A,#N/A,FALSE,"Rev &amp; EBITDA YR2";#N/A,#N/A,FALSE,"P&amp;L Trans YR 1";#N/A,#N/A,FALSE,"Rev &amp; EBITDA YR1"}</definedName>
    <definedName name="wrn.Print._.All._.Worksheets._1" hidden="1">{#N/A,#N/A,FALSE,"Capitaliztion Matrix";#N/A,#N/A,FALSE,"4YR P&amp;L";#N/A,#N/A,FALSE,"Program Contributions";#N/A,#N/A,FALSE,"P&amp;L Trans YR 2";#N/A,#N/A,FALSE,"Rev &amp; EBITDA YR2";#N/A,#N/A,FALSE,"P&amp;L Trans YR 1";#N/A,#N/A,FALSE,"Rev &amp; EBITDA YR1"}</definedName>
    <definedName name="wrn.print._.graphs." hidden="1">{"cap_structure",#N/A,FALSE,"Graph-Mkt Cap";"price",#N/A,FALSE,"Graph-Price";"ebit",#N/A,FALSE,"Graph-EBITDA";"ebitda",#N/A,FALSE,"Graph-EBITDA"}</definedName>
    <definedName name="wrn.print._.graphs._1" hidden="1">{"cap_structure",#N/A,FALSE,"Graph-Mkt Cap";"price",#N/A,FALSE,"Graph-Price";"ebit",#N/A,FALSE,"Graph-EBITDA";"ebitda",#N/A,FALSE,"Graph-EBITDA"}</definedName>
    <definedName name="wrn.print._.pages." hidden="1">{#N/A,#N/A,FALSE,"Spain MKT";#N/A,#N/A,FALSE,"Assumptions";#N/A,#N/A,FALSE,"Adve";#N/A,#N/A,FALSE,"E-Commerce";#N/A,#N/A,FALSE,"Opex";#N/A,#N/A,FALSE,"P&amp;L";#N/A,#N/A,FALSE,"FCF &amp; DCF"}</definedName>
    <definedName name="wrn.print._.pages2." hidden="1">{#N/A,#N/A,FALSE,"Spain MKT";#N/A,#N/A,FALSE,"Assumptions";#N/A,#N/A,FALSE,"Adve";#N/A,#N/A,FALSE,"E-Commerce";#N/A,#N/A,FALSE,"Opex";#N/A,#N/A,FALSE,"P&amp;L";#N/A,#N/A,FALSE,"FCF &amp; DCF"}</definedName>
    <definedName name="wrn.Print._.PNL._.Download." hidden="1">{"PNLProjDL",#N/A,FALSE,"PROJCO";"PNLParDL",#N/A,FALSE,"Parent"}</definedName>
    <definedName name="wrn.print._.raw._.data._.entry." hidden="1">{"inputs raw data",#N/A,TRUE,"INPUT"}</definedName>
    <definedName name="wrn.print._.raw._.data._.entry._1" hidden="1">{"inputs raw data",#N/A,TRUE,"INPUT"}</definedName>
    <definedName name="wrn.Print._.Report." hidden="1">{#N/A,#N/A,TRUE,"Title";#N/A,#N/A,TRUE,"Consol";#N/A,#N/A,TRUE,"DCF";#N/A,#N/A,TRUE,"Oroweat";#N/A,#N/A,TRUE,"Entenmann's";#N/A,#N/A,TRUE,"Thomas";#N/A,#N/A,TRUE,"Boboli";#N/A,#N/A,TRUE,"Lender's";#N/A,#N/A,TRUE,"Section";#N/A,#N/A,TRUE,"Acc-dil";#N/A,#N/A,TRUE,"Acquiror";#N/A,#N/A,TRUE,"Target";#N/A,#N/A,TRUE,"Sosa";#N/A,#N/A,TRUE,"Truman";#N/A,#N/A,TRUE,"Bimbo";#N/A,#N/A,TRUE,"Camden"}</definedName>
    <definedName name="wrn.print._.standalone." hidden="1">{"standalone1",#N/A,FALSE,"DCFBase";"standalone2",#N/A,FALSE,"DCFBase"}</definedName>
    <definedName name="wrn.print._.standalone._1" hidden="1">{"standalone1",#N/A,FALSE,"DCFBase";"standalone2",#N/A,FALSE,"DCFBase"}</definedName>
    <definedName name="wrn.print._.summary._.sheets." hidden="1">{"summary1",#N/A,TRUE,"Comps";"summary2",#N/A,TRUE,"Comps";"summary3",#N/A,TRUE,"Comps"}</definedName>
    <definedName name="wrn.print._.summary._.sheets._1" hidden="1">{"summary1",#N/A,TRUE,"Comps";"summary2",#N/A,TRUE,"Comps";"summary3",#N/A,TRUE,"Comps"}</definedName>
    <definedName name="wrn.print._.summary._.sheets.2" hidden="1">{"summary1",#N/A,TRUE,"Comps";"summary2",#N/A,TRUE,"Comps";"summary3",#N/A,TRUE,"Comps"}</definedName>
    <definedName name="wrn.print._.summary._.sheets.2_1" hidden="1">{"summary1",#N/A,TRUE,"Comps";"summary2",#N/A,TRUE,"Comps";"summary3",#N/A,TRUE,"Comps"}</definedName>
    <definedName name="wrn.Print._1" hidden="1">{"vi1",#N/A,FALSE,"Financial Statements";"vi2",#N/A,FALSE,"Financial Statements";#N/A,#N/A,FALSE,"DCF"}</definedName>
    <definedName name="wrn.Print_Buyer." hidden="1">{#N/A,"DR",FALSE,"increm pf";#N/A,"MAMSI",FALSE,"increm pf";#N/A,"MAXI",FALSE,"increm pf";#N/A,"PCAM",FALSE,"increm pf";#N/A,"PHSV",FALSE,"increm pf";#N/A,"SIE",FALSE,"increm pf"}</definedName>
    <definedName name="wrn.Print_Buyer._1" hidden="1">{#N/A,"DR",FALSE,"increm pf";#N/A,"MAMSI",FALSE,"increm pf";#N/A,"MAXI",FALSE,"increm pf";#N/A,"PCAM",FALSE,"increm pf";#N/A,"PHSV",FALSE,"increm pf";#N/A,"SIE",FALSE,"increm pf"}</definedName>
    <definedName name="wrn.Print_Earnings_template." hidden="1">{"by_month",#N/A,TRUE,"template";"destec_month",#N/A,TRUE,"template";"by_quarter",#N/A,TRUE,"template";"destec_quarter",#N/A,TRUE,"template";"by_year",#N/A,TRUE,"template";"destec_annual",#N/A,TRUE,"template"}</definedName>
    <definedName name="wrn.Print_Target."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1"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Var_page." hidden="1">{"var_page",#N/A,FALSE,"template"}</definedName>
    <definedName name="wrn.print_variance." hidden="1">{"var_report",#N/A,FALSE,"template"}</definedName>
    <definedName name="wrn.Print_Variance_Page." hidden="1">{"variance_page",#N/A,FALSE,"template"}</definedName>
    <definedName name="wrn.Print1." hidden="1">{"Title",#N/A,FALSE,"Title";"Info",#N/A,FALSE,"Title";"Contents",#N/A,FALSE,"Title";"Sec.1",#N/A,FALSE,"Title";"Output1",#N/A,FALSE,"Output";"Sec.2",#N/A,FALSE,"Title";"Graph1",#N/A,FALSE,"Output";"Graph2",#N/A,FALSE,"Output";"Sec.3",#N/A,FALSE,"Title";"Gap1",#N/A,FALSE,"Output";"Sec.4",#N/A,FALSE,"Title";"Model_all",#N/A,FALSE,"Autostrade S.p.A."}</definedName>
    <definedName name="wrn.print2" hidden="1">{"page1",#N/A,FALSE,"PROFORMA";"page2",#N/A,FALSE,"PROFORMA";"page3",#N/A,FALSE,"PROFORMA";"page4",#N/A,FALSE,"PROFORMA";"page5",#N/A,FALSE,"PROFORMA";"page6",#N/A,FALSE,"PROFORMA";"page7",#N/A,FALSE,"PROFORMA";"page8",#N/A,FALSE,"PROFORMA"}</definedName>
    <definedName name="wrn.PrintAll." hidden="1">{"PA1",#N/A,TRUE,"BORDMW";"pa2",#N/A,TRUE,"BORDMW";"PA3",#N/A,TRUE,"BORDMW";"PA4",#N/A,TRUE,"BORDMW"}</definedName>
    <definedName name="wrn.printqtr." hidden="1">{"nytasecond",#N/A,FALSE,"NYTQTRS";"nytafirst",#N/A,FALSE,"NYTQTRS";"nytathird",#N/A,FALSE,"NYTQTRS";"nytafourth",#N/A,FALSE,"NYTQTRS";"nytafull",#N/A,FALSE,"NYTQTRS"}</definedName>
    <definedName name="wrn.PRINTREP." hidden="1">{"PRINTREP",#N/A,FALSE,"Sheet1"}</definedName>
    <definedName name="wrn.PRNE._.Profit._.and._.Loss._.detail." hidden="1">{#N/A,#N/A,TRUE,"PRNE CORE";#N/A,#N/A,TRUE,"Targeting";#N/A,#N/A,TRUE,"Distribution";#N/A,#N/A,TRUE,"Measurement"}</definedName>
    <definedName name="wrn.Project._.Summary." hidden="1">{"Summary",#N/A,FALSE,"MICMULT";"Income Statement",#N/A,FALSE,"MICMULT";"Cash Flows",#N/A,FALSE,"MICMULT"}</definedName>
    <definedName name="wrn.Projections." hidden="1">{"Volume",#N/A,FALSE,"volume";"revenue",#N/A,FALSE,"revenue"}</definedName>
    <definedName name="wrn.PSHIP._.SCH._.B." hidden="1">{"PSHIP",#N/A,FALSE,"PSHP"}</definedName>
    <definedName name="wrn.PSHIP._.SCH._.B._.NO._.ADJ." hidden="1">{"PSHIP NO ADJ",#N/A,FALSE,"PSHP"}</definedName>
    <definedName name="wrn.PSHIP._.SCHED._.A." hidden="1">{"PSHIP COMMITS",#N/A,FALSE,"PSHP"}</definedName>
    <definedName name="wrn.Pulp." hidden="1">{"Pulp Production",#N/A,FALSE,"Pulp";"Pulp Earnings",#N/A,FALSE,"Pulp"}</definedName>
    <definedName name="wrn.Pulp.2" hidden="1">{"Pulp Production",#N/A,FALSE,"Pulp";"Pulp Earnings",#N/A,FALSE,"Pulp"}</definedName>
    <definedName name="wrn.Pulp.3" hidden="1">{"Pulp Production",#N/A,FALSE,"Pulp";"Pulp Earnings",#N/A,FALSE,"Pulp"}</definedName>
    <definedName name="wrn.Pump." hidden="1">{#N/A,#N/A,FALSE,"Assump";#N/A,#N/A,FALSE,"Income";#N/A,#N/A,FALSE,"Balance";#N/A,#N/A,FALSE,"DCF Pump";#N/A,#N/A,FALSE,"Trans Assump";#N/A,#N/A,FALSE,"Combined Income";#N/A,#N/A,FALSE,"Combined Balance"}</definedName>
    <definedName name="wrn.Qrtly._.Grp._.Consol." hidden="1">{"QTRLYGrpConsol",#N/A,FALSE,"Grp Consol"}</definedName>
    <definedName name="wrn.Qrtly._.International." hidden="1">{"QTRLYInternational",#N/A,FALSE,"International"}</definedName>
    <definedName name="wrn.Qtrly._.Corporate." hidden="1">{"QTRLYCorporate",#N/A,FALSE,"Corporate"}</definedName>
    <definedName name="wrn.Qtrly._.Funding." hidden="1">{"QTRLYFunding",#N/A,FALSE,"Funding"}</definedName>
    <definedName name="wrn.Qtrly._.Grp._.Adjustments." hidden="1">{"QTRLYGrpAdj",#N/A,FALSE,"Grp Adj"}</definedName>
    <definedName name="wrn.Qtrly._.HTUK." hidden="1">{"QTRLYHTUK",#N/A,FALSE,"HTUK"}</definedName>
    <definedName name="wrn.Qtrly._.OIDL." hidden="1">{"QTRLYOIDL",#N/A,FALSE,"OIDL"}</definedName>
    <definedName name="wrn.Qtrly._.Trust." hidden="1">{"QTRLYTrust",#N/A,FALSE,"Trust"}</definedName>
    <definedName name="wrn.Qtrs_PL." hidden="1">{"Quarters",#N/A,FALSE,"1.2"}</definedName>
    <definedName name="wrn.Qtrs_PL._1" hidden="1">{"Quarters",#N/A,FALSE,"1.2"}</definedName>
    <definedName name="wrn.quartly1." hidden="1">{#N/A,#N/A,FALSE,"Budget96 Revised"}</definedName>
    <definedName name="wrn.ratios." hidden="1">{"ratios",#N/A,FALSE,"Summary Accounts"}</definedName>
    <definedName name="wrn.red_take." hidden="1">{"red_take_pg1",#N/A,FALSE,"reduced_take";"red_take_pg2",#N/A,FALSE,"reduced_take";"red_take_pg3",#N/A,FALSE,"reduced_take";"red_take_pg4",#N/A,FALSE,"reduced_take";"red_take_pg5",#N/A,FALSE,"reduced_take";"red_take_pg6",#N/A,FALSE,"reduced_take"}</definedName>
    <definedName name="wrn.Regions._.Bank." hidden="1">{#N/A,#N/A,FALSE,"Cover_Page";#N/A,#N/A,FALSE,"Balance Sheet FY12";#N/A,#N/A,FALSE,"Consolidated-Cash Flow";#N/A,#N/A,FALSE,"CY_Per Inc FY12"}</definedName>
    <definedName name="wrn.Relevant." hidden="1">{#N/A,#N/A,FALSE,"Title Page";#N/A,#N/A,FALSE,"Conclusions";#N/A,#N/A,FALSE,"Assum.";#N/A,#N/A,FALSE,"Sun  DCF-WC-Dep";#N/A,#N/A,FALSE,"MarketValue";#N/A,#N/A,FALSE,"BalSheet";#N/A,#N/A,FALSE,"WACC";#N/A,#N/A,FALSE,"PC+ Info.";#N/A,#N/A,FALSE,"PC+Info_2"}</definedName>
    <definedName name="wrn.RELEVANTSHEETS." hidden="1">{#N/A,#N/A,FALSE,"AD_Purch";#N/A,#N/A,FALSE,"Projections";#N/A,#N/A,FALSE,"DCF";#N/A,#N/A,FALSE,"Mkt Val"}</definedName>
    <definedName name="wrn.report." hidden="1">{#N/A,#N/A,TRUE,"Mgmt hilites-cons";#N/A,#N/A,TRUE,"P&amp;L Cons";#N/A,#N/A,TRUE,"BS cons";#N/A,#N/A,TRUE,"cf cons";"bklg-cons-gr",#N/A,TRUE,"stops_chrts";"wkly rev-cons-gr",#N/A,TRUE,"stops_chrts";"revperhead-cons-gr",#N/A,TRUE,"stops_chrts";#N/A,#N/A,TRUE,"stops-hdct";"rev&amp;mrg-cons",#N/A,TRUE,"stops_chrts";"opexp-cons-gr",#N/A,TRUE,"stops_chrts";"opinc-cons-gr",#N/A,TRUE,"stops_chrts";"netin-cons-gr",#N/A,TRUE,"stops_chrts";"dsr-cons-gr",#N/A,TRUE,"stops_chrts";"DoH-cons-gr",#N/A,TRUE,"stops_chrts";"wrk cap-cons-gr",#N/A,TRUE,"stops_chrts";#N/A,#N/A,TRUE,"stops-wkg cap";"RoI-cons-gr",#N/A,TRUE,"stops_chrts";"RoE-Cons-gr",#N/A,TRUE,"stops_chrts";#N/A,#N/A,TRUE,"stops- rsrvs";#N/A,#N/A,TRUE,"Mgmt hilites-phx";#N/A,#N/A,TRUE,"P&amp;L phoenix";#N/A,#N/A,TRUE,"BS phoenix";#N/A,#N/A,TRUE,"cf phx";#N/A,#N/A,TRUE,"stops-bkgs, backlog";#N/A,#N/A,TRUE,"stops - commissions-phx";"wkly rev-phx",#N/A,TRUE,"stops_chrts";"revperhead-phx-gr",#N/A,TRUE,"stops_chrts";"rev&amp;mrg-phx-gr",#N/A,TRUE,"stops_chrts";#N/A,#N/A,TRUE,"stops-gm phx";"opexp-phx-gr",#N/A,TRUE,"stops_chrts";#N/A,#N/A,TRUE,"stops-idsexp";#N/A,#N/A,TRUE,"stops-ops";#N/A,#N/A,TRUE,"stops-r&amp;d";#N/A,#N/A,TRUE,"stops-sga";"opinc-phx-gr",#N/A,TRUE,"stops_chrts";"netinc-phx-gr",#N/A,TRUE,"stops_chrts";"dsr-phx-gr",#N/A,TRUE,"stops_chrts";#N/A,#N/A,TRUE,"stops-ar-phx";"DoH-phx-gr",#N/A,TRUE,"stops_chrts";#N/A,#N/A,TRUE,"stops-inv -phx";#N/A,#N/A,TRUE,"stops-cap-phx";#N/A,#N/A,TRUE,"Mgmt hilites-col";#N/A,#N/A,TRUE,"P&amp;L columbus";#N/A,#N/A,TRUE,"BS columbus";#N/A,#N/A,TRUE,"cf col";"wkly rev-col-gr",#N/A,TRUE,"stops_chrts";"revperhead-col-gr",#N/A,TRUE,"stops_chrts";"rev&amp;mrg-col-gr",#N/A,TRUE,"stops_chrts";#N/A,#N/A,TRUE,"stops-gm col";"opexp-col-gr",#N/A,TRUE,"stops_chrts";"opinc-col-gr",#N/A,TRUE,"stops_chrts";"netinc-col-gr",#N/A,TRUE,"stops_chrts";"dsr-col-gr",#N/A,TRUE,"stops_chrts";"DoH-Col-gr",#N/A,TRUE,"stops_chrts";#N/A,#N/A,TRUE,"stops-inv -col";#N/A,#N/A,TRUE,"stops-cap-col";#N/A,#N/A,TRUE,"stops - commissions-col"}</definedName>
    <definedName name="wrn.Report._.7." hidden="1">{"Header",#N/A,FALSE,"Header";"Index",#N/A,FALSE,"Index";"Confirmation",#N/A,FALSE,"Audit Confirmation";"Rec",#N/A,FALSE,"Rec to mgmt acs";"P&amp;L A/C",#N/A,FALSE,"P&amp;L Account";"BS",#N/A,FALSE,"Balance Sheet";"Note 1",#N/A,FALSE,"P&amp;L Account Notes (1-7)";"Note 1a",#N/A,FALSE,"P&amp;L Account Notes (1-7)";"Note 1b",#N/A,FALSE,"P&amp;L Account Notes (1-7)";"Note 2",#N/A,FALSE,"P&amp;L Account Notes (1-7)";"Note 3",#N/A,FALSE,"P&amp;L Account Notes (1-7)";"Note 4",#N/A,FALSE,"P&amp;L Account Notes (1-7)";"Note 4a",#N/A,FALSE,"P&amp;L Account Notes (1-7)";"Note 5",#N/A,FALSE,"P&amp;L Account Notes (1-7)";"Note 6",#N/A,FALSE,"P&amp;L Account Notes (1-7)";"Note 7",#N/A,FALSE,"P&amp;L Account Notes (1-7)";"Note 8",#N/A,FALSE,"P&amp;L Account Notes (8-15)";"Note 9",#N/A,FALSE,"P&amp;L Account Notes (8-15)";"Note 10",#N/A,FALSE,"P&amp;L Account Notes (8-15)";"Note 11",#N/A,FALSE,"P&amp;L Account Notes (8-15)";"Note 12",#N/A,FALSE,"P&amp;L Account Notes (8-15)";"Note 13",#N/A,FALSE,"P&amp;L Account Notes (8-15)";"Note 14",#N/A,FALSE,"P&amp;L Account Notes (8-15)";"Note 15",#N/A,FALSE,"P&amp;L Account Notes (8-15)";"Note 16",#N/A,FALSE,"P&amp;L Account Notes (8-15)";"TFA-Cost",#N/A,FALSE,"TFA";"TFA-Depn",#N/A,FALSE,"TFA";"Note 17a",#N/A,FALSE,"TFA";"Note 17b",#N/A,FALSE,"BS Notes (17(b) - 28)";"Note 18(1)",#N/A,FALSE,"BS Notes (17(b) - 28)";"Note 18 2&amp;3",#N/A,FALSE,"BS Notes (17(b) - 28)";"Note 18(3)",#N/A,FALSE,"BS Notes (17(b) - 28)";"Note 19",#N/A,FALSE,"BS Notes (17(b) - 28)";"Notes 20&amp;21",#N/A,FALSE,"BS Notes (17(b) - 28)";"Note 22",#N/A,FALSE,"BS Notes (17(b) - 28)";"Note 22(a)",#N/A,FALSE,"BS Notes (17(b) - 28)";"Note 23",#N/A,FALSE,"BS Notes (17(b) - 28)";"Note 24",#N/A,FALSE,"BS Notes (17(b) - 28)";"Note 25",#N/A,FALSE,"BS Notes (17(b) - 28)";"Note 26",#N/A,FALSE,"BS Notes (17(b) - 28)";"Note 27",#N/A,FALSE,"BS Notes (17(b) - 28)";"Note 28-Drs",#N/A,FALSE,"BS Notes (17(b) - 28)";"Note 28-Crs",#N/A,FALSE,"BS Notes (17(b) - 28)";"Note 29",#N/A,FALSE,"Notes 29-31";"Note 29(b)",#N/A,FALSE,"Notes 29-31";"Note 30",#N/A,FALSE,"Notes 29-31";"Note 31",#N/A,FALSE,"Notes 29-31";"Note 32a",#N/A,FALSE,"CF Notes 32-33";"Note 32b",#N/A,FALSE,"CF Notes 32-33";"Note 33",#N/A,FALSE,"CF Notes 32-33";"Notes 34&amp;35",#N/A,FALSE,"CF Notes 34-36";"Note 36",#N/A,FALSE,"CF Notes 34-36";"Notes 37&amp;38",#N/A,FALSE,"CF Notes 37-43";"Note 39",#N/A,FALSE,"CF Notes 37-43";"Notes 40&amp;41",#N/A,FALSE,"CF Notes 37-43";"Notes 42&amp;43",#N/A,FALSE,"CF Notes 37-43";"BS",#N/A,FALSE,"Balance Sheet"}</definedName>
    <definedName name="wrn.Report1." hidden="1">{#N/A,#N/A,FALSE,"July 95";#N/A,#N/A,FALSE,"Aug 95";#N/A,#N/A,FALSE,"Sep 95";#N/A,#N/A,FALSE,"October 95";#N/A,#N/A,FALSE,"November 95";#N/A,#N/A,FALSE,"December 95";#N/A,#N/A,FALSE,"February 96";#N/A,#N/A,FALSE,"March 96"}</definedName>
    <definedName name="wrn.Report1._1" hidden="1">{#N/A,#N/A,FALSE,"July 95";#N/A,#N/A,FALSE,"Aug 95";#N/A,#N/A,FALSE,"Sep 95";#N/A,#N/A,FALSE,"October 95";#N/A,#N/A,FALSE,"November 95";#N/A,#N/A,FALSE,"December 95";#N/A,#N/A,FALSE,"February 96";#N/A,#N/A,FALSE,"March 96"}</definedName>
    <definedName name="wrn.review." hidden="1">{"review",#N/A,FALSE,"FACTSHT"}</definedName>
    <definedName name="wrn.review1." hidden="1">{"review",#N/A,FALSE,"FACTSHT"}</definedName>
    <definedName name="wrn.Revs." hidden="1">{"Base_rev",#N/A,FALSE,"Proj_IS_Base";"Projrev",#N/A,FALSE,"Proj_IS_wOTLC";"Delta",#N/A,FALSE,"Delta Rev_PV"}</definedName>
    <definedName name="wrn.rpts." hidden="1">{#N/A,#N/A,TRUE,"Services";#N/A,#N/A,TRUE,"Sales - QM";#N/A,#N/A,TRUE,"Sales - HC";#N/A,#N/A,TRUE,"Int'l";#N/A,#N/A,TRUE,"PW Institute";#N/A,#N/A,TRUE,"Mktg Dept";#N/A,#N/A,TRUE,"R&amp;D";#N/A,#N/A,TRUE,"G&amp;A"}</definedName>
    <definedName name="wrn.rpts._1" hidden="1">{#N/A,#N/A,TRUE,"Services";#N/A,#N/A,TRUE,"Sales - QM";#N/A,#N/A,TRUE,"Sales - HC";#N/A,#N/A,TRUE,"Int'l";#N/A,#N/A,TRUE,"PW Institute";#N/A,#N/A,TRUE,"Mktg Dept";#N/A,#N/A,TRUE,"R&amp;D";#N/A,#N/A,TRUE,"G&amp;A"}</definedName>
    <definedName name="wrn.sales." hidden="1">{"sales",#N/A,FALSE,"Sales";"sales existing",#N/A,FALSE,"Sales";"sales rd1",#N/A,FALSE,"Sales";"sales rd2",#N/A,FALSE,"Sales"}</definedName>
    <definedName name="wrn.Sales._.and._.LFL._.assumptions." hidden="1">{#N/A,#N/A,FALSE,"H1H2";"Sales by division",#N/A,FALSE,"H1H2";"LFL assumptions",#N/A,FALSE,"H1H2"}</definedName>
    <definedName name="wrn.Scripts." hidden="1">{"ENBREL",#N/A,FALSE,"Sheet1";"RenaGel",#N/A,FALSE,"Sheet1";"HIV PI",#N/A,FALSE,"Sheet1";"MS",#N/A,FALSE,"Sheet1"}</definedName>
    <definedName name="wrn.sensitivity." hidden="1">{"sensitivity",#N/A,FALSE,"Sensitivity"}</definedName>
    <definedName name="wrn.Seven._.Page." hidden="1">{"Income",#N/A,FALSE,"income";"Sales",#N/A,FALSE,"income";"Critical",#N/A,FALSE,"income";"Market",#N/A,FALSE,"Market";"Returns",#N/A,FALSE,"returns";"Balance",#N/A,FALSE,"balance";"Cash Flow",#N/A,FALSE,"balance"}</definedName>
    <definedName name="wrn.Seven._.Page._1" hidden="1">{"Income",#N/A,FALSE,"income";"Sales",#N/A,FALSE,"income";"Critical",#N/A,FALSE,"income";"Market",#N/A,FALSE,"Market";"Returns",#N/A,FALSE,"returns";"Balance",#N/A,FALSE,"balance";"Cash Flow",#N/A,FALSE,"balance"}</definedName>
    <definedName name="wrn.Six._.Page." hidden="1">{"Income",#N/A,FALSE,"Earnings";"Critical Measures",#N/A,FALSE,"Earnings";"Balance",#N/A,FALSE,"Balance";"Cash Flow",#N/A,FALSE,"Balance";"Market",#N/A,FALSE,"Market";"Returns",#N/A,FALSE,"Returns"}</definedName>
    <definedName name="wrn.Six._.Page._1" hidden="1">{"Income",#N/A,FALSE,"Earnings";"Critical Measures",#N/A,FALSE,"Earnings";"Balance",#N/A,FALSE,"Balance";"Cash Flow",#N/A,FALSE,"Balance";"Market",#N/A,FALSE,"Market";"Returns",#N/A,FALSE,"Returns"}</definedName>
    <definedName name="wrn.Sixpage." hidden="1">{"Income",#N/A,FALSE,"income";"Critical",#N/A,FALSE,"income";"Balance",#N/A,FALSE,"Balance";"Cash Flow",#N/A,FALSE,"Balance";"Returns",#N/A,FALSE,"Returns";"Market",#N/A,FALSE,"Market"}</definedName>
    <definedName name="wrn.Sixpage._1" hidden="1">{"Income",#N/A,FALSE,"income";"Critical",#N/A,FALSE,"income";"Balance",#N/A,FALSE,"Balance";"Cash Flow",#N/A,FALSE,"Balance";"Returns",#N/A,FALSE,"Returns";"Market",#N/A,FALSE,"Market"}</definedName>
    <definedName name="wrn.SKSCS1." hidden="1">{#N/A,#N/A,FALSE,"Antony Financials";#N/A,#N/A,FALSE,"Cowboy Financials";#N/A,#N/A,FALSE,"Combined";#N/A,#N/A,FALSE,"Valuematrix";#N/A,#N/A,FALSE,"DCFAntony";#N/A,#N/A,FALSE,"DCFCowboy";#N/A,#N/A,FALSE,"DCFCombined"}</definedName>
    <definedName name="wrn.SKSCS1._1" hidden="1">{#N/A,#N/A,FALSE,"Antony Financials";#N/A,#N/A,FALSE,"Cowboy Financials";#N/A,#N/A,FALSE,"Combined";#N/A,#N/A,FALSE,"Valuematrix";#N/A,#N/A,FALSE,"DCFAntony";#N/A,#N/A,FALSE,"DCFCowboy";#N/A,#N/A,FALSE,"DCFCombined"}</definedName>
    <definedName name="wrn.sociedades." hidden="1">{"sociedades",#N/A,FALSE,"PL"}</definedName>
    <definedName name="wrn.SPINS." hidden="1">{#N/A,#N/A,FALSE,"9504"}</definedName>
    <definedName name="wrn.sspall." hidden="1">{"sspcash",#N/A,FALSE,"EWSINCX";"sspinc",#N/A,FALSE,"EWSINCX";"ssptax",#N/A,FALSE,"EWSINCX";"ssppub",#N/A,FALSE,"EWSINCX";"sspperchgetc",#N/A,FALSE,"EWSINCX";"sspevan",#N/A,FALSE,"EWSINCX";"sspbroad",#N/A,FALSE,"EWSINCX";"sspbroadcont",#N/A,FALSE,"EWSINCX";"sspcable",#N/A,FALSE,"EWSINCX";"sspent",#N/A,FALSE,"EWSINCX"}</definedName>
    <definedName name="wrn.STAND_ALONE_BOTH." hidden="1">{"FCB_ALL",#N/A,FALSE,"FCB";"GREY_ALL",#N/A,FALSE,"GREY"}</definedName>
    <definedName name="wrn.STAND_ALONE_BOTH._1" hidden="1">{"FCB_ALL",#N/A,FALSE,"FCB";"GREY_ALL",#N/A,FALSE,"GREY"}</definedName>
    <definedName name="wrn.Statements." hidden="1">{"Co1statements",#N/A,FALSE,"Cmpy1";"Co2statement",#N/A,FALSE,"Cmpy2";"co1pm",#N/A,FALSE,"Co1PM";"co2PM",#N/A,FALSE,"Co2PM";"value",#N/A,FALSE,"value";"opco",#N/A,FALSE,"NewSparkle";"adjusts",#N/A,FALSE,"Adjustments"}</definedName>
    <definedName name="wrn.Statements._1" hidden="1">{"Co1statements",#N/A,FALSE,"Cmpy1";"Co2statement",#N/A,FALSE,"Cmpy2";"co1pm",#N/A,FALSE,"Co1PM";"co2PM",#N/A,FALSE,"Co2PM";"value",#N/A,FALSE,"value";"opco",#N/A,FALSE,"NewSparkle";"adjusts",#N/A,FALSE,"Adjustments"}</definedName>
    <definedName name="wrn.status." hidden="1">{#N/A,#N/A,TRUE,"Summary - 1";#N/A,#N/A,TRUE,"Summary - 2";#N/A,#N/A,TRUE,"Group Analysis";#N/A,#N/A,TRUE,"FM Analysis";#N/A,#N/A,TRUE,"T&amp;M-Onsite";#N/A,#N/A,TRUE,"FP-Onsite";#N/A,#N/A,TRUE,"NB-Onsite";#N/A,#N/A,TRUE,"T&amp;M-Offshore";#N/A,#N/A,TRUE,"FP-Offshore";#N/A,#N/A,TRUE,"Appendix-A";#N/A,#N/A,TRUE,"Appendix-B"}</definedName>
    <definedName name="wrn.status._1" hidden="1">{#N/A,#N/A,TRUE,"Summary - 1";#N/A,#N/A,TRUE,"Summary - 2";#N/A,#N/A,TRUE,"Group Analysis";#N/A,#N/A,TRUE,"FM Analysis";#N/A,#N/A,TRUE,"T&amp;M-Onsite";#N/A,#N/A,TRUE,"FP-Onsite";#N/A,#N/A,TRUE,"NB-Onsite";#N/A,#N/A,TRUE,"T&amp;M-Offshore";#N/A,#N/A,TRUE,"FP-Offshore";#N/A,#N/A,TRUE,"Appendix-A";#N/A,#N/A,TRUE,"Appendix-B"}</definedName>
    <definedName name="wrn.STMT._.OF._.CASH._.FLOWS." hidden="1">{"STMT OF CASH FLOWS",#N/A,FALSE,"Cash Flows Indirect"}</definedName>
    <definedName name="wrn.Subscriptions._.Inputs." hidden="1">{"Normal View",#N/A,TRUE,"Lead Schedule";"Normal View",#N/A,TRUE,"Membership Summary";"Normal View",#N/A,TRUE,"Enrolments";"Target Rate",#N/A,TRUE,"Renewals";"Attrition Rate",#N/A,TRUE,"Renewals";"Members Expiring",#N/A,TRUE,"Renewals";"Profit and Loss Tables",#N/A,TRUE,"Renewals";"Terms",#N/A,TRUE,"Renewals";"Extensions Normal View",#N/A,TRUE,"Extensions";"Normal View",#N/A,TRUE,"Deferred Subscriptions";"Normal View",#N/A,TRUE,"Subs cost of sales"}</definedName>
    <definedName name="wrn.subscriptions._.inputs.2" hidden="1">{"Normal View",#N/A,TRUE,"Lead Schedule";"Normal View",#N/A,TRUE,"Membership Summary";"Normal View",#N/A,TRUE,"Enrolments";"Target Rate",#N/A,TRUE,"Renewals";"Attrition Rate",#N/A,TRUE,"Renewals";"Members Expiring",#N/A,TRUE,"Renewals";"Profit and Loss Tables",#N/A,TRUE,"Renewals";"Terms",#N/A,TRUE,"Renewals";"Extensions Normal View",#N/A,TRUE,"Extensions";"Normal View",#N/A,TRUE,"Deferred Subscriptions";"Normal View",#N/A,TRUE,"Subs cost of sales"}</definedName>
    <definedName name="wrn.sum." hidden="1">{"Opsys",#N/A,FALSE,"NPV_OPsys";"NT",#N/A,FALSE,"NPV_NT";"DevP",#N/A,FALSE,"NPV_DevPdt";"Office",#N/A,FALSE,"NPV_Office"}</definedName>
    <definedName name="wrn.SUMM." hidden="1">{"SUMM",#N/A,FALSE,"SUMM"}</definedName>
    <definedName name="wrn.SUMM._.NO._.ADJ." hidden="1">{"SUMM NO ADJ",#N/A,FALSE,"SUMM"}</definedName>
    <definedName name="wrn.summ4." hidden="1">{#N/A,#N/A,FALSE,"summ";#N/A,#N/A,FALSE,"q1";#N/A,#N/A,FALSE,"summ_alt";#N/A,#N/A,FALSE,"stock_nozero";#N/A,#N/A,FALSE,"1995"}</definedName>
    <definedName name="wrn.summaries." hidden="1">{#N/A,#N/A,FALSE,"YTD SALES";#N/A,#N/A,FALSE,"MONTH SALES";#N/A,#N/A,FALSE,"YTD PROFIT";#N/A,#N/A,FALSE,"MONTH PROFIT";#N/A,#N/A,FALSE,"MONTH PROFIT %";#N/A,#N/A,FALSE,"YTD AWARDS";#N/A,#N/A,FALSE,"MONTH AWARDS";#N/A,#N/A,FALSE,"FUNDED BACKLOG";#N/A,#N/A,FALSE,"CONTRACT BACKLOG";#N/A,#N/A,FALSE,"CONTRACT AWARDS";#N/A,#N/A,FALSE,"CONTRACT VALUES";#N/A,#N/A,FALSE,"YTD WIP";#N/A,#N/A,FALSE,"MONTH WIP";#N/A,#N/A,FALSE,"GROSS INVENTORY";#N/A,#N/A,FALSE,"PP";#N/A,#N/A,FALSE,"NET INVENTORY";#N/A,#N/A,FALSE,"RECEIVABLES"}</definedName>
    <definedName name="wrn.Summary._.Package." hidden="1">{#N/A,#N/A,FALSE,"Lead Schedule";"Profit and Loss account",#N/A,FALSE,"US Schedules";"Normal View",#N/A,FALSE,"Membership Summary";"Normal View",#N/A,FALSE,"Exchanges Summary";"Normal View",#N/A,FALSE,"Travel Summary";"Normal View",#N/A,FALSE,"Other Revenue Summary";"Normal View",#N/A,FALSE,"Year on Year Cost Summary";"Normal View",#N/A,FALSE,"Staff Costs Summary"}</definedName>
    <definedName name="wrn.summary._.package.2" hidden="1">{#N/A,#N/A,FALSE,"Lead Schedule";"Profit and Loss account",#N/A,FALSE,"US Schedules";"Normal View",#N/A,FALSE,"Membership Summary";"Normal View",#N/A,FALSE,"Exchanges Summary";"Normal View",#N/A,FALSE,"Travel Summary";"Normal View",#N/A,FALSE,"Other Revenue Summary";"Normal View",#N/A,FALSE,"Year on Year Cost Summary";"Normal View",#N/A,FALSE,"Staff Costs Summary"}</definedName>
    <definedName name="wrn.SummaryPgs." hidden="1">{#N/A,#N/A,FALSE,"CreditStat";#N/A,#N/A,FALSE,"SPbrkup";#N/A,#N/A,FALSE,"MerSPsyn";#N/A,#N/A,FALSE,"MerSPwKCsyn";#N/A,#N/A,FALSE,"MerSPwKCsyn (2)";#N/A,#N/A,FALSE,"CreditStat (2)"}</definedName>
    <definedName name="wrn.SummaryPgs._1" hidden="1">{#N/A,#N/A,FALSE,"CreditStat";#N/A,#N/A,FALSE,"SPbrkup";#N/A,#N/A,FALSE,"MerSPsyn";#N/A,#N/A,FALSE,"MerSPwKCsyn";#N/A,#N/A,FALSE,"MerSPwKCsyn (2)";#N/A,#N/A,FALSE,"CreditStat (2)"}</definedName>
    <definedName name="wrn.Target." hidden="1">{#N/A,#N/A,TRUE,"Tar-Ass";#N/A,#N/A,TRUE,"Tar-IS";#N/A,#N/A,TRUE,"Tar-BS";#N/A,#N/A,TRUE,"Tar-CF";#N/A,#N/A,TRUE,"Tar-Adg BS";#N/A,#N/A,TRUE,"Tar-Proj";#N/A,#N/A,TRUE,"Tar-CapEx";#N/A,#N/A,TRUE,"Tar-Debt";#N/A,#N/A,TRUE,"Tar-Int";#N/A,#N/A,TRUE,"Tar-BD";#N/A,#N/A,TRUE,"Tar-TD";#N/A,#N/A,TRUE,"Tar-Taxes";#N/A,#N/A,TRUE,"Tar-Credit";#N/A,#N/A,TRUE,"Val - sum";#N/A,#N/A,TRUE,"Val - Sum1";#N/A,#N/A,TRUE,"Val - sum2";#N/A,#N/A,TRUE,"Val - Sum3";#N/A,#N/A,TRUE,"Tar-DCF";#N/A,#N/A,TRUE,"Tar-Val LBO";#N/A,#N/A,TRUE,"Tar-Mult Val"}</definedName>
    <definedName name="wrn.Target._2" hidden="1">{#N/A,#N/A,TRUE,"Tar-Ass";#N/A,#N/A,TRUE,"Tar-IS";#N/A,#N/A,TRUE,"Tar-BS";#N/A,#N/A,TRUE,"Tar-CF";#N/A,#N/A,TRUE,"Tar-Adg BS";#N/A,#N/A,TRUE,"Tar-Proj";#N/A,#N/A,TRUE,"Tar-CapEx";#N/A,#N/A,TRUE,"Tar-Debt";#N/A,#N/A,TRUE,"Tar-Int";#N/A,#N/A,TRUE,"Tar-BD";#N/A,#N/A,TRUE,"Tar-TD";#N/A,#N/A,TRUE,"Tar-Taxes";#N/A,#N/A,TRUE,"Tar-Credit";#N/A,#N/A,TRUE,"Val - sum";#N/A,#N/A,TRUE,"Val - Sum1";#N/A,#N/A,TRUE,"Val - sum2";#N/A,#N/A,TRUE,"Val - Sum3";#N/A,#N/A,TRUE,"Tar-DCF";#N/A,#N/A,TRUE,"Tar-Val LBO";#N/A,#N/A,TRUE,"Tar-Mult Val"}</definedName>
    <definedName name="wrn.Target._22" hidden="1">{#N/A,#N/A,TRUE,"Tar-Ass";#N/A,#N/A,TRUE,"Tar-IS";#N/A,#N/A,TRUE,"Tar-BS";#N/A,#N/A,TRUE,"Tar-CF";#N/A,#N/A,TRUE,"Tar-Adg BS";#N/A,#N/A,TRUE,"Tar-Proj";#N/A,#N/A,TRUE,"Tar-CapEx";#N/A,#N/A,TRUE,"Tar-Debt";#N/A,#N/A,TRUE,"Tar-Int";#N/A,#N/A,TRUE,"Tar-BD";#N/A,#N/A,TRUE,"Tar-TD";#N/A,#N/A,TRUE,"Tar-Taxes";#N/A,#N/A,TRUE,"Tar-Credit";#N/A,#N/A,TRUE,"Val - sum";#N/A,#N/A,TRUE,"Val - Sum1";#N/A,#N/A,TRUE,"Val - sum2";#N/A,#N/A,TRUE,"Val - Sum3";#N/A,#N/A,TRUE,"Tar-DCF";#N/A,#N/A,TRUE,"Tar-Val LBO";#N/A,#N/A,TRUE,"Tar-Mult Val"}</definedName>
    <definedName name="wrn.Target.2" hidden="1">{#N/A,#N/A,TRUE,"Tar-Ass";#N/A,#N/A,TRUE,"Tar-IS";#N/A,#N/A,TRUE,"Tar-BS";#N/A,#N/A,TRUE,"Tar-CF";#N/A,#N/A,TRUE,"Tar-Adg BS";#N/A,#N/A,TRUE,"Tar-Proj";#N/A,#N/A,TRUE,"Tar-CapEx";#N/A,#N/A,TRUE,"Tar-Debt";#N/A,#N/A,TRUE,"Tar-Int";#N/A,#N/A,TRUE,"Tar-BD";#N/A,#N/A,TRUE,"Tar-TD";#N/A,#N/A,TRUE,"Tar-Taxes";#N/A,#N/A,TRUE,"Tar-Credit";#N/A,#N/A,TRUE,"Val - sum";#N/A,#N/A,TRUE,"Val - Sum1";#N/A,#N/A,TRUE,"Val - sum2";#N/A,#N/A,TRUE,"Val - Sum3";#N/A,#N/A,TRUE,"Tar-DCF";#N/A,#N/A,TRUE,"Tar-Val LBO";#N/A,#N/A,TRUE,"Tar-Mult Val"}</definedName>
    <definedName name="wrn.TargetLBO." hidden="1">{#N/A,#N/A,TRUE,"Tar-Ass";#N/A,#N/A,TRUE,"Tar-Ass LBO";#N/A,#N/A,TRUE,"LBO Ret";#N/A,#N/A,TRUE,"Tar-BS LBO";#N/A,#N/A,TRUE,"Tar-IS LBO";#N/A,#N/A,TRUE,"Tar-CF LBO";#N/A,#N/A,TRUE,"Tar-Debt LBO";#N/A,#N/A,TRUE,"Tar-Int LBO";#N/A,#N/A,TRUE,"Tar-Taxes LBO";#N/A,#N/A,TRUE,"Tar-Val LBO"}</definedName>
    <definedName name="wrn.TargetLBO._2" hidden="1">{#N/A,#N/A,TRUE,"Tar-Ass";#N/A,#N/A,TRUE,"Tar-Ass LBO";#N/A,#N/A,TRUE,"LBO Ret";#N/A,#N/A,TRUE,"Tar-BS LBO";#N/A,#N/A,TRUE,"Tar-IS LBO";#N/A,#N/A,TRUE,"Tar-CF LBO";#N/A,#N/A,TRUE,"Tar-Debt LBO";#N/A,#N/A,TRUE,"Tar-Int LBO";#N/A,#N/A,TRUE,"Tar-Taxes LBO";#N/A,#N/A,TRUE,"Tar-Val LBO"}</definedName>
    <definedName name="wrn.TargetLBO._22" hidden="1">{#N/A,#N/A,TRUE,"Tar-Ass";#N/A,#N/A,TRUE,"Tar-Ass LBO";#N/A,#N/A,TRUE,"LBO Ret";#N/A,#N/A,TRUE,"Tar-BS LBO";#N/A,#N/A,TRUE,"Tar-IS LBO";#N/A,#N/A,TRUE,"Tar-CF LBO";#N/A,#N/A,TRUE,"Tar-Debt LBO";#N/A,#N/A,TRUE,"Tar-Int LBO";#N/A,#N/A,TRUE,"Tar-Taxes LBO";#N/A,#N/A,TRUE,"Tar-Val LBO"}</definedName>
    <definedName name="wrn.TargetLBO.2" hidden="1">{#N/A,#N/A,TRUE,"Tar-Ass";#N/A,#N/A,TRUE,"Tar-Ass LBO";#N/A,#N/A,TRUE,"LBO Ret";#N/A,#N/A,TRUE,"Tar-BS LBO";#N/A,#N/A,TRUE,"Tar-IS LBO";#N/A,#N/A,TRUE,"Tar-CF LBO";#N/A,#N/A,TRUE,"Tar-Debt LBO";#N/A,#N/A,TRUE,"Tar-Int LBO";#N/A,#N/A,TRUE,"Tar-Taxes LBO";#N/A,#N/A,TRUE,"Tar-Val LBO"}</definedName>
    <definedName name="wrn.TargetState." hidden="1">{#N/A,#N/A,FALSE,"Tar-Ass";#N/A,#N/A,FALSE,"Tar-IS";#N/A,#N/A,FALSE,"Tar-BS";#N/A,#N/A,FALSE,"Tar-Adg BS";#N/A,#N/A,FALSE,"Tar-CF"}</definedName>
    <definedName name="wrn.TargetState._2" hidden="1">{#N/A,#N/A,FALSE,"Tar-Ass";#N/A,#N/A,FALSE,"Tar-IS";#N/A,#N/A,FALSE,"Tar-BS";#N/A,#N/A,FALSE,"Tar-Adg BS";#N/A,#N/A,FALSE,"Tar-CF"}</definedName>
    <definedName name="wrn.TargetState._22" hidden="1">{#N/A,#N/A,FALSE,"Tar-Ass";#N/A,#N/A,FALSE,"Tar-IS";#N/A,#N/A,FALSE,"Tar-BS";#N/A,#N/A,FALSE,"Tar-Adg BS";#N/A,#N/A,FALSE,"Tar-CF"}</definedName>
    <definedName name="wrn.TargetState.2" hidden="1">{#N/A,#N/A,FALSE,"Tar-Ass";#N/A,#N/A,FALSE,"Tar-IS";#N/A,#N/A,FALSE,"Tar-BS";#N/A,#N/A,FALSE,"Tar-Adg BS";#N/A,#N/A,FALSE,"Tar-CF"}</definedName>
    <definedName name="wrn.TargetVal." hidden="1">{#N/A,#N/A,TRUE,"Val - sum";#N/A,#N/A,TRUE,"Val - Sum1";#N/A,#N/A,TRUE,"Val - sum2";#N/A,#N/A,TRUE,"Val - Sum3";#N/A,#N/A,TRUE,"Tar-DCF";#N/A,#N/A,TRUE,"Tar-Val LBO";#N/A,#N/A,TRUE,"Tar-Mult Val"}</definedName>
    <definedName name="wrn.TargetVal._2" hidden="1">{#N/A,#N/A,TRUE,"Val - sum";#N/A,#N/A,TRUE,"Val - Sum1";#N/A,#N/A,TRUE,"Val - sum2";#N/A,#N/A,TRUE,"Val - Sum3";#N/A,#N/A,TRUE,"Tar-DCF";#N/A,#N/A,TRUE,"Tar-Val LBO";#N/A,#N/A,TRUE,"Tar-Mult Val"}</definedName>
    <definedName name="wrn.TargetVal._22" hidden="1">{#N/A,#N/A,TRUE,"Val - sum";#N/A,#N/A,TRUE,"Val - Sum1";#N/A,#N/A,TRUE,"Val - sum2";#N/A,#N/A,TRUE,"Val - Sum3";#N/A,#N/A,TRUE,"Tar-DCF";#N/A,#N/A,TRUE,"Tar-Val LBO";#N/A,#N/A,TRUE,"Tar-Mult Val"}</definedName>
    <definedName name="wrn.TargetVal.2" hidden="1">{#N/A,#N/A,TRUE,"Val - sum";#N/A,#N/A,TRUE,"Val - Sum1";#N/A,#N/A,TRUE,"Val - sum2";#N/A,#N/A,TRUE,"Val - Sum3";#N/A,#N/A,TRUE,"Tar-DCF";#N/A,#N/A,TRUE,"Tar-Val LBO";#N/A,#N/A,TRUE,"Tar-Mult Val"}</definedName>
    <definedName name="wrn.Tariff._.Analysis." hidden="1">{"Tarifica91",#N/A,FALSE,"Tariffs";"Tarifica92",#N/A,FALSE,"Tariffs";"Tarifica93",#N/A,FALSE,"Tariffs";"Tarifica94",#N/A,FALSE,"Tariffs";"Tarifica95",#N/A,FALSE,"Tariffs";"Tarifica96",#N/A,FALSE,"Tariffs"}</definedName>
    <definedName name="wrn.Tariff._.Comaprison." hidden="1">{"Tariff Comparison",#N/A,FALSE,"Benchmarking";"Tariff Comparison 2",#N/A,FALSE,"Benchmarking";"Tariff Comparison 3",#N/A,FALSE,"Benchmarking"}</definedName>
    <definedName name="wrn.Taxes." hidden="1">{"Def Tax Long",#N/A,TRUE,"Financials";"Def Tax Short",#N/A,TRUE,"Financials";"Cons Tax Sched",#N/A,TRUE,"Financials"}</definedName>
    <definedName name="wrn.Taxes._1" hidden="1">{"Def Tax Long",#N/A,TRUE,"Financials";"Def Tax Short",#N/A,TRUE,"Financials";"Cons Tax Sched",#N/A,TRUE,"Financials"}</definedName>
    <definedName name="wrn.TB._.ALL._.ACCTS." hidden="1">{"BALANCE SHEET ACCTS",#N/A,TRUE,"Working Trial Balance";"INCOME STMT ACCTS",#N/A,TRUE,"Working Trial Balance"}</definedName>
    <definedName name="wrn.TB._.BALANCE._.SHEET." hidden="1">{"BALANCE SHEET ACCTS",#N/A,FALSE,"Working Trial Balance"}</definedName>
    <definedName name="wrn.TB._.EXPLANATIONS." hidden="1">{"EXPLANATIONS",#N/A,FALSE,"Working Trial Balance"}</definedName>
    <definedName name="wrn.TB._.INCOME._.STMT." hidden="1">{"INCOME STMT ACCTS",#N/A,FALSE,"Working Trial Balance"}</definedName>
    <definedName name="wrn.test." hidden="1">{#N/A,#N/A,TRUE,"stops- rsrvs";#N/A,#N/A,TRUE,"P&amp;L phoenix";#N/A,#N/A,TRUE,"BS phoenix";#N/A,#N/A,TRUE,"P&amp;L columbus";#N/A,#N/A,TRUE,"BS columbus"}</definedName>
    <definedName name="wrn.test1." hidden="1">{"Income Statement",#N/A,FALSE,"CFMODEL";"Balance Sheet",#N/A,FALSE,"CFMODEL"}</definedName>
    <definedName name="wrn.test2." hidden="1">{"SourcesUses",#N/A,TRUE,"CFMODEL";"TransOverview",#N/A,TRUE,"CFMODEL"}</definedName>
    <definedName name="wrn.test3." hidden="1">{"SourcesUses",#N/A,TRUE,#N/A;"TransOverview",#N/A,TRUE,"CFMODEL"}</definedName>
    <definedName name="wrn.test4." hidden="1">{"SourcesUses",#N/A,TRUE,"FundsFlow";"TransOverview",#N/A,TRUE,"FundsFlow"}</definedName>
    <definedName name="wrn.TMCALL." hidden="1">{"tmccash",#N/A,FALSE,"INCX";"tmcinc",#N/A,FALSE,"INCX";"tmcpretx",#N/A,FALSE,"INCX";"tmcadrev",#N/A,FALSE,"INCX";"tmcbooks",#N/A,FALSE,"INCX"}</definedName>
    <definedName name="wrn.TOOL."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t_bow." hidden="1">{"tot_bow",#N/A,FALSE,"AMF"}</definedName>
    <definedName name="wrn.TOT_DIVISÕES." hidden="1">{"TOT_DIVISÕES",#N/A,FALSE,"TOT"}</definedName>
    <definedName name="wrn.tot_pls." hidden="1">{"tot_pls",#N/A,FALSE,"PL"}</definedName>
    <definedName name="wrn.tot_pqs." hidden="1">{"tot_pqs",#N/A,FALSE,"PQ"}</definedName>
    <definedName name="wrn.total." hidden="1">{#N/A,#N/A,FALSE,"US Healthcare";#N/A,#N/A,FALSE,"US Mfg";#N/A,#N/A,FALSE,"SURGICAL";#N/A,#N/A,FALSE,"IVSD";#N/A,#N/A,FALSE,"USDIST-FLD SLS";#N/A,#N/A,FALSE,"USDIST-FLD SLS";#N/A,#N/A,FALSE,"HEALTH SYS";#N/A,#N/A,FALSE,"Unallocated USHC";#N/A,#N/A,FALSE,"ACT INIT.";#N/A,#N/A,FALSE,"PS Hos Elim";#N/A,#N/A,FALSE,"OPELIM";#N/A,#N/A,FALSE,"Net Sales 96";#N/A,#N/A,FALSE,"SG&amp;A 96";#N/A,#N/A,FALSE,"Pretax 96";#N/A,#N/A,FALSE,"Net Income 96";#N/A,#N/A,FALSE,"Cash Flow 96";#N/A,#N/A,FALSE,"96 Actual GP$";#N/A,#N/A,FALSE,"96 Actual GP%";#N/A,#N/A,FALSE,"96 Actual Tax Rate";#N/A,#N/A,FALSE,"96 Capital Exp.";#N/A,#N/A,FALSE,"EVA"}</definedName>
    <definedName name="wrn.total._.year." hidden="1">{#N/A,#N/A,FALSE,"2003_Input - P&amp;L"}</definedName>
    <definedName name="wrn.total1." hidden="1">{#N/A,#N/A,FALSE,"US Healthcare";#N/A,#N/A,FALSE,"US Mfg";#N/A,#N/A,FALSE,"SURGICAL";#N/A,#N/A,FALSE,"IVSD";#N/A,#N/A,FALSE,"USDIST-FLD SLS";#N/A,#N/A,FALSE,"USDIST-FLD SLS";#N/A,#N/A,FALSE,"HEALTH SYS";#N/A,#N/A,FALSE,"Unallocated USHC";#N/A,#N/A,FALSE,"ACT INIT.";#N/A,#N/A,FALSE,"PS Hos Elim";#N/A,#N/A,FALSE,"OPELIM";#N/A,#N/A,FALSE,"Net Sales 96";#N/A,#N/A,FALSE,"SG&amp;A 96";#N/A,#N/A,FALSE,"Pretax 96";#N/A,#N/A,FALSE,"Net Income 96";#N/A,#N/A,FALSE,"Cash Flow 96";#N/A,#N/A,FALSE,"96 Actual GP$";#N/A,#N/A,FALSE,"96 Actual GP%";#N/A,#N/A,FALSE,"96 Actual Tax Rate";#N/A,#N/A,FALSE,"96 Capital Exp.";#N/A,#N/A,FALSE,"EVA"}</definedName>
    <definedName name="wrn.Trading._.Summary." hidden="1">{#N/A,#N/A,FALSE,"Trading Summary"}</definedName>
    <definedName name="wrn.Trading._.Summary._1" hidden="1">{#N/A,#N/A,FALSE,"Trading Summary"}</definedName>
    <definedName name="wrn.TransPrcd_123." hidden="1">{#N/A,#N/A,TRUE,"TransPrcd 1";#N/A,#N/A,TRUE,"TransPrcd 2";#N/A,#N/A,TRUE,"TransPrcd 3"}</definedName>
    <definedName name="wrn.trball." hidden="1">{"trbcash",#N/A,FALSE,"INCPF";"trbinc",#N/A,FALSE,"INCPF";"trbchic",#N/A,FALSE,"INCPF";"trbadrev",#N/A,FALSE,"INCPF";"trbstns",#N/A,FALSE,"INCPF";"trbtvstns",#N/A,FALSE,"INCPF"}</definedName>
    <definedName name="wrn.Tweety." hidden="1">{#N/A,#N/A,FALSE,"A&amp;E";#N/A,#N/A,FALSE,"HighTop";#N/A,#N/A,FALSE,"JG";#N/A,#N/A,FALSE,"RI";#N/A,#N/A,FALSE,"woHT";#N/A,#N/A,FALSE,"woHT&amp;JG"}</definedName>
    <definedName name="wrn.Tweety._1" hidden="1">{#N/A,#N/A,FALSE,"A&amp;E";#N/A,#N/A,FALSE,"HighTop";#N/A,#N/A,FALSE,"JG";#N/A,#N/A,FALSE,"RI";#N/A,#N/A,FALSE,"woHT";#N/A,#N/A,FALSE,"woHT&amp;JG"}</definedName>
    <definedName name="wrn.twofin." hidden="1">{"bscompare",#N/A,FALSE,"Bal Sheet"}</definedName>
    <definedName name="wrn.UK._.GAAP._.BS." hidden="1">{"UKGAAP balance sheet",#N/A,FALSE,"Balance Sheet"}</definedName>
    <definedName name="wrn.UK._.Retail._.PLs." hidden="1">{"Clothing PL",#N/A,FALSE,"H1H2";"Food PL",#N/A,FALSE,"H1H2";"Group PL",#N/A,FALSE,"H1H2";"Home Furnishings PL",#N/A,FALSE,"H1H2"}</definedName>
    <definedName name="wrn.Umsatz." hidden="1">{#N/A,#N/A,FALSE,"Umsatz";#N/A,#N/A,FALSE,"Base V.02";#N/A,#N/A,FALSE,"Charts"}</definedName>
    <definedName name="wrn.UNISER." hidden="1">{"UNISER",#N/A,FALSE,"TOT"}</definedName>
    <definedName name="wrn.upstairs." hidden="1">{"histincome",#N/A,FALSE,"hyfins";"closing balance",#N/A,FALSE,"hyfins"}</definedName>
    <definedName name="wrn.upstairs._1" hidden="1">{"histincome",#N/A,FALSE,"hyfins";"closing balance",#N/A,FALSE,"hyfins"}</definedName>
    <definedName name="wrn.US._.Bank." hidden="1">{#N/A,#N/A,TRUE,"Cover_Page";#N/A,#N/A,TRUE,"Balance Sheet FY12";#N/A,#N/A,TRUE,"Debt Covenants_US Bank_Cons";#N/A,#N/A,TRUE,"Consolidated-Cash Flow";#N/A,#N/A,TRUE,"CY_Per Inc FY12";#N/A,#N/A,TRUE,"Income FY12";#N/A,#N/A,TRUE,"Consolidated"}</definedName>
    <definedName name="wrn.USA._.Consolidated._.Report." hidden="1">{#N/A,#N/A,TRUE,"Consolidated B Sheet";#N/A,#N/A,TRUE,"Consolidated Cashflow";#N/A,#N/A,TRUE,"P&amp;L CONSOLIDATED"}</definedName>
    <definedName name="wrn.USW." hidden="1">{"IS",#N/A,FALSE,"IS";"RPTIS",#N/A,FALSE,"RPTIS";"STATS",#N/A,FALSE,"STATS";"BS",#N/A,FALSE,"BS"}</definedName>
    <definedName name="wrn.UTL._.Position." hidden="1">{"UTL effect",#N/A,FALSE,"Sensitivity"}</definedName>
    <definedName name="wrn.VALUATION." hidden="1">{#N/A,#N/A,FALSE,"Valuation Assumptions";#N/A,#N/A,FALSE,"Summary";#N/A,#N/A,FALSE,"DCF";#N/A,#N/A,FALSE,"Valuation";#N/A,#N/A,FALSE,"WACC";#N/A,#N/A,FALSE,"UBVH";#N/A,#N/A,FALSE,"Free Cash Flow"}</definedName>
    <definedName name="wrn.VALUATION._1" hidden="1">{#N/A,#N/A,FALSE,"Valuation Assumptions";#N/A,#N/A,FALSE,"Summary";#N/A,#N/A,FALSE,"DCF";#N/A,#N/A,FALSE,"Valuation";#N/A,#N/A,FALSE,"WACC";#N/A,#N/A,FALSE,"UBVH";#N/A,#N/A,FALSE,"Free Cash Flow"}</definedName>
    <definedName name="wrn.Variance._.REports." hidden="1">{#N/A,#N/A,FALSE,"Summary";#N/A,#N/A,FALSE,"04E Summ";#N/A,#N/A,FALSE,"04Pvs03E Summ";#N/A,#N/A,FALSE,"03E Summ"}</definedName>
    <definedName name="wrn.VENT." hidden="1">{"VENT",#N/A,FALSE,"VENT"}</definedName>
    <definedName name="wrn.VENT._.NO._.ADJ." hidden="1">{"VENT NO ADJ",#N/A,FALSE,"VENT"}</definedName>
    <definedName name="wrn.VGI._.EXT." hidden="1">{"VGI EXT",#N/A,FALSE,"VGEX"}</definedName>
    <definedName name="wrn.VGI._.EXT._.NO._.ADJ." hidden="1">{"VGI EXT NO ADJ",#N/A,FALSE,"VGEX"}</definedName>
    <definedName name="wrn.VGI._.INT." hidden="1">{"VGI INT",#N/A,FALSE,"VGIN"}</definedName>
    <definedName name="wrn.VGI._.INT._.NO._.ADJ." hidden="1">{"VGI INT NO ADJ",#N/A,FALSE,"VGIN"}</definedName>
    <definedName name="wrn.Vodafone._.printout." hidden="1">{"Groupannual",#N/A,FALSE,"Groupannual";"VodMann",#N/A,FALSE,"VodMann";"Data",#N/A,FALSE,"Data";"Group International",#N/A,FALSE,"Group International";"BellAir",#N/A,FALSE,"BellAir";"DCF sum of parts",#N/A,FALSE,"DCF sum of parts";"licences",#N/A,FALSE,"licences"}</definedName>
    <definedName name="wrn.VRTX." hidden="1">{"Revenues",#N/A,FALSE,"Revenue";"qearn1",#N/A,FALSE,"Qearn";"qearn2",#N/A,FALSE,"Qearn";#N/A,#N/A,FALSE,"Qmargin";"cashflow",#N/A,FALSE,"Cashflow";"Product Pipeline",#N/A,FALSE,"Product Pipeline"}</definedName>
    <definedName name="wrn.Wacc." hidden="1">{"Area1",#N/A,FALSE,"OREWACC";"Area2",#N/A,FALSE,"OREWACC"}</definedName>
    <definedName name="wrn.Warrant._.analysis." hidden="1">{#N/A,#N/A,FALSE,"sum (2)";#N/A,#N/A,FALSE,"bs";#N/A,#N/A,FALSE,"is";#N/A,#N/A,FALSE,"cf";#N/A,#N/A,FALSE,"ltd";#N/A,#N/A,FALSE,"irr (2)"}</definedName>
    <definedName name="wrn.WHOLE." hidden="1">{#N/A,#N/A,FALSE,"assumptions";#N/A,#N/A,FALSE,"contrib_annual";#N/A,#N/A,FALSE,"historic";#N/A,#N/A,FALSE,"Proforma";#N/A,#N/A,FALSE,"CALENDARIZED";#N/A,#N/A,FALSE,"Has_gets";#N/A,#N/A,FALSE,"DILUTION"}</definedName>
    <definedName name="wrn.wicor." hidden="1">{#N/A,#N/A,FALSE,"FACTSHEETS";#N/A,#N/A,FALSE,"pump";#N/A,#N/A,FALSE,"filter"}</definedName>
    <definedName name="wrn.wpoall." hidden="1">{"wpocash",#N/A,FALSE,"WPOALLT";"wpoinc",#N/A,FALSE,"WPOALLT";"wpoexcl",#N/A,FALSE,"WPOALLT";"wpocable",#N/A,FALSE,"WPOALLT";"wpobroad",#N/A,FALSE,"WPOALLT";"wpopost",#N/A,FALSE,"WPOALLT";"wponwsweek",#N/A,FALSE,"WPOALLT"}</definedName>
    <definedName name="wrn.WSTS._.Trade._.Statistics." hidden="1">{#N/A,#N/A,FALSE,"Table of Contents";#N/A,#N/A,FALSE,"Overview";#N/A,#N/A,FALSE,"Data"}</definedName>
    <definedName name="wrn.WSTS._.Trade._.Statistics._1" hidden="1">{#N/A,#N/A,FALSE,"Table of Contents";#N/A,#N/A,FALSE,"Overview";#N/A,#N/A,FALSE,"Data"}</definedName>
    <definedName name="wrn.WWY." hidden="1">{#N/A,#N/A,FALSE,"WWY"}</definedName>
    <definedName name="wrn.WWY._1" hidden="1">{#N/A,#N/A,FALSE,"WWY"}</definedName>
    <definedName name="wrn.YTD_ROY_PL." hidden="1">{"ROY_YTD",#N/A,FALSE,"1.2"}</definedName>
    <definedName name="wrn.YTD_ROY_PL._1" hidden="1">{"ROY_YTD",#N/A,FALSE,"1.2"}</definedName>
    <definedName name="wrn1.history" hidden="1">{#N/A,#N/A,FALSE,"model"}</definedName>
    <definedName name="wrn2.Basic" hidden="1">{#N/A,#N/A,FALSE,"e-Svc Level";#N/A,#N/A,FALSE,"e-Hosted";#N/A,#N/A,FALSE,"e-Licensed";#N/A,#N/A,FALSE,"Assumptions"}</definedName>
    <definedName name="wrn2.Basic." hidden="1">{#N/A,#N/A,FALSE,"e-Svc Level";#N/A,#N/A,FALSE,"e-Hosted";#N/A,#N/A,FALSE,"e-Licensed";#N/A,#N/A,FALSE,"Assumptions"}</definedName>
    <definedName name="wrn2.Basic._1" hidden="1">{#N/A,#N/A,FALSE,"e-Svc Level";#N/A,#N/A,FALSE,"e-Hosted";#N/A,#N/A,FALSE,"e-Licensed";#N/A,#N/A,FALSE,"Assumptions"}</definedName>
    <definedName name="wrn2.Basic_1" hidden="1">{#N/A,#N/A,FALSE,"e-Svc Level";#N/A,#N/A,FALSE,"e-Hosted";#N/A,#N/A,FALSE,"e-Licensed";#N/A,#N/A,FALSE,"Assumptions"}</definedName>
    <definedName name="wrn3.ALL." hidden="1">{#N/A,#N/A,FALSE,"DCF";#N/A,#N/A,FALSE,"WACC";#N/A,#N/A,FALSE,"Sales_EBIT";#N/A,#N/A,FALSE,"Capex_Depreciation";#N/A,#N/A,FALSE,"WC";#N/A,#N/A,FALSE,"Interest";#N/A,#N/A,FALSE,"Assumptions"}</definedName>
    <definedName name="wrn3.histroic" hidden="1">{#N/A,#N/A,FALSE,"model"}</definedName>
    <definedName name="wrnfy97" hidden="1">{#N/A,#N/A,FALSE,"FY97";#N/A,#N/A,FALSE,"FY98";#N/A,#N/A,FALSE,"FY99";#N/A,#N/A,FALSE,"FY00";#N/A,#N/A,FALSE,"FY01"}</definedName>
    <definedName name="wrnt.dcf" hidden="1">{"mgmt forecast",#N/A,FALSE,"Mgmt Forecast";"dcf table",#N/A,FALSE,"Mgmt Forecast";"sensitivity",#N/A,FALSE,"Mgmt Forecast";"table inputs",#N/A,FALSE,"Mgmt Forecast";"calculations",#N/A,FALSE,"Mgmt Forecast"}</definedName>
    <definedName name="wt" hidden="1">{#N/A,#N/A,FALSE,"FY97";#N/A,#N/A,FALSE,"FY98";#N/A,#N/A,FALSE,"FY99";#N/A,#N/A,FALSE,"FY00";#N/A,#N/A,FALSE,"FY01"}</definedName>
    <definedName name="wvu.ALL." hidden="1">{TRUE,TRUE,-2,-16.25,486,278.25,FALSE,TRUE,TRUE,TRUE,0,1,2,4,1,0.987654320987654,0.952380952380952,3,TRUE,TRUE,3,TRUE,1,FALSE,100,"Swvu.ALL.","ACwvu.ALL.",#N/A,FALSE,FALSE,0.01,0.01,0.5,0.2,2,"&amp;R&amp;""Times New Roman""&amp;F
&amp;D   &amp;T","",TRUE,FALSE,FALSE,FALSE,1,100,#N/A,#N/A,"=R1C1:R53C15",FALSE,#N/A,"Cwvu.ALL.",FALSE,FALSE,TRUE,1,65532,65532,FALSE,FALSE,TRUE,TRUE,TRUE}</definedName>
    <definedName name="wvu.all.2" hidden="1">{TRUE,TRUE,-2,-16.25,486,278.25,FALSE,TRUE,TRUE,TRUE,0,1,2,4,1,0.987654320987654,0.952380952380952,3,TRUE,TRUE,3,TRUE,1,FALSE,100,"Swvu.ALL.","ACwvu.ALL.",#N/A,FALSE,FALSE,0.01,0.01,0.5,0.2,2,"&amp;R&amp;""Times New Roman""&amp;F
&amp;D   &amp;T","",TRUE,FALSE,FALSE,FALSE,1,100,#N/A,#N/A,"=R1C1:R53C15",FALSE,#N/A,"Cwvu.ALL.",FALSE,FALSE,TRUE,1,65532,65532,FALSE,FALSE,TRUE,TRUE,TRUE}</definedName>
    <definedName name="wvu.all2" hidden="1">{TRUE,TRUE,-2,-16.25,486,278.25,FALSE,TRUE,TRUE,TRUE,0,1,2,4,1,0.987654320987654,0.952380952380952,3,TRUE,TRUE,3,TRUE,1,FALSE,100,"Swvu.ALL.","ACwvu.ALL.",#N/A,FALSE,FALSE,0.01,0.01,0.5,0.2,2,"&amp;R&amp;""Times New Roman""&amp;F
&amp;D   &amp;T","",TRUE,FALSE,FALSE,FALSE,1,100,#N/A,#N/A,"=R1C1:R53C15",FALSE,#N/A,"Cwvu.ALL.",FALSE,FALSE,TRUE,1,65532,65532,FALSE,FALSE,TRUE,TRUE,TRUE}</definedName>
    <definedName name="wvu.all3" hidden="1">{TRUE,TRUE,-2,-16.25,486,278.25,FALSE,TRUE,TRUE,TRUE,0,1,2,4,1,0.987654320987654,0.952380952380952,3,TRUE,TRUE,3,TRUE,1,FALSE,100,"Swvu.ALL.","ACwvu.ALL.",#N/A,FALSE,FALSE,0.01,0.01,0.5,0.2,2,"&amp;R&amp;""Times New Roman""&amp;F
&amp;D   &amp;T","",TRUE,FALSE,FALSE,FALSE,1,100,#N/A,#N/A,"=R1C1:R53C15",FALSE,#N/A,"Cwvu.ALL.",FALSE,FALSE,TRUE,1,65532,65532,FALSE,FALSE,TRUE,TRUE,TRUE}</definedName>
    <definedName name="wvu.BS." hidden="1">{TRUE,FALSE,-2.6,-18.8,621.6,367.2,FALSE,FALSE,TRUE,TRUE,0,1,61,1,6,1,5,4,TRUE,TRUE,3,TRUE,1,TRUE,100,"Swvu.BS.","ACwvu.BS.",#N/A,FALSE,FALSE,0.5,0.5,0.5,0.5,2,"","",FALSE,FALSE,FALSE,FALSE,1,#N/A,1,1,"=R1C1:R27C73",FALSE,FALSE,FALSE,FALSE,FALSE,FALSE,1,#N/A,#N/A,FALSE,FALSE,TRUE,TRUE,TRUE}</definedName>
    <definedName name="wvu.inputs._.raw._.data."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1" hidden="1">{TRUE,TRUE,-1.25,-15.5,604.5,369,FALSE,FALSE,TRUE,TRUE,0,1,83,1,38,4,5,4,TRUE,TRUE,3,TRUE,1,TRUE,75,"Swvu.inputs._.raw._.data.","ACwvu.inputs._.raw._.data.",#N/A,FALSE,FALSE,0.5,0.5,0.5,0.5,2,"&amp;F","&amp;A&amp;RPage &amp;P",FALSE,FALSE,FALSE,FALSE,1,60,#N/A,#N/A,"=R1C61:R53C89","=C1:C5",#N/A,#N/A,FALSE,FALSE,FALSE,1,600,600,FALSE,FALSE,TRUE,TRUE,TRUE}</definedName>
    <definedName name="wvu.PRESENTATION." hidden="1">{TRUE,TRUE,-0.8,-17,483.6,277.2,FALSE,TRUE,TRUE,TRUE,0,1,#N/A,1,#N/A,52.4666666666667,24.0625,1,FALSE,FALSE,3,TRUE,1,FALSE,75,"Swvu.PRESENTATION.","ACwvu.PRESENTATION.",#N/A,FALSE,FALSE,0,0,0.5,0,2,"","",TRUE,FALSE,FALSE,FALSE,1,#N/A,1,1,FALSE,FALSE,"Rwvu.PRESENTATION.",#N/A,FALSE,FALSE,FALSE,1,#N/A,#N/A,FALSE,FALSE,TRUE,TRUE,TRUE}</definedName>
    <definedName name="wvu.PRT." hidden="1">{TRUE,TRUE,-2,-16.25,486,278.25,FALSE,TRUE,TRUE,TRUE,0,1,4,4,1,0.973404255319149,0.952380952380952,4,TRUE,TRUE,3,TRUE,1,FALSE,100,"Swvu.PRT.","ACwvu.PRT.",#N/A,FALSE,FALSE,0.01,0.01,0.75,0.1,2,"&amp;R&amp;""Times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name="wvu.prt.2" hidden="1">{TRUE,TRUE,-2,-16.25,486,278.25,FALSE,TRUE,TRUE,TRUE,0,1,4,4,1,0.973404255319149,0.952380952380952,4,TRUE,TRUE,3,TRUE,1,FALSE,100,"Swvu.PRT.","ACwvu.PRT.",#N/A,FALSE,FALSE,0.01,0.01,0.75,0.1,2,"&amp;R&amp;""Times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name="wvu.prt.3" hidden="1">{TRUE,TRUE,-2,-16.25,486,278.25,FALSE,TRUE,TRUE,TRUE,0,1,4,4,1,0.973404255319149,0.952380952380952,4,TRUE,TRUE,3,TRUE,1,FALSE,100,"Swvu.PRT.","ACwvu.PRT.",#N/A,FALSE,FALSE,0.01,0.01,0.75,0.1,2,"&amp;R&amp;""Times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name="wvu.prt2" hidden="1">{TRUE,TRUE,-2,-16.25,486,278.25,FALSE,TRUE,TRUE,TRUE,0,1,4,4,1,0.973404255319149,0.952380952380952,4,TRUE,TRUE,3,TRUE,1,FALSE,100,"Swvu.PRT.","ACwvu.PRT.",#N/A,FALSE,FALSE,0.01,0.01,0.75,0.1,2,"&amp;R&amp;""Times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name="wvu.prt3" hidden="1">{TRUE,TRUE,-2,-16.25,486,278.25,FALSE,TRUE,TRUE,TRUE,0,1,4,4,1,0.973404255319149,0.952380952380952,4,TRUE,TRUE,3,TRUE,1,FALSE,100,"Swvu.PRT.","ACwvu.PRT.",#N/A,FALSE,FALSE,0.01,0.01,0.75,0.1,2,"&amp;R&amp;""Times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name="wvu.SCHEDULE._.A." hidden="1">{TRUE,TRUE,-1.25,-15.5,484.5,301.5,FALSE,FALSE,TRUE,TRUE,0,6,#N/A,1,#N/A,9.07272727272727,27.6428571428571,1,FALSE,FALSE,3,TRUE,1,FALSE,100,"Swvu.SCHEDULE._.A.","ACwvu.SCHEDULE._.A.",1,FALSE,FALSE,0,0,0,0,2,"","",FALSE,FALSE,FALSE,FALSE,1,#N/A,1,1,"=R1C1:R61C13",FALSE,#N/A,#N/A,FALSE,FALSE}</definedName>
    <definedName name="wvu.SCHEDULE._.B." hidden="1">{TRUE,TRUE,-1.25,-15.5,484.5,276.75,FALSE,FALSE,TRUE,TRUE,0,14,#N/A,51,#N/A,7.78082191780822,22.1428571428571,1,FALSE,FALSE,3,TRUE,1,FALSE,100,"Swvu.SCHEDULE._.B.","ACwvu.SCHEDULE._.B.",1,FALSE,FALSE,0,0,0,0,2,"","",FALSE,FALSE,FALSE,FALSE,1,#N/A,1,1,"=R1C15:R50C26",FALSE,#N/A,#N/A,FALSE,FALSE,FALSE,1,65532,65532,FALSE,FALSE,TRUE,TRUE,TRUE}</definedName>
    <definedName name="wvu.summary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w.Rele" hidden="1">{#N/A,#N/A,FALSE,"Title Page";#N/A,#N/A,FALSE,"Conclusions";#N/A,#N/A,FALSE,"Assum.";#N/A,#N/A,FALSE,"Sun  DCF-WC-Dep";#N/A,#N/A,FALSE,"MarketValue";#N/A,#N/A,FALSE,"BalSheet";#N/A,#N/A,FALSE,"WACC";#N/A,#N/A,FALSE,"PC+ Info.";#N/A,#N/A,FALSE,"PC+Info_2"}</definedName>
    <definedName name="wwvu.all2" hidden="1">{TRUE,TRUE,-2,-16.25,486,278.25,FALSE,TRUE,TRUE,TRUE,0,1,2,4,1,0.987654320987654,0.952380952380952,3,TRUE,TRUE,3,TRUE,1,FALSE,100,"Swvu.ALL.","ACwvu.ALL.",#N/A,FALSE,FALSE,0.01,0.01,0.5,0.2,2,"&amp;R&amp;""Times New Roman""&amp;F
&amp;D   &amp;T","",TRUE,FALSE,FALSE,FALSE,1,100,#N/A,#N/A,"=R1C1:R53C15",FALSE,#N/A,"Cwvu.ALL.",FALSE,FALSE,TRUE,1,65532,65532,FALSE,FALSE,TRUE,TRUE,TRUE}</definedName>
    <definedName name="www" hidden="1">{"'xls'!$A$71:$A$78","'xls'!$A$1:$J$77"}</definedName>
    <definedName name="X" hidden="1">#REF!</definedName>
    <definedName name="x_1" hidden="1">{"'Standalone List Price Trends'!$A$1:$X$56"}</definedName>
    <definedName name="xaw"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xbelnew" hidden="1">{"IS",#N/A,FALSE,"IS";"RPTIS",#N/A,FALSE,"RPTIS";"STATS",#N/A,FALSE,"STATS";"CELL",#N/A,FALSE,"CELL";"BS",#N/A,FALSE,"BS"}</definedName>
    <definedName name="xChicago_Summary_4" hidden="1">{#N/A,#N/A,FALSE,"Additional ARPU"}</definedName>
    <definedName name="xdfa" hidden="1">{#N/A,#N/A,FALSE,"Additional ARPU"}</definedName>
    <definedName name="xdfadf" hidden="1">{#N/A,#N/A,FALSE,"Additional ARPU"}</definedName>
    <definedName name="xjazz" hidden="1">{#N/A,#N/A,FALSE,"Spain MKT";#N/A,#N/A,FALSE,"Assumptions";#N/A,#N/A,FALSE,"Adve";#N/A,#N/A,FALSE,"E-Commerce";#N/A,#N/A,FALSE,"Opex";#N/A,#N/A,FALSE,"P&amp;L";#N/A,#N/A,FALSE,"FCF &amp; DCF"}</definedName>
    <definedName name="xjazz2" hidden="1">{#N/A,#N/A,FALSE,"Spain MKT";#N/A,#N/A,FALSE,"Assumptions";#N/A,#N/A,FALSE,"Adve";#N/A,#N/A,FALSE,"E-Commerce";#N/A,#N/A,FALSE,"Opex";#N/A,#N/A,FALSE,"P&amp;L";#N/A,#N/A,FALSE,"FCF &amp; DCF"}</definedName>
    <definedName name="xnewbel" hidden="1">{"IS",#N/A,FALSE,"IS";"RPTIS",#N/A,FALSE,"RPTIS";"STATS",#N/A,FALSE,"STATS";"CELL",#N/A,FALSE,"CELL";"BS",#N/A,FALSE,"BS"}</definedName>
    <definedName name="XREF_COLUMN_1" hidden="1">#REF!</definedName>
    <definedName name="XREF_COLUMN_2" hidden="1">#REF!</definedName>
    <definedName name="XREF_COLUMN_3" hidden="1">#REF!</definedName>
    <definedName name="XREF_COLUMN_4" hidden="1">#REF!</definedName>
    <definedName name="XRefActiveRow" hidden="1">#REF!</definedName>
    <definedName name="XRefColumnsCount" hidden="1">4</definedName>
    <definedName name="XRefCopy1Row" hidden="1">#REF!</definedName>
    <definedName name="XRefCopy2" hidden="1">#REF!</definedName>
    <definedName name="XRefCopy3" hidden="1">#REF!</definedName>
    <definedName name="XRefCopy3Row" hidden="1">#REF!</definedName>
    <definedName name="XRefCopy4" hidden="1">#REF!</definedName>
    <definedName name="XRefCopy4Row" hidden="1">#REF!</definedName>
    <definedName name="XRefCopy5" hidden="1">#REF!</definedName>
    <definedName name="XRefCopy5Row" hidden="1">#REF!</definedName>
    <definedName name="XRefCopy6Row" hidden="1">#REF!</definedName>
    <definedName name="XRefCopy7" hidden="1">#REF!</definedName>
    <definedName name="XRefCopy7Row" hidden="1">#REF!</definedName>
    <definedName name="XRefCopy8" hidden="1">#REF!</definedName>
    <definedName name="XRefCopy8Row" hidden="1">#REF!</definedName>
    <definedName name="XRefCopyRangeCount" hidden="1">8</definedName>
    <definedName name="XRefPaste1" hidden="1">#REF!</definedName>
    <definedName name="XRefPaste1Row" hidden="1">#REF!</definedName>
    <definedName name="XRefPaste2" hidden="1">#REF!</definedName>
    <definedName name="XRefPaste2Row" hidden="1">#REF!</definedName>
    <definedName name="XRefPasteRangeCount" hidden="1">2</definedName>
    <definedName name="XS" hidden="1">{#N/A,#N/A,FALSE,"REV 110 PRNE (Bureau-Frankfurt)";#N/A,#N/A,FALSE,"REV 120 PRNE (Bureau - Paris)"}</definedName>
    <definedName name="xwrn.All" hidden="1">{#N/A,#N/A,TRUE,"Main";#N/A,#N/A,TRUE,"Valuation";#N/A,#N/A,TRUE,"Valuation (2)"}</definedName>
    <definedName name="xwrn.All._.Company._.Analyses." hidden="1">{"Methodology and Sourcing",#N/A,FALSE,"Methodology and Sourcing";"britishtelecom",#N/A,FALSE,"BT out";"CTC",#N/A,FALSE,"CTC out";"DT",#N/A,FALSE,"DT out";"FT",#N/A,FALSE,"FT out";"HKT",#N/A,FALSE,"HKT out";"KPN",#N/A,FALSE,"KPN out";"MATAV",#N/A,FALSE,"MATAV out";"PT Telkom",#N/A,FALSE,"PT Telkom out";"Tel Arg",#N/A,FALSE,"Tel Arg out";"Telef Arg",#N/A,FALSE,"TASA out";"Tel Asia",#N/A,FALSE,"Tel. Asia Out";"T de E",#N/A,FALSE,"T de E out";"Tel Malay",#N/A,FALSE,"Tel Malay out";"TELMEX",#N/A,FALSE,"Telmex out";"TNZ",#N/A,FALSE,"TNZ out";"Telkom SA",#N/A,FALSE,"Telkom SA out";"SPT",#N/A,FALSE,"SPT out";"USA",#N/A,FALSE,"USA out"}</definedName>
    <definedName name="xxx" hidden="1">#REF!</definedName>
    <definedName name="XXXX" hidden="1">#REF!</definedName>
    <definedName name="xxxxx" hidden="1">{#N/A,#N/A,FALSE,"Calc";#N/A,#N/A,FALSE,"Sensitivity";#N/A,#N/A,FALSE,"LT Earn.Dil.";#N/A,#N/A,FALSE,"Dil. AVP"}</definedName>
    <definedName name="xxxxxx" hidden="1">{"10yp graphs",#N/A,FALSE,"Market Data"}</definedName>
    <definedName name="xys" hidden="1">{#N/A,#N/A,FALSE,"Title Page";#N/A,#N/A,FALSE,"Conclusions";#N/A,#N/A,FALSE,"Assum.";#N/A,#N/A,FALSE,"Sun  DCF-WC-Dep";#N/A,#N/A,FALSE,"MarketValue";#N/A,#N/A,FALSE,"BalSheet";#N/A,#N/A,FALSE,"WACC";#N/A,#N/A,FALSE,"PC+ Info.";#N/A,#N/A,FALSE,"PC+Info_2"}</definedName>
    <definedName name="xyz" hidden="1">{"histincome",#N/A,FALSE,"hyfins";"closing balance",#N/A,FALSE,"hyfins"}</definedName>
    <definedName name="xyz_1" hidden="1">{"histincome",#N/A,FALSE,"hyfins";"closing balance",#N/A,FALSE,"hyfins"}</definedName>
    <definedName name="y" hidden="1">{#N/A,#N/A,FALSE,"FIN97 DETAIL"}</definedName>
    <definedName name="yes" hidden="1">{"PAGE 1",#N/A,FALSE,"WEST_OT"}</definedName>
    <definedName name="yrd" hidden="1">{"PAGE 1",#N/A,FALSE,"WEST_OT"}</definedName>
    <definedName name="yrto" hidden="1">#N/A</definedName>
    <definedName name="yuuuuuuu" hidden="1">{"ratios",#N/A,FALSE,"Summary Accounts"}</definedName>
    <definedName name="yy" hidden="1">{"consolidated",#N/A,FALSE,"Sheet1";"cms",#N/A,FALSE,"Sheet1";"fse",#N/A,FALSE,"Sheet1"}</definedName>
    <definedName name="yyyy" hidden="1">{"MESROS",#N/A,FALSE,"ROS";"MESOFF",#N/A,FALSE,"OFF";"MESBEA",#N/A,FALSE,"BEA";"MESCOF",#N/A,FALSE,"COF";"MESTEL",#N/A,FALSE,"TEL";"MESCON",#N/A,FALSE,"CON";"MESINT",#N/A,FALSE,"INT"}</definedName>
    <definedName name="yyyyyy" hidden="1">{"p_l",#N/A,FALSE,"Summary Accounts"}</definedName>
    <definedName name="yyyyyyyyyy" hidden="1">{"COMPCFT",#N/A,FALSE,"CFT";"COMPAPP",#N/A,FALSE,"APP";"COMPJEW",#N/A,FALSE,"JEW";"COMPHOM",#N/A,FALSE,"HOM";"COMPCOL",#N/A,FALSE,"COL"}</definedName>
    <definedName name="z" hidden="1">{#N/A,#N/A,FALSE,"e-Svc Level";#N/A,#N/A,FALSE,"e-Hosted";#N/A,#N/A,FALSE,"e-Licensed";#N/A,#N/A,FALSE,"Assumptions"}</definedName>
    <definedName name="Z_035E25D4_205E_4647_B464_38A725102510_.wvu.Rows" hidden="1">#REF!</definedName>
    <definedName name="Z_06AC9F35_FA76_11D3_94DD_00C04FA0B046_.wvu.PrintArea" hidden="1">#N/A</definedName>
    <definedName name="Z_06AF62AE_3F63_11D3_8C95_000000000000_.wvu.PrintArea" hidden="1">#N/A</definedName>
    <definedName name="Z_0B432A8C_F278_11D2_9169_0060B01A6EB2_.wvu.PrintArea" hidden="1">#N/A</definedName>
    <definedName name="Z_0B432DE3_F278_11D2_9169_0060B01A6EB2_.wvu.PrintArea" hidden="1">#N/A</definedName>
    <definedName name="Z_0B432F66_F278_11D2_9169_0060B01A6EB2_.wvu.PrintArea" hidden="1">#N/A</definedName>
    <definedName name="Z_0E86059D_B79D_11D3_94E0_00C04F602AEF_.wvu.PrintArea" hidden="1">#N/A</definedName>
    <definedName name="Z_0EF37FB7_DAF6_11D3_94D7_00C04FA0B046_.wvu.PrintArea" hidden="1">#N/A</definedName>
    <definedName name="z_1" hidden="1">{#N/A,#N/A,FALSE,"e-Svc Level";#N/A,#N/A,FALSE,"e-Hosted";#N/A,#N/A,FALSE,"e-Licensed";#N/A,#N/A,FALSE,"Assumptions"}</definedName>
    <definedName name="Z_138E77AE_F8DF_11D3_94E9_00C04F612D61_.wvu.PrintArea" hidden="1">#N/A</definedName>
    <definedName name="Z_138E77CA_F8DF_11D3_94E9_00C04F612D61_.wvu.PrintArea" hidden="1">#N/A</definedName>
    <definedName name="Z_138E7870_F8DF_11D3_94E9_00C04F612D61_.wvu.PrintArea" hidden="1">#N/A</definedName>
    <definedName name="Z_138E7890_F8DF_11D3_94E9_00C04F612D61_.wvu.PrintArea" hidden="1">#N/A</definedName>
    <definedName name="Z_14CF0AE7_82DD_11D2_8012_0060B01A6EB2_.wvu.PrintArea" hidden="1">#N/A</definedName>
    <definedName name="Z_1ACDB192_F033_11D3_94F1_00C04F602AEF_.wvu.PrintArea" hidden="1">#N/A</definedName>
    <definedName name="Z_1CCDDD74_3AAE_11D3_8C8A_000000000000_.wvu.PrintArea" hidden="1">#N/A</definedName>
    <definedName name="Z_336250C7_C772_11D3_94E8_00C04F602AEF_.wvu.PrintArea" hidden="1">#N/A</definedName>
    <definedName name="Z_3374E370_4024_11D3_8C96_000000000000_.wvu.PrintArea" hidden="1">#N/A</definedName>
    <definedName name="Z_35EE6504_DE6F_4E57_9C0F_322110BA2375_.wvu.Cols" hidden="1">#REF!</definedName>
    <definedName name="Z_35EE6504_DE6F_4E57_9C0F_322110BA2375_.wvu.PrintTitles" hidden="1">#REF!,#REF!</definedName>
    <definedName name="Z_36C1D6DA_94EC_11D2_801D_0060B01A6EB2_.wvu.PrintArea" hidden="1">#N/A</definedName>
    <definedName name="Z_38F40303_FE58_11D3_94DE_00C04FA0B046_.wvu.PrintArea" hidden="1">#N/A</definedName>
    <definedName name="Z_390E4561_86E6_11D3_94D7_00C04F612D61_.wvu.PrintArea" hidden="1">#N/A</definedName>
    <definedName name="Z_3EE9B1F1_964A_11D3_94D2_00C04F602AEF_.wvu.PrintArea" hidden="1">#N/A</definedName>
    <definedName name="Z_3EE9B283_964A_11D3_94D2_00C04F602AEF_.wvu.PrintArea" hidden="1">#N/A</definedName>
    <definedName name="Z_3EE9B315_964A_11D3_94D2_00C04F602AEF_.wvu.PrintArea" hidden="1">#N/A</definedName>
    <definedName name="Z_3FA1C490_192D_11D3_802B_0060B01A6EB2_.wvu.PrintArea" hidden="1">#N/A</definedName>
    <definedName name="Z_3FA1C663_192D_11D3_802B_0060B01A6EB2_.wvu.PrintArea" hidden="1">#N/A</definedName>
    <definedName name="Z_45C4ADC6_6DE9_11D3_8CD4_006097940621_.wvu.PrintArea" hidden="1">#N/A</definedName>
    <definedName name="Z_4980F475_BD39_11D3_8C84_000000000000_.wvu.PrintArea" hidden="1">#N/A</definedName>
    <definedName name="Z_4B4009D6_E3A8_11D3_94EE_00C04F602AEF_.wvu.PrintArea" hidden="1">#N/A</definedName>
    <definedName name="Z_4C6401EE_68F1_11D2_800E_0060B01A6EB2_.wvu.PrintArea" hidden="1">#N/A</definedName>
    <definedName name="Z_526D3161_71B2_11D3_94D5_00C04F612D61_.wvu.PrintArea" hidden="1">#N/A</definedName>
    <definedName name="Z_55752DE4_DAF1_11D2_8029_0060B01A6EB2_.wvu.PrintArea" hidden="1">#N/A</definedName>
    <definedName name="Z_55752FF6_DAF1_11D2_8029_0060B01A6EB2_.wvu.PrintArea" hidden="1">#N/A</definedName>
    <definedName name="Z_59DC2A9C_3DF3_11D3_8C92_000000000000_.wvu.PrintArea" hidden="1">#N/A</definedName>
    <definedName name="Z_5C712547_8854_11D2_8012_0060B01A6EB2_.wvu.PrintArea" hidden="1">#N/A</definedName>
    <definedName name="Z_630A7C8D_C852_11D3_94E8_00C04F602AEF_.wvu.PrintArea" hidden="1">#N/A</definedName>
    <definedName name="Z_6F2D40DB_9E62_11D2_801D_0060B01A6EB2_.wvu.PrintArea" hidden="1">#N/A</definedName>
    <definedName name="Z_70D354D2_2FAA_11D3_8C7E_000000000000_.wvu.PrintArea" hidden="1">#N/A</definedName>
    <definedName name="Z_722C8872_BC62_11D3_94DF_00C04F612D61_.wvu.PrintArea" hidden="1">#N/A</definedName>
    <definedName name="Z_722C8A68_BC62_11D3_94DF_00C04F612D61_.wvu.PrintArea" hidden="1">#N/A</definedName>
    <definedName name="Z_722C8C5E_BC62_11D3_94DF_00C04F612D61_.wvu.PrintArea" hidden="1">#N/A</definedName>
    <definedName name="Z_722C8CF0_BC62_11D3_94DF_00C04F612D61_.wvu.PrintArea" hidden="1">#N/A</definedName>
    <definedName name="Z_722C8D93_BC62_11D3_94DF_00C04F612D61_.wvu.PrintArea" hidden="1">#N/A</definedName>
    <definedName name="Z_722C8E2B_BC62_11D3_94DF_00C04F612D61_.wvu.PrintArea" hidden="1">#N/A</definedName>
    <definedName name="Z_722C92F7_BC62_11D3_94DF_00C04F612D61_.wvu.PrintArea" hidden="1">#N/A</definedName>
    <definedName name="Z_75B9147C_00F9_45A1_96FE_F85762BF4AE3_.wvu.Cols" hidden="1">#REF!,#REF!,#REF!</definedName>
    <definedName name="Z_75B9147C_00F9_45A1_96FE_F85762BF4AE3_.wvu.PrintTitles" hidden="1">#REF!,#REF!</definedName>
    <definedName name="Z_76742491_FDD2_4B17_B0B9_84CA8DFDF75F_.wvu.PrintArea" hidden="1">#REF!</definedName>
    <definedName name="Z_781D38AD_00AD_11D3_916C_0060B01A6EB2_.wvu.PrintArea" hidden="1">#N/A</definedName>
    <definedName name="Z_781D3F23_00AD_11D3_916C_0060B01A6EB2_.wvu.PrintArea" hidden="1">#N/A</definedName>
    <definedName name="Z_795B27E2_B3C0_11D2_801F_0060B01A6EB2_.wvu.PrintArea" hidden="1">#N/A</definedName>
    <definedName name="Z_795B28D1_B3C0_11D2_801F_0060B01A6EB2_.wvu.PrintArea" hidden="1">#N/A</definedName>
    <definedName name="Z_795B2974_B3C0_11D2_801F_0060B01A6EB2_.wvu.PrintArea" hidden="1">#N/A</definedName>
    <definedName name="Z_795B2A17_B3C0_11D2_801F_0060B01A6EB2_.wvu.PrintArea" hidden="1">#N/A</definedName>
    <definedName name="Z_7A2F654B_040B_4CA4_A0BD_513F12FBEB45_.wvu.PrintTitles" hidden="1">#REF!,#REF!</definedName>
    <definedName name="Z_875F1EBE_BC71_11D3_8C83_000000000000_.wvu.PrintArea" hidden="1">#N/A</definedName>
    <definedName name="Z_88CF5AE2_9425_11D2_801C_0060B01A6EB2_.wvu.PrintArea" hidden="1">#N/A</definedName>
    <definedName name="Z_89196099_EBAD_11D3_94DA_00C04FA0B046_.wvu.PrintArea" hidden="1">#N/A</definedName>
    <definedName name="Z_89481651_D00D_11D3_94E3_00C04F612D61_.wvu.PrintArea" hidden="1">#N/A</definedName>
    <definedName name="Z_89A6267D_7FD1_11D2_8012_0060B01A6EB2_.wvu.PrintArea" hidden="1">#N/A</definedName>
    <definedName name="Z_8A9C8C59_0D13_11D3_8026_0060B01A6EB2_.wvu.PrintArea" hidden="1">#N/A</definedName>
    <definedName name="Z_8A9C8F32_0D13_11D3_8026_0060B01A6EB2_.wvu.PrintArea" hidden="1">#N/A</definedName>
    <definedName name="Z_8DE117E5_DE02_11D2_8029_0060B01A6EB2_.wvu.PrintArea" hidden="1">#N/A</definedName>
    <definedName name="Z_9B6F4435_ABB4_11D2_801F_0060B01A6EB2_.wvu.PrintArea" hidden="1">#N/A</definedName>
    <definedName name="Z_9BE98507_F126_11D3_94E7_00C04F612D61_.wvu.PrintArea" hidden="1">#N/A</definedName>
    <definedName name="Z_A06D4791_FE5D_11D3_94EA_00C04F612D61_.wvu.PrintArea" hidden="1">#N/A</definedName>
    <definedName name="Z_A06D480D_FE5D_11D3_94EA_00C04F612D61_.wvu.PrintArea" hidden="1">#N/A</definedName>
    <definedName name="Z_A06D49B4_FE5D_11D3_94EA_00C04F612D61_.wvu.PrintArea" hidden="1">#N/A</definedName>
    <definedName name="Z_A06D49D0_FE5D_11D3_94EA_00C04F612D61_.wvu.PrintArea" hidden="1">#N/A</definedName>
    <definedName name="Z_A18F811F_B263_11D3_94DE_00C04F602AEF_.wvu.PrintArea" hidden="1">#N/A</definedName>
    <definedName name="Z_A18F8547_B263_11D3_94DE_00C04F602AEF_.wvu.PrintArea" hidden="1">#N/A</definedName>
    <definedName name="Z_A1CC2EEB_9D38_11D3_94D4_00C04F602AEF_.wvu.PrintArea" hidden="1">#N/A</definedName>
    <definedName name="Z_A2860F0F_949B_11D3_94D2_00C04F602AEF_.wvu.PrintArea" hidden="1">#N/A</definedName>
    <definedName name="Z_A2860FA1_949B_11D3_94D2_00C04F602AEF_.wvu.PrintArea" hidden="1">#N/A</definedName>
    <definedName name="Z_AEFAD2E8_D55C_11D2_8027_0060B01A6EB2_.wvu.PrintArea" hidden="1">#N/A</definedName>
    <definedName name="Z_AEFAD4A3_D55C_11D2_8027_0060B01A6EB2_.wvu.PrintArea" hidden="1">#N/A</definedName>
    <definedName name="Z_B4680705_EDD3_11D3_94DB_00C04FA0B046_.wvu.PrintArea" hidden="1">#N/A</definedName>
    <definedName name="Z_B468079E_EDD3_11D3_94DB_00C04FA0B046_.wvu.PrintArea" hidden="1">#N/A</definedName>
    <definedName name="Z_B49E3C17_C2B6_11D3_94E0_00C04F612D61_.wvu.PrintArea" hidden="1">#N/A</definedName>
    <definedName name="Z_B6336CF9_9221_4D20_9BCC_AC01EA989C5C_.wvu.Cols" hidden="1">#REF!,#REF!,#REF!</definedName>
    <definedName name="Z_B6336CF9_9221_4D20_9BCC_AC01EA989C5C_.wvu.PrintTitles" hidden="1">#REF!,#REF!</definedName>
    <definedName name="Z_B7EF290F_8BB6_4090_9A9A_66648A3F7039_.wvu.PrintTitles" hidden="1">#REF!,#REF!</definedName>
    <definedName name="Z_B8DFAC8E_92C4_11D3_94D1_00C04F602AEF_.wvu.PrintArea" hidden="1">#N/A</definedName>
    <definedName name="Z_BB3B8A5D_F8E8_11D3_94DC_00C04FA0B046_.wvu.PrintArea" hidden="1">#N/A</definedName>
    <definedName name="Z_C4E24F0A_F692_11D3_94DB_00C04FA0B046_.wvu.PrintArea" hidden="1">#N/A</definedName>
    <definedName name="Z_CA9BF89C_7273_11D3_94D6_00C04F612D61_.wvu.PrintArea" hidden="1">#N/A</definedName>
    <definedName name="Z_CAFB083F_9067_11D3_94D0_00C04F602AEF_.wvu.PrintArea" hidden="1">#N/A</definedName>
    <definedName name="Z_CAFB08CF_9067_11D3_94D0_00C04F602AEF_.wvu.PrintArea" hidden="1">#N/A</definedName>
    <definedName name="Z_CAFB0A43_9067_11D3_94D0_00C04F602AEF_.wvu.PrintArea" hidden="1">#N/A</definedName>
    <definedName name="Z_CB4A1139_66F6_11D3_B998_00104BDED9CF_.wvu.Cols" hidden="1">#REF!</definedName>
    <definedName name="Z_CB4A1139_66F6_11D3_B998_00104BDED9CF_.wvu.PrintTitles" hidden="1">#REF!</definedName>
    <definedName name="Z_CCECFA64_4AD5_11D3_B9F1_00104BF7D823_.wvu.Cols" hidden="1">#REF!</definedName>
    <definedName name="Z_CCECFA64_4AD5_11D3_B9F1_00104BF7D823_.wvu.PrintTitles" hidden="1">#REF!</definedName>
    <definedName name="Z_D74243C8_6E24_43D1_AFD0_BBACF366C3BD_.wvu.Cols" hidden="1">#REF!</definedName>
    <definedName name="Z_D74C6D72_E604_11D3_94E6_00C04F612D61_.wvu.PrintArea" hidden="1">#N/A</definedName>
    <definedName name="Z_D74C6F25_E604_11D3_94E6_00C04F612D61_.wvu.PrintArea" hidden="1">#N/A</definedName>
    <definedName name="Z_D74C736A_E604_11D3_94E6_00C04F612D61_.wvu.PrintArea" hidden="1">#N/A</definedName>
    <definedName name="Z_D74C7645_E604_11D3_94E6_00C04F612D61_.wvu.PrintArea" hidden="1">#N/A</definedName>
    <definedName name="Z_D74C777D_E604_11D3_94E6_00C04F612D61_.wvu.PrintArea" hidden="1">#N/A</definedName>
    <definedName name="Z_D74C787B_E604_11D3_94E6_00C04F612D61_.wvu.PrintArea" hidden="1">#N/A</definedName>
    <definedName name="Z_D74C790F_E604_11D3_94E6_00C04F612D61_.wvu.PrintArea" hidden="1">#N/A</definedName>
    <definedName name="Z_D74C7ACD_E604_11D3_94E6_00C04F612D61_.wvu.PrintArea" hidden="1">#N/A</definedName>
    <definedName name="Z_DB425CD1_773A_11D3_94D6_00C04F612D61_.wvu.PrintArea" hidden="1">#N/A</definedName>
    <definedName name="Z_DD27408C_6785_11D2_800D_0060B01A6EB2_.wvu.PrintArea" hidden="1">#N/A</definedName>
    <definedName name="Z_E10DD71A_42CC_11D3_8C99_000000000000_.wvu.PrintArea" hidden="1">#N/A</definedName>
    <definedName name="Z_E2E5C84D_0317_4C6A_9480_DE153328A143_.wvu.PrintTitles" hidden="1">#REF!,#REF!</definedName>
    <definedName name="Z_E3359E54_F4E5_11D3_94DB_00C04FA0B046_.wvu.PrintArea" hidden="1">#N/A</definedName>
    <definedName name="Z_E499C1FA_EA01_11D3_94D9_00C04FA0B046_.wvu.PrintArea" hidden="1">#N/A</definedName>
    <definedName name="Z_E8179140_DD91_11D3_94ED_00C04F602AEF_.wvu.PrintArea" hidden="1">#N/A</definedName>
    <definedName name="Z_EEDCBCAC_8399_11D2_8016_0060B01AC4B2_.wvu.PrintArea" hidden="1">#N/A</definedName>
    <definedName name="Z_F1837C9B_7BC5_48F9_A11C_077C0094B52B_.wvu.Cols" hidden="1">#REF!</definedName>
    <definedName name="Z_F2884976_0A0D_11D3_916D_0060B01A6EB2_.wvu.PrintArea" hidden="1">#N/A</definedName>
    <definedName name="Z_FB37AAA2_E08C_11D2_8029_0060B01A6EB2_.wvu.PrintArea" hidden="1">#N/A</definedName>
    <definedName name="Z_FB37B214_E08C_11D2_8029_0060B01A6EB2_.wvu.PrintArea" hidden="1">#N/A</definedName>
    <definedName name="Z_FC0AB258_AC5F_11D3_94DB_00C04F602AEF_.wvu.PrintArea" hidden="1">#N/A</definedName>
    <definedName name="Z_FC0AB2EA_AC5F_11D3_94DB_00C04F602AEF_.wvu.PrintArea" hidden="1">#N/A</definedName>
    <definedName name="zaq" hidden="1">{#N/A,#N/A,FALSE,"Calc";#N/A,#N/A,FALSE,"Sensitivity";#N/A,#N/A,FALSE,"LT Earn.Dil.";#N/A,#N/A,FALSE,"Dil. AVP"}</definedName>
    <definedName name="zer" hidden="1">{#N/A,#N/A,FALSE,"Calc";#N/A,#N/A,FALSE,"Sensitivity";#N/A,#N/A,FALSE,"LT Earn.Dil.";#N/A,#N/A,FALSE,"Dil. AVP"}</definedName>
    <definedName name="zz" hidden="1">#REF!</definedName>
    <definedName name="zzz.com" hidden="1">{#N/A,#N/A,FALSE,"Title Page";#N/A,#N/A,FALSE,"Conclusions";#N/A,#N/A,FALSE,"Assum.";#N/A,#N/A,FALSE,"Sun  DCF-WC-Dep";#N/A,#N/A,FALSE,"MarketValue";#N/A,#N/A,FALSE,"BalSheet";#N/A,#N/A,FALSE,"WACC";#N/A,#N/A,FALSE,"PC+ Info.";#N/A,#N/A,FALSE,"PC+Info_2"}</definedName>
    <definedName name="олд" hidden="1">27</definedName>
    <definedName name="про" hidden="1">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74" i="7" l="1"/>
  <c r="AM110" i="13"/>
  <c r="AL110" i="13"/>
  <c r="AK110" i="13"/>
  <c r="AJ110" i="13"/>
  <c r="AI110" i="13"/>
  <c r="AH110" i="13"/>
  <c r="AG110" i="13"/>
  <c r="AF110" i="13"/>
  <c r="AE110" i="13"/>
  <c r="AD110" i="13"/>
  <c r="AC110" i="13"/>
  <c r="AB110" i="13"/>
  <c r="AA110" i="13"/>
  <c r="Z110" i="13"/>
  <c r="Y110" i="13"/>
  <c r="X110" i="13"/>
  <c r="W110" i="13"/>
  <c r="V110" i="13"/>
  <c r="U110" i="13"/>
  <c r="T110" i="13"/>
  <c r="S110" i="13"/>
  <c r="R110" i="13"/>
  <c r="Q110" i="13"/>
  <c r="P110" i="13"/>
  <c r="O110" i="13"/>
  <c r="N110" i="13"/>
  <c r="M110" i="13"/>
  <c r="L110" i="13"/>
  <c r="K110" i="13"/>
  <c r="J110" i="13"/>
  <c r="I110" i="13"/>
  <c r="H110" i="13"/>
  <c r="G110" i="13"/>
  <c r="F110" i="13"/>
  <c r="E110" i="13"/>
  <c r="D110" i="13"/>
  <c r="C110" i="13"/>
  <c r="AM109" i="13"/>
  <c r="AL109" i="13"/>
  <c r="AK109" i="13"/>
  <c r="AJ109" i="13"/>
  <c r="AI109" i="13"/>
  <c r="AH109" i="13"/>
  <c r="AG109" i="13"/>
  <c r="AF109" i="13"/>
  <c r="AE109" i="13"/>
  <c r="AD109" i="13"/>
  <c r="AC109" i="13"/>
  <c r="AB109" i="13"/>
  <c r="AA109" i="13"/>
  <c r="Z109" i="13"/>
  <c r="Y109" i="13"/>
  <c r="X109" i="13"/>
  <c r="W109" i="13"/>
  <c r="V109" i="13"/>
  <c r="U109" i="13"/>
  <c r="T109" i="13"/>
  <c r="S109" i="13"/>
  <c r="R109" i="13"/>
  <c r="Q109" i="13"/>
  <c r="P109" i="13"/>
  <c r="O109" i="13"/>
  <c r="N109" i="13"/>
  <c r="M109" i="13"/>
  <c r="L109" i="13"/>
  <c r="K109" i="13"/>
  <c r="J109" i="13"/>
  <c r="I109" i="13"/>
  <c r="H109" i="13"/>
  <c r="G109" i="13"/>
  <c r="F109" i="13"/>
  <c r="E109" i="13"/>
  <c r="D109" i="13"/>
  <c r="C109" i="13"/>
  <c r="AM108" i="13"/>
  <c r="AL108" i="13"/>
  <c r="AK108" i="13"/>
  <c r="AJ108" i="13"/>
  <c r="AI108" i="13"/>
  <c r="AH108" i="13"/>
  <c r="AG108" i="13"/>
  <c r="AF108" i="13"/>
  <c r="AE108" i="13"/>
  <c r="AD108" i="13"/>
  <c r="AC108" i="13"/>
  <c r="AB108" i="13"/>
  <c r="AA108" i="13"/>
  <c r="Z108" i="13"/>
  <c r="Y108" i="13"/>
  <c r="X108" i="13"/>
  <c r="W108" i="13"/>
  <c r="V108" i="13"/>
  <c r="U108" i="13"/>
  <c r="T108" i="13"/>
  <c r="S108" i="13"/>
  <c r="R108" i="13"/>
  <c r="Q108" i="13"/>
  <c r="P108" i="13"/>
  <c r="O108" i="13"/>
  <c r="N108" i="13"/>
  <c r="M108" i="13"/>
  <c r="L108" i="13"/>
  <c r="K108" i="13"/>
  <c r="J108" i="13"/>
  <c r="I108" i="13"/>
  <c r="H108" i="13"/>
  <c r="G108" i="13"/>
  <c r="F108" i="13"/>
  <c r="E108" i="13"/>
  <c r="D108" i="13"/>
  <c r="C108" i="13"/>
  <c r="AM107" i="13"/>
  <c r="AL107" i="13"/>
  <c r="AK107" i="13"/>
  <c r="AJ107" i="13"/>
  <c r="AI107" i="13"/>
  <c r="AH107" i="13"/>
  <c r="AG107" i="13"/>
  <c r="AF107" i="13"/>
  <c r="AE107" i="13"/>
  <c r="AD107" i="13"/>
  <c r="AC107" i="13"/>
  <c r="AB107" i="13"/>
  <c r="AA107" i="13"/>
  <c r="Z107" i="13"/>
  <c r="Y107" i="13"/>
  <c r="X107" i="13"/>
  <c r="W107" i="13"/>
  <c r="V107" i="13"/>
  <c r="U107" i="13"/>
  <c r="T107" i="13"/>
  <c r="S107" i="13"/>
  <c r="R107" i="13"/>
  <c r="Q107" i="13"/>
  <c r="P107" i="13"/>
  <c r="O107" i="13"/>
  <c r="N107" i="13"/>
  <c r="M107" i="13"/>
  <c r="L107" i="13"/>
  <c r="K107" i="13"/>
  <c r="J107" i="13"/>
  <c r="I107" i="13"/>
  <c r="H107" i="13"/>
  <c r="G107" i="13"/>
  <c r="F107" i="13"/>
  <c r="E107" i="13"/>
  <c r="D107" i="13"/>
  <c r="C107" i="13"/>
  <c r="AM106" i="13"/>
  <c r="AL106" i="13"/>
  <c r="AK106" i="13"/>
  <c r="AJ106" i="13"/>
  <c r="AI106" i="13"/>
  <c r="AH106" i="13"/>
  <c r="AG106" i="13"/>
  <c r="AF106" i="13"/>
  <c r="AE106" i="13"/>
  <c r="AD106" i="13"/>
  <c r="AC106" i="13"/>
  <c r="AB106" i="13"/>
  <c r="AA106" i="13"/>
  <c r="Z106" i="13"/>
  <c r="Y106" i="13"/>
  <c r="X106" i="13"/>
  <c r="W106" i="13"/>
  <c r="V106" i="13"/>
  <c r="U106" i="13"/>
  <c r="T106" i="13"/>
  <c r="S106" i="13"/>
  <c r="R106" i="13"/>
  <c r="Q106" i="13"/>
  <c r="P106" i="13"/>
  <c r="O106" i="13"/>
  <c r="N106" i="13"/>
  <c r="M106" i="13"/>
  <c r="L106" i="13"/>
  <c r="K106" i="13"/>
  <c r="J106" i="13"/>
  <c r="I106" i="13"/>
  <c r="H106" i="13"/>
  <c r="G106" i="13"/>
  <c r="F106" i="13"/>
  <c r="E106" i="13"/>
  <c r="D106" i="13"/>
  <c r="C106" i="13"/>
  <c r="B5" i="13"/>
  <c r="B6" i="13" s="1"/>
  <c r="B7" i="13" s="1"/>
  <c r="B8" i="13" s="1"/>
  <c r="B9" i="13" s="1"/>
  <c r="B10" i="13" s="1"/>
  <c r="B11" i="13" s="1"/>
  <c r="B12" i="13" s="1"/>
  <c r="B13" i="13" s="1"/>
  <c r="B14" i="13" s="1"/>
  <c r="B15" i="13" s="1"/>
  <c r="B16" i="13" s="1"/>
  <c r="B17" i="13" s="1"/>
  <c r="B18" i="13" s="1"/>
  <c r="B19" i="13" s="1"/>
  <c r="B20" i="13" s="1"/>
  <c r="B21" i="13" s="1"/>
  <c r="B22" i="13" s="1"/>
  <c r="B23" i="13" s="1"/>
  <c r="B24" i="13" s="1"/>
  <c r="B25" i="13" s="1"/>
  <c r="B26" i="13" s="1"/>
  <c r="B27" i="13" s="1"/>
  <c r="B28" i="13" s="1"/>
  <c r="B29" i="13" s="1"/>
  <c r="B30" i="13" s="1"/>
  <c r="B31" i="13" s="1"/>
  <c r="B32" i="13" s="1"/>
  <c r="B33" i="13" s="1"/>
  <c r="B34" i="13" s="1"/>
  <c r="B35" i="13" s="1"/>
  <c r="B36" i="13" s="1"/>
  <c r="B37" i="13" s="1"/>
  <c r="B38" i="13" s="1"/>
  <c r="B39" i="13" s="1"/>
  <c r="B40" i="13" s="1"/>
  <c r="B41" i="13" s="1"/>
  <c r="B42" i="13" s="1"/>
  <c r="B43" i="13" s="1"/>
  <c r="B44" i="13" s="1"/>
  <c r="B45" i="13" s="1"/>
  <c r="B46" i="13" s="1"/>
  <c r="B47" i="13" s="1"/>
  <c r="B48" i="13" s="1"/>
  <c r="B49" i="13" s="1"/>
  <c r="B50" i="13" s="1"/>
  <c r="B51" i="13" s="1"/>
  <c r="B52" i="13" s="1"/>
  <c r="B53" i="13" s="1"/>
  <c r="B54" i="13" s="1"/>
  <c r="B55" i="13" s="1"/>
  <c r="B56" i="13" s="1"/>
  <c r="B57" i="13" s="1"/>
  <c r="B58" i="13" s="1"/>
  <c r="B59" i="13" s="1"/>
  <c r="B60" i="13" s="1"/>
  <c r="B61" i="13" s="1"/>
  <c r="B62" i="13" s="1"/>
  <c r="B63" i="13" s="1"/>
  <c r="B64" i="13" s="1"/>
  <c r="B65" i="13" s="1"/>
  <c r="B66" i="13" s="1"/>
  <c r="B67" i="13" s="1"/>
  <c r="B68" i="13" s="1"/>
  <c r="B69" i="13" s="1"/>
  <c r="B70" i="13" s="1"/>
  <c r="B71" i="13" s="1"/>
  <c r="B72" i="13" s="1"/>
  <c r="B73" i="13" s="1"/>
  <c r="B74" i="13" s="1"/>
  <c r="B75" i="13" s="1"/>
  <c r="B76" i="13" s="1"/>
  <c r="B77" i="13" s="1"/>
  <c r="B78" i="13" s="1"/>
  <c r="B79" i="13" s="1"/>
  <c r="B80" i="13" s="1"/>
  <c r="B81" i="13" s="1"/>
  <c r="B82" i="13" s="1"/>
  <c r="B83" i="13" s="1"/>
  <c r="B84" i="13" s="1"/>
  <c r="B85" i="13" s="1"/>
  <c r="B86" i="13" s="1"/>
  <c r="B87" i="13" s="1"/>
  <c r="B88" i="13" s="1"/>
  <c r="B89" i="13" s="1"/>
  <c r="B90" i="13" s="1"/>
  <c r="B91" i="13" s="1"/>
  <c r="B92" i="13" s="1"/>
  <c r="B93" i="13" s="1"/>
  <c r="B94" i="13" s="1"/>
  <c r="B95" i="13" s="1"/>
  <c r="B96" i="13" s="1"/>
  <c r="B97" i="13" s="1"/>
  <c r="B98" i="13" s="1"/>
  <c r="B99" i="13" s="1"/>
  <c r="B100" i="13" s="1"/>
  <c r="B101" i="13" s="1"/>
  <c r="B102" i="13" s="1"/>
  <c r="B103" i="13" s="1"/>
  <c r="D3" i="13"/>
  <c r="E3" i="13" s="1"/>
  <c r="E8" i="4"/>
  <c r="E9" i="4"/>
  <c r="E10" i="4"/>
  <c r="E11" i="4"/>
  <c r="E12" i="4"/>
  <c r="E23" i="4"/>
  <c r="E24" i="4"/>
  <c r="E25" i="4"/>
  <c r="E28" i="4"/>
  <c r="D28" i="4" s="1"/>
  <c r="E31" i="4"/>
  <c r="E34" i="4"/>
  <c r="E37" i="4"/>
  <c r="E40" i="4"/>
  <c r="E43" i="4"/>
  <c r="E44" i="4"/>
  <c r="E45" i="4"/>
  <c r="E46" i="4"/>
  <c r="E47" i="4"/>
  <c r="E48" i="4"/>
  <c r="E49" i="4"/>
  <c r="E50" i="4"/>
  <c r="E51" i="4"/>
  <c r="E52" i="4"/>
  <c r="E53" i="4"/>
  <c r="E54" i="4"/>
  <c r="D40" i="4"/>
  <c r="C28" i="4"/>
  <c r="C31" i="4"/>
  <c r="D31" i="4" s="1"/>
  <c r="C34" i="4"/>
  <c r="D34" i="4" s="1"/>
  <c r="C37" i="4"/>
  <c r="D37" i="4" s="1"/>
  <c r="C40" i="4"/>
  <c r="C43" i="4"/>
  <c r="D43" i="4" s="1"/>
  <c r="C110" i="2"/>
  <c r="C8" i="4" s="1"/>
  <c r="D8" i="4" s="1"/>
  <c r="D110" i="2"/>
  <c r="E110" i="2"/>
  <c r="F110" i="2"/>
  <c r="G110" i="2"/>
  <c r="H110" i="2"/>
  <c r="I110" i="2"/>
  <c r="J110" i="2"/>
  <c r="K110" i="2"/>
  <c r="L110" i="2"/>
  <c r="M110" i="2"/>
  <c r="N110" i="2"/>
  <c r="O110" i="2"/>
  <c r="P110" i="2"/>
  <c r="Q110" i="2"/>
  <c r="R110" i="2"/>
  <c r="S110" i="2"/>
  <c r="T110" i="2"/>
  <c r="U110" i="2"/>
  <c r="V110" i="2"/>
  <c r="W110" i="2"/>
  <c r="X110" i="2"/>
  <c r="Y110" i="2"/>
  <c r="Z110" i="2"/>
  <c r="AA110" i="2"/>
  <c r="AB110" i="2"/>
  <c r="AC110" i="2"/>
  <c r="AD110" i="2"/>
  <c r="AE110" i="2"/>
  <c r="AF110" i="2"/>
  <c r="AG110" i="2"/>
  <c r="AH110" i="2"/>
  <c r="AI110" i="2"/>
  <c r="AJ110" i="2"/>
  <c r="AK110" i="2"/>
  <c r="AL110" i="2"/>
  <c r="AM110" i="2"/>
  <c r="C109" i="2"/>
  <c r="C9" i="4" s="1"/>
  <c r="D9" i="4" s="1"/>
  <c r="D109" i="2"/>
  <c r="E109" i="2"/>
  <c r="F109" i="2"/>
  <c r="G109" i="2"/>
  <c r="H109" i="2"/>
  <c r="I109" i="2"/>
  <c r="J109" i="2"/>
  <c r="K109" i="2"/>
  <c r="L109" i="2"/>
  <c r="M109" i="2"/>
  <c r="N109" i="2"/>
  <c r="O109" i="2"/>
  <c r="P109" i="2"/>
  <c r="Q109" i="2"/>
  <c r="R109" i="2"/>
  <c r="S109" i="2"/>
  <c r="T109" i="2"/>
  <c r="U109" i="2"/>
  <c r="V109" i="2"/>
  <c r="W109" i="2"/>
  <c r="X109" i="2"/>
  <c r="Y109" i="2"/>
  <c r="Z109" i="2"/>
  <c r="AA109" i="2"/>
  <c r="AB109" i="2"/>
  <c r="AC109" i="2"/>
  <c r="AD109" i="2"/>
  <c r="AE109" i="2"/>
  <c r="AF109" i="2"/>
  <c r="AG109" i="2"/>
  <c r="AH109" i="2"/>
  <c r="AI109" i="2"/>
  <c r="AJ109" i="2"/>
  <c r="AK109" i="2"/>
  <c r="AL109" i="2"/>
  <c r="AM109" i="2"/>
  <c r="C108" i="2"/>
  <c r="D108" i="2"/>
  <c r="E108" i="2"/>
  <c r="F108" i="2"/>
  <c r="G108" i="2"/>
  <c r="H108" i="2"/>
  <c r="I108" i="2"/>
  <c r="J108" i="2"/>
  <c r="K108" i="2"/>
  <c r="L108" i="2"/>
  <c r="M108" i="2"/>
  <c r="N108" i="2"/>
  <c r="O108" i="2"/>
  <c r="P108" i="2"/>
  <c r="Q108" i="2"/>
  <c r="R108" i="2"/>
  <c r="S108" i="2"/>
  <c r="T108" i="2"/>
  <c r="U108" i="2"/>
  <c r="V108" i="2"/>
  <c r="W108" i="2"/>
  <c r="X108" i="2"/>
  <c r="Y108" i="2"/>
  <c r="Z108" i="2"/>
  <c r="AA108" i="2"/>
  <c r="AB108" i="2"/>
  <c r="AC108" i="2"/>
  <c r="AD108" i="2"/>
  <c r="AE108" i="2"/>
  <c r="AF108" i="2"/>
  <c r="AG108" i="2"/>
  <c r="AH108" i="2"/>
  <c r="AI108" i="2"/>
  <c r="AJ108" i="2"/>
  <c r="AK108" i="2"/>
  <c r="AL108" i="2"/>
  <c r="AM108" i="2"/>
  <c r="C107" i="2"/>
  <c r="C10" i="4" s="1"/>
  <c r="D10" i="4" s="1"/>
  <c r="D107" i="2"/>
  <c r="E107" i="2"/>
  <c r="F107" i="2"/>
  <c r="G107" i="2"/>
  <c r="H107" i="2"/>
  <c r="I107" i="2"/>
  <c r="J107" i="2"/>
  <c r="K107" i="2"/>
  <c r="L107" i="2"/>
  <c r="M107" i="2"/>
  <c r="N107" i="2"/>
  <c r="O107" i="2"/>
  <c r="P107" i="2"/>
  <c r="Q107" i="2"/>
  <c r="R107" i="2"/>
  <c r="S107" i="2"/>
  <c r="T107" i="2"/>
  <c r="U107" i="2"/>
  <c r="V107" i="2"/>
  <c r="W107" i="2"/>
  <c r="X107" i="2"/>
  <c r="Y107" i="2"/>
  <c r="Z107" i="2"/>
  <c r="AA107" i="2"/>
  <c r="AB107" i="2"/>
  <c r="AC107" i="2"/>
  <c r="AD107" i="2"/>
  <c r="AE107" i="2"/>
  <c r="AF107" i="2"/>
  <c r="AG107" i="2"/>
  <c r="AH107" i="2"/>
  <c r="AI107" i="2"/>
  <c r="AJ107" i="2"/>
  <c r="AK107" i="2"/>
  <c r="AL107" i="2"/>
  <c r="AM107" i="2"/>
  <c r="C106" i="2"/>
  <c r="C11" i="4" s="1"/>
  <c r="D11" i="4" s="1"/>
  <c r="D106" i="2"/>
  <c r="E106" i="2"/>
  <c r="F106" i="2"/>
  <c r="G106" i="2"/>
  <c r="H106" i="2"/>
  <c r="I106" i="2"/>
  <c r="J106" i="2"/>
  <c r="K106" i="2"/>
  <c r="L106" i="2"/>
  <c r="M106" i="2"/>
  <c r="N106" i="2"/>
  <c r="O106" i="2"/>
  <c r="P106" i="2"/>
  <c r="Q106" i="2"/>
  <c r="R106" i="2"/>
  <c r="S106" i="2"/>
  <c r="T106" i="2"/>
  <c r="U106" i="2"/>
  <c r="V106" i="2"/>
  <c r="W106" i="2"/>
  <c r="X106" i="2"/>
  <c r="Y106" i="2"/>
  <c r="Z106" i="2"/>
  <c r="AA106" i="2"/>
  <c r="AB106" i="2"/>
  <c r="AC106" i="2"/>
  <c r="AD106" i="2"/>
  <c r="AE106" i="2"/>
  <c r="AF106" i="2"/>
  <c r="AG106" i="2"/>
  <c r="AH106" i="2"/>
  <c r="AI106" i="2"/>
  <c r="AJ106" i="2"/>
  <c r="AK106" i="2"/>
  <c r="AL106" i="2"/>
  <c r="AM106" i="2"/>
  <c r="KV64" i="2"/>
  <c r="KW64" i="2"/>
  <c r="KX64" i="2"/>
  <c r="KY64" i="2"/>
  <c r="KZ64" i="2"/>
  <c r="LA64" i="2"/>
  <c r="LB64" i="2"/>
  <c r="LC64" i="2"/>
  <c r="LD64" i="2"/>
  <c r="LE64" i="2"/>
  <c r="LF64" i="2"/>
  <c r="LG64" i="2"/>
  <c r="LH64" i="2"/>
  <c r="LI64" i="2"/>
  <c r="LJ64" i="2"/>
  <c r="LK64" i="2"/>
  <c r="LL64" i="2"/>
  <c r="LM64" i="2"/>
  <c r="LN64" i="2"/>
  <c r="LO64" i="2"/>
  <c r="LP64" i="2"/>
  <c r="LQ64" i="2"/>
  <c r="LR64" i="2"/>
  <c r="LS64" i="2"/>
  <c r="LT64" i="2"/>
  <c r="KV65" i="2"/>
  <c r="KW65" i="2"/>
  <c r="KX65" i="2"/>
  <c r="KY65" i="2"/>
  <c r="KZ65" i="2"/>
  <c r="LA65" i="2"/>
  <c r="LB65" i="2"/>
  <c r="LC65" i="2"/>
  <c r="LD65" i="2"/>
  <c r="LE65" i="2"/>
  <c r="LF65" i="2"/>
  <c r="LG65" i="2"/>
  <c r="LH65" i="2"/>
  <c r="LI65" i="2"/>
  <c r="LJ65" i="2"/>
  <c r="LK65" i="2"/>
  <c r="LL65" i="2"/>
  <c r="LM65" i="2"/>
  <c r="LN65" i="2"/>
  <c r="LO65" i="2"/>
  <c r="LP65" i="2"/>
  <c r="LQ65" i="2"/>
  <c r="LR65" i="2"/>
  <c r="LS65" i="2"/>
  <c r="LT65" i="2"/>
  <c r="KV66" i="2"/>
  <c r="KW66" i="2"/>
  <c r="KX66" i="2"/>
  <c r="KY66" i="2"/>
  <c r="KZ66" i="2"/>
  <c r="LA66" i="2"/>
  <c r="LB66" i="2"/>
  <c r="LC66" i="2"/>
  <c r="LD66" i="2"/>
  <c r="LE66" i="2"/>
  <c r="LF66" i="2"/>
  <c r="LG66" i="2"/>
  <c r="LH66" i="2"/>
  <c r="LI66" i="2"/>
  <c r="LJ66" i="2"/>
  <c r="LK66" i="2"/>
  <c r="LL66" i="2"/>
  <c r="LM66" i="2"/>
  <c r="LN66" i="2"/>
  <c r="LO66" i="2"/>
  <c r="LP66" i="2"/>
  <c r="LQ66" i="2"/>
  <c r="LR66" i="2"/>
  <c r="LS66" i="2"/>
  <c r="LT66" i="2"/>
  <c r="KV67" i="2"/>
  <c r="KW67" i="2"/>
  <c r="KX67" i="2"/>
  <c r="KY67" i="2"/>
  <c r="KZ67" i="2"/>
  <c r="LA67" i="2"/>
  <c r="LB67" i="2"/>
  <c r="LC67" i="2"/>
  <c r="LD67" i="2"/>
  <c r="LE67" i="2"/>
  <c r="LF67" i="2"/>
  <c r="LG67" i="2"/>
  <c r="LH67" i="2"/>
  <c r="LI67" i="2"/>
  <c r="LJ67" i="2"/>
  <c r="LK67" i="2"/>
  <c r="LL67" i="2"/>
  <c r="LM67" i="2"/>
  <c r="LN67" i="2"/>
  <c r="LO67" i="2"/>
  <c r="LP67" i="2"/>
  <c r="LQ67" i="2"/>
  <c r="LR67" i="2"/>
  <c r="LS67" i="2"/>
  <c r="LT67" i="2"/>
  <c r="KV68" i="2"/>
  <c r="KW68" i="2"/>
  <c r="KX68" i="2"/>
  <c r="KY68" i="2"/>
  <c r="KZ68" i="2"/>
  <c r="LA68" i="2"/>
  <c r="LB68" i="2"/>
  <c r="LC68" i="2"/>
  <c r="LD68" i="2"/>
  <c r="LE68" i="2"/>
  <c r="LF68" i="2"/>
  <c r="LG68" i="2"/>
  <c r="LH68" i="2"/>
  <c r="LI68" i="2"/>
  <c r="LJ68" i="2"/>
  <c r="LK68" i="2"/>
  <c r="LL68" i="2"/>
  <c r="LM68" i="2"/>
  <c r="LN68" i="2"/>
  <c r="LO68" i="2"/>
  <c r="LP68" i="2"/>
  <c r="LQ68" i="2"/>
  <c r="LR68" i="2"/>
  <c r="LS68" i="2"/>
  <c r="LT68" i="2"/>
  <c r="KV69" i="2"/>
  <c r="KW69" i="2"/>
  <c r="KX69" i="2"/>
  <c r="KY69" i="2"/>
  <c r="KZ69" i="2"/>
  <c r="LA69" i="2"/>
  <c r="LB69" i="2"/>
  <c r="LC69" i="2"/>
  <c r="LD69" i="2"/>
  <c r="LE69" i="2"/>
  <c r="LF69" i="2"/>
  <c r="LG69" i="2"/>
  <c r="LH69" i="2"/>
  <c r="LI69" i="2"/>
  <c r="LJ69" i="2"/>
  <c r="LK69" i="2"/>
  <c r="LL69" i="2"/>
  <c r="LM69" i="2"/>
  <c r="LN69" i="2"/>
  <c r="LO69" i="2"/>
  <c r="LP69" i="2"/>
  <c r="LQ69" i="2"/>
  <c r="LR69" i="2"/>
  <c r="LS69" i="2"/>
  <c r="LT69" i="2"/>
  <c r="KV70" i="2"/>
  <c r="KW70" i="2"/>
  <c r="KX70" i="2"/>
  <c r="KY70" i="2"/>
  <c r="KZ70" i="2"/>
  <c r="LA70" i="2"/>
  <c r="LB70" i="2"/>
  <c r="LC70" i="2"/>
  <c r="LD70" i="2"/>
  <c r="LE70" i="2"/>
  <c r="LF70" i="2"/>
  <c r="LG70" i="2"/>
  <c r="LH70" i="2"/>
  <c r="LI70" i="2"/>
  <c r="LJ70" i="2"/>
  <c r="LK70" i="2"/>
  <c r="LL70" i="2"/>
  <c r="LM70" i="2"/>
  <c r="LN70" i="2"/>
  <c r="LO70" i="2"/>
  <c r="LP70" i="2"/>
  <c r="LQ70" i="2"/>
  <c r="LR70" i="2"/>
  <c r="LS70" i="2"/>
  <c r="LT70" i="2"/>
  <c r="KV71" i="2"/>
  <c r="KW71" i="2"/>
  <c r="KX71" i="2"/>
  <c r="KY71" i="2"/>
  <c r="KZ71" i="2"/>
  <c r="LA71" i="2"/>
  <c r="LB71" i="2"/>
  <c r="LC71" i="2"/>
  <c r="LD71" i="2"/>
  <c r="LE71" i="2"/>
  <c r="LF71" i="2"/>
  <c r="LG71" i="2"/>
  <c r="LH71" i="2"/>
  <c r="LI71" i="2"/>
  <c r="LJ71" i="2"/>
  <c r="LK71" i="2"/>
  <c r="LL71" i="2"/>
  <c r="LM71" i="2"/>
  <c r="LN71" i="2"/>
  <c r="LO71" i="2"/>
  <c r="LP71" i="2"/>
  <c r="LQ71" i="2"/>
  <c r="LR71" i="2"/>
  <c r="LS71" i="2"/>
  <c r="LT71" i="2"/>
  <c r="KV72" i="2"/>
  <c r="KW72" i="2"/>
  <c r="KX72" i="2"/>
  <c r="KY72" i="2"/>
  <c r="KZ72" i="2"/>
  <c r="LA72" i="2"/>
  <c r="LB72" i="2"/>
  <c r="LC72" i="2"/>
  <c r="LD72" i="2"/>
  <c r="LE72" i="2"/>
  <c r="LF72" i="2"/>
  <c r="LG72" i="2"/>
  <c r="LH72" i="2"/>
  <c r="LI72" i="2"/>
  <c r="LJ72" i="2"/>
  <c r="LK72" i="2"/>
  <c r="LL72" i="2"/>
  <c r="LM72" i="2"/>
  <c r="LN72" i="2"/>
  <c r="LO72" i="2"/>
  <c r="LP72" i="2"/>
  <c r="LQ72" i="2"/>
  <c r="LR72" i="2"/>
  <c r="LS72" i="2"/>
  <c r="LT72" i="2"/>
  <c r="KV73" i="2"/>
  <c r="KW73" i="2"/>
  <c r="KX73" i="2"/>
  <c r="KY73" i="2"/>
  <c r="KZ73" i="2"/>
  <c r="LA73" i="2"/>
  <c r="LB73" i="2"/>
  <c r="LC73" i="2"/>
  <c r="LD73" i="2"/>
  <c r="LE73" i="2"/>
  <c r="LF73" i="2"/>
  <c r="LG73" i="2"/>
  <c r="LH73" i="2"/>
  <c r="LI73" i="2"/>
  <c r="LJ73" i="2"/>
  <c r="LK73" i="2"/>
  <c r="LL73" i="2"/>
  <c r="LM73" i="2"/>
  <c r="LN73" i="2"/>
  <c r="LO73" i="2"/>
  <c r="LP73" i="2"/>
  <c r="LQ73" i="2"/>
  <c r="LR73" i="2"/>
  <c r="LS73" i="2"/>
  <c r="LT73" i="2"/>
  <c r="KV74" i="2"/>
  <c r="KW74" i="2"/>
  <c r="KX74" i="2"/>
  <c r="KY74" i="2"/>
  <c r="KZ74" i="2"/>
  <c r="LA74" i="2"/>
  <c r="LB74" i="2"/>
  <c r="LC74" i="2"/>
  <c r="LD74" i="2"/>
  <c r="LE74" i="2"/>
  <c r="LF74" i="2"/>
  <c r="LG74" i="2"/>
  <c r="LH74" i="2"/>
  <c r="LI74" i="2"/>
  <c r="LJ74" i="2"/>
  <c r="LK74" i="2"/>
  <c r="LL74" i="2"/>
  <c r="LM74" i="2"/>
  <c r="LN74" i="2"/>
  <c r="LO74" i="2"/>
  <c r="LP74" i="2"/>
  <c r="LQ74" i="2"/>
  <c r="LR74" i="2"/>
  <c r="LS74" i="2"/>
  <c r="LT74" i="2"/>
  <c r="KV75" i="2"/>
  <c r="KW75" i="2"/>
  <c r="KX75" i="2"/>
  <c r="KY75" i="2"/>
  <c r="KZ75" i="2"/>
  <c r="LA75" i="2"/>
  <c r="LB75" i="2"/>
  <c r="LC75" i="2"/>
  <c r="LD75" i="2"/>
  <c r="LE75" i="2"/>
  <c r="LF75" i="2"/>
  <c r="LG75" i="2"/>
  <c r="LH75" i="2"/>
  <c r="LI75" i="2"/>
  <c r="LJ75" i="2"/>
  <c r="LK75" i="2"/>
  <c r="LL75" i="2"/>
  <c r="LM75" i="2"/>
  <c r="LN75" i="2"/>
  <c r="LO75" i="2"/>
  <c r="LP75" i="2"/>
  <c r="LQ75" i="2"/>
  <c r="LR75" i="2"/>
  <c r="LS75" i="2"/>
  <c r="LT75" i="2"/>
  <c r="KV76" i="2"/>
  <c r="KW76" i="2"/>
  <c r="KX76" i="2"/>
  <c r="KY76" i="2"/>
  <c r="KZ76" i="2"/>
  <c r="LA76" i="2"/>
  <c r="LB76" i="2"/>
  <c r="LC76" i="2"/>
  <c r="LD76" i="2"/>
  <c r="LE76" i="2"/>
  <c r="LF76" i="2"/>
  <c r="LG76" i="2"/>
  <c r="LH76" i="2"/>
  <c r="LI76" i="2"/>
  <c r="LJ76" i="2"/>
  <c r="LK76" i="2"/>
  <c r="LL76" i="2"/>
  <c r="LM76" i="2"/>
  <c r="LN76" i="2"/>
  <c r="LO76" i="2"/>
  <c r="LP76" i="2"/>
  <c r="LQ76" i="2"/>
  <c r="LR76" i="2"/>
  <c r="LS76" i="2"/>
  <c r="LT76" i="2"/>
  <c r="KV77" i="2"/>
  <c r="KW77" i="2"/>
  <c r="KX77" i="2"/>
  <c r="KY77" i="2"/>
  <c r="KZ77" i="2"/>
  <c r="LA77" i="2"/>
  <c r="LB77" i="2"/>
  <c r="LC77" i="2"/>
  <c r="LD77" i="2"/>
  <c r="LE77" i="2"/>
  <c r="LF77" i="2"/>
  <c r="LG77" i="2"/>
  <c r="LH77" i="2"/>
  <c r="LI77" i="2"/>
  <c r="LJ77" i="2"/>
  <c r="LK77" i="2"/>
  <c r="LL77" i="2"/>
  <c r="LM77" i="2"/>
  <c r="LN77" i="2"/>
  <c r="LO77" i="2"/>
  <c r="LP77" i="2"/>
  <c r="LQ77" i="2"/>
  <c r="LR77" i="2"/>
  <c r="LS77" i="2"/>
  <c r="LT77" i="2"/>
  <c r="KV78" i="2"/>
  <c r="KW78" i="2"/>
  <c r="KX78" i="2"/>
  <c r="KY78" i="2"/>
  <c r="KZ78" i="2"/>
  <c r="LA78" i="2"/>
  <c r="LB78" i="2"/>
  <c r="LC78" i="2"/>
  <c r="LD78" i="2"/>
  <c r="LE78" i="2"/>
  <c r="LF78" i="2"/>
  <c r="LG78" i="2"/>
  <c r="LH78" i="2"/>
  <c r="LI78" i="2"/>
  <c r="LJ78" i="2"/>
  <c r="LK78" i="2"/>
  <c r="LL78" i="2"/>
  <c r="LM78" i="2"/>
  <c r="LN78" i="2"/>
  <c r="LO78" i="2"/>
  <c r="LP78" i="2"/>
  <c r="LQ78" i="2"/>
  <c r="LR78" i="2"/>
  <c r="LS78" i="2"/>
  <c r="LT78" i="2"/>
  <c r="KV79" i="2"/>
  <c r="KW79" i="2"/>
  <c r="KX79" i="2"/>
  <c r="KY79" i="2"/>
  <c r="KZ79" i="2"/>
  <c r="LA79" i="2"/>
  <c r="LB79" i="2"/>
  <c r="LC79" i="2"/>
  <c r="LD79" i="2"/>
  <c r="LE79" i="2"/>
  <c r="LF79" i="2"/>
  <c r="LG79" i="2"/>
  <c r="LH79" i="2"/>
  <c r="LI79" i="2"/>
  <c r="LJ79" i="2"/>
  <c r="LK79" i="2"/>
  <c r="LL79" i="2"/>
  <c r="LM79" i="2"/>
  <c r="LN79" i="2"/>
  <c r="LO79" i="2"/>
  <c r="LP79" i="2"/>
  <c r="LQ79" i="2"/>
  <c r="LR79" i="2"/>
  <c r="LS79" i="2"/>
  <c r="LT79" i="2"/>
  <c r="KV80" i="2"/>
  <c r="KW80" i="2"/>
  <c r="KX80" i="2"/>
  <c r="KY80" i="2"/>
  <c r="KZ80" i="2"/>
  <c r="LA80" i="2"/>
  <c r="LB80" i="2"/>
  <c r="LC80" i="2"/>
  <c r="LD80" i="2"/>
  <c r="LE80" i="2"/>
  <c r="LF80" i="2"/>
  <c r="LG80" i="2"/>
  <c r="LH80" i="2"/>
  <c r="LI80" i="2"/>
  <c r="LJ80" i="2"/>
  <c r="LK80" i="2"/>
  <c r="LL80" i="2"/>
  <c r="LM80" i="2"/>
  <c r="LN80" i="2"/>
  <c r="LO80" i="2"/>
  <c r="LP80" i="2"/>
  <c r="LQ80" i="2"/>
  <c r="LR80" i="2"/>
  <c r="LS80" i="2"/>
  <c r="LT80" i="2"/>
  <c r="KV81" i="2"/>
  <c r="KW81" i="2"/>
  <c r="KX81" i="2"/>
  <c r="KY81" i="2"/>
  <c r="KZ81" i="2"/>
  <c r="LA81" i="2"/>
  <c r="LB81" i="2"/>
  <c r="LC81" i="2"/>
  <c r="LD81" i="2"/>
  <c r="LE81" i="2"/>
  <c r="LF81" i="2"/>
  <c r="LG81" i="2"/>
  <c r="LH81" i="2"/>
  <c r="LI81" i="2"/>
  <c r="LJ81" i="2"/>
  <c r="LK81" i="2"/>
  <c r="LL81" i="2"/>
  <c r="LM81" i="2"/>
  <c r="LN81" i="2"/>
  <c r="LO81" i="2"/>
  <c r="LP81" i="2"/>
  <c r="LQ81" i="2"/>
  <c r="LR81" i="2"/>
  <c r="LS81" i="2"/>
  <c r="LT81" i="2"/>
  <c r="KV82" i="2"/>
  <c r="KW82" i="2"/>
  <c r="KX82" i="2"/>
  <c r="KY82" i="2"/>
  <c r="KZ82" i="2"/>
  <c r="LA82" i="2"/>
  <c r="LB82" i="2"/>
  <c r="LC82" i="2"/>
  <c r="LD82" i="2"/>
  <c r="LE82" i="2"/>
  <c r="LF82" i="2"/>
  <c r="LG82" i="2"/>
  <c r="LH82" i="2"/>
  <c r="LI82" i="2"/>
  <c r="LJ82" i="2"/>
  <c r="LK82" i="2"/>
  <c r="LL82" i="2"/>
  <c r="LM82" i="2"/>
  <c r="LN82" i="2"/>
  <c r="LO82" i="2"/>
  <c r="LP82" i="2"/>
  <c r="LQ82" i="2"/>
  <c r="LR82" i="2"/>
  <c r="LS82" i="2"/>
  <c r="LT82" i="2"/>
  <c r="KV83" i="2"/>
  <c r="KW83" i="2"/>
  <c r="KX83" i="2"/>
  <c r="KY83" i="2"/>
  <c r="KZ83" i="2"/>
  <c r="LA83" i="2"/>
  <c r="LB83" i="2"/>
  <c r="LC83" i="2"/>
  <c r="LD83" i="2"/>
  <c r="LE83" i="2"/>
  <c r="LF83" i="2"/>
  <c r="LG83" i="2"/>
  <c r="LH83" i="2"/>
  <c r="LI83" i="2"/>
  <c r="LJ83" i="2"/>
  <c r="LK83" i="2"/>
  <c r="LL83" i="2"/>
  <c r="LM83" i="2"/>
  <c r="LN83" i="2"/>
  <c r="LO83" i="2"/>
  <c r="LP83" i="2"/>
  <c r="LQ83" i="2"/>
  <c r="LR83" i="2"/>
  <c r="LS83" i="2"/>
  <c r="LT83" i="2"/>
  <c r="KV84" i="2"/>
  <c r="KW84" i="2"/>
  <c r="KX84" i="2"/>
  <c r="KY84" i="2"/>
  <c r="KZ84" i="2"/>
  <c r="LA84" i="2"/>
  <c r="LB84" i="2"/>
  <c r="LC84" i="2"/>
  <c r="LD84" i="2"/>
  <c r="LE84" i="2"/>
  <c r="LF84" i="2"/>
  <c r="LG84" i="2"/>
  <c r="LH84" i="2"/>
  <c r="LI84" i="2"/>
  <c r="LJ84" i="2"/>
  <c r="LK84" i="2"/>
  <c r="LL84" i="2"/>
  <c r="LM84" i="2"/>
  <c r="LN84" i="2"/>
  <c r="LO84" i="2"/>
  <c r="LP84" i="2"/>
  <c r="LQ84" i="2"/>
  <c r="LR84" i="2"/>
  <c r="LS84" i="2"/>
  <c r="LT84" i="2"/>
  <c r="KV85" i="2"/>
  <c r="KW85" i="2"/>
  <c r="KX85" i="2"/>
  <c r="KY85" i="2"/>
  <c r="KZ85" i="2"/>
  <c r="LA85" i="2"/>
  <c r="LB85" i="2"/>
  <c r="LC85" i="2"/>
  <c r="LD85" i="2"/>
  <c r="LE85" i="2"/>
  <c r="LF85" i="2"/>
  <c r="LG85" i="2"/>
  <c r="LH85" i="2"/>
  <c r="LI85" i="2"/>
  <c r="LJ85" i="2"/>
  <c r="LK85" i="2"/>
  <c r="LL85" i="2"/>
  <c r="LM85" i="2"/>
  <c r="LN85" i="2"/>
  <c r="LO85" i="2"/>
  <c r="LP85" i="2"/>
  <c r="LQ85" i="2"/>
  <c r="LR85" i="2"/>
  <c r="LS85" i="2"/>
  <c r="LT85" i="2"/>
  <c r="KV86" i="2"/>
  <c r="KW86" i="2"/>
  <c r="KX86" i="2"/>
  <c r="KY86" i="2"/>
  <c r="KZ86" i="2"/>
  <c r="LA86" i="2"/>
  <c r="LB86" i="2"/>
  <c r="LC86" i="2"/>
  <c r="LD86" i="2"/>
  <c r="LE86" i="2"/>
  <c r="LF86" i="2"/>
  <c r="LG86" i="2"/>
  <c r="LH86" i="2"/>
  <c r="LI86" i="2"/>
  <c r="LJ86" i="2"/>
  <c r="LK86" i="2"/>
  <c r="LL86" i="2"/>
  <c r="LM86" i="2"/>
  <c r="LN86" i="2"/>
  <c r="LO86" i="2"/>
  <c r="LP86" i="2"/>
  <c r="LQ86" i="2"/>
  <c r="LR86" i="2"/>
  <c r="LS86" i="2"/>
  <c r="LT86" i="2"/>
  <c r="KV87" i="2"/>
  <c r="KW87" i="2"/>
  <c r="KX87" i="2"/>
  <c r="KY87" i="2"/>
  <c r="KZ87" i="2"/>
  <c r="LA87" i="2"/>
  <c r="LB87" i="2"/>
  <c r="LC87" i="2"/>
  <c r="LD87" i="2"/>
  <c r="LE87" i="2"/>
  <c r="LF87" i="2"/>
  <c r="LG87" i="2"/>
  <c r="LH87" i="2"/>
  <c r="LI87" i="2"/>
  <c r="LJ87" i="2"/>
  <c r="LK87" i="2"/>
  <c r="LL87" i="2"/>
  <c r="LM87" i="2"/>
  <c r="LN87" i="2"/>
  <c r="LO87" i="2"/>
  <c r="LP87" i="2"/>
  <c r="LQ87" i="2"/>
  <c r="LR87" i="2"/>
  <c r="LS87" i="2"/>
  <c r="LT87" i="2"/>
  <c r="KV88" i="2"/>
  <c r="KW88" i="2"/>
  <c r="KX88" i="2"/>
  <c r="KY88" i="2"/>
  <c r="KZ88" i="2"/>
  <c r="LA88" i="2"/>
  <c r="LB88" i="2"/>
  <c r="LC88" i="2"/>
  <c r="LD88" i="2"/>
  <c r="LE88" i="2"/>
  <c r="LF88" i="2"/>
  <c r="LG88" i="2"/>
  <c r="LH88" i="2"/>
  <c r="LI88" i="2"/>
  <c r="LJ88" i="2"/>
  <c r="LK88" i="2"/>
  <c r="LL88" i="2"/>
  <c r="LM88" i="2"/>
  <c r="LN88" i="2"/>
  <c r="LO88" i="2"/>
  <c r="LP88" i="2"/>
  <c r="LQ88" i="2"/>
  <c r="LR88" i="2"/>
  <c r="LS88" i="2"/>
  <c r="LT88" i="2"/>
  <c r="KV89" i="2"/>
  <c r="KW89" i="2"/>
  <c r="KX89" i="2"/>
  <c r="KY89" i="2"/>
  <c r="KZ89" i="2"/>
  <c r="LA89" i="2"/>
  <c r="LB89" i="2"/>
  <c r="LC89" i="2"/>
  <c r="LD89" i="2"/>
  <c r="LE89" i="2"/>
  <c r="LF89" i="2"/>
  <c r="LG89" i="2"/>
  <c r="LH89" i="2"/>
  <c r="LI89" i="2"/>
  <c r="LJ89" i="2"/>
  <c r="LK89" i="2"/>
  <c r="LL89" i="2"/>
  <c r="LM89" i="2"/>
  <c r="LN89" i="2"/>
  <c r="LO89" i="2"/>
  <c r="LP89" i="2"/>
  <c r="LQ89" i="2"/>
  <c r="LR89" i="2"/>
  <c r="LS89" i="2"/>
  <c r="LT89" i="2"/>
  <c r="KV90" i="2"/>
  <c r="KW90" i="2"/>
  <c r="KX90" i="2"/>
  <c r="KY90" i="2"/>
  <c r="KZ90" i="2"/>
  <c r="LA90" i="2"/>
  <c r="LB90" i="2"/>
  <c r="LC90" i="2"/>
  <c r="LD90" i="2"/>
  <c r="LE90" i="2"/>
  <c r="LF90" i="2"/>
  <c r="LG90" i="2"/>
  <c r="LH90" i="2"/>
  <c r="LI90" i="2"/>
  <c r="LJ90" i="2"/>
  <c r="LK90" i="2"/>
  <c r="LL90" i="2"/>
  <c r="LM90" i="2"/>
  <c r="LN90" i="2"/>
  <c r="LO90" i="2"/>
  <c r="LP90" i="2"/>
  <c r="LQ90" i="2"/>
  <c r="LR90" i="2"/>
  <c r="LS90" i="2"/>
  <c r="LT90" i="2"/>
  <c r="KV91" i="2"/>
  <c r="KW91" i="2"/>
  <c r="KX91" i="2"/>
  <c r="KY91" i="2"/>
  <c r="KZ91" i="2"/>
  <c r="LA91" i="2"/>
  <c r="LB91" i="2"/>
  <c r="LC91" i="2"/>
  <c r="LD91" i="2"/>
  <c r="LE91" i="2"/>
  <c r="LF91" i="2"/>
  <c r="LG91" i="2"/>
  <c r="LH91" i="2"/>
  <c r="LI91" i="2"/>
  <c r="LJ91" i="2"/>
  <c r="LK91" i="2"/>
  <c r="LL91" i="2"/>
  <c r="LM91" i="2"/>
  <c r="LN91" i="2"/>
  <c r="LO91" i="2"/>
  <c r="LP91" i="2"/>
  <c r="LQ91" i="2"/>
  <c r="LR91" i="2"/>
  <c r="LS91" i="2"/>
  <c r="LT91" i="2"/>
  <c r="KV92" i="2"/>
  <c r="KW92" i="2"/>
  <c r="KX92" i="2"/>
  <c r="KY92" i="2"/>
  <c r="KZ92" i="2"/>
  <c r="LA92" i="2"/>
  <c r="LB92" i="2"/>
  <c r="LC92" i="2"/>
  <c r="LD92" i="2"/>
  <c r="LE92" i="2"/>
  <c r="LF92" i="2"/>
  <c r="LG92" i="2"/>
  <c r="LH92" i="2"/>
  <c r="LI92" i="2"/>
  <c r="LJ92" i="2"/>
  <c r="LK92" i="2"/>
  <c r="LL92" i="2"/>
  <c r="LM92" i="2"/>
  <c r="LN92" i="2"/>
  <c r="LO92" i="2"/>
  <c r="LP92" i="2"/>
  <c r="LQ92" i="2"/>
  <c r="LR92" i="2"/>
  <c r="LS92" i="2"/>
  <c r="LT92" i="2"/>
  <c r="KV93" i="2"/>
  <c r="KW93" i="2"/>
  <c r="KX93" i="2"/>
  <c r="KY93" i="2"/>
  <c r="KZ93" i="2"/>
  <c r="LA93" i="2"/>
  <c r="LB93" i="2"/>
  <c r="LC93" i="2"/>
  <c r="LD93" i="2"/>
  <c r="LE93" i="2"/>
  <c r="LF93" i="2"/>
  <c r="LG93" i="2"/>
  <c r="LH93" i="2"/>
  <c r="LI93" i="2"/>
  <c r="LJ93" i="2"/>
  <c r="LK93" i="2"/>
  <c r="LL93" i="2"/>
  <c r="LM93" i="2"/>
  <c r="LN93" i="2"/>
  <c r="LO93" i="2"/>
  <c r="LP93" i="2"/>
  <c r="LQ93" i="2"/>
  <c r="LR93" i="2"/>
  <c r="LS93" i="2"/>
  <c r="LT93" i="2"/>
  <c r="KV94" i="2"/>
  <c r="KW94" i="2"/>
  <c r="KX94" i="2"/>
  <c r="KY94" i="2"/>
  <c r="KZ94" i="2"/>
  <c r="LA94" i="2"/>
  <c r="LB94" i="2"/>
  <c r="LC94" i="2"/>
  <c r="LD94" i="2"/>
  <c r="LE94" i="2"/>
  <c r="LF94" i="2"/>
  <c r="LG94" i="2"/>
  <c r="LH94" i="2"/>
  <c r="LI94" i="2"/>
  <c r="LJ94" i="2"/>
  <c r="LK94" i="2"/>
  <c r="LL94" i="2"/>
  <c r="LM94" i="2"/>
  <c r="LN94" i="2"/>
  <c r="LO94" i="2"/>
  <c r="LP94" i="2"/>
  <c r="LQ94" i="2"/>
  <c r="LR94" i="2"/>
  <c r="LS94" i="2"/>
  <c r="LT94" i="2"/>
  <c r="KV95" i="2"/>
  <c r="KW95" i="2"/>
  <c r="KX95" i="2"/>
  <c r="KY95" i="2"/>
  <c r="KZ95" i="2"/>
  <c r="LA95" i="2"/>
  <c r="LB95" i="2"/>
  <c r="LC95" i="2"/>
  <c r="LD95" i="2"/>
  <c r="LE95" i="2"/>
  <c r="LF95" i="2"/>
  <c r="LG95" i="2"/>
  <c r="LH95" i="2"/>
  <c r="LI95" i="2"/>
  <c r="LJ95" i="2"/>
  <c r="LK95" i="2"/>
  <c r="LL95" i="2"/>
  <c r="LM95" i="2"/>
  <c r="LN95" i="2"/>
  <c r="LO95" i="2"/>
  <c r="LP95" i="2"/>
  <c r="LQ95" i="2"/>
  <c r="LR95" i="2"/>
  <c r="LS95" i="2"/>
  <c r="LT95" i="2"/>
  <c r="KV96" i="2"/>
  <c r="KW96" i="2"/>
  <c r="KX96" i="2"/>
  <c r="KY96" i="2"/>
  <c r="KZ96" i="2"/>
  <c r="LA96" i="2"/>
  <c r="LB96" i="2"/>
  <c r="LC96" i="2"/>
  <c r="LD96" i="2"/>
  <c r="LE96" i="2"/>
  <c r="LF96" i="2"/>
  <c r="LG96" i="2"/>
  <c r="LH96" i="2"/>
  <c r="LI96" i="2"/>
  <c r="LJ96" i="2"/>
  <c r="LK96" i="2"/>
  <c r="LL96" i="2"/>
  <c r="LM96" i="2"/>
  <c r="LN96" i="2"/>
  <c r="LO96" i="2"/>
  <c r="LP96" i="2"/>
  <c r="LQ96" i="2"/>
  <c r="LR96" i="2"/>
  <c r="LS96" i="2"/>
  <c r="LT96" i="2"/>
  <c r="KV97" i="2"/>
  <c r="KW97" i="2"/>
  <c r="KX97" i="2"/>
  <c r="KY97" i="2"/>
  <c r="KZ97" i="2"/>
  <c r="LA97" i="2"/>
  <c r="LB97" i="2"/>
  <c r="LC97" i="2"/>
  <c r="LD97" i="2"/>
  <c r="LE97" i="2"/>
  <c r="LF97" i="2"/>
  <c r="LG97" i="2"/>
  <c r="LH97" i="2"/>
  <c r="LI97" i="2"/>
  <c r="LJ97" i="2"/>
  <c r="LK97" i="2"/>
  <c r="LL97" i="2"/>
  <c r="LM97" i="2"/>
  <c r="LN97" i="2"/>
  <c r="LO97" i="2"/>
  <c r="LP97" i="2"/>
  <c r="LQ97" i="2"/>
  <c r="LR97" i="2"/>
  <c r="LS97" i="2"/>
  <c r="LT97" i="2"/>
  <c r="KV98" i="2"/>
  <c r="KW98" i="2"/>
  <c r="KX98" i="2"/>
  <c r="KY98" i="2"/>
  <c r="KZ98" i="2"/>
  <c r="LA98" i="2"/>
  <c r="LB98" i="2"/>
  <c r="LC98" i="2"/>
  <c r="LD98" i="2"/>
  <c r="LE98" i="2"/>
  <c r="LF98" i="2"/>
  <c r="LG98" i="2"/>
  <c r="LH98" i="2"/>
  <c r="LI98" i="2"/>
  <c r="LJ98" i="2"/>
  <c r="LK98" i="2"/>
  <c r="LL98" i="2"/>
  <c r="LM98" i="2"/>
  <c r="LN98" i="2"/>
  <c r="LO98" i="2"/>
  <c r="LP98" i="2"/>
  <c r="LQ98" i="2"/>
  <c r="LR98" i="2"/>
  <c r="LS98" i="2"/>
  <c r="LT98" i="2"/>
  <c r="KV99" i="2"/>
  <c r="KW99" i="2"/>
  <c r="KX99" i="2"/>
  <c r="KY99" i="2"/>
  <c r="KZ99" i="2"/>
  <c r="LA99" i="2"/>
  <c r="LB99" i="2"/>
  <c r="LC99" i="2"/>
  <c r="LD99" i="2"/>
  <c r="LE99" i="2"/>
  <c r="LF99" i="2"/>
  <c r="LG99" i="2"/>
  <c r="LH99" i="2"/>
  <c r="LI99" i="2"/>
  <c r="LJ99" i="2"/>
  <c r="LK99" i="2"/>
  <c r="LL99" i="2"/>
  <c r="LM99" i="2"/>
  <c r="LN99" i="2"/>
  <c r="LO99" i="2"/>
  <c r="LP99" i="2"/>
  <c r="LQ99" i="2"/>
  <c r="LR99" i="2"/>
  <c r="LS99" i="2"/>
  <c r="LT99" i="2"/>
  <c r="KV100" i="2"/>
  <c r="KW100" i="2"/>
  <c r="KX100" i="2"/>
  <c r="KY100" i="2"/>
  <c r="KZ100" i="2"/>
  <c r="LA100" i="2"/>
  <c r="LB100" i="2"/>
  <c r="LC100" i="2"/>
  <c r="LD100" i="2"/>
  <c r="LE100" i="2"/>
  <c r="LF100" i="2"/>
  <c r="LG100" i="2"/>
  <c r="LH100" i="2"/>
  <c r="LI100" i="2"/>
  <c r="LJ100" i="2"/>
  <c r="LK100" i="2"/>
  <c r="LL100" i="2"/>
  <c r="LM100" i="2"/>
  <c r="LN100" i="2"/>
  <c r="LO100" i="2"/>
  <c r="LP100" i="2"/>
  <c r="LQ100" i="2"/>
  <c r="LR100" i="2"/>
  <c r="LS100" i="2"/>
  <c r="LT100" i="2"/>
  <c r="KV101" i="2"/>
  <c r="KW101" i="2"/>
  <c r="KX101" i="2"/>
  <c r="KY101" i="2"/>
  <c r="KZ101" i="2"/>
  <c r="LA101" i="2"/>
  <c r="LB101" i="2"/>
  <c r="LC101" i="2"/>
  <c r="LD101" i="2"/>
  <c r="LE101" i="2"/>
  <c r="LF101" i="2"/>
  <c r="LG101" i="2"/>
  <c r="LH101" i="2"/>
  <c r="LI101" i="2"/>
  <c r="LJ101" i="2"/>
  <c r="LK101" i="2"/>
  <c r="LL101" i="2"/>
  <c r="LM101" i="2"/>
  <c r="LN101" i="2"/>
  <c r="LO101" i="2"/>
  <c r="LP101" i="2"/>
  <c r="LQ101" i="2"/>
  <c r="LR101" i="2"/>
  <c r="LS101" i="2"/>
  <c r="LT101" i="2"/>
  <c r="KV102" i="2"/>
  <c r="KW102" i="2"/>
  <c r="KX102" i="2"/>
  <c r="KY102" i="2"/>
  <c r="KZ102" i="2"/>
  <c r="LA102" i="2"/>
  <c r="LB102" i="2"/>
  <c r="LC102" i="2"/>
  <c r="LD102" i="2"/>
  <c r="LE102" i="2"/>
  <c r="LF102" i="2"/>
  <c r="LG102" i="2"/>
  <c r="LH102" i="2"/>
  <c r="LI102" i="2"/>
  <c r="LJ102" i="2"/>
  <c r="LK102" i="2"/>
  <c r="LL102" i="2"/>
  <c r="LM102" i="2"/>
  <c r="LN102" i="2"/>
  <c r="LO102" i="2"/>
  <c r="LP102" i="2"/>
  <c r="LQ102" i="2"/>
  <c r="LR102" i="2"/>
  <c r="LS102" i="2"/>
  <c r="LT102" i="2"/>
  <c r="KV103" i="2"/>
  <c r="KW103" i="2"/>
  <c r="KX103" i="2"/>
  <c r="KY103" i="2"/>
  <c r="KZ103" i="2"/>
  <c r="LA103" i="2"/>
  <c r="LB103" i="2"/>
  <c r="LC103" i="2"/>
  <c r="LD103" i="2"/>
  <c r="LE103" i="2"/>
  <c r="LF103" i="2"/>
  <c r="LG103" i="2"/>
  <c r="LH103" i="2"/>
  <c r="LI103" i="2"/>
  <c r="LJ103" i="2"/>
  <c r="LK103" i="2"/>
  <c r="LL103" i="2"/>
  <c r="LM103" i="2"/>
  <c r="LN103" i="2"/>
  <c r="LO103" i="2"/>
  <c r="LP103" i="2"/>
  <c r="LQ103" i="2"/>
  <c r="LR103" i="2"/>
  <c r="LS103" i="2"/>
  <c r="LT103" i="2"/>
  <c r="KV4" i="2"/>
  <c r="KW4" i="2"/>
  <c r="KX4" i="2"/>
  <c r="KY4" i="2"/>
  <c r="KZ4" i="2"/>
  <c r="LA4" i="2"/>
  <c r="LB4" i="2"/>
  <c r="LC4" i="2"/>
  <c r="LD4" i="2"/>
  <c r="LE4" i="2"/>
  <c r="LF4" i="2"/>
  <c r="LG4" i="2"/>
  <c r="LH4" i="2"/>
  <c r="LI4" i="2"/>
  <c r="LJ4" i="2"/>
  <c r="LK4" i="2"/>
  <c r="LL4" i="2"/>
  <c r="LM4" i="2"/>
  <c r="LN4" i="2"/>
  <c r="LO4" i="2"/>
  <c r="LP4" i="2"/>
  <c r="LQ4" i="2"/>
  <c r="LR4" i="2"/>
  <c r="LS4" i="2"/>
  <c r="LT4" i="2"/>
  <c r="KV5" i="2"/>
  <c r="KW5" i="2"/>
  <c r="KX5" i="2"/>
  <c r="KY5" i="2"/>
  <c r="KZ5" i="2"/>
  <c r="LA5" i="2"/>
  <c r="LB5" i="2"/>
  <c r="LC5" i="2"/>
  <c r="LD5" i="2"/>
  <c r="LE5" i="2"/>
  <c r="LF5" i="2"/>
  <c r="LG5" i="2"/>
  <c r="LH5" i="2"/>
  <c r="LI5" i="2"/>
  <c r="LJ5" i="2"/>
  <c r="LK5" i="2"/>
  <c r="LL5" i="2"/>
  <c r="LM5" i="2"/>
  <c r="LN5" i="2"/>
  <c r="LO5" i="2"/>
  <c r="LP5" i="2"/>
  <c r="LQ5" i="2"/>
  <c r="LR5" i="2"/>
  <c r="LS5" i="2"/>
  <c r="LT5" i="2"/>
  <c r="KV6" i="2"/>
  <c r="KW6" i="2"/>
  <c r="KX6" i="2"/>
  <c r="KY6" i="2"/>
  <c r="KZ6" i="2"/>
  <c r="LA6" i="2"/>
  <c r="LB6" i="2"/>
  <c r="LC6" i="2"/>
  <c r="LD6" i="2"/>
  <c r="LE6" i="2"/>
  <c r="LF6" i="2"/>
  <c r="LG6" i="2"/>
  <c r="LH6" i="2"/>
  <c r="LI6" i="2"/>
  <c r="LJ6" i="2"/>
  <c r="LK6" i="2"/>
  <c r="LL6" i="2"/>
  <c r="LM6" i="2"/>
  <c r="LN6" i="2"/>
  <c r="LO6" i="2"/>
  <c r="LP6" i="2"/>
  <c r="LQ6" i="2"/>
  <c r="LR6" i="2"/>
  <c r="LS6" i="2"/>
  <c r="LT6" i="2"/>
  <c r="KV7" i="2"/>
  <c r="KW7" i="2"/>
  <c r="KX7" i="2"/>
  <c r="KY7" i="2"/>
  <c r="KZ7" i="2"/>
  <c r="LA7" i="2"/>
  <c r="LB7" i="2"/>
  <c r="LC7" i="2"/>
  <c r="LD7" i="2"/>
  <c r="LE7" i="2"/>
  <c r="LF7" i="2"/>
  <c r="LG7" i="2"/>
  <c r="LH7" i="2"/>
  <c r="LI7" i="2"/>
  <c r="LJ7" i="2"/>
  <c r="LK7" i="2"/>
  <c r="LL7" i="2"/>
  <c r="LM7" i="2"/>
  <c r="LN7" i="2"/>
  <c r="LO7" i="2"/>
  <c r="LP7" i="2"/>
  <c r="LQ7" i="2"/>
  <c r="LR7" i="2"/>
  <c r="LS7" i="2"/>
  <c r="LT7" i="2"/>
  <c r="KV8" i="2"/>
  <c r="KW8" i="2"/>
  <c r="KX8" i="2"/>
  <c r="KY8" i="2"/>
  <c r="KZ8" i="2"/>
  <c r="LA8" i="2"/>
  <c r="LB8" i="2"/>
  <c r="LC8" i="2"/>
  <c r="LD8" i="2"/>
  <c r="LE8" i="2"/>
  <c r="LF8" i="2"/>
  <c r="LG8" i="2"/>
  <c r="LH8" i="2"/>
  <c r="LI8" i="2"/>
  <c r="LJ8" i="2"/>
  <c r="LK8" i="2"/>
  <c r="LL8" i="2"/>
  <c r="LM8" i="2"/>
  <c r="LN8" i="2"/>
  <c r="LO8" i="2"/>
  <c r="LP8" i="2"/>
  <c r="LQ8" i="2"/>
  <c r="LR8" i="2"/>
  <c r="LS8" i="2"/>
  <c r="LT8" i="2"/>
  <c r="KV9" i="2"/>
  <c r="KW9" i="2"/>
  <c r="KX9" i="2"/>
  <c r="KY9" i="2"/>
  <c r="KZ9" i="2"/>
  <c r="LA9" i="2"/>
  <c r="LB9" i="2"/>
  <c r="LC9" i="2"/>
  <c r="LD9" i="2"/>
  <c r="LE9" i="2"/>
  <c r="LF9" i="2"/>
  <c r="LG9" i="2"/>
  <c r="LH9" i="2"/>
  <c r="LI9" i="2"/>
  <c r="LJ9" i="2"/>
  <c r="LK9" i="2"/>
  <c r="LL9" i="2"/>
  <c r="LM9" i="2"/>
  <c r="LN9" i="2"/>
  <c r="LO9" i="2"/>
  <c r="LP9" i="2"/>
  <c r="LQ9" i="2"/>
  <c r="LR9" i="2"/>
  <c r="LS9" i="2"/>
  <c r="LT9" i="2"/>
  <c r="KV10" i="2"/>
  <c r="KW10" i="2"/>
  <c r="KX10" i="2"/>
  <c r="KY10" i="2"/>
  <c r="KZ10" i="2"/>
  <c r="LA10" i="2"/>
  <c r="LB10" i="2"/>
  <c r="LC10" i="2"/>
  <c r="LD10" i="2"/>
  <c r="LE10" i="2"/>
  <c r="LF10" i="2"/>
  <c r="LG10" i="2"/>
  <c r="LH10" i="2"/>
  <c r="LI10" i="2"/>
  <c r="LJ10" i="2"/>
  <c r="LK10" i="2"/>
  <c r="LL10" i="2"/>
  <c r="LM10" i="2"/>
  <c r="LN10" i="2"/>
  <c r="LO10" i="2"/>
  <c r="LP10" i="2"/>
  <c r="LQ10" i="2"/>
  <c r="LR10" i="2"/>
  <c r="LS10" i="2"/>
  <c r="LT10" i="2"/>
  <c r="KV11" i="2"/>
  <c r="KW11" i="2"/>
  <c r="KX11" i="2"/>
  <c r="KY11" i="2"/>
  <c r="KZ11" i="2"/>
  <c r="LA11" i="2"/>
  <c r="LB11" i="2"/>
  <c r="LC11" i="2"/>
  <c r="LD11" i="2"/>
  <c r="LE11" i="2"/>
  <c r="LF11" i="2"/>
  <c r="LG11" i="2"/>
  <c r="LH11" i="2"/>
  <c r="LI11" i="2"/>
  <c r="LJ11" i="2"/>
  <c r="LK11" i="2"/>
  <c r="LL11" i="2"/>
  <c r="LM11" i="2"/>
  <c r="LN11" i="2"/>
  <c r="LO11" i="2"/>
  <c r="LP11" i="2"/>
  <c r="LQ11" i="2"/>
  <c r="LR11" i="2"/>
  <c r="LS11" i="2"/>
  <c r="LT11" i="2"/>
  <c r="KV12" i="2"/>
  <c r="KW12" i="2"/>
  <c r="KX12" i="2"/>
  <c r="KY12" i="2"/>
  <c r="KZ12" i="2"/>
  <c r="LA12" i="2"/>
  <c r="LB12" i="2"/>
  <c r="LC12" i="2"/>
  <c r="LD12" i="2"/>
  <c r="LE12" i="2"/>
  <c r="LF12" i="2"/>
  <c r="LG12" i="2"/>
  <c r="LH12" i="2"/>
  <c r="LI12" i="2"/>
  <c r="LJ12" i="2"/>
  <c r="LK12" i="2"/>
  <c r="LL12" i="2"/>
  <c r="LM12" i="2"/>
  <c r="LN12" i="2"/>
  <c r="LO12" i="2"/>
  <c r="LP12" i="2"/>
  <c r="LQ12" i="2"/>
  <c r="LR12" i="2"/>
  <c r="LS12" i="2"/>
  <c r="LT12" i="2"/>
  <c r="KV13" i="2"/>
  <c r="KW13" i="2"/>
  <c r="KX13" i="2"/>
  <c r="KY13" i="2"/>
  <c r="KZ13" i="2"/>
  <c r="LA13" i="2"/>
  <c r="LB13" i="2"/>
  <c r="LC13" i="2"/>
  <c r="LD13" i="2"/>
  <c r="LE13" i="2"/>
  <c r="LF13" i="2"/>
  <c r="LG13" i="2"/>
  <c r="LH13" i="2"/>
  <c r="LI13" i="2"/>
  <c r="LJ13" i="2"/>
  <c r="LK13" i="2"/>
  <c r="LL13" i="2"/>
  <c r="LM13" i="2"/>
  <c r="LN13" i="2"/>
  <c r="LO13" i="2"/>
  <c r="LP13" i="2"/>
  <c r="LQ13" i="2"/>
  <c r="LR13" i="2"/>
  <c r="LS13" i="2"/>
  <c r="LT13" i="2"/>
  <c r="KV14" i="2"/>
  <c r="KW14" i="2"/>
  <c r="KX14" i="2"/>
  <c r="KY14" i="2"/>
  <c r="KZ14" i="2"/>
  <c r="LA14" i="2"/>
  <c r="LB14" i="2"/>
  <c r="LC14" i="2"/>
  <c r="LD14" i="2"/>
  <c r="LE14" i="2"/>
  <c r="LF14" i="2"/>
  <c r="LG14" i="2"/>
  <c r="LH14" i="2"/>
  <c r="LI14" i="2"/>
  <c r="LJ14" i="2"/>
  <c r="LK14" i="2"/>
  <c r="LL14" i="2"/>
  <c r="LM14" i="2"/>
  <c r="LN14" i="2"/>
  <c r="LO14" i="2"/>
  <c r="LP14" i="2"/>
  <c r="LQ14" i="2"/>
  <c r="LR14" i="2"/>
  <c r="LS14" i="2"/>
  <c r="LT14" i="2"/>
  <c r="KV15" i="2"/>
  <c r="KW15" i="2"/>
  <c r="KX15" i="2"/>
  <c r="KY15" i="2"/>
  <c r="KZ15" i="2"/>
  <c r="LA15" i="2"/>
  <c r="LB15" i="2"/>
  <c r="LC15" i="2"/>
  <c r="LD15" i="2"/>
  <c r="LE15" i="2"/>
  <c r="LF15" i="2"/>
  <c r="LG15" i="2"/>
  <c r="LH15" i="2"/>
  <c r="LI15" i="2"/>
  <c r="LJ15" i="2"/>
  <c r="LK15" i="2"/>
  <c r="LL15" i="2"/>
  <c r="LM15" i="2"/>
  <c r="LN15" i="2"/>
  <c r="LO15" i="2"/>
  <c r="LP15" i="2"/>
  <c r="LQ15" i="2"/>
  <c r="LR15" i="2"/>
  <c r="LS15" i="2"/>
  <c r="LT15" i="2"/>
  <c r="KV16" i="2"/>
  <c r="KW16" i="2"/>
  <c r="KX16" i="2"/>
  <c r="KY16" i="2"/>
  <c r="KZ16" i="2"/>
  <c r="LA16" i="2"/>
  <c r="LB16" i="2"/>
  <c r="LC16" i="2"/>
  <c r="LD16" i="2"/>
  <c r="LE16" i="2"/>
  <c r="LF16" i="2"/>
  <c r="LG16" i="2"/>
  <c r="LH16" i="2"/>
  <c r="LI16" i="2"/>
  <c r="LJ16" i="2"/>
  <c r="LK16" i="2"/>
  <c r="LL16" i="2"/>
  <c r="LM16" i="2"/>
  <c r="LN16" i="2"/>
  <c r="LO16" i="2"/>
  <c r="LP16" i="2"/>
  <c r="LQ16" i="2"/>
  <c r="LR16" i="2"/>
  <c r="LS16" i="2"/>
  <c r="LT16" i="2"/>
  <c r="KV17" i="2"/>
  <c r="KW17" i="2"/>
  <c r="KX17" i="2"/>
  <c r="KY17" i="2"/>
  <c r="KZ17" i="2"/>
  <c r="LA17" i="2"/>
  <c r="LB17" i="2"/>
  <c r="LC17" i="2"/>
  <c r="LD17" i="2"/>
  <c r="LE17" i="2"/>
  <c r="LF17" i="2"/>
  <c r="LG17" i="2"/>
  <c r="LH17" i="2"/>
  <c r="LI17" i="2"/>
  <c r="LJ17" i="2"/>
  <c r="LK17" i="2"/>
  <c r="LL17" i="2"/>
  <c r="LM17" i="2"/>
  <c r="LN17" i="2"/>
  <c r="LO17" i="2"/>
  <c r="LP17" i="2"/>
  <c r="LQ17" i="2"/>
  <c r="LR17" i="2"/>
  <c r="LS17" i="2"/>
  <c r="LT17" i="2"/>
  <c r="KV18" i="2"/>
  <c r="KW18" i="2"/>
  <c r="KX18" i="2"/>
  <c r="KY18" i="2"/>
  <c r="KZ18" i="2"/>
  <c r="LA18" i="2"/>
  <c r="LB18" i="2"/>
  <c r="LC18" i="2"/>
  <c r="LD18" i="2"/>
  <c r="LE18" i="2"/>
  <c r="LF18" i="2"/>
  <c r="LG18" i="2"/>
  <c r="LH18" i="2"/>
  <c r="LI18" i="2"/>
  <c r="LJ18" i="2"/>
  <c r="LK18" i="2"/>
  <c r="LL18" i="2"/>
  <c r="LM18" i="2"/>
  <c r="LN18" i="2"/>
  <c r="LO18" i="2"/>
  <c r="LP18" i="2"/>
  <c r="LQ18" i="2"/>
  <c r="LR18" i="2"/>
  <c r="LS18" i="2"/>
  <c r="LT18" i="2"/>
  <c r="KV19" i="2"/>
  <c r="KW19" i="2"/>
  <c r="KX19" i="2"/>
  <c r="KY19" i="2"/>
  <c r="KZ19" i="2"/>
  <c r="LA19" i="2"/>
  <c r="LB19" i="2"/>
  <c r="LC19" i="2"/>
  <c r="LD19" i="2"/>
  <c r="LE19" i="2"/>
  <c r="LF19" i="2"/>
  <c r="LG19" i="2"/>
  <c r="LH19" i="2"/>
  <c r="LI19" i="2"/>
  <c r="LJ19" i="2"/>
  <c r="LK19" i="2"/>
  <c r="LL19" i="2"/>
  <c r="LM19" i="2"/>
  <c r="LN19" i="2"/>
  <c r="LO19" i="2"/>
  <c r="LP19" i="2"/>
  <c r="LQ19" i="2"/>
  <c r="LR19" i="2"/>
  <c r="LS19" i="2"/>
  <c r="LT19" i="2"/>
  <c r="KV20" i="2"/>
  <c r="KW20" i="2"/>
  <c r="KX20" i="2"/>
  <c r="KY20" i="2"/>
  <c r="KZ20" i="2"/>
  <c r="LA20" i="2"/>
  <c r="LB20" i="2"/>
  <c r="LC20" i="2"/>
  <c r="LD20" i="2"/>
  <c r="LE20" i="2"/>
  <c r="LF20" i="2"/>
  <c r="LG20" i="2"/>
  <c r="LH20" i="2"/>
  <c r="LI20" i="2"/>
  <c r="LJ20" i="2"/>
  <c r="LK20" i="2"/>
  <c r="LL20" i="2"/>
  <c r="LM20" i="2"/>
  <c r="LN20" i="2"/>
  <c r="LO20" i="2"/>
  <c r="LP20" i="2"/>
  <c r="LQ20" i="2"/>
  <c r="LR20" i="2"/>
  <c r="LS20" i="2"/>
  <c r="LT20" i="2"/>
  <c r="KV21" i="2"/>
  <c r="KW21" i="2"/>
  <c r="KX21" i="2"/>
  <c r="KY21" i="2"/>
  <c r="KZ21" i="2"/>
  <c r="LA21" i="2"/>
  <c r="LB21" i="2"/>
  <c r="LC21" i="2"/>
  <c r="LD21" i="2"/>
  <c r="LE21" i="2"/>
  <c r="LF21" i="2"/>
  <c r="LG21" i="2"/>
  <c r="LH21" i="2"/>
  <c r="LI21" i="2"/>
  <c r="LJ21" i="2"/>
  <c r="LK21" i="2"/>
  <c r="LL21" i="2"/>
  <c r="LM21" i="2"/>
  <c r="LN21" i="2"/>
  <c r="LO21" i="2"/>
  <c r="LP21" i="2"/>
  <c r="LQ21" i="2"/>
  <c r="LR21" i="2"/>
  <c r="LS21" i="2"/>
  <c r="LT21" i="2"/>
  <c r="KV22" i="2"/>
  <c r="KW22" i="2"/>
  <c r="KX22" i="2"/>
  <c r="KY22" i="2"/>
  <c r="KZ22" i="2"/>
  <c r="LA22" i="2"/>
  <c r="LB22" i="2"/>
  <c r="LC22" i="2"/>
  <c r="LD22" i="2"/>
  <c r="LE22" i="2"/>
  <c r="LF22" i="2"/>
  <c r="LG22" i="2"/>
  <c r="LH22" i="2"/>
  <c r="LI22" i="2"/>
  <c r="LJ22" i="2"/>
  <c r="LK22" i="2"/>
  <c r="LL22" i="2"/>
  <c r="LM22" i="2"/>
  <c r="LN22" i="2"/>
  <c r="LO22" i="2"/>
  <c r="LP22" i="2"/>
  <c r="LQ22" i="2"/>
  <c r="LR22" i="2"/>
  <c r="LS22" i="2"/>
  <c r="LT22" i="2"/>
  <c r="KV23" i="2"/>
  <c r="KW23" i="2"/>
  <c r="KX23" i="2"/>
  <c r="KY23" i="2"/>
  <c r="KZ23" i="2"/>
  <c r="LA23" i="2"/>
  <c r="LB23" i="2"/>
  <c r="LC23" i="2"/>
  <c r="LD23" i="2"/>
  <c r="LE23" i="2"/>
  <c r="LF23" i="2"/>
  <c r="LG23" i="2"/>
  <c r="LH23" i="2"/>
  <c r="LI23" i="2"/>
  <c r="LJ23" i="2"/>
  <c r="LK23" i="2"/>
  <c r="LL23" i="2"/>
  <c r="LM23" i="2"/>
  <c r="LN23" i="2"/>
  <c r="LO23" i="2"/>
  <c r="LP23" i="2"/>
  <c r="LQ23" i="2"/>
  <c r="LR23" i="2"/>
  <c r="LS23" i="2"/>
  <c r="LT23" i="2"/>
  <c r="KV24" i="2"/>
  <c r="KW24" i="2"/>
  <c r="KX24" i="2"/>
  <c r="KY24" i="2"/>
  <c r="KZ24" i="2"/>
  <c r="LA24" i="2"/>
  <c r="LB24" i="2"/>
  <c r="LC24" i="2"/>
  <c r="LD24" i="2"/>
  <c r="LE24" i="2"/>
  <c r="LF24" i="2"/>
  <c r="LG24" i="2"/>
  <c r="LH24" i="2"/>
  <c r="LI24" i="2"/>
  <c r="LJ24" i="2"/>
  <c r="LK24" i="2"/>
  <c r="LL24" i="2"/>
  <c r="LM24" i="2"/>
  <c r="LN24" i="2"/>
  <c r="LO24" i="2"/>
  <c r="LP24" i="2"/>
  <c r="LQ24" i="2"/>
  <c r="LR24" i="2"/>
  <c r="LS24" i="2"/>
  <c r="LT24" i="2"/>
  <c r="KV25" i="2"/>
  <c r="KW25" i="2"/>
  <c r="KX25" i="2"/>
  <c r="KY25" i="2"/>
  <c r="KZ25" i="2"/>
  <c r="LA25" i="2"/>
  <c r="LB25" i="2"/>
  <c r="LC25" i="2"/>
  <c r="LD25" i="2"/>
  <c r="LE25" i="2"/>
  <c r="LF25" i="2"/>
  <c r="LG25" i="2"/>
  <c r="LH25" i="2"/>
  <c r="LI25" i="2"/>
  <c r="LJ25" i="2"/>
  <c r="LK25" i="2"/>
  <c r="LL25" i="2"/>
  <c r="LM25" i="2"/>
  <c r="LN25" i="2"/>
  <c r="LO25" i="2"/>
  <c r="LP25" i="2"/>
  <c r="LQ25" i="2"/>
  <c r="LR25" i="2"/>
  <c r="LS25" i="2"/>
  <c r="LT25" i="2"/>
  <c r="KV26" i="2"/>
  <c r="KW26" i="2"/>
  <c r="KX26" i="2"/>
  <c r="KY26" i="2"/>
  <c r="KZ26" i="2"/>
  <c r="LA26" i="2"/>
  <c r="LB26" i="2"/>
  <c r="LC26" i="2"/>
  <c r="LD26" i="2"/>
  <c r="LE26" i="2"/>
  <c r="LF26" i="2"/>
  <c r="LG26" i="2"/>
  <c r="LH26" i="2"/>
  <c r="LI26" i="2"/>
  <c r="LJ26" i="2"/>
  <c r="LK26" i="2"/>
  <c r="LL26" i="2"/>
  <c r="LM26" i="2"/>
  <c r="LN26" i="2"/>
  <c r="LO26" i="2"/>
  <c r="LP26" i="2"/>
  <c r="LQ26" i="2"/>
  <c r="LR26" i="2"/>
  <c r="LS26" i="2"/>
  <c r="LT26" i="2"/>
  <c r="KV27" i="2"/>
  <c r="KW27" i="2"/>
  <c r="KX27" i="2"/>
  <c r="KY27" i="2"/>
  <c r="KZ27" i="2"/>
  <c r="LA27" i="2"/>
  <c r="LB27" i="2"/>
  <c r="LC27" i="2"/>
  <c r="LD27" i="2"/>
  <c r="LE27" i="2"/>
  <c r="LF27" i="2"/>
  <c r="LG27" i="2"/>
  <c r="LH27" i="2"/>
  <c r="LI27" i="2"/>
  <c r="LJ27" i="2"/>
  <c r="LK27" i="2"/>
  <c r="LL27" i="2"/>
  <c r="LM27" i="2"/>
  <c r="LN27" i="2"/>
  <c r="LO27" i="2"/>
  <c r="LP27" i="2"/>
  <c r="LQ27" i="2"/>
  <c r="LR27" i="2"/>
  <c r="LS27" i="2"/>
  <c r="LT27" i="2"/>
  <c r="KV28" i="2"/>
  <c r="KW28" i="2"/>
  <c r="KX28" i="2"/>
  <c r="KY28" i="2"/>
  <c r="KZ28" i="2"/>
  <c r="LA28" i="2"/>
  <c r="LB28" i="2"/>
  <c r="LC28" i="2"/>
  <c r="LD28" i="2"/>
  <c r="LE28" i="2"/>
  <c r="LF28" i="2"/>
  <c r="LG28" i="2"/>
  <c r="LH28" i="2"/>
  <c r="LI28" i="2"/>
  <c r="LJ28" i="2"/>
  <c r="LK28" i="2"/>
  <c r="LL28" i="2"/>
  <c r="LM28" i="2"/>
  <c r="LN28" i="2"/>
  <c r="LO28" i="2"/>
  <c r="LP28" i="2"/>
  <c r="LQ28" i="2"/>
  <c r="LR28" i="2"/>
  <c r="LS28" i="2"/>
  <c r="LT28" i="2"/>
  <c r="KV29" i="2"/>
  <c r="KW29" i="2"/>
  <c r="KX29" i="2"/>
  <c r="KY29" i="2"/>
  <c r="KZ29" i="2"/>
  <c r="LA29" i="2"/>
  <c r="LB29" i="2"/>
  <c r="LC29" i="2"/>
  <c r="LD29" i="2"/>
  <c r="LE29" i="2"/>
  <c r="LF29" i="2"/>
  <c r="LG29" i="2"/>
  <c r="LH29" i="2"/>
  <c r="LI29" i="2"/>
  <c r="LJ29" i="2"/>
  <c r="LK29" i="2"/>
  <c r="LL29" i="2"/>
  <c r="LM29" i="2"/>
  <c r="LN29" i="2"/>
  <c r="LO29" i="2"/>
  <c r="LP29" i="2"/>
  <c r="LQ29" i="2"/>
  <c r="LR29" i="2"/>
  <c r="LS29" i="2"/>
  <c r="LT29" i="2"/>
  <c r="KV30" i="2"/>
  <c r="KW30" i="2"/>
  <c r="KX30" i="2"/>
  <c r="KY30" i="2"/>
  <c r="KZ30" i="2"/>
  <c r="LA30" i="2"/>
  <c r="LB30" i="2"/>
  <c r="LC30" i="2"/>
  <c r="LD30" i="2"/>
  <c r="LE30" i="2"/>
  <c r="LF30" i="2"/>
  <c r="LG30" i="2"/>
  <c r="LH30" i="2"/>
  <c r="LI30" i="2"/>
  <c r="LJ30" i="2"/>
  <c r="LK30" i="2"/>
  <c r="LL30" i="2"/>
  <c r="LM30" i="2"/>
  <c r="LN30" i="2"/>
  <c r="LO30" i="2"/>
  <c r="LP30" i="2"/>
  <c r="LQ30" i="2"/>
  <c r="LR30" i="2"/>
  <c r="LS30" i="2"/>
  <c r="LT30" i="2"/>
  <c r="KV31" i="2"/>
  <c r="KW31" i="2"/>
  <c r="KX31" i="2"/>
  <c r="KY31" i="2"/>
  <c r="KZ31" i="2"/>
  <c r="LA31" i="2"/>
  <c r="LB31" i="2"/>
  <c r="LC31" i="2"/>
  <c r="LD31" i="2"/>
  <c r="LE31" i="2"/>
  <c r="LF31" i="2"/>
  <c r="LG31" i="2"/>
  <c r="LH31" i="2"/>
  <c r="LI31" i="2"/>
  <c r="LJ31" i="2"/>
  <c r="LK31" i="2"/>
  <c r="LL31" i="2"/>
  <c r="LM31" i="2"/>
  <c r="LN31" i="2"/>
  <c r="LO31" i="2"/>
  <c r="LP31" i="2"/>
  <c r="LQ31" i="2"/>
  <c r="LR31" i="2"/>
  <c r="LS31" i="2"/>
  <c r="LT31" i="2"/>
  <c r="KV32" i="2"/>
  <c r="KW32" i="2"/>
  <c r="KX32" i="2"/>
  <c r="KY32" i="2"/>
  <c r="KZ32" i="2"/>
  <c r="LA32" i="2"/>
  <c r="LB32" i="2"/>
  <c r="LC32" i="2"/>
  <c r="LD32" i="2"/>
  <c r="LE32" i="2"/>
  <c r="LF32" i="2"/>
  <c r="LG32" i="2"/>
  <c r="LH32" i="2"/>
  <c r="LI32" i="2"/>
  <c r="LJ32" i="2"/>
  <c r="LK32" i="2"/>
  <c r="LL32" i="2"/>
  <c r="LM32" i="2"/>
  <c r="LN32" i="2"/>
  <c r="LO32" i="2"/>
  <c r="LP32" i="2"/>
  <c r="LQ32" i="2"/>
  <c r="LR32" i="2"/>
  <c r="LS32" i="2"/>
  <c r="LT32" i="2"/>
  <c r="KV33" i="2"/>
  <c r="KW33" i="2"/>
  <c r="KX33" i="2"/>
  <c r="KY33" i="2"/>
  <c r="KZ33" i="2"/>
  <c r="LA33" i="2"/>
  <c r="LB33" i="2"/>
  <c r="LC33" i="2"/>
  <c r="LD33" i="2"/>
  <c r="LE33" i="2"/>
  <c r="LF33" i="2"/>
  <c r="LG33" i="2"/>
  <c r="LH33" i="2"/>
  <c r="LI33" i="2"/>
  <c r="LJ33" i="2"/>
  <c r="LK33" i="2"/>
  <c r="LL33" i="2"/>
  <c r="LM33" i="2"/>
  <c r="LN33" i="2"/>
  <c r="LO33" i="2"/>
  <c r="LP33" i="2"/>
  <c r="LQ33" i="2"/>
  <c r="LR33" i="2"/>
  <c r="LS33" i="2"/>
  <c r="LT33" i="2"/>
  <c r="KV34" i="2"/>
  <c r="KW34" i="2"/>
  <c r="KX34" i="2"/>
  <c r="KY34" i="2"/>
  <c r="KZ34" i="2"/>
  <c r="LA34" i="2"/>
  <c r="LB34" i="2"/>
  <c r="LC34" i="2"/>
  <c r="LD34" i="2"/>
  <c r="LE34" i="2"/>
  <c r="LF34" i="2"/>
  <c r="LG34" i="2"/>
  <c r="LH34" i="2"/>
  <c r="LI34" i="2"/>
  <c r="LJ34" i="2"/>
  <c r="LK34" i="2"/>
  <c r="LL34" i="2"/>
  <c r="LM34" i="2"/>
  <c r="LN34" i="2"/>
  <c r="LO34" i="2"/>
  <c r="LP34" i="2"/>
  <c r="LQ34" i="2"/>
  <c r="LR34" i="2"/>
  <c r="LS34" i="2"/>
  <c r="LT34" i="2"/>
  <c r="KV35" i="2"/>
  <c r="KW35" i="2"/>
  <c r="KX35" i="2"/>
  <c r="KY35" i="2"/>
  <c r="KZ35" i="2"/>
  <c r="LA35" i="2"/>
  <c r="LB35" i="2"/>
  <c r="LC35" i="2"/>
  <c r="LD35" i="2"/>
  <c r="LE35" i="2"/>
  <c r="LF35" i="2"/>
  <c r="LG35" i="2"/>
  <c r="LH35" i="2"/>
  <c r="LI35" i="2"/>
  <c r="LJ35" i="2"/>
  <c r="LK35" i="2"/>
  <c r="LL35" i="2"/>
  <c r="LM35" i="2"/>
  <c r="LN35" i="2"/>
  <c r="LO35" i="2"/>
  <c r="LP35" i="2"/>
  <c r="LQ35" i="2"/>
  <c r="LR35" i="2"/>
  <c r="LS35" i="2"/>
  <c r="LT35" i="2"/>
  <c r="KV36" i="2"/>
  <c r="KW36" i="2"/>
  <c r="KX36" i="2"/>
  <c r="KY36" i="2"/>
  <c r="KZ36" i="2"/>
  <c r="LA36" i="2"/>
  <c r="LB36" i="2"/>
  <c r="LC36" i="2"/>
  <c r="LD36" i="2"/>
  <c r="LE36" i="2"/>
  <c r="LF36" i="2"/>
  <c r="LG36" i="2"/>
  <c r="LH36" i="2"/>
  <c r="LI36" i="2"/>
  <c r="LJ36" i="2"/>
  <c r="LK36" i="2"/>
  <c r="LL36" i="2"/>
  <c r="LM36" i="2"/>
  <c r="LN36" i="2"/>
  <c r="LO36" i="2"/>
  <c r="LP36" i="2"/>
  <c r="LQ36" i="2"/>
  <c r="LR36" i="2"/>
  <c r="LS36" i="2"/>
  <c r="LT36" i="2"/>
  <c r="KV37" i="2"/>
  <c r="KW37" i="2"/>
  <c r="KX37" i="2"/>
  <c r="KY37" i="2"/>
  <c r="KZ37" i="2"/>
  <c r="LA37" i="2"/>
  <c r="LB37" i="2"/>
  <c r="LC37" i="2"/>
  <c r="LD37" i="2"/>
  <c r="LE37" i="2"/>
  <c r="LF37" i="2"/>
  <c r="LG37" i="2"/>
  <c r="LH37" i="2"/>
  <c r="LI37" i="2"/>
  <c r="LJ37" i="2"/>
  <c r="LK37" i="2"/>
  <c r="LL37" i="2"/>
  <c r="LM37" i="2"/>
  <c r="LN37" i="2"/>
  <c r="LO37" i="2"/>
  <c r="LP37" i="2"/>
  <c r="LQ37" i="2"/>
  <c r="LR37" i="2"/>
  <c r="LS37" i="2"/>
  <c r="LT37" i="2"/>
  <c r="KV38" i="2"/>
  <c r="KW38" i="2"/>
  <c r="KX38" i="2"/>
  <c r="KY38" i="2"/>
  <c r="KZ38" i="2"/>
  <c r="LA38" i="2"/>
  <c r="LB38" i="2"/>
  <c r="LC38" i="2"/>
  <c r="LD38" i="2"/>
  <c r="LE38" i="2"/>
  <c r="LF38" i="2"/>
  <c r="LG38" i="2"/>
  <c r="LH38" i="2"/>
  <c r="LI38" i="2"/>
  <c r="LJ38" i="2"/>
  <c r="LK38" i="2"/>
  <c r="LL38" i="2"/>
  <c r="LM38" i="2"/>
  <c r="LN38" i="2"/>
  <c r="LO38" i="2"/>
  <c r="LP38" i="2"/>
  <c r="LQ38" i="2"/>
  <c r="LR38" i="2"/>
  <c r="LS38" i="2"/>
  <c r="LT38" i="2"/>
  <c r="KV39" i="2"/>
  <c r="KW39" i="2"/>
  <c r="KX39" i="2"/>
  <c r="KY39" i="2"/>
  <c r="KZ39" i="2"/>
  <c r="LA39" i="2"/>
  <c r="LB39" i="2"/>
  <c r="LC39" i="2"/>
  <c r="LD39" i="2"/>
  <c r="LE39" i="2"/>
  <c r="LF39" i="2"/>
  <c r="LG39" i="2"/>
  <c r="LH39" i="2"/>
  <c r="LI39" i="2"/>
  <c r="LJ39" i="2"/>
  <c r="LK39" i="2"/>
  <c r="LL39" i="2"/>
  <c r="LM39" i="2"/>
  <c r="LN39" i="2"/>
  <c r="LO39" i="2"/>
  <c r="LP39" i="2"/>
  <c r="LQ39" i="2"/>
  <c r="LR39" i="2"/>
  <c r="LS39" i="2"/>
  <c r="LT39" i="2"/>
  <c r="KV40" i="2"/>
  <c r="KW40" i="2"/>
  <c r="KX40" i="2"/>
  <c r="KY40" i="2"/>
  <c r="KZ40" i="2"/>
  <c r="LA40" i="2"/>
  <c r="LB40" i="2"/>
  <c r="LC40" i="2"/>
  <c r="LD40" i="2"/>
  <c r="LE40" i="2"/>
  <c r="LF40" i="2"/>
  <c r="LG40" i="2"/>
  <c r="LH40" i="2"/>
  <c r="LI40" i="2"/>
  <c r="LJ40" i="2"/>
  <c r="LK40" i="2"/>
  <c r="LL40" i="2"/>
  <c r="LM40" i="2"/>
  <c r="LN40" i="2"/>
  <c r="LO40" i="2"/>
  <c r="LP40" i="2"/>
  <c r="LQ40" i="2"/>
  <c r="LR40" i="2"/>
  <c r="LS40" i="2"/>
  <c r="LT40" i="2"/>
  <c r="KV41" i="2"/>
  <c r="KW41" i="2"/>
  <c r="KX41" i="2"/>
  <c r="KY41" i="2"/>
  <c r="KZ41" i="2"/>
  <c r="LA41" i="2"/>
  <c r="LB41" i="2"/>
  <c r="LC41" i="2"/>
  <c r="LD41" i="2"/>
  <c r="LE41" i="2"/>
  <c r="LF41" i="2"/>
  <c r="LG41" i="2"/>
  <c r="LH41" i="2"/>
  <c r="LI41" i="2"/>
  <c r="LJ41" i="2"/>
  <c r="LK41" i="2"/>
  <c r="LL41" i="2"/>
  <c r="LM41" i="2"/>
  <c r="LN41" i="2"/>
  <c r="LO41" i="2"/>
  <c r="LP41" i="2"/>
  <c r="LQ41" i="2"/>
  <c r="LR41" i="2"/>
  <c r="LS41" i="2"/>
  <c r="LT41" i="2"/>
  <c r="KV42" i="2"/>
  <c r="KW42" i="2"/>
  <c r="KX42" i="2"/>
  <c r="KY42" i="2"/>
  <c r="KZ42" i="2"/>
  <c r="LA42" i="2"/>
  <c r="LB42" i="2"/>
  <c r="LC42" i="2"/>
  <c r="LD42" i="2"/>
  <c r="LE42" i="2"/>
  <c r="LF42" i="2"/>
  <c r="LG42" i="2"/>
  <c r="LH42" i="2"/>
  <c r="LI42" i="2"/>
  <c r="LJ42" i="2"/>
  <c r="LK42" i="2"/>
  <c r="LL42" i="2"/>
  <c r="LM42" i="2"/>
  <c r="LN42" i="2"/>
  <c r="LO42" i="2"/>
  <c r="LP42" i="2"/>
  <c r="LQ42" i="2"/>
  <c r="LR42" i="2"/>
  <c r="LS42" i="2"/>
  <c r="LT42" i="2"/>
  <c r="KV43" i="2"/>
  <c r="KW43" i="2"/>
  <c r="KX43" i="2"/>
  <c r="KY43" i="2"/>
  <c r="KZ43" i="2"/>
  <c r="LA43" i="2"/>
  <c r="LB43" i="2"/>
  <c r="LC43" i="2"/>
  <c r="LD43" i="2"/>
  <c r="LE43" i="2"/>
  <c r="LF43" i="2"/>
  <c r="LG43" i="2"/>
  <c r="LH43" i="2"/>
  <c r="LI43" i="2"/>
  <c r="LJ43" i="2"/>
  <c r="LK43" i="2"/>
  <c r="LL43" i="2"/>
  <c r="LM43" i="2"/>
  <c r="LN43" i="2"/>
  <c r="LO43" i="2"/>
  <c r="LP43" i="2"/>
  <c r="LQ43" i="2"/>
  <c r="LR43" i="2"/>
  <c r="LS43" i="2"/>
  <c r="LT43" i="2"/>
  <c r="KV44" i="2"/>
  <c r="KW44" i="2"/>
  <c r="KX44" i="2"/>
  <c r="KY44" i="2"/>
  <c r="KZ44" i="2"/>
  <c r="LA44" i="2"/>
  <c r="LB44" i="2"/>
  <c r="LC44" i="2"/>
  <c r="LD44" i="2"/>
  <c r="LE44" i="2"/>
  <c r="LF44" i="2"/>
  <c r="LG44" i="2"/>
  <c r="LH44" i="2"/>
  <c r="LI44" i="2"/>
  <c r="LJ44" i="2"/>
  <c r="LK44" i="2"/>
  <c r="LL44" i="2"/>
  <c r="LM44" i="2"/>
  <c r="LN44" i="2"/>
  <c r="LO44" i="2"/>
  <c r="LP44" i="2"/>
  <c r="LQ44" i="2"/>
  <c r="LR44" i="2"/>
  <c r="LS44" i="2"/>
  <c r="LT44" i="2"/>
  <c r="KV45" i="2"/>
  <c r="KW45" i="2"/>
  <c r="KX45" i="2"/>
  <c r="KY45" i="2"/>
  <c r="KZ45" i="2"/>
  <c r="LA45" i="2"/>
  <c r="LB45" i="2"/>
  <c r="LC45" i="2"/>
  <c r="LD45" i="2"/>
  <c r="LE45" i="2"/>
  <c r="LF45" i="2"/>
  <c r="LG45" i="2"/>
  <c r="LH45" i="2"/>
  <c r="LI45" i="2"/>
  <c r="LJ45" i="2"/>
  <c r="LK45" i="2"/>
  <c r="LL45" i="2"/>
  <c r="LM45" i="2"/>
  <c r="LN45" i="2"/>
  <c r="LO45" i="2"/>
  <c r="LP45" i="2"/>
  <c r="LQ45" i="2"/>
  <c r="LR45" i="2"/>
  <c r="LS45" i="2"/>
  <c r="LT45" i="2"/>
  <c r="KV46" i="2"/>
  <c r="KW46" i="2"/>
  <c r="KX46" i="2"/>
  <c r="KY46" i="2"/>
  <c r="KZ46" i="2"/>
  <c r="LA46" i="2"/>
  <c r="LB46" i="2"/>
  <c r="LC46" i="2"/>
  <c r="LD46" i="2"/>
  <c r="LE46" i="2"/>
  <c r="LF46" i="2"/>
  <c r="LG46" i="2"/>
  <c r="LH46" i="2"/>
  <c r="LI46" i="2"/>
  <c r="LJ46" i="2"/>
  <c r="LK46" i="2"/>
  <c r="LL46" i="2"/>
  <c r="LM46" i="2"/>
  <c r="LN46" i="2"/>
  <c r="LO46" i="2"/>
  <c r="LP46" i="2"/>
  <c r="LQ46" i="2"/>
  <c r="LR46" i="2"/>
  <c r="LS46" i="2"/>
  <c r="LT46" i="2"/>
  <c r="KV47" i="2"/>
  <c r="KW47" i="2"/>
  <c r="KX47" i="2"/>
  <c r="KY47" i="2"/>
  <c r="KZ47" i="2"/>
  <c r="LA47" i="2"/>
  <c r="LB47" i="2"/>
  <c r="LC47" i="2"/>
  <c r="LD47" i="2"/>
  <c r="LE47" i="2"/>
  <c r="LF47" i="2"/>
  <c r="LG47" i="2"/>
  <c r="LH47" i="2"/>
  <c r="LI47" i="2"/>
  <c r="LJ47" i="2"/>
  <c r="LK47" i="2"/>
  <c r="LL47" i="2"/>
  <c r="LM47" i="2"/>
  <c r="LN47" i="2"/>
  <c r="LO47" i="2"/>
  <c r="LP47" i="2"/>
  <c r="LQ47" i="2"/>
  <c r="LR47" i="2"/>
  <c r="LS47" i="2"/>
  <c r="LT47" i="2"/>
  <c r="KV48" i="2"/>
  <c r="KW48" i="2"/>
  <c r="KX48" i="2"/>
  <c r="KY48" i="2"/>
  <c r="KZ48" i="2"/>
  <c r="LA48" i="2"/>
  <c r="LB48" i="2"/>
  <c r="LC48" i="2"/>
  <c r="LD48" i="2"/>
  <c r="LE48" i="2"/>
  <c r="LF48" i="2"/>
  <c r="LG48" i="2"/>
  <c r="LH48" i="2"/>
  <c r="LI48" i="2"/>
  <c r="LJ48" i="2"/>
  <c r="LK48" i="2"/>
  <c r="LL48" i="2"/>
  <c r="LM48" i="2"/>
  <c r="LN48" i="2"/>
  <c r="LO48" i="2"/>
  <c r="LP48" i="2"/>
  <c r="LQ48" i="2"/>
  <c r="LR48" i="2"/>
  <c r="LS48" i="2"/>
  <c r="LT48" i="2"/>
  <c r="KV49" i="2"/>
  <c r="KW49" i="2"/>
  <c r="KX49" i="2"/>
  <c r="KY49" i="2"/>
  <c r="KZ49" i="2"/>
  <c r="LA49" i="2"/>
  <c r="LB49" i="2"/>
  <c r="LC49" i="2"/>
  <c r="LD49" i="2"/>
  <c r="LE49" i="2"/>
  <c r="LF49" i="2"/>
  <c r="LG49" i="2"/>
  <c r="LH49" i="2"/>
  <c r="LI49" i="2"/>
  <c r="LJ49" i="2"/>
  <c r="LK49" i="2"/>
  <c r="LL49" i="2"/>
  <c r="LM49" i="2"/>
  <c r="LN49" i="2"/>
  <c r="LO49" i="2"/>
  <c r="LP49" i="2"/>
  <c r="LQ49" i="2"/>
  <c r="LR49" i="2"/>
  <c r="LS49" i="2"/>
  <c r="LT49" i="2"/>
  <c r="KV50" i="2"/>
  <c r="KW50" i="2"/>
  <c r="KX50" i="2"/>
  <c r="KY50" i="2"/>
  <c r="KZ50" i="2"/>
  <c r="LA50" i="2"/>
  <c r="LB50" i="2"/>
  <c r="LC50" i="2"/>
  <c r="LD50" i="2"/>
  <c r="LE50" i="2"/>
  <c r="LF50" i="2"/>
  <c r="LG50" i="2"/>
  <c r="LH50" i="2"/>
  <c r="LI50" i="2"/>
  <c r="LJ50" i="2"/>
  <c r="LK50" i="2"/>
  <c r="LL50" i="2"/>
  <c r="LM50" i="2"/>
  <c r="LN50" i="2"/>
  <c r="LO50" i="2"/>
  <c r="LP50" i="2"/>
  <c r="LQ50" i="2"/>
  <c r="LR50" i="2"/>
  <c r="LS50" i="2"/>
  <c r="LT50" i="2"/>
  <c r="KV51" i="2"/>
  <c r="KW51" i="2"/>
  <c r="KX51" i="2"/>
  <c r="KY51" i="2"/>
  <c r="KZ51" i="2"/>
  <c r="LA51" i="2"/>
  <c r="LB51" i="2"/>
  <c r="LC51" i="2"/>
  <c r="LD51" i="2"/>
  <c r="LE51" i="2"/>
  <c r="LF51" i="2"/>
  <c r="LG51" i="2"/>
  <c r="LH51" i="2"/>
  <c r="LI51" i="2"/>
  <c r="LJ51" i="2"/>
  <c r="LK51" i="2"/>
  <c r="LL51" i="2"/>
  <c r="LM51" i="2"/>
  <c r="LN51" i="2"/>
  <c r="LO51" i="2"/>
  <c r="LP51" i="2"/>
  <c r="LQ51" i="2"/>
  <c r="LR51" i="2"/>
  <c r="LS51" i="2"/>
  <c r="LT51" i="2"/>
  <c r="KV52" i="2"/>
  <c r="KW52" i="2"/>
  <c r="KX52" i="2"/>
  <c r="KY52" i="2"/>
  <c r="KZ52" i="2"/>
  <c r="LA52" i="2"/>
  <c r="LB52" i="2"/>
  <c r="LC52" i="2"/>
  <c r="LD52" i="2"/>
  <c r="LE52" i="2"/>
  <c r="LF52" i="2"/>
  <c r="LG52" i="2"/>
  <c r="LH52" i="2"/>
  <c r="LI52" i="2"/>
  <c r="LJ52" i="2"/>
  <c r="LK52" i="2"/>
  <c r="LL52" i="2"/>
  <c r="LM52" i="2"/>
  <c r="LN52" i="2"/>
  <c r="LO52" i="2"/>
  <c r="LP52" i="2"/>
  <c r="LQ52" i="2"/>
  <c r="LR52" i="2"/>
  <c r="LS52" i="2"/>
  <c r="LT52" i="2"/>
  <c r="KV53" i="2"/>
  <c r="KW53" i="2"/>
  <c r="KX53" i="2"/>
  <c r="KY53" i="2"/>
  <c r="KZ53" i="2"/>
  <c r="LA53" i="2"/>
  <c r="LB53" i="2"/>
  <c r="LC53" i="2"/>
  <c r="LD53" i="2"/>
  <c r="LE53" i="2"/>
  <c r="LF53" i="2"/>
  <c r="LG53" i="2"/>
  <c r="LH53" i="2"/>
  <c r="LI53" i="2"/>
  <c r="LJ53" i="2"/>
  <c r="LK53" i="2"/>
  <c r="LL53" i="2"/>
  <c r="LM53" i="2"/>
  <c r="LN53" i="2"/>
  <c r="LO53" i="2"/>
  <c r="LP53" i="2"/>
  <c r="LQ53" i="2"/>
  <c r="LR53" i="2"/>
  <c r="LS53" i="2"/>
  <c r="LT53" i="2"/>
  <c r="KV54" i="2"/>
  <c r="KW54" i="2"/>
  <c r="KX54" i="2"/>
  <c r="KY54" i="2"/>
  <c r="KZ54" i="2"/>
  <c r="LA54" i="2"/>
  <c r="LB54" i="2"/>
  <c r="LC54" i="2"/>
  <c r="LD54" i="2"/>
  <c r="LE54" i="2"/>
  <c r="LF54" i="2"/>
  <c r="LG54" i="2"/>
  <c r="LH54" i="2"/>
  <c r="LI54" i="2"/>
  <c r="LJ54" i="2"/>
  <c r="LK54" i="2"/>
  <c r="LL54" i="2"/>
  <c r="LM54" i="2"/>
  <c r="LN54" i="2"/>
  <c r="LO54" i="2"/>
  <c r="LP54" i="2"/>
  <c r="LQ54" i="2"/>
  <c r="LR54" i="2"/>
  <c r="LS54" i="2"/>
  <c r="LT54" i="2"/>
  <c r="KV55" i="2"/>
  <c r="KW55" i="2"/>
  <c r="KX55" i="2"/>
  <c r="KY55" i="2"/>
  <c r="KZ55" i="2"/>
  <c r="LA55" i="2"/>
  <c r="LB55" i="2"/>
  <c r="LC55" i="2"/>
  <c r="LD55" i="2"/>
  <c r="LE55" i="2"/>
  <c r="LF55" i="2"/>
  <c r="LG55" i="2"/>
  <c r="LH55" i="2"/>
  <c r="LI55" i="2"/>
  <c r="LJ55" i="2"/>
  <c r="LK55" i="2"/>
  <c r="LL55" i="2"/>
  <c r="LM55" i="2"/>
  <c r="LN55" i="2"/>
  <c r="LO55" i="2"/>
  <c r="LP55" i="2"/>
  <c r="LQ55" i="2"/>
  <c r="LR55" i="2"/>
  <c r="LS55" i="2"/>
  <c r="LT55" i="2"/>
  <c r="KV56" i="2"/>
  <c r="KW56" i="2"/>
  <c r="KX56" i="2"/>
  <c r="KY56" i="2"/>
  <c r="KZ56" i="2"/>
  <c r="LA56" i="2"/>
  <c r="LB56" i="2"/>
  <c r="LC56" i="2"/>
  <c r="LD56" i="2"/>
  <c r="LE56" i="2"/>
  <c r="LF56" i="2"/>
  <c r="LG56" i="2"/>
  <c r="LH56" i="2"/>
  <c r="LI56" i="2"/>
  <c r="LJ56" i="2"/>
  <c r="LK56" i="2"/>
  <c r="LL56" i="2"/>
  <c r="LM56" i="2"/>
  <c r="LN56" i="2"/>
  <c r="LO56" i="2"/>
  <c r="LP56" i="2"/>
  <c r="LQ56" i="2"/>
  <c r="LR56" i="2"/>
  <c r="LS56" i="2"/>
  <c r="LT56" i="2"/>
  <c r="KV57" i="2"/>
  <c r="KW57" i="2"/>
  <c r="KX57" i="2"/>
  <c r="KY57" i="2"/>
  <c r="KZ57" i="2"/>
  <c r="LA57" i="2"/>
  <c r="LB57" i="2"/>
  <c r="LC57" i="2"/>
  <c r="LD57" i="2"/>
  <c r="LE57" i="2"/>
  <c r="LF57" i="2"/>
  <c r="LG57" i="2"/>
  <c r="LH57" i="2"/>
  <c r="LI57" i="2"/>
  <c r="LJ57" i="2"/>
  <c r="LK57" i="2"/>
  <c r="LL57" i="2"/>
  <c r="LM57" i="2"/>
  <c r="LN57" i="2"/>
  <c r="LO57" i="2"/>
  <c r="LP57" i="2"/>
  <c r="LQ57" i="2"/>
  <c r="LR57" i="2"/>
  <c r="LS57" i="2"/>
  <c r="LT57" i="2"/>
  <c r="KV58" i="2"/>
  <c r="KW58" i="2"/>
  <c r="KX58" i="2"/>
  <c r="KY58" i="2"/>
  <c r="KZ58" i="2"/>
  <c r="LA58" i="2"/>
  <c r="LB58" i="2"/>
  <c r="LC58" i="2"/>
  <c r="LD58" i="2"/>
  <c r="LE58" i="2"/>
  <c r="LF58" i="2"/>
  <c r="LG58" i="2"/>
  <c r="LH58" i="2"/>
  <c r="LI58" i="2"/>
  <c r="LJ58" i="2"/>
  <c r="LK58" i="2"/>
  <c r="LL58" i="2"/>
  <c r="LM58" i="2"/>
  <c r="LN58" i="2"/>
  <c r="LO58" i="2"/>
  <c r="LP58" i="2"/>
  <c r="LQ58" i="2"/>
  <c r="LR58" i="2"/>
  <c r="LS58" i="2"/>
  <c r="LT58" i="2"/>
  <c r="KV59" i="2"/>
  <c r="KW59" i="2"/>
  <c r="KX59" i="2"/>
  <c r="KY59" i="2"/>
  <c r="KZ59" i="2"/>
  <c r="LA59" i="2"/>
  <c r="LB59" i="2"/>
  <c r="LC59" i="2"/>
  <c r="LD59" i="2"/>
  <c r="LE59" i="2"/>
  <c r="LF59" i="2"/>
  <c r="LG59" i="2"/>
  <c r="LH59" i="2"/>
  <c r="LI59" i="2"/>
  <c r="LJ59" i="2"/>
  <c r="LK59" i="2"/>
  <c r="LL59" i="2"/>
  <c r="LM59" i="2"/>
  <c r="LN59" i="2"/>
  <c r="LO59" i="2"/>
  <c r="LP59" i="2"/>
  <c r="LQ59" i="2"/>
  <c r="LR59" i="2"/>
  <c r="LS59" i="2"/>
  <c r="LT59" i="2"/>
  <c r="KV60" i="2"/>
  <c r="KW60" i="2"/>
  <c r="KX60" i="2"/>
  <c r="KY60" i="2"/>
  <c r="KZ60" i="2"/>
  <c r="LA60" i="2"/>
  <c r="LB60" i="2"/>
  <c r="LC60" i="2"/>
  <c r="LD60" i="2"/>
  <c r="LE60" i="2"/>
  <c r="LF60" i="2"/>
  <c r="LG60" i="2"/>
  <c r="LH60" i="2"/>
  <c r="LI60" i="2"/>
  <c r="LJ60" i="2"/>
  <c r="LK60" i="2"/>
  <c r="LL60" i="2"/>
  <c r="LM60" i="2"/>
  <c r="LN60" i="2"/>
  <c r="LO60" i="2"/>
  <c r="LP60" i="2"/>
  <c r="LQ60" i="2"/>
  <c r="LR60" i="2"/>
  <c r="LS60" i="2"/>
  <c r="LT60" i="2"/>
  <c r="KV61" i="2"/>
  <c r="KW61" i="2"/>
  <c r="KX61" i="2"/>
  <c r="KY61" i="2"/>
  <c r="KZ61" i="2"/>
  <c r="LA61" i="2"/>
  <c r="LB61" i="2"/>
  <c r="LC61" i="2"/>
  <c r="LD61" i="2"/>
  <c r="LE61" i="2"/>
  <c r="LF61" i="2"/>
  <c r="LG61" i="2"/>
  <c r="LH61" i="2"/>
  <c r="LI61" i="2"/>
  <c r="LJ61" i="2"/>
  <c r="LK61" i="2"/>
  <c r="LL61" i="2"/>
  <c r="LM61" i="2"/>
  <c r="LN61" i="2"/>
  <c r="LO61" i="2"/>
  <c r="LP61" i="2"/>
  <c r="LQ61" i="2"/>
  <c r="LR61" i="2"/>
  <c r="LS61" i="2"/>
  <c r="LT61" i="2"/>
  <c r="KV62" i="2"/>
  <c r="KW62" i="2"/>
  <c r="KX62" i="2"/>
  <c r="KY62" i="2"/>
  <c r="KZ62" i="2"/>
  <c r="LA62" i="2"/>
  <c r="LB62" i="2"/>
  <c r="LC62" i="2"/>
  <c r="LD62" i="2"/>
  <c r="LE62" i="2"/>
  <c r="LF62" i="2"/>
  <c r="LG62" i="2"/>
  <c r="LH62" i="2"/>
  <c r="LI62" i="2"/>
  <c r="LJ62" i="2"/>
  <c r="LK62" i="2"/>
  <c r="LL62" i="2"/>
  <c r="LM62" i="2"/>
  <c r="LN62" i="2"/>
  <c r="LO62" i="2"/>
  <c r="LP62" i="2"/>
  <c r="LQ62" i="2"/>
  <c r="LR62" i="2"/>
  <c r="LS62" i="2"/>
  <c r="LT62" i="2"/>
  <c r="KV63" i="2"/>
  <c r="KW63" i="2"/>
  <c r="KX63" i="2"/>
  <c r="KY63" i="2"/>
  <c r="KZ63" i="2"/>
  <c r="LA63" i="2"/>
  <c r="LB63" i="2"/>
  <c r="LC63" i="2"/>
  <c r="LD63" i="2"/>
  <c r="LE63" i="2"/>
  <c r="LF63" i="2"/>
  <c r="LG63" i="2"/>
  <c r="LH63" i="2"/>
  <c r="LI63" i="2"/>
  <c r="LJ63" i="2"/>
  <c r="LK63" i="2"/>
  <c r="LL63" i="2"/>
  <c r="LM63" i="2"/>
  <c r="LN63" i="2"/>
  <c r="LO63" i="2"/>
  <c r="LP63" i="2"/>
  <c r="LQ63" i="2"/>
  <c r="LR63" i="2"/>
  <c r="LS63" i="2"/>
  <c r="LT63" i="2"/>
  <c r="JV64" i="2"/>
  <c r="JW64" i="2"/>
  <c r="JX64" i="2"/>
  <c r="JY64" i="2"/>
  <c r="JZ64" i="2"/>
  <c r="KA64" i="2"/>
  <c r="KB64" i="2"/>
  <c r="KC64" i="2"/>
  <c r="KD64" i="2"/>
  <c r="KE64" i="2"/>
  <c r="KF64" i="2"/>
  <c r="KG64" i="2"/>
  <c r="KH64" i="2"/>
  <c r="KI64" i="2"/>
  <c r="KJ64" i="2"/>
  <c r="KK64" i="2"/>
  <c r="KL64" i="2"/>
  <c r="KM64" i="2"/>
  <c r="KN64" i="2"/>
  <c r="KO64" i="2"/>
  <c r="KP64" i="2"/>
  <c r="KQ64" i="2"/>
  <c r="KR64" i="2"/>
  <c r="KS64" i="2"/>
  <c r="KT64" i="2"/>
  <c r="JV65" i="2"/>
  <c r="JW65" i="2"/>
  <c r="JX65" i="2"/>
  <c r="JY65" i="2"/>
  <c r="JZ65" i="2"/>
  <c r="KA65" i="2"/>
  <c r="KB65" i="2"/>
  <c r="KC65" i="2"/>
  <c r="KD65" i="2"/>
  <c r="KE65" i="2"/>
  <c r="KF65" i="2"/>
  <c r="KG65" i="2"/>
  <c r="KH65" i="2"/>
  <c r="KI65" i="2"/>
  <c r="KJ65" i="2"/>
  <c r="KK65" i="2"/>
  <c r="KL65" i="2"/>
  <c r="KM65" i="2"/>
  <c r="KN65" i="2"/>
  <c r="KO65" i="2"/>
  <c r="KP65" i="2"/>
  <c r="KQ65" i="2"/>
  <c r="KR65" i="2"/>
  <c r="KS65" i="2"/>
  <c r="KT65" i="2"/>
  <c r="JV66" i="2"/>
  <c r="JW66" i="2"/>
  <c r="JX66" i="2"/>
  <c r="JY66" i="2"/>
  <c r="JZ66" i="2"/>
  <c r="KA66" i="2"/>
  <c r="KB66" i="2"/>
  <c r="KC66" i="2"/>
  <c r="KD66" i="2"/>
  <c r="KE66" i="2"/>
  <c r="KF66" i="2"/>
  <c r="KG66" i="2"/>
  <c r="KH66" i="2"/>
  <c r="KI66" i="2"/>
  <c r="KJ66" i="2"/>
  <c r="KK66" i="2"/>
  <c r="KL66" i="2"/>
  <c r="KM66" i="2"/>
  <c r="KN66" i="2"/>
  <c r="KO66" i="2"/>
  <c r="KP66" i="2"/>
  <c r="KQ66" i="2"/>
  <c r="KR66" i="2"/>
  <c r="KS66" i="2"/>
  <c r="KT66" i="2"/>
  <c r="JV67" i="2"/>
  <c r="JW67" i="2"/>
  <c r="JX67" i="2"/>
  <c r="JY67" i="2"/>
  <c r="JZ67" i="2"/>
  <c r="KA67" i="2"/>
  <c r="KB67" i="2"/>
  <c r="KC67" i="2"/>
  <c r="KD67" i="2"/>
  <c r="KE67" i="2"/>
  <c r="KF67" i="2"/>
  <c r="KG67" i="2"/>
  <c r="KH67" i="2"/>
  <c r="KI67" i="2"/>
  <c r="KJ67" i="2"/>
  <c r="KK67" i="2"/>
  <c r="KL67" i="2"/>
  <c r="KM67" i="2"/>
  <c r="KN67" i="2"/>
  <c r="KO67" i="2"/>
  <c r="KP67" i="2"/>
  <c r="KQ67" i="2"/>
  <c r="KR67" i="2"/>
  <c r="KS67" i="2"/>
  <c r="KT67" i="2"/>
  <c r="JV68" i="2"/>
  <c r="JW68" i="2"/>
  <c r="JX68" i="2"/>
  <c r="JY68" i="2"/>
  <c r="JZ68" i="2"/>
  <c r="KA68" i="2"/>
  <c r="KB68" i="2"/>
  <c r="KC68" i="2"/>
  <c r="KD68" i="2"/>
  <c r="KE68" i="2"/>
  <c r="KF68" i="2"/>
  <c r="KG68" i="2"/>
  <c r="KH68" i="2"/>
  <c r="KI68" i="2"/>
  <c r="KJ68" i="2"/>
  <c r="KK68" i="2"/>
  <c r="KL68" i="2"/>
  <c r="KM68" i="2"/>
  <c r="KN68" i="2"/>
  <c r="KO68" i="2"/>
  <c r="KP68" i="2"/>
  <c r="KQ68" i="2"/>
  <c r="KR68" i="2"/>
  <c r="KS68" i="2"/>
  <c r="KT68" i="2"/>
  <c r="JV69" i="2"/>
  <c r="JW69" i="2"/>
  <c r="JX69" i="2"/>
  <c r="JY69" i="2"/>
  <c r="JZ69" i="2"/>
  <c r="KA69" i="2"/>
  <c r="KB69" i="2"/>
  <c r="KC69" i="2"/>
  <c r="KD69" i="2"/>
  <c r="KE69" i="2"/>
  <c r="KF69" i="2"/>
  <c r="KG69" i="2"/>
  <c r="KH69" i="2"/>
  <c r="KI69" i="2"/>
  <c r="KJ69" i="2"/>
  <c r="KK69" i="2"/>
  <c r="KL69" i="2"/>
  <c r="KM69" i="2"/>
  <c r="KN69" i="2"/>
  <c r="KO69" i="2"/>
  <c r="KP69" i="2"/>
  <c r="KQ69" i="2"/>
  <c r="KR69" i="2"/>
  <c r="KS69" i="2"/>
  <c r="KT69" i="2"/>
  <c r="JV70" i="2"/>
  <c r="JW70" i="2"/>
  <c r="JX70" i="2"/>
  <c r="JY70" i="2"/>
  <c r="JZ70" i="2"/>
  <c r="KA70" i="2"/>
  <c r="KB70" i="2"/>
  <c r="KC70" i="2"/>
  <c r="KD70" i="2"/>
  <c r="KE70" i="2"/>
  <c r="KF70" i="2"/>
  <c r="KG70" i="2"/>
  <c r="KH70" i="2"/>
  <c r="KI70" i="2"/>
  <c r="KJ70" i="2"/>
  <c r="KK70" i="2"/>
  <c r="KL70" i="2"/>
  <c r="KM70" i="2"/>
  <c r="KN70" i="2"/>
  <c r="KO70" i="2"/>
  <c r="KP70" i="2"/>
  <c r="KQ70" i="2"/>
  <c r="KR70" i="2"/>
  <c r="KS70" i="2"/>
  <c r="KT70" i="2"/>
  <c r="JV71" i="2"/>
  <c r="JW71" i="2"/>
  <c r="JX71" i="2"/>
  <c r="JY71" i="2"/>
  <c r="JZ71" i="2"/>
  <c r="KA71" i="2"/>
  <c r="KB71" i="2"/>
  <c r="KC71" i="2"/>
  <c r="KD71" i="2"/>
  <c r="KE71" i="2"/>
  <c r="KF71" i="2"/>
  <c r="KG71" i="2"/>
  <c r="KH71" i="2"/>
  <c r="KI71" i="2"/>
  <c r="KJ71" i="2"/>
  <c r="KK71" i="2"/>
  <c r="KL71" i="2"/>
  <c r="KM71" i="2"/>
  <c r="KN71" i="2"/>
  <c r="KO71" i="2"/>
  <c r="KP71" i="2"/>
  <c r="KQ71" i="2"/>
  <c r="KR71" i="2"/>
  <c r="KS71" i="2"/>
  <c r="KT71" i="2"/>
  <c r="JV72" i="2"/>
  <c r="JW72" i="2"/>
  <c r="JX72" i="2"/>
  <c r="JY72" i="2"/>
  <c r="JZ72" i="2"/>
  <c r="KA72" i="2"/>
  <c r="KB72" i="2"/>
  <c r="KC72" i="2"/>
  <c r="KD72" i="2"/>
  <c r="KE72" i="2"/>
  <c r="KF72" i="2"/>
  <c r="KG72" i="2"/>
  <c r="KH72" i="2"/>
  <c r="KI72" i="2"/>
  <c r="KJ72" i="2"/>
  <c r="KK72" i="2"/>
  <c r="KL72" i="2"/>
  <c r="KM72" i="2"/>
  <c r="KN72" i="2"/>
  <c r="KO72" i="2"/>
  <c r="KP72" i="2"/>
  <c r="KQ72" i="2"/>
  <c r="KR72" i="2"/>
  <c r="KS72" i="2"/>
  <c r="KT72" i="2"/>
  <c r="JV73" i="2"/>
  <c r="JW73" i="2"/>
  <c r="JX73" i="2"/>
  <c r="JY73" i="2"/>
  <c r="JZ73" i="2"/>
  <c r="KA73" i="2"/>
  <c r="KB73" i="2"/>
  <c r="KC73" i="2"/>
  <c r="KD73" i="2"/>
  <c r="KE73" i="2"/>
  <c r="KF73" i="2"/>
  <c r="KG73" i="2"/>
  <c r="KH73" i="2"/>
  <c r="KI73" i="2"/>
  <c r="KJ73" i="2"/>
  <c r="KK73" i="2"/>
  <c r="KL73" i="2"/>
  <c r="KM73" i="2"/>
  <c r="KN73" i="2"/>
  <c r="KO73" i="2"/>
  <c r="KP73" i="2"/>
  <c r="KQ73" i="2"/>
  <c r="KR73" i="2"/>
  <c r="KS73" i="2"/>
  <c r="KT73" i="2"/>
  <c r="JV74" i="2"/>
  <c r="JW74" i="2"/>
  <c r="JX74" i="2"/>
  <c r="JY74" i="2"/>
  <c r="JZ74" i="2"/>
  <c r="KA74" i="2"/>
  <c r="KB74" i="2"/>
  <c r="KC74" i="2"/>
  <c r="KD74" i="2"/>
  <c r="KE74" i="2"/>
  <c r="KF74" i="2"/>
  <c r="KG74" i="2"/>
  <c r="KH74" i="2"/>
  <c r="KI74" i="2"/>
  <c r="KJ74" i="2"/>
  <c r="KK74" i="2"/>
  <c r="KL74" i="2"/>
  <c r="KM74" i="2"/>
  <c r="KN74" i="2"/>
  <c r="KO74" i="2"/>
  <c r="KP74" i="2"/>
  <c r="KQ74" i="2"/>
  <c r="KR74" i="2"/>
  <c r="KS74" i="2"/>
  <c r="KT74" i="2"/>
  <c r="JV75" i="2"/>
  <c r="JW75" i="2"/>
  <c r="JX75" i="2"/>
  <c r="JY75" i="2"/>
  <c r="JZ75" i="2"/>
  <c r="KA75" i="2"/>
  <c r="KB75" i="2"/>
  <c r="KC75" i="2"/>
  <c r="KD75" i="2"/>
  <c r="KE75" i="2"/>
  <c r="KF75" i="2"/>
  <c r="KG75" i="2"/>
  <c r="KH75" i="2"/>
  <c r="KI75" i="2"/>
  <c r="KJ75" i="2"/>
  <c r="KK75" i="2"/>
  <c r="KL75" i="2"/>
  <c r="KM75" i="2"/>
  <c r="KN75" i="2"/>
  <c r="KO75" i="2"/>
  <c r="KP75" i="2"/>
  <c r="KQ75" i="2"/>
  <c r="KR75" i="2"/>
  <c r="KS75" i="2"/>
  <c r="KT75" i="2"/>
  <c r="JV76" i="2"/>
  <c r="JW76" i="2"/>
  <c r="JX76" i="2"/>
  <c r="JY76" i="2"/>
  <c r="JZ76" i="2"/>
  <c r="KA76" i="2"/>
  <c r="KB76" i="2"/>
  <c r="KC76" i="2"/>
  <c r="KD76" i="2"/>
  <c r="KE76" i="2"/>
  <c r="KF76" i="2"/>
  <c r="KG76" i="2"/>
  <c r="KH76" i="2"/>
  <c r="KI76" i="2"/>
  <c r="KJ76" i="2"/>
  <c r="KK76" i="2"/>
  <c r="KL76" i="2"/>
  <c r="KM76" i="2"/>
  <c r="KN76" i="2"/>
  <c r="KO76" i="2"/>
  <c r="KP76" i="2"/>
  <c r="KQ76" i="2"/>
  <c r="KR76" i="2"/>
  <c r="KS76" i="2"/>
  <c r="KT76" i="2"/>
  <c r="JV77" i="2"/>
  <c r="JW77" i="2"/>
  <c r="JX77" i="2"/>
  <c r="JY77" i="2"/>
  <c r="JZ77" i="2"/>
  <c r="KA77" i="2"/>
  <c r="KB77" i="2"/>
  <c r="KC77" i="2"/>
  <c r="KD77" i="2"/>
  <c r="KE77" i="2"/>
  <c r="KF77" i="2"/>
  <c r="KG77" i="2"/>
  <c r="KH77" i="2"/>
  <c r="KI77" i="2"/>
  <c r="KJ77" i="2"/>
  <c r="KK77" i="2"/>
  <c r="KL77" i="2"/>
  <c r="KM77" i="2"/>
  <c r="KN77" i="2"/>
  <c r="KO77" i="2"/>
  <c r="KP77" i="2"/>
  <c r="KQ77" i="2"/>
  <c r="KR77" i="2"/>
  <c r="KS77" i="2"/>
  <c r="KT77" i="2"/>
  <c r="JV78" i="2"/>
  <c r="JW78" i="2"/>
  <c r="JX78" i="2"/>
  <c r="JY78" i="2"/>
  <c r="JZ78" i="2"/>
  <c r="KA78" i="2"/>
  <c r="KB78" i="2"/>
  <c r="KC78" i="2"/>
  <c r="KD78" i="2"/>
  <c r="KE78" i="2"/>
  <c r="KF78" i="2"/>
  <c r="KG78" i="2"/>
  <c r="KH78" i="2"/>
  <c r="KI78" i="2"/>
  <c r="KJ78" i="2"/>
  <c r="KK78" i="2"/>
  <c r="KL78" i="2"/>
  <c r="KM78" i="2"/>
  <c r="KN78" i="2"/>
  <c r="KO78" i="2"/>
  <c r="KP78" i="2"/>
  <c r="KQ78" i="2"/>
  <c r="KR78" i="2"/>
  <c r="KS78" i="2"/>
  <c r="KT78" i="2"/>
  <c r="JV79" i="2"/>
  <c r="JW79" i="2"/>
  <c r="JX79" i="2"/>
  <c r="JY79" i="2"/>
  <c r="JZ79" i="2"/>
  <c r="KA79" i="2"/>
  <c r="KB79" i="2"/>
  <c r="KC79" i="2"/>
  <c r="KD79" i="2"/>
  <c r="KE79" i="2"/>
  <c r="KF79" i="2"/>
  <c r="KG79" i="2"/>
  <c r="KH79" i="2"/>
  <c r="KI79" i="2"/>
  <c r="KJ79" i="2"/>
  <c r="KK79" i="2"/>
  <c r="KL79" i="2"/>
  <c r="KM79" i="2"/>
  <c r="KN79" i="2"/>
  <c r="KO79" i="2"/>
  <c r="KP79" i="2"/>
  <c r="KQ79" i="2"/>
  <c r="KR79" i="2"/>
  <c r="KS79" i="2"/>
  <c r="KT79" i="2"/>
  <c r="JV80" i="2"/>
  <c r="JW80" i="2"/>
  <c r="JX80" i="2"/>
  <c r="JY80" i="2"/>
  <c r="JZ80" i="2"/>
  <c r="KA80" i="2"/>
  <c r="KB80" i="2"/>
  <c r="KC80" i="2"/>
  <c r="KD80" i="2"/>
  <c r="KE80" i="2"/>
  <c r="KF80" i="2"/>
  <c r="KG80" i="2"/>
  <c r="KH80" i="2"/>
  <c r="KI80" i="2"/>
  <c r="KJ80" i="2"/>
  <c r="KK80" i="2"/>
  <c r="KL80" i="2"/>
  <c r="KM80" i="2"/>
  <c r="KN80" i="2"/>
  <c r="KO80" i="2"/>
  <c r="KP80" i="2"/>
  <c r="KQ80" i="2"/>
  <c r="KR80" i="2"/>
  <c r="KS80" i="2"/>
  <c r="KT80" i="2"/>
  <c r="JV81" i="2"/>
  <c r="JW81" i="2"/>
  <c r="JX81" i="2"/>
  <c r="JY81" i="2"/>
  <c r="JZ81" i="2"/>
  <c r="KA81" i="2"/>
  <c r="KB81" i="2"/>
  <c r="KC81" i="2"/>
  <c r="KD81" i="2"/>
  <c r="KE81" i="2"/>
  <c r="KF81" i="2"/>
  <c r="KG81" i="2"/>
  <c r="KH81" i="2"/>
  <c r="KI81" i="2"/>
  <c r="KJ81" i="2"/>
  <c r="KK81" i="2"/>
  <c r="KL81" i="2"/>
  <c r="KM81" i="2"/>
  <c r="KN81" i="2"/>
  <c r="KO81" i="2"/>
  <c r="KP81" i="2"/>
  <c r="KQ81" i="2"/>
  <c r="KR81" i="2"/>
  <c r="KS81" i="2"/>
  <c r="KT81" i="2"/>
  <c r="JV82" i="2"/>
  <c r="JW82" i="2"/>
  <c r="JX82" i="2"/>
  <c r="JY82" i="2"/>
  <c r="JZ82" i="2"/>
  <c r="KA82" i="2"/>
  <c r="KB82" i="2"/>
  <c r="KC82" i="2"/>
  <c r="KD82" i="2"/>
  <c r="KE82" i="2"/>
  <c r="KF82" i="2"/>
  <c r="KG82" i="2"/>
  <c r="KH82" i="2"/>
  <c r="KI82" i="2"/>
  <c r="KJ82" i="2"/>
  <c r="KK82" i="2"/>
  <c r="KL82" i="2"/>
  <c r="KM82" i="2"/>
  <c r="KN82" i="2"/>
  <c r="KO82" i="2"/>
  <c r="KP82" i="2"/>
  <c r="KQ82" i="2"/>
  <c r="KR82" i="2"/>
  <c r="KS82" i="2"/>
  <c r="KT82" i="2"/>
  <c r="JV83" i="2"/>
  <c r="JW83" i="2"/>
  <c r="JX83" i="2"/>
  <c r="JY83" i="2"/>
  <c r="JZ83" i="2"/>
  <c r="KA83" i="2"/>
  <c r="KB83" i="2"/>
  <c r="KC83" i="2"/>
  <c r="KD83" i="2"/>
  <c r="KE83" i="2"/>
  <c r="KF83" i="2"/>
  <c r="KG83" i="2"/>
  <c r="KH83" i="2"/>
  <c r="KI83" i="2"/>
  <c r="KJ83" i="2"/>
  <c r="KK83" i="2"/>
  <c r="KL83" i="2"/>
  <c r="KM83" i="2"/>
  <c r="KN83" i="2"/>
  <c r="KO83" i="2"/>
  <c r="KP83" i="2"/>
  <c r="KQ83" i="2"/>
  <c r="KR83" i="2"/>
  <c r="KS83" i="2"/>
  <c r="KT83" i="2"/>
  <c r="JV84" i="2"/>
  <c r="JW84" i="2"/>
  <c r="JX84" i="2"/>
  <c r="JY84" i="2"/>
  <c r="JZ84" i="2"/>
  <c r="KA84" i="2"/>
  <c r="KB84" i="2"/>
  <c r="KC84" i="2"/>
  <c r="KD84" i="2"/>
  <c r="KE84" i="2"/>
  <c r="KF84" i="2"/>
  <c r="KG84" i="2"/>
  <c r="KH84" i="2"/>
  <c r="KI84" i="2"/>
  <c r="KJ84" i="2"/>
  <c r="KK84" i="2"/>
  <c r="KL84" i="2"/>
  <c r="KM84" i="2"/>
  <c r="KN84" i="2"/>
  <c r="KO84" i="2"/>
  <c r="KP84" i="2"/>
  <c r="KQ84" i="2"/>
  <c r="KR84" i="2"/>
  <c r="KS84" i="2"/>
  <c r="KT84" i="2"/>
  <c r="JV85" i="2"/>
  <c r="JW85" i="2"/>
  <c r="JX85" i="2"/>
  <c r="JY85" i="2"/>
  <c r="JZ85" i="2"/>
  <c r="KA85" i="2"/>
  <c r="KB85" i="2"/>
  <c r="KC85" i="2"/>
  <c r="KD85" i="2"/>
  <c r="KE85" i="2"/>
  <c r="KF85" i="2"/>
  <c r="KG85" i="2"/>
  <c r="KH85" i="2"/>
  <c r="KI85" i="2"/>
  <c r="KJ85" i="2"/>
  <c r="KK85" i="2"/>
  <c r="KL85" i="2"/>
  <c r="KM85" i="2"/>
  <c r="KN85" i="2"/>
  <c r="KO85" i="2"/>
  <c r="KP85" i="2"/>
  <c r="KQ85" i="2"/>
  <c r="KR85" i="2"/>
  <c r="KS85" i="2"/>
  <c r="KT85" i="2"/>
  <c r="JV86" i="2"/>
  <c r="JW86" i="2"/>
  <c r="JX86" i="2"/>
  <c r="JY86" i="2"/>
  <c r="JZ86" i="2"/>
  <c r="KA86" i="2"/>
  <c r="KB86" i="2"/>
  <c r="KC86" i="2"/>
  <c r="KD86" i="2"/>
  <c r="KE86" i="2"/>
  <c r="KF86" i="2"/>
  <c r="KG86" i="2"/>
  <c r="KH86" i="2"/>
  <c r="KI86" i="2"/>
  <c r="KJ86" i="2"/>
  <c r="KK86" i="2"/>
  <c r="KL86" i="2"/>
  <c r="KM86" i="2"/>
  <c r="KN86" i="2"/>
  <c r="KO86" i="2"/>
  <c r="KP86" i="2"/>
  <c r="KQ86" i="2"/>
  <c r="KR86" i="2"/>
  <c r="KS86" i="2"/>
  <c r="KT86" i="2"/>
  <c r="JV87" i="2"/>
  <c r="JW87" i="2"/>
  <c r="JX87" i="2"/>
  <c r="JY87" i="2"/>
  <c r="JZ87" i="2"/>
  <c r="KA87" i="2"/>
  <c r="KB87" i="2"/>
  <c r="KC87" i="2"/>
  <c r="KD87" i="2"/>
  <c r="KE87" i="2"/>
  <c r="KF87" i="2"/>
  <c r="KG87" i="2"/>
  <c r="KH87" i="2"/>
  <c r="KI87" i="2"/>
  <c r="KJ87" i="2"/>
  <c r="KK87" i="2"/>
  <c r="KL87" i="2"/>
  <c r="KM87" i="2"/>
  <c r="KN87" i="2"/>
  <c r="KO87" i="2"/>
  <c r="KP87" i="2"/>
  <c r="KQ87" i="2"/>
  <c r="KR87" i="2"/>
  <c r="KS87" i="2"/>
  <c r="KT87" i="2"/>
  <c r="JV88" i="2"/>
  <c r="JW88" i="2"/>
  <c r="JX88" i="2"/>
  <c r="JY88" i="2"/>
  <c r="JZ88" i="2"/>
  <c r="KA88" i="2"/>
  <c r="KB88" i="2"/>
  <c r="KC88" i="2"/>
  <c r="KD88" i="2"/>
  <c r="KE88" i="2"/>
  <c r="KF88" i="2"/>
  <c r="KG88" i="2"/>
  <c r="KH88" i="2"/>
  <c r="KI88" i="2"/>
  <c r="KJ88" i="2"/>
  <c r="KK88" i="2"/>
  <c r="KL88" i="2"/>
  <c r="KM88" i="2"/>
  <c r="KN88" i="2"/>
  <c r="KO88" i="2"/>
  <c r="KP88" i="2"/>
  <c r="KQ88" i="2"/>
  <c r="KR88" i="2"/>
  <c r="KS88" i="2"/>
  <c r="KT88" i="2"/>
  <c r="JV89" i="2"/>
  <c r="JW89" i="2"/>
  <c r="JX89" i="2"/>
  <c r="JY89" i="2"/>
  <c r="JZ89" i="2"/>
  <c r="KA89" i="2"/>
  <c r="KB89" i="2"/>
  <c r="KC89" i="2"/>
  <c r="KD89" i="2"/>
  <c r="KE89" i="2"/>
  <c r="KF89" i="2"/>
  <c r="KG89" i="2"/>
  <c r="KH89" i="2"/>
  <c r="KI89" i="2"/>
  <c r="KJ89" i="2"/>
  <c r="KK89" i="2"/>
  <c r="KL89" i="2"/>
  <c r="KM89" i="2"/>
  <c r="KN89" i="2"/>
  <c r="KO89" i="2"/>
  <c r="KP89" i="2"/>
  <c r="KQ89" i="2"/>
  <c r="KR89" i="2"/>
  <c r="KS89" i="2"/>
  <c r="KT89" i="2"/>
  <c r="JV90" i="2"/>
  <c r="JW90" i="2"/>
  <c r="JX90" i="2"/>
  <c r="JY90" i="2"/>
  <c r="JZ90" i="2"/>
  <c r="KA90" i="2"/>
  <c r="KB90" i="2"/>
  <c r="KC90" i="2"/>
  <c r="KD90" i="2"/>
  <c r="KE90" i="2"/>
  <c r="KF90" i="2"/>
  <c r="KG90" i="2"/>
  <c r="KH90" i="2"/>
  <c r="KI90" i="2"/>
  <c r="KJ90" i="2"/>
  <c r="KK90" i="2"/>
  <c r="KL90" i="2"/>
  <c r="KM90" i="2"/>
  <c r="KN90" i="2"/>
  <c r="KO90" i="2"/>
  <c r="KP90" i="2"/>
  <c r="KQ90" i="2"/>
  <c r="KR90" i="2"/>
  <c r="KS90" i="2"/>
  <c r="KT90" i="2"/>
  <c r="JV91" i="2"/>
  <c r="JW91" i="2"/>
  <c r="JX91" i="2"/>
  <c r="JY91" i="2"/>
  <c r="JZ91" i="2"/>
  <c r="KA91" i="2"/>
  <c r="KB91" i="2"/>
  <c r="KC91" i="2"/>
  <c r="KD91" i="2"/>
  <c r="KE91" i="2"/>
  <c r="KF91" i="2"/>
  <c r="KG91" i="2"/>
  <c r="KH91" i="2"/>
  <c r="KI91" i="2"/>
  <c r="KJ91" i="2"/>
  <c r="KK91" i="2"/>
  <c r="KL91" i="2"/>
  <c r="KM91" i="2"/>
  <c r="KN91" i="2"/>
  <c r="KO91" i="2"/>
  <c r="KP91" i="2"/>
  <c r="KQ91" i="2"/>
  <c r="KR91" i="2"/>
  <c r="KS91" i="2"/>
  <c r="KT91" i="2"/>
  <c r="JV92" i="2"/>
  <c r="JW92" i="2"/>
  <c r="JX92" i="2"/>
  <c r="JY92" i="2"/>
  <c r="JZ92" i="2"/>
  <c r="KA92" i="2"/>
  <c r="KB92" i="2"/>
  <c r="KC92" i="2"/>
  <c r="KD92" i="2"/>
  <c r="KE92" i="2"/>
  <c r="KF92" i="2"/>
  <c r="KG92" i="2"/>
  <c r="KH92" i="2"/>
  <c r="KI92" i="2"/>
  <c r="KJ92" i="2"/>
  <c r="KK92" i="2"/>
  <c r="KL92" i="2"/>
  <c r="KM92" i="2"/>
  <c r="KN92" i="2"/>
  <c r="KO92" i="2"/>
  <c r="KP92" i="2"/>
  <c r="KQ92" i="2"/>
  <c r="KR92" i="2"/>
  <c r="KS92" i="2"/>
  <c r="KT92" i="2"/>
  <c r="JV93" i="2"/>
  <c r="JW93" i="2"/>
  <c r="JX93" i="2"/>
  <c r="JY93" i="2"/>
  <c r="JZ93" i="2"/>
  <c r="KA93" i="2"/>
  <c r="KB93" i="2"/>
  <c r="KC93" i="2"/>
  <c r="KD93" i="2"/>
  <c r="KE93" i="2"/>
  <c r="KF93" i="2"/>
  <c r="KG93" i="2"/>
  <c r="KH93" i="2"/>
  <c r="KI93" i="2"/>
  <c r="KJ93" i="2"/>
  <c r="KK93" i="2"/>
  <c r="KL93" i="2"/>
  <c r="KM93" i="2"/>
  <c r="KN93" i="2"/>
  <c r="KO93" i="2"/>
  <c r="KP93" i="2"/>
  <c r="KQ93" i="2"/>
  <c r="KR93" i="2"/>
  <c r="KS93" i="2"/>
  <c r="KT93" i="2"/>
  <c r="JV94" i="2"/>
  <c r="JW94" i="2"/>
  <c r="JX94" i="2"/>
  <c r="JY94" i="2"/>
  <c r="JZ94" i="2"/>
  <c r="KA94" i="2"/>
  <c r="KB94" i="2"/>
  <c r="KC94" i="2"/>
  <c r="KD94" i="2"/>
  <c r="KE94" i="2"/>
  <c r="KF94" i="2"/>
  <c r="KG94" i="2"/>
  <c r="KH94" i="2"/>
  <c r="KI94" i="2"/>
  <c r="KJ94" i="2"/>
  <c r="KK94" i="2"/>
  <c r="KL94" i="2"/>
  <c r="KM94" i="2"/>
  <c r="KN94" i="2"/>
  <c r="KO94" i="2"/>
  <c r="KP94" i="2"/>
  <c r="KQ94" i="2"/>
  <c r="KR94" i="2"/>
  <c r="KS94" i="2"/>
  <c r="KT94" i="2"/>
  <c r="JV95" i="2"/>
  <c r="JW95" i="2"/>
  <c r="JX95" i="2"/>
  <c r="JY95" i="2"/>
  <c r="JZ95" i="2"/>
  <c r="KA95" i="2"/>
  <c r="KB95" i="2"/>
  <c r="KC95" i="2"/>
  <c r="KD95" i="2"/>
  <c r="KE95" i="2"/>
  <c r="KF95" i="2"/>
  <c r="KG95" i="2"/>
  <c r="KH95" i="2"/>
  <c r="KI95" i="2"/>
  <c r="KJ95" i="2"/>
  <c r="KK95" i="2"/>
  <c r="KL95" i="2"/>
  <c r="KM95" i="2"/>
  <c r="KN95" i="2"/>
  <c r="KO95" i="2"/>
  <c r="KP95" i="2"/>
  <c r="KQ95" i="2"/>
  <c r="KR95" i="2"/>
  <c r="KS95" i="2"/>
  <c r="KT95" i="2"/>
  <c r="JV96" i="2"/>
  <c r="JW96" i="2"/>
  <c r="JX96" i="2"/>
  <c r="JY96" i="2"/>
  <c r="JZ96" i="2"/>
  <c r="KA96" i="2"/>
  <c r="KB96" i="2"/>
  <c r="KC96" i="2"/>
  <c r="KD96" i="2"/>
  <c r="KE96" i="2"/>
  <c r="KF96" i="2"/>
  <c r="KG96" i="2"/>
  <c r="KH96" i="2"/>
  <c r="KI96" i="2"/>
  <c r="KJ96" i="2"/>
  <c r="KK96" i="2"/>
  <c r="KL96" i="2"/>
  <c r="KM96" i="2"/>
  <c r="KN96" i="2"/>
  <c r="KO96" i="2"/>
  <c r="KP96" i="2"/>
  <c r="KQ96" i="2"/>
  <c r="KR96" i="2"/>
  <c r="KS96" i="2"/>
  <c r="KT96" i="2"/>
  <c r="JV97" i="2"/>
  <c r="JW97" i="2"/>
  <c r="JX97" i="2"/>
  <c r="JY97" i="2"/>
  <c r="JZ97" i="2"/>
  <c r="KA97" i="2"/>
  <c r="KB97" i="2"/>
  <c r="KC97" i="2"/>
  <c r="KD97" i="2"/>
  <c r="KE97" i="2"/>
  <c r="KF97" i="2"/>
  <c r="KG97" i="2"/>
  <c r="KH97" i="2"/>
  <c r="KI97" i="2"/>
  <c r="KJ97" i="2"/>
  <c r="KK97" i="2"/>
  <c r="KL97" i="2"/>
  <c r="KM97" i="2"/>
  <c r="KN97" i="2"/>
  <c r="KO97" i="2"/>
  <c r="KP97" i="2"/>
  <c r="KQ97" i="2"/>
  <c r="KR97" i="2"/>
  <c r="KS97" i="2"/>
  <c r="KT97" i="2"/>
  <c r="JV98" i="2"/>
  <c r="JW98" i="2"/>
  <c r="JX98" i="2"/>
  <c r="JY98" i="2"/>
  <c r="JZ98" i="2"/>
  <c r="KA98" i="2"/>
  <c r="KB98" i="2"/>
  <c r="KC98" i="2"/>
  <c r="KD98" i="2"/>
  <c r="KE98" i="2"/>
  <c r="KF98" i="2"/>
  <c r="KG98" i="2"/>
  <c r="KH98" i="2"/>
  <c r="KI98" i="2"/>
  <c r="KJ98" i="2"/>
  <c r="KK98" i="2"/>
  <c r="KL98" i="2"/>
  <c r="KM98" i="2"/>
  <c r="KN98" i="2"/>
  <c r="KO98" i="2"/>
  <c r="KP98" i="2"/>
  <c r="KQ98" i="2"/>
  <c r="KR98" i="2"/>
  <c r="KS98" i="2"/>
  <c r="KT98" i="2"/>
  <c r="JV99" i="2"/>
  <c r="JW99" i="2"/>
  <c r="JX99" i="2"/>
  <c r="JY99" i="2"/>
  <c r="JZ99" i="2"/>
  <c r="KA99" i="2"/>
  <c r="KB99" i="2"/>
  <c r="KC99" i="2"/>
  <c r="KD99" i="2"/>
  <c r="KE99" i="2"/>
  <c r="KF99" i="2"/>
  <c r="KG99" i="2"/>
  <c r="KH99" i="2"/>
  <c r="KI99" i="2"/>
  <c r="KJ99" i="2"/>
  <c r="KK99" i="2"/>
  <c r="KL99" i="2"/>
  <c r="KM99" i="2"/>
  <c r="KN99" i="2"/>
  <c r="KO99" i="2"/>
  <c r="KP99" i="2"/>
  <c r="KQ99" i="2"/>
  <c r="KR99" i="2"/>
  <c r="KS99" i="2"/>
  <c r="KT99" i="2"/>
  <c r="JV100" i="2"/>
  <c r="JW100" i="2"/>
  <c r="JX100" i="2"/>
  <c r="JY100" i="2"/>
  <c r="JZ100" i="2"/>
  <c r="KA100" i="2"/>
  <c r="KB100" i="2"/>
  <c r="KC100" i="2"/>
  <c r="KD100" i="2"/>
  <c r="KE100" i="2"/>
  <c r="KF100" i="2"/>
  <c r="KG100" i="2"/>
  <c r="KH100" i="2"/>
  <c r="KI100" i="2"/>
  <c r="KJ100" i="2"/>
  <c r="KK100" i="2"/>
  <c r="KL100" i="2"/>
  <c r="KM100" i="2"/>
  <c r="KN100" i="2"/>
  <c r="KO100" i="2"/>
  <c r="KP100" i="2"/>
  <c r="KQ100" i="2"/>
  <c r="KR100" i="2"/>
  <c r="KS100" i="2"/>
  <c r="KT100" i="2"/>
  <c r="JV101" i="2"/>
  <c r="JW101" i="2"/>
  <c r="JX101" i="2"/>
  <c r="JY101" i="2"/>
  <c r="JZ101" i="2"/>
  <c r="KA101" i="2"/>
  <c r="KB101" i="2"/>
  <c r="KC101" i="2"/>
  <c r="KD101" i="2"/>
  <c r="KE101" i="2"/>
  <c r="KF101" i="2"/>
  <c r="KG101" i="2"/>
  <c r="KH101" i="2"/>
  <c r="KI101" i="2"/>
  <c r="KJ101" i="2"/>
  <c r="KK101" i="2"/>
  <c r="KL101" i="2"/>
  <c r="KM101" i="2"/>
  <c r="KN101" i="2"/>
  <c r="KO101" i="2"/>
  <c r="KP101" i="2"/>
  <c r="KQ101" i="2"/>
  <c r="KR101" i="2"/>
  <c r="KS101" i="2"/>
  <c r="KT101" i="2"/>
  <c r="JV102" i="2"/>
  <c r="JW102" i="2"/>
  <c r="JX102" i="2"/>
  <c r="JY102" i="2"/>
  <c r="JZ102" i="2"/>
  <c r="KA102" i="2"/>
  <c r="KB102" i="2"/>
  <c r="KC102" i="2"/>
  <c r="KD102" i="2"/>
  <c r="KE102" i="2"/>
  <c r="KF102" i="2"/>
  <c r="KG102" i="2"/>
  <c r="KH102" i="2"/>
  <c r="KI102" i="2"/>
  <c r="KJ102" i="2"/>
  <c r="KK102" i="2"/>
  <c r="KL102" i="2"/>
  <c r="KM102" i="2"/>
  <c r="KN102" i="2"/>
  <c r="KO102" i="2"/>
  <c r="KP102" i="2"/>
  <c r="KQ102" i="2"/>
  <c r="KR102" i="2"/>
  <c r="KS102" i="2"/>
  <c r="KT102" i="2"/>
  <c r="JV103" i="2"/>
  <c r="JW103" i="2"/>
  <c r="JX103" i="2"/>
  <c r="JY103" i="2"/>
  <c r="JZ103" i="2"/>
  <c r="KA103" i="2"/>
  <c r="KB103" i="2"/>
  <c r="KC103" i="2"/>
  <c r="KD103" i="2"/>
  <c r="KE103" i="2"/>
  <c r="KF103" i="2"/>
  <c r="KG103" i="2"/>
  <c r="KH103" i="2"/>
  <c r="KI103" i="2"/>
  <c r="KJ103" i="2"/>
  <c r="KK103" i="2"/>
  <c r="KL103" i="2"/>
  <c r="KM103" i="2"/>
  <c r="KN103" i="2"/>
  <c r="KO103" i="2"/>
  <c r="KP103" i="2"/>
  <c r="KQ103" i="2"/>
  <c r="KR103" i="2"/>
  <c r="KS103" i="2"/>
  <c r="KT103" i="2"/>
  <c r="JV4" i="2"/>
  <c r="JW4" i="2"/>
  <c r="JX4" i="2"/>
  <c r="JY4" i="2"/>
  <c r="JZ4" i="2"/>
  <c r="KA4" i="2"/>
  <c r="KB4" i="2"/>
  <c r="KC4" i="2"/>
  <c r="KD4" i="2"/>
  <c r="KE4" i="2"/>
  <c r="KF4" i="2"/>
  <c r="KG4" i="2"/>
  <c r="KH4" i="2"/>
  <c r="KI4" i="2"/>
  <c r="KJ4" i="2"/>
  <c r="KK4" i="2"/>
  <c r="KL4" i="2"/>
  <c r="KM4" i="2"/>
  <c r="KN4" i="2"/>
  <c r="KO4" i="2"/>
  <c r="KP4" i="2"/>
  <c r="KQ4" i="2"/>
  <c r="KR4" i="2"/>
  <c r="KS4" i="2"/>
  <c r="KT4" i="2"/>
  <c r="JV5" i="2"/>
  <c r="JW5" i="2"/>
  <c r="JX5" i="2"/>
  <c r="JY5" i="2"/>
  <c r="JZ5" i="2"/>
  <c r="KA5" i="2"/>
  <c r="KB5" i="2"/>
  <c r="KC5" i="2"/>
  <c r="KD5" i="2"/>
  <c r="KE5" i="2"/>
  <c r="KF5" i="2"/>
  <c r="KG5" i="2"/>
  <c r="KH5" i="2"/>
  <c r="KI5" i="2"/>
  <c r="KJ5" i="2"/>
  <c r="KK5" i="2"/>
  <c r="KL5" i="2"/>
  <c r="KM5" i="2"/>
  <c r="KN5" i="2"/>
  <c r="KO5" i="2"/>
  <c r="KP5" i="2"/>
  <c r="KQ5" i="2"/>
  <c r="KR5" i="2"/>
  <c r="KS5" i="2"/>
  <c r="KT5" i="2"/>
  <c r="JV6" i="2"/>
  <c r="JW6" i="2"/>
  <c r="JX6" i="2"/>
  <c r="JY6" i="2"/>
  <c r="JZ6" i="2"/>
  <c r="KA6" i="2"/>
  <c r="KB6" i="2"/>
  <c r="KC6" i="2"/>
  <c r="KD6" i="2"/>
  <c r="KE6" i="2"/>
  <c r="KF6" i="2"/>
  <c r="KG6" i="2"/>
  <c r="KH6" i="2"/>
  <c r="KI6" i="2"/>
  <c r="KJ6" i="2"/>
  <c r="KK6" i="2"/>
  <c r="KL6" i="2"/>
  <c r="KM6" i="2"/>
  <c r="KN6" i="2"/>
  <c r="KO6" i="2"/>
  <c r="KP6" i="2"/>
  <c r="KQ6" i="2"/>
  <c r="KR6" i="2"/>
  <c r="KS6" i="2"/>
  <c r="KT6" i="2"/>
  <c r="JV7" i="2"/>
  <c r="JW7" i="2"/>
  <c r="JX7" i="2"/>
  <c r="JY7" i="2"/>
  <c r="JZ7" i="2"/>
  <c r="KA7" i="2"/>
  <c r="KB7" i="2"/>
  <c r="KC7" i="2"/>
  <c r="KD7" i="2"/>
  <c r="KE7" i="2"/>
  <c r="KF7" i="2"/>
  <c r="KG7" i="2"/>
  <c r="KH7" i="2"/>
  <c r="KI7" i="2"/>
  <c r="KJ7" i="2"/>
  <c r="KK7" i="2"/>
  <c r="KL7" i="2"/>
  <c r="KM7" i="2"/>
  <c r="KN7" i="2"/>
  <c r="KO7" i="2"/>
  <c r="KP7" i="2"/>
  <c r="KQ7" i="2"/>
  <c r="KR7" i="2"/>
  <c r="KS7" i="2"/>
  <c r="KT7" i="2"/>
  <c r="JV8" i="2"/>
  <c r="JW8" i="2"/>
  <c r="JX8" i="2"/>
  <c r="JY8" i="2"/>
  <c r="JZ8" i="2"/>
  <c r="KA8" i="2"/>
  <c r="KB8" i="2"/>
  <c r="KC8" i="2"/>
  <c r="KD8" i="2"/>
  <c r="KE8" i="2"/>
  <c r="KF8" i="2"/>
  <c r="KG8" i="2"/>
  <c r="KH8" i="2"/>
  <c r="KI8" i="2"/>
  <c r="KJ8" i="2"/>
  <c r="KK8" i="2"/>
  <c r="KL8" i="2"/>
  <c r="KM8" i="2"/>
  <c r="KN8" i="2"/>
  <c r="KO8" i="2"/>
  <c r="KP8" i="2"/>
  <c r="KQ8" i="2"/>
  <c r="KR8" i="2"/>
  <c r="KS8" i="2"/>
  <c r="KT8" i="2"/>
  <c r="JV9" i="2"/>
  <c r="JW9" i="2"/>
  <c r="JX9" i="2"/>
  <c r="JY9" i="2"/>
  <c r="JZ9" i="2"/>
  <c r="KA9" i="2"/>
  <c r="KB9" i="2"/>
  <c r="KC9" i="2"/>
  <c r="KD9" i="2"/>
  <c r="KE9" i="2"/>
  <c r="KF9" i="2"/>
  <c r="KG9" i="2"/>
  <c r="KH9" i="2"/>
  <c r="KI9" i="2"/>
  <c r="KJ9" i="2"/>
  <c r="KK9" i="2"/>
  <c r="KL9" i="2"/>
  <c r="KM9" i="2"/>
  <c r="KN9" i="2"/>
  <c r="KO9" i="2"/>
  <c r="KP9" i="2"/>
  <c r="KQ9" i="2"/>
  <c r="KR9" i="2"/>
  <c r="KS9" i="2"/>
  <c r="KT9" i="2"/>
  <c r="JV10" i="2"/>
  <c r="JW10" i="2"/>
  <c r="JX10" i="2"/>
  <c r="JY10" i="2"/>
  <c r="JZ10" i="2"/>
  <c r="KA10" i="2"/>
  <c r="KB10" i="2"/>
  <c r="KC10" i="2"/>
  <c r="KD10" i="2"/>
  <c r="KE10" i="2"/>
  <c r="KF10" i="2"/>
  <c r="KG10" i="2"/>
  <c r="KH10" i="2"/>
  <c r="KI10" i="2"/>
  <c r="KJ10" i="2"/>
  <c r="KK10" i="2"/>
  <c r="KL10" i="2"/>
  <c r="KM10" i="2"/>
  <c r="KN10" i="2"/>
  <c r="KO10" i="2"/>
  <c r="KP10" i="2"/>
  <c r="KQ10" i="2"/>
  <c r="KR10" i="2"/>
  <c r="KS10" i="2"/>
  <c r="KT10" i="2"/>
  <c r="JV11" i="2"/>
  <c r="JW11" i="2"/>
  <c r="JX11" i="2"/>
  <c r="JY11" i="2"/>
  <c r="JZ11" i="2"/>
  <c r="KA11" i="2"/>
  <c r="KB11" i="2"/>
  <c r="KC11" i="2"/>
  <c r="KD11" i="2"/>
  <c r="KE11" i="2"/>
  <c r="KF11" i="2"/>
  <c r="KG11" i="2"/>
  <c r="KH11" i="2"/>
  <c r="KI11" i="2"/>
  <c r="KJ11" i="2"/>
  <c r="KK11" i="2"/>
  <c r="KL11" i="2"/>
  <c r="KM11" i="2"/>
  <c r="KN11" i="2"/>
  <c r="KO11" i="2"/>
  <c r="KP11" i="2"/>
  <c r="KQ11" i="2"/>
  <c r="KR11" i="2"/>
  <c r="KS11" i="2"/>
  <c r="KT11" i="2"/>
  <c r="JV12" i="2"/>
  <c r="JW12" i="2"/>
  <c r="JX12" i="2"/>
  <c r="JY12" i="2"/>
  <c r="JZ12" i="2"/>
  <c r="KA12" i="2"/>
  <c r="KB12" i="2"/>
  <c r="KC12" i="2"/>
  <c r="KD12" i="2"/>
  <c r="KE12" i="2"/>
  <c r="KF12" i="2"/>
  <c r="KG12" i="2"/>
  <c r="KH12" i="2"/>
  <c r="KI12" i="2"/>
  <c r="KJ12" i="2"/>
  <c r="KK12" i="2"/>
  <c r="KL12" i="2"/>
  <c r="KM12" i="2"/>
  <c r="KN12" i="2"/>
  <c r="KO12" i="2"/>
  <c r="KP12" i="2"/>
  <c r="KQ12" i="2"/>
  <c r="KR12" i="2"/>
  <c r="KS12" i="2"/>
  <c r="KT12" i="2"/>
  <c r="JV13" i="2"/>
  <c r="JW13" i="2"/>
  <c r="JX13" i="2"/>
  <c r="JY13" i="2"/>
  <c r="JZ13" i="2"/>
  <c r="KA13" i="2"/>
  <c r="KB13" i="2"/>
  <c r="KC13" i="2"/>
  <c r="KD13" i="2"/>
  <c r="KE13" i="2"/>
  <c r="KF13" i="2"/>
  <c r="KG13" i="2"/>
  <c r="KH13" i="2"/>
  <c r="KI13" i="2"/>
  <c r="KJ13" i="2"/>
  <c r="KK13" i="2"/>
  <c r="KL13" i="2"/>
  <c r="KM13" i="2"/>
  <c r="KN13" i="2"/>
  <c r="KO13" i="2"/>
  <c r="KP13" i="2"/>
  <c r="KQ13" i="2"/>
  <c r="KR13" i="2"/>
  <c r="KS13" i="2"/>
  <c r="KT13" i="2"/>
  <c r="JV14" i="2"/>
  <c r="JW14" i="2"/>
  <c r="JX14" i="2"/>
  <c r="JY14" i="2"/>
  <c r="JZ14" i="2"/>
  <c r="KA14" i="2"/>
  <c r="KB14" i="2"/>
  <c r="KC14" i="2"/>
  <c r="KD14" i="2"/>
  <c r="KE14" i="2"/>
  <c r="KF14" i="2"/>
  <c r="KG14" i="2"/>
  <c r="KH14" i="2"/>
  <c r="KI14" i="2"/>
  <c r="KJ14" i="2"/>
  <c r="KK14" i="2"/>
  <c r="KL14" i="2"/>
  <c r="KM14" i="2"/>
  <c r="KN14" i="2"/>
  <c r="KO14" i="2"/>
  <c r="KP14" i="2"/>
  <c r="KQ14" i="2"/>
  <c r="KR14" i="2"/>
  <c r="KS14" i="2"/>
  <c r="KT14" i="2"/>
  <c r="JV15" i="2"/>
  <c r="JW15" i="2"/>
  <c r="JX15" i="2"/>
  <c r="JY15" i="2"/>
  <c r="JZ15" i="2"/>
  <c r="KA15" i="2"/>
  <c r="KB15" i="2"/>
  <c r="KC15" i="2"/>
  <c r="KD15" i="2"/>
  <c r="KE15" i="2"/>
  <c r="KF15" i="2"/>
  <c r="KG15" i="2"/>
  <c r="KH15" i="2"/>
  <c r="KI15" i="2"/>
  <c r="KJ15" i="2"/>
  <c r="KK15" i="2"/>
  <c r="KL15" i="2"/>
  <c r="KM15" i="2"/>
  <c r="KN15" i="2"/>
  <c r="KO15" i="2"/>
  <c r="KP15" i="2"/>
  <c r="KQ15" i="2"/>
  <c r="KR15" i="2"/>
  <c r="KS15" i="2"/>
  <c r="KT15" i="2"/>
  <c r="JV16" i="2"/>
  <c r="JW16" i="2"/>
  <c r="JX16" i="2"/>
  <c r="JY16" i="2"/>
  <c r="JZ16" i="2"/>
  <c r="KA16" i="2"/>
  <c r="KB16" i="2"/>
  <c r="KC16" i="2"/>
  <c r="KD16" i="2"/>
  <c r="KE16" i="2"/>
  <c r="KF16" i="2"/>
  <c r="KG16" i="2"/>
  <c r="KH16" i="2"/>
  <c r="KI16" i="2"/>
  <c r="KJ16" i="2"/>
  <c r="KK16" i="2"/>
  <c r="KL16" i="2"/>
  <c r="KM16" i="2"/>
  <c r="KN16" i="2"/>
  <c r="KO16" i="2"/>
  <c r="KP16" i="2"/>
  <c r="KQ16" i="2"/>
  <c r="KR16" i="2"/>
  <c r="KS16" i="2"/>
  <c r="KT16" i="2"/>
  <c r="JV17" i="2"/>
  <c r="JW17" i="2"/>
  <c r="JX17" i="2"/>
  <c r="JY17" i="2"/>
  <c r="JZ17" i="2"/>
  <c r="KA17" i="2"/>
  <c r="KB17" i="2"/>
  <c r="KC17" i="2"/>
  <c r="KD17" i="2"/>
  <c r="KE17" i="2"/>
  <c r="KF17" i="2"/>
  <c r="KG17" i="2"/>
  <c r="KH17" i="2"/>
  <c r="KI17" i="2"/>
  <c r="KJ17" i="2"/>
  <c r="KK17" i="2"/>
  <c r="KL17" i="2"/>
  <c r="KM17" i="2"/>
  <c r="KN17" i="2"/>
  <c r="KO17" i="2"/>
  <c r="KP17" i="2"/>
  <c r="KQ17" i="2"/>
  <c r="KR17" i="2"/>
  <c r="KS17" i="2"/>
  <c r="KT17" i="2"/>
  <c r="JV18" i="2"/>
  <c r="JW18" i="2"/>
  <c r="JX18" i="2"/>
  <c r="JY18" i="2"/>
  <c r="JZ18" i="2"/>
  <c r="KA18" i="2"/>
  <c r="KB18" i="2"/>
  <c r="KC18" i="2"/>
  <c r="KD18" i="2"/>
  <c r="KE18" i="2"/>
  <c r="KF18" i="2"/>
  <c r="KG18" i="2"/>
  <c r="KH18" i="2"/>
  <c r="KI18" i="2"/>
  <c r="KJ18" i="2"/>
  <c r="KK18" i="2"/>
  <c r="KL18" i="2"/>
  <c r="KM18" i="2"/>
  <c r="KN18" i="2"/>
  <c r="KO18" i="2"/>
  <c r="KP18" i="2"/>
  <c r="KQ18" i="2"/>
  <c r="KR18" i="2"/>
  <c r="KS18" i="2"/>
  <c r="KT18" i="2"/>
  <c r="JV19" i="2"/>
  <c r="JW19" i="2"/>
  <c r="JX19" i="2"/>
  <c r="JY19" i="2"/>
  <c r="JZ19" i="2"/>
  <c r="KA19" i="2"/>
  <c r="KB19" i="2"/>
  <c r="KC19" i="2"/>
  <c r="KD19" i="2"/>
  <c r="KE19" i="2"/>
  <c r="KF19" i="2"/>
  <c r="KG19" i="2"/>
  <c r="KH19" i="2"/>
  <c r="KI19" i="2"/>
  <c r="KJ19" i="2"/>
  <c r="KK19" i="2"/>
  <c r="KL19" i="2"/>
  <c r="KM19" i="2"/>
  <c r="KN19" i="2"/>
  <c r="KO19" i="2"/>
  <c r="KP19" i="2"/>
  <c r="KQ19" i="2"/>
  <c r="KR19" i="2"/>
  <c r="KS19" i="2"/>
  <c r="KT19" i="2"/>
  <c r="JV20" i="2"/>
  <c r="JW20" i="2"/>
  <c r="JX20" i="2"/>
  <c r="JY20" i="2"/>
  <c r="JZ20" i="2"/>
  <c r="KA20" i="2"/>
  <c r="KB20" i="2"/>
  <c r="KC20" i="2"/>
  <c r="KD20" i="2"/>
  <c r="KE20" i="2"/>
  <c r="KF20" i="2"/>
  <c r="KG20" i="2"/>
  <c r="KH20" i="2"/>
  <c r="KI20" i="2"/>
  <c r="KJ20" i="2"/>
  <c r="KK20" i="2"/>
  <c r="KL20" i="2"/>
  <c r="KM20" i="2"/>
  <c r="KN20" i="2"/>
  <c r="KO20" i="2"/>
  <c r="KP20" i="2"/>
  <c r="KQ20" i="2"/>
  <c r="KR20" i="2"/>
  <c r="KS20" i="2"/>
  <c r="KT20" i="2"/>
  <c r="JV21" i="2"/>
  <c r="JW21" i="2"/>
  <c r="JX21" i="2"/>
  <c r="JY21" i="2"/>
  <c r="JZ21" i="2"/>
  <c r="KA21" i="2"/>
  <c r="KB21" i="2"/>
  <c r="KC21" i="2"/>
  <c r="KD21" i="2"/>
  <c r="KE21" i="2"/>
  <c r="KF21" i="2"/>
  <c r="KG21" i="2"/>
  <c r="KH21" i="2"/>
  <c r="KI21" i="2"/>
  <c r="KJ21" i="2"/>
  <c r="KK21" i="2"/>
  <c r="KL21" i="2"/>
  <c r="KM21" i="2"/>
  <c r="KN21" i="2"/>
  <c r="KO21" i="2"/>
  <c r="KP21" i="2"/>
  <c r="KQ21" i="2"/>
  <c r="KR21" i="2"/>
  <c r="KS21" i="2"/>
  <c r="KT21" i="2"/>
  <c r="JV22" i="2"/>
  <c r="JW22" i="2"/>
  <c r="JX22" i="2"/>
  <c r="JY22" i="2"/>
  <c r="JZ22" i="2"/>
  <c r="KA22" i="2"/>
  <c r="KB22" i="2"/>
  <c r="KC22" i="2"/>
  <c r="KD22" i="2"/>
  <c r="KE22" i="2"/>
  <c r="KF22" i="2"/>
  <c r="KG22" i="2"/>
  <c r="KH22" i="2"/>
  <c r="KI22" i="2"/>
  <c r="KJ22" i="2"/>
  <c r="KK22" i="2"/>
  <c r="KL22" i="2"/>
  <c r="KM22" i="2"/>
  <c r="KN22" i="2"/>
  <c r="KO22" i="2"/>
  <c r="KP22" i="2"/>
  <c r="KQ22" i="2"/>
  <c r="KR22" i="2"/>
  <c r="KS22" i="2"/>
  <c r="KT22" i="2"/>
  <c r="JV23" i="2"/>
  <c r="JW23" i="2"/>
  <c r="JX23" i="2"/>
  <c r="JY23" i="2"/>
  <c r="JZ23" i="2"/>
  <c r="KA23" i="2"/>
  <c r="KB23" i="2"/>
  <c r="KC23" i="2"/>
  <c r="KD23" i="2"/>
  <c r="KE23" i="2"/>
  <c r="KF23" i="2"/>
  <c r="KG23" i="2"/>
  <c r="KH23" i="2"/>
  <c r="KI23" i="2"/>
  <c r="KJ23" i="2"/>
  <c r="KK23" i="2"/>
  <c r="KL23" i="2"/>
  <c r="KM23" i="2"/>
  <c r="KN23" i="2"/>
  <c r="KO23" i="2"/>
  <c r="KP23" i="2"/>
  <c r="KQ23" i="2"/>
  <c r="KR23" i="2"/>
  <c r="KS23" i="2"/>
  <c r="KT23" i="2"/>
  <c r="JV24" i="2"/>
  <c r="JW24" i="2"/>
  <c r="JX24" i="2"/>
  <c r="JY24" i="2"/>
  <c r="JZ24" i="2"/>
  <c r="KA24" i="2"/>
  <c r="KB24" i="2"/>
  <c r="KC24" i="2"/>
  <c r="KD24" i="2"/>
  <c r="KE24" i="2"/>
  <c r="KF24" i="2"/>
  <c r="KG24" i="2"/>
  <c r="KH24" i="2"/>
  <c r="KI24" i="2"/>
  <c r="KJ24" i="2"/>
  <c r="KK24" i="2"/>
  <c r="KL24" i="2"/>
  <c r="KM24" i="2"/>
  <c r="KN24" i="2"/>
  <c r="KO24" i="2"/>
  <c r="KP24" i="2"/>
  <c r="KQ24" i="2"/>
  <c r="KR24" i="2"/>
  <c r="KS24" i="2"/>
  <c r="KT24" i="2"/>
  <c r="JV25" i="2"/>
  <c r="JW25" i="2"/>
  <c r="JX25" i="2"/>
  <c r="JY25" i="2"/>
  <c r="JZ25" i="2"/>
  <c r="KA25" i="2"/>
  <c r="KB25" i="2"/>
  <c r="KC25" i="2"/>
  <c r="KD25" i="2"/>
  <c r="KE25" i="2"/>
  <c r="KF25" i="2"/>
  <c r="KG25" i="2"/>
  <c r="KH25" i="2"/>
  <c r="KI25" i="2"/>
  <c r="KJ25" i="2"/>
  <c r="KK25" i="2"/>
  <c r="KL25" i="2"/>
  <c r="KM25" i="2"/>
  <c r="KN25" i="2"/>
  <c r="KO25" i="2"/>
  <c r="KP25" i="2"/>
  <c r="KQ25" i="2"/>
  <c r="KR25" i="2"/>
  <c r="KS25" i="2"/>
  <c r="KT25" i="2"/>
  <c r="JV26" i="2"/>
  <c r="JW26" i="2"/>
  <c r="JX26" i="2"/>
  <c r="JY26" i="2"/>
  <c r="JZ26" i="2"/>
  <c r="KA26" i="2"/>
  <c r="KB26" i="2"/>
  <c r="KC26" i="2"/>
  <c r="KD26" i="2"/>
  <c r="KE26" i="2"/>
  <c r="KF26" i="2"/>
  <c r="KG26" i="2"/>
  <c r="KH26" i="2"/>
  <c r="KI26" i="2"/>
  <c r="KJ26" i="2"/>
  <c r="KK26" i="2"/>
  <c r="KL26" i="2"/>
  <c r="KM26" i="2"/>
  <c r="KN26" i="2"/>
  <c r="KO26" i="2"/>
  <c r="KP26" i="2"/>
  <c r="KQ26" i="2"/>
  <c r="KR26" i="2"/>
  <c r="KS26" i="2"/>
  <c r="KT26" i="2"/>
  <c r="JV27" i="2"/>
  <c r="JW27" i="2"/>
  <c r="JX27" i="2"/>
  <c r="JY27" i="2"/>
  <c r="JZ27" i="2"/>
  <c r="KA27" i="2"/>
  <c r="KB27" i="2"/>
  <c r="KC27" i="2"/>
  <c r="KD27" i="2"/>
  <c r="KE27" i="2"/>
  <c r="KF27" i="2"/>
  <c r="KG27" i="2"/>
  <c r="KH27" i="2"/>
  <c r="KI27" i="2"/>
  <c r="KJ27" i="2"/>
  <c r="KK27" i="2"/>
  <c r="KL27" i="2"/>
  <c r="KM27" i="2"/>
  <c r="KN27" i="2"/>
  <c r="KO27" i="2"/>
  <c r="KP27" i="2"/>
  <c r="KQ27" i="2"/>
  <c r="KR27" i="2"/>
  <c r="KS27" i="2"/>
  <c r="KT27" i="2"/>
  <c r="JV28" i="2"/>
  <c r="JW28" i="2"/>
  <c r="JX28" i="2"/>
  <c r="JY28" i="2"/>
  <c r="JZ28" i="2"/>
  <c r="KA28" i="2"/>
  <c r="KB28" i="2"/>
  <c r="KC28" i="2"/>
  <c r="KD28" i="2"/>
  <c r="KE28" i="2"/>
  <c r="KF28" i="2"/>
  <c r="KG28" i="2"/>
  <c r="KH28" i="2"/>
  <c r="KI28" i="2"/>
  <c r="KJ28" i="2"/>
  <c r="KK28" i="2"/>
  <c r="KL28" i="2"/>
  <c r="KM28" i="2"/>
  <c r="KN28" i="2"/>
  <c r="KO28" i="2"/>
  <c r="KP28" i="2"/>
  <c r="KQ28" i="2"/>
  <c r="KR28" i="2"/>
  <c r="KS28" i="2"/>
  <c r="KT28" i="2"/>
  <c r="JV29" i="2"/>
  <c r="JW29" i="2"/>
  <c r="JX29" i="2"/>
  <c r="JY29" i="2"/>
  <c r="JZ29" i="2"/>
  <c r="KA29" i="2"/>
  <c r="KB29" i="2"/>
  <c r="KC29" i="2"/>
  <c r="KD29" i="2"/>
  <c r="KE29" i="2"/>
  <c r="KF29" i="2"/>
  <c r="KG29" i="2"/>
  <c r="KH29" i="2"/>
  <c r="KI29" i="2"/>
  <c r="KJ29" i="2"/>
  <c r="KK29" i="2"/>
  <c r="KL29" i="2"/>
  <c r="KM29" i="2"/>
  <c r="KN29" i="2"/>
  <c r="KO29" i="2"/>
  <c r="KP29" i="2"/>
  <c r="KQ29" i="2"/>
  <c r="KR29" i="2"/>
  <c r="KS29" i="2"/>
  <c r="KT29" i="2"/>
  <c r="JV30" i="2"/>
  <c r="JW30" i="2"/>
  <c r="JX30" i="2"/>
  <c r="JY30" i="2"/>
  <c r="JZ30" i="2"/>
  <c r="KA30" i="2"/>
  <c r="KB30" i="2"/>
  <c r="KC30" i="2"/>
  <c r="KD30" i="2"/>
  <c r="KE30" i="2"/>
  <c r="KF30" i="2"/>
  <c r="KG30" i="2"/>
  <c r="KH30" i="2"/>
  <c r="KI30" i="2"/>
  <c r="KJ30" i="2"/>
  <c r="KK30" i="2"/>
  <c r="KL30" i="2"/>
  <c r="KM30" i="2"/>
  <c r="KN30" i="2"/>
  <c r="KO30" i="2"/>
  <c r="KP30" i="2"/>
  <c r="KQ30" i="2"/>
  <c r="KR30" i="2"/>
  <c r="KS30" i="2"/>
  <c r="KT30" i="2"/>
  <c r="JV31" i="2"/>
  <c r="JW31" i="2"/>
  <c r="JX31" i="2"/>
  <c r="JY31" i="2"/>
  <c r="JZ31" i="2"/>
  <c r="KA31" i="2"/>
  <c r="KB31" i="2"/>
  <c r="KC31" i="2"/>
  <c r="KD31" i="2"/>
  <c r="KE31" i="2"/>
  <c r="KF31" i="2"/>
  <c r="KG31" i="2"/>
  <c r="KH31" i="2"/>
  <c r="KI31" i="2"/>
  <c r="KJ31" i="2"/>
  <c r="KK31" i="2"/>
  <c r="KL31" i="2"/>
  <c r="KM31" i="2"/>
  <c r="KN31" i="2"/>
  <c r="KO31" i="2"/>
  <c r="KP31" i="2"/>
  <c r="KQ31" i="2"/>
  <c r="KR31" i="2"/>
  <c r="KS31" i="2"/>
  <c r="KT31" i="2"/>
  <c r="JV32" i="2"/>
  <c r="JW32" i="2"/>
  <c r="JX32" i="2"/>
  <c r="JY32" i="2"/>
  <c r="JZ32" i="2"/>
  <c r="KA32" i="2"/>
  <c r="KB32" i="2"/>
  <c r="KC32" i="2"/>
  <c r="KD32" i="2"/>
  <c r="KE32" i="2"/>
  <c r="KF32" i="2"/>
  <c r="KG32" i="2"/>
  <c r="KH32" i="2"/>
  <c r="KI32" i="2"/>
  <c r="KJ32" i="2"/>
  <c r="KK32" i="2"/>
  <c r="KL32" i="2"/>
  <c r="KM32" i="2"/>
  <c r="KN32" i="2"/>
  <c r="KO32" i="2"/>
  <c r="KP32" i="2"/>
  <c r="KQ32" i="2"/>
  <c r="KR32" i="2"/>
  <c r="KS32" i="2"/>
  <c r="KT32" i="2"/>
  <c r="JV33" i="2"/>
  <c r="JW33" i="2"/>
  <c r="JX33" i="2"/>
  <c r="JY33" i="2"/>
  <c r="JZ33" i="2"/>
  <c r="KA33" i="2"/>
  <c r="KB33" i="2"/>
  <c r="KC33" i="2"/>
  <c r="KD33" i="2"/>
  <c r="KE33" i="2"/>
  <c r="KF33" i="2"/>
  <c r="KG33" i="2"/>
  <c r="KH33" i="2"/>
  <c r="KI33" i="2"/>
  <c r="KJ33" i="2"/>
  <c r="KK33" i="2"/>
  <c r="KL33" i="2"/>
  <c r="KM33" i="2"/>
  <c r="KN33" i="2"/>
  <c r="KO33" i="2"/>
  <c r="KP33" i="2"/>
  <c r="KQ33" i="2"/>
  <c r="KR33" i="2"/>
  <c r="KS33" i="2"/>
  <c r="KT33" i="2"/>
  <c r="JV34" i="2"/>
  <c r="JW34" i="2"/>
  <c r="JX34" i="2"/>
  <c r="JY34" i="2"/>
  <c r="JZ34" i="2"/>
  <c r="KA34" i="2"/>
  <c r="KB34" i="2"/>
  <c r="KC34" i="2"/>
  <c r="KD34" i="2"/>
  <c r="KE34" i="2"/>
  <c r="KF34" i="2"/>
  <c r="KG34" i="2"/>
  <c r="KH34" i="2"/>
  <c r="KI34" i="2"/>
  <c r="KJ34" i="2"/>
  <c r="KK34" i="2"/>
  <c r="KL34" i="2"/>
  <c r="KM34" i="2"/>
  <c r="KN34" i="2"/>
  <c r="KO34" i="2"/>
  <c r="KP34" i="2"/>
  <c r="KQ34" i="2"/>
  <c r="KR34" i="2"/>
  <c r="KS34" i="2"/>
  <c r="KT34" i="2"/>
  <c r="JV35" i="2"/>
  <c r="JW35" i="2"/>
  <c r="JX35" i="2"/>
  <c r="JY35" i="2"/>
  <c r="JZ35" i="2"/>
  <c r="KA35" i="2"/>
  <c r="KB35" i="2"/>
  <c r="KC35" i="2"/>
  <c r="KD35" i="2"/>
  <c r="KE35" i="2"/>
  <c r="KF35" i="2"/>
  <c r="KG35" i="2"/>
  <c r="KH35" i="2"/>
  <c r="KI35" i="2"/>
  <c r="KJ35" i="2"/>
  <c r="KK35" i="2"/>
  <c r="KL35" i="2"/>
  <c r="KM35" i="2"/>
  <c r="KN35" i="2"/>
  <c r="KO35" i="2"/>
  <c r="KP35" i="2"/>
  <c r="KQ35" i="2"/>
  <c r="KR35" i="2"/>
  <c r="KS35" i="2"/>
  <c r="KT35" i="2"/>
  <c r="JV36" i="2"/>
  <c r="JW36" i="2"/>
  <c r="JX36" i="2"/>
  <c r="JY36" i="2"/>
  <c r="JZ36" i="2"/>
  <c r="KA36" i="2"/>
  <c r="KB36" i="2"/>
  <c r="KC36" i="2"/>
  <c r="KD36" i="2"/>
  <c r="KE36" i="2"/>
  <c r="KF36" i="2"/>
  <c r="KG36" i="2"/>
  <c r="KH36" i="2"/>
  <c r="KI36" i="2"/>
  <c r="KJ36" i="2"/>
  <c r="KK36" i="2"/>
  <c r="KL36" i="2"/>
  <c r="KM36" i="2"/>
  <c r="KN36" i="2"/>
  <c r="KO36" i="2"/>
  <c r="KP36" i="2"/>
  <c r="KQ36" i="2"/>
  <c r="KR36" i="2"/>
  <c r="KS36" i="2"/>
  <c r="KT36" i="2"/>
  <c r="JV37" i="2"/>
  <c r="JW37" i="2"/>
  <c r="JX37" i="2"/>
  <c r="JY37" i="2"/>
  <c r="JZ37" i="2"/>
  <c r="KA37" i="2"/>
  <c r="KB37" i="2"/>
  <c r="KC37" i="2"/>
  <c r="KD37" i="2"/>
  <c r="KE37" i="2"/>
  <c r="KF37" i="2"/>
  <c r="KG37" i="2"/>
  <c r="KH37" i="2"/>
  <c r="KI37" i="2"/>
  <c r="KJ37" i="2"/>
  <c r="KK37" i="2"/>
  <c r="KL37" i="2"/>
  <c r="KM37" i="2"/>
  <c r="KN37" i="2"/>
  <c r="KO37" i="2"/>
  <c r="KP37" i="2"/>
  <c r="KQ37" i="2"/>
  <c r="KR37" i="2"/>
  <c r="KS37" i="2"/>
  <c r="KT37" i="2"/>
  <c r="JV38" i="2"/>
  <c r="JW38" i="2"/>
  <c r="JX38" i="2"/>
  <c r="JY38" i="2"/>
  <c r="JZ38" i="2"/>
  <c r="KA38" i="2"/>
  <c r="KB38" i="2"/>
  <c r="KC38" i="2"/>
  <c r="KD38" i="2"/>
  <c r="KE38" i="2"/>
  <c r="KF38" i="2"/>
  <c r="KG38" i="2"/>
  <c r="KH38" i="2"/>
  <c r="KI38" i="2"/>
  <c r="KJ38" i="2"/>
  <c r="KK38" i="2"/>
  <c r="KL38" i="2"/>
  <c r="KM38" i="2"/>
  <c r="KN38" i="2"/>
  <c r="KO38" i="2"/>
  <c r="KP38" i="2"/>
  <c r="KQ38" i="2"/>
  <c r="KR38" i="2"/>
  <c r="KS38" i="2"/>
  <c r="KT38" i="2"/>
  <c r="JV39" i="2"/>
  <c r="JW39" i="2"/>
  <c r="JX39" i="2"/>
  <c r="JY39" i="2"/>
  <c r="JZ39" i="2"/>
  <c r="KA39" i="2"/>
  <c r="KB39" i="2"/>
  <c r="KC39" i="2"/>
  <c r="KD39" i="2"/>
  <c r="KE39" i="2"/>
  <c r="KF39" i="2"/>
  <c r="KG39" i="2"/>
  <c r="KH39" i="2"/>
  <c r="KI39" i="2"/>
  <c r="KJ39" i="2"/>
  <c r="KK39" i="2"/>
  <c r="KL39" i="2"/>
  <c r="KM39" i="2"/>
  <c r="KN39" i="2"/>
  <c r="KO39" i="2"/>
  <c r="KP39" i="2"/>
  <c r="KQ39" i="2"/>
  <c r="KR39" i="2"/>
  <c r="KS39" i="2"/>
  <c r="KT39" i="2"/>
  <c r="JV40" i="2"/>
  <c r="JW40" i="2"/>
  <c r="JX40" i="2"/>
  <c r="JY40" i="2"/>
  <c r="JZ40" i="2"/>
  <c r="KA40" i="2"/>
  <c r="KB40" i="2"/>
  <c r="KC40" i="2"/>
  <c r="KD40" i="2"/>
  <c r="KE40" i="2"/>
  <c r="KF40" i="2"/>
  <c r="KG40" i="2"/>
  <c r="KH40" i="2"/>
  <c r="KI40" i="2"/>
  <c r="KJ40" i="2"/>
  <c r="KK40" i="2"/>
  <c r="KL40" i="2"/>
  <c r="KM40" i="2"/>
  <c r="KN40" i="2"/>
  <c r="KO40" i="2"/>
  <c r="KP40" i="2"/>
  <c r="KQ40" i="2"/>
  <c r="KR40" i="2"/>
  <c r="KS40" i="2"/>
  <c r="KT40" i="2"/>
  <c r="JV41" i="2"/>
  <c r="JW41" i="2"/>
  <c r="JX41" i="2"/>
  <c r="JY41" i="2"/>
  <c r="JZ41" i="2"/>
  <c r="KA41" i="2"/>
  <c r="KB41" i="2"/>
  <c r="KC41" i="2"/>
  <c r="KD41" i="2"/>
  <c r="KE41" i="2"/>
  <c r="KF41" i="2"/>
  <c r="KG41" i="2"/>
  <c r="KH41" i="2"/>
  <c r="KI41" i="2"/>
  <c r="KJ41" i="2"/>
  <c r="KK41" i="2"/>
  <c r="KL41" i="2"/>
  <c r="KM41" i="2"/>
  <c r="KN41" i="2"/>
  <c r="KO41" i="2"/>
  <c r="KP41" i="2"/>
  <c r="KQ41" i="2"/>
  <c r="KR41" i="2"/>
  <c r="KS41" i="2"/>
  <c r="KT41" i="2"/>
  <c r="JV42" i="2"/>
  <c r="JW42" i="2"/>
  <c r="JX42" i="2"/>
  <c r="JY42" i="2"/>
  <c r="JZ42" i="2"/>
  <c r="KA42" i="2"/>
  <c r="KB42" i="2"/>
  <c r="KC42" i="2"/>
  <c r="KD42" i="2"/>
  <c r="KE42" i="2"/>
  <c r="KF42" i="2"/>
  <c r="KG42" i="2"/>
  <c r="KH42" i="2"/>
  <c r="KI42" i="2"/>
  <c r="KJ42" i="2"/>
  <c r="KK42" i="2"/>
  <c r="KL42" i="2"/>
  <c r="KM42" i="2"/>
  <c r="KN42" i="2"/>
  <c r="KO42" i="2"/>
  <c r="KP42" i="2"/>
  <c r="KQ42" i="2"/>
  <c r="KR42" i="2"/>
  <c r="KS42" i="2"/>
  <c r="KT42" i="2"/>
  <c r="JV43" i="2"/>
  <c r="JW43" i="2"/>
  <c r="JX43" i="2"/>
  <c r="JY43" i="2"/>
  <c r="JZ43" i="2"/>
  <c r="KA43" i="2"/>
  <c r="KB43" i="2"/>
  <c r="KC43" i="2"/>
  <c r="KD43" i="2"/>
  <c r="KE43" i="2"/>
  <c r="KF43" i="2"/>
  <c r="KG43" i="2"/>
  <c r="KH43" i="2"/>
  <c r="KI43" i="2"/>
  <c r="KJ43" i="2"/>
  <c r="KK43" i="2"/>
  <c r="KL43" i="2"/>
  <c r="KM43" i="2"/>
  <c r="KN43" i="2"/>
  <c r="KO43" i="2"/>
  <c r="KP43" i="2"/>
  <c r="KQ43" i="2"/>
  <c r="KR43" i="2"/>
  <c r="KS43" i="2"/>
  <c r="KT43" i="2"/>
  <c r="JV44" i="2"/>
  <c r="JW44" i="2"/>
  <c r="JX44" i="2"/>
  <c r="JY44" i="2"/>
  <c r="JZ44" i="2"/>
  <c r="KA44" i="2"/>
  <c r="KB44" i="2"/>
  <c r="KC44" i="2"/>
  <c r="KD44" i="2"/>
  <c r="KE44" i="2"/>
  <c r="KF44" i="2"/>
  <c r="KG44" i="2"/>
  <c r="KH44" i="2"/>
  <c r="KI44" i="2"/>
  <c r="KJ44" i="2"/>
  <c r="KK44" i="2"/>
  <c r="KL44" i="2"/>
  <c r="KM44" i="2"/>
  <c r="KN44" i="2"/>
  <c r="KO44" i="2"/>
  <c r="KP44" i="2"/>
  <c r="KQ44" i="2"/>
  <c r="KR44" i="2"/>
  <c r="KS44" i="2"/>
  <c r="KT44" i="2"/>
  <c r="JV45" i="2"/>
  <c r="JW45" i="2"/>
  <c r="JX45" i="2"/>
  <c r="JY45" i="2"/>
  <c r="JZ45" i="2"/>
  <c r="KA45" i="2"/>
  <c r="KB45" i="2"/>
  <c r="KC45" i="2"/>
  <c r="KD45" i="2"/>
  <c r="KE45" i="2"/>
  <c r="KF45" i="2"/>
  <c r="KG45" i="2"/>
  <c r="KH45" i="2"/>
  <c r="KI45" i="2"/>
  <c r="KJ45" i="2"/>
  <c r="KK45" i="2"/>
  <c r="KL45" i="2"/>
  <c r="KM45" i="2"/>
  <c r="KN45" i="2"/>
  <c r="KO45" i="2"/>
  <c r="KP45" i="2"/>
  <c r="KQ45" i="2"/>
  <c r="KR45" i="2"/>
  <c r="KS45" i="2"/>
  <c r="KT45" i="2"/>
  <c r="JV46" i="2"/>
  <c r="JW46" i="2"/>
  <c r="JX46" i="2"/>
  <c r="JY46" i="2"/>
  <c r="JZ46" i="2"/>
  <c r="KA46" i="2"/>
  <c r="KB46" i="2"/>
  <c r="KC46" i="2"/>
  <c r="KD46" i="2"/>
  <c r="KE46" i="2"/>
  <c r="KF46" i="2"/>
  <c r="KG46" i="2"/>
  <c r="KH46" i="2"/>
  <c r="KI46" i="2"/>
  <c r="KJ46" i="2"/>
  <c r="KK46" i="2"/>
  <c r="KL46" i="2"/>
  <c r="KM46" i="2"/>
  <c r="KN46" i="2"/>
  <c r="KO46" i="2"/>
  <c r="KP46" i="2"/>
  <c r="KQ46" i="2"/>
  <c r="KR46" i="2"/>
  <c r="KS46" i="2"/>
  <c r="KT46" i="2"/>
  <c r="JV47" i="2"/>
  <c r="JW47" i="2"/>
  <c r="JX47" i="2"/>
  <c r="JY47" i="2"/>
  <c r="JZ47" i="2"/>
  <c r="KA47" i="2"/>
  <c r="KB47" i="2"/>
  <c r="KC47" i="2"/>
  <c r="KD47" i="2"/>
  <c r="KE47" i="2"/>
  <c r="KF47" i="2"/>
  <c r="KG47" i="2"/>
  <c r="KH47" i="2"/>
  <c r="KI47" i="2"/>
  <c r="KJ47" i="2"/>
  <c r="KK47" i="2"/>
  <c r="KL47" i="2"/>
  <c r="KM47" i="2"/>
  <c r="KN47" i="2"/>
  <c r="KO47" i="2"/>
  <c r="KP47" i="2"/>
  <c r="KQ47" i="2"/>
  <c r="KR47" i="2"/>
  <c r="KS47" i="2"/>
  <c r="KT47" i="2"/>
  <c r="JV48" i="2"/>
  <c r="JW48" i="2"/>
  <c r="JX48" i="2"/>
  <c r="JY48" i="2"/>
  <c r="JZ48" i="2"/>
  <c r="KA48" i="2"/>
  <c r="KB48" i="2"/>
  <c r="KC48" i="2"/>
  <c r="KD48" i="2"/>
  <c r="KE48" i="2"/>
  <c r="KF48" i="2"/>
  <c r="KG48" i="2"/>
  <c r="KH48" i="2"/>
  <c r="KI48" i="2"/>
  <c r="KJ48" i="2"/>
  <c r="KK48" i="2"/>
  <c r="KL48" i="2"/>
  <c r="KM48" i="2"/>
  <c r="KN48" i="2"/>
  <c r="KO48" i="2"/>
  <c r="KP48" i="2"/>
  <c r="KQ48" i="2"/>
  <c r="KR48" i="2"/>
  <c r="KS48" i="2"/>
  <c r="KT48" i="2"/>
  <c r="JV49" i="2"/>
  <c r="JW49" i="2"/>
  <c r="JX49" i="2"/>
  <c r="JY49" i="2"/>
  <c r="JZ49" i="2"/>
  <c r="KA49" i="2"/>
  <c r="KB49" i="2"/>
  <c r="KC49" i="2"/>
  <c r="KD49" i="2"/>
  <c r="KE49" i="2"/>
  <c r="KF49" i="2"/>
  <c r="KG49" i="2"/>
  <c r="KH49" i="2"/>
  <c r="KI49" i="2"/>
  <c r="KJ49" i="2"/>
  <c r="KK49" i="2"/>
  <c r="KL49" i="2"/>
  <c r="KM49" i="2"/>
  <c r="KN49" i="2"/>
  <c r="KO49" i="2"/>
  <c r="KP49" i="2"/>
  <c r="KQ49" i="2"/>
  <c r="KR49" i="2"/>
  <c r="KS49" i="2"/>
  <c r="KT49" i="2"/>
  <c r="JV50" i="2"/>
  <c r="JW50" i="2"/>
  <c r="JX50" i="2"/>
  <c r="JY50" i="2"/>
  <c r="JZ50" i="2"/>
  <c r="KA50" i="2"/>
  <c r="KB50" i="2"/>
  <c r="KC50" i="2"/>
  <c r="KD50" i="2"/>
  <c r="KE50" i="2"/>
  <c r="KF50" i="2"/>
  <c r="KG50" i="2"/>
  <c r="KH50" i="2"/>
  <c r="KI50" i="2"/>
  <c r="KJ50" i="2"/>
  <c r="KK50" i="2"/>
  <c r="KL50" i="2"/>
  <c r="KM50" i="2"/>
  <c r="KN50" i="2"/>
  <c r="KO50" i="2"/>
  <c r="KP50" i="2"/>
  <c r="KQ50" i="2"/>
  <c r="KR50" i="2"/>
  <c r="KS50" i="2"/>
  <c r="KT50" i="2"/>
  <c r="JV51" i="2"/>
  <c r="JW51" i="2"/>
  <c r="JX51" i="2"/>
  <c r="JY51" i="2"/>
  <c r="JZ51" i="2"/>
  <c r="KA51" i="2"/>
  <c r="KB51" i="2"/>
  <c r="KC51" i="2"/>
  <c r="KD51" i="2"/>
  <c r="KE51" i="2"/>
  <c r="KF51" i="2"/>
  <c r="KG51" i="2"/>
  <c r="KH51" i="2"/>
  <c r="KI51" i="2"/>
  <c r="KJ51" i="2"/>
  <c r="KK51" i="2"/>
  <c r="KL51" i="2"/>
  <c r="KM51" i="2"/>
  <c r="KN51" i="2"/>
  <c r="KO51" i="2"/>
  <c r="KP51" i="2"/>
  <c r="KQ51" i="2"/>
  <c r="KR51" i="2"/>
  <c r="KS51" i="2"/>
  <c r="KT51" i="2"/>
  <c r="JV52" i="2"/>
  <c r="JW52" i="2"/>
  <c r="JX52" i="2"/>
  <c r="JY52" i="2"/>
  <c r="JZ52" i="2"/>
  <c r="KA52" i="2"/>
  <c r="KB52" i="2"/>
  <c r="KC52" i="2"/>
  <c r="KD52" i="2"/>
  <c r="KE52" i="2"/>
  <c r="KF52" i="2"/>
  <c r="KG52" i="2"/>
  <c r="KH52" i="2"/>
  <c r="KI52" i="2"/>
  <c r="KJ52" i="2"/>
  <c r="KK52" i="2"/>
  <c r="KL52" i="2"/>
  <c r="KM52" i="2"/>
  <c r="KN52" i="2"/>
  <c r="KO52" i="2"/>
  <c r="KP52" i="2"/>
  <c r="KQ52" i="2"/>
  <c r="KR52" i="2"/>
  <c r="KS52" i="2"/>
  <c r="KT52" i="2"/>
  <c r="JV53" i="2"/>
  <c r="JW53" i="2"/>
  <c r="JX53" i="2"/>
  <c r="JY53" i="2"/>
  <c r="JZ53" i="2"/>
  <c r="KA53" i="2"/>
  <c r="KB53" i="2"/>
  <c r="KC53" i="2"/>
  <c r="KD53" i="2"/>
  <c r="KE53" i="2"/>
  <c r="KF53" i="2"/>
  <c r="KG53" i="2"/>
  <c r="KH53" i="2"/>
  <c r="KI53" i="2"/>
  <c r="KJ53" i="2"/>
  <c r="KK53" i="2"/>
  <c r="KL53" i="2"/>
  <c r="KM53" i="2"/>
  <c r="KN53" i="2"/>
  <c r="KO53" i="2"/>
  <c r="KP53" i="2"/>
  <c r="KQ53" i="2"/>
  <c r="KR53" i="2"/>
  <c r="KS53" i="2"/>
  <c r="KT53" i="2"/>
  <c r="JV54" i="2"/>
  <c r="JW54" i="2"/>
  <c r="JX54" i="2"/>
  <c r="JY54" i="2"/>
  <c r="JZ54" i="2"/>
  <c r="KA54" i="2"/>
  <c r="KB54" i="2"/>
  <c r="KC54" i="2"/>
  <c r="KD54" i="2"/>
  <c r="KE54" i="2"/>
  <c r="KF54" i="2"/>
  <c r="KG54" i="2"/>
  <c r="KH54" i="2"/>
  <c r="KI54" i="2"/>
  <c r="KJ54" i="2"/>
  <c r="KK54" i="2"/>
  <c r="KL54" i="2"/>
  <c r="KM54" i="2"/>
  <c r="KN54" i="2"/>
  <c r="KO54" i="2"/>
  <c r="KP54" i="2"/>
  <c r="KQ54" i="2"/>
  <c r="KR54" i="2"/>
  <c r="KS54" i="2"/>
  <c r="KT54" i="2"/>
  <c r="JV55" i="2"/>
  <c r="JW55" i="2"/>
  <c r="JX55" i="2"/>
  <c r="JY55" i="2"/>
  <c r="JZ55" i="2"/>
  <c r="KA55" i="2"/>
  <c r="KB55" i="2"/>
  <c r="KC55" i="2"/>
  <c r="KD55" i="2"/>
  <c r="KE55" i="2"/>
  <c r="KF55" i="2"/>
  <c r="KG55" i="2"/>
  <c r="KH55" i="2"/>
  <c r="KI55" i="2"/>
  <c r="KJ55" i="2"/>
  <c r="KK55" i="2"/>
  <c r="KL55" i="2"/>
  <c r="KM55" i="2"/>
  <c r="KN55" i="2"/>
  <c r="KO55" i="2"/>
  <c r="KP55" i="2"/>
  <c r="KQ55" i="2"/>
  <c r="KR55" i="2"/>
  <c r="KS55" i="2"/>
  <c r="KT55" i="2"/>
  <c r="JV56" i="2"/>
  <c r="JW56" i="2"/>
  <c r="JX56" i="2"/>
  <c r="JY56" i="2"/>
  <c r="JZ56" i="2"/>
  <c r="KA56" i="2"/>
  <c r="KB56" i="2"/>
  <c r="KC56" i="2"/>
  <c r="KD56" i="2"/>
  <c r="KE56" i="2"/>
  <c r="KF56" i="2"/>
  <c r="KG56" i="2"/>
  <c r="KH56" i="2"/>
  <c r="KI56" i="2"/>
  <c r="KJ56" i="2"/>
  <c r="KK56" i="2"/>
  <c r="KL56" i="2"/>
  <c r="KM56" i="2"/>
  <c r="KN56" i="2"/>
  <c r="KO56" i="2"/>
  <c r="KP56" i="2"/>
  <c r="KQ56" i="2"/>
  <c r="KR56" i="2"/>
  <c r="KS56" i="2"/>
  <c r="KT56" i="2"/>
  <c r="JV57" i="2"/>
  <c r="JW57" i="2"/>
  <c r="JX57" i="2"/>
  <c r="JY57" i="2"/>
  <c r="JZ57" i="2"/>
  <c r="KA57" i="2"/>
  <c r="KB57" i="2"/>
  <c r="KC57" i="2"/>
  <c r="KD57" i="2"/>
  <c r="KE57" i="2"/>
  <c r="KF57" i="2"/>
  <c r="KG57" i="2"/>
  <c r="KH57" i="2"/>
  <c r="KI57" i="2"/>
  <c r="KJ57" i="2"/>
  <c r="KK57" i="2"/>
  <c r="KL57" i="2"/>
  <c r="KM57" i="2"/>
  <c r="KN57" i="2"/>
  <c r="KO57" i="2"/>
  <c r="KP57" i="2"/>
  <c r="KQ57" i="2"/>
  <c r="KR57" i="2"/>
  <c r="KS57" i="2"/>
  <c r="KT57" i="2"/>
  <c r="JV58" i="2"/>
  <c r="JW58" i="2"/>
  <c r="JX58" i="2"/>
  <c r="JY58" i="2"/>
  <c r="JZ58" i="2"/>
  <c r="KA58" i="2"/>
  <c r="KB58" i="2"/>
  <c r="KC58" i="2"/>
  <c r="KD58" i="2"/>
  <c r="KE58" i="2"/>
  <c r="KF58" i="2"/>
  <c r="KG58" i="2"/>
  <c r="KH58" i="2"/>
  <c r="KI58" i="2"/>
  <c r="KJ58" i="2"/>
  <c r="KK58" i="2"/>
  <c r="KL58" i="2"/>
  <c r="KM58" i="2"/>
  <c r="KN58" i="2"/>
  <c r="KO58" i="2"/>
  <c r="KP58" i="2"/>
  <c r="KQ58" i="2"/>
  <c r="KR58" i="2"/>
  <c r="KS58" i="2"/>
  <c r="KT58" i="2"/>
  <c r="JV59" i="2"/>
  <c r="JW59" i="2"/>
  <c r="JX59" i="2"/>
  <c r="JY59" i="2"/>
  <c r="JZ59" i="2"/>
  <c r="KA59" i="2"/>
  <c r="KB59" i="2"/>
  <c r="KC59" i="2"/>
  <c r="KD59" i="2"/>
  <c r="KE59" i="2"/>
  <c r="KF59" i="2"/>
  <c r="KG59" i="2"/>
  <c r="KH59" i="2"/>
  <c r="KI59" i="2"/>
  <c r="KJ59" i="2"/>
  <c r="KK59" i="2"/>
  <c r="KL59" i="2"/>
  <c r="KM59" i="2"/>
  <c r="KN59" i="2"/>
  <c r="KO59" i="2"/>
  <c r="KP59" i="2"/>
  <c r="KQ59" i="2"/>
  <c r="KR59" i="2"/>
  <c r="KS59" i="2"/>
  <c r="KT59" i="2"/>
  <c r="JV60" i="2"/>
  <c r="JW60" i="2"/>
  <c r="JX60" i="2"/>
  <c r="JY60" i="2"/>
  <c r="JZ60" i="2"/>
  <c r="KA60" i="2"/>
  <c r="KB60" i="2"/>
  <c r="KC60" i="2"/>
  <c r="KD60" i="2"/>
  <c r="KE60" i="2"/>
  <c r="KF60" i="2"/>
  <c r="KG60" i="2"/>
  <c r="KH60" i="2"/>
  <c r="KI60" i="2"/>
  <c r="KJ60" i="2"/>
  <c r="KK60" i="2"/>
  <c r="KL60" i="2"/>
  <c r="KM60" i="2"/>
  <c r="KN60" i="2"/>
  <c r="KO60" i="2"/>
  <c r="KP60" i="2"/>
  <c r="KQ60" i="2"/>
  <c r="KR60" i="2"/>
  <c r="KS60" i="2"/>
  <c r="KT60" i="2"/>
  <c r="JV61" i="2"/>
  <c r="JW61" i="2"/>
  <c r="JX61" i="2"/>
  <c r="JY61" i="2"/>
  <c r="JZ61" i="2"/>
  <c r="KA61" i="2"/>
  <c r="KB61" i="2"/>
  <c r="KC61" i="2"/>
  <c r="KD61" i="2"/>
  <c r="KE61" i="2"/>
  <c r="KF61" i="2"/>
  <c r="KG61" i="2"/>
  <c r="KH61" i="2"/>
  <c r="KI61" i="2"/>
  <c r="KJ61" i="2"/>
  <c r="KK61" i="2"/>
  <c r="KL61" i="2"/>
  <c r="KM61" i="2"/>
  <c r="KN61" i="2"/>
  <c r="KO61" i="2"/>
  <c r="KP61" i="2"/>
  <c r="KQ61" i="2"/>
  <c r="KR61" i="2"/>
  <c r="KS61" i="2"/>
  <c r="KT61" i="2"/>
  <c r="JV62" i="2"/>
  <c r="JW62" i="2"/>
  <c r="JX62" i="2"/>
  <c r="JY62" i="2"/>
  <c r="JZ62" i="2"/>
  <c r="KA62" i="2"/>
  <c r="KB62" i="2"/>
  <c r="KC62" i="2"/>
  <c r="KD62" i="2"/>
  <c r="KE62" i="2"/>
  <c r="KF62" i="2"/>
  <c r="KG62" i="2"/>
  <c r="KH62" i="2"/>
  <c r="KI62" i="2"/>
  <c r="KJ62" i="2"/>
  <c r="KK62" i="2"/>
  <c r="KL62" i="2"/>
  <c r="KM62" i="2"/>
  <c r="KN62" i="2"/>
  <c r="KO62" i="2"/>
  <c r="KP62" i="2"/>
  <c r="KQ62" i="2"/>
  <c r="KR62" i="2"/>
  <c r="KS62" i="2"/>
  <c r="KT62" i="2"/>
  <c r="JV63" i="2"/>
  <c r="JW63" i="2"/>
  <c r="JX63" i="2"/>
  <c r="JY63" i="2"/>
  <c r="JZ63" i="2"/>
  <c r="KA63" i="2"/>
  <c r="KB63" i="2"/>
  <c r="KC63" i="2"/>
  <c r="KD63" i="2"/>
  <c r="KE63" i="2"/>
  <c r="KF63" i="2"/>
  <c r="KG63" i="2"/>
  <c r="KH63" i="2"/>
  <c r="KI63" i="2"/>
  <c r="KJ63" i="2"/>
  <c r="KK63" i="2"/>
  <c r="KL63" i="2"/>
  <c r="KM63" i="2"/>
  <c r="KN63" i="2"/>
  <c r="KO63" i="2"/>
  <c r="KP63" i="2"/>
  <c r="KQ63" i="2"/>
  <c r="KR63" i="2"/>
  <c r="KS63" i="2"/>
  <c r="KT63" i="2"/>
  <c r="IV64" i="2"/>
  <c r="IW64" i="2"/>
  <c r="IX64" i="2"/>
  <c r="IY64" i="2"/>
  <c r="IZ64" i="2"/>
  <c r="JA64" i="2"/>
  <c r="JB64" i="2"/>
  <c r="JC64" i="2"/>
  <c r="JD64" i="2"/>
  <c r="JE64" i="2"/>
  <c r="JF64" i="2"/>
  <c r="JG64" i="2"/>
  <c r="JH64" i="2"/>
  <c r="JI64" i="2"/>
  <c r="JJ64" i="2"/>
  <c r="JK64" i="2"/>
  <c r="JL64" i="2"/>
  <c r="JM64" i="2"/>
  <c r="JN64" i="2"/>
  <c r="JO64" i="2"/>
  <c r="JP64" i="2"/>
  <c r="JQ64" i="2"/>
  <c r="JR64" i="2"/>
  <c r="JS64" i="2"/>
  <c r="JT64" i="2"/>
  <c r="IV65" i="2"/>
  <c r="IW65" i="2"/>
  <c r="IX65" i="2"/>
  <c r="IY65" i="2"/>
  <c r="IZ65" i="2"/>
  <c r="JA65" i="2"/>
  <c r="JB65" i="2"/>
  <c r="JC65" i="2"/>
  <c r="JD65" i="2"/>
  <c r="JE65" i="2"/>
  <c r="JF65" i="2"/>
  <c r="JG65" i="2"/>
  <c r="JH65" i="2"/>
  <c r="JI65" i="2"/>
  <c r="JJ65" i="2"/>
  <c r="JK65" i="2"/>
  <c r="JL65" i="2"/>
  <c r="JM65" i="2"/>
  <c r="JN65" i="2"/>
  <c r="JO65" i="2"/>
  <c r="JP65" i="2"/>
  <c r="JQ65" i="2"/>
  <c r="JR65" i="2"/>
  <c r="JS65" i="2"/>
  <c r="JT65" i="2"/>
  <c r="IV66" i="2"/>
  <c r="IW66" i="2"/>
  <c r="IX66" i="2"/>
  <c r="IY66" i="2"/>
  <c r="IZ66" i="2"/>
  <c r="JA66" i="2"/>
  <c r="JB66" i="2"/>
  <c r="JC66" i="2"/>
  <c r="JD66" i="2"/>
  <c r="JE66" i="2"/>
  <c r="JF66" i="2"/>
  <c r="JG66" i="2"/>
  <c r="JH66" i="2"/>
  <c r="JI66" i="2"/>
  <c r="JJ66" i="2"/>
  <c r="JK66" i="2"/>
  <c r="JL66" i="2"/>
  <c r="JM66" i="2"/>
  <c r="JN66" i="2"/>
  <c r="JO66" i="2"/>
  <c r="JP66" i="2"/>
  <c r="JQ66" i="2"/>
  <c r="JR66" i="2"/>
  <c r="JS66" i="2"/>
  <c r="JT66" i="2"/>
  <c r="IV67" i="2"/>
  <c r="IW67" i="2"/>
  <c r="IX67" i="2"/>
  <c r="IY67" i="2"/>
  <c r="IZ67" i="2"/>
  <c r="JA67" i="2"/>
  <c r="JB67" i="2"/>
  <c r="JC67" i="2"/>
  <c r="JD67" i="2"/>
  <c r="JE67" i="2"/>
  <c r="JF67" i="2"/>
  <c r="JG67" i="2"/>
  <c r="JH67" i="2"/>
  <c r="JI67" i="2"/>
  <c r="JJ67" i="2"/>
  <c r="JK67" i="2"/>
  <c r="JL67" i="2"/>
  <c r="JM67" i="2"/>
  <c r="JN67" i="2"/>
  <c r="JO67" i="2"/>
  <c r="JP67" i="2"/>
  <c r="JQ67" i="2"/>
  <c r="JR67" i="2"/>
  <c r="JS67" i="2"/>
  <c r="JT67" i="2"/>
  <c r="IV68" i="2"/>
  <c r="IW68" i="2"/>
  <c r="IX68" i="2"/>
  <c r="IY68" i="2"/>
  <c r="IZ68" i="2"/>
  <c r="JA68" i="2"/>
  <c r="JB68" i="2"/>
  <c r="JC68" i="2"/>
  <c r="JD68" i="2"/>
  <c r="JE68" i="2"/>
  <c r="JF68" i="2"/>
  <c r="JG68" i="2"/>
  <c r="JH68" i="2"/>
  <c r="JI68" i="2"/>
  <c r="JJ68" i="2"/>
  <c r="JK68" i="2"/>
  <c r="JL68" i="2"/>
  <c r="JM68" i="2"/>
  <c r="JN68" i="2"/>
  <c r="JO68" i="2"/>
  <c r="JP68" i="2"/>
  <c r="JQ68" i="2"/>
  <c r="JR68" i="2"/>
  <c r="JS68" i="2"/>
  <c r="JT68" i="2"/>
  <c r="IV69" i="2"/>
  <c r="IW69" i="2"/>
  <c r="IX69" i="2"/>
  <c r="IY69" i="2"/>
  <c r="IZ69" i="2"/>
  <c r="JA69" i="2"/>
  <c r="JB69" i="2"/>
  <c r="JC69" i="2"/>
  <c r="JD69" i="2"/>
  <c r="JE69" i="2"/>
  <c r="JF69" i="2"/>
  <c r="JG69" i="2"/>
  <c r="JH69" i="2"/>
  <c r="JI69" i="2"/>
  <c r="JJ69" i="2"/>
  <c r="JK69" i="2"/>
  <c r="JL69" i="2"/>
  <c r="JM69" i="2"/>
  <c r="JN69" i="2"/>
  <c r="JO69" i="2"/>
  <c r="JP69" i="2"/>
  <c r="JQ69" i="2"/>
  <c r="JR69" i="2"/>
  <c r="JS69" i="2"/>
  <c r="JT69" i="2"/>
  <c r="IV70" i="2"/>
  <c r="IW70" i="2"/>
  <c r="IX70" i="2"/>
  <c r="IY70" i="2"/>
  <c r="IZ70" i="2"/>
  <c r="JA70" i="2"/>
  <c r="JB70" i="2"/>
  <c r="JC70" i="2"/>
  <c r="JD70" i="2"/>
  <c r="JE70" i="2"/>
  <c r="JF70" i="2"/>
  <c r="JG70" i="2"/>
  <c r="JH70" i="2"/>
  <c r="JI70" i="2"/>
  <c r="JJ70" i="2"/>
  <c r="JK70" i="2"/>
  <c r="JL70" i="2"/>
  <c r="JM70" i="2"/>
  <c r="JN70" i="2"/>
  <c r="JO70" i="2"/>
  <c r="JP70" i="2"/>
  <c r="JQ70" i="2"/>
  <c r="JR70" i="2"/>
  <c r="JS70" i="2"/>
  <c r="JT70" i="2"/>
  <c r="IV71" i="2"/>
  <c r="IW71" i="2"/>
  <c r="IX71" i="2"/>
  <c r="IY71" i="2"/>
  <c r="IZ71" i="2"/>
  <c r="JA71" i="2"/>
  <c r="JB71" i="2"/>
  <c r="JC71" i="2"/>
  <c r="JD71" i="2"/>
  <c r="JE71" i="2"/>
  <c r="JF71" i="2"/>
  <c r="JG71" i="2"/>
  <c r="JH71" i="2"/>
  <c r="JI71" i="2"/>
  <c r="JJ71" i="2"/>
  <c r="JK71" i="2"/>
  <c r="JL71" i="2"/>
  <c r="JM71" i="2"/>
  <c r="JN71" i="2"/>
  <c r="JO71" i="2"/>
  <c r="JP71" i="2"/>
  <c r="JQ71" i="2"/>
  <c r="JR71" i="2"/>
  <c r="JS71" i="2"/>
  <c r="JT71" i="2"/>
  <c r="IV72" i="2"/>
  <c r="IW72" i="2"/>
  <c r="IX72" i="2"/>
  <c r="IY72" i="2"/>
  <c r="IZ72" i="2"/>
  <c r="JA72" i="2"/>
  <c r="JB72" i="2"/>
  <c r="JC72" i="2"/>
  <c r="JD72" i="2"/>
  <c r="JE72" i="2"/>
  <c r="JF72" i="2"/>
  <c r="JG72" i="2"/>
  <c r="JH72" i="2"/>
  <c r="JI72" i="2"/>
  <c r="JJ72" i="2"/>
  <c r="JK72" i="2"/>
  <c r="JL72" i="2"/>
  <c r="JM72" i="2"/>
  <c r="JN72" i="2"/>
  <c r="JO72" i="2"/>
  <c r="JP72" i="2"/>
  <c r="JQ72" i="2"/>
  <c r="JR72" i="2"/>
  <c r="JS72" i="2"/>
  <c r="JT72" i="2"/>
  <c r="IV73" i="2"/>
  <c r="IW73" i="2"/>
  <c r="IX73" i="2"/>
  <c r="IY73" i="2"/>
  <c r="IZ73" i="2"/>
  <c r="JA73" i="2"/>
  <c r="JB73" i="2"/>
  <c r="JC73" i="2"/>
  <c r="JD73" i="2"/>
  <c r="JE73" i="2"/>
  <c r="JF73" i="2"/>
  <c r="JG73" i="2"/>
  <c r="JH73" i="2"/>
  <c r="JI73" i="2"/>
  <c r="JJ73" i="2"/>
  <c r="JK73" i="2"/>
  <c r="JL73" i="2"/>
  <c r="JM73" i="2"/>
  <c r="JN73" i="2"/>
  <c r="JO73" i="2"/>
  <c r="JP73" i="2"/>
  <c r="JQ73" i="2"/>
  <c r="JR73" i="2"/>
  <c r="JS73" i="2"/>
  <c r="JT73" i="2"/>
  <c r="IV74" i="2"/>
  <c r="IW74" i="2"/>
  <c r="IX74" i="2"/>
  <c r="IY74" i="2"/>
  <c r="IZ74" i="2"/>
  <c r="JA74" i="2"/>
  <c r="JB74" i="2"/>
  <c r="JC74" i="2"/>
  <c r="JD74" i="2"/>
  <c r="JE74" i="2"/>
  <c r="JF74" i="2"/>
  <c r="JG74" i="2"/>
  <c r="JH74" i="2"/>
  <c r="JI74" i="2"/>
  <c r="JJ74" i="2"/>
  <c r="JK74" i="2"/>
  <c r="JL74" i="2"/>
  <c r="JM74" i="2"/>
  <c r="JN74" i="2"/>
  <c r="JO74" i="2"/>
  <c r="JP74" i="2"/>
  <c r="JQ74" i="2"/>
  <c r="JR74" i="2"/>
  <c r="JS74" i="2"/>
  <c r="JT74" i="2"/>
  <c r="IV75" i="2"/>
  <c r="IW75" i="2"/>
  <c r="IX75" i="2"/>
  <c r="IY75" i="2"/>
  <c r="IZ75" i="2"/>
  <c r="JA75" i="2"/>
  <c r="JB75" i="2"/>
  <c r="JC75" i="2"/>
  <c r="JD75" i="2"/>
  <c r="JE75" i="2"/>
  <c r="JF75" i="2"/>
  <c r="JG75" i="2"/>
  <c r="JH75" i="2"/>
  <c r="JI75" i="2"/>
  <c r="JJ75" i="2"/>
  <c r="JK75" i="2"/>
  <c r="JL75" i="2"/>
  <c r="JM75" i="2"/>
  <c r="JN75" i="2"/>
  <c r="JO75" i="2"/>
  <c r="JP75" i="2"/>
  <c r="JQ75" i="2"/>
  <c r="JR75" i="2"/>
  <c r="JS75" i="2"/>
  <c r="JT75" i="2"/>
  <c r="IV76" i="2"/>
  <c r="IW76" i="2"/>
  <c r="IX76" i="2"/>
  <c r="IY76" i="2"/>
  <c r="IZ76" i="2"/>
  <c r="JA76" i="2"/>
  <c r="JB76" i="2"/>
  <c r="JC76" i="2"/>
  <c r="JD76" i="2"/>
  <c r="JE76" i="2"/>
  <c r="JF76" i="2"/>
  <c r="JG76" i="2"/>
  <c r="JH76" i="2"/>
  <c r="JI76" i="2"/>
  <c r="JJ76" i="2"/>
  <c r="JK76" i="2"/>
  <c r="JL76" i="2"/>
  <c r="JM76" i="2"/>
  <c r="JN76" i="2"/>
  <c r="JO76" i="2"/>
  <c r="JP76" i="2"/>
  <c r="JQ76" i="2"/>
  <c r="JR76" i="2"/>
  <c r="JS76" i="2"/>
  <c r="JT76" i="2"/>
  <c r="IV77" i="2"/>
  <c r="IW77" i="2"/>
  <c r="IX77" i="2"/>
  <c r="IY77" i="2"/>
  <c r="IZ77" i="2"/>
  <c r="JA77" i="2"/>
  <c r="JB77" i="2"/>
  <c r="JC77" i="2"/>
  <c r="JD77" i="2"/>
  <c r="JE77" i="2"/>
  <c r="JF77" i="2"/>
  <c r="JG77" i="2"/>
  <c r="JH77" i="2"/>
  <c r="JI77" i="2"/>
  <c r="JJ77" i="2"/>
  <c r="JK77" i="2"/>
  <c r="JL77" i="2"/>
  <c r="JM77" i="2"/>
  <c r="JN77" i="2"/>
  <c r="JO77" i="2"/>
  <c r="JP77" i="2"/>
  <c r="JQ77" i="2"/>
  <c r="JR77" i="2"/>
  <c r="JS77" i="2"/>
  <c r="JT77" i="2"/>
  <c r="IV78" i="2"/>
  <c r="IW78" i="2"/>
  <c r="IX78" i="2"/>
  <c r="IY78" i="2"/>
  <c r="IZ78" i="2"/>
  <c r="JA78" i="2"/>
  <c r="JB78" i="2"/>
  <c r="JC78" i="2"/>
  <c r="JD78" i="2"/>
  <c r="JE78" i="2"/>
  <c r="JF78" i="2"/>
  <c r="JG78" i="2"/>
  <c r="JH78" i="2"/>
  <c r="JI78" i="2"/>
  <c r="JJ78" i="2"/>
  <c r="JK78" i="2"/>
  <c r="JL78" i="2"/>
  <c r="JM78" i="2"/>
  <c r="JN78" i="2"/>
  <c r="JO78" i="2"/>
  <c r="JP78" i="2"/>
  <c r="JQ78" i="2"/>
  <c r="JR78" i="2"/>
  <c r="JS78" i="2"/>
  <c r="JT78" i="2"/>
  <c r="IV79" i="2"/>
  <c r="IW79" i="2"/>
  <c r="IX79" i="2"/>
  <c r="IY79" i="2"/>
  <c r="IZ79" i="2"/>
  <c r="JA79" i="2"/>
  <c r="JB79" i="2"/>
  <c r="JC79" i="2"/>
  <c r="JD79" i="2"/>
  <c r="JE79" i="2"/>
  <c r="JF79" i="2"/>
  <c r="JG79" i="2"/>
  <c r="JH79" i="2"/>
  <c r="JI79" i="2"/>
  <c r="JJ79" i="2"/>
  <c r="JK79" i="2"/>
  <c r="JL79" i="2"/>
  <c r="JM79" i="2"/>
  <c r="JN79" i="2"/>
  <c r="JO79" i="2"/>
  <c r="JP79" i="2"/>
  <c r="JQ79" i="2"/>
  <c r="JR79" i="2"/>
  <c r="JS79" i="2"/>
  <c r="JT79" i="2"/>
  <c r="IV80" i="2"/>
  <c r="IW80" i="2"/>
  <c r="IX80" i="2"/>
  <c r="IY80" i="2"/>
  <c r="IZ80" i="2"/>
  <c r="JA80" i="2"/>
  <c r="JB80" i="2"/>
  <c r="JC80" i="2"/>
  <c r="JD80" i="2"/>
  <c r="JE80" i="2"/>
  <c r="JF80" i="2"/>
  <c r="JG80" i="2"/>
  <c r="JH80" i="2"/>
  <c r="JI80" i="2"/>
  <c r="JJ80" i="2"/>
  <c r="JK80" i="2"/>
  <c r="JL80" i="2"/>
  <c r="JM80" i="2"/>
  <c r="JN80" i="2"/>
  <c r="JO80" i="2"/>
  <c r="JP80" i="2"/>
  <c r="JQ80" i="2"/>
  <c r="JR80" i="2"/>
  <c r="JS80" i="2"/>
  <c r="JT80" i="2"/>
  <c r="IV81" i="2"/>
  <c r="IW81" i="2"/>
  <c r="IX81" i="2"/>
  <c r="IY81" i="2"/>
  <c r="IZ81" i="2"/>
  <c r="JA81" i="2"/>
  <c r="JB81" i="2"/>
  <c r="JC81" i="2"/>
  <c r="JD81" i="2"/>
  <c r="JE81" i="2"/>
  <c r="JF81" i="2"/>
  <c r="JG81" i="2"/>
  <c r="JH81" i="2"/>
  <c r="JI81" i="2"/>
  <c r="JJ81" i="2"/>
  <c r="JK81" i="2"/>
  <c r="JL81" i="2"/>
  <c r="JM81" i="2"/>
  <c r="JN81" i="2"/>
  <c r="JO81" i="2"/>
  <c r="JP81" i="2"/>
  <c r="JQ81" i="2"/>
  <c r="JR81" i="2"/>
  <c r="JS81" i="2"/>
  <c r="JT81" i="2"/>
  <c r="IV82" i="2"/>
  <c r="IW82" i="2"/>
  <c r="IX82" i="2"/>
  <c r="IY82" i="2"/>
  <c r="IZ82" i="2"/>
  <c r="JA82" i="2"/>
  <c r="JB82" i="2"/>
  <c r="JC82" i="2"/>
  <c r="JD82" i="2"/>
  <c r="JE82" i="2"/>
  <c r="JF82" i="2"/>
  <c r="JG82" i="2"/>
  <c r="JH82" i="2"/>
  <c r="JI82" i="2"/>
  <c r="JJ82" i="2"/>
  <c r="JK82" i="2"/>
  <c r="JL82" i="2"/>
  <c r="JM82" i="2"/>
  <c r="JN82" i="2"/>
  <c r="JO82" i="2"/>
  <c r="JP82" i="2"/>
  <c r="JQ82" i="2"/>
  <c r="JR82" i="2"/>
  <c r="JS82" i="2"/>
  <c r="JT82" i="2"/>
  <c r="IV83" i="2"/>
  <c r="IW83" i="2"/>
  <c r="IX83" i="2"/>
  <c r="IY83" i="2"/>
  <c r="IZ83" i="2"/>
  <c r="JA83" i="2"/>
  <c r="JB83" i="2"/>
  <c r="JC83" i="2"/>
  <c r="JD83" i="2"/>
  <c r="JE83" i="2"/>
  <c r="JF83" i="2"/>
  <c r="JG83" i="2"/>
  <c r="JH83" i="2"/>
  <c r="JI83" i="2"/>
  <c r="JJ83" i="2"/>
  <c r="JK83" i="2"/>
  <c r="JL83" i="2"/>
  <c r="JM83" i="2"/>
  <c r="JN83" i="2"/>
  <c r="JO83" i="2"/>
  <c r="JP83" i="2"/>
  <c r="JQ83" i="2"/>
  <c r="JR83" i="2"/>
  <c r="JS83" i="2"/>
  <c r="JT83" i="2"/>
  <c r="IV84" i="2"/>
  <c r="IW84" i="2"/>
  <c r="IX84" i="2"/>
  <c r="IY84" i="2"/>
  <c r="IZ84" i="2"/>
  <c r="JA84" i="2"/>
  <c r="JB84" i="2"/>
  <c r="JC84" i="2"/>
  <c r="JD84" i="2"/>
  <c r="JE84" i="2"/>
  <c r="JF84" i="2"/>
  <c r="JG84" i="2"/>
  <c r="JH84" i="2"/>
  <c r="JI84" i="2"/>
  <c r="JJ84" i="2"/>
  <c r="JK84" i="2"/>
  <c r="JL84" i="2"/>
  <c r="JM84" i="2"/>
  <c r="JN84" i="2"/>
  <c r="JO84" i="2"/>
  <c r="JP84" i="2"/>
  <c r="JQ84" i="2"/>
  <c r="JR84" i="2"/>
  <c r="JS84" i="2"/>
  <c r="JT84" i="2"/>
  <c r="IV85" i="2"/>
  <c r="IW85" i="2"/>
  <c r="IX85" i="2"/>
  <c r="IY85" i="2"/>
  <c r="IZ85" i="2"/>
  <c r="JA85" i="2"/>
  <c r="JB85" i="2"/>
  <c r="JC85" i="2"/>
  <c r="JD85" i="2"/>
  <c r="JE85" i="2"/>
  <c r="JF85" i="2"/>
  <c r="JG85" i="2"/>
  <c r="JH85" i="2"/>
  <c r="JI85" i="2"/>
  <c r="JJ85" i="2"/>
  <c r="JK85" i="2"/>
  <c r="JL85" i="2"/>
  <c r="JM85" i="2"/>
  <c r="JN85" i="2"/>
  <c r="JO85" i="2"/>
  <c r="JP85" i="2"/>
  <c r="JQ85" i="2"/>
  <c r="JR85" i="2"/>
  <c r="JS85" i="2"/>
  <c r="JT85" i="2"/>
  <c r="IV86" i="2"/>
  <c r="IW86" i="2"/>
  <c r="IX86" i="2"/>
  <c r="IY86" i="2"/>
  <c r="IZ86" i="2"/>
  <c r="JA86" i="2"/>
  <c r="JB86" i="2"/>
  <c r="JC86" i="2"/>
  <c r="JD86" i="2"/>
  <c r="JE86" i="2"/>
  <c r="JF86" i="2"/>
  <c r="JG86" i="2"/>
  <c r="JH86" i="2"/>
  <c r="JI86" i="2"/>
  <c r="JJ86" i="2"/>
  <c r="JK86" i="2"/>
  <c r="JL86" i="2"/>
  <c r="JM86" i="2"/>
  <c r="JN86" i="2"/>
  <c r="JO86" i="2"/>
  <c r="JP86" i="2"/>
  <c r="JQ86" i="2"/>
  <c r="JR86" i="2"/>
  <c r="JS86" i="2"/>
  <c r="JT86" i="2"/>
  <c r="IV87" i="2"/>
  <c r="IW87" i="2"/>
  <c r="IX87" i="2"/>
  <c r="IY87" i="2"/>
  <c r="IZ87" i="2"/>
  <c r="JA87" i="2"/>
  <c r="JB87" i="2"/>
  <c r="JC87" i="2"/>
  <c r="JD87" i="2"/>
  <c r="JE87" i="2"/>
  <c r="JF87" i="2"/>
  <c r="JG87" i="2"/>
  <c r="JH87" i="2"/>
  <c r="JI87" i="2"/>
  <c r="JJ87" i="2"/>
  <c r="JK87" i="2"/>
  <c r="JL87" i="2"/>
  <c r="JM87" i="2"/>
  <c r="JN87" i="2"/>
  <c r="JO87" i="2"/>
  <c r="JP87" i="2"/>
  <c r="JQ87" i="2"/>
  <c r="JR87" i="2"/>
  <c r="JS87" i="2"/>
  <c r="JT87" i="2"/>
  <c r="IV88" i="2"/>
  <c r="IW88" i="2"/>
  <c r="IX88" i="2"/>
  <c r="IY88" i="2"/>
  <c r="IZ88" i="2"/>
  <c r="JA88" i="2"/>
  <c r="JB88" i="2"/>
  <c r="JC88" i="2"/>
  <c r="JD88" i="2"/>
  <c r="JE88" i="2"/>
  <c r="JF88" i="2"/>
  <c r="JG88" i="2"/>
  <c r="JH88" i="2"/>
  <c r="JI88" i="2"/>
  <c r="JJ88" i="2"/>
  <c r="JK88" i="2"/>
  <c r="JL88" i="2"/>
  <c r="JM88" i="2"/>
  <c r="JN88" i="2"/>
  <c r="JO88" i="2"/>
  <c r="JP88" i="2"/>
  <c r="JQ88" i="2"/>
  <c r="JR88" i="2"/>
  <c r="JS88" i="2"/>
  <c r="JT88" i="2"/>
  <c r="IV89" i="2"/>
  <c r="IW89" i="2"/>
  <c r="IX89" i="2"/>
  <c r="IY89" i="2"/>
  <c r="IZ89" i="2"/>
  <c r="JA89" i="2"/>
  <c r="JB89" i="2"/>
  <c r="JC89" i="2"/>
  <c r="JD89" i="2"/>
  <c r="JE89" i="2"/>
  <c r="JF89" i="2"/>
  <c r="JG89" i="2"/>
  <c r="JH89" i="2"/>
  <c r="JI89" i="2"/>
  <c r="JJ89" i="2"/>
  <c r="JK89" i="2"/>
  <c r="JL89" i="2"/>
  <c r="JM89" i="2"/>
  <c r="JN89" i="2"/>
  <c r="JO89" i="2"/>
  <c r="JP89" i="2"/>
  <c r="JQ89" i="2"/>
  <c r="JR89" i="2"/>
  <c r="JS89" i="2"/>
  <c r="JT89" i="2"/>
  <c r="IV90" i="2"/>
  <c r="IW90" i="2"/>
  <c r="IX90" i="2"/>
  <c r="IY90" i="2"/>
  <c r="IZ90" i="2"/>
  <c r="JA90" i="2"/>
  <c r="JB90" i="2"/>
  <c r="JC90" i="2"/>
  <c r="JD90" i="2"/>
  <c r="JE90" i="2"/>
  <c r="JF90" i="2"/>
  <c r="JG90" i="2"/>
  <c r="JH90" i="2"/>
  <c r="JI90" i="2"/>
  <c r="JJ90" i="2"/>
  <c r="JK90" i="2"/>
  <c r="JL90" i="2"/>
  <c r="JM90" i="2"/>
  <c r="JN90" i="2"/>
  <c r="JO90" i="2"/>
  <c r="JP90" i="2"/>
  <c r="JQ90" i="2"/>
  <c r="JR90" i="2"/>
  <c r="JS90" i="2"/>
  <c r="JT90" i="2"/>
  <c r="IV91" i="2"/>
  <c r="IW91" i="2"/>
  <c r="IX91" i="2"/>
  <c r="IY91" i="2"/>
  <c r="IZ91" i="2"/>
  <c r="JA91" i="2"/>
  <c r="JB91" i="2"/>
  <c r="JC91" i="2"/>
  <c r="JD91" i="2"/>
  <c r="JE91" i="2"/>
  <c r="JF91" i="2"/>
  <c r="JG91" i="2"/>
  <c r="JH91" i="2"/>
  <c r="JI91" i="2"/>
  <c r="JJ91" i="2"/>
  <c r="JK91" i="2"/>
  <c r="JL91" i="2"/>
  <c r="JM91" i="2"/>
  <c r="JN91" i="2"/>
  <c r="JO91" i="2"/>
  <c r="JP91" i="2"/>
  <c r="JQ91" i="2"/>
  <c r="JR91" i="2"/>
  <c r="JS91" i="2"/>
  <c r="JT91" i="2"/>
  <c r="IV92" i="2"/>
  <c r="IW92" i="2"/>
  <c r="IX92" i="2"/>
  <c r="IY92" i="2"/>
  <c r="IZ92" i="2"/>
  <c r="JA92" i="2"/>
  <c r="JB92" i="2"/>
  <c r="JC92" i="2"/>
  <c r="JD92" i="2"/>
  <c r="JE92" i="2"/>
  <c r="JF92" i="2"/>
  <c r="JG92" i="2"/>
  <c r="JH92" i="2"/>
  <c r="JI92" i="2"/>
  <c r="JJ92" i="2"/>
  <c r="JK92" i="2"/>
  <c r="JL92" i="2"/>
  <c r="JM92" i="2"/>
  <c r="JN92" i="2"/>
  <c r="JO92" i="2"/>
  <c r="JP92" i="2"/>
  <c r="JQ92" i="2"/>
  <c r="JR92" i="2"/>
  <c r="JS92" i="2"/>
  <c r="JT92" i="2"/>
  <c r="IV93" i="2"/>
  <c r="IW93" i="2"/>
  <c r="IX93" i="2"/>
  <c r="IY93" i="2"/>
  <c r="IZ93" i="2"/>
  <c r="JA93" i="2"/>
  <c r="JB93" i="2"/>
  <c r="JC93" i="2"/>
  <c r="JD93" i="2"/>
  <c r="JE93" i="2"/>
  <c r="JF93" i="2"/>
  <c r="JG93" i="2"/>
  <c r="JH93" i="2"/>
  <c r="JI93" i="2"/>
  <c r="JJ93" i="2"/>
  <c r="JK93" i="2"/>
  <c r="JL93" i="2"/>
  <c r="JM93" i="2"/>
  <c r="JN93" i="2"/>
  <c r="JO93" i="2"/>
  <c r="JP93" i="2"/>
  <c r="JQ93" i="2"/>
  <c r="JR93" i="2"/>
  <c r="JS93" i="2"/>
  <c r="JT93" i="2"/>
  <c r="IV94" i="2"/>
  <c r="IW94" i="2"/>
  <c r="IX94" i="2"/>
  <c r="IY94" i="2"/>
  <c r="GY94" i="2" s="1" a="1"/>
  <c r="GY94" i="2" s="1"/>
  <c r="IZ94" i="2"/>
  <c r="JA94" i="2"/>
  <c r="JB94" i="2"/>
  <c r="JC94" i="2"/>
  <c r="JD94" i="2"/>
  <c r="JE94" i="2"/>
  <c r="JF94" i="2"/>
  <c r="JG94" i="2"/>
  <c r="JH94" i="2"/>
  <c r="JI94" i="2"/>
  <c r="JJ94" i="2"/>
  <c r="JK94" i="2"/>
  <c r="JL94" i="2"/>
  <c r="JM94" i="2"/>
  <c r="JN94" i="2"/>
  <c r="JO94" i="2"/>
  <c r="JP94" i="2"/>
  <c r="JQ94" i="2"/>
  <c r="JR94" i="2"/>
  <c r="JS94" i="2"/>
  <c r="JT94" i="2"/>
  <c r="IV95" i="2"/>
  <c r="IW95" i="2"/>
  <c r="IX95" i="2"/>
  <c r="IY95" i="2"/>
  <c r="IZ95" i="2"/>
  <c r="JA95" i="2"/>
  <c r="JB95" i="2"/>
  <c r="JC95" i="2"/>
  <c r="JD95" i="2"/>
  <c r="JE95" i="2"/>
  <c r="JF95" i="2"/>
  <c r="JG95" i="2"/>
  <c r="JH95" i="2"/>
  <c r="JI95" i="2"/>
  <c r="JJ95" i="2"/>
  <c r="JK95" i="2"/>
  <c r="JL95" i="2"/>
  <c r="JM95" i="2"/>
  <c r="JN95" i="2"/>
  <c r="JO95" i="2"/>
  <c r="JP95" i="2"/>
  <c r="JQ95" i="2"/>
  <c r="JR95" i="2"/>
  <c r="JS95" i="2"/>
  <c r="JT95" i="2"/>
  <c r="IV96" i="2"/>
  <c r="IW96" i="2"/>
  <c r="IX96" i="2"/>
  <c r="IY96" i="2"/>
  <c r="IZ96" i="2"/>
  <c r="JA96" i="2"/>
  <c r="JB96" i="2"/>
  <c r="JC96" i="2"/>
  <c r="JD96" i="2"/>
  <c r="JE96" i="2"/>
  <c r="JF96" i="2"/>
  <c r="JG96" i="2"/>
  <c r="JH96" i="2"/>
  <c r="JI96" i="2"/>
  <c r="JJ96" i="2"/>
  <c r="JK96" i="2"/>
  <c r="JL96" i="2"/>
  <c r="JM96" i="2"/>
  <c r="JN96" i="2"/>
  <c r="JO96" i="2"/>
  <c r="JP96" i="2"/>
  <c r="JQ96" i="2"/>
  <c r="JR96" i="2"/>
  <c r="JS96" i="2"/>
  <c r="JT96" i="2"/>
  <c r="IV97" i="2"/>
  <c r="IW97" i="2"/>
  <c r="IX97" i="2"/>
  <c r="IY97" i="2"/>
  <c r="IZ97" i="2"/>
  <c r="JA97" i="2"/>
  <c r="JB97" i="2"/>
  <c r="JC97" i="2"/>
  <c r="JD97" i="2"/>
  <c r="JE97" i="2"/>
  <c r="JF97" i="2"/>
  <c r="JG97" i="2"/>
  <c r="JH97" i="2"/>
  <c r="JI97" i="2"/>
  <c r="JJ97" i="2"/>
  <c r="JK97" i="2"/>
  <c r="JL97" i="2"/>
  <c r="JM97" i="2"/>
  <c r="JN97" i="2"/>
  <c r="JO97" i="2"/>
  <c r="JP97" i="2"/>
  <c r="JQ97" i="2"/>
  <c r="JR97" i="2"/>
  <c r="JS97" i="2"/>
  <c r="JT97" i="2"/>
  <c r="IV98" i="2"/>
  <c r="IW98" i="2"/>
  <c r="IX98" i="2"/>
  <c r="IY98" i="2"/>
  <c r="IZ98" i="2"/>
  <c r="JA98" i="2"/>
  <c r="JB98" i="2"/>
  <c r="JC98" i="2"/>
  <c r="JD98" i="2"/>
  <c r="JE98" i="2"/>
  <c r="JF98" i="2"/>
  <c r="JG98" i="2"/>
  <c r="JH98" i="2"/>
  <c r="JI98" i="2"/>
  <c r="JJ98" i="2"/>
  <c r="JK98" i="2"/>
  <c r="JL98" i="2"/>
  <c r="JM98" i="2"/>
  <c r="JN98" i="2"/>
  <c r="JO98" i="2"/>
  <c r="JP98" i="2"/>
  <c r="JQ98" i="2"/>
  <c r="JR98" i="2"/>
  <c r="JS98" i="2"/>
  <c r="JT98" i="2"/>
  <c r="IV99" i="2"/>
  <c r="IW99" i="2"/>
  <c r="IX99" i="2"/>
  <c r="IY99" i="2"/>
  <c r="IZ99" i="2"/>
  <c r="JA99" i="2"/>
  <c r="JB99" i="2"/>
  <c r="JC99" i="2"/>
  <c r="JD99" i="2"/>
  <c r="JE99" i="2"/>
  <c r="JF99" i="2"/>
  <c r="JG99" i="2"/>
  <c r="JH99" i="2"/>
  <c r="JI99" i="2"/>
  <c r="JJ99" i="2"/>
  <c r="JK99" i="2"/>
  <c r="JL99" i="2"/>
  <c r="JM99" i="2"/>
  <c r="JN99" i="2"/>
  <c r="JO99" i="2"/>
  <c r="JP99" i="2"/>
  <c r="JQ99" i="2"/>
  <c r="JR99" i="2"/>
  <c r="JS99" i="2"/>
  <c r="JT99" i="2"/>
  <c r="IV100" i="2"/>
  <c r="IW100" i="2"/>
  <c r="IX100" i="2"/>
  <c r="IY100" i="2"/>
  <c r="IZ100" i="2"/>
  <c r="JA100" i="2"/>
  <c r="JB100" i="2"/>
  <c r="JC100" i="2"/>
  <c r="JD100" i="2"/>
  <c r="JE100" i="2"/>
  <c r="JF100" i="2"/>
  <c r="JG100" i="2"/>
  <c r="JH100" i="2"/>
  <c r="JI100" i="2"/>
  <c r="JJ100" i="2"/>
  <c r="JK100" i="2"/>
  <c r="JL100" i="2"/>
  <c r="JM100" i="2"/>
  <c r="JN100" i="2"/>
  <c r="JO100" i="2"/>
  <c r="JP100" i="2"/>
  <c r="JQ100" i="2"/>
  <c r="JR100" i="2"/>
  <c r="JS100" i="2"/>
  <c r="JT100" i="2"/>
  <c r="IV101" i="2"/>
  <c r="IW101" i="2"/>
  <c r="IX101" i="2"/>
  <c r="IY101" i="2"/>
  <c r="IZ101" i="2"/>
  <c r="JA101" i="2"/>
  <c r="JB101" i="2"/>
  <c r="JC101" i="2"/>
  <c r="JD101" i="2"/>
  <c r="JE101" i="2"/>
  <c r="JF101" i="2"/>
  <c r="JG101" i="2"/>
  <c r="JH101" i="2"/>
  <c r="JI101" i="2"/>
  <c r="JJ101" i="2"/>
  <c r="JK101" i="2"/>
  <c r="JL101" i="2"/>
  <c r="JM101" i="2"/>
  <c r="JN101" i="2"/>
  <c r="JO101" i="2"/>
  <c r="JP101" i="2"/>
  <c r="JQ101" i="2"/>
  <c r="JR101" i="2"/>
  <c r="JS101" i="2"/>
  <c r="JT101" i="2"/>
  <c r="IV102" i="2"/>
  <c r="IW102" i="2"/>
  <c r="IX102" i="2"/>
  <c r="IY102" i="2"/>
  <c r="IZ102" i="2"/>
  <c r="JA102" i="2"/>
  <c r="JB102" i="2"/>
  <c r="JC102" i="2"/>
  <c r="JD102" i="2"/>
  <c r="JE102" i="2"/>
  <c r="JF102" i="2"/>
  <c r="JG102" i="2"/>
  <c r="JH102" i="2"/>
  <c r="JI102" i="2"/>
  <c r="JJ102" i="2"/>
  <c r="JK102" i="2"/>
  <c r="JL102" i="2"/>
  <c r="JM102" i="2"/>
  <c r="JN102" i="2"/>
  <c r="JO102" i="2"/>
  <c r="JP102" i="2"/>
  <c r="JQ102" i="2"/>
  <c r="JR102" i="2"/>
  <c r="JS102" i="2"/>
  <c r="JT102" i="2"/>
  <c r="IV103" i="2"/>
  <c r="IW103" i="2"/>
  <c r="IX103" i="2"/>
  <c r="IY103" i="2"/>
  <c r="IZ103" i="2"/>
  <c r="JA103" i="2"/>
  <c r="JB103" i="2"/>
  <c r="JC103" i="2"/>
  <c r="JD103" i="2"/>
  <c r="JE103" i="2"/>
  <c r="JF103" i="2"/>
  <c r="JG103" i="2"/>
  <c r="JH103" i="2"/>
  <c r="JI103" i="2"/>
  <c r="JJ103" i="2"/>
  <c r="JK103" i="2"/>
  <c r="JL103" i="2"/>
  <c r="JM103" i="2"/>
  <c r="JN103" i="2"/>
  <c r="JO103" i="2"/>
  <c r="JP103" i="2"/>
  <c r="JQ103" i="2"/>
  <c r="JR103" i="2"/>
  <c r="JS103" i="2"/>
  <c r="JT103" i="2"/>
  <c r="IV4" i="2"/>
  <c r="IW4" i="2"/>
  <c r="IX4" i="2"/>
  <c r="IY4" i="2"/>
  <c r="IZ4" i="2"/>
  <c r="JA4" i="2"/>
  <c r="JB4" i="2"/>
  <c r="JC4" i="2"/>
  <c r="JD4" i="2"/>
  <c r="JE4" i="2"/>
  <c r="JF4" i="2"/>
  <c r="JG4" i="2"/>
  <c r="JH4" i="2"/>
  <c r="JI4" i="2"/>
  <c r="JJ4" i="2"/>
  <c r="JK4" i="2"/>
  <c r="JL4" i="2"/>
  <c r="JM4" i="2"/>
  <c r="JN4" i="2"/>
  <c r="JO4" i="2"/>
  <c r="JP4" i="2"/>
  <c r="JQ4" i="2"/>
  <c r="JR4" i="2"/>
  <c r="JS4" i="2"/>
  <c r="JT4" i="2"/>
  <c r="IV5" i="2"/>
  <c r="IW5" i="2"/>
  <c r="IX5" i="2"/>
  <c r="IY5" i="2"/>
  <c r="IZ5" i="2"/>
  <c r="JA5" i="2"/>
  <c r="JB5" i="2"/>
  <c r="JC5" i="2"/>
  <c r="JD5" i="2"/>
  <c r="JE5" i="2"/>
  <c r="JF5" i="2"/>
  <c r="JG5" i="2"/>
  <c r="JH5" i="2"/>
  <c r="JI5" i="2"/>
  <c r="JJ5" i="2"/>
  <c r="JK5" i="2"/>
  <c r="JL5" i="2"/>
  <c r="JM5" i="2"/>
  <c r="JN5" i="2"/>
  <c r="JO5" i="2"/>
  <c r="JP5" i="2"/>
  <c r="JQ5" i="2"/>
  <c r="JR5" i="2"/>
  <c r="JS5" i="2"/>
  <c r="JT5" i="2"/>
  <c r="IV6" i="2"/>
  <c r="IW6" i="2"/>
  <c r="IX6" i="2"/>
  <c r="IY6" i="2"/>
  <c r="IZ6" i="2"/>
  <c r="JA6" i="2"/>
  <c r="JB6" i="2"/>
  <c r="JC6" i="2"/>
  <c r="JD6" i="2"/>
  <c r="JE6" i="2"/>
  <c r="JF6" i="2"/>
  <c r="JG6" i="2"/>
  <c r="JH6" i="2"/>
  <c r="JI6" i="2"/>
  <c r="JJ6" i="2"/>
  <c r="JK6" i="2"/>
  <c r="JL6" i="2"/>
  <c r="JM6" i="2"/>
  <c r="JN6" i="2"/>
  <c r="JO6" i="2"/>
  <c r="JP6" i="2"/>
  <c r="JQ6" i="2"/>
  <c r="JR6" i="2"/>
  <c r="JS6" i="2"/>
  <c r="JT6" i="2"/>
  <c r="IV7" i="2"/>
  <c r="IW7" i="2"/>
  <c r="IX7" i="2"/>
  <c r="IY7" i="2"/>
  <c r="IZ7" i="2"/>
  <c r="JA7" i="2"/>
  <c r="JB7" i="2"/>
  <c r="JC7" i="2"/>
  <c r="JD7" i="2"/>
  <c r="JE7" i="2"/>
  <c r="JF7" i="2"/>
  <c r="JG7" i="2"/>
  <c r="JH7" i="2"/>
  <c r="JI7" i="2"/>
  <c r="JJ7" i="2"/>
  <c r="JK7" i="2"/>
  <c r="JL7" i="2"/>
  <c r="JM7" i="2"/>
  <c r="JN7" i="2"/>
  <c r="JO7" i="2"/>
  <c r="JP7" i="2"/>
  <c r="JQ7" i="2"/>
  <c r="JR7" i="2"/>
  <c r="JS7" i="2"/>
  <c r="JT7" i="2"/>
  <c r="IV8" i="2"/>
  <c r="IW8" i="2"/>
  <c r="IX8" i="2"/>
  <c r="IY8" i="2"/>
  <c r="IZ8" i="2"/>
  <c r="JA8" i="2"/>
  <c r="JB8" i="2"/>
  <c r="JC8" i="2"/>
  <c r="JD8" i="2"/>
  <c r="JE8" i="2"/>
  <c r="JF8" i="2"/>
  <c r="JG8" i="2"/>
  <c r="JH8" i="2"/>
  <c r="JI8" i="2"/>
  <c r="JJ8" i="2"/>
  <c r="JK8" i="2"/>
  <c r="JL8" i="2"/>
  <c r="JM8" i="2"/>
  <c r="JN8" i="2"/>
  <c r="JO8" i="2"/>
  <c r="JP8" i="2"/>
  <c r="JQ8" i="2"/>
  <c r="JR8" i="2"/>
  <c r="JS8" i="2"/>
  <c r="JT8" i="2"/>
  <c r="IV9" i="2"/>
  <c r="IW9" i="2"/>
  <c r="IX9" i="2"/>
  <c r="IY9" i="2"/>
  <c r="IZ9" i="2"/>
  <c r="JA9" i="2"/>
  <c r="JB9" i="2"/>
  <c r="JC9" i="2"/>
  <c r="JD9" i="2"/>
  <c r="JE9" i="2"/>
  <c r="JF9" i="2"/>
  <c r="JG9" i="2"/>
  <c r="JH9" i="2"/>
  <c r="JI9" i="2"/>
  <c r="JJ9" i="2"/>
  <c r="JK9" i="2"/>
  <c r="JL9" i="2"/>
  <c r="JM9" i="2"/>
  <c r="JN9" i="2"/>
  <c r="JO9" i="2"/>
  <c r="JP9" i="2"/>
  <c r="JQ9" i="2"/>
  <c r="JR9" i="2"/>
  <c r="JS9" i="2"/>
  <c r="JT9" i="2"/>
  <c r="IV10" i="2"/>
  <c r="IW10" i="2"/>
  <c r="IX10" i="2"/>
  <c r="IY10" i="2"/>
  <c r="IZ10" i="2"/>
  <c r="JA10" i="2"/>
  <c r="JB10" i="2"/>
  <c r="JC10" i="2"/>
  <c r="JD10" i="2"/>
  <c r="JE10" i="2"/>
  <c r="JF10" i="2"/>
  <c r="JG10" i="2"/>
  <c r="JH10" i="2"/>
  <c r="JI10" i="2"/>
  <c r="JJ10" i="2"/>
  <c r="JK10" i="2"/>
  <c r="JL10" i="2"/>
  <c r="JM10" i="2"/>
  <c r="JN10" i="2"/>
  <c r="JO10" i="2"/>
  <c r="JP10" i="2"/>
  <c r="JQ10" i="2"/>
  <c r="JR10" i="2"/>
  <c r="JS10" i="2"/>
  <c r="JT10" i="2"/>
  <c r="IV11" i="2"/>
  <c r="IW11" i="2"/>
  <c r="IX11" i="2"/>
  <c r="IY11" i="2"/>
  <c r="IZ11" i="2"/>
  <c r="JA11" i="2"/>
  <c r="JB11" i="2"/>
  <c r="JC11" i="2"/>
  <c r="JD11" i="2"/>
  <c r="JE11" i="2"/>
  <c r="JF11" i="2"/>
  <c r="JG11" i="2"/>
  <c r="JH11" i="2"/>
  <c r="JI11" i="2"/>
  <c r="JJ11" i="2"/>
  <c r="JK11" i="2"/>
  <c r="JL11" i="2"/>
  <c r="JM11" i="2"/>
  <c r="JN11" i="2"/>
  <c r="JO11" i="2"/>
  <c r="JP11" i="2"/>
  <c r="JQ11" i="2"/>
  <c r="JR11" i="2"/>
  <c r="JS11" i="2"/>
  <c r="JT11" i="2"/>
  <c r="IV12" i="2"/>
  <c r="IW12" i="2"/>
  <c r="IX12" i="2"/>
  <c r="IY12" i="2"/>
  <c r="IZ12" i="2"/>
  <c r="JA12" i="2"/>
  <c r="JB12" i="2"/>
  <c r="JC12" i="2"/>
  <c r="JD12" i="2"/>
  <c r="JE12" i="2"/>
  <c r="JF12" i="2"/>
  <c r="JG12" i="2"/>
  <c r="JH12" i="2"/>
  <c r="JI12" i="2"/>
  <c r="JJ12" i="2"/>
  <c r="JK12" i="2"/>
  <c r="JL12" i="2"/>
  <c r="JM12" i="2"/>
  <c r="JN12" i="2"/>
  <c r="JO12" i="2"/>
  <c r="JP12" i="2"/>
  <c r="JQ12" i="2"/>
  <c r="JR12" i="2"/>
  <c r="JS12" i="2"/>
  <c r="JT12" i="2"/>
  <c r="IV13" i="2"/>
  <c r="IW13" i="2"/>
  <c r="IX13" i="2"/>
  <c r="IY13" i="2"/>
  <c r="IZ13" i="2"/>
  <c r="JA13" i="2"/>
  <c r="JB13" i="2"/>
  <c r="JC13" i="2"/>
  <c r="JD13" i="2"/>
  <c r="JE13" i="2"/>
  <c r="JF13" i="2"/>
  <c r="JG13" i="2"/>
  <c r="JH13" i="2"/>
  <c r="JI13" i="2"/>
  <c r="JJ13" i="2"/>
  <c r="JK13" i="2"/>
  <c r="JL13" i="2"/>
  <c r="JM13" i="2"/>
  <c r="JN13" i="2"/>
  <c r="JO13" i="2"/>
  <c r="JP13" i="2"/>
  <c r="JQ13" i="2"/>
  <c r="JR13" i="2"/>
  <c r="JS13" i="2"/>
  <c r="JT13" i="2"/>
  <c r="IV14" i="2"/>
  <c r="IW14" i="2"/>
  <c r="IX14" i="2"/>
  <c r="IY14" i="2"/>
  <c r="IZ14" i="2"/>
  <c r="JA14" i="2"/>
  <c r="JB14" i="2"/>
  <c r="JC14" i="2"/>
  <c r="JD14" i="2"/>
  <c r="JE14" i="2"/>
  <c r="JF14" i="2"/>
  <c r="JG14" i="2"/>
  <c r="JH14" i="2"/>
  <c r="JI14" i="2"/>
  <c r="JJ14" i="2"/>
  <c r="JK14" i="2"/>
  <c r="JL14" i="2"/>
  <c r="JM14" i="2"/>
  <c r="JN14" i="2"/>
  <c r="JO14" i="2"/>
  <c r="JP14" i="2"/>
  <c r="JQ14" i="2"/>
  <c r="JR14" i="2"/>
  <c r="JS14" i="2"/>
  <c r="JT14" i="2"/>
  <c r="IV15" i="2"/>
  <c r="IW15" i="2"/>
  <c r="IX15" i="2"/>
  <c r="IY15" i="2"/>
  <c r="IZ15" i="2"/>
  <c r="JA15" i="2"/>
  <c r="JB15" i="2"/>
  <c r="JC15" i="2"/>
  <c r="JD15" i="2"/>
  <c r="JE15" i="2"/>
  <c r="JF15" i="2"/>
  <c r="JG15" i="2"/>
  <c r="JH15" i="2"/>
  <c r="JI15" i="2"/>
  <c r="JJ15" i="2"/>
  <c r="JK15" i="2"/>
  <c r="JL15" i="2"/>
  <c r="JM15" i="2"/>
  <c r="JN15" i="2"/>
  <c r="JO15" i="2"/>
  <c r="JP15" i="2"/>
  <c r="JQ15" i="2"/>
  <c r="JR15" i="2"/>
  <c r="JS15" i="2"/>
  <c r="JT15" i="2"/>
  <c r="IV16" i="2"/>
  <c r="IW16" i="2"/>
  <c r="IX16" i="2"/>
  <c r="IY16" i="2"/>
  <c r="IZ16" i="2"/>
  <c r="JA16" i="2"/>
  <c r="JB16" i="2"/>
  <c r="JC16" i="2"/>
  <c r="JD16" i="2"/>
  <c r="JE16" i="2"/>
  <c r="JF16" i="2"/>
  <c r="JG16" i="2"/>
  <c r="JH16" i="2"/>
  <c r="JI16" i="2"/>
  <c r="JJ16" i="2"/>
  <c r="JK16" i="2"/>
  <c r="JL16" i="2"/>
  <c r="JM16" i="2"/>
  <c r="JN16" i="2"/>
  <c r="JO16" i="2"/>
  <c r="JP16" i="2"/>
  <c r="JQ16" i="2"/>
  <c r="JR16" i="2"/>
  <c r="JS16" i="2"/>
  <c r="JT16" i="2"/>
  <c r="IV17" i="2"/>
  <c r="IW17" i="2"/>
  <c r="IX17" i="2"/>
  <c r="IY17" i="2"/>
  <c r="IZ17" i="2"/>
  <c r="JA17" i="2"/>
  <c r="JB17" i="2"/>
  <c r="JC17" i="2"/>
  <c r="JD17" i="2"/>
  <c r="JE17" i="2"/>
  <c r="JF17" i="2"/>
  <c r="JG17" i="2"/>
  <c r="JH17" i="2"/>
  <c r="JI17" i="2"/>
  <c r="JJ17" i="2"/>
  <c r="JK17" i="2"/>
  <c r="JL17" i="2"/>
  <c r="JM17" i="2"/>
  <c r="JN17" i="2"/>
  <c r="JO17" i="2"/>
  <c r="JP17" i="2"/>
  <c r="JQ17" i="2"/>
  <c r="JR17" i="2"/>
  <c r="JS17" i="2"/>
  <c r="JT17" i="2"/>
  <c r="IV18" i="2"/>
  <c r="IW18" i="2"/>
  <c r="IX18" i="2"/>
  <c r="IY18" i="2"/>
  <c r="IZ18" i="2"/>
  <c r="JA18" i="2"/>
  <c r="JB18" i="2"/>
  <c r="JC18" i="2"/>
  <c r="JD18" i="2"/>
  <c r="JE18" i="2"/>
  <c r="JF18" i="2"/>
  <c r="JG18" i="2"/>
  <c r="JH18" i="2"/>
  <c r="JI18" i="2"/>
  <c r="JJ18" i="2"/>
  <c r="JK18" i="2"/>
  <c r="JL18" i="2"/>
  <c r="JM18" i="2"/>
  <c r="JN18" i="2"/>
  <c r="JO18" i="2"/>
  <c r="JP18" i="2"/>
  <c r="JQ18" i="2"/>
  <c r="JR18" i="2"/>
  <c r="JS18" i="2"/>
  <c r="JT18" i="2"/>
  <c r="IV19" i="2"/>
  <c r="IW19" i="2"/>
  <c r="IX19" i="2"/>
  <c r="IY19" i="2"/>
  <c r="IZ19" i="2"/>
  <c r="JA19" i="2"/>
  <c r="JB19" i="2"/>
  <c r="JC19" i="2"/>
  <c r="JD19" i="2"/>
  <c r="JE19" i="2"/>
  <c r="JF19" i="2"/>
  <c r="JG19" i="2"/>
  <c r="JH19" i="2"/>
  <c r="JI19" i="2"/>
  <c r="JJ19" i="2"/>
  <c r="JK19" i="2"/>
  <c r="JL19" i="2"/>
  <c r="JM19" i="2"/>
  <c r="JN19" i="2"/>
  <c r="JO19" i="2"/>
  <c r="JP19" i="2"/>
  <c r="JQ19" i="2"/>
  <c r="JR19" i="2"/>
  <c r="JS19" i="2"/>
  <c r="JT19" i="2"/>
  <c r="IV20" i="2"/>
  <c r="IW20" i="2"/>
  <c r="IX20" i="2"/>
  <c r="IY20" i="2"/>
  <c r="IZ20" i="2"/>
  <c r="JA20" i="2"/>
  <c r="JB20" i="2"/>
  <c r="JC20" i="2"/>
  <c r="JD20" i="2"/>
  <c r="JE20" i="2"/>
  <c r="JF20" i="2"/>
  <c r="JG20" i="2"/>
  <c r="JH20" i="2"/>
  <c r="JI20" i="2"/>
  <c r="JJ20" i="2"/>
  <c r="JK20" i="2"/>
  <c r="JL20" i="2"/>
  <c r="JM20" i="2"/>
  <c r="JN20" i="2"/>
  <c r="JO20" i="2"/>
  <c r="JP20" i="2"/>
  <c r="JQ20" i="2"/>
  <c r="JR20" i="2"/>
  <c r="JS20" i="2"/>
  <c r="JT20" i="2"/>
  <c r="IV21" i="2"/>
  <c r="IW21" i="2"/>
  <c r="IX21" i="2"/>
  <c r="IY21" i="2"/>
  <c r="IZ21" i="2"/>
  <c r="JA21" i="2"/>
  <c r="JB21" i="2"/>
  <c r="JC21" i="2"/>
  <c r="JD21" i="2"/>
  <c r="JE21" i="2"/>
  <c r="JF21" i="2"/>
  <c r="JG21" i="2"/>
  <c r="JH21" i="2"/>
  <c r="JI21" i="2"/>
  <c r="JJ21" i="2"/>
  <c r="JK21" i="2"/>
  <c r="JL21" i="2"/>
  <c r="JM21" i="2"/>
  <c r="JN21" i="2"/>
  <c r="JO21" i="2"/>
  <c r="JP21" i="2"/>
  <c r="JQ21" i="2"/>
  <c r="JR21" i="2"/>
  <c r="JS21" i="2"/>
  <c r="JT21" i="2"/>
  <c r="IV22" i="2"/>
  <c r="IW22" i="2"/>
  <c r="IX22" i="2"/>
  <c r="IY22" i="2"/>
  <c r="IZ22" i="2"/>
  <c r="JA22" i="2"/>
  <c r="JB22" i="2"/>
  <c r="JC22" i="2"/>
  <c r="JD22" i="2"/>
  <c r="JE22" i="2"/>
  <c r="JF22" i="2"/>
  <c r="JG22" i="2"/>
  <c r="JH22" i="2"/>
  <c r="JI22" i="2"/>
  <c r="JJ22" i="2"/>
  <c r="JK22" i="2"/>
  <c r="JL22" i="2"/>
  <c r="JM22" i="2"/>
  <c r="JN22" i="2"/>
  <c r="JO22" i="2"/>
  <c r="JP22" i="2"/>
  <c r="JQ22" i="2"/>
  <c r="JR22" i="2"/>
  <c r="JS22" i="2"/>
  <c r="JT22" i="2"/>
  <c r="IV23" i="2"/>
  <c r="IW23" i="2"/>
  <c r="IX23" i="2"/>
  <c r="IY23" i="2"/>
  <c r="IZ23" i="2"/>
  <c r="JA23" i="2"/>
  <c r="JB23" i="2"/>
  <c r="JC23" i="2"/>
  <c r="JD23" i="2"/>
  <c r="JE23" i="2"/>
  <c r="JF23" i="2"/>
  <c r="JG23" i="2"/>
  <c r="JH23" i="2"/>
  <c r="JI23" i="2"/>
  <c r="JJ23" i="2"/>
  <c r="JK23" i="2"/>
  <c r="JL23" i="2"/>
  <c r="JM23" i="2"/>
  <c r="JN23" i="2"/>
  <c r="JO23" i="2"/>
  <c r="JP23" i="2"/>
  <c r="JQ23" i="2"/>
  <c r="JR23" i="2"/>
  <c r="JS23" i="2"/>
  <c r="JT23" i="2"/>
  <c r="IV24" i="2"/>
  <c r="IW24" i="2"/>
  <c r="IX24" i="2"/>
  <c r="IY24" i="2"/>
  <c r="IZ24" i="2"/>
  <c r="JA24" i="2"/>
  <c r="JB24" i="2"/>
  <c r="JC24" i="2"/>
  <c r="JD24" i="2"/>
  <c r="JE24" i="2"/>
  <c r="JF24" i="2"/>
  <c r="JG24" i="2"/>
  <c r="JH24" i="2"/>
  <c r="JI24" i="2"/>
  <c r="JJ24" i="2"/>
  <c r="JK24" i="2"/>
  <c r="JL24" i="2"/>
  <c r="JM24" i="2"/>
  <c r="JN24" i="2"/>
  <c r="JO24" i="2"/>
  <c r="JP24" i="2"/>
  <c r="JQ24" i="2"/>
  <c r="JR24" i="2"/>
  <c r="JS24" i="2"/>
  <c r="JT24" i="2"/>
  <c r="IV25" i="2"/>
  <c r="IW25" i="2"/>
  <c r="IX25" i="2"/>
  <c r="IY25" i="2"/>
  <c r="IZ25" i="2"/>
  <c r="JA25" i="2"/>
  <c r="JB25" i="2"/>
  <c r="JC25" i="2"/>
  <c r="JD25" i="2"/>
  <c r="JE25" i="2"/>
  <c r="JF25" i="2"/>
  <c r="JG25" i="2"/>
  <c r="JH25" i="2"/>
  <c r="JI25" i="2"/>
  <c r="JJ25" i="2"/>
  <c r="JK25" i="2"/>
  <c r="JL25" i="2"/>
  <c r="JM25" i="2"/>
  <c r="JN25" i="2"/>
  <c r="JO25" i="2"/>
  <c r="JP25" i="2"/>
  <c r="JQ25" i="2"/>
  <c r="JR25" i="2"/>
  <c r="JS25" i="2"/>
  <c r="JT25" i="2"/>
  <c r="IV26" i="2"/>
  <c r="IW26" i="2"/>
  <c r="IX26" i="2"/>
  <c r="IY26" i="2"/>
  <c r="IZ26" i="2"/>
  <c r="JA26" i="2"/>
  <c r="JB26" i="2"/>
  <c r="JC26" i="2"/>
  <c r="JD26" i="2"/>
  <c r="JE26" i="2"/>
  <c r="JF26" i="2"/>
  <c r="JG26" i="2"/>
  <c r="JH26" i="2"/>
  <c r="JI26" i="2"/>
  <c r="JJ26" i="2"/>
  <c r="JK26" i="2"/>
  <c r="JL26" i="2"/>
  <c r="JM26" i="2"/>
  <c r="JN26" i="2"/>
  <c r="JO26" i="2"/>
  <c r="JP26" i="2"/>
  <c r="JQ26" i="2"/>
  <c r="JR26" i="2"/>
  <c r="JS26" i="2"/>
  <c r="JT26" i="2"/>
  <c r="IV27" i="2"/>
  <c r="IW27" i="2"/>
  <c r="IX27" i="2"/>
  <c r="IY27" i="2"/>
  <c r="IZ27" i="2"/>
  <c r="JA27" i="2"/>
  <c r="JB27" i="2"/>
  <c r="JC27" i="2"/>
  <c r="JD27" i="2"/>
  <c r="JE27" i="2"/>
  <c r="JF27" i="2"/>
  <c r="JG27" i="2"/>
  <c r="JH27" i="2"/>
  <c r="JI27" i="2"/>
  <c r="JJ27" i="2"/>
  <c r="JK27" i="2"/>
  <c r="JL27" i="2"/>
  <c r="JM27" i="2"/>
  <c r="JN27" i="2"/>
  <c r="JO27" i="2"/>
  <c r="JP27" i="2"/>
  <c r="JQ27" i="2"/>
  <c r="JR27" i="2"/>
  <c r="JS27" i="2"/>
  <c r="JT27" i="2"/>
  <c r="IV28" i="2"/>
  <c r="IW28" i="2"/>
  <c r="IX28" i="2"/>
  <c r="IY28" i="2"/>
  <c r="IZ28" i="2"/>
  <c r="JA28" i="2"/>
  <c r="JB28" i="2"/>
  <c r="JC28" i="2"/>
  <c r="JD28" i="2"/>
  <c r="JE28" i="2"/>
  <c r="JF28" i="2"/>
  <c r="JG28" i="2"/>
  <c r="JH28" i="2"/>
  <c r="JI28" i="2"/>
  <c r="JJ28" i="2"/>
  <c r="JK28" i="2"/>
  <c r="JL28" i="2"/>
  <c r="JM28" i="2"/>
  <c r="JN28" i="2"/>
  <c r="JO28" i="2"/>
  <c r="JP28" i="2"/>
  <c r="JQ28" i="2"/>
  <c r="JR28" i="2"/>
  <c r="JS28" i="2"/>
  <c r="JT28" i="2"/>
  <c r="IV29" i="2"/>
  <c r="IW29" i="2"/>
  <c r="IX29" i="2"/>
  <c r="IY29" i="2"/>
  <c r="IZ29" i="2"/>
  <c r="JA29" i="2"/>
  <c r="JB29" i="2"/>
  <c r="JC29" i="2"/>
  <c r="JD29" i="2"/>
  <c r="JE29" i="2"/>
  <c r="JF29" i="2"/>
  <c r="JG29" i="2"/>
  <c r="JH29" i="2"/>
  <c r="JI29" i="2"/>
  <c r="JJ29" i="2"/>
  <c r="JK29" i="2"/>
  <c r="JL29" i="2"/>
  <c r="JM29" i="2"/>
  <c r="JN29" i="2"/>
  <c r="JO29" i="2"/>
  <c r="JP29" i="2"/>
  <c r="JQ29" i="2"/>
  <c r="JR29" i="2"/>
  <c r="JS29" i="2"/>
  <c r="JT29" i="2"/>
  <c r="IV30" i="2"/>
  <c r="IW30" i="2"/>
  <c r="IX30" i="2"/>
  <c r="IY30" i="2"/>
  <c r="IZ30" i="2"/>
  <c r="JA30" i="2"/>
  <c r="JB30" i="2"/>
  <c r="JC30" i="2"/>
  <c r="JD30" i="2"/>
  <c r="JE30" i="2"/>
  <c r="JF30" i="2"/>
  <c r="JG30" i="2"/>
  <c r="JH30" i="2"/>
  <c r="JI30" i="2"/>
  <c r="JJ30" i="2"/>
  <c r="JK30" i="2"/>
  <c r="JL30" i="2"/>
  <c r="JM30" i="2"/>
  <c r="JN30" i="2"/>
  <c r="JO30" i="2"/>
  <c r="JP30" i="2"/>
  <c r="JQ30" i="2"/>
  <c r="JR30" i="2"/>
  <c r="JS30" i="2"/>
  <c r="JT30" i="2"/>
  <c r="IV31" i="2"/>
  <c r="IW31" i="2"/>
  <c r="IX31" i="2"/>
  <c r="IY31" i="2"/>
  <c r="IZ31" i="2"/>
  <c r="JA31" i="2"/>
  <c r="JB31" i="2"/>
  <c r="JC31" i="2"/>
  <c r="JD31" i="2"/>
  <c r="JE31" i="2"/>
  <c r="JF31" i="2"/>
  <c r="JG31" i="2"/>
  <c r="JH31" i="2"/>
  <c r="JI31" i="2"/>
  <c r="JJ31" i="2"/>
  <c r="JK31" i="2"/>
  <c r="JL31" i="2"/>
  <c r="JM31" i="2"/>
  <c r="JN31" i="2"/>
  <c r="JO31" i="2"/>
  <c r="JP31" i="2"/>
  <c r="JQ31" i="2"/>
  <c r="JR31" i="2"/>
  <c r="JS31" i="2"/>
  <c r="JT31" i="2"/>
  <c r="IV32" i="2"/>
  <c r="IW32" i="2"/>
  <c r="IX32" i="2"/>
  <c r="IY32" i="2"/>
  <c r="IZ32" i="2"/>
  <c r="JA32" i="2"/>
  <c r="JB32" i="2"/>
  <c r="JC32" i="2"/>
  <c r="JD32" i="2"/>
  <c r="JE32" i="2"/>
  <c r="JF32" i="2"/>
  <c r="JG32" i="2"/>
  <c r="JH32" i="2"/>
  <c r="JI32" i="2"/>
  <c r="JJ32" i="2"/>
  <c r="JK32" i="2"/>
  <c r="JL32" i="2"/>
  <c r="JM32" i="2"/>
  <c r="JN32" i="2"/>
  <c r="JO32" i="2"/>
  <c r="JP32" i="2"/>
  <c r="JQ32" i="2"/>
  <c r="JR32" i="2"/>
  <c r="JS32" i="2"/>
  <c r="JT32" i="2"/>
  <c r="IV33" i="2"/>
  <c r="IW33" i="2"/>
  <c r="IX33" i="2"/>
  <c r="IY33" i="2"/>
  <c r="IZ33" i="2"/>
  <c r="JA33" i="2"/>
  <c r="JB33" i="2"/>
  <c r="JC33" i="2"/>
  <c r="JD33" i="2"/>
  <c r="JE33" i="2"/>
  <c r="JF33" i="2"/>
  <c r="JG33" i="2"/>
  <c r="JH33" i="2"/>
  <c r="JI33" i="2"/>
  <c r="JJ33" i="2"/>
  <c r="JK33" i="2"/>
  <c r="JL33" i="2"/>
  <c r="JM33" i="2"/>
  <c r="JN33" i="2"/>
  <c r="JO33" i="2"/>
  <c r="JP33" i="2"/>
  <c r="JQ33" i="2"/>
  <c r="JR33" i="2"/>
  <c r="JS33" i="2"/>
  <c r="JT33" i="2"/>
  <c r="IV34" i="2"/>
  <c r="IW34" i="2"/>
  <c r="IX34" i="2"/>
  <c r="IY34" i="2"/>
  <c r="IZ34" i="2"/>
  <c r="JA34" i="2"/>
  <c r="JB34" i="2"/>
  <c r="JC34" i="2"/>
  <c r="JD34" i="2"/>
  <c r="JE34" i="2"/>
  <c r="JF34" i="2"/>
  <c r="JG34" i="2"/>
  <c r="JH34" i="2"/>
  <c r="JI34" i="2"/>
  <c r="JJ34" i="2"/>
  <c r="JK34" i="2"/>
  <c r="JL34" i="2"/>
  <c r="JM34" i="2"/>
  <c r="JN34" i="2"/>
  <c r="JO34" i="2"/>
  <c r="JP34" i="2"/>
  <c r="JQ34" i="2"/>
  <c r="JR34" i="2"/>
  <c r="JS34" i="2"/>
  <c r="JT34" i="2"/>
  <c r="IV35" i="2"/>
  <c r="IW35" i="2"/>
  <c r="IX35" i="2"/>
  <c r="IY35" i="2"/>
  <c r="IZ35" i="2"/>
  <c r="JA35" i="2"/>
  <c r="JB35" i="2"/>
  <c r="JC35" i="2"/>
  <c r="JD35" i="2"/>
  <c r="JE35" i="2"/>
  <c r="JF35" i="2"/>
  <c r="JG35" i="2"/>
  <c r="JH35" i="2"/>
  <c r="JI35" i="2"/>
  <c r="JJ35" i="2"/>
  <c r="JK35" i="2"/>
  <c r="JL35" i="2"/>
  <c r="JM35" i="2"/>
  <c r="JN35" i="2"/>
  <c r="JO35" i="2"/>
  <c r="JP35" i="2"/>
  <c r="JQ35" i="2"/>
  <c r="JR35" i="2"/>
  <c r="JS35" i="2"/>
  <c r="JT35" i="2"/>
  <c r="IV36" i="2"/>
  <c r="IW36" i="2"/>
  <c r="IX36" i="2"/>
  <c r="IY36" i="2"/>
  <c r="IZ36" i="2"/>
  <c r="JA36" i="2"/>
  <c r="JB36" i="2"/>
  <c r="JC36" i="2"/>
  <c r="JD36" i="2"/>
  <c r="JE36" i="2"/>
  <c r="JF36" i="2"/>
  <c r="JG36" i="2"/>
  <c r="JH36" i="2"/>
  <c r="JI36" i="2"/>
  <c r="JJ36" i="2"/>
  <c r="JK36" i="2"/>
  <c r="JL36" i="2"/>
  <c r="JM36" i="2"/>
  <c r="JN36" i="2"/>
  <c r="JO36" i="2"/>
  <c r="JP36" i="2"/>
  <c r="JQ36" i="2"/>
  <c r="JR36" i="2"/>
  <c r="JS36" i="2"/>
  <c r="JT36" i="2"/>
  <c r="IV37" i="2"/>
  <c r="IW37" i="2"/>
  <c r="IX37" i="2"/>
  <c r="IY37" i="2"/>
  <c r="IZ37" i="2"/>
  <c r="JA37" i="2"/>
  <c r="JB37" i="2"/>
  <c r="JC37" i="2"/>
  <c r="JD37" i="2"/>
  <c r="JE37" i="2"/>
  <c r="JF37" i="2"/>
  <c r="JG37" i="2"/>
  <c r="JH37" i="2"/>
  <c r="JI37" i="2"/>
  <c r="JJ37" i="2"/>
  <c r="JK37" i="2"/>
  <c r="JL37" i="2"/>
  <c r="JM37" i="2"/>
  <c r="JN37" i="2"/>
  <c r="JO37" i="2"/>
  <c r="JP37" i="2"/>
  <c r="JQ37" i="2"/>
  <c r="JR37" i="2"/>
  <c r="JS37" i="2"/>
  <c r="JT37" i="2"/>
  <c r="IV38" i="2"/>
  <c r="IW38" i="2"/>
  <c r="IX38" i="2"/>
  <c r="IY38" i="2"/>
  <c r="IZ38" i="2"/>
  <c r="JA38" i="2"/>
  <c r="JB38" i="2"/>
  <c r="JC38" i="2"/>
  <c r="JD38" i="2"/>
  <c r="JE38" i="2"/>
  <c r="JF38" i="2"/>
  <c r="JG38" i="2"/>
  <c r="JH38" i="2"/>
  <c r="JI38" i="2"/>
  <c r="JJ38" i="2"/>
  <c r="JK38" i="2"/>
  <c r="JL38" i="2"/>
  <c r="JM38" i="2"/>
  <c r="JN38" i="2"/>
  <c r="JO38" i="2"/>
  <c r="JP38" i="2"/>
  <c r="JQ38" i="2"/>
  <c r="JR38" i="2"/>
  <c r="JS38" i="2"/>
  <c r="JT38" i="2"/>
  <c r="IV39" i="2"/>
  <c r="IW39" i="2"/>
  <c r="IX39" i="2"/>
  <c r="IY39" i="2"/>
  <c r="IZ39" i="2"/>
  <c r="JA39" i="2"/>
  <c r="JB39" i="2"/>
  <c r="JC39" i="2"/>
  <c r="JD39" i="2"/>
  <c r="JE39" i="2"/>
  <c r="JF39" i="2"/>
  <c r="JG39" i="2"/>
  <c r="JH39" i="2"/>
  <c r="JI39" i="2"/>
  <c r="JJ39" i="2"/>
  <c r="JK39" i="2"/>
  <c r="JL39" i="2"/>
  <c r="JM39" i="2"/>
  <c r="JN39" i="2"/>
  <c r="JO39" i="2"/>
  <c r="JP39" i="2"/>
  <c r="JQ39" i="2"/>
  <c r="JR39" i="2"/>
  <c r="JS39" i="2"/>
  <c r="JT39" i="2"/>
  <c r="IV40" i="2"/>
  <c r="IW40" i="2"/>
  <c r="IX40" i="2"/>
  <c r="IY40" i="2"/>
  <c r="IZ40" i="2"/>
  <c r="JA40" i="2"/>
  <c r="JB40" i="2"/>
  <c r="JC40" i="2"/>
  <c r="JD40" i="2"/>
  <c r="JE40" i="2"/>
  <c r="JF40" i="2"/>
  <c r="JG40" i="2"/>
  <c r="JH40" i="2"/>
  <c r="JI40" i="2"/>
  <c r="JJ40" i="2"/>
  <c r="JK40" i="2"/>
  <c r="JL40" i="2"/>
  <c r="JM40" i="2"/>
  <c r="JN40" i="2"/>
  <c r="JO40" i="2"/>
  <c r="JP40" i="2"/>
  <c r="JQ40" i="2"/>
  <c r="JR40" i="2"/>
  <c r="JS40" i="2"/>
  <c r="JT40" i="2"/>
  <c r="IV41" i="2"/>
  <c r="IW41" i="2"/>
  <c r="IX41" i="2"/>
  <c r="IY41" i="2"/>
  <c r="IZ41" i="2"/>
  <c r="JA41" i="2"/>
  <c r="JB41" i="2"/>
  <c r="JC41" i="2"/>
  <c r="JD41" i="2"/>
  <c r="JE41" i="2"/>
  <c r="JF41" i="2"/>
  <c r="JG41" i="2"/>
  <c r="JH41" i="2"/>
  <c r="JI41" i="2"/>
  <c r="JJ41" i="2"/>
  <c r="JK41" i="2"/>
  <c r="JL41" i="2"/>
  <c r="JM41" i="2"/>
  <c r="JN41" i="2"/>
  <c r="JO41" i="2"/>
  <c r="JP41" i="2"/>
  <c r="JQ41" i="2"/>
  <c r="JR41" i="2"/>
  <c r="JS41" i="2"/>
  <c r="JT41" i="2"/>
  <c r="IV42" i="2"/>
  <c r="IW42" i="2"/>
  <c r="IX42" i="2"/>
  <c r="IY42" i="2"/>
  <c r="IZ42" i="2"/>
  <c r="JA42" i="2"/>
  <c r="JB42" i="2"/>
  <c r="JC42" i="2"/>
  <c r="JD42" i="2"/>
  <c r="JE42" i="2"/>
  <c r="JF42" i="2"/>
  <c r="JG42" i="2"/>
  <c r="JH42" i="2"/>
  <c r="JI42" i="2"/>
  <c r="JJ42" i="2"/>
  <c r="JK42" i="2"/>
  <c r="JL42" i="2"/>
  <c r="JM42" i="2"/>
  <c r="JN42" i="2"/>
  <c r="JO42" i="2"/>
  <c r="JP42" i="2"/>
  <c r="JQ42" i="2"/>
  <c r="JR42" i="2"/>
  <c r="JS42" i="2"/>
  <c r="JT42" i="2"/>
  <c r="IV43" i="2"/>
  <c r="IW43" i="2"/>
  <c r="IX43" i="2"/>
  <c r="IY43" i="2"/>
  <c r="IZ43" i="2"/>
  <c r="JA43" i="2"/>
  <c r="JB43" i="2"/>
  <c r="JC43" i="2"/>
  <c r="JD43" i="2"/>
  <c r="JE43" i="2"/>
  <c r="JF43" i="2"/>
  <c r="JG43" i="2"/>
  <c r="JH43" i="2"/>
  <c r="JI43" i="2"/>
  <c r="JJ43" i="2"/>
  <c r="JK43" i="2"/>
  <c r="JL43" i="2"/>
  <c r="JM43" i="2"/>
  <c r="JN43" i="2"/>
  <c r="JO43" i="2"/>
  <c r="JP43" i="2"/>
  <c r="JQ43" i="2"/>
  <c r="JR43" i="2"/>
  <c r="JS43" i="2"/>
  <c r="JT43" i="2"/>
  <c r="IV44" i="2"/>
  <c r="IW44" i="2"/>
  <c r="IX44" i="2"/>
  <c r="IY44" i="2"/>
  <c r="IZ44" i="2"/>
  <c r="JA44" i="2"/>
  <c r="JB44" i="2"/>
  <c r="JC44" i="2"/>
  <c r="JD44" i="2"/>
  <c r="JE44" i="2"/>
  <c r="JF44" i="2"/>
  <c r="JG44" i="2"/>
  <c r="JH44" i="2"/>
  <c r="JI44" i="2"/>
  <c r="JJ44" i="2"/>
  <c r="JK44" i="2"/>
  <c r="JL44" i="2"/>
  <c r="JM44" i="2"/>
  <c r="JN44" i="2"/>
  <c r="JO44" i="2"/>
  <c r="JP44" i="2"/>
  <c r="JQ44" i="2"/>
  <c r="JR44" i="2"/>
  <c r="JS44" i="2"/>
  <c r="JT44" i="2"/>
  <c r="IV45" i="2"/>
  <c r="IW45" i="2"/>
  <c r="IX45" i="2"/>
  <c r="IY45" i="2"/>
  <c r="IZ45" i="2"/>
  <c r="JA45" i="2"/>
  <c r="JB45" i="2"/>
  <c r="JC45" i="2"/>
  <c r="JD45" i="2"/>
  <c r="JE45" i="2"/>
  <c r="JF45" i="2"/>
  <c r="JG45" i="2"/>
  <c r="JH45" i="2"/>
  <c r="JI45" i="2"/>
  <c r="JJ45" i="2"/>
  <c r="JK45" i="2"/>
  <c r="JL45" i="2"/>
  <c r="JM45" i="2"/>
  <c r="JN45" i="2"/>
  <c r="JO45" i="2"/>
  <c r="JP45" i="2"/>
  <c r="JQ45" i="2"/>
  <c r="JR45" i="2"/>
  <c r="JS45" i="2"/>
  <c r="JT45" i="2"/>
  <c r="IV46" i="2"/>
  <c r="IW46" i="2"/>
  <c r="IX46" i="2"/>
  <c r="IY46" i="2"/>
  <c r="IZ46" i="2"/>
  <c r="JA46" i="2"/>
  <c r="JB46" i="2"/>
  <c r="JC46" i="2"/>
  <c r="JD46" i="2"/>
  <c r="JE46" i="2"/>
  <c r="JF46" i="2"/>
  <c r="JG46" i="2"/>
  <c r="JH46" i="2"/>
  <c r="JI46" i="2"/>
  <c r="JJ46" i="2"/>
  <c r="JK46" i="2"/>
  <c r="JL46" i="2"/>
  <c r="JM46" i="2"/>
  <c r="JN46" i="2"/>
  <c r="JO46" i="2"/>
  <c r="JP46" i="2"/>
  <c r="JQ46" i="2"/>
  <c r="JR46" i="2"/>
  <c r="JS46" i="2"/>
  <c r="JT46" i="2"/>
  <c r="IV47" i="2"/>
  <c r="IW47" i="2"/>
  <c r="IX47" i="2"/>
  <c r="IY47" i="2"/>
  <c r="IZ47" i="2"/>
  <c r="JA47" i="2"/>
  <c r="JB47" i="2"/>
  <c r="JC47" i="2"/>
  <c r="JD47" i="2"/>
  <c r="JE47" i="2"/>
  <c r="JF47" i="2"/>
  <c r="JG47" i="2"/>
  <c r="JH47" i="2"/>
  <c r="JI47" i="2"/>
  <c r="JJ47" i="2"/>
  <c r="JK47" i="2"/>
  <c r="JL47" i="2"/>
  <c r="JM47" i="2"/>
  <c r="JN47" i="2"/>
  <c r="JO47" i="2"/>
  <c r="JP47" i="2"/>
  <c r="JQ47" i="2"/>
  <c r="JR47" i="2"/>
  <c r="JS47" i="2"/>
  <c r="JT47" i="2"/>
  <c r="IV48" i="2"/>
  <c r="IW48" i="2"/>
  <c r="IX48" i="2"/>
  <c r="IY48" i="2"/>
  <c r="IZ48" i="2"/>
  <c r="JA48" i="2"/>
  <c r="JB48" i="2"/>
  <c r="JC48" i="2"/>
  <c r="JD48" i="2"/>
  <c r="JE48" i="2"/>
  <c r="JF48" i="2"/>
  <c r="JG48" i="2"/>
  <c r="JH48" i="2"/>
  <c r="JI48" i="2"/>
  <c r="JJ48" i="2"/>
  <c r="JK48" i="2"/>
  <c r="JL48" i="2"/>
  <c r="JM48" i="2"/>
  <c r="JN48" i="2"/>
  <c r="JO48" i="2"/>
  <c r="JP48" i="2"/>
  <c r="JQ48" i="2"/>
  <c r="JR48" i="2"/>
  <c r="JS48" i="2"/>
  <c r="JT48" i="2"/>
  <c r="IV49" i="2"/>
  <c r="IW49" i="2"/>
  <c r="IX49" i="2"/>
  <c r="IY49" i="2"/>
  <c r="IZ49" i="2"/>
  <c r="JA49" i="2"/>
  <c r="JB49" i="2"/>
  <c r="JC49" i="2"/>
  <c r="JD49" i="2"/>
  <c r="JE49" i="2"/>
  <c r="JF49" i="2"/>
  <c r="JG49" i="2"/>
  <c r="JH49" i="2"/>
  <c r="JI49" i="2"/>
  <c r="JJ49" i="2"/>
  <c r="JK49" i="2"/>
  <c r="JL49" i="2"/>
  <c r="JM49" i="2"/>
  <c r="JN49" i="2"/>
  <c r="JO49" i="2"/>
  <c r="JP49" i="2"/>
  <c r="JQ49" i="2"/>
  <c r="JR49" i="2"/>
  <c r="JS49" i="2"/>
  <c r="JT49" i="2"/>
  <c r="IV50" i="2"/>
  <c r="IW50" i="2"/>
  <c r="IX50" i="2"/>
  <c r="IY50" i="2"/>
  <c r="IZ50" i="2"/>
  <c r="JA50" i="2"/>
  <c r="JB50" i="2"/>
  <c r="JC50" i="2"/>
  <c r="JD50" i="2"/>
  <c r="JE50" i="2"/>
  <c r="JF50" i="2"/>
  <c r="JG50" i="2"/>
  <c r="JH50" i="2"/>
  <c r="JI50" i="2"/>
  <c r="JJ50" i="2"/>
  <c r="JK50" i="2"/>
  <c r="JL50" i="2"/>
  <c r="JM50" i="2"/>
  <c r="JN50" i="2"/>
  <c r="JO50" i="2"/>
  <c r="JP50" i="2"/>
  <c r="JQ50" i="2"/>
  <c r="JR50" i="2"/>
  <c r="JS50" i="2"/>
  <c r="JT50" i="2"/>
  <c r="IV51" i="2"/>
  <c r="IW51" i="2"/>
  <c r="IX51" i="2"/>
  <c r="IY51" i="2"/>
  <c r="IZ51" i="2"/>
  <c r="JA51" i="2"/>
  <c r="JB51" i="2"/>
  <c r="JC51" i="2"/>
  <c r="JD51" i="2"/>
  <c r="JE51" i="2"/>
  <c r="JF51" i="2"/>
  <c r="JG51" i="2"/>
  <c r="JH51" i="2"/>
  <c r="JI51" i="2"/>
  <c r="JJ51" i="2"/>
  <c r="JK51" i="2"/>
  <c r="JL51" i="2"/>
  <c r="JM51" i="2"/>
  <c r="JN51" i="2"/>
  <c r="JO51" i="2"/>
  <c r="JP51" i="2"/>
  <c r="JQ51" i="2"/>
  <c r="JR51" i="2"/>
  <c r="JS51" i="2"/>
  <c r="JT51" i="2"/>
  <c r="IV52" i="2"/>
  <c r="IW52" i="2"/>
  <c r="IX52" i="2"/>
  <c r="IY52" i="2"/>
  <c r="IZ52" i="2"/>
  <c r="JA52" i="2"/>
  <c r="JB52" i="2"/>
  <c r="JC52" i="2"/>
  <c r="JD52" i="2"/>
  <c r="JE52" i="2"/>
  <c r="JF52" i="2"/>
  <c r="JG52" i="2"/>
  <c r="JH52" i="2"/>
  <c r="JI52" i="2"/>
  <c r="JJ52" i="2"/>
  <c r="JK52" i="2"/>
  <c r="JL52" i="2"/>
  <c r="JM52" i="2"/>
  <c r="JN52" i="2"/>
  <c r="JO52" i="2"/>
  <c r="JP52" i="2"/>
  <c r="JQ52" i="2"/>
  <c r="JR52" i="2"/>
  <c r="JS52" i="2"/>
  <c r="JT52" i="2"/>
  <c r="IV53" i="2"/>
  <c r="IW53" i="2"/>
  <c r="IX53" i="2"/>
  <c r="IY53" i="2"/>
  <c r="IZ53" i="2"/>
  <c r="JA53" i="2"/>
  <c r="JB53" i="2"/>
  <c r="JC53" i="2"/>
  <c r="JD53" i="2"/>
  <c r="JE53" i="2"/>
  <c r="JF53" i="2"/>
  <c r="JG53" i="2"/>
  <c r="JH53" i="2"/>
  <c r="JI53" i="2"/>
  <c r="JJ53" i="2"/>
  <c r="JK53" i="2"/>
  <c r="JL53" i="2"/>
  <c r="JM53" i="2"/>
  <c r="JN53" i="2"/>
  <c r="JO53" i="2"/>
  <c r="JP53" i="2"/>
  <c r="JQ53" i="2"/>
  <c r="JR53" i="2"/>
  <c r="JS53" i="2"/>
  <c r="JT53" i="2"/>
  <c r="IV54" i="2"/>
  <c r="IW54" i="2"/>
  <c r="IX54" i="2"/>
  <c r="IY54" i="2"/>
  <c r="IZ54" i="2"/>
  <c r="JA54" i="2"/>
  <c r="JB54" i="2"/>
  <c r="JC54" i="2"/>
  <c r="JD54" i="2"/>
  <c r="JE54" i="2"/>
  <c r="JF54" i="2"/>
  <c r="JG54" i="2"/>
  <c r="JH54" i="2"/>
  <c r="JI54" i="2"/>
  <c r="JJ54" i="2"/>
  <c r="JK54" i="2"/>
  <c r="JL54" i="2"/>
  <c r="JM54" i="2"/>
  <c r="JN54" i="2"/>
  <c r="JO54" i="2"/>
  <c r="JP54" i="2"/>
  <c r="JQ54" i="2"/>
  <c r="JR54" i="2"/>
  <c r="JS54" i="2"/>
  <c r="JT54" i="2"/>
  <c r="IV55" i="2"/>
  <c r="IW55" i="2"/>
  <c r="IX55" i="2"/>
  <c r="IY55" i="2"/>
  <c r="IZ55" i="2"/>
  <c r="JA55" i="2"/>
  <c r="JB55" i="2"/>
  <c r="JC55" i="2"/>
  <c r="JD55" i="2"/>
  <c r="JE55" i="2"/>
  <c r="JF55" i="2"/>
  <c r="JG55" i="2"/>
  <c r="JH55" i="2"/>
  <c r="JI55" i="2"/>
  <c r="JJ55" i="2"/>
  <c r="JK55" i="2"/>
  <c r="JL55" i="2"/>
  <c r="JM55" i="2"/>
  <c r="JN55" i="2"/>
  <c r="JO55" i="2"/>
  <c r="JP55" i="2"/>
  <c r="JQ55" i="2"/>
  <c r="JR55" i="2"/>
  <c r="JS55" i="2"/>
  <c r="JT55" i="2"/>
  <c r="IV56" i="2"/>
  <c r="IW56" i="2"/>
  <c r="IX56" i="2"/>
  <c r="IY56" i="2"/>
  <c r="IZ56" i="2"/>
  <c r="JA56" i="2"/>
  <c r="JB56" i="2"/>
  <c r="JC56" i="2"/>
  <c r="JD56" i="2"/>
  <c r="JE56" i="2"/>
  <c r="JF56" i="2"/>
  <c r="JG56" i="2"/>
  <c r="JH56" i="2"/>
  <c r="JI56" i="2"/>
  <c r="JJ56" i="2"/>
  <c r="JK56" i="2"/>
  <c r="JL56" i="2"/>
  <c r="JM56" i="2"/>
  <c r="JN56" i="2"/>
  <c r="JO56" i="2"/>
  <c r="JP56" i="2"/>
  <c r="JQ56" i="2"/>
  <c r="JR56" i="2"/>
  <c r="JS56" i="2"/>
  <c r="JT56" i="2"/>
  <c r="IV57" i="2"/>
  <c r="IW57" i="2"/>
  <c r="IX57" i="2"/>
  <c r="IY57" i="2"/>
  <c r="IZ57" i="2"/>
  <c r="JA57" i="2"/>
  <c r="JB57" i="2"/>
  <c r="JC57" i="2"/>
  <c r="JD57" i="2"/>
  <c r="JE57" i="2"/>
  <c r="JF57" i="2"/>
  <c r="JG57" i="2"/>
  <c r="JH57" i="2"/>
  <c r="JI57" i="2"/>
  <c r="JJ57" i="2"/>
  <c r="JK57" i="2"/>
  <c r="JL57" i="2"/>
  <c r="JM57" i="2"/>
  <c r="JN57" i="2"/>
  <c r="JO57" i="2"/>
  <c r="JP57" i="2"/>
  <c r="JQ57" i="2"/>
  <c r="JR57" i="2"/>
  <c r="JS57" i="2"/>
  <c r="JT57" i="2"/>
  <c r="IV58" i="2"/>
  <c r="IW58" i="2"/>
  <c r="IX58" i="2"/>
  <c r="IY58" i="2"/>
  <c r="IZ58" i="2"/>
  <c r="JA58" i="2"/>
  <c r="JB58" i="2"/>
  <c r="JC58" i="2"/>
  <c r="JD58" i="2"/>
  <c r="JE58" i="2"/>
  <c r="JF58" i="2"/>
  <c r="JG58" i="2"/>
  <c r="JH58" i="2"/>
  <c r="JI58" i="2"/>
  <c r="JJ58" i="2"/>
  <c r="JK58" i="2"/>
  <c r="JL58" i="2"/>
  <c r="JM58" i="2"/>
  <c r="JN58" i="2"/>
  <c r="JO58" i="2"/>
  <c r="JP58" i="2"/>
  <c r="JQ58" i="2"/>
  <c r="JR58" i="2"/>
  <c r="JS58" i="2"/>
  <c r="JT58" i="2"/>
  <c r="IV59" i="2"/>
  <c r="IW59" i="2"/>
  <c r="IX59" i="2"/>
  <c r="IY59" i="2"/>
  <c r="IZ59" i="2"/>
  <c r="JA59" i="2"/>
  <c r="JB59" i="2"/>
  <c r="JC59" i="2"/>
  <c r="JD59" i="2"/>
  <c r="JE59" i="2"/>
  <c r="JF59" i="2"/>
  <c r="JG59" i="2"/>
  <c r="JH59" i="2"/>
  <c r="JI59" i="2"/>
  <c r="JJ59" i="2"/>
  <c r="JK59" i="2"/>
  <c r="JL59" i="2"/>
  <c r="JM59" i="2"/>
  <c r="JN59" i="2"/>
  <c r="JO59" i="2"/>
  <c r="JP59" i="2"/>
  <c r="JQ59" i="2"/>
  <c r="JR59" i="2"/>
  <c r="JS59" i="2"/>
  <c r="JT59" i="2"/>
  <c r="IV60" i="2"/>
  <c r="IW60" i="2"/>
  <c r="IX60" i="2"/>
  <c r="IY60" i="2"/>
  <c r="IZ60" i="2"/>
  <c r="JA60" i="2"/>
  <c r="JB60" i="2"/>
  <c r="JC60" i="2"/>
  <c r="JD60" i="2"/>
  <c r="JE60" i="2"/>
  <c r="JF60" i="2"/>
  <c r="JG60" i="2"/>
  <c r="JH60" i="2"/>
  <c r="JI60" i="2"/>
  <c r="JJ60" i="2"/>
  <c r="JK60" i="2"/>
  <c r="JL60" i="2"/>
  <c r="JM60" i="2"/>
  <c r="JN60" i="2"/>
  <c r="JO60" i="2"/>
  <c r="JP60" i="2"/>
  <c r="JQ60" i="2"/>
  <c r="JR60" i="2"/>
  <c r="JS60" i="2"/>
  <c r="JT60" i="2"/>
  <c r="IV61" i="2"/>
  <c r="IW61" i="2"/>
  <c r="IX61" i="2"/>
  <c r="IY61" i="2"/>
  <c r="IZ61" i="2"/>
  <c r="JA61" i="2"/>
  <c r="JB61" i="2"/>
  <c r="JC61" i="2"/>
  <c r="JD61" i="2"/>
  <c r="JE61" i="2"/>
  <c r="JF61" i="2"/>
  <c r="JG61" i="2"/>
  <c r="JH61" i="2"/>
  <c r="JI61" i="2"/>
  <c r="JJ61" i="2"/>
  <c r="JK61" i="2"/>
  <c r="JL61" i="2"/>
  <c r="JM61" i="2"/>
  <c r="JN61" i="2"/>
  <c r="JO61" i="2"/>
  <c r="JP61" i="2"/>
  <c r="JQ61" i="2"/>
  <c r="JR61" i="2"/>
  <c r="JS61" i="2"/>
  <c r="JT61" i="2"/>
  <c r="IV62" i="2"/>
  <c r="IW62" i="2"/>
  <c r="IX62" i="2"/>
  <c r="IY62" i="2"/>
  <c r="IZ62" i="2"/>
  <c r="JA62" i="2"/>
  <c r="JB62" i="2"/>
  <c r="JC62" i="2"/>
  <c r="JD62" i="2"/>
  <c r="JE62" i="2"/>
  <c r="JF62" i="2"/>
  <c r="JG62" i="2"/>
  <c r="JH62" i="2"/>
  <c r="JI62" i="2"/>
  <c r="JJ62" i="2"/>
  <c r="JK62" i="2"/>
  <c r="JL62" i="2"/>
  <c r="JM62" i="2"/>
  <c r="JN62" i="2"/>
  <c r="JO62" i="2"/>
  <c r="JP62" i="2"/>
  <c r="JQ62" i="2"/>
  <c r="JR62" i="2"/>
  <c r="JS62" i="2"/>
  <c r="JT62" i="2"/>
  <c r="IV63" i="2"/>
  <c r="IW63" i="2"/>
  <c r="IX63" i="2"/>
  <c r="IY63" i="2"/>
  <c r="IZ63" i="2"/>
  <c r="JA63" i="2"/>
  <c r="JB63" i="2"/>
  <c r="JC63" i="2"/>
  <c r="JD63" i="2"/>
  <c r="JE63" i="2"/>
  <c r="JF63" i="2"/>
  <c r="JG63" i="2"/>
  <c r="JH63" i="2"/>
  <c r="JI63" i="2"/>
  <c r="JJ63" i="2"/>
  <c r="JK63" i="2"/>
  <c r="JL63" i="2"/>
  <c r="JM63" i="2"/>
  <c r="JN63" i="2"/>
  <c r="JO63" i="2"/>
  <c r="JP63" i="2"/>
  <c r="JQ63" i="2"/>
  <c r="JR63" i="2"/>
  <c r="JS63" i="2"/>
  <c r="JT63" i="2"/>
  <c r="HV64" i="2"/>
  <c r="HW64" i="2"/>
  <c r="HX64" i="2"/>
  <c r="HY64" i="2"/>
  <c r="HZ64" i="2"/>
  <c r="IA64" i="2"/>
  <c r="IB64" i="2"/>
  <c r="IC64" i="2"/>
  <c r="ID64" i="2"/>
  <c r="IE64" i="2"/>
  <c r="IF64" i="2"/>
  <c r="IG64" i="2"/>
  <c r="IH64" i="2"/>
  <c r="II64" i="2"/>
  <c r="IJ64" i="2"/>
  <c r="IK64" i="2"/>
  <c r="IL64" i="2"/>
  <c r="IM64" i="2"/>
  <c r="IN64" i="2"/>
  <c r="IO64" i="2"/>
  <c r="IP64" i="2"/>
  <c r="IQ64" i="2"/>
  <c r="IR64" i="2"/>
  <c r="IS64" i="2"/>
  <c r="IT64" i="2"/>
  <c r="HV65" i="2"/>
  <c r="HW65" i="2"/>
  <c r="HX65" i="2"/>
  <c r="HY65" i="2"/>
  <c r="HZ65" i="2"/>
  <c r="IA65" i="2"/>
  <c r="IB65" i="2"/>
  <c r="IC65" i="2"/>
  <c r="ID65" i="2"/>
  <c r="IE65" i="2"/>
  <c r="IF65" i="2"/>
  <c r="IG65" i="2"/>
  <c r="IH65" i="2"/>
  <c r="II65" i="2"/>
  <c r="IJ65" i="2"/>
  <c r="IK65" i="2"/>
  <c r="IL65" i="2"/>
  <c r="IM65" i="2"/>
  <c r="IN65" i="2"/>
  <c r="IO65" i="2"/>
  <c r="IP65" i="2"/>
  <c r="IQ65" i="2"/>
  <c r="IR65" i="2"/>
  <c r="IS65" i="2"/>
  <c r="IT65" i="2"/>
  <c r="HV66" i="2"/>
  <c r="HW66" i="2"/>
  <c r="HX66" i="2"/>
  <c r="HY66" i="2"/>
  <c r="HZ66" i="2"/>
  <c r="IA66" i="2"/>
  <c r="IB66" i="2"/>
  <c r="IC66" i="2"/>
  <c r="ID66" i="2"/>
  <c r="IE66" i="2"/>
  <c r="IF66" i="2"/>
  <c r="IG66" i="2"/>
  <c r="IH66" i="2"/>
  <c r="II66" i="2"/>
  <c r="IJ66" i="2"/>
  <c r="IK66" i="2"/>
  <c r="IL66" i="2"/>
  <c r="IM66" i="2"/>
  <c r="IN66" i="2"/>
  <c r="IO66" i="2"/>
  <c r="IP66" i="2"/>
  <c r="IQ66" i="2"/>
  <c r="IR66" i="2"/>
  <c r="IS66" i="2"/>
  <c r="IT66" i="2"/>
  <c r="HV67" i="2"/>
  <c r="HW67" i="2"/>
  <c r="HX67" i="2"/>
  <c r="HY67" i="2"/>
  <c r="HZ67" i="2"/>
  <c r="IA67" i="2"/>
  <c r="IB67" i="2"/>
  <c r="IC67" i="2"/>
  <c r="ID67" i="2"/>
  <c r="IE67" i="2"/>
  <c r="IF67" i="2"/>
  <c r="IG67" i="2"/>
  <c r="IH67" i="2"/>
  <c r="II67" i="2"/>
  <c r="IJ67" i="2"/>
  <c r="IK67" i="2"/>
  <c r="IL67" i="2"/>
  <c r="IM67" i="2"/>
  <c r="IN67" i="2"/>
  <c r="IO67" i="2"/>
  <c r="IP67" i="2"/>
  <c r="IQ67" i="2"/>
  <c r="IR67" i="2"/>
  <c r="IS67" i="2"/>
  <c r="IT67" i="2"/>
  <c r="HV68" i="2"/>
  <c r="GV68" i="2" s="1" a="1"/>
  <c r="GV68" i="2" s="1"/>
  <c r="HW68" i="2"/>
  <c r="HX68" i="2"/>
  <c r="HY68" i="2"/>
  <c r="HZ68" i="2"/>
  <c r="IA68" i="2"/>
  <c r="IB68" i="2"/>
  <c r="IC68" i="2"/>
  <c r="ID68" i="2"/>
  <c r="IE68" i="2"/>
  <c r="IF68" i="2"/>
  <c r="IG68" i="2"/>
  <c r="IH68" i="2"/>
  <c r="II68" i="2"/>
  <c r="IJ68" i="2"/>
  <c r="IK68" i="2"/>
  <c r="IL68" i="2"/>
  <c r="IM68" i="2"/>
  <c r="IN68" i="2"/>
  <c r="IO68" i="2"/>
  <c r="IP68" i="2"/>
  <c r="IQ68" i="2"/>
  <c r="IR68" i="2"/>
  <c r="IS68" i="2"/>
  <c r="IT68" i="2"/>
  <c r="HV69" i="2"/>
  <c r="GV69" i="2" s="1" a="1"/>
  <c r="GV69" i="2" s="1"/>
  <c r="HW69" i="2"/>
  <c r="HX69" i="2"/>
  <c r="HY69" i="2"/>
  <c r="HZ69" i="2"/>
  <c r="IA69" i="2"/>
  <c r="IB69" i="2"/>
  <c r="IC69" i="2"/>
  <c r="ID69" i="2"/>
  <c r="IE69" i="2"/>
  <c r="IF69" i="2"/>
  <c r="IG69" i="2"/>
  <c r="IH69" i="2"/>
  <c r="II69" i="2"/>
  <c r="IJ69" i="2"/>
  <c r="IK69" i="2"/>
  <c r="IL69" i="2"/>
  <c r="IM69" i="2"/>
  <c r="IN69" i="2"/>
  <c r="IO69" i="2"/>
  <c r="IP69" i="2"/>
  <c r="IQ69" i="2"/>
  <c r="IR69" i="2"/>
  <c r="IS69" i="2"/>
  <c r="IT69" i="2"/>
  <c r="HV70" i="2"/>
  <c r="HW70" i="2"/>
  <c r="HX70" i="2"/>
  <c r="HY70" i="2"/>
  <c r="HZ70" i="2"/>
  <c r="IA70" i="2"/>
  <c r="IB70" i="2"/>
  <c r="IC70" i="2"/>
  <c r="ID70" i="2"/>
  <c r="IE70" i="2"/>
  <c r="IF70" i="2"/>
  <c r="IG70" i="2"/>
  <c r="IH70" i="2"/>
  <c r="II70" i="2"/>
  <c r="IJ70" i="2"/>
  <c r="IK70" i="2"/>
  <c r="IL70" i="2"/>
  <c r="IM70" i="2"/>
  <c r="IN70" i="2"/>
  <c r="IO70" i="2"/>
  <c r="IP70" i="2"/>
  <c r="IQ70" i="2"/>
  <c r="IR70" i="2"/>
  <c r="IS70" i="2"/>
  <c r="IT70" i="2"/>
  <c r="HV71" i="2"/>
  <c r="HW71" i="2"/>
  <c r="HX71" i="2"/>
  <c r="HY71" i="2"/>
  <c r="HZ71" i="2"/>
  <c r="IA71" i="2"/>
  <c r="IB71" i="2"/>
  <c r="IC71" i="2"/>
  <c r="ID71" i="2"/>
  <c r="IE71" i="2"/>
  <c r="IF71" i="2"/>
  <c r="IG71" i="2"/>
  <c r="IH71" i="2"/>
  <c r="II71" i="2"/>
  <c r="IJ71" i="2"/>
  <c r="IK71" i="2"/>
  <c r="IL71" i="2"/>
  <c r="IM71" i="2"/>
  <c r="IN71" i="2"/>
  <c r="IO71" i="2"/>
  <c r="IP71" i="2"/>
  <c r="IQ71" i="2"/>
  <c r="IR71" i="2"/>
  <c r="IS71" i="2"/>
  <c r="IT71" i="2"/>
  <c r="HV72" i="2"/>
  <c r="HW72" i="2"/>
  <c r="HX72" i="2"/>
  <c r="HY72" i="2"/>
  <c r="HZ72" i="2"/>
  <c r="IA72" i="2"/>
  <c r="IB72" i="2"/>
  <c r="IC72" i="2"/>
  <c r="ID72" i="2"/>
  <c r="IE72" i="2"/>
  <c r="IF72" i="2"/>
  <c r="IG72" i="2"/>
  <c r="IH72" i="2"/>
  <c r="II72" i="2"/>
  <c r="IJ72" i="2"/>
  <c r="IK72" i="2"/>
  <c r="IL72" i="2"/>
  <c r="IM72" i="2"/>
  <c r="IN72" i="2"/>
  <c r="IO72" i="2"/>
  <c r="IP72" i="2"/>
  <c r="IQ72" i="2"/>
  <c r="IR72" i="2"/>
  <c r="IS72" i="2"/>
  <c r="IT72" i="2"/>
  <c r="HV73" i="2"/>
  <c r="HW73" i="2"/>
  <c r="HX73" i="2"/>
  <c r="HY73" i="2"/>
  <c r="HZ73" i="2"/>
  <c r="IA73" i="2"/>
  <c r="IB73" i="2"/>
  <c r="IC73" i="2"/>
  <c r="ID73" i="2"/>
  <c r="IE73" i="2"/>
  <c r="IF73" i="2"/>
  <c r="IG73" i="2"/>
  <c r="IH73" i="2"/>
  <c r="II73" i="2"/>
  <c r="IJ73" i="2"/>
  <c r="IK73" i="2"/>
  <c r="IL73" i="2"/>
  <c r="IM73" i="2"/>
  <c r="IN73" i="2"/>
  <c r="IO73" i="2"/>
  <c r="IP73" i="2"/>
  <c r="IQ73" i="2"/>
  <c r="IR73" i="2"/>
  <c r="IS73" i="2"/>
  <c r="IT73" i="2"/>
  <c r="HV74" i="2"/>
  <c r="HW74" i="2"/>
  <c r="HX74" i="2"/>
  <c r="HY74" i="2"/>
  <c r="HZ74" i="2"/>
  <c r="IA74" i="2"/>
  <c r="IB74" i="2"/>
  <c r="IC74" i="2"/>
  <c r="ID74" i="2"/>
  <c r="IE74" i="2"/>
  <c r="IF74" i="2"/>
  <c r="IG74" i="2"/>
  <c r="IH74" i="2"/>
  <c r="II74" i="2"/>
  <c r="IJ74" i="2"/>
  <c r="IK74" i="2"/>
  <c r="IL74" i="2"/>
  <c r="IM74" i="2"/>
  <c r="IN74" i="2"/>
  <c r="IO74" i="2"/>
  <c r="IP74" i="2"/>
  <c r="IQ74" i="2"/>
  <c r="IR74" i="2"/>
  <c r="IS74" i="2"/>
  <c r="IT74" i="2"/>
  <c r="HV75" i="2"/>
  <c r="HW75" i="2"/>
  <c r="HX75" i="2"/>
  <c r="HY75" i="2"/>
  <c r="HZ75" i="2"/>
  <c r="IA75" i="2"/>
  <c r="IB75" i="2"/>
  <c r="IC75" i="2"/>
  <c r="ID75" i="2"/>
  <c r="IE75" i="2"/>
  <c r="IF75" i="2"/>
  <c r="IG75" i="2"/>
  <c r="IH75" i="2"/>
  <c r="II75" i="2"/>
  <c r="IJ75" i="2"/>
  <c r="IK75" i="2"/>
  <c r="IL75" i="2"/>
  <c r="IM75" i="2"/>
  <c r="IN75" i="2"/>
  <c r="IO75" i="2"/>
  <c r="IP75" i="2"/>
  <c r="IQ75" i="2"/>
  <c r="IR75" i="2"/>
  <c r="IS75" i="2"/>
  <c r="IT75" i="2"/>
  <c r="HV76" i="2"/>
  <c r="HW76" i="2"/>
  <c r="HX76" i="2"/>
  <c r="HY76" i="2"/>
  <c r="HZ76" i="2"/>
  <c r="IA76" i="2"/>
  <c r="IB76" i="2"/>
  <c r="IC76" i="2"/>
  <c r="ID76" i="2"/>
  <c r="IE76" i="2"/>
  <c r="IF76" i="2"/>
  <c r="IG76" i="2"/>
  <c r="IH76" i="2"/>
  <c r="II76" i="2"/>
  <c r="IJ76" i="2"/>
  <c r="IK76" i="2"/>
  <c r="IL76" i="2"/>
  <c r="IM76" i="2"/>
  <c r="IN76" i="2"/>
  <c r="IO76" i="2"/>
  <c r="IP76" i="2"/>
  <c r="IQ76" i="2"/>
  <c r="IR76" i="2"/>
  <c r="IS76" i="2"/>
  <c r="IT76" i="2"/>
  <c r="HV77" i="2"/>
  <c r="HW77" i="2"/>
  <c r="HX77" i="2"/>
  <c r="HY77" i="2"/>
  <c r="HZ77" i="2"/>
  <c r="IA77" i="2"/>
  <c r="IB77" i="2"/>
  <c r="IC77" i="2"/>
  <c r="ID77" i="2"/>
  <c r="IE77" i="2"/>
  <c r="IF77" i="2"/>
  <c r="IG77" i="2"/>
  <c r="IH77" i="2"/>
  <c r="II77" i="2"/>
  <c r="IJ77" i="2"/>
  <c r="IK77" i="2"/>
  <c r="IL77" i="2"/>
  <c r="IM77" i="2"/>
  <c r="IN77" i="2"/>
  <c r="IO77" i="2"/>
  <c r="IP77" i="2"/>
  <c r="IQ77" i="2"/>
  <c r="IR77" i="2"/>
  <c r="IS77" i="2"/>
  <c r="IT77" i="2"/>
  <c r="HV78" i="2"/>
  <c r="HW78" i="2"/>
  <c r="HX78" i="2"/>
  <c r="HY78" i="2"/>
  <c r="HZ78" i="2"/>
  <c r="IA78" i="2"/>
  <c r="IB78" i="2"/>
  <c r="IC78" i="2"/>
  <c r="ID78" i="2"/>
  <c r="IE78" i="2"/>
  <c r="IF78" i="2"/>
  <c r="IG78" i="2"/>
  <c r="IH78" i="2"/>
  <c r="II78" i="2"/>
  <c r="IJ78" i="2"/>
  <c r="IK78" i="2"/>
  <c r="IL78" i="2"/>
  <c r="IM78" i="2"/>
  <c r="IN78" i="2"/>
  <c r="IO78" i="2"/>
  <c r="IP78" i="2"/>
  <c r="IQ78" i="2"/>
  <c r="IR78" i="2"/>
  <c r="IS78" i="2"/>
  <c r="IT78" i="2"/>
  <c r="HV79" i="2"/>
  <c r="HW79" i="2"/>
  <c r="HX79" i="2"/>
  <c r="HY79" i="2"/>
  <c r="HZ79" i="2"/>
  <c r="IA79" i="2"/>
  <c r="IB79" i="2"/>
  <c r="IC79" i="2"/>
  <c r="ID79" i="2"/>
  <c r="IE79" i="2"/>
  <c r="IF79" i="2"/>
  <c r="IG79" i="2"/>
  <c r="IH79" i="2"/>
  <c r="II79" i="2"/>
  <c r="IJ79" i="2"/>
  <c r="IK79" i="2"/>
  <c r="IL79" i="2"/>
  <c r="IM79" i="2"/>
  <c r="IN79" i="2"/>
  <c r="IO79" i="2"/>
  <c r="IP79" i="2"/>
  <c r="IQ79" i="2"/>
  <c r="IR79" i="2"/>
  <c r="IS79" i="2"/>
  <c r="IT79" i="2"/>
  <c r="HV80" i="2"/>
  <c r="GV80" i="2" s="1" a="1"/>
  <c r="GV80" i="2" s="1"/>
  <c r="HW80" i="2"/>
  <c r="HX80" i="2"/>
  <c r="HY80" i="2"/>
  <c r="HZ80" i="2"/>
  <c r="IA80" i="2"/>
  <c r="IB80" i="2"/>
  <c r="IC80" i="2"/>
  <c r="ID80" i="2"/>
  <c r="IE80" i="2"/>
  <c r="IF80" i="2"/>
  <c r="IG80" i="2"/>
  <c r="IH80" i="2"/>
  <c r="II80" i="2"/>
  <c r="IJ80" i="2"/>
  <c r="IK80" i="2"/>
  <c r="IL80" i="2"/>
  <c r="IM80" i="2"/>
  <c r="IN80" i="2"/>
  <c r="IO80" i="2"/>
  <c r="IP80" i="2"/>
  <c r="IQ80" i="2"/>
  <c r="IR80" i="2"/>
  <c r="IS80" i="2"/>
  <c r="IT80" i="2"/>
  <c r="HV81" i="2"/>
  <c r="GV81" i="2" s="1" a="1"/>
  <c r="GV81" i="2" s="1"/>
  <c r="HW81" i="2"/>
  <c r="HX81" i="2"/>
  <c r="HY81" i="2"/>
  <c r="HZ81" i="2"/>
  <c r="IA81" i="2"/>
  <c r="IB81" i="2"/>
  <c r="IC81" i="2"/>
  <c r="ID81" i="2"/>
  <c r="IE81" i="2"/>
  <c r="IF81" i="2"/>
  <c r="IG81" i="2"/>
  <c r="IH81" i="2"/>
  <c r="II81" i="2"/>
  <c r="IJ81" i="2"/>
  <c r="IK81" i="2"/>
  <c r="IL81" i="2"/>
  <c r="IM81" i="2"/>
  <c r="IN81" i="2"/>
  <c r="IO81" i="2"/>
  <c r="IP81" i="2"/>
  <c r="IQ81" i="2"/>
  <c r="IR81" i="2"/>
  <c r="IS81" i="2"/>
  <c r="IT81" i="2"/>
  <c r="HV82" i="2"/>
  <c r="HW82" i="2"/>
  <c r="HX82" i="2"/>
  <c r="HY82" i="2"/>
  <c r="HZ82" i="2"/>
  <c r="IA82" i="2"/>
  <c r="IB82" i="2"/>
  <c r="IC82" i="2"/>
  <c r="ID82" i="2"/>
  <c r="IE82" i="2"/>
  <c r="IF82" i="2"/>
  <c r="IG82" i="2"/>
  <c r="IH82" i="2"/>
  <c r="II82" i="2"/>
  <c r="IJ82" i="2"/>
  <c r="IK82" i="2"/>
  <c r="IL82" i="2"/>
  <c r="IM82" i="2"/>
  <c r="IN82" i="2"/>
  <c r="IO82" i="2"/>
  <c r="IP82" i="2"/>
  <c r="IQ82" i="2"/>
  <c r="IR82" i="2"/>
  <c r="IS82" i="2"/>
  <c r="IT82" i="2"/>
  <c r="HV83" i="2"/>
  <c r="HW83" i="2"/>
  <c r="HX83" i="2"/>
  <c r="HY83" i="2"/>
  <c r="HZ83" i="2"/>
  <c r="IA83" i="2"/>
  <c r="IB83" i="2"/>
  <c r="IC83" i="2"/>
  <c r="ID83" i="2"/>
  <c r="IE83" i="2"/>
  <c r="IF83" i="2"/>
  <c r="IG83" i="2"/>
  <c r="IH83" i="2"/>
  <c r="II83" i="2"/>
  <c r="IJ83" i="2"/>
  <c r="IK83" i="2"/>
  <c r="IL83" i="2"/>
  <c r="IM83" i="2"/>
  <c r="IN83" i="2"/>
  <c r="IO83" i="2"/>
  <c r="IP83" i="2"/>
  <c r="IQ83" i="2"/>
  <c r="IR83" i="2"/>
  <c r="IS83" i="2"/>
  <c r="IT83" i="2"/>
  <c r="HV84" i="2"/>
  <c r="HW84" i="2"/>
  <c r="HX84" i="2"/>
  <c r="HY84" i="2"/>
  <c r="HZ84" i="2"/>
  <c r="IA84" i="2"/>
  <c r="IB84" i="2"/>
  <c r="IC84" i="2"/>
  <c r="ID84" i="2"/>
  <c r="IE84" i="2"/>
  <c r="IF84" i="2"/>
  <c r="IG84" i="2"/>
  <c r="IH84" i="2"/>
  <c r="II84" i="2"/>
  <c r="IJ84" i="2"/>
  <c r="IK84" i="2"/>
  <c r="IL84" i="2"/>
  <c r="IM84" i="2"/>
  <c r="IN84" i="2"/>
  <c r="IO84" i="2"/>
  <c r="IP84" i="2"/>
  <c r="IQ84" i="2"/>
  <c r="IR84" i="2"/>
  <c r="IS84" i="2"/>
  <c r="IT84" i="2"/>
  <c r="HV85" i="2"/>
  <c r="HW85" i="2"/>
  <c r="HX85" i="2"/>
  <c r="HY85" i="2"/>
  <c r="HZ85" i="2"/>
  <c r="IA85" i="2"/>
  <c r="IB85" i="2"/>
  <c r="IC85" i="2"/>
  <c r="ID85" i="2"/>
  <c r="IE85" i="2"/>
  <c r="IF85" i="2"/>
  <c r="IG85" i="2"/>
  <c r="IH85" i="2"/>
  <c r="II85" i="2"/>
  <c r="IJ85" i="2"/>
  <c r="IK85" i="2"/>
  <c r="IL85" i="2"/>
  <c r="IM85" i="2"/>
  <c r="IN85" i="2"/>
  <c r="IO85" i="2"/>
  <c r="IP85" i="2"/>
  <c r="IQ85" i="2"/>
  <c r="IR85" i="2"/>
  <c r="IS85" i="2"/>
  <c r="IT85" i="2"/>
  <c r="HV86" i="2"/>
  <c r="HW86" i="2"/>
  <c r="HX86" i="2"/>
  <c r="HY86" i="2"/>
  <c r="HZ86" i="2"/>
  <c r="IA86" i="2"/>
  <c r="IB86" i="2"/>
  <c r="IC86" i="2"/>
  <c r="ID86" i="2"/>
  <c r="IE86" i="2"/>
  <c r="IF86" i="2"/>
  <c r="IG86" i="2"/>
  <c r="IH86" i="2"/>
  <c r="II86" i="2"/>
  <c r="IJ86" i="2"/>
  <c r="IK86" i="2"/>
  <c r="IL86" i="2"/>
  <c r="IM86" i="2"/>
  <c r="IN86" i="2"/>
  <c r="IO86" i="2"/>
  <c r="IP86" i="2"/>
  <c r="IQ86" i="2"/>
  <c r="IR86" i="2"/>
  <c r="IS86" i="2"/>
  <c r="IT86" i="2"/>
  <c r="HV87" i="2"/>
  <c r="HW87" i="2"/>
  <c r="HX87" i="2"/>
  <c r="HY87" i="2"/>
  <c r="HZ87" i="2"/>
  <c r="IA87" i="2"/>
  <c r="IB87" i="2"/>
  <c r="IC87" i="2"/>
  <c r="ID87" i="2"/>
  <c r="IE87" i="2"/>
  <c r="IF87" i="2"/>
  <c r="IG87" i="2"/>
  <c r="IH87" i="2"/>
  <c r="II87" i="2"/>
  <c r="IJ87" i="2"/>
  <c r="IK87" i="2"/>
  <c r="IL87" i="2"/>
  <c r="IM87" i="2"/>
  <c r="IN87" i="2"/>
  <c r="IO87" i="2"/>
  <c r="IP87" i="2"/>
  <c r="IQ87" i="2"/>
  <c r="IR87" i="2"/>
  <c r="IS87" i="2"/>
  <c r="IT87" i="2"/>
  <c r="HV88" i="2"/>
  <c r="HW88" i="2"/>
  <c r="HX88" i="2"/>
  <c r="HY88" i="2"/>
  <c r="HZ88" i="2"/>
  <c r="IA88" i="2"/>
  <c r="IB88" i="2"/>
  <c r="IC88" i="2"/>
  <c r="ID88" i="2"/>
  <c r="IE88" i="2"/>
  <c r="IF88" i="2"/>
  <c r="IG88" i="2"/>
  <c r="IH88" i="2"/>
  <c r="II88" i="2"/>
  <c r="IJ88" i="2"/>
  <c r="IK88" i="2"/>
  <c r="IL88" i="2"/>
  <c r="IM88" i="2"/>
  <c r="IN88" i="2"/>
  <c r="IO88" i="2"/>
  <c r="IP88" i="2"/>
  <c r="IQ88" i="2"/>
  <c r="IR88" i="2"/>
  <c r="IS88" i="2"/>
  <c r="IT88" i="2"/>
  <c r="HV89" i="2"/>
  <c r="HW89" i="2"/>
  <c r="HX89" i="2"/>
  <c r="HY89" i="2"/>
  <c r="HZ89" i="2"/>
  <c r="IA89" i="2"/>
  <c r="IB89" i="2"/>
  <c r="IC89" i="2"/>
  <c r="ID89" i="2"/>
  <c r="IE89" i="2"/>
  <c r="IF89" i="2"/>
  <c r="IG89" i="2"/>
  <c r="IH89" i="2"/>
  <c r="II89" i="2"/>
  <c r="IJ89" i="2"/>
  <c r="IK89" i="2"/>
  <c r="IL89" i="2"/>
  <c r="IM89" i="2"/>
  <c r="IN89" i="2"/>
  <c r="IO89" i="2"/>
  <c r="IP89" i="2"/>
  <c r="IQ89" i="2"/>
  <c r="IR89" i="2"/>
  <c r="IS89" i="2"/>
  <c r="IT89" i="2"/>
  <c r="HV90" i="2"/>
  <c r="HW90" i="2"/>
  <c r="HX90" i="2"/>
  <c r="HY90" i="2"/>
  <c r="HZ90" i="2"/>
  <c r="IA90" i="2"/>
  <c r="IB90" i="2"/>
  <c r="IC90" i="2"/>
  <c r="ID90" i="2"/>
  <c r="IE90" i="2"/>
  <c r="IF90" i="2"/>
  <c r="IG90" i="2"/>
  <c r="IH90" i="2"/>
  <c r="II90" i="2"/>
  <c r="IJ90" i="2"/>
  <c r="IK90" i="2"/>
  <c r="IL90" i="2"/>
  <c r="IM90" i="2"/>
  <c r="IN90" i="2"/>
  <c r="IO90" i="2"/>
  <c r="IP90" i="2"/>
  <c r="IQ90" i="2"/>
  <c r="IR90" i="2"/>
  <c r="IS90" i="2"/>
  <c r="IT90" i="2"/>
  <c r="HV91" i="2"/>
  <c r="HW91" i="2"/>
  <c r="HX91" i="2"/>
  <c r="HY91" i="2"/>
  <c r="HZ91" i="2"/>
  <c r="IA91" i="2"/>
  <c r="IB91" i="2"/>
  <c r="IC91" i="2"/>
  <c r="ID91" i="2"/>
  <c r="IE91" i="2"/>
  <c r="IF91" i="2"/>
  <c r="IG91" i="2"/>
  <c r="IH91" i="2"/>
  <c r="II91" i="2"/>
  <c r="IJ91" i="2"/>
  <c r="IK91" i="2"/>
  <c r="IL91" i="2"/>
  <c r="IM91" i="2"/>
  <c r="IN91" i="2"/>
  <c r="IO91" i="2"/>
  <c r="IP91" i="2"/>
  <c r="IQ91" i="2"/>
  <c r="IR91" i="2"/>
  <c r="IS91" i="2"/>
  <c r="IT91" i="2"/>
  <c r="HV92" i="2"/>
  <c r="GV92" i="2" s="1" a="1"/>
  <c r="GV92" i="2" s="1"/>
  <c r="HW92" i="2"/>
  <c r="HX92" i="2"/>
  <c r="HY92" i="2"/>
  <c r="HZ92" i="2"/>
  <c r="IA92" i="2"/>
  <c r="IB92" i="2"/>
  <c r="IC92" i="2"/>
  <c r="ID92" i="2"/>
  <c r="IE92" i="2"/>
  <c r="IF92" i="2"/>
  <c r="IG92" i="2"/>
  <c r="IH92" i="2"/>
  <c r="II92" i="2"/>
  <c r="IJ92" i="2"/>
  <c r="IK92" i="2"/>
  <c r="IL92" i="2"/>
  <c r="IM92" i="2"/>
  <c r="IN92" i="2"/>
  <c r="IO92" i="2"/>
  <c r="IP92" i="2"/>
  <c r="IQ92" i="2"/>
  <c r="IR92" i="2"/>
  <c r="IS92" i="2"/>
  <c r="IT92" i="2"/>
  <c r="HV93" i="2"/>
  <c r="GV93" i="2" s="1" a="1"/>
  <c r="GV93" i="2" s="1"/>
  <c r="HW93" i="2"/>
  <c r="HX93" i="2"/>
  <c r="HY93" i="2"/>
  <c r="HZ93" i="2"/>
  <c r="IA93" i="2"/>
  <c r="IB93" i="2"/>
  <c r="IC93" i="2"/>
  <c r="ID93" i="2"/>
  <c r="IE93" i="2"/>
  <c r="IF93" i="2"/>
  <c r="IG93" i="2"/>
  <c r="IH93" i="2"/>
  <c r="II93" i="2"/>
  <c r="IJ93" i="2"/>
  <c r="IK93" i="2"/>
  <c r="IL93" i="2"/>
  <c r="IM93" i="2"/>
  <c r="IN93" i="2"/>
  <c r="IO93" i="2"/>
  <c r="IP93" i="2"/>
  <c r="IQ93" i="2"/>
  <c r="IR93" i="2"/>
  <c r="IS93" i="2"/>
  <c r="IT93" i="2"/>
  <c r="HV94" i="2"/>
  <c r="HW94" i="2"/>
  <c r="HX94" i="2"/>
  <c r="HY94" i="2"/>
  <c r="HZ94" i="2"/>
  <c r="IA94" i="2"/>
  <c r="IB94" i="2"/>
  <c r="IC94" i="2"/>
  <c r="ID94" i="2"/>
  <c r="IE94" i="2"/>
  <c r="IF94" i="2"/>
  <c r="IG94" i="2"/>
  <c r="IH94" i="2"/>
  <c r="II94" i="2"/>
  <c r="IJ94" i="2"/>
  <c r="IK94" i="2"/>
  <c r="IL94" i="2"/>
  <c r="IM94" i="2"/>
  <c r="IN94" i="2"/>
  <c r="IO94" i="2"/>
  <c r="IP94" i="2"/>
  <c r="IQ94" i="2"/>
  <c r="IR94" i="2"/>
  <c r="IS94" i="2"/>
  <c r="IT94" i="2"/>
  <c r="HV95" i="2"/>
  <c r="HW95" i="2"/>
  <c r="HX95" i="2"/>
  <c r="HY95" i="2"/>
  <c r="HZ95" i="2"/>
  <c r="IA95" i="2"/>
  <c r="IB95" i="2"/>
  <c r="IC95" i="2"/>
  <c r="ID95" i="2"/>
  <c r="IE95" i="2"/>
  <c r="IF95" i="2"/>
  <c r="IG95" i="2"/>
  <c r="IH95" i="2"/>
  <c r="II95" i="2"/>
  <c r="IJ95" i="2"/>
  <c r="IK95" i="2"/>
  <c r="IL95" i="2"/>
  <c r="IM95" i="2"/>
  <c r="IN95" i="2"/>
  <c r="IO95" i="2"/>
  <c r="IP95" i="2"/>
  <c r="IQ95" i="2"/>
  <c r="IR95" i="2"/>
  <c r="IS95" i="2"/>
  <c r="IT95" i="2"/>
  <c r="HV96" i="2"/>
  <c r="HW96" i="2"/>
  <c r="HX96" i="2"/>
  <c r="HY96" i="2"/>
  <c r="HZ96" i="2"/>
  <c r="IA96" i="2"/>
  <c r="IB96" i="2"/>
  <c r="IC96" i="2"/>
  <c r="ID96" i="2"/>
  <c r="IE96" i="2"/>
  <c r="IF96" i="2"/>
  <c r="IG96" i="2"/>
  <c r="IH96" i="2"/>
  <c r="II96" i="2"/>
  <c r="IJ96" i="2"/>
  <c r="IK96" i="2"/>
  <c r="IL96" i="2"/>
  <c r="IM96" i="2"/>
  <c r="IN96" i="2"/>
  <c r="IO96" i="2"/>
  <c r="IP96" i="2"/>
  <c r="IQ96" i="2"/>
  <c r="IR96" i="2"/>
  <c r="IS96" i="2"/>
  <c r="IT96" i="2"/>
  <c r="HV97" i="2"/>
  <c r="HW97" i="2"/>
  <c r="HX97" i="2"/>
  <c r="HY97" i="2"/>
  <c r="HZ97" i="2"/>
  <c r="IA97" i="2"/>
  <c r="IB97" i="2"/>
  <c r="IC97" i="2"/>
  <c r="ID97" i="2"/>
  <c r="IE97" i="2"/>
  <c r="IF97" i="2"/>
  <c r="IG97" i="2"/>
  <c r="IH97" i="2"/>
  <c r="II97" i="2"/>
  <c r="IJ97" i="2"/>
  <c r="IK97" i="2"/>
  <c r="IL97" i="2"/>
  <c r="IM97" i="2"/>
  <c r="IN97" i="2"/>
  <c r="IO97" i="2"/>
  <c r="IP97" i="2"/>
  <c r="IQ97" i="2"/>
  <c r="IR97" i="2"/>
  <c r="IS97" i="2"/>
  <c r="IT97" i="2"/>
  <c r="HV98" i="2"/>
  <c r="HW98" i="2"/>
  <c r="HX98" i="2"/>
  <c r="HY98" i="2"/>
  <c r="HZ98" i="2"/>
  <c r="IA98" i="2"/>
  <c r="IB98" i="2"/>
  <c r="IC98" i="2"/>
  <c r="ID98" i="2"/>
  <c r="IE98" i="2"/>
  <c r="IF98" i="2"/>
  <c r="IG98" i="2"/>
  <c r="IH98" i="2"/>
  <c r="II98" i="2"/>
  <c r="IJ98" i="2"/>
  <c r="IK98" i="2"/>
  <c r="IL98" i="2"/>
  <c r="IM98" i="2"/>
  <c r="IN98" i="2"/>
  <c r="IO98" i="2"/>
  <c r="IP98" i="2"/>
  <c r="IQ98" i="2"/>
  <c r="IR98" i="2"/>
  <c r="IS98" i="2"/>
  <c r="IT98" i="2"/>
  <c r="HV99" i="2"/>
  <c r="HW99" i="2"/>
  <c r="HX99" i="2"/>
  <c r="HY99" i="2"/>
  <c r="HZ99" i="2"/>
  <c r="IA99" i="2"/>
  <c r="IB99" i="2"/>
  <c r="IC99" i="2"/>
  <c r="ID99" i="2"/>
  <c r="IE99" i="2"/>
  <c r="IF99" i="2"/>
  <c r="IG99" i="2"/>
  <c r="IH99" i="2"/>
  <c r="II99" i="2"/>
  <c r="IJ99" i="2"/>
  <c r="IK99" i="2"/>
  <c r="IL99" i="2"/>
  <c r="IM99" i="2"/>
  <c r="IN99" i="2"/>
  <c r="IO99" i="2"/>
  <c r="IP99" i="2"/>
  <c r="IQ99" i="2"/>
  <c r="IR99" i="2"/>
  <c r="IS99" i="2"/>
  <c r="IT99" i="2"/>
  <c r="HV100" i="2"/>
  <c r="HW100" i="2"/>
  <c r="HX100" i="2"/>
  <c r="HY100" i="2"/>
  <c r="HZ100" i="2"/>
  <c r="IA100" i="2"/>
  <c r="IB100" i="2"/>
  <c r="IC100" i="2"/>
  <c r="ID100" i="2"/>
  <c r="IE100" i="2"/>
  <c r="IF100" i="2"/>
  <c r="IG100" i="2"/>
  <c r="IH100" i="2"/>
  <c r="II100" i="2"/>
  <c r="IJ100" i="2"/>
  <c r="IK100" i="2"/>
  <c r="IL100" i="2"/>
  <c r="IM100" i="2"/>
  <c r="IN100" i="2"/>
  <c r="IO100" i="2"/>
  <c r="IP100" i="2"/>
  <c r="IQ100" i="2"/>
  <c r="IR100" i="2"/>
  <c r="IS100" i="2"/>
  <c r="IT100" i="2"/>
  <c r="HV101" i="2"/>
  <c r="HW101" i="2"/>
  <c r="HX101" i="2"/>
  <c r="HY101" i="2"/>
  <c r="HZ101" i="2"/>
  <c r="IA101" i="2"/>
  <c r="IB101" i="2"/>
  <c r="IC101" i="2"/>
  <c r="ID101" i="2"/>
  <c r="IE101" i="2"/>
  <c r="IF101" i="2"/>
  <c r="IG101" i="2"/>
  <c r="IH101" i="2"/>
  <c r="II101" i="2"/>
  <c r="IJ101" i="2"/>
  <c r="IK101" i="2"/>
  <c r="IL101" i="2"/>
  <c r="IM101" i="2"/>
  <c r="IN101" i="2"/>
  <c r="IO101" i="2"/>
  <c r="IP101" i="2"/>
  <c r="IQ101" i="2"/>
  <c r="IR101" i="2"/>
  <c r="IS101" i="2"/>
  <c r="IT101" i="2"/>
  <c r="HV102" i="2"/>
  <c r="HW102" i="2"/>
  <c r="HX102" i="2"/>
  <c r="HY102" i="2"/>
  <c r="HZ102" i="2"/>
  <c r="IA102" i="2"/>
  <c r="IB102" i="2"/>
  <c r="IC102" i="2"/>
  <c r="ID102" i="2"/>
  <c r="IE102" i="2"/>
  <c r="IF102" i="2"/>
  <c r="IG102" i="2"/>
  <c r="IH102" i="2"/>
  <c r="II102" i="2"/>
  <c r="IJ102" i="2"/>
  <c r="IK102" i="2"/>
  <c r="IL102" i="2"/>
  <c r="IM102" i="2"/>
  <c r="IN102" i="2"/>
  <c r="IO102" i="2"/>
  <c r="IP102" i="2"/>
  <c r="IQ102" i="2"/>
  <c r="IR102" i="2"/>
  <c r="IS102" i="2"/>
  <c r="IT102" i="2"/>
  <c r="HV103" i="2"/>
  <c r="HW103" i="2"/>
  <c r="HX103" i="2"/>
  <c r="HY103" i="2"/>
  <c r="HZ103" i="2"/>
  <c r="IA103" i="2"/>
  <c r="IB103" i="2"/>
  <c r="IC103" i="2"/>
  <c r="ID103" i="2"/>
  <c r="IE103" i="2"/>
  <c r="IF103" i="2"/>
  <c r="IG103" i="2"/>
  <c r="IH103" i="2"/>
  <c r="II103" i="2"/>
  <c r="IJ103" i="2"/>
  <c r="IK103" i="2"/>
  <c r="IL103" i="2"/>
  <c r="IM103" i="2"/>
  <c r="IN103" i="2"/>
  <c r="IO103" i="2"/>
  <c r="IP103" i="2"/>
  <c r="IQ103" i="2"/>
  <c r="IR103" i="2"/>
  <c r="IS103" i="2"/>
  <c r="IT103" i="2"/>
  <c r="HV4" i="2"/>
  <c r="GV4" i="2" s="1" a="1"/>
  <c r="GV4" i="2" s="1"/>
  <c r="HW4" i="2"/>
  <c r="HX4" i="2"/>
  <c r="HY4" i="2"/>
  <c r="HZ4" i="2"/>
  <c r="IA4" i="2"/>
  <c r="IB4" i="2"/>
  <c r="IC4" i="2"/>
  <c r="ID4" i="2"/>
  <c r="IE4" i="2"/>
  <c r="IF4" i="2"/>
  <c r="IG4" i="2"/>
  <c r="IH4" i="2"/>
  <c r="II4" i="2"/>
  <c r="IJ4" i="2"/>
  <c r="IK4" i="2"/>
  <c r="IL4" i="2"/>
  <c r="IM4" i="2"/>
  <c r="IN4" i="2"/>
  <c r="IO4" i="2"/>
  <c r="IP4" i="2"/>
  <c r="IQ4" i="2"/>
  <c r="IR4" i="2"/>
  <c r="IS4" i="2"/>
  <c r="IT4" i="2"/>
  <c r="HV5" i="2"/>
  <c r="GV5" i="2" s="1" a="1"/>
  <c r="GV5" i="2" s="1"/>
  <c r="HW5" i="2"/>
  <c r="HX5" i="2"/>
  <c r="HY5" i="2"/>
  <c r="HZ5" i="2"/>
  <c r="IA5" i="2"/>
  <c r="IB5" i="2"/>
  <c r="IC5" i="2"/>
  <c r="ID5" i="2"/>
  <c r="IE5" i="2"/>
  <c r="IF5" i="2"/>
  <c r="IG5" i="2"/>
  <c r="IH5" i="2"/>
  <c r="II5" i="2"/>
  <c r="IJ5" i="2"/>
  <c r="IK5" i="2"/>
  <c r="IL5" i="2"/>
  <c r="IM5" i="2"/>
  <c r="IN5" i="2"/>
  <c r="IO5" i="2"/>
  <c r="IP5" i="2"/>
  <c r="IQ5" i="2"/>
  <c r="IR5" i="2"/>
  <c r="IS5" i="2"/>
  <c r="IT5" i="2"/>
  <c r="HV6" i="2"/>
  <c r="HW6" i="2"/>
  <c r="HX6" i="2"/>
  <c r="HY6" i="2"/>
  <c r="HZ6" i="2"/>
  <c r="IA6" i="2"/>
  <c r="IB6" i="2"/>
  <c r="IC6" i="2"/>
  <c r="ID6" i="2"/>
  <c r="IE6" i="2"/>
  <c r="IF6" i="2"/>
  <c r="IG6" i="2"/>
  <c r="IH6" i="2"/>
  <c r="II6" i="2"/>
  <c r="IJ6" i="2"/>
  <c r="IK6" i="2"/>
  <c r="IL6" i="2"/>
  <c r="IM6" i="2"/>
  <c r="IN6" i="2"/>
  <c r="IO6" i="2"/>
  <c r="IP6" i="2"/>
  <c r="IQ6" i="2"/>
  <c r="IR6" i="2"/>
  <c r="IS6" i="2"/>
  <c r="IT6" i="2"/>
  <c r="HV7" i="2"/>
  <c r="HW7" i="2"/>
  <c r="HX7" i="2"/>
  <c r="HY7" i="2"/>
  <c r="HZ7" i="2"/>
  <c r="IA7" i="2"/>
  <c r="IB7" i="2"/>
  <c r="IC7" i="2"/>
  <c r="ID7" i="2"/>
  <c r="IE7" i="2"/>
  <c r="IF7" i="2"/>
  <c r="IG7" i="2"/>
  <c r="IH7" i="2"/>
  <c r="II7" i="2"/>
  <c r="IJ7" i="2"/>
  <c r="IK7" i="2"/>
  <c r="IL7" i="2"/>
  <c r="IM7" i="2"/>
  <c r="IN7" i="2"/>
  <c r="IO7" i="2"/>
  <c r="IP7" i="2"/>
  <c r="IQ7" i="2"/>
  <c r="IR7" i="2"/>
  <c r="IS7" i="2"/>
  <c r="IT7" i="2"/>
  <c r="HV8" i="2"/>
  <c r="HW8" i="2"/>
  <c r="HX8" i="2"/>
  <c r="HY8" i="2"/>
  <c r="HZ8" i="2"/>
  <c r="IA8" i="2"/>
  <c r="IB8" i="2"/>
  <c r="IC8" i="2"/>
  <c r="ID8" i="2"/>
  <c r="IE8" i="2"/>
  <c r="IF8" i="2"/>
  <c r="IG8" i="2"/>
  <c r="IH8" i="2"/>
  <c r="II8" i="2"/>
  <c r="IJ8" i="2"/>
  <c r="IK8" i="2"/>
  <c r="IL8" i="2"/>
  <c r="IM8" i="2"/>
  <c r="IN8" i="2"/>
  <c r="IO8" i="2"/>
  <c r="IP8" i="2"/>
  <c r="IQ8" i="2"/>
  <c r="IR8" i="2"/>
  <c r="IS8" i="2"/>
  <c r="IT8" i="2"/>
  <c r="HV9" i="2"/>
  <c r="HW9" i="2"/>
  <c r="HX9" i="2"/>
  <c r="HY9" i="2"/>
  <c r="HZ9" i="2"/>
  <c r="IA9" i="2"/>
  <c r="IB9" i="2"/>
  <c r="IC9" i="2"/>
  <c r="ID9" i="2"/>
  <c r="IE9" i="2"/>
  <c r="IF9" i="2"/>
  <c r="IG9" i="2"/>
  <c r="IH9" i="2"/>
  <c r="II9" i="2"/>
  <c r="IJ9" i="2"/>
  <c r="IK9" i="2"/>
  <c r="IL9" i="2"/>
  <c r="IM9" i="2"/>
  <c r="IN9" i="2"/>
  <c r="IO9" i="2"/>
  <c r="IP9" i="2"/>
  <c r="IQ9" i="2"/>
  <c r="IR9" i="2"/>
  <c r="IS9" i="2"/>
  <c r="IT9" i="2"/>
  <c r="HV10" i="2"/>
  <c r="HW10" i="2"/>
  <c r="HX10" i="2"/>
  <c r="HY10" i="2"/>
  <c r="HZ10" i="2"/>
  <c r="IA10" i="2"/>
  <c r="IB10" i="2"/>
  <c r="IC10" i="2"/>
  <c r="ID10" i="2"/>
  <c r="IE10" i="2"/>
  <c r="IF10" i="2"/>
  <c r="IG10" i="2"/>
  <c r="IH10" i="2"/>
  <c r="II10" i="2"/>
  <c r="IJ10" i="2"/>
  <c r="IK10" i="2"/>
  <c r="IL10" i="2"/>
  <c r="IM10" i="2"/>
  <c r="IN10" i="2"/>
  <c r="IO10" i="2"/>
  <c r="IP10" i="2"/>
  <c r="IQ10" i="2"/>
  <c r="IR10" i="2"/>
  <c r="IS10" i="2"/>
  <c r="IT10" i="2"/>
  <c r="HV11" i="2"/>
  <c r="HW11" i="2"/>
  <c r="HX11" i="2"/>
  <c r="HY11" i="2"/>
  <c r="HZ11" i="2"/>
  <c r="IA11" i="2"/>
  <c r="IB11" i="2"/>
  <c r="IC11" i="2"/>
  <c r="ID11" i="2"/>
  <c r="IE11" i="2"/>
  <c r="IF11" i="2"/>
  <c r="IG11" i="2"/>
  <c r="IH11" i="2"/>
  <c r="II11" i="2"/>
  <c r="IJ11" i="2"/>
  <c r="IK11" i="2"/>
  <c r="IL11" i="2"/>
  <c r="IM11" i="2"/>
  <c r="IN11" i="2"/>
  <c r="IO11" i="2"/>
  <c r="IP11" i="2"/>
  <c r="IQ11" i="2"/>
  <c r="IR11" i="2"/>
  <c r="IS11" i="2"/>
  <c r="IT11" i="2"/>
  <c r="HV12" i="2"/>
  <c r="HW12" i="2"/>
  <c r="HX12" i="2"/>
  <c r="HY12" i="2"/>
  <c r="HZ12" i="2"/>
  <c r="IA12" i="2"/>
  <c r="IB12" i="2"/>
  <c r="IC12" i="2"/>
  <c r="ID12" i="2"/>
  <c r="IE12" i="2"/>
  <c r="IF12" i="2"/>
  <c r="IG12" i="2"/>
  <c r="IH12" i="2"/>
  <c r="II12" i="2"/>
  <c r="IJ12" i="2"/>
  <c r="IK12" i="2"/>
  <c r="IL12" i="2"/>
  <c r="IM12" i="2"/>
  <c r="IN12" i="2"/>
  <c r="IO12" i="2"/>
  <c r="IP12" i="2"/>
  <c r="IQ12" i="2"/>
  <c r="IR12" i="2"/>
  <c r="IS12" i="2"/>
  <c r="IT12" i="2"/>
  <c r="HV13" i="2"/>
  <c r="HW13" i="2"/>
  <c r="HX13" i="2"/>
  <c r="HY13" i="2"/>
  <c r="HZ13" i="2"/>
  <c r="IA13" i="2"/>
  <c r="IB13" i="2"/>
  <c r="IC13" i="2"/>
  <c r="ID13" i="2"/>
  <c r="IE13" i="2"/>
  <c r="IF13" i="2"/>
  <c r="IG13" i="2"/>
  <c r="IH13" i="2"/>
  <c r="II13" i="2"/>
  <c r="IJ13" i="2"/>
  <c r="IK13" i="2"/>
  <c r="IL13" i="2"/>
  <c r="IM13" i="2"/>
  <c r="IN13" i="2"/>
  <c r="IO13" i="2"/>
  <c r="IP13" i="2"/>
  <c r="IQ13" i="2"/>
  <c r="IR13" i="2"/>
  <c r="IS13" i="2"/>
  <c r="IT13" i="2"/>
  <c r="HV14" i="2"/>
  <c r="HW14" i="2"/>
  <c r="HX14" i="2"/>
  <c r="HY14" i="2"/>
  <c r="HZ14" i="2"/>
  <c r="IA14" i="2"/>
  <c r="IB14" i="2"/>
  <c r="IC14" i="2"/>
  <c r="ID14" i="2"/>
  <c r="IE14" i="2"/>
  <c r="IF14" i="2"/>
  <c r="IG14" i="2"/>
  <c r="IH14" i="2"/>
  <c r="II14" i="2"/>
  <c r="IJ14" i="2"/>
  <c r="IK14" i="2"/>
  <c r="IL14" i="2"/>
  <c r="IM14" i="2"/>
  <c r="IN14" i="2"/>
  <c r="IO14" i="2"/>
  <c r="IP14" i="2"/>
  <c r="IQ14" i="2"/>
  <c r="IR14" i="2"/>
  <c r="IS14" i="2"/>
  <c r="IT14" i="2"/>
  <c r="HV15" i="2"/>
  <c r="HW15" i="2"/>
  <c r="HX15" i="2"/>
  <c r="HY15" i="2"/>
  <c r="HZ15" i="2"/>
  <c r="IA15" i="2"/>
  <c r="IB15" i="2"/>
  <c r="IC15" i="2"/>
  <c r="ID15" i="2"/>
  <c r="IE15" i="2"/>
  <c r="IF15" i="2"/>
  <c r="IG15" i="2"/>
  <c r="IH15" i="2"/>
  <c r="II15" i="2"/>
  <c r="IJ15" i="2"/>
  <c r="IK15" i="2"/>
  <c r="IL15" i="2"/>
  <c r="IM15" i="2"/>
  <c r="IN15" i="2"/>
  <c r="IO15" i="2"/>
  <c r="IP15" i="2"/>
  <c r="HP15" i="2" s="1" a="1"/>
  <c r="HP15" i="2" s="1"/>
  <c r="IQ15" i="2"/>
  <c r="IR15" i="2"/>
  <c r="IS15" i="2"/>
  <c r="IT15" i="2"/>
  <c r="HV16" i="2"/>
  <c r="GV16" i="2" s="1" a="1"/>
  <c r="GV16" i="2" s="1"/>
  <c r="HW16" i="2"/>
  <c r="HX16" i="2"/>
  <c r="HY16" i="2"/>
  <c r="HZ16" i="2"/>
  <c r="IA16" i="2"/>
  <c r="IB16" i="2"/>
  <c r="IC16" i="2"/>
  <c r="ID16" i="2"/>
  <c r="IE16" i="2"/>
  <c r="IF16" i="2"/>
  <c r="IG16" i="2"/>
  <c r="IH16" i="2"/>
  <c r="II16" i="2"/>
  <c r="IJ16" i="2"/>
  <c r="IK16" i="2"/>
  <c r="IL16" i="2"/>
  <c r="IM16" i="2"/>
  <c r="IN16" i="2"/>
  <c r="IO16" i="2"/>
  <c r="IP16" i="2"/>
  <c r="IQ16" i="2"/>
  <c r="IR16" i="2"/>
  <c r="IS16" i="2"/>
  <c r="IT16" i="2"/>
  <c r="HV17" i="2"/>
  <c r="GV17" i="2" s="1" a="1"/>
  <c r="GV17" i="2" s="1"/>
  <c r="HW17" i="2"/>
  <c r="HX17" i="2"/>
  <c r="HY17" i="2"/>
  <c r="HZ17" i="2"/>
  <c r="IA17" i="2"/>
  <c r="IB17" i="2"/>
  <c r="IC17" i="2"/>
  <c r="ID17" i="2"/>
  <c r="IE17" i="2"/>
  <c r="IF17" i="2"/>
  <c r="IG17" i="2"/>
  <c r="IH17" i="2"/>
  <c r="II17" i="2"/>
  <c r="IJ17" i="2"/>
  <c r="IK17" i="2"/>
  <c r="IL17" i="2"/>
  <c r="IM17" i="2"/>
  <c r="IN17" i="2"/>
  <c r="IO17" i="2"/>
  <c r="IP17" i="2"/>
  <c r="IQ17" i="2"/>
  <c r="IR17" i="2"/>
  <c r="IS17" i="2"/>
  <c r="IT17" i="2"/>
  <c r="HV18" i="2"/>
  <c r="HW18" i="2"/>
  <c r="HX18" i="2"/>
  <c r="HY18" i="2"/>
  <c r="HZ18" i="2"/>
  <c r="IA18" i="2"/>
  <c r="IB18" i="2"/>
  <c r="IC18" i="2"/>
  <c r="ID18" i="2"/>
  <c r="IE18" i="2"/>
  <c r="IF18" i="2"/>
  <c r="IG18" i="2"/>
  <c r="IH18" i="2"/>
  <c r="HH18" i="2" s="1" a="1"/>
  <c r="HH18" i="2" s="1"/>
  <c r="II18" i="2"/>
  <c r="IJ18" i="2"/>
  <c r="IK18" i="2"/>
  <c r="IL18" i="2"/>
  <c r="IM18" i="2"/>
  <c r="IN18" i="2"/>
  <c r="IO18" i="2"/>
  <c r="IP18" i="2"/>
  <c r="IQ18" i="2"/>
  <c r="IR18" i="2"/>
  <c r="IS18" i="2"/>
  <c r="IT18" i="2"/>
  <c r="HV19" i="2"/>
  <c r="HW19" i="2"/>
  <c r="HX19" i="2"/>
  <c r="HY19" i="2"/>
  <c r="HZ19" i="2"/>
  <c r="IA19" i="2"/>
  <c r="IB19" i="2"/>
  <c r="IC19" i="2"/>
  <c r="ID19" i="2"/>
  <c r="IE19" i="2"/>
  <c r="IF19" i="2"/>
  <c r="IG19" i="2"/>
  <c r="IH19" i="2"/>
  <c r="II19" i="2"/>
  <c r="IJ19" i="2"/>
  <c r="IK19" i="2"/>
  <c r="IL19" i="2"/>
  <c r="IM19" i="2"/>
  <c r="IN19" i="2"/>
  <c r="IO19" i="2"/>
  <c r="IP19" i="2"/>
  <c r="IQ19" i="2"/>
  <c r="IR19" i="2"/>
  <c r="IS19" i="2"/>
  <c r="IT19" i="2"/>
  <c r="HV20" i="2"/>
  <c r="HW20" i="2"/>
  <c r="HX20" i="2"/>
  <c r="HY20" i="2"/>
  <c r="HZ20" i="2"/>
  <c r="IA20" i="2"/>
  <c r="IB20" i="2"/>
  <c r="IC20" i="2"/>
  <c r="ID20" i="2"/>
  <c r="IE20" i="2"/>
  <c r="IF20" i="2"/>
  <c r="IG20" i="2"/>
  <c r="IH20" i="2"/>
  <c r="II20" i="2"/>
  <c r="IJ20" i="2"/>
  <c r="IK20" i="2"/>
  <c r="IL20" i="2"/>
  <c r="IM20" i="2"/>
  <c r="IN20" i="2"/>
  <c r="IO20" i="2"/>
  <c r="IP20" i="2"/>
  <c r="IQ20" i="2"/>
  <c r="IR20" i="2"/>
  <c r="IS20" i="2"/>
  <c r="IT20" i="2"/>
  <c r="HV21" i="2"/>
  <c r="HW21" i="2"/>
  <c r="HX21" i="2"/>
  <c r="HY21" i="2"/>
  <c r="HZ21" i="2"/>
  <c r="IA21" i="2"/>
  <c r="IB21" i="2"/>
  <c r="IC21" i="2"/>
  <c r="ID21" i="2"/>
  <c r="IE21" i="2"/>
  <c r="IF21" i="2"/>
  <c r="IG21" i="2"/>
  <c r="IH21" i="2"/>
  <c r="II21" i="2"/>
  <c r="IJ21" i="2"/>
  <c r="IK21" i="2"/>
  <c r="IL21" i="2"/>
  <c r="IM21" i="2"/>
  <c r="IN21" i="2"/>
  <c r="IO21" i="2"/>
  <c r="IP21" i="2"/>
  <c r="IQ21" i="2"/>
  <c r="IR21" i="2"/>
  <c r="IS21" i="2"/>
  <c r="IT21" i="2"/>
  <c r="HV22" i="2"/>
  <c r="HW22" i="2"/>
  <c r="HX22" i="2"/>
  <c r="HY22" i="2"/>
  <c r="HZ22" i="2"/>
  <c r="IA22" i="2"/>
  <c r="IB22" i="2"/>
  <c r="IC22" i="2"/>
  <c r="ID22" i="2"/>
  <c r="IE22" i="2"/>
  <c r="IF22" i="2"/>
  <c r="IG22" i="2"/>
  <c r="IH22" i="2"/>
  <c r="II22" i="2"/>
  <c r="IJ22" i="2"/>
  <c r="IK22" i="2"/>
  <c r="IL22" i="2"/>
  <c r="IM22" i="2"/>
  <c r="IN22" i="2"/>
  <c r="IO22" i="2"/>
  <c r="IP22" i="2"/>
  <c r="IQ22" i="2"/>
  <c r="IR22" i="2"/>
  <c r="IS22" i="2"/>
  <c r="IT22" i="2"/>
  <c r="HV23" i="2"/>
  <c r="HW23" i="2"/>
  <c r="HX23" i="2"/>
  <c r="HY23" i="2"/>
  <c r="HZ23" i="2"/>
  <c r="IA23" i="2"/>
  <c r="IB23" i="2"/>
  <c r="IC23" i="2"/>
  <c r="ID23" i="2"/>
  <c r="IE23" i="2"/>
  <c r="IF23" i="2"/>
  <c r="IG23" i="2"/>
  <c r="IH23" i="2"/>
  <c r="II23" i="2"/>
  <c r="IJ23" i="2"/>
  <c r="IK23" i="2"/>
  <c r="IL23" i="2"/>
  <c r="IM23" i="2"/>
  <c r="IN23" i="2"/>
  <c r="IO23" i="2"/>
  <c r="IP23" i="2"/>
  <c r="IQ23" i="2"/>
  <c r="IR23" i="2"/>
  <c r="IS23" i="2"/>
  <c r="IT23" i="2"/>
  <c r="HV24" i="2"/>
  <c r="HW24" i="2"/>
  <c r="HX24" i="2"/>
  <c r="HY24" i="2"/>
  <c r="HZ24" i="2"/>
  <c r="IA24" i="2"/>
  <c r="IB24" i="2"/>
  <c r="IC24" i="2"/>
  <c r="ID24" i="2"/>
  <c r="IE24" i="2"/>
  <c r="IF24" i="2"/>
  <c r="IG24" i="2"/>
  <c r="IH24" i="2"/>
  <c r="II24" i="2"/>
  <c r="IJ24" i="2"/>
  <c r="IK24" i="2"/>
  <c r="IL24" i="2"/>
  <c r="IM24" i="2"/>
  <c r="IN24" i="2"/>
  <c r="IO24" i="2"/>
  <c r="IP24" i="2"/>
  <c r="IQ24" i="2"/>
  <c r="IR24" i="2"/>
  <c r="IS24" i="2"/>
  <c r="IT24" i="2"/>
  <c r="HV25" i="2"/>
  <c r="HW25" i="2"/>
  <c r="HX25" i="2"/>
  <c r="HY25" i="2"/>
  <c r="HZ25" i="2"/>
  <c r="IA25" i="2"/>
  <c r="IB25" i="2"/>
  <c r="IC25" i="2"/>
  <c r="ID25" i="2"/>
  <c r="IE25" i="2"/>
  <c r="IF25" i="2"/>
  <c r="IG25" i="2"/>
  <c r="IH25" i="2"/>
  <c r="II25" i="2"/>
  <c r="IJ25" i="2"/>
  <c r="IK25" i="2"/>
  <c r="IL25" i="2"/>
  <c r="IM25" i="2"/>
  <c r="IN25" i="2"/>
  <c r="IO25" i="2"/>
  <c r="IP25" i="2"/>
  <c r="IQ25" i="2"/>
  <c r="IR25" i="2"/>
  <c r="IS25" i="2"/>
  <c r="IT25" i="2"/>
  <c r="HV26" i="2"/>
  <c r="HW26" i="2"/>
  <c r="HX26" i="2"/>
  <c r="HY26" i="2"/>
  <c r="HZ26" i="2"/>
  <c r="IA26" i="2"/>
  <c r="IB26" i="2"/>
  <c r="IC26" i="2"/>
  <c r="ID26" i="2"/>
  <c r="IE26" i="2"/>
  <c r="IF26" i="2"/>
  <c r="IG26" i="2"/>
  <c r="IH26" i="2"/>
  <c r="II26" i="2"/>
  <c r="IJ26" i="2"/>
  <c r="IK26" i="2"/>
  <c r="IL26" i="2"/>
  <c r="IM26" i="2"/>
  <c r="IN26" i="2"/>
  <c r="IO26" i="2"/>
  <c r="IP26" i="2"/>
  <c r="IQ26" i="2"/>
  <c r="IR26" i="2"/>
  <c r="IS26" i="2"/>
  <c r="IT26" i="2"/>
  <c r="HV27" i="2"/>
  <c r="HW27" i="2"/>
  <c r="HX27" i="2"/>
  <c r="HY27" i="2"/>
  <c r="HZ27" i="2"/>
  <c r="IA27" i="2"/>
  <c r="IB27" i="2"/>
  <c r="IC27" i="2"/>
  <c r="ID27" i="2"/>
  <c r="IE27" i="2"/>
  <c r="IF27" i="2"/>
  <c r="IG27" i="2"/>
  <c r="IH27" i="2"/>
  <c r="II27" i="2"/>
  <c r="IJ27" i="2"/>
  <c r="IK27" i="2"/>
  <c r="IL27" i="2"/>
  <c r="IM27" i="2"/>
  <c r="IN27" i="2"/>
  <c r="IO27" i="2"/>
  <c r="IP27" i="2"/>
  <c r="IQ27" i="2"/>
  <c r="IR27" i="2"/>
  <c r="IS27" i="2"/>
  <c r="IT27" i="2"/>
  <c r="HV28" i="2"/>
  <c r="GV28" i="2" s="1" a="1"/>
  <c r="GV28" i="2" s="1"/>
  <c r="HW28" i="2"/>
  <c r="HX28" i="2"/>
  <c r="HY28" i="2"/>
  <c r="HZ28" i="2"/>
  <c r="IA28" i="2"/>
  <c r="IB28" i="2"/>
  <c r="IC28" i="2"/>
  <c r="ID28" i="2"/>
  <c r="IE28" i="2"/>
  <c r="IF28" i="2"/>
  <c r="IG28" i="2"/>
  <c r="IH28" i="2"/>
  <c r="II28" i="2"/>
  <c r="IJ28" i="2"/>
  <c r="IK28" i="2"/>
  <c r="IL28" i="2"/>
  <c r="IM28" i="2"/>
  <c r="IN28" i="2"/>
  <c r="IO28" i="2"/>
  <c r="IP28" i="2"/>
  <c r="IQ28" i="2"/>
  <c r="IR28" i="2"/>
  <c r="IS28" i="2"/>
  <c r="IT28" i="2"/>
  <c r="HV29" i="2"/>
  <c r="GV29" i="2" s="1" a="1"/>
  <c r="GV29" i="2" s="1"/>
  <c r="HW29" i="2"/>
  <c r="HX29" i="2"/>
  <c r="HY29" i="2"/>
  <c r="HZ29" i="2"/>
  <c r="IA29" i="2"/>
  <c r="IB29" i="2"/>
  <c r="IC29" i="2"/>
  <c r="ID29" i="2"/>
  <c r="IE29" i="2"/>
  <c r="IF29" i="2"/>
  <c r="IG29" i="2"/>
  <c r="IH29" i="2"/>
  <c r="II29" i="2"/>
  <c r="IJ29" i="2"/>
  <c r="IK29" i="2"/>
  <c r="IL29" i="2"/>
  <c r="IM29" i="2"/>
  <c r="IN29" i="2"/>
  <c r="IO29" i="2"/>
  <c r="IP29" i="2"/>
  <c r="IQ29" i="2"/>
  <c r="IR29" i="2"/>
  <c r="IS29" i="2"/>
  <c r="IT29" i="2"/>
  <c r="HV30" i="2"/>
  <c r="HW30" i="2"/>
  <c r="HX30" i="2"/>
  <c r="HY30" i="2"/>
  <c r="HZ30" i="2"/>
  <c r="IA30" i="2"/>
  <c r="IB30" i="2"/>
  <c r="IC30" i="2"/>
  <c r="ID30" i="2"/>
  <c r="IE30" i="2"/>
  <c r="IF30" i="2"/>
  <c r="IG30" i="2"/>
  <c r="IH30" i="2"/>
  <c r="II30" i="2"/>
  <c r="IJ30" i="2"/>
  <c r="IK30" i="2"/>
  <c r="IL30" i="2"/>
  <c r="IM30" i="2"/>
  <c r="IN30" i="2"/>
  <c r="IO30" i="2"/>
  <c r="IP30" i="2"/>
  <c r="IQ30" i="2"/>
  <c r="IR30" i="2"/>
  <c r="IS30" i="2"/>
  <c r="IT30" i="2"/>
  <c r="HV31" i="2"/>
  <c r="HW31" i="2"/>
  <c r="HX31" i="2"/>
  <c r="HY31" i="2"/>
  <c r="HZ31" i="2"/>
  <c r="IA31" i="2"/>
  <c r="IB31" i="2"/>
  <c r="IC31" i="2"/>
  <c r="ID31" i="2"/>
  <c r="IE31" i="2"/>
  <c r="IF31" i="2"/>
  <c r="IG31" i="2"/>
  <c r="IH31" i="2"/>
  <c r="II31" i="2"/>
  <c r="IJ31" i="2"/>
  <c r="IK31" i="2"/>
  <c r="IL31" i="2"/>
  <c r="IM31" i="2"/>
  <c r="IN31" i="2"/>
  <c r="IO31" i="2"/>
  <c r="IP31" i="2"/>
  <c r="IQ31" i="2"/>
  <c r="IR31" i="2"/>
  <c r="IS31" i="2"/>
  <c r="IT31" i="2"/>
  <c r="HV32" i="2"/>
  <c r="HW32" i="2"/>
  <c r="HX32" i="2"/>
  <c r="HY32" i="2"/>
  <c r="HZ32" i="2"/>
  <c r="IA32" i="2"/>
  <c r="IB32" i="2"/>
  <c r="IC32" i="2"/>
  <c r="ID32" i="2"/>
  <c r="IE32" i="2"/>
  <c r="IF32" i="2"/>
  <c r="IG32" i="2"/>
  <c r="IH32" i="2"/>
  <c r="II32" i="2"/>
  <c r="IJ32" i="2"/>
  <c r="IK32" i="2"/>
  <c r="IL32" i="2"/>
  <c r="IM32" i="2"/>
  <c r="IN32" i="2"/>
  <c r="IO32" i="2"/>
  <c r="IP32" i="2"/>
  <c r="IQ32" i="2"/>
  <c r="IR32" i="2"/>
  <c r="IS32" i="2"/>
  <c r="IT32" i="2"/>
  <c r="HV33" i="2"/>
  <c r="HW33" i="2"/>
  <c r="HX33" i="2"/>
  <c r="HY33" i="2"/>
  <c r="HZ33" i="2"/>
  <c r="IA33" i="2"/>
  <c r="IB33" i="2"/>
  <c r="IC33" i="2"/>
  <c r="ID33" i="2"/>
  <c r="IE33" i="2"/>
  <c r="IF33" i="2"/>
  <c r="IG33" i="2"/>
  <c r="IH33" i="2"/>
  <c r="II33" i="2"/>
  <c r="IJ33" i="2"/>
  <c r="IK33" i="2"/>
  <c r="IL33" i="2"/>
  <c r="IM33" i="2"/>
  <c r="IN33" i="2"/>
  <c r="IO33" i="2"/>
  <c r="IP33" i="2"/>
  <c r="IQ33" i="2"/>
  <c r="IR33" i="2"/>
  <c r="IS33" i="2"/>
  <c r="IT33" i="2"/>
  <c r="HV34" i="2"/>
  <c r="HW34" i="2"/>
  <c r="HX34" i="2"/>
  <c r="HY34" i="2"/>
  <c r="HZ34" i="2"/>
  <c r="IA34" i="2"/>
  <c r="IB34" i="2"/>
  <c r="IC34" i="2"/>
  <c r="ID34" i="2"/>
  <c r="IE34" i="2"/>
  <c r="IF34" i="2"/>
  <c r="IG34" i="2"/>
  <c r="IH34" i="2"/>
  <c r="II34" i="2"/>
  <c r="IJ34" i="2"/>
  <c r="IK34" i="2"/>
  <c r="IL34" i="2"/>
  <c r="IM34" i="2"/>
  <c r="IN34" i="2"/>
  <c r="IO34" i="2"/>
  <c r="IP34" i="2"/>
  <c r="IQ34" i="2"/>
  <c r="IR34" i="2"/>
  <c r="IS34" i="2"/>
  <c r="IT34" i="2"/>
  <c r="HV35" i="2"/>
  <c r="HW35" i="2"/>
  <c r="HX35" i="2"/>
  <c r="HY35" i="2"/>
  <c r="HZ35" i="2"/>
  <c r="IA35" i="2"/>
  <c r="IB35" i="2"/>
  <c r="IC35" i="2"/>
  <c r="ID35" i="2"/>
  <c r="IE35" i="2"/>
  <c r="IF35" i="2"/>
  <c r="IG35" i="2"/>
  <c r="IH35" i="2"/>
  <c r="II35" i="2"/>
  <c r="IJ35" i="2"/>
  <c r="IK35" i="2"/>
  <c r="IL35" i="2"/>
  <c r="IM35" i="2"/>
  <c r="IN35" i="2"/>
  <c r="IO35" i="2"/>
  <c r="IP35" i="2"/>
  <c r="IQ35" i="2"/>
  <c r="IR35" i="2"/>
  <c r="IS35" i="2"/>
  <c r="IT35" i="2"/>
  <c r="HV36" i="2"/>
  <c r="HW36" i="2"/>
  <c r="HX36" i="2"/>
  <c r="HY36" i="2"/>
  <c r="HZ36" i="2"/>
  <c r="IA36" i="2"/>
  <c r="IB36" i="2"/>
  <c r="IC36" i="2"/>
  <c r="ID36" i="2"/>
  <c r="IE36" i="2"/>
  <c r="IF36" i="2"/>
  <c r="IG36" i="2"/>
  <c r="IH36" i="2"/>
  <c r="II36" i="2"/>
  <c r="IJ36" i="2"/>
  <c r="IK36" i="2"/>
  <c r="IL36" i="2"/>
  <c r="IM36" i="2"/>
  <c r="IN36" i="2"/>
  <c r="IO36" i="2"/>
  <c r="IP36" i="2"/>
  <c r="IQ36" i="2"/>
  <c r="IR36" i="2"/>
  <c r="IS36" i="2"/>
  <c r="IT36" i="2"/>
  <c r="HV37" i="2"/>
  <c r="HW37" i="2"/>
  <c r="HX37" i="2"/>
  <c r="HY37" i="2"/>
  <c r="HZ37" i="2"/>
  <c r="IA37" i="2"/>
  <c r="IB37" i="2"/>
  <c r="IC37" i="2"/>
  <c r="ID37" i="2"/>
  <c r="IE37" i="2"/>
  <c r="IF37" i="2"/>
  <c r="IG37" i="2"/>
  <c r="IH37" i="2"/>
  <c r="II37" i="2"/>
  <c r="IJ37" i="2"/>
  <c r="IK37" i="2"/>
  <c r="IL37" i="2"/>
  <c r="IM37" i="2"/>
  <c r="IN37" i="2"/>
  <c r="IO37" i="2"/>
  <c r="IP37" i="2"/>
  <c r="IQ37" i="2"/>
  <c r="IR37" i="2"/>
  <c r="IS37" i="2"/>
  <c r="IT37" i="2"/>
  <c r="HV38" i="2"/>
  <c r="HW38" i="2"/>
  <c r="HX38" i="2"/>
  <c r="HY38" i="2"/>
  <c r="HZ38" i="2"/>
  <c r="IA38" i="2"/>
  <c r="IB38" i="2"/>
  <c r="IC38" i="2"/>
  <c r="ID38" i="2"/>
  <c r="IE38" i="2"/>
  <c r="IF38" i="2"/>
  <c r="IG38" i="2"/>
  <c r="HG38" i="2" s="1" a="1"/>
  <c r="HG38" i="2" s="1"/>
  <c r="IH38" i="2"/>
  <c r="II38" i="2"/>
  <c r="IJ38" i="2"/>
  <c r="IK38" i="2"/>
  <c r="IL38" i="2"/>
  <c r="IM38" i="2"/>
  <c r="IN38" i="2"/>
  <c r="IO38" i="2"/>
  <c r="IP38" i="2"/>
  <c r="IQ38" i="2"/>
  <c r="IR38" i="2"/>
  <c r="IS38" i="2"/>
  <c r="IT38" i="2"/>
  <c r="HV39" i="2"/>
  <c r="HW39" i="2"/>
  <c r="HX39" i="2"/>
  <c r="HY39" i="2"/>
  <c r="GY39" i="2" s="1" a="1"/>
  <c r="GY39" i="2" s="1"/>
  <c r="HZ39" i="2"/>
  <c r="IA39" i="2"/>
  <c r="IB39" i="2"/>
  <c r="IC39" i="2"/>
  <c r="ID39" i="2"/>
  <c r="IE39" i="2"/>
  <c r="IF39" i="2"/>
  <c r="IG39" i="2"/>
  <c r="IH39" i="2"/>
  <c r="II39" i="2"/>
  <c r="IJ39" i="2"/>
  <c r="IK39" i="2"/>
  <c r="IL39" i="2"/>
  <c r="IM39" i="2"/>
  <c r="IN39" i="2"/>
  <c r="IO39" i="2"/>
  <c r="IP39" i="2"/>
  <c r="IQ39" i="2"/>
  <c r="IR39" i="2"/>
  <c r="IS39" i="2"/>
  <c r="IT39" i="2"/>
  <c r="HV40" i="2"/>
  <c r="GV40" i="2" s="1" a="1"/>
  <c r="GV40" i="2" s="1"/>
  <c r="HW40" i="2"/>
  <c r="HX40" i="2"/>
  <c r="GX40" i="2" s="1" a="1"/>
  <c r="GX40" i="2" s="1"/>
  <c r="HY40" i="2"/>
  <c r="HZ40" i="2"/>
  <c r="IA40" i="2"/>
  <c r="IB40" i="2"/>
  <c r="IC40" i="2"/>
  <c r="ID40" i="2"/>
  <c r="IE40" i="2"/>
  <c r="IF40" i="2"/>
  <c r="IG40" i="2"/>
  <c r="IH40" i="2"/>
  <c r="II40" i="2"/>
  <c r="IJ40" i="2"/>
  <c r="IK40" i="2"/>
  <c r="IL40" i="2"/>
  <c r="IM40" i="2"/>
  <c r="IN40" i="2"/>
  <c r="IO40" i="2"/>
  <c r="IP40" i="2"/>
  <c r="IQ40" i="2"/>
  <c r="IR40" i="2"/>
  <c r="IS40" i="2"/>
  <c r="IT40" i="2"/>
  <c r="HV41" i="2"/>
  <c r="GV41" i="2" s="1" a="1"/>
  <c r="GV41" i="2" s="1"/>
  <c r="HW41" i="2"/>
  <c r="HX41" i="2"/>
  <c r="HY41" i="2"/>
  <c r="HZ41" i="2"/>
  <c r="IA41" i="2"/>
  <c r="IB41" i="2"/>
  <c r="IC41" i="2"/>
  <c r="ID41" i="2"/>
  <c r="IE41" i="2"/>
  <c r="IF41" i="2"/>
  <c r="IG41" i="2"/>
  <c r="IH41" i="2"/>
  <c r="II41" i="2"/>
  <c r="HI41" i="2" s="1" a="1"/>
  <c r="HI41" i="2" s="1"/>
  <c r="IJ41" i="2"/>
  <c r="IK41" i="2"/>
  <c r="IL41" i="2"/>
  <c r="IM41" i="2"/>
  <c r="IN41" i="2"/>
  <c r="IO41" i="2"/>
  <c r="IP41" i="2"/>
  <c r="IQ41" i="2"/>
  <c r="IR41" i="2"/>
  <c r="IS41" i="2"/>
  <c r="IT41" i="2"/>
  <c r="HV42" i="2"/>
  <c r="GV42" i="2" s="1" a="1"/>
  <c r="GV42" i="2" s="1"/>
  <c r="HW42" i="2"/>
  <c r="HX42" i="2"/>
  <c r="HY42" i="2"/>
  <c r="HZ42" i="2"/>
  <c r="IA42" i="2"/>
  <c r="IB42" i="2"/>
  <c r="IC42" i="2"/>
  <c r="ID42" i="2"/>
  <c r="IE42" i="2"/>
  <c r="IF42" i="2"/>
  <c r="IG42" i="2"/>
  <c r="IH42" i="2"/>
  <c r="II42" i="2"/>
  <c r="IJ42" i="2"/>
  <c r="IK42" i="2"/>
  <c r="IL42" i="2"/>
  <c r="IM42" i="2"/>
  <c r="IN42" i="2"/>
  <c r="IO42" i="2"/>
  <c r="IP42" i="2"/>
  <c r="IQ42" i="2"/>
  <c r="IR42" i="2"/>
  <c r="IS42" i="2"/>
  <c r="IT42" i="2"/>
  <c r="HT42" i="2" s="1" a="1"/>
  <c r="HT42" i="2" s="1"/>
  <c r="HV43" i="2"/>
  <c r="HW43" i="2"/>
  <c r="HX43" i="2"/>
  <c r="HY43" i="2"/>
  <c r="HZ43" i="2"/>
  <c r="IA43" i="2"/>
  <c r="IB43" i="2"/>
  <c r="IC43" i="2"/>
  <c r="ID43" i="2"/>
  <c r="IE43" i="2"/>
  <c r="IF43" i="2"/>
  <c r="IG43" i="2"/>
  <c r="IH43" i="2"/>
  <c r="II43" i="2"/>
  <c r="IJ43" i="2"/>
  <c r="IK43" i="2"/>
  <c r="IL43" i="2"/>
  <c r="IM43" i="2"/>
  <c r="IN43" i="2"/>
  <c r="IO43" i="2"/>
  <c r="IP43" i="2"/>
  <c r="IQ43" i="2"/>
  <c r="IR43" i="2"/>
  <c r="IS43" i="2"/>
  <c r="IT43" i="2"/>
  <c r="HV44" i="2"/>
  <c r="HW44" i="2"/>
  <c r="HX44" i="2"/>
  <c r="HY44" i="2"/>
  <c r="HZ44" i="2"/>
  <c r="IA44" i="2"/>
  <c r="IB44" i="2"/>
  <c r="IC44" i="2"/>
  <c r="ID44" i="2"/>
  <c r="IE44" i="2"/>
  <c r="IF44" i="2"/>
  <c r="HF44" i="2" s="1" a="1"/>
  <c r="HF44" i="2" s="1"/>
  <c r="IG44" i="2"/>
  <c r="IH44" i="2"/>
  <c r="II44" i="2"/>
  <c r="IJ44" i="2"/>
  <c r="IK44" i="2"/>
  <c r="IL44" i="2"/>
  <c r="IM44" i="2"/>
  <c r="IN44" i="2"/>
  <c r="IO44" i="2"/>
  <c r="IP44" i="2"/>
  <c r="IQ44" i="2"/>
  <c r="IR44" i="2"/>
  <c r="IS44" i="2"/>
  <c r="IT44" i="2"/>
  <c r="HV45" i="2"/>
  <c r="HW45" i="2"/>
  <c r="HX45" i="2"/>
  <c r="HY45" i="2"/>
  <c r="HZ45" i="2"/>
  <c r="IA45" i="2"/>
  <c r="IB45" i="2"/>
  <c r="IC45" i="2"/>
  <c r="ID45" i="2"/>
  <c r="IE45" i="2"/>
  <c r="IF45" i="2"/>
  <c r="IG45" i="2"/>
  <c r="IH45" i="2"/>
  <c r="II45" i="2"/>
  <c r="IJ45" i="2"/>
  <c r="IK45" i="2"/>
  <c r="IL45" i="2"/>
  <c r="IM45" i="2"/>
  <c r="IN45" i="2"/>
  <c r="IO45" i="2"/>
  <c r="IP45" i="2"/>
  <c r="IQ45" i="2"/>
  <c r="HQ45" i="2" s="1" a="1"/>
  <c r="HQ45" i="2" s="1"/>
  <c r="IR45" i="2"/>
  <c r="IS45" i="2"/>
  <c r="IT45" i="2"/>
  <c r="HV46" i="2"/>
  <c r="HW46" i="2"/>
  <c r="HX46" i="2"/>
  <c r="HY46" i="2"/>
  <c r="HZ46" i="2"/>
  <c r="IA46" i="2"/>
  <c r="IB46" i="2"/>
  <c r="IC46" i="2"/>
  <c r="ID46" i="2"/>
  <c r="IE46" i="2"/>
  <c r="IF46" i="2"/>
  <c r="IG46" i="2"/>
  <c r="IH46" i="2"/>
  <c r="II46" i="2"/>
  <c r="IJ46" i="2"/>
  <c r="IK46" i="2"/>
  <c r="IL46" i="2"/>
  <c r="IM46" i="2"/>
  <c r="IN46" i="2"/>
  <c r="IO46" i="2"/>
  <c r="IP46" i="2"/>
  <c r="IQ46" i="2"/>
  <c r="IR46" i="2"/>
  <c r="IS46" i="2"/>
  <c r="IT46" i="2"/>
  <c r="HV47" i="2"/>
  <c r="HW47" i="2"/>
  <c r="HX47" i="2"/>
  <c r="HY47" i="2"/>
  <c r="HZ47" i="2"/>
  <c r="IA47" i="2"/>
  <c r="IB47" i="2"/>
  <c r="IC47" i="2"/>
  <c r="HC47" i="2" s="1" a="1"/>
  <c r="HC47" i="2" s="1"/>
  <c r="ID47" i="2"/>
  <c r="IE47" i="2"/>
  <c r="IF47" i="2"/>
  <c r="IG47" i="2"/>
  <c r="IH47" i="2"/>
  <c r="II47" i="2"/>
  <c r="IJ47" i="2"/>
  <c r="IK47" i="2"/>
  <c r="IL47" i="2"/>
  <c r="IM47" i="2"/>
  <c r="IN47" i="2"/>
  <c r="IO47" i="2"/>
  <c r="IP47" i="2"/>
  <c r="IQ47" i="2"/>
  <c r="IR47" i="2"/>
  <c r="IS47" i="2"/>
  <c r="IT47" i="2"/>
  <c r="HV48" i="2"/>
  <c r="HW48" i="2"/>
  <c r="HX48" i="2"/>
  <c r="HY48" i="2"/>
  <c r="HZ48" i="2"/>
  <c r="IA48" i="2"/>
  <c r="IB48" i="2"/>
  <c r="IC48" i="2"/>
  <c r="ID48" i="2"/>
  <c r="IE48" i="2"/>
  <c r="IF48" i="2"/>
  <c r="IG48" i="2"/>
  <c r="IH48" i="2"/>
  <c r="II48" i="2"/>
  <c r="IJ48" i="2"/>
  <c r="IK48" i="2"/>
  <c r="IL48" i="2"/>
  <c r="IM48" i="2"/>
  <c r="IN48" i="2"/>
  <c r="HN48" i="2" s="1" a="1"/>
  <c r="HN48" i="2" s="1"/>
  <c r="IO48" i="2"/>
  <c r="IP48" i="2"/>
  <c r="IQ48" i="2"/>
  <c r="IR48" i="2"/>
  <c r="IS48" i="2"/>
  <c r="IT48" i="2"/>
  <c r="HV49" i="2"/>
  <c r="HW49" i="2"/>
  <c r="HX49" i="2"/>
  <c r="HY49" i="2"/>
  <c r="HZ49" i="2"/>
  <c r="IA49" i="2"/>
  <c r="IB49" i="2"/>
  <c r="IC49" i="2"/>
  <c r="ID49" i="2"/>
  <c r="IE49" i="2"/>
  <c r="IF49" i="2"/>
  <c r="IG49" i="2"/>
  <c r="IH49" i="2"/>
  <c r="II49" i="2"/>
  <c r="IJ49" i="2"/>
  <c r="IK49" i="2"/>
  <c r="IL49" i="2"/>
  <c r="IM49" i="2"/>
  <c r="IN49" i="2"/>
  <c r="IO49" i="2"/>
  <c r="IP49" i="2"/>
  <c r="IQ49" i="2"/>
  <c r="IR49" i="2"/>
  <c r="IS49" i="2"/>
  <c r="IT49" i="2"/>
  <c r="HV50" i="2"/>
  <c r="HW50" i="2"/>
  <c r="HX50" i="2"/>
  <c r="HY50" i="2"/>
  <c r="HZ50" i="2"/>
  <c r="GZ50" i="2" s="1" a="1"/>
  <c r="GZ50" i="2" s="1"/>
  <c r="IA50" i="2"/>
  <c r="IB50" i="2"/>
  <c r="IC50" i="2"/>
  <c r="ID50" i="2"/>
  <c r="IE50" i="2"/>
  <c r="IF50" i="2"/>
  <c r="IG50" i="2"/>
  <c r="IH50" i="2"/>
  <c r="II50" i="2"/>
  <c r="IJ50" i="2"/>
  <c r="IK50" i="2"/>
  <c r="IL50" i="2"/>
  <c r="IM50" i="2"/>
  <c r="IN50" i="2"/>
  <c r="IO50" i="2"/>
  <c r="IP50" i="2"/>
  <c r="IQ50" i="2"/>
  <c r="IR50" i="2"/>
  <c r="IS50" i="2"/>
  <c r="IT50" i="2"/>
  <c r="HV51" i="2"/>
  <c r="HW51" i="2"/>
  <c r="HX51" i="2"/>
  <c r="HY51" i="2"/>
  <c r="HZ51" i="2"/>
  <c r="IA51" i="2"/>
  <c r="IB51" i="2"/>
  <c r="IC51" i="2"/>
  <c r="ID51" i="2"/>
  <c r="IE51" i="2"/>
  <c r="IF51" i="2"/>
  <c r="IG51" i="2"/>
  <c r="IH51" i="2"/>
  <c r="II51" i="2"/>
  <c r="IJ51" i="2"/>
  <c r="IK51" i="2"/>
  <c r="HK51" i="2" s="1" a="1"/>
  <c r="HK51" i="2" s="1"/>
  <c r="IL51" i="2"/>
  <c r="IM51" i="2"/>
  <c r="IN51" i="2"/>
  <c r="IO51" i="2"/>
  <c r="IP51" i="2"/>
  <c r="IQ51" i="2"/>
  <c r="IR51" i="2"/>
  <c r="IS51" i="2"/>
  <c r="IT51" i="2"/>
  <c r="HV52" i="2"/>
  <c r="GV52" i="2" s="1" a="1"/>
  <c r="GV52" i="2" s="1"/>
  <c r="HW52" i="2"/>
  <c r="HX52" i="2"/>
  <c r="HY52" i="2"/>
  <c r="HZ52" i="2"/>
  <c r="IA52" i="2"/>
  <c r="IB52" i="2"/>
  <c r="IC52" i="2"/>
  <c r="ID52" i="2"/>
  <c r="IE52" i="2"/>
  <c r="IF52" i="2"/>
  <c r="IG52" i="2"/>
  <c r="IH52" i="2"/>
  <c r="II52" i="2"/>
  <c r="IJ52" i="2"/>
  <c r="IK52" i="2"/>
  <c r="IL52" i="2"/>
  <c r="IM52" i="2"/>
  <c r="IN52" i="2"/>
  <c r="IO52" i="2"/>
  <c r="IP52" i="2"/>
  <c r="IQ52" i="2"/>
  <c r="IR52" i="2"/>
  <c r="IS52" i="2"/>
  <c r="IT52" i="2"/>
  <c r="HV53" i="2"/>
  <c r="GV53" i="2" s="1" a="1"/>
  <c r="GV53" i="2" s="1"/>
  <c r="HW53" i="2"/>
  <c r="GW53" i="2" s="1" a="1"/>
  <c r="GW53" i="2" s="1"/>
  <c r="HX53" i="2"/>
  <c r="HY53" i="2"/>
  <c r="HZ53" i="2"/>
  <c r="IA53" i="2"/>
  <c r="IB53" i="2"/>
  <c r="IC53" i="2"/>
  <c r="ID53" i="2"/>
  <c r="IE53" i="2"/>
  <c r="IF53" i="2"/>
  <c r="IG53" i="2"/>
  <c r="IH53" i="2"/>
  <c r="II53" i="2"/>
  <c r="IJ53" i="2"/>
  <c r="IK53" i="2"/>
  <c r="IL53" i="2"/>
  <c r="IM53" i="2"/>
  <c r="IN53" i="2"/>
  <c r="IO53" i="2"/>
  <c r="IP53" i="2"/>
  <c r="IQ53" i="2"/>
  <c r="IR53" i="2"/>
  <c r="IS53" i="2"/>
  <c r="IT53" i="2"/>
  <c r="HV54" i="2"/>
  <c r="HW54" i="2"/>
  <c r="HX54" i="2"/>
  <c r="HY54" i="2"/>
  <c r="HZ54" i="2"/>
  <c r="IA54" i="2"/>
  <c r="IB54" i="2"/>
  <c r="IC54" i="2"/>
  <c r="ID54" i="2"/>
  <c r="IE54" i="2"/>
  <c r="IF54" i="2"/>
  <c r="IG54" i="2"/>
  <c r="IH54" i="2"/>
  <c r="HH54" i="2" s="1" a="1"/>
  <c r="HH54" i="2" s="1"/>
  <c r="II54" i="2"/>
  <c r="IJ54" i="2"/>
  <c r="IK54" i="2"/>
  <c r="IL54" i="2"/>
  <c r="IM54" i="2"/>
  <c r="IN54" i="2"/>
  <c r="IO54" i="2"/>
  <c r="IP54" i="2"/>
  <c r="IQ54" i="2"/>
  <c r="IR54" i="2"/>
  <c r="IS54" i="2"/>
  <c r="IT54" i="2"/>
  <c r="HV55" i="2"/>
  <c r="HW55" i="2"/>
  <c r="HX55" i="2"/>
  <c r="HY55" i="2"/>
  <c r="HZ55" i="2"/>
  <c r="IA55" i="2"/>
  <c r="IB55" i="2"/>
  <c r="IC55" i="2"/>
  <c r="ID55" i="2"/>
  <c r="IE55" i="2"/>
  <c r="IF55" i="2"/>
  <c r="IG55" i="2"/>
  <c r="IH55" i="2"/>
  <c r="II55" i="2"/>
  <c r="IJ55" i="2"/>
  <c r="IK55" i="2"/>
  <c r="IL55" i="2"/>
  <c r="IM55" i="2"/>
  <c r="IN55" i="2"/>
  <c r="IO55" i="2"/>
  <c r="IP55" i="2"/>
  <c r="IQ55" i="2"/>
  <c r="IR55" i="2"/>
  <c r="IS55" i="2"/>
  <c r="HS55" i="2" s="1" a="1"/>
  <c r="HS55" i="2" s="1"/>
  <c r="IT55" i="2"/>
  <c r="HV56" i="2"/>
  <c r="HW56" i="2"/>
  <c r="HX56" i="2"/>
  <c r="HY56" i="2"/>
  <c r="HZ56" i="2"/>
  <c r="IA56" i="2"/>
  <c r="IB56" i="2"/>
  <c r="IC56" i="2"/>
  <c r="ID56" i="2"/>
  <c r="IE56" i="2"/>
  <c r="ME56" i="2" s="1"/>
  <c r="IF56" i="2"/>
  <c r="IG56" i="2"/>
  <c r="IH56" i="2"/>
  <c r="II56" i="2"/>
  <c r="IJ56" i="2"/>
  <c r="IK56" i="2"/>
  <c r="IL56" i="2"/>
  <c r="IM56" i="2"/>
  <c r="IN56" i="2"/>
  <c r="IO56" i="2"/>
  <c r="IP56" i="2"/>
  <c r="IQ56" i="2"/>
  <c r="IR56" i="2"/>
  <c r="HR56" i="2" s="1" a="1"/>
  <c r="HR56" i="2" s="1"/>
  <c r="IS56" i="2"/>
  <c r="IT56" i="2"/>
  <c r="HV57" i="2"/>
  <c r="HW57" i="2"/>
  <c r="HX57" i="2"/>
  <c r="HY57" i="2"/>
  <c r="HZ57" i="2"/>
  <c r="IA57" i="2"/>
  <c r="IB57" i="2"/>
  <c r="IC57" i="2"/>
  <c r="ID57" i="2"/>
  <c r="IE57" i="2"/>
  <c r="HE57" i="2" s="1" a="1"/>
  <c r="HE57" i="2" s="1"/>
  <c r="IF57" i="2"/>
  <c r="IG57" i="2"/>
  <c r="IH57" i="2"/>
  <c r="II57" i="2"/>
  <c r="IJ57" i="2"/>
  <c r="IK57" i="2"/>
  <c r="IL57" i="2"/>
  <c r="IM57" i="2"/>
  <c r="IN57" i="2"/>
  <c r="IO57" i="2"/>
  <c r="IP57" i="2"/>
  <c r="IQ57" i="2"/>
  <c r="IR57" i="2"/>
  <c r="IS57" i="2"/>
  <c r="IT57" i="2"/>
  <c r="HV58" i="2"/>
  <c r="HW58" i="2"/>
  <c r="HX58" i="2"/>
  <c r="HY58" i="2"/>
  <c r="HZ58" i="2"/>
  <c r="IA58" i="2"/>
  <c r="IB58" i="2"/>
  <c r="IC58" i="2"/>
  <c r="ID58" i="2"/>
  <c r="IE58" i="2"/>
  <c r="IF58" i="2"/>
  <c r="IG58" i="2"/>
  <c r="IH58" i="2"/>
  <c r="II58" i="2"/>
  <c r="IJ58" i="2"/>
  <c r="IK58" i="2"/>
  <c r="IL58" i="2"/>
  <c r="IM58" i="2"/>
  <c r="IN58" i="2"/>
  <c r="IO58" i="2"/>
  <c r="IP58" i="2"/>
  <c r="HP58" i="2" s="1" a="1"/>
  <c r="HP58" i="2" s="1"/>
  <c r="IQ58" i="2"/>
  <c r="IR58" i="2"/>
  <c r="IS58" i="2"/>
  <c r="IT58" i="2"/>
  <c r="HV59" i="2"/>
  <c r="HW59" i="2"/>
  <c r="HX59" i="2"/>
  <c r="HY59" i="2"/>
  <c r="HZ59" i="2"/>
  <c r="IA59" i="2"/>
  <c r="IB59" i="2"/>
  <c r="IC59" i="2"/>
  <c r="ID59" i="2"/>
  <c r="IE59" i="2"/>
  <c r="IF59" i="2"/>
  <c r="IG59" i="2"/>
  <c r="IH59" i="2"/>
  <c r="II59" i="2"/>
  <c r="IJ59" i="2"/>
  <c r="IK59" i="2"/>
  <c r="IL59" i="2"/>
  <c r="IM59" i="2"/>
  <c r="IN59" i="2"/>
  <c r="IO59" i="2"/>
  <c r="IP59" i="2"/>
  <c r="IQ59" i="2"/>
  <c r="IR59" i="2"/>
  <c r="IS59" i="2"/>
  <c r="IT59" i="2"/>
  <c r="HV60" i="2"/>
  <c r="HW60" i="2"/>
  <c r="HX60" i="2"/>
  <c r="HY60" i="2"/>
  <c r="HZ60" i="2"/>
  <c r="IA60" i="2"/>
  <c r="IB60" i="2"/>
  <c r="HB60" i="2" s="1" a="1"/>
  <c r="HB60" i="2" s="1"/>
  <c r="IC60" i="2"/>
  <c r="ID60" i="2"/>
  <c r="IE60" i="2"/>
  <c r="IF60" i="2"/>
  <c r="IG60" i="2"/>
  <c r="IH60" i="2"/>
  <c r="II60" i="2"/>
  <c r="IJ60" i="2"/>
  <c r="IK60" i="2"/>
  <c r="IL60" i="2"/>
  <c r="IM60" i="2"/>
  <c r="IN60" i="2"/>
  <c r="IO60" i="2"/>
  <c r="IP60" i="2"/>
  <c r="IQ60" i="2"/>
  <c r="IR60" i="2"/>
  <c r="IS60" i="2"/>
  <c r="IT60" i="2"/>
  <c r="HV61" i="2"/>
  <c r="HW61" i="2"/>
  <c r="HX61" i="2"/>
  <c r="HY61" i="2"/>
  <c r="HZ61" i="2"/>
  <c r="IA61" i="2"/>
  <c r="IB61" i="2"/>
  <c r="IC61" i="2"/>
  <c r="ID61" i="2"/>
  <c r="IE61" i="2"/>
  <c r="IF61" i="2"/>
  <c r="IG61" i="2"/>
  <c r="IH61" i="2"/>
  <c r="II61" i="2"/>
  <c r="IJ61" i="2"/>
  <c r="IK61" i="2"/>
  <c r="IL61" i="2"/>
  <c r="IM61" i="2"/>
  <c r="HM61" i="2" s="1" a="1"/>
  <c r="HM61" i="2" s="1"/>
  <c r="IN61" i="2"/>
  <c r="IO61" i="2"/>
  <c r="IP61" i="2"/>
  <c r="IQ61" i="2"/>
  <c r="IR61" i="2"/>
  <c r="IS61" i="2"/>
  <c r="IT61" i="2"/>
  <c r="HV62" i="2"/>
  <c r="HW62" i="2"/>
  <c r="HX62" i="2"/>
  <c r="HY62" i="2"/>
  <c r="HZ62" i="2"/>
  <c r="IA62" i="2"/>
  <c r="IB62" i="2"/>
  <c r="IC62" i="2"/>
  <c r="ID62" i="2"/>
  <c r="IE62" i="2"/>
  <c r="IF62" i="2"/>
  <c r="IG62" i="2"/>
  <c r="IH62" i="2"/>
  <c r="II62" i="2"/>
  <c r="IJ62" i="2"/>
  <c r="IK62" i="2"/>
  <c r="IL62" i="2"/>
  <c r="IM62" i="2"/>
  <c r="IN62" i="2"/>
  <c r="IO62" i="2"/>
  <c r="IP62" i="2"/>
  <c r="IQ62" i="2"/>
  <c r="IR62" i="2"/>
  <c r="IS62" i="2"/>
  <c r="IT62" i="2"/>
  <c r="HV63" i="2"/>
  <c r="HW63" i="2"/>
  <c r="HX63" i="2"/>
  <c r="HY63" i="2"/>
  <c r="GY63" i="2" s="1" a="1"/>
  <c r="GY63" i="2" s="1"/>
  <c r="HZ63" i="2"/>
  <c r="IA63" i="2"/>
  <c r="IB63" i="2"/>
  <c r="IC63" i="2"/>
  <c r="ID63" i="2"/>
  <c r="IE63" i="2"/>
  <c r="IF63" i="2"/>
  <c r="IG63" i="2"/>
  <c r="IH63" i="2"/>
  <c r="II63" i="2"/>
  <c r="IJ63" i="2"/>
  <c r="IK63" i="2"/>
  <c r="IL63" i="2"/>
  <c r="IM63" i="2"/>
  <c r="IN63" i="2"/>
  <c r="IO63" i="2"/>
  <c r="IP63" i="2"/>
  <c r="IQ63" i="2"/>
  <c r="IR63" i="2"/>
  <c r="IS63" i="2"/>
  <c r="IT63" i="2"/>
  <c r="FU64" i="2"/>
  <c r="FV64" i="2"/>
  <c r="FW64" i="2"/>
  <c r="FX64" i="2"/>
  <c r="FY64" i="2"/>
  <c r="FZ64" i="2"/>
  <c r="GA64" i="2"/>
  <c r="GB64" i="2"/>
  <c r="GC64" i="2"/>
  <c r="GD64" i="2"/>
  <c r="GE64" i="2"/>
  <c r="GF64" i="2"/>
  <c r="GG64" i="2"/>
  <c r="GH64" i="2"/>
  <c r="GI64" i="2"/>
  <c r="GJ64" i="2"/>
  <c r="GK64" i="2"/>
  <c r="GL64" i="2"/>
  <c r="GM64" i="2"/>
  <c r="GN64" i="2"/>
  <c r="GO64" i="2"/>
  <c r="GP64" i="2"/>
  <c r="GQ64" i="2"/>
  <c r="GR64" i="2"/>
  <c r="GS64" i="2"/>
  <c r="FU65" i="2"/>
  <c r="FV65" i="2"/>
  <c r="FW65" i="2"/>
  <c r="FX65" i="2"/>
  <c r="FY65" i="2"/>
  <c r="FZ65" i="2"/>
  <c r="GA65" i="2"/>
  <c r="GB65" i="2"/>
  <c r="GC65" i="2"/>
  <c r="GD65" i="2"/>
  <c r="GE65" i="2"/>
  <c r="GF65" i="2"/>
  <c r="GG65" i="2"/>
  <c r="GH65" i="2"/>
  <c r="GI65" i="2"/>
  <c r="GJ65" i="2"/>
  <c r="GK65" i="2"/>
  <c r="GL65" i="2"/>
  <c r="GM65" i="2"/>
  <c r="GN65" i="2"/>
  <c r="GO65" i="2"/>
  <c r="GP65" i="2"/>
  <c r="GQ65" i="2"/>
  <c r="GR65" i="2"/>
  <c r="GS65" i="2"/>
  <c r="FU66" i="2"/>
  <c r="FV66" i="2"/>
  <c r="FW66" i="2"/>
  <c r="FX66" i="2"/>
  <c r="FY66" i="2"/>
  <c r="FZ66" i="2"/>
  <c r="GA66" i="2"/>
  <c r="GB66" i="2"/>
  <c r="GC66" i="2"/>
  <c r="GD66" i="2"/>
  <c r="GE66" i="2"/>
  <c r="GF66" i="2"/>
  <c r="GG66" i="2"/>
  <c r="GH66" i="2"/>
  <c r="GI66" i="2"/>
  <c r="GJ66" i="2"/>
  <c r="GK66" i="2"/>
  <c r="GL66" i="2"/>
  <c r="GM66" i="2"/>
  <c r="GN66" i="2"/>
  <c r="GO66" i="2"/>
  <c r="GP66" i="2"/>
  <c r="GQ66" i="2"/>
  <c r="GR66" i="2"/>
  <c r="GS66" i="2"/>
  <c r="FU67" i="2"/>
  <c r="FV67" i="2"/>
  <c r="FW67" i="2"/>
  <c r="FX67" i="2"/>
  <c r="FY67" i="2"/>
  <c r="FZ67" i="2"/>
  <c r="GA67" i="2"/>
  <c r="GB67" i="2"/>
  <c r="GC67" i="2"/>
  <c r="GD67" i="2"/>
  <c r="GE67" i="2"/>
  <c r="GF67" i="2"/>
  <c r="GG67" i="2"/>
  <c r="GH67" i="2"/>
  <c r="GI67" i="2"/>
  <c r="GJ67" i="2"/>
  <c r="GK67" i="2"/>
  <c r="GL67" i="2"/>
  <c r="GM67" i="2"/>
  <c r="GN67" i="2"/>
  <c r="GO67" i="2"/>
  <c r="GP67" i="2"/>
  <c r="GQ67" i="2"/>
  <c r="GR67" i="2"/>
  <c r="GS67" i="2"/>
  <c r="FU68" i="2"/>
  <c r="FV68" i="2"/>
  <c r="FW68" i="2"/>
  <c r="FX68" i="2"/>
  <c r="FY68" i="2"/>
  <c r="FZ68" i="2"/>
  <c r="GA68" i="2"/>
  <c r="GB68" i="2"/>
  <c r="GC68" i="2"/>
  <c r="GD68" i="2"/>
  <c r="GE68" i="2"/>
  <c r="GF68" i="2"/>
  <c r="GG68" i="2"/>
  <c r="GH68" i="2"/>
  <c r="GI68" i="2"/>
  <c r="GJ68" i="2"/>
  <c r="GK68" i="2"/>
  <c r="GL68" i="2"/>
  <c r="GM68" i="2"/>
  <c r="GN68" i="2"/>
  <c r="GO68" i="2"/>
  <c r="GP68" i="2"/>
  <c r="GQ68" i="2"/>
  <c r="GR68" i="2"/>
  <c r="GS68" i="2"/>
  <c r="FU69" i="2"/>
  <c r="FV69" i="2"/>
  <c r="FW69" i="2"/>
  <c r="FX69" i="2"/>
  <c r="FY69" i="2"/>
  <c r="FZ69" i="2"/>
  <c r="GA69" i="2"/>
  <c r="GB69" i="2"/>
  <c r="GC69" i="2"/>
  <c r="GD69" i="2"/>
  <c r="GE69" i="2"/>
  <c r="GF69" i="2"/>
  <c r="GG69" i="2"/>
  <c r="GH69" i="2"/>
  <c r="GI69" i="2"/>
  <c r="GJ69" i="2"/>
  <c r="GK69" i="2"/>
  <c r="GL69" i="2"/>
  <c r="GM69" i="2"/>
  <c r="GN69" i="2"/>
  <c r="GO69" i="2"/>
  <c r="GP69" i="2"/>
  <c r="GQ69" i="2"/>
  <c r="GR69" i="2"/>
  <c r="GS69" i="2"/>
  <c r="FU70" i="2"/>
  <c r="FV70" i="2"/>
  <c r="FW70" i="2"/>
  <c r="FX70" i="2"/>
  <c r="FY70" i="2"/>
  <c r="FZ70" i="2"/>
  <c r="GA70" i="2"/>
  <c r="GB70" i="2"/>
  <c r="GC70" i="2"/>
  <c r="GD70" i="2"/>
  <c r="GE70" i="2"/>
  <c r="GF70" i="2"/>
  <c r="GG70" i="2"/>
  <c r="GH70" i="2"/>
  <c r="GI70" i="2"/>
  <c r="GJ70" i="2"/>
  <c r="GK70" i="2"/>
  <c r="GL70" i="2"/>
  <c r="GM70" i="2"/>
  <c r="GN70" i="2"/>
  <c r="GO70" i="2"/>
  <c r="GP70" i="2"/>
  <c r="GQ70" i="2"/>
  <c r="GR70" i="2"/>
  <c r="GS70" i="2"/>
  <c r="FU71" i="2"/>
  <c r="FV71" i="2"/>
  <c r="FW71" i="2"/>
  <c r="FX71" i="2"/>
  <c r="FY71" i="2"/>
  <c r="FZ71" i="2"/>
  <c r="GA71" i="2"/>
  <c r="GB71" i="2"/>
  <c r="GC71" i="2"/>
  <c r="GD71" i="2"/>
  <c r="GE71" i="2"/>
  <c r="GF71" i="2"/>
  <c r="GG71" i="2"/>
  <c r="GH71" i="2"/>
  <c r="GI71" i="2"/>
  <c r="GJ71" i="2"/>
  <c r="GK71" i="2"/>
  <c r="GL71" i="2"/>
  <c r="GM71" i="2"/>
  <c r="GN71" i="2"/>
  <c r="GO71" i="2"/>
  <c r="GP71" i="2"/>
  <c r="GQ71" i="2"/>
  <c r="GR71" i="2"/>
  <c r="GS71" i="2"/>
  <c r="FU72" i="2"/>
  <c r="FV72" i="2"/>
  <c r="FW72" i="2"/>
  <c r="FX72" i="2"/>
  <c r="FY72" i="2"/>
  <c r="FZ72" i="2"/>
  <c r="GA72" i="2"/>
  <c r="GB72" i="2"/>
  <c r="GC72" i="2"/>
  <c r="GD72" i="2"/>
  <c r="GE72" i="2"/>
  <c r="GF72" i="2"/>
  <c r="GG72" i="2"/>
  <c r="GH72" i="2"/>
  <c r="GI72" i="2"/>
  <c r="GJ72" i="2"/>
  <c r="GK72" i="2"/>
  <c r="GL72" i="2"/>
  <c r="GM72" i="2"/>
  <c r="GN72" i="2"/>
  <c r="GO72" i="2"/>
  <c r="GP72" i="2"/>
  <c r="GQ72" i="2"/>
  <c r="GR72" i="2"/>
  <c r="GS72" i="2"/>
  <c r="FU73" i="2"/>
  <c r="FV73" i="2"/>
  <c r="FW73" i="2"/>
  <c r="FX73" i="2"/>
  <c r="FY73" i="2"/>
  <c r="FZ73" i="2"/>
  <c r="GA73" i="2"/>
  <c r="GB73" i="2"/>
  <c r="GC73" i="2"/>
  <c r="GD73" i="2"/>
  <c r="GE73" i="2"/>
  <c r="GF73" i="2"/>
  <c r="GG73" i="2"/>
  <c r="GH73" i="2"/>
  <c r="GI73" i="2"/>
  <c r="GJ73" i="2"/>
  <c r="GK73" i="2"/>
  <c r="GL73" i="2"/>
  <c r="GM73" i="2"/>
  <c r="GN73" i="2"/>
  <c r="GO73" i="2"/>
  <c r="GP73" i="2"/>
  <c r="GQ73" i="2"/>
  <c r="GR73" i="2"/>
  <c r="GS73" i="2"/>
  <c r="FU74" i="2"/>
  <c r="FV74" i="2"/>
  <c r="FW74" i="2"/>
  <c r="FX74" i="2"/>
  <c r="FY74" i="2"/>
  <c r="FZ74" i="2"/>
  <c r="GA74" i="2"/>
  <c r="GB74" i="2"/>
  <c r="GC74" i="2"/>
  <c r="GD74" i="2"/>
  <c r="GE74" i="2"/>
  <c r="GF74" i="2"/>
  <c r="GG74" i="2"/>
  <c r="GH74" i="2"/>
  <c r="GI74" i="2"/>
  <c r="GJ74" i="2"/>
  <c r="GK74" i="2"/>
  <c r="GL74" i="2"/>
  <c r="GM74" i="2"/>
  <c r="GN74" i="2"/>
  <c r="GO74" i="2"/>
  <c r="GP74" i="2"/>
  <c r="GQ74" i="2"/>
  <c r="GR74" i="2"/>
  <c r="GS74" i="2"/>
  <c r="FU75" i="2"/>
  <c r="FV75" i="2"/>
  <c r="FW75" i="2"/>
  <c r="FX75" i="2"/>
  <c r="FY75" i="2"/>
  <c r="FZ75" i="2"/>
  <c r="GA75" i="2"/>
  <c r="GB75" i="2"/>
  <c r="GC75" i="2"/>
  <c r="GD75" i="2"/>
  <c r="GE75" i="2"/>
  <c r="GF75" i="2"/>
  <c r="GG75" i="2"/>
  <c r="GH75" i="2"/>
  <c r="GI75" i="2"/>
  <c r="GJ75" i="2"/>
  <c r="GK75" i="2"/>
  <c r="GL75" i="2"/>
  <c r="GM75" i="2"/>
  <c r="GN75" i="2"/>
  <c r="GO75" i="2"/>
  <c r="GP75" i="2"/>
  <c r="GQ75" i="2"/>
  <c r="GR75" i="2"/>
  <c r="GS75" i="2"/>
  <c r="FU76" i="2"/>
  <c r="FV76" i="2"/>
  <c r="FW76" i="2"/>
  <c r="FX76" i="2"/>
  <c r="FY76" i="2"/>
  <c r="FZ76" i="2"/>
  <c r="GA76" i="2"/>
  <c r="GB76" i="2"/>
  <c r="GC76" i="2"/>
  <c r="GD76" i="2"/>
  <c r="GE76" i="2"/>
  <c r="GF76" i="2"/>
  <c r="GG76" i="2"/>
  <c r="GH76" i="2"/>
  <c r="GI76" i="2"/>
  <c r="GJ76" i="2"/>
  <c r="GK76" i="2"/>
  <c r="GL76" i="2"/>
  <c r="GM76" i="2"/>
  <c r="GN76" i="2"/>
  <c r="GO76" i="2"/>
  <c r="GP76" i="2"/>
  <c r="GQ76" i="2"/>
  <c r="GR76" i="2"/>
  <c r="GS76" i="2"/>
  <c r="FU77" i="2"/>
  <c r="FV77" i="2"/>
  <c r="FW77" i="2"/>
  <c r="FX77" i="2"/>
  <c r="FY77" i="2"/>
  <c r="FZ77" i="2"/>
  <c r="GA77" i="2"/>
  <c r="GB77" i="2"/>
  <c r="GC77" i="2"/>
  <c r="GD77" i="2"/>
  <c r="GE77" i="2"/>
  <c r="GF77" i="2"/>
  <c r="GG77" i="2"/>
  <c r="GH77" i="2"/>
  <c r="GI77" i="2"/>
  <c r="GJ77" i="2"/>
  <c r="GK77" i="2"/>
  <c r="GL77" i="2"/>
  <c r="GM77" i="2"/>
  <c r="GN77" i="2"/>
  <c r="GO77" i="2"/>
  <c r="GP77" i="2"/>
  <c r="GQ77" i="2"/>
  <c r="GR77" i="2"/>
  <c r="GS77" i="2"/>
  <c r="FU78" i="2"/>
  <c r="FV78" i="2"/>
  <c r="FW78" i="2"/>
  <c r="FX78" i="2"/>
  <c r="FY78" i="2"/>
  <c r="FZ78" i="2"/>
  <c r="GA78" i="2"/>
  <c r="GB78" i="2"/>
  <c r="GC78" i="2"/>
  <c r="GD78" i="2"/>
  <c r="GE78" i="2"/>
  <c r="GF78" i="2"/>
  <c r="GG78" i="2"/>
  <c r="GH78" i="2"/>
  <c r="GI78" i="2"/>
  <c r="GJ78" i="2"/>
  <c r="GK78" i="2"/>
  <c r="GL78" i="2"/>
  <c r="GM78" i="2"/>
  <c r="GN78" i="2"/>
  <c r="GO78" i="2"/>
  <c r="GP78" i="2"/>
  <c r="GQ78" i="2"/>
  <c r="GR78" i="2"/>
  <c r="GS78" i="2"/>
  <c r="FU79" i="2"/>
  <c r="FV79" i="2"/>
  <c r="FW79" i="2"/>
  <c r="FX79" i="2"/>
  <c r="FY79" i="2"/>
  <c r="FZ79" i="2"/>
  <c r="GA79" i="2"/>
  <c r="GB79" i="2"/>
  <c r="GC79" i="2"/>
  <c r="GD79" i="2"/>
  <c r="GE79" i="2"/>
  <c r="GF79" i="2"/>
  <c r="GG79" i="2"/>
  <c r="GH79" i="2"/>
  <c r="GI79" i="2"/>
  <c r="GJ79" i="2"/>
  <c r="GK79" i="2"/>
  <c r="GL79" i="2"/>
  <c r="GM79" i="2"/>
  <c r="GN79" i="2"/>
  <c r="GO79" i="2"/>
  <c r="GP79" i="2"/>
  <c r="GQ79" i="2"/>
  <c r="GR79" i="2"/>
  <c r="GS79" i="2"/>
  <c r="FU80" i="2"/>
  <c r="FV80" i="2"/>
  <c r="FW80" i="2"/>
  <c r="FX80" i="2"/>
  <c r="FY80" i="2"/>
  <c r="FZ80" i="2"/>
  <c r="GA80" i="2"/>
  <c r="GB80" i="2"/>
  <c r="GC80" i="2"/>
  <c r="GD80" i="2"/>
  <c r="GE80" i="2"/>
  <c r="GF80" i="2"/>
  <c r="GG80" i="2"/>
  <c r="GH80" i="2"/>
  <c r="GI80" i="2"/>
  <c r="GJ80" i="2"/>
  <c r="GK80" i="2"/>
  <c r="GL80" i="2"/>
  <c r="GM80" i="2"/>
  <c r="GN80" i="2"/>
  <c r="GO80" i="2"/>
  <c r="GP80" i="2"/>
  <c r="GQ80" i="2"/>
  <c r="GR80" i="2"/>
  <c r="GS80" i="2"/>
  <c r="FU81" i="2"/>
  <c r="FV81" i="2"/>
  <c r="FW81" i="2"/>
  <c r="FX81" i="2"/>
  <c r="FY81" i="2"/>
  <c r="FZ81" i="2"/>
  <c r="GA81" i="2"/>
  <c r="GB81" i="2"/>
  <c r="GC81" i="2"/>
  <c r="GD81" i="2"/>
  <c r="GE81" i="2"/>
  <c r="GF81" i="2"/>
  <c r="GG81" i="2"/>
  <c r="GH81" i="2"/>
  <c r="GI81" i="2"/>
  <c r="GJ81" i="2"/>
  <c r="GK81" i="2"/>
  <c r="GL81" i="2"/>
  <c r="GM81" i="2"/>
  <c r="GN81" i="2"/>
  <c r="GO81" i="2"/>
  <c r="GP81" i="2"/>
  <c r="GQ81" i="2"/>
  <c r="GR81" i="2"/>
  <c r="GS81" i="2"/>
  <c r="FU82" i="2"/>
  <c r="FV82" i="2"/>
  <c r="FW82" i="2"/>
  <c r="FX82" i="2"/>
  <c r="FY82" i="2"/>
  <c r="FZ82" i="2"/>
  <c r="GA82" i="2"/>
  <c r="GB82" i="2"/>
  <c r="GC82" i="2"/>
  <c r="GD82" i="2"/>
  <c r="GE82" i="2"/>
  <c r="GF82" i="2"/>
  <c r="GG82" i="2"/>
  <c r="GH82" i="2"/>
  <c r="GI82" i="2"/>
  <c r="GJ82" i="2"/>
  <c r="GK82" i="2"/>
  <c r="GL82" i="2"/>
  <c r="GM82" i="2"/>
  <c r="GN82" i="2"/>
  <c r="GO82" i="2"/>
  <c r="GP82" i="2"/>
  <c r="GQ82" i="2"/>
  <c r="GR82" i="2"/>
  <c r="GS82" i="2"/>
  <c r="FU83" i="2"/>
  <c r="FV83" i="2"/>
  <c r="FW83" i="2"/>
  <c r="FX83" i="2"/>
  <c r="FY83" i="2"/>
  <c r="FZ83" i="2"/>
  <c r="GA83" i="2"/>
  <c r="GB83" i="2"/>
  <c r="GC83" i="2"/>
  <c r="GD83" i="2"/>
  <c r="GE83" i="2"/>
  <c r="GF83" i="2"/>
  <c r="GG83" i="2"/>
  <c r="GH83" i="2"/>
  <c r="GI83" i="2"/>
  <c r="GJ83" i="2"/>
  <c r="GK83" i="2"/>
  <c r="GL83" i="2"/>
  <c r="GM83" i="2"/>
  <c r="GN83" i="2"/>
  <c r="GO83" i="2"/>
  <c r="GP83" i="2"/>
  <c r="GQ83" i="2"/>
  <c r="GR83" i="2"/>
  <c r="GS83" i="2"/>
  <c r="FU84" i="2"/>
  <c r="FV84" i="2"/>
  <c r="FW84" i="2"/>
  <c r="FX84" i="2"/>
  <c r="FY84" i="2"/>
  <c r="FZ84" i="2"/>
  <c r="GA84" i="2"/>
  <c r="GB84" i="2"/>
  <c r="GC84" i="2"/>
  <c r="GD84" i="2"/>
  <c r="GE84" i="2"/>
  <c r="GF84" i="2"/>
  <c r="GG84" i="2"/>
  <c r="GH84" i="2"/>
  <c r="GI84" i="2"/>
  <c r="GJ84" i="2"/>
  <c r="GK84" i="2"/>
  <c r="GL84" i="2"/>
  <c r="GM84" i="2"/>
  <c r="GN84" i="2"/>
  <c r="GO84" i="2"/>
  <c r="GP84" i="2"/>
  <c r="GQ84" i="2"/>
  <c r="GR84" i="2"/>
  <c r="GS84" i="2"/>
  <c r="FU85" i="2"/>
  <c r="FV85" i="2"/>
  <c r="FW85" i="2"/>
  <c r="FX85" i="2"/>
  <c r="FY85" i="2"/>
  <c r="FZ85" i="2"/>
  <c r="GA85" i="2"/>
  <c r="GB85" i="2"/>
  <c r="GC85" i="2"/>
  <c r="GD85" i="2"/>
  <c r="GE85" i="2"/>
  <c r="GF85" i="2"/>
  <c r="GG85" i="2"/>
  <c r="GH85" i="2"/>
  <c r="GI85" i="2"/>
  <c r="GJ85" i="2"/>
  <c r="GK85" i="2"/>
  <c r="GL85" i="2"/>
  <c r="GM85" i="2"/>
  <c r="GN85" i="2"/>
  <c r="GO85" i="2"/>
  <c r="GP85" i="2"/>
  <c r="GQ85" i="2"/>
  <c r="GR85" i="2"/>
  <c r="GS85" i="2"/>
  <c r="FU86" i="2"/>
  <c r="FV86" i="2"/>
  <c r="FW86" i="2"/>
  <c r="FX86" i="2"/>
  <c r="FY86" i="2"/>
  <c r="FZ86" i="2"/>
  <c r="GA86" i="2"/>
  <c r="GB86" i="2"/>
  <c r="GC86" i="2"/>
  <c r="GD86" i="2"/>
  <c r="GE86" i="2"/>
  <c r="GF86" i="2"/>
  <c r="GG86" i="2"/>
  <c r="GH86" i="2"/>
  <c r="GI86" i="2"/>
  <c r="GJ86" i="2"/>
  <c r="GK86" i="2"/>
  <c r="GL86" i="2"/>
  <c r="GM86" i="2"/>
  <c r="GN86" i="2"/>
  <c r="GO86" i="2"/>
  <c r="GP86" i="2"/>
  <c r="GQ86" i="2"/>
  <c r="GR86" i="2"/>
  <c r="GS86" i="2"/>
  <c r="FU87" i="2"/>
  <c r="FV87" i="2"/>
  <c r="FW87" i="2"/>
  <c r="FX87" i="2"/>
  <c r="FY87" i="2"/>
  <c r="FZ87" i="2"/>
  <c r="GA87" i="2"/>
  <c r="GB87" i="2"/>
  <c r="GC87" i="2"/>
  <c r="GD87" i="2"/>
  <c r="GE87" i="2"/>
  <c r="GF87" i="2"/>
  <c r="GG87" i="2"/>
  <c r="GH87" i="2"/>
  <c r="GI87" i="2"/>
  <c r="GJ87" i="2"/>
  <c r="GK87" i="2"/>
  <c r="GL87" i="2"/>
  <c r="GM87" i="2"/>
  <c r="GN87" i="2"/>
  <c r="GO87" i="2"/>
  <c r="GP87" i="2"/>
  <c r="GQ87" i="2"/>
  <c r="GR87" i="2"/>
  <c r="GS87" i="2"/>
  <c r="FU88" i="2"/>
  <c r="FV88" i="2"/>
  <c r="FW88" i="2"/>
  <c r="FX88" i="2"/>
  <c r="FY88" i="2"/>
  <c r="FZ88" i="2"/>
  <c r="GA88" i="2"/>
  <c r="GB88" i="2"/>
  <c r="GC88" i="2"/>
  <c r="GD88" i="2"/>
  <c r="GE88" i="2"/>
  <c r="GF88" i="2"/>
  <c r="GG88" i="2"/>
  <c r="GH88" i="2"/>
  <c r="GI88" i="2"/>
  <c r="GJ88" i="2"/>
  <c r="GK88" i="2"/>
  <c r="GL88" i="2"/>
  <c r="GM88" i="2"/>
  <c r="GN88" i="2"/>
  <c r="GO88" i="2"/>
  <c r="GP88" i="2"/>
  <c r="GQ88" i="2"/>
  <c r="GR88" i="2"/>
  <c r="GS88" i="2"/>
  <c r="FU89" i="2"/>
  <c r="FV89" i="2"/>
  <c r="FW89" i="2"/>
  <c r="FX89" i="2"/>
  <c r="FY89" i="2"/>
  <c r="FZ89" i="2"/>
  <c r="GA89" i="2"/>
  <c r="GB89" i="2"/>
  <c r="GC89" i="2"/>
  <c r="GD89" i="2"/>
  <c r="GE89" i="2"/>
  <c r="GF89" i="2"/>
  <c r="GG89" i="2"/>
  <c r="GH89" i="2"/>
  <c r="GI89" i="2"/>
  <c r="GJ89" i="2"/>
  <c r="GK89" i="2"/>
  <c r="GL89" i="2"/>
  <c r="GM89" i="2"/>
  <c r="GN89" i="2"/>
  <c r="GO89" i="2"/>
  <c r="GP89" i="2"/>
  <c r="GQ89" i="2"/>
  <c r="GR89" i="2"/>
  <c r="GS89" i="2"/>
  <c r="FU90" i="2"/>
  <c r="FV90" i="2"/>
  <c r="FW90" i="2"/>
  <c r="FX90" i="2"/>
  <c r="FY90" i="2"/>
  <c r="FZ90" i="2"/>
  <c r="GA90" i="2"/>
  <c r="GB90" i="2"/>
  <c r="GC90" i="2"/>
  <c r="GD90" i="2"/>
  <c r="GE90" i="2"/>
  <c r="GF90" i="2"/>
  <c r="GG90" i="2"/>
  <c r="GH90" i="2"/>
  <c r="GI90" i="2"/>
  <c r="GJ90" i="2"/>
  <c r="GK90" i="2"/>
  <c r="GL90" i="2"/>
  <c r="GM90" i="2"/>
  <c r="GN90" i="2"/>
  <c r="GO90" i="2"/>
  <c r="GP90" i="2"/>
  <c r="GQ90" i="2"/>
  <c r="GR90" i="2"/>
  <c r="GS90" i="2"/>
  <c r="FU91" i="2"/>
  <c r="FV91" i="2"/>
  <c r="FW91" i="2"/>
  <c r="FX91" i="2"/>
  <c r="FY91" i="2"/>
  <c r="FZ91" i="2"/>
  <c r="GA91" i="2"/>
  <c r="GB91" i="2"/>
  <c r="GC91" i="2"/>
  <c r="GD91" i="2"/>
  <c r="GE91" i="2"/>
  <c r="GF91" i="2"/>
  <c r="GG91" i="2"/>
  <c r="GH91" i="2"/>
  <c r="GI91" i="2"/>
  <c r="GJ91" i="2"/>
  <c r="GK91" i="2"/>
  <c r="GL91" i="2"/>
  <c r="GM91" i="2"/>
  <c r="GN91" i="2"/>
  <c r="GO91" i="2"/>
  <c r="GP91" i="2"/>
  <c r="GQ91" i="2"/>
  <c r="GR91" i="2"/>
  <c r="GS91" i="2"/>
  <c r="FU92" i="2"/>
  <c r="FV92" i="2"/>
  <c r="FW92" i="2"/>
  <c r="FX92" i="2"/>
  <c r="FY92" i="2"/>
  <c r="FZ92" i="2"/>
  <c r="GA92" i="2"/>
  <c r="GB92" i="2"/>
  <c r="GC92" i="2"/>
  <c r="GD92" i="2"/>
  <c r="GE92" i="2"/>
  <c r="GF92" i="2"/>
  <c r="GG92" i="2"/>
  <c r="GH92" i="2"/>
  <c r="GI92" i="2"/>
  <c r="GJ92" i="2"/>
  <c r="GK92" i="2"/>
  <c r="GL92" i="2"/>
  <c r="GM92" i="2"/>
  <c r="GN92" i="2"/>
  <c r="GO92" i="2"/>
  <c r="GP92" i="2"/>
  <c r="GQ92" i="2"/>
  <c r="GR92" i="2"/>
  <c r="GS92" i="2"/>
  <c r="FU93" i="2"/>
  <c r="FV93" i="2"/>
  <c r="FW93" i="2"/>
  <c r="FX93" i="2"/>
  <c r="FY93" i="2"/>
  <c r="FZ93" i="2"/>
  <c r="GA93" i="2"/>
  <c r="GB93" i="2"/>
  <c r="GC93" i="2"/>
  <c r="GD93" i="2"/>
  <c r="GE93" i="2"/>
  <c r="GF93" i="2"/>
  <c r="GG93" i="2"/>
  <c r="GH93" i="2"/>
  <c r="GI93" i="2"/>
  <c r="GJ93" i="2"/>
  <c r="GK93" i="2"/>
  <c r="GL93" i="2"/>
  <c r="GM93" i="2"/>
  <c r="GN93" i="2"/>
  <c r="GO93" i="2"/>
  <c r="GP93" i="2"/>
  <c r="GQ93" i="2"/>
  <c r="GR93" i="2"/>
  <c r="GS93" i="2"/>
  <c r="FU94" i="2"/>
  <c r="FV94" i="2"/>
  <c r="FW94" i="2"/>
  <c r="FX94" i="2"/>
  <c r="FY94" i="2"/>
  <c r="FZ94" i="2"/>
  <c r="GA94" i="2"/>
  <c r="GB94" i="2"/>
  <c r="GC94" i="2"/>
  <c r="GD94" i="2"/>
  <c r="GE94" i="2"/>
  <c r="GF94" i="2"/>
  <c r="GG94" i="2"/>
  <c r="GH94" i="2"/>
  <c r="GI94" i="2"/>
  <c r="GJ94" i="2"/>
  <c r="GK94" i="2"/>
  <c r="GL94" i="2"/>
  <c r="GM94" i="2"/>
  <c r="GN94" i="2"/>
  <c r="GO94" i="2"/>
  <c r="GP94" i="2"/>
  <c r="GQ94" i="2"/>
  <c r="GR94" i="2"/>
  <c r="GS94" i="2"/>
  <c r="FU95" i="2"/>
  <c r="FV95" i="2"/>
  <c r="FW95" i="2"/>
  <c r="FX95" i="2"/>
  <c r="FY95" i="2"/>
  <c r="FZ95" i="2"/>
  <c r="GA95" i="2"/>
  <c r="GB95" i="2"/>
  <c r="GC95" i="2"/>
  <c r="GD95" i="2"/>
  <c r="GE95" i="2"/>
  <c r="GF95" i="2"/>
  <c r="GG95" i="2"/>
  <c r="GH95" i="2"/>
  <c r="GI95" i="2"/>
  <c r="GJ95" i="2"/>
  <c r="GK95" i="2"/>
  <c r="GL95" i="2"/>
  <c r="GM95" i="2"/>
  <c r="GN95" i="2"/>
  <c r="GO95" i="2"/>
  <c r="GP95" i="2"/>
  <c r="GQ95" i="2"/>
  <c r="GR95" i="2"/>
  <c r="GS95" i="2"/>
  <c r="FU96" i="2"/>
  <c r="FV96" i="2"/>
  <c r="FW96" i="2"/>
  <c r="FX96" i="2"/>
  <c r="FY96" i="2"/>
  <c r="FZ96" i="2"/>
  <c r="GA96" i="2"/>
  <c r="GB96" i="2"/>
  <c r="GC96" i="2"/>
  <c r="GD96" i="2"/>
  <c r="GE96" i="2"/>
  <c r="GF96" i="2"/>
  <c r="GG96" i="2"/>
  <c r="GH96" i="2"/>
  <c r="GI96" i="2"/>
  <c r="GJ96" i="2"/>
  <c r="GK96" i="2"/>
  <c r="GL96" i="2"/>
  <c r="GM96" i="2"/>
  <c r="GN96" i="2"/>
  <c r="GO96" i="2"/>
  <c r="GP96" i="2"/>
  <c r="GQ96" i="2"/>
  <c r="GR96" i="2"/>
  <c r="GS96" i="2"/>
  <c r="FU97" i="2"/>
  <c r="FV97" i="2"/>
  <c r="FW97" i="2"/>
  <c r="FX97" i="2"/>
  <c r="FY97" i="2"/>
  <c r="FZ97" i="2"/>
  <c r="GA97" i="2"/>
  <c r="GB97" i="2"/>
  <c r="GC97" i="2"/>
  <c r="GD97" i="2"/>
  <c r="GE97" i="2"/>
  <c r="GF97" i="2"/>
  <c r="GG97" i="2"/>
  <c r="GH97" i="2"/>
  <c r="GI97" i="2"/>
  <c r="GJ97" i="2"/>
  <c r="GK97" i="2"/>
  <c r="GL97" i="2"/>
  <c r="GM97" i="2"/>
  <c r="GN97" i="2"/>
  <c r="GO97" i="2"/>
  <c r="GP97" i="2"/>
  <c r="GQ97" i="2"/>
  <c r="GR97" i="2"/>
  <c r="GS97" i="2"/>
  <c r="FU98" i="2"/>
  <c r="FV98" i="2"/>
  <c r="FW98" i="2"/>
  <c r="FX98" i="2"/>
  <c r="FY98" i="2"/>
  <c r="FZ98" i="2"/>
  <c r="GA98" i="2"/>
  <c r="GB98" i="2"/>
  <c r="GC98" i="2"/>
  <c r="GD98" i="2"/>
  <c r="GE98" i="2"/>
  <c r="GF98" i="2"/>
  <c r="GG98" i="2"/>
  <c r="GH98" i="2"/>
  <c r="GI98" i="2"/>
  <c r="GJ98" i="2"/>
  <c r="GK98" i="2"/>
  <c r="GL98" i="2"/>
  <c r="GM98" i="2"/>
  <c r="GN98" i="2"/>
  <c r="GO98" i="2"/>
  <c r="GP98" i="2"/>
  <c r="GQ98" i="2"/>
  <c r="GR98" i="2"/>
  <c r="GS98" i="2"/>
  <c r="FU99" i="2"/>
  <c r="FV99" i="2"/>
  <c r="FW99" i="2"/>
  <c r="FX99" i="2"/>
  <c r="FY99" i="2"/>
  <c r="FZ99" i="2"/>
  <c r="GA99" i="2"/>
  <c r="GB99" i="2"/>
  <c r="GC99" i="2"/>
  <c r="GD99" i="2"/>
  <c r="GE99" i="2"/>
  <c r="GF99" i="2"/>
  <c r="GG99" i="2"/>
  <c r="GH99" i="2"/>
  <c r="GI99" i="2"/>
  <c r="GJ99" i="2"/>
  <c r="GK99" i="2"/>
  <c r="GL99" i="2"/>
  <c r="GM99" i="2"/>
  <c r="GN99" i="2"/>
  <c r="GO99" i="2"/>
  <c r="GP99" i="2"/>
  <c r="GQ99" i="2"/>
  <c r="GR99" i="2"/>
  <c r="GS99" i="2"/>
  <c r="FU100" i="2"/>
  <c r="FV100" i="2"/>
  <c r="FW100" i="2"/>
  <c r="FX100" i="2"/>
  <c r="FY100" i="2"/>
  <c r="FZ100" i="2"/>
  <c r="GA100" i="2"/>
  <c r="GB100" i="2"/>
  <c r="GC100" i="2"/>
  <c r="GD100" i="2"/>
  <c r="GE100" i="2"/>
  <c r="GF100" i="2"/>
  <c r="GG100" i="2"/>
  <c r="GH100" i="2"/>
  <c r="GI100" i="2"/>
  <c r="GJ100" i="2"/>
  <c r="GK100" i="2"/>
  <c r="GL100" i="2"/>
  <c r="GM100" i="2"/>
  <c r="GN100" i="2"/>
  <c r="GO100" i="2"/>
  <c r="GP100" i="2"/>
  <c r="GQ100" i="2"/>
  <c r="GR100" i="2"/>
  <c r="GS100" i="2"/>
  <c r="FU101" i="2"/>
  <c r="FV101" i="2"/>
  <c r="FW101" i="2"/>
  <c r="FX101" i="2"/>
  <c r="FY101" i="2"/>
  <c r="FZ101" i="2"/>
  <c r="GA101" i="2"/>
  <c r="GB101" i="2"/>
  <c r="GC101" i="2"/>
  <c r="GD101" i="2"/>
  <c r="GE101" i="2"/>
  <c r="GF101" i="2"/>
  <c r="GG101" i="2"/>
  <c r="GH101" i="2"/>
  <c r="GI101" i="2"/>
  <c r="GJ101" i="2"/>
  <c r="GK101" i="2"/>
  <c r="GL101" i="2"/>
  <c r="GM101" i="2"/>
  <c r="GN101" i="2"/>
  <c r="GO101" i="2"/>
  <c r="GP101" i="2"/>
  <c r="GQ101" i="2"/>
  <c r="GR101" i="2"/>
  <c r="GS101" i="2"/>
  <c r="FU102" i="2"/>
  <c r="FV102" i="2"/>
  <c r="FW102" i="2"/>
  <c r="FX102" i="2"/>
  <c r="FY102" i="2"/>
  <c r="FZ102" i="2"/>
  <c r="GA102" i="2"/>
  <c r="GB102" i="2"/>
  <c r="GC102" i="2"/>
  <c r="GD102" i="2"/>
  <c r="GE102" i="2"/>
  <c r="GF102" i="2"/>
  <c r="GG102" i="2"/>
  <c r="GH102" i="2"/>
  <c r="GI102" i="2"/>
  <c r="GJ102" i="2"/>
  <c r="GK102" i="2"/>
  <c r="GL102" i="2"/>
  <c r="GM102" i="2"/>
  <c r="GN102" i="2"/>
  <c r="GO102" i="2"/>
  <c r="GP102" i="2"/>
  <c r="GQ102" i="2"/>
  <c r="GR102" i="2"/>
  <c r="GS102" i="2"/>
  <c r="FU103" i="2"/>
  <c r="FV103" i="2"/>
  <c r="FW103" i="2"/>
  <c r="FX103" i="2"/>
  <c r="FY103" i="2"/>
  <c r="FZ103" i="2"/>
  <c r="GA103" i="2"/>
  <c r="GB103" i="2"/>
  <c r="GC103" i="2"/>
  <c r="GD103" i="2"/>
  <c r="GE103" i="2"/>
  <c r="GF103" i="2"/>
  <c r="GG103" i="2"/>
  <c r="GH103" i="2"/>
  <c r="GI103" i="2"/>
  <c r="GJ103" i="2"/>
  <c r="GK103" i="2"/>
  <c r="GL103" i="2"/>
  <c r="GM103" i="2"/>
  <c r="GN103" i="2"/>
  <c r="GO103" i="2"/>
  <c r="GP103" i="2"/>
  <c r="GQ103" i="2"/>
  <c r="GR103" i="2"/>
  <c r="GS103" i="2"/>
  <c r="FU4" i="2"/>
  <c r="FV4" i="2"/>
  <c r="FW4" i="2"/>
  <c r="FX4" i="2"/>
  <c r="FY4" i="2"/>
  <c r="FZ4" i="2"/>
  <c r="GA4" i="2"/>
  <c r="GB4" i="2"/>
  <c r="GC4" i="2"/>
  <c r="GD4" i="2"/>
  <c r="GE4" i="2"/>
  <c r="GF4" i="2"/>
  <c r="GG4" i="2"/>
  <c r="GH4" i="2"/>
  <c r="GI4" i="2"/>
  <c r="GJ4" i="2"/>
  <c r="GK4" i="2"/>
  <c r="GL4" i="2"/>
  <c r="GM4" i="2"/>
  <c r="GN4" i="2"/>
  <c r="GO4" i="2"/>
  <c r="GP4" i="2"/>
  <c r="GQ4" i="2"/>
  <c r="GR4" i="2"/>
  <c r="GS4" i="2"/>
  <c r="FU5" i="2"/>
  <c r="FV5" i="2"/>
  <c r="FW5" i="2"/>
  <c r="FX5" i="2"/>
  <c r="FY5" i="2"/>
  <c r="FZ5" i="2"/>
  <c r="GA5" i="2"/>
  <c r="GB5" i="2"/>
  <c r="GC5" i="2"/>
  <c r="GD5" i="2"/>
  <c r="GE5" i="2"/>
  <c r="GF5" i="2"/>
  <c r="GG5" i="2"/>
  <c r="GH5" i="2"/>
  <c r="GI5" i="2"/>
  <c r="GJ5" i="2"/>
  <c r="GK5" i="2"/>
  <c r="GL5" i="2"/>
  <c r="GM5" i="2"/>
  <c r="GN5" i="2"/>
  <c r="GO5" i="2"/>
  <c r="GP5" i="2"/>
  <c r="GQ5" i="2"/>
  <c r="GR5" i="2"/>
  <c r="GS5" i="2"/>
  <c r="FU6" i="2"/>
  <c r="FV6" i="2"/>
  <c r="FW6" i="2"/>
  <c r="FX6" i="2"/>
  <c r="FY6" i="2"/>
  <c r="FZ6" i="2"/>
  <c r="GA6" i="2"/>
  <c r="GB6" i="2"/>
  <c r="GC6" i="2"/>
  <c r="GD6" i="2"/>
  <c r="GE6" i="2"/>
  <c r="GF6" i="2"/>
  <c r="GG6" i="2"/>
  <c r="GH6" i="2"/>
  <c r="GI6" i="2"/>
  <c r="GJ6" i="2"/>
  <c r="GK6" i="2"/>
  <c r="GL6" i="2"/>
  <c r="GM6" i="2"/>
  <c r="GN6" i="2"/>
  <c r="GO6" i="2"/>
  <c r="GP6" i="2"/>
  <c r="GQ6" i="2"/>
  <c r="GR6" i="2"/>
  <c r="GS6" i="2"/>
  <c r="FU7" i="2"/>
  <c r="FV7" i="2"/>
  <c r="FW7" i="2"/>
  <c r="FX7" i="2"/>
  <c r="FY7" i="2"/>
  <c r="FZ7" i="2"/>
  <c r="GA7" i="2"/>
  <c r="GB7" i="2"/>
  <c r="GC7" i="2"/>
  <c r="GD7" i="2"/>
  <c r="GE7" i="2"/>
  <c r="GF7" i="2"/>
  <c r="GG7" i="2"/>
  <c r="GH7" i="2"/>
  <c r="GI7" i="2"/>
  <c r="GJ7" i="2"/>
  <c r="GK7" i="2"/>
  <c r="GL7" i="2"/>
  <c r="GM7" i="2"/>
  <c r="GN7" i="2"/>
  <c r="GO7" i="2"/>
  <c r="GP7" i="2"/>
  <c r="GQ7" i="2"/>
  <c r="GR7" i="2"/>
  <c r="GS7" i="2"/>
  <c r="FU8" i="2"/>
  <c r="FV8" i="2"/>
  <c r="FW8" i="2"/>
  <c r="FX8" i="2"/>
  <c r="FY8" i="2"/>
  <c r="FZ8" i="2"/>
  <c r="GA8" i="2"/>
  <c r="GB8" i="2"/>
  <c r="GC8" i="2"/>
  <c r="GD8" i="2"/>
  <c r="GE8" i="2"/>
  <c r="GF8" i="2"/>
  <c r="GG8" i="2"/>
  <c r="GH8" i="2"/>
  <c r="GI8" i="2"/>
  <c r="GJ8" i="2"/>
  <c r="GK8" i="2"/>
  <c r="GL8" i="2"/>
  <c r="GM8" i="2"/>
  <c r="GN8" i="2"/>
  <c r="GO8" i="2"/>
  <c r="GP8" i="2"/>
  <c r="GQ8" i="2"/>
  <c r="GR8" i="2"/>
  <c r="GS8" i="2"/>
  <c r="FU9" i="2"/>
  <c r="FV9" i="2"/>
  <c r="FW9" i="2"/>
  <c r="FX9" i="2"/>
  <c r="FY9" i="2"/>
  <c r="FZ9" i="2"/>
  <c r="GA9" i="2"/>
  <c r="GB9" i="2"/>
  <c r="GC9" i="2"/>
  <c r="GD9" i="2"/>
  <c r="GE9" i="2"/>
  <c r="GF9" i="2"/>
  <c r="GG9" i="2"/>
  <c r="GH9" i="2"/>
  <c r="GI9" i="2"/>
  <c r="GJ9" i="2"/>
  <c r="GK9" i="2"/>
  <c r="GL9" i="2"/>
  <c r="GM9" i="2"/>
  <c r="GN9" i="2"/>
  <c r="GO9" i="2"/>
  <c r="GP9" i="2"/>
  <c r="GQ9" i="2"/>
  <c r="GR9" i="2"/>
  <c r="GS9" i="2"/>
  <c r="FU10" i="2"/>
  <c r="FV10" i="2"/>
  <c r="FW10" i="2"/>
  <c r="FX10" i="2"/>
  <c r="FY10" i="2"/>
  <c r="FZ10" i="2"/>
  <c r="GA10" i="2"/>
  <c r="GB10" i="2"/>
  <c r="GC10" i="2"/>
  <c r="GD10" i="2"/>
  <c r="GE10" i="2"/>
  <c r="GF10" i="2"/>
  <c r="GG10" i="2"/>
  <c r="GH10" i="2"/>
  <c r="GI10" i="2"/>
  <c r="GJ10" i="2"/>
  <c r="GK10" i="2"/>
  <c r="GL10" i="2"/>
  <c r="GM10" i="2"/>
  <c r="GN10" i="2"/>
  <c r="GO10" i="2"/>
  <c r="GP10" i="2"/>
  <c r="GQ10" i="2"/>
  <c r="GR10" i="2"/>
  <c r="GS10" i="2"/>
  <c r="FU11" i="2"/>
  <c r="FV11" i="2"/>
  <c r="FW11" i="2"/>
  <c r="FX11" i="2"/>
  <c r="FY11" i="2"/>
  <c r="FZ11" i="2"/>
  <c r="GA11" i="2"/>
  <c r="GB11" i="2"/>
  <c r="GC11" i="2"/>
  <c r="GD11" i="2"/>
  <c r="GE11" i="2"/>
  <c r="GF11" i="2"/>
  <c r="GG11" i="2"/>
  <c r="GH11" i="2"/>
  <c r="GI11" i="2"/>
  <c r="GJ11" i="2"/>
  <c r="GK11" i="2"/>
  <c r="GL11" i="2"/>
  <c r="GM11" i="2"/>
  <c r="GN11" i="2"/>
  <c r="GO11" i="2"/>
  <c r="GP11" i="2"/>
  <c r="GQ11" i="2"/>
  <c r="GR11" i="2"/>
  <c r="GS11" i="2"/>
  <c r="FU12" i="2"/>
  <c r="FV12" i="2"/>
  <c r="FW12" i="2"/>
  <c r="FX12" i="2"/>
  <c r="FY12" i="2"/>
  <c r="FZ12" i="2"/>
  <c r="GA12" i="2"/>
  <c r="GB12" i="2"/>
  <c r="GC12" i="2"/>
  <c r="GD12" i="2"/>
  <c r="GE12" i="2"/>
  <c r="GF12" i="2"/>
  <c r="GG12" i="2"/>
  <c r="GH12" i="2"/>
  <c r="GI12" i="2"/>
  <c r="GJ12" i="2"/>
  <c r="GK12" i="2"/>
  <c r="GL12" i="2"/>
  <c r="GM12" i="2"/>
  <c r="GN12" i="2"/>
  <c r="GO12" i="2"/>
  <c r="GP12" i="2"/>
  <c r="GQ12" i="2"/>
  <c r="GR12" i="2"/>
  <c r="GS12" i="2"/>
  <c r="FU13" i="2"/>
  <c r="FV13" i="2"/>
  <c r="FW13" i="2"/>
  <c r="FX13" i="2"/>
  <c r="FY13" i="2"/>
  <c r="FZ13" i="2"/>
  <c r="GA13" i="2"/>
  <c r="GB13" i="2"/>
  <c r="GC13" i="2"/>
  <c r="GD13" i="2"/>
  <c r="GE13" i="2"/>
  <c r="GF13" i="2"/>
  <c r="GG13" i="2"/>
  <c r="GH13" i="2"/>
  <c r="GI13" i="2"/>
  <c r="GJ13" i="2"/>
  <c r="GK13" i="2"/>
  <c r="GL13" i="2"/>
  <c r="GM13" i="2"/>
  <c r="GN13" i="2"/>
  <c r="GO13" i="2"/>
  <c r="GP13" i="2"/>
  <c r="GQ13" i="2"/>
  <c r="GR13" i="2"/>
  <c r="GS13" i="2"/>
  <c r="FU14" i="2"/>
  <c r="FV14" i="2"/>
  <c r="FW14" i="2"/>
  <c r="FX14" i="2"/>
  <c r="FY14" i="2"/>
  <c r="FZ14" i="2"/>
  <c r="GA14" i="2"/>
  <c r="GB14" i="2"/>
  <c r="GC14" i="2"/>
  <c r="GD14" i="2"/>
  <c r="GE14" i="2"/>
  <c r="GF14" i="2"/>
  <c r="GG14" i="2"/>
  <c r="GH14" i="2"/>
  <c r="GI14" i="2"/>
  <c r="GJ14" i="2"/>
  <c r="GK14" i="2"/>
  <c r="GL14" i="2"/>
  <c r="GM14" i="2"/>
  <c r="GN14" i="2"/>
  <c r="GO14" i="2"/>
  <c r="GP14" i="2"/>
  <c r="GQ14" i="2"/>
  <c r="GR14" i="2"/>
  <c r="GS14" i="2"/>
  <c r="FU15" i="2"/>
  <c r="FV15" i="2"/>
  <c r="FW15" i="2"/>
  <c r="FX15" i="2"/>
  <c r="FY15" i="2"/>
  <c r="FZ15" i="2"/>
  <c r="GA15" i="2"/>
  <c r="GB15" i="2"/>
  <c r="GC15" i="2"/>
  <c r="GD15" i="2"/>
  <c r="GE15" i="2"/>
  <c r="GF15" i="2"/>
  <c r="GG15" i="2"/>
  <c r="GH15" i="2"/>
  <c r="GI15" i="2"/>
  <c r="GJ15" i="2"/>
  <c r="GK15" i="2"/>
  <c r="GL15" i="2"/>
  <c r="GM15" i="2"/>
  <c r="GN15" i="2"/>
  <c r="GO15" i="2"/>
  <c r="GP15" i="2"/>
  <c r="GQ15" i="2"/>
  <c r="GR15" i="2"/>
  <c r="GS15" i="2"/>
  <c r="FU16" i="2"/>
  <c r="FV16" i="2"/>
  <c r="FW16" i="2"/>
  <c r="FX16" i="2"/>
  <c r="FY16" i="2"/>
  <c r="FZ16" i="2"/>
  <c r="GA16" i="2"/>
  <c r="GB16" i="2"/>
  <c r="GC16" i="2"/>
  <c r="GD16" i="2"/>
  <c r="GE16" i="2"/>
  <c r="GF16" i="2"/>
  <c r="GG16" i="2"/>
  <c r="GH16" i="2"/>
  <c r="GI16" i="2"/>
  <c r="GJ16" i="2"/>
  <c r="GK16" i="2"/>
  <c r="GL16" i="2"/>
  <c r="GM16" i="2"/>
  <c r="GN16" i="2"/>
  <c r="GO16" i="2"/>
  <c r="GP16" i="2"/>
  <c r="GQ16" i="2"/>
  <c r="GR16" i="2"/>
  <c r="GS16" i="2"/>
  <c r="FU17" i="2"/>
  <c r="FV17" i="2"/>
  <c r="FW17" i="2"/>
  <c r="FX17" i="2"/>
  <c r="FY17" i="2"/>
  <c r="FZ17" i="2"/>
  <c r="GA17" i="2"/>
  <c r="GB17" i="2"/>
  <c r="GC17" i="2"/>
  <c r="GD17" i="2"/>
  <c r="GE17" i="2"/>
  <c r="GF17" i="2"/>
  <c r="GG17" i="2"/>
  <c r="GH17" i="2"/>
  <c r="GI17" i="2"/>
  <c r="GJ17" i="2"/>
  <c r="GK17" i="2"/>
  <c r="GL17" i="2"/>
  <c r="GM17" i="2"/>
  <c r="GN17" i="2"/>
  <c r="GO17" i="2"/>
  <c r="GP17" i="2"/>
  <c r="GQ17" i="2"/>
  <c r="GR17" i="2"/>
  <c r="GS17" i="2"/>
  <c r="FU18" i="2"/>
  <c r="FV18" i="2"/>
  <c r="FW18" i="2"/>
  <c r="FX18" i="2"/>
  <c r="FY18" i="2"/>
  <c r="FZ18" i="2"/>
  <c r="GA18" i="2"/>
  <c r="GB18" i="2"/>
  <c r="GC18" i="2"/>
  <c r="GD18" i="2"/>
  <c r="GE18" i="2"/>
  <c r="GF18" i="2"/>
  <c r="GG18" i="2"/>
  <c r="GH18" i="2"/>
  <c r="GI18" i="2"/>
  <c r="GJ18" i="2"/>
  <c r="GK18" i="2"/>
  <c r="GL18" i="2"/>
  <c r="GM18" i="2"/>
  <c r="GN18" i="2"/>
  <c r="GO18" i="2"/>
  <c r="GP18" i="2"/>
  <c r="GQ18" i="2"/>
  <c r="GR18" i="2"/>
  <c r="GS18" i="2"/>
  <c r="FU19" i="2"/>
  <c r="FV19" i="2"/>
  <c r="FW19" i="2"/>
  <c r="FX19" i="2"/>
  <c r="FY19" i="2"/>
  <c r="FZ19" i="2"/>
  <c r="GA19" i="2"/>
  <c r="GB19" i="2"/>
  <c r="GC19" i="2"/>
  <c r="GD19" i="2"/>
  <c r="GE19" i="2"/>
  <c r="GF19" i="2"/>
  <c r="GG19" i="2"/>
  <c r="GH19" i="2"/>
  <c r="GI19" i="2"/>
  <c r="GJ19" i="2"/>
  <c r="GK19" i="2"/>
  <c r="GL19" i="2"/>
  <c r="GM19" i="2"/>
  <c r="GN19" i="2"/>
  <c r="GO19" i="2"/>
  <c r="GP19" i="2"/>
  <c r="GQ19" i="2"/>
  <c r="GR19" i="2"/>
  <c r="GS19" i="2"/>
  <c r="FU20" i="2"/>
  <c r="FV20" i="2"/>
  <c r="FW20" i="2"/>
  <c r="FX20" i="2"/>
  <c r="FY20" i="2"/>
  <c r="FZ20" i="2"/>
  <c r="GA20" i="2"/>
  <c r="GB20" i="2"/>
  <c r="GC20" i="2"/>
  <c r="GD20" i="2"/>
  <c r="GE20" i="2"/>
  <c r="GF20" i="2"/>
  <c r="GG20" i="2"/>
  <c r="GH20" i="2"/>
  <c r="GI20" i="2"/>
  <c r="GJ20" i="2"/>
  <c r="GK20" i="2"/>
  <c r="GL20" i="2"/>
  <c r="GM20" i="2"/>
  <c r="GN20" i="2"/>
  <c r="GO20" i="2"/>
  <c r="GP20" i="2"/>
  <c r="GQ20" i="2"/>
  <c r="GR20" i="2"/>
  <c r="GS20" i="2"/>
  <c r="FU21" i="2"/>
  <c r="FV21" i="2"/>
  <c r="FW21" i="2"/>
  <c r="FX21" i="2"/>
  <c r="FY21" i="2"/>
  <c r="FZ21" i="2"/>
  <c r="GA21" i="2"/>
  <c r="GB21" i="2"/>
  <c r="GC21" i="2"/>
  <c r="GD21" i="2"/>
  <c r="GE21" i="2"/>
  <c r="GF21" i="2"/>
  <c r="GG21" i="2"/>
  <c r="GH21" i="2"/>
  <c r="GI21" i="2"/>
  <c r="GJ21" i="2"/>
  <c r="GK21" i="2"/>
  <c r="GL21" i="2"/>
  <c r="GM21" i="2"/>
  <c r="GN21" i="2"/>
  <c r="GO21" i="2"/>
  <c r="GP21" i="2"/>
  <c r="GQ21" i="2"/>
  <c r="GR21" i="2"/>
  <c r="GS21" i="2"/>
  <c r="FU22" i="2"/>
  <c r="FV22" i="2"/>
  <c r="FW22" i="2"/>
  <c r="FX22" i="2"/>
  <c r="FY22" i="2"/>
  <c r="FZ22" i="2"/>
  <c r="GA22" i="2"/>
  <c r="GB22" i="2"/>
  <c r="GC22" i="2"/>
  <c r="GD22" i="2"/>
  <c r="GE22" i="2"/>
  <c r="GF22" i="2"/>
  <c r="GG22" i="2"/>
  <c r="GH22" i="2"/>
  <c r="GI22" i="2"/>
  <c r="GJ22" i="2"/>
  <c r="GK22" i="2"/>
  <c r="GL22" i="2"/>
  <c r="GM22" i="2"/>
  <c r="GN22" i="2"/>
  <c r="GO22" i="2"/>
  <c r="GP22" i="2"/>
  <c r="GQ22" i="2"/>
  <c r="GR22" i="2"/>
  <c r="GS22" i="2"/>
  <c r="FU23" i="2"/>
  <c r="FV23" i="2"/>
  <c r="FW23" i="2"/>
  <c r="FX23" i="2"/>
  <c r="FY23" i="2"/>
  <c r="FZ23" i="2"/>
  <c r="GA23" i="2"/>
  <c r="GB23" i="2"/>
  <c r="GC23" i="2"/>
  <c r="GD23" i="2"/>
  <c r="GE23" i="2"/>
  <c r="GF23" i="2"/>
  <c r="GG23" i="2"/>
  <c r="GH23" i="2"/>
  <c r="GI23" i="2"/>
  <c r="GJ23" i="2"/>
  <c r="GK23" i="2"/>
  <c r="GL23" i="2"/>
  <c r="GM23" i="2"/>
  <c r="GN23" i="2"/>
  <c r="GO23" i="2"/>
  <c r="GP23" i="2"/>
  <c r="GQ23" i="2"/>
  <c r="GR23" i="2"/>
  <c r="GS23" i="2"/>
  <c r="FU24" i="2"/>
  <c r="FV24" i="2"/>
  <c r="FW24" i="2"/>
  <c r="FX24" i="2"/>
  <c r="FY24" i="2"/>
  <c r="FZ24" i="2"/>
  <c r="GA24" i="2"/>
  <c r="GB24" i="2"/>
  <c r="GC24" i="2"/>
  <c r="GD24" i="2"/>
  <c r="GE24" i="2"/>
  <c r="GF24" i="2"/>
  <c r="GG24" i="2"/>
  <c r="GH24" i="2"/>
  <c r="GI24" i="2"/>
  <c r="GJ24" i="2"/>
  <c r="GK24" i="2"/>
  <c r="GL24" i="2"/>
  <c r="GM24" i="2"/>
  <c r="GN24" i="2"/>
  <c r="GO24" i="2"/>
  <c r="GP24" i="2"/>
  <c r="GQ24" i="2"/>
  <c r="GR24" i="2"/>
  <c r="GS24" i="2"/>
  <c r="FU25" i="2"/>
  <c r="FV25" i="2"/>
  <c r="FW25" i="2"/>
  <c r="FX25" i="2"/>
  <c r="FY25" i="2"/>
  <c r="FZ25" i="2"/>
  <c r="GA25" i="2"/>
  <c r="GB25" i="2"/>
  <c r="GC25" i="2"/>
  <c r="GD25" i="2"/>
  <c r="GE25" i="2"/>
  <c r="GF25" i="2"/>
  <c r="GG25" i="2"/>
  <c r="GH25" i="2"/>
  <c r="GI25" i="2"/>
  <c r="GJ25" i="2"/>
  <c r="GK25" i="2"/>
  <c r="GL25" i="2"/>
  <c r="GM25" i="2"/>
  <c r="GN25" i="2"/>
  <c r="GO25" i="2"/>
  <c r="GP25" i="2"/>
  <c r="GQ25" i="2"/>
  <c r="GR25" i="2"/>
  <c r="GS25" i="2"/>
  <c r="FU26" i="2"/>
  <c r="FV26" i="2"/>
  <c r="FW26" i="2"/>
  <c r="FX26" i="2"/>
  <c r="FY26" i="2"/>
  <c r="FZ26" i="2"/>
  <c r="GA26" i="2"/>
  <c r="GB26" i="2"/>
  <c r="GC26" i="2"/>
  <c r="GD26" i="2"/>
  <c r="GE26" i="2"/>
  <c r="GF26" i="2"/>
  <c r="GG26" i="2"/>
  <c r="GH26" i="2"/>
  <c r="GI26" i="2"/>
  <c r="GJ26" i="2"/>
  <c r="GK26" i="2"/>
  <c r="GL26" i="2"/>
  <c r="GM26" i="2"/>
  <c r="GN26" i="2"/>
  <c r="GO26" i="2"/>
  <c r="GP26" i="2"/>
  <c r="GQ26" i="2"/>
  <c r="GR26" i="2"/>
  <c r="GS26" i="2"/>
  <c r="FU27" i="2"/>
  <c r="FV27" i="2"/>
  <c r="FW27" i="2"/>
  <c r="FX27" i="2"/>
  <c r="FY27" i="2"/>
  <c r="FZ27" i="2"/>
  <c r="GA27" i="2"/>
  <c r="GB27" i="2"/>
  <c r="GC27" i="2"/>
  <c r="GD27" i="2"/>
  <c r="GE27" i="2"/>
  <c r="GF27" i="2"/>
  <c r="GG27" i="2"/>
  <c r="GH27" i="2"/>
  <c r="GI27" i="2"/>
  <c r="GJ27" i="2"/>
  <c r="GK27" i="2"/>
  <c r="GL27" i="2"/>
  <c r="GM27" i="2"/>
  <c r="GN27" i="2"/>
  <c r="GO27" i="2"/>
  <c r="GP27" i="2"/>
  <c r="GQ27" i="2"/>
  <c r="GR27" i="2"/>
  <c r="GS27" i="2"/>
  <c r="FU28" i="2"/>
  <c r="FV28" i="2"/>
  <c r="FW28" i="2"/>
  <c r="FX28" i="2"/>
  <c r="FY28" i="2"/>
  <c r="FZ28" i="2"/>
  <c r="GA28" i="2"/>
  <c r="GB28" i="2"/>
  <c r="GC28" i="2"/>
  <c r="GD28" i="2"/>
  <c r="GE28" i="2"/>
  <c r="GF28" i="2"/>
  <c r="GG28" i="2"/>
  <c r="GH28" i="2"/>
  <c r="GI28" i="2"/>
  <c r="GJ28" i="2"/>
  <c r="GK28" i="2"/>
  <c r="GL28" i="2"/>
  <c r="GM28" i="2"/>
  <c r="GN28" i="2"/>
  <c r="GO28" i="2"/>
  <c r="GP28" i="2"/>
  <c r="GQ28" i="2"/>
  <c r="GR28" i="2"/>
  <c r="GS28" i="2"/>
  <c r="FU29" i="2"/>
  <c r="FV29" i="2"/>
  <c r="FW29" i="2"/>
  <c r="FX29" i="2"/>
  <c r="FY29" i="2"/>
  <c r="FZ29" i="2"/>
  <c r="GA29" i="2"/>
  <c r="GB29" i="2"/>
  <c r="GC29" i="2"/>
  <c r="GD29" i="2"/>
  <c r="GE29" i="2"/>
  <c r="GF29" i="2"/>
  <c r="GG29" i="2"/>
  <c r="GH29" i="2"/>
  <c r="GI29" i="2"/>
  <c r="GJ29" i="2"/>
  <c r="GK29" i="2"/>
  <c r="GL29" i="2"/>
  <c r="GM29" i="2"/>
  <c r="GN29" i="2"/>
  <c r="GO29" i="2"/>
  <c r="GP29" i="2"/>
  <c r="GQ29" i="2"/>
  <c r="GR29" i="2"/>
  <c r="GS29" i="2"/>
  <c r="FU30" i="2"/>
  <c r="FV30" i="2"/>
  <c r="FW30" i="2"/>
  <c r="FX30" i="2"/>
  <c r="FY30" i="2"/>
  <c r="FZ30" i="2"/>
  <c r="GA30" i="2"/>
  <c r="GB30" i="2"/>
  <c r="GC30" i="2"/>
  <c r="GD30" i="2"/>
  <c r="GE30" i="2"/>
  <c r="GF30" i="2"/>
  <c r="GG30" i="2"/>
  <c r="GH30" i="2"/>
  <c r="GI30" i="2"/>
  <c r="GJ30" i="2"/>
  <c r="GK30" i="2"/>
  <c r="GL30" i="2"/>
  <c r="GM30" i="2"/>
  <c r="GN30" i="2"/>
  <c r="GO30" i="2"/>
  <c r="GP30" i="2"/>
  <c r="GQ30" i="2"/>
  <c r="GR30" i="2"/>
  <c r="GS30" i="2"/>
  <c r="FU31" i="2"/>
  <c r="FV31" i="2"/>
  <c r="FW31" i="2"/>
  <c r="FX31" i="2"/>
  <c r="FY31" i="2"/>
  <c r="FZ31" i="2"/>
  <c r="GA31" i="2"/>
  <c r="GB31" i="2"/>
  <c r="GC31" i="2"/>
  <c r="GD31" i="2"/>
  <c r="GE31" i="2"/>
  <c r="GF31" i="2"/>
  <c r="GG31" i="2"/>
  <c r="GH31" i="2"/>
  <c r="GI31" i="2"/>
  <c r="GJ31" i="2"/>
  <c r="GK31" i="2"/>
  <c r="GL31" i="2"/>
  <c r="GM31" i="2"/>
  <c r="GN31" i="2"/>
  <c r="GO31" i="2"/>
  <c r="GP31" i="2"/>
  <c r="GQ31" i="2"/>
  <c r="GR31" i="2"/>
  <c r="GS31" i="2"/>
  <c r="FU32" i="2"/>
  <c r="FV32" i="2"/>
  <c r="FW32" i="2"/>
  <c r="FX32" i="2"/>
  <c r="FY32" i="2"/>
  <c r="FZ32" i="2"/>
  <c r="GA32" i="2"/>
  <c r="GB32" i="2"/>
  <c r="GC32" i="2"/>
  <c r="GD32" i="2"/>
  <c r="GE32" i="2"/>
  <c r="GF32" i="2"/>
  <c r="GG32" i="2"/>
  <c r="GH32" i="2"/>
  <c r="GI32" i="2"/>
  <c r="GJ32" i="2"/>
  <c r="GK32" i="2"/>
  <c r="GL32" i="2"/>
  <c r="GM32" i="2"/>
  <c r="GN32" i="2"/>
  <c r="GO32" i="2"/>
  <c r="GP32" i="2"/>
  <c r="GQ32" i="2"/>
  <c r="GR32" i="2"/>
  <c r="GS32" i="2"/>
  <c r="FU33" i="2"/>
  <c r="FV33" i="2"/>
  <c r="FW33" i="2"/>
  <c r="FX33" i="2"/>
  <c r="FY33" i="2"/>
  <c r="FZ33" i="2"/>
  <c r="GA33" i="2"/>
  <c r="GB33" i="2"/>
  <c r="GC33" i="2"/>
  <c r="GD33" i="2"/>
  <c r="GE33" i="2"/>
  <c r="GF33" i="2"/>
  <c r="GG33" i="2"/>
  <c r="GH33" i="2"/>
  <c r="GI33" i="2"/>
  <c r="GJ33" i="2"/>
  <c r="GK33" i="2"/>
  <c r="GL33" i="2"/>
  <c r="GM33" i="2"/>
  <c r="GN33" i="2"/>
  <c r="GO33" i="2"/>
  <c r="GP33" i="2"/>
  <c r="GQ33" i="2"/>
  <c r="GR33" i="2"/>
  <c r="GS33" i="2"/>
  <c r="FU34" i="2"/>
  <c r="FV34" i="2"/>
  <c r="FW34" i="2"/>
  <c r="FX34" i="2"/>
  <c r="FY34" i="2"/>
  <c r="FZ34" i="2"/>
  <c r="GA34" i="2"/>
  <c r="GB34" i="2"/>
  <c r="GC34" i="2"/>
  <c r="GD34" i="2"/>
  <c r="GE34" i="2"/>
  <c r="GF34" i="2"/>
  <c r="GG34" i="2"/>
  <c r="GH34" i="2"/>
  <c r="GI34" i="2"/>
  <c r="GJ34" i="2"/>
  <c r="GK34" i="2"/>
  <c r="GL34" i="2"/>
  <c r="GM34" i="2"/>
  <c r="GN34" i="2"/>
  <c r="GO34" i="2"/>
  <c r="GP34" i="2"/>
  <c r="GQ34" i="2"/>
  <c r="GR34" i="2"/>
  <c r="GS34" i="2"/>
  <c r="FU35" i="2"/>
  <c r="FV35" i="2"/>
  <c r="FW35" i="2"/>
  <c r="FX35" i="2"/>
  <c r="FY35" i="2"/>
  <c r="FZ35" i="2"/>
  <c r="GA35" i="2"/>
  <c r="GB35" i="2"/>
  <c r="GC35" i="2"/>
  <c r="GD35" i="2"/>
  <c r="GE35" i="2"/>
  <c r="GF35" i="2"/>
  <c r="GG35" i="2"/>
  <c r="GH35" i="2"/>
  <c r="GI35" i="2"/>
  <c r="GJ35" i="2"/>
  <c r="GK35" i="2"/>
  <c r="GL35" i="2"/>
  <c r="GM35" i="2"/>
  <c r="GN35" i="2"/>
  <c r="GO35" i="2"/>
  <c r="GP35" i="2"/>
  <c r="GQ35" i="2"/>
  <c r="GR35" i="2"/>
  <c r="GS35" i="2"/>
  <c r="FU36" i="2"/>
  <c r="FV36" i="2"/>
  <c r="FW36" i="2"/>
  <c r="FX36" i="2"/>
  <c r="FY36" i="2"/>
  <c r="FZ36" i="2"/>
  <c r="GA36" i="2"/>
  <c r="GB36" i="2"/>
  <c r="GC36" i="2"/>
  <c r="GD36" i="2"/>
  <c r="GE36" i="2"/>
  <c r="GF36" i="2"/>
  <c r="GG36" i="2"/>
  <c r="GH36" i="2"/>
  <c r="GI36" i="2"/>
  <c r="GJ36" i="2"/>
  <c r="GK36" i="2"/>
  <c r="GL36" i="2"/>
  <c r="GM36" i="2"/>
  <c r="GN36" i="2"/>
  <c r="GO36" i="2"/>
  <c r="GP36" i="2"/>
  <c r="GQ36" i="2"/>
  <c r="GR36" i="2"/>
  <c r="GS36" i="2"/>
  <c r="FU37" i="2"/>
  <c r="FV37" i="2"/>
  <c r="FW37" i="2"/>
  <c r="FX37" i="2"/>
  <c r="FY37" i="2"/>
  <c r="FZ37" i="2"/>
  <c r="GA37" i="2"/>
  <c r="GB37" i="2"/>
  <c r="GC37" i="2"/>
  <c r="GD37" i="2"/>
  <c r="GE37" i="2"/>
  <c r="GF37" i="2"/>
  <c r="GG37" i="2"/>
  <c r="GH37" i="2"/>
  <c r="GI37" i="2"/>
  <c r="GJ37" i="2"/>
  <c r="GK37" i="2"/>
  <c r="GL37" i="2"/>
  <c r="GM37" i="2"/>
  <c r="GN37" i="2"/>
  <c r="GO37" i="2"/>
  <c r="GP37" i="2"/>
  <c r="GQ37" i="2"/>
  <c r="GR37" i="2"/>
  <c r="GS37" i="2"/>
  <c r="FU38" i="2"/>
  <c r="FV38" i="2"/>
  <c r="FW38" i="2"/>
  <c r="FX38" i="2"/>
  <c r="FY38" i="2"/>
  <c r="FZ38" i="2"/>
  <c r="GA38" i="2"/>
  <c r="GB38" i="2"/>
  <c r="GC38" i="2"/>
  <c r="GD38" i="2"/>
  <c r="GE38" i="2"/>
  <c r="GF38" i="2"/>
  <c r="GG38" i="2"/>
  <c r="GH38" i="2"/>
  <c r="GI38" i="2"/>
  <c r="GJ38" i="2"/>
  <c r="GK38" i="2"/>
  <c r="GL38" i="2"/>
  <c r="GM38" i="2"/>
  <c r="GN38" i="2"/>
  <c r="GO38" i="2"/>
  <c r="GP38" i="2"/>
  <c r="GQ38" i="2"/>
  <c r="GR38" i="2"/>
  <c r="GS38" i="2"/>
  <c r="FU39" i="2"/>
  <c r="FV39" i="2"/>
  <c r="FW39" i="2"/>
  <c r="FX39" i="2"/>
  <c r="FY39" i="2"/>
  <c r="FZ39" i="2"/>
  <c r="GA39" i="2"/>
  <c r="GB39" i="2"/>
  <c r="GC39" i="2"/>
  <c r="GD39" i="2"/>
  <c r="GE39" i="2"/>
  <c r="GF39" i="2"/>
  <c r="GG39" i="2"/>
  <c r="GH39" i="2"/>
  <c r="GI39" i="2"/>
  <c r="GJ39" i="2"/>
  <c r="GK39" i="2"/>
  <c r="GL39" i="2"/>
  <c r="GM39" i="2"/>
  <c r="GN39" i="2"/>
  <c r="GO39" i="2"/>
  <c r="GP39" i="2"/>
  <c r="GQ39" i="2"/>
  <c r="GR39" i="2"/>
  <c r="GS39" i="2"/>
  <c r="FU40" i="2"/>
  <c r="FV40" i="2"/>
  <c r="FW40" i="2"/>
  <c r="FX40" i="2"/>
  <c r="FY40" i="2"/>
  <c r="FZ40" i="2"/>
  <c r="GA40" i="2"/>
  <c r="GB40" i="2"/>
  <c r="GC40" i="2"/>
  <c r="GD40" i="2"/>
  <c r="GE40" i="2"/>
  <c r="GF40" i="2"/>
  <c r="GG40" i="2"/>
  <c r="GH40" i="2"/>
  <c r="GI40" i="2"/>
  <c r="GJ40" i="2"/>
  <c r="GK40" i="2"/>
  <c r="GL40" i="2"/>
  <c r="GM40" i="2"/>
  <c r="GN40" i="2"/>
  <c r="GO40" i="2"/>
  <c r="GP40" i="2"/>
  <c r="GQ40" i="2"/>
  <c r="GR40" i="2"/>
  <c r="GS40" i="2"/>
  <c r="FU41" i="2"/>
  <c r="FV41" i="2"/>
  <c r="FW41" i="2"/>
  <c r="FX41" i="2"/>
  <c r="FY41" i="2"/>
  <c r="FZ41" i="2"/>
  <c r="GA41" i="2"/>
  <c r="GB41" i="2"/>
  <c r="GC41" i="2"/>
  <c r="GD41" i="2"/>
  <c r="GE41" i="2"/>
  <c r="GF41" i="2"/>
  <c r="GG41" i="2"/>
  <c r="GH41" i="2"/>
  <c r="GI41" i="2"/>
  <c r="GJ41" i="2"/>
  <c r="GK41" i="2"/>
  <c r="GL41" i="2"/>
  <c r="GM41" i="2"/>
  <c r="GN41" i="2"/>
  <c r="GO41" i="2"/>
  <c r="GP41" i="2"/>
  <c r="GQ41" i="2"/>
  <c r="GR41" i="2"/>
  <c r="GS41" i="2"/>
  <c r="FU42" i="2"/>
  <c r="FV42" i="2"/>
  <c r="FW42" i="2"/>
  <c r="FX42" i="2"/>
  <c r="FY42" i="2"/>
  <c r="FZ42" i="2"/>
  <c r="GA42" i="2"/>
  <c r="GB42" i="2"/>
  <c r="GC42" i="2"/>
  <c r="GD42" i="2"/>
  <c r="GE42" i="2"/>
  <c r="GF42" i="2"/>
  <c r="GG42" i="2"/>
  <c r="GH42" i="2"/>
  <c r="GI42" i="2"/>
  <c r="GJ42" i="2"/>
  <c r="GK42" i="2"/>
  <c r="GL42" i="2"/>
  <c r="GM42" i="2"/>
  <c r="GN42" i="2"/>
  <c r="GO42" i="2"/>
  <c r="GP42" i="2"/>
  <c r="GQ42" i="2"/>
  <c r="GR42" i="2"/>
  <c r="GS42" i="2"/>
  <c r="FU43" i="2"/>
  <c r="FV43" i="2"/>
  <c r="FW43" i="2"/>
  <c r="FX43" i="2"/>
  <c r="FY43" i="2"/>
  <c r="FZ43" i="2"/>
  <c r="GA43" i="2"/>
  <c r="GB43" i="2"/>
  <c r="GC43" i="2"/>
  <c r="GD43" i="2"/>
  <c r="GE43" i="2"/>
  <c r="GF43" i="2"/>
  <c r="GG43" i="2"/>
  <c r="GH43" i="2"/>
  <c r="GI43" i="2"/>
  <c r="GJ43" i="2"/>
  <c r="GK43" i="2"/>
  <c r="GL43" i="2"/>
  <c r="GM43" i="2"/>
  <c r="GN43" i="2"/>
  <c r="GO43" i="2"/>
  <c r="GP43" i="2"/>
  <c r="GQ43" i="2"/>
  <c r="GR43" i="2"/>
  <c r="GS43" i="2"/>
  <c r="FU44" i="2"/>
  <c r="FV44" i="2"/>
  <c r="FW44" i="2"/>
  <c r="FX44" i="2"/>
  <c r="FY44" i="2"/>
  <c r="FZ44" i="2"/>
  <c r="GA44" i="2"/>
  <c r="GB44" i="2"/>
  <c r="GC44" i="2"/>
  <c r="GD44" i="2"/>
  <c r="GE44" i="2"/>
  <c r="GF44" i="2"/>
  <c r="GG44" i="2"/>
  <c r="GH44" i="2"/>
  <c r="GI44" i="2"/>
  <c r="GJ44" i="2"/>
  <c r="GK44" i="2"/>
  <c r="GL44" i="2"/>
  <c r="GM44" i="2"/>
  <c r="GN44" i="2"/>
  <c r="GO44" i="2"/>
  <c r="GP44" i="2"/>
  <c r="GQ44" i="2"/>
  <c r="GR44" i="2"/>
  <c r="GS44" i="2"/>
  <c r="FU45" i="2"/>
  <c r="FV45" i="2"/>
  <c r="FW45" i="2"/>
  <c r="FX45" i="2"/>
  <c r="FY45" i="2"/>
  <c r="FZ45" i="2"/>
  <c r="GA45" i="2"/>
  <c r="GB45" i="2"/>
  <c r="GC45" i="2"/>
  <c r="GD45" i="2"/>
  <c r="GE45" i="2"/>
  <c r="GF45" i="2"/>
  <c r="GG45" i="2"/>
  <c r="GH45" i="2"/>
  <c r="GI45" i="2"/>
  <c r="GJ45" i="2"/>
  <c r="GK45" i="2"/>
  <c r="GL45" i="2"/>
  <c r="GM45" i="2"/>
  <c r="GN45" i="2"/>
  <c r="GO45" i="2"/>
  <c r="GP45" i="2"/>
  <c r="GQ45" i="2"/>
  <c r="GR45" i="2"/>
  <c r="GS45" i="2"/>
  <c r="FU46" i="2"/>
  <c r="FV46" i="2"/>
  <c r="FW46" i="2"/>
  <c r="FX46" i="2"/>
  <c r="FY46" i="2"/>
  <c r="FZ46" i="2"/>
  <c r="GA46" i="2"/>
  <c r="GB46" i="2"/>
  <c r="GC46" i="2"/>
  <c r="GD46" i="2"/>
  <c r="GE46" i="2"/>
  <c r="GF46" i="2"/>
  <c r="GG46" i="2"/>
  <c r="GH46" i="2"/>
  <c r="GI46" i="2"/>
  <c r="GJ46" i="2"/>
  <c r="GK46" i="2"/>
  <c r="GL46" i="2"/>
  <c r="GM46" i="2"/>
  <c r="GN46" i="2"/>
  <c r="GO46" i="2"/>
  <c r="GP46" i="2"/>
  <c r="GQ46" i="2"/>
  <c r="GR46" i="2"/>
  <c r="GS46" i="2"/>
  <c r="FU47" i="2"/>
  <c r="FV47" i="2"/>
  <c r="FW47" i="2"/>
  <c r="FX47" i="2"/>
  <c r="FY47" i="2"/>
  <c r="FZ47" i="2"/>
  <c r="GA47" i="2"/>
  <c r="GB47" i="2"/>
  <c r="GC47" i="2"/>
  <c r="GD47" i="2"/>
  <c r="GE47" i="2"/>
  <c r="GF47" i="2"/>
  <c r="GG47" i="2"/>
  <c r="GH47" i="2"/>
  <c r="GI47" i="2"/>
  <c r="GJ47" i="2"/>
  <c r="GK47" i="2"/>
  <c r="GL47" i="2"/>
  <c r="GM47" i="2"/>
  <c r="GN47" i="2"/>
  <c r="GO47" i="2"/>
  <c r="GP47" i="2"/>
  <c r="GQ47" i="2"/>
  <c r="GR47" i="2"/>
  <c r="GS47" i="2"/>
  <c r="FU48" i="2"/>
  <c r="FV48" i="2"/>
  <c r="FW48" i="2"/>
  <c r="FX48" i="2"/>
  <c r="FY48" i="2"/>
  <c r="FZ48" i="2"/>
  <c r="GA48" i="2"/>
  <c r="GB48" i="2"/>
  <c r="GC48" i="2"/>
  <c r="GD48" i="2"/>
  <c r="GE48" i="2"/>
  <c r="GF48" i="2"/>
  <c r="GG48" i="2"/>
  <c r="GH48" i="2"/>
  <c r="GI48" i="2"/>
  <c r="GJ48" i="2"/>
  <c r="GK48" i="2"/>
  <c r="GL48" i="2"/>
  <c r="GM48" i="2"/>
  <c r="GN48" i="2"/>
  <c r="GO48" i="2"/>
  <c r="GP48" i="2"/>
  <c r="GQ48" i="2"/>
  <c r="GR48" i="2"/>
  <c r="GS48" i="2"/>
  <c r="FU49" i="2"/>
  <c r="FV49" i="2"/>
  <c r="FW49" i="2"/>
  <c r="FX49" i="2"/>
  <c r="FY49" i="2"/>
  <c r="FZ49" i="2"/>
  <c r="GA49" i="2"/>
  <c r="GB49" i="2"/>
  <c r="GC49" i="2"/>
  <c r="GD49" i="2"/>
  <c r="GE49" i="2"/>
  <c r="GF49" i="2"/>
  <c r="GG49" i="2"/>
  <c r="GH49" i="2"/>
  <c r="GI49" i="2"/>
  <c r="GJ49" i="2"/>
  <c r="GK49" i="2"/>
  <c r="GL49" i="2"/>
  <c r="GM49" i="2"/>
  <c r="GN49" i="2"/>
  <c r="GO49" i="2"/>
  <c r="GP49" i="2"/>
  <c r="GQ49" i="2"/>
  <c r="GR49" i="2"/>
  <c r="GS49" i="2"/>
  <c r="FU50" i="2"/>
  <c r="FV50" i="2"/>
  <c r="FW50" i="2"/>
  <c r="FX50" i="2"/>
  <c r="FY50" i="2"/>
  <c r="FZ50" i="2"/>
  <c r="GA50" i="2"/>
  <c r="GB50" i="2"/>
  <c r="GC50" i="2"/>
  <c r="GD50" i="2"/>
  <c r="GE50" i="2"/>
  <c r="GF50" i="2"/>
  <c r="GG50" i="2"/>
  <c r="GH50" i="2"/>
  <c r="GI50" i="2"/>
  <c r="GJ50" i="2"/>
  <c r="GK50" i="2"/>
  <c r="GL50" i="2"/>
  <c r="GM50" i="2"/>
  <c r="GN50" i="2"/>
  <c r="GO50" i="2"/>
  <c r="GP50" i="2"/>
  <c r="GQ50" i="2"/>
  <c r="GR50" i="2"/>
  <c r="GS50" i="2"/>
  <c r="FU51" i="2"/>
  <c r="FV51" i="2"/>
  <c r="FW51" i="2"/>
  <c r="FX51" i="2"/>
  <c r="FY51" i="2"/>
  <c r="FZ51" i="2"/>
  <c r="GA51" i="2"/>
  <c r="GB51" i="2"/>
  <c r="GC51" i="2"/>
  <c r="GD51" i="2"/>
  <c r="GE51" i="2"/>
  <c r="GF51" i="2"/>
  <c r="GG51" i="2"/>
  <c r="GH51" i="2"/>
  <c r="GI51" i="2"/>
  <c r="GJ51" i="2"/>
  <c r="GK51" i="2"/>
  <c r="GL51" i="2"/>
  <c r="GM51" i="2"/>
  <c r="GN51" i="2"/>
  <c r="GO51" i="2"/>
  <c r="GP51" i="2"/>
  <c r="GQ51" i="2"/>
  <c r="GR51" i="2"/>
  <c r="GS51" i="2"/>
  <c r="FU52" i="2"/>
  <c r="FV52" i="2"/>
  <c r="FW52" i="2"/>
  <c r="FX52" i="2"/>
  <c r="FY52" i="2"/>
  <c r="FZ52" i="2"/>
  <c r="GA52" i="2"/>
  <c r="GB52" i="2"/>
  <c r="GC52" i="2"/>
  <c r="GD52" i="2"/>
  <c r="GE52" i="2"/>
  <c r="GF52" i="2"/>
  <c r="GG52" i="2"/>
  <c r="GH52" i="2"/>
  <c r="GI52" i="2"/>
  <c r="GJ52" i="2"/>
  <c r="GK52" i="2"/>
  <c r="GL52" i="2"/>
  <c r="GM52" i="2"/>
  <c r="GN52" i="2"/>
  <c r="GO52" i="2"/>
  <c r="GP52" i="2"/>
  <c r="GQ52" i="2"/>
  <c r="GR52" i="2"/>
  <c r="GS52" i="2"/>
  <c r="FU53" i="2"/>
  <c r="FV53" i="2"/>
  <c r="FW53" i="2"/>
  <c r="FX53" i="2"/>
  <c r="FY53" i="2"/>
  <c r="FZ53" i="2"/>
  <c r="GA53" i="2"/>
  <c r="GB53" i="2"/>
  <c r="GC53" i="2"/>
  <c r="GD53" i="2"/>
  <c r="GE53" i="2"/>
  <c r="GF53" i="2"/>
  <c r="GG53" i="2"/>
  <c r="GH53" i="2"/>
  <c r="GI53" i="2"/>
  <c r="GJ53" i="2"/>
  <c r="GK53" i="2"/>
  <c r="GL53" i="2"/>
  <c r="GM53" i="2"/>
  <c r="GN53" i="2"/>
  <c r="GO53" i="2"/>
  <c r="GP53" i="2"/>
  <c r="GQ53" i="2"/>
  <c r="GR53" i="2"/>
  <c r="GS53" i="2"/>
  <c r="FU54" i="2"/>
  <c r="FV54" i="2"/>
  <c r="FW54" i="2"/>
  <c r="FX54" i="2"/>
  <c r="FY54" i="2"/>
  <c r="FZ54" i="2"/>
  <c r="GA54" i="2"/>
  <c r="GB54" i="2"/>
  <c r="GC54" i="2"/>
  <c r="GD54" i="2"/>
  <c r="GE54" i="2"/>
  <c r="GF54" i="2"/>
  <c r="GG54" i="2"/>
  <c r="GH54" i="2"/>
  <c r="GI54" i="2"/>
  <c r="GJ54" i="2"/>
  <c r="GK54" i="2"/>
  <c r="GL54" i="2"/>
  <c r="GM54" i="2"/>
  <c r="GN54" i="2"/>
  <c r="GO54" i="2"/>
  <c r="GP54" i="2"/>
  <c r="GQ54" i="2"/>
  <c r="GR54" i="2"/>
  <c r="GS54" i="2"/>
  <c r="FU55" i="2"/>
  <c r="FV55" i="2"/>
  <c r="FW55" i="2"/>
  <c r="FX55" i="2"/>
  <c r="FY55" i="2"/>
  <c r="FZ55" i="2"/>
  <c r="GA55" i="2"/>
  <c r="GB55" i="2"/>
  <c r="GC55" i="2"/>
  <c r="GD55" i="2"/>
  <c r="GE55" i="2"/>
  <c r="GF55" i="2"/>
  <c r="GG55" i="2"/>
  <c r="GH55" i="2"/>
  <c r="GI55" i="2"/>
  <c r="GJ55" i="2"/>
  <c r="GK55" i="2"/>
  <c r="GL55" i="2"/>
  <c r="GM55" i="2"/>
  <c r="GN55" i="2"/>
  <c r="GO55" i="2"/>
  <c r="GP55" i="2"/>
  <c r="GQ55" i="2"/>
  <c r="GR55" i="2"/>
  <c r="GS55" i="2"/>
  <c r="FU56" i="2"/>
  <c r="FV56" i="2"/>
  <c r="FW56" i="2"/>
  <c r="FX56" i="2"/>
  <c r="FY56" i="2"/>
  <c r="FZ56" i="2"/>
  <c r="GA56" i="2"/>
  <c r="GB56" i="2"/>
  <c r="GC56" i="2"/>
  <c r="GD56" i="2"/>
  <c r="GE56" i="2"/>
  <c r="GF56" i="2"/>
  <c r="GG56" i="2"/>
  <c r="GH56" i="2"/>
  <c r="GI56" i="2"/>
  <c r="GJ56" i="2"/>
  <c r="GK56" i="2"/>
  <c r="GL56" i="2"/>
  <c r="GM56" i="2"/>
  <c r="GN56" i="2"/>
  <c r="GO56" i="2"/>
  <c r="GP56" i="2"/>
  <c r="GQ56" i="2"/>
  <c r="GR56" i="2"/>
  <c r="GS56" i="2"/>
  <c r="FU57" i="2"/>
  <c r="FV57" i="2"/>
  <c r="FW57" i="2"/>
  <c r="FX57" i="2"/>
  <c r="FY57" i="2"/>
  <c r="FZ57" i="2"/>
  <c r="GA57" i="2"/>
  <c r="GB57" i="2"/>
  <c r="GC57" i="2"/>
  <c r="GD57" i="2"/>
  <c r="GE57" i="2"/>
  <c r="GF57" i="2"/>
  <c r="GG57" i="2"/>
  <c r="GH57" i="2"/>
  <c r="GI57" i="2"/>
  <c r="GJ57" i="2"/>
  <c r="GK57" i="2"/>
  <c r="GL57" i="2"/>
  <c r="GM57" i="2"/>
  <c r="GN57" i="2"/>
  <c r="GO57" i="2"/>
  <c r="GP57" i="2"/>
  <c r="GQ57" i="2"/>
  <c r="GR57" i="2"/>
  <c r="GS57" i="2"/>
  <c r="FU58" i="2"/>
  <c r="FV58" i="2"/>
  <c r="FW58" i="2"/>
  <c r="FX58" i="2"/>
  <c r="FY58" i="2"/>
  <c r="FZ58" i="2"/>
  <c r="GA58" i="2"/>
  <c r="GB58" i="2"/>
  <c r="GC58" i="2"/>
  <c r="GD58" i="2"/>
  <c r="GE58" i="2"/>
  <c r="GF58" i="2"/>
  <c r="GG58" i="2"/>
  <c r="GH58" i="2"/>
  <c r="GI58" i="2"/>
  <c r="GJ58" i="2"/>
  <c r="GK58" i="2"/>
  <c r="GL58" i="2"/>
  <c r="GM58" i="2"/>
  <c r="GN58" i="2"/>
  <c r="GO58" i="2"/>
  <c r="GP58" i="2"/>
  <c r="GQ58" i="2"/>
  <c r="GR58" i="2"/>
  <c r="GS58" i="2"/>
  <c r="FU59" i="2"/>
  <c r="FV59" i="2"/>
  <c r="FW59" i="2"/>
  <c r="FX59" i="2"/>
  <c r="FY59" i="2"/>
  <c r="FZ59" i="2"/>
  <c r="GA59" i="2"/>
  <c r="GB59" i="2"/>
  <c r="GC59" i="2"/>
  <c r="GD59" i="2"/>
  <c r="GE59" i="2"/>
  <c r="GF59" i="2"/>
  <c r="GG59" i="2"/>
  <c r="GH59" i="2"/>
  <c r="GI59" i="2"/>
  <c r="GJ59" i="2"/>
  <c r="GK59" i="2"/>
  <c r="GL59" i="2"/>
  <c r="GM59" i="2"/>
  <c r="GN59" i="2"/>
  <c r="GO59" i="2"/>
  <c r="GP59" i="2"/>
  <c r="GQ59" i="2"/>
  <c r="GR59" i="2"/>
  <c r="GS59" i="2"/>
  <c r="FU60" i="2"/>
  <c r="FV60" i="2"/>
  <c r="FW60" i="2"/>
  <c r="FX60" i="2"/>
  <c r="FY60" i="2"/>
  <c r="FZ60" i="2"/>
  <c r="GA60" i="2"/>
  <c r="GB60" i="2"/>
  <c r="GC60" i="2"/>
  <c r="GD60" i="2"/>
  <c r="GE60" i="2"/>
  <c r="GF60" i="2"/>
  <c r="GG60" i="2"/>
  <c r="GH60" i="2"/>
  <c r="GI60" i="2"/>
  <c r="GJ60" i="2"/>
  <c r="GK60" i="2"/>
  <c r="GL60" i="2"/>
  <c r="GM60" i="2"/>
  <c r="GN60" i="2"/>
  <c r="GO60" i="2"/>
  <c r="GP60" i="2"/>
  <c r="GQ60" i="2"/>
  <c r="GR60" i="2"/>
  <c r="GS60" i="2"/>
  <c r="FU61" i="2"/>
  <c r="FV61" i="2"/>
  <c r="FW61" i="2"/>
  <c r="FX61" i="2"/>
  <c r="FY61" i="2"/>
  <c r="FZ61" i="2"/>
  <c r="GA61" i="2"/>
  <c r="GB61" i="2"/>
  <c r="GC61" i="2"/>
  <c r="GD61" i="2"/>
  <c r="GE61" i="2"/>
  <c r="GF61" i="2"/>
  <c r="GG61" i="2"/>
  <c r="GH61" i="2"/>
  <c r="GI61" i="2"/>
  <c r="GJ61" i="2"/>
  <c r="GK61" i="2"/>
  <c r="GL61" i="2"/>
  <c r="GM61" i="2"/>
  <c r="GN61" i="2"/>
  <c r="GO61" i="2"/>
  <c r="GP61" i="2"/>
  <c r="GQ61" i="2"/>
  <c r="GR61" i="2"/>
  <c r="GS61" i="2"/>
  <c r="FU62" i="2"/>
  <c r="FV62" i="2"/>
  <c r="FW62" i="2"/>
  <c r="FX62" i="2"/>
  <c r="FY62" i="2"/>
  <c r="FZ62" i="2"/>
  <c r="GA62" i="2"/>
  <c r="GB62" i="2"/>
  <c r="GC62" i="2"/>
  <c r="GD62" i="2"/>
  <c r="GE62" i="2"/>
  <c r="GF62" i="2"/>
  <c r="GG62" i="2"/>
  <c r="GH62" i="2"/>
  <c r="GI62" i="2"/>
  <c r="GJ62" i="2"/>
  <c r="GK62" i="2"/>
  <c r="GL62" i="2"/>
  <c r="GM62" i="2"/>
  <c r="GN62" i="2"/>
  <c r="GO62" i="2"/>
  <c r="GP62" i="2"/>
  <c r="GQ62" i="2"/>
  <c r="GR62" i="2"/>
  <c r="GS62" i="2"/>
  <c r="FU63" i="2"/>
  <c r="FV63" i="2"/>
  <c r="FW63" i="2"/>
  <c r="FX63" i="2"/>
  <c r="FY63" i="2"/>
  <c r="FZ63" i="2"/>
  <c r="GA63" i="2"/>
  <c r="GB63" i="2"/>
  <c r="GC63" i="2"/>
  <c r="GD63" i="2"/>
  <c r="GE63" i="2"/>
  <c r="GF63" i="2"/>
  <c r="GG63" i="2"/>
  <c r="GH63" i="2"/>
  <c r="GI63" i="2"/>
  <c r="GJ63" i="2"/>
  <c r="GK63" i="2"/>
  <c r="GL63" i="2"/>
  <c r="GM63" i="2"/>
  <c r="GN63" i="2"/>
  <c r="GO63" i="2"/>
  <c r="GP63" i="2"/>
  <c r="GQ63" i="2"/>
  <c r="GR63" i="2"/>
  <c r="GS63" i="2"/>
  <c r="GU4" i="2" a="1"/>
  <c r="GU4" i="2" s="1"/>
  <c r="GU5" i="2" a="1"/>
  <c r="GU5" i="2" s="1"/>
  <c r="GU6" i="2" a="1"/>
  <c r="GU6" i="2" s="1"/>
  <c r="GU7" i="2" a="1"/>
  <c r="GU7" i="2" s="1"/>
  <c r="GU8" i="2" a="1"/>
  <c r="GU8" i="2"/>
  <c r="GU9" i="2" a="1"/>
  <c r="GU9" i="2"/>
  <c r="GU10" i="2" a="1"/>
  <c r="GU10" i="2" s="1"/>
  <c r="GU11" i="2" a="1"/>
  <c r="GU11" i="2" s="1"/>
  <c r="GU12" i="2" a="1"/>
  <c r="GU12" i="2"/>
  <c r="GU13" i="2" a="1"/>
  <c r="GU13" i="2" s="1"/>
  <c r="GU14" i="2" a="1"/>
  <c r="GU14" i="2" s="1"/>
  <c r="GU15" i="2" a="1"/>
  <c r="GU15" i="2"/>
  <c r="GU16" i="2" a="1"/>
  <c r="GU16" i="2" s="1"/>
  <c r="GU17" i="2" a="1"/>
  <c r="GU17" i="2"/>
  <c r="GU18" i="2" a="1"/>
  <c r="GU18" i="2" s="1"/>
  <c r="GU19" i="2" a="1"/>
  <c r="GU19" i="2" s="1"/>
  <c r="GU20" i="2" a="1"/>
  <c r="GU20" i="2"/>
  <c r="GU21" i="2" a="1"/>
  <c r="GU21" i="2" s="1"/>
  <c r="GU22" i="2" a="1"/>
  <c r="GU22" i="2" s="1"/>
  <c r="GU23" i="2" a="1"/>
  <c r="GU23" i="2" s="1"/>
  <c r="GU24" i="2" a="1"/>
  <c r="GU24" i="2" s="1"/>
  <c r="GU25" i="2" a="1"/>
  <c r="GU25" i="2" s="1"/>
  <c r="GU26" i="2" a="1"/>
  <c r="GU26" i="2"/>
  <c r="GU27" i="2" a="1"/>
  <c r="GU27" i="2" s="1"/>
  <c r="GU28" i="2" a="1"/>
  <c r="GU28" i="2" s="1"/>
  <c r="GU36" i="2" a="1"/>
  <c r="GU36" i="2" s="1"/>
  <c r="GU37" i="2" a="1"/>
  <c r="GU37" i="2" s="1"/>
  <c r="GU38" i="2" a="1"/>
  <c r="GU38" i="2"/>
  <c r="GU39" i="2" a="1"/>
  <c r="GU39" i="2" s="1"/>
  <c r="GU40" i="2" a="1"/>
  <c r="GU40" i="2" s="1"/>
  <c r="GU46" i="2" a="1"/>
  <c r="GU46" i="2" s="1"/>
  <c r="GU47" i="2" a="1"/>
  <c r="GU47" i="2"/>
  <c r="GU48" i="2" a="1"/>
  <c r="GU48" i="2" s="1"/>
  <c r="GU49" i="2" a="1"/>
  <c r="GU49" i="2" s="1"/>
  <c r="GU50" i="2" a="1"/>
  <c r="GU50" i="2" s="1"/>
  <c r="GU51" i="2" a="1"/>
  <c r="GU51" i="2"/>
  <c r="GU52" i="2" a="1"/>
  <c r="GU52" i="2" s="1"/>
  <c r="GU53" i="2" a="1"/>
  <c r="GU53" i="2"/>
  <c r="GU54" i="2" a="1"/>
  <c r="GU54" i="2" s="1"/>
  <c r="GU55" i="2" a="1"/>
  <c r="GU55" i="2"/>
  <c r="GU56" i="2" a="1"/>
  <c r="GU56" i="2" s="1"/>
  <c r="GU57" i="2" a="1"/>
  <c r="GU57" i="2" s="1"/>
  <c r="GU58" i="2" a="1"/>
  <c r="GU58" i="2" s="1"/>
  <c r="GU59" i="2" a="1"/>
  <c r="GU59" i="2"/>
  <c r="GU60" i="2" a="1"/>
  <c r="GU60" i="2" s="1"/>
  <c r="GU61" i="2" a="1"/>
  <c r="GU61" i="2" s="1"/>
  <c r="GU62" i="2" a="1"/>
  <c r="GU62" i="2" s="1"/>
  <c r="GU63" i="2" a="1"/>
  <c r="GU63" i="2" s="1"/>
  <c r="GU64" i="2" a="1"/>
  <c r="GU64" i="2" s="1"/>
  <c r="GU69" i="2" a="1"/>
  <c r="GU69" i="2"/>
  <c r="GU72" i="2" a="1"/>
  <c r="GU72" i="2" s="1"/>
  <c r="GU74" i="2" a="1"/>
  <c r="GU74" i="2" s="1"/>
  <c r="GU75" i="2" a="1"/>
  <c r="GU75" i="2" s="1"/>
  <c r="GU76" i="2" a="1"/>
  <c r="GU76" i="2" s="1"/>
  <c r="GU77" i="2" a="1"/>
  <c r="GU77" i="2" s="1"/>
  <c r="GU78" i="2" a="1"/>
  <c r="GU78" i="2" s="1"/>
  <c r="GU79" i="2" a="1"/>
  <c r="GU79" i="2"/>
  <c r="GU80" i="2" a="1"/>
  <c r="GU80" i="2" s="1"/>
  <c r="GU81" i="2" a="1"/>
  <c r="GU81" i="2" s="1"/>
  <c r="GU82" i="2" a="1"/>
  <c r="GU82" i="2" s="1"/>
  <c r="GU83" i="2" a="1"/>
  <c r="GU83" i="2" s="1"/>
  <c r="GU84" i="2" a="1"/>
  <c r="GU84" i="2" s="1"/>
  <c r="GU85" i="2" a="1"/>
  <c r="GU85" i="2"/>
  <c r="GU86" i="2" a="1"/>
  <c r="GU86" i="2"/>
  <c r="GU87" i="2" a="1"/>
  <c r="GU87" i="2" s="1"/>
  <c r="GU88" i="2" a="1"/>
  <c r="GU88" i="2" s="1"/>
  <c r="GU89" i="2" a="1"/>
  <c r="GU89" i="2"/>
  <c r="GU90" i="2" a="1"/>
  <c r="GU90" i="2" s="1"/>
  <c r="GU91" i="2" a="1"/>
  <c r="GU91" i="2" s="1"/>
  <c r="GU92" i="2" a="1"/>
  <c r="GU92" i="2" s="1"/>
  <c r="GU93" i="2" a="1"/>
  <c r="GU93" i="2"/>
  <c r="GU94" i="2" a="1"/>
  <c r="GU94" i="2" s="1"/>
  <c r="GU95" i="2" a="1"/>
  <c r="GU95" i="2" s="1"/>
  <c r="GU96" i="2" a="1"/>
  <c r="GU96" i="2" s="1"/>
  <c r="GU97" i="2" a="1"/>
  <c r="GU97" i="2" s="1"/>
  <c r="GU98" i="2" a="1"/>
  <c r="GU98" i="2"/>
  <c r="GU99" i="2" a="1"/>
  <c r="GU99" i="2" s="1"/>
  <c r="GU100" i="2" a="1"/>
  <c r="GU100" i="2" s="1"/>
  <c r="GU101" i="2" a="1"/>
  <c r="GU101" i="2"/>
  <c r="GU102" i="2" a="1"/>
  <c r="GU102" i="2" s="1"/>
  <c r="GU103" i="2" a="1"/>
  <c r="GU103" i="2" s="1"/>
  <c r="FR5" i="2"/>
  <c r="FQ6" i="2"/>
  <c r="FR9" i="2"/>
  <c r="FQ10" i="2"/>
  <c r="FQ14" i="2"/>
  <c r="FR28" i="2"/>
  <c r="FQ32" i="2"/>
  <c r="FR32" i="2"/>
  <c r="FS32" i="2"/>
  <c r="FQ41" i="2"/>
  <c r="FR41" i="2"/>
  <c r="FR44" i="2"/>
  <c r="FS44" i="2"/>
  <c r="FQ45" i="2"/>
  <c r="FR53" i="2"/>
  <c r="FQ54" i="2"/>
  <c r="FR54" i="2"/>
  <c r="FR57" i="2"/>
  <c r="FQ58" i="2"/>
  <c r="FS80" i="2"/>
  <c r="FS84" i="2"/>
  <c r="FQ85" i="2"/>
  <c r="FQ93" i="2"/>
  <c r="FR93" i="2"/>
  <c r="FQ94" i="2"/>
  <c r="FS96" i="2"/>
  <c r="FQ97" i="2"/>
  <c r="ET4" i="2" a="1"/>
  <c r="ET4" i="2" s="1"/>
  <c r="ES5" i="2" a="1"/>
  <c r="ES5" i="2" s="1"/>
  <c r="ES9" i="2" a="1"/>
  <c r="ES9" i="2" s="1"/>
  <c r="ET9" i="2" a="1"/>
  <c r="ET9" i="2" s="1"/>
  <c r="ER20" i="2" a="1"/>
  <c r="ER20" i="2" s="1"/>
  <c r="ES20" i="2" a="1"/>
  <c r="ES20" i="2"/>
  <c r="ET20" i="2" a="1"/>
  <c r="ET20" i="2" s="1"/>
  <c r="ES22" i="2" a="1"/>
  <c r="ES22" i="2" s="1"/>
  <c r="ER29" i="2" a="1"/>
  <c r="ER29" i="2"/>
  <c r="ES29" i="2" a="1"/>
  <c r="ES29" i="2"/>
  <c r="ET37" i="2" a="1"/>
  <c r="ET37" i="2" s="1"/>
  <c r="ER38" i="2" a="1"/>
  <c r="ER38" i="2" s="1"/>
  <c r="ER40" i="2" a="1"/>
  <c r="ER40" i="2"/>
  <c r="ES40" i="2" a="1"/>
  <c r="ES40" i="2" s="1"/>
  <c r="ES48" i="2" a="1"/>
  <c r="ES48" i="2"/>
  <c r="ET48" i="2" a="1"/>
  <c r="ET48" i="2" s="1"/>
  <c r="ER49" i="2" a="1"/>
  <c r="ER49" i="2" s="1"/>
  <c r="ET52" i="2" a="1"/>
  <c r="ET52" i="2" s="1"/>
  <c r="ER60" i="2" a="1"/>
  <c r="ER60" i="2" s="1"/>
  <c r="ET61" i="2" a="1"/>
  <c r="ET61" i="2" s="1"/>
  <c r="ES68" i="2" a="1"/>
  <c r="ES68" i="2"/>
  <c r="ET68" i="2" a="1"/>
  <c r="ET68" i="2" s="1"/>
  <c r="ES70" i="2" a="1"/>
  <c r="ES70" i="2" s="1"/>
  <c r="ES77" i="2" a="1"/>
  <c r="ES77" i="2" s="1"/>
  <c r="ES81" i="2" a="1"/>
  <c r="ES81" i="2"/>
  <c r="ES89" i="2" a="1"/>
  <c r="ES89" i="2"/>
  <c r="ET89" i="2" a="1"/>
  <c r="ET89" i="2" s="1"/>
  <c r="ES93" i="2" a="1"/>
  <c r="ES93" i="2"/>
  <c r="ES101" i="2" a="1"/>
  <c r="ES101" i="2" s="1"/>
  <c r="ET101" i="2" a="1"/>
  <c r="ET101" i="2"/>
  <c r="FL4" i="2"/>
  <c r="FM4" i="2"/>
  <c r="FN4" i="2"/>
  <c r="FL5" i="2"/>
  <c r="FM5" i="2"/>
  <c r="FN5" i="2"/>
  <c r="FL6" i="2"/>
  <c r="FM6" i="2"/>
  <c r="FN6" i="2"/>
  <c r="FL7" i="2"/>
  <c r="FM7" i="2"/>
  <c r="FN7" i="2"/>
  <c r="FL8" i="2"/>
  <c r="FM8" i="2"/>
  <c r="FN8" i="2"/>
  <c r="FL9" i="2"/>
  <c r="FM9" i="2"/>
  <c r="FN9" i="2"/>
  <c r="FL10" i="2"/>
  <c r="FM10" i="2"/>
  <c r="FN10" i="2"/>
  <c r="FL11" i="2"/>
  <c r="FM11" i="2"/>
  <c r="FN11" i="2"/>
  <c r="FL12" i="2"/>
  <c r="FM12" i="2"/>
  <c r="FN12" i="2"/>
  <c r="FL13" i="2"/>
  <c r="FM13" i="2"/>
  <c r="FN13" i="2"/>
  <c r="FL14" i="2"/>
  <c r="FM14" i="2"/>
  <c r="FN14" i="2"/>
  <c r="FL15" i="2"/>
  <c r="FM15" i="2"/>
  <c r="FN15" i="2"/>
  <c r="FL16" i="2"/>
  <c r="FM16" i="2"/>
  <c r="FN16" i="2"/>
  <c r="FL17" i="2"/>
  <c r="FM17" i="2"/>
  <c r="FN17" i="2"/>
  <c r="FL18" i="2"/>
  <c r="FM18" i="2"/>
  <c r="FN18" i="2"/>
  <c r="FL19" i="2"/>
  <c r="FM19" i="2"/>
  <c r="FN19" i="2"/>
  <c r="FL20" i="2"/>
  <c r="FM20" i="2"/>
  <c r="FN20" i="2"/>
  <c r="FL21" i="2"/>
  <c r="FM21" i="2"/>
  <c r="FN21" i="2"/>
  <c r="FL22" i="2"/>
  <c r="FM22" i="2"/>
  <c r="FN22" i="2"/>
  <c r="FL23" i="2"/>
  <c r="FM23" i="2"/>
  <c r="FN23" i="2"/>
  <c r="FL24" i="2"/>
  <c r="FM24" i="2"/>
  <c r="FN24" i="2"/>
  <c r="FL25" i="2"/>
  <c r="FM25" i="2"/>
  <c r="FN25" i="2"/>
  <c r="FL26" i="2"/>
  <c r="FM26" i="2"/>
  <c r="FN26" i="2"/>
  <c r="FL27" i="2"/>
  <c r="FM27" i="2"/>
  <c r="FN27" i="2"/>
  <c r="FL28" i="2"/>
  <c r="FM28" i="2"/>
  <c r="FN28" i="2"/>
  <c r="FL29" i="2"/>
  <c r="FM29" i="2"/>
  <c r="FN29" i="2"/>
  <c r="FL30" i="2"/>
  <c r="FM30" i="2"/>
  <c r="FN30" i="2"/>
  <c r="FL31" i="2"/>
  <c r="FM31" i="2"/>
  <c r="FN31" i="2"/>
  <c r="FL32" i="2"/>
  <c r="FM32" i="2"/>
  <c r="FN32" i="2"/>
  <c r="FL33" i="2"/>
  <c r="FM33" i="2"/>
  <c r="FN33" i="2"/>
  <c r="FL34" i="2"/>
  <c r="FM34" i="2"/>
  <c r="FN34" i="2"/>
  <c r="FL35" i="2"/>
  <c r="FM35" i="2"/>
  <c r="FN35" i="2"/>
  <c r="FL36" i="2"/>
  <c r="FM36" i="2"/>
  <c r="FN36" i="2"/>
  <c r="FL37" i="2"/>
  <c r="FM37" i="2"/>
  <c r="FN37" i="2"/>
  <c r="FL38" i="2"/>
  <c r="FM38" i="2"/>
  <c r="FN38" i="2"/>
  <c r="FL39" i="2"/>
  <c r="FM39" i="2"/>
  <c r="FN39" i="2"/>
  <c r="FL40" i="2"/>
  <c r="FM40" i="2"/>
  <c r="FN40" i="2"/>
  <c r="FL41" i="2"/>
  <c r="FM41" i="2"/>
  <c r="FN41" i="2"/>
  <c r="FL42" i="2"/>
  <c r="FM42" i="2"/>
  <c r="FN42" i="2"/>
  <c r="FL43" i="2"/>
  <c r="FM43" i="2"/>
  <c r="FN43" i="2"/>
  <c r="FL44" i="2"/>
  <c r="FM44" i="2"/>
  <c r="FN44" i="2"/>
  <c r="FL45" i="2"/>
  <c r="FM45" i="2"/>
  <c r="FN45" i="2"/>
  <c r="FL46" i="2"/>
  <c r="FM46" i="2"/>
  <c r="FN46" i="2"/>
  <c r="FL47" i="2"/>
  <c r="FM47" i="2"/>
  <c r="FN47" i="2"/>
  <c r="FL48" i="2"/>
  <c r="FM48" i="2"/>
  <c r="FN48" i="2"/>
  <c r="FL49" i="2"/>
  <c r="FM49" i="2"/>
  <c r="FN49" i="2"/>
  <c r="FL50" i="2"/>
  <c r="FM50" i="2"/>
  <c r="FN50" i="2"/>
  <c r="FL51" i="2"/>
  <c r="FM51" i="2"/>
  <c r="FN51" i="2"/>
  <c r="FL52" i="2"/>
  <c r="FM52" i="2"/>
  <c r="FN52" i="2"/>
  <c r="FL53" i="2"/>
  <c r="FM53" i="2"/>
  <c r="FN53" i="2"/>
  <c r="FL54" i="2"/>
  <c r="FM54" i="2"/>
  <c r="FN54" i="2"/>
  <c r="FL55" i="2"/>
  <c r="FM55" i="2"/>
  <c r="FN55" i="2"/>
  <c r="FL56" i="2"/>
  <c r="FM56" i="2"/>
  <c r="FN56" i="2"/>
  <c r="FL57" i="2"/>
  <c r="FM57" i="2"/>
  <c r="FN57" i="2"/>
  <c r="FL58" i="2"/>
  <c r="FM58" i="2"/>
  <c r="FN58" i="2"/>
  <c r="FL59" i="2"/>
  <c r="FM59" i="2"/>
  <c r="FN59" i="2"/>
  <c r="FL60" i="2"/>
  <c r="FM60" i="2"/>
  <c r="FN60" i="2"/>
  <c r="FL61" i="2"/>
  <c r="FM61" i="2"/>
  <c r="FN61" i="2"/>
  <c r="FL62" i="2"/>
  <c r="FM62" i="2"/>
  <c r="FN62" i="2"/>
  <c r="FL63" i="2"/>
  <c r="FM63" i="2"/>
  <c r="FN63" i="2"/>
  <c r="FL64" i="2"/>
  <c r="FM64" i="2"/>
  <c r="FN64" i="2"/>
  <c r="FL65" i="2"/>
  <c r="FM65" i="2"/>
  <c r="FN65" i="2"/>
  <c r="FL66" i="2"/>
  <c r="FM66" i="2"/>
  <c r="FN66" i="2"/>
  <c r="FL67" i="2"/>
  <c r="FM67" i="2"/>
  <c r="FN67" i="2"/>
  <c r="FL68" i="2"/>
  <c r="FM68" i="2"/>
  <c r="FN68" i="2"/>
  <c r="FL69" i="2"/>
  <c r="FM69" i="2"/>
  <c r="FN69" i="2"/>
  <c r="FL70" i="2"/>
  <c r="FM70" i="2"/>
  <c r="FN70" i="2"/>
  <c r="FL71" i="2"/>
  <c r="FM71" i="2"/>
  <c r="FN71" i="2"/>
  <c r="FL72" i="2"/>
  <c r="FM72" i="2"/>
  <c r="FN72" i="2"/>
  <c r="FL73" i="2"/>
  <c r="FM73" i="2"/>
  <c r="FN73" i="2"/>
  <c r="FL74" i="2"/>
  <c r="FM74" i="2"/>
  <c r="FN74" i="2"/>
  <c r="FL75" i="2"/>
  <c r="FM75" i="2"/>
  <c r="FN75" i="2"/>
  <c r="FL76" i="2"/>
  <c r="FM76" i="2"/>
  <c r="FN76" i="2"/>
  <c r="FL77" i="2"/>
  <c r="FM77" i="2"/>
  <c r="FN77" i="2"/>
  <c r="FL78" i="2"/>
  <c r="FM78" i="2"/>
  <c r="FN78" i="2"/>
  <c r="FL79" i="2"/>
  <c r="FM79" i="2"/>
  <c r="FN79" i="2"/>
  <c r="FL80" i="2"/>
  <c r="FM80" i="2"/>
  <c r="FN80" i="2"/>
  <c r="FL81" i="2"/>
  <c r="FM81" i="2"/>
  <c r="FN81" i="2"/>
  <c r="FL82" i="2"/>
  <c r="FM82" i="2"/>
  <c r="FN82" i="2"/>
  <c r="FL83" i="2"/>
  <c r="FM83" i="2"/>
  <c r="FN83" i="2"/>
  <c r="FL84" i="2"/>
  <c r="FM84" i="2"/>
  <c r="FN84" i="2"/>
  <c r="FL85" i="2"/>
  <c r="FM85" i="2"/>
  <c r="FN85" i="2"/>
  <c r="FL86" i="2"/>
  <c r="FM86" i="2"/>
  <c r="FN86" i="2"/>
  <c r="FL87" i="2"/>
  <c r="FM87" i="2"/>
  <c r="FN87" i="2"/>
  <c r="FL88" i="2"/>
  <c r="FM88" i="2"/>
  <c r="FN88" i="2"/>
  <c r="FL89" i="2"/>
  <c r="FM89" i="2"/>
  <c r="FN89" i="2"/>
  <c r="FL90" i="2"/>
  <c r="FM90" i="2"/>
  <c r="FN90" i="2"/>
  <c r="FL91" i="2"/>
  <c r="FM91" i="2"/>
  <c r="FN91" i="2"/>
  <c r="FL92" i="2"/>
  <c r="FM92" i="2"/>
  <c r="FN92" i="2"/>
  <c r="FL93" i="2"/>
  <c r="FM93" i="2"/>
  <c r="FN93" i="2"/>
  <c r="FL94" i="2"/>
  <c r="FM94" i="2"/>
  <c r="FN94" i="2"/>
  <c r="FL95" i="2"/>
  <c r="FM95" i="2"/>
  <c r="FN95" i="2"/>
  <c r="FL96" i="2"/>
  <c r="FM96" i="2"/>
  <c r="FN96" i="2"/>
  <c r="FL97" i="2"/>
  <c r="FM97" i="2"/>
  <c r="FN97" i="2"/>
  <c r="FL98" i="2"/>
  <c r="FM98" i="2"/>
  <c r="FN98" i="2"/>
  <c r="FL99" i="2"/>
  <c r="FM99" i="2"/>
  <c r="FN99" i="2"/>
  <c r="FL100" i="2"/>
  <c r="FM100" i="2"/>
  <c r="FN100" i="2"/>
  <c r="FL101" i="2"/>
  <c r="FM101" i="2"/>
  <c r="FN101" i="2"/>
  <c r="FL102" i="2"/>
  <c r="FM102" i="2"/>
  <c r="FN102" i="2"/>
  <c r="FL103" i="2"/>
  <c r="FM103" i="2"/>
  <c r="FN103" i="2"/>
  <c r="FG4" i="2"/>
  <c r="FH4" i="2"/>
  <c r="FI4" i="2"/>
  <c r="FG5" i="2"/>
  <c r="FH5" i="2"/>
  <c r="FI5" i="2"/>
  <c r="FG6" i="2"/>
  <c r="FH6" i="2"/>
  <c r="FI6" i="2"/>
  <c r="FG7" i="2"/>
  <c r="FH7" i="2"/>
  <c r="FI7" i="2"/>
  <c r="FG8" i="2"/>
  <c r="FH8" i="2"/>
  <c r="FI8" i="2"/>
  <c r="FG9" i="2"/>
  <c r="FH9" i="2"/>
  <c r="FI9" i="2"/>
  <c r="FG10" i="2"/>
  <c r="FH10" i="2"/>
  <c r="FI10" i="2"/>
  <c r="FG11" i="2"/>
  <c r="FH11" i="2"/>
  <c r="FI11" i="2"/>
  <c r="FG12" i="2"/>
  <c r="FH12" i="2"/>
  <c r="FI12" i="2"/>
  <c r="FG13" i="2"/>
  <c r="FH13" i="2"/>
  <c r="FI13" i="2"/>
  <c r="FG14" i="2"/>
  <c r="FH14" i="2"/>
  <c r="FI14" i="2"/>
  <c r="FG15" i="2"/>
  <c r="FH15" i="2"/>
  <c r="FI15" i="2"/>
  <c r="FG16" i="2"/>
  <c r="FH16" i="2"/>
  <c r="FI16" i="2"/>
  <c r="FG17" i="2"/>
  <c r="FH17" i="2"/>
  <c r="FI17" i="2"/>
  <c r="FG18" i="2"/>
  <c r="FH18" i="2"/>
  <c r="FI18" i="2"/>
  <c r="FG19" i="2"/>
  <c r="FH19" i="2"/>
  <c r="FI19" i="2"/>
  <c r="FG20" i="2"/>
  <c r="FH20" i="2"/>
  <c r="FI20" i="2"/>
  <c r="FG21" i="2"/>
  <c r="FH21" i="2"/>
  <c r="FI21" i="2"/>
  <c r="FG22" i="2"/>
  <c r="FH22" i="2"/>
  <c r="FI22" i="2"/>
  <c r="FG23" i="2"/>
  <c r="FH23" i="2"/>
  <c r="FI23" i="2"/>
  <c r="FG24" i="2"/>
  <c r="FH24" i="2"/>
  <c r="FI24" i="2"/>
  <c r="FG25" i="2"/>
  <c r="FH25" i="2"/>
  <c r="FI25" i="2"/>
  <c r="FG26" i="2"/>
  <c r="FH26" i="2"/>
  <c r="FI26" i="2"/>
  <c r="FG27" i="2"/>
  <c r="FH27" i="2"/>
  <c r="FI27" i="2"/>
  <c r="FG28" i="2"/>
  <c r="FH28" i="2"/>
  <c r="FI28" i="2"/>
  <c r="FG29" i="2"/>
  <c r="FH29" i="2"/>
  <c r="FI29" i="2"/>
  <c r="FG30" i="2"/>
  <c r="FH30" i="2"/>
  <c r="FI30" i="2"/>
  <c r="FG31" i="2"/>
  <c r="FH31" i="2"/>
  <c r="FI31" i="2"/>
  <c r="FG32" i="2"/>
  <c r="FH32" i="2"/>
  <c r="FI32" i="2"/>
  <c r="FG33" i="2"/>
  <c r="FH33" i="2"/>
  <c r="FI33" i="2"/>
  <c r="FG34" i="2"/>
  <c r="FH34" i="2"/>
  <c r="FI34" i="2"/>
  <c r="FG35" i="2"/>
  <c r="FH35" i="2"/>
  <c r="FI35" i="2"/>
  <c r="FG36" i="2"/>
  <c r="FH36" i="2"/>
  <c r="FI36" i="2"/>
  <c r="FG37" i="2"/>
  <c r="FH37" i="2"/>
  <c r="FI37" i="2"/>
  <c r="FG38" i="2"/>
  <c r="FH38" i="2"/>
  <c r="FI38" i="2"/>
  <c r="FG39" i="2"/>
  <c r="FH39" i="2"/>
  <c r="FI39" i="2"/>
  <c r="FG40" i="2"/>
  <c r="FH40" i="2"/>
  <c r="FI40" i="2"/>
  <c r="FG41" i="2"/>
  <c r="FH41" i="2"/>
  <c r="FI41" i="2"/>
  <c r="FG42" i="2"/>
  <c r="FH42" i="2"/>
  <c r="FI42" i="2"/>
  <c r="FG43" i="2"/>
  <c r="FH43" i="2"/>
  <c r="FI43" i="2"/>
  <c r="FG44" i="2"/>
  <c r="FH44" i="2"/>
  <c r="FI44" i="2"/>
  <c r="FG45" i="2"/>
  <c r="FH45" i="2"/>
  <c r="FI45" i="2"/>
  <c r="FG46" i="2"/>
  <c r="FH46" i="2"/>
  <c r="FI46" i="2"/>
  <c r="FG47" i="2"/>
  <c r="FH47" i="2"/>
  <c r="FI47" i="2"/>
  <c r="FG48" i="2"/>
  <c r="FH48" i="2"/>
  <c r="FI48" i="2"/>
  <c r="FG49" i="2"/>
  <c r="FH49" i="2"/>
  <c r="FI49" i="2"/>
  <c r="FG50" i="2"/>
  <c r="FH50" i="2"/>
  <c r="FI50" i="2"/>
  <c r="FG51" i="2"/>
  <c r="FH51" i="2"/>
  <c r="FI51" i="2"/>
  <c r="FG52" i="2"/>
  <c r="FH52" i="2"/>
  <c r="FI52" i="2"/>
  <c r="FG53" i="2"/>
  <c r="FH53" i="2"/>
  <c r="FI53" i="2"/>
  <c r="FG54" i="2"/>
  <c r="FH54" i="2"/>
  <c r="FI54" i="2"/>
  <c r="FG55" i="2"/>
  <c r="FH55" i="2"/>
  <c r="FI55" i="2"/>
  <c r="FG56" i="2"/>
  <c r="FH56" i="2"/>
  <c r="FI56" i="2"/>
  <c r="FG57" i="2"/>
  <c r="FH57" i="2"/>
  <c r="FI57" i="2"/>
  <c r="FG58" i="2"/>
  <c r="FH58" i="2"/>
  <c r="FI58" i="2"/>
  <c r="FG59" i="2"/>
  <c r="FH59" i="2"/>
  <c r="FI59" i="2"/>
  <c r="FG60" i="2"/>
  <c r="FH60" i="2"/>
  <c r="FI60" i="2"/>
  <c r="FG61" i="2"/>
  <c r="FH61" i="2"/>
  <c r="FI61" i="2"/>
  <c r="FG62" i="2"/>
  <c r="FH62" i="2"/>
  <c r="FI62" i="2"/>
  <c r="FG63" i="2"/>
  <c r="FH63" i="2"/>
  <c r="FI63" i="2"/>
  <c r="FG64" i="2"/>
  <c r="FH64" i="2"/>
  <c r="FI64" i="2"/>
  <c r="FG65" i="2"/>
  <c r="FH65" i="2"/>
  <c r="FI65" i="2"/>
  <c r="FG66" i="2"/>
  <c r="FH66" i="2"/>
  <c r="FI66" i="2"/>
  <c r="FG67" i="2"/>
  <c r="FH67" i="2"/>
  <c r="FI67" i="2"/>
  <c r="FG68" i="2"/>
  <c r="FH68" i="2"/>
  <c r="FI68" i="2"/>
  <c r="FG69" i="2"/>
  <c r="FH69" i="2"/>
  <c r="FI69" i="2"/>
  <c r="FG70" i="2"/>
  <c r="FH70" i="2"/>
  <c r="FI70" i="2"/>
  <c r="FG71" i="2"/>
  <c r="FH71" i="2"/>
  <c r="FI71" i="2"/>
  <c r="FG72" i="2"/>
  <c r="FH72" i="2"/>
  <c r="FI72" i="2"/>
  <c r="FG73" i="2"/>
  <c r="FH73" i="2"/>
  <c r="FI73" i="2"/>
  <c r="FG74" i="2"/>
  <c r="FH74" i="2"/>
  <c r="FI74" i="2"/>
  <c r="FG75" i="2"/>
  <c r="FH75" i="2"/>
  <c r="FI75" i="2"/>
  <c r="FG76" i="2"/>
  <c r="FH76" i="2"/>
  <c r="FI76" i="2"/>
  <c r="FG77" i="2"/>
  <c r="FH77" i="2"/>
  <c r="FI77" i="2"/>
  <c r="FG78" i="2"/>
  <c r="FH78" i="2"/>
  <c r="FI78" i="2"/>
  <c r="FG79" i="2"/>
  <c r="FH79" i="2"/>
  <c r="FI79" i="2"/>
  <c r="FG80" i="2"/>
  <c r="FH80" i="2"/>
  <c r="FI80" i="2"/>
  <c r="FG81" i="2"/>
  <c r="FH81" i="2"/>
  <c r="FI81" i="2"/>
  <c r="FG82" i="2"/>
  <c r="FH82" i="2"/>
  <c r="FI82" i="2"/>
  <c r="FG83" i="2"/>
  <c r="FH83" i="2"/>
  <c r="FI83" i="2"/>
  <c r="FG84" i="2"/>
  <c r="FH84" i="2"/>
  <c r="FI84" i="2"/>
  <c r="FG85" i="2"/>
  <c r="FH85" i="2"/>
  <c r="FI85" i="2"/>
  <c r="FG86" i="2"/>
  <c r="FH86" i="2"/>
  <c r="FI86" i="2"/>
  <c r="FG87" i="2"/>
  <c r="FH87" i="2"/>
  <c r="FI87" i="2"/>
  <c r="FG88" i="2"/>
  <c r="FH88" i="2"/>
  <c r="FI88" i="2"/>
  <c r="FG89" i="2"/>
  <c r="FH89" i="2"/>
  <c r="FI89" i="2"/>
  <c r="FG90" i="2"/>
  <c r="FH90" i="2"/>
  <c r="FI90" i="2"/>
  <c r="FG91" i="2"/>
  <c r="FH91" i="2"/>
  <c r="FI91" i="2"/>
  <c r="FG92" i="2"/>
  <c r="FH92" i="2"/>
  <c r="FI92" i="2"/>
  <c r="FG93" i="2"/>
  <c r="FH93" i="2"/>
  <c r="FI93" i="2"/>
  <c r="FG94" i="2"/>
  <c r="FH94" i="2"/>
  <c r="FI94" i="2"/>
  <c r="FG95" i="2"/>
  <c r="FH95" i="2"/>
  <c r="FI95" i="2"/>
  <c r="FG96" i="2"/>
  <c r="FH96" i="2"/>
  <c r="FI96" i="2"/>
  <c r="FG97" i="2"/>
  <c r="FH97" i="2"/>
  <c r="FI97" i="2"/>
  <c r="FG98" i="2"/>
  <c r="FH98" i="2"/>
  <c r="FI98" i="2"/>
  <c r="FG99" i="2"/>
  <c r="FH99" i="2"/>
  <c r="FI99" i="2"/>
  <c r="FG100" i="2"/>
  <c r="FH100" i="2"/>
  <c r="FI100" i="2"/>
  <c r="FG101" i="2"/>
  <c r="FH101" i="2"/>
  <c r="FI101" i="2"/>
  <c r="FG102" i="2"/>
  <c r="FH102" i="2"/>
  <c r="FI102" i="2"/>
  <c r="FG103" i="2"/>
  <c r="FH103" i="2"/>
  <c r="FI103" i="2"/>
  <c r="FB4" i="2"/>
  <c r="FC4" i="2"/>
  <c r="FD4" i="2"/>
  <c r="FB5" i="2"/>
  <c r="FC5" i="2"/>
  <c r="FD5" i="2"/>
  <c r="FB6" i="2"/>
  <c r="FC6" i="2"/>
  <c r="FD6" i="2"/>
  <c r="FB7" i="2"/>
  <c r="FC7" i="2"/>
  <c r="F50" i="6" s="1"/>
  <c r="FD7" i="2"/>
  <c r="G50" i="6" s="1"/>
  <c r="FB8" i="2"/>
  <c r="FC8" i="2"/>
  <c r="FD8" i="2"/>
  <c r="FB9" i="2"/>
  <c r="FC9" i="2"/>
  <c r="FD9" i="2"/>
  <c r="FB10" i="2"/>
  <c r="FC10" i="2"/>
  <c r="FD10" i="2"/>
  <c r="FB11" i="2"/>
  <c r="FC11" i="2"/>
  <c r="FD11" i="2"/>
  <c r="FB12" i="2"/>
  <c r="FC12" i="2"/>
  <c r="FD12" i="2"/>
  <c r="FB13" i="2"/>
  <c r="FC13" i="2"/>
  <c r="FD13" i="2"/>
  <c r="FB14" i="2"/>
  <c r="FC14" i="2"/>
  <c r="FD14" i="2"/>
  <c r="FB15" i="2"/>
  <c r="FC15" i="2"/>
  <c r="FD15" i="2"/>
  <c r="FB16" i="2"/>
  <c r="FC16" i="2"/>
  <c r="FD16" i="2"/>
  <c r="FB17" i="2"/>
  <c r="FC17" i="2"/>
  <c r="FD17" i="2"/>
  <c r="FB18" i="2"/>
  <c r="FC18" i="2"/>
  <c r="FD18" i="2"/>
  <c r="FB19" i="2"/>
  <c r="FC19" i="2"/>
  <c r="FD19" i="2"/>
  <c r="FB20" i="2"/>
  <c r="FC20" i="2"/>
  <c r="FD20" i="2"/>
  <c r="FB21" i="2"/>
  <c r="FC21" i="2"/>
  <c r="FD21" i="2"/>
  <c r="FB22" i="2"/>
  <c r="FC22" i="2"/>
  <c r="FD22" i="2"/>
  <c r="FB23" i="2"/>
  <c r="FC23" i="2"/>
  <c r="FD23" i="2"/>
  <c r="FB24" i="2"/>
  <c r="FC24" i="2"/>
  <c r="FD24" i="2"/>
  <c r="FB25" i="2"/>
  <c r="FC25" i="2"/>
  <c r="FD25" i="2"/>
  <c r="FB26" i="2"/>
  <c r="FC26" i="2"/>
  <c r="FD26" i="2"/>
  <c r="FB27" i="2"/>
  <c r="FC27" i="2"/>
  <c r="FD27" i="2"/>
  <c r="FB28" i="2"/>
  <c r="FC28" i="2"/>
  <c r="FD28" i="2"/>
  <c r="FB29" i="2"/>
  <c r="FC29" i="2"/>
  <c r="FD29" i="2"/>
  <c r="FB30" i="2"/>
  <c r="FC30" i="2"/>
  <c r="FD30" i="2"/>
  <c r="FB31" i="2"/>
  <c r="FC31" i="2"/>
  <c r="FD31" i="2"/>
  <c r="FB32" i="2"/>
  <c r="FC32" i="2"/>
  <c r="FD32" i="2"/>
  <c r="FB33" i="2"/>
  <c r="FC33" i="2"/>
  <c r="FD33" i="2"/>
  <c r="FB34" i="2"/>
  <c r="FC34" i="2"/>
  <c r="FD34" i="2"/>
  <c r="FB35" i="2"/>
  <c r="FC35" i="2"/>
  <c r="FD35" i="2"/>
  <c r="FB36" i="2"/>
  <c r="FC36" i="2"/>
  <c r="FD36" i="2"/>
  <c r="FB37" i="2"/>
  <c r="FC37" i="2"/>
  <c r="FD37" i="2"/>
  <c r="FB38" i="2"/>
  <c r="FC38" i="2"/>
  <c r="FD38" i="2"/>
  <c r="FB39" i="2"/>
  <c r="FC39" i="2"/>
  <c r="FD39" i="2"/>
  <c r="FB40" i="2"/>
  <c r="FC40" i="2"/>
  <c r="FD40" i="2"/>
  <c r="FB41" i="2"/>
  <c r="FC41" i="2"/>
  <c r="FD41" i="2"/>
  <c r="FB42" i="2"/>
  <c r="FC42" i="2"/>
  <c r="FD42" i="2"/>
  <c r="FB43" i="2"/>
  <c r="FC43" i="2"/>
  <c r="FD43" i="2"/>
  <c r="FB44" i="2"/>
  <c r="FC44" i="2"/>
  <c r="FD44" i="2"/>
  <c r="FB45" i="2"/>
  <c r="FC45" i="2"/>
  <c r="FD45" i="2"/>
  <c r="FB46" i="2"/>
  <c r="FC46" i="2"/>
  <c r="FD46" i="2"/>
  <c r="FB47" i="2"/>
  <c r="FC47" i="2"/>
  <c r="FD47" i="2"/>
  <c r="FB48" i="2"/>
  <c r="FC48" i="2"/>
  <c r="FD48" i="2"/>
  <c r="FB49" i="2"/>
  <c r="FC49" i="2"/>
  <c r="FD49" i="2"/>
  <c r="FB50" i="2"/>
  <c r="FC50" i="2"/>
  <c r="FD50" i="2"/>
  <c r="FB51" i="2"/>
  <c r="FC51" i="2"/>
  <c r="FD51" i="2"/>
  <c r="FB52" i="2"/>
  <c r="FC52" i="2"/>
  <c r="FD52" i="2"/>
  <c r="FB53" i="2"/>
  <c r="FC53" i="2"/>
  <c r="FD53" i="2"/>
  <c r="FB54" i="2"/>
  <c r="FC54" i="2"/>
  <c r="FD54" i="2"/>
  <c r="FB55" i="2"/>
  <c r="FC55" i="2"/>
  <c r="FD55" i="2"/>
  <c r="FB56" i="2"/>
  <c r="FC56" i="2"/>
  <c r="FD56" i="2"/>
  <c r="FB57" i="2"/>
  <c r="FC57" i="2"/>
  <c r="FD57" i="2"/>
  <c r="FB58" i="2"/>
  <c r="FC58" i="2"/>
  <c r="FD58" i="2"/>
  <c r="FB59" i="2"/>
  <c r="FC59" i="2"/>
  <c r="FD59" i="2"/>
  <c r="FB60" i="2"/>
  <c r="FC60" i="2"/>
  <c r="FD60" i="2"/>
  <c r="FB61" i="2"/>
  <c r="FC61" i="2"/>
  <c r="FD61" i="2"/>
  <c r="FB62" i="2"/>
  <c r="FC62" i="2"/>
  <c r="FD62" i="2"/>
  <c r="FB63" i="2"/>
  <c r="FC63" i="2"/>
  <c r="FD63" i="2"/>
  <c r="FB64" i="2"/>
  <c r="FC64" i="2"/>
  <c r="FD64" i="2"/>
  <c r="FB65" i="2"/>
  <c r="FC65" i="2"/>
  <c r="FD65" i="2"/>
  <c r="FB66" i="2"/>
  <c r="FC66" i="2"/>
  <c r="FD66" i="2"/>
  <c r="FB67" i="2"/>
  <c r="FC67" i="2"/>
  <c r="FD67" i="2"/>
  <c r="FB68" i="2"/>
  <c r="FC68" i="2"/>
  <c r="FD68" i="2"/>
  <c r="FB69" i="2"/>
  <c r="FC69" i="2"/>
  <c r="FD69" i="2"/>
  <c r="FB70" i="2"/>
  <c r="FC70" i="2"/>
  <c r="FD70" i="2"/>
  <c r="FB71" i="2"/>
  <c r="FC71" i="2"/>
  <c r="FD71" i="2"/>
  <c r="FB72" i="2"/>
  <c r="FC72" i="2"/>
  <c r="FD72" i="2"/>
  <c r="FB73" i="2"/>
  <c r="FC73" i="2"/>
  <c r="FD73" i="2"/>
  <c r="FB74" i="2"/>
  <c r="FC74" i="2"/>
  <c r="FD74" i="2"/>
  <c r="FB75" i="2"/>
  <c r="FC75" i="2"/>
  <c r="FD75" i="2"/>
  <c r="FB76" i="2"/>
  <c r="FC76" i="2"/>
  <c r="FD76" i="2"/>
  <c r="FB77" i="2"/>
  <c r="FC77" i="2"/>
  <c r="FD77" i="2"/>
  <c r="FB78" i="2"/>
  <c r="FC78" i="2"/>
  <c r="FD78" i="2"/>
  <c r="FB79" i="2"/>
  <c r="FC79" i="2"/>
  <c r="FD79" i="2"/>
  <c r="FB80" i="2"/>
  <c r="FC80" i="2"/>
  <c r="FD80" i="2"/>
  <c r="FB81" i="2"/>
  <c r="FC81" i="2"/>
  <c r="FD81" i="2"/>
  <c r="FB82" i="2"/>
  <c r="FC82" i="2"/>
  <c r="FD82" i="2"/>
  <c r="FB83" i="2"/>
  <c r="FC83" i="2"/>
  <c r="FD83" i="2"/>
  <c r="FB84" i="2"/>
  <c r="FC84" i="2"/>
  <c r="FD84" i="2"/>
  <c r="FB85" i="2"/>
  <c r="FC85" i="2"/>
  <c r="FD85" i="2"/>
  <c r="FB86" i="2"/>
  <c r="FC86" i="2"/>
  <c r="FD86" i="2"/>
  <c r="FB87" i="2"/>
  <c r="FC87" i="2"/>
  <c r="FD87" i="2"/>
  <c r="FB88" i="2"/>
  <c r="FC88" i="2"/>
  <c r="FD88" i="2"/>
  <c r="FB89" i="2"/>
  <c r="FC89" i="2"/>
  <c r="FD89" i="2"/>
  <c r="FB90" i="2"/>
  <c r="FC90" i="2"/>
  <c r="FD90" i="2"/>
  <c r="FB91" i="2"/>
  <c r="FC91" i="2"/>
  <c r="FD91" i="2"/>
  <c r="FB92" i="2"/>
  <c r="FC92" i="2"/>
  <c r="FD92" i="2"/>
  <c r="FB93" i="2"/>
  <c r="FC93" i="2"/>
  <c r="FD93" i="2"/>
  <c r="FB94" i="2"/>
  <c r="FC94" i="2"/>
  <c r="FD94" i="2"/>
  <c r="FB95" i="2"/>
  <c r="FC95" i="2"/>
  <c r="FD95" i="2"/>
  <c r="FB96" i="2"/>
  <c r="FC96" i="2"/>
  <c r="FD96" i="2"/>
  <c r="FB97" i="2"/>
  <c r="FC97" i="2"/>
  <c r="FD97" i="2"/>
  <c r="FB98" i="2"/>
  <c r="FC98" i="2"/>
  <c r="FD98" i="2"/>
  <c r="FB99" i="2"/>
  <c r="FC99" i="2"/>
  <c r="FD99" i="2"/>
  <c r="FB100" i="2"/>
  <c r="FC100" i="2"/>
  <c r="FD100" i="2"/>
  <c r="FB101" i="2"/>
  <c r="FC101" i="2"/>
  <c r="FD101" i="2"/>
  <c r="FB102" i="2"/>
  <c r="FC102" i="2"/>
  <c r="FD102" i="2"/>
  <c r="FB103" i="2"/>
  <c r="FC103" i="2"/>
  <c r="FD103" i="2"/>
  <c r="EW4" i="2"/>
  <c r="ER4" i="2" s="1" a="1"/>
  <c r="ER4" i="2" s="1"/>
  <c r="EX4" i="2"/>
  <c r="FR4" i="2" s="1"/>
  <c r="EY4" i="2"/>
  <c r="FS4" i="2" s="1"/>
  <c r="EW5" i="2"/>
  <c r="FQ5" i="2" s="1"/>
  <c r="EX5" i="2"/>
  <c r="EY5" i="2"/>
  <c r="FS5" i="2" s="1"/>
  <c r="EW6" i="2"/>
  <c r="ER6" i="2" s="1" a="1"/>
  <c r="ER6" i="2" s="1"/>
  <c r="EX6" i="2"/>
  <c r="EY6" i="2"/>
  <c r="EW7" i="2"/>
  <c r="FQ7" i="2" s="1"/>
  <c r="EX7" i="2"/>
  <c r="F49" i="6" s="1"/>
  <c r="EY7" i="2"/>
  <c r="G49" i="6" s="1"/>
  <c r="EW8" i="2"/>
  <c r="ER8" i="2" s="1" a="1"/>
  <c r="ER8" i="2" s="1"/>
  <c r="EX8" i="2"/>
  <c r="ES8" i="2" s="1" a="1"/>
  <c r="ES8" i="2" s="1"/>
  <c r="EY8" i="2"/>
  <c r="FS8" i="2" s="1"/>
  <c r="EW9" i="2"/>
  <c r="FQ9" i="2" s="1"/>
  <c r="EX9" i="2"/>
  <c r="EY9" i="2"/>
  <c r="FS9" i="2" s="1"/>
  <c r="EW10" i="2"/>
  <c r="ER10" i="2" s="1" a="1"/>
  <c r="ER10" i="2" s="1"/>
  <c r="EX10" i="2"/>
  <c r="EY10" i="2"/>
  <c r="EW11" i="2"/>
  <c r="EX11" i="2"/>
  <c r="FR11" i="2" s="1"/>
  <c r="EY11" i="2"/>
  <c r="EW12" i="2"/>
  <c r="EX12" i="2"/>
  <c r="ES12" i="2" s="1" a="1"/>
  <c r="ES12" i="2" s="1"/>
  <c r="EY12" i="2"/>
  <c r="ET12" i="2" s="1" a="1"/>
  <c r="ET12" i="2" s="1"/>
  <c r="EW13" i="2"/>
  <c r="ER13" i="2" s="1" a="1"/>
  <c r="ER13" i="2" s="1"/>
  <c r="EX13" i="2"/>
  <c r="FR13" i="2" s="1"/>
  <c r="EY13" i="2"/>
  <c r="FS13" i="2" s="1"/>
  <c r="EW14" i="2"/>
  <c r="ER14" i="2" s="1" a="1"/>
  <c r="ER14" i="2" s="1"/>
  <c r="EX14" i="2"/>
  <c r="ES14" i="2" s="1" a="1"/>
  <c r="ES14" i="2" s="1"/>
  <c r="EY14" i="2"/>
  <c r="EW15" i="2"/>
  <c r="EX15" i="2"/>
  <c r="EY15" i="2"/>
  <c r="EW16" i="2"/>
  <c r="EX16" i="2"/>
  <c r="EY16" i="2"/>
  <c r="ET16" i="2" s="1" a="1"/>
  <c r="ET16" i="2" s="1"/>
  <c r="EW17" i="2"/>
  <c r="ER17" i="2" s="1" a="1"/>
  <c r="ER17" i="2" s="1"/>
  <c r="EX17" i="2"/>
  <c r="ES17" i="2" s="1" a="1"/>
  <c r="ES17" i="2" s="1"/>
  <c r="EY17" i="2"/>
  <c r="FS17" i="2" s="1"/>
  <c r="EW18" i="2"/>
  <c r="FQ18" i="2" s="1"/>
  <c r="EX18" i="2"/>
  <c r="EY18" i="2"/>
  <c r="EW19" i="2"/>
  <c r="EX19" i="2"/>
  <c r="EY19" i="2"/>
  <c r="EW20" i="2"/>
  <c r="FQ20" i="2" s="1"/>
  <c r="EX20" i="2"/>
  <c r="FR20" i="2" s="1"/>
  <c r="EY20" i="2"/>
  <c r="FS20" i="2" s="1"/>
  <c r="EW21" i="2"/>
  <c r="ER21" i="2" s="1" a="1"/>
  <c r="ER21" i="2" s="1"/>
  <c r="EX21" i="2"/>
  <c r="ES21" i="2" s="1" a="1"/>
  <c r="ES21" i="2" s="1"/>
  <c r="EY21" i="2"/>
  <c r="FS21" i="2" s="1"/>
  <c r="EW22" i="2"/>
  <c r="FQ22" i="2" s="1"/>
  <c r="EX22" i="2"/>
  <c r="FR22" i="2" s="1"/>
  <c r="EY22" i="2"/>
  <c r="EW23" i="2"/>
  <c r="EX23" i="2"/>
  <c r="EY23" i="2"/>
  <c r="EW24" i="2"/>
  <c r="EX24" i="2"/>
  <c r="EY24" i="2"/>
  <c r="FS24" i="2" s="1"/>
  <c r="EW25" i="2"/>
  <c r="FQ25" i="2" s="1"/>
  <c r="EX25" i="2"/>
  <c r="ES25" i="2" s="1" a="1"/>
  <c r="ES25" i="2" s="1"/>
  <c r="EY25" i="2"/>
  <c r="FS25" i="2" s="1"/>
  <c r="EW26" i="2"/>
  <c r="FQ26" i="2" s="1"/>
  <c r="EX26" i="2"/>
  <c r="EY26" i="2"/>
  <c r="EW27" i="2"/>
  <c r="EX27" i="2"/>
  <c r="FR27" i="2" s="1"/>
  <c r="EY27" i="2"/>
  <c r="EW28" i="2"/>
  <c r="EX28" i="2"/>
  <c r="ES28" i="2" s="1" a="1"/>
  <c r="ES28" i="2" s="1"/>
  <c r="EY28" i="2"/>
  <c r="FS28" i="2" s="1"/>
  <c r="EW29" i="2"/>
  <c r="FQ29" i="2" s="1"/>
  <c r="EX29" i="2"/>
  <c r="FR29" i="2" s="1"/>
  <c r="EY29" i="2"/>
  <c r="FS29" i="2" s="1"/>
  <c r="EW30" i="2"/>
  <c r="ER30" i="2" s="1" a="1"/>
  <c r="ER30" i="2" s="1"/>
  <c r="EX30" i="2"/>
  <c r="EY30" i="2"/>
  <c r="EW31" i="2"/>
  <c r="EX31" i="2"/>
  <c r="EY31" i="2"/>
  <c r="FS31" i="2" s="1"/>
  <c r="EW32" i="2"/>
  <c r="ER32" i="2" s="1" a="1"/>
  <c r="ER32" i="2" s="1"/>
  <c r="EX32" i="2"/>
  <c r="ES32" i="2" s="1" a="1"/>
  <c r="ES32" i="2" s="1"/>
  <c r="EY32" i="2"/>
  <c r="ET32" i="2" s="1" a="1"/>
  <c r="ET32" i="2" s="1"/>
  <c r="EW33" i="2"/>
  <c r="FQ33" i="2" s="1"/>
  <c r="EX33" i="2"/>
  <c r="FR33" i="2" s="1"/>
  <c r="EY33" i="2"/>
  <c r="FS33" i="2" s="1"/>
  <c r="EW34" i="2"/>
  <c r="ER34" i="2" s="1" a="1"/>
  <c r="ER34" i="2" s="1"/>
  <c r="EX34" i="2"/>
  <c r="EY34" i="2"/>
  <c r="EW35" i="2"/>
  <c r="EX35" i="2"/>
  <c r="EY35" i="2"/>
  <c r="ET35" i="2" s="1" a="1"/>
  <c r="ET35" i="2" s="1"/>
  <c r="EW36" i="2"/>
  <c r="EX36" i="2"/>
  <c r="EY36" i="2"/>
  <c r="ET36" i="2" s="1" a="1"/>
  <c r="ET36" i="2" s="1"/>
  <c r="EW37" i="2"/>
  <c r="ER37" i="2" s="1" a="1"/>
  <c r="ER37" i="2" s="1"/>
  <c r="EX37" i="2"/>
  <c r="FR37" i="2" s="1"/>
  <c r="EY37" i="2"/>
  <c r="FS37" i="2" s="1"/>
  <c r="EW38" i="2"/>
  <c r="FQ38" i="2" s="1"/>
  <c r="EX38" i="2"/>
  <c r="EY38" i="2"/>
  <c r="EW39" i="2"/>
  <c r="EX39" i="2"/>
  <c r="EY39" i="2"/>
  <c r="EW40" i="2"/>
  <c r="FQ40" i="2" s="1"/>
  <c r="EX40" i="2"/>
  <c r="FR40" i="2" s="1"/>
  <c r="EY40" i="2"/>
  <c r="ET40" i="2" s="1" a="1"/>
  <c r="ET40" i="2" s="1"/>
  <c r="EW41" i="2"/>
  <c r="ER41" i="2" s="1" a="1"/>
  <c r="ER41" i="2" s="1"/>
  <c r="EX41" i="2"/>
  <c r="ES41" i="2" s="1" a="1"/>
  <c r="ES41" i="2" s="1"/>
  <c r="EY41" i="2"/>
  <c r="FS41" i="2" s="1"/>
  <c r="EW42" i="2"/>
  <c r="FQ42" i="2" s="1"/>
  <c r="EX42" i="2"/>
  <c r="FR42" i="2" s="1"/>
  <c r="EY42" i="2"/>
  <c r="EW43" i="2"/>
  <c r="EX43" i="2"/>
  <c r="EY43" i="2"/>
  <c r="EW44" i="2"/>
  <c r="EX44" i="2"/>
  <c r="ES44" i="2" s="1" a="1"/>
  <c r="ES44" i="2" s="1"/>
  <c r="EY44" i="2"/>
  <c r="ET44" i="2" s="1" a="1"/>
  <c r="ET44" i="2" s="1"/>
  <c r="EW45" i="2"/>
  <c r="ER45" i="2" s="1" a="1"/>
  <c r="ER45" i="2" s="1"/>
  <c r="EX45" i="2"/>
  <c r="ES45" i="2" s="1" a="1"/>
  <c r="ES45" i="2" s="1"/>
  <c r="EY45" i="2"/>
  <c r="FS45" i="2" s="1"/>
  <c r="EW46" i="2"/>
  <c r="ER46" i="2" s="1" a="1"/>
  <c r="ER46" i="2" s="1"/>
  <c r="EX46" i="2"/>
  <c r="EY46" i="2"/>
  <c r="EW47" i="2"/>
  <c r="EX47" i="2"/>
  <c r="EY47" i="2"/>
  <c r="EW48" i="2"/>
  <c r="FQ48" i="2" s="1"/>
  <c r="EX48" i="2"/>
  <c r="FR48" i="2" s="1"/>
  <c r="EY48" i="2"/>
  <c r="FS48" i="2" s="1"/>
  <c r="EW49" i="2"/>
  <c r="FQ49" i="2" s="1"/>
  <c r="EX49" i="2"/>
  <c r="ES49" i="2" s="1" a="1"/>
  <c r="ES49" i="2" s="1"/>
  <c r="EY49" i="2"/>
  <c r="FS49" i="2" s="1"/>
  <c r="EW50" i="2"/>
  <c r="ER50" i="2" s="1" a="1"/>
  <c r="ER50" i="2" s="1"/>
  <c r="EX50" i="2"/>
  <c r="EY50" i="2"/>
  <c r="EW51" i="2"/>
  <c r="EX51" i="2"/>
  <c r="EY51" i="2"/>
  <c r="EW52" i="2"/>
  <c r="ER52" i="2" s="1" a="1"/>
  <c r="ER52" i="2" s="1"/>
  <c r="EX52" i="2"/>
  <c r="FR52" i="2" s="1"/>
  <c r="EY52" i="2"/>
  <c r="FS52" i="2" s="1"/>
  <c r="EW53" i="2"/>
  <c r="ER53" i="2" s="1" a="1"/>
  <c r="ER53" i="2" s="1"/>
  <c r="EX53" i="2"/>
  <c r="ES53" i="2" s="1" a="1"/>
  <c r="ES53" i="2" s="1"/>
  <c r="EY53" i="2"/>
  <c r="FS53" i="2" s="1"/>
  <c r="EW54" i="2"/>
  <c r="ER54" i="2" s="1" a="1"/>
  <c r="ER54" i="2" s="1"/>
  <c r="EX54" i="2"/>
  <c r="ES54" i="2" s="1" a="1"/>
  <c r="ES54" i="2" s="1"/>
  <c r="EY54" i="2"/>
  <c r="EW55" i="2"/>
  <c r="FQ55" i="2" s="1"/>
  <c r="EX55" i="2"/>
  <c r="EY55" i="2"/>
  <c r="EW56" i="2"/>
  <c r="ER56" i="2" s="1" a="1"/>
  <c r="ER56" i="2" s="1"/>
  <c r="EX56" i="2"/>
  <c r="ES56" i="2" s="1" a="1"/>
  <c r="ES56" i="2" s="1"/>
  <c r="EY56" i="2"/>
  <c r="FS56" i="2" s="1"/>
  <c r="EW57" i="2"/>
  <c r="FQ57" i="2" s="1"/>
  <c r="EX57" i="2"/>
  <c r="ES57" i="2" s="1" a="1"/>
  <c r="ES57" i="2" s="1"/>
  <c r="EY57" i="2"/>
  <c r="FS57" i="2" s="1"/>
  <c r="EW58" i="2"/>
  <c r="ER58" i="2" s="1" a="1"/>
  <c r="ER58" i="2" s="1"/>
  <c r="EX58" i="2"/>
  <c r="ES58" i="2" s="1" a="1"/>
  <c r="ES58" i="2" s="1"/>
  <c r="EY58" i="2"/>
  <c r="EW59" i="2"/>
  <c r="EX59" i="2"/>
  <c r="FR59" i="2" s="1"/>
  <c r="EY59" i="2"/>
  <c r="EW60" i="2"/>
  <c r="FQ60" i="2" s="1"/>
  <c r="EX60" i="2"/>
  <c r="ES60" i="2" s="1" a="1"/>
  <c r="ES60" i="2" s="1"/>
  <c r="EY60" i="2"/>
  <c r="ET60" i="2" s="1" a="1"/>
  <c r="ET60" i="2" s="1"/>
  <c r="EW61" i="2"/>
  <c r="ER61" i="2" s="1" a="1"/>
  <c r="ER61" i="2" s="1"/>
  <c r="EX61" i="2"/>
  <c r="FR61" i="2" s="1"/>
  <c r="EY61" i="2"/>
  <c r="FS61" i="2" s="1"/>
  <c r="EW62" i="2"/>
  <c r="FQ62" i="2" s="1"/>
  <c r="EX62" i="2"/>
  <c r="EY62" i="2"/>
  <c r="EW63" i="2"/>
  <c r="EX63" i="2"/>
  <c r="EY63" i="2"/>
  <c r="FS63" i="2" s="1"/>
  <c r="EW64" i="2"/>
  <c r="EX64" i="2"/>
  <c r="EY64" i="2"/>
  <c r="ET64" i="2" s="1" a="1"/>
  <c r="ET64" i="2" s="1"/>
  <c r="EW65" i="2"/>
  <c r="ER65" i="2" s="1" a="1"/>
  <c r="ER65" i="2" s="1"/>
  <c r="EX65" i="2"/>
  <c r="ES65" i="2" s="1" a="1"/>
  <c r="ES65" i="2" s="1"/>
  <c r="EY65" i="2"/>
  <c r="FS65" i="2" s="1"/>
  <c r="EW66" i="2"/>
  <c r="FQ66" i="2" s="1"/>
  <c r="EX66" i="2"/>
  <c r="ES66" i="2" s="1" a="1"/>
  <c r="ES66" i="2" s="1"/>
  <c r="EY66" i="2"/>
  <c r="EW67" i="2"/>
  <c r="EX67" i="2"/>
  <c r="EY67" i="2"/>
  <c r="EW68" i="2"/>
  <c r="EX68" i="2"/>
  <c r="FR68" i="2" s="1"/>
  <c r="EY68" i="2"/>
  <c r="FS68" i="2" s="1"/>
  <c r="EW69" i="2"/>
  <c r="ER69" i="2" s="1" a="1"/>
  <c r="ER69" i="2" s="1"/>
  <c r="EX69" i="2"/>
  <c r="ES69" i="2" s="1" a="1"/>
  <c r="ES69" i="2" s="1"/>
  <c r="EY69" i="2"/>
  <c r="FS69" i="2" s="1"/>
  <c r="EW70" i="2"/>
  <c r="FQ70" i="2" s="1"/>
  <c r="EX70" i="2"/>
  <c r="FR70" i="2" s="1"/>
  <c r="EY70" i="2"/>
  <c r="EW71" i="2"/>
  <c r="EX71" i="2"/>
  <c r="EY71" i="2"/>
  <c r="EW72" i="2"/>
  <c r="EX72" i="2"/>
  <c r="EY72" i="2"/>
  <c r="FS72" i="2" s="1"/>
  <c r="EW73" i="2"/>
  <c r="FQ73" i="2" s="1"/>
  <c r="EX73" i="2"/>
  <c r="ES73" i="2" s="1" a="1"/>
  <c r="ES73" i="2" s="1"/>
  <c r="EY73" i="2"/>
  <c r="FS73" i="2" s="1"/>
  <c r="EW74" i="2"/>
  <c r="FQ74" i="2" s="1"/>
  <c r="EX74" i="2"/>
  <c r="EY74" i="2"/>
  <c r="FS74" i="2" s="1"/>
  <c r="EW75" i="2"/>
  <c r="EX75" i="2"/>
  <c r="ES75" i="2" s="1" a="1"/>
  <c r="ES75" i="2" s="1"/>
  <c r="EY75" i="2"/>
  <c r="ET75" i="2" s="1" a="1"/>
  <c r="ET75" i="2" s="1"/>
  <c r="EW76" i="2"/>
  <c r="EX76" i="2"/>
  <c r="EY76" i="2"/>
  <c r="FS76" i="2" s="1"/>
  <c r="EW77" i="2"/>
  <c r="FQ77" i="2" s="1"/>
  <c r="EX77" i="2"/>
  <c r="FR77" i="2" s="1"/>
  <c r="EY77" i="2"/>
  <c r="FS77" i="2" s="1"/>
  <c r="EW78" i="2"/>
  <c r="ER78" i="2" s="1" a="1"/>
  <c r="ER78" i="2" s="1"/>
  <c r="EX78" i="2"/>
  <c r="EY78" i="2"/>
  <c r="EW79" i="2"/>
  <c r="EX79" i="2"/>
  <c r="ES79" i="2" s="1" a="1"/>
  <c r="ES79" i="2" s="1"/>
  <c r="EY79" i="2"/>
  <c r="FS79" i="2" s="1"/>
  <c r="EW80" i="2"/>
  <c r="EX80" i="2"/>
  <c r="EY80" i="2"/>
  <c r="ET80" i="2" s="1" a="1"/>
  <c r="ET80" i="2" s="1"/>
  <c r="EW81" i="2"/>
  <c r="FQ81" i="2" s="1"/>
  <c r="EX81" i="2"/>
  <c r="FR81" i="2" s="1"/>
  <c r="EY81" i="2"/>
  <c r="FS81" i="2" s="1"/>
  <c r="EW82" i="2"/>
  <c r="ER82" i="2" s="1" a="1"/>
  <c r="ER82" i="2" s="1"/>
  <c r="EX82" i="2"/>
  <c r="EY82" i="2"/>
  <c r="EW83" i="2"/>
  <c r="EX83" i="2"/>
  <c r="EY83" i="2"/>
  <c r="EW84" i="2"/>
  <c r="ER84" i="2" s="1" a="1"/>
  <c r="ER84" i="2" s="1"/>
  <c r="EX84" i="2"/>
  <c r="ES84" i="2" s="1" a="1"/>
  <c r="ES84" i="2" s="1"/>
  <c r="EY84" i="2"/>
  <c r="ET84" i="2" s="1" a="1"/>
  <c r="ET84" i="2" s="1"/>
  <c r="EW85" i="2"/>
  <c r="ER85" i="2" s="1" a="1"/>
  <c r="ER85" i="2" s="1"/>
  <c r="EX85" i="2"/>
  <c r="FR85" i="2" s="1"/>
  <c r="EY85" i="2"/>
  <c r="FS85" i="2" s="1"/>
  <c r="EW86" i="2"/>
  <c r="ER86" i="2" s="1" a="1"/>
  <c r="ER86" i="2" s="1"/>
  <c r="EX86" i="2"/>
  <c r="EY86" i="2"/>
  <c r="EW87" i="2"/>
  <c r="EX87" i="2"/>
  <c r="EY87" i="2"/>
  <c r="EW88" i="2"/>
  <c r="EX88" i="2"/>
  <c r="EY88" i="2"/>
  <c r="ET88" i="2" s="1" a="1"/>
  <c r="ET88" i="2" s="1"/>
  <c r="EW89" i="2"/>
  <c r="ER89" i="2" s="1" a="1"/>
  <c r="ER89" i="2" s="1"/>
  <c r="EX89" i="2"/>
  <c r="FR89" i="2" s="1"/>
  <c r="EY89" i="2"/>
  <c r="FS89" i="2" s="1"/>
  <c r="EW90" i="2"/>
  <c r="FQ90" i="2" s="1"/>
  <c r="EX90" i="2"/>
  <c r="EY90" i="2"/>
  <c r="EW91" i="2"/>
  <c r="EX91" i="2"/>
  <c r="EY91" i="2"/>
  <c r="EW92" i="2"/>
  <c r="ER92" i="2" s="1" a="1"/>
  <c r="ER92" i="2" s="1"/>
  <c r="EX92" i="2"/>
  <c r="EY92" i="2"/>
  <c r="ET92" i="2" s="1" a="1"/>
  <c r="ET92" i="2" s="1"/>
  <c r="EW93" i="2"/>
  <c r="ER93" i="2" s="1" a="1"/>
  <c r="ER93" i="2" s="1"/>
  <c r="EX93" i="2"/>
  <c r="EY93" i="2"/>
  <c r="FS93" i="2" s="1"/>
  <c r="EW94" i="2"/>
  <c r="ER94" i="2" s="1" a="1"/>
  <c r="ER94" i="2" s="1"/>
  <c r="EX94" i="2"/>
  <c r="EY94" i="2"/>
  <c r="EW95" i="2"/>
  <c r="EX95" i="2"/>
  <c r="EY95" i="2"/>
  <c r="EW96" i="2"/>
  <c r="ER96" i="2" s="1" a="1"/>
  <c r="ER96" i="2" s="1"/>
  <c r="EX96" i="2"/>
  <c r="ES96" i="2" s="1" a="1"/>
  <c r="ES96" i="2" s="1"/>
  <c r="EY96" i="2"/>
  <c r="ET96" i="2" s="1" a="1"/>
  <c r="ET96" i="2" s="1"/>
  <c r="EW97" i="2"/>
  <c r="ER97" i="2" s="1" a="1"/>
  <c r="ER97" i="2" s="1"/>
  <c r="EX97" i="2"/>
  <c r="FR97" i="2" s="1"/>
  <c r="EY97" i="2"/>
  <c r="FS97" i="2" s="1"/>
  <c r="EW98" i="2"/>
  <c r="ER98" i="2" s="1" a="1"/>
  <c r="ER98" i="2" s="1"/>
  <c r="EX98" i="2"/>
  <c r="ES98" i="2" s="1" a="1"/>
  <c r="ES98" i="2" s="1"/>
  <c r="EY98" i="2"/>
  <c r="EW99" i="2"/>
  <c r="EX99" i="2"/>
  <c r="EY99" i="2"/>
  <c r="FS99" i="2" s="1"/>
  <c r="EW100" i="2"/>
  <c r="ER100" i="2" s="1" a="1"/>
  <c r="ER100" i="2" s="1"/>
  <c r="EX100" i="2"/>
  <c r="ES100" i="2" s="1" a="1"/>
  <c r="ES100" i="2" s="1"/>
  <c r="EY100" i="2"/>
  <c r="ET100" i="2" s="1" a="1"/>
  <c r="ET100" i="2" s="1"/>
  <c r="EW101" i="2"/>
  <c r="ER101" i="2" s="1" a="1"/>
  <c r="ER101" i="2" s="1"/>
  <c r="EX101" i="2"/>
  <c r="FR101" i="2" s="1"/>
  <c r="EY101" i="2"/>
  <c r="FS101" i="2" s="1"/>
  <c r="EW102" i="2"/>
  <c r="ER102" i="2" s="1" a="1"/>
  <c r="ER102" i="2" s="1"/>
  <c r="EX102" i="2"/>
  <c r="EY102" i="2"/>
  <c r="EW103" i="2"/>
  <c r="EX103" i="2"/>
  <c r="FR103" i="2" s="1"/>
  <c r="EY103" i="2"/>
  <c r="FS103" i="2" s="1"/>
  <c r="EL4" i="2"/>
  <c r="EM4" i="2"/>
  <c r="EN4" i="2"/>
  <c r="EL5" i="2"/>
  <c r="EM5" i="2"/>
  <c r="EN5" i="2"/>
  <c r="EL6" i="2"/>
  <c r="EM6" i="2"/>
  <c r="EN6" i="2"/>
  <c r="EL7" i="2"/>
  <c r="EM7" i="2"/>
  <c r="EN7" i="2"/>
  <c r="EL8" i="2"/>
  <c r="EM8" i="2"/>
  <c r="EN8" i="2"/>
  <c r="EL9" i="2"/>
  <c r="EM9" i="2"/>
  <c r="EN9" i="2"/>
  <c r="EL10" i="2"/>
  <c r="EM10" i="2"/>
  <c r="EN10" i="2"/>
  <c r="EL11" i="2"/>
  <c r="EM11" i="2"/>
  <c r="EN11" i="2"/>
  <c r="EL12" i="2"/>
  <c r="EM12" i="2"/>
  <c r="EN12" i="2"/>
  <c r="EL13" i="2"/>
  <c r="EM13" i="2"/>
  <c r="EN13" i="2"/>
  <c r="EL14" i="2"/>
  <c r="EM14" i="2"/>
  <c r="EN14" i="2"/>
  <c r="EL15" i="2"/>
  <c r="EM15" i="2"/>
  <c r="EN15" i="2"/>
  <c r="EL16" i="2"/>
  <c r="EM16" i="2"/>
  <c r="EN16" i="2"/>
  <c r="EL17" i="2"/>
  <c r="EM17" i="2"/>
  <c r="EN17" i="2"/>
  <c r="EL18" i="2"/>
  <c r="EM18" i="2"/>
  <c r="EN18" i="2"/>
  <c r="EL19" i="2"/>
  <c r="EM19" i="2"/>
  <c r="EN19" i="2"/>
  <c r="EL20" i="2"/>
  <c r="EM20" i="2"/>
  <c r="EN20" i="2"/>
  <c r="EL21" i="2"/>
  <c r="EM21" i="2"/>
  <c r="EN21" i="2"/>
  <c r="EL22" i="2"/>
  <c r="EM22" i="2"/>
  <c r="EN22" i="2"/>
  <c r="EL23" i="2"/>
  <c r="EM23" i="2"/>
  <c r="EN23" i="2"/>
  <c r="EL24" i="2"/>
  <c r="EM24" i="2"/>
  <c r="EN24" i="2"/>
  <c r="EL25" i="2"/>
  <c r="EM25" i="2"/>
  <c r="EN25" i="2"/>
  <c r="EL26" i="2"/>
  <c r="EM26" i="2"/>
  <c r="EN26" i="2"/>
  <c r="EL27" i="2"/>
  <c r="EM27" i="2"/>
  <c r="EN27" i="2"/>
  <c r="EL28" i="2"/>
  <c r="EM28" i="2"/>
  <c r="EN28" i="2"/>
  <c r="EL29" i="2"/>
  <c r="EM29" i="2"/>
  <c r="EN29" i="2"/>
  <c r="EL30" i="2"/>
  <c r="EM30" i="2"/>
  <c r="EN30" i="2"/>
  <c r="EL31" i="2"/>
  <c r="EM31" i="2"/>
  <c r="EN31" i="2"/>
  <c r="EL32" i="2"/>
  <c r="EM32" i="2"/>
  <c r="EN32" i="2"/>
  <c r="EL33" i="2"/>
  <c r="EM33" i="2"/>
  <c r="EN33" i="2"/>
  <c r="EL34" i="2"/>
  <c r="EM34" i="2"/>
  <c r="EN34" i="2"/>
  <c r="EL35" i="2"/>
  <c r="EM35" i="2"/>
  <c r="EN35" i="2"/>
  <c r="EL36" i="2"/>
  <c r="EM36" i="2"/>
  <c r="EN36" i="2"/>
  <c r="EL37" i="2"/>
  <c r="EM37" i="2"/>
  <c r="EN37" i="2"/>
  <c r="EL38" i="2"/>
  <c r="EM38" i="2"/>
  <c r="EN38" i="2"/>
  <c r="EL39" i="2"/>
  <c r="EM39" i="2"/>
  <c r="EN39" i="2"/>
  <c r="EL40" i="2"/>
  <c r="EM40" i="2"/>
  <c r="EN40" i="2"/>
  <c r="EL41" i="2"/>
  <c r="EM41" i="2"/>
  <c r="EN41" i="2"/>
  <c r="EL42" i="2"/>
  <c r="EM42" i="2"/>
  <c r="EN42" i="2"/>
  <c r="EL43" i="2"/>
  <c r="EM43" i="2"/>
  <c r="EN43" i="2"/>
  <c r="EL44" i="2"/>
  <c r="EM44" i="2"/>
  <c r="EN44" i="2"/>
  <c r="EL45" i="2"/>
  <c r="EM45" i="2"/>
  <c r="EN45" i="2"/>
  <c r="EL46" i="2"/>
  <c r="EM46" i="2"/>
  <c r="EN46" i="2"/>
  <c r="EL47" i="2"/>
  <c r="EM47" i="2"/>
  <c r="EN47" i="2"/>
  <c r="EL48" i="2"/>
  <c r="EM48" i="2"/>
  <c r="EN48" i="2"/>
  <c r="EL49" i="2"/>
  <c r="EM49" i="2"/>
  <c r="EN49" i="2"/>
  <c r="EL50" i="2"/>
  <c r="EM50" i="2"/>
  <c r="EN50" i="2"/>
  <c r="EL51" i="2"/>
  <c r="EM51" i="2"/>
  <c r="EN51" i="2"/>
  <c r="EL52" i="2"/>
  <c r="EM52" i="2"/>
  <c r="EN52" i="2"/>
  <c r="EL53" i="2"/>
  <c r="EM53" i="2"/>
  <c r="EN53" i="2"/>
  <c r="EL54" i="2"/>
  <c r="EM54" i="2"/>
  <c r="EN54" i="2"/>
  <c r="EL55" i="2"/>
  <c r="EM55" i="2"/>
  <c r="EN55" i="2"/>
  <c r="EL56" i="2"/>
  <c r="EM56" i="2"/>
  <c r="EN56" i="2"/>
  <c r="EL57" i="2"/>
  <c r="EM57" i="2"/>
  <c r="EN57" i="2"/>
  <c r="EL58" i="2"/>
  <c r="EM58" i="2"/>
  <c r="EN58" i="2"/>
  <c r="EL59" i="2"/>
  <c r="EM59" i="2"/>
  <c r="EN59" i="2"/>
  <c r="EL60" i="2"/>
  <c r="EM60" i="2"/>
  <c r="EN60" i="2"/>
  <c r="EL61" i="2"/>
  <c r="EM61" i="2"/>
  <c r="EN61" i="2"/>
  <c r="EL62" i="2"/>
  <c r="EM62" i="2"/>
  <c r="EN62" i="2"/>
  <c r="EL63" i="2"/>
  <c r="EM63" i="2"/>
  <c r="EN63" i="2"/>
  <c r="EL64" i="2"/>
  <c r="EM64" i="2"/>
  <c r="EN64" i="2"/>
  <c r="EL65" i="2"/>
  <c r="EM65" i="2"/>
  <c r="EN65" i="2"/>
  <c r="EL66" i="2"/>
  <c r="EM66" i="2"/>
  <c r="EN66" i="2"/>
  <c r="EL67" i="2"/>
  <c r="EM67" i="2"/>
  <c r="EN67" i="2"/>
  <c r="EL68" i="2"/>
  <c r="EM68" i="2"/>
  <c r="EN68" i="2"/>
  <c r="EL69" i="2"/>
  <c r="EM69" i="2"/>
  <c r="EN69" i="2"/>
  <c r="EL70" i="2"/>
  <c r="EM70" i="2"/>
  <c r="EN70" i="2"/>
  <c r="EL71" i="2"/>
  <c r="EM71" i="2"/>
  <c r="EN71" i="2"/>
  <c r="EL72" i="2"/>
  <c r="EM72" i="2"/>
  <c r="EN72" i="2"/>
  <c r="EL73" i="2"/>
  <c r="EM73" i="2"/>
  <c r="EN73" i="2"/>
  <c r="EL74" i="2"/>
  <c r="EM74" i="2"/>
  <c r="EN74" i="2"/>
  <c r="EL75" i="2"/>
  <c r="EM75" i="2"/>
  <c r="EN75" i="2"/>
  <c r="EL76" i="2"/>
  <c r="EM76" i="2"/>
  <c r="EN76" i="2"/>
  <c r="EL77" i="2"/>
  <c r="EM77" i="2"/>
  <c r="EN77" i="2"/>
  <c r="EL78" i="2"/>
  <c r="EM78" i="2"/>
  <c r="EN78" i="2"/>
  <c r="EL79" i="2"/>
  <c r="EM79" i="2"/>
  <c r="EN79" i="2"/>
  <c r="EL80" i="2"/>
  <c r="EM80" i="2"/>
  <c r="EN80" i="2"/>
  <c r="EL81" i="2"/>
  <c r="EM81" i="2"/>
  <c r="EN81" i="2"/>
  <c r="EL82" i="2"/>
  <c r="EM82" i="2"/>
  <c r="EN82" i="2"/>
  <c r="EL83" i="2"/>
  <c r="EM83" i="2"/>
  <c r="EN83" i="2"/>
  <c r="EL84" i="2"/>
  <c r="EM84" i="2"/>
  <c r="EN84" i="2"/>
  <c r="EL85" i="2"/>
  <c r="EM85" i="2"/>
  <c r="EN85" i="2"/>
  <c r="EL86" i="2"/>
  <c r="EM86" i="2"/>
  <c r="EN86" i="2"/>
  <c r="EL87" i="2"/>
  <c r="EM87" i="2"/>
  <c r="EN87" i="2"/>
  <c r="EL88" i="2"/>
  <c r="EM88" i="2"/>
  <c r="EN88" i="2"/>
  <c r="EL89" i="2"/>
  <c r="EM89" i="2"/>
  <c r="EN89" i="2"/>
  <c r="EL90" i="2"/>
  <c r="EM90" i="2"/>
  <c r="EN90" i="2"/>
  <c r="EL91" i="2"/>
  <c r="EM91" i="2"/>
  <c r="EN91" i="2"/>
  <c r="EL92" i="2"/>
  <c r="EM92" i="2"/>
  <c r="EN92" i="2"/>
  <c r="EL93" i="2"/>
  <c r="EM93" i="2"/>
  <c r="EN93" i="2"/>
  <c r="EL94" i="2"/>
  <c r="EM94" i="2"/>
  <c r="EN94" i="2"/>
  <c r="EL95" i="2"/>
  <c r="EM95" i="2"/>
  <c r="EN95" i="2"/>
  <c r="EL96" i="2"/>
  <c r="EM96" i="2"/>
  <c r="EN96" i="2"/>
  <c r="EL97" i="2"/>
  <c r="EM97" i="2"/>
  <c r="EN97" i="2"/>
  <c r="EL98" i="2"/>
  <c r="EM98" i="2"/>
  <c r="EN98" i="2"/>
  <c r="EL99" i="2"/>
  <c r="EM99" i="2"/>
  <c r="EN99" i="2"/>
  <c r="EL100" i="2"/>
  <c r="EM100" i="2"/>
  <c r="EN100" i="2"/>
  <c r="EL101" i="2"/>
  <c r="EM101" i="2"/>
  <c r="EN101" i="2"/>
  <c r="EL102" i="2"/>
  <c r="EM102" i="2"/>
  <c r="EN102" i="2"/>
  <c r="EL103" i="2"/>
  <c r="EM103" i="2"/>
  <c r="EN103" i="2"/>
  <c r="EP4" i="2" a="1"/>
  <c r="EP4" i="2"/>
  <c r="EP5" i="2" a="1"/>
  <c r="EP5" i="2" s="1"/>
  <c r="EP6" i="2" a="1"/>
  <c r="EP6" i="2" s="1"/>
  <c r="EP7" i="2" a="1"/>
  <c r="EP7" i="2"/>
  <c r="EP8" i="2" a="1"/>
  <c r="EP8" i="2"/>
  <c r="EP9" i="2" a="1"/>
  <c r="EP9" i="2" s="1"/>
  <c r="EP10" i="2" a="1"/>
  <c r="EP10" i="2"/>
  <c r="EP11" i="2" a="1"/>
  <c r="EP11" i="2" s="1"/>
  <c r="EP12" i="2" a="1"/>
  <c r="EP12" i="2" s="1"/>
  <c r="EP13" i="2" a="1"/>
  <c r="EP13" i="2" s="1"/>
  <c r="EP14" i="2" a="1"/>
  <c r="EP14" i="2" s="1"/>
  <c r="EP15" i="2" a="1"/>
  <c r="EP15" i="2"/>
  <c r="EP16" i="2" a="1"/>
  <c r="EP16" i="2"/>
  <c r="EP17" i="2" a="1"/>
  <c r="EP17" i="2" s="1"/>
  <c r="EP18" i="2" a="1"/>
  <c r="EP18" i="2" s="1"/>
  <c r="EP19" i="2" a="1"/>
  <c r="EP19" i="2"/>
  <c r="EP20" i="2" a="1"/>
  <c r="EP20" i="2" s="1"/>
  <c r="EP21" i="2" a="1"/>
  <c r="EP21" i="2" s="1"/>
  <c r="EP22" i="2" a="1"/>
  <c r="EP22" i="2" s="1"/>
  <c r="EP23" i="2" a="1"/>
  <c r="EP23" i="2" s="1"/>
  <c r="EP24" i="2" a="1"/>
  <c r="EP24" i="2" s="1"/>
  <c r="EP25" i="2" a="1"/>
  <c r="EP25" i="2"/>
  <c r="EP26" i="2" a="1"/>
  <c r="EP26" i="2" s="1"/>
  <c r="EP27" i="2" a="1"/>
  <c r="EP27" i="2" s="1"/>
  <c r="EP28" i="2" a="1"/>
  <c r="EP28" i="2"/>
  <c r="EP36" i="2" a="1"/>
  <c r="EP36" i="2" s="1"/>
  <c r="EP37" i="2" a="1"/>
  <c r="EP37" i="2" s="1"/>
  <c r="EP38" i="2" a="1"/>
  <c r="EP38" i="2" s="1"/>
  <c r="EP39" i="2" a="1"/>
  <c r="EP39" i="2" s="1"/>
  <c r="EP40" i="2" a="1"/>
  <c r="EP40" i="2"/>
  <c r="EP46" i="2" a="1"/>
  <c r="EP46" i="2" s="1"/>
  <c r="EP47" i="2" a="1"/>
  <c r="EP47" i="2" s="1"/>
  <c r="EP48" i="2" a="1"/>
  <c r="EP48" i="2" s="1"/>
  <c r="EP49" i="2" a="1"/>
  <c r="EP49" i="2"/>
  <c r="EP50" i="2" a="1"/>
  <c r="EP50" i="2"/>
  <c r="EP51" i="2" a="1"/>
  <c r="EP51" i="2" s="1"/>
  <c r="EP52" i="2" a="1"/>
  <c r="EP52" i="2" s="1"/>
  <c r="EP53" i="2" a="1"/>
  <c r="EP53" i="2" s="1"/>
  <c r="EP54" i="2" a="1"/>
  <c r="EP54" i="2" s="1"/>
  <c r="EP55" i="2" a="1"/>
  <c r="EP55" i="2"/>
  <c r="EP56" i="2" a="1"/>
  <c r="EP56" i="2"/>
  <c r="EP57" i="2" a="1"/>
  <c r="EP57" i="2"/>
  <c r="EP58" i="2" a="1"/>
  <c r="EP58" i="2" s="1"/>
  <c r="EP59" i="2" a="1"/>
  <c r="EP59" i="2" s="1"/>
  <c r="EP60" i="2" a="1"/>
  <c r="EP60" i="2" s="1"/>
  <c r="EP61" i="2" a="1"/>
  <c r="EP61" i="2" s="1"/>
  <c r="EP62" i="2" a="1"/>
  <c r="EP62" i="2" s="1"/>
  <c r="EP63" i="2" a="1"/>
  <c r="EP63" i="2" s="1"/>
  <c r="EP64" i="2" a="1"/>
  <c r="EP64" i="2" s="1"/>
  <c r="EP69" i="2" a="1"/>
  <c r="EP69" i="2"/>
  <c r="EP72" i="2" a="1"/>
  <c r="EP72" i="2" s="1"/>
  <c r="EP74" i="2" a="1"/>
  <c r="EP74" i="2"/>
  <c r="EP75" i="2" a="1"/>
  <c r="EP75" i="2" s="1"/>
  <c r="EP76" i="2" a="1"/>
  <c r="EP76" i="2" s="1"/>
  <c r="EP77" i="2" a="1"/>
  <c r="EP77" i="2" s="1"/>
  <c r="EP78" i="2" a="1"/>
  <c r="EP78" i="2" s="1"/>
  <c r="EP79" i="2" a="1"/>
  <c r="EP79" i="2"/>
  <c r="EP80" i="2" a="1"/>
  <c r="EP80" i="2"/>
  <c r="EP81" i="2" a="1"/>
  <c r="EP81" i="2" s="1"/>
  <c r="EP82" i="2" a="1"/>
  <c r="EP82" i="2" s="1"/>
  <c r="EP83" i="2" a="1"/>
  <c r="EP83" i="2" s="1"/>
  <c r="EP84" i="2" a="1"/>
  <c r="EP84" i="2" s="1"/>
  <c r="EP85" i="2" a="1"/>
  <c r="EP85" i="2" s="1"/>
  <c r="EP86" i="2" a="1"/>
  <c r="EP86" i="2"/>
  <c r="EP87" i="2" a="1"/>
  <c r="EP87" i="2"/>
  <c r="EP88" i="2" a="1"/>
  <c r="EP88" i="2" s="1"/>
  <c r="EP89" i="2" a="1"/>
  <c r="EP89" i="2" s="1"/>
  <c r="EP90" i="2" a="1"/>
  <c r="EP90" i="2" s="1"/>
  <c r="EP91" i="2" a="1"/>
  <c r="EP91" i="2"/>
  <c r="EP92" i="2" a="1"/>
  <c r="EP92" i="2" s="1"/>
  <c r="EP93" i="2" a="1"/>
  <c r="EP93" i="2" s="1"/>
  <c r="EP94" i="2" a="1"/>
  <c r="EP94" i="2" s="1"/>
  <c r="EP95" i="2" a="1"/>
  <c r="EP95" i="2" s="1"/>
  <c r="EP96" i="2" a="1"/>
  <c r="EP96" i="2" s="1"/>
  <c r="EP97" i="2" a="1"/>
  <c r="EP97" i="2" s="1"/>
  <c r="EP98" i="2" a="1"/>
  <c r="EP98" i="2"/>
  <c r="EP99" i="2" a="1"/>
  <c r="EP99" i="2"/>
  <c r="EP100" i="2" a="1"/>
  <c r="EP100" i="2" s="1"/>
  <c r="EP101" i="2" a="1"/>
  <c r="EP101" i="2" s="1"/>
  <c r="EP102" i="2" a="1"/>
  <c r="EP102" i="2" s="1"/>
  <c r="EP103" i="2" a="1"/>
  <c r="EP103" i="2"/>
  <c r="DZ4" i="2"/>
  <c r="DZ5" i="2"/>
  <c r="DZ23" i="2"/>
  <c r="DX24" i="2"/>
  <c r="DY27" i="2"/>
  <c r="DY31" i="2"/>
  <c r="EI33" i="2"/>
  <c r="EI49" i="2"/>
  <c r="DY52" i="2"/>
  <c r="ED52" i="2"/>
  <c r="DY60" i="2"/>
  <c r="DX63" i="2"/>
  <c r="EI73" i="2"/>
  <c r="DY81" i="2"/>
  <c r="DZ81" i="2"/>
  <c r="EI89" i="2"/>
  <c r="BF7" i="2" a="1"/>
  <c r="BF7" i="2" s="1"/>
  <c r="BH8" i="2" a="1"/>
  <c r="BH8" i="2" s="1"/>
  <c r="BQ12" i="2" a="1"/>
  <c r="BQ12" i="2" s="1"/>
  <c r="BQ19" i="2" a="1"/>
  <c r="BQ19" i="2" s="1"/>
  <c r="BQ20" i="2" a="1"/>
  <c r="BQ20" i="2" s="1"/>
  <c r="BF21" i="2" a="1"/>
  <c r="BF21" i="2"/>
  <c r="BM23" i="2" a="1"/>
  <c r="BM23" i="2" s="1"/>
  <c r="BQ27" i="2" a="1"/>
  <c r="BQ27" i="2" s="1"/>
  <c r="BQ29" i="2" a="1"/>
  <c r="BQ29" i="2" s="1"/>
  <c r="BF35" i="2"/>
  <c r="BQ36" i="2" a="1"/>
  <c r="BQ36" i="2" s="1"/>
  <c r="BL37" i="2" a="1"/>
  <c r="BL37" i="2" s="1"/>
  <c r="BM37" i="2" a="1"/>
  <c r="BM37" i="2" s="1"/>
  <c r="BF43" i="2" a="1"/>
  <c r="BF43" i="2" s="1"/>
  <c r="BH43" i="2" a="1"/>
  <c r="BH43" i="2"/>
  <c r="BH45" i="2" a="1"/>
  <c r="BH45" i="2"/>
  <c r="BQ48" i="2" a="1"/>
  <c r="BQ48" i="2" s="1"/>
  <c r="BH49" i="2" a="1"/>
  <c r="BH49" i="2" s="1"/>
  <c r="BQ49" i="2" a="1"/>
  <c r="BQ49" i="2" s="1"/>
  <c r="BM50" i="2" a="1"/>
  <c r="BM50" i="2" s="1"/>
  <c r="BQ53" i="2" a="1"/>
  <c r="BQ53" i="2" s="1"/>
  <c r="BQ56" i="2" a="1"/>
  <c r="BQ56" i="2" s="1"/>
  <c r="BF57" i="2" a="1"/>
  <c r="BF57" i="2" s="1"/>
  <c r="BM57" i="2" a="1"/>
  <c r="BM57" i="2"/>
  <c r="BF61" i="2" a="1"/>
  <c r="BF61" i="2" s="1"/>
  <c r="BF63" i="2" a="1"/>
  <c r="BF63" i="2" s="1"/>
  <c r="BN63" i="2" a="1"/>
  <c r="BN63" i="2" s="1"/>
  <c r="BF67" i="2" a="1"/>
  <c r="BF67" i="2" s="1"/>
  <c r="BH68" i="2" a="1"/>
  <c r="BH68" i="2" s="1"/>
  <c r="BM69" i="2" a="1"/>
  <c r="BM69" i="2" s="1"/>
  <c r="BH74" i="2" a="1"/>
  <c r="BH74" i="2"/>
  <c r="BQ74" i="2" a="1"/>
  <c r="BQ74" i="2" s="1"/>
  <c r="BF75" i="2" a="1"/>
  <c r="BF75" i="2" s="1"/>
  <c r="BH78" i="2" a="1"/>
  <c r="BH78" i="2" s="1"/>
  <c r="BG81" i="2" a="1"/>
  <c r="BG81" i="2"/>
  <c r="BH81" i="2"/>
  <c r="BN81" i="2" a="1"/>
  <c r="BN81" i="2" s="1"/>
  <c r="BH85" i="2" a="1"/>
  <c r="BH85" i="2" s="1"/>
  <c r="BH90" i="2" a="1"/>
  <c r="BH90" i="2" s="1"/>
  <c r="BH91" i="2" a="1"/>
  <c r="BH91" i="2" s="1"/>
  <c r="BH94" i="2" a="1"/>
  <c r="BH94" i="2" s="1"/>
  <c r="BH95" i="2" a="1"/>
  <c r="BH95" i="2" s="1"/>
  <c r="BH100" i="2" a="1"/>
  <c r="BH100" i="2"/>
  <c r="BO100" i="2" a="1"/>
  <c r="BO100" i="2" s="1"/>
  <c r="BH103" i="2" a="1"/>
  <c r="BH103" i="2" s="1"/>
  <c r="BO103" i="2" a="1"/>
  <c r="BO103" i="2" s="1"/>
  <c r="DJ4" i="2"/>
  <c r="DK4" i="2"/>
  <c r="DL4" i="2"/>
  <c r="DM4" i="2"/>
  <c r="DN4" i="2"/>
  <c r="DO4" i="2"/>
  <c r="DP4" i="2"/>
  <c r="DQ4" i="2"/>
  <c r="DR4" i="2"/>
  <c r="DS4" i="2"/>
  <c r="DT4" i="2"/>
  <c r="DU4" i="2"/>
  <c r="DJ5" i="2"/>
  <c r="DK5" i="2"/>
  <c r="DL5" i="2"/>
  <c r="DM5" i="2"/>
  <c r="DN5" i="2"/>
  <c r="DO5" i="2"/>
  <c r="DP5" i="2"/>
  <c r="DQ5" i="2"/>
  <c r="DR5" i="2"/>
  <c r="DS5" i="2"/>
  <c r="DT5" i="2"/>
  <c r="DU5" i="2"/>
  <c r="DJ6" i="2"/>
  <c r="DK6" i="2"/>
  <c r="DL6" i="2"/>
  <c r="DM6" i="2"/>
  <c r="DN6" i="2"/>
  <c r="DO6" i="2"/>
  <c r="DP6" i="2"/>
  <c r="DQ6" i="2"/>
  <c r="DR6" i="2"/>
  <c r="DS6" i="2"/>
  <c r="DT6" i="2"/>
  <c r="DU6" i="2"/>
  <c r="DJ7" i="2"/>
  <c r="DK7" i="2"/>
  <c r="DL7" i="2"/>
  <c r="DM7" i="2"/>
  <c r="DN7" i="2"/>
  <c r="DO7" i="2"/>
  <c r="DP7" i="2"/>
  <c r="DQ7" i="2"/>
  <c r="DR7" i="2"/>
  <c r="DS7" i="2"/>
  <c r="DT7" i="2"/>
  <c r="DU7" i="2"/>
  <c r="DJ8" i="2"/>
  <c r="DK8" i="2"/>
  <c r="DL8" i="2"/>
  <c r="DM8" i="2"/>
  <c r="DN8" i="2"/>
  <c r="DO8" i="2"/>
  <c r="DP8" i="2"/>
  <c r="DQ8" i="2"/>
  <c r="DR8" i="2"/>
  <c r="DS8" i="2"/>
  <c r="DT8" i="2"/>
  <c r="DU8" i="2"/>
  <c r="DJ9" i="2"/>
  <c r="DK9" i="2"/>
  <c r="DL9" i="2"/>
  <c r="DM9" i="2"/>
  <c r="DN9" i="2"/>
  <c r="DO9" i="2"/>
  <c r="DP9" i="2"/>
  <c r="DQ9" i="2"/>
  <c r="DR9" i="2"/>
  <c r="DS9" i="2"/>
  <c r="DT9" i="2"/>
  <c r="DU9" i="2"/>
  <c r="DJ10" i="2"/>
  <c r="DK10" i="2"/>
  <c r="DL10" i="2"/>
  <c r="DM10" i="2"/>
  <c r="DN10" i="2"/>
  <c r="DO10" i="2"/>
  <c r="DP10" i="2"/>
  <c r="DQ10" i="2"/>
  <c r="DR10" i="2"/>
  <c r="DS10" i="2"/>
  <c r="DT10" i="2"/>
  <c r="DU10" i="2"/>
  <c r="DJ11" i="2"/>
  <c r="DK11" i="2"/>
  <c r="DL11" i="2"/>
  <c r="DM11" i="2"/>
  <c r="DN11" i="2"/>
  <c r="DO11" i="2"/>
  <c r="DP11" i="2"/>
  <c r="DQ11" i="2"/>
  <c r="DR11" i="2"/>
  <c r="DS11" i="2"/>
  <c r="DT11" i="2"/>
  <c r="DU11" i="2"/>
  <c r="DJ12" i="2"/>
  <c r="DK12" i="2"/>
  <c r="DL12" i="2"/>
  <c r="DM12" i="2"/>
  <c r="DN12" i="2"/>
  <c r="DO12" i="2"/>
  <c r="DP12" i="2"/>
  <c r="DQ12" i="2"/>
  <c r="DR12" i="2"/>
  <c r="DS12" i="2"/>
  <c r="DT12" i="2"/>
  <c r="DU12" i="2"/>
  <c r="DJ13" i="2"/>
  <c r="DK13" i="2"/>
  <c r="DL13" i="2"/>
  <c r="DM13" i="2"/>
  <c r="DN13" i="2"/>
  <c r="DO13" i="2"/>
  <c r="DP13" i="2"/>
  <c r="DQ13" i="2"/>
  <c r="DR13" i="2"/>
  <c r="DS13" i="2"/>
  <c r="DT13" i="2"/>
  <c r="DU13" i="2"/>
  <c r="DJ14" i="2"/>
  <c r="DK14" i="2"/>
  <c r="DL14" i="2"/>
  <c r="DM14" i="2"/>
  <c r="DN14" i="2"/>
  <c r="DO14" i="2"/>
  <c r="DP14" i="2"/>
  <c r="DQ14" i="2"/>
  <c r="DR14" i="2"/>
  <c r="DS14" i="2"/>
  <c r="DT14" i="2"/>
  <c r="DU14" i="2"/>
  <c r="DJ15" i="2"/>
  <c r="DK15" i="2"/>
  <c r="DL15" i="2"/>
  <c r="DM15" i="2"/>
  <c r="DN15" i="2"/>
  <c r="DO15" i="2"/>
  <c r="DP15" i="2"/>
  <c r="DQ15" i="2"/>
  <c r="DR15" i="2"/>
  <c r="DS15" i="2"/>
  <c r="DT15" i="2"/>
  <c r="DU15" i="2"/>
  <c r="DJ16" i="2"/>
  <c r="DK16" i="2"/>
  <c r="DL16" i="2"/>
  <c r="DM16" i="2"/>
  <c r="DN16" i="2"/>
  <c r="DO16" i="2"/>
  <c r="DP16" i="2"/>
  <c r="DQ16" i="2"/>
  <c r="DR16" i="2"/>
  <c r="DS16" i="2"/>
  <c r="DT16" i="2"/>
  <c r="DU16" i="2"/>
  <c r="DJ17" i="2"/>
  <c r="DK17" i="2"/>
  <c r="DL17" i="2"/>
  <c r="DM17" i="2"/>
  <c r="DN17" i="2"/>
  <c r="DO17" i="2"/>
  <c r="DP17" i="2"/>
  <c r="DQ17" i="2"/>
  <c r="DR17" i="2"/>
  <c r="DS17" i="2"/>
  <c r="DT17" i="2"/>
  <c r="DU17" i="2"/>
  <c r="DJ18" i="2"/>
  <c r="DK18" i="2"/>
  <c r="DL18" i="2"/>
  <c r="DM18" i="2"/>
  <c r="DN18" i="2"/>
  <c r="DO18" i="2"/>
  <c r="DP18" i="2"/>
  <c r="DQ18" i="2"/>
  <c r="DR18" i="2"/>
  <c r="DS18" i="2"/>
  <c r="DT18" i="2"/>
  <c r="DU18" i="2"/>
  <c r="DJ19" i="2"/>
  <c r="DK19" i="2"/>
  <c r="DL19" i="2"/>
  <c r="DM19" i="2"/>
  <c r="DN19" i="2"/>
  <c r="DO19" i="2"/>
  <c r="DP19" i="2"/>
  <c r="DQ19" i="2"/>
  <c r="DR19" i="2"/>
  <c r="DS19" i="2"/>
  <c r="DT19" i="2"/>
  <c r="DU19" i="2"/>
  <c r="DJ20" i="2"/>
  <c r="DK20" i="2"/>
  <c r="DL20" i="2"/>
  <c r="DM20" i="2"/>
  <c r="DN20" i="2"/>
  <c r="DO20" i="2"/>
  <c r="DP20" i="2"/>
  <c r="DQ20" i="2"/>
  <c r="DR20" i="2"/>
  <c r="DS20" i="2"/>
  <c r="DT20" i="2"/>
  <c r="DU20" i="2"/>
  <c r="DJ21" i="2"/>
  <c r="DK21" i="2"/>
  <c r="DL21" i="2"/>
  <c r="DM21" i="2"/>
  <c r="DN21" i="2"/>
  <c r="DO21" i="2"/>
  <c r="DP21" i="2"/>
  <c r="DQ21" i="2"/>
  <c r="DR21" i="2"/>
  <c r="DS21" i="2"/>
  <c r="DT21" i="2"/>
  <c r="DU21" i="2"/>
  <c r="DJ22" i="2"/>
  <c r="DK22" i="2"/>
  <c r="DL22" i="2"/>
  <c r="DM22" i="2"/>
  <c r="DN22" i="2"/>
  <c r="DO22" i="2"/>
  <c r="DP22" i="2"/>
  <c r="DQ22" i="2"/>
  <c r="DR22" i="2"/>
  <c r="DS22" i="2"/>
  <c r="DT22" i="2"/>
  <c r="DU22" i="2"/>
  <c r="DJ23" i="2"/>
  <c r="DK23" i="2"/>
  <c r="DL23" i="2"/>
  <c r="DM23" i="2"/>
  <c r="DN23" i="2"/>
  <c r="DO23" i="2"/>
  <c r="DP23" i="2"/>
  <c r="DQ23" i="2"/>
  <c r="DR23" i="2"/>
  <c r="DS23" i="2"/>
  <c r="DT23" i="2"/>
  <c r="DU23" i="2"/>
  <c r="DJ24" i="2"/>
  <c r="DK24" i="2"/>
  <c r="DL24" i="2"/>
  <c r="DM24" i="2"/>
  <c r="DN24" i="2"/>
  <c r="DO24" i="2"/>
  <c r="DP24" i="2"/>
  <c r="DQ24" i="2"/>
  <c r="DR24" i="2"/>
  <c r="DS24" i="2"/>
  <c r="DT24" i="2"/>
  <c r="DU24" i="2"/>
  <c r="DJ25" i="2"/>
  <c r="DK25" i="2"/>
  <c r="DL25" i="2"/>
  <c r="DM25" i="2"/>
  <c r="DN25" i="2"/>
  <c r="DO25" i="2"/>
  <c r="DP25" i="2"/>
  <c r="DQ25" i="2"/>
  <c r="DR25" i="2"/>
  <c r="DS25" i="2"/>
  <c r="DT25" i="2"/>
  <c r="DU25" i="2"/>
  <c r="DJ26" i="2"/>
  <c r="DK26" i="2"/>
  <c r="DL26" i="2"/>
  <c r="DM26" i="2"/>
  <c r="DN26" i="2"/>
  <c r="DO26" i="2"/>
  <c r="DP26" i="2"/>
  <c r="DQ26" i="2"/>
  <c r="DR26" i="2"/>
  <c r="DS26" i="2"/>
  <c r="DT26" i="2"/>
  <c r="DU26" i="2"/>
  <c r="DJ27" i="2"/>
  <c r="DK27" i="2"/>
  <c r="DL27" i="2"/>
  <c r="DM27" i="2"/>
  <c r="DN27" i="2"/>
  <c r="DO27" i="2"/>
  <c r="DP27" i="2"/>
  <c r="DQ27" i="2"/>
  <c r="DR27" i="2"/>
  <c r="DS27" i="2"/>
  <c r="DT27" i="2"/>
  <c r="DU27" i="2"/>
  <c r="DJ28" i="2"/>
  <c r="DK28" i="2"/>
  <c r="DL28" i="2"/>
  <c r="DM28" i="2"/>
  <c r="DN28" i="2"/>
  <c r="DO28" i="2"/>
  <c r="DP28" i="2"/>
  <c r="DQ28" i="2"/>
  <c r="DR28" i="2"/>
  <c r="DS28" i="2"/>
  <c r="DT28" i="2"/>
  <c r="DU28" i="2"/>
  <c r="DJ29" i="2"/>
  <c r="DK29" i="2"/>
  <c r="DL29" i="2"/>
  <c r="DM29" i="2"/>
  <c r="DN29" i="2"/>
  <c r="DO29" i="2"/>
  <c r="DP29" i="2"/>
  <c r="DQ29" i="2"/>
  <c r="DR29" i="2"/>
  <c r="DS29" i="2"/>
  <c r="DT29" i="2"/>
  <c r="DU29" i="2"/>
  <c r="DJ30" i="2"/>
  <c r="DK30" i="2"/>
  <c r="DL30" i="2"/>
  <c r="DM30" i="2"/>
  <c r="DN30" i="2"/>
  <c r="DO30" i="2"/>
  <c r="DP30" i="2"/>
  <c r="DQ30" i="2"/>
  <c r="DR30" i="2"/>
  <c r="DS30" i="2"/>
  <c r="DT30" i="2"/>
  <c r="DU30" i="2"/>
  <c r="DJ31" i="2"/>
  <c r="DK31" i="2"/>
  <c r="DL31" i="2"/>
  <c r="DM31" i="2"/>
  <c r="DN31" i="2"/>
  <c r="DO31" i="2"/>
  <c r="DP31" i="2"/>
  <c r="DQ31" i="2"/>
  <c r="DR31" i="2"/>
  <c r="DS31" i="2"/>
  <c r="DT31" i="2"/>
  <c r="DU31" i="2"/>
  <c r="DJ32" i="2"/>
  <c r="DK32" i="2"/>
  <c r="DL32" i="2"/>
  <c r="DM32" i="2"/>
  <c r="DN32" i="2"/>
  <c r="DO32" i="2"/>
  <c r="DP32" i="2"/>
  <c r="DQ32" i="2"/>
  <c r="DR32" i="2"/>
  <c r="DS32" i="2"/>
  <c r="DT32" i="2"/>
  <c r="DU32" i="2"/>
  <c r="DJ33" i="2"/>
  <c r="DK33" i="2"/>
  <c r="DL33" i="2"/>
  <c r="DM33" i="2"/>
  <c r="DN33" i="2"/>
  <c r="DO33" i="2"/>
  <c r="DP33" i="2"/>
  <c r="DQ33" i="2"/>
  <c r="DR33" i="2"/>
  <c r="DS33" i="2"/>
  <c r="DT33" i="2"/>
  <c r="DU33" i="2"/>
  <c r="DJ34" i="2"/>
  <c r="DK34" i="2"/>
  <c r="DL34" i="2"/>
  <c r="DM34" i="2"/>
  <c r="DN34" i="2"/>
  <c r="DO34" i="2"/>
  <c r="DP34" i="2"/>
  <c r="DQ34" i="2"/>
  <c r="DR34" i="2"/>
  <c r="DS34" i="2"/>
  <c r="DT34" i="2"/>
  <c r="DU34" i="2"/>
  <c r="DJ35" i="2"/>
  <c r="DK35" i="2"/>
  <c r="DL35" i="2"/>
  <c r="DM35" i="2"/>
  <c r="DN35" i="2"/>
  <c r="DO35" i="2"/>
  <c r="DP35" i="2"/>
  <c r="DQ35" i="2"/>
  <c r="DR35" i="2"/>
  <c r="DS35" i="2"/>
  <c r="DT35" i="2"/>
  <c r="DU35" i="2"/>
  <c r="DJ36" i="2"/>
  <c r="DK36" i="2"/>
  <c r="DL36" i="2"/>
  <c r="DM36" i="2"/>
  <c r="DN36" i="2"/>
  <c r="DO36" i="2"/>
  <c r="DP36" i="2"/>
  <c r="DQ36" i="2"/>
  <c r="DR36" i="2"/>
  <c r="DS36" i="2"/>
  <c r="DT36" i="2"/>
  <c r="DU36" i="2"/>
  <c r="DJ37" i="2"/>
  <c r="DK37" i="2"/>
  <c r="DL37" i="2"/>
  <c r="DM37" i="2"/>
  <c r="DN37" i="2"/>
  <c r="DO37" i="2"/>
  <c r="DP37" i="2"/>
  <c r="DQ37" i="2"/>
  <c r="DR37" i="2"/>
  <c r="DS37" i="2"/>
  <c r="DT37" i="2"/>
  <c r="DU37" i="2"/>
  <c r="DJ38" i="2"/>
  <c r="DK38" i="2"/>
  <c r="DL38" i="2"/>
  <c r="DM38" i="2"/>
  <c r="DN38" i="2"/>
  <c r="DO38" i="2"/>
  <c r="DP38" i="2"/>
  <c r="DQ38" i="2"/>
  <c r="DR38" i="2"/>
  <c r="DS38" i="2"/>
  <c r="DT38" i="2"/>
  <c r="DU38" i="2"/>
  <c r="DJ39" i="2"/>
  <c r="DK39" i="2"/>
  <c r="DL39" i="2"/>
  <c r="DM39" i="2"/>
  <c r="DN39" i="2"/>
  <c r="DO39" i="2"/>
  <c r="DP39" i="2"/>
  <c r="DQ39" i="2"/>
  <c r="DR39" i="2"/>
  <c r="DS39" i="2"/>
  <c r="DT39" i="2"/>
  <c r="DU39" i="2"/>
  <c r="DJ40" i="2"/>
  <c r="DK40" i="2"/>
  <c r="DL40" i="2"/>
  <c r="DM40" i="2"/>
  <c r="DN40" i="2"/>
  <c r="DO40" i="2"/>
  <c r="DP40" i="2"/>
  <c r="DQ40" i="2"/>
  <c r="DR40" i="2"/>
  <c r="DS40" i="2"/>
  <c r="DT40" i="2"/>
  <c r="DU40" i="2"/>
  <c r="DJ41" i="2"/>
  <c r="DK41" i="2"/>
  <c r="DL41" i="2"/>
  <c r="DM41" i="2"/>
  <c r="DN41" i="2"/>
  <c r="DO41" i="2"/>
  <c r="DP41" i="2"/>
  <c r="DQ41" i="2"/>
  <c r="DR41" i="2"/>
  <c r="DS41" i="2"/>
  <c r="DT41" i="2"/>
  <c r="DU41" i="2"/>
  <c r="DJ42" i="2"/>
  <c r="DK42" i="2"/>
  <c r="DL42" i="2"/>
  <c r="DM42" i="2"/>
  <c r="DN42" i="2"/>
  <c r="DO42" i="2"/>
  <c r="DP42" i="2"/>
  <c r="DQ42" i="2"/>
  <c r="DR42" i="2"/>
  <c r="DS42" i="2"/>
  <c r="DT42" i="2"/>
  <c r="DU42" i="2"/>
  <c r="DJ43" i="2"/>
  <c r="DK43" i="2"/>
  <c r="DL43" i="2"/>
  <c r="DM43" i="2"/>
  <c r="DN43" i="2"/>
  <c r="DO43" i="2"/>
  <c r="DP43" i="2"/>
  <c r="DQ43" i="2"/>
  <c r="DR43" i="2"/>
  <c r="DS43" i="2"/>
  <c r="DT43" i="2"/>
  <c r="DU43" i="2"/>
  <c r="DJ44" i="2"/>
  <c r="DK44" i="2"/>
  <c r="DL44" i="2"/>
  <c r="DM44" i="2"/>
  <c r="DN44" i="2"/>
  <c r="DO44" i="2"/>
  <c r="DP44" i="2"/>
  <c r="DQ44" i="2"/>
  <c r="DR44" i="2"/>
  <c r="DS44" i="2"/>
  <c r="DT44" i="2"/>
  <c r="DU44" i="2"/>
  <c r="DJ45" i="2"/>
  <c r="DK45" i="2"/>
  <c r="DL45" i="2"/>
  <c r="DM45" i="2"/>
  <c r="DN45" i="2"/>
  <c r="DO45" i="2"/>
  <c r="DP45" i="2"/>
  <c r="DQ45" i="2"/>
  <c r="DR45" i="2"/>
  <c r="DS45" i="2"/>
  <c r="DT45" i="2"/>
  <c r="DU45" i="2"/>
  <c r="DJ46" i="2"/>
  <c r="DK46" i="2"/>
  <c r="DL46" i="2"/>
  <c r="DM46" i="2"/>
  <c r="DN46" i="2"/>
  <c r="DO46" i="2"/>
  <c r="DP46" i="2"/>
  <c r="DQ46" i="2"/>
  <c r="DR46" i="2"/>
  <c r="DS46" i="2"/>
  <c r="DT46" i="2"/>
  <c r="DU46" i="2"/>
  <c r="DJ47" i="2"/>
  <c r="DK47" i="2"/>
  <c r="DL47" i="2"/>
  <c r="DM47" i="2"/>
  <c r="DN47" i="2"/>
  <c r="DO47" i="2"/>
  <c r="DP47" i="2"/>
  <c r="DQ47" i="2"/>
  <c r="DR47" i="2"/>
  <c r="DS47" i="2"/>
  <c r="DT47" i="2"/>
  <c r="DU47" i="2"/>
  <c r="DJ48" i="2"/>
  <c r="DK48" i="2"/>
  <c r="DL48" i="2"/>
  <c r="DM48" i="2"/>
  <c r="DN48" i="2"/>
  <c r="DO48" i="2"/>
  <c r="DP48" i="2"/>
  <c r="DQ48" i="2"/>
  <c r="DR48" i="2"/>
  <c r="DS48" i="2"/>
  <c r="DT48" i="2"/>
  <c r="DU48" i="2"/>
  <c r="DJ49" i="2"/>
  <c r="DK49" i="2"/>
  <c r="DL49" i="2"/>
  <c r="DM49" i="2"/>
  <c r="DN49" i="2"/>
  <c r="DO49" i="2"/>
  <c r="DP49" i="2"/>
  <c r="DQ49" i="2"/>
  <c r="DR49" i="2"/>
  <c r="DS49" i="2"/>
  <c r="DT49" i="2"/>
  <c r="DU49" i="2"/>
  <c r="DJ50" i="2"/>
  <c r="DK50" i="2"/>
  <c r="DL50" i="2"/>
  <c r="DM50" i="2"/>
  <c r="DN50" i="2"/>
  <c r="DO50" i="2"/>
  <c r="DP50" i="2"/>
  <c r="DQ50" i="2"/>
  <c r="DR50" i="2"/>
  <c r="DS50" i="2"/>
  <c r="DT50" i="2"/>
  <c r="DU50" i="2"/>
  <c r="DJ51" i="2"/>
  <c r="DK51" i="2"/>
  <c r="DL51" i="2"/>
  <c r="DM51" i="2"/>
  <c r="DN51" i="2"/>
  <c r="DO51" i="2"/>
  <c r="DP51" i="2"/>
  <c r="DQ51" i="2"/>
  <c r="DR51" i="2"/>
  <c r="DS51" i="2"/>
  <c r="DT51" i="2"/>
  <c r="DU51" i="2"/>
  <c r="DJ52" i="2"/>
  <c r="DK52" i="2"/>
  <c r="DL52" i="2"/>
  <c r="DM52" i="2"/>
  <c r="DN52" i="2"/>
  <c r="DO52" i="2"/>
  <c r="DP52" i="2"/>
  <c r="DQ52" i="2"/>
  <c r="DR52" i="2"/>
  <c r="DS52" i="2"/>
  <c r="DT52" i="2"/>
  <c r="DU52" i="2"/>
  <c r="DJ53" i="2"/>
  <c r="DK53" i="2"/>
  <c r="DL53" i="2"/>
  <c r="DM53" i="2"/>
  <c r="DN53" i="2"/>
  <c r="DO53" i="2"/>
  <c r="DP53" i="2"/>
  <c r="DQ53" i="2"/>
  <c r="DR53" i="2"/>
  <c r="DS53" i="2"/>
  <c r="DT53" i="2"/>
  <c r="DU53" i="2"/>
  <c r="DJ54" i="2"/>
  <c r="DK54" i="2"/>
  <c r="DL54" i="2"/>
  <c r="DM54" i="2"/>
  <c r="DN54" i="2"/>
  <c r="DO54" i="2"/>
  <c r="DP54" i="2"/>
  <c r="DQ54" i="2"/>
  <c r="DR54" i="2"/>
  <c r="DS54" i="2"/>
  <c r="DT54" i="2"/>
  <c r="DU54" i="2"/>
  <c r="DJ55" i="2"/>
  <c r="DK55" i="2"/>
  <c r="DL55" i="2"/>
  <c r="DM55" i="2"/>
  <c r="DN55" i="2"/>
  <c r="DO55" i="2"/>
  <c r="DP55" i="2"/>
  <c r="DQ55" i="2"/>
  <c r="DR55" i="2"/>
  <c r="DS55" i="2"/>
  <c r="DT55" i="2"/>
  <c r="DU55" i="2"/>
  <c r="DJ56" i="2"/>
  <c r="DK56" i="2"/>
  <c r="DL56" i="2"/>
  <c r="DM56" i="2"/>
  <c r="DN56" i="2"/>
  <c r="DO56" i="2"/>
  <c r="DP56" i="2"/>
  <c r="DQ56" i="2"/>
  <c r="DR56" i="2"/>
  <c r="DS56" i="2"/>
  <c r="DT56" i="2"/>
  <c r="DU56" i="2"/>
  <c r="DJ57" i="2"/>
  <c r="DK57" i="2"/>
  <c r="DL57" i="2"/>
  <c r="DM57" i="2"/>
  <c r="DN57" i="2"/>
  <c r="DO57" i="2"/>
  <c r="DP57" i="2"/>
  <c r="DQ57" i="2"/>
  <c r="DR57" i="2"/>
  <c r="DS57" i="2"/>
  <c r="DT57" i="2"/>
  <c r="DU57" i="2"/>
  <c r="DJ58" i="2"/>
  <c r="DK58" i="2"/>
  <c r="DL58" i="2"/>
  <c r="DM58" i="2"/>
  <c r="DN58" i="2"/>
  <c r="DO58" i="2"/>
  <c r="DP58" i="2"/>
  <c r="DQ58" i="2"/>
  <c r="DR58" i="2"/>
  <c r="DS58" i="2"/>
  <c r="DT58" i="2"/>
  <c r="DU58" i="2"/>
  <c r="DJ59" i="2"/>
  <c r="DK59" i="2"/>
  <c r="DL59" i="2"/>
  <c r="DM59" i="2"/>
  <c r="DN59" i="2"/>
  <c r="DO59" i="2"/>
  <c r="DP59" i="2"/>
  <c r="DQ59" i="2"/>
  <c r="DR59" i="2"/>
  <c r="DS59" i="2"/>
  <c r="DT59" i="2"/>
  <c r="DU59" i="2"/>
  <c r="DJ60" i="2"/>
  <c r="DK60" i="2"/>
  <c r="DL60" i="2"/>
  <c r="DM60" i="2"/>
  <c r="DN60" i="2"/>
  <c r="DO60" i="2"/>
  <c r="DP60" i="2"/>
  <c r="DQ60" i="2"/>
  <c r="DR60" i="2"/>
  <c r="DS60" i="2"/>
  <c r="DT60" i="2"/>
  <c r="DU60" i="2"/>
  <c r="DJ61" i="2"/>
  <c r="DK61" i="2"/>
  <c r="DL61" i="2"/>
  <c r="DM61" i="2"/>
  <c r="DN61" i="2"/>
  <c r="DO61" i="2"/>
  <c r="DP61" i="2"/>
  <c r="DQ61" i="2"/>
  <c r="DR61" i="2"/>
  <c r="DS61" i="2"/>
  <c r="DT61" i="2"/>
  <c r="DU61" i="2"/>
  <c r="DJ62" i="2"/>
  <c r="DK62" i="2"/>
  <c r="DL62" i="2"/>
  <c r="DM62" i="2"/>
  <c r="DN62" i="2"/>
  <c r="DO62" i="2"/>
  <c r="DP62" i="2"/>
  <c r="DQ62" i="2"/>
  <c r="DR62" i="2"/>
  <c r="DS62" i="2"/>
  <c r="DT62" i="2"/>
  <c r="DU62" i="2"/>
  <c r="DJ63" i="2"/>
  <c r="DK63" i="2"/>
  <c r="DL63" i="2"/>
  <c r="DM63" i="2"/>
  <c r="DN63" i="2"/>
  <c r="DO63" i="2"/>
  <c r="DP63" i="2"/>
  <c r="DQ63" i="2"/>
  <c r="DR63" i="2"/>
  <c r="DS63" i="2"/>
  <c r="DT63" i="2"/>
  <c r="DU63" i="2"/>
  <c r="DJ64" i="2"/>
  <c r="DK64" i="2"/>
  <c r="DL64" i="2"/>
  <c r="DM64" i="2"/>
  <c r="DN64" i="2"/>
  <c r="DO64" i="2"/>
  <c r="DP64" i="2"/>
  <c r="DQ64" i="2"/>
  <c r="DR64" i="2"/>
  <c r="DS64" i="2"/>
  <c r="DT64" i="2"/>
  <c r="DU64" i="2"/>
  <c r="DJ65" i="2"/>
  <c r="DK65" i="2"/>
  <c r="DL65" i="2"/>
  <c r="DM65" i="2"/>
  <c r="DN65" i="2"/>
  <c r="DO65" i="2"/>
  <c r="DP65" i="2"/>
  <c r="DQ65" i="2"/>
  <c r="DR65" i="2"/>
  <c r="DS65" i="2"/>
  <c r="DT65" i="2"/>
  <c r="DU65" i="2"/>
  <c r="DJ66" i="2"/>
  <c r="DK66" i="2"/>
  <c r="DL66" i="2"/>
  <c r="DM66" i="2"/>
  <c r="DN66" i="2"/>
  <c r="DO66" i="2"/>
  <c r="DP66" i="2"/>
  <c r="DQ66" i="2"/>
  <c r="DR66" i="2"/>
  <c r="DS66" i="2"/>
  <c r="DT66" i="2"/>
  <c r="DU66" i="2"/>
  <c r="DJ67" i="2"/>
  <c r="DK67" i="2"/>
  <c r="DL67" i="2"/>
  <c r="DM67" i="2"/>
  <c r="DN67" i="2"/>
  <c r="DO67" i="2"/>
  <c r="DP67" i="2"/>
  <c r="DQ67" i="2"/>
  <c r="DR67" i="2"/>
  <c r="DS67" i="2"/>
  <c r="DT67" i="2"/>
  <c r="DU67" i="2"/>
  <c r="DJ68" i="2"/>
  <c r="DK68" i="2"/>
  <c r="DL68" i="2"/>
  <c r="DM68" i="2"/>
  <c r="DN68" i="2"/>
  <c r="DO68" i="2"/>
  <c r="DP68" i="2"/>
  <c r="DQ68" i="2"/>
  <c r="DR68" i="2"/>
  <c r="DS68" i="2"/>
  <c r="DT68" i="2"/>
  <c r="DU68" i="2"/>
  <c r="DJ69" i="2"/>
  <c r="DK69" i="2"/>
  <c r="DL69" i="2"/>
  <c r="DM69" i="2"/>
  <c r="DN69" i="2"/>
  <c r="DO69" i="2"/>
  <c r="DP69" i="2"/>
  <c r="DQ69" i="2"/>
  <c r="DR69" i="2"/>
  <c r="DS69" i="2"/>
  <c r="DT69" i="2"/>
  <c r="DU69" i="2"/>
  <c r="DJ70" i="2"/>
  <c r="DK70" i="2"/>
  <c r="DL70" i="2"/>
  <c r="DM70" i="2"/>
  <c r="DN70" i="2"/>
  <c r="DO70" i="2"/>
  <c r="DP70" i="2"/>
  <c r="DQ70" i="2"/>
  <c r="DR70" i="2"/>
  <c r="DS70" i="2"/>
  <c r="DT70" i="2"/>
  <c r="DU70" i="2"/>
  <c r="DJ71" i="2"/>
  <c r="DK71" i="2"/>
  <c r="DL71" i="2"/>
  <c r="DM71" i="2"/>
  <c r="DN71" i="2"/>
  <c r="DO71" i="2"/>
  <c r="DP71" i="2"/>
  <c r="DQ71" i="2"/>
  <c r="DR71" i="2"/>
  <c r="DS71" i="2"/>
  <c r="DT71" i="2"/>
  <c r="DU71" i="2"/>
  <c r="DJ72" i="2"/>
  <c r="DK72" i="2"/>
  <c r="DL72" i="2"/>
  <c r="DM72" i="2"/>
  <c r="DN72" i="2"/>
  <c r="DO72" i="2"/>
  <c r="DP72" i="2"/>
  <c r="DQ72" i="2"/>
  <c r="DR72" i="2"/>
  <c r="DS72" i="2"/>
  <c r="DT72" i="2"/>
  <c r="DU72" i="2"/>
  <c r="DJ73" i="2"/>
  <c r="DK73" i="2"/>
  <c r="DL73" i="2"/>
  <c r="DM73" i="2"/>
  <c r="DN73" i="2"/>
  <c r="DO73" i="2"/>
  <c r="DP73" i="2"/>
  <c r="DQ73" i="2"/>
  <c r="DR73" i="2"/>
  <c r="DS73" i="2"/>
  <c r="DT73" i="2"/>
  <c r="DU73" i="2"/>
  <c r="DJ74" i="2"/>
  <c r="DK74" i="2"/>
  <c r="DL74" i="2"/>
  <c r="DM74" i="2"/>
  <c r="DN74" i="2"/>
  <c r="DO74" i="2"/>
  <c r="DP74" i="2"/>
  <c r="DQ74" i="2"/>
  <c r="DR74" i="2"/>
  <c r="DS74" i="2"/>
  <c r="DT74" i="2"/>
  <c r="DU74" i="2"/>
  <c r="DJ75" i="2"/>
  <c r="DK75" i="2"/>
  <c r="DL75" i="2"/>
  <c r="DM75" i="2"/>
  <c r="DN75" i="2"/>
  <c r="DO75" i="2"/>
  <c r="DP75" i="2"/>
  <c r="DQ75" i="2"/>
  <c r="DR75" i="2"/>
  <c r="DS75" i="2"/>
  <c r="DT75" i="2"/>
  <c r="DU75" i="2"/>
  <c r="DJ76" i="2"/>
  <c r="DK76" i="2"/>
  <c r="DL76" i="2"/>
  <c r="DM76" i="2"/>
  <c r="DN76" i="2"/>
  <c r="DO76" i="2"/>
  <c r="DP76" i="2"/>
  <c r="DQ76" i="2"/>
  <c r="DR76" i="2"/>
  <c r="DS76" i="2"/>
  <c r="DT76" i="2"/>
  <c r="DU76" i="2"/>
  <c r="DJ77" i="2"/>
  <c r="DK77" i="2"/>
  <c r="DL77" i="2"/>
  <c r="DM77" i="2"/>
  <c r="DN77" i="2"/>
  <c r="DO77" i="2"/>
  <c r="DP77" i="2"/>
  <c r="DQ77" i="2"/>
  <c r="DR77" i="2"/>
  <c r="DS77" i="2"/>
  <c r="DT77" i="2"/>
  <c r="DU77" i="2"/>
  <c r="DJ78" i="2"/>
  <c r="DK78" i="2"/>
  <c r="DL78" i="2"/>
  <c r="DM78" i="2"/>
  <c r="DN78" i="2"/>
  <c r="DO78" i="2"/>
  <c r="DP78" i="2"/>
  <c r="DQ78" i="2"/>
  <c r="DR78" i="2"/>
  <c r="DS78" i="2"/>
  <c r="DT78" i="2"/>
  <c r="DU78" i="2"/>
  <c r="DJ79" i="2"/>
  <c r="DK79" i="2"/>
  <c r="DL79" i="2"/>
  <c r="DM79" i="2"/>
  <c r="DN79" i="2"/>
  <c r="DO79" i="2"/>
  <c r="DP79" i="2"/>
  <c r="DQ79" i="2"/>
  <c r="DR79" i="2"/>
  <c r="DS79" i="2"/>
  <c r="DT79" i="2"/>
  <c r="DU79" i="2"/>
  <c r="DJ80" i="2"/>
  <c r="DK80" i="2"/>
  <c r="DL80" i="2"/>
  <c r="DM80" i="2"/>
  <c r="DN80" i="2"/>
  <c r="DO80" i="2"/>
  <c r="DP80" i="2"/>
  <c r="DQ80" i="2"/>
  <c r="DR80" i="2"/>
  <c r="DS80" i="2"/>
  <c r="DT80" i="2"/>
  <c r="DU80" i="2"/>
  <c r="DJ81" i="2"/>
  <c r="DK81" i="2"/>
  <c r="DL81" i="2"/>
  <c r="DM81" i="2"/>
  <c r="DN81" i="2"/>
  <c r="DO81" i="2"/>
  <c r="DP81" i="2"/>
  <c r="DQ81" i="2"/>
  <c r="DR81" i="2"/>
  <c r="DS81" i="2"/>
  <c r="DT81" i="2"/>
  <c r="DU81" i="2"/>
  <c r="DJ82" i="2"/>
  <c r="DK82" i="2"/>
  <c r="DL82" i="2"/>
  <c r="DM82" i="2"/>
  <c r="DN82" i="2"/>
  <c r="DO82" i="2"/>
  <c r="DP82" i="2"/>
  <c r="DQ82" i="2"/>
  <c r="DR82" i="2"/>
  <c r="DS82" i="2"/>
  <c r="DT82" i="2"/>
  <c r="DU82" i="2"/>
  <c r="DJ83" i="2"/>
  <c r="DK83" i="2"/>
  <c r="DL83" i="2"/>
  <c r="DM83" i="2"/>
  <c r="DN83" i="2"/>
  <c r="DO83" i="2"/>
  <c r="DP83" i="2"/>
  <c r="DQ83" i="2"/>
  <c r="DR83" i="2"/>
  <c r="DS83" i="2"/>
  <c r="DT83" i="2"/>
  <c r="DU83" i="2"/>
  <c r="DJ84" i="2"/>
  <c r="DK84" i="2"/>
  <c r="DL84" i="2"/>
  <c r="DM84" i="2"/>
  <c r="DN84" i="2"/>
  <c r="DO84" i="2"/>
  <c r="DP84" i="2"/>
  <c r="DQ84" i="2"/>
  <c r="DR84" i="2"/>
  <c r="DS84" i="2"/>
  <c r="DT84" i="2"/>
  <c r="DU84" i="2"/>
  <c r="DJ85" i="2"/>
  <c r="DK85" i="2"/>
  <c r="DL85" i="2"/>
  <c r="DM85" i="2"/>
  <c r="DN85" i="2"/>
  <c r="DO85" i="2"/>
  <c r="DP85" i="2"/>
  <c r="DQ85" i="2"/>
  <c r="DR85" i="2"/>
  <c r="DS85" i="2"/>
  <c r="DT85" i="2"/>
  <c r="DU85" i="2"/>
  <c r="DJ86" i="2"/>
  <c r="DK86" i="2"/>
  <c r="DL86" i="2"/>
  <c r="DM86" i="2"/>
  <c r="DN86" i="2"/>
  <c r="DO86" i="2"/>
  <c r="DP86" i="2"/>
  <c r="DQ86" i="2"/>
  <c r="DR86" i="2"/>
  <c r="DS86" i="2"/>
  <c r="DT86" i="2"/>
  <c r="DU86" i="2"/>
  <c r="DJ87" i="2"/>
  <c r="DK87" i="2"/>
  <c r="DL87" i="2"/>
  <c r="DM87" i="2"/>
  <c r="DN87" i="2"/>
  <c r="DO87" i="2"/>
  <c r="DP87" i="2"/>
  <c r="DQ87" i="2"/>
  <c r="DR87" i="2"/>
  <c r="DS87" i="2"/>
  <c r="DT87" i="2"/>
  <c r="DU87" i="2"/>
  <c r="DJ88" i="2"/>
  <c r="DK88" i="2"/>
  <c r="DL88" i="2"/>
  <c r="DM88" i="2"/>
  <c r="DN88" i="2"/>
  <c r="DO88" i="2"/>
  <c r="DP88" i="2"/>
  <c r="DQ88" i="2"/>
  <c r="DR88" i="2"/>
  <c r="DS88" i="2"/>
  <c r="DT88" i="2"/>
  <c r="DU88" i="2"/>
  <c r="DJ89" i="2"/>
  <c r="DK89" i="2"/>
  <c r="DL89" i="2"/>
  <c r="DM89" i="2"/>
  <c r="DN89" i="2"/>
  <c r="DO89" i="2"/>
  <c r="DP89" i="2"/>
  <c r="DQ89" i="2"/>
  <c r="DR89" i="2"/>
  <c r="DS89" i="2"/>
  <c r="DT89" i="2"/>
  <c r="DU89" i="2"/>
  <c r="DJ90" i="2"/>
  <c r="DK90" i="2"/>
  <c r="DL90" i="2"/>
  <c r="DM90" i="2"/>
  <c r="DN90" i="2"/>
  <c r="DO90" i="2"/>
  <c r="DP90" i="2"/>
  <c r="DQ90" i="2"/>
  <c r="DR90" i="2"/>
  <c r="DS90" i="2"/>
  <c r="DT90" i="2"/>
  <c r="DU90" i="2"/>
  <c r="DJ91" i="2"/>
  <c r="DK91" i="2"/>
  <c r="DL91" i="2"/>
  <c r="DM91" i="2"/>
  <c r="DN91" i="2"/>
  <c r="DO91" i="2"/>
  <c r="DP91" i="2"/>
  <c r="DQ91" i="2"/>
  <c r="DR91" i="2"/>
  <c r="DS91" i="2"/>
  <c r="DT91" i="2"/>
  <c r="DU91" i="2"/>
  <c r="DJ92" i="2"/>
  <c r="DK92" i="2"/>
  <c r="DL92" i="2"/>
  <c r="DM92" i="2"/>
  <c r="DN92" i="2"/>
  <c r="DO92" i="2"/>
  <c r="DP92" i="2"/>
  <c r="DQ92" i="2"/>
  <c r="DR92" i="2"/>
  <c r="DS92" i="2"/>
  <c r="DT92" i="2"/>
  <c r="DU92" i="2"/>
  <c r="DJ93" i="2"/>
  <c r="DK93" i="2"/>
  <c r="DL93" i="2"/>
  <c r="DM93" i="2"/>
  <c r="DN93" i="2"/>
  <c r="DO93" i="2"/>
  <c r="DP93" i="2"/>
  <c r="DQ93" i="2"/>
  <c r="DR93" i="2"/>
  <c r="DS93" i="2"/>
  <c r="DT93" i="2"/>
  <c r="DU93" i="2"/>
  <c r="DJ94" i="2"/>
  <c r="DK94" i="2"/>
  <c r="DL94" i="2"/>
  <c r="DM94" i="2"/>
  <c r="DN94" i="2"/>
  <c r="DO94" i="2"/>
  <c r="DP94" i="2"/>
  <c r="DQ94" i="2"/>
  <c r="DR94" i="2"/>
  <c r="DS94" i="2"/>
  <c r="DT94" i="2"/>
  <c r="DU94" i="2"/>
  <c r="DJ95" i="2"/>
  <c r="DK95" i="2"/>
  <c r="DL95" i="2"/>
  <c r="DM95" i="2"/>
  <c r="DN95" i="2"/>
  <c r="DO95" i="2"/>
  <c r="DP95" i="2"/>
  <c r="DQ95" i="2"/>
  <c r="DR95" i="2"/>
  <c r="DS95" i="2"/>
  <c r="DT95" i="2"/>
  <c r="DU95" i="2"/>
  <c r="DJ96" i="2"/>
  <c r="DK96" i="2"/>
  <c r="DL96" i="2"/>
  <c r="DM96" i="2"/>
  <c r="DN96" i="2"/>
  <c r="DO96" i="2"/>
  <c r="DP96" i="2"/>
  <c r="DQ96" i="2"/>
  <c r="DR96" i="2"/>
  <c r="DS96" i="2"/>
  <c r="DT96" i="2"/>
  <c r="DU96" i="2"/>
  <c r="DJ97" i="2"/>
  <c r="DK97" i="2"/>
  <c r="DL97" i="2"/>
  <c r="DM97" i="2"/>
  <c r="DN97" i="2"/>
  <c r="DO97" i="2"/>
  <c r="DP97" i="2"/>
  <c r="DQ97" i="2"/>
  <c r="DR97" i="2"/>
  <c r="DS97" i="2"/>
  <c r="DT97" i="2"/>
  <c r="DU97" i="2"/>
  <c r="DJ98" i="2"/>
  <c r="DK98" i="2"/>
  <c r="DL98" i="2"/>
  <c r="DM98" i="2"/>
  <c r="DN98" i="2"/>
  <c r="DO98" i="2"/>
  <c r="DP98" i="2"/>
  <c r="DQ98" i="2"/>
  <c r="DR98" i="2"/>
  <c r="DS98" i="2"/>
  <c r="DT98" i="2"/>
  <c r="DU98" i="2"/>
  <c r="DJ99" i="2"/>
  <c r="DK99" i="2"/>
  <c r="DL99" i="2"/>
  <c r="DM99" i="2"/>
  <c r="DN99" i="2"/>
  <c r="DO99" i="2"/>
  <c r="DP99" i="2"/>
  <c r="DQ99" i="2"/>
  <c r="DR99" i="2"/>
  <c r="DS99" i="2"/>
  <c r="DT99" i="2"/>
  <c r="DU99" i="2"/>
  <c r="DJ100" i="2"/>
  <c r="DK100" i="2"/>
  <c r="DL100" i="2"/>
  <c r="DM100" i="2"/>
  <c r="DN100" i="2"/>
  <c r="DO100" i="2"/>
  <c r="DP100" i="2"/>
  <c r="DQ100" i="2"/>
  <c r="DR100" i="2"/>
  <c r="DS100" i="2"/>
  <c r="DT100" i="2"/>
  <c r="DU100" i="2"/>
  <c r="DJ101" i="2"/>
  <c r="DK101" i="2"/>
  <c r="DL101" i="2"/>
  <c r="DM101" i="2"/>
  <c r="DN101" i="2"/>
  <c r="DO101" i="2"/>
  <c r="DP101" i="2"/>
  <c r="DQ101" i="2"/>
  <c r="DR101" i="2"/>
  <c r="DS101" i="2"/>
  <c r="DT101" i="2"/>
  <c r="DU101" i="2"/>
  <c r="DJ102" i="2"/>
  <c r="DK102" i="2"/>
  <c r="DL102" i="2"/>
  <c r="DM102" i="2"/>
  <c r="DN102" i="2"/>
  <c r="DO102" i="2"/>
  <c r="DP102" i="2"/>
  <c r="DQ102" i="2"/>
  <c r="DR102" i="2"/>
  <c r="DS102" i="2"/>
  <c r="DT102" i="2"/>
  <c r="DU102" i="2"/>
  <c r="DJ103" i="2"/>
  <c r="DK103" i="2"/>
  <c r="DL103" i="2"/>
  <c r="DM103" i="2"/>
  <c r="DN103" i="2"/>
  <c r="DO103" i="2"/>
  <c r="DP103" i="2"/>
  <c r="DQ103" i="2"/>
  <c r="DR103" i="2"/>
  <c r="DS103" i="2"/>
  <c r="DT103" i="2"/>
  <c r="DU103" i="2"/>
  <c r="CV4" i="2"/>
  <c r="CW4" i="2"/>
  <c r="CX4" i="2"/>
  <c r="CY4" i="2"/>
  <c r="CZ4" i="2"/>
  <c r="DA4" i="2"/>
  <c r="DB4" i="2"/>
  <c r="DC4" i="2"/>
  <c r="DD4" i="2"/>
  <c r="DE4" i="2"/>
  <c r="DF4" i="2"/>
  <c r="DG4" i="2"/>
  <c r="CV5" i="2"/>
  <c r="CW5" i="2"/>
  <c r="CX5" i="2"/>
  <c r="CY5" i="2"/>
  <c r="CZ5" i="2"/>
  <c r="DA5" i="2"/>
  <c r="DB5" i="2"/>
  <c r="DC5" i="2"/>
  <c r="DD5" i="2"/>
  <c r="DE5" i="2"/>
  <c r="DF5" i="2"/>
  <c r="DG5" i="2"/>
  <c r="CV6" i="2"/>
  <c r="CW6" i="2"/>
  <c r="CX6" i="2"/>
  <c r="CY6" i="2"/>
  <c r="CZ6" i="2"/>
  <c r="DA6" i="2"/>
  <c r="DB6" i="2"/>
  <c r="DC6" i="2"/>
  <c r="DD6" i="2"/>
  <c r="DE6" i="2"/>
  <c r="DF6" i="2"/>
  <c r="DG6" i="2"/>
  <c r="CV7" i="2"/>
  <c r="CW7" i="2"/>
  <c r="CX7" i="2"/>
  <c r="CY7" i="2"/>
  <c r="CZ7" i="2"/>
  <c r="DA7" i="2"/>
  <c r="DB7" i="2"/>
  <c r="DC7" i="2"/>
  <c r="DD7" i="2"/>
  <c r="DE7" i="2"/>
  <c r="DF7" i="2"/>
  <c r="DG7" i="2"/>
  <c r="CV8" i="2"/>
  <c r="CW8" i="2"/>
  <c r="CX8" i="2"/>
  <c r="CY8" i="2"/>
  <c r="CZ8" i="2"/>
  <c r="DA8" i="2"/>
  <c r="DB8" i="2"/>
  <c r="DC8" i="2"/>
  <c r="DD8" i="2"/>
  <c r="DE8" i="2"/>
  <c r="DF8" i="2"/>
  <c r="DG8" i="2"/>
  <c r="CV9" i="2"/>
  <c r="CW9" i="2"/>
  <c r="CX9" i="2"/>
  <c r="CY9" i="2"/>
  <c r="CZ9" i="2"/>
  <c r="DA9" i="2"/>
  <c r="DB9" i="2"/>
  <c r="DC9" i="2"/>
  <c r="DD9" i="2"/>
  <c r="DE9" i="2"/>
  <c r="DF9" i="2"/>
  <c r="DG9" i="2"/>
  <c r="CV10" i="2"/>
  <c r="CW10" i="2"/>
  <c r="CX10" i="2"/>
  <c r="CY10" i="2"/>
  <c r="CZ10" i="2"/>
  <c r="DA10" i="2"/>
  <c r="DB10" i="2"/>
  <c r="DC10" i="2"/>
  <c r="DD10" i="2"/>
  <c r="DE10" i="2"/>
  <c r="DF10" i="2"/>
  <c r="DG10" i="2"/>
  <c r="CV11" i="2"/>
  <c r="CW11" i="2"/>
  <c r="CX11" i="2"/>
  <c r="CY11" i="2"/>
  <c r="CZ11" i="2"/>
  <c r="DA11" i="2"/>
  <c r="DB11" i="2"/>
  <c r="DC11" i="2"/>
  <c r="DD11" i="2"/>
  <c r="DE11" i="2"/>
  <c r="DF11" i="2"/>
  <c r="DG11" i="2"/>
  <c r="CV12" i="2"/>
  <c r="CW12" i="2"/>
  <c r="CX12" i="2"/>
  <c r="CY12" i="2"/>
  <c r="CZ12" i="2"/>
  <c r="DA12" i="2"/>
  <c r="DB12" i="2"/>
  <c r="DC12" i="2"/>
  <c r="DD12" i="2"/>
  <c r="DE12" i="2"/>
  <c r="DF12" i="2"/>
  <c r="DG12" i="2"/>
  <c r="CV13" i="2"/>
  <c r="CW13" i="2"/>
  <c r="CX13" i="2"/>
  <c r="CY13" i="2"/>
  <c r="CZ13" i="2"/>
  <c r="DA13" i="2"/>
  <c r="DB13" i="2"/>
  <c r="DC13" i="2"/>
  <c r="DD13" i="2"/>
  <c r="DE13" i="2"/>
  <c r="DF13" i="2"/>
  <c r="DG13" i="2"/>
  <c r="CV14" i="2"/>
  <c r="CW14" i="2"/>
  <c r="CX14" i="2"/>
  <c r="CY14" i="2"/>
  <c r="CZ14" i="2"/>
  <c r="DA14" i="2"/>
  <c r="DB14" i="2"/>
  <c r="DC14" i="2"/>
  <c r="DD14" i="2"/>
  <c r="DE14" i="2"/>
  <c r="DF14" i="2"/>
  <c r="DG14" i="2"/>
  <c r="CV15" i="2"/>
  <c r="CW15" i="2"/>
  <c r="CX15" i="2"/>
  <c r="CY15" i="2"/>
  <c r="CZ15" i="2"/>
  <c r="DA15" i="2"/>
  <c r="DB15" i="2"/>
  <c r="DC15" i="2"/>
  <c r="DD15" i="2"/>
  <c r="DE15" i="2"/>
  <c r="DF15" i="2"/>
  <c r="DG15" i="2"/>
  <c r="CV16" i="2"/>
  <c r="CW16" i="2"/>
  <c r="CX16" i="2"/>
  <c r="CY16" i="2"/>
  <c r="CZ16" i="2"/>
  <c r="DA16" i="2"/>
  <c r="DB16" i="2"/>
  <c r="DC16" i="2"/>
  <c r="DD16" i="2"/>
  <c r="DE16" i="2"/>
  <c r="DF16" i="2"/>
  <c r="DG16" i="2"/>
  <c r="CV17" i="2"/>
  <c r="CW17" i="2"/>
  <c r="CX17" i="2"/>
  <c r="CY17" i="2"/>
  <c r="CZ17" i="2"/>
  <c r="DA17" i="2"/>
  <c r="DB17" i="2"/>
  <c r="DC17" i="2"/>
  <c r="DD17" i="2"/>
  <c r="DE17" i="2"/>
  <c r="DF17" i="2"/>
  <c r="DG17" i="2"/>
  <c r="CV18" i="2"/>
  <c r="CW18" i="2"/>
  <c r="CX18" i="2"/>
  <c r="CY18" i="2"/>
  <c r="CZ18" i="2"/>
  <c r="DA18" i="2"/>
  <c r="DB18" i="2"/>
  <c r="DC18" i="2"/>
  <c r="DD18" i="2"/>
  <c r="DE18" i="2"/>
  <c r="DF18" i="2"/>
  <c r="DG18" i="2"/>
  <c r="CV19" i="2"/>
  <c r="CW19" i="2"/>
  <c r="CX19" i="2"/>
  <c r="CY19" i="2"/>
  <c r="CZ19" i="2"/>
  <c r="DA19" i="2"/>
  <c r="DB19" i="2"/>
  <c r="DC19" i="2"/>
  <c r="DD19" i="2"/>
  <c r="DE19" i="2"/>
  <c r="DF19" i="2"/>
  <c r="DG19" i="2"/>
  <c r="CV20" i="2"/>
  <c r="CW20" i="2"/>
  <c r="CX20" i="2"/>
  <c r="CY20" i="2"/>
  <c r="CZ20" i="2"/>
  <c r="DA20" i="2"/>
  <c r="DB20" i="2"/>
  <c r="DC20" i="2"/>
  <c r="DD20" i="2"/>
  <c r="DE20" i="2"/>
  <c r="DF20" i="2"/>
  <c r="DG20" i="2"/>
  <c r="CV21" i="2"/>
  <c r="CW21" i="2"/>
  <c r="CX21" i="2"/>
  <c r="CY21" i="2"/>
  <c r="CZ21" i="2"/>
  <c r="DA21" i="2"/>
  <c r="DB21" i="2"/>
  <c r="DC21" i="2"/>
  <c r="DD21" i="2"/>
  <c r="DE21" i="2"/>
  <c r="DF21" i="2"/>
  <c r="DG21" i="2"/>
  <c r="CV22" i="2"/>
  <c r="CW22" i="2"/>
  <c r="CX22" i="2"/>
  <c r="CY22" i="2"/>
  <c r="CZ22" i="2"/>
  <c r="DA22" i="2"/>
  <c r="DB22" i="2"/>
  <c r="DC22" i="2"/>
  <c r="DD22" i="2"/>
  <c r="DE22" i="2"/>
  <c r="DF22" i="2"/>
  <c r="DG22" i="2"/>
  <c r="CV23" i="2"/>
  <c r="CW23" i="2"/>
  <c r="CX23" i="2"/>
  <c r="CY23" i="2"/>
  <c r="CZ23" i="2"/>
  <c r="DA23" i="2"/>
  <c r="DB23" i="2"/>
  <c r="DC23" i="2"/>
  <c r="DD23" i="2"/>
  <c r="DE23" i="2"/>
  <c r="DF23" i="2"/>
  <c r="DG23" i="2"/>
  <c r="CV24" i="2"/>
  <c r="CW24" i="2"/>
  <c r="CX24" i="2"/>
  <c r="CY24" i="2"/>
  <c r="CZ24" i="2"/>
  <c r="DA24" i="2"/>
  <c r="DB24" i="2"/>
  <c r="DC24" i="2"/>
  <c r="DD24" i="2"/>
  <c r="DE24" i="2"/>
  <c r="DF24" i="2"/>
  <c r="DG24" i="2"/>
  <c r="CV25" i="2"/>
  <c r="CW25" i="2"/>
  <c r="CX25" i="2"/>
  <c r="CY25" i="2"/>
  <c r="CZ25" i="2"/>
  <c r="DA25" i="2"/>
  <c r="DB25" i="2"/>
  <c r="DC25" i="2"/>
  <c r="DD25" i="2"/>
  <c r="DE25" i="2"/>
  <c r="DF25" i="2"/>
  <c r="DG25" i="2"/>
  <c r="CV26" i="2"/>
  <c r="CW26" i="2"/>
  <c r="CX26" i="2"/>
  <c r="CY26" i="2"/>
  <c r="CZ26" i="2"/>
  <c r="DA26" i="2"/>
  <c r="DB26" i="2"/>
  <c r="DC26" i="2"/>
  <c r="DD26" i="2"/>
  <c r="DE26" i="2"/>
  <c r="DF26" i="2"/>
  <c r="DG26" i="2"/>
  <c r="CV27" i="2"/>
  <c r="CW27" i="2"/>
  <c r="CX27" i="2"/>
  <c r="CY27" i="2"/>
  <c r="CZ27" i="2"/>
  <c r="DA27" i="2"/>
  <c r="DB27" i="2"/>
  <c r="DC27" i="2"/>
  <c r="DD27" i="2"/>
  <c r="DE27" i="2"/>
  <c r="DF27" i="2"/>
  <c r="DG27" i="2"/>
  <c r="CV28" i="2"/>
  <c r="CW28" i="2"/>
  <c r="CX28" i="2"/>
  <c r="CY28" i="2"/>
  <c r="CZ28" i="2"/>
  <c r="DA28" i="2"/>
  <c r="DB28" i="2"/>
  <c r="DC28" i="2"/>
  <c r="DD28" i="2"/>
  <c r="DE28" i="2"/>
  <c r="DF28" i="2"/>
  <c r="DG28" i="2"/>
  <c r="CV29" i="2"/>
  <c r="CW29" i="2"/>
  <c r="CX29" i="2"/>
  <c r="CY29" i="2"/>
  <c r="CZ29" i="2"/>
  <c r="DA29" i="2"/>
  <c r="DB29" i="2"/>
  <c r="DC29" i="2"/>
  <c r="DD29" i="2"/>
  <c r="DE29" i="2"/>
  <c r="DF29" i="2"/>
  <c r="DG29" i="2"/>
  <c r="CV30" i="2"/>
  <c r="CW30" i="2"/>
  <c r="CX30" i="2"/>
  <c r="CY30" i="2"/>
  <c r="CZ30" i="2"/>
  <c r="DA30" i="2"/>
  <c r="DB30" i="2"/>
  <c r="DC30" i="2"/>
  <c r="DD30" i="2"/>
  <c r="DE30" i="2"/>
  <c r="DF30" i="2"/>
  <c r="DG30" i="2"/>
  <c r="CV31" i="2"/>
  <c r="CW31" i="2"/>
  <c r="CX31" i="2"/>
  <c r="CY31" i="2"/>
  <c r="CZ31" i="2"/>
  <c r="DA31" i="2"/>
  <c r="DB31" i="2"/>
  <c r="DC31" i="2"/>
  <c r="DD31" i="2"/>
  <c r="DE31" i="2"/>
  <c r="DF31" i="2"/>
  <c r="DG31" i="2"/>
  <c r="CV32" i="2"/>
  <c r="CW32" i="2"/>
  <c r="CX32" i="2"/>
  <c r="CY32" i="2"/>
  <c r="CZ32" i="2"/>
  <c r="DA32" i="2"/>
  <c r="DB32" i="2"/>
  <c r="DC32" i="2"/>
  <c r="DD32" i="2"/>
  <c r="DE32" i="2"/>
  <c r="DF32" i="2"/>
  <c r="DG32" i="2"/>
  <c r="CV33" i="2"/>
  <c r="CW33" i="2"/>
  <c r="CX33" i="2"/>
  <c r="CY33" i="2"/>
  <c r="CZ33" i="2"/>
  <c r="DA33" i="2"/>
  <c r="DB33" i="2"/>
  <c r="DC33" i="2"/>
  <c r="DD33" i="2"/>
  <c r="DE33" i="2"/>
  <c r="DF33" i="2"/>
  <c r="DG33" i="2"/>
  <c r="CV34" i="2"/>
  <c r="CW34" i="2"/>
  <c r="CX34" i="2"/>
  <c r="CY34" i="2"/>
  <c r="CZ34" i="2"/>
  <c r="DA34" i="2"/>
  <c r="DB34" i="2"/>
  <c r="DC34" i="2"/>
  <c r="DD34" i="2"/>
  <c r="DE34" i="2"/>
  <c r="DF34" i="2"/>
  <c r="DG34" i="2"/>
  <c r="CV35" i="2"/>
  <c r="CW35" i="2"/>
  <c r="CX35" i="2"/>
  <c r="CY35" i="2"/>
  <c r="CZ35" i="2"/>
  <c r="DA35" i="2"/>
  <c r="DB35" i="2"/>
  <c r="DC35" i="2"/>
  <c r="DD35" i="2"/>
  <c r="DE35" i="2"/>
  <c r="DF35" i="2"/>
  <c r="DG35" i="2"/>
  <c r="CV36" i="2"/>
  <c r="CW36" i="2"/>
  <c r="CX36" i="2"/>
  <c r="CY36" i="2"/>
  <c r="CZ36" i="2"/>
  <c r="DA36" i="2"/>
  <c r="DB36" i="2"/>
  <c r="DC36" i="2"/>
  <c r="DD36" i="2"/>
  <c r="DE36" i="2"/>
  <c r="DF36" i="2"/>
  <c r="DG36" i="2"/>
  <c r="CV37" i="2"/>
  <c r="CW37" i="2"/>
  <c r="CX37" i="2"/>
  <c r="CY37" i="2"/>
  <c r="CZ37" i="2"/>
  <c r="DA37" i="2"/>
  <c r="DB37" i="2"/>
  <c r="DC37" i="2"/>
  <c r="DD37" i="2"/>
  <c r="DE37" i="2"/>
  <c r="DF37" i="2"/>
  <c r="DG37" i="2"/>
  <c r="CV38" i="2"/>
  <c r="CW38" i="2"/>
  <c r="CX38" i="2"/>
  <c r="CY38" i="2"/>
  <c r="CZ38" i="2"/>
  <c r="DA38" i="2"/>
  <c r="DB38" i="2"/>
  <c r="DC38" i="2"/>
  <c r="DD38" i="2"/>
  <c r="DE38" i="2"/>
  <c r="DF38" i="2"/>
  <c r="DG38" i="2"/>
  <c r="CV39" i="2"/>
  <c r="CW39" i="2"/>
  <c r="CX39" i="2"/>
  <c r="CY39" i="2"/>
  <c r="CZ39" i="2"/>
  <c r="DA39" i="2"/>
  <c r="DB39" i="2"/>
  <c r="DC39" i="2"/>
  <c r="DD39" i="2"/>
  <c r="DE39" i="2"/>
  <c r="DF39" i="2"/>
  <c r="DG39" i="2"/>
  <c r="CV40" i="2"/>
  <c r="CW40" i="2"/>
  <c r="CX40" i="2"/>
  <c r="CY40" i="2"/>
  <c r="CZ40" i="2"/>
  <c r="DA40" i="2"/>
  <c r="DB40" i="2"/>
  <c r="DC40" i="2"/>
  <c r="DD40" i="2"/>
  <c r="DE40" i="2"/>
  <c r="DF40" i="2"/>
  <c r="DG40" i="2"/>
  <c r="CV41" i="2"/>
  <c r="CW41" i="2"/>
  <c r="CX41" i="2"/>
  <c r="CY41" i="2"/>
  <c r="CZ41" i="2"/>
  <c r="DA41" i="2"/>
  <c r="DB41" i="2"/>
  <c r="DC41" i="2"/>
  <c r="DD41" i="2"/>
  <c r="DE41" i="2"/>
  <c r="DF41" i="2"/>
  <c r="DG41" i="2"/>
  <c r="CV42" i="2"/>
  <c r="CW42" i="2"/>
  <c r="CX42" i="2"/>
  <c r="CY42" i="2"/>
  <c r="CZ42" i="2"/>
  <c r="DA42" i="2"/>
  <c r="DB42" i="2"/>
  <c r="DC42" i="2"/>
  <c r="DD42" i="2"/>
  <c r="DE42" i="2"/>
  <c r="DF42" i="2"/>
  <c r="DG42" i="2"/>
  <c r="CV43" i="2"/>
  <c r="CW43" i="2"/>
  <c r="CX43" i="2"/>
  <c r="CY43" i="2"/>
  <c r="CZ43" i="2"/>
  <c r="DA43" i="2"/>
  <c r="DB43" i="2"/>
  <c r="DC43" i="2"/>
  <c r="DD43" i="2"/>
  <c r="DE43" i="2"/>
  <c r="DF43" i="2"/>
  <c r="DG43" i="2"/>
  <c r="CV44" i="2"/>
  <c r="CW44" i="2"/>
  <c r="CX44" i="2"/>
  <c r="CY44" i="2"/>
  <c r="CZ44" i="2"/>
  <c r="DA44" i="2"/>
  <c r="DB44" i="2"/>
  <c r="DC44" i="2"/>
  <c r="DD44" i="2"/>
  <c r="DE44" i="2"/>
  <c r="DF44" i="2"/>
  <c r="DG44" i="2"/>
  <c r="CV45" i="2"/>
  <c r="CW45" i="2"/>
  <c r="CX45" i="2"/>
  <c r="CY45" i="2"/>
  <c r="CZ45" i="2"/>
  <c r="DA45" i="2"/>
  <c r="DB45" i="2"/>
  <c r="DC45" i="2"/>
  <c r="DD45" i="2"/>
  <c r="DE45" i="2"/>
  <c r="DF45" i="2"/>
  <c r="DG45" i="2"/>
  <c r="CV46" i="2"/>
  <c r="CW46" i="2"/>
  <c r="CX46" i="2"/>
  <c r="CY46" i="2"/>
  <c r="CZ46" i="2"/>
  <c r="DA46" i="2"/>
  <c r="DB46" i="2"/>
  <c r="DC46" i="2"/>
  <c r="DD46" i="2"/>
  <c r="DE46" i="2"/>
  <c r="DF46" i="2"/>
  <c r="DG46" i="2"/>
  <c r="CV47" i="2"/>
  <c r="CW47" i="2"/>
  <c r="CX47" i="2"/>
  <c r="CY47" i="2"/>
  <c r="CZ47" i="2"/>
  <c r="DA47" i="2"/>
  <c r="DB47" i="2"/>
  <c r="DC47" i="2"/>
  <c r="DD47" i="2"/>
  <c r="DE47" i="2"/>
  <c r="DF47" i="2"/>
  <c r="DG47" i="2"/>
  <c r="CV48" i="2"/>
  <c r="CW48" i="2"/>
  <c r="CX48" i="2"/>
  <c r="CY48" i="2"/>
  <c r="CZ48" i="2"/>
  <c r="DA48" i="2"/>
  <c r="DB48" i="2"/>
  <c r="DC48" i="2"/>
  <c r="DD48" i="2"/>
  <c r="DE48" i="2"/>
  <c r="DF48" i="2"/>
  <c r="DG48" i="2"/>
  <c r="CV49" i="2"/>
  <c r="CW49" i="2"/>
  <c r="CX49" i="2"/>
  <c r="CY49" i="2"/>
  <c r="CZ49" i="2"/>
  <c r="DA49" i="2"/>
  <c r="DB49" i="2"/>
  <c r="DC49" i="2"/>
  <c r="DD49" i="2"/>
  <c r="DE49" i="2"/>
  <c r="DF49" i="2"/>
  <c r="DG49" i="2"/>
  <c r="CV50" i="2"/>
  <c r="CW50" i="2"/>
  <c r="CX50" i="2"/>
  <c r="CY50" i="2"/>
  <c r="CZ50" i="2"/>
  <c r="DA50" i="2"/>
  <c r="DB50" i="2"/>
  <c r="DC50" i="2"/>
  <c r="DD50" i="2"/>
  <c r="DE50" i="2"/>
  <c r="DF50" i="2"/>
  <c r="DG50" i="2"/>
  <c r="CV51" i="2"/>
  <c r="CW51" i="2"/>
  <c r="CX51" i="2"/>
  <c r="CY51" i="2"/>
  <c r="CZ51" i="2"/>
  <c r="DA51" i="2"/>
  <c r="DB51" i="2"/>
  <c r="DC51" i="2"/>
  <c r="DD51" i="2"/>
  <c r="DE51" i="2"/>
  <c r="DF51" i="2"/>
  <c r="DG51" i="2"/>
  <c r="CV52" i="2"/>
  <c r="CW52" i="2"/>
  <c r="CX52" i="2"/>
  <c r="CY52" i="2"/>
  <c r="CZ52" i="2"/>
  <c r="DA52" i="2"/>
  <c r="DB52" i="2"/>
  <c r="DC52" i="2"/>
  <c r="DD52" i="2"/>
  <c r="DE52" i="2"/>
  <c r="DF52" i="2"/>
  <c r="DG52" i="2"/>
  <c r="CV53" i="2"/>
  <c r="CW53" i="2"/>
  <c r="CX53" i="2"/>
  <c r="CY53" i="2"/>
  <c r="CZ53" i="2"/>
  <c r="DA53" i="2"/>
  <c r="DB53" i="2"/>
  <c r="DC53" i="2"/>
  <c r="DD53" i="2"/>
  <c r="DE53" i="2"/>
  <c r="DF53" i="2"/>
  <c r="DG53" i="2"/>
  <c r="CV54" i="2"/>
  <c r="CW54" i="2"/>
  <c r="CX54" i="2"/>
  <c r="CY54" i="2"/>
  <c r="CZ54" i="2"/>
  <c r="DA54" i="2"/>
  <c r="DB54" i="2"/>
  <c r="DC54" i="2"/>
  <c r="DD54" i="2"/>
  <c r="DE54" i="2"/>
  <c r="DF54" i="2"/>
  <c r="DG54" i="2"/>
  <c r="CV55" i="2"/>
  <c r="CW55" i="2"/>
  <c r="CX55" i="2"/>
  <c r="CY55" i="2"/>
  <c r="CZ55" i="2"/>
  <c r="DA55" i="2"/>
  <c r="DB55" i="2"/>
  <c r="DC55" i="2"/>
  <c r="DD55" i="2"/>
  <c r="DE55" i="2"/>
  <c r="DF55" i="2"/>
  <c r="DG55" i="2"/>
  <c r="CV56" i="2"/>
  <c r="CW56" i="2"/>
  <c r="CX56" i="2"/>
  <c r="CY56" i="2"/>
  <c r="CZ56" i="2"/>
  <c r="DA56" i="2"/>
  <c r="DB56" i="2"/>
  <c r="DC56" i="2"/>
  <c r="DD56" i="2"/>
  <c r="DE56" i="2"/>
  <c r="DF56" i="2"/>
  <c r="DG56" i="2"/>
  <c r="CV57" i="2"/>
  <c r="CW57" i="2"/>
  <c r="CX57" i="2"/>
  <c r="CY57" i="2"/>
  <c r="CZ57" i="2"/>
  <c r="DA57" i="2"/>
  <c r="DB57" i="2"/>
  <c r="DC57" i="2"/>
  <c r="DD57" i="2"/>
  <c r="DE57" i="2"/>
  <c r="DF57" i="2"/>
  <c r="DG57" i="2"/>
  <c r="CV58" i="2"/>
  <c r="CW58" i="2"/>
  <c r="CX58" i="2"/>
  <c r="CY58" i="2"/>
  <c r="CZ58" i="2"/>
  <c r="DA58" i="2"/>
  <c r="DB58" i="2"/>
  <c r="DC58" i="2"/>
  <c r="DD58" i="2"/>
  <c r="DE58" i="2"/>
  <c r="DF58" i="2"/>
  <c r="DG58" i="2"/>
  <c r="CV59" i="2"/>
  <c r="CW59" i="2"/>
  <c r="CX59" i="2"/>
  <c r="CY59" i="2"/>
  <c r="CZ59" i="2"/>
  <c r="DA59" i="2"/>
  <c r="DB59" i="2"/>
  <c r="DC59" i="2"/>
  <c r="DD59" i="2"/>
  <c r="DE59" i="2"/>
  <c r="DF59" i="2"/>
  <c r="DG59" i="2"/>
  <c r="CV60" i="2"/>
  <c r="CW60" i="2"/>
  <c r="CX60" i="2"/>
  <c r="CY60" i="2"/>
  <c r="CZ60" i="2"/>
  <c r="DA60" i="2"/>
  <c r="DB60" i="2"/>
  <c r="DC60" i="2"/>
  <c r="DD60" i="2"/>
  <c r="DE60" i="2"/>
  <c r="DF60" i="2"/>
  <c r="DG60" i="2"/>
  <c r="CV61" i="2"/>
  <c r="CW61" i="2"/>
  <c r="CX61" i="2"/>
  <c r="CY61" i="2"/>
  <c r="CZ61" i="2"/>
  <c r="DA61" i="2"/>
  <c r="DB61" i="2"/>
  <c r="DC61" i="2"/>
  <c r="DD61" i="2"/>
  <c r="DE61" i="2"/>
  <c r="DF61" i="2"/>
  <c r="DG61" i="2"/>
  <c r="CV62" i="2"/>
  <c r="CW62" i="2"/>
  <c r="CX62" i="2"/>
  <c r="CY62" i="2"/>
  <c r="CZ62" i="2"/>
  <c r="DA62" i="2"/>
  <c r="DB62" i="2"/>
  <c r="DC62" i="2"/>
  <c r="DD62" i="2"/>
  <c r="DE62" i="2"/>
  <c r="DF62" i="2"/>
  <c r="DG62" i="2"/>
  <c r="CV63" i="2"/>
  <c r="CW63" i="2"/>
  <c r="CX63" i="2"/>
  <c r="CY63" i="2"/>
  <c r="CZ63" i="2"/>
  <c r="DA63" i="2"/>
  <c r="DB63" i="2"/>
  <c r="DC63" i="2"/>
  <c r="DD63" i="2"/>
  <c r="DE63" i="2"/>
  <c r="DF63" i="2"/>
  <c r="DG63" i="2"/>
  <c r="CV64" i="2"/>
  <c r="CW64" i="2"/>
  <c r="CX64" i="2"/>
  <c r="CY64" i="2"/>
  <c r="CZ64" i="2"/>
  <c r="DA64" i="2"/>
  <c r="DB64" i="2"/>
  <c r="DC64" i="2"/>
  <c r="DD64" i="2"/>
  <c r="DE64" i="2"/>
  <c r="DF64" i="2"/>
  <c r="DG64" i="2"/>
  <c r="CV65" i="2"/>
  <c r="CW65" i="2"/>
  <c r="CX65" i="2"/>
  <c r="CY65" i="2"/>
  <c r="CZ65" i="2"/>
  <c r="DA65" i="2"/>
  <c r="DB65" i="2"/>
  <c r="DC65" i="2"/>
  <c r="DD65" i="2"/>
  <c r="DE65" i="2"/>
  <c r="DF65" i="2"/>
  <c r="DG65" i="2"/>
  <c r="CV66" i="2"/>
  <c r="CW66" i="2"/>
  <c r="CX66" i="2"/>
  <c r="CY66" i="2"/>
  <c r="CZ66" i="2"/>
  <c r="DA66" i="2"/>
  <c r="DB66" i="2"/>
  <c r="DC66" i="2"/>
  <c r="DD66" i="2"/>
  <c r="DE66" i="2"/>
  <c r="DF66" i="2"/>
  <c r="DG66" i="2"/>
  <c r="CV67" i="2"/>
  <c r="CW67" i="2"/>
  <c r="CX67" i="2"/>
  <c r="CY67" i="2"/>
  <c r="CZ67" i="2"/>
  <c r="DA67" i="2"/>
  <c r="DB67" i="2"/>
  <c r="DC67" i="2"/>
  <c r="DD67" i="2"/>
  <c r="DE67" i="2"/>
  <c r="DF67" i="2"/>
  <c r="DG67" i="2"/>
  <c r="CV68" i="2"/>
  <c r="CW68" i="2"/>
  <c r="CX68" i="2"/>
  <c r="CY68" i="2"/>
  <c r="CZ68" i="2"/>
  <c r="DA68" i="2"/>
  <c r="DB68" i="2"/>
  <c r="DC68" i="2"/>
  <c r="DD68" i="2"/>
  <c r="DE68" i="2"/>
  <c r="DF68" i="2"/>
  <c r="DG68" i="2"/>
  <c r="CV69" i="2"/>
  <c r="CW69" i="2"/>
  <c r="CX69" i="2"/>
  <c r="CY69" i="2"/>
  <c r="CZ69" i="2"/>
  <c r="DA69" i="2"/>
  <c r="DB69" i="2"/>
  <c r="DC69" i="2"/>
  <c r="DD69" i="2"/>
  <c r="DE69" i="2"/>
  <c r="DF69" i="2"/>
  <c r="DG69" i="2"/>
  <c r="CV70" i="2"/>
  <c r="CW70" i="2"/>
  <c r="CX70" i="2"/>
  <c r="CY70" i="2"/>
  <c r="CZ70" i="2"/>
  <c r="DA70" i="2"/>
  <c r="DB70" i="2"/>
  <c r="DC70" i="2"/>
  <c r="DD70" i="2"/>
  <c r="DE70" i="2"/>
  <c r="DF70" i="2"/>
  <c r="DG70" i="2"/>
  <c r="CV71" i="2"/>
  <c r="CW71" i="2"/>
  <c r="CX71" i="2"/>
  <c r="CY71" i="2"/>
  <c r="CZ71" i="2"/>
  <c r="DA71" i="2"/>
  <c r="DB71" i="2"/>
  <c r="DC71" i="2"/>
  <c r="DD71" i="2"/>
  <c r="DE71" i="2"/>
  <c r="DF71" i="2"/>
  <c r="DG71" i="2"/>
  <c r="CV72" i="2"/>
  <c r="CW72" i="2"/>
  <c r="CX72" i="2"/>
  <c r="CY72" i="2"/>
  <c r="CZ72" i="2"/>
  <c r="DA72" i="2"/>
  <c r="DB72" i="2"/>
  <c r="DC72" i="2"/>
  <c r="DD72" i="2"/>
  <c r="DE72" i="2"/>
  <c r="DF72" i="2"/>
  <c r="DG72" i="2"/>
  <c r="CV73" i="2"/>
  <c r="CW73" i="2"/>
  <c r="CX73" i="2"/>
  <c r="CY73" i="2"/>
  <c r="CZ73" i="2"/>
  <c r="DA73" i="2"/>
  <c r="DB73" i="2"/>
  <c r="DC73" i="2"/>
  <c r="DD73" i="2"/>
  <c r="DE73" i="2"/>
  <c r="DF73" i="2"/>
  <c r="DG73" i="2"/>
  <c r="CV74" i="2"/>
  <c r="CW74" i="2"/>
  <c r="CX74" i="2"/>
  <c r="CY74" i="2"/>
  <c r="CZ74" i="2"/>
  <c r="DA74" i="2"/>
  <c r="DB74" i="2"/>
  <c r="DC74" i="2"/>
  <c r="DD74" i="2"/>
  <c r="DE74" i="2"/>
  <c r="DF74" i="2"/>
  <c r="DG74" i="2"/>
  <c r="CV75" i="2"/>
  <c r="CW75" i="2"/>
  <c r="CX75" i="2"/>
  <c r="CY75" i="2"/>
  <c r="CZ75" i="2"/>
  <c r="DA75" i="2"/>
  <c r="DB75" i="2"/>
  <c r="DC75" i="2"/>
  <c r="DD75" i="2"/>
  <c r="DE75" i="2"/>
  <c r="DF75" i="2"/>
  <c r="DG75" i="2"/>
  <c r="CV76" i="2"/>
  <c r="CW76" i="2"/>
  <c r="CX76" i="2"/>
  <c r="CY76" i="2"/>
  <c r="CZ76" i="2"/>
  <c r="DA76" i="2"/>
  <c r="DB76" i="2"/>
  <c r="DC76" i="2"/>
  <c r="DD76" i="2"/>
  <c r="DE76" i="2"/>
  <c r="DF76" i="2"/>
  <c r="DG76" i="2"/>
  <c r="CV77" i="2"/>
  <c r="CW77" i="2"/>
  <c r="CX77" i="2"/>
  <c r="CY77" i="2"/>
  <c r="CZ77" i="2"/>
  <c r="DA77" i="2"/>
  <c r="DB77" i="2"/>
  <c r="DC77" i="2"/>
  <c r="DD77" i="2"/>
  <c r="DE77" i="2"/>
  <c r="DF77" i="2"/>
  <c r="DG77" i="2"/>
  <c r="CV78" i="2"/>
  <c r="CW78" i="2"/>
  <c r="CX78" i="2"/>
  <c r="CY78" i="2"/>
  <c r="CZ78" i="2"/>
  <c r="DA78" i="2"/>
  <c r="DB78" i="2"/>
  <c r="DC78" i="2"/>
  <c r="DD78" i="2"/>
  <c r="DE78" i="2"/>
  <c r="DF78" i="2"/>
  <c r="DG78" i="2"/>
  <c r="CV79" i="2"/>
  <c r="CW79" i="2"/>
  <c r="CX79" i="2"/>
  <c r="CY79" i="2"/>
  <c r="CZ79" i="2"/>
  <c r="DA79" i="2"/>
  <c r="DB79" i="2"/>
  <c r="DC79" i="2"/>
  <c r="DD79" i="2"/>
  <c r="DE79" i="2"/>
  <c r="DF79" i="2"/>
  <c r="DG79" i="2"/>
  <c r="CV80" i="2"/>
  <c r="CW80" i="2"/>
  <c r="CX80" i="2"/>
  <c r="CY80" i="2"/>
  <c r="CZ80" i="2"/>
  <c r="DA80" i="2"/>
  <c r="DB80" i="2"/>
  <c r="DC80" i="2"/>
  <c r="DD80" i="2"/>
  <c r="DE80" i="2"/>
  <c r="DF80" i="2"/>
  <c r="DG80" i="2"/>
  <c r="CV81" i="2"/>
  <c r="CW81" i="2"/>
  <c r="CX81" i="2"/>
  <c r="CY81" i="2"/>
  <c r="CZ81" i="2"/>
  <c r="DA81" i="2"/>
  <c r="DB81" i="2"/>
  <c r="DC81" i="2"/>
  <c r="DD81" i="2"/>
  <c r="DE81" i="2"/>
  <c r="DF81" i="2"/>
  <c r="DG81" i="2"/>
  <c r="CV82" i="2"/>
  <c r="CW82" i="2"/>
  <c r="CX82" i="2"/>
  <c r="CY82" i="2"/>
  <c r="CZ82" i="2"/>
  <c r="DA82" i="2"/>
  <c r="DB82" i="2"/>
  <c r="DC82" i="2"/>
  <c r="DD82" i="2"/>
  <c r="DE82" i="2"/>
  <c r="DF82" i="2"/>
  <c r="DG82" i="2"/>
  <c r="CV83" i="2"/>
  <c r="CW83" i="2"/>
  <c r="CX83" i="2"/>
  <c r="CY83" i="2"/>
  <c r="CZ83" i="2"/>
  <c r="DA83" i="2"/>
  <c r="DB83" i="2"/>
  <c r="DC83" i="2"/>
  <c r="DD83" i="2"/>
  <c r="DE83" i="2"/>
  <c r="DF83" i="2"/>
  <c r="DG83" i="2"/>
  <c r="CV84" i="2"/>
  <c r="CW84" i="2"/>
  <c r="CX84" i="2"/>
  <c r="CY84" i="2"/>
  <c r="CZ84" i="2"/>
  <c r="DA84" i="2"/>
  <c r="DB84" i="2"/>
  <c r="DC84" i="2"/>
  <c r="DD84" i="2"/>
  <c r="DE84" i="2"/>
  <c r="DF84" i="2"/>
  <c r="DG84" i="2"/>
  <c r="CV85" i="2"/>
  <c r="CW85" i="2"/>
  <c r="CX85" i="2"/>
  <c r="CY85" i="2"/>
  <c r="CZ85" i="2"/>
  <c r="DA85" i="2"/>
  <c r="DB85" i="2"/>
  <c r="DC85" i="2"/>
  <c r="DD85" i="2"/>
  <c r="DE85" i="2"/>
  <c r="DF85" i="2"/>
  <c r="DG85" i="2"/>
  <c r="CV86" i="2"/>
  <c r="CW86" i="2"/>
  <c r="CX86" i="2"/>
  <c r="CY86" i="2"/>
  <c r="CZ86" i="2"/>
  <c r="DA86" i="2"/>
  <c r="DB86" i="2"/>
  <c r="DC86" i="2"/>
  <c r="DD86" i="2"/>
  <c r="DE86" i="2"/>
  <c r="DF86" i="2"/>
  <c r="DG86" i="2"/>
  <c r="CV87" i="2"/>
  <c r="CW87" i="2"/>
  <c r="CX87" i="2"/>
  <c r="CY87" i="2"/>
  <c r="CZ87" i="2"/>
  <c r="DA87" i="2"/>
  <c r="DB87" i="2"/>
  <c r="DC87" i="2"/>
  <c r="DD87" i="2"/>
  <c r="DE87" i="2"/>
  <c r="DF87" i="2"/>
  <c r="DG87" i="2"/>
  <c r="CV88" i="2"/>
  <c r="CW88" i="2"/>
  <c r="CX88" i="2"/>
  <c r="CY88" i="2"/>
  <c r="CZ88" i="2"/>
  <c r="DA88" i="2"/>
  <c r="DB88" i="2"/>
  <c r="DC88" i="2"/>
  <c r="DD88" i="2"/>
  <c r="DE88" i="2"/>
  <c r="DF88" i="2"/>
  <c r="DG88" i="2"/>
  <c r="CV89" i="2"/>
  <c r="CW89" i="2"/>
  <c r="CX89" i="2"/>
  <c r="CY89" i="2"/>
  <c r="CZ89" i="2"/>
  <c r="DA89" i="2"/>
  <c r="DB89" i="2"/>
  <c r="DC89" i="2"/>
  <c r="DD89" i="2"/>
  <c r="DE89" i="2"/>
  <c r="DF89" i="2"/>
  <c r="DG89" i="2"/>
  <c r="CV90" i="2"/>
  <c r="CW90" i="2"/>
  <c r="CX90" i="2"/>
  <c r="CY90" i="2"/>
  <c r="CZ90" i="2"/>
  <c r="DA90" i="2"/>
  <c r="DB90" i="2"/>
  <c r="DC90" i="2"/>
  <c r="DD90" i="2"/>
  <c r="DE90" i="2"/>
  <c r="DF90" i="2"/>
  <c r="DG90" i="2"/>
  <c r="CV91" i="2"/>
  <c r="CW91" i="2"/>
  <c r="CX91" i="2"/>
  <c r="CY91" i="2"/>
  <c r="CZ91" i="2"/>
  <c r="DA91" i="2"/>
  <c r="DB91" i="2"/>
  <c r="DC91" i="2"/>
  <c r="DD91" i="2"/>
  <c r="DE91" i="2"/>
  <c r="DF91" i="2"/>
  <c r="DG91" i="2"/>
  <c r="CV92" i="2"/>
  <c r="CW92" i="2"/>
  <c r="CX92" i="2"/>
  <c r="CY92" i="2"/>
  <c r="CZ92" i="2"/>
  <c r="DA92" i="2"/>
  <c r="DB92" i="2"/>
  <c r="DC92" i="2"/>
  <c r="DD92" i="2"/>
  <c r="DE92" i="2"/>
  <c r="DF92" i="2"/>
  <c r="DG92" i="2"/>
  <c r="CV93" i="2"/>
  <c r="CW93" i="2"/>
  <c r="CX93" i="2"/>
  <c r="CY93" i="2"/>
  <c r="CZ93" i="2"/>
  <c r="DA93" i="2"/>
  <c r="DB93" i="2"/>
  <c r="DC93" i="2"/>
  <c r="DD93" i="2"/>
  <c r="DE93" i="2"/>
  <c r="DF93" i="2"/>
  <c r="DG93" i="2"/>
  <c r="CV94" i="2"/>
  <c r="CW94" i="2"/>
  <c r="CX94" i="2"/>
  <c r="CY94" i="2"/>
  <c r="CZ94" i="2"/>
  <c r="DA94" i="2"/>
  <c r="DB94" i="2"/>
  <c r="DC94" i="2"/>
  <c r="DD94" i="2"/>
  <c r="DE94" i="2"/>
  <c r="DF94" i="2"/>
  <c r="DG94" i="2"/>
  <c r="CV95" i="2"/>
  <c r="CW95" i="2"/>
  <c r="CX95" i="2"/>
  <c r="CY95" i="2"/>
  <c r="CZ95" i="2"/>
  <c r="DA95" i="2"/>
  <c r="DB95" i="2"/>
  <c r="DC95" i="2"/>
  <c r="DD95" i="2"/>
  <c r="DE95" i="2"/>
  <c r="DF95" i="2"/>
  <c r="DG95" i="2"/>
  <c r="CV96" i="2"/>
  <c r="CW96" i="2"/>
  <c r="CX96" i="2"/>
  <c r="CY96" i="2"/>
  <c r="CZ96" i="2"/>
  <c r="DA96" i="2"/>
  <c r="DB96" i="2"/>
  <c r="DC96" i="2"/>
  <c r="DD96" i="2"/>
  <c r="DE96" i="2"/>
  <c r="DF96" i="2"/>
  <c r="DG96" i="2"/>
  <c r="CV97" i="2"/>
  <c r="CW97" i="2"/>
  <c r="CX97" i="2"/>
  <c r="CY97" i="2"/>
  <c r="CZ97" i="2"/>
  <c r="DA97" i="2"/>
  <c r="DB97" i="2"/>
  <c r="DC97" i="2"/>
  <c r="DD97" i="2"/>
  <c r="DE97" i="2"/>
  <c r="DF97" i="2"/>
  <c r="DG97" i="2"/>
  <c r="CV98" i="2"/>
  <c r="CW98" i="2"/>
  <c r="CX98" i="2"/>
  <c r="CY98" i="2"/>
  <c r="CZ98" i="2"/>
  <c r="DA98" i="2"/>
  <c r="DB98" i="2"/>
  <c r="DC98" i="2"/>
  <c r="DD98" i="2"/>
  <c r="DE98" i="2"/>
  <c r="DF98" i="2"/>
  <c r="DG98" i="2"/>
  <c r="CV99" i="2"/>
  <c r="CW99" i="2"/>
  <c r="CX99" i="2"/>
  <c r="CY99" i="2"/>
  <c r="CZ99" i="2"/>
  <c r="DA99" i="2"/>
  <c r="DB99" i="2"/>
  <c r="DC99" i="2"/>
  <c r="DD99" i="2"/>
  <c r="DE99" i="2"/>
  <c r="DF99" i="2"/>
  <c r="DG99" i="2"/>
  <c r="CV100" i="2"/>
  <c r="CW100" i="2"/>
  <c r="CX100" i="2"/>
  <c r="CY100" i="2"/>
  <c r="CZ100" i="2"/>
  <c r="DA100" i="2"/>
  <c r="DB100" i="2"/>
  <c r="DC100" i="2"/>
  <c r="DD100" i="2"/>
  <c r="DE100" i="2"/>
  <c r="DF100" i="2"/>
  <c r="DG100" i="2"/>
  <c r="CV101" i="2"/>
  <c r="CW101" i="2"/>
  <c r="CX101" i="2"/>
  <c r="CY101" i="2"/>
  <c r="CZ101" i="2"/>
  <c r="DA101" i="2"/>
  <c r="DB101" i="2"/>
  <c r="DC101" i="2"/>
  <c r="DD101" i="2"/>
  <c r="DE101" i="2"/>
  <c r="DF101" i="2"/>
  <c r="DG101" i="2"/>
  <c r="CV102" i="2"/>
  <c r="CW102" i="2"/>
  <c r="CX102" i="2"/>
  <c r="CY102" i="2"/>
  <c r="CZ102" i="2"/>
  <c r="DA102" i="2"/>
  <c r="DB102" i="2"/>
  <c r="DC102" i="2"/>
  <c r="DD102" i="2"/>
  <c r="DE102" i="2"/>
  <c r="DF102" i="2"/>
  <c r="DG102" i="2"/>
  <c r="CV103" i="2"/>
  <c r="CW103" i="2"/>
  <c r="CX103" i="2"/>
  <c r="CY103" i="2"/>
  <c r="CZ103" i="2"/>
  <c r="DA103" i="2"/>
  <c r="DB103" i="2"/>
  <c r="DC103" i="2"/>
  <c r="DD103" i="2"/>
  <c r="DE103" i="2"/>
  <c r="DF103" i="2"/>
  <c r="DG103" i="2"/>
  <c r="CH4" i="2"/>
  <c r="CI4" i="2"/>
  <c r="CJ4" i="2"/>
  <c r="CK4" i="2"/>
  <c r="CL4" i="2"/>
  <c r="CM4" i="2"/>
  <c r="CN4" i="2"/>
  <c r="K61" i="7" s="1"/>
  <c r="CO4" i="2"/>
  <c r="L61" i="7" s="1"/>
  <c r="CP4" i="2"/>
  <c r="M61" i="7" s="1"/>
  <c r="CQ4" i="2"/>
  <c r="N61" i="7" s="1"/>
  <c r="CR4" i="2"/>
  <c r="O61" i="7" s="1"/>
  <c r="CS4" i="2"/>
  <c r="CH5" i="2"/>
  <c r="CI5" i="2"/>
  <c r="CJ5" i="2"/>
  <c r="CK5" i="2"/>
  <c r="CL5" i="2"/>
  <c r="CM5" i="2"/>
  <c r="CN5" i="2"/>
  <c r="CO5" i="2"/>
  <c r="CP5" i="2"/>
  <c r="CQ5" i="2"/>
  <c r="CR5" i="2"/>
  <c r="CS5" i="2"/>
  <c r="CH6" i="2"/>
  <c r="CI6" i="2"/>
  <c r="CJ6" i="2"/>
  <c r="CK6" i="2"/>
  <c r="CL6" i="2"/>
  <c r="CM6" i="2"/>
  <c r="CN6" i="2"/>
  <c r="CO6" i="2"/>
  <c r="CP6" i="2"/>
  <c r="CQ6" i="2"/>
  <c r="CR6" i="2"/>
  <c r="CS6" i="2"/>
  <c r="CH7" i="2"/>
  <c r="CI7" i="2"/>
  <c r="CJ7" i="2"/>
  <c r="CK7" i="2"/>
  <c r="CL7" i="2"/>
  <c r="CM7" i="2"/>
  <c r="CN7" i="2"/>
  <c r="CO7" i="2"/>
  <c r="CP7" i="2"/>
  <c r="CQ7" i="2"/>
  <c r="CR7" i="2"/>
  <c r="CS7" i="2"/>
  <c r="CH8" i="2"/>
  <c r="CI8" i="2"/>
  <c r="CJ8" i="2"/>
  <c r="CK8" i="2"/>
  <c r="CL8" i="2"/>
  <c r="CM8" i="2"/>
  <c r="CN8" i="2"/>
  <c r="CO8" i="2"/>
  <c r="CP8" i="2"/>
  <c r="CQ8" i="2"/>
  <c r="CR8" i="2"/>
  <c r="CS8" i="2"/>
  <c r="CH9" i="2"/>
  <c r="CI9" i="2"/>
  <c r="CJ9" i="2"/>
  <c r="CK9" i="2"/>
  <c r="CL9" i="2"/>
  <c r="CM9" i="2"/>
  <c r="CN9" i="2"/>
  <c r="CO9" i="2"/>
  <c r="CP9" i="2"/>
  <c r="CQ9" i="2"/>
  <c r="CR9" i="2"/>
  <c r="CS9" i="2"/>
  <c r="CH10" i="2"/>
  <c r="CI10" i="2"/>
  <c r="CJ10" i="2"/>
  <c r="CK10" i="2"/>
  <c r="CL10" i="2"/>
  <c r="CM10" i="2"/>
  <c r="CN10" i="2"/>
  <c r="CO10" i="2"/>
  <c r="CP10" i="2"/>
  <c r="CQ10" i="2"/>
  <c r="CR10" i="2"/>
  <c r="CS10" i="2"/>
  <c r="CH11" i="2"/>
  <c r="CI11" i="2"/>
  <c r="CJ11" i="2"/>
  <c r="CK11" i="2"/>
  <c r="CL11" i="2"/>
  <c r="CM11" i="2"/>
  <c r="CN11" i="2"/>
  <c r="CO11" i="2"/>
  <c r="CP11" i="2"/>
  <c r="CQ11" i="2"/>
  <c r="CR11" i="2"/>
  <c r="CS11" i="2"/>
  <c r="CH12" i="2"/>
  <c r="CI12" i="2"/>
  <c r="CJ12" i="2"/>
  <c r="CK12" i="2"/>
  <c r="CL12" i="2"/>
  <c r="CM12" i="2"/>
  <c r="CN12" i="2"/>
  <c r="CO12" i="2"/>
  <c r="CP12" i="2"/>
  <c r="CQ12" i="2"/>
  <c r="CR12" i="2"/>
  <c r="CS12" i="2"/>
  <c r="CH13" i="2"/>
  <c r="CI13" i="2"/>
  <c r="CJ13" i="2"/>
  <c r="CK13" i="2"/>
  <c r="CL13" i="2"/>
  <c r="CM13" i="2"/>
  <c r="CN13" i="2"/>
  <c r="CO13" i="2"/>
  <c r="CP13" i="2"/>
  <c r="CQ13" i="2"/>
  <c r="CR13" i="2"/>
  <c r="CS13" i="2"/>
  <c r="CH14" i="2"/>
  <c r="CI14" i="2"/>
  <c r="CJ14" i="2"/>
  <c r="CK14" i="2"/>
  <c r="CL14" i="2"/>
  <c r="CM14" i="2"/>
  <c r="CN14" i="2"/>
  <c r="CO14" i="2"/>
  <c r="CP14" i="2"/>
  <c r="CQ14" i="2"/>
  <c r="CR14" i="2"/>
  <c r="CS14" i="2"/>
  <c r="CH15" i="2"/>
  <c r="CI15" i="2"/>
  <c r="CJ15" i="2"/>
  <c r="CK15" i="2"/>
  <c r="CL15" i="2"/>
  <c r="CM15" i="2"/>
  <c r="CN15" i="2"/>
  <c r="CO15" i="2"/>
  <c r="CP15" i="2"/>
  <c r="CQ15" i="2"/>
  <c r="CR15" i="2"/>
  <c r="CS15" i="2"/>
  <c r="CH16" i="2"/>
  <c r="CI16" i="2"/>
  <c r="CJ16" i="2"/>
  <c r="CK16" i="2"/>
  <c r="CL16" i="2"/>
  <c r="CM16" i="2"/>
  <c r="CN16" i="2"/>
  <c r="CO16" i="2"/>
  <c r="CP16" i="2"/>
  <c r="CQ16" i="2"/>
  <c r="CR16" i="2"/>
  <c r="CS16" i="2"/>
  <c r="CH17" i="2"/>
  <c r="CI17" i="2"/>
  <c r="CJ17" i="2"/>
  <c r="CK17" i="2"/>
  <c r="CL17" i="2"/>
  <c r="CM17" i="2"/>
  <c r="CN17" i="2"/>
  <c r="CO17" i="2"/>
  <c r="CP17" i="2"/>
  <c r="CQ17" i="2"/>
  <c r="CR17" i="2"/>
  <c r="CS17" i="2"/>
  <c r="CH18" i="2"/>
  <c r="CI18" i="2"/>
  <c r="CJ18" i="2"/>
  <c r="CK18" i="2"/>
  <c r="CL18" i="2"/>
  <c r="CM18" i="2"/>
  <c r="CN18" i="2"/>
  <c r="CO18" i="2"/>
  <c r="CP18" i="2"/>
  <c r="CQ18" i="2"/>
  <c r="CR18" i="2"/>
  <c r="CS18" i="2"/>
  <c r="CH19" i="2"/>
  <c r="CI19" i="2"/>
  <c r="CJ19" i="2"/>
  <c r="CK19" i="2"/>
  <c r="CL19" i="2"/>
  <c r="CM19" i="2"/>
  <c r="CN19" i="2"/>
  <c r="CO19" i="2"/>
  <c r="CP19" i="2"/>
  <c r="CQ19" i="2"/>
  <c r="CR19" i="2"/>
  <c r="CS19" i="2"/>
  <c r="CH20" i="2"/>
  <c r="CI20" i="2"/>
  <c r="CJ20" i="2"/>
  <c r="CK20" i="2"/>
  <c r="CL20" i="2"/>
  <c r="CM20" i="2"/>
  <c r="CN20" i="2"/>
  <c r="CO20" i="2"/>
  <c r="CP20" i="2"/>
  <c r="CQ20" i="2"/>
  <c r="CR20" i="2"/>
  <c r="CS20" i="2"/>
  <c r="CH21" i="2"/>
  <c r="CI21" i="2"/>
  <c r="CJ21" i="2"/>
  <c r="CK21" i="2"/>
  <c r="CL21" i="2"/>
  <c r="CM21" i="2"/>
  <c r="CN21" i="2"/>
  <c r="CO21" i="2"/>
  <c r="CP21" i="2"/>
  <c r="CQ21" i="2"/>
  <c r="CR21" i="2"/>
  <c r="CS21" i="2"/>
  <c r="CH22" i="2"/>
  <c r="CI22" i="2"/>
  <c r="CJ22" i="2"/>
  <c r="CK22" i="2"/>
  <c r="CL22" i="2"/>
  <c r="CM22" i="2"/>
  <c r="CN22" i="2"/>
  <c r="CO22" i="2"/>
  <c r="CP22" i="2"/>
  <c r="CQ22" i="2"/>
  <c r="CR22" i="2"/>
  <c r="CS22" i="2"/>
  <c r="CH23" i="2"/>
  <c r="CI23" i="2"/>
  <c r="CJ23" i="2"/>
  <c r="CK23" i="2"/>
  <c r="CL23" i="2"/>
  <c r="CM23" i="2"/>
  <c r="CN23" i="2"/>
  <c r="CO23" i="2"/>
  <c r="CP23" i="2"/>
  <c r="CQ23" i="2"/>
  <c r="CR23" i="2"/>
  <c r="CS23" i="2"/>
  <c r="CH24" i="2"/>
  <c r="CI24" i="2"/>
  <c r="CJ24" i="2"/>
  <c r="CK24" i="2"/>
  <c r="CL24" i="2"/>
  <c r="CM24" i="2"/>
  <c r="CN24" i="2"/>
  <c r="CO24" i="2"/>
  <c r="CP24" i="2"/>
  <c r="CQ24" i="2"/>
  <c r="CR24" i="2"/>
  <c r="CS24" i="2"/>
  <c r="CH25" i="2"/>
  <c r="CI25" i="2"/>
  <c r="CJ25" i="2"/>
  <c r="CK25" i="2"/>
  <c r="CL25" i="2"/>
  <c r="CM25" i="2"/>
  <c r="CN25" i="2"/>
  <c r="CO25" i="2"/>
  <c r="CP25" i="2"/>
  <c r="CQ25" i="2"/>
  <c r="CR25" i="2"/>
  <c r="CS25" i="2"/>
  <c r="CH26" i="2"/>
  <c r="CI26" i="2"/>
  <c r="CJ26" i="2"/>
  <c r="CK26" i="2"/>
  <c r="CL26" i="2"/>
  <c r="CM26" i="2"/>
  <c r="CN26" i="2"/>
  <c r="CO26" i="2"/>
  <c r="CP26" i="2"/>
  <c r="CQ26" i="2"/>
  <c r="CR26" i="2"/>
  <c r="CS26" i="2"/>
  <c r="CH27" i="2"/>
  <c r="CI27" i="2"/>
  <c r="CJ27" i="2"/>
  <c r="CK27" i="2"/>
  <c r="CL27" i="2"/>
  <c r="CM27" i="2"/>
  <c r="CN27" i="2"/>
  <c r="CO27" i="2"/>
  <c r="CP27" i="2"/>
  <c r="CQ27" i="2"/>
  <c r="CR27" i="2"/>
  <c r="CS27" i="2"/>
  <c r="CH28" i="2"/>
  <c r="CI28" i="2"/>
  <c r="CJ28" i="2"/>
  <c r="CK28" i="2"/>
  <c r="CL28" i="2"/>
  <c r="CM28" i="2"/>
  <c r="CN28" i="2"/>
  <c r="CO28" i="2"/>
  <c r="CP28" i="2"/>
  <c r="CQ28" i="2"/>
  <c r="CR28" i="2"/>
  <c r="CS28" i="2"/>
  <c r="CH29" i="2"/>
  <c r="CI29" i="2"/>
  <c r="CJ29" i="2"/>
  <c r="CK29" i="2"/>
  <c r="CL29" i="2"/>
  <c r="CM29" i="2"/>
  <c r="CN29" i="2"/>
  <c r="CO29" i="2"/>
  <c r="CP29" i="2"/>
  <c r="CQ29" i="2"/>
  <c r="CR29" i="2"/>
  <c r="CS29" i="2"/>
  <c r="CH30" i="2"/>
  <c r="CI30" i="2"/>
  <c r="CJ30" i="2"/>
  <c r="CK30" i="2"/>
  <c r="CL30" i="2"/>
  <c r="CM30" i="2"/>
  <c r="CN30" i="2"/>
  <c r="CO30" i="2"/>
  <c r="CP30" i="2"/>
  <c r="CQ30" i="2"/>
  <c r="CR30" i="2"/>
  <c r="CS30" i="2"/>
  <c r="CH31" i="2"/>
  <c r="CI31" i="2"/>
  <c r="CJ31" i="2"/>
  <c r="CK31" i="2"/>
  <c r="CL31" i="2"/>
  <c r="CM31" i="2"/>
  <c r="CN31" i="2"/>
  <c r="CO31" i="2"/>
  <c r="CP31" i="2"/>
  <c r="CQ31" i="2"/>
  <c r="CR31" i="2"/>
  <c r="CS31" i="2"/>
  <c r="CH32" i="2"/>
  <c r="CI32" i="2"/>
  <c r="CJ32" i="2"/>
  <c r="CK32" i="2"/>
  <c r="CL32" i="2"/>
  <c r="CM32" i="2"/>
  <c r="CN32" i="2"/>
  <c r="CO32" i="2"/>
  <c r="CP32" i="2"/>
  <c r="CQ32" i="2"/>
  <c r="CR32" i="2"/>
  <c r="CS32" i="2"/>
  <c r="CH33" i="2"/>
  <c r="CI33" i="2"/>
  <c r="CJ33" i="2"/>
  <c r="CK33" i="2"/>
  <c r="CL33" i="2"/>
  <c r="CM33" i="2"/>
  <c r="CN33" i="2"/>
  <c r="CO33" i="2"/>
  <c r="CP33" i="2"/>
  <c r="CQ33" i="2"/>
  <c r="CR33" i="2"/>
  <c r="CS33" i="2"/>
  <c r="CH34" i="2"/>
  <c r="CI34" i="2"/>
  <c r="CJ34" i="2"/>
  <c r="CK34" i="2"/>
  <c r="CL34" i="2"/>
  <c r="CM34" i="2"/>
  <c r="CN34" i="2"/>
  <c r="CO34" i="2"/>
  <c r="CP34" i="2"/>
  <c r="CQ34" i="2"/>
  <c r="CR34" i="2"/>
  <c r="CS34" i="2"/>
  <c r="CH35" i="2"/>
  <c r="CI35" i="2"/>
  <c r="CJ35" i="2"/>
  <c r="CK35" i="2"/>
  <c r="CL35" i="2"/>
  <c r="CM35" i="2"/>
  <c r="CN35" i="2"/>
  <c r="CO35" i="2"/>
  <c r="CP35" i="2"/>
  <c r="CQ35" i="2"/>
  <c r="CR35" i="2"/>
  <c r="CS35" i="2"/>
  <c r="CH36" i="2"/>
  <c r="CI36" i="2"/>
  <c r="CJ36" i="2"/>
  <c r="CK36" i="2"/>
  <c r="CL36" i="2"/>
  <c r="CM36" i="2"/>
  <c r="CN36" i="2"/>
  <c r="CO36" i="2"/>
  <c r="CP36" i="2"/>
  <c r="CQ36" i="2"/>
  <c r="CR36" i="2"/>
  <c r="CS36" i="2"/>
  <c r="CH37" i="2"/>
  <c r="CI37" i="2"/>
  <c r="CJ37" i="2"/>
  <c r="CK37" i="2"/>
  <c r="CL37" i="2"/>
  <c r="CM37" i="2"/>
  <c r="CN37" i="2"/>
  <c r="CO37" i="2"/>
  <c r="CP37" i="2"/>
  <c r="CQ37" i="2"/>
  <c r="CR37" i="2"/>
  <c r="CS37" i="2"/>
  <c r="CH38" i="2"/>
  <c r="CI38" i="2"/>
  <c r="CJ38" i="2"/>
  <c r="CK38" i="2"/>
  <c r="CL38" i="2"/>
  <c r="CM38" i="2"/>
  <c r="CN38" i="2"/>
  <c r="CO38" i="2"/>
  <c r="CP38" i="2"/>
  <c r="CQ38" i="2"/>
  <c r="CR38" i="2"/>
  <c r="CS38" i="2"/>
  <c r="CH39" i="2"/>
  <c r="CI39" i="2"/>
  <c r="CJ39" i="2"/>
  <c r="CK39" i="2"/>
  <c r="CL39" i="2"/>
  <c r="CM39" i="2"/>
  <c r="CN39" i="2"/>
  <c r="CO39" i="2"/>
  <c r="CP39" i="2"/>
  <c r="CQ39" i="2"/>
  <c r="CR39" i="2"/>
  <c r="CS39" i="2"/>
  <c r="CH40" i="2"/>
  <c r="CI40" i="2"/>
  <c r="CJ40" i="2"/>
  <c r="CK40" i="2"/>
  <c r="CL40" i="2"/>
  <c r="CM40" i="2"/>
  <c r="CN40" i="2"/>
  <c r="CO40" i="2"/>
  <c r="CP40" i="2"/>
  <c r="CQ40" i="2"/>
  <c r="CR40" i="2"/>
  <c r="CS40" i="2"/>
  <c r="CH41" i="2"/>
  <c r="CI41" i="2"/>
  <c r="CJ41" i="2"/>
  <c r="CK41" i="2"/>
  <c r="CL41" i="2"/>
  <c r="CM41" i="2"/>
  <c r="CN41" i="2"/>
  <c r="CO41" i="2"/>
  <c r="CP41" i="2"/>
  <c r="CQ41" i="2"/>
  <c r="CR41" i="2"/>
  <c r="CS41" i="2"/>
  <c r="CH42" i="2"/>
  <c r="CI42" i="2"/>
  <c r="CJ42" i="2"/>
  <c r="CK42" i="2"/>
  <c r="CL42" i="2"/>
  <c r="CM42" i="2"/>
  <c r="CN42" i="2"/>
  <c r="CO42" i="2"/>
  <c r="CP42" i="2"/>
  <c r="CQ42" i="2"/>
  <c r="CR42" i="2"/>
  <c r="CS42" i="2"/>
  <c r="CH43" i="2"/>
  <c r="CI43" i="2"/>
  <c r="CJ43" i="2"/>
  <c r="CK43" i="2"/>
  <c r="CL43" i="2"/>
  <c r="CM43" i="2"/>
  <c r="CN43" i="2"/>
  <c r="CO43" i="2"/>
  <c r="CP43" i="2"/>
  <c r="CQ43" i="2"/>
  <c r="CR43" i="2"/>
  <c r="CS43" i="2"/>
  <c r="CH44" i="2"/>
  <c r="CI44" i="2"/>
  <c r="CJ44" i="2"/>
  <c r="CK44" i="2"/>
  <c r="CL44" i="2"/>
  <c r="CM44" i="2"/>
  <c r="CN44" i="2"/>
  <c r="CO44" i="2"/>
  <c r="CP44" i="2"/>
  <c r="CQ44" i="2"/>
  <c r="CR44" i="2"/>
  <c r="CS44" i="2"/>
  <c r="CH45" i="2"/>
  <c r="CI45" i="2"/>
  <c r="CJ45" i="2"/>
  <c r="CK45" i="2"/>
  <c r="CL45" i="2"/>
  <c r="CM45" i="2"/>
  <c r="CN45" i="2"/>
  <c r="CO45" i="2"/>
  <c r="CP45" i="2"/>
  <c r="CQ45" i="2"/>
  <c r="CR45" i="2"/>
  <c r="CS45" i="2"/>
  <c r="CH46" i="2"/>
  <c r="CI46" i="2"/>
  <c r="CJ46" i="2"/>
  <c r="CK46" i="2"/>
  <c r="CL46" i="2"/>
  <c r="CM46" i="2"/>
  <c r="CN46" i="2"/>
  <c r="CO46" i="2"/>
  <c r="CP46" i="2"/>
  <c r="CQ46" i="2"/>
  <c r="CR46" i="2"/>
  <c r="CS46" i="2"/>
  <c r="CH47" i="2"/>
  <c r="CI47" i="2"/>
  <c r="CJ47" i="2"/>
  <c r="CK47" i="2"/>
  <c r="CL47" i="2"/>
  <c r="CM47" i="2"/>
  <c r="CN47" i="2"/>
  <c r="CO47" i="2"/>
  <c r="CP47" i="2"/>
  <c r="CQ47" i="2"/>
  <c r="CR47" i="2"/>
  <c r="CS47" i="2"/>
  <c r="CH48" i="2"/>
  <c r="CI48" i="2"/>
  <c r="CJ48" i="2"/>
  <c r="CK48" i="2"/>
  <c r="CL48" i="2"/>
  <c r="CM48" i="2"/>
  <c r="CN48" i="2"/>
  <c r="CO48" i="2"/>
  <c r="CP48" i="2"/>
  <c r="CQ48" i="2"/>
  <c r="CR48" i="2"/>
  <c r="CS48" i="2"/>
  <c r="CH49" i="2"/>
  <c r="CI49" i="2"/>
  <c r="CJ49" i="2"/>
  <c r="CK49" i="2"/>
  <c r="CL49" i="2"/>
  <c r="CM49" i="2"/>
  <c r="CN49" i="2"/>
  <c r="CO49" i="2"/>
  <c r="CP49" i="2"/>
  <c r="CQ49" i="2"/>
  <c r="CR49" i="2"/>
  <c r="CS49" i="2"/>
  <c r="CH50" i="2"/>
  <c r="CI50" i="2"/>
  <c r="CJ50" i="2"/>
  <c r="CK50" i="2"/>
  <c r="CL50" i="2"/>
  <c r="CM50" i="2"/>
  <c r="CN50" i="2"/>
  <c r="CO50" i="2"/>
  <c r="CP50" i="2"/>
  <c r="CQ50" i="2"/>
  <c r="CR50" i="2"/>
  <c r="CS50" i="2"/>
  <c r="CH51" i="2"/>
  <c r="CI51" i="2"/>
  <c r="CJ51" i="2"/>
  <c r="CK51" i="2"/>
  <c r="CL51" i="2"/>
  <c r="CM51" i="2"/>
  <c r="CN51" i="2"/>
  <c r="CO51" i="2"/>
  <c r="CP51" i="2"/>
  <c r="CQ51" i="2"/>
  <c r="CR51" i="2"/>
  <c r="CS51" i="2"/>
  <c r="CH52" i="2"/>
  <c r="CI52" i="2"/>
  <c r="CJ52" i="2"/>
  <c r="CK52" i="2"/>
  <c r="CL52" i="2"/>
  <c r="CM52" i="2"/>
  <c r="CN52" i="2"/>
  <c r="CO52" i="2"/>
  <c r="CP52" i="2"/>
  <c r="CQ52" i="2"/>
  <c r="CR52" i="2"/>
  <c r="CS52" i="2"/>
  <c r="CH53" i="2"/>
  <c r="CI53" i="2"/>
  <c r="CJ53" i="2"/>
  <c r="CK53" i="2"/>
  <c r="CL53" i="2"/>
  <c r="CM53" i="2"/>
  <c r="CN53" i="2"/>
  <c r="CO53" i="2"/>
  <c r="CP53" i="2"/>
  <c r="CQ53" i="2"/>
  <c r="CR53" i="2"/>
  <c r="CS53" i="2"/>
  <c r="CH54" i="2"/>
  <c r="CI54" i="2"/>
  <c r="CJ54" i="2"/>
  <c r="CK54" i="2"/>
  <c r="CL54" i="2"/>
  <c r="CM54" i="2"/>
  <c r="CN54" i="2"/>
  <c r="CO54" i="2"/>
  <c r="CP54" i="2"/>
  <c r="CQ54" i="2"/>
  <c r="CR54" i="2"/>
  <c r="CS54" i="2"/>
  <c r="CH55" i="2"/>
  <c r="CI55" i="2"/>
  <c r="CJ55" i="2"/>
  <c r="CK55" i="2"/>
  <c r="CL55" i="2"/>
  <c r="CM55" i="2"/>
  <c r="CN55" i="2"/>
  <c r="CO55" i="2"/>
  <c r="CP55" i="2"/>
  <c r="CQ55" i="2"/>
  <c r="CR55" i="2"/>
  <c r="CS55" i="2"/>
  <c r="CH56" i="2"/>
  <c r="CI56" i="2"/>
  <c r="CJ56" i="2"/>
  <c r="CK56" i="2"/>
  <c r="CL56" i="2"/>
  <c r="CM56" i="2"/>
  <c r="CN56" i="2"/>
  <c r="CO56" i="2"/>
  <c r="CP56" i="2"/>
  <c r="CQ56" i="2"/>
  <c r="CR56" i="2"/>
  <c r="CS56" i="2"/>
  <c r="CH57" i="2"/>
  <c r="CI57" i="2"/>
  <c r="CJ57" i="2"/>
  <c r="CK57" i="2"/>
  <c r="CL57" i="2"/>
  <c r="CM57" i="2"/>
  <c r="CN57" i="2"/>
  <c r="CO57" i="2"/>
  <c r="CP57" i="2"/>
  <c r="CQ57" i="2"/>
  <c r="CR57" i="2"/>
  <c r="CS57" i="2"/>
  <c r="CH58" i="2"/>
  <c r="CI58" i="2"/>
  <c r="CJ58" i="2"/>
  <c r="CK58" i="2"/>
  <c r="CL58" i="2"/>
  <c r="CM58" i="2"/>
  <c r="CN58" i="2"/>
  <c r="CO58" i="2"/>
  <c r="CP58" i="2"/>
  <c r="CQ58" i="2"/>
  <c r="CR58" i="2"/>
  <c r="CS58" i="2"/>
  <c r="CH59" i="2"/>
  <c r="CI59" i="2"/>
  <c r="CJ59" i="2"/>
  <c r="CK59" i="2"/>
  <c r="CL59" i="2"/>
  <c r="CM59" i="2"/>
  <c r="CN59" i="2"/>
  <c r="CO59" i="2"/>
  <c r="CP59" i="2"/>
  <c r="CQ59" i="2"/>
  <c r="CR59" i="2"/>
  <c r="CS59" i="2"/>
  <c r="CH60" i="2"/>
  <c r="CI60" i="2"/>
  <c r="CJ60" i="2"/>
  <c r="CK60" i="2"/>
  <c r="CL60" i="2"/>
  <c r="CM60" i="2"/>
  <c r="CN60" i="2"/>
  <c r="CO60" i="2"/>
  <c r="CP60" i="2"/>
  <c r="CQ60" i="2"/>
  <c r="CR60" i="2"/>
  <c r="CS60" i="2"/>
  <c r="CH61" i="2"/>
  <c r="CI61" i="2"/>
  <c r="CJ61" i="2"/>
  <c r="CK61" i="2"/>
  <c r="CL61" i="2"/>
  <c r="CM61" i="2"/>
  <c r="CN61" i="2"/>
  <c r="CO61" i="2"/>
  <c r="CP61" i="2"/>
  <c r="CQ61" i="2"/>
  <c r="CR61" i="2"/>
  <c r="CS61" i="2"/>
  <c r="CH62" i="2"/>
  <c r="CI62" i="2"/>
  <c r="CJ62" i="2"/>
  <c r="CK62" i="2"/>
  <c r="CL62" i="2"/>
  <c r="CM62" i="2"/>
  <c r="CN62" i="2"/>
  <c r="CO62" i="2"/>
  <c r="CP62" i="2"/>
  <c r="CQ62" i="2"/>
  <c r="CR62" i="2"/>
  <c r="CS62" i="2"/>
  <c r="CH63" i="2"/>
  <c r="CI63" i="2"/>
  <c r="CJ63" i="2"/>
  <c r="CK63" i="2"/>
  <c r="CL63" i="2"/>
  <c r="CM63" i="2"/>
  <c r="CN63" i="2"/>
  <c r="CO63" i="2"/>
  <c r="CP63" i="2"/>
  <c r="CQ63" i="2"/>
  <c r="CR63" i="2"/>
  <c r="CS63" i="2"/>
  <c r="CH64" i="2"/>
  <c r="CI64" i="2"/>
  <c r="CJ64" i="2"/>
  <c r="CK64" i="2"/>
  <c r="CL64" i="2"/>
  <c r="CM64" i="2"/>
  <c r="CN64" i="2"/>
  <c r="CO64" i="2"/>
  <c r="CP64" i="2"/>
  <c r="CQ64" i="2"/>
  <c r="CR64" i="2"/>
  <c r="CS64" i="2"/>
  <c r="CH65" i="2"/>
  <c r="CI65" i="2"/>
  <c r="CJ65" i="2"/>
  <c r="CK65" i="2"/>
  <c r="CL65" i="2"/>
  <c r="CM65" i="2"/>
  <c r="CN65" i="2"/>
  <c r="CO65" i="2"/>
  <c r="CP65" i="2"/>
  <c r="CQ65" i="2"/>
  <c r="CR65" i="2"/>
  <c r="CS65" i="2"/>
  <c r="CH66" i="2"/>
  <c r="CI66" i="2"/>
  <c r="CJ66" i="2"/>
  <c r="CK66" i="2"/>
  <c r="CL66" i="2"/>
  <c r="CM66" i="2"/>
  <c r="CN66" i="2"/>
  <c r="CO66" i="2"/>
  <c r="CP66" i="2"/>
  <c r="CQ66" i="2"/>
  <c r="CR66" i="2"/>
  <c r="CS66" i="2"/>
  <c r="CH67" i="2"/>
  <c r="CI67" i="2"/>
  <c r="CJ67" i="2"/>
  <c r="CK67" i="2"/>
  <c r="CL67" i="2"/>
  <c r="CM67" i="2"/>
  <c r="CN67" i="2"/>
  <c r="CO67" i="2"/>
  <c r="CP67" i="2"/>
  <c r="CQ67" i="2"/>
  <c r="CR67" i="2"/>
  <c r="CS67" i="2"/>
  <c r="CH68" i="2"/>
  <c r="CI68" i="2"/>
  <c r="CJ68" i="2"/>
  <c r="CK68" i="2"/>
  <c r="CL68" i="2"/>
  <c r="CM68" i="2"/>
  <c r="CN68" i="2"/>
  <c r="CO68" i="2"/>
  <c r="CP68" i="2"/>
  <c r="CQ68" i="2"/>
  <c r="CR68" i="2"/>
  <c r="CS68" i="2"/>
  <c r="CH69" i="2"/>
  <c r="CI69" i="2"/>
  <c r="CJ69" i="2"/>
  <c r="CK69" i="2"/>
  <c r="CL69" i="2"/>
  <c r="CM69" i="2"/>
  <c r="CN69" i="2"/>
  <c r="CO69" i="2"/>
  <c r="CP69" i="2"/>
  <c r="CQ69" i="2"/>
  <c r="CR69" i="2"/>
  <c r="CS69" i="2"/>
  <c r="CH70" i="2"/>
  <c r="CI70" i="2"/>
  <c r="CJ70" i="2"/>
  <c r="CK70" i="2"/>
  <c r="CL70" i="2"/>
  <c r="CM70" i="2"/>
  <c r="CN70" i="2"/>
  <c r="CO70" i="2"/>
  <c r="CP70" i="2"/>
  <c r="CQ70" i="2"/>
  <c r="CR70" i="2"/>
  <c r="CS70" i="2"/>
  <c r="CH71" i="2"/>
  <c r="CI71" i="2"/>
  <c r="CJ71" i="2"/>
  <c r="CK71" i="2"/>
  <c r="CL71" i="2"/>
  <c r="CM71" i="2"/>
  <c r="CN71" i="2"/>
  <c r="CO71" i="2"/>
  <c r="CP71" i="2"/>
  <c r="CQ71" i="2"/>
  <c r="CR71" i="2"/>
  <c r="CS71" i="2"/>
  <c r="CH72" i="2"/>
  <c r="CI72" i="2"/>
  <c r="CJ72" i="2"/>
  <c r="CK72" i="2"/>
  <c r="CL72" i="2"/>
  <c r="CM72" i="2"/>
  <c r="CN72" i="2"/>
  <c r="CO72" i="2"/>
  <c r="CP72" i="2"/>
  <c r="CQ72" i="2"/>
  <c r="CR72" i="2"/>
  <c r="CS72" i="2"/>
  <c r="CH73" i="2"/>
  <c r="CI73" i="2"/>
  <c r="CJ73" i="2"/>
  <c r="CK73" i="2"/>
  <c r="CL73" i="2"/>
  <c r="CM73" i="2"/>
  <c r="CN73" i="2"/>
  <c r="CO73" i="2"/>
  <c r="CP73" i="2"/>
  <c r="CQ73" i="2"/>
  <c r="CR73" i="2"/>
  <c r="CS73" i="2"/>
  <c r="CH74" i="2"/>
  <c r="CI74" i="2"/>
  <c r="CJ74" i="2"/>
  <c r="CK74" i="2"/>
  <c r="CL74" i="2"/>
  <c r="CM74" i="2"/>
  <c r="CN74" i="2"/>
  <c r="CO74" i="2"/>
  <c r="CP74" i="2"/>
  <c r="CQ74" i="2"/>
  <c r="CR74" i="2"/>
  <c r="CS74" i="2"/>
  <c r="CH75" i="2"/>
  <c r="CI75" i="2"/>
  <c r="CJ75" i="2"/>
  <c r="CK75" i="2"/>
  <c r="CL75" i="2"/>
  <c r="CM75" i="2"/>
  <c r="CN75" i="2"/>
  <c r="CO75" i="2"/>
  <c r="CP75" i="2"/>
  <c r="CQ75" i="2"/>
  <c r="CR75" i="2"/>
  <c r="CS75" i="2"/>
  <c r="CH76" i="2"/>
  <c r="CI76" i="2"/>
  <c r="CJ76" i="2"/>
  <c r="CK76" i="2"/>
  <c r="CL76" i="2"/>
  <c r="CM76" i="2"/>
  <c r="CN76" i="2"/>
  <c r="CO76" i="2"/>
  <c r="CP76" i="2"/>
  <c r="CQ76" i="2"/>
  <c r="CR76" i="2"/>
  <c r="CS76" i="2"/>
  <c r="CH77" i="2"/>
  <c r="CI77" i="2"/>
  <c r="CJ77" i="2"/>
  <c r="CK77" i="2"/>
  <c r="CL77" i="2"/>
  <c r="CM77" i="2"/>
  <c r="CN77" i="2"/>
  <c r="CO77" i="2"/>
  <c r="CP77" i="2"/>
  <c r="CQ77" i="2"/>
  <c r="CR77" i="2"/>
  <c r="CS77" i="2"/>
  <c r="CH78" i="2"/>
  <c r="CI78" i="2"/>
  <c r="CJ78" i="2"/>
  <c r="CK78" i="2"/>
  <c r="CL78" i="2"/>
  <c r="CM78" i="2"/>
  <c r="CN78" i="2"/>
  <c r="CO78" i="2"/>
  <c r="CP78" i="2"/>
  <c r="CQ78" i="2"/>
  <c r="CR78" i="2"/>
  <c r="CS78" i="2"/>
  <c r="CH79" i="2"/>
  <c r="CI79" i="2"/>
  <c r="CJ79" i="2"/>
  <c r="CK79" i="2"/>
  <c r="CL79" i="2"/>
  <c r="CM79" i="2"/>
  <c r="CN79" i="2"/>
  <c r="CO79" i="2"/>
  <c r="CP79" i="2"/>
  <c r="CQ79" i="2"/>
  <c r="CR79" i="2"/>
  <c r="CS79" i="2"/>
  <c r="CH80" i="2"/>
  <c r="CI80" i="2"/>
  <c r="CJ80" i="2"/>
  <c r="CK80" i="2"/>
  <c r="CL80" i="2"/>
  <c r="CM80" i="2"/>
  <c r="CN80" i="2"/>
  <c r="CO80" i="2"/>
  <c r="CP80" i="2"/>
  <c r="CQ80" i="2"/>
  <c r="CR80" i="2"/>
  <c r="CS80" i="2"/>
  <c r="CH81" i="2"/>
  <c r="CI81" i="2"/>
  <c r="CJ81" i="2"/>
  <c r="CK81" i="2"/>
  <c r="CL81" i="2"/>
  <c r="CM81" i="2"/>
  <c r="CN81" i="2"/>
  <c r="CO81" i="2"/>
  <c r="CP81" i="2"/>
  <c r="CQ81" i="2"/>
  <c r="CR81" i="2"/>
  <c r="CS81" i="2"/>
  <c r="CH82" i="2"/>
  <c r="CI82" i="2"/>
  <c r="CJ82" i="2"/>
  <c r="CK82" i="2"/>
  <c r="CL82" i="2"/>
  <c r="CM82" i="2"/>
  <c r="CN82" i="2"/>
  <c r="CO82" i="2"/>
  <c r="CP82" i="2"/>
  <c r="CQ82" i="2"/>
  <c r="CR82" i="2"/>
  <c r="CS82" i="2"/>
  <c r="CH83" i="2"/>
  <c r="CI83" i="2"/>
  <c r="CJ83" i="2"/>
  <c r="CK83" i="2"/>
  <c r="CL83" i="2"/>
  <c r="CM83" i="2"/>
  <c r="CN83" i="2"/>
  <c r="CO83" i="2"/>
  <c r="CP83" i="2"/>
  <c r="CQ83" i="2"/>
  <c r="CR83" i="2"/>
  <c r="CS83" i="2"/>
  <c r="CH84" i="2"/>
  <c r="CI84" i="2"/>
  <c r="CJ84" i="2"/>
  <c r="CK84" i="2"/>
  <c r="CL84" i="2"/>
  <c r="CM84" i="2"/>
  <c r="CN84" i="2"/>
  <c r="CO84" i="2"/>
  <c r="CP84" i="2"/>
  <c r="CQ84" i="2"/>
  <c r="CR84" i="2"/>
  <c r="CS84" i="2"/>
  <c r="CH85" i="2"/>
  <c r="CI85" i="2"/>
  <c r="CJ85" i="2"/>
  <c r="CK85" i="2"/>
  <c r="CL85" i="2"/>
  <c r="CM85" i="2"/>
  <c r="CN85" i="2"/>
  <c r="CO85" i="2"/>
  <c r="CP85" i="2"/>
  <c r="CQ85" i="2"/>
  <c r="CR85" i="2"/>
  <c r="CS85" i="2"/>
  <c r="CH86" i="2"/>
  <c r="CI86" i="2"/>
  <c r="CJ86" i="2"/>
  <c r="CK86" i="2"/>
  <c r="CL86" i="2"/>
  <c r="CM86" i="2"/>
  <c r="CN86" i="2"/>
  <c r="CO86" i="2"/>
  <c r="CP86" i="2"/>
  <c r="CQ86" i="2"/>
  <c r="CR86" i="2"/>
  <c r="CS86" i="2"/>
  <c r="CH87" i="2"/>
  <c r="CI87" i="2"/>
  <c r="CJ87" i="2"/>
  <c r="CK87" i="2"/>
  <c r="CL87" i="2"/>
  <c r="CM87" i="2"/>
  <c r="CN87" i="2"/>
  <c r="CO87" i="2"/>
  <c r="CP87" i="2"/>
  <c r="CQ87" i="2"/>
  <c r="CR87" i="2"/>
  <c r="CS87" i="2"/>
  <c r="CH88" i="2"/>
  <c r="CI88" i="2"/>
  <c r="CJ88" i="2"/>
  <c r="CK88" i="2"/>
  <c r="CL88" i="2"/>
  <c r="CM88" i="2"/>
  <c r="CN88" i="2"/>
  <c r="CO88" i="2"/>
  <c r="CP88" i="2"/>
  <c r="CQ88" i="2"/>
  <c r="CR88" i="2"/>
  <c r="CS88" i="2"/>
  <c r="CH89" i="2"/>
  <c r="CI89" i="2"/>
  <c r="CJ89" i="2"/>
  <c r="CK89" i="2"/>
  <c r="CL89" i="2"/>
  <c r="CM89" i="2"/>
  <c r="CN89" i="2"/>
  <c r="CO89" i="2"/>
  <c r="CP89" i="2"/>
  <c r="CQ89" i="2"/>
  <c r="CR89" i="2"/>
  <c r="CS89" i="2"/>
  <c r="CH90" i="2"/>
  <c r="CI90" i="2"/>
  <c r="CJ90" i="2"/>
  <c r="CK90" i="2"/>
  <c r="CL90" i="2"/>
  <c r="CM90" i="2"/>
  <c r="CN90" i="2"/>
  <c r="CO90" i="2"/>
  <c r="CP90" i="2"/>
  <c r="CQ90" i="2"/>
  <c r="CR90" i="2"/>
  <c r="CS90" i="2"/>
  <c r="CH91" i="2"/>
  <c r="CI91" i="2"/>
  <c r="CJ91" i="2"/>
  <c r="CK91" i="2"/>
  <c r="CL91" i="2"/>
  <c r="CM91" i="2"/>
  <c r="CN91" i="2"/>
  <c r="CO91" i="2"/>
  <c r="CP91" i="2"/>
  <c r="CQ91" i="2"/>
  <c r="CR91" i="2"/>
  <c r="CS91" i="2"/>
  <c r="CH92" i="2"/>
  <c r="CI92" i="2"/>
  <c r="CJ92" i="2"/>
  <c r="CK92" i="2"/>
  <c r="CL92" i="2"/>
  <c r="CM92" i="2"/>
  <c r="CN92" i="2"/>
  <c r="CO92" i="2"/>
  <c r="CP92" i="2"/>
  <c r="CQ92" i="2"/>
  <c r="CR92" i="2"/>
  <c r="CS92" i="2"/>
  <c r="CH93" i="2"/>
  <c r="CI93" i="2"/>
  <c r="CJ93" i="2"/>
  <c r="CK93" i="2"/>
  <c r="CL93" i="2"/>
  <c r="CM93" i="2"/>
  <c r="CN93" i="2"/>
  <c r="CO93" i="2"/>
  <c r="CP93" i="2"/>
  <c r="CQ93" i="2"/>
  <c r="CR93" i="2"/>
  <c r="CS93" i="2"/>
  <c r="CH94" i="2"/>
  <c r="CI94" i="2"/>
  <c r="CJ94" i="2"/>
  <c r="CK94" i="2"/>
  <c r="CL94" i="2"/>
  <c r="CM94" i="2"/>
  <c r="CN94" i="2"/>
  <c r="CO94" i="2"/>
  <c r="CP94" i="2"/>
  <c r="CQ94" i="2"/>
  <c r="CR94" i="2"/>
  <c r="CS94" i="2"/>
  <c r="CH95" i="2"/>
  <c r="CI95" i="2"/>
  <c r="CJ95" i="2"/>
  <c r="CK95" i="2"/>
  <c r="CL95" i="2"/>
  <c r="CM95" i="2"/>
  <c r="CN95" i="2"/>
  <c r="CO95" i="2"/>
  <c r="CP95" i="2"/>
  <c r="CQ95" i="2"/>
  <c r="CR95" i="2"/>
  <c r="CS95" i="2"/>
  <c r="CH96" i="2"/>
  <c r="CI96" i="2"/>
  <c r="CJ96" i="2"/>
  <c r="CK96" i="2"/>
  <c r="CL96" i="2"/>
  <c r="CM96" i="2"/>
  <c r="CN96" i="2"/>
  <c r="CO96" i="2"/>
  <c r="CP96" i="2"/>
  <c r="CQ96" i="2"/>
  <c r="CR96" i="2"/>
  <c r="CS96" i="2"/>
  <c r="CH97" i="2"/>
  <c r="CI97" i="2"/>
  <c r="CJ97" i="2"/>
  <c r="CK97" i="2"/>
  <c r="CL97" i="2"/>
  <c r="CM97" i="2"/>
  <c r="CN97" i="2"/>
  <c r="CO97" i="2"/>
  <c r="CP97" i="2"/>
  <c r="CQ97" i="2"/>
  <c r="CR97" i="2"/>
  <c r="CS97" i="2"/>
  <c r="CH98" i="2"/>
  <c r="CI98" i="2"/>
  <c r="CJ98" i="2"/>
  <c r="CK98" i="2"/>
  <c r="CL98" i="2"/>
  <c r="CM98" i="2"/>
  <c r="CN98" i="2"/>
  <c r="CO98" i="2"/>
  <c r="CP98" i="2"/>
  <c r="CQ98" i="2"/>
  <c r="CR98" i="2"/>
  <c r="CS98" i="2"/>
  <c r="CH99" i="2"/>
  <c r="CI99" i="2"/>
  <c r="CJ99" i="2"/>
  <c r="CK99" i="2"/>
  <c r="CL99" i="2"/>
  <c r="CM99" i="2"/>
  <c r="CN99" i="2"/>
  <c r="CO99" i="2"/>
  <c r="CP99" i="2"/>
  <c r="CQ99" i="2"/>
  <c r="CR99" i="2"/>
  <c r="CS99" i="2"/>
  <c r="CH100" i="2"/>
  <c r="CI100" i="2"/>
  <c r="CJ100" i="2"/>
  <c r="CK100" i="2"/>
  <c r="CL100" i="2"/>
  <c r="CM100" i="2"/>
  <c r="CN100" i="2"/>
  <c r="CO100" i="2"/>
  <c r="CP100" i="2"/>
  <c r="CQ100" i="2"/>
  <c r="CR100" i="2"/>
  <c r="CS100" i="2"/>
  <c r="CH101" i="2"/>
  <c r="CI101" i="2"/>
  <c r="CJ101" i="2"/>
  <c r="CK101" i="2"/>
  <c r="CL101" i="2"/>
  <c r="CM101" i="2"/>
  <c r="CN101" i="2"/>
  <c r="CO101" i="2"/>
  <c r="CP101" i="2"/>
  <c r="CQ101" i="2"/>
  <c r="CR101" i="2"/>
  <c r="CS101" i="2"/>
  <c r="CH102" i="2"/>
  <c r="CI102" i="2"/>
  <c r="CJ102" i="2"/>
  <c r="CK102" i="2"/>
  <c r="CL102" i="2"/>
  <c r="CM102" i="2"/>
  <c r="CN102" i="2"/>
  <c r="CO102" i="2"/>
  <c r="CP102" i="2"/>
  <c r="CQ102" i="2"/>
  <c r="CR102" i="2"/>
  <c r="CS102" i="2"/>
  <c r="CH103" i="2"/>
  <c r="CI103" i="2"/>
  <c r="CJ103" i="2"/>
  <c r="CK103" i="2"/>
  <c r="CL103" i="2"/>
  <c r="CM103" i="2"/>
  <c r="CN103" i="2"/>
  <c r="CO103" i="2"/>
  <c r="CP103" i="2"/>
  <c r="CQ103" i="2"/>
  <c r="CR103" i="2"/>
  <c r="CS103" i="2"/>
  <c r="BT4" i="2"/>
  <c r="BF4" i="2" s="1" a="1"/>
  <c r="BF4" i="2" s="1"/>
  <c r="BU4" i="2"/>
  <c r="BV4" i="2"/>
  <c r="BH4" i="2" s="1" a="1"/>
  <c r="BH4" i="2" s="1"/>
  <c r="BW4" i="2"/>
  <c r="BX4" i="2"/>
  <c r="BY4" i="2"/>
  <c r="J60" i="7" s="1"/>
  <c r="J64" i="7" s="1"/>
  <c r="BZ4" i="2"/>
  <c r="K60" i="7" s="1"/>
  <c r="K64" i="7" s="1"/>
  <c r="CA4" i="2"/>
  <c r="EE4" i="2" s="1"/>
  <c r="CB4" i="2"/>
  <c r="EF4" i="2" s="1"/>
  <c r="CC4" i="2"/>
  <c r="EG4" i="2" s="1"/>
  <c r="CD4" i="2"/>
  <c r="O60" i="7" s="1"/>
  <c r="O64" i="7" s="1"/>
  <c r="CE4" i="2"/>
  <c r="BT5" i="2"/>
  <c r="BU5" i="2"/>
  <c r="BV5" i="2"/>
  <c r="BH5" i="2" s="1" a="1"/>
  <c r="BH5" i="2" s="1"/>
  <c r="BW5" i="2"/>
  <c r="EA5" i="2" s="1"/>
  <c r="BX5" i="2"/>
  <c r="BY5" i="2"/>
  <c r="BZ5" i="2"/>
  <c r="CA5" i="2"/>
  <c r="CB5" i="2"/>
  <c r="BN5" i="2" s="1" a="1"/>
  <c r="BN5" i="2" s="1"/>
  <c r="CC5" i="2"/>
  <c r="EG5" i="2" s="1"/>
  <c r="CD5" i="2"/>
  <c r="CE5" i="2"/>
  <c r="EI5" i="2" s="1"/>
  <c r="BT6" i="2"/>
  <c r="DX6" i="2" s="1"/>
  <c r="BU6" i="2"/>
  <c r="BV6" i="2"/>
  <c r="BW6" i="2"/>
  <c r="BX6" i="2"/>
  <c r="BY6" i="2"/>
  <c r="BZ6" i="2"/>
  <c r="CA6" i="2"/>
  <c r="EE6" i="2" s="1"/>
  <c r="CB6" i="2"/>
  <c r="CC6" i="2"/>
  <c r="CD6" i="2"/>
  <c r="CE6" i="2"/>
  <c r="BT7" i="2"/>
  <c r="DX7" i="2" s="1"/>
  <c r="BU7" i="2"/>
  <c r="BG7" i="2" s="1" a="1"/>
  <c r="BG7" i="2" s="1"/>
  <c r="BV7" i="2"/>
  <c r="BH7" i="2" s="1" a="1"/>
  <c r="BH7" i="2" s="1"/>
  <c r="BW7" i="2"/>
  <c r="BX7" i="2"/>
  <c r="BY7" i="2"/>
  <c r="BZ7" i="2"/>
  <c r="CA7" i="2"/>
  <c r="CB7" i="2"/>
  <c r="EF7" i="2" s="1"/>
  <c r="CC7" i="2"/>
  <c r="EG7" i="2" s="1"/>
  <c r="CD7" i="2"/>
  <c r="CE7" i="2"/>
  <c r="BT8" i="2"/>
  <c r="BU8" i="2"/>
  <c r="BG8" i="2" s="1" a="1"/>
  <c r="BG8" i="2" s="1"/>
  <c r="BV8" i="2"/>
  <c r="DZ8" i="2" s="1"/>
  <c r="BW8" i="2"/>
  <c r="BX8" i="2"/>
  <c r="BY8" i="2"/>
  <c r="EC8" i="2" s="1"/>
  <c r="BZ8" i="2"/>
  <c r="BL8" i="2" s="1" a="1"/>
  <c r="BL8" i="2" s="1"/>
  <c r="CA8" i="2"/>
  <c r="CB8" i="2"/>
  <c r="BN8" i="2" s="1" a="1"/>
  <c r="BN8" i="2" s="1"/>
  <c r="CC8" i="2"/>
  <c r="CD8" i="2"/>
  <c r="CE8" i="2"/>
  <c r="BT9" i="2"/>
  <c r="DX9" i="2" s="1"/>
  <c r="BU9" i="2"/>
  <c r="BV9" i="2"/>
  <c r="BW9" i="2"/>
  <c r="BX9" i="2"/>
  <c r="BY9" i="2"/>
  <c r="BZ9" i="2"/>
  <c r="CA9" i="2"/>
  <c r="CB9" i="2"/>
  <c r="CC9" i="2"/>
  <c r="CD9" i="2"/>
  <c r="CE9" i="2"/>
  <c r="BT10" i="2"/>
  <c r="BF10" i="2" s="1" a="1"/>
  <c r="BF10" i="2" s="1"/>
  <c r="BU10" i="2"/>
  <c r="BV10" i="2"/>
  <c r="BH10" i="2" s="1" a="1"/>
  <c r="BH10" i="2" s="1"/>
  <c r="BW10" i="2"/>
  <c r="BX10" i="2"/>
  <c r="BY10" i="2"/>
  <c r="BZ10" i="2"/>
  <c r="CA10" i="2"/>
  <c r="EE10" i="2" s="1"/>
  <c r="CB10" i="2"/>
  <c r="EF10" i="2" s="1"/>
  <c r="CC10" i="2"/>
  <c r="EG10" i="2" s="1"/>
  <c r="CD10" i="2"/>
  <c r="CE10" i="2"/>
  <c r="BT11" i="2"/>
  <c r="BU11" i="2"/>
  <c r="BG11" i="2" s="1" a="1"/>
  <c r="BG11" i="2" s="1"/>
  <c r="BV11" i="2"/>
  <c r="BH11" i="2" s="1" a="1"/>
  <c r="BH11" i="2" s="1"/>
  <c r="BW11" i="2"/>
  <c r="BX11" i="2"/>
  <c r="BY11" i="2"/>
  <c r="EC11" i="2" s="1"/>
  <c r="BZ11" i="2"/>
  <c r="CA11" i="2"/>
  <c r="CB11" i="2"/>
  <c r="BN11" i="2" s="1" a="1"/>
  <c r="BN11" i="2" s="1"/>
  <c r="CC11" i="2"/>
  <c r="CD11" i="2"/>
  <c r="CE11" i="2"/>
  <c r="EI11" i="2" s="1"/>
  <c r="BT12" i="2"/>
  <c r="DX12" i="2" s="1"/>
  <c r="BU12" i="2"/>
  <c r="BV12" i="2"/>
  <c r="BW12" i="2"/>
  <c r="BX12" i="2"/>
  <c r="BY12" i="2"/>
  <c r="BZ12" i="2"/>
  <c r="BL12" i="2" s="1" a="1"/>
  <c r="BL12" i="2" s="1"/>
  <c r="CA12" i="2"/>
  <c r="EE12" i="2" s="1"/>
  <c r="CB12" i="2"/>
  <c r="CC12" i="2"/>
  <c r="CD12" i="2"/>
  <c r="CE12" i="2"/>
  <c r="EI12" i="2" s="1"/>
  <c r="BT13" i="2"/>
  <c r="BU13" i="2"/>
  <c r="DY13" i="2" s="1"/>
  <c r="BV13" i="2"/>
  <c r="BH13" i="2" s="1" a="1"/>
  <c r="BH13" i="2" s="1"/>
  <c r="BW13" i="2"/>
  <c r="BX13" i="2"/>
  <c r="BY13" i="2"/>
  <c r="BZ13" i="2"/>
  <c r="CA13" i="2"/>
  <c r="EE13" i="2" s="1"/>
  <c r="CB13" i="2"/>
  <c r="CC13" i="2"/>
  <c r="CD13" i="2"/>
  <c r="CE13" i="2"/>
  <c r="EI13" i="2" s="1"/>
  <c r="BT14" i="2"/>
  <c r="DX14" i="2" s="1"/>
  <c r="BU14" i="2"/>
  <c r="DY14" i="2" s="1"/>
  <c r="BV14" i="2"/>
  <c r="BH14" i="2" s="1" a="1"/>
  <c r="BH14" i="2" s="1"/>
  <c r="BW14" i="2"/>
  <c r="BX14" i="2"/>
  <c r="BY14" i="2"/>
  <c r="BZ14" i="2"/>
  <c r="ED14" i="2" s="1"/>
  <c r="CA14" i="2"/>
  <c r="EE14" i="2" s="1"/>
  <c r="CB14" i="2"/>
  <c r="BN14" i="2" s="1" a="1"/>
  <c r="BN14" i="2" s="1"/>
  <c r="CC14" i="2"/>
  <c r="CD14" i="2"/>
  <c r="CE14" i="2"/>
  <c r="EI14" i="2" s="1"/>
  <c r="BT15" i="2"/>
  <c r="DX15" i="2" s="1"/>
  <c r="BU15" i="2"/>
  <c r="DY15" i="2" s="1"/>
  <c r="BV15" i="2"/>
  <c r="BW15" i="2"/>
  <c r="BX15" i="2"/>
  <c r="BY15" i="2"/>
  <c r="BZ15" i="2"/>
  <c r="CA15" i="2"/>
  <c r="CB15" i="2"/>
  <c r="CC15" i="2"/>
  <c r="CD15" i="2"/>
  <c r="CE15" i="2"/>
  <c r="BT16" i="2"/>
  <c r="BF16" i="2" s="1" a="1"/>
  <c r="BF16" i="2" s="1"/>
  <c r="BU16" i="2"/>
  <c r="BV16" i="2"/>
  <c r="BW16" i="2"/>
  <c r="BX16" i="2"/>
  <c r="BY16" i="2"/>
  <c r="BZ16" i="2"/>
  <c r="CA16" i="2"/>
  <c r="EE16" i="2" s="1"/>
  <c r="CB16" i="2"/>
  <c r="CC16" i="2"/>
  <c r="CD16" i="2"/>
  <c r="CE16" i="2"/>
  <c r="BT17" i="2"/>
  <c r="BU17" i="2"/>
  <c r="DY17" i="2" s="1"/>
  <c r="BV17" i="2"/>
  <c r="BW17" i="2"/>
  <c r="BX17" i="2"/>
  <c r="BY17" i="2"/>
  <c r="BZ17" i="2"/>
  <c r="CA17" i="2"/>
  <c r="EE17" i="2" s="1"/>
  <c r="CB17" i="2"/>
  <c r="BN17" i="2" s="1" a="1"/>
  <c r="BN17" i="2" s="1"/>
  <c r="CC17" i="2"/>
  <c r="CD17" i="2"/>
  <c r="CE17" i="2"/>
  <c r="EI17" i="2" s="1"/>
  <c r="BT18" i="2"/>
  <c r="DX18" i="2" s="1"/>
  <c r="BU18" i="2"/>
  <c r="DY18" i="2" s="1"/>
  <c r="BV18" i="2"/>
  <c r="BW18" i="2"/>
  <c r="BX18" i="2"/>
  <c r="BY18" i="2"/>
  <c r="BZ18" i="2"/>
  <c r="ED18" i="2" s="1"/>
  <c r="CA18" i="2"/>
  <c r="EE18" i="2" s="1"/>
  <c r="CB18" i="2"/>
  <c r="CC18" i="2"/>
  <c r="CD18" i="2"/>
  <c r="CE18" i="2"/>
  <c r="BT19" i="2"/>
  <c r="BF19" i="2" s="1" a="1"/>
  <c r="BF19" i="2" s="1"/>
  <c r="BU19" i="2"/>
  <c r="DY19" i="2" s="1"/>
  <c r="BV19" i="2"/>
  <c r="BH19" i="2" s="1" a="1"/>
  <c r="BH19" i="2" s="1"/>
  <c r="BW19" i="2"/>
  <c r="BX19" i="2"/>
  <c r="BY19" i="2"/>
  <c r="BZ19" i="2"/>
  <c r="CA19" i="2"/>
  <c r="EE19" i="2" s="1"/>
  <c r="CB19" i="2"/>
  <c r="CC19" i="2"/>
  <c r="CD19" i="2"/>
  <c r="CE19" i="2"/>
  <c r="EI19" i="2" s="1"/>
  <c r="BT20" i="2"/>
  <c r="BF20" i="2" s="1" a="1"/>
  <c r="BF20" i="2" s="1"/>
  <c r="BU20" i="2"/>
  <c r="BG20" i="2" s="1" a="1"/>
  <c r="BG20" i="2" s="1"/>
  <c r="BV20" i="2"/>
  <c r="BW20" i="2"/>
  <c r="BX20" i="2"/>
  <c r="BY20" i="2"/>
  <c r="BZ20" i="2"/>
  <c r="BL20" i="2" s="1" a="1"/>
  <c r="BL20" i="2" s="1"/>
  <c r="CA20" i="2"/>
  <c r="EE20" i="2" s="1"/>
  <c r="CB20" i="2"/>
  <c r="CC20" i="2"/>
  <c r="CD20" i="2"/>
  <c r="CE20" i="2"/>
  <c r="EI20" i="2" s="1"/>
  <c r="BT21" i="2"/>
  <c r="DX21" i="2" s="1"/>
  <c r="BU21" i="2"/>
  <c r="BV21" i="2"/>
  <c r="BW21" i="2"/>
  <c r="BX21" i="2"/>
  <c r="BY21" i="2"/>
  <c r="BZ21" i="2"/>
  <c r="CA21" i="2"/>
  <c r="EE21" i="2" s="1"/>
  <c r="CB21" i="2"/>
  <c r="BN21" i="2" s="1" a="1"/>
  <c r="BN21" i="2" s="1"/>
  <c r="CC21" i="2"/>
  <c r="CD21" i="2"/>
  <c r="BP21" i="2" s="1" a="1"/>
  <c r="BP21" i="2" s="1"/>
  <c r="CE21" i="2"/>
  <c r="EI21" i="2" s="1"/>
  <c r="BT22" i="2"/>
  <c r="DX22" i="2" s="1"/>
  <c r="BU22" i="2"/>
  <c r="BV22" i="2"/>
  <c r="BW22" i="2"/>
  <c r="BX22" i="2"/>
  <c r="BY22" i="2"/>
  <c r="BZ22" i="2"/>
  <c r="ED22" i="2" s="1"/>
  <c r="CA22" i="2"/>
  <c r="EE22" i="2" s="1"/>
  <c r="CB22" i="2"/>
  <c r="BN22" i="2" s="1" a="1"/>
  <c r="BN22" i="2" s="1"/>
  <c r="CC22" i="2"/>
  <c r="CD22" i="2"/>
  <c r="BP22" i="2" s="1" a="1"/>
  <c r="BP22" i="2" s="1"/>
  <c r="CE22" i="2"/>
  <c r="BT23" i="2"/>
  <c r="BF23" i="2" s="1" a="1"/>
  <c r="BF23" i="2" s="1"/>
  <c r="BU23" i="2"/>
  <c r="BG23" i="2" s="1" a="1"/>
  <c r="BG23" i="2" s="1"/>
  <c r="BV23" i="2"/>
  <c r="BH23" i="2" s="1" a="1"/>
  <c r="BH23" i="2" s="1"/>
  <c r="BW23" i="2"/>
  <c r="BX23" i="2"/>
  <c r="BY23" i="2"/>
  <c r="BZ23" i="2"/>
  <c r="CA23" i="2"/>
  <c r="EE23" i="2" s="1"/>
  <c r="CB23" i="2"/>
  <c r="CC23" i="2"/>
  <c r="CD23" i="2"/>
  <c r="CE23" i="2"/>
  <c r="EI23" i="2" s="1"/>
  <c r="BT24" i="2"/>
  <c r="BF24" i="2" s="1" a="1"/>
  <c r="BF24" i="2" s="1"/>
  <c r="BU24" i="2"/>
  <c r="DY24" i="2" s="1"/>
  <c r="BV24" i="2"/>
  <c r="BW24" i="2"/>
  <c r="BX24" i="2"/>
  <c r="BY24" i="2"/>
  <c r="BZ24" i="2"/>
  <c r="CA24" i="2"/>
  <c r="EE24" i="2" s="1"/>
  <c r="CB24" i="2"/>
  <c r="CC24" i="2"/>
  <c r="CD24" i="2"/>
  <c r="CE24" i="2"/>
  <c r="BT25" i="2"/>
  <c r="DX25" i="2" s="1"/>
  <c r="BU25" i="2"/>
  <c r="DY25" i="2" s="1"/>
  <c r="BV25" i="2"/>
  <c r="BW25" i="2"/>
  <c r="BX25" i="2"/>
  <c r="BY25" i="2"/>
  <c r="BZ25" i="2"/>
  <c r="CA25" i="2"/>
  <c r="EE25" i="2" s="1"/>
  <c r="CB25" i="2"/>
  <c r="BN25" i="2" s="1" a="1"/>
  <c r="BN25" i="2" s="1"/>
  <c r="CC25" i="2"/>
  <c r="CD25" i="2"/>
  <c r="BP25" i="2" s="1" a="1"/>
  <c r="BP25" i="2" s="1"/>
  <c r="CE25" i="2"/>
  <c r="EI25" i="2" s="1"/>
  <c r="BT26" i="2"/>
  <c r="DX26" i="2" s="1"/>
  <c r="BU26" i="2"/>
  <c r="DY26" i="2" s="1"/>
  <c r="BV26" i="2"/>
  <c r="BW26" i="2"/>
  <c r="BX26" i="2"/>
  <c r="BY26" i="2"/>
  <c r="BZ26" i="2"/>
  <c r="ED26" i="2" s="1"/>
  <c r="CA26" i="2"/>
  <c r="EE26" i="2" s="1"/>
  <c r="CB26" i="2"/>
  <c r="CC26" i="2"/>
  <c r="EG26" i="2" s="1"/>
  <c r="CD26" i="2"/>
  <c r="CE26" i="2"/>
  <c r="EI26" i="2" s="1"/>
  <c r="BT27" i="2"/>
  <c r="BF27" i="2" s="1" a="1"/>
  <c r="BF27" i="2" s="1"/>
  <c r="BU27" i="2"/>
  <c r="BG27" i="2" s="1" a="1"/>
  <c r="BG27" i="2" s="1"/>
  <c r="BV27" i="2"/>
  <c r="BW27" i="2"/>
  <c r="BX27" i="2"/>
  <c r="BY27" i="2"/>
  <c r="EC27" i="2" s="1"/>
  <c r="BZ27" i="2"/>
  <c r="ED27" i="2" s="1"/>
  <c r="CA27" i="2"/>
  <c r="CB27" i="2"/>
  <c r="CC27" i="2"/>
  <c r="EG27" i="2" s="1"/>
  <c r="CD27" i="2"/>
  <c r="CE27" i="2"/>
  <c r="EI27" i="2" s="1"/>
  <c r="BT28" i="2"/>
  <c r="BU28" i="2"/>
  <c r="BV28" i="2"/>
  <c r="BW28" i="2"/>
  <c r="BX28" i="2"/>
  <c r="BY28" i="2"/>
  <c r="BZ28" i="2"/>
  <c r="CA28" i="2"/>
  <c r="CB28" i="2"/>
  <c r="CC28" i="2"/>
  <c r="CD28" i="2"/>
  <c r="CE28" i="2"/>
  <c r="BT29" i="2"/>
  <c r="BU29" i="2"/>
  <c r="DY29" i="2" s="1"/>
  <c r="BV29" i="2"/>
  <c r="BW29" i="2"/>
  <c r="BX29" i="2"/>
  <c r="BY29" i="2"/>
  <c r="BZ29" i="2"/>
  <c r="CA29" i="2"/>
  <c r="CB29" i="2"/>
  <c r="CC29" i="2"/>
  <c r="CD29" i="2"/>
  <c r="BP29" i="2" s="1" a="1"/>
  <c r="BP29" i="2" s="1"/>
  <c r="CE29" i="2"/>
  <c r="EI29" i="2" s="1"/>
  <c r="BT30" i="2"/>
  <c r="BU30" i="2"/>
  <c r="BV30" i="2"/>
  <c r="DZ30" i="2" s="1"/>
  <c r="BW30" i="2"/>
  <c r="BX30" i="2"/>
  <c r="BY30" i="2"/>
  <c r="BZ30" i="2"/>
  <c r="CA30" i="2"/>
  <c r="EE30" i="2" s="1"/>
  <c r="CB30" i="2"/>
  <c r="EF30" i="2" s="1"/>
  <c r="CC30" i="2"/>
  <c r="EG30" i="2" s="1"/>
  <c r="CD30" i="2"/>
  <c r="CE30" i="2"/>
  <c r="BT31" i="2"/>
  <c r="DX31" i="2" s="1"/>
  <c r="BU31" i="2"/>
  <c r="BG31" i="2" s="1" a="1"/>
  <c r="BG31" i="2" s="1"/>
  <c r="BV31" i="2"/>
  <c r="BW31" i="2"/>
  <c r="BX31" i="2"/>
  <c r="BY31" i="2"/>
  <c r="BZ31" i="2"/>
  <c r="CA31" i="2"/>
  <c r="CB31" i="2"/>
  <c r="EF31" i="2" s="1"/>
  <c r="CC31" i="2"/>
  <c r="CD31" i="2"/>
  <c r="CE31" i="2"/>
  <c r="EI31" i="2" s="1"/>
  <c r="BT32" i="2"/>
  <c r="BF32" i="2" s="1" a="1"/>
  <c r="BF32" i="2" s="1"/>
  <c r="BU32" i="2"/>
  <c r="DY32" i="2" s="1"/>
  <c r="BV32" i="2"/>
  <c r="DZ32" i="2" s="1"/>
  <c r="BW32" i="2"/>
  <c r="BX32" i="2"/>
  <c r="BY32" i="2"/>
  <c r="BZ32" i="2"/>
  <c r="CA32" i="2"/>
  <c r="CB32" i="2"/>
  <c r="CC32" i="2"/>
  <c r="CD32" i="2"/>
  <c r="CE32" i="2"/>
  <c r="BT33" i="2"/>
  <c r="DX33" i="2" s="1"/>
  <c r="BU33" i="2"/>
  <c r="BV33" i="2"/>
  <c r="DZ33" i="2" s="1"/>
  <c r="BW33" i="2"/>
  <c r="BX33" i="2"/>
  <c r="BY33" i="2"/>
  <c r="BZ33" i="2"/>
  <c r="CA33" i="2"/>
  <c r="EE33" i="2" s="1"/>
  <c r="CB33" i="2"/>
  <c r="EF33" i="2" s="1"/>
  <c r="CC33" i="2"/>
  <c r="CD33" i="2"/>
  <c r="BP33" i="2" s="1" a="1"/>
  <c r="BP33" i="2" s="1"/>
  <c r="CE33" i="2"/>
  <c r="BQ33" i="2" s="1" a="1"/>
  <c r="BQ33" i="2" s="1"/>
  <c r="BT34" i="2"/>
  <c r="DX34" i="2" s="1"/>
  <c r="BU34" i="2"/>
  <c r="DY34" i="2" s="1"/>
  <c r="BV34" i="2"/>
  <c r="BW34" i="2"/>
  <c r="BX34" i="2"/>
  <c r="BY34" i="2"/>
  <c r="BZ34" i="2"/>
  <c r="CA34" i="2"/>
  <c r="CB34" i="2"/>
  <c r="BN34" i="2" s="1" a="1"/>
  <c r="BN34" i="2" s="1"/>
  <c r="CC34" i="2"/>
  <c r="EG34" i="2" s="1"/>
  <c r="CD34" i="2"/>
  <c r="CE34" i="2"/>
  <c r="EI34" i="2" s="1"/>
  <c r="BT35" i="2"/>
  <c r="BF35" i="2" s="1" a="1"/>
  <c r="BU35" i="2"/>
  <c r="BG35" i="2" s="1" a="1"/>
  <c r="BG35" i="2" s="1"/>
  <c r="BV35" i="2"/>
  <c r="DZ35" i="2" s="1"/>
  <c r="BW35" i="2"/>
  <c r="BX35" i="2"/>
  <c r="BY35" i="2"/>
  <c r="BZ35" i="2"/>
  <c r="CA35" i="2"/>
  <c r="EE35" i="2" s="1"/>
  <c r="CB35" i="2"/>
  <c r="CC35" i="2"/>
  <c r="CD35" i="2"/>
  <c r="CE35" i="2"/>
  <c r="BT36" i="2"/>
  <c r="BF36" i="2" s="1" a="1"/>
  <c r="BF36" i="2" s="1"/>
  <c r="BU36" i="2"/>
  <c r="BG36" i="2" s="1" a="1"/>
  <c r="BG36" i="2" s="1"/>
  <c r="BV36" i="2"/>
  <c r="DZ36" i="2" s="1"/>
  <c r="BW36" i="2"/>
  <c r="BX36" i="2"/>
  <c r="BY36" i="2"/>
  <c r="BZ36" i="2"/>
  <c r="CA36" i="2"/>
  <c r="CB36" i="2"/>
  <c r="EF36" i="2" s="1"/>
  <c r="CC36" i="2"/>
  <c r="CD36" i="2"/>
  <c r="CE36" i="2"/>
  <c r="EI36" i="2" s="1"/>
  <c r="BT37" i="2"/>
  <c r="DX37" i="2" s="1"/>
  <c r="BU37" i="2"/>
  <c r="BV37" i="2"/>
  <c r="DZ37" i="2" s="1"/>
  <c r="BW37" i="2"/>
  <c r="BX37" i="2"/>
  <c r="BY37" i="2"/>
  <c r="EC37" i="2" s="1"/>
  <c r="BZ37" i="2"/>
  <c r="ED37" i="2" s="1"/>
  <c r="CA37" i="2"/>
  <c r="EE37" i="2" s="1"/>
  <c r="CB37" i="2"/>
  <c r="CC37" i="2"/>
  <c r="CD37" i="2"/>
  <c r="CE37" i="2"/>
  <c r="EI37" i="2" s="1"/>
  <c r="BT38" i="2"/>
  <c r="DX38" i="2" s="1"/>
  <c r="BU38" i="2"/>
  <c r="BV38" i="2"/>
  <c r="DZ38" i="2" s="1"/>
  <c r="BW38" i="2"/>
  <c r="BX38" i="2"/>
  <c r="BY38" i="2"/>
  <c r="BZ38" i="2"/>
  <c r="ED38" i="2" s="1"/>
  <c r="CA38" i="2"/>
  <c r="EE38" i="2" s="1"/>
  <c r="CB38" i="2"/>
  <c r="BN38" i="2" s="1" a="1"/>
  <c r="BN38" i="2" s="1"/>
  <c r="CC38" i="2"/>
  <c r="EG38" i="2" s="1"/>
  <c r="CD38" i="2"/>
  <c r="CE38" i="2"/>
  <c r="EI38" i="2" s="1"/>
  <c r="BT39" i="2"/>
  <c r="DX39" i="2" s="1"/>
  <c r="BU39" i="2"/>
  <c r="BV39" i="2"/>
  <c r="DZ39" i="2" s="1"/>
  <c r="BW39" i="2"/>
  <c r="BX39" i="2"/>
  <c r="BY39" i="2"/>
  <c r="EC39" i="2" s="1"/>
  <c r="BZ39" i="2"/>
  <c r="CA39" i="2"/>
  <c r="EE39" i="2" s="1"/>
  <c r="CB39" i="2"/>
  <c r="CC39" i="2"/>
  <c r="CD39" i="2"/>
  <c r="CE39" i="2"/>
  <c r="EI39" i="2" s="1"/>
  <c r="BT40" i="2"/>
  <c r="DX40" i="2" s="1"/>
  <c r="BU40" i="2"/>
  <c r="BV40" i="2"/>
  <c r="DZ40" i="2" s="1"/>
  <c r="BW40" i="2"/>
  <c r="BX40" i="2"/>
  <c r="BY40" i="2"/>
  <c r="BZ40" i="2"/>
  <c r="CA40" i="2"/>
  <c r="EE40" i="2" s="1"/>
  <c r="CB40" i="2"/>
  <c r="CC40" i="2"/>
  <c r="EG40" i="2" s="1"/>
  <c r="CD40" i="2"/>
  <c r="CE40" i="2"/>
  <c r="BT41" i="2"/>
  <c r="BU41" i="2"/>
  <c r="DY41" i="2" s="1"/>
  <c r="BV41" i="2"/>
  <c r="DZ41" i="2" s="1"/>
  <c r="BW41" i="2"/>
  <c r="BX41" i="2"/>
  <c r="BY41" i="2"/>
  <c r="BZ41" i="2"/>
  <c r="CA41" i="2"/>
  <c r="EE41" i="2" s="1"/>
  <c r="CB41" i="2"/>
  <c r="EF41" i="2" s="1"/>
  <c r="CC41" i="2"/>
  <c r="CD41" i="2"/>
  <c r="CE41" i="2"/>
  <c r="BQ41" i="2" s="1" a="1"/>
  <c r="BQ41" i="2" s="1"/>
  <c r="BT42" i="2"/>
  <c r="BU42" i="2"/>
  <c r="DY42" i="2" s="1"/>
  <c r="BV42" i="2"/>
  <c r="DZ42" i="2" s="1"/>
  <c r="BW42" i="2"/>
  <c r="EA42" i="2" s="1"/>
  <c r="BX42" i="2"/>
  <c r="BY42" i="2"/>
  <c r="EC42" i="2" s="1"/>
  <c r="BZ42" i="2"/>
  <c r="CA42" i="2"/>
  <c r="CB42" i="2"/>
  <c r="CC42" i="2"/>
  <c r="EG42" i="2" s="1"/>
  <c r="CD42" i="2"/>
  <c r="EH42" i="2" s="1"/>
  <c r="CE42" i="2"/>
  <c r="EI42" i="2" s="1"/>
  <c r="BT43" i="2"/>
  <c r="DX43" i="2" s="1"/>
  <c r="BU43" i="2"/>
  <c r="BG43" i="2" s="1" a="1"/>
  <c r="BG43" i="2" s="1"/>
  <c r="BV43" i="2"/>
  <c r="DZ43" i="2" s="1"/>
  <c r="BW43" i="2"/>
  <c r="BX43" i="2"/>
  <c r="BY43" i="2"/>
  <c r="BZ43" i="2"/>
  <c r="CA43" i="2"/>
  <c r="EE43" i="2" s="1"/>
  <c r="CB43" i="2"/>
  <c r="CC43" i="2"/>
  <c r="EG43" i="2" s="1"/>
  <c r="CD43" i="2"/>
  <c r="EH43" i="2" s="1"/>
  <c r="CE43" i="2"/>
  <c r="BT44" i="2"/>
  <c r="BF44" i="2" s="1" a="1"/>
  <c r="BF44" i="2" s="1"/>
  <c r="BU44" i="2"/>
  <c r="BG44" i="2" s="1" a="1"/>
  <c r="BG44" i="2" s="1"/>
  <c r="BV44" i="2"/>
  <c r="BW44" i="2"/>
  <c r="BX44" i="2"/>
  <c r="BY44" i="2"/>
  <c r="BZ44" i="2"/>
  <c r="CA44" i="2"/>
  <c r="CB44" i="2"/>
  <c r="CC44" i="2"/>
  <c r="CD44" i="2"/>
  <c r="CE44" i="2"/>
  <c r="EI44" i="2" s="1"/>
  <c r="BT45" i="2"/>
  <c r="DX45" i="2" s="1"/>
  <c r="BU45" i="2"/>
  <c r="DY45" i="2" s="1"/>
  <c r="BV45" i="2"/>
  <c r="DZ45" i="2" s="1"/>
  <c r="BW45" i="2"/>
  <c r="BX45" i="2"/>
  <c r="BY45" i="2"/>
  <c r="EC45" i="2" s="1"/>
  <c r="BZ45" i="2"/>
  <c r="CA45" i="2"/>
  <c r="CB45" i="2"/>
  <c r="BN45" i="2" s="1" a="1"/>
  <c r="BN45" i="2" s="1"/>
  <c r="CC45" i="2"/>
  <c r="EG45" i="2" s="1"/>
  <c r="CD45" i="2"/>
  <c r="BP45" i="2" s="1" a="1"/>
  <c r="BP45" i="2" s="1"/>
  <c r="CE45" i="2"/>
  <c r="EI45" i="2" s="1"/>
  <c r="BT46" i="2"/>
  <c r="BU46" i="2"/>
  <c r="DY46" i="2" s="1"/>
  <c r="BV46" i="2"/>
  <c r="DZ46" i="2" s="1"/>
  <c r="BW46" i="2"/>
  <c r="BX46" i="2"/>
  <c r="BY46" i="2"/>
  <c r="BZ46" i="2"/>
  <c r="CA46" i="2"/>
  <c r="EE46" i="2" s="1"/>
  <c r="CB46" i="2"/>
  <c r="CC46" i="2"/>
  <c r="EG46" i="2" s="1"/>
  <c r="CD46" i="2"/>
  <c r="EH46" i="2" s="1"/>
  <c r="CE46" i="2"/>
  <c r="BT47" i="2"/>
  <c r="DX47" i="2" s="1"/>
  <c r="BU47" i="2"/>
  <c r="BG47" i="2" s="1" a="1"/>
  <c r="BG47" i="2" s="1"/>
  <c r="BV47" i="2"/>
  <c r="DZ47" i="2" s="1"/>
  <c r="BW47" i="2"/>
  <c r="BX47" i="2"/>
  <c r="BY47" i="2"/>
  <c r="EC47" i="2" s="1"/>
  <c r="BZ47" i="2"/>
  <c r="CA47" i="2"/>
  <c r="CB47" i="2"/>
  <c r="CC47" i="2"/>
  <c r="CD47" i="2"/>
  <c r="EH47" i="2" s="1"/>
  <c r="CE47" i="2"/>
  <c r="EI47" i="2" s="1"/>
  <c r="BT48" i="2"/>
  <c r="BF48" i="2" s="1" a="1"/>
  <c r="BF48" i="2" s="1"/>
  <c r="BU48" i="2"/>
  <c r="DY48" i="2" s="1"/>
  <c r="BV48" i="2"/>
  <c r="BW48" i="2"/>
  <c r="BX48" i="2"/>
  <c r="BY48" i="2"/>
  <c r="BZ48" i="2"/>
  <c r="BL48" i="2" s="1" a="1"/>
  <c r="BL48" i="2" s="1"/>
  <c r="CA48" i="2"/>
  <c r="CB48" i="2"/>
  <c r="CC48" i="2"/>
  <c r="EG48" i="2" s="1"/>
  <c r="CD48" i="2"/>
  <c r="CE48" i="2"/>
  <c r="EI48" i="2" s="1"/>
  <c r="BT49" i="2"/>
  <c r="BU49" i="2"/>
  <c r="BV49" i="2"/>
  <c r="DZ49" i="2" s="1"/>
  <c r="BW49" i="2"/>
  <c r="BX49" i="2"/>
  <c r="BY49" i="2"/>
  <c r="BZ49" i="2"/>
  <c r="CA49" i="2"/>
  <c r="EE49" i="2" s="1"/>
  <c r="CB49" i="2"/>
  <c r="CC49" i="2"/>
  <c r="EG49" i="2" s="1"/>
  <c r="CD49" i="2"/>
  <c r="BP49" i="2" s="1" a="1"/>
  <c r="BP49" i="2" s="1"/>
  <c r="CE49" i="2"/>
  <c r="BT50" i="2"/>
  <c r="DX50" i="2" s="1"/>
  <c r="BU50" i="2"/>
  <c r="DY50" i="2" s="1"/>
  <c r="BV50" i="2"/>
  <c r="BW50" i="2"/>
  <c r="BX50" i="2"/>
  <c r="EB50" i="2" s="1"/>
  <c r="BY50" i="2"/>
  <c r="EC50" i="2" s="1"/>
  <c r="BZ50" i="2"/>
  <c r="CA50" i="2"/>
  <c r="EE50" i="2" s="1"/>
  <c r="CB50" i="2"/>
  <c r="CC50" i="2"/>
  <c r="CD50" i="2"/>
  <c r="EH50" i="2" s="1"/>
  <c r="CE50" i="2"/>
  <c r="EI50" i="2" s="1"/>
  <c r="BT51" i="2"/>
  <c r="BU51" i="2"/>
  <c r="BV51" i="2"/>
  <c r="BW51" i="2"/>
  <c r="BX51" i="2"/>
  <c r="BY51" i="2"/>
  <c r="BZ51" i="2"/>
  <c r="CA51" i="2"/>
  <c r="CB51" i="2"/>
  <c r="CC51" i="2"/>
  <c r="EG51" i="2" s="1"/>
  <c r="CD51" i="2"/>
  <c r="CE51" i="2"/>
  <c r="EI51" i="2" s="1"/>
  <c r="BT52" i="2"/>
  <c r="BF52" i="2" s="1" a="1"/>
  <c r="BF52" i="2" s="1"/>
  <c r="BU52" i="2"/>
  <c r="BG52" i="2" s="1" a="1"/>
  <c r="BG52" i="2" s="1"/>
  <c r="BV52" i="2"/>
  <c r="DZ52" i="2" s="1"/>
  <c r="BW52" i="2"/>
  <c r="BI52" i="2" s="1" a="1"/>
  <c r="BI52" i="2" s="1"/>
  <c r="BX52" i="2"/>
  <c r="BJ52" i="2" s="1" a="1"/>
  <c r="BJ52" i="2" s="1"/>
  <c r="BY52" i="2"/>
  <c r="BZ52" i="2"/>
  <c r="BL52" i="2" s="1" a="1"/>
  <c r="BL52" i="2" s="1"/>
  <c r="CA52" i="2"/>
  <c r="CB52" i="2"/>
  <c r="CC52" i="2"/>
  <c r="EG52" i="2" s="1"/>
  <c r="CD52" i="2"/>
  <c r="EH52" i="2" s="1"/>
  <c r="CE52" i="2"/>
  <c r="BT53" i="2"/>
  <c r="DX53" i="2" s="1"/>
  <c r="BU53" i="2"/>
  <c r="DY53" i="2" s="1"/>
  <c r="BV53" i="2"/>
  <c r="DZ53" i="2" s="1"/>
  <c r="BW53" i="2"/>
  <c r="BX53" i="2"/>
  <c r="BY53" i="2"/>
  <c r="BZ53" i="2"/>
  <c r="CA53" i="2"/>
  <c r="EE53" i="2" s="1"/>
  <c r="CB53" i="2"/>
  <c r="CC53" i="2"/>
  <c r="CD53" i="2"/>
  <c r="EH53" i="2" s="1"/>
  <c r="CE53" i="2"/>
  <c r="EI53" i="2" s="1"/>
  <c r="BT54" i="2"/>
  <c r="BU54" i="2"/>
  <c r="BV54" i="2"/>
  <c r="DZ54" i="2" s="1"/>
  <c r="BW54" i="2"/>
  <c r="BX54" i="2"/>
  <c r="BY54" i="2"/>
  <c r="BZ54" i="2"/>
  <c r="CA54" i="2"/>
  <c r="CB54" i="2"/>
  <c r="EF54" i="2" s="1"/>
  <c r="CC54" i="2"/>
  <c r="CD54" i="2"/>
  <c r="CE54" i="2"/>
  <c r="EI54" i="2" s="1"/>
  <c r="BT55" i="2"/>
  <c r="BF55" i="2" s="1" a="1"/>
  <c r="BF55" i="2" s="1"/>
  <c r="BU55" i="2"/>
  <c r="BG55" i="2" s="1" a="1"/>
  <c r="BG55" i="2" s="1"/>
  <c r="BV55" i="2"/>
  <c r="BW55" i="2"/>
  <c r="BX55" i="2"/>
  <c r="BY55" i="2"/>
  <c r="BZ55" i="2"/>
  <c r="ED55" i="2" s="1"/>
  <c r="CA55" i="2"/>
  <c r="EE55" i="2" s="1"/>
  <c r="CB55" i="2"/>
  <c r="CC55" i="2"/>
  <c r="EG55" i="2" s="1"/>
  <c r="CD55" i="2"/>
  <c r="EH55" i="2" s="1"/>
  <c r="CE55" i="2"/>
  <c r="EI55" i="2" s="1"/>
  <c r="BT56" i="2"/>
  <c r="BU56" i="2"/>
  <c r="BV56" i="2"/>
  <c r="BW56" i="2"/>
  <c r="EA56" i="2" s="1"/>
  <c r="BX56" i="2"/>
  <c r="BY56" i="2"/>
  <c r="BZ56" i="2"/>
  <c r="CA56" i="2"/>
  <c r="EE56" i="2" s="1"/>
  <c r="CB56" i="2"/>
  <c r="CC56" i="2"/>
  <c r="CD56" i="2"/>
  <c r="EH56" i="2" s="1"/>
  <c r="CE56" i="2"/>
  <c r="EI56" i="2" s="1"/>
  <c r="BT57" i="2"/>
  <c r="DX57" i="2" s="1"/>
  <c r="BU57" i="2"/>
  <c r="DY57" i="2" s="1"/>
  <c r="BV57" i="2"/>
  <c r="DZ57" i="2" s="1"/>
  <c r="BW57" i="2"/>
  <c r="BX57" i="2"/>
  <c r="BY57" i="2"/>
  <c r="BZ57" i="2"/>
  <c r="ED57" i="2" s="1"/>
  <c r="CA57" i="2"/>
  <c r="EE57" i="2" s="1"/>
  <c r="CB57" i="2"/>
  <c r="EF57" i="2" s="1"/>
  <c r="CC57" i="2"/>
  <c r="CD57" i="2"/>
  <c r="EH57" i="2" s="1"/>
  <c r="CE57" i="2"/>
  <c r="BQ57" i="2" s="1" a="1"/>
  <c r="BQ57" i="2" s="1"/>
  <c r="BT58" i="2"/>
  <c r="DX58" i="2" s="1"/>
  <c r="BU58" i="2"/>
  <c r="DY58" i="2" s="1"/>
  <c r="BV58" i="2"/>
  <c r="DZ58" i="2" s="1"/>
  <c r="BW58" i="2"/>
  <c r="BX58" i="2"/>
  <c r="BY58" i="2"/>
  <c r="BZ58" i="2"/>
  <c r="CA58" i="2"/>
  <c r="EE58" i="2" s="1"/>
  <c r="CB58" i="2"/>
  <c r="CC58" i="2"/>
  <c r="CD58" i="2"/>
  <c r="EH58" i="2" s="1"/>
  <c r="CE58" i="2"/>
  <c r="BT59" i="2"/>
  <c r="BU59" i="2"/>
  <c r="BV59" i="2"/>
  <c r="BW59" i="2"/>
  <c r="BX59" i="2"/>
  <c r="BY59" i="2"/>
  <c r="BZ59" i="2"/>
  <c r="ED59" i="2" s="1"/>
  <c r="CA59" i="2"/>
  <c r="CB59" i="2"/>
  <c r="CC59" i="2"/>
  <c r="CD59" i="2"/>
  <c r="EH59" i="2" s="1"/>
  <c r="CE59" i="2"/>
  <c r="EI59" i="2" s="1"/>
  <c r="BT60" i="2"/>
  <c r="BU60" i="2"/>
  <c r="BG60" i="2" s="1" a="1"/>
  <c r="BG60" i="2" s="1"/>
  <c r="BV60" i="2"/>
  <c r="DZ60" i="2" s="1"/>
  <c r="BW60" i="2"/>
  <c r="BX60" i="2"/>
  <c r="BY60" i="2"/>
  <c r="BZ60" i="2"/>
  <c r="CA60" i="2"/>
  <c r="EE60" i="2" s="1"/>
  <c r="CB60" i="2"/>
  <c r="CC60" i="2"/>
  <c r="CD60" i="2"/>
  <c r="EH60" i="2" s="1"/>
  <c r="CE60" i="2"/>
  <c r="BT61" i="2"/>
  <c r="DX61" i="2" s="1"/>
  <c r="BU61" i="2"/>
  <c r="DY61" i="2" s="1"/>
  <c r="BV61" i="2"/>
  <c r="DZ61" i="2" s="1"/>
  <c r="BW61" i="2"/>
  <c r="BX61" i="2"/>
  <c r="BY61" i="2"/>
  <c r="BZ61" i="2"/>
  <c r="ED61" i="2" s="1"/>
  <c r="CA61" i="2"/>
  <c r="EE61" i="2" s="1"/>
  <c r="CB61" i="2"/>
  <c r="EF61" i="2" s="1"/>
  <c r="CC61" i="2"/>
  <c r="CD61" i="2"/>
  <c r="CE61" i="2"/>
  <c r="BQ61" i="2" s="1" a="1"/>
  <c r="BQ61" i="2" s="1"/>
  <c r="BT62" i="2"/>
  <c r="DX62" i="2" s="1"/>
  <c r="BU62" i="2"/>
  <c r="DY62" i="2" s="1"/>
  <c r="BV62" i="2"/>
  <c r="BW62" i="2"/>
  <c r="BX62" i="2"/>
  <c r="BY62" i="2"/>
  <c r="BZ62" i="2"/>
  <c r="CA62" i="2"/>
  <c r="EE62" i="2" s="1"/>
  <c r="CB62" i="2"/>
  <c r="CC62" i="2"/>
  <c r="CD62" i="2"/>
  <c r="CE62" i="2"/>
  <c r="BT63" i="2"/>
  <c r="BU63" i="2"/>
  <c r="BG63" i="2" s="1" a="1"/>
  <c r="BG63" i="2" s="1"/>
  <c r="BV63" i="2"/>
  <c r="BH63" i="2" s="1" a="1"/>
  <c r="BH63" i="2" s="1"/>
  <c r="BW63" i="2"/>
  <c r="BX63" i="2"/>
  <c r="BY63" i="2"/>
  <c r="BZ63" i="2"/>
  <c r="ED63" i="2" s="1"/>
  <c r="CA63" i="2"/>
  <c r="CB63" i="2"/>
  <c r="EF63" i="2" s="1"/>
  <c r="CC63" i="2"/>
  <c r="CD63" i="2"/>
  <c r="EH63" i="2" s="1"/>
  <c r="CE63" i="2"/>
  <c r="EI63" i="2" s="1"/>
  <c r="BT64" i="2"/>
  <c r="DX64" i="2" s="1"/>
  <c r="BU64" i="2"/>
  <c r="DY64" i="2" s="1"/>
  <c r="BV64" i="2"/>
  <c r="DZ64" i="2" s="1"/>
  <c r="BW64" i="2"/>
  <c r="BX64" i="2"/>
  <c r="BY64" i="2"/>
  <c r="BZ64" i="2"/>
  <c r="CA64" i="2"/>
  <c r="EE64" i="2" s="1"/>
  <c r="CB64" i="2"/>
  <c r="CC64" i="2"/>
  <c r="CD64" i="2"/>
  <c r="EH64" i="2" s="1"/>
  <c r="CE64" i="2"/>
  <c r="EI64" i="2" s="1"/>
  <c r="BT65" i="2"/>
  <c r="BU65" i="2"/>
  <c r="DY65" i="2" s="1"/>
  <c r="BV65" i="2"/>
  <c r="DZ65" i="2" s="1"/>
  <c r="BW65" i="2"/>
  <c r="BX65" i="2"/>
  <c r="BY65" i="2"/>
  <c r="BZ65" i="2"/>
  <c r="CA65" i="2"/>
  <c r="CB65" i="2"/>
  <c r="EF65" i="2" s="1"/>
  <c r="CC65" i="2"/>
  <c r="CD65" i="2"/>
  <c r="CE65" i="2"/>
  <c r="BQ65" i="2" s="1" a="1"/>
  <c r="BQ65" i="2" s="1"/>
  <c r="BT66" i="2"/>
  <c r="DX66" i="2" s="1"/>
  <c r="BU66" i="2"/>
  <c r="DY66" i="2" s="1"/>
  <c r="BV66" i="2"/>
  <c r="DZ66" i="2" s="1"/>
  <c r="BW66" i="2"/>
  <c r="BX66" i="2"/>
  <c r="BY66" i="2"/>
  <c r="BZ66" i="2"/>
  <c r="CA66" i="2"/>
  <c r="EE66" i="2" s="1"/>
  <c r="CB66" i="2"/>
  <c r="BN66" i="2" s="1" a="1"/>
  <c r="BN66" i="2" s="1"/>
  <c r="CC66" i="2"/>
  <c r="CD66" i="2"/>
  <c r="EH66" i="2" s="1"/>
  <c r="CE66" i="2"/>
  <c r="BT67" i="2"/>
  <c r="DX67" i="2" s="1"/>
  <c r="BU67" i="2"/>
  <c r="BV67" i="2"/>
  <c r="DZ67" i="2" s="1"/>
  <c r="BW67" i="2"/>
  <c r="BX67" i="2"/>
  <c r="BY67" i="2"/>
  <c r="BZ67" i="2"/>
  <c r="ED67" i="2" s="1"/>
  <c r="CA67" i="2"/>
  <c r="EE67" i="2" s="1"/>
  <c r="CB67" i="2"/>
  <c r="EF67" i="2" s="1"/>
  <c r="CC67" i="2"/>
  <c r="CD67" i="2"/>
  <c r="EH67" i="2" s="1"/>
  <c r="CE67" i="2"/>
  <c r="EI67" i="2" s="1"/>
  <c r="BT68" i="2"/>
  <c r="BU68" i="2"/>
  <c r="DY68" i="2" s="1"/>
  <c r="BV68" i="2"/>
  <c r="DZ68" i="2" s="1"/>
  <c r="BW68" i="2"/>
  <c r="BX68" i="2"/>
  <c r="BY68" i="2"/>
  <c r="BZ68" i="2"/>
  <c r="CA68" i="2"/>
  <c r="EE68" i="2" s="1"/>
  <c r="CB68" i="2"/>
  <c r="CC68" i="2"/>
  <c r="CD68" i="2"/>
  <c r="EH68" i="2" s="1"/>
  <c r="CE68" i="2"/>
  <c r="BT69" i="2"/>
  <c r="BU69" i="2"/>
  <c r="DY69" i="2" s="1"/>
  <c r="BV69" i="2"/>
  <c r="DZ69" i="2" s="1"/>
  <c r="BW69" i="2"/>
  <c r="BX69" i="2"/>
  <c r="BY69" i="2"/>
  <c r="BZ69" i="2"/>
  <c r="CA69" i="2"/>
  <c r="EE69" i="2" s="1"/>
  <c r="CB69" i="2"/>
  <c r="EF69" i="2" s="1"/>
  <c r="CC69" i="2"/>
  <c r="CD69" i="2"/>
  <c r="CE69" i="2"/>
  <c r="BT70" i="2"/>
  <c r="DX70" i="2" s="1"/>
  <c r="BU70" i="2"/>
  <c r="DY70" i="2" s="1"/>
  <c r="BV70" i="2"/>
  <c r="DZ70" i="2" s="1"/>
  <c r="BW70" i="2"/>
  <c r="BX70" i="2"/>
  <c r="BY70" i="2"/>
  <c r="BZ70" i="2"/>
  <c r="CA70" i="2"/>
  <c r="EE70" i="2" s="1"/>
  <c r="CB70" i="2"/>
  <c r="BN70" i="2" s="1" a="1"/>
  <c r="BN70" i="2" s="1"/>
  <c r="CC70" i="2"/>
  <c r="CD70" i="2"/>
  <c r="CE70" i="2"/>
  <c r="EI70" i="2" s="1"/>
  <c r="BT71" i="2"/>
  <c r="DX71" i="2" s="1"/>
  <c r="BU71" i="2"/>
  <c r="BG71" i="2" s="1" a="1"/>
  <c r="BG71" i="2" s="1"/>
  <c r="BV71" i="2"/>
  <c r="DZ71" i="2" s="1"/>
  <c r="BW71" i="2"/>
  <c r="BX71" i="2"/>
  <c r="BY71" i="2"/>
  <c r="BZ71" i="2"/>
  <c r="ED71" i="2" s="1"/>
  <c r="CA71" i="2"/>
  <c r="EE71" i="2" s="1"/>
  <c r="CB71" i="2"/>
  <c r="EF71" i="2" s="1"/>
  <c r="CC71" i="2"/>
  <c r="CD71" i="2"/>
  <c r="CE71" i="2"/>
  <c r="EI71" i="2" s="1"/>
  <c r="BT72" i="2"/>
  <c r="DX72" i="2" s="1"/>
  <c r="BU72" i="2"/>
  <c r="DY72" i="2" s="1"/>
  <c r="BV72" i="2"/>
  <c r="BW72" i="2"/>
  <c r="BX72" i="2"/>
  <c r="BY72" i="2"/>
  <c r="BZ72" i="2"/>
  <c r="CA72" i="2"/>
  <c r="EE72" i="2" s="1"/>
  <c r="CB72" i="2"/>
  <c r="CC72" i="2"/>
  <c r="CD72" i="2"/>
  <c r="EH72" i="2" s="1"/>
  <c r="CE72" i="2"/>
  <c r="BT73" i="2"/>
  <c r="BU73" i="2"/>
  <c r="DY73" i="2" s="1"/>
  <c r="BV73" i="2"/>
  <c r="DZ73" i="2" s="1"/>
  <c r="BW73" i="2"/>
  <c r="BX73" i="2"/>
  <c r="BY73" i="2"/>
  <c r="BZ73" i="2"/>
  <c r="ED73" i="2" s="1"/>
  <c r="CA73" i="2"/>
  <c r="EE73" i="2" s="1"/>
  <c r="CB73" i="2"/>
  <c r="BN73" i="2" s="1" a="1"/>
  <c r="BN73" i="2" s="1"/>
  <c r="CC73" i="2"/>
  <c r="CD73" i="2"/>
  <c r="CE73" i="2"/>
  <c r="BQ73" i="2" s="1" a="1"/>
  <c r="BQ73" i="2" s="1"/>
  <c r="BT74" i="2"/>
  <c r="DX74" i="2" s="1"/>
  <c r="BU74" i="2"/>
  <c r="DY74" i="2" s="1"/>
  <c r="BV74" i="2"/>
  <c r="DZ74" i="2" s="1"/>
  <c r="BW74" i="2"/>
  <c r="BX74" i="2"/>
  <c r="BY74" i="2"/>
  <c r="BZ74" i="2"/>
  <c r="CA74" i="2"/>
  <c r="EE74" i="2" s="1"/>
  <c r="CB74" i="2"/>
  <c r="CC74" i="2"/>
  <c r="CD74" i="2"/>
  <c r="EH74" i="2" s="1"/>
  <c r="CE74" i="2"/>
  <c r="EI74" i="2" s="1"/>
  <c r="BT75" i="2"/>
  <c r="DX75" i="2" s="1"/>
  <c r="BU75" i="2"/>
  <c r="BG75" i="2" s="1" a="1"/>
  <c r="BG75" i="2" s="1"/>
  <c r="BV75" i="2"/>
  <c r="BH75" i="2" s="1" a="1"/>
  <c r="BH75" i="2" s="1"/>
  <c r="BW75" i="2"/>
  <c r="BX75" i="2"/>
  <c r="BY75" i="2"/>
  <c r="BZ75" i="2"/>
  <c r="ED75" i="2" s="1"/>
  <c r="CA75" i="2"/>
  <c r="EE75" i="2" s="1"/>
  <c r="CB75" i="2"/>
  <c r="EF75" i="2" s="1"/>
  <c r="CC75" i="2"/>
  <c r="CD75" i="2"/>
  <c r="CE75" i="2"/>
  <c r="EI75" i="2" s="1"/>
  <c r="BT76" i="2"/>
  <c r="DX76" i="2" s="1"/>
  <c r="BU76" i="2"/>
  <c r="DY76" i="2" s="1"/>
  <c r="BV76" i="2"/>
  <c r="BW76" i="2"/>
  <c r="BX76" i="2"/>
  <c r="BY76" i="2"/>
  <c r="BZ76" i="2"/>
  <c r="CA76" i="2"/>
  <c r="EE76" i="2" s="1"/>
  <c r="CB76" i="2"/>
  <c r="CC76" i="2"/>
  <c r="CD76" i="2"/>
  <c r="EH76" i="2" s="1"/>
  <c r="CE76" i="2"/>
  <c r="EI76" i="2" s="1"/>
  <c r="BT77" i="2"/>
  <c r="BU77" i="2"/>
  <c r="DY77" i="2" s="1"/>
  <c r="BV77" i="2"/>
  <c r="DZ77" i="2" s="1"/>
  <c r="BW77" i="2"/>
  <c r="BX77" i="2"/>
  <c r="BY77" i="2"/>
  <c r="BZ77" i="2"/>
  <c r="ED77" i="2" s="1"/>
  <c r="CA77" i="2"/>
  <c r="EE77" i="2" s="1"/>
  <c r="CB77" i="2"/>
  <c r="BN77" i="2" s="1" a="1"/>
  <c r="BN77" i="2" s="1"/>
  <c r="CC77" i="2"/>
  <c r="CD77" i="2"/>
  <c r="BP77" i="2" s="1" a="1"/>
  <c r="BP77" i="2" s="1"/>
  <c r="CE77" i="2"/>
  <c r="EI77" i="2" s="1"/>
  <c r="BT78" i="2"/>
  <c r="DX78" i="2" s="1"/>
  <c r="BU78" i="2"/>
  <c r="DY78" i="2" s="1"/>
  <c r="BV78" i="2"/>
  <c r="DZ78" i="2" s="1"/>
  <c r="BW78" i="2"/>
  <c r="BX78" i="2"/>
  <c r="BY78" i="2"/>
  <c r="BZ78" i="2"/>
  <c r="CA78" i="2"/>
  <c r="EE78" i="2" s="1"/>
  <c r="CB78" i="2"/>
  <c r="EF78" i="2" s="1"/>
  <c r="CC78" i="2"/>
  <c r="CD78" i="2"/>
  <c r="EH78" i="2" s="1"/>
  <c r="CE78" i="2"/>
  <c r="BT79" i="2"/>
  <c r="DX79" i="2" s="1"/>
  <c r="BU79" i="2"/>
  <c r="DY79" i="2" s="1"/>
  <c r="BV79" i="2"/>
  <c r="DZ79" i="2" s="1"/>
  <c r="BW79" i="2"/>
  <c r="BX79" i="2"/>
  <c r="BY79" i="2"/>
  <c r="EC79" i="2" s="1"/>
  <c r="BZ79" i="2"/>
  <c r="CA79" i="2"/>
  <c r="EE79" i="2" s="1"/>
  <c r="CB79" i="2"/>
  <c r="CC79" i="2"/>
  <c r="CD79" i="2"/>
  <c r="EH79" i="2" s="1"/>
  <c r="CE79" i="2"/>
  <c r="BT80" i="2"/>
  <c r="BU80" i="2"/>
  <c r="DY80" i="2" s="1"/>
  <c r="BV80" i="2"/>
  <c r="BH80" i="2" s="1" a="1"/>
  <c r="BH80" i="2" s="1"/>
  <c r="BW80" i="2"/>
  <c r="BX80" i="2"/>
  <c r="BY80" i="2"/>
  <c r="BZ80" i="2"/>
  <c r="ED80" i="2" s="1"/>
  <c r="CA80" i="2"/>
  <c r="CB80" i="2"/>
  <c r="CC80" i="2"/>
  <c r="CD80" i="2"/>
  <c r="EH80" i="2" s="1"/>
  <c r="CE80" i="2"/>
  <c r="EI80" i="2" s="1"/>
  <c r="BT81" i="2"/>
  <c r="DX81" i="2" s="1"/>
  <c r="BU81" i="2"/>
  <c r="BV81" i="2"/>
  <c r="BH81" i="2" s="1" a="1"/>
  <c r="BW81" i="2"/>
  <c r="BX81" i="2"/>
  <c r="BY81" i="2"/>
  <c r="BZ81" i="2"/>
  <c r="CA81" i="2"/>
  <c r="EE81" i="2" s="1"/>
  <c r="CB81" i="2"/>
  <c r="EF81" i="2" s="1"/>
  <c r="CC81" i="2"/>
  <c r="EG81" i="2" s="1"/>
  <c r="CD81" i="2"/>
  <c r="EH81" i="2" s="1"/>
  <c r="CE81" i="2"/>
  <c r="EI81" i="2" s="1"/>
  <c r="BT82" i="2"/>
  <c r="DX82" i="2" s="1"/>
  <c r="BU82" i="2"/>
  <c r="DY82" i="2" s="1"/>
  <c r="BV82" i="2"/>
  <c r="DZ82" i="2" s="1"/>
  <c r="BW82" i="2"/>
  <c r="BX82" i="2"/>
  <c r="BY82" i="2"/>
  <c r="BZ82" i="2"/>
  <c r="CA82" i="2"/>
  <c r="EE82" i="2" s="1"/>
  <c r="CB82" i="2"/>
  <c r="EF82" i="2" s="1"/>
  <c r="CC82" i="2"/>
  <c r="CD82" i="2"/>
  <c r="CE82" i="2"/>
  <c r="EI82" i="2" s="1"/>
  <c r="BT83" i="2"/>
  <c r="DX83" i="2" s="1"/>
  <c r="BU83" i="2"/>
  <c r="DY83" i="2" s="1"/>
  <c r="BV83" i="2"/>
  <c r="BW83" i="2"/>
  <c r="BX83" i="2"/>
  <c r="BY83" i="2"/>
  <c r="BZ83" i="2"/>
  <c r="CA83" i="2"/>
  <c r="EE83" i="2" s="1"/>
  <c r="CB83" i="2"/>
  <c r="EF83" i="2" s="1"/>
  <c r="CC83" i="2"/>
  <c r="CD83" i="2"/>
  <c r="EH83" i="2" s="1"/>
  <c r="CE83" i="2"/>
  <c r="BT84" i="2"/>
  <c r="BU84" i="2"/>
  <c r="DY84" i="2" s="1"/>
  <c r="BV84" i="2"/>
  <c r="DZ84" i="2" s="1"/>
  <c r="BW84" i="2"/>
  <c r="EA84" i="2" s="1"/>
  <c r="BX84" i="2"/>
  <c r="BY84" i="2"/>
  <c r="BZ84" i="2"/>
  <c r="CA84" i="2"/>
  <c r="EE84" i="2" s="1"/>
  <c r="CB84" i="2"/>
  <c r="EF84" i="2" s="1"/>
  <c r="CC84" i="2"/>
  <c r="EG84" i="2" s="1"/>
  <c r="CD84" i="2"/>
  <c r="EH84" i="2" s="1"/>
  <c r="CE84" i="2"/>
  <c r="EI84" i="2" s="1"/>
  <c r="BT85" i="2"/>
  <c r="DX85" i="2" s="1"/>
  <c r="BU85" i="2"/>
  <c r="DY85" i="2" s="1"/>
  <c r="BV85" i="2"/>
  <c r="DZ85" i="2" s="1"/>
  <c r="BW85" i="2"/>
  <c r="BX85" i="2"/>
  <c r="BY85" i="2"/>
  <c r="BZ85" i="2"/>
  <c r="CA85" i="2"/>
  <c r="EE85" i="2" s="1"/>
  <c r="CB85" i="2"/>
  <c r="EF85" i="2" s="1"/>
  <c r="CC85" i="2"/>
  <c r="CD85" i="2"/>
  <c r="CE85" i="2"/>
  <c r="BQ85" i="2" s="1" a="1"/>
  <c r="BQ85" i="2" s="1"/>
  <c r="BT86" i="2"/>
  <c r="DX86" i="2" s="1"/>
  <c r="BU86" i="2"/>
  <c r="DY86" i="2" s="1"/>
  <c r="BV86" i="2"/>
  <c r="BW86" i="2"/>
  <c r="BX86" i="2"/>
  <c r="BY86" i="2"/>
  <c r="BZ86" i="2"/>
  <c r="CA86" i="2"/>
  <c r="EE86" i="2" s="1"/>
  <c r="CB86" i="2"/>
  <c r="EF86" i="2" s="1"/>
  <c r="CC86" i="2"/>
  <c r="CD86" i="2"/>
  <c r="EH86" i="2" s="1"/>
  <c r="CE86" i="2"/>
  <c r="EI86" i="2" s="1"/>
  <c r="BT87" i="2"/>
  <c r="DX87" i="2" s="1"/>
  <c r="BU87" i="2"/>
  <c r="BV87" i="2"/>
  <c r="BW87" i="2"/>
  <c r="BX87" i="2"/>
  <c r="BY87" i="2"/>
  <c r="BZ87" i="2"/>
  <c r="CA87" i="2"/>
  <c r="EE87" i="2" s="1"/>
  <c r="CB87" i="2"/>
  <c r="EF87" i="2" s="1"/>
  <c r="CC87" i="2"/>
  <c r="EG87" i="2" s="1"/>
  <c r="CD87" i="2"/>
  <c r="EH87" i="2" s="1"/>
  <c r="CE87" i="2"/>
  <c r="EI87" i="2" s="1"/>
  <c r="BT88" i="2"/>
  <c r="DX88" i="2" s="1"/>
  <c r="BU88" i="2"/>
  <c r="DY88" i="2" s="1"/>
  <c r="BV88" i="2"/>
  <c r="DZ88" i="2" s="1"/>
  <c r="BW88" i="2"/>
  <c r="EA88" i="2" s="1"/>
  <c r="BX88" i="2"/>
  <c r="BY88" i="2"/>
  <c r="BZ88" i="2"/>
  <c r="CA88" i="2"/>
  <c r="EE88" i="2" s="1"/>
  <c r="CB88" i="2"/>
  <c r="EF88" i="2" s="1"/>
  <c r="CC88" i="2"/>
  <c r="EG88" i="2" s="1"/>
  <c r="CD88" i="2"/>
  <c r="EH88" i="2" s="1"/>
  <c r="CE88" i="2"/>
  <c r="EI88" i="2" s="1"/>
  <c r="BT89" i="2"/>
  <c r="DX89" i="2" s="1"/>
  <c r="BU89" i="2"/>
  <c r="DY89" i="2" s="1"/>
  <c r="BV89" i="2"/>
  <c r="BW89" i="2"/>
  <c r="BX89" i="2"/>
  <c r="BY89" i="2"/>
  <c r="BZ89" i="2"/>
  <c r="CA89" i="2"/>
  <c r="EE89" i="2" s="1"/>
  <c r="CB89" i="2"/>
  <c r="CC89" i="2"/>
  <c r="CD89" i="2"/>
  <c r="EH89" i="2" s="1"/>
  <c r="CE89" i="2"/>
  <c r="BQ89" i="2" s="1" a="1"/>
  <c r="BQ89" i="2" s="1"/>
  <c r="BT90" i="2"/>
  <c r="BU90" i="2"/>
  <c r="DY90" i="2" s="1"/>
  <c r="BV90" i="2"/>
  <c r="DZ90" i="2" s="1"/>
  <c r="BW90" i="2"/>
  <c r="BX90" i="2"/>
  <c r="BY90" i="2"/>
  <c r="BZ90" i="2"/>
  <c r="CA90" i="2"/>
  <c r="EE90" i="2" s="1"/>
  <c r="CB90" i="2"/>
  <c r="EF90" i="2" s="1"/>
  <c r="CC90" i="2"/>
  <c r="CD90" i="2"/>
  <c r="EH90" i="2" s="1"/>
  <c r="CE90" i="2"/>
  <c r="EI90" i="2" s="1"/>
  <c r="BT91" i="2"/>
  <c r="DX91" i="2" s="1"/>
  <c r="BU91" i="2"/>
  <c r="DY91" i="2" s="1"/>
  <c r="BV91" i="2"/>
  <c r="DZ91" i="2" s="1"/>
  <c r="BW91" i="2"/>
  <c r="BX91" i="2"/>
  <c r="BY91" i="2"/>
  <c r="BZ91" i="2"/>
  <c r="CA91" i="2"/>
  <c r="EE91" i="2" s="1"/>
  <c r="CB91" i="2"/>
  <c r="EF91" i="2" s="1"/>
  <c r="CC91" i="2"/>
  <c r="EG91" i="2" s="1"/>
  <c r="CD91" i="2"/>
  <c r="EH91" i="2" s="1"/>
  <c r="CE91" i="2"/>
  <c r="EI91" i="2" s="1"/>
  <c r="BT92" i="2"/>
  <c r="DX92" i="2" s="1"/>
  <c r="BU92" i="2"/>
  <c r="DY92" i="2" s="1"/>
  <c r="BV92" i="2"/>
  <c r="DZ92" i="2" s="1"/>
  <c r="BW92" i="2"/>
  <c r="EA92" i="2" s="1"/>
  <c r="BX92" i="2"/>
  <c r="BY92" i="2"/>
  <c r="BZ92" i="2"/>
  <c r="CA92" i="2"/>
  <c r="EE92" i="2" s="1"/>
  <c r="CB92" i="2"/>
  <c r="EF92" i="2" s="1"/>
  <c r="CC92" i="2"/>
  <c r="CD92" i="2"/>
  <c r="CE92" i="2"/>
  <c r="EI92" i="2" s="1"/>
  <c r="BT93" i="2"/>
  <c r="DX93" i="2" s="1"/>
  <c r="BU93" i="2"/>
  <c r="DY93" i="2" s="1"/>
  <c r="BV93" i="2"/>
  <c r="BH93" i="2" s="1" a="1"/>
  <c r="BH93" i="2" s="1"/>
  <c r="BW93" i="2"/>
  <c r="BX93" i="2"/>
  <c r="BY93" i="2"/>
  <c r="BK93" i="2" s="1" a="1"/>
  <c r="BK93" i="2" s="1"/>
  <c r="BZ93" i="2"/>
  <c r="BL93" i="2" s="1" a="1"/>
  <c r="BL93" i="2" s="1"/>
  <c r="CA93" i="2"/>
  <c r="EE93" i="2" s="1"/>
  <c r="CB93" i="2"/>
  <c r="EF93" i="2" s="1"/>
  <c r="CC93" i="2"/>
  <c r="CD93" i="2"/>
  <c r="EH93" i="2" s="1"/>
  <c r="CE93" i="2"/>
  <c r="EI93" i="2" s="1"/>
  <c r="BT94" i="2"/>
  <c r="DX94" i="2" s="1"/>
  <c r="BU94" i="2"/>
  <c r="DY94" i="2" s="1"/>
  <c r="BV94" i="2"/>
  <c r="DZ94" i="2" s="1"/>
  <c r="BW94" i="2"/>
  <c r="BX94" i="2"/>
  <c r="BY94" i="2"/>
  <c r="BZ94" i="2"/>
  <c r="CA94" i="2"/>
  <c r="EE94" i="2" s="1"/>
  <c r="CB94" i="2"/>
  <c r="EF94" i="2" s="1"/>
  <c r="CC94" i="2"/>
  <c r="EG94" i="2" s="1"/>
  <c r="CD94" i="2"/>
  <c r="EH94" i="2" s="1"/>
  <c r="CE94" i="2"/>
  <c r="EI94" i="2" s="1"/>
  <c r="BT95" i="2"/>
  <c r="DX95" i="2" s="1"/>
  <c r="BU95" i="2"/>
  <c r="DY95" i="2" s="1"/>
  <c r="BV95" i="2"/>
  <c r="DZ95" i="2" s="1"/>
  <c r="BW95" i="2"/>
  <c r="BX95" i="2"/>
  <c r="BY95" i="2"/>
  <c r="BZ95" i="2"/>
  <c r="CA95" i="2"/>
  <c r="EE95" i="2" s="1"/>
  <c r="CB95" i="2"/>
  <c r="EF95" i="2" s="1"/>
  <c r="CC95" i="2"/>
  <c r="EG95" i="2" s="1"/>
  <c r="CD95" i="2"/>
  <c r="CE95" i="2"/>
  <c r="BQ95" i="2" s="1" a="1"/>
  <c r="BQ95" i="2" s="1"/>
  <c r="BT96" i="2"/>
  <c r="BF96" i="2" s="1" a="1"/>
  <c r="BF96" i="2" s="1"/>
  <c r="BU96" i="2"/>
  <c r="DY96" i="2" s="1"/>
  <c r="BV96" i="2"/>
  <c r="BW96" i="2"/>
  <c r="EA96" i="2" s="1"/>
  <c r="BX96" i="2"/>
  <c r="BY96" i="2"/>
  <c r="BZ96" i="2"/>
  <c r="CA96" i="2"/>
  <c r="EE96" i="2" s="1"/>
  <c r="CB96" i="2"/>
  <c r="BN96" i="2" s="1" a="1"/>
  <c r="BN96" i="2" s="1"/>
  <c r="CC96" i="2"/>
  <c r="EG96" i="2" s="1"/>
  <c r="CD96" i="2"/>
  <c r="EH96" i="2" s="1"/>
  <c r="CE96" i="2"/>
  <c r="EI96" i="2" s="1"/>
  <c r="BT97" i="2"/>
  <c r="BF97" i="2" s="1" a="1"/>
  <c r="BF97" i="2" s="1"/>
  <c r="BU97" i="2"/>
  <c r="BV97" i="2"/>
  <c r="DZ97" i="2" s="1"/>
  <c r="BW97" i="2"/>
  <c r="BX97" i="2"/>
  <c r="BY97" i="2"/>
  <c r="BZ97" i="2"/>
  <c r="CA97" i="2"/>
  <c r="EE97" i="2" s="1"/>
  <c r="CB97" i="2"/>
  <c r="EF97" i="2" s="1"/>
  <c r="CC97" i="2"/>
  <c r="EG97" i="2" s="1"/>
  <c r="CD97" i="2"/>
  <c r="EH97" i="2" s="1"/>
  <c r="CE97" i="2"/>
  <c r="BT98" i="2"/>
  <c r="DX98" i="2" s="1"/>
  <c r="BU98" i="2"/>
  <c r="DY98" i="2" s="1"/>
  <c r="BV98" i="2"/>
  <c r="DZ98" i="2" s="1"/>
  <c r="BW98" i="2"/>
  <c r="BX98" i="2"/>
  <c r="BY98" i="2"/>
  <c r="BZ98" i="2"/>
  <c r="CA98" i="2"/>
  <c r="EE98" i="2" s="1"/>
  <c r="CB98" i="2"/>
  <c r="EF98" i="2" s="1"/>
  <c r="CC98" i="2"/>
  <c r="EG98" i="2" s="1"/>
  <c r="CD98" i="2"/>
  <c r="EH98" i="2" s="1"/>
  <c r="CE98" i="2"/>
  <c r="EI98" i="2" s="1"/>
  <c r="BT99" i="2"/>
  <c r="DX99" i="2" s="1"/>
  <c r="BU99" i="2"/>
  <c r="DY99" i="2" s="1"/>
  <c r="BV99" i="2"/>
  <c r="BW99" i="2"/>
  <c r="BX99" i="2"/>
  <c r="BY99" i="2"/>
  <c r="BZ99" i="2"/>
  <c r="BL99" i="2" s="1" a="1"/>
  <c r="BL99" i="2" s="1"/>
  <c r="CA99" i="2"/>
  <c r="EE99" i="2" s="1"/>
  <c r="CB99" i="2"/>
  <c r="EF99" i="2" s="1"/>
  <c r="CC99" i="2"/>
  <c r="EG99" i="2" s="1"/>
  <c r="CD99" i="2"/>
  <c r="EH99" i="2" s="1"/>
  <c r="CE99" i="2"/>
  <c r="EI99" i="2" s="1"/>
  <c r="BT100" i="2"/>
  <c r="DX100" i="2" s="1"/>
  <c r="BU100" i="2"/>
  <c r="DY100" i="2" s="1"/>
  <c r="BV100" i="2"/>
  <c r="DZ100" i="2" s="1"/>
  <c r="BW100" i="2"/>
  <c r="EA100" i="2" s="1"/>
  <c r="BX100" i="2"/>
  <c r="BY100" i="2"/>
  <c r="BZ100" i="2"/>
  <c r="CA100" i="2"/>
  <c r="EE100" i="2" s="1"/>
  <c r="CB100" i="2"/>
  <c r="EF100" i="2" s="1"/>
  <c r="CC100" i="2"/>
  <c r="EG100" i="2" s="1"/>
  <c r="CD100" i="2"/>
  <c r="EH100" i="2" s="1"/>
  <c r="CE100" i="2"/>
  <c r="EI100" i="2" s="1"/>
  <c r="BT101" i="2"/>
  <c r="DX101" i="2" s="1"/>
  <c r="BU101" i="2"/>
  <c r="DY101" i="2" s="1"/>
  <c r="BV101" i="2"/>
  <c r="DZ101" i="2" s="1"/>
  <c r="BW101" i="2"/>
  <c r="BX101" i="2"/>
  <c r="BY101" i="2"/>
  <c r="BZ101" i="2"/>
  <c r="CA101" i="2"/>
  <c r="EE101" i="2" s="1"/>
  <c r="CB101" i="2"/>
  <c r="EF101" i="2" s="1"/>
  <c r="CC101" i="2"/>
  <c r="EG101" i="2" s="1"/>
  <c r="CD101" i="2"/>
  <c r="EH101" i="2" s="1"/>
  <c r="CE101" i="2"/>
  <c r="BQ101" i="2" s="1" a="1"/>
  <c r="BQ101" i="2" s="1"/>
  <c r="BT102" i="2"/>
  <c r="BF102" i="2" s="1" a="1"/>
  <c r="BF102" i="2" s="1"/>
  <c r="BU102" i="2"/>
  <c r="DY102" i="2" s="1"/>
  <c r="BV102" i="2"/>
  <c r="DZ102" i="2" s="1"/>
  <c r="BW102" i="2"/>
  <c r="BX102" i="2"/>
  <c r="BY102" i="2"/>
  <c r="BZ102" i="2"/>
  <c r="CA102" i="2"/>
  <c r="EE102" i="2" s="1"/>
  <c r="CB102" i="2"/>
  <c r="EF102" i="2" s="1"/>
  <c r="CC102" i="2"/>
  <c r="EG102" i="2" s="1"/>
  <c r="CD102" i="2"/>
  <c r="EH102" i="2" s="1"/>
  <c r="CE102" i="2"/>
  <c r="EI102" i="2" s="1"/>
  <c r="BT103" i="2"/>
  <c r="BU103" i="2"/>
  <c r="BV103" i="2"/>
  <c r="DZ103" i="2" s="1"/>
  <c r="BW103" i="2"/>
  <c r="BX103" i="2"/>
  <c r="BY103" i="2"/>
  <c r="BZ103" i="2"/>
  <c r="CA103" i="2"/>
  <c r="EE103" i="2" s="1"/>
  <c r="CB103" i="2"/>
  <c r="EF103" i="2" s="1"/>
  <c r="CC103" i="2"/>
  <c r="EG103" i="2" s="1"/>
  <c r="CD103" i="2"/>
  <c r="EH103" i="2" s="1"/>
  <c r="CE103" i="2"/>
  <c r="EI103" i="2" s="1"/>
  <c r="AQ4" i="2"/>
  <c r="AR4" i="2"/>
  <c r="AS4" i="2"/>
  <c r="AT4" i="2"/>
  <c r="AU4" i="2"/>
  <c r="AV4" i="2"/>
  <c r="AW4" i="2"/>
  <c r="AX4" i="2"/>
  <c r="AY4" i="2"/>
  <c r="AZ4" i="2"/>
  <c r="BA4" i="2"/>
  <c r="BB4" i="2"/>
  <c r="AQ5" i="2"/>
  <c r="AR5" i="2"/>
  <c r="AS5" i="2"/>
  <c r="AT5" i="2"/>
  <c r="AU5" i="2"/>
  <c r="AV5" i="2"/>
  <c r="AW5" i="2"/>
  <c r="AX5" i="2"/>
  <c r="AY5" i="2"/>
  <c r="AZ5" i="2"/>
  <c r="BA5" i="2"/>
  <c r="BB5" i="2"/>
  <c r="AQ6" i="2"/>
  <c r="AR6" i="2"/>
  <c r="AS6" i="2"/>
  <c r="AT6" i="2"/>
  <c r="AU6" i="2"/>
  <c r="AV6" i="2"/>
  <c r="AW6" i="2"/>
  <c r="AX6" i="2"/>
  <c r="AY6" i="2"/>
  <c r="AZ6" i="2"/>
  <c r="BA6" i="2"/>
  <c r="BB6" i="2"/>
  <c r="AQ7" i="2"/>
  <c r="AR7" i="2"/>
  <c r="AS7" i="2"/>
  <c r="AT7" i="2"/>
  <c r="AU7" i="2"/>
  <c r="AV7" i="2"/>
  <c r="AW7" i="2"/>
  <c r="AX7" i="2"/>
  <c r="AY7" i="2"/>
  <c r="AZ7" i="2"/>
  <c r="BA7" i="2"/>
  <c r="BB7" i="2"/>
  <c r="AQ8" i="2"/>
  <c r="AR8" i="2"/>
  <c r="AS8" i="2"/>
  <c r="AT8" i="2"/>
  <c r="AU8" i="2"/>
  <c r="AV8" i="2"/>
  <c r="AW8" i="2"/>
  <c r="AX8" i="2"/>
  <c r="AY8" i="2"/>
  <c r="AZ8" i="2"/>
  <c r="BA8" i="2"/>
  <c r="BB8" i="2"/>
  <c r="AQ9" i="2"/>
  <c r="AR9" i="2"/>
  <c r="AS9" i="2"/>
  <c r="AT9" i="2"/>
  <c r="AU9" i="2"/>
  <c r="AV9" i="2"/>
  <c r="AW9" i="2"/>
  <c r="AX9" i="2"/>
  <c r="AY9" i="2"/>
  <c r="AZ9" i="2"/>
  <c r="BA9" i="2"/>
  <c r="BB9" i="2"/>
  <c r="AQ10" i="2"/>
  <c r="AR10" i="2"/>
  <c r="AS10" i="2"/>
  <c r="AT10" i="2"/>
  <c r="AU10" i="2"/>
  <c r="AV10" i="2"/>
  <c r="AW10" i="2"/>
  <c r="AX10" i="2"/>
  <c r="AY10" i="2"/>
  <c r="AZ10" i="2"/>
  <c r="BA10" i="2"/>
  <c r="BB10" i="2"/>
  <c r="AQ11" i="2"/>
  <c r="AR11" i="2"/>
  <c r="AS11" i="2"/>
  <c r="AT11" i="2"/>
  <c r="AU11" i="2"/>
  <c r="AV11" i="2"/>
  <c r="AW11" i="2"/>
  <c r="AX11" i="2"/>
  <c r="AY11" i="2"/>
  <c r="AZ11" i="2"/>
  <c r="BA11" i="2"/>
  <c r="BB11" i="2"/>
  <c r="AQ12" i="2"/>
  <c r="AR12" i="2"/>
  <c r="AS12" i="2"/>
  <c r="AT12" i="2"/>
  <c r="AU12" i="2"/>
  <c r="AV12" i="2"/>
  <c r="AW12" i="2"/>
  <c r="AX12" i="2"/>
  <c r="AY12" i="2"/>
  <c r="AZ12" i="2"/>
  <c r="BA12" i="2"/>
  <c r="BB12" i="2"/>
  <c r="AQ13" i="2"/>
  <c r="AR13" i="2"/>
  <c r="AS13" i="2"/>
  <c r="AT13" i="2"/>
  <c r="AU13" i="2"/>
  <c r="AV13" i="2"/>
  <c r="AW13" i="2"/>
  <c r="AX13" i="2"/>
  <c r="AY13" i="2"/>
  <c r="AZ13" i="2"/>
  <c r="BA13" i="2"/>
  <c r="BB13" i="2"/>
  <c r="AQ14" i="2"/>
  <c r="AR14" i="2"/>
  <c r="AS14" i="2"/>
  <c r="AT14" i="2"/>
  <c r="AU14" i="2"/>
  <c r="AV14" i="2"/>
  <c r="AW14" i="2"/>
  <c r="AX14" i="2"/>
  <c r="AY14" i="2"/>
  <c r="AZ14" i="2"/>
  <c r="BA14" i="2"/>
  <c r="BB14" i="2"/>
  <c r="AQ15" i="2"/>
  <c r="AR15" i="2"/>
  <c r="AS15" i="2"/>
  <c r="AT15" i="2"/>
  <c r="AU15" i="2"/>
  <c r="AV15" i="2"/>
  <c r="AW15" i="2"/>
  <c r="AX15" i="2"/>
  <c r="AY15" i="2"/>
  <c r="AZ15" i="2"/>
  <c r="BA15" i="2"/>
  <c r="BB15" i="2"/>
  <c r="AQ16" i="2"/>
  <c r="AR16" i="2"/>
  <c r="AS16" i="2"/>
  <c r="AT16" i="2"/>
  <c r="AU16" i="2"/>
  <c r="AV16" i="2"/>
  <c r="AW16" i="2"/>
  <c r="AX16" i="2"/>
  <c r="AY16" i="2"/>
  <c r="AZ16" i="2"/>
  <c r="BA16" i="2"/>
  <c r="BB16" i="2"/>
  <c r="AQ17" i="2"/>
  <c r="AR17" i="2"/>
  <c r="AS17" i="2"/>
  <c r="AT17" i="2"/>
  <c r="AU17" i="2"/>
  <c r="AV17" i="2"/>
  <c r="AW17" i="2"/>
  <c r="AX17" i="2"/>
  <c r="AY17" i="2"/>
  <c r="AZ17" i="2"/>
  <c r="BA17" i="2"/>
  <c r="BB17" i="2"/>
  <c r="AQ18" i="2"/>
  <c r="AR18" i="2"/>
  <c r="AS18" i="2"/>
  <c r="AT18" i="2"/>
  <c r="AU18" i="2"/>
  <c r="AV18" i="2"/>
  <c r="AW18" i="2"/>
  <c r="AX18" i="2"/>
  <c r="AY18" i="2"/>
  <c r="AZ18" i="2"/>
  <c r="BA18" i="2"/>
  <c r="BB18" i="2"/>
  <c r="AQ19" i="2"/>
  <c r="AR19" i="2"/>
  <c r="AS19" i="2"/>
  <c r="AT19" i="2"/>
  <c r="AU19" i="2"/>
  <c r="AV19" i="2"/>
  <c r="AW19" i="2"/>
  <c r="AX19" i="2"/>
  <c r="AY19" i="2"/>
  <c r="AZ19" i="2"/>
  <c r="BA19" i="2"/>
  <c r="BB19" i="2"/>
  <c r="AQ20" i="2"/>
  <c r="AR20" i="2"/>
  <c r="AS20" i="2"/>
  <c r="AT20" i="2"/>
  <c r="AU20" i="2"/>
  <c r="AV20" i="2"/>
  <c r="AW20" i="2"/>
  <c r="AX20" i="2"/>
  <c r="AY20" i="2"/>
  <c r="AZ20" i="2"/>
  <c r="BA20" i="2"/>
  <c r="BB20" i="2"/>
  <c r="AQ21" i="2"/>
  <c r="AR21" i="2"/>
  <c r="AS21" i="2"/>
  <c r="AT21" i="2"/>
  <c r="AU21" i="2"/>
  <c r="AV21" i="2"/>
  <c r="AW21" i="2"/>
  <c r="AX21" i="2"/>
  <c r="AY21" i="2"/>
  <c r="AZ21" i="2"/>
  <c r="BA21" i="2"/>
  <c r="BB21" i="2"/>
  <c r="AQ22" i="2"/>
  <c r="AR22" i="2"/>
  <c r="AS22" i="2"/>
  <c r="AT22" i="2"/>
  <c r="AU22" i="2"/>
  <c r="AV22" i="2"/>
  <c r="AW22" i="2"/>
  <c r="AX22" i="2"/>
  <c r="AY22" i="2"/>
  <c r="AZ22" i="2"/>
  <c r="BA22" i="2"/>
  <c r="BB22" i="2"/>
  <c r="AQ23" i="2"/>
  <c r="AR23" i="2"/>
  <c r="AS23" i="2"/>
  <c r="AT23" i="2"/>
  <c r="AU23" i="2"/>
  <c r="AV23" i="2"/>
  <c r="AW23" i="2"/>
  <c r="AX23" i="2"/>
  <c r="AY23" i="2"/>
  <c r="AZ23" i="2"/>
  <c r="BA23" i="2"/>
  <c r="BB23" i="2"/>
  <c r="AQ24" i="2"/>
  <c r="AR24" i="2"/>
  <c r="AS24" i="2"/>
  <c r="AT24" i="2"/>
  <c r="AU24" i="2"/>
  <c r="AV24" i="2"/>
  <c r="AW24" i="2"/>
  <c r="AX24" i="2"/>
  <c r="AY24" i="2"/>
  <c r="AZ24" i="2"/>
  <c r="BA24" i="2"/>
  <c r="BB24" i="2"/>
  <c r="AQ25" i="2"/>
  <c r="AR25" i="2"/>
  <c r="AS25" i="2"/>
  <c r="AT25" i="2"/>
  <c r="AU25" i="2"/>
  <c r="AV25" i="2"/>
  <c r="AW25" i="2"/>
  <c r="AX25" i="2"/>
  <c r="AY25" i="2"/>
  <c r="AZ25" i="2"/>
  <c r="BA25" i="2"/>
  <c r="BB25" i="2"/>
  <c r="AQ26" i="2"/>
  <c r="AR26" i="2"/>
  <c r="AS26" i="2"/>
  <c r="AT26" i="2"/>
  <c r="AU26" i="2"/>
  <c r="AV26" i="2"/>
  <c r="AW26" i="2"/>
  <c r="AX26" i="2"/>
  <c r="AY26" i="2"/>
  <c r="AZ26" i="2"/>
  <c r="BA26" i="2"/>
  <c r="BB26" i="2"/>
  <c r="AQ27" i="2"/>
  <c r="AR27" i="2"/>
  <c r="AS27" i="2"/>
  <c r="AT27" i="2"/>
  <c r="AU27" i="2"/>
  <c r="AV27" i="2"/>
  <c r="AW27" i="2"/>
  <c r="AX27" i="2"/>
  <c r="AY27" i="2"/>
  <c r="AZ27" i="2"/>
  <c r="BA27" i="2"/>
  <c r="BB27" i="2"/>
  <c r="AQ28" i="2"/>
  <c r="AR28" i="2"/>
  <c r="AS28" i="2"/>
  <c r="AT28" i="2"/>
  <c r="AU28" i="2"/>
  <c r="AV28" i="2"/>
  <c r="AW28" i="2"/>
  <c r="AX28" i="2"/>
  <c r="AY28" i="2"/>
  <c r="AZ28" i="2"/>
  <c r="BA28" i="2"/>
  <c r="BB28" i="2"/>
  <c r="AQ29" i="2"/>
  <c r="AR29" i="2"/>
  <c r="AS29" i="2"/>
  <c r="AT29" i="2"/>
  <c r="AU29" i="2"/>
  <c r="AV29" i="2"/>
  <c r="AW29" i="2"/>
  <c r="AX29" i="2"/>
  <c r="AY29" i="2"/>
  <c r="AZ29" i="2"/>
  <c r="BA29" i="2"/>
  <c r="BB29" i="2"/>
  <c r="AQ30" i="2"/>
  <c r="AR30" i="2"/>
  <c r="AS30" i="2"/>
  <c r="AT30" i="2"/>
  <c r="AU30" i="2"/>
  <c r="AV30" i="2"/>
  <c r="AW30" i="2"/>
  <c r="AX30" i="2"/>
  <c r="AY30" i="2"/>
  <c r="AZ30" i="2"/>
  <c r="BA30" i="2"/>
  <c r="BB30" i="2"/>
  <c r="AQ31" i="2"/>
  <c r="AR31" i="2"/>
  <c r="AS31" i="2"/>
  <c r="AT31" i="2"/>
  <c r="AU31" i="2"/>
  <c r="AV31" i="2"/>
  <c r="AW31" i="2"/>
  <c r="AX31" i="2"/>
  <c r="AY31" i="2"/>
  <c r="AZ31" i="2"/>
  <c r="BA31" i="2"/>
  <c r="BB31" i="2"/>
  <c r="AQ32" i="2"/>
  <c r="AR32" i="2"/>
  <c r="AS32" i="2"/>
  <c r="AT32" i="2"/>
  <c r="AU32" i="2"/>
  <c r="AV32" i="2"/>
  <c r="AW32" i="2"/>
  <c r="AX32" i="2"/>
  <c r="AY32" i="2"/>
  <c r="AZ32" i="2"/>
  <c r="BA32" i="2"/>
  <c r="BB32" i="2"/>
  <c r="AQ33" i="2"/>
  <c r="AR33" i="2"/>
  <c r="AS33" i="2"/>
  <c r="AT33" i="2"/>
  <c r="AU33" i="2"/>
  <c r="AV33" i="2"/>
  <c r="AW33" i="2"/>
  <c r="AX33" i="2"/>
  <c r="AY33" i="2"/>
  <c r="AZ33" i="2"/>
  <c r="BA33" i="2"/>
  <c r="BB33" i="2"/>
  <c r="AQ34" i="2"/>
  <c r="AR34" i="2"/>
  <c r="AS34" i="2"/>
  <c r="AT34" i="2"/>
  <c r="AU34" i="2"/>
  <c r="AV34" i="2"/>
  <c r="AW34" i="2"/>
  <c r="AX34" i="2"/>
  <c r="AY34" i="2"/>
  <c r="AZ34" i="2"/>
  <c r="BA34" i="2"/>
  <c r="BB34" i="2"/>
  <c r="AQ35" i="2"/>
  <c r="AR35" i="2"/>
  <c r="AS35" i="2"/>
  <c r="AT35" i="2"/>
  <c r="AU35" i="2"/>
  <c r="AV35" i="2"/>
  <c r="AW35" i="2"/>
  <c r="AX35" i="2"/>
  <c r="AY35" i="2"/>
  <c r="AZ35" i="2"/>
  <c r="BA35" i="2"/>
  <c r="BB35" i="2"/>
  <c r="AQ36" i="2"/>
  <c r="AR36" i="2"/>
  <c r="AS36" i="2"/>
  <c r="AT36" i="2"/>
  <c r="AU36" i="2"/>
  <c r="AV36" i="2"/>
  <c r="AW36" i="2"/>
  <c r="AX36" i="2"/>
  <c r="AY36" i="2"/>
  <c r="AZ36" i="2"/>
  <c r="BA36" i="2"/>
  <c r="BB36" i="2"/>
  <c r="AQ37" i="2"/>
  <c r="AR37" i="2"/>
  <c r="AS37" i="2"/>
  <c r="AT37" i="2"/>
  <c r="AU37" i="2"/>
  <c r="AV37" i="2"/>
  <c r="AW37" i="2"/>
  <c r="AX37" i="2"/>
  <c r="AY37" i="2"/>
  <c r="AZ37" i="2"/>
  <c r="BA37" i="2"/>
  <c r="BB37" i="2"/>
  <c r="AQ38" i="2"/>
  <c r="AR38" i="2"/>
  <c r="AS38" i="2"/>
  <c r="AT38" i="2"/>
  <c r="AU38" i="2"/>
  <c r="AV38" i="2"/>
  <c r="AW38" i="2"/>
  <c r="AX38" i="2"/>
  <c r="AY38" i="2"/>
  <c r="AZ38" i="2"/>
  <c r="BA38" i="2"/>
  <c r="BB38" i="2"/>
  <c r="AQ39" i="2"/>
  <c r="AR39" i="2"/>
  <c r="AS39" i="2"/>
  <c r="AT39" i="2"/>
  <c r="AU39" i="2"/>
  <c r="AV39" i="2"/>
  <c r="AW39" i="2"/>
  <c r="AX39" i="2"/>
  <c r="AY39" i="2"/>
  <c r="AZ39" i="2"/>
  <c r="BA39" i="2"/>
  <c r="BB39" i="2"/>
  <c r="AQ40" i="2"/>
  <c r="AR40" i="2"/>
  <c r="AS40" i="2"/>
  <c r="AT40" i="2"/>
  <c r="AU40" i="2"/>
  <c r="AV40" i="2"/>
  <c r="AW40" i="2"/>
  <c r="AX40" i="2"/>
  <c r="AY40" i="2"/>
  <c r="AZ40" i="2"/>
  <c r="BA40" i="2"/>
  <c r="BB40" i="2"/>
  <c r="AQ41" i="2"/>
  <c r="AR41" i="2"/>
  <c r="AS41" i="2"/>
  <c r="AT41" i="2"/>
  <c r="AU41" i="2"/>
  <c r="AV41" i="2"/>
  <c r="AW41" i="2"/>
  <c r="AX41" i="2"/>
  <c r="AY41" i="2"/>
  <c r="AZ41" i="2"/>
  <c r="BA41" i="2"/>
  <c r="BB41" i="2"/>
  <c r="AQ42" i="2"/>
  <c r="AR42" i="2"/>
  <c r="AS42" i="2"/>
  <c r="AT42" i="2"/>
  <c r="AU42" i="2"/>
  <c r="AV42" i="2"/>
  <c r="AW42" i="2"/>
  <c r="AX42" i="2"/>
  <c r="AY42" i="2"/>
  <c r="AZ42" i="2"/>
  <c r="BA42" i="2"/>
  <c r="BB42" i="2"/>
  <c r="AQ43" i="2"/>
  <c r="AR43" i="2"/>
  <c r="AS43" i="2"/>
  <c r="AT43" i="2"/>
  <c r="AU43" i="2"/>
  <c r="AV43" i="2"/>
  <c r="AW43" i="2"/>
  <c r="AX43" i="2"/>
  <c r="AY43" i="2"/>
  <c r="AZ43" i="2"/>
  <c r="BA43" i="2"/>
  <c r="BB43" i="2"/>
  <c r="AQ44" i="2"/>
  <c r="AR44" i="2"/>
  <c r="AS44" i="2"/>
  <c r="AT44" i="2"/>
  <c r="AU44" i="2"/>
  <c r="AV44" i="2"/>
  <c r="AW44" i="2"/>
  <c r="AX44" i="2"/>
  <c r="AY44" i="2"/>
  <c r="AZ44" i="2"/>
  <c r="BA44" i="2"/>
  <c r="BB44" i="2"/>
  <c r="AQ45" i="2"/>
  <c r="AR45" i="2"/>
  <c r="AS45" i="2"/>
  <c r="AT45" i="2"/>
  <c r="AU45" i="2"/>
  <c r="AV45" i="2"/>
  <c r="AW45" i="2"/>
  <c r="AX45" i="2"/>
  <c r="AY45" i="2"/>
  <c r="AZ45" i="2"/>
  <c r="BA45" i="2"/>
  <c r="BB45" i="2"/>
  <c r="AQ46" i="2"/>
  <c r="AR46" i="2"/>
  <c r="AS46" i="2"/>
  <c r="AT46" i="2"/>
  <c r="AU46" i="2"/>
  <c r="AV46" i="2"/>
  <c r="AW46" i="2"/>
  <c r="AX46" i="2"/>
  <c r="AY46" i="2"/>
  <c r="AZ46" i="2"/>
  <c r="BA46" i="2"/>
  <c r="BB46" i="2"/>
  <c r="AQ47" i="2"/>
  <c r="AR47" i="2"/>
  <c r="AS47" i="2"/>
  <c r="AT47" i="2"/>
  <c r="AU47" i="2"/>
  <c r="AV47" i="2"/>
  <c r="AW47" i="2"/>
  <c r="AX47" i="2"/>
  <c r="AY47" i="2"/>
  <c r="AZ47" i="2"/>
  <c r="BA47" i="2"/>
  <c r="BB47" i="2"/>
  <c r="AQ48" i="2"/>
  <c r="AR48" i="2"/>
  <c r="AS48" i="2"/>
  <c r="AT48" i="2"/>
  <c r="AU48" i="2"/>
  <c r="AV48" i="2"/>
  <c r="AW48" i="2"/>
  <c r="AX48" i="2"/>
  <c r="AY48" i="2"/>
  <c r="AZ48" i="2"/>
  <c r="BA48" i="2"/>
  <c r="BB48" i="2"/>
  <c r="AQ49" i="2"/>
  <c r="AR49" i="2"/>
  <c r="AS49" i="2"/>
  <c r="AT49" i="2"/>
  <c r="AU49" i="2"/>
  <c r="AV49" i="2"/>
  <c r="AW49" i="2"/>
  <c r="AX49" i="2"/>
  <c r="AY49" i="2"/>
  <c r="AZ49" i="2"/>
  <c r="BA49" i="2"/>
  <c r="BB49" i="2"/>
  <c r="AQ50" i="2"/>
  <c r="AR50" i="2"/>
  <c r="AS50" i="2"/>
  <c r="AT50" i="2"/>
  <c r="AU50" i="2"/>
  <c r="AV50" i="2"/>
  <c r="AW50" i="2"/>
  <c r="AX50" i="2"/>
  <c r="AY50" i="2"/>
  <c r="AZ50" i="2"/>
  <c r="BA50" i="2"/>
  <c r="BB50" i="2"/>
  <c r="AQ51" i="2"/>
  <c r="AR51" i="2"/>
  <c r="AS51" i="2"/>
  <c r="AT51" i="2"/>
  <c r="AU51" i="2"/>
  <c r="AV51" i="2"/>
  <c r="AW51" i="2"/>
  <c r="AX51" i="2"/>
  <c r="AY51" i="2"/>
  <c r="AZ51" i="2"/>
  <c r="BA51" i="2"/>
  <c r="BB51" i="2"/>
  <c r="AQ52" i="2"/>
  <c r="AR52" i="2"/>
  <c r="AS52" i="2"/>
  <c r="AT52" i="2"/>
  <c r="AU52" i="2"/>
  <c r="AV52" i="2"/>
  <c r="AW52" i="2"/>
  <c r="AX52" i="2"/>
  <c r="AY52" i="2"/>
  <c r="AZ52" i="2"/>
  <c r="BA52" i="2"/>
  <c r="BB52" i="2"/>
  <c r="AQ53" i="2"/>
  <c r="AR53" i="2"/>
  <c r="AS53" i="2"/>
  <c r="AT53" i="2"/>
  <c r="AU53" i="2"/>
  <c r="AV53" i="2"/>
  <c r="AW53" i="2"/>
  <c r="AX53" i="2"/>
  <c r="AY53" i="2"/>
  <c r="AZ53" i="2"/>
  <c r="BA53" i="2"/>
  <c r="BB53" i="2"/>
  <c r="AQ54" i="2"/>
  <c r="AR54" i="2"/>
  <c r="AS54" i="2"/>
  <c r="AT54" i="2"/>
  <c r="AU54" i="2"/>
  <c r="AV54" i="2"/>
  <c r="AW54" i="2"/>
  <c r="AX54" i="2"/>
  <c r="AY54" i="2"/>
  <c r="AZ54" i="2"/>
  <c r="BA54" i="2"/>
  <c r="BB54" i="2"/>
  <c r="AQ55" i="2"/>
  <c r="AR55" i="2"/>
  <c r="AS55" i="2"/>
  <c r="AT55" i="2"/>
  <c r="AU55" i="2"/>
  <c r="AV55" i="2"/>
  <c r="AW55" i="2"/>
  <c r="AX55" i="2"/>
  <c r="AY55" i="2"/>
  <c r="AZ55" i="2"/>
  <c r="BA55" i="2"/>
  <c r="BB55" i="2"/>
  <c r="AQ56" i="2"/>
  <c r="AR56" i="2"/>
  <c r="AS56" i="2"/>
  <c r="AT56" i="2"/>
  <c r="AU56" i="2"/>
  <c r="AV56" i="2"/>
  <c r="AW56" i="2"/>
  <c r="AX56" i="2"/>
  <c r="AY56" i="2"/>
  <c r="AZ56" i="2"/>
  <c r="BA56" i="2"/>
  <c r="BB56" i="2"/>
  <c r="AQ57" i="2"/>
  <c r="AR57" i="2"/>
  <c r="AS57" i="2"/>
  <c r="AT57" i="2"/>
  <c r="AU57" i="2"/>
  <c r="AV57" i="2"/>
  <c r="AW57" i="2"/>
  <c r="AX57" i="2"/>
  <c r="AY57" i="2"/>
  <c r="AZ57" i="2"/>
  <c r="BA57" i="2"/>
  <c r="BB57" i="2"/>
  <c r="AQ58" i="2"/>
  <c r="AR58" i="2"/>
  <c r="AS58" i="2"/>
  <c r="AT58" i="2"/>
  <c r="AU58" i="2"/>
  <c r="AV58" i="2"/>
  <c r="AW58" i="2"/>
  <c r="AX58" i="2"/>
  <c r="AY58" i="2"/>
  <c r="AZ58" i="2"/>
  <c r="BA58" i="2"/>
  <c r="BB58" i="2"/>
  <c r="AQ59" i="2"/>
  <c r="AR59" i="2"/>
  <c r="AS59" i="2"/>
  <c r="AT59" i="2"/>
  <c r="AU59" i="2"/>
  <c r="AV59" i="2"/>
  <c r="AW59" i="2"/>
  <c r="AX59" i="2"/>
  <c r="AY59" i="2"/>
  <c r="AZ59" i="2"/>
  <c r="BA59" i="2"/>
  <c r="BB59" i="2"/>
  <c r="AQ60" i="2"/>
  <c r="AR60" i="2"/>
  <c r="AS60" i="2"/>
  <c r="AT60" i="2"/>
  <c r="AU60" i="2"/>
  <c r="AV60" i="2"/>
  <c r="AW60" i="2"/>
  <c r="AX60" i="2"/>
  <c r="AY60" i="2"/>
  <c r="AZ60" i="2"/>
  <c r="BA60" i="2"/>
  <c r="BB60" i="2"/>
  <c r="AQ61" i="2"/>
  <c r="AR61" i="2"/>
  <c r="AS61" i="2"/>
  <c r="AT61" i="2"/>
  <c r="AU61" i="2"/>
  <c r="AV61" i="2"/>
  <c r="AW61" i="2"/>
  <c r="AX61" i="2"/>
  <c r="AY61" i="2"/>
  <c r="AZ61" i="2"/>
  <c r="BA61" i="2"/>
  <c r="BB61" i="2"/>
  <c r="AQ62" i="2"/>
  <c r="AR62" i="2"/>
  <c r="AS62" i="2"/>
  <c r="AT62" i="2"/>
  <c r="AU62" i="2"/>
  <c r="AV62" i="2"/>
  <c r="AW62" i="2"/>
  <c r="AX62" i="2"/>
  <c r="AY62" i="2"/>
  <c r="AZ62" i="2"/>
  <c r="BA62" i="2"/>
  <c r="BB62" i="2"/>
  <c r="AQ63" i="2"/>
  <c r="AR63" i="2"/>
  <c r="AS63" i="2"/>
  <c r="AT63" i="2"/>
  <c r="AU63" i="2"/>
  <c r="AV63" i="2"/>
  <c r="AW63" i="2"/>
  <c r="AX63" i="2"/>
  <c r="AY63" i="2"/>
  <c r="AZ63" i="2"/>
  <c r="BA63" i="2"/>
  <c r="BB63" i="2"/>
  <c r="AQ64" i="2"/>
  <c r="AR64" i="2"/>
  <c r="AS64" i="2"/>
  <c r="AT64" i="2"/>
  <c r="AU64" i="2"/>
  <c r="AV64" i="2"/>
  <c r="AW64" i="2"/>
  <c r="AX64" i="2"/>
  <c r="AY64" i="2"/>
  <c r="AZ64" i="2"/>
  <c r="BA64" i="2"/>
  <c r="BB64" i="2"/>
  <c r="AQ65" i="2"/>
  <c r="AR65" i="2"/>
  <c r="AS65" i="2"/>
  <c r="AT65" i="2"/>
  <c r="AU65" i="2"/>
  <c r="AV65" i="2"/>
  <c r="AW65" i="2"/>
  <c r="AX65" i="2"/>
  <c r="AY65" i="2"/>
  <c r="AZ65" i="2"/>
  <c r="BA65" i="2"/>
  <c r="BB65" i="2"/>
  <c r="AQ66" i="2"/>
  <c r="AR66" i="2"/>
  <c r="AS66" i="2"/>
  <c r="AT66" i="2"/>
  <c r="AU66" i="2"/>
  <c r="AV66" i="2"/>
  <c r="AW66" i="2"/>
  <c r="AX66" i="2"/>
  <c r="AY66" i="2"/>
  <c r="AZ66" i="2"/>
  <c r="BA66" i="2"/>
  <c r="BB66" i="2"/>
  <c r="AQ67" i="2"/>
  <c r="AR67" i="2"/>
  <c r="AS67" i="2"/>
  <c r="AT67" i="2"/>
  <c r="AU67" i="2"/>
  <c r="AV67" i="2"/>
  <c r="AW67" i="2"/>
  <c r="AX67" i="2"/>
  <c r="AY67" i="2"/>
  <c r="AZ67" i="2"/>
  <c r="BA67" i="2"/>
  <c r="BB67" i="2"/>
  <c r="AQ68" i="2"/>
  <c r="AR68" i="2"/>
  <c r="AS68" i="2"/>
  <c r="AT68" i="2"/>
  <c r="AU68" i="2"/>
  <c r="AV68" i="2"/>
  <c r="AW68" i="2"/>
  <c r="AX68" i="2"/>
  <c r="AY68" i="2"/>
  <c r="AZ68" i="2"/>
  <c r="BA68" i="2"/>
  <c r="BB68" i="2"/>
  <c r="AQ69" i="2"/>
  <c r="AR69" i="2"/>
  <c r="AS69" i="2"/>
  <c r="AT69" i="2"/>
  <c r="AU69" i="2"/>
  <c r="AV69" i="2"/>
  <c r="AW69" i="2"/>
  <c r="AX69" i="2"/>
  <c r="AY69" i="2"/>
  <c r="AZ69" i="2"/>
  <c r="BA69" i="2"/>
  <c r="BB69" i="2"/>
  <c r="AQ70" i="2"/>
  <c r="AR70" i="2"/>
  <c r="AS70" i="2"/>
  <c r="AT70" i="2"/>
  <c r="AU70" i="2"/>
  <c r="AV70" i="2"/>
  <c r="AW70" i="2"/>
  <c r="AX70" i="2"/>
  <c r="AY70" i="2"/>
  <c r="AZ70" i="2"/>
  <c r="BA70" i="2"/>
  <c r="BB70" i="2"/>
  <c r="AQ71" i="2"/>
  <c r="AR71" i="2"/>
  <c r="AS71" i="2"/>
  <c r="AT71" i="2"/>
  <c r="AU71" i="2"/>
  <c r="AV71" i="2"/>
  <c r="AW71" i="2"/>
  <c r="AX71" i="2"/>
  <c r="AY71" i="2"/>
  <c r="AZ71" i="2"/>
  <c r="BA71" i="2"/>
  <c r="BB71" i="2"/>
  <c r="AQ72" i="2"/>
  <c r="AR72" i="2"/>
  <c r="AS72" i="2"/>
  <c r="AT72" i="2"/>
  <c r="AU72" i="2"/>
  <c r="AV72" i="2"/>
  <c r="AW72" i="2"/>
  <c r="AX72" i="2"/>
  <c r="AY72" i="2"/>
  <c r="AZ72" i="2"/>
  <c r="BA72" i="2"/>
  <c r="BB72" i="2"/>
  <c r="AQ73" i="2"/>
  <c r="AR73" i="2"/>
  <c r="AS73" i="2"/>
  <c r="AT73" i="2"/>
  <c r="AU73" i="2"/>
  <c r="AV73" i="2"/>
  <c r="AW73" i="2"/>
  <c r="AX73" i="2"/>
  <c r="AY73" i="2"/>
  <c r="AZ73" i="2"/>
  <c r="BA73" i="2"/>
  <c r="BB73" i="2"/>
  <c r="AQ74" i="2"/>
  <c r="AR74" i="2"/>
  <c r="AS74" i="2"/>
  <c r="AT74" i="2"/>
  <c r="AU74" i="2"/>
  <c r="AV74" i="2"/>
  <c r="AW74" i="2"/>
  <c r="AX74" i="2"/>
  <c r="AY74" i="2"/>
  <c r="AZ74" i="2"/>
  <c r="BA74" i="2"/>
  <c r="BB74" i="2"/>
  <c r="AQ75" i="2"/>
  <c r="AR75" i="2"/>
  <c r="AS75" i="2"/>
  <c r="AT75" i="2"/>
  <c r="AU75" i="2"/>
  <c r="AV75" i="2"/>
  <c r="AW75" i="2"/>
  <c r="AX75" i="2"/>
  <c r="AY75" i="2"/>
  <c r="AZ75" i="2"/>
  <c r="BA75" i="2"/>
  <c r="BB75" i="2"/>
  <c r="AQ76" i="2"/>
  <c r="AR76" i="2"/>
  <c r="AS76" i="2"/>
  <c r="AT76" i="2"/>
  <c r="AU76" i="2"/>
  <c r="AV76" i="2"/>
  <c r="AW76" i="2"/>
  <c r="AX76" i="2"/>
  <c r="AY76" i="2"/>
  <c r="AZ76" i="2"/>
  <c r="BA76" i="2"/>
  <c r="BB76" i="2"/>
  <c r="AQ77" i="2"/>
  <c r="AR77" i="2"/>
  <c r="AS77" i="2"/>
  <c r="AT77" i="2"/>
  <c r="AU77" i="2"/>
  <c r="AV77" i="2"/>
  <c r="AW77" i="2"/>
  <c r="AX77" i="2"/>
  <c r="AY77" i="2"/>
  <c r="AZ77" i="2"/>
  <c r="BA77" i="2"/>
  <c r="BB77" i="2"/>
  <c r="AQ78" i="2"/>
  <c r="AR78" i="2"/>
  <c r="AS78" i="2"/>
  <c r="AT78" i="2"/>
  <c r="AU78" i="2"/>
  <c r="AV78" i="2"/>
  <c r="AW78" i="2"/>
  <c r="AX78" i="2"/>
  <c r="AY78" i="2"/>
  <c r="AZ78" i="2"/>
  <c r="BA78" i="2"/>
  <c r="BB78" i="2"/>
  <c r="AQ79" i="2"/>
  <c r="AR79" i="2"/>
  <c r="AS79" i="2"/>
  <c r="AT79" i="2"/>
  <c r="AU79" i="2"/>
  <c r="AV79" i="2"/>
  <c r="AW79" i="2"/>
  <c r="AX79" i="2"/>
  <c r="AY79" i="2"/>
  <c r="AZ79" i="2"/>
  <c r="BA79" i="2"/>
  <c r="BB79" i="2"/>
  <c r="AQ80" i="2"/>
  <c r="AR80" i="2"/>
  <c r="AS80" i="2"/>
  <c r="AT80" i="2"/>
  <c r="AU80" i="2"/>
  <c r="AV80" i="2"/>
  <c r="AW80" i="2"/>
  <c r="AX80" i="2"/>
  <c r="AY80" i="2"/>
  <c r="AZ80" i="2"/>
  <c r="BA80" i="2"/>
  <c r="BB80" i="2"/>
  <c r="AQ81" i="2"/>
  <c r="AR81" i="2"/>
  <c r="AS81" i="2"/>
  <c r="AT81" i="2"/>
  <c r="AU81" i="2"/>
  <c r="AV81" i="2"/>
  <c r="AW81" i="2"/>
  <c r="AX81" i="2"/>
  <c r="AY81" i="2"/>
  <c r="AZ81" i="2"/>
  <c r="BA81" i="2"/>
  <c r="BB81" i="2"/>
  <c r="AQ82" i="2"/>
  <c r="AR82" i="2"/>
  <c r="AS82" i="2"/>
  <c r="AT82" i="2"/>
  <c r="AU82" i="2"/>
  <c r="AV82" i="2"/>
  <c r="AW82" i="2"/>
  <c r="AX82" i="2"/>
  <c r="AY82" i="2"/>
  <c r="AZ82" i="2"/>
  <c r="BA82" i="2"/>
  <c r="BB82" i="2"/>
  <c r="AQ83" i="2"/>
  <c r="AR83" i="2"/>
  <c r="AS83" i="2"/>
  <c r="AT83" i="2"/>
  <c r="AU83" i="2"/>
  <c r="AV83" i="2"/>
  <c r="AW83" i="2"/>
  <c r="AX83" i="2"/>
  <c r="AY83" i="2"/>
  <c r="AZ83" i="2"/>
  <c r="BA83" i="2"/>
  <c r="BB83" i="2"/>
  <c r="AQ84" i="2"/>
  <c r="AR84" i="2"/>
  <c r="AS84" i="2"/>
  <c r="AT84" i="2"/>
  <c r="AU84" i="2"/>
  <c r="AV84" i="2"/>
  <c r="AW84" i="2"/>
  <c r="AX84" i="2"/>
  <c r="AY84" i="2"/>
  <c r="AZ84" i="2"/>
  <c r="BA84" i="2"/>
  <c r="BB84" i="2"/>
  <c r="AQ85" i="2"/>
  <c r="AR85" i="2"/>
  <c r="AS85" i="2"/>
  <c r="AT85" i="2"/>
  <c r="AU85" i="2"/>
  <c r="AV85" i="2"/>
  <c r="AW85" i="2"/>
  <c r="AX85" i="2"/>
  <c r="AY85" i="2"/>
  <c r="AZ85" i="2"/>
  <c r="BA85" i="2"/>
  <c r="BB85" i="2"/>
  <c r="AQ86" i="2"/>
  <c r="AR86" i="2"/>
  <c r="AS86" i="2"/>
  <c r="AT86" i="2"/>
  <c r="AU86" i="2"/>
  <c r="AV86" i="2"/>
  <c r="AW86" i="2"/>
  <c r="AX86" i="2"/>
  <c r="AY86" i="2"/>
  <c r="AZ86" i="2"/>
  <c r="BA86" i="2"/>
  <c r="BB86" i="2"/>
  <c r="AQ87" i="2"/>
  <c r="AR87" i="2"/>
  <c r="AS87" i="2"/>
  <c r="AT87" i="2"/>
  <c r="AU87" i="2"/>
  <c r="AV87" i="2"/>
  <c r="AW87" i="2"/>
  <c r="AX87" i="2"/>
  <c r="AY87" i="2"/>
  <c r="AZ87" i="2"/>
  <c r="BA87" i="2"/>
  <c r="BB87" i="2"/>
  <c r="AQ88" i="2"/>
  <c r="AR88" i="2"/>
  <c r="AS88" i="2"/>
  <c r="AT88" i="2"/>
  <c r="AU88" i="2"/>
  <c r="AV88" i="2"/>
  <c r="AW88" i="2"/>
  <c r="AX88" i="2"/>
  <c r="AY88" i="2"/>
  <c r="AZ88" i="2"/>
  <c r="BA88" i="2"/>
  <c r="BB88" i="2"/>
  <c r="AQ89" i="2"/>
  <c r="AR89" i="2"/>
  <c r="AS89" i="2"/>
  <c r="AT89" i="2"/>
  <c r="AU89" i="2"/>
  <c r="AV89" i="2"/>
  <c r="AW89" i="2"/>
  <c r="AX89" i="2"/>
  <c r="AY89" i="2"/>
  <c r="AZ89" i="2"/>
  <c r="BA89" i="2"/>
  <c r="BB89" i="2"/>
  <c r="AQ90" i="2"/>
  <c r="AR90" i="2"/>
  <c r="AS90" i="2"/>
  <c r="AT90" i="2"/>
  <c r="AU90" i="2"/>
  <c r="AV90" i="2"/>
  <c r="AW90" i="2"/>
  <c r="AX90" i="2"/>
  <c r="AY90" i="2"/>
  <c r="AZ90" i="2"/>
  <c r="BA90" i="2"/>
  <c r="BB90" i="2"/>
  <c r="AQ91" i="2"/>
  <c r="AR91" i="2"/>
  <c r="AS91" i="2"/>
  <c r="AT91" i="2"/>
  <c r="AU91" i="2"/>
  <c r="AV91" i="2"/>
  <c r="AW91" i="2"/>
  <c r="AX91" i="2"/>
  <c r="AY91" i="2"/>
  <c r="AZ91" i="2"/>
  <c r="BA91" i="2"/>
  <c r="BB91" i="2"/>
  <c r="AQ92" i="2"/>
  <c r="AR92" i="2"/>
  <c r="AS92" i="2"/>
  <c r="AT92" i="2"/>
  <c r="AU92" i="2"/>
  <c r="AV92" i="2"/>
  <c r="AW92" i="2"/>
  <c r="AX92" i="2"/>
  <c r="AY92" i="2"/>
  <c r="AZ92" i="2"/>
  <c r="BA92" i="2"/>
  <c r="BB92" i="2"/>
  <c r="AQ93" i="2"/>
  <c r="AR93" i="2"/>
  <c r="AS93" i="2"/>
  <c r="AT93" i="2"/>
  <c r="AU93" i="2"/>
  <c r="AV93" i="2"/>
  <c r="AW93" i="2"/>
  <c r="AX93" i="2"/>
  <c r="AY93" i="2"/>
  <c r="AZ93" i="2"/>
  <c r="BA93" i="2"/>
  <c r="BB93" i="2"/>
  <c r="AQ94" i="2"/>
  <c r="AR94" i="2"/>
  <c r="AS94" i="2"/>
  <c r="AT94" i="2"/>
  <c r="AU94" i="2"/>
  <c r="AV94" i="2"/>
  <c r="AW94" i="2"/>
  <c r="AX94" i="2"/>
  <c r="AY94" i="2"/>
  <c r="AZ94" i="2"/>
  <c r="BA94" i="2"/>
  <c r="BB94" i="2"/>
  <c r="AQ95" i="2"/>
  <c r="AR95" i="2"/>
  <c r="AS95" i="2"/>
  <c r="AT95" i="2"/>
  <c r="AU95" i="2"/>
  <c r="AV95" i="2"/>
  <c r="AW95" i="2"/>
  <c r="AX95" i="2"/>
  <c r="AY95" i="2"/>
  <c r="AZ95" i="2"/>
  <c r="BA95" i="2"/>
  <c r="BB95" i="2"/>
  <c r="AQ96" i="2"/>
  <c r="AR96" i="2"/>
  <c r="AS96" i="2"/>
  <c r="AT96" i="2"/>
  <c r="AU96" i="2"/>
  <c r="AV96" i="2"/>
  <c r="AW96" i="2"/>
  <c r="AX96" i="2"/>
  <c r="AY96" i="2"/>
  <c r="AZ96" i="2"/>
  <c r="BA96" i="2"/>
  <c r="BB96" i="2"/>
  <c r="AQ97" i="2"/>
  <c r="AR97" i="2"/>
  <c r="AS97" i="2"/>
  <c r="AT97" i="2"/>
  <c r="AU97" i="2"/>
  <c r="AV97" i="2"/>
  <c r="AW97" i="2"/>
  <c r="AX97" i="2"/>
  <c r="AY97" i="2"/>
  <c r="AZ97" i="2"/>
  <c r="BA97" i="2"/>
  <c r="BB97" i="2"/>
  <c r="AQ98" i="2"/>
  <c r="AR98" i="2"/>
  <c r="AS98" i="2"/>
  <c r="AT98" i="2"/>
  <c r="AU98" i="2"/>
  <c r="AV98" i="2"/>
  <c r="AW98" i="2"/>
  <c r="AX98" i="2"/>
  <c r="AY98" i="2"/>
  <c r="AZ98" i="2"/>
  <c r="BA98" i="2"/>
  <c r="BB98" i="2"/>
  <c r="AQ99" i="2"/>
  <c r="AR99" i="2"/>
  <c r="AS99" i="2"/>
  <c r="AT99" i="2"/>
  <c r="AU99" i="2"/>
  <c r="AV99" i="2"/>
  <c r="AW99" i="2"/>
  <c r="AX99" i="2"/>
  <c r="AY99" i="2"/>
  <c r="AZ99" i="2"/>
  <c r="BA99" i="2"/>
  <c r="BB99" i="2"/>
  <c r="AQ100" i="2"/>
  <c r="AR100" i="2"/>
  <c r="AS100" i="2"/>
  <c r="AT100" i="2"/>
  <c r="AU100" i="2"/>
  <c r="AV100" i="2"/>
  <c r="AW100" i="2"/>
  <c r="AX100" i="2"/>
  <c r="AY100" i="2"/>
  <c r="AZ100" i="2"/>
  <c r="BA100" i="2"/>
  <c r="BB100" i="2"/>
  <c r="AQ101" i="2"/>
  <c r="AR101" i="2"/>
  <c r="AS101" i="2"/>
  <c r="AT101" i="2"/>
  <c r="AU101" i="2"/>
  <c r="AV101" i="2"/>
  <c r="AW101" i="2"/>
  <c r="AX101" i="2"/>
  <c r="AY101" i="2"/>
  <c r="AZ101" i="2"/>
  <c r="BA101" i="2"/>
  <c r="BB101" i="2"/>
  <c r="AQ102" i="2"/>
  <c r="AR102" i="2"/>
  <c r="AS102" i="2"/>
  <c r="AT102" i="2"/>
  <c r="AU102" i="2"/>
  <c r="AV102" i="2"/>
  <c r="AW102" i="2"/>
  <c r="AX102" i="2"/>
  <c r="AY102" i="2"/>
  <c r="AZ102" i="2"/>
  <c r="BA102" i="2"/>
  <c r="BB102" i="2"/>
  <c r="AQ103" i="2"/>
  <c r="AR103" i="2"/>
  <c r="AS103" i="2"/>
  <c r="AT103" i="2"/>
  <c r="AU103" i="2"/>
  <c r="AV103" i="2"/>
  <c r="AW103" i="2"/>
  <c r="AX103" i="2"/>
  <c r="AY103" i="2"/>
  <c r="AZ103" i="2"/>
  <c r="BA103" i="2"/>
  <c r="BB103" i="2"/>
  <c r="BD4" i="2" a="1"/>
  <c r="BD4" i="2"/>
  <c r="BD5" i="2" a="1"/>
  <c r="BD5" i="2"/>
  <c r="BD6" i="2" a="1"/>
  <c r="BD6" i="2" s="1"/>
  <c r="BD7" i="2" a="1"/>
  <c r="BD7" i="2" s="1"/>
  <c r="BD8" i="2" a="1"/>
  <c r="BD8" i="2" s="1"/>
  <c r="BD9" i="2" a="1"/>
  <c r="BD9" i="2" s="1"/>
  <c r="BD10" i="2" a="1"/>
  <c r="BD10" i="2" s="1"/>
  <c r="BD11" i="2" a="1"/>
  <c r="BD11" i="2"/>
  <c r="BD12" i="2" a="1"/>
  <c r="BD12" i="2" s="1"/>
  <c r="BD13" i="2" a="1"/>
  <c r="BD13" i="2" s="1"/>
  <c r="BD14" i="2" a="1"/>
  <c r="BD14" i="2" s="1"/>
  <c r="BD15" i="2" a="1"/>
  <c r="BD15" i="2" s="1"/>
  <c r="BD16" i="2" a="1"/>
  <c r="BD16" i="2" s="1"/>
  <c r="BD17" i="2" a="1"/>
  <c r="BD17" i="2" s="1"/>
  <c r="BD18" i="2" a="1"/>
  <c r="BD18" i="2" s="1"/>
  <c r="BD19" i="2" a="1"/>
  <c r="BD19" i="2" s="1"/>
  <c r="BD20" i="2" a="1"/>
  <c r="BD20" i="2" s="1"/>
  <c r="BD21" i="2" a="1"/>
  <c r="BD21" i="2" s="1"/>
  <c r="BD22" i="2" a="1"/>
  <c r="BD22" i="2" s="1"/>
  <c r="BD23" i="2" a="1"/>
  <c r="BD23" i="2"/>
  <c r="BD24" i="2" a="1"/>
  <c r="BD24" i="2" s="1"/>
  <c r="BD25" i="2" a="1"/>
  <c r="BD25" i="2" s="1"/>
  <c r="BD26" i="2" a="1"/>
  <c r="BD26" i="2" s="1"/>
  <c r="BD27" i="2" a="1"/>
  <c r="BD27" i="2" s="1"/>
  <c r="BD28" i="2" a="1"/>
  <c r="BD28" i="2" s="1"/>
  <c r="BD36" i="2" a="1"/>
  <c r="BD36" i="2" s="1"/>
  <c r="BD37" i="2" a="1"/>
  <c r="BD37" i="2" s="1"/>
  <c r="BD38" i="2" a="1"/>
  <c r="BD38" i="2" s="1"/>
  <c r="BD39" i="2" a="1"/>
  <c r="BD39" i="2" s="1"/>
  <c r="BD40" i="2" a="1"/>
  <c r="BD40" i="2" s="1"/>
  <c r="BD46" i="2" a="1"/>
  <c r="BD46" i="2" s="1"/>
  <c r="BD47" i="2" a="1"/>
  <c r="BD47" i="2"/>
  <c r="BD48" i="2" a="1"/>
  <c r="BD48" i="2" s="1"/>
  <c r="BD49" i="2" a="1"/>
  <c r="BD49" i="2" s="1"/>
  <c r="BD50" i="2" a="1"/>
  <c r="BD50" i="2" s="1"/>
  <c r="BD51" i="2" a="1"/>
  <c r="BD51" i="2" s="1"/>
  <c r="BD52" i="2" a="1"/>
  <c r="BD52" i="2" s="1"/>
  <c r="BD53" i="2" a="1"/>
  <c r="BD53" i="2"/>
  <c r="BD54" i="2" a="1"/>
  <c r="BD54" i="2"/>
  <c r="BD55" i="2" a="1"/>
  <c r="BD55" i="2" s="1"/>
  <c r="BD56" i="2" a="1"/>
  <c r="BD56" i="2" s="1"/>
  <c r="BD57" i="2" a="1"/>
  <c r="BD57" i="2" s="1"/>
  <c r="BD58" i="2" a="1"/>
  <c r="BD58" i="2" s="1"/>
  <c r="BD59" i="2" a="1"/>
  <c r="BD59" i="2"/>
  <c r="BD60" i="2" a="1"/>
  <c r="BD60" i="2" s="1"/>
  <c r="BD61" i="2" a="1"/>
  <c r="BD61" i="2" s="1"/>
  <c r="BD62" i="2" a="1"/>
  <c r="BD62" i="2" s="1"/>
  <c r="BD63" i="2" a="1"/>
  <c r="BD63" i="2" s="1"/>
  <c r="BD64" i="2" a="1"/>
  <c r="BD64" i="2" s="1"/>
  <c r="BD69" i="2" a="1"/>
  <c r="BD69" i="2" s="1"/>
  <c r="BD72" i="2" a="1"/>
  <c r="BD72" i="2" s="1"/>
  <c r="BD74" i="2" a="1"/>
  <c r="BD74" i="2" s="1"/>
  <c r="BD75" i="2" a="1"/>
  <c r="BD75" i="2" s="1"/>
  <c r="BD76" i="2" a="1"/>
  <c r="BD76" i="2" s="1"/>
  <c r="BD77" i="2" a="1"/>
  <c r="BD77" i="2" s="1"/>
  <c r="BD78" i="2" a="1"/>
  <c r="BD78" i="2"/>
  <c r="BD79" i="2" a="1"/>
  <c r="BD79" i="2" s="1"/>
  <c r="BD80" i="2" a="1"/>
  <c r="BD80" i="2" s="1"/>
  <c r="BD81" i="2" a="1"/>
  <c r="BD81" i="2" s="1"/>
  <c r="BD82" i="2" a="1"/>
  <c r="BD82" i="2" s="1"/>
  <c r="BD83" i="2" a="1"/>
  <c r="BD83" i="2"/>
  <c r="BD84" i="2" a="1"/>
  <c r="BD84" i="2"/>
  <c r="BD85" i="2" a="1"/>
  <c r="BD85" i="2" s="1"/>
  <c r="BD86" i="2" a="1"/>
  <c r="BD86" i="2" s="1"/>
  <c r="BD87" i="2" a="1"/>
  <c r="BD87" i="2" s="1"/>
  <c r="BD88" i="2" a="1"/>
  <c r="BD88" i="2" s="1"/>
  <c r="BD89" i="2" a="1"/>
  <c r="BD89" i="2"/>
  <c r="BD90" i="2" a="1"/>
  <c r="BD90" i="2" s="1"/>
  <c r="BD91" i="2" a="1"/>
  <c r="BD91" i="2" s="1"/>
  <c r="BD92" i="2" a="1"/>
  <c r="BD92" i="2" s="1"/>
  <c r="BD93" i="2" a="1"/>
  <c r="BD93" i="2" s="1"/>
  <c r="BD94" i="2" a="1"/>
  <c r="BD94" i="2" s="1"/>
  <c r="BD95" i="2" a="1"/>
  <c r="BD95" i="2" s="1"/>
  <c r="BD96" i="2" a="1"/>
  <c r="BD96" i="2"/>
  <c r="BD97" i="2" a="1"/>
  <c r="BD97" i="2" s="1"/>
  <c r="BD98" i="2" a="1"/>
  <c r="BD98" i="2" s="1"/>
  <c r="BD99" i="2" a="1"/>
  <c r="BD99" i="2" s="1"/>
  <c r="BD100" i="2" a="1"/>
  <c r="BD100" i="2" s="1"/>
  <c r="BD101" i="2" a="1"/>
  <c r="BD101" i="2"/>
  <c r="BD102" i="2" a="1"/>
  <c r="BD102" i="2" s="1"/>
  <c r="BD103" i="2" a="1"/>
  <c r="BD103" i="2" s="1"/>
  <c r="U108" i="11"/>
  <c r="V108" i="11"/>
  <c r="W108" i="11"/>
  <c r="M123" i="11"/>
  <c r="R108" i="11"/>
  <c r="O108" i="11"/>
  <c r="P108" i="11"/>
  <c r="Q108" i="11"/>
  <c r="L108" i="11" s="1"/>
  <c r="K108" i="11"/>
  <c r="C111" i="11"/>
  <c r="C105" i="11"/>
  <c r="U84" i="11"/>
  <c r="V84" i="11"/>
  <c r="W84" i="11"/>
  <c r="M99" i="11"/>
  <c r="O84" i="11"/>
  <c r="P84" i="11"/>
  <c r="Q84" i="11"/>
  <c r="R84" i="11" s="1"/>
  <c r="K84" i="11"/>
  <c r="C87" i="11"/>
  <c r="C88" i="11"/>
  <c r="C89" i="11" s="1"/>
  <c r="C90" i="11" s="1"/>
  <c r="C81" i="11"/>
  <c r="U60" i="11"/>
  <c r="V60" i="11"/>
  <c r="W60" i="11"/>
  <c r="M75" i="11"/>
  <c r="O60" i="11"/>
  <c r="P60" i="11"/>
  <c r="Q60" i="11"/>
  <c r="K60" i="11"/>
  <c r="C63" i="11"/>
  <c r="C64" i="11"/>
  <c r="C57" i="11"/>
  <c r="U36" i="11"/>
  <c r="V36" i="11"/>
  <c r="W36" i="11"/>
  <c r="M51" i="11"/>
  <c r="O36" i="11"/>
  <c r="P36" i="11"/>
  <c r="Q36" i="11"/>
  <c r="K36" i="11"/>
  <c r="C39" i="11"/>
  <c r="C40" i="11" s="1"/>
  <c r="C33" i="11"/>
  <c r="U12" i="11"/>
  <c r="V12" i="11"/>
  <c r="W12" i="11"/>
  <c r="M27" i="11"/>
  <c r="O12" i="11"/>
  <c r="P12" i="11"/>
  <c r="Q12" i="11"/>
  <c r="R12" i="11" s="1"/>
  <c r="L12" i="11"/>
  <c r="K12" i="11"/>
  <c r="C15" i="11"/>
  <c r="C16" i="11" s="1"/>
  <c r="C17" i="11" s="1"/>
  <c r="C9" i="11"/>
  <c r="D65" i="8"/>
  <c r="E65" i="8"/>
  <c r="F65" i="8"/>
  <c r="G65" i="8"/>
  <c r="H65" i="8"/>
  <c r="I65" i="8"/>
  <c r="J65" i="8"/>
  <c r="K65" i="8"/>
  <c r="L65" i="8"/>
  <c r="M65" i="8"/>
  <c r="N65" i="8"/>
  <c r="O65" i="8"/>
  <c r="D62" i="8"/>
  <c r="E62" i="8"/>
  <c r="F62" i="8"/>
  <c r="G62" i="8"/>
  <c r="H62" i="8"/>
  <c r="I62" i="8"/>
  <c r="J62" i="8"/>
  <c r="K62" i="8"/>
  <c r="L62" i="8"/>
  <c r="M62" i="8"/>
  <c r="N62" i="8"/>
  <c r="O62" i="8"/>
  <c r="D59" i="8"/>
  <c r="E59" i="8"/>
  <c r="F59" i="8"/>
  <c r="G59" i="8"/>
  <c r="H59" i="8"/>
  <c r="I59" i="8"/>
  <c r="J59" i="8"/>
  <c r="K59" i="8"/>
  <c r="L59" i="8"/>
  <c r="M59" i="8"/>
  <c r="N59" i="8"/>
  <c r="O59" i="8"/>
  <c r="Q56" i="8"/>
  <c r="K53" i="8"/>
  <c r="L53" i="8"/>
  <c r="S51" i="8"/>
  <c r="S54" i="8" s="1"/>
  <c r="W51" i="8"/>
  <c r="W69" i="8" s="1"/>
  <c r="D50" i="8"/>
  <c r="D56" i="8" s="1"/>
  <c r="E50" i="8"/>
  <c r="F50" i="8"/>
  <c r="G50" i="8"/>
  <c r="H50" i="8"/>
  <c r="I50" i="8"/>
  <c r="J50" i="8"/>
  <c r="K50" i="8"/>
  <c r="L50" i="8"/>
  <c r="M50" i="8"/>
  <c r="N50" i="8"/>
  <c r="N56" i="8" s="1"/>
  <c r="O50" i="8"/>
  <c r="P50" i="8"/>
  <c r="Q50" i="8"/>
  <c r="R50" i="8"/>
  <c r="S50" i="8"/>
  <c r="T50" i="8"/>
  <c r="U50" i="8"/>
  <c r="V50" i="8"/>
  <c r="W50" i="8"/>
  <c r="X50" i="8"/>
  <c r="Y50" i="8"/>
  <c r="Y56" i="8" s="1"/>
  <c r="Z50" i="8"/>
  <c r="AA50" i="8"/>
  <c r="AB50" i="8"/>
  <c r="AB53" i="8" s="1"/>
  <c r="D49" i="8"/>
  <c r="E49" i="8"/>
  <c r="E53" i="8" s="1"/>
  <c r="F49" i="8"/>
  <c r="F53" i="8" s="1"/>
  <c r="G49" i="8"/>
  <c r="H49" i="8"/>
  <c r="H53" i="8" s="1"/>
  <c r="I49" i="8"/>
  <c r="I53" i="8" s="1"/>
  <c r="J49" i="8"/>
  <c r="K49" i="8"/>
  <c r="L49" i="8"/>
  <c r="M49" i="8"/>
  <c r="N49" i="8"/>
  <c r="N53" i="8" s="1"/>
  <c r="O49" i="8"/>
  <c r="O53" i="8" s="1"/>
  <c r="P49" i="8"/>
  <c r="Q49" i="8"/>
  <c r="Q53" i="8" s="1"/>
  <c r="R49" i="8"/>
  <c r="R53" i="8" s="1"/>
  <c r="S49" i="8"/>
  <c r="T49" i="8"/>
  <c r="T53" i="8" s="1"/>
  <c r="U49" i="8"/>
  <c r="U53" i="8" s="1"/>
  <c r="V49" i="8"/>
  <c r="W49" i="8"/>
  <c r="W53" i="8" s="1"/>
  <c r="X49" i="8"/>
  <c r="Y49" i="8"/>
  <c r="Y53" i="8" s="1"/>
  <c r="Z49" i="8"/>
  <c r="AA49" i="8"/>
  <c r="AA53" i="8" s="1"/>
  <c r="AB49" i="8"/>
  <c r="D48" i="8"/>
  <c r="E48" i="8"/>
  <c r="E51" i="8" s="1"/>
  <c r="F48" i="8"/>
  <c r="F56" i="8" s="1"/>
  <c r="G48" i="8"/>
  <c r="G51" i="8" s="1"/>
  <c r="H48" i="8"/>
  <c r="H51" i="8" s="1"/>
  <c r="I48" i="8"/>
  <c r="J48" i="8"/>
  <c r="K48" i="8"/>
  <c r="K56" i="8" s="1"/>
  <c r="L48" i="8"/>
  <c r="L51" i="8" s="1"/>
  <c r="L69" i="8" s="1"/>
  <c r="M48" i="8"/>
  <c r="M51" i="8" s="1"/>
  <c r="N48" i="8"/>
  <c r="N51" i="8" s="1"/>
  <c r="O48" i="8"/>
  <c r="P48" i="8"/>
  <c r="Q48" i="8"/>
  <c r="Q51" i="8" s="1"/>
  <c r="R48" i="8"/>
  <c r="S48" i="8"/>
  <c r="S56" i="8" s="1"/>
  <c r="T48" i="8"/>
  <c r="T51" i="8" s="1"/>
  <c r="U48" i="8"/>
  <c r="V48" i="8"/>
  <c r="W48" i="8"/>
  <c r="W56" i="8" s="1"/>
  <c r="X48" i="8"/>
  <c r="Y48" i="8"/>
  <c r="Y51" i="8" s="1"/>
  <c r="Y69" i="8" s="1"/>
  <c r="Z48" i="8"/>
  <c r="AA48" i="8"/>
  <c r="AB48" i="8"/>
  <c r="E78" i="7"/>
  <c r="E75" i="7"/>
  <c r="E72" i="7"/>
  <c r="E66" i="7"/>
  <c r="F66" i="7"/>
  <c r="G66" i="7"/>
  <c r="P64" i="7"/>
  <c r="E61" i="7"/>
  <c r="E68" i="7" s="1"/>
  <c r="G61" i="7"/>
  <c r="J61" i="7"/>
  <c r="P61" i="7"/>
  <c r="E60" i="7"/>
  <c r="E64" i="7" s="1"/>
  <c r="F60" i="7"/>
  <c r="F64" i="7" s="1"/>
  <c r="G60" i="7"/>
  <c r="G64" i="7" s="1"/>
  <c r="P60" i="7"/>
  <c r="D62" i="7"/>
  <c r="E59" i="7" s="1"/>
  <c r="E65" i="6"/>
  <c r="E62" i="6"/>
  <c r="E59" i="6"/>
  <c r="E50" i="6"/>
  <c r="D51" i="6"/>
  <c r="LV3" i="2"/>
  <c r="LW3" i="2"/>
  <c r="LX3" i="2"/>
  <c r="LY3" i="2"/>
  <c r="LZ3" i="2"/>
  <c r="MA3" i="2"/>
  <c r="MB3" i="2"/>
  <c r="MC3" i="2"/>
  <c r="MD3" i="2"/>
  <c r="ME3" i="2"/>
  <c r="MF3" i="2"/>
  <c r="MG3" i="2"/>
  <c r="MH3" i="2"/>
  <c r="MI3" i="2"/>
  <c r="MJ3" i="2"/>
  <c r="MK3" i="2"/>
  <c r="ML3" i="2"/>
  <c r="MM3" i="2"/>
  <c r="MN3" i="2"/>
  <c r="MO3" i="2"/>
  <c r="MP3" i="2"/>
  <c r="MQ3" i="2"/>
  <c r="MR3" i="2"/>
  <c r="MS3" i="2"/>
  <c r="MT3" i="2"/>
  <c r="KV3" i="2"/>
  <c r="KW3" i="2"/>
  <c r="KX3" i="2"/>
  <c r="KY3" i="2"/>
  <c r="KZ3" i="2"/>
  <c r="LA3" i="2"/>
  <c r="LB3" i="2"/>
  <c r="LC3" i="2"/>
  <c r="LD3" i="2"/>
  <c r="LE3" i="2"/>
  <c r="LF3" i="2"/>
  <c r="LG3" i="2"/>
  <c r="LH3" i="2"/>
  <c r="LI3" i="2"/>
  <c r="LJ3" i="2"/>
  <c r="LK3" i="2"/>
  <c r="LL3" i="2"/>
  <c r="LM3" i="2"/>
  <c r="LN3" i="2"/>
  <c r="LO3" i="2"/>
  <c r="LP3" i="2"/>
  <c r="LQ3" i="2"/>
  <c r="LR3" i="2"/>
  <c r="LS3" i="2"/>
  <c r="LT3" i="2"/>
  <c r="JV3" i="2"/>
  <c r="JW3" i="2"/>
  <c r="JX3" i="2"/>
  <c r="JY3" i="2"/>
  <c r="JZ3" i="2"/>
  <c r="KA3" i="2"/>
  <c r="KB3" i="2"/>
  <c r="KC3" i="2"/>
  <c r="KD3" i="2"/>
  <c r="KE3" i="2"/>
  <c r="KF3" i="2"/>
  <c r="KG3" i="2"/>
  <c r="KH3" i="2"/>
  <c r="KI3" i="2"/>
  <c r="KJ3" i="2"/>
  <c r="KK3" i="2"/>
  <c r="KL3" i="2"/>
  <c r="KM3" i="2"/>
  <c r="KN3" i="2"/>
  <c r="KO3" i="2"/>
  <c r="KP3" i="2"/>
  <c r="KQ3" i="2"/>
  <c r="KR3" i="2"/>
  <c r="KS3" i="2"/>
  <c r="KT3" i="2"/>
  <c r="IV3" i="2"/>
  <c r="IW3" i="2"/>
  <c r="IX3" i="2"/>
  <c r="IY3" i="2"/>
  <c r="IZ3" i="2"/>
  <c r="JA3" i="2"/>
  <c r="JB3" i="2"/>
  <c r="JC3" i="2"/>
  <c r="JD3" i="2"/>
  <c r="JE3" i="2"/>
  <c r="JF3" i="2"/>
  <c r="JG3" i="2"/>
  <c r="JH3" i="2"/>
  <c r="JI3" i="2"/>
  <c r="JJ3" i="2"/>
  <c r="JK3" i="2"/>
  <c r="JL3" i="2"/>
  <c r="JM3" i="2"/>
  <c r="JN3" i="2"/>
  <c r="JO3" i="2"/>
  <c r="JP3" i="2"/>
  <c r="JQ3" i="2"/>
  <c r="JR3" i="2"/>
  <c r="JS3" i="2"/>
  <c r="JT3" i="2"/>
  <c r="HV3" i="2"/>
  <c r="HW3" i="2"/>
  <c r="HX3" i="2"/>
  <c r="HY3" i="2"/>
  <c r="HZ3" i="2"/>
  <c r="IA3" i="2"/>
  <c r="IB3" i="2"/>
  <c r="IC3" i="2"/>
  <c r="ID3" i="2"/>
  <c r="IE3" i="2"/>
  <c r="IF3" i="2"/>
  <c r="IG3" i="2"/>
  <c r="IH3" i="2"/>
  <c r="II3" i="2"/>
  <c r="IJ3" i="2"/>
  <c r="IK3" i="2"/>
  <c r="IL3" i="2"/>
  <c r="IM3" i="2"/>
  <c r="IN3" i="2"/>
  <c r="IO3" i="2"/>
  <c r="IP3" i="2"/>
  <c r="IQ3" i="2"/>
  <c r="IR3" i="2"/>
  <c r="IS3" i="2"/>
  <c r="IT3" i="2"/>
  <c r="GV3" i="2"/>
  <c r="GW3" i="2"/>
  <c r="GX3" i="2"/>
  <c r="GY3" i="2"/>
  <c r="GZ3" i="2"/>
  <c r="HA3" i="2"/>
  <c r="HB3" i="2"/>
  <c r="HC3" i="2"/>
  <c r="HD3" i="2"/>
  <c r="HE3" i="2"/>
  <c r="HF3" i="2"/>
  <c r="HG3" i="2"/>
  <c r="HH3" i="2"/>
  <c r="HI3" i="2"/>
  <c r="HJ3" i="2"/>
  <c r="HK3" i="2"/>
  <c r="HL3" i="2"/>
  <c r="HM3" i="2"/>
  <c r="HN3" i="2"/>
  <c r="HO3" i="2"/>
  <c r="HP3" i="2"/>
  <c r="HQ3" i="2"/>
  <c r="HR3" i="2"/>
  <c r="HS3" i="2"/>
  <c r="HT3" i="2"/>
  <c r="FP3" i="2"/>
  <c r="FQ3" i="2"/>
  <c r="FR3" i="2"/>
  <c r="FS3" i="2"/>
  <c r="FK3" i="2"/>
  <c r="FL3" i="2"/>
  <c r="FM3" i="2"/>
  <c r="FN3" i="2"/>
  <c r="FF3" i="2"/>
  <c r="FG3" i="2"/>
  <c r="FH3" i="2"/>
  <c r="FI3" i="2"/>
  <c r="FA3" i="2"/>
  <c r="FB3" i="2"/>
  <c r="FC3" i="2"/>
  <c r="FD3" i="2"/>
  <c r="EV3" i="2"/>
  <c r="EW3" i="2"/>
  <c r="EX3" i="2"/>
  <c r="EY3" i="2"/>
  <c r="EQ3" i="2"/>
  <c r="ER3" i="2"/>
  <c r="ES3" i="2"/>
  <c r="ET3" i="2"/>
  <c r="DW3" i="2"/>
  <c r="DX3" i="2"/>
  <c r="DY3" i="2"/>
  <c r="DZ3" i="2"/>
  <c r="EA3" i="2"/>
  <c r="EB3" i="2"/>
  <c r="EC3" i="2"/>
  <c r="ED3" i="2"/>
  <c r="EE3" i="2"/>
  <c r="EF3" i="2"/>
  <c r="EG3" i="2"/>
  <c r="EH3" i="2"/>
  <c r="EI3" i="2"/>
  <c r="DI3" i="2"/>
  <c r="DJ3" i="2"/>
  <c r="DK3" i="2"/>
  <c r="DL3" i="2"/>
  <c r="DM3" i="2"/>
  <c r="DN3" i="2"/>
  <c r="DO3" i="2"/>
  <c r="DP3" i="2"/>
  <c r="DQ3" i="2"/>
  <c r="DR3" i="2"/>
  <c r="DS3" i="2"/>
  <c r="DT3" i="2"/>
  <c r="DU3" i="2"/>
  <c r="CU3" i="2"/>
  <c r="CV3" i="2"/>
  <c r="CW3" i="2"/>
  <c r="CX3" i="2"/>
  <c r="CY3" i="2"/>
  <c r="CZ3" i="2"/>
  <c r="DA3" i="2"/>
  <c r="DB3" i="2"/>
  <c r="DC3" i="2"/>
  <c r="DD3" i="2"/>
  <c r="DE3" i="2"/>
  <c r="DF3" i="2"/>
  <c r="DG3" i="2"/>
  <c r="CG3" i="2"/>
  <c r="CH3" i="2"/>
  <c r="CI3" i="2"/>
  <c r="CJ3" i="2"/>
  <c r="CK3" i="2"/>
  <c r="CL3" i="2"/>
  <c r="CM3" i="2"/>
  <c r="CN3" i="2"/>
  <c r="CO3" i="2"/>
  <c r="CP3" i="2"/>
  <c r="CQ3" i="2"/>
  <c r="CR3" i="2"/>
  <c r="CS3" i="2"/>
  <c r="BS3" i="2"/>
  <c r="BT3" i="2"/>
  <c r="BU3" i="2"/>
  <c r="BV3" i="2"/>
  <c r="BW3" i="2"/>
  <c r="BX3" i="2"/>
  <c r="BY3" i="2"/>
  <c r="BZ3" i="2"/>
  <c r="CA3" i="2"/>
  <c r="CB3" i="2"/>
  <c r="CC3" i="2"/>
  <c r="CD3" i="2"/>
  <c r="CE3" i="2"/>
  <c r="BE3" i="2"/>
  <c r="BF3" i="2"/>
  <c r="BG3" i="2"/>
  <c r="BH3" i="2"/>
  <c r="BI3" i="2"/>
  <c r="BJ3" i="2"/>
  <c r="BK3" i="2"/>
  <c r="BL3" i="2"/>
  <c r="BM3" i="2"/>
  <c r="BN3" i="2"/>
  <c r="BO3" i="2"/>
  <c r="BP3" i="2"/>
  <c r="BQ3" i="2"/>
  <c r="E12" i="3" a="1"/>
  <c r="E12" i="3" s="1"/>
  <c r="E11" i="3" a="1"/>
  <c r="E11" i="3"/>
  <c r="E10" i="3" a="1"/>
  <c r="E10" i="3" s="1"/>
  <c r="B5" i="2"/>
  <c r="B6" i="2" s="1"/>
  <c r="B7" i="2" s="1"/>
  <c r="B8" i="2" s="1"/>
  <c r="B9" i="2" s="1"/>
  <c r="B10" i="2" s="1"/>
  <c r="B11" i="2" s="1"/>
  <c r="B12" i="2" s="1"/>
  <c r="B13" i="2" s="1"/>
  <c r="B14" i="2" s="1"/>
  <c r="B15" i="2" s="1"/>
  <c r="B16" i="2" s="1"/>
  <c r="B17" i="2" s="1"/>
  <c r="B18" i="2" s="1"/>
  <c r="B19" i="2" s="1"/>
  <c r="B20" i="2" s="1"/>
  <c r="B21" i="2" s="1"/>
  <c r="B22" i="2" s="1"/>
  <c r="B23" i="2" s="1"/>
  <c r="B24" i="2" s="1"/>
  <c r="B25" i="2" s="1"/>
  <c r="B26" i="2" s="1"/>
  <c r="B27" i="2" s="1"/>
  <c r="B28" i="2" s="1"/>
  <c r="B29" i="2" s="1"/>
  <c r="B30" i="2" s="1"/>
  <c r="B31" i="2" s="1"/>
  <c r="B32" i="2" s="1"/>
  <c r="B33" i="2" s="1"/>
  <c r="B34" i="2" s="1"/>
  <c r="B35" i="2" s="1"/>
  <c r="B36" i="2" s="1"/>
  <c r="B37" i="2" s="1"/>
  <c r="B38" i="2" s="1"/>
  <c r="B39" i="2" s="1"/>
  <c r="B40" i="2" s="1"/>
  <c r="B41" i="2" s="1"/>
  <c r="B42" i="2" s="1"/>
  <c r="B43" i="2" s="1"/>
  <c r="B44" i="2" s="1"/>
  <c r="B45" i="2" s="1"/>
  <c r="B46" i="2" s="1"/>
  <c r="B47" i="2" s="1"/>
  <c r="B48" i="2" s="1"/>
  <c r="B49" i="2" s="1"/>
  <c r="B50" i="2" s="1"/>
  <c r="B51" i="2" s="1"/>
  <c r="B52" i="2" s="1"/>
  <c r="B53" i="2" s="1"/>
  <c r="B54" i="2" s="1"/>
  <c r="B55" i="2" s="1"/>
  <c r="B56" i="2" s="1"/>
  <c r="B57" i="2" s="1"/>
  <c r="B58" i="2" s="1"/>
  <c r="B59" i="2" s="1"/>
  <c r="B60" i="2" s="1"/>
  <c r="B61" i="2" s="1"/>
  <c r="B62" i="2" s="1"/>
  <c r="B63" i="2" s="1"/>
  <c r="B64" i="2" s="1"/>
  <c r="B65" i="2" s="1"/>
  <c r="B66" i="2" s="1"/>
  <c r="B67" i="2" s="1"/>
  <c r="B68" i="2" s="1"/>
  <c r="B69" i="2" s="1"/>
  <c r="B70" i="2" s="1"/>
  <c r="B71" i="2" s="1"/>
  <c r="B72" i="2" s="1"/>
  <c r="B73" i="2" s="1"/>
  <c r="B74" i="2" s="1"/>
  <c r="B75" i="2" s="1"/>
  <c r="B76" i="2" s="1"/>
  <c r="B77" i="2" s="1"/>
  <c r="B78" i="2" s="1"/>
  <c r="B79" i="2" s="1"/>
  <c r="B80" i="2" s="1"/>
  <c r="B81" i="2" s="1"/>
  <c r="B82" i="2" s="1"/>
  <c r="B83" i="2" s="1"/>
  <c r="B84" i="2" s="1"/>
  <c r="B85" i="2" s="1"/>
  <c r="B86" i="2" s="1"/>
  <c r="B87" i="2" s="1"/>
  <c r="B88" i="2" s="1"/>
  <c r="B89" i="2" s="1"/>
  <c r="B90" i="2" s="1"/>
  <c r="B91" i="2" s="1"/>
  <c r="B92" i="2" s="1"/>
  <c r="B93" i="2" s="1"/>
  <c r="B94" i="2" s="1"/>
  <c r="B95" i="2" s="1"/>
  <c r="B96" i="2" s="1"/>
  <c r="B97" i="2" s="1"/>
  <c r="B98" i="2" s="1"/>
  <c r="B99" i="2" s="1"/>
  <c r="B100" i="2" s="1"/>
  <c r="B101" i="2" s="1"/>
  <c r="B102" i="2" s="1"/>
  <c r="B103" i="2" s="1"/>
  <c r="D3" i="2"/>
  <c r="F3" i="13" l="1"/>
  <c r="G53" i="6"/>
  <c r="F53" i="6"/>
  <c r="N54" i="8"/>
  <c r="N69" i="8"/>
  <c r="EH85" i="2"/>
  <c r="BP85" i="2" a="1"/>
  <c r="BP85" i="2" s="1"/>
  <c r="EG90" i="2"/>
  <c r="BO90" i="2" a="1"/>
  <c r="BO90" i="2" s="1"/>
  <c r="BP67" i="2" a="1"/>
  <c r="BP67" i="2" s="1"/>
  <c r="BN30" i="2" a="1"/>
  <c r="BN30" i="2" s="1"/>
  <c r="ER27" i="2" a="1"/>
  <c r="ER27" i="2" s="1"/>
  <c r="FQ27" i="2"/>
  <c r="ER15" i="2" a="1"/>
  <c r="ER15" i="2" s="1"/>
  <c r="FQ15" i="2"/>
  <c r="EH40" i="2"/>
  <c r="BP40" i="2" a="1"/>
  <c r="BP40" i="2" s="1"/>
  <c r="EE32" i="2"/>
  <c r="BM32" i="2" a="1"/>
  <c r="BM32" i="2" s="1"/>
  <c r="BP102" i="2" a="1"/>
  <c r="BP102" i="2" s="1"/>
  <c r="BP99" i="2" a="1"/>
  <c r="BP99" i="2" s="1"/>
  <c r="BP90" i="2" a="1"/>
  <c r="BP90" i="2" s="1"/>
  <c r="BN85" i="2" a="1"/>
  <c r="BN85" i="2" s="1"/>
  <c r="BM67" i="2" a="1"/>
  <c r="BM67" i="2" s="1"/>
  <c r="BN61" i="2" a="1"/>
  <c r="BN61" i="2" s="1"/>
  <c r="BM49" i="2" a="1"/>
  <c r="BM49" i="2" s="1"/>
  <c r="BO43" i="2" a="1"/>
  <c r="BO43" i="2" s="1"/>
  <c r="BM30" i="2" a="1"/>
  <c r="BM30" i="2" s="1"/>
  <c r="EH69" i="2"/>
  <c r="BP69" i="2" a="1"/>
  <c r="BP69" i="2" s="1"/>
  <c r="EH61" i="2"/>
  <c r="BP61" i="2" a="1"/>
  <c r="BP61" i="2" s="1"/>
  <c r="EH48" i="2"/>
  <c r="BP48" i="2" a="1"/>
  <c r="BP48" i="2" s="1"/>
  <c r="BP41" i="2" a="1"/>
  <c r="BP41" i="2" s="1"/>
  <c r="EH41" i="2"/>
  <c r="EG31" i="2"/>
  <c r="BO31" i="2" a="1"/>
  <c r="BO31" i="2" s="1"/>
  <c r="EG11" i="2"/>
  <c r="BO11" i="2" a="1"/>
  <c r="BO11" i="2" s="1"/>
  <c r="C12" i="4"/>
  <c r="D12" i="4" s="1"/>
  <c r="EH92" i="2"/>
  <c r="BP92" i="2" a="1"/>
  <c r="BP92" i="2" s="1"/>
  <c r="EH71" i="2"/>
  <c r="BP71" i="2" a="1"/>
  <c r="BP71" i="2" s="1"/>
  <c r="EH44" i="2"/>
  <c r="BP44" i="2" a="1"/>
  <c r="BP44" i="2" s="1"/>
  <c r="BP30" i="2" a="1"/>
  <c r="BP30" i="2" s="1"/>
  <c r="EH30" i="2"/>
  <c r="EG89" i="2"/>
  <c r="BO89" i="2" a="1"/>
  <c r="BO89" i="2" s="1"/>
  <c r="EG54" i="2"/>
  <c r="BO54" i="2" a="1"/>
  <c r="BO54" i="2" s="1"/>
  <c r="EG28" i="2"/>
  <c r="BO28" i="2" a="1"/>
  <c r="BO28" i="2" s="1"/>
  <c r="BP43" i="2" a="1"/>
  <c r="BP43" i="2" s="1"/>
  <c r="EE52" i="2"/>
  <c r="BM52" i="2" a="1"/>
  <c r="BM52" i="2" s="1"/>
  <c r="EE44" i="2"/>
  <c r="BM44" i="2" a="1"/>
  <c r="BM44" i="2" s="1"/>
  <c r="BK87" i="2" a="1"/>
  <c r="BK87" i="2" s="1"/>
  <c r="EC87" i="2"/>
  <c r="BH102" i="2" a="1"/>
  <c r="BH102" i="2" s="1"/>
  <c r="BP98" i="2" a="1"/>
  <c r="BP98" i="2" s="1"/>
  <c r="BO94" i="2" a="1"/>
  <c r="BO94" i="2" s="1"/>
  <c r="BP89" i="2" a="1"/>
  <c r="BP89" i="2" s="1"/>
  <c r="BP84" i="2" a="1"/>
  <c r="BP84" i="2" s="1"/>
  <c r="BN78" i="2" a="1"/>
  <c r="BN78" i="2" s="1"/>
  <c r="BM73" i="2" a="1"/>
  <c r="BM73" i="2" s="1"/>
  <c r="BM61" i="2" a="1"/>
  <c r="BM61" i="2" s="1"/>
  <c r="BM19" i="2" a="1"/>
  <c r="BM19" i="2" s="1"/>
  <c r="EH77" i="2"/>
  <c r="EH49" i="2"/>
  <c r="EH21" i="2"/>
  <c r="BP38" i="2" a="1"/>
  <c r="BP38" i="2" s="1"/>
  <c r="EH38" i="2"/>
  <c r="EG83" i="2"/>
  <c r="BO83" i="2" a="1"/>
  <c r="BO83" i="2" s="1"/>
  <c r="EG33" i="2"/>
  <c r="BO33" i="2" a="1"/>
  <c r="BO33" i="2" s="1"/>
  <c r="BO49" i="2" a="1"/>
  <c r="BO49" i="2" s="1"/>
  <c r="EE80" i="2"/>
  <c r="BM80" i="2" a="1"/>
  <c r="BM80" i="2" s="1"/>
  <c r="EE65" i="2"/>
  <c r="BM65" i="2" a="1"/>
  <c r="BM65" i="2" s="1"/>
  <c r="EE28" i="2"/>
  <c r="BM28" i="2" a="1"/>
  <c r="BM28" i="2" s="1"/>
  <c r="BJ87" i="2" a="1"/>
  <c r="BJ87" i="2" s="1"/>
  <c r="EB87" i="2"/>
  <c r="EB76" i="2"/>
  <c r="BJ76" i="2" a="1"/>
  <c r="BJ76" i="2" s="1"/>
  <c r="I60" i="7"/>
  <c r="I64" i="7" s="1"/>
  <c r="I61" i="7"/>
  <c r="BP101" i="2" a="1"/>
  <c r="BP101" i="2" s="1"/>
  <c r="BO98" i="2" a="1"/>
  <c r="BO98" i="2" s="1"/>
  <c r="BP88" i="2" a="1"/>
  <c r="BP88" i="2" s="1"/>
  <c r="BO84" i="2" a="1"/>
  <c r="BO84" i="2" s="1"/>
  <c r="BM71" i="2" a="1"/>
  <c r="BM71" i="2" s="1"/>
  <c r="BO34" i="2" a="1"/>
  <c r="BO34" i="2" s="1"/>
  <c r="BG18" i="2" a="1"/>
  <c r="BG18" i="2" s="1"/>
  <c r="BO4" i="2" a="1"/>
  <c r="BO4" i="2" s="1"/>
  <c r="EH45" i="2"/>
  <c r="DY20" i="2"/>
  <c r="EH54" i="2"/>
  <c r="BP54" i="2" a="1"/>
  <c r="BP54" i="2" s="1"/>
  <c r="BP91" i="2" a="1"/>
  <c r="BP91" i="2" s="1"/>
  <c r="EG82" i="2"/>
  <c r="BO82" i="2" a="1"/>
  <c r="BO82" i="2" s="1"/>
  <c r="EG36" i="2"/>
  <c r="BO36" i="2" a="1"/>
  <c r="BO36" i="2" s="1"/>
  <c r="EF59" i="2"/>
  <c r="BN59" i="2" a="1"/>
  <c r="BN59" i="2" s="1"/>
  <c r="EE29" i="2"/>
  <c r="BM29" i="2" a="1"/>
  <c r="BM29" i="2" s="1"/>
  <c r="EE15" i="2"/>
  <c r="BM15" i="2" a="1"/>
  <c r="BM15" i="2" s="1"/>
  <c r="L56" i="8"/>
  <c r="BO99" i="2" a="1"/>
  <c r="BO99" i="2" s="1"/>
  <c r="BP78" i="2" a="1"/>
  <c r="BP78" i="2" s="1"/>
  <c r="H60" i="7"/>
  <c r="H64" i="7" s="1"/>
  <c r="H61" i="7"/>
  <c r="BO101" i="2" a="1"/>
  <c r="BO101" i="2" s="1"/>
  <c r="BH98" i="2" a="1"/>
  <c r="BH98" i="2" s="1"/>
  <c r="BP93" i="2" a="1"/>
  <c r="BP93" i="2" s="1"/>
  <c r="BO88" i="2" a="1"/>
  <c r="BO88" i="2" s="1"/>
  <c r="BH84" i="2" a="1"/>
  <c r="BH84" i="2" s="1"/>
  <c r="BG78" i="2" a="1"/>
  <c r="BG78" i="2" s="1"/>
  <c r="BF71" i="2" a="1"/>
  <c r="BF71" i="2" s="1"/>
  <c r="BH66" i="2" a="1"/>
  <c r="BH66" i="2" s="1"/>
  <c r="BH53" i="2" a="1"/>
  <c r="BH53" i="2" s="1"/>
  <c r="BF47" i="2" a="1"/>
  <c r="BF47" i="2" s="1"/>
  <c r="BF34" i="2" a="1"/>
  <c r="BF34" i="2" s="1"/>
  <c r="BM26" i="2" a="1"/>
  <c r="BM26" i="2" s="1"/>
  <c r="BG17" i="2" a="1"/>
  <c r="BG17" i="2" s="1"/>
  <c r="EF73" i="2"/>
  <c r="EI41" i="2"/>
  <c r="BP96" i="2" a="1"/>
  <c r="BP96" i="2" s="1"/>
  <c r="ET23" i="2" a="1"/>
  <c r="ET23" i="2" s="1"/>
  <c r="FS23" i="2"/>
  <c r="ET103" i="2" a="1"/>
  <c r="ET103" i="2" s="1"/>
  <c r="EG92" i="2"/>
  <c r="BO92" i="2" a="1"/>
  <c r="BO92" i="2" s="1"/>
  <c r="EG86" i="2"/>
  <c r="BO86" i="2" a="1"/>
  <c r="BO86" i="2" s="1"/>
  <c r="BO91" i="2" a="1"/>
  <c r="BO91" i="2" s="1"/>
  <c r="BO30" i="2" a="1"/>
  <c r="BO30" i="2" s="1"/>
  <c r="ES15" i="2" a="1"/>
  <c r="ES15" i="2" s="1"/>
  <c r="FR15" i="2"/>
  <c r="EF89" i="2"/>
  <c r="BN89" i="2" a="1"/>
  <c r="BN89" i="2" s="1"/>
  <c r="L84" i="11"/>
  <c r="EE63" i="2"/>
  <c r="BM63" i="2" a="1"/>
  <c r="BM63" i="2" s="1"/>
  <c r="EE59" i="2"/>
  <c r="BM59" i="2" a="1"/>
  <c r="BM59" i="2" s="1"/>
  <c r="BO102" i="2" a="1"/>
  <c r="BO102" i="2" s="1"/>
  <c r="BM35" i="2" a="1"/>
  <c r="BM35" i="2" s="1"/>
  <c r="BM6" i="2" a="1"/>
  <c r="BM6" i="2" s="1"/>
  <c r="K51" i="8"/>
  <c r="K69" i="8" s="1"/>
  <c r="M60" i="7"/>
  <c r="M64" i="7" s="1"/>
  <c r="R51" i="8"/>
  <c r="S53" i="8"/>
  <c r="G53" i="8"/>
  <c r="E56" i="8"/>
  <c r="DZ99" i="2"/>
  <c r="BH99" i="2" a="1"/>
  <c r="BH99" i="2" s="1"/>
  <c r="DZ96" i="2"/>
  <c r="BH96" i="2" a="1"/>
  <c r="BH96" i="2" s="1"/>
  <c r="DZ89" i="2"/>
  <c r="BH89" i="2" a="1"/>
  <c r="BH89" i="2" s="1"/>
  <c r="DZ87" i="2"/>
  <c r="BH87" i="2" a="1"/>
  <c r="BH87" i="2" s="1"/>
  <c r="DZ86" i="2"/>
  <c r="BH86" i="2" a="1"/>
  <c r="BH86" i="2" s="1"/>
  <c r="DZ83" i="2"/>
  <c r="BH83" i="2" a="1"/>
  <c r="BH83" i="2" s="1"/>
  <c r="DZ76" i="2"/>
  <c r="BH76" i="2" a="1"/>
  <c r="BH76" i="2" s="1"/>
  <c r="DZ72" i="2"/>
  <c r="BH72" i="2" a="1"/>
  <c r="BH72" i="2" s="1"/>
  <c r="DZ62" i="2"/>
  <c r="BH62" i="2" a="1"/>
  <c r="BH62" i="2" s="1"/>
  <c r="BH59" i="2" a="1"/>
  <c r="BH59" i="2" s="1"/>
  <c r="DZ59" i="2"/>
  <c r="BH55" i="2" a="1"/>
  <c r="BH55" i="2" s="1"/>
  <c r="DZ55" i="2"/>
  <c r="DZ51" i="2"/>
  <c r="BH51" i="2" a="1"/>
  <c r="BH51" i="2" s="1"/>
  <c r="DZ48" i="2"/>
  <c r="BH48" i="2" a="1"/>
  <c r="BH48" i="2" s="1"/>
  <c r="BH31" i="2" a="1"/>
  <c r="BH31" i="2" s="1"/>
  <c r="DZ31" i="2"/>
  <c r="BH27" i="2" a="1"/>
  <c r="BH27" i="2" s="1"/>
  <c r="DZ27" i="2"/>
  <c r="BH17" i="2" a="1"/>
  <c r="BH17" i="2" s="1"/>
  <c r="DZ17" i="2"/>
  <c r="BH16" i="2" a="1"/>
  <c r="BH16" i="2" s="1"/>
  <c r="DZ16" i="2"/>
  <c r="BP97" i="2" a="1"/>
  <c r="BP97" i="2" s="1"/>
  <c r="BP83" i="2" a="1"/>
  <c r="BP83" i="2" s="1"/>
  <c r="BM77" i="2" a="1"/>
  <c r="BM77" i="2" s="1"/>
  <c r="BQ70" i="2" a="1"/>
  <c r="BQ70" i="2" s="1"/>
  <c r="BH60" i="2" a="1"/>
  <c r="BH60" i="2" s="1"/>
  <c r="BP52" i="2" a="1"/>
  <c r="BP52" i="2" s="1"/>
  <c r="BP46" i="2" a="1"/>
  <c r="BP46" i="2" s="1"/>
  <c r="BM41" i="2" a="1"/>
  <c r="BM41" i="2" s="1"/>
  <c r="BG26" i="2" a="1"/>
  <c r="BG26" i="2" s="1"/>
  <c r="BQ14" i="2" a="1"/>
  <c r="BQ14" i="2" s="1"/>
  <c r="DX97" i="2"/>
  <c r="DX36" i="2"/>
  <c r="ED12" i="2"/>
  <c r="EH82" i="2"/>
  <c r="BP82" i="2" a="1"/>
  <c r="BP82" i="2" s="1"/>
  <c r="EH75" i="2"/>
  <c r="BP75" i="2" a="1"/>
  <c r="BP75" i="2" s="1"/>
  <c r="BP70" i="2" a="1"/>
  <c r="BP70" i="2" s="1"/>
  <c r="EH70" i="2"/>
  <c r="BP62" i="2" a="1"/>
  <c r="BP62" i="2" s="1"/>
  <c r="EH62" i="2"/>
  <c r="BP37" i="2" a="1"/>
  <c r="BP37" i="2" s="1"/>
  <c r="EH37" i="2"/>
  <c r="Z51" i="8"/>
  <c r="Z69" i="8" s="1"/>
  <c r="EG93" i="2"/>
  <c r="BO93" i="2" a="1"/>
  <c r="BO93" i="2" s="1"/>
  <c r="EG85" i="2"/>
  <c r="BO85" i="2" a="1"/>
  <c r="BO85" i="2" s="1"/>
  <c r="Z56" i="8"/>
  <c r="M56" i="8"/>
  <c r="EE36" i="2"/>
  <c r="BM36" i="2" a="1"/>
  <c r="BM36" i="2" s="1"/>
  <c r="BP94" i="2" a="1"/>
  <c r="BP94" i="2" s="1"/>
  <c r="BL67" i="2" a="1"/>
  <c r="BL67" i="2" s="1"/>
  <c r="E48" i="6"/>
  <c r="V51" i="8"/>
  <c r="N60" i="7"/>
  <c r="N64" i="7" s="1"/>
  <c r="I56" i="8"/>
  <c r="G56" i="8"/>
  <c r="Z53" i="8"/>
  <c r="BG103" i="2" a="1"/>
  <c r="BG103" i="2" s="1"/>
  <c r="DY103" i="2"/>
  <c r="BG97" i="2" a="1"/>
  <c r="BG97" i="2" s="1"/>
  <c r="DY97" i="2"/>
  <c r="BG87" i="2" a="1"/>
  <c r="BG87" i="2" s="1"/>
  <c r="DY87" i="2"/>
  <c r="BG67" i="2" a="1"/>
  <c r="BG67" i="2" s="1"/>
  <c r="DY67" i="2"/>
  <c r="BG59" i="2" a="1"/>
  <c r="BG59" i="2" s="1"/>
  <c r="DY59" i="2"/>
  <c r="DY56" i="2"/>
  <c r="BG56" i="2" a="1"/>
  <c r="BG56" i="2" s="1"/>
  <c r="DY54" i="2"/>
  <c r="BG54" i="2" a="1"/>
  <c r="BG54" i="2" s="1"/>
  <c r="DY51" i="2"/>
  <c r="BG51" i="2" a="1"/>
  <c r="BG51" i="2" s="1"/>
  <c r="BG39" i="2" a="1"/>
  <c r="BG39" i="2" s="1"/>
  <c r="DY39" i="2"/>
  <c r="BG28" i="2" a="1"/>
  <c r="BG28" i="2" s="1"/>
  <c r="DY28" i="2"/>
  <c r="DY22" i="2"/>
  <c r="BG22" i="2" a="1"/>
  <c r="BG22" i="2" s="1"/>
  <c r="DY21" i="2"/>
  <c r="BG21" i="2" a="1"/>
  <c r="BG21" i="2" s="1"/>
  <c r="BG16" i="2" a="1"/>
  <c r="BG16" i="2" s="1"/>
  <c r="DY16" i="2"/>
  <c r="DY10" i="2"/>
  <c r="BG10" i="2" a="1"/>
  <c r="BG10" i="2" s="1"/>
  <c r="BG5" i="2" a="1"/>
  <c r="BG5" i="2" s="1"/>
  <c r="DY5" i="2"/>
  <c r="DY4" i="2"/>
  <c r="BG4" i="2" a="1"/>
  <c r="BG4" i="2" s="1"/>
  <c r="BN101" i="2" a="1"/>
  <c r="BN101" i="2" s="1"/>
  <c r="BO97" i="2" a="1"/>
  <c r="BO97" i="2" s="1"/>
  <c r="BN93" i="2" a="1"/>
  <c r="BN93" i="2" s="1"/>
  <c r="BH88" i="2" a="1"/>
  <c r="BH88" i="2" s="1"/>
  <c r="BH82" i="2" a="1"/>
  <c r="BH82" i="2" s="1"/>
  <c r="BQ64" i="2" a="1"/>
  <c r="BQ64" i="2" s="1"/>
  <c r="BP59" i="2" a="1"/>
  <c r="BP59" i="2" s="1"/>
  <c r="BO46" i="2" a="1"/>
  <c r="BO46" i="2" s="1"/>
  <c r="BH40" i="2" a="1"/>
  <c r="BH40" i="2" s="1"/>
  <c r="BM33" i="2" a="1"/>
  <c r="BM33" i="2" s="1"/>
  <c r="BG25" i="2" a="1"/>
  <c r="BG25" i="2" s="1"/>
  <c r="BL14" i="2" a="1"/>
  <c r="BL14" i="2" s="1"/>
  <c r="EF96" i="2"/>
  <c r="EI65" i="2"/>
  <c r="DY35" i="2"/>
  <c r="DX10" i="2"/>
  <c r="HN38" i="2" a="1"/>
  <c r="HN38" i="2" s="1"/>
  <c r="GX94" i="2" a="1"/>
  <c r="GX94" i="2" s="1"/>
  <c r="HE63" i="2" a="1"/>
  <c r="HE63" i="2" s="1"/>
  <c r="HS61" i="2" a="1"/>
  <c r="HS61" i="2" s="1"/>
  <c r="HH60" i="2" a="1"/>
  <c r="HH60" i="2" s="1"/>
  <c r="GW59" i="2" a="1"/>
  <c r="GW59" i="2" s="1"/>
  <c r="HK57" i="2" a="1"/>
  <c r="HK57" i="2" s="1"/>
  <c r="GZ56" i="2" a="1"/>
  <c r="GZ56" i="2" s="1"/>
  <c r="HN54" i="2" a="1"/>
  <c r="HN54" i="2" s="1"/>
  <c r="HC53" i="2" a="1"/>
  <c r="HC53" i="2" s="1"/>
  <c r="HQ51" i="2" a="1"/>
  <c r="HQ51" i="2" s="1"/>
  <c r="HF50" i="2" a="1"/>
  <c r="HF50" i="2" s="1"/>
  <c r="HT48" i="2" a="1"/>
  <c r="HT48" i="2" s="1"/>
  <c r="HI47" i="2" a="1"/>
  <c r="HI47" i="2" s="1"/>
  <c r="GX46" i="2" a="1"/>
  <c r="GX46" i="2" s="1"/>
  <c r="HL44" i="2" a="1"/>
  <c r="HL44" i="2" s="1"/>
  <c r="HA43" i="2" a="1"/>
  <c r="HA43" i="2" s="1"/>
  <c r="HO41" i="2" a="1"/>
  <c r="HO41" i="2" s="1"/>
  <c r="HD40" i="2" a="1"/>
  <c r="HD40" i="2" s="1"/>
  <c r="GW35" i="2" a="1"/>
  <c r="GW35" i="2" s="1"/>
  <c r="HK33" i="2" a="1"/>
  <c r="HK33" i="2" s="1"/>
  <c r="EH95" i="2"/>
  <c r="BP95" i="2" a="1"/>
  <c r="BP95" i="2" s="1"/>
  <c r="BO96" i="2" a="1"/>
  <c r="BO96" i="2" s="1"/>
  <c r="BO95" i="2" a="1"/>
  <c r="BO95" i="2" s="1"/>
  <c r="ED69" i="2"/>
  <c r="BL69" i="2" a="1"/>
  <c r="BL69" i="2" s="1"/>
  <c r="BF103" i="2" a="1"/>
  <c r="BF103" i="2" s="1"/>
  <c r="DX103" i="2"/>
  <c r="BF90" i="2" a="1"/>
  <c r="BF90" i="2" s="1"/>
  <c r="DX90" i="2"/>
  <c r="BF84" i="2" a="1"/>
  <c r="BF84" i="2" s="1"/>
  <c r="DX84" i="2"/>
  <c r="DX80" i="2"/>
  <c r="BF80" i="2" a="1"/>
  <c r="BF80" i="2" s="1"/>
  <c r="DX77" i="2"/>
  <c r="BF77" i="2" a="1"/>
  <c r="BF77" i="2" s="1"/>
  <c r="DX73" i="2"/>
  <c r="BF73" i="2" a="1"/>
  <c r="BF73" i="2" s="1"/>
  <c r="DX69" i="2"/>
  <c r="BF69" i="2" a="1"/>
  <c r="BF69" i="2" s="1"/>
  <c r="BF68" i="2" a="1"/>
  <c r="BF68" i="2" s="1"/>
  <c r="DX68" i="2"/>
  <c r="DX65" i="2"/>
  <c r="BF65" i="2" a="1"/>
  <c r="BF65" i="2" s="1"/>
  <c r="BF60" i="2" a="1"/>
  <c r="BF60" i="2" s="1"/>
  <c r="DX60" i="2"/>
  <c r="DX59" i="2"/>
  <c r="BF59" i="2" a="1"/>
  <c r="BF59" i="2" s="1"/>
  <c r="BF56" i="2" a="1"/>
  <c r="BF56" i="2" s="1"/>
  <c r="DX56" i="2"/>
  <c r="DX51" i="2"/>
  <c r="BF51" i="2" a="1"/>
  <c r="BF51" i="2" s="1"/>
  <c r="DX49" i="2"/>
  <c r="BF49" i="2" a="1"/>
  <c r="BF49" i="2" s="1"/>
  <c r="DX46" i="2"/>
  <c r="BF46" i="2" a="1"/>
  <c r="BF46" i="2" s="1"/>
  <c r="DX41" i="2"/>
  <c r="BF41" i="2" a="1"/>
  <c r="BF41" i="2" s="1"/>
  <c r="DX30" i="2"/>
  <c r="BF30" i="2" a="1"/>
  <c r="BF30" i="2" s="1"/>
  <c r="DX29" i="2"/>
  <c r="BF29" i="2" a="1"/>
  <c r="BF29" i="2" s="1"/>
  <c r="BF28" i="2" a="1"/>
  <c r="BF28" i="2" s="1"/>
  <c r="DX28" i="2"/>
  <c r="DX17" i="2"/>
  <c r="BF17" i="2" a="1"/>
  <c r="BF17" i="2" s="1"/>
  <c r="DX13" i="2"/>
  <c r="BF13" i="2" a="1"/>
  <c r="BF13" i="2" s="1"/>
  <c r="BH101" i="2" a="1"/>
  <c r="BH101" i="2" s="1"/>
  <c r="BN97" i="2" a="1"/>
  <c r="BN97" i="2" s="1"/>
  <c r="BP87" i="2" a="1"/>
  <c r="BP87" i="2" s="1"/>
  <c r="BP81" i="2" a="1"/>
  <c r="BP81" i="2" s="1"/>
  <c r="BQ76" i="2" a="1"/>
  <c r="BQ76" i="2" s="1"/>
  <c r="BH70" i="2" a="1"/>
  <c r="BH70" i="2" s="1"/>
  <c r="BH64" i="2" a="1"/>
  <c r="BH64" i="2" s="1"/>
  <c r="BH58" i="2" a="1"/>
  <c r="BH58" i="2" s="1"/>
  <c r="BQ51" i="2" a="1"/>
  <c r="BQ51" i="2" s="1"/>
  <c r="BG46" i="2" a="1"/>
  <c r="BG46" i="2" s="1"/>
  <c r="BK39" i="2" a="1"/>
  <c r="BK39" i="2" s="1"/>
  <c r="BF33" i="2" a="1"/>
  <c r="BF33" i="2" s="1"/>
  <c r="BF25" i="2" a="1"/>
  <c r="BF25" i="2" s="1"/>
  <c r="BG14" i="2" a="1"/>
  <c r="BG14" i="2" s="1"/>
  <c r="DX96" i="2"/>
  <c r="DZ63" i="2"/>
  <c r="DX35" i="2"/>
  <c r="EF8" i="2"/>
  <c r="ES92" i="2" a="1"/>
  <c r="ES92" i="2" s="1"/>
  <c r="FR92" i="2"/>
  <c r="ES88" i="2" a="1"/>
  <c r="ES88" i="2" s="1"/>
  <c r="FR88" i="2"/>
  <c r="ES80" i="2" a="1"/>
  <c r="ES80" i="2" s="1"/>
  <c r="FR80" i="2"/>
  <c r="ES76" i="2" a="1"/>
  <c r="ES76" i="2" s="1"/>
  <c r="FR76" i="2"/>
  <c r="FR72" i="2"/>
  <c r="ES72" i="2" a="1"/>
  <c r="ES72" i="2" s="1"/>
  <c r="FR64" i="2"/>
  <c r="ES64" i="2" a="1"/>
  <c r="ES64" i="2" s="1"/>
  <c r="ES36" i="2" a="1"/>
  <c r="ES36" i="2" s="1"/>
  <c r="FR36" i="2"/>
  <c r="FR24" i="2"/>
  <c r="ES24" i="2" a="1"/>
  <c r="ES24" i="2" s="1"/>
  <c r="FR16" i="2"/>
  <c r="ES16" i="2" a="1"/>
  <c r="ES16" i="2" s="1"/>
  <c r="ES59" i="2" a="1"/>
  <c r="ES59" i="2" s="1"/>
  <c r="FR84" i="2"/>
  <c r="EH73" i="2"/>
  <c r="BP73" i="2" a="1"/>
  <c r="BP73" i="2" s="1"/>
  <c r="EH65" i="2"/>
  <c r="BP65" i="2" a="1"/>
  <c r="BP65" i="2" s="1"/>
  <c r="BP86" i="2" a="1"/>
  <c r="BP86" i="2" s="1"/>
  <c r="EE47" i="2"/>
  <c r="BM47" i="2" a="1"/>
  <c r="BM47" i="2" s="1"/>
  <c r="EE9" i="2"/>
  <c r="BM9" i="2" a="1"/>
  <c r="BM9" i="2" s="1"/>
  <c r="X56" i="8"/>
  <c r="ED65" i="2"/>
  <c r="BL65" i="2" a="1"/>
  <c r="BL65" i="2" s="1"/>
  <c r="J56" i="8"/>
  <c r="U56" i="8"/>
  <c r="E49" i="6"/>
  <c r="E53" i="6" s="1"/>
  <c r="L60" i="7"/>
  <c r="L64" i="7" s="1"/>
  <c r="AA56" i="8"/>
  <c r="O56" i="8"/>
  <c r="P53" i="8"/>
  <c r="D53" i="8"/>
  <c r="BQ97" i="2" a="1"/>
  <c r="BQ97" i="2" s="1"/>
  <c r="EI97" i="2"/>
  <c r="BQ83" i="2" a="1"/>
  <c r="BQ83" i="2" s="1"/>
  <c r="EI83" i="2"/>
  <c r="EI79" i="2"/>
  <c r="BQ79" i="2" a="1"/>
  <c r="BQ79" i="2" s="1"/>
  <c r="EI78" i="2"/>
  <c r="BQ78" i="2" a="1"/>
  <c r="BQ78" i="2" s="1"/>
  <c r="EI72" i="2"/>
  <c r="BQ72" i="2" a="1"/>
  <c r="BQ72" i="2" s="1"/>
  <c r="BQ69" i="2" a="1"/>
  <c r="BQ69" i="2" s="1"/>
  <c r="EI69" i="2"/>
  <c r="EI68" i="2"/>
  <c r="BQ68" i="2" a="1"/>
  <c r="BQ68" i="2" s="1"/>
  <c r="EI66" i="2"/>
  <c r="BQ66" i="2" a="1"/>
  <c r="BQ66" i="2" s="1"/>
  <c r="EI62" i="2"/>
  <c r="BQ62" i="2" a="1"/>
  <c r="BQ62" i="2" s="1"/>
  <c r="EI60" i="2"/>
  <c r="BQ60" i="2" a="1"/>
  <c r="BQ60" i="2" s="1"/>
  <c r="EI58" i="2"/>
  <c r="BQ58" i="2" a="1"/>
  <c r="BQ58" i="2" s="1"/>
  <c r="EI43" i="2"/>
  <c r="BQ43" i="2" a="1"/>
  <c r="BQ43" i="2" s="1"/>
  <c r="EI35" i="2"/>
  <c r="BQ35" i="2" a="1"/>
  <c r="BQ35" i="2" s="1"/>
  <c r="EI32" i="2"/>
  <c r="BQ32" i="2" a="1"/>
  <c r="BQ32" i="2" s="1"/>
  <c r="EI24" i="2"/>
  <c r="BQ24" i="2" a="1"/>
  <c r="BQ24" i="2" s="1"/>
  <c r="EI22" i="2"/>
  <c r="BQ22" i="2" a="1"/>
  <c r="BQ22" i="2" s="1"/>
  <c r="EI18" i="2"/>
  <c r="BQ18" i="2" a="1"/>
  <c r="BQ18" i="2" s="1"/>
  <c r="EI16" i="2"/>
  <c r="BQ16" i="2" a="1"/>
  <c r="BQ16" i="2" s="1"/>
  <c r="EI15" i="2"/>
  <c r="BQ15" i="2" a="1"/>
  <c r="BQ15" i="2" s="1"/>
  <c r="EI8" i="2"/>
  <c r="BQ8" i="2" a="1"/>
  <c r="BQ8" i="2" s="1"/>
  <c r="BP103" i="2" a="1"/>
  <c r="BP103" i="2" s="1"/>
  <c r="BP100" i="2" a="1"/>
  <c r="BP100" i="2" s="1"/>
  <c r="BH97" i="2" a="1"/>
  <c r="BH97" i="2" s="1"/>
  <c r="BH92" i="2" a="1"/>
  <c r="BH92" i="2" s="1"/>
  <c r="BO87" i="2" a="1"/>
  <c r="BO87" i="2" s="1"/>
  <c r="BO81" i="2" a="1"/>
  <c r="BO81" i="2" s="1"/>
  <c r="BM75" i="2" a="1"/>
  <c r="BM75" i="2" s="1"/>
  <c r="BP63" i="2" a="1"/>
  <c r="BP63" i="2" s="1"/>
  <c r="BP57" i="2" a="1"/>
  <c r="BP57" i="2" s="1"/>
  <c r="BO51" i="2" a="1"/>
  <c r="BO51" i="2" s="1"/>
  <c r="BQ37" i="2" a="1"/>
  <c r="BQ37" i="2" s="1"/>
  <c r="BF31" i="2" a="1"/>
  <c r="BF31" i="2" s="1"/>
  <c r="BQ23" i="2" a="1"/>
  <c r="BQ23" i="2" s="1"/>
  <c r="BG13" i="2" a="1"/>
  <c r="BG13" i="2" s="1"/>
  <c r="DZ93" i="2"/>
  <c r="DY63" i="2"/>
  <c r="EF34" i="2"/>
  <c r="ER88" i="2" a="1"/>
  <c r="ER88" i="2" s="1"/>
  <c r="FQ88" i="2"/>
  <c r="ER80" i="2" a="1"/>
  <c r="ER80" i="2" s="1"/>
  <c r="FQ80" i="2"/>
  <c r="ER76" i="2" a="1"/>
  <c r="ER76" i="2" s="1"/>
  <c r="FQ76" i="2"/>
  <c r="ER72" i="2" a="1"/>
  <c r="ER72" i="2" s="1"/>
  <c r="FQ72" i="2"/>
  <c r="FQ68" i="2"/>
  <c r="ER68" i="2" a="1"/>
  <c r="ER68" i="2" s="1"/>
  <c r="FQ64" i="2"/>
  <c r="ER64" i="2" a="1"/>
  <c r="ER64" i="2" s="1"/>
  <c r="FQ44" i="2"/>
  <c r="ER44" i="2" a="1"/>
  <c r="ER44" i="2" s="1"/>
  <c r="FQ36" i="2"/>
  <c r="ER36" i="2" a="1"/>
  <c r="ER36" i="2" s="1"/>
  <c r="ER28" i="2" a="1"/>
  <c r="ER28" i="2" s="1"/>
  <c r="FQ28" i="2"/>
  <c r="ER24" i="2" a="1"/>
  <c r="ER24" i="2" s="1"/>
  <c r="FQ24" i="2"/>
  <c r="FQ16" i="2"/>
  <c r="ER16" i="2" a="1"/>
  <c r="ER16" i="2" s="1"/>
  <c r="FQ12" i="2"/>
  <c r="ER12" i="2" a="1"/>
  <c r="ER12" i="2" s="1"/>
  <c r="ET31" i="2" a="1"/>
  <c r="ET31" i="2" s="1"/>
  <c r="FQ84" i="2"/>
  <c r="FS35" i="2"/>
  <c r="ER77" i="2" a="1"/>
  <c r="ER77" i="2" s="1"/>
  <c r="ET57" i="2" a="1"/>
  <c r="ET57" i="2" s="1"/>
  <c r="ET28" i="2" a="1"/>
  <c r="ET28" i="2" s="1"/>
  <c r="ER18" i="2" a="1"/>
  <c r="ER18" i="2" s="1"/>
  <c r="ER5" i="2" a="1"/>
  <c r="ER5" i="2" s="1"/>
  <c r="FS92" i="2"/>
  <c r="FQ53" i="2"/>
  <c r="FS40" i="2"/>
  <c r="GV63" i="2" a="1"/>
  <c r="GV63" i="2" s="1"/>
  <c r="GV51" i="2" a="1"/>
  <c r="GV51" i="2" s="1"/>
  <c r="GV39" i="2" a="1"/>
  <c r="GV39" i="2" s="1"/>
  <c r="GV27" i="2" a="1"/>
  <c r="GV27" i="2" s="1"/>
  <c r="GV15" i="2" a="1"/>
  <c r="GV15" i="2" s="1"/>
  <c r="GV103" i="2" a="1"/>
  <c r="GV103" i="2" s="1"/>
  <c r="GV91" i="2" a="1"/>
  <c r="GV91" i="2" s="1"/>
  <c r="GV79" i="2" a="1"/>
  <c r="GV79" i="2" s="1"/>
  <c r="GV67" i="2" a="1"/>
  <c r="GV67" i="2" s="1"/>
  <c r="HI82" i="2" a="1"/>
  <c r="HI82" i="2" s="1"/>
  <c r="HL55" i="2" a="1"/>
  <c r="HL55" i="2" s="1"/>
  <c r="HA54" i="2" a="1"/>
  <c r="HA54" i="2" s="1"/>
  <c r="HO52" i="2" a="1"/>
  <c r="HO52" i="2" s="1"/>
  <c r="HD51" i="2" a="1"/>
  <c r="HD51" i="2" s="1"/>
  <c r="HR49" i="2" a="1"/>
  <c r="HR49" i="2" s="1"/>
  <c r="HG48" i="2" a="1"/>
  <c r="HG48" i="2" s="1"/>
  <c r="GV47" i="2" a="1"/>
  <c r="GV47" i="2" s="1"/>
  <c r="HJ45" i="2" a="1"/>
  <c r="HJ45" i="2" s="1"/>
  <c r="GY44" i="2" a="1"/>
  <c r="GY44" i="2" s="1"/>
  <c r="HM42" i="2" a="1"/>
  <c r="HM42" i="2" s="1"/>
  <c r="HB41" i="2" a="1"/>
  <c r="HB41" i="2" s="1"/>
  <c r="HP39" i="2" a="1"/>
  <c r="HP39" i="2" s="1"/>
  <c r="GZ31" i="2" a="1"/>
  <c r="GZ31" i="2" s="1"/>
  <c r="ET76" i="2" a="1"/>
  <c r="ET76" i="2" s="1"/>
  <c r="ER66" i="2" a="1"/>
  <c r="ER66" i="2" s="1"/>
  <c r="FQ50" i="2"/>
  <c r="GV62" i="2" a="1"/>
  <c r="GV62" i="2" s="1"/>
  <c r="GV50" i="2" a="1"/>
  <c r="GV50" i="2" s="1"/>
  <c r="GV38" i="2" a="1"/>
  <c r="GV38" i="2" s="1"/>
  <c r="GV26" i="2" a="1"/>
  <c r="GV26" i="2" s="1"/>
  <c r="GV14" i="2" a="1"/>
  <c r="GV14" i="2" s="1"/>
  <c r="GV102" i="2" a="1"/>
  <c r="GV102" i="2" s="1"/>
  <c r="GV90" i="2" a="1"/>
  <c r="GV90" i="2" s="1"/>
  <c r="GV78" i="2" a="1"/>
  <c r="GV78" i="2" s="1"/>
  <c r="GV66" i="2" a="1"/>
  <c r="GV66" i="2" s="1"/>
  <c r="HL62" i="2" a="1"/>
  <c r="HL62" i="2" s="1"/>
  <c r="HA61" i="2" a="1"/>
  <c r="HA61" i="2" s="1"/>
  <c r="HO59" i="2" a="1"/>
  <c r="HO59" i="2" s="1"/>
  <c r="HD58" i="2" a="1"/>
  <c r="HD58" i="2" s="1"/>
  <c r="HG55" i="2" a="1"/>
  <c r="HG55" i="2" s="1"/>
  <c r="GV54" i="2" a="1"/>
  <c r="GV54" i="2" s="1"/>
  <c r="HJ52" i="2" a="1"/>
  <c r="HJ52" i="2" s="1"/>
  <c r="GY51" i="2" a="1"/>
  <c r="GY51" i="2" s="1"/>
  <c r="HM49" i="2" a="1"/>
  <c r="HM49" i="2" s="1"/>
  <c r="HB48" i="2" a="1"/>
  <c r="HB48" i="2" s="1"/>
  <c r="HP46" i="2" a="1"/>
  <c r="HP46" i="2" s="1"/>
  <c r="HE45" i="2" a="1"/>
  <c r="HE45" i="2" s="1"/>
  <c r="HS43" i="2" a="1"/>
  <c r="HS43" i="2" s="1"/>
  <c r="HH42" i="2" a="1"/>
  <c r="HH42" i="2" s="1"/>
  <c r="GW41" i="2" a="1"/>
  <c r="GW41" i="2" s="1"/>
  <c r="HP22" i="2" a="1"/>
  <c r="HP22" i="2" s="1"/>
  <c r="HE37" i="2" a="1"/>
  <c r="HE37" i="2" s="1"/>
  <c r="HN28" i="2" a="1"/>
  <c r="HN28" i="2" s="1"/>
  <c r="ET85" i="2" a="1"/>
  <c r="ET85" i="2" s="1"/>
  <c r="ET74" i="2" a="1"/>
  <c r="ET74" i="2" s="1"/>
  <c r="FQ102" i="2"/>
  <c r="FR49" i="2"/>
  <c r="ET97" i="2" a="1"/>
  <c r="ET97" i="2" s="1"/>
  <c r="ES85" i="2" a="1"/>
  <c r="ES85" i="2" s="1"/>
  <c r="ER25" i="2" a="1"/>
  <c r="ER25" i="2" s="1"/>
  <c r="FQ89" i="2"/>
  <c r="FQ37" i="2"/>
  <c r="ER73" i="2" a="1"/>
  <c r="ER73" i="2" s="1"/>
  <c r="ET33" i="2" a="1"/>
  <c r="ET33" i="2" s="1"/>
  <c r="ET24" i="2" a="1"/>
  <c r="ET24" i="2" s="1"/>
  <c r="ET13" i="2" a="1"/>
  <c r="ET13" i="2" s="1"/>
  <c r="FQ101" i="2"/>
  <c r="FS88" i="2"/>
  <c r="FS36" i="2"/>
  <c r="HF61" i="2" a="1"/>
  <c r="HF61" i="2" s="1"/>
  <c r="HI58" i="2" a="1"/>
  <c r="HI58" i="2" s="1"/>
  <c r="ES97" i="2" a="1"/>
  <c r="ES97" i="2" s="1"/>
  <c r="ET72" i="2" a="1"/>
  <c r="ET72" i="2" s="1"/>
  <c r="ES42" i="2" a="1"/>
  <c r="ES42" i="2" s="1"/>
  <c r="FQ98" i="2"/>
  <c r="FR66" i="2"/>
  <c r="FQ46" i="2"/>
  <c r="ET93" i="2" a="1"/>
  <c r="ET93" i="2" s="1"/>
  <c r="ET81" i="2" a="1"/>
  <c r="ET81" i="2" s="1"/>
  <c r="ER62" i="2" a="1"/>
  <c r="ER62" i="2" s="1"/>
  <c r="ER42" i="2" a="1"/>
  <c r="ER42" i="2" s="1"/>
  <c r="ES33" i="2" a="1"/>
  <c r="ES33" i="2" s="1"/>
  <c r="FR45" i="2"/>
  <c r="FR14" i="2"/>
  <c r="NI3" i="2"/>
  <c r="M14" i="8"/>
  <c r="Y14" i="8"/>
  <c r="L13" i="8"/>
  <c r="X13" i="8"/>
  <c r="K12" i="8"/>
  <c r="W12" i="8"/>
  <c r="J11" i="8"/>
  <c r="V11" i="8"/>
  <c r="I10" i="8"/>
  <c r="U10" i="8"/>
  <c r="F27" i="11"/>
  <c r="O14" i="8"/>
  <c r="AA14" i="8"/>
  <c r="N13" i="8"/>
  <c r="Z13" i="8"/>
  <c r="M12" i="8"/>
  <c r="Y12" i="8"/>
  <c r="L11" i="8"/>
  <c r="X11" i="8"/>
  <c r="K10" i="8"/>
  <c r="W10" i="8"/>
  <c r="E14" i="7"/>
  <c r="E13" i="7"/>
  <c r="E12" i="7"/>
  <c r="E11" i="7"/>
  <c r="D15" i="7"/>
  <c r="G27" i="11"/>
  <c r="D14" i="8"/>
  <c r="P14" i="8"/>
  <c r="AB14" i="8"/>
  <c r="O13" i="8"/>
  <c r="AA13" i="8"/>
  <c r="N12" i="8"/>
  <c r="Z12" i="8"/>
  <c r="M11" i="8"/>
  <c r="Y11" i="8"/>
  <c r="L10" i="8"/>
  <c r="X10" i="8"/>
  <c r="F14" i="7"/>
  <c r="F13" i="7"/>
  <c r="F12" i="7"/>
  <c r="F11" i="7"/>
  <c r="H27" i="11"/>
  <c r="E14" i="8"/>
  <c r="Q14" i="8"/>
  <c r="D13" i="8"/>
  <c r="P13" i="8"/>
  <c r="AB13" i="8"/>
  <c r="O12" i="8"/>
  <c r="AA12" i="8"/>
  <c r="N11" i="8"/>
  <c r="Z11" i="8"/>
  <c r="M10" i="8"/>
  <c r="Y10" i="8"/>
  <c r="G14" i="7"/>
  <c r="G13" i="7"/>
  <c r="G12" i="7"/>
  <c r="G11" i="7"/>
  <c r="I27" i="11"/>
  <c r="C54" i="4" s="1"/>
  <c r="D54" i="4" s="1"/>
  <c r="N14" i="8"/>
  <c r="H13" i="8"/>
  <c r="Y13" i="8"/>
  <c r="S12" i="8"/>
  <c r="K11" i="8"/>
  <c r="E10" i="8"/>
  <c r="V10" i="8"/>
  <c r="J13" i="7"/>
  <c r="M12" i="7"/>
  <c r="P11" i="7"/>
  <c r="C48" i="4" s="1"/>
  <c r="D48" i="4" s="1"/>
  <c r="F14" i="6"/>
  <c r="K13" i="7"/>
  <c r="O12" i="7"/>
  <c r="T14" i="8"/>
  <c r="F12" i="8"/>
  <c r="H10" i="8"/>
  <c r="M13" i="7"/>
  <c r="F13" i="6"/>
  <c r="K14" i="7"/>
  <c r="E13" i="8"/>
  <c r="G11" i="8"/>
  <c r="AB11" i="8"/>
  <c r="C51" i="4" s="1"/>
  <c r="D51" i="4" s="1"/>
  <c r="K12" i="7"/>
  <c r="L14" i="8"/>
  <c r="E14" i="6"/>
  <c r="R14" i="8"/>
  <c r="I13" i="8"/>
  <c r="D12" i="8"/>
  <c r="T12" i="8"/>
  <c r="O11" i="8"/>
  <c r="F10" i="8"/>
  <c r="Z10" i="8"/>
  <c r="H14" i="7"/>
  <c r="N12" i="7"/>
  <c r="G14" i="6"/>
  <c r="J13" i="8"/>
  <c r="L13" i="7"/>
  <c r="E13" i="6"/>
  <c r="P12" i="7"/>
  <c r="C49" i="4" s="1"/>
  <c r="D49" i="4" s="1"/>
  <c r="H11" i="7"/>
  <c r="G13" i="6"/>
  <c r="S14" i="8"/>
  <c r="E12" i="8"/>
  <c r="U12" i="8"/>
  <c r="P11" i="8"/>
  <c r="G10" i="8"/>
  <c r="AA10" i="8"/>
  <c r="I14" i="7"/>
  <c r="D15" i="6"/>
  <c r="K13" i="8"/>
  <c r="V12" i="8"/>
  <c r="AB10" i="8"/>
  <c r="J14" i="7"/>
  <c r="X12" i="8"/>
  <c r="Q11" i="8"/>
  <c r="J10" i="8"/>
  <c r="U14" i="8"/>
  <c r="M13" i="8"/>
  <c r="G12" i="8"/>
  <c r="R11" i="8"/>
  <c r="N13" i="7"/>
  <c r="P14" i="7"/>
  <c r="H11" i="8"/>
  <c r="G11" i="6"/>
  <c r="C45" i="4" s="1"/>
  <c r="D45" i="4" s="1"/>
  <c r="W13" i="8"/>
  <c r="I11" i="8"/>
  <c r="I13" i="7"/>
  <c r="O11" i="7"/>
  <c r="F14" i="8"/>
  <c r="V14" i="8"/>
  <c r="Q13" i="8"/>
  <c r="H12" i="8"/>
  <c r="AB12" i="8"/>
  <c r="C52" i="4" s="1"/>
  <c r="D52" i="4" s="1"/>
  <c r="S11" i="8"/>
  <c r="N10" i="8"/>
  <c r="L14" i="7"/>
  <c r="O13" i="7"/>
  <c r="I11" i="7"/>
  <c r="E12" i="6"/>
  <c r="I12" i="8"/>
  <c r="M14" i="7"/>
  <c r="P13" i="7"/>
  <c r="J11" i="7"/>
  <c r="J14" i="8"/>
  <c r="AA11" i="8"/>
  <c r="F11" i="6"/>
  <c r="K14" i="8"/>
  <c r="F13" i="8"/>
  <c r="V13" i="8"/>
  <c r="Q12" i="8"/>
  <c r="S10" i="8"/>
  <c r="G13" i="8"/>
  <c r="R12" i="8"/>
  <c r="D10" i="8"/>
  <c r="T10" i="8"/>
  <c r="L12" i="7"/>
  <c r="G14" i="8"/>
  <c r="W14" i="8"/>
  <c r="R13" i="8"/>
  <c r="D11" i="8"/>
  <c r="T11" i="8"/>
  <c r="O10" i="8"/>
  <c r="F12" i="6"/>
  <c r="H14" i="8"/>
  <c r="X14" i="8"/>
  <c r="S13" i="8"/>
  <c r="J12" i="8"/>
  <c r="E11" i="8"/>
  <c r="U11" i="8"/>
  <c r="P10" i="8"/>
  <c r="N14" i="7"/>
  <c r="H12" i="7"/>
  <c r="K11" i="7"/>
  <c r="G12" i="6"/>
  <c r="C46" i="4" s="1"/>
  <c r="D46" i="4" s="1"/>
  <c r="P12" i="8"/>
  <c r="J12" i="7"/>
  <c r="N11" i="7"/>
  <c r="I14" i="8"/>
  <c r="Z14" i="8"/>
  <c r="T13" i="8"/>
  <c r="L12" i="8"/>
  <c r="F11" i="8"/>
  <c r="W11" i="8"/>
  <c r="Q10" i="8"/>
  <c r="O14" i="7"/>
  <c r="I12" i="7"/>
  <c r="L11" i="7"/>
  <c r="E11" i="6"/>
  <c r="U13" i="8"/>
  <c r="R10" i="8"/>
  <c r="M11" i="7"/>
  <c r="H13" i="7"/>
  <c r="C58" i="11"/>
  <c r="C82" i="11"/>
  <c r="C106" i="11"/>
  <c r="C77" i="7"/>
  <c r="C74" i="7"/>
  <c r="C10" i="11"/>
  <c r="C34" i="11"/>
  <c r="C6" i="7"/>
  <c r="C64" i="8"/>
  <c r="C64" i="6"/>
  <c r="C61" i="6"/>
  <c r="C61" i="8"/>
  <c r="C58" i="6"/>
  <c r="C58" i="8"/>
  <c r="C6" i="6"/>
  <c r="C71" i="7"/>
  <c r="C6" i="8"/>
  <c r="H69" i="7"/>
  <c r="E62" i="7"/>
  <c r="G54" i="8"/>
  <c r="G69" i="8"/>
  <c r="E51" i="6"/>
  <c r="E56" i="6"/>
  <c r="H54" i="8"/>
  <c r="H69" i="8"/>
  <c r="V69" i="8"/>
  <c r="V54" i="8"/>
  <c r="T54" i="8"/>
  <c r="T69" i="8"/>
  <c r="C41" i="11"/>
  <c r="Q69" i="8"/>
  <c r="Q54" i="8"/>
  <c r="E69" i="8"/>
  <c r="E54" i="8"/>
  <c r="I51" i="8"/>
  <c r="Z54" i="8"/>
  <c r="BI100" i="2" a="1"/>
  <c r="BI100" i="2" s="1"/>
  <c r="BI92" i="2" a="1"/>
  <c r="BI92" i="2" s="1"/>
  <c r="BI84" i="2" a="1"/>
  <c r="BI84" i="2" s="1"/>
  <c r="BJ50" i="2" a="1"/>
  <c r="BJ50" i="2" s="1"/>
  <c r="MY4" i="2" a="1"/>
  <c r="MY4" i="2" s="1"/>
  <c r="NE4" i="2" s="1" a="1"/>
  <c r="NE4" i="2" s="1"/>
  <c r="Y54" i="8"/>
  <c r="V56" i="8"/>
  <c r="C18" i="11"/>
  <c r="R69" i="8"/>
  <c r="R54" i="8"/>
  <c r="T56" i="8"/>
  <c r="MW4" i="2" a="1"/>
  <c r="MW4" i="2" s="1"/>
  <c r="NC4" i="2" s="1" a="1"/>
  <c r="NC4" i="2" s="1"/>
  <c r="MX4" i="2" a="1"/>
  <c r="MX4" i="2" s="1"/>
  <c r="ND4" i="2" s="1" a="1"/>
  <c r="ND4" i="2" s="1"/>
  <c r="F51" i="8"/>
  <c r="W54" i="8"/>
  <c r="R56" i="8"/>
  <c r="EB52" i="2"/>
  <c r="L60" i="11"/>
  <c r="R60" i="11"/>
  <c r="M54" i="8"/>
  <c r="M69" i="8"/>
  <c r="C91" i="11"/>
  <c r="EB103" i="2"/>
  <c r="BJ103" i="2" a="1"/>
  <c r="BJ103" i="2" s="1"/>
  <c r="EB102" i="2"/>
  <c r="BJ102" i="2" a="1"/>
  <c r="BJ102" i="2" s="1"/>
  <c r="EB101" i="2"/>
  <c r="BJ101" i="2" a="1"/>
  <c r="BJ101" i="2" s="1"/>
  <c r="BJ100" i="2" a="1"/>
  <c r="BJ100" i="2" s="1"/>
  <c r="EB100" i="2"/>
  <c r="BJ99" i="2" a="1"/>
  <c r="BJ99" i="2" s="1"/>
  <c r="EB99" i="2"/>
  <c r="BJ98" i="2" a="1"/>
  <c r="BJ98" i="2" s="1"/>
  <c r="EB98" i="2"/>
  <c r="EB97" i="2"/>
  <c r="BJ97" i="2" a="1"/>
  <c r="BJ97" i="2" s="1"/>
  <c r="EB96" i="2"/>
  <c r="BJ96" i="2" a="1"/>
  <c r="BJ96" i="2" s="1"/>
  <c r="EB95" i="2"/>
  <c r="BJ95" i="2" a="1"/>
  <c r="BJ95" i="2" s="1"/>
  <c r="EB94" i="2"/>
  <c r="BJ94" i="2" a="1"/>
  <c r="BJ94" i="2" s="1"/>
  <c r="BJ93" i="2" a="1"/>
  <c r="BJ93" i="2" s="1"/>
  <c r="EB93" i="2"/>
  <c r="BJ92" i="2" a="1"/>
  <c r="BJ92" i="2" s="1"/>
  <c r="EB92" i="2"/>
  <c r="EB91" i="2"/>
  <c r="BJ91" i="2" a="1"/>
  <c r="BJ91" i="2" s="1"/>
  <c r="EB90" i="2"/>
  <c r="BJ90" i="2" a="1"/>
  <c r="BJ90" i="2" s="1"/>
  <c r="EB89" i="2"/>
  <c r="BJ89" i="2" a="1"/>
  <c r="BJ89" i="2" s="1"/>
  <c r="BJ88" i="2" a="1"/>
  <c r="BJ88" i="2" s="1"/>
  <c r="EB88" i="2"/>
  <c r="BJ86" i="2" a="1"/>
  <c r="BJ86" i="2" s="1"/>
  <c r="EB86" i="2"/>
  <c r="EB85" i="2"/>
  <c r="BJ85" i="2" a="1"/>
  <c r="BJ85" i="2" s="1"/>
  <c r="EB84" i="2"/>
  <c r="BJ84" i="2" a="1"/>
  <c r="BJ84" i="2" s="1"/>
  <c r="EB83" i="2"/>
  <c r="BJ83" i="2" a="1"/>
  <c r="BJ83" i="2" s="1"/>
  <c r="EB82" i="2"/>
  <c r="BJ82" i="2" a="1"/>
  <c r="BJ82" i="2" s="1"/>
  <c r="EB81" i="2"/>
  <c r="BJ81" i="2" a="1"/>
  <c r="BJ81" i="2" s="1"/>
  <c r="BJ80" i="2" a="1"/>
  <c r="BJ80" i="2" s="1"/>
  <c r="EB80" i="2"/>
  <c r="EB79" i="2"/>
  <c r="BJ79" i="2" a="1"/>
  <c r="BJ79" i="2" s="1"/>
  <c r="EB78" i="2"/>
  <c r="BJ78" i="2" a="1"/>
  <c r="BJ78" i="2" s="1"/>
  <c r="EB77" i="2"/>
  <c r="BJ77" i="2" a="1"/>
  <c r="BJ77" i="2" s="1"/>
  <c r="EB75" i="2"/>
  <c r="BJ75" i="2" a="1"/>
  <c r="BJ75" i="2" s="1"/>
  <c r="EB74" i="2"/>
  <c r="BJ74" i="2" a="1"/>
  <c r="BJ74" i="2" s="1"/>
  <c r="BJ73" i="2" a="1"/>
  <c r="BJ73" i="2" s="1"/>
  <c r="EB73" i="2"/>
  <c r="EB72" i="2"/>
  <c r="BJ72" i="2" a="1"/>
  <c r="BJ72" i="2" s="1"/>
  <c r="EB71" i="2"/>
  <c r="BJ71" i="2" a="1"/>
  <c r="BJ71" i="2" s="1"/>
  <c r="EB70" i="2"/>
  <c r="BJ70" i="2" a="1"/>
  <c r="BJ70" i="2" s="1"/>
  <c r="EB69" i="2"/>
  <c r="BJ69" i="2" a="1"/>
  <c r="BJ69" i="2" s="1"/>
  <c r="EB68" i="2"/>
  <c r="BJ68" i="2" a="1"/>
  <c r="BJ68" i="2" s="1"/>
  <c r="EB67" i="2"/>
  <c r="BJ67" i="2" a="1"/>
  <c r="BJ67" i="2" s="1"/>
  <c r="EB66" i="2"/>
  <c r="BJ66" i="2" a="1"/>
  <c r="BJ66" i="2" s="1"/>
  <c r="BJ65" i="2" a="1"/>
  <c r="BJ65" i="2" s="1"/>
  <c r="EB65" i="2"/>
  <c r="EB64" i="2"/>
  <c r="BJ64" i="2" a="1"/>
  <c r="BJ64" i="2" s="1"/>
  <c r="EB63" i="2"/>
  <c r="BJ63" i="2" a="1"/>
  <c r="BJ63" i="2" s="1"/>
  <c r="EB62" i="2"/>
  <c r="BJ62" i="2" a="1"/>
  <c r="BJ62" i="2" s="1"/>
  <c r="EB61" i="2"/>
  <c r="BJ61" i="2" a="1"/>
  <c r="BJ61" i="2" s="1"/>
  <c r="EB60" i="2"/>
  <c r="BJ60" i="2" a="1"/>
  <c r="BJ60" i="2" s="1"/>
  <c r="EB59" i="2"/>
  <c r="BJ59" i="2" a="1"/>
  <c r="BJ59" i="2" s="1"/>
  <c r="EB58" i="2"/>
  <c r="BJ58" i="2" a="1"/>
  <c r="BJ58" i="2" s="1"/>
  <c r="EB57" i="2"/>
  <c r="BJ57" i="2" a="1"/>
  <c r="BJ57" i="2" s="1"/>
  <c r="BJ56" i="2" a="1"/>
  <c r="BJ56" i="2" s="1"/>
  <c r="EB56" i="2"/>
  <c r="EB55" i="2"/>
  <c r="BJ55" i="2" a="1"/>
  <c r="BJ55" i="2" s="1"/>
  <c r="EB54" i="2"/>
  <c r="BJ54" i="2" a="1"/>
  <c r="BJ54" i="2" s="1"/>
  <c r="EB53" i="2"/>
  <c r="BJ53" i="2" a="1"/>
  <c r="BJ53" i="2" s="1"/>
  <c r="EB51" i="2"/>
  <c r="BJ51" i="2" a="1"/>
  <c r="BJ51" i="2" s="1"/>
  <c r="BJ49" i="2" a="1"/>
  <c r="BJ49" i="2" s="1"/>
  <c r="EB49" i="2"/>
  <c r="BJ48" i="2" a="1"/>
  <c r="BJ48" i="2" s="1"/>
  <c r="EB48" i="2"/>
  <c r="EB47" i="2"/>
  <c r="BJ47" i="2" a="1"/>
  <c r="BJ47" i="2" s="1"/>
  <c r="EB46" i="2"/>
  <c r="BJ46" i="2" a="1"/>
  <c r="BJ46" i="2" s="1"/>
  <c r="EB45" i="2"/>
  <c r="BJ45" i="2" a="1"/>
  <c r="BJ45" i="2" s="1"/>
  <c r="BJ44" i="2" a="1"/>
  <c r="BJ44" i="2" s="1"/>
  <c r="EB44" i="2"/>
  <c r="EB43" i="2"/>
  <c r="BJ43" i="2" a="1"/>
  <c r="BJ43" i="2" s="1"/>
  <c r="EB42" i="2"/>
  <c r="BJ42" i="2" a="1"/>
  <c r="BJ42" i="2" s="1"/>
  <c r="BJ41" i="2" a="1"/>
  <c r="BJ41" i="2" s="1"/>
  <c r="EB41" i="2"/>
  <c r="BJ40" i="2" a="1"/>
  <c r="BJ40" i="2" s="1"/>
  <c r="EB40" i="2"/>
  <c r="EB39" i="2"/>
  <c r="BJ39" i="2" a="1"/>
  <c r="BJ39" i="2" s="1"/>
  <c r="EB38" i="2"/>
  <c r="BJ38" i="2" a="1"/>
  <c r="BJ38" i="2" s="1"/>
  <c r="EB37" i="2"/>
  <c r="BJ37" i="2" a="1"/>
  <c r="BJ37" i="2" s="1"/>
  <c r="EB36" i="2"/>
  <c r="BJ36" i="2" a="1"/>
  <c r="BJ36" i="2" s="1"/>
  <c r="EB35" i="2"/>
  <c r="BJ35" i="2" a="1"/>
  <c r="BJ35" i="2" s="1"/>
  <c r="EB34" i="2"/>
  <c r="BJ34" i="2" a="1"/>
  <c r="BJ34" i="2" s="1"/>
  <c r="BJ33" i="2" a="1"/>
  <c r="BJ33" i="2" s="1"/>
  <c r="EB33" i="2"/>
  <c r="BJ32" i="2" a="1"/>
  <c r="BJ32" i="2" s="1"/>
  <c r="EB32" i="2"/>
  <c r="EB31" i="2"/>
  <c r="BJ31" i="2" a="1"/>
  <c r="BJ31" i="2" s="1"/>
  <c r="EB30" i="2"/>
  <c r="BJ30" i="2" a="1"/>
  <c r="BJ30" i="2" s="1"/>
  <c r="BJ29" i="2" a="1"/>
  <c r="BJ29" i="2" s="1"/>
  <c r="EB29" i="2"/>
  <c r="BJ28" i="2" a="1"/>
  <c r="BJ28" i="2" s="1"/>
  <c r="EB28" i="2"/>
  <c r="EB27" i="2"/>
  <c r="BJ27" i="2" a="1"/>
  <c r="BJ27" i="2" s="1"/>
  <c r="EB26" i="2"/>
  <c r="BJ26" i="2" a="1"/>
  <c r="BJ26" i="2" s="1"/>
  <c r="BJ25" i="2" a="1"/>
  <c r="BJ25" i="2" s="1"/>
  <c r="EB25" i="2"/>
  <c r="BJ24" i="2" a="1"/>
  <c r="BJ24" i="2" s="1"/>
  <c r="EB24" i="2"/>
  <c r="EB23" i="2"/>
  <c r="BJ23" i="2" a="1"/>
  <c r="BJ23" i="2" s="1"/>
  <c r="EB22" i="2"/>
  <c r="BJ22" i="2" a="1"/>
  <c r="BJ22" i="2" s="1"/>
  <c r="BJ21" i="2" a="1"/>
  <c r="BJ21" i="2" s="1"/>
  <c r="EB21" i="2"/>
  <c r="BJ20" i="2" a="1"/>
  <c r="BJ20" i="2" s="1"/>
  <c r="EB20" i="2"/>
  <c r="EB19" i="2"/>
  <c r="BJ19" i="2" a="1"/>
  <c r="BJ19" i="2" s="1"/>
  <c r="EB18" i="2"/>
  <c r="BJ18" i="2" a="1"/>
  <c r="BJ18" i="2" s="1"/>
  <c r="BJ17" i="2" a="1"/>
  <c r="BJ17" i="2" s="1"/>
  <c r="EB17" i="2"/>
  <c r="EB16" i="2"/>
  <c r="BJ16" i="2" a="1"/>
  <c r="BJ16" i="2" s="1"/>
  <c r="EB15" i="2"/>
  <c r="BJ15" i="2" a="1"/>
  <c r="BJ15" i="2" s="1"/>
  <c r="BJ14" i="2" a="1"/>
  <c r="BJ14" i="2" s="1"/>
  <c r="EB14" i="2"/>
  <c r="EB13" i="2"/>
  <c r="BJ13" i="2" a="1"/>
  <c r="BJ13" i="2" s="1"/>
  <c r="EB12" i="2"/>
  <c r="BJ12" i="2" a="1"/>
  <c r="BJ12" i="2" s="1"/>
  <c r="EB11" i="2"/>
  <c r="BJ11" i="2" a="1"/>
  <c r="BJ11" i="2" s="1"/>
  <c r="EB10" i="2"/>
  <c r="BJ10" i="2" a="1"/>
  <c r="BJ10" i="2" s="1"/>
  <c r="EB9" i="2"/>
  <c r="BJ9" i="2" a="1"/>
  <c r="BJ9" i="2" s="1"/>
  <c r="EB8" i="2"/>
  <c r="BJ8" i="2" a="1"/>
  <c r="BJ8" i="2" s="1"/>
  <c r="EB7" i="2"/>
  <c r="BJ7" i="2" a="1"/>
  <c r="BJ7" i="2" s="1"/>
  <c r="EB6" i="2"/>
  <c r="BJ6" i="2" a="1"/>
  <c r="BJ6" i="2" s="1"/>
  <c r="EB5" i="2"/>
  <c r="BJ5" i="2" a="1"/>
  <c r="BJ5" i="2" s="1"/>
  <c r="EB4" i="2"/>
  <c r="BJ4" i="2" a="1"/>
  <c r="BJ4" i="2" s="1"/>
  <c r="BI56" i="2" a="1"/>
  <c r="BI56" i="2" s="1"/>
  <c r="BI5" i="2" a="1"/>
  <c r="BI5" i="2" s="1"/>
  <c r="EA52" i="2"/>
  <c r="EA103" i="2"/>
  <c r="BI103" i="2" a="1"/>
  <c r="BI103" i="2" s="1"/>
  <c r="EA99" i="2"/>
  <c r="BI99" i="2" a="1"/>
  <c r="BI99" i="2" s="1"/>
  <c r="EA95" i="2"/>
  <c r="BI95" i="2" a="1"/>
  <c r="BI95" i="2" s="1"/>
  <c r="EA91" i="2"/>
  <c r="BI91" i="2" a="1"/>
  <c r="BI91" i="2" s="1"/>
  <c r="BI80" i="2" a="1"/>
  <c r="BI80" i="2" s="1"/>
  <c r="EA80" i="2"/>
  <c r="BI77" i="2" a="1"/>
  <c r="BI77" i="2" s="1"/>
  <c r="EA77" i="2"/>
  <c r="BI72" i="2" a="1"/>
  <c r="BI72" i="2" s="1"/>
  <c r="EA72" i="2"/>
  <c r="BI68" i="2" a="1"/>
  <c r="BI68" i="2" s="1"/>
  <c r="EA68" i="2"/>
  <c r="BI65" i="2" a="1"/>
  <c r="BI65" i="2" s="1"/>
  <c r="EA65" i="2"/>
  <c r="BI60" i="2" a="1"/>
  <c r="BI60" i="2" s="1"/>
  <c r="EA60" i="2"/>
  <c r="EA58" i="2"/>
  <c r="BI58" i="2" a="1"/>
  <c r="BI58" i="2" s="1"/>
  <c r="EA55" i="2"/>
  <c r="BI55" i="2" a="1"/>
  <c r="BI55" i="2" s="1"/>
  <c r="EA50" i="2"/>
  <c r="BI50" i="2" a="1"/>
  <c r="BI50" i="2" s="1"/>
  <c r="BI37" i="2" a="1"/>
  <c r="BI37" i="2" s="1"/>
  <c r="EA37" i="2"/>
  <c r="EA32" i="2"/>
  <c r="BI32" i="2" a="1"/>
  <c r="BI32" i="2" s="1"/>
  <c r="EA28" i="2"/>
  <c r="BI28" i="2" a="1"/>
  <c r="BI28" i="2" s="1"/>
  <c r="BI24" i="2" a="1"/>
  <c r="BI24" i="2" s="1"/>
  <c r="EA24" i="2"/>
  <c r="EA22" i="2"/>
  <c r="BI22" i="2" a="1"/>
  <c r="BI22" i="2" s="1"/>
  <c r="BI18" i="2" a="1"/>
  <c r="BI18" i="2" s="1"/>
  <c r="EA18" i="2"/>
  <c r="BI17" i="2" a="1"/>
  <c r="BI17" i="2" s="1"/>
  <c r="EA17" i="2"/>
  <c r="BI14" i="2" a="1"/>
  <c r="BI14" i="2" s="1"/>
  <c r="EA14" i="2"/>
  <c r="EA12" i="2"/>
  <c r="BI12" i="2" a="1"/>
  <c r="BI12" i="2" s="1"/>
  <c r="EA11" i="2"/>
  <c r="BI11" i="2" a="1"/>
  <c r="BI11" i="2" s="1"/>
  <c r="EA10" i="2"/>
  <c r="BI10" i="2" a="1"/>
  <c r="BI10" i="2" s="1"/>
  <c r="EA7" i="2"/>
  <c r="BI7" i="2" a="1"/>
  <c r="BI7" i="2" s="1"/>
  <c r="EA6" i="2"/>
  <c r="BI6" i="2" a="1"/>
  <c r="BI6" i="2" s="1"/>
  <c r="EA4" i="2"/>
  <c r="BI4" i="2" a="1"/>
  <c r="BI4" i="2" s="1"/>
  <c r="EA102" i="2"/>
  <c r="BI102" i="2" a="1"/>
  <c r="BI102" i="2" s="1"/>
  <c r="EA93" i="2"/>
  <c r="BI93" i="2" a="1"/>
  <c r="BI93" i="2" s="1"/>
  <c r="EA90" i="2"/>
  <c r="BI90" i="2" a="1"/>
  <c r="BI90" i="2" s="1"/>
  <c r="EA87" i="2"/>
  <c r="BI87" i="2" a="1"/>
  <c r="BI87" i="2" s="1"/>
  <c r="EA85" i="2"/>
  <c r="BI85" i="2" a="1"/>
  <c r="BI85" i="2" s="1"/>
  <c r="BI81" i="2" a="1"/>
  <c r="BI81" i="2" s="1"/>
  <c r="EA81" i="2"/>
  <c r="BI76" i="2" a="1"/>
  <c r="BI76" i="2" s="1"/>
  <c r="EA76" i="2"/>
  <c r="EA71" i="2"/>
  <c r="BI71" i="2" a="1"/>
  <c r="BI71" i="2" s="1"/>
  <c r="EA67" i="2"/>
  <c r="BI67" i="2" a="1"/>
  <c r="BI67" i="2" s="1"/>
  <c r="EA62" i="2"/>
  <c r="BI62" i="2" a="1"/>
  <c r="BI62" i="2" s="1"/>
  <c r="EA53" i="2"/>
  <c r="BI53" i="2" a="1"/>
  <c r="BI53" i="2" s="1"/>
  <c r="BI49" i="2" a="1"/>
  <c r="BI49" i="2" s="1"/>
  <c r="EA49" i="2"/>
  <c r="BI45" i="2" a="1"/>
  <c r="BI45" i="2" s="1"/>
  <c r="EA45" i="2"/>
  <c r="BI41" i="2" a="1"/>
  <c r="BI41" i="2" s="1"/>
  <c r="EA41" i="2"/>
  <c r="EA38" i="2"/>
  <c r="BI38" i="2" a="1"/>
  <c r="BI38" i="2" s="1"/>
  <c r="EA34" i="2"/>
  <c r="BI34" i="2" a="1"/>
  <c r="BI34" i="2" s="1"/>
  <c r="EA29" i="2"/>
  <c r="BI29" i="2" a="1"/>
  <c r="BI29" i="2" s="1"/>
  <c r="BI25" i="2" a="1"/>
  <c r="BI25" i="2" s="1"/>
  <c r="EA25" i="2"/>
  <c r="BI21" i="2" a="1"/>
  <c r="BI21" i="2" s="1"/>
  <c r="EA21" i="2"/>
  <c r="EA16" i="2"/>
  <c r="BI16" i="2" a="1"/>
  <c r="BI16" i="2" s="1"/>
  <c r="EA9" i="2"/>
  <c r="BI9" i="2" a="1"/>
  <c r="BI9" i="2" s="1"/>
  <c r="X51" i="8"/>
  <c r="X53" i="8"/>
  <c r="L54" i="8"/>
  <c r="BI96" i="2" a="1"/>
  <c r="BI96" i="2" s="1"/>
  <c r="BI88" i="2" a="1"/>
  <c r="BI88" i="2" s="1"/>
  <c r="EA101" i="2"/>
  <c r="BI101" i="2" a="1"/>
  <c r="BI101" i="2" s="1"/>
  <c r="EA98" i="2"/>
  <c r="BI98" i="2" a="1"/>
  <c r="BI98" i="2" s="1"/>
  <c r="EA89" i="2"/>
  <c r="BI89" i="2" a="1"/>
  <c r="BI89" i="2" s="1"/>
  <c r="EA83" i="2"/>
  <c r="BI83" i="2" a="1"/>
  <c r="BI83" i="2" s="1"/>
  <c r="EA79" i="2"/>
  <c r="BI79" i="2" a="1"/>
  <c r="BI79" i="2" s="1"/>
  <c r="EA74" i="2"/>
  <c r="BI74" i="2" a="1"/>
  <c r="BI74" i="2" s="1"/>
  <c r="EA70" i="2"/>
  <c r="BI70" i="2" a="1"/>
  <c r="BI70" i="2" s="1"/>
  <c r="BI64" i="2" a="1"/>
  <c r="BI64" i="2" s="1"/>
  <c r="EA64" i="2"/>
  <c r="EA47" i="2"/>
  <c r="BI47" i="2" a="1"/>
  <c r="BI47" i="2" s="1"/>
  <c r="BI44" i="2" a="1"/>
  <c r="BI44" i="2" s="1"/>
  <c r="EA44" i="2"/>
  <c r="EA40" i="2"/>
  <c r="BI40" i="2" a="1"/>
  <c r="BI40" i="2" s="1"/>
  <c r="EA35" i="2"/>
  <c r="BI35" i="2" a="1"/>
  <c r="BI35" i="2" s="1"/>
  <c r="EA31" i="2"/>
  <c r="BI31" i="2" a="1"/>
  <c r="BI31" i="2" s="1"/>
  <c r="EA26" i="2"/>
  <c r="BI26" i="2" a="1"/>
  <c r="BI26" i="2" s="1"/>
  <c r="BI20" i="2" a="1"/>
  <c r="BI20" i="2" s="1"/>
  <c r="EA20" i="2"/>
  <c r="BI15" i="2" a="1"/>
  <c r="BI15" i="2" s="1"/>
  <c r="EA15" i="2"/>
  <c r="EA8" i="2"/>
  <c r="BI8" i="2" a="1"/>
  <c r="BI8" i="2" s="1"/>
  <c r="MZ4" i="2" a="1"/>
  <c r="MZ4" i="2" s="1"/>
  <c r="NF4" i="2" s="1" a="1"/>
  <c r="NF4" i="2" s="1"/>
  <c r="J51" i="8"/>
  <c r="U51" i="8"/>
  <c r="S69" i="8"/>
  <c r="K54" i="8"/>
  <c r="C112" i="11"/>
  <c r="BI42" i="2" a="1"/>
  <c r="BI42" i="2" s="1"/>
  <c r="H56" i="8"/>
  <c r="EA97" i="2"/>
  <c r="BI97" i="2" a="1"/>
  <c r="BI97" i="2" s="1"/>
  <c r="EA94" i="2"/>
  <c r="BI94" i="2" a="1"/>
  <c r="BI94" i="2" s="1"/>
  <c r="EA86" i="2"/>
  <c r="BI86" i="2" a="1"/>
  <c r="BI86" i="2" s="1"/>
  <c r="EA82" i="2"/>
  <c r="BI82" i="2" a="1"/>
  <c r="BI82" i="2" s="1"/>
  <c r="EA78" i="2"/>
  <c r="BI78" i="2" a="1"/>
  <c r="BI78" i="2" s="1"/>
  <c r="EA75" i="2"/>
  <c r="BI75" i="2" a="1"/>
  <c r="BI75" i="2" s="1"/>
  <c r="BI73" i="2" a="1"/>
  <c r="BI73" i="2" s="1"/>
  <c r="EA73" i="2"/>
  <c r="BI69" i="2" a="1"/>
  <c r="BI69" i="2" s="1"/>
  <c r="EA69" i="2"/>
  <c r="EA66" i="2"/>
  <c r="BI66" i="2" a="1"/>
  <c r="BI66" i="2" s="1"/>
  <c r="EA63" i="2"/>
  <c r="BI63" i="2" a="1"/>
  <c r="BI63" i="2" s="1"/>
  <c r="BI61" i="2" a="1"/>
  <c r="BI61" i="2" s="1"/>
  <c r="EA61" i="2"/>
  <c r="EA59" i="2"/>
  <c r="BI59" i="2" a="1"/>
  <c r="BI59" i="2" s="1"/>
  <c r="BI57" i="2" a="1"/>
  <c r="BI57" i="2" s="1"/>
  <c r="EA57" i="2"/>
  <c r="EA54" i="2"/>
  <c r="BI54" i="2" a="1"/>
  <c r="BI54" i="2" s="1"/>
  <c r="EA51" i="2"/>
  <c r="BI51" i="2" a="1"/>
  <c r="BI51" i="2" s="1"/>
  <c r="EA48" i="2"/>
  <c r="BI48" i="2" a="1"/>
  <c r="BI48" i="2" s="1"/>
  <c r="EA46" i="2"/>
  <c r="BI46" i="2" a="1"/>
  <c r="BI46" i="2" s="1"/>
  <c r="EA43" i="2"/>
  <c r="BI43" i="2" a="1"/>
  <c r="BI43" i="2" s="1"/>
  <c r="EA39" i="2"/>
  <c r="BI39" i="2" a="1"/>
  <c r="BI39" i="2" s="1"/>
  <c r="EA36" i="2"/>
  <c r="BI36" i="2" a="1"/>
  <c r="BI36" i="2" s="1"/>
  <c r="EA33" i="2"/>
  <c r="BI33" i="2" a="1"/>
  <c r="BI33" i="2" s="1"/>
  <c r="EA30" i="2"/>
  <c r="BI30" i="2" a="1"/>
  <c r="BI30" i="2" s="1"/>
  <c r="EA27" i="2"/>
  <c r="BI27" i="2" a="1"/>
  <c r="BI27" i="2" s="1"/>
  <c r="EA23" i="2"/>
  <c r="BI23" i="2" a="1"/>
  <c r="BI23" i="2" s="1"/>
  <c r="EA19" i="2"/>
  <c r="BI19" i="2" a="1"/>
  <c r="BI19" i="2" s="1"/>
  <c r="EA13" i="2"/>
  <c r="BI13" i="2" a="1"/>
  <c r="BI13" i="2" s="1"/>
  <c r="E3" i="2"/>
  <c r="F3" i="2" s="1"/>
  <c r="V53" i="8"/>
  <c r="J53" i="8"/>
  <c r="M53" i="8"/>
  <c r="AB51" i="8"/>
  <c r="P51" i="8"/>
  <c r="D51" i="8"/>
  <c r="E5" i="4" s="1" a="1"/>
  <c r="E5" i="4" s="1"/>
  <c r="P56" i="8"/>
  <c r="L36" i="11"/>
  <c r="R36" i="11"/>
  <c r="BL63" i="2" a="1"/>
  <c r="BL63" i="2" s="1"/>
  <c r="BN57" i="2" a="1"/>
  <c r="BN57" i="2" s="1"/>
  <c r="BN41" i="2" a="1"/>
  <c r="BN41" i="2" s="1"/>
  <c r="BK37" i="2" a="1"/>
  <c r="BK37" i="2" s="1"/>
  <c r="BL27" i="2" a="1"/>
  <c r="BL27" i="2" s="1"/>
  <c r="ED20" i="2"/>
  <c r="O51" i="8"/>
  <c r="C65" i="11"/>
  <c r="BK79" i="2" a="1"/>
  <c r="BK79" i="2" s="1"/>
  <c r="BL61" i="2" a="1"/>
  <c r="BL61" i="2" s="1"/>
  <c r="BL55" i="2" a="1"/>
  <c r="BL55" i="2" s="1"/>
  <c r="BK45" i="2" a="1"/>
  <c r="BK45" i="2" s="1"/>
  <c r="BK8" i="2" a="1"/>
  <c r="BK8" i="2" s="1"/>
  <c r="ED93" i="2"/>
  <c r="EF70" i="2"/>
  <c r="AB56" i="8"/>
  <c r="BN102" i="2" a="1"/>
  <c r="BN102" i="2" s="1"/>
  <c r="BN98" i="2" a="1"/>
  <c r="BN98" i="2" s="1"/>
  <c r="BN94" i="2" a="1"/>
  <c r="BN94" i="2" s="1"/>
  <c r="BN90" i="2" a="1"/>
  <c r="BN90" i="2" s="1"/>
  <c r="BN86" i="2" a="1"/>
  <c r="BN86" i="2" s="1"/>
  <c r="BN82" i="2" a="1"/>
  <c r="BN82" i="2" s="1"/>
  <c r="BL59" i="2" a="1"/>
  <c r="BL59" i="2" s="1"/>
  <c r="BK47" i="2" a="1"/>
  <c r="BK47" i="2" s="1"/>
  <c r="BK27" i="2" a="1"/>
  <c r="BK27" i="2" s="1"/>
  <c r="EC93" i="2"/>
  <c r="ED8" i="2"/>
  <c r="AA51" i="8"/>
  <c r="BN75" i="2" a="1"/>
  <c r="BN75" i="2" s="1"/>
  <c r="BL57" i="2" a="1"/>
  <c r="BL57" i="2" s="1"/>
  <c r="BN36" i="2" a="1"/>
  <c r="BN36" i="2" s="1"/>
  <c r="EF38" i="2"/>
  <c r="BL77" i="2" a="1"/>
  <c r="BL77" i="2" s="1"/>
  <c r="BL38" i="2" a="1"/>
  <c r="BL38" i="2" s="1"/>
  <c r="BL26" i="2" a="1"/>
  <c r="BL26" i="2" s="1"/>
  <c r="EF80" i="2"/>
  <c r="BN80" i="2" a="1"/>
  <c r="BN80" i="2" s="1"/>
  <c r="EF79" i="2"/>
  <c r="BN79" i="2" a="1"/>
  <c r="BN79" i="2" s="1"/>
  <c r="EF76" i="2"/>
  <c r="BN76" i="2" a="1"/>
  <c r="BN76" i="2" s="1"/>
  <c r="EF74" i="2"/>
  <c r="BN74" i="2" a="1"/>
  <c r="BN74" i="2" s="1"/>
  <c r="EF72" i="2"/>
  <c r="BN72" i="2" a="1"/>
  <c r="BN72" i="2" s="1"/>
  <c r="EF68" i="2"/>
  <c r="BN68" i="2" a="1"/>
  <c r="BN68" i="2" s="1"/>
  <c r="EF64" i="2"/>
  <c r="BN64" i="2" a="1"/>
  <c r="BN64" i="2" s="1"/>
  <c r="BN62" i="2" a="1"/>
  <c r="BN62" i="2" s="1"/>
  <c r="EF62" i="2"/>
  <c r="EF60" i="2"/>
  <c r="BN60" i="2" a="1"/>
  <c r="BN60" i="2" s="1"/>
  <c r="BN58" i="2" a="1"/>
  <c r="BN58" i="2" s="1"/>
  <c r="EF58" i="2"/>
  <c r="EF56" i="2"/>
  <c r="BN56" i="2" a="1"/>
  <c r="BN56" i="2" s="1"/>
  <c r="EF55" i="2"/>
  <c r="BN55" i="2" a="1"/>
  <c r="BN55" i="2" s="1"/>
  <c r="EF53" i="2"/>
  <c r="BN53" i="2" a="1"/>
  <c r="BN53" i="2" s="1"/>
  <c r="EF52" i="2"/>
  <c r="BN52" i="2" a="1"/>
  <c r="BN52" i="2" s="1"/>
  <c r="EF51" i="2"/>
  <c r="BN51" i="2" a="1"/>
  <c r="BN51" i="2" s="1"/>
  <c r="EF50" i="2"/>
  <c r="BN50" i="2" a="1"/>
  <c r="BN50" i="2" s="1"/>
  <c r="BN49" i="2" a="1"/>
  <c r="BN49" i="2" s="1"/>
  <c r="EF49" i="2"/>
  <c r="EF48" i="2"/>
  <c r="BN48" i="2" a="1"/>
  <c r="BN48" i="2" s="1"/>
  <c r="EF47" i="2"/>
  <c r="BN47" i="2" a="1"/>
  <c r="BN47" i="2" s="1"/>
  <c r="BN46" i="2" a="1"/>
  <c r="BN46" i="2" s="1"/>
  <c r="EF46" i="2"/>
  <c r="EF44" i="2"/>
  <c r="BN44" i="2" a="1"/>
  <c r="BN44" i="2" s="1"/>
  <c r="EF43" i="2"/>
  <c r="BN43" i="2" a="1"/>
  <c r="BN43" i="2" s="1"/>
  <c r="EF42" i="2"/>
  <c r="BN42" i="2" a="1"/>
  <c r="BN42" i="2" s="1"/>
  <c r="EF40" i="2"/>
  <c r="BN40" i="2" a="1"/>
  <c r="BN40" i="2" s="1"/>
  <c r="EF39" i="2"/>
  <c r="BN39" i="2" a="1"/>
  <c r="BN39" i="2" s="1"/>
  <c r="BN37" i="2" a="1"/>
  <c r="BN37" i="2" s="1"/>
  <c r="EF37" i="2"/>
  <c r="EF35" i="2"/>
  <c r="BN35" i="2" a="1"/>
  <c r="BN35" i="2" s="1"/>
  <c r="EF32" i="2"/>
  <c r="BN32" i="2" a="1"/>
  <c r="BN32" i="2" s="1"/>
  <c r="BN29" i="2" a="1"/>
  <c r="BN29" i="2" s="1"/>
  <c r="EF29" i="2"/>
  <c r="EF28" i="2"/>
  <c r="BN28" i="2" a="1"/>
  <c r="BN28" i="2" s="1"/>
  <c r="BN27" i="2" a="1"/>
  <c r="BN27" i="2" s="1"/>
  <c r="EF27" i="2"/>
  <c r="BN26" i="2" a="1"/>
  <c r="BN26" i="2" s="1"/>
  <c r="EF26" i="2"/>
  <c r="BN103" i="2" a="1"/>
  <c r="BN103" i="2" s="1"/>
  <c r="BN99" i="2" a="1"/>
  <c r="BN99" i="2" s="1"/>
  <c r="BN95" i="2" a="1"/>
  <c r="BN95" i="2" s="1"/>
  <c r="BN91" i="2" a="1"/>
  <c r="BN91" i="2" s="1"/>
  <c r="BN87" i="2" a="1"/>
  <c r="BN87" i="2" s="1"/>
  <c r="BN83" i="2" a="1"/>
  <c r="BN83" i="2" s="1"/>
  <c r="BN71" i="2" a="1"/>
  <c r="BN71" i="2" s="1"/>
  <c r="BN31" i="2" a="1"/>
  <c r="BN31" i="2" s="1"/>
  <c r="ED48" i="2"/>
  <c r="BL75" i="2" a="1"/>
  <c r="BL75" i="2" s="1"/>
  <c r="BN69" i="2" a="1"/>
  <c r="BN69" i="2" s="1"/>
  <c r="BK11" i="2" a="1"/>
  <c r="BK11" i="2" s="1"/>
  <c r="ED103" i="2"/>
  <c r="BL103" i="2" a="1"/>
  <c r="BL103" i="2" s="1"/>
  <c r="ED102" i="2"/>
  <c r="BL102" i="2" a="1"/>
  <c r="BL102" i="2" s="1"/>
  <c r="ED101" i="2"/>
  <c r="BL101" i="2" a="1"/>
  <c r="BL101" i="2" s="1"/>
  <c r="ED100" i="2"/>
  <c r="BL100" i="2" a="1"/>
  <c r="BL100" i="2" s="1"/>
  <c r="ED98" i="2"/>
  <c r="BL98" i="2" a="1"/>
  <c r="BL98" i="2" s="1"/>
  <c r="ED97" i="2"/>
  <c r="BL97" i="2" a="1"/>
  <c r="BL97" i="2" s="1"/>
  <c r="ED96" i="2"/>
  <c r="BL96" i="2" a="1"/>
  <c r="BL96" i="2" s="1"/>
  <c r="ED95" i="2"/>
  <c r="BL95" i="2" a="1"/>
  <c r="BL95" i="2" s="1"/>
  <c r="ED94" i="2"/>
  <c r="BL94" i="2" a="1"/>
  <c r="BL94" i="2" s="1"/>
  <c r="ED92" i="2"/>
  <c r="BL92" i="2" a="1"/>
  <c r="BL92" i="2" s="1"/>
  <c r="ED91" i="2"/>
  <c r="BL91" i="2" a="1"/>
  <c r="BL91" i="2" s="1"/>
  <c r="ED90" i="2"/>
  <c r="BL90" i="2" a="1"/>
  <c r="BL90" i="2" s="1"/>
  <c r="ED89" i="2"/>
  <c r="BL89" i="2" a="1"/>
  <c r="BL89" i="2" s="1"/>
  <c r="ED88" i="2"/>
  <c r="BL88" i="2" a="1"/>
  <c r="BL88" i="2" s="1"/>
  <c r="ED87" i="2"/>
  <c r="BL87" i="2" a="1"/>
  <c r="BL87" i="2" s="1"/>
  <c r="ED86" i="2"/>
  <c r="BL86" i="2" a="1"/>
  <c r="BL86" i="2" s="1"/>
  <c r="ED85" i="2"/>
  <c r="BL85" i="2" a="1"/>
  <c r="BL85" i="2" s="1"/>
  <c r="ED84" i="2"/>
  <c r="BL84" i="2" a="1"/>
  <c r="BL84" i="2" s="1"/>
  <c r="BL83" i="2" a="1"/>
  <c r="BL83" i="2" s="1"/>
  <c r="ED83" i="2"/>
  <c r="ED82" i="2"/>
  <c r="BL82" i="2" a="1"/>
  <c r="BL82" i="2" s="1"/>
  <c r="ED81" i="2"/>
  <c r="BL81" i="2" a="1"/>
  <c r="BL81" i="2" s="1"/>
  <c r="ED79" i="2"/>
  <c r="BL79" i="2" a="1"/>
  <c r="BL79" i="2" s="1"/>
  <c r="ED78" i="2"/>
  <c r="BL78" i="2" a="1"/>
  <c r="BL78" i="2" s="1"/>
  <c r="BL76" i="2" a="1"/>
  <c r="BL76" i="2" s="1"/>
  <c r="ED76" i="2"/>
  <c r="ED74" i="2"/>
  <c r="BL74" i="2" a="1"/>
  <c r="BL74" i="2" s="1"/>
  <c r="BL72" i="2" a="1"/>
  <c r="BL72" i="2" s="1"/>
  <c r="ED72" i="2"/>
  <c r="ED70" i="2"/>
  <c r="BL70" i="2" a="1"/>
  <c r="BL70" i="2" s="1"/>
  <c r="BL68" i="2" a="1"/>
  <c r="BL68" i="2" s="1"/>
  <c r="ED68" i="2"/>
  <c r="ED66" i="2"/>
  <c r="BL66" i="2" a="1"/>
  <c r="BL66" i="2" s="1"/>
  <c r="BL64" i="2" a="1"/>
  <c r="BL64" i="2" s="1"/>
  <c r="ED64" i="2"/>
  <c r="ED62" i="2"/>
  <c r="BL62" i="2" a="1"/>
  <c r="BL62" i="2" s="1"/>
  <c r="ED60" i="2"/>
  <c r="BL60" i="2" a="1"/>
  <c r="BL60" i="2" s="1"/>
  <c r="ED58" i="2"/>
  <c r="BL58" i="2" a="1"/>
  <c r="BL58" i="2" s="1"/>
  <c r="BL56" i="2" a="1"/>
  <c r="BL56" i="2" s="1"/>
  <c r="ED56" i="2"/>
  <c r="ED54" i="2"/>
  <c r="BL54" i="2" a="1"/>
  <c r="BL54" i="2" s="1"/>
  <c r="ED53" i="2"/>
  <c r="BL53" i="2" a="1"/>
  <c r="BL53" i="2" s="1"/>
  <c r="ED51" i="2"/>
  <c r="BL51" i="2" a="1"/>
  <c r="BL51" i="2" s="1"/>
  <c r="ED50" i="2"/>
  <c r="BL50" i="2" a="1"/>
  <c r="BL50" i="2" s="1"/>
  <c r="ED49" i="2"/>
  <c r="BL49" i="2" a="1"/>
  <c r="BL49" i="2" s="1"/>
  <c r="ED47" i="2"/>
  <c r="BL47" i="2" a="1"/>
  <c r="BL47" i="2" s="1"/>
  <c r="ED46" i="2"/>
  <c r="BL46" i="2" a="1"/>
  <c r="BL46" i="2" s="1"/>
  <c r="ED45" i="2"/>
  <c r="BL45" i="2" a="1"/>
  <c r="BL45" i="2" s="1"/>
  <c r="BL44" i="2" a="1"/>
  <c r="BL44" i="2" s="1"/>
  <c r="ED44" i="2"/>
  <c r="ED43" i="2"/>
  <c r="BL43" i="2" a="1"/>
  <c r="BL43" i="2" s="1"/>
  <c r="ED42" i="2"/>
  <c r="BL42" i="2" a="1"/>
  <c r="BL42" i="2" s="1"/>
  <c r="BL41" i="2" a="1"/>
  <c r="BL41" i="2" s="1"/>
  <c r="ED41" i="2"/>
  <c r="BL40" i="2" a="1"/>
  <c r="BL40" i="2" s="1"/>
  <c r="ED40" i="2"/>
  <c r="ED39" i="2"/>
  <c r="BL39" i="2" a="1"/>
  <c r="BL39" i="2" s="1"/>
  <c r="ED36" i="2"/>
  <c r="BL36" i="2" a="1"/>
  <c r="BL36" i="2" s="1"/>
  <c r="ED35" i="2"/>
  <c r="BL35" i="2" a="1"/>
  <c r="BL35" i="2" s="1"/>
  <c r="ED34" i="2"/>
  <c r="BL34" i="2" a="1"/>
  <c r="BL34" i="2" s="1"/>
  <c r="BL33" i="2" a="1"/>
  <c r="BL33" i="2" s="1"/>
  <c r="ED33" i="2"/>
  <c r="ED32" i="2"/>
  <c r="BL32" i="2" a="1"/>
  <c r="BL32" i="2" s="1"/>
  <c r="ED31" i="2"/>
  <c r="BL31" i="2" a="1"/>
  <c r="BL31" i="2" s="1"/>
  <c r="ED30" i="2"/>
  <c r="BL30" i="2" a="1"/>
  <c r="BL30" i="2" s="1"/>
  <c r="ED29" i="2"/>
  <c r="BL29" i="2" a="1"/>
  <c r="BL29" i="2" s="1"/>
  <c r="BL28" i="2" a="1"/>
  <c r="BL28" i="2" s="1"/>
  <c r="ED28" i="2"/>
  <c r="ED25" i="2"/>
  <c r="BL25" i="2" a="1"/>
  <c r="BL25" i="2" s="1"/>
  <c r="ED24" i="2"/>
  <c r="BL24" i="2" a="1"/>
  <c r="BL24" i="2" s="1"/>
  <c r="ED23" i="2"/>
  <c r="BL23" i="2" a="1"/>
  <c r="BL23" i="2" s="1"/>
  <c r="ED21" i="2"/>
  <c r="BL21" i="2" a="1"/>
  <c r="BL21" i="2" s="1"/>
  <c r="ED19" i="2"/>
  <c r="BL19" i="2" a="1"/>
  <c r="BL19" i="2" s="1"/>
  <c r="ED17" i="2"/>
  <c r="BL17" i="2" a="1"/>
  <c r="BL17" i="2" s="1"/>
  <c r="ED16" i="2"/>
  <c r="BL16" i="2" a="1"/>
  <c r="BL16" i="2" s="1"/>
  <c r="ED15" i="2"/>
  <c r="BL15" i="2" a="1"/>
  <c r="BL15" i="2" s="1"/>
  <c r="ED13" i="2"/>
  <c r="BL13" i="2" a="1"/>
  <c r="BL13" i="2" s="1"/>
  <c r="BL11" i="2" a="1"/>
  <c r="BL11" i="2" s="1"/>
  <c r="ED11" i="2"/>
  <c r="ED10" i="2"/>
  <c r="BL10" i="2" a="1"/>
  <c r="BL10" i="2" s="1"/>
  <c r="ED9" i="2"/>
  <c r="BL9" i="2" a="1"/>
  <c r="BL9" i="2" s="1"/>
  <c r="ED7" i="2"/>
  <c r="BL7" i="2" a="1"/>
  <c r="BL7" i="2" s="1"/>
  <c r="ED6" i="2"/>
  <c r="BL6" i="2" a="1"/>
  <c r="BL6" i="2" s="1"/>
  <c r="BL5" i="2" a="1"/>
  <c r="BL5" i="2" s="1"/>
  <c r="ED5" i="2"/>
  <c r="ED4" i="2"/>
  <c r="BL4" i="2" a="1"/>
  <c r="BL4" i="2" s="1"/>
  <c r="BL80" i="2" a="1"/>
  <c r="BL80" i="2" s="1"/>
  <c r="BL73" i="2" a="1"/>
  <c r="BL73" i="2" s="1"/>
  <c r="BN67" i="2" a="1"/>
  <c r="BN67" i="2" s="1"/>
  <c r="BN54" i="2" a="1"/>
  <c r="BN54" i="2" s="1"/>
  <c r="BK50" i="2" a="1"/>
  <c r="BK50" i="2" s="1"/>
  <c r="BK42" i="2" a="1"/>
  <c r="BK42" i="2" s="1"/>
  <c r="BN33" i="2" a="1"/>
  <c r="BN33" i="2" s="1"/>
  <c r="BL22" i="2" a="1"/>
  <c r="BL22" i="2" s="1"/>
  <c r="ED99" i="2"/>
  <c r="EF77" i="2"/>
  <c r="EF66" i="2"/>
  <c r="EF45" i="2"/>
  <c r="ET102" i="2" a="1"/>
  <c r="ET102" i="2" s="1"/>
  <c r="FS102" i="2"/>
  <c r="FS98" i="2"/>
  <c r="ET98" i="2" a="1"/>
  <c r="ET98" i="2" s="1"/>
  <c r="FS94" i="2"/>
  <c r="ET94" i="2" a="1"/>
  <c r="ET94" i="2" s="1"/>
  <c r="FS90" i="2"/>
  <c r="ET90" i="2" a="1"/>
  <c r="ET90" i="2" s="1"/>
  <c r="FS86" i="2"/>
  <c r="ET86" i="2" a="1"/>
  <c r="ET86" i="2" s="1"/>
  <c r="FS82" i="2"/>
  <c r="ET82" i="2" a="1"/>
  <c r="ET82" i="2" s="1"/>
  <c r="FS78" i="2"/>
  <c r="ET78" i="2" a="1"/>
  <c r="ET78" i="2" s="1"/>
  <c r="FS70" i="2"/>
  <c r="ET70" i="2" a="1"/>
  <c r="ET70" i="2" s="1"/>
  <c r="ET66" i="2" a="1"/>
  <c r="ET66" i="2" s="1"/>
  <c r="FS66" i="2"/>
  <c r="ET62" i="2" a="1"/>
  <c r="ET62" i="2" s="1"/>
  <c r="FS62" i="2"/>
  <c r="ET58" i="2" a="1"/>
  <c r="ET58" i="2" s="1"/>
  <c r="FS58" i="2"/>
  <c r="ET54" i="2" a="1"/>
  <c r="ET54" i="2" s="1"/>
  <c r="FS54" i="2"/>
  <c r="FS50" i="2"/>
  <c r="ET50" i="2" a="1"/>
  <c r="ET50" i="2" s="1"/>
  <c r="FS46" i="2"/>
  <c r="ET46" i="2" a="1"/>
  <c r="ET46" i="2" s="1"/>
  <c r="ET42" i="2" a="1"/>
  <c r="ET42" i="2" s="1"/>
  <c r="FS42" i="2"/>
  <c r="ET38" i="2" a="1"/>
  <c r="ET38" i="2" s="1"/>
  <c r="FS38" i="2"/>
  <c r="FS34" i="2"/>
  <c r="ET34" i="2" a="1"/>
  <c r="ET34" i="2" s="1"/>
  <c r="FS30" i="2"/>
  <c r="ET30" i="2" a="1"/>
  <c r="ET30" i="2" s="1"/>
  <c r="FS26" i="2"/>
  <c r="ET26" i="2" a="1"/>
  <c r="ET26" i="2" s="1"/>
  <c r="FS22" i="2"/>
  <c r="ET22" i="2" a="1"/>
  <c r="ET22" i="2" s="1"/>
  <c r="ET18" i="2" a="1"/>
  <c r="ET18" i="2" s="1"/>
  <c r="FS18" i="2"/>
  <c r="ET14" i="2" a="1"/>
  <c r="ET14" i="2" s="1"/>
  <c r="FS14" i="2"/>
  <c r="ET10" i="2" a="1"/>
  <c r="ET10" i="2" s="1"/>
  <c r="FS10" i="2"/>
  <c r="ET6" i="2" a="1"/>
  <c r="ET6" i="2" s="1"/>
  <c r="FS6" i="2"/>
  <c r="EC103" i="2"/>
  <c r="BK103" i="2" a="1"/>
  <c r="BK103" i="2" s="1"/>
  <c r="EC102" i="2"/>
  <c r="BK102" i="2" a="1"/>
  <c r="BK102" i="2" s="1"/>
  <c r="EC101" i="2"/>
  <c r="BK101" i="2" a="1"/>
  <c r="BK101" i="2" s="1"/>
  <c r="EC100" i="2"/>
  <c r="BK100" i="2" a="1"/>
  <c r="BK100" i="2" s="1"/>
  <c r="BK99" i="2" a="1"/>
  <c r="BK99" i="2" s="1"/>
  <c r="EC99" i="2"/>
  <c r="EC98" i="2"/>
  <c r="BK98" i="2" a="1"/>
  <c r="BK98" i="2" s="1"/>
  <c r="EC97" i="2"/>
  <c r="BK97" i="2" a="1"/>
  <c r="BK97" i="2" s="1"/>
  <c r="EC96" i="2"/>
  <c r="BK96" i="2" a="1"/>
  <c r="BK96" i="2" s="1"/>
  <c r="BK95" i="2" a="1"/>
  <c r="BK95" i="2" s="1"/>
  <c r="EC95" i="2"/>
  <c r="EC94" i="2"/>
  <c r="BK94" i="2" a="1"/>
  <c r="BK94" i="2" s="1"/>
  <c r="EC92" i="2"/>
  <c r="BK92" i="2" a="1"/>
  <c r="BK92" i="2" s="1"/>
  <c r="EC91" i="2"/>
  <c r="BK91" i="2" a="1"/>
  <c r="BK91" i="2" s="1"/>
  <c r="EC90" i="2"/>
  <c r="BK90" i="2" a="1"/>
  <c r="BK90" i="2" s="1"/>
  <c r="BK89" i="2" a="1"/>
  <c r="BK89" i="2" s="1"/>
  <c r="EC89" i="2"/>
  <c r="EC88" i="2"/>
  <c r="BK88" i="2" a="1"/>
  <c r="BK88" i="2" s="1"/>
  <c r="EC86" i="2"/>
  <c r="BK86" i="2" a="1"/>
  <c r="BK86" i="2" s="1"/>
  <c r="EC85" i="2"/>
  <c r="BK85" i="2" a="1"/>
  <c r="BK85" i="2" s="1"/>
  <c r="EC84" i="2"/>
  <c r="BK84" i="2" a="1"/>
  <c r="BK84" i="2" s="1"/>
  <c r="BK83" i="2" a="1"/>
  <c r="BK83" i="2" s="1"/>
  <c r="EC83" i="2"/>
  <c r="EC82" i="2"/>
  <c r="BK82" i="2" a="1"/>
  <c r="BK82" i="2" s="1"/>
  <c r="EC81" i="2"/>
  <c r="BK81" i="2" a="1"/>
  <c r="BK81" i="2" s="1"/>
  <c r="EC80" i="2"/>
  <c r="BK80" i="2" a="1"/>
  <c r="BK80" i="2" s="1"/>
  <c r="EC78" i="2"/>
  <c r="BK78" i="2" a="1"/>
  <c r="BK78" i="2" s="1"/>
  <c r="EC77" i="2"/>
  <c r="BK77" i="2" a="1"/>
  <c r="BK77" i="2" s="1"/>
  <c r="EC76" i="2"/>
  <c r="BK76" i="2" a="1"/>
  <c r="BK76" i="2" s="1"/>
  <c r="EC75" i="2"/>
  <c r="BK75" i="2" a="1"/>
  <c r="BK75" i="2" s="1"/>
  <c r="EC74" i="2"/>
  <c r="BK74" i="2" a="1"/>
  <c r="BK74" i="2" s="1"/>
  <c r="EC73" i="2"/>
  <c r="BK73" i="2" a="1"/>
  <c r="BK73" i="2" s="1"/>
  <c r="EC72" i="2"/>
  <c r="BK72" i="2" a="1"/>
  <c r="BK72" i="2" s="1"/>
  <c r="EC71" i="2"/>
  <c r="BK71" i="2" a="1"/>
  <c r="BK71" i="2" s="1"/>
  <c r="EC70" i="2"/>
  <c r="BK70" i="2" a="1"/>
  <c r="BK70" i="2" s="1"/>
  <c r="EC69" i="2"/>
  <c r="BK69" i="2" a="1"/>
  <c r="BK69" i="2" s="1"/>
  <c r="EC68" i="2"/>
  <c r="BK68" i="2" a="1"/>
  <c r="BK68" i="2" s="1"/>
  <c r="EC67" i="2"/>
  <c r="BK67" i="2" a="1"/>
  <c r="BK67" i="2" s="1"/>
  <c r="EC66" i="2"/>
  <c r="BK66" i="2" a="1"/>
  <c r="BK66" i="2" s="1"/>
  <c r="EC65" i="2"/>
  <c r="BK65" i="2" a="1"/>
  <c r="BK65" i="2" s="1"/>
  <c r="EC64" i="2"/>
  <c r="BK64" i="2" a="1"/>
  <c r="BK64" i="2" s="1"/>
  <c r="EC63" i="2"/>
  <c r="BK63" i="2" a="1"/>
  <c r="BK63" i="2" s="1"/>
  <c r="EC62" i="2"/>
  <c r="BK62" i="2" a="1"/>
  <c r="BK62" i="2" s="1"/>
  <c r="EC61" i="2"/>
  <c r="BK61" i="2" a="1"/>
  <c r="BK61" i="2" s="1"/>
  <c r="EC60" i="2"/>
  <c r="BK60" i="2" a="1"/>
  <c r="BK60" i="2" s="1"/>
  <c r="EC59" i="2"/>
  <c r="BK59" i="2" a="1"/>
  <c r="BK59" i="2" s="1"/>
  <c r="EC58" i="2"/>
  <c r="BK58" i="2" a="1"/>
  <c r="BK58" i="2" s="1"/>
  <c r="EC57" i="2"/>
  <c r="BK57" i="2" a="1"/>
  <c r="BK57" i="2" s="1"/>
  <c r="EC56" i="2"/>
  <c r="BK56" i="2" a="1"/>
  <c r="BK56" i="2" s="1"/>
  <c r="EC55" i="2"/>
  <c r="BK55" i="2" a="1"/>
  <c r="BK55" i="2" s="1"/>
  <c r="EC54" i="2"/>
  <c r="BK54" i="2" a="1"/>
  <c r="BK54" i="2" s="1"/>
  <c r="EC53" i="2"/>
  <c r="BK53" i="2" a="1"/>
  <c r="BK53" i="2" s="1"/>
  <c r="EC52" i="2"/>
  <c r="BK52" i="2" a="1"/>
  <c r="BK52" i="2" s="1"/>
  <c r="EC51" i="2"/>
  <c r="BK51" i="2" a="1"/>
  <c r="BK51" i="2" s="1"/>
  <c r="EC49" i="2"/>
  <c r="BK49" i="2" a="1"/>
  <c r="BK49" i="2" s="1"/>
  <c r="EC48" i="2"/>
  <c r="BK48" i="2" a="1"/>
  <c r="BK48" i="2" s="1"/>
  <c r="EC46" i="2"/>
  <c r="BK46" i="2" a="1"/>
  <c r="BK46" i="2" s="1"/>
  <c r="EC44" i="2"/>
  <c r="BK44" i="2" a="1"/>
  <c r="BK44" i="2" s="1"/>
  <c r="EC43" i="2"/>
  <c r="BK43" i="2" a="1"/>
  <c r="BK43" i="2" s="1"/>
  <c r="EC41" i="2"/>
  <c r="BK41" i="2" a="1"/>
  <c r="BK41" i="2" s="1"/>
  <c r="EC40" i="2"/>
  <c r="BK40" i="2" a="1"/>
  <c r="BK40" i="2" s="1"/>
  <c r="EC38" i="2"/>
  <c r="BK38" i="2" a="1"/>
  <c r="BK38" i="2" s="1"/>
  <c r="EC36" i="2"/>
  <c r="BK36" i="2" a="1"/>
  <c r="BK36" i="2" s="1"/>
  <c r="EC35" i="2"/>
  <c r="BK35" i="2" a="1"/>
  <c r="BK35" i="2" s="1"/>
  <c r="EC34" i="2"/>
  <c r="BK34" i="2" a="1"/>
  <c r="BK34" i="2" s="1"/>
  <c r="EC33" i="2"/>
  <c r="BK33" i="2" a="1"/>
  <c r="BK33" i="2" s="1"/>
  <c r="EC32" i="2"/>
  <c r="BK32" i="2" a="1"/>
  <c r="BK32" i="2" s="1"/>
  <c r="EC31" i="2"/>
  <c r="BK31" i="2" a="1"/>
  <c r="BK31" i="2" s="1"/>
  <c r="EC30" i="2"/>
  <c r="BK30" i="2" a="1"/>
  <c r="BK30" i="2" s="1"/>
  <c r="EC29" i="2"/>
  <c r="BK29" i="2" a="1"/>
  <c r="BK29" i="2" s="1"/>
  <c r="EC28" i="2"/>
  <c r="BK28" i="2" a="1"/>
  <c r="BK28" i="2" s="1"/>
  <c r="EC26" i="2"/>
  <c r="BK26" i="2" a="1"/>
  <c r="BK26" i="2" s="1"/>
  <c r="EC25" i="2"/>
  <c r="BK25" i="2" a="1"/>
  <c r="BK25" i="2" s="1"/>
  <c r="EC24" i="2"/>
  <c r="BK24" i="2" a="1"/>
  <c r="BK24" i="2" s="1"/>
  <c r="EC23" i="2"/>
  <c r="BK23" i="2" a="1"/>
  <c r="BK23" i="2" s="1"/>
  <c r="EC22" i="2"/>
  <c r="BK22" i="2" a="1"/>
  <c r="BK22" i="2" s="1"/>
  <c r="EC21" i="2"/>
  <c r="BK21" i="2" a="1"/>
  <c r="BK21" i="2" s="1"/>
  <c r="EC20" i="2"/>
  <c r="BK20" i="2" a="1"/>
  <c r="BK20" i="2" s="1"/>
  <c r="EC19" i="2"/>
  <c r="BK19" i="2" a="1"/>
  <c r="BK19" i="2" s="1"/>
  <c r="EC18" i="2"/>
  <c r="BK18" i="2" a="1"/>
  <c r="BK18" i="2" s="1"/>
  <c r="EC17" i="2"/>
  <c r="BK17" i="2" a="1"/>
  <c r="BK17" i="2" s="1"/>
  <c r="EC16" i="2"/>
  <c r="BK16" i="2" a="1"/>
  <c r="BK16" i="2" s="1"/>
  <c r="EC15" i="2"/>
  <c r="BK15" i="2" a="1"/>
  <c r="BK15" i="2" s="1"/>
  <c r="EC14" i="2"/>
  <c r="BK14" i="2" a="1"/>
  <c r="BK14" i="2" s="1"/>
  <c r="EC13" i="2"/>
  <c r="BK13" i="2" a="1"/>
  <c r="BK13" i="2" s="1"/>
  <c r="EC12" i="2"/>
  <c r="BK12" i="2" a="1"/>
  <c r="BK12" i="2" s="1"/>
  <c r="EC10" i="2"/>
  <c r="BK10" i="2" a="1"/>
  <c r="BK10" i="2" s="1"/>
  <c r="EC9" i="2"/>
  <c r="BK9" i="2" a="1"/>
  <c r="BK9" i="2" s="1"/>
  <c r="EC7" i="2"/>
  <c r="BK7" i="2" a="1"/>
  <c r="BK7" i="2" s="1"/>
  <c r="EC6" i="2"/>
  <c r="BK6" i="2" a="1"/>
  <c r="BK6" i="2" s="1"/>
  <c r="EC5" i="2"/>
  <c r="BK5" i="2" a="1"/>
  <c r="BK5" i="2" s="1"/>
  <c r="EC4" i="2"/>
  <c r="BK4" i="2" a="1"/>
  <c r="BK4" i="2" s="1"/>
  <c r="BN100" i="2" a="1"/>
  <c r="BN100" i="2" s="1"/>
  <c r="BN92" i="2" a="1"/>
  <c r="BN92" i="2" s="1"/>
  <c r="BN88" i="2" a="1"/>
  <c r="BN88" i="2" s="1"/>
  <c r="BN84" i="2" a="1"/>
  <c r="BN84" i="2" s="1"/>
  <c r="BL71" i="2" a="1"/>
  <c r="BL71" i="2" s="1"/>
  <c r="BN65" i="2" a="1"/>
  <c r="BN65" i="2" s="1"/>
  <c r="BL18" i="2" a="1"/>
  <c r="BL18" i="2" s="1"/>
  <c r="EF11" i="2"/>
  <c r="BH56" i="2" a="1"/>
  <c r="BH56" i="2" s="1"/>
  <c r="DZ56" i="2"/>
  <c r="DZ50" i="2"/>
  <c r="BH50" i="2" a="1"/>
  <c r="BH50" i="2" s="1"/>
  <c r="BH44" i="2" a="1"/>
  <c r="BH44" i="2" s="1"/>
  <c r="DZ44" i="2"/>
  <c r="DZ34" i="2"/>
  <c r="BH34" i="2" a="1"/>
  <c r="BH34" i="2" s="1"/>
  <c r="BH29" i="2" a="1"/>
  <c r="BH29" i="2" s="1"/>
  <c r="DZ29" i="2"/>
  <c r="BH28" i="2" a="1"/>
  <c r="BH28" i="2" s="1"/>
  <c r="DZ28" i="2"/>
  <c r="BH26" i="2" a="1"/>
  <c r="BH26" i="2" s="1"/>
  <c r="DZ26" i="2"/>
  <c r="BH25" i="2" a="1"/>
  <c r="BH25" i="2" s="1"/>
  <c r="DZ25" i="2"/>
  <c r="BH24" i="2" a="1"/>
  <c r="BH24" i="2" s="1"/>
  <c r="DZ24" i="2"/>
  <c r="BH22" i="2" a="1"/>
  <c r="BH22" i="2" s="1"/>
  <c r="DZ22" i="2"/>
  <c r="BH21" i="2" a="1"/>
  <c r="BH21" i="2" s="1"/>
  <c r="DZ21" i="2"/>
  <c r="BH20" i="2" a="1"/>
  <c r="BH20" i="2" s="1"/>
  <c r="DZ20" i="2"/>
  <c r="BH18" i="2" a="1"/>
  <c r="BH18" i="2" s="1"/>
  <c r="DZ18" i="2"/>
  <c r="BH15" i="2" a="1"/>
  <c r="BH15" i="2" s="1"/>
  <c r="DZ15" i="2"/>
  <c r="DZ12" i="2"/>
  <c r="BH12" i="2" a="1"/>
  <c r="BH12" i="2" s="1"/>
  <c r="DZ9" i="2"/>
  <c r="BH9" i="2" a="1"/>
  <c r="BH9" i="2" s="1"/>
  <c r="DZ6" i="2"/>
  <c r="BH6" i="2" a="1"/>
  <c r="BH6" i="2" s="1"/>
  <c r="BM103" i="2" a="1"/>
  <c r="BM103" i="2" s="1"/>
  <c r="BM102" i="2" a="1"/>
  <c r="BM102" i="2" s="1"/>
  <c r="BG102" i="2" a="1"/>
  <c r="BG102" i="2" s="1"/>
  <c r="BM101" i="2" a="1"/>
  <c r="BM101" i="2" s="1"/>
  <c r="BG101" i="2" a="1"/>
  <c r="BG101" i="2" s="1"/>
  <c r="BM100" i="2" a="1"/>
  <c r="BM100" i="2" s="1"/>
  <c r="BG100" i="2" a="1"/>
  <c r="BG100" i="2" s="1"/>
  <c r="BM99" i="2" a="1"/>
  <c r="BM99" i="2" s="1"/>
  <c r="BG99" i="2" a="1"/>
  <c r="BG99" i="2" s="1"/>
  <c r="BM98" i="2" a="1"/>
  <c r="BM98" i="2" s="1"/>
  <c r="BG98" i="2" a="1"/>
  <c r="BG98" i="2" s="1"/>
  <c r="BM97" i="2" a="1"/>
  <c r="BM97" i="2" s="1"/>
  <c r="BM96" i="2" a="1"/>
  <c r="BM96" i="2" s="1"/>
  <c r="BG96" i="2" a="1"/>
  <c r="BG96" i="2" s="1"/>
  <c r="BM95" i="2" a="1"/>
  <c r="BM95" i="2" s="1"/>
  <c r="BG95" i="2" a="1"/>
  <c r="BG95" i="2" s="1"/>
  <c r="BM94" i="2" a="1"/>
  <c r="BM94" i="2" s="1"/>
  <c r="BG94" i="2" a="1"/>
  <c r="BG94" i="2" s="1"/>
  <c r="BM93" i="2" a="1"/>
  <c r="BM93" i="2" s="1"/>
  <c r="BG93" i="2" a="1"/>
  <c r="BG93" i="2" s="1"/>
  <c r="BM92" i="2" a="1"/>
  <c r="BM92" i="2" s="1"/>
  <c r="BG92" i="2" a="1"/>
  <c r="BG92" i="2" s="1"/>
  <c r="BM91" i="2" a="1"/>
  <c r="BM91" i="2" s="1"/>
  <c r="BG91" i="2" a="1"/>
  <c r="BG91" i="2" s="1"/>
  <c r="BM90" i="2" a="1"/>
  <c r="BM90" i="2" s="1"/>
  <c r="BG90" i="2" a="1"/>
  <c r="BG90" i="2" s="1"/>
  <c r="BM89" i="2" a="1"/>
  <c r="BM89" i="2" s="1"/>
  <c r="BG89" i="2" a="1"/>
  <c r="BG89" i="2" s="1"/>
  <c r="BM88" i="2" a="1"/>
  <c r="BM88" i="2" s="1"/>
  <c r="BG88" i="2" a="1"/>
  <c r="BG88" i="2" s="1"/>
  <c r="BM87" i="2" a="1"/>
  <c r="BM87" i="2" s="1"/>
  <c r="BM86" i="2" a="1"/>
  <c r="BM86" i="2" s="1"/>
  <c r="BG86" i="2" a="1"/>
  <c r="BG86" i="2" s="1"/>
  <c r="BM85" i="2" a="1"/>
  <c r="BM85" i="2" s="1"/>
  <c r="BG85" i="2" a="1"/>
  <c r="BG85" i="2" s="1"/>
  <c r="BM84" i="2" a="1"/>
  <c r="BM84" i="2" s="1"/>
  <c r="BG84" i="2" a="1"/>
  <c r="BG84" i="2" s="1"/>
  <c r="BM83" i="2" a="1"/>
  <c r="BM83" i="2" s="1"/>
  <c r="BG83" i="2" a="1"/>
  <c r="BG83" i="2" s="1"/>
  <c r="BM82" i="2" a="1"/>
  <c r="BM82" i="2" s="1"/>
  <c r="BG82" i="2" a="1"/>
  <c r="BG82" i="2" s="1"/>
  <c r="BM81" i="2" a="1"/>
  <c r="BM81" i="2" s="1"/>
  <c r="BF81" i="2" a="1"/>
  <c r="BF81" i="2" s="1"/>
  <c r="BP79" i="2" a="1"/>
  <c r="BP79" i="2" s="1"/>
  <c r="BF78" i="2" a="1"/>
  <c r="BF78" i="2" s="1"/>
  <c r="BP76" i="2" a="1"/>
  <c r="BP76" i="2" s="1"/>
  <c r="BP74" i="2" a="1"/>
  <c r="BP74" i="2" s="1"/>
  <c r="BP72" i="2" a="1"/>
  <c r="BP72" i="2" s="1"/>
  <c r="BP68" i="2" a="1"/>
  <c r="BP68" i="2" s="1"/>
  <c r="BP66" i="2" a="1"/>
  <c r="BP66" i="2" s="1"/>
  <c r="BP64" i="2" a="1"/>
  <c r="BP64" i="2" s="1"/>
  <c r="BP60" i="2" a="1"/>
  <c r="BP60" i="2" s="1"/>
  <c r="BP58" i="2" a="1"/>
  <c r="BP58" i="2" s="1"/>
  <c r="BP56" i="2" a="1"/>
  <c r="BP56" i="2" s="1"/>
  <c r="BO48" i="2" a="1"/>
  <c r="BO48" i="2" s="1"/>
  <c r="BG48" i="2" a="1"/>
  <c r="BG48" i="2" s="1"/>
  <c r="BM46" i="2" a="1"/>
  <c r="BM46" i="2" s="1"/>
  <c r="BQ45" i="2" a="1"/>
  <c r="BQ45" i="2" s="1"/>
  <c r="BO40" i="2" a="1"/>
  <c r="BO40" i="2" s="1"/>
  <c r="BF40" i="2" a="1"/>
  <c r="BF40" i="2" s="1"/>
  <c r="BH39" i="2" a="1"/>
  <c r="BH39" i="2" s="1"/>
  <c r="EI95" i="2"/>
  <c r="DZ80" i="2"/>
  <c r="DY55" i="2"/>
  <c r="DX52" i="2"/>
  <c r="EH33" i="2"/>
  <c r="DX27" i="2"/>
  <c r="DY23" i="2"/>
  <c r="DX20" i="2"/>
  <c r="DX16" i="2"/>
  <c r="DY8" i="2"/>
  <c r="DX4" i="2"/>
  <c r="ET99" i="2" a="1"/>
  <c r="ET99" i="2" s="1"/>
  <c r="HE56" i="2" a="1"/>
  <c r="HE56" i="2" s="1"/>
  <c r="DY49" i="2"/>
  <c r="BG49" i="2" a="1"/>
  <c r="BG49" i="2" s="1"/>
  <c r="DY40" i="2"/>
  <c r="BG40" i="2" a="1"/>
  <c r="BG40" i="2" s="1"/>
  <c r="DY38" i="2"/>
  <c r="BG38" i="2" a="1"/>
  <c r="BG38" i="2" s="1"/>
  <c r="DY37" i="2"/>
  <c r="BG37" i="2" a="1"/>
  <c r="BG37" i="2" s="1"/>
  <c r="DY33" i="2"/>
  <c r="BG33" i="2" a="1"/>
  <c r="BG33" i="2" s="1"/>
  <c r="DY30" i="2"/>
  <c r="BG30" i="2" a="1"/>
  <c r="BG30" i="2" s="1"/>
  <c r="BG12" i="2" a="1"/>
  <c r="BG12" i="2" s="1"/>
  <c r="DY12" i="2"/>
  <c r="BG9" i="2" a="1"/>
  <c r="BG9" i="2" s="1"/>
  <c r="DY9" i="2"/>
  <c r="BG6" i="2" a="1"/>
  <c r="BG6" i="2" s="1"/>
  <c r="DY6" i="2"/>
  <c r="BH79" i="2" a="1"/>
  <c r="BH79" i="2" s="1"/>
  <c r="BM78" i="2" a="1"/>
  <c r="BM78" i="2" s="1"/>
  <c r="BG76" i="2" a="1"/>
  <c r="BG76" i="2" s="1"/>
  <c r="BG74" i="2" a="1"/>
  <c r="BG74" i="2" s="1"/>
  <c r="BG72" i="2" a="1"/>
  <c r="BG72" i="2" s="1"/>
  <c r="BG70" i="2" a="1"/>
  <c r="BG70" i="2" s="1"/>
  <c r="BG68" i="2" a="1"/>
  <c r="BG68" i="2" s="1"/>
  <c r="BG66" i="2" a="1"/>
  <c r="BG66" i="2" s="1"/>
  <c r="BG64" i="2" a="1"/>
  <c r="BG64" i="2" s="1"/>
  <c r="BG62" i="2" a="1"/>
  <c r="BG62" i="2" s="1"/>
  <c r="BG58" i="2" a="1"/>
  <c r="BG58" i="2" s="1"/>
  <c r="BP53" i="2" a="1"/>
  <c r="BP53" i="2" s="1"/>
  <c r="BG53" i="2" a="1"/>
  <c r="BG53" i="2" s="1"/>
  <c r="BQ50" i="2" a="1"/>
  <c r="BQ50" i="2" s="1"/>
  <c r="BO45" i="2" a="1"/>
  <c r="BO45" i="2" s="1"/>
  <c r="BG45" i="2" a="1"/>
  <c r="BG45" i="2" s="1"/>
  <c r="BM43" i="2" a="1"/>
  <c r="BM43" i="2" s="1"/>
  <c r="BQ42" i="2" a="1"/>
  <c r="BQ42" i="2" s="1"/>
  <c r="BH42" i="2" a="1"/>
  <c r="BH42" i="2" s="1"/>
  <c r="BF39" i="2" a="1"/>
  <c r="BF39" i="2" s="1"/>
  <c r="BH38" i="2" a="1"/>
  <c r="BH38" i="2" s="1"/>
  <c r="BF26" i="2" a="1"/>
  <c r="BF26" i="2" s="1"/>
  <c r="BM24" i="2" a="1"/>
  <c r="BM24" i="2" s="1"/>
  <c r="BF22" i="2" a="1"/>
  <c r="BF22" i="2" s="1"/>
  <c r="BM20" i="2" a="1"/>
  <c r="BM20" i="2" s="1"/>
  <c r="BF18" i="2" a="1"/>
  <c r="BF18" i="2" s="1"/>
  <c r="BM16" i="2" a="1"/>
  <c r="BM16" i="2" s="1"/>
  <c r="BF14" i="2" a="1"/>
  <c r="BF14" i="2" s="1"/>
  <c r="BM12" i="2" a="1"/>
  <c r="BM12" i="2" s="1"/>
  <c r="BO7" i="2" a="1"/>
  <c r="BO7" i="2" s="1"/>
  <c r="BN4" i="2" a="1"/>
  <c r="BN4" i="2" s="1"/>
  <c r="DX102" i="2"/>
  <c r="EI61" i="2"/>
  <c r="DX55" i="2"/>
  <c r="DX48" i="2"/>
  <c r="DX23" i="2"/>
  <c r="DZ19" i="2"/>
  <c r="DZ7" i="2"/>
  <c r="ET79" i="2" a="1"/>
  <c r="ET79" i="2" s="1"/>
  <c r="FR79" i="2"/>
  <c r="DX54" i="2"/>
  <c r="BF54" i="2" a="1"/>
  <c r="BF54" i="2" s="1"/>
  <c r="DX42" i="2"/>
  <c r="BF42" i="2" a="1"/>
  <c r="BF42" i="2" s="1"/>
  <c r="BF11" i="2" a="1"/>
  <c r="BF11" i="2" s="1"/>
  <c r="DX11" i="2"/>
  <c r="BF8" i="2" a="1"/>
  <c r="BF8" i="2" s="1"/>
  <c r="DX8" i="2"/>
  <c r="BF5" i="2" a="1"/>
  <c r="BF5" i="2" s="1"/>
  <c r="DX5" i="2"/>
  <c r="BF101" i="2" a="1"/>
  <c r="BF101" i="2" s="1"/>
  <c r="BF100" i="2" a="1"/>
  <c r="BF100" i="2" s="1"/>
  <c r="BF99" i="2" a="1"/>
  <c r="BF99" i="2" s="1"/>
  <c r="BF98" i="2" a="1"/>
  <c r="BF98" i="2" s="1"/>
  <c r="BF95" i="2" a="1"/>
  <c r="BF95" i="2" s="1"/>
  <c r="BF94" i="2" a="1"/>
  <c r="BF94" i="2" s="1"/>
  <c r="BF93" i="2" a="1"/>
  <c r="BF93" i="2" s="1"/>
  <c r="BF92" i="2" a="1"/>
  <c r="BF92" i="2" s="1"/>
  <c r="BF91" i="2" a="1"/>
  <c r="BF91" i="2" s="1"/>
  <c r="BF89" i="2" a="1"/>
  <c r="BF89" i="2" s="1"/>
  <c r="BF88" i="2" a="1"/>
  <c r="BF88" i="2" s="1"/>
  <c r="BF87" i="2" a="1"/>
  <c r="BF87" i="2" s="1"/>
  <c r="BF86" i="2" a="1"/>
  <c r="BF86" i="2" s="1"/>
  <c r="BF85" i="2" a="1"/>
  <c r="BF85" i="2" s="1"/>
  <c r="BF83" i="2" a="1"/>
  <c r="BF83" i="2" s="1"/>
  <c r="BF82" i="2" a="1"/>
  <c r="BF82" i="2" s="1"/>
  <c r="BQ80" i="2" a="1"/>
  <c r="BQ80" i="2" s="1"/>
  <c r="BQ77" i="2" a="1"/>
  <c r="BQ77" i="2" s="1"/>
  <c r="BF76" i="2" a="1"/>
  <c r="BF76" i="2" s="1"/>
  <c r="BF74" i="2" a="1"/>
  <c r="BF74" i="2" s="1"/>
  <c r="BF72" i="2" a="1"/>
  <c r="BF72" i="2" s="1"/>
  <c r="BF70" i="2" a="1"/>
  <c r="BF70" i="2" s="1"/>
  <c r="BF66" i="2" a="1"/>
  <c r="BF66" i="2" s="1"/>
  <c r="BF64" i="2" a="1"/>
  <c r="BF64" i="2" s="1"/>
  <c r="BF62" i="2" a="1"/>
  <c r="BF62" i="2" s="1"/>
  <c r="BF58" i="2" a="1"/>
  <c r="BF58" i="2" s="1"/>
  <c r="BQ55" i="2" a="1"/>
  <c r="BQ55" i="2" s="1"/>
  <c r="BG50" i="2" a="1"/>
  <c r="BG50" i="2" s="1"/>
  <c r="BQ47" i="2" a="1"/>
  <c r="BQ47" i="2" s="1"/>
  <c r="BH47" i="2" a="1"/>
  <c r="BH47" i="2" s="1"/>
  <c r="BF45" i="2" a="1"/>
  <c r="BF45" i="2" s="1"/>
  <c r="BP42" i="2" a="1"/>
  <c r="BP42" i="2" s="1"/>
  <c r="BQ39" i="2" a="1"/>
  <c r="BQ39" i="2" s="1"/>
  <c r="BQ25" i="2" a="1"/>
  <c r="BQ25" i="2" s="1"/>
  <c r="BQ21" i="2" a="1"/>
  <c r="BQ21" i="2" s="1"/>
  <c r="BG19" i="2" a="1"/>
  <c r="BG19" i="2" s="1"/>
  <c r="BQ17" i="2" a="1"/>
  <c r="BQ17" i="2" s="1"/>
  <c r="BG15" i="2" a="1"/>
  <c r="BG15" i="2" s="1"/>
  <c r="BQ13" i="2" a="1"/>
  <c r="BQ13" i="2" s="1"/>
  <c r="BO10" i="2" a="1"/>
  <c r="BO10" i="2" s="1"/>
  <c r="BF6" i="2" a="1"/>
  <c r="BF6" i="2" s="1"/>
  <c r="BM4" i="2" a="1"/>
  <c r="BM4" i="2" s="1"/>
  <c r="EI101" i="2"/>
  <c r="EI57" i="2"/>
  <c r="DY44" i="2"/>
  <c r="EH29" i="2"/>
  <c r="EH22" i="2"/>
  <c r="EF14" i="2"/>
  <c r="DZ11" i="2"/>
  <c r="DY7" i="2"/>
  <c r="ER55" i="2" a="1"/>
  <c r="ER55" i="2" s="1"/>
  <c r="ES11" i="2" a="1"/>
  <c r="ES11" i="2" s="1"/>
  <c r="EI52" i="2"/>
  <c r="BQ52" i="2" a="1"/>
  <c r="BQ52" i="2" s="1"/>
  <c r="BQ46" i="2" a="1"/>
  <c r="BQ46" i="2" s="1"/>
  <c r="EI46" i="2"/>
  <c r="EI40" i="2"/>
  <c r="BQ40" i="2" a="1"/>
  <c r="BQ40" i="2" s="1"/>
  <c r="EI30" i="2"/>
  <c r="BQ30" i="2" a="1"/>
  <c r="BQ30" i="2" s="1"/>
  <c r="EI28" i="2"/>
  <c r="BQ28" i="2" a="1"/>
  <c r="BQ28" i="2" s="1"/>
  <c r="BQ10" i="2" a="1"/>
  <c r="BQ10" i="2" s="1"/>
  <c r="EI10" i="2"/>
  <c r="BQ9" i="2" a="1"/>
  <c r="BQ9" i="2" s="1"/>
  <c r="EI9" i="2"/>
  <c r="BQ7" i="2" a="1"/>
  <c r="BQ7" i="2" s="1"/>
  <c r="EI7" i="2"/>
  <c r="BQ6" i="2" a="1"/>
  <c r="BQ6" i="2" s="1"/>
  <c r="EI6" i="2"/>
  <c r="BQ4" i="2" a="1"/>
  <c r="BQ4" i="2" s="1"/>
  <c r="EI4" i="2"/>
  <c r="BG79" i="2" a="1"/>
  <c r="BG79" i="2" s="1"/>
  <c r="BM56" i="2" a="1"/>
  <c r="BM56" i="2" s="1"/>
  <c r="BF53" i="2" a="1"/>
  <c r="BF53" i="2" s="1"/>
  <c r="BP50" i="2" a="1"/>
  <c r="BP50" i="2" s="1"/>
  <c r="BO42" i="2" a="1"/>
  <c r="BO42" i="2" s="1"/>
  <c r="BG42" i="2" a="1"/>
  <c r="BG42" i="2" s="1"/>
  <c r="BM40" i="2" a="1"/>
  <c r="BM40" i="2" s="1"/>
  <c r="BQ38" i="2" a="1"/>
  <c r="BQ38" i="2" s="1"/>
  <c r="BF38" i="2" a="1"/>
  <c r="BF38" i="2" s="1"/>
  <c r="BH37" i="2" a="1"/>
  <c r="BH37" i="2" s="1"/>
  <c r="BN7" i="2" a="1"/>
  <c r="BN7" i="2" s="1"/>
  <c r="EI85" i="2"/>
  <c r="DY47" i="2"/>
  <c r="DX44" i="2"/>
  <c r="EH25" i="2"/>
  <c r="EF22" i="2"/>
  <c r="DX19" i="2"/>
  <c r="DY11" i="2"/>
  <c r="ET63" i="2" a="1"/>
  <c r="ET63" i="2" s="1"/>
  <c r="EH51" i="2"/>
  <c r="BP51" i="2" a="1"/>
  <c r="BP51" i="2" s="1"/>
  <c r="EH39" i="2"/>
  <c r="BP39" i="2" a="1"/>
  <c r="BP39" i="2" s="1"/>
  <c r="EH36" i="2"/>
  <c r="BP36" i="2" a="1"/>
  <c r="BP36" i="2" s="1"/>
  <c r="EH35" i="2"/>
  <c r="BP35" i="2" a="1"/>
  <c r="BP35" i="2" s="1"/>
  <c r="BP34" i="2" a="1"/>
  <c r="BP34" i="2" s="1"/>
  <c r="EH34" i="2"/>
  <c r="EH32" i="2"/>
  <c r="BP32" i="2" a="1"/>
  <c r="BP32" i="2" s="1"/>
  <c r="EH31" i="2"/>
  <c r="BP31" i="2" a="1"/>
  <c r="BP31" i="2" s="1"/>
  <c r="EH28" i="2"/>
  <c r="BP28" i="2" a="1"/>
  <c r="BP28" i="2" s="1"/>
  <c r="EH27" i="2"/>
  <c r="BP27" i="2" a="1"/>
  <c r="BP27" i="2" s="1"/>
  <c r="BP26" i="2" a="1"/>
  <c r="BP26" i="2" s="1"/>
  <c r="EH26" i="2"/>
  <c r="EH24" i="2"/>
  <c r="BP24" i="2" a="1"/>
  <c r="BP24" i="2" s="1"/>
  <c r="EH23" i="2"/>
  <c r="BP23" i="2" a="1"/>
  <c r="BP23" i="2" s="1"/>
  <c r="EH20" i="2"/>
  <c r="BP20" i="2" a="1"/>
  <c r="BP20" i="2" s="1"/>
  <c r="EH19" i="2"/>
  <c r="BP19" i="2" a="1"/>
  <c r="BP19" i="2" s="1"/>
  <c r="EH18" i="2"/>
  <c r="BP18" i="2" a="1"/>
  <c r="BP18" i="2" s="1"/>
  <c r="EH17" i="2"/>
  <c r="BP17" i="2" a="1"/>
  <c r="BP17" i="2" s="1"/>
  <c r="EH16" i="2"/>
  <c r="BP16" i="2" a="1"/>
  <c r="BP16" i="2" s="1"/>
  <c r="EH15" i="2"/>
  <c r="BP15" i="2" a="1"/>
  <c r="BP15" i="2" s="1"/>
  <c r="EH14" i="2"/>
  <c r="BP14" i="2" a="1"/>
  <c r="BP14" i="2" s="1"/>
  <c r="EH13" i="2"/>
  <c r="BP13" i="2" a="1"/>
  <c r="BP13" i="2" s="1"/>
  <c r="EH12" i="2"/>
  <c r="BP12" i="2" a="1"/>
  <c r="BP12" i="2" s="1"/>
  <c r="EH11" i="2"/>
  <c r="BP11" i="2" a="1"/>
  <c r="BP11" i="2" s="1"/>
  <c r="EH10" i="2"/>
  <c r="BP10" i="2" a="1"/>
  <c r="BP10" i="2" s="1"/>
  <c r="EH9" i="2"/>
  <c r="BP9" i="2" a="1"/>
  <c r="BP9" i="2" s="1"/>
  <c r="EH8" i="2"/>
  <c r="BP8" i="2" a="1"/>
  <c r="BP8" i="2" s="1"/>
  <c r="EH7" i="2"/>
  <c r="BP7" i="2" a="1"/>
  <c r="BP7" i="2" s="1"/>
  <c r="EH6" i="2"/>
  <c r="BP6" i="2" a="1"/>
  <c r="BP6" i="2" s="1"/>
  <c r="EH5" i="2"/>
  <c r="BP5" i="2" a="1"/>
  <c r="BP5" i="2" s="1"/>
  <c r="EH4" i="2"/>
  <c r="BP4" i="2" a="1"/>
  <c r="BP4" i="2" s="1"/>
  <c r="BQ103" i="2" a="1"/>
  <c r="BQ103" i="2" s="1"/>
  <c r="BQ102" i="2" a="1"/>
  <c r="BQ102" i="2" s="1"/>
  <c r="BQ100" i="2" a="1"/>
  <c r="BQ100" i="2" s="1"/>
  <c r="BQ99" i="2" a="1"/>
  <c r="BQ99" i="2" s="1"/>
  <c r="BQ98" i="2" a="1"/>
  <c r="BQ98" i="2" s="1"/>
  <c r="BQ96" i="2" a="1"/>
  <c r="BQ96" i="2" s="1"/>
  <c r="BQ94" i="2" a="1"/>
  <c r="BQ94" i="2" s="1"/>
  <c r="BQ93" i="2" a="1"/>
  <c r="BQ93" i="2" s="1"/>
  <c r="BQ92" i="2" a="1"/>
  <c r="BQ92" i="2" s="1"/>
  <c r="BQ91" i="2" a="1"/>
  <c r="BQ91" i="2" s="1"/>
  <c r="BQ90" i="2" a="1"/>
  <c r="BQ90" i="2" s="1"/>
  <c r="BQ88" i="2" a="1"/>
  <c r="BQ88" i="2" s="1"/>
  <c r="BQ87" i="2" a="1"/>
  <c r="BQ87" i="2" s="1"/>
  <c r="BQ86" i="2" a="1"/>
  <c r="BQ86" i="2" s="1"/>
  <c r="BQ84" i="2" a="1"/>
  <c r="BQ84" i="2" s="1"/>
  <c r="BQ82" i="2" a="1"/>
  <c r="BQ82" i="2" s="1"/>
  <c r="BQ81" i="2" a="1"/>
  <c r="BQ81" i="2" s="1"/>
  <c r="BP80" i="2" a="1"/>
  <c r="BP80" i="2" s="1"/>
  <c r="BF79" i="2" a="1"/>
  <c r="BF79" i="2" s="1"/>
  <c r="BM76" i="2" a="1"/>
  <c r="BM76" i="2" s="1"/>
  <c r="BQ75" i="2" a="1"/>
  <c r="BQ75" i="2" s="1"/>
  <c r="BM74" i="2" a="1"/>
  <c r="BM74" i="2" s="1"/>
  <c r="BM72" i="2" a="1"/>
  <c r="BM72" i="2" s="1"/>
  <c r="BQ71" i="2" a="1"/>
  <c r="BQ71" i="2" s="1"/>
  <c r="BM70" i="2" a="1"/>
  <c r="BM70" i="2" s="1"/>
  <c r="BM68" i="2" a="1"/>
  <c r="BM68" i="2" s="1"/>
  <c r="BQ67" i="2" a="1"/>
  <c r="BQ67" i="2" s="1"/>
  <c r="BM66" i="2" a="1"/>
  <c r="BM66" i="2" s="1"/>
  <c r="BM64" i="2" a="1"/>
  <c r="BM64" i="2" s="1"/>
  <c r="BQ63" i="2" a="1"/>
  <c r="BQ63" i="2" s="1"/>
  <c r="BM62" i="2" a="1"/>
  <c r="BM62" i="2" s="1"/>
  <c r="BM60" i="2" a="1"/>
  <c r="BM60" i="2" s="1"/>
  <c r="BQ59" i="2" a="1"/>
  <c r="BQ59" i="2" s="1"/>
  <c r="BM58" i="2" a="1"/>
  <c r="BM58" i="2" s="1"/>
  <c r="BP55" i="2" a="1"/>
  <c r="BP55" i="2" s="1"/>
  <c r="BH52" i="2" a="1"/>
  <c r="BH52" i="2" s="1"/>
  <c r="BF50" i="2" a="1"/>
  <c r="BF50" i="2" s="1"/>
  <c r="BP47" i="2" a="1"/>
  <c r="BP47" i="2" s="1"/>
  <c r="BQ44" i="2" a="1"/>
  <c r="BQ44" i="2" s="1"/>
  <c r="BF37" i="2" a="1"/>
  <c r="BF37" i="2" s="1"/>
  <c r="BH36" i="2" a="1"/>
  <c r="BH36" i="2" s="1"/>
  <c r="BH35" i="2" a="1"/>
  <c r="BH35" i="2" s="1"/>
  <c r="BG34" i="2" a="1"/>
  <c r="BG34" i="2" s="1"/>
  <c r="BH33" i="2" a="1"/>
  <c r="BH33" i="2" s="1"/>
  <c r="BH32" i="2" a="1"/>
  <c r="BH32" i="2" s="1"/>
  <c r="BH30" i="2" a="1"/>
  <c r="BH30" i="2" s="1"/>
  <c r="BG29" i="2" a="1"/>
  <c r="BG29" i="2" s="1"/>
  <c r="BQ26" i="2" a="1"/>
  <c r="BQ26" i="2" s="1"/>
  <c r="BM25" i="2" a="1"/>
  <c r="BM25" i="2" s="1"/>
  <c r="BM21" i="2" a="1"/>
  <c r="BM21" i="2" s="1"/>
  <c r="BM17" i="2" a="1"/>
  <c r="BM17" i="2" s="1"/>
  <c r="BF15" i="2" a="1"/>
  <c r="BF15" i="2" s="1"/>
  <c r="BM13" i="2" a="1"/>
  <c r="BM13" i="2" s="1"/>
  <c r="BN10" i="2" a="1"/>
  <c r="BN10" i="2" s="1"/>
  <c r="BF9" i="2" a="1"/>
  <c r="BF9" i="2" s="1"/>
  <c r="BQ5" i="2" a="1"/>
  <c r="BQ5" i="2" s="1"/>
  <c r="DZ75" i="2"/>
  <c r="EF25" i="2"/>
  <c r="DZ10" i="2"/>
  <c r="ES27" i="2" a="1"/>
  <c r="ES27" i="2" s="1"/>
  <c r="FS75" i="2"/>
  <c r="EG80" i="2"/>
  <c r="BO80" i="2" a="1"/>
  <c r="BO80" i="2" s="1"/>
  <c r="EG79" i="2"/>
  <c r="BO79" i="2" a="1"/>
  <c r="BO79" i="2" s="1"/>
  <c r="EG78" i="2"/>
  <c r="BO78" i="2" a="1"/>
  <c r="BO78" i="2" s="1"/>
  <c r="EG77" i="2"/>
  <c r="BO77" i="2" a="1"/>
  <c r="BO77" i="2" s="1"/>
  <c r="EG76" i="2"/>
  <c r="BO76" i="2" a="1"/>
  <c r="BO76" i="2" s="1"/>
  <c r="EG75" i="2"/>
  <c r="BO75" i="2" a="1"/>
  <c r="BO75" i="2" s="1"/>
  <c r="EG74" i="2"/>
  <c r="BO74" i="2" a="1"/>
  <c r="BO74" i="2" s="1"/>
  <c r="EG73" i="2"/>
  <c r="BO73" i="2" a="1"/>
  <c r="BO73" i="2" s="1"/>
  <c r="EG72" i="2"/>
  <c r="BO72" i="2" a="1"/>
  <c r="BO72" i="2" s="1"/>
  <c r="EG71" i="2"/>
  <c r="BO71" i="2" a="1"/>
  <c r="BO71" i="2" s="1"/>
  <c r="EG70" i="2"/>
  <c r="BO70" i="2" a="1"/>
  <c r="BO70" i="2" s="1"/>
  <c r="EG69" i="2"/>
  <c r="BO69" i="2" a="1"/>
  <c r="BO69" i="2" s="1"/>
  <c r="EG68" i="2"/>
  <c r="BO68" i="2" a="1"/>
  <c r="BO68" i="2" s="1"/>
  <c r="EG67" i="2"/>
  <c r="BO67" i="2" a="1"/>
  <c r="BO67" i="2" s="1"/>
  <c r="EG66" i="2"/>
  <c r="BO66" i="2" a="1"/>
  <c r="BO66" i="2" s="1"/>
  <c r="EG65" i="2"/>
  <c r="BO65" i="2" a="1"/>
  <c r="BO65" i="2" s="1"/>
  <c r="EG64" i="2"/>
  <c r="BO64" i="2" a="1"/>
  <c r="BO64" i="2" s="1"/>
  <c r="EG63" i="2"/>
  <c r="BO63" i="2" a="1"/>
  <c r="BO63" i="2" s="1"/>
  <c r="EG62" i="2"/>
  <c r="BO62" i="2" a="1"/>
  <c r="BO62" i="2" s="1"/>
  <c r="EG61" i="2"/>
  <c r="BO61" i="2" a="1"/>
  <c r="BO61" i="2" s="1"/>
  <c r="EG60" i="2"/>
  <c r="BO60" i="2" a="1"/>
  <c r="BO60" i="2" s="1"/>
  <c r="EG59" i="2"/>
  <c r="BO59" i="2" a="1"/>
  <c r="BO59" i="2" s="1"/>
  <c r="EG58" i="2"/>
  <c r="BO58" i="2" a="1"/>
  <c r="BO58" i="2" s="1"/>
  <c r="EG57" i="2"/>
  <c r="BO57" i="2" a="1"/>
  <c r="BO57" i="2" s="1"/>
  <c r="EG56" i="2"/>
  <c r="BO56" i="2" a="1"/>
  <c r="BO56" i="2" s="1"/>
  <c r="EG53" i="2"/>
  <c r="BO53" i="2" a="1"/>
  <c r="BO53" i="2" s="1"/>
  <c r="EG50" i="2"/>
  <c r="BO50" i="2" a="1"/>
  <c r="BO50" i="2" s="1"/>
  <c r="EG47" i="2"/>
  <c r="BO47" i="2" a="1"/>
  <c r="BO47" i="2" s="1"/>
  <c r="EG44" i="2"/>
  <c r="BO44" i="2" a="1"/>
  <c r="BO44" i="2" s="1"/>
  <c r="EG41" i="2"/>
  <c r="BO41" i="2" a="1"/>
  <c r="BO41" i="2" s="1"/>
  <c r="EG39" i="2"/>
  <c r="BO39" i="2" a="1"/>
  <c r="BO39" i="2" s="1"/>
  <c r="EG37" i="2"/>
  <c r="BO37" i="2" a="1"/>
  <c r="BO37" i="2" s="1"/>
  <c r="EG35" i="2"/>
  <c r="BO35" i="2" a="1"/>
  <c r="BO35" i="2" s="1"/>
  <c r="EG32" i="2"/>
  <c r="BO32" i="2" a="1"/>
  <c r="BO32" i="2" s="1"/>
  <c r="EG29" i="2"/>
  <c r="BO29" i="2" a="1"/>
  <c r="BO29" i="2" s="1"/>
  <c r="EG25" i="2"/>
  <c r="BO25" i="2" a="1"/>
  <c r="BO25" i="2" s="1"/>
  <c r="EG24" i="2"/>
  <c r="BO24" i="2" a="1"/>
  <c r="BO24" i="2" s="1"/>
  <c r="EG23" i="2"/>
  <c r="BO23" i="2" a="1"/>
  <c r="BO23" i="2" s="1"/>
  <c r="EG22" i="2"/>
  <c r="BO22" i="2" a="1"/>
  <c r="BO22" i="2" s="1"/>
  <c r="EG21" i="2"/>
  <c r="BO21" i="2" a="1"/>
  <c r="BO21" i="2" s="1"/>
  <c r="EG20" i="2"/>
  <c r="BO20" i="2" a="1"/>
  <c r="BO20" i="2" s="1"/>
  <c r="EG19" i="2"/>
  <c r="BO19" i="2" a="1"/>
  <c r="BO19" i="2" s="1"/>
  <c r="EG18" i="2"/>
  <c r="BO18" i="2" a="1"/>
  <c r="BO18" i="2" s="1"/>
  <c r="EG17" i="2"/>
  <c r="BO17" i="2" a="1"/>
  <c r="BO17" i="2" s="1"/>
  <c r="EG16" i="2"/>
  <c r="BO16" i="2" a="1"/>
  <c r="BO16" i="2" s="1"/>
  <c r="EG15" i="2"/>
  <c r="BO15" i="2" a="1"/>
  <c r="BO15" i="2" s="1"/>
  <c r="EG14" i="2"/>
  <c r="BO14" i="2" a="1"/>
  <c r="BO14" i="2" s="1"/>
  <c r="EG13" i="2"/>
  <c r="BO13" i="2" a="1"/>
  <c r="BO13" i="2" s="1"/>
  <c r="EG12" i="2"/>
  <c r="BO12" i="2" a="1"/>
  <c r="BO12" i="2" s="1"/>
  <c r="EG9" i="2"/>
  <c r="BO9" i="2" a="1"/>
  <c r="BO9" i="2" s="1"/>
  <c r="EG8" i="2"/>
  <c r="BO8" i="2" a="1"/>
  <c r="BO8" i="2" s="1"/>
  <c r="EG6" i="2"/>
  <c r="BO6" i="2" a="1"/>
  <c r="BO6" i="2" s="1"/>
  <c r="BM79" i="2" a="1"/>
  <c r="BM79" i="2" s="1"/>
  <c r="BH77" i="2" a="1"/>
  <c r="BH77" i="2" s="1"/>
  <c r="BH73" i="2" a="1"/>
  <c r="BH73" i="2" s="1"/>
  <c r="BH71" i="2" a="1"/>
  <c r="BH71" i="2" s="1"/>
  <c r="BH69" i="2" a="1"/>
  <c r="BH69" i="2" s="1"/>
  <c r="BH67" i="2" a="1"/>
  <c r="BH67" i="2" s="1"/>
  <c r="BH65" i="2" a="1"/>
  <c r="BH65" i="2" s="1"/>
  <c r="BH61" i="2" a="1"/>
  <c r="BH61" i="2" s="1"/>
  <c r="BH57" i="2" a="1"/>
  <c r="BH57" i="2" s="1"/>
  <c r="BO55" i="2" a="1"/>
  <c r="BO55" i="2" s="1"/>
  <c r="BM53" i="2" a="1"/>
  <c r="BM53" i="2" s="1"/>
  <c r="BH41" i="2" a="1"/>
  <c r="BH41" i="2" s="1"/>
  <c r="BM39" i="2" a="1"/>
  <c r="BM39" i="2" s="1"/>
  <c r="BO38" i="2" a="1"/>
  <c r="BO38" i="2" s="1"/>
  <c r="BG32" i="2" a="1"/>
  <c r="BG32" i="2" s="1"/>
  <c r="BO26" i="2" a="1"/>
  <c r="BO26" i="2" s="1"/>
  <c r="BG24" i="2" a="1"/>
  <c r="BG24" i="2" s="1"/>
  <c r="BF12" i="2" a="1"/>
  <c r="BF12" i="2" s="1"/>
  <c r="BM10" i="2" a="1"/>
  <c r="BM10" i="2" s="1"/>
  <c r="BO5" i="2" a="1"/>
  <c r="BO5" i="2" s="1"/>
  <c r="DY75" i="2"/>
  <c r="DY43" i="2"/>
  <c r="DY36" i="2"/>
  <c r="EF17" i="2"/>
  <c r="DZ14" i="2"/>
  <c r="EF5" i="2"/>
  <c r="FS95" i="2"/>
  <c r="ET95" i="2" a="1"/>
  <c r="ET95" i="2" s="1"/>
  <c r="FS91" i="2"/>
  <c r="ET91" i="2" a="1"/>
  <c r="ET91" i="2" s="1"/>
  <c r="FS87" i="2"/>
  <c r="ET87" i="2" a="1"/>
  <c r="ET87" i="2" s="1"/>
  <c r="FS83" i="2"/>
  <c r="ET83" i="2" a="1"/>
  <c r="ET83" i="2" s="1"/>
  <c r="ET71" i="2" a="1"/>
  <c r="ET71" i="2" s="1"/>
  <c r="FS71" i="2"/>
  <c r="ET67" i="2" a="1"/>
  <c r="ET67" i="2" s="1"/>
  <c r="FS67" i="2"/>
  <c r="FS59" i="2"/>
  <c r="ET59" i="2" a="1"/>
  <c r="ET59" i="2" s="1"/>
  <c r="FS55" i="2"/>
  <c r="ET55" i="2" a="1"/>
  <c r="ET55" i="2" s="1"/>
  <c r="ET51" i="2" a="1"/>
  <c r="ET51" i="2" s="1"/>
  <c r="FS51" i="2"/>
  <c r="ET47" i="2" a="1"/>
  <c r="ET47" i="2" s="1"/>
  <c r="FS47" i="2"/>
  <c r="FS43" i="2"/>
  <c r="ET43" i="2" a="1"/>
  <c r="ET43" i="2" s="1"/>
  <c r="FS39" i="2"/>
  <c r="ET39" i="2" a="1"/>
  <c r="ET39" i="2" s="1"/>
  <c r="ET27" i="2" a="1"/>
  <c r="ET27" i="2" s="1"/>
  <c r="FS27" i="2"/>
  <c r="ET19" i="2" a="1"/>
  <c r="ET19" i="2" s="1"/>
  <c r="FS19" i="2"/>
  <c r="FS15" i="2"/>
  <c r="ET15" i="2" a="1"/>
  <c r="ET15" i="2" s="1"/>
  <c r="FS11" i="2"/>
  <c r="ET11" i="2" a="1"/>
  <c r="ET11" i="2" s="1"/>
  <c r="FS7" i="2"/>
  <c r="ET7" i="2" a="1"/>
  <c r="ET7" i="2" s="1"/>
  <c r="FR75" i="2"/>
  <c r="MJ63" i="2"/>
  <c r="HJ63" i="2" a="1"/>
  <c r="HJ63" i="2" s="1"/>
  <c r="LX63" i="2"/>
  <c r="GX63" i="2" a="1"/>
  <c r="GX63" i="2" s="1"/>
  <c r="MK62" i="2"/>
  <c r="HK62" i="2" a="1"/>
  <c r="HK62" i="2" s="1"/>
  <c r="LY62" i="2"/>
  <c r="GY62" i="2" a="1"/>
  <c r="GY62" i="2" s="1"/>
  <c r="ML61" i="2"/>
  <c r="HL61" i="2" a="1"/>
  <c r="HL61" i="2" s="1"/>
  <c r="LZ61" i="2"/>
  <c r="GZ61" i="2" a="1"/>
  <c r="GZ61" i="2" s="1"/>
  <c r="MM60" i="2"/>
  <c r="HM60" i="2" a="1"/>
  <c r="HM60" i="2" s="1"/>
  <c r="MA60" i="2"/>
  <c r="HA60" i="2" a="1"/>
  <c r="HA60" i="2" s="1"/>
  <c r="MN59" i="2"/>
  <c r="HN59" i="2" a="1"/>
  <c r="HN59" i="2" s="1"/>
  <c r="MB59" i="2"/>
  <c r="HB59" i="2" a="1"/>
  <c r="HB59" i="2" s="1"/>
  <c r="MO58" i="2"/>
  <c r="HO58" i="2" a="1"/>
  <c r="HO58" i="2" s="1"/>
  <c r="MC58" i="2"/>
  <c r="HC58" i="2" a="1"/>
  <c r="HC58" i="2" s="1"/>
  <c r="MP57" i="2"/>
  <c r="HP57" i="2" a="1"/>
  <c r="HP57" i="2" s="1"/>
  <c r="MD57" i="2"/>
  <c r="HD57" i="2" a="1"/>
  <c r="HD57" i="2" s="1"/>
  <c r="MQ56" i="2"/>
  <c r="HQ56" i="2" a="1"/>
  <c r="HQ56" i="2" s="1"/>
  <c r="MR55" i="2"/>
  <c r="HR55" i="2" a="1"/>
  <c r="HR55" i="2" s="1"/>
  <c r="MF55" i="2"/>
  <c r="HF55" i="2" a="1"/>
  <c r="HF55" i="2" s="1"/>
  <c r="MS54" i="2"/>
  <c r="HS54" i="2" a="1"/>
  <c r="HS54" i="2" s="1"/>
  <c r="MG54" i="2"/>
  <c r="HG54" i="2" a="1"/>
  <c r="HG54" i="2" s="1"/>
  <c r="MT53" i="2"/>
  <c r="HT53" i="2" a="1"/>
  <c r="HT53" i="2" s="1"/>
  <c r="MH53" i="2"/>
  <c r="HH53" i="2" a="1"/>
  <c r="HH53" i="2" s="1"/>
  <c r="MI52" i="2"/>
  <c r="HI52" i="2" a="1"/>
  <c r="HI52" i="2" s="1"/>
  <c r="LW52" i="2"/>
  <c r="GW52" i="2" a="1"/>
  <c r="GW52" i="2" s="1"/>
  <c r="MJ51" i="2"/>
  <c r="HJ51" i="2" a="1"/>
  <c r="HJ51" i="2" s="1"/>
  <c r="LX51" i="2"/>
  <c r="GX51" i="2" a="1"/>
  <c r="GX51" i="2" s="1"/>
  <c r="MK50" i="2"/>
  <c r="HK50" i="2" a="1"/>
  <c r="HK50" i="2" s="1"/>
  <c r="LY50" i="2"/>
  <c r="GY50" i="2" a="1"/>
  <c r="GY50" i="2" s="1"/>
  <c r="ML49" i="2"/>
  <c r="HL49" i="2" a="1"/>
  <c r="HL49" i="2" s="1"/>
  <c r="LZ49" i="2"/>
  <c r="GZ49" i="2" a="1"/>
  <c r="GZ49" i="2" s="1"/>
  <c r="MM48" i="2"/>
  <c r="HM48" i="2" a="1"/>
  <c r="HM48" i="2" s="1"/>
  <c r="MA48" i="2"/>
  <c r="HA48" i="2" a="1"/>
  <c r="HA48" i="2" s="1"/>
  <c r="MN47" i="2"/>
  <c r="HN47" i="2" a="1"/>
  <c r="HN47" i="2" s="1"/>
  <c r="MB47" i="2"/>
  <c r="HB47" i="2" a="1"/>
  <c r="HB47" i="2" s="1"/>
  <c r="MO46" i="2"/>
  <c r="HO46" i="2" a="1"/>
  <c r="HO46" i="2" s="1"/>
  <c r="MC46" i="2"/>
  <c r="HC46" i="2" a="1"/>
  <c r="HC46" i="2" s="1"/>
  <c r="MP45" i="2"/>
  <c r="HP45" i="2" a="1"/>
  <c r="HP45" i="2" s="1"/>
  <c r="MD45" i="2"/>
  <c r="HD45" i="2" a="1"/>
  <c r="HD45" i="2" s="1"/>
  <c r="MQ44" i="2"/>
  <c r="HQ44" i="2" a="1"/>
  <c r="HQ44" i="2" s="1"/>
  <c r="ME44" i="2"/>
  <c r="HE44" i="2" a="1"/>
  <c r="HE44" i="2" s="1"/>
  <c r="MR43" i="2"/>
  <c r="HR43" i="2" a="1"/>
  <c r="HR43" i="2" s="1"/>
  <c r="MF43" i="2"/>
  <c r="HF43" i="2" a="1"/>
  <c r="HF43" i="2" s="1"/>
  <c r="MS42" i="2"/>
  <c r="HS42" i="2" a="1"/>
  <c r="HS42" i="2" s="1"/>
  <c r="MG42" i="2"/>
  <c r="HG42" i="2" a="1"/>
  <c r="HG42" i="2" s="1"/>
  <c r="MT41" i="2"/>
  <c r="HT41" i="2" a="1"/>
  <c r="HT41" i="2" s="1"/>
  <c r="MH41" i="2"/>
  <c r="HH41" i="2" a="1"/>
  <c r="HH41" i="2" s="1"/>
  <c r="MI40" i="2"/>
  <c r="HI40" i="2" a="1"/>
  <c r="HI40" i="2" s="1"/>
  <c r="LW40" i="2"/>
  <c r="GW40" i="2" a="1"/>
  <c r="GW40" i="2" s="1"/>
  <c r="MJ39" i="2"/>
  <c r="HJ39" i="2" a="1"/>
  <c r="HJ39" i="2" s="1"/>
  <c r="LX39" i="2"/>
  <c r="GX39" i="2" a="1"/>
  <c r="GX39" i="2" s="1"/>
  <c r="MK38" i="2"/>
  <c r="HK38" i="2" a="1"/>
  <c r="HK38" i="2" s="1"/>
  <c r="LY38" i="2"/>
  <c r="GY38" i="2" a="1"/>
  <c r="GY38" i="2" s="1"/>
  <c r="ML37" i="2"/>
  <c r="HL37" i="2" a="1"/>
  <c r="HL37" i="2" s="1"/>
  <c r="LZ37" i="2"/>
  <c r="GZ37" i="2" a="1"/>
  <c r="GZ37" i="2" s="1"/>
  <c r="MM36" i="2"/>
  <c r="HM36" i="2" a="1"/>
  <c r="HM36" i="2" s="1"/>
  <c r="MA36" i="2"/>
  <c r="HA36" i="2" a="1"/>
  <c r="HA36" i="2" s="1"/>
  <c r="MN35" i="2"/>
  <c r="HN35" i="2" a="1"/>
  <c r="HN35" i="2" s="1"/>
  <c r="MB35" i="2"/>
  <c r="HB35" i="2" a="1"/>
  <c r="HB35" i="2" s="1"/>
  <c r="MO34" i="2"/>
  <c r="HO34" i="2" a="1"/>
  <c r="HO34" i="2" s="1"/>
  <c r="MC34" i="2"/>
  <c r="HC34" i="2" a="1"/>
  <c r="HC34" i="2" s="1"/>
  <c r="MP33" i="2"/>
  <c r="HP33" i="2" a="1"/>
  <c r="HP33" i="2" s="1"/>
  <c r="MD33" i="2"/>
  <c r="HD33" i="2" a="1"/>
  <c r="HD33" i="2" s="1"/>
  <c r="MQ32" i="2"/>
  <c r="HQ32" i="2" a="1"/>
  <c r="HQ32" i="2" s="1"/>
  <c r="ME32" i="2"/>
  <c r="HE32" i="2" a="1"/>
  <c r="HE32" i="2" s="1"/>
  <c r="MR31" i="2"/>
  <c r="HR31" i="2" a="1"/>
  <c r="HR31" i="2" s="1"/>
  <c r="MF31" i="2"/>
  <c r="HF31" i="2" a="1"/>
  <c r="HF31" i="2" s="1"/>
  <c r="MS30" i="2"/>
  <c r="HS30" i="2" a="1"/>
  <c r="HS30" i="2" s="1"/>
  <c r="MG30" i="2"/>
  <c r="HG30" i="2" a="1"/>
  <c r="HG30" i="2" s="1"/>
  <c r="MT29" i="2"/>
  <c r="HT29" i="2" a="1"/>
  <c r="HT29" i="2" s="1"/>
  <c r="MH29" i="2"/>
  <c r="HH29" i="2" a="1"/>
  <c r="HH29" i="2" s="1"/>
  <c r="MI28" i="2"/>
  <c r="HI28" i="2" a="1"/>
  <c r="HI28" i="2" s="1"/>
  <c r="LW28" i="2"/>
  <c r="GW28" i="2" a="1"/>
  <c r="GW28" i="2" s="1"/>
  <c r="MJ27" i="2"/>
  <c r="HJ27" i="2" a="1"/>
  <c r="HJ27" i="2" s="1"/>
  <c r="LX27" i="2"/>
  <c r="GX27" i="2" a="1"/>
  <c r="GX27" i="2" s="1"/>
  <c r="MK26" i="2"/>
  <c r="HK26" i="2" a="1"/>
  <c r="HK26" i="2" s="1"/>
  <c r="LY26" i="2"/>
  <c r="GY26" i="2" a="1"/>
  <c r="GY26" i="2" s="1"/>
  <c r="ML25" i="2"/>
  <c r="HL25" i="2" a="1"/>
  <c r="HL25" i="2" s="1"/>
  <c r="LZ25" i="2"/>
  <c r="GZ25" i="2" a="1"/>
  <c r="GZ25" i="2" s="1"/>
  <c r="MM24" i="2"/>
  <c r="HM24" i="2" a="1"/>
  <c r="HM24" i="2" s="1"/>
  <c r="MA24" i="2"/>
  <c r="HA24" i="2" a="1"/>
  <c r="HA24" i="2" s="1"/>
  <c r="MN23" i="2"/>
  <c r="HN23" i="2" a="1"/>
  <c r="HN23" i="2" s="1"/>
  <c r="MB23" i="2"/>
  <c r="HB23" i="2" a="1"/>
  <c r="HB23" i="2" s="1"/>
  <c r="MO22" i="2"/>
  <c r="HO22" i="2" a="1"/>
  <c r="HO22" i="2" s="1"/>
  <c r="MC22" i="2"/>
  <c r="HC22" i="2" a="1"/>
  <c r="HC22" i="2" s="1"/>
  <c r="MP21" i="2"/>
  <c r="HP21" i="2" a="1"/>
  <c r="HP21" i="2" s="1"/>
  <c r="MD21" i="2"/>
  <c r="HD21" i="2" a="1"/>
  <c r="HD21" i="2" s="1"/>
  <c r="MQ20" i="2"/>
  <c r="HQ20" i="2" a="1"/>
  <c r="HQ20" i="2" s="1"/>
  <c r="ME20" i="2"/>
  <c r="HE20" i="2" a="1"/>
  <c r="HE20" i="2" s="1"/>
  <c r="MR19" i="2"/>
  <c r="HR19" i="2" a="1"/>
  <c r="HR19" i="2" s="1"/>
  <c r="MF19" i="2"/>
  <c r="HF19" i="2" a="1"/>
  <c r="HF19" i="2" s="1"/>
  <c r="MS18" i="2"/>
  <c r="HS18" i="2" a="1"/>
  <c r="HS18" i="2" s="1"/>
  <c r="MG18" i="2"/>
  <c r="HG18" i="2" a="1"/>
  <c r="HG18" i="2" s="1"/>
  <c r="MT17" i="2"/>
  <c r="HT17" i="2" a="1"/>
  <c r="HT17" i="2" s="1"/>
  <c r="MH17" i="2"/>
  <c r="HH17" i="2" a="1"/>
  <c r="HH17" i="2" s="1"/>
  <c r="MI16" i="2"/>
  <c r="HI16" i="2" a="1"/>
  <c r="HI16" i="2" s="1"/>
  <c r="LW16" i="2"/>
  <c r="GW16" i="2" a="1"/>
  <c r="GW16" i="2" s="1"/>
  <c r="MJ15" i="2"/>
  <c r="HJ15" i="2" a="1"/>
  <c r="HJ15" i="2" s="1"/>
  <c r="LX15" i="2"/>
  <c r="GX15" i="2" a="1"/>
  <c r="GX15" i="2" s="1"/>
  <c r="MK14" i="2"/>
  <c r="HK14" i="2" a="1"/>
  <c r="HK14" i="2" s="1"/>
  <c r="LY14" i="2"/>
  <c r="GY14" i="2" a="1"/>
  <c r="GY14" i="2" s="1"/>
  <c r="ML13" i="2"/>
  <c r="HL13" i="2" a="1"/>
  <c r="HL13" i="2" s="1"/>
  <c r="LZ13" i="2"/>
  <c r="GZ13" i="2" a="1"/>
  <c r="GZ13" i="2" s="1"/>
  <c r="MM12" i="2"/>
  <c r="HM12" i="2" a="1"/>
  <c r="HM12" i="2" s="1"/>
  <c r="MA12" i="2"/>
  <c r="HA12" i="2" a="1"/>
  <c r="HA12" i="2" s="1"/>
  <c r="MN11" i="2"/>
  <c r="HN11" i="2" a="1"/>
  <c r="HN11" i="2" s="1"/>
  <c r="MB11" i="2"/>
  <c r="HB11" i="2" a="1"/>
  <c r="HB11" i="2" s="1"/>
  <c r="MO10" i="2"/>
  <c r="HO10" i="2" a="1"/>
  <c r="HO10" i="2" s="1"/>
  <c r="MC10" i="2"/>
  <c r="HC10" i="2" a="1"/>
  <c r="HC10" i="2" s="1"/>
  <c r="MP9" i="2"/>
  <c r="HP9" i="2" a="1"/>
  <c r="HP9" i="2" s="1"/>
  <c r="MD9" i="2"/>
  <c r="HD9" i="2" a="1"/>
  <c r="HD9" i="2" s="1"/>
  <c r="MQ8" i="2"/>
  <c r="HQ8" i="2" a="1"/>
  <c r="HQ8" i="2" s="1"/>
  <c r="ME8" i="2"/>
  <c r="HE8" i="2" a="1"/>
  <c r="HE8" i="2" s="1"/>
  <c r="MR7" i="2"/>
  <c r="HR7" i="2" a="1"/>
  <c r="HR7" i="2" s="1"/>
  <c r="MF7" i="2"/>
  <c r="HF7" i="2" a="1"/>
  <c r="HF7" i="2" s="1"/>
  <c r="MS6" i="2"/>
  <c r="HS6" i="2" a="1"/>
  <c r="HS6" i="2" s="1"/>
  <c r="MG6" i="2"/>
  <c r="HG6" i="2" a="1"/>
  <c r="HG6" i="2" s="1"/>
  <c r="MT5" i="2"/>
  <c r="HT5" i="2" a="1"/>
  <c r="HT5" i="2" s="1"/>
  <c r="MH5" i="2"/>
  <c r="HH5" i="2" a="1"/>
  <c r="HH5" i="2" s="1"/>
  <c r="MI4" i="2"/>
  <c r="HI4" i="2" a="1"/>
  <c r="HI4" i="2" s="1"/>
  <c r="LW4" i="2"/>
  <c r="GW4" i="2" a="1"/>
  <c r="GW4" i="2" s="1"/>
  <c r="MJ103" i="2"/>
  <c r="HJ103" i="2" a="1"/>
  <c r="HJ103" i="2" s="1"/>
  <c r="LX103" i="2"/>
  <c r="GX103" i="2" a="1"/>
  <c r="GX103" i="2" s="1"/>
  <c r="MK102" i="2"/>
  <c r="HK102" i="2" a="1"/>
  <c r="HK102" i="2" s="1"/>
  <c r="LY102" i="2"/>
  <c r="GY102" i="2" a="1"/>
  <c r="GY102" i="2" s="1"/>
  <c r="ML101" i="2"/>
  <c r="HL101" i="2" a="1"/>
  <c r="HL101" i="2" s="1"/>
  <c r="LZ101" i="2"/>
  <c r="GZ101" i="2" a="1"/>
  <c r="GZ101" i="2" s="1"/>
  <c r="MM100" i="2"/>
  <c r="HM100" i="2" a="1"/>
  <c r="HM100" i="2" s="1"/>
  <c r="MA100" i="2"/>
  <c r="HA100" i="2" a="1"/>
  <c r="HA100" i="2" s="1"/>
  <c r="MN99" i="2"/>
  <c r="HN99" i="2" a="1"/>
  <c r="HN99" i="2" s="1"/>
  <c r="MB99" i="2"/>
  <c r="HB99" i="2" a="1"/>
  <c r="HB99" i="2" s="1"/>
  <c r="MO98" i="2"/>
  <c r="HO98" i="2" a="1"/>
  <c r="HO98" i="2" s="1"/>
  <c r="MC98" i="2"/>
  <c r="HC98" i="2" a="1"/>
  <c r="HC98" i="2" s="1"/>
  <c r="MP97" i="2"/>
  <c r="HP97" i="2" a="1"/>
  <c r="HP97" i="2" s="1"/>
  <c r="MD97" i="2"/>
  <c r="HD97" i="2" a="1"/>
  <c r="HD97" i="2" s="1"/>
  <c r="MQ96" i="2"/>
  <c r="HQ96" i="2" a="1"/>
  <c r="HQ96" i="2" s="1"/>
  <c r="ME96" i="2"/>
  <c r="HE96" i="2" a="1"/>
  <c r="HE96" i="2" s="1"/>
  <c r="MR95" i="2"/>
  <c r="HR95" i="2" a="1"/>
  <c r="HR95" i="2" s="1"/>
  <c r="MF95" i="2"/>
  <c r="HF95" i="2" a="1"/>
  <c r="HF95" i="2" s="1"/>
  <c r="MS94" i="2"/>
  <c r="HS94" i="2" a="1"/>
  <c r="HS94" i="2" s="1"/>
  <c r="MG94" i="2"/>
  <c r="HG94" i="2" a="1"/>
  <c r="HG94" i="2" s="1"/>
  <c r="MT93" i="2"/>
  <c r="HT93" i="2" a="1"/>
  <c r="HT93" i="2" s="1"/>
  <c r="HH93" i="2" a="1"/>
  <c r="HH93" i="2" s="1"/>
  <c r="MH93" i="2"/>
  <c r="MI92" i="2"/>
  <c r="HI92" i="2" a="1"/>
  <c r="HI92" i="2" s="1"/>
  <c r="LW92" i="2"/>
  <c r="GW92" i="2" a="1"/>
  <c r="GW92" i="2" s="1"/>
  <c r="MJ91" i="2"/>
  <c r="HJ91" i="2" a="1"/>
  <c r="HJ91" i="2" s="1"/>
  <c r="LX91" i="2"/>
  <c r="GX91" i="2" a="1"/>
  <c r="GX91" i="2" s="1"/>
  <c r="MK90" i="2"/>
  <c r="HK90" i="2" a="1"/>
  <c r="HK90" i="2" s="1"/>
  <c r="LY90" i="2"/>
  <c r="GY90" i="2" a="1"/>
  <c r="GY90" i="2" s="1"/>
  <c r="ML89" i="2"/>
  <c r="HL89" i="2" a="1"/>
  <c r="HL89" i="2" s="1"/>
  <c r="LZ89" i="2"/>
  <c r="GZ89" i="2" a="1"/>
  <c r="GZ89" i="2" s="1"/>
  <c r="MM88" i="2"/>
  <c r="HM88" i="2" a="1"/>
  <c r="HM88" i="2" s="1"/>
  <c r="MA88" i="2"/>
  <c r="HA88" i="2" a="1"/>
  <c r="HA88" i="2" s="1"/>
  <c r="MN87" i="2"/>
  <c r="HN87" i="2" a="1"/>
  <c r="HN87" i="2" s="1"/>
  <c r="MB87" i="2"/>
  <c r="HB87" i="2" a="1"/>
  <c r="HB87" i="2" s="1"/>
  <c r="MO86" i="2"/>
  <c r="HO86" i="2" a="1"/>
  <c r="HO86" i="2" s="1"/>
  <c r="MC86" i="2"/>
  <c r="HC86" i="2" a="1"/>
  <c r="HC86" i="2" s="1"/>
  <c r="MP85" i="2"/>
  <c r="HP85" i="2" a="1"/>
  <c r="HP85" i="2" s="1"/>
  <c r="MD85" i="2"/>
  <c r="HD85" i="2" a="1"/>
  <c r="HD85" i="2" s="1"/>
  <c r="MQ84" i="2"/>
  <c r="HQ84" i="2" a="1"/>
  <c r="HQ84" i="2" s="1"/>
  <c r="ME84" i="2"/>
  <c r="HE84" i="2" a="1"/>
  <c r="HE84" i="2" s="1"/>
  <c r="MR83" i="2"/>
  <c r="HR83" i="2" a="1"/>
  <c r="HR83" i="2" s="1"/>
  <c r="MF83" i="2"/>
  <c r="HF83" i="2" a="1"/>
  <c r="HF83" i="2" s="1"/>
  <c r="EF24" i="2"/>
  <c r="BN24" i="2" a="1"/>
  <c r="BN24" i="2" s="1"/>
  <c r="BN23" i="2" a="1"/>
  <c r="BN23" i="2" s="1"/>
  <c r="EF23" i="2"/>
  <c r="EF20" i="2"/>
  <c r="BN20" i="2" a="1"/>
  <c r="BN20" i="2" s="1"/>
  <c r="BN19" i="2" a="1"/>
  <c r="BN19" i="2" s="1"/>
  <c r="EF19" i="2"/>
  <c r="BN18" i="2" a="1"/>
  <c r="BN18" i="2" s="1"/>
  <c r="EF18" i="2"/>
  <c r="BN16" i="2" a="1"/>
  <c r="BN16" i="2" s="1"/>
  <c r="EF16" i="2"/>
  <c r="BN15" i="2" a="1"/>
  <c r="BN15" i="2" s="1"/>
  <c r="EF15" i="2"/>
  <c r="BN13" i="2" a="1"/>
  <c r="BN13" i="2" s="1"/>
  <c r="EF13" i="2"/>
  <c r="BN12" i="2" a="1"/>
  <c r="BN12" i="2" s="1"/>
  <c r="EF12" i="2"/>
  <c r="BN9" i="2" a="1"/>
  <c r="BN9" i="2" s="1"/>
  <c r="EF9" i="2"/>
  <c r="BN6" i="2" a="1"/>
  <c r="BN6" i="2" s="1"/>
  <c r="EF6" i="2"/>
  <c r="BO52" i="2" a="1"/>
  <c r="BO52" i="2" s="1"/>
  <c r="DY71" i="2"/>
  <c r="EF21" i="2"/>
  <c r="FR99" i="2"/>
  <c r="ES99" i="2" a="1"/>
  <c r="ES99" i="2" s="1"/>
  <c r="FR95" i="2"/>
  <c r="ES95" i="2" a="1"/>
  <c r="ES95" i="2" s="1"/>
  <c r="FR91" i="2"/>
  <c r="ES91" i="2" a="1"/>
  <c r="ES91" i="2" s="1"/>
  <c r="FR87" i="2"/>
  <c r="ES87" i="2" a="1"/>
  <c r="ES87" i="2" s="1"/>
  <c r="FR83" i="2"/>
  <c r="ES83" i="2" a="1"/>
  <c r="ES83" i="2" s="1"/>
  <c r="ES71" i="2" a="1"/>
  <c r="ES71" i="2" s="1"/>
  <c r="FR71" i="2"/>
  <c r="ES67" i="2" a="1"/>
  <c r="ES67" i="2" s="1"/>
  <c r="FR67" i="2"/>
  <c r="ES63" i="2" a="1"/>
  <c r="ES63" i="2" s="1"/>
  <c r="FR63" i="2"/>
  <c r="FR55" i="2"/>
  <c r="ES55" i="2" a="1"/>
  <c r="ES55" i="2" s="1"/>
  <c r="FR51" i="2"/>
  <c r="ES51" i="2" a="1"/>
  <c r="ES51" i="2" s="1"/>
  <c r="ES47" i="2" a="1"/>
  <c r="ES47" i="2" s="1"/>
  <c r="FR47" i="2"/>
  <c r="ES43" i="2" a="1"/>
  <c r="ES43" i="2" s="1"/>
  <c r="FR43" i="2"/>
  <c r="FR39" i="2"/>
  <c r="ES39" i="2" a="1"/>
  <c r="ES39" i="2" s="1"/>
  <c r="FR35" i="2"/>
  <c r="ES35" i="2" a="1"/>
  <c r="ES35" i="2" s="1"/>
  <c r="FR31" i="2"/>
  <c r="ES31" i="2" a="1"/>
  <c r="ES31" i="2" s="1"/>
  <c r="ES23" i="2" a="1"/>
  <c r="ES23" i="2" s="1"/>
  <c r="FR23" i="2"/>
  <c r="ES19" i="2" a="1"/>
  <c r="ES19" i="2" s="1"/>
  <c r="FR19" i="2"/>
  <c r="FR7" i="2"/>
  <c r="ES7" i="2" a="1"/>
  <c r="ES7" i="2" s="1"/>
  <c r="MI63" i="2"/>
  <c r="HI63" i="2" a="1"/>
  <c r="HI63" i="2" s="1"/>
  <c r="LW63" i="2"/>
  <c r="GW63" i="2" a="1"/>
  <c r="GW63" i="2" s="1"/>
  <c r="MJ62" i="2"/>
  <c r="HJ62" i="2" a="1"/>
  <c r="HJ62" i="2" s="1"/>
  <c r="LX62" i="2"/>
  <c r="GX62" i="2" a="1"/>
  <c r="GX62" i="2" s="1"/>
  <c r="MK61" i="2"/>
  <c r="HK61" i="2" a="1"/>
  <c r="HK61" i="2" s="1"/>
  <c r="LY61" i="2"/>
  <c r="GY61" i="2" a="1"/>
  <c r="GY61" i="2" s="1"/>
  <c r="ML60" i="2"/>
  <c r="HL60" i="2" a="1"/>
  <c r="HL60" i="2" s="1"/>
  <c r="LZ60" i="2"/>
  <c r="GZ60" i="2" a="1"/>
  <c r="GZ60" i="2" s="1"/>
  <c r="MM59" i="2"/>
  <c r="HM59" i="2" a="1"/>
  <c r="HM59" i="2" s="1"/>
  <c r="MA59" i="2"/>
  <c r="HA59" i="2" a="1"/>
  <c r="HA59" i="2" s="1"/>
  <c r="MN58" i="2"/>
  <c r="HN58" i="2" a="1"/>
  <c r="HN58" i="2" s="1"/>
  <c r="MB58" i="2"/>
  <c r="HB58" i="2" a="1"/>
  <c r="HB58" i="2" s="1"/>
  <c r="MO57" i="2"/>
  <c r="HO57" i="2" a="1"/>
  <c r="HO57" i="2" s="1"/>
  <c r="MC57" i="2"/>
  <c r="HC57" i="2" a="1"/>
  <c r="HC57" i="2" s="1"/>
  <c r="MP56" i="2"/>
  <c r="HP56" i="2" a="1"/>
  <c r="HP56" i="2" s="1"/>
  <c r="MD56" i="2"/>
  <c r="HD56" i="2" a="1"/>
  <c r="HD56" i="2" s="1"/>
  <c r="MQ55" i="2"/>
  <c r="HQ55" i="2" a="1"/>
  <c r="HQ55" i="2" s="1"/>
  <c r="ME55" i="2"/>
  <c r="HE55" i="2" a="1"/>
  <c r="HE55" i="2" s="1"/>
  <c r="MR54" i="2"/>
  <c r="HR54" i="2" a="1"/>
  <c r="HR54" i="2" s="1"/>
  <c r="MF54" i="2"/>
  <c r="HF54" i="2" a="1"/>
  <c r="HF54" i="2" s="1"/>
  <c r="MS53" i="2"/>
  <c r="HS53" i="2" a="1"/>
  <c r="HS53" i="2" s="1"/>
  <c r="MG53" i="2"/>
  <c r="HG53" i="2" a="1"/>
  <c r="HG53" i="2" s="1"/>
  <c r="MT52" i="2"/>
  <c r="HT52" i="2" a="1"/>
  <c r="HT52" i="2" s="1"/>
  <c r="MH52" i="2"/>
  <c r="HH52" i="2" a="1"/>
  <c r="HH52" i="2" s="1"/>
  <c r="MI51" i="2"/>
  <c r="HI51" i="2" a="1"/>
  <c r="HI51" i="2" s="1"/>
  <c r="LW51" i="2"/>
  <c r="GW51" i="2" a="1"/>
  <c r="GW51" i="2" s="1"/>
  <c r="MJ50" i="2"/>
  <c r="HJ50" i="2" a="1"/>
  <c r="HJ50" i="2" s="1"/>
  <c r="LX50" i="2"/>
  <c r="GX50" i="2" a="1"/>
  <c r="GX50" i="2" s="1"/>
  <c r="MK49" i="2"/>
  <c r="HK49" i="2" a="1"/>
  <c r="HK49" i="2" s="1"/>
  <c r="LY49" i="2"/>
  <c r="GY49" i="2" a="1"/>
  <c r="GY49" i="2" s="1"/>
  <c r="ML48" i="2"/>
  <c r="HL48" i="2" a="1"/>
  <c r="HL48" i="2" s="1"/>
  <c r="LZ48" i="2"/>
  <c r="GZ48" i="2" a="1"/>
  <c r="GZ48" i="2" s="1"/>
  <c r="MM47" i="2"/>
  <c r="HM47" i="2" a="1"/>
  <c r="HM47" i="2" s="1"/>
  <c r="MA47" i="2"/>
  <c r="HA47" i="2" a="1"/>
  <c r="HA47" i="2" s="1"/>
  <c r="MN46" i="2"/>
  <c r="HN46" i="2" a="1"/>
  <c r="HN46" i="2" s="1"/>
  <c r="MB46" i="2"/>
  <c r="HB46" i="2" a="1"/>
  <c r="HB46" i="2" s="1"/>
  <c r="MO45" i="2"/>
  <c r="HO45" i="2" a="1"/>
  <c r="HO45" i="2" s="1"/>
  <c r="MC45" i="2"/>
  <c r="HC45" i="2" a="1"/>
  <c r="HC45" i="2" s="1"/>
  <c r="MP44" i="2"/>
  <c r="HP44" i="2" a="1"/>
  <c r="HP44" i="2" s="1"/>
  <c r="MD44" i="2"/>
  <c r="HD44" i="2" a="1"/>
  <c r="HD44" i="2" s="1"/>
  <c r="MQ43" i="2"/>
  <c r="HQ43" i="2" a="1"/>
  <c r="HQ43" i="2" s="1"/>
  <c r="ME43" i="2"/>
  <c r="HE43" i="2" a="1"/>
  <c r="HE43" i="2" s="1"/>
  <c r="MR42" i="2"/>
  <c r="HR42" i="2" a="1"/>
  <c r="HR42" i="2" s="1"/>
  <c r="MF42" i="2"/>
  <c r="HF42" i="2" a="1"/>
  <c r="HF42" i="2" s="1"/>
  <c r="MS41" i="2"/>
  <c r="HS41" i="2" a="1"/>
  <c r="HS41" i="2" s="1"/>
  <c r="MG41" i="2"/>
  <c r="HG41" i="2" a="1"/>
  <c r="HG41" i="2" s="1"/>
  <c r="MT40" i="2"/>
  <c r="HT40" i="2" a="1"/>
  <c r="HT40" i="2" s="1"/>
  <c r="MH40" i="2"/>
  <c r="HH40" i="2" a="1"/>
  <c r="HH40" i="2" s="1"/>
  <c r="MI39" i="2"/>
  <c r="HI39" i="2" a="1"/>
  <c r="HI39" i="2" s="1"/>
  <c r="LW39" i="2"/>
  <c r="GW39" i="2" a="1"/>
  <c r="GW39" i="2" s="1"/>
  <c r="MJ38" i="2"/>
  <c r="HJ38" i="2" a="1"/>
  <c r="HJ38" i="2" s="1"/>
  <c r="LX38" i="2"/>
  <c r="GX38" i="2" a="1"/>
  <c r="GX38" i="2" s="1"/>
  <c r="MK37" i="2"/>
  <c r="HK37" i="2" a="1"/>
  <c r="HK37" i="2" s="1"/>
  <c r="LY37" i="2"/>
  <c r="GY37" i="2" a="1"/>
  <c r="GY37" i="2" s="1"/>
  <c r="ML36" i="2"/>
  <c r="HL36" i="2" a="1"/>
  <c r="HL36" i="2" s="1"/>
  <c r="LZ36" i="2"/>
  <c r="GZ36" i="2" a="1"/>
  <c r="GZ36" i="2" s="1"/>
  <c r="MM35" i="2"/>
  <c r="HM35" i="2" a="1"/>
  <c r="HM35" i="2" s="1"/>
  <c r="MA35" i="2"/>
  <c r="HA35" i="2" a="1"/>
  <c r="HA35" i="2" s="1"/>
  <c r="MN34" i="2"/>
  <c r="HN34" i="2" a="1"/>
  <c r="HN34" i="2" s="1"/>
  <c r="MB34" i="2"/>
  <c r="HB34" i="2" a="1"/>
  <c r="HB34" i="2" s="1"/>
  <c r="MO33" i="2"/>
  <c r="HO33" i="2" a="1"/>
  <c r="HO33" i="2" s="1"/>
  <c r="MC33" i="2"/>
  <c r="HC33" i="2" a="1"/>
  <c r="HC33" i="2" s="1"/>
  <c r="MP32" i="2"/>
  <c r="HP32" i="2" a="1"/>
  <c r="HP32" i="2" s="1"/>
  <c r="MD32" i="2"/>
  <c r="HD32" i="2" a="1"/>
  <c r="HD32" i="2" s="1"/>
  <c r="MQ31" i="2"/>
  <c r="HQ31" i="2" a="1"/>
  <c r="HQ31" i="2" s="1"/>
  <c r="ME31" i="2"/>
  <c r="HE31" i="2" a="1"/>
  <c r="HE31" i="2" s="1"/>
  <c r="MR30" i="2"/>
  <c r="HR30" i="2" a="1"/>
  <c r="HR30" i="2" s="1"/>
  <c r="MF30" i="2"/>
  <c r="HF30" i="2" a="1"/>
  <c r="HF30" i="2" s="1"/>
  <c r="MS29" i="2"/>
  <c r="HS29" i="2" a="1"/>
  <c r="HS29" i="2" s="1"/>
  <c r="MG29" i="2"/>
  <c r="HG29" i="2" a="1"/>
  <c r="HG29" i="2" s="1"/>
  <c r="MT28" i="2"/>
  <c r="HT28" i="2" a="1"/>
  <c r="HT28" i="2" s="1"/>
  <c r="MH28" i="2"/>
  <c r="HH28" i="2" a="1"/>
  <c r="HH28" i="2" s="1"/>
  <c r="MI27" i="2"/>
  <c r="HI27" i="2" a="1"/>
  <c r="HI27" i="2" s="1"/>
  <c r="LW27" i="2"/>
  <c r="GW27" i="2" a="1"/>
  <c r="GW27" i="2" s="1"/>
  <c r="MJ26" i="2"/>
  <c r="HJ26" i="2" a="1"/>
  <c r="HJ26" i="2" s="1"/>
  <c r="LX26" i="2"/>
  <c r="GX26" i="2" a="1"/>
  <c r="GX26" i="2" s="1"/>
  <c r="MK25" i="2"/>
  <c r="HK25" i="2" a="1"/>
  <c r="HK25" i="2" s="1"/>
  <c r="LY25" i="2"/>
  <c r="GY25" i="2" a="1"/>
  <c r="GY25" i="2" s="1"/>
  <c r="ML24" i="2"/>
  <c r="HL24" i="2" a="1"/>
  <c r="HL24" i="2" s="1"/>
  <c r="LZ24" i="2"/>
  <c r="GZ24" i="2" a="1"/>
  <c r="GZ24" i="2" s="1"/>
  <c r="MM23" i="2"/>
  <c r="HM23" i="2" a="1"/>
  <c r="HM23" i="2" s="1"/>
  <c r="MA23" i="2"/>
  <c r="HA23" i="2" a="1"/>
  <c r="HA23" i="2" s="1"/>
  <c r="MN22" i="2"/>
  <c r="HN22" i="2" a="1"/>
  <c r="HN22" i="2" s="1"/>
  <c r="MB22" i="2"/>
  <c r="HB22" i="2" a="1"/>
  <c r="HB22" i="2" s="1"/>
  <c r="MO21" i="2"/>
  <c r="HO21" i="2" a="1"/>
  <c r="HO21" i="2" s="1"/>
  <c r="MC21" i="2"/>
  <c r="HC21" i="2" a="1"/>
  <c r="HC21" i="2" s="1"/>
  <c r="MP20" i="2"/>
  <c r="HP20" i="2" a="1"/>
  <c r="HP20" i="2" s="1"/>
  <c r="MD20" i="2"/>
  <c r="HD20" i="2" a="1"/>
  <c r="HD20" i="2" s="1"/>
  <c r="MQ19" i="2"/>
  <c r="HQ19" i="2" a="1"/>
  <c r="HQ19" i="2" s="1"/>
  <c r="ME19" i="2"/>
  <c r="HE19" i="2" a="1"/>
  <c r="HE19" i="2" s="1"/>
  <c r="MR18" i="2"/>
  <c r="HR18" i="2" a="1"/>
  <c r="HR18" i="2" s="1"/>
  <c r="MF18" i="2"/>
  <c r="HF18" i="2" a="1"/>
  <c r="HF18" i="2" s="1"/>
  <c r="MS17" i="2"/>
  <c r="HS17" i="2" a="1"/>
  <c r="HS17" i="2" s="1"/>
  <c r="MG17" i="2"/>
  <c r="HG17" i="2" a="1"/>
  <c r="HG17" i="2" s="1"/>
  <c r="MT16" i="2"/>
  <c r="HT16" i="2" a="1"/>
  <c r="HT16" i="2" s="1"/>
  <c r="MH16" i="2"/>
  <c r="HH16" i="2" a="1"/>
  <c r="HH16" i="2" s="1"/>
  <c r="MI15" i="2"/>
  <c r="HI15" i="2" a="1"/>
  <c r="HI15" i="2" s="1"/>
  <c r="LW15" i="2"/>
  <c r="GW15" i="2" a="1"/>
  <c r="GW15" i="2" s="1"/>
  <c r="MJ14" i="2"/>
  <c r="HJ14" i="2" a="1"/>
  <c r="HJ14" i="2" s="1"/>
  <c r="LX14" i="2"/>
  <c r="GX14" i="2" a="1"/>
  <c r="GX14" i="2" s="1"/>
  <c r="MK13" i="2"/>
  <c r="HK13" i="2" a="1"/>
  <c r="HK13" i="2" s="1"/>
  <c r="LY13" i="2"/>
  <c r="GY13" i="2" a="1"/>
  <c r="GY13" i="2" s="1"/>
  <c r="ML12" i="2"/>
  <c r="HL12" i="2" a="1"/>
  <c r="HL12" i="2" s="1"/>
  <c r="LZ12" i="2"/>
  <c r="GZ12" i="2" a="1"/>
  <c r="GZ12" i="2" s="1"/>
  <c r="MM11" i="2"/>
  <c r="HM11" i="2" a="1"/>
  <c r="HM11" i="2" s="1"/>
  <c r="MA11" i="2"/>
  <c r="HA11" i="2" a="1"/>
  <c r="HA11" i="2" s="1"/>
  <c r="MN10" i="2"/>
  <c r="HN10" i="2" a="1"/>
  <c r="HN10" i="2" s="1"/>
  <c r="MB10" i="2"/>
  <c r="HB10" i="2" a="1"/>
  <c r="HB10" i="2" s="1"/>
  <c r="MO9" i="2"/>
  <c r="HO9" i="2" a="1"/>
  <c r="HO9" i="2" s="1"/>
  <c r="MC9" i="2"/>
  <c r="HC9" i="2" a="1"/>
  <c r="HC9" i="2" s="1"/>
  <c r="MP8" i="2"/>
  <c r="HP8" i="2" a="1"/>
  <c r="HP8" i="2" s="1"/>
  <c r="MD8" i="2"/>
  <c r="HD8" i="2" a="1"/>
  <c r="HD8" i="2" s="1"/>
  <c r="MQ7" i="2"/>
  <c r="HQ7" i="2" a="1"/>
  <c r="HQ7" i="2" s="1"/>
  <c r="ME7" i="2"/>
  <c r="HE7" i="2" a="1"/>
  <c r="HE7" i="2" s="1"/>
  <c r="MR6" i="2"/>
  <c r="HR6" i="2" a="1"/>
  <c r="HR6" i="2" s="1"/>
  <c r="MF6" i="2"/>
  <c r="HF6" i="2" a="1"/>
  <c r="HF6" i="2" s="1"/>
  <c r="MS5" i="2"/>
  <c r="HS5" i="2" a="1"/>
  <c r="HS5" i="2" s="1"/>
  <c r="MG5" i="2"/>
  <c r="HG5" i="2" a="1"/>
  <c r="HG5" i="2" s="1"/>
  <c r="MT4" i="2"/>
  <c r="HT4" i="2" a="1"/>
  <c r="HT4" i="2" s="1"/>
  <c r="MH4" i="2"/>
  <c r="HH4" i="2" a="1"/>
  <c r="HH4" i="2" s="1"/>
  <c r="MI103" i="2"/>
  <c r="HI103" i="2" a="1"/>
  <c r="HI103" i="2" s="1"/>
  <c r="LW103" i="2"/>
  <c r="GW103" i="2" a="1"/>
  <c r="GW103" i="2" s="1"/>
  <c r="MJ102" i="2"/>
  <c r="HJ102" i="2" a="1"/>
  <c r="HJ102" i="2" s="1"/>
  <c r="LX102" i="2"/>
  <c r="GX102" i="2" a="1"/>
  <c r="GX102" i="2" s="1"/>
  <c r="MK101" i="2"/>
  <c r="HK101" i="2" a="1"/>
  <c r="HK101" i="2" s="1"/>
  <c r="LY101" i="2"/>
  <c r="GY101" i="2" a="1"/>
  <c r="GY101" i="2" s="1"/>
  <c r="ML100" i="2"/>
  <c r="HL100" i="2" a="1"/>
  <c r="HL100" i="2" s="1"/>
  <c r="LZ100" i="2"/>
  <c r="GZ100" i="2" a="1"/>
  <c r="GZ100" i="2" s="1"/>
  <c r="MM99" i="2"/>
  <c r="HM99" i="2" a="1"/>
  <c r="HM99" i="2" s="1"/>
  <c r="MA99" i="2"/>
  <c r="HA99" i="2" a="1"/>
  <c r="HA99" i="2" s="1"/>
  <c r="MN98" i="2"/>
  <c r="HN98" i="2" a="1"/>
  <c r="HN98" i="2" s="1"/>
  <c r="MB98" i="2"/>
  <c r="HB98" i="2" a="1"/>
  <c r="HB98" i="2" s="1"/>
  <c r="MO97" i="2"/>
  <c r="HO97" i="2" a="1"/>
  <c r="HO97" i="2" s="1"/>
  <c r="MC97" i="2"/>
  <c r="HC97" i="2" a="1"/>
  <c r="HC97" i="2" s="1"/>
  <c r="MP96" i="2"/>
  <c r="HP96" i="2" a="1"/>
  <c r="HP96" i="2" s="1"/>
  <c r="MD96" i="2"/>
  <c r="HD96" i="2" a="1"/>
  <c r="HD96" i="2" s="1"/>
  <c r="MQ95" i="2"/>
  <c r="HQ95" i="2" a="1"/>
  <c r="HQ95" i="2" s="1"/>
  <c r="ME95" i="2"/>
  <c r="HE95" i="2" a="1"/>
  <c r="HE95" i="2" s="1"/>
  <c r="MR94" i="2"/>
  <c r="HR94" i="2" a="1"/>
  <c r="HR94" i="2" s="1"/>
  <c r="HF94" i="2" a="1"/>
  <c r="HF94" i="2" s="1"/>
  <c r="MF94" i="2"/>
  <c r="MS93" i="2"/>
  <c r="HS93" i="2" a="1"/>
  <c r="HS93" i="2" s="1"/>
  <c r="MG93" i="2"/>
  <c r="HG93" i="2" a="1"/>
  <c r="HG93" i="2" s="1"/>
  <c r="MT92" i="2"/>
  <c r="HT92" i="2" a="1"/>
  <c r="HT92" i="2" s="1"/>
  <c r="MH92" i="2"/>
  <c r="HH92" i="2" a="1"/>
  <c r="HH92" i="2" s="1"/>
  <c r="MI91" i="2"/>
  <c r="HI91" i="2" a="1"/>
  <c r="HI91" i="2" s="1"/>
  <c r="LW91" i="2"/>
  <c r="GW91" i="2" a="1"/>
  <c r="GW91" i="2" s="1"/>
  <c r="MJ90" i="2"/>
  <c r="HJ90" i="2" a="1"/>
  <c r="HJ90" i="2" s="1"/>
  <c r="LX90" i="2"/>
  <c r="GX90" i="2" a="1"/>
  <c r="GX90" i="2" s="1"/>
  <c r="MK89" i="2"/>
  <c r="HK89" i="2" a="1"/>
  <c r="HK89" i="2" s="1"/>
  <c r="LY89" i="2"/>
  <c r="GY89" i="2" a="1"/>
  <c r="GY89" i="2" s="1"/>
  <c r="ML88" i="2"/>
  <c r="HL88" i="2" a="1"/>
  <c r="HL88" i="2" s="1"/>
  <c r="LZ88" i="2"/>
  <c r="GZ88" i="2" a="1"/>
  <c r="GZ88" i="2" s="1"/>
  <c r="MM87" i="2"/>
  <c r="HM87" i="2" a="1"/>
  <c r="HM87" i="2" s="1"/>
  <c r="MA87" i="2"/>
  <c r="HA87" i="2" a="1"/>
  <c r="HA87" i="2" s="1"/>
  <c r="MN86" i="2"/>
  <c r="HN86" i="2" a="1"/>
  <c r="HN86" i="2" s="1"/>
  <c r="MB86" i="2"/>
  <c r="HB86" i="2" a="1"/>
  <c r="HB86" i="2" s="1"/>
  <c r="MO85" i="2"/>
  <c r="HO85" i="2" a="1"/>
  <c r="HO85" i="2" s="1"/>
  <c r="MC85" i="2"/>
  <c r="HC85" i="2" a="1"/>
  <c r="HC85" i="2" s="1"/>
  <c r="MP84" i="2"/>
  <c r="HP84" i="2" a="1"/>
  <c r="HP84" i="2" s="1"/>
  <c r="MD84" i="2"/>
  <c r="HD84" i="2" a="1"/>
  <c r="HD84" i="2" s="1"/>
  <c r="MQ83" i="2"/>
  <c r="HQ83" i="2" a="1"/>
  <c r="HQ83" i="2" s="1"/>
  <c r="ME83" i="2"/>
  <c r="HE83" i="2" a="1"/>
  <c r="HE83" i="2" s="1"/>
  <c r="MR82" i="2"/>
  <c r="HR82" i="2" a="1"/>
  <c r="HR82" i="2" s="1"/>
  <c r="MF82" i="2"/>
  <c r="HF82" i="2" a="1"/>
  <c r="HF82" i="2" s="1"/>
  <c r="MS81" i="2"/>
  <c r="HS81" i="2" a="1"/>
  <c r="HS81" i="2" s="1"/>
  <c r="MG81" i="2"/>
  <c r="HG81" i="2" a="1"/>
  <c r="HG81" i="2" s="1"/>
  <c r="MT80" i="2"/>
  <c r="HT80" i="2" a="1"/>
  <c r="HT80" i="2" s="1"/>
  <c r="HH80" i="2" a="1"/>
  <c r="HH80" i="2" s="1"/>
  <c r="MH80" i="2"/>
  <c r="MI79" i="2"/>
  <c r="HI79" i="2" a="1"/>
  <c r="HI79" i="2" s="1"/>
  <c r="LW79" i="2"/>
  <c r="GW79" i="2" a="1"/>
  <c r="GW79" i="2" s="1"/>
  <c r="MJ78" i="2"/>
  <c r="HJ78" i="2" a="1"/>
  <c r="HJ78" i="2" s="1"/>
  <c r="LX78" i="2"/>
  <c r="GX78" i="2" a="1"/>
  <c r="GX78" i="2" s="1"/>
  <c r="MK77" i="2"/>
  <c r="HK77" i="2" a="1"/>
  <c r="HK77" i="2" s="1"/>
  <c r="LY77" i="2"/>
  <c r="GY77" i="2" a="1"/>
  <c r="GY77" i="2" s="1"/>
  <c r="ML76" i="2"/>
  <c r="HL76" i="2" a="1"/>
  <c r="HL76" i="2" s="1"/>
  <c r="LZ76" i="2"/>
  <c r="GZ76" i="2" a="1"/>
  <c r="GZ76" i="2" s="1"/>
  <c r="MM75" i="2"/>
  <c r="HM75" i="2" a="1"/>
  <c r="HM75" i="2" s="1"/>
  <c r="MA75" i="2"/>
  <c r="HA75" i="2" a="1"/>
  <c r="HA75" i="2" s="1"/>
  <c r="MN74" i="2"/>
  <c r="HN74" i="2" a="1"/>
  <c r="HN74" i="2" s="1"/>
  <c r="MB74" i="2"/>
  <c r="HB74" i="2" a="1"/>
  <c r="HB74" i="2" s="1"/>
  <c r="MO73" i="2"/>
  <c r="HO73" i="2" a="1"/>
  <c r="HO73" i="2" s="1"/>
  <c r="MC73" i="2"/>
  <c r="HC73" i="2" a="1"/>
  <c r="HC73" i="2" s="1"/>
  <c r="MP72" i="2"/>
  <c r="HP72" i="2" a="1"/>
  <c r="HP72" i="2" s="1"/>
  <c r="MD72" i="2"/>
  <c r="HD72" i="2" a="1"/>
  <c r="HD72" i="2" s="1"/>
  <c r="MQ71" i="2"/>
  <c r="HQ71" i="2" a="1"/>
  <c r="HQ71" i="2" s="1"/>
  <c r="ME71" i="2"/>
  <c r="HE71" i="2" a="1"/>
  <c r="HE71" i="2" s="1"/>
  <c r="MR70" i="2"/>
  <c r="HR70" i="2" a="1"/>
  <c r="HR70" i="2" s="1"/>
  <c r="MF70" i="2"/>
  <c r="HF70" i="2" a="1"/>
  <c r="HF70" i="2" s="1"/>
  <c r="MS69" i="2"/>
  <c r="HS69" i="2" a="1"/>
  <c r="HS69" i="2" s="1"/>
  <c r="MG69" i="2"/>
  <c r="HG69" i="2" a="1"/>
  <c r="HG69" i="2" s="1"/>
  <c r="MT68" i="2"/>
  <c r="HT68" i="2" a="1"/>
  <c r="HT68" i="2" s="1"/>
  <c r="MH68" i="2"/>
  <c r="HH68" i="2" a="1"/>
  <c r="HH68" i="2" s="1"/>
  <c r="MI67" i="2"/>
  <c r="HI67" i="2" a="1"/>
  <c r="HI67" i="2" s="1"/>
  <c r="LW67" i="2"/>
  <c r="GW67" i="2" a="1"/>
  <c r="GW67" i="2" s="1"/>
  <c r="MJ66" i="2"/>
  <c r="HJ66" i="2" a="1"/>
  <c r="HJ66" i="2" s="1"/>
  <c r="LX66" i="2"/>
  <c r="GX66" i="2" a="1"/>
  <c r="GX66" i="2" s="1"/>
  <c r="MK65" i="2"/>
  <c r="HK65" i="2" a="1"/>
  <c r="HK65" i="2" s="1"/>
  <c r="LY65" i="2"/>
  <c r="GY65" i="2" a="1"/>
  <c r="GY65" i="2" s="1"/>
  <c r="ML64" i="2"/>
  <c r="HL64" i="2" a="1"/>
  <c r="HL64" i="2" s="1"/>
  <c r="LZ64" i="2"/>
  <c r="GZ64" i="2" a="1"/>
  <c r="GZ64" i="2" s="1"/>
  <c r="EE54" i="2"/>
  <c r="BM54" i="2" a="1"/>
  <c r="BM54" i="2" s="1"/>
  <c r="EE51" i="2"/>
  <c r="BM51" i="2" a="1"/>
  <c r="BM51" i="2" s="1"/>
  <c r="EE48" i="2"/>
  <c r="BM48" i="2" a="1"/>
  <c r="BM48" i="2" s="1"/>
  <c r="EE45" i="2"/>
  <c r="BM45" i="2" a="1"/>
  <c r="BM45" i="2" s="1"/>
  <c r="EE42" i="2"/>
  <c r="BM42" i="2" a="1"/>
  <c r="BM42" i="2" s="1"/>
  <c r="EE34" i="2"/>
  <c r="BM34" i="2" a="1"/>
  <c r="BM34" i="2" s="1"/>
  <c r="EE31" i="2"/>
  <c r="BM31" i="2" a="1"/>
  <c r="BM31" i="2" s="1"/>
  <c r="EE27" i="2"/>
  <c r="BM27" i="2" a="1"/>
  <c r="BM27" i="2" s="1"/>
  <c r="EE11" i="2"/>
  <c r="BM11" i="2" a="1"/>
  <c r="BM11" i="2" s="1"/>
  <c r="EE8" i="2"/>
  <c r="BM8" i="2" a="1"/>
  <c r="BM8" i="2" s="1"/>
  <c r="EE7" i="2"/>
  <c r="BM7" i="2" a="1"/>
  <c r="BM7" i="2" s="1"/>
  <c r="EE5" i="2"/>
  <c r="BM5" i="2" a="1"/>
  <c r="BM5" i="2" s="1"/>
  <c r="BG80" i="2" a="1"/>
  <c r="BG80" i="2" s="1"/>
  <c r="BG77" i="2" a="1"/>
  <c r="BG77" i="2" s="1"/>
  <c r="BG73" i="2" a="1"/>
  <c r="BG73" i="2" s="1"/>
  <c r="BG69" i="2" a="1"/>
  <c r="BG69" i="2" s="1"/>
  <c r="BG65" i="2" a="1"/>
  <c r="BG65" i="2" s="1"/>
  <c r="BG61" i="2" a="1"/>
  <c r="BG61" i="2" s="1"/>
  <c r="BG57" i="2" a="1"/>
  <c r="BG57" i="2" s="1"/>
  <c r="BM55" i="2" a="1"/>
  <c r="BM55" i="2" s="1"/>
  <c r="BQ54" i="2" a="1"/>
  <c r="BQ54" i="2" s="1"/>
  <c r="BH54" i="2" a="1"/>
  <c r="BH54" i="2" s="1"/>
  <c r="BH46" i="2" a="1"/>
  <c r="BH46" i="2" s="1"/>
  <c r="BG41" i="2" a="1"/>
  <c r="BG41" i="2" s="1"/>
  <c r="BM38" i="2" a="1"/>
  <c r="BM38" i="2" s="1"/>
  <c r="BQ34" i="2" a="1"/>
  <c r="BQ34" i="2" s="1"/>
  <c r="BQ31" i="2" a="1"/>
  <c r="BQ31" i="2" s="1"/>
  <c r="BO27" i="2" a="1"/>
  <c r="BO27" i="2" s="1"/>
  <c r="BM22" i="2" a="1"/>
  <c r="BM22" i="2" s="1"/>
  <c r="BM18" i="2" a="1"/>
  <c r="BM18" i="2" s="1"/>
  <c r="BM14" i="2" a="1"/>
  <c r="BM14" i="2" s="1"/>
  <c r="BQ11" i="2" a="1"/>
  <c r="BQ11" i="2" s="1"/>
  <c r="DX32" i="2"/>
  <c r="DZ13" i="2"/>
  <c r="FQ103" i="2"/>
  <c r="ER103" i="2" a="1"/>
  <c r="ER103" i="2" s="1"/>
  <c r="FQ99" i="2"/>
  <c r="ER99" i="2" a="1"/>
  <c r="ER99" i="2" s="1"/>
  <c r="FQ95" i="2"/>
  <c r="ER95" i="2" a="1"/>
  <c r="ER95" i="2" s="1"/>
  <c r="FQ91" i="2"/>
  <c r="ER91" i="2" a="1"/>
  <c r="ER91" i="2" s="1"/>
  <c r="FQ87" i="2"/>
  <c r="ER87" i="2" a="1"/>
  <c r="ER87" i="2" s="1"/>
  <c r="FQ83" i="2"/>
  <c r="ER83" i="2" a="1"/>
  <c r="ER83" i="2" s="1"/>
  <c r="FQ79" i="2"/>
  <c r="ER79" i="2" a="1"/>
  <c r="ER79" i="2" s="1"/>
  <c r="FQ75" i="2"/>
  <c r="ER75" i="2" a="1"/>
  <c r="ER75" i="2" s="1"/>
  <c r="FQ71" i="2"/>
  <c r="ER71" i="2" a="1"/>
  <c r="ER71" i="2" s="1"/>
  <c r="ER67" i="2" a="1"/>
  <c r="ER67" i="2" s="1"/>
  <c r="FQ67" i="2"/>
  <c r="ER63" i="2" a="1"/>
  <c r="ER63" i="2" s="1"/>
  <c r="FQ63" i="2"/>
  <c r="ER59" i="2" a="1"/>
  <c r="ER59" i="2" s="1"/>
  <c r="FQ59" i="2"/>
  <c r="FQ51" i="2"/>
  <c r="ER51" i="2" a="1"/>
  <c r="ER51" i="2" s="1"/>
  <c r="FQ47" i="2"/>
  <c r="ER47" i="2" a="1"/>
  <c r="ER47" i="2" s="1"/>
  <c r="ER43" i="2" a="1"/>
  <c r="ER43" i="2" s="1"/>
  <c r="FQ43" i="2"/>
  <c r="ER39" i="2" a="1"/>
  <c r="ER39" i="2" s="1"/>
  <c r="FQ39" i="2"/>
  <c r="FQ35" i="2"/>
  <c r="ER35" i="2" a="1"/>
  <c r="ER35" i="2" s="1"/>
  <c r="FQ31" i="2"/>
  <c r="ER31" i="2" a="1"/>
  <c r="ER31" i="2" s="1"/>
  <c r="ER23" i="2" a="1"/>
  <c r="ER23" i="2" s="1"/>
  <c r="FQ23" i="2"/>
  <c r="ER19" i="2" a="1"/>
  <c r="ER19" i="2" s="1"/>
  <c r="FQ19" i="2"/>
  <c r="ER11" i="2" a="1"/>
  <c r="ER11" i="2" s="1"/>
  <c r="FQ11" i="2"/>
  <c r="ES103" i="2" a="1"/>
  <c r="ES103" i="2" s="1"/>
  <c r="ER7" i="2" a="1"/>
  <c r="ER7" i="2" s="1"/>
  <c r="MS82" i="2"/>
  <c r="HS82" i="2" a="1"/>
  <c r="HS82" i="2" s="1"/>
  <c r="MG82" i="2"/>
  <c r="HG82" i="2" a="1"/>
  <c r="HG82" i="2" s="1"/>
  <c r="MT81" i="2"/>
  <c r="HT81" i="2" a="1"/>
  <c r="HT81" i="2" s="1"/>
  <c r="MH81" i="2"/>
  <c r="HH81" i="2" a="1"/>
  <c r="HH81" i="2" s="1"/>
  <c r="HI80" i="2" a="1"/>
  <c r="HI80" i="2" s="1"/>
  <c r="MI80" i="2"/>
  <c r="LW80" i="2"/>
  <c r="GW80" i="2" a="1"/>
  <c r="GW80" i="2" s="1"/>
  <c r="MJ79" i="2"/>
  <c r="HJ79" i="2" a="1"/>
  <c r="HJ79" i="2" s="1"/>
  <c r="LX79" i="2"/>
  <c r="GX79" i="2" a="1"/>
  <c r="GX79" i="2" s="1"/>
  <c r="MK78" i="2"/>
  <c r="HK78" i="2" a="1"/>
  <c r="HK78" i="2" s="1"/>
  <c r="LY78" i="2"/>
  <c r="GY78" i="2" a="1"/>
  <c r="GY78" i="2" s="1"/>
  <c r="ML77" i="2"/>
  <c r="HL77" i="2" a="1"/>
  <c r="HL77" i="2" s="1"/>
  <c r="LZ77" i="2"/>
  <c r="GZ77" i="2" a="1"/>
  <c r="GZ77" i="2" s="1"/>
  <c r="MM76" i="2"/>
  <c r="HM76" i="2" a="1"/>
  <c r="HM76" i="2" s="1"/>
  <c r="MA76" i="2"/>
  <c r="HA76" i="2" a="1"/>
  <c r="HA76" i="2" s="1"/>
  <c r="MN75" i="2"/>
  <c r="HN75" i="2" a="1"/>
  <c r="HN75" i="2" s="1"/>
  <c r="MB75" i="2"/>
  <c r="HB75" i="2" a="1"/>
  <c r="HB75" i="2" s="1"/>
  <c r="MO74" i="2"/>
  <c r="HO74" i="2" a="1"/>
  <c r="HO74" i="2" s="1"/>
  <c r="MC74" i="2"/>
  <c r="HC74" i="2" a="1"/>
  <c r="HC74" i="2" s="1"/>
  <c r="MP73" i="2"/>
  <c r="HP73" i="2" a="1"/>
  <c r="HP73" i="2" s="1"/>
  <c r="MD73" i="2"/>
  <c r="HD73" i="2" a="1"/>
  <c r="HD73" i="2" s="1"/>
  <c r="MQ72" i="2"/>
  <c r="HQ72" i="2" a="1"/>
  <c r="HQ72" i="2" s="1"/>
  <c r="ME72" i="2"/>
  <c r="HE72" i="2" a="1"/>
  <c r="HE72" i="2" s="1"/>
  <c r="MR71" i="2"/>
  <c r="HR71" i="2" a="1"/>
  <c r="HR71" i="2" s="1"/>
  <c r="MF71" i="2"/>
  <c r="HF71" i="2" a="1"/>
  <c r="HF71" i="2" s="1"/>
  <c r="MS70" i="2"/>
  <c r="HS70" i="2" a="1"/>
  <c r="HS70" i="2" s="1"/>
  <c r="MG70" i="2"/>
  <c r="HG70" i="2" a="1"/>
  <c r="HG70" i="2" s="1"/>
  <c r="MT69" i="2"/>
  <c r="HT69" i="2" a="1"/>
  <c r="HT69" i="2" s="1"/>
  <c r="MH69" i="2"/>
  <c r="HH69" i="2" a="1"/>
  <c r="HH69" i="2" s="1"/>
  <c r="MI68" i="2"/>
  <c r="HI68" i="2" a="1"/>
  <c r="HI68" i="2" s="1"/>
  <c r="LW68" i="2"/>
  <c r="GW68" i="2" a="1"/>
  <c r="GW68" i="2" s="1"/>
  <c r="MJ67" i="2"/>
  <c r="HJ67" i="2" a="1"/>
  <c r="HJ67" i="2" s="1"/>
  <c r="LX67" i="2"/>
  <c r="GX67" i="2" a="1"/>
  <c r="GX67" i="2" s="1"/>
  <c r="MK66" i="2"/>
  <c r="HK66" i="2" a="1"/>
  <c r="HK66" i="2" s="1"/>
  <c r="LY66" i="2"/>
  <c r="GY66" i="2" a="1"/>
  <c r="GY66" i="2" s="1"/>
  <c r="ML65" i="2"/>
  <c r="HL65" i="2" a="1"/>
  <c r="HL65" i="2" s="1"/>
  <c r="LZ65" i="2"/>
  <c r="GZ65" i="2" a="1"/>
  <c r="GZ65" i="2" s="1"/>
  <c r="MM64" i="2"/>
  <c r="HM64" i="2" a="1"/>
  <c r="HM64" i="2" s="1"/>
  <c r="MA64" i="2"/>
  <c r="HA64" i="2" a="1"/>
  <c r="HA64" i="2" s="1"/>
  <c r="MS63" i="2"/>
  <c r="HS63" i="2" a="1"/>
  <c r="HS63" i="2" s="1"/>
  <c r="MG63" i="2"/>
  <c r="HG63" i="2" a="1"/>
  <c r="HG63" i="2" s="1"/>
  <c r="MT62" i="2"/>
  <c r="HT62" i="2" a="1"/>
  <c r="HT62" i="2" s="1"/>
  <c r="MH62" i="2"/>
  <c r="HH62" i="2" a="1"/>
  <c r="HH62" i="2" s="1"/>
  <c r="MI61" i="2"/>
  <c r="HI61" i="2" a="1"/>
  <c r="HI61" i="2" s="1"/>
  <c r="LW61" i="2"/>
  <c r="GW61" i="2" a="1"/>
  <c r="GW61" i="2" s="1"/>
  <c r="MJ60" i="2"/>
  <c r="HJ60" i="2" a="1"/>
  <c r="HJ60" i="2" s="1"/>
  <c r="LX60" i="2"/>
  <c r="GX60" i="2" a="1"/>
  <c r="GX60" i="2" s="1"/>
  <c r="MK59" i="2"/>
  <c r="HK59" i="2" a="1"/>
  <c r="HK59" i="2" s="1"/>
  <c r="LY59" i="2"/>
  <c r="GY59" i="2" a="1"/>
  <c r="GY59" i="2" s="1"/>
  <c r="ML58" i="2"/>
  <c r="HL58" i="2" a="1"/>
  <c r="HL58" i="2" s="1"/>
  <c r="LZ58" i="2"/>
  <c r="GZ58" i="2" a="1"/>
  <c r="GZ58" i="2" s="1"/>
  <c r="MM57" i="2"/>
  <c r="HM57" i="2" a="1"/>
  <c r="HM57" i="2" s="1"/>
  <c r="MA57" i="2"/>
  <c r="HA57" i="2" a="1"/>
  <c r="HA57" i="2" s="1"/>
  <c r="MN56" i="2"/>
  <c r="HN56" i="2" a="1"/>
  <c r="HN56" i="2" s="1"/>
  <c r="MB56" i="2"/>
  <c r="HB56" i="2" a="1"/>
  <c r="HB56" i="2" s="1"/>
  <c r="MO55" i="2"/>
  <c r="HO55" i="2" a="1"/>
  <c r="HO55" i="2" s="1"/>
  <c r="MC55" i="2"/>
  <c r="HC55" i="2" a="1"/>
  <c r="HC55" i="2" s="1"/>
  <c r="MP54" i="2"/>
  <c r="HP54" i="2" a="1"/>
  <c r="HP54" i="2" s="1"/>
  <c r="MD54" i="2"/>
  <c r="HD54" i="2" a="1"/>
  <c r="HD54" i="2" s="1"/>
  <c r="MQ53" i="2"/>
  <c r="HQ53" i="2" a="1"/>
  <c r="HQ53" i="2" s="1"/>
  <c r="ME53" i="2"/>
  <c r="HE53" i="2" a="1"/>
  <c r="HE53" i="2" s="1"/>
  <c r="MR52" i="2"/>
  <c r="HR52" i="2" a="1"/>
  <c r="HR52" i="2" s="1"/>
  <c r="MF52" i="2"/>
  <c r="HF52" i="2" a="1"/>
  <c r="HF52" i="2" s="1"/>
  <c r="MS51" i="2"/>
  <c r="HS51" i="2" a="1"/>
  <c r="HS51" i="2" s="1"/>
  <c r="MG51" i="2"/>
  <c r="HG51" i="2" a="1"/>
  <c r="HG51" i="2" s="1"/>
  <c r="MT50" i="2"/>
  <c r="HT50" i="2" a="1"/>
  <c r="HT50" i="2" s="1"/>
  <c r="MH50" i="2"/>
  <c r="HH50" i="2" a="1"/>
  <c r="HH50" i="2" s="1"/>
  <c r="MI49" i="2"/>
  <c r="HI49" i="2" a="1"/>
  <c r="HI49" i="2" s="1"/>
  <c r="LW49" i="2"/>
  <c r="GW49" i="2" a="1"/>
  <c r="GW49" i="2" s="1"/>
  <c r="MJ48" i="2"/>
  <c r="HJ48" i="2" a="1"/>
  <c r="HJ48" i="2" s="1"/>
  <c r="LX48" i="2"/>
  <c r="GX48" i="2" a="1"/>
  <c r="GX48" i="2" s="1"/>
  <c r="MK47" i="2"/>
  <c r="HK47" i="2" a="1"/>
  <c r="HK47" i="2" s="1"/>
  <c r="LY47" i="2"/>
  <c r="GY47" i="2" a="1"/>
  <c r="GY47" i="2" s="1"/>
  <c r="ML46" i="2"/>
  <c r="HL46" i="2" a="1"/>
  <c r="HL46" i="2" s="1"/>
  <c r="LZ46" i="2"/>
  <c r="GZ46" i="2" a="1"/>
  <c r="GZ46" i="2" s="1"/>
  <c r="MM45" i="2"/>
  <c r="HM45" i="2" a="1"/>
  <c r="HM45" i="2" s="1"/>
  <c r="MA45" i="2"/>
  <c r="HA45" i="2" a="1"/>
  <c r="HA45" i="2" s="1"/>
  <c r="MN44" i="2"/>
  <c r="HN44" i="2" a="1"/>
  <c r="HN44" i="2" s="1"/>
  <c r="MB44" i="2"/>
  <c r="HB44" i="2" a="1"/>
  <c r="HB44" i="2" s="1"/>
  <c r="MO43" i="2"/>
  <c r="HO43" i="2" a="1"/>
  <c r="HO43" i="2" s="1"/>
  <c r="MC43" i="2"/>
  <c r="HC43" i="2" a="1"/>
  <c r="HC43" i="2" s="1"/>
  <c r="MP42" i="2"/>
  <c r="HP42" i="2" a="1"/>
  <c r="HP42" i="2" s="1"/>
  <c r="MD42" i="2"/>
  <c r="HD42" i="2" a="1"/>
  <c r="HD42" i="2" s="1"/>
  <c r="MQ41" i="2"/>
  <c r="HQ41" i="2" a="1"/>
  <c r="HQ41" i="2" s="1"/>
  <c r="ME41" i="2"/>
  <c r="HE41" i="2" a="1"/>
  <c r="HE41" i="2" s="1"/>
  <c r="MR40" i="2"/>
  <c r="HR40" i="2" a="1"/>
  <c r="HR40" i="2" s="1"/>
  <c r="MF40" i="2"/>
  <c r="HF40" i="2" a="1"/>
  <c r="HF40" i="2" s="1"/>
  <c r="MS39" i="2"/>
  <c r="HS39" i="2" a="1"/>
  <c r="HS39" i="2" s="1"/>
  <c r="MG39" i="2"/>
  <c r="HG39" i="2" a="1"/>
  <c r="HG39" i="2" s="1"/>
  <c r="MT38" i="2"/>
  <c r="HT38" i="2" a="1"/>
  <c r="HT38" i="2" s="1"/>
  <c r="MH38" i="2"/>
  <c r="HH38" i="2" a="1"/>
  <c r="HH38" i="2" s="1"/>
  <c r="MI37" i="2"/>
  <c r="HI37" i="2" a="1"/>
  <c r="HI37" i="2" s="1"/>
  <c r="LW37" i="2"/>
  <c r="GW37" i="2" a="1"/>
  <c r="GW37" i="2" s="1"/>
  <c r="MJ36" i="2"/>
  <c r="HJ36" i="2" a="1"/>
  <c r="HJ36" i="2" s="1"/>
  <c r="LX36" i="2"/>
  <c r="GX36" i="2" a="1"/>
  <c r="GX36" i="2" s="1"/>
  <c r="MK35" i="2"/>
  <c r="HK35" i="2" a="1"/>
  <c r="HK35" i="2" s="1"/>
  <c r="LY35" i="2"/>
  <c r="GY35" i="2" a="1"/>
  <c r="GY35" i="2" s="1"/>
  <c r="ML34" i="2"/>
  <c r="HL34" i="2" a="1"/>
  <c r="HL34" i="2" s="1"/>
  <c r="LZ34" i="2"/>
  <c r="GZ34" i="2" a="1"/>
  <c r="GZ34" i="2" s="1"/>
  <c r="MM33" i="2"/>
  <c r="HM33" i="2" a="1"/>
  <c r="HM33" i="2" s="1"/>
  <c r="MA33" i="2"/>
  <c r="HA33" i="2" a="1"/>
  <c r="HA33" i="2" s="1"/>
  <c r="MN32" i="2"/>
  <c r="HN32" i="2" a="1"/>
  <c r="HN32" i="2" s="1"/>
  <c r="MB32" i="2"/>
  <c r="HB32" i="2" a="1"/>
  <c r="HB32" i="2" s="1"/>
  <c r="MO31" i="2"/>
  <c r="HO31" i="2" a="1"/>
  <c r="HO31" i="2" s="1"/>
  <c r="MC31" i="2"/>
  <c r="HC31" i="2" a="1"/>
  <c r="HC31" i="2" s="1"/>
  <c r="MP30" i="2"/>
  <c r="HP30" i="2" a="1"/>
  <c r="HP30" i="2" s="1"/>
  <c r="MD30" i="2"/>
  <c r="HD30" i="2" a="1"/>
  <c r="HD30" i="2" s="1"/>
  <c r="MQ29" i="2"/>
  <c r="HQ29" i="2" a="1"/>
  <c r="HQ29" i="2" s="1"/>
  <c r="ME29" i="2"/>
  <c r="HE29" i="2" a="1"/>
  <c r="HE29" i="2" s="1"/>
  <c r="MR28" i="2"/>
  <c r="HR28" i="2" a="1"/>
  <c r="HR28" i="2" s="1"/>
  <c r="MF28" i="2"/>
  <c r="HF28" i="2" a="1"/>
  <c r="HF28" i="2" s="1"/>
  <c r="MS27" i="2"/>
  <c r="HS27" i="2" a="1"/>
  <c r="HS27" i="2" s="1"/>
  <c r="MG27" i="2"/>
  <c r="HG27" i="2" a="1"/>
  <c r="HG27" i="2" s="1"/>
  <c r="MT26" i="2"/>
  <c r="HT26" i="2" a="1"/>
  <c r="HT26" i="2" s="1"/>
  <c r="MH26" i="2"/>
  <c r="HH26" i="2" a="1"/>
  <c r="HH26" i="2" s="1"/>
  <c r="MI25" i="2"/>
  <c r="HI25" i="2" a="1"/>
  <c r="HI25" i="2" s="1"/>
  <c r="LW25" i="2"/>
  <c r="GW25" i="2" a="1"/>
  <c r="GW25" i="2" s="1"/>
  <c r="MJ24" i="2"/>
  <c r="HJ24" i="2" a="1"/>
  <c r="HJ24" i="2" s="1"/>
  <c r="LX24" i="2"/>
  <c r="GX24" i="2" a="1"/>
  <c r="GX24" i="2" s="1"/>
  <c r="MK23" i="2"/>
  <c r="HK23" i="2" a="1"/>
  <c r="HK23" i="2" s="1"/>
  <c r="LY23" i="2"/>
  <c r="GY23" i="2" a="1"/>
  <c r="GY23" i="2" s="1"/>
  <c r="ML22" i="2"/>
  <c r="HL22" i="2" a="1"/>
  <c r="HL22" i="2" s="1"/>
  <c r="LZ22" i="2"/>
  <c r="GZ22" i="2" a="1"/>
  <c r="GZ22" i="2" s="1"/>
  <c r="HM21" i="2" a="1"/>
  <c r="HM21" i="2" s="1"/>
  <c r="MM21" i="2"/>
  <c r="MA21" i="2"/>
  <c r="HA21" i="2" a="1"/>
  <c r="HA21" i="2" s="1"/>
  <c r="MN20" i="2"/>
  <c r="HN20" i="2" a="1"/>
  <c r="HN20" i="2" s="1"/>
  <c r="MB20" i="2"/>
  <c r="HB20" i="2" a="1"/>
  <c r="HB20" i="2" s="1"/>
  <c r="MO19" i="2"/>
  <c r="HO19" i="2" a="1"/>
  <c r="HO19" i="2" s="1"/>
  <c r="HC19" i="2" a="1"/>
  <c r="HC19" i="2" s="1"/>
  <c r="MC19" i="2"/>
  <c r="MP18" i="2"/>
  <c r="HP18" i="2" a="1"/>
  <c r="HP18" i="2" s="1"/>
  <c r="MD18" i="2"/>
  <c r="HD18" i="2" a="1"/>
  <c r="HD18" i="2" s="1"/>
  <c r="MQ17" i="2"/>
  <c r="HQ17" i="2" a="1"/>
  <c r="HQ17" i="2" s="1"/>
  <c r="ME17" i="2"/>
  <c r="HE17" i="2" a="1"/>
  <c r="HE17" i="2" s="1"/>
  <c r="MR16" i="2"/>
  <c r="HR16" i="2" a="1"/>
  <c r="HR16" i="2" s="1"/>
  <c r="MF16" i="2"/>
  <c r="HF16" i="2" a="1"/>
  <c r="HF16" i="2" s="1"/>
  <c r="MS15" i="2"/>
  <c r="HS15" i="2" a="1"/>
  <c r="HS15" i="2" s="1"/>
  <c r="MG15" i="2"/>
  <c r="HG15" i="2" a="1"/>
  <c r="HG15" i="2" s="1"/>
  <c r="MT14" i="2"/>
  <c r="HT14" i="2" a="1"/>
  <c r="HT14" i="2" s="1"/>
  <c r="MH14" i="2"/>
  <c r="HH14" i="2" a="1"/>
  <c r="HH14" i="2" s="1"/>
  <c r="MI13" i="2"/>
  <c r="HI13" i="2" a="1"/>
  <c r="HI13" i="2" s="1"/>
  <c r="LW13" i="2"/>
  <c r="GW13" i="2" a="1"/>
  <c r="GW13" i="2" s="1"/>
  <c r="HJ12" i="2" a="1"/>
  <c r="HJ12" i="2" s="1"/>
  <c r="MJ12" i="2"/>
  <c r="LX12" i="2"/>
  <c r="GX12" i="2" a="1"/>
  <c r="GX12" i="2" s="1"/>
  <c r="MK11" i="2"/>
  <c r="HK11" i="2" a="1"/>
  <c r="HK11" i="2" s="1"/>
  <c r="LY11" i="2"/>
  <c r="GY11" i="2" a="1"/>
  <c r="GY11" i="2" s="1"/>
  <c r="ML10" i="2"/>
  <c r="HL10" i="2" a="1"/>
  <c r="HL10" i="2" s="1"/>
  <c r="LZ10" i="2"/>
  <c r="GZ10" i="2" a="1"/>
  <c r="GZ10" i="2" s="1"/>
  <c r="MM9" i="2"/>
  <c r="HM9" i="2" a="1"/>
  <c r="HM9" i="2" s="1"/>
  <c r="MA9" i="2"/>
  <c r="HA9" i="2" a="1"/>
  <c r="HA9" i="2" s="1"/>
  <c r="MN8" i="2"/>
  <c r="HN8" i="2" a="1"/>
  <c r="HN8" i="2" s="1"/>
  <c r="MB8" i="2"/>
  <c r="HB8" i="2" a="1"/>
  <c r="HB8" i="2" s="1"/>
  <c r="MO7" i="2"/>
  <c r="HO7" i="2" a="1"/>
  <c r="HO7" i="2" s="1"/>
  <c r="MC7" i="2"/>
  <c r="HC7" i="2" a="1"/>
  <c r="HC7" i="2" s="1"/>
  <c r="MP6" i="2"/>
  <c r="HP6" i="2" a="1"/>
  <c r="HP6" i="2" s="1"/>
  <c r="MD6" i="2"/>
  <c r="HD6" i="2" a="1"/>
  <c r="HD6" i="2" s="1"/>
  <c r="MQ5" i="2"/>
  <c r="HQ5" i="2" a="1"/>
  <c r="HQ5" i="2" s="1"/>
  <c r="ME5" i="2"/>
  <c r="HE5" i="2" a="1"/>
  <c r="HE5" i="2" s="1"/>
  <c r="MR4" i="2"/>
  <c r="HR4" i="2" a="1"/>
  <c r="HR4" i="2" s="1"/>
  <c r="MF4" i="2"/>
  <c r="HF4" i="2" a="1"/>
  <c r="HF4" i="2" s="1"/>
  <c r="MS103" i="2"/>
  <c r="HS103" i="2" a="1"/>
  <c r="HS103" i="2" s="1"/>
  <c r="MG103" i="2"/>
  <c r="HG103" i="2" a="1"/>
  <c r="HG103" i="2" s="1"/>
  <c r="MT102" i="2"/>
  <c r="HT102" i="2" a="1"/>
  <c r="HT102" i="2" s="1"/>
  <c r="MH102" i="2"/>
  <c r="HH102" i="2" a="1"/>
  <c r="HH102" i="2" s="1"/>
  <c r="MI101" i="2"/>
  <c r="HI101" i="2" a="1"/>
  <c r="HI101" i="2" s="1"/>
  <c r="LW101" i="2"/>
  <c r="GW101" i="2" a="1"/>
  <c r="GW101" i="2" s="1"/>
  <c r="MJ100" i="2"/>
  <c r="HJ100" i="2" a="1"/>
  <c r="HJ100" i="2" s="1"/>
  <c r="LX100" i="2"/>
  <c r="GX100" i="2" a="1"/>
  <c r="GX100" i="2" s="1"/>
  <c r="MK99" i="2"/>
  <c r="HK99" i="2" a="1"/>
  <c r="HK99" i="2" s="1"/>
  <c r="LY99" i="2"/>
  <c r="GY99" i="2" a="1"/>
  <c r="GY99" i="2" s="1"/>
  <c r="ML98" i="2"/>
  <c r="HL98" i="2" a="1"/>
  <c r="HL98" i="2" s="1"/>
  <c r="LZ98" i="2"/>
  <c r="GZ98" i="2" a="1"/>
  <c r="GZ98" i="2" s="1"/>
  <c r="MM97" i="2"/>
  <c r="HM97" i="2" a="1"/>
  <c r="HM97" i="2" s="1"/>
  <c r="MA97" i="2"/>
  <c r="HA97" i="2" a="1"/>
  <c r="HA97" i="2" s="1"/>
  <c r="MN96" i="2"/>
  <c r="HN96" i="2" a="1"/>
  <c r="HN96" i="2" s="1"/>
  <c r="MB96" i="2"/>
  <c r="HB96" i="2" a="1"/>
  <c r="HB96" i="2" s="1"/>
  <c r="MO95" i="2"/>
  <c r="HO95" i="2" a="1"/>
  <c r="HO95" i="2" s="1"/>
  <c r="MC95" i="2"/>
  <c r="HC95" i="2" a="1"/>
  <c r="HC95" i="2" s="1"/>
  <c r="MP94" i="2"/>
  <c r="HP94" i="2" a="1"/>
  <c r="HP94" i="2" s="1"/>
  <c r="MD94" i="2"/>
  <c r="HD94" i="2" a="1"/>
  <c r="HD94" i="2" s="1"/>
  <c r="MQ93" i="2"/>
  <c r="HQ93" i="2" a="1"/>
  <c r="HQ93" i="2" s="1"/>
  <c r="ME93" i="2"/>
  <c r="HE93" i="2" a="1"/>
  <c r="HE93" i="2" s="1"/>
  <c r="MR92" i="2"/>
  <c r="HR92" i="2" a="1"/>
  <c r="HR92" i="2" s="1"/>
  <c r="MF92" i="2"/>
  <c r="HF92" i="2" a="1"/>
  <c r="HF92" i="2" s="1"/>
  <c r="MS91" i="2"/>
  <c r="HS91" i="2" a="1"/>
  <c r="HS91" i="2" s="1"/>
  <c r="MG91" i="2"/>
  <c r="HG91" i="2" a="1"/>
  <c r="HG91" i="2" s="1"/>
  <c r="MT90" i="2"/>
  <c r="HT90" i="2" a="1"/>
  <c r="HT90" i="2" s="1"/>
  <c r="MH90" i="2"/>
  <c r="HH90" i="2" a="1"/>
  <c r="HH90" i="2" s="1"/>
  <c r="MI89" i="2"/>
  <c r="HI89" i="2" a="1"/>
  <c r="HI89" i="2" s="1"/>
  <c r="LW89" i="2"/>
  <c r="GW89" i="2" a="1"/>
  <c r="GW89" i="2" s="1"/>
  <c r="MJ88" i="2"/>
  <c r="HJ88" i="2" a="1"/>
  <c r="HJ88" i="2" s="1"/>
  <c r="LX88" i="2"/>
  <c r="GX88" i="2" a="1"/>
  <c r="GX88" i="2" s="1"/>
  <c r="MK87" i="2"/>
  <c r="HK87" i="2" a="1"/>
  <c r="HK87" i="2" s="1"/>
  <c r="LY87" i="2"/>
  <c r="GY87" i="2" a="1"/>
  <c r="GY87" i="2" s="1"/>
  <c r="ML86" i="2"/>
  <c r="HL86" i="2" a="1"/>
  <c r="HL86" i="2" s="1"/>
  <c r="LZ86" i="2"/>
  <c r="GZ86" i="2" a="1"/>
  <c r="GZ86" i="2" s="1"/>
  <c r="MM85" i="2"/>
  <c r="HM85" i="2" a="1"/>
  <c r="HM85" i="2" s="1"/>
  <c r="MA85" i="2"/>
  <c r="HA85" i="2" a="1"/>
  <c r="HA85" i="2" s="1"/>
  <c r="MN84" i="2"/>
  <c r="HN84" i="2" a="1"/>
  <c r="HN84" i="2" s="1"/>
  <c r="MB84" i="2"/>
  <c r="HB84" i="2" a="1"/>
  <c r="HB84" i="2" s="1"/>
  <c r="MO83" i="2"/>
  <c r="HO83" i="2" a="1"/>
  <c r="HO83" i="2" s="1"/>
  <c r="MC83" i="2"/>
  <c r="HC83" i="2" a="1"/>
  <c r="HC83" i="2" s="1"/>
  <c r="MP82" i="2"/>
  <c r="HP82" i="2" a="1"/>
  <c r="HP82" i="2" s="1"/>
  <c r="MD82" i="2"/>
  <c r="HD82" i="2" a="1"/>
  <c r="HD82" i="2" s="1"/>
  <c r="MQ81" i="2"/>
  <c r="HQ81" i="2" a="1"/>
  <c r="HQ81" i="2" s="1"/>
  <c r="ME81" i="2"/>
  <c r="HE81" i="2" a="1"/>
  <c r="HE81" i="2" s="1"/>
  <c r="MR80" i="2"/>
  <c r="HR80" i="2" a="1"/>
  <c r="HR80" i="2" s="1"/>
  <c r="MF80" i="2"/>
  <c r="HF80" i="2" a="1"/>
  <c r="HF80" i="2" s="1"/>
  <c r="MS79" i="2"/>
  <c r="HS79" i="2" a="1"/>
  <c r="HS79" i="2" s="1"/>
  <c r="MG79" i="2"/>
  <c r="HG79" i="2" a="1"/>
  <c r="HG79" i="2" s="1"/>
  <c r="MT78" i="2"/>
  <c r="HT78" i="2" a="1"/>
  <c r="HT78" i="2" s="1"/>
  <c r="MH78" i="2"/>
  <c r="HH78" i="2" a="1"/>
  <c r="HH78" i="2" s="1"/>
  <c r="MI77" i="2"/>
  <c r="HI77" i="2" a="1"/>
  <c r="HI77" i="2" s="1"/>
  <c r="LW77" i="2"/>
  <c r="GW77" i="2" a="1"/>
  <c r="GW77" i="2" s="1"/>
  <c r="MJ76" i="2"/>
  <c r="HJ76" i="2" a="1"/>
  <c r="HJ76" i="2" s="1"/>
  <c r="LX76" i="2"/>
  <c r="GX76" i="2" a="1"/>
  <c r="GX76" i="2" s="1"/>
  <c r="MK75" i="2"/>
  <c r="HK75" i="2" a="1"/>
  <c r="HK75" i="2" s="1"/>
  <c r="LY75" i="2"/>
  <c r="GY75" i="2" a="1"/>
  <c r="GY75" i="2" s="1"/>
  <c r="ML74" i="2"/>
  <c r="HL74" i="2" a="1"/>
  <c r="HL74" i="2" s="1"/>
  <c r="LZ74" i="2"/>
  <c r="GZ74" i="2" a="1"/>
  <c r="GZ74" i="2" s="1"/>
  <c r="MM73" i="2"/>
  <c r="HM73" i="2" a="1"/>
  <c r="HM73" i="2" s="1"/>
  <c r="MA73" i="2"/>
  <c r="HA73" i="2" a="1"/>
  <c r="HA73" i="2" s="1"/>
  <c r="MN72" i="2"/>
  <c r="HN72" i="2" a="1"/>
  <c r="HN72" i="2" s="1"/>
  <c r="MB72" i="2"/>
  <c r="HB72" i="2" a="1"/>
  <c r="HB72" i="2" s="1"/>
  <c r="MO71" i="2"/>
  <c r="HO71" i="2" a="1"/>
  <c r="HO71" i="2" s="1"/>
  <c r="MC71" i="2"/>
  <c r="HC71" i="2" a="1"/>
  <c r="HC71" i="2" s="1"/>
  <c r="MP70" i="2"/>
  <c r="HP70" i="2" a="1"/>
  <c r="HP70" i="2" s="1"/>
  <c r="MD70" i="2"/>
  <c r="HD70" i="2" a="1"/>
  <c r="HD70" i="2" s="1"/>
  <c r="MQ69" i="2"/>
  <c r="HQ69" i="2" a="1"/>
  <c r="HQ69" i="2" s="1"/>
  <c r="ME69" i="2"/>
  <c r="HE69" i="2" a="1"/>
  <c r="HE69" i="2" s="1"/>
  <c r="MR68" i="2"/>
  <c r="HR68" i="2" a="1"/>
  <c r="HR68" i="2" s="1"/>
  <c r="MF68" i="2"/>
  <c r="HF68" i="2" a="1"/>
  <c r="HF68" i="2" s="1"/>
  <c r="MS67" i="2"/>
  <c r="HS67" i="2" a="1"/>
  <c r="HS67" i="2" s="1"/>
  <c r="MG67" i="2"/>
  <c r="HG67" i="2" a="1"/>
  <c r="HG67" i="2" s="1"/>
  <c r="MT66" i="2"/>
  <c r="HT66" i="2" a="1"/>
  <c r="HT66" i="2" s="1"/>
  <c r="MH66" i="2"/>
  <c r="HH66" i="2" a="1"/>
  <c r="HH66" i="2" s="1"/>
  <c r="MI65" i="2"/>
  <c r="HI65" i="2" a="1"/>
  <c r="HI65" i="2" s="1"/>
  <c r="LW65" i="2"/>
  <c r="GW65" i="2" a="1"/>
  <c r="GW65" i="2" s="1"/>
  <c r="MJ64" i="2"/>
  <c r="HJ64" i="2" a="1"/>
  <c r="HJ64" i="2" s="1"/>
  <c r="LX64" i="2"/>
  <c r="GX64" i="2" a="1"/>
  <c r="GX64" i="2" s="1"/>
  <c r="ES102" i="2" a="1"/>
  <c r="ES102" i="2" s="1"/>
  <c r="FR102" i="2"/>
  <c r="FR94" i="2"/>
  <c r="ES94" i="2" a="1"/>
  <c r="ES94" i="2" s="1"/>
  <c r="FR90" i="2"/>
  <c r="ES90" i="2" a="1"/>
  <c r="ES90" i="2" s="1"/>
  <c r="FR86" i="2"/>
  <c r="ES86" i="2" a="1"/>
  <c r="ES86" i="2" s="1"/>
  <c r="ES82" i="2" a="1"/>
  <c r="ES82" i="2" s="1"/>
  <c r="FR82" i="2"/>
  <c r="FR78" i="2"/>
  <c r="ES78" i="2" a="1"/>
  <c r="ES78" i="2" s="1"/>
  <c r="FR74" i="2"/>
  <c r="ES74" i="2" a="1"/>
  <c r="ES74" i="2" s="1"/>
  <c r="ES62" i="2" a="1"/>
  <c r="ES62" i="2" s="1"/>
  <c r="FR62" i="2"/>
  <c r="ES50" i="2" a="1"/>
  <c r="ES50" i="2" s="1"/>
  <c r="FR50" i="2"/>
  <c r="FR46" i="2"/>
  <c r="ES46" i="2" a="1"/>
  <c r="ES46" i="2" s="1"/>
  <c r="ES38" i="2" a="1"/>
  <c r="ES38" i="2" s="1"/>
  <c r="FR38" i="2"/>
  <c r="ES34" i="2" a="1"/>
  <c r="ES34" i="2" s="1"/>
  <c r="FR34" i="2"/>
  <c r="FR30" i="2"/>
  <c r="ES30" i="2" a="1"/>
  <c r="ES30" i="2" s="1"/>
  <c r="FR26" i="2"/>
  <c r="ES26" i="2" a="1"/>
  <c r="ES26" i="2" s="1"/>
  <c r="FR18" i="2"/>
  <c r="ES18" i="2" a="1"/>
  <c r="ES18" i="2" s="1"/>
  <c r="ES10" i="2" a="1"/>
  <c r="ES10" i="2" s="1"/>
  <c r="FR10" i="2"/>
  <c r="ES6" i="2" a="1"/>
  <c r="ES6" i="2" s="1"/>
  <c r="FR6" i="2"/>
  <c r="FR98" i="2"/>
  <c r="FR58" i="2"/>
  <c r="MT63" i="2"/>
  <c r="HT63" i="2" a="1"/>
  <c r="HT63" i="2" s="1"/>
  <c r="MH63" i="2"/>
  <c r="HH63" i="2" a="1"/>
  <c r="HH63" i="2" s="1"/>
  <c r="MI62" i="2"/>
  <c r="HI62" i="2" a="1"/>
  <c r="HI62" i="2" s="1"/>
  <c r="LW62" i="2"/>
  <c r="GW62" i="2" a="1"/>
  <c r="GW62" i="2" s="1"/>
  <c r="MJ61" i="2"/>
  <c r="HJ61" i="2" a="1"/>
  <c r="HJ61" i="2" s="1"/>
  <c r="LX61" i="2"/>
  <c r="GX61" i="2" a="1"/>
  <c r="GX61" i="2" s="1"/>
  <c r="MK60" i="2"/>
  <c r="HK60" i="2" a="1"/>
  <c r="HK60" i="2" s="1"/>
  <c r="LY60" i="2"/>
  <c r="GY60" i="2" a="1"/>
  <c r="GY60" i="2" s="1"/>
  <c r="ML59" i="2"/>
  <c r="HL59" i="2" a="1"/>
  <c r="HL59" i="2" s="1"/>
  <c r="LZ59" i="2"/>
  <c r="GZ59" i="2" a="1"/>
  <c r="GZ59" i="2" s="1"/>
  <c r="MM58" i="2"/>
  <c r="HM58" i="2" a="1"/>
  <c r="HM58" i="2" s="1"/>
  <c r="MA58" i="2"/>
  <c r="HA58" i="2" a="1"/>
  <c r="HA58" i="2" s="1"/>
  <c r="MN57" i="2"/>
  <c r="HN57" i="2" a="1"/>
  <c r="HN57" i="2" s="1"/>
  <c r="MB57" i="2"/>
  <c r="HB57" i="2" a="1"/>
  <c r="HB57" i="2" s="1"/>
  <c r="MO56" i="2"/>
  <c r="HO56" i="2" a="1"/>
  <c r="HO56" i="2" s="1"/>
  <c r="MC56" i="2"/>
  <c r="HC56" i="2" a="1"/>
  <c r="HC56" i="2" s="1"/>
  <c r="MP55" i="2"/>
  <c r="HP55" i="2" a="1"/>
  <c r="HP55" i="2" s="1"/>
  <c r="MD55" i="2"/>
  <c r="HD55" i="2" a="1"/>
  <c r="HD55" i="2" s="1"/>
  <c r="MQ54" i="2"/>
  <c r="HQ54" i="2" a="1"/>
  <c r="HQ54" i="2" s="1"/>
  <c r="ME54" i="2"/>
  <c r="HE54" i="2" a="1"/>
  <c r="HE54" i="2" s="1"/>
  <c r="MR53" i="2"/>
  <c r="HR53" i="2" a="1"/>
  <c r="HR53" i="2" s="1"/>
  <c r="MF53" i="2"/>
  <c r="HF53" i="2" a="1"/>
  <c r="HF53" i="2" s="1"/>
  <c r="MS52" i="2"/>
  <c r="HS52" i="2" a="1"/>
  <c r="HS52" i="2" s="1"/>
  <c r="MG52" i="2"/>
  <c r="HG52" i="2" a="1"/>
  <c r="HG52" i="2" s="1"/>
  <c r="MT51" i="2"/>
  <c r="HT51" i="2" a="1"/>
  <c r="HT51" i="2" s="1"/>
  <c r="MH51" i="2"/>
  <c r="HH51" i="2" a="1"/>
  <c r="HH51" i="2" s="1"/>
  <c r="MI50" i="2"/>
  <c r="HI50" i="2" a="1"/>
  <c r="HI50" i="2" s="1"/>
  <c r="LW50" i="2"/>
  <c r="GW50" i="2" a="1"/>
  <c r="GW50" i="2" s="1"/>
  <c r="MJ49" i="2"/>
  <c r="HJ49" i="2" a="1"/>
  <c r="HJ49" i="2" s="1"/>
  <c r="LX49" i="2"/>
  <c r="GX49" i="2" a="1"/>
  <c r="GX49" i="2" s="1"/>
  <c r="MK48" i="2"/>
  <c r="HK48" i="2" a="1"/>
  <c r="HK48" i="2" s="1"/>
  <c r="LY48" i="2"/>
  <c r="GY48" i="2" a="1"/>
  <c r="GY48" i="2" s="1"/>
  <c r="ML47" i="2"/>
  <c r="HL47" i="2" a="1"/>
  <c r="HL47" i="2" s="1"/>
  <c r="LZ47" i="2"/>
  <c r="GZ47" i="2" a="1"/>
  <c r="GZ47" i="2" s="1"/>
  <c r="MM46" i="2"/>
  <c r="HM46" i="2" a="1"/>
  <c r="HM46" i="2" s="1"/>
  <c r="MA46" i="2"/>
  <c r="HA46" i="2" a="1"/>
  <c r="HA46" i="2" s="1"/>
  <c r="MN45" i="2"/>
  <c r="HN45" i="2" a="1"/>
  <c r="HN45" i="2" s="1"/>
  <c r="MB45" i="2"/>
  <c r="HB45" i="2" a="1"/>
  <c r="HB45" i="2" s="1"/>
  <c r="MO44" i="2"/>
  <c r="HO44" i="2" a="1"/>
  <c r="HO44" i="2" s="1"/>
  <c r="MC44" i="2"/>
  <c r="HC44" i="2" a="1"/>
  <c r="HC44" i="2" s="1"/>
  <c r="MP43" i="2"/>
  <c r="HP43" i="2" a="1"/>
  <c r="HP43" i="2" s="1"/>
  <c r="MD43" i="2"/>
  <c r="HD43" i="2" a="1"/>
  <c r="HD43" i="2" s="1"/>
  <c r="MQ42" i="2"/>
  <c r="HQ42" i="2" a="1"/>
  <c r="HQ42" i="2" s="1"/>
  <c r="ME42" i="2"/>
  <c r="HE42" i="2" a="1"/>
  <c r="HE42" i="2" s="1"/>
  <c r="MR41" i="2"/>
  <c r="HR41" i="2" a="1"/>
  <c r="HR41" i="2" s="1"/>
  <c r="MF41" i="2"/>
  <c r="HF41" i="2" a="1"/>
  <c r="HF41" i="2" s="1"/>
  <c r="MS40" i="2"/>
  <c r="HS40" i="2" a="1"/>
  <c r="HS40" i="2" s="1"/>
  <c r="MG40" i="2"/>
  <c r="HG40" i="2" a="1"/>
  <c r="HG40" i="2" s="1"/>
  <c r="MT39" i="2"/>
  <c r="HT39" i="2" a="1"/>
  <c r="HT39" i="2" s="1"/>
  <c r="MH39" i="2"/>
  <c r="HH39" i="2" a="1"/>
  <c r="HH39" i="2" s="1"/>
  <c r="MI38" i="2"/>
  <c r="HI38" i="2" a="1"/>
  <c r="HI38" i="2" s="1"/>
  <c r="LW38" i="2"/>
  <c r="GW38" i="2" a="1"/>
  <c r="GW38" i="2" s="1"/>
  <c r="MJ37" i="2"/>
  <c r="HJ37" i="2" a="1"/>
  <c r="HJ37" i="2" s="1"/>
  <c r="LX37" i="2"/>
  <c r="GX37" i="2" a="1"/>
  <c r="GX37" i="2" s="1"/>
  <c r="MK36" i="2"/>
  <c r="HK36" i="2" a="1"/>
  <c r="HK36" i="2" s="1"/>
  <c r="LY36" i="2"/>
  <c r="GY36" i="2" a="1"/>
  <c r="GY36" i="2" s="1"/>
  <c r="ML35" i="2"/>
  <c r="HL35" i="2" a="1"/>
  <c r="HL35" i="2" s="1"/>
  <c r="LZ35" i="2"/>
  <c r="GZ35" i="2" a="1"/>
  <c r="GZ35" i="2" s="1"/>
  <c r="MM34" i="2"/>
  <c r="HM34" i="2" a="1"/>
  <c r="HM34" i="2" s="1"/>
  <c r="MA34" i="2"/>
  <c r="HA34" i="2" a="1"/>
  <c r="HA34" i="2" s="1"/>
  <c r="MN33" i="2"/>
  <c r="HN33" i="2" a="1"/>
  <c r="HN33" i="2" s="1"/>
  <c r="MB33" i="2"/>
  <c r="HB33" i="2" a="1"/>
  <c r="HB33" i="2" s="1"/>
  <c r="MO32" i="2"/>
  <c r="HO32" i="2" a="1"/>
  <c r="HO32" i="2" s="1"/>
  <c r="MC32" i="2"/>
  <c r="HC32" i="2" a="1"/>
  <c r="HC32" i="2" s="1"/>
  <c r="MP31" i="2"/>
  <c r="HP31" i="2" a="1"/>
  <c r="HP31" i="2" s="1"/>
  <c r="MD31" i="2"/>
  <c r="HD31" i="2" a="1"/>
  <c r="HD31" i="2" s="1"/>
  <c r="MQ30" i="2"/>
  <c r="HQ30" i="2" a="1"/>
  <c r="HQ30" i="2" s="1"/>
  <c r="ME30" i="2"/>
  <c r="HE30" i="2" a="1"/>
  <c r="HE30" i="2" s="1"/>
  <c r="MR29" i="2"/>
  <c r="HR29" i="2" a="1"/>
  <c r="HR29" i="2" s="1"/>
  <c r="MF29" i="2"/>
  <c r="HF29" i="2" a="1"/>
  <c r="HF29" i="2" s="1"/>
  <c r="MS28" i="2"/>
  <c r="HS28" i="2" a="1"/>
  <c r="HS28" i="2" s="1"/>
  <c r="MG28" i="2"/>
  <c r="HG28" i="2" a="1"/>
  <c r="HG28" i="2" s="1"/>
  <c r="MT27" i="2"/>
  <c r="HT27" i="2" a="1"/>
  <c r="HT27" i="2" s="1"/>
  <c r="MH27" i="2"/>
  <c r="HH27" i="2" a="1"/>
  <c r="HH27" i="2" s="1"/>
  <c r="MI26" i="2"/>
  <c r="HI26" i="2" a="1"/>
  <c r="HI26" i="2" s="1"/>
  <c r="LW26" i="2"/>
  <c r="GW26" i="2" a="1"/>
  <c r="GW26" i="2" s="1"/>
  <c r="MJ25" i="2"/>
  <c r="HJ25" i="2" a="1"/>
  <c r="HJ25" i="2" s="1"/>
  <c r="LX25" i="2"/>
  <c r="GX25" i="2" a="1"/>
  <c r="GX25" i="2" s="1"/>
  <c r="MK24" i="2"/>
  <c r="HK24" i="2" a="1"/>
  <c r="HK24" i="2" s="1"/>
  <c r="LY24" i="2"/>
  <c r="GY24" i="2" a="1"/>
  <c r="GY24" i="2" s="1"/>
  <c r="ML23" i="2"/>
  <c r="HL23" i="2" a="1"/>
  <c r="HL23" i="2" s="1"/>
  <c r="LZ23" i="2"/>
  <c r="GZ23" i="2" a="1"/>
  <c r="GZ23" i="2" s="1"/>
  <c r="MM22" i="2"/>
  <c r="HM22" i="2" a="1"/>
  <c r="HM22" i="2" s="1"/>
  <c r="MA22" i="2"/>
  <c r="HA22" i="2" a="1"/>
  <c r="HA22" i="2" s="1"/>
  <c r="MN21" i="2"/>
  <c r="HN21" i="2" a="1"/>
  <c r="HN21" i="2" s="1"/>
  <c r="MB21" i="2"/>
  <c r="HB21" i="2" a="1"/>
  <c r="HB21" i="2" s="1"/>
  <c r="MO20" i="2"/>
  <c r="HO20" i="2" a="1"/>
  <c r="HO20" i="2" s="1"/>
  <c r="MC20" i="2"/>
  <c r="HC20" i="2" a="1"/>
  <c r="HC20" i="2" s="1"/>
  <c r="MP19" i="2"/>
  <c r="HP19" i="2" a="1"/>
  <c r="HP19" i="2" s="1"/>
  <c r="MD19" i="2"/>
  <c r="HD19" i="2" a="1"/>
  <c r="HD19" i="2" s="1"/>
  <c r="MQ18" i="2"/>
  <c r="HQ18" i="2" a="1"/>
  <c r="HQ18" i="2" s="1"/>
  <c r="ME18" i="2"/>
  <c r="HE18" i="2" a="1"/>
  <c r="HE18" i="2" s="1"/>
  <c r="MR17" i="2"/>
  <c r="HR17" i="2" a="1"/>
  <c r="HR17" i="2" s="1"/>
  <c r="MF17" i="2"/>
  <c r="HF17" i="2" a="1"/>
  <c r="HF17" i="2" s="1"/>
  <c r="MS16" i="2"/>
  <c r="HS16" i="2" a="1"/>
  <c r="HS16" i="2" s="1"/>
  <c r="MG16" i="2"/>
  <c r="HG16" i="2" a="1"/>
  <c r="HG16" i="2" s="1"/>
  <c r="MT15" i="2"/>
  <c r="HT15" i="2" a="1"/>
  <c r="HT15" i="2" s="1"/>
  <c r="MH15" i="2"/>
  <c r="HH15" i="2" a="1"/>
  <c r="HH15" i="2" s="1"/>
  <c r="MI14" i="2"/>
  <c r="HI14" i="2" a="1"/>
  <c r="HI14" i="2" s="1"/>
  <c r="LW14" i="2"/>
  <c r="GW14" i="2" a="1"/>
  <c r="GW14" i="2" s="1"/>
  <c r="MJ13" i="2"/>
  <c r="HJ13" i="2" a="1"/>
  <c r="HJ13" i="2" s="1"/>
  <c r="LX13" i="2"/>
  <c r="GX13" i="2" a="1"/>
  <c r="GX13" i="2" s="1"/>
  <c r="MK12" i="2"/>
  <c r="HK12" i="2" a="1"/>
  <c r="HK12" i="2" s="1"/>
  <c r="LY12" i="2"/>
  <c r="GY12" i="2" a="1"/>
  <c r="GY12" i="2" s="1"/>
  <c r="ML11" i="2"/>
  <c r="HL11" i="2" a="1"/>
  <c r="HL11" i="2" s="1"/>
  <c r="LZ11" i="2"/>
  <c r="GZ11" i="2" a="1"/>
  <c r="GZ11" i="2" s="1"/>
  <c r="MM10" i="2"/>
  <c r="HM10" i="2" a="1"/>
  <c r="HM10" i="2" s="1"/>
  <c r="MA10" i="2"/>
  <c r="HA10" i="2" a="1"/>
  <c r="HA10" i="2" s="1"/>
  <c r="MN9" i="2"/>
  <c r="HN9" i="2" a="1"/>
  <c r="HN9" i="2" s="1"/>
  <c r="MB9" i="2"/>
  <c r="HB9" i="2" a="1"/>
  <c r="HB9" i="2" s="1"/>
  <c r="MO8" i="2"/>
  <c r="HO8" i="2" a="1"/>
  <c r="HO8" i="2" s="1"/>
  <c r="MC8" i="2"/>
  <c r="HC8" i="2" a="1"/>
  <c r="HC8" i="2" s="1"/>
  <c r="MP7" i="2"/>
  <c r="HP7" i="2" a="1"/>
  <c r="HP7" i="2" s="1"/>
  <c r="MD7" i="2"/>
  <c r="HD7" i="2" a="1"/>
  <c r="HD7" i="2" s="1"/>
  <c r="MQ6" i="2"/>
  <c r="HQ6" i="2" a="1"/>
  <c r="HQ6" i="2" s="1"/>
  <c r="ME6" i="2"/>
  <c r="HE6" i="2" a="1"/>
  <c r="HE6" i="2" s="1"/>
  <c r="MR5" i="2"/>
  <c r="HR5" i="2" a="1"/>
  <c r="HR5" i="2" s="1"/>
  <c r="MF5" i="2"/>
  <c r="HF5" i="2" a="1"/>
  <c r="HF5" i="2" s="1"/>
  <c r="MS4" i="2"/>
  <c r="HS4" i="2" a="1"/>
  <c r="HS4" i="2" s="1"/>
  <c r="MG4" i="2"/>
  <c r="HG4" i="2" a="1"/>
  <c r="HG4" i="2" s="1"/>
  <c r="MT103" i="2"/>
  <c r="HT103" i="2" a="1"/>
  <c r="HT103" i="2" s="1"/>
  <c r="MH103" i="2"/>
  <c r="HH103" i="2" a="1"/>
  <c r="HH103" i="2" s="1"/>
  <c r="MI102" i="2"/>
  <c r="HI102" i="2" a="1"/>
  <c r="HI102" i="2" s="1"/>
  <c r="LW102" i="2"/>
  <c r="GW102" i="2" a="1"/>
  <c r="GW102" i="2" s="1"/>
  <c r="MJ101" i="2"/>
  <c r="HJ101" i="2" a="1"/>
  <c r="HJ101" i="2" s="1"/>
  <c r="LX101" i="2"/>
  <c r="GX101" i="2" a="1"/>
  <c r="GX101" i="2" s="1"/>
  <c r="MK100" i="2"/>
  <c r="HK100" i="2" a="1"/>
  <c r="HK100" i="2" s="1"/>
  <c r="LY100" i="2"/>
  <c r="GY100" i="2" a="1"/>
  <c r="GY100" i="2" s="1"/>
  <c r="ML99" i="2"/>
  <c r="HL99" i="2" a="1"/>
  <c r="HL99" i="2" s="1"/>
  <c r="LZ99" i="2"/>
  <c r="GZ99" i="2" a="1"/>
  <c r="GZ99" i="2" s="1"/>
  <c r="MM98" i="2"/>
  <c r="HM98" i="2" a="1"/>
  <c r="HM98" i="2" s="1"/>
  <c r="MA98" i="2"/>
  <c r="HA98" i="2" a="1"/>
  <c r="HA98" i="2" s="1"/>
  <c r="MN97" i="2"/>
  <c r="HN97" i="2" a="1"/>
  <c r="HN97" i="2" s="1"/>
  <c r="MB97" i="2"/>
  <c r="HB97" i="2" a="1"/>
  <c r="HB97" i="2" s="1"/>
  <c r="MO96" i="2"/>
  <c r="HO96" i="2" a="1"/>
  <c r="HO96" i="2" s="1"/>
  <c r="MC96" i="2"/>
  <c r="HC96" i="2" a="1"/>
  <c r="HC96" i="2" s="1"/>
  <c r="MP95" i="2"/>
  <c r="HP95" i="2" a="1"/>
  <c r="HP95" i="2" s="1"/>
  <c r="MD95" i="2"/>
  <c r="HD95" i="2" a="1"/>
  <c r="HD95" i="2" s="1"/>
  <c r="MQ94" i="2"/>
  <c r="HQ94" i="2" a="1"/>
  <c r="HQ94" i="2" s="1"/>
  <c r="ME94" i="2"/>
  <c r="HE94" i="2" a="1"/>
  <c r="HE94" i="2" s="1"/>
  <c r="MR93" i="2"/>
  <c r="HR93" i="2" a="1"/>
  <c r="HR93" i="2" s="1"/>
  <c r="MF93" i="2"/>
  <c r="HF93" i="2" a="1"/>
  <c r="HF93" i="2" s="1"/>
  <c r="MS92" i="2"/>
  <c r="HS92" i="2" a="1"/>
  <c r="HS92" i="2" s="1"/>
  <c r="MG92" i="2"/>
  <c r="HG92" i="2" a="1"/>
  <c r="HG92" i="2" s="1"/>
  <c r="MT91" i="2"/>
  <c r="HT91" i="2" a="1"/>
  <c r="HT91" i="2" s="1"/>
  <c r="MH91" i="2"/>
  <c r="HH91" i="2" a="1"/>
  <c r="HH91" i="2" s="1"/>
  <c r="MI90" i="2"/>
  <c r="HI90" i="2" a="1"/>
  <c r="HI90" i="2" s="1"/>
  <c r="LW90" i="2"/>
  <c r="GW90" i="2" a="1"/>
  <c r="GW90" i="2" s="1"/>
  <c r="MJ89" i="2"/>
  <c r="HJ89" i="2" a="1"/>
  <c r="HJ89" i="2" s="1"/>
  <c r="LX89" i="2"/>
  <c r="GX89" i="2" a="1"/>
  <c r="GX89" i="2" s="1"/>
  <c r="MK88" i="2"/>
  <c r="HK88" i="2" a="1"/>
  <c r="HK88" i="2" s="1"/>
  <c r="LY88" i="2"/>
  <c r="GY88" i="2" a="1"/>
  <c r="GY88" i="2" s="1"/>
  <c r="ML87" i="2"/>
  <c r="HL87" i="2" a="1"/>
  <c r="HL87" i="2" s="1"/>
  <c r="LZ87" i="2"/>
  <c r="GZ87" i="2" a="1"/>
  <c r="GZ87" i="2" s="1"/>
  <c r="MM86" i="2"/>
  <c r="HM86" i="2" a="1"/>
  <c r="HM86" i="2" s="1"/>
  <c r="MA86" i="2"/>
  <c r="HA86" i="2" a="1"/>
  <c r="HA86" i="2" s="1"/>
  <c r="MN85" i="2"/>
  <c r="HN85" i="2" a="1"/>
  <c r="HN85" i="2" s="1"/>
  <c r="MB85" i="2"/>
  <c r="HB85" i="2" a="1"/>
  <c r="HB85" i="2" s="1"/>
  <c r="MO84" i="2"/>
  <c r="HO84" i="2" a="1"/>
  <c r="HO84" i="2" s="1"/>
  <c r="MC84" i="2"/>
  <c r="HC84" i="2" a="1"/>
  <c r="HC84" i="2" s="1"/>
  <c r="MP83" i="2"/>
  <c r="HP83" i="2" a="1"/>
  <c r="HP83" i="2" s="1"/>
  <c r="MD83" i="2"/>
  <c r="HD83" i="2" a="1"/>
  <c r="HD83" i="2" s="1"/>
  <c r="MQ82" i="2"/>
  <c r="HQ82" i="2" a="1"/>
  <c r="HQ82" i="2" s="1"/>
  <c r="ME82" i="2"/>
  <c r="HE82" i="2" a="1"/>
  <c r="HE82" i="2" s="1"/>
  <c r="MR81" i="2"/>
  <c r="HR81" i="2" a="1"/>
  <c r="HR81" i="2" s="1"/>
  <c r="MF81" i="2"/>
  <c r="HF81" i="2" a="1"/>
  <c r="HF81" i="2" s="1"/>
  <c r="MS80" i="2"/>
  <c r="HS80" i="2" a="1"/>
  <c r="HS80" i="2" s="1"/>
  <c r="MG80" i="2"/>
  <c r="HG80" i="2" a="1"/>
  <c r="HG80" i="2" s="1"/>
  <c r="MT79" i="2"/>
  <c r="HT79" i="2" a="1"/>
  <c r="HT79" i="2" s="1"/>
  <c r="MH79" i="2"/>
  <c r="HH79" i="2" a="1"/>
  <c r="HH79" i="2" s="1"/>
  <c r="MI78" i="2"/>
  <c r="HI78" i="2" a="1"/>
  <c r="HI78" i="2" s="1"/>
  <c r="LW78" i="2"/>
  <c r="GW78" i="2" a="1"/>
  <c r="GW78" i="2" s="1"/>
  <c r="MJ77" i="2"/>
  <c r="HJ77" i="2" a="1"/>
  <c r="HJ77" i="2" s="1"/>
  <c r="LX77" i="2"/>
  <c r="GX77" i="2" a="1"/>
  <c r="GX77" i="2" s="1"/>
  <c r="MK76" i="2"/>
  <c r="HK76" i="2" a="1"/>
  <c r="HK76" i="2" s="1"/>
  <c r="LY76" i="2"/>
  <c r="GY76" i="2" a="1"/>
  <c r="GY76" i="2" s="1"/>
  <c r="ML75" i="2"/>
  <c r="HL75" i="2" a="1"/>
  <c r="HL75" i="2" s="1"/>
  <c r="LZ75" i="2"/>
  <c r="GZ75" i="2" a="1"/>
  <c r="GZ75" i="2" s="1"/>
  <c r="MM74" i="2"/>
  <c r="HM74" i="2" a="1"/>
  <c r="HM74" i="2" s="1"/>
  <c r="MA74" i="2"/>
  <c r="HA74" i="2" a="1"/>
  <c r="HA74" i="2" s="1"/>
  <c r="MN73" i="2"/>
  <c r="HN73" i="2" a="1"/>
  <c r="HN73" i="2" s="1"/>
  <c r="MB73" i="2"/>
  <c r="HB73" i="2" a="1"/>
  <c r="HB73" i="2" s="1"/>
  <c r="MO72" i="2"/>
  <c r="HO72" i="2" a="1"/>
  <c r="HO72" i="2" s="1"/>
  <c r="MC72" i="2"/>
  <c r="HC72" i="2" a="1"/>
  <c r="HC72" i="2" s="1"/>
  <c r="MP71" i="2"/>
  <c r="HP71" i="2" a="1"/>
  <c r="HP71" i="2" s="1"/>
  <c r="MD71" i="2"/>
  <c r="HD71" i="2" a="1"/>
  <c r="HD71" i="2" s="1"/>
  <c r="MQ70" i="2"/>
  <c r="HQ70" i="2" a="1"/>
  <c r="HQ70" i="2" s="1"/>
  <c r="HE70" i="2" a="1"/>
  <c r="HE70" i="2" s="1"/>
  <c r="ME70" i="2"/>
  <c r="MR69" i="2"/>
  <c r="HR69" i="2" a="1"/>
  <c r="HR69" i="2" s="1"/>
  <c r="MF69" i="2"/>
  <c r="HF69" i="2" a="1"/>
  <c r="HF69" i="2" s="1"/>
  <c r="MS68" i="2"/>
  <c r="HS68" i="2" a="1"/>
  <c r="HS68" i="2" s="1"/>
  <c r="MG68" i="2"/>
  <c r="HG68" i="2" a="1"/>
  <c r="HG68" i="2" s="1"/>
  <c r="MT67" i="2"/>
  <c r="HT67" i="2" a="1"/>
  <c r="HT67" i="2" s="1"/>
  <c r="MH67" i="2"/>
  <c r="HH67" i="2" a="1"/>
  <c r="HH67" i="2" s="1"/>
  <c r="MI66" i="2"/>
  <c r="HI66" i="2" a="1"/>
  <c r="HI66" i="2" s="1"/>
  <c r="LW66" i="2"/>
  <c r="GW66" i="2" a="1"/>
  <c r="GW66" i="2" s="1"/>
  <c r="MJ65" i="2"/>
  <c r="HJ65" i="2" a="1"/>
  <c r="HJ65" i="2" s="1"/>
  <c r="LX65" i="2"/>
  <c r="GX65" i="2" a="1"/>
  <c r="GX65" i="2" s="1"/>
  <c r="MK64" i="2"/>
  <c r="HK64" i="2" a="1"/>
  <c r="HK64" i="2" s="1"/>
  <c r="LY64" i="2"/>
  <c r="GY64" i="2" a="1"/>
  <c r="GY64" i="2" s="1"/>
  <c r="ER81" i="2" a="1"/>
  <c r="ER81" i="2" s="1"/>
  <c r="ER70" i="2" a="1"/>
  <c r="ER70" i="2" s="1"/>
  <c r="ET65" i="2" a="1"/>
  <c r="ET65" i="2" s="1"/>
  <c r="ES61" i="2" a="1"/>
  <c r="ES61" i="2" s="1"/>
  <c r="ER57" i="2" a="1"/>
  <c r="ER57" i="2" s="1"/>
  <c r="ET41" i="2" a="1"/>
  <c r="ET41" i="2" s="1"/>
  <c r="ES37" i="2" a="1"/>
  <c r="ES37" i="2" s="1"/>
  <c r="ER33" i="2" a="1"/>
  <c r="ER33" i="2" s="1"/>
  <c r="ER22" i="2" a="1"/>
  <c r="ER22" i="2" s="1"/>
  <c r="ET17" i="2" a="1"/>
  <c r="ET17" i="2" s="1"/>
  <c r="ES13" i="2" a="1"/>
  <c r="ES13" i="2" s="1"/>
  <c r="ER9" i="2" a="1"/>
  <c r="ER9" i="2" s="1"/>
  <c r="FS100" i="2"/>
  <c r="FR96" i="2"/>
  <c r="FQ92" i="2"/>
  <c r="ET56" i="2" a="1"/>
  <c r="ET56" i="2" s="1"/>
  <c r="ES52" i="2" a="1"/>
  <c r="ES52" i="2" s="1"/>
  <c r="ER48" i="2" a="1"/>
  <c r="ER48" i="2" s="1"/>
  <c r="ET8" i="2" a="1"/>
  <c r="ET8" i="2" s="1"/>
  <c r="ES4" i="2" a="1"/>
  <c r="ES4" i="2" s="1"/>
  <c r="FR100" i="2"/>
  <c r="FQ96" i="2"/>
  <c r="FR65" i="2"/>
  <c r="FQ61" i="2"/>
  <c r="FR17" i="2"/>
  <c r="FQ13" i="2"/>
  <c r="GV60" i="2" a="1"/>
  <c r="GV60" i="2" s="1"/>
  <c r="GV48" i="2" a="1"/>
  <c r="GV48" i="2" s="1"/>
  <c r="HF38" i="2" a="1"/>
  <c r="HF38" i="2" s="1"/>
  <c r="GV36" i="2" a="1"/>
  <c r="GV36" i="2" s="1"/>
  <c r="ER74" i="2" a="1"/>
  <c r="ER74" i="2" s="1"/>
  <c r="ET69" i="2" a="1"/>
  <c r="ET69" i="2" s="1"/>
  <c r="ET45" i="2" a="1"/>
  <c r="ET45" i="2" s="1"/>
  <c r="ER26" i="2" a="1"/>
  <c r="ER26" i="2" s="1"/>
  <c r="ET21" i="2" a="1"/>
  <c r="ET21" i="2" s="1"/>
  <c r="FQ100" i="2"/>
  <c r="FR69" i="2"/>
  <c r="FQ65" i="2"/>
  <c r="FS60" i="2"/>
  <c r="FR56" i="2"/>
  <c r="FQ52" i="2"/>
  <c r="FR21" i="2"/>
  <c r="FQ17" i="2"/>
  <c r="FS12" i="2"/>
  <c r="FR8" i="2"/>
  <c r="FQ4" i="2"/>
  <c r="C23" i="4" s="1"/>
  <c r="D23" i="4" s="1"/>
  <c r="MP63" i="2"/>
  <c r="HP63" i="2" a="1"/>
  <c r="HP63" i="2" s="1"/>
  <c r="MD63" i="2"/>
  <c r="HD63" i="2" a="1"/>
  <c r="HD63" i="2" s="1"/>
  <c r="MQ62" i="2"/>
  <c r="ME62" i="2"/>
  <c r="HE62" i="2" a="1"/>
  <c r="HE62" i="2" s="1"/>
  <c r="MR61" i="2"/>
  <c r="HR61" i="2" a="1"/>
  <c r="HR61" i="2" s="1"/>
  <c r="MF61" i="2"/>
  <c r="MS60" i="2"/>
  <c r="HS60" i="2" a="1"/>
  <c r="HS60" i="2" s="1"/>
  <c r="MG60" i="2"/>
  <c r="HG60" i="2" a="1"/>
  <c r="HG60" i="2" s="1"/>
  <c r="MT59" i="2"/>
  <c r="MH59" i="2"/>
  <c r="HH59" i="2" a="1"/>
  <c r="HH59" i="2" s="1"/>
  <c r="GV59" i="2" a="1"/>
  <c r="GV59" i="2" s="1"/>
  <c r="MI58" i="2"/>
  <c r="LW58" i="2"/>
  <c r="GW58" i="2" a="1"/>
  <c r="GW58" i="2" s="1"/>
  <c r="MJ57" i="2"/>
  <c r="HJ57" i="2" a="1"/>
  <c r="HJ57" i="2" s="1"/>
  <c r="LX57" i="2"/>
  <c r="MK56" i="2"/>
  <c r="HK56" i="2" a="1"/>
  <c r="HK56" i="2" s="1"/>
  <c r="LY56" i="2"/>
  <c r="GY56" i="2" a="1"/>
  <c r="GY56" i="2" s="1"/>
  <c r="HM54" i="2" a="1"/>
  <c r="HM54" i="2" s="1"/>
  <c r="HB53" i="2" a="1"/>
  <c r="HB53" i="2" s="1"/>
  <c r="HP51" i="2" a="1"/>
  <c r="HP51" i="2" s="1"/>
  <c r="HE50" i="2" a="1"/>
  <c r="HE50" i="2" s="1"/>
  <c r="HS48" i="2" a="1"/>
  <c r="HS48" i="2" s="1"/>
  <c r="HH47" i="2" a="1"/>
  <c r="HH47" i="2" s="1"/>
  <c r="GW46" i="2" a="1"/>
  <c r="GW46" i="2" s="1"/>
  <c r="HK44" i="2" a="1"/>
  <c r="HK44" i="2" s="1"/>
  <c r="GZ43" i="2" a="1"/>
  <c r="GZ43" i="2" s="1"/>
  <c r="HN41" i="2" a="1"/>
  <c r="HN41" i="2" s="1"/>
  <c r="HC40" i="2" a="1"/>
  <c r="HC40" i="2" s="1"/>
  <c r="FQ78" i="2"/>
  <c r="FR73" i="2"/>
  <c r="FQ69" i="2"/>
  <c r="FS64" i="2"/>
  <c r="FR60" i="2"/>
  <c r="FQ56" i="2"/>
  <c r="FQ30" i="2"/>
  <c r="FR25" i="2"/>
  <c r="FQ21" i="2"/>
  <c r="FS16" i="2"/>
  <c r="FR12" i="2"/>
  <c r="FQ8" i="2"/>
  <c r="ET73" i="2" a="1"/>
  <c r="ET73" i="2" s="1"/>
  <c r="ET49" i="2" a="1"/>
  <c r="ET49" i="2" s="1"/>
  <c r="ET25" i="2" a="1"/>
  <c r="ET25" i="2" s="1"/>
  <c r="FQ82" i="2"/>
  <c r="FQ34" i="2"/>
  <c r="HM28" i="2" a="1"/>
  <c r="HM28" i="2" s="1"/>
  <c r="FQ86" i="2"/>
  <c r="MM63" i="2"/>
  <c r="HM63" i="2" a="1"/>
  <c r="HM63" i="2" s="1"/>
  <c r="MA63" i="2"/>
  <c r="HA63" i="2" a="1"/>
  <c r="HA63" i="2" s="1"/>
  <c r="MN62" i="2"/>
  <c r="HN62" i="2" a="1"/>
  <c r="HN62" i="2" s="1"/>
  <c r="MB62" i="2"/>
  <c r="HB62" i="2" a="1"/>
  <c r="HB62" i="2" s="1"/>
  <c r="HC37" i="2" a="1"/>
  <c r="HC37" i="2" s="1"/>
  <c r="HQ62" i="2" a="1"/>
  <c r="HQ62" i="2" s="1"/>
  <c r="HT59" i="2" a="1"/>
  <c r="HT59" i="2" s="1"/>
  <c r="GX57" i="2" a="1"/>
  <c r="GX57" i="2" s="1"/>
  <c r="ER90" i="2" a="1"/>
  <c r="ER90" i="2" s="1"/>
  <c r="ET77" i="2" a="1"/>
  <c r="ET77" i="2" s="1"/>
  <c r="ET53" i="2" a="1"/>
  <c r="ET53" i="2" s="1"/>
  <c r="ET29" i="2" a="1"/>
  <c r="ET29" i="2" s="1"/>
  <c r="ET5" i="2" a="1"/>
  <c r="ET5" i="2" s="1"/>
  <c r="GZ39" i="2" a="1"/>
  <c r="GZ39" i="2" s="1"/>
  <c r="HK4" i="2" a="1"/>
  <c r="HK4" i="2" s="1"/>
  <c r="GY4" i="2" a="1"/>
  <c r="GY4" i="2" s="1"/>
  <c r="MR63" i="2"/>
  <c r="HR63" i="2" a="1"/>
  <c r="HR63" i="2" s="1"/>
  <c r="MF63" i="2"/>
  <c r="HF63" i="2" a="1"/>
  <c r="HF63" i="2" s="1"/>
  <c r="MS62" i="2"/>
  <c r="HS62" i="2" a="1"/>
  <c r="HS62" i="2" s="1"/>
  <c r="MG62" i="2"/>
  <c r="HG62" i="2" a="1"/>
  <c r="HG62" i="2" s="1"/>
  <c r="MT61" i="2"/>
  <c r="HT61" i="2" a="1"/>
  <c r="HT61" i="2" s="1"/>
  <c r="MH61" i="2"/>
  <c r="HH61" i="2" a="1"/>
  <c r="HH61" i="2" s="1"/>
  <c r="GV61" i="2" a="1"/>
  <c r="GV61" i="2" s="1"/>
  <c r="MI60" i="2"/>
  <c r="HI60" i="2" a="1"/>
  <c r="HI60" i="2" s="1"/>
  <c r="LW60" i="2"/>
  <c r="GW60" i="2" a="1"/>
  <c r="GW60" i="2" s="1"/>
  <c r="MJ59" i="2"/>
  <c r="HJ59" i="2" a="1"/>
  <c r="HJ59" i="2" s="1"/>
  <c r="LX59" i="2"/>
  <c r="GX59" i="2" a="1"/>
  <c r="GX59" i="2" s="1"/>
  <c r="MK58" i="2"/>
  <c r="HK58" i="2" a="1"/>
  <c r="HK58" i="2" s="1"/>
  <c r="LY58" i="2"/>
  <c r="GY58" i="2" a="1"/>
  <c r="GY58" i="2" s="1"/>
  <c r="ML57" i="2"/>
  <c r="HL57" i="2" a="1"/>
  <c r="HL57" i="2" s="1"/>
  <c r="LZ57" i="2"/>
  <c r="GZ57" i="2" a="1"/>
  <c r="GZ57" i="2" s="1"/>
  <c r="MM56" i="2"/>
  <c r="HM56" i="2" a="1"/>
  <c r="HM56" i="2" s="1"/>
  <c r="MA56" i="2"/>
  <c r="HA56" i="2" a="1"/>
  <c r="HA56" i="2" s="1"/>
  <c r="MN55" i="2"/>
  <c r="HN55" i="2" a="1"/>
  <c r="HN55" i="2" s="1"/>
  <c r="MB55" i="2"/>
  <c r="HB55" i="2" a="1"/>
  <c r="HB55" i="2" s="1"/>
  <c r="MO54" i="2"/>
  <c r="HO54" i="2" a="1"/>
  <c r="HO54" i="2" s="1"/>
  <c r="MC54" i="2"/>
  <c r="HC54" i="2" a="1"/>
  <c r="HC54" i="2" s="1"/>
  <c r="MP53" i="2"/>
  <c r="HP53" i="2" a="1"/>
  <c r="HP53" i="2" s="1"/>
  <c r="MD53" i="2"/>
  <c r="HD53" i="2" a="1"/>
  <c r="HD53" i="2" s="1"/>
  <c r="MQ52" i="2"/>
  <c r="HQ52" i="2" a="1"/>
  <c r="HQ52" i="2" s="1"/>
  <c r="ME52" i="2"/>
  <c r="HE52" i="2" a="1"/>
  <c r="HE52" i="2" s="1"/>
  <c r="MR51" i="2"/>
  <c r="HR51" i="2" a="1"/>
  <c r="HR51" i="2" s="1"/>
  <c r="MF51" i="2"/>
  <c r="HF51" i="2" a="1"/>
  <c r="HF51" i="2" s="1"/>
  <c r="MS50" i="2"/>
  <c r="HS50" i="2" a="1"/>
  <c r="HS50" i="2" s="1"/>
  <c r="MG50" i="2"/>
  <c r="HG50" i="2" a="1"/>
  <c r="HG50" i="2" s="1"/>
  <c r="MT49" i="2"/>
  <c r="HT49" i="2" a="1"/>
  <c r="HT49" i="2" s="1"/>
  <c r="MH49" i="2"/>
  <c r="HH49" i="2" a="1"/>
  <c r="HH49" i="2" s="1"/>
  <c r="GV49" i="2" a="1"/>
  <c r="GV49" i="2" s="1"/>
  <c r="MI48" i="2"/>
  <c r="HI48" i="2" a="1"/>
  <c r="HI48" i="2" s="1"/>
  <c r="LW48" i="2"/>
  <c r="GW48" i="2" a="1"/>
  <c r="GW48" i="2" s="1"/>
  <c r="MJ47" i="2"/>
  <c r="HJ47" i="2" a="1"/>
  <c r="HJ47" i="2" s="1"/>
  <c r="LX47" i="2"/>
  <c r="GX47" i="2" a="1"/>
  <c r="GX47" i="2" s="1"/>
  <c r="MK46" i="2"/>
  <c r="HK46" i="2" a="1"/>
  <c r="HK46" i="2" s="1"/>
  <c r="LY46" i="2"/>
  <c r="GY46" i="2" a="1"/>
  <c r="GY46" i="2" s="1"/>
  <c r="ML45" i="2"/>
  <c r="HL45" i="2" a="1"/>
  <c r="HL45" i="2" s="1"/>
  <c r="LZ45" i="2"/>
  <c r="GZ45" i="2" a="1"/>
  <c r="GZ45" i="2" s="1"/>
  <c r="MM44" i="2"/>
  <c r="HM44" i="2" a="1"/>
  <c r="HM44" i="2" s="1"/>
  <c r="MA44" i="2"/>
  <c r="HA44" i="2" a="1"/>
  <c r="HA44" i="2" s="1"/>
  <c r="MN43" i="2"/>
  <c r="HN43" i="2" a="1"/>
  <c r="HN43" i="2" s="1"/>
  <c r="MB43" i="2"/>
  <c r="HB43" i="2" a="1"/>
  <c r="HB43" i="2" s="1"/>
  <c r="MO42" i="2"/>
  <c r="HO42" i="2" a="1"/>
  <c r="HO42" i="2" s="1"/>
  <c r="MC42" i="2"/>
  <c r="HC42" i="2" a="1"/>
  <c r="HC42" i="2" s="1"/>
  <c r="MP41" i="2"/>
  <c r="HP41" i="2" a="1"/>
  <c r="HP41" i="2" s="1"/>
  <c r="MD41" i="2"/>
  <c r="HD41" i="2" a="1"/>
  <c r="HD41" i="2" s="1"/>
  <c r="MQ40" i="2"/>
  <c r="HQ40" i="2" a="1"/>
  <c r="HQ40" i="2" s="1"/>
  <c r="ME40" i="2"/>
  <c r="HE40" i="2" a="1"/>
  <c r="HE40" i="2" s="1"/>
  <c r="MR39" i="2"/>
  <c r="HR39" i="2" a="1"/>
  <c r="HR39" i="2" s="1"/>
  <c r="MF39" i="2"/>
  <c r="HF39" i="2" a="1"/>
  <c r="HF39" i="2" s="1"/>
  <c r="MS38" i="2"/>
  <c r="HS38" i="2" a="1"/>
  <c r="HS38" i="2" s="1"/>
  <c r="MG38" i="2"/>
  <c r="MT37" i="2"/>
  <c r="HT37" i="2" a="1"/>
  <c r="HT37" i="2" s="1"/>
  <c r="MH37" i="2"/>
  <c r="HH37" i="2" a="1"/>
  <c r="HH37" i="2" s="1"/>
  <c r="GV37" i="2" a="1"/>
  <c r="GV37" i="2" s="1"/>
  <c r="MI36" i="2"/>
  <c r="HI36" i="2" a="1"/>
  <c r="HI36" i="2" s="1"/>
  <c r="LW36" i="2"/>
  <c r="GW36" i="2" a="1"/>
  <c r="GW36" i="2" s="1"/>
  <c r="MJ35" i="2"/>
  <c r="HJ35" i="2" a="1"/>
  <c r="HJ35" i="2" s="1"/>
  <c r="LX35" i="2"/>
  <c r="GX35" i="2" a="1"/>
  <c r="GX35" i="2" s="1"/>
  <c r="MK34" i="2"/>
  <c r="HK34" i="2" a="1"/>
  <c r="HK34" i="2" s="1"/>
  <c r="LY34" i="2"/>
  <c r="GY34" i="2" a="1"/>
  <c r="GY34" i="2" s="1"/>
  <c r="ML33" i="2"/>
  <c r="HL33" i="2" a="1"/>
  <c r="HL33" i="2" s="1"/>
  <c r="LZ33" i="2"/>
  <c r="GZ33" i="2" a="1"/>
  <c r="GZ33" i="2" s="1"/>
  <c r="MM32" i="2"/>
  <c r="HM32" i="2" a="1"/>
  <c r="HM32" i="2" s="1"/>
  <c r="MA32" i="2"/>
  <c r="HA32" i="2" a="1"/>
  <c r="HA32" i="2" s="1"/>
  <c r="MN31" i="2"/>
  <c r="HN31" i="2" a="1"/>
  <c r="HN31" i="2" s="1"/>
  <c r="MB31" i="2"/>
  <c r="HB31" i="2" a="1"/>
  <c r="HB31" i="2" s="1"/>
  <c r="MO30" i="2"/>
  <c r="HO30" i="2" a="1"/>
  <c r="HO30" i="2" s="1"/>
  <c r="MC30" i="2"/>
  <c r="HC30" i="2" a="1"/>
  <c r="HC30" i="2" s="1"/>
  <c r="MP29" i="2"/>
  <c r="HP29" i="2" a="1"/>
  <c r="HP29" i="2" s="1"/>
  <c r="MD29" i="2"/>
  <c r="HD29" i="2" a="1"/>
  <c r="HD29" i="2" s="1"/>
  <c r="MQ28" i="2"/>
  <c r="HQ28" i="2" a="1"/>
  <c r="HQ28" i="2" s="1"/>
  <c r="ME28" i="2"/>
  <c r="HE28" i="2" a="1"/>
  <c r="HE28" i="2" s="1"/>
  <c r="MR27" i="2"/>
  <c r="HR27" i="2" a="1"/>
  <c r="HR27" i="2" s="1"/>
  <c r="MF27" i="2"/>
  <c r="HF27" i="2" a="1"/>
  <c r="HF27" i="2" s="1"/>
  <c r="MS26" i="2"/>
  <c r="HS26" i="2" a="1"/>
  <c r="HS26" i="2" s="1"/>
  <c r="MG26" i="2"/>
  <c r="HG26" i="2" a="1"/>
  <c r="HG26" i="2" s="1"/>
  <c r="MT25" i="2"/>
  <c r="HT25" i="2" a="1"/>
  <c r="HT25" i="2" s="1"/>
  <c r="MH25" i="2"/>
  <c r="HH25" i="2" a="1"/>
  <c r="HH25" i="2" s="1"/>
  <c r="GV25" i="2" a="1"/>
  <c r="GV25" i="2" s="1"/>
  <c r="MI24" i="2"/>
  <c r="HI24" i="2" a="1"/>
  <c r="HI24" i="2" s="1"/>
  <c r="LW24" i="2"/>
  <c r="GW24" i="2" a="1"/>
  <c r="GW24" i="2" s="1"/>
  <c r="MJ23" i="2"/>
  <c r="HJ23" i="2" a="1"/>
  <c r="HJ23" i="2" s="1"/>
  <c r="LX23" i="2"/>
  <c r="GX23" i="2" a="1"/>
  <c r="GX23" i="2" s="1"/>
  <c r="MK22" i="2"/>
  <c r="HK22" i="2" a="1"/>
  <c r="HK22" i="2" s="1"/>
  <c r="LY22" i="2"/>
  <c r="GY22" i="2" a="1"/>
  <c r="GY22" i="2" s="1"/>
  <c r="ML21" i="2"/>
  <c r="HL21" i="2" a="1"/>
  <c r="HL21" i="2" s="1"/>
  <c r="LZ21" i="2"/>
  <c r="GZ21" i="2" a="1"/>
  <c r="GZ21" i="2" s="1"/>
  <c r="MM20" i="2"/>
  <c r="HM20" i="2" a="1"/>
  <c r="HM20" i="2" s="1"/>
  <c r="MA20" i="2"/>
  <c r="HA20" i="2" a="1"/>
  <c r="HA20" i="2" s="1"/>
  <c r="MN19" i="2"/>
  <c r="HN19" i="2" a="1"/>
  <c r="HN19" i="2" s="1"/>
  <c r="MB19" i="2"/>
  <c r="HB19" i="2" a="1"/>
  <c r="HB19" i="2" s="1"/>
  <c r="MO18" i="2"/>
  <c r="HO18" i="2" a="1"/>
  <c r="HO18" i="2" s="1"/>
  <c r="MC18" i="2"/>
  <c r="HC18" i="2" a="1"/>
  <c r="HC18" i="2" s="1"/>
  <c r="MP17" i="2"/>
  <c r="HP17" i="2" a="1"/>
  <c r="HP17" i="2" s="1"/>
  <c r="MD17" i="2"/>
  <c r="HD17" i="2" a="1"/>
  <c r="HD17" i="2" s="1"/>
  <c r="MQ16" i="2"/>
  <c r="HQ16" i="2" a="1"/>
  <c r="HQ16" i="2" s="1"/>
  <c r="ME16" i="2"/>
  <c r="HE16" i="2" a="1"/>
  <c r="HE16" i="2" s="1"/>
  <c r="MR15" i="2"/>
  <c r="HR15" i="2" a="1"/>
  <c r="HR15" i="2" s="1"/>
  <c r="MF15" i="2"/>
  <c r="HF15" i="2" a="1"/>
  <c r="HF15" i="2" s="1"/>
  <c r="MS14" i="2"/>
  <c r="HS14" i="2" a="1"/>
  <c r="HS14" i="2" s="1"/>
  <c r="MG14" i="2"/>
  <c r="HG14" i="2" a="1"/>
  <c r="HG14" i="2" s="1"/>
  <c r="MT13" i="2"/>
  <c r="HT13" i="2" a="1"/>
  <c r="HT13" i="2" s="1"/>
  <c r="MH13" i="2"/>
  <c r="HH13" i="2" a="1"/>
  <c r="HH13" i="2" s="1"/>
  <c r="GV13" i="2" a="1"/>
  <c r="GV13" i="2" s="1"/>
  <c r="MI12" i="2"/>
  <c r="HI12" i="2" a="1"/>
  <c r="HI12" i="2" s="1"/>
  <c r="LW12" i="2"/>
  <c r="GW12" i="2" a="1"/>
  <c r="GW12" i="2" s="1"/>
  <c r="HJ11" i="2" a="1"/>
  <c r="HJ11" i="2" s="1"/>
  <c r="MJ11" i="2"/>
  <c r="LX11" i="2"/>
  <c r="GX11" i="2" a="1"/>
  <c r="GX11" i="2" s="1"/>
  <c r="MK10" i="2"/>
  <c r="HK10" i="2" a="1"/>
  <c r="HK10" i="2" s="1"/>
  <c r="LY10" i="2"/>
  <c r="GY10" i="2" a="1"/>
  <c r="GY10" i="2" s="1"/>
  <c r="ML9" i="2"/>
  <c r="HL9" i="2" a="1"/>
  <c r="HL9" i="2" s="1"/>
  <c r="LZ9" i="2"/>
  <c r="GZ9" i="2" a="1"/>
  <c r="GZ9" i="2" s="1"/>
  <c r="MM8" i="2"/>
  <c r="HM8" i="2" a="1"/>
  <c r="HM8" i="2" s="1"/>
  <c r="MA8" i="2"/>
  <c r="HA8" i="2" a="1"/>
  <c r="HA8" i="2" s="1"/>
  <c r="MN7" i="2"/>
  <c r="HN7" i="2" a="1"/>
  <c r="HN7" i="2" s="1"/>
  <c r="MB7" i="2"/>
  <c r="HB7" i="2" a="1"/>
  <c r="HB7" i="2" s="1"/>
  <c r="MO6" i="2"/>
  <c r="HO6" i="2" a="1"/>
  <c r="HO6" i="2" s="1"/>
  <c r="MC6" i="2"/>
  <c r="HC6" i="2" a="1"/>
  <c r="HC6" i="2" s="1"/>
  <c r="MP5" i="2"/>
  <c r="HP5" i="2" a="1"/>
  <c r="HP5" i="2" s="1"/>
  <c r="MD5" i="2"/>
  <c r="HD5" i="2" a="1"/>
  <c r="HD5" i="2" s="1"/>
  <c r="MQ4" i="2"/>
  <c r="HQ4" i="2" a="1"/>
  <c r="HQ4" i="2" s="1"/>
  <c r="ME4" i="2"/>
  <c r="HE4" i="2" a="1"/>
  <c r="HE4" i="2" s="1"/>
  <c r="MR103" i="2"/>
  <c r="HR103" i="2" a="1"/>
  <c r="HR103" i="2" s="1"/>
  <c r="MF103" i="2"/>
  <c r="HF103" i="2" a="1"/>
  <c r="HF103" i="2" s="1"/>
  <c r="MS102" i="2"/>
  <c r="HS102" i="2" a="1"/>
  <c r="HS102" i="2" s="1"/>
  <c r="MG102" i="2"/>
  <c r="HG102" i="2" a="1"/>
  <c r="HG102" i="2" s="1"/>
  <c r="MT101" i="2"/>
  <c r="HT101" i="2" a="1"/>
  <c r="HT101" i="2" s="1"/>
  <c r="MH101" i="2"/>
  <c r="HH101" i="2" a="1"/>
  <c r="HH101" i="2" s="1"/>
  <c r="GV101" i="2" a="1"/>
  <c r="GV101" i="2" s="1"/>
  <c r="MI100" i="2"/>
  <c r="HI100" i="2" a="1"/>
  <c r="HI100" i="2" s="1"/>
  <c r="LW100" i="2"/>
  <c r="GW100" i="2" a="1"/>
  <c r="GW100" i="2" s="1"/>
  <c r="MJ99" i="2"/>
  <c r="HJ99" i="2" a="1"/>
  <c r="HJ99" i="2" s="1"/>
  <c r="LX99" i="2"/>
  <c r="GX99" i="2" a="1"/>
  <c r="GX99" i="2" s="1"/>
  <c r="MK98" i="2"/>
  <c r="HK98" i="2" a="1"/>
  <c r="HK98" i="2" s="1"/>
  <c r="LY98" i="2"/>
  <c r="GY98" i="2" a="1"/>
  <c r="GY98" i="2" s="1"/>
  <c r="ML97" i="2"/>
  <c r="HL97" i="2" a="1"/>
  <c r="HL97" i="2" s="1"/>
  <c r="LZ97" i="2"/>
  <c r="GZ97" i="2" a="1"/>
  <c r="GZ97" i="2" s="1"/>
  <c r="MM96" i="2"/>
  <c r="HM96" i="2" a="1"/>
  <c r="HM96" i="2" s="1"/>
  <c r="MA96" i="2"/>
  <c r="HA96" i="2" a="1"/>
  <c r="HA96" i="2" s="1"/>
  <c r="MN95" i="2"/>
  <c r="HN95" i="2" a="1"/>
  <c r="HN95" i="2" s="1"/>
  <c r="MB95" i="2"/>
  <c r="HB95" i="2" a="1"/>
  <c r="HB95" i="2" s="1"/>
  <c r="MO94" i="2"/>
  <c r="HO94" i="2" a="1"/>
  <c r="HO94" i="2" s="1"/>
  <c r="MC94" i="2"/>
  <c r="HC94" i="2" a="1"/>
  <c r="HC94" i="2" s="1"/>
  <c r="MP93" i="2"/>
  <c r="HP93" i="2" a="1"/>
  <c r="HP93" i="2" s="1"/>
  <c r="MD93" i="2"/>
  <c r="HD93" i="2" a="1"/>
  <c r="HD93" i="2" s="1"/>
  <c r="MQ92" i="2"/>
  <c r="HQ92" i="2" a="1"/>
  <c r="HQ92" i="2" s="1"/>
  <c r="ME92" i="2"/>
  <c r="HE92" i="2" a="1"/>
  <c r="HE92" i="2" s="1"/>
  <c r="MR91" i="2"/>
  <c r="HR91" i="2" a="1"/>
  <c r="HR91" i="2" s="1"/>
  <c r="MF91" i="2"/>
  <c r="HF91" i="2" a="1"/>
  <c r="HF91" i="2" s="1"/>
  <c r="MS90" i="2"/>
  <c r="HS90" i="2" a="1"/>
  <c r="HS90" i="2" s="1"/>
  <c r="MG90" i="2"/>
  <c r="HG90" i="2" a="1"/>
  <c r="HG90" i="2" s="1"/>
  <c r="MT89" i="2"/>
  <c r="HT89" i="2" a="1"/>
  <c r="HT89" i="2" s="1"/>
  <c r="MH89" i="2"/>
  <c r="HH89" i="2" a="1"/>
  <c r="HH89" i="2" s="1"/>
  <c r="GV89" i="2" a="1"/>
  <c r="GV89" i="2" s="1"/>
  <c r="MI88" i="2"/>
  <c r="HI88" i="2" a="1"/>
  <c r="HI88" i="2" s="1"/>
  <c r="LW88" i="2"/>
  <c r="GW88" i="2" a="1"/>
  <c r="GW88" i="2" s="1"/>
  <c r="MJ87" i="2"/>
  <c r="HJ87" i="2" a="1"/>
  <c r="HJ87" i="2" s="1"/>
  <c r="LX87" i="2"/>
  <c r="GX87" i="2" a="1"/>
  <c r="GX87" i="2" s="1"/>
  <c r="MK86" i="2"/>
  <c r="HK86" i="2" a="1"/>
  <c r="HK86" i="2" s="1"/>
  <c r="LY86" i="2"/>
  <c r="GY86" i="2" a="1"/>
  <c r="GY86" i="2" s="1"/>
  <c r="ML85" i="2"/>
  <c r="HL85" i="2" a="1"/>
  <c r="HL85" i="2" s="1"/>
  <c r="LZ85" i="2"/>
  <c r="GZ85" i="2" a="1"/>
  <c r="GZ85" i="2" s="1"/>
  <c r="MM84" i="2"/>
  <c r="HM84" i="2" a="1"/>
  <c r="HM84" i="2" s="1"/>
  <c r="MA84" i="2"/>
  <c r="HA84" i="2" a="1"/>
  <c r="HA84" i="2" s="1"/>
  <c r="MN83" i="2"/>
  <c r="HN83" i="2" a="1"/>
  <c r="HN83" i="2" s="1"/>
  <c r="MB83" i="2"/>
  <c r="HB83" i="2" a="1"/>
  <c r="HB83" i="2" s="1"/>
  <c r="MO82" i="2"/>
  <c r="HO82" i="2" a="1"/>
  <c r="HO82" i="2" s="1"/>
  <c r="MC82" i="2"/>
  <c r="HC82" i="2" a="1"/>
  <c r="HC82" i="2" s="1"/>
  <c r="MP81" i="2"/>
  <c r="HP81" i="2" a="1"/>
  <c r="HP81" i="2" s="1"/>
  <c r="MD81" i="2"/>
  <c r="HD81" i="2" a="1"/>
  <c r="HD81" i="2" s="1"/>
  <c r="MQ80" i="2"/>
  <c r="HQ80" i="2" a="1"/>
  <c r="HQ80" i="2" s="1"/>
  <c r="ME80" i="2"/>
  <c r="HE80" i="2" a="1"/>
  <c r="HE80" i="2" s="1"/>
  <c r="MR79" i="2"/>
  <c r="HR79" i="2" a="1"/>
  <c r="HR79" i="2" s="1"/>
  <c r="MF79" i="2"/>
  <c r="HF79" i="2" a="1"/>
  <c r="HF79" i="2" s="1"/>
  <c r="MS78" i="2"/>
  <c r="HS78" i="2" a="1"/>
  <c r="HS78" i="2" s="1"/>
  <c r="MG78" i="2"/>
  <c r="HG78" i="2" a="1"/>
  <c r="HG78" i="2" s="1"/>
  <c r="MT77" i="2"/>
  <c r="HT77" i="2" a="1"/>
  <c r="HT77" i="2" s="1"/>
  <c r="MH77" i="2"/>
  <c r="HH77" i="2" a="1"/>
  <c r="HH77" i="2" s="1"/>
  <c r="GV77" i="2" a="1"/>
  <c r="GV77" i="2" s="1"/>
  <c r="MI76" i="2"/>
  <c r="HI76" i="2" a="1"/>
  <c r="HI76" i="2" s="1"/>
  <c r="LW76" i="2"/>
  <c r="GW76" i="2" a="1"/>
  <c r="GW76" i="2" s="1"/>
  <c r="MJ75" i="2"/>
  <c r="HJ75" i="2" a="1"/>
  <c r="HJ75" i="2" s="1"/>
  <c r="LX75" i="2"/>
  <c r="GX75" i="2" a="1"/>
  <c r="GX75" i="2" s="1"/>
  <c r="MK74" i="2"/>
  <c r="HK74" i="2" a="1"/>
  <c r="HK74" i="2" s="1"/>
  <c r="LY74" i="2"/>
  <c r="GY74" i="2" a="1"/>
  <c r="GY74" i="2" s="1"/>
  <c r="ML73" i="2"/>
  <c r="HL73" i="2" a="1"/>
  <c r="HL73" i="2" s="1"/>
  <c r="LZ73" i="2"/>
  <c r="GZ73" i="2" a="1"/>
  <c r="GZ73" i="2" s="1"/>
  <c r="MM72" i="2"/>
  <c r="HM72" i="2" a="1"/>
  <c r="HM72" i="2" s="1"/>
  <c r="MA72" i="2"/>
  <c r="HA72" i="2" a="1"/>
  <c r="HA72" i="2" s="1"/>
  <c r="MN71" i="2"/>
  <c r="HN71" i="2" a="1"/>
  <c r="HN71" i="2" s="1"/>
  <c r="MB71" i="2"/>
  <c r="HB71" i="2" a="1"/>
  <c r="HB71" i="2" s="1"/>
  <c r="MO70" i="2"/>
  <c r="HO70" i="2" a="1"/>
  <c r="HO70" i="2" s="1"/>
  <c r="MC70" i="2"/>
  <c r="HC70" i="2" a="1"/>
  <c r="HC70" i="2" s="1"/>
  <c r="MP69" i="2"/>
  <c r="HP69" i="2" a="1"/>
  <c r="HP69" i="2" s="1"/>
  <c r="MD69" i="2"/>
  <c r="HD69" i="2" a="1"/>
  <c r="HD69" i="2" s="1"/>
  <c r="MQ68" i="2"/>
  <c r="HQ68" i="2" a="1"/>
  <c r="HQ68" i="2" s="1"/>
  <c r="ME68" i="2"/>
  <c r="HE68" i="2" a="1"/>
  <c r="HE68" i="2" s="1"/>
  <c r="MR67" i="2"/>
  <c r="HR67" i="2" a="1"/>
  <c r="HR67" i="2" s="1"/>
  <c r="MF67" i="2"/>
  <c r="HF67" i="2" a="1"/>
  <c r="HF67" i="2" s="1"/>
  <c r="MS66" i="2"/>
  <c r="HS66" i="2" a="1"/>
  <c r="HS66" i="2" s="1"/>
  <c r="MG66" i="2"/>
  <c r="HG66" i="2" a="1"/>
  <c r="HG66" i="2" s="1"/>
  <c r="HT65" i="2" a="1"/>
  <c r="HT65" i="2" s="1"/>
  <c r="MT65" i="2"/>
  <c r="MH65" i="2"/>
  <c r="HH65" i="2" a="1"/>
  <c r="HH65" i="2" s="1"/>
  <c r="GV65" i="2" a="1"/>
  <c r="GV65" i="2" s="1"/>
  <c r="MI64" i="2"/>
  <c r="HI64" i="2" a="1"/>
  <c r="HI64" i="2" s="1"/>
  <c r="LW64" i="2"/>
  <c r="GW64" i="2" a="1"/>
  <c r="GW64" i="2" s="1"/>
  <c r="MQ63" i="2"/>
  <c r="ME63" i="2"/>
  <c r="MR62" i="2"/>
  <c r="MF62" i="2"/>
  <c r="MS61" i="2"/>
  <c r="MG61" i="2"/>
  <c r="MT60" i="2"/>
  <c r="MH60" i="2"/>
  <c r="MI59" i="2"/>
  <c r="LW59" i="2"/>
  <c r="MJ58" i="2"/>
  <c r="LX58" i="2"/>
  <c r="MK57" i="2"/>
  <c r="LY57" i="2"/>
  <c r="ML56" i="2"/>
  <c r="LZ56" i="2"/>
  <c r="MM55" i="2"/>
  <c r="MA55" i="2"/>
  <c r="MN54" i="2"/>
  <c r="MB54" i="2"/>
  <c r="MO53" i="2"/>
  <c r="MC53" i="2"/>
  <c r="MP52" i="2"/>
  <c r="MD52" i="2"/>
  <c r="MQ51" i="2"/>
  <c r="ME51" i="2"/>
  <c r="MR50" i="2"/>
  <c r="MF50" i="2"/>
  <c r="MS49" i="2"/>
  <c r="MG49" i="2"/>
  <c r="MT48" i="2"/>
  <c r="MH48" i="2"/>
  <c r="MI47" i="2"/>
  <c r="LW47" i="2"/>
  <c r="MJ46" i="2"/>
  <c r="LX46" i="2"/>
  <c r="MK45" i="2"/>
  <c r="LY45" i="2"/>
  <c r="ML44" i="2"/>
  <c r="LZ44" i="2"/>
  <c r="MM43" i="2"/>
  <c r="MA43" i="2"/>
  <c r="MN42" i="2"/>
  <c r="MB42" i="2"/>
  <c r="MO41" i="2"/>
  <c r="MC41" i="2"/>
  <c r="MP40" i="2"/>
  <c r="MD40" i="2"/>
  <c r="MQ39" i="2"/>
  <c r="ME39" i="2"/>
  <c r="HE39" i="2" a="1"/>
  <c r="HE39" i="2" s="1"/>
  <c r="MR38" i="2"/>
  <c r="HR38" i="2" a="1"/>
  <c r="HR38" i="2" s="1"/>
  <c r="MF38" i="2"/>
  <c r="MS37" i="2"/>
  <c r="HS37" i="2" a="1"/>
  <c r="HS37" i="2" s="1"/>
  <c r="MG37" i="2"/>
  <c r="HG37" i="2" a="1"/>
  <c r="HG37" i="2" s="1"/>
  <c r="MT36" i="2"/>
  <c r="MH36" i="2"/>
  <c r="MI35" i="2"/>
  <c r="LW35" i="2"/>
  <c r="MJ34" i="2"/>
  <c r="LX34" i="2"/>
  <c r="MK33" i="2"/>
  <c r="LY33" i="2"/>
  <c r="ML32" i="2"/>
  <c r="LZ32" i="2"/>
  <c r="GZ32" i="2" a="1"/>
  <c r="GZ32" i="2" s="1"/>
  <c r="MM31" i="2"/>
  <c r="HM31" i="2" a="1"/>
  <c r="HM31" i="2" s="1"/>
  <c r="MA31" i="2"/>
  <c r="HA31" i="2" a="1"/>
  <c r="HA31" i="2" s="1"/>
  <c r="MN30" i="2"/>
  <c r="HN30" i="2" a="1"/>
  <c r="HN30" i="2" s="1"/>
  <c r="MB30" i="2"/>
  <c r="HB30" i="2" a="1"/>
  <c r="HB30" i="2" s="1"/>
  <c r="MO29" i="2"/>
  <c r="HO29" i="2" a="1"/>
  <c r="HO29" i="2" s="1"/>
  <c r="MC29" i="2"/>
  <c r="HC29" i="2" a="1"/>
  <c r="HC29" i="2" s="1"/>
  <c r="MP28" i="2"/>
  <c r="HP28" i="2" a="1"/>
  <c r="HP28" i="2" s="1"/>
  <c r="MD28" i="2"/>
  <c r="HD28" i="2" a="1"/>
  <c r="HD28" i="2" s="1"/>
  <c r="MQ27" i="2"/>
  <c r="ME27" i="2"/>
  <c r="HE27" i="2" a="1"/>
  <c r="HE27" i="2" s="1"/>
  <c r="MR26" i="2"/>
  <c r="HR26" i="2" a="1"/>
  <c r="HR26" i="2" s="1"/>
  <c r="MF26" i="2"/>
  <c r="MS25" i="2"/>
  <c r="HS25" i="2" a="1"/>
  <c r="HS25" i="2" s="1"/>
  <c r="MG25" i="2"/>
  <c r="HG25" i="2" a="1"/>
  <c r="HG25" i="2" s="1"/>
  <c r="MT24" i="2"/>
  <c r="HT24" i="2" a="1"/>
  <c r="HT24" i="2" s="1"/>
  <c r="MH24" i="2"/>
  <c r="HH24" i="2" a="1"/>
  <c r="HH24" i="2" s="1"/>
  <c r="GV24" i="2" a="1"/>
  <c r="GV24" i="2" s="1"/>
  <c r="MI23" i="2"/>
  <c r="HI23" i="2" a="1"/>
  <c r="HI23" i="2" s="1"/>
  <c r="LW23" i="2"/>
  <c r="GW23" i="2" a="1"/>
  <c r="GW23" i="2" s="1"/>
  <c r="MJ22" i="2"/>
  <c r="HJ22" i="2" a="1"/>
  <c r="HJ22" i="2" s="1"/>
  <c r="LX22" i="2"/>
  <c r="GX22" i="2" a="1"/>
  <c r="GX22" i="2" s="1"/>
  <c r="MK21" i="2"/>
  <c r="HK21" i="2" a="1"/>
  <c r="HK21" i="2" s="1"/>
  <c r="LY21" i="2"/>
  <c r="GY21" i="2" a="1"/>
  <c r="GY21" i="2" s="1"/>
  <c r="ML20" i="2"/>
  <c r="HL20" i="2" a="1"/>
  <c r="HL20" i="2" s="1"/>
  <c r="LZ20" i="2"/>
  <c r="GZ20" i="2" a="1"/>
  <c r="GZ20" i="2" s="1"/>
  <c r="MM19" i="2"/>
  <c r="HM19" i="2" a="1"/>
  <c r="HM19" i="2" s="1"/>
  <c r="MA19" i="2"/>
  <c r="HA19" i="2" a="1"/>
  <c r="HA19" i="2" s="1"/>
  <c r="MN18" i="2"/>
  <c r="HN18" i="2" a="1"/>
  <c r="HN18" i="2" s="1"/>
  <c r="MB18" i="2"/>
  <c r="HB18" i="2" a="1"/>
  <c r="HB18" i="2" s="1"/>
  <c r="MO17" i="2"/>
  <c r="HO17" i="2" a="1"/>
  <c r="HO17" i="2" s="1"/>
  <c r="MC17" i="2"/>
  <c r="HC17" i="2" a="1"/>
  <c r="HC17" i="2" s="1"/>
  <c r="MP16" i="2"/>
  <c r="HP16" i="2" a="1"/>
  <c r="HP16" i="2" s="1"/>
  <c r="MD16" i="2"/>
  <c r="HD16" i="2" a="1"/>
  <c r="HD16" i="2" s="1"/>
  <c r="MQ15" i="2"/>
  <c r="HQ15" i="2" a="1"/>
  <c r="HQ15" i="2" s="1"/>
  <c r="ME15" i="2"/>
  <c r="HE15" i="2" a="1"/>
  <c r="HE15" i="2" s="1"/>
  <c r="MR14" i="2"/>
  <c r="HR14" i="2" a="1"/>
  <c r="HR14" i="2" s="1"/>
  <c r="MF14" i="2"/>
  <c r="HF14" i="2" a="1"/>
  <c r="HF14" i="2" s="1"/>
  <c r="MS13" i="2"/>
  <c r="HS13" i="2" a="1"/>
  <c r="HS13" i="2" s="1"/>
  <c r="MG13" i="2"/>
  <c r="HG13" i="2" a="1"/>
  <c r="HG13" i="2" s="1"/>
  <c r="MT12" i="2"/>
  <c r="HT12" i="2" a="1"/>
  <c r="HT12" i="2" s="1"/>
  <c r="MH12" i="2"/>
  <c r="HH12" i="2" a="1"/>
  <c r="HH12" i="2" s="1"/>
  <c r="GV12" i="2" a="1"/>
  <c r="GV12" i="2" s="1"/>
  <c r="MI11" i="2"/>
  <c r="HI11" i="2" a="1"/>
  <c r="HI11" i="2" s="1"/>
  <c r="LW11" i="2"/>
  <c r="GW11" i="2" a="1"/>
  <c r="GW11" i="2" s="1"/>
  <c r="MJ10" i="2"/>
  <c r="HJ10" i="2" a="1"/>
  <c r="HJ10" i="2" s="1"/>
  <c r="LX10" i="2"/>
  <c r="GX10" i="2" a="1"/>
  <c r="GX10" i="2" s="1"/>
  <c r="MK9" i="2"/>
  <c r="HK9" i="2" a="1"/>
  <c r="HK9" i="2" s="1"/>
  <c r="LY9" i="2"/>
  <c r="GY9" i="2" a="1"/>
  <c r="GY9" i="2" s="1"/>
  <c r="ML8" i="2"/>
  <c r="HL8" i="2" a="1"/>
  <c r="HL8" i="2" s="1"/>
  <c r="LZ8" i="2"/>
  <c r="GZ8" i="2" a="1"/>
  <c r="GZ8" i="2" s="1"/>
  <c r="MM7" i="2"/>
  <c r="HM7" i="2" a="1"/>
  <c r="HM7" i="2" s="1"/>
  <c r="MA7" i="2"/>
  <c r="HA7" i="2" a="1"/>
  <c r="HA7" i="2" s="1"/>
  <c r="MN6" i="2"/>
  <c r="HN6" i="2" a="1"/>
  <c r="HN6" i="2" s="1"/>
  <c r="MB6" i="2"/>
  <c r="HB6" i="2" a="1"/>
  <c r="HB6" i="2" s="1"/>
  <c r="MO5" i="2"/>
  <c r="HO5" i="2" a="1"/>
  <c r="HO5" i="2" s="1"/>
  <c r="MC5" i="2"/>
  <c r="HC5" i="2" a="1"/>
  <c r="HC5" i="2" s="1"/>
  <c r="MP4" i="2"/>
  <c r="HP4" i="2" a="1"/>
  <c r="HP4" i="2" s="1"/>
  <c r="MD4" i="2"/>
  <c r="HD4" i="2" a="1"/>
  <c r="HD4" i="2" s="1"/>
  <c r="MQ103" i="2"/>
  <c r="HQ103" i="2" a="1"/>
  <c r="HQ103" i="2" s="1"/>
  <c r="ME103" i="2"/>
  <c r="HE103" i="2" a="1"/>
  <c r="HE103" i="2" s="1"/>
  <c r="MR102" i="2"/>
  <c r="HR102" i="2" a="1"/>
  <c r="HR102" i="2" s="1"/>
  <c r="MF102" i="2"/>
  <c r="HF102" i="2" a="1"/>
  <c r="HF102" i="2" s="1"/>
  <c r="MS101" i="2"/>
  <c r="HS101" i="2" a="1"/>
  <c r="HS101" i="2" s="1"/>
  <c r="MG101" i="2"/>
  <c r="HG101" i="2" a="1"/>
  <c r="HG101" i="2" s="1"/>
  <c r="MT100" i="2"/>
  <c r="HT100" i="2" a="1"/>
  <c r="HT100" i="2" s="1"/>
  <c r="MH100" i="2"/>
  <c r="HH100" i="2" a="1"/>
  <c r="HH100" i="2" s="1"/>
  <c r="GV100" i="2" a="1"/>
  <c r="GV100" i="2" s="1"/>
  <c r="MI99" i="2"/>
  <c r="HI99" i="2" a="1"/>
  <c r="HI99" i="2" s="1"/>
  <c r="LW99" i="2"/>
  <c r="GW99" i="2" a="1"/>
  <c r="GW99" i="2" s="1"/>
  <c r="MJ98" i="2"/>
  <c r="HJ98" i="2" a="1"/>
  <c r="HJ98" i="2" s="1"/>
  <c r="LX98" i="2"/>
  <c r="GX98" i="2" a="1"/>
  <c r="GX98" i="2" s="1"/>
  <c r="MK97" i="2"/>
  <c r="HK97" i="2" a="1"/>
  <c r="HK97" i="2" s="1"/>
  <c r="LY97" i="2"/>
  <c r="GY97" i="2" a="1"/>
  <c r="GY97" i="2" s="1"/>
  <c r="ML96" i="2"/>
  <c r="HL96" i="2" a="1"/>
  <c r="HL96" i="2" s="1"/>
  <c r="LZ96" i="2"/>
  <c r="GZ96" i="2" a="1"/>
  <c r="GZ96" i="2" s="1"/>
  <c r="MM95" i="2"/>
  <c r="HM95" i="2" a="1"/>
  <c r="HM95" i="2" s="1"/>
  <c r="MA95" i="2"/>
  <c r="HA95" i="2" a="1"/>
  <c r="HA95" i="2" s="1"/>
  <c r="MN94" i="2"/>
  <c r="HN94" i="2" a="1"/>
  <c r="HN94" i="2" s="1"/>
  <c r="MB94" i="2"/>
  <c r="MO93" i="2"/>
  <c r="HO93" i="2" a="1"/>
  <c r="HO93" i="2" s="1"/>
  <c r="MC93" i="2"/>
  <c r="HC93" i="2" a="1"/>
  <c r="HC93" i="2" s="1"/>
  <c r="MP92" i="2"/>
  <c r="HP92" i="2" a="1"/>
  <c r="HP92" i="2" s="1"/>
  <c r="MD92" i="2"/>
  <c r="HD92" i="2" a="1"/>
  <c r="HD92" i="2" s="1"/>
  <c r="MQ91" i="2"/>
  <c r="HQ91" i="2" a="1"/>
  <c r="HQ91" i="2" s="1"/>
  <c r="ME91" i="2"/>
  <c r="HE91" i="2" a="1"/>
  <c r="HE91" i="2" s="1"/>
  <c r="MR90" i="2"/>
  <c r="HR90" i="2" a="1"/>
  <c r="HR90" i="2" s="1"/>
  <c r="MF90" i="2"/>
  <c r="HF90" i="2" a="1"/>
  <c r="HF90" i="2" s="1"/>
  <c r="MS89" i="2"/>
  <c r="HS89" i="2" a="1"/>
  <c r="HS89" i="2" s="1"/>
  <c r="MG89" i="2"/>
  <c r="HG89" i="2" a="1"/>
  <c r="HG89" i="2" s="1"/>
  <c r="MT88" i="2"/>
  <c r="HT88" i="2" a="1"/>
  <c r="HT88" i="2" s="1"/>
  <c r="MH88" i="2"/>
  <c r="HH88" i="2" a="1"/>
  <c r="HH88" i="2" s="1"/>
  <c r="GV88" i="2" a="1"/>
  <c r="GV88" i="2" s="1"/>
  <c r="MI87" i="2"/>
  <c r="HI87" i="2" a="1"/>
  <c r="HI87" i="2" s="1"/>
  <c r="LW87" i="2"/>
  <c r="GW87" i="2" a="1"/>
  <c r="GW87" i="2" s="1"/>
  <c r="MJ86" i="2"/>
  <c r="HJ86" i="2" a="1"/>
  <c r="HJ86" i="2" s="1"/>
  <c r="LX86" i="2"/>
  <c r="GX86" i="2" a="1"/>
  <c r="GX86" i="2" s="1"/>
  <c r="MK85" i="2"/>
  <c r="HK85" i="2" a="1"/>
  <c r="HK85" i="2" s="1"/>
  <c r="LY85" i="2"/>
  <c r="GY85" i="2" a="1"/>
  <c r="GY85" i="2" s="1"/>
  <c r="ML84" i="2"/>
  <c r="HL84" i="2" a="1"/>
  <c r="HL84" i="2" s="1"/>
  <c r="LZ84" i="2"/>
  <c r="GZ84" i="2" a="1"/>
  <c r="GZ84" i="2" s="1"/>
  <c r="MM83" i="2"/>
  <c r="HM83" i="2" a="1"/>
  <c r="HM83" i="2" s="1"/>
  <c r="MA83" i="2"/>
  <c r="HA83" i="2" a="1"/>
  <c r="HA83" i="2" s="1"/>
  <c r="MN82" i="2"/>
  <c r="HN82" i="2" a="1"/>
  <c r="HN82" i="2" s="1"/>
  <c r="MB82" i="2"/>
  <c r="HB82" i="2" a="1"/>
  <c r="HB82" i="2" s="1"/>
  <c r="MO81" i="2"/>
  <c r="HO81" i="2" a="1"/>
  <c r="HO81" i="2" s="1"/>
  <c r="MC81" i="2"/>
  <c r="HC81" i="2" a="1"/>
  <c r="HC81" i="2" s="1"/>
  <c r="MP80" i="2"/>
  <c r="HP80" i="2" a="1"/>
  <c r="HP80" i="2" s="1"/>
  <c r="MD80" i="2"/>
  <c r="HD80" i="2" a="1"/>
  <c r="HD80" i="2" s="1"/>
  <c r="MQ79" i="2"/>
  <c r="HQ79" i="2" a="1"/>
  <c r="HQ79" i="2" s="1"/>
  <c r="ME79" i="2"/>
  <c r="HE79" i="2" a="1"/>
  <c r="HE79" i="2" s="1"/>
  <c r="MR78" i="2"/>
  <c r="HR78" i="2" a="1"/>
  <c r="HR78" i="2" s="1"/>
  <c r="MF78" i="2"/>
  <c r="HF78" i="2" a="1"/>
  <c r="HF78" i="2" s="1"/>
  <c r="MS77" i="2"/>
  <c r="HS77" i="2" a="1"/>
  <c r="HS77" i="2" s="1"/>
  <c r="MG77" i="2"/>
  <c r="HG77" i="2" a="1"/>
  <c r="HG77" i="2" s="1"/>
  <c r="MT76" i="2"/>
  <c r="HT76" i="2" a="1"/>
  <c r="HT76" i="2" s="1"/>
  <c r="MH76" i="2"/>
  <c r="HH76" i="2" a="1"/>
  <c r="HH76" i="2" s="1"/>
  <c r="GV76" i="2" a="1"/>
  <c r="GV76" i="2" s="1"/>
  <c r="MI75" i="2"/>
  <c r="HI75" i="2" a="1"/>
  <c r="HI75" i="2" s="1"/>
  <c r="LW75" i="2"/>
  <c r="GW75" i="2" a="1"/>
  <c r="GW75" i="2" s="1"/>
  <c r="MJ74" i="2"/>
  <c r="HJ74" i="2" a="1"/>
  <c r="HJ74" i="2" s="1"/>
  <c r="LX74" i="2"/>
  <c r="GX74" i="2" a="1"/>
  <c r="GX74" i="2" s="1"/>
  <c r="MK73" i="2"/>
  <c r="HK73" i="2" a="1"/>
  <c r="HK73" i="2" s="1"/>
  <c r="LY73" i="2"/>
  <c r="GY73" i="2" a="1"/>
  <c r="GY73" i="2" s="1"/>
  <c r="ML72" i="2"/>
  <c r="HL72" i="2" a="1"/>
  <c r="HL72" i="2" s="1"/>
  <c r="LZ72" i="2"/>
  <c r="GZ72" i="2" a="1"/>
  <c r="GZ72" i="2" s="1"/>
  <c r="MM71" i="2"/>
  <c r="HM71" i="2" a="1"/>
  <c r="HM71" i="2" s="1"/>
  <c r="MA71" i="2"/>
  <c r="HA71" i="2" a="1"/>
  <c r="HA71" i="2" s="1"/>
  <c r="MN70" i="2"/>
  <c r="HN70" i="2" a="1"/>
  <c r="HN70" i="2" s="1"/>
  <c r="MB70" i="2"/>
  <c r="HB70" i="2" a="1"/>
  <c r="HB70" i="2" s="1"/>
  <c r="MO69" i="2"/>
  <c r="HO69" i="2" a="1"/>
  <c r="HO69" i="2" s="1"/>
  <c r="MC69" i="2"/>
  <c r="HC69" i="2" a="1"/>
  <c r="HC69" i="2" s="1"/>
  <c r="MP68" i="2"/>
  <c r="HP68" i="2" a="1"/>
  <c r="HP68" i="2" s="1"/>
  <c r="MD68" i="2"/>
  <c r="HD68" i="2" a="1"/>
  <c r="HD68" i="2" s="1"/>
  <c r="MQ67" i="2"/>
  <c r="HQ67" i="2" a="1"/>
  <c r="HQ67" i="2" s="1"/>
  <c r="ME67" i="2"/>
  <c r="HE67" i="2" a="1"/>
  <c r="HE67" i="2" s="1"/>
  <c r="MR66" i="2"/>
  <c r="HR66" i="2" a="1"/>
  <c r="HR66" i="2" s="1"/>
  <c r="MF66" i="2"/>
  <c r="HF66" i="2" a="1"/>
  <c r="HF66" i="2" s="1"/>
  <c r="HS65" i="2" a="1"/>
  <c r="HS65" i="2" s="1"/>
  <c r="MS65" i="2"/>
  <c r="MG65" i="2"/>
  <c r="HG65" i="2" a="1"/>
  <c r="HG65" i="2" s="1"/>
  <c r="HT64" i="2" a="1"/>
  <c r="HT64" i="2" s="1"/>
  <c r="MT64" i="2"/>
  <c r="MH64" i="2"/>
  <c r="HH64" i="2" a="1"/>
  <c r="HH64" i="2" s="1"/>
  <c r="GV64" i="2" a="1"/>
  <c r="GV64" i="2" s="1"/>
  <c r="HJ34" i="2" a="1"/>
  <c r="HJ34" i="2" s="1"/>
  <c r="GY33" i="2" a="1"/>
  <c r="GY33" i="2" s="1"/>
  <c r="HQ27" i="2" a="1"/>
  <c r="HQ27" i="2" s="1"/>
  <c r="ML55" i="2"/>
  <c r="LZ55" i="2"/>
  <c r="MM54" i="2"/>
  <c r="MA54" i="2"/>
  <c r="MN53" i="2"/>
  <c r="MB53" i="2"/>
  <c r="MO52" i="2"/>
  <c r="MC52" i="2"/>
  <c r="MP51" i="2"/>
  <c r="MD51" i="2"/>
  <c r="MQ50" i="2"/>
  <c r="ME50" i="2"/>
  <c r="MR49" i="2"/>
  <c r="MF49" i="2"/>
  <c r="MS48" i="2"/>
  <c r="MG48" i="2"/>
  <c r="MT47" i="2"/>
  <c r="MH47" i="2"/>
  <c r="MI46" i="2"/>
  <c r="LW46" i="2"/>
  <c r="MJ45" i="2"/>
  <c r="LX45" i="2"/>
  <c r="MK44" i="2"/>
  <c r="LY44" i="2"/>
  <c r="ML43" i="2"/>
  <c r="LZ43" i="2"/>
  <c r="MM42" i="2"/>
  <c r="MA42" i="2"/>
  <c r="MN41" i="2"/>
  <c r="MB41" i="2"/>
  <c r="MO40" i="2"/>
  <c r="MC40" i="2"/>
  <c r="MP39" i="2"/>
  <c r="MD39" i="2"/>
  <c r="HD39" i="2" a="1"/>
  <c r="HD39" i="2" s="1"/>
  <c r="MQ38" i="2"/>
  <c r="HQ38" i="2" a="1"/>
  <c r="HQ38" i="2" s="1"/>
  <c r="ME38" i="2"/>
  <c r="HE38" i="2" a="1"/>
  <c r="HE38" i="2" s="1"/>
  <c r="MR37" i="2"/>
  <c r="HR37" i="2" a="1"/>
  <c r="HR37" i="2" s="1"/>
  <c r="MF37" i="2"/>
  <c r="HF37" i="2" a="1"/>
  <c r="HF37" i="2" s="1"/>
  <c r="MS36" i="2"/>
  <c r="HS36" i="2" a="1"/>
  <c r="HS36" i="2" s="1"/>
  <c r="MG36" i="2"/>
  <c r="HG36" i="2" a="1"/>
  <c r="HG36" i="2" s="1"/>
  <c r="MT35" i="2"/>
  <c r="HT35" i="2" a="1"/>
  <c r="HT35" i="2" s="1"/>
  <c r="MH35" i="2"/>
  <c r="HH35" i="2" a="1"/>
  <c r="HH35" i="2" s="1"/>
  <c r="GV35" i="2" a="1"/>
  <c r="GV35" i="2" s="1"/>
  <c r="MI34" i="2"/>
  <c r="HI34" i="2" a="1"/>
  <c r="HI34" i="2" s="1"/>
  <c r="LW34" i="2"/>
  <c r="GW34" i="2" a="1"/>
  <c r="GW34" i="2" s="1"/>
  <c r="MJ33" i="2"/>
  <c r="HJ33" i="2" a="1"/>
  <c r="HJ33" i="2" s="1"/>
  <c r="LX33" i="2"/>
  <c r="GX33" i="2" a="1"/>
  <c r="GX33" i="2" s="1"/>
  <c r="MK32" i="2"/>
  <c r="HK32" i="2" a="1"/>
  <c r="HK32" i="2" s="1"/>
  <c r="LY32" i="2"/>
  <c r="GY32" i="2" a="1"/>
  <c r="GY32" i="2" s="1"/>
  <c r="ML31" i="2"/>
  <c r="HL31" i="2" a="1"/>
  <c r="HL31" i="2" s="1"/>
  <c r="LZ31" i="2"/>
  <c r="MM30" i="2"/>
  <c r="HM30" i="2" a="1"/>
  <c r="HM30" i="2" s="1"/>
  <c r="MA30" i="2"/>
  <c r="HA30" i="2" a="1"/>
  <c r="HA30" i="2" s="1"/>
  <c r="MN29" i="2"/>
  <c r="HN29" i="2" a="1"/>
  <c r="HN29" i="2" s="1"/>
  <c r="MB29" i="2"/>
  <c r="HB29" i="2" a="1"/>
  <c r="HB29" i="2" s="1"/>
  <c r="MO28" i="2"/>
  <c r="HO28" i="2" a="1"/>
  <c r="HO28" i="2" s="1"/>
  <c r="MC28" i="2"/>
  <c r="HC28" i="2" a="1"/>
  <c r="HC28" i="2" s="1"/>
  <c r="MP27" i="2"/>
  <c r="MD27" i="2"/>
  <c r="HD27" i="2" a="1"/>
  <c r="HD27" i="2" s="1"/>
  <c r="MQ26" i="2"/>
  <c r="HQ26" i="2" a="1"/>
  <c r="HQ26" i="2" s="1"/>
  <c r="ME26" i="2"/>
  <c r="HE26" i="2" a="1"/>
  <c r="HE26" i="2" s="1"/>
  <c r="MR25" i="2"/>
  <c r="HR25" i="2" a="1"/>
  <c r="HR25" i="2" s="1"/>
  <c r="MF25" i="2"/>
  <c r="HF25" i="2" a="1"/>
  <c r="HF25" i="2" s="1"/>
  <c r="MS24" i="2"/>
  <c r="HS24" i="2" a="1"/>
  <c r="HS24" i="2" s="1"/>
  <c r="MG24" i="2"/>
  <c r="HG24" i="2" a="1"/>
  <c r="HG24" i="2" s="1"/>
  <c r="MT23" i="2"/>
  <c r="HT23" i="2" a="1"/>
  <c r="HT23" i="2" s="1"/>
  <c r="MH23" i="2"/>
  <c r="HH23" i="2" a="1"/>
  <c r="HH23" i="2" s="1"/>
  <c r="GV23" i="2" a="1"/>
  <c r="GV23" i="2" s="1"/>
  <c r="MI22" i="2"/>
  <c r="HI22" i="2" a="1"/>
  <c r="HI22" i="2" s="1"/>
  <c r="LW22" i="2"/>
  <c r="GW22" i="2" a="1"/>
  <c r="GW22" i="2" s="1"/>
  <c r="MJ21" i="2"/>
  <c r="HJ21" i="2" a="1"/>
  <c r="HJ21" i="2" s="1"/>
  <c r="LX21" i="2"/>
  <c r="GX21" i="2" a="1"/>
  <c r="GX21" i="2" s="1"/>
  <c r="MK20" i="2"/>
  <c r="HK20" i="2" a="1"/>
  <c r="HK20" i="2" s="1"/>
  <c r="LY20" i="2"/>
  <c r="GY20" i="2" a="1"/>
  <c r="GY20" i="2" s="1"/>
  <c r="ML19" i="2"/>
  <c r="HL19" i="2" a="1"/>
  <c r="HL19" i="2" s="1"/>
  <c r="LZ19" i="2"/>
  <c r="GZ19" i="2" a="1"/>
  <c r="GZ19" i="2" s="1"/>
  <c r="MM18" i="2"/>
  <c r="HM18" i="2" a="1"/>
  <c r="HM18" i="2" s="1"/>
  <c r="MA18" i="2"/>
  <c r="HA18" i="2" a="1"/>
  <c r="HA18" i="2" s="1"/>
  <c r="MN17" i="2"/>
  <c r="HN17" i="2" a="1"/>
  <c r="HN17" i="2" s="1"/>
  <c r="MB17" i="2"/>
  <c r="HB17" i="2" a="1"/>
  <c r="HB17" i="2" s="1"/>
  <c r="MO16" i="2"/>
  <c r="HO16" i="2" a="1"/>
  <c r="HO16" i="2" s="1"/>
  <c r="MC16" i="2"/>
  <c r="HC16" i="2" a="1"/>
  <c r="HC16" i="2" s="1"/>
  <c r="MP15" i="2"/>
  <c r="MD15" i="2"/>
  <c r="HD15" i="2" a="1"/>
  <c r="HD15" i="2" s="1"/>
  <c r="MQ14" i="2"/>
  <c r="HQ14" i="2" a="1"/>
  <c r="HQ14" i="2" s="1"/>
  <c r="ME14" i="2"/>
  <c r="HE14" i="2" a="1"/>
  <c r="HE14" i="2" s="1"/>
  <c r="MR13" i="2"/>
  <c r="HR13" i="2" a="1"/>
  <c r="HR13" i="2" s="1"/>
  <c r="MF13" i="2"/>
  <c r="HF13" i="2" a="1"/>
  <c r="HF13" i="2" s="1"/>
  <c r="MS12" i="2"/>
  <c r="HS12" i="2" a="1"/>
  <c r="HS12" i="2" s="1"/>
  <c r="MG12" i="2"/>
  <c r="HG12" i="2" a="1"/>
  <c r="HG12" i="2" s="1"/>
  <c r="MT11" i="2"/>
  <c r="HT11" i="2" a="1"/>
  <c r="HT11" i="2" s="1"/>
  <c r="MH11" i="2"/>
  <c r="HH11" i="2" a="1"/>
  <c r="HH11" i="2" s="1"/>
  <c r="GV11" i="2" a="1"/>
  <c r="GV11" i="2" s="1"/>
  <c r="MI10" i="2"/>
  <c r="HI10" i="2" a="1"/>
  <c r="HI10" i="2" s="1"/>
  <c r="LW10" i="2"/>
  <c r="GW10" i="2" a="1"/>
  <c r="GW10" i="2" s="1"/>
  <c r="MJ9" i="2"/>
  <c r="HJ9" i="2" a="1"/>
  <c r="HJ9" i="2" s="1"/>
  <c r="LX9" i="2"/>
  <c r="GX9" i="2" a="1"/>
  <c r="GX9" i="2" s="1"/>
  <c r="MK8" i="2"/>
  <c r="LY8" i="2"/>
  <c r="GY8" i="2" a="1"/>
  <c r="GY8" i="2" s="1"/>
  <c r="ML7" i="2"/>
  <c r="HL7" i="2" a="1"/>
  <c r="HL7" i="2" s="1"/>
  <c r="LZ7" i="2"/>
  <c r="GZ7" i="2" a="1"/>
  <c r="GZ7" i="2" s="1"/>
  <c r="MM6" i="2"/>
  <c r="HM6" i="2" a="1"/>
  <c r="HM6" i="2" s="1"/>
  <c r="MA6" i="2"/>
  <c r="HA6" i="2" a="1"/>
  <c r="HA6" i="2" s="1"/>
  <c r="MN5" i="2"/>
  <c r="HN5" i="2" a="1"/>
  <c r="HN5" i="2" s="1"/>
  <c r="MB5" i="2"/>
  <c r="HB5" i="2" a="1"/>
  <c r="HB5" i="2" s="1"/>
  <c r="MO4" i="2"/>
  <c r="HO4" i="2" a="1"/>
  <c r="HO4" i="2" s="1"/>
  <c r="MC4" i="2"/>
  <c r="HC4" i="2" a="1"/>
  <c r="HC4" i="2" s="1"/>
  <c r="MP103" i="2"/>
  <c r="HP103" i="2" a="1"/>
  <c r="HP103" i="2" s="1"/>
  <c r="MD103" i="2"/>
  <c r="HD103" i="2" a="1"/>
  <c r="HD103" i="2" s="1"/>
  <c r="MQ102" i="2"/>
  <c r="HQ102" i="2" a="1"/>
  <c r="HQ102" i="2" s="1"/>
  <c r="ME102" i="2"/>
  <c r="HE102" i="2" a="1"/>
  <c r="HE102" i="2" s="1"/>
  <c r="MR101" i="2"/>
  <c r="HR101" i="2" a="1"/>
  <c r="HR101" i="2" s="1"/>
  <c r="MF101" i="2"/>
  <c r="HF101" i="2" a="1"/>
  <c r="HF101" i="2" s="1"/>
  <c r="MS100" i="2"/>
  <c r="HS100" i="2" a="1"/>
  <c r="HS100" i="2" s="1"/>
  <c r="MG100" i="2"/>
  <c r="HG100" i="2" a="1"/>
  <c r="HG100" i="2" s="1"/>
  <c r="HT99" i="2" a="1"/>
  <c r="HT99" i="2" s="1"/>
  <c r="MT99" i="2"/>
  <c r="MH99" i="2"/>
  <c r="HH99" i="2" a="1"/>
  <c r="HH99" i="2" s="1"/>
  <c r="GV99" i="2" a="1"/>
  <c r="GV99" i="2" s="1"/>
  <c r="MI98" i="2"/>
  <c r="HI98" i="2" a="1"/>
  <c r="HI98" i="2" s="1"/>
  <c r="LW98" i="2"/>
  <c r="GW98" i="2" a="1"/>
  <c r="GW98" i="2" s="1"/>
  <c r="MJ97" i="2"/>
  <c r="HJ97" i="2" a="1"/>
  <c r="HJ97" i="2" s="1"/>
  <c r="LX97" i="2"/>
  <c r="GX97" i="2" a="1"/>
  <c r="GX97" i="2" s="1"/>
  <c r="MK96" i="2"/>
  <c r="HK96" i="2" a="1"/>
  <c r="HK96" i="2" s="1"/>
  <c r="LY96" i="2"/>
  <c r="GY96" i="2" a="1"/>
  <c r="GY96" i="2" s="1"/>
  <c r="ML95" i="2"/>
  <c r="HL95" i="2" a="1"/>
  <c r="HL95" i="2" s="1"/>
  <c r="LZ95" i="2"/>
  <c r="GZ95" i="2" a="1"/>
  <c r="GZ95" i="2" s="1"/>
  <c r="MM94" i="2"/>
  <c r="HM94" i="2" a="1"/>
  <c r="HM94" i="2" s="1"/>
  <c r="MA94" i="2"/>
  <c r="HA94" i="2" a="1"/>
  <c r="HA94" i="2" s="1"/>
  <c r="MN93" i="2"/>
  <c r="HN93" i="2" a="1"/>
  <c r="HN93" i="2" s="1"/>
  <c r="MB93" i="2"/>
  <c r="HB93" i="2" a="1"/>
  <c r="HB93" i="2" s="1"/>
  <c r="MO92" i="2"/>
  <c r="HO92" i="2" a="1"/>
  <c r="HO92" i="2" s="1"/>
  <c r="MC92" i="2"/>
  <c r="HC92" i="2" a="1"/>
  <c r="HC92" i="2" s="1"/>
  <c r="MP91" i="2"/>
  <c r="HP91" i="2" a="1"/>
  <c r="HP91" i="2" s="1"/>
  <c r="MD91" i="2"/>
  <c r="HD91" i="2" a="1"/>
  <c r="HD91" i="2" s="1"/>
  <c r="MQ90" i="2"/>
  <c r="HQ90" i="2" a="1"/>
  <c r="HQ90" i="2" s="1"/>
  <c r="ME90" i="2"/>
  <c r="HE90" i="2" a="1"/>
  <c r="HE90" i="2" s="1"/>
  <c r="MR89" i="2"/>
  <c r="HR89" i="2" a="1"/>
  <c r="HR89" i="2" s="1"/>
  <c r="MF89" i="2"/>
  <c r="HF89" i="2" a="1"/>
  <c r="HF89" i="2" s="1"/>
  <c r="MS88" i="2"/>
  <c r="HS88" i="2" a="1"/>
  <c r="HS88" i="2" s="1"/>
  <c r="MG88" i="2"/>
  <c r="HG88" i="2" a="1"/>
  <c r="HG88" i="2" s="1"/>
  <c r="MT87" i="2"/>
  <c r="HT87" i="2" a="1"/>
  <c r="HT87" i="2" s="1"/>
  <c r="MH87" i="2"/>
  <c r="HH87" i="2" a="1"/>
  <c r="HH87" i="2" s="1"/>
  <c r="GV87" i="2" a="1"/>
  <c r="GV87" i="2" s="1"/>
  <c r="MI86" i="2"/>
  <c r="HI86" i="2" a="1"/>
  <c r="HI86" i="2" s="1"/>
  <c r="LW86" i="2"/>
  <c r="GW86" i="2" a="1"/>
  <c r="GW86" i="2" s="1"/>
  <c r="MJ85" i="2"/>
  <c r="HJ85" i="2" a="1"/>
  <c r="HJ85" i="2" s="1"/>
  <c r="LX85" i="2"/>
  <c r="GX85" i="2" a="1"/>
  <c r="GX85" i="2" s="1"/>
  <c r="MK84" i="2"/>
  <c r="HK84" i="2" a="1"/>
  <c r="HK84" i="2" s="1"/>
  <c r="LY84" i="2"/>
  <c r="GY84" i="2" a="1"/>
  <c r="GY84" i="2" s="1"/>
  <c r="ML83" i="2"/>
  <c r="HL83" i="2" a="1"/>
  <c r="HL83" i="2" s="1"/>
  <c r="LZ83" i="2"/>
  <c r="GZ83" i="2" a="1"/>
  <c r="GZ83" i="2" s="1"/>
  <c r="MM82" i="2"/>
  <c r="HM82" i="2" a="1"/>
  <c r="HM82" i="2" s="1"/>
  <c r="MA82" i="2"/>
  <c r="HA82" i="2" a="1"/>
  <c r="HA82" i="2" s="1"/>
  <c r="MN81" i="2"/>
  <c r="HN81" i="2" a="1"/>
  <c r="HN81" i="2" s="1"/>
  <c r="MB81" i="2"/>
  <c r="HB81" i="2" a="1"/>
  <c r="HB81" i="2" s="1"/>
  <c r="MO80" i="2"/>
  <c r="HO80" i="2" a="1"/>
  <c r="HO80" i="2" s="1"/>
  <c r="MC80" i="2"/>
  <c r="HC80" i="2" a="1"/>
  <c r="HC80" i="2" s="1"/>
  <c r="MP79" i="2"/>
  <c r="HP79" i="2" a="1"/>
  <c r="HP79" i="2" s="1"/>
  <c r="MD79" i="2"/>
  <c r="HD79" i="2" a="1"/>
  <c r="HD79" i="2" s="1"/>
  <c r="MQ78" i="2"/>
  <c r="HQ78" i="2" a="1"/>
  <c r="HQ78" i="2" s="1"/>
  <c r="ME78" i="2"/>
  <c r="HE78" i="2" a="1"/>
  <c r="HE78" i="2" s="1"/>
  <c r="MR77" i="2"/>
  <c r="HR77" i="2" a="1"/>
  <c r="HR77" i="2" s="1"/>
  <c r="MF77" i="2"/>
  <c r="HF77" i="2" a="1"/>
  <c r="HF77" i="2" s="1"/>
  <c r="MS76" i="2"/>
  <c r="HS76" i="2" a="1"/>
  <c r="HS76" i="2" s="1"/>
  <c r="MG76" i="2"/>
  <c r="HG76" i="2" a="1"/>
  <c r="HG76" i="2" s="1"/>
  <c r="MT75" i="2"/>
  <c r="HT75" i="2" a="1"/>
  <c r="HT75" i="2" s="1"/>
  <c r="MH75" i="2"/>
  <c r="HH75" i="2" a="1"/>
  <c r="HH75" i="2" s="1"/>
  <c r="GV75" i="2" a="1"/>
  <c r="GV75" i="2" s="1"/>
  <c r="MI74" i="2"/>
  <c r="HI74" i="2" a="1"/>
  <c r="HI74" i="2" s="1"/>
  <c r="LW74" i="2"/>
  <c r="GW74" i="2" a="1"/>
  <c r="GW74" i="2" s="1"/>
  <c r="MJ73" i="2"/>
  <c r="HJ73" i="2" a="1"/>
  <c r="HJ73" i="2" s="1"/>
  <c r="LX73" i="2"/>
  <c r="GX73" i="2" a="1"/>
  <c r="GX73" i="2" s="1"/>
  <c r="MK72" i="2"/>
  <c r="HK72" i="2" a="1"/>
  <c r="HK72" i="2" s="1"/>
  <c r="LY72" i="2"/>
  <c r="GY72" i="2" a="1"/>
  <c r="GY72" i="2" s="1"/>
  <c r="ML71" i="2"/>
  <c r="HL71" i="2" a="1"/>
  <c r="HL71" i="2" s="1"/>
  <c r="LZ71" i="2"/>
  <c r="GZ71" i="2" a="1"/>
  <c r="GZ71" i="2" s="1"/>
  <c r="MM70" i="2"/>
  <c r="HM70" i="2" a="1"/>
  <c r="HM70" i="2" s="1"/>
  <c r="HA70" i="2" a="1"/>
  <c r="HA70" i="2" s="1"/>
  <c r="MA70" i="2"/>
  <c r="MN69" i="2"/>
  <c r="HN69" i="2" a="1"/>
  <c r="HN69" i="2" s="1"/>
  <c r="MB69" i="2"/>
  <c r="HB69" i="2" a="1"/>
  <c r="HB69" i="2" s="1"/>
  <c r="MO68" i="2"/>
  <c r="HO68" i="2" a="1"/>
  <c r="HO68" i="2" s="1"/>
  <c r="MC68" i="2"/>
  <c r="HC68" i="2" a="1"/>
  <c r="HC68" i="2" s="1"/>
  <c r="MP67" i="2"/>
  <c r="HP67" i="2" a="1"/>
  <c r="HP67" i="2" s="1"/>
  <c r="MD67" i="2"/>
  <c r="HD67" i="2" a="1"/>
  <c r="HD67" i="2" s="1"/>
  <c r="MQ66" i="2"/>
  <c r="HQ66" i="2" a="1"/>
  <c r="HQ66" i="2" s="1"/>
  <c r="ME66" i="2"/>
  <c r="HE66" i="2" a="1"/>
  <c r="HE66" i="2" s="1"/>
  <c r="HR65" i="2" a="1"/>
  <c r="HR65" i="2" s="1"/>
  <c r="MR65" i="2"/>
  <c r="MF65" i="2"/>
  <c r="HF65" i="2" a="1"/>
  <c r="HF65" i="2" s="1"/>
  <c r="MS64" i="2"/>
  <c r="HS64" i="2" a="1"/>
  <c r="HS64" i="2" s="1"/>
  <c r="MG64" i="2"/>
  <c r="HG64" i="2" a="1"/>
  <c r="HG64" i="2" s="1"/>
  <c r="HT36" i="2" a="1"/>
  <c r="HT36" i="2" s="1"/>
  <c r="HK8" i="2" a="1"/>
  <c r="HK8" i="2" s="1"/>
  <c r="MO63" i="2"/>
  <c r="HO63" i="2" a="1"/>
  <c r="HO63" i="2" s="1"/>
  <c r="MC63" i="2"/>
  <c r="HC63" i="2" a="1"/>
  <c r="HC63" i="2" s="1"/>
  <c r="MP62" i="2"/>
  <c r="HP62" i="2" a="1"/>
  <c r="HP62" i="2" s="1"/>
  <c r="MD62" i="2"/>
  <c r="HD62" i="2" a="1"/>
  <c r="HD62" i="2" s="1"/>
  <c r="MQ61" i="2"/>
  <c r="HQ61" i="2" a="1"/>
  <c r="HQ61" i="2" s="1"/>
  <c r="ME61" i="2"/>
  <c r="HE61" i="2" a="1"/>
  <c r="HE61" i="2" s="1"/>
  <c r="MR60" i="2"/>
  <c r="HR60" i="2" a="1"/>
  <c r="HR60" i="2" s="1"/>
  <c r="MF60" i="2"/>
  <c r="HF60" i="2" a="1"/>
  <c r="HF60" i="2" s="1"/>
  <c r="MS59" i="2"/>
  <c r="HS59" i="2" a="1"/>
  <c r="HS59" i="2" s="1"/>
  <c r="MG59" i="2"/>
  <c r="HG59" i="2" a="1"/>
  <c r="HG59" i="2" s="1"/>
  <c r="MT58" i="2"/>
  <c r="HT58" i="2" a="1"/>
  <c r="HT58" i="2" s="1"/>
  <c r="MH58" i="2"/>
  <c r="HH58" i="2" a="1"/>
  <c r="HH58" i="2" s="1"/>
  <c r="GV58" i="2" a="1"/>
  <c r="GV58" i="2" s="1"/>
  <c r="MI57" i="2"/>
  <c r="HI57" i="2" a="1"/>
  <c r="HI57" i="2" s="1"/>
  <c r="LW57" i="2"/>
  <c r="GW57" i="2" a="1"/>
  <c r="GW57" i="2" s="1"/>
  <c r="MJ56" i="2"/>
  <c r="HJ56" i="2" a="1"/>
  <c r="HJ56" i="2" s="1"/>
  <c r="LX56" i="2"/>
  <c r="GX56" i="2" a="1"/>
  <c r="GX56" i="2" s="1"/>
  <c r="MK55" i="2"/>
  <c r="HK55" i="2" a="1"/>
  <c r="HK55" i="2" s="1"/>
  <c r="LY55" i="2"/>
  <c r="GY55" i="2" a="1"/>
  <c r="GY55" i="2" s="1"/>
  <c r="ML54" i="2"/>
  <c r="HL54" i="2" a="1"/>
  <c r="HL54" i="2" s="1"/>
  <c r="LZ54" i="2"/>
  <c r="GZ54" i="2" a="1"/>
  <c r="GZ54" i="2" s="1"/>
  <c r="MM53" i="2"/>
  <c r="HM53" i="2" a="1"/>
  <c r="HM53" i="2" s="1"/>
  <c r="MA53" i="2"/>
  <c r="HA53" i="2" a="1"/>
  <c r="HA53" i="2" s="1"/>
  <c r="MN52" i="2"/>
  <c r="HN52" i="2" a="1"/>
  <c r="HN52" i="2" s="1"/>
  <c r="MB52" i="2"/>
  <c r="HB52" i="2" a="1"/>
  <c r="HB52" i="2" s="1"/>
  <c r="MO51" i="2"/>
  <c r="HO51" i="2" a="1"/>
  <c r="HO51" i="2" s="1"/>
  <c r="MC51" i="2"/>
  <c r="HC51" i="2" a="1"/>
  <c r="HC51" i="2" s="1"/>
  <c r="MP50" i="2"/>
  <c r="HP50" i="2" a="1"/>
  <c r="HP50" i="2" s="1"/>
  <c r="MD50" i="2"/>
  <c r="HD50" i="2" a="1"/>
  <c r="HD50" i="2" s="1"/>
  <c r="MQ49" i="2"/>
  <c r="HQ49" i="2" a="1"/>
  <c r="HQ49" i="2" s="1"/>
  <c r="ME49" i="2"/>
  <c r="HE49" i="2" a="1"/>
  <c r="HE49" i="2" s="1"/>
  <c r="MR48" i="2"/>
  <c r="HR48" i="2" a="1"/>
  <c r="HR48" i="2" s="1"/>
  <c r="MF48" i="2"/>
  <c r="HF48" i="2" a="1"/>
  <c r="HF48" i="2" s="1"/>
  <c r="MS47" i="2"/>
  <c r="HS47" i="2" a="1"/>
  <c r="HS47" i="2" s="1"/>
  <c r="MG47" i="2"/>
  <c r="HG47" i="2" a="1"/>
  <c r="HG47" i="2" s="1"/>
  <c r="MT46" i="2"/>
  <c r="HT46" i="2" a="1"/>
  <c r="HT46" i="2" s="1"/>
  <c r="MH46" i="2"/>
  <c r="HH46" i="2" a="1"/>
  <c r="HH46" i="2" s="1"/>
  <c r="GV46" i="2" a="1"/>
  <c r="GV46" i="2" s="1"/>
  <c r="MI45" i="2"/>
  <c r="HI45" i="2" a="1"/>
  <c r="HI45" i="2" s="1"/>
  <c r="LW45" i="2"/>
  <c r="GW45" i="2" a="1"/>
  <c r="GW45" i="2" s="1"/>
  <c r="MJ44" i="2"/>
  <c r="HJ44" i="2" a="1"/>
  <c r="HJ44" i="2" s="1"/>
  <c r="LX44" i="2"/>
  <c r="GX44" i="2" a="1"/>
  <c r="GX44" i="2" s="1"/>
  <c r="MK43" i="2"/>
  <c r="HK43" i="2" a="1"/>
  <c r="HK43" i="2" s="1"/>
  <c r="LY43" i="2"/>
  <c r="GY43" i="2" a="1"/>
  <c r="GY43" i="2" s="1"/>
  <c r="ML42" i="2"/>
  <c r="HL42" i="2" a="1"/>
  <c r="HL42" i="2" s="1"/>
  <c r="LZ42" i="2"/>
  <c r="GZ42" i="2" a="1"/>
  <c r="GZ42" i="2" s="1"/>
  <c r="MM41" i="2"/>
  <c r="HM41" i="2" a="1"/>
  <c r="HM41" i="2" s="1"/>
  <c r="MA41" i="2"/>
  <c r="HA41" i="2" a="1"/>
  <c r="HA41" i="2" s="1"/>
  <c r="MN40" i="2"/>
  <c r="HN40" i="2" a="1"/>
  <c r="HN40" i="2" s="1"/>
  <c r="MB40" i="2"/>
  <c r="HB40" i="2" a="1"/>
  <c r="HB40" i="2" s="1"/>
  <c r="MO39" i="2"/>
  <c r="HO39" i="2" a="1"/>
  <c r="HO39" i="2" s="1"/>
  <c r="MC39" i="2"/>
  <c r="HC39" i="2" a="1"/>
  <c r="HC39" i="2" s="1"/>
  <c r="MP38" i="2"/>
  <c r="MD38" i="2"/>
  <c r="HD38" i="2" a="1"/>
  <c r="HD38" i="2" s="1"/>
  <c r="MQ37" i="2"/>
  <c r="HQ37" i="2" a="1"/>
  <c r="HQ37" i="2" s="1"/>
  <c r="ME37" i="2"/>
  <c r="MR36" i="2"/>
  <c r="MF36" i="2"/>
  <c r="HF36" i="2" a="1"/>
  <c r="HF36" i="2" s="1"/>
  <c r="MS35" i="2"/>
  <c r="HS35" i="2" a="1"/>
  <c r="HS35" i="2" s="1"/>
  <c r="MG35" i="2"/>
  <c r="HG35" i="2" a="1"/>
  <c r="HG35" i="2" s="1"/>
  <c r="MT34" i="2"/>
  <c r="HT34" i="2" a="1"/>
  <c r="HT34" i="2" s="1"/>
  <c r="MH34" i="2"/>
  <c r="HH34" i="2" a="1"/>
  <c r="HH34" i="2" s="1"/>
  <c r="GV34" i="2" a="1"/>
  <c r="GV34" i="2" s="1"/>
  <c r="MI33" i="2"/>
  <c r="HI33" i="2" a="1"/>
  <c r="HI33" i="2" s="1"/>
  <c r="LW33" i="2"/>
  <c r="GW33" i="2" a="1"/>
  <c r="GW33" i="2" s="1"/>
  <c r="MJ32" i="2"/>
  <c r="HJ32" i="2" a="1"/>
  <c r="HJ32" i="2" s="1"/>
  <c r="LX32" i="2"/>
  <c r="GX32" i="2" a="1"/>
  <c r="GX32" i="2" s="1"/>
  <c r="MK31" i="2"/>
  <c r="HK31" i="2" a="1"/>
  <c r="HK31" i="2" s="1"/>
  <c r="LY31" i="2"/>
  <c r="GY31" i="2" a="1"/>
  <c r="GY31" i="2" s="1"/>
  <c r="ML30" i="2"/>
  <c r="HL30" i="2" a="1"/>
  <c r="HL30" i="2" s="1"/>
  <c r="LZ30" i="2"/>
  <c r="GZ30" i="2" a="1"/>
  <c r="GZ30" i="2" s="1"/>
  <c r="MM29" i="2"/>
  <c r="HM29" i="2" a="1"/>
  <c r="HM29" i="2" s="1"/>
  <c r="MA29" i="2"/>
  <c r="HA29" i="2" a="1"/>
  <c r="HA29" i="2" s="1"/>
  <c r="MN28" i="2"/>
  <c r="MB28" i="2"/>
  <c r="HB28" i="2" a="1"/>
  <c r="HB28" i="2" s="1"/>
  <c r="MO27" i="2"/>
  <c r="HO27" i="2" a="1"/>
  <c r="HO27" i="2" s="1"/>
  <c r="MC27" i="2"/>
  <c r="HC27" i="2" a="1"/>
  <c r="HC27" i="2" s="1"/>
  <c r="MP26" i="2"/>
  <c r="HP26" i="2" a="1"/>
  <c r="HP26" i="2" s="1"/>
  <c r="MD26" i="2"/>
  <c r="HD26" i="2" a="1"/>
  <c r="HD26" i="2" s="1"/>
  <c r="MQ25" i="2"/>
  <c r="HQ25" i="2" a="1"/>
  <c r="HQ25" i="2" s="1"/>
  <c r="ME25" i="2"/>
  <c r="HE25" i="2" a="1"/>
  <c r="HE25" i="2" s="1"/>
  <c r="MR24" i="2"/>
  <c r="HR24" i="2" a="1"/>
  <c r="HR24" i="2" s="1"/>
  <c r="MF24" i="2"/>
  <c r="HF24" i="2" a="1"/>
  <c r="HF24" i="2" s="1"/>
  <c r="MS23" i="2"/>
  <c r="HS23" i="2" a="1"/>
  <c r="HS23" i="2" s="1"/>
  <c r="MG23" i="2"/>
  <c r="HG23" i="2" a="1"/>
  <c r="HG23" i="2" s="1"/>
  <c r="MT22" i="2"/>
  <c r="HT22" i="2" a="1"/>
  <c r="HT22" i="2" s="1"/>
  <c r="MH22" i="2"/>
  <c r="HH22" i="2" a="1"/>
  <c r="HH22" i="2" s="1"/>
  <c r="GV22" i="2" a="1"/>
  <c r="GV22" i="2" s="1"/>
  <c r="MI21" i="2"/>
  <c r="HI21" i="2" a="1"/>
  <c r="HI21" i="2" s="1"/>
  <c r="LW21" i="2"/>
  <c r="GW21" i="2" a="1"/>
  <c r="GW21" i="2" s="1"/>
  <c r="MJ20" i="2"/>
  <c r="HJ20" i="2" a="1"/>
  <c r="HJ20" i="2" s="1"/>
  <c r="LX20" i="2"/>
  <c r="GX20" i="2" a="1"/>
  <c r="GX20" i="2" s="1"/>
  <c r="MK19" i="2"/>
  <c r="HK19" i="2" a="1"/>
  <c r="HK19" i="2" s="1"/>
  <c r="LY19" i="2"/>
  <c r="GY19" i="2" a="1"/>
  <c r="GY19" i="2" s="1"/>
  <c r="ML18" i="2"/>
  <c r="HL18" i="2" a="1"/>
  <c r="HL18" i="2" s="1"/>
  <c r="LZ18" i="2"/>
  <c r="GZ18" i="2" a="1"/>
  <c r="GZ18" i="2" s="1"/>
  <c r="MM17" i="2"/>
  <c r="HM17" i="2" a="1"/>
  <c r="HM17" i="2" s="1"/>
  <c r="MA17" i="2"/>
  <c r="HA17" i="2" a="1"/>
  <c r="HA17" i="2" s="1"/>
  <c r="MN16" i="2"/>
  <c r="HN16" i="2" a="1"/>
  <c r="HN16" i="2" s="1"/>
  <c r="MB16" i="2"/>
  <c r="HB16" i="2" a="1"/>
  <c r="HB16" i="2" s="1"/>
  <c r="MO15" i="2"/>
  <c r="HO15" i="2" a="1"/>
  <c r="HO15" i="2" s="1"/>
  <c r="MC15" i="2"/>
  <c r="HC15" i="2" a="1"/>
  <c r="HC15" i="2" s="1"/>
  <c r="MP14" i="2"/>
  <c r="HP14" i="2" a="1"/>
  <c r="HP14" i="2" s="1"/>
  <c r="MD14" i="2"/>
  <c r="HD14" i="2" a="1"/>
  <c r="HD14" i="2" s="1"/>
  <c r="MQ13" i="2"/>
  <c r="HQ13" i="2" a="1"/>
  <c r="HQ13" i="2" s="1"/>
  <c r="ME13" i="2"/>
  <c r="HE13" i="2" a="1"/>
  <c r="HE13" i="2" s="1"/>
  <c r="MR12" i="2"/>
  <c r="HR12" i="2" a="1"/>
  <c r="HR12" i="2" s="1"/>
  <c r="MF12" i="2"/>
  <c r="HF12" i="2" a="1"/>
  <c r="HF12" i="2" s="1"/>
  <c r="MS11" i="2"/>
  <c r="HS11" i="2" a="1"/>
  <c r="HS11" i="2" s="1"/>
  <c r="MG11" i="2"/>
  <c r="HG11" i="2" a="1"/>
  <c r="HG11" i="2" s="1"/>
  <c r="MT10" i="2"/>
  <c r="HT10" i="2" a="1"/>
  <c r="HT10" i="2" s="1"/>
  <c r="MH10" i="2"/>
  <c r="HH10" i="2" a="1"/>
  <c r="HH10" i="2" s="1"/>
  <c r="GV10" i="2" a="1"/>
  <c r="GV10" i="2" s="1"/>
  <c r="MI9" i="2"/>
  <c r="HI9" i="2" a="1"/>
  <c r="HI9" i="2" s="1"/>
  <c r="LW9" i="2"/>
  <c r="GW9" i="2" a="1"/>
  <c r="GW9" i="2" s="1"/>
  <c r="MJ8" i="2"/>
  <c r="HJ8" i="2" a="1"/>
  <c r="HJ8" i="2" s="1"/>
  <c r="LX8" i="2"/>
  <c r="GX8" i="2" a="1"/>
  <c r="GX8" i="2" s="1"/>
  <c r="MK7" i="2"/>
  <c r="HK7" i="2" a="1"/>
  <c r="HK7" i="2" s="1"/>
  <c r="LY7" i="2"/>
  <c r="GY7" i="2" a="1"/>
  <c r="GY7" i="2" s="1"/>
  <c r="ML6" i="2"/>
  <c r="HL6" i="2" a="1"/>
  <c r="HL6" i="2" s="1"/>
  <c r="LZ6" i="2"/>
  <c r="GZ6" i="2" a="1"/>
  <c r="GZ6" i="2" s="1"/>
  <c r="MM5" i="2"/>
  <c r="HM5" i="2" a="1"/>
  <c r="HM5" i="2" s="1"/>
  <c r="MA5" i="2"/>
  <c r="HA5" i="2" a="1"/>
  <c r="HA5" i="2" s="1"/>
  <c r="MN4" i="2"/>
  <c r="HN4" i="2" a="1"/>
  <c r="HN4" i="2" s="1"/>
  <c r="MB4" i="2"/>
  <c r="HB4" i="2" a="1"/>
  <c r="HB4" i="2" s="1"/>
  <c r="MO103" i="2"/>
  <c r="HO103" i="2" a="1"/>
  <c r="HO103" i="2" s="1"/>
  <c r="MC103" i="2"/>
  <c r="HC103" i="2" a="1"/>
  <c r="HC103" i="2" s="1"/>
  <c r="MP102" i="2"/>
  <c r="HP102" i="2" a="1"/>
  <c r="HP102" i="2" s="1"/>
  <c r="MD102" i="2"/>
  <c r="HD102" i="2" a="1"/>
  <c r="HD102" i="2" s="1"/>
  <c r="MQ101" i="2"/>
  <c r="HQ101" i="2" a="1"/>
  <c r="HQ101" i="2" s="1"/>
  <c r="ME101" i="2"/>
  <c r="HE101" i="2" a="1"/>
  <c r="HE101" i="2" s="1"/>
  <c r="HR100" i="2" a="1"/>
  <c r="HR100" i="2" s="1"/>
  <c r="MR100" i="2"/>
  <c r="MF100" i="2"/>
  <c r="HF100" i="2" a="1"/>
  <c r="HF100" i="2" s="1"/>
  <c r="MS99" i="2"/>
  <c r="HS99" i="2" a="1"/>
  <c r="HS99" i="2" s="1"/>
  <c r="MG99" i="2"/>
  <c r="HG99" i="2" a="1"/>
  <c r="HG99" i="2" s="1"/>
  <c r="MT98" i="2"/>
  <c r="HT98" i="2" a="1"/>
  <c r="HT98" i="2" s="1"/>
  <c r="MH98" i="2"/>
  <c r="HH98" i="2" a="1"/>
  <c r="HH98" i="2" s="1"/>
  <c r="GV98" i="2" a="1"/>
  <c r="GV98" i="2" s="1"/>
  <c r="MI97" i="2"/>
  <c r="HI97" i="2" a="1"/>
  <c r="HI97" i="2" s="1"/>
  <c r="LW97" i="2"/>
  <c r="GW97" i="2" a="1"/>
  <c r="GW97" i="2" s="1"/>
  <c r="MJ96" i="2"/>
  <c r="HJ96" i="2" a="1"/>
  <c r="HJ96" i="2" s="1"/>
  <c r="LX96" i="2"/>
  <c r="GX96" i="2" a="1"/>
  <c r="GX96" i="2" s="1"/>
  <c r="MK95" i="2"/>
  <c r="HK95" i="2" a="1"/>
  <c r="HK95" i="2" s="1"/>
  <c r="LY95" i="2"/>
  <c r="GY95" i="2" a="1"/>
  <c r="GY95" i="2" s="1"/>
  <c r="ML94" i="2"/>
  <c r="HL94" i="2" a="1"/>
  <c r="HL94" i="2" s="1"/>
  <c r="LZ94" i="2"/>
  <c r="GZ94" i="2" a="1"/>
  <c r="GZ94" i="2" s="1"/>
  <c r="MM93" i="2"/>
  <c r="HM93" i="2" a="1"/>
  <c r="HM93" i="2" s="1"/>
  <c r="HQ63" i="2" a="1"/>
  <c r="HQ63" i="2" s="1"/>
  <c r="HF62" i="2" a="1"/>
  <c r="HF62" i="2" s="1"/>
  <c r="HT60" i="2" a="1"/>
  <c r="HT60" i="2" s="1"/>
  <c r="HI59" i="2" a="1"/>
  <c r="HI59" i="2" s="1"/>
  <c r="GX58" i="2" a="1"/>
  <c r="GX58" i="2" s="1"/>
  <c r="HL56" i="2" a="1"/>
  <c r="HL56" i="2" s="1"/>
  <c r="HA55" i="2" a="1"/>
  <c r="HA55" i="2" s="1"/>
  <c r="HO53" i="2" a="1"/>
  <c r="HO53" i="2" s="1"/>
  <c r="HD52" i="2" a="1"/>
  <c r="HD52" i="2" s="1"/>
  <c r="HR50" i="2" a="1"/>
  <c r="HR50" i="2" s="1"/>
  <c r="HG49" i="2" a="1"/>
  <c r="HG49" i="2" s="1"/>
  <c r="HJ46" i="2" a="1"/>
  <c r="HJ46" i="2" s="1"/>
  <c r="GY45" i="2" a="1"/>
  <c r="GY45" i="2" s="1"/>
  <c r="HM43" i="2" a="1"/>
  <c r="HM43" i="2" s="1"/>
  <c r="HB42" i="2" a="1"/>
  <c r="HB42" i="2" s="1"/>
  <c r="HP40" i="2" a="1"/>
  <c r="HP40" i="2" s="1"/>
  <c r="HL32" i="2" a="1"/>
  <c r="HL32" i="2" s="1"/>
  <c r="HP27" i="2" a="1"/>
  <c r="HP27" i="2" s="1"/>
  <c r="MN63" i="2"/>
  <c r="HN63" i="2" a="1"/>
  <c r="HN63" i="2" s="1"/>
  <c r="MB63" i="2"/>
  <c r="HB63" i="2" a="1"/>
  <c r="HB63" i="2" s="1"/>
  <c r="MO62" i="2"/>
  <c r="HO62" i="2" a="1"/>
  <c r="HO62" i="2" s="1"/>
  <c r="MC62" i="2"/>
  <c r="HC62" i="2" a="1"/>
  <c r="HC62" i="2" s="1"/>
  <c r="MP61" i="2"/>
  <c r="HP61" i="2" a="1"/>
  <c r="HP61" i="2" s="1"/>
  <c r="MD61" i="2"/>
  <c r="HD61" i="2" a="1"/>
  <c r="HD61" i="2" s="1"/>
  <c r="MQ60" i="2"/>
  <c r="HQ60" i="2" a="1"/>
  <c r="HQ60" i="2" s="1"/>
  <c r="ME60" i="2"/>
  <c r="HE60" i="2" a="1"/>
  <c r="HE60" i="2" s="1"/>
  <c r="MR59" i="2"/>
  <c r="HR59" i="2" a="1"/>
  <c r="HR59" i="2" s="1"/>
  <c r="MF59" i="2"/>
  <c r="HF59" i="2" a="1"/>
  <c r="HF59" i="2" s="1"/>
  <c r="MS58" i="2"/>
  <c r="HS58" i="2" a="1"/>
  <c r="HS58" i="2" s="1"/>
  <c r="MG58" i="2"/>
  <c r="HG58" i="2" a="1"/>
  <c r="HG58" i="2" s="1"/>
  <c r="MT57" i="2"/>
  <c r="HT57" i="2" a="1"/>
  <c r="HT57" i="2" s="1"/>
  <c r="MH57" i="2"/>
  <c r="HH57" i="2" a="1"/>
  <c r="HH57" i="2" s="1"/>
  <c r="GV57" i="2" a="1"/>
  <c r="GV57" i="2" s="1"/>
  <c r="MI56" i="2"/>
  <c r="HI56" i="2" a="1"/>
  <c r="HI56" i="2" s="1"/>
  <c r="LW56" i="2"/>
  <c r="GW56" i="2" a="1"/>
  <c r="GW56" i="2" s="1"/>
  <c r="MJ55" i="2"/>
  <c r="HJ55" i="2" a="1"/>
  <c r="HJ55" i="2" s="1"/>
  <c r="LX55" i="2"/>
  <c r="GX55" i="2" a="1"/>
  <c r="GX55" i="2" s="1"/>
  <c r="MK54" i="2"/>
  <c r="HK54" i="2" a="1"/>
  <c r="HK54" i="2" s="1"/>
  <c r="LY54" i="2"/>
  <c r="GY54" i="2" a="1"/>
  <c r="GY54" i="2" s="1"/>
  <c r="ML53" i="2"/>
  <c r="HL53" i="2" a="1"/>
  <c r="HL53" i="2" s="1"/>
  <c r="LZ53" i="2"/>
  <c r="GZ53" i="2" a="1"/>
  <c r="GZ53" i="2" s="1"/>
  <c r="MM52" i="2"/>
  <c r="HM52" i="2" a="1"/>
  <c r="HM52" i="2" s="1"/>
  <c r="MA52" i="2"/>
  <c r="HA52" i="2" a="1"/>
  <c r="HA52" i="2" s="1"/>
  <c r="MN51" i="2"/>
  <c r="HN51" i="2" a="1"/>
  <c r="HN51" i="2" s="1"/>
  <c r="MB51" i="2"/>
  <c r="HB51" i="2" a="1"/>
  <c r="HB51" i="2" s="1"/>
  <c r="MO50" i="2"/>
  <c r="HO50" i="2" a="1"/>
  <c r="HO50" i="2" s="1"/>
  <c r="MC50" i="2"/>
  <c r="HC50" i="2" a="1"/>
  <c r="HC50" i="2" s="1"/>
  <c r="MP49" i="2"/>
  <c r="HP49" i="2" a="1"/>
  <c r="HP49" i="2" s="1"/>
  <c r="MD49" i="2"/>
  <c r="HD49" i="2" a="1"/>
  <c r="HD49" i="2" s="1"/>
  <c r="MQ48" i="2"/>
  <c r="HQ48" i="2" a="1"/>
  <c r="HQ48" i="2" s="1"/>
  <c r="ME48" i="2"/>
  <c r="HE48" i="2" a="1"/>
  <c r="HE48" i="2" s="1"/>
  <c r="MR47" i="2"/>
  <c r="HR47" i="2" a="1"/>
  <c r="HR47" i="2" s="1"/>
  <c r="MF47" i="2"/>
  <c r="HF47" i="2" a="1"/>
  <c r="HF47" i="2" s="1"/>
  <c r="MS46" i="2"/>
  <c r="HS46" i="2" a="1"/>
  <c r="HS46" i="2" s="1"/>
  <c r="MG46" i="2"/>
  <c r="HG46" i="2" a="1"/>
  <c r="HG46" i="2" s="1"/>
  <c r="MT45" i="2"/>
  <c r="HT45" i="2" a="1"/>
  <c r="HT45" i="2" s="1"/>
  <c r="MH45" i="2"/>
  <c r="HH45" i="2" a="1"/>
  <c r="HH45" i="2" s="1"/>
  <c r="GV45" i="2" a="1"/>
  <c r="GV45" i="2" s="1"/>
  <c r="MI44" i="2"/>
  <c r="HI44" i="2" a="1"/>
  <c r="HI44" i="2" s="1"/>
  <c r="LW44" i="2"/>
  <c r="GW44" i="2" a="1"/>
  <c r="GW44" i="2" s="1"/>
  <c r="MJ43" i="2"/>
  <c r="HJ43" i="2" a="1"/>
  <c r="HJ43" i="2" s="1"/>
  <c r="LX43" i="2"/>
  <c r="GX43" i="2" a="1"/>
  <c r="GX43" i="2" s="1"/>
  <c r="MK42" i="2"/>
  <c r="HK42" i="2" a="1"/>
  <c r="HK42" i="2" s="1"/>
  <c r="LY42" i="2"/>
  <c r="GY42" i="2" a="1"/>
  <c r="GY42" i="2" s="1"/>
  <c r="ML41" i="2"/>
  <c r="HL41" i="2" a="1"/>
  <c r="HL41" i="2" s="1"/>
  <c r="LZ41" i="2"/>
  <c r="GZ41" i="2" a="1"/>
  <c r="GZ41" i="2" s="1"/>
  <c r="MM40" i="2"/>
  <c r="HM40" i="2" a="1"/>
  <c r="HM40" i="2" s="1"/>
  <c r="MA40" i="2"/>
  <c r="HA40" i="2" a="1"/>
  <c r="HA40" i="2" s="1"/>
  <c r="MN39" i="2"/>
  <c r="HN39" i="2" a="1"/>
  <c r="HN39" i="2" s="1"/>
  <c r="MB39" i="2"/>
  <c r="HB39" i="2" a="1"/>
  <c r="HB39" i="2" s="1"/>
  <c r="MO38" i="2"/>
  <c r="HO38" i="2" a="1"/>
  <c r="HO38" i="2" s="1"/>
  <c r="MC38" i="2"/>
  <c r="HC38" i="2" a="1"/>
  <c r="HC38" i="2" s="1"/>
  <c r="MP37" i="2"/>
  <c r="HP37" i="2" a="1"/>
  <c r="HP37" i="2" s="1"/>
  <c r="MD37" i="2"/>
  <c r="HD37" i="2" a="1"/>
  <c r="HD37" i="2" s="1"/>
  <c r="MQ36" i="2"/>
  <c r="HQ36" i="2" a="1"/>
  <c r="HQ36" i="2" s="1"/>
  <c r="ME36" i="2"/>
  <c r="HE36" i="2" a="1"/>
  <c r="HE36" i="2" s="1"/>
  <c r="MR35" i="2"/>
  <c r="HR35" i="2" a="1"/>
  <c r="HR35" i="2" s="1"/>
  <c r="MF35" i="2"/>
  <c r="HF35" i="2" a="1"/>
  <c r="HF35" i="2" s="1"/>
  <c r="MS34" i="2"/>
  <c r="HS34" i="2" a="1"/>
  <c r="HS34" i="2" s="1"/>
  <c r="MG34" i="2"/>
  <c r="HG34" i="2" a="1"/>
  <c r="HG34" i="2" s="1"/>
  <c r="MT33" i="2"/>
  <c r="HT33" i="2" a="1"/>
  <c r="HT33" i="2" s="1"/>
  <c r="MH33" i="2"/>
  <c r="HH33" i="2" a="1"/>
  <c r="HH33" i="2" s="1"/>
  <c r="GV33" i="2" a="1"/>
  <c r="GV33" i="2" s="1"/>
  <c r="MI32" i="2"/>
  <c r="HI32" i="2" a="1"/>
  <c r="HI32" i="2" s="1"/>
  <c r="LW32" i="2"/>
  <c r="GW32" i="2" a="1"/>
  <c r="GW32" i="2" s="1"/>
  <c r="MJ31" i="2"/>
  <c r="HJ31" i="2" a="1"/>
  <c r="HJ31" i="2" s="1"/>
  <c r="LX31" i="2"/>
  <c r="GX31" i="2" a="1"/>
  <c r="GX31" i="2" s="1"/>
  <c r="MK30" i="2"/>
  <c r="HK30" i="2" a="1"/>
  <c r="HK30" i="2" s="1"/>
  <c r="LY30" i="2"/>
  <c r="GY30" i="2" a="1"/>
  <c r="GY30" i="2" s="1"/>
  <c r="ML29" i="2"/>
  <c r="HL29" i="2" a="1"/>
  <c r="HL29" i="2" s="1"/>
  <c r="LZ29" i="2"/>
  <c r="GZ29" i="2" a="1"/>
  <c r="GZ29" i="2" s="1"/>
  <c r="MM28" i="2"/>
  <c r="MA28" i="2"/>
  <c r="HA28" i="2" a="1"/>
  <c r="HA28" i="2" s="1"/>
  <c r="MN27" i="2"/>
  <c r="HN27" i="2" a="1"/>
  <c r="HN27" i="2" s="1"/>
  <c r="MB27" i="2"/>
  <c r="HB27" i="2" a="1"/>
  <c r="HB27" i="2" s="1"/>
  <c r="MO26" i="2"/>
  <c r="HO26" i="2" a="1"/>
  <c r="HO26" i="2" s="1"/>
  <c r="MC26" i="2"/>
  <c r="HC26" i="2" a="1"/>
  <c r="HC26" i="2" s="1"/>
  <c r="MP25" i="2"/>
  <c r="HP25" i="2" a="1"/>
  <c r="HP25" i="2" s="1"/>
  <c r="MD25" i="2"/>
  <c r="HD25" i="2" a="1"/>
  <c r="HD25" i="2" s="1"/>
  <c r="MQ24" i="2"/>
  <c r="HQ24" i="2" a="1"/>
  <c r="HQ24" i="2" s="1"/>
  <c r="ME24" i="2"/>
  <c r="HE24" i="2" a="1"/>
  <c r="HE24" i="2" s="1"/>
  <c r="MR23" i="2"/>
  <c r="HR23" i="2" a="1"/>
  <c r="HR23" i="2" s="1"/>
  <c r="MF23" i="2"/>
  <c r="HF23" i="2" a="1"/>
  <c r="HF23" i="2" s="1"/>
  <c r="MS22" i="2"/>
  <c r="HS22" i="2" a="1"/>
  <c r="HS22" i="2" s="1"/>
  <c r="MG22" i="2"/>
  <c r="HG22" i="2" a="1"/>
  <c r="HG22" i="2" s="1"/>
  <c r="MT21" i="2"/>
  <c r="HT21" i="2" a="1"/>
  <c r="HT21" i="2" s="1"/>
  <c r="MH21" i="2"/>
  <c r="HH21" i="2" a="1"/>
  <c r="HH21" i="2" s="1"/>
  <c r="GV21" i="2" a="1"/>
  <c r="GV21" i="2" s="1"/>
  <c r="MI20" i="2"/>
  <c r="HI20" i="2" a="1"/>
  <c r="HI20" i="2" s="1"/>
  <c r="LW20" i="2"/>
  <c r="GW20" i="2" a="1"/>
  <c r="GW20" i="2" s="1"/>
  <c r="MJ19" i="2"/>
  <c r="HJ19" i="2" a="1"/>
  <c r="HJ19" i="2" s="1"/>
  <c r="LX19" i="2"/>
  <c r="GX19" i="2" a="1"/>
  <c r="GX19" i="2" s="1"/>
  <c r="MK18" i="2"/>
  <c r="LY18" i="2"/>
  <c r="GY18" i="2" a="1"/>
  <c r="GY18" i="2" s="1"/>
  <c r="ML17" i="2"/>
  <c r="HL17" i="2" a="1"/>
  <c r="HL17" i="2" s="1"/>
  <c r="LZ17" i="2"/>
  <c r="GZ17" i="2" a="1"/>
  <c r="GZ17" i="2" s="1"/>
  <c r="MM16" i="2"/>
  <c r="HM16" i="2" a="1"/>
  <c r="HM16" i="2" s="1"/>
  <c r="MA16" i="2"/>
  <c r="HA16" i="2" a="1"/>
  <c r="HA16" i="2" s="1"/>
  <c r="MN15" i="2"/>
  <c r="HN15" i="2" a="1"/>
  <c r="HN15" i="2" s="1"/>
  <c r="MB15" i="2"/>
  <c r="HB15" i="2" a="1"/>
  <c r="HB15" i="2" s="1"/>
  <c r="MO14" i="2"/>
  <c r="HO14" i="2" a="1"/>
  <c r="HO14" i="2" s="1"/>
  <c r="MC14" i="2"/>
  <c r="HC14" i="2" a="1"/>
  <c r="HC14" i="2" s="1"/>
  <c r="MP13" i="2"/>
  <c r="HP13" i="2" a="1"/>
  <c r="HP13" i="2" s="1"/>
  <c r="MD13" i="2"/>
  <c r="HD13" i="2" a="1"/>
  <c r="HD13" i="2" s="1"/>
  <c r="MQ12" i="2"/>
  <c r="HQ12" i="2" a="1"/>
  <c r="HQ12" i="2" s="1"/>
  <c r="ME12" i="2"/>
  <c r="HE12" i="2" a="1"/>
  <c r="HE12" i="2" s="1"/>
  <c r="MR11" i="2"/>
  <c r="HR11" i="2" a="1"/>
  <c r="HR11" i="2" s="1"/>
  <c r="MF11" i="2"/>
  <c r="HF11" i="2" a="1"/>
  <c r="HF11" i="2" s="1"/>
  <c r="MS10" i="2"/>
  <c r="HS10" i="2" a="1"/>
  <c r="HS10" i="2" s="1"/>
  <c r="MG10" i="2"/>
  <c r="HG10" i="2" a="1"/>
  <c r="HG10" i="2" s="1"/>
  <c r="MT9" i="2"/>
  <c r="HT9" i="2" a="1"/>
  <c r="HT9" i="2" s="1"/>
  <c r="MH9" i="2"/>
  <c r="HH9" i="2" a="1"/>
  <c r="HH9" i="2" s="1"/>
  <c r="GV9" i="2" a="1"/>
  <c r="GV9" i="2" s="1"/>
  <c r="MI8" i="2"/>
  <c r="HI8" i="2" a="1"/>
  <c r="HI8" i="2" s="1"/>
  <c r="LW8" i="2"/>
  <c r="GW8" i="2" a="1"/>
  <c r="GW8" i="2" s="1"/>
  <c r="MJ7" i="2"/>
  <c r="HJ7" i="2" a="1"/>
  <c r="HJ7" i="2" s="1"/>
  <c r="GX7" i="2" a="1"/>
  <c r="GX7" i="2" s="1"/>
  <c r="MO61" i="2"/>
  <c r="HO61" i="2" a="1"/>
  <c r="HO61" i="2" s="1"/>
  <c r="MC61" i="2"/>
  <c r="HC61" i="2" a="1"/>
  <c r="HC61" i="2" s="1"/>
  <c r="MP60" i="2"/>
  <c r="HP60" i="2" a="1"/>
  <c r="HP60" i="2" s="1"/>
  <c r="MD60" i="2"/>
  <c r="HD60" i="2" a="1"/>
  <c r="HD60" i="2" s="1"/>
  <c r="MQ59" i="2"/>
  <c r="HQ59" i="2" a="1"/>
  <c r="HQ59" i="2" s="1"/>
  <c r="ME59" i="2"/>
  <c r="HE59" i="2" a="1"/>
  <c r="HE59" i="2" s="1"/>
  <c r="MR58" i="2"/>
  <c r="HR58" i="2" a="1"/>
  <c r="HR58" i="2" s="1"/>
  <c r="MF58" i="2"/>
  <c r="HF58" i="2" a="1"/>
  <c r="HF58" i="2" s="1"/>
  <c r="MS57" i="2"/>
  <c r="HS57" i="2" a="1"/>
  <c r="HS57" i="2" s="1"/>
  <c r="MG57" i="2"/>
  <c r="HG57" i="2" a="1"/>
  <c r="HG57" i="2" s="1"/>
  <c r="MT56" i="2"/>
  <c r="HT56" i="2" a="1"/>
  <c r="HT56" i="2" s="1"/>
  <c r="MH56" i="2"/>
  <c r="HH56" i="2" a="1"/>
  <c r="HH56" i="2" s="1"/>
  <c r="GV56" i="2" a="1"/>
  <c r="GV56" i="2" s="1"/>
  <c r="MI55" i="2"/>
  <c r="HI55" i="2" a="1"/>
  <c r="HI55" i="2" s="1"/>
  <c r="LW55" i="2"/>
  <c r="GW55" i="2" a="1"/>
  <c r="GW55" i="2" s="1"/>
  <c r="MJ54" i="2"/>
  <c r="HJ54" i="2" a="1"/>
  <c r="HJ54" i="2" s="1"/>
  <c r="LX54" i="2"/>
  <c r="GX54" i="2" a="1"/>
  <c r="GX54" i="2" s="1"/>
  <c r="MK53" i="2"/>
  <c r="HK53" i="2" a="1"/>
  <c r="HK53" i="2" s="1"/>
  <c r="LY53" i="2"/>
  <c r="GY53" i="2" a="1"/>
  <c r="GY53" i="2" s="1"/>
  <c r="ML52" i="2"/>
  <c r="HL52" i="2" a="1"/>
  <c r="HL52" i="2" s="1"/>
  <c r="LZ52" i="2"/>
  <c r="GZ52" i="2" a="1"/>
  <c r="GZ52" i="2" s="1"/>
  <c r="MM51" i="2"/>
  <c r="HM51" i="2" a="1"/>
  <c r="HM51" i="2" s="1"/>
  <c r="MA51" i="2"/>
  <c r="HA51" i="2" a="1"/>
  <c r="HA51" i="2" s="1"/>
  <c r="MN50" i="2"/>
  <c r="HN50" i="2" a="1"/>
  <c r="HN50" i="2" s="1"/>
  <c r="MB50" i="2"/>
  <c r="HB50" i="2" a="1"/>
  <c r="HB50" i="2" s="1"/>
  <c r="MO49" i="2"/>
  <c r="HO49" i="2" a="1"/>
  <c r="HO49" i="2" s="1"/>
  <c r="MC49" i="2"/>
  <c r="HC49" i="2" a="1"/>
  <c r="HC49" i="2" s="1"/>
  <c r="MP48" i="2"/>
  <c r="HP48" i="2" a="1"/>
  <c r="HP48" i="2" s="1"/>
  <c r="MD48" i="2"/>
  <c r="HD48" i="2" a="1"/>
  <c r="HD48" i="2" s="1"/>
  <c r="MQ47" i="2"/>
  <c r="HQ47" i="2" a="1"/>
  <c r="HQ47" i="2" s="1"/>
  <c r="ME47" i="2"/>
  <c r="HE47" i="2" a="1"/>
  <c r="HE47" i="2" s="1"/>
  <c r="MR46" i="2"/>
  <c r="HR46" i="2" a="1"/>
  <c r="HR46" i="2" s="1"/>
  <c r="MF46" i="2"/>
  <c r="HF46" i="2" a="1"/>
  <c r="HF46" i="2" s="1"/>
  <c r="MS45" i="2"/>
  <c r="HS45" i="2" a="1"/>
  <c r="HS45" i="2" s="1"/>
  <c r="MG45" i="2"/>
  <c r="HG45" i="2" a="1"/>
  <c r="HG45" i="2" s="1"/>
  <c r="MT44" i="2"/>
  <c r="HT44" i="2" a="1"/>
  <c r="HT44" i="2" s="1"/>
  <c r="MH44" i="2"/>
  <c r="HH44" i="2" a="1"/>
  <c r="HH44" i="2" s="1"/>
  <c r="GV44" i="2" a="1"/>
  <c r="GV44" i="2" s="1"/>
  <c r="MI43" i="2"/>
  <c r="HI43" i="2" a="1"/>
  <c r="HI43" i="2" s="1"/>
  <c r="LW43" i="2"/>
  <c r="GW43" i="2" a="1"/>
  <c r="GW43" i="2" s="1"/>
  <c r="MJ42" i="2"/>
  <c r="HJ42" i="2" a="1"/>
  <c r="HJ42" i="2" s="1"/>
  <c r="LX42" i="2"/>
  <c r="GX42" i="2" a="1"/>
  <c r="GX42" i="2" s="1"/>
  <c r="MK41" i="2"/>
  <c r="HK41" i="2" a="1"/>
  <c r="HK41" i="2" s="1"/>
  <c r="LY41" i="2"/>
  <c r="GY41" i="2" a="1"/>
  <c r="GY41" i="2" s="1"/>
  <c r="ML40" i="2"/>
  <c r="HL40" i="2" a="1"/>
  <c r="HL40" i="2" s="1"/>
  <c r="LZ40" i="2"/>
  <c r="GZ40" i="2" a="1"/>
  <c r="GZ40" i="2" s="1"/>
  <c r="MM39" i="2"/>
  <c r="HM39" i="2" a="1"/>
  <c r="HM39" i="2" s="1"/>
  <c r="MA39" i="2"/>
  <c r="HA39" i="2" a="1"/>
  <c r="HA39" i="2" s="1"/>
  <c r="MN38" i="2"/>
  <c r="MB38" i="2"/>
  <c r="HB38" i="2" a="1"/>
  <c r="HB38" i="2" s="1"/>
  <c r="HO37" i="2" a="1"/>
  <c r="HO37" i="2" s="1"/>
  <c r="MO37" i="2"/>
  <c r="MC37" i="2"/>
  <c r="MP36" i="2"/>
  <c r="HP36" i="2" a="1"/>
  <c r="HP36" i="2" s="1"/>
  <c r="MD36" i="2"/>
  <c r="HD36" i="2" a="1"/>
  <c r="HD36" i="2" s="1"/>
  <c r="MQ35" i="2"/>
  <c r="HQ35" i="2" a="1"/>
  <c r="HQ35" i="2" s="1"/>
  <c r="ME35" i="2"/>
  <c r="HE35" i="2" a="1"/>
  <c r="HE35" i="2" s="1"/>
  <c r="MR34" i="2"/>
  <c r="HR34" i="2" a="1"/>
  <c r="HR34" i="2" s="1"/>
  <c r="MF34" i="2"/>
  <c r="HF34" i="2" a="1"/>
  <c r="HF34" i="2" s="1"/>
  <c r="MS33" i="2"/>
  <c r="HS33" i="2" a="1"/>
  <c r="HS33" i="2" s="1"/>
  <c r="MG33" i="2"/>
  <c r="HG33" i="2" a="1"/>
  <c r="HG33" i="2" s="1"/>
  <c r="MT32" i="2"/>
  <c r="HT32" i="2" a="1"/>
  <c r="HT32" i="2" s="1"/>
  <c r="MH32" i="2"/>
  <c r="HH32" i="2" a="1"/>
  <c r="HH32" i="2" s="1"/>
  <c r="GV32" i="2" a="1"/>
  <c r="GV32" i="2" s="1"/>
  <c r="MI31" i="2"/>
  <c r="HI31" i="2" a="1"/>
  <c r="HI31" i="2" s="1"/>
  <c r="LW31" i="2"/>
  <c r="GW31" i="2" a="1"/>
  <c r="GW31" i="2" s="1"/>
  <c r="MJ30" i="2"/>
  <c r="HJ30" i="2" a="1"/>
  <c r="HJ30" i="2" s="1"/>
  <c r="LX30" i="2"/>
  <c r="GX30" i="2" a="1"/>
  <c r="GX30" i="2" s="1"/>
  <c r="MK29" i="2"/>
  <c r="HK29" i="2" a="1"/>
  <c r="HK29" i="2" s="1"/>
  <c r="LY29" i="2"/>
  <c r="GY29" i="2" a="1"/>
  <c r="GY29" i="2" s="1"/>
  <c r="ML28" i="2"/>
  <c r="HL28" i="2" a="1"/>
  <c r="HL28" i="2" s="1"/>
  <c r="LZ28" i="2"/>
  <c r="GZ28" i="2" a="1"/>
  <c r="GZ28" i="2" s="1"/>
  <c r="MM27" i="2"/>
  <c r="HM27" i="2" a="1"/>
  <c r="HM27" i="2" s="1"/>
  <c r="MA27" i="2"/>
  <c r="HA27" i="2" a="1"/>
  <c r="HA27" i="2" s="1"/>
  <c r="MN26" i="2"/>
  <c r="HN26" i="2" a="1"/>
  <c r="HN26" i="2" s="1"/>
  <c r="MB26" i="2"/>
  <c r="HB26" i="2" a="1"/>
  <c r="HB26" i="2" s="1"/>
  <c r="MO25" i="2"/>
  <c r="HO25" i="2" a="1"/>
  <c r="HO25" i="2" s="1"/>
  <c r="MC25" i="2"/>
  <c r="HC25" i="2" a="1"/>
  <c r="HC25" i="2" s="1"/>
  <c r="MP24" i="2"/>
  <c r="HP24" i="2" a="1"/>
  <c r="HP24" i="2" s="1"/>
  <c r="MD24" i="2"/>
  <c r="HD24" i="2" a="1"/>
  <c r="HD24" i="2" s="1"/>
  <c r="MQ23" i="2"/>
  <c r="HQ23" i="2" a="1"/>
  <c r="HQ23" i="2" s="1"/>
  <c r="ME23" i="2"/>
  <c r="HE23" i="2" a="1"/>
  <c r="HE23" i="2" s="1"/>
  <c r="MR22" i="2"/>
  <c r="HR22" i="2" a="1"/>
  <c r="HR22" i="2" s="1"/>
  <c r="MF22" i="2"/>
  <c r="HF22" i="2" a="1"/>
  <c r="HF22" i="2" s="1"/>
  <c r="MS21" i="2"/>
  <c r="HS21" i="2" a="1"/>
  <c r="HS21" i="2" s="1"/>
  <c r="MG21" i="2"/>
  <c r="HG21" i="2" a="1"/>
  <c r="HG21" i="2" s="1"/>
  <c r="MT20" i="2"/>
  <c r="HT20" i="2" a="1"/>
  <c r="HT20" i="2" s="1"/>
  <c r="MH20" i="2"/>
  <c r="HH20" i="2" a="1"/>
  <c r="HH20" i="2" s="1"/>
  <c r="GV20" i="2" a="1"/>
  <c r="GV20" i="2" s="1"/>
  <c r="MI19" i="2"/>
  <c r="HI19" i="2" a="1"/>
  <c r="HI19" i="2" s="1"/>
  <c r="LW19" i="2"/>
  <c r="GW19" i="2" a="1"/>
  <c r="GW19" i="2" s="1"/>
  <c r="MJ18" i="2"/>
  <c r="HJ18" i="2" a="1"/>
  <c r="HJ18" i="2" s="1"/>
  <c r="LX18" i="2"/>
  <c r="GX18" i="2" a="1"/>
  <c r="GX18" i="2" s="1"/>
  <c r="MK17" i="2"/>
  <c r="HK17" i="2" a="1"/>
  <c r="HK17" i="2" s="1"/>
  <c r="LY17" i="2"/>
  <c r="GY17" i="2" a="1"/>
  <c r="GY17" i="2" s="1"/>
  <c r="ML16" i="2"/>
  <c r="HL16" i="2" a="1"/>
  <c r="HL16" i="2" s="1"/>
  <c r="LZ16" i="2"/>
  <c r="GZ16" i="2" a="1"/>
  <c r="GZ16" i="2" s="1"/>
  <c r="MM15" i="2"/>
  <c r="HM15" i="2" a="1"/>
  <c r="HM15" i="2" s="1"/>
  <c r="MA15" i="2"/>
  <c r="HA15" i="2" a="1"/>
  <c r="HA15" i="2" s="1"/>
  <c r="MN14" i="2"/>
  <c r="HN14" i="2" a="1"/>
  <c r="HN14" i="2" s="1"/>
  <c r="MB14" i="2"/>
  <c r="HB14" i="2" a="1"/>
  <c r="HB14" i="2" s="1"/>
  <c r="MO13" i="2"/>
  <c r="HO13" i="2" a="1"/>
  <c r="HO13" i="2" s="1"/>
  <c r="MC13" i="2"/>
  <c r="HC13" i="2" a="1"/>
  <c r="HC13" i="2" s="1"/>
  <c r="MP12" i="2"/>
  <c r="HP12" i="2" a="1"/>
  <c r="HP12" i="2" s="1"/>
  <c r="MD12" i="2"/>
  <c r="HD12" i="2" a="1"/>
  <c r="HD12" i="2" s="1"/>
  <c r="MQ11" i="2"/>
  <c r="HQ11" i="2" a="1"/>
  <c r="HQ11" i="2" s="1"/>
  <c r="ME11" i="2"/>
  <c r="HE11" i="2" a="1"/>
  <c r="HE11" i="2" s="1"/>
  <c r="MR10" i="2"/>
  <c r="HR10" i="2" a="1"/>
  <c r="HR10" i="2" s="1"/>
  <c r="MF10" i="2"/>
  <c r="HF10" i="2" a="1"/>
  <c r="HF10" i="2" s="1"/>
  <c r="MS9" i="2"/>
  <c r="HS9" i="2" a="1"/>
  <c r="HS9" i="2" s="1"/>
  <c r="MG9" i="2"/>
  <c r="HG9" i="2" a="1"/>
  <c r="HG9" i="2" s="1"/>
  <c r="MT8" i="2"/>
  <c r="HT8" i="2" a="1"/>
  <c r="HT8" i="2" s="1"/>
  <c r="MH8" i="2"/>
  <c r="HH8" i="2" a="1"/>
  <c r="HH8" i="2" s="1"/>
  <c r="GV8" i="2" a="1"/>
  <c r="GV8" i="2" s="1"/>
  <c r="MI7" i="2"/>
  <c r="HI7" i="2" a="1"/>
  <c r="HI7" i="2" s="1"/>
  <c r="LW7" i="2"/>
  <c r="GW7" i="2" a="1"/>
  <c r="GW7" i="2" s="1"/>
  <c r="MJ6" i="2"/>
  <c r="HJ6" i="2" a="1"/>
  <c r="HJ6" i="2" s="1"/>
  <c r="LX6" i="2"/>
  <c r="GX6" i="2" a="1"/>
  <c r="GX6" i="2" s="1"/>
  <c r="MK5" i="2"/>
  <c r="HK5" i="2" a="1"/>
  <c r="HK5" i="2" s="1"/>
  <c r="LY5" i="2"/>
  <c r="GY5" i="2" a="1"/>
  <c r="GY5" i="2" s="1"/>
  <c r="ML4" i="2"/>
  <c r="HL4" i="2" a="1"/>
  <c r="HL4" i="2" s="1"/>
  <c r="LZ4" i="2"/>
  <c r="GZ4" i="2" a="1"/>
  <c r="GZ4" i="2" s="1"/>
  <c r="MM103" i="2"/>
  <c r="HM103" i="2" a="1"/>
  <c r="HM103" i="2" s="1"/>
  <c r="MA103" i="2"/>
  <c r="HA103" i="2" a="1"/>
  <c r="HA103" i="2" s="1"/>
  <c r="MN102" i="2"/>
  <c r="HN102" i="2" a="1"/>
  <c r="HN102" i="2" s="1"/>
  <c r="MB102" i="2"/>
  <c r="HB102" i="2" a="1"/>
  <c r="HB102" i="2" s="1"/>
  <c r="MO101" i="2"/>
  <c r="HO101" i="2" a="1"/>
  <c r="HO101" i="2" s="1"/>
  <c r="MC101" i="2"/>
  <c r="HC101" i="2" a="1"/>
  <c r="HC101" i="2" s="1"/>
  <c r="MP100" i="2"/>
  <c r="HP100" i="2" a="1"/>
  <c r="HP100" i="2" s="1"/>
  <c r="MD100" i="2"/>
  <c r="HD100" i="2" a="1"/>
  <c r="HD100" i="2" s="1"/>
  <c r="MQ99" i="2"/>
  <c r="HQ99" i="2" a="1"/>
  <c r="HQ99" i="2" s="1"/>
  <c r="ME99" i="2"/>
  <c r="HE99" i="2" a="1"/>
  <c r="HE99" i="2" s="1"/>
  <c r="MR98" i="2"/>
  <c r="HR98" i="2" a="1"/>
  <c r="HR98" i="2" s="1"/>
  <c r="MF98" i="2"/>
  <c r="HF98" i="2" a="1"/>
  <c r="HF98" i="2" s="1"/>
  <c r="MS97" i="2"/>
  <c r="HS97" i="2" a="1"/>
  <c r="HS97" i="2" s="1"/>
  <c r="MG97" i="2"/>
  <c r="HG97" i="2" a="1"/>
  <c r="HG97" i="2" s="1"/>
  <c r="MT96" i="2"/>
  <c r="HT96" i="2" a="1"/>
  <c r="HT96" i="2" s="1"/>
  <c r="MH96" i="2"/>
  <c r="HH96" i="2" a="1"/>
  <c r="HH96" i="2" s="1"/>
  <c r="GV96" i="2" a="1"/>
  <c r="GV96" i="2" s="1"/>
  <c r="MI95" i="2"/>
  <c r="HI95" i="2" a="1"/>
  <c r="HI95" i="2" s="1"/>
  <c r="LW95" i="2"/>
  <c r="GW95" i="2" a="1"/>
  <c r="GW95" i="2" s="1"/>
  <c r="MJ94" i="2"/>
  <c r="HJ94" i="2" a="1"/>
  <c r="HJ94" i="2" s="1"/>
  <c r="LX94" i="2"/>
  <c r="MK93" i="2"/>
  <c r="HK93" i="2" a="1"/>
  <c r="HK93" i="2" s="1"/>
  <c r="LY93" i="2"/>
  <c r="GY93" i="2" a="1"/>
  <c r="GY93" i="2" s="1"/>
  <c r="ML92" i="2"/>
  <c r="HL92" i="2" a="1"/>
  <c r="HL92" i="2" s="1"/>
  <c r="LZ92" i="2"/>
  <c r="GZ92" i="2" a="1"/>
  <c r="GZ92" i="2" s="1"/>
  <c r="MM91" i="2"/>
  <c r="HM91" i="2" a="1"/>
  <c r="HM91" i="2" s="1"/>
  <c r="MA91" i="2"/>
  <c r="HA91" i="2" a="1"/>
  <c r="HA91" i="2" s="1"/>
  <c r="MN90" i="2"/>
  <c r="HN90" i="2" a="1"/>
  <c r="HN90" i="2" s="1"/>
  <c r="MB90" i="2"/>
  <c r="HB90" i="2" a="1"/>
  <c r="HB90" i="2" s="1"/>
  <c r="MO89" i="2"/>
  <c r="HO89" i="2" a="1"/>
  <c r="HO89" i="2" s="1"/>
  <c r="MC89" i="2"/>
  <c r="HC89" i="2" a="1"/>
  <c r="HC89" i="2" s="1"/>
  <c r="MP88" i="2"/>
  <c r="HP88" i="2" a="1"/>
  <c r="HP88" i="2" s="1"/>
  <c r="MD88" i="2"/>
  <c r="HD88" i="2" a="1"/>
  <c r="HD88" i="2" s="1"/>
  <c r="MQ87" i="2"/>
  <c r="HQ87" i="2" a="1"/>
  <c r="HQ87" i="2" s="1"/>
  <c r="ME87" i="2"/>
  <c r="HE87" i="2" a="1"/>
  <c r="HE87" i="2" s="1"/>
  <c r="MR86" i="2"/>
  <c r="HR86" i="2" a="1"/>
  <c r="HR86" i="2" s="1"/>
  <c r="MF86" i="2"/>
  <c r="HF86" i="2" a="1"/>
  <c r="HF86" i="2" s="1"/>
  <c r="MS85" i="2"/>
  <c r="HS85" i="2" a="1"/>
  <c r="HS85" i="2" s="1"/>
  <c r="MG85" i="2"/>
  <c r="HG85" i="2" a="1"/>
  <c r="HG85" i="2" s="1"/>
  <c r="MT84" i="2"/>
  <c r="HT84" i="2" a="1"/>
  <c r="HT84" i="2" s="1"/>
  <c r="MH84" i="2"/>
  <c r="HH84" i="2" a="1"/>
  <c r="HH84" i="2" s="1"/>
  <c r="GV84" i="2" a="1"/>
  <c r="GV84" i="2" s="1"/>
  <c r="MI83" i="2"/>
  <c r="HI83" i="2" a="1"/>
  <c r="HI83" i="2" s="1"/>
  <c r="LW83" i="2"/>
  <c r="GW83" i="2" a="1"/>
  <c r="GW83" i="2" s="1"/>
  <c r="MJ82" i="2"/>
  <c r="HJ82" i="2" a="1"/>
  <c r="HJ82" i="2" s="1"/>
  <c r="LX82" i="2"/>
  <c r="GX82" i="2" a="1"/>
  <c r="GX82" i="2" s="1"/>
  <c r="MK81" i="2"/>
  <c r="HK81" i="2" a="1"/>
  <c r="HK81" i="2" s="1"/>
  <c r="LY81" i="2"/>
  <c r="GY81" i="2" a="1"/>
  <c r="GY81" i="2" s="1"/>
  <c r="ML80" i="2"/>
  <c r="HL80" i="2" a="1"/>
  <c r="HL80" i="2" s="1"/>
  <c r="LZ80" i="2"/>
  <c r="GZ80" i="2" a="1"/>
  <c r="GZ80" i="2" s="1"/>
  <c r="MM79" i="2"/>
  <c r="HM79" i="2" a="1"/>
  <c r="HM79" i="2" s="1"/>
  <c r="MA79" i="2"/>
  <c r="HA79" i="2" a="1"/>
  <c r="HA79" i="2" s="1"/>
  <c r="MN78" i="2"/>
  <c r="HN78" i="2" a="1"/>
  <c r="HN78" i="2" s="1"/>
  <c r="MB78" i="2"/>
  <c r="HB78" i="2" a="1"/>
  <c r="HB78" i="2" s="1"/>
  <c r="MO77" i="2"/>
  <c r="HO77" i="2" a="1"/>
  <c r="HO77" i="2" s="1"/>
  <c r="MC77" i="2"/>
  <c r="HC77" i="2" a="1"/>
  <c r="HC77" i="2" s="1"/>
  <c r="MP76" i="2"/>
  <c r="HP76" i="2" a="1"/>
  <c r="HP76" i="2" s="1"/>
  <c r="MD76" i="2"/>
  <c r="HD76" i="2" a="1"/>
  <c r="HD76" i="2" s="1"/>
  <c r="MQ75" i="2"/>
  <c r="HQ75" i="2" a="1"/>
  <c r="HQ75" i="2" s="1"/>
  <c r="ME75" i="2"/>
  <c r="HE75" i="2" a="1"/>
  <c r="HE75" i="2" s="1"/>
  <c r="MR74" i="2"/>
  <c r="HR74" i="2" a="1"/>
  <c r="HR74" i="2" s="1"/>
  <c r="MF74" i="2"/>
  <c r="HF74" i="2" a="1"/>
  <c r="HF74" i="2" s="1"/>
  <c r="MS73" i="2"/>
  <c r="HS73" i="2" a="1"/>
  <c r="HS73" i="2" s="1"/>
  <c r="MG73" i="2"/>
  <c r="HG73" i="2" a="1"/>
  <c r="HG73" i="2" s="1"/>
  <c r="MT72" i="2"/>
  <c r="HT72" i="2" a="1"/>
  <c r="HT72" i="2" s="1"/>
  <c r="MH72" i="2"/>
  <c r="HH72" i="2" a="1"/>
  <c r="HH72" i="2" s="1"/>
  <c r="GZ55" i="2" a="1"/>
  <c r="GZ55" i="2" s="1"/>
  <c r="HN53" i="2" a="1"/>
  <c r="HN53" i="2" s="1"/>
  <c r="HC52" i="2" a="1"/>
  <c r="HC52" i="2" s="1"/>
  <c r="HQ50" i="2" a="1"/>
  <c r="HQ50" i="2" s="1"/>
  <c r="HF49" i="2" a="1"/>
  <c r="HF49" i="2" s="1"/>
  <c r="HT47" i="2" a="1"/>
  <c r="HT47" i="2" s="1"/>
  <c r="HI46" i="2" a="1"/>
  <c r="HI46" i="2" s="1"/>
  <c r="GX45" i="2" a="1"/>
  <c r="GX45" i="2" s="1"/>
  <c r="HL43" i="2" a="1"/>
  <c r="HL43" i="2" s="1"/>
  <c r="HA42" i="2" a="1"/>
  <c r="HA42" i="2" s="1"/>
  <c r="HO40" i="2" a="1"/>
  <c r="HO40" i="2" s="1"/>
  <c r="HR36" i="2" a="1"/>
  <c r="HR36" i="2" s="1"/>
  <c r="HI35" i="2" a="1"/>
  <c r="HI35" i="2" s="1"/>
  <c r="GX34" i="2" a="1"/>
  <c r="GX34" i="2" s="1"/>
  <c r="HF26" i="2" a="1"/>
  <c r="HF26" i="2" s="1"/>
  <c r="HK18" i="2" a="1"/>
  <c r="HK18" i="2" s="1"/>
  <c r="ML63" i="2"/>
  <c r="HL63" i="2" a="1"/>
  <c r="HL63" i="2" s="1"/>
  <c r="LZ63" i="2"/>
  <c r="GZ63" i="2" a="1"/>
  <c r="GZ63" i="2" s="1"/>
  <c r="MM62" i="2"/>
  <c r="HM62" i="2" a="1"/>
  <c r="HM62" i="2" s="1"/>
  <c r="MA62" i="2"/>
  <c r="HA62" i="2" a="1"/>
  <c r="HA62" i="2" s="1"/>
  <c r="MN61" i="2"/>
  <c r="HN61" i="2" a="1"/>
  <c r="HN61" i="2" s="1"/>
  <c r="MB61" i="2"/>
  <c r="HB61" i="2" a="1"/>
  <c r="HB61" i="2" s="1"/>
  <c r="MO60" i="2"/>
  <c r="HO60" i="2" a="1"/>
  <c r="HO60" i="2" s="1"/>
  <c r="MC60" i="2"/>
  <c r="HC60" i="2" a="1"/>
  <c r="HC60" i="2" s="1"/>
  <c r="MP59" i="2"/>
  <c r="HP59" i="2" a="1"/>
  <c r="HP59" i="2" s="1"/>
  <c r="MD59" i="2"/>
  <c r="HD59" i="2" a="1"/>
  <c r="HD59" i="2" s="1"/>
  <c r="MQ58" i="2"/>
  <c r="HQ58" i="2" a="1"/>
  <c r="HQ58" i="2" s="1"/>
  <c r="ME58" i="2"/>
  <c r="HE58" i="2" a="1"/>
  <c r="HE58" i="2" s="1"/>
  <c r="MR57" i="2"/>
  <c r="HR57" i="2" a="1"/>
  <c r="HR57" i="2" s="1"/>
  <c r="MF57" i="2"/>
  <c r="HF57" i="2" a="1"/>
  <c r="HF57" i="2" s="1"/>
  <c r="MS56" i="2"/>
  <c r="HS56" i="2" a="1"/>
  <c r="HS56" i="2" s="1"/>
  <c r="MG56" i="2"/>
  <c r="HG56" i="2" a="1"/>
  <c r="HG56" i="2" s="1"/>
  <c r="MT55" i="2"/>
  <c r="HT55" i="2" a="1"/>
  <c r="HT55" i="2" s="1"/>
  <c r="MH55" i="2"/>
  <c r="HH55" i="2" a="1"/>
  <c r="HH55" i="2" s="1"/>
  <c r="GV55" i="2" a="1"/>
  <c r="GV55" i="2" s="1"/>
  <c r="MI54" i="2"/>
  <c r="HI54" i="2" a="1"/>
  <c r="HI54" i="2" s="1"/>
  <c r="LW54" i="2"/>
  <c r="GW54" i="2" a="1"/>
  <c r="GW54" i="2" s="1"/>
  <c r="MJ53" i="2"/>
  <c r="HJ53" i="2" a="1"/>
  <c r="HJ53" i="2" s="1"/>
  <c r="LX53" i="2"/>
  <c r="GX53" i="2" a="1"/>
  <c r="GX53" i="2" s="1"/>
  <c r="MK52" i="2"/>
  <c r="HK52" i="2" a="1"/>
  <c r="HK52" i="2" s="1"/>
  <c r="LY52" i="2"/>
  <c r="GY52" i="2" a="1"/>
  <c r="GY52" i="2" s="1"/>
  <c r="ML51" i="2"/>
  <c r="HL51" i="2" a="1"/>
  <c r="HL51" i="2" s="1"/>
  <c r="LZ51" i="2"/>
  <c r="GZ51" i="2" a="1"/>
  <c r="GZ51" i="2" s="1"/>
  <c r="MM50" i="2"/>
  <c r="HM50" i="2" a="1"/>
  <c r="HM50" i="2" s="1"/>
  <c r="MA50" i="2"/>
  <c r="HA50" i="2" a="1"/>
  <c r="HA50" i="2" s="1"/>
  <c r="MN49" i="2"/>
  <c r="HN49" i="2" a="1"/>
  <c r="HN49" i="2" s="1"/>
  <c r="MB49" i="2"/>
  <c r="HB49" i="2" a="1"/>
  <c r="HB49" i="2" s="1"/>
  <c r="MO48" i="2"/>
  <c r="HO48" i="2" a="1"/>
  <c r="HO48" i="2" s="1"/>
  <c r="MC48" i="2"/>
  <c r="HC48" i="2" a="1"/>
  <c r="HC48" i="2" s="1"/>
  <c r="MP47" i="2"/>
  <c r="HP47" i="2" a="1"/>
  <c r="HP47" i="2" s="1"/>
  <c r="MD47" i="2"/>
  <c r="HD47" i="2" a="1"/>
  <c r="HD47" i="2" s="1"/>
  <c r="MQ46" i="2"/>
  <c r="HQ46" i="2" a="1"/>
  <c r="HQ46" i="2" s="1"/>
  <c r="ME46" i="2"/>
  <c r="HE46" i="2" a="1"/>
  <c r="HE46" i="2" s="1"/>
  <c r="MR45" i="2"/>
  <c r="HR45" i="2" a="1"/>
  <c r="HR45" i="2" s="1"/>
  <c r="MF45" i="2"/>
  <c r="HF45" i="2" a="1"/>
  <c r="HF45" i="2" s="1"/>
  <c r="MS44" i="2"/>
  <c r="HS44" i="2" a="1"/>
  <c r="HS44" i="2" s="1"/>
  <c r="MG44" i="2"/>
  <c r="HG44" i="2" a="1"/>
  <c r="HG44" i="2" s="1"/>
  <c r="MT43" i="2"/>
  <c r="HT43" i="2" a="1"/>
  <c r="HT43" i="2" s="1"/>
  <c r="MH43" i="2"/>
  <c r="HH43" i="2" a="1"/>
  <c r="HH43" i="2" s="1"/>
  <c r="GV43" i="2" a="1"/>
  <c r="GV43" i="2" s="1"/>
  <c r="MI42" i="2"/>
  <c r="HI42" i="2" a="1"/>
  <c r="HI42" i="2" s="1"/>
  <c r="LW42" i="2"/>
  <c r="GW42" i="2" a="1"/>
  <c r="GW42" i="2" s="1"/>
  <c r="MJ41" i="2"/>
  <c r="HJ41" i="2" a="1"/>
  <c r="HJ41" i="2" s="1"/>
  <c r="LX41" i="2"/>
  <c r="GX41" i="2" a="1"/>
  <c r="GX41" i="2" s="1"/>
  <c r="MK40" i="2"/>
  <c r="HK40" i="2" a="1"/>
  <c r="HK40" i="2" s="1"/>
  <c r="LY40" i="2"/>
  <c r="GY40" i="2" a="1"/>
  <c r="GY40" i="2" s="1"/>
  <c r="HL39" i="2" a="1"/>
  <c r="HL39" i="2" s="1"/>
  <c r="ML39" i="2"/>
  <c r="LZ39" i="2"/>
  <c r="MM38" i="2"/>
  <c r="HM38" i="2" a="1"/>
  <c r="HM38" i="2" s="1"/>
  <c r="MA38" i="2"/>
  <c r="HA38" i="2" a="1"/>
  <c r="HA38" i="2" s="1"/>
  <c r="MN37" i="2"/>
  <c r="MB37" i="2"/>
  <c r="HB37" i="2" a="1"/>
  <c r="HB37" i="2" s="1"/>
  <c r="MO36" i="2"/>
  <c r="HO36" i="2" a="1"/>
  <c r="HO36" i="2" s="1"/>
  <c r="MC36" i="2"/>
  <c r="HC36" i="2" a="1"/>
  <c r="HC36" i="2" s="1"/>
  <c r="MP35" i="2"/>
  <c r="HP35" i="2" a="1"/>
  <c r="HP35" i="2" s="1"/>
  <c r="MD35" i="2"/>
  <c r="HD35" i="2" a="1"/>
  <c r="HD35" i="2" s="1"/>
  <c r="MQ34" i="2"/>
  <c r="HQ34" i="2" a="1"/>
  <c r="HQ34" i="2" s="1"/>
  <c r="ME34" i="2"/>
  <c r="HE34" i="2" a="1"/>
  <c r="HE34" i="2" s="1"/>
  <c r="MR33" i="2"/>
  <c r="HR33" i="2" a="1"/>
  <c r="HR33" i="2" s="1"/>
  <c r="MF33" i="2"/>
  <c r="HF33" i="2" a="1"/>
  <c r="HF33" i="2" s="1"/>
  <c r="MS32" i="2"/>
  <c r="HS32" i="2" a="1"/>
  <c r="HS32" i="2" s="1"/>
  <c r="MG32" i="2"/>
  <c r="HG32" i="2" a="1"/>
  <c r="HG32" i="2" s="1"/>
  <c r="MT31" i="2"/>
  <c r="HT31" i="2" a="1"/>
  <c r="HT31" i="2" s="1"/>
  <c r="MH31" i="2"/>
  <c r="HH31" i="2" a="1"/>
  <c r="HH31" i="2" s="1"/>
  <c r="GV31" i="2" a="1"/>
  <c r="GV31" i="2" s="1"/>
  <c r="MI30" i="2"/>
  <c r="HI30" i="2" a="1"/>
  <c r="HI30" i="2" s="1"/>
  <c r="LW30" i="2"/>
  <c r="GW30" i="2" a="1"/>
  <c r="GW30" i="2" s="1"/>
  <c r="MJ29" i="2"/>
  <c r="HJ29" i="2" a="1"/>
  <c r="HJ29" i="2" s="1"/>
  <c r="LX29" i="2"/>
  <c r="GX29" i="2" a="1"/>
  <c r="GX29" i="2" s="1"/>
  <c r="MK28" i="2"/>
  <c r="HK28" i="2" a="1"/>
  <c r="HK28" i="2" s="1"/>
  <c r="LY28" i="2"/>
  <c r="GY28" i="2" a="1"/>
  <c r="GY28" i="2" s="1"/>
  <c r="ML27" i="2"/>
  <c r="HL27" i="2" a="1"/>
  <c r="HL27" i="2" s="1"/>
  <c r="LZ27" i="2"/>
  <c r="GZ27" i="2" a="1"/>
  <c r="GZ27" i="2" s="1"/>
  <c r="MM26" i="2"/>
  <c r="HM26" i="2" a="1"/>
  <c r="HM26" i="2" s="1"/>
  <c r="MA26" i="2"/>
  <c r="HA26" i="2" a="1"/>
  <c r="HA26" i="2" s="1"/>
  <c r="MN25" i="2"/>
  <c r="HN25" i="2" a="1"/>
  <c r="HN25" i="2" s="1"/>
  <c r="MB25" i="2"/>
  <c r="HB25" i="2" a="1"/>
  <c r="HB25" i="2" s="1"/>
  <c r="MO24" i="2"/>
  <c r="HO24" i="2" a="1"/>
  <c r="HO24" i="2" s="1"/>
  <c r="MC24" i="2"/>
  <c r="HC24" i="2" a="1"/>
  <c r="HC24" i="2" s="1"/>
  <c r="MP23" i="2"/>
  <c r="HP23" i="2" a="1"/>
  <c r="HP23" i="2" s="1"/>
  <c r="MD23" i="2"/>
  <c r="HD23" i="2" a="1"/>
  <c r="HD23" i="2" s="1"/>
  <c r="MQ22" i="2"/>
  <c r="HQ22" i="2" a="1"/>
  <c r="HQ22" i="2" s="1"/>
  <c r="ME22" i="2"/>
  <c r="HE22" i="2" a="1"/>
  <c r="HE22" i="2" s="1"/>
  <c r="MR21" i="2"/>
  <c r="HR21" i="2" a="1"/>
  <c r="HR21" i="2" s="1"/>
  <c r="MF21" i="2"/>
  <c r="HF21" i="2" a="1"/>
  <c r="HF21" i="2" s="1"/>
  <c r="MS20" i="2"/>
  <c r="HS20" i="2" a="1"/>
  <c r="HS20" i="2" s="1"/>
  <c r="MG20" i="2"/>
  <c r="HG20" i="2" a="1"/>
  <c r="HG20" i="2" s="1"/>
  <c r="MT19" i="2"/>
  <c r="HT19" i="2" a="1"/>
  <c r="HT19" i="2" s="1"/>
  <c r="MH19" i="2"/>
  <c r="HH19" i="2" a="1"/>
  <c r="HH19" i="2" s="1"/>
  <c r="GV19" i="2" a="1"/>
  <c r="GV19" i="2" s="1"/>
  <c r="MI18" i="2"/>
  <c r="HI18" i="2" a="1"/>
  <c r="HI18" i="2" s="1"/>
  <c r="LW18" i="2"/>
  <c r="GW18" i="2" a="1"/>
  <c r="GW18" i="2" s="1"/>
  <c r="MJ17" i="2"/>
  <c r="HJ17" i="2" a="1"/>
  <c r="HJ17" i="2" s="1"/>
  <c r="LX17" i="2"/>
  <c r="GX17" i="2" a="1"/>
  <c r="GX17" i="2" s="1"/>
  <c r="MK16" i="2"/>
  <c r="HK16" i="2" a="1"/>
  <c r="HK16" i="2" s="1"/>
  <c r="LY16" i="2"/>
  <c r="GY16" i="2" a="1"/>
  <c r="GY16" i="2" s="1"/>
  <c r="ML15" i="2"/>
  <c r="HL15" i="2" a="1"/>
  <c r="HL15" i="2" s="1"/>
  <c r="LZ15" i="2"/>
  <c r="GZ15" i="2" a="1"/>
  <c r="GZ15" i="2" s="1"/>
  <c r="HM14" i="2" a="1"/>
  <c r="HM14" i="2" s="1"/>
  <c r="MM14" i="2"/>
  <c r="MA14" i="2"/>
  <c r="HA14" i="2" a="1"/>
  <c r="HA14" i="2" s="1"/>
  <c r="MN13" i="2"/>
  <c r="HN13" i="2" a="1"/>
  <c r="HN13" i="2" s="1"/>
  <c r="MB13" i="2"/>
  <c r="HB13" i="2" a="1"/>
  <c r="HB13" i="2" s="1"/>
  <c r="MO12" i="2"/>
  <c r="HO12" i="2" a="1"/>
  <c r="HO12" i="2" s="1"/>
  <c r="MC12" i="2"/>
  <c r="HC12" i="2" a="1"/>
  <c r="HC12" i="2" s="1"/>
  <c r="MP11" i="2"/>
  <c r="HP11" i="2" a="1"/>
  <c r="HP11" i="2" s="1"/>
  <c r="MD11" i="2"/>
  <c r="HD11" i="2" a="1"/>
  <c r="HD11" i="2" s="1"/>
  <c r="MQ10" i="2"/>
  <c r="HQ10" i="2" a="1"/>
  <c r="HQ10" i="2" s="1"/>
  <c r="ME10" i="2"/>
  <c r="HE10" i="2" a="1"/>
  <c r="HE10" i="2" s="1"/>
  <c r="MR9" i="2"/>
  <c r="HR9" i="2" a="1"/>
  <c r="HR9" i="2" s="1"/>
  <c r="MF9" i="2"/>
  <c r="HF9" i="2" a="1"/>
  <c r="HF9" i="2" s="1"/>
  <c r="MS8" i="2"/>
  <c r="HS8" i="2" a="1"/>
  <c r="HS8" i="2" s="1"/>
  <c r="MG8" i="2"/>
  <c r="HG8" i="2" a="1"/>
  <c r="HG8" i="2" s="1"/>
  <c r="MT7" i="2"/>
  <c r="HT7" i="2" a="1"/>
  <c r="HT7" i="2" s="1"/>
  <c r="MH7" i="2"/>
  <c r="HH7" i="2" a="1"/>
  <c r="HH7" i="2" s="1"/>
  <c r="GV7" i="2" a="1"/>
  <c r="GV7" i="2" s="1"/>
  <c r="MI6" i="2"/>
  <c r="HI6" i="2" a="1"/>
  <c r="HI6" i="2" s="1"/>
  <c r="LW6" i="2"/>
  <c r="GW6" i="2" a="1"/>
  <c r="GW6" i="2" s="1"/>
  <c r="MJ5" i="2"/>
  <c r="HJ5" i="2" a="1"/>
  <c r="HJ5" i="2" s="1"/>
  <c r="LX5" i="2"/>
  <c r="GX5" i="2" a="1"/>
  <c r="GX5" i="2" s="1"/>
  <c r="MK4" i="2"/>
  <c r="LY4" i="2"/>
  <c r="ML103" i="2"/>
  <c r="HL103" i="2" a="1"/>
  <c r="HL103" i="2" s="1"/>
  <c r="LZ103" i="2"/>
  <c r="GZ103" i="2" a="1"/>
  <c r="GZ103" i="2" s="1"/>
  <c r="MM102" i="2"/>
  <c r="HM102" i="2" a="1"/>
  <c r="HM102" i="2" s="1"/>
  <c r="MA102" i="2"/>
  <c r="HA102" i="2" a="1"/>
  <c r="HA102" i="2" s="1"/>
  <c r="MN101" i="2"/>
  <c r="HN101" i="2" a="1"/>
  <c r="HN101" i="2" s="1"/>
  <c r="MB101" i="2"/>
  <c r="HB101" i="2" a="1"/>
  <c r="HB101" i="2" s="1"/>
  <c r="MO100" i="2"/>
  <c r="HO100" i="2" a="1"/>
  <c r="HO100" i="2" s="1"/>
  <c r="MC100" i="2"/>
  <c r="HC100" i="2" a="1"/>
  <c r="HC100" i="2" s="1"/>
  <c r="MP99" i="2"/>
  <c r="HP99" i="2" a="1"/>
  <c r="HP99" i="2" s="1"/>
  <c r="MD99" i="2"/>
  <c r="HD99" i="2" a="1"/>
  <c r="HD99" i="2" s="1"/>
  <c r="MQ98" i="2"/>
  <c r="HQ98" i="2" a="1"/>
  <c r="HQ98" i="2" s="1"/>
  <c r="ME98" i="2"/>
  <c r="HE98" i="2" a="1"/>
  <c r="HE98" i="2" s="1"/>
  <c r="MR97" i="2"/>
  <c r="HR97" i="2" a="1"/>
  <c r="HR97" i="2" s="1"/>
  <c r="MF97" i="2"/>
  <c r="HF97" i="2" a="1"/>
  <c r="HF97" i="2" s="1"/>
  <c r="MS96" i="2"/>
  <c r="HS96" i="2" a="1"/>
  <c r="HS96" i="2" s="1"/>
  <c r="MG96" i="2"/>
  <c r="HG96" i="2" a="1"/>
  <c r="HG96" i="2" s="1"/>
  <c r="MT95" i="2"/>
  <c r="HT95" i="2" a="1"/>
  <c r="HT95" i="2" s="1"/>
  <c r="MH95" i="2"/>
  <c r="HH95" i="2" a="1"/>
  <c r="HH95" i="2" s="1"/>
  <c r="GV95" i="2" a="1"/>
  <c r="GV95" i="2" s="1"/>
  <c r="MI94" i="2"/>
  <c r="HI94" i="2" a="1"/>
  <c r="HI94" i="2" s="1"/>
  <c r="LW94" i="2"/>
  <c r="GW94" i="2" a="1"/>
  <c r="GW94" i="2" s="1"/>
  <c r="MJ93" i="2"/>
  <c r="HJ93" i="2" a="1"/>
  <c r="HJ93" i="2" s="1"/>
  <c r="LX93" i="2"/>
  <c r="GX93" i="2" a="1"/>
  <c r="GX93" i="2" s="1"/>
  <c r="MK92" i="2"/>
  <c r="HK92" i="2" a="1"/>
  <c r="HK92" i="2" s="1"/>
  <c r="LY92" i="2"/>
  <c r="GY92" i="2" a="1"/>
  <c r="GY92" i="2" s="1"/>
  <c r="ML91" i="2"/>
  <c r="HL91" i="2" a="1"/>
  <c r="HL91" i="2" s="1"/>
  <c r="LZ91" i="2"/>
  <c r="GZ91" i="2" a="1"/>
  <c r="GZ91" i="2" s="1"/>
  <c r="MM90" i="2"/>
  <c r="HM90" i="2" a="1"/>
  <c r="HM90" i="2" s="1"/>
  <c r="MA90" i="2"/>
  <c r="HA90" i="2" a="1"/>
  <c r="HA90" i="2" s="1"/>
  <c r="MN89" i="2"/>
  <c r="HN89" i="2" a="1"/>
  <c r="HN89" i="2" s="1"/>
  <c r="MB89" i="2"/>
  <c r="HB89" i="2" a="1"/>
  <c r="HB89" i="2" s="1"/>
  <c r="MO88" i="2"/>
  <c r="HO88" i="2" a="1"/>
  <c r="HO88" i="2" s="1"/>
  <c r="MC88" i="2"/>
  <c r="HC88" i="2" a="1"/>
  <c r="HC88" i="2" s="1"/>
  <c r="MP87" i="2"/>
  <c r="HP87" i="2" a="1"/>
  <c r="HP87" i="2" s="1"/>
  <c r="MD87" i="2"/>
  <c r="HD87" i="2" a="1"/>
  <c r="HD87" i="2" s="1"/>
  <c r="MQ86" i="2"/>
  <c r="HQ86" i="2" a="1"/>
  <c r="HQ86" i="2" s="1"/>
  <c r="ME86" i="2"/>
  <c r="HE86" i="2" a="1"/>
  <c r="HE86" i="2" s="1"/>
  <c r="MR85" i="2"/>
  <c r="HR85" i="2" a="1"/>
  <c r="HR85" i="2" s="1"/>
  <c r="MF85" i="2"/>
  <c r="HF85" i="2" a="1"/>
  <c r="HF85" i="2" s="1"/>
  <c r="MS84" i="2"/>
  <c r="HS84" i="2" a="1"/>
  <c r="HS84" i="2" s="1"/>
  <c r="MG84" i="2"/>
  <c r="HG84" i="2" a="1"/>
  <c r="HG84" i="2" s="1"/>
  <c r="MT83" i="2"/>
  <c r="HT83" i="2" a="1"/>
  <c r="HT83" i="2" s="1"/>
  <c r="MH83" i="2"/>
  <c r="HH83" i="2" a="1"/>
  <c r="HH83" i="2" s="1"/>
  <c r="GV83" i="2" a="1"/>
  <c r="GV83" i="2" s="1"/>
  <c r="MI82" i="2"/>
  <c r="LW82" i="2"/>
  <c r="GW82" i="2" a="1"/>
  <c r="GW82" i="2" s="1"/>
  <c r="MJ81" i="2"/>
  <c r="HJ81" i="2" a="1"/>
  <c r="HJ81" i="2" s="1"/>
  <c r="LX81" i="2"/>
  <c r="GX81" i="2" a="1"/>
  <c r="GX81" i="2" s="1"/>
  <c r="MK80" i="2"/>
  <c r="HK80" i="2" a="1"/>
  <c r="HK80" i="2" s="1"/>
  <c r="LY80" i="2"/>
  <c r="GY80" i="2" a="1"/>
  <c r="GY80" i="2" s="1"/>
  <c r="ML79" i="2"/>
  <c r="HL79" i="2" a="1"/>
  <c r="HL79" i="2" s="1"/>
  <c r="LZ79" i="2"/>
  <c r="GZ79" i="2" a="1"/>
  <c r="GZ79" i="2" s="1"/>
  <c r="MM78" i="2"/>
  <c r="HM78" i="2" a="1"/>
  <c r="HM78" i="2" s="1"/>
  <c r="MA78" i="2"/>
  <c r="HA78" i="2" a="1"/>
  <c r="HA78" i="2" s="1"/>
  <c r="MN77" i="2"/>
  <c r="HN77" i="2" a="1"/>
  <c r="HN77" i="2" s="1"/>
  <c r="MB77" i="2"/>
  <c r="HB77" i="2" a="1"/>
  <c r="HB77" i="2" s="1"/>
  <c r="MO76" i="2"/>
  <c r="HO76" i="2" a="1"/>
  <c r="HO76" i="2" s="1"/>
  <c r="MC76" i="2"/>
  <c r="HC76" i="2" a="1"/>
  <c r="HC76" i="2" s="1"/>
  <c r="MP75" i="2"/>
  <c r="HP75" i="2" a="1"/>
  <c r="HP75" i="2" s="1"/>
  <c r="MD75" i="2"/>
  <c r="HD75" i="2" a="1"/>
  <c r="HD75" i="2" s="1"/>
  <c r="MQ74" i="2"/>
  <c r="HQ74" i="2" a="1"/>
  <c r="HQ74" i="2" s="1"/>
  <c r="HN37" i="2" a="1"/>
  <c r="HN37" i="2" s="1"/>
  <c r="MK63" i="2"/>
  <c r="LY63" i="2"/>
  <c r="ML62" i="2"/>
  <c r="LZ62" i="2"/>
  <c r="MM61" i="2"/>
  <c r="MA61" i="2"/>
  <c r="MN60" i="2"/>
  <c r="MB60" i="2"/>
  <c r="MO59" i="2"/>
  <c r="MC59" i="2"/>
  <c r="MP58" i="2"/>
  <c r="MD58" i="2"/>
  <c r="MQ57" i="2"/>
  <c r="ME57" i="2"/>
  <c r="MR56" i="2"/>
  <c r="MF56" i="2"/>
  <c r="MS55" i="2"/>
  <c r="MG55" i="2"/>
  <c r="MT54" i="2"/>
  <c r="MH54" i="2"/>
  <c r="MI53" i="2"/>
  <c r="LW53" i="2"/>
  <c r="MJ52" i="2"/>
  <c r="LX52" i="2"/>
  <c r="MK51" i="2"/>
  <c r="LY51" i="2"/>
  <c r="ML50" i="2"/>
  <c r="LZ50" i="2"/>
  <c r="MM49" i="2"/>
  <c r="MA49" i="2"/>
  <c r="MN48" i="2"/>
  <c r="MB48" i="2"/>
  <c r="MO47" i="2"/>
  <c r="MC47" i="2"/>
  <c r="MP46" i="2"/>
  <c r="MD46" i="2"/>
  <c r="MQ45" i="2"/>
  <c r="ME45" i="2"/>
  <c r="MR44" i="2"/>
  <c r="MF44" i="2"/>
  <c r="MS43" i="2"/>
  <c r="MG43" i="2"/>
  <c r="MT42" i="2"/>
  <c r="MH42" i="2"/>
  <c r="MI41" i="2"/>
  <c r="LW41" i="2"/>
  <c r="MJ40" i="2"/>
  <c r="LX40" i="2"/>
  <c r="MK39" i="2"/>
  <c r="HK39" i="2" a="1"/>
  <c r="HK39" i="2" s="1"/>
  <c r="LY39" i="2"/>
  <c r="ML38" i="2"/>
  <c r="HL38" i="2" a="1"/>
  <c r="HL38" i="2" s="1"/>
  <c r="LZ38" i="2"/>
  <c r="GZ38" i="2" a="1"/>
  <c r="GZ38" i="2" s="1"/>
  <c r="MM37" i="2"/>
  <c r="MA37" i="2"/>
  <c r="HA37" i="2" a="1"/>
  <c r="HA37" i="2" s="1"/>
  <c r="MN36" i="2"/>
  <c r="HN36" i="2" a="1"/>
  <c r="HN36" i="2" s="1"/>
  <c r="MB36" i="2"/>
  <c r="HB36" i="2" a="1"/>
  <c r="HB36" i="2" s="1"/>
  <c r="MO35" i="2"/>
  <c r="HO35" i="2" a="1"/>
  <c r="HO35" i="2" s="1"/>
  <c r="MC35" i="2"/>
  <c r="HC35" i="2" a="1"/>
  <c r="HC35" i="2" s="1"/>
  <c r="MP34" i="2"/>
  <c r="HP34" i="2" a="1"/>
  <c r="HP34" i="2" s="1"/>
  <c r="MD34" i="2"/>
  <c r="HD34" i="2" a="1"/>
  <c r="HD34" i="2" s="1"/>
  <c r="MQ33" i="2"/>
  <c r="HQ33" i="2" a="1"/>
  <c r="HQ33" i="2" s="1"/>
  <c r="ME33" i="2"/>
  <c r="HE33" i="2" a="1"/>
  <c r="HE33" i="2" s="1"/>
  <c r="MR32" i="2"/>
  <c r="HR32" i="2" a="1"/>
  <c r="HR32" i="2" s="1"/>
  <c r="MF32" i="2"/>
  <c r="HF32" i="2" a="1"/>
  <c r="HF32" i="2" s="1"/>
  <c r="MS31" i="2"/>
  <c r="MG31" i="2"/>
  <c r="HG31" i="2" a="1"/>
  <c r="HG31" i="2" s="1"/>
  <c r="MT30" i="2"/>
  <c r="HT30" i="2" a="1"/>
  <c r="HT30" i="2" s="1"/>
  <c r="MH30" i="2"/>
  <c r="HH30" i="2" a="1"/>
  <c r="HH30" i="2" s="1"/>
  <c r="GV30" i="2" a="1"/>
  <c r="GV30" i="2" s="1"/>
  <c r="MI29" i="2"/>
  <c r="LW29" i="2"/>
  <c r="GW29" i="2" a="1"/>
  <c r="GW29" i="2" s="1"/>
  <c r="MJ28" i="2"/>
  <c r="HJ28" i="2" a="1"/>
  <c r="HJ28" i="2" s="1"/>
  <c r="LX28" i="2"/>
  <c r="GX28" i="2" a="1"/>
  <c r="GX28" i="2" s="1"/>
  <c r="MK27" i="2"/>
  <c r="HK27" i="2" a="1"/>
  <c r="HK27" i="2" s="1"/>
  <c r="LY27" i="2"/>
  <c r="GY27" i="2" a="1"/>
  <c r="GY27" i="2" s="1"/>
  <c r="ML26" i="2"/>
  <c r="HL26" i="2" a="1"/>
  <c r="HL26" i="2" s="1"/>
  <c r="LZ26" i="2"/>
  <c r="GZ26" i="2" a="1"/>
  <c r="GZ26" i="2" s="1"/>
  <c r="MM25" i="2"/>
  <c r="HM25" i="2" a="1"/>
  <c r="HM25" i="2" s="1"/>
  <c r="MA25" i="2"/>
  <c r="HA25" i="2" a="1"/>
  <c r="HA25" i="2" s="1"/>
  <c r="MN24" i="2"/>
  <c r="HN24" i="2" a="1"/>
  <c r="HN24" i="2" s="1"/>
  <c r="MB24" i="2"/>
  <c r="HB24" i="2" a="1"/>
  <c r="HB24" i="2" s="1"/>
  <c r="MO23" i="2"/>
  <c r="HO23" i="2" a="1"/>
  <c r="HO23" i="2" s="1"/>
  <c r="MC23" i="2"/>
  <c r="HC23" i="2" a="1"/>
  <c r="HC23" i="2" s="1"/>
  <c r="MP22" i="2"/>
  <c r="MD22" i="2"/>
  <c r="HD22" i="2" a="1"/>
  <c r="HD22" i="2" s="1"/>
  <c r="MQ21" i="2"/>
  <c r="HQ21" i="2" a="1"/>
  <c r="HQ21" i="2" s="1"/>
  <c r="ME21" i="2"/>
  <c r="HE21" i="2" a="1"/>
  <c r="HE21" i="2" s="1"/>
  <c r="MR20" i="2"/>
  <c r="HR20" i="2" a="1"/>
  <c r="HR20" i="2" s="1"/>
  <c r="MF20" i="2"/>
  <c r="HF20" i="2" a="1"/>
  <c r="HF20" i="2" s="1"/>
  <c r="MS19" i="2"/>
  <c r="HS19" i="2" a="1"/>
  <c r="HS19" i="2" s="1"/>
  <c r="MG19" i="2"/>
  <c r="HG19" i="2" a="1"/>
  <c r="HG19" i="2" s="1"/>
  <c r="MT18" i="2"/>
  <c r="HT18" i="2" a="1"/>
  <c r="HT18" i="2" s="1"/>
  <c r="MH18" i="2"/>
  <c r="GV18" i="2" a="1"/>
  <c r="GV18" i="2" s="1"/>
  <c r="MI17" i="2"/>
  <c r="HI17" i="2" a="1"/>
  <c r="HI17" i="2" s="1"/>
  <c r="LW17" i="2"/>
  <c r="GW17" i="2" a="1"/>
  <c r="GW17" i="2" s="1"/>
  <c r="MJ16" i="2"/>
  <c r="HJ16" i="2" a="1"/>
  <c r="HJ16" i="2" s="1"/>
  <c r="LX16" i="2"/>
  <c r="GX16" i="2" a="1"/>
  <c r="GX16" i="2" s="1"/>
  <c r="MK15" i="2"/>
  <c r="HK15" i="2" a="1"/>
  <c r="HK15" i="2" s="1"/>
  <c r="LY15" i="2"/>
  <c r="GY15" i="2" a="1"/>
  <c r="GY15" i="2" s="1"/>
  <c r="ML14" i="2"/>
  <c r="HL14" i="2" a="1"/>
  <c r="HL14" i="2" s="1"/>
  <c r="LZ14" i="2"/>
  <c r="GZ14" i="2" a="1"/>
  <c r="GZ14" i="2" s="1"/>
  <c r="MM13" i="2"/>
  <c r="HM13" i="2" a="1"/>
  <c r="HM13" i="2" s="1"/>
  <c r="MA13" i="2"/>
  <c r="HA13" i="2" a="1"/>
  <c r="HA13" i="2" s="1"/>
  <c r="MN12" i="2"/>
  <c r="HN12" i="2" a="1"/>
  <c r="HN12" i="2" s="1"/>
  <c r="MB12" i="2"/>
  <c r="HB12" i="2" a="1"/>
  <c r="HB12" i="2" s="1"/>
  <c r="MO11" i="2"/>
  <c r="HO11" i="2" a="1"/>
  <c r="HO11" i="2" s="1"/>
  <c r="MC11" i="2"/>
  <c r="HC11" i="2" a="1"/>
  <c r="HC11" i="2" s="1"/>
  <c r="MP10" i="2"/>
  <c r="HP10" i="2" a="1"/>
  <c r="HP10" i="2" s="1"/>
  <c r="MD10" i="2"/>
  <c r="HD10" i="2" a="1"/>
  <c r="HD10" i="2" s="1"/>
  <c r="MQ9" i="2"/>
  <c r="HQ9" i="2" a="1"/>
  <c r="HQ9" i="2" s="1"/>
  <c r="ME9" i="2"/>
  <c r="HE9" i="2" a="1"/>
  <c r="HE9" i="2" s="1"/>
  <c r="MR8" i="2"/>
  <c r="HR8" i="2" a="1"/>
  <c r="HR8" i="2" s="1"/>
  <c r="MF8" i="2"/>
  <c r="HF8" i="2" a="1"/>
  <c r="HF8" i="2" s="1"/>
  <c r="MS7" i="2"/>
  <c r="HS7" i="2" a="1"/>
  <c r="HS7" i="2" s="1"/>
  <c r="MG7" i="2"/>
  <c r="HG7" i="2" a="1"/>
  <c r="HG7" i="2" s="1"/>
  <c r="MT6" i="2"/>
  <c r="HT6" i="2" a="1"/>
  <c r="HT6" i="2" s="1"/>
  <c r="MH6" i="2"/>
  <c r="HH6" i="2" a="1"/>
  <c r="HH6" i="2" s="1"/>
  <c r="GV6" i="2" a="1"/>
  <c r="GV6" i="2" s="1"/>
  <c r="MI5" i="2"/>
  <c r="HI5" i="2" a="1"/>
  <c r="HI5" i="2" s="1"/>
  <c r="LW5" i="2"/>
  <c r="GW5" i="2" a="1"/>
  <c r="GW5" i="2" s="1"/>
  <c r="MJ4" i="2"/>
  <c r="HJ4" i="2" a="1"/>
  <c r="HJ4" i="2" s="1"/>
  <c r="LX4" i="2"/>
  <c r="GX4" i="2" a="1"/>
  <c r="GX4" i="2" s="1"/>
  <c r="MK103" i="2"/>
  <c r="HK103" i="2" a="1"/>
  <c r="HK103" i="2" s="1"/>
  <c r="LY103" i="2"/>
  <c r="GY103" i="2" a="1"/>
  <c r="GY103" i="2" s="1"/>
  <c r="ML102" i="2"/>
  <c r="HL102" i="2" a="1"/>
  <c r="HL102" i="2" s="1"/>
  <c r="LZ102" i="2"/>
  <c r="GZ102" i="2" a="1"/>
  <c r="GZ102" i="2" s="1"/>
  <c r="MM101" i="2"/>
  <c r="HM101" i="2" a="1"/>
  <c r="HM101" i="2" s="1"/>
  <c r="MA101" i="2"/>
  <c r="HA101" i="2" a="1"/>
  <c r="HA101" i="2" s="1"/>
  <c r="MN100" i="2"/>
  <c r="HN100" i="2" a="1"/>
  <c r="HN100" i="2" s="1"/>
  <c r="MB100" i="2"/>
  <c r="HB100" i="2" a="1"/>
  <c r="HB100" i="2" s="1"/>
  <c r="MO99" i="2"/>
  <c r="HO99" i="2" a="1"/>
  <c r="HO99" i="2" s="1"/>
  <c r="MC99" i="2"/>
  <c r="HC99" i="2" a="1"/>
  <c r="HC99" i="2" s="1"/>
  <c r="MP98" i="2"/>
  <c r="HP98" i="2" a="1"/>
  <c r="HP98" i="2" s="1"/>
  <c r="MD98" i="2"/>
  <c r="HD98" i="2" a="1"/>
  <c r="HD98" i="2" s="1"/>
  <c r="MQ97" i="2"/>
  <c r="HQ97" i="2" a="1"/>
  <c r="HQ97" i="2" s="1"/>
  <c r="ME97" i="2"/>
  <c r="HE97" i="2" a="1"/>
  <c r="HE97" i="2" s="1"/>
  <c r="MR96" i="2"/>
  <c r="HR96" i="2" a="1"/>
  <c r="HR96" i="2" s="1"/>
  <c r="MF96" i="2"/>
  <c r="HF96" i="2" a="1"/>
  <c r="HF96" i="2" s="1"/>
  <c r="MS95" i="2"/>
  <c r="HS95" i="2" a="1"/>
  <c r="HS95" i="2" s="1"/>
  <c r="MG95" i="2"/>
  <c r="HG95" i="2" a="1"/>
  <c r="HG95" i="2" s="1"/>
  <c r="MT94" i="2"/>
  <c r="HT94" i="2" a="1"/>
  <c r="HT94" i="2" s="1"/>
  <c r="MH94" i="2"/>
  <c r="HH94" i="2" a="1"/>
  <c r="HH94" i="2" s="1"/>
  <c r="GV94" i="2" a="1"/>
  <c r="GV94" i="2" s="1"/>
  <c r="MI93" i="2"/>
  <c r="HI93" i="2" a="1"/>
  <c r="HI93" i="2" s="1"/>
  <c r="LW93" i="2"/>
  <c r="GW93" i="2" a="1"/>
  <c r="GW93" i="2" s="1"/>
  <c r="MJ92" i="2"/>
  <c r="HJ92" i="2" a="1"/>
  <c r="HJ92" i="2" s="1"/>
  <c r="LX92" i="2"/>
  <c r="GX92" i="2" a="1"/>
  <c r="GX92" i="2" s="1"/>
  <c r="MK91" i="2"/>
  <c r="HK91" i="2" a="1"/>
  <c r="HK91" i="2" s="1"/>
  <c r="LY91" i="2"/>
  <c r="GY91" i="2" a="1"/>
  <c r="GY91" i="2" s="1"/>
  <c r="ML90" i="2"/>
  <c r="HL90" i="2" a="1"/>
  <c r="HL90" i="2" s="1"/>
  <c r="LZ90" i="2"/>
  <c r="GZ90" i="2" a="1"/>
  <c r="GZ90" i="2" s="1"/>
  <c r="MM89" i="2"/>
  <c r="HM89" i="2" a="1"/>
  <c r="HM89" i="2" s="1"/>
  <c r="MA89" i="2"/>
  <c r="HA89" i="2" a="1"/>
  <c r="HA89" i="2" s="1"/>
  <c r="MN88" i="2"/>
  <c r="HN88" i="2" a="1"/>
  <c r="HN88" i="2" s="1"/>
  <c r="MB88" i="2"/>
  <c r="HB88" i="2" a="1"/>
  <c r="HB88" i="2" s="1"/>
  <c r="MO87" i="2"/>
  <c r="HO87" i="2" a="1"/>
  <c r="HO87" i="2" s="1"/>
  <c r="MC87" i="2"/>
  <c r="HC87" i="2" a="1"/>
  <c r="HC87" i="2" s="1"/>
  <c r="MP86" i="2"/>
  <c r="HP86" i="2" a="1"/>
  <c r="HP86" i="2" s="1"/>
  <c r="MD86" i="2"/>
  <c r="HD86" i="2" a="1"/>
  <c r="HD86" i="2" s="1"/>
  <c r="MQ85" i="2"/>
  <c r="HQ85" i="2" a="1"/>
  <c r="HQ85" i="2" s="1"/>
  <c r="ME85" i="2"/>
  <c r="HE85" i="2" a="1"/>
  <c r="HE85" i="2" s="1"/>
  <c r="MR84" i="2"/>
  <c r="HR84" i="2" a="1"/>
  <c r="HR84" i="2" s="1"/>
  <c r="MF84" i="2"/>
  <c r="HF84" i="2" a="1"/>
  <c r="HF84" i="2" s="1"/>
  <c r="MS83" i="2"/>
  <c r="HS83" i="2" a="1"/>
  <c r="HS83" i="2" s="1"/>
  <c r="MG83" i="2"/>
  <c r="HG83" i="2" a="1"/>
  <c r="HG83" i="2" s="1"/>
  <c r="MT82" i="2"/>
  <c r="HT82" i="2" a="1"/>
  <c r="HT82" i="2" s="1"/>
  <c r="MH82" i="2"/>
  <c r="HH82" i="2" a="1"/>
  <c r="HH82" i="2" s="1"/>
  <c r="GV82" i="2" a="1"/>
  <c r="GV82" i="2" s="1"/>
  <c r="MI81" i="2"/>
  <c r="HI81" i="2" a="1"/>
  <c r="HI81" i="2" s="1"/>
  <c r="LW81" i="2"/>
  <c r="GW81" i="2" a="1"/>
  <c r="GW81" i="2" s="1"/>
  <c r="MJ80" i="2"/>
  <c r="HJ80" i="2" a="1"/>
  <c r="HJ80" i="2" s="1"/>
  <c r="LX80" i="2"/>
  <c r="GX80" i="2" a="1"/>
  <c r="GX80" i="2" s="1"/>
  <c r="MK79" i="2"/>
  <c r="HK79" i="2" a="1"/>
  <c r="HK79" i="2" s="1"/>
  <c r="LY79" i="2"/>
  <c r="GY79" i="2" a="1"/>
  <c r="GY79" i="2" s="1"/>
  <c r="ML78" i="2"/>
  <c r="HL78" i="2" a="1"/>
  <c r="HL78" i="2" s="1"/>
  <c r="LZ78" i="2"/>
  <c r="GZ78" i="2" a="1"/>
  <c r="GZ78" i="2" s="1"/>
  <c r="MM77" i="2"/>
  <c r="HM77" i="2" a="1"/>
  <c r="HM77" i="2" s="1"/>
  <c r="MA77" i="2"/>
  <c r="HA77" i="2" a="1"/>
  <c r="HA77" i="2" s="1"/>
  <c r="MN76" i="2"/>
  <c r="HN76" i="2" a="1"/>
  <c r="HN76" i="2" s="1"/>
  <c r="MB76" i="2"/>
  <c r="HB76" i="2" a="1"/>
  <c r="HB76" i="2" s="1"/>
  <c r="MO75" i="2"/>
  <c r="HO75" i="2" a="1"/>
  <c r="HO75" i="2" s="1"/>
  <c r="MC75" i="2"/>
  <c r="HC75" i="2" a="1"/>
  <c r="HC75" i="2" s="1"/>
  <c r="MP74" i="2"/>
  <c r="HP74" i="2" a="1"/>
  <c r="HP74" i="2" s="1"/>
  <c r="MD74" i="2"/>
  <c r="HD74" i="2" a="1"/>
  <c r="HD74" i="2" s="1"/>
  <c r="MQ73" i="2"/>
  <c r="HQ73" i="2" a="1"/>
  <c r="HQ73" i="2" s="1"/>
  <c r="ME73" i="2"/>
  <c r="HE73" i="2" a="1"/>
  <c r="HE73" i="2" s="1"/>
  <c r="MR72" i="2"/>
  <c r="HR72" i="2" a="1"/>
  <c r="HR72" i="2" s="1"/>
  <c r="MF72" i="2"/>
  <c r="HF72" i="2" a="1"/>
  <c r="HF72" i="2" s="1"/>
  <c r="MS71" i="2"/>
  <c r="HS71" i="2" a="1"/>
  <c r="HS71" i="2" s="1"/>
  <c r="MG71" i="2"/>
  <c r="HG71" i="2" a="1"/>
  <c r="HG71" i="2" s="1"/>
  <c r="HK63" i="2" a="1"/>
  <c r="HK63" i="2" s="1"/>
  <c r="HR62" i="2" a="1"/>
  <c r="HR62" i="2" s="1"/>
  <c r="GZ62" i="2" a="1"/>
  <c r="GZ62" i="2" s="1"/>
  <c r="HG61" i="2" a="1"/>
  <c r="HG61" i="2" s="1"/>
  <c r="HN60" i="2" a="1"/>
  <c r="HN60" i="2" s="1"/>
  <c r="HC59" i="2" a="1"/>
  <c r="HC59" i="2" s="1"/>
  <c r="HJ58" i="2" a="1"/>
  <c r="HJ58" i="2" s="1"/>
  <c r="HQ57" i="2" a="1"/>
  <c r="HQ57" i="2" s="1"/>
  <c r="GY57" i="2" a="1"/>
  <c r="GY57" i="2" s="1"/>
  <c r="HF56" i="2" a="1"/>
  <c r="HF56" i="2" s="1"/>
  <c r="HM55" i="2" a="1"/>
  <c r="HM55" i="2" s="1"/>
  <c r="HT54" i="2" a="1"/>
  <c r="HT54" i="2" s="1"/>
  <c r="HB54" i="2" a="1"/>
  <c r="HB54" i="2" s="1"/>
  <c r="HI53" i="2" a="1"/>
  <c r="HI53" i="2" s="1"/>
  <c r="HP52" i="2" a="1"/>
  <c r="HP52" i="2" s="1"/>
  <c r="GX52" i="2" a="1"/>
  <c r="GX52" i="2" s="1"/>
  <c r="HE51" i="2" a="1"/>
  <c r="HE51" i="2" s="1"/>
  <c r="HL50" i="2" a="1"/>
  <c r="HL50" i="2" s="1"/>
  <c r="HS49" i="2" a="1"/>
  <c r="HS49" i="2" s="1"/>
  <c r="HA49" i="2" a="1"/>
  <c r="HA49" i="2" s="1"/>
  <c r="HH48" i="2" a="1"/>
  <c r="HH48" i="2" s="1"/>
  <c r="HO47" i="2" a="1"/>
  <c r="HO47" i="2" s="1"/>
  <c r="GW47" i="2" a="1"/>
  <c r="GW47" i="2" s="1"/>
  <c r="HD46" i="2" a="1"/>
  <c r="HD46" i="2" s="1"/>
  <c r="HK45" i="2" a="1"/>
  <c r="HK45" i="2" s="1"/>
  <c r="HR44" i="2" a="1"/>
  <c r="HR44" i="2" s="1"/>
  <c r="GZ44" i="2" a="1"/>
  <c r="GZ44" i="2" s="1"/>
  <c r="HG43" i="2" a="1"/>
  <c r="HG43" i="2" s="1"/>
  <c r="HN42" i="2" a="1"/>
  <c r="HN42" i="2" s="1"/>
  <c r="HC41" i="2" a="1"/>
  <c r="HC41" i="2" s="1"/>
  <c r="HJ40" i="2" a="1"/>
  <c r="HJ40" i="2" s="1"/>
  <c r="HQ39" i="2" a="1"/>
  <c r="HQ39" i="2" s="1"/>
  <c r="HP38" i="2" a="1"/>
  <c r="HP38" i="2" s="1"/>
  <c r="HS31" i="2" a="1"/>
  <c r="HS31" i="2" s="1"/>
  <c r="HB94" i="2" a="1"/>
  <c r="HB94" i="2" s="1"/>
  <c r="HM37" i="2" a="1"/>
  <c r="HM37" i="2" s="1"/>
  <c r="HH36" i="2" a="1"/>
  <c r="HH36" i="2" s="1"/>
  <c r="HI29" i="2" a="1"/>
  <c r="HI29" i="2" s="1"/>
  <c r="MA93" i="2"/>
  <c r="HA93" i="2" a="1"/>
  <c r="HA93" i="2" s="1"/>
  <c r="MN92" i="2"/>
  <c r="HN92" i="2" a="1"/>
  <c r="HN92" i="2" s="1"/>
  <c r="MB92" i="2"/>
  <c r="HB92" i="2" a="1"/>
  <c r="HB92" i="2" s="1"/>
  <c r="MO91" i="2"/>
  <c r="HO91" i="2" a="1"/>
  <c r="HO91" i="2" s="1"/>
  <c r="MC91" i="2"/>
  <c r="HC91" i="2" a="1"/>
  <c r="HC91" i="2" s="1"/>
  <c r="MP90" i="2"/>
  <c r="HP90" i="2" a="1"/>
  <c r="HP90" i="2" s="1"/>
  <c r="MD90" i="2"/>
  <c r="HD90" i="2" a="1"/>
  <c r="HD90" i="2" s="1"/>
  <c r="MQ89" i="2"/>
  <c r="HQ89" i="2" a="1"/>
  <c r="HQ89" i="2" s="1"/>
  <c r="ME89" i="2"/>
  <c r="HE89" i="2" a="1"/>
  <c r="HE89" i="2" s="1"/>
  <c r="MR88" i="2"/>
  <c r="HR88" i="2" a="1"/>
  <c r="HR88" i="2" s="1"/>
  <c r="MF88" i="2"/>
  <c r="HF88" i="2" a="1"/>
  <c r="HF88" i="2" s="1"/>
  <c r="MS87" i="2"/>
  <c r="HS87" i="2" a="1"/>
  <c r="HS87" i="2" s="1"/>
  <c r="MG87" i="2"/>
  <c r="HG87" i="2" a="1"/>
  <c r="HG87" i="2" s="1"/>
  <c r="MT86" i="2"/>
  <c r="HT86" i="2" a="1"/>
  <c r="HT86" i="2" s="1"/>
  <c r="MH86" i="2"/>
  <c r="HH86" i="2" a="1"/>
  <c r="HH86" i="2" s="1"/>
  <c r="GV86" i="2" a="1"/>
  <c r="GV86" i="2" s="1"/>
  <c r="MI85" i="2"/>
  <c r="HI85" i="2" a="1"/>
  <c r="HI85" i="2" s="1"/>
  <c r="LW85" i="2"/>
  <c r="GW85" i="2" a="1"/>
  <c r="GW85" i="2" s="1"/>
  <c r="MJ84" i="2"/>
  <c r="HJ84" i="2" a="1"/>
  <c r="HJ84" i="2" s="1"/>
  <c r="LX84" i="2"/>
  <c r="GX84" i="2" a="1"/>
  <c r="GX84" i="2" s="1"/>
  <c r="MK83" i="2"/>
  <c r="HK83" i="2" a="1"/>
  <c r="HK83" i="2" s="1"/>
  <c r="LY83" i="2"/>
  <c r="GY83" i="2" a="1"/>
  <c r="GY83" i="2" s="1"/>
  <c r="ML82" i="2"/>
  <c r="HL82" i="2" a="1"/>
  <c r="HL82" i="2" s="1"/>
  <c r="LZ82" i="2"/>
  <c r="GZ82" i="2" a="1"/>
  <c r="GZ82" i="2" s="1"/>
  <c r="MM81" i="2"/>
  <c r="HM81" i="2" a="1"/>
  <c r="HM81" i="2" s="1"/>
  <c r="MA81" i="2"/>
  <c r="HA81" i="2" a="1"/>
  <c r="HA81" i="2" s="1"/>
  <c r="MN80" i="2"/>
  <c r="HN80" i="2" a="1"/>
  <c r="HN80" i="2" s="1"/>
  <c r="MB80" i="2"/>
  <c r="HB80" i="2" a="1"/>
  <c r="HB80" i="2" s="1"/>
  <c r="MO79" i="2"/>
  <c r="HO79" i="2" a="1"/>
  <c r="HO79" i="2" s="1"/>
  <c r="MC79" i="2"/>
  <c r="HC79" i="2" a="1"/>
  <c r="HC79" i="2" s="1"/>
  <c r="MP78" i="2"/>
  <c r="HP78" i="2" a="1"/>
  <c r="HP78" i="2" s="1"/>
  <c r="MD78" i="2"/>
  <c r="HD78" i="2" a="1"/>
  <c r="HD78" i="2" s="1"/>
  <c r="MQ77" i="2"/>
  <c r="HQ77" i="2" a="1"/>
  <c r="HQ77" i="2" s="1"/>
  <c r="ME77" i="2"/>
  <c r="HE77" i="2" a="1"/>
  <c r="HE77" i="2" s="1"/>
  <c r="MR76" i="2"/>
  <c r="HR76" i="2" a="1"/>
  <c r="HR76" i="2" s="1"/>
  <c r="MF76" i="2"/>
  <c r="HF76" i="2" a="1"/>
  <c r="HF76" i="2" s="1"/>
  <c r="MS75" i="2"/>
  <c r="HS75" i="2" a="1"/>
  <c r="HS75" i="2" s="1"/>
  <c r="MG75" i="2"/>
  <c r="HG75" i="2" a="1"/>
  <c r="HG75" i="2" s="1"/>
  <c r="MT74" i="2"/>
  <c r="HT74" i="2" a="1"/>
  <c r="HT74" i="2" s="1"/>
  <c r="MH74" i="2"/>
  <c r="HH74" i="2" a="1"/>
  <c r="HH74" i="2" s="1"/>
  <c r="GV74" i="2" a="1"/>
  <c r="GV74" i="2" s="1"/>
  <c r="MI73" i="2"/>
  <c r="HI73" i="2" a="1"/>
  <c r="HI73" i="2" s="1"/>
  <c r="LW73" i="2"/>
  <c r="GW73" i="2" a="1"/>
  <c r="GW73" i="2" s="1"/>
  <c r="MJ72" i="2"/>
  <c r="HJ72" i="2" a="1"/>
  <c r="HJ72" i="2" s="1"/>
  <c r="LX72" i="2"/>
  <c r="GX72" i="2" a="1"/>
  <c r="GX72" i="2" s="1"/>
  <c r="MK71" i="2"/>
  <c r="HK71" i="2" a="1"/>
  <c r="HK71" i="2" s="1"/>
  <c r="LY71" i="2"/>
  <c r="GY71" i="2" a="1"/>
  <c r="GY71" i="2" s="1"/>
  <c r="ML70" i="2"/>
  <c r="HL70" i="2" a="1"/>
  <c r="HL70" i="2" s="1"/>
  <c r="LZ70" i="2"/>
  <c r="GZ70" i="2" a="1"/>
  <c r="GZ70" i="2" s="1"/>
  <c r="MM69" i="2"/>
  <c r="HM69" i="2" a="1"/>
  <c r="HM69" i="2" s="1"/>
  <c r="MA69" i="2"/>
  <c r="HA69" i="2" a="1"/>
  <c r="HA69" i="2" s="1"/>
  <c r="MN68" i="2"/>
  <c r="HN68" i="2" a="1"/>
  <c r="HN68" i="2" s="1"/>
  <c r="MB68" i="2"/>
  <c r="HB68" i="2" a="1"/>
  <c r="HB68" i="2" s="1"/>
  <c r="MO67" i="2"/>
  <c r="HO67" i="2" a="1"/>
  <c r="HO67" i="2" s="1"/>
  <c r="MC67" i="2"/>
  <c r="HC67" i="2" a="1"/>
  <c r="HC67" i="2" s="1"/>
  <c r="MP66" i="2"/>
  <c r="HP66" i="2" a="1"/>
  <c r="HP66" i="2" s="1"/>
  <c r="MD66" i="2"/>
  <c r="HD66" i="2" a="1"/>
  <c r="HD66" i="2" s="1"/>
  <c r="MQ65" i="2"/>
  <c r="HQ65" i="2" a="1"/>
  <c r="HQ65" i="2" s="1"/>
  <c r="ME65" i="2"/>
  <c r="HE65" i="2" a="1"/>
  <c r="HE65" i="2" s="1"/>
  <c r="MR64" i="2"/>
  <c r="HR64" i="2" a="1"/>
  <c r="HR64" i="2" s="1"/>
  <c r="MF64" i="2"/>
  <c r="HF64" i="2" a="1"/>
  <c r="HF64" i="2" s="1"/>
  <c r="LX7" i="2"/>
  <c r="MK6" i="2"/>
  <c r="HK6" i="2" a="1"/>
  <c r="HK6" i="2" s="1"/>
  <c r="LY6" i="2"/>
  <c r="GY6" i="2" a="1"/>
  <c r="GY6" i="2" s="1"/>
  <c r="ML5" i="2"/>
  <c r="HL5" i="2" a="1"/>
  <c r="HL5" i="2" s="1"/>
  <c r="LZ5" i="2"/>
  <c r="GZ5" i="2" a="1"/>
  <c r="GZ5" i="2" s="1"/>
  <c r="MM4" i="2"/>
  <c r="HM4" i="2" a="1"/>
  <c r="HM4" i="2" s="1"/>
  <c r="MA4" i="2"/>
  <c r="HA4" i="2" a="1"/>
  <c r="HA4" i="2" s="1"/>
  <c r="MN103" i="2"/>
  <c r="HN103" i="2" a="1"/>
  <c r="HN103" i="2" s="1"/>
  <c r="MB103" i="2"/>
  <c r="HB103" i="2" a="1"/>
  <c r="HB103" i="2" s="1"/>
  <c r="MO102" i="2"/>
  <c r="HO102" i="2" a="1"/>
  <c r="HO102" i="2" s="1"/>
  <c r="MC102" i="2"/>
  <c r="HC102" i="2" a="1"/>
  <c r="HC102" i="2" s="1"/>
  <c r="MP101" i="2"/>
  <c r="HP101" i="2" a="1"/>
  <c r="HP101" i="2" s="1"/>
  <c r="MD101" i="2"/>
  <c r="HD101" i="2" a="1"/>
  <c r="HD101" i="2" s="1"/>
  <c r="MQ100" i="2"/>
  <c r="HQ100" i="2" a="1"/>
  <c r="HQ100" i="2" s="1"/>
  <c r="ME100" i="2"/>
  <c r="HE100" i="2" a="1"/>
  <c r="HE100" i="2" s="1"/>
  <c r="MR99" i="2"/>
  <c r="HR99" i="2" a="1"/>
  <c r="HR99" i="2" s="1"/>
  <c r="MF99" i="2"/>
  <c r="HF99" i="2" a="1"/>
  <c r="HF99" i="2" s="1"/>
  <c r="MS98" i="2"/>
  <c r="HS98" i="2" a="1"/>
  <c r="HS98" i="2" s="1"/>
  <c r="MG98" i="2"/>
  <c r="HG98" i="2" a="1"/>
  <c r="HG98" i="2" s="1"/>
  <c r="MT97" i="2"/>
  <c r="HT97" i="2" a="1"/>
  <c r="HT97" i="2" s="1"/>
  <c r="MH97" i="2"/>
  <c r="GV97" i="2" a="1"/>
  <c r="GV97" i="2" s="1"/>
  <c r="MI96" i="2"/>
  <c r="LW96" i="2"/>
  <c r="GW96" i="2" a="1"/>
  <c r="GW96" i="2" s="1"/>
  <c r="MJ95" i="2"/>
  <c r="HJ95" i="2" a="1"/>
  <c r="HJ95" i="2" s="1"/>
  <c r="LX95" i="2"/>
  <c r="GX95" i="2" a="1"/>
  <c r="GX95" i="2" s="1"/>
  <c r="MK94" i="2"/>
  <c r="HK94" i="2" a="1"/>
  <c r="HK94" i="2" s="1"/>
  <c r="LY94" i="2"/>
  <c r="ML93" i="2"/>
  <c r="HL93" i="2" a="1"/>
  <c r="HL93" i="2" s="1"/>
  <c r="LZ93" i="2"/>
  <c r="GZ93" i="2" a="1"/>
  <c r="GZ93" i="2" s="1"/>
  <c r="MM92" i="2"/>
  <c r="HM92" i="2" a="1"/>
  <c r="HM92" i="2" s="1"/>
  <c r="MA92" i="2"/>
  <c r="HA92" i="2" a="1"/>
  <c r="HA92" i="2" s="1"/>
  <c r="MN91" i="2"/>
  <c r="HN91" i="2" a="1"/>
  <c r="HN91" i="2" s="1"/>
  <c r="MB91" i="2"/>
  <c r="HB91" i="2" a="1"/>
  <c r="HB91" i="2" s="1"/>
  <c r="MO90" i="2"/>
  <c r="HO90" i="2" a="1"/>
  <c r="HO90" i="2" s="1"/>
  <c r="MC90" i="2"/>
  <c r="HC90" i="2" a="1"/>
  <c r="HC90" i="2" s="1"/>
  <c r="MP89" i="2"/>
  <c r="HP89" i="2" a="1"/>
  <c r="HP89" i="2" s="1"/>
  <c r="MD89" i="2"/>
  <c r="HD89" i="2" a="1"/>
  <c r="HD89" i="2" s="1"/>
  <c r="MQ88" i="2"/>
  <c r="HQ88" i="2" a="1"/>
  <c r="HQ88" i="2" s="1"/>
  <c r="ME88" i="2"/>
  <c r="HE88" i="2" a="1"/>
  <c r="HE88" i="2" s="1"/>
  <c r="MR87" i="2"/>
  <c r="HR87" i="2" a="1"/>
  <c r="HR87" i="2" s="1"/>
  <c r="MF87" i="2"/>
  <c r="HF87" i="2" a="1"/>
  <c r="HF87" i="2" s="1"/>
  <c r="MS86" i="2"/>
  <c r="HS86" i="2" a="1"/>
  <c r="HS86" i="2" s="1"/>
  <c r="MG86" i="2"/>
  <c r="HG86" i="2" a="1"/>
  <c r="HG86" i="2" s="1"/>
  <c r="MT85" i="2"/>
  <c r="HT85" i="2" a="1"/>
  <c r="HT85" i="2" s="1"/>
  <c r="MH85" i="2"/>
  <c r="HH85" i="2" a="1"/>
  <c r="HH85" i="2" s="1"/>
  <c r="GV85" i="2" a="1"/>
  <c r="GV85" i="2" s="1"/>
  <c r="MI84" i="2"/>
  <c r="HI84" i="2" a="1"/>
  <c r="HI84" i="2" s="1"/>
  <c r="LW84" i="2"/>
  <c r="GW84" i="2" a="1"/>
  <c r="GW84" i="2" s="1"/>
  <c r="MJ83" i="2"/>
  <c r="HJ83" i="2" a="1"/>
  <c r="HJ83" i="2" s="1"/>
  <c r="LX83" i="2"/>
  <c r="GX83" i="2" a="1"/>
  <c r="GX83" i="2" s="1"/>
  <c r="MK82" i="2"/>
  <c r="HK82" i="2" a="1"/>
  <c r="HK82" i="2" s="1"/>
  <c r="LY82" i="2"/>
  <c r="GY82" i="2" a="1"/>
  <c r="GY82" i="2" s="1"/>
  <c r="ML81" i="2"/>
  <c r="HL81" i="2" a="1"/>
  <c r="HL81" i="2" s="1"/>
  <c r="LZ81" i="2"/>
  <c r="GZ81" i="2" a="1"/>
  <c r="GZ81" i="2" s="1"/>
  <c r="MM80" i="2"/>
  <c r="HM80" i="2" a="1"/>
  <c r="HM80" i="2" s="1"/>
  <c r="MA80" i="2"/>
  <c r="HA80" i="2" a="1"/>
  <c r="HA80" i="2" s="1"/>
  <c r="MN79" i="2"/>
  <c r="HN79" i="2" a="1"/>
  <c r="HN79" i="2" s="1"/>
  <c r="MB79" i="2"/>
  <c r="HB79" i="2" a="1"/>
  <c r="HB79" i="2" s="1"/>
  <c r="MO78" i="2"/>
  <c r="HO78" i="2" a="1"/>
  <c r="HO78" i="2" s="1"/>
  <c r="MC78" i="2"/>
  <c r="HC78" i="2" a="1"/>
  <c r="HC78" i="2" s="1"/>
  <c r="MP77" i="2"/>
  <c r="HP77" i="2" a="1"/>
  <c r="HP77" i="2" s="1"/>
  <c r="MD77" i="2"/>
  <c r="HD77" i="2" a="1"/>
  <c r="HD77" i="2" s="1"/>
  <c r="MQ76" i="2"/>
  <c r="HQ76" i="2" a="1"/>
  <c r="HQ76" i="2" s="1"/>
  <c r="ME76" i="2"/>
  <c r="HE76" i="2" a="1"/>
  <c r="HE76" i="2" s="1"/>
  <c r="MR75" i="2"/>
  <c r="HR75" i="2" a="1"/>
  <c r="HR75" i="2" s="1"/>
  <c r="MF75" i="2"/>
  <c r="HF75" i="2" a="1"/>
  <c r="HF75" i="2" s="1"/>
  <c r="MS74" i="2"/>
  <c r="HS74" i="2" a="1"/>
  <c r="HS74" i="2" s="1"/>
  <c r="MG74" i="2"/>
  <c r="HG74" i="2" a="1"/>
  <c r="HG74" i="2" s="1"/>
  <c r="MT73" i="2"/>
  <c r="HT73" i="2" a="1"/>
  <c r="HT73" i="2" s="1"/>
  <c r="MH73" i="2"/>
  <c r="HH73" i="2" a="1"/>
  <c r="HH73" i="2" s="1"/>
  <c r="GV73" i="2" a="1"/>
  <c r="GV73" i="2" s="1"/>
  <c r="MI72" i="2"/>
  <c r="HI72" i="2" a="1"/>
  <c r="HI72" i="2" s="1"/>
  <c r="LW72" i="2"/>
  <c r="GW72" i="2" a="1"/>
  <c r="GW72" i="2" s="1"/>
  <c r="MJ71" i="2"/>
  <c r="HJ71" i="2" a="1"/>
  <c r="HJ71" i="2" s="1"/>
  <c r="LX71" i="2"/>
  <c r="GX71" i="2" a="1"/>
  <c r="GX71" i="2" s="1"/>
  <c r="MK70" i="2"/>
  <c r="HK70" i="2" a="1"/>
  <c r="HK70" i="2" s="1"/>
  <c r="LY70" i="2"/>
  <c r="GY70" i="2" a="1"/>
  <c r="GY70" i="2" s="1"/>
  <c r="ML69" i="2"/>
  <c r="HL69" i="2" a="1"/>
  <c r="HL69" i="2" s="1"/>
  <c r="LZ69" i="2"/>
  <c r="GZ69" i="2" a="1"/>
  <c r="GZ69" i="2" s="1"/>
  <c r="MM68" i="2"/>
  <c r="HM68" i="2" a="1"/>
  <c r="HM68" i="2" s="1"/>
  <c r="MA68" i="2"/>
  <c r="HA68" i="2" a="1"/>
  <c r="HA68" i="2" s="1"/>
  <c r="MN67" i="2"/>
  <c r="HN67" i="2" a="1"/>
  <c r="HN67" i="2" s="1"/>
  <c r="MB67" i="2"/>
  <c r="HB67" i="2" a="1"/>
  <c r="HB67" i="2" s="1"/>
  <c r="MO66" i="2"/>
  <c r="HO66" i="2" a="1"/>
  <c r="HO66" i="2" s="1"/>
  <c r="MC66" i="2"/>
  <c r="HC66" i="2" a="1"/>
  <c r="HC66" i="2" s="1"/>
  <c r="MP65" i="2"/>
  <c r="HP65" i="2" a="1"/>
  <c r="HP65" i="2" s="1"/>
  <c r="MD65" i="2"/>
  <c r="HD65" i="2" a="1"/>
  <c r="HD65" i="2" s="1"/>
  <c r="MQ64" i="2"/>
  <c r="HQ64" i="2" a="1"/>
  <c r="HQ64" i="2" s="1"/>
  <c r="HE64" i="2" a="1"/>
  <c r="HE64" i="2" s="1"/>
  <c r="ME64" i="2"/>
  <c r="GV72" i="2" a="1"/>
  <c r="GV72" i="2" s="1"/>
  <c r="MI71" i="2"/>
  <c r="HI71" i="2" a="1"/>
  <c r="HI71" i="2" s="1"/>
  <c r="LW71" i="2"/>
  <c r="GW71" i="2" a="1"/>
  <c r="GW71" i="2" s="1"/>
  <c r="MJ70" i="2"/>
  <c r="HJ70" i="2" a="1"/>
  <c r="HJ70" i="2" s="1"/>
  <c r="LX70" i="2"/>
  <c r="GX70" i="2" a="1"/>
  <c r="GX70" i="2" s="1"/>
  <c r="MK69" i="2"/>
  <c r="HK69" i="2" a="1"/>
  <c r="HK69" i="2" s="1"/>
  <c r="LY69" i="2"/>
  <c r="GY69" i="2" a="1"/>
  <c r="GY69" i="2" s="1"/>
  <c r="ML68" i="2"/>
  <c r="HL68" i="2" a="1"/>
  <c r="HL68" i="2" s="1"/>
  <c r="LZ68" i="2"/>
  <c r="GZ68" i="2" a="1"/>
  <c r="GZ68" i="2" s="1"/>
  <c r="MM67" i="2"/>
  <c r="HM67" i="2" a="1"/>
  <c r="HM67" i="2" s="1"/>
  <c r="MA67" i="2"/>
  <c r="HA67" i="2" a="1"/>
  <c r="HA67" i="2" s="1"/>
  <c r="MN66" i="2"/>
  <c r="HN66" i="2" a="1"/>
  <c r="HN66" i="2" s="1"/>
  <c r="MB66" i="2"/>
  <c r="HB66" i="2" a="1"/>
  <c r="HB66" i="2" s="1"/>
  <c r="MO65" i="2"/>
  <c r="HO65" i="2" a="1"/>
  <c r="HO65" i="2" s="1"/>
  <c r="MC65" i="2"/>
  <c r="HC65" i="2" a="1"/>
  <c r="HC65" i="2" s="1"/>
  <c r="MP64" i="2"/>
  <c r="HP64" i="2" a="1"/>
  <c r="HP64" i="2" s="1"/>
  <c r="MD64" i="2"/>
  <c r="HD64" i="2" a="1"/>
  <c r="HD64" i="2" s="1"/>
  <c r="ME74" i="2"/>
  <c r="HE74" i="2" a="1"/>
  <c r="HE74" i="2" s="1"/>
  <c r="MR73" i="2"/>
  <c r="HR73" i="2" a="1"/>
  <c r="HR73" i="2" s="1"/>
  <c r="MF73" i="2"/>
  <c r="HF73" i="2" a="1"/>
  <c r="HF73" i="2" s="1"/>
  <c r="MS72" i="2"/>
  <c r="HS72" i="2" a="1"/>
  <c r="HS72" i="2" s="1"/>
  <c r="MG72" i="2"/>
  <c r="HG72" i="2" a="1"/>
  <c r="HG72" i="2" s="1"/>
  <c r="MT71" i="2"/>
  <c r="HT71" i="2" a="1"/>
  <c r="HT71" i="2" s="1"/>
  <c r="MH71" i="2"/>
  <c r="HH71" i="2" a="1"/>
  <c r="HH71" i="2" s="1"/>
  <c r="GV71" i="2" a="1"/>
  <c r="GV71" i="2" s="1"/>
  <c r="MI70" i="2"/>
  <c r="HI70" i="2" a="1"/>
  <c r="HI70" i="2" s="1"/>
  <c r="LW70" i="2"/>
  <c r="GW70" i="2" a="1"/>
  <c r="GW70" i="2" s="1"/>
  <c r="MJ69" i="2"/>
  <c r="HJ69" i="2" a="1"/>
  <c r="HJ69" i="2" s="1"/>
  <c r="LX69" i="2"/>
  <c r="GX69" i="2" a="1"/>
  <c r="GX69" i="2" s="1"/>
  <c r="MK68" i="2"/>
  <c r="HK68" i="2" a="1"/>
  <c r="HK68" i="2" s="1"/>
  <c r="LY68" i="2"/>
  <c r="GY68" i="2" a="1"/>
  <c r="GY68" i="2" s="1"/>
  <c r="ML67" i="2"/>
  <c r="HL67" i="2" a="1"/>
  <c r="HL67" i="2" s="1"/>
  <c r="LZ67" i="2"/>
  <c r="GZ67" i="2" a="1"/>
  <c r="GZ67" i="2" s="1"/>
  <c r="MM66" i="2"/>
  <c r="HM66" i="2" a="1"/>
  <c r="HM66" i="2" s="1"/>
  <c r="MA66" i="2"/>
  <c r="HA66" i="2" a="1"/>
  <c r="HA66" i="2" s="1"/>
  <c r="MN65" i="2"/>
  <c r="HN65" i="2" a="1"/>
  <c r="HN65" i="2" s="1"/>
  <c r="MB65" i="2"/>
  <c r="HB65" i="2" a="1"/>
  <c r="HB65" i="2" s="1"/>
  <c r="MO64" i="2"/>
  <c r="HO64" i="2" a="1"/>
  <c r="HO64" i="2" s="1"/>
  <c r="MC64" i="2"/>
  <c r="HC64" i="2" a="1"/>
  <c r="HC64" i="2" s="1"/>
  <c r="HH97" i="2" a="1"/>
  <c r="HH97" i="2" s="1"/>
  <c r="MT70" i="2"/>
  <c r="HT70" i="2" a="1"/>
  <c r="HT70" i="2" s="1"/>
  <c r="MH70" i="2"/>
  <c r="HH70" i="2" a="1"/>
  <c r="HH70" i="2" s="1"/>
  <c r="GV70" i="2" a="1"/>
  <c r="GV70" i="2" s="1"/>
  <c r="HI69" i="2" a="1"/>
  <c r="HI69" i="2" s="1"/>
  <c r="MI69" i="2"/>
  <c r="LW69" i="2"/>
  <c r="GW69" i="2" a="1"/>
  <c r="GW69" i="2" s="1"/>
  <c r="MJ68" i="2"/>
  <c r="HJ68" i="2" a="1"/>
  <c r="HJ68" i="2" s="1"/>
  <c r="LX68" i="2"/>
  <c r="GX68" i="2" a="1"/>
  <c r="GX68" i="2" s="1"/>
  <c r="MK67" i="2"/>
  <c r="HK67" i="2" a="1"/>
  <c r="HK67" i="2" s="1"/>
  <c r="LY67" i="2"/>
  <c r="GY67" i="2" a="1"/>
  <c r="GY67" i="2" s="1"/>
  <c r="ML66" i="2"/>
  <c r="HL66" i="2" a="1"/>
  <c r="HL66" i="2" s="1"/>
  <c r="LZ66" i="2"/>
  <c r="GZ66" i="2" a="1"/>
  <c r="GZ66" i="2" s="1"/>
  <c r="MM65" i="2"/>
  <c r="HM65" i="2" a="1"/>
  <c r="HM65" i="2" s="1"/>
  <c r="HA65" i="2" a="1"/>
  <c r="HA65" i="2" s="1"/>
  <c r="MA65" i="2"/>
  <c r="MN64" i="2"/>
  <c r="HN64" i="2" a="1"/>
  <c r="HN64" i="2" s="1"/>
  <c r="MB64" i="2"/>
  <c r="HB64" i="2" a="1"/>
  <c r="HB64" i="2" s="1"/>
  <c r="HI96" i="2" a="1"/>
  <c r="HI96" i="2" s="1"/>
  <c r="NH3" i="2"/>
  <c r="MW105" i="2"/>
  <c r="NJ3" i="2"/>
  <c r="NK3" i="2"/>
  <c r="MX105" i="2"/>
  <c r="MY105" i="2"/>
  <c r="NL3" i="2"/>
  <c r="MV105" i="2"/>
  <c r="MZ105" i="2"/>
  <c r="G3" i="13" l="1"/>
  <c r="H3" i="13" s="1"/>
  <c r="I3" i="13" s="1"/>
  <c r="J3" i="13" s="1"/>
  <c r="K3" i="13" s="1"/>
  <c r="L3" i="13" s="1"/>
  <c r="M3" i="13" s="1"/>
  <c r="N3" i="13" s="1"/>
  <c r="O3" i="13" s="1"/>
  <c r="P3" i="13" s="1"/>
  <c r="Q3" i="13" s="1"/>
  <c r="R3" i="13" s="1"/>
  <c r="S3" i="13" s="1"/>
  <c r="T3" i="13" s="1"/>
  <c r="U3" i="13" s="1"/>
  <c r="V3" i="13" s="1"/>
  <c r="E10" i="6"/>
  <c r="E17" i="4" a="1"/>
  <c r="E17" i="4" s="1"/>
  <c r="E18" i="4" a="1"/>
  <c r="E18" i="4" s="1"/>
  <c r="E13" i="4" a="1"/>
  <c r="E13" i="4" s="1"/>
  <c r="E19" i="4" a="1"/>
  <c r="E19" i="4" s="1"/>
  <c r="E15" i="4" a="1"/>
  <c r="E15" i="4" s="1"/>
  <c r="E16" i="4" a="1"/>
  <c r="E16" i="4" s="1"/>
  <c r="E20" i="4" a="1"/>
  <c r="E20" i="4" s="1"/>
  <c r="E22" i="4" a="1"/>
  <c r="E22" i="4" s="1"/>
  <c r="E21" i="4" a="1"/>
  <c r="E21" i="4" s="1"/>
  <c r="E14" i="4" a="1"/>
  <c r="E14" i="4" s="1"/>
  <c r="C24" i="4"/>
  <c r="D24" i="4" s="1"/>
  <c r="E33" i="4" a="1"/>
  <c r="E33" i="4" s="1"/>
  <c r="C33" i="4" a="1"/>
  <c r="C33" i="4" s="1"/>
  <c r="D33" i="4" s="1"/>
  <c r="C25" i="4"/>
  <c r="D25" i="4" s="1"/>
  <c r="E39" i="4" a="1"/>
  <c r="E39" i="4" s="1"/>
  <c r="C39" i="4" a="1"/>
  <c r="C39" i="4" s="1"/>
  <c r="E10" i="7"/>
  <c r="D110" i="11"/>
  <c r="D122" i="11"/>
  <c r="I123" i="11"/>
  <c r="G123" i="11"/>
  <c r="H123" i="11"/>
  <c r="F123" i="11"/>
  <c r="D111" i="11"/>
  <c r="Y111" i="11" s="1" a="1"/>
  <c r="Y111" i="11" s="1"/>
  <c r="F110" i="11"/>
  <c r="F111" i="11"/>
  <c r="D98" i="11"/>
  <c r="D86" i="11"/>
  <c r="D88" i="11"/>
  <c r="Y88" i="11" s="1" a="1"/>
  <c r="Y88" i="11" s="1"/>
  <c r="D89" i="11"/>
  <c r="Y89" i="11" s="1" a="1"/>
  <c r="Y89" i="11" s="1"/>
  <c r="D87" i="11"/>
  <c r="Y87" i="11" s="1" a="1"/>
  <c r="Y87" i="11" s="1"/>
  <c r="G99" i="11"/>
  <c r="H99" i="11"/>
  <c r="F89" i="11"/>
  <c r="F90" i="11"/>
  <c r="F87" i="11"/>
  <c r="F88" i="11"/>
  <c r="F99" i="11"/>
  <c r="I99" i="11"/>
  <c r="F86" i="11"/>
  <c r="D90" i="11"/>
  <c r="Y90" i="11" s="1" a="1"/>
  <c r="Y90" i="11" s="1"/>
  <c r="D50" i="11"/>
  <c r="D38" i="11"/>
  <c r="D39" i="11"/>
  <c r="F38" i="11"/>
  <c r="D40" i="11"/>
  <c r="G51" i="11"/>
  <c r="F39" i="11"/>
  <c r="F40" i="11"/>
  <c r="H51" i="11"/>
  <c r="F51" i="11"/>
  <c r="I51" i="11"/>
  <c r="D62" i="11"/>
  <c r="D74" i="11"/>
  <c r="F63" i="11"/>
  <c r="G75" i="11"/>
  <c r="F64" i="11"/>
  <c r="D63" i="11"/>
  <c r="Y63" i="11" s="1" a="1"/>
  <c r="Y63" i="11" s="1"/>
  <c r="D64" i="11"/>
  <c r="Y64" i="11" s="1" a="1"/>
  <c r="Y64" i="11" s="1"/>
  <c r="H75" i="11"/>
  <c r="F75" i="11"/>
  <c r="F62" i="11"/>
  <c r="I75" i="11"/>
  <c r="R39" i="8"/>
  <c r="R61" i="8"/>
  <c r="R17" i="8"/>
  <c r="R31" i="8"/>
  <c r="I74" i="7"/>
  <c r="I46" i="7"/>
  <c r="I32" i="7"/>
  <c r="I31" i="7"/>
  <c r="H21" i="8"/>
  <c r="H44" i="8"/>
  <c r="H42" i="8"/>
  <c r="H43" i="8"/>
  <c r="H15" i="8"/>
  <c r="H22" i="8"/>
  <c r="M61" i="8"/>
  <c r="M17" i="8"/>
  <c r="M39" i="8"/>
  <c r="O38" i="7"/>
  <c r="O37" i="7"/>
  <c r="O77" i="7"/>
  <c r="I47" i="7"/>
  <c r="N39" i="8"/>
  <c r="N17" i="8"/>
  <c r="N61" i="8"/>
  <c r="E54" i="6"/>
  <c r="E69" i="6"/>
  <c r="F48" i="6"/>
  <c r="E61" i="8"/>
  <c r="E39" i="8"/>
  <c r="E17" i="8"/>
  <c r="R19" i="8"/>
  <c r="R40" i="8"/>
  <c r="AA31" i="8"/>
  <c r="AA61" i="8"/>
  <c r="AA39" i="8"/>
  <c r="AA33" i="8" s="1"/>
  <c r="AA17" i="8"/>
  <c r="L77" i="7"/>
  <c r="L38" i="7"/>
  <c r="L37" i="7"/>
  <c r="I39" i="8"/>
  <c r="I61" i="8"/>
  <c r="I17" i="8"/>
  <c r="M40" i="8"/>
  <c r="M19" i="8"/>
  <c r="K40" i="8"/>
  <c r="K19" i="8"/>
  <c r="G40" i="6"/>
  <c r="F15" i="8"/>
  <c r="F22" i="8"/>
  <c r="F44" i="8"/>
  <c r="F42" i="8"/>
  <c r="F43" i="8"/>
  <c r="F21" i="8"/>
  <c r="K34" i="7"/>
  <c r="K33" i="7"/>
  <c r="T64" i="8"/>
  <c r="T34" i="8"/>
  <c r="T20" i="8"/>
  <c r="Y40" i="8"/>
  <c r="Y35" i="8" s="1"/>
  <c r="Y19" i="8"/>
  <c r="K27" i="11"/>
  <c r="L27" i="11"/>
  <c r="Q27" i="11"/>
  <c r="R27" i="11" s="1" a="1"/>
  <c r="R27" i="11" s="1"/>
  <c r="W27" i="11"/>
  <c r="S27" i="11" a="1"/>
  <c r="S27" i="11" s="1"/>
  <c r="AA32" i="8"/>
  <c r="AA18" i="8"/>
  <c r="N18" i="8"/>
  <c r="E17" i="7"/>
  <c r="E31" i="7"/>
  <c r="E46" i="7"/>
  <c r="E35" i="7" s="1"/>
  <c r="E74" i="7"/>
  <c r="N19" i="8"/>
  <c r="N40" i="8"/>
  <c r="V61" i="8"/>
  <c r="V31" i="8"/>
  <c r="V39" i="8"/>
  <c r="V17" i="8"/>
  <c r="I33" i="7"/>
  <c r="I34" i="7"/>
  <c r="T31" i="8"/>
  <c r="T39" i="8"/>
  <c r="T61" i="8"/>
  <c r="T17" i="8"/>
  <c r="L64" i="8"/>
  <c r="L20" i="8"/>
  <c r="U22" i="8"/>
  <c r="U21" i="8"/>
  <c r="U15" i="8"/>
  <c r="U24" i="8" s="1"/>
  <c r="U44" i="8"/>
  <c r="U42" i="8"/>
  <c r="U43" i="8"/>
  <c r="D17" i="8"/>
  <c r="D61" i="8"/>
  <c r="D39" i="8"/>
  <c r="G18" i="8"/>
  <c r="Z18" i="8"/>
  <c r="Z32" i="8"/>
  <c r="X69" i="8"/>
  <c r="X54" i="8"/>
  <c r="F69" i="8"/>
  <c r="F54" i="8"/>
  <c r="Q15" i="8"/>
  <c r="Q42" i="8"/>
  <c r="Q44" i="8"/>
  <c r="Q21" i="8"/>
  <c r="Q22" i="8"/>
  <c r="Q43" i="8"/>
  <c r="N32" i="7"/>
  <c r="N31" i="7"/>
  <c r="N46" i="7"/>
  <c r="N74" i="7"/>
  <c r="J18" i="8"/>
  <c r="W64" i="8"/>
  <c r="W34" i="8"/>
  <c r="W20" i="8"/>
  <c r="J20" i="8"/>
  <c r="J64" i="8"/>
  <c r="N15" i="8"/>
  <c r="N28" i="8" s="1"/>
  <c r="N43" i="8"/>
  <c r="N42" i="8"/>
  <c r="N44" i="8"/>
  <c r="N21" i="8"/>
  <c r="N22" i="8"/>
  <c r="W40" i="8"/>
  <c r="W35" i="8" s="1"/>
  <c r="W19" i="8"/>
  <c r="U20" i="8"/>
  <c r="U64" i="8"/>
  <c r="U34" i="8"/>
  <c r="E44" i="6"/>
  <c r="E42" i="6"/>
  <c r="E21" i="6"/>
  <c r="E43" i="6"/>
  <c r="E22" i="6"/>
  <c r="E15" i="6"/>
  <c r="H74" i="7"/>
  <c r="H46" i="7"/>
  <c r="H31" i="7"/>
  <c r="O17" i="8"/>
  <c r="O39" i="8"/>
  <c r="O61" i="8"/>
  <c r="AB17" i="8"/>
  <c r="AB24" i="8"/>
  <c r="AB61" i="8"/>
  <c r="AB31" i="8"/>
  <c r="AB39" i="8"/>
  <c r="O33" i="7"/>
  <c r="O34" i="7"/>
  <c r="H19" i="8"/>
  <c r="H29" i="8"/>
  <c r="H40" i="8"/>
  <c r="H26" i="8"/>
  <c r="O18" i="8"/>
  <c r="AA19" i="8"/>
  <c r="AA40" i="8"/>
  <c r="E18" i="7"/>
  <c r="E33" i="7"/>
  <c r="AA64" i="8"/>
  <c r="AA34" i="8"/>
  <c r="AA20" i="8"/>
  <c r="J61" i="8"/>
  <c r="J39" i="8"/>
  <c r="J17" i="8"/>
  <c r="I44" i="8"/>
  <c r="I22" i="8"/>
  <c r="I15" i="8"/>
  <c r="I28" i="8" s="1"/>
  <c r="I42" i="8"/>
  <c r="I43" i="8"/>
  <c r="I21" i="8"/>
  <c r="H47" i="7"/>
  <c r="W61" i="8"/>
  <c r="W31" i="8"/>
  <c r="W17" i="8"/>
  <c r="W39" i="8"/>
  <c r="J34" i="7"/>
  <c r="J33" i="7"/>
  <c r="S40" i="8"/>
  <c r="S19" i="8"/>
  <c r="G20" i="8"/>
  <c r="G64" i="8"/>
  <c r="S15" i="8"/>
  <c r="S24" i="8" s="1"/>
  <c r="S22" i="8"/>
  <c r="S44" i="8"/>
  <c r="S21" i="8"/>
  <c r="S42" i="8"/>
  <c r="S43" i="8"/>
  <c r="S61" i="8"/>
  <c r="S17" i="8"/>
  <c r="S31" i="8"/>
  <c r="S39" i="8"/>
  <c r="I77" i="7"/>
  <c r="I38" i="7"/>
  <c r="I37" i="7"/>
  <c r="P33" i="7"/>
  <c r="P34" i="7"/>
  <c r="T18" i="8"/>
  <c r="T32" i="8"/>
  <c r="K47" i="7"/>
  <c r="N20" i="8"/>
  <c r="N64" i="8"/>
  <c r="AB26" i="8"/>
  <c r="AB19" i="8"/>
  <c r="AB40" i="8"/>
  <c r="F31" i="7"/>
  <c r="F46" i="7"/>
  <c r="F35" i="7" s="1"/>
  <c r="O19" i="8"/>
  <c r="O40" i="8"/>
  <c r="E19" i="7"/>
  <c r="E47" i="7"/>
  <c r="E39" i="7" s="1"/>
  <c r="O64" i="8"/>
  <c r="O20" i="8"/>
  <c r="W32" i="8"/>
  <c r="W18" i="8"/>
  <c r="P15" i="8"/>
  <c r="P43" i="8"/>
  <c r="P44" i="8"/>
  <c r="P21" i="8"/>
  <c r="P42" i="8"/>
  <c r="P22" i="8"/>
  <c r="O32" i="7"/>
  <c r="O31" i="7"/>
  <c r="O46" i="7"/>
  <c r="O74" i="7"/>
  <c r="K61" i="8"/>
  <c r="K39" i="8"/>
  <c r="K17" i="8"/>
  <c r="M18" i="8"/>
  <c r="F31" i="6"/>
  <c r="F61" i="6"/>
  <c r="F39" i="6"/>
  <c r="V18" i="8"/>
  <c r="V32" i="8"/>
  <c r="S18" i="8"/>
  <c r="S32" i="8"/>
  <c r="Z19" i="8"/>
  <c r="Z40" i="8"/>
  <c r="Z29" i="8"/>
  <c r="D112" i="11"/>
  <c r="Y112" i="11" s="1" a="1"/>
  <c r="Y112" i="11" s="1"/>
  <c r="F112" i="11"/>
  <c r="C113" i="11"/>
  <c r="C42" i="11"/>
  <c r="F41" i="11"/>
  <c r="D41" i="11"/>
  <c r="M31" i="7"/>
  <c r="M74" i="7"/>
  <c r="M32" i="7"/>
  <c r="M46" i="7"/>
  <c r="F39" i="8"/>
  <c r="F17" i="8"/>
  <c r="F61" i="8"/>
  <c r="F28" i="8"/>
  <c r="F24" i="8"/>
  <c r="P32" i="8"/>
  <c r="P18" i="8"/>
  <c r="X64" i="8"/>
  <c r="X65" i="8" s="1"/>
  <c r="X34" i="8"/>
  <c r="X20" i="8"/>
  <c r="Q18" i="8"/>
  <c r="Q25" i="8"/>
  <c r="Q32" i="8"/>
  <c r="AB25" i="8"/>
  <c r="AB32" i="8"/>
  <c r="AB18" i="8"/>
  <c r="G39" i="6"/>
  <c r="G31" i="6"/>
  <c r="G61" i="6"/>
  <c r="AA43" i="8"/>
  <c r="AA42" i="8"/>
  <c r="AA44" i="8"/>
  <c r="AA22" i="8"/>
  <c r="AA15" i="8"/>
  <c r="AA29" i="8" s="1"/>
  <c r="AA21" i="8"/>
  <c r="E26" i="6"/>
  <c r="E40" i="6"/>
  <c r="E19" i="6"/>
  <c r="D18" i="8"/>
  <c r="F34" i="6"/>
  <c r="F64" i="6"/>
  <c r="G74" i="7"/>
  <c r="G75" i="7" s="1"/>
  <c r="G46" i="7"/>
  <c r="G31" i="7"/>
  <c r="P40" i="8"/>
  <c r="P19" i="8"/>
  <c r="F33" i="7"/>
  <c r="AB64" i="8"/>
  <c r="AB34" i="8"/>
  <c r="AB20" i="8"/>
  <c r="E20" i="7"/>
  <c r="E37" i="7"/>
  <c r="E77" i="7"/>
  <c r="K18" i="8"/>
  <c r="G40" i="8"/>
  <c r="G19" i="8"/>
  <c r="AB15" i="8"/>
  <c r="C50" i="4" s="1"/>
  <c r="D50" i="4" s="1"/>
  <c r="AB43" i="8"/>
  <c r="AB42" i="8"/>
  <c r="AB22" i="8"/>
  <c r="AB44" i="8"/>
  <c r="AB21" i="8"/>
  <c r="Z24" i="8"/>
  <c r="Z31" i="8"/>
  <c r="Z39" i="8"/>
  <c r="Z33" i="8" s="1"/>
  <c r="Z61" i="8"/>
  <c r="Z62" i="8" s="1"/>
  <c r="Z17" i="8"/>
  <c r="P27" i="11"/>
  <c r="V27" i="11"/>
  <c r="U39" i="8"/>
  <c r="U33" i="8" s="1"/>
  <c r="U61" i="8"/>
  <c r="U17" i="8"/>
  <c r="U31" i="8"/>
  <c r="O47" i="7"/>
  <c r="Z15" i="8"/>
  <c r="Z25" i="8" s="1"/>
  <c r="Z42" i="8"/>
  <c r="Z44" i="8"/>
  <c r="Z21" i="8"/>
  <c r="Z22" i="8"/>
  <c r="Z43" i="8"/>
  <c r="F18" i="8"/>
  <c r="F25" i="8"/>
  <c r="E22" i="7"/>
  <c r="E21" i="7"/>
  <c r="E15" i="7"/>
  <c r="E26" i="7" s="1"/>
  <c r="H54" i="7"/>
  <c r="H55" i="7"/>
  <c r="E50" i="7"/>
  <c r="H53" i="7"/>
  <c r="E49" i="7"/>
  <c r="E51" i="7"/>
  <c r="G3" i="2"/>
  <c r="GU30" i="2" a="1"/>
  <c r="GU30" i="2" s="1"/>
  <c r="EP34" i="2" a="1"/>
  <c r="EP34" i="2" s="1"/>
  <c r="GU31" i="2" a="1"/>
  <c r="GU31" i="2" s="1"/>
  <c r="EP29" i="2" a="1"/>
  <c r="EP29" i="2" s="1"/>
  <c r="EP35" i="2" a="1"/>
  <c r="EP35" i="2" s="1"/>
  <c r="GU32" i="2" a="1"/>
  <c r="GU32" i="2" s="1"/>
  <c r="EP30" i="2" a="1"/>
  <c r="EP30" i="2" s="1"/>
  <c r="GU33" i="2" a="1"/>
  <c r="GU33" i="2" s="1"/>
  <c r="EP31" i="2" a="1"/>
  <c r="EP31" i="2" s="1"/>
  <c r="GU29" i="2" a="1"/>
  <c r="GU29" i="2" s="1"/>
  <c r="GU34" i="2" a="1"/>
  <c r="GU34" i="2" s="1"/>
  <c r="EP32" i="2" a="1"/>
  <c r="EP32" i="2" s="1"/>
  <c r="GU35" i="2" a="1"/>
  <c r="GU35" i="2" s="1"/>
  <c r="BD33" i="2" a="1"/>
  <c r="BD33" i="2" s="1"/>
  <c r="EP33" i="2" a="1"/>
  <c r="EP33" i="2" s="1"/>
  <c r="BD34" i="2" a="1"/>
  <c r="BD34" i="2" s="1"/>
  <c r="BD29" i="2" a="1"/>
  <c r="BD29" i="2" s="1"/>
  <c r="BD35" i="2" a="1"/>
  <c r="BD35" i="2" s="1"/>
  <c r="BD30" i="2" a="1"/>
  <c r="BD30" i="2" s="1"/>
  <c r="BD31" i="2" a="1"/>
  <c r="BD31" i="2" s="1"/>
  <c r="BD32" i="2" a="1"/>
  <c r="BD32" i="2" s="1"/>
  <c r="E65" i="7"/>
  <c r="F59" i="7"/>
  <c r="E82" i="7"/>
  <c r="R15" i="8"/>
  <c r="R43" i="8"/>
  <c r="R22" i="8"/>
  <c r="R44" i="8"/>
  <c r="R21" i="8"/>
  <c r="R42" i="8"/>
  <c r="L18" i="8"/>
  <c r="H20" i="8"/>
  <c r="H64" i="8"/>
  <c r="H27" i="8"/>
  <c r="V40" i="8"/>
  <c r="V19" i="8"/>
  <c r="J32" i="7"/>
  <c r="J46" i="7"/>
  <c r="J74" i="7"/>
  <c r="J75" i="7" s="1"/>
  <c r="J31" i="7"/>
  <c r="H18" i="8"/>
  <c r="H25" i="8"/>
  <c r="J42" i="8"/>
  <c r="J21" i="8"/>
  <c r="J44" i="8"/>
  <c r="J43" i="8"/>
  <c r="J15" i="8"/>
  <c r="J27" i="8" s="1"/>
  <c r="J22" i="8"/>
  <c r="G43" i="8"/>
  <c r="G21" i="8"/>
  <c r="G15" i="8"/>
  <c r="G24" i="8" s="1"/>
  <c r="G44" i="8"/>
  <c r="G42" i="8"/>
  <c r="G22" i="8"/>
  <c r="L47" i="7"/>
  <c r="I40" i="8"/>
  <c r="I19" i="8"/>
  <c r="I29" i="8"/>
  <c r="I26" i="8"/>
  <c r="G17" i="8"/>
  <c r="G61" i="8"/>
  <c r="G28" i="8"/>
  <c r="G39" i="8"/>
  <c r="P32" i="7"/>
  <c r="P31" i="7"/>
  <c r="P46" i="7"/>
  <c r="P74" i="7"/>
  <c r="G33" i="7"/>
  <c r="D19" i="8"/>
  <c r="D40" i="8"/>
  <c r="F47" i="7"/>
  <c r="P64" i="8"/>
  <c r="P20" i="8"/>
  <c r="P34" i="8"/>
  <c r="X19" i="8"/>
  <c r="X40" i="8"/>
  <c r="C66" i="11"/>
  <c r="F65" i="11"/>
  <c r="D65" i="11"/>
  <c r="Y65" i="11" s="1" a="1"/>
  <c r="Y65" i="11" s="1"/>
  <c r="D54" i="8"/>
  <c r="D69" i="8"/>
  <c r="F91" i="11"/>
  <c r="C92" i="11"/>
  <c r="D91" i="11"/>
  <c r="Y91" i="11" s="1" a="1"/>
  <c r="Y91" i="11" s="1"/>
  <c r="Z34" i="8"/>
  <c r="Z64" i="8"/>
  <c r="Z65" i="8" s="1"/>
  <c r="Z27" i="8"/>
  <c r="Z20" i="8"/>
  <c r="K32" i="7"/>
  <c r="K46" i="7"/>
  <c r="K31" i="7"/>
  <c r="K74" i="7"/>
  <c r="K75" i="7" s="1"/>
  <c r="K64" i="8"/>
  <c r="K20" i="8"/>
  <c r="M77" i="7"/>
  <c r="M78" i="7" s="1"/>
  <c r="M37" i="7"/>
  <c r="M38" i="7"/>
  <c r="V20" i="8"/>
  <c r="V34" i="8"/>
  <c r="V64" i="8"/>
  <c r="Q28" i="8"/>
  <c r="Q39" i="8"/>
  <c r="Q33" i="8" s="1"/>
  <c r="Q17" i="8"/>
  <c r="Q31" i="8"/>
  <c r="Q61" i="8"/>
  <c r="Q62" i="8" s="1"/>
  <c r="Q24" i="8"/>
  <c r="U32" i="8"/>
  <c r="U18" i="8"/>
  <c r="U25" i="8"/>
  <c r="J40" i="8"/>
  <c r="J19" i="8"/>
  <c r="J47" i="7"/>
  <c r="G77" i="7"/>
  <c r="G37" i="7"/>
  <c r="E64" i="8"/>
  <c r="E20" i="8"/>
  <c r="K43" i="8"/>
  <c r="K44" i="8"/>
  <c r="K22" i="8"/>
  <c r="K21" i="8"/>
  <c r="K42" i="8"/>
  <c r="K15" i="8"/>
  <c r="K25" i="8" s="1"/>
  <c r="Y34" i="8"/>
  <c r="Y20" i="8"/>
  <c r="Y64" i="8"/>
  <c r="G32" i="6"/>
  <c r="F19" i="8"/>
  <c r="F29" i="8"/>
  <c r="F26" i="8"/>
  <c r="F40" i="8"/>
  <c r="H39" i="8"/>
  <c r="H17" i="8"/>
  <c r="H61" i="8"/>
  <c r="H28" i="8"/>
  <c r="H24" i="8"/>
  <c r="R64" i="8"/>
  <c r="R20" i="8"/>
  <c r="R34" i="8"/>
  <c r="M33" i="7"/>
  <c r="M34" i="7"/>
  <c r="G47" i="7"/>
  <c r="G39" i="7" s="1"/>
  <c r="F77" i="7"/>
  <c r="F37" i="7"/>
  <c r="W43" i="8"/>
  <c r="W42" i="8"/>
  <c r="W22" i="8"/>
  <c r="W21" i="8"/>
  <c r="W15" i="8"/>
  <c r="W44" i="8"/>
  <c r="P54" i="8"/>
  <c r="P69" i="8"/>
  <c r="U69" i="8"/>
  <c r="U54" i="8"/>
  <c r="I69" i="8"/>
  <c r="I54" i="8"/>
  <c r="I20" i="8"/>
  <c r="I64" i="8"/>
  <c r="I27" i="8"/>
  <c r="H33" i="7"/>
  <c r="T21" i="8"/>
  <c r="T22" i="8"/>
  <c r="T15" i="8"/>
  <c r="T25" i="8" s="1"/>
  <c r="T44" i="8"/>
  <c r="T42" i="8"/>
  <c r="T43" i="8"/>
  <c r="I18" i="8"/>
  <c r="I25" i="8"/>
  <c r="F64" i="8"/>
  <c r="F20" i="8"/>
  <c r="F27" i="8"/>
  <c r="P38" i="7"/>
  <c r="P37" i="7"/>
  <c r="P77" i="7"/>
  <c r="E18" i="8"/>
  <c r="G34" i="6"/>
  <c r="G64" i="6"/>
  <c r="G65" i="6" s="1"/>
  <c r="K77" i="7"/>
  <c r="K38" i="7"/>
  <c r="K37" i="7"/>
  <c r="X42" i="8"/>
  <c r="X44" i="8"/>
  <c r="X22" i="8"/>
  <c r="X21" i="8"/>
  <c r="X15" i="8"/>
  <c r="X24" i="8" s="1"/>
  <c r="X43" i="8"/>
  <c r="X31" i="8"/>
  <c r="X61" i="8"/>
  <c r="X39" i="8"/>
  <c r="X17" i="8"/>
  <c r="M64" i="8"/>
  <c r="M20" i="8"/>
  <c r="AA54" i="8"/>
  <c r="AA69" i="8"/>
  <c r="U40" i="8"/>
  <c r="U35" i="8" s="1"/>
  <c r="U19" i="8"/>
  <c r="U29" i="8"/>
  <c r="U26" i="8"/>
  <c r="T19" i="8"/>
  <c r="T40" i="8"/>
  <c r="T35" i="8" s="1"/>
  <c r="T29" i="8"/>
  <c r="L34" i="7"/>
  <c r="L33" i="7"/>
  <c r="P47" i="7"/>
  <c r="Q29" i="8"/>
  <c r="Q26" i="8"/>
  <c r="Q40" i="8"/>
  <c r="Q19" i="8"/>
  <c r="P61" i="8"/>
  <c r="P17" i="8"/>
  <c r="P39" i="8"/>
  <c r="P31" i="8"/>
  <c r="E19" i="8"/>
  <c r="E40" i="8"/>
  <c r="Q64" i="8"/>
  <c r="Q27" i="8"/>
  <c r="Q34" i="8"/>
  <c r="Q20" i="8"/>
  <c r="D64" i="8"/>
  <c r="D20" i="8"/>
  <c r="O54" i="8"/>
  <c r="O69" i="8"/>
  <c r="AB69" i="8"/>
  <c r="AB54" i="8"/>
  <c r="J69" i="8"/>
  <c r="J54" i="8"/>
  <c r="C19" i="11"/>
  <c r="E17" i="6"/>
  <c r="E61" i="6"/>
  <c r="E39" i="6"/>
  <c r="E28" i="6"/>
  <c r="E24" i="6"/>
  <c r="N38" i="7"/>
  <c r="N37" i="7"/>
  <c r="N77" i="7"/>
  <c r="N78" i="7" s="1"/>
  <c r="F32" i="6"/>
  <c r="D15" i="8"/>
  <c r="D42" i="8"/>
  <c r="D22" i="8"/>
  <c r="D43" i="8"/>
  <c r="D21" i="8"/>
  <c r="D44" i="8"/>
  <c r="E18" i="6"/>
  <c r="E25" i="6"/>
  <c r="X32" i="8"/>
  <c r="X18" i="8"/>
  <c r="S20" i="8"/>
  <c r="S64" i="8"/>
  <c r="S65" i="8" s="1"/>
  <c r="S27" i="8"/>
  <c r="S34" i="8"/>
  <c r="N33" i="7"/>
  <c r="N34" i="7"/>
  <c r="F40" i="6"/>
  <c r="F35" i="6" s="1"/>
  <c r="V44" i="8"/>
  <c r="V21" i="8"/>
  <c r="V15" i="8"/>
  <c r="V24" i="8" s="1"/>
  <c r="V22" i="8"/>
  <c r="V43" i="8"/>
  <c r="V42" i="8"/>
  <c r="Y44" i="8"/>
  <c r="Y43" i="8"/>
  <c r="Y22" i="8"/>
  <c r="Y42" i="8"/>
  <c r="Y15" i="8"/>
  <c r="Y25" i="8" s="1"/>
  <c r="Y21" i="8"/>
  <c r="L42" i="8"/>
  <c r="L43" i="8"/>
  <c r="L44" i="8"/>
  <c r="L22" i="8"/>
  <c r="L21" i="8"/>
  <c r="L15" i="8"/>
  <c r="L27" i="8" s="1"/>
  <c r="L39" i="8"/>
  <c r="L17" i="8"/>
  <c r="L61" i="8"/>
  <c r="L28" i="8"/>
  <c r="F131" i="11"/>
  <c r="L26" i="8"/>
  <c r="L19" i="8"/>
  <c r="L29" i="8"/>
  <c r="L40" i="8"/>
  <c r="L74" i="7"/>
  <c r="L75" i="7" s="1"/>
  <c r="L32" i="7"/>
  <c r="L31" i="7"/>
  <c r="L46" i="7"/>
  <c r="O43" i="8"/>
  <c r="O42" i="8"/>
  <c r="O44" i="8"/>
  <c r="O22" i="8"/>
  <c r="O21" i="8"/>
  <c r="O15" i="8"/>
  <c r="O26" i="8" s="1"/>
  <c r="R32" i="8"/>
  <c r="R18" i="8"/>
  <c r="R25" i="8"/>
  <c r="N47" i="7"/>
  <c r="J77" i="7"/>
  <c r="J38" i="7"/>
  <c r="J37" i="7"/>
  <c r="H77" i="7"/>
  <c r="H37" i="7"/>
  <c r="E64" i="6"/>
  <c r="E27" i="6"/>
  <c r="E20" i="6"/>
  <c r="M47" i="7"/>
  <c r="E15" i="8"/>
  <c r="E28" i="8" s="1"/>
  <c r="E43" i="8"/>
  <c r="E44" i="8"/>
  <c r="E42" i="8"/>
  <c r="E22" i="8"/>
  <c r="E21" i="8"/>
  <c r="M44" i="8"/>
  <c r="M42" i="8"/>
  <c r="M22" i="8"/>
  <c r="M21" i="8"/>
  <c r="M43" i="8"/>
  <c r="M15" i="8"/>
  <c r="M29" i="8" s="1"/>
  <c r="Y39" i="8"/>
  <c r="Y33" i="8" s="1"/>
  <c r="Y17" i="8"/>
  <c r="Y31" i="8"/>
  <c r="Y61" i="8"/>
  <c r="Y62" i="8" s="1"/>
  <c r="O27" i="11"/>
  <c r="U27" i="11"/>
  <c r="Y32" i="8"/>
  <c r="Y18" i="8"/>
  <c r="G78" i="7" l="1"/>
  <c r="W3" i="13"/>
  <c r="X3" i="13" s="1"/>
  <c r="Y3" i="13" s="1"/>
  <c r="Z3" i="13" s="1"/>
  <c r="AA3" i="13" s="1"/>
  <c r="AB3" i="13" s="1"/>
  <c r="AC3" i="13" s="1"/>
  <c r="AD3" i="13" s="1"/>
  <c r="AE3" i="13" s="1"/>
  <c r="AF3" i="13" s="1"/>
  <c r="AG3" i="13" s="1"/>
  <c r="I78" i="7"/>
  <c r="G25" i="8"/>
  <c r="I24" i="8"/>
  <c r="Z35" i="8"/>
  <c r="AB28" i="8"/>
  <c r="T28" i="8"/>
  <c r="J29" i="8"/>
  <c r="J26" i="8"/>
  <c r="V65" i="8"/>
  <c r="G29" i="8"/>
  <c r="Z26" i="8"/>
  <c r="O75" i="7"/>
  <c r="L24" i="8"/>
  <c r="D29" i="8"/>
  <c r="E4" i="4" a="1"/>
  <c r="E4" i="4" s="1"/>
  <c r="V27" i="8"/>
  <c r="X35" i="8"/>
  <c r="Y29" i="8"/>
  <c r="Y27" i="8"/>
  <c r="Y28" i="8"/>
  <c r="T26" i="8"/>
  <c r="X29" i="8"/>
  <c r="W33" i="8"/>
  <c r="C38" i="4" a="1"/>
  <c r="C38" i="4" s="1"/>
  <c r="E28" i="7"/>
  <c r="E32" i="4" a="1"/>
  <c r="E32" i="4" s="1"/>
  <c r="Y24" i="8"/>
  <c r="P33" i="8"/>
  <c r="X33" i="8"/>
  <c r="K78" i="7"/>
  <c r="X26" i="8"/>
  <c r="Z28" i="8"/>
  <c r="H35" i="7"/>
  <c r="C32" i="4" a="1"/>
  <c r="C32" i="4" s="1"/>
  <c r="D32" i="4" s="1"/>
  <c r="X25" i="8"/>
  <c r="W62" i="8"/>
  <c r="D39" i="4"/>
  <c r="E38" i="4" a="1"/>
  <c r="E38" i="4" s="1"/>
  <c r="U28" i="8"/>
  <c r="E27" i="7"/>
  <c r="G33" i="6"/>
  <c r="F62" i="6"/>
  <c r="AA65" i="8"/>
  <c r="AA62" i="8"/>
  <c r="X28" i="8"/>
  <c r="P65" i="8"/>
  <c r="D27" i="8"/>
  <c r="P78" i="7"/>
  <c r="Y65" i="8"/>
  <c r="C5" i="4"/>
  <c r="D5" i="4" s="1"/>
  <c r="V26" i="8"/>
  <c r="U75" i="11"/>
  <c r="O75" i="11"/>
  <c r="M58" i="8"/>
  <c r="M38" i="8"/>
  <c r="M37" i="8"/>
  <c r="M68" i="8"/>
  <c r="M39" i="7"/>
  <c r="M40" i="7"/>
  <c r="E27" i="8"/>
  <c r="V29" i="8"/>
  <c r="F65" i="6"/>
  <c r="S62" i="8"/>
  <c r="S29" i="8"/>
  <c r="AA26" i="8"/>
  <c r="AB33" i="8"/>
  <c r="U65" i="8"/>
  <c r="N58" i="8"/>
  <c r="N38" i="8"/>
  <c r="N37" i="8"/>
  <c r="N68" i="8"/>
  <c r="L78" i="7"/>
  <c r="F133" i="11"/>
  <c r="O38" i="8"/>
  <c r="O58" i="8"/>
  <c r="O37" i="8"/>
  <c r="O68" i="8"/>
  <c r="E26" i="8"/>
  <c r="P37" i="8"/>
  <c r="P38" i="8"/>
  <c r="P58" i="8"/>
  <c r="P68" i="8"/>
  <c r="R37" i="8"/>
  <c r="R38" i="8"/>
  <c r="R58" i="8"/>
  <c r="R68" i="8"/>
  <c r="O29" i="8"/>
  <c r="S35" i="8"/>
  <c r="J24" i="8"/>
  <c r="U27" i="8"/>
  <c r="N75" i="7"/>
  <c r="T62" i="8"/>
  <c r="V62" i="8"/>
  <c r="N25" i="8"/>
  <c r="M26" i="8"/>
  <c r="E24" i="8"/>
  <c r="M24" i="8"/>
  <c r="I35" i="7"/>
  <c r="I36" i="7"/>
  <c r="V51" i="11"/>
  <c r="P51" i="11"/>
  <c r="F137" i="11"/>
  <c r="U99" i="11"/>
  <c r="O99" i="11"/>
  <c r="F139" i="11"/>
  <c r="W75" i="11"/>
  <c r="Q75" i="11"/>
  <c r="K75" i="11"/>
  <c r="S75" i="11" a="1"/>
  <c r="S75" i="11" s="1"/>
  <c r="V58" i="8"/>
  <c r="V37" i="8"/>
  <c r="V38" i="8"/>
  <c r="V68" i="8"/>
  <c r="X62" i="8"/>
  <c r="J78" i="7"/>
  <c r="D37" i="8"/>
  <c r="D58" i="8"/>
  <c r="D38" i="8"/>
  <c r="D68" i="8"/>
  <c r="E29" i="8"/>
  <c r="W58" i="8"/>
  <c r="W38" i="8"/>
  <c r="W37" i="8"/>
  <c r="W68" i="8"/>
  <c r="K36" i="7"/>
  <c r="K35" i="7"/>
  <c r="D26" i="8"/>
  <c r="V35" i="8"/>
  <c r="H3" i="2"/>
  <c r="P29" i="8"/>
  <c r="W25" i="8"/>
  <c r="F75" i="7"/>
  <c r="N27" i="8"/>
  <c r="AB62" i="8"/>
  <c r="N35" i="7"/>
  <c r="N36" i="7"/>
  <c r="T33" i="8"/>
  <c r="N29" i="8"/>
  <c r="F37" i="8"/>
  <c r="F58" i="8"/>
  <c r="F38" i="8"/>
  <c r="F68" i="8"/>
  <c r="I40" i="7"/>
  <c r="I39" i="7"/>
  <c r="I75" i="7"/>
  <c r="F135" i="11"/>
  <c r="F42" i="11"/>
  <c r="D42" i="11"/>
  <c r="C43" i="11"/>
  <c r="O35" i="7"/>
  <c r="O36" i="7"/>
  <c r="H39" i="7"/>
  <c r="O25" i="8"/>
  <c r="W26" i="8"/>
  <c r="T27" i="8"/>
  <c r="G35" i="6"/>
  <c r="H58" i="8"/>
  <c r="H38" i="8"/>
  <c r="H37" i="8"/>
  <c r="H68" i="8"/>
  <c r="V75" i="11"/>
  <c r="P75" i="11"/>
  <c r="P123" i="11"/>
  <c r="V123" i="11"/>
  <c r="O39" i="7"/>
  <c r="O40" i="7"/>
  <c r="AA58" i="8"/>
  <c r="AA59" i="8" s="1"/>
  <c r="AA37" i="8"/>
  <c r="AA38" i="8"/>
  <c r="AA68" i="8"/>
  <c r="I69" i="7"/>
  <c r="F62" i="7"/>
  <c r="F68" i="7"/>
  <c r="P39" i="7"/>
  <c r="P40" i="7"/>
  <c r="K58" i="8"/>
  <c r="K38" i="8"/>
  <c r="K37" i="8"/>
  <c r="K68" i="8"/>
  <c r="U62" i="8"/>
  <c r="P35" i="8"/>
  <c r="D25" i="8"/>
  <c r="O27" i="8"/>
  <c r="K40" i="7"/>
  <c r="K39" i="7"/>
  <c r="H75" i="7"/>
  <c r="W29" i="8"/>
  <c r="W27" i="8"/>
  <c r="U58" i="8"/>
  <c r="U38" i="8"/>
  <c r="U37" i="8"/>
  <c r="U68" i="8"/>
  <c r="AA25" i="8"/>
  <c r="T65" i="8"/>
  <c r="AA28" i="8"/>
  <c r="F51" i="6"/>
  <c r="F56" i="6"/>
  <c r="R24" i="8"/>
  <c r="F101" i="11"/>
  <c r="C20" i="11"/>
  <c r="S25" i="8"/>
  <c r="Y58" i="8"/>
  <c r="Y37" i="8"/>
  <c r="Y38" i="8"/>
  <c r="Y68" i="8"/>
  <c r="P24" i="8"/>
  <c r="X58" i="8"/>
  <c r="X37" i="8"/>
  <c r="X38" i="8"/>
  <c r="X68" i="8"/>
  <c r="P27" i="8"/>
  <c r="G58" i="8"/>
  <c r="G38" i="8"/>
  <c r="G37" i="8"/>
  <c r="G68" i="8"/>
  <c r="P26" i="8"/>
  <c r="X27" i="8"/>
  <c r="C114" i="11"/>
  <c r="F113" i="11"/>
  <c r="D113" i="11"/>
  <c r="Y113" i="11" s="1" a="1"/>
  <c r="Y113" i="11" s="1"/>
  <c r="M25" i="8"/>
  <c r="AA27" i="8"/>
  <c r="E58" i="6"/>
  <c r="F10" i="6"/>
  <c r="E37" i="6"/>
  <c r="E38" i="6"/>
  <c r="E68" i="6"/>
  <c r="N26" i="8"/>
  <c r="AA24" i="8"/>
  <c r="O78" i="7"/>
  <c r="R28" i="8"/>
  <c r="Y62" i="11" a="1"/>
  <c r="Y62" i="11" s="1"/>
  <c r="E58" i="8"/>
  <c r="E38" i="8"/>
  <c r="E37" i="8"/>
  <c r="E68" i="8"/>
  <c r="L40" i="7"/>
  <c r="L39" i="7"/>
  <c r="P28" i="8"/>
  <c r="U51" i="11"/>
  <c r="O51" i="11"/>
  <c r="Y86" i="11" a="1"/>
  <c r="Y86" i="11" s="1"/>
  <c r="N39" i="7"/>
  <c r="N40" i="7"/>
  <c r="E25" i="8"/>
  <c r="J40" i="7"/>
  <c r="J39" i="7"/>
  <c r="K27" i="8"/>
  <c r="F39" i="7"/>
  <c r="P75" i="7"/>
  <c r="L25" i="8"/>
  <c r="Z58" i="8"/>
  <c r="Z37" i="8"/>
  <c r="Z38" i="8"/>
  <c r="Z68" i="8"/>
  <c r="G35" i="7"/>
  <c r="E29" i="6"/>
  <c r="V25" i="8"/>
  <c r="S28" i="8"/>
  <c r="W28" i="8"/>
  <c r="I58" i="8"/>
  <c r="I38" i="8"/>
  <c r="I37" i="8"/>
  <c r="I68" i="8"/>
  <c r="W65" i="8"/>
  <c r="R35" i="8"/>
  <c r="R62" i="8"/>
  <c r="L36" i="7"/>
  <c r="L35" i="7"/>
  <c r="P62" i="8"/>
  <c r="M27" i="8"/>
  <c r="F78" i="7"/>
  <c r="J35" i="7"/>
  <c r="J36" i="7"/>
  <c r="AB37" i="8"/>
  <c r="AB38" i="8"/>
  <c r="AB58" i="8"/>
  <c r="AB59" i="8" s="1"/>
  <c r="AB68" i="8"/>
  <c r="M75" i="7"/>
  <c r="K28" i="8"/>
  <c r="AB35" i="8"/>
  <c r="G27" i="8"/>
  <c r="W24" i="8"/>
  <c r="V28" i="8"/>
  <c r="K26" i="8"/>
  <c r="R26" i="8"/>
  <c r="R33" i="8"/>
  <c r="W51" i="11"/>
  <c r="S51" i="11" a="1"/>
  <c r="S51" i="11" s="1"/>
  <c r="Q51" i="11"/>
  <c r="K51" i="11"/>
  <c r="K123" i="11"/>
  <c r="S123" i="11" a="1"/>
  <c r="S123" i="11" s="1"/>
  <c r="Q123" i="11"/>
  <c r="W123" i="11"/>
  <c r="M36" i="7"/>
  <c r="M35" i="7"/>
  <c r="R27" i="8"/>
  <c r="J58" i="8"/>
  <c r="J37" i="8"/>
  <c r="J38" i="8"/>
  <c r="J68" i="8"/>
  <c r="E43" i="7"/>
  <c r="E42" i="7"/>
  <c r="F10" i="7"/>
  <c r="E71" i="7"/>
  <c r="E45" i="7"/>
  <c r="E81" i="7"/>
  <c r="AB65" i="8"/>
  <c r="K24" i="8"/>
  <c r="E29" i="7"/>
  <c r="AB29" i="8"/>
  <c r="S33" i="8"/>
  <c r="E25" i="7"/>
  <c r="O28" i="8"/>
  <c r="J25" i="8"/>
  <c r="D24" i="8"/>
  <c r="Y26" i="8"/>
  <c r="K29" i="8"/>
  <c r="R29" i="8"/>
  <c r="M28" i="8"/>
  <c r="W99" i="11"/>
  <c r="S99" i="11" a="1"/>
  <c r="S99" i="11" s="1"/>
  <c r="Q99" i="11"/>
  <c r="K99" i="11"/>
  <c r="G62" i="6"/>
  <c r="S58" i="8"/>
  <c r="S38" i="8"/>
  <c r="S37" i="8"/>
  <c r="S68" i="8"/>
  <c r="O24" i="8"/>
  <c r="U123" i="11"/>
  <c r="O123" i="11"/>
  <c r="H78" i="7"/>
  <c r="L58" i="8"/>
  <c r="L37" i="8"/>
  <c r="L38" i="8"/>
  <c r="L68" i="8"/>
  <c r="Q65" i="8"/>
  <c r="Q35" i="8"/>
  <c r="T38" i="8"/>
  <c r="T37" i="8"/>
  <c r="T58" i="8"/>
  <c r="T68" i="8"/>
  <c r="R65" i="8"/>
  <c r="C93" i="11"/>
  <c r="F92" i="11"/>
  <c r="D92" i="11"/>
  <c r="Y92" i="11" s="1" a="1"/>
  <c r="Y92" i="11" s="1"/>
  <c r="C67" i="11"/>
  <c r="F66" i="11"/>
  <c r="F77" i="11" s="1"/>
  <c r="D66" i="11"/>
  <c r="Y66" i="11" s="1" a="1"/>
  <c r="Y66" i="11" s="1"/>
  <c r="P35" i="7"/>
  <c r="P36" i="7"/>
  <c r="G26" i="8"/>
  <c r="AB27" i="8"/>
  <c r="P25" i="8"/>
  <c r="F33" i="6"/>
  <c r="S26" i="8"/>
  <c r="J28" i="8"/>
  <c r="AA35" i="8"/>
  <c r="Q38" i="8"/>
  <c r="Q58" i="8"/>
  <c r="Q59" i="8" s="1"/>
  <c r="Q37" i="8"/>
  <c r="Q68" i="8"/>
  <c r="D28" i="8"/>
  <c r="T24" i="8"/>
  <c r="V33" i="8"/>
  <c r="E24" i="7"/>
  <c r="N24" i="8"/>
  <c r="F53" i="11"/>
  <c r="V99" i="11"/>
  <c r="P99" i="11"/>
  <c r="Y110" i="11" a="1"/>
  <c r="Y110" i="11" s="1"/>
  <c r="AH3" i="13" l="1"/>
  <c r="AI3" i="13" s="1"/>
  <c r="AJ3" i="13" s="1"/>
  <c r="AK3" i="13" s="1"/>
  <c r="AL3" i="13" s="1"/>
  <c r="AM3" i="13" s="1"/>
  <c r="W59" i="8"/>
  <c r="D38" i="4"/>
  <c r="C4" i="4"/>
  <c r="D4" i="4" s="1"/>
  <c r="U59" i="8"/>
  <c r="P59" i="8"/>
  <c r="D93" i="11"/>
  <c r="Y93" i="11" s="1" a="1"/>
  <c r="Y93" i="11" s="1"/>
  <c r="C94" i="11"/>
  <c r="F93" i="11"/>
  <c r="Y59" i="8"/>
  <c r="L75" i="11"/>
  <c r="R75" i="11" a="1"/>
  <c r="R75" i="11" s="1"/>
  <c r="I3" i="2"/>
  <c r="T59" i="8"/>
  <c r="R99" i="11" a="1"/>
  <c r="R99" i="11" s="1"/>
  <c r="L99" i="11"/>
  <c r="F51" i="7"/>
  <c r="F49" i="7"/>
  <c r="F50" i="7"/>
  <c r="F22" i="7"/>
  <c r="F21" i="7"/>
  <c r="F15" i="7"/>
  <c r="F24" i="7" s="1"/>
  <c r="I55" i="7"/>
  <c r="I54" i="7"/>
  <c r="I53" i="7"/>
  <c r="F20" i="7"/>
  <c r="F19" i="7"/>
  <c r="F17" i="7"/>
  <c r="F25" i="7"/>
  <c r="F18" i="7"/>
  <c r="F54" i="6"/>
  <c r="F69" i="6"/>
  <c r="G48" i="6"/>
  <c r="F65" i="7"/>
  <c r="G59" i="7"/>
  <c r="F82" i="7"/>
  <c r="L123" i="11"/>
  <c r="R123" i="11" a="1"/>
  <c r="R123" i="11" s="1"/>
  <c r="C68" i="11"/>
  <c r="D67" i="11"/>
  <c r="Y67" i="11" s="1" a="1"/>
  <c r="Y67" i="11" s="1"/>
  <c r="F67" i="11"/>
  <c r="C21" i="11"/>
  <c r="F22" i="6"/>
  <c r="F21" i="6"/>
  <c r="F44" i="6"/>
  <c r="F42" i="6"/>
  <c r="F15" i="6"/>
  <c r="F26" i="6" s="1"/>
  <c r="F43" i="6"/>
  <c r="F18" i="6"/>
  <c r="F19" i="6"/>
  <c r="F25" i="6"/>
  <c r="F17" i="6"/>
  <c r="F28" i="6"/>
  <c r="F20" i="6"/>
  <c r="F24" i="6"/>
  <c r="Z59" i="8"/>
  <c r="R51" i="11" a="1"/>
  <c r="R51" i="11" s="1"/>
  <c r="L51" i="11"/>
  <c r="C115" i="11"/>
  <c r="D114" i="11"/>
  <c r="F114" i="11"/>
  <c r="F125" i="11" s="1"/>
  <c r="X59" i="8"/>
  <c r="D43" i="11"/>
  <c r="F43" i="11"/>
  <c r="C44" i="11"/>
  <c r="R59" i="8"/>
  <c r="S59" i="8"/>
  <c r="V59" i="8"/>
  <c r="F26" i="7" l="1"/>
  <c r="E27" i="4" a="1"/>
  <c r="E27" i="4" s="1"/>
  <c r="E36" i="4" a="1"/>
  <c r="E36" i="4" s="1"/>
  <c r="F29" i="7"/>
  <c r="C22" i="11"/>
  <c r="J69" i="7"/>
  <c r="G68" i="7"/>
  <c r="G62" i="7"/>
  <c r="F38" i="6"/>
  <c r="G10" i="6"/>
  <c r="F58" i="6"/>
  <c r="F59" i="6" s="1"/>
  <c r="F37" i="6"/>
  <c r="F68" i="6"/>
  <c r="F27" i="7"/>
  <c r="D94" i="11"/>
  <c r="F94" i="11"/>
  <c r="C95" i="11"/>
  <c r="G51" i="6"/>
  <c r="E3" i="4" s="1" a="1"/>
  <c r="E3" i="4" s="1"/>
  <c r="G56" i="6"/>
  <c r="F68" i="11"/>
  <c r="D68" i="11"/>
  <c r="C69" i="11"/>
  <c r="F43" i="7"/>
  <c r="F42" i="7"/>
  <c r="G10" i="7"/>
  <c r="F71" i="7"/>
  <c r="F72" i="7" s="1"/>
  <c r="F45" i="7"/>
  <c r="F81" i="7"/>
  <c r="Y114" i="11" a="1"/>
  <c r="Y114" i="11" s="1"/>
  <c r="F27" i="6"/>
  <c r="J3" i="2"/>
  <c r="D44" i="11"/>
  <c r="F44" i="11"/>
  <c r="C45" i="11"/>
  <c r="C116" i="11"/>
  <c r="D115" i="11"/>
  <c r="Y115" i="11" s="1" a="1"/>
  <c r="Y115" i="11" s="1"/>
  <c r="F115" i="11"/>
  <c r="F29" i="6"/>
  <c r="F28" i="7"/>
  <c r="C36" i="4" l="1" a="1"/>
  <c r="C36" i="4" s="1"/>
  <c r="D36" i="4" s="1"/>
  <c r="C27" i="4" a="1"/>
  <c r="C27" i="4" s="1"/>
  <c r="D27" i="4" s="1"/>
  <c r="D69" i="11"/>
  <c r="Y69" i="11" s="1" a="1"/>
  <c r="Y69" i="11" s="1"/>
  <c r="C70" i="11"/>
  <c r="F69" i="11"/>
  <c r="G82" i="7"/>
  <c r="G65" i="7"/>
  <c r="H59" i="7"/>
  <c r="Y94" i="11" a="1"/>
  <c r="Y94" i="11" s="1"/>
  <c r="F116" i="11"/>
  <c r="C117" i="11"/>
  <c r="D116" i="11"/>
  <c r="Y116" i="11" s="1" a="1"/>
  <c r="Y116" i="11" s="1"/>
  <c r="G51" i="7"/>
  <c r="G49" i="7"/>
  <c r="G50" i="7"/>
  <c r="G22" i="7"/>
  <c r="G21" i="7"/>
  <c r="G15" i="7"/>
  <c r="J55" i="7"/>
  <c r="J54" i="7"/>
  <c r="J53" i="7"/>
  <c r="G28" i="7"/>
  <c r="G24" i="7"/>
  <c r="G17" i="7"/>
  <c r="G18" i="7"/>
  <c r="G20" i="7"/>
  <c r="G26" i="7"/>
  <c r="G19" i="7"/>
  <c r="Y68" i="11" a="1"/>
  <c r="Y68" i="11" s="1"/>
  <c r="C23" i="11"/>
  <c r="G69" i="6"/>
  <c r="C3" i="4" s="1"/>
  <c r="D3" i="4" s="1"/>
  <c r="G54" i="6"/>
  <c r="G44" i="6"/>
  <c r="G15" i="6"/>
  <c r="G22" i="6"/>
  <c r="G42" i="6"/>
  <c r="G21" i="6"/>
  <c r="G43" i="6"/>
  <c r="G18" i="6"/>
  <c r="G17" i="6"/>
  <c r="G19" i="6"/>
  <c r="G29" i="6"/>
  <c r="G24" i="6"/>
  <c r="G20" i="6"/>
  <c r="K3" i="2"/>
  <c r="D95" i="11"/>
  <c r="Y95" i="11" s="1" a="1"/>
  <c r="Y95" i="11" s="1"/>
  <c r="F95" i="11"/>
  <c r="F96" i="11" s="1"/>
  <c r="C46" i="11"/>
  <c r="F45" i="11"/>
  <c r="D45" i="11"/>
  <c r="Y45" i="11" s="1" a="1"/>
  <c r="Y45" i="11" s="1"/>
  <c r="C44" i="4" l="1"/>
  <c r="D44" i="4" s="1"/>
  <c r="E2" i="4" a="1"/>
  <c r="E2" i="4" s="1"/>
  <c r="D96" i="11"/>
  <c r="E35" i="4" a="1"/>
  <c r="E35" i="4" s="1"/>
  <c r="C26" i="4" a="1"/>
  <c r="C26" i="4" s="1"/>
  <c r="E26" i="4" a="1"/>
  <c r="E26" i="4" s="1"/>
  <c r="C35" i="4" a="1"/>
  <c r="C35" i="4" s="1"/>
  <c r="C47" i="11"/>
  <c r="D46" i="11"/>
  <c r="Y46" i="11" s="1" a="1"/>
  <c r="Y46" i="11" s="1"/>
  <c r="F46" i="11"/>
  <c r="G71" i="7"/>
  <c r="G72" i="7" s="1"/>
  <c r="G43" i="7"/>
  <c r="G42" i="7"/>
  <c r="H10" i="7"/>
  <c r="G45" i="7"/>
  <c r="G81" i="7"/>
  <c r="F98" i="11"/>
  <c r="F138" i="11" s="1"/>
  <c r="G29" i="7"/>
  <c r="G38" i="6"/>
  <c r="G58" i="6"/>
  <c r="G59" i="6" s="1"/>
  <c r="G37" i="6"/>
  <c r="G68" i="6"/>
  <c r="C2" i="4" s="1"/>
  <c r="D2" i="4" s="1"/>
  <c r="K69" i="7"/>
  <c r="H62" i="7"/>
  <c r="H68" i="7"/>
  <c r="G28" i="6"/>
  <c r="F102" i="11"/>
  <c r="G27" i="6"/>
  <c r="G25" i="6"/>
  <c r="G27" i="7"/>
  <c r="F70" i="11"/>
  <c r="D70" i="11"/>
  <c r="Y70" i="11" s="1" a="1"/>
  <c r="Y70" i="11" s="1"/>
  <c r="C71" i="11"/>
  <c r="G26" i="6"/>
  <c r="C118" i="11"/>
  <c r="F117" i="11"/>
  <c r="D117" i="11"/>
  <c r="Y117" i="11" s="1" a="1"/>
  <c r="Y117" i="11" s="1"/>
  <c r="L3" i="2"/>
  <c r="G25" i="7"/>
  <c r="D26" i="4" l="1"/>
  <c r="D35" i="4"/>
  <c r="H51" i="7"/>
  <c r="H49" i="7"/>
  <c r="H50" i="7"/>
  <c r="H22" i="7"/>
  <c r="K54" i="7"/>
  <c r="H15" i="7"/>
  <c r="H29" i="7" s="1"/>
  <c r="K55" i="7"/>
  <c r="K53" i="7"/>
  <c r="H21" i="7"/>
  <c r="H20" i="7"/>
  <c r="H18" i="7"/>
  <c r="H19" i="7"/>
  <c r="H17" i="7"/>
  <c r="C119" i="11"/>
  <c r="D118" i="11"/>
  <c r="F118" i="11"/>
  <c r="F47" i="11"/>
  <c r="F48" i="11" s="1"/>
  <c r="D47" i="11"/>
  <c r="F72" i="11"/>
  <c r="H82" i="7"/>
  <c r="H65" i="7"/>
  <c r="I59" i="7"/>
  <c r="H66" i="7"/>
  <c r="D71" i="11"/>
  <c r="Y71" i="11" s="1" a="1"/>
  <c r="Y71" i="11" s="1"/>
  <c r="F71" i="11"/>
  <c r="F78" i="11" s="1"/>
  <c r="M3" i="2"/>
  <c r="F54" i="11" l="1"/>
  <c r="H27" i="7"/>
  <c r="F74" i="11"/>
  <c r="F136" i="11" s="1"/>
  <c r="L69" i="7"/>
  <c r="I62" i="7"/>
  <c r="I68" i="7"/>
  <c r="F50" i="11"/>
  <c r="F134" i="11" s="1"/>
  <c r="H71" i="7"/>
  <c r="H72" i="7" s="1"/>
  <c r="H43" i="7"/>
  <c r="I10" i="7"/>
  <c r="H44" i="7"/>
  <c r="H42" i="7"/>
  <c r="H45" i="7"/>
  <c r="H81" i="7"/>
  <c r="H25" i="7"/>
  <c r="N3" i="2"/>
  <c r="H24" i="7"/>
  <c r="H26" i="7"/>
  <c r="Y47" i="11" a="1"/>
  <c r="Y47" i="11" s="1"/>
  <c r="D48" i="11"/>
  <c r="Y118" i="11" a="1"/>
  <c r="Y118" i="11" s="1"/>
  <c r="H28" i="7"/>
  <c r="F119" i="11"/>
  <c r="D119" i="11"/>
  <c r="Y119" i="11" s="1" a="1"/>
  <c r="Y119" i="11" s="1"/>
  <c r="D72" i="11"/>
  <c r="D120" i="11" l="1"/>
  <c r="L55" i="7"/>
  <c r="I22" i="7"/>
  <c r="I50" i="7"/>
  <c r="L53" i="7"/>
  <c r="L54" i="7"/>
  <c r="I21" i="7"/>
  <c r="I15" i="7"/>
  <c r="I25" i="7" s="1"/>
  <c r="I51" i="7"/>
  <c r="I49" i="7"/>
  <c r="I24" i="7"/>
  <c r="I18" i="7"/>
  <c r="I27" i="7"/>
  <c r="I20" i="7"/>
  <c r="I19" i="7"/>
  <c r="I17" i="7"/>
  <c r="O3" i="2"/>
  <c r="G114" i="11"/>
  <c r="G47" i="11"/>
  <c r="G95" i="11"/>
  <c r="G71" i="11"/>
  <c r="G118" i="11"/>
  <c r="J59" i="7"/>
  <c r="I82" i="7"/>
  <c r="I66" i="7"/>
  <c r="I65" i="7"/>
  <c r="F126" i="11"/>
  <c r="F120" i="11"/>
  <c r="I28" i="7" l="1"/>
  <c r="I26" i="7"/>
  <c r="U114" i="11"/>
  <c r="O114" i="11"/>
  <c r="P3" i="2"/>
  <c r="G117" i="11"/>
  <c r="G119" i="11"/>
  <c r="G44" i="11"/>
  <c r="G46" i="11"/>
  <c r="G67" i="11"/>
  <c r="G69" i="11"/>
  <c r="G115" i="11"/>
  <c r="G43" i="11"/>
  <c r="G68" i="11"/>
  <c r="J62" i="7"/>
  <c r="M69" i="7"/>
  <c r="J68" i="7"/>
  <c r="I71" i="7"/>
  <c r="I72" i="7" s="1"/>
  <c r="I43" i="7"/>
  <c r="J10" i="7"/>
  <c r="I45" i="7"/>
  <c r="I42" i="7"/>
  <c r="I44" i="7"/>
  <c r="I81" i="7"/>
  <c r="G70" i="11"/>
  <c r="I29" i="7"/>
  <c r="O71" i="11"/>
  <c r="U71" i="11"/>
  <c r="U118" i="11"/>
  <c r="O118" i="11"/>
  <c r="F122" i="11"/>
  <c r="F140" i="11" s="1"/>
  <c r="G116" i="11"/>
  <c r="G45" i="11"/>
  <c r="U95" i="11"/>
  <c r="O95" i="11"/>
  <c r="U47" i="11"/>
  <c r="O47" i="11"/>
  <c r="U67" i="11" l="1"/>
  <c r="O67" i="11"/>
  <c r="U43" i="11"/>
  <c r="O43" i="11"/>
  <c r="J66" i="7"/>
  <c r="J65" i="7"/>
  <c r="J82" i="7"/>
  <c r="K59" i="7"/>
  <c r="U46" i="11"/>
  <c r="O46" i="11"/>
  <c r="U68" i="11"/>
  <c r="O68" i="11"/>
  <c r="O45" i="11"/>
  <c r="U45" i="11"/>
  <c r="O116" i="11"/>
  <c r="U116" i="11"/>
  <c r="U69" i="11"/>
  <c r="O69" i="11"/>
  <c r="O44" i="11"/>
  <c r="U44" i="11"/>
  <c r="Q3" i="2"/>
  <c r="U70" i="11"/>
  <c r="O70" i="11"/>
  <c r="M55" i="7"/>
  <c r="J21" i="7"/>
  <c r="J22" i="7"/>
  <c r="M54" i="7"/>
  <c r="J50" i="7"/>
  <c r="J15" i="7"/>
  <c r="J24" i="7" s="1"/>
  <c r="J51" i="7"/>
  <c r="M53" i="7"/>
  <c r="J49" i="7"/>
  <c r="J17" i="7"/>
  <c r="J27" i="7"/>
  <c r="J26" i="7"/>
  <c r="J19" i="7"/>
  <c r="J18" i="7"/>
  <c r="J20" i="7"/>
  <c r="U115" i="11"/>
  <c r="O115" i="11"/>
  <c r="O117" i="11"/>
  <c r="U117" i="11"/>
  <c r="U119" i="11"/>
  <c r="O119" i="11"/>
  <c r="J25" i="7" l="1"/>
  <c r="J29" i="7"/>
  <c r="R3" i="2"/>
  <c r="J45" i="7"/>
  <c r="J42" i="7"/>
  <c r="K10" i="7"/>
  <c r="J43" i="7"/>
  <c r="J44" i="7"/>
  <c r="J71" i="7"/>
  <c r="J72" i="7" s="1"/>
  <c r="J81" i="7"/>
  <c r="K62" i="7"/>
  <c r="N69" i="7"/>
  <c r="K68" i="7"/>
  <c r="J28" i="7"/>
  <c r="N55" i="7" l="1"/>
  <c r="N53" i="7"/>
  <c r="K51" i="7"/>
  <c r="K21" i="7"/>
  <c r="K22" i="7"/>
  <c r="N54" i="7"/>
  <c r="K50" i="7"/>
  <c r="K15" i="7"/>
  <c r="K25" i="7" s="1"/>
  <c r="K49" i="7"/>
  <c r="K28" i="7"/>
  <c r="K26" i="7"/>
  <c r="K18" i="7"/>
  <c r="K19" i="7"/>
  <c r="K17" i="7"/>
  <c r="K20" i="7"/>
  <c r="K66" i="7"/>
  <c r="K65" i="7"/>
  <c r="K82" i="7"/>
  <c r="L59" i="7"/>
  <c r="S3" i="2"/>
  <c r="K43" i="7" l="1"/>
  <c r="K45" i="7"/>
  <c r="K42" i="7"/>
  <c r="L10" i="7"/>
  <c r="K44" i="7"/>
  <c r="K71" i="7"/>
  <c r="K72" i="7" s="1"/>
  <c r="K81" i="7"/>
  <c r="K24" i="7"/>
  <c r="K27" i="7"/>
  <c r="T3" i="2"/>
  <c r="U3" i="2" s="1"/>
  <c r="V3" i="2" s="1"/>
  <c r="K29" i="7"/>
  <c r="L62" i="7"/>
  <c r="O69" i="7"/>
  <c r="L68" i="7"/>
  <c r="W3" i="2" l="1"/>
  <c r="GU43" i="2" a="1"/>
  <c r="GU43" i="2" s="1"/>
  <c r="GU44" i="2" a="1"/>
  <c r="GU44" i="2" s="1"/>
  <c r="EP41" i="2" a="1"/>
  <c r="EP41" i="2" s="1"/>
  <c r="GU45" i="2" a="1"/>
  <c r="GU45" i="2" s="1"/>
  <c r="EP42" i="2" a="1"/>
  <c r="EP42" i="2" s="1"/>
  <c r="EP43" i="2" a="1"/>
  <c r="EP43" i="2" s="1"/>
  <c r="GU41" i="2" a="1"/>
  <c r="GU41" i="2" s="1"/>
  <c r="GU42" i="2" a="1"/>
  <c r="GU42" i="2" s="1"/>
  <c r="EP44" i="2" a="1"/>
  <c r="EP44" i="2" s="1"/>
  <c r="BD45" i="2" a="1"/>
  <c r="BD45" i="2" s="1"/>
  <c r="EP45" i="2" a="1"/>
  <c r="EP45" i="2" s="1"/>
  <c r="BD41" i="2" a="1"/>
  <c r="BD41" i="2" s="1"/>
  <c r="BD42" i="2" a="1"/>
  <c r="BD42" i="2" s="1"/>
  <c r="BD43" i="2" a="1"/>
  <c r="BD43" i="2" s="1"/>
  <c r="BD44" i="2" a="1"/>
  <c r="BD44" i="2" s="1"/>
  <c r="L66" i="7"/>
  <c r="L65" i="7"/>
  <c r="L82" i="7"/>
  <c r="M59" i="7"/>
  <c r="O53" i="7"/>
  <c r="O55" i="7"/>
  <c r="L51" i="7"/>
  <c r="L21" i="7"/>
  <c r="L49" i="7"/>
  <c r="L22" i="7"/>
  <c r="O54" i="7"/>
  <c r="L50" i="7"/>
  <c r="L15" i="7"/>
  <c r="L25" i="7" s="1"/>
  <c r="L20" i="7"/>
  <c r="L19" i="7"/>
  <c r="L18" i="7"/>
  <c r="L17" i="7"/>
  <c r="L26" i="7" l="1"/>
  <c r="L28" i="7"/>
  <c r="M62" i="7"/>
  <c r="P69" i="7"/>
  <c r="M68" i="7"/>
  <c r="L27" i="7"/>
  <c r="L24" i="7"/>
  <c r="L45" i="7"/>
  <c r="L42" i="7"/>
  <c r="L71" i="7"/>
  <c r="L72" i="7" s="1"/>
  <c r="L43" i="7"/>
  <c r="M10" i="7"/>
  <c r="L44" i="7"/>
  <c r="L81" i="7"/>
  <c r="L29" i="7"/>
  <c r="X3" i="2"/>
  <c r="Y3" i="2" s="1"/>
  <c r="Z3" i="2" s="1"/>
  <c r="AA3" i="2" s="1"/>
  <c r="AB3" i="2" s="1"/>
  <c r="AC3" i="2" s="1"/>
  <c r="AD3" i="2" s="1"/>
  <c r="AE3" i="2" s="1"/>
  <c r="AF3" i="2" s="1"/>
  <c r="AG3" i="2" s="1"/>
  <c r="M82" i="7" l="1"/>
  <c r="M66" i="7"/>
  <c r="M65" i="7"/>
  <c r="N59" i="7"/>
  <c r="P53" i="7"/>
  <c r="M21" i="7"/>
  <c r="M51" i="7"/>
  <c r="M49" i="7"/>
  <c r="P55" i="7"/>
  <c r="M22" i="7"/>
  <c r="M15" i="7"/>
  <c r="M24" i="7" s="1"/>
  <c r="P54" i="7"/>
  <c r="M50" i="7"/>
  <c r="M17" i="7"/>
  <c r="M20" i="7"/>
  <c r="M18" i="7"/>
  <c r="M19" i="7"/>
  <c r="AH3" i="2"/>
  <c r="AI3" i="2" s="1"/>
  <c r="AJ3" i="2" s="1"/>
  <c r="AK3" i="2" s="1"/>
  <c r="AL3" i="2" s="1"/>
  <c r="AM3" i="2" s="1"/>
  <c r="EP70" i="2" a="1"/>
  <c r="EP70" i="2" s="1"/>
  <c r="GU70" i="2" a="1"/>
  <c r="GU70" i="2" s="1"/>
  <c r="EP65" i="2" a="1"/>
  <c r="EP65" i="2" s="1"/>
  <c r="EP71" i="2" a="1"/>
  <c r="EP71" i="2" s="1"/>
  <c r="GU71" i="2" a="1"/>
  <c r="GU71" i="2" s="1"/>
  <c r="GU65" i="2" a="1"/>
  <c r="GU65" i="2" s="1"/>
  <c r="GU66" i="2" a="1"/>
  <c r="GU66" i="2" s="1"/>
  <c r="EP67" i="2" a="1"/>
  <c r="EP67" i="2" s="1"/>
  <c r="EP73" i="2" a="1"/>
  <c r="EP73" i="2" s="1"/>
  <c r="GU67" i="2" a="1"/>
  <c r="GU67" i="2" s="1"/>
  <c r="GU68" i="2" a="1"/>
  <c r="GU68" i="2" s="1"/>
  <c r="EP66" i="2" a="1"/>
  <c r="EP66" i="2" s="1"/>
  <c r="EP68" i="2" a="1"/>
  <c r="EP68" i="2" s="1"/>
  <c r="GU73" i="2" a="1"/>
  <c r="GU73" i="2" s="1"/>
  <c r="BD70" i="2" a="1"/>
  <c r="BD70" i="2" s="1"/>
  <c r="Y42" i="11" s="1" a="1"/>
  <c r="Y42" i="11" s="1"/>
  <c r="BD65" i="2" a="1"/>
  <c r="BD65" i="2" s="1"/>
  <c r="Y38" i="11" s="1" a="1"/>
  <c r="Y38" i="11" s="1"/>
  <c r="BD71" i="2" a="1"/>
  <c r="BD71" i="2" s="1"/>
  <c r="Y39" i="11" s="1" a="1"/>
  <c r="Y39" i="11" s="1"/>
  <c r="BD67" i="2" a="1"/>
  <c r="BD67" i="2" s="1"/>
  <c r="Y41" i="11" s="1" a="1"/>
  <c r="Y41" i="11" s="1"/>
  <c r="BD68" i="2" a="1"/>
  <c r="BD68" i="2" s="1"/>
  <c r="Y43" i="11" s="1" a="1"/>
  <c r="Y43" i="11" s="1"/>
  <c r="BD73" i="2" a="1"/>
  <c r="BD73" i="2" s="1"/>
  <c r="Y44" i="11" s="1" a="1"/>
  <c r="Y44" i="11" s="1"/>
  <c r="BD66" i="2" a="1"/>
  <c r="BD66" i="2" s="1"/>
  <c r="Y40" i="11" s="1" a="1"/>
  <c r="Y40" i="11" s="1"/>
  <c r="M26" i="7" l="1"/>
  <c r="M27" i="7"/>
  <c r="M45" i="7"/>
  <c r="M42" i="7"/>
  <c r="M71" i="7"/>
  <c r="M72" i="7" s="1"/>
  <c r="M43" i="7"/>
  <c r="M44" i="7"/>
  <c r="N10" i="7"/>
  <c r="M81" i="7"/>
  <c r="M28" i="7"/>
  <c r="M29" i="7"/>
  <c r="H63" i="11"/>
  <c r="H131" i="11"/>
  <c r="G87" i="11"/>
  <c r="G89" i="11"/>
  <c r="H110" i="11"/>
  <c r="H111" i="11"/>
  <c r="G88" i="11"/>
  <c r="H87" i="11"/>
  <c r="H40" i="11"/>
  <c r="I86" i="11"/>
  <c r="I90" i="11"/>
  <c r="I88" i="11"/>
  <c r="G38" i="11"/>
  <c r="G39" i="11"/>
  <c r="H86" i="11"/>
  <c r="G110" i="11"/>
  <c r="G131" i="11"/>
  <c r="I110" i="11"/>
  <c r="H135" i="11"/>
  <c r="H90" i="11"/>
  <c r="I38" i="11"/>
  <c r="H39" i="11"/>
  <c r="I87" i="11"/>
  <c r="H62" i="11"/>
  <c r="I64" i="11"/>
  <c r="G111" i="11"/>
  <c r="I63" i="11"/>
  <c r="G62" i="11"/>
  <c r="I39" i="11"/>
  <c r="I111" i="11"/>
  <c r="H88" i="11"/>
  <c r="I40" i="11"/>
  <c r="H89" i="11"/>
  <c r="G86" i="11"/>
  <c r="G63" i="11"/>
  <c r="H64" i="11"/>
  <c r="G64" i="11"/>
  <c r="I92" i="11"/>
  <c r="G139" i="11"/>
  <c r="C15" i="4" s="1"/>
  <c r="D15" i="4" s="1"/>
  <c r="G40" i="11"/>
  <c r="G112" i="11"/>
  <c r="I112" i="11"/>
  <c r="I131" i="11"/>
  <c r="I139" i="11"/>
  <c r="H38" i="11"/>
  <c r="G133" i="11"/>
  <c r="C19" i="4" s="1"/>
  <c r="D19" i="4" s="1"/>
  <c r="I89" i="11"/>
  <c r="I65" i="11"/>
  <c r="G41" i="11"/>
  <c r="G91" i="11"/>
  <c r="G135" i="11"/>
  <c r="G93" i="11"/>
  <c r="G137" i="11"/>
  <c r="G90" i="11"/>
  <c r="G65" i="11"/>
  <c r="H91" i="11"/>
  <c r="H139" i="11"/>
  <c r="H133" i="11"/>
  <c r="H137" i="11"/>
  <c r="I137" i="11"/>
  <c r="I135" i="11"/>
  <c r="I133" i="11"/>
  <c r="H41" i="11"/>
  <c r="H113" i="11"/>
  <c r="I62" i="11"/>
  <c r="G113" i="11"/>
  <c r="H92" i="11"/>
  <c r="H67" i="11"/>
  <c r="G92" i="11"/>
  <c r="I91" i="11"/>
  <c r="MV4" i="2" a="1"/>
  <c r="MV4" i="2" s="1"/>
  <c r="NB4" i="2" s="1" a="1"/>
  <c r="NB4" i="2" s="1"/>
  <c r="H42" i="11"/>
  <c r="H65" i="11"/>
  <c r="I113" i="11"/>
  <c r="G66" i="11"/>
  <c r="H66" i="11"/>
  <c r="I41" i="11"/>
  <c r="H114" i="11"/>
  <c r="G42" i="11"/>
  <c r="H69" i="11"/>
  <c r="I42" i="11"/>
  <c r="I66" i="11"/>
  <c r="G94" i="11"/>
  <c r="H112" i="11"/>
  <c r="I93" i="11"/>
  <c r="I94" i="11"/>
  <c r="H68" i="11"/>
  <c r="I115" i="11"/>
  <c r="H44" i="11"/>
  <c r="H115" i="11"/>
  <c r="I43" i="11"/>
  <c r="I67" i="11"/>
  <c r="I114" i="11"/>
  <c r="H45" i="11"/>
  <c r="I68" i="11"/>
  <c r="I44" i="11"/>
  <c r="H93" i="11"/>
  <c r="H43" i="11"/>
  <c r="H94" i="11"/>
  <c r="H116" i="11"/>
  <c r="I46" i="11"/>
  <c r="H95" i="11"/>
  <c r="H46" i="11"/>
  <c r="I45" i="11"/>
  <c r="I95" i="11"/>
  <c r="I116" i="11"/>
  <c r="I69" i="11"/>
  <c r="H70" i="11"/>
  <c r="I70" i="11"/>
  <c r="I118" i="11"/>
  <c r="I119" i="11"/>
  <c r="I117" i="11"/>
  <c r="H71" i="11"/>
  <c r="H117" i="11"/>
  <c r="H47" i="11"/>
  <c r="I71" i="11"/>
  <c r="I47" i="11"/>
  <c r="H118" i="11"/>
  <c r="H119" i="11"/>
  <c r="N62" i="7"/>
  <c r="N68" i="7"/>
  <c r="M25" i="7"/>
  <c r="C17" i="4" l="1"/>
  <c r="D17" i="4" s="1"/>
  <c r="C13" i="4"/>
  <c r="D13" i="4" s="1"/>
  <c r="C21" i="4"/>
  <c r="D21" i="4" s="1"/>
  <c r="D15" i="11"/>
  <c r="Y15" i="11" s="1" a="1"/>
  <c r="Y15" i="11" s="1"/>
  <c r="D14" i="11"/>
  <c r="D26" i="11"/>
  <c r="D16" i="11"/>
  <c r="Y16" i="11" s="1" a="1"/>
  <c r="Y16" i="11" s="1"/>
  <c r="G15" i="11"/>
  <c r="G16" i="11"/>
  <c r="F15" i="11"/>
  <c r="F17" i="11"/>
  <c r="I16" i="11"/>
  <c r="H16" i="11"/>
  <c r="D17" i="11"/>
  <c r="Y17" i="11" s="1" a="1"/>
  <c r="Y17" i="11" s="1"/>
  <c r="I14" i="11"/>
  <c r="I15" i="11"/>
  <c r="F14" i="11"/>
  <c r="I17" i="11"/>
  <c r="H15" i="11"/>
  <c r="G14" i="11"/>
  <c r="H14" i="11"/>
  <c r="G17" i="11"/>
  <c r="F16" i="11"/>
  <c r="H17" i="11"/>
  <c r="F18" i="11"/>
  <c r="I18" i="11"/>
  <c r="H18" i="11"/>
  <c r="D18" i="11"/>
  <c r="Y18" i="11" s="1" a="1"/>
  <c r="Y18" i="11" s="1"/>
  <c r="G18" i="11"/>
  <c r="F19" i="11"/>
  <c r="H19" i="11"/>
  <c r="G19" i="11"/>
  <c r="I19" i="11"/>
  <c r="D19" i="11"/>
  <c r="Y19" i="11" s="1" a="1"/>
  <c r="Y19" i="11" s="1"/>
  <c r="H20" i="11"/>
  <c r="I20" i="11"/>
  <c r="G20" i="11"/>
  <c r="F20" i="11"/>
  <c r="D20" i="11"/>
  <c r="Y20" i="11" s="1" a="1"/>
  <c r="Y20" i="11" s="1"/>
  <c r="I21" i="11"/>
  <c r="D21" i="11"/>
  <c r="Y21" i="11" s="1" a="1"/>
  <c r="Y21" i="11" s="1"/>
  <c r="F21" i="11"/>
  <c r="G21" i="11"/>
  <c r="H21" i="11"/>
  <c r="G22" i="11"/>
  <c r="I22" i="11"/>
  <c r="F22" i="11"/>
  <c r="H22" i="11"/>
  <c r="D22" i="11"/>
  <c r="Y22" i="11" s="1" a="1"/>
  <c r="Y22" i="11" s="1"/>
  <c r="H23" i="11"/>
  <c r="F23" i="11"/>
  <c r="I23" i="11"/>
  <c r="D23" i="11"/>
  <c r="Y23" i="11" s="1" a="1"/>
  <c r="Y23" i="11" s="1"/>
  <c r="G23" i="11"/>
  <c r="W118" i="11"/>
  <c r="Q118" i="11"/>
  <c r="S118" i="11" a="1"/>
  <c r="S118" i="11" s="1"/>
  <c r="K118" i="11"/>
  <c r="U39" i="11"/>
  <c r="O39" i="11"/>
  <c r="V65" i="11"/>
  <c r="P65" i="11"/>
  <c r="P112" i="11"/>
  <c r="V112" i="11"/>
  <c r="P64" i="11"/>
  <c r="V64" i="11"/>
  <c r="H78" i="11"/>
  <c r="H72" i="11"/>
  <c r="V62" i="11"/>
  <c r="H77" i="11"/>
  <c r="P62" i="11"/>
  <c r="W88" i="11"/>
  <c r="Q88" i="11"/>
  <c r="K88" i="11"/>
  <c r="S88" i="11" a="1"/>
  <c r="S88" i="11" s="1"/>
  <c r="K89" i="11"/>
  <c r="Q89" i="11"/>
  <c r="S89" i="11" a="1"/>
  <c r="S89" i="11" s="1"/>
  <c r="W89" i="11"/>
  <c r="U63" i="11"/>
  <c r="O63" i="11"/>
  <c r="W87" i="11"/>
  <c r="Q87" i="11"/>
  <c r="S87" i="11" a="1"/>
  <c r="S87" i="11" s="1"/>
  <c r="K87" i="11"/>
  <c r="S90" i="11" a="1"/>
  <c r="S90" i="11" s="1"/>
  <c r="Q90" i="11"/>
  <c r="K90" i="11"/>
  <c r="W90" i="11"/>
  <c r="S93" i="11" a="1"/>
  <c r="S93" i="11" s="1"/>
  <c r="W93" i="11"/>
  <c r="Q93" i="11"/>
  <c r="K93" i="11"/>
  <c r="P63" i="11"/>
  <c r="V63" i="11"/>
  <c r="U94" i="11"/>
  <c r="O94" i="11"/>
  <c r="G101" i="11"/>
  <c r="G102" i="11"/>
  <c r="G96" i="11"/>
  <c r="U86" i="11"/>
  <c r="O86" i="11"/>
  <c r="V39" i="11"/>
  <c r="P39" i="11"/>
  <c r="S86" i="11" a="1"/>
  <c r="S86" i="11" s="1"/>
  <c r="I102" i="11"/>
  <c r="K86" i="11"/>
  <c r="I101" i="11"/>
  <c r="I96" i="11"/>
  <c r="W86" i="11"/>
  <c r="Q86" i="11"/>
  <c r="V43" i="11"/>
  <c r="P43" i="11"/>
  <c r="S92" i="11" a="1"/>
  <c r="S92" i="11" s="1"/>
  <c r="W92" i="11"/>
  <c r="Q92" i="11"/>
  <c r="K92" i="11"/>
  <c r="S70" i="11" a="1"/>
  <c r="S70" i="11" s="1"/>
  <c r="Q70" i="11"/>
  <c r="K70" i="11"/>
  <c r="W70" i="11"/>
  <c r="S64" i="11" a="1"/>
  <c r="S64" i="11" s="1"/>
  <c r="K64" i="11"/>
  <c r="Q64" i="11"/>
  <c r="W64" i="11"/>
  <c r="W65" i="11"/>
  <c r="S65" i="11" a="1"/>
  <c r="S65" i="11" s="1"/>
  <c r="Q65" i="11"/>
  <c r="K65" i="11"/>
  <c r="W116" i="11"/>
  <c r="Q116" i="11"/>
  <c r="K116" i="11"/>
  <c r="S116" i="11" a="1"/>
  <c r="S116" i="11" s="1"/>
  <c r="W47" i="11"/>
  <c r="Q47" i="11"/>
  <c r="K47" i="11"/>
  <c r="S47" i="11" a="1"/>
  <c r="S47" i="11" s="1"/>
  <c r="W95" i="11"/>
  <c r="Q95" i="11"/>
  <c r="K95" i="11"/>
  <c r="S95" i="11" a="1"/>
  <c r="S95" i="11" s="1"/>
  <c r="K114" i="11"/>
  <c r="S114" i="11" a="1"/>
  <c r="S114" i="11" s="1"/>
  <c r="W114" i="11"/>
  <c r="Q114" i="11"/>
  <c r="W42" i="11"/>
  <c r="Q42" i="11"/>
  <c r="S42" i="11" a="1"/>
  <c r="S42" i="11" s="1"/>
  <c r="K42" i="11"/>
  <c r="U92" i="11"/>
  <c r="O92" i="11"/>
  <c r="H53" i="11"/>
  <c r="H54" i="11"/>
  <c r="P38" i="11"/>
  <c r="H48" i="11"/>
  <c r="V38" i="11"/>
  <c r="V89" i="11"/>
  <c r="P89" i="11"/>
  <c r="W38" i="11"/>
  <c r="Q38" i="11"/>
  <c r="I53" i="11"/>
  <c r="S38" i="11" a="1"/>
  <c r="S38" i="11" s="1"/>
  <c r="I48" i="11"/>
  <c r="I54" i="11"/>
  <c r="K38" i="11"/>
  <c r="V40" i="11"/>
  <c r="P40" i="11"/>
  <c r="N49" i="7"/>
  <c r="N21" i="7"/>
  <c r="N51" i="7"/>
  <c r="N50" i="7"/>
  <c r="N15" i="7"/>
  <c r="N27" i="7" s="1"/>
  <c r="N22" i="7"/>
  <c r="N18" i="7"/>
  <c r="N20" i="7"/>
  <c r="N19" i="7"/>
  <c r="N17" i="7"/>
  <c r="S119" i="11" a="1"/>
  <c r="S119" i="11" s="1"/>
  <c r="K119" i="11"/>
  <c r="Q119" i="11"/>
  <c r="W119" i="11"/>
  <c r="U91" i="11"/>
  <c r="O91" i="11"/>
  <c r="U64" i="11"/>
  <c r="O64" i="11"/>
  <c r="N82" i="7"/>
  <c r="N66" i="7"/>
  <c r="N65" i="7"/>
  <c r="O59" i="7"/>
  <c r="K68" i="11"/>
  <c r="W68" i="11"/>
  <c r="Q68" i="11"/>
  <c r="S68" i="11" a="1"/>
  <c r="S68" i="11" s="1"/>
  <c r="K45" i="11"/>
  <c r="W45" i="11"/>
  <c r="Q45" i="11"/>
  <c r="S45" i="11" a="1"/>
  <c r="S45" i="11" s="1"/>
  <c r="W40" i="11"/>
  <c r="Q40" i="11"/>
  <c r="K40" i="11"/>
  <c r="S40" i="11" a="1"/>
  <c r="S40" i="11" s="1"/>
  <c r="V90" i="11"/>
  <c r="P90" i="11"/>
  <c r="V87" i="11"/>
  <c r="P87" i="11"/>
  <c r="K94" i="11"/>
  <c r="W94" i="11"/>
  <c r="Q94" i="11"/>
  <c r="S94" i="11" a="1"/>
  <c r="S94" i="11" s="1"/>
  <c r="U111" i="11"/>
  <c r="O111" i="11"/>
  <c r="V45" i="11"/>
  <c r="P45" i="11"/>
  <c r="K67" i="11"/>
  <c r="W67" i="11"/>
  <c r="Q67" i="11"/>
  <c r="S67" i="11" a="1"/>
  <c r="S67" i="11" s="1"/>
  <c r="V47" i="11"/>
  <c r="P47" i="11"/>
  <c r="V46" i="11"/>
  <c r="P46" i="11"/>
  <c r="S43" i="11" a="1"/>
  <c r="S43" i="11" s="1"/>
  <c r="W43" i="11"/>
  <c r="Q43" i="11"/>
  <c r="K43" i="11"/>
  <c r="U42" i="11"/>
  <c r="O42" i="11"/>
  <c r="V92" i="11"/>
  <c r="P92" i="11"/>
  <c r="U65" i="11"/>
  <c r="O65" i="11"/>
  <c r="V88" i="11"/>
  <c r="P88" i="11"/>
  <c r="U88" i="11"/>
  <c r="O88" i="11"/>
  <c r="U41" i="11"/>
  <c r="O41" i="11"/>
  <c r="K44" i="11"/>
  <c r="S44" i="11" a="1"/>
  <c r="S44" i="11" s="1"/>
  <c r="Q44" i="11"/>
  <c r="W44" i="11"/>
  <c r="W69" i="11"/>
  <c r="Q69" i="11"/>
  <c r="K69" i="11"/>
  <c r="S69" i="11" a="1"/>
  <c r="S69" i="11" s="1"/>
  <c r="K91" i="11"/>
  <c r="S91" i="11" a="1"/>
  <c r="S91" i="11" s="1"/>
  <c r="W91" i="11"/>
  <c r="Q91" i="11"/>
  <c r="V69" i="11"/>
  <c r="P69" i="11"/>
  <c r="V115" i="11"/>
  <c r="P115" i="11"/>
  <c r="O113" i="11"/>
  <c r="U113" i="11"/>
  <c r="W112" i="11"/>
  <c r="Q112" i="11"/>
  <c r="K112" i="11"/>
  <c r="S112" i="11" a="1"/>
  <c r="S112" i="11" s="1"/>
  <c r="K111" i="11"/>
  <c r="Q111" i="11"/>
  <c r="S111" i="11" a="1"/>
  <c r="S111" i="11" s="1"/>
  <c r="W111" i="11"/>
  <c r="K110" i="11"/>
  <c r="I120" i="11"/>
  <c r="W110" i="11"/>
  <c r="Q110" i="11"/>
  <c r="I125" i="11"/>
  <c r="S110" i="11" a="1"/>
  <c r="S110" i="11" s="1"/>
  <c r="I126" i="11"/>
  <c r="P111" i="11"/>
  <c r="V111" i="11"/>
  <c r="W113" i="11"/>
  <c r="S113" i="11" a="1"/>
  <c r="S113" i="11" s="1"/>
  <c r="Q113" i="11"/>
  <c r="K113" i="11"/>
  <c r="V93" i="11"/>
  <c r="P93" i="11"/>
  <c r="G54" i="11"/>
  <c r="O38" i="11"/>
  <c r="G48" i="11"/>
  <c r="U38" i="11"/>
  <c r="G53" i="11"/>
  <c r="P42" i="11"/>
  <c r="V42" i="11"/>
  <c r="V118" i="11"/>
  <c r="P118" i="11"/>
  <c r="S71" i="11" a="1"/>
  <c r="S71" i="11" s="1"/>
  <c r="Q71" i="11"/>
  <c r="K71" i="11"/>
  <c r="W71" i="11"/>
  <c r="V91" i="11"/>
  <c r="P91" i="11"/>
  <c r="V117" i="11"/>
  <c r="P117" i="11"/>
  <c r="V114" i="11"/>
  <c r="P114" i="11"/>
  <c r="U90" i="11"/>
  <c r="O90" i="11"/>
  <c r="P71" i="11"/>
  <c r="V71" i="11"/>
  <c r="W46" i="11"/>
  <c r="Q46" i="11"/>
  <c r="K46" i="11"/>
  <c r="S46" i="11" a="1"/>
  <c r="S46" i="11" s="1"/>
  <c r="P44" i="11"/>
  <c r="V44" i="11"/>
  <c r="S41" i="11" a="1"/>
  <c r="S41" i="11" s="1"/>
  <c r="W41" i="11"/>
  <c r="Q41" i="11"/>
  <c r="K41" i="11"/>
  <c r="I72" i="11"/>
  <c r="K62" i="11"/>
  <c r="S62" i="11" a="1"/>
  <c r="S62" i="11" s="1"/>
  <c r="W62" i="11"/>
  <c r="I78" i="11"/>
  <c r="Q62" i="11"/>
  <c r="I77" i="11"/>
  <c r="O112" i="11"/>
  <c r="U112" i="11"/>
  <c r="W39" i="11"/>
  <c r="Q39" i="11"/>
  <c r="K39" i="11"/>
  <c r="S39" i="11" a="1"/>
  <c r="S39" i="11" s="1"/>
  <c r="V110" i="11"/>
  <c r="P110" i="11"/>
  <c r="H125" i="11"/>
  <c r="H126" i="11"/>
  <c r="H120" i="11"/>
  <c r="P70" i="11"/>
  <c r="V70" i="11"/>
  <c r="P119" i="11"/>
  <c r="V119" i="11"/>
  <c r="K66" i="11"/>
  <c r="W66" i="11"/>
  <c r="S66" i="11" a="1"/>
  <c r="S66" i="11" s="1"/>
  <c r="Q66" i="11"/>
  <c r="V67" i="11"/>
  <c r="P67" i="11"/>
  <c r="V95" i="11"/>
  <c r="P95" i="11"/>
  <c r="W117" i="11"/>
  <c r="Q117" i="11"/>
  <c r="K117" i="11"/>
  <c r="S117" i="11" a="1"/>
  <c r="S117" i="11" s="1"/>
  <c r="P116" i="11"/>
  <c r="V116" i="11"/>
  <c r="K115" i="11"/>
  <c r="S115" i="11" a="1"/>
  <c r="S115" i="11" s="1"/>
  <c r="W115" i="11"/>
  <c r="Q115" i="11"/>
  <c r="V66" i="11"/>
  <c r="P66" i="11"/>
  <c r="V113" i="11"/>
  <c r="P113" i="11"/>
  <c r="O93" i="11"/>
  <c r="U93" i="11"/>
  <c r="U40" i="11"/>
  <c r="O40" i="11"/>
  <c r="U62" i="11"/>
  <c r="O62" i="11"/>
  <c r="G72" i="11"/>
  <c r="G77" i="11"/>
  <c r="G78" i="11"/>
  <c r="G120" i="11"/>
  <c r="U110" i="11"/>
  <c r="O110" i="11"/>
  <c r="G125" i="11"/>
  <c r="G126" i="11"/>
  <c r="U89" i="11"/>
  <c r="O89" i="11"/>
  <c r="V94" i="11"/>
  <c r="P94" i="11"/>
  <c r="V68" i="11"/>
  <c r="P68" i="11"/>
  <c r="U66" i="11"/>
  <c r="O66" i="11"/>
  <c r="V41" i="11"/>
  <c r="P41" i="11"/>
  <c r="K63" i="11"/>
  <c r="Q63" i="11"/>
  <c r="S63" i="11" a="1"/>
  <c r="S63" i="11" s="1"/>
  <c r="W63" i="11"/>
  <c r="V86" i="11"/>
  <c r="P86" i="11"/>
  <c r="H102" i="11"/>
  <c r="H101" i="11"/>
  <c r="H96" i="11"/>
  <c r="U87" i="11"/>
  <c r="O87" i="11"/>
  <c r="R86" i="11" l="1" a="1"/>
  <c r="R86" i="11" s="1"/>
  <c r="L86" i="11"/>
  <c r="M95" i="11"/>
  <c r="M96" i="11" s="1"/>
  <c r="M98" i="11" s="1"/>
  <c r="M86" i="11"/>
  <c r="M91" i="11"/>
  <c r="M92" i="11"/>
  <c r="M90" i="11"/>
  <c r="M88" i="11"/>
  <c r="M89" i="11"/>
  <c r="M94" i="11"/>
  <c r="M87" i="11"/>
  <c r="M93" i="11"/>
  <c r="U102" i="11"/>
  <c r="O102" i="11"/>
  <c r="R90" i="11" a="1"/>
  <c r="R90" i="11" s="1"/>
  <c r="L90" i="11"/>
  <c r="U125" i="11"/>
  <c r="O125" i="11"/>
  <c r="R40" i="11" a="1"/>
  <c r="R40" i="11" s="1"/>
  <c r="L40" i="11"/>
  <c r="O20" i="11"/>
  <c r="U20" i="11"/>
  <c r="V16" i="11"/>
  <c r="P16" i="11"/>
  <c r="U126" i="11"/>
  <c r="O126" i="11"/>
  <c r="V23" i="11"/>
  <c r="P23" i="11"/>
  <c r="K101" i="11"/>
  <c r="S101" i="11" a="1"/>
  <c r="S101" i="11" s="1"/>
  <c r="Q101" i="11"/>
  <c r="W101" i="11"/>
  <c r="P22" i="11"/>
  <c r="V22" i="11"/>
  <c r="W20" i="11"/>
  <c r="Q20" i="11"/>
  <c r="R20" i="11" s="1" a="1"/>
  <c r="R20" i="11" s="1"/>
  <c r="K20" i="11"/>
  <c r="S20" i="11" a="1"/>
  <c r="S20" i="11" s="1"/>
  <c r="L20" i="11"/>
  <c r="V17" i="11"/>
  <c r="P17" i="11"/>
  <c r="W16" i="11"/>
  <c r="Q16" i="11"/>
  <c r="R16" i="11" s="1" a="1"/>
  <c r="R16" i="11" s="1"/>
  <c r="K16" i="11"/>
  <c r="L16" i="11"/>
  <c r="S16" i="11" a="1"/>
  <c r="S16" i="11" s="1"/>
  <c r="V120" i="11"/>
  <c r="P120" i="11"/>
  <c r="H122" i="11"/>
  <c r="U48" i="11"/>
  <c r="O48" i="11"/>
  <c r="G50" i="11"/>
  <c r="L112" i="11"/>
  <c r="R112" i="11" a="1"/>
  <c r="R112" i="11" s="1"/>
  <c r="V48" i="11"/>
  <c r="P48" i="11"/>
  <c r="H50" i="11"/>
  <c r="H134" i="11" s="1"/>
  <c r="R116" i="11" a="1"/>
  <c r="R116" i="11" s="1"/>
  <c r="L116" i="11"/>
  <c r="L70" i="11"/>
  <c r="R70" i="11" a="1"/>
  <c r="R70" i="11" s="1"/>
  <c r="R87" i="11" a="1"/>
  <c r="R87" i="11" s="1"/>
  <c r="L87" i="11"/>
  <c r="V20" i="11"/>
  <c r="P20" i="11"/>
  <c r="O62" i="7"/>
  <c r="O68" i="7"/>
  <c r="L47" i="11"/>
  <c r="R47" i="11" a="1"/>
  <c r="R47" i="11" s="1"/>
  <c r="P18" i="11"/>
  <c r="V18" i="11"/>
  <c r="O101" i="11"/>
  <c r="U101" i="11"/>
  <c r="R117" i="11" a="1"/>
  <c r="R117" i="11" s="1"/>
  <c r="L117" i="11"/>
  <c r="S96" i="11" a="1"/>
  <c r="S96" i="11" s="1"/>
  <c r="K96" i="11"/>
  <c r="W96" i="11"/>
  <c r="Q96" i="11"/>
  <c r="I98" i="11"/>
  <c r="I138" i="11" s="1"/>
  <c r="O120" i="11"/>
  <c r="U120" i="11"/>
  <c r="G122" i="11"/>
  <c r="V126" i="11"/>
  <c r="P126" i="11"/>
  <c r="R94" i="11" a="1"/>
  <c r="R94" i="11" s="1"/>
  <c r="L94" i="11"/>
  <c r="R45" i="11" a="1"/>
  <c r="R45" i="11" s="1"/>
  <c r="L45" i="11"/>
  <c r="W102" i="11"/>
  <c r="Q102" i="11"/>
  <c r="K102" i="11"/>
  <c r="S102" i="11" a="1"/>
  <c r="S102" i="11" s="1"/>
  <c r="V77" i="11"/>
  <c r="P77" i="11"/>
  <c r="L22" i="11"/>
  <c r="K22" i="11"/>
  <c r="Q22" i="11"/>
  <c r="R22" i="11" s="1" a="1"/>
  <c r="R22" i="11" s="1"/>
  <c r="S22" i="11" a="1"/>
  <c r="S22" i="11" s="1"/>
  <c r="W22" i="11"/>
  <c r="U17" i="11"/>
  <c r="O17" i="11"/>
  <c r="L113" i="11"/>
  <c r="R113" i="11" a="1"/>
  <c r="R113" i="11" s="1"/>
  <c r="R39" i="11" a="1"/>
  <c r="R39" i="11" s="1"/>
  <c r="L39" i="11"/>
  <c r="R41" i="11" a="1"/>
  <c r="R41" i="11" s="1"/>
  <c r="L41" i="11"/>
  <c r="N45" i="7"/>
  <c r="N42" i="7"/>
  <c r="N71" i="7"/>
  <c r="N72" i="7" s="1"/>
  <c r="N44" i="7"/>
  <c r="N43" i="7"/>
  <c r="O10" i="7"/>
  <c r="N81" i="7"/>
  <c r="L63" i="11"/>
  <c r="R63" i="11" a="1"/>
  <c r="R63" i="11" s="1"/>
  <c r="R91" i="11" a="1"/>
  <c r="R91" i="11" s="1"/>
  <c r="L91" i="11"/>
  <c r="S77" i="11" a="1"/>
  <c r="S77" i="11" s="1"/>
  <c r="K77" i="11"/>
  <c r="W77" i="11"/>
  <c r="Q77" i="11"/>
  <c r="S126" i="11" a="1"/>
  <c r="S126" i="11" s="1"/>
  <c r="K126" i="11"/>
  <c r="W126" i="11"/>
  <c r="Q126" i="11"/>
  <c r="L62" i="11"/>
  <c r="R62" i="11" a="1"/>
  <c r="R62" i="11" s="1"/>
  <c r="M71" i="11"/>
  <c r="M72" i="11" s="1"/>
  <c r="M74" i="11" s="1"/>
  <c r="M62" i="11"/>
  <c r="M63" i="11"/>
  <c r="M66" i="11"/>
  <c r="M68" i="11"/>
  <c r="M69" i="11"/>
  <c r="M64" i="11"/>
  <c r="M65" i="11"/>
  <c r="M70" i="11"/>
  <c r="M67" i="11"/>
  <c r="V96" i="11"/>
  <c r="H138" i="11"/>
  <c r="P96" i="11"/>
  <c r="H98" i="11"/>
  <c r="U78" i="11"/>
  <c r="O78" i="11"/>
  <c r="S78" i="11" a="1"/>
  <c r="S78" i="11" s="1"/>
  <c r="K78" i="11"/>
  <c r="Q78" i="11"/>
  <c r="W78" i="11"/>
  <c r="K125" i="11"/>
  <c r="W125" i="11"/>
  <c r="Q125" i="11"/>
  <c r="S125" i="11" a="1"/>
  <c r="S125" i="11" s="1"/>
  <c r="P101" i="11"/>
  <c r="V101" i="11"/>
  <c r="U77" i="11"/>
  <c r="O77" i="11"/>
  <c r="R115" i="11" a="1"/>
  <c r="R115" i="11" s="1"/>
  <c r="L115" i="11"/>
  <c r="V125" i="11"/>
  <c r="P125" i="11"/>
  <c r="R46" i="11" a="1"/>
  <c r="R46" i="11" s="1"/>
  <c r="L46" i="11"/>
  <c r="U54" i="11"/>
  <c r="O54" i="11"/>
  <c r="L110" i="11"/>
  <c r="R110" i="11" a="1"/>
  <c r="R110" i="11" s="1"/>
  <c r="M112" i="11"/>
  <c r="M117" i="11"/>
  <c r="M119" i="11"/>
  <c r="M120" i="11" s="1"/>
  <c r="M122" i="11" s="1"/>
  <c r="M113" i="11"/>
  <c r="M114" i="11"/>
  <c r="M118" i="11"/>
  <c r="M115" i="11"/>
  <c r="M111" i="11"/>
  <c r="M116" i="11"/>
  <c r="M110" i="11"/>
  <c r="R69" i="11" a="1"/>
  <c r="R69" i="11" s="1"/>
  <c r="L69" i="11"/>
  <c r="N26" i="7"/>
  <c r="V54" i="11"/>
  <c r="P54" i="11"/>
  <c r="O22" i="11"/>
  <c r="U22" i="11"/>
  <c r="Q19" i="11"/>
  <c r="R19" i="11" s="1" a="1"/>
  <c r="R19" i="11" s="1"/>
  <c r="W19" i="11"/>
  <c r="S19" i="11" a="1"/>
  <c r="S19" i="11" s="1"/>
  <c r="L19" i="11"/>
  <c r="K19" i="11"/>
  <c r="V14" i="11"/>
  <c r="H29" i="11"/>
  <c r="H30" i="11"/>
  <c r="H24" i="11"/>
  <c r="P14" i="11"/>
  <c r="O16" i="11"/>
  <c r="U16" i="11"/>
  <c r="L111" i="11"/>
  <c r="R111" i="11" a="1"/>
  <c r="R111" i="11" s="1"/>
  <c r="N28" i="7"/>
  <c r="W18" i="11"/>
  <c r="K18" i="11"/>
  <c r="Q18" i="11"/>
  <c r="R18" i="11" s="1" a="1"/>
  <c r="R18" i="11" s="1"/>
  <c r="S18" i="11" a="1"/>
  <c r="S18" i="11" s="1"/>
  <c r="L18" i="11"/>
  <c r="U53" i="11"/>
  <c r="O53" i="11"/>
  <c r="N29" i="7"/>
  <c r="L114" i="11"/>
  <c r="R114" i="11" a="1"/>
  <c r="R114" i="11" s="1"/>
  <c r="R88" i="11" a="1"/>
  <c r="R88" i="11" s="1"/>
  <c r="L88" i="11"/>
  <c r="V102" i="11"/>
  <c r="P102" i="11"/>
  <c r="U72" i="11"/>
  <c r="O72" i="11"/>
  <c r="G74" i="11"/>
  <c r="W54" i="11"/>
  <c r="Q54" i="11"/>
  <c r="S54" i="11" a="1"/>
  <c r="S54" i="11" s="1"/>
  <c r="K54" i="11"/>
  <c r="V53" i="11"/>
  <c r="P53" i="11"/>
  <c r="L65" i="11"/>
  <c r="R65" i="11" a="1"/>
  <c r="R65" i="11" s="1"/>
  <c r="R92" i="11" a="1"/>
  <c r="R92" i="11" s="1"/>
  <c r="L92" i="11"/>
  <c r="R93" i="11" a="1"/>
  <c r="R93" i="11" s="1"/>
  <c r="L93" i="11"/>
  <c r="V72" i="11"/>
  <c r="P72" i="11"/>
  <c r="H74" i="11"/>
  <c r="L118" i="11"/>
  <c r="R118" i="11" a="1"/>
  <c r="R118" i="11" s="1"/>
  <c r="V21" i="11"/>
  <c r="P21" i="11"/>
  <c r="O19" i="11"/>
  <c r="U19" i="11"/>
  <c r="G24" i="11"/>
  <c r="O14" i="11"/>
  <c r="U14" i="11"/>
  <c r="G29" i="11"/>
  <c r="G30" i="11"/>
  <c r="O15" i="11"/>
  <c r="U15" i="11"/>
  <c r="L42" i="11"/>
  <c r="R42" i="11" a="1"/>
  <c r="R42" i="11" s="1"/>
  <c r="I30" i="11"/>
  <c r="K14" i="11"/>
  <c r="L14" i="11"/>
  <c r="I24" i="11"/>
  <c r="C53" i="4" s="1"/>
  <c r="D53" i="4" s="1"/>
  <c r="Q14" i="11"/>
  <c r="R14" i="11" s="1" a="1"/>
  <c r="R14" i="11" s="1"/>
  <c r="W14" i="11"/>
  <c r="I29" i="11"/>
  <c r="S14" i="11" a="1"/>
  <c r="S14" i="11" s="1"/>
  <c r="M18" i="11"/>
  <c r="M19" i="11"/>
  <c r="M15" i="11"/>
  <c r="M20" i="11"/>
  <c r="M21" i="11"/>
  <c r="M22" i="11"/>
  <c r="M23" i="11"/>
  <c r="M24" i="11" s="1"/>
  <c r="M26" i="11" s="1"/>
  <c r="M16" i="11"/>
  <c r="M14" i="11"/>
  <c r="M17" i="11"/>
  <c r="L43" i="11"/>
  <c r="R43" i="11" a="1"/>
  <c r="R43" i="11" s="1"/>
  <c r="R66" i="11" a="1"/>
  <c r="R66" i="11" s="1"/>
  <c r="L66" i="11"/>
  <c r="I134" i="11"/>
  <c r="Q48" i="11"/>
  <c r="K48" i="11"/>
  <c r="W48" i="11"/>
  <c r="S48" i="11" a="1"/>
  <c r="S48" i="11" s="1"/>
  <c r="I50" i="11"/>
  <c r="R95" i="11" a="1"/>
  <c r="R95" i="11" s="1"/>
  <c r="L95" i="11"/>
  <c r="P78" i="11"/>
  <c r="V78" i="11"/>
  <c r="O21" i="11"/>
  <c r="U21" i="11"/>
  <c r="V19" i="11"/>
  <c r="P19" i="11"/>
  <c r="P15" i="11"/>
  <c r="V15" i="11"/>
  <c r="R71" i="11" a="1"/>
  <c r="R71" i="11" s="1"/>
  <c r="L71" i="11"/>
  <c r="W120" i="11"/>
  <c r="Q120" i="11"/>
  <c r="S120" i="11" a="1"/>
  <c r="S120" i="11" s="1"/>
  <c r="K120" i="11"/>
  <c r="I122" i="11"/>
  <c r="N25" i="7"/>
  <c r="K72" i="11"/>
  <c r="W72" i="11"/>
  <c r="Q72" i="11"/>
  <c r="S72" i="11" a="1"/>
  <c r="S72" i="11" s="1"/>
  <c r="I74" i="11"/>
  <c r="I136" i="11" s="1"/>
  <c r="L44" i="11"/>
  <c r="R44" i="11" a="1"/>
  <c r="R44" i="11" s="1"/>
  <c r="R67" i="11" a="1"/>
  <c r="R67" i="11" s="1"/>
  <c r="L67" i="11"/>
  <c r="R68" i="11" a="1"/>
  <c r="R68" i="11" s="1"/>
  <c r="L68" i="11"/>
  <c r="L119" i="11"/>
  <c r="R119" i="11" a="1"/>
  <c r="R119" i="11" s="1"/>
  <c r="N24" i="7"/>
  <c r="U23" i="11"/>
  <c r="O23" i="11"/>
  <c r="S17" i="11" a="1"/>
  <c r="S17" i="11" s="1"/>
  <c r="K17" i="11"/>
  <c r="W17" i="11"/>
  <c r="Q17" i="11"/>
  <c r="R17" i="11" s="1" a="1"/>
  <c r="R17" i="11" s="1"/>
  <c r="L17" i="11"/>
  <c r="W53" i="11"/>
  <c r="Q53" i="11"/>
  <c r="S53" i="11" a="1"/>
  <c r="S53" i="11" s="1"/>
  <c r="K53" i="11"/>
  <c r="L89" i="11"/>
  <c r="R89" i="11" a="1"/>
  <c r="R89" i="11" s="1"/>
  <c r="U18" i="11"/>
  <c r="O18" i="11"/>
  <c r="F24" i="11"/>
  <c r="F29" i="11"/>
  <c r="F30" i="11"/>
  <c r="D24" i="11"/>
  <c r="Y14" i="11" a="1"/>
  <c r="Y14" i="11" s="1"/>
  <c r="R38" i="11" a="1"/>
  <c r="R38" i="11" s="1"/>
  <c r="L38" i="11"/>
  <c r="M43" i="11"/>
  <c r="M44" i="11"/>
  <c r="M45" i="11"/>
  <c r="M40" i="11"/>
  <c r="M38" i="11"/>
  <c r="M46" i="11"/>
  <c r="M39" i="11"/>
  <c r="M42" i="11"/>
  <c r="M47" i="11"/>
  <c r="M48" i="11" s="1"/>
  <c r="M50" i="11" s="1"/>
  <c r="M41" i="11"/>
  <c r="L64" i="11"/>
  <c r="R64" i="11" a="1"/>
  <c r="R64" i="11" s="1"/>
  <c r="U96" i="11"/>
  <c r="G138" i="11"/>
  <c r="C18" i="4" s="1"/>
  <c r="D18" i="4" s="1"/>
  <c r="O96" i="11"/>
  <c r="G98" i="11"/>
  <c r="L23" i="11"/>
  <c r="W23" i="11"/>
  <c r="K23" i="11"/>
  <c r="S23" i="11" a="1"/>
  <c r="S23" i="11" s="1"/>
  <c r="Q23" i="11"/>
  <c r="R23" i="11" s="1" a="1"/>
  <c r="R23" i="11" s="1"/>
  <c r="S21" i="11" a="1"/>
  <c r="S21" i="11" s="1"/>
  <c r="K21" i="11"/>
  <c r="Q21" i="11"/>
  <c r="R21" i="11" s="1" a="1"/>
  <c r="R21" i="11" s="1"/>
  <c r="W21" i="11"/>
  <c r="L21" i="11"/>
  <c r="S15" i="11" a="1"/>
  <c r="S15" i="11" s="1"/>
  <c r="Q15" i="11"/>
  <c r="R15" i="11" s="1" a="1"/>
  <c r="R15" i="11" s="1"/>
  <c r="L15" i="11"/>
  <c r="W15" i="11"/>
  <c r="K15" i="11"/>
  <c r="W122" i="11" l="1"/>
  <c r="Q122" i="11"/>
  <c r="S122" i="11" a="1"/>
  <c r="S122" i="11" s="1"/>
  <c r="K122" i="11"/>
  <c r="V74" i="11"/>
  <c r="P74" i="11"/>
  <c r="O30" i="11"/>
  <c r="U30" i="11"/>
  <c r="H136" i="11"/>
  <c r="L78" i="11"/>
  <c r="M78" i="11" s="1"/>
  <c r="R78" i="11" a="1"/>
  <c r="R78" i="11" s="1"/>
  <c r="O66" i="7"/>
  <c r="P59" i="7"/>
  <c r="O82" i="7"/>
  <c r="O65" i="7"/>
  <c r="O15" i="7"/>
  <c r="O27" i="7" s="1"/>
  <c r="O49" i="7"/>
  <c r="O51" i="7"/>
  <c r="O21" i="7"/>
  <c r="O50" i="7"/>
  <c r="O22" i="7"/>
  <c r="O19" i="7"/>
  <c r="O20" i="7"/>
  <c r="O18" i="7"/>
  <c r="O29" i="7"/>
  <c r="O24" i="7"/>
  <c r="O17" i="7"/>
  <c r="I140" i="11"/>
  <c r="U29" i="11"/>
  <c r="O29" i="11"/>
  <c r="R54" i="11" a="1"/>
  <c r="R54" i="11" s="1"/>
  <c r="L54" i="11"/>
  <c r="M54" i="11" s="1"/>
  <c r="R77" i="11" a="1"/>
  <c r="R77" i="11" s="1"/>
  <c r="L77" i="11"/>
  <c r="M77" i="11" s="1"/>
  <c r="V50" i="11"/>
  <c r="P50" i="11"/>
  <c r="L29" i="11"/>
  <c r="M29" i="11" s="1"/>
  <c r="K29" i="11"/>
  <c r="Q29" i="11"/>
  <c r="R29" i="11" s="1" a="1"/>
  <c r="R29" i="11" s="1"/>
  <c r="W29" i="11"/>
  <c r="S29" i="11" a="1"/>
  <c r="S29" i="11" s="1"/>
  <c r="F26" i="11"/>
  <c r="F132" i="11" s="1"/>
  <c r="L120" i="11"/>
  <c r="R120" i="11" a="1"/>
  <c r="R120" i="11" s="1"/>
  <c r="R101" i="11" a="1"/>
  <c r="R101" i="11" s="1"/>
  <c r="L101" i="11"/>
  <c r="M101" i="11" s="1"/>
  <c r="K98" i="11"/>
  <c r="W98" i="11"/>
  <c r="Q98" i="11"/>
  <c r="S98" i="11" a="1"/>
  <c r="S98" i="11" s="1"/>
  <c r="U74" i="11"/>
  <c r="O74" i="11"/>
  <c r="V24" i="11"/>
  <c r="P24" i="11"/>
  <c r="H26" i="11"/>
  <c r="H132" i="11" s="1"/>
  <c r="U50" i="11"/>
  <c r="O50" i="11"/>
  <c r="L53" i="11"/>
  <c r="M53" i="11" s="1"/>
  <c r="R53" i="11" a="1"/>
  <c r="R53" i="11" s="1"/>
  <c r="R102" i="11" a="1"/>
  <c r="R102" i="11" s="1"/>
  <c r="L102" i="11"/>
  <c r="M102" i="11" s="1"/>
  <c r="S74" i="11" a="1"/>
  <c r="S74" i="11" s="1"/>
  <c r="W74" i="11"/>
  <c r="K74" i="11"/>
  <c r="Q74" i="11"/>
  <c r="U98" i="11"/>
  <c r="O98" i="11"/>
  <c r="S50" i="11" a="1"/>
  <c r="S50" i="11" s="1"/>
  <c r="W50" i="11"/>
  <c r="Q50" i="11"/>
  <c r="K50" i="11"/>
  <c r="L24" i="11"/>
  <c r="W24" i="11"/>
  <c r="S24" i="11" a="1"/>
  <c r="S24" i="11" s="1"/>
  <c r="K24" i="11"/>
  <c r="Q24" i="11"/>
  <c r="R24" i="11" s="1" a="1"/>
  <c r="R24" i="11" s="1"/>
  <c r="I26" i="11"/>
  <c r="G132" i="11"/>
  <c r="U24" i="11"/>
  <c r="O24" i="11"/>
  <c r="G26" i="11"/>
  <c r="G136" i="11"/>
  <c r="C22" i="4" s="1"/>
  <c r="D22" i="4" s="1"/>
  <c r="P30" i="11"/>
  <c r="V30" i="11"/>
  <c r="V29" i="11"/>
  <c r="P29" i="11"/>
  <c r="V98" i="11"/>
  <c r="P98" i="11"/>
  <c r="O122" i="11"/>
  <c r="U122" i="11"/>
  <c r="R72" i="11" a="1"/>
  <c r="R72" i="11" s="1"/>
  <c r="L72" i="11"/>
  <c r="G134" i="11"/>
  <c r="C20" i="4" s="1"/>
  <c r="D20" i="4" s="1"/>
  <c r="R126" i="11" a="1"/>
  <c r="R126" i="11" s="1"/>
  <c r="L126" i="11"/>
  <c r="M126" i="11" s="1"/>
  <c r="P122" i="11"/>
  <c r="V122" i="11"/>
  <c r="R96" i="11" a="1"/>
  <c r="R96" i="11" s="1"/>
  <c r="L96" i="11"/>
  <c r="K30" i="11"/>
  <c r="S30" i="11" a="1"/>
  <c r="S30" i="11" s="1"/>
  <c r="Q30" i="11"/>
  <c r="R30" i="11" s="1" a="1"/>
  <c r="R30" i="11" s="1"/>
  <c r="W30" i="11"/>
  <c r="L30" i="11"/>
  <c r="M30" i="11" s="1"/>
  <c r="R48" i="11" a="1"/>
  <c r="R48" i="11" s="1"/>
  <c r="L48" i="11"/>
  <c r="L125" i="11"/>
  <c r="M125" i="11" s="1"/>
  <c r="R125" i="11" a="1"/>
  <c r="R125" i="11" s="1"/>
  <c r="G140" i="11"/>
  <c r="H140" i="11"/>
  <c r="O25" i="7" l="1"/>
  <c r="O28" i="7"/>
  <c r="C16" i="4"/>
  <c r="D16" i="4" s="1"/>
  <c r="K26" i="11"/>
  <c r="W26" i="11"/>
  <c r="Q26" i="11"/>
  <c r="R26" i="11" s="1" a="1"/>
  <c r="R26" i="11" s="1"/>
  <c r="L26" i="11"/>
  <c r="S26" i="11" a="1"/>
  <c r="S26" i="11" s="1"/>
  <c r="L74" i="11"/>
  <c r="R74" i="11" a="1"/>
  <c r="R74" i="11" s="1"/>
  <c r="R98" i="11" a="1"/>
  <c r="R98" i="11" s="1"/>
  <c r="L98" i="11"/>
  <c r="I132" i="11"/>
  <c r="C14" i="4" s="1"/>
  <c r="D14" i="4" s="1"/>
  <c r="O26" i="11"/>
  <c r="U26" i="11"/>
  <c r="L50" i="11"/>
  <c r="R50" i="11" a="1"/>
  <c r="R50" i="11" s="1"/>
  <c r="O45" i="7"/>
  <c r="O71" i="7"/>
  <c r="O72" i="7" s="1"/>
  <c r="P10" i="7"/>
  <c r="O44" i="7"/>
  <c r="O42" i="7"/>
  <c r="O43" i="7"/>
  <c r="O81" i="7"/>
  <c r="O26" i="7"/>
  <c r="R122" i="11" a="1"/>
  <c r="R122" i="11" s="1"/>
  <c r="L122" i="11"/>
  <c r="V26" i="11"/>
  <c r="P26" i="11"/>
  <c r="P62" i="7"/>
  <c r="P68" i="7"/>
  <c r="E7" i="4" l="1" a="1"/>
  <c r="E7" i="4" s="1"/>
  <c r="C30" i="4" a="1"/>
  <c r="C30" i="4" s="1"/>
  <c r="C42" i="4" a="1"/>
  <c r="C42" i="4" s="1"/>
  <c r="E42" i="4" a="1"/>
  <c r="E42" i="4" s="1"/>
  <c r="E30" i="4" a="1"/>
  <c r="E30" i="4" s="1"/>
  <c r="P15" i="7"/>
  <c r="P29" i="7" s="1"/>
  <c r="P49" i="7"/>
  <c r="P22" i="7"/>
  <c r="P51" i="7"/>
  <c r="P21" i="7"/>
  <c r="P50" i="7"/>
  <c r="P18" i="7"/>
  <c r="P17" i="7"/>
  <c r="P20" i="7"/>
  <c r="P19" i="7"/>
  <c r="P66" i="7"/>
  <c r="P82" i="7"/>
  <c r="C7" i="4" s="1"/>
  <c r="P65" i="7"/>
  <c r="D7" i="4" l="1"/>
  <c r="D30" i="4"/>
  <c r="D42" i="4"/>
  <c r="C47" i="4"/>
  <c r="D47" i="4" s="1"/>
  <c r="E6" i="4" a="1"/>
  <c r="E6" i="4" s="1"/>
  <c r="C41" i="4" a="1"/>
  <c r="C41" i="4" s="1"/>
  <c r="E29" i="4" a="1"/>
  <c r="E29" i="4" s="1"/>
  <c r="C29" i="4" a="1"/>
  <c r="C29" i="4" s="1"/>
  <c r="E41" i="4" a="1"/>
  <c r="E41" i="4" s="1"/>
  <c r="P45" i="7"/>
  <c r="P44" i="7"/>
  <c r="P43" i="7"/>
  <c r="P71" i="7"/>
  <c r="P72" i="7" s="1"/>
  <c r="P42" i="7"/>
  <c r="P81" i="7"/>
  <c r="C6" i="4" s="1"/>
  <c r="D6" i="4" s="1"/>
  <c r="P24" i="7"/>
  <c r="P28" i="7"/>
  <c r="P27" i="7"/>
  <c r="P25" i="7"/>
  <c r="P26" i="7"/>
  <c r="D41" i="4" l="1"/>
  <c r="D29"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tc={0910264B-D8F6-42A7-B5D3-49FD2AC8B742}</author>
    <author>tc={A0DEBACC-585C-4B4A-89DF-895940A257B0}</author>
  </authors>
  <commentList>
    <comment ref="MV4" authorId="0" shapeId="0" xr:uid="{0910264B-D8F6-42A7-B5D3-49FD2AC8B742}">
      <text>
        <t>[Threaded comment]
Your version of Excel allows you to read this threaded comment; however, any edits to it will get removed if the file is opened in a newer version of Excel. Learn more: https://go.microsoft.com/fwlink/?linkid=870924
Comment:
    Ranking Value (dynamic spill):
1) Pick the metric column for the selected Rank As Of date (or latest column when Rank As Of is unavailable).
2) Return that value for each customer row.
3) Apply Filter: 1 keeps the value, 0 returns 0.</t>
      </text>
    </comment>
    <comment ref="NB4" authorId="1" shapeId="0" xr:uid="{A0DEBACC-585C-4B4A-89DF-895940A257B0}">
      <text>
        <t>[Threaded comment]
Your version of Excel allows you to read this threaded comment; however, any edits to it will get removed if the file is opened in a newer version of Excel. Learn more: https://go.microsoft.com/fwlink/?linkid=870924
Comment:
    Filtered Rank (dynamic spill):
1) Sort row numbers by Ranking Value (desc for Overall/New/Upsell; asc for Downsell/Churn), with row order as tie-break.
2) Invert that sort to assign a unique rank per row.
Zeros display "N/A".</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<sst xmlns="http://schemas.openxmlformats.org/spreadsheetml/2006/main" count="617" uniqueCount="179">
  <si>
    <t>Customers</t>
  </si>
  <si>
    <t>Table of Contents</t>
  </si>
  <si>
    <t>Units</t>
  </si>
  <si>
    <t>Input Units</t>
  </si>
  <si>
    <t>Actuals</t>
  </si>
  <si>
    <t>Output Units</t>
  </si>
  <si>
    <t>Currency</t>
  </si>
  <si>
    <t>USD</t>
  </si>
  <si>
    <t>Units Scalar</t>
  </si>
  <si>
    <t>Units Abbreviation</t>
  </si>
  <si>
    <t>Currency Symbol</t>
  </si>
  <si>
    <t>Annualization</t>
  </si>
  <si>
    <t>MRR Annualization</t>
  </si>
  <si>
    <t>Customer Index</t>
  </si>
  <si>
    <t>Quarterly - Diffs</t>
  </si>
  <si>
    <t>Quarterly Cohort</t>
  </si>
  <si>
    <t>Quarterly - Tags</t>
  </si>
  <si>
    <t>New</t>
  </si>
  <si>
    <t>Churn</t>
  </si>
  <si>
    <t>Downsell</t>
  </si>
  <si>
    <t>Upsell</t>
  </si>
  <si>
    <t>Checks</t>
  </si>
  <si>
    <t>Quarterly Section</t>
  </si>
  <si>
    <t>Annual - Diffs</t>
  </si>
  <si>
    <t>Annual Cohort</t>
  </si>
  <si>
    <t>Annual - Tags</t>
  </si>
  <si>
    <t>Annual Section</t>
  </si>
  <si>
    <t>RollingLTM - Diffs</t>
  </si>
  <si>
    <t>RollingLTM Cohort</t>
  </si>
  <si>
    <t>RollingLTM - Tags</t>
  </si>
  <si>
    <t>Rolling LTM Section</t>
  </si>
  <si>
    <t>Customer Ranking</t>
  </si>
  <si>
    <t>Ranking Value</t>
  </si>
  <si>
    <t>Filtered Rank</t>
  </si>
  <si>
    <t>Overall</t>
  </si>
  <si>
    <t>Annual Waterfall</t>
  </si>
  <si>
    <t>BoP ARR</t>
  </si>
  <si>
    <t>(Downsell)</t>
  </si>
  <si>
    <t>(Churn)</t>
  </si>
  <si>
    <t>EoP ARR</t>
  </si>
  <si>
    <t>New % of BoP</t>
  </si>
  <si>
    <t>Upsell % of BoP</t>
  </si>
  <si>
    <t>(Downsell) % of BoP</t>
  </si>
  <si>
    <t>(Churn) % of BoP</t>
  </si>
  <si>
    <t>Gross Adds % of BoP</t>
  </si>
  <si>
    <t>Gross Losses % of BoP</t>
  </si>
  <si>
    <t>New % of Average</t>
  </si>
  <si>
    <t>Upsell % of Average</t>
  </si>
  <si>
    <t>(Downsell) % of Average</t>
  </si>
  <si>
    <t>(Churn) % of Average</t>
  </si>
  <si>
    <t>Gross Adds % of Average</t>
  </si>
  <si>
    <t>Gross Losses % of Average</t>
  </si>
  <si>
    <t>% Growth New (YoY)</t>
  </si>
  <si>
    <t>% Growth Upsell (YoY)</t>
  </si>
  <si>
    <t>% Growth New + Upsell (YoY)</t>
  </si>
  <si>
    <t>% Growth Churn (YoY)</t>
  </si>
  <si>
    <t>% Growth Downsell + Churn (YoY)</t>
  </si>
  <si>
    <t>% Growth</t>
  </si>
  <si>
    <t>Net New ARR</t>
  </si>
  <si>
    <t>New + Upsell</t>
  </si>
  <si>
    <t>Downsell + Churn</t>
  </si>
  <si>
    <t>Gross Retention %</t>
  </si>
  <si>
    <t>Loss-Only Retention %</t>
  </si>
  <si>
    <t>Net Retention %</t>
  </si>
  <si>
    <t>Customer Waterfall</t>
  </si>
  <si>
    <t>BoP Customers</t>
  </si>
  <si>
    <t>EoP Customers</t>
  </si>
  <si>
    <t>Net Logos Added</t>
  </si>
  <si>
    <t>Logo % Growth</t>
  </si>
  <si>
    <t>Gross Logo Retention %</t>
  </si>
  <si>
    <t>Avg Logo Size YoY Growth</t>
  </si>
  <si>
    <t>Avg New Logo Size YoY Growth</t>
  </si>
  <si>
    <t>Avg Churned Logo Size YoY Growth</t>
  </si>
  <si>
    <t>Check - ARR</t>
  </si>
  <si>
    <t>Check - Customer Count</t>
  </si>
  <si>
    <t>NEW</t>
  </si>
  <si>
    <t>UPSELL</t>
  </si>
  <si>
    <t>DOWNSELL</t>
  </si>
  <si>
    <t>CHURN</t>
  </si>
  <si>
    <t>Quarterly Waterfall</t>
  </si>
  <si>
    <t>% Growth New (QoQ)</t>
  </si>
  <si>
    <t>% Growth Upsell (QoQ)</t>
  </si>
  <si>
    <t>% Growth New + Upsell (QoQ)</t>
  </si>
  <si>
    <t>% Growth Churn (QoQ)</t>
  </si>
  <si>
    <t>% Growth Downsell + Churn (QoQ)</t>
  </si>
  <si>
    <t>% Growth QoQ Annualized</t>
  </si>
  <si>
    <t>% Growth QoQ</t>
  </si>
  <si>
    <t>% Growth YoY</t>
  </si>
  <si>
    <t>Net New ARR QoQ</t>
  </si>
  <si>
    <t>New + Upsell QoQ</t>
  </si>
  <si>
    <t>Downsell + Churn QoQ</t>
  </si>
  <si>
    <t>Gross Retention (QoQ Annualized)</t>
  </si>
  <si>
    <t>Loss-Only Retention (QoQ Annualized)</t>
  </si>
  <si>
    <t>Net Retention (QoQ Annualized)</t>
  </si>
  <si>
    <t>Gross Retention (LTM)</t>
  </si>
  <si>
    <t>Loss-Only Retention (LTM)</t>
  </si>
  <si>
    <t>Net Retention (LTM)</t>
  </si>
  <si>
    <t>Quarterly Customer Waterfall</t>
  </si>
  <si>
    <t>Logo % Growth (YoY)</t>
  </si>
  <si>
    <t>Gross Logo Retention (QoQ Annualized)</t>
  </si>
  <si>
    <t>Gross Logo Retention (YoY)</t>
  </si>
  <si>
    <t>Avg Logo Size QoQ Growth</t>
  </si>
  <si>
    <t>Avg New Logo Size QoQ Growth</t>
  </si>
  <si>
    <t>Avg Churned Logo Size QoQ Growth</t>
  </si>
  <si>
    <t>LTM Waterfall</t>
  </si>
  <si>
    <t>Waterfall Charts</t>
  </si>
  <si>
    <t>Rank As Of</t>
  </si>
  <si>
    <t>Rank</t>
  </si>
  <si>
    <t>Customer</t>
  </si>
  <si>
    <t>Total Customers</t>
  </si>
  <si>
    <t>Total Top 5</t>
  </si>
  <si>
    <t>Total Top 10</t>
  </si>
  <si>
    <t>ARR</t>
  </si>
  <si>
    <t>% Total Cum.</t>
  </si>
  <si>
    <t>$ Growth</t>
  </si>
  <si>
    <t>Mult. of Initial</t>
  </si>
  <si>
    <t>Customer Since</t>
  </si>
  <si>
    <t>Total New Customers</t>
  </si>
  <si>
    <t>Total Upsell Customers</t>
  </si>
  <si>
    <t>Total Downsell Customers</t>
  </si>
  <si>
    <t>Total Churn Customers</t>
  </si>
  <si>
    <t>Check - Total ARR (All Customers)</t>
  </si>
  <si>
    <t>Check - Top N + Other = Total ARR (All Customers)</t>
  </si>
  <si>
    <t>Check - Total ARR (New Customers)</t>
  </si>
  <si>
    <t>Check - Top N + Other = Total ARR (New Customers)</t>
  </si>
  <si>
    <t>Check - Total ARR (Upsell Customers)</t>
  </si>
  <si>
    <t>Check - Top N + Other = Total ARR (Upsell Customers)</t>
  </si>
  <si>
    <t>Check - Total ARR (Downsell Customers)</t>
  </si>
  <si>
    <t>Check - Top N + Other = Total ARR (Downsell Customers)</t>
  </si>
  <si>
    <t>Check - Total ARR (Churned Customers)</t>
  </si>
  <si>
    <t>Check - Top N + Other = Total ARR (Churned Customers)</t>
  </si>
  <si>
    <t>Waterfalls</t>
  </si>
  <si>
    <t>Consolidated view of all waterfall charts</t>
  </si>
  <si>
    <t>Annual waterfall analysis</t>
  </si>
  <si>
    <t>Quarterly waterfall analysis</t>
  </si>
  <si>
    <t>Rolling LTM Waterfall</t>
  </si>
  <si>
    <t>LTM waterfall analysis</t>
  </si>
  <si>
    <t>Top Customers</t>
  </si>
  <si>
    <t>Consolidated customer ranking analysis</t>
  </si>
  <si>
    <t>Check - Ranking Values</t>
  </si>
  <si>
    <t>Check Detail - Overall</t>
  </si>
  <si>
    <t>Check Detail - New</t>
  </si>
  <si>
    <t>Check Detail - Upsell</t>
  </si>
  <si>
    <t>Check Detail - Downsell</t>
  </si>
  <si>
    <t>Check Detail - Churn</t>
  </si>
  <si>
    <t>Worksheet</t>
  </si>
  <si>
    <t>Check Name</t>
  </si>
  <si>
    <t>Sum</t>
  </si>
  <si>
    <t>Status</t>
  </si>
  <si>
    <t>Data Sum</t>
  </si>
  <si>
    <t>AnnualWaterfall</t>
  </si>
  <si>
    <t>CustomerCount</t>
  </si>
  <si>
    <t>LTMWaterfall</t>
  </si>
  <si>
    <t>QuarterlyWaterfall</t>
  </si>
  <si>
    <t>SourceData</t>
  </si>
  <si>
    <t>Total ARR (Churned Customers)</t>
  </si>
  <si>
    <t>Total ARR (Downsell Customers)</t>
  </si>
  <si>
    <t>Total ARR (New Customers)</t>
  </si>
  <si>
    <t>ARR - Overall</t>
  </si>
  <si>
    <t>Total ARR (Upsell Customers)</t>
  </si>
  <si>
    <t>TopCustomers</t>
  </si>
  <si>
    <t>Total ARR (All Customers)</t>
  </si>
  <si>
    <t>Top N + Other = Total ARR (All Customers)</t>
  </si>
  <si>
    <t>Top N + Other = Total ARR (Churned Customers)</t>
  </si>
  <si>
    <t>Top N + Other = Total ARR (Downsell Customers)</t>
  </si>
  <si>
    <t>Top N + Other = Total ARR (New Customers)</t>
  </si>
  <si>
    <t>Top N + Other = Total ARR (Upsell Customers)</t>
  </si>
  <si>
    <t>SourceData_Annual</t>
  </si>
  <si>
    <t>Tagging Consistency (Max 1 Tag per Customer-Period)</t>
  </si>
  <si>
    <t>SourceData_Quarterly</t>
  </si>
  <si>
    <t>SourceData_RollingLTM</t>
  </si>
  <si>
    <t>Data Presence - ARR</t>
  </si>
  <si>
    <t>Data Presence - Customer Count</t>
  </si>
  <si>
    <t>Source Connectivity</t>
  </si>
  <si>
    <t>Web Payload EoP ARR</t>
  </si>
  <si>
    <t>Web Payload New ARR</t>
  </si>
  <si>
    <t>Web Payload Upsell ARR</t>
  </si>
  <si>
    <t>Web Payload All_TotalTopTen @ RankAsOf</t>
  </si>
  <si>
    <t>Web Payload All_TotalCell @ RankAsOf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</si>
</sst>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quot;$&quot;#,##0"/>
    <numFmt numFmtId="165" formatCode="&quot;Customer &quot;0"/>
    <numFmt numFmtId="166" formatCode="&quot;$&quot;#,##0.00"/>
    <numFmt numFmtId="167" formatCode="_(\ #,##0_);_(* \(#,##0\);_(* &quot; - &quot;?_);_(@_)"/>
    <numFmt numFmtId="168" formatCode="[$-409]mmm\-yy;@"/>
    <numFmt numFmtId="169" formatCode="[$$-380A]\ #,##0;\([$$-380A]\ #,##0\)"/>
    <numFmt numFmtId="170" formatCode="_(#,##0%_);\(#,##0%\);_(&quot;–&quot;_)_%;_(@_)_%"/>
    <numFmt numFmtId="171" formatCode="_(0.0\x_)_';_(\(0.0\x\)_'_';_(&quot;–&quot;_)_%;_(@_)_%"/>
    <numFmt numFmtId="172" formatCode="#,##0;\(#,##0\);&quot;–&quot;;@"/>
  </numFmts>
  <fonts count="22" x14ac:knownFonts="1">
    <font>
      <sz val="10"/>
      <color theme="1"/>
      <name val="Aptos Narrow"/>
      <family val="2"/>
      <scheme val="minor"/>
    </font>
    <font>
      <b/>
      <sz val="10"/>
      <color theme="1"/>
      <name val="Aptos Narrow"/>
      <family val="2"/>
      <scheme val="minor"/>
    </font>
    <font>
      <sz val="11"/>
      <color indexed="8"/>
      <name val="Aptos Narrow"/>
      <family val="2"/>
      <scheme val="minor"/>
    </font>
    <font>
      <sz val="8"/>
      <color indexed="8"/>
      <name val="Arial"/>
      <family val="2"/>
    </font>
    <font>
      <b/>
      <sz val="8"/>
      <color indexed="8"/>
      <name val="Arial"/>
      <family val="2"/>
    </font>
    <font>
      <b/>
      <sz val="8"/>
      <color rgb="FF0000FF"/>
      <name val="Arial"/>
      <family val="2"/>
    </font>
    <font>
      <b/>
      <sz val="8"/>
      <color rgb="FF000000"/>
      <name val="Arial"/>
      <family val="2"/>
    </font>
    <font>
      <sz val="8"/>
      <color rgb="FF0000FF"/>
      <name val="Arial"/>
      <family val="2"/>
    </font>
    <font>
      <sz val="8"/>
      <color rgb="FF000000"/>
      <name val="Arial"/>
      <family val="2"/>
    </font>
    <font>
      <sz val="10"/>
      <color theme="1"/>
      <name val="Aptos"/>
    </font>
    <font>
      <u/>
      <sz val="10"/>
      <color theme="10"/>
      <name val="Aptos Narrow"/>
      <family val="2"/>
      <scheme val="minor"/>
    </font>
    <font>
      <b/>
      <sz val="10"/>
      <color theme="1"/>
      <name val="Aptos"/>
    </font>
    <font>
      <sz val="10"/>
      <color rgb="FF0000FF"/>
      <name val="Aptos"/>
    </font>
    <font>
      <b/>
      <sz val="10"/>
      <color rgb="FF0000FF"/>
      <name val="Aptos"/>
    </font>
    <font>
      <sz val="10"/>
      <color rgb="FF000000"/>
      <name val="Aptos"/>
    </font>
    <font>
      <b/>
      <sz val="8"/>
      <color rgb="FF008000"/>
      <name val="Arial"/>
      <family val="2"/>
    </font>
    <font>
      <b/>
      <sz val="8"/>
      <color rgb="FFFFFFFF"/>
      <name val="Arial"/>
      <family val="2"/>
    </font>
    <font>
      <i/>
      <sz val="10"/>
      <color theme="1"/>
      <name val="Aptos"/>
    </font>
    <font>
      <b/>
      <i/>
      <sz val="10"/>
      <color theme="1"/>
      <name val="Aptos"/>
    </font>
    <font>
      <b/>
      <sz val="10"/>
      <color rgb="FFFFFFFF"/>
      <name val="Aptos"/>
    </font>
    <font>
      <sz val="10"/>
      <color rgb="FFBFBFBF"/>
      <name val="Aptos"/>
    </font>
    <font>
      <u/>
      <sz val="10"/>
      <color theme="10"/>
      <name val="Aptos"/>
    </font>
  </fonts>
  <fills count="10">
    <fill>
      <patternFill patternType="none"/>
    </fill>
    <fill>
      <patternFill patternType="gray125"/>
    </fill>
    <fill>
      <patternFill patternType="solid">
        <fgColor rgb="FF1C394F"/>
        <bgColor indexed="64"/>
      </patternFill>
    </fill>
    <fill>
      <patternFill patternType="lightDown">
        <fgColor rgb="FFA5A5A5"/>
      </patternFill>
    </fill>
    <fill>
      <patternFill patternType="solid">
        <fgColor rgb="FFF3F6FA"/>
        <bgColor indexed="64"/>
      </patternFill>
    </fill>
    <fill>
      <patternFill patternType="solid">
        <fgColor rgb="FFFDF6E2"/>
        <bgColor indexed="64"/>
      </patternFill>
    </fill>
    <fill>
      <patternFill patternType="lightDown">
        <fgColor rgb="FFA5A5A5"/>
        <bgColor rgb="FFF3F6FA"/>
      </patternFill>
    </fill>
    <fill>
      <patternFill patternType="lightDown">
        <fgColor rgb="FFA5A5A5"/>
        <bgColor rgb="FFFDF6E2"/>
      </patternFill>
    </fill>
    <fill>
      <patternFill patternType="solid">
        <fgColor rgb="FFFFEB84"/>
        <bgColor indexed="64"/>
      </patternFill>
    </fill>
    <fill>
      <patternFill patternType="solid">
        <fgColor rgb="FFF2F2F2"/>
        <bgColor indexed="64"/>
      </patternFill>
    </fill>
  </fills>
  <borders count="15">
    <border>
      <left/>
      <right/>
      <top/>
      <bottom/>
      <diagonal/>
    </border>
    <border>
      <left/>
      <right/>
      <top/>
      <bottom style="thin">
        <color indexed="64"/>
      </bottom>
      <diagonal/>
    </border>
    <border>
      <left/>
      <right/>
      <top/>
      <bottom style="thin">
        <color rgb="FF000000"/>
      </bottom>
      <diagonal/>
    </border>
    <border>
      <left/>
      <right/>
      <top style="thin">
        <color indexed="64"/>
      </top>
      <bottom/>
      <diagonal/>
    </border>
    <border>
      <left/>
      <right/>
      <top style="thin">
        <color indexed="64"/>
      </top>
      <bottom style="thin">
        <color auto="1"/>
      </bottom>
      <diagonal/>
    </border>
    <border>
      <left style="thin">
        <color auto="1"/>
      </left>
      <right/>
      <top style="thin">
        <color indexed="64"/>
      </top>
      <bottom style="thin">
        <color auto="1"/>
      </bottom>
      <diagonal/>
    </border>
    <border>
      <left style="thin">
        <color auto="1"/>
      </left>
      <right style="thin">
        <color auto="1"/>
      </right>
      <top style="thin">
        <color indexed="64"/>
      </top>
      <bottom style="thin">
        <color auto="1"/>
      </bottom>
      <diagonal/>
    </border>
    <border>
      <left style="thin">
        <color auto="1"/>
      </left>
      <right style="thin">
        <color auto="1"/>
      </right>
      <top style="thin">
        <color indexed="64"/>
      </top>
      <bottom/>
      <diagonal/>
    </border>
    <border>
      <left style="thin">
        <color auto="1"/>
      </left>
      <right/>
      <top/>
      <bottom/>
      <diagonal/>
    </border>
    <border>
      <left style="thin">
        <color auto="1"/>
      </left>
      <right/>
      <top/>
      <bottom style="thin">
        <color indexed="64"/>
      </bottom>
      <diagonal/>
    </border>
    <border>
      <left/>
      <right style="thin">
        <color auto="1"/>
      </right>
      <top style="thin">
        <color indexed="64"/>
      </top>
      <bottom/>
      <diagonal/>
    </border>
    <border>
      <left/>
      <right style="thin">
        <color auto="1"/>
      </right>
      <top/>
      <bottom/>
      <diagonal/>
    </border>
    <border>
      <left/>
      <right style="thin">
        <color auto="1"/>
      </right>
      <top/>
      <bottom style="thin">
        <color indexed="64"/>
      </bottom>
      <diagonal/>
    </border>
    <border>
      <left/>
      <right/>
      <top/>
      <bottom style="medium">
        <color indexed="64"/>
      </bottom>
      <diagonal/>
    </border>
    <border>
      <left style="thin">
        <color auto="1"/>
      </left>
      <right/>
      <top style="thin">
        <color indexed="64"/>
      </top>
      <bottom/>
      <diagonal/>
    </border>
  </borders>
  <cellStyleXfs count="3">
    <xf numFmtId="0" fontId="0" fillId="0" borderId="0"/>
    <xf numFmtId="0" fontId="2" fillId="0" borderId="0"/>
    <xf numFmtId="0" fontId="10" fillId="0" borderId="0" applyNumberFormat="0" applyFill="0" applyBorder="0" applyAlignment="0" applyProtection="0"/>
  </cellStyleXfs>
  <cellXfs count="121">
    <xf numFmtId="0" fontId="0" fillId="0" borderId="0" xfId="0"/>
    <xf numFmtId="0" fontId="3" fillId="0" borderId="0" xfId="1" applyFont="1"/>
    <xf numFmtId="164" fontId="3" fillId="0" borderId="0" xfId="1" applyNumberFormat="1" applyFont="1"/>
    <xf numFmtId="0" fontId="4" fillId="0" borderId="1" xfId="1" applyFont="1" applyBorder="1"/>
    <xf numFmtId="14" fontId="5" fillId="0" borderId="2" xfId="1" applyNumberFormat="1" applyFont="1" applyBorder="1" applyAlignment="1">
      <alignment horizontal="center"/>
    </xf>
    <xf numFmtId="14" fontId="6" fillId="0" borderId="2" xfId="1" applyNumberFormat="1" applyFont="1" applyBorder="1" applyAlignment="1">
      <alignment horizontal="center"/>
    </xf>
    <xf numFmtId="165" fontId="7" fillId="0" borderId="0" xfId="1" applyNumberFormat="1" applyFont="1" applyAlignment="1">
      <alignment horizontal="left"/>
    </xf>
    <xf numFmtId="164" fontId="7" fillId="0" borderId="0" xfId="1" applyNumberFormat="1" applyFont="1"/>
    <xf numFmtId="165" fontId="8" fillId="0" borderId="0" xfId="1" applyNumberFormat="1" applyFont="1" applyAlignment="1">
      <alignment horizontal="left"/>
    </xf>
    <xf numFmtId="166" fontId="3" fillId="0" borderId="0" xfId="1" applyNumberFormat="1" applyFont="1"/>
    <xf numFmtId="0" fontId="9" fillId="0" borderId="0" xfId="0" applyFont="1"/>
    <xf numFmtId="0" fontId="11" fillId="0" borderId="0" xfId="0" applyFont="1"/>
    <xf numFmtId="0" fontId="11" fillId="0" borderId="1" xfId="0" applyFont="1" applyBorder="1" applyAlignment="1">
      <alignment horizontal="centerContinuous"/>
    </xf>
    <xf numFmtId="0" fontId="9" fillId="0" borderId="0" xfId="0" applyFont="1" applyAlignment="1">
      <alignment horizontal="centerContinuous"/>
    </xf>
    <xf numFmtId="0" fontId="13" fillId="0" borderId="7" xfId="0" applyFont="1" applyBorder="1" applyAlignment="1">
      <alignment horizontal="center"/>
    </xf>
    <xf numFmtId="3" fontId="14" fillId="0" borderId="6" xfId="0" applyNumberFormat="1" applyFont="1" applyBorder="1" applyAlignment="1">
      <alignment horizontal="center"/>
    </xf>
    <xf numFmtId="0" fontId="9" fillId="0" borderId="4" xfId="0" applyFont="1" applyBorder="1" applyAlignment="1">
      <alignment horizontal="centerContinuous"/>
    </xf>
    <xf numFmtId="0" fontId="11" fillId="0" borderId="1" xfId="0" applyFont="1" applyBorder="1"/>
    <xf numFmtId="0" fontId="9" fillId="0" borderId="1" xfId="0" applyFont="1" applyBorder="1"/>
    <xf numFmtId="0" fontId="11" fillId="0" borderId="5" xfId="0" applyFont="1" applyBorder="1" applyAlignment="1">
      <alignment horizontal="centerContinuous"/>
    </xf>
    <xf numFmtId="0" fontId="11" fillId="0" borderId="8" xfId="0" applyFont="1" applyBorder="1"/>
    <xf numFmtId="0" fontId="11" fillId="0" borderId="9" xfId="0" applyFont="1" applyBorder="1"/>
    <xf numFmtId="0" fontId="9" fillId="0" borderId="10" xfId="0" applyFont="1" applyBorder="1" applyAlignment="1">
      <alignment horizontal="centerContinuous"/>
    </xf>
    <xf numFmtId="0" fontId="14" fillId="0" borderId="11" xfId="0" applyFont="1" applyBorder="1" applyAlignment="1">
      <alignment horizontal="center"/>
    </xf>
    <xf numFmtId="0" fontId="14" fillId="0" borderId="12" xfId="0" applyFont="1" applyBorder="1" applyAlignment="1">
      <alignment horizontal="center"/>
    </xf>
    <xf numFmtId="167" fontId="13" fillId="0" borderId="6" xfId="0" applyNumberFormat="1" applyFont="1" applyBorder="1" applyAlignment="1">
      <alignment horizontal="center"/>
    </xf>
    <xf numFmtId="14" fontId="5" fillId="0" borderId="0" xfId="1" applyNumberFormat="1" applyFont="1" applyAlignment="1">
      <alignment horizontal="center"/>
    </xf>
    <xf numFmtId="167" fontId="7" fillId="0" borderId="0" xfId="1" applyNumberFormat="1" applyFont="1"/>
    <xf numFmtId="0" fontId="4" fillId="0" borderId="0" xfId="1" applyFont="1"/>
    <xf numFmtId="0" fontId="4" fillId="0" borderId="1" xfId="1" applyFont="1" applyBorder="1" applyAlignment="1">
      <alignment horizontal="centerContinuous"/>
    </xf>
    <xf numFmtId="0" fontId="3" fillId="0" borderId="1" xfId="1" applyFont="1" applyBorder="1" applyAlignment="1">
      <alignment horizontal="centerContinuous"/>
    </xf>
    <xf numFmtId="168" fontId="4" fillId="0" borderId="4" xfId="1" applyNumberFormat="1" applyFont="1" applyBorder="1" applyAlignment="1">
      <alignment horizontal="center"/>
    </xf>
    <xf numFmtId="0" fontId="4" fillId="0" borderId="1" xfId="1" applyFont="1" applyBorder="1" applyAlignment="1">
      <alignment horizontal="center"/>
    </xf>
    <xf numFmtId="168" fontId="15" fillId="0" borderId="4" xfId="1" applyNumberFormat="1" applyFont="1" applyBorder="1" applyAlignment="1">
      <alignment horizontal="center"/>
    </xf>
    <xf numFmtId="0" fontId="16" fillId="2" borderId="0" xfId="1" applyFont="1" applyFill="1" applyAlignment="1">
      <alignment horizontal="centerContinuous" vertical="center"/>
    </xf>
    <xf numFmtId="0" fontId="4" fillId="0" borderId="4" xfId="1" applyFont="1" applyBorder="1" applyAlignment="1">
      <alignment horizontal="center"/>
    </xf>
    <xf numFmtId="0" fontId="17" fillId="0" borderId="0" xfId="0" applyFont="1"/>
    <xf numFmtId="0" fontId="18" fillId="0" borderId="0" xfId="0" applyFont="1" applyAlignment="1">
      <alignment indent="1"/>
    </xf>
    <xf numFmtId="0" fontId="19" fillId="2" borderId="0" xfId="0" applyFont="1" applyFill="1"/>
    <xf numFmtId="168" fontId="19" fillId="2" borderId="0" xfId="0" applyNumberFormat="1" applyFont="1" applyFill="1" applyAlignment="1">
      <alignment horizontal="center"/>
    </xf>
    <xf numFmtId="0" fontId="9" fillId="0" borderId="0" xfId="0" applyFont="1" applyAlignment="1">
      <alignment indent="1"/>
    </xf>
    <xf numFmtId="0" fontId="20" fillId="0" borderId="0" xfId="0" applyFont="1"/>
    <xf numFmtId="169" fontId="9" fillId="0" borderId="0" xfId="0" applyNumberFormat="1" applyFont="1"/>
    <xf numFmtId="167" fontId="9" fillId="0" borderId="0" xfId="0" applyNumberFormat="1" applyFont="1"/>
    <xf numFmtId="0" fontId="9" fillId="3" borderId="0" xfId="0" applyFont="1" applyFill="1"/>
    <xf numFmtId="0" fontId="11" fillId="4" borderId="4" xfId="0" applyFont="1" applyFill="1" applyBorder="1"/>
    <xf numFmtId="169" fontId="11" fillId="4" borderId="4" xfId="0" applyNumberFormat="1" applyFont="1" applyFill="1" applyBorder="1"/>
    <xf numFmtId="170" fontId="9" fillId="0" borderId="0" xfId="0" applyNumberFormat="1" applyFont="1"/>
    <xf numFmtId="170" fontId="17" fillId="0" borderId="0" xfId="0" applyNumberFormat="1" applyFont="1"/>
    <xf numFmtId="0" fontId="17" fillId="3" borderId="0" xfId="0" applyFont="1" applyFill="1"/>
    <xf numFmtId="0" fontId="17" fillId="4" borderId="0" xfId="0" applyFont="1" applyFill="1"/>
    <xf numFmtId="170" fontId="17" fillId="4" borderId="0" xfId="0" applyNumberFormat="1" applyFont="1" applyFill="1"/>
    <xf numFmtId="0" fontId="17" fillId="4" borderId="3" xfId="0" applyFont="1" applyFill="1" applyBorder="1"/>
    <xf numFmtId="170" fontId="17" fillId="4" borderId="3" xfId="0" applyNumberFormat="1" applyFont="1" applyFill="1" applyBorder="1"/>
    <xf numFmtId="169" fontId="17" fillId="4" borderId="0" xfId="0" applyNumberFormat="1" applyFont="1" applyFill="1"/>
    <xf numFmtId="0" fontId="17" fillId="4" borderId="1" xfId="0" applyFont="1" applyFill="1" applyBorder="1"/>
    <xf numFmtId="169" fontId="17" fillId="4" borderId="1" xfId="0" applyNumberFormat="1" applyFont="1" applyFill="1" applyBorder="1"/>
    <xf numFmtId="0" fontId="18" fillId="5" borderId="0" xfId="0" applyFont="1" applyFill="1"/>
    <xf numFmtId="170" fontId="18" fillId="5" borderId="0" xfId="0" applyNumberFormat="1" applyFont="1" applyFill="1"/>
    <xf numFmtId="0" fontId="18" fillId="5" borderId="3" xfId="0" applyFont="1" applyFill="1" applyBorder="1"/>
    <xf numFmtId="170" fontId="18" fillId="5" borderId="3" xfId="0" applyNumberFormat="1" applyFont="1" applyFill="1" applyBorder="1"/>
    <xf numFmtId="0" fontId="18" fillId="5" borderId="1" xfId="0" applyFont="1" applyFill="1" applyBorder="1"/>
    <xf numFmtId="170" fontId="18" fillId="5" borderId="1" xfId="0" applyNumberFormat="1" applyFont="1" applyFill="1" applyBorder="1"/>
    <xf numFmtId="0" fontId="17" fillId="6" borderId="3" xfId="0" applyFont="1" applyFill="1" applyBorder="1"/>
    <xf numFmtId="0" fontId="17" fillId="6" borderId="0" xfId="0" applyFont="1" applyFill="1"/>
    <xf numFmtId="0" fontId="17" fillId="6" borderId="1" xfId="0" applyFont="1" applyFill="1" applyBorder="1"/>
    <xf numFmtId="0" fontId="18" fillId="7" borderId="0" xfId="0" applyFont="1" applyFill="1"/>
    <xf numFmtId="0" fontId="18" fillId="7" borderId="3" xfId="0" applyFont="1" applyFill="1" applyBorder="1"/>
    <xf numFmtId="0" fontId="18" fillId="7" borderId="1" xfId="0" applyFont="1" applyFill="1" applyBorder="1"/>
    <xf numFmtId="167" fontId="11" fillId="4" borderId="4" xfId="0" applyNumberFormat="1" applyFont="1" applyFill="1" applyBorder="1"/>
    <xf numFmtId="167" fontId="17" fillId="4" borderId="3" xfId="0" applyNumberFormat="1" applyFont="1" applyFill="1" applyBorder="1"/>
    <xf numFmtId="170" fontId="17" fillId="4" borderId="1" xfId="0" applyNumberFormat="1" applyFont="1" applyFill="1" applyBorder="1"/>
    <xf numFmtId="0" fontId="18" fillId="5" borderId="4" xfId="0" applyFont="1" applyFill="1" applyBorder="1"/>
    <xf numFmtId="170" fontId="18" fillId="5" borderId="4" xfId="0" applyNumberFormat="1" applyFont="1" applyFill="1" applyBorder="1"/>
    <xf numFmtId="170" fontId="17" fillId="3" borderId="0" xfId="0" applyNumberFormat="1" applyFont="1" applyFill="1"/>
    <xf numFmtId="0" fontId="18" fillId="7" borderId="4" xfId="0" applyFont="1" applyFill="1" applyBorder="1"/>
    <xf numFmtId="0" fontId="11" fillId="0" borderId="13" xfId="0" applyFont="1" applyBorder="1"/>
    <xf numFmtId="0" fontId="9" fillId="0" borderId="13" xfId="0" applyFont="1" applyBorder="1"/>
    <xf numFmtId="170" fontId="17" fillId="6" borderId="1" xfId="0" applyNumberFormat="1" applyFont="1" applyFill="1" applyBorder="1"/>
    <xf numFmtId="17" fontId="9" fillId="0" borderId="0" xfId="0" applyNumberFormat="1" applyFont="1" applyAlignment="1">
      <alignment horizontal="center"/>
    </xf>
    <xf numFmtId="17" fontId="12" fillId="8" borderId="0" xfId="0" applyNumberFormat="1" applyFont="1" applyFill="1" applyAlignment="1">
      <alignment horizontal="center"/>
    </xf>
    <xf numFmtId="0" fontId="9" fillId="0" borderId="0" xfId="0" applyFont="1" applyAlignment="1">
      <alignment horizontal="center"/>
    </xf>
    <xf numFmtId="0" fontId="19" fillId="2" borderId="1" xfId="0" applyFont="1" applyFill="1" applyBorder="1"/>
    <xf numFmtId="0" fontId="19" fillId="2" borderId="1" xfId="0" applyFont="1" applyFill="1" applyBorder="1" applyAlignment="1">
      <alignment horizontal="center"/>
    </xf>
    <xf numFmtId="0" fontId="11" fillId="0" borderId="3" xfId="0" applyFont="1" applyBorder="1"/>
    <xf numFmtId="0" fontId="9" fillId="0" borderId="0" xfId="0" applyFont="1" applyAlignment="1">
      <alignment horizontal="left" indent="1"/>
    </xf>
    <xf numFmtId="168" fontId="19" fillId="2" borderId="1" xfId="0" applyNumberFormat="1" applyFont="1" applyFill="1" applyBorder="1" applyAlignment="1">
      <alignment horizontal="center"/>
    </xf>
    <xf numFmtId="0" fontId="11" fillId="0" borderId="0" xfId="0" applyFont="1" applyAlignment="1">
      <alignment horizontal="centerContinuous"/>
    </xf>
    <xf numFmtId="168" fontId="19" fillId="2" borderId="4" xfId="0" applyNumberFormat="1" applyFont="1" applyFill="1" applyBorder="1" applyAlignment="1">
      <alignment horizontal="center"/>
    </xf>
    <xf numFmtId="169" fontId="11" fillId="0" borderId="3" xfId="0" applyNumberFormat="1" applyFont="1" applyBorder="1"/>
    <xf numFmtId="170" fontId="11" fillId="0" borderId="3" xfId="0" applyNumberFormat="1" applyFont="1" applyBorder="1"/>
    <xf numFmtId="171" fontId="9" fillId="0" borderId="0" xfId="0" applyNumberFormat="1" applyFont="1"/>
    <xf numFmtId="171" fontId="11" fillId="0" borderId="3" xfId="0" applyNumberFormat="1" applyFont="1" applyBorder="1"/>
    <xf numFmtId="0" fontId="17" fillId="9" borderId="14" xfId="0" applyFont="1" applyFill="1" applyBorder="1" applyAlignment="1">
      <alignment horizontal="left"/>
    </xf>
    <xf numFmtId="0" fontId="17" fillId="9" borderId="3" xfId="0" applyFont="1" applyFill="1" applyBorder="1"/>
    <xf numFmtId="167" fontId="17" fillId="9" borderId="3" xfId="0" applyNumberFormat="1" applyFont="1" applyFill="1" applyBorder="1"/>
    <xf numFmtId="170" fontId="17" fillId="9" borderId="3" xfId="0" applyNumberFormat="1" applyFont="1" applyFill="1" applyBorder="1"/>
    <xf numFmtId="171" fontId="17" fillId="9" borderId="3" xfId="0" applyNumberFormat="1" applyFont="1" applyFill="1" applyBorder="1"/>
    <xf numFmtId="170" fontId="17" fillId="9" borderId="10" xfId="0" applyNumberFormat="1" applyFont="1" applyFill="1" applyBorder="1"/>
    <xf numFmtId="0" fontId="17" fillId="9" borderId="9" xfId="0" applyFont="1" applyFill="1" applyBorder="1" applyAlignment="1">
      <alignment horizontal="left"/>
    </xf>
    <xf numFmtId="0" fontId="17" fillId="9" borderId="1" xfId="0" applyFont="1" applyFill="1" applyBorder="1"/>
    <xf numFmtId="167" fontId="17" fillId="9" borderId="1" xfId="0" applyNumberFormat="1" applyFont="1" applyFill="1" applyBorder="1"/>
    <xf numFmtId="170" fontId="17" fillId="9" borderId="1" xfId="0" applyNumberFormat="1" applyFont="1" applyFill="1" applyBorder="1"/>
    <xf numFmtId="171" fontId="17" fillId="9" borderId="1" xfId="0" applyNumberFormat="1" applyFont="1" applyFill="1" applyBorder="1"/>
    <xf numFmtId="170" fontId="17" fillId="9" borderId="12" xfId="0" applyNumberFormat="1" applyFont="1" applyFill="1" applyBorder="1"/>
    <xf numFmtId="168" fontId="9" fillId="0" borderId="0" xfId="0" applyNumberFormat="1" applyFont="1" applyAlignment="1">
      <alignment horizontal="left"/>
    </xf>
    <xf numFmtId="172" fontId="9" fillId="0" borderId="0" xfId="0" applyNumberFormat="1" applyFont="1"/>
    <xf numFmtId="0" fontId="21" fillId="0" borderId="0" xfId="2" applyFont="1"/>
    <xf numFmtId="168" fontId="4" fillId="0" borderId="3" xfId="1" applyNumberFormat="1" applyFont="1" applyBorder="1" applyAlignment="1">
      <alignment horizontal="center"/>
    </xf>
    <xf numFmtId="168" fontId="4" fillId="0" borderId="0" xfId="1" applyNumberFormat="1" applyFont="1" applyAlignment="1">
      <alignment horizontal="center"/>
    </xf>
    <xf numFmtId="167" fontId="3" fillId="0" borderId="0" xfId="1" applyNumberFormat="1" applyFont="1"/>
    <xf numFmtId="167" fontId="3" fillId="9" borderId="0" xfId="1" applyNumberFormat="1" applyFont="1" applyFill="1"/>
    <xf numFmtId="0" fontId="3" fillId="9" borderId="0" xfId="1" applyFont="1" applyFill="1"/>
    <xf numFmtId="167" fontId="3" fillId="0" borderId="0" xfId="1" applyNumberFormat="1" applyFont="1" applyAlignment="1">
      <alignment horizontal="right"/>
    </xf>
    <xf numFmtId="167" fontId="0" fillId="0" borderId="0" xfId="0" applyNumberFormat="1" applyAlignment="1">
      <alignment horizontal="right"/>
    </xf>
    <xf numFmtId="172" fontId="0" fillId="0" borderId="0" xfId="0" applyNumberFormat="1" applyAlignment="1">
      <alignment horizontal="right"/>
    </xf>
    <xf numFmtId="0" fontId="4" fillId="0" borderId="0" xfId="1" applyFont="1" applyAlignment="1">
      <alignment horizontal="right"/>
    </xf>
    <xf numFmtId="0" fontId="3" fillId="0" borderId="0" xfId="1" applyFont="1" applyAlignment="1">
      <alignment horizontal="left"/>
    </xf>
    <xf numFmtId="172" fontId="3" fillId="0" borderId="0" xfId="1" applyNumberFormat="1" applyFont="1" applyAlignment="1">
      <alignment horizontal="right"/>
    </xf>
    <xf numFmtId="0" fontId="1" fillId="0" borderId="1" xfId="0" applyFont="1" applyBorder="1" applyAlignment="1">
      <alignment horizontal="center"/>
    </xf>
    <xf numFmtId="167" fontId="0" fillId="0" borderId="0" xfId="0" applyNumberFormat="1"/>
  </cellXfs>
  <cellStyles count="3">
    <cellStyle name="Hyperlink" xfId="2" builtinId="8"/>
    <cellStyle name="Normal" xfId="0" builtinId="0"/>
    <cellStyle name="Normal 2 4" xfId="1" xr:uid="{B1545B78-8B92-4C07-A862-F06FBEF357E4}"/>
  </cellStyles>
  <dxfs count="6">
    <dxf>
      <font>
        <color rgb="FF9C5700"/>
      </font>
      <fill>
        <patternFill patternType="solid">
          <fgColor indexed="64"/>
          <bgColor rgb="FFFFEB9C"/>
        </patternFill>
      </fill>
    </dxf>
    <dxf>
      <font>
        <color rgb="FF9C0006"/>
      </font>
      <fill>
        <patternFill patternType="solid">
          <fgColor indexed="64"/>
          <bgColor rgb="FFFFC7CE"/>
        </patternFill>
      </fill>
    </dxf>
    <dxf>
      <font>
        <color rgb="FF305496"/>
      </font>
      <fill>
        <patternFill patternType="solid">
          <fgColor indexed="64"/>
          <bgColor rgb="FFD6E4F0"/>
        </patternFill>
      </fill>
    </dxf>
    <dxf>
      <font>
        <color rgb="FF006100"/>
      </font>
      <fill>
        <patternFill patternType="solid">
          <fgColor indexed="64"/>
          <bgColor rgb="FFC6EFCE"/>
        </patternFill>
      </fill>
    </dxf>
    <dxf>
      <fill>
        <patternFill patternType="solid">
          <fgColor indexed="64"/>
          <bgColor rgb="FFFFF5D9"/>
        </patternFill>
      </fill>
    </dxf>
    <dxf>
      <fill>
        <patternFill patternType="solid">
          <fgColor indexed="64"/>
          <bgColor rgb="FFFFF5D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Azamat Gasanov" id="{A163E2ED-02CC-41BE-8D27-698798782BEF}" userId="S::AGasanov@marlinequity.com::471685c7-927a-4bf7-af49-57a1559c8ebc"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MV4" dT="2026-03-17T05:28:11.11" personId="{A163E2ED-02CC-41BE-8D27-698798782BEF}" id="{0910264B-D8F6-42A7-B5D3-49FD2AC8B742}">
    <text>Ranking Value (dynamic spill):
1) Pick the metric column for the selected Rank As Of date (or latest column when Rank As Of is unavailable).
2) Return that value for each customer row.
3) Apply Filter: 1 keeps the value, 0 returns 0.</text>
  </threadedComment>
  <threadedComment ref="NB4" dT="2026-03-17T05:28:13.36" personId="{A163E2ED-02CC-41BE-8D27-698798782BEF}" id="{A0DEBACC-585C-4B4A-89DF-895940A257B0}">
    <text>Filtered Rank (dynamic spill):
1) Sort row numbers by Ranking Value (desc for Overall/New/Upsell; asc for Downsell/Churn), with row order as tie-break.
2) Invert that sort to assign a unique rank per row.
Zeros display "N/A".</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968" row="7">
    <wetp:webextensionref xmlns:r="http://schemas.openxmlformats.org/officeDocument/2006/relationships" r:id="rId1"/>
  </wetp:taskpane>
</wetp:taskpanes>
</file>

<file path=xl/webextensions/webextension1.xml><?xml version="1.0" encoding="utf-8"?>
<we:webextension xmlns:we="http://schemas.microsoft.com/office/webextensions/webextension/2010/11" id="{90E5D6C4-914A-422A-B140-A2567408389C}">
  <we:reference id="d974d024-3fa0-49ac-b96f-b9d480fd4727" version="1.1.0.0" store="EXCatalog" storeType="EXCatalog"/>
  <we:alternateReferences>
    <we:reference id="WA200007958" version="1.1.0.0" store="en-US"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742455-D33F-4C1F-85BA-F7DA43D9B514}">
  <sheetPr>
    <pageSetUpPr fitToPage="1"/>
  </sheetPr>
  <dimension ref="C3:F24"/>
  <sheetViews>
    <sheetView showGridLines="0" view="pageBreakPreview" zoomScaleNormal="100" zoomScaleSheetLayoutView="100" workbookViewId="0"/>
  </sheetViews>
  <sheetFormatPr defaultColWidth="8.85546875" defaultRowHeight="13.5" x14ac:dyDescent="0.25"/>
  <cols>
    <col min="1" max="2" width="3.140625" style="10" customWidth="1"/>
    <col min="3" max="3" width="19.42578125" style="10" bestFit="1" customWidth="1"/>
    <col min="4" max="4" width="3.140625" style="10" customWidth="1"/>
    <col min="5" max="5" width="36.42578125" style="10" bestFit="1" customWidth="1"/>
    <col min="6" max="6" width="8.85546875" style="10"/>
    <col min="7" max="8" width="3.140625" style="10" customWidth="1"/>
    <col min="9" max="16384" width="8.85546875" style="10"/>
  </cols>
  <sheetData>
    <row r="3" spans="3:6" ht="14.25" thickBot="1" x14ac:dyDescent="0.3">
      <c r="C3" s="76" t="s">
        <v>1</v>
      </c>
      <c r="D3" s="77"/>
      <c r="E3" s="77"/>
      <c r="F3" s="77"/>
    </row>
    <row r="6" spans="3:6" x14ac:dyDescent="0.25">
      <c r="C6" s="19" t="s">
        <v>2</v>
      </c>
      <c r="D6" s="16"/>
      <c r="E6" s="22"/>
    </row>
    <row r="7" spans="3:6" x14ac:dyDescent="0.25">
      <c r="C7" s="20" t="s">
        <v>3</v>
      </c>
      <c r="E7" s="14" t="s">
        <v>4</v>
      </c>
    </row>
    <row r="8" spans="3:6" x14ac:dyDescent="0.25">
      <c r="C8" s="20" t="s">
        <v>5</v>
      </c>
      <c r="E8" s="14" t="s">
        <v>4</v>
      </c>
    </row>
    <row r="9" spans="3:6" x14ac:dyDescent="0.25">
      <c r="C9" s="20" t="s">
        <v>6</v>
      </c>
      <c r="E9" s="14" t="s">
        <v>7</v>
      </c>
    </row>
    <row r="10" spans="3:6" x14ac:dyDescent="0.25">
      <c r="C10" s="20" t="s">
        <v>8</v>
      </c>
      <c r="E10" s="15" cm="1">
        <f t="array" ref="E10">10^(_xlfn.SWITCH(ToC!$E$8,"Millions",6,"Thousands",3,"Billions",9,"Actuals",0)-_xlfn.SWITCH(ToC!$E$7,"Millions",6,"Thousands",3,"Billions",9,"Actuals",0))</f>
        <v>1</v>
      </c>
    </row>
    <row r="11" spans="3:6" x14ac:dyDescent="0.25">
      <c r="C11" s="20" t="s">
        <v>9</v>
      </c>
      <c r="E11" s="23" t="str" cm="1">
        <f t="array" ref="E11">_xlfn.SWITCH(ToC!$E$8,"Millions","Ms","Thousands","Ks","Billions","Bs","Actuals","Actuals")</f>
        <v>Actuals</v>
      </c>
    </row>
    <row r="12" spans="3:6" x14ac:dyDescent="0.25">
      <c r="C12" s="21" t="s">
        <v>10</v>
      </c>
      <c r="D12" s="18"/>
      <c r="E12" s="24" t="str" cm="1">
        <f t="array" ref="E12">_xlfn.SWITCH(ToC!$E$9,"EUR","€","GBP","£","AUD","A$","CNY","CN¥","HKD","HK$","INR","₹","JPY","¥","KRW","₩","SGD","S$","CAD","C$","CHF","CHF","NZD","NZ$","SEK","SEK","NOK","NOK","$")</f>
        <v>$</v>
      </c>
    </row>
    <row r="14" spans="3:6" x14ac:dyDescent="0.25">
      <c r="C14" s="19" t="s">
        <v>11</v>
      </c>
      <c r="D14" s="16"/>
      <c r="E14" s="22"/>
    </row>
    <row r="15" spans="3:6" x14ac:dyDescent="0.25">
      <c r="C15" s="21" t="s">
        <v>12</v>
      </c>
      <c r="D15" s="18"/>
      <c r="E15" s="25">
        <v>12</v>
      </c>
    </row>
    <row r="17" spans="3:5" x14ac:dyDescent="0.25">
      <c r="C17" s="17" t="s">
        <v>131</v>
      </c>
    </row>
    <row r="18" spans="3:5" x14ac:dyDescent="0.25">
      <c r="C18" s="107" t="s">
        <v>105</v>
      </c>
      <c r="E18" s="10" t="s">
        <v>132</v>
      </c>
    </row>
    <row r="19" spans="3:5" x14ac:dyDescent="0.25">
      <c r="C19" s="107" t="s">
        <v>35</v>
      </c>
      <c r="E19" s="10" t="s">
        <v>133</v>
      </c>
    </row>
    <row r="20" spans="3:5" x14ac:dyDescent="0.25">
      <c r="C20" s="107" t="s">
        <v>79</v>
      </c>
      <c r="E20" s="10" t="s">
        <v>134</v>
      </c>
    </row>
    <row r="21" spans="3:5" x14ac:dyDescent="0.25">
      <c r="C21" s="107" t="s">
        <v>135</v>
      </c>
      <c r="E21" s="10" t="s">
        <v>136</v>
      </c>
    </row>
    <row r="23" spans="3:5" x14ac:dyDescent="0.25">
      <c r="C23" s="17" t="s">
        <v>0</v>
      </c>
    </row>
    <row r="24" spans="3:5" x14ac:dyDescent="0.25">
      <c r="C24" s="107" t="s">
        <v>137</v>
      </c>
      <c r="E24" s="10" t="s">
        <v>138</v>
      </c>
    </row>
  </sheetData>
  <conditionalFormatting sqref="E7:E9">
    <cfRule type="expression" dxfId="5" priority="1">
      <formula>ISBLANK(E7)</formula>
    </cfRule>
  </conditionalFormatting>
  <conditionalFormatting sqref="E15">
    <cfRule type="expression" dxfId="4" priority="4">
      <formula>ISBLANK(E15)</formula>
    </cfRule>
  </conditionalFormatting>
  <dataValidations count="3">
    <dataValidation type="list" allowBlank="1" showInputMessage="1" showErrorMessage="1" errorTitle="Invalid unit" error="Please select a unit from the dropdown list" promptTitle="Input Units" prompt="Unit scale of the source data" sqref="E7" xr:uid="{7CA70A27-B169-41FD-85E6-306BA6B3C208}">
      <formula1>"Actuals,Thousands,Millions,Billions"</formula1>
    </dataValidation>
    <dataValidation type="list" allowBlank="1" showInputMessage="1" showErrorMessage="1" errorTitle="Invalid unit" error="Please select a unit from the dropdown list" promptTitle="Output Units" prompt="Unit scale for displayed output" sqref="E8" xr:uid="{33A815DC-98A4-4DCD-BBFF-E8569DE26153}">
      <formula1>"Actuals,Thousands,Millions,Billions"</formula1>
    </dataValidation>
    <dataValidation type="list" allowBlank="1" showInputMessage="1" showErrorMessage="1" errorTitle="Invalid currency" error="Please select a currency from the dropdown list" promptTitle="Currency" prompt="Currency code for display" sqref="E9" xr:uid="{2954D5A1-7844-4FF1-9385-8FC88F9AD2C9}">
      <formula1>"USD,EUR,GBP,AUD,CNY,HKD,INR,JPY,KRW,SGD,CAD,CHF,NZD,SEK,NOK"</formula1>
    </dataValidation>
  </dataValidations>
  <hyperlinks>
    <hyperlink ref="C18" location="'Waterfall Charts'!A1" tooltip="Consolidated view of all waterfall charts" display="Waterfall Charts" xr:uid="{8AF6AE6F-B3E5-42A7-9DFD-62A53C7F8564}"/>
    <hyperlink ref="C19" location="'Annual Waterfall'!A1" tooltip="Annual waterfall analysis" display="Annual Waterfall" xr:uid="{14F44A18-FA49-4E7B-9652-44AB07A5CFE1}"/>
    <hyperlink ref="C20" location="'Quarterly Waterfall'!A1" tooltip="Quarterly waterfall analysis" display="Quarterly Waterfall" xr:uid="{B8892609-0807-4B35-93AE-077FF6EF3DE0}"/>
    <hyperlink ref="C21" location="'LTM Waterfall'!A1" tooltip="LTM waterfall analysis" display="Rolling LTM Waterfall" xr:uid="{3AA4B799-4699-4A0A-A8D6-016BA35B6C1F}"/>
    <hyperlink ref="C24" location="'Top Customers'!A1" tooltip="Consolidated customer ranking analysis" display="Top Customers" xr:uid="{58E63B59-5A81-4BF7-A38D-38F6F5C325A4}"/>
  </hyperlinks>
  <pageMargins left="0.7" right="0.7" top="0.75" bottom="0.75" header="0.3" footer="0.3"/>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8C6B4-76D4-421C-AB47-D87D16D3AC2B}">
  <dimension ref="A1:E54"/>
  <sheetViews>
    <sheetView showGridLines="0" workbookViewId="0"/>
  </sheetViews>
  <sheetFormatPr defaultColWidth="8.85546875" defaultRowHeight="13.5" x14ac:dyDescent="0.25"/>
  <cols>
    <col min="1" max="1" width="20" bestFit="1" customWidth="1"/>
    <col min="2" max="2" width="44.42578125" bestFit="1" customWidth="1"/>
    <col min="3" max="3" width="4.7109375" bestFit="1" customWidth="1"/>
    <col min="4" max="4" width="6.140625" bestFit="1" customWidth="1"/>
    <col min="5" max="5" width="9" bestFit="1" customWidth="1"/>
    <col min="6" max="16384" width="8.85546875" style="10"/>
  </cols>
  <sheetData>
    <row r="1" spans="1:5" x14ac:dyDescent="0.25">
      <c r="A1" s="119" t="s">
        <v>145</v>
      </c>
      <c r="B1" s="119" t="s">
        <v>146</v>
      </c>
      <c r="C1" s="119" t="s">
        <v>147</v>
      </c>
      <c r="D1" s="119" t="s">
        <v>148</v>
      </c>
      <c r="E1" s="119" t="s">
        <v>149</v>
      </c>
    </row>
    <row r="2" spans="1:5" x14ac:dyDescent="0.25">
      <c r="A2" t="s">
        <v>150</v>
      </c>
      <c r="B2" t="s">
        <v>112</v>
      </c>
      <c r="C2" s="120">
        <f>ROUND(SUM('Annual Waterfall'!D68:G68),4)</f>
        <v>0</v>
      </c>
      <c r="D2" t="str">
        <f t="shared" ref="D2:D43" si="0">IF(ABS(C2)&gt;0.01,"Fail",IF(OR(E2="",E2&gt;0.000001),"Pass",IF(AND(E2=0,C2=0),"Pass (No Data)","No Data")))</f>
        <v>Pass</v>
      </c>
      <c r="E2" s="120" cm="1">
        <f t="array" ref="E2">SUMPRODUCT(ABS('Annual Waterfall'!D15:G15))</f>
        <v>898837.68</v>
      </c>
    </row>
    <row r="3" spans="1:5" x14ac:dyDescent="0.25">
      <c r="A3" t="s">
        <v>150</v>
      </c>
      <c r="B3" t="s">
        <v>151</v>
      </c>
      <c r="C3" s="120">
        <f>ROUND(SUM('Annual Waterfall'!D69:G69),4)</f>
        <v>0</v>
      </c>
      <c r="D3" t="str">
        <f t="shared" si="0"/>
        <v>Pass</v>
      </c>
      <c r="E3" s="120" cm="1">
        <f t="array" ref="E3">SUMPRODUCT(ABS('Annual Waterfall'!D51:G51))</f>
        <v>323</v>
      </c>
    </row>
    <row r="4" spans="1:5" x14ac:dyDescent="0.25">
      <c r="A4" t="s">
        <v>152</v>
      </c>
      <c r="B4" t="s">
        <v>112</v>
      </c>
      <c r="C4" s="120">
        <f>ROUND(SUM('LTM Waterfall'!D68:AB68),4)</f>
        <v>0</v>
      </c>
      <c r="D4" t="str">
        <f t="shared" si="0"/>
        <v>Pass</v>
      </c>
      <c r="E4" s="120" cm="1">
        <f t="array" ref="E4">SUMPRODUCT(ABS('LTM Waterfall'!D15:AB15))</f>
        <v>5638312.3200000003</v>
      </c>
    </row>
    <row r="5" spans="1:5" x14ac:dyDescent="0.25">
      <c r="A5" t="s">
        <v>152</v>
      </c>
      <c r="B5" t="s">
        <v>151</v>
      </c>
      <c r="C5" s="120">
        <f>ROUND(SUM('LTM Waterfall'!D69:AB69),4)</f>
        <v>0</v>
      </c>
      <c r="D5" t="str">
        <f t="shared" si="0"/>
        <v>Pass</v>
      </c>
      <c r="E5" s="120" cm="1">
        <f t="array" ref="E5">SUMPRODUCT(ABS('LTM Waterfall'!D51:AB51))</f>
        <v>2008</v>
      </c>
    </row>
    <row r="6" spans="1:5" x14ac:dyDescent="0.25">
      <c r="A6" t="s">
        <v>153</v>
      </c>
      <c r="B6" t="s">
        <v>112</v>
      </c>
      <c r="C6" s="120">
        <f>ROUND(SUM('Quarterly Waterfall'!D81:P81),4)</f>
        <v>0</v>
      </c>
      <c r="D6" t="str">
        <f t="shared" si="0"/>
        <v>Pass</v>
      </c>
      <c r="E6" s="120" cm="1">
        <f t="array" ref="E6">SUMPRODUCT(ABS('Quarterly Waterfall'!D15:P15))</f>
        <v>2932190.04</v>
      </c>
    </row>
    <row r="7" spans="1:5" x14ac:dyDescent="0.25">
      <c r="A7" t="s">
        <v>153</v>
      </c>
      <c r="B7" t="s">
        <v>151</v>
      </c>
      <c r="C7" s="120">
        <f>ROUND(SUM('Quarterly Waterfall'!D82:P82),4)</f>
        <v>0</v>
      </c>
      <c r="D7" t="str">
        <f t="shared" si="0"/>
        <v>Pass</v>
      </c>
      <c r="E7" s="120" cm="1">
        <f t="array" ref="E7">SUMPRODUCT(ABS('Quarterly Waterfall'!D62:P62))</f>
        <v>1057</v>
      </c>
    </row>
    <row r="8" spans="1:5" x14ac:dyDescent="0.25">
      <c r="A8" t="s">
        <v>154</v>
      </c>
      <c r="B8" t="s">
        <v>155</v>
      </c>
      <c r="C8" s="120">
        <f>ROUND(SUM('Quikirr Data'!C110:AM110),4)</f>
        <v>0</v>
      </c>
      <c r="D8" t="str">
        <f t="shared" si="0"/>
        <v>Pass</v>
      </c>
      <c r="E8" s="120" t="str">
        <f>""</f>
        <v/>
      </c>
    </row>
    <row r="9" spans="1:5" x14ac:dyDescent="0.25">
      <c r="A9" t="s">
        <v>154</v>
      </c>
      <c r="B9" t="s">
        <v>156</v>
      </c>
      <c r="C9" s="120">
        <f>ROUND(SUM('Quikirr Data'!C109:AM109),4)</f>
        <v>0</v>
      </c>
      <c r="D9" t="str">
        <f t="shared" si="0"/>
        <v>Pass</v>
      </c>
      <c r="E9" s="120" t="str">
        <f>""</f>
        <v/>
      </c>
    </row>
    <row r="10" spans="1:5" x14ac:dyDescent="0.25">
      <c r="A10" t="s">
        <v>154</v>
      </c>
      <c r="B10" t="s">
        <v>157</v>
      </c>
      <c r="C10" s="120">
        <f>ROUND(SUM('Quikirr Data'!C107:AM107),4)</f>
        <v>0</v>
      </c>
      <c r="D10" t="str">
        <f t="shared" si="0"/>
        <v>Pass</v>
      </c>
      <c r="E10" s="120" t="str">
        <f>""</f>
        <v/>
      </c>
    </row>
    <row r="11" spans="1:5" x14ac:dyDescent="0.25">
      <c r="A11" t="s">
        <v>154</v>
      </c>
      <c r="B11" t="s">
        <v>158</v>
      </c>
      <c r="C11" s="120">
        <f>ROUND(SUM('Quikirr Data'!C106:AM106),4)</f>
        <v>0</v>
      </c>
      <c r="D11" t="str">
        <f t="shared" si="0"/>
        <v>Pass</v>
      </c>
      <c r="E11" s="120" t="str">
        <f>""</f>
        <v/>
      </c>
    </row>
    <row r="12" spans="1:5" x14ac:dyDescent="0.25">
      <c r="A12" t="s">
        <v>154</v>
      </c>
      <c r="B12" t="s">
        <v>159</v>
      </c>
      <c r="C12" s="120">
        <f>ROUND(SUM('Quikirr Data'!C108:AM108),4)</f>
        <v>0</v>
      </c>
      <c r="D12" t="str">
        <f t="shared" si="0"/>
        <v>Pass</v>
      </c>
      <c r="E12" s="120" t="str">
        <f>""</f>
        <v/>
      </c>
    </row>
    <row r="13" spans="1:5" x14ac:dyDescent="0.25">
      <c r="A13" t="s">
        <v>160</v>
      </c>
      <c r="B13" t="s">
        <v>161</v>
      </c>
      <c r="C13" s="120">
        <f>ROUND(SUM('Top Customers'!F131:I131),4)</f>
        <v>0</v>
      </c>
      <c r="D13" t="str">
        <f t="shared" si="0"/>
        <v>Pass</v>
      </c>
      <c r="E13" s="120" cm="1">
        <f t="array" ref="E13">SUMPRODUCT(ABS('Top Customers'!F27:I27))</f>
        <v>898837.67999999993</v>
      </c>
    </row>
    <row r="14" spans="1:5" x14ac:dyDescent="0.25">
      <c r="A14" t="s">
        <v>160</v>
      </c>
      <c r="B14" t="s">
        <v>162</v>
      </c>
      <c r="C14" s="120">
        <f>ROUND(SUM('Top Customers'!F132:I132),4)</f>
        <v>0</v>
      </c>
      <c r="D14" t="str">
        <f t="shared" si="0"/>
        <v>Pass</v>
      </c>
      <c r="E14" s="120" cm="1">
        <f t="array" ref="E14">SUMPRODUCT(ABS('Top Customers'!F27:I27))</f>
        <v>898837.67999999993</v>
      </c>
    </row>
    <row r="15" spans="1:5" x14ac:dyDescent="0.25">
      <c r="A15" t="s">
        <v>160</v>
      </c>
      <c r="B15" t="s">
        <v>155</v>
      </c>
      <c r="C15" s="120">
        <f>ROUND(SUM('Top Customers'!F139:I139),4)</f>
        <v>0</v>
      </c>
      <c r="D15" t="str">
        <f t="shared" si="0"/>
        <v>Pass</v>
      </c>
      <c r="E15" s="120" cm="1">
        <f t="array" ref="E15">SUMPRODUCT(ABS('Top Customers'!F27:I27))</f>
        <v>898837.67999999993</v>
      </c>
    </row>
    <row r="16" spans="1:5" x14ac:dyDescent="0.25">
      <c r="A16" t="s">
        <v>160</v>
      </c>
      <c r="B16" t="s">
        <v>163</v>
      </c>
      <c r="C16" s="120">
        <f>ROUND(SUM('Top Customers'!F140:I140),4)</f>
        <v>0</v>
      </c>
      <c r="D16" t="str">
        <f t="shared" si="0"/>
        <v>Pass</v>
      </c>
      <c r="E16" s="120" cm="1">
        <f t="array" ref="E16">SUMPRODUCT(ABS('Top Customers'!F27:I27))</f>
        <v>898837.67999999993</v>
      </c>
    </row>
    <row r="17" spans="1:5" x14ac:dyDescent="0.25">
      <c r="A17" t="s">
        <v>160</v>
      </c>
      <c r="B17" t="s">
        <v>156</v>
      </c>
      <c r="C17" s="120">
        <f>ROUND(SUM('Top Customers'!F137:I137),4)</f>
        <v>0</v>
      </c>
      <c r="D17" t="str">
        <f t="shared" si="0"/>
        <v>Pass</v>
      </c>
      <c r="E17" s="120" cm="1">
        <f t="array" ref="E17">SUMPRODUCT(ABS('Top Customers'!F27:I27))</f>
        <v>898837.67999999993</v>
      </c>
    </row>
    <row r="18" spans="1:5" x14ac:dyDescent="0.25">
      <c r="A18" t="s">
        <v>160</v>
      </c>
      <c r="B18" t="s">
        <v>164</v>
      </c>
      <c r="C18" s="120">
        <f>ROUND(SUM('Top Customers'!F138:I138),4)</f>
        <v>0</v>
      </c>
      <c r="D18" t="str">
        <f t="shared" si="0"/>
        <v>Pass</v>
      </c>
      <c r="E18" s="120" cm="1">
        <f t="array" ref="E18">SUMPRODUCT(ABS('Top Customers'!F27:I27))</f>
        <v>898837.67999999993</v>
      </c>
    </row>
    <row r="19" spans="1:5" x14ac:dyDescent="0.25">
      <c r="A19" t="s">
        <v>160</v>
      </c>
      <c r="B19" t="s">
        <v>157</v>
      </c>
      <c r="C19" s="120">
        <f>ROUND(SUM('Top Customers'!F133:I133),4)</f>
        <v>0</v>
      </c>
      <c r="D19" t="str">
        <f t="shared" si="0"/>
        <v>Pass</v>
      </c>
      <c r="E19" s="120" cm="1">
        <f t="array" ref="E19">SUMPRODUCT(ABS('Top Customers'!F27:I27))</f>
        <v>898837.67999999993</v>
      </c>
    </row>
    <row r="20" spans="1:5" x14ac:dyDescent="0.25">
      <c r="A20" t="s">
        <v>160</v>
      </c>
      <c r="B20" t="s">
        <v>165</v>
      </c>
      <c r="C20" s="120">
        <f>ROUND(SUM('Top Customers'!F134:I134),4)</f>
        <v>0</v>
      </c>
      <c r="D20" t="str">
        <f t="shared" si="0"/>
        <v>Pass</v>
      </c>
      <c r="E20" s="120" cm="1">
        <f t="array" ref="E20">SUMPRODUCT(ABS('Top Customers'!F27:I27))</f>
        <v>898837.67999999993</v>
      </c>
    </row>
    <row r="21" spans="1:5" x14ac:dyDescent="0.25">
      <c r="A21" t="s">
        <v>160</v>
      </c>
      <c r="B21" t="s">
        <v>159</v>
      </c>
      <c r="C21" s="120">
        <f>ROUND(SUM('Top Customers'!F135:I135),4)</f>
        <v>0</v>
      </c>
      <c r="D21" t="str">
        <f t="shared" si="0"/>
        <v>Pass</v>
      </c>
      <c r="E21" s="120" cm="1">
        <f t="array" ref="E21">SUMPRODUCT(ABS('Top Customers'!F27:I27))</f>
        <v>898837.67999999993</v>
      </c>
    </row>
    <row r="22" spans="1:5" x14ac:dyDescent="0.25">
      <c r="A22" t="s">
        <v>160</v>
      </c>
      <c r="B22" t="s">
        <v>166</v>
      </c>
      <c r="C22" s="120">
        <f>ROUND(SUM('Top Customers'!F136:I136),4)</f>
        <v>0</v>
      </c>
      <c r="D22" t="str">
        <f t="shared" si="0"/>
        <v>Pass</v>
      </c>
      <c r="E22" s="120" cm="1">
        <f t="array" ref="E22">SUMPRODUCT(ABS('Top Customers'!F27:I27))</f>
        <v>898837.67999999993</v>
      </c>
    </row>
    <row r="23" spans="1:5" x14ac:dyDescent="0.25">
      <c r="A23" t="s">
        <v>167</v>
      </c>
      <c r="B23" t="s">
        <v>168</v>
      </c>
      <c r="C23" s="120">
        <f>ROUND(SUM('Quikirr Data'!FP4:FS103),4)</f>
        <v>0</v>
      </c>
      <c r="D23" t="str">
        <f t="shared" si="0"/>
        <v>Pass</v>
      </c>
      <c r="E23" s="120" t="str">
        <f>""</f>
        <v/>
      </c>
    </row>
    <row r="24" spans="1:5" x14ac:dyDescent="0.25">
      <c r="A24" t="s">
        <v>169</v>
      </c>
      <c r="B24" t="s">
        <v>168</v>
      </c>
      <c r="C24" s="120">
        <f>ROUND(SUM('Quikirr Data'!DW4:EI103),4)</f>
        <v>0</v>
      </c>
      <c r="D24" t="str">
        <f t="shared" si="0"/>
        <v>Pass</v>
      </c>
      <c r="E24" s="120" t="str">
        <f>""</f>
        <v/>
      </c>
    </row>
    <row r="25" spans="1:5" x14ac:dyDescent="0.25">
      <c r="A25" t="s">
        <v>170</v>
      </c>
      <c r="B25" t="s">
        <v>168</v>
      </c>
      <c r="C25" s="120">
        <f>ROUND(SUM('Quikirr Data'!LV4:MT103),4)</f>
        <v>0</v>
      </c>
      <c r="D25" t="str">
        <f t="shared" si="0"/>
        <v>Pass</v>
      </c>
      <c r="E25" s="120" t="str">
        <f>""</f>
        <v/>
      </c>
    </row>
    <row r="26" spans="1:5" x14ac:dyDescent="0.25">
      <c r="A26" t="s">
        <v>35</v>
      </c>
      <c r="B26" t="s">
        <v>171</v>
      </c>
      <c r="C26" s="120" cm="1">
        <f t="array" ref="C26">IFERROR(IF(SUMPRODUCT(ABS('Annual Waterfall'!D10:G15))&lt;=0.000001,1,0),1)</f>
        <v>0</v>
      </c>
      <c r="D26" t="str">
        <f t="shared" si="0"/>
        <v>Pass</v>
      </c>
      <c r="E26" s="120" cm="1">
        <f t="array" ref="E26">SUMPRODUCT(ABS('Annual Waterfall'!D10:G15))</f>
        <v>1655311.6800000002</v>
      </c>
    </row>
    <row r="27" spans="1:5" x14ac:dyDescent="0.25">
      <c r="A27" t="s">
        <v>35</v>
      </c>
      <c r="B27" t="s">
        <v>172</v>
      </c>
      <c r="C27" s="120" cm="1">
        <f t="array" ref="C27">IFERROR(IF(SUMPRODUCT(ABS('Annual Waterfall'!D48:G51))&lt;=0.000001,1,0),1)</f>
        <v>0</v>
      </c>
      <c r="D27" t="str">
        <f t="shared" si="0"/>
        <v>Pass</v>
      </c>
      <c r="E27" s="120" cm="1">
        <f t="array" ref="E27">SUMPRODUCT(ABS('Annual Waterfall'!D48:G51))</f>
        <v>591</v>
      </c>
    </row>
    <row r="28" spans="1:5" x14ac:dyDescent="0.25">
      <c r="A28" t="s">
        <v>35</v>
      </c>
      <c r="B28" t="s">
        <v>173</v>
      </c>
      <c r="C28" s="120">
        <f>0</f>
        <v>0</v>
      </c>
      <c r="D28" t="str">
        <f t="shared" si="0"/>
        <v>Pass</v>
      </c>
      <c r="E28" s="120" t="str">
        <f>""</f>
        <v/>
      </c>
    </row>
    <row r="29" spans="1:5" x14ac:dyDescent="0.25">
      <c r="A29" t="s">
        <v>79</v>
      </c>
      <c r="B29" t="s">
        <v>171</v>
      </c>
      <c r="C29" s="120" cm="1">
        <f t="array" ref="C29">IFERROR(IF(SUMPRODUCT(ABS('Quarterly Waterfall'!D10:P15))&lt;=0.000001,1,0),1)</f>
        <v>0</v>
      </c>
      <c r="D29" t="str">
        <f t="shared" si="0"/>
        <v>Pass</v>
      </c>
      <c r="E29" s="120" cm="1">
        <f t="array" ref="E29">SUMPRODUCT(ABS('Quarterly Waterfall'!D10:P15))</f>
        <v>5728310.8800000008</v>
      </c>
    </row>
    <row r="30" spans="1:5" x14ac:dyDescent="0.25">
      <c r="A30" t="s">
        <v>79</v>
      </c>
      <c r="B30" t="s">
        <v>172</v>
      </c>
      <c r="C30" s="120" cm="1">
        <f t="array" ref="C30">IFERROR(IF(SUMPRODUCT(ABS('Quarterly Waterfall'!D59:P62))&lt;=0.000001,1,0),1)</f>
        <v>0</v>
      </c>
      <c r="D30" t="str">
        <f t="shared" si="0"/>
        <v>Pass</v>
      </c>
      <c r="E30" s="120" cm="1">
        <f t="array" ref="E30">SUMPRODUCT(ABS('Quarterly Waterfall'!D59:P62))</f>
        <v>2061</v>
      </c>
    </row>
    <row r="31" spans="1:5" x14ac:dyDescent="0.25">
      <c r="A31" t="s">
        <v>79</v>
      </c>
      <c r="B31" t="s">
        <v>173</v>
      </c>
      <c r="C31" s="120">
        <f>0</f>
        <v>0</v>
      </c>
      <c r="D31" t="str">
        <f t="shared" si="0"/>
        <v>Pass</v>
      </c>
      <c r="E31" s="120" t="str">
        <f>""</f>
        <v/>
      </c>
    </row>
    <row r="32" spans="1:5" x14ac:dyDescent="0.25">
      <c r="A32" t="s">
        <v>104</v>
      </c>
      <c r="B32" t="s">
        <v>171</v>
      </c>
      <c r="C32" s="120" cm="1">
        <f t="array" ref="C32">IFERROR(IF(SUMPRODUCT(ABS('LTM Waterfall'!D10:AB15))&lt;=0.000001,1,0),1)</f>
        <v>0</v>
      </c>
      <c r="D32" t="str">
        <f t="shared" si="0"/>
        <v>Pass</v>
      </c>
      <c r="E32" s="120" cm="1">
        <f t="array" ref="E32">SUMPRODUCT(ABS('LTM Waterfall'!D10:AB15))</f>
        <v>12008906.879999997</v>
      </c>
    </row>
    <row r="33" spans="1:5" x14ac:dyDescent="0.25">
      <c r="A33" t="s">
        <v>104</v>
      </c>
      <c r="B33" t="s">
        <v>172</v>
      </c>
      <c r="C33" s="120" cm="1">
        <f t="array" ref="C33">IFERROR(IF(SUMPRODUCT(ABS('LTM Waterfall'!D48:AB51))&lt;=0.000001,1,0),1)</f>
        <v>0</v>
      </c>
      <c r="D33" t="str">
        <f t="shared" si="0"/>
        <v>Pass</v>
      </c>
      <c r="E33" s="120" cm="1">
        <f t="array" ref="E33">SUMPRODUCT(ABS('LTM Waterfall'!D48:AB51))</f>
        <v>4282</v>
      </c>
    </row>
    <row r="34" spans="1:5" x14ac:dyDescent="0.25">
      <c r="A34" t="s">
        <v>104</v>
      </c>
      <c r="B34" t="s">
        <v>173</v>
      </c>
      <c r="C34" s="120">
        <f>0</f>
        <v>0</v>
      </c>
      <c r="D34" t="str">
        <f t="shared" si="0"/>
        <v>Pass</v>
      </c>
      <c r="E34" s="120" t="str">
        <f>""</f>
        <v/>
      </c>
    </row>
    <row r="35" spans="1:5" x14ac:dyDescent="0.25">
      <c r="A35" t="s">
        <v>150</v>
      </c>
      <c r="B35" t="s">
        <v>171</v>
      </c>
      <c r="C35" s="120" cm="1">
        <f t="array" ref="C35">IFERROR(IF(SUMPRODUCT(ABS('Annual Waterfall'!D10:G15))&lt;=0.000001,1,0),1)</f>
        <v>0</v>
      </c>
      <c r="D35" t="str">
        <f t="shared" si="0"/>
        <v>Pass</v>
      </c>
      <c r="E35" s="120" cm="1">
        <f t="array" ref="E35">SUMPRODUCT(ABS('Annual Waterfall'!D10:G15))</f>
        <v>1655311.6800000002</v>
      </c>
    </row>
    <row r="36" spans="1:5" x14ac:dyDescent="0.25">
      <c r="A36" t="s">
        <v>150</v>
      </c>
      <c r="B36" t="s">
        <v>172</v>
      </c>
      <c r="C36" s="120" cm="1">
        <f t="array" ref="C36">IFERROR(IF(SUMPRODUCT(ABS('Annual Waterfall'!D48:G51))&lt;=0.000001,1,0),1)</f>
        <v>0</v>
      </c>
      <c r="D36" t="str">
        <f t="shared" si="0"/>
        <v>Pass</v>
      </c>
      <c r="E36" s="120" cm="1">
        <f t="array" ref="E36">SUMPRODUCT(ABS('Annual Waterfall'!D48:G51))</f>
        <v>591</v>
      </c>
    </row>
    <row r="37" spans="1:5" x14ac:dyDescent="0.25">
      <c r="A37" t="s">
        <v>150</v>
      </c>
      <c r="B37" t="s">
        <v>173</v>
      </c>
      <c r="C37" s="120">
        <f>0</f>
        <v>0</v>
      </c>
      <c r="D37" t="str">
        <f t="shared" si="0"/>
        <v>Pass</v>
      </c>
      <c r="E37" s="120" t="str">
        <f>""</f>
        <v/>
      </c>
    </row>
    <row r="38" spans="1:5" x14ac:dyDescent="0.25">
      <c r="A38" t="s">
        <v>152</v>
      </c>
      <c r="B38" t="s">
        <v>171</v>
      </c>
      <c r="C38" s="120" cm="1">
        <f t="array" ref="C38">IFERROR(IF(SUMPRODUCT(ABS('LTM Waterfall'!D10:AB15))&lt;=0.000001,1,0),1)</f>
        <v>0</v>
      </c>
      <c r="D38" t="str">
        <f t="shared" si="0"/>
        <v>Pass</v>
      </c>
      <c r="E38" s="120" cm="1">
        <f t="array" ref="E38">SUMPRODUCT(ABS('LTM Waterfall'!D10:AB15))</f>
        <v>12008906.879999997</v>
      </c>
    </row>
    <row r="39" spans="1:5" x14ac:dyDescent="0.25">
      <c r="A39" t="s">
        <v>152</v>
      </c>
      <c r="B39" t="s">
        <v>172</v>
      </c>
      <c r="C39" s="120" cm="1">
        <f t="array" ref="C39">IFERROR(IF(SUMPRODUCT(ABS('LTM Waterfall'!D48:AB51))&lt;=0.000001,1,0),1)</f>
        <v>0</v>
      </c>
      <c r="D39" t="str">
        <f t="shared" si="0"/>
        <v>Pass</v>
      </c>
      <c r="E39" s="120" cm="1">
        <f t="array" ref="E39">SUMPRODUCT(ABS('LTM Waterfall'!D48:AB51))</f>
        <v>4282</v>
      </c>
    </row>
    <row r="40" spans="1:5" x14ac:dyDescent="0.25">
      <c r="A40" t="s">
        <v>152</v>
      </c>
      <c r="B40" t="s">
        <v>173</v>
      </c>
      <c r="C40" s="120">
        <f>0</f>
        <v>0</v>
      </c>
      <c r="D40" t="str">
        <f t="shared" si="0"/>
        <v>Pass</v>
      </c>
      <c r="E40" s="120" t="str">
        <f>""</f>
        <v/>
      </c>
    </row>
    <row r="41" spans="1:5" x14ac:dyDescent="0.25">
      <c r="A41" t="s">
        <v>153</v>
      </c>
      <c r="B41" t="s">
        <v>171</v>
      </c>
      <c r="C41" s="120" cm="1">
        <f t="array" ref="C41">IFERROR(IF(SUMPRODUCT(ABS('Quarterly Waterfall'!D10:P15))&lt;=0.000001,1,0),1)</f>
        <v>0</v>
      </c>
      <c r="D41" t="str">
        <f t="shared" si="0"/>
        <v>Pass</v>
      </c>
      <c r="E41" s="120" cm="1">
        <f t="array" ref="E41">SUMPRODUCT(ABS('Quarterly Waterfall'!D10:P15))</f>
        <v>5728310.8800000008</v>
      </c>
    </row>
    <row r="42" spans="1:5" x14ac:dyDescent="0.25">
      <c r="A42" t="s">
        <v>153</v>
      </c>
      <c r="B42" t="s">
        <v>172</v>
      </c>
      <c r="C42" s="120" cm="1">
        <f t="array" ref="C42">IFERROR(IF(SUMPRODUCT(ABS('Quarterly Waterfall'!D59:P62))&lt;=0.000001,1,0),1)</f>
        <v>0</v>
      </c>
      <c r="D42" t="str">
        <f t="shared" si="0"/>
        <v>Pass</v>
      </c>
      <c r="E42" s="120" cm="1">
        <f t="array" ref="E42">SUMPRODUCT(ABS('Quarterly Waterfall'!D59:P62))</f>
        <v>2061</v>
      </c>
    </row>
    <row r="43" spans="1:5" x14ac:dyDescent="0.25">
      <c r="A43" t="s">
        <v>153</v>
      </c>
      <c r="B43" t="s">
        <v>173</v>
      </c>
      <c r="C43" s="120">
        <f>0</f>
        <v>0</v>
      </c>
      <c r="D43" t="str">
        <f t="shared" si="0"/>
        <v>Pass</v>
      </c>
      <c r="E43" s="120" t="str">
        <f>""</f>
        <v/>
      </c>
    </row>
    <row r="44" spans="1:5" x14ac:dyDescent="0.25">
      <c r="A44" t="s">
        <v>35</v>
      </c>
      <c r="B44" t="s">
        <v>174</v>
      </c>
      <c r="C44" s="120">
        <f>IFERROR(ROUND('Annual Waterfall'!G15-244817.398798828,4),1)</f>
        <v>1.1999999999999999E-3</v>
      </c>
      <c r="D44" t="str">
        <f t="shared" ref="D44:D52" si="1">IF(ABS(C44)&gt;1,"Fail",IF(OR(E44="",E44&gt;0.000001),"Pass",IF(AND(E44=0,C44=0),"Pass (No Data)","No Data")))</f>
        <v>Pass</v>
      </c>
      <c r="E44" s="120" t="str">
        <f>""</f>
        <v/>
      </c>
    </row>
    <row r="45" spans="1:5" x14ac:dyDescent="0.25">
      <c r="A45" t="s">
        <v>35</v>
      </c>
      <c r="B45" t="s">
        <v>175</v>
      </c>
      <c r="C45" s="120">
        <f>IFERROR(ROUND('Annual Waterfall'!G11-23635.6799316406,4),1)</f>
        <v>1E-4</v>
      </c>
      <c r="D45" t="str">
        <f t="shared" si="1"/>
        <v>Pass</v>
      </c>
      <c r="E45" s="120" t="str">
        <f>""</f>
        <v/>
      </c>
    </row>
    <row r="46" spans="1:5" x14ac:dyDescent="0.25">
      <c r="A46" t="s">
        <v>35</v>
      </c>
      <c r="B46" t="s">
        <v>176</v>
      </c>
      <c r="C46" s="120">
        <f>IFERROR(ROUND('Annual Waterfall'!G12-5916.11901855468,4),1)</f>
        <v>1E-3</v>
      </c>
      <c r="D46" t="str">
        <f t="shared" si="1"/>
        <v>Pass</v>
      </c>
      <c r="E46" s="120" t="str">
        <f>""</f>
        <v/>
      </c>
    </row>
    <row r="47" spans="1:5" x14ac:dyDescent="0.25">
      <c r="A47" t="s">
        <v>79</v>
      </c>
      <c r="B47" t="s">
        <v>174</v>
      </c>
      <c r="C47" s="120">
        <f>IFERROR(ROUND('Quarterly Waterfall'!P15-244817.400009765,4),1)</f>
        <v>0</v>
      </c>
      <c r="D47" t="str">
        <f t="shared" si="1"/>
        <v>Pass</v>
      </c>
      <c r="E47" s="120" t="str">
        <f>""</f>
        <v/>
      </c>
    </row>
    <row r="48" spans="1:5" x14ac:dyDescent="0.25">
      <c r="A48" t="s">
        <v>79</v>
      </c>
      <c r="B48" t="s">
        <v>175</v>
      </c>
      <c r="C48" s="120">
        <f>IFERROR(ROUND('Quarterly Waterfall'!P11-0,4),1)</f>
        <v>0</v>
      </c>
      <c r="D48" t="str">
        <f t="shared" si="1"/>
        <v>Pass</v>
      </c>
      <c r="E48" s="120" t="str">
        <f>""</f>
        <v/>
      </c>
    </row>
    <row r="49" spans="1:5" x14ac:dyDescent="0.25">
      <c r="A49" t="s">
        <v>79</v>
      </c>
      <c r="B49" t="s">
        <v>176</v>
      </c>
      <c r="C49" s="120">
        <f>IFERROR(ROUND('Quarterly Waterfall'!P12-77.760009765625,4),1)</f>
        <v>0</v>
      </c>
      <c r="D49" t="str">
        <f t="shared" si="1"/>
        <v>Pass</v>
      </c>
      <c r="E49" s="120" t="str">
        <f>""</f>
        <v/>
      </c>
    </row>
    <row r="50" spans="1:5" x14ac:dyDescent="0.25">
      <c r="A50" t="s">
        <v>104</v>
      </c>
      <c r="B50" t="s">
        <v>174</v>
      </c>
      <c r="C50" s="120">
        <f>IFERROR(ROUND('LTM Waterfall'!AB15-244817.398798828,4),1)</f>
        <v>1.1999999999999999E-3</v>
      </c>
      <c r="D50" t="str">
        <f t="shared" si="1"/>
        <v>Pass</v>
      </c>
      <c r="E50" s="120" t="str">
        <f>""</f>
        <v/>
      </c>
    </row>
    <row r="51" spans="1:5" x14ac:dyDescent="0.25">
      <c r="A51" t="s">
        <v>104</v>
      </c>
      <c r="B51" t="s">
        <v>175</v>
      </c>
      <c r="C51" s="120">
        <f>IFERROR(ROUND('LTM Waterfall'!AB11-23635.6799316406,4),1)</f>
        <v>1E-4</v>
      </c>
      <c r="D51" t="str">
        <f t="shared" si="1"/>
        <v>Pass</v>
      </c>
      <c r="E51" s="120" t="str">
        <f>""</f>
        <v/>
      </c>
    </row>
    <row r="52" spans="1:5" x14ac:dyDescent="0.25">
      <c r="A52" t="s">
        <v>104</v>
      </c>
      <c r="B52" t="s">
        <v>176</v>
      </c>
      <c r="C52" s="120">
        <f>IFERROR(ROUND('LTM Waterfall'!AB12-5916.11901855468,4),1)</f>
        <v>1E-3</v>
      </c>
      <c r="D52" t="str">
        <f t="shared" si="1"/>
        <v>Pass</v>
      </c>
      <c r="E52" s="120" t="str">
        <f>""</f>
        <v/>
      </c>
    </row>
    <row r="53" spans="1:5" x14ac:dyDescent="0.25">
      <c r="A53" t="s">
        <v>137</v>
      </c>
      <c r="B53" t="s">
        <v>177</v>
      </c>
      <c r="C53" s="120">
        <f>IFERROR(ROUND(INDEX('Top Customers'!F24:'Top Customers'!I24,1,MATCH('Top Customers'!C3,'Top Customers'!F12:'Top Customers'!I12,0))-44910.6,4),1)</f>
        <v>0</v>
      </c>
      <c r="D53" t="str">
        <f>IF(ABS(C53)&gt;0.01,"Fail",IF(OR(E53="",E53&gt;0.000001),"Pass",IF(AND(E53=0,C53=0),"Pass (No Data)","No Data")))</f>
        <v>Pass</v>
      </c>
      <c r="E53" s="120" t="str">
        <f>""</f>
        <v/>
      </c>
    </row>
    <row r="54" spans="1:5" x14ac:dyDescent="0.25">
      <c r="A54" t="s">
        <v>137</v>
      </c>
      <c r="B54" t="s">
        <v>178</v>
      </c>
      <c r="C54" s="120">
        <f>IFERROR(ROUND(INDEX('Top Customers'!F27:'Top Customers'!I27,1,MATCH('Top Customers'!C3,'Top Customers'!F12:'Top Customers'!I12,0))-244817.4,4),1)</f>
        <v>0</v>
      </c>
      <c r="D54" t="str">
        <f>IF(ABS(C54)&gt;0.01,"Fail",IF(OR(E54="",E54&gt;0.000001),"Pass",IF(AND(E54=0,C54=0),"Pass (No Data)","No Data")))</f>
        <v>Pass</v>
      </c>
      <c r="E54" s="120" t="str">
        <f>""</f>
        <v/>
      </c>
    </row>
  </sheetData>
  <conditionalFormatting sqref="D2:D54">
    <cfRule type="cellIs" dxfId="3" priority="1" operator="equal">
      <formula>"Pass"</formula>
    </cfRule>
    <cfRule type="cellIs" dxfId="2" priority="2" operator="equal">
      <formula>"Pass (No Data)"</formula>
    </cfRule>
    <cfRule type="cellIs" dxfId="1" priority="3" operator="equal">
      <formula>"Fail"</formula>
    </cfRule>
    <cfRule type="cellIs" dxfId="0" priority="4" operator="equal">
      <formula>"No Data"</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64445C-FCE5-4812-9669-EB35182519FC}">
  <sheetPr>
    <tabColor rgb="FF0E2841"/>
  </sheetPr>
  <dimension ref="A1"/>
  <sheetViews>
    <sheetView showGridLines="0" view="pageBreakPreview" zoomScaleNormal="100" zoomScaleSheetLayoutView="100" workbookViewId="0"/>
  </sheetViews>
  <sheetFormatPr defaultColWidth="8.85546875" defaultRowHeight="13.5" x14ac:dyDescent="0.25"/>
  <cols>
    <col min="1" max="16384" width="8.85546875" style="10"/>
  </cols>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4237FC-686C-492B-90E3-7794E54081D7}">
  <sheetPr>
    <tabColor rgb="FFDAE9F8"/>
    <pageSetUpPr fitToPage="1"/>
  </sheetPr>
  <dimension ref="A5:G69"/>
  <sheetViews>
    <sheetView showGridLines="0" view="pageBreakPreview" zoomScaleNormal="100" zoomScaleSheetLayoutView="100" workbookViewId="0">
      <pane xSplit="3" ySplit="8" topLeftCell="D9" activePane="bottomRight" state="frozen"/>
      <selection pane="topRight" activeCell="D1" sqref="D1"/>
      <selection pane="bottomLeft" activeCell="A9" sqref="A9"/>
      <selection pane="bottomRight"/>
    </sheetView>
  </sheetViews>
  <sheetFormatPr defaultColWidth="8.85546875" defaultRowHeight="13.5" outlineLevelRow="1" x14ac:dyDescent="0.25"/>
  <cols>
    <col min="1" max="1" width="11.140625" style="10" bestFit="1" customWidth="1"/>
    <col min="2" max="2" width="3.140625" style="10" customWidth="1"/>
    <col min="3" max="3" width="32.28515625" style="10" bestFit="1" customWidth="1"/>
    <col min="4" max="7" width="9.7109375" style="10" customWidth="1"/>
    <col min="8" max="9" width="3.140625" style="10" customWidth="1"/>
    <col min="10" max="16384" width="8.85546875" style="10"/>
  </cols>
  <sheetData>
    <row r="5" spans="1:7" ht="14.25" thickBot="1" x14ac:dyDescent="0.3">
      <c r="C5" s="76" t="s">
        <v>35</v>
      </c>
      <c r="D5" s="77"/>
      <c r="E5" s="77"/>
      <c r="F5" s="77"/>
      <c r="G5" s="77"/>
    </row>
    <row r="6" spans="1:7" x14ac:dyDescent="0.25">
      <c r="C6" s="37" t="str">
        <f>"("&amp;ToC!$E$12&amp;" "&amp;ToC!$E$11&amp;")"</f>
        <v>($ Actuals)</v>
      </c>
    </row>
    <row r="8" spans="1:7" x14ac:dyDescent="0.25">
      <c r="C8" s="38" t="s">
        <v>35</v>
      </c>
      <c r="D8" s="39">
        <v>44926</v>
      </c>
      <c r="E8" s="39">
        <v>45291</v>
      </c>
      <c r="F8" s="39">
        <v>45657</v>
      </c>
      <c r="G8" s="39">
        <v>46022</v>
      </c>
    </row>
    <row r="9" spans="1:7" ht="3.95" customHeight="1" x14ac:dyDescent="0.25"/>
    <row r="10" spans="1:7" x14ac:dyDescent="0.25">
      <c r="C10" s="10" t="s">
        <v>36</v>
      </c>
      <c r="D10" s="44"/>
      <c r="E10" s="43">
        <f>+D15</f>
        <v>216022.80000000002</v>
      </c>
      <c r="F10" s="43">
        <f>+E15</f>
        <v>214713.60000000003</v>
      </c>
      <c r="G10" s="43">
        <f>+F15</f>
        <v>223283.88000000003</v>
      </c>
    </row>
    <row r="11" spans="1:7" x14ac:dyDescent="0.25">
      <c r="A11" s="41" t="s">
        <v>75</v>
      </c>
      <c r="C11" s="40" t="s">
        <v>17</v>
      </c>
      <c r="D11" s="44"/>
      <c r="E11" s="43">
        <f>+SUMIFS('Quikirr Data'!EW$4:EW$103,'Quikirr Data'!EW$4:EW$103,"&lt;&gt;"&amp;0)*ToC!$E$15/ToC!$E$10</f>
        <v>14969.76</v>
      </c>
      <c r="F11" s="43">
        <f>+SUMIFS('Quikirr Data'!EX$4:EX$103,'Quikirr Data'!EX$4:EX$103,"&lt;&gt;"&amp;0)*ToC!$E$15/ToC!$E$10</f>
        <v>12625.199999999999</v>
      </c>
      <c r="G11" s="43">
        <f>+SUMIFS('Quikirr Data'!EY$4:EY$103,'Quikirr Data'!EY$4:EY$103,"&lt;&gt;"&amp;0)*ToC!$E$15/ToC!$E$10</f>
        <v>23635.68</v>
      </c>
    </row>
    <row r="12" spans="1:7" x14ac:dyDescent="0.25">
      <c r="A12" s="41" t="s">
        <v>76</v>
      </c>
      <c r="C12" s="40" t="s">
        <v>20</v>
      </c>
      <c r="D12" s="44"/>
      <c r="E12" s="43">
        <f>+SUMIFS('Quikirr Data'!FL$4:FL$103,'Quikirr Data'!FL$4:FL$103,"&lt;&gt;"&amp;0)*ToC!$E$15/ToC!$E$10</f>
        <v>4359.72</v>
      </c>
      <c r="F12" s="43">
        <f>+SUMIFS('Quikirr Data'!FM$4:FM$103,'Quikirr Data'!FM$4:FM$103,"&lt;&gt;"&amp;0)*ToC!$E$15/ToC!$E$10</f>
        <v>4117.68</v>
      </c>
      <c r="G12" s="43">
        <f>+SUMIFS('Quikirr Data'!FN$4:FN$103,'Quikirr Data'!FN$4:FN$103,"&lt;&gt;"&amp;0)*ToC!$E$15/ToC!$E$10</f>
        <v>5916.119999999999</v>
      </c>
    </row>
    <row r="13" spans="1:7" x14ac:dyDescent="0.25">
      <c r="A13" s="41" t="s">
        <v>77</v>
      </c>
      <c r="C13" s="40" t="s">
        <v>37</v>
      </c>
      <c r="D13" s="44"/>
      <c r="E13" s="43">
        <f>+SUMIFS('Quikirr Data'!FG$4:FG$103,'Quikirr Data'!FG$4:FG$103,"&lt;&gt;"&amp;0)*ToC!$E$15/ToC!$E$10</f>
        <v>-4758.7200000000012</v>
      </c>
      <c r="F13" s="43">
        <f>+SUMIFS('Quikirr Data'!FH$4:FH$103,'Quikirr Data'!FH$4:FH$103,"&lt;&gt;"&amp;0)*ToC!$E$15/ToC!$E$10</f>
        <v>-552.60000000000014</v>
      </c>
      <c r="G13" s="43">
        <f>+SUMIFS('Quikirr Data'!FI$4:FI$103,'Quikirr Data'!FI$4:FI$103,"&lt;&gt;"&amp;0)*ToC!$E$15/ToC!$E$10</f>
        <v>-3482.2799999999997</v>
      </c>
    </row>
    <row r="14" spans="1:7" x14ac:dyDescent="0.25">
      <c r="A14" s="41" t="s">
        <v>78</v>
      </c>
      <c r="C14" s="40" t="s">
        <v>38</v>
      </c>
      <c r="D14" s="44"/>
      <c r="E14" s="43">
        <f>+SUMIFS('Quikirr Data'!FB$4:FB$103,'Quikirr Data'!FB$4:FB$103,"&lt;&gt;"&amp;0)*ToC!$E$15/ToC!$E$10</f>
        <v>-15879.96</v>
      </c>
      <c r="F14" s="43">
        <f>+SUMIFS('Quikirr Data'!FC$4:FC$103,'Quikirr Data'!FC$4:FC$103,"&lt;&gt;"&amp;0)*ToC!$E$15/ToC!$E$10</f>
        <v>-7620</v>
      </c>
      <c r="G14" s="43">
        <f>+SUMIFS('Quikirr Data'!FD$4:FD$103,'Quikirr Data'!FD$4:FD$103,"&lt;&gt;"&amp;0)*ToC!$E$15/ToC!$E$10</f>
        <v>-4536</v>
      </c>
    </row>
    <row r="15" spans="1:7" x14ac:dyDescent="0.25">
      <c r="C15" s="45" t="s">
        <v>39</v>
      </c>
      <c r="D15" s="46">
        <f>+SUMIFS('Quikirr Data'!C$4:C$103,'Quikirr Data'!C$4:C$103,"&lt;&gt;"&amp;0)*ToC!$E$15/ToC!$E$10</f>
        <v>216022.80000000002</v>
      </c>
      <c r="E15" s="46">
        <f>+SUM(E10:E14)</f>
        <v>214713.60000000003</v>
      </c>
      <c r="F15" s="46">
        <f>+SUM(F10:F14)</f>
        <v>223283.88000000003</v>
      </c>
      <c r="G15" s="46">
        <f>+SUM(G10:G14)</f>
        <v>244817.40000000002</v>
      </c>
    </row>
    <row r="16" spans="1:7" hidden="1" outlineLevel="1" x14ac:dyDescent="0.25"/>
    <row r="17" spans="3:7" hidden="1" outlineLevel="1" x14ac:dyDescent="0.25">
      <c r="C17" s="36" t="s">
        <v>40</v>
      </c>
      <c r="D17" s="49"/>
      <c r="E17" s="48">
        <f>+IFERROR(E11/E10,0)</f>
        <v>6.9297129747415545E-2</v>
      </c>
      <c r="F17" s="48">
        <f>+IFERROR(F11/F10,0)</f>
        <v>5.8800187785030836E-2</v>
      </c>
      <c r="G17" s="48">
        <f>+IFERROR(G11/G10,0)</f>
        <v>0.10585484272308415</v>
      </c>
    </row>
    <row r="18" spans="3:7" hidden="1" outlineLevel="1" x14ac:dyDescent="0.25">
      <c r="C18" s="36" t="s">
        <v>41</v>
      </c>
      <c r="D18" s="49"/>
      <c r="E18" s="48">
        <f>+IFERROR(E12/E10,0)</f>
        <v>2.0181758592148605E-2</v>
      </c>
      <c r="F18" s="48">
        <f>+IFERROR(F12/F10,0)</f>
        <v>1.9177546275596886E-2</v>
      </c>
      <c r="G18" s="48">
        <f>+IFERROR(G12/G10,0)</f>
        <v>2.6495956627052512E-2</v>
      </c>
    </row>
    <row r="19" spans="3:7" hidden="1" outlineLevel="1" x14ac:dyDescent="0.25">
      <c r="C19" s="36" t="s">
        <v>42</v>
      </c>
      <c r="D19" s="49"/>
      <c r="E19" s="48">
        <f>+IFERROR(E13/E10,0)</f>
        <v>-2.2028785850382464E-2</v>
      </c>
      <c r="F19" s="48">
        <f>+IFERROR(F13/F10,0)</f>
        <v>-2.5736609138871502E-3</v>
      </c>
      <c r="G19" s="48">
        <f>+IFERROR(G13/G10,0)</f>
        <v>-1.5595751919036874E-2</v>
      </c>
    </row>
    <row r="20" spans="3:7" hidden="1" outlineLevel="1" x14ac:dyDescent="0.25">
      <c r="C20" s="36" t="s">
        <v>43</v>
      </c>
      <c r="D20" s="49"/>
      <c r="E20" s="48">
        <f>+IFERROR(E14/E10,0)</f>
        <v>-7.3510573883867808E-2</v>
      </c>
      <c r="F20" s="48">
        <f>+IFERROR(F14/F10,0)</f>
        <v>-3.5489135294643648E-2</v>
      </c>
      <c r="G20" s="48">
        <f>+IFERROR(G14/G10,0)</f>
        <v>-2.0314946157331194E-2</v>
      </c>
    </row>
    <row r="21" spans="3:7" hidden="1" outlineLevel="1" x14ac:dyDescent="0.25">
      <c r="C21" s="36" t="s">
        <v>44</v>
      </c>
      <c r="D21" s="49"/>
      <c r="E21" s="48">
        <f>+IFERROR((SUM(E11:E12))/E10,0)</f>
        <v>8.9478888339564147E-2</v>
      </c>
      <c r="F21" s="48">
        <f>+IFERROR((SUM(F11:F12))/F10,0)</f>
        <v>7.7977734060627718E-2</v>
      </c>
      <c r="G21" s="48">
        <f>+IFERROR((SUM(G11:G12))/G10,0)</f>
        <v>0.13235079935013666</v>
      </c>
    </row>
    <row r="22" spans="3:7" hidden="1" outlineLevel="1" x14ac:dyDescent="0.25">
      <c r="C22" s="36" t="s">
        <v>45</v>
      </c>
      <c r="D22" s="49"/>
      <c r="E22" s="48">
        <f>+IFERROR((SUM(E13:E14))/E10,0)</f>
        <v>-9.5539359734250262E-2</v>
      </c>
      <c r="F22" s="48">
        <f>+IFERROR((SUM(F13:F14))/F10,0)</f>
        <v>-3.80627962085308E-2</v>
      </c>
      <c r="G22" s="48">
        <f>+IFERROR((SUM(G13:G14))/G10,0)</f>
        <v>-3.5910698076368069E-2</v>
      </c>
    </row>
    <row r="23" spans="3:7" hidden="1" outlineLevel="1" x14ac:dyDescent="0.25"/>
    <row r="24" spans="3:7" hidden="1" outlineLevel="1" x14ac:dyDescent="0.25">
      <c r="C24" s="36" t="s">
        <v>46</v>
      </c>
      <c r="D24" s="49"/>
      <c r="E24" s="48">
        <f>+IFERROR(E11/AVERAGE(E10,E15),0)</f>
        <v>6.9507754626727619E-2</v>
      </c>
      <c r="F24" s="48">
        <f>+IFERROR(F11/AVERAGE(F10,F15),0)</f>
        <v>5.7649646751392253E-2</v>
      </c>
      <c r="G24" s="48">
        <f>+IFERROR(G11/AVERAGE(G10,G15),0)</f>
        <v>0.10098532522705342</v>
      </c>
    </row>
    <row r="25" spans="3:7" hidden="1" outlineLevel="1" x14ac:dyDescent="0.25">
      <c r="C25" s="36" t="s">
        <v>47</v>
      </c>
      <c r="D25" s="49"/>
      <c r="E25" s="48">
        <f>+IFERROR(E12/AVERAGE(E10,E15),0)</f>
        <v>2.0243099956260953E-2</v>
      </c>
      <c r="F25" s="48">
        <f>+IFERROR(F12/AVERAGE(F10,F15),0)</f>
        <v>1.8802299958438115E-2</v>
      </c>
      <c r="G25" s="48">
        <f>+IFERROR(G12/AVERAGE(G10,G15),0)</f>
        <v>2.5277093880196177E-2</v>
      </c>
    </row>
    <row r="26" spans="3:7" hidden="1" outlineLevel="1" x14ac:dyDescent="0.25">
      <c r="C26" s="36" t="s">
        <v>48</v>
      </c>
      <c r="D26" s="49"/>
      <c r="E26" s="48">
        <f>+IFERROR(E13/AVERAGE(E10,E15),0)</f>
        <v>-2.2095741153986527E-2</v>
      </c>
      <c r="F26" s="48">
        <f>+IFERROR(F13/AVERAGE(F10,F15),0)</f>
        <v>-2.5233021888619086E-3</v>
      </c>
      <c r="G26" s="48">
        <f>+IFERROR(G13/AVERAGE(G10,G15),0)</f>
        <v>-1.4878318640786453E-2</v>
      </c>
    </row>
    <row r="27" spans="3:7" hidden="1" outlineLevel="1" x14ac:dyDescent="0.25">
      <c r="C27" s="36" t="s">
        <v>49</v>
      </c>
      <c r="D27" s="49"/>
      <c r="E27" s="48">
        <f>+IFERROR(E14/AVERAGE(E10,E15),0)</f>
        <v>-7.3734005298832409E-2</v>
      </c>
      <c r="F27" s="48">
        <f>+IFERROR(F14/AVERAGE(F10,F15),0)</f>
        <v>-3.4794720736749433E-2</v>
      </c>
      <c r="G27" s="48">
        <f>+IFERROR(G14/AVERAGE(G10,G15),0)</f>
        <v>-1.9380421262680587E-2</v>
      </c>
    </row>
    <row r="28" spans="3:7" hidden="1" outlineLevel="1" x14ac:dyDescent="0.25">
      <c r="C28" s="36" t="s">
        <v>50</v>
      </c>
      <c r="D28" s="49"/>
      <c r="E28" s="48">
        <f>+IFERROR((SUM(E11:E12))/AVERAGE(E10,E15),0)</f>
        <v>8.9750854582988565E-2</v>
      </c>
      <c r="F28" s="48">
        <f>+IFERROR((SUM(F11:F12))/AVERAGE(F10,F15),0)</f>
        <v>7.6451946709830354E-2</v>
      </c>
      <c r="G28" s="48">
        <f>+IFERROR((SUM(G11:G12))/AVERAGE(G10,G15),0)</f>
        <v>0.12626241910724961</v>
      </c>
    </row>
    <row r="29" spans="3:7" hidden="1" outlineLevel="1" x14ac:dyDescent="0.25">
      <c r="C29" s="36" t="s">
        <v>51</v>
      </c>
      <c r="D29" s="49"/>
      <c r="E29" s="48">
        <f>+IFERROR((SUM(E13:E14))/AVERAGE(E10,E15),0)</f>
        <v>-9.5829746452818942E-2</v>
      </c>
      <c r="F29" s="48">
        <f>+IFERROR((SUM(F13:F14))/AVERAGE(F10,F15),0)</f>
        <v>-3.7318022925611344E-2</v>
      </c>
      <c r="G29" s="48">
        <f>+IFERROR((SUM(G13:G14))/AVERAGE(G10,G15),0)</f>
        <v>-3.4258739903467041E-2</v>
      </c>
    </row>
    <row r="30" spans="3:7" hidden="1" outlineLevel="1" x14ac:dyDescent="0.25"/>
    <row r="31" spans="3:7" hidden="1" outlineLevel="1" x14ac:dyDescent="0.25">
      <c r="C31" s="36" t="s">
        <v>52</v>
      </c>
      <c r="D31" s="49"/>
      <c r="E31" s="49"/>
      <c r="F31" s="48">
        <f>+IFERROR(F11/E11-1,0)</f>
        <v>-0.15661974540674006</v>
      </c>
      <c r="G31" s="48">
        <f>+IFERROR(G11/F11-1,0)</f>
        <v>0.87210341222317278</v>
      </c>
    </row>
    <row r="32" spans="3:7" hidden="1" outlineLevel="1" x14ac:dyDescent="0.25">
      <c r="C32" s="36" t="s">
        <v>53</v>
      </c>
      <c r="D32" s="49"/>
      <c r="E32" s="49"/>
      <c r="F32" s="48">
        <f>+IFERROR(F12/E12-1,0)</f>
        <v>-5.5517326800803679E-2</v>
      </c>
      <c r="G32" s="48">
        <f>+IFERROR(G12/F12-1,0)</f>
        <v>0.43676050591595228</v>
      </c>
    </row>
    <row r="33" spans="3:7" hidden="1" outlineLevel="1" x14ac:dyDescent="0.25">
      <c r="C33" s="36" t="s">
        <v>54</v>
      </c>
      <c r="D33" s="49"/>
      <c r="E33" s="49"/>
      <c r="F33" s="48">
        <f>+IFERROR(F39/E39-1,0)</f>
        <v>-0.13381632615052252</v>
      </c>
      <c r="G33" s="48">
        <f>+IFERROR(G39/F39-1,0)</f>
        <v>0.765036839540151</v>
      </c>
    </row>
    <row r="34" spans="3:7" hidden="1" outlineLevel="1" x14ac:dyDescent="0.25">
      <c r="C34" s="36" t="s">
        <v>55</v>
      </c>
      <c r="D34" s="49"/>
      <c r="E34" s="49"/>
      <c r="F34" s="48">
        <f>+IFERROR(F14/E14-1,0)</f>
        <v>-0.52014992481089373</v>
      </c>
      <c r="G34" s="48">
        <f>+IFERROR(G14/F14-1,0)</f>
        <v>-0.40472440944881893</v>
      </c>
    </row>
    <row r="35" spans="3:7" hidden="1" outlineLevel="1" x14ac:dyDescent="0.25">
      <c r="C35" s="36" t="s">
        <v>56</v>
      </c>
      <c r="D35" s="49"/>
      <c r="E35" s="49"/>
      <c r="F35" s="48">
        <f>+IFERROR(F40/E40-1,0)</f>
        <v>-0.60401537307618502</v>
      </c>
      <c r="G35" s="48">
        <f>+IFERROR(G40/F40-1,0)</f>
        <v>-1.8882607738051616E-2</v>
      </c>
    </row>
    <row r="36" spans="3:7" collapsed="1" x14ac:dyDescent="0.25"/>
    <row r="37" spans="3:7" x14ac:dyDescent="0.25">
      <c r="C37" s="52" t="s">
        <v>57</v>
      </c>
      <c r="D37" s="63"/>
      <c r="E37" s="53">
        <f>+IFERROR(E15/E10-1,0)</f>
        <v>-6.0604713946860178E-3</v>
      </c>
      <c r="F37" s="53">
        <f>+IFERROR(F15/F10-1,0)</f>
        <v>3.9914937852096877E-2</v>
      </c>
      <c r="G37" s="53">
        <f>+IFERROR(G15/G10-1,0)</f>
        <v>9.6440101273768564E-2</v>
      </c>
    </row>
    <row r="38" spans="3:7" x14ac:dyDescent="0.25">
      <c r="C38" s="50" t="s">
        <v>58</v>
      </c>
      <c r="D38" s="64"/>
      <c r="E38" s="54">
        <f>+E15-E10</f>
        <v>-1309.1999999999825</v>
      </c>
      <c r="F38" s="54">
        <f>+F15-F10</f>
        <v>8570.2799999999988</v>
      </c>
      <c r="G38" s="54">
        <f>+G15-G10</f>
        <v>21533.51999999999</v>
      </c>
    </row>
    <row r="39" spans="3:7" x14ac:dyDescent="0.25">
      <c r="C39" s="50" t="s">
        <v>59</v>
      </c>
      <c r="D39" s="64"/>
      <c r="E39" s="54">
        <f>+SUM(E11:E12)</f>
        <v>19329.48</v>
      </c>
      <c r="F39" s="54">
        <f>+SUM(F11:F12)</f>
        <v>16742.879999999997</v>
      </c>
      <c r="G39" s="54">
        <f>+SUM(G11:G12)</f>
        <v>29551.8</v>
      </c>
    </row>
    <row r="40" spans="3:7" x14ac:dyDescent="0.25">
      <c r="C40" s="55" t="s">
        <v>60</v>
      </c>
      <c r="D40" s="65"/>
      <c r="E40" s="56">
        <f>+SUM(E13:E14)</f>
        <v>-20638.68</v>
      </c>
      <c r="F40" s="56">
        <f>+SUM(F13:F14)</f>
        <v>-8172.6</v>
      </c>
      <c r="G40" s="56">
        <f>+SUM(G13:G14)</f>
        <v>-8018.28</v>
      </c>
    </row>
    <row r="42" spans="3:7" x14ac:dyDescent="0.25">
      <c r="C42" s="59" t="s">
        <v>61</v>
      </c>
      <c r="D42" s="67"/>
      <c r="E42" s="60">
        <f>+IFERROR((SUM(E10,E13:E14)/E10),0)</f>
        <v>0.90446064026574979</v>
      </c>
      <c r="F42" s="60">
        <f>+IFERROR((SUM(F10,F13:F14)/F10),0)</f>
        <v>0.96193720379146919</v>
      </c>
      <c r="G42" s="60">
        <f>+IFERROR((SUM(G10,G13:G14)/G10),0)</f>
        <v>0.96408930192363196</v>
      </c>
    </row>
    <row r="43" spans="3:7" x14ac:dyDescent="0.25">
      <c r="C43" s="57" t="s">
        <v>62</v>
      </c>
      <c r="D43" s="66"/>
      <c r="E43" s="58">
        <f>+IFERROR((SUM(E10,E14)/E10),0)</f>
        <v>0.92648942611613228</v>
      </c>
      <c r="F43" s="58">
        <f>+IFERROR((SUM(F10,F14)/F10),0)</f>
        <v>0.9645108647053563</v>
      </c>
      <c r="G43" s="58">
        <f>+IFERROR((SUM(G10,G14)/G10),0)</f>
        <v>0.9796850538426688</v>
      </c>
    </row>
    <row r="44" spans="3:7" x14ac:dyDescent="0.25">
      <c r="C44" s="61" t="s">
        <v>63</v>
      </c>
      <c r="D44" s="68"/>
      <c r="E44" s="62">
        <f>+IFERROR((SUM(E10,E12:E14)/E10),0)</f>
        <v>0.92464239885789834</v>
      </c>
      <c r="F44" s="62">
        <f>+IFERROR((SUM(F10,F12:F14)/F10),0)</f>
        <v>0.98111475006706605</v>
      </c>
      <c r="G44" s="62">
        <f>+IFERROR((SUM(G10,G12:G14)/G10),0)</f>
        <v>0.99058525855068447</v>
      </c>
    </row>
    <row r="46" spans="3:7" x14ac:dyDescent="0.25">
      <c r="C46" s="38" t="s">
        <v>64</v>
      </c>
      <c r="D46" s="38"/>
      <c r="E46" s="38"/>
      <c r="F46" s="38"/>
      <c r="G46" s="38"/>
    </row>
    <row r="48" spans="3:7" x14ac:dyDescent="0.25">
      <c r="C48" s="10" t="s">
        <v>65</v>
      </c>
      <c r="D48" s="44"/>
      <c r="E48" s="43">
        <f>+D51</f>
        <v>79</v>
      </c>
      <c r="F48" s="43">
        <f>+E51</f>
        <v>79</v>
      </c>
      <c r="G48" s="43">
        <f>+F51</f>
        <v>80</v>
      </c>
    </row>
    <row r="49" spans="1:7" x14ac:dyDescent="0.25">
      <c r="A49" s="41" t="s">
        <v>75</v>
      </c>
      <c r="C49" s="40" t="s">
        <v>17</v>
      </c>
      <c r="D49" s="44"/>
      <c r="E49" s="43">
        <f>+COUNTIFS('Quikirr Data'!EW$4:EW$103,"&gt;"&amp;0)</f>
        <v>6</v>
      </c>
      <c r="F49" s="43">
        <f>+COUNTIFS('Quikirr Data'!EX$4:EX$103,"&gt;"&amp;0)</f>
        <v>5</v>
      </c>
      <c r="G49" s="43">
        <f>+COUNTIFS('Quikirr Data'!EY$4:EY$103,"&gt;"&amp;0)</f>
        <v>7</v>
      </c>
    </row>
    <row r="50" spans="1:7" x14ac:dyDescent="0.25">
      <c r="A50" s="41" t="s">
        <v>78</v>
      </c>
      <c r="C50" s="40" t="s">
        <v>38</v>
      </c>
      <c r="D50" s="44"/>
      <c r="E50" s="43">
        <f>+COUNTIFS('Quikirr Data'!FB$4:FB$103,"&lt;"&amp;0)*-1</f>
        <v>-6</v>
      </c>
      <c r="F50" s="43">
        <f>+COUNTIFS('Quikirr Data'!FC$4:FC$103,"&lt;"&amp;0)*-1</f>
        <v>-4</v>
      </c>
      <c r="G50" s="43">
        <f>+COUNTIFS('Quikirr Data'!FD$4:FD$103,"&lt;"&amp;0)*-1</f>
        <v>-2</v>
      </c>
    </row>
    <row r="51" spans="1:7" x14ac:dyDescent="0.25">
      <c r="C51" s="45" t="s">
        <v>66</v>
      </c>
      <c r="D51" s="69">
        <f>+COUNTIFS('Quikirr Data'!C$4:C$103,"&gt;"&amp;0)</f>
        <v>79</v>
      </c>
      <c r="E51" s="69">
        <f>+SUM(E48:E50)</f>
        <v>79</v>
      </c>
      <c r="F51" s="69">
        <f>+SUM(F48:F50)</f>
        <v>80</v>
      </c>
      <c r="G51" s="69">
        <f>+SUM(G48:G50)</f>
        <v>85</v>
      </c>
    </row>
    <row r="53" spans="1:7" x14ac:dyDescent="0.25">
      <c r="C53" s="52" t="s">
        <v>67</v>
      </c>
      <c r="D53" s="63"/>
      <c r="E53" s="70">
        <f>+SUM(E49:E50)</f>
        <v>0</v>
      </c>
      <c r="F53" s="70">
        <f>+SUM(F49:F50)</f>
        <v>1</v>
      </c>
      <c r="G53" s="70">
        <f>+SUM(G49:G50)</f>
        <v>5</v>
      </c>
    </row>
    <row r="54" spans="1:7" x14ac:dyDescent="0.25">
      <c r="C54" s="55" t="s">
        <v>68</v>
      </c>
      <c r="D54" s="65"/>
      <c r="E54" s="71">
        <f>+IFERROR(E51/E48-1,0)</f>
        <v>0</v>
      </c>
      <c r="F54" s="71">
        <f>+IFERROR(F51/F48-1,0)</f>
        <v>1.2658227848101333E-2</v>
      </c>
      <c r="G54" s="71">
        <f>+IFERROR(G51/G48-1,0)</f>
        <v>6.25E-2</v>
      </c>
    </row>
    <row r="56" spans="1:7" x14ac:dyDescent="0.25">
      <c r="C56" s="72" t="s">
        <v>69</v>
      </c>
      <c r="D56" s="75"/>
      <c r="E56" s="73">
        <f>+IFERROR((E50/E48+1),0)</f>
        <v>0.92405063291139244</v>
      </c>
      <c r="F56" s="73">
        <f>+IFERROR((F50/F48+1),0)</f>
        <v>0.94936708860759489</v>
      </c>
      <c r="G56" s="73">
        <f>+IFERROR((G50/G48+1),0)</f>
        <v>0.97499999999999998</v>
      </c>
    </row>
    <row r="58" spans="1:7" x14ac:dyDescent="0.25">
      <c r="C58" s="10" t="str">
        <f>"Avg. Logo Size ("&amp;ToC!$E$12&amp;" Actuals)"</f>
        <v>Avg. Logo Size ($ Actuals)</v>
      </c>
      <c r="D58" s="44"/>
      <c r="E58" s="42">
        <f>+IFERROR(E15*ToC!$E$10/E51,0)</f>
        <v>2717.8936708860765</v>
      </c>
      <c r="F58" s="42">
        <f>+IFERROR(F15*ToC!$E$10/F51,0)</f>
        <v>2791.0485000000003</v>
      </c>
      <c r="G58" s="42">
        <f>+IFERROR(G15*ToC!$E$10/G51,0)</f>
        <v>2880.2047058823532</v>
      </c>
    </row>
    <row r="59" spans="1:7" x14ac:dyDescent="0.25">
      <c r="C59" s="36" t="s">
        <v>70</v>
      </c>
      <c r="D59" s="49"/>
      <c r="E59" s="74" t="str">
        <f>""</f>
        <v/>
      </c>
      <c r="F59" s="48">
        <f>+IFERROR(F58/E58-1,0)</f>
        <v>2.6916001128945544E-2</v>
      </c>
      <c r="G59" s="48">
        <f>+IFERROR(G58/F58-1,0)</f>
        <v>3.194362472825274E-2</v>
      </c>
    </row>
    <row r="61" spans="1:7" x14ac:dyDescent="0.25">
      <c r="C61" s="10" t="str">
        <f>"Avg. New Logo Size ("&amp;ToC!$E$12&amp;" Actuals)"</f>
        <v>Avg. New Logo Size ($ Actuals)</v>
      </c>
      <c r="D61" s="44"/>
      <c r="E61" s="42">
        <f>+IFERROR(E11*ToC!$E$10/E49,0)</f>
        <v>2494.96</v>
      </c>
      <c r="F61" s="42">
        <f>+IFERROR(F11*ToC!$E$10/F49,0)</f>
        <v>2525.04</v>
      </c>
      <c r="G61" s="42">
        <f>+IFERROR(G11*ToC!$E$10/G49,0)</f>
        <v>3376.5257142857145</v>
      </c>
    </row>
    <row r="62" spans="1:7" x14ac:dyDescent="0.25">
      <c r="C62" s="36" t="s">
        <v>71</v>
      </c>
      <c r="D62" s="49"/>
      <c r="E62" s="74" t="str">
        <f>""</f>
        <v/>
      </c>
      <c r="F62" s="48">
        <f>+IFERROR(F61/E61-1,0)</f>
        <v>1.2056305511912058E-2</v>
      </c>
      <c r="G62" s="48">
        <f>+IFERROR(G61/F61-1,0)</f>
        <v>0.33721672301655192</v>
      </c>
    </row>
    <row r="64" spans="1:7" x14ac:dyDescent="0.25">
      <c r="C64" s="10" t="str">
        <f>"Avg. Churned Logo Size ("&amp;ToC!$E$12&amp;" Actuals)"</f>
        <v>Avg. Churned Logo Size ($ Actuals)</v>
      </c>
      <c r="D64" s="44"/>
      <c r="E64" s="42">
        <f>+IFERROR(E14*ToC!$E$10/E50,0)</f>
        <v>2646.66</v>
      </c>
      <c r="F64" s="42">
        <f>+IFERROR(F14*ToC!$E$10/F50,0)</f>
        <v>1905</v>
      </c>
      <c r="G64" s="42">
        <f>+IFERROR(G14*ToC!$E$10/G50,0)</f>
        <v>2268</v>
      </c>
    </row>
    <row r="65" spans="3:7" x14ac:dyDescent="0.25">
      <c r="C65" s="36" t="s">
        <v>72</v>
      </c>
      <c r="D65" s="49"/>
      <c r="E65" s="74" t="str">
        <f>""</f>
        <v/>
      </c>
      <c r="F65" s="48">
        <f>+IFERROR(F64/E64-1,0)</f>
        <v>-0.28022488721634053</v>
      </c>
      <c r="G65" s="48">
        <f>+IFERROR(G64/F64-1,0)</f>
        <v>0.19055118110236213</v>
      </c>
    </row>
    <row r="68" spans="3:7" x14ac:dyDescent="0.25">
      <c r="C68" s="10" t="s">
        <v>73</v>
      </c>
      <c r="E68" s="43">
        <f>+SUMIFS('Quikirr Data'!O$4:O$103,'Quikirr Data'!O$4:O$103,"&lt;&gt;"&amp;0)*ToC!$E$15/ToC!$E$10-E15</f>
        <v>0</v>
      </c>
      <c r="F68" s="43">
        <f>+SUMIFS('Quikirr Data'!AA$4:AA$103,'Quikirr Data'!AA$4:AA$103,"&lt;&gt;"&amp;0)*ToC!$E$15/ToC!$E$10-F15</f>
        <v>0</v>
      </c>
      <c r="G68" s="43">
        <f>+SUMIFS('Quikirr Data'!AM$4:AM$103,'Quikirr Data'!AM$4:AM$103,"&lt;&gt;"&amp;0)*ToC!$E$15/ToC!$E$10-G15</f>
        <v>0</v>
      </c>
    </row>
    <row r="69" spans="3:7" x14ac:dyDescent="0.25">
      <c r="C69" s="10" t="s">
        <v>74</v>
      </c>
      <c r="E69" s="43">
        <f>+COUNTIFS('Quikirr Data'!O$4:O$103,"&gt;"&amp;0)-E51</f>
        <v>0</v>
      </c>
      <c r="F69" s="43">
        <f>+COUNTIFS('Quikirr Data'!AA$4:AA$103,"&gt;"&amp;0)-F51</f>
        <v>0</v>
      </c>
      <c r="G69" s="43">
        <f>+COUNTIFS('Quikirr Data'!AM$4:AM$103,"&gt;"&amp;0)-G51</f>
        <v>0</v>
      </c>
    </row>
  </sheetData>
  <pageMargins left="0.7" right="0.7" top="0.75" bottom="0.75" header="0.3" footer="0.3"/>
  <pageSetup scale="81"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28570B-A35D-4B4D-9B48-E12DAC8D2854}">
  <sheetPr>
    <tabColor rgb="FFDAE9F8"/>
    <pageSetUpPr fitToPage="1"/>
  </sheetPr>
  <dimension ref="A5:P82"/>
  <sheetViews>
    <sheetView showGridLines="0" view="pageBreakPreview" zoomScaleNormal="100" zoomScaleSheetLayoutView="100" workbookViewId="0">
      <pane xSplit="3" ySplit="8" topLeftCell="D46" activePane="bottomRight" state="frozen"/>
      <selection pane="topRight" activeCell="D1" sqref="D1"/>
      <selection pane="bottomLeft" activeCell="A9" sqref="A9"/>
      <selection pane="bottomRight" activeCell="F75" sqref="F75"/>
    </sheetView>
  </sheetViews>
  <sheetFormatPr defaultColWidth="8.85546875" defaultRowHeight="13.5" outlineLevelRow="1" x14ac:dyDescent="0.25"/>
  <cols>
    <col min="1" max="1" width="11.140625" style="10" bestFit="1" customWidth="1"/>
    <col min="2" max="2" width="3.140625" style="10" customWidth="1"/>
    <col min="3" max="3" width="37.7109375" style="10" bestFit="1" customWidth="1"/>
    <col min="4" max="16" width="9.7109375" style="10" customWidth="1"/>
    <col min="17" max="18" width="3.140625" style="10" customWidth="1"/>
    <col min="19" max="16384" width="8.85546875" style="10"/>
  </cols>
  <sheetData>
    <row r="5" spans="1:16" ht="14.25" thickBot="1" x14ac:dyDescent="0.3">
      <c r="C5" s="76" t="s">
        <v>79</v>
      </c>
      <c r="D5" s="77"/>
      <c r="E5" s="77"/>
      <c r="F5" s="77"/>
      <c r="G5" s="77"/>
      <c r="H5" s="77"/>
      <c r="I5" s="77"/>
      <c r="J5" s="77"/>
      <c r="K5" s="77"/>
      <c r="L5" s="77"/>
      <c r="M5" s="77"/>
      <c r="N5" s="77"/>
      <c r="O5" s="77"/>
      <c r="P5" s="77"/>
    </row>
    <row r="6" spans="1:16" x14ac:dyDescent="0.25">
      <c r="C6" s="37" t="str">
        <f>"("&amp;ToC!$E$12&amp;" "&amp;ToC!$E$11&amp;")"</f>
        <v>($ Actuals)</v>
      </c>
    </row>
    <row r="8" spans="1:16" x14ac:dyDescent="0.25">
      <c r="C8" s="38" t="s">
        <v>79</v>
      </c>
      <c r="D8" s="39">
        <v>44926</v>
      </c>
      <c r="E8" s="39">
        <v>45016</v>
      </c>
      <c r="F8" s="39">
        <v>45107</v>
      </c>
      <c r="G8" s="39">
        <v>45199</v>
      </c>
      <c r="H8" s="39">
        <v>45291</v>
      </c>
      <c r="I8" s="39">
        <v>45382</v>
      </c>
      <c r="J8" s="39">
        <v>45473</v>
      </c>
      <c r="K8" s="39">
        <v>45565</v>
      </c>
      <c r="L8" s="39">
        <v>45657</v>
      </c>
      <c r="M8" s="39">
        <v>45747</v>
      </c>
      <c r="N8" s="39">
        <v>45838</v>
      </c>
      <c r="O8" s="39">
        <v>45930</v>
      </c>
      <c r="P8" s="39">
        <v>46022</v>
      </c>
    </row>
    <row r="9" spans="1:16" ht="3.95" customHeight="1" x14ac:dyDescent="0.25"/>
    <row r="10" spans="1:16" x14ac:dyDescent="0.25">
      <c r="C10" s="10" t="s">
        <v>36</v>
      </c>
      <c r="D10" s="44"/>
      <c r="E10" s="43">
        <f t="shared" ref="E10:P10" si="0">+D15</f>
        <v>216022.80000000002</v>
      </c>
      <c r="F10" s="43">
        <f t="shared" si="0"/>
        <v>229915.2</v>
      </c>
      <c r="G10" s="43">
        <f t="shared" si="0"/>
        <v>229781.64</v>
      </c>
      <c r="H10" s="43">
        <f t="shared" si="0"/>
        <v>218279.03999999998</v>
      </c>
      <c r="I10" s="43">
        <f t="shared" si="0"/>
        <v>214713.59999999998</v>
      </c>
      <c r="J10" s="43">
        <f t="shared" si="0"/>
        <v>213660.59999999998</v>
      </c>
      <c r="K10" s="43">
        <f t="shared" si="0"/>
        <v>212321.39999999997</v>
      </c>
      <c r="L10" s="43">
        <f t="shared" si="0"/>
        <v>221747.75999999998</v>
      </c>
      <c r="M10" s="43">
        <f t="shared" si="0"/>
        <v>223283.87999999998</v>
      </c>
      <c r="N10" s="43">
        <f t="shared" si="0"/>
        <v>219344.87999999998</v>
      </c>
      <c r="O10" s="43">
        <f t="shared" si="0"/>
        <v>243562.19999999998</v>
      </c>
      <c r="P10" s="43">
        <f t="shared" si="0"/>
        <v>244739.63999999998</v>
      </c>
    </row>
    <row r="11" spans="1:16" x14ac:dyDescent="0.25">
      <c r="A11" s="41" t="s">
        <v>75</v>
      </c>
      <c r="C11" s="40" t="s">
        <v>17</v>
      </c>
      <c r="D11" s="44"/>
      <c r="E11" s="43">
        <f>+SUMIFS('Quikirr Data'!BT$4:BT$103,'Quikirr Data'!BT$4:BT$103,"&lt;&gt;"&amp;0)*ToC!$E$15/ToC!$E$10</f>
        <v>15627.96</v>
      </c>
      <c r="F11" s="43">
        <f>+SUMIFS('Quikirr Data'!BU$4:BU$103,'Quikirr Data'!BU$4:BU$103,"&lt;&gt;"&amp;0)*ToC!$E$15/ToC!$E$10</f>
        <v>0</v>
      </c>
      <c r="G11" s="43">
        <f>+SUMIFS('Quikirr Data'!BV$4:BV$103,'Quikirr Data'!BV$4:BV$103,"&lt;&gt;"&amp;0)*ToC!$E$15/ToC!$E$10</f>
        <v>0</v>
      </c>
      <c r="H11" s="43">
        <f>+SUMIFS('Quikirr Data'!BW$4:BW$103,'Quikirr Data'!BW$4:BW$103,"&lt;&gt;"&amp;0)*ToC!$E$15/ToC!$E$10</f>
        <v>0</v>
      </c>
      <c r="I11" s="43">
        <f>+SUMIFS('Quikirr Data'!BX$4:BX$103,'Quikirr Data'!BX$4:BX$103,"&lt;&gt;"&amp;0)*ToC!$E$15/ToC!$E$10</f>
        <v>0</v>
      </c>
      <c r="J11" s="43">
        <f>+SUMIFS('Quikirr Data'!BY$4:BY$103,'Quikirr Data'!BY$4:BY$103,"&lt;&gt;"&amp;0)*ToC!$E$15/ToC!$E$10</f>
        <v>0</v>
      </c>
      <c r="K11" s="43">
        <f>+SUMIFS('Quikirr Data'!BZ$4:BZ$103,'Quikirr Data'!BZ$4:BZ$103,"&lt;&gt;"&amp;0)*ToC!$E$15/ToC!$E$10</f>
        <v>12625.199999999999</v>
      </c>
      <c r="L11" s="43">
        <f>+SUMIFS('Quikirr Data'!CA$4:CA$103,'Quikirr Data'!CA$4:CA$103,"&lt;&gt;"&amp;0)*ToC!$E$15/ToC!$E$10</f>
        <v>0</v>
      </c>
      <c r="M11" s="43">
        <f>+SUMIFS('Quikirr Data'!CB$4:CB$103,'Quikirr Data'!CB$4:CB$103,"&lt;&gt;"&amp;0)*ToC!$E$15/ToC!$E$10</f>
        <v>0</v>
      </c>
      <c r="N11" s="43">
        <f>+SUMIFS('Quikirr Data'!CC$4:CC$103,'Quikirr Data'!CC$4:CC$103,"&lt;&gt;"&amp;0)*ToC!$E$15/ToC!$E$10</f>
        <v>23635.68</v>
      </c>
      <c r="O11" s="43">
        <f>+SUMIFS('Quikirr Data'!CD$4:CD$103,'Quikirr Data'!CD$4:CD$103,"&lt;&gt;"&amp;0)*ToC!$E$15/ToC!$E$10</f>
        <v>0</v>
      </c>
      <c r="P11" s="43">
        <f>+SUMIFS('Quikirr Data'!CE$4:CE$103,'Quikirr Data'!CE$4:CE$103,"&lt;&gt;"&amp;0)*ToC!$E$15/ToC!$E$10</f>
        <v>0</v>
      </c>
    </row>
    <row r="12" spans="1:16" x14ac:dyDescent="0.25">
      <c r="A12" s="41" t="s">
        <v>76</v>
      </c>
      <c r="C12" s="40" t="s">
        <v>20</v>
      </c>
      <c r="D12" s="44"/>
      <c r="E12" s="43">
        <f>+SUMIFS('Quikirr Data'!DJ$4:DJ$103,'Quikirr Data'!DJ$4:DJ$103,"&lt;&gt;"&amp;0)*ToC!$E$15/ToC!$E$10</f>
        <v>533.16000000000031</v>
      </c>
      <c r="F12" s="43">
        <f>+SUMIFS('Quikirr Data'!DK$4:DK$103,'Quikirr Data'!DK$4:DK$103,"&lt;&gt;"&amp;0)*ToC!$E$15/ToC!$E$10</f>
        <v>1554.7199999999987</v>
      </c>
      <c r="G12" s="43">
        <f>+SUMIFS('Quikirr Data'!DL$4:DL$103,'Quikirr Data'!DL$4:DL$103,"&lt;&gt;"&amp;0)*ToC!$E$15/ToC!$E$10</f>
        <v>3291.9600000000005</v>
      </c>
      <c r="H12" s="43">
        <f>+SUMIFS('Quikirr Data'!DM$4:DM$103,'Quikirr Data'!DM$4:DM$103,"&lt;&gt;"&amp;0)*ToC!$E$15/ToC!$E$10</f>
        <v>1100.2799999999988</v>
      </c>
      <c r="I12" s="43">
        <f>+SUMIFS('Quikirr Data'!DN$4:DN$103,'Quikirr Data'!DN$4:DN$103,"&lt;&gt;"&amp;0)*ToC!$E$15/ToC!$E$10</f>
        <v>2151</v>
      </c>
      <c r="J12" s="43">
        <f>+SUMIFS('Quikirr Data'!DO$4:DO$103,'Quikirr Data'!DO$4:DO$103,"&lt;&gt;"&amp;0)*ToC!$E$15/ToC!$E$10</f>
        <v>208.79999999999973</v>
      </c>
      <c r="K12" s="43">
        <f>+SUMIFS('Quikirr Data'!DP$4:DP$103,'Quikirr Data'!DP$4:DP$103,"&lt;&gt;"&amp;0)*ToC!$E$15/ToC!$E$10</f>
        <v>328.55999999999995</v>
      </c>
      <c r="L12" s="43">
        <f>+SUMIFS('Quikirr Data'!DQ$4:DQ$103,'Quikirr Data'!DQ$4:DQ$103,"&lt;&gt;"&amp;0)*ToC!$E$15/ToC!$E$10</f>
        <v>1536.1200000000017</v>
      </c>
      <c r="M12" s="43">
        <f>+SUMIFS('Quikirr Data'!DR$4:DR$103,'Quikirr Data'!DR$4:DR$103,"&lt;&gt;"&amp;0)*ToC!$E$15/ToC!$E$10</f>
        <v>3056.9999999999995</v>
      </c>
      <c r="N12" s="43">
        <f>+SUMIFS('Quikirr Data'!DS$4:DS$103,'Quikirr Data'!DS$4:DS$103,"&lt;&gt;"&amp;0)*ToC!$E$15/ToC!$E$10</f>
        <v>1865.7600000000002</v>
      </c>
      <c r="O12" s="43">
        <f>+SUMIFS('Quikirr Data'!DT$4:DT$103,'Quikirr Data'!DT$4:DT$103,"&lt;&gt;"&amp;0)*ToC!$E$15/ToC!$E$10</f>
        <v>1177.4399999999996</v>
      </c>
      <c r="P12" s="43">
        <f>+SUMIFS('Quikirr Data'!DU$4:DU$103,'Quikirr Data'!DU$4:DU$103,"&lt;&gt;"&amp;0)*ToC!$E$15/ToC!$E$10</f>
        <v>77.759999999999877</v>
      </c>
    </row>
    <row r="13" spans="1:16" x14ac:dyDescent="0.25">
      <c r="A13" s="41" t="s">
        <v>77</v>
      </c>
      <c r="C13" s="40" t="s">
        <v>37</v>
      </c>
      <c r="D13" s="44"/>
      <c r="E13" s="43">
        <f>+SUMIFS('Quikirr Data'!CV$4:CV$103,'Quikirr Data'!CV$4:CV$103,"&lt;&gt;"&amp;0)*ToC!$E$15/ToC!$E$10</f>
        <v>-2268.7200000000003</v>
      </c>
      <c r="F13" s="43">
        <f>+SUMIFS('Quikirr Data'!CW$4:CW$103,'Quikirr Data'!CW$4:CW$103,"&lt;&gt;"&amp;0)*ToC!$E$15/ToC!$E$10</f>
        <v>-1688.2800000000002</v>
      </c>
      <c r="G13" s="43">
        <f>+SUMIFS('Quikirr Data'!CX$4:CX$103,'Quikirr Data'!CX$4:CX$103,"&lt;&gt;"&amp;0)*ToC!$E$15/ToC!$E$10</f>
        <v>-2361.48</v>
      </c>
      <c r="H13" s="43">
        <f>+SUMIFS('Quikirr Data'!CY$4:CY$103,'Quikirr Data'!CY$4:CY$103,"&lt;&gt;"&amp;0)*ToC!$E$15/ToC!$E$10</f>
        <v>-489.71999999999969</v>
      </c>
      <c r="I13" s="43">
        <f>+SUMIFS('Quikirr Data'!CZ$4:CZ$103,'Quikirr Data'!CZ$4:CZ$103,"&lt;&gt;"&amp;0)*ToC!$E$15/ToC!$E$10</f>
        <v>-480</v>
      </c>
      <c r="J13" s="43">
        <f>+SUMIFS('Quikirr Data'!DA$4:DA$103,'Quikirr Data'!DA$4:DA$103,"&lt;&gt;"&amp;0)*ToC!$E$15/ToC!$E$10</f>
        <v>0</v>
      </c>
      <c r="K13" s="43">
        <f>+SUMIFS('Quikirr Data'!DB$4:DB$103,'Quikirr Data'!DB$4:DB$103,"&lt;&gt;"&amp;0)*ToC!$E$15/ToC!$E$10</f>
        <v>-179.4000000000002</v>
      </c>
      <c r="L13" s="43">
        <f>+SUMIFS('Quikirr Data'!DC$4:DC$103,'Quikirr Data'!DC$4:DC$103,"&lt;&gt;"&amp;0)*ToC!$E$15/ToC!$E$10</f>
        <v>0</v>
      </c>
      <c r="M13" s="43">
        <f>+SUMIFS('Quikirr Data'!DD$4:DD$103,'Quikirr Data'!DD$4:DD$103,"&lt;&gt;"&amp;0)*ToC!$E$15/ToC!$E$10</f>
        <v>-2460</v>
      </c>
      <c r="N13" s="43">
        <f>+SUMIFS('Quikirr Data'!DE$4:DE$103,'Quikirr Data'!DE$4:DE$103,"&lt;&gt;"&amp;0)*ToC!$E$15/ToC!$E$10</f>
        <v>-1284.1199999999994</v>
      </c>
      <c r="O13" s="43">
        <f>+SUMIFS('Quikirr Data'!DF$4:DF$103,'Quikirr Data'!DF$4:DF$103,"&lt;&gt;"&amp;0)*ToC!$E$15/ToC!$E$10</f>
        <v>0</v>
      </c>
      <c r="P13" s="43">
        <f>+SUMIFS('Quikirr Data'!DG$4:DG$103,'Quikirr Data'!DG$4:DG$103,"&lt;&gt;"&amp;0)*ToC!$E$15/ToC!$E$10</f>
        <v>0</v>
      </c>
    </row>
    <row r="14" spans="1:16" x14ac:dyDescent="0.25">
      <c r="A14" s="41" t="s">
        <v>78</v>
      </c>
      <c r="C14" s="40" t="s">
        <v>38</v>
      </c>
      <c r="D14" s="44"/>
      <c r="E14" s="43">
        <f>+SUMIFS('Quikirr Data'!CH$4:CH$103,'Quikirr Data'!CH$4:CH$103,"&lt;&gt;"&amp;0)*ToC!$E$15/ToC!$E$10</f>
        <v>0</v>
      </c>
      <c r="F14" s="43">
        <f>+SUMIFS('Quikirr Data'!CI$4:CI$103,'Quikirr Data'!CI$4:CI$103,"&lt;&gt;"&amp;0)*ToC!$E$15/ToC!$E$10</f>
        <v>0</v>
      </c>
      <c r="G14" s="43">
        <f>+SUMIFS('Quikirr Data'!CJ$4:CJ$103,'Quikirr Data'!CJ$4:CJ$103,"&lt;&gt;"&amp;0)*ToC!$E$15/ToC!$E$10</f>
        <v>-12433.080000000002</v>
      </c>
      <c r="H14" s="43">
        <f>+SUMIFS('Quikirr Data'!CK$4:CK$103,'Quikirr Data'!CK$4:CK$103,"&lt;&gt;"&amp;0)*ToC!$E$15/ToC!$E$10</f>
        <v>-4176</v>
      </c>
      <c r="I14" s="43">
        <f>+SUMIFS('Quikirr Data'!CL$4:CL$103,'Quikirr Data'!CL$4:CL$103,"&lt;&gt;"&amp;0)*ToC!$E$15/ToC!$E$10</f>
        <v>-2724</v>
      </c>
      <c r="J14" s="43">
        <f>+SUMIFS('Quikirr Data'!CM$4:CM$103,'Quikirr Data'!CM$4:CM$103,"&lt;&gt;"&amp;0)*ToC!$E$15/ToC!$E$10</f>
        <v>-1548</v>
      </c>
      <c r="K14" s="43">
        <f>+SUMIFS('Quikirr Data'!CN$4:CN$103,'Quikirr Data'!CN$4:CN$103,"&lt;&gt;"&amp;0)*ToC!$E$15/ToC!$E$10</f>
        <v>-3348</v>
      </c>
      <c r="L14" s="43">
        <f>+SUMIFS('Quikirr Data'!CO$4:CO$103,'Quikirr Data'!CO$4:CO$103,"&lt;&gt;"&amp;0)*ToC!$E$15/ToC!$E$10</f>
        <v>0</v>
      </c>
      <c r="M14" s="43">
        <f>+SUMIFS('Quikirr Data'!CP$4:CP$103,'Quikirr Data'!CP$4:CP$103,"&lt;&gt;"&amp;0)*ToC!$E$15/ToC!$E$10</f>
        <v>-4536</v>
      </c>
      <c r="N14" s="43">
        <f>+SUMIFS('Quikirr Data'!CQ$4:CQ$103,'Quikirr Data'!CQ$4:CQ$103,"&lt;&gt;"&amp;0)*ToC!$E$15/ToC!$E$10</f>
        <v>0</v>
      </c>
      <c r="O14" s="43">
        <f>+SUMIFS('Quikirr Data'!CR$4:CR$103,'Quikirr Data'!CR$4:CR$103,"&lt;&gt;"&amp;0)*ToC!$E$15/ToC!$E$10</f>
        <v>0</v>
      </c>
      <c r="P14" s="43">
        <f>+SUMIFS('Quikirr Data'!CS$4:CS$103,'Quikirr Data'!CS$4:CS$103,"&lt;&gt;"&amp;0)*ToC!$E$15/ToC!$E$10</f>
        <v>0</v>
      </c>
    </row>
    <row r="15" spans="1:16" x14ac:dyDescent="0.25">
      <c r="C15" s="45" t="s">
        <v>39</v>
      </c>
      <c r="D15" s="46">
        <f>+SUMIFS('Quikirr Data'!C$4:C$103,'Quikirr Data'!C$4:C$103,"&lt;&gt;"&amp;0)*ToC!$E$15/ToC!$E$10</f>
        <v>216022.80000000002</v>
      </c>
      <c r="E15" s="46">
        <f t="shared" ref="E15:P15" si="1">+SUM(E10:E14)</f>
        <v>229915.2</v>
      </c>
      <c r="F15" s="46">
        <f t="shared" si="1"/>
        <v>229781.64</v>
      </c>
      <c r="G15" s="46">
        <f t="shared" si="1"/>
        <v>218279.03999999998</v>
      </c>
      <c r="H15" s="46">
        <f t="shared" si="1"/>
        <v>214713.59999999998</v>
      </c>
      <c r="I15" s="46">
        <f t="shared" si="1"/>
        <v>213660.59999999998</v>
      </c>
      <c r="J15" s="46">
        <f t="shared" si="1"/>
        <v>212321.39999999997</v>
      </c>
      <c r="K15" s="46">
        <f t="shared" si="1"/>
        <v>221747.75999999998</v>
      </c>
      <c r="L15" s="46">
        <f t="shared" si="1"/>
        <v>223283.87999999998</v>
      </c>
      <c r="M15" s="46">
        <f t="shared" si="1"/>
        <v>219344.87999999998</v>
      </c>
      <c r="N15" s="46">
        <f t="shared" si="1"/>
        <v>243562.19999999998</v>
      </c>
      <c r="O15" s="46">
        <f t="shared" si="1"/>
        <v>244739.63999999998</v>
      </c>
      <c r="P15" s="46">
        <f t="shared" si="1"/>
        <v>244817.4</v>
      </c>
    </row>
    <row r="16" spans="1:16" hidden="1" outlineLevel="1" x14ac:dyDescent="0.25"/>
    <row r="17" spans="3:16" hidden="1" outlineLevel="1" x14ac:dyDescent="0.25">
      <c r="C17" s="50" t="s">
        <v>40</v>
      </c>
      <c r="D17" s="64"/>
      <c r="E17" s="51">
        <f t="shared" ref="E17:P17" si="2">+IFERROR(E11/E10,0)</f>
        <v>7.2344030352351693E-2</v>
      </c>
      <c r="F17" s="51">
        <f t="shared" si="2"/>
        <v>0</v>
      </c>
      <c r="G17" s="51">
        <f t="shared" si="2"/>
        <v>0</v>
      </c>
      <c r="H17" s="51">
        <f t="shared" si="2"/>
        <v>0</v>
      </c>
      <c r="I17" s="51">
        <f t="shared" si="2"/>
        <v>0</v>
      </c>
      <c r="J17" s="51">
        <f t="shared" si="2"/>
        <v>0</v>
      </c>
      <c r="K17" s="51">
        <f t="shared" si="2"/>
        <v>5.9462682518106991E-2</v>
      </c>
      <c r="L17" s="51">
        <f t="shared" si="2"/>
        <v>0</v>
      </c>
      <c r="M17" s="51">
        <f t="shared" si="2"/>
        <v>0</v>
      </c>
      <c r="N17" s="51">
        <f t="shared" si="2"/>
        <v>0.10775578623034193</v>
      </c>
      <c r="O17" s="51">
        <f t="shared" si="2"/>
        <v>0</v>
      </c>
      <c r="P17" s="51">
        <f t="shared" si="2"/>
        <v>0</v>
      </c>
    </row>
    <row r="18" spans="3:16" hidden="1" outlineLevel="1" x14ac:dyDescent="0.25">
      <c r="C18" s="50" t="s">
        <v>41</v>
      </c>
      <c r="D18" s="64"/>
      <c r="E18" s="51">
        <f t="shared" ref="E18:P18" si="3">+IFERROR(E12/E10,0)</f>
        <v>2.4680728145362444E-3</v>
      </c>
      <c r="F18" s="51">
        <f t="shared" si="3"/>
        <v>6.7621453475020295E-3</v>
      </c>
      <c r="G18" s="51">
        <f t="shared" si="3"/>
        <v>1.4326470992199377E-2</v>
      </c>
      <c r="H18" s="51">
        <f t="shared" si="3"/>
        <v>5.0407038623589279E-3</v>
      </c>
      <c r="I18" s="51">
        <f t="shared" si="3"/>
        <v>1.0017996065456497E-2</v>
      </c>
      <c r="J18" s="51">
        <f t="shared" si="3"/>
        <v>9.7725083613918397E-4</v>
      </c>
      <c r="K18" s="51">
        <f t="shared" si="3"/>
        <v>1.5474653049574842E-3</v>
      </c>
      <c r="L18" s="51">
        <f t="shared" si="3"/>
        <v>6.9273304046002619E-3</v>
      </c>
      <c r="M18" s="51">
        <f t="shared" si="3"/>
        <v>1.3691091358677571E-2</v>
      </c>
      <c r="N18" s="51">
        <f t="shared" si="3"/>
        <v>8.5060567632123454E-3</v>
      </c>
      <c r="O18" s="51">
        <f t="shared" si="3"/>
        <v>4.8342476788270092E-3</v>
      </c>
      <c r="P18" s="51">
        <f t="shared" si="3"/>
        <v>3.177253999392983E-4</v>
      </c>
    </row>
    <row r="19" spans="3:16" hidden="1" outlineLevel="1" x14ac:dyDescent="0.25">
      <c r="C19" s="50" t="s">
        <v>42</v>
      </c>
      <c r="D19" s="64"/>
      <c r="E19" s="51">
        <f t="shared" ref="E19:P19" si="4">+IFERROR(E13/E10,0)</f>
        <v>-1.0502224765163678E-2</v>
      </c>
      <c r="F19" s="51">
        <f t="shared" si="4"/>
        <v>-7.3430551786049817E-3</v>
      </c>
      <c r="G19" s="51">
        <f t="shared" si="4"/>
        <v>-1.0277061300458992E-2</v>
      </c>
      <c r="H19" s="51">
        <f t="shared" si="4"/>
        <v>-2.2435502739979055E-3</v>
      </c>
      <c r="I19" s="51">
        <f t="shared" si="4"/>
        <v>-2.2355360815523567E-3</v>
      </c>
      <c r="J19" s="51">
        <f t="shared" si="4"/>
        <v>0</v>
      </c>
      <c r="K19" s="51">
        <f t="shared" si="4"/>
        <v>-8.4494544591360188E-4</v>
      </c>
      <c r="L19" s="51">
        <f t="shared" si="4"/>
        <v>0</v>
      </c>
      <c r="M19" s="51">
        <f t="shared" si="4"/>
        <v>-1.1017364979505015E-2</v>
      </c>
      <c r="N19" s="51">
        <f t="shared" si="4"/>
        <v>-5.8543422577267343E-3</v>
      </c>
      <c r="O19" s="51">
        <f t="shared" si="4"/>
        <v>0</v>
      </c>
      <c r="P19" s="51">
        <f t="shared" si="4"/>
        <v>0</v>
      </c>
    </row>
    <row r="20" spans="3:16" hidden="1" outlineLevel="1" x14ac:dyDescent="0.25">
      <c r="C20" s="50" t="s">
        <v>43</v>
      </c>
      <c r="D20" s="64"/>
      <c r="E20" s="51">
        <f t="shared" ref="E20:P20" si="5">+IFERROR(E14/E10,0)</f>
        <v>0</v>
      </c>
      <c r="F20" s="51">
        <f t="shared" si="5"/>
        <v>0</v>
      </c>
      <c r="G20" s="51">
        <f t="shared" si="5"/>
        <v>-5.4108239457251683E-2</v>
      </c>
      <c r="H20" s="51">
        <f t="shared" si="5"/>
        <v>-1.9131475014733435E-2</v>
      </c>
      <c r="I20" s="51">
        <f t="shared" si="5"/>
        <v>-1.2686667262809623E-2</v>
      </c>
      <c r="J20" s="51">
        <f t="shared" si="5"/>
        <v>-7.2451355093077537E-3</v>
      </c>
      <c r="K20" s="51">
        <f t="shared" si="5"/>
        <v>-1.5768547117718707E-2</v>
      </c>
      <c r="L20" s="51">
        <f t="shared" si="5"/>
        <v>0</v>
      </c>
      <c r="M20" s="51">
        <f t="shared" si="5"/>
        <v>-2.0314946157331197E-2</v>
      </c>
      <c r="N20" s="51">
        <f t="shared" si="5"/>
        <v>0</v>
      </c>
      <c r="O20" s="51">
        <f t="shared" si="5"/>
        <v>0</v>
      </c>
      <c r="P20" s="51">
        <f t="shared" si="5"/>
        <v>0</v>
      </c>
    </row>
    <row r="21" spans="3:16" hidden="1" outlineLevel="1" x14ac:dyDescent="0.25">
      <c r="C21" s="50" t="s">
        <v>44</v>
      </c>
      <c r="D21" s="64"/>
      <c r="E21" s="51">
        <f t="shared" ref="E21:P21" si="6">+IFERROR((SUM(E11:E12))/E10,0)</f>
        <v>7.4812103166887925E-2</v>
      </c>
      <c r="F21" s="51">
        <f t="shared" si="6"/>
        <v>6.7621453475020295E-3</v>
      </c>
      <c r="G21" s="51">
        <f t="shared" si="6"/>
        <v>1.4326470992199377E-2</v>
      </c>
      <c r="H21" s="51">
        <f t="shared" si="6"/>
        <v>5.0407038623589279E-3</v>
      </c>
      <c r="I21" s="51">
        <f t="shared" si="6"/>
        <v>1.0017996065456497E-2</v>
      </c>
      <c r="J21" s="51">
        <f t="shared" si="6"/>
        <v>9.7725083613918397E-4</v>
      </c>
      <c r="K21" s="51">
        <f t="shared" si="6"/>
        <v>6.1010147823064471E-2</v>
      </c>
      <c r="L21" s="51">
        <f t="shared" si="6"/>
        <v>6.9273304046002619E-3</v>
      </c>
      <c r="M21" s="51">
        <f t="shared" si="6"/>
        <v>1.3691091358677571E-2</v>
      </c>
      <c r="N21" s="51">
        <f t="shared" si="6"/>
        <v>0.11626184299355428</v>
      </c>
      <c r="O21" s="51">
        <f t="shared" si="6"/>
        <v>4.8342476788270092E-3</v>
      </c>
      <c r="P21" s="51">
        <f t="shared" si="6"/>
        <v>3.177253999392983E-4</v>
      </c>
    </row>
    <row r="22" spans="3:16" hidden="1" outlineLevel="1" x14ac:dyDescent="0.25">
      <c r="C22" s="50" t="s">
        <v>45</v>
      </c>
      <c r="D22" s="64"/>
      <c r="E22" s="51">
        <f t="shared" ref="E22:P22" si="7">+IFERROR((SUM(E13:E14))/E10,0)</f>
        <v>-1.0502224765163678E-2</v>
      </c>
      <c r="F22" s="51">
        <f t="shared" si="7"/>
        <v>-7.3430551786049817E-3</v>
      </c>
      <c r="G22" s="51">
        <f t="shared" si="7"/>
        <v>-6.4385300757710665E-2</v>
      </c>
      <c r="H22" s="51">
        <f t="shared" si="7"/>
        <v>-2.137502528873134E-2</v>
      </c>
      <c r="I22" s="51">
        <f t="shared" si="7"/>
        <v>-1.492220334436198E-2</v>
      </c>
      <c r="J22" s="51">
        <f t="shared" si="7"/>
        <v>-7.2451355093077537E-3</v>
      </c>
      <c r="K22" s="51">
        <f t="shared" si="7"/>
        <v>-1.6613492563632308E-2</v>
      </c>
      <c r="L22" s="51">
        <f t="shared" si="7"/>
        <v>0</v>
      </c>
      <c r="M22" s="51">
        <f t="shared" si="7"/>
        <v>-3.1332311136836211E-2</v>
      </c>
      <c r="N22" s="51">
        <f t="shared" si="7"/>
        <v>-5.8543422577267343E-3</v>
      </c>
      <c r="O22" s="51">
        <f t="shared" si="7"/>
        <v>0</v>
      </c>
      <c r="P22" s="51">
        <f t="shared" si="7"/>
        <v>0</v>
      </c>
    </row>
    <row r="23" spans="3:16" hidden="1" outlineLevel="1" x14ac:dyDescent="0.25"/>
    <row r="24" spans="3:16" hidden="1" outlineLevel="1" x14ac:dyDescent="0.25">
      <c r="C24" s="50" t="s">
        <v>46</v>
      </c>
      <c r="D24" s="64"/>
      <c r="E24" s="51">
        <f t="shared" ref="E24:P24" si="8">+IFERROR(E11/AVERAGE(E10,E15),0)</f>
        <v>7.0090281608654117E-2</v>
      </c>
      <c r="F24" s="51">
        <f t="shared" si="8"/>
        <v>0</v>
      </c>
      <c r="G24" s="51">
        <f t="shared" si="8"/>
        <v>0</v>
      </c>
      <c r="H24" s="51">
        <f t="shared" si="8"/>
        <v>0</v>
      </c>
      <c r="I24" s="51">
        <f t="shared" si="8"/>
        <v>0</v>
      </c>
      <c r="J24" s="51">
        <f t="shared" si="8"/>
        <v>0</v>
      </c>
      <c r="K24" s="51">
        <f t="shared" si="8"/>
        <v>5.8171375271166469E-2</v>
      </c>
      <c r="L24" s="51">
        <f t="shared" si="8"/>
        <v>0</v>
      </c>
      <c r="M24" s="51">
        <f t="shared" si="8"/>
        <v>0</v>
      </c>
      <c r="N24" s="51">
        <f t="shared" si="8"/>
        <v>0.10211846403386184</v>
      </c>
      <c r="O24" s="51">
        <f t="shared" si="8"/>
        <v>0</v>
      </c>
      <c r="P24" s="51">
        <f t="shared" si="8"/>
        <v>0</v>
      </c>
    </row>
    <row r="25" spans="3:16" hidden="1" outlineLevel="1" x14ac:dyDescent="0.25">
      <c r="C25" s="50" t="s">
        <v>47</v>
      </c>
      <c r="D25" s="64"/>
      <c r="E25" s="51">
        <f t="shared" ref="E25:P25" si="9">+IFERROR(E12/AVERAGE(E10,E15),0)</f>
        <v>2.3911844247406604E-3</v>
      </c>
      <c r="F25" s="51">
        <f t="shared" si="9"/>
        <v>6.7641100165056547E-3</v>
      </c>
      <c r="G25" s="51">
        <f t="shared" si="9"/>
        <v>1.4694259715001105E-2</v>
      </c>
      <c r="H25" s="51">
        <f t="shared" si="9"/>
        <v>5.082211097167836E-3</v>
      </c>
      <c r="I25" s="51">
        <f t="shared" si="9"/>
        <v>1.0042621614466979E-2</v>
      </c>
      <c r="J25" s="51">
        <f t="shared" si="9"/>
        <v>9.803231122441781E-4</v>
      </c>
      <c r="K25" s="51">
        <f t="shared" si="9"/>
        <v>1.5138601415497937E-3</v>
      </c>
      <c r="L25" s="51">
        <f t="shared" si="9"/>
        <v>6.9034192714927051E-3</v>
      </c>
      <c r="M25" s="51">
        <f t="shared" si="9"/>
        <v>1.381292982408102E-2</v>
      </c>
      <c r="N25" s="51">
        <f t="shared" si="9"/>
        <v>8.0610562275262691E-3</v>
      </c>
      <c r="O25" s="51">
        <f t="shared" si="9"/>
        <v>4.8225908794445648E-3</v>
      </c>
      <c r="P25" s="51">
        <f t="shared" si="9"/>
        <v>3.1767493324169084E-4</v>
      </c>
    </row>
    <row r="26" spans="3:16" hidden="1" outlineLevel="1" x14ac:dyDescent="0.25">
      <c r="C26" s="50" t="s">
        <v>48</v>
      </c>
      <c r="D26" s="64"/>
      <c r="E26" s="51">
        <f t="shared" ref="E26:P26" si="10">+IFERROR(E13/AVERAGE(E10,E15),0)</f>
        <v>-1.0175046755378551E-2</v>
      </c>
      <c r="F26" s="51">
        <f t="shared" si="10"/>
        <v>-7.3451886247466926E-3</v>
      </c>
      <c r="G26" s="51">
        <f t="shared" si="10"/>
        <v>-1.0540893702165519E-2</v>
      </c>
      <c r="H26" s="51">
        <f t="shared" si="10"/>
        <v>-2.2620245923810609E-3</v>
      </c>
      <c r="I26" s="51">
        <f t="shared" si="10"/>
        <v>-2.2410313226146677E-3</v>
      </c>
      <c r="J26" s="51">
        <f t="shared" si="10"/>
        <v>0</v>
      </c>
      <c r="K26" s="51">
        <f t="shared" si="10"/>
        <v>-8.2659638846491765E-4</v>
      </c>
      <c r="L26" s="51">
        <f t="shared" si="10"/>
        <v>0</v>
      </c>
      <c r="M26" s="51">
        <f t="shared" si="10"/>
        <v>-1.111540967197884E-2</v>
      </c>
      <c r="N26" s="51">
        <f t="shared" si="10"/>
        <v>-5.5480680917647639E-3</v>
      </c>
      <c r="O26" s="51">
        <f t="shared" si="10"/>
        <v>0</v>
      </c>
      <c r="P26" s="51">
        <f t="shared" si="10"/>
        <v>0</v>
      </c>
    </row>
    <row r="27" spans="3:16" hidden="1" outlineLevel="1" x14ac:dyDescent="0.25">
      <c r="C27" s="50" t="s">
        <v>49</v>
      </c>
      <c r="D27" s="64"/>
      <c r="E27" s="51">
        <f t="shared" ref="E27:P27" si="11">+IFERROR(E14/AVERAGE(E10,E15),0)</f>
        <v>0</v>
      </c>
      <c r="F27" s="51">
        <f t="shared" si="11"/>
        <v>0</v>
      </c>
      <c r="G27" s="51">
        <f t="shared" si="11"/>
        <v>-5.5497304516879287E-2</v>
      </c>
      <c r="H27" s="51">
        <f t="shared" si="11"/>
        <v>-1.928901147141901E-2</v>
      </c>
      <c r="I27" s="51">
        <f t="shared" si="11"/>
        <v>-1.2717852755838237E-2</v>
      </c>
      <c r="J27" s="51">
        <f t="shared" si="11"/>
        <v>-7.267912728706848E-3</v>
      </c>
      <c r="K27" s="51">
        <f t="shared" si="11"/>
        <v>-1.5426113202790083E-2</v>
      </c>
      <c r="L27" s="51">
        <f t="shared" si="11"/>
        <v>0</v>
      </c>
      <c r="M27" s="51">
        <f t="shared" si="11"/>
        <v>-2.049573100491708E-2</v>
      </c>
      <c r="N27" s="51">
        <f t="shared" si="11"/>
        <v>0</v>
      </c>
      <c r="O27" s="51">
        <f t="shared" si="11"/>
        <v>0</v>
      </c>
      <c r="P27" s="51">
        <f t="shared" si="11"/>
        <v>0</v>
      </c>
    </row>
    <row r="28" spans="3:16" hidden="1" outlineLevel="1" x14ac:dyDescent="0.25">
      <c r="C28" s="50" t="s">
        <v>50</v>
      </c>
      <c r="D28" s="64"/>
      <c r="E28" s="51">
        <f t="shared" ref="E28:P28" si="12">+IFERROR((SUM(E11:E12))/AVERAGE(E10,E15),0)</f>
        <v>7.2481466033394767E-2</v>
      </c>
      <c r="F28" s="51">
        <f t="shared" si="12"/>
        <v>6.7641100165056547E-3</v>
      </c>
      <c r="G28" s="51">
        <f t="shared" si="12"/>
        <v>1.4694259715001105E-2</v>
      </c>
      <c r="H28" s="51">
        <f t="shared" si="12"/>
        <v>5.082211097167836E-3</v>
      </c>
      <c r="I28" s="51">
        <f t="shared" si="12"/>
        <v>1.0042621614466979E-2</v>
      </c>
      <c r="J28" s="51">
        <f t="shared" si="12"/>
        <v>9.803231122441781E-4</v>
      </c>
      <c r="K28" s="51">
        <f t="shared" si="12"/>
        <v>5.968523541271626E-2</v>
      </c>
      <c r="L28" s="51">
        <f t="shared" si="12"/>
        <v>6.9034192714927051E-3</v>
      </c>
      <c r="M28" s="51">
        <f t="shared" si="12"/>
        <v>1.381292982408102E-2</v>
      </c>
      <c r="N28" s="51">
        <f t="shared" si="12"/>
        <v>0.11017952026138811</v>
      </c>
      <c r="O28" s="51">
        <f t="shared" si="12"/>
        <v>4.8225908794445648E-3</v>
      </c>
      <c r="P28" s="51">
        <f t="shared" si="12"/>
        <v>3.1767493324169084E-4</v>
      </c>
    </row>
    <row r="29" spans="3:16" hidden="1" outlineLevel="1" x14ac:dyDescent="0.25">
      <c r="C29" s="50" t="s">
        <v>51</v>
      </c>
      <c r="D29" s="64"/>
      <c r="E29" s="51">
        <f t="shared" ref="E29:P29" si="13">+IFERROR((SUM(E13:E14))/AVERAGE(E10,E15),0)</f>
        <v>-1.0175046755378551E-2</v>
      </c>
      <c r="F29" s="51">
        <f t="shared" si="13"/>
        <v>-7.3451886247466926E-3</v>
      </c>
      <c r="G29" s="51">
        <f t="shared" si="13"/>
        <v>-6.6038198219044802E-2</v>
      </c>
      <c r="H29" s="51">
        <f t="shared" si="13"/>
        <v>-2.1551036063800069E-2</v>
      </c>
      <c r="I29" s="51">
        <f t="shared" si="13"/>
        <v>-1.4958884078452906E-2</v>
      </c>
      <c r="J29" s="51">
        <f t="shared" si="13"/>
        <v>-7.267912728706848E-3</v>
      </c>
      <c r="K29" s="51">
        <f t="shared" si="13"/>
        <v>-1.6252709591255E-2</v>
      </c>
      <c r="L29" s="51">
        <f t="shared" si="13"/>
        <v>0</v>
      </c>
      <c r="M29" s="51">
        <f t="shared" si="13"/>
        <v>-3.1611140676895917E-2</v>
      </c>
      <c r="N29" s="51">
        <f t="shared" si="13"/>
        <v>-5.5480680917647639E-3</v>
      </c>
      <c r="O29" s="51">
        <f t="shared" si="13"/>
        <v>0</v>
      </c>
      <c r="P29" s="51">
        <f t="shared" si="13"/>
        <v>0</v>
      </c>
    </row>
    <row r="30" spans="3:16" hidden="1" outlineLevel="1" x14ac:dyDescent="0.25"/>
    <row r="31" spans="3:16" hidden="1" outlineLevel="1" x14ac:dyDescent="0.25">
      <c r="C31" s="50" t="s">
        <v>80</v>
      </c>
      <c r="D31" s="64"/>
      <c r="E31" s="51">
        <f t="shared" ref="E31:P31" si="14">+IFERROR(E11/D11-1,0)</f>
        <v>0</v>
      </c>
      <c r="F31" s="51">
        <f t="shared" si="14"/>
        <v>-1</v>
      </c>
      <c r="G31" s="51">
        <f t="shared" si="14"/>
        <v>0</v>
      </c>
      <c r="H31" s="51">
        <f t="shared" si="14"/>
        <v>0</v>
      </c>
      <c r="I31" s="51">
        <f t="shared" si="14"/>
        <v>0</v>
      </c>
      <c r="J31" s="51">
        <f t="shared" si="14"/>
        <v>0</v>
      </c>
      <c r="K31" s="51">
        <f t="shared" si="14"/>
        <v>0</v>
      </c>
      <c r="L31" s="51">
        <f t="shared" si="14"/>
        <v>-1</v>
      </c>
      <c r="M31" s="51">
        <f t="shared" si="14"/>
        <v>0</v>
      </c>
      <c r="N31" s="51">
        <f t="shared" si="14"/>
        <v>0</v>
      </c>
      <c r="O31" s="51">
        <f t="shared" si="14"/>
        <v>-1</v>
      </c>
      <c r="P31" s="51">
        <f t="shared" si="14"/>
        <v>0</v>
      </c>
    </row>
    <row r="32" spans="3:16" hidden="1" outlineLevel="1" x14ac:dyDescent="0.25">
      <c r="C32" s="50" t="s">
        <v>52</v>
      </c>
      <c r="D32" s="64"/>
      <c r="E32" s="64"/>
      <c r="F32" s="64"/>
      <c r="G32" s="64"/>
      <c r="H32" s="64"/>
      <c r="I32" s="51">
        <f t="shared" ref="I32:P32" si="15">+IFERROR(I11/E11-1,0)</f>
        <v>-1</v>
      </c>
      <c r="J32" s="51">
        <f t="shared" si="15"/>
        <v>0</v>
      </c>
      <c r="K32" s="51">
        <f t="shared" si="15"/>
        <v>0</v>
      </c>
      <c r="L32" s="51">
        <f t="shared" si="15"/>
        <v>0</v>
      </c>
      <c r="M32" s="51">
        <f t="shared" si="15"/>
        <v>0</v>
      </c>
      <c r="N32" s="51">
        <f t="shared" si="15"/>
        <v>0</v>
      </c>
      <c r="O32" s="51">
        <f t="shared" si="15"/>
        <v>-1</v>
      </c>
      <c r="P32" s="51">
        <f t="shared" si="15"/>
        <v>0</v>
      </c>
    </row>
    <row r="33" spans="3:16" hidden="1" outlineLevel="1" x14ac:dyDescent="0.25">
      <c r="C33" s="50" t="s">
        <v>81</v>
      </c>
      <c r="D33" s="64"/>
      <c r="E33" s="51">
        <f t="shared" ref="E33:P33" si="16">+IFERROR(E12/D12-1,0)</f>
        <v>0</v>
      </c>
      <c r="F33" s="51">
        <f t="shared" si="16"/>
        <v>1.9160477155075357</v>
      </c>
      <c r="G33" s="51">
        <f t="shared" si="16"/>
        <v>1.1173973448595267</v>
      </c>
      <c r="H33" s="51">
        <f t="shared" si="16"/>
        <v>-0.66576750628804771</v>
      </c>
      <c r="I33" s="51">
        <f t="shared" si="16"/>
        <v>0.95495692005671495</v>
      </c>
      <c r="J33" s="51">
        <f t="shared" si="16"/>
        <v>-0.90292887029288715</v>
      </c>
      <c r="K33" s="51">
        <f t="shared" si="16"/>
        <v>0.57356321839080637</v>
      </c>
      <c r="L33" s="51">
        <f t="shared" si="16"/>
        <v>3.6753104455807222</v>
      </c>
      <c r="M33" s="51">
        <f t="shared" si="16"/>
        <v>0.99007890008592825</v>
      </c>
      <c r="N33" s="51">
        <f t="shared" si="16"/>
        <v>-0.3896761530912658</v>
      </c>
      <c r="O33" s="51">
        <f t="shared" si="16"/>
        <v>-0.36892204785181404</v>
      </c>
      <c r="P33" s="51">
        <f t="shared" si="16"/>
        <v>-0.93395841826335113</v>
      </c>
    </row>
    <row r="34" spans="3:16" hidden="1" outlineLevel="1" x14ac:dyDescent="0.25">
      <c r="C34" s="50" t="s">
        <v>53</v>
      </c>
      <c r="D34" s="64"/>
      <c r="E34" s="64"/>
      <c r="F34" s="64"/>
      <c r="G34" s="64"/>
      <c r="H34" s="64"/>
      <c r="I34" s="51">
        <f t="shared" ref="I34:P34" si="17">+IFERROR(I12/E12-1,0)</f>
        <v>3.0344361917623202</v>
      </c>
      <c r="J34" s="51">
        <f t="shared" si="17"/>
        <v>-0.86569928990429146</v>
      </c>
      <c r="K34" s="51">
        <f t="shared" si="17"/>
        <v>-0.90019319797324393</v>
      </c>
      <c r="L34" s="51">
        <f t="shared" si="17"/>
        <v>0.39611735194678022</v>
      </c>
      <c r="M34" s="51">
        <f t="shared" si="17"/>
        <v>0.42119944211994409</v>
      </c>
      <c r="N34" s="51">
        <f t="shared" si="17"/>
        <v>7.9356321839080586</v>
      </c>
      <c r="O34" s="51">
        <f t="shared" si="17"/>
        <v>2.5836376917457993</v>
      </c>
      <c r="P34" s="51">
        <f t="shared" si="17"/>
        <v>-0.94937895476915879</v>
      </c>
    </row>
    <row r="35" spans="3:16" hidden="1" outlineLevel="1" x14ac:dyDescent="0.25">
      <c r="C35" s="50" t="s">
        <v>82</v>
      </c>
      <c r="D35" s="64"/>
      <c r="E35" s="51">
        <f t="shared" ref="E35:P35" si="18">+IFERROR(E46/D46-1,0)</f>
        <v>0</v>
      </c>
      <c r="F35" s="51">
        <f t="shared" si="18"/>
        <v>-0.90379874662152138</v>
      </c>
      <c r="G35" s="51">
        <f t="shared" si="18"/>
        <v>1.1173973448595267</v>
      </c>
      <c r="H35" s="51">
        <f t="shared" si="18"/>
        <v>-0.66576750628804771</v>
      </c>
      <c r="I35" s="51">
        <f t="shared" si="18"/>
        <v>0.95495692005671495</v>
      </c>
      <c r="J35" s="51">
        <f t="shared" si="18"/>
        <v>-0.90292887029288715</v>
      </c>
      <c r="K35" s="51">
        <f t="shared" si="18"/>
        <v>61.03908045977019</v>
      </c>
      <c r="L35" s="51">
        <f t="shared" si="18"/>
        <v>-0.88141512580131165</v>
      </c>
      <c r="M35" s="51">
        <f t="shared" si="18"/>
        <v>0.99007890008592825</v>
      </c>
      <c r="N35" s="51">
        <f t="shared" si="18"/>
        <v>7.3419823356231628</v>
      </c>
      <c r="O35" s="51">
        <f t="shared" si="18"/>
        <v>-0.95382848968528844</v>
      </c>
      <c r="P35" s="51">
        <f t="shared" si="18"/>
        <v>-0.93395841826335113</v>
      </c>
    </row>
    <row r="36" spans="3:16" hidden="1" outlineLevel="1" x14ac:dyDescent="0.25">
      <c r="C36" s="50" t="s">
        <v>54</v>
      </c>
      <c r="D36" s="64"/>
      <c r="E36" s="64"/>
      <c r="F36" s="64"/>
      <c r="G36" s="64"/>
      <c r="H36" s="64"/>
      <c r="I36" s="51">
        <f t="shared" ref="I36:P36" si="19">+IFERROR(I46/E46-1,0)</f>
        <v>-0.86690278891561967</v>
      </c>
      <c r="J36" s="51">
        <f t="shared" si="19"/>
        <v>-0.86569928990429146</v>
      </c>
      <c r="K36" s="51">
        <f t="shared" si="19"/>
        <v>2.9349688331571455</v>
      </c>
      <c r="L36" s="51">
        <f t="shared" si="19"/>
        <v>0.39611735194678022</v>
      </c>
      <c r="M36" s="51">
        <f t="shared" si="19"/>
        <v>0.42119944211994409</v>
      </c>
      <c r="N36" s="51">
        <f t="shared" si="19"/>
        <v>121.13333333333351</v>
      </c>
      <c r="O36" s="51">
        <f t="shared" si="19"/>
        <v>-0.90910438359209989</v>
      </c>
      <c r="P36" s="51">
        <f t="shared" si="19"/>
        <v>-0.94937895476915879</v>
      </c>
    </row>
    <row r="37" spans="3:16" hidden="1" outlineLevel="1" x14ac:dyDescent="0.25">
      <c r="C37" s="50" t="s">
        <v>83</v>
      </c>
      <c r="D37" s="64"/>
      <c r="E37" s="51">
        <f t="shared" ref="E37:P37" si="20">+IFERROR(E14/D14-1,0)</f>
        <v>0</v>
      </c>
      <c r="F37" s="51">
        <f t="shared" si="20"/>
        <v>0</v>
      </c>
      <c r="G37" s="51">
        <f t="shared" si="20"/>
        <v>0</v>
      </c>
      <c r="H37" s="51">
        <f t="shared" si="20"/>
        <v>-0.66412184269706298</v>
      </c>
      <c r="I37" s="51">
        <f t="shared" si="20"/>
        <v>-0.3477011494252874</v>
      </c>
      <c r="J37" s="51">
        <f t="shared" si="20"/>
        <v>-0.43171806167400884</v>
      </c>
      <c r="K37" s="51">
        <f t="shared" si="20"/>
        <v>1.1627906976744184</v>
      </c>
      <c r="L37" s="51">
        <f t="shared" si="20"/>
        <v>-1</v>
      </c>
      <c r="M37" s="51">
        <f t="shared" si="20"/>
        <v>0</v>
      </c>
      <c r="N37" s="51">
        <f t="shared" si="20"/>
        <v>-1</v>
      </c>
      <c r="O37" s="51">
        <f t="shared" si="20"/>
        <v>0</v>
      </c>
      <c r="P37" s="51">
        <f t="shared" si="20"/>
        <v>0</v>
      </c>
    </row>
    <row r="38" spans="3:16" hidden="1" outlineLevel="1" x14ac:dyDescent="0.25">
      <c r="C38" s="50" t="s">
        <v>55</v>
      </c>
      <c r="D38" s="64"/>
      <c r="E38" s="64"/>
      <c r="F38" s="64"/>
      <c r="G38" s="64"/>
      <c r="H38" s="64"/>
      <c r="I38" s="51">
        <f t="shared" ref="I38:P38" si="21">+IFERROR(I14/E14-1,0)</f>
        <v>0</v>
      </c>
      <c r="J38" s="51">
        <f t="shared" si="21"/>
        <v>0</v>
      </c>
      <c r="K38" s="51">
        <f t="shared" si="21"/>
        <v>-0.73071837388643845</v>
      </c>
      <c r="L38" s="51">
        <f t="shared" si="21"/>
        <v>-1</v>
      </c>
      <c r="M38" s="51">
        <f t="shared" si="21"/>
        <v>0.66519823788546262</v>
      </c>
      <c r="N38" s="51">
        <f t="shared" si="21"/>
        <v>-1</v>
      </c>
      <c r="O38" s="51">
        <f t="shared" si="21"/>
        <v>-1</v>
      </c>
      <c r="P38" s="51">
        <f t="shared" si="21"/>
        <v>0</v>
      </c>
    </row>
    <row r="39" spans="3:16" hidden="1" outlineLevel="1" x14ac:dyDescent="0.25">
      <c r="C39" s="50" t="s">
        <v>84</v>
      </c>
      <c r="D39" s="64"/>
      <c r="E39" s="51">
        <f t="shared" ref="E39:P39" si="22">+IFERROR(E47/D47-1,0)</f>
        <v>0</v>
      </c>
      <c r="F39" s="51">
        <f t="shared" si="22"/>
        <v>-0.25584470538453397</v>
      </c>
      <c r="G39" s="51">
        <f t="shared" si="22"/>
        <v>7.7630961688819387</v>
      </c>
      <c r="H39" s="51">
        <f t="shared" si="22"/>
        <v>-0.68463272986827595</v>
      </c>
      <c r="I39" s="51">
        <f t="shared" si="22"/>
        <v>-0.31328926725135664</v>
      </c>
      <c r="J39" s="51">
        <f t="shared" si="22"/>
        <v>-0.51685393258426959</v>
      </c>
      <c r="K39" s="51">
        <f t="shared" si="22"/>
        <v>1.2786821705426359</v>
      </c>
      <c r="L39" s="51">
        <f t="shared" si="22"/>
        <v>-1</v>
      </c>
      <c r="M39" s="51">
        <f t="shared" si="22"/>
        <v>0</v>
      </c>
      <c r="N39" s="51">
        <f t="shared" si="22"/>
        <v>-0.81644939965694685</v>
      </c>
      <c r="O39" s="51">
        <f t="shared" si="22"/>
        <v>-1</v>
      </c>
      <c r="P39" s="51">
        <f t="shared" si="22"/>
        <v>0</v>
      </c>
    </row>
    <row r="40" spans="3:16" hidden="1" outlineLevel="1" x14ac:dyDescent="0.25">
      <c r="C40" s="50" t="s">
        <v>56</v>
      </c>
      <c r="D40" s="64"/>
      <c r="E40" s="64"/>
      <c r="F40" s="64"/>
      <c r="G40" s="64"/>
      <c r="H40" s="64"/>
      <c r="I40" s="51">
        <f t="shared" ref="I40:P40" si="23">+IFERROR(I47/E47-1,0)</f>
        <v>0.41225007933989199</v>
      </c>
      <c r="J40" s="51">
        <f t="shared" si="23"/>
        <v>-8.3090482621366202E-2</v>
      </c>
      <c r="K40" s="51">
        <f t="shared" si="23"/>
        <v>-0.76157452469015641</v>
      </c>
      <c r="L40" s="51">
        <f t="shared" si="23"/>
        <v>-1</v>
      </c>
      <c r="M40" s="51">
        <f t="shared" si="23"/>
        <v>1.1835205992509361</v>
      </c>
      <c r="N40" s="51">
        <f t="shared" si="23"/>
        <v>-0.17046511627907013</v>
      </c>
      <c r="O40" s="51">
        <f t="shared" si="23"/>
        <v>-1</v>
      </c>
      <c r="P40" s="51">
        <f t="shared" si="23"/>
        <v>0</v>
      </c>
    </row>
    <row r="41" spans="3:16" collapsed="1" x14ac:dyDescent="0.25"/>
    <row r="42" spans="3:16" x14ac:dyDescent="0.25">
      <c r="C42" s="52" t="s">
        <v>85</v>
      </c>
      <c r="D42" s="63"/>
      <c r="E42" s="53">
        <f t="shared" ref="E42:P42" si="24">+IFERROR((E15/D15)^4-1,0)</f>
        <v>0.28313506189088322</v>
      </c>
      <c r="F42" s="53">
        <f t="shared" si="24"/>
        <v>-2.3216153710332588E-3</v>
      </c>
      <c r="G42" s="53">
        <f t="shared" si="24"/>
        <v>-0.18569548794059798</v>
      </c>
      <c r="H42" s="53">
        <f t="shared" si="24"/>
        <v>-6.3753786824011005E-2</v>
      </c>
      <c r="I42" s="53">
        <f t="shared" si="24"/>
        <v>-1.9472992852194948E-2</v>
      </c>
      <c r="J42" s="53">
        <f t="shared" si="24"/>
        <v>-2.4836803849551337E-2</v>
      </c>
      <c r="K42" s="53">
        <f t="shared" si="24"/>
        <v>0.18976691853412797</v>
      </c>
      <c r="L42" s="53">
        <f t="shared" si="24"/>
        <v>2.7998581072783191E-2</v>
      </c>
      <c r="M42" s="53">
        <f t="shared" si="24"/>
        <v>-6.871946712974808E-2</v>
      </c>
      <c r="N42" s="53">
        <f t="shared" si="24"/>
        <v>0.52030088044770428</v>
      </c>
      <c r="O42" s="53">
        <f t="shared" si="24"/>
        <v>1.9477662869702206E-2</v>
      </c>
      <c r="P42" s="53">
        <f t="shared" si="24"/>
        <v>1.2715074246427704E-3</v>
      </c>
    </row>
    <row r="43" spans="3:16" x14ac:dyDescent="0.25">
      <c r="C43" s="50" t="s">
        <v>86</v>
      </c>
      <c r="D43" s="64"/>
      <c r="E43" s="51">
        <f t="shared" ref="E43:P43" si="25">+IFERROR(E15/D15-1,0)</f>
        <v>6.4309878401724196E-2</v>
      </c>
      <c r="F43" s="51">
        <f t="shared" si="25"/>
        <v>-5.8090983110292704E-4</v>
      </c>
      <c r="G43" s="51">
        <f t="shared" si="25"/>
        <v>-5.0058829765511459E-2</v>
      </c>
      <c r="H43" s="51">
        <f t="shared" si="25"/>
        <v>-1.6334321426372367E-2</v>
      </c>
      <c r="I43" s="51">
        <f t="shared" si="25"/>
        <v>-4.9042072789055036E-3</v>
      </c>
      <c r="J43" s="51">
        <f t="shared" si="25"/>
        <v>-6.2678846731686333E-3</v>
      </c>
      <c r="K43" s="51">
        <f t="shared" si="25"/>
        <v>4.439665525943215E-2</v>
      </c>
      <c r="L43" s="51">
        <f t="shared" si="25"/>
        <v>6.9273304046002515E-3</v>
      </c>
      <c r="M43" s="51">
        <f t="shared" si="25"/>
        <v>-1.764121977815869E-2</v>
      </c>
      <c r="N43" s="51">
        <f t="shared" si="25"/>
        <v>0.11040750073582761</v>
      </c>
      <c r="O43" s="51">
        <f t="shared" si="25"/>
        <v>4.8342476788270083E-3</v>
      </c>
      <c r="P43" s="51">
        <f t="shared" si="25"/>
        <v>3.1772539993935034E-4</v>
      </c>
    </row>
    <row r="44" spans="3:16" x14ac:dyDescent="0.25">
      <c r="C44" s="50" t="s">
        <v>87</v>
      </c>
      <c r="D44" s="64"/>
      <c r="E44" s="64"/>
      <c r="F44" s="64"/>
      <c r="G44" s="64"/>
      <c r="H44" s="51">
        <f t="shared" ref="H44:P44" si="26">+IFERROR(H15/D15-1,0)</f>
        <v>-6.0604713946863509E-3</v>
      </c>
      <c r="I44" s="51">
        <f t="shared" si="26"/>
        <v>-7.0698240046765171E-2</v>
      </c>
      <c r="J44" s="51">
        <f t="shared" si="26"/>
        <v>-7.5986227620274849E-2</v>
      </c>
      <c r="K44" s="51">
        <f t="shared" si="26"/>
        <v>1.589121887287015E-2</v>
      </c>
      <c r="L44" s="51">
        <f t="shared" si="26"/>
        <v>3.9914937852096877E-2</v>
      </c>
      <c r="M44" s="51">
        <f t="shared" si="26"/>
        <v>2.6604249917860479E-2</v>
      </c>
      <c r="N44" s="51">
        <f t="shared" si="26"/>
        <v>0.1471391955780248</v>
      </c>
      <c r="O44" s="51">
        <f t="shared" si="26"/>
        <v>0.10368483541840523</v>
      </c>
      <c r="P44" s="51">
        <f t="shared" si="26"/>
        <v>9.6440101273768786E-2</v>
      </c>
    </row>
    <row r="45" spans="3:16" x14ac:dyDescent="0.25">
      <c r="C45" s="50" t="s">
        <v>88</v>
      </c>
      <c r="D45" s="64"/>
      <c r="E45" s="54">
        <f t="shared" ref="E45:P45" si="27">+E15-E10</f>
        <v>13892.399999999994</v>
      </c>
      <c r="F45" s="54">
        <f t="shared" si="27"/>
        <v>-133.55999999999767</v>
      </c>
      <c r="G45" s="54">
        <f t="shared" si="27"/>
        <v>-11502.600000000035</v>
      </c>
      <c r="H45" s="54">
        <f t="shared" si="27"/>
        <v>-3565.4400000000023</v>
      </c>
      <c r="I45" s="54">
        <f t="shared" si="27"/>
        <v>-1053</v>
      </c>
      <c r="J45" s="54">
        <f t="shared" si="27"/>
        <v>-1339.2000000000116</v>
      </c>
      <c r="K45" s="54">
        <f t="shared" si="27"/>
        <v>9426.3600000000151</v>
      </c>
      <c r="L45" s="54">
        <f t="shared" si="27"/>
        <v>1536.1199999999953</v>
      </c>
      <c r="M45" s="54">
        <f t="shared" si="27"/>
        <v>-3939</v>
      </c>
      <c r="N45" s="54">
        <f t="shared" si="27"/>
        <v>24217.320000000007</v>
      </c>
      <c r="O45" s="54">
        <f t="shared" si="27"/>
        <v>1177.4400000000023</v>
      </c>
      <c r="P45" s="54">
        <f t="shared" si="27"/>
        <v>77.760000000009313</v>
      </c>
    </row>
    <row r="46" spans="3:16" x14ac:dyDescent="0.25">
      <c r="C46" s="50" t="s">
        <v>89</v>
      </c>
      <c r="D46" s="64"/>
      <c r="E46" s="54">
        <f t="shared" ref="E46:P46" si="28">+SUM(E11:E12)</f>
        <v>16161.119999999999</v>
      </c>
      <c r="F46" s="54">
        <f t="shared" si="28"/>
        <v>1554.7199999999987</v>
      </c>
      <c r="G46" s="54">
        <f t="shared" si="28"/>
        <v>3291.9600000000005</v>
      </c>
      <c r="H46" s="54">
        <f t="shared" si="28"/>
        <v>1100.2799999999988</v>
      </c>
      <c r="I46" s="54">
        <f t="shared" si="28"/>
        <v>2151</v>
      </c>
      <c r="J46" s="54">
        <f t="shared" si="28"/>
        <v>208.79999999999973</v>
      </c>
      <c r="K46" s="54">
        <f t="shared" si="28"/>
        <v>12953.759999999998</v>
      </c>
      <c r="L46" s="54">
        <f t="shared" si="28"/>
        <v>1536.1200000000017</v>
      </c>
      <c r="M46" s="54">
        <f t="shared" si="28"/>
        <v>3056.9999999999995</v>
      </c>
      <c r="N46" s="54">
        <f t="shared" si="28"/>
        <v>25501.440000000002</v>
      </c>
      <c r="O46" s="54">
        <f t="shared" si="28"/>
        <v>1177.4399999999996</v>
      </c>
      <c r="P46" s="54">
        <f t="shared" si="28"/>
        <v>77.759999999999877</v>
      </c>
    </row>
    <row r="47" spans="3:16" x14ac:dyDescent="0.25">
      <c r="C47" s="55" t="s">
        <v>90</v>
      </c>
      <c r="D47" s="65"/>
      <c r="E47" s="56">
        <f t="shared" ref="E47:P47" si="29">+SUM(E13:E14)</f>
        <v>-2268.7200000000003</v>
      </c>
      <c r="F47" s="56">
        <f t="shared" si="29"/>
        <v>-1688.2800000000002</v>
      </c>
      <c r="G47" s="56">
        <f t="shared" si="29"/>
        <v>-14794.560000000001</v>
      </c>
      <c r="H47" s="56">
        <f t="shared" si="29"/>
        <v>-4665.7199999999993</v>
      </c>
      <c r="I47" s="56">
        <f t="shared" si="29"/>
        <v>-3204</v>
      </c>
      <c r="J47" s="56">
        <f t="shared" si="29"/>
        <v>-1548</v>
      </c>
      <c r="K47" s="56">
        <f t="shared" si="29"/>
        <v>-3527.4</v>
      </c>
      <c r="L47" s="56">
        <f t="shared" si="29"/>
        <v>0</v>
      </c>
      <c r="M47" s="56">
        <f t="shared" si="29"/>
        <v>-6996</v>
      </c>
      <c r="N47" s="56">
        <f t="shared" si="29"/>
        <v>-1284.1199999999994</v>
      </c>
      <c r="O47" s="56">
        <f t="shared" si="29"/>
        <v>0</v>
      </c>
      <c r="P47" s="56">
        <f t="shared" si="29"/>
        <v>0</v>
      </c>
    </row>
    <row r="49" spans="1:16" x14ac:dyDescent="0.25">
      <c r="C49" s="59" t="s">
        <v>91</v>
      </c>
      <c r="D49" s="67"/>
      <c r="E49" s="60">
        <f t="shared" ref="E49:P49" si="30">+IFERROR((SUM(E10,E13:E14)/E10)^4,0)</f>
        <v>0.95864826001083292</v>
      </c>
      <c r="F49" s="60">
        <f t="shared" si="30"/>
        <v>0.97094972118549894</v>
      </c>
      <c r="G49" s="60">
        <f t="shared" si="30"/>
        <v>0.7662811550410159</v>
      </c>
      <c r="H49" s="60">
        <f t="shared" si="30"/>
        <v>0.91720239354458111</v>
      </c>
      <c r="I49" s="60">
        <f t="shared" si="30"/>
        <v>0.94163397808477856</v>
      </c>
      <c r="J49" s="60">
        <f t="shared" si="30"/>
        <v>0.97133289140318668</v>
      </c>
      <c r="K49" s="60">
        <f t="shared" si="30"/>
        <v>0.93518381290052843</v>
      </c>
      <c r="L49" s="60">
        <f t="shared" si="30"/>
        <v>1</v>
      </c>
      <c r="M49" s="60">
        <f t="shared" si="30"/>
        <v>0.88043896410250189</v>
      </c>
      <c r="N49" s="60">
        <f t="shared" si="30"/>
        <v>0.97678746949231832</v>
      </c>
      <c r="O49" s="60">
        <f t="shared" si="30"/>
        <v>1</v>
      </c>
      <c r="P49" s="60">
        <f t="shared" si="30"/>
        <v>1</v>
      </c>
    </row>
    <row r="50" spans="1:16" x14ac:dyDescent="0.25">
      <c r="C50" s="57" t="s">
        <v>92</v>
      </c>
      <c r="D50" s="66"/>
      <c r="E50" s="58">
        <f t="shared" ref="E50:P50" si="31">+IFERROR((SUM(E10,E14)/E10)^4,0)</f>
        <v>1</v>
      </c>
      <c r="F50" s="58">
        <f t="shared" si="31"/>
        <v>1</v>
      </c>
      <c r="G50" s="58">
        <f t="shared" si="31"/>
        <v>0.80050817195851154</v>
      </c>
      <c r="H50" s="58">
        <f t="shared" si="31"/>
        <v>0.92564230442427553</v>
      </c>
      <c r="I50" s="58">
        <f t="shared" si="31"/>
        <v>0.95021089825774352</v>
      </c>
      <c r="J50" s="58">
        <f t="shared" si="31"/>
        <v>0.97133289140318668</v>
      </c>
      <c r="K50" s="58">
        <f t="shared" si="31"/>
        <v>0.93840207261104369</v>
      </c>
      <c r="L50" s="58">
        <f t="shared" si="31"/>
        <v>1</v>
      </c>
      <c r="M50" s="58">
        <f t="shared" si="31"/>
        <v>0.92118303224139708</v>
      </c>
      <c r="N50" s="58">
        <f t="shared" si="31"/>
        <v>1</v>
      </c>
      <c r="O50" s="58">
        <f t="shared" si="31"/>
        <v>1</v>
      </c>
      <c r="P50" s="58">
        <f t="shared" si="31"/>
        <v>1</v>
      </c>
    </row>
    <row r="51" spans="1:16" x14ac:dyDescent="0.25">
      <c r="C51" s="61" t="s">
        <v>93</v>
      </c>
      <c r="D51" s="68"/>
      <c r="E51" s="62">
        <f t="shared" ref="E51:P51" si="32">+IFERROR((SUM(E10,E12:E14)/E10)^4,0)</f>
        <v>0.96824860760844988</v>
      </c>
      <c r="F51" s="62">
        <f t="shared" si="32"/>
        <v>0.99767838462896674</v>
      </c>
      <c r="G51" s="62">
        <f t="shared" si="32"/>
        <v>0.81430451205940202</v>
      </c>
      <c r="H51" s="62">
        <f t="shared" si="32"/>
        <v>0.93624621317598899</v>
      </c>
      <c r="I51" s="62">
        <f t="shared" si="32"/>
        <v>0.98052700714780505</v>
      </c>
      <c r="J51" s="62">
        <f t="shared" si="32"/>
        <v>0.97516319615044866</v>
      </c>
      <c r="K51" s="62">
        <f t="shared" si="32"/>
        <v>0.94108417449224868</v>
      </c>
      <c r="L51" s="62">
        <f t="shared" si="32"/>
        <v>1.0279985810727832</v>
      </c>
      <c r="M51" s="62">
        <f t="shared" si="32"/>
        <v>0.93128053287025192</v>
      </c>
      <c r="N51" s="62">
        <f t="shared" si="32"/>
        <v>1.0106491221933722</v>
      </c>
      <c r="O51" s="62">
        <f t="shared" si="32"/>
        <v>1.0194776628697022</v>
      </c>
      <c r="P51" s="62">
        <f t="shared" si="32"/>
        <v>1.0012715074246428</v>
      </c>
    </row>
    <row r="53" spans="1:16" x14ac:dyDescent="0.25">
      <c r="C53" s="59" t="s">
        <v>94</v>
      </c>
      <c r="D53" s="67"/>
      <c r="E53" s="67"/>
      <c r="F53" s="67"/>
      <c r="G53" s="67"/>
      <c r="H53" s="60">
        <f t="shared" ref="H53:P53" si="33">+IFERROR(SUM(E10,E13:H14)/E10,0)</f>
        <v>0.89159810908848514</v>
      </c>
      <c r="I53" s="60">
        <f t="shared" si="33"/>
        <v>0.89408025219733189</v>
      </c>
      <c r="J53" s="60">
        <f t="shared" si="33"/>
        <v>0.89462917925035257</v>
      </c>
      <c r="K53" s="60">
        <f t="shared" si="33"/>
        <v>0.94069462647444302</v>
      </c>
      <c r="L53" s="60">
        <f t="shared" si="33"/>
        <v>0.96143979701332383</v>
      </c>
      <c r="M53" s="60">
        <f t="shared" si="33"/>
        <v>0.94350198398768892</v>
      </c>
      <c r="N53" s="60">
        <f t="shared" si="33"/>
        <v>0.94438846013637823</v>
      </c>
      <c r="O53" s="60">
        <f t="shared" si="33"/>
        <v>0.96265973554817419</v>
      </c>
      <c r="P53" s="60">
        <f t="shared" si="33"/>
        <v>0.96291662434386216</v>
      </c>
    </row>
    <row r="54" spans="1:16" x14ac:dyDescent="0.25">
      <c r="C54" s="57" t="s">
        <v>95</v>
      </c>
      <c r="D54" s="66"/>
      <c r="E54" s="66"/>
      <c r="F54" s="66"/>
      <c r="G54" s="66"/>
      <c r="H54" s="58">
        <f t="shared" ref="H54:P54" si="34">+IFERROR(SUM(E10,E14:H14)/E10,0)</f>
        <v>0.92311422683161226</v>
      </c>
      <c r="I54" s="58">
        <f t="shared" si="34"/>
        <v>0.91591212760182883</v>
      </c>
      <c r="J54" s="58">
        <f t="shared" si="34"/>
        <v>0.9091264210665394</v>
      </c>
      <c r="K54" s="58">
        <f t="shared" si="34"/>
        <v>0.94595908063366962</v>
      </c>
      <c r="L54" s="58">
        <f t="shared" si="34"/>
        <v>0.9645108647053563</v>
      </c>
      <c r="M54" s="58">
        <f t="shared" si="34"/>
        <v>0.95585522085026442</v>
      </c>
      <c r="N54" s="58">
        <f t="shared" si="34"/>
        <v>0.96286761485182371</v>
      </c>
      <c r="O54" s="58">
        <f t="shared" si="34"/>
        <v>0.97954432549848536</v>
      </c>
      <c r="P54" s="58">
        <f t="shared" si="34"/>
        <v>0.9796850538426688</v>
      </c>
    </row>
    <row r="55" spans="1:16" x14ac:dyDescent="0.25">
      <c r="C55" s="61" t="s">
        <v>96</v>
      </c>
      <c r="D55" s="68"/>
      <c r="E55" s="68"/>
      <c r="F55" s="68"/>
      <c r="G55" s="68"/>
      <c r="H55" s="62">
        <f t="shared" ref="H55:P55" si="35">+IFERROR(SUM(E10,E12:H14)/E10,0)</f>
        <v>0.92159549825296216</v>
      </c>
      <c r="I55" s="62">
        <f t="shared" si="35"/>
        <v>0.92930175995323483</v>
      </c>
      <c r="J55" s="62">
        <f t="shared" si="35"/>
        <v>0.92401377237972515</v>
      </c>
      <c r="K55" s="62">
        <f t="shared" si="35"/>
        <v>0.95805149225505115</v>
      </c>
      <c r="L55" s="62">
        <f t="shared" si="35"/>
        <v>0.98111475006706605</v>
      </c>
      <c r="M55" s="62">
        <f t="shared" si="35"/>
        <v>0.9675142726361341</v>
      </c>
      <c r="N55" s="62">
        <f t="shared" si="35"/>
        <v>0.97635622221782647</v>
      </c>
      <c r="O55" s="62">
        <f t="shared" si="35"/>
        <v>0.99709670122485117</v>
      </c>
      <c r="P55" s="62">
        <f t="shared" si="35"/>
        <v>0.99058525855068458</v>
      </c>
    </row>
    <row r="57" spans="1:16" x14ac:dyDescent="0.25">
      <c r="C57" s="38" t="s">
        <v>97</v>
      </c>
      <c r="D57" s="38"/>
      <c r="E57" s="38"/>
      <c r="F57" s="38"/>
      <c r="G57" s="38"/>
      <c r="H57" s="38"/>
      <c r="I57" s="38"/>
      <c r="J57" s="38"/>
      <c r="K57" s="38"/>
      <c r="L57" s="38"/>
      <c r="M57" s="38"/>
      <c r="N57" s="38"/>
      <c r="O57" s="38"/>
      <c r="P57" s="38"/>
    </row>
    <row r="59" spans="1:16" x14ac:dyDescent="0.25">
      <c r="C59" s="10" t="s">
        <v>65</v>
      </c>
      <c r="D59" s="44"/>
      <c r="E59" s="43">
        <f t="shared" ref="E59:P59" si="36">+D62</f>
        <v>79</v>
      </c>
      <c r="F59" s="43">
        <f t="shared" si="36"/>
        <v>86</v>
      </c>
      <c r="G59" s="43">
        <f t="shared" si="36"/>
        <v>86</v>
      </c>
      <c r="H59" s="43">
        <f t="shared" si="36"/>
        <v>81</v>
      </c>
      <c r="I59" s="43">
        <f t="shared" si="36"/>
        <v>79</v>
      </c>
      <c r="J59" s="43">
        <f t="shared" si="36"/>
        <v>77</v>
      </c>
      <c r="K59" s="43">
        <f t="shared" si="36"/>
        <v>76</v>
      </c>
      <c r="L59" s="43">
        <f t="shared" si="36"/>
        <v>80</v>
      </c>
      <c r="M59" s="43">
        <f t="shared" si="36"/>
        <v>80</v>
      </c>
      <c r="N59" s="43">
        <f t="shared" si="36"/>
        <v>78</v>
      </c>
      <c r="O59" s="43">
        <f t="shared" si="36"/>
        <v>85</v>
      </c>
      <c r="P59" s="43">
        <f t="shared" si="36"/>
        <v>85</v>
      </c>
    </row>
    <row r="60" spans="1:16" x14ac:dyDescent="0.25">
      <c r="A60" s="41" t="s">
        <v>75</v>
      </c>
      <c r="C60" s="40" t="s">
        <v>17</v>
      </c>
      <c r="D60" s="44"/>
      <c r="E60" s="43">
        <f>+COUNTIFS('Quikirr Data'!BT$4:BT$103,"&gt;"&amp;0)</f>
        <v>7</v>
      </c>
      <c r="F60" s="43">
        <f>+COUNTIFS('Quikirr Data'!BU$4:BU$103,"&gt;"&amp;0)</f>
        <v>0</v>
      </c>
      <c r="G60" s="43">
        <f>+COUNTIFS('Quikirr Data'!BV$4:BV$103,"&gt;"&amp;0)</f>
        <v>0</v>
      </c>
      <c r="H60" s="43">
        <f>+COUNTIFS('Quikirr Data'!BW$4:BW$103,"&gt;"&amp;0)</f>
        <v>0</v>
      </c>
      <c r="I60" s="43">
        <f>+COUNTIFS('Quikirr Data'!BX$4:BX$103,"&gt;"&amp;0)</f>
        <v>0</v>
      </c>
      <c r="J60" s="43">
        <f>+COUNTIFS('Quikirr Data'!BY$4:BY$103,"&gt;"&amp;0)</f>
        <v>0</v>
      </c>
      <c r="K60" s="43">
        <f>+COUNTIFS('Quikirr Data'!BZ$4:BZ$103,"&gt;"&amp;0)</f>
        <v>5</v>
      </c>
      <c r="L60" s="43">
        <f>+COUNTIFS('Quikirr Data'!CA$4:CA$103,"&gt;"&amp;0)</f>
        <v>0</v>
      </c>
      <c r="M60" s="43">
        <f>+COUNTIFS('Quikirr Data'!CB$4:CB$103,"&gt;"&amp;0)</f>
        <v>0</v>
      </c>
      <c r="N60" s="43">
        <f>+COUNTIFS('Quikirr Data'!CC$4:CC$103,"&gt;"&amp;0)</f>
        <v>7</v>
      </c>
      <c r="O60" s="43">
        <f>+COUNTIFS('Quikirr Data'!CD$4:CD$103,"&gt;"&amp;0)</f>
        <v>0</v>
      </c>
      <c r="P60" s="43">
        <f>+COUNTIFS('Quikirr Data'!CE$4:CE$103,"&gt;"&amp;0)</f>
        <v>0</v>
      </c>
    </row>
    <row r="61" spans="1:16" x14ac:dyDescent="0.25">
      <c r="A61" s="41" t="s">
        <v>78</v>
      </c>
      <c r="C61" s="40" t="s">
        <v>38</v>
      </c>
      <c r="D61" s="44"/>
      <c r="E61" s="43">
        <f>+COUNTIFS('Quikirr Data'!CH$4:CH$103,"&lt;"&amp;0)*-1</f>
        <v>0</v>
      </c>
      <c r="F61" s="43">
        <v>0</v>
      </c>
      <c r="G61" s="43">
        <f>+COUNTIFS('Quikirr Data'!CJ$4:CJ$103,"&lt;"&amp;0)*-1</f>
        <v>-5</v>
      </c>
      <c r="H61" s="43">
        <f>+COUNTIFS('Quikirr Data'!CK$4:CK$103,"&lt;"&amp;0)*-1</f>
        <v>-2</v>
      </c>
      <c r="I61" s="43">
        <f>+COUNTIFS('Quikirr Data'!CL$4:CL$103,"&lt;"&amp;0)*-1</f>
        <v>-2</v>
      </c>
      <c r="J61" s="43">
        <f>+COUNTIFS('Quikirr Data'!CM$4:CM$103,"&lt;"&amp;0)*-1</f>
        <v>-1</v>
      </c>
      <c r="K61" s="43">
        <f>+COUNTIFS('Quikirr Data'!CN$4:CN$103,"&lt;"&amp;0)*-1</f>
        <v>-1</v>
      </c>
      <c r="L61" s="43">
        <f>+COUNTIFS('Quikirr Data'!CO$4:CO$103,"&lt;"&amp;0)*-1</f>
        <v>0</v>
      </c>
      <c r="M61" s="43">
        <f>+COUNTIFS('Quikirr Data'!CP$4:CP$103,"&lt;"&amp;0)*-1</f>
        <v>-2</v>
      </c>
      <c r="N61" s="43">
        <f>+COUNTIFS('Quikirr Data'!CQ$4:CQ$103,"&lt;"&amp;0)*-1</f>
        <v>0</v>
      </c>
      <c r="O61" s="43">
        <f>+COUNTIFS('Quikirr Data'!CR$4:CR$103,"&lt;"&amp;0)*-1</f>
        <v>0</v>
      </c>
      <c r="P61" s="43">
        <f>+COUNTIFS('Quikirr Data'!CS$4:CS$103,"&lt;"&amp;0)*-1</f>
        <v>0</v>
      </c>
    </row>
    <row r="62" spans="1:16" x14ac:dyDescent="0.25">
      <c r="C62" s="45" t="s">
        <v>66</v>
      </c>
      <c r="D62" s="69">
        <f>+COUNTIFS('Quikirr Data'!C$4:C$103,"&gt;"&amp;0)</f>
        <v>79</v>
      </c>
      <c r="E62" s="69">
        <f t="shared" ref="E62:P62" si="37">+SUM(E59:E61)</f>
        <v>86</v>
      </c>
      <c r="F62" s="69">
        <f t="shared" si="37"/>
        <v>86</v>
      </c>
      <c r="G62" s="69">
        <f t="shared" si="37"/>
        <v>81</v>
      </c>
      <c r="H62" s="69">
        <f t="shared" si="37"/>
        <v>79</v>
      </c>
      <c r="I62" s="69">
        <f t="shared" si="37"/>
        <v>77</v>
      </c>
      <c r="J62" s="69">
        <f t="shared" si="37"/>
        <v>76</v>
      </c>
      <c r="K62" s="69">
        <f t="shared" si="37"/>
        <v>80</v>
      </c>
      <c r="L62" s="69">
        <f t="shared" si="37"/>
        <v>80</v>
      </c>
      <c r="M62" s="69">
        <f t="shared" si="37"/>
        <v>78</v>
      </c>
      <c r="N62" s="69">
        <f t="shared" si="37"/>
        <v>85</v>
      </c>
      <c r="O62" s="69">
        <f t="shared" si="37"/>
        <v>85</v>
      </c>
      <c r="P62" s="69">
        <f t="shared" si="37"/>
        <v>85</v>
      </c>
    </row>
    <row r="64" spans="1:16" x14ac:dyDescent="0.25">
      <c r="C64" s="52" t="s">
        <v>67</v>
      </c>
      <c r="D64" s="63"/>
      <c r="E64" s="70">
        <f t="shared" ref="E64:P64" si="38">+SUM(E60:E61)</f>
        <v>7</v>
      </c>
      <c r="F64" s="70">
        <f t="shared" si="38"/>
        <v>0</v>
      </c>
      <c r="G64" s="70">
        <f t="shared" si="38"/>
        <v>-5</v>
      </c>
      <c r="H64" s="70">
        <f t="shared" si="38"/>
        <v>-2</v>
      </c>
      <c r="I64" s="70">
        <f t="shared" si="38"/>
        <v>-2</v>
      </c>
      <c r="J64" s="70">
        <f t="shared" si="38"/>
        <v>-1</v>
      </c>
      <c r="K64" s="70">
        <f t="shared" si="38"/>
        <v>4</v>
      </c>
      <c r="L64" s="70">
        <f t="shared" si="38"/>
        <v>0</v>
      </c>
      <c r="M64" s="70">
        <f t="shared" si="38"/>
        <v>-2</v>
      </c>
      <c r="N64" s="70">
        <f t="shared" si="38"/>
        <v>7</v>
      </c>
      <c r="O64" s="70">
        <f t="shared" si="38"/>
        <v>0</v>
      </c>
      <c r="P64" s="70">
        <f t="shared" si="38"/>
        <v>0</v>
      </c>
    </row>
    <row r="65" spans="3:16" x14ac:dyDescent="0.25">
      <c r="C65" s="50" t="s">
        <v>68</v>
      </c>
      <c r="D65" s="64"/>
      <c r="E65" s="51">
        <f t="shared" ref="E65:P65" si="39">+IFERROR(E62/E59-1,0)</f>
        <v>8.8607594936708889E-2</v>
      </c>
      <c r="F65" s="51">
        <f t="shared" si="39"/>
        <v>0</v>
      </c>
      <c r="G65" s="51">
        <f t="shared" si="39"/>
        <v>-5.8139534883720922E-2</v>
      </c>
      <c r="H65" s="51">
        <f t="shared" si="39"/>
        <v>-2.4691358024691357E-2</v>
      </c>
      <c r="I65" s="51">
        <f t="shared" si="39"/>
        <v>-2.5316455696202556E-2</v>
      </c>
      <c r="J65" s="51">
        <f t="shared" si="39"/>
        <v>-1.2987012987012991E-2</v>
      </c>
      <c r="K65" s="51">
        <f t="shared" si="39"/>
        <v>5.2631578947368363E-2</v>
      </c>
      <c r="L65" s="51">
        <f t="shared" si="39"/>
        <v>0</v>
      </c>
      <c r="M65" s="51">
        <f t="shared" si="39"/>
        <v>-2.5000000000000022E-2</v>
      </c>
      <c r="N65" s="51">
        <f t="shared" si="39"/>
        <v>8.9743589743589647E-2</v>
      </c>
      <c r="O65" s="51">
        <f t="shared" si="39"/>
        <v>0</v>
      </c>
      <c r="P65" s="51">
        <f t="shared" si="39"/>
        <v>0</v>
      </c>
    </row>
    <row r="66" spans="3:16" x14ac:dyDescent="0.25">
      <c r="C66" s="55" t="s">
        <v>98</v>
      </c>
      <c r="D66" s="65"/>
      <c r="E66" s="78" t="str">
        <f>""</f>
        <v/>
      </c>
      <c r="F66" s="78" t="str">
        <f>""</f>
        <v/>
      </c>
      <c r="G66" s="78" t="str">
        <f>""</f>
        <v/>
      </c>
      <c r="H66" s="71">
        <f t="shared" ref="H66:P66" si="40">+IFERROR(H62/D62-1,0)</f>
        <v>0</v>
      </c>
      <c r="I66" s="71">
        <f t="shared" si="40"/>
        <v>-0.10465116279069764</v>
      </c>
      <c r="J66" s="71">
        <f t="shared" si="40"/>
        <v>-0.11627906976744184</v>
      </c>
      <c r="K66" s="71">
        <f t="shared" si="40"/>
        <v>-1.2345679012345734E-2</v>
      </c>
      <c r="L66" s="71">
        <f t="shared" si="40"/>
        <v>1.2658227848101333E-2</v>
      </c>
      <c r="M66" s="71">
        <f t="shared" si="40"/>
        <v>1.298701298701288E-2</v>
      </c>
      <c r="N66" s="71">
        <f t="shared" si="40"/>
        <v>0.11842105263157898</v>
      </c>
      <c r="O66" s="71">
        <f t="shared" si="40"/>
        <v>6.25E-2</v>
      </c>
      <c r="P66" s="71">
        <f t="shared" si="40"/>
        <v>6.25E-2</v>
      </c>
    </row>
    <row r="68" spans="3:16" x14ac:dyDescent="0.25">
      <c r="C68" s="59" t="s">
        <v>99</v>
      </c>
      <c r="D68" s="67"/>
      <c r="E68" s="60">
        <f t="shared" ref="E68:P68" si="41">+IFERROR((E61/E59+1)^4,0)</f>
        <v>1</v>
      </c>
      <c r="F68" s="60">
        <f t="shared" si="41"/>
        <v>1</v>
      </c>
      <c r="G68" s="60">
        <f t="shared" si="41"/>
        <v>0.78694842504726081</v>
      </c>
      <c r="H68" s="60">
        <f t="shared" si="41"/>
        <v>0.90483270491148438</v>
      </c>
      <c r="I68" s="60">
        <f t="shared" si="41"/>
        <v>0.90251522198374867</v>
      </c>
      <c r="J68" s="60">
        <f t="shared" si="41"/>
        <v>0.94905518984829795</v>
      </c>
      <c r="K68" s="60">
        <f t="shared" si="41"/>
        <v>0.94839812007466173</v>
      </c>
      <c r="L68" s="60">
        <f t="shared" si="41"/>
        <v>1</v>
      </c>
      <c r="M68" s="60">
        <f t="shared" si="41"/>
        <v>0.90368789062499988</v>
      </c>
      <c r="N68" s="60">
        <f t="shared" si="41"/>
        <v>1</v>
      </c>
      <c r="O68" s="60">
        <f t="shared" si="41"/>
        <v>1</v>
      </c>
      <c r="P68" s="60">
        <f t="shared" si="41"/>
        <v>1</v>
      </c>
    </row>
    <row r="69" spans="3:16" x14ac:dyDescent="0.25">
      <c r="C69" s="61" t="s">
        <v>100</v>
      </c>
      <c r="D69" s="68"/>
      <c r="E69" s="68"/>
      <c r="F69" s="68"/>
      <c r="G69" s="68"/>
      <c r="H69" s="62">
        <f t="shared" ref="H69:P69" si="42">+IFERROR(SUM(E59,E61:H61)/E59,0)</f>
        <v>0.91139240506329111</v>
      </c>
      <c r="I69" s="62">
        <f t="shared" si="42"/>
        <v>0.89534883720930236</v>
      </c>
      <c r="J69" s="62">
        <f t="shared" si="42"/>
        <v>0.88372093023255816</v>
      </c>
      <c r="K69" s="62">
        <f t="shared" si="42"/>
        <v>0.92592592592592593</v>
      </c>
      <c r="L69" s="62">
        <f t="shared" si="42"/>
        <v>0.94936708860759489</v>
      </c>
      <c r="M69" s="62">
        <f t="shared" si="42"/>
        <v>0.94805194805194803</v>
      </c>
      <c r="N69" s="62">
        <f t="shared" si="42"/>
        <v>0.96052631578947367</v>
      </c>
      <c r="O69" s="62">
        <f t="shared" si="42"/>
        <v>0.97499999999999998</v>
      </c>
      <c r="P69" s="62">
        <f t="shared" si="42"/>
        <v>0.97499999999999998</v>
      </c>
    </row>
    <row r="71" spans="3:16" x14ac:dyDescent="0.25">
      <c r="C71" s="10" t="str">
        <f>"Avg. Logo Size ("&amp;ToC!$E$12&amp;" Actuals)"</f>
        <v>Avg. Logo Size ($ Actuals)</v>
      </c>
      <c r="D71" s="44"/>
      <c r="E71" s="42">
        <f>+IFERROR(E15*ToC!$E$10/E62,0)</f>
        <v>2673.4325581395351</v>
      </c>
      <c r="F71" s="42">
        <f>+IFERROR(F15*ToC!$E$10/F62,0)</f>
        <v>2671.8795348837211</v>
      </c>
      <c r="G71" s="42">
        <f>+IFERROR(G15*ToC!$E$10/G62,0)</f>
        <v>2694.8029629629627</v>
      </c>
      <c r="H71" s="42">
        <f>+IFERROR(H15*ToC!$E$10/H62,0)</f>
        <v>2717.8936708860756</v>
      </c>
      <c r="I71" s="42">
        <f>+IFERROR(I15*ToC!$E$10/I62,0)</f>
        <v>2774.8129870129869</v>
      </c>
      <c r="J71" s="42">
        <f>+IFERROR(J15*ToC!$E$10/J62,0)</f>
        <v>2793.7026315789467</v>
      </c>
      <c r="K71" s="42">
        <f>+IFERROR(K15*ToC!$E$10/K62,0)</f>
        <v>2771.8469999999998</v>
      </c>
      <c r="L71" s="42">
        <f>+IFERROR(L15*ToC!$E$10/L62,0)</f>
        <v>2791.0484999999999</v>
      </c>
      <c r="M71" s="42">
        <f>+IFERROR(M15*ToC!$E$10/M62,0)</f>
        <v>2812.1138461538458</v>
      </c>
      <c r="N71" s="42">
        <f>+IFERROR(N15*ToC!$E$10/N62,0)</f>
        <v>2865.4376470588231</v>
      </c>
      <c r="O71" s="42">
        <f>+IFERROR(O15*ToC!$E$10/O62,0)</f>
        <v>2879.2898823529408</v>
      </c>
      <c r="P71" s="42">
        <f>+IFERROR(P15*ToC!$E$10/P62,0)</f>
        <v>2880.2047058823528</v>
      </c>
    </row>
    <row r="72" spans="3:16" x14ac:dyDescent="0.25">
      <c r="C72" s="36" t="s">
        <v>101</v>
      </c>
      <c r="D72" s="49"/>
      <c r="E72" s="74" t="str">
        <f>""</f>
        <v/>
      </c>
      <c r="F72" s="48">
        <f t="shared" ref="F72:P72" si="43">+IFERROR(F71/E71-1,0)</f>
        <v>-5.8090983110292704E-4</v>
      </c>
      <c r="G72" s="48">
        <f t="shared" si="43"/>
        <v>8.5795140761235622E-3</v>
      </c>
      <c r="H72" s="48">
        <f t="shared" si="43"/>
        <v>8.5686071451118728E-3</v>
      </c>
      <c r="I72" s="48">
        <f t="shared" si="43"/>
        <v>2.094243668787632E-2</v>
      </c>
      <c r="J72" s="48">
        <f t="shared" si="43"/>
        <v>6.8075378969210121E-3</v>
      </c>
      <c r="K72" s="48">
        <f t="shared" si="43"/>
        <v>-7.8231775035393358E-3</v>
      </c>
      <c r="L72" s="48">
        <f t="shared" si="43"/>
        <v>6.9273304046002515E-3</v>
      </c>
      <c r="M72" s="48">
        <f t="shared" si="43"/>
        <v>7.5474668941961642E-3</v>
      </c>
      <c r="N72" s="48">
        <f t="shared" si="43"/>
        <v>1.896217714581816E-2</v>
      </c>
      <c r="O72" s="48">
        <f t="shared" si="43"/>
        <v>4.8342476788270083E-3</v>
      </c>
      <c r="P72" s="48">
        <f t="shared" si="43"/>
        <v>3.1772539993935034E-4</v>
      </c>
    </row>
    <row r="74" spans="3:16" x14ac:dyDescent="0.25">
      <c r="C74" s="10" t="str">
        <f>"Avg. New Logo Size ("&amp;ToC!$E$12&amp;" Actuals)"</f>
        <v>Avg. New Logo Size ($ Actuals)</v>
      </c>
      <c r="D74" s="44"/>
      <c r="E74" s="42">
        <f>+IFERROR(E11*ToC!$E$10/E60,0)</f>
        <v>2232.565714285714</v>
      </c>
      <c r="F74" s="42">
        <f>+IFERROR(F11*ToC!$E$10/F60,0)</f>
        <v>0</v>
      </c>
      <c r="G74" s="42">
        <f>+IFERROR(G11*ToC!$E$10/G60,0)</f>
        <v>0</v>
      </c>
      <c r="H74" s="42">
        <f>+IFERROR(H11*ToC!$E$10/H60,0)</f>
        <v>0</v>
      </c>
      <c r="I74" s="42">
        <f>+IFERROR(I11*ToC!$E$10/I60,0)</f>
        <v>0</v>
      </c>
      <c r="J74" s="42">
        <f>+IFERROR(J11*ToC!$E$10/J60,0)</f>
        <v>0</v>
      </c>
      <c r="K74" s="42">
        <f>+IFERROR(K11*ToC!$E$10/K60,0)</f>
        <v>2525.04</v>
      </c>
      <c r="L74" s="42">
        <f>+IFERROR(L11*ToC!$E$10/L60,0)</f>
        <v>0</v>
      </c>
      <c r="M74" s="42">
        <f>+IFERROR(M11*ToC!$E$10/M60,0)</f>
        <v>0</v>
      </c>
      <c r="N74" s="42">
        <f>+IFERROR(N11*ToC!$E$10/N60,0)</f>
        <v>3376.5257142857145</v>
      </c>
      <c r="O74" s="42">
        <f>+IFERROR(O11*ToC!$E$10/O60,0)</f>
        <v>0</v>
      </c>
      <c r="P74" s="42">
        <f>+IFERROR(P11*ToC!$E$10/P60,0)</f>
        <v>0</v>
      </c>
    </row>
    <row r="75" spans="3:16" x14ac:dyDescent="0.25">
      <c r="C75" s="36" t="s">
        <v>102</v>
      </c>
      <c r="D75" s="49"/>
      <c r="E75" s="74" t="str">
        <f>""</f>
        <v/>
      </c>
      <c r="F75" s="48">
        <f t="shared" ref="F75:P75" si="44">+IFERROR(F74/E74-1,0)</f>
        <v>-1</v>
      </c>
      <c r="G75" s="48">
        <f t="shared" si="44"/>
        <v>0</v>
      </c>
      <c r="H75" s="48">
        <f t="shared" si="44"/>
        <v>0</v>
      </c>
      <c r="I75" s="48">
        <f t="shared" si="44"/>
        <v>0</v>
      </c>
      <c r="J75" s="48">
        <f t="shared" si="44"/>
        <v>0</v>
      </c>
      <c r="K75" s="48">
        <f t="shared" si="44"/>
        <v>0</v>
      </c>
      <c r="L75" s="48">
        <f t="shared" si="44"/>
        <v>-1</v>
      </c>
      <c r="M75" s="48">
        <f t="shared" si="44"/>
        <v>0</v>
      </c>
      <c r="N75" s="48">
        <f t="shared" si="44"/>
        <v>0</v>
      </c>
      <c r="O75" s="48">
        <f t="shared" si="44"/>
        <v>-1</v>
      </c>
      <c r="P75" s="48">
        <f t="shared" si="44"/>
        <v>0</v>
      </c>
    </row>
    <row r="77" spans="3:16" x14ac:dyDescent="0.25">
      <c r="C77" s="10" t="str">
        <f>"Avg. Churned Logo Size ("&amp;ToC!$E$12&amp;" Actuals)"</f>
        <v>Avg. Churned Logo Size ($ Actuals)</v>
      </c>
      <c r="D77" s="44"/>
      <c r="E77" s="42">
        <f>+IFERROR(E14*ToC!$E$10/E61,0)</f>
        <v>0</v>
      </c>
      <c r="F77" s="42">
        <f>+IFERROR(F14*ToC!$E$10/F61,0)</f>
        <v>0</v>
      </c>
      <c r="G77" s="42">
        <f>+IFERROR(G14*ToC!$E$10/G61,0)</f>
        <v>2486.6160000000004</v>
      </c>
      <c r="H77" s="42">
        <f>+IFERROR(H14*ToC!$E$10/H61,0)</f>
        <v>2088</v>
      </c>
      <c r="I77" s="42">
        <f>+IFERROR(I14*ToC!$E$10/I61,0)</f>
        <v>1362</v>
      </c>
      <c r="J77" s="42">
        <f>+IFERROR(J14*ToC!$E$10/J61,0)</f>
        <v>1548</v>
      </c>
      <c r="K77" s="42">
        <f>+IFERROR(K14*ToC!$E$10/K61,0)</f>
        <v>3348</v>
      </c>
      <c r="L77" s="42">
        <f>+IFERROR(L14*ToC!$E$10/L61,0)</f>
        <v>0</v>
      </c>
      <c r="M77" s="42">
        <f>+IFERROR(M14*ToC!$E$10/M61,0)</f>
        <v>2268</v>
      </c>
      <c r="N77" s="42">
        <f>+IFERROR(N14*ToC!$E$10/N61,0)</f>
        <v>0</v>
      </c>
      <c r="O77" s="42">
        <f>+IFERROR(O14*ToC!$E$10/O61,0)</f>
        <v>0</v>
      </c>
      <c r="P77" s="42">
        <f>+IFERROR(P14*ToC!$E$10/P61,0)</f>
        <v>0</v>
      </c>
    </row>
    <row r="78" spans="3:16" x14ac:dyDescent="0.25">
      <c r="C78" s="36" t="s">
        <v>103</v>
      </c>
      <c r="D78" s="49"/>
      <c r="E78" s="74" t="str">
        <f>""</f>
        <v/>
      </c>
      <c r="F78" s="48">
        <f t="shared" ref="F78:P78" si="45">+IFERROR(F77/E77-1,0)</f>
        <v>0</v>
      </c>
      <c r="G78" s="48">
        <f t="shared" si="45"/>
        <v>0</v>
      </c>
      <c r="H78" s="48">
        <f t="shared" si="45"/>
        <v>-0.16030460674265767</v>
      </c>
      <c r="I78" s="48">
        <f t="shared" si="45"/>
        <v>-0.3477011494252874</v>
      </c>
      <c r="J78" s="48">
        <f t="shared" si="45"/>
        <v>0.13656387665198233</v>
      </c>
      <c r="K78" s="48">
        <f t="shared" si="45"/>
        <v>1.1627906976744184</v>
      </c>
      <c r="L78" s="48">
        <f t="shared" si="45"/>
        <v>-1</v>
      </c>
      <c r="M78" s="48">
        <f t="shared" si="45"/>
        <v>0</v>
      </c>
      <c r="N78" s="48">
        <f t="shared" si="45"/>
        <v>-1</v>
      </c>
      <c r="O78" s="48">
        <f t="shared" si="45"/>
        <v>0</v>
      </c>
      <c r="P78" s="48">
        <f t="shared" si="45"/>
        <v>0</v>
      </c>
    </row>
    <row r="81" spans="3:16" x14ac:dyDescent="0.25">
      <c r="C81" s="10" t="s">
        <v>73</v>
      </c>
      <c r="E81" s="43">
        <f>+SUMIFS('Quikirr Data'!F$4:F$103,'Quikirr Data'!F$4:F$103,"&lt;&gt;"&amp;0)*ToC!$E$15/ToC!$E$10-E15</f>
        <v>0</v>
      </c>
      <c r="F81" s="43">
        <f>+SUMIFS('Quikirr Data'!I$4:I$103,'Quikirr Data'!I$4:I$103,"&lt;&gt;"&amp;0)*ToC!$E$15/ToC!$E$10-F15</f>
        <v>0</v>
      </c>
      <c r="G81" s="43">
        <f>+SUMIFS('Quikirr Data'!L$4:L$103,'Quikirr Data'!L$4:L$103,"&lt;&gt;"&amp;0)*ToC!$E$15/ToC!$E$10-G15</f>
        <v>0</v>
      </c>
      <c r="H81" s="43">
        <f>+SUMIFS('Quikirr Data'!O$4:O$103,'Quikirr Data'!O$4:O$103,"&lt;&gt;"&amp;0)*ToC!$E$15/ToC!$E$10-H15</f>
        <v>0</v>
      </c>
      <c r="I81" s="43">
        <f>+SUMIFS('Quikirr Data'!R$4:R$103,'Quikirr Data'!R$4:R$103,"&lt;&gt;"&amp;0)*ToC!$E$15/ToC!$E$10-I15</f>
        <v>0</v>
      </c>
      <c r="J81" s="43">
        <f>+SUMIFS('Quikirr Data'!U$4:U$103,'Quikirr Data'!U$4:U$103,"&lt;&gt;"&amp;0)*ToC!$E$15/ToC!$E$10-J15</f>
        <v>0</v>
      </c>
      <c r="K81" s="43">
        <f>+SUMIFS('Quikirr Data'!X$4:X$103,'Quikirr Data'!X$4:X$103,"&lt;&gt;"&amp;0)*ToC!$E$15/ToC!$E$10-K15</f>
        <v>0</v>
      </c>
      <c r="L81" s="43">
        <f>+SUMIFS('Quikirr Data'!AA$4:AA$103,'Quikirr Data'!AA$4:AA$103,"&lt;&gt;"&amp;0)*ToC!$E$15/ToC!$E$10-L15</f>
        <v>0</v>
      </c>
      <c r="M81" s="43">
        <f>+SUMIFS('Quikirr Data'!AD$4:AD$103,'Quikirr Data'!AD$4:AD$103,"&lt;&gt;"&amp;0)*ToC!$E$15/ToC!$E$10-M15</f>
        <v>0</v>
      </c>
      <c r="N81" s="43">
        <f>+SUMIFS('Quikirr Data'!AG$4:AG$103,'Quikirr Data'!AG$4:AG$103,"&lt;&gt;"&amp;0)*ToC!$E$15/ToC!$E$10-N15</f>
        <v>0</v>
      </c>
      <c r="O81" s="43">
        <f>+SUMIFS('Quikirr Data'!AJ$4:AJ$103,'Quikirr Data'!AJ$4:AJ$103,"&lt;&gt;"&amp;0)*ToC!$E$15/ToC!$E$10-O15</f>
        <v>0</v>
      </c>
      <c r="P81" s="43">
        <f>+SUMIFS('Quikirr Data'!AM$4:AM$103,'Quikirr Data'!AM$4:AM$103,"&lt;&gt;"&amp;0)*ToC!$E$15/ToC!$E$10-P15</f>
        <v>0</v>
      </c>
    </row>
    <row r="82" spans="3:16" x14ac:dyDescent="0.25">
      <c r="C82" s="10" t="s">
        <v>74</v>
      </c>
      <c r="E82" s="43">
        <f>+COUNTIFS('Quikirr Data'!F$4:F$103,"&gt;"&amp;0)-E62</f>
        <v>0</v>
      </c>
      <c r="F82" s="43">
        <f>+COUNTIFS('Quikirr Data'!I$4:I$103,"&gt;"&amp;0)-F62</f>
        <v>0</v>
      </c>
      <c r="G82" s="43">
        <f>+COUNTIFS('Quikirr Data'!L$4:L$103,"&gt;"&amp;0)-G62</f>
        <v>0</v>
      </c>
      <c r="H82" s="43">
        <f>+COUNTIFS('Quikirr Data'!O$4:O$103,"&gt;"&amp;0)-H62</f>
        <v>0</v>
      </c>
      <c r="I82" s="43">
        <f>+COUNTIFS('Quikirr Data'!R$4:R$103,"&gt;"&amp;0)-I62</f>
        <v>0</v>
      </c>
      <c r="J82" s="43">
        <f>+COUNTIFS('Quikirr Data'!U$4:U$103,"&gt;"&amp;0)-J62</f>
        <v>0</v>
      </c>
      <c r="K82" s="43">
        <f>+COUNTIFS('Quikirr Data'!X$4:X$103,"&gt;"&amp;0)-K62</f>
        <v>0</v>
      </c>
      <c r="L82" s="43">
        <f>+COUNTIFS('Quikirr Data'!AA$4:AA$103,"&gt;"&amp;0)-L62</f>
        <v>0</v>
      </c>
      <c r="M82" s="43">
        <f>+COUNTIFS('Quikirr Data'!AD$4:AD$103,"&gt;"&amp;0)-M62</f>
        <v>0</v>
      </c>
      <c r="N82" s="43">
        <f>+COUNTIFS('Quikirr Data'!AG$4:AG$103,"&gt;"&amp;0)-N62</f>
        <v>0</v>
      </c>
      <c r="O82" s="43">
        <f>+COUNTIFS('Quikirr Data'!AJ$4:AJ$103,"&gt;"&amp;0)-O62</f>
        <v>0</v>
      </c>
      <c r="P82" s="43">
        <f>+COUNTIFS('Quikirr Data'!AM$4:AM$103,"&gt;"&amp;0)-P62</f>
        <v>0</v>
      </c>
    </row>
  </sheetData>
  <pageMargins left="0.7" right="0.7" top="0.75" bottom="0.75" header="0.3" footer="0.3"/>
  <pageSetup scale="69"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ECD34C-4304-4512-8CD2-EDFE5B2BC00E}">
  <sheetPr>
    <tabColor rgb="FFDAE9F8"/>
    <pageSetUpPr fitToPage="1"/>
  </sheetPr>
  <dimension ref="A5:AB69"/>
  <sheetViews>
    <sheetView showGridLines="0" view="pageBreakPreview" zoomScaleNormal="100" zoomScaleSheetLayoutView="100" workbookViewId="0">
      <pane xSplit="3" ySplit="8" topLeftCell="D9" activePane="bottomRight" state="frozen"/>
      <selection pane="topRight" activeCell="D1" sqref="D1"/>
      <selection pane="bottomLeft" activeCell="A9" sqref="A9"/>
      <selection pane="bottomRight"/>
    </sheetView>
  </sheetViews>
  <sheetFormatPr defaultColWidth="8.85546875" defaultRowHeight="13.5" outlineLevelRow="1" x14ac:dyDescent="0.25"/>
  <cols>
    <col min="1" max="1" width="11.140625" style="10" bestFit="1" customWidth="1"/>
    <col min="2" max="2" width="3.140625" style="10" customWidth="1"/>
    <col min="3" max="3" width="32.28515625" style="10" bestFit="1" customWidth="1"/>
    <col min="4" max="28" width="9.7109375" style="10" customWidth="1"/>
    <col min="29" max="30" width="3.140625" style="10" customWidth="1"/>
    <col min="31" max="16384" width="8.85546875" style="10"/>
  </cols>
  <sheetData>
    <row r="5" spans="1:28" ht="14.25" thickBot="1" x14ac:dyDescent="0.3">
      <c r="C5" s="76" t="s">
        <v>104</v>
      </c>
      <c r="D5" s="77"/>
      <c r="E5" s="77"/>
      <c r="F5" s="77"/>
      <c r="G5" s="77"/>
      <c r="H5" s="77"/>
      <c r="I5" s="77"/>
      <c r="J5" s="77"/>
      <c r="K5" s="77"/>
      <c r="L5" s="77"/>
      <c r="M5" s="77"/>
      <c r="N5" s="77"/>
      <c r="O5" s="77"/>
      <c r="P5" s="77"/>
      <c r="Q5" s="77"/>
      <c r="R5" s="77"/>
      <c r="S5" s="77"/>
      <c r="T5" s="77"/>
      <c r="U5" s="77"/>
      <c r="V5" s="77"/>
      <c r="W5" s="77"/>
      <c r="X5" s="77"/>
      <c r="Y5" s="77"/>
      <c r="Z5" s="77"/>
      <c r="AA5" s="77"/>
      <c r="AB5" s="77"/>
    </row>
    <row r="6" spans="1:28" x14ac:dyDescent="0.25">
      <c r="C6" s="37" t="str">
        <f>"("&amp;ToC!$E$12&amp;" "&amp;ToC!$E$11&amp;")"</f>
        <v>($ Actuals)</v>
      </c>
    </row>
    <row r="8" spans="1:28" x14ac:dyDescent="0.25">
      <c r="C8" s="38" t="s">
        <v>104</v>
      </c>
      <c r="D8" s="39">
        <v>45291</v>
      </c>
      <c r="E8" s="39">
        <v>45322</v>
      </c>
      <c r="F8" s="39">
        <v>45351</v>
      </c>
      <c r="G8" s="39">
        <v>45382</v>
      </c>
      <c r="H8" s="39">
        <v>45412</v>
      </c>
      <c r="I8" s="39">
        <v>45443</v>
      </c>
      <c r="J8" s="39">
        <v>45473</v>
      </c>
      <c r="K8" s="39">
        <v>45504</v>
      </c>
      <c r="L8" s="39">
        <v>45535</v>
      </c>
      <c r="M8" s="39">
        <v>45565</v>
      </c>
      <c r="N8" s="39">
        <v>45596</v>
      </c>
      <c r="O8" s="39">
        <v>45626</v>
      </c>
      <c r="P8" s="39">
        <v>45657</v>
      </c>
      <c r="Q8" s="39">
        <v>45688</v>
      </c>
      <c r="R8" s="39">
        <v>45716</v>
      </c>
      <c r="S8" s="39">
        <v>45747</v>
      </c>
      <c r="T8" s="39">
        <v>45777</v>
      </c>
      <c r="U8" s="39">
        <v>45808</v>
      </c>
      <c r="V8" s="39">
        <v>45838</v>
      </c>
      <c r="W8" s="39">
        <v>45869</v>
      </c>
      <c r="X8" s="39">
        <v>45900</v>
      </c>
      <c r="Y8" s="39">
        <v>45930</v>
      </c>
      <c r="Z8" s="39">
        <v>45961</v>
      </c>
      <c r="AA8" s="39">
        <v>45991</v>
      </c>
      <c r="AB8" s="39">
        <v>46022</v>
      </c>
    </row>
    <row r="9" spans="1:28" ht="3.95" customHeight="1" x14ac:dyDescent="0.25"/>
    <row r="10" spans="1:28" x14ac:dyDescent="0.25">
      <c r="C10" s="10" t="s">
        <v>36</v>
      </c>
      <c r="D10" s="43">
        <f>+SUMIFS('Quikirr Data'!C$4:C$103,'Quikirr Data'!C$4:C$103,"&lt;&gt;"&amp;0)*ToC!$E$15/ToC!$E$10</f>
        <v>216022.80000000002</v>
      </c>
      <c r="E10" s="43">
        <f>+SUMIFS('Quikirr Data'!D$4:D$103,'Quikirr Data'!D$4:D$103,"&lt;&gt;"&amp;0)*ToC!$E$15/ToC!$E$10</f>
        <v>216022.80000000002</v>
      </c>
      <c r="F10" s="43">
        <f>+SUMIFS('Quikirr Data'!E$4:E$103,'Quikirr Data'!E$4:E$103,"&lt;&gt;"&amp;0)*ToC!$E$15/ToC!$E$10</f>
        <v>213975.47999999998</v>
      </c>
      <c r="G10" s="43">
        <f>+SUMIFS('Quikirr Data'!F$4:F$103,'Quikirr Data'!F$4:F$103,"&lt;&gt;"&amp;0)*ToC!$E$15/ToC!$E$10</f>
        <v>229915.19999999998</v>
      </c>
      <c r="H10" s="43">
        <f>+SUMIFS('Quikirr Data'!G$4:G$103,'Quikirr Data'!G$4:G$103,"&lt;&gt;"&amp;0)*ToC!$E$15/ToC!$E$10</f>
        <v>230063.87999999998</v>
      </c>
      <c r="I10" s="43">
        <f>+SUMIFS('Quikirr Data'!H$4:H$103,'Quikirr Data'!H$4:H$103,"&lt;&gt;"&amp;0)*ToC!$E$15/ToC!$E$10</f>
        <v>230324.99999999994</v>
      </c>
      <c r="J10" s="43">
        <f>+SUMIFS('Quikirr Data'!I$4:I$103,'Quikirr Data'!I$4:I$103,"&lt;&gt;"&amp;0)*ToC!$E$15/ToC!$E$10</f>
        <v>229781.64</v>
      </c>
      <c r="K10" s="43">
        <f>+SUMIFS('Quikirr Data'!J$4:J$103,'Quikirr Data'!J$4:J$103,"&lt;&gt;"&amp;0)*ToC!$E$15/ToC!$E$10</f>
        <v>223671.59999999998</v>
      </c>
      <c r="L10" s="43">
        <f>+SUMIFS('Quikirr Data'!K$4:K$103,'Quikirr Data'!K$4:K$103,"&lt;&gt;"&amp;0)*ToC!$E$15/ToC!$E$10</f>
        <v>233070.71999999997</v>
      </c>
      <c r="M10" s="43">
        <f>+SUMIFS('Quikirr Data'!L$4:L$103,'Quikirr Data'!L$4:L$103,"&lt;&gt;"&amp;0)*ToC!$E$15/ToC!$E$10</f>
        <v>218279.03999999992</v>
      </c>
      <c r="N10" s="43">
        <f>+SUMIFS('Quikirr Data'!M$4:M$103,'Quikirr Data'!M$4:M$103,"&lt;&gt;"&amp;0)*ToC!$E$15/ToC!$E$10</f>
        <v>218369.39999999997</v>
      </c>
      <c r="O10" s="43">
        <f>+SUMIFS('Quikirr Data'!N$4:N$103,'Quikirr Data'!N$4:N$103,"&lt;&gt;"&amp;0)*ToC!$E$15/ToC!$E$10</f>
        <v>214473.59999999995</v>
      </c>
      <c r="P10" s="43">
        <f>+SUMIFS('Quikirr Data'!O$4:O$103,'Quikirr Data'!O$4:O$103,"&lt;&gt;"&amp;0)*ToC!$E$15/ToC!$E$10</f>
        <v>214713.59999999995</v>
      </c>
      <c r="Q10" s="43">
        <f>+SUMIFS('Quikirr Data'!P$4:P$103,'Quikirr Data'!P$4:P$103,"&lt;&gt;"&amp;0)*ToC!$E$15/ToC!$E$10</f>
        <v>215670.12</v>
      </c>
      <c r="R10" s="43">
        <f>+SUMIFS('Quikirr Data'!Q$4:Q$103,'Quikirr Data'!Q$4:Q$103,"&lt;&gt;"&amp;0)*ToC!$E$15/ToC!$E$10</f>
        <v>215676.59999999995</v>
      </c>
      <c r="S10" s="43">
        <f>+SUMIFS('Quikirr Data'!R$4:R$103,'Quikirr Data'!R$4:R$103,"&lt;&gt;"&amp;0)*ToC!$E$15/ToC!$E$10</f>
        <v>213660.59999999995</v>
      </c>
      <c r="T10" s="43">
        <f>+SUMIFS('Quikirr Data'!S$4:S$103,'Quikirr Data'!S$4:S$103,"&lt;&gt;"&amp;0)*ToC!$E$15/ToC!$E$10</f>
        <v>213351</v>
      </c>
      <c r="U10" s="43">
        <f>+SUMIFS('Quikirr Data'!T$4:T$103,'Quikirr Data'!T$4:T$103,"&lt;&gt;"&amp;0)*ToC!$E$15/ToC!$E$10</f>
        <v>212321.39999999997</v>
      </c>
      <c r="V10" s="43">
        <f>+SUMIFS('Quikirr Data'!U$4:U$103,'Quikirr Data'!U$4:U$103,"&lt;&gt;"&amp;0)*ToC!$E$15/ToC!$E$10</f>
        <v>212321.39999999997</v>
      </c>
      <c r="W10" s="43">
        <f>+SUMIFS('Quikirr Data'!V$4:V$103,'Quikirr Data'!V$4:V$103,"&lt;&gt;"&amp;0)*ToC!$E$15/ToC!$E$10</f>
        <v>221419.19999999995</v>
      </c>
      <c r="X10" s="43">
        <f>+SUMIFS('Quikirr Data'!W$4:W$103,'Quikirr Data'!W$4:W$103,"&lt;&gt;"&amp;0)*ToC!$E$15/ToC!$E$10</f>
        <v>221507.75999999989</v>
      </c>
      <c r="Y10" s="43">
        <f>+SUMIFS('Quikirr Data'!X$4:X$103,'Quikirr Data'!X$4:X$103,"&lt;&gt;"&amp;0)*ToC!$E$15/ToC!$E$10</f>
        <v>221747.75999999989</v>
      </c>
      <c r="Z10" s="43">
        <f>+SUMIFS('Quikirr Data'!Y$4:Y$103,'Quikirr Data'!Y$4:Y$103,"&lt;&gt;"&amp;0)*ToC!$E$15/ToC!$E$10</f>
        <v>222780.83999999991</v>
      </c>
      <c r="AA10" s="43">
        <f>+SUMIFS('Quikirr Data'!Z$4:Z$103,'Quikirr Data'!Z$4:Z$103,"&lt;&gt;"&amp;0)*ToC!$E$15/ToC!$E$10</f>
        <v>222843.59999999995</v>
      </c>
      <c r="AB10" s="43">
        <f>+SUMIFS('Quikirr Data'!AA$4:AA$103,'Quikirr Data'!AA$4:AA$103,"&lt;&gt;"&amp;0)*ToC!$E$15/ToC!$E$10</f>
        <v>223283.87999999998</v>
      </c>
    </row>
    <row r="11" spans="1:28" x14ac:dyDescent="0.25">
      <c r="A11" s="41" t="s">
        <v>75</v>
      </c>
      <c r="C11" s="40" t="s">
        <v>17</v>
      </c>
      <c r="D11" s="43">
        <f>+SUMIFS('Quikirr Data'!HV$4:HV$103,'Quikirr Data'!HV$4:HV$103,"&lt;&gt;"&amp;0)*ToC!$E$15/ToC!$E$10</f>
        <v>14969.76</v>
      </c>
      <c r="E11" s="43">
        <f>+SUMIFS('Quikirr Data'!HW$4:HW$103,'Quikirr Data'!HW$4:HW$103,"&lt;&gt;"&amp;0)*ToC!$E$15/ToC!$E$10</f>
        <v>14969.76</v>
      </c>
      <c r="F11" s="43">
        <f>+SUMIFS('Quikirr Data'!HX$4:HX$103,'Quikirr Data'!HX$4:HX$103,"&lt;&gt;"&amp;0)*ToC!$E$15/ToC!$E$10</f>
        <v>14969.76</v>
      </c>
      <c r="G11" s="43">
        <f>+SUMIFS('Quikirr Data'!HY$4:HY$103,'Quikirr Data'!HY$4:HY$103,"&lt;&gt;"&amp;0)*ToC!$E$15/ToC!$E$10</f>
        <v>0</v>
      </c>
      <c r="H11" s="43">
        <f>+SUMIFS('Quikirr Data'!HZ$4:HZ$103,'Quikirr Data'!HZ$4:HZ$103,"&lt;&gt;"&amp;0)*ToC!$E$15/ToC!$E$10</f>
        <v>0</v>
      </c>
      <c r="I11" s="43">
        <f>+SUMIFS('Quikirr Data'!IA$4:IA$103,'Quikirr Data'!IA$4:IA$103,"&lt;&gt;"&amp;0)*ToC!$E$15/ToC!$E$10</f>
        <v>0</v>
      </c>
      <c r="J11" s="43">
        <f>+SUMIFS('Quikirr Data'!IB$4:IB$103,'Quikirr Data'!IB$4:IB$103,"&lt;&gt;"&amp;0)*ToC!$E$15/ToC!$E$10</f>
        <v>0</v>
      </c>
      <c r="K11" s="43">
        <f>+SUMIFS('Quikirr Data'!IC$4:IC$103,'Quikirr Data'!IC$4:IC$103,"&lt;&gt;"&amp;0)*ToC!$E$15/ToC!$E$10</f>
        <v>12625.199999999999</v>
      </c>
      <c r="L11" s="43">
        <f>+SUMIFS('Quikirr Data'!ID$4:ID$103,'Quikirr Data'!ID$4:ID$103,"&lt;&gt;"&amp;0)*ToC!$E$15/ToC!$E$10</f>
        <v>12625.199999999999</v>
      </c>
      <c r="M11" s="43">
        <f>+SUMIFS('Quikirr Data'!IE$4:IE$103,'Quikirr Data'!IE$4:IE$103,"&lt;&gt;"&amp;0)*ToC!$E$15/ToC!$E$10</f>
        <v>12625.199999999999</v>
      </c>
      <c r="N11" s="43">
        <f>+SUMIFS('Quikirr Data'!IF$4:IF$103,'Quikirr Data'!IF$4:IF$103,"&lt;&gt;"&amp;0)*ToC!$E$15/ToC!$E$10</f>
        <v>12625.199999999999</v>
      </c>
      <c r="O11" s="43">
        <f>+SUMIFS('Quikirr Data'!IG$4:IG$103,'Quikirr Data'!IG$4:IG$103,"&lt;&gt;"&amp;0)*ToC!$E$15/ToC!$E$10</f>
        <v>12625.199999999999</v>
      </c>
      <c r="P11" s="43">
        <f>+SUMIFS('Quikirr Data'!IH$4:IH$103,'Quikirr Data'!IH$4:IH$103,"&lt;&gt;"&amp;0)*ToC!$E$15/ToC!$E$10</f>
        <v>12625.199999999999</v>
      </c>
      <c r="Q11" s="43">
        <f>+SUMIFS('Quikirr Data'!II$4:II$103,'Quikirr Data'!II$4:II$103,"&lt;&gt;"&amp;0)*ToC!$E$15/ToC!$E$10</f>
        <v>12625.199999999999</v>
      </c>
      <c r="R11" s="43">
        <f>+SUMIFS('Quikirr Data'!IJ$4:IJ$103,'Quikirr Data'!IJ$4:IJ$103,"&lt;&gt;"&amp;0)*ToC!$E$15/ToC!$E$10</f>
        <v>12625.199999999999</v>
      </c>
      <c r="S11" s="43">
        <f>+SUMIFS('Quikirr Data'!IK$4:IK$103,'Quikirr Data'!IK$4:IK$103,"&lt;&gt;"&amp;0)*ToC!$E$15/ToC!$E$10</f>
        <v>13038.24</v>
      </c>
      <c r="T11" s="43">
        <f>+SUMIFS('Quikirr Data'!IL$4:IL$103,'Quikirr Data'!IL$4:IL$103,"&lt;&gt;"&amp;0)*ToC!$E$15/ToC!$E$10</f>
        <v>13038.24</v>
      </c>
      <c r="U11" s="43">
        <f>+SUMIFS('Quikirr Data'!IM$4:IM$103,'Quikirr Data'!IM$4:IM$103,"&lt;&gt;"&amp;0)*ToC!$E$15/ToC!$E$10</f>
        <v>13038.24</v>
      </c>
      <c r="V11" s="43">
        <f>+SUMIFS('Quikirr Data'!IN$4:IN$103,'Quikirr Data'!IN$4:IN$103,"&lt;&gt;"&amp;0)*ToC!$E$15/ToC!$E$10</f>
        <v>36673.920000000006</v>
      </c>
      <c r="W11" s="43">
        <f>+SUMIFS('Quikirr Data'!IO$4:IO$103,'Quikirr Data'!IO$4:IO$103,"&lt;&gt;"&amp;0)*ToC!$E$15/ToC!$E$10</f>
        <v>23635.68</v>
      </c>
      <c r="X11" s="43">
        <f>+SUMIFS('Quikirr Data'!IP$4:IP$103,'Quikirr Data'!IP$4:IP$103,"&lt;&gt;"&amp;0)*ToC!$E$15/ToC!$E$10</f>
        <v>23635.68</v>
      </c>
      <c r="Y11" s="43">
        <f>+SUMIFS('Quikirr Data'!IQ$4:IQ$103,'Quikirr Data'!IQ$4:IQ$103,"&lt;&gt;"&amp;0)*ToC!$E$15/ToC!$E$10</f>
        <v>23635.68</v>
      </c>
      <c r="Z11" s="43">
        <f>+SUMIFS('Quikirr Data'!IR$4:IR$103,'Quikirr Data'!IR$4:IR$103,"&lt;&gt;"&amp;0)*ToC!$E$15/ToC!$E$10</f>
        <v>23635.68</v>
      </c>
      <c r="AA11" s="43">
        <f>+SUMIFS('Quikirr Data'!IS$4:IS$103,'Quikirr Data'!IS$4:IS$103,"&lt;&gt;"&amp;0)*ToC!$E$15/ToC!$E$10</f>
        <v>23635.68</v>
      </c>
      <c r="AB11" s="43">
        <f>+SUMIFS('Quikirr Data'!IT$4:IT$103,'Quikirr Data'!IT$4:IT$103,"&lt;&gt;"&amp;0)*ToC!$E$15/ToC!$E$10</f>
        <v>23635.68</v>
      </c>
    </row>
    <row r="12" spans="1:28" x14ac:dyDescent="0.25">
      <c r="A12" s="41" t="s">
        <v>76</v>
      </c>
      <c r="C12" s="40" t="s">
        <v>20</v>
      </c>
      <c r="D12" s="43">
        <f>+SUMIFS('Quikirr Data'!KV$4:KV$103,'Quikirr Data'!KV$4:KV$103,"&lt;&gt;"&amp;0)*ToC!$E$15/ToC!$E$10</f>
        <v>4359.72</v>
      </c>
      <c r="E12" s="43">
        <f>+SUMIFS('Quikirr Data'!KW$4:KW$103,'Quikirr Data'!KW$4:KW$103,"&lt;&gt;"&amp;0)*ToC!$E$15/ToC!$E$10</f>
        <v>6159.7199999999993</v>
      </c>
      <c r="F12" s="43">
        <f>+SUMIFS('Quikirr Data'!KX$4:KX$103,'Quikirr Data'!KX$4:KX$103,"&lt;&gt;"&amp;0)*ToC!$E$15/ToC!$E$10</f>
        <v>6495.9599999999991</v>
      </c>
      <c r="G12" s="43">
        <f>+SUMIFS('Quikirr Data'!KY$4:KY$103,'Quikirr Data'!KY$4:KY$103,"&lt;&gt;"&amp;0)*ToC!$E$15/ToC!$E$10</f>
        <v>6564.12</v>
      </c>
      <c r="H12" s="43">
        <f>+SUMIFS('Quikirr Data'!KZ$4:KZ$103,'Quikirr Data'!KZ$4:KZ$103,"&lt;&gt;"&amp;0)*ToC!$E$15/ToC!$E$10</f>
        <v>6236.76</v>
      </c>
      <c r="I12" s="43">
        <f>+SUMIFS('Quikirr Data'!LA$4:LA$103,'Quikirr Data'!LA$4:LA$103,"&lt;&gt;"&amp;0)*ToC!$E$15/ToC!$E$10</f>
        <v>6901.5599999999986</v>
      </c>
      <c r="J12" s="43">
        <f>+SUMIFS('Quikirr Data'!LB$4:LB$103,'Quikirr Data'!LB$4:LB$103,"&lt;&gt;"&amp;0)*ToC!$E$15/ToC!$E$10</f>
        <v>6409.079999999999</v>
      </c>
      <c r="K12" s="43">
        <f>+SUMIFS('Quikirr Data'!LC$4:LC$103,'Quikirr Data'!LC$4:LC$103,"&lt;&gt;"&amp;0)*ToC!$E$15/ToC!$E$10</f>
        <v>6766.079999999999</v>
      </c>
      <c r="L12" s="43">
        <f>+SUMIFS('Quikirr Data'!LD$4:LD$103,'Quikirr Data'!LD$4:LD$103,"&lt;&gt;"&amp;0)*ToC!$E$15/ToC!$E$10</f>
        <v>6766.079999999999</v>
      </c>
      <c r="M12" s="43">
        <f>+SUMIFS('Quikirr Data'!LE$4:LE$103,'Quikirr Data'!LE$4:LE$103,"&lt;&gt;"&amp;0)*ToC!$E$15/ToC!$E$10</f>
        <v>3491.2799999999988</v>
      </c>
      <c r="N12" s="43">
        <f>+SUMIFS('Quikirr Data'!LF$4:LF$103,'Quikirr Data'!LF$4:LF$103,"&lt;&gt;"&amp;0)*ToC!$E$15/ToC!$E$10</f>
        <v>4241.6399999999994</v>
      </c>
      <c r="O12" s="43">
        <f>+SUMIFS('Quikirr Data'!LG$4:LG$103,'Quikirr Data'!LG$4:LG$103,"&lt;&gt;"&amp;0)*ToC!$E$15/ToC!$E$10</f>
        <v>4024.2000000000007</v>
      </c>
      <c r="P12" s="43">
        <f>+SUMIFS('Quikirr Data'!LH$4:LH$103,'Quikirr Data'!LH$4:LH$103,"&lt;&gt;"&amp;0)*ToC!$E$15/ToC!$E$10</f>
        <v>4117.68</v>
      </c>
      <c r="Q12" s="43">
        <f>+SUMIFS('Quikirr Data'!LI$4:LI$103,'Quikirr Data'!LI$4:LI$103,"&lt;&gt;"&amp;0)*ToC!$E$15/ToC!$E$10</f>
        <v>2782.2000000000007</v>
      </c>
      <c r="R12" s="43">
        <f>+SUMIFS('Quikirr Data'!LJ$4:LJ$103,'Quikirr Data'!LJ$4:LJ$103,"&lt;&gt;"&amp;0)*ToC!$E$15/ToC!$E$10</f>
        <v>2671.2000000000007</v>
      </c>
      <c r="S12" s="43">
        <f>+SUMIFS('Quikirr Data'!LK$4:LK$103,'Quikirr Data'!LK$4:LK$103,"&lt;&gt;"&amp;0)*ToC!$E$15/ToC!$E$10</f>
        <v>4194.84</v>
      </c>
      <c r="T12" s="43">
        <f>+SUMIFS('Quikirr Data'!LL$4:LL$103,'Quikirr Data'!LL$4:LL$103,"&lt;&gt;"&amp;0)*ToC!$E$15/ToC!$E$10</f>
        <v>4405.3200000000006</v>
      </c>
      <c r="U12" s="43">
        <f>+SUMIFS('Quikirr Data'!LM$4:LM$103,'Quikirr Data'!LM$4:LM$103,"&lt;&gt;"&amp;0)*ToC!$E$15/ToC!$E$10</f>
        <v>4753.0800000000008</v>
      </c>
      <c r="V12" s="43">
        <f>+SUMIFS('Quikirr Data'!LN$4:LN$103,'Quikirr Data'!LN$4:LN$103,"&lt;&gt;"&amp;0)*ToC!$E$15/ToC!$E$10</f>
        <v>5587.4400000000005</v>
      </c>
      <c r="W12" s="43">
        <f>+SUMIFS('Quikirr Data'!LO$4:LO$103,'Quikirr Data'!LO$4:LO$103,"&lt;&gt;"&amp;0)*ToC!$E$15/ToC!$E$10</f>
        <v>6498.5999999999995</v>
      </c>
      <c r="X12" s="43">
        <f>+SUMIFS('Quikirr Data'!LP$4:LP$103,'Quikirr Data'!LP$4:LP$103,"&lt;&gt;"&amp;0)*ToC!$E$15/ToC!$E$10</f>
        <v>6506.2800000000007</v>
      </c>
      <c r="Y12" s="43">
        <f>+SUMIFS('Quikirr Data'!LQ$4:LQ$103,'Quikirr Data'!LQ$4:LQ$103,"&lt;&gt;"&amp;0)*ToC!$E$15/ToC!$E$10</f>
        <v>7197</v>
      </c>
      <c r="Z12" s="43">
        <f>+SUMIFS('Quikirr Data'!LR$4:LR$103,'Quikirr Data'!LR$4:LR$103,"&lt;&gt;"&amp;0)*ToC!$E$15/ToC!$E$10</f>
        <v>6371.76</v>
      </c>
      <c r="AA12" s="43">
        <f>+SUMIFS('Quikirr Data'!LS$4:LS$103,'Quikirr Data'!LS$4:LS$103,"&lt;&gt;"&amp;0)*ToC!$E$15/ToC!$E$10</f>
        <v>6253.1999999999989</v>
      </c>
      <c r="AB12" s="43">
        <f>+SUMIFS('Quikirr Data'!LT$4:LT$103,'Quikirr Data'!LT$4:LT$103,"&lt;&gt;"&amp;0)*ToC!$E$15/ToC!$E$10</f>
        <v>5916.119999999999</v>
      </c>
    </row>
    <row r="13" spans="1:28" x14ac:dyDescent="0.25">
      <c r="A13" s="41" t="s">
        <v>77</v>
      </c>
      <c r="C13" s="40" t="s">
        <v>37</v>
      </c>
      <c r="D13" s="43">
        <f>+SUMIFS('Quikirr Data'!JV$4:JV$103,'Quikirr Data'!JV$4:JV$103,"&lt;&gt;"&amp;0)*ToC!$E$15/ToC!$E$10</f>
        <v>-4758.7200000000012</v>
      </c>
      <c r="E13" s="43">
        <f>+SUMIFS('Quikirr Data'!JW$4:JW$103,'Quikirr Data'!JW$4:JW$103,"&lt;&gt;"&amp;0)*ToC!$E$15/ToC!$E$10</f>
        <v>-5602.2000000000007</v>
      </c>
      <c r="F13" s="43">
        <f>+SUMIFS('Quikirr Data'!JX$4:JX$103,'Quikirr Data'!JX$4:JX$103,"&lt;&gt;"&amp;0)*ToC!$E$15/ToC!$E$10</f>
        <v>-2685.4800000000009</v>
      </c>
      <c r="G13" s="43">
        <f>+SUMIFS('Quikirr Data'!JY$4:JY$103,'Quikirr Data'!JY$4:JY$103,"&lt;&gt;"&amp;0)*ToC!$E$15/ToC!$E$10</f>
        <v>-3204.0000000000009</v>
      </c>
      <c r="H13" s="43">
        <f>+SUMIFS('Quikirr Data'!JZ$4:JZ$103,'Quikirr Data'!JZ$4:JZ$103,"&lt;&gt;"&amp;0)*ToC!$E$15/ToC!$E$10</f>
        <v>-3603.8400000000011</v>
      </c>
      <c r="I13" s="43">
        <f>+SUMIFS('Quikirr Data'!KA$4:KA$103,'Quikirr Data'!KA$4:KA$103,"&lt;&gt;"&amp;0)*ToC!$E$15/ToC!$E$10</f>
        <v>-4136.28</v>
      </c>
      <c r="J13" s="43">
        <f>+SUMIFS('Quikirr Data'!KB$4:KB$103,'Quikirr Data'!KB$4:KB$103,"&lt;&gt;"&amp;0)*ToC!$E$15/ToC!$E$10</f>
        <v>-2880.72</v>
      </c>
      <c r="K13" s="43">
        <f>+SUMIFS('Quikirr Data'!KC$4:KC$103,'Quikirr Data'!KC$4:KC$103,"&lt;&gt;"&amp;0)*ToC!$E$15/ToC!$E$10</f>
        <v>-718.68000000000018</v>
      </c>
      <c r="L13" s="43">
        <f>+SUMIFS('Quikirr Data'!KD$4:KD$103,'Quikirr Data'!KD$4:KD$103,"&lt;&gt;"&amp;0)*ToC!$E$15/ToC!$E$10</f>
        <v>-763.9200000000003</v>
      </c>
      <c r="M13" s="43">
        <f>+SUMIFS('Quikirr Data'!KE$4:KE$103,'Quikirr Data'!KE$4:KE$103,"&lt;&gt;"&amp;0)*ToC!$E$15/ToC!$E$10</f>
        <v>-851.76000000000022</v>
      </c>
      <c r="N13" s="43">
        <f>+SUMIFS('Quikirr Data'!KF$4:KF$103,'Quikirr Data'!KF$4:KF$103,"&lt;&gt;"&amp;0)*ToC!$E$15/ToC!$E$10</f>
        <v>-659.4000000000002</v>
      </c>
      <c r="O13" s="43">
        <f>+SUMIFS('Quikirr Data'!KG$4:KG$103,'Quikirr Data'!KG$4:KG$103,"&lt;&gt;"&amp;0)*ToC!$E$15/ToC!$E$10</f>
        <v>-659.4000000000002</v>
      </c>
      <c r="P13" s="43">
        <f>+SUMIFS('Quikirr Data'!KH$4:KH$103,'Quikirr Data'!KH$4:KH$103,"&lt;&gt;"&amp;0)*ToC!$E$15/ToC!$E$10</f>
        <v>-552.60000000000014</v>
      </c>
      <c r="Q13" s="43">
        <f>+SUMIFS('Quikirr Data'!KI$4:KI$103,'Quikirr Data'!KI$4:KI$103,"&lt;&gt;"&amp;0)*ToC!$E$15/ToC!$E$10</f>
        <v>-2007.48</v>
      </c>
      <c r="R13" s="43">
        <f>+SUMIFS('Quikirr Data'!KJ$4:KJ$103,'Quikirr Data'!KJ$4:KJ$103,"&lt;&gt;"&amp;0)*ToC!$E$15/ToC!$E$10</f>
        <v>-1164</v>
      </c>
      <c r="S13" s="43">
        <f>+SUMIFS('Quikirr Data'!KK$4:KK$103,'Quikirr Data'!KK$4:KK$103,"&lt;&gt;"&amp;0)*ToC!$E$15/ToC!$E$10</f>
        <v>-2356.8000000000002</v>
      </c>
      <c r="T13" s="43">
        <f>+SUMIFS('Quikirr Data'!KL$4:KL$103,'Quikirr Data'!KL$4:KL$103,"&lt;&gt;"&amp;0)*ToC!$E$15/ToC!$E$10</f>
        <v>-2356.8000000000002</v>
      </c>
      <c r="U13" s="43">
        <f>+SUMIFS('Quikirr Data'!KM$4:KM$103,'Quikirr Data'!KM$4:KM$103,"&lt;&gt;"&amp;0)*ToC!$E$15/ToC!$E$10</f>
        <v>-3376.5599999999995</v>
      </c>
      <c r="V13" s="43">
        <f>+SUMIFS('Quikirr Data'!KN$4:KN$103,'Quikirr Data'!KN$4:KN$103,"&lt;&gt;"&amp;0)*ToC!$E$15/ToC!$E$10</f>
        <v>-3376.5599999999995</v>
      </c>
      <c r="W13" s="43">
        <f>+SUMIFS('Quikirr Data'!KO$4:KO$103,'Quikirr Data'!KO$4:KO$103,"&lt;&gt;"&amp;0)*ToC!$E$15/ToC!$E$10</f>
        <v>-3304.7999999999997</v>
      </c>
      <c r="X13" s="43">
        <f>+SUMIFS('Quikirr Data'!KP$4:KP$103,'Quikirr Data'!KP$4:KP$103,"&lt;&gt;"&amp;0)*ToC!$E$15/ToC!$E$10</f>
        <v>-3304.7999999999997</v>
      </c>
      <c r="Y13" s="43">
        <f>+SUMIFS('Quikirr Data'!KQ$4:KQ$103,'Quikirr Data'!KQ$4:KQ$103,"&lt;&gt;"&amp;0)*ToC!$E$15/ToC!$E$10</f>
        <v>-3304.7999999999997</v>
      </c>
      <c r="Z13" s="43">
        <f>+SUMIFS('Quikirr Data'!KR$4:KR$103,'Quikirr Data'!KR$4:KR$103,"&lt;&gt;"&amp;0)*ToC!$E$15/ToC!$E$10</f>
        <v>-3434.88</v>
      </c>
      <c r="AA13" s="43">
        <f>+SUMIFS('Quikirr Data'!KS$4:KS$103,'Quikirr Data'!KS$4:KS$103,"&lt;&gt;"&amp;0)*ToC!$E$15/ToC!$E$10</f>
        <v>-3379.0800000000004</v>
      </c>
      <c r="AB13" s="43">
        <f>+SUMIFS('Quikirr Data'!KT$4:KT$103,'Quikirr Data'!KT$4:KT$103,"&lt;&gt;"&amp;0)*ToC!$E$15/ToC!$E$10</f>
        <v>-3482.2799999999997</v>
      </c>
    </row>
    <row r="14" spans="1:28" x14ac:dyDescent="0.25">
      <c r="A14" s="41" t="s">
        <v>78</v>
      </c>
      <c r="C14" s="40" t="s">
        <v>38</v>
      </c>
      <c r="D14" s="43">
        <f>+SUMIFS('Quikirr Data'!IV$4:IV$103,'Quikirr Data'!IV$4:IV$103,"&lt;&gt;"&amp;0)*ToC!$E$15/ToC!$E$10</f>
        <v>-15879.96</v>
      </c>
      <c r="E14" s="43">
        <f>+SUMIFS('Quikirr Data'!IW$4:IW$103,'Quikirr Data'!IW$4:IW$103,"&lt;&gt;"&amp;0)*ToC!$E$15/ToC!$E$10</f>
        <v>-15879.96</v>
      </c>
      <c r="F14" s="43">
        <f>+SUMIFS('Quikirr Data'!IX$4:IX$103,'Quikirr Data'!IX$4:IX$103,"&lt;&gt;"&amp;0)*ToC!$E$15/ToC!$E$10</f>
        <v>-17079.12</v>
      </c>
      <c r="G14" s="43">
        <f>+SUMIFS('Quikirr Data'!IY$4:IY$103,'Quikirr Data'!IY$4:IY$103,"&lt;&gt;"&amp;0)*ToC!$E$15/ToC!$E$10</f>
        <v>-19614.72</v>
      </c>
      <c r="H14" s="43">
        <f>+SUMIFS('Quikirr Data'!IZ$4:IZ$103,'Quikirr Data'!IZ$4:IZ$103,"&lt;&gt;"&amp;0)*ToC!$E$15/ToC!$E$10</f>
        <v>-19345.800000000003</v>
      </c>
      <c r="I14" s="43">
        <f>+SUMIFS('Quikirr Data'!JA$4:JA$103,'Quikirr Data'!JA$4:JA$103,"&lt;&gt;"&amp;0)*ToC!$E$15/ToC!$E$10</f>
        <v>-20768.88</v>
      </c>
      <c r="J14" s="43">
        <f>+SUMIFS('Quikirr Data'!JB$4:JB$103,'Quikirr Data'!JB$4:JB$103,"&lt;&gt;"&amp;0)*ToC!$E$15/ToC!$E$10</f>
        <v>-20988.6</v>
      </c>
      <c r="K14" s="43">
        <f>+SUMIFS('Quikirr Data'!JC$4:JC$103,'Quikirr Data'!JC$4:JC$103,"&lt;&gt;"&amp;0)*ToC!$E$15/ToC!$E$10</f>
        <v>-20925</v>
      </c>
      <c r="L14" s="43">
        <f>+SUMIFS('Quikirr Data'!JD$4:JD$103,'Quikirr Data'!JD$4:JD$103,"&lt;&gt;"&amp;0)*ToC!$E$15/ToC!$E$10</f>
        <v>-30190.32</v>
      </c>
      <c r="M14" s="43">
        <f>+SUMIFS('Quikirr Data'!JE$4:JE$103,'Quikirr Data'!JE$4:JE$103,"&lt;&gt;"&amp;0)*ToC!$E$15/ToC!$E$10</f>
        <v>-11796</v>
      </c>
      <c r="N14" s="43">
        <f>+SUMIFS('Quikirr Data'!JF$4:JF$103,'Quikirr Data'!JF$4:JF$103,"&lt;&gt;"&amp;0)*ToC!$E$15/ToC!$E$10</f>
        <v>-11796</v>
      </c>
      <c r="O14" s="43">
        <f>+SUMIFS('Quikirr Data'!JG$4:JG$103,'Quikirr Data'!JG$4:JG$103,"&lt;&gt;"&amp;0)*ToC!$E$15/ToC!$E$10</f>
        <v>-7620</v>
      </c>
      <c r="P14" s="43">
        <f>+SUMIFS('Quikirr Data'!JH$4:JH$103,'Quikirr Data'!JH$4:JH$103,"&lt;&gt;"&amp;0)*ToC!$E$15/ToC!$E$10</f>
        <v>-7620</v>
      </c>
      <c r="Q14" s="43">
        <f>+SUMIFS('Quikirr Data'!JI$4:JI$103,'Quikirr Data'!JI$4:JI$103,"&lt;&gt;"&amp;0)*ToC!$E$15/ToC!$E$10</f>
        <v>-9884.52</v>
      </c>
      <c r="R14" s="43">
        <f>+SUMIFS('Quikirr Data'!JJ$4:JJ$103,'Quikirr Data'!JJ$4:JJ$103,"&lt;&gt;"&amp;0)*ToC!$E$15/ToC!$E$10</f>
        <v>-10728</v>
      </c>
      <c r="S14" s="43">
        <f>+SUMIFS('Quikirr Data'!JK$4:JK$103,'Quikirr Data'!JK$4:JK$103,"&lt;&gt;"&amp;0)*ToC!$E$15/ToC!$E$10</f>
        <v>-9192</v>
      </c>
      <c r="T14" s="43">
        <f>+SUMIFS('Quikirr Data'!JL$4:JL$103,'Quikirr Data'!JL$4:JL$103,"&lt;&gt;"&amp;0)*ToC!$E$15/ToC!$E$10</f>
        <v>-8882.4000000000015</v>
      </c>
      <c r="U14" s="43">
        <f>+SUMIFS('Quikirr Data'!JM$4:JM$103,'Quikirr Data'!JM$4:JM$103,"&lt;&gt;"&amp;0)*ToC!$E$15/ToC!$E$10</f>
        <v>-7644</v>
      </c>
      <c r="V14" s="43">
        <f>+SUMIFS('Quikirr Data'!JN$4:JN$103,'Quikirr Data'!JN$4:JN$103,"&lt;&gt;"&amp;0)*ToC!$E$15/ToC!$E$10</f>
        <v>-7644</v>
      </c>
      <c r="W14" s="43">
        <f>+SUMIFS('Quikirr Data'!JO$4:JO$103,'Quikirr Data'!JO$4:JO$103,"&lt;&gt;"&amp;0)*ToC!$E$15/ToC!$E$10</f>
        <v>-4296</v>
      </c>
      <c r="X14" s="43">
        <f>+SUMIFS('Quikirr Data'!JP$4:JP$103,'Quikirr Data'!JP$4:JP$103,"&lt;&gt;"&amp;0)*ToC!$E$15/ToC!$E$10</f>
        <v>-4296</v>
      </c>
      <c r="Y14" s="43">
        <f>+SUMIFS('Quikirr Data'!JQ$4:JQ$103,'Quikirr Data'!JQ$4:JQ$103,"&lt;&gt;"&amp;0)*ToC!$E$15/ToC!$E$10</f>
        <v>-4536</v>
      </c>
      <c r="Z14" s="43">
        <f>+SUMIFS('Quikirr Data'!JR$4:JR$103,'Quikirr Data'!JR$4:JR$103,"&lt;&gt;"&amp;0)*ToC!$E$15/ToC!$E$10</f>
        <v>-4536</v>
      </c>
      <c r="AA14" s="43">
        <f>+SUMIFS('Quikirr Data'!JS$4:JS$103,'Quikirr Data'!JS$4:JS$103,"&lt;&gt;"&amp;0)*ToC!$E$15/ToC!$E$10</f>
        <v>-4536</v>
      </c>
      <c r="AB14" s="43">
        <f>+SUMIFS('Quikirr Data'!JT$4:JT$103,'Quikirr Data'!JT$4:JT$103,"&lt;&gt;"&amp;0)*ToC!$E$15/ToC!$E$10</f>
        <v>-4536</v>
      </c>
    </row>
    <row r="15" spans="1:28" x14ac:dyDescent="0.25">
      <c r="C15" s="45" t="s">
        <v>39</v>
      </c>
      <c r="D15" s="69">
        <f t="shared" ref="D15:AB15" si="0">+SUM(D10:D14)</f>
        <v>214713.60000000003</v>
      </c>
      <c r="E15" s="69">
        <f t="shared" si="0"/>
        <v>215670.12000000002</v>
      </c>
      <c r="F15" s="69">
        <f t="shared" si="0"/>
        <v>215676.59999999998</v>
      </c>
      <c r="G15" s="69">
        <f t="shared" si="0"/>
        <v>213660.59999999998</v>
      </c>
      <c r="H15" s="69">
        <f t="shared" si="0"/>
        <v>213351</v>
      </c>
      <c r="I15" s="69">
        <f t="shared" si="0"/>
        <v>212321.39999999994</v>
      </c>
      <c r="J15" s="69">
        <f t="shared" si="0"/>
        <v>212321.4</v>
      </c>
      <c r="K15" s="69">
        <f t="shared" si="0"/>
        <v>221419.19999999998</v>
      </c>
      <c r="L15" s="69">
        <f t="shared" si="0"/>
        <v>221507.75999999995</v>
      </c>
      <c r="M15" s="69">
        <f t="shared" si="0"/>
        <v>221747.75999999992</v>
      </c>
      <c r="N15" s="69">
        <f t="shared" si="0"/>
        <v>222780.84</v>
      </c>
      <c r="O15" s="69">
        <f t="shared" si="0"/>
        <v>222843.59999999998</v>
      </c>
      <c r="P15" s="69">
        <f t="shared" si="0"/>
        <v>223283.87999999995</v>
      </c>
      <c r="Q15" s="69">
        <f t="shared" si="0"/>
        <v>219185.52000000002</v>
      </c>
      <c r="R15" s="69">
        <f t="shared" si="0"/>
        <v>219080.99999999997</v>
      </c>
      <c r="S15" s="69">
        <f t="shared" si="0"/>
        <v>219344.87999999995</v>
      </c>
      <c r="T15" s="69">
        <f t="shared" si="0"/>
        <v>219555.36000000002</v>
      </c>
      <c r="U15" s="69">
        <f t="shared" si="0"/>
        <v>219092.15999999995</v>
      </c>
      <c r="V15" s="69">
        <f t="shared" si="0"/>
        <v>243562.19999999998</v>
      </c>
      <c r="W15" s="69">
        <f t="shared" si="0"/>
        <v>243952.67999999996</v>
      </c>
      <c r="X15" s="69">
        <f t="shared" si="0"/>
        <v>244048.9199999999</v>
      </c>
      <c r="Y15" s="69">
        <f t="shared" si="0"/>
        <v>244739.6399999999</v>
      </c>
      <c r="Z15" s="69">
        <f t="shared" si="0"/>
        <v>244817.39999999991</v>
      </c>
      <c r="AA15" s="69">
        <f t="shared" si="0"/>
        <v>244817.39999999997</v>
      </c>
      <c r="AB15" s="69">
        <f t="shared" si="0"/>
        <v>244817.39999999997</v>
      </c>
    </row>
    <row r="16" spans="1:28" hidden="1" outlineLevel="1" x14ac:dyDescent="0.25"/>
    <row r="17" spans="3:28" hidden="1" outlineLevel="1" x14ac:dyDescent="0.25">
      <c r="C17" s="36" t="s">
        <v>40</v>
      </c>
      <c r="D17" s="48">
        <f t="shared" ref="D17:AB17" si="1">+IFERROR(D11/D10,0)</f>
        <v>6.9297129747415545E-2</v>
      </c>
      <c r="E17" s="48">
        <f t="shared" si="1"/>
        <v>6.9297129747415545E-2</v>
      </c>
      <c r="F17" s="48">
        <f t="shared" si="1"/>
        <v>6.9960165529246623E-2</v>
      </c>
      <c r="G17" s="48">
        <f t="shared" si="1"/>
        <v>0</v>
      </c>
      <c r="H17" s="48">
        <f t="shared" si="1"/>
        <v>0</v>
      </c>
      <c r="I17" s="48">
        <f t="shared" si="1"/>
        <v>0</v>
      </c>
      <c r="J17" s="48">
        <f t="shared" si="1"/>
        <v>0</v>
      </c>
      <c r="K17" s="48">
        <f t="shared" si="1"/>
        <v>5.644525277236806E-2</v>
      </c>
      <c r="L17" s="48">
        <f t="shared" si="1"/>
        <v>5.4168966397838393E-2</v>
      </c>
      <c r="M17" s="48">
        <f t="shared" si="1"/>
        <v>5.7839726617819116E-2</v>
      </c>
      <c r="N17" s="48">
        <f t="shared" si="1"/>
        <v>5.7815792872078234E-2</v>
      </c>
      <c r="O17" s="48">
        <f t="shared" si="1"/>
        <v>5.8865986303209356E-2</v>
      </c>
      <c r="P17" s="48">
        <f t="shared" si="1"/>
        <v>5.8800187785030857E-2</v>
      </c>
      <c r="Q17" s="48">
        <f t="shared" si="1"/>
        <v>5.8539402676643384E-2</v>
      </c>
      <c r="R17" s="48">
        <f t="shared" si="1"/>
        <v>5.8537643861225563E-2</v>
      </c>
      <c r="S17" s="48">
        <f t="shared" si="1"/>
        <v>6.1023136694364814E-2</v>
      </c>
      <c r="T17" s="48">
        <f t="shared" si="1"/>
        <v>6.1111689188239095E-2</v>
      </c>
      <c r="U17" s="48">
        <f t="shared" si="1"/>
        <v>6.1408035176859242E-2</v>
      </c>
      <c r="V17" s="48">
        <f t="shared" si="1"/>
        <v>0.17272832601895058</v>
      </c>
      <c r="W17" s="48">
        <f t="shared" si="1"/>
        <v>0.10674629842398493</v>
      </c>
      <c r="X17" s="48">
        <f t="shared" si="1"/>
        <v>0.1067036206767655</v>
      </c>
      <c r="Y17" s="48">
        <f t="shared" si="1"/>
        <v>0.10658813419355402</v>
      </c>
      <c r="Z17" s="48">
        <f t="shared" si="1"/>
        <v>0.10609386336814247</v>
      </c>
      <c r="AA17" s="48">
        <f t="shared" si="1"/>
        <v>0.10606398388825169</v>
      </c>
      <c r="AB17" s="48">
        <f t="shared" si="1"/>
        <v>0.10585484272308418</v>
      </c>
    </row>
    <row r="18" spans="3:28" hidden="1" outlineLevel="1" x14ac:dyDescent="0.25">
      <c r="C18" s="36" t="s">
        <v>41</v>
      </c>
      <c r="D18" s="48">
        <f t="shared" ref="D18:AB18" si="2">+IFERROR(D12/D10,0)</f>
        <v>2.0181758592148605E-2</v>
      </c>
      <c r="E18" s="48">
        <f t="shared" si="2"/>
        <v>2.8514212388692298E-2</v>
      </c>
      <c r="F18" s="48">
        <f t="shared" si="2"/>
        <v>3.0358431723111451E-2</v>
      </c>
      <c r="G18" s="48">
        <f t="shared" si="2"/>
        <v>2.8550178500595005E-2</v>
      </c>
      <c r="H18" s="48">
        <f t="shared" si="2"/>
        <v>2.7108818646369003E-2</v>
      </c>
      <c r="I18" s="48">
        <f t="shared" si="2"/>
        <v>2.996444154998372E-2</v>
      </c>
      <c r="J18" s="48">
        <f t="shared" si="2"/>
        <v>2.7892045683023232E-2</v>
      </c>
      <c r="K18" s="48">
        <f t="shared" si="2"/>
        <v>3.0250063038848023E-2</v>
      </c>
      <c r="L18" s="48">
        <f t="shared" si="2"/>
        <v>2.9030158743234672E-2</v>
      </c>
      <c r="M18" s="48">
        <f t="shared" si="2"/>
        <v>1.5994572818352142E-2</v>
      </c>
      <c r="N18" s="48">
        <f t="shared" si="2"/>
        <v>1.9424150086962733E-2</v>
      </c>
      <c r="O18" s="48">
        <f t="shared" si="2"/>
        <v>1.8763148471420268E-2</v>
      </c>
      <c r="P18" s="48">
        <f t="shared" si="2"/>
        <v>1.9177546275596893E-2</v>
      </c>
      <c r="Q18" s="48">
        <f t="shared" si="2"/>
        <v>1.2900257114893805E-2</v>
      </c>
      <c r="R18" s="48">
        <f t="shared" si="2"/>
        <v>1.2385210078422979E-2</v>
      </c>
      <c r="S18" s="48">
        <f t="shared" si="2"/>
        <v>1.9633193953400865E-2</v>
      </c>
      <c r="T18" s="48">
        <f t="shared" si="2"/>
        <v>2.0648227568654472E-2</v>
      </c>
      <c r="U18" s="48">
        <f t="shared" si="2"/>
        <v>2.2386250279058079E-2</v>
      </c>
      <c r="V18" s="48">
        <f t="shared" si="2"/>
        <v>2.6315953078681665E-2</v>
      </c>
      <c r="W18" s="48">
        <f t="shared" si="2"/>
        <v>2.9349758286544261E-2</v>
      </c>
      <c r="X18" s="48">
        <f t="shared" si="2"/>
        <v>2.9372695566060546E-2</v>
      </c>
      <c r="Y18" s="48">
        <f t="shared" si="2"/>
        <v>3.2455795720326572E-2</v>
      </c>
      <c r="Z18" s="48">
        <f t="shared" si="2"/>
        <v>2.8601023319599669E-2</v>
      </c>
      <c r="AA18" s="48">
        <f t="shared" si="2"/>
        <v>2.8060936010726806E-2</v>
      </c>
      <c r="AB18" s="48">
        <f t="shared" si="2"/>
        <v>2.6495956627052519E-2</v>
      </c>
    </row>
    <row r="19" spans="3:28" hidden="1" outlineLevel="1" x14ac:dyDescent="0.25">
      <c r="C19" s="36" t="s">
        <v>42</v>
      </c>
      <c r="D19" s="48">
        <f t="shared" ref="D19:AB19" si="3">+IFERROR(D13/D10,0)</f>
        <v>-2.2028785850382464E-2</v>
      </c>
      <c r="E19" s="48">
        <f t="shared" si="3"/>
        <v>-2.5933373699442836E-2</v>
      </c>
      <c r="F19" s="48">
        <f t="shared" si="3"/>
        <v>-1.2550409981554902E-2</v>
      </c>
      <c r="G19" s="48">
        <f t="shared" si="3"/>
        <v>-1.3935572767698705E-2</v>
      </c>
      <c r="H19" s="48">
        <f t="shared" si="3"/>
        <v>-1.5664518915355169E-2</v>
      </c>
      <c r="I19" s="48">
        <f t="shared" si="3"/>
        <v>-1.7958450016281345E-2</v>
      </c>
      <c r="J19" s="48">
        <f t="shared" si="3"/>
        <v>-1.2536771867412904E-2</v>
      </c>
      <c r="K19" s="48">
        <f t="shared" si="3"/>
        <v>-3.2131034963759379E-3</v>
      </c>
      <c r="L19" s="48">
        <f t="shared" si="3"/>
        <v>-3.277631784893445E-3</v>
      </c>
      <c r="M19" s="48">
        <f t="shared" si="3"/>
        <v>-3.9021611969706324E-3</v>
      </c>
      <c r="N19" s="48">
        <f t="shared" si="3"/>
        <v>-3.0196538526002284E-3</v>
      </c>
      <c r="O19" s="48">
        <f t="shared" si="3"/>
        <v>-3.074504274651987E-3</v>
      </c>
      <c r="P19" s="48">
        <f t="shared" si="3"/>
        <v>-2.5736609138871515E-3</v>
      </c>
      <c r="Q19" s="48">
        <f t="shared" si="3"/>
        <v>-9.3081044328254658E-3</v>
      </c>
      <c r="R19" s="48">
        <f t="shared" si="3"/>
        <v>-5.3969693513343606E-3</v>
      </c>
      <c r="S19" s="48">
        <f t="shared" si="3"/>
        <v>-1.1030578403318163E-2</v>
      </c>
      <c r="T19" s="48">
        <f t="shared" si="3"/>
        <v>-1.1046585204662739E-2</v>
      </c>
      <c r="U19" s="48">
        <f t="shared" si="3"/>
        <v>-1.5903060171984548E-2</v>
      </c>
      <c r="V19" s="48">
        <f t="shared" si="3"/>
        <v>-1.5903060171984548E-2</v>
      </c>
      <c r="W19" s="48">
        <f t="shared" si="3"/>
        <v>-1.492553491296148E-2</v>
      </c>
      <c r="X19" s="48">
        <f t="shared" si="3"/>
        <v>-1.4919567603410379E-2</v>
      </c>
      <c r="Y19" s="48">
        <f t="shared" si="3"/>
        <v>-1.4903419993960712E-2</v>
      </c>
      <c r="Z19" s="48">
        <f t="shared" si="3"/>
        <v>-1.5418202032095766E-2</v>
      </c>
      <c r="AA19" s="48">
        <f t="shared" si="3"/>
        <v>-1.5163459933334416E-2</v>
      </c>
      <c r="AB19" s="48">
        <f t="shared" si="3"/>
        <v>-1.5595751919036879E-2</v>
      </c>
    </row>
    <row r="20" spans="3:28" hidden="1" outlineLevel="1" x14ac:dyDescent="0.25">
      <c r="C20" s="36" t="s">
        <v>43</v>
      </c>
      <c r="D20" s="48">
        <f t="shared" ref="D20:AB20" si="4">+IFERROR(D14/D10,0)</f>
        <v>-7.3510573883867808E-2</v>
      </c>
      <c r="E20" s="48">
        <f t="shared" si="4"/>
        <v>-7.3510573883867808E-2</v>
      </c>
      <c r="F20" s="48">
        <f t="shared" si="4"/>
        <v>-7.9818117477759604E-2</v>
      </c>
      <c r="G20" s="48">
        <f t="shared" si="4"/>
        <v>-8.5312845779661389E-2</v>
      </c>
      <c r="H20" s="48">
        <f t="shared" si="4"/>
        <v>-8.40888191575314E-2</v>
      </c>
      <c r="I20" s="48">
        <f t="shared" si="4"/>
        <v>-9.0172061217844379E-2</v>
      </c>
      <c r="J20" s="48">
        <f t="shared" si="4"/>
        <v>-9.1341501435884945E-2</v>
      </c>
      <c r="K20" s="48">
        <f t="shared" si="4"/>
        <v>-9.3552332973877786E-2</v>
      </c>
      <c r="L20" s="48">
        <f t="shared" si="4"/>
        <v>-0.12953287311250425</v>
      </c>
      <c r="M20" s="48">
        <f t="shared" si="4"/>
        <v>-5.4040919366330382E-2</v>
      </c>
      <c r="N20" s="48">
        <f t="shared" si="4"/>
        <v>-5.4018557545150565E-2</v>
      </c>
      <c r="O20" s="48">
        <f t="shared" si="4"/>
        <v>-3.552884830580548E-2</v>
      </c>
      <c r="P20" s="48">
        <f t="shared" si="4"/>
        <v>-3.5489135294643662E-2</v>
      </c>
      <c r="Q20" s="48">
        <f t="shared" si="4"/>
        <v>-4.5831661799047546E-2</v>
      </c>
      <c r="R20" s="48">
        <f t="shared" si="4"/>
        <v>-4.9741140207143486E-2</v>
      </c>
      <c r="S20" s="48">
        <f t="shared" si="4"/>
        <v>-4.3021502326587129E-2</v>
      </c>
      <c r="T20" s="48">
        <f t="shared" si="4"/>
        <v>-4.16328022835609E-2</v>
      </c>
      <c r="U20" s="48">
        <f t="shared" si="4"/>
        <v>-3.6002023347622994E-2</v>
      </c>
      <c r="V20" s="48">
        <f t="shared" si="4"/>
        <v>-3.6002023347622994E-2</v>
      </c>
      <c r="W20" s="48">
        <f t="shared" si="4"/>
        <v>-1.9402111470008025E-2</v>
      </c>
      <c r="X20" s="48">
        <f t="shared" si="4"/>
        <v>-1.9394354400947406E-2</v>
      </c>
      <c r="Y20" s="48">
        <f t="shared" si="4"/>
        <v>-2.0455674501514705E-2</v>
      </c>
      <c r="Z20" s="48">
        <f t="shared" si="4"/>
        <v>-2.036081738447526E-2</v>
      </c>
      <c r="AA20" s="48">
        <f t="shared" si="4"/>
        <v>-2.0355083116589397E-2</v>
      </c>
      <c r="AB20" s="48">
        <f t="shared" si="4"/>
        <v>-2.0314946157331197E-2</v>
      </c>
    </row>
    <row r="21" spans="3:28" hidden="1" outlineLevel="1" x14ac:dyDescent="0.25">
      <c r="C21" s="36" t="s">
        <v>44</v>
      </c>
      <c r="D21" s="48">
        <f t="shared" ref="D21:AB21" si="5">+IFERROR((SUM(D11:D12))/D10,0)</f>
        <v>8.9478888339564147E-2</v>
      </c>
      <c r="E21" s="48">
        <f t="shared" si="5"/>
        <v>9.7811342136107843E-2</v>
      </c>
      <c r="F21" s="48">
        <f t="shared" si="5"/>
        <v>0.10031859725235809</v>
      </c>
      <c r="G21" s="48">
        <f t="shared" si="5"/>
        <v>2.8550178500595005E-2</v>
      </c>
      <c r="H21" s="48">
        <f t="shared" si="5"/>
        <v>2.7108818646369003E-2</v>
      </c>
      <c r="I21" s="48">
        <f t="shared" si="5"/>
        <v>2.996444154998372E-2</v>
      </c>
      <c r="J21" s="48">
        <f t="shared" si="5"/>
        <v>2.7892045683023232E-2</v>
      </c>
      <c r="K21" s="48">
        <f t="shared" si="5"/>
        <v>8.6695315811216089E-2</v>
      </c>
      <c r="L21" s="48">
        <f t="shared" si="5"/>
        <v>8.3199125141073069E-2</v>
      </c>
      <c r="M21" s="48">
        <f t="shared" si="5"/>
        <v>7.3834299436171258E-2</v>
      </c>
      <c r="N21" s="48">
        <f t="shared" si="5"/>
        <v>7.7239942959040964E-2</v>
      </c>
      <c r="O21" s="48">
        <f t="shared" si="5"/>
        <v>7.7629134774629627E-2</v>
      </c>
      <c r="P21" s="48">
        <f t="shared" si="5"/>
        <v>7.7977734060627746E-2</v>
      </c>
      <c r="Q21" s="48">
        <f t="shared" si="5"/>
        <v>7.1439659791537186E-2</v>
      </c>
      <c r="R21" s="48">
        <f t="shared" si="5"/>
        <v>7.0922853939648547E-2</v>
      </c>
      <c r="S21" s="48">
        <f t="shared" si="5"/>
        <v>8.0656330647765687E-2</v>
      </c>
      <c r="T21" s="48">
        <f t="shared" si="5"/>
        <v>8.1759916756893578E-2</v>
      </c>
      <c r="U21" s="48">
        <f t="shared" si="5"/>
        <v>8.3794285455917314E-2</v>
      </c>
      <c r="V21" s="48">
        <f t="shared" si="5"/>
        <v>0.19904427909763225</v>
      </c>
      <c r="W21" s="48">
        <f t="shared" si="5"/>
        <v>0.13609605671052918</v>
      </c>
      <c r="X21" s="48">
        <f t="shared" si="5"/>
        <v>0.13607631624282604</v>
      </c>
      <c r="Y21" s="48">
        <f t="shared" si="5"/>
        <v>0.13904392991388059</v>
      </c>
      <c r="Z21" s="48">
        <f t="shared" si="5"/>
        <v>0.13469488668774215</v>
      </c>
      <c r="AA21" s="48">
        <f t="shared" si="5"/>
        <v>0.13412491989897848</v>
      </c>
      <c r="AB21" s="48">
        <f t="shared" si="5"/>
        <v>0.13235079935013672</v>
      </c>
    </row>
    <row r="22" spans="3:28" hidden="1" outlineLevel="1" x14ac:dyDescent="0.25">
      <c r="C22" s="36" t="s">
        <v>45</v>
      </c>
      <c r="D22" s="48">
        <f t="shared" ref="D22:AB22" si="6">+IFERROR((SUM(D13:D14))/D10,0)</f>
        <v>-9.5539359734250262E-2</v>
      </c>
      <c r="E22" s="48">
        <f t="shared" si="6"/>
        <v>-9.9443947583310641E-2</v>
      </c>
      <c r="F22" s="48">
        <f t="shared" si="6"/>
        <v>-9.2368527459314495E-2</v>
      </c>
      <c r="G22" s="48">
        <f t="shared" si="6"/>
        <v>-9.9248418547360079E-2</v>
      </c>
      <c r="H22" s="48">
        <f t="shared" si="6"/>
        <v>-9.9753338072886569E-2</v>
      </c>
      <c r="I22" s="48">
        <f t="shared" si="6"/>
        <v>-0.10813051123412572</v>
      </c>
      <c r="J22" s="48">
        <f t="shared" si="6"/>
        <v>-0.10387827330329785</v>
      </c>
      <c r="K22" s="48">
        <f t="shared" si="6"/>
        <v>-9.6765436470253721E-2</v>
      </c>
      <c r="L22" s="48">
        <f t="shared" si="6"/>
        <v>-0.13281050489739768</v>
      </c>
      <c r="M22" s="48">
        <f t="shared" si="6"/>
        <v>-5.7943080563301018E-2</v>
      </c>
      <c r="N22" s="48">
        <f t="shared" si="6"/>
        <v>-5.7038211397750789E-2</v>
      </c>
      <c r="O22" s="48">
        <f t="shared" si="6"/>
        <v>-3.860335258045746E-2</v>
      </c>
      <c r="P22" s="48">
        <f t="shared" si="6"/>
        <v>-3.8062796208530814E-2</v>
      </c>
      <c r="Q22" s="48">
        <f t="shared" si="6"/>
        <v>-5.5139766231873014E-2</v>
      </c>
      <c r="R22" s="48">
        <f t="shared" si="6"/>
        <v>-5.5138109558477845E-2</v>
      </c>
      <c r="S22" s="48">
        <f t="shared" si="6"/>
        <v>-5.4052080729905291E-2</v>
      </c>
      <c r="T22" s="48">
        <f t="shared" si="6"/>
        <v>-5.2679387488223636E-2</v>
      </c>
      <c r="U22" s="48">
        <f t="shared" si="6"/>
        <v>-5.1905083519607542E-2</v>
      </c>
      <c r="V22" s="48">
        <f t="shared" si="6"/>
        <v>-5.1905083519607542E-2</v>
      </c>
      <c r="W22" s="48">
        <f t="shared" si="6"/>
        <v>-3.43276463829695E-2</v>
      </c>
      <c r="X22" s="48">
        <f t="shared" si="6"/>
        <v>-3.4313922004357782E-2</v>
      </c>
      <c r="Y22" s="48">
        <f t="shared" si="6"/>
        <v>-3.5359094495475411E-2</v>
      </c>
      <c r="Z22" s="48">
        <f t="shared" si="6"/>
        <v>-3.577901941657103E-2</v>
      </c>
      <c r="AA22" s="48">
        <f t="shared" si="6"/>
        <v>-3.5518543049923808E-2</v>
      </c>
      <c r="AB22" s="48">
        <f t="shared" si="6"/>
        <v>-3.5910698076368076E-2</v>
      </c>
    </row>
    <row r="23" spans="3:28" hidden="1" outlineLevel="1" x14ac:dyDescent="0.25"/>
    <row r="24" spans="3:28" hidden="1" outlineLevel="1" x14ac:dyDescent="0.25">
      <c r="C24" s="36" t="s">
        <v>46</v>
      </c>
      <c r="D24" s="48">
        <f t="shared" ref="D24:AB24" si="7">+IFERROR(D11/AVERAGE(D10,D15),0)</f>
        <v>6.9507754626727619E-2</v>
      </c>
      <c r="E24" s="48">
        <f t="shared" si="7"/>
        <v>6.9353743397042505E-2</v>
      </c>
      <c r="F24" s="48">
        <f t="shared" si="7"/>
        <v>6.9683172486910819E-2</v>
      </c>
      <c r="G24" s="48">
        <f t="shared" si="7"/>
        <v>0</v>
      </c>
      <c r="H24" s="48">
        <f t="shared" si="7"/>
        <v>0</v>
      </c>
      <c r="I24" s="48">
        <f t="shared" si="7"/>
        <v>0</v>
      </c>
      <c r="J24" s="48">
        <f t="shared" si="7"/>
        <v>0</v>
      </c>
      <c r="K24" s="48">
        <f t="shared" si="7"/>
        <v>5.6730896257572619E-2</v>
      </c>
      <c r="L24" s="48">
        <f t="shared" si="7"/>
        <v>5.5546844188488646E-2</v>
      </c>
      <c r="M24" s="48">
        <f t="shared" si="7"/>
        <v>5.738377753355025E-2</v>
      </c>
      <c r="N24" s="48">
        <f t="shared" si="7"/>
        <v>5.7237643121309419E-2</v>
      </c>
      <c r="O24" s="48">
        <f t="shared" si="7"/>
        <v>5.7739325139738389E-2</v>
      </c>
      <c r="P24" s="48">
        <f t="shared" si="7"/>
        <v>5.7649646751392281E-2</v>
      </c>
      <c r="Q24" s="48">
        <f t="shared" si="7"/>
        <v>5.8066166509878996E-2</v>
      </c>
      <c r="R24" s="48">
        <f t="shared" si="7"/>
        <v>5.807926071907657E-2</v>
      </c>
      <c r="S24" s="48">
        <f t="shared" si="7"/>
        <v>6.022205538830596E-2</v>
      </c>
      <c r="T24" s="48">
        <f t="shared" si="7"/>
        <v>6.0235844074917264E-2</v>
      </c>
      <c r="U24" s="48">
        <f t="shared" si="7"/>
        <v>6.0444275325977244E-2</v>
      </c>
      <c r="V24" s="48">
        <f t="shared" si="7"/>
        <v>0.16089159601266642</v>
      </c>
      <c r="W24" s="48">
        <f t="shared" si="7"/>
        <v>0.10157760284097959</v>
      </c>
      <c r="X24" s="48">
        <f t="shared" si="7"/>
        <v>0.101537282205896</v>
      </c>
      <c r="Y24" s="48">
        <f t="shared" si="7"/>
        <v>0.10133469842915376</v>
      </c>
      <c r="Z24" s="48">
        <f t="shared" si="7"/>
        <v>0.10109396476770319</v>
      </c>
      <c r="AA24" s="48">
        <f t="shared" si="7"/>
        <v>0.10108039798058853</v>
      </c>
      <c r="AB24" s="48">
        <f t="shared" si="7"/>
        <v>0.10098532522705345</v>
      </c>
    </row>
    <row r="25" spans="3:28" hidden="1" outlineLevel="1" x14ac:dyDescent="0.25">
      <c r="C25" s="36" t="s">
        <v>47</v>
      </c>
      <c r="D25" s="48">
        <f t="shared" ref="D25:AB25" si="8">+IFERROR(D12/AVERAGE(D10,D15),0)</f>
        <v>2.0243099956260953E-2</v>
      </c>
      <c r="E25" s="48">
        <f t="shared" si="8"/>
        <v>2.8537507633898646E-2</v>
      </c>
      <c r="F25" s="48">
        <f t="shared" si="8"/>
        <v>3.023823368898854E-2</v>
      </c>
      <c r="G25" s="48">
        <f t="shared" si="8"/>
        <v>2.9596384653986989E-2</v>
      </c>
      <c r="H25" s="48">
        <f t="shared" si="8"/>
        <v>2.8130585062909934E-2</v>
      </c>
      <c r="I25" s="48">
        <f t="shared" si="8"/>
        <v>3.1183174651369581E-2</v>
      </c>
      <c r="J25" s="48">
        <f t="shared" si="8"/>
        <v>2.8993602939260489E-2</v>
      </c>
      <c r="K25" s="48">
        <f t="shared" si="8"/>
        <v>3.0403144706653114E-2</v>
      </c>
      <c r="L25" s="48">
        <f t="shared" si="8"/>
        <v>2.9768589133387924E-2</v>
      </c>
      <c r="M25" s="48">
        <f t="shared" si="8"/>
        <v>1.5868488010275739E-2</v>
      </c>
      <c r="N25" s="48">
        <f t="shared" si="8"/>
        <v>1.9229911333608248E-2</v>
      </c>
      <c r="O25" s="48">
        <f t="shared" si="8"/>
        <v>1.8404032587787542E-2</v>
      </c>
      <c r="P25" s="48">
        <f t="shared" si="8"/>
        <v>1.8802299958438125E-2</v>
      </c>
      <c r="Q25" s="48">
        <f t="shared" si="8"/>
        <v>1.2795970635220463E-2</v>
      </c>
      <c r="R25" s="48">
        <f t="shared" si="8"/>
        <v>1.2288226818806624E-2</v>
      </c>
      <c r="S25" s="48">
        <f t="shared" si="8"/>
        <v>1.9375459174327314E-2</v>
      </c>
      <c r="T25" s="48">
        <f t="shared" si="8"/>
        <v>2.0352299744452823E-2</v>
      </c>
      <c r="U25" s="48">
        <f t="shared" si="8"/>
        <v>2.2034912393574285E-2</v>
      </c>
      <c r="V25" s="48">
        <f t="shared" si="8"/>
        <v>2.4512572946252073E-2</v>
      </c>
      <c r="W25" s="48">
        <f t="shared" si="8"/>
        <v>2.792863204368945E-2</v>
      </c>
      <c r="X25" s="48">
        <f t="shared" si="8"/>
        <v>2.7950538697028269E-2</v>
      </c>
      <c r="Y25" s="48">
        <f t="shared" si="8"/>
        <v>3.0856138879635349E-2</v>
      </c>
      <c r="Z25" s="48">
        <f t="shared" si="8"/>
        <v>2.7253139361687943E-2</v>
      </c>
      <c r="AA25" s="48">
        <f t="shared" si="8"/>
        <v>2.6742448055322127E-2</v>
      </c>
      <c r="AB25" s="48">
        <f t="shared" si="8"/>
        <v>2.5277093880196184E-2</v>
      </c>
    </row>
    <row r="26" spans="3:28" hidden="1" outlineLevel="1" x14ac:dyDescent="0.25">
      <c r="C26" s="36" t="s">
        <v>48</v>
      </c>
      <c r="D26" s="48">
        <f t="shared" ref="D26:AB26" si="9">+IFERROR(D13/AVERAGE(D10,D15),0)</f>
        <v>-2.2095741153986527E-2</v>
      </c>
      <c r="E26" s="48">
        <f t="shared" si="9"/>
        <v>-2.5954560477850785E-2</v>
      </c>
      <c r="F26" s="48">
        <f t="shared" si="9"/>
        <v>-1.2500719186556718E-2</v>
      </c>
      <c r="G26" s="48">
        <f t="shared" si="9"/>
        <v>-1.4446234442906946E-2</v>
      </c>
      <c r="H26" s="48">
        <f t="shared" si="9"/>
        <v>-1.6254934881752281E-2</v>
      </c>
      <c r="I26" s="48">
        <f t="shared" si="9"/>
        <v>-1.8688867683098746E-2</v>
      </c>
      <c r="J26" s="48">
        <f t="shared" si="9"/>
        <v>-1.3031894103238918E-2</v>
      </c>
      <c r="K26" s="48">
        <f t="shared" si="9"/>
        <v>-3.2293635366087113E-3</v>
      </c>
      <c r="L26" s="48">
        <f t="shared" si="9"/>
        <v>-3.3610038029076978E-3</v>
      </c>
      <c r="M26" s="48">
        <f t="shared" si="9"/>
        <v>-3.8714005601477026E-3</v>
      </c>
      <c r="N26" s="48">
        <f t="shared" si="9"/>
        <v>-2.9894577411994617E-3</v>
      </c>
      <c r="O26" s="48">
        <f t="shared" si="9"/>
        <v>-3.0156600289217997E-3</v>
      </c>
      <c r="P26" s="48">
        <f t="shared" si="9"/>
        <v>-2.5233021888619099E-3</v>
      </c>
      <c r="Q26" s="48">
        <f t="shared" si="9"/>
        <v>-9.2328571385207284E-3</v>
      </c>
      <c r="R26" s="48">
        <f t="shared" si="9"/>
        <v>-5.3547080028043224E-3</v>
      </c>
      <c r="S26" s="48">
        <f t="shared" si="9"/>
        <v>-1.0885774471029794E-2</v>
      </c>
      <c r="T26" s="48">
        <f t="shared" si="9"/>
        <v>-1.0888266922204608E-2</v>
      </c>
      <c r="U26" s="48">
        <f t="shared" si="9"/>
        <v>-1.5653471810204576E-2</v>
      </c>
      <c r="V26" s="48">
        <f t="shared" si="9"/>
        <v>-1.481325496245094E-2</v>
      </c>
      <c r="W26" s="48">
        <f t="shared" si="9"/>
        <v>-1.4202834945678285E-2</v>
      </c>
      <c r="X26" s="48">
        <f t="shared" si="9"/>
        <v>-1.4197197213452081E-2</v>
      </c>
      <c r="Y26" s="48">
        <f t="shared" si="9"/>
        <v>-1.4168871442186868E-2</v>
      </c>
      <c r="Z26" s="48">
        <f t="shared" si="9"/>
        <v>-1.4691586520941574E-2</v>
      </c>
      <c r="AA26" s="48">
        <f t="shared" si="9"/>
        <v>-1.4450980517939282E-2</v>
      </c>
      <c r="AB26" s="48">
        <f t="shared" si="9"/>
        <v>-1.4878318640786457E-2</v>
      </c>
    </row>
    <row r="27" spans="3:28" hidden="1" outlineLevel="1" x14ac:dyDescent="0.25">
      <c r="C27" s="36" t="s">
        <v>49</v>
      </c>
      <c r="D27" s="48">
        <f t="shared" ref="D27:AB27" si="10">+IFERROR(D14/AVERAGE(D10,D15),0)</f>
        <v>-7.3734005298832409E-2</v>
      </c>
      <c r="E27" s="48">
        <f t="shared" si="10"/>
        <v>-7.357062978934191E-2</v>
      </c>
      <c r="F27" s="48">
        <f t="shared" si="10"/>
        <v>-7.95020938802391E-2</v>
      </c>
      <c r="G27" s="48">
        <f t="shared" si="10"/>
        <v>-8.8439089779018626E-2</v>
      </c>
      <c r="H27" s="48">
        <f t="shared" si="10"/>
        <v>-8.7258235447579033E-2</v>
      </c>
      <c r="I27" s="48">
        <f t="shared" si="10"/>
        <v>-9.3839597475547099E-2</v>
      </c>
      <c r="J27" s="48">
        <f t="shared" si="10"/>
        <v>-9.4948906028784585E-2</v>
      </c>
      <c r="K27" s="48">
        <f t="shared" si="10"/>
        <v>-9.4025758339646673E-2</v>
      </c>
      <c r="L27" s="48">
        <f t="shared" si="10"/>
        <v>-0.13282775726646806</v>
      </c>
      <c r="M27" s="48">
        <f t="shared" si="10"/>
        <v>-5.3614916182378007E-2</v>
      </c>
      <c r="N27" s="48">
        <f t="shared" si="10"/>
        <v>-5.3478379610538126E-2</v>
      </c>
      <c r="O27" s="48">
        <f t="shared" si="10"/>
        <v>-3.4848846558059005E-2</v>
      </c>
      <c r="P27" s="48">
        <f t="shared" si="10"/>
        <v>-3.4794720736749454E-2</v>
      </c>
      <c r="Q27" s="48">
        <f t="shared" si="10"/>
        <v>-4.5461155798738176E-2</v>
      </c>
      <c r="R27" s="48">
        <f t="shared" si="10"/>
        <v>-4.9351638706258395E-2</v>
      </c>
      <c r="S27" s="48">
        <f t="shared" si="10"/>
        <v>-4.2456737499026585E-2</v>
      </c>
      <c r="T27" s="48">
        <f t="shared" si="10"/>
        <v>-4.1036126149775219E-2</v>
      </c>
      <c r="U27" s="48">
        <f t="shared" si="10"/>
        <v>-3.543699460907071E-2</v>
      </c>
      <c r="V27" s="48">
        <f t="shared" si="10"/>
        <v>-3.3534876007823053E-2</v>
      </c>
      <c r="W27" s="48">
        <f t="shared" si="10"/>
        <v>-1.8462653996197627E-2</v>
      </c>
      <c r="X27" s="48">
        <f t="shared" si="10"/>
        <v>-1.8455325353724929E-2</v>
      </c>
      <c r="Y27" s="48">
        <f t="shared" si="10"/>
        <v>-1.9447470606923156E-2</v>
      </c>
      <c r="Z27" s="48">
        <f t="shared" si="10"/>
        <v>-1.9401270629247885E-2</v>
      </c>
      <c r="AA27" s="48">
        <f t="shared" si="10"/>
        <v>-1.9398666983135224E-2</v>
      </c>
      <c r="AB27" s="48">
        <f t="shared" si="10"/>
        <v>-1.9380421262680594E-2</v>
      </c>
    </row>
    <row r="28" spans="3:28" hidden="1" outlineLevel="1" x14ac:dyDescent="0.25">
      <c r="C28" s="36" t="s">
        <v>50</v>
      </c>
      <c r="D28" s="48">
        <f t="shared" ref="D28:AB28" si="11">+IFERROR((SUM(D11:D12))/AVERAGE(D10,D15),0)</f>
        <v>8.9750854582988565E-2</v>
      </c>
      <c r="E28" s="48">
        <f t="shared" si="11"/>
        <v>9.7891251030941151E-2</v>
      </c>
      <c r="F28" s="48">
        <f t="shared" si="11"/>
        <v>9.9921406175899355E-2</v>
      </c>
      <c r="G28" s="48">
        <f t="shared" si="11"/>
        <v>2.9596384653986989E-2</v>
      </c>
      <c r="H28" s="48">
        <f t="shared" si="11"/>
        <v>2.8130585062909934E-2</v>
      </c>
      <c r="I28" s="48">
        <f t="shared" si="11"/>
        <v>3.1183174651369581E-2</v>
      </c>
      <c r="J28" s="48">
        <f t="shared" si="11"/>
        <v>2.8993602939260489E-2</v>
      </c>
      <c r="K28" s="48">
        <f t="shared" si="11"/>
        <v>8.7134040964225737E-2</v>
      </c>
      <c r="L28" s="48">
        <f t="shared" si="11"/>
        <v>8.5315433321876577E-2</v>
      </c>
      <c r="M28" s="48">
        <f t="shared" si="11"/>
        <v>7.3252265543825981E-2</v>
      </c>
      <c r="N28" s="48">
        <f t="shared" si="11"/>
        <v>7.6467554454917652E-2</v>
      </c>
      <c r="O28" s="48">
        <f t="shared" si="11"/>
        <v>7.6143357727525937E-2</v>
      </c>
      <c r="P28" s="48">
        <f t="shared" si="11"/>
        <v>7.6451946709830396E-2</v>
      </c>
      <c r="Q28" s="48">
        <f t="shared" si="11"/>
        <v>7.0862137145099466E-2</v>
      </c>
      <c r="R28" s="48">
        <f t="shared" si="11"/>
        <v>7.0367487537883189E-2</v>
      </c>
      <c r="S28" s="48">
        <f t="shared" si="11"/>
        <v>7.9597514562633281E-2</v>
      </c>
      <c r="T28" s="48">
        <f t="shared" si="11"/>
        <v>8.0588143819370087E-2</v>
      </c>
      <c r="U28" s="48">
        <f t="shared" si="11"/>
        <v>8.2479187719551525E-2</v>
      </c>
      <c r="V28" s="48">
        <f t="shared" si="11"/>
        <v>0.18540416895891851</v>
      </c>
      <c r="W28" s="48">
        <f t="shared" si="11"/>
        <v>0.12950623488466903</v>
      </c>
      <c r="X28" s="48">
        <f t="shared" si="11"/>
        <v>0.12948782090292427</v>
      </c>
      <c r="Y28" s="48">
        <f t="shared" si="11"/>
        <v>0.13219083730878911</v>
      </c>
      <c r="Z28" s="48">
        <f t="shared" si="11"/>
        <v>0.12834710412939113</v>
      </c>
      <c r="AA28" s="48">
        <f t="shared" si="11"/>
        <v>0.12782284603591065</v>
      </c>
      <c r="AB28" s="48">
        <f t="shared" si="11"/>
        <v>0.12626241910724964</v>
      </c>
    </row>
    <row r="29" spans="3:28" hidden="1" outlineLevel="1" x14ac:dyDescent="0.25">
      <c r="C29" s="36" t="s">
        <v>51</v>
      </c>
      <c r="D29" s="48">
        <f t="shared" ref="D29:AB29" si="12">+IFERROR((SUM(D13:D14))/AVERAGE(D10,D15),0)</f>
        <v>-9.5829746452818942E-2</v>
      </c>
      <c r="E29" s="48">
        <f t="shared" si="12"/>
        <v>-9.9525190267192698E-2</v>
      </c>
      <c r="F29" s="48">
        <f t="shared" si="12"/>
        <v>-9.2002813066795822E-2</v>
      </c>
      <c r="G29" s="48">
        <f t="shared" si="12"/>
        <v>-0.10288532422192556</v>
      </c>
      <c r="H29" s="48">
        <f t="shared" si="12"/>
        <v>-0.10351317032933131</v>
      </c>
      <c r="I29" s="48">
        <f t="shared" si="12"/>
        <v>-0.11252846515864584</v>
      </c>
      <c r="J29" s="48">
        <f t="shared" si="12"/>
        <v>-0.10798080013202351</v>
      </c>
      <c r="K29" s="48">
        <f t="shared" si="12"/>
        <v>-9.7255121876255374E-2</v>
      </c>
      <c r="L29" s="48">
        <f t="shared" si="12"/>
        <v>-0.13618876106937577</v>
      </c>
      <c r="M29" s="48">
        <f t="shared" si="12"/>
        <v>-5.748631674252571E-2</v>
      </c>
      <c r="N29" s="48">
        <f t="shared" si="12"/>
        <v>-5.6467837351737583E-2</v>
      </c>
      <c r="O29" s="48">
        <f t="shared" si="12"/>
        <v>-3.7864506586980803E-2</v>
      </c>
      <c r="P29" s="48">
        <f t="shared" si="12"/>
        <v>-3.7318022925611365E-2</v>
      </c>
      <c r="Q29" s="48">
        <f t="shared" si="12"/>
        <v>-5.4694012937258903E-2</v>
      </c>
      <c r="R29" s="48">
        <f t="shared" si="12"/>
        <v>-5.4706346709062714E-2</v>
      </c>
      <c r="S29" s="48">
        <f t="shared" si="12"/>
        <v>-5.3342511970056371E-2</v>
      </c>
      <c r="T29" s="48">
        <f t="shared" si="12"/>
        <v>-5.1924393071979824E-2</v>
      </c>
      <c r="U29" s="48">
        <f t="shared" si="12"/>
        <v>-5.1090466419275282E-2</v>
      </c>
      <c r="V29" s="48">
        <f t="shared" si="12"/>
        <v>-4.8348130970273989E-2</v>
      </c>
      <c r="W29" s="48">
        <f t="shared" si="12"/>
        <v>-3.266548894187591E-2</v>
      </c>
      <c r="X29" s="48">
        <f t="shared" si="12"/>
        <v>-3.265252256717701E-2</v>
      </c>
      <c r="Y29" s="48">
        <f t="shared" si="12"/>
        <v>-3.3616342049110022E-2</v>
      </c>
      <c r="Z29" s="48">
        <f t="shared" si="12"/>
        <v>-3.4092857150189455E-2</v>
      </c>
      <c r="AA29" s="48">
        <f t="shared" si="12"/>
        <v>-3.3849647501074505E-2</v>
      </c>
      <c r="AB29" s="48">
        <f t="shared" si="12"/>
        <v>-3.4258739903467048E-2</v>
      </c>
    </row>
    <row r="30" spans="3:28" hidden="1" outlineLevel="1" x14ac:dyDescent="0.25"/>
    <row r="31" spans="3:28" hidden="1" outlineLevel="1" x14ac:dyDescent="0.25">
      <c r="C31" s="36" t="s">
        <v>52</v>
      </c>
      <c r="D31" s="49"/>
      <c r="E31" s="49"/>
      <c r="F31" s="49"/>
      <c r="G31" s="49"/>
      <c r="H31" s="49"/>
      <c r="I31" s="49"/>
      <c r="J31" s="49"/>
      <c r="K31" s="49"/>
      <c r="L31" s="49"/>
      <c r="M31" s="49"/>
      <c r="N31" s="49"/>
      <c r="O31" s="49"/>
      <c r="P31" s="48">
        <f t="shared" ref="P31:AB32" si="13">+IFERROR(P11/D11-1,0)</f>
        <v>-0.15661974540674006</v>
      </c>
      <c r="Q31" s="48">
        <f t="shared" si="13"/>
        <v>-0.15661974540674006</v>
      </c>
      <c r="R31" s="48">
        <f t="shared" si="13"/>
        <v>-0.15661974540674006</v>
      </c>
      <c r="S31" s="48">
        <f t="shared" si="13"/>
        <v>0</v>
      </c>
      <c r="T31" s="48">
        <f t="shared" si="13"/>
        <v>0</v>
      </c>
      <c r="U31" s="48">
        <f t="shared" si="13"/>
        <v>0</v>
      </c>
      <c r="V31" s="48">
        <f t="shared" si="13"/>
        <v>0</v>
      </c>
      <c r="W31" s="48">
        <f t="shared" si="13"/>
        <v>0.87210341222317278</v>
      </c>
      <c r="X31" s="48">
        <f t="shared" si="13"/>
        <v>0.87210341222317278</v>
      </c>
      <c r="Y31" s="48">
        <f t="shared" si="13"/>
        <v>0.87210341222317278</v>
      </c>
      <c r="Z31" s="48">
        <f t="shared" si="13"/>
        <v>0.87210341222317278</v>
      </c>
      <c r="AA31" s="48">
        <f t="shared" si="13"/>
        <v>0.87210341222317278</v>
      </c>
      <c r="AB31" s="48">
        <f t="shared" si="13"/>
        <v>0.87210341222317278</v>
      </c>
    </row>
    <row r="32" spans="3:28" hidden="1" outlineLevel="1" x14ac:dyDescent="0.25">
      <c r="C32" s="36" t="s">
        <v>53</v>
      </c>
      <c r="D32" s="49"/>
      <c r="E32" s="49"/>
      <c r="F32" s="49"/>
      <c r="G32" s="49"/>
      <c r="H32" s="49"/>
      <c r="I32" s="49"/>
      <c r="J32" s="49"/>
      <c r="K32" s="49"/>
      <c r="L32" s="49"/>
      <c r="M32" s="49"/>
      <c r="N32" s="49"/>
      <c r="O32" s="49"/>
      <c r="P32" s="48">
        <f t="shared" si="13"/>
        <v>-5.5517326800803679E-2</v>
      </c>
      <c r="Q32" s="48">
        <f t="shared" si="13"/>
        <v>-0.548323625099842</v>
      </c>
      <c r="R32" s="48">
        <f t="shared" si="13"/>
        <v>-0.58879057137051327</v>
      </c>
      <c r="S32" s="48">
        <f t="shared" si="13"/>
        <v>-0.36094404124239043</v>
      </c>
      <c r="T32" s="48">
        <f t="shared" si="13"/>
        <v>-0.29365247339964973</v>
      </c>
      <c r="U32" s="48">
        <f t="shared" si="13"/>
        <v>-0.31130353137551481</v>
      </c>
      <c r="V32" s="48">
        <f t="shared" si="13"/>
        <v>-0.12819936714785873</v>
      </c>
      <c r="W32" s="48">
        <f t="shared" si="13"/>
        <v>-3.9532491486946597E-2</v>
      </c>
      <c r="X32" s="48">
        <f t="shared" si="13"/>
        <v>-3.8397417707150772E-2</v>
      </c>
      <c r="Y32" s="48">
        <f t="shared" si="13"/>
        <v>1.0614215989551119</v>
      </c>
      <c r="Z32" s="48">
        <f t="shared" si="13"/>
        <v>0.50219254816533243</v>
      </c>
      <c r="AA32" s="48">
        <f t="shared" si="13"/>
        <v>0.55389891158491067</v>
      </c>
      <c r="AB32" s="48">
        <f t="shared" si="13"/>
        <v>0.43676050591595228</v>
      </c>
    </row>
    <row r="33" spans="3:28" hidden="1" outlineLevel="1" x14ac:dyDescent="0.25">
      <c r="C33" s="36" t="s">
        <v>54</v>
      </c>
      <c r="D33" s="49"/>
      <c r="E33" s="49"/>
      <c r="F33" s="49"/>
      <c r="G33" s="49"/>
      <c r="H33" s="49"/>
      <c r="I33" s="49"/>
      <c r="J33" s="49"/>
      <c r="K33" s="49"/>
      <c r="L33" s="49"/>
      <c r="M33" s="49"/>
      <c r="N33" s="49"/>
      <c r="O33" s="49"/>
      <c r="P33" s="48">
        <f t="shared" ref="P33:AB33" si="14">+IFERROR(P39/D39-1,0)</f>
        <v>-0.13381632615052252</v>
      </c>
      <c r="Q33" s="48">
        <f t="shared" si="14"/>
        <v>-0.2708102613031651</v>
      </c>
      <c r="R33" s="48">
        <f t="shared" si="14"/>
        <v>-0.28740335753936985</v>
      </c>
      <c r="S33" s="48">
        <f t="shared" si="14"/>
        <v>1.6253450576771908</v>
      </c>
      <c r="T33" s="48">
        <f t="shared" si="14"/>
        <v>1.7968945413964943</v>
      </c>
      <c r="U33" s="48">
        <f t="shared" si="14"/>
        <v>1.5778693512771031</v>
      </c>
      <c r="V33" s="48">
        <f t="shared" si="14"/>
        <v>5.5939822876294283</v>
      </c>
      <c r="W33" s="48">
        <f t="shared" si="14"/>
        <v>0.55401190638266273</v>
      </c>
      <c r="X33" s="48">
        <f t="shared" si="14"/>
        <v>0.55440796069160991</v>
      </c>
      <c r="Y33" s="48">
        <f t="shared" si="14"/>
        <v>0.91311502263521582</v>
      </c>
      <c r="Z33" s="48">
        <f t="shared" si="14"/>
        <v>0.77907895017679718</v>
      </c>
      <c r="AA33" s="48">
        <f t="shared" si="14"/>
        <v>0.79519261955385745</v>
      </c>
      <c r="AB33" s="48">
        <f t="shared" si="14"/>
        <v>0.765036839540151</v>
      </c>
    </row>
    <row r="34" spans="3:28" hidden="1" outlineLevel="1" x14ac:dyDescent="0.25">
      <c r="C34" s="36" t="s">
        <v>55</v>
      </c>
      <c r="D34" s="49"/>
      <c r="E34" s="49"/>
      <c r="F34" s="49"/>
      <c r="G34" s="49"/>
      <c r="H34" s="49"/>
      <c r="I34" s="49"/>
      <c r="J34" s="49"/>
      <c r="K34" s="49"/>
      <c r="L34" s="49"/>
      <c r="M34" s="49"/>
      <c r="N34" s="49"/>
      <c r="O34" s="49"/>
      <c r="P34" s="48">
        <f t="shared" ref="P34:AB34" si="15">+IFERROR(P14/D14-1,0)</f>
        <v>-0.52014992481089373</v>
      </c>
      <c r="Q34" s="48">
        <f t="shared" si="15"/>
        <v>-0.37754755049760824</v>
      </c>
      <c r="R34" s="48">
        <f t="shared" si="15"/>
        <v>-0.37186459255511994</v>
      </c>
      <c r="S34" s="48">
        <f t="shared" si="15"/>
        <v>-0.53137235708692243</v>
      </c>
      <c r="T34" s="48">
        <f t="shared" si="15"/>
        <v>-0.54086158235896165</v>
      </c>
      <c r="U34" s="48">
        <f t="shared" si="15"/>
        <v>-0.63194933958884647</v>
      </c>
      <c r="V34" s="48">
        <f t="shared" si="15"/>
        <v>-0.63580229267316546</v>
      </c>
      <c r="W34" s="48">
        <f t="shared" si="15"/>
        <v>-0.79469534050179214</v>
      </c>
      <c r="X34" s="48">
        <f t="shared" si="15"/>
        <v>-0.85770273385641493</v>
      </c>
      <c r="Y34" s="48">
        <f t="shared" si="15"/>
        <v>-0.61546286876907419</v>
      </c>
      <c r="Z34" s="48">
        <f t="shared" si="15"/>
        <v>-0.61546286876907419</v>
      </c>
      <c r="AA34" s="48">
        <f t="shared" si="15"/>
        <v>-0.40472440944881893</v>
      </c>
      <c r="AB34" s="48">
        <f t="shared" si="15"/>
        <v>-0.40472440944881893</v>
      </c>
    </row>
    <row r="35" spans="3:28" hidden="1" outlineLevel="1" x14ac:dyDescent="0.25">
      <c r="C35" s="36" t="s">
        <v>56</v>
      </c>
      <c r="D35" s="49"/>
      <c r="E35" s="49"/>
      <c r="F35" s="49"/>
      <c r="G35" s="49"/>
      <c r="H35" s="49"/>
      <c r="I35" s="49"/>
      <c r="J35" s="49"/>
      <c r="K35" s="49"/>
      <c r="L35" s="49"/>
      <c r="M35" s="49"/>
      <c r="N35" s="49"/>
      <c r="O35" s="49"/>
      <c r="P35" s="48">
        <f t="shared" ref="P35:AB35" si="16">+IFERROR(P40/D40-1,0)</f>
        <v>-0.60401537307618502</v>
      </c>
      <c r="Q35" s="48">
        <f t="shared" si="16"/>
        <v>-0.44642438190573019</v>
      </c>
      <c r="R35" s="48">
        <f t="shared" si="16"/>
        <v>-0.39831820527609962</v>
      </c>
      <c r="S35" s="48">
        <f t="shared" si="16"/>
        <v>-0.49388922779191824</v>
      </c>
      <c r="T35" s="48">
        <f t="shared" si="16"/>
        <v>-0.51026682771494458</v>
      </c>
      <c r="U35" s="48">
        <f t="shared" si="16"/>
        <v>-0.5574989279330067</v>
      </c>
      <c r="V35" s="48">
        <f t="shared" si="16"/>
        <v>-0.5382960218389129</v>
      </c>
      <c r="W35" s="48">
        <f t="shared" si="16"/>
        <v>-0.64882127253775701</v>
      </c>
      <c r="X35" s="48">
        <f t="shared" si="16"/>
        <v>-0.75445044039201092</v>
      </c>
      <c r="Y35" s="48">
        <f t="shared" si="16"/>
        <v>-0.38006413783942772</v>
      </c>
      <c r="Z35" s="48">
        <f t="shared" si="16"/>
        <v>-0.36004624500216775</v>
      </c>
      <c r="AA35" s="48">
        <f t="shared" si="16"/>
        <v>-4.4003188636857704E-2</v>
      </c>
      <c r="AB35" s="48">
        <f t="shared" si="16"/>
        <v>-1.8882607738051616E-2</v>
      </c>
    </row>
    <row r="36" spans="3:28" collapsed="1" x14ac:dyDescent="0.25"/>
    <row r="37" spans="3:28" x14ac:dyDescent="0.25">
      <c r="C37" s="52" t="s">
        <v>57</v>
      </c>
      <c r="D37" s="53">
        <f t="shared" ref="D37:AB37" si="17">+IFERROR(D15/D10-1,0)</f>
        <v>-6.0604713946860178E-3</v>
      </c>
      <c r="E37" s="53">
        <f t="shared" si="17"/>
        <v>-1.632605447202784E-3</v>
      </c>
      <c r="F37" s="53">
        <f t="shared" si="17"/>
        <v>7.9500697930434683E-3</v>
      </c>
      <c r="G37" s="53">
        <f t="shared" si="17"/>
        <v>-7.069824004676506E-2</v>
      </c>
      <c r="H37" s="53">
        <f t="shared" si="17"/>
        <v>-7.2644519426517395E-2</v>
      </c>
      <c r="I37" s="53">
        <f t="shared" si="17"/>
        <v>-7.816606968414197E-2</v>
      </c>
      <c r="J37" s="53">
        <f t="shared" si="17"/>
        <v>-7.5986227620274738E-2</v>
      </c>
      <c r="K37" s="53">
        <f t="shared" si="17"/>
        <v>-1.0070120659037562E-2</v>
      </c>
      <c r="L37" s="53">
        <f t="shared" si="17"/>
        <v>-4.9611379756324681E-2</v>
      </c>
      <c r="M37" s="53">
        <f t="shared" si="17"/>
        <v>1.589121887287015E-2</v>
      </c>
      <c r="N37" s="53">
        <f t="shared" si="17"/>
        <v>2.0201731561290348E-2</v>
      </c>
      <c r="O37" s="53">
        <f t="shared" si="17"/>
        <v>3.9025782194172187E-2</v>
      </c>
      <c r="P37" s="53">
        <f t="shared" si="17"/>
        <v>3.9914937852096877E-2</v>
      </c>
      <c r="Q37" s="53">
        <f t="shared" si="17"/>
        <v>1.6299893559664325E-2</v>
      </c>
      <c r="R37" s="53">
        <f t="shared" si="17"/>
        <v>1.5784744381170723E-2</v>
      </c>
      <c r="S37" s="53">
        <f t="shared" si="17"/>
        <v>2.6604249917860479E-2</v>
      </c>
      <c r="T37" s="53">
        <f t="shared" si="17"/>
        <v>2.9080529268669997E-2</v>
      </c>
      <c r="U37" s="53">
        <f t="shared" si="17"/>
        <v>3.188920193630973E-2</v>
      </c>
      <c r="V37" s="53">
        <f t="shared" si="17"/>
        <v>0.1471391955780248</v>
      </c>
      <c r="W37" s="53">
        <f t="shared" si="17"/>
        <v>0.10176841032755979</v>
      </c>
      <c r="X37" s="53">
        <f t="shared" si="17"/>
        <v>0.10176239423846822</v>
      </c>
      <c r="Y37" s="53">
        <f t="shared" si="17"/>
        <v>0.10368483541840523</v>
      </c>
      <c r="Z37" s="53">
        <f t="shared" si="17"/>
        <v>9.8915867271171187E-2</v>
      </c>
      <c r="AA37" s="53">
        <f t="shared" si="17"/>
        <v>9.8606376849054822E-2</v>
      </c>
      <c r="AB37" s="53">
        <f t="shared" si="17"/>
        <v>9.6440101273768564E-2</v>
      </c>
    </row>
    <row r="38" spans="3:28" x14ac:dyDescent="0.25">
      <c r="C38" s="50" t="s">
        <v>58</v>
      </c>
      <c r="D38" s="54">
        <f t="shared" ref="D38:AB38" si="18">+D15-D10</f>
        <v>-1309.1999999999825</v>
      </c>
      <c r="E38" s="54">
        <f t="shared" si="18"/>
        <v>-352.67999999999302</v>
      </c>
      <c r="F38" s="54">
        <f t="shared" si="18"/>
        <v>1701.1199999999953</v>
      </c>
      <c r="G38" s="54">
        <f t="shared" si="18"/>
        <v>-16254.600000000006</v>
      </c>
      <c r="H38" s="54">
        <f t="shared" si="18"/>
        <v>-16712.879999999976</v>
      </c>
      <c r="I38" s="54">
        <f t="shared" si="18"/>
        <v>-18003.600000000006</v>
      </c>
      <c r="J38" s="54">
        <f t="shared" si="18"/>
        <v>-17460.24000000002</v>
      </c>
      <c r="K38" s="54">
        <f t="shared" si="18"/>
        <v>-2252.3999999999942</v>
      </c>
      <c r="L38" s="54">
        <f t="shared" si="18"/>
        <v>-11562.960000000021</v>
      </c>
      <c r="M38" s="54">
        <f t="shared" si="18"/>
        <v>3468.7200000000012</v>
      </c>
      <c r="N38" s="54">
        <f t="shared" si="18"/>
        <v>4411.4400000000314</v>
      </c>
      <c r="O38" s="54">
        <f t="shared" si="18"/>
        <v>8370.0000000000291</v>
      </c>
      <c r="P38" s="54">
        <f t="shared" si="18"/>
        <v>8570.2799999999988</v>
      </c>
      <c r="Q38" s="54">
        <f t="shared" si="18"/>
        <v>3515.4000000000233</v>
      </c>
      <c r="R38" s="54">
        <f t="shared" si="18"/>
        <v>3404.4000000000233</v>
      </c>
      <c r="S38" s="54">
        <f t="shared" si="18"/>
        <v>5684.2799999999988</v>
      </c>
      <c r="T38" s="54">
        <f t="shared" si="18"/>
        <v>6204.3600000000151</v>
      </c>
      <c r="U38" s="54">
        <f t="shared" si="18"/>
        <v>6770.7599999999802</v>
      </c>
      <c r="V38" s="54">
        <f t="shared" si="18"/>
        <v>31240.800000000017</v>
      </c>
      <c r="W38" s="54">
        <f t="shared" si="18"/>
        <v>22533.48000000001</v>
      </c>
      <c r="X38" s="54">
        <f t="shared" si="18"/>
        <v>22541.160000000003</v>
      </c>
      <c r="Y38" s="54">
        <f t="shared" si="18"/>
        <v>22991.880000000005</v>
      </c>
      <c r="Z38" s="54">
        <f t="shared" si="18"/>
        <v>22036.559999999998</v>
      </c>
      <c r="AA38" s="54">
        <f t="shared" si="18"/>
        <v>21973.800000000017</v>
      </c>
      <c r="AB38" s="54">
        <f t="shared" si="18"/>
        <v>21533.51999999999</v>
      </c>
    </row>
    <row r="39" spans="3:28" x14ac:dyDescent="0.25">
      <c r="C39" s="50" t="s">
        <v>59</v>
      </c>
      <c r="D39" s="54">
        <f t="shared" ref="D39:AB39" si="19">+SUM(D11:D12)</f>
        <v>19329.48</v>
      </c>
      <c r="E39" s="54">
        <f t="shared" si="19"/>
        <v>21129.48</v>
      </c>
      <c r="F39" s="54">
        <f t="shared" si="19"/>
        <v>21465.72</v>
      </c>
      <c r="G39" s="54">
        <f t="shared" si="19"/>
        <v>6564.12</v>
      </c>
      <c r="H39" s="54">
        <f t="shared" si="19"/>
        <v>6236.76</v>
      </c>
      <c r="I39" s="54">
        <f t="shared" si="19"/>
        <v>6901.5599999999986</v>
      </c>
      <c r="J39" s="54">
        <f t="shared" si="19"/>
        <v>6409.079999999999</v>
      </c>
      <c r="K39" s="54">
        <f t="shared" si="19"/>
        <v>19391.28</v>
      </c>
      <c r="L39" s="54">
        <f t="shared" si="19"/>
        <v>19391.28</v>
      </c>
      <c r="M39" s="54">
        <f t="shared" si="19"/>
        <v>16116.479999999998</v>
      </c>
      <c r="N39" s="54">
        <f t="shared" si="19"/>
        <v>16866.839999999997</v>
      </c>
      <c r="O39" s="54">
        <f t="shared" si="19"/>
        <v>16649.400000000001</v>
      </c>
      <c r="P39" s="54">
        <f t="shared" si="19"/>
        <v>16742.879999999997</v>
      </c>
      <c r="Q39" s="54">
        <f t="shared" si="19"/>
        <v>15407.4</v>
      </c>
      <c r="R39" s="54">
        <f t="shared" si="19"/>
        <v>15296.4</v>
      </c>
      <c r="S39" s="54">
        <f t="shared" si="19"/>
        <v>17233.080000000002</v>
      </c>
      <c r="T39" s="54">
        <f t="shared" si="19"/>
        <v>17443.560000000001</v>
      </c>
      <c r="U39" s="54">
        <f t="shared" si="19"/>
        <v>17791.32</v>
      </c>
      <c r="V39" s="54">
        <f t="shared" si="19"/>
        <v>42261.360000000008</v>
      </c>
      <c r="W39" s="54">
        <f t="shared" si="19"/>
        <v>30134.28</v>
      </c>
      <c r="X39" s="54">
        <f t="shared" si="19"/>
        <v>30141.96</v>
      </c>
      <c r="Y39" s="54">
        <f t="shared" si="19"/>
        <v>30832.68</v>
      </c>
      <c r="Z39" s="54">
        <f t="shared" si="19"/>
        <v>30007.440000000002</v>
      </c>
      <c r="AA39" s="54">
        <f t="shared" si="19"/>
        <v>29888.879999999997</v>
      </c>
      <c r="AB39" s="54">
        <f t="shared" si="19"/>
        <v>29551.8</v>
      </c>
    </row>
    <row r="40" spans="3:28" x14ac:dyDescent="0.25">
      <c r="C40" s="55" t="s">
        <v>60</v>
      </c>
      <c r="D40" s="56">
        <f t="shared" ref="D40:AB40" si="20">+SUM(D13:D14)</f>
        <v>-20638.68</v>
      </c>
      <c r="E40" s="56">
        <f t="shared" si="20"/>
        <v>-21482.16</v>
      </c>
      <c r="F40" s="56">
        <f t="shared" si="20"/>
        <v>-19764.599999999999</v>
      </c>
      <c r="G40" s="56">
        <f t="shared" si="20"/>
        <v>-22818.720000000001</v>
      </c>
      <c r="H40" s="56">
        <f t="shared" si="20"/>
        <v>-22949.640000000003</v>
      </c>
      <c r="I40" s="56">
        <f t="shared" si="20"/>
        <v>-24905.16</v>
      </c>
      <c r="J40" s="56">
        <f t="shared" si="20"/>
        <v>-23869.32</v>
      </c>
      <c r="K40" s="56">
        <f t="shared" si="20"/>
        <v>-21643.68</v>
      </c>
      <c r="L40" s="56">
        <f t="shared" si="20"/>
        <v>-30954.240000000002</v>
      </c>
      <c r="M40" s="56">
        <f t="shared" si="20"/>
        <v>-12647.76</v>
      </c>
      <c r="N40" s="56">
        <f t="shared" si="20"/>
        <v>-12455.4</v>
      </c>
      <c r="O40" s="56">
        <f t="shared" si="20"/>
        <v>-8279.4</v>
      </c>
      <c r="P40" s="56">
        <f t="shared" si="20"/>
        <v>-8172.6</v>
      </c>
      <c r="Q40" s="56">
        <f t="shared" si="20"/>
        <v>-11892</v>
      </c>
      <c r="R40" s="56">
        <f t="shared" si="20"/>
        <v>-11892</v>
      </c>
      <c r="S40" s="56">
        <f t="shared" si="20"/>
        <v>-11548.8</v>
      </c>
      <c r="T40" s="56">
        <f t="shared" si="20"/>
        <v>-11239.2</v>
      </c>
      <c r="U40" s="56">
        <f t="shared" si="20"/>
        <v>-11020.56</v>
      </c>
      <c r="V40" s="56">
        <f t="shared" si="20"/>
        <v>-11020.56</v>
      </c>
      <c r="W40" s="56">
        <f t="shared" si="20"/>
        <v>-7600.7999999999993</v>
      </c>
      <c r="X40" s="56">
        <f t="shared" si="20"/>
        <v>-7600.7999999999993</v>
      </c>
      <c r="Y40" s="56">
        <f t="shared" si="20"/>
        <v>-7840.7999999999993</v>
      </c>
      <c r="Z40" s="56">
        <f t="shared" si="20"/>
        <v>-7970.88</v>
      </c>
      <c r="AA40" s="56">
        <f t="shared" si="20"/>
        <v>-7915.08</v>
      </c>
      <c r="AB40" s="56">
        <f t="shared" si="20"/>
        <v>-8018.28</v>
      </c>
    </row>
    <row r="42" spans="3:28" x14ac:dyDescent="0.25">
      <c r="C42" s="59" t="s">
        <v>61</v>
      </c>
      <c r="D42" s="60">
        <f t="shared" ref="D42:AB42" si="21">+IFERROR((SUM(D10,D13:D14)/D10),0)</f>
        <v>0.90446064026574979</v>
      </c>
      <c r="E42" s="60">
        <f t="shared" si="21"/>
        <v>0.90055605241668935</v>
      </c>
      <c r="F42" s="60">
        <f t="shared" si="21"/>
        <v>0.90763147254068544</v>
      </c>
      <c r="G42" s="60">
        <f t="shared" si="21"/>
        <v>0.90075158145263989</v>
      </c>
      <c r="H42" s="60">
        <f t="shared" si="21"/>
        <v>0.90024666192711356</v>
      </c>
      <c r="I42" s="60">
        <f t="shared" si="21"/>
        <v>0.89186948876587424</v>
      </c>
      <c r="J42" s="60">
        <f t="shared" si="21"/>
        <v>0.89612172669670209</v>
      </c>
      <c r="K42" s="60">
        <f t="shared" si="21"/>
        <v>0.90323456352974629</v>
      </c>
      <c r="L42" s="60">
        <f t="shared" si="21"/>
        <v>0.86718949510260224</v>
      </c>
      <c r="M42" s="60">
        <f t="shared" si="21"/>
        <v>0.94205691943669889</v>
      </c>
      <c r="N42" s="60">
        <f t="shared" si="21"/>
        <v>0.94296178860224922</v>
      </c>
      <c r="O42" s="60">
        <f t="shared" si="21"/>
        <v>0.96139664741954256</v>
      </c>
      <c r="P42" s="60">
        <f t="shared" si="21"/>
        <v>0.96193720379146919</v>
      </c>
      <c r="Q42" s="60">
        <f t="shared" si="21"/>
        <v>0.944860233768127</v>
      </c>
      <c r="R42" s="60">
        <f t="shared" si="21"/>
        <v>0.94486189044152213</v>
      </c>
      <c r="S42" s="60">
        <f t="shared" si="21"/>
        <v>0.94594791927009481</v>
      </c>
      <c r="T42" s="60">
        <f t="shared" si="21"/>
        <v>0.94732061251177646</v>
      </c>
      <c r="U42" s="60">
        <f t="shared" si="21"/>
        <v>0.94809491648039246</v>
      </c>
      <c r="V42" s="60">
        <f t="shared" si="21"/>
        <v>0.94809491648039246</v>
      </c>
      <c r="W42" s="60">
        <f t="shared" si="21"/>
        <v>0.96567235361703052</v>
      </c>
      <c r="X42" s="60">
        <f t="shared" si="21"/>
        <v>0.96568607799564221</v>
      </c>
      <c r="Y42" s="60">
        <f t="shared" si="21"/>
        <v>0.96464090550452464</v>
      </c>
      <c r="Z42" s="60">
        <f t="shared" si="21"/>
        <v>0.96422098058342898</v>
      </c>
      <c r="AA42" s="60">
        <f t="shared" si="21"/>
        <v>0.96448145695007625</v>
      </c>
      <c r="AB42" s="60">
        <f t="shared" si="21"/>
        <v>0.96408930192363196</v>
      </c>
    </row>
    <row r="43" spans="3:28" x14ac:dyDescent="0.25">
      <c r="C43" s="57" t="s">
        <v>62</v>
      </c>
      <c r="D43" s="58">
        <f t="shared" ref="D43:AB43" si="22">+IFERROR((SUM(D10,D14)/D10),0)</f>
        <v>0.92648942611613228</v>
      </c>
      <c r="E43" s="58">
        <f t="shared" si="22"/>
        <v>0.92648942611613228</v>
      </c>
      <c r="F43" s="58">
        <f t="shared" si="22"/>
        <v>0.92018188252224042</v>
      </c>
      <c r="G43" s="58">
        <f t="shared" si="22"/>
        <v>0.91468715422033864</v>
      </c>
      <c r="H43" s="58">
        <f t="shared" si="22"/>
        <v>0.91591118084246859</v>
      </c>
      <c r="I43" s="58">
        <f t="shared" si="22"/>
        <v>0.90982793878215562</v>
      </c>
      <c r="J43" s="58">
        <f t="shared" si="22"/>
        <v>0.90865849856411507</v>
      </c>
      <c r="K43" s="58">
        <f t="shared" si="22"/>
        <v>0.90644766702612223</v>
      </c>
      <c r="L43" s="58">
        <f t="shared" si="22"/>
        <v>0.87046712688749572</v>
      </c>
      <c r="M43" s="58">
        <f t="shared" si="22"/>
        <v>0.94595908063366962</v>
      </c>
      <c r="N43" s="58">
        <f t="shared" si="22"/>
        <v>0.94598144245484939</v>
      </c>
      <c r="O43" s="58">
        <f t="shared" si="22"/>
        <v>0.96447115169419451</v>
      </c>
      <c r="P43" s="58">
        <f t="shared" si="22"/>
        <v>0.9645108647053563</v>
      </c>
      <c r="Q43" s="58">
        <f t="shared" si="22"/>
        <v>0.95416833820095248</v>
      </c>
      <c r="R43" s="58">
        <f t="shared" si="22"/>
        <v>0.95025885979285651</v>
      </c>
      <c r="S43" s="58">
        <f t="shared" si="22"/>
        <v>0.95697849767341292</v>
      </c>
      <c r="T43" s="58">
        <f t="shared" si="22"/>
        <v>0.95836719771643919</v>
      </c>
      <c r="U43" s="58">
        <f t="shared" si="22"/>
        <v>0.96399797665237696</v>
      </c>
      <c r="V43" s="58">
        <f t="shared" si="22"/>
        <v>0.96399797665237696</v>
      </c>
      <c r="W43" s="58">
        <f t="shared" si="22"/>
        <v>0.98059788852999197</v>
      </c>
      <c r="X43" s="58">
        <f t="shared" si="22"/>
        <v>0.98060564559905261</v>
      </c>
      <c r="Y43" s="58">
        <f t="shared" si="22"/>
        <v>0.97954432549848525</v>
      </c>
      <c r="Z43" s="58">
        <f t="shared" si="22"/>
        <v>0.97963918261552474</v>
      </c>
      <c r="AA43" s="58">
        <f t="shared" si="22"/>
        <v>0.9796449168834106</v>
      </c>
      <c r="AB43" s="58">
        <f t="shared" si="22"/>
        <v>0.9796850538426688</v>
      </c>
    </row>
    <row r="44" spans="3:28" x14ac:dyDescent="0.25">
      <c r="C44" s="61" t="s">
        <v>63</v>
      </c>
      <c r="D44" s="62">
        <f t="shared" ref="D44:AB44" si="23">+IFERROR((SUM(D10,D12:D14)/D10),0)</f>
        <v>0.92464239885789834</v>
      </c>
      <c r="E44" s="62">
        <f t="shared" si="23"/>
        <v>0.92907026480538168</v>
      </c>
      <c r="F44" s="62">
        <f t="shared" si="23"/>
        <v>0.93798990426379691</v>
      </c>
      <c r="G44" s="62">
        <f t="shared" si="23"/>
        <v>0.92930175995323494</v>
      </c>
      <c r="H44" s="62">
        <f t="shared" si="23"/>
        <v>0.9273554805734826</v>
      </c>
      <c r="I44" s="62">
        <f t="shared" si="23"/>
        <v>0.92183393031585803</v>
      </c>
      <c r="J44" s="62">
        <f t="shared" si="23"/>
        <v>0.92401377237972526</v>
      </c>
      <c r="K44" s="62">
        <f t="shared" si="23"/>
        <v>0.93348462656859432</v>
      </c>
      <c r="L44" s="62">
        <f t="shared" si="23"/>
        <v>0.89621965384583691</v>
      </c>
      <c r="M44" s="62">
        <f t="shared" si="23"/>
        <v>0.95805149225505104</v>
      </c>
      <c r="N44" s="62">
        <f t="shared" si="23"/>
        <v>0.96238593868921207</v>
      </c>
      <c r="O44" s="62">
        <f t="shared" si="23"/>
        <v>0.98015979589096291</v>
      </c>
      <c r="P44" s="62">
        <f t="shared" si="23"/>
        <v>0.98111475006706605</v>
      </c>
      <c r="Q44" s="62">
        <f t="shared" si="23"/>
        <v>0.95776049088302084</v>
      </c>
      <c r="R44" s="62">
        <f t="shared" si="23"/>
        <v>0.95724710051994522</v>
      </c>
      <c r="S44" s="62">
        <f t="shared" si="23"/>
        <v>0.9655811132234956</v>
      </c>
      <c r="T44" s="62">
        <f t="shared" si="23"/>
        <v>0.96796884008043094</v>
      </c>
      <c r="U44" s="62">
        <f t="shared" si="23"/>
        <v>0.97048116675945051</v>
      </c>
      <c r="V44" s="62">
        <f t="shared" si="23"/>
        <v>0.97441086955907419</v>
      </c>
      <c r="W44" s="62">
        <f t="shared" si="23"/>
        <v>0.99502211190357481</v>
      </c>
      <c r="X44" s="62">
        <f t="shared" si="23"/>
        <v>0.9950587735617028</v>
      </c>
      <c r="Y44" s="62">
        <f t="shared" si="23"/>
        <v>0.99709670122485117</v>
      </c>
      <c r="Z44" s="62">
        <f t="shared" si="23"/>
        <v>0.99282200390302866</v>
      </c>
      <c r="AA44" s="62">
        <f t="shared" si="23"/>
        <v>0.99254239296080315</v>
      </c>
      <c r="AB44" s="62">
        <f t="shared" si="23"/>
        <v>0.99058525855068447</v>
      </c>
    </row>
    <row r="46" spans="3:28" x14ac:dyDescent="0.25">
      <c r="C46" s="38" t="s">
        <v>64</v>
      </c>
      <c r="D46" s="38"/>
      <c r="E46" s="38"/>
      <c r="F46" s="38"/>
      <c r="G46" s="38"/>
      <c r="H46" s="38"/>
      <c r="I46" s="38"/>
      <c r="J46" s="38"/>
      <c r="K46" s="38"/>
      <c r="L46" s="38"/>
      <c r="M46" s="38"/>
      <c r="N46" s="38"/>
      <c r="O46" s="38"/>
      <c r="P46" s="38"/>
      <c r="Q46" s="38"/>
      <c r="R46" s="38"/>
      <c r="S46" s="38"/>
      <c r="T46" s="38"/>
      <c r="U46" s="38"/>
      <c r="V46" s="38"/>
      <c r="W46" s="38"/>
      <c r="X46" s="38"/>
      <c r="Y46" s="38"/>
      <c r="Z46" s="38"/>
      <c r="AA46" s="38"/>
      <c r="AB46" s="38"/>
    </row>
    <row r="48" spans="3:28" x14ac:dyDescent="0.25">
      <c r="C48" s="10" t="s">
        <v>65</v>
      </c>
      <c r="D48" s="43">
        <f>+COUNTIFS('Quikirr Data'!C$4:C$103,"&gt;"&amp;0)</f>
        <v>79</v>
      </c>
      <c r="E48" s="43">
        <f>+COUNTIFS('Quikirr Data'!D$4:D$103,"&gt;"&amp;0)</f>
        <v>79</v>
      </c>
      <c r="F48" s="43">
        <f>+COUNTIFS('Quikirr Data'!E$4:E$103,"&gt;"&amp;0)</f>
        <v>79</v>
      </c>
      <c r="G48" s="43">
        <f>+COUNTIFS('Quikirr Data'!F$4:F$103,"&gt;"&amp;0)</f>
        <v>86</v>
      </c>
      <c r="H48" s="43">
        <f>+COUNTIFS('Quikirr Data'!G$4:G$103,"&gt;"&amp;0)</f>
        <v>86</v>
      </c>
      <c r="I48" s="43">
        <f>+COUNTIFS('Quikirr Data'!H$4:H$103,"&gt;"&amp;0)</f>
        <v>86</v>
      </c>
      <c r="J48" s="43">
        <f>+COUNTIFS('Quikirr Data'!I$4:I$103,"&gt;"&amp;0)</f>
        <v>86</v>
      </c>
      <c r="K48" s="43">
        <f>+COUNTIFS('Quikirr Data'!J$4:J$103,"&gt;"&amp;0)</f>
        <v>86</v>
      </c>
      <c r="L48" s="43">
        <f>+COUNTIFS('Quikirr Data'!K$4:K$103,"&gt;"&amp;0)</f>
        <v>84</v>
      </c>
      <c r="M48" s="43">
        <f>+COUNTIFS('Quikirr Data'!L$4:L$103,"&gt;"&amp;0)</f>
        <v>81</v>
      </c>
      <c r="N48" s="43">
        <f>+COUNTIFS('Quikirr Data'!M$4:M$103,"&gt;"&amp;0)</f>
        <v>81</v>
      </c>
      <c r="O48" s="43">
        <f>+COUNTIFS('Quikirr Data'!N$4:N$103,"&gt;"&amp;0)</f>
        <v>79</v>
      </c>
      <c r="P48" s="43">
        <f>+COUNTIFS('Quikirr Data'!O$4:O$103,"&gt;"&amp;0)</f>
        <v>79</v>
      </c>
      <c r="Q48" s="43">
        <f>+COUNTIFS('Quikirr Data'!P$4:P$103,"&gt;"&amp;0)</f>
        <v>79</v>
      </c>
      <c r="R48" s="43">
        <f>+COUNTIFS('Quikirr Data'!Q$4:Q$103,"&gt;"&amp;0)</f>
        <v>78</v>
      </c>
      <c r="S48" s="43">
        <f>+COUNTIFS('Quikirr Data'!R$4:R$103,"&gt;"&amp;0)</f>
        <v>77</v>
      </c>
      <c r="T48" s="43">
        <f>+COUNTIFS('Quikirr Data'!S$4:S$103,"&gt;"&amp;0)</f>
        <v>77</v>
      </c>
      <c r="U48" s="43">
        <f>+COUNTIFS('Quikirr Data'!T$4:T$103,"&gt;"&amp;0)</f>
        <v>76</v>
      </c>
      <c r="V48" s="43">
        <f>+COUNTIFS('Quikirr Data'!U$4:U$103,"&gt;"&amp;0)</f>
        <v>76</v>
      </c>
      <c r="W48" s="43">
        <f>+COUNTIFS('Quikirr Data'!V$4:V$103,"&gt;"&amp;0)</f>
        <v>80</v>
      </c>
      <c r="X48" s="43">
        <f>+COUNTIFS('Quikirr Data'!W$4:W$103,"&gt;"&amp;0)</f>
        <v>80</v>
      </c>
      <c r="Y48" s="43">
        <f>+COUNTIFS('Quikirr Data'!X$4:X$103,"&gt;"&amp;0)</f>
        <v>80</v>
      </c>
      <c r="Z48" s="43">
        <f>+COUNTIFS('Quikirr Data'!Y$4:Y$103,"&gt;"&amp;0)</f>
        <v>80</v>
      </c>
      <c r="AA48" s="43">
        <f>+COUNTIFS('Quikirr Data'!Z$4:Z$103,"&gt;"&amp;0)</f>
        <v>80</v>
      </c>
      <c r="AB48" s="43">
        <f>+COUNTIFS('Quikirr Data'!AA$4:AA$103,"&gt;"&amp;0)</f>
        <v>80</v>
      </c>
    </row>
    <row r="49" spans="1:28" x14ac:dyDescent="0.25">
      <c r="A49" s="41" t="s">
        <v>75</v>
      </c>
      <c r="C49" s="40" t="s">
        <v>17</v>
      </c>
      <c r="D49" s="43">
        <f>+COUNTIFS('Quikirr Data'!HV$4:HV$103,"&gt;"&amp;0)</f>
        <v>6</v>
      </c>
      <c r="E49" s="43">
        <f>+COUNTIFS('Quikirr Data'!HW$4:HW$103,"&gt;"&amp;0)</f>
        <v>6</v>
      </c>
      <c r="F49" s="43">
        <f>+COUNTIFS('Quikirr Data'!HX$4:HX$103,"&gt;"&amp;0)</f>
        <v>6</v>
      </c>
      <c r="G49" s="43">
        <f>+COUNTIFS('Quikirr Data'!HY$4:HY$103,"&gt;"&amp;0)</f>
        <v>0</v>
      </c>
      <c r="H49" s="43">
        <f>+COUNTIFS('Quikirr Data'!HZ$4:HZ$103,"&gt;"&amp;0)</f>
        <v>0</v>
      </c>
      <c r="I49" s="43">
        <f>+COUNTIFS('Quikirr Data'!IA$4:IA$103,"&gt;"&amp;0)</f>
        <v>0</v>
      </c>
      <c r="J49" s="43">
        <f>+COUNTIFS('Quikirr Data'!IB$4:IB$103,"&gt;"&amp;0)</f>
        <v>0</v>
      </c>
      <c r="K49" s="43">
        <f>+COUNTIFS('Quikirr Data'!IC$4:IC$103,"&gt;"&amp;0)</f>
        <v>5</v>
      </c>
      <c r="L49" s="43">
        <f>+COUNTIFS('Quikirr Data'!ID$4:ID$103,"&gt;"&amp;0)</f>
        <v>5</v>
      </c>
      <c r="M49" s="43">
        <f>+COUNTIFS('Quikirr Data'!IE$4:IE$103,"&gt;"&amp;0)</f>
        <v>5</v>
      </c>
      <c r="N49" s="43">
        <f>+COUNTIFS('Quikirr Data'!IF$4:IF$103,"&gt;"&amp;0)</f>
        <v>5</v>
      </c>
      <c r="O49" s="43">
        <f>+COUNTIFS('Quikirr Data'!IG$4:IG$103,"&gt;"&amp;0)</f>
        <v>5</v>
      </c>
      <c r="P49" s="43">
        <f>+COUNTIFS('Quikirr Data'!IH$4:IH$103,"&gt;"&amp;0)</f>
        <v>5</v>
      </c>
      <c r="Q49" s="43">
        <f>+COUNTIFS('Quikirr Data'!II$4:II$103,"&gt;"&amp;0)</f>
        <v>5</v>
      </c>
      <c r="R49" s="43">
        <f>+COUNTIFS('Quikirr Data'!IJ$4:IJ$103,"&gt;"&amp;0)</f>
        <v>5</v>
      </c>
      <c r="S49" s="43">
        <f>+COUNTIFS('Quikirr Data'!IK$4:IK$103,"&gt;"&amp;0)</f>
        <v>5</v>
      </c>
      <c r="T49" s="43">
        <f>+COUNTIFS('Quikirr Data'!IL$4:IL$103,"&gt;"&amp;0)</f>
        <v>5</v>
      </c>
      <c r="U49" s="43">
        <f>+COUNTIFS('Quikirr Data'!IM$4:IM$103,"&gt;"&amp;0)</f>
        <v>5</v>
      </c>
      <c r="V49" s="43">
        <f>+COUNTIFS('Quikirr Data'!IN$4:IN$103,"&gt;"&amp;0)</f>
        <v>12</v>
      </c>
      <c r="W49" s="43">
        <f>+COUNTIFS('Quikirr Data'!IO$4:IO$103,"&gt;"&amp;0)</f>
        <v>7</v>
      </c>
      <c r="X49" s="43">
        <f>+COUNTIFS('Quikirr Data'!IP$4:IP$103,"&gt;"&amp;0)</f>
        <v>7</v>
      </c>
      <c r="Y49" s="43">
        <f>+COUNTIFS('Quikirr Data'!IQ$4:IQ$103,"&gt;"&amp;0)</f>
        <v>7</v>
      </c>
      <c r="Z49" s="43">
        <f>+COUNTIFS('Quikirr Data'!IR$4:IR$103,"&gt;"&amp;0)</f>
        <v>7</v>
      </c>
      <c r="AA49" s="43">
        <f>+COUNTIFS('Quikirr Data'!IS$4:IS$103,"&gt;"&amp;0)</f>
        <v>7</v>
      </c>
      <c r="AB49" s="43">
        <f>+COUNTIFS('Quikirr Data'!IT$4:IT$103,"&gt;"&amp;0)</f>
        <v>7</v>
      </c>
    </row>
    <row r="50" spans="1:28" x14ac:dyDescent="0.25">
      <c r="A50" s="41" t="s">
        <v>78</v>
      </c>
      <c r="C50" s="40" t="s">
        <v>38</v>
      </c>
      <c r="D50" s="43">
        <f>+COUNTIFS('Quikirr Data'!IV$4:IV$103,"&lt;"&amp;0)*-1</f>
        <v>-6</v>
      </c>
      <c r="E50" s="43">
        <f>+COUNTIFS('Quikirr Data'!IW$4:IW$103,"&lt;"&amp;0)*-1</f>
        <v>-6</v>
      </c>
      <c r="F50" s="43">
        <f>+COUNTIFS('Quikirr Data'!IX$4:IX$103,"&lt;"&amp;0)*-1</f>
        <v>-7</v>
      </c>
      <c r="G50" s="43">
        <f>+COUNTIFS('Quikirr Data'!IY$4:IY$103,"&lt;"&amp;0)*-1</f>
        <v>-9</v>
      </c>
      <c r="H50" s="43">
        <f>+COUNTIFS('Quikirr Data'!IZ$4:IZ$103,"&lt;"&amp;0)*-1</f>
        <v>-9</v>
      </c>
      <c r="I50" s="43">
        <f>+COUNTIFS('Quikirr Data'!JA$4:JA$103,"&lt;"&amp;0)*-1</f>
        <v>-10</v>
      </c>
      <c r="J50" s="43">
        <f>+COUNTIFS('Quikirr Data'!JB$4:JB$103,"&lt;"&amp;0)*-1</f>
        <v>-10</v>
      </c>
      <c r="K50" s="43">
        <f>+COUNTIFS('Quikirr Data'!JC$4:JC$103,"&lt;"&amp;0)*-1</f>
        <v>-11</v>
      </c>
      <c r="L50" s="43">
        <f>+COUNTIFS('Quikirr Data'!JD$4:JD$103,"&lt;"&amp;0)*-1</f>
        <v>-9</v>
      </c>
      <c r="M50" s="43">
        <f>+COUNTIFS('Quikirr Data'!JE$4:JE$103,"&lt;"&amp;0)*-1</f>
        <v>-6</v>
      </c>
      <c r="N50" s="43">
        <f>+COUNTIFS('Quikirr Data'!JF$4:JF$103,"&lt;"&amp;0)*-1</f>
        <v>-6</v>
      </c>
      <c r="O50" s="43">
        <f>+COUNTIFS('Quikirr Data'!JG$4:JG$103,"&lt;"&amp;0)*-1</f>
        <v>-4</v>
      </c>
      <c r="P50" s="43">
        <f>+COUNTIFS('Quikirr Data'!JH$4:JH$103,"&lt;"&amp;0)*-1</f>
        <v>-4</v>
      </c>
      <c r="Q50" s="43">
        <f>+COUNTIFS('Quikirr Data'!JI$4:JI$103,"&lt;"&amp;0)*-1</f>
        <v>-5</v>
      </c>
      <c r="R50" s="43">
        <f>+COUNTIFS('Quikirr Data'!JJ$4:JJ$103,"&lt;"&amp;0)*-1</f>
        <v>-5</v>
      </c>
      <c r="S50" s="43">
        <f>+COUNTIFS('Quikirr Data'!JK$4:JK$103,"&lt;"&amp;0)*-1</f>
        <v>-4</v>
      </c>
      <c r="T50" s="43">
        <f>+COUNTIFS('Quikirr Data'!JL$4:JL$103,"&lt;"&amp;0)*-1</f>
        <v>-4</v>
      </c>
      <c r="U50" s="43">
        <f>+COUNTIFS('Quikirr Data'!JM$4:JM$103,"&lt;"&amp;0)*-1</f>
        <v>-3</v>
      </c>
      <c r="V50" s="43">
        <f>+COUNTIFS('Quikirr Data'!JN$4:JN$103,"&lt;"&amp;0)*-1</f>
        <v>-3</v>
      </c>
      <c r="W50" s="43">
        <f>+COUNTIFS('Quikirr Data'!JO$4:JO$103,"&lt;"&amp;0)*-1</f>
        <v>-2</v>
      </c>
      <c r="X50" s="43">
        <f>+COUNTIFS('Quikirr Data'!JP$4:JP$103,"&lt;"&amp;0)*-1</f>
        <v>-2</v>
      </c>
      <c r="Y50" s="43">
        <f>+COUNTIFS('Quikirr Data'!JQ$4:JQ$103,"&lt;"&amp;0)*-1</f>
        <v>-2</v>
      </c>
      <c r="Z50" s="43">
        <f>+COUNTIFS('Quikirr Data'!JR$4:JR$103,"&lt;"&amp;0)*-1</f>
        <v>-2</v>
      </c>
      <c r="AA50" s="43">
        <f>+COUNTIFS('Quikirr Data'!JS$4:JS$103,"&lt;"&amp;0)*-1</f>
        <v>-2</v>
      </c>
      <c r="AB50" s="43">
        <f>+COUNTIFS('Quikirr Data'!JT$4:JT$103,"&lt;"&amp;0)*-1</f>
        <v>-2</v>
      </c>
    </row>
    <row r="51" spans="1:28" x14ac:dyDescent="0.25">
      <c r="C51" s="45" t="s">
        <v>66</v>
      </c>
      <c r="D51" s="69">
        <f t="shared" ref="D51:AB51" si="24">+SUM(D48:D50)</f>
        <v>79</v>
      </c>
      <c r="E51" s="69">
        <f t="shared" si="24"/>
        <v>79</v>
      </c>
      <c r="F51" s="69">
        <f t="shared" si="24"/>
        <v>78</v>
      </c>
      <c r="G51" s="69">
        <f t="shared" si="24"/>
        <v>77</v>
      </c>
      <c r="H51" s="69">
        <f t="shared" si="24"/>
        <v>77</v>
      </c>
      <c r="I51" s="69">
        <f t="shared" si="24"/>
        <v>76</v>
      </c>
      <c r="J51" s="69">
        <f t="shared" si="24"/>
        <v>76</v>
      </c>
      <c r="K51" s="69">
        <f t="shared" si="24"/>
        <v>80</v>
      </c>
      <c r="L51" s="69">
        <f t="shared" si="24"/>
        <v>80</v>
      </c>
      <c r="M51" s="69">
        <f t="shared" si="24"/>
        <v>80</v>
      </c>
      <c r="N51" s="69">
        <f t="shared" si="24"/>
        <v>80</v>
      </c>
      <c r="O51" s="69">
        <f t="shared" si="24"/>
        <v>80</v>
      </c>
      <c r="P51" s="69">
        <f t="shared" si="24"/>
        <v>80</v>
      </c>
      <c r="Q51" s="69">
        <f t="shared" si="24"/>
        <v>79</v>
      </c>
      <c r="R51" s="69">
        <f t="shared" si="24"/>
        <v>78</v>
      </c>
      <c r="S51" s="69">
        <f t="shared" si="24"/>
        <v>78</v>
      </c>
      <c r="T51" s="69">
        <f t="shared" si="24"/>
        <v>78</v>
      </c>
      <c r="U51" s="69">
        <f t="shared" si="24"/>
        <v>78</v>
      </c>
      <c r="V51" s="69">
        <f t="shared" si="24"/>
        <v>85</v>
      </c>
      <c r="W51" s="69">
        <f t="shared" si="24"/>
        <v>85</v>
      </c>
      <c r="X51" s="69">
        <f t="shared" si="24"/>
        <v>85</v>
      </c>
      <c r="Y51" s="69">
        <f t="shared" si="24"/>
        <v>85</v>
      </c>
      <c r="Z51" s="69">
        <f t="shared" si="24"/>
        <v>85</v>
      </c>
      <c r="AA51" s="69">
        <f t="shared" si="24"/>
        <v>85</v>
      </c>
      <c r="AB51" s="69">
        <f t="shared" si="24"/>
        <v>85</v>
      </c>
    </row>
    <row r="53" spans="1:28" x14ac:dyDescent="0.25">
      <c r="C53" s="52" t="s">
        <v>67</v>
      </c>
      <c r="D53" s="70">
        <f t="shared" ref="D53:AB53" si="25">+SUM(D49:D50)</f>
        <v>0</v>
      </c>
      <c r="E53" s="70">
        <f t="shared" si="25"/>
        <v>0</v>
      </c>
      <c r="F53" s="70">
        <f t="shared" si="25"/>
        <v>-1</v>
      </c>
      <c r="G53" s="70">
        <f t="shared" si="25"/>
        <v>-9</v>
      </c>
      <c r="H53" s="70">
        <f t="shared" si="25"/>
        <v>-9</v>
      </c>
      <c r="I53" s="70">
        <f t="shared" si="25"/>
        <v>-10</v>
      </c>
      <c r="J53" s="70">
        <f t="shared" si="25"/>
        <v>-10</v>
      </c>
      <c r="K53" s="70">
        <f t="shared" si="25"/>
        <v>-6</v>
      </c>
      <c r="L53" s="70">
        <f t="shared" si="25"/>
        <v>-4</v>
      </c>
      <c r="M53" s="70">
        <f t="shared" si="25"/>
        <v>-1</v>
      </c>
      <c r="N53" s="70">
        <f t="shared" si="25"/>
        <v>-1</v>
      </c>
      <c r="O53" s="70">
        <f t="shared" si="25"/>
        <v>1</v>
      </c>
      <c r="P53" s="70">
        <f t="shared" si="25"/>
        <v>1</v>
      </c>
      <c r="Q53" s="70">
        <f t="shared" si="25"/>
        <v>0</v>
      </c>
      <c r="R53" s="70">
        <f t="shared" si="25"/>
        <v>0</v>
      </c>
      <c r="S53" s="70">
        <f t="shared" si="25"/>
        <v>1</v>
      </c>
      <c r="T53" s="70">
        <f t="shared" si="25"/>
        <v>1</v>
      </c>
      <c r="U53" s="70">
        <f t="shared" si="25"/>
        <v>2</v>
      </c>
      <c r="V53" s="70">
        <f t="shared" si="25"/>
        <v>9</v>
      </c>
      <c r="W53" s="70">
        <f t="shared" si="25"/>
        <v>5</v>
      </c>
      <c r="X53" s="70">
        <f t="shared" si="25"/>
        <v>5</v>
      </c>
      <c r="Y53" s="70">
        <f t="shared" si="25"/>
        <v>5</v>
      </c>
      <c r="Z53" s="70">
        <f t="shared" si="25"/>
        <v>5</v>
      </c>
      <c r="AA53" s="70">
        <f t="shared" si="25"/>
        <v>5</v>
      </c>
      <c r="AB53" s="70">
        <f t="shared" si="25"/>
        <v>5</v>
      </c>
    </row>
    <row r="54" spans="1:28" x14ac:dyDescent="0.25">
      <c r="C54" s="55" t="s">
        <v>68</v>
      </c>
      <c r="D54" s="71">
        <f t="shared" ref="D54:AB54" si="26">+IFERROR(D51/D48-1,0)</f>
        <v>0</v>
      </c>
      <c r="E54" s="71">
        <f t="shared" si="26"/>
        <v>0</v>
      </c>
      <c r="F54" s="71">
        <f t="shared" si="26"/>
        <v>-1.2658227848101222E-2</v>
      </c>
      <c r="G54" s="71">
        <f t="shared" si="26"/>
        <v>-0.10465116279069764</v>
      </c>
      <c r="H54" s="71">
        <f t="shared" si="26"/>
        <v>-0.10465116279069764</v>
      </c>
      <c r="I54" s="71">
        <f t="shared" si="26"/>
        <v>-0.11627906976744184</v>
      </c>
      <c r="J54" s="71">
        <f t="shared" si="26"/>
        <v>-0.11627906976744184</v>
      </c>
      <c r="K54" s="71">
        <f t="shared" si="26"/>
        <v>-6.9767441860465129E-2</v>
      </c>
      <c r="L54" s="71">
        <f t="shared" si="26"/>
        <v>-4.7619047619047672E-2</v>
      </c>
      <c r="M54" s="71">
        <f t="shared" si="26"/>
        <v>-1.2345679012345734E-2</v>
      </c>
      <c r="N54" s="71">
        <f t="shared" si="26"/>
        <v>-1.2345679012345734E-2</v>
      </c>
      <c r="O54" s="71">
        <f t="shared" si="26"/>
        <v>1.2658227848101333E-2</v>
      </c>
      <c r="P54" s="71">
        <f t="shared" si="26"/>
        <v>1.2658227848101333E-2</v>
      </c>
      <c r="Q54" s="71">
        <f t="shared" si="26"/>
        <v>0</v>
      </c>
      <c r="R54" s="71">
        <f t="shared" si="26"/>
        <v>0</v>
      </c>
      <c r="S54" s="71">
        <f t="shared" si="26"/>
        <v>1.298701298701288E-2</v>
      </c>
      <c r="T54" s="71">
        <f t="shared" si="26"/>
        <v>1.298701298701288E-2</v>
      </c>
      <c r="U54" s="71">
        <f t="shared" si="26"/>
        <v>2.6315789473684292E-2</v>
      </c>
      <c r="V54" s="71">
        <f t="shared" si="26"/>
        <v>0.11842105263157898</v>
      </c>
      <c r="W54" s="71">
        <f t="shared" si="26"/>
        <v>6.25E-2</v>
      </c>
      <c r="X54" s="71">
        <f t="shared" si="26"/>
        <v>6.25E-2</v>
      </c>
      <c r="Y54" s="71">
        <f t="shared" si="26"/>
        <v>6.25E-2</v>
      </c>
      <c r="Z54" s="71">
        <f t="shared" si="26"/>
        <v>6.25E-2</v>
      </c>
      <c r="AA54" s="71">
        <f t="shared" si="26"/>
        <v>6.25E-2</v>
      </c>
      <c r="AB54" s="71">
        <f t="shared" si="26"/>
        <v>6.25E-2</v>
      </c>
    </row>
    <row r="56" spans="1:28" x14ac:dyDescent="0.25">
      <c r="C56" s="72" t="s">
        <v>69</v>
      </c>
      <c r="D56" s="73">
        <f t="shared" ref="D56:AB56" si="27">+IFERROR((D50/D48+1),0)</f>
        <v>0.92405063291139244</v>
      </c>
      <c r="E56" s="73">
        <f t="shared" si="27"/>
        <v>0.92405063291139244</v>
      </c>
      <c r="F56" s="73">
        <f t="shared" si="27"/>
        <v>0.91139240506329111</v>
      </c>
      <c r="G56" s="73">
        <f t="shared" si="27"/>
        <v>0.89534883720930236</v>
      </c>
      <c r="H56" s="73">
        <f t="shared" si="27"/>
        <v>0.89534883720930236</v>
      </c>
      <c r="I56" s="73">
        <f t="shared" si="27"/>
        <v>0.88372093023255816</v>
      </c>
      <c r="J56" s="73">
        <f t="shared" si="27"/>
        <v>0.88372093023255816</v>
      </c>
      <c r="K56" s="73">
        <f t="shared" si="27"/>
        <v>0.87209302325581395</v>
      </c>
      <c r="L56" s="73">
        <f t="shared" si="27"/>
        <v>0.8928571428571429</v>
      </c>
      <c r="M56" s="73">
        <f t="shared" si="27"/>
        <v>0.92592592592592593</v>
      </c>
      <c r="N56" s="73">
        <f t="shared" si="27"/>
        <v>0.92592592592592593</v>
      </c>
      <c r="O56" s="73">
        <f t="shared" si="27"/>
        <v>0.94936708860759489</v>
      </c>
      <c r="P56" s="73">
        <f t="shared" si="27"/>
        <v>0.94936708860759489</v>
      </c>
      <c r="Q56" s="73">
        <f t="shared" si="27"/>
        <v>0.93670886075949367</v>
      </c>
      <c r="R56" s="73">
        <f t="shared" si="27"/>
        <v>0.9358974358974359</v>
      </c>
      <c r="S56" s="73">
        <f t="shared" si="27"/>
        <v>0.94805194805194803</v>
      </c>
      <c r="T56" s="73">
        <f t="shared" si="27"/>
        <v>0.94805194805194803</v>
      </c>
      <c r="U56" s="73">
        <f t="shared" si="27"/>
        <v>0.96052631578947367</v>
      </c>
      <c r="V56" s="73">
        <f t="shared" si="27"/>
        <v>0.96052631578947367</v>
      </c>
      <c r="W56" s="73">
        <f t="shared" si="27"/>
        <v>0.97499999999999998</v>
      </c>
      <c r="X56" s="73">
        <f t="shared" si="27"/>
        <v>0.97499999999999998</v>
      </c>
      <c r="Y56" s="73">
        <f t="shared" si="27"/>
        <v>0.97499999999999998</v>
      </c>
      <c r="Z56" s="73">
        <f t="shared" si="27"/>
        <v>0.97499999999999998</v>
      </c>
      <c r="AA56" s="73">
        <f t="shared" si="27"/>
        <v>0.97499999999999998</v>
      </c>
      <c r="AB56" s="73">
        <f t="shared" si="27"/>
        <v>0.97499999999999998</v>
      </c>
    </row>
    <row r="58" spans="1:28" x14ac:dyDescent="0.25">
      <c r="C58" s="10" t="str">
        <f>"Avg. Logo Size ("&amp;ToC!$E$12&amp;" Actuals)"</f>
        <v>Avg. Logo Size ($ Actuals)</v>
      </c>
      <c r="D58" s="42">
        <f>+IFERROR(D15*ToC!$E$10/D51,0)</f>
        <v>2717.8936708860765</v>
      </c>
      <c r="E58" s="42">
        <f>+IFERROR(E15*ToC!$E$10/E51,0)</f>
        <v>2730.001518987342</v>
      </c>
      <c r="F58" s="42">
        <f>+IFERROR(F15*ToC!$E$10/F51,0)</f>
        <v>2765.0846153846151</v>
      </c>
      <c r="G58" s="42">
        <f>+IFERROR(G15*ToC!$E$10/G51,0)</f>
        <v>2774.8129870129869</v>
      </c>
      <c r="H58" s="42">
        <f>+IFERROR(H15*ToC!$E$10/H51,0)</f>
        <v>2770.7922077922076</v>
      </c>
      <c r="I58" s="42">
        <f>+IFERROR(I15*ToC!$E$10/I51,0)</f>
        <v>2793.7026315789467</v>
      </c>
      <c r="J58" s="42">
        <f>+IFERROR(J15*ToC!$E$10/J51,0)</f>
        <v>2793.7026315789471</v>
      </c>
      <c r="K58" s="42">
        <f>+IFERROR(K15*ToC!$E$10/K51,0)</f>
        <v>2767.74</v>
      </c>
      <c r="L58" s="42">
        <f>+IFERROR(L15*ToC!$E$10/L51,0)</f>
        <v>2768.8469999999993</v>
      </c>
      <c r="M58" s="42">
        <f>+IFERROR(M15*ToC!$E$10/M51,0)</f>
        <v>2771.8469999999988</v>
      </c>
      <c r="N58" s="42">
        <f>+IFERROR(N15*ToC!$E$10/N51,0)</f>
        <v>2784.7604999999999</v>
      </c>
      <c r="O58" s="42">
        <f>+IFERROR(O15*ToC!$E$10/O51,0)</f>
        <v>2785.5449999999996</v>
      </c>
      <c r="P58" s="42">
        <f>+IFERROR(P15*ToC!$E$10/P51,0)</f>
        <v>2791.0484999999994</v>
      </c>
      <c r="Q58" s="42">
        <f>+IFERROR(Q15*ToC!$E$10/Q51,0)</f>
        <v>2774.5002531645573</v>
      </c>
      <c r="R58" s="42">
        <f>+IFERROR(R15*ToC!$E$10/R51,0)</f>
        <v>2808.7307692307691</v>
      </c>
      <c r="S58" s="42">
        <f>+IFERROR(S15*ToC!$E$10/S51,0)</f>
        <v>2812.1138461538453</v>
      </c>
      <c r="T58" s="42">
        <f>+IFERROR(T15*ToC!$E$10/T51,0)</f>
        <v>2814.812307692308</v>
      </c>
      <c r="U58" s="42">
        <f>+IFERROR(U15*ToC!$E$10/U51,0)</f>
        <v>2808.8738461538455</v>
      </c>
      <c r="V58" s="42">
        <f>+IFERROR(V15*ToC!$E$10/V51,0)</f>
        <v>2865.4376470588231</v>
      </c>
      <c r="W58" s="42">
        <f>+IFERROR(W15*ToC!$E$10/W51,0)</f>
        <v>2870.0315294117645</v>
      </c>
      <c r="X58" s="42">
        <f>+IFERROR(X15*ToC!$E$10/X51,0)</f>
        <v>2871.163764705881</v>
      </c>
      <c r="Y58" s="42">
        <f>+IFERROR(Y15*ToC!$E$10/Y51,0)</f>
        <v>2879.2898823529399</v>
      </c>
      <c r="Z58" s="42">
        <f>+IFERROR(Z15*ToC!$E$10/Z51,0)</f>
        <v>2880.2047058823518</v>
      </c>
      <c r="AA58" s="42">
        <f>+IFERROR(AA15*ToC!$E$10/AA51,0)</f>
        <v>2880.2047058823528</v>
      </c>
      <c r="AB58" s="42">
        <f>+IFERROR(AB15*ToC!$E$10/AB51,0)</f>
        <v>2880.2047058823528</v>
      </c>
    </row>
    <row r="59" spans="1:28" x14ac:dyDescent="0.25">
      <c r="C59" s="36" t="s">
        <v>70</v>
      </c>
      <c r="D59" s="74" t="str">
        <f>""</f>
        <v/>
      </c>
      <c r="E59" s="74" t="str">
        <f>""</f>
        <v/>
      </c>
      <c r="F59" s="74" t="str">
        <f>""</f>
        <v/>
      </c>
      <c r="G59" s="74" t="str">
        <f>""</f>
        <v/>
      </c>
      <c r="H59" s="74" t="str">
        <f>""</f>
        <v/>
      </c>
      <c r="I59" s="74" t="str">
        <f>""</f>
        <v/>
      </c>
      <c r="J59" s="74" t="str">
        <f>""</f>
        <v/>
      </c>
      <c r="K59" s="74" t="str">
        <f>""</f>
        <v/>
      </c>
      <c r="L59" s="74" t="str">
        <f>""</f>
        <v/>
      </c>
      <c r="M59" s="74" t="str">
        <f>""</f>
        <v/>
      </c>
      <c r="N59" s="74" t="str">
        <f>""</f>
        <v/>
      </c>
      <c r="O59" s="74" t="str">
        <f>""</f>
        <v/>
      </c>
      <c r="P59" s="48">
        <f t="shared" ref="P59:AB59" si="28">+IFERROR(P58/D58-1,0)</f>
        <v>2.6916001128945322E-2</v>
      </c>
      <c r="Q59" s="48">
        <f t="shared" si="28"/>
        <v>1.6299893559664103E-2</v>
      </c>
      <c r="R59" s="48">
        <f t="shared" si="28"/>
        <v>1.5784744381170723E-2</v>
      </c>
      <c r="S59" s="48">
        <f t="shared" si="28"/>
        <v>1.344265697019531E-2</v>
      </c>
      <c r="T59" s="48">
        <f t="shared" si="28"/>
        <v>1.5887189149841108E-2</v>
      </c>
      <c r="U59" s="48">
        <f t="shared" si="28"/>
        <v>5.4305044507634292E-3</v>
      </c>
      <c r="V59" s="48">
        <f t="shared" si="28"/>
        <v>2.5677398399174933E-2</v>
      </c>
      <c r="W59" s="48">
        <f t="shared" si="28"/>
        <v>3.695850383770316E-2</v>
      </c>
      <c r="X59" s="48">
        <f t="shared" si="28"/>
        <v>3.6952841636205269E-2</v>
      </c>
      <c r="Y59" s="48">
        <f t="shared" si="28"/>
        <v>3.8762198040851903E-2</v>
      </c>
      <c r="Z59" s="48">
        <f t="shared" si="28"/>
        <v>3.4273757431690033E-2</v>
      </c>
      <c r="AA59" s="48">
        <f t="shared" si="28"/>
        <v>3.3982472328522029E-2</v>
      </c>
      <c r="AB59" s="48">
        <f t="shared" si="28"/>
        <v>3.1943624728252962E-2</v>
      </c>
    </row>
    <row r="61" spans="1:28" x14ac:dyDescent="0.25">
      <c r="C61" s="10" t="str">
        <f>"Avg. New Logo Size ("&amp;ToC!$E$12&amp;" Actuals)"</f>
        <v>Avg. New Logo Size ($ Actuals)</v>
      </c>
      <c r="D61" s="42">
        <f>+IFERROR(D11*ToC!$E$10/D49,0)</f>
        <v>2494.96</v>
      </c>
      <c r="E61" s="42">
        <f>+IFERROR(E11*ToC!$E$10/E49,0)</f>
        <v>2494.96</v>
      </c>
      <c r="F61" s="42">
        <f>+IFERROR(F11*ToC!$E$10/F49,0)</f>
        <v>2494.96</v>
      </c>
      <c r="G61" s="42">
        <f>+IFERROR(G11*ToC!$E$10/G49,0)</f>
        <v>0</v>
      </c>
      <c r="H61" s="42">
        <f>+IFERROR(H11*ToC!$E$10/H49,0)</f>
        <v>0</v>
      </c>
      <c r="I61" s="42">
        <f>+IFERROR(I11*ToC!$E$10/I49,0)</f>
        <v>0</v>
      </c>
      <c r="J61" s="42">
        <f>+IFERROR(J11*ToC!$E$10/J49,0)</f>
        <v>0</v>
      </c>
      <c r="K61" s="42">
        <f>+IFERROR(K11*ToC!$E$10/K49,0)</f>
        <v>2525.04</v>
      </c>
      <c r="L61" s="42">
        <f>+IFERROR(L11*ToC!$E$10/L49,0)</f>
        <v>2525.04</v>
      </c>
      <c r="M61" s="42">
        <f>+IFERROR(M11*ToC!$E$10/M49,0)</f>
        <v>2525.04</v>
      </c>
      <c r="N61" s="42">
        <f>+IFERROR(N11*ToC!$E$10/N49,0)</f>
        <v>2525.04</v>
      </c>
      <c r="O61" s="42">
        <f>+IFERROR(O11*ToC!$E$10/O49,0)</f>
        <v>2525.04</v>
      </c>
      <c r="P61" s="42">
        <f>+IFERROR(P11*ToC!$E$10/P49,0)</f>
        <v>2525.04</v>
      </c>
      <c r="Q61" s="42">
        <f>+IFERROR(Q11*ToC!$E$10/Q49,0)</f>
        <v>2525.04</v>
      </c>
      <c r="R61" s="42">
        <f>+IFERROR(R11*ToC!$E$10/R49,0)</f>
        <v>2525.04</v>
      </c>
      <c r="S61" s="42">
        <f>+IFERROR(S11*ToC!$E$10/S49,0)</f>
        <v>2607.6480000000001</v>
      </c>
      <c r="T61" s="42">
        <f>+IFERROR(T11*ToC!$E$10/T49,0)</f>
        <v>2607.6480000000001</v>
      </c>
      <c r="U61" s="42">
        <f>+IFERROR(U11*ToC!$E$10/U49,0)</f>
        <v>2607.6480000000001</v>
      </c>
      <c r="V61" s="42">
        <f>+IFERROR(V11*ToC!$E$10/V49,0)</f>
        <v>3056.1600000000003</v>
      </c>
      <c r="W61" s="42">
        <f>+IFERROR(W11*ToC!$E$10/W49,0)</f>
        <v>3376.5257142857145</v>
      </c>
      <c r="X61" s="42">
        <f>+IFERROR(X11*ToC!$E$10/X49,0)</f>
        <v>3376.5257142857145</v>
      </c>
      <c r="Y61" s="42">
        <f>+IFERROR(Y11*ToC!$E$10/Y49,0)</f>
        <v>3376.5257142857145</v>
      </c>
      <c r="Z61" s="42">
        <f>+IFERROR(Z11*ToC!$E$10/Z49,0)</f>
        <v>3376.5257142857145</v>
      </c>
      <c r="AA61" s="42">
        <f>+IFERROR(AA11*ToC!$E$10/AA49,0)</f>
        <v>3376.5257142857145</v>
      </c>
      <c r="AB61" s="42">
        <f>+IFERROR(AB11*ToC!$E$10/AB49,0)</f>
        <v>3376.5257142857145</v>
      </c>
    </row>
    <row r="62" spans="1:28" x14ac:dyDescent="0.25">
      <c r="C62" s="36" t="s">
        <v>71</v>
      </c>
      <c r="D62" s="74" t="str">
        <f>""</f>
        <v/>
      </c>
      <c r="E62" s="74" t="str">
        <f>""</f>
        <v/>
      </c>
      <c r="F62" s="74" t="str">
        <f>""</f>
        <v/>
      </c>
      <c r="G62" s="74" t="str">
        <f>""</f>
        <v/>
      </c>
      <c r="H62" s="74" t="str">
        <f>""</f>
        <v/>
      </c>
      <c r="I62" s="74" t="str">
        <f>""</f>
        <v/>
      </c>
      <c r="J62" s="74" t="str">
        <f>""</f>
        <v/>
      </c>
      <c r="K62" s="74" t="str">
        <f>""</f>
        <v/>
      </c>
      <c r="L62" s="74" t="str">
        <f>""</f>
        <v/>
      </c>
      <c r="M62" s="74" t="str">
        <f>""</f>
        <v/>
      </c>
      <c r="N62" s="74" t="str">
        <f>""</f>
        <v/>
      </c>
      <c r="O62" s="74" t="str">
        <f>""</f>
        <v/>
      </c>
      <c r="P62" s="48">
        <f t="shared" ref="P62:AB62" si="29">+IFERROR(P61/D61-1,0)</f>
        <v>1.2056305511912058E-2</v>
      </c>
      <c r="Q62" s="48">
        <f t="shared" si="29"/>
        <v>1.2056305511912058E-2</v>
      </c>
      <c r="R62" s="48">
        <f t="shared" si="29"/>
        <v>1.2056305511912058E-2</v>
      </c>
      <c r="S62" s="48">
        <f t="shared" si="29"/>
        <v>0</v>
      </c>
      <c r="T62" s="48">
        <f t="shared" si="29"/>
        <v>0</v>
      </c>
      <c r="U62" s="48">
        <f t="shared" si="29"/>
        <v>0</v>
      </c>
      <c r="V62" s="48">
        <f t="shared" si="29"/>
        <v>0</v>
      </c>
      <c r="W62" s="48">
        <f t="shared" si="29"/>
        <v>0.33721672301655192</v>
      </c>
      <c r="X62" s="48">
        <f t="shared" si="29"/>
        <v>0.33721672301655192</v>
      </c>
      <c r="Y62" s="48">
        <f t="shared" si="29"/>
        <v>0.33721672301655192</v>
      </c>
      <c r="Z62" s="48">
        <f t="shared" si="29"/>
        <v>0.33721672301655192</v>
      </c>
      <c r="AA62" s="48">
        <f t="shared" si="29"/>
        <v>0.33721672301655192</v>
      </c>
      <c r="AB62" s="48">
        <f t="shared" si="29"/>
        <v>0.33721672301655192</v>
      </c>
    </row>
    <row r="64" spans="1:28" x14ac:dyDescent="0.25">
      <c r="C64" s="10" t="str">
        <f>"Avg. Churned Logo Size ("&amp;ToC!$E$12&amp;" Actuals)"</f>
        <v>Avg. Churned Logo Size ($ Actuals)</v>
      </c>
      <c r="D64" s="42">
        <f>+IFERROR(D14*ToC!$E$10/D50,0)</f>
        <v>2646.66</v>
      </c>
      <c r="E64" s="42">
        <f>+IFERROR(E14*ToC!$E$10/E50,0)</f>
        <v>2646.66</v>
      </c>
      <c r="F64" s="42">
        <f>+IFERROR(F14*ToC!$E$10/F50,0)</f>
        <v>2439.8742857142856</v>
      </c>
      <c r="G64" s="42">
        <f>+IFERROR(G14*ToC!$E$10/G50,0)</f>
        <v>2179.4133333333334</v>
      </c>
      <c r="H64" s="42">
        <f>+IFERROR(H14*ToC!$E$10/H50,0)</f>
        <v>2149.5333333333338</v>
      </c>
      <c r="I64" s="42">
        <f>+IFERROR(I14*ToC!$E$10/I50,0)</f>
        <v>2076.8879999999999</v>
      </c>
      <c r="J64" s="42">
        <f>+IFERROR(J14*ToC!$E$10/J50,0)</f>
        <v>2098.8599999999997</v>
      </c>
      <c r="K64" s="42">
        <f>+IFERROR(K14*ToC!$E$10/K50,0)</f>
        <v>1902.2727272727273</v>
      </c>
      <c r="L64" s="42">
        <f>+IFERROR(L14*ToC!$E$10/L50,0)</f>
        <v>3354.48</v>
      </c>
      <c r="M64" s="42">
        <f>+IFERROR(M14*ToC!$E$10/M50,0)</f>
        <v>1966</v>
      </c>
      <c r="N64" s="42">
        <f>+IFERROR(N14*ToC!$E$10/N50,0)</f>
        <v>1966</v>
      </c>
      <c r="O64" s="42">
        <f>+IFERROR(O14*ToC!$E$10/O50,0)</f>
        <v>1905</v>
      </c>
      <c r="P64" s="42">
        <f>+IFERROR(P14*ToC!$E$10/P50,0)</f>
        <v>1905</v>
      </c>
      <c r="Q64" s="42">
        <f>+IFERROR(Q14*ToC!$E$10/Q50,0)</f>
        <v>1976.904</v>
      </c>
      <c r="R64" s="42">
        <f>+IFERROR(R14*ToC!$E$10/R50,0)</f>
        <v>2145.6</v>
      </c>
      <c r="S64" s="42">
        <f>+IFERROR(S14*ToC!$E$10/S50,0)</f>
        <v>2298</v>
      </c>
      <c r="T64" s="42">
        <f>+IFERROR(T14*ToC!$E$10/T50,0)</f>
        <v>2220.6000000000004</v>
      </c>
      <c r="U64" s="42">
        <f>+IFERROR(U14*ToC!$E$10/U50,0)</f>
        <v>2548</v>
      </c>
      <c r="V64" s="42">
        <f>+IFERROR(V14*ToC!$E$10/V50,0)</f>
        <v>2548</v>
      </c>
      <c r="W64" s="42">
        <f>+IFERROR(W14*ToC!$E$10/W50,0)</f>
        <v>2148</v>
      </c>
      <c r="X64" s="42">
        <f>+IFERROR(X14*ToC!$E$10/X50,0)</f>
        <v>2148</v>
      </c>
      <c r="Y64" s="42">
        <f>+IFERROR(Y14*ToC!$E$10/Y50,0)</f>
        <v>2268</v>
      </c>
      <c r="Z64" s="42">
        <f>+IFERROR(Z14*ToC!$E$10/Z50,0)</f>
        <v>2268</v>
      </c>
      <c r="AA64" s="42">
        <f>+IFERROR(AA14*ToC!$E$10/AA50,0)</f>
        <v>2268</v>
      </c>
      <c r="AB64" s="42">
        <f>+IFERROR(AB14*ToC!$E$10/AB50,0)</f>
        <v>2268</v>
      </c>
    </row>
    <row r="65" spans="3:28" x14ac:dyDescent="0.25">
      <c r="C65" s="36" t="s">
        <v>72</v>
      </c>
      <c r="D65" s="74" t="str">
        <f>""</f>
        <v/>
      </c>
      <c r="E65" s="74" t="str">
        <f>""</f>
        <v/>
      </c>
      <c r="F65" s="74" t="str">
        <f>""</f>
        <v/>
      </c>
      <c r="G65" s="74" t="str">
        <f>""</f>
        <v/>
      </c>
      <c r="H65" s="74" t="str">
        <f>""</f>
        <v/>
      </c>
      <c r="I65" s="74" t="str">
        <f>""</f>
        <v/>
      </c>
      <c r="J65" s="74" t="str">
        <f>""</f>
        <v/>
      </c>
      <c r="K65" s="74" t="str">
        <f>""</f>
        <v/>
      </c>
      <c r="L65" s="74" t="str">
        <f>""</f>
        <v/>
      </c>
      <c r="M65" s="74" t="str">
        <f>""</f>
        <v/>
      </c>
      <c r="N65" s="74" t="str">
        <f>""</f>
        <v/>
      </c>
      <c r="O65" s="74" t="str">
        <f>""</f>
        <v/>
      </c>
      <c r="P65" s="48">
        <f t="shared" ref="P65:AB65" si="30">+IFERROR(P64/D64-1,0)</f>
        <v>-0.28022488721634053</v>
      </c>
      <c r="Q65" s="48">
        <f t="shared" si="30"/>
        <v>-0.25305706059712996</v>
      </c>
      <c r="R65" s="48">
        <f t="shared" si="30"/>
        <v>-0.12061042957716794</v>
      </c>
      <c r="S65" s="48">
        <f t="shared" si="30"/>
        <v>5.4412196554424419E-2</v>
      </c>
      <c r="T65" s="48">
        <f t="shared" si="30"/>
        <v>3.3061439692336325E-2</v>
      </c>
      <c r="U65" s="48">
        <f t="shared" si="30"/>
        <v>0.22683553470384532</v>
      </c>
      <c r="V65" s="48">
        <f t="shared" si="30"/>
        <v>0.21399235775611536</v>
      </c>
      <c r="W65" s="48">
        <f t="shared" si="30"/>
        <v>0.12917562724014342</v>
      </c>
      <c r="X65" s="48">
        <f t="shared" si="30"/>
        <v>-0.35966230235386709</v>
      </c>
      <c r="Y65" s="48">
        <f t="shared" si="30"/>
        <v>0.15361139369277721</v>
      </c>
      <c r="Z65" s="48">
        <f t="shared" si="30"/>
        <v>0.15361139369277721</v>
      </c>
      <c r="AA65" s="48">
        <f t="shared" si="30"/>
        <v>0.19055118110236213</v>
      </c>
      <c r="AB65" s="48">
        <f t="shared" si="30"/>
        <v>0.19055118110236213</v>
      </c>
    </row>
    <row r="68" spans="3:28" x14ac:dyDescent="0.25">
      <c r="C68" s="10" t="s">
        <v>73</v>
      </c>
      <c r="D68" s="43">
        <f>+SUMIFS('Quikirr Data'!O$4:O$103,'Quikirr Data'!O$4:O$103,"&lt;&gt;"&amp;0)*ToC!$E$15/ToC!$E$10-D15</f>
        <v>0</v>
      </c>
      <c r="E68" s="43">
        <f>+SUMIFS('Quikirr Data'!P$4:P$103,'Quikirr Data'!P$4:P$103,"&lt;&gt;"&amp;0)*ToC!$E$15/ToC!$E$10-E15</f>
        <v>0</v>
      </c>
      <c r="F68" s="43">
        <f>+SUMIFS('Quikirr Data'!Q$4:Q$103,'Quikirr Data'!Q$4:Q$103,"&lt;&gt;"&amp;0)*ToC!$E$15/ToC!$E$10-F15</f>
        <v>0</v>
      </c>
      <c r="G68" s="43">
        <f>+SUMIFS('Quikirr Data'!R$4:R$103,'Quikirr Data'!R$4:R$103,"&lt;&gt;"&amp;0)*ToC!$E$15/ToC!$E$10-G15</f>
        <v>0</v>
      </c>
      <c r="H68" s="43">
        <f>+SUMIFS('Quikirr Data'!S$4:S$103,'Quikirr Data'!S$4:S$103,"&lt;&gt;"&amp;0)*ToC!$E$15/ToC!$E$10-H15</f>
        <v>0</v>
      </c>
      <c r="I68" s="43">
        <f>+SUMIFS('Quikirr Data'!T$4:T$103,'Quikirr Data'!T$4:T$103,"&lt;&gt;"&amp;0)*ToC!$E$15/ToC!$E$10-I15</f>
        <v>0</v>
      </c>
      <c r="J68" s="43">
        <f>+SUMIFS('Quikirr Data'!U$4:U$103,'Quikirr Data'!U$4:U$103,"&lt;&gt;"&amp;0)*ToC!$E$15/ToC!$E$10-J15</f>
        <v>0</v>
      </c>
      <c r="K68" s="43">
        <f>+SUMIFS('Quikirr Data'!V$4:V$103,'Quikirr Data'!V$4:V$103,"&lt;&gt;"&amp;0)*ToC!$E$15/ToC!$E$10-K15</f>
        <v>0</v>
      </c>
      <c r="L68" s="43">
        <f>+SUMIFS('Quikirr Data'!W$4:W$103,'Quikirr Data'!W$4:W$103,"&lt;&gt;"&amp;0)*ToC!$E$15/ToC!$E$10-L15</f>
        <v>0</v>
      </c>
      <c r="M68" s="43">
        <f>+SUMIFS('Quikirr Data'!X$4:X$103,'Quikirr Data'!X$4:X$103,"&lt;&gt;"&amp;0)*ToC!$E$15/ToC!$E$10-M15</f>
        <v>0</v>
      </c>
      <c r="N68" s="43">
        <f>+SUMIFS('Quikirr Data'!Y$4:Y$103,'Quikirr Data'!Y$4:Y$103,"&lt;&gt;"&amp;0)*ToC!$E$15/ToC!$E$10-N15</f>
        <v>0</v>
      </c>
      <c r="O68" s="43">
        <f>+SUMIFS('Quikirr Data'!Z$4:Z$103,'Quikirr Data'!Z$4:Z$103,"&lt;&gt;"&amp;0)*ToC!$E$15/ToC!$E$10-O15</f>
        <v>0</v>
      </c>
      <c r="P68" s="43">
        <f>+SUMIFS('Quikirr Data'!AA$4:AA$103,'Quikirr Data'!AA$4:AA$103,"&lt;&gt;"&amp;0)*ToC!$E$15/ToC!$E$10-P15</f>
        <v>0</v>
      </c>
      <c r="Q68" s="43">
        <f>+SUMIFS('Quikirr Data'!AB$4:AB$103,'Quikirr Data'!AB$4:AB$103,"&lt;&gt;"&amp;0)*ToC!$E$15/ToC!$E$10-Q15</f>
        <v>0</v>
      </c>
      <c r="R68" s="43">
        <f>+SUMIFS('Quikirr Data'!AC$4:AC$103,'Quikirr Data'!AC$4:AC$103,"&lt;&gt;"&amp;0)*ToC!$E$15/ToC!$E$10-R15</f>
        <v>0</v>
      </c>
      <c r="S68" s="43">
        <f>+SUMIFS('Quikirr Data'!AD$4:AD$103,'Quikirr Data'!AD$4:AD$103,"&lt;&gt;"&amp;0)*ToC!$E$15/ToC!$E$10-S15</f>
        <v>0</v>
      </c>
      <c r="T68" s="43">
        <f>+SUMIFS('Quikirr Data'!AE$4:AE$103,'Quikirr Data'!AE$4:AE$103,"&lt;&gt;"&amp;0)*ToC!$E$15/ToC!$E$10-T15</f>
        <v>0</v>
      </c>
      <c r="U68" s="43">
        <f>+SUMIFS('Quikirr Data'!AF$4:AF$103,'Quikirr Data'!AF$4:AF$103,"&lt;&gt;"&amp;0)*ToC!$E$15/ToC!$E$10-U15</f>
        <v>0</v>
      </c>
      <c r="V68" s="43">
        <f>+SUMIFS('Quikirr Data'!AG$4:AG$103,'Quikirr Data'!AG$4:AG$103,"&lt;&gt;"&amp;0)*ToC!$E$15/ToC!$E$10-V15</f>
        <v>0</v>
      </c>
      <c r="W68" s="43">
        <f>+SUMIFS('Quikirr Data'!AH$4:AH$103,'Quikirr Data'!AH$4:AH$103,"&lt;&gt;"&amp;0)*ToC!$E$15/ToC!$E$10-W15</f>
        <v>0</v>
      </c>
      <c r="X68" s="43">
        <f>+SUMIFS('Quikirr Data'!AI$4:AI$103,'Quikirr Data'!AI$4:AI$103,"&lt;&gt;"&amp;0)*ToC!$E$15/ToC!$E$10-X15</f>
        <v>0</v>
      </c>
      <c r="Y68" s="43">
        <f>+SUMIFS('Quikirr Data'!AJ$4:AJ$103,'Quikirr Data'!AJ$4:AJ$103,"&lt;&gt;"&amp;0)*ToC!$E$15/ToC!$E$10-Y15</f>
        <v>0</v>
      </c>
      <c r="Z68" s="43">
        <f>+SUMIFS('Quikirr Data'!AK$4:AK$103,'Quikirr Data'!AK$4:AK$103,"&lt;&gt;"&amp;0)*ToC!$E$15/ToC!$E$10-Z15</f>
        <v>0</v>
      </c>
      <c r="AA68" s="43">
        <f>+SUMIFS('Quikirr Data'!AL$4:AL$103,'Quikirr Data'!AL$4:AL$103,"&lt;&gt;"&amp;0)*ToC!$E$15/ToC!$E$10-AA15</f>
        <v>0</v>
      </c>
      <c r="AB68" s="43">
        <f>+SUMIFS('Quikirr Data'!AM$4:AM$103,'Quikirr Data'!AM$4:AM$103,"&lt;&gt;"&amp;0)*ToC!$E$15/ToC!$E$10-AB15</f>
        <v>0</v>
      </c>
    </row>
    <row r="69" spans="3:28" x14ac:dyDescent="0.25">
      <c r="C69" s="10" t="s">
        <v>74</v>
      </c>
      <c r="D69" s="43">
        <f>+COUNTIFS('Quikirr Data'!O$4:O$103,"&gt;"&amp;0)-D51</f>
        <v>0</v>
      </c>
      <c r="E69" s="43">
        <f>+COUNTIFS('Quikirr Data'!P$4:P$103,"&gt;"&amp;0)-E51</f>
        <v>0</v>
      </c>
      <c r="F69" s="43">
        <f>+COUNTIFS('Quikirr Data'!Q$4:Q$103,"&gt;"&amp;0)-F51</f>
        <v>0</v>
      </c>
      <c r="G69" s="43">
        <f>+COUNTIFS('Quikirr Data'!R$4:R$103,"&gt;"&amp;0)-G51</f>
        <v>0</v>
      </c>
      <c r="H69" s="43">
        <f>+COUNTIFS('Quikirr Data'!S$4:S$103,"&gt;"&amp;0)-H51</f>
        <v>0</v>
      </c>
      <c r="I69" s="43">
        <f>+COUNTIFS('Quikirr Data'!T$4:T$103,"&gt;"&amp;0)-I51</f>
        <v>0</v>
      </c>
      <c r="J69" s="43">
        <f>+COUNTIFS('Quikirr Data'!U$4:U$103,"&gt;"&amp;0)-J51</f>
        <v>0</v>
      </c>
      <c r="K69" s="43">
        <f>+COUNTIFS('Quikirr Data'!V$4:V$103,"&gt;"&amp;0)-K51</f>
        <v>0</v>
      </c>
      <c r="L69" s="43">
        <f>+COUNTIFS('Quikirr Data'!W$4:W$103,"&gt;"&amp;0)-L51</f>
        <v>0</v>
      </c>
      <c r="M69" s="43">
        <f>+COUNTIFS('Quikirr Data'!X$4:X$103,"&gt;"&amp;0)-M51</f>
        <v>0</v>
      </c>
      <c r="N69" s="43">
        <f>+COUNTIFS('Quikirr Data'!Y$4:Y$103,"&gt;"&amp;0)-N51</f>
        <v>0</v>
      </c>
      <c r="O69" s="43">
        <f>+COUNTIFS('Quikirr Data'!Z$4:Z$103,"&gt;"&amp;0)-O51</f>
        <v>0</v>
      </c>
      <c r="P69" s="43">
        <f>+COUNTIFS('Quikirr Data'!AA$4:AA$103,"&gt;"&amp;0)-P51</f>
        <v>0</v>
      </c>
      <c r="Q69" s="43">
        <f>+COUNTIFS('Quikirr Data'!AB$4:AB$103,"&gt;"&amp;0)-Q51</f>
        <v>0</v>
      </c>
      <c r="R69" s="43">
        <f>+COUNTIFS('Quikirr Data'!AC$4:AC$103,"&gt;"&amp;0)-R51</f>
        <v>0</v>
      </c>
      <c r="S69" s="43">
        <f>+COUNTIFS('Quikirr Data'!AD$4:AD$103,"&gt;"&amp;0)-S51</f>
        <v>0</v>
      </c>
      <c r="T69" s="43">
        <f>+COUNTIFS('Quikirr Data'!AE$4:AE$103,"&gt;"&amp;0)-T51</f>
        <v>0</v>
      </c>
      <c r="U69" s="43">
        <f>+COUNTIFS('Quikirr Data'!AF$4:AF$103,"&gt;"&amp;0)-U51</f>
        <v>0</v>
      </c>
      <c r="V69" s="43">
        <f>+COUNTIFS('Quikirr Data'!AG$4:AG$103,"&gt;"&amp;0)-V51</f>
        <v>0</v>
      </c>
      <c r="W69" s="43">
        <f>+COUNTIFS('Quikirr Data'!AH$4:AH$103,"&gt;"&amp;0)-W51</f>
        <v>0</v>
      </c>
      <c r="X69" s="43">
        <f>+COUNTIFS('Quikirr Data'!AI$4:AI$103,"&gt;"&amp;0)-X51</f>
        <v>0</v>
      </c>
      <c r="Y69" s="43">
        <f>+COUNTIFS('Quikirr Data'!AJ$4:AJ$103,"&gt;"&amp;0)-Y51</f>
        <v>0</v>
      </c>
      <c r="Z69" s="43">
        <f>+COUNTIFS('Quikirr Data'!AK$4:AK$103,"&gt;"&amp;0)-Z51</f>
        <v>0</v>
      </c>
      <c r="AA69" s="43">
        <f>+COUNTIFS('Quikirr Data'!AL$4:AL$103,"&gt;"&amp;0)-AA51</f>
        <v>0</v>
      </c>
      <c r="AB69" s="43">
        <f>+COUNTIFS('Quikirr Data'!AM$4:AM$103,"&gt;"&amp;0)-AB51</f>
        <v>0</v>
      </c>
    </row>
  </sheetData>
  <pageMargins left="0.7" right="0.7" top="0.75" bottom="0.75" header="0.3" footer="0.3"/>
  <pageSetup scale="48"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A61B50-D930-4193-80E5-5853993B57D2}">
  <sheetPr>
    <tabColor rgb="FF196B24"/>
  </sheetPr>
  <dimension ref="A1"/>
  <sheetViews>
    <sheetView showGridLines="0" view="pageBreakPreview" zoomScaleNormal="100" zoomScaleSheetLayoutView="100" workbookViewId="0"/>
  </sheetViews>
  <sheetFormatPr defaultColWidth="8.85546875" defaultRowHeight="13.5" x14ac:dyDescent="0.25"/>
  <cols>
    <col min="1" max="16384" width="8.85546875" style="10"/>
  </cols>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A368E-77FE-464C-89FE-21E44DCE9459}">
  <sheetPr>
    <tabColor rgb="FFC1F0C8"/>
    <pageSetUpPr fitToPage="1"/>
  </sheetPr>
  <dimension ref="C2:Y140"/>
  <sheetViews>
    <sheetView showGridLines="0" tabSelected="1" view="pageBreakPreview" zoomScaleNormal="100" zoomScaleSheetLayoutView="100" workbookViewId="0">
      <selection activeCell="B12" sqref="B12"/>
    </sheetView>
  </sheetViews>
  <sheetFormatPr defaultColWidth="8.85546875" defaultRowHeight="13.5" outlineLevelRow="1" x14ac:dyDescent="0.25"/>
  <cols>
    <col min="1" max="2" width="3.140625" style="10" customWidth="1"/>
    <col min="3" max="3" width="13" style="10" customWidth="1"/>
    <col min="4" max="4" width="28" style="10" customWidth="1"/>
    <col min="5" max="5" width="8.85546875" style="10"/>
    <col min="6" max="9" width="13" style="10" customWidth="1"/>
    <col min="10" max="10" width="3.140625" style="10" customWidth="1"/>
    <col min="11" max="11" width="20.28515625" style="10" bestFit="1" customWidth="1"/>
    <col min="12" max="12" width="27.7109375" style="10" bestFit="1" customWidth="1"/>
    <col min="13" max="13" width="12.42578125" style="10" bestFit="1" customWidth="1"/>
    <col min="14" max="14" width="3.140625" style="10" customWidth="1"/>
    <col min="15" max="17" width="14.85546875" style="10" bestFit="1" customWidth="1"/>
    <col min="18" max="18" width="26" style="10" bestFit="1" customWidth="1"/>
    <col min="19" max="19" width="12.85546875" style="10" bestFit="1" customWidth="1"/>
    <col min="20" max="20" width="3.140625" style="10" customWidth="1"/>
    <col min="21" max="23" width="14.85546875" style="10" bestFit="1" customWidth="1"/>
    <col min="24" max="24" width="3.140625" style="10" customWidth="1"/>
    <col min="25" max="25" width="13" style="10" customWidth="1"/>
    <col min="26" max="27" width="3.140625" style="10" customWidth="1"/>
    <col min="28" max="16384" width="8.85546875" style="10"/>
  </cols>
  <sheetData>
    <row r="2" spans="3:25" x14ac:dyDescent="0.25">
      <c r="C2" s="11" t="s">
        <v>106</v>
      </c>
    </row>
    <row r="3" spans="3:25" x14ac:dyDescent="0.25">
      <c r="C3" s="80">
        <v>46022</v>
      </c>
    </row>
    <row r="4" spans="3:25" hidden="1" outlineLevel="1" x14ac:dyDescent="0.25">
      <c r="C4" s="79">
        <v>46022</v>
      </c>
    </row>
    <row r="5" spans="3:25" hidden="1" outlineLevel="1" x14ac:dyDescent="0.25">
      <c r="C5" s="79">
        <v>45657</v>
      </c>
    </row>
    <row r="6" spans="3:25" hidden="1" outlineLevel="1" x14ac:dyDescent="0.25">
      <c r="C6" s="79">
        <v>45291</v>
      </c>
    </row>
    <row r="7" spans="3:25" hidden="1" outlineLevel="1" x14ac:dyDescent="0.25">
      <c r="C7" s="79">
        <v>44926</v>
      </c>
    </row>
    <row r="8" spans="3:25" collapsed="1" x14ac:dyDescent="0.25"/>
    <row r="9" spans="3:25" ht="14.25" thickBot="1" x14ac:dyDescent="0.3">
      <c r="C9" s="76" t="str">
        <f>"Top Customers as of " &amp; TEXT('Top Customers'!C3, "mmm-yy")</f>
        <v>Top Customers as of Dec-25</v>
      </c>
      <c r="D9" s="77"/>
      <c r="E9" s="77"/>
      <c r="F9" s="77"/>
      <c r="G9" s="77"/>
      <c r="H9" s="77"/>
      <c r="I9" s="77"/>
      <c r="J9" s="77"/>
      <c r="K9" s="77"/>
      <c r="L9" s="77"/>
      <c r="M9" s="77"/>
      <c r="N9" s="77"/>
      <c r="O9" s="77"/>
      <c r="P9" s="77"/>
      <c r="Q9" s="77"/>
      <c r="R9" s="77"/>
      <c r="S9" s="77"/>
      <c r="T9" s="77"/>
      <c r="U9" s="77"/>
      <c r="V9" s="77"/>
      <c r="W9" s="77"/>
      <c r="X9" s="77"/>
      <c r="Y9" s="77"/>
    </row>
    <row r="10" spans="3:25" x14ac:dyDescent="0.25">
      <c r="C10" s="37" t="str">
        <f>"("&amp;ToC!$E$12&amp;" "&amp;ToC!$E$11&amp;")"</f>
        <v>($ Actuals)</v>
      </c>
    </row>
    <row r="11" spans="3:25" x14ac:dyDescent="0.25">
      <c r="F11" s="12" t="s">
        <v>112</v>
      </c>
      <c r="G11" s="12"/>
      <c r="H11" s="12"/>
      <c r="I11" s="12"/>
      <c r="O11" s="87" t="s">
        <v>114</v>
      </c>
      <c r="P11" s="13"/>
      <c r="Q11" s="13"/>
      <c r="U11" s="87" t="s">
        <v>57</v>
      </c>
      <c r="V11" s="13"/>
      <c r="W11" s="13"/>
    </row>
    <row r="12" spans="3:25" x14ac:dyDescent="0.25">
      <c r="C12" s="83" t="s">
        <v>107</v>
      </c>
      <c r="D12" s="82" t="s">
        <v>108</v>
      </c>
      <c r="F12" s="86">
        <v>44926</v>
      </c>
      <c r="G12" s="86">
        <v>45291</v>
      </c>
      <c r="H12" s="86">
        <v>45657</v>
      </c>
      <c r="I12" s="86">
        <v>46022</v>
      </c>
      <c r="K12" s="83" t="str">
        <f>TEXT($F$12,"mmm 'yy")&amp;" - "&amp;TEXT($I$12,"mmm 'yy")&amp;" CAGR"</f>
        <v>Dec '22 - Dec '25 CAGR</v>
      </c>
      <c r="L12" s="83" t="str">
        <f>"% of "&amp;TEXT($I$12,"mmm 'yy")&amp;" ARR"</f>
        <v>% of Dec '25 ARR</v>
      </c>
      <c r="M12" s="83" t="s">
        <v>113</v>
      </c>
      <c r="O12" s="88" t="str">
        <f>TEXT($F$12,"mmm 'yy")&amp;" - "&amp;TEXT($G$12,"mmm 'yy")</f>
        <v>Dec '22 - Dec '23</v>
      </c>
      <c r="P12" s="88" t="str">
        <f>TEXT($G$12,"mmm 'yy")&amp;" - "&amp;TEXT($H$12,"mmm 'yy")</f>
        <v>Dec '23 - Dec '24</v>
      </c>
      <c r="Q12" s="88" t="str">
        <f>TEXT($H$12,"mmm 'yy")&amp;" - "&amp;TEXT($I$12,"mmm 'yy")</f>
        <v>Dec '24 - Dec '25</v>
      </c>
      <c r="R12" s="83" t="str">
        <f>"% of "&amp;$Q$12&amp;" Growth"</f>
        <v>% of Dec '24 - Dec '25 Growth</v>
      </c>
      <c r="S12" s="83" t="s">
        <v>115</v>
      </c>
      <c r="U12" s="88" t="str">
        <f>TEXT($F$12,"mmm 'yy")&amp;" - "&amp;TEXT($G$12,"mmm 'yy")</f>
        <v>Dec '22 - Dec '23</v>
      </c>
      <c r="V12" s="88" t="str">
        <f>TEXT($G$12,"mmm 'yy")&amp;" - "&amp;TEXT($H$12,"mmm 'yy")</f>
        <v>Dec '23 - Dec '24</v>
      </c>
      <c r="W12" s="88" t="str">
        <f>TEXT($H$12,"mmm 'yy")&amp;" - "&amp;TEXT($I$12,"mmm 'yy")</f>
        <v>Dec '24 - Dec '25</v>
      </c>
      <c r="Y12" s="82" t="s">
        <v>116</v>
      </c>
    </row>
    <row r="13" spans="3:25" ht="3.95" customHeight="1" x14ac:dyDescent="0.25"/>
    <row r="14" spans="3:25" x14ac:dyDescent="0.25">
      <c r="C14" s="81">
        <v>1</v>
      </c>
      <c r="D14" s="85">
        <f>+IFERROR(INDEX('Quikirr Data'!$B$4:$B$103,MATCH($C14,'Quikirr Data'!$NB$4:$NB$103,0),1),"")</f>
        <v>61</v>
      </c>
      <c r="F14" s="43">
        <f>+IFERROR(INDEX('Quikirr Data'!$C$4:$AM$103,MATCH($C14,'Quikirr Data'!$NB$4:$NB$103,0),MATCH(F$12,'Quikirr Data'!$C$3:$AM$3,0)),0)*ToC!$E$15/ToC!$E$10</f>
        <v>4644</v>
      </c>
      <c r="G14" s="43">
        <f>+IFERROR(INDEX('Quikirr Data'!$C$4:$AM$103,MATCH($C14,'Quikirr Data'!$NB$4:$NB$103,0),MATCH(G$12,'Quikirr Data'!$C$3:$AM$3,0)),0)*ToC!$E$15/ToC!$E$10</f>
        <v>4644</v>
      </c>
      <c r="H14" s="43">
        <f>+IFERROR(INDEX('Quikirr Data'!$C$4:$AM$103,MATCH($C14,'Quikirr Data'!$NB$4:$NB$103,0),MATCH(H$12,'Quikirr Data'!$C$3:$AM$3,0)),0)*ToC!$E$15/ToC!$E$10</f>
        <v>4644</v>
      </c>
      <c r="I14" s="43">
        <f>+IFERROR(INDEX('Quikirr Data'!$C$4:$AM$103,MATCH($C14,'Quikirr Data'!$NB$4:$NB$103,0),MATCH(I$12,'Quikirr Data'!$C$3:$AM$3,0)),0)*ToC!$E$15/ToC!$E$10</f>
        <v>4798.5599999999995</v>
      </c>
      <c r="K14" s="47">
        <f t="shared" ref="K14:K24" si="0">+IFERROR((I14/F14)^(1/YEARFRAC($F$12,$I$12))-1,0)</f>
        <v>1.0973036637126343E-2</v>
      </c>
      <c r="L14" s="47">
        <f t="shared" ref="L14:L24" si="1">+IFERROR(I14/I$27,0)</f>
        <v>1.9600567606714223E-2</v>
      </c>
      <c r="M14" s="47">
        <f>+IFERROR(SUM(I$14:I14)/I$27,0)</f>
        <v>1.9600567606714223E-2</v>
      </c>
      <c r="O14" s="43">
        <f t="shared" ref="O14:O24" si="2">+G14-F14</f>
        <v>0</v>
      </c>
      <c r="P14" s="43">
        <f t="shared" ref="P14:P24" si="3">+H14-G14</f>
        <v>0</v>
      </c>
      <c r="Q14" s="43">
        <f t="shared" ref="Q14:Q24" si="4">+I14-H14</f>
        <v>154.55999999999949</v>
      </c>
      <c r="R14" s="47" cm="1">
        <f t="array" ref="R14">+IFERROR(INDEX($O14:$Q14,MAX(MATCH('Top Customers'!$C$3,$F$12:$I$12,0)-1,1))/INDEX($O$27:$Q$27,MAX(MATCH('Top Customers'!$C$3,$F$12:$I$12,0)-1,1)),0)</f>
        <v>7.1776467572416836E-3</v>
      </c>
      <c r="S14" s="91" cm="1">
        <f t="array" ref="S14">+IFERROR(I14/INDEX($F14:$I14,MATCH(TRUE,$F14:$I14&lt;&gt;0,0)),0)</f>
        <v>1.0332816537467699</v>
      </c>
      <c r="U14" s="47">
        <f t="shared" ref="U14:U24" si="5">+IFERROR(G14/F14-1,0)</f>
        <v>0</v>
      </c>
      <c r="V14" s="47">
        <f t="shared" ref="V14:V24" si="6">+IFERROR(H14/G14-1,0)</f>
        <v>0</v>
      </c>
      <c r="W14" s="47">
        <f t="shared" ref="W14:W24" si="7">+IFERROR(I14/H14-1,0)</f>
        <v>3.3281653746769946E-2</v>
      </c>
      <c r="Y14" s="105" cm="1">
        <f t="array" ref="Y14">+IFERROR(INDEX('Quikirr Data'!$BD$4:$BD$103,
  MATCH(1,('Quikirr Data'!$B$4:$B$103=$D14)*('Quikirr Data'!$NB$4:$NB$103=$C14),0),
  1),"N/A")</f>
        <v>44926</v>
      </c>
    </row>
    <row r="15" spans="3:25" x14ac:dyDescent="0.25">
      <c r="C15" s="81">
        <f t="shared" ref="C15:C23" si="8">+C14+1</f>
        <v>2</v>
      </c>
      <c r="D15" s="85">
        <f>+IFERROR(INDEX('Quikirr Data'!$B$4:$B$103,MATCH($C15,'Quikirr Data'!$NB$4:$NB$103,0),1),"")</f>
        <v>2</v>
      </c>
      <c r="F15" s="43">
        <f>+IFERROR(INDEX('Quikirr Data'!$C$4:$AM$103,MATCH($C15,'Quikirr Data'!$NB$4:$NB$103,0),MATCH(F$12,'Quikirr Data'!$C$3:$AM$3,0)),0)*ToC!$E$15/ToC!$E$10</f>
        <v>4345.7999999999993</v>
      </c>
      <c r="G15" s="43">
        <f>+IFERROR(INDEX('Quikirr Data'!$C$4:$AM$103,MATCH($C15,'Quikirr Data'!$NB$4:$NB$103,0),MATCH(G$12,'Quikirr Data'!$C$3:$AM$3,0)),0)*ToC!$E$15/ToC!$E$10</f>
        <v>4308</v>
      </c>
      <c r="H15" s="43">
        <f>+IFERROR(INDEX('Quikirr Data'!$C$4:$AM$103,MATCH($C15,'Quikirr Data'!$NB$4:$NB$103,0),MATCH(H$12,'Quikirr Data'!$C$3:$AM$3,0)),0)*ToC!$E$15/ToC!$E$10</f>
        <v>4308</v>
      </c>
      <c r="I15" s="43">
        <f>+IFERROR(INDEX('Quikirr Data'!$C$4:$AM$103,MATCH($C15,'Quikirr Data'!$NB$4:$NB$103,0),MATCH(I$12,'Quikirr Data'!$C$3:$AM$3,0)),0)*ToC!$E$15/ToC!$E$10</f>
        <v>4788</v>
      </c>
      <c r="K15" s="47">
        <f t="shared" si="0"/>
        <v>3.2828314461598174E-2</v>
      </c>
      <c r="L15" s="47">
        <f t="shared" si="1"/>
        <v>1.9557433417722755E-2</v>
      </c>
      <c r="M15" s="47">
        <f>+IFERROR(SUM(I$14:I15)/I$27,0)</f>
        <v>3.9158001024436978E-2</v>
      </c>
      <c r="O15" s="43">
        <f t="shared" si="2"/>
        <v>-37.799999999999272</v>
      </c>
      <c r="P15" s="43">
        <f t="shared" si="3"/>
        <v>0</v>
      </c>
      <c r="Q15" s="43">
        <f t="shared" si="4"/>
        <v>480</v>
      </c>
      <c r="R15" s="47" cm="1">
        <f t="array" ref="R15">+IFERROR(INDEX($O15:$Q15,MAX(MATCH('Top Customers'!$C$3,$F$12:$I$12,0)-1,1))/INDEX($O$27:$Q$27,MAX(MATCH('Top Customers'!$C$3,$F$12:$I$12,0)-1,1)),0)</f>
        <v>2.2290828438638843E-2</v>
      </c>
      <c r="S15" s="91" cm="1">
        <f t="array" ref="S15">+IFERROR(I15/INDEX($F15:$I15,MATCH(TRUE,$F15:$I15&lt;&gt;0,0)),0)</f>
        <v>1.1017534170923653</v>
      </c>
      <c r="U15" s="47">
        <f t="shared" si="5"/>
        <v>-8.6980532928342402E-3</v>
      </c>
      <c r="V15" s="47">
        <f t="shared" si="6"/>
        <v>0</v>
      </c>
      <c r="W15" s="47">
        <f t="shared" si="7"/>
        <v>0.11142061281337057</v>
      </c>
      <c r="Y15" s="105" cm="1">
        <f t="array" ref="Y15">+IFERROR(INDEX('Quikirr Data'!$BD$4:$BD$103,
  MATCH(1,('Quikirr Data'!$B$4:$B$103=$D15)*('Quikirr Data'!$NB$4:$NB$103=$C15),0),
  1),"N/A")</f>
        <v>44926</v>
      </c>
    </row>
    <row r="16" spans="3:25" x14ac:dyDescent="0.25">
      <c r="C16" s="81">
        <f t="shared" si="8"/>
        <v>3</v>
      </c>
      <c r="D16" s="85">
        <f>+IFERROR(INDEX('Quikirr Data'!$B$4:$B$103,MATCH($C16,'Quikirr Data'!$NB$4:$NB$103,0),1),"")</f>
        <v>13</v>
      </c>
      <c r="F16" s="43">
        <f>+IFERROR(INDEX('Quikirr Data'!$C$4:$AM$103,MATCH($C16,'Quikirr Data'!$NB$4:$NB$103,0),MATCH(F$12,'Quikirr Data'!$C$3:$AM$3,0)),0)*ToC!$E$15/ToC!$E$10</f>
        <v>4428</v>
      </c>
      <c r="G16" s="43">
        <f>+IFERROR(INDEX('Quikirr Data'!$C$4:$AM$103,MATCH($C16,'Quikirr Data'!$NB$4:$NB$103,0),MATCH(G$12,'Quikirr Data'!$C$3:$AM$3,0)),0)*ToC!$E$15/ToC!$E$10</f>
        <v>4428</v>
      </c>
      <c r="H16" s="43">
        <f>+IFERROR(INDEX('Quikirr Data'!$C$4:$AM$103,MATCH($C16,'Quikirr Data'!$NB$4:$NB$103,0),MATCH(H$12,'Quikirr Data'!$C$3:$AM$3,0)),0)*ToC!$E$15/ToC!$E$10</f>
        <v>4583.04</v>
      </c>
      <c r="I16" s="43">
        <f>+IFERROR(INDEX('Quikirr Data'!$C$4:$AM$103,MATCH($C16,'Quikirr Data'!$NB$4:$NB$103,0),MATCH(I$12,'Quikirr Data'!$C$3:$AM$3,0)),0)*ToC!$E$15/ToC!$E$10</f>
        <v>4583.04</v>
      </c>
      <c r="K16" s="47">
        <f t="shared" si="0"/>
        <v>1.1537556233281121E-2</v>
      </c>
      <c r="L16" s="47">
        <f t="shared" si="1"/>
        <v>1.8720238022297431E-2</v>
      </c>
      <c r="M16" s="47">
        <f>+IFERROR(SUM(I$14:I16)/I$27,0)</f>
        <v>5.7878239046734406E-2</v>
      </c>
      <c r="O16" s="43">
        <f t="shared" si="2"/>
        <v>0</v>
      </c>
      <c r="P16" s="43">
        <f t="shared" si="3"/>
        <v>155.03999999999996</v>
      </c>
      <c r="Q16" s="43">
        <f t="shared" si="4"/>
        <v>0</v>
      </c>
      <c r="R16" s="47" cm="1">
        <f t="array" ref="R16">+IFERROR(INDEX($O16:$Q16,MAX(MATCH('Top Customers'!$C$3,$F$12:$I$12,0)-1,1))/INDEX($O$27:$Q$27,MAX(MATCH('Top Customers'!$C$3,$F$12:$I$12,0)-1,1)),0)</f>
        <v>0</v>
      </c>
      <c r="S16" s="91" cm="1">
        <f t="array" ref="S16">+IFERROR(I16/INDEX($F16:$I16,MATCH(TRUE,$F16:$I16&lt;&gt;0,0)),0)</f>
        <v>1.0350135501355013</v>
      </c>
      <c r="U16" s="47">
        <f t="shared" si="5"/>
        <v>0</v>
      </c>
      <c r="V16" s="47">
        <f t="shared" si="6"/>
        <v>3.5013550135501337E-2</v>
      </c>
      <c r="W16" s="47">
        <f t="shared" si="7"/>
        <v>0</v>
      </c>
      <c r="Y16" s="105" cm="1">
        <f t="array" ref="Y16">+IFERROR(INDEX('Quikirr Data'!$BD$4:$BD$103,
  MATCH(1,('Quikirr Data'!$B$4:$B$103=$D16)*('Quikirr Data'!$NB$4:$NB$103=$C16),0),
  1),"N/A")</f>
        <v>44926</v>
      </c>
    </row>
    <row r="17" spans="3:25" x14ac:dyDescent="0.25">
      <c r="C17" s="81">
        <f t="shared" si="8"/>
        <v>4</v>
      </c>
      <c r="D17" s="85">
        <f>+IFERROR(INDEX('Quikirr Data'!$B$4:$B$103,MATCH($C17,'Quikirr Data'!$NB$4:$NB$103,0),1),"")</f>
        <v>53</v>
      </c>
      <c r="F17" s="43">
        <f>+IFERROR(INDEX('Quikirr Data'!$C$4:$AM$103,MATCH($C17,'Quikirr Data'!$NB$4:$NB$103,0),MATCH(F$12,'Quikirr Data'!$C$3:$AM$3,0)),0)*ToC!$E$15/ToC!$E$10</f>
        <v>2628</v>
      </c>
      <c r="G17" s="43">
        <f>+IFERROR(INDEX('Quikirr Data'!$C$4:$AM$103,MATCH($C17,'Quikirr Data'!$NB$4:$NB$103,0),MATCH(G$12,'Quikirr Data'!$C$3:$AM$3,0)),0)*ToC!$E$15/ToC!$E$10</f>
        <v>2628</v>
      </c>
      <c r="H17" s="43">
        <f>+IFERROR(INDEX('Quikirr Data'!$C$4:$AM$103,MATCH($C17,'Quikirr Data'!$NB$4:$NB$103,0),MATCH(H$12,'Quikirr Data'!$C$3:$AM$3,0)),0)*ToC!$E$15/ToC!$E$10</f>
        <v>4428</v>
      </c>
      <c r="I17" s="43">
        <f>+IFERROR(INDEX('Quikirr Data'!$C$4:$AM$103,MATCH($C17,'Quikirr Data'!$NB$4:$NB$103,0),MATCH(I$12,'Quikirr Data'!$C$3:$AM$3,0)),0)*ToC!$E$15/ToC!$E$10</f>
        <v>4574.6400000000003</v>
      </c>
      <c r="K17" s="47">
        <f t="shared" si="0"/>
        <v>0.20293968931007278</v>
      </c>
      <c r="L17" s="47">
        <f t="shared" si="1"/>
        <v>1.8685926735599673E-2</v>
      </c>
      <c r="M17" s="47">
        <f>+IFERROR(SUM(I$14:I17)/I$27,0)</f>
        <v>7.6564165782334076E-2</v>
      </c>
      <c r="O17" s="43">
        <f t="shared" si="2"/>
        <v>0</v>
      </c>
      <c r="P17" s="43">
        <f t="shared" si="3"/>
        <v>1800</v>
      </c>
      <c r="Q17" s="43">
        <f t="shared" si="4"/>
        <v>146.64000000000033</v>
      </c>
      <c r="R17" s="47" cm="1">
        <f t="array" ref="R17">+IFERROR(INDEX($O17:$Q17,MAX(MATCH('Top Customers'!$C$3,$F$12:$I$12,0)-1,1))/INDEX($O$27:$Q$27,MAX(MATCH('Top Customers'!$C$3,$F$12:$I$12,0)-1,1)),0)</f>
        <v>6.8098480880041815E-3</v>
      </c>
      <c r="S17" s="91" cm="1">
        <f t="array" ref="S17">+IFERROR(I17/INDEX($F17:$I17,MATCH(TRUE,$F17:$I17&lt;&gt;0,0)),0)</f>
        <v>1.7407305936073061</v>
      </c>
      <c r="U17" s="47">
        <f t="shared" si="5"/>
        <v>0</v>
      </c>
      <c r="V17" s="47">
        <f t="shared" si="6"/>
        <v>0.68493150684931514</v>
      </c>
      <c r="W17" s="47">
        <f t="shared" si="7"/>
        <v>3.3116531165311658E-2</v>
      </c>
      <c r="Y17" s="105" cm="1">
        <f t="array" ref="Y17">+IFERROR(INDEX('Quikirr Data'!$BD$4:$BD$103,
  MATCH(1,('Quikirr Data'!$B$4:$B$103=$D17)*('Quikirr Data'!$NB$4:$NB$103=$C17),0),
  1),"N/A")</f>
        <v>44926</v>
      </c>
    </row>
    <row r="18" spans="3:25" x14ac:dyDescent="0.25">
      <c r="C18" s="81">
        <f t="shared" si="8"/>
        <v>5</v>
      </c>
      <c r="D18" s="85">
        <f>+IFERROR(INDEX('Quikirr Data'!$B$4:$B$103,MATCH($C18,'Quikirr Data'!$NB$4:$NB$103,0),1),"")</f>
        <v>94</v>
      </c>
      <c r="F18" s="43">
        <f>+IFERROR(INDEX('Quikirr Data'!$C$4:$AM$103,MATCH($C18,'Quikirr Data'!$NB$4:$NB$103,0),MATCH(F$12,'Quikirr Data'!$C$3:$AM$3,0)),0)*ToC!$E$15/ToC!$E$10</f>
        <v>4188</v>
      </c>
      <c r="G18" s="43">
        <f>+IFERROR(INDEX('Quikirr Data'!$C$4:$AM$103,MATCH($C18,'Quikirr Data'!$NB$4:$NB$103,0),MATCH(G$12,'Quikirr Data'!$C$3:$AM$3,0)),0)*ToC!$E$15/ToC!$E$10</f>
        <v>4188</v>
      </c>
      <c r="H18" s="43">
        <f>+IFERROR(INDEX('Quikirr Data'!$C$4:$AM$103,MATCH($C18,'Quikirr Data'!$NB$4:$NB$103,0),MATCH(H$12,'Quikirr Data'!$C$3:$AM$3,0)),0)*ToC!$E$15/ToC!$E$10</f>
        <v>4334.6400000000003</v>
      </c>
      <c r="I18" s="43">
        <f>+IFERROR(INDEX('Quikirr Data'!$C$4:$AM$103,MATCH($C18,'Quikirr Data'!$NB$4:$NB$103,0),MATCH(I$12,'Quikirr Data'!$C$3:$AM$3,0)),0)*ToC!$E$15/ToC!$E$10</f>
        <v>4486.32</v>
      </c>
      <c r="K18" s="47">
        <f t="shared" si="0"/>
        <v>2.3201555174550581E-2</v>
      </c>
      <c r="L18" s="47">
        <f t="shared" si="1"/>
        <v>1.8325168064034659E-2</v>
      </c>
      <c r="M18" s="47">
        <f>+IFERROR(SUM(I$14:I18)/I$27,0)</f>
        <v>9.4889333846368731E-2</v>
      </c>
      <c r="O18" s="43">
        <f t="shared" si="2"/>
        <v>0</v>
      </c>
      <c r="P18" s="43">
        <f t="shared" si="3"/>
        <v>146.64000000000033</v>
      </c>
      <c r="Q18" s="43">
        <f t="shared" si="4"/>
        <v>151.67999999999938</v>
      </c>
      <c r="R18" s="47" cm="1">
        <f t="array" ref="R18">+IFERROR(INDEX($O18:$Q18,MAX(MATCH('Top Customers'!$C$3,$F$12:$I$12,0)-1,1))/INDEX($O$27:$Q$27,MAX(MATCH('Top Customers'!$C$3,$F$12:$I$12,0)-1,1)),0)</f>
        <v>7.0439017866098458E-3</v>
      </c>
      <c r="S18" s="91" cm="1">
        <f t="array" ref="S18">+IFERROR(I18/INDEX($F18:$I18,MATCH(TRUE,$F18:$I18&lt;&gt;0,0)),0)</f>
        <v>1.0712320916905445</v>
      </c>
      <c r="U18" s="47">
        <f t="shared" si="5"/>
        <v>0</v>
      </c>
      <c r="V18" s="47">
        <f t="shared" si="6"/>
        <v>3.5014326647564653E-2</v>
      </c>
      <c r="W18" s="47">
        <f t="shared" si="7"/>
        <v>3.4992525330823199E-2</v>
      </c>
      <c r="Y18" s="105" cm="1">
        <f t="array" ref="Y18">+IFERROR(INDEX('Quikirr Data'!$BD$4:$BD$103,
  MATCH(1,('Quikirr Data'!$B$4:$B$103=$D18)*('Quikirr Data'!$NB$4:$NB$103=$C18),0),
  1),"N/A")</f>
        <v>44926</v>
      </c>
    </row>
    <row r="19" spans="3:25" x14ac:dyDescent="0.25">
      <c r="C19" s="81">
        <f t="shared" si="8"/>
        <v>6</v>
      </c>
      <c r="D19" s="85">
        <f>+IFERROR(INDEX('Quikirr Data'!$B$4:$B$103,MATCH($C19,'Quikirr Data'!$NB$4:$NB$103,0),1),"")</f>
        <v>31</v>
      </c>
      <c r="F19" s="43">
        <f>+IFERROR(INDEX('Quikirr Data'!$C$4:$AM$103,MATCH($C19,'Quikirr Data'!$NB$4:$NB$103,0),MATCH(F$12,'Quikirr Data'!$C$3:$AM$3,0)),0)*ToC!$E$15/ToC!$E$10</f>
        <v>0</v>
      </c>
      <c r="G19" s="43">
        <f>+IFERROR(INDEX('Quikirr Data'!$C$4:$AM$103,MATCH($C19,'Quikirr Data'!$NB$4:$NB$103,0),MATCH(G$12,'Quikirr Data'!$C$3:$AM$3,0)),0)*ToC!$E$15/ToC!$E$10</f>
        <v>4202.3999999999996</v>
      </c>
      <c r="H19" s="43">
        <f>+IFERROR(INDEX('Quikirr Data'!$C$4:$AM$103,MATCH($C19,'Quikirr Data'!$NB$4:$NB$103,0),MATCH(H$12,'Quikirr Data'!$C$3:$AM$3,0)),0)*ToC!$E$15/ToC!$E$10</f>
        <v>4341.4800000000005</v>
      </c>
      <c r="I19" s="43">
        <f>+IFERROR(INDEX('Quikirr Data'!$C$4:$AM$103,MATCH($C19,'Quikirr Data'!$NB$4:$NB$103,0),MATCH(I$12,'Quikirr Data'!$C$3:$AM$3,0)),0)*ToC!$E$15/ToC!$E$10</f>
        <v>4341.4800000000005</v>
      </c>
      <c r="K19" s="47">
        <f t="shared" si="0"/>
        <v>0</v>
      </c>
      <c r="L19" s="47">
        <f t="shared" si="1"/>
        <v>1.7733543449117584E-2</v>
      </c>
      <c r="M19" s="47">
        <f>+IFERROR(SUM(I$14:I19)/I$27,0)</f>
        <v>0.11262287729548631</v>
      </c>
      <c r="O19" s="43">
        <f t="shared" si="2"/>
        <v>4202.3999999999996</v>
      </c>
      <c r="P19" s="43">
        <f t="shared" si="3"/>
        <v>139.08000000000084</v>
      </c>
      <c r="Q19" s="43">
        <f t="shared" si="4"/>
        <v>0</v>
      </c>
      <c r="R19" s="47" cm="1">
        <f t="array" ref="R19">+IFERROR(INDEX($O19:$Q19,MAX(MATCH('Top Customers'!$C$3,$F$12:$I$12,0)-1,1))/INDEX($O$27:$Q$27,MAX(MATCH('Top Customers'!$C$3,$F$12:$I$12,0)-1,1)),0)</f>
        <v>0</v>
      </c>
      <c r="S19" s="91" cm="1">
        <f t="array" ref="S19">+IFERROR(I19/INDEX($F19:$I19,MATCH(TRUE,$F19:$I19&lt;&gt;0,0)),0)</f>
        <v>1.0330953740719591</v>
      </c>
      <c r="U19" s="47">
        <f t="shared" si="5"/>
        <v>0</v>
      </c>
      <c r="V19" s="47">
        <f t="shared" si="6"/>
        <v>3.3095374071959061E-2</v>
      </c>
      <c r="W19" s="47">
        <f t="shared" si="7"/>
        <v>0</v>
      </c>
      <c r="Y19" s="105" cm="1">
        <f t="array" ref="Y19">+IFERROR(INDEX('Quikirr Data'!$BD$4:$BD$103,
  MATCH(1,('Quikirr Data'!$B$4:$B$103=$D19)*('Quikirr Data'!$NB$4:$NB$103=$C19),0),
  1),"N/A")</f>
        <v>45016</v>
      </c>
    </row>
    <row r="20" spans="3:25" x14ac:dyDescent="0.25">
      <c r="C20" s="81">
        <f t="shared" si="8"/>
        <v>7</v>
      </c>
      <c r="D20" s="85">
        <f>+IFERROR(INDEX('Quikirr Data'!$B$4:$B$103,MATCH($C20,'Quikirr Data'!$NB$4:$NB$103,0),1),"")</f>
        <v>51</v>
      </c>
      <c r="F20" s="43">
        <f>+IFERROR(INDEX('Quikirr Data'!$C$4:$AM$103,MATCH($C20,'Quikirr Data'!$NB$4:$NB$103,0),MATCH(F$12,'Quikirr Data'!$C$3:$AM$3,0)),0)*ToC!$E$15/ToC!$E$10</f>
        <v>4188</v>
      </c>
      <c r="G20" s="43">
        <f>+IFERROR(INDEX('Quikirr Data'!$C$4:$AM$103,MATCH($C20,'Quikirr Data'!$NB$4:$NB$103,0),MATCH(G$12,'Quikirr Data'!$C$3:$AM$3,0)),0)*ToC!$E$15/ToC!$E$10</f>
        <v>4188</v>
      </c>
      <c r="H20" s="43">
        <f>+IFERROR(INDEX('Quikirr Data'!$C$4:$AM$103,MATCH($C20,'Quikirr Data'!$NB$4:$NB$103,0),MATCH(H$12,'Quikirr Data'!$C$3:$AM$3,0)),0)*ToC!$E$15/ToC!$E$10</f>
        <v>4188</v>
      </c>
      <c r="I20" s="43">
        <f>+IFERROR(INDEX('Quikirr Data'!$C$4:$AM$103,MATCH($C20,'Quikirr Data'!$NB$4:$NB$103,0),MATCH(I$12,'Quikirr Data'!$C$3:$AM$3,0)),0)*ToC!$E$15/ToC!$E$10</f>
        <v>4334.6400000000003</v>
      </c>
      <c r="K20" s="47">
        <f t="shared" si="0"/>
        <v>1.153780919966918E-2</v>
      </c>
      <c r="L20" s="47">
        <f t="shared" si="1"/>
        <v>1.7705604258520836E-2</v>
      </c>
      <c r="M20" s="47">
        <f>+IFERROR(SUM(I$14:I20)/I$27,0)</f>
        <v>0.13032848155400714</v>
      </c>
      <c r="O20" s="43">
        <f t="shared" si="2"/>
        <v>0</v>
      </c>
      <c r="P20" s="43">
        <f t="shared" si="3"/>
        <v>0</v>
      </c>
      <c r="Q20" s="43">
        <f t="shared" si="4"/>
        <v>146.64000000000033</v>
      </c>
      <c r="R20" s="47" cm="1">
        <f t="array" ref="R20">+IFERROR(INDEX($O20:$Q20,MAX(MATCH('Top Customers'!$C$3,$F$12:$I$12,0)-1,1))/INDEX($O$27:$Q$27,MAX(MATCH('Top Customers'!$C$3,$F$12:$I$12,0)-1,1)),0)</f>
        <v>6.8098480880041815E-3</v>
      </c>
      <c r="S20" s="91" cm="1">
        <f t="array" ref="S20">+IFERROR(I20/INDEX($F20:$I20,MATCH(TRUE,$F20:$I20&lt;&gt;0,0)),0)</f>
        <v>1.0350143266475647</v>
      </c>
      <c r="U20" s="47">
        <f t="shared" si="5"/>
        <v>0</v>
      </c>
      <c r="V20" s="47">
        <f t="shared" si="6"/>
        <v>0</v>
      </c>
      <c r="W20" s="47">
        <f t="shared" si="7"/>
        <v>3.5014326647564653E-2</v>
      </c>
      <c r="Y20" s="105" cm="1">
        <f t="array" ref="Y20">+IFERROR(INDEX('Quikirr Data'!$BD$4:$BD$103,
  MATCH(1,('Quikirr Data'!$B$4:$B$103=$D20)*('Quikirr Data'!$NB$4:$NB$103=$C20),0),
  1),"N/A")</f>
        <v>44926</v>
      </c>
    </row>
    <row r="21" spans="3:25" x14ac:dyDescent="0.25">
      <c r="C21" s="81">
        <f t="shared" si="8"/>
        <v>8</v>
      </c>
      <c r="D21" s="85">
        <f>+IFERROR(INDEX('Quikirr Data'!$B$4:$B$103,MATCH($C21,'Quikirr Data'!$NB$4:$NB$103,0),1),"")</f>
        <v>62</v>
      </c>
      <c r="F21" s="43">
        <f>+IFERROR(INDEX('Quikirr Data'!$C$4:$AM$103,MATCH($C21,'Quikirr Data'!$NB$4:$NB$103,0),MATCH(F$12,'Quikirr Data'!$C$3:$AM$3,0)),0)*ToC!$E$15/ToC!$E$10</f>
        <v>0</v>
      </c>
      <c r="G21" s="43">
        <f>+IFERROR(INDEX('Quikirr Data'!$C$4:$AM$103,MATCH($C21,'Quikirr Data'!$NB$4:$NB$103,0),MATCH(G$12,'Quikirr Data'!$C$3:$AM$3,0)),0)*ToC!$E$15/ToC!$E$10</f>
        <v>0</v>
      </c>
      <c r="H21" s="43">
        <f>+IFERROR(INDEX('Quikirr Data'!$C$4:$AM$103,MATCH($C21,'Quikirr Data'!$NB$4:$NB$103,0),MATCH(H$12,'Quikirr Data'!$C$3:$AM$3,0)),0)*ToC!$E$15/ToC!$E$10</f>
        <v>0</v>
      </c>
      <c r="I21" s="43">
        <f>+IFERROR(INDEX('Quikirr Data'!$C$4:$AM$103,MATCH($C21,'Quikirr Data'!$NB$4:$NB$103,0),MATCH(I$12,'Quikirr Data'!$C$3:$AM$3,0)),0)*ToC!$E$15/ToC!$E$10</f>
        <v>4334.6400000000003</v>
      </c>
      <c r="K21" s="47">
        <f t="shared" si="0"/>
        <v>0</v>
      </c>
      <c r="L21" s="47">
        <f t="shared" si="1"/>
        <v>1.7705604258520836E-2</v>
      </c>
      <c r="M21" s="47">
        <f>+IFERROR(SUM(I$14:I21)/I$27,0)</f>
        <v>0.148034085812528</v>
      </c>
      <c r="O21" s="43">
        <f t="shared" si="2"/>
        <v>0</v>
      </c>
      <c r="P21" s="43">
        <f t="shared" si="3"/>
        <v>0</v>
      </c>
      <c r="Q21" s="43">
        <f t="shared" si="4"/>
        <v>4334.6400000000003</v>
      </c>
      <c r="R21" s="47" cm="1">
        <f t="array" ref="R21">+IFERROR(INDEX($O21:$Q21,MAX(MATCH('Top Customers'!$C$3,$F$12:$I$12,0)-1,1))/INDEX($O$27:$Q$27,MAX(MATCH('Top Customers'!$C$3,$F$12:$I$12,0)-1,1)),0)</f>
        <v>0.20129732621512808</v>
      </c>
      <c r="S21" s="91" cm="1">
        <f t="array" ref="S21">+IFERROR(I21/INDEX($F21:$I21,MATCH(TRUE,$F21:$I21&lt;&gt;0,0)),0)</f>
        <v>1</v>
      </c>
      <c r="U21" s="47">
        <f t="shared" si="5"/>
        <v>0</v>
      </c>
      <c r="V21" s="47">
        <f t="shared" si="6"/>
        <v>0</v>
      </c>
      <c r="W21" s="47">
        <f t="shared" si="7"/>
        <v>0</v>
      </c>
      <c r="Y21" s="105" cm="1">
        <f t="array" ref="Y21">+IFERROR(INDEX('Quikirr Data'!$BD$4:$BD$103,
  MATCH(1,('Quikirr Data'!$B$4:$B$103=$D21)*('Quikirr Data'!$NB$4:$NB$103=$C21),0),
  1),"N/A")</f>
        <v>45838</v>
      </c>
    </row>
    <row r="22" spans="3:25" x14ac:dyDescent="0.25">
      <c r="C22" s="81">
        <f t="shared" si="8"/>
        <v>9</v>
      </c>
      <c r="D22" s="85">
        <f>+IFERROR(INDEX('Quikirr Data'!$B$4:$B$103,MATCH($C22,'Quikirr Data'!$NB$4:$NB$103,0),1),"")</f>
        <v>68</v>
      </c>
      <c r="F22" s="43">
        <f>+IFERROR(INDEX('Quikirr Data'!$C$4:$AM$103,MATCH($C22,'Quikirr Data'!$NB$4:$NB$103,0),MATCH(F$12,'Quikirr Data'!$C$3:$AM$3,0)),0)*ToC!$E$15/ToC!$E$10</f>
        <v>0</v>
      </c>
      <c r="G22" s="43">
        <f>+IFERROR(INDEX('Quikirr Data'!$C$4:$AM$103,MATCH($C22,'Quikirr Data'!$NB$4:$NB$103,0),MATCH(G$12,'Quikirr Data'!$C$3:$AM$3,0)),0)*ToC!$E$15/ToC!$E$10</f>
        <v>0</v>
      </c>
      <c r="H22" s="43">
        <f>+IFERROR(INDEX('Quikirr Data'!$C$4:$AM$103,MATCH($C22,'Quikirr Data'!$NB$4:$NB$103,0),MATCH(H$12,'Quikirr Data'!$C$3:$AM$3,0)),0)*ToC!$E$15/ToC!$E$10</f>
        <v>0</v>
      </c>
      <c r="I22" s="43">
        <f>+IFERROR(INDEX('Quikirr Data'!$C$4:$AM$103,MATCH($C22,'Quikirr Data'!$NB$4:$NB$103,0),MATCH(I$12,'Quikirr Data'!$C$3:$AM$3,0)),0)*ToC!$E$15/ToC!$E$10</f>
        <v>4334.6400000000003</v>
      </c>
      <c r="K22" s="47">
        <f t="shared" si="0"/>
        <v>0</v>
      </c>
      <c r="L22" s="47">
        <f t="shared" si="1"/>
        <v>1.7705604258520836E-2</v>
      </c>
      <c r="M22" s="47">
        <f>+IFERROR(SUM(I$14:I22)/I$27,0)</f>
        <v>0.16573969007104883</v>
      </c>
      <c r="O22" s="43">
        <f t="shared" si="2"/>
        <v>0</v>
      </c>
      <c r="P22" s="43">
        <f t="shared" si="3"/>
        <v>0</v>
      </c>
      <c r="Q22" s="43">
        <f t="shared" si="4"/>
        <v>4334.6400000000003</v>
      </c>
      <c r="R22" s="47" cm="1">
        <f t="array" ref="R22">+IFERROR(INDEX($O22:$Q22,MAX(MATCH('Top Customers'!$C$3,$F$12:$I$12,0)-1,1))/INDEX($O$27:$Q$27,MAX(MATCH('Top Customers'!$C$3,$F$12:$I$12,0)-1,1)),0)</f>
        <v>0.20129732621512808</v>
      </c>
      <c r="S22" s="91" cm="1">
        <f t="array" ref="S22">+IFERROR(I22/INDEX($F22:$I22,MATCH(TRUE,$F22:$I22&lt;&gt;0,0)),0)</f>
        <v>1</v>
      </c>
      <c r="U22" s="47">
        <f t="shared" si="5"/>
        <v>0</v>
      </c>
      <c r="V22" s="47">
        <f t="shared" si="6"/>
        <v>0</v>
      </c>
      <c r="W22" s="47">
        <f t="shared" si="7"/>
        <v>0</v>
      </c>
      <c r="Y22" s="105" cm="1">
        <f t="array" ref="Y22">+IFERROR(INDEX('Quikirr Data'!$BD$4:$BD$103,
  MATCH(1,('Quikirr Data'!$B$4:$B$103=$D22)*('Quikirr Data'!$NB$4:$NB$103=$C22),0),
  1),"N/A")</f>
        <v>45838</v>
      </c>
    </row>
    <row r="23" spans="3:25" x14ac:dyDescent="0.25">
      <c r="C23" s="81">
        <f t="shared" si="8"/>
        <v>10</v>
      </c>
      <c r="D23" s="85">
        <f>+IFERROR(INDEX('Quikirr Data'!$B$4:$B$103,MATCH($C23,'Quikirr Data'!$NB$4:$NB$103,0),1),"")</f>
        <v>91</v>
      </c>
      <c r="F23" s="43">
        <f>+IFERROR(INDEX('Quikirr Data'!$C$4:$AM$103,MATCH($C23,'Quikirr Data'!$NB$4:$NB$103,0),MATCH(F$12,'Quikirr Data'!$C$3:$AM$3,0)),0)*ToC!$E$15/ToC!$E$10</f>
        <v>4188</v>
      </c>
      <c r="G23" s="43">
        <f>+IFERROR(INDEX('Quikirr Data'!$C$4:$AM$103,MATCH($C23,'Quikirr Data'!$NB$4:$NB$103,0),MATCH(G$12,'Quikirr Data'!$C$3:$AM$3,0)),0)*ToC!$E$15/ToC!$E$10</f>
        <v>4188</v>
      </c>
      <c r="H23" s="43">
        <f>+IFERROR(INDEX('Quikirr Data'!$C$4:$AM$103,MATCH($C23,'Quikirr Data'!$NB$4:$NB$103,0),MATCH(H$12,'Quikirr Data'!$C$3:$AM$3,0)),0)*ToC!$E$15/ToC!$E$10</f>
        <v>4188</v>
      </c>
      <c r="I23" s="43">
        <f>+IFERROR(INDEX('Quikirr Data'!$C$4:$AM$103,MATCH($C23,'Quikirr Data'!$NB$4:$NB$103,0),MATCH(I$12,'Quikirr Data'!$C$3:$AM$3,0)),0)*ToC!$E$15/ToC!$E$10</f>
        <v>4334.6400000000003</v>
      </c>
      <c r="K23" s="47">
        <f t="shared" si="0"/>
        <v>1.153780919966918E-2</v>
      </c>
      <c r="L23" s="47">
        <f t="shared" si="1"/>
        <v>1.7705604258520836E-2</v>
      </c>
      <c r="M23" s="47">
        <f>+IFERROR(SUM(I$14:I23)/I$27,0)</f>
        <v>0.18344529432956966</v>
      </c>
      <c r="O23" s="43">
        <f t="shared" si="2"/>
        <v>0</v>
      </c>
      <c r="P23" s="43">
        <f t="shared" si="3"/>
        <v>0</v>
      </c>
      <c r="Q23" s="43">
        <f t="shared" si="4"/>
        <v>146.64000000000033</v>
      </c>
      <c r="R23" s="47" cm="1">
        <f t="array" ref="R23">+IFERROR(INDEX($O23:$Q23,MAX(MATCH('Top Customers'!$C$3,$F$12:$I$12,0)-1,1))/INDEX($O$27:$Q$27,MAX(MATCH('Top Customers'!$C$3,$F$12:$I$12,0)-1,1)),0)</f>
        <v>6.8098480880041815E-3</v>
      </c>
      <c r="S23" s="91" cm="1">
        <f t="array" ref="S23">+IFERROR(I23/INDEX($F23:$I23,MATCH(TRUE,$F23:$I23&lt;&gt;0,0)),0)</f>
        <v>1.0350143266475647</v>
      </c>
      <c r="U23" s="47">
        <f t="shared" si="5"/>
        <v>0</v>
      </c>
      <c r="V23" s="47">
        <f t="shared" si="6"/>
        <v>0</v>
      </c>
      <c r="W23" s="47">
        <f t="shared" si="7"/>
        <v>3.5014326647564653E-2</v>
      </c>
      <c r="Y23" s="105" cm="1">
        <f t="array" ref="Y23">+IFERROR(INDEX('Quikirr Data'!$BD$4:$BD$103,
  MATCH(1,('Quikirr Data'!$B$4:$B$103=$D23)*('Quikirr Data'!$NB$4:$NB$103=$C23),0),
  1),"N/A")</f>
        <v>44926</v>
      </c>
    </row>
    <row r="24" spans="3:25" s="11" customFormat="1" x14ac:dyDescent="0.25">
      <c r="D24" s="84" t="str">
        <f>+"Total Top "&amp;COUNTA('Top Customers'!$D$14:$D$23)</f>
        <v>Total Top 10</v>
      </c>
      <c r="F24" s="89">
        <f>+SUM(F$14:F$23)</f>
        <v>28609.8</v>
      </c>
      <c r="G24" s="89">
        <f>+SUM(G$14:G$23)</f>
        <v>32774.400000000001</v>
      </c>
      <c r="H24" s="89">
        <f>+SUM(H$14:H$23)</f>
        <v>35015.160000000003</v>
      </c>
      <c r="I24" s="89">
        <f>+SUM(I$14:I$23)</f>
        <v>44910.6</v>
      </c>
      <c r="K24" s="90">
        <f t="shared" si="0"/>
        <v>0.16219234833762974</v>
      </c>
      <c r="L24" s="90">
        <f t="shared" si="1"/>
        <v>0.18344529432956966</v>
      </c>
      <c r="M24" s="90">
        <f>+M23</f>
        <v>0.18344529432956966</v>
      </c>
      <c r="O24" s="89">
        <f t="shared" si="2"/>
        <v>4164.6000000000022</v>
      </c>
      <c r="P24" s="89">
        <f t="shared" si="3"/>
        <v>2240.760000000002</v>
      </c>
      <c r="Q24" s="89">
        <f t="shared" si="4"/>
        <v>9895.4399999999951</v>
      </c>
      <c r="R24" s="90" cm="1">
        <f t="array" ref="R24">+IFERROR(INDEX($O24:$Q24,MAX(MATCH('Top Customers'!$C$3,$F$12:$I$12,0)-1,1))/INDEX($O$27:$Q$27,MAX(MATCH('Top Customers'!$C$3,$F$12:$I$12,0)-1,1)),0)</f>
        <v>0.45953657367675882</v>
      </c>
      <c r="S24" s="92" cm="1">
        <f t="array" ref="S24">+IFERROR(I24/INDEX($F24:$I24,MATCH(TRUE,$F24:$I24&lt;&gt;0,0)),0)</f>
        <v>1.5697628085481199</v>
      </c>
      <c r="U24" s="90">
        <f t="shared" si="5"/>
        <v>0.1455655055260785</v>
      </c>
      <c r="V24" s="90">
        <f t="shared" si="6"/>
        <v>6.8369214997070937E-2</v>
      </c>
      <c r="W24" s="90">
        <f t="shared" si="7"/>
        <v>0.28260444904435666</v>
      </c>
    </row>
    <row r="25" spans="3:25" x14ac:dyDescent="0.25">
      <c r="K25" s="47"/>
      <c r="L25" s="47"/>
      <c r="M25" s="47"/>
    </row>
    <row r="26" spans="3:25" x14ac:dyDescent="0.25">
      <c r="D26" s="40" t="str">
        <f>+"Other ("&amp;COUNTIFS('Quikirr Data'!$NB$4:$NB$103,"&gt;10")&amp;" Customers)"</f>
        <v>Other (75 Customers)</v>
      </c>
      <c r="F26" s="43">
        <f>+F27-F24</f>
        <v>187413.00000000003</v>
      </c>
      <c r="G26" s="43">
        <f>+G27-G24</f>
        <v>181939.19999999995</v>
      </c>
      <c r="H26" s="43">
        <f>+H27-H24</f>
        <v>188268.71999999997</v>
      </c>
      <c r="I26" s="43">
        <f>+I27-I24</f>
        <v>199906.80000000005</v>
      </c>
      <c r="K26" s="47">
        <f>+IFERROR((I26/F26)^(1/YEARFRAC($F$12,$I$12))-1,0)</f>
        <v>2.1745228377469727E-2</v>
      </c>
      <c r="L26" s="47">
        <f>+IFERROR(I26/I$27,0)</f>
        <v>0.81655470567043031</v>
      </c>
      <c r="M26" s="47">
        <f>+M27-M24</f>
        <v>0.81655470567043031</v>
      </c>
      <c r="O26" s="43">
        <f t="shared" ref="O26:Q27" si="9">+G26-F26</f>
        <v>-5473.8000000000757</v>
      </c>
      <c r="P26" s="43">
        <f t="shared" si="9"/>
        <v>6329.5200000000186</v>
      </c>
      <c r="Q26" s="43">
        <f t="shared" si="9"/>
        <v>11638.080000000075</v>
      </c>
      <c r="R26" s="47" cm="1">
        <f t="array" ref="R26">+IFERROR(INDEX($O26:$Q26,MAX(MATCH('Top Customers'!$C$3,$F$12:$I$12,0)-1,1))/INDEX($O$27:$Q$27,MAX(MATCH('Top Customers'!$C$3,$F$12:$I$12,0)-1,1)),0)</f>
        <v>0.54046342632324085</v>
      </c>
      <c r="S26" s="91" cm="1">
        <f t="array" ref="S26">+IFERROR(I26/INDEX($F26:$I26,MATCH(TRUE,$F26:$I26&lt;&gt;0,0)),0)</f>
        <v>1.0666645323430073</v>
      </c>
      <c r="U26" s="47">
        <f t="shared" ref="U26:W27" si="10">+IFERROR(G26/F26-1,0)</f>
        <v>-2.9207152118583379E-2</v>
      </c>
      <c r="V26" s="47">
        <f t="shared" si="10"/>
        <v>3.4789204305614385E-2</v>
      </c>
      <c r="W26" s="47">
        <f t="shared" si="10"/>
        <v>6.1816322966449677E-2</v>
      </c>
    </row>
    <row r="27" spans="3:25" s="11" customFormat="1" x14ac:dyDescent="0.25">
      <c r="D27" s="84" t="s">
        <v>109</v>
      </c>
      <c r="F27" s="89">
        <f>+SUM('Quikirr Data'!C$4:C$103)*ToC!$E$15/ToC!$E$10</f>
        <v>216022.80000000002</v>
      </c>
      <c r="G27" s="89">
        <f>+SUM('Quikirr Data'!O$4:O$103)*ToC!$E$15/ToC!$E$10</f>
        <v>214713.59999999995</v>
      </c>
      <c r="H27" s="89">
        <f>+SUM('Quikirr Data'!AA$4:AA$103)*ToC!$E$15/ToC!$E$10</f>
        <v>223283.87999999998</v>
      </c>
      <c r="I27" s="89">
        <f>+SUM('Quikirr Data'!AM$4:AM$103)*ToC!$E$15/ToC!$E$10</f>
        <v>244817.40000000005</v>
      </c>
      <c r="K27" s="90">
        <f>+IFERROR((I27/F27)^(1/YEARFRAC($F$12,$I$12))-1,0)</f>
        <v>4.2591620594521151E-2</v>
      </c>
      <c r="L27" s="90">
        <f>+IFERROR(I27/I$27,0)</f>
        <v>1</v>
      </c>
      <c r="M27" s="90">
        <f>1</f>
        <v>1</v>
      </c>
      <c r="O27" s="89">
        <f t="shared" si="9"/>
        <v>-1309.2000000000698</v>
      </c>
      <c r="P27" s="89">
        <f t="shared" si="9"/>
        <v>8570.2800000000279</v>
      </c>
      <c r="Q27" s="89">
        <f t="shared" si="9"/>
        <v>21533.520000000077</v>
      </c>
      <c r="R27" s="90" cm="1">
        <f t="array" ref="R27">+IFERROR(INDEX($O$27:$Q$27,MAX(MATCH('Top Customers'!$C$3,$F$12:$I$12,0)-1,1))/INDEX($O$27:$Q$27,MAX(MATCH('Top Customers'!$C$3,$F$12:$I$12,0)-1,1)),0)</f>
        <v>1</v>
      </c>
      <c r="S27" s="92" cm="1">
        <f t="array" ref="S27">+IFERROR(I27/INDEX($F27:$I27,MATCH(TRUE,$F27:$I27&lt;&gt;0,0)),0)</f>
        <v>1.1332942633833096</v>
      </c>
      <c r="U27" s="90">
        <f t="shared" si="10"/>
        <v>-6.0604713946864619E-3</v>
      </c>
      <c r="V27" s="90">
        <f t="shared" si="10"/>
        <v>3.9914937852097099E-2</v>
      </c>
      <c r="W27" s="90">
        <f t="shared" si="10"/>
        <v>9.6440101273769008E-2</v>
      </c>
    </row>
    <row r="29" spans="3:25" x14ac:dyDescent="0.25">
      <c r="D29" s="93" t="s">
        <v>110</v>
      </c>
      <c r="E29" s="94"/>
      <c r="F29" s="95">
        <f>+SUM(F$14:F$18)</f>
        <v>20233.8</v>
      </c>
      <c r="G29" s="95">
        <f>+SUM(G$14:G$18)</f>
        <v>20196</v>
      </c>
      <c r="H29" s="95">
        <f>+SUM(H$14:H$18)</f>
        <v>22297.68</v>
      </c>
      <c r="I29" s="95">
        <f>+SUM(I$14:I$18)</f>
        <v>23230.559999999998</v>
      </c>
      <c r="J29" s="94"/>
      <c r="K29" s="96">
        <f>+IFERROR((I29/F29)^(1/YEARFRAC($F$12,$I$12))-1,0)</f>
        <v>4.7114263321498262E-2</v>
      </c>
      <c r="L29" s="96">
        <f>+IFERROR(I29/I$27,0)</f>
        <v>9.4889333846368731E-2</v>
      </c>
      <c r="M29" s="96">
        <f>+L29</f>
        <v>9.4889333846368731E-2</v>
      </c>
      <c r="N29" s="94"/>
      <c r="O29" s="95">
        <f t="shared" ref="O29:Q30" si="11">+G29-F29</f>
        <v>-37.799999999999272</v>
      </c>
      <c r="P29" s="95">
        <f t="shared" si="11"/>
        <v>2101.6800000000003</v>
      </c>
      <c r="Q29" s="95">
        <f t="shared" si="11"/>
        <v>932.87999999999738</v>
      </c>
      <c r="R29" s="96" cm="1">
        <f t="array" ref="R29">+IFERROR(INDEX($O29:$Q29,MAX(MATCH('Top Customers'!$C$3,$F$12:$I$12,0)-1,1))/INDEX($O$27:$Q$27,MAX(MATCH('Top Customers'!$C$3,$F$12:$I$12,0)-1,1)),0)</f>
        <v>4.332222507049447E-2</v>
      </c>
      <c r="S29" s="97" cm="1">
        <f t="array" ref="S29">+IFERROR(I29/INDEX($F29:$I29,MATCH(TRUE,$F29:$I29&lt;&gt;0,0)),0)</f>
        <v>1.1481066334549119</v>
      </c>
      <c r="T29" s="94"/>
      <c r="U29" s="96">
        <f t="shared" ref="U29:W30" si="12">+IFERROR(G29/F29-1,0)</f>
        <v>-1.8681611956231636E-3</v>
      </c>
      <c r="V29" s="96">
        <f t="shared" si="12"/>
        <v>0.1040641711229946</v>
      </c>
      <c r="W29" s="98">
        <f t="shared" si="12"/>
        <v>4.183753646119226E-2</v>
      </c>
    </row>
    <row r="30" spans="3:25" x14ac:dyDescent="0.25">
      <c r="D30" s="99" t="s">
        <v>111</v>
      </c>
      <c r="E30" s="100"/>
      <c r="F30" s="101">
        <f>+SUM(F$14:F$23)</f>
        <v>28609.8</v>
      </c>
      <c r="G30" s="101">
        <f>+SUM(G$14:G$23)</f>
        <v>32774.400000000001</v>
      </c>
      <c r="H30" s="101">
        <f>+SUM(H$14:H$23)</f>
        <v>35015.160000000003</v>
      </c>
      <c r="I30" s="101">
        <f>+SUM(I$14:I$23)</f>
        <v>44910.6</v>
      </c>
      <c r="J30" s="100"/>
      <c r="K30" s="102">
        <f>+IFERROR((I30/F30)^(1/YEARFRAC($F$12,$I$12))-1,0)</f>
        <v>0.16219234833762974</v>
      </c>
      <c r="L30" s="102">
        <f>+IFERROR(I30/I$27,0)</f>
        <v>0.18344529432956966</v>
      </c>
      <c r="M30" s="102">
        <f>+L30</f>
        <v>0.18344529432956966</v>
      </c>
      <c r="N30" s="100"/>
      <c r="O30" s="101">
        <f t="shared" si="11"/>
        <v>4164.6000000000022</v>
      </c>
      <c r="P30" s="101">
        <f t="shared" si="11"/>
        <v>2240.760000000002</v>
      </c>
      <c r="Q30" s="101">
        <f t="shared" si="11"/>
        <v>9895.4399999999951</v>
      </c>
      <c r="R30" s="102" cm="1">
        <f t="array" ref="R30">+IFERROR(INDEX($O30:$Q30,MAX(MATCH('Top Customers'!$C$3,$F$12:$I$12,0)-1,1))/INDEX($O$27:$Q$27,MAX(MATCH('Top Customers'!$C$3,$F$12:$I$12,0)-1,1)),0)</f>
        <v>0.45953657367675882</v>
      </c>
      <c r="S30" s="103" cm="1">
        <f t="array" ref="S30">+IFERROR(I30/INDEX($F30:$I30,MATCH(TRUE,$F30:$I30&lt;&gt;0,0)),0)</f>
        <v>1.5697628085481199</v>
      </c>
      <c r="T30" s="100"/>
      <c r="U30" s="102">
        <f t="shared" si="12"/>
        <v>0.1455655055260785</v>
      </c>
      <c r="V30" s="102">
        <f t="shared" si="12"/>
        <v>6.8369214997070937E-2</v>
      </c>
      <c r="W30" s="104">
        <f t="shared" si="12"/>
        <v>0.28260444904435666</v>
      </c>
    </row>
    <row r="33" spans="3:25" ht="14.25" thickBot="1" x14ac:dyDescent="0.3">
      <c r="C33" s="76" t="str">
        <f>"Top New Customers as of " &amp; TEXT('Top Customers'!C3, "mmm-yy")</f>
        <v>Top New Customers as of Dec-25</v>
      </c>
      <c r="D33" s="77"/>
      <c r="E33" s="77"/>
      <c r="F33" s="77"/>
      <c r="G33" s="77"/>
      <c r="H33" s="77"/>
      <c r="I33" s="77"/>
      <c r="J33" s="77"/>
      <c r="K33" s="77"/>
      <c r="L33" s="77"/>
      <c r="M33" s="77"/>
      <c r="N33" s="77"/>
      <c r="O33" s="77"/>
      <c r="P33" s="77"/>
      <c r="Q33" s="77"/>
      <c r="R33" s="77"/>
      <c r="S33" s="77"/>
      <c r="T33" s="77"/>
      <c r="U33" s="77"/>
      <c r="V33" s="77"/>
      <c r="W33" s="77"/>
      <c r="X33" s="77"/>
      <c r="Y33" s="77"/>
    </row>
    <row r="34" spans="3:25" x14ac:dyDescent="0.25">
      <c r="C34" s="37" t="str">
        <f>"("&amp;ToC!$E$12&amp;" "&amp;ToC!$E$11&amp;")"</f>
        <v>($ Actuals)</v>
      </c>
    </row>
    <row r="35" spans="3:25" x14ac:dyDescent="0.25">
      <c r="F35" s="12" t="s">
        <v>112</v>
      </c>
      <c r="G35" s="12"/>
      <c r="H35" s="12"/>
      <c r="I35" s="12"/>
      <c r="O35" s="87" t="s">
        <v>114</v>
      </c>
      <c r="P35" s="13"/>
      <c r="Q35" s="13"/>
      <c r="U35" s="87" t="s">
        <v>57</v>
      </c>
      <c r="V35" s="13"/>
      <c r="W35" s="13"/>
    </row>
    <row r="36" spans="3:25" x14ac:dyDescent="0.25">
      <c r="C36" s="83" t="s">
        <v>107</v>
      </c>
      <c r="D36" s="82" t="s">
        <v>108</v>
      </c>
      <c r="F36" s="86">
        <v>44926</v>
      </c>
      <c r="G36" s="86">
        <v>45291</v>
      </c>
      <c r="H36" s="86">
        <v>45657</v>
      </c>
      <c r="I36" s="86">
        <v>46022</v>
      </c>
      <c r="K36" s="83" t="str">
        <f>TEXT($F$36,"mmm 'yy")&amp;" - "&amp;TEXT($I$36,"mmm 'yy")&amp;" CAGR"</f>
        <v>Dec '22 - Dec '25 CAGR</v>
      </c>
      <c r="L36" s="83" t="str">
        <f>"% of New "&amp;$Q$36</f>
        <v>% of New Dec '24 - Dec '25</v>
      </c>
      <c r="M36" s="83" t="s">
        <v>113</v>
      </c>
      <c r="O36" s="88" t="str">
        <f>TEXT($F$36,"mmm 'yy")&amp;" - "&amp;TEXT($G$36,"mmm 'yy")</f>
        <v>Dec '22 - Dec '23</v>
      </c>
      <c r="P36" s="88" t="str">
        <f>TEXT($G$36,"mmm 'yy")&amp;" - "&amp;TEXT($H$36,"mmm 'yy")</f>
        <v>Dec '23 - Dec '24</v>
      </c>
      <c r="Q36" s="88" t="str">
        <f>TEXT($H$36,"mmm 'yy")&amp;" - "&amp;TEXT($I$36,"mmm 'yy")</f>
        <v>Dec '24 - Dec '25</v>
      </c>
      <c r="R36" s="83" t="str">
        <f>"% of "&amp;$Q$36&amp;" Growth"</f>
        <v>% of Dec '24 - Dec '25 Growth</v>
      </c>
      <c r="S36" s="83" t="s">
        <v>115</v>
      </c>
      <c r="U36" s="88" t="str">
        <f>TEXT($F$36,"mmm 'yy")&amp;" - "&amp;TEXT($G$36,"mmm 'yy")</f>
        <v>Dec '22 - Dec '23</v>
      </c>
      <c r="V36" s="88" t="str">
        <f>TEXT($G$36,"mmm 'yy")&amp;" - "&amp;TEXT($H$36,"mmm 'yy")</f>
        <v>Dec '23 - Dec '24</v>
      </c>
      <c r="W36" s="88" t="str">
        <f>TEXT($H$36,"mmm 'yy")&amp;" - "&amp;TEXT($I$36,"mmm 'yy")</f>
        <v>Dec '24 - Dec '25</v>
      </c>
      <c r="Y36" s="82" t="s">
        <v>116</v>
      </c>
    </row>
    <row r="37" spans="3:25" ht="3.95" customHeight="1" x14ac:dyDescent="0.25"/>
    <row r="38" spans="3:25" x14ac:dyDescent="0.25">
      <c r="C38" s="81">
        <v>1</v>
      </c>
      <c r="D38" s="85">
        <f>+IFERROR(INDEX('Quikirr Data'!$B$4:$B$103,MATCH($C38,'Quikirr Data'!$NC$4:$NC$103,0),1),"")</f>
        <v>62</v>
      </c>
      <c r="F38" s="43">
        <f>+IFERROR(INDEX('Quikirr Data'!$C$4:$AM$103,MATCH($C38,'Quikirr Data'!$NC$4:$NC$103,0),MATCH(F$36,'Quikirr Data'!$C$3:$AM$3,0)),0)*ToC!$E$15/ToC!$E$10</f>
        <v>0</v>
      </c>
      <c r="G38" s="43">
        <f>+IFERROR(INDEX('Quikirr Data'!$C$4:$AM$103,MATCH($C38,'Quikirr Data'!$NC$4:$NC$103,0),MATCH(G$36,'Quikirr Data'!$C$3:$AM$3,0)),0)*ToC!$E$15/ToC!$E$10</f>
        <v>0</v>
      </c>
      <c r="H38" s="43">
        <f>+IFERROR(INDEX('Quikirr Data'!$C$4:$AM$103,MATCH($C38,'Quikirr Data'!$NC$4:$NC$103,0),MATCH(H$36,'Quikirr Data'!$C$3:$AM$3,0)),0)*ToC!$E$15/ToC!$E$10</f>
        <v>0</v>
      </c>
      <c r="I38" s="43">
        <f>+IFERROR(INDEX('Quikirr Data'!$C$4:$AM$103,MATCH($C38,'Quikirr Data'!$NC$4:$NC$103,0),MATCH(I$36,'Quikirr Data'!$C$3:$AM$3,0)),0)*ToC!$E$15/ToC!$E$10</f>
        <v>4334.6400000000003</v>
      </c>
      <c r="K38" s="47">
        <f t="shared" ref="K38:K48" si="13">+IFERROR((I38/F38)^(1/YEARFRAC($F$36,$I$36))-1,0)</f>
        <v>0</v>
      </c>
      <c r="L38" s="47">
        <f t="shared" ref="L38:L48" si="14">+IFERROR(Q38/Q$51,0)</f>
        <v>0.18339391970106214</v>
      </c>
      <c r="M38" s="47">
        <f>+IFERROR(SUM(Q$38:Q38)/Q$51,0)</f>
        <v>0.18339391970106214</v>
      </c>
      <c r="O38" s="43">
        <f t="shared" ref="O38:O48" si="15">+G38-F38</f>
        <v>0</v>
      </c>
      <c r="P38" s="43">
        <f t="shared" ref="P38:P48" si="16">+H38-G38</f>
        <v>0</v>
      </c>
      <c r="Q38" s="43">
        <f t="shared" ref="Q38:Q48" si="17">+I38-H38</f>
        <v>4334.6400000000003</v>
      </c>
      <c r="R38" s="47" cm="1">
        <f t="array" ref="R38">+IFERROR(INDEX($O38:$Q38,MAX(MATCH('Top Customers'!$C$3,$F$36:$I$36,0)-1,1))/INDEX($O$51:$Q$51,MAX(MATCH('Top Customers'!$C$3,$F$36:$I$36,0)-1,1)),0)</f>
        <v>0.18339391970106214</v>
      </c>
      <c r="S38" s="91" cm="1">
        <f t="array" ref="S38">+IFERROR(I38/INDEX($F38:$I38,MATCH(TRUE,$F38:$I38&lt;&gt;0,0)),0)</f>
        <v>1</v>
      </c>
      <c r="U38" s="47">
        <f t="shared" ref="U38:U48" si="18">+IFERROR(G38/F38-1,0)</f>
        <v>0</v>
      </c>
      <c r="V38" s="47">
        <f t="shared" ref="V38:V48" si="19">+IFERROR(H38/G38-1,0)</f>
        <v>0</v>
      </c>
      <c r="W38" s="47">
        <f t="shared" ref="W38:W48" si="20">+IFERROR(I38/H38-1,0)</f>
        <v>0</v>
      </c>
      <c r="Y38" s="105" cm="1">
        <f t="array" ref="Y38">+IFERROR(INDEX('Quikirr Data'!$BD$4:$BD$103,
  MATCH(1,('Quikirr Data'!$B$4:$B$103=$D38)*('Quikirr Data'!$NC$4:$NC$103=$C38),0),
  1),"N/A")</f>
        <v>45838</v>
      </c>
    </row>
    <row r="39" spans="3:25" x14ac:dyDescent="0.25">
      <c r="C39" s="81">
        <f t="shared" ref="C39:C47" si="21">+C38+1</f>
        <v>2</v>
      </c>
      <c r="D39" s="85">
        <f>+IFERROR(INDEX('Quikirr Data'!$B$4:$B$103,MATCH($C39,'Quikirr Data'!$NC$4:$NC$103,0),1),"")</f>
        <v>68</v>
      </c>
      <c r="F39" s="43">
        <f>+IFERROR(INDEX('Quikirr Data'!$C$4:$AM$103,MATCH($C39,'Quikirr Data'!$NC$4:$NC$103,0),MATCH(F$36,'Quikirr Data'!$C$3:$AM$3,0)),0)*ToC!$E$15/ToC!$E$10</f>
        <v>0</v>
      </c>
      <c r="G39" s="43">
        <f>+IFERROR(INDEX('Quikirr Data'!$C$4:$AM$103,MATCH($C39,'Quikirr Data'!$NC$4:$NC$103,0),MATCH(G$36,'Quikirr Data'!$C$3:$AM$3,0)),0)*ToC!$E$15/ToC!$E$10</f>
        <v>0</v>
      </c>
      <c r="H39" s="43">
        <f>+IFERROR(INDEX('Quikirr Data'!$C$4:$AM$103,MATCH($C39,'Quikirr Data'!$NC$4:$NC$103,0),MATCH(H$36,'Quikirr Data'!$C$3:$AM$3,0)),0)*ToC!$E$15/ToC!$E$10</f>
        <v>0</v>
      </c>
      <c r="I39" s="43">
        <f>+IFERROR(INDEX('Quikirr Data'!$C$4:$AM$103,MATCH($C39,'Quikirr Data'!$NC$4:$NC$103,0),MATCH(I$36,'Quikirr Data'!$C$3:$AM$3,0)),0)*ToC!$E$15/ToC!$E$10</f>
        <v>4334.6400000000003</v>
      </c>
      <c r="K39" s="47">
        <f t="shared" si="13"/>
        <v>0</v>
      </c>
      <c r="L39" s="47">
        <f t="shared" si="14"/>
        <v>0.18339391970106214</v>
      </c>
      <c r="M39" s="47">
        <f>+IFERROR(SUM(Q$38:Q39)/Q$51,0)</f>
        <v>0.36678783940212428</v>
      </c>
      <c r="O39" s="43">
        <f t="shared" si="15"/>
        <v>0</v>
      </c>
      <c r="P39" s="43">
        <f t="shared" si="16"/>
        <v>0</v>
      </c>
      <c r="Q39" s="43">
        <f t="shared" si="17"/>
        <v>4334.6400000000003</v>
      </c>
      <c r="R39" s="47" cm="1">
        <f t="array" ref="R39">+IFERROR(INDEX($O39:$Q39,MAX(MATCH('Top Customers'!$C$3,$F$36:$I$36,0)-1,1))/INDEX($O$51:$Q$51,MAX(MATCH('Top Customers'!$C$3,$F$36:$I$36,0)-1,1)),0)</f>
        <v>0.18339391970106214</v>
      </c>
      <c r="S39" s="91" cm="1">
        <f t="array" ref="S39">+IFERROR(I39/INDEX($F39:$I39,MATCH(TRUE,$F39:$I39&lt;&gt;0,0)),0)</f>
        <v>1</v>
      </c>
      <c r="U39" s="47">
        <f t="shared" si="18"/>
        <v>0</v>
      </c>
      <c r="V39" s="47">
        <f t="shared" si="19"/>
        <v>0</v>
      </c>
      <c r="W39" s="47">
        <f t="shared" si="20"/>
        <v>0</v>
      </c>
      <c r="Y39" s="105" cm="1">
        <f t="array" ref="Y39">+IFERROR(INDEX('Quikirr Data'!$BD$4:$BD$103,
  MATCH(1,('Quikirr Data'!$B$4:$B$103=$D39)*('Quikirr Data'!$NC$4:$NC$103=$C39),0),
  1),"N/A")</f>
        <v>45838</v>
      </c>
    </row>
    <row r="40" spans="3:25" x14ac:dyDescent="0.25">
      <c r="C40" s="81">
        <f t="shared" si="21"/>
        <v>3</v>
      </c>
      <c r="D40" s="85">
        <f>+IFERROR(INDEX('Quikirr Data'!$B$4:$B$103,MATCH($C40,'Quikirr Data'!$NC$4:$NC$103,0),1),"")</f>
        <v>63</v>
      </c>
      <c r="F40" s="43">
        <f>+IFERROR(INDEX('Quikirr Data'!$C$4:$AM$103,MATCH($C40,'Quikirr Data'!$NC$4:$NC$103,0),MATCH(F$36,'Quikirr Data'!$C$3:$AM$3,0)),0)*ToC!$E$15/ToC!$E$10</f>
        <v>0</v>
      </c>
      <c r="G40" s="43">
        <f>+IFERROR(INDEX('Quikirr Data'!$C$4:$AM$103,MATCH($C40,'Quikirr Data'!$NC$4:$NC$103,0),MATCH(G$36,'Quikirr Data'!$C$3:$AM$3,0)),0)*ToC!$E$15/ToC!$E$10</f>
        <v>0</v>
      </c>
      <c r="H40" s="43">
        <f>+IFERROR(INDEX('Quikirr Data'!$C$4:$AM$103,MATCH($C40,'Quikirr Data'!$NC$4:$NC$103,0),MATCH(H$36,'Quikirr Data'!$C$3:$AM$3,0)),0)*ToC!$E$15/ToC!$E$10</f>
        <v>0</v>
      </c>
      <c r="I40" s="43">
        <f>+IFERROR(INDEX('Quikirr Data'!$C$4:$AM$103,MATCH($C40,'Quikirr Data'!$NC$4:$NC$103,0),MATCH(I$36,'Quikirr Data'!$C$3:$AM$3,0)),0)*ToC!$E$15/ToC!$E$10</f>
        <v>3713.6400000000003</v>
      </c>
      <c r="K40" s="47">
        <f t="shared" si="13"/>
        <v>0</v>
      </c>
      <c r="L40" s="47">
        <f t="shared" si="14"/>
        <v>0.15712008285778112</v>
      </c>
      <c r="M40" s="47">
        <f>+IFERROR(SUM(Q$38:Q40)/Q$51,0)</f>
        <v>0.52390792225990546</v>
      </c>
      <c r="O40" s="43">
        <f t="shared" si="15"/>
        <v>0</v>
      </c>
      <c r="P40" s="43">
        <f t="shared" si="16"/>
        <v>0</v>
      </c>
      <c r="Q40" s="43">
        <f t="shared" si="17"/>
        <v>3713.6400000000003</v>
      </c>
      <c r="R40" s="47" cm="1">
        <f t="array" ref="R40">+IFERROR(INDEX($O40:$Q40,MAX(MATCH('Top Customers'!$C$3,$F$36:$I$36,0)-1,1))/INDEX($O$51:$Q$51,MAX(MATCH('Top Customers'!$C$3,$F$36:$I$36,0)-1,1)),0)</f>
        <v>0.15712008285778112</v>
      </c>
      <c r="S40" s="91" cm="1">
        <f t="array" ref="S40">+IFERROR(I40/INDEX($F40:$I40,MATCH(TRUE,$F40:$I40&lt;&gt;0,0)),0)</f>
        <v>1</v>
      </c>
      <c r="U40" s="47">
        <f t="shared" si="18"/>
        <v>0</v>
      </c>
      <c r="V40" s="47">
        <f t="shared" si="19"/>
        <v>0</v>
      </c>
      <c r="W40" s="47">
        <f t="shared" si="20"/>
        <v>0</v>
      </c>
      <c r="Y40" s="105" cm="1">
        <f t="array" ref="Y40">+IFERROR(INDEX('Quikirr Data'!$BD$4:$BD$103,
  MATCH(1,('Quikirr Data'!$B$4:$B$103=$D40)*('Quikirr Data'!$NC$4:$NC$103=$C40),0),
  1),"N/A")</f>
        <v>45838</v>
      </c>
    </row>
    <row r="41" spans="3:25" x14ac:dyDescent="0.25">
      <c r="C41" s="81">
        <f t="shared" si="21"/>
        <v>4</v>
      </c>
      <c r="D41" s="85">
        <f>+IFERROR(INDEX('Quikirr Data'!$B$4:$B$103,MATCH($C41,'Quikirr Data'!$NC$4:$NC$103,0),1),"")</f>
        <v>64</v>
      </c>
      <c r="F41" s="43">
        <f>+IFERROR(INDEX('Quikirr Data'!$C$4:$AM$103,MATCH($C41,'Quikirr Data'!$NC$4:$NC$103,0),MATCH(F$36,'Quikirr Data'!$C$3:$AM$3,0)),0)*ToC!$E$15/ToC!$E$10</f>
        <v>0</v>
      </c>
      <c r="G41" s="43">
        <f>+IFERROR(INDEX('Quikirr Data'!$C$4:$AM$103,MATCH($C41,'Quikirr Data'!$NC$4:$NC$103,0),MATCH(G$36,'Quikirr Data'!$C$3:$AM$3,0)),0)*ToC!$E$15/ToC!$E$10</f>
        <v>0</v>
      </c>
      <c r="H41" s="43">
        <f>+IFERROR(INDEX('Quikirr Data'!$C$4:$AM$103,MATCH($C41,'Quikirr Data'!$NC$4:$NC$103,0),MATCH(H$36,'Quikirr Data'!$C$3:$AM$3,0)),0)*ToC!$E$15/ToC!$E$10</f>
        <v>0</v>
      </c>
      <c r="I41" s="43">
        <f>+IFERROR(INDEX('Quikirr Data'!$C$4:$AM$103,MATCH($C41,'Quikirr Data'!$NC$4:$NC$103,0),MATCH(I$36,'Quikirr Data'!$C$3:$AM$3,0)),0)*ToC!$E$15/ToC!$E$10</f>
        <v>3713.6400000000003</v>
      </c>
      <c r="K41" s="47">
        <f t="shared" si="13"/>
        <v>0</v>
      </c>
      <c r="L41" s="47">
        <f t="shared" si="14"/>
        <v>0.15712008285778112</v>
      </c>
      <c r="M41" s="47">
        <f>+IFERROR(SUM(Q$38:Q41)/Q$51,0)</f>
        <v>0.68102800511768657</v>
      </c>
      <c r="O41" s="43">
        <f t="shared" si="15"/>
        <v>0</v>
      </c>
      <c r="P41" s="43">
        <f t="shared" si="16"/>
        <v>0</v>
      </c>
      <c r="Q41" s="43">
        <f t="shared" si="17"/>
        <v>3713.6400000000003</v>
      </c>
      <c r="R41" s="47" cm="1">
        <f t="array" ref="R41">+IFERROR(INDEX($O41:$Q41,MAX(MATCH('Top Customers'!$C$3,$F$36:$I$36,0)-1,1))/INDEX($O$51:$Q$51,MAX(MATCH('Top Customers'!$C$3,$F$36:$I$36,0)-1,1)),0)</f>
        <v>0.15712008285778112</v>
      </c>
      <c r="S41" s="91" cm="1">
        <f t="array" ref="S41">+IFERROR(I41/INDEX($F41:$I41,MATCH(TRUE,$F41:$I41&lt;&gt;0,0)),0)</f>
        <v>1</v>
      </c>
      <c r="U41" s="47">
        <f t="shared" si="18"/>
        <v>0</v>
      </c>
      <c r="V41" s="47">
        <f t="shared" si="19"/>
        <v>0</v>
      </c>
      <c r="W41" s="47">
        <f t="shared" si="20"/>
        <v>0</v>
      </c>
      <c r="Y41" s="105" cm="1">
        <f t="array" ref="Y41">+IFERROR(INDEX('Quikirr Data'!$BD$4:$BD$103,
  MATCH(1,('Quikirr Data'!$B$4:$B$103=$D41)*('Quikirr Data'!$NC$4:$NC$103=$C41),0),
  1),"N/A")</f>
        <v>45838</v>
      </c>
    </row>
    <row r="42" spans="3:25" x14ac:dyDescent="0.25">
      <c r="C42" s="81">
        <f t="shared" si="21"/>
        <v>5</v>
      </c>
      <c r="D42" s="85">
        <f>+IFERROR(INDEX('Quikirr Data'!$B$4:$B$103,MATCH($C42,'Quikirr Data'!$NC$4:$NC$103,0),1),"")</f>
        <v>67</v>
      </c>
      <c r="F42" s="43">
        <f>+IFERROR(INDEX('Quikirr Data'!$C$4:$AM$103,MATCH($C42,'Quikirr Data'!$NC$4:$NC$103,0),MATCH(F$36,'Quikirr Data'!$C$3:$AM$3,0)),0)*ToC!$E$15/ToC!$E$10</f>
        <v>0</v>
      </c>
      <c r="G42" s="43">
        <f>+IFERROR(INDEX('Quikirr Data'!$C$4:$AM$103,MATCH($C42,'Quikirr Data'!$NC$4:$NC$103,0),MATCH(G$36,'Quikirr Data'!$C$3:$AM$3,0)),0)*ToC!$E$15/ToC!$E$10</f>
        <v>0</v>
      </c>
      <c r="H42" s="43">
        <f>+IFERROR(INDEX('Quikirr Data'!$C$4:$AM$103,MATCH($C42,'Quikirr Data'!$NC$4:$NC$103,0),MATCH(H$36,'Quikirr Data'!$C$3:$AM$3,0)),0)*ToC!$E$15/ToC!$E$10</f>
        <v>0</v>
      </c>
      <c r="I42" s="43">
        <f>+IFERROR(INDEX('Quikirr Data'!$C$4:$AM$103,MATCH($C42,'Quikirr Data'!$NC$4:$NC$103,0),MATCH(I$36,'Quikirr Data'!$C$3:$AM$3,0)),0)*ToC!$E$15/ToC!$E$10</f>
        <v>3092.6400000000003</v>
      </c>
      <c r="K42" s="47">
        <f t="shared" si="13"/>
        <v>0</v>
      </c>
      <c r="L42" s="47">
        <f t="shared" si="14"/>
        <v>0.13084624601450012</v>
      </c>
      <c r="M42" s="47">
        <f>+IFERROR(SUM(Q$38:Q42)/Q$51,0)</f>
        <v>0.81187425113218659</v>
      </c>
      <c r="O42" s="43">
        <f t="shared" si="15"/>
        <v>0</v>
      </c>
      <c r="P42" s="43">
        <f t="shared" si="16"/>
        <v>0</v>
      </c>
      <c r="Q42" s="43">
        <f t="shared" si="17"/>
        <v>3092.6400000000003</v>
      </c>
      <c r="R42" s="47" cm="1">
        <f t="array" ref="R42">+IFERROR(INDEX($O42:$Q42,MAX(MATCH('Top Customers'!$C$3,$F$36:$I$36,0)-1,1))/INDEX($O$51:$Q$51,MAX(MATCH('Top Customers'!$C$3,$F$36:$I$36,0)-1,1)),0)</f>
        <v>0.13084624601450012</v>
      </c>
      <c r="S42" s="91" cm="1">
        <f t="array" ref="S42">+IFERROR(I42/INDEX($F42:$I42,MATCH(TRUE,$F42:$I42&lt;&gt;0,0)),0)</f>
        <v>1</v>
      </c>
      <c r="U42" s="47">
        <f t="shared" si="18"/>
        <v>0</v>
      </c>
      <c r="V42" s="47">
        <f t="shared" si="19"/>
        <v>0</v>
      </c>
      <c r="W42" s="47">
        <f t="shared" si="20"/>
        <v>0</v>
      </c>
      <c r="Y42" s="105" cm="1">
        <f t="array" ref="Y42">+IFERROR(INDEX('Quikirr Data'!$BD$4:$BD$103,
  MATCH(1,('Quikirr Data'!$B$4:$B$103=$D42)*('Quikirr Data'!$NC$4:$NC$103=$C42),0),
  1),"N/A")</f>
        <v>45838</v>
      </c>
    </row>
    <row r="43" spans="3:25" x14ac:dyDescent="0.25">
      <c r="C43" s="81">
        <f t="shared" si="21"/>
        <v>6</v>
      </c>
      <c r="D43" s="85">
        <f>+IFERROR(INDEX('Quikirr Data'!$B$4:$B$103,MATCH($C43,'Quikirr Data'!$NC$4:$NC$103,0),1),"")</f>
        <v>65</v>
      </c>
      <c r="F43" s="43">
        <f>+IFERROR(INDEX('Quikirr Data'!$C$4:$AM$103,MATCH($C43,'Quikirr Data'!$NC$4:$NC$103,0),MATCH(F$36,'Quikirr Data'!$C$3:$AM$3,0)),0)*ToC!$E$15/ToC!$E$10</f>
        <v>0</v>
      </c>
      <c r="G43" s="43">
        <f>+IFERROR(INDEX('Quikirr Data'!$C$4:$AM$103,MATCH($C43,'Quikirr Data'!$NC$4:$NC$103,0),MATCH(G$36,'Quikirr Data'!$C$3:$AM$3,0)),0)*ToC!$E$15/ToC!$E$10</f>
        <v>0</v>
      </c>
      <c r="H43" s="43">
        <f>+IFERROR(INDEX('Quikirr Data'!$C$4:$AM$103,MATCH($C43,'Quikirr Data'!$NC$4:$NC$103,0),MATCH(H$36,'Quikirr Data'!$C$3:$AM$3,0)),0)*ToC!$E$15/ToC!$E$10</f>
        <v>0</v>
      </c>
      <c r="I43" s="43">
        <f>+IFERROR(INDEX('Quikirr Data'!$C$4:$AM$103,MATCH($C43,'Quikirr Data'!$NC$4:$NC$103,0),MATCH(I$36,'Quikirr Data'!$C$3:$AM$3,0)),0)*ToC!$E$15/ToC!$E$10</f>
        <v>2223.2400000000002</v>
      </c>
      <c r="K43" s="47">
        <f t="shared" si="13"/>
        <v>0</v>
      </c>
      <c r="L43" s="47">
        <f t="shared" si="14"/>
        <v>9.4062874433906707E-2</v>
      </c>
      <c r="M43" s="47">
        <f>+IFERROR(SUM(Q$38:Q43)/Q$51,0)</f>
        <v>0.9059371255660934</v>
      </c>
      <c r="O43" s="43">
        <f t="shared" si="15"/>
        <v>0</v>
      </c>
      <c r="P43" s="43">
        <f t="shared" si="16"/>
        <v>0</v>
      </c>
      <c r="Q43" s="43">
        <f t="shared" si="17"/>
        <v>2223.2400000000002</v>
      </c>
      <c r="R43" s="47" cm="1">
        <f t="array" ref="R43">+IFERROR(INDEX($O43:$Q43,MAX(MATCH('Top Customers'!$C$3,$F$36:$I$36,0)-1,1))/INDEX($O$51:$Q$51,MAX(MATCH('Top Customers'!$C$3,$F$36:$I$36,0)-1,1)),0)</f>
        <v>9.4062874433906707E-2</v>
      </c>
      <c r="S43" s="91" cm="1">
        <f t="array" ref="S43">+IFERROR(I43/INDEX($F43:$I43,MATCH(TRUE,$F43:$I43&lt;&gt;0,0)),0)</f>
        <v>1</v>
      </c>
      <c r="U43" s="47">
        <f t="shared" si="18"/>
        <v>0</v>
      </c>
      <c r="V43" s="47">
        <f t="shared" si="19"/>
        <v>0</v>
      </c>
      <c r="W43" s="47">
        <f t="shared" si="20"/>
        <v>0</v>
      </c>
      <c r="Y43" s="105" cm="1">
        <f t="array" ref="Y43">+IFERROR(INDEX('Quikirr Data'!$BD$4:$BD$103,
  MATCH(1,('Quikirr Data'!$B$4:$B$103=$D43)*('Quikirr Data'!$NC$4:$NC$103=$C43),0),
  1),"N/A")</f>
        <v>45838</v>
      </c>
    </row>
    <row r="44" spans="3:25" x14ac:dyDescent="0.25">
      <c r="C44" s="81">
        <f t="shared" si="21"/>
        <v>7</v>
      </c>
      <c r="D44" s="85">
        <f>+IFERROR(INDEX('Quikirr Data'!$B$4:$B$103,MATCH($C44,'Quikirr Data'!$NC$4:$NC$103,0),1),"")</f>
        <v>70</v>
      </c>
      <c r="F44" s="43">
        <f>+IFERROR(INDEX('Quikirr Data'!$C$4:$AM$103,MATCH($C44,'Quikirr Data'!$NC$4:$NC$103,0),MATCH(F$36,'Quikirr Data'!$C$3:$AM$3,0)),0)*ToC!$E$15/ToC!$E$10</f>
        <v>0</v>
      </c>
      <c r="G44" s="43">
        <f>+IFERROR(INDEX('Quikirr Data'!$C$4:$AM$103,MATCH($C44,'Quikirr Data'!$NC$4:$NC$103,0),MATCH(G$36,'Quikirr Data'!$C$3:$AM$3,0)),0)*ToC!$E$15/ToC!$E$10</f>
        <v>0</v>
      </c>
      <c r="H44" s="43">
        <f>+IFERROR(INDEX('Quikirr Data'!$C$4:$AM$103,MATCH($C44,'Quikirr Data'!$NC$4:$NC$103,0),MATCH(H$36,'Quikirr Data'!$C$3:$AM$3,0)),0)*ToC!$E$15/ToC!$E$10</f>
        <v>0</v>
      </c>
      <c r="I44" s="43">
        <f>+IFERROR(INDEX('Quikirr Data'!$C$4:$AM$103,MATCH($C44,'Quikirr Data'!$NC$4:$NC$103,0),MATCH(I$36,'Quikirr Data'!$C$3:$AM$3,0)),0)*ToC!$E$15/ToC!$E$10</f>
        <v>2223.2400000000002</v>
      </c>
      <c r="K44" s="47">
        <f t="shared" si="13"/>
        <v>0</v>
      </c>
      <c r="L44" s="47">
        <f t="shared" si="14"/>
        <v>9.4062874433906707E-2</v>
      </c>
      <c r="M44" s="47">
        <f>+IFERROR(SUM(Q$38:Q44)/Q$51,0)</f>
        <v>1.0000000000000002</v>
      </c>
      <c r="O44" s="43">
        <f t="shared" si="15"/>
        <v>0</v>
      </c>
      <c r="P44" s="43">
        <f t="shared" si="16"/>
        <v>0</v>
      </c>
      <c r="Q44" s="43">
        <f t="shared" si="17"/>
        <v>2223.2400000000002</v>
      </c>
      <c r="R44" s="47" cm="1">
        <f t="array" ref="R44">+IFERROR(INDEX($O44:$Q44,MAX(MATCH('Top Customers'!$C$3,$F$36:$I$36,0)-1,1))/INDEX($O$51:$Q$51,MAX(MATCH('Top Customers'!$C$3,$F$36:$I$36,0)-1,1)),0)</f>
        <v>9.4062874433906707E-2</v>
      </c>
      <c r="S44" s="91" cm="1">
        <f t="array" ref="S44">+IFERROR(I44/INDEX($F44:$I44,MATCH(TRUE,$F44:$I44&lt;&gt;0,0)),0)</f>
        <v>1</v>
      </c>
      <c r="U44" s="47">
        <f t="shared" si="18"/>
        <v>0</v>
      </c>
      <c r="V44" s="47">
        <f t="shared" si="19"/>
        <v>0</v>
      </c>
      <c r="W44" s="47">
        <f t="shared" si="20"/>
        <v>0</v>
      </c>
      <c r="Y44" s="105" cm="1">
        <f t="array" ref="Y44">+IFERROR(INDEX('Quikirr Data'!$BD$4:$BD$103,
  MATCH(1,('Quikirr Data'!$B$4:$B$103=$D44)*('Quikirr Data'!$NC$4:$NC$103=$C44),0),
  1),"N/A")</f>
        <v>45838</v>
      </c>
    </row>
    <row r="45" spans="3:25" x14ac:dyDescent="0.25">
      <c r="C45" s="81">
        <f t="shared" si="21"/>
        <v>8</v>
      </c>
      <c r="D45" s="85" t="str">
        <f>+IFERROR(INDEX('Quikirr Data'!$B$4:$B$103,MATCH($C45,'Quikirr Data'!$NC$4:$NC$103,0),1),"")</f>
        <v/>
      </c>
      <c r="F45" s="43">
        <f>+IFERROR(INDEX('Quikirr Data'!$C$4:$AM$103,MATCH($C45,'Quikirr Data'!$NC$4:$NC$103,0),MATCH(F$36,'Quikirr Data'!$C$3:$AM$3,0)),0)*ToC!$E$15/ToC!$E$10</f>
        <v>0</v>
      </c>
      <c r="G45" s="43">
        <f>+IFERROR(INDEX('Quikirr Data'!$C$4:$AM$103,MATCH($C45,'Quikirr Data'!$NC$4:$NC$103,0),MATCH(G$36,'Quikirr Data'!$C$3:$AM$3,0)),0)*ToC!$E$15/ToC!$E$10</f>
        <v>0</v>
      </c>
      <c r="H45" s="43">
        <f>+IFERROR(INDEX('Quikirr Data'!$C$4:$AM$103,MATCH($C45,'Quikirr Data'!$NC$4:$NC$103,0),MATCH(H$36,'Quikirr Data'!$C$3:$AM$3,0)),0)*ToC!$E$15/ToC!$E$10</f>
        <v>0</v>
      </c>
      <c r="I45" s="43">
        <f>+IFERROR(INDEX('Quikirr Data'!$C$4:$AM$103,MATCH($C45,'Quikirr Data'!$NC$4:$NC$103,0),MATCH(I$36,'Quikirr Data'!$C$3:$AM$3,0)),0)*ToC!$E$15/ToC!$E$10</f>
        <v>0</v>
      </c>
      <c r="K45" s="47">
        <f t="shared" si="13"/>
        <v>0</v>
      </c>
      <c r="L45" s="47">
        <f t="shared" si="14"/>
        <v>0</v>
      </c>
      <c r="M45" s="47">
        <f>+IFERROR(SUM(Q$38:Q45)/Q$51,0)</f>
        <v>1.0000000000000002</v>
      </c>
      <c r="O45" s="43">
        <f t="shared" si="15"/>
        <v>0</v>
      </c>
      <c r="P45" s="43">
        <f t="shared" si="16"/>
        <v>0</v>
      </c>
      <c r="Q45" s="43">
        <f t="shared" si="17"/>
        <v>0</v>
      </c>
      <c r="R45" s="47" cm="1">
        <f t="array" ref="R45">+IFERROR(INDEX($O45:$Q45,MAX(MATCH('Top Customers'!$C$3,$F$36:$I$36,0)-1,1))/INDEX($O$51:$Q$51,MAX(MATCH('Top Customers'!$C$3,$F$36:$I$36,0)-1,1)),0)</f>
        <v>0</v>
      </c>
      <c r="S45" s="91" cm="1">
        <f t="array" ref="S45">+IFERROR(I45/INDEX($F45:$I45,MATCH(TRUE,$F45:$I45&lt;&gt;0,0)),0)</f>
        <v>0</v>
      </c>
      <c r="U45" s="47">
        <f t="shared" si="18"/>
        <v>0</v>
      </c>
      <c r="V45" s="47">
        <f t="shared" si="19"/>
        <v>0</v>
      </c>
      <c r="W45" s="47">
        <f t="shared" si="20"/>
        <v>0</v>
      </c>
      <c r="Y45" s="105" t="str" cm="1">
        <f t="array" ref="Y45">+IFERROR(INDEX('Quikirr Data'!$BD$4:$BD$103,
  MATCH(1,('Quikirr Data'!$B$4:$B$103=$D45)*('Quikirr Data'!$NC$4:$NC$103=$C45),0),
  1),"N/A")</f>
        <v>N/A</v>
      </c>
    </row>
    <row r="46" spans="3:25" x14ac:dyDescent="0.25">
      <c r="C46" s="81">
        <f t="shared" si="21"/>
        <v>9</v>
      </c>
      <c r="D46" s="85" t="str">
        <f>+IFERROR(INDEX('Quikirr Data'!$B$4:$B$103,MATCH($C46,'Quikirr Data'!$NC$4:$NC$103,0),1),"")</f>
        <v/>
      </c>
      <c r="F46" s="43">
        <f>+IFERROR(INDEX('Quikirr Data'!$C$4:$AM$103,MATCH($C46,'Quikirr Data'!$NC$4:$NC$103,0),MATCH(F$36,'Quikirr Data'!$C$3:$AM$3,0)),0)*ToC!$E$15/ToC!$E$10</f>
        <v>0</v>
      </c>
      <c r="G46" s="43">
        <f>+IFERROR(INDEX('Quikirr Data'!$C$4:$AM$103,MATCH($C46,'Quikirr Data'!$NC$4:$NC$103,0),MATCH(G$36,'Quikirr Data'!$C$3:$AM$3,0)),0)*ToC!$E$15/ToC!$E$10</f>
        <v>0</v>
      </c>
      <c r="H46" s="43">
        <f>+IFERROR(INDEX('Quikirr Data'!$C$4:$AM$103,MATCH($C46,'Quikirr Data'!$NC$4:$NC$103,0),MATCH(H$36,'Quikirr Data'!$C$3:$AM$3,0)),0)*ToC!$E$15/ToC!$E$10</f>
        <v>0</v>
      </c>
      <c r="I46" s="43">
        <f>+IFERROR(INDEX('Quikirr Data'!$C$4:$AM$103,MATCH($C46,'Quikirr Data'!$NC$4:$NC$103,0),MATCH(I$36,'Quikirr Data'!$C$3:$AM$3,0)),0)*ToC!$E$15/ToC!$E$10</f>
        <v>0</v>
      </c>
      <c r="K46" s="47">
        <f t="shared" si="13"/>
        <v>0</v>
      </c>
      <c r="L46" s="47">
        <f t="shared" si="14"/>
        <v>0</v>
      </c>
      <c r="M46" s="47">
        <f>+IFERROR(SUM(Q$38:Q46)/Q$51,0)</f>
        <v>1.0000000000000002</v>
      </c>
      <c r="O46" s="43">
        <f t="shared" si="15"/>
        <v>0</v>
      </c>
      <c r="P46" s="43">
        <f t="shared" si="16"/>
        <v>0</v>
      </c>
      <c r="Q46" s="43">
        <f t="shared" si="17"/>
        <v>0</v>
      </c>
      <c r="R46" s="47" cm="1">
        <f t="array" ref="R46">+IFERROR(INDEX($O46:$Q46,MAX(MATCH('Top Customers'!$C$3,$F$36:$I$36,0)-1,1))/INDEX($O$51:$Q$51,MAX(MATCH('Top Customers'!$C$3,$F$36:$I$36,0)-1,1)),0)</f>
        <v>0</v>
      </c>
      <c r="S46" s="91" cm="1">
        <f t="array" ref="S46">+IFERROR(I46/INDEX($F46:$I46,MATCH(TRUE,$F46:$I46&lt;&gt;0,0)),0)</f>
        <v>0</v>
      </c>
      <c r="U46" s="47">
        <f t="shared" si="18"/>
        <v>0</v>
      </c>
      <c r="V46" s="47">
        <f t="shared" si="19"/>
        <v>0</v>
      </c>
      <c r="W46" s="47">
        <f t="shared" si="20"/>
        <v>0</v>
      </c>
      <c r="Y46" s="105" t="str" cm="1">
        <f t="array" ref="Y46">+IFERROR(INDEX('Quikirr Data'!$BD$4:$BD$103,
  MATCH(1,('Quikirr Data'!$B$4:$B$103=$D46)*('Quikirr Data'!$NC$4:$NC$103=$C46),0),
  1),"N/A")</f>
        <v>N/A</v>
      </c>
    </row>
    <row r="47" spans="3:25" x14ac:dyDescent="0.25">
      <c r="C47" s="81">
        <f t="shared" si="21"/>
        <v>10</v>
      </c>
      <c r="D47" s="85" t="str">
        <f>+IFERROR(INDEX('Quikirr Data'!$B$4:$B$103,MATCH($C47,'Quikirr Data'!$NC$4:$NC$103,0),1),"")</f>
        <v/>
      </c>
      <c r="F47" s="43">
        <f>+IFERROR(INDEX('Quikirr Data'!$C$4:$AM$103,MATCH($C47,'Quikirr Data'!$NC$4:$NC$103,0),MATCH(F$36,'Quikirr Data'!$C$3:$AM$3,0)),0)*ToC!$E$15/ToC!$E$10</f>
        <v>0</v>
      </c>
      <c r="G47" s="43">
        <f>+IFERROR(INDEX('Quikirr Data'!$C$4:$AM$103,MATCH($C47,'Quikirr Data'!$NC$4:$NC$103,0),MATCH(G$36,'Quikirr Data'!$C$3:$AM$3,0)),0)*ToC!$E$15/ToC!$E$10</f>
        <v>0</v>
      </c>
      <c r="H47" s="43">
        <f>+IFERROR(INDEX('Quikirr Data'!$C$4:$AM$103,MATCH($C47,'Quikirr Data'!$NC$4:$NC$103,0),MATCH(H$36,'Quikirr Data'!$C$3:$AM$3,0)),0)*ToC!$E$15/ToC!$E$10</f>
        <v>0</v>
      </c>
      <c r="I47" s="43">
        <f>+IFERROR(INDEX('Quikirr Data'!$C$4:$AM$103,MATCH($C47,'Quikirr Data'!$NC$4:$NC$103,0),MATCH(I$36,'Quikirr Data'!$C$3:$AM$3,0)),0)*ToC!$E$15/ToC!$E$10</f>
        <v>0</v>
      </c>
      <c r="K47" s="47">
        <f t="shared" si="13"/>
        <v>0</v>
      </c>
      <c r="L47" s="47">
        <f t="shared" si="14"/>
        <v>0</v>
      </c>
      <c r="M47" s="47">
        <f>+IFERROR(SUM(Q$38:Q47)/Q$51,0)</f>
        <v>1.0000000000000002</v>
      </c>
      <c r="O47" s="43">
        <f t="shared" si="15"/>
        <v>0</v>
      </c>
      <c r="P47" s="43">
        <f t="shared" si="16"/>
        <v>0</v>
      </c>
      <c r="Q47" s="43">
        <f t="shared" si="17"/>
        <v>0</v>
      </c>
      <c r="R47" s="47" cm="1">
        <f t="array" ref="R47">+IFERROR(INDEX($O47:$Q47,MAX(MATCH('Top Customers'!$C$3,$F$36:$I$36,0)-1,1))/INDEX($O$51:$Q$51,MAX(MATCH('Top Customers'!$C$3,$F$36:$I$36,0)-1,1)),0)</f>
        <v>0</v>
      </c>
      <c r="S47" s="91" cm="1">
        <f t="array" ref="S47">+IFERROR(I47/INDEX($F47:$I47,MATCH(TRUE,$F47:$I47&lt;&gt;0,0)),0)</f>
        <v>0</v>
      </c>
      <c r="U47" s="47">
        <f t="shared" si="18"/>
        <v>0</v>
      </c>
      <c r="V47" s="47">
        <f t="shared" si="19"/>
        <v>0</v>
      </c>
      <c r="W47" s="47">
        <f t="shared" si="20"/>
        <v>0</v>
      </c>
      <c r="Y47" s="105" t="str" cm="1">
        <f t="array" ref="Y47">+IFERROR(INDEX('Quikirr Data'!$BD$4:$BD$103,
  MATCH(1,('Quikirr Data'!$B$4:$B$103=$D47)*('Quikirr Data'!$NC$4:$NC$103=$C47),0),
  1),"N/A")</f>
        <v>N/A</v>
      </c>
    </row>
    <row r="48" spans="3:25" s="11" customFormat="1" x14ac:dyDescent="0.25">
      <c r="D48" s="84" t="str">
        <f>+"Total Top "&amp;COUNTA('Top Customers'!$D$38:$D$47)</f>
        <v>Total Top 10</v>
      </c>
      <c r="F48" s="89">
        <f>+SUM(F$38:F$47)</f>
        <v>0</v>
      </c>
      <c r="G48" s="89">
        <f>+SUM(G$38:G$47)</f>
        <v>0</v>
      </c>
      <c r="H48" s="89">
        <f>+SUM(H$38:H$47)</f>
        <v>0</v>
      </c>
      <c r="I48" s="89">
        <f>+SUM(I$38:I$47)</f>
        <v>23635.680000000004</v>
      </c>
      <c r="K48" s="90">
        <f t="shared" si="13"/>
        <v>0</v>
      </c>
      <c r="L48" s="90">
        <f t="shared" si="14"/>
        <v>1.0000000000000002</v>
      </c>
      <c r="M48" s="90">
        <f>+M47</f>
        <v>1.0000000000000002</v>
      </c>
      <c r="O48" s="89">
        <f t="shared" si="15"/>
        <v>0</v>
      </c>
      <c r="P48" s="89">
        <f t="shared" si="16"/>
        <v>0</v>
      </c>
      <c r="Q48" s="89">
        <f t="shared" si="17"/>
        <v>23635.680000000004</v>
      </c>
      <c r="R48" s="90" cm="1">
        <f t="array" ref="R48">+IFERROR(INDEX($O48:$Q48,MAX(MATCH('Top Customers'!$C$3,$F$36:$I$36,0)-1,1))/INDEX($O$51:$Q$51,MAX(MATCH('Top Customers'!$C$3,$F$36:$I$36,0)-1,1)),0)</f>
        <v>1.0000000000000002</v>
      </c>
      <c r="S48" s="92" cm="1">
        <f t="array" ref="S48">+IFERROR(I48/INDEX($F48:$I48,MATCH(TRUE,$F48:$I48&lt;&gt;0,0)),0)</f>
        <v>1</v>
      </c>
      <c r="U48" s="90">
        <f t="shared" si="18"/>
        <v>0</v>
      </c>
      <c r="V48" s="90">
        <f t="shared" si="19"/>
        <v>0</v>
      </c>
      <c r="W48" s="90">
        <f t="shared" si="20"/>
        <v>0</v>
      </c>
    </row>
    <row r="49" spans="3:25" x14ac:dyDescent="0.25">
      <c r="K49" s="47"/>
      <c r="L49" s="47"/>
      <c r="M49" s="47"/>
    </row>
    <row r="50" spans="3:25" x14ac:dyDescent="0.25">
      <c r="D50" s="40" t="str">
        <f>+"Other New ("&amp;COUNTIFS('Quikirr Data'!$NC$4:$NC$103,"&gt;10")&amp;" Customers)"</f>
        <v>Other New (0 Customers)</v>
      </c>
      <c r="F50" s="43">
        <f>+F51-F48</f>
        <v>0</v>
      </c>
      <c r="G50" s="43">
        <f>+G51-G48</f>
        <v>0</v>
      </c>
      <c r="H50" s="43">
        <f>+H51-H48</f>
        <v>0</v>
      </c>
      <c r="I50" s="43">
        <f>+I51-I48</f>
        <v>0</v>
      </c>
      <c r="K50" s="47">
        <f>+IFERROR((I50/F50)^(1/YEARFRAC($F$36,$I$36))-1,0)</f>
        <v>0</v>
      </c>
      <c r="L50" s="47">
        <f>+IFERROR(Q50/Q$51,0)</f>
        <v>0</v>
      </c>
      <c r="M50" s="47">
        <f>+M51-M48</f>
        <v>0</v>
      </c>
      <c r="O50" s="43">
        <f t="shared" ref="O50:Q51" si="22">+G50-F50</f>
        <v>0</v>
      </c>
      <c r="P50" s="43">
        <f t="shared" si="22"/>
        <v>0</v>
      </c>
      <c r="Q50" s="43">
        <f t="shared" si="22"/>
        <v>0</v>
      </c>
      <c r="R50" s="47" cm="1">
        <f t="array" ref="R50">+IFERROR(INDEX($O50:$Q50,MAX(MATCH('Top Customers'!$C$3,$F$36:$I$36,0)-1,1))/INDEX($O$51:$Q$51,MAX(MATCH('Top Customers'!$C$3,$F$36:$I$36,0)-1,1)),0)</f>
        <v>0</v>
      </c>
      <c r="S50" s="91" cm="1">
        <f t="array" ref="S50">+IFERROR(I50/INDEX($F50:$I50,MATCH(TRUE,$F50:$I50&lt;&gt;0,0)),0)</f>
        <v>0</v>
      </c>
      <c r="U50" s="47">
        <f t="shared" ref="U50:W51" si="23">+IFERROR(G50/F50-1,0)</f>
        <v>0</v>
      </c>
      <c r="V50" s="47">
        <f t="shared" si="23"/>
        <v>0</v>
      </c>
      <c r="W50" s="47">
        <f t="shared" si="23"/>
        <v>0</v>
      </c>
    </row>
    <row r="51" spans="3:25" s="11" customFormat="1" x14ac:dyDescent="0.25">
      <c r="D51" s="84" t="s">
        <v>117</v>
      </c>
      <c r="F51" s="89">
        <f>+SUMIFS('Quikirr Data'!C$4:C$103,'Quikirr Data'!$NC$4:$NC$103,"&lt;&gt;N/A")*ToC!$E$15/ToC!$E$10</f>
        <v>0</v>
      </c>
      <c r="G51" s="89">
        <f>+SUMIFS('Quikirr Data'!O$4:O$103,'Quikirr Data'!$NC$4:$NC$103,"&lt;&gt;N/A")*ToC!$E$15/ToC!$E$10</f>
        <v>0</v>
      </c>
      <c r="H51" s="89">
        <f>+SUMIFS('Quikirr Data'!AA$4:AA$103,'Quikirr Data'!$NC$4:$NC$103,"&lt;&gt;N/A")*ToC!$E$15/ToC!$E$10</f>
        <v>0</v>
      </c>
      <c r="I51" s="89">
        <f>+SUMIFS('Quikirr Data'!AM$4:AM$103,'Quikirr Data'!$NC$4:$NC$103,"&lt;&gt;N/A")*ToC!$E$15/ToC!$E$10</f>
        <v>23635.68</v>
      </c>
      <c r="K51" s="90">
        <f>+IFERROR((I51/F51)^(1/YEARFRAC($F$36,$I$36))-1,0)</f>
        <v>0</v>
      </c>
      <c r="L51" s="90">
        <f>+IFERROR(Q51/Q$51,0)</f>
        <v>1</v>
      </c>
      <c r="M51" s="90">
        <f>1</f>
        <v>1</v>
      </c>
      <c r="O51" s="89">
        <f t="shared" si="22"/>
        <v>0</v>
      </c>
      <c r="P51" s="89">
        <f t="shared" si="22"/>
        <v>0</v>
      </c>
      <c r="Q51" s="89">
        <f t="shared" si="22"/>
        <v>23635.68</v>
      </c>
      <c r="R51" s="90" cm="1">
        <f t="array" ref="R51">+IFERROR(INDEX($O$51:$Q$51,MAX(MATCH('Top Customers'!$C$3,$F$36:$I$36,0)-1,1))/INDEX($O$51:$Q$51,MAX(MATCH('Top Customers'!$C$3,$F$36:$I$36,0)-1,1)),0)</f>
        <v>1</v>
      </c>
      <c r="S51" s="92" cm="1">
        <f t="array" ref="S51">+IFERROR(I51/INDEX($F51:$I51,MATCH(TRUE,$F51:$I51&lt;&gt;0,0)),0)</f>
        <v>1</v>
      </c>
      <c r="U51" s="90">
        <f t="shared" si="23"/>
        <v>0</v>
      </c>
      <c r="V51" s="90">
        <f t="shared" si="23"/>
        <v>0</v>
      </c>
      <c r="W51" s="90">
        <f t="shared" si="23"/>
        <v>0</v>
      </c>
    </row>
    <row r="53" spans="3:25" x14ac:dyDescent="0.25">
      <c r="D53" s="93" t="s">
        <v>110</v>
      </c>
      <c r="E53" s="94"/>
      <c r="F53" s="95">
        <f>+SUM(F$38:F$42)</f>
        <v>0</v>
      </c>
      <c r="G53" s="95">
        <f>+SUM(G$38:G$42)</f>
        <v>0</v>
      </c>
      <c r="H53" s="95">
        <f>+SUM(H$38:H$42)</f>
        <v>0</v>
      </c>
      <c r="I53" s="95">
        <f>+SUM(I$38:I$42)</f>
        <v>19189.2</v>
      </c>
      <c r="J53" s="94"/>
      <c r="K53" s="96">
        <f>+IFERROR((I53/F53)^(1/YEARFRAC($F$36,$I$36))-1,0)</f>
        <v>0</v>
      </c>
      <c r="L53" s="96">
        <f>+IFERROR(Q53/Q$51,0)</f>
        <v>0.81187425113218659</v>
      </c>
      <c r="M53" s="96">
        <f>+L53</f>
        <v>0.81187425113218659</v>
      </c>
      <c r="N53" s="94"/>
      <c r="O53" s="95">
        <f t="shared" ref="O53:Q54" si="24">+G53-F53</f>
        <v>0</v>
      </c>
      <c r="P53" s="95">
        <f t="shared" si="24"/>
        <v>0</v>
      </c>
      <c r="Q53" s="95">
        <f t="shared" si="24"/>
        <v>19189.2</v>
      </c>
      <c r="R53" s="96" cm="1">
        <f t="array" ref="R53">+IFERROR(INDEX($O53:$Q53,MAX(MATCH('Top Customers'!$C$3,$F$36:$I$36,0)-1,1))/INDEX($O$51:$Q$51,MAX(MATCH('Top Customers'!$C$3,$F$36:$I$36,0)-1,1)),0)</f>
        <v>0.81187425113218659</v>
      </c>
      <c r="S53" s="97" cm="1">
        <f t="array" ref="S53">+IFERROR(I53/INDEX($F53:$I53,MATCH(TRUE,$F53:$I53&lt;&gt;0,0)),0)</f>
        <v>1</v>
      </c>
      <c r="T53" s="94"/>
      <c r="U53" s="96">
        <f t="shared" ref="U53:W54" si="25">+IFERROR(G53/F53-1,0)</f>
        <v>0</v>
      </c>
      <c r="V53" s="96">
        <f t="shared" si="25"/>
        <v>0</v>
      </c>
      <c r="W53" s="98">
        <f t="shared" si="25"/>
        <v>0</v>
      </c>
    </row>
    <row r="54" spans="3:25" x14ac:dyDescent="0.25">
      <c r="D54" s="99" t="s">
        <v>111</v>
      </c>
      <c r="E54" s="100"/>
      <c r="F54" s="101">
        <f>+SUM(F$38:F$47)</f>
        <v>0</v>
      </c>
      <c r="G54" s="101">
        <f>+SUM(G$38:G$47)</f>
        <v>0</v>
      </c>
      <c r="H54" s="101">
        <f>+SUM(H$38:H$47)</f>
        <v>0</v>
      </c>
      <c r="I54" s="101">
        <f>+SUM(I$38:I$47)</f>
        <v>23635.680000000004</v>
      </c>
      <c r="J54" s="100"/>
      <c r="K54" s="102">
        <f>+IFERROR((I54/F54)^(1/YEARFRAC($F$36,$I$36))-1,0)</f>
        <v>0</v>
      </c>
      <c r="L54" s="102">
        <f>+IFERROR(Q54/Q$51,0)</f>
        <v>1.0000000000000002</v>
      </c>
      <c r="M54" s="102">
        <f>+L54</f>
        <v>1.0000000000000002</v>
      </c>
      <c r="N54" s="100"/>
      <c r="O54" s="101">
        <f t="shared" si="24"/>
        <v>0</v>
      </c>
      <c r="P54" s="101">
        <f t="shared" si="24"/>
        <v>0</v>
      </c>
      <c r="Q54" s="101">
        <f t="shared" si="24"/>
        <v>23635.680000000004</v>
      </c>
      <c r="R54" s="102" cm="1">
        <f t="array" ref="R54">+IFERROR(INDEX($O54:$Q54,MAX(MATCH('Top Customers'!$C$3,$F$36:$I$36,0)-1,1))/INDEX($O$51:$Q$51,MAX(MATCH('Top Customers'!$C$3,$F$36:$I$36,0)-1,1)),0)</f>
        <v>1.0000000000000002</v>
      </c>
      <c r="S54" s="103" cm="1">
        <f t="array" ref="S54">+IFERROR(I54/INDEX($F54:$I54,MATCH(TRUE,$F54:$I54&lt;&gt;0,0)),0)</f>
        <v>1</v>
      </c>
      <c r="T54" s="100"/>
      <c r="U54" s="102">
        <f t="shared" si="25"/>
        <v>0</v>
      </c>
      <c r="V54" s="102">
        <f t="shared" si="25"/>
        <v>0</v>
      </c>
      <c r="W54" s="104">
        <f t="shared" si="25"/>
        <v>0</v>
      </c>
    </row>
    <row r="57" spans="3:25" ht="14.25" thickBot="1" x14ac:dyDescent="0.3">
      <c r="C57" s="76" t="str">
        <f>"Top Upsell Customers as of " &amp; TEXT('Top Customers'!C3, "mmm-yy")</f>
        <v>Top Upsell Customers as of Dec-25</v>
      </c>
      <c r="D57" s="77"/>
      <c r="E57" s="77"/>
      <c r="F57" s="77"/>
      <c r="G57" s="77"/>
      <c r="H57" s="77"/>
      <c r="I57" s="77"/>
      <c r="J57" s="77"/>
      <c r="K57" s="77"/>
      <c r="L57" s="77"/>
      <c r="M57" s="77"/>
      <c r="N57" s="77"/>
      <c r="O57" s="77"/>
      <c r="P57" s="77"/>
      <c r="Q57" s="77"/>
      <c r="R57" s="77"/>
      <c r="S57" s="77"/>
      <c r="T57" s="77"/>
      <c r="U57" s="77"/>
      <c r="V57" s="77"/>
      <c r="W57" s="77"/>
      <c r="X57" s="77"/>
      <c r="Y57" s="77"/>
    </row>
    <row r="58" spans="3:25" x14ac:dyDescent="0.25">
      <c r="C58" s="37" t="str">
        <f>"("&amp;ToC!$E$12&amp;" "&amp;ToC!$E$11&amp;")"</f>
        <v>($ Actuals)</v>
      </c>
    </row>
    <row r="59" spans="3:25" x14ac:dyDescent="0.25">
      <c r="F59" s="12" t="s">
        <v>112</v>
      </c>
      <c r="G59" s="12"/>
      <c r="H59" s="12"/>
      <c r="I59" s="12"/>
      <c r="O59" s="87" t="s">
        <v>114</v>
      </c>
      <c r="P59" s="13"/>
      <c r="Q59" s="13"/>
      <c r="U59" s="87" t="s">
        <v>57</v>
      </c>
      <c r="V59" s="13"/>
      <c r="W59" s="13"/>
    </row>
    <row r="60" spans="3:25" x14ac:dyDescent="0.25">
      <c r="C60" s="83" t="s">
        <v>107</v>
      </c>
      <c r="D60" s="82" t="s">
        <v>108</v>
      </c>
      <c r="F60" s="86">
        <v>44926</v>
      </c>
      <c r="G60" s="86">
        <v>45291</v>
      </c>
      <c r="H60" s="86">
        <v>45657</v>
      </c>
      <c r="I60" s="86">
        <v>46022</v>
      </c>
      <c r="K60" s="83" t="str">
        <f>TEXT($F$60,"mmm 'yy")&amp;" - "&amp;TEXT($I$60,"mmm 'yy")&amp;" CAGR"</f>
        <v>Dec '22 - Dec '25 CAGR</v>
      </c>
      <c r="L60" s="83" t="str">
        <f>"% of Upsell "&amp;$Q$60</f>
        <v>% of Upsell Dec '24 - Dec '25</v>
      </c>
      <c r="M60" s="83" t="s">
        <v>113</v>
      </c>
      <c r="O60" s="88" t="str">
        <f>TEXT($F$60,"mmm 'yy")&amp;" - "&amp;TEXT($G$60,"mmm 'yy")</f>
        <v>Dec '22 - Dec '23</v>
      </c>
      <c r="P60" s="88" t="str">
        <f>TEXT($G$60,"mmm 'yy")&amp;" - "&amp;TEXT($H$60,"mmm 'yy")</f>
        <v>Dec '23 - Dec '24</v>
      </c>
      <c r="Q60" s="88" t="str">
        <f>TEXT($H$60,"mmm 'yy")&amp;" - "&amp;TEXT($I$60,"mmm 'yy")</f>
        <v>Dec '24 - Dec '25</v>
      </c>
      <c r="R60" s="83" t="str">
        <f>"% of "&amp;$Q$60&amp;" Growth"</f>
        <v>% of Dec '24 - Dec '25 Growth</v>
      </c>
      <c r="S60" s="83" t="s">
        <v>115</v>
      </c>
      <c r="U60" s="88" t="str">
        <f>TEXT($F$60,"mmm 'yy")&amp;" - "&amp;TEXT($G$60,"mmm 'yy")</f>
        <v>Dec '22 - Dec '23</v>
      </c>
      <c r="V60" s="88" t="str">
        <f>TEXT($G$60,"mmm 'yy")&amp;" - "&amp;TEXT($H$60,"mmm 'yy")</f>
        <v>Dec '23 - Dec '24</v>
      </c>
      <c r="W60" s="88" t="str">
        <f>TEXT($H$60,"mmm 'yy")&amp;" - "&amp;TEXT($I$60,"mmm 'yy")</f>
        <v>Dec '24 - Dec '25</v>
      </c>
      <c r="Y60" s="82" t="s">
        <v>116</v>
      </c>
    </row>
    <row r="61" spans="3:25" ht="3.95" customHeight="1" x14ac:dyDescent="0.25"/>
    <row r="62" spans="3:25" x14ac:dyDescent="0.25">
      <c r="C62" s="81">
        <v>1</v>
      </c>
      <c r="D62" s="85">
        <f>+IFERROR(INDEX('Quikirr Data'!$B$4:$B$103,MATCH($C62,'Quikirr Data'!$ND$4:$ND$103,0),1),"")</f>
        <v>2</v>
      </c>
      <c r="F62" s="43">
        <f>+IFERROR(INDEX('Quikirr Data'!$C$4:$AM$103,MATCH($C62,'Quikirr Data'!$ND$4:$ND$103,0),MATCH(F$60,'Quikirr Data'!$C$3:$AM$3,0)),0)*ToC!$E$15/ToC!$E$10</f>
        <v>4345.7999999999993</v>
      </c>
      <c r="G62" s="43">
        <f>+IFERROR(INDEX('Quikirr Data'!$C$4:$AM$103,MATCH($C62,'Quikirr Data'!$ND$4:$ND$103,0),MATCH(G$60,'Quikirr Data'!$C$3:$AM$3,0)),0)*ToC!$E$15/ToC!$E$10</f>
        <v>4308</v>
      </c>
      <c r="H62" s="43">
        <f>+IFERROR(INDEX('Quikirr Data'!$C$4:$AM$103,MATCH($C62,'Quikirr Data'!$ND$4:$ND$103,0),MATCH(H$60,'Quikirr Data'!$C$3:$AM$3,0)),0)*ToC!$E$15/ToC!$E$10</f>
        <v>4308</v>
      </c>
      <c r="I62" s="43">
        <f>+IFERROR(INDEX('Quikirr Data'!$C$4:$AM$103,MATCH($C62,'Quikirr Data'!$ND$4:$ND$103,0),MATCH(I$60,'Quikirr Data'!$C$3:$AM$3,0)),0)*ToC!$E$15/ToC!$E$10</f>
        <v>4788</v>
      </c>
      <c r="K62" s="47">
        <f t="shared" ref="K62:K72" si="26">+IFERROR((I62/F62)^(1/YEARFRAC($F$60,$I$60))-1,0)</f>
        <v>3.2828314461598174E-2</v>
      </c>
      <c r="L62" s="47">
        <f t="shared" ref="L62:L72" si="27">+IFERROR(Q62/Q$75,0)</f>
        <v>8.1134256911623778E-2</v>
      </c>
      <c r="M62" s="47">
        <f>+IFERROR(SUM(Q$62:Q62)/Q$75,0)</f>
        <v>8.1134256911623778E-2</v>
      </c>
      <c r="O62" s="43">
        <f t="shared" ref="O62:O72" si="28">+G62-F62</f>
        <v>-37.799999999999272</v>
      </c>
      <c r="P62" s="43">
        <f t="shared" ref="P62:P72" si="29">+H62-G62</f>
        <v>0</v>
      </c>
      <c r="Q62" s="43">
        <f t="shared" ref="Q62:Q72" si="30">+I62-H62</f>
        <v>480</v>
      </c>
      <c r="R62" s="47" cm="1">
        <f t="array" ref="R62">+IFERROR(INDEX($O62:$Q62,MAX(MATCH('Top Customers'!$C$3,$F$60:$I$60,0)-1,1))/INDEX($O$75:$Q$75,MAX(MATCH('Top Customers'!$C$3,$F$60:$I$60,0)-1,1)),0)</f>
        <v>8.1134256911623778E-2</v>
      </c>
      <c r="S62" s="91" cm="1">
        <f t="array" ref="S62">+IFERROR(I62/INDEX($F62:$I62,MATCH(TRUE,$F62:$I62&lt;&gt;0,0)),0)</f>
        <v>1.1017534170923653</v>
      </c>
      <c r="U62" s="47">
        <f t="shared" ref="U62:U72" si="31">+IFERROR(G62/F62-1,0)</f>
        <v>-8.6980532928342402E-3</v>
      </c>
      <c r="V62" s="47">
        <f t="shared" ref="V62:V72" si="32">+IFERROR(H62/G62-1,0)</f>
        <v>0</v>
      </c>
      <c r="W62" s="47">
        <f t="shared" ref="W62:W72" si="33">+IFERROR(I62/H62-1,0)</f>
        <v>0.11142061281337057</v>
      </c>
      <c r="Y62" s="105" cm="1">
        <f t="array" ref="Y62">+IFERROR(INDEX('Quikirr Data'!$BD$4:$BD$103,
  MATCH(1,('Quikirr Data'!$B$4:$B$103=$D62)*('Quikirr Data'!$ND$4:$ND$103=$C62),0),
  1),"N/A")</f>
        <v>44926</v>
      </c>
    </row>
    <row r="63" spans="3:25" x14ac:dyDescent="0.25">
      <c r="C63" s="81">
        <f t="shared" ref="C63:C71" si="34">+C62+1</f>
        <v>2</v>
      </c>
      <c r="D63" s="85">
        <f>+IFERROR(INDEX('Quikirr Data'!$B$4:$B$103,MATCH($C63,'Quikirr Data'!$ND$4:$ND$103,0),1),"")</f>
        <v>35</v>
      </c>
      <c r="F63" s="43">
        <f>+IFERROR(INDEX('Quikirr Data'!$C$4:$AM$103,MATCH($C63,'Quikirr Data'!$ND$4:$ND$103,0),MATCH(F$60,'Quikirr Data'!$C$3:$AM$3,0)),0)*ToC!$E$15/ToC!$E$10</f>
        <v>3228</v>
      </c>
      <c r="G63" s="43">
        <f>+IFERROR(INDEX('Quikirr Data'!$C$4:$AM$103,MATCH($C63,'Quikirr Data'!$ND$4:$ND$103,0),MATCH(G$60,'Quikirr Data'!$C$3:$AM$3,0)),0)*ToC!$E$15/ToC!$E$10</f>
        <v>3229.2000000000003</v>
      </c>
      <c r="H63" s="43">
        <f>+IFERROR(INDEX('Quikirr Data'!$C$4:$AM$103,MATCH($C63,'Quikirr Data'!$ND$4:$ND$103,0),MATCH(H$60,'Quikirr Data'!$C$3:$AM$3,0)),0)*ToC!$E$15/ToC!$E$10</f>
        <v>3156.6000000000004</v>
      </c>
      <c r="I63" s="43">
        <f>+IFERROR(INDEX('Quikirr Data'!$C$4:$AM$103,MATCH($C63,'Quikirr Data'!$ND$4:$ND$103,0),MATCH(I$60,'Quikirr Data'!$C$3:$AM$3,0)),0)*ToC!$E$15/ToC!$E$10</f>
        <v>3445.2000000000003</v>
      </c>
      <c r="K63" s="47">
        <f t="shared" si="26"/>
        <v>2.1943700313640457E-2</v>
      </c>
      <c r="L63" s="47">
        <f t="shared" si="27"/>
        <v>4.8781971968113777E-2</v>
      </c>
      <c r="M63" s="47">
        <f>+IFERROR(SUM(Q$62:Q63)/Q$75,0)</f>
        <v>0.12991622887973756</v>
      </c>
      <c r="O63" s="43">
        <f t="shared" si="28"/>
        <v>1.2000000000002728</v>
      </c>
      <c r="P63" s="43">
        <f t="shared" si="29"/>
        <v>-72.599999999999909</v>
      </c>
      <c r="Q63" s="43">
        <f t="shared" si="30"/>
        <v>288.59999999999991</v>
      </c>
      <c r="R63" s="47" cm="1">
        <f t="array" ref="R63">+IFERROR(INDEX($O63:$Q63,MAX(MATCH('Top Customers'!$C$3,$F$60:$I$60,0)-1,1))/INDEX($O$75:$Q$75,MAX(MATCH('Top Customers'!$C$3,$F$60:$I$60,0)-1,1)),0)</f>
        <v>4.8781971968113777E-2</v>
      </c>
      <c r="S63" s="91" cm="1">
        <f t="array" ref="S63">+IFERROR(I63/INDEX($F63:$I63,MATCH(TRUE,$F63:$I63&lt;&gt;0,0)),0)</f>
        <v>1.06728624535316</v>
      </c>
      <c r="U63" s="47">
        <f t="shared" si="31"/>
        <v>3.717472118960341E-4</v>
      </c>
      <c r="V63" s="47">
        <f t="shared" si="32"/>
        <v>-2.2482348569305088E-2</v>
      </c>
      <c r="W63" s="47">
        <f t="shared" si="33"/>
        <v>9.1427485268960274E-2</v>
      </c>
      <c r="Y63" s="105" cm="1">
        <f t="array" ref="Y63">+IFERROR(INDEX('Quikirr Data'!$BD$4:$BD$103,
  MATCH(1,('Quikirr Data'!$B$4:$B$103=$D63)*('Quikirr Data'!$ND$4:$ND$103=$C63),0),
  1),"N/A")</f>
        <v>44926</v>
      </c>
    </row>
    <row r="64" spans="3:25" x14ac:dyDescent="0.25">
      <c r="C64" s="81">
        <f t="shared" si="34"/>
        <v>3</v>
      </c>
      <c r="D64" s="85">
        <f>+IFERROR(INDEX('Quikirr Data'!$B$4:$B$103,MATCH($C64,'Quikirr Data'!$ND$4:$ND$103,0),1),"")</f>
        <v>60</v>
      </c>
      <c r="F64" s="43">
        <f>+IFERROR(INDEX('Quikirr Data'!$C$4:$AM$103,MATCH($C64,'Quikirr Data'!$ND$4:$ND$103,0),MATCH(F$60,'Quikirr Data'!$C$3:$AM$3,0)),0)*ToC!$E$15/ToC!$E$10</f>
        <v>2148</v>
      </c>
      <c r="G64" s="43">
        <f>+IFERROR(INDEX('Quikirr Data'!$C$4:$AM$103,MATCH($C64,'Quikirr Data'!$ND$4:$ND$103,0),MATCH(G$60,'Quikirr Data'!$C$3:$AM$3,0)),0)*ToC!$E$15/ToC!$E$10</f>
        <v>2148</v>
      </c>
      <c r="H64" s="43">
        <f>+IFERROR(INDEX('Quikirr Data'!$C$4:$AM$103,MATCH($C64,'Quikirr Data'!$ND$4:$ND$103,0),MATCH(H$60,'Quikirr Data'!$C$3:$AM$3,0)),0)*ToC!$E$15/ToC!$E$10</f>
        <v>2148</v>
      </c>
      <c r="I64" s="43">
        <f>+IFERROR(INDEX('Quikirr Data'!$C$4:$AM$103,MATCH($C64,'Quikirr Data'!$ND$4:$ND$103,0),MATCH(I$60,'Quikirr Data'!$C$3:$AM$3,0)),0)*ToC!$E$15/ToC!$E$10</f>
        <v>2388</v>
      </c>
      <c r="K64" s="47">
        <f t="shared" si="26"/>
        <v>3.5937008754169497E-2</v>
      </c>
      <c r="L64" s="47">
        <f t="shared" si="27"/>
        <v>4.0567128455811889E-2</v>
      </c>
      <c r="M64" s="47">
        <f>+IFERROR(SUM(Q$62:Q64)/Q$75,0)</f>
        <v>0.17048335733554945</v>
      </c>
      <c r="O64" s="43">
        <f t="shared" si="28"/>
        <v>0</v>
      </c>
      <c r="P64" s="43">
        <f t="shared" si="29"/>
        <v>0</v>
      </c>
      <c r="Q64" s="43">
        <f t="shared" si="30"/>
        <v>240</v>
      </c>
      <c r="R64" s="47" cm="1">
        <f t="array" ref="R64">+IFERROR(INDEX($O64:$Q64,MAX(MATCH('Top Customers'!$C$3,$F$60:$I$60,0)-1,1))/INDEX($O$75:$Q$75,MAX(MATCH('Top Customers'!$C$3,$F$60:$I$60,0)-1,1)),0)</f>
        <v>4.0567128455811889E-2</v>
      </c>
      <c r="S64" s="91" cm="1">
        <f t="array" ref="S64">+IFERROR(I64/INDEX($F64:$I64,MATCH(TRUE,$F64:$I64&lt;&gt;0,0)),0)</f>
        <v>1.1117318435754191</v>
      </c>
      <c r="U64" s="47">
        <f t="shared" si="31"/>
        <v>0</v>
      </c>
      <c r="V64" s="47">
        <f t="shared" si="32"/>
        <v>0</v>
      </c>
      <c r="W64" s="47">
        <f t="shared" si="33"/>
        <v>0.1117318435754191</v>
      </c>
      <c r="Y64" s="105" cm="1">
        <f t="array" ref="Y64">+IFERROR(INDEX('Quikirr Data'!$BD$4:$BD$103,
  MATCH(1,('Quikirr Data'!$B$4:$B$103=$D64)*('Quikirr Data'!$ND$4:$ND$103=$C64),0),
  1),"N/A")</f>
        <v>44926</v>
      </c>
    </row>
    <row r="65" spans="3:25" x14ac:dyDescent="0.25">
      <c r="C65" s="81">
        <f t="shared" si="34"/>
        <v>4</v>
      </c>
      <c r="D65" s="85">
        <f>+IFERROR(INDEX('Quikirr Data'!$B$4:$B$103,MATCH($C65,'Quikirr Data'!$ND$4:$ND$103,0),1),"")</f>
        <v>61</v>
      </c>
      <c r="F65" s="43">
        <f>+IFERROR(INDEX('Quikirr Data'!$C$4:$AM$103,MATCH($C65,'Quikirr Data'!$ND$4:$ND$103,0),MATCH(F$60,'Quikirr Data'!$C$3:$AM$3,0)),0)*ToC!$E$15/ToC!$E$10</f>
        <v>4644</v>
      </c>
      <c r="G65" s="43">
        <f>+IFERROR(INDEX('Quikirr Data'!$C$4:$AM$103,MATCH($C65,'Quikirr Data'!$ND$4:$ND$103,0),MATCH(G$60,'Quikirr Data'!$C$3:$AM$3,0)),0)*ToC!$E$15/ToC!$E$10</f>
        <v>4644</v>
      </c>
      <c r="H65" s="43">
        <f>+IFERROR(INDEX('Quikirr Data'!$C$4:$AM$103,MATCH($C65,'Quikirr Data'!$ND$4:$ND$103,0),MATCH(H$60,'Quikirr Data'!$C$3:$AM$3,0)),0)*ToC!$E$15/ToC!$E$10</f>
        <v>4644</v>
      </c>
      <c r="I65" s="43">
        <f>+IFERROR(INDEX('Quikirr Data'!$C$4:$AM$103,MATCH($C65,'Quikirr Data'!$ND$4:$ND$103,0),MATCH(I$60,'Quikirr Data'!$C$3:$AM$3,0)),0)*ToC!$E$15/ToC!$E$10</f>
        <v>4798.5599999999995</v>
      </c>
      <c r="K65" s="47">
        <f t="shared" si="26"/>
        <v>1.0973036637126343E-2</v>
      </c>
      <c r="L65" s="47">
        <f t="shared" si="27"/>
        <v>2.6125230725542771E-2</v>
      </c>
      <c r="M65" s="47">
        <f>+IFERROR(SUM(Q$62:Q65)/Q$75,0)</f>
        <v>0.19660858806109222</v>
      </c>
      <c r="O65" s="43">
        <f t="shared" si="28"/>
        <v>0</v>
      </c>
      <c r="P65" s="43">
        <f t="shared" si="29"/>
        <v>0</v>
      </c>
      <c r="Q65" s="43">
        <f t="shared" si="30"/>
        <v>154.55999999999949</v>
      </c>
      <c r="R65" s="47" cm="1">
        <f t="array" ref="R65">+IFERROR(INDEX($O65:$Q65,MAX(MATCH('Top Customers'!$C$3,$F$60:$I$60,0)-1,1))/INDEX($O$75:$Q$75,MAX(MATCH('Top Customers'!$C$3,$F$60:$I$60,0)-1,1)),0)</f>
        <v>2.6125230725542771E-2</v>
      </c>
      <c r="S65" s="91" cm="1">
        <f t="array" ref="S65">+IFERROR(I65/INDEX($F65:$I65,MATCH(TRUE,$F65:$I65&lt;&gt;0,0)),0)</f>
        <v>1.0332816537467699</v>
      </c>
      <c r="U65" s="47">
        <f t="shared" si="31"/>
        <v>0</v>
      </c>
      <c r="V65" s="47">
        <f t="shared" si="32"/>
        <v>0</v>
      </c>
      <c r="W65" s="47">
        <f t="shared" si="33"/>
        <v>3.3281653746769946E-2</v>
      </c>
      <c r="Y65" s="105" cm="1">
        <f t="array" ref="Y65">+IFERROR(INDEX('Quikirr Data'!$BD$4:$BD$103,
  MATCH(1,('Quikirr Data'!$B$4:$B$103=$D65)*('Quikirr Data'!$ND$4:$ND$103=$C65),0),
  1),"N/A")</f>
        <v>44926</v>
      </c>
    </row>
    <row r="66" spans="3:25" x14ac:dyDescent="0.25">
      <c r="C66" s="81">
        <f t="shared" si="34"/>
        <v>5</v>
      </c>
      <c r="D66" s="85">
        <f>+IFERROR(INDEX('Quikirr Data'!$B$4:$B$103,MATCH($C66,'Quikirr Data'!$ND$4:$ND$103,0),1),"")</f>
        <v>90</v>
      </c>
      <c r="F66" s="43">
        <f>+IFERROR(INDEX('Quikirr Data'!$C$4:$AM$103,MATCH($C66,'Quikirr Data'!$ND$4:$ND$103,0),MATCH(F$60,'Quikirr Data'!$C$3:$AM$3,0)),0)*ToC!$E$15/ToC!$E$10</f>
        <v>2040.6000000000001</v>
      </c>
      <c r="G66" s="43">
        <f>+IFERROR(INDEX('Quikirr Data'!$C$4:$AM$103,MATCH($C66,'Quikirr Data'!$ND$4:$ND$103,0),MATCH(G$60,'Quikirr Data'!$C$3:$AM$3,0)),0)*ToC!$E$15/ToC!$E$10</f>
        <v>2148</v>
      </c>
      <c r="H66" s="43">
        <f>+IFERROR(INDEX('Quikirr Data'!$C$4:$AM$103,MATCH($C66,'Quikirr Data'!$ND$4:$ND$103,0),MATCH(H$60,'Quikirr Data'!$C$3:$AM$3,0)),0)*ToC!$E$15/ToC!$E$10</f>
        <v>2148</v>
      </c>
      <c r="I66" s="43">
        <f>+IFERROR(INDEX('Quikirr Data'!$C$4:$AM$103,MATCH($C66,'Quikirr Data'!$ND$4:$ND$103,0),MATCH(I$60,'Quikirr Data'!$C$3:$AM$3,0)),0)*ToC!$E$15/ToC!$E$10</f>
        <v>2301</v>
      </c>
      <c r="K66" s="47">
        <f t="shared" si="26"/>
        <v>4.0845443758337874E-2</v>
      </c>
      <c r="L66" s="47">
        <f t="shared" si="27"/>
        <v>2.5861544390580079E-2</v>
      </c>
      <c r="M66" s="47">
        <f>+IFERROR(SUM(Q$62:Q66)/Q$75,0)</f>
        <v>0.2224701324516723</v>
      </c>
      <c r="O66" s="43">
        <f t="shared" si="28"/>
        <v>107.39999999999986</v>
      </c>
      <c r="P66" s="43">
        <f t="shared" si="29"/>
        <v>0</v>
      </c>
      <c r="Q66" s="43">
        <f t="shared" si="30"/>
        <v>153</v>
      </c>
      <c r="R66" s="47" cm="1">
        <f t="array" ref="R66">+IFERROR(INDEX($O66:$Q66,MAX(MATCH('Top Customers'!$C$3,$F$60:$I$60,0)-1,1))/INDEX($O$75:$Q$75,MAX(MATCH('Top Customers'!$C$3,$F$60:$I$60,0)-1,1)),0)</f>
        <v>2.5861544390580079E-2</v>
      </c>
      <c r="S66" s="91" cm="1">
        <f t="array" ref="S66">+IFERROR(I66/INDEX($F66:$I66,MATCH(TRUE,$F66:$I66&lt;&gt;0,0)),0)</f>
        <v>1.1276095266098205</v>
      </c>
      <c r="U66" s="47">
        <f t="shared" si="31"/>
        <v>5.2631578947368363E-2</v>
      </c>
      <c r="V66" s="47">
        <f t="shared" si="32"/>
        <v>0</v>
      </c>
      <c r="W66" s="47">
        <f t="shared" si="33"/>
        <v>7.1229050279329575E-2</v>
      </c>
      <c r="Y66" s="105" cm="1">
        <f t="array" ref="Y66">+IFERROR(INDEX('Quikirr Data'!$BD$4:$BD$103,
  MATCH(1,('Quikirr Data'!$B$4:$B$103=$D66)*('Quikirr Data'!$ND$4:$ND$103=$C66),0),
  1),"N/A")</f>
        <v>44926</v>
      </c>
    </row>
    <row r="67" spans="3:25" x14ac:dyDescent="0.25">
      <c r="C67" s="81">
        <f t="shared" si="34"/>
        <v>6</v>
      </c>
      <c r="D67" s="85">
        <f>+IFERROR(INDEX('Quikirr Data'!$B$4:$B$103,MATCH($C67,'Quikirr Data'!$ND$4:$ND$103,0),1),"")</f>
        <v>94</v>
      </c>
      <c r="F67" s="43">
        <f>+IFERROR(INDEX('Quikirr Data'!$C$4:$AM$103,MATCH($C67,'Quikirr Data'!$ND$4:$ND$103,0),MATCH(F$60,'Quikirr Data'!$C$3:$AM$3,0)),0)*ToC!$E$15/ToC!$E$10</f>
        <v>4188</v>
      </c>
      <c r="G67" s="43">
        <f>+IFERROR(INDEX('Quikirr Data'!$C$4:$AM$103,MATCH($C67,'Quikirr Data'!$ND$4:$ND$103,0),MATCH(G$60,'Quikirr Data'!$C$3:$AM$3,0)),0)*ToC!$E$15/ToC!$E$10</f>
        <v>4188</v>
      </c>
      <c r="H67" s="43">
        <f>+IFERROR(INDEX('Quikirr Data'!$C$4:$AM$103,MATCH($C67,'Quikirr Data'!$ND$4:$ND$103,0),MATCH(H$60,'Quikirr Data'!$C$3:$AM$3,0)),0)*ToC!$E$15/ToC!$E$10</f>
        <v>4334.6400000000003</v>
      </c>
      <c r="I67" s="43">
        <f>+IFERROR(INDEX('Quikirr Data'!$C$4:$AM$103,MATCH($C67,'Quikirr Data'!$ND$4:$ND$103,0),MATCH(I$60,'Quikirr Data'!$C$3:$AM$3,0)),0)*ToC!$E$15/ToC!$E$10</f>
        <v>4486.32</v>
      </c>
      <c r="K67" s="47">
        <f t="shared" si="26"/>
        <v>2.3201555174550581E-2</v>
      </c>
      <c r="L67" s="47">
        <f t="shared" si="27"/>
        <v>2.563842518407301E-2</v>
      </c>
      <c r="M67" s="47">
        <f>+IFERROR(SUM(Q$62:Q67)/Q$75,0)</f>
        <v>0.2481085576357453</v>
      </c>
      <c r="O67" s="43">
        <f t="shared" si="28"/>
        <v>0</v>
      </c>
      <c r="P67" s="43">
        <f t="shared" si="29"/>
        <v>146.64000000000033</v>
      </c>
      <c r="Q67" s="43">
        <f t="shared" si="30"/>
        <v>151.67999999999938</v>
      </c>
      <c r="R67" s="47" cm="1">
        <f t="array" ref="R67">+IFERROR(INDEX($O67:$Q67,MAX(MATCH('Top Customers'!$C$3,$F$60:$I$60,0)-1,1))/INDEX($O$75:$Q$75,MAX(MATCH('Top Customers'!$C$3,$F$60:$I$60,0)-1,1)),0)</f>
        <v>2.563842518407301E-2</v>
      </c>
      <c r="S67" s="91" cm="1">
        <f t="array" ref="S67">+IFERROR(I67/INDEX($F67:$I67,MATCH(TRUE,$F67:$I67&lt;&gt;0,0)),0)</f>
        <v>1.0712320916905445</v>
      </c>
      <c r="U67" s="47">
        <f t="shared" si="31"/>
        <v>0</v>
      </c>
      <c r="V67" s="47">
        <f t="shared" si="32"/>
        <v>3.5014326647564653E-2</v>
      </c>
      <c r="W67" s="47">
        <f t="shared" si="33"/>
        <v>3.4992525330823199E-2</v>
      </c>
      <c r="Y67" s="105" cm="1">
        <f t="array" ref="Y67">+IFERROR(INDEX('Quikirr Data'!$BD$4:$BD$103,
  MATCH(1,('Quikirr Data'!$B$4:$B$103=$D67)*('Quikirr Data'!$ND$4:$ND$103=$C67),0),
  1),"N/A")</f>
        <v>44926</v>
      </c>
    </row>
    <row r="68" spans="3:25" x14ac:dyDescent="0.25">
      <c r="C68" s="81">
        <f t="shared" si="34"/>
        <v>7</v>
      </c>
      <c r="D68" s="85">
        <f>+IFERROR(INDEX('Quikirr Data'!$B$4:$B$103,MATCH($C68,'Quikirr Data'!$ND$4:$ND$103,0),1),"")</f>
        <v>51</v>
      </c>
      <c r="F68" s="43">
        <f>+IFERROR(INDEX('Quikirr Data'!$C$4:$AM$103,MATCH($C68,'Quikirr Data'!$ND$4:$ND$103,0),MATCH(F$60,'Quikirr Data'!$C$3:$AM$3,0)),0)*ToC!$E$15/ToC!$E$10</f>
        <v>4188</v>
      </c>
      <c r="G68" s="43">
        <f>+IFERROR(INDEX('Quikirr Data'!$C$4:$AM$103,MATCH($C68,'Quikirr Data'!$ND$4:$ND$103,0),MATCH(G$60,'Quikirr Data'!$C$3:$AM$3,0)),0)*ToC!$E$15/ToC!$E$10</f>
        <v>4188</v>
      </c>
      <c r="H68" s="43">
        <f>+IFERROR(INDEX('Quikirr Data'!$C$4:$AM$103,MATCH($C68,'Quikirr Data'!$ND$4:$ND$103,0),MATCH(H$60,'Quikirr Data'!$C$3:$AM$3,0)),0)*ToC!$E$15/ToC!$E$10</f>
        <v>4188</v>
      </c>
      <c r="I68" s="43">
        <f>+IFERROR(INDEX('Quikirr Data'!$C$4:$AM$103,MATCH($C68,'Quikirr Data'!$ND$4:$ND$103,0),MATCH(I$60,'Quikirr Data'!$C$3:$AM$3,0)),0)*ToC!$E$15/ToC!$E$10</f>
        <v>4334.6400000000003</v>
      </c>
      <c r="K68" s="47">
        <f t="shared" si="26"/>
        <v>1.153780919966918E-2</v>
      </c>
      <c r="L68" s="47">
        <f t="shared" si="27"/>
        <v>2.4786515486501119E-2</v>
      </c>
      <c r="M68" s="47">
        <f>+IFERROR(SUM(Q$62:Q68)/Q$75,0)</f>
        <v>0.27289507312224642</v>
      </c>
      <c r="O68" s="43">
        <f t="shared" si="28"/>
        <v>0</v>
      </c>
      <c r="P68" s="43">
        <f t="shared" si="29"/>
        <v>0</v>
      </c>
      <c r="Q68" s="43">
        <f t="shared" si="30"/>
        <v>146.64000000000033</v>
      </c>
      <c r="R68" s="47" cm="1">
        <f t="array" ref="R68">+IFERROR(INDEX($O68:$Q68,MAX(MATCH('Top Customers'!$C$3,$F$60:$I$60,0)-1,1))/INDEX($O$75:$Q$75,MAX(MATCH('Top Customers'!$C$3,$F$60:$I$60,0)-1,1)),0)</f>
        <v>2.4786515486501119E-2</v>
      </c>
      <c r="S68" s="91" cm="1">
        <f t="array" ref="S68">+IFERROR(I68/INDEX($F68:$I68,MATCH(TRUE,$F68:$I68&lt;&gt;0,0)),0)</f>
        <v>1.0350143266475647</v>
      </c>
      <c r="U68" s="47">
        <f t="shared" si="31"/>
        <v>0</v>
      </c>
      <c r="V68" s="47">
        <f t="shared" si="32"/>
        <v>0</v>
      </c>
      <c r="W68" s="47">
        <f t="shared" si="33"/>
        <v>3.5014326647564653E-2</v>
      </c>
      <c r="Y68" s="105" cm="1">
        <f t="array" ref="Y68">+IFERROR(INDEX('Quikirr Data'!$BD$4:$BD$103,
  MATCH(1,('Quikirr Data'!$B$4:$B$103=$D68)*('Quikirr Data'!$ND$4:$ND$103=$C68),0),
  1),"N/A")</f>
        <v>44926</v>
      </c>
    </row>
    <row r="69" spans="3:25" x14ac:dyDescent="0.25">
      <c r="C69" s="81">
        <f t="shared" si="34"/>
        <v>8</v>
      </c>
      <c r="D69" s="85">
        <f>+IFERROR(INDEX('Quikirr Data'!$B$4:$B$103,MATCH($C69,'Quikirr Data'!$ND$4:$ND$103,0),1),"")</f>
        <v>53</v>
      </c>
      <c r="F69" s="43">
        <f>+IFERROR(INDEX('Quikirr Data'!$C$4:$AM$103,MATCH($C69,'Quikirr Data'!$ND$4:$ND$103,0),MATCH(F$60,'Quikirr Data'!$C$3:$AM$3,0)),0)*ToC!$E$15/ToC!$E$10</f>
        <v>2628</v>
      </c>
      <c r="G69" s="43">
        <f>+IFERROR(INDEX('Quikirr Data'!$C$4:$AM$103,MATCH($C69,'Quikirr Data'!$ND$4:$ND$103,0),MATCH(G$60,'Quikirr Data'!$C$3:$AM$3,0)),0)*ToC!$E$15/ToC!$E$10</f>
        <v>2628</v>
      </c>
      <c r="H69" s="43">
        <f>+IFERROR(INDEX('Quikirr Data'!$C$4:$AM$103,MATCH($C69,'Quikirr Data'!$ND$4:$ND$103,0),MATCH(H$60,'Quikirr Data'!$C$3:$AM$3,0)),0)*ToC!$E$15/ToC!$E$10</f>
        <v>4428</v>
      </c>
      <c r="I69" s="43">
        <f>+IFERROR(INDEX('Quikirr Data'!$C$4:$AM$103,MATCH($C69,'Quikirr Data'!$ND$4:$ND$103,0),MATCH(I$60,'Quikirr Data'!$C$3:$AM$3,0)),0)*ToC!$E$15/ToC!$E$10</f>
        <v>4574.6400000000003</v>
      </c>
      <c r="K69" s="47">
        <f t="shared" si="26"/>
        <v>0.20293968931007278</v>
      </c>
      <c r="L69" s="47">
        <f t="shared" si="27"/>
        <v>2.4786515486501119E-2</v>
      </c>
      <c r="M69" s="47">
        <f>+IFERROR(SUM(Q$62:Q69)/Q$75,0)</f>
        <v>0.29768158860874755</v>
      </c>
      <c r="O69" s="43">
        <f t="shared" si="28"/>
        <v>0</v>
      </c>
      <c r="P69" s="43">
        <f t="shared" si="29"/>
        <v>1800</v>
      </c>
      <c r="Q69" s="43">
        <f t="shared" si="30"/>
        <v>146.64000000000033</v>
      </c>
      <c r="R69" s="47" cm="1">
        <f t="array" ref="R69">+IFERROR(INDEX($O69:$Q69,MAX(MATCH('Top Customers'!$C$3,$F$60:$I$60,0)-1,1))/INDEX($O$75:$Q$75,MAX(MATCH('Top Customers'!$C$3,$F$60:$I$60,0)-1,1)),0)</f>
        <v>2.4786515486501119E-2</v>
      </c>
      <c r="S69" s="91" cm="1">
        <f t="array" ref="S69">+IFERROR(I69/INDEX($F69:$I69,MATCH(TRUE,$F69:$I69&lt;&gt;0,0)),0)</f>
        <v>1.7407305936073061</v>
      </c>
      <c r="U69" s="47">
        <f t="shared" si="31"/>
        <v>0</v>
      </c>
      <c r="V69" s="47">
        <f t="shared" si="32"/>
        <v>0.68493150684931514</v>
      </c>
      <c r="W69" s="47">
        <f t="shared" si="33"/>
        <v>3.3116531165311658E-2</v>
      </c>
      <c r="Y69" s="105" cm="1">
        <f t="array" ref="Y69">+IFERROR(INDEX('Quikirr Data'!$BD$4:$BD$103,
  MATCH(1,('Quikirr Data'!$B$4:$B$103=$D69)*('Quikirr Data'!$ND$4:$ND$103=$C69),0),
  1),"N/A")</f>
        <v>44926</v>
      </c>
    </row>
    <row r="70" spans="3:25" x14ac:dyDescent="0.25">
      <c r="C70" s="81">
        <f t="shared" si="34"/>
        <v>9</v>
      </c>
      <c r="D70" s="85">
        <f>+IFERROR(INDEX('Quikirr Data'!$B$4:$B$103,MATCH($C70,'Quikirr Data'!$ND$4:$ND$103,0),1),"")</f>
        <v>91</v>
      </c>
      <c r="F70" s="43">
        <f>+IFERROR(INDEX('Quikirr Data'!$C$4:$AM$103,MATCH($C70,'Quikirr Data'!$ND$4:$ND$103,0),MATCH(F$60,'Quikirr Data'!$C$3:$AM$3,0)),0)*ToC!$E$15/ToC!$E$10</f>
        <v>4188</v>
      </c>
      <c r="G70" s="43">
        <f>+IFERROR(INDEX('Quikirr Data'!$C$4:$AM$103,MATCH($C70,'Quikirr Data'!$ND$4:$ND$103,0),MATCH(G$60,'Quikirr Data'!$C$3:$AM$3,0)),0)*ToC!$E$15/ToC!$E$10</f>
        <v>4188</v>
      </c>
      <c r="H70" s="43">
        <f>+IFERROR(INDEX('Quikirr Data'!$C$4:$AM$103,MATCH($C70,'Quikirr Data'!$ND$4:$ND$103,0),MATCH(H$60,'Quikirr Data'!$C$3:$AM$3,0)),0)*ToC!$E$15/ToC!$E$10</f>
        <v>4188</v>
      </c>
      <c r="I70" s="43">
        <f>+IFERROR(INDEX('Quikirr Data'!$C$4:$AM$103,MATCH($C70,'Quikirr Data'!$ND$4:$ND$103,0),MATCH(I$60,'Quikirr Data'!$C$3:$AM$3,0)),0)*ToC!$E$15/ToC!$E$10</f>
        <v>4334.6400000000003</v>
      </c>
      <c r="K70" s="47">
        <f t="shared" si="26"/>
        <v>1.153780919966918E-2</v>
      </c>
      <c r="L70" s="47">
        <f t="shared" si="27"/>
        <v>2.4786515486501119E-2</v>
      </c>
      <c r="M70" s="47">
        <f>+IFERROR(SUM(Q$62:Q70)/Q$75,0)</f>
        <v>0.32246810409524868</v>
      </c>
      <c r="O70" s="43">
        <f t="shared" si="28"/>
        <v>0</v>
      </c>
      <c r="P70" s="43">
        <f t="shared" si="29"/>
        <v>0</v>
      </c>
      <c r="Q70" s="43">
        <f t="shared" si="30"/>
        <v>146.64000000000033</v>
      </c>
      <c r="R70" s="47" cm="1">
        <f t="array" ref="R70">+IFERROR(INDEX($O70:$Q70,MAX(MATCH('Top Customers'!$C$3,$F$60:$I$60,0)-1,1))/INDEX($O$75:$Q$75,MAX(MATCH('Top Customers'!$C$3,$F$60:$I$60,0)-1,1)),0)</f>
        <v>2.4786515486501119E-2</v>
      </c>
      <c r="S70" s="91" cm="1">
        <f t="array" ref="S70">+IFERROR(I70/INDEX($F70:$I70,MATCH(TRUE,$F70:$I70&lt;&gt;0,0)),0)</f>
        <v>1.0350143266475647</v>
      </c>
      <c r="U70" s="47">
        <f t="shared" si="31"/>
        <v>0</v>
      </c>
      <c r="V70" s="47">
        <f t="shared" si="32"/>
        <v>0</v>
      </c>
      <c r="W70" s="47">
        <f t="shared" si="33"/>
        <v>3.5014326647564653E-2</v>
      </c>
      <c r="Y70" s="105" cm="1">
        <f t="array" ref="Y70">+IFERROR(INDEX('Quikirr Data'!$BD$4:$BD$103,
  MATCH(1,('Quikirr Data'!$B$4:$B$103=$D70)*('Quikirr Data'!$ND$4:$ND$103=$C70),0),
  1),"N/A")</f>
        <v>44926</v>
      </c>
    </row>
    <row r="71" spans="3:25" x14ac:dyDescent="0.25">
      <c r="C71" s="81">
        <f t="shared" si="34"/>
        <v>10</v>
      </c>
      <c r="D71" s="85">
        <f>+IFERROR(INDEX('Quikirr Data'!$B$4:$B$103,MATCH($C71,'Quikirr Data'!$ND$4:$ND$103,0),1),"")</f>
        <v>24</v>
      </c>
      <c r="F71" s="43">
        <f>+IFERROR(INDEX('Quikirr Data'!$C$4:$AM$103,MATCH($C71,'Quikirr Data'!$ND$4:$ND$103,0),MATCH(F$60,'Quikirr Data'!$C$3:$AM$3,0)),0)*ToC!$E$15/ToC!$E$10</f>
        <v>3948</v>
      </c>
      <c r="G71" s="43">
        <f>+IFERROR(INDEX('Quikirr Data'!$C$4:$AM$103,MATCH($C71,'Quikirr Data'!$ND$4:$ND$103,0),MATCH(G$60,'Quikirr Data'!$C$3:$AM$3,0)),0)*ToC!$E$15/ToC!$E$10</f>
        <v>3948</v>
      </c>
      <c r="H71" s="43">
        <f>+IFERROR(INDEX('Quikirr Data'!$C$4:$AM$103,MATCH($C71,'Quikirr Data'!$ND$4:$ND$103,0),MATCH(H$60,'Quikirr Data'!$C$3:$AM$3,0)),0)*ToC!$E$15/ToC!$E$10</f>
        <v>4086.24</v>
      </c>
      <c r="I71" s="43">
        <f>+IFERROR(INDEX('Quikirr Data'!$C$4:$AM$103,MATCH($C71,'Quikirr Data'!$ND$4:$ND$103,0),MATCH(I$60,'Quikirr Data'!$C$3:$AM$3,0)),0)*ToC!$E$15/ToC!$E$10</f>
        <v>4229.28</v>
      </c>
      <c r="K71" s="47">
        <f t="shared" si="26"/>
        <v>2.3206047261409068E-2</v>
      </c>
      <c r="L71" s="47">
        <f t="shared" si="27"/>
        <v>2.4178008559663879E-2</v>
      </c>
      <c r="M71" s="47">
        <f>+IFERROR(SUM(Q$62:Q71)/Q$75,0)</f>
        <v>0.34664611265491252</v>
      </c>
      <c r="O71" s="43">
        <f t="shared" si="28"/>
        <v>0</v>
      </c>
      <c r="P71" s="43">
        <f t="shared" si="29"/>
        <v>138.23999999999978</v>
      </c>
      <c r="Q71" s="43">
        <f t="shared" si="30"/>
        <v>143.03999999999996</v>
      </c>
      <c r="R71" s="47" cm="1">
        <f t="array" ref="R71">+IFERROR(INDEX($O71:$Q71,MAX(MATCH('Top Customers'!$C$3,$F$60:$I$60,0)-1,1))/INDEX($O$75:$Q$75,MAX(MATCH('Top Customers'!$C$3,$F$60:$I$60,0)-1,1)),0)</f>
        <v>2.4178008559663879E-2</v>
      </c>
      <c r="S71" s="91" cm="1">
        <f t="array" ref="S71">+IFERROR(I71/INDEX($F71:$I71,MATCH(TRUE,$F71:$I71&lt;&gt;0,0)),0)</f>
        <v>1.0712462006079027</v>
      </c>
      <c r="U71" s="47">
        <f t="shared" si="31"/>
        <v>0</v>
      </c>
      <c r="V71" s="47">
        <f t="shared" si="32"/>
        <v>3.5015197568389E-2</v>
      </c>
      <c r="W71" s="47">
        <f t="shared" si="33"/>
        <v>3.5005286033125804E-2</v>
      </c>
      <c r="Y71" s="105" cm="1">
        <f t="array" ref="Y71">+IFERROR(INDEX('Quikirr Data'!$BD$4:$BD$103,
  MATCH(1,('Quikirr Data'!$B$4:$B$103=$D71)*('Quikirr Data'!$ND$4:$ND$103=$C71),0),
  1),"N/A")</f>
        <v>44926</v>
      </c>
    </row>
    <row r="72" spans="3:25" s="11" customFormat="1" x14ac:dyDescent="0.25">
      <c r="D72" s="84" t="str">
        <f>+"Total Top "&amp;COUNTA('Top Customers'!$D$62:$D$71)</f>
        <v>Total Top 10</v>
      </c>
      <c r="F72" s="89">
        <f>+SUM(F$62:F$71)</f>
        <v>35546.399999999994</v>
      </c>
      <c r="G72" s="89">
        <f>+SUM(G$62:G$71)</f>
        <v>35617.199999999997</v>
      </c>
      <c r="H72" s="89">
        <f>+SUM(H$62:H$71)</f>
        <v>37629.479999999996</v>
      </c>
      <c r="I72" s="89">
        <f>+SUM(I$62:I$71)</f>
        <v>39680.28</v>
      </c>
      <c r="K72" s="90">
        <f t="shared" si="26"/>
        <v>3.7352524385174224E-2</v>
      </c>
      <c r="L72" s="90">
        <f t="shared" si="27"/>
        <v>0.34664611265491307</v>
      </c>
      <c r="M72" s="90">
        <f>+M71</f>
        <v>0.34664611265491252</v>
      </c>
      <c r="O72" s="89">
        <f t="shared" si="28"/>
        <v>70.80000000000291</v>
      </c>
      <c r="P72" s="89">
        <f t="shared" si="29"/>
        <v>2012.2799999999988</v>
      </c>
      <c r="Q72" s="89">
        <f t="shared" si="30"/>
        <v>2050.8000000000029</v>
      </c>
      <c r="R72" s="90" cm="1">
        <f t="array" ref="R72">+IFERROR(INDEX($O72:$Q72,MAX(MATCH('Top Customers'!$C$3,$F$60:$I$60,0)-1,1))/INDEX($O$75:$Q$75,MAX(MATCH('Top Customers'!$C$3,$F$60:$I$60,0)-1,1)),0)</f>
        <v>0.34664611265491307</v>
      </c>
      <c r="S72" s="92" cm="1">
        <f t="array" ref="S72">+IFERROR(I72/INDEX($F72:$I72,MATCH(TRUE,$F72:$I72&lt;&gt;0,0)),0)</f>
        <v>1.1162953210451694</v>
      </c>
      <c r="U72" s="90">
        <f t="shared" si="31"/>
        <v>1.9917628789414277E-3</v>
      </c>
      <c r="V72" s="90">
        <f t="shared" si="32"/>
        <v>5.6497422593578372E-2</v>
      </c>
      <c r="W72" s="90">
        <f t="shared" si="33"/>
        <v>5.449982301110734E-2</v>
      </c>
    </row>
    <row r="73" spans="3:25" x14ac:dyDescent="0.25">
      <c r="K73" s="47"/>
      <c r="L73" s="47"/>
      <c r="M73" s="47"/>
    </row>
    <row r="74" spans="3:25" x14ac:dyDescent="0.25">
      <c r="D74" s="40" t="str">
        <f>+"Other Upsell ("&amp;COUNTIFS('Quikirr Data'!$ND$4:$ND$103,"&gt;10")&amp;" Customers)"</f>
        <v>Other Upsell (39 Customers)</v>
      </c>
      <c r="F74" s="43">
        <f>+F75-F72</f>
        <v>99301.200000000012</v>
      </c>
      <c r="G74" s="43">
        <f>+G75-G72</f>
        <v>100662.96000000004</v>
      </c>
      <c r="H74" s="43">
        <f>+H75-H72</f>
        <v>112745.76</v>
      </c>
      <c r="I74" s="43">
        <f>+I75-I72</f>
        <v>116611.08000000005</v>
      </c>
      <c r="K74" s="47">
        <f>+IFERROR((I74/F74)^(1/YEARFRAC($F$60,$I$60))-1,0)</f>
        <v>5.5022626045647449E-2</v>
      </c>
      <c r="L74" s="47">
        <f>+IFERROR(Q74/Q$75,0)</f>
        <v>0.65335388734508693</v>
      </c>
      <c r="M74" s="47">
        <f>+M75-M72</f>
        <v>0.65335388734508748</v>
      </c>
      <c r="O74" s="43">
        <f t="shared" ref="O74:Q75" si="35">+G74-F74</f>
        <v>1361.7600000000239</v>
      </c>
      <c r="P74" s="43">
        <f t="shared" si="35"/>
        <v>12082.799999999959</v>
      </c>
      <c r="Q74" s="43">
        <f t="shared" si="35"/>
        <v>3865.3200000000506</v>
      </c>
      <c r="R74" s="47" cm="1">
        <f t="array" ref="R74">+IFERROR(INDEX($O74:$Q74,MAX(MATCH('Top Customers'!$C$3,$F$60:$I$60,0)-1,1))/INDEX($O$75:$Q$75,MAX(MATCH('Top Customers'!$C$3,$F$60:$I$60,0)-1,1)),0)</f>
        <v>0.65335388734508693</v>
      </c>
      <c r="S74" s="91" cm="1">
        <f t="array" ref="S74">+IFERROR(I74/INDEX($F74:$I74,MATCH(TRUE,$F74:$I74&lt;&gt;0,0)),0)</f>
        <v>1.1743169266836657</v>
      </c>
      <c r="U74" s="47">
        <f t="shared" ref="U74:W75" si="36">+IFERROR(G74/F74-1,0)</f>
        <v>1.3713429444961678E-2</v>
      </c>
      <c r="V74" s="47">
        <f t="shared" si="36"/>
        <v>0.12003223429948773</v>
      </c>
      <c r="W74" s="47">
        <f t="shared" si="36"/>
        <v>3.4283506537186481E-2</v>
      </c>
    </row>
    <row r="75" spans="3:25" s="11" customFormat="1" x14ac:dyDescent="0.25">
      <c r="D75" s="84" t="s">
        <v>118</v>
      </c>
      <c r="F75" s="89">
        <f>+SUMIFS('Quikirr Data'!C$4:C$103,'Quikirr Data'!$ND$4:$ND$103,"&lt;&gt;N/A")*ToC!$E$15/ToC!$E$10</f>
        <v>134847.6</v>
      </c>
      <c r="G75" s="89">
        <f>+SUMIFS('Quikirr Data'!O$4:O$103,'Quikirr Data'!$ND$4:$ND$103,"&lt;&gt;N/A")*ToC!$E$15/ToC!$E$10</f>
        <v>136280.16000000003</v>
      </c>
      <c r="H75" s="89">
        <f>+SUMIFS('Quikirr Data'!AA$4:AA$103,'Quikirr Data'!$ND$4:$ND$103,"&lt;&gt;N/A")*ToC!$E$15/ToC!$E$10</f>
        <v>150375.24</v>
      </c>
      <c r="I75" s="89">
        <f>+SUMIFS('Quikirr Data'!AM$4:AM$103,'Quikirr Data'!$ND$4:$ND$103,"&lt;&gt;N/A")*ToC!$E$15/ToC!$E$10</f>
        <v>156291.36000000004</v>
      </c>
      <c r="K75" s="90">
        <f>+IFERROR((I75/F75)^(1/YEARFRAC($F$60,$I$60))-1,0)</f>
        <v>5.0422259505495726E-2</v>
      </c>
      <c r="L75" s="90">
        <f>+IFERROR(Q75/Q$75,0)</f>
        <v>1</v>
      </c>
      <c r="M75" s="90">
        <f>1</f>
        <v>1</v>
      </c>
      <c r="O75" s="89">
        <f t="shared" si="35"/>
        <v>1432.5600000000268</v>
      </c>
      <c r="P75" s="89">
        <f t="shared" si="35"/>
        <v>14095.079999999958</v>
      </c>
      <c r="Q75" s="89">
        <f t="shared" si="35"/>
        <v>5916.1200000000536</v>
      </c>
      <c r="R75" s="90" cm="1">
        <f t="array" ref="R75">+IFERROR(INDEX($O$75:$Q$75,MAX(MATCH('Top Customers'!$C$3,$F$60:$I$60,0)-1,1))/INDEX($O$75:$Q$75,MAX(MATCH('Top Customers'!$C$3,$F$60:$I$60,0)-1,1)),0)</f>
        <v>1</v>
      </c>
      <c r="S75" s="92" cm="1">
        <f t="array" ref="S75">+IFERROR(I75/INDEX($F75:$I75,MATCH(TRUE,$F75:$I75&lt;&gt;0,0)),0)</f>
        <v>1.1590221850444504</v>
      </c>
      <c r="U75" s="90">
        <f t="shared" si="36"/>
        <v>1.0623548361261337E-2</v>
      </c>
      <c r="V75" s="90">
        <f t="shared" si="36"/>
        <v>0.10342723401557463</v>
      </c>
      <c r="W75" s="90">
        <f t="shared" si="36"/>
        <v>3.9342381099441992E-2</v>
      </c>
    </row>
    <row r="77" spans="3:25" x14ac:dyDescent="0.25">
      <c r="D77" s="93" t="s">
        <v>110</v>
      </c>
      <c r="E77" s="94"/>
      <c r="F77" s="95">
        <f>+SUM(F$62:F$66)</f>
        <v>16406.399999999998</v>
      </c>
      <c r="G77" s="95">
        <f>+SUM(G$62:G$66)</f>
        <v>16477.2</v>
      </c>
      <c r="H77" s="95">
        <f>+SUM(H$62:H$66)</f>
        <v>16404.599999999999</v>
      </c>
      <c r="I77" s="95">
        <f>+SUM(I$62:I$66)</f>
        <v>17720.760000000002</v>
      </c>
      <c r="J77" s="94"/>
      <c r="K77" s="96">
        <f>+IFERROR((I77/F77)^(1/YEARFRAC($F$60,$I$60))-1,0)</f>
        <v>2.6021235271557197E-2</v>
      </c>
      <c r="L77" s="96">
        <f>+IFERROR(Q77/Q$75,0)</f>
        <v>0.22247013245167299</v>
      </c>
      <c r="M77" s="96">
        <f>+L77</f>
        <v>0.22247013245167299</v>
      </c>
      <c r="N77" s="94"/>
      <c r="O77" s="95">
        <f t="shared" ref="O77:Q78" si="37">+G77-F77</f>
        <v>70.80000000000291</v>
      </c>
      <c r="P77" s="95">
        <f t="shared" si="37"/>
        <v>-72.600000000002183</v>
      </c>
      <c r="Q77" s="95">
        <f t="shared" si="37"/>
        <v>1316.1600000000035</v>
      </c>
      <c r="R77" s="96" cm="1">
        <f t="array" ref="R77">+IFERROR(INDEX($O77:$Q77,MAX(MATCH('Top Customers'!$C$3,$F$60:$I$60,0)-1,1))/INDEX($O$75:$Q$75,MAX(MATCH('Top Customers'!$C$3,$F$60:$I$60,0)-1,1)),0)</f>
        <v>0.22247013245167299</v>
      </c>
      <c r="S77" s="97" cm="1">
        <f t="array" ref="S77">+IFERROR(I77/INDEX($F77:$I77,MATCH(TRUE,$F77:$I77&lt;&gt;0,0)),0)</f>
        <v>1.0801126389701583</v>
      </c>
      <c r="T77" s="94"/>
      <c r="U77" s="96">
        <f t="shared" ref="U77:W78" si="38">+IFERROR(G77/F77-1,0)</f>
        <v>4.3153891164424696E-3</v>
      </c>
      <c r="V77" s="96">
        <f t="shared" si="38"/>
        <v>-4.4060884130799893E-3</v>
      </c>
      <c r="W77" s="98">
        <f t="shared" si="38"/>
        <v>8.0231154676127625E-2</v>
      </c>
    </row>
    <row r="78" spans="3:25" x14ac:dyDescent="0.25">
      <c r="D78" s="99" t="s">
        <v>111</v>
      </c>
      <c r="E78" s="100"/>
      <c r="F78" s="101">
        <f>+SUM(F$62:F$71)</f>
        <v>35546.399999999994</v>
      </c>
      <c r="G78" s="101">
        <f>+SUM(G$62:G$71)</f>
        <v>35617.199999999997</v>
      </c>
      <c r="H78" s="101">
        <f>+SUM(H$62:H$71)</f>
        <v>37629.479999999996</v>
      </c>
      <c r="I78" s="101">
        <f>+SUM(I$62:I$71)</f>
        <v>39680.28</v>
      </c>
      <c r="J78" s="100"/>
      <c r="K78" s="102">
        <f>+IFERROR((I78/F78)^(1/YEARFRAC($F$60,$I$60))-1,0)</f>
        <v>3.7352524385174224E-2</v>
      </c>
      <c r="L78" s="102">
        <f>+IFERROR(Q78/Q$75,0)</f>
        <v>0.34664611265491307</v>
      </c>
      <c r="M78" s="102">
        <f>+L78</f>
        <v>0.34664611265491307</v>
      </c>
      <c r="N78" s="100"/>
      <c r="O78" s="101">
        <f t="shared" si="37"/>
        <v>70.80000000000291</v>
      </c>
      <c r="P78" s="101">
        <f t="shared" si="37"/>
        <v>2012.2799999999988</v>
      </c>
      <c r="Q78" s="101">
        <f t="shared" si="37"/>
        <v>2050.8000000000029</v>
      </c>
      <c r="R78" s="102" cm="1">
        <f t="array" ref="R78">+IFERROR(INDEX($O78:$Q78,MAX(MATCH('Top Customers'!$C$3,$F$60:$I$60,0)-1,1))/INDEX($O$75:$Q$75,MAX(MATCH('Top Customers'!$C$3,$F$60:$I$60,0)-1,1)),0)</f>
        <v>0.34664611265491307</v>
      </c>
      <c r="S78" s="103" cm="1">
        <f t="array" ref="S78">+IFERROR(I78/INDEX($F78:$I78,MATCH(TRUE,$F78:$I78&lt;&gt;0,0)),0)</f>
        <v>1.1162953210451694</v>
      </c>
      <c r="T78" s="100"/>
      <c r="U78" s="102">
        <f t="shared" si="38"/>
        <v>1.9917628789414277E-3</v>
      </c>
      <c r="V78" s="102">
        <f t="shared" si="38"/>
        <v>5.6497422593578372E-2</v>
      </c>
      <c r="W78" s="104">
        <f t="shared" si="38"/>
        <v>5.449982301110734E-2</v>
      </c>
    </row>
    <row r="81" spans="3:25" ht="14.25" thickBot="1" x14ac:dyDescent="0.3">
      <c r="C81" s="76" t="str">
        <f>"Top Downsell Customers as of " &amp; TEXT('Top Customers'!C3, "mmm-yy")</f>
        <v>Top Downsell Customers as of Dec-25</v>
      </c>
      <c r="D81" s="77"/>
      <c r="E81" s="77"/>
      <c r="F81" s="77"/>
      <c r="G81" s="77"/>
      <c r="H81" s="77"/>
      <c r="I81" s="77"/>
      <c r="J81" s="77"/>
      <c r="K81" s="77"/>
      <c r="L81" s="77"/>
      <c r="M81" s="77"/>
      <c r="N81" s="77"/>
      <c r="O81" s="77"/>
      <c r="P81" s="77"/>
      <c r="Q81" s="77"/>
      <c r="R81" s="77"/>
      <c r="S81" s="77"/>
      <c r="T81" s="77"/>
      <c r="U81" s="77"/>
      <c r="V81" s="77"/>
      <c r="W81" s="77"/>
      <c r="X81" s="77"/>
      <c r="Y81" s="77"/>
    </row>
    <row r="82" spans="3:25" x14ac:dyDescent="0.25">
      <c r="C82" s="37" t="str">
        <f>"("&amp;ToC!$E$12&amp;" "&amp;ToC!$E$11&amp;")"</f>
        <v>($ Actuals)</v>
      </c>
    </row>
    <row r="83" spans="3:25" x14ac:dyDescent="0.25">
      <c r="F83" s="12" t="s">
        <v>112</v>
      </c>
      <c r="G83" s="12"/>
      <c r="H83" s="12"/>
      <c r="I83" s="12"/>
      <c r="O83" s="87" t="s">
        <v>114</v>
      </c>
      <c r="P83" s="13"/>
      <c r="Q83" s="13"/>
      <c r="U83" s="87" t="s">
        <v>57</v>
      </c>
      <c r="V83" s="13"/>
      <c r="W83" s="13"/>
    </row>
    <row r="84" spans="3:25" x14ac:dyDescent="0.25">
      <c r="C84" s="83" t="s">
        <v>107</v>
      </c>
      <c r="D84" s="82" t="s">
        <v>108</v>
      </c>
      <c r="F84" s="86">
        <v>44926</v>
      </c>
      <c r="G84" s="86">
        <v>45291</v>
      </c>
      <c r="H84" s="86">
        <v>45657</v>
      </c>
      <c r="I84" s="86">
        <v>46022</v>
      </c>
      <c r="K84" s="83" t="str">
        <f>TEXT($F$84,"mmm 'yy")&amp;" - "&amp;TEXT($I$84,"mmm 'yy")&amp;" CAGR"</f>
        <v>Dec '22 - Dec '25 CAGR</v>
      </c>
      <c r="L84" s="83" t="str">
        <f>"% of Downsell "&amp;$Q$84</f>
        <v>% of Downsell Dec '24 - Dec '25</v>
      </c>
      <c r="M84" s="83" t="s">
        <v>113</v>
      </c>
      <c r="O84" s="88" t="str">
        <f>TEXT($F$84,"mmm 'yy")&amp;" - "&amp;TEXT($G$84,"mmm 'yy")</f>
        <v>Dec '22 - Dec '23</v>
      </c>
      <c r="P84" s="88" t="str">
        <f>TEXT($G$84,"mmm 'yy")&amp;" - "&amp;TEXT($H$84,"mmm 'yy")</f>
        <v>Dec '23 - Dec '24</v>
      </c>
      <c r="Q84" s="88" t="str">
        <f>TEXT($H$84,"mmm 'yy")&amp;" - "&amp;TEXT($I$84,"mmm 'yy")</f>
        <v>Dec '24 - Dec '25</v>
      </c>
      <c r="R84" s="83" t="str">
        <f>"% of "&amp;$Q$84&amp;" Growth"</f>
        <v>% of Dec '24 - Dec '25 Growth</v>
      </c>
      <c r="S84" s="83" t="s">
        <v>115</v>
      </c>
      <c r="U84" s="88" t="str">
        <f>TEXT($F$84,"mmm 'yy")&amp;" - "&amp;TEXT($G$84,"mmm 'yy")</f>
        <v>Dec '22 - Dec '23</v>
      </c>
      <c r="V84" s="88" t="str">
        <f>TEXT($G$84,"mmm 'yy")&amp;" - "&amp;TEXT($H$84,"mmm 'yy")</f>
        <v>Dec '23 - Dec '24</v>
      </c>
      <c r="W84" s="88" t="str">
        <f>TEXT($H$84,"mmm 'yy")&amp;" - "&amp;TEXT($I$84,"mmm 'yy")</f>
        <v>Dec '24 - Dec '25</v>
      </c>
      <c r="Y84" s="82" t="s">
        <v>116</v>
      </c>
    </row>
    <row r="85" spans="3:25" ht="3.95" customHeight="1" x14ac:dyDescent="0.25"/>
    <row r="86" spans="3:25" x14ac:dyDescent="0.25">
      <c r="C86" s="81">
        <v>1</v>
      </c>
      <c r="D86" s="85">
        <f>+IFERROR(INDEX('Quikirr Data'!$B$4:$B$103,MATCH($C86,'Quikirr Data'!$NE$4:$NE$103,0),1),"")</f>
        <v>37</v>
      </c>
      <c r="F86" s="43">
        <f>+IFERROR(INDEX('Quikirr Data'!$C$4:$AM$103,MATCH($C86,'Quikirr Data'!$NE$4:$NE$103,0),MATCH(F$84,'Quikirr Data'!$C$3:$AM$3,0)),0)*ToC!$E$15/ToC!$E$10</f>
        <v>2947.8</v>
      </c>
      <c r="G86" s="43">
        <f>+IFERROR(INDEX('Quikirr Data'!$C$4:$AM$103,MATCH($C86,'Quikirr Data'!$NE$4:$NE$103,0),MATCH(G$84,'Quikirr Data'!$C$3:$AM$3,0)),0)*ToC!$E$15/ToC!$E$10</f>
        <v>2947.8</v>
      </c>
      <c r="H86" s="43">
        <f>+IFERROR(INDEX('Quikirr Data'!$C$4:$AM$103,MATCH($C86,'Quikirr Data'!$NE$4:$NE$103,0),MATCH(H$84,'Quikirr Data'!$C$3:$AM$3,0)),0)*ToC!$E$15/ToC!$E$10</f>
        <v>3051</v>
      </c>
      <c r="I86" s="43">
        <f>+IFERROR(INDEX('Quikirr Data'!$C$4:$AM$103,MATCH($C86,'Quikirr Data'!$NE$4:$NE$103,0),MATCH(I$84,'Quikirr Data'!$C$3:$AM$3,0)),0)*ToC!$E$15/ToC!$E$10</f>
        <v>1275</v>
      </c>
      <c r="K86" s="47">
        <f t="shared" ref="K86:K96" si="39">+IFERROR((I86/F86)^(1/YEARFRAC($F$84,$I$84))-1,0)</f>
        <v>-0.2437407086299308</v>
      </c>
      <c r="L86" s="47">
        <f t="shared" ref="L86:L96" si="40">+IFERROR(Q86/Q$99,0)</f>
        <v>0.51001068265619054</v>
      </c>
      <c r="M86" s="47">
        <f>+IFERROR(SUM(Q$86:Q86)/Q$99,0)</f>
        <v>0.51001068265619054</v>
      </c>
      <c r="O86" s="43">
        <f t="shared" ref="O86:O96" si="41">+G86-F86</f>
        <v>0</v>
      </c>
      <c r="P86" s="43">
        <f t="shared" ref="P86:P96" si="42">+H86-G86</f>
        <v>103.19999999999982</v>
      </c>
      <c r="Q86" s="43">
        <f t="shared" ref="Q86:Q96" si="43">+I86-H86</f>
        <v>-1776</v>
      </c>
      <c r="R86" s="47" cm="1">
        <f t="array" ref="R86">+IFERROR(INDEX($O86:$Q86,MAX(MATCH('Top Customers'!$C$3,$F$84:$I$84,0)-1,1))/INDEX($O$99:$Q$99,MAX(MATCH('Top Customers'!$C$3,$F$84:$I$84,0)-1,1)),0)</f>
        <v>0.51001068265619054</v>
      </c>
      <c r="S86" s="91" cm="1">
        <f t="array" ref="S86">+IFERROR(I86/INDEX($F86:$I86,MATCH(TRUE,$F86:$I86&lt;&gt;0,0)),0)</f>
        <v>0.43252595155709339</v>
      </c>
      <c r="U86" s="47">
        <f t="shared" ref="U86:U96" si="44">+IFERROR(G86/F86-1,0)</f>
        <v>0</v>
      </c>
      <c r="V86" s="47">
        <f t="shared" ref="V86:V96" si="45">+IFERROR(H86/G86-1,0)</f>
        <v>3.5009159373091681E-2</v>
      </c>
      <c r="W86" s="47">
        <f t="shared" ref="W86:W96" si="46">+IFERROR(I86/H86-1,0)</f>
        <v>-0.5821042281219273</v>
      </c>
      <c r="Y86" s="105" cm="1">
        <f t="array" ref="Y86">+IFERROR(INDEX('Quikirr Data'!$BD$4:$BD$103,
  MATCH(1,('Quikirr Data'!$B$4:$B$103=$D86)*('Quikirr Data'!$NE$4:$NE$103=$C86),0),
  1),"N/A")</f>
        <v>44926</v>
      </c>
    </row>
    <row r="87" spans="3:25" x14ac:dyDescent="0.25">
      <c r="C87" s="81">
        <f t="shared" ref="C87:C95" si="47">+C86+1</f>
        <v>2</v>
      </c>
      <c r="D87" s="85">
        <f>+IFERROR(INDEX('Quikirr Data'!$B$4:$B$103,MATCH($C87,'Quikirr Data'!$NE$4:$NE$103,0),1),"")</f>
        <v>86</v>
      </c>
      <c r="F87" s="43">
        <f>+IFERROR(INDEX('Quikirr Data'!$C$4:$AM$103,MATCH($C87,'Quikirr Data'!$NE$4:$NE$103,0),MATCH(F$84,'Quikirr Data'!$C$3:$AM$3,0)),0)*ToC!$E$15/ToC!$E$10</f>
        <v>2148</v>
      </c>
      <c r="G87" s="43">
        <f>+IFERROR(INDEX('Quikirr Data'!$C$4:$AM$103,MATCH($C87,'Quikirr Data'!$NE$4:$NE$103,0),MATCH(G$84,'Quikirr Data'!$C$3:$AM$3,0)),0)*ToC!$E$15/ToC!$E$10</f>
        <v>2148</v>
      </c>
      <c r="H87" s="43">
        <f>+IFERROR(INDEX('Quikirr Data'!$C$4:$AM$103,MATCH($C87,'Quikirr Data'!$NE$4:$NE$103,0),MATCH(H$84,'Quikirr Data'!$C$3:$AM$3,0)),0)*ToC!$E$15/ToC!$E$10</f>
        <v>2148</v>
      </c>
      <c r="I87" s="43">
        <f>+IFERROR(INDEX('Quikirr Data'!$C$4:$AM$103,MATCH($C87,'Quikirr Data'!$NE$4:$NE$103,0),MATCH(I$84,'Quikirr Data'!$C$3:$AM$3,0)),0)*ToC!$E$15/ToC!$E$10</f>
        <v>1200</v>
      </c>
      <c r="K87" s="47">
        <f t="shared" si="39"/>
        <v>-0.17640129260271542</v>
      </c>
      <c r="L87" s="47">
        <f t="shared" si="40"/>
        <v>0.27223543195837197</v>
      </c>
      <c r="M87" s="47">
        <f>+IFERROR(SUM(Q$86:Q87)/Q$99,0)</f>
        <v>0.7822461146145625</v>
      </c>
      <c r="O87" s="43">
        <f t="shared" si="41"/>
        <v>0</v>
      </c>
      <c r="P87" s="43">
        <f t="shared" si="42"/>
        <v>0</v>
      </c>
      <c r="Q87" s="43">
        <f t="shared" si="43"/>
        <v>-948</v>
      </c>
      <c r="R87" s="47" cm="1">
        <f t="array" ref="R87">+IFERROR(INDEX($O87:$Q87,MAX(MATCH('Top Customers'!$C$3,$F$84:$I$84,0)-1,1))/INDEX($O$99:$Q$99,MAX(MATCH('Top Customers'!$C$3,$F$84:$I$84,0)-1,1)),0)</f>
        <v>0.27223543195837197</v>
      </c>
      <c r="S87" s="91" cm="1">
        <f t="array" ref="S87">+IFERROR(I87/INDEX($F87:$I87,MATCH(TRUE,$F87:$I87&lt;&gt;0,0)),0)</f>
        <v>0.55865921787709494</v>
      </c>
      <c r="U87" s="47">
        <f t="shared" si="44"/>
        <v>0</v>
      </c>
      <c r="V87" s="47">
        <f t="shared" si="45"/>
        <v>0</v>
      </c>
      <c r="W87" s="47">
        <f t="shared" si="46"/>
        <v>-0.44134078212290506</v>
      </c>
      <c r="Y87" s="105" cm="1">
        <f t="array" ref="Y87">+IFERROR(INDEX('Quikirr Data'!$BD$4:$BD$103,
  MATCH(1,('Quikirr Data'!$B$4:$B$103=$D87)*('Quikirr Data'!$NE$4:$NE$103=$C87),0),
  1),"N/A")</f>
        <v>44926</v>
      </c>
    </row>
    <row r="88" spans="3:25" x14ac:dyDescent="0.25">
      <c r="C88" s="81">
        <f t="shared" si="47"/>
        <v>3</v>
      </c>
      <c r="D88" s="85">
        <f>+IFERROR(INDEX('Quikirr Data'!$B$4:$B$103,MATCH($C88,'Quikirr Data'!$NE$4:$NE$103,0),1),"")</f>
        <v>92</v>
      </c>
      <c r="F88" s="43">
        <f>+IFERROR(INDEX('Quikirr Data'!$C$4:$AM$103,MATCH($C88,'Quikirr Data'!$NE$4:$NE$103,0),MATCH(F$84,'Quikirr Data'!$C$3:$AM$3,0)),0)*ToC!$E$15/ToC!$E$10</f>
        <v>1758</v>
      </c>
      <c r="G88" s="43">
        <f>+IFERROR(INDEX('Quikirr Data'!$C$4:$AM$103,MATCH($C88,'Quikirr Data'!$NE$4:$NE$103,0),MATCH(G$84,'Quikirr Data'!$C$3:$AM$3,0)),0)*ToC!$E$15/ToC!$E$10</f>
        <v>2724.6000000000004</v>
      </c>
      <c r="H88" s="43">
        <f>+IFERROR(INDEX('Quikirr Data'!$C$4:$AM$103,MATCH($C88,'Quikirr Data'!$NE$4:$NE$103,0),MATCH(H$84,'Quikirr Data'!$C$3:$AM$3,0)),0)*ToC!$E$15/ToC!$E$10</f>
        <v>2724.6000000000004</v>
      </c>
      <c r="I88" s="43">
        <f>+IFERROR(INDEX('Quikirr Data'!$C$4:$AM$103,MATCH($C88,'Quikirr Data'!$NE$4:$NE$103,0),MATCH(I$84,'Quikirr Data'!$C$3:$AM$3,0)),0)*ToC!$E$15/ToC!$E$10</f>
        <v>2040.6000000000001</v>
      </c>
      <c r="K88" s="47">
        <f t="shared" si="39"/>
        <v>5.0944230974528049E-2</v>
      </c>
      <c r="L88" s="47">
        <f t="shared" si="40"/>
        <v>0.19642303318515453</v>
      </c>
      <c r="M88" s="47">
        <f>+IFERROR(SUM(Q$86:Q88)/Q$99,0)</f>
        <v>0.97866914779971703</v>
      </c>
      <c r="O88" s="43">
        <f t="shared" si="41"/>
        <v>966.60000000000036</v>
      </c>
      <c r="P88" s="43">
        <f t="shared" si="42"/>
        <v>0</v>
      </c>
      <c r="Q88" s="43">
        <f t="shared" si="43"/>
        <v>-684.00000000000023</v>
      </c>
      <c r="R88" s="47" cm="1">
        <f t="array" ref="R88">+IFERROR(INDEX($O88:$Q88,MAX(MATCH('Top Customers'!$C$3,$F$84:$I$84,0)-1,1))/INDEX($O$99:$Q$99,MAX(MATCH('Top Customers'!$C$3,$F$84:$I$84,0)-1,1)),0)</f>
        <v>0.19642303318515453</v>
      </c>
      <c r="S88" s="91" cm="1">
        <f t="array" ref="S88">+IFERROR(I88/INDEX($F88:$I88,MATCH(TRUE,$F88:$I88&lt;&gt;0,0)),0)</f>
        <v>1.160750853242321</v>
      </c>
      <c r="U88" s="47">
        <f t="shared" si="44"/>
        <v>0.54982935153583634</v>
      </c>
      <c r="V88" s="47">
        <f t="shared" si="45"/>
        <v>0</v>
      </c>
      <c r="W88" s="47">
        <f t="shared" si="46"/>
        <v>-0.25104602510460261</v>
      </c>
      <c r="Y88" s="105" cm="1">
        <f t="array" ref="Y88">+IFERROR(INDEX('Quikirr Data'!$BD$4:$BD$103,
  MATCH(1,('Quikirr Data'!$B$4:$B$103=$D88)*('Quikirr Data'!$NE$4:$NE$103=$C88),0),
  1),"N/A")</f>
        <v>44926</v>
      </c>
    </row>
    <row r="89" spans="3:25" x14ac:dyDescent="0.25">
      <c r="C89" s="81">
        <f t="shared" si="47"/>
        <v>4</v>
      </c>
      <c r="D89" s="85">
        <f>+IFERROR(INDEX('Quikirr Data'!$B$4:$B$103,MATCH($C89,'Quikirr Data'!$NE$4:$NE$103,0),1),"")</f>
        <v>12</v>
      </c>
      <c r="F89" s="43">
        <f>+IFERROR(INDEX('Quikirr Data'!$C$4:$AM$103,MATCH($C89,'Quikirr Data'!$NE$4:$NE$103,0),MATCH(F$84,'Quikirr Data'!$C$3:$AM$3,0)),0)*ToC!$E$15/ToC!$E$10</f>
        <v>3408.6000000000004</v>
      </c>
      <c r="G89" s="43">
        <f>+IFERROR(INDEX('Quikirr Data'!$C$4:$AM$103,MATCH($C89,'Quikirr Data'!$NE$4:$NE$103,0),MATCH(G$84,'Quikirr Data'!$C$3:$AM$3,0)),0)*ToC!$E$15/ToC!$E$10</f>
        <v>3375.96</v>
      </c>
      <c r="H89" s="43">
        <f>+IFERROR(INDEX('Quikirr Data'!$C$4:$AM$103,MATCH($C89,'Quikirr Data'!$NE$4:$NE$103,0),MATCH(H$84,'Quikirr Data'!$C$3:$AM$3,0)),0)*ToC!$E$15/ToC!$E$10</f>
        <v>3602.2799999999997</v>
      </c>
      <c r="I89" s="43">
        <f>+IFERROR(INDEX('Quikirr Data'!$C$4:$AM$103,MATCH($C89,'Quikirr Data'!$NE$4:$NE$103,0),MATCH(I$84,'Quikirr Data'!$C$3:$AM$3,0)),0)*ToC!$E$15/ToC!$E$10</f>
        <v>3528</v>
      </c>
      <c r="K89" s="47">
        <f t="shared" si="39"/>
        <v>1.1542603745972935E-2</v>
      </c>
      <c r="L89" s="47">
        <f t="shared" si="40"/>
        <v>2.1330852200282489E-2</v>
      </c>
      <c r="M89" s="47">
        <f>+IFERROR(SUM(Q$86:Q89)/Q$99,0)</f>
        <v>0.99999999999999944</v>
      </c>
      <c r="O89" s="43">
        <f t="shared" si="41"/>
        <v>-32.640000000000327</v>
      </c>
      <c r="P89" s="43">
        <f t="shared" si="42"/>
        <v>226.31999999999971</v>
      </c>
      <c r="Q89" s="43">
        <f t="shared" si="43"/>
        <v>-74.279999999999745</v>
      </c>
      <c r="R89" s="47" cm="1">
        <f t="array" ref="R89">+IFERROR(INDEX($O89:$Q89,MAX(MATCH('Top Customers'!$C$3,$F$84:$I$84,0)-1,1))/INDEX($O$99:$Q$99,MAX(MATCH('Top Customers'!$C$3,$F$84:$I$84,0)-1,1)),0)</f>
        <v>2.1330852200282489E-2</v>
      </c>
      <c r="S89" s="91" cm="1">
        <f t="array" ref="S89">+IFERROR(I89/INDEX($F89:$I89,MATCH(TRUE,$F89:$I89&lt;&gt;0,0)),0)</f>
        <v>1.0350290441823622</v>
      </c>
      <c r="U89" s="47">
        <f t="shared" si="44"/>
        <v>-9.5757789121634351E-3</v>
      </c>
      <c r="V89" s="47">
        <f t="shared" si="45"/>
        <v>6.7038708989442863E-2</v>
      </c>
      <c r="W89" s="47">
        <f t="shared" si="46"/>
        <v>-2.0620273826576385E-2</v>
      </c>
      <c r="Y89" s="105" cm="1">
        <f t="array" ref="Y89">+IFERROR(INDEX('Quikirr Data'!$BD$4:$BD$103,
  MATCH(1,('Quikirr Data'!$B$4:$B$103=$D89)*('Quikirr Data'!$NE$4:$NE$103=$C89),0),
  1),"N/A")</f>
        <v>44926</v>
      </c>
    </row>
    <row r="90" spans="3:25" x14ac:dyDescent="0.25">
      <c r="C90" s="81">
        <f t="shared" si="47"/>
        <v>5</v>
      </c>
      <c r="D90" s="85" t="str">
        <f>+IFERROR(INDEX('Quikirr Data'!$B$4:$B$103,MATCH($C90,'Quikirr Data'!$NE$4:$NE$103,0),1),"")</f>
        <v/>
      </c>
      <c r="F90" s="43">
        <f>+IFERROR(INDEX('Quikirr Data'!$C$4:$AM$103,MATCH($C90,'Quikirr Data'!$NE$4:$NE$103,0),MATCH(F$84,'Quikirr Data'!$C$3:$AM$3,0)),0)*ToC!$E$15/ToC!$E$10</f>
        <v>0</v>
      </c>
      <c r="G90" s="43">
        <f>+IFERROR(INDEX('Quikirr Data'!$C$4:$AM$103,MATCH($C90,'Quikirr Data'!$NE$4:$NE$103,0),MATCH(G$84,'Quikirr Data'!$C$3:$AM$3,0)),0)*ToC!$E$15/ToC!$E$10</f>
        <v>0</v>
      </c>
      <c r="H90" s="43">
        <f>+IFERROR(INDEX('Quikirr Data'!$C$4:$AM$103,MATCH($C90,'Quikirr Data'!$NE$4:$NE$103,0),MATCH(H$84,'Quikirr Data'!$C$3:$AM$3,0)),0)*ToC!$E$15/ToC!$E$10</f>
        <v>0</v>
      </c>
      <c r="I90" s="43">
        <f>+IFERROR(INDEX('Quikirr Data'!$C$4:$AM$103,MATCH($C90,'Quikirr Data'!$NE$4:$NE$103,0),MATCH(I$84,'Quikirr Data'!$C$3:$AM$3,0)),0)*ToC!$E$15/ToC!$E$10</f>
        <v>0</v>
      </c>
      <c r="K90" s="47">
        <f t="shared" si="39"/>
        <v>0</v>
      </c>
      <c r="L90" s="47">
        <f t="shared" si="40"/>
        <v>0</v>
      </c>
      <c r="M90" s="47">
        <f>+IFERROR(SUM(Q$86:Q90)/Q$99,0)</f>
        <v>0.99999999999999944</v>
      </c>
      <c r="O90" s="43">
        <f t="shared" si="41"/>
        <v>0</v>
      </c>
      <c r="P90" s="43">
        <f t="shared" si="42"/>
        <v>0</v>
      </c>
      <c r="Q90" s="43">
        <f t="shared" si="43"/>
        <v>0</v>
      </c>
      <c r="R90" s="47" cm="1">
        <f t="array" ref="R90">+IFERROR(INDEX($O90:$Q90,MAX(MATCH('Top Customers'!$C$3,$F$84:$I$84,0)-1,1))/INDEX($O$99:$Q$99,MAX(MATCH('Top Customers'!$C$3,$F$84:$I$84,0)-1,1)),0)</f>
        <v>0</v>
      </c>
      <c r="S90" s="91" cm="1">
        <f t="array" ref="S90">+IFERROR(I90/INDEX($F90:$I90,MATCH(TRUE,$F90:$I90&lt;&gt;0,0)),0)</f>
        <v>0</v>
      </c>
      <c r="U90" s="47">
        <f t="shared" si="44"/>
        <v>0</v>
      </c>
      <c r="V90" s="47">
        <f t="shared" si="45"/>
        <v>0</v>
      </c>
      <c r="W90" s="47">
        <f t="shared" si="46"/>
        <v>0</v>
      </c>
      <c r="Y90" s="105" t="str" cm="1">
        <f t="array" ref="Y90">+IFERROR(INDEX('Quikirr Data'!$BD$4:$BD$103,
  MATCH(1,('Quikirr Data'!$B$4:$B$103=$D90)*('Quikirr Data'!$NE$4:$NE$103=$C90),0),
  1),"N/A")</f>
        <v>N/A</v>
      </c>
    </row>
    <row r="91" spans="3:25" x14ac:dyDescent="0.25">
      <c r="C91" s="81">
        <f t="shared" si="47"/>
        <v>6</v>
      </c>
      <c r="D91" s="85" t="str">
        <f>+IFERROR(INDEX('Quikirr Data'!$B$4:$B$103,MATCH($C91,'Quikirr Data'!$NE$4:$NE$103,0),1),"")</f>
        <v/>
      </c>
      <c r="F91" s="43">
        <f>+IFERROR(INDEX('Quikirr Data'!$C$4:$AM$103,MATCH($C91,'Quikirr Data'!$NE$4:$NE$103,0),MATCH(F$84,'Quikirr Data'!$C$3:$AM$3,0)),0)*ToC!$E$15/ToC!$E$10</f>
        <v>0</v>
      </c>
      <c r="G91" s="43">
        <f>+IFERROR(INDEX('Quikirr Data'!$C$4:$AM$103,MATCH($C91,'Quikirr Data'!$NE$4:$NE$103,0),MATCH(G$84,'Quikirr Data'!$C$3:$AM$3,0)),0)*ToC!$E$15/ToC!$E$10</f>
        <v>0</v>
      </c>
      <c r="H91" s="43">
        <f>+IFERROR(INDEX('Quikirr Data'!$C$4:$AM$103,MATCH($C91,'Quikirr Data'!$NE$4:$NE$103,0),MATCH(H$84,'Quikirr Data'!$C$3:$AM$3,0)),0)*ToC!$E$15/ToC!$E$10</f>
        <v>0</v>
      </c>
      <c r="I91" s="43">
        <f>+IFERROR(INDEX('Quikirr Data'!$C$4:$AM$103,MATCH($C91,'Quikirr Data'!$NE$4:$NE$103,0),MATCH(I$84,'Quikirr Data'!$C$3:$AM$3,0)),0)*ToC!$E$15/ToC!$E$10</f>
        <v>0</v>
      </c>
      <c r="K91" s="47">
        <f t="shared" si="39"/>
        <v>0</v>
      </c>
      <c r="L91" s="47">
        <f t="shared" si="40"/>
        <v>0</v>
      </c>
      <c r="M91" s="47">
        <f>+IFERROR(SUM(Q$86:Q91)/Q$99,0)</f>
        <v>0.99999999999999944</v>
      </c>
      <c r="O91" s="43">
        <f t="shared" si="41"/>
        <v>0</v>
      </c>
      <c r="P91" s="43">
        <f t="shared" si="42"/>
        <v>0</v>
      </c>
      <c r="Q91" s="43">
        <f t="shared" si="43"/>
        <v>0</v>
      </c>
      <c r="R91" s="47" cm="1">
        <f t="array" ref="R91">+IFERROR(INDEX($O91:$Q91,MAX(MATCH('Top Customers'!$C$3,$F$84:$I$84,0)-1,1))/INDEX($O$99:$Q$99,MAX(MATCH('Top Customers'!$C$3,$F$84:$I$84,0)-1,1)),0)</f>
        <v>0</v>
      </c>
      <c r="S91" s="91" cm="1">
        <f t="array" ref="S91">+IFERROR(I91/INDEX($F91:$I91,MATCH(TRUE,$F91:$I91&lt;&gt;0,0)),0)</f>
        <v>0</v>
      </c>
      <c r="U91" s="47">
        <f t="shared" si="44"/>
        <v>0</v>
      </c>
      <c r="V91" s="47">
        <f t="shared" si="45"/>
        <v>0</v>
      </c>
      <c r="W91" s="47">
        <f t="shared" si="46"/>
        <v>0</v>
      </c>
      <c r="Y91" s="105" t="str" cm="1">
        <f t="array" ref="Y91">+IFERROR(INDEX('Quikirr Data'!$BD$4:$BD$103,
  MATCH(1,('Quikirr Data'!$B$4:$B$103=$D91)*('Quikirr Data'!$NE$4:$NE$103=$C91),0),
  1),"N/A")</f>
        <v>N/A</v>
      </c>
    </row>
    <row r="92" spans="3:25" x14ac:dyDescent="0.25">
      <c r="C92" s="81">
        <f t="shared" si="47"/>
        <v>7</v>
      </c>
      <c r="D92" s="85" t="str">
        <f>+IFERROR(INDEX('Quikirr Data'!$B$4:$B$103,MATCH($C92,'Quikirr Data'!$NE$4:$NE$103,0),1),"")</f>
        <v/>
      </c>
      <c r="F92" s="43">
        <f>+IFERROR(INDEX('Quikirr Data'!$C$4:$AM$103,MATCH($C92,'Quikirr Data'!$NE$4:$NE$103,0),MATCH(F$84,'Quikirr Data'!$C$3:$AM$3,0)),0)*ToC!$E$15/ToC!$E$10</f>
        <v>0</v>
      </c>
      <c r="G92" s="43">
        <f>+IFERROR(INDEX('Quikirr Data'!$C$4:$AM$103,MATCH($C92,'Quikirr Data'!$NE$4:$NE$103,0),MATCH(G$84,'Quikirr Data'!$C$3:$AM$3,0)),0)*ToC!$E$15/ToC!$E$10</f>
        <v>0</v>
      </c>
      <c r="H92" s="43">
        <f>+IFERROR(INDEX('Quikirr Data'!$C$4:$AM$103,MATCH($C92,'Quikirr Data'!$NE$4:$NE$103,0),MATCH(H$84,'Quikirr Data'!$C$3:$AM$3,0)),0)*ToC!$E$15/ToC!$E$10</f>
        <v>0</v>
      </c>
      <c r="I92" s="43">
        <f>+IFERROR(INDEX('Quikirr Data'!$C$4:$AM$103,MATCH($C92,'Quikirr Data'!$NE$4:$NE$103,0),MATCH(I$84,'Quikirr Data'!$C$3:$AM$3,0)),0)*ToC!$E$15/ToC!$E$10</f>
        <v>0</v>
      </c>
      <c r="K92" s="47">
        <f t="shared" si="39"/>
        <v>0</v>
      </c>
      <c r="L92" s="47">
        <f t="shared" si="40"/>
        <v>0</v>
      </c>
      <c r="M92" s="47">
        <f>+IFERROR(SUM(Q$86:Q92)/Q$99,0)</f>
        <v>0.99999999999999944</v>
      </c>
      <c r="O92" s="43">
        <f t="shared" si="41"/>
        <v>0</v>
      </c>
      <c r="P92" s="43">
        <f t="shared" si="42"/>
        <v>0</v>
      </c>
      <c r="Q92" s="43">
        <f t="shared" si="43"/>
        <v>0</v>
      </c>
      <c r="R92" s="47" cm="1">
        <f t="array" ref="R92">+IFERROR(INDEX($O92:$Q92,MAX(MATCH('Top Customers'!$C$3,$F$84:$I$84,0)-1,1))/INDEX($O$99:$Q$99,MAX(MATCH('Top Customers'!$C$3,$F$84:$I$84,0)-1,1)),0)</f>
        <v>0</v>
      </c>
      <c r="S92" s="91" cm="1">
        <f t="array" ref="S92">+IFERROR(I92/INDEX($F92:$I92,MATCH(TRUE,$F92:$I92&lt;&gt;0,0)),0)</f>
        <v>0</v>
      </c>
      <c r="U92" s="47">
        <f t="shared" si="44"/>
        <v>0</v>
      </c>
      <c r="V92" s="47">
        <f t="shared" si="45"/>
        <v>0</v>
      </c>
      <c r="W92" s="47">
        <f t="shared" si="46"/>
        <v>0</v>
      </c>
      <c r="Y92" s="105" t="str" cm="1">
        <f t="array" ref="Y92">+IFERROR(INDEX('Quikirr Data'!$BD$4:$BD$103,
  MATCH(1,('Quikirr Data'!$B$4:$B$103=$D92)*('Quikirr Data'!$NE$4:$NE$103=$C92),0),
  1),"N/A")</f>
        <v>N/A</v>
      </c>
    </row>
    <row r="93" spans="3:25" x14ac:dyDescent="0.25">
      <c r="C93" s="81">
        <f t="shared" si="47"/>
        <v>8</v>
      </c>
      <c r="D93" s="85" t="str">
        <f>+IFERROR(INDEX('Quikirr Data'!$B$4:$B$103,MATCH($C93,'Quikirr Data'!$NE$4:$NE$103,0),1),"")</f>
        <v/>
      </c>
      <c r="F93" s="43">
        <f>+IFERROR(INDEX('Quikirr Data'!$C$4:$AM$103,MATCH($C93,'Quikirr Data'!$NE$4:$NE$103,0),MATCH(F$84,'Quikirr Data'!$C$3:$AM$3,0)),0)*ToC!$E$15/ToC!$E$10</f>
        <v>0</v>
      </c>
      <c r="G93" s="43">
        <f>+IFERROR(INDEX('Quikirr Data'!$C$4:$AM$103,MATCH($C93,'Quikirr Data'!$NE$4:$NE$103,0),MATCH(G$84,'Quikirr Data'!$C$3:$AM$3,0)),0)*ToC!$E$15/ToC!$E$10</f>
        <v>0</v>
      </c>
      <c r="H93" s="43">
        <f>+IFERROR(INDEX('Quikirr Data'!$C$4:$AM$103,MATCH($C93,'Quikirr Data'!$NE$4:$NE$103,0),MATCH(H$84,'Quikirr Data'!$C$3:$AM$3,0)),0)*ToC!$E$15/ToC!$E$10</f>
        <v>0</v>
      </c>
      <c r="I93" s="43">
        <f>+IFERROR(INDEX('Quikirr Data'!$C$4:$AM$103,MATCH($C93,'Quikirr Data'!$NE$4:$NE$103,0),MATCH(I$84,'Quikirr Data'!$C$3:$AM$3,0)),0)*ToC!$E$15/ToC!$E$10</f>
        <v>0</v>
      </c>
      <c r="K93" s="47">
        <f t="shared" si="39"/>
        <v>0</v>
      </c>
      <c r="L93" s="47">
        <f t="shared" si="40"/>
        <v>0</v>
      </c>
      <c r="M93" s="47">
        <f>+IFERROR(SUM(Q$86:Q93)/Q$99,0)</f>
        <v>0.99999999999999944</v>
      </c>
      <c r="O93" s="43">
        <f t="shared" si="41"/>
        <v>0</v>
      </c>
      <c r="P93" s="43">
        <f t="shared" si="42"/>
        <v>0</v>
      </c>
      <c r="Q93" s="43">
        <f t="shared" si="43"/>
        <v>0</v>
      </c>
      <c r="R93" s="47" cm="1">
        <f t="array" ref="R93">+IFERROR(INDEX($O93:$Q93,MAX(MATCH('Top Customers'!$C$3,$F$84:$I$84,0)-1,1))/INDEX($O$99:$Q$99,MAX(MATCH('Top Customers'!$C$3,$F$84:$I$84,0)-1,1)),0)</f>
        <v>0</v>
      </c>
      <c r="S93" s="91" cm="1">
        <f t="array" ref="S93">+IFERROR(I93/INDEX($F93:$I93,MATCH(TRUE,$F93:$I93&lt;&gt;0,0)),0)</f>
        <v>0</v>
      </c>
      <c r="U93" s="47">
        <f t="shared" si="44"/>
        <v>0</v>
      </c>
      <c r="V93" s="47">
        <f t="shared" si="45"/>
        <v>0</v>
      </c>
      <c r="W93" s="47">
        <f t="shared" si="46"/>
        <v>0</v>
      </c>
      <c r="Y93" s="105" t="str" cm="1">
        <f t="array" ref="Y93">+IFERROR(INDEX('Quikirr Data'!$BD$4:$BD$103,
  MATCH(1,('Quikirr Data'!$B$4:$B$103=$D93)*('Quikirr Data'!$NE$4:$NE$103=$C93),0),
  1),"N/A")</f>
        <v>N/A</v>
      </c>
    </row>
    <row r="94" spans="3:25" x14ac:dyDescent="0.25">
      <c r="C94" s="81">
        <f t="shared" si="47"/>
        <v>9</v>
      </c>
      <c r="D94" s="85" t="str">
        <f>+IFERROR(INDEX('Quikirr Data'!$B$4:$B$103,MATCH($C94,'Quikirr Data'!$NE$4:$NE$103,0),1),"")</f>
        <v/>
      </c>
      <c r="F94" s="43">
        <f>+IFERROR(INDEX('Quikirr Data'!$C$4:$AM$103,MATCH($C94,'Quikirr Data'!$NE$4:$NE$103,0),MATCH(F$84,'Quikirr Data'!$C$3:$AM$3,0)),0)*ToC!$E$15/ToC!$E$10</f>
        <v>0</v>
      </c>
      <c r="G94" s="43">
        <f>+IFERROR(INDEX('Quikirr Data'!$C$4:$AM$103,MATCH($C94,'Quikirr Data'!$NE$4:$NE$103,0),MATCH(G$84,'Quikirr Data'!$C$3:$AM$3,0)),0)*ToC!$E$15/ToC!$E$10</f>
        <v>0</v>
      </c>
      <c r="H94" s="43">
        <f>+IFERROR(INDEX('Quikirr Data'!$C$4:$AM$103,MATCH($C94,'Quikirr Data'!$NE$4:$NE$103,0),MATCH(H$84,'Quikirr Data'!$C$3:$AM$3,0)),0)*ToC!$E$15/ToC!$E$10</f>
        <v>0</v>
      </c>
      <c r="I94" s="43">
        <f>+IFERROR(INDEX('Quikirr Data'!$C$4:$AM$103,MATCH($C94,'Quikirr Data'!$NE$4:$NE$103,0),MATCH(I$84,'Quikirr Data'!$C$3:$AM$3,0)),0)*ToC!$E$15/ToC!$E$10</f>
        <v>0</v>
      </c>
      <c r="K94" s="47">
        <f t="shared" si="39"/>
        <v>0</v>
      </c>
      <c r="L94" s="47">
        <f t="shared" si="40"/>
        <v>0</v>
      </c>
      <c r="M94" s="47">
        <f>+IFERROR(SUM(Q$86:Q94)/Q$99,0)</f>
        <v>0.99999999999999944</v>
      </c>
      <c r="O94" s="43">
        <f t="shared" si="41"/>
        <v>0</v>
      </c>
      <c r="P94" s="43">
        <f t="shared" si="42"/>
        <v>0</v>
      </c>
      <c r="Q94" s="43">
        <f t="shared" si="43"/>
        <v>0</v>
      </c>
      <c r="R94" s="47" cm="1">
        <f t="array" ref="R94">+IFERROR(INDEX($O94:$Q94,MAX(MATCH('Top Customers'!$C$3,$F$84:$I$84,0)-1,1))/INDEX($O$99:$Q$99,MAX(MATCH('Top Customers'!$C$3,$F$84:$I$84,0)-1,1)),0)</f>
        <v>0</v>
      </c>
      <c r="S94" s="91" cm="1">
        <f t="array" ref="S94">+IFERROR(I94/INDEX($F94:$I94,MATCH(TRUE,$F94:$I94&lt;&gt;0,0)),0)</f>
        <v>0</v>
      </c>
      <c r="U94" s="47">
        <f t="shared" si="44"/>
        <v>0</v>
      </c>
      <c r="V94" s="47">
        <f t="shared" si="45"/>
        <v>0</v>
      </c>
      <c r="W94" s="47">
        <f t="shared" si="46"/>
        <v>0</v>
      </c>
      <c r="Y94" s="105" t="str" cm="1">
        <f t="array" ref="Y94">+IFERROR(INDEX('Quikirr Data'!$BD$4:$BD$103,
  MATCH(1,('Quikirr Data'!$B$4:$B$103=$D94)*('Quikirr Data'!$NE$4:$NE$103=$C94),0),
  1),"N/A")</f>
        <v>N/A</v>
      </c>
    </row>
    <row r="95" spans="3:25" x14ac:dyDescent="0.25">
      <c r="C95" s="81">
        <f t="shared" si="47"/>
        <v>10</v>
      </c>
      <c r="D95" s="85" t="str">
        <f>+IFERROR(INDEX('Quikirr Data'!$B$4:$B$103,MATCH($C95,'Quikirr Data'!$NE$4:$NE$103,0),1),"")</f>
        <v/>
      </c>
      <c r="F95" s="43">
        <f>+IFERROR(INDEX('Quikirr Data'!$C$4:$AM$103,MATCH($C95,'Quikirr Data'!$NE$4:$NE$103,0),MATCH(F$84,'Quikirr Data'!$C$3:$AM$3,0)),0)*ToC!$E$15/ToC!$E$10</f>
        <v>0</v>
      </c>
      <c r="G95" s="43">
        <f>+IFERROR(INDEX('Quikirr Data'!$C$4:$AM$103,MATCH($C95,'Quikirr Data'!$NE$4:$NE$103,0),MATCH(G$84,'Quikirr Data'!$C$3:$AM$3,0)),0)*ToC!$E$15/ToC!$E$10</f>
        <v>0</v>
      </c>
      <c r="H95" s="43">
        <f>+IFERROR(INDEX('Quikirr Data'!$C$4:$AM$103,MATCH($C95,'Quikirr Data'!$NE$4:$NE$103,0),MATCH(H$84,'Quikirr Data'!$C$3:$AM$3,0)),0)*ToC!$E$15/ToC!$E$10</f>
        <v>0</v>
      </c>
      <c r="I95" s="43">
        <f>+IFERROR(INDEX('Quikirr Data'!$C$4:$AM$103,MATCH($C95,'Quikirr Data'!$NE$4:$NE$103,0),MATCH(I$84,'Quikirr Data'!$C$3:$AM$3,0)),0)*ToC!$E$15/ToC!$E$10</f>
        <v>0</v>
      </c>
      <c r="K95" s="47">
        <f t="shared" si="39"/>
        <v>0</v>
      </c>
      <c r="L95" s="47">
        <f t="shared" si="40"/>
        <v>0</v>
      </c>
      <c r="M95" s="47">
        <f>+IFERROR(SUM(Q$86:Q95)/Q$99,0)</f>
        <v>0.99999999999999944</v>
      </c>
      <c r="O95" s="43">
        <f t="shared" si="41"/>
        <v>0</v>
      </c>
      <c r="P95" s="43">
        <f t="shared" si="42"/>
        <v>0</v>
      </c>
      <c r="Q95" s="43">
        <f t="shared" si="43"/>
        <v>0</v>
      </c>
      <c r="R95" s="47" cm="1">
        <f t="array" ref="R95">+IFERROR(INDEX($O95:$Q95,MAX(MATCH('Top Customers'!$C$3,$F$84:$I$84,0)-1,1))/INDEX($O$99:$Q$99,MAX(MATCH('Top Customers'!$C$3,$F$84:$I$84,0)-1,1)),0)</f>
        <v>0</v>
      </c>
      <c r="S95" s="91" cm="1">
        <f t="array" ref="S95">+IFERROR(I95/INDEX($F95:$I95,MATCH(TRUE,$F95:$I95&lt;&gt;0,0)),0)</f>
        <v>0</v>
      </c>
      <c r="U95" s="47">
        <f t="shared" si="44"/>
        <v>0</v>
      </c>
      <c r="V95" s="47">
        <f t="shared" si="45"/>
        <v>0</v>
      </c>
      <c r="W95" s="47">
        <f t="shared" si="46"/>
        <v>0</v>
      </c>
      <c r="Y95" s="105" t="str" cm="1">
        <f t="array" ref="Y95">+IFERROR(INDEX('Quikirr Data'!$BD$4:$BD$103,
  MATCH(1,('Quikirr Data'!$B$4:$B$103=$D95)*('Quikirr Data'!$NE$4:$NE$103=$C95),0),
  1),"N/A")</f>
        <v>N/A</v>
      </c>
    </row>
    <row r="96" spans="3:25" s="11" customFormat="1" x14ac:dyDescent="0.25">
      <c r="D96" s="84" t="str">
        <f>+"Total Top "&amp;COUNTA('Top Customers'!$D$86:$D$95)</f>
        <v>Total Top 10</v>
      </c>
      <c r="F96" s="89">
        <f>+SUM(F$86:F$95)</f>
        <v>10262.400000000001</v>
      </c>
      <c r="G96" s="89">
        <f>+SUM(G$86:G$95)</f>
        <v>11196.36</v>
      </c>
      <c r="H96" s="89">
        <f>+SUM(H$86:H$95)</f>
        <v>11525.880000000001</v>
      </c>
      <c r="I96" s="89">
        <f>+SUM(I$86:I$95)</f>
        <v>8043.6</v>
      </c>
      <c r="K96" s="90">
        <f t="shared" si="39"/>
        <v>-7.7993798014077687E-2</v>
      </c>
      <c r="L96" s="90">
        <f t="shared" si="40"/>
        <v>0.99999999999999978</v>
      </c>
      <c r="M96" s="90">
        <f>+M95</f>
        <v>0.99999999999999944</v>
      </c>
      <c r="O96" s="89">
        <f t="shared" si="41"/>
        <v>933.95999999999913</v>
      </c>
      <c r="P96" s="89">
        <f t="shared" si="42"/>
        <v>329.52000000000044</v>
      </c>
      <c r="Q96" s="89">
        <f t="shared" si="43"/>
        <v>-3482.2800000000007</v>
      </c>
      <c r="R96" s="90" cm="1">
        <f t="array" ref="R96">+IFERROR(INDEX($O96:$Q96,MAX(MATCH('Top Customers'!$C$3,$F$84:$I$84,0)-1,1))/INDEX($O$99:$Q$99,MAX(MATCH('Top Customers'!$C$3,$F$84:$I$84,0)-1,1)),0)</f>
        <v>0.99999999999999978</v>
      </c>
      <c r="S96" s="92" cm="1">
        <f t="array" ref="S96">+IFERROR(I96/INDEX($F96:$I96,MATCH(TRUE,$F96:$I96&lt;&gt;0,0)),0)</f>
        <v>0.78379326473339561</v>
      </c>
      <c r="U96" s="90">
        <f t="shared" si="44"/>
        <v>9.1007951356407712E-2</v>
      </c>
      <c r="V96" s="90">
        <f t="shared" si="45"/>
        <v>2.9430993644363079E-2</v>
      </c>
      <c r="W96" s="90">
        <f t="shared" si="46"/>
        <v>-0.30212703932367857</v>
      </c>
    </row>
    <row r="97" spans="3:25" x14ac:dyDescent="0.25">
      <c r="K97" s="47"/>
      <c r="L97" s="47"/>
      <c r="M97" s="47"/>
    </row>
    <row r="98" spans="3:25" x14ac:dyDescent="0.25">
      <c r="D98" s="40" t="str">
        <f>+"Other Downsell ("&amp;COUNTIFS('Quikirr Data'!$NE$4:$NE$103,"&gt;10")&amp;" Customers)"</f>
        <v>Other Downsell (0 Customers)</v>
      </c>
      <c r="F98" s="43">
        <f>+F99-F96</f>
        <v>0</v>
      </c>
      <c r="G98" s="43">
        <f>+G99-G96</f>
        <v>0</v>
      </c>
      <c r="H98" s="43">
        <f>+H99-H96</f>
        <v>0</v>
      </c>
      <c r="I98" s="43">
        <f>+I99-I96</f>
        <v>0</v>
      </c>
      <c r="K98" s="47">
        <f>+IFERROR((I98/F98)^(1/YEARFRAC($F$84,$I$84))-1,0)</f>
        <v>0</v>
      </c>
      <c r="L98" s="47">
        <f>+IFERROR(Q98/Q$99,0)</f>
        <v>0</v>
      </c>
      <c r="M98" s="47">
        <f>+M99-M96</f>
        <v>0</v>
      </c>
      <c r="O98" s="43">
        <f t="shared" ref="O98:Q99" si="48">+G98-F98</f>
        <v>0</v>
      </c>
      <c r="P98" s="43">
        <f t="shared" si="48"/>
        <v>0</v>
      </c>
      <c r="Q98" s="43">
        <f t="shared" si="48"/>
        <v>0</v>
      </c>
      <c r="R98" s="47" cm="1">
        <f t="array" ref="R98">+IFERROR(INDEX($O98:$Q98,MAX(MATCH('Top Customers'!$C$3,$F$84:$I$84,0)-1,1))/INDEX($O$99:$Q$99,MAX(MATCH('Top Customers'!$C$3,$F$84:$I$84,0)-1,1)),0)</f>
        <v>0</v>
      </c>
      <c r="S98" s="91" cm="1">
        <f t="array" ref="S98">+IFERROR(I98/INDEX($F98:$I98,MATCH(TRUE,$F98:$I98&lt;&gt;0,0)),0)</f>
        <v>0</v>
      </c>
      <c r="U98" s="47">
        <f t="shared" ref="U98:W99" si="49">+IFERROR(G98/F98-1,0)</f>
        <v>0</v>
      </c>
      <c r="V98" s="47">
        <f t="shared" si="49"/>
        <v>0</v>
      </c>
      <c r="W98" s="47">
        <f t="shared" si="49"/>
        <v>0</v>
      </c>
    </row>
    <row r="99" spans="3:25" s="11" customFormat="1" x14ac:dyDescent="0.25">
      <c r="D99" s="84" t="s">
        <v>119</v>
      </c>
      <c r="F99" s="89">
        <f>+SUMIFS('Quikirr Data'!C$4:C$103,'Quikirr Data'!$NE$4:$NE$103,"&lt;&gt;N/A")*ToC!$E$15/ToC!$E$10</f>
        <v>10262.400000000001</v>
      </c>
      <c r="G99" s="89">
        <f>+SUMIFS('Quikirr Data'!O$4:O$103,'Quikirr Data'!$NE$4:$NE$103,"&lt;&gt;N/A")*ToC!$E$15/ToC!$E$10</f>
        <v>11196.36</v>
      </c>
      <c r="H99" s="89">
        <f>+SUMIFS('Quikirr Data'!AA$4:AA$103,'Quikirr Data'!$NE$4:$NE$103,"&lt;&gt;N/A")*ToC!$E$15/ToC!$E$10</f>
        <v>11525.880000000001</v>
      </c>
      <c r="I99" s="89">
        <f>+SUMIFS('Quikirr Data'!AM$4:AM$103,'Quikirr Data'!$NE$4:$NE$103,"&lt;&gt;N/A")*ToC!$E$15/ToC!$E$10</f>
        <v>8043.5999999999995</v>
      </c>
      <c r="K99" s="90">
        <f>+IFERROR((I99/F99)^(1/YEARFRAC($F$84,$I$84))-1,0)</f>
        <v>-7.7993798014077798E-2</v>
      </c>
      <c r="L99" s="90">
        <f>+IFERROR(Q99/Q$99,0)</f>
        <v>1</v>
      </c>
      <c r="M99" s="90">
        <f>1</f>
        <v>1</v>
      </c>
      <c r="O99" s="89">
        <f t="shared" si="48"/>
        <v>933.95999999999913</v>
      </c>
      <c r="P99" s="89">
        <f t="shared" si="48"/>
        <v>329.52000000000044</v>
      </c>
      <c r="Q99" s="89">
        <f t="shared" si="48"/>
        <v>-3482.2800000000016</v>
      </c>
      <c r="R99" s="90" cm="1">
        <f t="array" ref="R99">+IFERROR(INDEX($O$99:$Q$99,MAX(MATCH('Top Customers'!$C$3,$F$84:$I$84,0)-1,1))/INDEX($O$99:$Q$99,MAX(MATCH('Top Customers'!$C$3,$F$84:$I$84,0)-1,1)),0)</f>
        <v>1</v>
      </c>
      <c r="S99" s="92" cm="1">
        <f t="array" ref="S99">+IFERROR(I99/INDEX($F99:$I99,MATCH(TRUE,$F99:$I99&lt;&gt;0,0)),0)</f>
        <v>0.7837932647333955</v>
      </c>
      <c r="U99" s="90">
        <f t="shared" si="49"/>
        <v>9.1007951356407712E-2</v>
      </c>
      <c r="V99" s="90">
        <f t="shared" si="49"/>
        <v>2.9430993644363079E-2</v>
      </c>
      <c r="W99" s="90">
        <f t="shared" si="49"/>
        <v>-0.30212703932367868</v>
      </c>
    </row>
    <row r="101" spans="3:25" x14ac:dyDescent="0.25">
      <c r="D101" s="93" t="s">
        <v>110</v>
      </c>
      <c r="E101" s="94"/>
      <c r="F101" s="95">
        <f>+SUM(F$86:F$90)</f>
        <v>10262.400000000001</v>
      </c>
      <c r="G101" s="95">
        <f>+SUM(G$86:G$90)</f>
        <v>11196.36</v>
      </c>
      <c r="H101" s="95">
        <f>+SUM(H$86:H$90)</f>
        <v>11525.880000000001</v>
      </c>
      <c r="I101" s="95">
        <f>+SUM(I$86:I$90)</f>
        <v>8043.6</v>
      </c>
      <c r="J101" s="94"/>
      <c r="K101" s="96">
        <f>+IFERROR((I101/F101)^(1/YEARFRAC($F$84,$I$84))-1,0)</f>
        <v>-7.7993798014077687E-2</v>
      </c>
      <c r="L101" s="96">
        <f>+IFERROR(Q101/Q$99,0)</f>
        <v>0.99999999999999978</v>
      </c>
      <c r="M101" s="96">
        <f>+L101</f>
        <v>0.99999999999999978</v>
      </c>
      <c r="N101" s="94"/>
      <c r="O101" s="95">
        <f t="shared" ref="O101:Q102" si="50">+G101-F101</f>
        <v>933.95999999999913</v>
      </c>
      <c r="P101" s="95">
        <f t="shared" si="50"/>
        <v>329.52000000000044</v>
      </c>
      <c r="Q101" s="95">
        <f t="shared" si="50"/>
        <v>-3482.2800000000007</v>
      </c>
      <c r="R101" s="96" cm="1">
        <f t="array" ref="R101">+IFERROR(INDEX($O101:$Q101,MAX(MATCH('Top Customers'!$C$3,$F$84:$I$84,0)-1,1))/INDEX($O$99:$Q$99,MAX(MATCH('Top Customers'!$C$3,$F$84:$I$84,0)-1,1)),0)</f>
        <v>0.99999999999999978</v>
      </c>
      <c r="S101" s="97" cm="1">
        <f t="array" ref="S101">+IFERROR(I101/INDEX($F101:$I101,MATCH(TRUE,$F101:$I101&lt;&gt;0,0)),0)</f>
        <v>0.78379326473339561</v>
      </c>
      <c r="T101" s="94"/>
      <c r="U101" s="96">
        <f t="shared" ref="U101:W102" si="51">+IFERROR(G101/F101-1,0)</f>
        <v>9.1007951356407712E-2</v>
      </c>
      <c r="V101" s="96">
        <f t="shared" si="51"/>
        <v>2.9430993644363079E-2</v>
      </c>
      <c r="W101" s="98">
        <f t="shared" si="51"/>
        <v>-0.30212703932367857</v>
      </c>
    </row>
    <row r="102" spans="3:25" x14ac:dyDescent="0.25">
      <c r="D102" s="99" t="s">
        <v>111</v>
      </c>
      <c r="E102" s="100"/>
      <c r="F102" s="101">
        <f>+SUM(F$86:F$95)</f>
        <v>10262.400000000001</v>
      </c>
      <c r="G102" s="101">
        <f>+SUM(G$86:G$95)</f>
        <v>11196.36</v>
      </c>
      <c r="H102" s="101">
        <f>+SUM(H$86:H$95)</f>
        <v>11525.880000000001</v>
      </c>
      <c r="I102" s="101">
        <f>+SUM(I$86:I$95)</f>
        <v>8043.6</v>
      </c>
      <c r="J102" s="100"/>
      <c r="K102" s="102">
        <f>+IFERROR((I102/F102)^(1/YEARFRAC($F$84,$I$84))-1,0)</f>
        <v>-7.7993798014077687E-2</v>
      </c>
      <c r="L102" s="102">
        <f>+IFERROR(Q102/Q$99,0)</f>
        <v>0.99999999999999978</v>
      </c>
      <c r="M102" s="102">
        <f>+L102</f>
        <v>0.99999999999999978</v>
      </c>
      <c r="N102" s="100"/>
      <c r="O102" s="101">
        <f t="shared" si="50"/>
        <v>933.95999999999913</v>
      </c>
      <c r="P102" s="101">
        <f t="shared" si="50"/>
        <v>329.52000000000044</v>
      </c>
      <c r="Q102" s="101">
        <f t="shared" si="50"/>
        <v>-3482.2800000000007</v>
      </c>
      <c r="R102" s="102" cm="1">
        <f t="array" ref="R102">+IFERROR(INDEX($O102:$Q102,MAX(MATCH('Top Customers'!$C$3,$F$84:$I$84,0)-1,1))/INDEX($O$99:$Q$99,MAX(MATCH('Top Customers'!$C$3,$F$84:$I$84,0)-1,1)),0)</f>
        <v>0.99999999999999978</v>
      </c>
      <c r="S102" s="103" cm="1">
        <f t="array" ref="S102">+IFERROR(I102/INDEX($F102:$I102,MATCH(TRUE,$F102:$I102&lt;&gt;0,0)),0)</f>
        <v>0.78379326473339561</v>
      </c>
      <c r="T102" s="100"/>
      <c r="U102" s="102">
        <f t="shared" si="51"/>
        <v>9.1007951356407712E-2</v>
      </c>
      <c r="V102" s="102">
        <f t="shared" si="51"/>
        <v>2.9430993644363079E-2</v>
      </c>
      <c r="W102" s="104">
        <f t="shared" si="51"/>
        <v>-0.30212703932367857</v>
      </c>
    </row>
    <row r="105" spans="3:25" ht="14.25" thickBot="1" x14ac:dyDescent="0.3">
      <c r="C105" s="76" t="str">
        <f>"Top Churn Customers as of " &amp; TEXT('Top Customers'!C3, "mmm-yy")</f>
        <v>Top Churn Customers as of Dec-25</v>
      </c>
      <c r="D105" s="77"/>
      <c r="E105" s="77"/>
      <c r="F105" s="77"/>
      <c r="G105" s="77"/>
      <c r="H105" s="77"/>
      <c r="I105" s="77"/>
      <c r="J105" s="77"/>
      <c r="K105" s="77"/>
      <c r="L105" s="77"/>
      <c r="M105" s="77"/>
      <c r="N105" s="77"/>
      <c r="O105" s="77"/>
      <c r="P105" s="77"/>
      <c r="Q105" s="77"/>
      <c r="R105" s="77"/>
      <c r="S105" s="77"/>
      <c r="T105" s="77"/>
      <c r="U105" s="77"/>
      <c r="V105" s="77"/>
      <c r="W105" s="77"/>
      <c r="X105" s="77"/>
      <c r="Y105" s="77"/>
    </row>
    <row r="106" spans="3:25" x14ac:dyDescent="0.25">
      <c r="C106" s="37" t="str">
        <f>"("&amp;ToC!$E$12&amp;" "&amp;ToC!$E$11&amp;")"</f>
        <v>($ Actuals)</v>
      </c>
    </row>
    <row r="107" spans="3:25" x14ac:dyDescent="0.25">
      <c r="F107" s="12" t="s">
        <v>112</v>
      </c>
      <c r="G107" s="12"/>
      <c r="H107" s="12"/>
      <c r="I107" s="12"/>
      <c r="O107" s="87" t="s">
        <v>114</v>
      </c>
      <c r="P107" s="13"/>
      <c r="Q107" s="13"/>
      <c r="U107" s="87" t="s">
        <v>57</v>
      </c>
      <c r="V107" s="13"/>
      <c r="W107" s="13"/>
    </row>
    <row r="108" spans="3:25" x14ac:dyDescent="0.25">
      <c r="C108" s="83" t="s">
        <v>107</v>
      </c>
      <c r="D108" s="82" t="s">
        <v>108</v>
      </c>
      <c r="F108" s="86">
        <v>44926</v>
      </c>
      <c r="G108" s="86">
        <v>45291</v>
      </c>
      <c r="H108" s="86">
        <v>45657</v>
      </c>
      <c r="I108" s="86">
        <v>46022</v>
      </c>
      <c r="K108" s="83" t="str">
        <f>TEXT($F$108,"mmm 'yy")&amp;" - "&amp;TEXT($I$108,"mmm 'yy")&amp;" CAGR"</f>
        <v>Dec '22 - Dec '25 CAGR</v>
      </c>
      <c r="L108" s="83" t="str">
        <f>"% of Churn "&amp;$Q$108</f>
        <v>% of Churn Dec '24 - Dec '25</v>
      </c>
      <c r="M108" s="83" t="s">
        <v>113</v>
      </c>
      <c r="O108" s="88" t="str">
        <f>TEXT($F$108,"mmm 'yy")&amp;" - "&amp;TEXT($G$108,"mmm 'yy")</f>
        <v>Dec '22 - Dec '23</v>
      </c>
      <c r="P108" s="88" t="str">
        <f>TEXT($G$108,"mmm 'yy")&amp;" - "&amp;TEXT($H$108,"mmm 'yy")</f>
        <v>Dec '23 - Dec '24</v>
      </c>
      <c r="Q108" s="88" t="str">
        <f>TEXT($H$108,"mmm 'yy")&amp;" - "&amp;TEXT($I$108,"mmm 'yy")</f>
        <v>Dec '24 - Dec '25</v>
      </c>
      <c r="R108" s="83" t="str">
        <f>"% of "&amp;$Q$108&amp;" Growth"</f>
        <v>% of Dec '24 - Dec '25 Growth</v>
      </c>
      <c r="S108" s="83" t="s">
        <v>115</v>
      </c>
      <c r="U108" s="88" t="str">
        <f>TEXT($F$108,"mmm 'yy")&amp;" - "&amp;TEXT($G$108,"mmm 'yy")</f>
        <v>Dec '22 - Dec '23</v>
      </c>
      <c r="V108" s="88" t="str">
        <f>TEXT($G$108,"mmm 'yy")&amp;" - "&amp;TEXT($H$108,"mmm 'yy")</f>
        <v>Dec '23 - Dec '24</v>
      </c>
      <c r="W108" s="88" t="str">
        <f>TEXT($H$108,"mmm 'yy")&amp;" - "&amp;TEXT($I$108,"mmm 'yy")</f>
        <v>Dec '24 - Dec '25</v>
      </c>
      <c r="Y108" s="82" t="s">
        <v>116</v>
      </c>
    </row>
    <row r="109" spans="3:25" ht="3.95" customHeight="1" x14ac:dyDescent="0.25"/>
    <row r="110" spans="3:25" x14ac:dyDescent="0.25">
      <c r="C110" s="81">
        <v>1</v>
      </c>
      <c r="D110" s="85">
        <f>+IFERROR(INDEX('Quikirr Data'!$B$4:$B$103,MATCH($C110,'Quikirr Data'!$NF$4:$NF$103,0),1),"")</f>
        <v>100</v>
      </c>
      <c r="F110" s="43">
        <f>+IFERROR(INDEX('Quikirr Data'!$C$4:$AM$103,MATCH($C110,'Quikirr Data'!$NF$4:$NF$103,0),MATCH(F$108,'Quikirr Data'!$C$3:$AM$3,0)),0)*ToC!$E$15/ToC!$E$10</f>
        <v>3108</v>
      </c>
      <c r="G110" s="43">
        <f>+IFERROR(INDEX('Quikirr Data'!$C$4:$AM$103,MATCH($C110,'Quikirr Data'!$NF$4:$NF$103,0),MATCH(G$108,'Quikirr Data'!$C$3:$AM$3,0)),0)*ToC!$E$15/ToC!$E$10</f>
        <v>3108</v>
      </c>
      <c r="H110" s="43">
        <f>+IFERROR(INDEX('Quikirr Data'!$C$4:$AM$103,MATCH($C110,'Quikirr Data'!$NF$4:$NF$103,0),MATCH(H$108,'Quikirr Data'!$C$3:$AM$3,0)),0)*ToC!$E$15/ToC!$E$10</f>
        <v>3348</v>
      </c>
      <c r="I110" s="43">
        <f>+IFERROR(INDEX('Quikirr Data'!$C$4:$AM$103,MATCH($C110,'Quikirr Data'!$NF$4:$NF$103,0),MATCH(I$108,'Quikirr Data'!$C$3:$AM$3,0)),0)*ToC!$E$15/ToC!$E$10</f>
        <v>0</v>
      </c>
      <c r="K110" s="47">
        <f t="shared" ref="K110:K120" si="52">+IFERROR((I110/F110)^(1/YEARFRAC($F$108,$I$108))-1,0)</f>
        <v>-1</v>
      </c>
      <c r="L110" s="47">
        <f t="shared" ref="L110:L120" si="53">+IFERROR(Q110/Q$123,0)</f>
        <v>0.73809523809523814</v>
      </c>
      <c r="M110" s="47">
        <f>+IFERROR(SUM(Q$110:Q110)/Q$123,0)</f>
        <v>0.73809523809523814</v>
      </c>
      <c r="O110" s="43">
        <f t="shared" ref="O110:O120" si="54">+G110-F110</f>
        <v>0</v>
      </c>
      <c r="P110" s="43">
        <f t="shared" ref="P110:P120" si="55">+H110-G110</f>
        <v>240</v>
      </c>
      <c r="Q110" s="43">
        <f t="shared" ref="Q110:Q120" si="56">+I110-H110</f>
        <v>-3348</v>
      </c>
      <c r="R110" s="47" cm="1">
        <f t="array" ref="R110">+IFERROR(INDEX($O110:$Q110,MAX(MATCH('Top Customers'!$C$3,$F$108:$I$108,0)-1,1))/INDEX($O$123:$Q$123,MAX(MATCH('Top Customers'!$C$3,$F$108:$I$108,0)-1,1)),0)</f>
        <v>0.73809523809523814</v>
      </c>
      <c r="S110" s="91" cm="1">
        <f t="array" ref="S110">+IFERROR(I110/INDEX($F110:$I110,MATCH(TRUE,$F110:$I110&lt;&gt;0,0)),0)</f>
        <v>0</v>
      </c>
      <c r="U110" s="47">
        <f t="shared" ref="U110:U120" si="57">+IFERROR(G110/F110-1,0)</f>
        <v>0</v>
      </c>
      <c r="V110" s="47">
        <f t="shared" ref="V110:V120" si="58">+IFERROR(H110/G110-1,0)</f>
        <v>7.7220077220077288E-2</v>
      </c>
      <c r="W110" s="47">
        <f t="shared" ref="W110:W120" si="59">+IFERROR(I110/H110-1,0)</f>
        <v>-1</v>
      </c>
      <c r="Y110" s="105" cm="1">
        <f t="array" ref="Y110">+IFERROR(INDEX('Quikirr Data'!$BD$4:$BD$103,
  MATCH(1,('Quikirr Data'!$B$4:$B$103=$D110)*('Quikirr Data'!$NF$4:$NF$103=$C110),0),
  1),"N/A")</f>
        <v>44926</v>
      </c>
    </row>
    <row r="111" spans="3:25" x14ac:dyDescent="0.25">
      <c r="C111" s="81">
        <f t="shared" ref="C111:C119" si="60">+C110+1</f>
        <v>2</v>
      </c>
      <c r="D111" s="85">
        <f>+IFERROR(INDEX('Quikirr Data'!$B$4:$B$103,MATCH($C111,'Quikirr Data'!$NF$4:$NF$103,0),1),"")</f>
        <v>33</v>
      </c>
      <c r="F111" s="43">
        <f>+IFERROR(INDEX('Quikirr Data'!$C$4:$AM$103,MATCH($C111,'Quikirr Data'!$NF$4:$NF$103,0),MATCH(F$108,'Quikirr Data'!$C$3:$AM$3,0)),0)*ToC!$E$15/ToC!$E$10</f>
        <v>1191.96</v>
      </c>
      <c r="G111" s="43">
        <f>+IFERROR(INDEX('Quikirr Data'!$C$4:$AM$103,MATCH($C111,'Quikirr Data'!$NF$4:$NF$103,0),MATCH(G$108,'Quikirr Data'!$C$3:$AM$3,0)),0)*ToC!$E$15/ToC!$E$10</f>
        <v>1188</v>
      </c>
      <c r="H111" s="43">
        <f>+IFERROR(INDEX('Quikirr Data'!$C$4:$AM$103,MATCH($C111,'Quikirr Data'!$NF$4:$NF$103,0),MATCH(H$108,'Quikirr Data'!$C$3:$AM$3,0)),0)*ToC!$E$15/ToC!$E$10</f>
        <v>1188</v>
      </c>
      <c r="I111" s="43">
        <f>+IFERROR(INDEX('Quikirr Data'!$C$4:$AM$103,MATCH($C111,'Quikirr Data'!$NF$4:$NF$103,0),MATCH(I$108,'Quikirr Data'!$C$3:$AM$3,0)),0)*ToC!$E$15/ToC!$E$10</f>
        <v>0</v>
      </c>
      <c r="K111" s="47">
        <f t="shared" si="52"/>
        <v>-1</v>
      </c>
      <c r="L111" s="47">
        <f t="shared" si="53"/>
        <v>0.26190476190476192</v>
      </c>
      <c r="M111" s="47">
        <f>+IFERROR(SUM(Q$110:Q111)/Q$123,0)</f>
        <v>1</v>
      </c>
      <c r="O111" s="43">
        <f t="shared" si="54"/>
        <v>-3.9600000000000364</v>
      </c>
      <c r="P111" s="43">
        <f t="shared" si="55"/>
        <v>0</v>
      </c>
      <c r="Q111" s="43">
        <f t="shared" si="56"/>
        <v>-1188</v>
      </c>
      <c r="R111" s="47" cm="1">
        <f t="array" ref="R111">+IFERROR(INDEX($O111:$Q111,MAX(MATCH('Top Customers'!$C$3,$F$108:$I$108,0)-1,1))/INDEX($O$123:$Q$123,MAX(MATCH('Top Customers'!$C$3,$F$108:$I$108,0)-1,1)),0)</f>
        <v>0.26190476190476192</v>
      </c>
      <c r="S111" s="91" cm="1">
        <f t="array" ref="S111">+IFERROR(I111/INDEX($F111:$I111,MATCH(TRUE,$F111:$I111&lt;&gt;0,0)),0)</f>
        <v>0</v>
      </c>
      <c r="U111" s="47">
        <f t="shared" si="57"/>
        <v>-3.3222591362126463E-3</v>
      </c>
      <c r="V111" s="47">
        <f t="shared" si="58"/>
        <v>0</v>
      </c>
      <c r="W111" s="47">
        <f t="shared" si="59"/>
        <v>-1</v>
      </c>
      <c r="Y111" s="105" cm="1">
        <f t="array" ref="Y111">+IFERROR(INDEX('Quikirr Data'!$BD$4:$BD$103,
  MATCH(1,('Quikirr Data'!$B$4:$B$103=$D111)*('Quikirr Data'!$NF$4:$NF$103=$C111),0),
  1),"N/A")</f>
        <v>44926</v>
      </c>
    </row>
    <row r="112" spans="3:25" x14ac:dyDescent="0.25">
      <c r="C112" s="81">
        <f t="shared" si="60"/>
        <v>3</v>
      </c>
      <c r="D112" s="85" t="str">
        <f>+IFERROR(INDEX('Quikirr Data'!$B$4:$B$103,MATCH($C112,'Quikirr Data'!$NF$4:$NF$103,0),1),"")</f>
        <v/>
      </c>
      <c r="F112" s="43">
        <f>+IFERROR(INDEX('Quikirr Data'!$C$4:$AM$103,MATCH($C112,'Quikirr Data'!$NF$4:$NF$103,0),MATCH(F$108,'Quikirr Data'!$C$3:$AM$3,0)),0)*ToC!$E$15/ToC!$E$10</f>
        <v>0</v>
      </c>
      <c r="G112" s="43">
        <f>+IFERROR(INDEX('Quikirr Data'!$C$4:$AM$103,MATCH($C112,'Quikirr Data'!$NF$4:$NF$103,0),MATCH(G$108,'Quikirr Data'!$C$3:$AM$3,0)),0)*ToC!$E$15/ToC!$E$10</f>
        <v>0</v>
      </c>
      <c r="H112" s="43">
        <f>+IFERROR(INDEX('Quikirr Data'!$C$4:$AM$103,MATCH($C112,'Quikirr Data'!$NF$4:$NF$103,0),MATCH(H$108,'Quikirr Data'!$C$3:$AM$3,0)),0)*ToC!$E$15/ToC!$E$10</f>
        <v>0</v>
      </c>
      <c r="I112" s="43">
        <f>+IFERROR(INDEX('Quikirr Data'!$C$4:$AM$103,MATCH($C112,'Quikirr Data'!$NF$4:$NF$103,0),MATCH(I$108,'Quikirr Data'!$C$3:$AM$3,0)),0)*ToC!$E$15/ToC!$E$10</f>
        <v>0</v>
      </c>
      <c r="K112" s="47">
        <f t="shared" si="52"/>
        <v>0</v>
      </c>
      <c r="L112" s="47">
        <f t="shared" si="53"/>
        <v>0</v>
      </c>
      <c r="M112" s="47">
        <f>+IFERROR(SUM(Q$110:Q112)/Q$123,0)</f>
        <v>1</v>
      </c>
      <c r="O112" s="43">
        <f t="shared" si="54"/>
        <v>0</v>
      </c>
      <c r="P112" s="43">
        <f t="shared" si="55"/>
        <v>0</v>
      </c>
      <c r="Q112" s="43">
        <f t="shared" si="56"/>
        <v>0</v>
      </c>
      <c r="R112" s="47" cm="1">
        <f t="array" ref="R112">+IFERROR(INDEX($O112:$Q112,MAX(MATCH('Top Customers'!$C$3,$F$108:$I$108,0)-1,1))/INDEX($O$123:$Q$123,MAX(MATCH('Top Customers'!$C$3,$F$108:$I$108,0)-1,1)),0)</f>
        <v>0</v>
      </c>
      <c r="S112" s="91" cm="1">
        <f t="array" ref="S112">+IFERROR(I112/INDEX($F112:$I112,MATCH(TRUE,$F112:$I112&lt;&gt;0,0)),0)</f>
        <v>0</v>
      </c>
      <c r="U112" s="47">
        <f t="shared" si="57"/>
        <v>0</v>
      </c>
      <c r="V112" s="47">
        <f t="shared" si="58"/>
        <v>0</v>
      </c>
      <c r="W112" s="47">
        <f t="shared" si="59"/>
        <v>0</v>
      </c>
      <c r="Y112" s="105" t="str" cm="1">
        <f t="array" ref="Y112">+IFERROR(INDEX('Quikirr Data'!$BD$4:$BD$103,
  MATCH(1,('Quikirr Data'!$B$4:$B$103=$D112)*('Quikirr Data'!$NF$4:$NF$103=$C112),0),
  1),"N/A")</f>
        <v>N/A</v>
      </c>
    </row>
    <row r="113" spans="3:25" x14ac:dyDescent="0.25">
      <c r="C113" s="81">
        <f t="shared" si="60"/>
        <v>4</v>
      </c>
      <c r="D113" s="85" t="str">
        <f>+IFERROR(INDEX('Quikirr Data'!$B$4:$B$103,MATCH($C113,'Quikirr Data'!$NF$4:$NF$103,0),1),"")</f>
        <v/>
      </c>
      <c r="F113" s="43">
        <f>+IFERROR(INDEX('Quikirr Data'!$C$4:$AM$103,MATCH($C113,'Quikirr Data'!$NF$4:$NF$103,0),MATCH(F$108,'Quikirr Data'!$C$3:$AM$3,0)),0)*ToC!$E$15/ToC!$E$10</f>
        <v>0</v>
      </c>
      <c r="G113" s="43">
        <f>+IFERROR(INDEX('Quikirr Data'!$C$4:$AM$103,MATCH($C113,'Quikirr Data'!$NF$4:$NF$103,0),MATCH(G$108,'Quikirr Data'!$C$3:$AM$3,0)),0)*ToC!$E$15/ToC!$E$10</f>
        <v>0</v>
      </c>
      <c r="H113" s="43">
        <f>+IFERROR(INDEX('Quikirr Data'!$C$4:$AM$103,MATCH($C113,'Quikirr Data'!$NF$4:$NF$103,0),MATCH(H$108,'Quikirr Data'!$C$3:$AM$3,0)),0)*ToC!$E$15/ToC!$E$10</f>
        <v>0</v>
      </c>
      <c r="I113" s="43">
        <f>+IFERROR(INDEX('Quikirr Data'!$C$4:$AM$103,MATCH($C113,'Quikirr Data'!$NF$4:$NF$103,0),MATCH(I$108,'Quikirr Data'!$C$3:$AM$3,0)),0)*ToC!$E$15/ToC!$E$10</f>
        <v>0</v>
      </c>
      <c r="K113" s="47">
        <f t="shared" si="52"/>
        <v>0</v>
      </c>
      <c r="L113" s="47">
        <f t="shared" si="53"/>
        <v>0</v>
      </c>
      <c r="M113" s="47">
        <f>+IFERROR(SUM(Q$110:Q113)/Q$123,0)</f>
        <v>1</v>
      </c>
      <c r="O113" s="43">
        <f t="shared" si="54"/>
        <v>0</v>
      </c>
      <c r="P113" s="43">
        <f t="shared" si="55"/>
        <v>0</v>
      </c>
      <c r="Q113" s="43">
        <f t="shared" si="56"/>
        <v>0</v>
      </c>
      <c r="R113" s="47" cm="1">
        <f t="array" ref="R113">+IFERROR(INDEX($O113:$Q113,MAX(MATCH('Top Customers'!$C$3,$F$108:$I$108,0)-1,1))/INDEX($O$123:$Q$123,MAX(MATCH('Top Customers'!$C$3,$F$108:$I$108,0)-1,1)),0)</f>
        <v>0</v>
      </c>
      <c r="S113" s="91" cm="1">
        <f t="array" ref="S113">+IFERROR(I113/INDEX($F113:$I113,MATCH(TRUE,$F113:$I113&lt;&gt;0,0)),0)</f>
        <v>0</v>
      </c>
      <c r="U113" s="47">
        <f t="shared" si="57"/>
        <v>0</v>
      </c>
      <c r="V113" s="47">
        <f t="shared" si="58"/>
        <v>0</v>
      </c>
      <c r="W113" s="47">
        <f t="shared" si="59"/>
        <v>0</v>
      </c>
      <c r="Y113" s="105" t="str" cm="1">
        <f t="array" ref="Y113">+IFERROR(INDEX('Quikirr Data'!$BD$4:$BD$103,
  MATCH(1,('Quikirr Data'!$B$4:$B$103=$D113)*('Quikirr Data'!$NF$4:$NF$103=$C113),0),
  1),"N/A")</f>
        <v>N/A</v>
      </c>
    </row>
    <row r="114" spans="3:25" x14ac:dyDescent="0.25">
      <c r="C114" s="81">
        <f t="shared" si="60"/>
        <v>5</v>
      </c>
      <c r="D114" s="85" t="str">
        <f>+IFERROR(INDEX('Quikirr Data'!$B$4:$B$103,MATCH($C114,'Quikirr Data'!$NF$4:$NF$103,0),1),"")</f>
        <v/>
      </c>
      <c r="F114" s="43">
        <f>+IFERROR(INDEX('Quikirr Data'!$C$4:$AM$103,MATCH($C114,'Quikirr Data'!$NF$4:$NF$103,0),MATCH(F$108,'Quikirr Data'!$C$3:$AM$3,0)),0)*ToC!$E$15/ToC!$E$10</f>
        <v>0</v>
      </c>
      <c r="G114" s="43">
        <f>+IFERROR(INDEX('Quikirr Data'!$C$4:$AM$103,MATCH($C114,'Quikirr Data'!$NF$4:$NF$103,0),MATCH(G$108,'Quikirr Data'!$C$3:$AM$3,0)),0)*ToC!$E$15/ToC!$E$10</f>
        <v>0</v>
      </c>
      <c r="H114" s="43">
        <f>+IFERROR(INDEX('Quikirr Data'!$C$4:$AM$103,MATCH($C114,'Quikirr Data'!$NF$4:$NF$103,0),MATCH(H$108,'Quikirr Data'!$C$3:$AM$3,0)),0)*ToC!$E$15/ToC!$E$10</f>
        <v>0</v>
      </c>
      <c r="I114" s="43">
        <f>+IFERROR(INDEX('Quikirr Data'!$C$4:$AM$103,MATCH($C114,'Quikirr Data'!$NF$4:$NF$103,0),MATCH(I$108,'Quikirr Data'!$C$3:$AM$3,0)),0)*ToC!$E$15/ToC!$E$10</f>
        <v>0</v>
      </c>
      <c r="K114" s="47">
        <f t="shared" si="52"/>
        <v>0</v>
      </c>
      <c r="L114" s="47">
        <f t="shared" si="53"/>
        <v>0</v>
      </c>
      <c r="M114" s="47">
        <f>+IFERROR(SUM(Q$110:Q114)/Q$123,0)</f>
        <v>1</v>
      </c>
      <c r="O114" s="43">
        <f t="shared" si="54"/>
        <v>0</v>
      </c>
      <c r="P114" s="43">
        <f t="shared" si="55"/>
        <v>0</v>
      </c>
      <c r="Q114" s="43">
        <f t="shared" si="56"/>
        <v>0</v>
      </c>
      <c r="R114" s="47" cm="1">
        <f t="array" ref="R114">+IFERROR(INDEX($O114:$Q114,MAX(MATCH('Top Customers'!$C$3,$F$108:$I$108,0)-1,1))/INDEX($O$123:$Q$123,MAX(MATCH('Top Customers'!$C$3,$F$108:$I$108,0)-1,1)),0)</f>
        <v>0</v>
      </c>
      <c r="S114" s="91" cm="1">
        <f t="array" ref="S114">+IFERROR(I114/INDEX($F114:$I114,MATCH(TRUE,$F114:$I114&lt;&gt;0,0)),0)</f>
        <v>0</v>
      </c>
      <c r="U114" s="47">
        <f t="shared" si="57"/>
        <v>0</v>
      </c>
      <c r="V114" s="47">
        <f t="shared" si="58"/>
        <v>0</v>
      </c>
      <c r="W114" s="47">
        <f t="shared" si="59"/>
        <v>0</v>
      </c>
      <c r="Y114" s="105" t="str" cm="1">
        <f t="array" ref="Y114">+IFERROR(INDEX('Quikirr Data'!$BD$4:$BD$103,
  MATCH(1,('Quikirr Data'!$B$4:$B$103=$D114)*('Quikirr Data'!$NF$4:$NF$103=$C114),0),
  1),"N/A")</f>
        <v>N/A</v>
      </c>
    </row>
    <row r="115" spans="3:25" x14ac:dyDescent="0.25">
      <c r="C115" s="81">
        <f t="shared" si="60"/>
        <v>6</v>
      </c>
      <c r="D115" s="85" t="str">
        <f>+IFERROR(INDEX('Quikirr Data'!$B$4:$B$103,MATCH($C115,'Quikirr Data'!$NF$4:$NF$103,0),1),"")</f>
        <v/>
      </c>
      <c r="F115" s="43">
        <f>+IFERROR(INDEX('Quikirr Data'!$C$4:$AM$103,MATCH($C115,'Quikirr Data'!$NF$4:$NF$103,0),MATCH(F$108,'Quikirr Data'!$C$3:$AM$3,0)),0)*ToC!$E$15/ToC!$E$10</f>
        <v>0</v>
      </c>
      <c r="G115" s="43">
        <f>+IFERROR(INDEX('Quikirr Data'!$C$4:$AM$103,MATCH($C115,'Quikirr Data'!$NF$4:$NF$103,0),MATCH(G$108,'Quikirr Data'!$C$3:$AM$3,0)),0)*ToC!$E$15/ToC!$E$10</f>
        <v>0</v>
      </c>
      <c r="H115" s="43">
        <f>+IFERROR(INDEX('Quikirr Data'!$C$4:$AM$103,MATCH($C115,'Quikirr Data'!$NF$4:$NF$103,0),MATCH(H$108,'Quikirr Data'!$C$3:$AM$3,0)),0)*ToC!$E$15/ToC!$E$10</f>
        <v>0</v>
      </c>
      <c r="I115" s="43">
        <f>+IFERROR(INDEX('Quikirr Data'!$C$4:$AM$103,MATCH($C115,'Quikirr Data'!$NF$4:$NF$103,0),MATCH(I$108,'Quikirr Data'!$C$3:$AM$3,0)),0)*ToC!$E$15/ToC!$E$10</f>
        <v>0</v>
      </c>
      <c r="K115" s="47">
        <f t="shared" si="52"/>
        <v>0</v>
      </c>
      <c r="L115" s="47">
        <f t="shared" si="53"/>
        <v>0</v>
      </c>
      <c r="M115" s="47">
        <f>+IFERROR(SUM(Q$110:Q115)/Q$123,0)</f>
        <v>1</v>
      </c>
      <c r="O115" s="43">
        <f t="shared" si="54"/>
        <v>0</v>
      </c>
      <c r="P115" s="43">
        <f t="shared" si="55"/>
        <v>0</v>
      </c>
      <c r="Q115" s="43">
        <f t="shared" si="56"/>
        <v>0</v>
      </c>
      <c r="R115" s="47" cm="1">
        <f t="array" ref="R115">+IFERROR(INDEX($O115:$Q115,MAX(MATCH('Top Customers'!$C$3,$F$108:$I$108,0)-1,1))/INDEX($O$123:$Q$123,MAX(MATCH('Top Customers'!$C$3,$F$108:$I$108,0)-1,1)),0)</f>
        <v>0</v>
      </c>
      <c r="S115" s="91" cm="1">
        <f t="array" ref="S115">+IFERROR(I115/INDEX($F115:$I115,MATCH(TRUE,$F115:$I115&lt;&gt;0,0)),0)</f>
        <v>0</v>
      </c>
      <c r="U115" s="47">
        <f t="shared" si="57"/>
        <v>0</v>
      </c>
      <c r="V115" s="47">
        <f t="shared" si="58"/>
        <v>0</v>
      </c>
      <c r="W115" s="47">
        <f t="shared" si="59"/>
        <v>0</v>
      </c>
      <c r="Y115" s="105" t="str" cm="1">
        <f t="array" ref="Y115">+IFERROR(INDEX('Quikirr Data'!$BD$4:$BD$103,
  MATCH(1,('Quikirr Data'!$B$4:$B$103=$D115)*('Quikirr Data'!$NF$4:$NF$103=$C115),0),
  1),"N/A")</f>
        <v>N/A</v>
      </c>
    </row>
    <row r="116" spans="3:25" x14ac:dyDescent="0.25">
      <c r="C116" s="81">
        <f t="shared" si="60"/>
        <v>7</v>
      </c>
      <c r="D116" s="85" t="str">
        <f>+IFERROR(INDEX('Quikirr Data'!$B$4:$B$103,MATCH($C116,'Quikirr Data'!$NF$4:$NF$103,0),1),"")</f>
        <v/>
      </c>
      <c r="F116" s="43">
        <f>+IFERROR(INDEX('Quikirr Data'!$C$4:$AM$103,MATCH($C116,'Quikirr Data'!$NF$4:$NF$103,0),MATCH(F$108,'Quikirr Data'!$C$3:$AM$3,0)),0)*ToC!$E$15/ToC!$E$10</f>
        <v>0</v>
      </c>
      <c r="G116" s="43">
        <f>+IFERROR(INDEX('Quikirr Data'!$C$4:$AM$103,MATCH($C116,'Quikirr Data'!$NF$4:$NF$103,0),MATCH(G$108,'Quikirr Data'!$C$3:$AM$3,0)),0)*ToC!$E$15/ToC!$E$10</f>
        <v>0</v>
      </c>
      <c r="H116" s="43">
        <f>+IFERROR(INDEX('Quikirr Data'!$C$4:$AM$103,MATCH($C116,'Quikirr Data'!$NF$4:$NF$103,0),MATCH(H$108,'Quikirr Data'!$C$3:$AM$3,0)),0)*ToC!$E$15/ToC!$E$10</f>
        <v>0</v>
      </c>
      <c r="I116" s="43">
        <f>+IFERROR(INDEX('Quikirr Data'!$C$4:$AM$103,MATCH($C116,'Quikirr Data'!$NF$4:$NF$103,0),MATCH(I$108,'Quikirr Data'!$C$3:$AM$3,0)),0)*ToC!$E$15/ToC!$E$10</f>
        <v>0</v>
      </c>
      <c r="K116" s="47">
        <f t="shared" si="52"/>
        <v>0</v>
      </c>
      <c r="L116" s="47">
        <f t="shared" si="53"/>
        <v>0</v>
      </c>
      <c r="M116" s="47">
        <f>+IFERROR(SUM(Q$110:Q116)/Q$123,0)</f>
        <v>1</v>
      </c>
      <c r="O116" s="43">
        <f t="shared" si="54"/>
        <v>0</v>
      </c>
      <c r="P116" s="43">
        <f t="shared" si="55"/>
        <v>0</v>
      </c>
      <c r="Q116" s="43">
        <f t="shared" si="56"/>
        <v>0</v>
      </c>
      <c r="R116" s="47" cm="1">
        <f t="array" ref="R116">+IFERROR(INDEX($O116:$Q116,MAX(MATCH('Top Customers'!$C$3,$F$108:$I$108,0)-1,1))/INDEX($O$123:$Q$123,MAX(MATCH('Top Customers'!$C$3,$F$108:$I$108,0)-1,1)),0)</f>
        <v>0</v>
      </c>
      <c r="S116" s="91" cm="1">
        <f t="array" ref="S116">+IFERROR(I116/INDEX($F116:$I116,MATCH(TRUE,$F116:$I116&lt;&gt;0,0)),0)</f>
        <v>0</v>
      </c>
      <c r="U116" s="47">
        <f t="shared" si="57"/>
        <v>0</v>
      </c>
      <c r="V116" s="47">
        <f t="shared" si="58"/>
        <v>0</v>
      </c>
      <c r="W116" s="47">
        <f t="shared" si="59"/>
        <v>0</v>
      </c>
      <c r="Y116" s="105" t="str" cm="1">
        <f t="array" ref="Y116">+IFERROR(INDEX('Quikirr Data'!$BD$4:$BD$103,
  MATCH(1,('Quikirr Data'!$B$4:$B$103=$D116)*('Quikirr Data'!$NF$4:$NF$103=$C116),0),
  1),"N/A")</f>
        <v>N/A</v>
      </c>
    </row>
    <row r="117" spans="3:25" x14ac:dyDescent="0.25">
      <c r="C117" s="81">
        <f t="shared" si="60"/>
        <v>8</v>
      </c>
      <c r="D117" s="85" t="str">
        <f>+IFERROR(INDEX('Quikirr Data'!$B$4:$B$103,MATCH($C117,'Quikirr Data'!$NF$4:$NF$103,0),1),"")</f>
        <v/>
      </c>
      <c r="F117" s="43">
        <f>+IFERROR(INDEX('Quikirr Data'!$C$4:$AM$103,MATCH($C117,'Quikirr Data'!$NF$4:$NF$103,0),MATCH(F$108,'Quikirr Data'!$C$3:$AM$3,0)),0)*ToC!$E$15/ToC!$E$10</f>
        <v>0</v>
      </c>
      <c r="G117" s="43">
        <f>+IFERROR(INDEX('Quikirr Data'!$C$4:$AM$103,MATCH($C117,'Quikirr Data'!$NF$4:$NF$103,0),MATCH(G$108,'Quikirr Data'!$C$3:$AM$3,0)),0)*ToC!$E$15/ToC!$E$10</f>
        <v>0</v>
      </c>
      <c r="H117" s="43">
        <f>+IFERROR(INDEX('Quikirr Data'!$C$4:$AM$103,MATCH($C117,'Quikirr Data'!$NF$4:$NF$103,0),MATCH(H$108,'Quikirr Data'!$C$3:$AM$3,0)),0)*ToC!$E$15/ToC!$E$10</f>
        <v>0</v>
      </c>
      <c r="I117" s="43">
        <f>+IFERROR(INDEX('Quikirr Data'!$C$4:$AM$103,MATCH($C117,'Quikirr Data'!$NF$4:$NF$103,0),MATCH(I$108,'Quikirr Data'!$C$3:$AM$3,0)),0)*ToC!$E$15/ToC!$E$10</f>
        <v>0</v>
      </c>
      <c r="K117" s="47">
        <f t="shared" si="52"/>
        <v>0</v>
      </c>
      <c r="L117" s="47">
        <f t="shared" si="53"/>
        <v>0</v>
      </c>
      <c r="M117" s="47">
        <f>+IFERROR(SUM(Q$110:Q117)/Q$123,0)</f>
        <v>1</v>
      </c>
      <c r="O117" s="43">
        <f t="shared" si="54"/>
        <v>0</v>
      </c>
      <c r="P117" s="43">
        <f t="shared" si="55"/>
        <v>0</v>
      </c>
      <c r="Q117" s="43">
        <f t="shared" si="56"/>
        <v>0</v>
      </c>
      <c r="R117" s="47" cm="1">
        <f t="array" ref="R117">+IFERROR(INDEX($O117:$Q117,MAX(MATCH('Top Customers'!$C$3,$F$108:$I$108,0)-1,1))/INDEX($O$123:$Q$123,MAX(MATCH('Top Customers'!$C$3,$F$108:$I$108,0)-1,1)),0)</f>
        <v>0</v>
      </c>
      <c r="S117" s="91" cm="1">
        <f t="array" ref="S117">+IFERROR(I117/INDEX($F117:$I117,MATCH(TRUE,$F117:$I117&lt;&gt;0,0)),0)</f>
        <v>0</v>
      </c>
      <c r="U117" s="47">
        <f t="shared" si="57"/>
        <v>0</v>
      </c>
      <c r="V117" s="47">
        <f t="shared" si="58"/>
        <v>0</v>
      </c>
      <c r="W117" s="47">
        <f t="shared" si="59"/>
        <v>0</v>
      </c>
      <c r="Y117" s="105" t="str" cm="1">
        <f t="array" ref="Y117">+IFERROR(INDEX('Quikirr Data'!$BD$4:$BD$103,
  MATCH(1,('Quikirr Data'!$B$4:$B$103=$D117)*('Quikirr Data'!$NF$4:$NF$103=$C117),0),
  1),"N/A")</f>
        <v>N/A</v>
      </c>
    </row>
    <row r="118" spans="3:25" x14ac:dyDescent="0.25">
      <c r="C118" s="81">
        <f t="shared" si="60"/>
        <v>9</v>
      </c>
      <c r="D118" s="85" t="str">
        <f>+IFERROR(INDEX('Quikirr Data'!$B$4:$B$103,MATCH($C118,'Quikirr Data'!$NF$4:$NF$103,0),1),"")</f>
        <v/>
      </c>
      <c r="F118" s="43">
        <f>+IFERROR(INDEX('Quikirr Data'!$C$4:$AM$103,MATCH($C118,'Quikirr Data'!$NF$4:$NF$103,0),MATCH(F$108,'Quikirr Data'!$C$3:$AM$3,0)),0)*ToC!$E$15/ToC!$E$10</f>
        <v>0</v>
      </c>
      <c r="G118" s="43">
        <f>+IFERROR(INDEX('Quikirr Data'!$C$4:$AM$103,MATCH($C118,'Quikirr Data'!$NF$4:$NF$103,0),MATCH(G$108,'Quikirr Data'!$C$3:$AM$3,0)),0)*ToC!$E$15/ToC!$E$10</f>
        <v>0</v>
      </c>
      <c r="H118" s="43">
        <f>+IFERROR(INDEX('Quikirr Data'!$C$4:$AM$103,MATCH($C118,'Quikirr Data'!$NF$4:$NF$103,0),MATCH(H$108,'Quikirr Data'!$C$3:$AM$3,0)),0)*ToC!$E$15/ToC!$E$10</f>
        <v>0</v>
      </c>
      <c r="I118" s="43">
        <f>+IFERROR(INDEX('Quikirr Data'!$C$4:$AM$103,MATCH($C118,'Quikirr Data'!$NF$4:$NF$103,0),MATCH(I$108,'Quikirr Data'!$C$3:$AM$3,0)),0)*ToC!$E$15/ToC!$E$10</f>
        <v>0</v>
      </c>
      <c r="K118" s="47">
        <f t="shared" si="52"/>
        <v>0</v>
      </c>
      <c r="L118" s="47">
        <f t="shared" si="53"/>
        <v>0</v>
      </c>
      <c r="M118" s="47">
        <f>+IFERROR(SUM(Q$110:Q118)/Q$123,0)</f>
        <v>1</v>
      </c>
      <c r="O118" s="43">
        <f t="shared" si="54"/>
        <v>0</v>
      </c>
      <c r="P118" s="43">
        <f t="shared" si="55"/>
        <v>0</v>
      </c>
      <c r="Q118" s="43">
        <f t="shared" si="56"/>
        <v>0</v>
      </c>
      <c r="R118" s="47" cm="1">
        <f t="array" ref="R118">+IFERROR(INDEX($O118:$Q118,MAX(MATCH('Top Customers'!$C$3,$F$108:$I$108,0)-1,1))/INDEX($O$123:$Q$123,MAX(MATCH('Top Customers'!$C$3,$F$108:$I$108,0)-1,1)),0)</f>
        <v>0</v>
      </c>
      <c r="S118" s="91" cm="1">
        <f t="array" ref="S118">+IFERROR(I118/INDEX($F118:$I118,MATCH(TRUE,$F118:$I118&lt;&gt;0,0)),0)</f>
        <v>0</v>
      </c>
      <c r="U118" s="47">
        <f t="shared" si="57"/>
        <v>0</v>
      </c>
      <c r="V118" s="47">
        <f t="shared" si="58"/>
        <v>0</v>
      </c>
      <c r="W118" s="47">
        <f t="shared" si="59"/>
        <v>0</v>
      </c>
      <c r="Y118" s="105" t="str" cm="1">
        <f t="array" ref="Y118">+IFERROR(INDEX('Quikirr Data'!$BD$4:$BD$103,
  MATCH(1,('Quikirr Data'!$B$4:$B$103=$D118)*('Quikirr Data'!$NF$4:$NF$103=$C118),0),
  1),"N/A")</f>
        <v>N/A</v>
      </c>
    </row>
    <row r="119" spans="3:25" x14ac:dyDescent="0.25">
      <c r="C119" s="81">
        <f t="shared" si="60"/>
        <v>10</v>
      </c>
      <c r="D119" s="85" t="str">
        <f>+IFERROR(INDEX('Quikirr Data'!$B$4:$B$103,MATCH($C119,'Quikirr Data'!$NF$4:$NF$103,0),1),"")</f>
        <v/>
      </c>
      <c r="F119" s="43">
        <f>+IFERROR(INDEX('Quikirr Data'!$C$4:$AM$103,MATCH($C119,'Quikirr Data'!$NF$4:$NF$103,0),MATCH(F$108,'Quikirr Data'!$C$3:$AM$3,0)),0)*ToC!$E$15/ToC!$E$10</f>
        <v>0</v>
      </c>
      <c r="G119" s="43">
        <f>+IFERROR(INDEX('Quikirr Data'!$C$4:$AM$103,MATCH($C119,'Quikirr Data'!$NF$4:$NF$103,0),MATCH(G$108,'Quikirr Data'!$C$3:$AM$3,0)),0)*ToC!$E$15/ToC!$E$10</f>
        <v>0</v>
      </c>
      <c r="H119" s="43">
        <f>+IFERROR(INDEX('Quikirr Data'!$C$4:$AM$103,MATCH($C119,'Quikirr Data'!$NF$4:$NF$103,0),MATCH(H$108,'Quikirr Data'!$C$3:$AM$3,0)),0)*ToC!$E$15/ToC!$E$10</f>
        <v>0</v>
      </c>
      <c r="I119" s="43">
        <f>+IFERROR(INDEX('Quikirr Data'!$C$4:$AM$103,MATCH($C119,'Quikirr Data'!$NF$4:$NF$103,0),MATCH(I$108,'Quikirr Data'!$C$3:$AM$3,0)),0)*ToC!$E$15/ToC!$E$10</f>
        <v>0</v>
      </c>
      <c r="K119" s="47">
        <f t="shared" si="52"/>
        <v>0</v>
      </c>
      <c r="L119" s="47">
        <f t="shared" si="53"/>
        <v>0</v>
      </c>
      <c r="M119" s="47">
        <f>+IFERROR(SUM(Q$110:Q119)/Q$123,0)</f>
        <v>1</v>
      </c>
      <c r="O119" s="43">
        <f t="shared" si="54"/>
        <v>0</v>
      </c>
      <c r="P119" s="43">
        <f t="shared" si="55"/>
        <v>0</v>
      </c>
      <c r="Q119" s="43">
        <f t="shared" si="56"/>
        <v>0</v>
      </c>
      <c r="R119" s="47" cm="1">
        <f t="array" ref="R119">+IFERROR(INDEX($O119:$Q119,MAX(MATCH('Top Customers'!$C$3,$F$108:$I$108,0)-1,1))/INDEX($O$123:$Q$123,MAX(MATCH('Top Customers'!$C$3,$F$108:$I$108,0)-1,1)),0)</f>
        <v>0</v>
      </c>
      <c r="S119" s="91" cm="1">
        <f t="array" ref="S119">+IFERROR(I119/INDEX($F119:$I119,MATCH(TRUE,$F119:$I119&lt;&gt;0,0)),0)</f>
        <v>0</v>
      </c>
      <c r="U119" s="47">
        <f t="shared" si="57"/>
        <v>0</v>
      </c>
      <c r="V119" s="47">
        <f t="shared" si="58"/>
        <v>0</v>
      </c>
      <c r="W119" s="47">
        <f t="shared" si="59"/>
        <v>0</v>
      </c>
      <c r="Y119" s="105" t="str" cm="1">
        <f t="array" ref="Y119">+IFERROR(INDEX('Quikirr Data'!$BD$4:$BD$103,
  MATCH(1,('Quikirr Data'!$B$4:$B$103=$D119)*('Quikirr Data'!$NF$4:$NF$103=$C119),0),
  1),"N/A")</f>
        <v>N/A</v>
      </c>
    </row>
    <row r="120" spans="3:25" s="11" customFormat="1" x14ac:dyDescent="0.25">
      <c r="D120" s="84" t="str">
        <f>+"Total Top "&amp;COUNTA('Top Customers'!$D$110:$D$119)</f>
        <v>Total Top 10</v>
      </c>
      <c r="F120" s="89">
        <f>+SUM(F$110:F$119)</f>
        <v>4299.96</v>
      </c>
      <c r="G120" s="89">
        <f>+SUM(G$110:G$119)</f>
        <v>4296</v>
      </c>
      <c r="H120" s="89">
        <f>+SUM(H$110:H$119)</f>
        <v>4536</v>
      </c>
      <c r="I120" s="89">
        <f>+SUM(I$110:I$119)</f>
        <v>0</v>
      </c>
      <c r="K120" s="90">
        <f t="shared" si="52"/>
        <v>-1</v>
      </c>
      <c r="L120" s="90">
        <f t="shared" si="53"/>
        <v>1</v>
      </c>
      <c r="M120" s="90">
        <f>+M119</f>
        <v>1</v>
      </c>
      <c r="O120" s="89">
        <f t="shared" si="54"/>
        <v>-3.9600000000000364</v>
      </c>
      <c r="P120" s="89">
        <f t="shared" si="55"/>
        <v>240</v>
      </c>
      <c r="Q120" s="89">
        <f t="shared" si="56"/>
        <v>-4536</v>
      </c>
      <c r="R120" s="90" cm="1">
        <f t="array" ref="R120">+IFERROR(INDEX($O120:$Q120,MAX(MATCH('Top Customers'!$C$3,$F$108:$I$108,0)-1,1))/INDEX($O$123:$Q$123,MAX(MATCH('Top Customers'!$C$3,$F$108:$I$108,0)-1,1)),0)</f>
        <v>1</v>
      </c>
      <c r="S120" s="92" cm="1">
        <f t="array" ref="S120">+IFERROR(I120/INDEX($F120:$I120,MATCH(TRUE,$F120:$I120&lt;&gt;0,0)),0)</f>
        <v>0</v>
      </c>
      <c r="U120" s="90">
        <f t="shared" si="57"/>
        <v>-9.2093879943067058E-4</v>
      </c>
      <c r="V120" s="90">
        <f t="shared" si="58"/>
        <v>5.5865921787709549E-2</v>
      </c>
      <c r="W120" s="90">
        <f t="shared" si="59"/>
        <v>-1</v>
      </c>
    </row>
    <row r="121" spans="3:25" x14ac:dyDescent="0.25">
      <c r="K121" s="47"/>
      <c r="L121" s="47"/>
      <c r="M121" s="47"/>
    </row>
    <row r="122" spans="3:25" x14ac:dyDescent="0.25">
      <c r="D122" s="40" t="str">
        <f>+"Other Churn ("&amp;COUNTIFS('Quikirr Data'!$NF$4:$NF$103,"&gt;10")&amp;" Customers)"</f>
        <v>Other Churn (0 Customers)</v>
      </c>
      <c r="F122" s="43">
        <f>+F123-F120</f>
        <v>0</v>
      </c>
      <c r="G122" s="43">
        <f>+G123-G120</f>
        <v>0</v>
      </c>
      <c r="H122" s="43">
        <f>+H123-H120</f>
        <v>0</v>
      </c>
      <c r="I122" s="43">
        <f>+I123-I120</f>
        <v>0</v>
      </c>
      <c r="K122" s="47">
        <f>+IFERROR((I122/F122)^(1/YEARFRAC($F$108,$I$108))-1,0)</f>
        <v>0</v>
      </c>
      <c r="L122" s="47">
        <f>+IFERROR(Q122/Q$123,0)</f>
        <v>0</v>
      </c>
      <c r="M122" s="47">
        <f>+M123-M120</f>
        <v>0</v>
      </c>
      <c r="O122" s="43">
        <f t="shared" ref="O122:Q123" si="61">+G122-F122</f>
        <v>0</v>
      </c>
      <c r="P122" s="43">
        <f t="shared" si="61"/>
        <v>0</v>
      </c>
      <c r="Q122" s="43">
        <f t="shared" si="61"/>
        <v>0</v>
      </c>
      <c r="R122" s="47" cm="1">
        <f t="array" ref="R122">+IFERROR(INDEX($O122:$Q122,MAX(MATCH('Top Customers'!$C$3,$F$108:$I$108,0)-1,1))/INDEX($O$123:$Q$123,MAX(MATCH('Top Customers'!$C$3,$F$108:$I$108,0)-1,1)),0)</f>
        <v>0</v>
      </c>
      <c r="S122" s="91" cm="1">
        <f t="array" ref="S122">+IFERROR(I122/INDEX($F122:$I122,MATCH(TRUE,$F122:$I122&lt;&gt;0,0)),0)</f>
        <v>0</v>
      </c>
      <c r="U122" s="47">
        <f t="shared" ref="U122:W123" si="62">+IFERROR(G122/F122-1,0)</f>
        <v>0</v>
      </c>
      <c r="V122" s="47">
        <f t="shared" si="62"/>
        <v>0</v>
      </c>
      <c r="W122" s="47">
        <f t="shared" si="62"/>
        <v>0</v>
      </c>
    </row>
    <row r="123" spans="3:25" s="11" customFormat="1" x14ac:dyDescent="0.25">
      <c r="D123" s="84" t="s">
        <v>120</v>
      </c>
      <c r="F123" s="89">
        <f>+SUMIFS('Quikirr Data'!C$4:C$103,'Quikirr Data'!$NF$4:$NF$103,"&lt;&gt;N/A")*ToC!$E$15/ToC!$E$10</f>
        <v>4299.96</v>
      </c>
      <c r="G123" s="89">
        <f>+SUMIFS('Quikirr Data'!O$4:O$103,'Quikirr Data'!$NF$4:$NF$103,"&lt;&gt;N/A")*ToC!$E$15/ToC!$E$10</f>
        <v>4296</v>
      </c>
      <c r="H123" s="89">
        <f>+SUMIFS('Quikirr Data'!AA$4:AA$103,'Quikirr Data'!$NF$4:$NF$103,"&lt;&gt;N/A")*ToC!$E$15/ToC!$E$10</f>
        <v>4536</v>
      </c>
      <c r="I123" s="89">
        <f>+SUMIFS('Quikirr Data'!AM$4:AM$103,'Quikirr Data'!$NF$4:$NF$103,"&lt;&gt;N/A")*ToC!$E$15/ToC!$E$10</f>
        <v>0</v>
      </c>
      <c r="K123" s="90">
        <f>+IFERROR((I123/F123)^(1/YEARFRAC($F$108,$I$108))-1,0)</f>
        <v>-1</v>
      </c>
      <c r="L123" s="90">
        <f>+IFERROR(Q123/Q$123,0)</f>
        <v>1</v>
      </c>
      <c r="M123" s="90">
        <f>1</f>
        <v>1</v>
      </c>
      <c r="O123" s="89">
        <f t="shared" si="61"/>
        <v>-3.9600000000000364</v>
      </c>
      <c r="P123" s="89">
        <f t="shared" si="61"/>
        <v>240</v>
      </c>
      <c r="Q123" s="89">
        <f t="shared" si="61"/>
        <v>-4536</v>
      </c>
      <c r="R123" s="90" cm="1">
        <f t="array" ref="R123">+IFERROR(INDEX($O$123:$Q$123,MAX(MATCH('Top Customers'!$C$3,$F$108:$I$108,0)-1,1))/INDEX($O$123:$Q$123,MAX(MATCH('Top Customers'!$C$3,$F$108:$I$108,0)-1,1)),0)</f>
        <v>1</v>
      </c>
      <c r="S123" s="92" cm="1">
        <f t="array" ref="S123">+IFERROR(I123/INDEX($F123:$I123,MATCH(TRUE,$F123:$I123&lt;&gt;0,0)),0)</f>
        <v>0</v>
      </c>
      <c r="U123" s="90">
        <f t="shared" si="62"/>
        <v>-9.2093879943067058E-4</v>
      </c>
      <c r="V123" s="90">
        <f t="shared" si="62"/>
        <v>5.5865921787709549E-2</v>
      </c>
      <c r="W123" s="90">
        <f t="shared" si="62"/>
        <v>-1</v>
      </c>
    </row>
    <row r="125" spans="3:25" x14ac:dyDescent="0.25">
      <c r="D125" s="93" t="s">
        <v>110</v>
      </c>
      <c r="E125" s="94"/>
      <c r="F125" s="95">
        <f>+SUM(F$110:F$114)</f>
        <v>4299.96</v>
      </c>
      <c r="G125" s="95">
        <f>+SUM(G$110:G$114)</f>
        <v>4296</v>
      </c>
      <c r="H125" s="95">
        <f>+SUM(H$110:H$114)</f>
        <v>4536</v>
      </c>
      <c r="I125" s="95">
        <f>+SUM(I$110:I$114)</f>
        <v>0</v>
      </c>
      <c r="J125" s="94"/>
      <c r="K125" s="96">
        <f>+IFERROR((I125/F125)^(1/YEARFRAC($F$108,$I$108))-1,0)</f>
        <v>-1</v>
      </c>
      <c r="L125" s="96">
        <f>+IFERROR(Q125/Q$123,0)</f>
        <v>1</v>
      </c>
      <c r="M125" s="96">
        <f>+L125</f>
        <v>1</v>
      </c>
      <c r="N125" s="94"/>
      <c r="O125" s="95">
        <f t="shared" ref="O125:Q126" si="63">+G125-F125</f>
        <v>-3.9600000000000364</v>
      </c>
      <c r="P125" s="95">
        <f t="shared" si="63"/>
        <v>240</v>
      </c>
      <c r="Q125" s="95">
        <f t="shared" si="63"/>
        <v>-4536</v>
      </c>
      <c r="R125" s="96" cm="1">
        <f t="array" ref="R125">+IFERROR(INDEX($O125:$Q125,MAX(MATCH('Top Customers'!$C$3,$F$108:$I$108,0)-1,1))/INDEX($O$123:$Q$123,MAX(MATCH('Top Customers'!$C$3,$F$108:$I$108,0)-1,1)),0)</f>
        <v>1</v>
      </c>
      <c r="S125" s="97" cm="1">
        <f t="array" ref="S125">+IFERROR(I125/INDEX($F125:$I125,MATCH(TRUE,$F125:$I125&lt;&gt;0,0)),0)</f>
        <v>0</v>
      </c>
      <c r="T125" s="94"/>
      <c r="U125" s="96">
        <f t="shared" ref="U125:W126" si="64">+IFERROR(G125/F125-1,0)</f>
        <v>-9.2093879943067058E-4</v>
      </c>
      <c r="V125" s="96">
        <f t="shared" si="64"/>
        <v>5.5865921787709549E-2</v>
      </c>
      <c r="W125" s="98">
        <f t="shared" si="64"/>
        <v>-1</v>
      </c>
    </row>
    <row r="126" spans="3:25" x14ac:dyDescent="0.25">
      <c r="D126" s="99" t="s">
        <v>111</v>
      </c>
      <c r="E126" s="100"/>
      <c r="F126" s="101">
        <f>+SUM(F$110:F$119)</f>
        <v>4299.96</v>
      </c>
      <c r="G126" s="101">
        <f>+SUM(G$110:G$119)</f>
        <v>4296</v>
      </c>
      <c r="H126" s="101">
        <f>+SUM(H$110:H$119)</f>
        <v>4536</v>
      </c>
      <c r="I126" s="101">
        <f>+SUM(I$110:I$119)</f>
        <v>0</v>
      </c>
      <c r="J126" s="100"/>
      <c r="K126" s="102">
        <f>+IFERROR((I126/F126)^(1/YEARFRAC($F$108,$I$108))-1,0)</f>
        <v>-1</v>
      </c>
      <c r="L126" s="102">
        <f>+IFERROR(Q126/Q$123,0)</f>
        <v>1</v>
      </c>
      <c r="M126" s="102">
        <f>+L126</f>
        <v>1</v>
      </c>
      <c r="N126" s="100"/>
      <c r="O126" s="101">
        <f t="shared" si="63"/>
        <v>-3.9600000000000364</v>
      </c>
      <c r="P126" s="101">
        <f t="shared" si="63"/>
        <v>240</v>
      </c>
      <c r="Q126" s="101">
        <f t="shared" si="63"/>
        <v>-4536</v>
      </c>
      <c r="R126" s="102" cm="1">
        <f t="array" ref="R126">+IFERROR(INDEX($O126:$Q126,MAX(MATCH('Top Customers'!$C$3,$F$108:$I$108,0)-1,1))/INDEX($O$123:$Q$123,MAX(MATCH('Top Customers'!$C$3,$F$108:$I$108,0)-1,1)),0)</f>
        <v>1</v>
      </c>
      <c r="S126" s="103" cm="1">
        <f t="array" ref="S126">+IFERROR(I126/INDEX($F126:$I126,MATCH(TRUE,$F126:$I126&lt;&gt;0,0)),0)</f>
        <v>0</v>
      </c>
      <c r="T126" s="100"/>
      <c r="U126" s="102">
        <f t="shared" si="64"/>
        <v>-9.2093879943067058E-4</v>
      </c>
      <c r="V126" s="102">
        <f t="shared" si="64"/>
        <v>5.5865921787709549E-2</v>
      </c>
      <c r="W126" s="104">
        <f t="shared" si="64"/>
        <v>-1</v>
      </c>
    </row>
    <row r="131" spans="4:9" x14ac:dyDescent="0.25">
      <c r="D131" s="10" t="s">
        <v>121</v>
      </c>
      <c r="F131" s="106">
        <f>+IFERROR(ROUND(ABS((SUM(INDEX('Quikirr Data'!$C$4:$AM$103,0,MATCH(F$12,'Quikirr Data'!$C$3:$AM$3,0)))*ToC!$E$15/ToC!$E$10)-(F$27)),4),1)</f>
        <v>0</v>
      </c>
      <c r="G131" s="106">
        <f>+IFERROR(ROUND(ABS((SUM(INDEX('Quikirr Data'!$C$4:$AM$103,0,MATCH(G$12,'Quikirr Data'!$C$3:$AM$3,0)))*ToC!$E$15/ToC!$E$10)-(G$27)),4),1)</f>
        <v>0</v>
      </c>
      <c r="H131" s="106">
        <f>+IFERROR(ROUND(ABS((SUM(INDEX('Quikirr Data'!$C$4:$AM$103,0,MATCH(H$12,'Quikirr Data'!$C$3:$AM$3,0)))*ToC!$E$15/ToC!$E$10)-(H$27)),4),1)</f>
        <v>0</v>
      </c>
      <c r="I131" s="106">
        <f>+IFERROR(ROUND(ABS((SUM(INDEX('Quikirr Data'!$C$4:$AM$103,0,MATCH(I$12,'Quikirr Data'!$C$3:$AM$3,0)))*ToC!$E$15/ToC!$E$10)-(I$27)),4),1)</f>
        <v>0</v>
      </c>
    </row>
    <row r="132" spans="4:9" x14ac:dyDescent="0.25">
      <c r="D132" s="10" t="s">
        <v>122</v>
      </c>
      <c r="F132" s="106">
        <f>+IFERROR(ROUND(ABS((F$24+F$26)-(F$27)),4),1)</f>
        <v>0</v>
      </c>
      <c r="G132" s="106">
        <f>+IFERROR(ROUND(ABS((G$24+G$26)-(G$27)),4),1)</f>
        <v>0</v>
      </c>
      <c r="H132" s="106">
        <f>+IFERROR(ROUND(ABS((H$24+H$26)-(H$27)),4),1)</f>
        <v>0</v>
      </c>
      <c r="I132" s="106">
        <f>+IFERROR(ROUND(ABS((I$24+I$26)-(I$27)),4),1)</f>
        <v>0</v>
      </c>
    </row>
    <row r="133" spans="4:9" x14ac:dyDescent="0.25">
      <c r="D133" s="10" t="s">
        <v>123</v>
      </c>
      <c r="F133" s="106">
        <f>+IFERROR(ROUND(ABS((SUMIFS(INDEX('Quikirr Data'!$C$4:$AM$103,0,MATCH(F$36,'Quikirr Data'!$C$3:$AM$3,0)),'Quikirr Data'!$NC$4:$NC$103,"&lt;&gt;N/A")*ToC!$E$15/ToC!$E$10)-(F$51)),4),1)</f>
        <v>0</v>
      </c>
      <c r="G133" s="106">
        <f>+IFERROR(ROUND(ABS((SUMIFS(INDEX('Quikirr Data'!$C$4:$AM$103,0,MATCH(G$36,'Quikirr Data'!$C$3:$AM$3,0)),'Quikirr Data'!$NC$4:$NC$103,"&lt;&gt;N/A")*ToC!$E$15/ToC!$E$10)-(G$51)),4),1)</f>
        <v>0</v>
      </c>
      <c r="H133" s="106">
        <f>+IFERROR(ROUND(ABS((SUMIFS(INDEX('Quikirr Data'!$C$4:$AM$103,0,MATCH(H$36,'Quikirr Data'!$C$3:$AM$3,0)),'Quikirr Data'!$NC$4:$NC$103,"&lt;&gt;N/A")*ToC!$E$15/ToC!$E$10)-(H$51)),4),1)</f>
        <v>0</v>
      </c>
      <c r="I133" s="106">
        <f>+IFERROR(ROUND(ABS((SUMIFS(INDEX('Quikirr Data'!$C$4:$AM$103,0,MATCH(I$36,'Quikirr Data'!$C$3:$AM$3,0)),'Quikirr Data'!$NC$4:$NC$103,"&lt;&gt;N/A")*ToC!$E$15/ToC!$E$10)-(I$51)),4),1)</f>
        <v>0</v>
      </c>
    </row>
    <row r="134" spans="4:9" x14ac:dyDescent="0.25">
      <c r="D134" s="10" t="s">
        <v>124</v>
      </c>
      <c r="F134" s="106">
        <f>+IFERROR(ROUND(ABS((F$48+F$50)-(F$51)),4),1)</f>
        <v>0</v>
      </c>
      <c r="G134" s="106">
        <f>+IFERROR(ROUND(ABS((G$48+G$50)-(G$51)),4),1)</f>
        <v>0</v>
      </c>
      <c r="H134" s="106">
        <f>+IFERROR(ROUND(ABS((H$48+H$50)-(H$51)),4),1)</f>
        <v>0</v>
      </c>
      <c r="I134" s="106">
        <f>+IFERROR(ROUND(ABS((I$48+I$50)-(I$51)),4),1)</f>
        <v>0</v>
      </c>
    </row>
    <row r="135" spans="4:9" x14ac:dyDescent="0.25">
      <c r="D135" s="10" t="s">
        <v>125</v>
      </c>
      <c r="F135" s="106">
        <f>+IFERROR(ROUND(ABS((SUMIFS(INDEX('Quikirr Data'!$C$4:$AM$103,0,MATCH(F$60,'Quikirr Data'!$C$3:$AM$3,0)),'Quikirr Data'!$ND$4:$ND$103,"&lt;&gt;N/A")*ToC!$E$15/ToC!$E$10)-(F$75)),4),1)</f>
        <v>0</v>
      </c>
      <c r="G135" s="106">
        <f>+IFERROR(ROUND(ABS((SUMIFS(INDEX('Quikirr Data'!$C$4:$AM$103,0,MATCH(G$60,'Quikirr Data'!$C$3:$AM$3,0)),'Quikirr Data'!$ND$4:$ND$103,"&lt;&gt;N/A")*ToC!$E$15/ToC!$E$10)-(G$75)),4),1)</f>
        <v>0</v>
      </c>
      <c r="H135" s="106">
        <f>+IFERROR(ROUND(ABS((SUMIFS(INDEX('Quikirr Data'!$C$4:$AM$103,0,MATCH(H$60,'Quikirr Data'!$C$3:$AM$3,0)),'Quikirr Data'!$ND$4:$ND$103,"&lt;&gt;N/A")*ToC!$E$15/ToC!$E$10)-(H$75)),4),1)</f>
        <v>0</v>
      </c>
      <c r="I135" s="106">
        <f>+IFERROR(ROUND(ABS((SUMIFS(INDEX('Quikirr Data'!$C$4:$AM$103,0,MATCH(I$60,'Quikirr Data'!$C$3:$AM$3,0)),'Quikirr Data'!$ND$4:$ND$103,"&lt;&gt;N/A")*ToC!$E$15/ToC!$E$10)-(I$75)),4),1)</f>
        <v>0</v>
      </c>
    </row>
    <row r="136" spans="4:9" x14ac:dyDescent="0.25">
      <c r="D136" s="10" t="s">
        <v>126</v>
      </c>
      <c r="F136" s="106">
        <f>+IFERROR(ROUND(ABS((F$72+F$74)-(F$75)),4),1)</f>
        <v>0</v>
      </c>
      <c r="G136" s="106">
        <f>+IFERROR(ROUND(ABS((G$72+G$74)-(G$75)),4),1)</f>
        <v>0</v>
      </c>
      <c r="H136" s="106">
        <f>+IFERROR(ROUND(ABS((H$72+H$74)-(H$75)),4),1)</f>
        <v>0</v>
      </c>
      <c r="I136" s="106">
        <f>+IFERROR(ROUND(ABS((I$72+I$74)-(I$75)),4),1)</f>
        <v>0</v>
      </c>
    </row>
    <row r="137" spans="4:9" x14ac:dyDescent="0.25">
      <c r="D137" s="10" t="s">
        <v>127</v>
      </c>
      <c r="F137" s="106">
        <f>+IFERROR(ROUND(ABS((SUMIFS(INDEX('Quikirr Data'!$C$4:$AM$103,0,MATCH(F$84,'Quikirr Data'!$C$3:$AM$3,0)),'Quikirr Data'!$NE$4:$NE$103,"&lt;&gt;N/A")*ToC!$E$15/ToC!$E$10)-(F$99)),4),1)</f>
        <v>0</v>
      </c>
      <c r="G137" s="106">
        <f>+IFERROR(ROUND(ABS((SUMIFS(INDEX('Quikirr Data'!$C$4:$AM$103,0,MATCH(G$84,'Quikirr Data'!$C$3:$AM$3,0)),'Quikirr Data'!$NE$4:$NE$103,"&lt;&gt;N/A")*ToC!$E$15/ToC!$E$10)-(G$99)),4),1)</f>
        <v>0</v>
      </c>
      <c r="H137" s="106">
        <f>+IFERROR(ROUND(ABS((SUMIFS(INDEX('Quikirr Data'!$C$4:$AM$103,0,MATCH(H$84,'Quikirr Data'!$C$3:$AM$3,0)),'Quikirr Data'!$NE$4:$NE$103,"&lt;&gt;N/A")*ToC!$E$15/ToC!$E$10)-(H$99)),4),1)</f>
        <v>0</v>
      </c>
      <c r="I137" s="106">
        <f>+IFERROR(ROUND(ABS((SUMIFS(INDEX('Quikirr Data'!$C$4:$AM$103,0,MATCH(I$84,'Quikirr Data'!$C$3:$AM$3,0)),'Quikirr Data'!$NE$4:$NE$103,"&lt;&gt;N/A")*ToC!$E$15/ToC!$E$10)-(I$99)),4),1)</f>
        <v>0</v>
      </c>
    </row>
    <row r="138" spans="4:9" x14ac:dyDescent="0.25">
      <c r="D138" s="10" t="s">
        <v>128</v>
      </c>
      <c r="F138" s="106">
        <f>+IFERROR(ROUND(ABS((F$96+F$98)-(F$99)),4),1)</f>
        <v>0</v>
      </c>
      <c r="G138" s="106">
        <f>+IFERROR(ROUND(ABS((G$96+G$98)-(G$99)),4),1)</f>
        <v>0</v>
      </c>
      <c r="H138" s="106">
        <f>+IFERROR(ROUND(ABS((H$96+H$98)-(H$99)),4),1)</f>
        <v>0</v>
      </c>
      <c r="I138" s="106">
        <f>+IFERROR(ROUND(ABS((I$96+I$98)-(I$99)),4),1)</f>
        <v>0</v>
      </c>
    </row>
    <row r="139" spans="4:9" x14ac:dyDescent="0.25">
      <c r="D139" s="10" t="s">
        <v>129</v>
      </c>
      <c r="F139" s="106">
        <f>+IFERROR(ROUND(ABS((SUMIFS(INDEX('Quikirr Data'!$C$4:$AM$103,0,MATCH(F$108,'Quikirr Data'!$C$3:$AM$3,0)),'Quikirr Data'!$NF$4:$NF$103,"&lt;&gt;N/A")*ToC!$E$15/ToC!$E$10)-(F$123)),4),1)</f>
        <v>0</v>
      </c>
      <c r="G139" s="106">
        <f>+IFERROR(ROUND(ABS((SUMIFS(INDEX('Quikirr Data'!$C$4:$AM$103,0,MATCH(G$108,'Quikirr Data'!$C$3:$AM$3,0)),'Quikirr Data'!$NF$4:$NF$103,"&lt;&gt;N/A")*ToC!$E$15/ToC!$E$10)-(G$123)),4),1)</f>
        <v>0</v>
      </c>
      <c r="H139" s="106">
        <f>+IFERROR(ROUND(ABS((SUMIFS(INDEX('Quikirr Data'!$C$4:$AM$103,0,MATCH(H$108,'Quikirr Data'!$C$3:$AM$3,0)),'Quikirr Data'!$NF$4:$NF$103,"&lt;&gt;N/A")*ToC!$E$15/ToC!$E$10)-(H$123)),4),1)</f>
        <v>0</v>
      </c>
      <c r="I139" s="106">
        <f>+IFERROR(ROUND(ABS((SUMIFS(INDEX('Quikirr Data'!$C$4:$AM$103,0,MATCH(I$108,'Quikirr Data'!$C$3:$AM$3,0)),'Quikirr Data'!$NF$4:$NF$103,"&lt;&gt;N/A")*ToC!$E$15/ToC!$E$10)-(I$123)),4),1)</f>
        <v>0</v>
      </c>
    </row>
    <row r="140" spans="4:9" x14ac:dyDescent="0.25">
      <c r="D140" s="10" t="s">
        <v>130</v>
      </c>
      <c r="F140" s="106">
        <f>+IFERROR(ROUND(ABS((F$120+F$122)-(F$123)),4),1)</f>
        <v>0</v>
      </c>
      <c r="G140" s="106">
        <f>+IFERROR(ROUND(ABS((G$120+G$122)-(G$123)),4),1)</f>
        <v>0</v>
      </c>
      <c r="H140" s="106">
        <f>+IFERROR(ROUND(ABS((H$120+H$122)-(H$123)),4),1)</f>
        <v>0</v>
      </c>
      <c r="I140" s="106">
        <f>+IFERROR(ROUND(ABS((I$120+I$122)-(I$123)),4),1)</f>
        <v>0</v>
      </c>
    </row>
  </sheetData>
  <conditionalFormatting sqref="O14:Q23">
    <cfRule type="colorScale" priority="1">
      <colorScale>
        <cfvo type="min"/>
        <cfvo type="num" val="0"/>
        <cfvo type="max"/>
        <color rgb="FFF98B8E"/>
        <color rgb="FFFFF3B9"/>
        <color rgb="FFADDDBA"/>
      </colorScale>
    </cfRule>
  </conditionalFormatting>
  <conditionalFormatting sqref="O38:Q47">
    <cfRule type="colorScale" priority="2">
      <colorScale>
        <cfvo type="min"/>
        <cfvo type="num" val="0"/>
        <cfvo type="max"/>
        <color rgb="FFFFF3B9"/>
        <color rgb="FFFFF3B9"/>
        <color rgb="FFADDDBA"/>
      </colorScale>
    </cfRule>
  </conditionalFormatting>
  <conditionalFormatting sqref="O62:Q71">
    <cfRule type="colorScale" priority="3">
      <colorScale>
        <cfvo type="min"/>
        <cfvo type="num" val="0"/>
        <cfvo type="max"/>
        <color rgb="FFF98B8E"/>
        <color rgb="FFFFF3B9"/>
        <color rgb="FFADDDBA"/>
      </colorScale>
    </cfRule>
  </conditionalFormatting>
  <conditionalFormatting sqref="O86:Q95">
    <cfRule type="colorScale" priority="4">
      <colorScale>
        <cfvo type="min"/>
        <cfvo type="num" val="0"/>
        <cfvo type="max"/>
        <color rgb="FFF98B8E"/>
        <color rgb="FFFFF3B9"/>
        <color rgb="FFADDDBA"/>
      </colorScale>
    </cfRule>
  </conditionalFormatting>
  <conditionalFormatting sqref="O110:Q119">
    <cfRule type="colorScale" priority="5">
      <colorScale>
        <cfvo type="min"/>
        <cfvo type="num" val="0"/>
        <cfvo type="max"/>
        <color rgb="FFF98B8E"/>
        <color rgb="FFFFF3B9"/>
        <color rgb="FFADDDBA"/>
      </colorScale>
    </cfRule>
  </conditionalFormatting>
  <dataValidations count="1">
    <dataValidation type="list" allowBlank="1" showInputMessage="1" showErrorMessage="1" errorTitle="Invalid Date" error="Please select a date from the dropdown list" promptTitle="Select Rank As Of Date" prompt="Choose the date for customer ranking" sqref="C3" xr:uid="{04945B13-9FCA-4E27-81AD-C5B73A0EAE24}">
      <formula1>C4:C7</formula1>
    </dataValidation>
  </dataValidations>
  <pageMargins left="0.7" right="0.7" top="0.75" bottom="0.75" header="0.3" footer="0.3"/>
  <pageSetup scale="30"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053505-F427-4FB1-9ECA-EA2EEAFC9236}">
  <sheetPr>
    <tabColor rgb="FF4B5563"/>
  </sheetPr>
  <dimension ref="A1"/>
  <sheetViews>
    <sheetView showGridLines="0" view="pageBreakPreview" zoomScaleNormal="100" zoomScaleSheetLayoutView="100" workbookViewId="0"/>
  </sheetViews>
  <sheetFormatPr defaultColWidth="8.85546875" defaultRowHeight="13.5" x14ac:dyDescent="0.25"/>
  <cols>
    <col min="1" max="16384" width="8.85546875" style="10"/>
  </cols>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F7ED43-BA6E-45D9-94E7-F749C6F5D852}">
  <dimension ref="A1:NL110"/>
  <sheetViews>
    <sheetView showGridLines="0" workbookViewId="0">
      <pane xSplit="2" ySplit="3" topLeftCell="MH4" activePane="bottomRight" state="frozen"/>
      <selection pane="topRight" activeCell="C1" sqref="C1"/>
      <selection pane="bottomLeft" activeCell="A3" sqref="A3"/>
      <selection pane="bottomRight" activeCell="JW13" sqref="JW13"/>
    </sheetView>
  </sheetViews>
  <sheetFormatPr defaultColWidth="13.85546875" defaultRowHeight="11.25" outlineLevelCol="1" x14ac:dyDescent="0.2"/>
  <cols>
    <col min="1" max="1" width="3.42578125" style="1" customWidth="1"/>
    <col min="2" max="2" width="25.85546875" style="1" customWidth="1"/>
    <col min="3" max="12" width="13.7109375" style="1" customWidth="1"/>
    <col min="13" max="14" width="14.5703125" style="1" customWidth="1"/>
    <col min="15" max="15" width="14.5703125" style="1" bestFit="1" customWidth="1"/>
    <col min="16" max="24" width="13.7109375" style="1" customWidth="1"/>
    <col min="25" max="26" width="14.5703125" style="1" customWidth="1"/>
    <col min="27" max="27" width="14.5703125" style="1" bestFit="1" customWidth="1"/>
    <col min="28" max="36" width="13.7109375" style="1" customWidth="1"/>
    <col min="37" max="39" width="14.5703125" style="1" bestFit="1" customWidth="1"/>
    <col min="40" max="40" width="13.140625" style="1" bestFit="1" customWidth="1"/>
    <col min="41" max="42" width="13.85546875" style="1"/>
    <col min="43" max="54" width="13.85546875" style="1" customWidth="1" outlineLevel="1"/>
    <col min="55" max="57" width="13.85546875" style="1"/>
    <col min="58" max="69" width="13.85546875" style="1" customWidth="1" outlineLevel="1"/>
    <col min="70" max="71" width="13.85546875" style="1"/>
    <col min="72" max="83" width="13.85546875" style="1" customWidth="1" outlineLevel="1"/>
    <col min="84" max="85" width="13.85546875" style="1"/>
    <col min="86" max="97" width="13.85546875" style="1" customWidth="1" outlineLevel="1"/>
    <col min="98" max="99" width="13.85546875" style="1"/>
    <col min="100" max="111" width="13.85546875" style="1" customWidth="1" outlineLevel="1"/>
    <col min="112" max="113" width="13.85546875" style="1"/>
    <col min="114" max="125" width="13.85546875" style="1" customWidth="1" outlineLevel="1"/>
    <col min="126" max="127" width="13.85546875" style="1"/>
    <col min="128" max="139" width="13.85546875" style="1" customWidth="1" outlineLevel="1"/>
    <col min="140" max="141" width="13.85546875" style="1"/>
    <col min="142" max="144" width="13.85546875" style="1" customWidth="1" outlineLevel="1"/>
    <col min="145" max="147" width="13.85546875" style="1"/>
    <col min="148" max="150" width="13.85546875" style="1" customWidth="1" outlineLevel="1"/>
    <col min="151" max="152" width="13.85546875" style="1"/>
    <col min="153" max="155" width="13.85546875" style="1" customWidth="1" outlineLevel="1"/>
    <col min="156" max="157" width="13.85546875" style="1"/>
    <col min="158" max="160" width="13.85546875" style="1" customWidth="1" outlineLevel="1"/>
    <col min="161" max="162" width="13.85546875" style="1"/>
    <col min="163" max="165" width="13.85546875" style="1" customWidth="1" outlineLevel="1"/>
    <col min="166" max="167" width="13.85546875" style="1"/>
    <col min="168" max="170" width="13.85546875" style="1" customWidth="1" outlineLevel="1"/>
    <col min="171" max="172" width="13.85546875" style="1"/>
    <col min="173" max="175" width="13.85546875" style="1" customWidth="1" outlineLevel="1"/>
    <col min="176" max="177" width="13.85546875" style="1"/>
    <col min="178" max="201" width="13.85546875" style="1" hidden="1" customWidth="1" outlineLevel="1"/>
    <col min="202" max="202" width="13.85546875" style="1" collapsed="1"/>
    <col min="203" max="204" width="13.85546875" style="1"/>
    <col min="205" max="228" width="13.85546875" style="1" hidden="1" customWidth="1" outlineLevel="1"/>
    <col min="229" max="229" width="13.85546875" style="1" collapsed="1"/>
    <col min="230" max="230" width="13.85546875" style="1"/>
    <col min="231" max="254" width="13.85546875" style="1" customWidth="1" outlineLevel="1"/>
    <col min="255" max="256" width="13.85546875" style="1"/>
    <col min="257" max="280" width="13.85546875" style="1" customWidth="1" outlineLevel="1"/>
    <col min="281" max="282" width="13.85546875" style="1"/>
    <col min="283" max="306" width="13.85546875" style="1" customWidth="1" outlineLevel="1"/>
    <col min="307" max="308" width="13.85546875" style="1"/>
    <col min="309" max="332" width="13.85546875" style="1" customWidth="1" outlineLevel="1"/>
    <col min="333" max="334" width="13.85546875" style="1"/>
    <col min="335" max="358" width="13.85546875" style="1" customWidth="1" outlineLevel="1"/>
    <col min="359" max="16384" width="13.85546875" style="1"/>
  </cols>
  <sheetData>
    <row r="1" spans="2:376" x14ac:dyDescent="0.2">
      <c r="C1" s="2"/>
      <c r="D1" s="2"/>
      <c r="AP1" s="34" t="s">
        <v>22</v>
      </c>
      <c r="AQ1" s="34"/>
      <c r="AR1" s="34"/>
      <c r="AS1" s="34"/>
      <c r="AT1" s="34"/>
      <c r="AU1" s="34"/>
      <c r="AV1" s="34"/>
      <c r="AW1" s="34"/>
      <c r="AX1" s="34"/>
      <c r="AY1" s="34"/>
      <c r="AZ1" s="34"/>
      <c r="BA1" s="34"/>
      <c r="BB1" s="34"/>
      <c r="BC1" s="34"/>
      <c r="BD1" s="34"/>
      <c r="BE1" s="34"/>
      <c r="BF1" s="34"/>
      <c r="BG1" s="34"/>
      <c r="BH1" s="34"/>
      <c r="BI1" s="34"/>
      <c r="BJ1" s="34"/>
      <c r="BK1" s="34"/>
      <c r="BL1" s="34"/>
      <c r="BM1" s="34"/>
      <c r="BN1" s="34"/>
      <c r="BO1" s="34"/>
      <c r="BP1" s="34"/>
      <c r="BQ1" s="34"/>
      <c r="BR1" s="34"/>
      <c r="BS1" s="34"/>
      <c r="BT1" s="34"/>
      <c r="BU1" s="34"/>
      <c r="BV1" s="34"/>
      <c r="BW1" s="34"/>
      <c r="BX1" s="34"/>
      <c r="BY1" s="34"/>
      <c r="BZ1" s="34"/>
      <c r="CA1" s="34"/>
      <c r="CB1" s="34"/>
      <c r="CC1" s="34"/>
      <c r="CD1" s="34"/>
      <c r="CE1" s="34"/>
      <c r="CF1" s="34"/>
      <c r="CG1" s="34"/>
      <c r="CH1" s="34"/>
      <c r="CI1" s="34"/>
      <c r="CJ1" s="34"/>
      <c r="CK1" s="34"/>
      <c r="CL1" s="34"/>
      <c r="CM1" s="34"/>
      <c r="CN1" s="34"/>
      <c r="CO1" s="34"/>
      <c r="CP1" s="34"/>
      <c r="CQ1" s="34"/>
      <c r="CR1" s="34"/>
      <c r="CS1" s="34"/>
      <c r="CT1" s="34"/>
      <c r="CU1" s="34"/>
      <c r="CV1" s="34"/>
      <c r="CW1" s="34"/>
      <c r="CX1" s="34"/>
      <c r="CY1" s="34"/>
      <c r="CZ1" s="34"/>
      <c r="DA1" s="34"/>
      <c r="DB1" s="34"/>
      <c r="DC1" s="34"/>
      <c r="DD1" s="34"/>
      <c r="DE1" s="34"/>
      <c r="DF1" s="34"/>
      <c r="DG1" s="34"/>
      <c r="DH1" s="34"/>
      <c r="DI1" s="34"/>
      <c r="DJ1" s="34"/>
      <c r="DK1" s="34"/>
      <c r="DL1" s="34"/>
      <c r="DM1" s="34"/>
      <c r="DN1" s="34"/>
      <c r="DO1" s="34"/>
      <c r="DP1" s="34"/>
      <c r="DQ1" s="34"/>
      <c r="DR1" s="34"/>
      <c r="DS1" s="34"/>
      <c r="DT1" s="34"/>
      <c r="DU1" s="34"/>
      <c r="DV1" s="34"/>
      <c r="DW1" s="34"/>
      <c r="DX1" s="34"/>
      <c r="DY1" s="34"/>
      <c r="DZ1" s="34"/>
      <c r="EA1" s="34"/>
      <c r="EB1" s="34"/>
      <c r="EC1" s="34"/>
      <c r="ED1" s="34"/>
      <c r="EE1" s="34"/>
      <c r="EF1" s="34"/>
      <c r="EG1" s="34"/>
      <c r="EH1" s="34"/>
      <c r="EI1" s="34"/>
      <c r="EK1" s="34" t="s">
        <v>26</v>
      </c>
      <c r="EL1" s="34"/>
      <c r="EM1" s="34"/>
      <c r="EN1" s="34"/>
      <c r="EO1" s="34"/>
      <c r="EP1" s="34"/>
      <c r="EQ1" s="34"/>
      <c r="ER1" s="34"/>
      <c r="ES1" s="34"/>
      <c r="ET1" s="34"/>
      <c r="EU1" s="34"/>
      <c r="EV1" s="34"/>
      <c r="EW1" s="34"/>
      <c r="EX1" s="34"/>
      <c r="EY1" s="34"/>
      <c r="EZ1" s="34"/>
      <c r="FA1" s="34"/>
      <c r="FB1" s="34"/>
      <c r="FC1" s="34"/>
      <c r="FD1" s="34"/>
      <c r="FE1" s="34"/>
      <c r="FF1" s="34"/>
      <c r="FG1" s="34"/>
      <c r="FH1" s="34"/>
      <c r="FI1" s="34"/>
      <c r="FJ1" s="34"/>
      <c r="FK1" s="34"/>
      <c r="FL1" s="34"/>
      <c r="FM1" s="34"/>
      <c r="FN1" s="34"/>
      <c r="FO1" s="34"/>
      <c r="FP1" s="34"/>
      <c r="FQ1" s="34"/>
      <c r="FR1" s="34"/>
      <c r="FS1" s="34"/>
      <c r="FU1" s="34" t="s">
        <v>30</v>
      </c>
      <c r="FV1" s="34"/>
      <c r="FW1" s="34"/>
      <c r="FX1" s="34"/>
      <c r="FY1" s="34"/>
      <c r="FZ1" s="34"/>
      <c r="GA1" s="34"/>
      <c r="GB1" s="34"/>
      <c r="GC1" s="34"/>
      <c r="GD1" s="34"/>
      <c r="GE1" s="34"/>
      <c r="GF1" s="34"/>
      <c r="GG1" s="34"/>
      <c r="GH1" s="34"/>
      <c r="GI1" s="34"/>
      <c r="GJ1" s="34"/>
      <c r="GK1" s="34"/>
      <c r="GL1" s="34"/>
      <c r="GM1" s="34"/>
      <c r="GN1" s="34"/>
      <c r="GO1" s="34"/>
      <c r="GP1" s="34"/>
      <c r="GQ1" s="34"/>
      <c r="GR1" s="34"/>
      <c r="GS1" s="34"/>
      <c r="GT1" s="34"/>
      <c r="GU1" s="34"/>
      <c r="GV1" s="34"/>
      <c r="GW1" s="34"/>
      <c r="GX1" s="34"/>
      <c r="GY1" s="34"/>
      <c r="GZ1" s="34"/>
      <c r="HA1" s="34"/>
      <c r="HB1" s="34"/>
      <c r="HC1" s="34"/>
      <c r="HD1" s="34"/>
      <c r="HE1" s="34"/>
      <c r="HF1" s="34"/>
      <c r="HG1" s="34"/>
      <c r="HH1" s="34"/>
      <c r="HI1" s="34"/>
      <c r="HJ1" s="34"/>
      <c r="HK1" s="34"/>
      <c r="HL1" s="34"/>
      <c r="HM1" s="34"/>
      <c r="HN1" s="34"/>
      <c r="HO1" s="34"/>
      <c r="HP1" s="34"/>
      <c r="HQ1" s="34"/>
      <c r="HR1" s="34"/>
      <c r="HS1" s="34"/>
      <c r="HT1" s="34"/>
      <c r="HU1" s="34"/>
      <c r="HV1" s="34"/>
      <c r="HW1" s="34"/>
      <c r="HX1" s="34"/>
      <c r="HY1" s="34"/>
      <c r="HZ1" s="34"/>
      <c r="IA1" s="34"/>
      <c r="IB1" s="34"/>
      <c r="IC1" s="34"/>
      <c r="ID1" s="34"/>
      <c r="IE1" s="34"/>
      <c r="IF1" s="34"/>
      <c r="IG1" s="34"/>
      <c r="IH1" s="34"/>
      <c r="II1" s="34"/>
      <c r="IJ1" s="34"/>
      <c r="IK1" s="34"/>
      <c r="IL1" s="34"/>
      <c r="IM1" s="34"/>
      <c r="IN1" s="34"/>
      <c r="IO1" s="34"/>
      <c r="IP1" s="34"/>
      <c r="IQ1" s="34"/>
      <c r="IR1" s="34"/>
      <c r="IS1" s="34"/>
      <c r="IT1" s="34"/>
      <c r="IU1" s="34"/>
      <c r="IV1" s="34"/>
      <c r="IW1" s="34"/>
      <c r="IX1" s="34"/>
      <c r="IY1" s="34"/>
      <c r="IZ1" s="34"/>
      <c r="JA1" s="34"/>
      <c r="JB1" s="34"/>
      <c r="JC1" s="34"/>
      <c r="JD1" s="34"/>
      <c r="JE1" s="34"/>
      <c r="JF1" s="34"/>
      <c r="JG1" s="34"/>
      <c r="JH1" s="34"/>
      <c r="JI1" s="34"/>
      <c r="JJ1" s="34"/>
      <c r="JK1" s="34"/>
      <c r="JL1" s="34"/>
      <c r="JM1" s="34"/>
      <c r="JN1" s="34"/>
      <c r="JO1" s="34"/>
      <c r="JP1" s="34"/>
      <c r="JQ1" s="34"/>
      <c r="JR1" s="34"/>
      <c r="JS1" s="34"/>
      <c r="JT1" s="34"/>
      <c r="JU1" s="34"/>
      <c r="JV1" s="34"/>
      <c r="JW1" s="34"/>
      <c r="JX1" s="34"/>
      <c r="JY1" s="34"/>
      <c r="JZ1" s="34"/>
      <c r="KA1" s="34"/>
      <c r="KB1" s="34"/>
      <c r="KC1" s="34"/>
      <c r="KD1" s="34"/>
      <c r="KE1" s="34"/>
      <c r="KF1" s="34"/>
      <c r="KG1" s="34"/>
      <c r="KH1" s="34"/>
      <c r="KI1" s="34"/>
      <c r="KJ1" s="34"/>
      <c r="KK1" s="34"/>
      <c r="KL1" s="34"/>
      <c r="KM1" s="34"/>
      <c r="KN1" s="34"/>
      <c r="KO1" s="34"/>
      <c r="KP1" s="34"/>
      <c r="KQ1" s="34"/>
      <c r="KR1" s="34"/>
      <c r="KS1" s="34"/>
      <c r="KT1" s="34"/>
      <c r="KU1" s="34"/>
      <c r="KV1" s="34"/>
      <c r="KW1" s="34"/>
      <c r="KX1" s="34"/>
      <c r="KY1" s="34"/>
      <c r="KZ1" s="34"/>
      <c r="LA1" s="34"/>
      <c r="LB1" s="34"/>
      <c r="LC1" s="34"/>
      <c r="LD1" s="34"/>
      <c r="LE1" s="34"/>
      <c r="LF1" s="34"/>
      <c r="LG1" s="34"/>
      <c r="LH1" s="34"/>
      <c r="LI1" s="34"/>
      <c r="LJ1" s="34"/>
      <c r="LK1" s="34"/>
      <c r="LL1" s="34"/>
      <c r="LM1" s="34"/>
      <c r="LN1" s="34"/>
      <c r="LO1" s="34"/>
      <c r="LP1" s="34"/>
      <c r="LQ1" s="34"/>
      <c r="LR1" s="34"/>
      <c r="LS1" s="34"/>
      <c r="LT1" s="34"/>
      <c r="LU1" s="34"/>
      <c r="LV1" s="34"/>
      <c r="LW1" s="34"/>
      <c r="LX1" s="34"/>
      <c r="LY1" s="34"/>
      <c r="LZ1" s="34"/>
      <c r="MA1" s="34"/>
      <c r="MB1" s="34"/>
      <c r="MC1" s="34"/>
      <c r="MD1" s="34"/>
      <c r="ME1" s="34"/>
      <c r="MF1" s="34"/>
      <c r="MG1" s="34"/>
      <c r="MH1" s="34"/>
      <c r="MI1" s="34"/>
      <c r="MJ1" s="34"/>
      <c r="MK1" s="34"/>
      <c r="ML1" s="34"/>
      <c r="MM1" s="34"/>
      <c r="MN1" s="34"/>
      <c r="MO1" s="34"/>
      <c r="MP1" s="34"/>
      <c r="MQ1" s="34"/>
      <c r="MR1" s="34"/>
      <c r="MS1" s="34"/>
      <c r="MT1" s="34"/>
      <c r="MV1" s="34" t="s">
        <v>31</v>
      </c>
      <c r="MW1" s="34"/>
      <c r="MX1" s="34"/>
      <c r="MY1" s="34"/>
      <c r="MZ1" s="34"/>
      <c r="NA1" s="34"/>
      <c r="NB1" s="34"/>
      <c r="NC1" s="34"/>
      <c r="ND1" s="34"/>
      <c r="NE1" s="34"/>
      <c r="NF1" s="34"/>
    </row>
    <row r="2" spans="2:376" x14ac:dyDescent="0.2">
      <c r="C2" s="2"/>
      <c r="D2" s="2"/>
      <c r="AP2" s="29" t="s">
        <v>14</v>
      </c>
      <c r="AQ2" s="30"/>
      <c r="AR2" s="30"/>
      <c r="AS2" s="30"/>
      <c r="AT2" s="30"/>
      <c r="AU2" s="30"/>
      <c r="AV2" s="30"/>
      <c r="AW2" s="30"/>
      <c r="AX2" s="30"/>
      <c r="AY2" s="30"/>
      <c r="AZ2" s="30"/>
      <c r="BA2" s="30"/>
      <c r="BB2" s="30"/>
      <c r="BE2" s="29" t="s">
        <v>16</v>
      </c>
      <c r="BF2" s="30"/>
      <c r="BG2" s="30"/>
      <c r="BH2" s="30"/>
      <c r="BI2" s="30"/>
      <c r="BJ2" s="30"/>
      <c r="BK2" s="30"/>
      <c r="BL2" s="30"/>
      <c r="BM2" s="30"/>
      <c r="BN2" s="30"/>
      <c r="BO2" s="30"/>
      <c r="BP2" s="30"/>
      <c r="BQ2" s="30"/>
      <c r="BS2" s="32" t="s">
        <v>17</v>
      </c>
      <c r="BT2" s="32" t="s">
        <v>17</v>
      </c>
      <c r="BU2" s="32" t="s">
        <v>17</v>
      </c>
      <c r="BV2" s="32" t="s">
        <v>17</v>
      </c>
      <c r="BW2" s="32" t="s">
        <v>17</v>
      </c>
      <c r="BX2" s="32" t="s">
        <v>17</v>
      </c>
      <c r="BY2" s="32" t="s">
        <v>17</v>
      </c>
      <c r="BZ2" s="32" t="s">
        <v>17</v>
      </c>
      <c r="CA2" s="32" t="s">
        <v>17</v>
      </c>
      <c r="CB2" s="32" t="s">
        <v>17</v>
      </c>
      <c r="CC2" s="32" t="s">
        <v>17</v>
      </c>
      <c r="CD2" s="32" t="s">
        <v>17</v>
      </c>
      <c r="CE2" s="32" t="s">
        <v>17</v>
      </c>
      <c r="CG2" s="32" t="s">
        <v>18</v>
      </c>
      <c r="CH2" s="32" t="s">
        <v>18</v>
      </c>
      <c r="CI2" s="32" t="s">
        <v>18</v>
      </c>
      <c r="CJ2" s="32" t="s">
        <v>18</v>
      </c>
      <c r="CK2" s="32" t="s">
        <v>18</v>
      </c>
      <c r="CL2" s="32" t="s">
        <v>18</v>
      </c>
      <c r="CM2" s="32" t="s">
        <v>18</v>
      </c>
      <c r="CN2" s="32" t="s">
        <v>18</v>
      </c>
      <c r="CO2" s="32" t="s">
        <v>18</v>
      </c>
      <c r="CP2" s="32" t="s">
        <v>18</v>
      </c>
      <c r="CQ2" s="32" t="s">
        <v>18</v>
      </c>
      <c r="CR2" s="32" t="s">
        <v>18</v>
      </c>
      <c r="CS2" s="32" t="s">
        <v>18</v>
      </c>
      <c r="CU2" s="32" t="s">
        <v>19</v>
      </c>
      <c r="CV2" s="32" t="s">
        <v>19</v>
      </c>
      <c r="CW2" s="32" t="s">
        <v>19</v>
      </c>
      <c r="CX2" s="32" t="s">
        <v>19</v>
      </c>
      <c r="CY2" s="32" t="s">
        <v>19</v>
      </c>
      <c r="CZ2" s="32" t="s">
        <v>19</v>
      </c>
      <c r="DA2" s="32" t="s">
        <v>19</v>
      </c>
      <c r="DB2" s="32" t="s">
        <v>19</v>
      </c>
      <c r="DC2" s="32" t="s">
        <v>19</v>
      </c>
      <c r="DD2" s="32" t="s">
        <v>19</v>
      </c>
      <c r="DE2" s="32" t="s">
        <v>19</v>
      </c>
      <c r="DF2" s="32" t="s">
        <v>19</v>
      </c>
      <c r="DG2" s="32" t="s">
        <v>19</v>
      </c>
      <c r="DI2" s="32" t="s">
        <v>20</v>
      </c>
      <c r="DJ2" s="32" t="s">
        <v>20</v>
      </c>
      <c r="DK2" s="32" t="s">
        <v>20</v>
      </c>
      <c r="DL2" s="32" t="s">
        <v>20</v>
      </c>
      <c r="DM2" s="32" t="s">
        <v>20</v>
      </c>
      <c r="DN2" s="32" t="s">
        <v>20</v>
      </c>
      <c r="DO2" s="32" t="s">
        <v>20</v>
      </c>
      <c r="DP2" s="32" t="s">
        <v>20</v>
      </c>
      <c r="DQ2" s="32" t="s">
        <v>20</v>
      </c>
      <c r="DR2" s="32" t="s">
        <v>20</v>
      </c>
      <c r="DS2" s="32" t="s">
        <v>20</v>
      </c>
      <c r="DT2" s="32" t="s">
        <v>20</v>
      </c>
      <c r="DU2" s="32" t="s">
        <v>20</v>
      </c>
      <c r="DW2" s="32" t="s">
        <v>21</v>
      </c>
      <c r="DX2" s="32" t="s">
        <v>21</v>
      </c>
      <c r="DY2" s="32" t="s">
        <v>21</v>
      </c>
      <c r="DZ2" s="32" t="s">
        <v>21</v>
      </c>
      <c r="EA2" s="32" t="s">
        <v>21</v>
      </c>
      <c r="EB2" s="32" t="s">
        <v>21</v>
      </c>
      <c r="EC2" s="32" t="s">
        <v>21</v>
      </c>
      <c r="ED2" s="32" t="s">
        <v>21</v>
      </c>
      <c r="EE2" s="32" t="s">
        <v>21</v>
      </c>
      <c r="EF2" s="32" t="s">
        <v>21</v>
      </c>
      <c r="EG2" s="32" t="s">
        <v>21</v>
      </c>
      <c r="EH2" s="32" t="s">
        <v>21</v>
      </c>
      <c r="EI2" s="32" t="s">
        <v>21</v>
      </c>
      <c r="EK2" s="29" t="s">
        <v>23</v>
      </c>
      <c r="EL2" s="30"/>
      <c r="EM2" s="30"/>
      <c r="EN2" s="30"/>
      <c r="EQ2" s="29" t="s">
        <v>25</v>
      </c>
      <c r="ER2" s="30"/>
      <c r="ES2" s="30"/>
      <c r="ET2" s="30"/>
      <c r="EV2" s="32" t="s">
        <v>17</v>
      </c>
      <c r="EW2" s="32" t="s">
        <v>17</v>
      </c>
      <c r="EX2" s="32" t="s">
        <v>17</v>
      </c>
      <c r="EY2" s="32" t="s">
        <v>17</v>
      </c>
      <c r="FA2" s="32" t="s">
        <v>18</v>
      </c>
      <c r="FB2" s="32" t="s">
        <v>18</v>
      </c>
      <c r="FC2" s="32" t="s">
        <v>18</v>
      </c>
      <c r="FD2" s="32" t="s">
        <v>18</v>
      </c>
      <c r="FF2" s="32" t="s">
        <v>19</v>
      </c>
      <c r="FG2" s="32" t="s">
        <v>19</v>
      </c>
      <c r="FH2" s="32" t="s">
        <v>19</v>
      </c>
      <c r="FI2" s="32" t="s">
        <v>19</v>
      </c>
      <c r="FK2" s="32" t="s">
        <v>20</v>
      </c>
      <c r="FL2" s="32" t="s">
        <v>20</v>
      </c>
      <c r="FM2" s="32" t="s">
        <v>20</v>
      </c>
      <c r="FN2" s="32" t="s">
        <v>20</v>
      </c>
      <c r="FP2" s="32" t="s">
        <v>21</v>
      </c>
      <c r="FQ2" s="32" t="s">
        <v>21</v>
      </c>
      <c r="FR2" s="32" t="s">
        <v>21</v>
      </c>
      <c r="FS2" s="32" t="s">
        <v>21</v>
      </c>
      <c r="FU2" s="29" t="s">
        <v>27</v>
      </c>
      <c r="FV2" s="30"/>
      <c r="FW2" s="30"/>
      <c r="FX2" s="30"/>
      <c r="FY2" s="30"/>
      <c r="FZ2" s="30"/>
      <c r="GA2" s="30"/>
      <c r="GB2" s="30"/>
      <c r="GC2" s="30"/>
      <c r="GD2" s="30"/>
      <c r="GE2" s="30"/>
      <c r="GF2" s="30"/>
      <c r="GG2" s="30"/>
      <c r="GH2" s="30"/>
      <c r="GI2" s="30"/>
      <c r="GJ2" s="30"/>
      <c r="GK2" s="30"/>
      <c r="GL2" s="30"/>
      <c r="GM2" s="30"/>
      <c r="GN2" s="30"/>
      <c r="GO2" s="30"/>
      <c r="GP2" s="30"/>
      <c r="GQ2" s="30"/>
      <c r="GR2" s="30"/>
      <c r="GS2" s="30"/>
      <c r="GV2" s="29" t="s">
        <v>29</v>
      </c>
      <c r="GW2" s="30"/>
      <c r="GX2" s="30"/>
      <c r="GY2" s="30"/>
      <c r="GZ2" s="30"/>
      <c r="HA2" s="30"/>
      <c r="HB2" s="30"/>
      <c r="HC2" s="30"/>
      <c r="HD2" s="30"/>
      <c r="HE2" s="30"/>
      <c r="HF2" s="30"/>
      <c r="HG2" s="30"/>
      <c r="HH2" s="30"/>
      <c r="HI2" s="30"/>
      <c r="HJ2" s="30"/>
      <c r="HK2" s="30"/>
      <c r="HL2" s="30"/>
      <c r="HM2" s="30"/>
      <c r="HN2" s="30"/>
      <c r="HO2" s="30"/>
      <c r="HP2" s="30"/>
      <c r="HQ2" s="30"/>
      <c r="HR2" s="30"/>
      <c r="HS2" s="30"/>
      <c r="HT2" s="30"/>
      <c r="HV2" s="32" t="s">
        <v>17</v>
      </c>
      <c r="HW2" s="32" t="s">
        <v>17</v>
      </c>
      <c r="HX2" s="32" t="s">
        <v>17</v>
      </c>
      <c r="HY2" s="32" t="s">
        <v>17</v>
      </c>
      <c r="HZ2" s="32" t="s">
        <v>17</v>
      </c>
      <c r="IA2" s="32" t="s">
        <v>17</v>
      </c>
      <c r="IB2" s="32" t="s">
        <v>17</v>
      </c>
      <c r="IC2" s="32" t="s">
        <v>17</v>
      </c>
      <c r="ID2" s="32" t="s">
        <v>17</v>
      </c>
      <c r="IE2" s="32" t="s">
        <v>17</v>
      </c>
      <c r="IF2" s="32" t="s">
        <v>17</v>
      </c>
      <c r="IG2" s="32" t="s">
        <v>17</v>
      </c>
      <c r="IH2" s="32" t="s">
        <v>17</v>
      </c>
      <c r="II2" s="32" t="s">
        <v>17</v>
      </c>
      <c r="IJ2" s="32" t="s">
        <v>17</v>
      </c>
      <c r="IK2" s="32" t="s">
        <v>17</v>
      </c>
      <c r="IL2" s="32" t="s">
        <v>17</v>
      </c>
      <c r="IM2" s="32" t="s">
        <v>17</v>
      </c>
      <c r="IN2" s="32" t="s">
        <v>17</v>
      </c>
      <c r="IO2" s="32" t="s">
        <v>17</v>
      </c>
      <c r="IP2" s="32" t="s">
        <v>17</v>
      </c>
      <c r="IQ2" s="32" t="s">
        <v>17</v>
      </c>
      <c r="IR2" s="32" t="s">
        <v>17</v>
      </c>
      <c r="IS2" s="32" t="s">
        <v>17</v>
      </c>
      <c r="IT2" s="32" t="s">
        <v>17</v>
      </c>
      <c r="IV2" s="32" t="s">
        <v>18</v>
      </c>
      <c r="IW2" s="32" t="s">
        <v>18</v>
      </c>
      <c r="IX2" s="32" t="s">
        <v>18</v>
      </c>
      <c r="IY2" s="32" t="s">
        <v>18</v>
      </c>
      <c r="IZ2" s="32" t="s">
        <v>18</v>
      </c>
      <c r="JA2" s="32" t="s">
        <v>18</v>
      </c>
      <c r="JB2" s="32" t="s">
        <v>18</v>
      </c>
      <c r="JC2" s="32" t="s">
        <v>18</v>
      </c>
      <c r="JD2" s="32" t="s">
        <v>18</v>
      </c>
      <c r="JE2" s="32" t="s">
        <v>18</v>
      </c>
      <c r="JF2" s="32" t="s">
        <v>18</v>
      </c>
      <c r="JG2" s="32" t="s">
        <v>18</v>
      </c>
      <c r="JH2" s="32" t="s">
        <v>18</v>
      </c>
      <c r="JI2" s="32" t="s">
        <v>18</v>
      </c>
      <c r="JJ2" s="32" t="s">
        <v>18</v>
      </c>
      <c r="JK2" s="32" t="s">
        <v>18</v>
      </c>
      <c r="JL2" s="32" t="s">
        <v>18</v>
      </c>
      <c r="JM2" s="32" t="s">
        <v>18</v>
      </c>
      <c r="JN2" s="32" t="s">
        <v>18</v>
      </c>
      <c r="JO2" s="32" t="s">
        <v>18</v>
      </c>
      <c r="JP2" s="32" t="s">
        <v>18</v>
      </c>
      <c r="JQ2" s="32" t="s">
        <v>18</v>
      </c>
      <c r="JR2" s="32" t="s">
        <v>18</v>
      </c>
      <c r="JS2" s="32" t="s">
        <v>18</v>
      </c>
      <c r="JT2" s="32" t="s">
        <v>18</v>
      </c>
      <c r="JV2" s="32" t="s">
        <v>19</v>
      </c>
      <c r="JW2" s="32" t="s">
        <v>19</v>
      </c>
      <c r="JX2" s="32" t="s">
        <v>19</v>
      </c>
      <c r="JY2" s="32" t="s">
        <v>19</v>
      </c>
      <c r="JZ2" s="32" t="s">
        <v>19</v>
      </c>
      <c r="KA2" s="32" t="s">
        <v>19</v>
      </c>
      <c r="KB2" s="32" t="s">
        <v>19</v>
      </c>
      <c r="KC2" s="32" t="s">
        <v>19</v>
      </c>
      <c r="KD2" s="32" t="s">
        <v>19</v>
      </c>
      <c r="KE2" s="32" t="s">
        <v>19</v>
      </c>
      <c r="KF2" s="32" t="s">
        <v>19</v>
      </c>
      <c r="KG2" s="32" t="s">
        <v>19</v>
      </c>
      <c r="KH2" s="32" t="s">
        <v>19</v>
      </c>
      <c r="KI2" s="32" t="s">
        <v>19</v>
      </c>
      <c r="KJ2" s="32" t="s">
        <v>19</v>
      </c>
      <c r="KK2" s="32" t="s">
        <v>19</v>
      </c>
      <c r="KL2" s="32" t="s">
        <v>19</v>
      </c>
      <c r="KM2" s="32" t="s">
        <v>19</v>
      </c>
      <c r="KN2" s="32" t="s">
        <v>19</v>
      </c>
      <c r="KO2" s="32" t="s">
        <v>19</v>
      </c>
      <c r="KP2" s="32" t="s">
        <v>19</v>
      </c>
      <c r="KQ2" s="32" t="s">
        <v>19</v>
      </c>
      <c r="KR2" s="32" t="s">
        <v>19</v>
      </c>
      <c r="KS2" s="32" t="s">
        <v>19</v>
      </c>
      <c r="KT2" s="32" t="s">
        <v>19</v>
      </c>
      <c r="KV2" s="32" t="s">
        <v>20</v>
      </c>
      <c r="KW2" s="32" t="s">
        <v>20</v>
      </c>
      <c r="KX2" s="32" t="s">
        <v>20</v>
      </c>
      <c r="KY2" s="32" t="s">
        <v>20</v>
      </c>
      <c r="KZ2" s="32" t="s">
        <v>20</v>
      </c>
      <c r="LA2" s="32" t="s">
        <v>20</v>
      </c>
      <c r="LB2" s="32" t="s">
        <v>20</v>
      </c>
      <c r="LC2" s="32" t="s">
        <v>20</v>
      </c>
      <c r="LD2" s="32" t="s">
        <v>20</v>
      </c>
      <c r="LE2" s="32" t="s">
        <v>20</v>
      </c>
      <c r="LF2" s="32" t="s">
        <v>20</v>
      </c>
      <c r="LG2" s="32" t="s">
        <v>20</v>
      </c>
      <c r="LH2" s="32" t="s">
        <v>20</v>
      </c>
      <c r="LI2" s="32" t="s">
        <v>20</v>
      </c>
      <c r="LJ2" s="32" t="s">
        <v>20</v>
      </c>
      <c r="LK2" s="32" t="s">
        <v>20</v>
      </c>
      <c r="LL2" s="32" t="s">
        <v>20</v>
      </c>
      <c r="LM2" s="32" t="s">
        <v>20</v>
      </c>
      <c r="LN2" s="32" t="s">
        <v>20</v>
      </c>
      <c r="LO2" s="32" t="s">
        <v>20</v>
      </c>
      <c r="LP2" s="32" t="s">
        <v>20</v>
      </c>
      <c r="LQ2" s="32" t="s">
        <v>20</v>
      </c>
      <c r="LR2" s="32" t="s">
        <v>20</v>
      </c>
      <c r="LS2" s="32" t="s">
        <v>20</v>
      </c>
      <c r="LT2" s="32" t="s">
        <v>20</v>
      </c>
      <c r="LV2" s="32" t="s">
        <v>21</v>
      </c>
      <c r="LW2" s="32" t="s">
        <v>21</v>
      </c>
      <c r="LX2" s="32" t="s">
        <v>21</v>
      </c>
      <c r="LY2" s="32" t="s">
        <v>21</v>
      </c>
      <c r="LZ2" s="32" t="s">
        <v>21</v>
      </c>
      <c r="MA2" s="32" t="s">
        <v>21</v>
      </c>
      <c r="MB2" s="32" t="s">
        <v>21</v>
      </c>
      <c r="MC2" s="32" t="s">
        <v>21</v>
      </c>
      <c r="MD2" s="32" t="s">
        <v>21</v>
      </c>
      <c r="ME2" s="32" t="s">
        <v>21</v>
      </c>
      <c r="MF2" s="32" t="s">
        <v>21</v>
      </c>
      <c r="MG2" s="32" t="s">
        <v>21</v>
      </c>
      <c r="MH2" s="32" t="s">
        <v>21</v>
      </c>
      <c r="MI2" s="32" t="s">
        <v>21</v>
      </c>
      <c r="MJ2" s="32" t="s">
        <v>21</v>
      </c>
      <c r="MK2" s="32" t="s">
        <v>21</v>
      </c>
      <c r="ML2" s="32" t="s">
        <v>21</v>
      </c>
      <c r="MM2" s="32" t="s">
        <v>21</v>
      </c>
      <c r="MN2" s="32" t="s">
        <v>21</v>
      </c>
      <c r="MO2" s="32" t="s">
        <v>21</v>
      </c>
      <c r="MP2" s="32" t="s">
        <v>21</v>
      </c>
      <c r="MQ2" s="32" t="s">
        <v>21</v>
      </c>
      <c r="MR2" s="32" t="s">
        <v>21</v>
      </c>
      <c r="MS2" s="32" t="s">
        <v>21</v>
      </c>
      <c r="MT2" s="32" t="s">
        <v>21</v>
      </c>
      <c r="MV2" s="29" t="s">
        <v>32</v>
      </c>
      <c r="MW2" s="29"/>
      <c r="MX2" s="29"/>
      <c r="MY2" s="29"/>
      <c r="MZ2" s="29"/>
      <c r="NB2" s="29" t="s">
        <v>33</v>
      </c>
      <c r="NC2" s="29"/>
      <c r="ND2" s="29"/>
      <c r="NE2" s="29"/>
      <c r="NF2" s="29"/>
      <c r="NG2" s="116" t="s">
        <v>139</v>
      </c>
      <c r="NH2" s="32" t="s">
        <v>34</v>
      </c>
      <c r="NI2" s="32" t="s">
        <v>17</v>
      </c>
      <c r="NJ2" s="32" t="s">
        <v>20</v>
      </c>
      <c r="NK2" s="32" t="s">
        <v>19</v>
      </c>
      <c r="NL2" s="32" t="s">
        <v>18</v>
      </c>
    </row>
    <row r="3" spans="2:376" x14ac:dyDescent="0.2">
      <c r="B3" s="3" t="s">
        <v>0</v>
      </c>
      <c r="C3" s="4">
        <v>44926</v>
      </c>
      <c r="D3" s="5">
        <f>EOMONTH(C3,1)</f>
        <v>44957</v>
      </c>
      <c r="E3" s="5">
        <f t="shared" ref="E3:AM3" si="0">EOMONTH(D3,1)</f>
        <v>44985</v>
      </c>
      <c r="F3" s="5">
        <f t="shared" si="0"/>
        <v>45016</v>
      </c>
      <c r="G3" s="5">
        <f t="shared" si="0"/>
        <v>45046</v>
      </c>
      <c r="H3" s="5">
        <f t="shared" si="0"/>
        <v>45077</v>
      </c>
      <c r="I3" s="5">
        <f t="shared" si="0"/>
        <v>45107</v>
      </c>
      <c r="J3" s="5">
        <f t="shared" si="0"/>
        <v>45138</v>
      </c>
      <c r="K3" s="5">
        <f t="shared" si="0"/>
        <v>45169</v>
      </c>
      <c r="L3" s="5">
        <f t="shared" si="0"/>
        <v>45199</v>
      </c>
      <c r="M3" s="5">
        <f t="shared" si="0"/>
        <v>45230</v>
      </c>
      <c r="N3" s="5">
        <f t="shared" si="0"/>
        <v>45260</v>
      </c>
      <c r="O3" s="5">
        <f t="shared" si="0"/>
        <v>45291</v>
      </c>
      <c r="P3" s="5">
        <f t="shared" si="0"/>
        <v>45322</v>
      </c>
      <c r="Q3" s="5">
        <f t="shared" si="0"/>
        <v>45351</v>
      </c>
      <c r="R3" s="5">
        <f t="shared" si="0"/>
        <v>45382</v>
      </c>
      <c r="S3" s="5">
        <f t="shared" si="0"/>
        <v>45412</v>
      </c>
      <c r="T3" s="5">
        <f t="shared" si="0"/>
        <v>45443</v>
      </c>
      <c r="U3" s="5">
        <f t="shared" si="0"/>
        <v>45473</v>
      </c>
      <c r="V3" s="5">
        <f t="shared" si="0"/>
        <v>45504</v>
      </c>
      <c r="W3" s="5">
        <f t="shared" si="0"/>
        <v>45535</v>
      </c>
      <c r="X3" s="5">
        <f t="shared" si="0"/>
        <v>45565</v>
      </c>
      <c r="Y3" s="5">
        <f t="shared" si="0"/>
        <v>45596</v>
      </c>
      <c r="Z3" s="5">
        <f t="shared" si="0"/>
        <v>45626</v>
      </c>
      <c r="AA3" s="5">
        <f t="shared" si="0"/>
        <v>45657</v>
      </c>
      <c r="AB3" s="5">
        <f t="shared" si="0"/>
        <v>45688</v>
      </c>
      <c r="AC3" s="5">
        <f t="shared" si="0"/>
        <v>45716</v>
      </c>
      <c r="AD3" s="5">
        <f t="shared" si="0"/>
        <v>45747</v>
      </c>
      <c r="AE3" s="5">
        <f t="shared" si="0"/>
        <v>45777</v>
      </c>
      <c r="AF3" s="5">
        <f t="shared" si="0"/>
        <v>45808</v>
      </c>
      <c r="AG3" s="5">
        <f t="shared" si="0"/>
        <v>45838</v>
      </c>
      <c r="AH3" s="5">
        <f t="shared" si="0"/>
        <v>45869</v>
      </c>
      <c r="AI3" s="5">
        <f t="shared" si="0"/>
        <v>45900</v>
      </c>
      <c r="AJ3" s="5">
        <f t="shared" si="0"/>
        <v>45930</v>
      </c>
      <c r="AK3" s="5">
        <f t="shared" si="0"/>
        <v>45961</v>
      </c>
      <c r="AL3" s="5">
        <f t="shared" si="0"/>
        <v>45991</v>
      </c>
      <c r="AM3" s="5">
        <f t="shared" si="0"/>
        <v>46022</v>
      </c>
      <c r="AN3" s="26" t="s">
        <v>13</v>
      </c>
      <c r="AP3" s="31">
        <v>44926</v>
      </c>
      <c r="AQ3" s="31">
        <v>45016</v>
      </c>
      <c r="AR3" s="31">
        <v>45107</v>
      </c>
      <c r="AS3" s="31">
        <v>45199</v>
      </c>
      <c r="AT3" s="31">
        <v>45291</v>
      </c>
      <c r="AU3" s="31">
        <v>45382</v>
      </c>
      <c r="AV3" s="31">
        <v>45473</v>
      </c>
      <c r="AW3" s="31">
        <v>45565</v>
      </c>
      <c r="AX3" s="31">
        <v>45657</v>
      </c>
      <c r="AY3" s="31">
        <v>45747</v>
      </c>
      <c r="AZ3" s="31">
        <v>45838</v>
      </c>
      <c r="BA3" s="31">
        <v>45930</v>
      </c>
      <c r="BB3" s="31">
        <v>46022</v>
      </c>
      <c r="BD3" s="32" t="s">
        <v>15</v>
      </c>
      <c r="BE3" s="33">
        <f t="shared" ref="BE3:BQ3" si="1">+AP3</f>
        <v>44926</v>
      </c>
      <c r="BF3" s="33">
        <f t="shared" si="1"/>
        <v>45016</v>
      </c>
      <c r="BG3" s="33">
        <f t="shared" si="1"/>
        <v>45107</v>
      </c>
      <c r="BH3" s="33">
        <f t="shared" si="1"/>
        <v>45199</v>
      </c>
      <c r="BI3" s="33">
        <f t="shared" si="1"/>
        <v>45291</v>
      </c>
      <c r="BJ3" s="33">
        <f t="shared" si="1"/>
        <v>45382</v>
      </c>
      <c r="BK3" s="33">
        <f t="shared" si="1"/>
        <v>45473</v>
      </c>
      <c r="BL3" s="33">
        <f t="shared" si="1"/>
        <v>45565</v>
      </c>
      <c r="BM3" s="33">
        <f t="shared" si="1"/>
        <v>45657</v>
      </c>
      <c r="BN3" s="33">
        <f t="shared" si="1"/>
        <v>45747</v>
      </c>
      <c r="BO3" s="33">
        <f t="shared" si="1"/>
        <v>45838</v>
      </c>
      <c r="BP3" s="33">
        <f t="shared" si="1"/>
        <v>45930</v>
      </c>
      <c r="BQ3" s="33">
        <f t="shared" si="1"/>
        <v>46022</v>
      </c>
      <c r="BS3" s="33">
        <f t="shared" ref="BS3:CE3" si="2">+AP3</f>
        <v>44926</v>
      </c>
      <c r="BT3" s="33">
        <f t="shared" si="2"/>
        <v>45016</v>
      </c>
      <c r="BU3" s="33">
        <f t="shared" si="2"/>
        <v>45107</v>
      </c>
      <c r="BV3" s="33">
        <f t="shared" si="2"/>
        <v>45199</v>
      </c>
      <c r="BW3" s="33">
        <f t="shared" si="2"/>
        <v>45291</v>
      </c>
      <c r="BX3" s="33">
        <f t="shared" si="2"/>
        <v>45382</v>
      </c>
      <c r="BY3" s="33">
        <f t="shared" si="2"/>
        <v>45473</v>
      </c>
      <c r="BZ3" s="33">
        <f t="shared" si="2"/>
        <v>45565</v>
      </c>
      <c r="CA3" s="33">
        <f t="shared" si="2"/>
        <v>45657</v>
      </c>
      <c r="CB3" s="33">
        <f t="shared" si="2"/>
        <v>45747</v>
      </c>
      <c r="CC3" s="33">
        <f t="shared" si="2"/>
        <v>45838</v>
      </c>
      <c r="CD3" s="33">
        <f t="shared" si="2"/>
        <v>45930</v>
      </c>
      <c r="CE3" s="33">
        <f t="shared" si="2"/>
        <v>46022</v>
      </c>
      <c r="CG3" s="33">
        <f t="shared" ref="CG3:CS3" si="3">+AP3</f>
        <v>44926</v>
      </c>
      <c r="CH3" s="33">
        <f t="shared" si="3"/>
        <v>45016</v>
      </c>
      <c r="CI3" s="33">
        <f t="shared" si="3"/>
        <v>45107</v>
      </c>
      <c r="CJ3" s="33">
        <f t="shared" si="3"/>
        <v>45199</v>
      </c>
      <c r="CK3" s="33">
        <f t="shared" si="3"/>
        <v>45291</v>
      </c>
      <c r="CL3" s="33">
        <f t="shared" si="3"/>
        <v>45382</v>
      </c>
      <c r="CM3" s="33">
        <f t="shared" si="3"/>
        <v>45473</v>
      </c>
      <c r="CN3" s="33">
        <f t="shared" si="3"/>
        <v>45565</v>
      </c>
      <c r="CO3" s="33">
        <f t="shared" si="3"/>
        <v>45657</v>
      </c>
      <c r="CP3" s="33">
        <f t="shared" si="3"/>
        <v>45747</v>
      </c>
      <c r="CQ3" s="33">
        <f t="shared" si="3"/>
        <v>45838</v>
      </c>
      <c r="CR3" s="33">
        <f t="shared" si="3"/>
        <v>45930</v>
      </c>
      <c r="CS3" s="33">
        <f t="shared" si="3"/>
        <v>46022</v>
      </c>
      <c r="CU3" s="33">
        <f t="shared" ref="CU3:DG3" si="4">+AP3</f>
        <v>44926</v>
      </c>
      <c r="CV3" s="33">
        <f t="shared" si="4"/>
        <v>45016</v>
      </c>
      <c r="CW3" s="33">
        <f t="shared" si="4"/>
        <v>45107</v>
      </c>
      <c r="CX3" s="33">
        <f t="shared" si="4"/>
        <v>45199</v>
      </c>
      <c r="CY3" s="33">
        <f t="shared" si="4"/>
        <v>45291</v>
      </c>
      <c r="CZ3" s="33">
        <f t="shared" si="4"/>
        <v>45382</v>
      </c>
      <c r="DA3" s="33">
        <f t="shared" si="4"/>
        <v>45473</v>
      </c>
      <c r="DB3" s="33">
        <f t="shared" si="4"/>
        <v>45565</v>
      </c>
      <c r="DC3" s="33">
        <f t="shared" si="4"/>
        <v>45657</v>
      </c>
      <c r="DD3" s="33">
        <f t="shared" si="4"/>
        <v>45747</v>
      </c>
      <c r="DE3" s="33">
        <f t="shared" si="4"/>
        <v>45838</v>
      </c>
      <c r="DF3" s="33">
        <f t="shared" si="4"/>
        <v>45930</v>
      </c>
      <c r="DG3" s="33">
        <f t="shared" si="4"/>
        <v>46022</v>
      </c>
      <c r="DI3" s="33">
        <f t="shared" ref="DI3:DU3" si="5">+AP3</f>
        <v>44926</v>
      </c>
      <c r="DJ3" s="33">
        <f t="shared" si="5"/>
        <v>45016</v>
      </c>
      <c r="DK3" s="33">
        <f t="shared" si="5"/>
        <v>45107</v>
      </c>
      <c r="DL3" s="33">
        <f t="shared" si="5"/>
        <v>45199</v>
      </c>
      <c r="DM3" s="33">
        <f t="shared" si="5"/>
        <v>45291</v>
      </c>
      <c r="DN3" s="33">
        <f t="shared" si="5"/>
        <v>45382</v>
      </c>
      <c r="DO3" s="33">
        <f t="shared" si="5"/>
        <v>45473</v>
      </c>
      <c r="DP3" s="33">
        <f t="shared" si="5"/>
        <v>45565</v>
      </c>
      <c r="DQ3" s="33">
        <f t="shared" si="5"/>
        <v>45657</v>
      </c>
      <c r="DR3" s="33">
        <f t="shared" si="5"/>
        <v>45747</v>
      </c>
      <c r="DS3" s="33">
        <f t="shared" si="5"/>
        <v>45838</v>
      </c>
      <c r="DT3" s="33">
        <f t="shared" si="5"/>
        <v>45930</v>
      </c>
      <c r="DU3" s="33">
        <f t="shared" si="5"/>
        <v>46022</v>
      </c>
      <c r="DW3" s="33">
        <f t="shared" ref="DW3:EI3" si="6">+AP3</f>
        <v>44926</v>
      </c>
      <c r="DX3" s="33">
        <f t="shared" si="6"/>
        <v>45016</v>
      </c>
      <c r="DY3" s="33">
        <f t="shared" si="6"/>
        <v>45107</v>
      </c>
      <c r="DZ3" s="33">
        <f t="shared" si="6"/>
        <v>45199</v>
      </c>
      <c r="EA3" s="33">
        <f t="shared" si="6"/>
        <v>45291</v>
      </c>
      <c r="EB3" s="33">
        <f t="shared" si="6"/>
        <v>45382</v>
      </c>
      <c r="EC3" s="33">
        <f t="shared" si="6"/>
        <v>45473</v>
      </c>
      <c r="ED3" s="33">
        <f t="shared" si="6"/>
        <v>45565</v>
      </c>
      <c r="EE3" s="33">
        <f t="shared" si="6"/>
        <v>45657</v>
      </c>
      <c r="EF3" s="33">
        <f t="shared" si="6"/>
        <v>45747</v>
      </c>
      <c r="EG3" s="33">
        <f t="shared" si="6"/>
        <v>45838</v>
      </c>
      <c r="EH3" s="33">
        <f t="shared" si="6"/>
        <v>45930</v>
      </c>
      <c r="EI3" s="33">
        <f t="shared" si="6"/>
        <v>46022</v>
      </c>
      <c r="EK3" s="31">
        <v>44926</v>
      </c>
      <c r="EL3" s="31">
        <v>45291</v>
      </c>
      <c r="EM3" s="31">
        <v>45657</v>
      </c>
      <c r="EN3" s="31">
        <v>46022</v>
      </c>
      <c r="EP3" s="32" t="s">
        <v>24</v>
      </c>
      <c r="EQ3" s="33">
        <f>+EK3</f>
        <v>44926</v>
      </c>
      <c r="ER3" s="33">
        <f>+EL3</f>
        <v>45291</v>
      </c>
      <c r="ES3" s="33">
        <f>+EM3</f>
        <v>45657</v>
      </c>
      <c r="ET3" s="33">
        <f>+EN3</f>
        <v>46022</v>
      </c>
      <c r="EV3" s="33">
        <f>+EK3</f>
        <v>44926</v>
      </c>
      <c r="EW3" s="33">
        <f>+EL3</f>
        <v>45291</v>
      </c>
      <c r="EX3" s="33">
        <f>+EM3</f>
        <v>45657</v>
      </c>
      <c r="EY3" s="33">
        <f>+EN3</f>
        <v>46022</v>
      </c>
      <c r="FA3" s="33">
        <f>+EK3</f>
        <v>44926</v>
      </c>
      <c r="FB3" s="33">
        <f>+EL3</f>
        <v>45291</v>
      </c>
      <c r="FC3" s="33">
        <f>+EM3</f>
        <v>45657</v>
      </c>
      <c r="FD3" s="33">
        <f>+EN3</f>
        <v>46022</v>
      </c>
      <c r="FF3" s="33">
        <f>+EK3</f>
        <v>44926</v>
      </c>
      <c r="FG3" s="33">
        <f>+EL3</f>
        <v>45291</v>
      </c>
      <c r="FH3" s="33">
        <f>+EM3</f>
        <v>45657</v>
      </c>
      <c r="FI3" s="33">
        <f>+EN3</f>
        <v>46022</v>
      </c>
      <c r="FK3" s="33">
        <f>+EK3</f>
        <v>44926</v>
      </c>
      <c r="FL3" s="33">
        <f>+EL3</f>
        <v>45291</v>
      </c>
      <c r="FM3" s="33">
        <f>+EM3</f>
        <v>45657</v>
      </c>
      <c r="FN3" s="33">
        <f>+EN3</f>
        <v>46022</v>
      </c>
      <c r="FP3" s="33">
        <f>+EK3</f>
        <v>44926</v>
      </c>
      <c r="FQ3" s="33">
        <f>+EL3</f>
        <v>45291</v>
      </c>
      <c r="FR3" s="33">
        <f>+EM3</f>
        <v>45657</v>
      </c>
      <c r="FS3" s="33">
        <f>+EN3</f>
        <v>46022</v>
      </c>
      <c r="FU3" s="31">
        <v>45291</v>
      </c>
      <c r="FV3" s="31">
        <v>45322</v>
      </c>
      <c r="FW3" s="31">
        <v>45351</v>
      </c>
      <c r="FX3" s="31">
        <v>45382</v>
      </c>
      <c r="FY3" s="31">
        <v>45412</v>
      </c>
      <c r="FZ3" s="31">
        <v>45443</v>
      </c>
      <c r="GA3" s="31">
        <v>45473</v>
      </c>
      <c r="GB3" s="31">
        <v>45504</v>
      </c>
      <c r="GC3" s="31">
        <v>45535</v>
      </c>
      <c r="GD3" s="31">
        <v>45565</v>
      </c>
      <c r="GE3" s="31">
        <v>45596</v>
      </c>
      <c r="GF3" s="31">
        <v>45626</v>
      </c>
      <c r="GG3" s="31">
        <v>45657</v>
      </c>
      <c r="GH3" s="31">
        <v>45688</v>
      </c>
      <c r="GI3" s="31">
        <v>45716</v>
      </c>
      <c r="GJ3" s="31">
        <v>45747</v>
      </c>
      <c r="GK3" s="31">
        <v>45777</v>
      </c>
      <c r="GL3" s="31">
        <v>45808</v>
      </c>
      <c r="GM3" s="31">
        <v>45838</v>
      </c>
      <c r="GN3" s="31">
        <v>45869</v>
      </c>
      <c r="GO3" s="31">
        <v>45900</v>
      </c>
      <c r="GP3" s="31">
        <v>45930</v>
      </c>
      <c r="GQ3" s="31">
        <v>45961</v>
      </c>
      <c r="GR3" s="31">
        <v>45991</v>
      </c>
      <c r="GS3" s="31">
        <v>46022</v>
      </c>
      <c r="GU3" s="32" t="s">
        <v>28</v>
      </c>
      <c r="GV3" s="33">
        <f t="shared" ref="GV3:HT3" si="7">+FU3</f>
        <v>45291</v>
      </c>
      <c r="GW3" s="33">
        <f t="shared" si="7"/>
        <v>45322</v>
      </c>
      <c r="GX3" s="33">
        <f t="shared" si="7"/>
        <v>45351</v>
      </c>
      <c r="GY3" s="33">
        <f t="shared" si="7"/>
        <v>45382</v>
      </c>
      <c r="GZ3" s="33">
        <f t="shared" si="7"/>
        <v>45412</v>
      </c>
      <c r="HA3" s="33">
        <f t="shared" si="7"/>
        <v>45443</v>
      </c>
      <c r="HB3" s="33">
        <f t="shared" si="7"/>
        <v>45473</v>
      </c>
      <c r="HC3" s="33">
        <f t="shared" si="7"/>
        <v>45504</v>
      </c>
      <c r="HD3" s="33">
        <f t="shared" si="7"/>
        <v>45535</v>
      </c>
      <c r="HE3" s="33">
        <f t="shared" si="7"/>
        <v>45565</v>
      </c>
      <c r="HF3" s="33">
        <f t="shared" si="7"/>
        <v>45596</v>
      </c>
      <c r="HG3" s="33">
        <f t="shared" si="7"/>
        <v>45626</v>
      </c>
      <c r="HH3" s="33">
        <f t="shared" si="7"/>
        <v>45657</v>
      </c>
      <c r="HI3" s="33">
        <f t="shared" si="7"/>
        <v>45688</v>
      </c>
      <c r="HJ3" s="33">
        <f t="shared" si="7"/>
        <v>45716</v>
      </c>
      <c r="HK3" s="33">
        <f t="shared" si="7"/>
        <v>45747</v>
      </c>
      <c r="HL3" s="33">
        <f t="shared" si="7"/>
        <v>45777</v>
      </c>
      <c r="HM3" s="33">
        <f t="shared" si="7"/>
        <v>45808</v>
      </c>
      <c r="HN3" s="33">
        <f t="shared" si="7"/>
        <v>45838</v>
      </c>
      <c r="HO3" s="33">
        <f t="shared" si="7"/>
        <v>45869</v>
      </c>
      <c r="HP3" s="33">
        <f t="shared" si="7"/>
        <v>45900</v>
      </c>
      <c r="HQ3" s="33">
        <f t="shared" si="7"/>
        <v>45930</v>
      </c>
      <c r="HR3" s="33">
        <f t="shared" si="7"/>
        <v>45961</v>
      </c>
      <c r="HS3" s="33">
        <f t="shared" si="7"/>
        <v>45991</v>
      </c>
      <c r="HT3" s="33">
        <f t="shared" si="7"/>
        <v>46022</v>
      </c>
      <c r="HV3" s="33">
        <f t="shared" ref="HV3:IT3" si="8">+FU3</f>
        <v>45291</v>
      </c>
      <c r="HW3" s="33">
        <f t="shared" si="8"/>
        <v>45322</v>
      </c>
      <c r="HX3" s="33">
        <f t="shared" si="8"/>
        <v>45351</v>
      </c>
      <c r="HY3" s="33">
        <f t="shared" si="8"/>
        <v>45382</v>
      </c>
      <c r="HZ3" s="33">
        <f t="shared" si="8"/>
        <v>45412</v>
      </c>
      <c r="IA3" s="33">
        <f t="shared" si="8"/>
        <v>45443</v>
      </c>
      <c r="IB3" s="33">
        <f t="shared" si="8"/>
        <v>45473</v>
      </c>
      <c r="IC3" s="33">
        <f t="shared" si="8"/>
        <v>45504</v>
      </c>
      <c r="ID3" s="33">
        <f t="shared" si="8"/>
        <v>45535</v>
      </c>
      <c r="IE3" s="33">
        <f t="shared" si="8"/>
        <v>45565</v>
      </c>
      <c r="IF3" s="33">
        <f t="shared" si="8"/>
        <v>45596</v>
      </c>
      <c r="IG3" s="33">
        <f t="shared" si="8"/>
        <v>45626</v>
      </c>
      <c r="IH3" s="33">
        <f t="shared" si="8"/>
        <v>45657</v>
      </c>
      <c r="II3" s="33">
        <f t="shared" si="8"/>
        <v>45688</v>
      </c>
      <c r="IJ3" s="33">
        <f t="shared" si="8"/>
        <v>45716</v>
      </c>
      <c r="IK3" s="33">
        <f t="shared" si="8"/>
        <v>45747</v>
      </c>
      <c r="IL3" s="33">
        <f t="shared" si="8"/>
        <v>45777</v>
      </c>
      <c r="IM3" s="33">
        <f t="shared" si="8"/>
        <v>45808</v>
      </c>
      <c r="IN3" s="33">
        <f t="shared" si="8"/>
        <v>45838</v>
      </c>
      <c r="IO3" s="33">
        <f t="shared" si="8"/>
        <v>45869</v>
      </c>
      <c r="IP3" s="33">
        <f t="shared" si="8"/>
        <v>45900</v>
      </c>
      <c r="IQ3" s="33">
        <f t="shared" si="8"/>
        <v>45930</v>
      </c>
      <c r="IR3" s="33">
        <f t="shared" si="8"/>
        <v>45961</v>
      </c>
      <c r="IS3" s="33">
        <f t="shared" si="8"/>
        <v>45991</v>
      </c>
      <c r="IT3" s="33">
        <f t="shared" si="8"/>
        <v>46022</v>
      </c>
      <c r="IV3" s="33">
        <f t="shared" ref="IV3:JT3" si="9">+FU3</f>
        <v>45291</v>
      </c>
      <c r="IW3" s="33">
        <f t="shared" si="9"/>
        <v>45322</v>
      </c>
      <c r="IX3" s="33">
        <f t="shared" si="9"/>
        <v>45351</v>
      </c>
      <c r="IY3" s="33">
        <f t="shared" si="9"/>
        <v>45382</v>
      </c>
      <c r="IZ3" s="33">
        <f t="shared" si="9"/>
        <v>45412</v>
      </c>
      <c r="JA3" s="33">
        <f t="shared" si="9"/>
        <v>45443</v>
      </c>
      <c r="JB3" s="33">
        <f t="shared" si="9"/>
        <v>45473</v>
      </c>
      <c r="JC3" s="33">
        <f t="shared" si="9"/>
        <v>45504</v>
      </c>
      <c r="JD3" s="33">
        <f t="shared" si="9"/>
        <v>45535</v>
      </c>
      <c r="JE3" s="33">
        <f t="shared" si="9"/>
        <v>45565</v>
      </c>
      <c r="JF3" s="33">
        <f t="shared" si="9"/>
        <v>45596</v>
      </c>
      <c r="JG3" s="33">
        <f t="shared" si="9"/>
        <v>45626</v>
      </c>
      <c r="JH3" s="33">
        <f t="shared" si="9"/>
        <v>45657</v>
      </c>
      <c r="JI3" s="33">
        <f t="shared" si="9"/>
        <v>45688</v>
      </c>
      <c r="JJ3" s="33">
        <f t="shared" si="9"/>
        <v>45716</v>
      </c>
      <c r="JK3" s="33">
        <f t="shared" si="9"/>
        <v>45747</v>
      </c>
      <c r="JL3" s="33">
        <f t="shared" si="9"/>
        <v>45777</v>
      </c>
      <c r="JM3" s="33">
        <f t="shared" si="9"/>
        <v>45808</v>
      </c>
      <c r="JN3" s="33">
        <f t="shared" si="9"/>
        <v>45838</v>
      </c>
      <c r="JO3" s="33">
        <f t="shared" si="9"/>
        <v>45869</v>
      </c>
      <c r="JP3" s="33">
        <f t="shared" si="9"/>
        <v>45900</v>
      </c>
      <c r="JQ3" s="33">
        <f t="shared" si="9"/>
        <v>45930</v>
      </c>
      <c r="JR3" s="33">
        <f t="shared" si="9"/>
        <v>45961</v>
      </c>
      <c r="JS3" s="33">
        <f t="shared" si="9"/>
        <v>45991</v>
      </c>
      <c r="JT3" s="33">
        <f t="shared" si="9"/>
        <v>46022</v>
      </c>
      <c r="JV3" s="33">
        <f t="shared" ref="JV3:KT3" si="10">+FU3</f>
        <v>45291</v>
      </c>
      <c r="JW3" s="33">
        <f t="shared" si="10"/>
        <v>45322</v>
      </c>
      <c r="JX3" s="33">
        <f t="shared" si="10"/>
        <v>45351</v>
      </c>
      <c r="JY3" s="33">
        <f t="shared" si="10"/>
        <v>45382</v>
      </c>
      <c r="JZ3" s="33">
        <f t="shared" si="10"/>
        <v>45412</v>
      </c>
      <c r="KA3" s="33">
        <f t="shared" si="10"/>
        <v>45443</v>
      </c>
      <c r="KB3" s="33">
        <f t="shared" si="10"/>
        <v>45473</v>
      </c>
      <c r="KC3" s="33">
        <f t="shared" si="10"/>
        <v>45504</v>
      </c>
      <c r="KD3" s="33">
        <f t="shared" si="10"/>
        <v>45535</v>
      </c>
      <c r="KE3" s="33">
        <f t="shared" si="10"/>
        <v>45565</v>
      </c>
      <c r="KF3" s="33">
        <f t="shared" si="10"/>
        <v>45596</v>
      </c>
      <c r="KG3" s="33">
        <f t="shared" si="10"/>
        <v>45626</v>
      </c>
      <c r="KH3" s="33">
        <f t="shared" si="10"/>
        <v>45657</v>
      </c>
      <c r="KI3" s="33">
        <f t="shared" si="10"/>
        <v>45688</v>
      </c>
      <c r="KJ3" s="33">
        <f t="shared" si="10"/>
        <v>45716</v>
      </c>
      <c r="KK3" s="33">
        <f t="shared" si="10"/>
        <v>45747</v>
      </c>
      <c r="KL3" s="33">
        <f t="shared" si="10"/>
        <v>45777</v>
      </c>
      <c r="KM3" s="33">
        <f t="shared" si="10"/>
        <v>45808</v>
      </c>
      <c r="KN3" s="33">
        <f t="shared" si="10"/>
        <v>45838</v>
      </c>
      <c r="KO3" s="33">
        <f t="shared" si="10"/>
        <v>45869</v>
      </c>
      <c r="KP3" s="33">
        <f t="shared" si="10"/>
        <v>45900</v>
      </c>
      <c r="KQ3" s="33">
        <f t="shared" si="10"/>
        <v>45930</v>
      </c>
      <c r="KR3" s="33">
        <f t="shared" si="10"/>
        <v>45961</v>
      </c>
      <c r="KS3" s="33">
        <f t="shared" si="10"/>
        <v>45991</v>
      </c>
      <c r="KT3" s="33">
        <f t="shared" si="10"/>
        <v>46022</v>
      </c>
      <c r="KV3" s="33">
        <f t="shared" ref="KV3:LT3" si="11">+FU3</f>
        <v>45291</v>
      </c>
      <c r="KW3" s="33">
        <f t="shared" si="11"/>
        <v>45322</v>
      </c>
      <c r="KX3" s="33">
        <f t="shared" si="11"/>
        <v>45351</v>
      </c>
      <c r="KY3" s="33">
        <f t="shared" si="11"/>
        <v>45382</v>
      </c>
      <c r="KZ3" s="33">
        <f t="shared" si="11"/>
        <v>45412</v>
      </c>
      <c r="LA3" s="33">
        <f t="shared" si="11"/>
        <v>45443</v>
      </c>
      <c r="LB3" s="33">
        <f t="shared" si="11"/>
        <v>45473</v>
      </c>
      <c r="LC3" s="33">
        <f t="shared" si="11"/>
        <v>45504</v>
      </c>
      <c r="LD3" s="33">
        <f t="shared" si="11"/>
        <v>45535</v>
      </c>
      <c r="LE3" s="33">
        <f t="shared" si="11"/>
        <v>45565</v>
      </c>
      <c r="LF3" s="33">
        <f t="shared" si="11"/>
        <v>45596</v>
      </c>
      <c r="LG3" s="33">
        <f t="shared" si="11"/>
        <v>45626</v>
      </c>
      <c r="LH3" s="33">
        <f t="shared" si="11"/>
        <v>45657</v>
      </c>
      <c r="LI3" s="33">
        <f t="shared" si="11"/>
        <v>45688</v>
      </c>
      <c r="LJ3" s="33">
        <f t="shared" si="11"/>
        <v>45716</v>
      </c>
      <c r="LK3" s="33">
        <f t="shared" si="11"/>
        <v>45747</v>
      </c>
      <c r="LL3" s="33">
        <f t="shared" si="11"/>
        <v>45777</v>
      </c>
      <c r="LM3" s="33">
        <f t="shared" si="11"/>
        <v>45808</v>
      </c>
      <c r="LN3" s="33">
        <f t="shared" si="11"/>
        <v>45838</v>
      </c>
      <c r="LO3" s="33">
        <f t="shared" si="11"/>
        <v>45869</v>
      </c>
      <c r="LP3" s="33">
        <f t="shared" si="11"/>
        <v>45900</v>
      </c>
      <c r="LQ3" s="33">
        <f t="shared" si="11"/>
        <v>45930</v>
      </c>
      <c r="LR3" s="33">
        <f t="shared" si="11"/>
        <v>45961</v>
      </c>
      <c r="LS3" s="33">
        <f t="shared" si="11"/>
        <v>45991</v>
      </c>
      <c r="LT3" s="33">
        <f t="shared" si="11"/>
        <v>46022</v>
      </c>
      <c r="LV3" s="33">
        <f t="shared" ref="LV3:MT3" si="12">+FU3</f>
        <v>45291</v>
      </c>
      <c r="LW3" s="33">
        <f t="shared" si="12"/>
        <v>45322</v>
      </c>
      <c r="LX3" s="33">
        <f t="shared" si="12"/>
        <v>45351</v>
      </c>
      <c r="LY3" s="33">
        <f t="shared" si="12"/>
        <v>45382</v>
      </c>
      <c r="LZ3" s="33">
        <f t="shared" si="12"/>
        <v>45412</v>
      </c>
      <c r="MA3" s="33">
        <f t="shared" si="12"/>
        <v>45443</v>
      </c>
      <c r="MB3" s="33">
        <f t="shared" si="12"/>
        <v>45473</v>
      </c>
      <c r="MC3" s="33">
        <f t="shared" si="12"/>
        <v>45504</v>
      </c>
      <c r="MD3" s="33">
        <f t="shared" si="12"/>
        <v>45535</v>
      </c>
      <c r="ME3" s="33">
        <f t="shared" si="12"/>
        <v>45565</v>
      </c>
      <c r="MF3" s="33">
        <f t="shared" si="12"/>
        <v>45596</v>
      </c>
      <c r="MG3" s="33">
        <f t="shared" si="12"/>
        <v>45626</v>
      </c>
      <c r="MH3" s="33">
        <f t="shared" si="12"/>
        <v>45657</v>
      </c>
      <c r="MI3" s="33">
        <f t="shared" si="12"/>
        <v>45688</v>
      </c>
      <c r="MJ3" s="33">
        <f t="shared" si="12"/>
        <v>45716</v>
      </c>
      <c r="MK3" s="33">
        <f t="shared" si="12"/>
        <v>45747</v>
      </c>
      <c r="ML3" s="33">
        <f t="shared" si="12"/>
        <v>45777</v>
      </c>
      <c r="MM3" s="33">
        <f t="shared" si="12"/>
        <v>45808</v>
      </c>
      <c r="MN3" s="33">
        <f t="shared" si="12"/>
        <v>45838</v>
      </c>
      <c r="MO3" s="33">
        <f t="shared" si="12"/>
        <v>45869</v>
      </c>
      <c r="MP3" s="33">
        <f t="shared" si="12"/>
        <v>45900</v>
      </c>
      <c r="MQ3" s="33">
        <f t="shared" si="12"/>
        <v>45930</v>
      </c>
      <c r="MR3" s="33">
        <f t="shared" si="12"/>
        <v>45961</v>
      </c>
      <c r="MS3" s="33">
        <f t="shared" si="12"/>
        <v>45991</v>
      </c>
      <c r="MT3" s="33">
        <f t="shared" si="12"/>
        <v>46022</v>
      </c>
      <c r="MV3" s="35" t="s">
        <v>34</v>
      </c>
      <c r="MW3" s="35" t="s">
        <v>17</v>
      </c>
      <c r="MX3" s="35" t="s">
        <v>20</v>
      </c>
      <c r="MY3" s="35" t="s">
        <v>19</v>
      </c>
      <c r="MZ3" s="35" t="s">
        <v>18</v>
      </c>
      <c r="NB3" s="35" t="s">
        <v>34</v>
      </c>
      <c r="NC3" s="35" t="s">
        <v>17</v>
      </c>
      <c r="ND3" s="35" t="s">
        <v>20</v>
      </c>
      <c r="NE3" s="35" t="s">
        <v>19</v>
      </c>
      <c r="NF3" s="35" t="s">
        <v>18</v>
      </c>
      <c r="NH3" s="118">
        <f>ROUND(SUM($C$106:$AM$106),4)</f>
        <v>0</v>
      </c>
      <c r="NI3" s="118">
        <f>ROUND(SUM($C$107:$AM$107),4)</f>
        <v>0</v>
      </c>
      <c r="NJ3" s="118">
        <f>ROUND(SUM($C$108:$AM$108),4)</f>
        <v>0</v>
      </c>
      <c r="NK3" s="118">
        <f>ROUND(SUM($C$109:$AM$109),4)</f>
        <v>0</v>
      </c>
      <c r="NL3" s="118">
        <f>ROUND(SUM($C$110:$AM$110),4)</f>
        <v>0</v>
      </c>
    </row>
    <row r="4" spans="2:376" ht="13.5" x14ac:dyDescent="0.25">
      <c r="B4" s="6">
        <v>1</v>
      </c>
      <c r="C4" s="7">
        <v>179</v>
      </c>
      <c r="D4" s="7">
        <v>179</v>
      </c>
      <c r="E4" s="7">
        <v>179</v>
      </c>
      <c r="F4" s="7">
        <v>179</v>
      </c>
      <c r="G4" s="7">
        <v>179</v>
      </c>
      <c r="H4" s="7">
        <v>179</v>
      </c>
      <c r="I4" s="7">
        <v>179</v>
      </c>
      <c r="J4" s="7">
        <v>179</v>
      </c>
      <c r="K4" s="7">
        <v>179</v>
      </c>
      <c r="L4" s="7">
        <v>179</v>
      </c>
      <c r="M4" s="7">
        <v>179</v>
      </c>
      <c r="N4" s="7">
        <v>179</v>
      </c>
      <c r="O4" s="7">
        <v>179</v>
      </c>
      <c r="P4" s="7">
        <v>179</v>
      </c>
      <c r="Q4" s="7">
        <v>179</v>
      </c>
      <c r="R4" s="7">
        <v>179</v>
      </c>
      <c r="S4" s="7">
        <v>179</v>
      </c>
      <c r="T4" s="7">
        <v>179</v>
      </c>
      <c r="U4" s="7">
        <v>179</v>
      </c>
      <c r="V4" s="7">
        <v>179</v>
      </c>
      <c r="W4" s="7">
        <v>179</v>
      </c>
      <c r="X4" s="7">
        <v>179</v>
      </c>
      <c r="Y4" s="7">
        <v>179</v>
      </c>
      <c r="Z4" s="7">
        <v>179</v>
      </c>
      <c r="AA4" s="7">
        <v>185.27</v>
      </c>
      <c r="AB4" s="7">
        <v>185.27</v>
      </c>
      <c r="AC4" s="7">
        <v>185.27</v>
      </c>
      <c r="AD4" s="7">
        <v>185.27</v>
      </c>
      <c r="AE4" s="7">
        <v>185.27</v>
      </c>
      <c r="AF4" s="7">
        <v>185.27</v>
      </c>
      <c r="AG4" s="7">
        <v>185.27</v>
      </c>
      <c r="AH4" s="7">
        <v>185.27</v>
      </c>
      <c r="AI4" s="7">
        <v>185.27</v>
      </c>
      <c r="AJ4" s="7">
        <v>185.27</v>
      </c>
      <c r="AK4" s="7">
        <v>185.27</v>
      </c>
      <c r="AL4" s="7">
        <v>185.27</v>
      </c>
      <c r="AM4" s="7">
        <v>185.27</v>
      </c>
      <c r="AN4" s="27">
        <v>1</v>
      </c>
      <c r="AP4" s="111"/>
      <c r="AQ4" s="110">
        <f t="shared" ref="AQ4:AQ35" si="13">+F4-C4</f>
        <v>0</v>
      </c>
      <c r="AR4" s="110">
        <f t="shared" ref="AR4:AR35" si="14">+I4-F4</f>
        <v>0</v>
      </c>
      <c r="AS4" s="110">
        <f t="shared" ref="AS4:AS35" si="15">+L4-I4</f>
        <v>0</v>
      </c>
      <c r="AT4" s="110">
        <f t="shared" ref="AT4:AT35" si="16">+O4-L4</f>
        <v>0</v>
      </c>
      <c r="AU4" s="110">
        <f t="shared" ref="AU4:AU35" si="17">+R4-O4</f>
        <v>0</v>
      </c>
      <c r="AV4" s="110">
        <f t="shared" ref="AV4:AV35" si="18">+U4-R4</f>
        <v>0</v>
      </c>
      <c r="AW4" s="110">
        <f t="shared" ref="AW4:AW35" si="19">+X4-U4</f>
        <v>0</v>
      </c>
      <c r="AX4" s="110">
        <f t="shared" ref="AX4:AX35" si="20">+AA4-X4</f>
        <v>6.2700000000000102</v>
      </c>
      <c r="AY4" s="110">
        <f t="shared" ref="AY4:AY35" si="21">+AD4-AA4</f>
        <v>0</v>
      </c>
      <c r="AZ4" s="110">
        <f t="shared" ref="AZ4:AZ35" si="22">+AG4-AD4</f>
        <v>0</v>
      </c>
      <c r="BA4" s="110">
        <f t="shared" ref="BA4:BA35" si="23">+AJ4-AG4</f>
        <v>0</v>
      </c>
      <c r="BB4" s="110">
        <f t="shared" ref="BB4:BB35" si="24">+AM4-AJ4</f>
        <v>0</v>
      </c>
      <c r="BD4" s="108" cm="1">
        <f t="array" ref="BD4">+IFERROR(INDEX($C$3:$AM$3,MATCH(TRUE,INDEX($C4:$AM4&lt;&gt;0,0),0)),"N/A")</f>
        <v>44926</v>
      </c>
      <c r="BE4" s="112"/>
      <c r="BF4" s="1" t="str" cm="1">
        <f t="array" ref="BF4">+_xlfn.IFS(BT4&lt;&gt;0,BT$2,CH4&lt;&gt;0,CH$2,CV4&lt;&gt;0,CV$2,DJ4&lt;&gt;0,DJ$2,TRUE,"")</f>
        <v/>
      </c>
      <c r="BG4" s="1" t="str" cm="1">
        <f t="array" ref="BG4">+_xlfn.IFS(BU4&lt;&gt;0,BU$2,CI4&lt;&gt;0,CI$2,CW4&lt;&gt;0,CW$2,DK4&lt;&gt;0,DK$2,TRUE,"")</f>
        <v/>
      </c>
      <c r="BH4" s="1" t="str" cm="1">
        <f t="array" ref="BH4">+_xlfn.IFS(BV4&lt;&gt;0,BV$2,CJ4&lt;&gt;0,CJ$2,CX4&lt;&gt;0,CX$2,DL4&lt;&gt;0,DL$2,TRUE,"")</f>
        <v/>
      </c>
      <c r="BI4" s="1" t="str" cm="1">
        <f t="array" ref="BI4">+_xlfn.IFS(BW4&lt;&gt;0,BW$2,CK4&lt;&gt;0,CK$2,CY4&lt;&gt;0,CY$2,DM4&lt;&gt;0,DM$2,TRUE,"")</f>
        <v/>
      </c>
      <c r="BJ4" s="1" t="str" cm="1">
        <f t="array" ref="BJ4">+_xlfn.IFS(BX4&lt;&gt;0,BX$2,CL4&lt;&gt;0,CL$2,CZ4&lt;&gt;0,CZ$2,DN4&lt;&gt;0,DN$2,TRUE,"")</f>
        <v/>
      </c>
      <c r="BK4" s="1" t="str" cm="1">
        <f t="array" ref="BK4">+_xlfn.IFS(BY4&lt;&gt;0,BY$2,CM4&lt;&gt;0,CM$2,DA4&lt;&gt;0,DA$2,DO4&lt;&gt;0,DO$2,TRUE,"")</f>
        <v/>
      </c>
      <c r="BL4" s="1" t="str" cm="1">
        <f t="array" ref="BL4">+_xlfn.IFS(BZ4&lt;&gt;0,BZ$2,CN4&lt;&gt;0,CN$2,DB4&lt;&gt;0,DB$2,DP4&lt;&gt;0,DP$2,TRUE,"")</f>
        <v/>
      </c>
      <c r="BM4" s="1" t="str" cm="1">
        <f t="array" ref="BM4">+_xlfn.IFS(CA4&lt;&gt;0,CA$2,CO4&lt;&gt;0,CO$2,DC4&lt;&gt;0,DC$2,DQ4&lt;&gt;0,DQ$2,TRUE,"")</f>
        <v>Upsell</v>
      </c>
      <c r="BN4" s="1" t="str" cm="1">
        <f t="array" ref="BN4">+_xlfn.IFS(CB4&lt;&gt;0,CB$2,CP4&lt;&gt;0,CP$2,DD4&lt;&gt;0,DD$2,DR4&lt;&gt;0,DR$2,TRUE,"")</f>
        <v/>
      </c>
      <c r="BO4" s="1" t="str" cm="1">
        <f t="array" ref="BO4">+_xlfn.IFS(CC4&lt;&gt;0,CC$2,CQ4&lt;&gt;0,CQ$2,DE4&lt;&gt;0,DE$2,DS4&lt;&gt;0,DS$2,TRUE,"")</f>
        <v/>
      </c>
      <c r="BP4" s="1" t="str" cm="1">
        <f t="array" ref="BP4">+_xlfn.IFS(CD4&lt;&gt;0,CD$2,CR4&lt;&gt;0,CR$2,DF4&lt;&gt;0,DF$2,DT4&lt;&gt;0,DT$2,TRUE,"")</f>
        <v/>
      </c>
      <c r="BQ4" s="1" t="str" cm="1">
        <f t="array" ref="BQ4">+_xlfn.IFS(CE4&lt;&gt;0,CE$2,CS4&lt;&gt;0,CS$2,DG4&lt;&gt;0,DG$2,DU4&lt;&gt;0,DU$2,TRUE,"")</f>
        <v/>
      </c>
      <c r="BS4" s="111"/>
      <c r="BT4" s="110">
        <f t="shared" ref="BT4:BT35" si="25">+IF(AND(F4&gt;C4,C4&lt;=0,F4&gt;0),F4-C4,0)</f>
        <v>0</v>
      </c>
      <c r="BU4" s="110">
        <f t="shared" ref="BU4:BU35" si="26">+IF(AND(I4&gt;F4,F4&lt;=0,I4&gt;0),I4-F4,0)</f>
        <v>0</v>
      </c>
      <c r="BV4" s="110">
        <f t="shared" ref="BV4:BV35" si="27">+IF(AND(L4&gt;I4,I4&lt;=0,L4&gt;0),L4-I4,0)</f>
        <v>0</v>
      </c>
      <c r="BW4" s="110">
        <f t="shared" ref="BW4:BW35" si="28">+IF(AND(O4&gt;L4,L4&lt;=0,O4&gt;0),O4-L4,0)</f>
        <v>0</v>
      </c>
      <c r="BX4" s="110">
        <f t="shared" ref="BX4:BX35" si="29">+IF(AND(R4&gt;O4,O4&lt;=0,R4&gt;0),R4-O4,0)</f>
        <v>0</v>
      </c>
      <c r="BY4" s="110">
        <f t="shared" ref="BY4:BY35" si="30">+IF(AND(U4&gt;R4,R4&lt;=0,U4&gt;0),U4-R4,0)</f>
        <v>0</v>
      </c>
      <c r="BZ4" s="110">
        <f t="shared" ref="BZ4:BZ35" si="31">+IF(AND(X4&gt;U4,U4&lt;=0,X4&gt;0),X4-U4,0)</f>
        <v>0</v>
      </c>
      <c r="CA4" s="110">
        <f t="shared" ref="CA4:CA35" si="32">+IF(AND(AA4&gt;X4,X4&lt;=0,AA4&gt;0),AA4-X4,0)</f>
        <v>0</v>
      </c>
      <c r="CB4" s="110">
        <f t="shared" ref="CB4:CB35" si="33">+IF(AND(AD4&gt;AA4,AA4&lt;=0,AD4&gt;0),AD4-AA4,0)</f>
        <v>0</v>
      </c>
      <c r="CC4" s="110">
        <f t="shared" ref="CC4:CC35" si="34">+IF(AND(AG4&gt;AD4,AD4&lt;=0,AG4&gt;0),AG4-AD4,0)</f>
        <v>0</v>
      </c>
      <c r="CD4" s="110">
        <f t="shared" ref="CD4:CD35" si="35">+IF(AND(AJ4&gt;AG4,AG4&lt;=0,AJ4&gt;0),AJ4-AG4,0)</f>
        <v>0</v>
      </c>
      <c r="CE4" s="110">
        <f t="shared" ref="CE4:CE35" si="36">+IF(AND(AM4&gt;AJ4,AJ4&lt;=0,AM4&gt;0),AM4-AJ4,0)</f>
        <v>0</v>
      </c>
      <c r="CG4" s="111"/>
      <c r="CH4" s="110">
        <f t="shared" ref="CH4:CH35" si="37">+IF(AND(F4&lt;C4,F4&lt;=0,C4&gt;0),F4-C4,0)</f>
        <v>0</v>
      </c>
      <c r="CI4" s="110">
        <f t="shared" ref="CI4:CI35" si="38">+IF(AND(I4&lt;F4,I4&lt;=0,F4&gt;0),I4-F4,0)</f>
        <v>0</v>
      </c>
      <c r="CJ4" s="110">
        <f t="shared" ref="CJ4:CJ35" si="39">+IF(AND(L4&lt;I4,L4&lt;=0,I4&gt;0),L4-I4,0)</f>
        <v>0</v>
      </c>
      <c r="CK4" s="110">
        <f t="shared" ref="CK4:CK35" si="40">+IF(AND(O4&lt;L4,O4&lt;=0,L4&gt;0),O4-L4,0)</f>
        <v>0</v>
      </c>
      <c r="CL4" s="110">
        <f t="shared" ref="CL4:CL35" si="41">+IF(AND(R4&lt;O4,R4&lt;=0,O4&gt;0),R4-O4,0)</f>
        <v>0</v>
      </c>
      <c r="CM4" s="110">
        <f t="shared" ref="CM4:CM35" si="42">+IF(AND(U4&lt;R4,U4&lt;=0,R4&gt;0),U4-R4,0)</f>
        <v>0</v>
      </c>
      <c r="CN4" s="110">
        <f t="shared" ref="CN4:CN35" si="43">+IF(AND(X4&lt;U4,X4&lt;=0,U4&gt;0),X4-U4,0)</f>
        <v>0</v>
      </c>
      <c r="CO4" s="110">
        <f t="shared" ref="CO4:CO35" si="44">+IF(AND(AA4&lt;X4,AA4&lt;=0,X4&gt;0),AA4-X4,0)</f>
        <v>0</v>
      </c>
      <c r="CP4" s="110">
        <f t="shared" ref="CP4:CP35" si="45">+IF(AND(AD4&lt;AA4,AD4&lt;=0,AA4&gt;0),AD4-AA4,0)</f>
        <v>0</v>
      </c>
      <c r="CQ4" s="110">
        <f t="shared" ref="CQ4:CQ35" si="46">+IF(AND(AG4&lt;AD4,AG4&lt;=0,AD4&gt;0),AG4-AD4,0)</f>
        <v>0</v>
      </c>
      <c r="CR4" s="110">
        <f t="shared" ref="CR4:CR35" si="47">+IF(AND(AJ4&lt;AG4,AJ4&lt;=0,AG4&gt;0),AJ4-AG4,0)</f>
        <v>0</v>
      </c>
      <c r="CS4" s="110">
        <f t="shared" ref="CS4:CS35" si="48">+IF(AND(AM4&lt;AJ4,AM4&lt;=0,AJ4&gt;0),AM4-AJ4,0)</f>
        <v>0</v>
      </c>
      <c r="CU4" s="111"/>
      <c r="CV4" s="110">
        <f t="shared" ref="CV4:CV35" si="49">+IF(AND(F4&lt;C4,NOT(AND(C4&gt;0,F4&lt;=0))),F4-C4,0)</f>
        <v>0</v>
      </c>
      <c r="CW4" s="110">
        <f t="shared" ref="CW4:CW35" si="50">+IF(AND(I4&lt;F4,NOT(AND(F4&gt;0,I4&lt;=0))),I4-F4,0)</f>
        <v>0</v>
      </c>
      <c r="CX4" s="110">
        <f t="shared" ref="CX4:CX35" si="51">+IF(AND(L4&lt;I4,NOT(AND(I4&gt;0,L4&lt;=0))),L4-I4,0)</f>
        <v>0</v>
      </c>
      <c r="CY4" s="110">
        <f t="shared" ref="CY4:CY35" si="52">+IF(AND(O4&lt;L4,NOT(AND(L4&gt;0,O4&lt;=0))),O4-L4,0)</f>
        <v>0</v>
      </c>
      <c r="CZ4" s="110">
        <f t="shared" ref="CZ4:CZ35" si="53">+IF(AND(R4&lt;O4,NOT(AND(O4&gt;0,R4&lt;=0))),R4-O4,0)</f>
        <v>0</v>
      </c>
      <c r="DA4" s="110">
        <f t="shared" ref="DA4:DA35" si="54">+IF(AND(U4&lt;R4,NOT(AND(R4&gt;0,U4&lt;=0))),U4-R4,0)</f>
        <v>0</v>
      </c>
      <c r="DB4" s="110">
        <f t="shared" ref="DB4:DB35" si="55">+IF(AND(X4&lt;U4,NOT(AND(U4&gt;0,X4&lt;=0))),X4-U4,0)</f>
        <v>0</v>
      </c>
      <c r="DC4" s="110">
        <f t="shared" ref="DC4:DC35" si="56">+IF(AND(AA4&lt;X4,NOT(AND(X4&gt;0,AA4&lt;=0))),AA4-X4,0)</f>
        <v>0</v>
      </c>
      <c r="DD4" s="110">
        <f t="shared" ref="DD4:DD35" si="57">+IF(AND(AD4&lt;AA4,NOT(AND(AA4&gt;0,AD4&lt;=0))),AD4-AA4,0)</f>
        <v>0</v>
      </c>
      <c r="DE4" s="110">
        <f t="shared" ref="DE4:DE35" si="58">+IF(AND(AG4&lt;AD4,NOT(AND(AD4&gt;0,AG4&lt;=0))),AG4-AD4,0)</f>
        <v>0</v>
      </c>
      <c r="DF4" s="110">
        <f t="shared" ref="DF4:DF35" si="59">+IF(AND(AJ4&lt;AG4,NOT(AND(AG4&gt;0,AJ4&lt;=0))),AJ4-AG4,0)</f>
        <v>0</v>
      </c>
      <c r="DG4" s="110">
        <f t="shared" ref="DG4:DG35" si="60">+IF(AND(AM4&lt;AJ4,NOT(AND(AJ4&gt;0,AM4&lt;=0))),AM4-AJ4,0)</f>
        <v>0</v>
      </c>
      <c r="DI4" s="111"/>
      <c r="DJ4" s="110">
        <f t="shared" ref="DJ4:DJ35" si="61">+IF(AND(F4&gt;C4,NOT(AND(C4&lt;=0,F4&gt;0))),F4-C4,0)</f>
        <v>0</v>
      </c>
      <c r="DK4" s="110">
        <f t="shared" ref="DK4:DK35" si="62">+IF(AND(I4&gt;F4,NOT(AND(F4&lt;=0,I4&gt;0))),I4-F4,0)</f>
        <v>0</v>
      </c>
      <c r="DL4" s="110">
        <f t="shared" ref="DL4:DL35" si="63">+IF(AND(L4&gt;I4,NOT(AND(I4&lt;=0,L4&gt;0))),L4-I4,0)</f>
        <v>0</v>
      </c>
      <c r="DM4" s="110">
        <f t="shared" ref="DM4:DM35" si="64">+IF(AND(O4&gt;L4,NOT(AND(L4&lt;=0,O4&gt;0))),O4-L4,0)</f>
        <v>0</v>
      </c>
      <c r="DN4" s="110">
        <f t="shared" ref="DN4:DN35" si="65">+IF(AND(R4&gt;O4,NOT(AND(O4&lt;=0,R4&gt;0))),R4-O4,0)</f>
        <v>0</v>
      </c>
      <c r="DO4" s="110">
        <f t="shared" ref="DO4:DO35" si="66">+IF(AND(U4&gt;R4,NOT(AND(R4&lt;=0,U4&gt;0))),U4-R4,0)</f>
        <v>0</v>
      </c>
      <c r="DP4" s="110">
        <f t="shared" ref="DP4:DP35" si="67">+IF(AND(X4&gt;U4,NOT(AND(U4&lt;=0,X4&gt;0))),X4-U4,0)</f>
        <v>0</v>
      </c>
      <c r="DQ4" s="110">
        <f t="shared" ref="DQ4:DQ35" si="68">+IF(AND(AA4&gt;X4,NOT(AND(X4&lt;=0,AA4&gt;0))),AA4-X4,0)</f>
        <v>6.2700000000000102</v>
      </c>
      <c r="DR4" s="110">
        <f t="shared" ref="DR4:DR35" si="69">+IF(AND(AD4&gt;AA4,NOT(AND(AA4&lt;=0,AD4&gt;0))),AD4-AA4,0)</f>
        <v>0</v>
      </c>
      <c r="DS4" s="110">
        <f t="shared" ref="DS4:DS35" si="70">+IF(AND(AG4&gt;AD4,NOT(AND(AD4&lt;=0,AG4&gt;0))),AG4-AD4,0)</f>
        <v>0</v>
      </c>
      <c r="DT4" s="110">
        <f t="shared" ref="DT4:DT35" si="71">+IF(AND(AJ4&gt;AG4,NOT(AND(AG4&lt;=0,AJ4&gt;0))),AJ4-AG4,0)</f>
        <v>0</v>
      </c>
      <c r="DU4" s="110">
        <f t="shared" ref="DU4:DU35" si="72">+IF(AND(AM4&gt;AJ4,NOT(AND(AJ4&lt;=0,AM4&gt;0))),AM4-AJ4,0)</f>
        <v>0</v>
      </c>
      <c r="DW4" s="111"/>
      <c r="DX4" s="110">
        <f t="shared" ref="DX4:DX35" si="73">+IF(((BT4&lt;&gt;0)+(CH4&lt;&gt;0)+(CV4&lt;&gt;0)+(DJ4&lt;&gt;0))&gt;1,1,0)</f>
        <v>0</v>
      </c>
      <c r="DY4" s="110">
        <f t="shared" ref="DY4:DY35" si="74">+IF(((BU4&lt;&gt;0)+(CI4&lt;&gt;0)+(CW4&lt;&gt;0)+(DK4&lt;&gt;0))&gt;1,1,0)</f>
        <v>0</v>
      </c>
      <c r="DZ4" s="110">
        <f t="shared" ref="DZ4:DZ35" si="75">+IF(((BV4&lt;&gt;0)+(CJ4&lt;&gt;0)+(CX4&lt;&gt;0)+(DL4&lt;&gt;0))&gt;1,1,0)</f>
        <v>0</v>
      </c>
      <c r="EA4" s="110">
        <f t="shared" ref="EA4:EA35" si="76">+IF(((BW4&lt;&gt;0)+(CK4&lt;&gt;0)+(CY4&lt;&gt;0)+(DM4&lt;&gt;0))&gt;1,1,0)</f>
        <v>0</v>
      </c>
      <c r="EB4" s="110">
        <f t="shared" ref="EB4:EB35" si="77">+IF(((BX4&lt;&gt;0)+(CL4&lt;&gt;0)+(CZ4&lt;&gt;0)+(DN4&lt;&gt;0))&gt;1,1,0)</f>
        <v>0</v>
      </c>
      <c r="EC4" s="110">
        <f t="shared" ref="EC4:EC35" si="78">+IF(((BY4&lt;&gt;0)+(CM4&lt;&gt;0)+(DA4&lt;&gt;0)+(DO4&lt;&gt;0))&gt;1,1,0)</f>
        <v>0</v>
      </c>
      <c r="ED4" s="110">
        <f t="shared" ref="ED4:ED35" si="79">+IF(((BZ4&lt;&gt;0)+(CN4&lt;&gt;0)+(DB4&lt;&gt;0)+(DP4&lt;&gt;0))&gt;1,1,0)</f>
        <v>0</v>
      </c>
      <c r="EE4" s="110">
        <f t="shared" ref="EE4:EE35" si="80">+IF(((CA4&lt;&gt;0)+(CO4&lt;&gt;0)+(DC4&lt;&gt;0)+(DQ4&lt;&gt;0))&gt;1,1,0)</f>
        <v>0</v>
      </c>
      <c r="EF4" s="110">
        <f t="shared" ref="EF4:EF35" si="81">+IF(((CB4&lt;&gt;0)+(CP4&lt;&gt;0)+(DD4&lt;&gt;0)+(DR4&lt;&gt;0))&gt;1,1,0)</f>
        <v>0</v>
      </c>
      <c r="EG4" s="110">
        <f t="shared" ref="EG4:EG35" si="82">+IF(((CC4&lt;&gt;0)+(CQ4&lt;&gt;0)+(DE4&lt;&gt;0)+(DS4&lt;&gt;0))&gt;1,1,0)</f>
        <v>0</v>
      </c>
      <c r="EH4" s="110">
        <f t="shared" ref="EH4:EH35" si="83">+IF(((CD4&lt;&gt;0)+(CR4&lt;&gt;0)+(DF4&lt;&gt;0)+(DT4&lt;&gt;0))&gt;1,1,0)</f>
        <v>0</v>
      </c>
      <c r="EI4" s="110">
        <f t="shared" ref="EI4:EI35" si="84">+IF(((CE4&lt;&gt;0)+(CS4&lt;&gt;0)+(DG4&lt;&gt;0)+(DU4&lt;&gt;0))&gt;1,1,0)</f>
        <v>0</v>
      </c>
      <c r="EK4" s="111"/>
      <c r="EL4" s="110">
        <f t="shared" ref="EL4:EL35" si="85">+O4-C4</f>
        <v>0</v>
      </c>
      <c r="EM4" s="110">
        <f t="shared" ref="EM4:EM35" si="86">+AA4-O4</f>
        <v>6.2700000000000102</v>
      </c>
      <c r="EN4" s="110">
        <f t="shared" ref="EN4:EN35" si="87">+AM4-AA4</f>
        <v>0</v>
      </c>
      <c r="EP4" s="108" cm="1">
        <f t="array" ref="EP4">+IFERROR(INDEX($C$3:$AM$3,MATCH(TRUE,INDEX($C4:$AM4&lt;&gt;0,0),0)),"N/A")</f>
        <v>44926</v>
      </c>
      <c r="EQ4" s="112"/>
      <c r="ER4" s="1" t="str" cm="1">
        <f t="array" ref="ER4">+_xlfn.IFS(EW4&lt;&gt;0,EW$2,FB4&lt;&gt;0,FB$2,FG4&lt;&gt;0,FG$2,FL4&lt;&gt;0,FL$2,TRUE,"")</f>
        <v/>
      </c>
      <c r="ES4" s="1" t="str" cm="1">
        <f t="array" ref="ES4">+_xlfn.IFS(EX4&lt;&gt;0,EX$2,FC4&lt;&gt;0,FC$2,FH4&lt;&gt;0,FH$2,FM4&lt;&gt;0,FM$2,TRUE,"")</f>
        <v>Upsell</v>
      </c>
      <c r="ET4" s="1" t="str" cm="1">
        <f t="array" ref="ET4">+_xlfn.IFS(EY4&lt;&gt;0,EY$2,FD4&lt;&gt;0,FD$2,FI4&lt;&gt;0,FI$2,FN4&lt;&gt;0,FN$2,TRUE,"")</f>
        <v/>
      </c>
      <c r="EV4" s="111"/>
      <c r="EW4" s="110">
        <f t="shared" ref="EW4:EW35" si="88">+IF(AND(O4&gt;C4,C4&lt;=0,O4&gt;0),O4-C4,0)</f>
        <v>0</v>
      </c>
      <c r="EX4" s="110">
        <f t="shared" ref="EX4:EX35" si="89">+IF(AND(AA4&gt;O4,O4&lt;=0,AA4&gt;0),AA4-O4,0)</f>
        <v>0</v>
      </c>
      <c r="EY4" s="110">
        <f t="shared" ref="EY4:EY35" si="90">+IF(AND(AM4&gt;AA4,AA4&lt;=0,AM4&gt;0),AM4-AA4,0)</f>
        <v>0</v>
      </c>
      <c r="FA4" s="111"/>
      <c r="FB4" s="110">
        <f t="shared" ref="FB4:FB35" si="91">+IF(AND(O4&lt;C4,O4&lt;=0,C4&gt;0),O4-C4,0)</f>
        <v>0</v>
      </c>
      <c r="FC4" s="110">
        <f t="shared" ref="FC4:FC35" si="92">+IF(AND(AA4&lt;O4,AA4&lt;=0,O4&gt;0),AA4-O4,0)</f>
        <v>0</v>
      </c>
      <c r="FD4" s="110">
        <f t="shared" ref="FD4:FD35" si="93">+IF(AND(AM4&lt;AA4,AM4&lt;=0,AA4&gt;0),AM4-AA4,0)</f>
        <v>0</v>
      </c>
      <c r="FF4" s="111"/>
      <c r="FG4" s="110">
        <f t="shared" ref="FG4:FG35" si="94">+IF(AND(O4&lt;C4,NOT(AND(C4&gt;0,O4&lt;=0))),O4-C4,0)</f>
        <v>0</v>
      </c>
      <c r="FH4" s="110">
        <f t="shared" ref="FH4:FH35" si="95">+IF(AND(AA4&lt;O4,NOT(AND(O4&gt;0,AA4&lt;=0))),AA4-O4,0)</f>
        <v>0</v>
      </c>
      <c r="FI4" s="110">
        <f t="shared" ref="FI4:FI35" si="96">+IF(AND(AM4&lt;AA4,NOT(AND(AA4&gt;0,AM4&lt;=0))),AM4-AA4,0)</f>
        <v>0</v>
      </c>
      <c r="FK4" s="111"/>
      <c r="FL4" s="110">
        <f t="shared" ref="FL4:FL35" si="97">+IF(AND(O4&gt;C4,NOT(AND(C4&lt;=0,O4&gt;0))),O4-C4,0)</f>
        <v>0</v>
      </c>
      <c r="FM4" s="110">
        <f t="shared" ref="FM4:FM35" si="98">+IF(AND(AA4&gt;O4,NOT(AND(O4&lt;=0,AA4&gt;0))),AA4-O4,0)</f>
        <v>6.2700000000000102</v>
      </c>
      <c r="FN4" s="110">
        <f t="shared" ref="FN4:FN35" si="99">+IF(AND(AM4&gt;AA4,NOT(AND(AA4&lt;=0,AM4&gt;0))),AM4-AA4,0)</f>
        <v>0</v>
      </c>
      <c r="FP4" s="111"/>
      <c r="FQ4" s="110">
        <f t="shared" ref="FQ4:FQ35" si="100">+IF(((EW4&lt;&gt;0)+(FB4&lt;&gt;0)+(FG4&lt;&gt;0)+(FL4&lt;&gt;0))&gt;1,1,0)</f>
        <v>0</v>
      </c>
      <c r="FR4" s="110">
        <f t="shared" ref="FR4:FR35" si="101">+IF(((EX4&lt;&gt;0)+(FC4&lt;&gt;0)+(FH4&lt;&gt;0)+(FM4&lt;&gt;0))&gt;1,1,0)</f>
        <v>0</v>
      </c>
      <c r="FS4" s="110">
        <f t="shared" ref="FS4:FS35" si="102">+IF(((EY4&lt;&gt;0)+(FD4&lt;&gt;0)+(FI4&lt;&gt;0)+(FN4&lt;&gt;0))&gt;1,1,0)</f>
        <v>0</v>
      </c>
      <c r="FU4" s="111">
        <f t="shared" ref="FU4:FU35" si="103">+O4-C4</f>
        <v>0</v>
      </c>
      <c r="FV4" s="110">
        <f t="shared" ref="FV4:FV35" si="104">+P4-D4</f>
        <v>0</v>
      </c>
      <c r="FW4" s="110">
        <f t="shared" ref="FW4:FW35" si="105">+Q4-E4</f>
        <v>0</v>
      </c>
      <c r="FX4" s="110">
        <f t="shared" ref="FX4:FX35" si="106">+R4-F4</f>
        <v>0</v>
      </c>
      <c r="FY4" s="110">
        <f t="shared" ref="FY4:FY35" si="107">+S4-G4</f>
        <v>0</v>
      </c>
      <c r="FZ4" s="110">
        <f t="shared" ref="FZ4:FZ35" si="108">+T4-H4</f>
        <v>0</v>
      </c>
      <c r="GA4" s="110">
        <f t="shared" ref="GA4:GA35" si="109">+U4-I4</f>
        <v>0</v>
      </c>
      <c r="GB4" s="110">
        <f t="shared" ref="GB4:GB35" si="110">+V4-J4</f>
        <v>0</v>
      </c>
      <c r="GC4" s="110">
        <f t="shared" ref="GC4:GC35" si="111">+W4-K4</f>
        <v>0</v>
      </c>
      <c r="GD4" s="110">
        <f t="shared" ref="GD4:GD35" si="112">+X4-L4</f>
        <v>0</v>
      </c>
      <c r="GE4" s="110">
        <f t="shared" ref="GE4:GE35" si="113">+Y4-M4</f>
        <v>0</v>
      </c>
      <c r="GF4" s="110">
        <f t="shared" ref="GF4:GF35" si="114">+Z4-N4</f>
        <v>0</v>
      </c>
      <c r="GG4" s="110">
        <f t="shared" ref="GG4:GG35" si="115">+AA4-O4</f>
        <v>6.2700000000000102</v>
      </c>
      <c r="GH4" s="110">
        <f t="shared" ref="GH4:GH35" si="116">+AB4-P4</f>
        <v>6.2700000000000102</v>
      </c>
      <c r="GI4" s="110">
        <f t="shared" ref="GI4:GI35" si="117">+AC4-Q4</f>
        <v>6.2700000000000102</v>
      </c>
      <c r="GJ4" s="110">
        <f t="shared" ref="GJ4:GJ35" si="118">+AD4-R4</f>
        <v>6.2700000000000102</v>
      </c>
      <c r="GK4" s="110">
        <f t="shared" ref="GK4:GK35" si="119">+AE4-S4</f>
        <v>6.2700000000000102</v>
      </c>
      <c r="GL4" s="110">
        <f t="shared" ref="GL4:GL35" si="120">+AF4-T4</f>
        <v>6.2700000000000102</v>
      </c>
      <c r="GM4" s="110">
        <f t="shared" ref="GM4:GM35" si="121">+AG4-U4</f>
        <v>6.2700000000000102</v>
      </c>
      <c r="GN4" s="110">
        <f t="shared" ref="GN4:GN35" si="122">+AH4-V4</f>
        <v>6.2700000000000102</v>
      </c>
      <c r="GO4" s="110">
        <f t="shared" ref="GO4:GO35" si="123">+AI4-W4</f>
        <v>6.2700000000000102</v>
      </c>
      <c r="GP4" s="110">
        <f t="shared" ref="GP4:GP35" si="124">+AJ4-X4</f>
        <v>6.2700000000000102</v>
      </c>
      <c r="GQ4" s="110">
        <f t="shared" ref="GQ4:GQ35" si="125">+AK4-Y4</f>
        <v>6.2700000000000102</v>
      </c>
      <c r="GR4" s="110">
        <f t="shared" ref="GR4:GR35" si="126">+AL4-Z4</f>
        <v>6.2700000000000102</v>
      </c>
      <c r="GS4" s="110">
        <f t="shared" ref="GS4:GS35" si="127">+AM4-AA4</f>
        <v>0</v>
      </c>
      <c r="GU4" s="108" cm="1">
        <f t="array" ref="GU4">+IFERROR(INDEX($C$3:$AM$3,MATCH(TRUE,INDEX($C4:$AM4&lt;&gt;0,0),0)),"N/A")</f>
        <v>44926</v>
      </c>
      <c r="GV4" s="112" t="str" cm="1">
        <f t="array" ref="GV4">+_xlfn.IFS(HV4&lt;&gt;0,HV$2,IV4&lt;&gt;0,IV$2,JV4&lt;&gt;0,JV$2,KV4&lt;&gt;0,KV$2,TRUE,"")</f>
        <v/>
      </c>
      <c r="GW4" s="1" t="str" cm="1">
        <f t="array" ref="GW4">+_xlfn.IFS(HW4&lt;&gt;0,HW$2,IW4&lt;&gt;0,IW$2,JW4&lt;&gt;0,JW$2,KW4&lt;&gt;0,KW$2,TRUE,"")</f>
        <v/>
      </c>
      <c r="GX4" s="1" t="str" cm="1">
        <f t="array" ref="GX4">+_xlfn.IFS(HX4&lt;&gt;0,HX$2,IX4&lt;&gt;0,IX$2,JX4&lt;&gt;0,JX$2,KX4&lt;&gt;0,KX$2,TRUE,"")</f>
        <v/>
      </c>
      <c r="GY4" s="1" t="str" cm="1">
        <f t="array" ref="GY4">+_xlfn.IFS(HY4&lt;&gt;0,HY$2,IY4&lt;&gt;0,IY$2,JY4&lt;&gt;0,JY$2,KY4&lt;&gt;0,KY$2,TRUE,"")</f>
        <v/>
      </c>
      <c r="GZ4" s="1" t="str" cm="1">
        <f t="array" ref="GZ4">+_xlfn.IFS(HZ4&lt;&gt;0,HZ$2,IZ4&lt;&gt;0,IZ$2,JZ4&lt;&gt;0,JZ$2,KZ4&lt;&gt;0,KZ$2,TRUE,"")</f>
        <v/>
      </c>
      <c r="HA4" s="1" t="str" cm="1">
        <f t="array" ref="HA4">+_xlfn.IFS(IA4&lt;&gt;0,IA$2,JA4&lt;&gt;0,JA$2,KA4&lt;&gt;0,KA$2,LA4&lt;&gt;0,LA$2,TRUE,"")</f>
        <v/>
      </c>
      <c r="HB4" s="1" t="str" cm="1">
        <f t="array" ref="HB4">+_xlfn.IFS(IB4&lt;&gt;0,IB$2,JB4&lt;&gt;0,JB$2,KB4&lt;&gt;0,KB$2,LB4&lt;&gt;0,LB$2,TRUE,"")</f>
        <v/>
      </c>
      <c r="HC4" s="1" t="str" cm="1">
        <f t="array" ref="HC4">+_xlfn.IFS(IC4&lt;&gt;0,IC$2,JC4&lt;&gt;0,JC$2,KC4&lt;&gt;0,KC$2,LC4&lt;&gt;0,LC$2,TRUE,"")</f>
        <v/>
      </c>
      <c r="HD4" s="1" t="str" cm="1">
        <f t="array" ref="HD4">+_xlfn.IFS(ID4&lt;&gt;0,ID$2,JD4&lt;&gt;0,JD$2,KD4&lt;&gt;0,KD$2,LD4&lt;&gt;0,LD$2,TRUE,"")</f>
        <v/>
      </c>
      <c r="HE4" s="1" t="str" cm="1">
        <f t="array" ref="HE4">+_xlfn.IFS(IE4&lt;&gt;0,IE$2,JE4&lt;&gt;0,JE$2,KE4&lt;&gt;0,KE$2,LE4&lt;&gt;0,LE$2,TRUE,"")</f>
        <v/>
      </c>
      <c r="HF4" s="1" t="str" cm="1">
        <f t="array" ref="HF4">+_xlfn.IFS(IF4&lt;&gt;0,IF$2,JF4&lt;&gt;0,JF$2,KF4&lt;&gt;0,KF$2,LF4&lt;&gt;0,LF$2,TRUE,"")</f>
        <v/>
      </c>
      <c r="HG4" s="1" t="str" cm="1">
        <f t="array" ref="HG4">+_xlfn.IFS(IG4&lt;&gt;0,IG$2,JG4&lt;&gt;0,JG$2,KG4&lt;&gt;0,KG$2,LG4&lt;&gt;0,LG$2,TRUE,"")</f>
        <v/>
      </c>
      <c r="HH4" s="1" t="str" cm="1">
        <f t="array" ref="HH4">+_xlfn.IFS(IH4&lt;&gt;0,IH$2,JH4&lt;&gt;0,JH$2,KH4&lt;&gt;0,KH$2,LH4&lt;&gt;0,LH$2,TRUE,"")</f>
        <v>Upsell</v>
      </c>
      <c r="HI4" s="1" t="str" cm="1">
        <f t="array" ref="HI4">+_xlfn.IFS(II4&lt;&gt;0,II$2,JI4&lt;&gt;0,JI$2,KI4&lt;&gt;0,KI$2,LI4&lt;&gt;0,LI$2,TRUE,"")</f>
        <v>Upsell</v>
      </c>
      <c r="HJ4" s="1" t="str" cm="1">
        <f t="array" ref="HJ4">+_xlfn.IFS(IJ4&lt;&gt;0,IJ$2,JJ4&lt;&gt;0,JJ$2,KJ4&lt;&gt;0,KJ$2,LJ4&lt;&gt;0,LJ$2,TRUE,"")</f>
        <v>Upsell</v>
      </c>
      <c r="HK4" s="1" t="str" cm="1">
        <f t="array" ref="HK4">+_xlfn.IFS(IK4&lt;&gt;0,IK$2,JK4&lt;&gt;0,JK$2,KK4&lt;&gt;0,KK$2,LK4&lt;&gt;0,LK$2,TRUE,"")</f>
        <v>Upsell</v>
      </c>
      <c r="HL4" s="1" t="str" cm="1">
        <f t="array" ref="HL4">+_xlfn.IFS(IL4&lt;&gt;0,IL$2,JL4&lt;&gt;0,JL$2,KL4&lt;&gt;0,KL$2,LL4&lt;&gt;0,LL$2,TRUE,"")</f>
        <v>Upsell</v>
      </c>
      <c r="HM4" s="1" t="str" cm="1">
        <f t="array" ref="HM4">+_xlfn.IFS(IM4&lt;&gt;0,IM$2,JM4&lt;&gt;0,JM$2,KM4&lt;&gt;0,KM$2,LM4&lt;&gt;0,LM$2,TRUE,"")</f>
        <v>Upsell</v>
      </c>
      <c r="HN4" s="1" t="str" cm="1">
        <f t="array" ref="HN4">+_xlfn.IFS(IN4&lt;&gt;0,IN$2,JN4&lt;&gt;0,JN$2,KN4&lt;&gt;0,KN$2,LN4&lt;&gt;0,LN$2,TRUE,"")</f>
        <v>Upsell</v>
      </c>
      <c r="HO4" s="1" t="str" cm="1">
        <f t="array" ref="HO4">+_xlfn.IFS(IO4&lt;&gt;0,IO$2,JO4&lt;&gt;0,JO$2,KO4&lt;&gt;0,KO$2,LO4&lt;&gt;0,LO$2,TRUE,"")</f>
        <v>Upsell</v>
      </c>
      <c r="HP4" s="1" t="str" cm="1">
        <f t="array" ref="HP4">+_xlfn.IFS(IP4&lt;&gt;0,IP$2,JP4&lt;&gt;0,JP$2,KP4&lt;&gt;0,KP$2,LP4&lt;&gt;0,LP$2,TRUE,"")</f>
        <v>Upsell</v>
      </c>
      <c r="HQ4" s="1" t="str" cm="1">
        <f t="array" ref="HQ4">+_xlfn.IFS(IQ4&lt;&gt;0,IQ$2,JQ4&lt;&gt;0,JQ$2,KQ4&lt;&gt;0,KQ$2,LQ4&lt;&gt;0,LQ$2,TRUE,"")</f>
        <v>Upsell</v>
      </c>
      <c r="HR4" s="1" t="str" cm="1">
        <f t="array" ref="HR4">+_xlfn.IFS(IR4&lt;&gt;0,IR$2,JR4&lt;&gt;0,JR$2,KR4&lt;&gt;0,KR$2,LR4&lt;&gt;0,LR$2,TRUE,"")</f>
        <v>Upsell</v>
      </c>
      <c r="HS4" s="1" t="str" cm="1">
        <f t="array" ref="HS4">+_xlfn.IFS(IS4&lt;&gt;0,IS$2,JS4&lt;&gt;0,JS$2,KS4&lt;&gt;0,KS$2,LS4&lt;&gt;0,LS$2,TRUE,"")</f>
        <v>Upsell</v>
      </c>
      <c r="HT4" s="1" t="str" cm="1">
        <f t="array" ref="HT4">+_xlfn.IFS(IT4&lt;&gt;0,IT$2,JT4&lt;&gt;0,JT$2,KT4&lt;&gt;0,KT$2,LT4&lt;&gt;0,LT$2,TRUE,"")</f>
        <v/>
      </c>
      <c r="HV4" s="111">
        <f t="shared" ref="HV4:HV35" si="128">+IF(AND(O4&gt;C4,C4&lt;=0,O4&gt;0),O4-C4,0)</f>
        <v>0</v>
      </c>
      <c r="HW4" s="110">
        <f t="shared" ref="HW4:HW35" si="129">+IF(AND(P4&gt;D4,D4&lt;=0,P4&gt;0),P4-D4,0)</f>
        <v>0</v>
      </c>
      <c r="HX4" s="110">
        <f t="shared" ref="HX4:HX35" si="130">+IF(AND(Q4&gt;E4,E4&lt;=0,Q4&gt;0),Q4-E4,0)</f>
        <v>0</v>
      </c>
      <c r="HY4" s="110">
        <f t="shared" ref="HY4:HY35" si="131">+IF(AND(R4&gt;F4,F4&lt;=0,R4&gt;0),R4-F4,0)</f>
        <v>0</v>
      </c>
      <c r="HZ4" s="110">
        <f t="shared" ref="HZ4:HZ35" si="132">+IF(AND(S4&gt;G4,G4&lt;=0,S4&gt;0),S4-G4,0)</f>
        <v>0</v>
      </c>
      <c r="IA4" s="110">
        <f t="shared" ref="IA4:IA35" si="133">+IF(AND(T4&gt;H4,H4&lt;=0,T4&gt;0),T4-H4,0)</f>
        <v>0</v>
      </c>
      <c r="IB4" s="110">
        <f t="shared" ref="IB4:IB35" si="134">+IF(AND(U4&gt;I4,I4&lt;=0,U4&gt;0),U4-I4,0)</f>
        <v>0</v>
      </c>
      <c r="IC4" s="110">
        <f t="shared" ref="IC4:IC35" si="135">+IF(AND(V4&gt;J4,J4&lt;=0,V4&gt;0),V4-J4,0)</f>
        <v>0</v>
      </c>
      <c r="ID4" s="110">
        <f t="shared" ref="ID4:ID35" si="136">+IF(AND(W4&gt;K4,K4&lt;=0,W4&gt;0),W4-K4,0)</f>
        <v>0</v>
      </c>
      <c r="IE4" s="110">
        <f t="shared" ref="IE4:IE35" si="137">+IF(AND(X4&gt;L4,L4&lt;=0,X4&gt;0),X4-L4,0)</f>
        <v>0</v>
      </c>
      <c r="IF4" s="110">
        <f t="shared" ref="IF4:IF35" si="138">+IF(AND(Y4&gt;M4,M4&lt;=0,Y4&gt;0),Y4-M4,0)</f>
        <v>0</v>
      </c>
      <c r="IG4" s="110">
        <f t="shared" ref="IG4:IG35" si="139">+IF(AND(Z4&gt;N4,N4&lt;=0,Z4&gt;0),Z4-N4,0)</f>
        <v>0</v>
      </c>
      <c r="IH4" s="110">
        <f t="shared" ref="IH4:IH35" si="140">+IF(AND(AA4&gt;O4,O4&lt;=0,AA4&gt;0),AA4-O4,0)</f>
        <v>0</v>
      </c>
      <c r="II4" s="110">
        <f t="shared" ref="II4:II35" si="141">+IF(AND(AB4&gt;P4,P4&lt;=0,AB4&gt;0),AB4-P4,0)</f>
        <v>0</v>
      </c>
      <c r="IJ4" s="110">
        <f t="shared" ref="IJ4:IJ35" si="142">+IF(AND(AC4&gt;Q4,Q4&lt;=0,AC4&gt;0),AC4-Q4,0)</f>
        <v>0</v>
      </c>
      <c r="IK4" s="110">
        <f t="shared" ref="IK4:IK35" si="143">+IF(AND(AD4&gt;R4,R4&lt;=0,AD4&gt;0),AD4-R4,0)</f>
        <v>0</v>
      </c>
      <c r="IL4" s="110">
        <f t="shared" ref="IL4:IL35" si="144">+IF(AND(AE4&gt;S4,S4&lt;=0,AE4&gt;0),AE4-S4,0)</f>
        <v>0</v>
      </c>
      <c r="IM4" s="110">
        <f t="shared" ref="IM4:IM35" si="145">+IF(AND(AF4&gt;T4,T4&lt;=0,AF4&gt;0),AF4-T4,0)</f>
        <v>0</v>
      </c>
      <c r="IN4" s="110">
        <f t="shared" ref="IN4:IN35" si="146">+IF(AND(AG4&gt;U4,U4&lt;=0,AG4&gt;0),AG4-U4,0)</f>
        <v>0</v>
      </c>
      <c r="IO4" s="110">
        <f t="shared" ref="IO4:IO35" si="147">+IF(AND(AH4&gt;V4,V4&lt;=0,AH4&gt;0),AH4-V4,0)</f>
        <v>0</v>
      </c>
      <c r="IP4" s="110">
        <f t="shared" ref="IP4:IP35" si="148">+IF(AND(AI4&gt;W4,W4&lt;=0,AI4&gt;0),AI4-W4,0)</f>
        <v>0</v>
      </c>
      <c r="IQ4" s="110">
        <f t="shared" ref="IQ4:IQ35" si="149">+IF(AND(AJ4&gt;X4,X4&lt;=0,AJ4&gt;0),AJ4-X4,0)</f>
        <v>0</v>
      </c>
      <c r="IR4" s="110">
        <f t="shared" ref="IR4:IR35" si="150">+IF(AND(AK4&gt;Y4,Y4&lt;=0,AK4&gt;0),AK4-Y4,0)</f>
        <v>0</v>
      </c>
      <c r="IS4" s="110">
        <f t="shared" ref="IS4:IS35" si="151">+IF(AND(AL4&gt;Z4,Z4&lt;=0,AL4&gt;0),AL4-Z4,0)</f>
        <v>0</v>
      </c>
      <c r="IT4" s="110">
        <f t="shared" ref="IT4:IT35" si="152">+IF(AND(AM4&gt;AA4,AA4&lt;=0,AM4&gt;0),AM4-AA4,0)</f>
        <v>0</v>
      </c>
      <c r="IV4" s="111">
        <f t="shared" ref="IV4:IV35" si="153">+IF(AND(O4&lt;C4,O4&lt;=0,C4&gt;0),O4-C4,0)</f>
        <v>0</v>
      </c>
      <c r="IW4" s="110">
        <f t="shared" ref="IW4:IW35" si="154">+IF(AND(P4&lt;D4,P4&lt;=0,D4&gt;0),P4-D4,0)</f>
        <v>0</v>
      </c>
      <c r="IX4" s="110">
        <f t="shared" ref="IX4:IX35" si="155">+IF(AND(Q4&lt;E4,Q4&lt;=0,E4&gt;0),Q4-E4,0)</f>
        <v>0</v>
      </c>
      <c r="IY4" s="110">
        <f t="shared" ref="IY4:IY35" si="156">+IF(AND(R4&lt;F4,R4&lt;=0,F4&gt;0),R4-F4,0)</f>
        <v>0</v>
      </c>
      <c r="IZ4" s="110">
        <f t="shared" ref="IZ4:IZ35" si="157">+IF(AND(S4&lt;G4,S4&lt;=0,G4&gt;0),S4-G4,0)</f>
        <v>0</v>
      </c>
      <c r="JA4" s="110">
        <f t="shared" ref="JA4:JA35" si="158">+IF(AND(T4&lt;H4,T4&lt;=0,H4&gt;0),T4-H4,0)</f>
        <v>0</v>
      </c>
      <c r="JB4" s="110">
        <f t="shared" ref="JB4:JB35" si="159">+IF(AND(U4&lt;I4,U4&lt;=0,I4&gt;0),U4-I4,0)</f>
        <v>0</v>
      </c>
      <c r="JC4" s="110">
        <f t="shared" ref="JC4:JC35" si="160">+IF(AND(V4&lt;J4,V4&lt;=0,J4&gt;0),V4-J4,0)</f>
        <v>0</v>
      </c>
      <c r="JD4" s="110">
        <f t="shared" ref="JD4:JD35" si="161">+IF(AND(W4&lt;K4,W4&lt;=0,K4&gt;0),W4-K4,0)</f>
        <v>0</v>
      </c>
      <c r="JE4" s="110">
        <f t="shared" ref="JE4:JE35" si="162">+IF(AND(X4&lt;L4,X4&lt;=0,L4&gt;0),X4-L4,0)</f>
        <v>0</v>
      </c>
      <c r="JF4" s="110">
        <f t="shared" ref="JF4:JF35" si="163">+IF(AND(Y4&lt;M4,Y4&lt;=0,M4&gt;0),Y4-M4,0)</f>
        <v>0</v>
      </c>
      <c r="JG4" s="110">
        <f t="shared" ref="JG4:JG35" si="164">+IF(AND(Z4&lt;N4,Z4&lt;=0,N4&gt;0),Z4-N4,0)</f>
        <v>0</v>
      </c>
      <c r="JH4" s="110">
        <f t="shared" ref="JH4:JH35" si="165">+IF(AND(AA4&lt;O4,AA4&lt;=0,O4&gt;0),AA4-O4,0)</f>
        <v>0</v>
      </c>
      <c r="JI4" s="110">
        <f t="shared" ref="JI4:JI35" si="166">+IF(AND(AB4&lt;P4,AB4&lt;=0,P4&gt;0),AB4-P4,0)</f>
        <v>0</v>
      </c>
      <c r="JJ4" s="110">
        <f t="shared" ref="JJ4:JJ35" si="167">+IF(AND(AC4&lt;Q4,AC4&lt;=0,Q4&gt;0),AC4-Q4,0)</f>
        <v>0</v>
      </c>
      <c r="JK4" s="110">
        <f t="shared" ref="JK4:JK35" si="168">+IF(AND(AD4&lt;R4,AD4&lt;=0,R4&gt;0),AD4-R4,0)</f>
        <v>0</v>
      </c>
      <c r="JL4" s="110">
        <f t="shared" ref="JL4:JL35" si="169">+IF(AND(AE4&lt;S4,AE4&lt;=0,S4&gt;0),AE4-S4,0)</f>
        <v>0</v>
      </c>
      <c r="JM4" s="110">
        <f t="shared" ref="JM4:JM35" si="170">+IF(AND(AF4&lt;T4,AF4&lt;=0,T4&gt;0),AF4-T4,0)</f>
        <v>0</v>
      </c>
      <c r="JN4" s="110">
        <f t="shared" ref="JN4:JN35" si="171">+IF(AND(AG4&lt;U4,AG4&lt;=0,U4&gt;0),AG4-U4,0)</f>
        <v>0</v>
      </c>
      <c r="JO4" s="110">
        <f t="shared" ref="JO4:JO35" si="172">+IF(AND(AH4&lt;V4,AH4&lt;=0,V4&gt;0),AH4-V4,0)</f>
        <v>0</v>
      </c>
      <c r="JP4" s="110">
        <f t="shared" ref="JP4:JP35" si="173">+IF(AND(AI4&lt;W4,AI4&lt;=0,W4&gt;0),AI4-W4,0)</f>
        <v>0</v>
      </c>
      <c r="JQ4" s="110">
        <f t="shared" ref="JQ4:JQ35" si="174">+IF(AND(AJ4&lt;X4,AJ4&lt;=0,X4&gt;0),AJ4-X4,0)</f>
        <v>0</v>
      </c>
      <c r="JR4" s="110">
        <f t="shared" ref="JR4:JR35" si="175">+IF(AND(AK4&lt;Y4,AK4&lt;=0,Y4&gt;0),AK4-Y4,0)</f>
        <v>0</v>
      </c>
      <c r="JS4" s="110">
        <f t="shared" ref="JS4:JS35" si="176">+IF(AND(AL4&lt;Z4,AL4&lt;=0,Z4&gt;0),AL4-Z4,0)</f>
        <v>0</v>
      </c>
      <c r="JT4" s="110">
        <f t="shared" ref="JT4:JT35" si="177">+IF(AND(AM4&lt;AA4,AM4&lt;=0,AA4&gt;0),AM4-AA4,0)</f>
        <v>0</v>
      </c>
      <c r="JV4" s="111">
        <f t="shared" ref="JV4:JV35" si="178">+IF(AND(O4&lt;C4,NOT(AND(C4&gt;0,O4&lt;=0))),O4-C4,0)</f>
        <v>0</v>
      </c>
      <c r="JW4" s="110">
        <f t="shared" ref="JW4:JW35" si="179">+IF(AND(P4&lt;D4,NOT(AND(D4&gt;0,P4&lt;=0))),P4-D4,0)</f>
        <v>0</v>
      </c>
      <c r="JX4" s="110">
        <f t="shared" ref="JX4:JX35" si="180">+IF(AND(Q4&lt;E4,NOT(AND(E4&gt;0,Q4&lt;=0))),Q4-E4,0)</f>
        <v>0</v>
      </c>
      <c r="JY4" s="110">
        <f t="shared" ref="JY4:JY35" si="181">+IF(AND(R4&lt;F4,NOT(AND(F4&gt;0,R4&lt;=0))),R4-F4,0)</f>
        <v>0</v>
      </c>
      <c r="JZ4" s="110">
        <f t="shared" ref="JZ4:JZ35" si="182">+IF(AND(S4&lt;G4,NOT(AND(G4&gt;0,S4&lt;=0))),S4-G4,0)</f>
        <v>0</v>
      </c>
      <c r="KA4" s="110">
        <f t="shared" ref="KA4:KA35" si="183">+IF(AND(T4&lt;H4,NOT(AND(H4&gt;0,T4&lt;=0))),T4-H4,0)</f>
        <v>0</v>
      </c>
      <c r="KB4" s="110">
        <f t="shared" ref="KB4:KB35" si="184">+IF(AND(U4&lt;I4,NOT(AND(I4&gt;0,U4&lt;=0))),U4-I4,0)</f>
        <v>0</v>
      </c>
      <c r="KC4" s="110">
        <f t="shared" ref="KC4:KC35" si="185">+IF(AND(V4&lt;J4,NOT(AND(J4&gt;0,V4&lt;=0))),V4-J4,0)</f>
        <v>0</v>
      </c>
      <c r="KD4" s="110">
        <f t="shared" ref="KD4:KD35" si="186">+IF(AND(W4&lt;K4,NOT(AND(K4&gt;0,W4&lt;=0))),W4-K4,0)</f>
        <v>0</v>
      </c>
      <c r="KE4" s="110">
        <f t="shared" ref="KE4:KE35" si="187">+IF(AND(X4&lt;L4,NOT(AND(L4&gt;0,X4&lt;=0))),X4-L4,0)</f>
        <v>0</v>
      </c>
      <c r="KF4" s="110">
        <f t="shared" ref="KF4:KF35" si="188">+IF(AND(Y4&lt;M4,NOT(AND(M4&gt;0,Y4&lt;=0))),Y4-M4,0)</f>
        <v>0</v>
      </c>
      <c r="KG4" s="110">
        <f t="shared" ref="KG4:KG35" si="189">+IF(AND(Z4&lt;N4,NOT(AND(N4&gt;0,Z4&lt;=0))),Z4-N4,0)</f>
        <v>0</v>
      </c>
      <c r="KH4" s="110">
        <f t="shared" ref="KH4:KH35" si="190">+IF(AND(AA4&lt;O4,NOT(AND(O4&gt;0,AA4&lt;=0))),AA4-O4,0)</f>
        <v>0</v>
      </c>
      <c r="KI4" s="110">
        <f t="shared" ref="KI4:KI35" si="191">+IF(AND(AB4&lt;P4,NOT(AND(P4&gt;0,AB4&lt;=0))),AB4-P4,0)</f>
        <v>0</v>
      </c>
      <c r="KJ4" s="110">
        <f t="shared" ref="KJ4:KJ35" si="192">+IF(AND(AC4&lt;Q4,NOT(AND(Q4&gt;0,AC4&lt;=0))),AC4-Q4,0)</f>
        <v>0</v>
      </c>
      <c r="KK4" s="110">
        <f t="shared" ref="KK4:KK35" si="193">+IF(AND(AD4&lt;R4,NOT(AND(R4&gt;0,AD4&lt;=0))),AD4-R4,0)</f>
        <v>0</v>
      </c>
      <c r="KL4" s="110">
        <f t="shared" ref="KL4:KL35" si="194">+IF(AND(AE4&lt;S4,NOT(AND(S4&gt;0,AE4&lt;=0))),AE4-S4,0)</f>
        <v>0</v>
      </c>
      <c r="KM4" s="110">
        <f t="shared" ref="KM4:KM35" si="195">+IF(AND(AF4&lt;T4,NOT(AND(T4&gt;0,AF4&lt;=0))),AF4-T4,0)</f>
        <v>0</v>
      </c>
      <c r="KN4" s="110">
        <f t="shared" ref="KN4:KN35" si="196">+IF(AND(AG4&lt;U4,NOT(AND(U4&gt;0,AG4&lt;=0))),AG4-U4,0)</f>
        <v>0</v>
      </c>
      <c r="KO4" s="110">
        <f t="shared" ref="KO4:KO35" si="197">+IF(AND(AH4&lt;V4,NOT(AND(V4&gt;0,AH4&lt;=0))),AH4-V4,0)</f>
        <v>0</v>
      </c>
      <c r="KP4" s="110">
        <f t="shared" ref="KP4:KP35" si="198">+IF(AND(AI4&lt;W4,NOT(AND(W4&gt;0,AI4&lt;=0))),AI4-W4,0)</f>
        <v>0</v>
      </c>
      <c r="KQ4" s="110">
        <f t="shared" ref="KQ4:KQ35" si="199">+IF(AND(AJ4&lt;X4,NOT(AND(X4&gt;0,AJ4&lt;=0))),AJ4-X4,0)</f>
        <v>0</v>
      </c>
      <c r="KR4" s="110">
        <f t="shared" ref="KR4:KR35" si="200">+IF(AND(AK4&lt;Y4,NOT(AND(Y4&gt;0,AK4&lt;=0))),AK4-Y4,0)</f>
        <v>0</v>
      </c>
      <c r="KS4" s="110">
        <f t="shared" ref="KS4:KS35" si="201">+IF(AND(AL4&lt;Z4,NOT(AND(Z4&gt;0,AL4&lt;=0))),AL4-Z4,0)</f>
        <v>0</v>
      </c>
      <c r="KT4" s="110">
        <f t="shared" ref="KT4:KT35" si="202">+IF(AND(AM4&lt;AA4,NOT(AND(AA4&gt;0,AM4&lt;=0))),AM4-AA4,0)</f>
        <v>0</v>
      </c>
      <c r="KV4" s="111">
        <f t="shared" ref="KV4:KV35" si="203">+IF(AND(O4&gt;C4,NOT(AND(C4&lt;=0,O4&gt;0))),O4-C4,0)</f>
        <v>0</v>
      </c>
      <c r="KW4" s="110">
        <f t="shared" ref="KW4:KW35" si="204">+IF(AND(P4&gt;D4,NOT(AND(D4&lt;=0,P4&gt;0))),P4-D4,0)</f>
        <v>0</v>
      </c>
      <c r="KX4" s="110">
        <f t="shared" ref="KX4:KX35" si="205">+IF(AND(Q4&gt;E4,NOT(AND(E4&lt;=0,Q4&gt;0))),Q4-E4,0)</f>
        <v>0</v>
      </c>
      <c r="KY4" s="110">
        <f t="shared" ref="KY4:KY35" si="206">+IF(AND(R4&gt;F4,NOT(AND(F4&lt;=0,R4&gt;0))),R4-F4,0)</f>
        <v>0</v>
      </c>
      <c r="KZ4" s="110">
        <f t="shared" ref="KZ4:KZ35" si="207">+IF(AND(S4&gt;G4,NOT(AND(G4&lt;=0,S4&gt;0))),S4-G4,0)</f>
        <v>0</v>
      </c>
      <c r="LA4" s="110">
        <f t="shared" ref="LA4:LA35" si="208">+IF(AND(T4&gt;H4,NOT(AND(H4&lt;=0,T4&gt;0))),T4-H4,0)</f>
        <v>0</v>
      </c>
      <c r="LB4" s="110">
        <f t="shared" ref="LB4:LB35" si="209">+IF(AND(U4&gt;I4,NOT(AND(I4&lt;=0,U4&gt;0))),U4-I4,0)</f>
        <v>0</v>
      </c>
      <c r="LC4" s="110">
        <f t="shared" ref="LC4:LC35" si="210">+IF(AND(V4&gt;J4,NOT(AND(J4&lt;=0,V4&gt;0))),V4-J4,0)</f>
        <v>0</v>
      </c>
      <c r="LD4" s="110">
        <f t="shared" ref="LD4:LD35" si="211">+IF(AND(W4&gt;K4,NOT(AND(K4&lt;=0,W4&gt;0))),W4-K4,0)</f>
        <v>0</v>
      </c>
      <c r="LE4" s="110">
        <f t="shared" ref="LE4:LE35" si="212">+IF(AND(X4&gt;L4,NOT(AND(L4&lt;=0,X4&gt;0))),X4-L4,0)</f>
        <v>0</v>
      </c>
      <c r="LF4" s="110">
        <f t="shared" ref="LF4:LF35" si="213">+IF(AND(Y4&gt;M4,NOT(AND(M4&lt;=0,Y4&gt;0))),Y4-M4,0)</f>
        <v>0</v>
      </c>
      <c r="LG4" s="110">
        <f t="shared" ref="LG4:LG35" si="214">+IF(AND(Z4&gt;N4,NOT(AND(N4&lt;=0,Z4&gt;0))),Z4-N4,0)</f>
        <v>0</v>
      </c>
      <c r="LH4" s="110">
        <f t="shared" ref="LH4:LH35" si="215">+IF(AND(AA4&gt;O4,NOT(AND(O4&lt;=0,AA4&gt;0))),AA4-O4,0)</f>
        <v>6.2700000000000102</v>
      </c>
      <c r="LI4" s="110">
        <f t="shared" ref="LI4:LI35" si="216">+IF(AND(AB4&gt;P4,NOT(AND(P4&lt;=0,AB4&gt;0))),AB4-P4,0)</f>
        <v>6.2700000000000102</v>
      </c>
      <c r="LJ4" s="110">
        <f t="shared" ref="LJ4:LJ35" si="217">+IF(AND(AC4&gt;Q4,NOT(AND(Q4&lt;=0,AC4&gt;0))),AC4-Q4,0)</f>
        <v>6.2700000000000102</v>
      </c>
      <c r="LK4" s="110">
        <f t="shared" ref="LK4:LK35" si="218">+IF(AND(AD4&gt;R4,NOT(AND(R4&lt;=0,AD4&gt;0))),AD4-R4,0)</f>
        <v>6.2700000000000102</v>
      </c>
      <c r="LL4" s="110">
        <f t="shared" ref="LL4:LL35" si="219">+IF(AND(AE4&gt;S4,NOT(AND(S4&lt;=0,AE4&gt;0))),AE4-S4,0)</f>
        <v>6.2700000000000102</v>
      </c>
      <c r="LM4" s="110">
        <f t="shared" ref="LM4:LM35" si="220">+IF(AND(AF4&gt;T4,NOT(AND(T4&lt;=0,AF4&gt;0))),AF4-T4,0)</f>
        <v>6.2700000000000102</v>
      </c>
      <c r="LN4" s="110">
        <f t="shared" ref="LN4:LN35" si="221">+IF(AND(AG4&gt;U4,NOT(AND(U4&lt;=0,AG4&gt;0))),AG4-U4,0)</f>
        <v>6.2700000000000102</v>
      </c>
      <c r="LO4" s="110">
        <f t="shared" ref="LO4:LO35" si="222">+IF(AND(AH4&gt;V4,NOT(AND(V4&lt;=0,AH4&gt;0))),AH4-V4,0)</f>
        <v>6.2700000000000102</v>
      </c>
      <c r="LP4" s="110">
        <f t="shared" ref="LP4:LP35" si="223">+IF(AND(AI4&gt;W4,NOT(AND(W4&lt;=0,AI4&gt;0))),AI4-W4,0)</f>
        <v>6.2700000000000102</v>
      </c>
      <c r="LQ4" s="110">
        <f t="shared" ref="LQ4:LQ35" si="224">+IF(AND(AJ4&gt;X4,NOT(AND(X4&lt;=0,AJ4&gt;0))),AJ4-X4,0)</f>
        <v>6.2700000000000102</v>
      </c>
      <c r="LR4" s="110">
        <f t="shared" ref="LR4:LR35" si="225">+IF(AND(AK4&gt;Y4,NOT(AND(Y4&lt;=0,AK4&gt;0))),AK4-Y4,0)</f>
        <v>6.2700000000000102</v>
      </c>
      <c r="LS4" s="110">
        <f t="shared" ref="LS4:LS35" si="226">+IF(AND(AL4&gt;Z4,NOT(AND(Z4&lt;=0,AL4&gt;0))),AL4-Z4,0)</f>
        <v>6.2700000000000102</v>
      </c>
      <c r="LT4" s="110">
        <f t="shared" ref="LT4:LT35" si="227">+IF(AND(AM4&gt;AA4,NOT(AND(AA4&lt;=0,AM4&gt;0))),AM4-AA4,0)</f>
        <v>0</v>
      </c>
      <c r="LV4" s="111"/>
      <c r="LW4" s="110">
        <f t="shared" ref="LW4:LW35" si="228">+IF(((HW4&lt;&gt;0)+(IW4&lt;&gt;0)+(JW4&lt;&gt;0)+(KW4&lt;&gt;0))&gt;1,1,0)</f>
        <v>0</v>
      </c>
      <c r="LX4" s="110">
        <f t="shared" ref="LX4:LX35" si="229">+IF(((HX4&lt;&gt;0)+(IX4&lt;&gt;0)+(JX4&lt;&gt;0)+(KX4&lt;&gt;0))&gt;1,1,0)</f>
        <v>0</v>
      </c>
      <c r="LY4" s="110">
        <f t="shared" ref="LY4:LY35" si="230">+IF(((HY4&lt;&gt;0)+(IY4&lt;&gt;0)+(JY4&lt;&gt;0)+(KY4&lt;&gt;0))&gt;1,1,0)</f>
        <v>0</v>
      </c>
      <c r="LZ4" s="110">
        <f t="shared" ref="LZ4:LZ35" si="231">+IF(((HZ4&lt;&gt;0)+(IZ4&lt;&gt;0)+(JZ4&lt;&gt;0)+(KZ4&lt;&gt;0))&gt;1,1,0)</f>
        <v>0</v>
      </c>
      <c r="MA4" s="110">
        <f t="shared" ref="MA4:MA35" si="232">+IF(((IA4&lt;&gt;0)+(JA4&lt;&gt;0)+(KA4&lt;&gt;0)+(LA4&lt;&gt;0))&gt;1,1,0)</f>
        <v>0</v>
      </c>
      <c r="MB4" s="110">
        <f t="shared" ref="MB4:MB35" si="233">+IF(((IB4&lt;&gt;0)+(JB4&lt;&gt;0)+(KB4&lt;&gt;0)+(LB4&lt;&gt;0))&gt;1,1,0)</f>
        <v>0</v>
      </c>
      <c r="MC4" s="110">
        <f t="shared" ref="MC4:MC35" si="234">+IF(((IC4&lt;&gt;0)+(JC4&lt;&gt;0)+(KC4&lt;&gt;0)+(LC4&lt;&gt;0))&gt;1,1,0)</f>
        <v>0</v>
      </c>
      <c r="MD4" s="110">
        <f t="shared" ref="MD4:MD35" si="235">+IF(((ID4&lt;&gt;0)+(JD4&lt;&gt;0)+(KD4&lt;&gt;0)+(LD4&lt;&gt;0))&gt;1,1,0)</f>
        <v>0</v>
      </c>
      <c r="ME4" s="110">
        <f t="shared" ref="ME4:ME35" si="236">+IF(((IE4&lt;&gt;0)+(JE4&lt;&gt;0)+(KE4&lt;&gt;0)+(LE4&lt;&gt;0))&gt;1,1,0)</f>
        <v>0</v>
      </c>
      <c r="MF4" s="110">
        <f t="shared" ref="MF4:MF35" si="237">+IF(((IF4&lt;&gt;0)+(JF4&lt;&gt;0)+(KF4&lt;&gt;0)+(LF4&lt;&gt;0))&gt;1,1,0)</f>
        <v>0</v>
      </c>
      <c r="MG4" s="110">
        <f t="shared" ref="MG4:MG35" si="238">+IF(((IG4&lt;&gt;0)+(JG4&lt;&gt;0)+(KG4&lt;&gt;0)+(LG4&lt;&gt;0))&gt;1,1,0)</f>
        <v>0</v>
      </c>
      <c r="MH4" s="110">
        <f t="shared" ref="MH4:MH35" si="239">+IF(((IH4&lt;&gt;0)+(JH4&lt;&gt;0)+(KH4&lt;&gt;0)+(LH4&lt;&gt;0))&gt;1,1,0)</f>
        <v>0</v>
      </c>
      <c r="MI4" s="110">
        <f t="shared" ref="MI4:MI35" si="240">+IF(((II4&lt;&gt;0)+(JI4&lt;&gt;0)+(KI4&lt;&gt;0)+(LI4&lt;&gt;0))&gt;1,1,0)</f>
        <v>0</v>
      </c>
      <c r="MJ4" s="110">
        <f t="shared" ref="MJ4:MJ35" si="241">+IF(((IJ4&lt;&gt;0)+(JJ4&lt;&gt;0)+(KJ4&lt;&gt;0)+(LJ4&lt;&gt;0))&gt;1,1,0)</f>
        <v>0</v>
      </c>
      <c r="MK4" s="110">
        <f t="shared" ref="MK4:MK35" si="242">+IF(((IK4&lt;&gt;0)+(JK4&lt;&gt;0)+(KK4&lt;&gt;0)+(LK4&lt;&gt;0))&gt;1,1,0)</f>
        <v>0</v>
      </c>
      <c r="ML4" s="110">
        <f t="shared" ref="ML4:ML35" si="243">+IF(((IL4&lt;&gt;0)+(JL4&lt;&gt;0)+(KL4&lt;&gt;0)+(LL4&lt;&gt;0))&gt;1,1,0)</f>
        <v>0</v>
      </c>
      <c r="MM4" s="110">
        <f t="shared" ref="MM4:MM35" si="244">+IF(((IM4&lt;&gt;0)+(JM4&lt;&gt;0)+(KM4&lt;&gt;0)+(LM4&lt;&gt;0))&gt;1,1,0)</f>
        <v>0</v>
      </c>
      <c r="MN4" s="110">
        <f t="shared" ref="MN4:MN35" si="245">+IF(((IN4&lt;&gt;0)+(JN4&lt;&gt;0)+(KN4&lt;&gt;0)+(LN4&lt;&gt;0))&gt;1,1,0)</f>
        <v>0</v>
      </c>
      <c r="MO4" s="110">
        <f t="shared" ref="MO4:MO35" si="246">+IF(((IO4&lt;&gt;0)+(JO4&lt;&gt;0)+(KO4&lt;&gt;0)+(LO4&lt;&gt;0))&gt;1,1,0)</f>
        <v>0</v>
      </c>
      <c r="MP4" s="110">
        <f t="shared" ref="MP4:MP35" si="247">+IF(((IP4&lt;&gt;0)+(JP4&lt;&gt;0)+(KP4&lt;&gt;0)+(LP4&lt;&gt;0))&gt;1,1,0)</f>
        <v>0</v>
      </c>
      <c r="MQ4" s="110">
        <f t="shared" ref="MQ4:MQ35" si="248">+IF(((IQ4&lt;&gt;0)+(JQ4&lt;&gt;0)+(KQ4&lt;&gt;0)+(LQ4&lt;&gt;0))&gt;1,1,0)</f>
        <v>0</v>
      </c>
      <c r="MR4" s="110">
        <f t="shared" ref="MR4:MR35" si="249">+IF(((IR4&lt;&gt;0)+(JR4&lt;&gt;0)+(KR4&lt;&gt;0)+(LR4&lt;&gt;0))&gt;1,1,0)</f>
        <v>0</v>
      </c>
      <c r="MS4" s="110">
        <f t="shared" ref="MS4:MS35" si="250">+IF(((IS4&lt;&gt;0)+(JS4&lt;&gt;0)+(KS4&lt;&gt;0)+(LS4&lt;&gt;0))&gt;1,1,0)</f>
        <v>0</v>
      </c>
      <c r="MT4" s="110">
        <f t="shared" ref="MT4:MT35" si="251">+IF(((IT4&lt;&gt;0)+(JT4&lt;&gt;0)+(KT4&lt;&gt;0)+(LT4&lt;&gt;0))&gt;1,1,0)</f>
        <v>0</v>
      </c>
      <c r="MV4" s="113" cm="1">
        <f t="array" ref="MV4:MV103">_xlfn.LET(_xlpm.allMetricValuesByCustomer,$C$4:$AM$103,_xlpm.selectedRankAsOfDate,'Top Customers'!$C$3,_xlpm.reportDateHeaders,$C$3:$AM$3,_xlpm.selectedMetricColumnIndex,IFERROR(MATCH(_xlpm.selectedRankAsOfDate,_xlpm.reportDateHeaders,0),COLUMNS(_xlpm.allMetricValuesByCustomer)),_xlpm.selectedMetricValueByCustomer,INDEX(_xlpm.allMetricValuesByCustomer,_xlfn.SEQUENCE(ROWS(_xlpm.allMetricValuesByCustomer)),_xlpm.selectedMetricColumnIndex),_xlpm.selectedMetricValueByCustomer)</f>
        <v>185.27</v>
      </c>
      <c r="MW4" s="114" cm="1">
        <f t="array" ref="MW4:MW103">_xlfn.LET(_xlpm.allMetricValuesByCustomer,$EV$4:$EY$103,_xlpm.selectedRankAsOfDate,'Top Customers'!$C$3,_xlpm.reportDateHeaders,$EV$3:$EY$3,_xlpm.selectedMetricColumnIndex,IFERROR(MATCH(_xlpm.selectedRankAsOfDate,_xlpm.reportDateHeaders,0),COLUMNS(_xlpm.allMetricValuesByCustomer)),_xlpm.selectedMetricValueByCustomer,INDEX(_xlpm.allMetricValuesByCustomer,_xlfn.SEQUENCE(ROWS(_xlpm.allMetricValuesByCustomer)),_xlpm.selectedMetricColumnIndex),_xlpm.selectedMetricValueByCustomer)</f>
        <v>0</v>
      </c>
      <c r="MX4" s="114" cm="1">
        <f t="array" ref="MX4:MX103">_xlfn.LET(_xlpm.allMetricValuesByCustomer,$FK$4:$FN$103,_xlpm.selectedRankAsOfDate,'Top Customers'!$C$3,_xlpm.reportDateHeaders,$FK$3:$FN$3,_xlpm.selectedMetricColumnIndex,IFERROR(MATCH(_xlpm.selectedRankAsOfDate,_xlpm.reportDateHeaders,0),COLUMNS(_xlpm.allMetricValuesByCustomer)),_xlpm.selectedMetricValueByCustomer,INDEX(_xlpm.allMetricValuesByCustomer,_xlfn.SEQUENCE(ROWS(_xlpm.allMetricValuesByCustomer)),_xlpm.selectedMetricColumnIndex),_xlpm.selectedMetricValueByCustomer)</f>
        <v>0</v>
      </c>
      <c r="MY4" s="114" cm="1">
        <f t="array" ref="MY4:MY103">_xlfn.LET(_xlpm.allMetricValuesByCustomer,$FF$4:$FI$103,_xlpm.selectedRankAsOfDate,'Top Customers'!$C$3,_xlpm.reportDateHeaders,$FF$3:$FI$3,_xlpm.selectedMetricColumnIndex,IFERROR(MATCH(_xlpm.selectedRankAsOfDate,_xlpm.reportDateHeaders,0),COLUMNS(_xlpm.allMetricValuesByCustomer)),_xlpm.selectedMetricValueByCustomer,INDEX(_xlpm.allMetricValuesByCustomer,_xlfn.SEQUENCE(ROWS(_xlpm.allMetricValuesByCustomer)),_xlpm.selectedMetricColumnIndex),_xlpm.selectedMetricValueByCustomer)</f>
        <v>0</v>
      </c>
      <c r="MZ4" s="114" cm="1">
        <f t="array" ref="MZ4:MZ103">_xlfn.LET(_xlpm.allMetricValuesByCustomer,$FA$4:$FD$103,_xlpm.selectedRankAsOfDate,'Top Customers'!$C$3,_xlpm.reportDateHeaders,$FA$3:$FD$3,_xlpm.selectedMetricColumnIndex,IFERROR(MATCH(_xlpm.selectedRankAsOfDate,_xlpm.reportDateHeaders,0),COLUMNS(_xlpm.allMetricValuesByCustomer)),_xlpm.selectedMetricValueByCustomer,INDEX(_xlpm.allMetricValuesByCustomer,_xlfn.SEQUENCE(ROWS(_xlpm.allMetricValuesByCustomer)),_xlpm.selectedMetricColumnIndex),_xlpm.selectedMetricValueByCustomer)</f>
        <v>0</v>
      </c>
      <c r="NB4" s="115" cm="1">
        <f t="array" ref="NB4:NB103">_xlfn.LET(_xlpm.rankingValues, $MV$4:$MV$103, _xlpm.rowCount, ROWS(_xlpm.rankingValues), _xlpm.rowSeq, _xlfn.SEQUENCE(_xlpm.rowCount), _xlpm.sortedRowSeq, _xlfn.SORTBY(_xlpm.rowSeq, _xlpm.rankingValues, -1, _xlpm.rowSeq, 1), _xlpm.ranksByRow, _xlfn.SORTBY(_xlpm.rowSeq, _xlpm.sortedRowSeq, 1), IF(_xlpm.rankingValues&lt;&gt;0, _xlpm.ranksByRow, "N/A"))</f>
        <v>55</v>
      </c>
      <c r="NC4" s="115" t="str" cm="1">
        <f t="array" ref="NC4:NC103">_xlfn.LET(_xlpm.rankingValues, $MW$4:$MW$103, _xlpm.rowCount, ROWS(_xlpm.rankingValues), _xlpm.rowSeq, _xlfn.SEQUENCE(_xlpm.rowCount), _xlpm.sortedRowSeq, _xlfn.SORTBY(_xlpm.rowSeq, _xlpm.rankingValues, -1, _xlpm.rowSeq, 1), _xlpm.ranksByRow, _xlfn.SORTBY(_xlpm.rowSeq, _xlpm.sortedRowSeq, 1), IF(_xlpm.rankingValues&lt;&gt;0, _xlpm.ranksByRow, "N/A"))</f>
        <v>N/A</v>
      </c>
      <c r="ND4" s="115" t="str" cm="1">
        <f t="array" ref="ND4:ND103">_xlfn.LET(_xlpm.rankingValues, $MX$4:$MX$103, _xlpm.rowCount, ROWS(_xlpm.rankingValues), _xlpm.rowSeq, _xlfn.SEQUENCE(_xlpm.rowCount), _xlpm.sortedRowSeq, _xlfn.SORTBY(_xlpm.rowSeq, _xlpm.rankingValues, -1, _xlpm.rowSeq, 1), _xlpm.ranksByRow, _xlfn.SORTBY(_xlpm.rowSeq, _xlpm.sortedRowSeq, 1), IF(_xlpm.rankingValues&lt;&gt;0, _xlpm.ranksByRow, "N/A"))</f>
        <v>N/A</v>
      </c>
      <c r="NE4" s="115" t="str" cm="1">
        <f t="array" ref="NE4:NE103">_xlfn.LET(_xlpm.rankingValues, $MY$4:$MY$103, _xlpm.rowCount, ROWS(_xlpm.rankingValues), _xlpm.rowSeq, _xlfn.SEQUENCE(_xlpm.rowCount), _xlpm.sortedRowSeq, _xlfn.SORTBY(_xlpm.rowSeq, _xlpm.rankingValues, 1, _xlpm.rowSeq, 1), _xlpm.ranksByRow, _xlfn.SORTBY(_xlpm.rowSeq, _xlpm.sortedRowSeq, 1), IF(_xlpm.rankingValues&lt;&gt;0, _xlpm.ranksByRow, "N/A"))</f>
        <v>N/A</v>
      </c>
      <c r="NF4" s="115" t="str" cm="1">
        <f t="array" ref="NF4:NF103">_xlfn.LET(_xlpm.rankingValues, $MZ$4:$MZ$103, _xlpm.rowCount, ROWS(_xlpm.rankingValues), _xlpm.rowSeq, _xlfn.SEQUENCE(_xlpm.rowCount), _xlpm.sortedRowSeq, _xlfn.SORTBY(_xlpm.rowSeq, _xlpm.rankingValues, 1, _xlpm.rowSeq, 1), _xlpm.ranksByRow, _xlfn.SORTBY(_xlpm.rowSeq, _xlpm.sortedRowSeq, 1), IF(_xlpm.rankingValues&lt;&gt;0, _xlpm.ranksByRow, "N/A"))</f>
        <v>N/A</v>
      </c>
    </row>
    <row r="5" spans="2:376" ht="13.5" x14ac:dyDescent="0.25">
      <c r="B5" s="8">
        <f>B4+1</f>
        <v>2</v>
      </c>
      <c r="C5" s="7">
        <v>362.15</v>
      </c>
      <c r="D5" s="7">
        <v>362.15</v>
      </c>
      <c r="E5" s="7">
        <v>359</v>
      </c>
      <c r="F5" s="7">
        <v>359</v>
      </c>
      <c r="G5" s="7">
        <v>359</v>
      </c>
      <c r="H5" s="7">
        <v>359</v>
      </c>
      <c r="I5" s="7">
        <v>359.3</v>
      </c>
      <c r="J5" s="7">
        <v>359</v>
      </c>
      <c r="K5" s="7">
        <v>359</v>
      </c>
      <c r="L5" s="7">
        <v>359</v>
      </c>
      <c r="M5" s="7">
        <v>359</v>
      </c>
      <c r="N5" s="7">
        <v>359</v>
      </c>
      <c r="O5" s="7">
        <v>359</v>
      </c>
      <c r="P5" s="7">
        <v>359</v>
      </c>
      <c r="Q5" s="7">
        <v>359</v>
      </c>
      <c r="R5" s="7">
        <v>359</v>
      </c>
      <c r="S5" s="7">
        <v>359</v>
      </c>
      <c r="T5" s="7">
        <v>359</v>
      </c>
      <c r="U5" s="7">
        <v>359</v>
      </c>
      <c r="V5" s="7">
        <v>359</v>
      </c>
      <c r="W5" s="7">
        <v>359</v>
      </c>
      <c r="X5" s="7">
        <v>359</v>
      </c>
      <c r="Y5" s="7">
        <v>359</v>
      </c>
      <c r="Z5" s="7">
        <v>359</v>
      </c>
      <c r="AA5" s="7">
        <v>359</v>
      </c>
      <c r="AB5" s="7">
        <v>399</v>
      </c>
      <c r="AC5" s="7">
        <v>399</v>
      </c>
      <c r="AD5" s="7">
        <v>399</v>
      </c>
      <c r="AE5" s="7">
        <v>399</v>
      </c>
      <c r="AF5" s="7">
        <v>399</v>
      </c>
      <c r="AG5" s="7">
        <v>399</v>
      </c>
      <c r="AH5" s="7">
        <v>399</v>
      </c>
      <c r="AI5" s="7">
        <v>399</v>
      </c>
      <c r="AJ5" s="7">
        <v>399</v>
      </c>
      <c r="AK5" s="7">
        <v>399</v>
      </c>
      <c r="AL5" s="7">
        <v>399</v>
      </c>
      <c r="AM5" s="7">
        <v>399</v>
      </c>
      <c r="AN5" s="27">
        <v>2</v>
      </c>
      <c r="AP5" s="111"/>
      <c r="AQ5" s="110">
        <f t="shared" si="13"/>
        <v>-3.1499999999999773</v>
      </c>
      <c r="AR5" s="110">
        <f t="shared" si="14"/>
        <v>0.30000000000001137</v>
      </c>
      <c r="AS5" s="110">
        <f t="shared" si="15"/>
        <v>-0.30000000000001137</v>
      </c>
      <c r="AT5" s="110">
        <f t="shared" si="16"/>
        <v>0</v>
      </c>
      <c r="AU5" s="110">
        <f t="shared" si="17"/>
        <v>0</v>
      </c>
      <c r="AV5" s="110">
        <f t="shared" si="18"/>
        <v>0</v>
      </c>
      <c r="AW5" s="110">
        <f t="shared" si="19"/>
        <v>0</v>
      </c>
      <c r="AX5" s="110">
        <f t="shared" si="20"/>
        <v>0</v>
      </c>
      <c r="AY5" s="110">
        <f t="shared" si="21"/>
        <v>40</v>
      </c>
      <c r="AZ5" s="110">
        <f t="shared" si="22"/>
        <v>0</v>
      </c>
      <c r="BA5" s="110">
        <f t="shared" si="23"/>
        <v>0</v>
      </c>
      <c r="BB5" s="110">
        <f t="shared" si="24"/>
        <v>0</v>
      </c>
      <c r="BD5" s="109" cm="1">
        <f t="array" ref="BD5">+IFERROR(INDEX($C$3:$AM$3,MATCH(TRUE,INDEX($C5:$AM5&lt;&gt;0,0),0)),"N/A")</f>
        <v>44926</v>
      </c>
      <c r="BE5" s="112"/>
      <c r="BF5" s="1" t="str" cm="1">
        <f t="array" ref="BF5">+_xlfn.IFS(BT5&lt;&gt;0,BT$2,CH5&lt;&gt;0,CH$2,CV5&lt;&gt;0,CV$2,DJ5&lt;&gt;0,DJ$2,TRUE,"")</f>
        <v>Downsell</v>
      </c>
      <c r="BG5" s="1" t="str" cm="1">
        <f t="array" ref="BG5">+_xlfn.IFS(BU5&lt;&gt;0,BU$2,CI5&lt;&gt;0,CI$2,CW5&lt;&gt;0,CW$2,DK5&lt;&gt;0,DK$2,TRUE,"")</f>
        <v>Upsell</v>
      </c>
      <c r="BH5" s="1" t="str" cm="1">
        <f t="array" ref="BH5">+_xlfn.IFS(BV5&lt;&gt;0,BV$2,CJ5&lt;&gt;0,CJ$2,CX5&lt;&gt;0,CX$2,DL5&lt;&gt;0,DL$2,TRUE,"")</f>
        <v>Downsell</v>
      </c>
      <c r="BI5" s="1" t="str" cm="1">
        <f t="array" ref="BI5">+_xlfn.IFS(BW5&lt;&gt;0,BW$2,CK5&lt;&gt;0,CK$2,CY5&lt;&gt;0,CY$2,DM5&lt;&gt;0,DM$2,TRUE,"")</f>
        <v/>
      </c>
      <c r="BJ5" s="1" t="str" cm="1">
        <f t="array" ref="BJ5">+_xlfn.IFS(BX5&lt;&gt;0,BX$2,CL5&lt;&gt;0,CL$2,CZ5&lt;&gt;0,CZ$2,DN5&lt;&gt;0,DN$2,TRUE,"")</f>
        <v/>
      </c>
      <c r="BK5" s="1" t="str" cm="1">
        <f t="array" ref="BK5">+_xlfn.IFS(BY5&lt;&gt;0,BY$2,CM5&lt;&gt;0,CM$2,DA5&lt;&gt;0,DA$2,DO5&lt;&gt;0,DO$2,TRUE,"")</f>
        <v/>
      </c>
      <c r="BL5" s="1" t="str" cm="1">
        <f t="array" ref="BL5">+_xlfn.IFS(BZ5&lt;&gt;0,BZ$2,CN5&lt;&gt;0,CN$2,DB5&lt;&gt;0,DB$2,DP5&lt;&gt;0,DP$2,TRUE,"")</f>
        <v/>
      </c>
      <c r="BM5" s="1" t="str" cm="1">
        <f t="array" ref="BM5">+_xlfn.IFS(CA5&lt;&gt;0,CA$2,CO5&lt;&gt;0,CO$2,DC5&lt;&gt;0,DC$2,DQ5&lt;&gt;0,DQ$2,TRUE,"")</f>
        <v/>
      </c>
      <c r="BN5" s="1" t="str" cm="1">
        <f t="array" ref="BN5">+_xlfn.IFS(CB5&lt;&gt;0,CB$2,CP5&lt;&gt;0,CP$2,DD5&lt;&gt;0,DD$2,DR5&lt;&gt;0,DR$2,TRUE,"")</f>
        <v>Upsell</v>
      </c>
      <c r="BO5" s="1" t="str" cm="1">
        <f t="array" ref="BO5">+_xlfn.IFS(CC5&lt;&gt;0,CC$2,CQ5&lt;&gt;0,CQ$2,DE5&lt;&gt;0,DE$2,DS5&lt;&gt;0,DS$2,TRUE,"")</f>
        <v/>
      </c>
      <c r="BP5" s="1" t="str" cm="1">
        <f t="array" ref="BP5">+_xlfn.IFS(CD5&lt;&gt;0,CD$2,CR5&lt;&gt;0,CR$2,DF5&lt;&gt;0,DF$2,DT5&lt;&gt;0,DT$2,TRUE,"")</f>
        <v/>
      </c>
      <c r="BQ5" s="1" t="str" cm="1">
        <f t="array" ref="BQ5">+_xlfn.IFS(CE5&lt;&gt;0,CE$2,CS5&lt;&gt;0,CS$2,DG5&lt;&gt;0,DG$2,DU5&lt;&gt;0,DU$2,TRUE,"")</f>
        <v/>
      </c>
      <c r="BS5" s="111"/>
      <c r="BT5" s="110">
        <f t="shared" si="25"/>
        <v>0</v>
      </c>
      <c r="BU5" s="110">
        <f t="shared" si="26"/>
        <v>0</v>
      </c>
      <c r="BV5" s="110">
        <f t="shared" si="27"/>
        <v>0</v>
      </c>
      <c r="BW5" s="110">
        <f t="shared" si="28"/>
        <v>0</v>
      </c>
      <c r="BX5" s="110">
        <f t="shared" si="29"/>
        <v>0</v>
      </c>
      <c r="BY5" s="110">
        <f t="shared" si="30"/>
        <v>0</v>
      </c>
      <c r="BZ5" s="110">
        <f t="shared" si="31"/>
        <v>0</v>
      </c>
      <c r="CA5" s="110">
        <f t="shared" si="32"/>
        <v>0</v>
      </c>
      <c r="CB5" s="110">
        <f t="shared" si="33"/>
        <v>0</v>
      </c>
      <c r="CC5" s="110">
        <f t="shared" si="34"/>
        <v>0</v>
      </c>
      <c r="CD5" s="110">
        <f t="shared" si="35"/>
        <v>0</v>
      </c>
      <c r="CE5" s="110">
        <f t="shared" si="36"/>
        <v>0</v>
      </c>
      <c r="CG5" s="111"/>
      <c r="CH5" s="110">
        <f t="shared" si="37"/>
        <v>0</v>
      </c>
      <c r="CI5" s="110">
        <f t="shared" si="38"/>
        <v>0</v>
      </c>
      <c r="CJ5" s="110">
        <f t="shared" si="39"/>
        <v>0</v>
      </c>
      <c r="CK5" s="110">
        <f t="shared" si="40"/>
        <v>0</v>
      </c>
      <c r="CL5" s="110">
        <f t="shared" si="41"/>
        <v>0</v>
      </c>
      <c r="CM5" s="110">
        <f t="shared" si="42"/>
        <v>0</v>
      </c>
      <c r="CN5" s="110">
        <f t="shared" si="43"/>
        <v>0</v>
      </c>
      <c r="CO5" s="110">
        <f t="shared" si="44"/>
        <v>0</v>
      </c>
      <c r="CP5" s="110">
        <f t="shared" si="45"/>
        <v>0</v>
      </c>
      <c r="CQ5" s="110">
        <f t="shared" si="46"/>
        <v>0</v>
      </c>
      <c r="CR5" s="110">
        <f t="shared" si="47"/>
        <v>0</v>
      </c>
      <c r="CS5" s="110">
        <f t="shared" si="48"/>
        <v>0</v>
      </c>
      <c r="CU5" s="111"/>
      <c r="CV5" s="110">
        <f t="shared" si="49"/>
        <v>-3.1499999999999773</v>
      </c>
      <c r="CW5" s="110">
        <f t="shared" si="50"/>
        <v>0</v>
      </c>
      <c r="CX5" s="110">
        <f t="shared" si="51"/>
        <v>-0.30000000000001137</v>
      </c>
      <c r="CY5" s="110">
        <f t="shared" si="52"/>
        <v>0</v>
      </c>
      <c r="CZ5" s="110">
        <f t="shared" si="53"/>
        <v>0</v>
      </c>
      <c r="DA5" s="110">
        <f t="shared" si="54"/>
        <v>0</v>
      </c>
      <c r="DB5" s="110">
        <f t="shared" si="55"/>
        <v>0</v>
      </c>
      <c r="DC5" s="110">
        <f t="shared" si="56"/>
        <v>0</v>
      </c>
      <c r="DD5" s="110">
        <f t="shared" si="57"/>
        <v>0</v>
      </c>
      <c r="DE5" s="110">
        <f t="shared" si="58"/>
        <v>0</v>
      </c>
      <c r="DF5" s="110">
        <f t="shared" si="59"/>
        <v>0</v>
      </c>
      <c r="DG5" s="110">
        <f t="shared" si="60"/>
        <v>0</v>
      </c>
      <c r="DI5" s="111"/>
      <c r="DJ5" s="110">
        <f t="shared" si="61"/>
        <v>0</v>
      </c>
      <c r="DK5" s="110">
        <f t="shared" si="62"/>
        <v>0.30000000000001137</v>
      </c>
      <c r="DL5" s="110">
        <f t="shared" si="63"/>
        <v>0</v>
      </c>
      <c r="DM5" s="110">
        <f t="shared" si="64"/>
        <v>0</v>
      </c>
      <c r="DN5" s="110">
        <f t="shared" si="65"/>
        <v>0</v>
      </c>
      <c r="DO5" s="110">
        <f t="shared" si="66"/>
        <v>0</v>
      </c>
      <c r="DP5" s="110">
        <f t="shared" si="67"/>
        <v>0</v>
      </c>
      <c r="DQ5" s="110">
        <f t="shared" si="68"/>
        <v>0</v>
      </c>
      <c r="DR5" s="110">
        <f t="shared" si="69"/>
        <v>40</v>
      </c>
      <c r="DS5" s="110">
        <f t="shared" si="70"/>
        <v>0</v>
      </c>
      <c r="DT5" s="110">
        <f t="shared" si="71"/>
        <v>0</v>
      </c>
      <c r="DU5" s="110">
        <f t="shared" si="72"/>
        <v>0</v>
      </c>
      <c r="DW5" s="111"/>
      <c r="DX5" s="110">
        <f t="shared" si="73"/>
        <v>0</v>
      </c>
      <c r="DY5" s="110">
        <f t="shared" si="74"/>
        <v>0</v>
      </c>
      <c r="DZ5" s="110">
        <f t="shared" si="75"/>
        <v>0</v>
      </c>
      <c r="EA5" s="110">
        <f t="shared" si="76"/>
        <v>0</v>
      </c>
      <c r="EB5" s="110">
        <f t="shared" si="77"/>
        <v>0</v>
      </c>
      <c r="EC5" s="110">
        <f t="shared" si="78"/>
        <v>0</v>
      </c>
      <c r="ED5" s="110">
        <f t="shared" si="79"/>
        <v>0</v>
      </c>
      <c r="EE5" s="110">
        <f t="shared" si="80"/>
        <v>0</v>
      </c>
      <c r="EF5" s="110">
        <f t="shared" si="81"/>
        <v>0</v>
      </c>
      <c r="EG5" s="110">
        <f t="shared" si="82"/>
        <v>0</v>
      </c>
      <c r="EH5" s="110">
        <f t="shared" si="83"/>
        <v>0</v>
      </c>
      <c r="EI5" s="110">
        <f t="shared" si="84"/>
        <v>0</v>
      </c>
      <c r="EK5" s="111"/>
      <c r="EL5" s="110">
        <f t="shared" si="85"/>
        <v>-3.1499999999999773</v>
      </c>
      <c r="EM5" s="110">
        <f t="shared" si="86"/>
        <v>0</v>
      </c>
      <c r="EN5" s="110">
        <f t="shared" si="87"/>
        <v>40</v>
      </c>
      <c r="EP5" s="109" cm="1">
        <f t="array" ref="EP5">+IFERROR(INDEX($C$3:$AM$3,MATCH(TRUE,INDEX($C5:$AM5&lt;&gt;0,0),0)),"N/A")</f>
        <v>44926</v>
      </c>
      <c r="EQ5" s="112"/>
      <c r="ER5" s="1" t="str" cm="1">
        <f t="array" ref="ER5">+_xlfn.IFS(EW5&lt;&gt;0,EW$2,FB5&lt;&gt;0,FB$2,FG5&lt;&gt;0,FG$2,FL5&lt;&gt;0,FL$2,TRUE,"")</f>
        <v>Downsell</v>
      </c>
      <c r="ES5" s="1" t="str" cm="1">
        <f t="array" ref="ES5">+_xlfn.IFS(EX5&lt;&gt;0,EX$2,FC5&lt;&gt;0,FC$2,FH5&lt;&gt;0,FH$2,FM5&lt;&gt;0,FM$2,TRUE,"")</f>
        <v/>
      </c>
      <c r="ET5" s="1" t="str" cm="1">
        <f t="array" ref="ET5">+_xlfn.IFS(EY5&lt;&gt;0,EY$2,FD5&lt;&gt;0,FD$2,FI5&lt;&gt;0,FI$2,FN5&lt;&gt;0,FN$2,TRUE,"")</f>
        <v>Upsell</v>
      </c>
      <c r="EV5" s="111"/>
      <c r="EW5" s="110">
        <f t="shared" si="88"/>
        <v>0</v>
      </c>
      <c r="EX5" s="110">
        <f t="shared" si="89"/>
        <v>0</v>
      </c>
      <c r="EY5" s="110">
        <f t="shared" si="90"/>
        <v>0</v>
      </c>
      <c r="FA5" s="111"/>
      <c r="FB5" s="110">
        <f t="shared" si="91"/>
        <v>0</v>
      </c>
      <c r="FC5" s="110">
        <f t="shared" si="92"/>
        <v>0</v>
      </c>
      <c r="FD5" s="110">
        <f t="shared" si="93"/>
        <v>0</v>
      </c>
      <c r="FF5" s="111"/>
      <c r="FG5" s="110">
        <f t="shared" si="94"/>
        <v>-3.1499999999999773</v>
      </c>
      <c r="FH5" s="110">
        <f t="shared" si="95"/>
        <v>0</v>
      </c>
      <c r="FI5" s="110">
        <f t="shared" si="96"/>
        <v>0</v>
      </c>
      <c r="FK5" s="111"/>
      <c r="FL5" s="110">
        <f t="shared" si="97"/>
        <v>0</v>
      </c>
      <c r="FM5" s="110">
        <f t="shared" si="98"/>
        <v>0</v>
      </c>
      <c r="FN5" s="110">
        <f t="shared" si="99"/>
        <v>40</v>
      </c>
      <c r="FP5" s="111"/>
      <c r="FQ5" s="110">
        <f t="shared" si="100"/>
        <v>0</v>
      </c>
      <c r="FR5" s="110">
        <f t="shared" si="101"/>
        <v>0</v>
      </c>
      <c r="FS5" s="110">
        <f t="shared" si="102"/>
        <v>0</v>
      </c>
      <c r="FU5" s="111">
        <f t="shared" si="103"/>
        <v>-3.1499999999999773</v>
      </c>
      <c r="FV5" s="110">
        <f t="shared" si="104"/>
        <v>-3.1499999999999773</v>
      </c>
      <c r="FW5" s="110">
        <f t="shared" si="105"/>
        <v>0</v>
      </c>
      <c r="FX5" s="110">
        <f t="shared" si="106"/>
        <v>0</v>
      </c>
      <c r="FY5" s="110">
        <f t="shared" si="107"/>
        <v>0</v>
      </c>
      <c r="FZ5" s="110">
        <f t="shared" si="108"/>
        <v>0</v>
      </c>
      <c r="GA5" s="110">
        <f t="shared" si="109"/>
        <v>-0.30000000000001137</v>
      </c>
      <c r="GB5" s="110">
        <f t="shared" si="110"/>
        <v>0</v>
      </c>
      <c r="GC5" s="110">
        <f t="shared" si="111"/>
        <v>0</v>
      </c>
      <c r="GD5" s="110">
        <f t="shared" si="112"/>
        <v>0</v>
      </c>
      <c r="GE5" s="110">
        <f t="shared" si="113"/>
        <v>0</v>
      </c>
      <c r="GF5" s="110">
        <f t="shared" si="114"/>
        <v>0</v>
      </c>
      <c r="GG5" s="110">
        <f t="shared" si="115"/>
        <v>0</v>
      </c>
      <c r="GH5" s="110">
        <f t="shared" si="116"/>
        <v>40</v>
      </c>
      <c r="GI5" s="110">
        <f t="shared" si="117"/>
        <v>40</v>
      </c>
      <c r="GJ5" s="110">
        <f t="shared" si="118"/>
        <v>40</v>
      </c>
      <c r="GK5" s="110">
        <f t="shared" si="119"/>
        <v>40</v>
      </c>
      <c r="GL5" s="110">
        <f t="shared" si="120"/>
        <v>40</v>
      </c>
      <c r="GM5" s="110">
        <f t="shared" si="121"/>
        <v>40</v>
      </c>
      <c r="GN5" s="110">
        <f t="shared" si="122"/>
        <v>40</v>
      </c>
      <c r="GO5" s="110">
        <f t="shared" si="123"/>
        <v>40</v>
      </c>
      <c r="GP5" s="110">
        <f t="shared" si="124"/>
        <v>40</v>
      </c>
      <c r="GQ5" s="110">
        <f t="shared" si="125"/>
        <v>40</v>
      </c>
      <c r="GR5" s="110">
        <f t="shared" si="126"/>
        <v>40</v>
      </c>
      <c r="GS5" s="110">
        <f t="shared" si="127"/>
        <v>40</v>
      </c>
      <c r="GU5" s="109" cm="1">
        <f t="array" ref="GU5">+IFERROR(INDEX($C$3:$AM$3,MATCH(TRUE,INDEX($C5:$AM5&lt;&gt;0,0),0)),"N/A")</f>
        <v>44926</v>
      </c>
      <c r="GV5" s="112" t="str" cm="1">
        <f t="array" ref="GV5">+_xlfn.IFS(HV5&lt;&gt;0,HV$2,IV5&lt;&gt;0,IV$2,JV5&lt;&gt;0,JV$2,KV5&lt;&gt;0,KV$2,TRUE,"")</f>
        <v>Downsell</v>
      </c>
      <c r="GW5" s="1" t="str" cm="1">
        <f t="array" ref="GW5">+_xlfn.IFS(HW5&lt;&gt;0,HW$2,IW5&lt;&gt;0,IW$2,JW5&lt;&gt;0,JW$2,KW5&lt;&gt;0,KW$2,TRUE,"")</f>
        <v>Downsell</v>
      </c>
      <c r="GX5" s="1" t="str" cm="1">
        <f t="array" ref="GX5">+_xlfn.IFS(HX5&lt;&gt;0,HX$2,IX5&lt;&gt;0,IX$2,JX5&lt;&gt;0,JX$2,KX5&lt;&gt;0,KX$2,TRUE,"")</f>
        <v/>
      </c>
      <c r="GY5" s="1" t="str" cm="1">
        <f t="array" ref="GY5">+_xlfn.IFS(HY5&lt;&gt;0,HY$2,IY5&lt;&gt;0,IY$2,JY5&lt;&gt;0,JY$2,KY5&lt;&gt;0,KY$2,TRUE,"")</f>
        <v/>
      </c>
      <c r="GZ5" s="1" t="str" cm="1">
        <f t="array" ref="GZ5">+_xlfn.IFS(HZ5&lt;&gt;0,HZ$2,IZ5&lt;&gt;0,IZ$2,JZ5&lt;&gt;0,JZ$2,KZ5&lt;&gt;0,KZ$2,TRUE,"")</f>
        <v/>
      </c>
      <c r="HA5" s="1" t="str" cm="1">
        <f t="array" ref="HA5">+_xlfn.IFS(IA5&lt;&gt;0,IA$2,JA5&lt;&gt;0,JA$2,KA5&lt;&gt;0,KA$2,LA5&lt;&gt;0,LA$2,TRUE,"")</f>
        <v/>
      </c>
      <c r="HB5" s="1" t="str" cm="1">
        <f t="array" ref="HB5">+_xlfn.IFS(IB5&lt;&gt;0,IB$2,JB5&lt;&gt;0,JB$2,KB5&lt;&gt;0,KB$2,LB5&lt;&gt;0,LB$2,TRUE,"")</f>
        <v>Downsell</v>
      </c>
      <c r="HC5" s="1" t="str" cm="1">
        <f t="array" ref="HC5">+_xlfn.IFS(IC5&lt;&gt;0,IC$2,JC5&lt;&gt;0,JC$2,KC5&lt;&gt;0,KC$2,LC5&lt;&gt;0,LC$2,TRUE,"")</f>
        <v/>
      </c>
      <c r="HD5" s="1" t="str" cm="1">
        <f t="array" ref="HD5">+_xlfn.IFS(ID5&lt;&gt;0,ID$2,JD5&lt;&gt;0,JD$2,KD5&lt;&gt;0,KD$2,LD5&lt;&gt;0,LD$2,TRUE,"")</f>
        <v/>
      </c>
      <c r="HE5" s="1" t="str" cm="1">
        <f t="array" ref="HE5">+_xlfn.IFS(IE5&lt;&gt;0,IE$2,JE5&lt;&gt;0,JE$2,KE5&lt;&gt;0,KE$2,LE5&lt;&gt;0,LE$2,TRUE,"")</f>
        <v/>
      </c>
      <c r="HF5" s="1" t="str" cm="1">
        <f t="array" ref="HF5">+_xlfn.IFS(IF5&lt;&gt;0,IF$2,JF5&lt;&gt;0,JF$2,KF5&lt;&gt;0,KF$2,LF5&lt;&gt;0,LF$2,TRUE,"")</f>
        <v/>
      </c>
      <c r="HG5" s="1" t="str" cm="1">
        <f t="array" ref="HG5">+_xlfn.IFS(IG5&lt;&gt;0,IG$2,JG5&lt;&gt;0,JG$2,KG5&lt;&gt;0,KG$2,LG5&lt;&gt;0,LG$2,TRUE,"")</f>
        <v/>
      </c>
      <c r="HH5" s="1" t="str" cm="1">
        <f t="array" ref="HH5">+_xlfn.IFS(IH5&lt;&gt;0,IH$2,JH5&lt;&gt;0,JH$2,KH5&lt;&gt;0,KH$2,LH5&lt;&gt;0,LH$2,TRUE,"")</f>
        <v/>
      </c>
      <c r="HI5" s="1" t="str" cm="1">
        <f t="array" ref="HI5">+_xlfn.IFS(II5&lt;&gt;0,II$2,JI5&lt;&gt;0,JI$2,KI5&lt;&gt;0,KI$2,LI5&lt;&gt;0,LI$2,TRUE,"")</f>
        <v>Upsell</v>
      </c>
      <c r="HJ5" s="1" t="str" cm="1">
        <f t="array" ref="HJ5">+_xlfn.IFS(IJ5&lt;&gt;0,IJ$2,JJ5&lt;&gt;0,JJ$2,KJ5&lt;&gt;0,KJ$2,LJ5&lt;&gt;0,LJ$2,TRUE,"")</f>
        <v>Upsell</v>
      </c>
      <c r="HK5" s="1" t="str" cm="1">
        <f t="array" ref="HK5">+_xlfn.IFS(IK5&lt;&gt;0,IK$2,JK5&lt;&gt;0,JK$2,KK5&lt;&gt;0,KK$2,LK5&lt;&gt;0,LK$2,TRUE,"")</f>
        <v>Upsell</v>
      </c>
      <c r="HL5" s="1" t="str" cm="1">
        <f t="array" ref="HL5">+_xlfn.IFS(IL5&lt;&gt;0,IL$2,JL5&lt;&gt;0,JL$2,KL5&lt;&gt;0,KL$2,LL5&lt;&gt;0,LL$2,TRUE,"")</f>
        <v>Upsell</v>
      </c>
      <c r="HM5" s="1" t="str" cm="1">
        <f t="array" ref="HM5">+_xlfn.IFS(IM5&lt;&gt;0,IM$2,JM5&lt;&gt;0,JM$2,KM5&lt;&gt;0,KM$2,LM5&lt;&gt;0,LM$2,TRUE,"")</f>
        <v>Upsell</v>
      </c>
      <c r="HN5" s="1" t="str" cm="1">
        <f t="array" ref="HN5">+_xlfn.IFS(IN5&lt;&gt;0,IN$2,JN5&lt;&gt;0,JN$2,KN5&lt;&gt;0,KN$2,LN5&lt;&gt;0,LN$2,TRUE,"")</f>
        <v>Upsell</v>
      </c>
      <c r="HO5" s="1" t="str" cm="1">
        <f t="array" ref="HO5">+_xlfn.IFS(IO5&lt;&gt;0,IO$2,JO5&lt;&gt;0,JO$2,KO5&lt;&gt;0,KO$2,LO5&lt;&gt;0,LO$2,TRUE,"")</f>
        <v>Upsell</v>
      </c>
      <c r="HP5" s="1" t="str" cm="1">
        <f t="array" ref="HP5">+_xlfn.IFS(IP5&lt;&gt;0,IP$2,JP5&lt;&gt;0,JP$2,KP5&lt;&gt;0,KP$2,LP5&lt;&gt;0,LP$2,TRUE,"")</f>
        <v>Upsell</v>
      </c>
      <c r="HQ5" s="1" t="str" cm="1">
        <f t="array" ref="HQ5">+_xlfn.IFS(IQ5&lt;&gt;0,IQ$2,JQ5&lt;&gt;0,JQ$2,KQ5&lt;&gt;0,KQ$2,LQ5&lt;&gt;0,LQ$2,TRUE,"")</f>
        <v>Upsell</v>
      </c>
      <c r="HR5" s="1" t="str" cm="1">
        <f t="array" ref="HR5">+_xlfn.IFS(IR5&lt;&gt;0,IR$2,JR5&lt;&gt;0,JR$2,KR5&lt;&gt;0,KR$2,LR5&lt;&gt;0,LR$2,TRUE,"")</f>
        <v>Upsell</v>
      </c>
      <c r="HS5" s="1" t="str" cm="1">
        <f t="array" ref="HS5">+_xlfn.IFS(IS5&lt;&gt;0,IS$2,JS5&lt;&gt;0,JS$2,KS5&lt;&gt;0,KS$2,LS5&lt;&gt;0,LS$2,TRUE,"")</f>
        <v>Upsell</v>
      </c>
      <c r="HT5" s="1" t="str" cm="1">
        <f t="array" ref="HT5">+_xlfn.IFS(IT5&lt;&gt;0,IT$2,JT5&lt;&gt;0,JT$2,KT5&lt;&gt;0,KT$2,LT5&lt;&gt;0,LT$2,TRUE,"")</f>
        <v>Upsell</v>
      </c>
      <c r="HV5" s="111">
        <f t="shared" si="128"/>
        <v>0</v>
      </c>
      <c r="HW5" s="110">
        <f t="shared" si="129"/>
        <v>0</v>
      </c>
      <c r="HX5" s="110">
        <f t="shared" si="130"/>
        <v>0</v>
      </c>
      <c r="HY5" s="110">
        <f t="shared" si="131"/>
        <v>0</v>
      </c>
      <c r="HZ5" s="110">
        <f t="shared" si="132"/>
        <v>0</v>
      </c>
      <c r="IA5" s="110">
        <f t="shared" si="133"/>
        <v>0</v>
      </c>
      <c r="IB5" s="110">
        <f t="shared" si="134"/>
        <v>0</v>
      </c>
      <c r="IC5" s="110">
        <f t="shared" si="135"/>
        <v>0</v>
      </c>
      <c r="ID5" s="110">
        <f t="shared" si="136"/>
        <v>0</v>
      </c>
      <c r="IE5" s="110">
        <f t="shared" si="137"/>
        <v>0</v>
      </c>
      <c r="IF5" s="110">
        <f t="shared" si="138"/>
        <v>0</v>
      </c>
      <c r="IG5" s="110">
        <f t="shared" si="139"/>
        <v>0</v>
      </c>
      <c r="IH5" s="110">
        <f t="shared" si="140"/>
        <v>0</v>
      </c>
      <c r="II5" s="110">
        <f t="shared" si="141"/>
        <v>0</v>
      </c>
      <c r="IJ5" s="110">
        <f t="shared" si="142"/>
        <v>0</v>
      </c>
      <c r="IK5" s="110">
        <f t="shared" si="143"/>
        <v>0</v>
      </c>
      <c r="IL5" s="110">
        <f t="shared" si="144"/>
        <v>0</v>
      </c>
      <c r="IM5" s="110">
        <f t="shared" si="145"/>
        <v>0</v>
      </c>
      <c r="IN5" s="110">
        <f t="shared" si="146"/>
        <v>0</v>
      </c>
      <c r="IO5" s="110">
        <f t="shared" si="147"/>
        <v>0</v>
      </c>
      <c r="IP5" s="110">
        <f t="shared" si="148"/>
        <v>0</v>
      </c>
      <c r="IQ5" s="110">
        <f t="shared" si="149"/>
        <v>0</v>
      </c>
      <c r="IR5" s="110">
        <f t="shared" si="150"/>
        <v>0</v>
      </c>
      <c r="IS5" s="110">
        <f t="shared" si="151"/>
        <v>0</v>
      </c>
      <c r="IT5" s="110">
        <f t="shared" si="152"/>
        <v>0</v>
      </c>
      <c r="IV5" s="111">
        <f t="shared" si="153"/>
        <v>0</v>
      </c>
      <c r="IW5" s="110">
        <f t="shared" si="154"/>
        <v>0</v>
      </c>
      <c r="IX5" s="110">
        <f t="shared" si="155"/>
        <v>0</v>
      </c>
      <c r="IY5" s="110">
        <f t="shared" si="156"/>
        <v>0</v>
      </c>
      <c r="IZ5" s="110">
        <f t="shared" si="157"/>
        <v>0</v>
      </c>
      <c r="JA5" s="110">
        <f t="shared" si="158"/>
        <v>0</v>
      </c>
      <c r="JB5" s="110">
        <f t="shared" si="159"/>
        <v>0</v>
      </c>
      <c r="JC5" s="110">
        <f t="shared" si="160"/>
        <v>0</v>
      </c>
      <c r="JD5" s="110">
        <f t="shared" si="161"/>
        <v>0</v>
      </c>
      <c r="JE5" s="110">
        <f t="shared" si="162"/>
        <v>0</v>
      </c>
      <c r="JF5" s="110">
        <f t="shared" si="163"/>
        <v>0</v>
      </c>
      <c r="JG5" s="110">
        <f t="shared" si="164"/>
        <v>0</v>
      </c>
      <c r="JH5" s="110">
        <f t="shared" si="165"/>
        <v>0</v>
      </c>
      <c r="JI5" s="110">
        <f t="shared" si="166"/>
        <v>0</v>
      </c>
      <c r="JJ5" s="110">
        <f t="shared" si="167"/>
        <v>0</v>
      </c>
      <c r="JK5" s="110">
        <f t="shared" si="168"/>
        <v>0</v>
      </c>
      <c r="JL5" s="110">
        <f t="shared" si="169"/>
        <v>0</v>
      </c>
      <c r="JM5" s="110">
        <f t="shared" si="170"/>
        <v>0</v>
      </c>
      <c r="JN5" s="110">
        <f t="shared" si="171"/>
        <v>0</v>
      </c>
      <c r="JO5" s="110">
        <f t="shared" si="172"/>
        <v>0</v>
      </c>
      <c r="JP5" s="110">
        <f t="shared" si="173"/>
        <v>0</v>
      </c>
      <c r="JQ5" s="110">
        <f t="shared" si="174"/>
        <v>0</v>
      </c>
      <c r="JR5" s="110">
        <f t="shared" si="175"/>
        <v>0</v>
      </c>
      <c r="JS5" s="110">
        <f t="shared" si="176"/>
        <v>0</v>
      </c>
      <c r="JT5" s="110">
        <f t="shared" si="177"/>
        <v>0</v>
      </c>
      <c r="JV5" s="111">
        <f t="shared" si="178"/>
        <v>-3.1499999999999773</v>
      </c>
      <c r="JW5" s="110">
        <f t="shared" si="179"/>
        <v>-3.1499999999999773</v>
      </c>
      <c r="JX5" s="110">
        <f t="shared" si="180"/>
        <v>0</v>
      </c>
      <c r="JY5" s="110">
        <f t="shared" si="181"/>
        <v>0</v>
      </c>
      <c r="JZ5" s="110">
        <f t="shared" si="182"/>
        <v>0</v>
      </c>
      <c r="KA5" s="110">
        <f t="shared" si="183"/>
        <v>0</v>
      </c>
      <c r="KB5" s="110">
        <f t="shared" si="184"/>
        <v>-0.30000000000001137</v>
      </c>
      <c r="KC5" s="110">
        <f t="shared" si="185"/>
        <v>0</v>
      </c>
      <c r="KD5" s="110">
        <f t="shared" si="186"/>
        <v>0</v>
      </c>
      <c r="KE5" s="110">
        <f t="shared" si="187"/>
        <v>0</v>
      </c>
      <c r="KF5" s="110">
        <f t="shared" si="188"/>
        <v>0</v>
      </c>
      <c r="KG5" s="110">
        <f t="shared" si="189"/>
        <v>0</v>
      </c>
      <c r="KH5" s="110">
        <f t="shared" si="190"/>
        <v>0</v>
      </c>
      <c r="KI5" s="110">
        <f t="shared" si="191"/>
        <v>0</v>
      </c>
      <c r="KJ5" s="110">
        <f t="shared" si="192"/>
        <v>0</v>
      </c>
      <c r="KK5" s="110">
        <f t="shared" si="193"/>
        <v>0</v>
      </c>
      <c r="KL5" s="110">
        <f t="shared" si="194"/>
        <v>0</v>
      </c>
      <c r="KM5" s="110">
        <f t="shared" si="195"/>
        <v>0</v>
      </c>
      <c r="KN5" s="110">
        <f t="shared" si="196"/>
        <v>0</v>
      </c>
      <c r="KO5" s="110">
        <f t="shared" si="197"/>
        <v>0</v>
      </c>
      <c r="KP5" s="110">
        <f t="shared" si="198"/>
        <v>0</v>
      </c>
      <c r="KQ5" s="110">
        <f t="shared" si="199"/>
        <v>0</v>
      </c>
      <c r="KR5" s="110">
        <f t="shared" si="200"/>
        <v>0</v>
      </c>
      <c r="KS5" s="110">
        <f t="shared" si="201"/>
        <v>0</v>
      </c>
      <c r="KT5" s="110">
        <f t="shared" si="202"/>
        <v>0</v>
      </c>
      <c r="KV5" s="111">
        <f t="shared" si="203"/>
        <v>0</v>
      </c>
      <c r="KW5" s="110">
        <f t="shared" si="204"/>
        <v>0</v>
      </c>
      <c r="KX5" s="110">
        <f t="shared" si="205"/>
        <v>0</v>
      </c>
      <c r="KY5" s="110">
        <f t="shared" si="206"/>
        <v>0</v>
      </c>
      <c r="KZ5" s="110">
        <f t="shared" si="207"/>
        <v>0</v>
      </c>
      <c r="LA5" s="110">
        <f t="shared" si="208"/>
        <v>0</v>
      </c>
      <c r="LB5" s="110">
        <f t="shared" si="209"/>
        <v>0</v>
      </c>
      <c r="LC5" s="110">
        <f t="shared" si="210"/>
        <v>0</v>
      </c>
      <c r="LD5" s="110">
        <f t="shared" si="211"/>
        <v>0</v>
      </c>
      <c r="LE5" s="110">
        <f t="shared" si="212"/>
        <v>0</v>
      </c>
      <c r="LF5" s="110">
        <f t="shared" si="213"/>
        <v>0</v>
      </c>
      <c r="LG5" s="110">
        <f t="shared" si="214"/>
        <v>0</v>
      </c>
      <c r="LH5" s="110">
        <f t="shared" si="215"/>
        <v>0</v>
      </c>
      <c r="LI5" s="110">
        <f t="shared" si="216"/>
        <v>40</v>
      </c>
      <c r="LJ5" s="110">
        <f t="shared" si="217"/>
        <v>40</v>
      </c>
      <c r="LK5" s="110">
        <f t="shared" si="218"/>
        <v>40</v>
      </c>
      <c r="LL5" s="110">
        <f t="shared" si="219"/>
        <v>40</v>
      </c>
      <c r="LM5" s="110">
        <f t="shared" si="220"/>
        <v>40</v>
      </c>
      <c r="LN5" s="110">
        <f t="shared" si="221"/>
        <v>40</v>
      </c>
      <c r="LO5" s="110">
        <f t="shared" si="222"/>
        <v>40</v>
      </c>
      <c r="LP5" s="110">
        <f t="shared" si="223"/>
        <v>40</v>
      </c>
      <c r="LQ5" s="110">
        <f t="shared" si="224"/>
        <v>40</v>
      </c>
      <c r="LR5" s="110">
        <f t="shared" si="225"/>
        <v>40</v>
      </c>
      <c r="LS5" s="110">
        <f t="shared" si="226"/>
        <v>40</v>
      </c>
      <c r="LT5" s="110">
        <f t="shared" si="227"/>
        <v>40</v>
      </c>
      <c r="LV5" s="111"/>
      <c r="LW5" s="110">
        <f t="shared" si="228"/>
        <v>0</v>
      </c>
      <c r="LX5" s="110">
        <f t="shared" si="229"/>
        <v>0</v>
      </c>
      <c r="LY5" s="110">
        <f t="shared" si="230"/>
        <v>0</v>
      </c>
      <c r="LZ5" s="110">
        <f t="shared" si="231"/>
        <v>0</v>
      </c>
      <c r="MA5" s="110">
        <f t="shared" si="232"/>
        <v>0</v>
      </c>
      <c r="MB5" s="110">
        <f t="shared" si="233"/>
        <v>0</v>
      </c>
      <c r="MC5" s="110">
        <f t="shared" si="234"/>
        <v>0</v>
      </c>
      <c r="MD5" s="110">
        <f t="shared" si="235"/>
        <v>0</v>
      </c>
      <c r="ME5" s="110">
        <f t="shared" si="236"/>
        <v>0</v>
      </c>
      <c r="MF5" s="110">
        <f t="shared" si="237"/>
        <v>0</v>
      </c>
      <c r="MG5" s="110">
        <f t="shared" si="238"/>
        <v>0</v>
      </c>
      <c r="MH5" s="110">
        <f t="shared" si="239"/>
        <v>0</v>
      </c>
      <c r="MI5" s="110">
        <f t="shared" si="240"/>
        <v>0</v>
      </c>
      <c r="MJ5" s="110">
        <f t="shared" si="241"/>
        <v>0</v>
      </c>
      <c r="MK5" s="110">
        <f t="shared" si="242"/>
        <v>0</v>
      </c>
      <c r="ML5" s="110">
        <f t="shared" si="243"/>
        <v>0</v>
      </c>
      <c r="MM5" s="110">
        <f t="shared" si="244"/>
        <v>0</v>
      </c>
      <c r="MN5" s="110">
        <f t="shared" si="245"/>
        <v>0</v>
      </c>
      <c r="MO5" s="110">
        <f t="shared" si="246"/>
        <v>0</v>
      </c>
      <c r="MP5" s="110">
        <f t="shared" si="247"/>
        <v>0</v>
      </c>
      <c r="MQ5" s="110">
        <f t="shared" si="248"/>
        <v>0</v>
      </c>
      <c r="MR5" s="110">
        <f t="shared" si="249"/>
        <v>0</v>
      </c>
      <c r="MS5" s="110">
        <f t="shared" si="250"/>
        <v>0</v>
      </c>
      <c r="MT5" s="110">
        <f t="shared" si="251"/>
        <v>0</v>
      </c>
      <c r="MV5" s="114">
        <v>399</v>
      </c>
      <c r="MW5" s="114">
        <v>0</v>
      </c>
      <c r="MX5" s="114">
        <v>40</v>
      </c>
      <c r="MY5" s="114">
        <v>0</v>
      </c>
      <c r="MZ5" s="114">
        <v>0</v>
      </c>
      <c r="NB5" s="115">
        <v>2</v>
      </c>
      <c r="NC5" s="115" t="str">
        <v>N/A</v>
      </c>
      <c r="ND5" s="115">
        <v>1</v>
      </c>
      <c r="NE5" s="115" t="str">
        <v>N/A</v>
      </c>
      <c r="NF5" s="115" t="str">
        <v>N/A</v>
      </c>
    </row>
    <row r="6" spans="2:376" ht="13.5" x14ac:dyDescent="0.25">
      <c r="B6" s="8">
        <f t="shared" ref="B6:B69" si="252">B5+1</f>
        <v>3</v>
      </c>
      <c r="C6" s="7">
        <v>296.10000000000002</v>
      </c>
      <c r="D6" s="7">
        <v>296.10000000000002</v>
      </c>
      <c r="E6" s="7">
        <v>296.10000000000002</v>
      </c>
      <c r="F6" s="7">
        <v>296.10000000000002</v>
      </c>
      <c r="G6" s="7">
        <v>296.10000000000002</v>
      </c>
      <c r="H6" s="7">
        <v>296.10000000000002</v>
      </c>
      <c r="I6" s="7">
        <v>296.10000000000002</v>
      </c>
      <c r="J6" s="7">
        <v>296.10000000000002</v>
      </c>
      <c r="K6" s="7">
        <v>296.10000000000002</v>
      </c>
      <c r="L6" s="7">
        <v>296.10000000000002</v>
      </c>
      <c r="M6" s="7">
        <v>296.10000000000002</v>
      </c>
      <c r="N6" s="7">
        <v>296.10000000000002</v>
      </c>
      <c r="O6" s="7">
        <v>296.10000000000002</v>
      </c>
      <c r="P6" s="7">
        <v>296.10000000000002</v>
      </c>
      <c r="Q6" s="7">
        <v>296.10000000000002</v>
      </c>
      <c r="R6" s="7">
        <v>296.10000000000002</v>
      </c>
      <c r="S6" s="7">
        <v>296.10000000000002</v>
      </c>
      <c r="T6" s="7">
        <v>296.10000000000002</v>
      </c>
      <c r="U6" s="7">
        <v>296.10000000000002</v>
      </c>
      <c r="V6" s="7">
        <v>296.10000000000002</v>
      </c>
      <c r="W6" s="7">
        <v>296.10000000000002</v>
      </c>
      <c r="X6" s="7">
        <v>296.10000000000002</v>
      </c>
      <c r="Y6" s="7">
        <v>296.10000000000002</v>
      </c>
      <c r="Z6" s="7">
        <v>296.10000000000002</v>
      </c>
      <c r="AA6" s="7">
        <v>296.10000000000002</v>
      </c>
      <c r="AB6" s="7">
        <v>296.10000000000002</v>
      </c>
      <c r="AC6" s="7">
        <v>296.10000000000002</v>
      </c>
      <c r="AD6" s="7">
        <v>296.10000000000002</v>
      </c>
      <c r="AE6" s="7">
        <v>306.45999999999998</v>
      </c>
      <c r="AF6" s="7">
        <v>306.45999999999998</v>
      </c>
      <c r="AG6" s="7">
        <v>306.45999999999998</v>
      </c>
      <c r="AH6" s="7">
        <v>306.45999999999998</v>
      </c>
      <c r="AI6" s="7">
        <v>306.45999999999998</v>
      </c>
      <c r="AJ6" s="7">
        <v>306.45999999999998</v>
      </c>
      <c r="AK6" s="7">
        <v>306.45999999999998</v>
      </c>
      <c r="AL6" s="7">
        <v>306.45999999999998</v>
      </c>
      <c r="AM6" s="7">
        <v>306.45999999999998</v>
      </c>
      <c r="AN6" s="27">
        <v>3</v>
      </c>
      <c r="AP6" s="111"/>
      <c r="AQ6" s="110">
        <f t="shared" si="13"/>
        <v>0</v>
      </c>
      <c r="AR6" s="110">
        <f t="shared" si="14"/>
        <v>0</v>
      </c>
      <c r="AS6" s="110">
        <f t="shared" si="15"/>
        <v>0</v>
      </c>
      <c r="AT6" s="110">
        <f t="shared" si="16"/>
        <v>0</v>
      </c>
      <c r="AU6" s="110">
        <f t="shared" si="17"/>
        <v>0</v>
      </c>
      <c r="AV6" s="110">
        <f t="shared" si="18"/>
        <v>0</v>
      </c>
      <c r="AW6" s="110">
        <f t="shared" si="19"/>
        <v>0</v>
      </c>
      <c r="AX6" s="110">
        <f t="shared" si="20"/>
        <v>0</v>
      </c>
      <c r="AY6" s="110">
        <f t="shared" si="21"/>
        <v>0</v>
      </c>
      <c r="AZ6" s="110">
        <f t="shared" si="22"/>
        <v>10.359999999999957</v>
      </c>
      <c r="BA6" s="110">
        <f t="shared" si="23"/>
        <v>0</v>
      </c>
      <c r="BB6" s="110">
        <f t="shared" si="24"/>
        <v>0</v>
      </c>
      <c r="BD6" s="109" cm="1">
        <f t="array" ref="BD6">+IFERROR(INDEX($C$3:$AM$3,MATCH(TRUE,INDEX($C6:$AM6&lt;&gt;0,0),0)),"N/A")</f>
        <v>44926</v>
      </c>
      <c r="BE6" s="112"/>
      <c r="BF6" s="1" t="str" cm="1">
        <f t="array" ref="BF6">+_xlfn.IFS(BT6&lt;&gt;0,BT$2,CH6&lt;&gt;0,CH$2,CV6&lt;&gt;0,CV$2,DJ6&lt;&gt;0,DJ$2,TRUE,"")</f>
        <v/>
      </c>
      <c r="BG6" s="1" t="str" cm="1">
        <f t="array" ref="BG6">+_xlfn.IFS(BU6&lt;&gt;0,BU$2,CI6&lt;&gt;0,CI$2,CW6&lt;&gt;0,CW$2,DK6&lt;&gt;0,DK$2,TRUE,"")</f>
        <v/>
      </c>
      <c r="BH6" s="1" t="str" cm="1">
        <f t="array" ref="BH6">+_xlfn.IFS(BV6&lt;&gt;0,BV$2,CJ6&lt;&gt;0,CJ$2,CX6&lt;&gt;0,CX$2,DL6&lt;&gt;0,DL$2,TRUE,"")</f>
        <v/>
      </c>
      <c r="BI6" s="1" t="str" cm="1">
        <f t="array" ref="BI6">+_xlfn.IFS(BW6&lt;&gt;0,BW$2,CK6&lt;&gt;0,CK$2,CY6&lt;&gt;0,CY$2,DM6&lt;&gt;0,DM$2,TRUE,"")</f>
        <v/>
      </c>
      <c r="BJ6" s="1" t="str" cm="1">
        <f t="array" ref="BJ6">+_xlfn.IFS(BX6&lt;&gt;0,BX$2,CL6&lt;&gt;0,CL$2,CZ6&lt;&gt;0,CZ$2,DN6&lt;&gt;0,DN$2,TRUE,"")</f>
        <v/>
      </c>
      <c r="BK6" s="1" t="str" cm="1">
        <f t="array" ref="BK6">+_xlfn.IFS(BY6&lt;&gt;0,BY$2,CM6&lt;&gt;0,CM$2,DA6&lt;&gt;0,DA$2,DO6&lt;&gt;0,DO$2,TRUE,"")</f>
        <v/>
      </c>
      <c r="BL6" s="1" t="str" cm="1">
        <f t="array" ref="BL6">+_xlfn.IFS(BZ6&lt;&gt;0,BZ$2,CN6&lt;&gt;0,CN$2,DB6&lt;&gt;0,DB$2,DP6&lt;&gt;0,DP$2,TRUE,"")</f>
        <v/>
      </c>
      <c r="BM6" s="1" t="str" cm="1">
        <f t="array" ref="BM6">+_xlfn.IFS(CA6&lt;&gt;0,CA$2,CO6&lt;&gt;0,CO$2,DC6&lt;&gt;0,DC$2,DQ6&lt;&gt;0,DQ$2,TRUE,"")</f>
        <v/>
      </c>
      <c r="BN6" s="1" t="str" cm="1">
        <f t="array" ref="BN6">+_xlfn.IFS(CB6&lt;&gt;0,CB$2,CP6&lt;&gt;0,CP$2,DD6&lt;&gt;0,DD$2,DR6&lt;&gt;0,DR$2,TRUE,"")</f>
        <v/>
      </c>
      <c r="BO6" s="1" t="str" cm="1">
        <f t="array" ref="BO6">+_xlfn.IFS(CC6&lt;&gt;0,CC$2,CQ6&lt;&gt;0,CQ$2,DE6&lt;&gt;0,DE$2,DS6&lt;&gt;0,DS$2,TRUE,"")</f>
        <v>Upsell</v>
      </c>
      <c r="BP6" s="1" t="str" cm="1">
        <f t="array" ref="BP6">+_xlfn.IFS(CD6&lt;&gt;0,CD$2,CR6&lt;&gt;0,CR$2,DF6&lt;&gt;0,DF$2,DT6&lt;&gt;0,DT$2,TRUE,"")</f>
        <v/>
      </c>
      <c r="BQ6" s="1" t="str" cm="1">
        <f t="array" ref="BQ6">+_xlfn.IFS(CE6&lt;&gt;0,CE$2,CS6&lt;&gt;0,CS$2,DG6&lt;&gt;0,DG$2,DU6&lt;&gt;0,DU$2,TRUE,"")</f>
        <v/>
      </c>
      <c r="BS6" s="111"/>
      <c r="BT6" s="110">
        <f t="shared" si="25"/>
        <v>0</v>
      </c>
      <c r="BU6" s="110">
        <f t="shared" si="26"/>
        <v>0</v>
      </c>
      <c r="BV6" s="110">
        <f t="shared" si="27"/>
        <v>0</v>
      </c>
      <c r="BW6" s="110">
        <f t="shared" si="28"/>
        <v>0</v>
      </c>
      <c r="BX6" s="110">
        <f t="shared" si="29"/>
        <v>0</v>
      </c>
      <c r="BY6" s="110">
        <f t="shared" si="30"/>
        <v>0</v>
      </c>
      <c r="BZ6" s="110">
        <f t="shared" si="31"/>
        <v>0</v>
      </c>
      <c r="CA6" s="110">
        <f t="shared" si="32"/>
        <v>0</v>
      </c>
      <c r="CB6" s="110">
        <f t="shared" si="33"/>
        <v>0</v>
      </c>
      <c r="CC6" s="110">
        <f t="shared" si="34"/>
        <v>0</v>
      </c>
      <c r="CD6" s="110">
        <f t="shared" si="35"/>
        <v>0</v>
      </c>
      <c r="CE6" s="110">
        <f t="shared" si="36"/>
        <v>0</v>
      </c>
      <c r="CG6" s="111"/>
      <c r="CH6" s="110">
        <f t="shared" si="37"/>
        <v>0</v>
      </c>
      <c r="CI6" s="110">
        <f t="shared" si="38"/>
        <v>0</v>
      </c>
      <c r="CJ6" s="110">
        <f t="shared" si="39"/>
        <v>0</v>
      </c>
      <c r="CK6" s="110">
        <f t="shared" si="40"/>
        <v>0</v>
      </c>
      <c r="CL6" s="110">
        <f t="shared" si="41"/>
        <v>0</v>
      </c>
      <c r="CM6" s="110">
        <f t="shared" si="42"/>
        <v>0</v>
      </c>
      <c r="CN6" s="110">
        <f t="shared" si="43"/>
        <v>0</v>
      </c>
      <c r="CO6" s="110">
        <f t="shared" si="44"/>
        <v>0</v>
      </c>
      <c r="CP6" s="110">
        <f t="shared" si="45"/>
        <v>0</v>
      </c>
      <c r="CQ6" s="110">
        <f t="shared" si="46"/>
        <v>0</v>
      </c>
      <c r="CR6" s="110">
        <f t="shared" si="47"/>
        <v>0</v>
      </c>
      <c r="CS6" s="110">
        <f t="shared" si="48"/>
        <v>0</v>
      </c>
      <c r="CU6" s="111"/>
      <c r="CV6" s="110">
        <f t="shared" si="49"/>
        <v>0</v>
      </c>
      <c r="CW6" s="110">
        <f t="shared" si="50"/>
        <v>0</v>
      </c>
      <c r="CX6" s="110">
        <f t="shared" si="51"/>
        <v>0</v>
      </c>
      <c r="CY6" s="110">
        <f t="shared" si="52"/>
        <v>0</v>
      </c>
      <c r="CZ6" s="110">
        <f t="shared" si="53"/>
        <v>0</v>
      </c>
      <c r="DA6" s="110">
        <f t="shared" si="54"/>
        <v>0</v>
      </c>
      <c r="DB6" s="110">
        <f t="shared" si="55"/>
        <v>0</v>
      </c>
      <c r="DC6" s="110">
        <f t="shared" si="56"/>
        <v>0</v>
      </c>
      <c r="DD6" s="110">
        <f t="shared" si="57"/>
        <v>0</v>
      </c>
      <c r="DE6" s="110">
        <f t="shared" si="58"/>
        <v>0</v>
      </c>
      <c r="DF6" s="110">
        <f t="shared" si="59"/>
        <v>0</v>
      </c>
      <c r="DG6" s="110">
        <f t="shared" si="60"/>
        <v>0</v>
      </c>
      <c r="DI6" s="111"/>
      <c r="DJ6" s="110">
        <f t="shared" si="61"/>
        <v>0</v>
      </c>
      <c r="DK6" s="110">
        <f t="shared" si="62"/>
        <v>0</v>
      </c>
      <c r="DL6" s="110">
        <f t="shared" si="63"/>
        <v>0</v>
      </c>
      <c r="DM6" s="110">
        <f t="shared" si="64"/>
        <v>0</v>
      </c>
      <c r="DN6" s="110">
        <f t="shared" si="65"/>
        <v>0</v>
      </c>
      <c r="DO6" s="110">
        <f t="shared" si="66"/>
        <v>0</v>
      </c>
      <c r="DP6" s="110">
        <f t="shared" si="67"/>
        <v>0</v>
      </c>
      <c r="DQ6" s="110">
        <f t="shared" si="68"/>
        <v>0</v>
      </c>
      <c r="DR6" s="110">
        <f t="shared" si="69"/>
        <v>0</v>
      </c>
      <c r="DS6" s="110">
        <f t="shared" si="70"/>
        <v>10.359999999999957</v>
      </c>
      <c r="DT6" s="110">
        <f t="shared" si="71"/>
        <v>0</v>
      </c>
      <c r="DU6" s="110">
        <f t="shared" si="72"/>
        <v>0</v>
      </c>
      <c r="DW6" s="111"/>
      <c r="DX6" s="110">
        <f t="shared" si="73"/>
        <v>0</v>
      </c>
      <c r="DY6" s="110">
        <f t="shared" si="74"/>
        <v>0</v>
      </c>
      <c r="DZ6" s="110">
        <f t="shared" si="75"/>
        <v>0</v>
      </c>
      <c r="EA6" s="110">
        <f t="shared" si="76"/>
        <v>0</v>
      </c>
      <c r="EB6" s="110">
        <f t="shared" si="77"/>
        <v>0</v>
      </c>
      <c r="EC6" s="110">
        <f t="shared" si="78"/>
        <v>0</v>
      </c>
      <c r="ED6" s="110">
        <f t="shared" si="79"/>
        <v>0</v>
      </c>
      <c r="EE6" s="110">
        <f t="shared" si="80"/>
        <v>0</v>
      </c>
      <c r="EF6" s="110">
        <f t="shared" si="81"/>
        <v>0</v>
      </c>
      <c r="EG6" s="110">
        <f t="shared" si="82"/>
        <v>0</v>
      </c>
      <c r="EH6" s="110">
        <f t="shared" si="83"/>
        <v>0</v>
      </c>
      <c r="EI6" s="110">
        <f t="shared" si="84"/>
        <v>0</v>
      </c>
      <c r="EK6" s="111"/>
      <c r="EL6" s="110">
        <f t="shared" si="85"/>
        <v>0</v>
      </c>
      <c r="EM6" s="110">
        <f t="shared" si="86"/>
        <v>0</v>
      </c>
      <c r="EN6" s="110">
        <f t="shared" si="87"/>
        <v>10.359999999999957</v>
      </c>
      <c r="EP6" s="109" cm="1">
        <f t="array" ref="EP6">+IFERROR(INDEX($C$3:$AM$3,MATCH(TRUE,INDEX($C6:$AM6&lt;&gt;0,0),0)),"N/A")</f>
        <v>44926</v>
      </c>
      <c r="EQ6" s="112"/>
      <c r="ER6" s="1" t="str" cm="1">
        <f t="array" ref="ER6">+_xlfn.IFS(EW6&lt;&gt;0,EW$2,FB6&lt;&gt;0,FB$2,FG6&lt;&gt;0,FG$2,FL6&lt;&gt;0,FL$2,TRUE,"")</f>
        <v/>
      </c>
      <c r="ES6" s="1" t="str" cm="1">
        <f t="array" ref="ES6">+_xlfn.IFS(EX6&lt;&gt;0,EX$2,FC6&lt;&gt;0,FC$2,FH6&lt;&gt;0,FH$2,FM6&lt;&gt;0,FM$2,TRUE,"")</f>
        <v/>
      </c>
      <c r="ET6" s="1" t="str" cm="1">
        <f t="array" ref="ET6">+_xlfn.IFS(EY6&lt;&gt;0,EY$2,FD6&lt;&gt;0,FD$2,FI6&lt;&gt;0,FI$2,FN6&lt;&gt;0,FN$2,TRUE,"")</f>
        <v>Upsell</v>
      </c>
      <c r="EV6" s="111"/>
      <c r="EW6" s="110">
        <f t="shared" si="88"/>
        <v>0</v>
      </c>
      <c r="EX6" s="110">
        <f t="shared" si="89"/>
        <v>0</v>
      </c>
      <c r="EY6" s="110">
        <f t="shared" si="90"/>
        <v>0</v>
      </c>
      <c r="FA6" s="111"/>
      <c r="FB6" s="110">
        <f t="shared" si="91"/>
        <v>0</v>
      </c>
      <c r="FC6" s="110">
        <f t="shared" si="92"/>
        <v>0</v>
      </c>
      <c r="FD6" s="110">
        <f t="shared" si="93"/>
        <v>0</v>
      </c>
      <c r="FF6" s="111"/>
      <c r="FG6" s="110">
        <f t="shared" si="94"/>
        <v>0</v>
      </c>
      <c r="FH6" s="110">
        <f t="shared" si="95"/>
        <v>0</v>
      </c>
      <c r="FI6" s="110">
        <f t="shared" si="96"/>
        <v>0</v>
      </c>
      <c r="FK6" s="111"/>
      <c r="FL6" s="110">
        <f t="shared" si="97"/>
        <v>0</v>
      </c>
      <c r="FM6" s="110">
        <f t="shared" si="98"/>
        <v>0</v>
      </c>
      <c r="FN6" s="110">
        <f t="shared" si="99"/>
        <v>10.359999999999957</v>
      </c>
      <c r="FP6" s="111"/>
      <c r="FQ6" s="110">
        <f t="shared" si="100"/>
        <v>0</v>
      </c>
      <c r="FR6" s="110">
        <f t="shared" si="101"/>
        <v>0</v>
      </c>
      <c r="FS6" s="110">
        <f t="shared" si="102"/>
        <v>0</v>
      </c>
      <c r="FU6" s="111">
        <f t="shared" si="103"/>
        <v>0</v>
      </c>
      <c r="FV6" s="110">
        <f t="shared" si="104"/>
        <v>0</v>
      </c>
      <c r="FW6" s="110">
        <f t="shared" si="105"/>
        <v>0</v>
      </c>
      <c r="FX6" s="110">
        <f t="shared" si="106"/>
        <v>0</v>
      </c>
      <c r="FY6" s="110">
        <f t="shared" si="107"/>
        <v>0</v>
      </c>
      <c r="FZ6" s="110">
        <f t="shared" si="108"/>
        <v>0</v>
      </c>
      <c r="GA6" s="110">
        <f t="shared" si="109"/>
        <v>0</v>
      </c>
      <c r="GB6" s="110">
        <f t="shared" si="110"/>
        <v>0</v>
      </c>
      <c r="GC6" s="110">
        <f t="shared" si="111"/>
        <v>0</v>
      </c>
      <c r="GD6" s="110">
        <f t="shared" si="112"/>
        <v>0</v>
      </c>
      <c r="GE6" s="110">
        <f t="shared" si="113"/>
        <v>0</v>
      </c>
      <c r="GF6" s="110">
        <f t="shared" si="114"/>
        <v>0</v>
      </c>
      <c r="GG6" s="110">
        <f t="shared" si="115"/>
        <v>0</v>
      </c>
      <c r="GH6" s="110">
        <f t="shared" si="116"/>
        <v>0</v>
      </c>
      <c r="GI6" s="110">
        <f t="shared" si="117"/>
        <v>0</v>
      </c>
      <c r="GJ6" s="110">
        <f t="shared" si="118"/>
        <v>0</v>
      </c>
      <c r="GK6" s="110">
        <f t="shared" si="119"/>
        <v>10.359999999999957</v>
      </c>
      <c r="GL6" s="110">
        <f t="shared" si="120"/>
        <v>10.359999999999957</v>
      </c>
      <c r="GM6" s="110">
        <f t="shared" si="121"/>
        <v>10.359999999999957</v>
      </c>
      <c r="GN6" s="110">
        <f t="shared" si="122"/>
        <v>10.359999999999957</v>
      </c>
      <c r="GO6" s="110">
        <f t="shared" si="123"/>
        <v>10.359999999999957</v>
      </c>
      <c r="GP6" s="110">
        <f t="shared" si="124"/>
        <v>10.359999999999957</v>
      </c>
      <c r="GQ6" s="110">
        <f t="shared" si="125"/>
        <v>10.359999999999957</v>
      </c>
      <c r="GR6" s="110">
        <f t="shared" si="126"/>
        <v>10.359999999999957</v>
      </c>
      <c r="GS6" s="110">
        <f t="shared" si="127"/>
        <v>10.359999999999957</v>
      </c>
      <c r="GU6" s="109" cm="1">
        <f t="array" ref="GU6">+IFERROR(INDEX($C$3:$AM$3,MATCH(TRUE,INDEX($C6:$AM6&lt;&gt;0,0),0)),"N/A")</f>
        <v>44926</v>
      </c>
      <c r="GV6" s="112" t="str" cm="1">
        <f t="array" ref="GV6">+_xlfn.IFS(HV6&lt;&gt;0,HV$2,IV6&lt;&gt;0,IV$2,JV6&lt;&gt;0,JV$2,KV6&lt;&gt;0,KV$2,TRUE,"")</f>
        <v/>
      </c>
      <c r="GW6" s="1" t="str" cm="1">
        <f t="array" ref="GW6">+_xlfn.IFS(HW6&lt;&gt;0,HW$2,IW6&lt;&gt;0,IW$2,JW6&lt;&gt;0,JW$2,KW6&lt;&gt;0,KW$2,TRUE,"")</f>
        <v/>
      </c>
      <c r="GX6" s="1" t="str" cm="1">
        <f t="array" ref="GX6">+_xlfn.IFS(HX6&lt;&gt;0,HX$2,IX6&lt;&gt;0,IX$2,JX6&lt;&gt;0,JX$2,KX6&lt;&gt;0,KX$2,TRUE,"")</f>
        <v/>
      </c>
      <c r="GY6" s="1" t="str" cm="1">
        <f t="array" ref="GY6">+_xlfn.IFS(HY6&lt;&gt;0,HY$2,IY6&lt;&gt;0,IY$2,JY6&lt;&gt;0,JY$2,KY6&lt;&gt;0,KY$2,TRUE,"")</f>
        <v/>
      </c>
      <c r="GZ6" s="1" t="str" cm="1">
        <f t="array" ref="GZ6">+_xlfn.IFS(HZ6&lt;&gt;0,HZ$2,IZ6&lt;&gt;0,IZ$2,JZ6&lt;&gt;0,JZ$2,KZ6&lt;&gt;0,KZ$2,TRUE,"")</f>
        <v/>
      </c>
      <c r="HA6" s="1" t="str" cm="1">
        <f t="array" ref="HA6">+_xlfn.IFS(IA6&lt;&gt;0,IA$2,JA6&lt;&gt;0,JA$2,KA6&lt;&gt;0,KA$2,LA6&lt;&gt;0,LA$2,TRUE,"")</f>
        <v/>
      </c>
      <c r="HB6" s="1" t="str" cm="1">
        <f t="array" ref="HB6">+_xlfn.IFS(IB6&lt;&gt;0,IB$2,JB6&lt;&gt;0,JB$2,KB6&lt;&gt;0,KB$2,LB6&lt;&gt;0,LB$2,TRUE,"")</f>
        <v/>
      </c>
      <c r="HC6" s="1" t="str" cm="1">
        <f t="array" ref="HC6">+_xlfn.IFS(IC6&lt;&gt;0,IC$2,JC6&lt;&gt;0,JC$2,KC6&lt;&gt;0,KC$2,LC6&lt;&gt;0,LC$2,TRUE,"")</f>
        <v/>
      </c>
      <c r="HD6" s="1" t="str" cm="1">
        <f t="array" ref="HD6">+_xlfn.IFS(ID6&lt;&gt;0,ID$2,JD6&lt;&gt;0,JD$2,KD6&lt;&gt;0,KD$2,LD6&lt;&gt;0,LD$2,TRUE,"")</f>
        <v/>
      </c>
      <c r="HE6" s="1" t="str" cm="1">
        <f t="array" ref="HE6">+_xlfn.IFS(IE6&lt;&gt;0,IE$2,JE6&lt;&gt;0,JE$2,KE6&lt;&gt;0,KE$2,LE6&lt;&gt;0,LE$2,TRUE,"")</f>
        <v/>
      </c>
      <c r="HF6" s="1" t="str" cm="1">
        <f t="array" ref="HF6">+_xlfn.IFS(IF6&lt;&gt;0,IF$2,JF6&lt;&gt;0,JF$2,KF6&lt;&gt;0,KF$2,LF6&lt;&gt;0,LF$2,TRUE,"")</f>
        <v/>
      </c>
      <c r="HG6" s="1" t="str" cm="1">
        <f t="array" ref="HG6">+_xlfn.IFS(IG6&lt;&gt;0,IG$2,JG6&lt;&gt;0,JG$2,KG6&lt;&gt;0,KG$2,LG6&lt;&gt;0,LG$2,TRUE,"")</f>
        <v/>
      </c>
      <c r="HH6" s="1" t="str" cm="1">
        <f t="array" ref="HH6">+_xlfn.IFS(IH6&lt;&gt;0,IH$2,JH6&lt;&gt;0,JH$2,KH6&lt;&gt;0,KH$2,LH6&lt;&gt;0,LH$2,TRUE,"")</f>
        <v/>
      </c>
      <c r="HI6" s="1" t="str" cm="1">
        <f t="array" ref="HI6">+_xlfn.IFS(II6&lt;&gt;0,II$2,JI6&lt;&gt;0,JI$2,KI6&lt;&gt;0,KI$2,LI6&lt;&gt;0,LI$2,TRUE,"")</f>
        <v/>
      </c>
      <c r="HJ6" s="1" t="str" cm="1">
        <f t="array" ref="HJ6">+_xlfn.IFS(IJ6&lt;&gt;0,IJ$2,JJ6&lt;&gt;0,JJ$2,KJ6&lt;&gt;0,KJ$2,LJ6&lt;&gt;0,LJ$2,TRUE,"")</f>
        <v/>
      </c>
      <c r="HK6" s="1" t="str" cm="1">
        <f t="array" ref="HK6">+_xlfn.IFS(IK6&lt;&gt;0,IK$2,JK6&lt;&gt;0,JK$2,KK6&lt;&gt;0,KK$2,LK6&lt;&gt;0,LK$2,TRUE,"")</f>
        <v/>
      </c>
      <c r="HL6" s="1" t="str" cm="1">
        <f t="array" ref="HL6">+_xlfn.IFS(IL6&lt;&gt;0,IL$2,JL6&lt;&gt;0,JL$2,KL6&lt;&gt;0,KL$2,LL6&lt;&gt;0,LL$2,TRUE,"")</f>
        <v>Upsell</v>
      </c>
      <c r="HM6" s="1" t="str" cm="1">
        <f t="array" ref="HM6">+_xlfn.IFS(IM6&lt;&gt;0,IM$2,JM6&lt;&gt;0,JM$2,KM6&lt;&gt;0,KM$2,LM6&lt;&gt;0,LM$2,TRUE,"")</f>
        <v>Upsell</v>
      </c>
      <c r="HN6" s="1" t="str" cm="1">
        <f t="array" ref="HN6">+_xlfn.IFS(IN6&lt;&gt;0,IN$2,JN6&lt;&gt;0,JN$2,KN6&lt;&gt;0,KN$2,LN6&lt;&gt;0,LN$2,TRUE,"")</f>
        <v>Upsell</v>
      </c>
      <c r="HO6" s="1" t="str" cm="1">
        <f t="array" ref="HO6">+_xlfn.IFS(IO6&lt;&gt;0,IO$2,JO6&lt;&gt;0,JO$2,KO6&lt;&gt;0,KO$2,LO6&lt;&gt;0,LO$2,TRUE,"")</f>
        <v>Upsell</v>
      </c>
      <c r="HP6" s="1" t="str" cm="1">
        <f t="array" ref="HP6">+_xlfn.IFS(IP6&lt;&gt;0,IP$2,JP6&lt;&gt;0,JP$2,KP6&lt;&gt;0,KP$2,LP6&lt;&gt;0,LP$2,TRUE,"")</f>
        <v>Upsell</v>
      </c>
      <c r="HQ6" s="1" t="str" cm="1">
        <f t="array" ref="HQ6">+_xlfn.IFS(IQ6&lt;&gt;0,IQ$2,JQ6&lt;&gt;0,JQ$2,KQ6&lt;&gt;0,KQ$2,LQ6&lt;&gt;0,LQ$2,TRUE,"")</f>
        <v>Upsell</v>
      </c>
      <c r="HR6" s="1" t="str" cm="1">
        <f t="array" ref="HR6">+_xlfn.IFS(IR6&lt;&gt;0,IR$2,JR6&lt;&gt;0,JR$2,KR6&lt;&gt;0,KR$2,LR6&lt;&gt;0,LR$2,TRUE,"")</f>
        <v>Upsell</v>
      </c>
      <c r="HS6" s="1" t="str" cm="1">
        <f t="array" ref="HS6">+_xlfn.IFS(IS6&lt;&gt;0,IS$2,JS6&lt;&gt;0,JS$2,KS6&lt;&gt;0,KS$2,LS6&lt;&gt;0,LS$2,TRUE,"")</f>
        <v>Upsell</v>
      </c>
      <c r="HT6" s="1" t="str" cm="1">
        <f t="array" ref="HT6">+_xlfn.IFS(IT6&lt;&gt;0,IT$2,JT6&lt;&gt;0,JT$2,KT6&lt;&gt;0,KT$2,LT6&lt;&gt;0,LT$2,TRUE,"")</f>
        <v>Upsell</v>
      </c>
      <c r="HV6" s="111">
        <f t="shared" si="128"/>
        <v>0</v>
      </c>
      <c r="HW6" s="110">
        <f t="shared" si="129"/>
        <v>0</v>
      </c>
      <c r="HX6" s="110">
        <f t="shared" si="130"/>
        <v>0</v>
      </c>
      <c r="HY6" s="110">
        <f t="shared" si="131"/>
        <v>0</v>
      </c>
      <c r="HZ6" s="110">
        <f t="shared" si="132"/>
        <v>0</v>
      </c>
      <c r="IA6" s="110">
        <f t="shared" si="133"/>
        <v>0</v>
      </c>
      <c r="IB6" s="110">
        <f t="shared" si="134"/>
        <v>0</v>
      </c>
      <c r="IC6" s="110">
        <f t="shared" si="135"/>
        <v>0</v>
      </c>
      <c r="ID6" s="110">
        <f t="shared" si="136"/>
        <v>0</v>
      </c>
      <c r="IE6" s="110">
        <f t="shared" si="137"/>
        <v>0</v>
      </c>
      <c r="IF6" s="110">
        <f t="shared" si="138"/>
        <v>0</v>
      </c>
      <c r="IG6" s="110">
        <f t="shared" si="139"/>
        <v>0</v>
      </c>
      <c r="IH6" s="110">
        <f t="shared" si="140"/>
        <v>0</v>
      </c>
      <c r="II6" s="110">
        <f t="shared" si="141"/>
        <v>0</v>
      </c>
      <c r="IJ6" s="110">
        <f t="shared" si="142"/>
        <v>0</v>
      </c>
      <c r="IK6" s="110">
        <f t="shared" si="143"/>
        <v>0</v>
      </c>
      <c r="IL6" s="110">
        <f t="shared" si="144"/>
        <v>0</v>
      </c>
      <c r="IM6" s="110">
        <f t="shared" si="145"/>
        <v>0</v>
      </c>
      <c r="IN6" s="110">
        <f t="shared" si="146"/>
        <v>0</v>
      </c>
      <c r="IO6" s="110">
        <f t="shared" si="147"/>
        <v>0</v>
      </c>
      <c r="IP6" s="110">
        <f t="shared" si="148"/>
        <v>0</v>
      </c>
      <c r="IQ6" s="110">
        <f t="shared" si="149"/>
        <v>0</v>
      </c>
      <c r="IR6" s="110">
        <f t="shared" si="150"/>
        <v>0</v>
      </c>
      <c r="IS6" s="110">
        <f t="shared" si="151"/>
        <v>0</v>
      </c>
      <c r="IT6" s="110">
        <f t="shared" si="152"/>
        <v>0</v>
      </c>
      <c r="IV6" s="111">
        <f t="shared" si="153"/>
        <v>0</v>
      </c>
      <c r="IW6" s="110">
        <f t="shared" si="154"/>
        <v>0</v>
      </c>
      <c r="IX6" s="110">
        <f t="shared" si="155"/>
        <v>0</v>
      </c>
      <c r="IY6" s="110">
        <f t="shared" si="156"/>
        <v>0</v>
      </c>
      <c r="IZ6" s="110">
        <f t="shared" si="157"/>
        <v>0</v>
      </c>
      <c r="JA6" s="110">
        <f t="shared" si="158"/>
        <v>0</v>
      </c>
      <c r="JB6" s="110">
        <f t="shared" si="159"/>
        <v>0</v>
      </c>
      <c r="JC6" s="110">
        <f t="shared" si="160"/>
        <v>0</v>
      </c>
      <c r="JD6" s="110">
        <f t="shared" si="161"/>
        <v>0</v>
      </c>
      <c r="JE6" s="110">
        <f t="shared" si="162"/>
        <v>0</v>
      </c>
      <c r="JF6" s="110">
        <f t="shared" si="163"/>
        <v>0</v>
      </c>
      <c r="JG6" s="110">
        <f t="shared" si="164"/>
        <v>0</v>
      </c>
      <c r="JH6" s="110">
        <f t="shared" si="165"/>
        <v>0</v>
      </c>
      <c r="JI6" s="110">
        <f t="shared" si="166"/>
        <v>0</v>
      </c>
      <c r="JJ6" s="110">
        <f t="shared" si="167"/>
        <v>0</v>
      </c>
      <c r="JK6" s="110">
        <f t="shared" si="168"/>
        <v>0</v>
      </c>
      <c r="JL6" s="110">
        <f t="shared" si="169"/>
        <v>0</v>
      </c>
      <c r="JM6" s="110">
        <f t="shared" si="170"/>
        <v>0</v>
      </c>
      <c r="JN6" s="110">
        <f t="shared" si="171"/>
        <v>0</v>
      </c>
      <c r="JO6" s="110">
        <f t="shared" si="172"/>
        <v>0</v>
      </c>
      <c r="JP6" s="110">
        <f t="shared" si="173"/>
        <v>0</v>
      </c>
      <c r="JQ6" s="110">
        <f t="shared" si="174"/>
        <v>0</v>
      </c>
      <c r="JR6" s="110">
        <f t="shared" si="175"/>
        <v>0</v>
      </c>
      <c r="JS6" s="110">
        <f t="shared" si="176"/>
        <v>0</v>
      </c>
      <c r="JT6" s="110">
        <f t="shared" si="177"/>
        <v>0</v>
      </c>
      <c r="JV6" s="111">
        <f t="shared" si="178"/>
        <v>0</v>
      </c>
      <c r="JW6" s="110">
        <f t="shared" si="179"/>
        <v>0</v>
      </c>
      <c r="JX6" s="110">
        <f t="shared" si="180"/>
        <v>0</v>
      </c>
      <c r="JY6" s="110">
        <f t="shared" si="181"/>
        <v>0</v>
      </c>
      <c r="JZ6" s="110">
        <f t="shared" si="182"/>
        <v>0</v>
      </c>
      <c r="KA6" s="110">
        <f t="shared" si="183"/>
        <v>0</v>
      </c>
      <c r="KB6" s="110">
        <f t="shared" si="184"/>
        <v>0</v>
      </c>
      <c r="KC6" s="110">
        <f t="shared" si="185"/>
        <v>0</v>
      </c>
      <c r="KD6" s="110">
        <f t="shared" si="186"/>
        <v>0</v>
      </c>
      <c r="KE6" s="110">
        <f t="shared" si="187"/>
        <v>0</v>
      </c>
      <c r="KF6" s="110">
        <f t="shared" si="188"/>
        <v>0</v>
      </c>
      <c r="KG6" s="110">
        <f t="shared" si="189"/>
        <v>0</v>
      </c>
      <c r="KH6" s="110">
        <f t="shared" si="190"/>
        <v>0</v>
      </c>
      <c r="KI6" s="110">
        <f t="shared" si="191"/>
        <v>0</v>
      </c>
      <c r="KJ6" s="110">
        <f t="shared" si="192"/>
        <v>0</v>
      </c>
      <c r="KK6" s="110">
        <f t="shared" si="193"/>
        <v>0</v>
      </c>
      <c r="KL6" s="110">
        <f t="shared" si="194"/>
        <v>0</v>
      </c>
      <c r="KM6" s="110">
        <f t="shared" si="195"/>
        <v>0</v>
      </c>
      <c r="KN6" s="110">
        <f t="shared" si="196"/>
        <v>0</v>
      </c>
      <c r="KO6" s="110">
        <f t="shared" si="197"/>
        <v>0</v>
      </c>
      <c r="KP6" s="110">
        <f t="shared" si="198"/>
        <v>0</v>
      </c>
      <c r="KQ6" s="110">
        <f t="shared" si="199"/>
        <v>0</v>
      </c>
      <c r="KR6" s="110">
        <f t="shared" si="200"/>
        <v>0</v>
      </c>
      <c r="KS6" s="110">
        <f t="shared" si="201"/>
        <v>0</v>
      </c>
      <c r="KT6" s="110">
        <f t="shared" si="202"/>
        <v>0</v>
      </c>
      <c r="KV6" s="111">
        <f t="shared" si="203"/>
        <v>0</v>
      </c>
      <c r="KW6" s="110">
        <f t="shared" si="204"/>
        <v>0</v>
      </c>
      <c r="KX6" s="110">
        <f t="shared" si="205"/>
        <v>0</v>
      </c>
      <c r="KY6" s="110">
        <f t="shared" si="206"/>
        <v>0</v>
      </c>
      <c r="KZ6" s="110">
        <f t="shared" si="207"/>
        <v>0</v>
      </c>
      <c r="LA6" s="110">
        <f t="shared" si="208"/>
        <v>0</v>
      </c>
      <c r="LB6" s="110">
        <f t="shared" si="209"/>
        <v>0</v>
      </c>
      <c r="LC6" s="110">
        <f t="shared" si="210"/>
        <v>0</v>
      </c>
      <c r="LD6" s="110">
        <f t="shared" si="211"/>
        <v>0</v>
      </c>
      <c r="LE6" s="110">
        <f t="shared" si="212"/>
        <v>0</v>
      </c>
      <c r="LF6" s="110">
        <f t="shared" si="213"/>
        <v>0</v>
      </c>
      <c r="LG6" s="110">
        <f t="shared" si="214"/>
        <v>0</v>
      </c>
      <c r="LH6" s="110">
        <f t="shared" si="215"/>
        <v>0</v>
      </c>
      <c r="LI6" s="110">
        <f t="shared" si="216"/>
        <v>0</v>
      </c>
      <c r="LJ6" s="110">
        <f t="shared" si="217"/>
        <v>0</v>
      </c>
      <c r="LK6" s="110">
        <f t="shared" si="218"/>
        <v>0</v>
      </c>
      <c r="LL6" s="110">
        <f t="shared" si="219"/>
        <v>10.359999999999957</v>
      </c>
      <c r="LM6" s="110">
        <f t="shared" si="220"/>
        <v>10.359999999999957</v>
      </c>
      <c r="LN6" s="110">
        <f t="shared" si="221"/>
        <v>10.359999999999957</v>
      </c>
      <c r="LO6" s="110">
        <f t="shared" si="222"/>
        <v>10.359999999999957</v>
      </c>
      <c r="LP6" s="110">
        <f t="shared" si="223"/>
        <v>10.359999999999957</v>
      </c>
      <c r="LQ6" s="110">
        <f t="shared" si="224"/>
        <v>10.359999999999957</v>
      </c>
      <c r="LR6" s="110">
        <f t="shared" si="225"/>
        <v>10.359999999999957</v>
      </c>
      <c r="LS6" s="110">
        <f t="shared" si="226"/>
        <v>10.359999999999957</v>
      </c>
      <c r="LT6" s="110">
        <f t="shared" si="227"/>
        <v>10.359999999999957</v>
      </c>
      <c r="LV6" s="111"/>
      <c r="LW6" s="110">
        <f t="shared" si="228"/>
        <v>0</v>
      </c>
      <c r="LX6" s="110">
        <f t="shared" si="229"/>
        <v>0</v>
      </c>
      <c r="LY6" s="110">
        <f t="shared" si="230"/>
        <v>0</v>
      </c>
      <c r="LZ6" s="110">
        <f t="shared" si="231"/>
        <v>0</v>
      </c>
      <c r="MA6" s="110">
        <f t="shared" si="232"/>
        <v>0</v>
      </c>
      <c r="MB6" s="110">
        <f t="shared" si="233"/>
        <v>0</v>
      </c>
      <c r="MC6" s="110">
        <f t="shared" si="234"/>
        <v>0</v>
      </c>
      <c r="MD6" s="110">
        <f t="shared" si="235"/>
        <v>0</v>
      </c>
      <c r="ME6" s="110">
        <f t="shared" si="236"/>
        <v>0</v>
      </c>
      <c r="MF6" s="110">
        <f t="shared" si="237"/>
        <v>0</v>
      </c>
      <c r="MG6" s="110">
        <f t="shared" si="238"/>
        <v>0</v>
      </c>
      <c r="MH6" s="110">
        <f t="shared" si="239"/>
        <v>0</v>
      </c>
      <c r="MI6" s="110">
        <f t="shared" si="240"/>
        <v>0</v>
      </c>
      <c r="MJ6" s="110">
        <f t="shared" si="241"/>
        <v>0</v>
      </c>
      <c r="MK6" s="110">
        <f t="shared" si="242"/>
        <v>0</v>
      </c>
      <c r="ML6" s="110">
        <f t="shared" si="243"/>
        <v>0</v>
      </c>
      <c r="MM6" s="110">
        <f t="shared" si="244"/>
        <v>0</v>
      </c>
      <c r="MN6" s="110">
        <f t="shared" si="245"/>
        <v>0</v>
      </c>
      <c r="MO6" s="110">
        <f t="shared" si="246"/>
        <v>0</v>
      </c>
      <c r="MP6" s="110">
        <f t="shared" si="247"/>
        <v>0</v>
      </c>
      <c r="MQ6" s="110">
        <f t="shared" si="248"/>
        <v>0</v>
      </c>
      <c r="MR6" s="110">
        <f t="shared" si="249"/>
        <v>0</v>
      </c>
      <c r="MS6" s="110">
        <f t="shared" si="250"/>
        <v>0</v>
      </c>
      <c r="MT6" s="110">
        <f t="shared" si="251"/>
        <v>0</v>
      </c>
      <c r="MV6" s="114">
        <v>306.45999999999998</v>
      </c>
      <c r="MW6" s="114">
        <v>0</v>
      </c>
      <c r="MX6" s="114">
        <v>10.359999999999957</v>
      </c>
      <c r="MY6" s="114">
        <v>0</v>
      </c>
      <c r="MZ6" s="114">
        <v>0</v>
      </c>
      <c r="NB6" s="115">
        <v>20</v>
      </c>
      <c r="NC6" s="115" t="str">
        <v>N/A</v>
      </c>
      <c r="ND6" s="115">
        <v>16</v>
      </c>
      <c r="NE6" s="115" t="str">
        <v>N/A</v>
      </c>
      <c r="NF6" s="115" t="str">
        <v>N/A</v>
      </c>
    </row>
    <row r="7" spans="2:376" ht="13.5" x14ac:dyDescent="0.25">
      <c r="B7" s="8">
        <f t="shared" si="252"/>
        <v>4</v>
      </c>
      <c r="C7" s="7">
        <v>289</v>
      </c>
      <c r="D7" s="7">
        <v>289</v>
      </c>
      <c r="E7" s="7">
        <v>289</v>
      </c>
      <c r="F7" s="7">
        <v>289</v>
      </c>
      <c r="G7" s="7">
        <v>289</v>
      </c>
      <c r="H7" s="7">
        <v>289</v>
      </c>
      <c r="I7" s="7">
        <v>289</v>
      </c>
      <c r="J7" s="7">
        <v>289</v>
      </c>
      <c r="K7" s="7">
        <v>289</v>
      </c>
      <c r="L7" s="7">
        <v>289</v>
      </c>
      <c r="M7" s="7">
        <v>289</v>
      </c>
      <c r="N7" s="7">
        <v>289</v>
      </c>
      <c r="O7" s="7">
        <v>289</v>
      </c>
      <c r="P7" s="7">
        <v>289</v>
      </c>
      <c r="Q7" s="7">
        <v>289</v>
      </c>
      <c r="R7" s="7">
        <v>289</v>
      </c>
      <c r="S7" s="7">
        <v>289</v>
      </c>
      <c r="T7" s="7">
        <v>289</v>
      </c>
      <c r="U7" s="7">
        <v>289</v>
      </c>
      <c r="V7" s="7">
        <v>289</v>
      </c>
      <c r="W7" s="7">
        <v>289</v>
      </c>
      <c r="X7" s="7">
        <v>289</v>
      </c>
      <c r="Y7" s="7">
        <v>289</v>
      </c>
      <c r="Z7" s="7">
        <v>289</v>
      </c>
      <c r="AA7" s="7">
        <v>289</v>
      </c>
      <c r="AB7" s="7">
        <v>289</v>
      </c>
      <c r="AC7" s="7">
        <v>289</v>
      </c>
      <c r="AD7" s="7">
        <v>289</v>
      </c>
      <c r="AE7" s="7">
        <v>289</v>
      </c>
      <c r="AF7" s="7">
        <v>289</v>
      </c>
      <c r="AG7" s="7">
        <v>289</v>
      </c>
      <c r="AH7" s="7">
        <v>289</v>
      </c>
      <c r="AI7" s="7">
        <v>289</v>
      </c>
      <c r="AJ7" s="7">
        <v>289</v>
      </c>
      <c r="AK7" s="7">
        <v>289</v>
      </c>
      <c r="AL7" s="7">
        <v>289</v>
      </c>
      <c r="AM7" s="7">
        <v>289</v>
      </c>
      <c r="AN7" s="27">
        <v>4</v>
      </c>
      <c r="AP7" s="111"/>
      <c r="AQ7" s="110">
        <f t="shared" si="13"/>
        <v>0</v>
      </c>
      <c r="AR7" s="110">
        <f t="shared" si="14"/>
        <v>0</v>
      </c>
      <c r="AS7" s="110">
        <f t="shared" si="15"/>
        <v>0</v>
      </c>
      <c r="AT7" s="110">
        <f t="shared" si="16"/>
        <v>0</v>
      </c>
      <c r="AU7" s="110">
        <f t="shared" si="17"/>
        <v>0</v>
      </c>
      <c r="AV7" s="110">
        <f t="shared" si="18"/>
        <v>0</v>
      </c>
      <c r="AW7" s="110">
        <f t="shared" si="19"/>
        <v>0</v>
      </c>
      <c r="AX7" s="110">
        <f t="shared" si="20"/>
        <v>0</v>
      </c>
      <c r="AY7" s="110">
        <f t="shared" si="21"/>
        <v>0</v>
      </c>
      <c r="AZ7" s="110">
        <f t="shared" si="22"/>
        <v>0</v>
      </c>
      <c r="BA7" s="110">
        <f t="shared" si="23"/>
        <v>0</v>
      </c>
      <c r="BB7" s="110">
        <f t="shared" si="24"/>
        <v>0</v>
      </c>
      <c r="BD7" s="109" cm="1">
        <f t="array" ref="BD7">+IFERROR(INDEX($C$3:$AM$3,MATCH(TRUE,INDEX($C7:$AM7&lt;&gt;0,0),0)),"N/A")</f>
        <v>44926</v>
      </c>
      <c r="BE7" s="112"/>
      <c r="BF7" s="1" t="str" cm="1">
        <f t="array" ref="BF7">+_xlfn.IFS(BT7&lt;&gt;0,BT$2,CH7&lt;&gt;0,CH$2,CV7&lt;&gt;0,CV$2,DJ7&lt;&gt;0,DJ$2,TRUE,"")</f>
        <v/>
      </c>
      <c r="BG7" s="1" t="str" cm="1">
        <f t="array" ref="BG7">+_xlfn.IFS(BU7&lt;&gt;0,BU$2,CI7&lt;&gt;0,CI$2,CW7&lt;&gt;0,CW$2,DK7&lt;&gt;0,DK$2,TRUE,"")</f>
        <v/>
      </c>
      <c r="BH7" s="1" t="str" cm="1">
        <f t="array" ref="BH7">+_xlfn.IFS(BV7&lt;&gt;0,BV$2,CJ7&lt;&gt;0,CJ$2,CX7&lt;&gt;0,CX$2,DL7&lt;&gt;0,DL$2,TRUE,"")</f>
        <v/>
      </c>
      <c r="BI7" s="1" t="str" cm="1">
        <f t="array" ref="BI7">+_xlfn.IFS(BW7&lt;&gt;0,BW$2,CK7&lt;&gt;0,CK$2,CY7&lt;&gt;0,CY$2,DM7&lt;&gt;0,DM$2,TRUE,"")</f>
        <v/>
      </c>
      <c r="BJ7" s="1" t="str" cm="1">
        <f t="array" ref="BJ7">+_xlfn.IFS(BX7&lt;&gt;0,BX$2,CL7&lt;&gt;0,CL$2,CZ7&lt;&gt;0,CZ$2,DN7&lt;&gt;0,DN$2,TRUE,"")</f>
        <v/>
      </c>
      <c r="BK7" s="1" t="str" cm="1">
        <f t="array" ref="BK7">+_xlfn.IFS(BY7&lt;&gt;0,BY$2,CM7&lt;&gt;0,CM$2,DA7&lt;&gt;0,DA$2,DO7&lt;&gt;0,DO$2,TRUE,"")</f>
        <v/>
      </c>
      <c r="BL7" s="1" t="str" cm="1">
        <f t="array" ref="BL7">+_xlfn.IFS(BZ7&lt;&gt;0,BZ$2,CN7&lt;&gt;0,CN$2,DB7&lt;&gt;0,DB$2,DP7&lt;&gt;0,DP$2,TRUE,"")</f>
        <v/>
      </c>
      <c r="BM7" s="1" t="str" cm="1">
        <f t="array" ref="BM7">+_xlfn.IFS(CA7&lt;&gt;0,CA$2,CO7&lt;&gt;0,CO$2,DC7&lt;&gt;0,DC$2,DQ7&lt;&gt;0,DQ$2,TRUE,"")</f>
        <v/>
      </c>
      <c r="BN7" s="1" t="str" cm="1">
        <f t="array" ref="BN7">+_xlfn.IFS(CB7&lt;&gt;0,CB$2,CP7&lt;&gt;0,CP$2,DD7&lt;&gt;0,DD$2,DR7&lt;&gt;0,DR$2,TRUE,"")</f>
        <v/>
      </c>
      <c r="BO7" s="1" t="str" cm="1">
        <f t="array" ref="BO7">+_xlfn.IFS(CC7&lt;&gt;0,CC$2,CQ7&lt;&gt;0,CQ$2,DE7&lt;&gt;0,DE$2,DS7&lt;&gt;0,DS$2,TRUE,"")</f>
        <v/>
      </c>
      <c r="BP7" s="1" t="str" cm="1">
        <f t="array" ref="BP7">+_xlfn.IFS(CD7&lt;&gt;0,CD$2,CR7&lt;&gt;0,CR$2,DF7&lt;&gt;0,DF$2,DT7&lt;&gt;0,DT$2,TRUE,"")</f>
        <v/>
      </c>
      <c r="BQ7" s="1" t="str" cm="1">
        <f t="array" ref="BQ7">+_xlfn.IFS(CE7&lt;&gt;0,CE$2,CS7&lt;&gt;0,CS$2,DG7&lt;&gt;0,DG$2,DU7&lt;&gt;0,DU$2,TRUE,"")</f>
        <v/>
      </c>
      <c r="BS7" s="111"/>
      <c r="BT7" s="110">
        <f t="shared" si="25"/>
        <v>0</v>
      </c>
      <c r="BU7" s="110">
        <f t="shared" si="26"/>
        <v>0</v>
      </c>
      <c r="BV7" s="110">
        <f t="shared" si="27"/>
        <v>0</v>
      </c>
      <c r="BW7" s="110">
        <f t="shared" si="28"/>
        <v>0</v>
      </c>
      <c r="BX7" s="110">
        <f t="shared" si="29"/>
        <v>0</v>
      </c>
      <c r="BY7" s="110">
        <f t="shared" si="30"/>
        <v>0</v>
      </c>
      <c r="BZ7" s="110">
        <f t="shared" si="31"/>
        <v>0</v>
      </c>
      <c r="CA7" s="110">
        <f t="shared" si="32"/>
        <v>0</v>
      </c>
      <c r="CB7" s="110">
        <f t="shared" si="33"/>
        <v>0</v>
      </c>
      <c r="CC7" s="110">
        <f t="shared" si="34"/>
        <v>0</v>
      </c>
      <c r="CD7" s="110">
        <f t="shared" si="35"/>
        <v>0</v>
      </c>
      <c r="CE7" s="110">
        <f t="shared" si="36"/>
        <v>0</v>
      </c>
      <c r="CG7" s="111"/>
      <c r="CH7" s="110">
        <f t="shared" si="37"/>
        <v>0</v>
      </c>
      <c r="CI7" s="110">
        <f t="shared" si="38"/>
        <v>0</v>
      </c>
      <c r="CJ7" s="110">
        <f t="shared" si="39"/>
        <v>0</v>
      </c>
      <c r="CK7" s="110">
        <f t="shared" si="40"/>
        <v>0</v>
      </c>
      <c r="CL7" s="110">
        <f t="shared" si="41"/>
        <v>0</v>
      </c>
      <c r="CM7" s="110">
        <f t="shared" si="42"/>
        <v>0</v>
      </c>
      <c r="CN7" s="110">
        <f t="shared" si="43"/>
        <v>0</v>
      </c>
      <c r="CO7" s="110">
        <f t="shared" si="44"/>
        <v>0</v>
      </c>
      <c r="CP7" s="110">
        <f t="shared" si="45"/>
        <v>0</v>
      </c>
      <c r="CQ7" s="110">
        <f t="shared" si="46"/>
        <v>0</v>
      </c>
      <c r="CR7" s="110">
        <f t="shared" si="47"/>
        <v>0</v>
      </c>
      <c r="CS7" s="110">
        <f t="shared" si="48"/>
        <v>0</v>
      </c>
      <c r="CU7" s="111"/>
      <c r="CV7" s="110">
        <f t="shared" si="49"/>
        <v>0</v>
      </c>
      <c r="CW7" s="110">
        <f t="shared" si="50"/>
        <v>0</v>
      </c>
      <c r="CX7" s="110">
        <f t="shared" si="51"/>
        <v>0</v>
      </c>
      <c r="CY7" s="110">
        <f t="shared" si="52"/>
        <v>0</v>
      </c>
      <c r="CZ7" s="110">
        <f t="shared" si="53"/>
        <v>0</v>
      </c>
      <c r="DA7" s="110">
        <f t="shared" si="54"/>
        <v>0</v>
      </c>
      <c r="DB7" s="110">
        <f t="shared" si="55"/>
        <v>0</v>
      </c>
      <c r="DC7" s="110">
        <f t="shared" si="56"/>
        <v>0</v>
      </c>
      <c r="DD7" s="110">
        <f t="shared" si="57"/>
        <v>0</v>
      </c>
      <c r="DE7" s="110">
        <f t="shared" si="58"/>
        <v>0</v>
      </c>
      <c r="DF7" s="110">
        <f t="shared" si="59"/>
        <v>0</v>
      </c>
      <c r="DG7" s="110">
        <f t="shared" si="60"/>
        <v>0</v>
      </c>
      <c r="DI7" s="111"/>
      <c r="DJ7" s="110">
        <f t="shared" si="61"/>
        <v>0</v>
      </c>
      <c r="DK7" s="110">
        <f t="shared" si="62"/>
        <v>0</v>
      </c>
      <c r="DL7" s="110">
        <f t="shared" si="63"/>
        <v>0</v>
      </c>
      <c r="DM7" s="110">
        <f t="shared" si="64"/>
        <v>0</v>
      </c>
      <c r="DN7" s="110">
        <f t="shared" si="65"/>
        <v>0</v>
      </c>
      <c r="DO7" s="110">
        <f t="shared" si="66"/>
        <v>0</v>
      </c>
      <c r="DP7" s="110">
        <f t="shared" si="67"/>
        <v>0</v>
      </c>
      <c r="DQ7" s="110">
        <f t="shared" si="68"/>
        <v>0</v>
      </c>
      <c r="DR7" s="110">
        <f t="shared" si="69"/>
        <v>0</v>
      </c>
      <c r="DS7" s="110">
        <f t="shared" si="70"/>
        <v>0</v>
      </c>
      <c r="DT7" s="110">
        <f t="shared" si="71"/>
        <v>0</v>
      </c>
      <c r="DU7" s="110">
        <f t="shared" si="72"/>
        <v>0</v>
      </c>
      <c r="DW7" s="111"/>
      <c r="DX7" s="110">
        <f t="shared" si="73"/>
        <v>0</v>
      </c>
      <c r="DY7" s="110">
        <f t="shared" si="74"/>
        <v>0</v>
      </c>
      <c r="DZ7" s="110">
        <f t="shared" si="75"/>
        <v>0</v>
      </c>
      <c r="EA7" s="110">
        <f t="shared" si="76"/>
        <v>0</v>
      </c>
      <c r="EB7" s="110">
        <f t="shared" si="77"/>
        <v>0</v>
      </c>
      <c r="EC7" s="110">
        <f t="shared" si="78"/>
        <v>0</v>
      </c>
      <c r="ED7" s="110">
        <f t="shared" si="79"/>
        <v>0</v>
      </c>
      <c r="EE7" s="110">
        <f t="shared" si="80"/>
        <v>0</v>
      </c>
      <c r="EF7" s="110">
        <f t="shared" si="81"/>
        <v>0</v>
      </c>
      <c r="EG7" s="110">
        <f t="shared" si="82"/>
        <v>0</v>
      </c>
      <c r="EH7" s="110">
        <f t="shared" si="83"/>
        <v>0</v>
      </c>
      <c r="EI7" s="110">
        <f t="shared" si="84"/>
        <v>0</v>
      </c>
      <c r="EK7" s="111"/>
      <c r="EL7" s="110">
        <f t="shared" si="85"/>
        <v>0</v>
      </c>
      <c r="EM7" s="110">
        <f t="shared" si="86"/>
        <v>0</v>
      </c>
      <c r="EN7" s="110">
        <f t="shared" si="87"/>
        <v>0</v>
      </c>
      <c r="EP7" s="109" cm="1">
        <f t="array" ref="EP7">+IFERROR(INDEX($C$3:$AM$3,MATCH(TRUE,INDEX($C7:$AM7&lt;&gt;0,0),0)),"N/A")</f>
        <v>44926</v>
      </c>
      <c r="EQ7" s="112"/>
      <c r="ER7" s="1" t="str" cm="1">
        <f t="array" ref="ER7">+_xlfn.IFS(EW7&lt;&gt;0,EW$2,FB7&lt;&gt;0,FB$2,FG7&lt;&gt;0,FG$2,FL7&lt;&gt;0,FL$2,TRUE,"")</f>
        <v/>
      </c>
      <c r="ES7" s="1" t="str" cm="1">
        <f t="array" ref="ES7">+_xlfn.IFS(EX7&lt;&gt;0,EX$2,FC7&lt;&gt;0,FC$2,FH7&lt;&gt;0,FH$2,FM7&lt;&gt;0,FM$2,TRUE,"")</f>
        <v/>
      </c>
      <c r="ET7" s="1" t="str" cm="1">
        <f t="array" ref="ET7">+_xlfn.IFS(EY7&lt;&gt;0,EY$2,FD7&lt;&gt;0,FD$2,FI7&lt;&gt;0,FI$2,FN7&lt;&gt;0,FN$2,TRUE,"")</f>
        <v/>
      </c>
      <c r="EV7" s="111"/>
      <c r="EW7" s="110">
        <f t="shared" si="88"/>
        <v>0</v>
      </c>
      <c r="EX7" s="110">
        <f t="shared" si="89"/>
        <v>0</v>
      </c>
      <c r="EY7" s="110">
        <f t="shared" si="90"/>
        <v>0</v>
      </c>
      <c r="FA7" s="111"/>
      <c r="FB7" s="110">
        <f t="shared" si="91"/>
        <v>0</v>
      </c>
      <c r="FC7" s="110">
        <f t="shared" si="92"/>
        <v>0</v>
      </c>
      <c r="FD7" s="110">
        <f t="shared" si="93"/>
        <v>0</v>
      </c>
      <c r="FF7" s="111"/>
      <c r="FG7" s="110">
        <f t="shared" si="94"/>
        <v>0</v>
      </c>
      <c r="FH7" s="110">
        <f t="shared" si="95"/>
        <v>0</v>
      </c>
      <c r="FI7" s="110">
        <f t="shared" si="96"/>
        <v>0</v>
      </c>
      <c r="FK7" s="111"/>
      <c r="FL7" s="110">
        <f t="shared" si="97"/>
        <v>0</v>
      </c>
      <c r="FM7" s="110">
        <f t="shared" si="98"/>
        <v>0</v>
      </c>
      <c r="FN7" s="110">
        <f t="shared" si="99"/>
        <v>0</v>
      </c>
      <c r="FP7" s="111"/>
      <c r="FQ7" s="110">
        <f t="shared" si="100"/>
        <v>0</v>
      </c>
      <c r="FR7" s="110">
        <f t="shared" si="101"/>
        <v>0</v>
      </c>
      <c r="FS7" s="110">
        <f t="shared" si="102"/>
        <v>0</v>
      </c>
      <c r="FU7" s="111">
        <f t="shared" si="103"/>
        <v>0</v>
      </c>
      <c r="FV7" s="110">
        <f t="shared" si="104"/>
        <v>0</v>
      </c>
      <c r="FW7" s="110">
        <f t="shared" si="105"/>
        <v>0</v>
      </c>
      <c r="FX7" s="110">
        <f t="shared" si="106"/>
        <v>0</v>
      </c>
      <c r="FY7" s="110">
        <f t="shared" si="107"/>
        <v>0</v>
      </c>
      <c r="FZ7" s="110">
        <f t="shared" si="108"/>
        <v>0</v>
      </c>
      <c r="GA7" s="110">
        <f t="shared" si="109"/>
        <v>0</v>
      </c>
      <c r="GB7" s="110">
        <f t="shared" si="110"/>
        <v>0</v>
      </c>
      <c r="GC7" s="110">
        <f t="shared" si="111"/>
        <v>0</v>
      </c>
      <c r="GD7" s="110">
        <f t="shared" si="112"/>
        <v>0</v>
      </c>
      <c r="GE7" s="110">
        <f t="shared" si="113"/>
        <v>0</v>
      </c>
      <c r="GF7" s="110">
        <f t="shared" si="114"/>
        <v>0</v>
      </c>
      <c r="GG7" s="110">
        <f t="shared" si="115"/>
        <v>0</v>
      </c>
      <c r="GH7" s="110">
        <f t="shared" si="116"/>
        <v>0</v>
      </c>
      <c r="GI7" s="110">
        <f t="shared" si="117"/>
        <v>0</v>
      </c>
      <c r="GJ7" s="110">
        <f t="shared" si="118"/>
        <v>0</v>
      </c>
      <c r="GK7" s="110">
        <f t="shared" si="119"/>
        <v>0</v>
      </c>
      <c r="GL7" s="110">
        <f t="shared" si="120"/>
        <v>0</v>
      </c>
      <c r="GM7" s="110">
        <f t="shared" si="121"/>
        <v>0</v>
      </c>
      <c r="GN7" s="110">
        <f t="shared" si="122"/>
        <v>0</v>
      </c>
      <c r="GO7" s="110">
        <f t="shared" si="123"/>
        <v>0</v>
      </c>
      <c r="GP7" s="110">
        <f t="shared" si="124"/>
        <v>0</v>
      </c>
      <c r="GQ7" s="110">
        <f t="shared" si="125"/>
        <v>0</v>
      </c>
      <c r="GR7" s="110">
        <f t="shared" si="126"/>
        <v>0</v>
      </c>
      <c r="GS7" s="110">
        <f t="shared" si="127"/>
        <v>0</v>
      </c>
      <c r="GU7" s="109" cm="1">
        <f t="array" ref="GU7">+IFERROR(INDEX($C$3:$AM$3,MATCH(TRUE,INDEX($C7:$AM7&lt;&gt;0,0),0)),"N/A")</f>
        <v>44926</v>
      </c>
      <c r="GV7" s="112" t="str" cm="1">
        <f t="array" ref="GV7">+_xlfn.IFS(HV7&lt;&gt;0,HV$2,IV7&lt;&gt;0,IV$2,JV7&lt;&gt;0,JV$2,KV7&lt;&gt;0,KV$2,TRUE,"")</f>
        <v/>
      </c>
      <c r="GW7" s="1" t="str" cm="1">
        <f t="array" ref="GW7">+_xlfn.IFS(HW7&lt;&gt;0,HW$2,IW7&lt;&gt;0,IW$2,JW7&lt;&gt;0,JW$2,KW7&lt;&gt;0,KW$2,TRUE,"")</f>
        <v/>
      </c>
      <c r="GX7" s="1" t="str" cm="1">
        <f t="array" ref="GX7">+_xlfn.IFS(HX7&lt;&gt;0,HX$2,IX7&lt;&gt;0,IX$2,JX7&lt;&gt;0,JX$2,KX7&lt;&gt;0,KX$2,TRUE,"")</f>
        <v/>
      </c>
      <c r="GY7" s="1" t="str" cm="1">
        <f t="array" ref="GY7">+_xlfn.IFS(HY7&lt;&gt;0,HY$2,IY7&lt;&gt;0,IY$2,JY7&lt;&gt;0,JY$2,KY7&lt;&gt;0,KY$2,TRUE,"")</f>
        <v/>
      </c>
      <c r="GZ7" s="1" t="str" cm="1">
        <f t="array" ref="GZ7">+_xlfn.IFS(HZ7&lt;&gt;0,HZ$2,IZ7&lt;&gt;0,IZ$2,JZ7&lt;&gt;0,JZ$2,KZ7&lt;&gt;0,KZ$2,TRUE,"")</f>
        <v/>
      </c>
      <c r="HA7" s="1" t="str" cm="1">
        <f t="array" ref="HA7">+_xlfn.IFS(IA7&lt;&gt;0,IA$2,JA7&lt;&gt;0,JA$2,KA7&lt;&gt;0,KA$2,LA7&lt;&gt;0,LA$2,TRUE,"")</f>
        <v/>
      </c>
      <c r="HB7" s="1" t="str" cm="1">
        <f t="array" ref="HB7">+_xlfn.IFS(IB7&lt;&gt;0,IB$2,JB7&lt;&gt;0,JB$2,KB7&lt;&gt;0,KB$2,LB7&lt;&gt;0,LB$2,TRUE,"")</f>
        <v/>
      </c>
      <c r="HC7" s="1" t="str" cm="1">
        <f t="array" ref="HC7">+_xlfn.IFS(IC7&lt;&gt;0,IC$2,JC7&lt;&gt;0,JC$2,KC7&lt;&gt;0,KC$2,LC7&lt;&gt;0,LC$2,TRUE,"")</f>
        <v/>
      </c>
      <c r="HD7" s="1" t="str" cm="1">
        <f t="array" ref="HD7">+_xlfn.IFS(ID7&lt;&gt;0,ID$2,JD7&lt;&gt;0,JD$2,KD7&lt;&gt;0,KD$2,LD7&lt;&gt;0,LD$2,TRUE,"")</f>
        <v/>
      </c>
      <c r="HE7" s="1" t="str" cm="1">
        <f t="array" ref="HE7">+_xlfn.IFS(IE7&lt;&gt;0,IE$2,JE7&lt;&gt;0,JE$2,KE7&lt;&gt;0,KE$2,LE7&lt;&gt;0,LE$2,TRUE,"")</f>
        <v/>
      </c>
      <c r="HF7" s="1" t="str" cm="1">
        <f t="array" ref="HF7">+_xlfn.IFS(IF7&lt;&gt;0,IF$2,JF7&lt;&gt;0,JF$2,KF7&lt;&gt;0,KF$2,LF7&lt;&gt;0,LF$2,TRUE,"")</f>
        <v/>
      </c>
      <c r="HG7" s="1" t="str" cm="1">
        <f t="array" ref="HG7">+_xlfn.IFS(IG7&lt;&gt;0,IG$2,JG7&lt;&gt;0,JG$2,KG7&lt;&gt;0,KG$2,LG7&lt;&gt;0,LG$2,TRUE,"")</f>
        <v/>
      </c>
      <c r="HH7" s="1" t="str" cm="1">
        <f t="array" ref="HH7">+_xlfn.IFS(IH7&lt;&gt;0,IH$2,JH7&lt;&gt;0,JH$2,KH7&lt;&gt;0,KH$2,LH7&lt;&gt;0,LH$2,TRUE,"")</f>
        <v/>
      </c>
      <c r="HI7" s="1" t="str" cm="1">
        <f t="array" ref="HI7">+_xlfn.IFS(II7&lt;&gt;0,II$2,JI7&lt;&gt;0,JI$2,KI7&lt;&gt;0,KI$2,LI7&lt;&gt;0,LI$2,TRUE,"")</f>
        <v/>
      </c>
      <c r="HJ7" s="1" t="str" cm="1">
        <f t="array" ref="HJ7">+_xlfn.IFS(IJ7&lt;&gt;0,IJ$2,JJ7&lt;&gt;0,JJ$2,KJ7&lt;&gt;0,KJ$2,LJ7&lt;&gt;0,LJ$2,TRUE,"")</f>
        <v/>
      </c>
      <c r="HK7" s="1" t="str" cm="1">
        <f t="array" ref="HK7">+_xlfn.IFS(IK7&lt;&gt;0,IK$2,JK7&lt;&gt;0,JK$2,KK7&lt;&gt;0,KK$2,LK7&lt;&gt;0,LK$2,TRUE,"")</f>
        <v/>
      </c>
      <c r="HL7" s="1" t="str" cm="1">
        <f t="array" ref="HL7">+_xlfn.IFS(IL7&lt;&gt;0,IL$2,JL7&lt;&gt;0,JL$2,KL7&lt;&gt;0,KL$2,LL7&lt;&gt;0,LL$2,TRUE,"")</f>
        <v/>
      </c>
      <c r="HM7" s="1" t="str" cm="1">
        <f t="array" ref="HM7">+_xlfn.IFS(IM7&lt;&gt;0,IM$2,JM7&lt;&gt;0,JM$2,KM7&lt;&gt;0,KM$2,LM7&lt;&gt;0,LM$2,TRUE,"")</f>
        <v/>
      </c>
      <c r="HN7" s="1" t="str" cm="1">
        <f t="array" ref="HN7">+_xlfn.IFS(IN7&lt;&gt;0,IN$2,JN7&lt;&gt;0,JN$2,KN7&lt;&gt;0,KN$2,LN7&lt;&gt;0,LN$2,TRUE,"")</f>
        <v/>
      </c>
      <c r="HO7" s="1" t="str" cm="1">
        <f t="array" ref="HO7">+_xlfn.IFS(IO7&lt;&gt;0,IO$2,JO7&lt;&gt;0,JO$2,KO7&lt;&gt;0,KO$2,LO7&lt;&gt;0,LO$2,TRUE,"")</f>
        <v/>
      </c>
      <c r="HP7" s="1" t="str" cm="1">
        <f t="array" ref="HP7">+_xlfn.IFS(IP7&lt;&gt;0,IP$2,JP7&lt;&gt;0,JP$2,KP7&lt;&gt;0,KP$2,LP7&lt;&gt;0,LP$2,TRUE,"")</f>
        <v/>
      </c>
      <c r="HQ7" s="1" t="str" cm="1">
        <f t="array" ref="HQ7">+_xlfn.IFS(IQ7&lt;&gt;0,IQ$2,JQ7&lt;&gt;0,JQ$2,KQ7&lt;&gt;0,KQ$2,LQ7&lt;&gt;0,LQ$2,TRUE,"")</f>
        <v/>
      </c>
      <c r="HR7" s="1" t="str" cm="1">
        <f t="array" ref="HR7">+_xlfn.IFS(IR7&lt;&gt;0,IR$2,JR7&lt;&gt;0,JR$2,KR7&lt;&gt;0,KR$2,LR7&lt;&gt;0,LR$2,TRUE,"")</f>
        <v/>
      </c>
      <c r="HS7" s="1" t="str" cm="1">
        <f t="array" ref="HS7">+_xlfn.IFS(IS7&lt;&gt;0,IS$2,JS7&lt;&gt;0,JS$2,KS7&lt;&gt;0,KS$2,LS7&lt;&gt;0,LS$2,TRUE,"")</f>
        <v/>
      </c>
      <c r="HT7" s="1" t="str" cm="1">
        <f t="array" ref="HT7">+_xlfn.IFS(IT7&lt;&gt;0,IT$2,JT7&lt;&gt;0,JT$2,KT7&lt;&gt;0,KT$2,LT7&lt;&gt;0,LT$2,TRUE,"")</f>
        <v/>
      </c>
      <c r="HV7" s="111">
        <f t="shared" si="128"/>
        <v>0</v>
      </c>
      <c r="HW7" s="110">
        <f t="shared" si="129"/>
        <v>0</v>
      </c>
      <c r="HX7" s="110">
        <f t="shared" si="130"/>
        <v>0</v>
      </c>
      <c r="HY7" s="110">
        <f t="shared" si="131"/>
        <v>0</v>
      </c>
      <c r="HZ7" s="110">
        <f t="shared" si="132"/>
        <v>0</v>
      </c>
      <c r="IA7" s="110">
        <f t="shared" si="133"/>
        <v>0</v>
      </c>
      <c r="IB7" s="110">
        <f t="shared" si="134"/>
        <v>0</v>
      </c>
      <c r="IC7" s="110">
        <f t="shared" si="135"/>
        <v>0</v>
      </c>
      <c r="ID7" s="110">
        <f t="shared" si="136"/>
        <v>0</v>
      </c>
      <c r="IE7" s="110">
        <f t="shared" si="137"/>
        <v>0</v>
      </c>
      <c r="IF7" s="110">
        <f t="shared" si="138"/>
        <v>0</v>
      </c>
      <c r="IG7" s="110">
        <f t="shared" si="139"/>
        <v>0</v>
      </c>
      <c r="IH7" s="110">
        <f t="shared" si="140"/>
        <v>0</v>
      </c>
      <c r="II7" s="110">
        <f t="shared" si="141"/>
        <v>0</v>
      </c>
      <c r="IJ7" s="110">
        <f t="shared" si="142"/>
        <v>0</v>
      </c>
      <c r="IK7" s="110">
        <f t="shared" si="143"/>
        <v>0</v>
      </c>
      <c r="IL7" s="110">
        <f t="shared" si="144"/>
        <v>0</v>
      </c>
      <c r="IM7" s="110">
        <f t="shared" si="145"/>
        <v>0</v>
      </c>
      <c r="IN7" s="110">
        <f t="shared" si="146"/>
        <v>0</v>
      </c>
      <c r="IO7" s="110">
        <f t="shared" si="147"/>
        <v>0</v>
      </c>
      <c r="IP7" s="110">
        <f t="shared" si="148"/>
        <v>0</v>
      </c>
      <c r="IQ7" s="110">
        <f t="shared" si="149"/>
        <v>0</v>
      </c>
      <c r="IR7" s="110">
        <f t="shared" si="150"/>
        <v>0</v>
      </c>
      <c r="IS7" s="110">
        <f t="shared" si="151"/>
        <v>0</v>
      </c>
      <c r="IT7" s="110">
        <f t="shared" si="152"/>
        <v>0</v>
      </c>
      <c r="IV7" s="111">
        <f t="shared" si="153"/>
        <v>0</v>
      </c>
      <c r="IW7" s="110">
        <f t="shared" si="154"/>
        <v>0</v>
      </c>
      <c r="IX7" s="110">
        <f t="shared" si="155"/>
        <v>0</v>
      </c>
      <c r="IY7" s="110">
        <f t="shared" si="156"/>
        <v>0</v>
      </c>
      <c r="IZ7" s="110">
        <f t="shared" si="157"/>
        <v>0</v>
      </c>
      <c r="JA7" s="110">
        <f t="shared" si="158"/>
        <v>0</v>
      </c>
      <c r="JB7" s="110">
        <f t="shared" si="159"/>
        <v>0</v>
      </c>
      <c r="JC7" s="110">
        <f t="shared" si="160"/>
        <v>0</v>
      </c>
      <c r="JD7" s="110">
        <f t="shared" si="161"/>
        <v>0</v>
      </c>
      <c r="JE7" s="110">
        <f t="shared" si="162"/>
        <v>0</v>
      </c>
      <c r="JF7" s="110">
        <f t="shared" si="163"/>
        <v>0</v>
      </c>
      <c r="JG7" s="110">
        <f t="shared" si="164"/>
        <v>0</v>
      </c>
      <c r="JH7" s="110">
        <f t="shared" si="165"/>
        <v>0</v>
      </c>
      <c r="JI7" s="110">
        <f t="shared" si="166"/>
        <v>0</v>
      </c>
      <c r="JJ7" s="110">
        <f t="shared" si="167"/>
        <v>0</v>
      </c>
      <c r="JK7" s="110">
        <f t="shared" si="168"/>
        <v>0</v>
      </c>
      <c r="JL7" s="110">
        <f t="shared" si="169"/>
        <v>0</v>
      </c>
      <c r="JM7" s="110">
        <f t="shared" si="170"/>
        <v>0</v>
      </c>
      <c r="JN7" s="110">
        <f t="shared" si="171"/>
        <v>0</v>
      </c>
      <c r="JO7" s="110">
        <f t="shared" si="172"/>
        <v>0</v>
      </c>
      <c r="JP7" s="110">
        <f t="shared" si="173"/>
        <v>0</v>
      </c>
      <c r="JQ7" s="110">
        <f t="shared" si="174"/>
        <v>0</v>
      </c>
      <c r="JR7" s="110">
        <f t="shared" si="175"/>
        <v>0</v>
      </c>
      <c r="JS7" s="110">
        <f t="shared" si="176"/>
        <v>0</v>
      </c>
      <c r="JT7" s="110">
        <f t="shared" si="177"/>
        <v>0</v>
      </c>
      <c r="JV7" s="111">
        <f t="shared" si="178"/>
        <v>0</v>
      </c>
      <c r="JW7" s="110">
        <f t="shared" si="179"/>
        <v>0</v>
      </c>
      <c r="JX7" s="110">
        <f t="shared" si="180"/>
        <v>0</v>
      </c>
      <c r="JY7" s="110">
        <f t="shared" si="181"/>
        <v>0</v>
      </c>
      <c r="JZ7" s="110">
        <f t="shared" si="182"/>
        <v>0</v>
      </c>
      <c r="KA7" s="110">
        <f t="shared" si="183"/>
        <v>0</v>
      </c>
      <c r="KB7" s="110">
        <f t="shared" si="184"/>
        <v>0</v>
      </c>
      <c r="KC7" s="110">
        <f t="shared" si="185"/>
        <v>0</v>
      </c>
      <c r="KD7" s="110">
        <f t="shared" si="186"/>
        <v>0</v>
      </c>
      <c r="KE7" s="110">
        <f t="shared" si="187"/>
        <v>0</v>
      </c>
      <c r="KF7" s="110">
        <f t="shared" si="188"/>
        <v>0</v>
      </c>
      <c r="KG7" s="110">
        <f t="shared" si="189"/>
        <v>0</v>
      </c>
      <c r="KH7" s="110">
        <f t="shared" si="190"/>
        <v>0</v>
      </c>
      <c r="KI7" s="110">
        <f t="shared" si="191"/>
        <v>0</v>
      </c>
      <c r="KJ7" s="110">
        <f t="shared" si="192"/>
        <v>0</v>
      </c>
      <c r="KK7" s="110">
        <f t="shared" si="193"/>
        <v>0</v>
      </c>
      <c r="KL7" s="110">
        <f t="shared" si="194"/>
        <v>0</v>
      </c>
      <c r="KM7" s="110">
        <f t="shared" si="195"/>
        <v>0</v>
      </c>
      <c r="KN7" s="110">
        <f t="shared" si="196"/>
        <v>0</v>
      </c>
      <c r="KO7" s="110">
        <f t="shared" si="197"/>
        <v>0</v>
      </c>
      <c r="KP7" s="110">
        <f t="shared" si="198"/>
        <v>0</v>
      </c>
      <c r="KQ7" s="110">
        <f t="shared" si="199"/>
        <v>0</v>
      </c>
      <c r="KR7" s="110">
        <f t="shared" si="200"/>
        <v>0</v>
      </c>
      <c r="KS7" s="110">
        <f t="shared" si="201"/>
        <v>0</v>
      </c>
      <c r="KT7" s="110">
        <f t="shared" si="202"/>
        <v>0</v>
      </c>
      <c r="KV7" s="111">
        <f t="shared" si="203"/>
        <v>0</v>
      </c>
      <c r="KW7" s="110">
        <f t="shared" si="204"/>
        <v>0</v>
      </c>
      <c r="KX7" s="110">
        <f t="shared" si="205"/>
        <v>0</v>
      </c>
      <c r="KY7" s="110">
        <f t="shared" si="206"/>
        <v>0</v>
      </c>
      <c r="KZ7" s="110">
        <f t="shared" si="207"/>
        <v>0</v>
      </c>
      <c r="LA7" s="110">
        <f t="shared" si="208"/>
        <v>0</v>
      </c>
      <c r="LB7" s="110">
        <f t="shared" si="209"/>
        <v>0</v>
      </c>
      <c r="LC7" s="110">
        <f t="shared" si="210"/>
        <v>0</v>
      </c>
      <c r="LD7" s="110">
        <f t="shared" si="211"/>
        <v>0</v>
      </c>
      <c r="LE7" s="110">
        <f t="shared" si="212"/>
        <v>0</v>
      </c>
      <c r="LF7" s="110">
        <f t="shared" si="213"/>
        <v>0</v>
      </c>
      <c r="LG7" s="110">
        <f t="shared" si="214"/>
        <v>0</v>
      </c>
      <c r="LH7" s="110">
        <f t="shared" si="215"/>
        <v>0</v>
      </c>
      <c r="LI7" s="110">
        <f t="shared" si="216"/>
        <v>0</v>
      </c>
      <c r="LJ7" s="110">
        <f t="shared" si="217"/>
        <v>0</v>
      </c>
      <c r="LK7" s="110">
        <f t="shared" si="218"/>
        <v>0</v>
      </c>
      <c r="LL7" s="110">
        <f t="shared" si="219"/>
        <v>0</v>
      </c>
      <c r="LM7" s="110">
        <f t="shared" si="220"/>
        <v>0</v>
      </c>
      <c r="LN7" s="110">
        <f t="shared" si="221"/>
        <v>0</v>
      </c>
      <c r="LO7" s="110">
        <f t="shared" si="222"/>
        <v>0</v>
      </c>
      <c r="LP7" s="110">
        <f t="shared" si="223"/>
        <v>0</v>
      </c>
      <c r="LQ7" s="110">
        <f t="shared" si="224"/>
        <v>0</v>
      </c>
      <c r="LR7" s="110">
        <f t="shared" si="225"/>
        <v>0</v>
      </c>
      <c r="LS7" s="110">
        <f t="shared" si="226"/>
        <v>0</v>
      </c>
      <c r="LT7" s="110">
        <f t="shared" si="227"/>
        <v>0</v>
      </c>
      <c r="LV7" s="111"/>
      <c r="LW7" s="110">
        <f t="shared" si="228"/>
        <v>0</v>
      </c>
      <c r="LX7" s="110">
        <f t="shared" si="229"/>
        <v>0</v>
      </c>
      <c r="LY7" s="110">
        <f t="shared" si="230"/>
        <v>0</v>
      </c>
      <c r="LZ7" s="110">
        <f t="shared" si="231"/>
        <v>0</v>
      </c>
      <c r="MA7" s="110">
        <f t="shared" si="232"/>
        <v>0</v>
      </c>
      <c r="MB7" s="110">
        <f t="shared" si="233"/>
        <v>0</v>
      </c>
      <c r="MC7" s="110">
        <f t="shared" si="234"/>
        <v>0</v>
      </c>
      <c r="MD7" s="110">
        <f t="shared" si="235"/>
        <v>0</v>
      </c>
      <c r="ME7" s="110">
        <f t="shared" si="236"/>
        <v>0</v>
      </c>
      <c r="MF7" s="110">
        <f t="shared" si="237"/>
        <v>0</v>
      </c>
      <c r="MG7" s="110">
        <f t="shared" si="238"/>
        <v>0</v>
      </c>
      <c r="MH7" s="110">
        <f t="shared" si="239"/>
        <v>0</v>
      </c>
      <c r="MI7" s="110">
        <f t="shared" si="240"/>
        <v>0</v>
      </c>
      <c r="MJ7" s="110">
        <f t="shared" si="241"/>
        <v>0</v>
      </c>
      <c r="MK7" s="110">
        <f t="shared" si="242"/>
        <v>0</v>
      </c>
      <c r="ML7" s="110">
        <f t="shared" si="243"/>
        <v>0</v>
      </c>
      <c r="MM7" s="110">
        <f t="shared" si="244"/>
        <v>0</v>
      </c>
      <c r="MN7" s="110">
        <f t="shared" si="245"/>
        <v>0</v>
      </c>
      <c r="MO7" s="110">
        <f t="shared" si="246"/>
        <v>0</v>
      </c>
      <c r="MP7" s="110">
        <f t="shared" si="247"/>
        <v>0</v>
      </c>
      <c r="MQ7" s="110">
        <f t="shared" si="248"/>
        <v>0</v>
      </c>
      <c r="MR7" s="110">
        <f t="shared" si="249"/>
        <v>0</v>
      </c>
      <c r="MS7" s="110">
        <f t="shared" si="250"/>
        <v>0</v>
      </c>
      <c r="MT7" s="110">
        <f t="shared" si="251"/>
        <v>0</v>
      </c>
      <c r="MV7" s="114">
        <v>289</v>
      </c>
      <c r="MW7" s="114">
        <v>0</v>
      </c>
      <c r="MX7" s="114">
        <v>0</v>
      </c>
      <c r="MY7" s="114">
        <v>0</v>
      </c>
      <c r="MZ7" s="114">
        <v>0</v>
      </c>
      <c r="NB7" s="115">
        <v>28</v>
      </c>
      <c r="NC7" s="115" t="str">
        <v>N/A</v>
      </c>
      <c r="ND7" s="115" t="str">
        <v>N/A</v>
      </c>
      <c r="NE7" s="115" t="str">
        <v>N/A</v>
      </c>
      <c r="NF7" s="115" t="str">
        <v>N/A</v>
      </c>
    </row>
    <row r="8" spans="2:376" ht="13.5" x14ac:dyDescent="0.25">
      <c r="B8" s="8">
        <f t="shared" si="252"/>
        <v>5</v>
      </c>
      <c r="C8" s="7">
        <v>223</v>
      </c>
      <c r="D8" s="7">
        <v>223</v>
      </c>
      <c r="E8" s="7">
        <v>223</v>
      </c>
      <c r="F8" s="7">
        <v>223</v>
      </c>
      <c r="G8" s="7">
        <v>223</v>
      </c>
      <c r="H8" s="7">
        <v>223</v>
      </c>
      <c r="I8" s="7">
        <v>223</v>
      </c>
      <c r="J8" s="7">
        <v>223</v>
      </c>
      <c r="K8" s="7">
        <v>234.15</v>
      </c>
      <c r="L8" s="7">
        <v>234.15</v>
      </c>
      <c r="M8" s="7">
        <v>210.74</v>
      </c>
      <c r="N8" s="7">
        <v>210.74</v>
      </c>
      <c r="O8" s="7">
        <v>210.74</v>
      </c>
      <c r="P8" s="7">
        <v>210.74</v>
      </c>
      <c r="Q8" s="7">
        <v>210.74</v>
      </c>
      <c r="R8" s="7">
        <v>210.74</v>
      </c>
      <c r="S8" s="7">
        <v>210.74</v>
      </c>
      <c r="T8" s="7">
        <v>210.74</v>
      </c>
      <c r="U8" s="7">
        <v>210.74</v>
      </c>
      <c r="V8" s="7">
        <v>210.74</v>
      </c>
      <c r="W8" s="7">
        <v>218.12</v>
      </c>
      <c r="X8" s="7">
        <v>218.12</v>
      </c>
      <c r="Y8" s="7">
        <v>218.12</v>
      </c>
      <c r="Z8" s="7">
        <v>218.12</v>
      </c>
      <c r="AA8" s="7">
        <v>218.12</v>
      </c>
      <c r="AB8" s="7">
        <v>218.12</v>
      </c>
      <c r="AC8" s="7">
        <v>218.12</v>
      </c>
      <c r="AD8" s="7">
        <v>218.12</v>
      </c>
      <c r="AE8" s="7">
        <v>218.12</v>
      </c>
      <c r="AF8" s="7">
        <v>218.12</v>
      </c>
      <c r="AG8" s="7">
        <v>218.12</v>
      </c>
      <c r="AH8" s="7">
        <v>218.12</v>
      </c>
      <c r="AI8" s="7">
        <v>218.12</v>
      </c>
      <c r="AJ8" s="7">
        <v>225.75</v>
      </c>
      <c r="AK8" s="7">
        <v>225.75</v>
      </c>
      <c r="AL8" s="7">
        <v>225.75</v>
      </c>
      <c r="AM8" s="7">
        <v>225.75</v>
      </c>
      <c r="AN8" s="27">
        <v>5</v>
      </c>
      <c r="AP8" s="111"/>
      <c r="AQ8" s="110">
        <f t="shared" si="13"/>
        <v>0</v>
      </c>
      <c r="AR8" s="110">
        <f t="shared" si="14"/>
        <v>0</v>
      </c>
      <c r="AS8" s="110">
        <f t="shared" si="15"/>
        <v>11.150000000000006</v>
      </c>
      <c r="AT8" s="110">
        <f t="shared" si="16"/>
        <v>-23.409999999999997</v>
      </c>
      <c r="AU8" s="110">
        <f t="shared" si="17"/>
        <v>0</v>
      </c>
      <c r="AV8" s="110">
        <f t="shared" si="18"/>
        <v>0</v>
      </c>
      <c r="AW8" s="110">
        <f t="shared" si="19"/>
        <v>7.3799999999999955</v>
      </c>
      <c r="AX8" s="110">
        <f t="shared" si="20"/>
        <v>0</v>
      </c>
      <c r="AY8" s="110">
        <f t="shared" si="21"/>
        <v>0</v>
      </c>
      <c r="AZ8" s="110">
        <f t="shared" si="22"/>
        <v>0</v>
      </c>
      <c r="BA8" s="110">
        <f t="shared" si="23"/>
        <v>7.6299999999999955</v>
      </c>
      <c r="BB8" s="110">
        <f t="shared" si="24"/>
        <v>0</v>
      </c>
      <c r="BD8" s="109" cm="1">
        <f t="array" ref="BD8">+IFERROR(INDEX($C$3:$AM$3,MATCH(TRUE,INDEX($C8:$AM8&lt;&gt;0,0),0)),"N/A")</f>
        <v>44926</v>
      </c>
      <c r="BE8" s="112"/>
      <c r="BF8" s="1" t="str" cm="1">
        <f t="array" ref="BF8">+_xlfn.IFS(BT8&lt;&gt;0,BT$2,CH8&lt;&gt;0,CH$2,CV8&lt;&gt;0,CV$2,DJ8&lt;&gt;0,DJ$2,TRUE,"")</f>
        <v/>
      </c>
      <c r="BG8" s="1" t="str" cm="1">
        <f t="array" ref="BG8">+_xlfn.IFS(BU8&lt;&gt;0,BU$2,CI8&lt;&gt;0,CI$2,CW8&lt;&gt;0,CW$2,DK8&lt;&gt;0,DK$2,TRUE,"")</f>
        <v/>
      </c>
      <c r="BH8" s="1" t="str" cm="1">
        <f t="array" ref="BH8">+_xlfn.IFS(BV8&lt;&gt;0,BV$2,CJ8&lt;&gt;0,CJ$2,CX8&lt;&gt;0,CX$2,DL8&lt;&gt;0,DL$2,TRUE,"")</f>
        <v>Upsell</v>
      </c>
      <c r="BI8" s="1" t="str" cm="1">
        <f t="array" ref="BI8">+_xlfn.IFS(BW8&lt;&gt;0,BW$2,CK8&lt;&gt;0,CK$2,CY8&lt;&gt;0,CY$2,DM8&lt;&gt;0,DM$2,TRUE,"")</f>
        <v>Downsell</v>
      </c>
      <c r="BJ8" s="1" t="str" cm="1">
        <f t="array" ref="BJ8">+_xlfn.IFS(BX8&lt;&gt;0,BX$2,CL8&lt;&gt;0,CL$2,CZ8&lt;&gt;0,CZ$2,DN8&lt;&gt;0,DN$2,TRUE,"")</f>
        <v/>
      </c>
      <c r="BK8" s="1" t="str" cm="1">
        <f t="array" ref="BK8">+_xlfn.IFS(BY8&lt;&gt;0,BY$2,CM8&lt;&gt;0,CM$2,DA8&lt;&gt;0,DA$2,DO8&lt;&gt;0,DO$2,TRUE,"")</f>
        <v/>
      </c>
      <c r="BL8" s="1" t="str" cm="1">
        <f t="array" ref="BL8">+_xlfn.IFS(BZ8&lt;&gt;0,BZ$2,CN8&lt;&gt;0,CN$2,DB8&lt;&gt;0,DB$2,DP8&lt;&gt;0,DP$2,TRUE,"")</f>
        <v>Upsell</v>
      </c>
      <c r="BM8" s="1" t="str" cm="1">
        <f t="array" ref="BM8">+_xlfn.IFS(CA8&lt;&gt;0,CA$2,CO8&lt;&gt;0,CO$2,DC8&lt;&gt;0,DC$2,DQ8&lt;&gt;0,DQ$2,TRUE,"")</f>
        <v/>
      </c>
      <c r="BN8" s="1" t="str" cm="1">
        <f t="array" ref="BN8">+_xlfn.IFS(CB8&lt;&gt;0,CB$2,CP8&lt;&gt;0,CP$2,DD8&lt;&gt;0,DD$2,DR8&lt;&gt;0,DR$2,TRUE,"")</f>
        <v/>
      </c>
      <c r="BO8" s="1" t="str" cm="1">
        <f t="array" ref="BO8">+_xlfn.IFS(CC8&lt;&gt;0,CC$2,CQ8&lt;&gt;0,CQ$2,DE8&lt;&gt;0,DE$2,DS8&lt;&gt;0,DS$2,TRUE,"")</f>
        <v/>
      </c>
      <c r="BP8" s="1" t="str" cm="1">
        <f t="array" ref="BP8">+_xlfn.IFS(CD8&lt;&gt;0,CD$2,CR8&lt;&gt;0,CR$2,DF8&lt;&gt;0,DF$2,DT8&lt;&gt;0,DT$2,TRUE,"")</f>
        <v>Upsell</v>
      </c>
      <c r="BQ8" s="1" t="str" cm="1">
        <f t="array" ref="BQ8">+_xlfn.IFS(CE8&lt;&gt;0,CE$2,CS8&lt;&gt;0,CS$2,DG8&lt;&gt;0,DG$2,DU8&lt;&gt;0,DU$2,TRUE,"")</f>
        <v/>
      </c>
      <c r="BS8" s="111"/>
      <c r="BT8" s="110">
        <f t="shared" si="25"/>
        <v>0</v>
      </c>
      <c r="BU8" s="110">
        <f t="shared" si="26"/>
        <v>0</v>
      </c>
      <c r="BV8" s="110">
        <f t="shared" si="27"/>
        <v>0</v>
      </c>
      <c r="BW8" s="110">
        <f t="shared" si="28"/>
        <v>0</v>
      </c>
      <c r="BX8" s="110">
        <f t="shared" si="29"/>
        <v>0</v>
      </c>
      <c r="BY8" s="110">
        <f t="shared" si="30"/>
        <v>0</v>
      </c>
      <c r="BZ8" s="110">
        <f t="shared" si="31"/>
        <v>0</v>
      </c>
      <c r="CA8" s="110">
        <f t="shared" si="32"/>
        <v>0</v>
      </c>
      <c r="CB8" s="110">
        <f t="shared" si="33"/>
        <v>0</v>
      </c>
      <c r="CC8" s="110">
        <f t="shared" si="34"/>
        <v>0</v>
      </c>
      <c r="CD8" s="110">
        <f t="shared" si="35"/>
        <v>0</v>
      </c>
      <c r="CE8" s="110">
        <f t="shared" si="36"/>
        <v>0</v>
      </c>
      <c r="CG8" s="111"/>
      <c r="CH8" s="110">
        <f t="shared" si="37"/>
        <v>0</v>
      </c>
      <c r="CI8" s="110">
        <f t="shared" si="38"/>
        <v>0</v>
      </c>
      <c r="CJ8" s="110">
        <f t="shared" si="39"/>
        <v>0</v>
      </c>
      <c r="CK8" s="110">
        <f t="shared" si="40"/>
        <v>0</v>
      </c>
      <c r="CL8" s="110">
        <f t="shared" si="41"/>
        <v>0</v>
      </c>
      <c r="CM8" s="110">
        <f t="shared" si="42"/>
        <v>0</v>
      </c>
      <c r="CN8" s="110">
        <f t="shared" si="43"/>
        <v>0</v>
      </c>
      <c r="CO8" s="110">
        <f t="shared" si="44"/>
        <v>0</v>
      </c>
      <c r="CP8" s="110">
        <f t="shared" si="45"/>
        <v>0</v>
      </c>
      <c r="CQ8" s="110">
        <f t="shared" si="46"/>
        <v>0</v>
      </c>
      <c r="CR8" s="110">
        <f t="shared" si="47"/>
        <v>0</v>
      </c>
      <c r="CS8" s="110">
        <f t="shared" si="48"/>
        <v>0</v>
      </c>
      <c r="CU8" s="111"/>
      <c r="CV8" s="110">
        <f t="shared" si="49"/>
        <v>0</v>
      </c>
      <c r="CW8" s="110">
        <f t="shared" si="50"/>
        <v>0</v>
      </c>
      <c r="CX8" s="110">
        <f t="shared" si="51"/>
        <v>0</v>
      </c>
      <c r="CY8" s="110">
        <f t="shared" si="52"/>
        <v>-23.409999999999997</v>
      </c>
      <c r="CZ8" s="110">
        <f t="shared" si="53"/>
        <v>0</v>
      </c>
      <c r="DA8" s="110">
        <f t="shared" si="54"/>
        <v>0</v>
      </c>
      <c r="DB8" s="110">
        <f t="shared" si="55"/>
        <v>0</v>
      </c>
      <c r="DC8" s="110">
        <f t="shared" si="56"/>
        <v>0</v>
      </c>
      <c r="DD8" s="110">
        <f t="shared" si="57"/>
        <v>0</v>
      </c>
      <c r="DE8" s="110">
        <f t="shared" si="58"/>
        <v>0</v>
      </c>
      <c r="DF8" s="110">
        <f t="shared" si="59"/>
        <v>0</v>
      </c>
      <c r="DG8" s="110">
        <f t="shared" si="60"/>
        <v>0</v>
      </c>
      <c r="DI8" s="111"/>
      <c r="DJ8" s="110">
        <f t="shared" si="61"/>
        <v>0</v>
      </c>
      <c r="DK8" s="110">
        <f t="shared" si="62"/>
        <v>0</v>
      </c>
      <c r="DL8" s="110">
        <f t="shared" si="63"/>
        <v>11.150000000000006</v>
      </c>
      <c r="DM8" s="110">
        <f t="shared" si="64"/>
        <v>0</v>
      </c>
      <c r="DN8" s="110">
        <f t="shared" si="65"/>
        <v>0</v>
      </c>
      <c r="DO8" s="110">
        <f t="shared" si="66"/>
        <v>0</v>
      </c>
      <c r="DP8" s="110">
        <f t="shared" si="67"/>
        <v>7.3799999999999955</v>
      </c>
      <c r="DQ8" s="110">
        <f t="shared" si="68"/>
        <v>0</v>
      </c>
      <c r="DR8" s="110">
        <f t="shared" si="69"/>
        <v>0</v>
      </c>
      <c r="DS8" s="110">
        <f t="shared" si="70"/>
        <v>0</v>
      </c>
      <c r="DT8" s="110">
        <f t="shared" si="71"/>
        <v>7.6299999999999955</v>
      </c>
      <c r="DU8" s="110">
        <f t="shared" si="72"/>
        <v>0</v>
      </c>
      <c r="DW8" s="111"/>
      <c r="DX8" s="110">
        <f t="shared" si="73"/>
        <v>0</v>
      </c>
      <c r="DY8" s="110">
        <f t="shared" si="74"/>
        <v>0</v>
      </c>
      <c r="DZ8" s="110">
        <f t="shared" si="75"/>
        <v>0</v>
      </c>
      <c r="EA8" s="110">
        <f t="shared" si="76"/>
        <v>0</v>
      </c>
      <c r="EB8" s="110">
        <f t="shared" si="77"/>
        <v>0</v>
      </c>
      <c r="EC8" s="110">
        <f t="shared" si="78"/>
        <v>0</v>
      </c>
      <c r="ED8" s="110">
        <f t="shared" si="79"/>
        <v>0</v>
      </c>
      <c r="EE8" s="110">
        <f t="shared" si="80"/>
        <v>0</v>
      </c>
      <c r="EF8" s="110">
        <f t="shared" si="81"/>
        <v>0</v>
      </c>
      <c r="EG8" s="110">
        <f t="shared" si="82"/>
        <v>0</v>
      </c>
      <c r="EH8" s="110">
        <f t="shared" si="83"/>
        <v>0</v>
      </c>
      <c r="EI8" s="110">
        <f t="shared" si="84"/>
        <v>0</v>
      </c>
      <c r="EK8" s="111"/>
      <c r="EL8" s="110">
        <f t="shared" si="85"/>
        <v>-12.259999999999991</v>
      </c>
      <c r="EM8" s="110">
        <f t="shared" si="86"/>
        <v>7.3799999999999955</v>
      </c>
      <c r="EN8" s="110">
        <f t="shared" si="87"/>
        <v>7.6299999999999955</v>
      </c>
      <c r="EP8" s="109" cm="1">
        <f t="array" ref="EP8">+IFERROR(INDEX($C$3:$AM$3,MATCH(TRUE,INDEX($C8:$AM8&lt;&gt;0,0),0)),"N/A")</f>
        <v>44926</v>
      </c>
      <c r="EQ8" s="112"/>
      <c r="ER8" s="1" t="str" cm="1">
        <f t="array" ref="ER8">+_xlfn.IFS(EW8&lt;&gt;0,EW$2,FB8&lt;&gt;0,FB$2,FG8&lt;&gt;0,FG$2,FL8&lt;&gt;0,FL$2,TRUE,"")</f>
        <v>Downsell</v>
      </c>
      <c r="ES8" s="1" t="str" cm="1">
        <f t="array" ref="ES8">+_xlfn.IFS(EX8&lt;&gt;0,EX$2,FC8&lt;&gt;0,FC$2,FH8&lt;&gt;0,FH$2,FM8&lt;&gt;0,FM$2,TRUE,"")</f>
        <v>Upsell</v>
      </c>
      <c r="ET8" s="1" t="str" cm="1">
        <f t="array" ref="ET8">+_xlfn.IFS(EY8&lt;&gt;0,EY$2,FD8&lt;&gt;0,FD$2,FI8&lt;&gt;0,FI$2,FN8&lt;&gt;0,FN$2,TRUE,"")</f>
        <v>Upsell</v>
      </c>
      <c r="EV8" s="111"/>
      <c r="EW8" s="110">
        <f t="shared" si="88"/>
        <v>0</v>
      </c>
      <c r="EX8" s="110">
        <f t="shared" si="89"/>
        <v>0</v>
      </c>
      <c r="EY8" s="110">
        <f t="shared" si="90"/>
        <v>0</v>
      </c>
      <c r="FA8" s="111"/>
      <c r="FB8" s="110">
        <f t="shared" si="91"/>
        <v>0</v>
      </c>
      <c r="FC8" s="110">
        <f t="shared" si="92"/>
        <v>0</v>
      </c>
      <c r="FD8" s="110">
        <f t="shared" si="93"/>
        <v>0</v>
      </c>
      <c r="FF8" s="111"/>
      <c r="FG8" s="110">
        <f t="shared" si="94"/>
        <v>-12.259999999999991</v>
      </c>
      <c r="FH8" s="110">
        <f t="shared" si="95"/>
        <v>0</v>
      </c>
      <c r="FI8" s="110">
        <f t="shared" si="96"/>
        <v>0</v>
      </c>
      <c r="FK8" s="111"/>
      <c r="FL8" s="110">
        <f t="shared" si="97"/>
        <v>0</v>
      </c>
      <c r="FM8" s="110">
        <f t="shared" si="98"/>
        <v>7.3799999999999955</v>
      </c>
      <c r="FN8" s="110">
        <f t="shared" si="99"/>
        <v>7.6299999999999955</v>
      </c>
      <c r="FP8" s="111"/>
      <c r="FQ8" s="110">
        <f t="shared" si="100"/>
        <v>0</v>
      </c>
      <c r="FR8" s="110">
        <f t="shared" si="101"/>
        <v>0</v>
      </c>
      <c r="FS8" s="110">
        <f t="shared" si="102"/>
        <v>0</v>
      </c>
      <c r="FU8" s="111">
        <f t="shared" si="103"/>
        <v>-12.259999999999991</v>
      </c>
      <c r="FV8" s="110">
        <f t="shared" si="104"/>
        <v>-12.259999999999991</v>
      </c>
      <c r="FW8" s="110">
        <f t="shared" si="105"/>
        <v>-12.259999999999991</v>
      </c>
      <c r="FX8" s="110">
        <f t="shared" si="106"/>
        <v>-12.259999999999991</v>
      </c>
      <c r="FY8" s="110">
        <f t="shared" si="107"/>
        <v>-12.259999999999991</v>
      </c>
      <c r="FZ8" s="110">
        <f t="shared" si="108"/>
        <v>-12.259999999999991</v>
      </c>
      <c r="GA8" s="110">
        <f t="shared" si="109"/>
        <v>-12.259999999999991</v>
      </c>
      <c r="GB8" s="110">
        <f t="shared" si="110"/>
        <v>-12.259999999999991</v>
      </c>
      <c r="GC8" s="110">
        <f t="shared" si="111"/>
        <v>-16.03</v>
      </c>
      <c r="GD8" s="110">
        <f t="shared" si="112"/>
        <v>-16.03</v>
      </c>
      <c r="GE8" s="110">
        <f t="shared" si="113"/>
        <v>7.3799999999999955</v>
      </c>
      <c r="GF8" s="110">
        <f t="shared" si="114"/>
        <v>7.3799999999999955</v>
      </c>
      <c r="GG8" s="110">
        <f t="shared" si="115"/>
        <v>7.3799999999999955</v>
      </c>
      <c r="GH8" s="110">
        <f t="shared" si="116"/>
        <v>7.3799999999999955</v>
      </c>
      <c r="GI8" s="110">
        <f t="shared" si="117"/>
        <v>7.3799999999999955</v>
      </c>
      <c r="GJ8" s="110">
        <f t="shared" si="118"/>
        <v>7.3799999999999955</v>
      </c>
      <c r="GK8" s="110">
        <f t="shared" si="119"/>
        <v>7.3799999999999955</v>
      </c>
      <c r="GL8" s="110">
        <f t="shared" si="120"/>
        <v>7.3799999999999955</v>
      </c>
      <c r="GM8" s="110">
        <f t="shared" si="121"/>
        <v>7.3799999999999955</v>
      </c>
      <c r="GN8" s="110">
        <f t="shared" si="122"/>
        <v>7.3799999999999955</v>
      </c>
      <c r="GO8" s="110">
        <f t="shared" si="123"/>
        <v>0</v>
      </c>
      <c r="GP8" s="110">
        <f t="shared" si="124"/>
        <v>7.6299999999999955</v>
      </c>
      <c r="GQ8" s="110">
        <f t="shared" si="125"/>
        <v>7.6299999999999955</v>
      </c>
      <c r="GR8" s="110">
        <f t="shared" si="126"/>
        <v>7.6299999999999955</v>
      </c>
      <c r="GS8" s="110">
        <f t="shared" si="127"/>
        <v>7.6299999999999955</v>
      </c>
      <c r="GU8" s="109" cm="1">
        <f t="array" ref="GU8">+IFERROR(INDEX($C$3:$AM$3,MATCH(TRUE,INDEX($C8:$AM8&lt;&gt;0,0),0)),"N/A")</f>
        <v>44926</v>
      </c>
      <c r="GV8" s="112" t="str" cm="1">
        <f t="array" ref="GV8">+_xlfn.IFS(HV8&lt;&gt;0,HV$2,IV8&lt;&gt;0,IV$2,JV8&lt;&gt;0,JV$2,KV8&lt;&gt;0,KV$2,TRUE,"")</f>
        <v>Downsell</v>
      </c>
      <c r="GW8" s="1" t="str" cm="1">
        <f t="array" ref="GW8">+_xlfn.IFS(HW8&lt;&gt;0,HW$2,IW8&lt;&gt;0,IW$2,JW8&lt;&gt;0,JW$2,KW8&lt;&gt;0,KW$2,TRUE,"")</f>
        <v>Downsell</v>
      </c>
      <c r="GX8" s="1" t="str" cm="1">
        <f t="array" ref="GX8">+_xlfn.IFS(HX8&lt;&gt;0,HX$2,IX8&lt;&gt;0,IX$2,JX8&lt;&gt;0,JX$2,KX8&lt;&gt;0,KX$2,TRUE,"")</f>
        <v>Downsell</v>
      </c>
      <c r="GY8" s="1" t="str" cm="1">
        <f t="array" ref="GY8">+_xlfn.IFS(HY8&lt;&gt;0,HY$2,IY8&lt;&gt;0,IY$2,JY8&lt;&gt;0,JY$2,KY8&lt;&gt;0,KY$2,TRUE,"")</f>
        <v>Downsell</v>
      </c>
      <c r="GZ8" s="1" t="str" cm="1">
        <f t="array" ref="GZ8">+_xlfn.IFS(HZ8&lt;&gt;0,HZ$2,IZ8&lt;&gt;0,IZ$2,JZ8&lt;&gt;0,JZ$2,KZ8&lt;&gt;0,KZ$2,TRUE,"")</f>
        <v>Downsell</v>
      </c>
      <c r="HA8" s="1" t="str" cm="1">
        <f t="array" ref="HA8">+_xlfn.IFS(IA8&lt;&gt;0,IA$2,JA8&lt;&gt;0,JA$2,KA8&lt;&gt;0,KA$2,LA8&lt;&gt;0,LA$2,TRUE,"")</f>
        <v>Downsell</v>
      </c>
      <c r="HB8" s="1" t="str" cm="1">
        <f t="array" ref="HB8">+_xlfn.IFS(IB8&lt;&gt;0,IB$2,JB8&lt;&gt;0,JB$2,KB8&lt;&gt;0,KB$2,LB8&lt;&gt;0,LB$2,TRUE,"")</f>
        <v>Downsell</v>
      </c>
      <c r="HC8" s="1" t="str" cm="1">
        <f t="array" ref="HC8">+_xlfn.IFS(IC8&lt;&gt;0,IC$2,JC8&lt;&gt;0,JC$2,KC8&lt;&gt;0,KC$2,LC8&lt;&gt;0,LC$2,TRUE,"")</f>
        <v>Downsell</v>
      </c>
      <c r="HD8" s="1" t="str" cm="1">
        <f t="array" ref="HD8">+_xlfn.IFS(ID8&lt;&gt;0,ID$2,JD8&lt;&gt;0,JD$2,KD8&lt;&gt;0,KD$2,LD8&lt;&gt;0,LD$2,TRUE,"")</f>
        <v>Downsell</v>
      </c>
      <c r="HE8" s="1" t="str" cm="1">
        <f t="array" ref="HE8">+_xlfn.IFS(IE8&lt;&gt;0,IE$2,JE8&lt;&gt;0,JE$2,KE8&lt;&gt;0,KE$2,LE8&lt;&gt;0,LE$2,TRUE,"")</f>
        <v>Downsell</v>
      </c>
      <c r="HF8" s="1" t="str" cm="1">
        <f t="array" ref="HF8">+_xlfn.IFS(IF8&lt;&gt;0,IF$2,JF8&lt;&gt;0,JF$2,KF8&lt;&gt;0,KF$2,LF8&lt;&gt;0,LF$2,TRUE,"")</f>
        <v>Upsell</v>
      </c>
      <c r="HG8" s="1" t="str" cm="1">
        <f t="array" ref="HG8">+_xlfn.IFS(IG8&lt;&gt;0,IG$2,JG8&lt;&gt;0,JG$2,KG8&lt;&gt;0,KG$2,LG8&lt;&gt;0,LG$2,TRUE,"")</f>
        <v>Upsell</v>
      </c>
      <c r="HH8" s="1" t="str" cm="1">
        <f t="array" ref="HH8">+_xlfn.IFS(IH8&lt;&gt;0,IH$2,JH8&lt;&gt;0,JH$2,KH8&lt;&gt;0,KH$2,LH8&lt;&gt;0,LH$2,TRUE,"")</f>
        <v>Upsell</v>
      </c>
      <c r="HI8" s="1" t="str" cm="1">
        <f t="array" ref="HI8">+_xlfn.IFS(II8&lt;&gt;0,II$2,JI8&lt;&gt;0,JI$2,KI8&lt;&gt;0,KI$2,LI8&lt;&gt;0,LI$2,TRUE,"")</f>
        <v>Upsell</v>
      </c>
      <c r="HJ8" s="1" t="str" cm="1">
        <f t="array" ref="HJ8">+_xlfn.IFS(IJ8&lt;&gt;0,IJ$2,JJ8&lt;&gt;0,JJ$2,KJ8&lt;&gt;0,KJ$2,LJ8&lt;&gt;0,LJ$2,TRUE,"")</f>
        <v>Upsell</v>
      </c>
      <c r="HK8" s="1" t="str" cm="1">
        <f t="array" ref="HK8">+_xlfn.IFS(IK8&lt;&gt;0,IK$2,JK8&lt;&gt;0,JK$2,KK8&lt;&gt;0,KK$2,LK8&lt;&gt;0,LK$2,TRUE,"")</f>
        <v>Upsell</v>
      </c>
      <c r="HL8" s="1" t="str" cm="1">
        <f t="array" ref="HL8">+_xlfn.IFS(IL8&lt;&gt;0,IL$2,JL8&lt;&gt;0,JL$2,KL8&lt;&gt;0,KL$2,LL8&lt;&gt;0,LL$2,TRUE,"")</f>
        <v>Upsell</v>
      </c>
      <c r="HM8" s="1" t="str" cm="1">
        <f t="array" ref="HM8">+_xlfn.IFS(IM8&lt;&gt;0,IM$2,JM8&lt;&gt;0,JM$2,KM8&lt;&gt;0,KM$2,LM8&lt;&gt;0,LM$2,TRUE,"")</f>
        <v>Upsell</v>
      </c>
      <c r="HN8" s="1" t="str" cm="1">
        <f t="array" ref="HN8">+_xlfn.IFS(IN8&lt;&gt;0,IN$2,JN8&lt;&gt;0,JN$2,KN8&lt;&gt;0,KN$2,LN8&lt;&gt;0,LN$2,TRUE,"")</f>
        <v>Upsell</v>
      </c>
      <c r="HO8" s="1" t="str" cm="1">
        <f t="array" ref="HO8">+_xlfn.IFS(IO8&lt;&gt;0,IO$2,JO8&lt;&gt;0,JO$2,KO8&lt;&gt;0,KO$2,LO8&lt;&gt;0,LO$2,TRUE,"")</f>
        <v>Upsell</v>
      </c>
      <c r="HP8" s="1" t="str" cm="1">
        <f t="array" ref="HP8">+_xlfn.IFS(IP8&lt;&gt;0,IP$2,JP8&lt;&gt;0,JP$2,KP8&lt;&gt;0,KP$2,LP8&lt;&gt;0,LP$2,TRUE,"")</f>
        <v/>
      </c>
      <c r="HQ8" s="1" t="str" cm="1">
        <f t="array" ref="HQ8">+_xlfn.IFS(IQ8&lt;&gt;0,IQ$2,JQ8&lt;&gt;0,JQ$2,KQ8&lt;&gt;0,KQ$2,LQ8&lt;&gt;0,LQ$2,TRUE,"")</f>
        <v>Upsell</v>
      </c>
      <c r="HR8" s="1" t="str" cm="1">
        <f t="array" ref="HR8">+_xlfn.IFS(IR8&lt;&gt;0,IR$2,JR8&lt;&gt;0,JR$2,KR8&lt;&gt;0,KR$2,LR8&lt;&gt;0,LR$2,TRUE,"")</f>
        <v>Upsell</v>
      </c>
      <c r="HS8" s="1" t="str" cm="1">
        <f t="array" ref="HS8">+_xlfn.IFS(IS8&lt;&gt;0,IS$2,JS8&lt;&gt;0,JS$2,KS8&lt;&gt;0,KS$2,LS8&lt;&gt;0,LS$2,TRUE,"")</f>
        <v>Upsell</v>
      </c>
      <c r="HT8" s="1" t="str" cm="1">
        <f t="array" ref="HT8">+_xlfn.IFS(IT8&lt;&gt;0,IT$2,JT8&lt;&gt;0,JT$2,KT8&lt;&gt;0,KT$2,LT8&lt;&gt;0,LT$2,TRUE,"")</f>
        <v>Upsell</v>
      </c>
      <c r="HV8" s="111">
        <f t="shared" si="128"/>
        <v>0</v>
      </c>
      <c r="HW8" s="110">
        <f t="shared" si="129"/>
        <v>0</v>
      </c>
      <c r="HX8" s="110">
        <f t="shared" si="130"/>
        <v>0</v>
      </c>
      <c r="HY8" s="110">
        <f t="shared" si="131"/>
        <v>0</v>
      </c>
      <c r="HZ8" s="110">
        <f t="shared" si="132"/>
        <v>0</v>
      </c>
      <c r="IA8" s="110">
        <f t="shared" si="133"/>
        <v>0</v>
      </c>
      <c r="IB8" s="110">
        <f t="shared" si="134"/>
        <v>0</v>
      </c>
      <c r="IC8" s="110">
        <f t="shared" si="135"/>
        <v>0</v>
      </c>
      <c r="ID8" s="110">
        <f t="shared" si="136"/>
        <v>0</v>
      </c>
      <c r="IE8" s="110">
        <f t="shared" si="137"/>
        <v>0</v>
      </c>
      <c r="IF8" s="110">
        <f t="shared" si="138"/>
        <v>0</v>
      </c>
      <c r="IG8" s="110">
        <f t="shared" si="139"/>
        <v>0</v>
      </c>
      <c r="IH8" s="110">
        <f t="shared" si="140"/>
        <v>0</v>
      </c>
      <c r="II8" s="110">
        <f t="shared" si="141"/>
        <v>0</v>
      </c>
      <c r="IJ8" s="110">
        <f t="shared" si="142"/>
        <v>0</v>
      </c>
      <c r="IK8" s="110">
        <f t="shared" si="143"/>
        <v>0</v>
      </c>
      <c r="IL8" s="110">
        <f t="shared" si="144"/>
        <v>0</v>
      </c>
      <c r="IM8" s="110">
        <f t="shared" si="145"/>
        <v>0</v>
      </c>
      <c r="IN8" s="110">
        <f t="shared" si="146"/>
        <v>0</v>
      </c>
      <c r="IO8" s="110">
        <f t="shared" si="147"/>
        <v>0</v>
      </c>
      <c r="IP8" s="110">
        <f t="shared" si="148"/>
        <v>0</v>
      </c>
      <c r="IQ8" s="110">
        <f t="shared" si="149"/>
        <v>0</v>
      </c>
      <c r="IR8" s="110">
        <f t="shared" si="150"/>
        <v>0</v>
      </c>
      <c r="IS8" s="110">
        <f t="shared" si="151"/>
        <v>0</v>
      </c>
      <c r="IT8" s="110">
        <f t="shared" si="152"/>
        <v>0</v>
      </c>
      <c r="IV8" s="111">
        <f t="shared" si="153"/>
        <v>0</v>
      </c>
      <c r="IW8" s="110">
        <f t="shared" si="154"/>
        <v>0</v>
      </c>
      <c r="IX8" s="110">
        <f t="shared" si="155"/>
        <v>0</v>
      </c>
      <c r="IY8" s="110">
        <f t="shared" si="156"/>
        <v>0</v>
      </c>
      <c r="IZ8" s="110">
        <f t="shared" si="157"/>
        <v>0</v>
      </c>
      <c r="JA8" s="110">
        <f t="shared" si="158"/>
        <v>0</v>
      </c>
      <c r="JB8" s="110">
        <f t="shared" si="159"/>
        <v>0</v>
      </c>
      <c r="JC8" s="110">
        <f t="shared" si="160"/>
        <v>0</v>
      </c>
      <c r="JD8" s="110">
        <f t="shared" si="161"/>
        <v>0</v>
      </c>
      <c r="JE8" s="110">
        <f t="shared" si="162"/>
        <v>0</v>
      </c>
      <c r="JF8" s="110">
        <f t="shared" si="163"/>
        <v>0</v>
      </c>
      <c r="JG8" s="110">
        <f t="shared" si="164"/>
        <v>0</v>
      </c>
      <c r="JH8" s="110">
        <f t="shared" si="165"/>
        <v>0</v>
      </c>
      <c r="JI8" s="110">
        <f t="shared" si="166"/>
        <v>0</v>
      </c>
      <c r="JJ8" s="110">
        <f t="shared" si="167"/>
        <v>0</v>
      </c>
      <c r="JK8" s="110">
        <f t="shared" si="168"/>
        <v>0</v>
      </c>
      <c r="JL8" s="110">
        <f t="shared" si="169"/>
        <v>0</v>
      </c>
      <c r="JM8" s="110">
        <f t="shared" si="170"/>
        <v>0</v>
      </c>
      <c r="JN8" s="110">
        <f t="shared" si="171"/>
        <v>0</v>
      </c>
      <c r="JO8" s="110">
        <f t="shared" si="172"/>
        <v>0</v>
      </c>
      <c r="JP8" s="110">
        <f t="shared" si="173"/>
        <v>0</v>
      </c>
      <c r="JQ8" s="110">
        <f t="shared" si="174"/>
        <v>0</v>
      </c>
      <c r="JR8" s="110">
        <f t="shared" si="175"/>
        <v>0</v>
      </c>
      <c r="JS8" s="110">
        <f t="shared" si="176"/>
        <v>0</v>
      </c>
      <c r="JT8" s="110">
        <f t="shared" si="177"/>
        <v>0</v>
      </c>
      <c r="JV8" s="111">
        <f t="shared" si="178"/>
        <v>-12.259999999999991</v>
      </c>
      <c r="JW8" s="110">
        <f t="shared" si="179"/>
        <v>-12.259999999999991</v>
      </c>
      <c r="JX8" s="110">
        <f t="shared" si="180"/>
        <v>-12.259999999999991</v>
      </c>
      <c r="JY8" s="110">
        <f t="shared" si="181"/>
        <v>-12.259999999999991</v>
      </c>
      <c r="JZ8" s="110">
        <f t="shared" si="182"/>
        <v>-12.259999999999991</v>
      </c>
      <c r="KA8" s="110">
        <f t="shared" si="183"/>
        <v>-12.259999999999991</v>
      </c>
      <c r="KB8" s="110">
        <f t="shared" si="184"/>
        <v>-12.259999999999991</v>
      </c>
      <c r="KC8" s="110">
        <f t="shared" si="185"/>
        <v>-12.259999999999991</v>
      </c>
      <c r="KD8" s="110">
        <f t="shared" si="186"/>
        <v>-16.03</v>
      </c>
      <c r="KE8" s="110">
        <f t="shared" si="187"/>
        <v>-16.03</v>
      </c>
      <c r="KF8" s="110">
        <f t="shared" si="188"/>
        <v>0</v>
      </c>
      <c r="KG8" s="110">
        <f t="shared" si="189"/>
        <v>0</v>
      </c>
      <c r="KH8" s="110">
        <f t="shared" si="190"/>
        <v>0</v>
      </c>
      <c r="KI8" s="110">
        <f t="shared" si="191"/>
        <v>0</v>
      </c>
      <c r="KJ8" s="110">
        <f t="shared" si="192"/>
        <v>0</v>
      </c>
      <c r="KK8" s="110">
        <f t="shared" si="193"/>
        <v>0</v>
      </c>
      <c r="KL8" s="110">
        <f t="shared" si="194"/>
        <v>0</v>
      </c>
      <c r="KM8" s="110">
        <f t="shared" si="195"/>
        <v>0</v>
      </c>
      <c r="KN8" s="110">
        <f t="shared" si="196"/>
        <v>0</v>
      </c>
      <c r="KO8" s="110">
        <f t="shared" si="197"/>
        <v>0</v>
      </c>
      <c r="KP8" s="110">
        <f t="shared" si="198"/>
        <v>0</v>
      </c>
      <c r="KQ8" s="110">
        <f t="shared" si="199"/>
        <v>0</v>
      </c>
      <c r="KR8" s="110">
        <f t="shared" si="200"/>
        <v>0</v>
      </c>
      <c r="KS8" s="110">
        <f t="shared" si="201"/>
        <v>0</v>
      </c>
      <c r="KT8" s="110">
        <f t="shared" si="202"/>
        <v>0</v>
      </c>
      <c r="KV8" s="111">
        <f t="shared" si="203"/>
        <v>0</v>
      </c>
      <c r="KW8" s="110">
        <f t="shared" si="204"/>
        <v>0</v>
      </c>
      <c r="KX8" s="110">
        <f t="shared" si="205"/>
        <v>0</v>
      </c>
      <c r="KY8" s="110">
        <f t="shared" si="206"/>
        <v>0</v>
      </c>
      <c r="KZ8" s="110">
        <f t="shared" si="207"/>
        <v>0</v>
      </c>
      <c r="LA8" s="110">
        <f t="shared" si="208"/>
        <v>0</v>
      </c>
      <c r="LB8" s="110">
        <f t="shared" si="209"/>
        <v>0</v>
      </c>
      <c r="LC8" s="110">
        <f t="shared" si="210"/>
        <v>0</v>
      </c>
      <c r="LD8" s="110">
        <f t="shared" si="211"/>
        <v>0</v>
      </c>
      <c r="LE8" s="110">
        <f t="shared" si="212"/>
        <v>0</v>
      </c>
      <c r="LF8" s="110">
        <f t="shared" si="213"/>
        <v>7.3799999999999955</v>
      </c>
      <c r="LG8" s="110">
        <f t="shared" si="214"/>
        <v>7.3799999999999955</v>
      </c>
      <c r="LH8" s="110">
        <f t="shared" si="215"/>
        <v>7.3799999999999955</v>
      </c>
      <c r="LI8" s="110">
        <f t="shared" si="216"/>
        <v>7.3799999999999955</v>
      </c>
      <c r="LJ8" s="110">
        <f t="shared" si="217"/>
        <v>7.3799999999999955</v>
      </c>
      <c r="LK8" s="110">
        <f t="shared" si="218"/>
        <v>7.3799999999999955</v>
      </c>
      <c r="LL8" s="110">
        <f t="shared" si="219"/>
        <v>7.3799999999999955</v>
      </c>
      <c r="LM8" s="110">
        <f t="shared" si="220"/>
        <v>7.3799999999999955</v>
      </c>
      <c r="LN8" s="110">
        <f t="shared" si="221"/>
        <v>7.3799999999999955</v>
      </c>
      <c r="LO8" s="110">
        <f t="shared" si="222"/>
        <v>7.3799999999999955</v>
      </c>
      <c r="LP8" s="110">
        <f t="shared" si="223"/>
        <v>0</v>
      </c>
      <c r="LQ8" s="110">
        <f t="shared" si="224"/>
        <v>7.6299999999999955</v>
      </c>
      <c r="LR8" s="110">
        <f t="shared" si="225"/>
        <v>7.6299999999999955</v>
      </c>
      <c r="LS8" s="110">
        <f t="shared" si="226"/>
        <v>7.6299999999999955</v>
      </c>
      <c r="LT8" s="110">
        <f t="shared" si="227"/>
        <v>7.6299999999999955</v>
      </c>
      <c r="LV8" s="111"/>
      <c r="LW8" s="110">
        <f t="shared" si="228"/>
        <v>0</v>
      </c>
      <c r="LX8" s="110">
        <f t="shared" si="229"/>
        <v>0</v>
      </c>
      <c r="LY8" s="110">
        <f t="shared" si="230"/>
        <v>0</v>
      </c>
      <c r="LZ8" s="110">
        <f t="shared" si="231"/>
        <v>0</v>
      </c>
      <c r="MA8" s="110">
        <f t="shared" si="232"/>
        <v>0</v>
      </c>
      <c r="MB8" s="110">
        <f t="shared" si="233"/>
        <v>0</v>
      </c>
      <c r="MC8" s="110">
        <f t="shared" si="234"/>
        <v>0</v>
      </c>
      <c r="MD8" s="110">
        <f t="shared" si="235"/>
        <v>0</v>
      </c>
      <c r="ME8" s="110">
        <f t="shared" si="236"/>
        <v>0</v>
      </c>
      <c r="MF8" s="110">
        <f t="shared" si="237"/>
        <v>0</v>
      </c>
      <c r="MG8" s="110">
        <f t="shared" si="238"/>
        <v>0</v>
      </c>
      <c r="MH8" s="110">
        <f t="shared" si="239"/>
        <v>0</v>
      </c>
      <c r="MI8" s="110">
        <f t="shared" si="240"/>
        <v>0</v>
      </c>
      <c r="MJ8" s="110">
        <f t="shared" si="241"/>
        <v>0</v>
      </c>
      <c r="MK8" s="110">
        <f t="shared" si="242"/>
        <v>0</v>
      </c>
      <c r="ML8" s="110">
        <f t="shared" si="243"/>
        <v>0</v>
      </c>
      <c r="MM8" s="110">
        <f t="shared" si="244"/>
        <v>0</v>
      </c>
      <c r="MN8" s="110">
        <f t="shared" si="245"/>
        <v>0</v>
      </c>
      <c r="MO8" s="110">
        <f t="shared" si="246"/>
        <v>0</v>
      </c>
      <c r="MP8" s="110">
        <f t="shared" si="247"/>
        <v>0</v>
      </c>
      <c r="MQ8" s="110">
        <f t="shared" si="248"/>
        <v>0</v>
      </c>
      <c r="MR8" s="110">
        <f t="shared" si="249"/>
        <v>0</v>
      </c>
      <c r="MS8" s="110">
        <f t="shared" si="250"/>
        <v>0</v>
      </c>
      <c r="MT8" s="110">
        <f t="shared" si="251"/>
        <v>0</v>
      </c>
      <c r="MV8" s="114">
        <v>225.75</v>
      </c>
      <c r="MW8" s="114">
        <v>0</v>
      </c>
      <c r="MX8" s="114">
        <v>7.6299999999999955</v>
      </c>
      <c r="MY8" s="114">
        <v>0</v>
      </c>
      <c r="MZ8" s="114">
        <v>0</v>
      </c>
      <c r="NB8" s="115">
        <v>49</v>
      </c>
      <c r="NC8" s="115" t="str">
        <v>N/A</v>
      </c>
      <c r="ND8" s="115">
        <v>34</v>
      </c>
      <c r="NE8" s="115" t="str">
        <v>N/A</v>
      </c>
      <c r="NF8" s="115" t="str">
        <v>N/A</v>
      </c>
    </row>
    <row r="9" spans="2:376" ht="13.5" x14ac:dyDescent="0.25">
      <c r="B9" s="8">
        <f t="shared" si="252"/>
        <v>6</v>
      </c>
      <c r="C9" s="7">
        <v>279</v>
      </c>
      <c r="D9" s="7">
        <v>279</v>
      </c>
      <c r="E9" s="7">
        <v>279</v>
      </c>
      <c r="F9" s="7">
        <v>279</v>
      </c>
      <c r="G9" s="7">
        <v>279</v>
      </c>
      <c r="H9" s="7">
        <v>378</v>
      </c>
      <c r="I9" s="7">
        <v>279</v>
      </c>
      <c r="J9" s="7">
        <v>279</v>
      </c>
      <c r="K9" s="7">
        <v>279</v>
      </c>
      <c r="L9" s="7">
        <v>279</v>
      </c>
      <c r="M9" s="7">
        <v>279</v>
      </c>
      <c r="N9" s="7">
        <v>279</v>
      </c>
      <c r="O9" s="7">
        <v>279</v>
      </c>
      <c r="P9" s="7">
        <v>279</v>
      </c>
      <c r="Q9" s="7">
        <v>279</v>
      </c>
      <c r="R9" s="7">
        <v>279</v>
      </c>
      <c r="S9" s="7">
        <v>279</v>
      </c>
      <c r="T9" s="7">
        <v>279</v>
      </c>
      <c r="U9" s="7">
        <v>279</v>
      </c>
      <c r="V9" s="7">
        <v>279</v>
      </c>
      <c r="W9" s="7">
        <v>279</v>
      </c>
      <c r="X9" s="7">
        <v>279</v>
      </c>
      <c r="Y9" s="7">
        <v>279</v>
      </c>
      <c r="Z9" s="7">
        <v>279</v>
      </c>
      <c r="AA9" s="7">
        <v>279</v>
      </c>
      <c r="AB9" s="7">
        <v>279</v>
      </c>
      <c r="AC9" s="7">
        <v>279</v>
      </c>
      <c r="AD9" s="7">
        <v>279</v>
      </c>
      <c r="AE9" s="7">
        <v>279</v>
      </c>
      <c r="AF9" s="7">
        <v>288.77</v>
      </c>
      <c r="AG9" s="7">
        <v>288.77</v>
      </c>
      <c r="AH9" s="7">
        <v>288.77</v>
      </c>
      <c r="AI9" s="7">
        <v>288.77</v>
      </c>
      <c r="AJ9" s="7">
        <v>288.77</v>
      </c>
      <c r="AK9" s="7">
        <v>288.77</v>
      </c>
      <c r="AL9" s="7">
        <v>288.77</v>
      </c>
      <c r="AM9" s="7">
        <v>288.77</v>
      </c>
      <c r="AN9" s="27">
        <v>6</v>
      </c>
      <c r="AP9" s="111"/>
      <c r="AQ9" s="110">
        <f t="shared" si="13"/>
        <v>0</v>
      </c>
      <c r="AR9" s="110">
        <f t="shared" si="14"/>
        <v>0</v>
      </c>
      <c r="AS9" s="110">
        <f t="shared" si="15"/>
        <v>0</v>
      </c>
      <c r="AT9" s="110">
        <f t="shared" si="16"/>
        <v>0</v>
      </c>
      <c r="AU9" s="110">
        <f t="shared" si="17"/>
        <v>0</v>
      </c>
      <c r="AV9" s="110">
        <f t="shared" si="18"/>
        <v>0</v>
      </c>
      <c r="AW9" s="110">
        <f t="shared" si="19"/>
        <v>0</v>
      </c>
      <c r="AX9" s="110">
        <f t="shared" si="20"/>
        <v>0</v>
      </c>
      <c r="AY9" s="110">
        <f t="shared" si="21"/>
        <v>0</v>
      </c>
      <c r="AZ9" s="110">
        <f t="shared" si="22"/>
        <v>9.7699999999999818</v>
      </c>
      <c r="BA9" s="110">
        <f t="shared" si="23"/>
        <v>0</v>
      </c>
      <c r="BB9" s="110">
        <f t="shared" si="24"/>
        <v>0</v>
      </c>
      <c r="BD9" s="109" cm="1">
        <f t="array" ref="BD9">+IFERROR(INDEX($C$3:$AM$3,MATCH(TRUE,INDEX($C9:$AM9&lt;&gt;0,0),0)),"N/A")</f>
        <v>44926</v>
      </c>
      <c r="BE9" s="112"/>
      <c r="BF9" s="1" t="str" cm="1">
        <f t="array" ref="BF9">+_xlfn.IFS(BT9&lt;&gt;0,BT$2,CH9&lt;&gt;0,CH$2,CV9&lt;&gt;0,CV$2,DJ9&lt;&gt;0,DJ$2,TRUE,"")</f>
        <v/>
      </c>
      <c r="BG9" s="1" t="str" cm="1">
        <f t="array" ref="BG9">+_xlfn.IFS(BU9&lt;&gt;0,BU$2,CI9&lt;&gt;0,CI$2,CW9&lt;&gt;0,CW$2,DK9&lt;&gt;0,DK$2,TRUE,"")</f>
        <v/>
      </c>
      <c r="BH9" s="1" t="str" cm="1">
        <f t="array" ref="BH9">+_xlfn.IFS(BV9&lt;&gt;0,BV$2,CJ9&lt;&gt;0,CJ$2,CX9&lt;&gt;0,CX$2,DL9&lt;&gt;0,DL$2,TRUE,"")</f>
        <v/>
      </c>
      <c r="BI9" s="1" t="str" cm="1">
        <f t="array" ref="BI9">+_xlfn.IFS(BW9&lt;&gt;0,BW$2,CK9&lt;&gt;0,CK$2,CY9&lt;&gt;0,CY$2,DM9&lt;&gt;0,DM$2,TRUE,"")</f>
        <v/>
      </c>
      <c r="BJ9" s="1" t="str" cm="1">
        <f t="array" ref="BJ9">+_xlfn.IFS(BX9&lt;&gt;0,BX$2,CL9&lt;&gt;0,CL$2,CZ9&lt;&gt;0,CZ$2,DN9&lt;&gt;0,DN$2,TRUE,"")</f>
        <v/>
      </c>
      <c r="BK9" s="1" t="str" cm="1">
        <f t="array" ref="BK9">+_xlfn.IFS(BY9&lt;&gt;0,BY$2,CM9&lt;&gt;0,CM$2,DA9&lt;&gt;0,DA$2,DO9&lt;&gt;0,DO$2,TRUE,"")</f>
        <v/>
      </c>
      <c r="BL9" s="1" t="str" cm="1">
        <f t="array" ref="BL9">+_xlfn.IFS(BZ9&lt;&gt;0,BZ$2,CN9&lt;&gt;0,CN$2,DB9&lt;&gt;0,DB$2,DP9&lt;&gt;0,DP$2,TRUE,"")</f>
        <v/>
      </c>
      <c r="BM9" s="1" t="str" cm="1">
        <f t="array" ref="BM9">+_xlfn.IFS(CA9&lt;&gt;0,CA$2,CO9&lt;&gt;0,CO$2,DC9&lt;&gt;0,DC$2,DQ9&lt;&gt;0,DQ$2,TRUE,"")</f>
        <v/>
      </c>
      <c r="BN9" s="1" t="str" cm="1">
        <f t="array" ref="BN9">+_xlfn.IFS(CB9&lt;&gt;0,CB$2,CP9&lt;&gt;0,CP$2,DD9&lt;&gt;0,DD$2,DR9&lt;&gt;0,DR$2,TRUE,"")</f>
        <v/>
      </c>
      <c r="BO9" s="1" t="str" cm="1">
        <f t="array" ref="BO9">+_xlfn.IFS(CC9&lt;&gt;0,CC$2,CQ9&lt;&gt;0,CQ$2,DE9&lt;&gt;0,DE$2,DS9&lt;&gt;0,DS$2,TRUE,"")</f>
        <v>Upsell</v>
      </c>
      <c r="BP9" s="1" t="str" cm="1">
        <f t="array" ref="BP9">+_xlfn.IFS(CD9&lt;&gt;0,CD$2,CR9&lt;&gt;0,CR$2,DF9&lt;&gt;0,DF$2,DT9&lt;&gt;0,DT$2,TRUE,"")</f>
        <v/>
      </c>
      <c r="BQ9" s="1" t="str" cm="1">
        <f t="array" ref="BQ9">+_xlfn.IFS(CE9&lt;&gt;0,CE$2,CS9&lt;&gt;0,CS$2,DG9&lt;&gt;0,DG$2,DU9&lt;&gt;0,DU$2,TRUE,"")</f>
        <v/>
      </c>
      <c r="BS9" s="111"/>
      <c r="BT9" s="110">
        <f t="shared" si="25"/>
        <v>0</v>
      </c>
      <c r="BU9" s="110">
        <f t="shared" si="26"/>
        <v>0</v>
      </c>
      <c r="BV9" s="110">
        <f t="shared" si="27"/>
        <v>0</v>
      </c>
      <c r="BW9" s="110">
        <f t="shared" si="28"/>
        <v>0</v>
      </c>
      <c r="BX9" s="110">
        <f t="shared" si="29"/>
        <v>0</v>
      </c>
      <c r="BY9" s="110">
        <f t="shared" si="30"/>
        <v>0</v>
      </c>
      <c r="BZ9" s="110">
        <f t="shared" si="31"/>
        <v>0</v>
      </c>
      <c r="CA9" s="110">
        <f t="shared" si="32"/>
        <v>0</v>
      </c>
      <c r="CB9" s="110">
        <f t="shared" si="33"/>
        <v>0</v>
      </c>
      <c r="CC9" s="110">
        <f t="shared" si="34"/>
        <v>0</v>
      </c>
      <c r="CD9" s="110">
        <f t="shared" si="35"/>
        <v>0</v>
      </c>
      <c r="CE9" s="110">
        <f t="shared" si="36"/>
        <v>0</v>
      </c>
      <c r="CG9" s="111"/>
      <c r="CH9" s="110">
        <f t="shared" si="37"/>
        <v>0</v>
      </c>
      <c r="CI9" s="110">
        <f t="shared" si="38"/>
        <v>0</v>
      </c>
      <c r="CJ9" s="110">
        <f t="shared" si="39"/>
        <v>0</v>
      </c>
      <c r="CK9" s="110">
        <f t="shared" si="40"/>
        <v>0</v>
      </c>
      <c r="CL9" s="110">
        <f t="shared" si="41"/>
        <v>0</v>
      </c>
      <c r="CM9" s="110">
        <f t="shared" si="42"/>
        <v>0</v>
      </c>
      <c r="CN9" s="110">
        <f t="shared" si="43"/>
        <v>0</v>
      </c>
      <c r="CO9" s="110">
        <f t="shared" si="44"/>
        <v>0</v>
      </c>
      <c r="CP9" s="110">
        <f t="shared" si="45"/>
        <v>0</v>
      </c>
      <c r="CQ9" s="110">
        <f t="shared" si="46"/>
        <v>0</v>
      </c>
      <c r="CR9" s="110">
        <f t="shared" si="47"/>
        <v>0</v>
      </c>
      <c r="CS9" s="110">
        <f t="shared" si="48"/>
        <v>0</v>
      </c>
      <c r="CU9" s="111"/>
      <c r="CV9" s="110">
        <f t="shared" si="49"/>
        <v>0</v>
      </c>
      <c r="CW9" s="110">
        <f t="shared" si="50"/>
        <v>0</v>
      </c>
      <c r="CX9" s="110">
        <f t="shared" si="51"/>
        <v>0</v>
      </c>
      <c r="CY9" s="110">
        <f t="shared" si="52"/>
        <v>0</v>
      </c>
      <c r="CZ9" s="110">
        <f t="shared" si="53"/>
        <v>0</v>
      </c>
      <c r="DA9" s="110">
        <f t="shared" si="54"/>
        <v>0</v>
      </c>
      <c r="DB9" s="110">
        <f t="shared" si="55"/>
        <v>0</v>
      </c>
      <c r="DC9" s="110">
        <f t="shared" si="56"/>
        <v>0</v>
      </c>
      <c r="DD9" s="110">
        <f t="shared" si="57"/>
        <v>0</v>
      </c>
      <c r="DE9" s="110">
        <f t="shared" si="58"/>
        <v>0</v>
      </c>
      <c r="DF9" s="110">
        <f t="shared" si="59"/>
        <v>0</v>
      </c>
      <c r="DG9" s="110">
        <f t="shared" si="60"/>
        <v>0</v>
      </c>
      <c r="DI9" s="111"/>
      <c r="DJ9" s="110">
        <f t="shared" si="61"/>
        <v>0</v>
      </c>
      <c r="DK9" s="110">
        <f t="shared" si="62"/>
        <v>0</v>
      </c>
      <c r="DL9" s="110">
        <f t="shared" si="63"/>
        <v>0</v>
      </c>
      <c r="DM9" s="110">
        <f t="shared" si="64"/>
        <v>0</v>
      </c>
      <c r="DN9" s="110">
        <f t="shared" si="65"/>
        <v>0</v>
      </c>
      <c r="DO9" s="110">
        <f t="shared" si="66"/>
        <v>0</v>
      </c>
      <c r="DP9" s="110">
        <f t="shared" si="67"/>
        <v>0</v>
      </c>
      <c r="DQ9" s="110">
        <f t="shared" si="68"/>
        <v>0</v>
      </c>
      <c r="DR9" s="110">
        <f t="shared" si="69"/>
        <v>0</v>
      </c>
      <c r="DS9" s="110">
        <f t="shared" si="70"/>
        <v>9.7699999999999818</v>
      </c>
      <c r="DT9" s="110">
        <f t="shared" si="71"/>
        <v>0</v>
      </c>
      <c r="DU9" s="110">
        <f t="shared" si="72"/>
        <v>0</v>
      </c>
      <c r="DW9" s="111"/>
      <c r="DX9" s="110">
        <f t="shared" si="73"/>
        <v>0</v>
      </c>
      <c r="DY9" s="110">
        <f t="shared" si="74"/>
        <v>0</v>
      </c>
      <c r="DZ9" s="110">
        <f t="shared" si="75"/>
        <v>0</v>
      </c>
      <c r="EA9" s="110">
        <f t="shared" si="76"/>
        <v>0</v>
      </c>
      <c r="EB9" s="110">
        <f t="shared" si="77"/>
        <v>0</v>
      </c>
      <c r="EC9" s="110">
        <f t="shared" si="78"/>
        <v>0</v>
      </c>
      <c r="ED9" s="110">
        <f t="shared" si="79"/>
        <v>0</v>
      </c>
      <c r="EE9" s="110">
        <f t="shared" si="80"/>
        <v>0</v>
      </c>
      <c r="EF9" s="110">
        <f t="shared" si="81"/>
        <v>0</v>
      </c>
      <c r="EG9" s="110">
        <f t="shared" si="82"/>
        <v>0</v>
      </c>
      <c r="EH9" s="110">
        <f t="shared" si="83"/>
        <v>0</v>
      </c>
      <c r="EI9" s="110">
        <f t="shared" si="84"/>
        <v>0</v>
      </c>
      <c r="EK9" s="111"/>
      <c r="EL9" s="110">
        <f t="shared" si="85"/>
        <v>0</v>
      </c>
      <c r="EM9" s="110">
        <f t="shared" si="86"/>
        <v>0</v>
      </c>
      <c r="EN9" s="110">
        <f t="shared" si="87"/>
        <v>9.7699999999999818</v>
      </c>
      <c r="EP9" s="109" cm="1">
        <f t="array" ref="EP9">+IFERROR(INDEX($C$3:$AM$3,MATCH(TRUE,INDEX($C9:$AM9&lt;&gt;0,0),0)),"N/A")</f>
        <v>44926</v>
      </c>
      <c r="EQ9" s="112"/>
      <c r="ER9" s="1" t="str" cm="1">
        <f t="array" ref="ER9">+_xlfn.IFS(EW9&lt;&gt;0,EW$2,FB9&lt;&gt;0,FB$2,FG9&lt;&gt;0,FG$2,FL9&lt;&gt;0,FL$2,TRUE,"")</f>
        <v/>
      </c>
      <c r="ES9" s="1" t="str" cm="1">
        <f t="array" ref="ES9">+_xlfn.IFS(EX9&lt;&gt;0,EX$2,FC9&lt;&gt;0,FC$2,FH9&lt;&gt;0,FH$2,FM9&lt;&gt;0,FM$2,TRUE,"")</f>
        <v/>
      </c>
      <c r="ET9" s="1" t="str" cm="1">
        <f t="array" ref="ET9">+_xlfn.IFS(EY9&lt;&gt;0,EY$2,FD9&lt;&gt;0,FD$2,FI9&lt;&gt;0,FI$2,FN9&lt;&gt;0,FN$2,TRUE,"")</f>
        <v>Upsell</v>
      </c>
      <c r="EV9" s="111"/>
      <c r="EW9" s="110">
        <f t="shared" si="88"/>
        <v>0</v>
      </c>
      <c r="EX9" s="110">
        <f t="shared" si="89"/>
        <v>0</v>
      </c>
      <c r="EY9" s="110">
        <f t="shared" si="90"/>
        <v>0</v>
      </c>
      <c r="FA9" s="111"/>
      <c r="FB9" s="110">
        <f t="shared" si="91"/>
        <v>0</v>
      </c>
      <c r="FC9" s="110">
        <f t="shared" si="92"/>
        <v>0</v>
      </c>
      <c r="FD9" s="110">
        <f t="shared" si="93"/>
        <v>0</v>
      </c>
      <c r="FF9" s="111"/>
      <c r="FG9" s="110">
        <f t="shared" si="94"/>
        <v>0</v>
      </c>
      <c r="FH9" s="110">
        <f t="shared" si="95"/>
        <v>0</v>
      </c>
      <c r="FI9" s="110">
        <f t="shared" si="96"/>
        <v>0</v>
      </c>
      <c r="FK9" s="111"/>
      <c r="FL9" s="110">
        <f t="shared" si="97"/>
        <v>0</v>
      </c>
      <c r="FM9" s="110">
        <f t="shared" si="98"/>
        <v>0</v>
      </c>
      <c r="FN9" s="110">
        <f t="shared" si="99"/>
        <v>9.7699999999999818</v>
      </c>
      <c r="FP9" s="111"/>
      <c r="FQ9" s="110">
        <f t="shared" si="100"/>
        <v>0</v>
      </c>
      <c r="FR9" s="110">
        <f t="shared" si="101"/>
        <v>0</v>
      </c>
      <c r="FS9" s="110">
        <f t="shared" si="102"/>
        <v>0</v>
      </c>
      <c r="FU9" s="111">
        <f t="shared" si="103"/>
        <v>0</v>
      </c>
      <c r="FV9" s="110">
        <f t="shared" si="104"/>
        <v>0</v>
      </c>
      <c r="FW9" s="110">
        <f t="shared" si="105"/>
        <v>0</v>
      </c>
      <c r="FX9" s="110">
        <f t="shared" si="106"/>
        <v>0</v>
      </c>
      <c r="FY9" s="110">
        <f t="shared" si="107"/>
        <v>0</v>
      </c>
      <c r="FZ9" s="110">
        <f t="shared" si="108"/>
        <v>-99</v>
      </c>
      <c r="GA9" s="110">
        <f t="shared" si="109"/>
        <v>0</v>
      </c>
      <c r="GB9" s="110">
        <f t="shared" si="110"/>
        <v>0</v>
      </c>
      <c r="GC9" s="110">
        <f t="shared" si="111"/>
        <v>0</v>
      </c>
      <c r="GD9" s="110">
        <f t="shared" si="112"/>
        <v>0</v>
      </c>
      <c r="GE9" s="110">
        <f t="shared" si="113"/>
        <v>0</v>
      </c>
      <c r="GF9" s="110">
        <f t="shared" si="114"/>
        <v>0</v>
      </c>
      <c r="GG9" s="110">
        <f t="shared" si="115"/>
        <v>0</v>
      </c>
      <c r="GH9" s="110">
        <f t="shared" si="116"/>
        <v>0</v>
      </c>
      <c r="GI9" s="110">
        <f t="shared" si="117"/>
        <v>0</v>
      </c>
      <c r="GJ9" s="110">
        <f t="shared" si="118"/>
        <v>0</v>
      </c>
      <c r="GK9" s="110">
        <f t="shared" si="119"/>
        <v>0</v>
      </c>
      <c r="GL9" s="110">
        <f t="shared" si="120"/>
        <v>9.7699999999999818</v>
      </c>
      <c r="GM9" s="110">
        <f t="shared" si="121"/>
        <v>9.7699999999999818</v>
      </c>
      <c r="GN9" s="110">
        <f t="shared" si="122"/>
        <v>9.7699999999999818</v>
      </c>
      <c r="GO9" s="110">
        <f t="shared" si="123"/>
        <v>9.7699999999999818</v>
      </c>
      <c r="GP9" s="110">
        <f t="shared" si="124"/>
        <v>9.7699999999999818</v>
      </c>
      <c r="GQ9" s="110">
        <f t="shared" si="125"/>
        <v>9.7699999999999818</v>
      </c>
      <c r="GR9" s="110">
        <f t="shared" si="126"/>
        <v>9.7699999999999818</v>
      </c>
      <c r="GS9" s="110">
        <f t="shared" si="127"/>
        <v>9.7699999999999818</v>
      </c>
      <c r="GU9" s="109" cm="1">
        <f t="array" ref="GU9">+IFERROR(INDEX($C$3:$AM$3,MATCH(TRUE,INDEX($C9:$AM9&lt;&gt;0,0),0)),"N/A")</f>
        <v>44926</v>
      </c>
      <c r="GV9" s="112" t="str" cm="1">
        <f t="array" ref="GV9">+_xlfn.IFS(HV9&lt;&gt;0,HV$2,IV9&lt;&gt;0,IV$2,JV9&lt;&gt;0,JV$2,KV9&lt;&gt;0,KV$2,TRUE,"")</f>
        <v/>
      </c>
      <c r="GW9" s="1" t="str" cm="1">
        <f t="array" ref="GW9">+_xlfn.IFS(HW9&lt;&gt;0,HW$2,IW9&lt;&gt;0,IW$2,JW9&lt;&gt;0,JW$2,KW9&lt;&gt;0,KW$2,TRUE,"")</f>
        <v/>
      </c>
      <c r="GX9" s="1" t="str" cm="1">
        <f t="array" ref="GX9">+_xlfn.IFS(HX9&lt;&gt;0,HX$2,IX9&lt;&gt;0,IX$2,JX9&lt;&gt;0,JX$2,KX9&lt;&gt;0,KX$2,TRUE,"")</f>
        <v/>
      </c>
      <c r="GY9" s="1" t="str" cm="1">
        <f t="array" ref="GY9">+_xlfn.IFS(HY9&lt;&gt;0,HY$2,IY9&lt;&gt;0,IY$2,JY9&lt;&gt;0,JY$2,KY9&lt;&gt;0,KY$2,TRUE,"")</f>
        <v/>
      </c>
      <c r="GZ9" s="1" t="str" cm="1">
        <f t="array" ref="GZ9">+_xlfn.IFS(HZ9&lt;&gt;0,HZ$2,IZ9&lt;&gt;0,IZ$2,JZ9&lt;&gt;0,JZ$2,KZ9&lt;&gt;0,KZ$2,TRUE,"")</f>
        <v/>
      </c>
      <c r="HA9" s="1" t="str" cm="1">
        <f t="array" ref="HA9">+_xlfn.IFS(IA9&lt;&gt;0,IA$2,JA9&lt;&gt;0,JA$2,KA9&lt;&gt;0,KA$2,LA9&lt;&gt;0,LA$2,TRUE,"")</f>
        <v>Downsell</v>
      </c>
      <c r="HB9" s="1" t="str" cm="1">
        <f t="array" ref="HB9">+_xlfn.IFS(IB9&lt;&gt;0,IB$2,JB9&lt;&gt;0,JB$2,KB9&lt;&gt;0,KB$2,LB9&lt;&gt;0,LB$2,TRUE,"")</f>
        <v/>
      </c>
      <c r="HC9" s="1" t="str" cm="1">
        <f t="array" ref="HC9">+_xlfn.IFS(IC9&lt;&gt;0,IC$2,JC9&lt;&gt;0,JC$2,KC9&lt;&gt;0,KC$2,LC9&lt;&gt;0,LC$2,TRUE,"")</f>
        <v/>
      </c>
      <c r="HD9" s="1" t="str" cm="1">
        <f t="array" ref="HD9">+_xlfn.IFS(ID9&lt;&gt;0,ID$2,JD9&lt;&gt;0,JD$2,KD9&lt;&gt;0,KD$2,LD9&lt;&gt;0,LD$2,TRUE,"")</f>
        <v/>
      </c>
      <c r="HE9" s="1" t="str" cm="1">
        <f t="array" ref="HE9">+_xlfn.IFS(IE9&lt;&gt;0,IE$2,JE9&lt;&gt;0,JE$2,KE9&lt;&gt;0,KE$2,LE9&lt;&gt;0,LE$2,TRUE,"")</f>
        <v/>
      </c>
      <c r="HF9" s="1" t="str" cm="1">
        <f t="array" ref="HF9">+_xlfn.IFS(IF9&lt;&gt;0,IF$2,JF9&lt;&gt;0,JF$2,KF9&lt;&gt;0,KF$2,LF9&lt;&gt;0,LF$2,TRUE,"")</f>
        <v/>
      </c>
      <c r="HG9" s="1" t="str" cm="1">
        <f t="array" ref="HG9">+_xlfn.IFS(IG9&lt;&gt;0,IG$2,JG9&lt;&gt;0,JG$2,KG9&lt;&gt;0,KG$2,LG9&lt;&gt;0,LG$2,TRUE,"")</f>
        <v/>
      </c>
      <c r="HH9" s="1" t="str" cm="1">
        <f t="array" ref="HH9">+_xlfn.IFS(IH9&lt;&gt;0,IH$2,JH9&lt;&gt;0,JH$2,KH9&lt;&gt;0,KH$2,LH9&lt;&gt;0,LH$2,TRUE,"")</f>
        <v/>
      </c>
      <c r="HI9" s="1" t="str" cm="1">
        <f t="array" ref="HI9">+_xlfn.IFS(II9&lt;&gt;0,II$2,JI9&lt;&gt;0,JI$2,KI9&lt;&gt;0,KI$2,LI9&lt;&gt;0,LI$2,TRUE,"")</f>
        <v/>
      </c>
      <c r="HJ9" s="1" t="str" cm="1">
        <f t="array" ref="HJ9">+_xlfn.IFS(IJ9&lt;&gt;0,IJ$2,JJ9&lt;&gt;0,JJ$2,KJ9&lt;&gt;0,KJ$2,LJ9&lt;&gt;0,LJ$2,TRUE,"")</f>
        <v/>
      </c>
      <c r="HK9" s="1" t="str" cm="1">
        <f t="array" ref="HK9">+_xlfn.IFS(IK9&lt;&gt;0,IK$2,JK9&lt;&gt;0,JK$2,KK9&lt;&gt;0,KK$2,LK9&lt;&gt;0,LK$2,TRUE,"")</f>
        <v/>
      </c>
      <c r="HL9" s="1" t="str" cm="1">
        <f t="array" ref="HL9">+_xlfn.IFS(IL9&lt;&gt;0,IL$2,JL9&lt;&gt;0,JL$2,KL9&lt;&gt;0,KL$2,LL9&lt;&gt;0,LL$2,TRUE,"")</f>
        <v/>
      </c>
      <c r="HM9" s="1" t="str" cm="1">
        <f t="array" ref="HM9">+_xlfn.IFS(IM9&lt;&gt;0,IM$2,JM9&lt;&gt;0,JM$2,KM9&lt;&gt;0,KM$2,LM9&lt;&gt;0,LM$2,TRUE,"")</f>
        <v>Upsell</v>
      </c>
      <c r="HN9" s="1" t="str" cm="1">
        <f t="array" ref="HN9">+_xlfn.IFS(IN9&lt;&gt;0,IN$2,JN9&lt;&gt;0,JN$2,KN9&lt;&gt;0,KN$2,LN9&lt;&gt;0,LN$2,TRUE,"")</f>
        <v>Upsell</v>
      </c>
      <c r="HO9" s="1" t="str" cm="1">
        <f t="array" ref="HO9">+_xlfn.IFS(IO9&lt;&gt;0,IO$2,JO9&lt;&gt;0,JO$2,KO9&lt;&gt;0,KO$2,LO9&lt;&gt;0,LO$2,TRUE,"")</f>
        <v>Upsell</v>
      </c>
      <c r="HP9" s="1" t="str" cm="1">
        <f t="array" ref="HP9">+_xlfn.IFS(IP9&lt;&gt;0,IP$2,JP9&lt;&gt;0,JP$2,KP9&lt;&gt;0,KP$2,LP9&lt;&gt;0,LP$2,TRUE,"")</f>
        <v>Upsell</v>
      </c>
      <c r="HQ9" s="1" t="str" cm="1">
        <f t="array" ref="HQ9">+_xlfn.IFS(IQ9&lt;&gt;0,IQ$2,JQ9&lt;&gt;0,JQ$2,KQ9&lt;&gt;0,KQ$2,LQ9&lt;&gt;0,LQ$2,TRUE,"")</f>
        <v>Upsell</v>
      </c>
      <c r="HR9" s="1" t="str" cm="1">
        <f t="array" ref="HR9">+_xlfn.IFS(IR9&lt;&gt;0,IR$2,JR9&lt;&gt;0,JR$2,KR9&lt;&gt;0,KR$2,LR9&lt;&gt;0,LR$2,TRUE,"")</f>
        <v>Upsell</v>
      </c>
      <c r="HS9" s="1" t="str" cm="1">
        <f t="array" ref="HS9">+_xlfn.IFS(IS9&lt;&gt;0,IS$2,JS9&lt;&gt;0,JS$2,KS9&lt;&gt;0,KS$2,LS9&lt;&gt;0,LS$2,TRUE,"")</f>
        <v>Upsell</v>
      </c>
      <c r="HT9" s="1" t="str" cm="1">
        <f t="array" ref="HT9">+_xlfn.IFS(IT9&lt;&gt;0,IT$2,JT9&lt;&gt;0,JT$2,KT9&lt;&gt;0,KT$2,LT9&lt;&gt;0,LT$2,TRUE,"")</f>
        <v>Upsell</v>
      </c>
      <c r="HV9" s="111">
        <f t="shared" si="128"/>
        <v>0</v>
      </c>
      <c r="HW9" s="110">
        <f t="shared" si="129"/>
        <v>0</v>
      </c>
      <c r="HX9" s="110">
        <f t="shared" si="130"/>
        <v>0</v>
      </c>
      <c r="HY9" s="110">
        <f t="shared" si="131"/>
        <v>0</v>
      </c>
      <c r="HZ9" s="110">
        <f t="shared" si="132"/>
        <v>0</v>
      </c>
      <c r="IA9" s="110">
        <f t="shared" si="133"/>
        <v>0</v>
      </c>
      <c r="IB9" s="110">
        <f t="shared" si="134"/>
        <v>0</v>
      </c>
      <c r="IC9" s="110">
        <f t="shared" si="135"/>
        <v>0</v>
      </c>
      <c r="ID9" s="110">
        <f t="shared" si="136"/>
        <v>0</v>
      </c>
      <c r="IE9" s="110">
        <f t="shared" si="137"/>
        <v>0</v>
      </c>
      <c r="IF9" s="110">
        <f t="shared" si="138"/>
        <v>0</v>
      </c>
      <c r="IG9" s="110">
        <f t="shared" si="139"/>
        <v>0</v>
      </c>
      <c r="IH9" s="110">
        <f t="shared" si="140"/>
        <v>0</v>
      </c>
      <c r="II9" s="110">
        <f t="shared" si="141"/>
        <v>0</v>
      </c>
      <c r="IJ9" s="110">
        <f t="shared" si="142"/>
        <v>0</v>
      </c>
      <c r="IK9" s="110">
        <f t="shared" si="143"/>
        <v>0</v>
      </c>
      <c r="IL9" s="110">
        <f t="shared" si="144"/>
        <v>0</v>
      </c>
      <c r="IM9" s="110">
        <f t="shared" si="145"/>
        <v>0</v>
      </c>
      <c r="IN9" s="110">
        <f t="shared" si="146"/>
        <v>0</v>
      </c>
      <c r="IO9" s="110">
        <f t="shared" si="147"/>
        <v>0</v>
      </c>
      <c r="IP9" s="110">
        <f t="shared" si="148"/>
        <v>0</v>
      </c>
      <c r="IQ9" s="110">
        <f t="shared" si="149"/>
        <v>0</v>
      </c>
      <c r="IR9" s="110">
        <f t="shared" si="150"/>
        <v>0</v>
      </c>
      <c r="IS9" s="110">
        <f t="shared" si="151"/>
        <v>0</v>
      </c>
      <c r="IT9" s="110">
        <f t="shared" si="152"/>
        <v>0</v>
      </c>
      <c r="IV9" s="111">
        <f t="shared" si="153"/>
        <v>0</v>
      </c>
      <c r="IW9" s="110">
        <f t="shared" si="154"/>
        <v>0</v>
      </c>
      <c r="IX9" s="110">
        <f t="shared" si="155"/>
        <v>0</v>
      </c>
      <c r="IY9" s="110">
        <f t="shared" si="156"/>
        <v>0</v>
      </c>
      <c r="IZ9" s="110">
        <f t="shared" si="157"/>
        <v>0</v>
      </c>
      <c r="JA9" s="110">
        <f t="shared" si="158"/>
        <v>0</v>
      </c>
      <c r="JB9" s="110">
        <f t="shared" si="159"/>
        <v>0</v>
      </c>
      <c r="JC9" s="110">
        <f t="shared" si="160"/>
        <v>0</v>
      </c>
      <c r="JD9" s="110">
        <f t="shared" si="161"/>
        <v>0</v>
      </c>
      <c r="JE9" s="110">
        <f t="shared" si="162"/>
        <v>0</v>
      </c>
      <c r="JF9" s="110">
        <f t="shared" si="163"/>
        <v>0</v>
      </c>
      <c r="JG9" s="110">
        <f t="shared" si="164"/>
        <v>0</v>
      </c>
      <c r="JH9" s="110">
        <f t="shared" si="165"/>
        <v>0</v>
      </c>
      <c r="JI9" s="110">
        <f t="shared" si="166"/>
        <v>0</v>
      </c>
      <c r="JJ9" s="110">
        <f t="shared" si="167"/>
        <v>0</v>
      </c>
      <c r="JK9" s="110">
        <f t="shared" si="168"/>
        <v>0</v>
      </c>
      <c r="JL9" s="110">
        <f t="shared" si="169"/>
        <v>0</v>
      </c>
      <c r="JM9" s="110">
        <f t="shared" si="170"/>
        <v>0</v>
      </c>
      <c r="JN9" s="110">
        <f t="shared" si="171"/>
        <v>0</v>
      </c>
      <c r="JO9" s="110">
        <f t="shared" si="172"/>
        <v>0</v>
      </c>
      <c r="JP9" s="110">
        <f t="shared" si="173"/>
        <v>0</v>
      </c>
      <c r="JQ9" s="110">
        <f t="shared" si="174"/>
        <v>0</v>
      </c>
      <c r="JR9" s="110">
        <f t="shared" si="175"/>
        <v>0</v>
      </c>
      <c r="JS9" s="110">
        <f t="shared" si="176"/>
        <v>0</v>
      </c>
      <c r="JT9" s="110">
        <f t="shared" si="177"/>
        <v>0</v>
      </c>
      <c r="JV9" s="111">
        <f t="shared" si="178"/>
        <v>0</v>
      </c>
      <c r="JW9" s="110">
        <f t="shared" si="179"/>
        <v>0</v>
      </c>
      <c r="JX9" s="110">
        <f t="shared" si="180"/>
        <v>0</v>
      </c>
      <c r="JY9" s="110">
        <f t="shared" si="181"/>
        <v>0</v>
      </c>
      <c r="JZ9" s="110">
        <f t="shared" si="182"/>
        <v>0</v>
      </c>
      <c r="KA9" s="110">
        <f t="shared" si="183"/>
        <v>-99</v>
      </c>
      <c r="KB9" s="110">
        <f t="shared" si="184"/>
        <v>0</v>
      </c>
      <c r="KC9" s="110">
        <f t="shared" si="185"/>
        <v>0</v>
      </c>
      <c r="KD9" s="110">
        <f t="shared" si="186"/>
        <v>0</v>
      </c>
      <c r="KE9" s="110">
        <f t="shared" si="187"/>
        <v>0</v>
      </c>
      <c r="KF9" s="110">
        <f t="shared" si="188"/>
        <v>0</v>
      </c>
      <c r="KG9" s="110">
        <f t="shared" si="189"/>
        <v>0</v>
      </c>
      <c r="KH9" s="110">
        <f t="shared" si="190"/>
        <v>0</v>
      </c>
      <c r="KI9" s="110">
        <f t="shared" si="191"/>
        <v>0</v>
      </c>
      <c r="KJ9" s="110">
        <f t="shared" si="192"/>
        <v>0</v>
      </c>
      <c r="KK9" s="110">
        <f t="shared" si="193"/>
        <v>0</v>
      </c>
      <c r="KL9" s="110">
        <f t="shared" si="194"/>
        <v>0</v>
      </c>
      <c r="KM9" s="110">
        <f t="shared" si="195"/>
        <v>0</v>
      </c>
      <c r="KN9" s="110">
        <f t="shared" si="196"/>
        <v>0</v>
      </c>
      <c r="KO9" s="110">
        <f t="shared" si="197"/>
        <v>0</v>
      </c>
      <c r="KP9" s="110">
        <f t="shared" si="198"/>
        <v>0</v>
      </c>
      <c r="KQ9" s="110">
        <f t="shared" si="199"/>
        <v>0</v>
      </c>
      <c r="KR9" s="110">
        <f t="shared" si="200"/>
        <v>0</v>
      </c>
      <c r="KS9" s="110">
        <f t="shared" si="201"/>
        <v>0</v>
      </c>
      <c r="KT9" s="110">
        <f t="shared" si="202"/>
        <v>0</v>
      </c>
      <c r="KV9" s="111">
        <f t="shared" si="203"/>
        <v>0</v>
      </c>
      <c r="KW9" s="110">
        <f t="shared" si="204"/>
        <v>0</v>
      </c>
      <c r="KX9" s="110">
        <f t="shared" si="205"/>
        <v>0</v>
      </c>
      <c r="KY9" s="110">
        <f t="shared" si="206"/>
        <v>0</v>
      </c>
      <c r="KZ9" s="110">
        <f t="shared" si="207"/>
        <v>0</v>
      </c>
      <c r="LA9" s="110">
        <f t="shared" si="208"/>
        <v>0</v>
      </c>
      <c r="LB9" s="110">
        <f t="shared" si="209"/>
        <v>0</v>
      </c>
      <c r="LC9" s="110">
        <f t="shared" si="210"/>
        <v>0</v>
      </c>
      <c r="LD9" s="110">
        <f t="shared" si="211"/>
        <v>0</v>
      </c>
      <c r="LE9" s="110">
        <f t="shared" si="212"/>
        <v>0</v>
      </c>
      <c r="LF9" s="110">
        <f t="shared" si="213"/>
        <v>0</v>
      </c>
      <c r="LG9" s="110">
        <f t="shared" si="214"/>
        <v>0</v>
      </c>
      <c r="LH9" s="110">
        <f t="shared" si="215"/>
        <v>0</v>
      </c>
      <c r="LI9" s="110">
        <f t="shared" si="216"/>
        <v>0</v>
      </c>
      <c r="LJ9" s="110">
        <f t="shared" si="217"/>
        <v>0</v>
      </c>
      <c r="LK9" s="110">
        <f t="shared" si="218"/>
        <v>0</v>
      </c>
      <c r="LL9" s="110">
        <f t="shared" si="219"/>
        <v>0</v>
      </c>
      <c r="LM9" s="110">
        <f t="shared" si="220"/>
        <v>9.7699999999999818</v>
      </c>
      <c r="LN9" s="110">
        <f t="shared" si="221"/>
        <v>9.7699999999999818</v>
      </c>
      <c r="LO9" s="110">
        <f t="shared" si="222"/>
        <v>9.7699999999999818</v>
      </c>
      <c r="LP9" s="110">
        <f t="shared" si="223"/>
        <v>9.7699999999999818</v>
      </c>
      <c r="LQ9" s="110">
        <f t="shared" si="224"/>
        <v>9.7699999999999818</v>
      </c>
      <c r="LR9" s="110">
        <f t="shared" si="225"/>
        <v>9.7699999999999818</v>
      </c>
      <c r="LS9" s="110">
        <f t="shared" si="226"/>
        <v>9.7699999999999818</v>
      </c>
      <c r="LT9" s="110">
        <f t="shared" si="227"/>
        <v>9.7699999999999818</v>
      </c>
      <c r="LV9" s="111"/>
      <c r="LW9" s="110">
        <f t="shared" si="228"/>
        <v>0</v>
      </c>
      <c r="LX9" s="110">
        <f t="shared" si="229"/>
        <v>0</v>
      </c>
      <c r="LY9" s="110">
        <f t="shared" si="230"/>
        <v>0</v>
      </c>
      <c r="LZ9" s="110">
        <f t="shared" si="231"/>
        <v>0</v>
      </c>
      <c r="MA9" s="110">
        <f t="shared" si="232"/>
        <v>0</v>
      </c>
      <c r="MB9" s="110">
        <f t="shared" si="233"/>
        <v>0</v>
      </c>
      <c r="MC9" s="110">
        <f t="shared" si="234"/>
        <v>0</v>
      </c>
      <c r="MD9" s="110">
        <f t="shared" si="235"/>
        <v>0</v>
      </c>
      <c r="ME9" s="110">
        <f t="shared" si="236"/>
        <v>0</v>
      </c>
      <c r="MF9" s="110">
        <f t="shared" si="237"/>
        <v>0</v>
      </c>
      <c r="MG9" s="110">
        <f t="shared" si="238"/>
        <v>0</v>
      </c>
      <c r="MH9" s="110">
        <f t="shared" si="239"/>
        <v>0</v>
      </c>
      <c r="MI9" s="110">
        <f t="shared" si="240"/>
        <v>0</v>
      </c>
      <c r="MJ9" s="110">
        <f t="shared" si="241"/>
        <v>0</v>
      </c>
      <c r="MK9" s="110">
        <f t="shared" si="242"/>
        <v>0</v>
      </c>
      <c r="ML9" s="110">
        <f t="shared" si="243"/>
        <v>0</v>
      </c>
      <c r="MM9" s="110">
        <f t="shared" si="244"/>
        <v>0</v>
      </c>
      <c r="MN9" s="110">
        <f t="shared" si="245"/>
        <v>0</v>
      </c>
      <c r="MO9" s="110">
        <f t="shared" si="246"/>
        <v>0</v>
      </c>
      <c r="MP9" s="110">
        <f t="shared" si="247"/>
        <v>0</v>
      </c>
      <c r="MQ9" s="110">
        <f t="shared" si="248"/>
        <v>0</v>
      </c>
      <c r="MR9" s="110">
        <f t="shared" si="249"/>
        <v>0</v>
      </c>
      <c r="MS9" s="110">
        <f t="shared" si="250"/>
        <v>0</v>
      </c>
      <c r="MT9" s="110">
        <f t="shared" si="251"/>
        <v>0</v>
      </c>
      <c r="MV9" s="114">
        <v>288.77</v>
      </c>
      <c r="MW9" s="114">
        <v>0</v>
      </c>
      <c r="MX9" s="114">
        <v>9.7699999999999818</v>
      </c>
      <c r="MY9" s="114">
        <v>0</v>
      </c>
      <c r="MZ9" s="114">
        <v>0</v>
      </c>
      <c r="NB9" s="115">
        <v>29</v>
      </c>
      <c r="NC9" s="115" t="str">
        <v>N/A</v>
      </c>
      <c r="ND9" s="115">
        <v>22</v>
      </c>
      <c r="NE9" s="115" t="str">
        <v>N/A</v>
      </c>
      <c r="NF9" s="115" t="str">
        <v>N/A</v>
      </c>
    </row>
    <row r="10" spans="2:376" ht="13.5" x14ac:dyDescent="0.25">
      <c r="B10" s="8">
        <f t="shared" si="252"/>
        <v>7</v>
      </c>
      <c r="C10" s="7">
        <v>170.05</v>
      </c>
      <c r="D10" s="7">
        <v>170.05</v>
      </c>
      <c r="E10" s="7">
        <v>170.05</v>
      </c>
      <c r="F10" s="7">
        <v>170.05</v>
      </c>
      <c r="G10" s="7">
        <v>170.05</v>
      </c>
      <c r="H10" s="7">
        <v>170.05</v>
      </c>
      <c r="I10" s="7">
        <v>170.05</v>
      </c>
      <c r="J10" s="7">
        <v>170.05</v>
      </c>
      <c r="K10" s="7">
        <v>170.05</v>
      </c>
      <c r="L10" s="7">
        <v>170.05</v>
      </c>
      <c r="M10" s="7">
        <v>179</v>
      </c>
      <c r="N10" s="7">
        <v>179</v>
      </c>
      <c r="O10" s="7">
        <v>179</v>
      </c>
      <c r="P10" s="7">
        <v>179</v>
      </c>
      <c r="Q10" s="7">
        <v>179</v>
      </c>
      <c r="R10" s="7">
        <v>179</v>
      </c>
      <c r="S10" s="7">
        <v>179</v>
      </c>
      <c r="T10" s="7">
        <v>179</v>
      </c>
      <c r="U10" s="7">
        <v>179</v>
      </c>
      <c r="V10" s="7">
        <v>179</v>
      </c>
      <c r="W10" s="7">
        <v>179</v>
      </c>
      <c r="X10" s="7">
        <v>179</v>
      </c>
      <c r="Y10" s="7">
        <v>179</v>
      </c>
      <c r="Z10" s="7">
        <v>179</v>
      </c>
      <c r="AA10" s="7">
        <v>179</v>
      </c>
      <c r="AB10" s="7">
        <v>179</v>
      </c>
      <c r="AC10" s="7">
        <v>179</v>
      </c>
      <c r="AD10" s="7">
        <v>179</v>
      </c>
      <c r="AE10" s="7">
        <v>179</v>
      </c>
      <c r="AF10" s="7">
        <v>185.27</v>
      </c>
      <c r="AG10" s="7">
        <v>185.27</v>
      </c>
      <c r="AH10" s="7">
        <v>185.27</v>
      </c>
      <c r="AI10" s="7">
        <v>185.27</v>
      </c>
      <c r="AJ10" s="7">
        <v>185.27</v>
      </c>
      <c r="AK10" s="7">
        <v>185.27</v>
      </c>
      <c r="AL10" s="7">
        <v>185.27</v>
      </c>
      <c r="AM10" s="7">
        <v>185.27</v>
      </c>
      <c r="AN10" s="27">
        <v>7</v>
      </c>
      <c r="AP10" s="111"/>
      <c r="AQ10" s="110">
        <f t="shared" si="13"/>
        <v>0</v>
      </c>
      <c r="AR10" s="110">
        <f t="shared" si="14"/>
        <v>0</v>
      </c>
      <c r="AS10" s="110">
        <f t="shared" si="15"/>
        <v>0</v>
      </c>
      <c r="AT10" s="110">
        <f t="shared" si="16"/>
        <v>8.9499999999999886</v>
      </c>
      <c r="AU10" s="110">
        <f t="shared" si="17"/>
        <v>0</v>
      </c>
      <c r="AV10" s="110">
        <f t="shared" si="18"/>
        <v>0</v>
      </c>
      <c r="AW10" s="110">
        <f t="shared" si="19"/>
        <v>0</v>
      </c>
      <c r="AX10" s="110">
        <f t="shared" si="20"/>
        <v>0</v>
      </c>
      <c r="AY10" s="110">
        <f t="shared" si="21"/>
        <v>0</v>
      </c>
      <c r="AZ10" s="110">
        <f t="shared" si="22"/>
        <v>6.2700000000000102</v>
      </c>
      <c r="BA10" s="110">
        <f t="shared" si="23"/>
        <v>0</v>
      </c>
      <c r="BB10" s="110">
        <f t="shared" si="24"/>
        <v>0</v>
      </c>
      <c r="BD10" s="109" cm="1">
        <f t="array" ref="BD10">+IFERROR(INDEX($C$3:$AM$3,MATCH(TRUE,INDEX($C10:$AM10&lt;&gt;0,0),0)),"N/A")</f>
        <v>44926</v>
      </c>
      <c r="BE10" s="112"/>
      <c r="BF10" s="1" t="str" cm="1">
        <f t="array" ref="BF10">+_xlfn.IFS(BT10&lt;&gt;0,BT$2,CH10&lt;&gt;0,CH$2,CV10&lt;&gt;0,CV$2,DJ10&lt;&gt;0,DJ$2,TRUE,"")</f>
        <v/>
      </c>
      <c r="BG10" s="1" t="str" cm="1">
        <f t="array" ref="BG10">+_xlfn.IFS(BU10&lt;&gt;0,BU$2,CI10&lt;&gt;0,CI$2,CW10&lt;&gt;0,CW$2,DK10&lt;&gt;0,DK$2,TRUE,"")</f>
        <v/>
      </c>
      <c r="BH10" s="1" t="str" cm="1">
        <f t="array" ref="BH10">+_xlfn.IFS(BV10&lt;&gt;0,BV$2,CJ10&lt;&gt;0,CJ$2,CX10&lt;&gt;0,CX$2,DL10&lt;&gt;0,DL$2,TRUE,"")</f>
        <v/>
      </c>
      <c r="BI10" s="1" t="str" cm="1">
        <f t="array" ref="BI10">+_xlfn.IFS(BW10&lt;&gt;0,BW$2,CK10&lt;&gt;0,CK$2,CY10&lt;&gt;0,CY$2,DM10&lt;&gt;0,DM$2,TRUE,"")</f>
        <v>Upsell</v>
      </c>
      <c r="BJ10" s="1" t="str" cm="1">
        <f t="array" ref="BJ10">+_xlfn.IFS(BX10&lt;&gt;0,BX$2,CL10&lt;&gt;0,CL$2,CZ10&lt;&gt;0,CZ$2,DN10&lt;&gt;0,DN$2,TRUE,"")</f>
        <v/>
      </c>
      <c r="BK10" s="1" t="str" cm="1">
        <f t="array" ref="BK10">+_xlfn.IFS(BY10&lt;&gt;0,BY$2,CM10&lt;&gt;0,CM$2,DA10&lt;&gt;0,DA$2,DO10&lt;&gt;0,DO$2,TRUE,"")</f>
        <v/>
      </c>
      <c r="BL10" s="1" t="str" cm="1">
        <f t="array" ref="BL10">+_xlfn.IFS(BZ10&lt;&gt;0,BZ$2,CN10&lt;&gt;0,CN$2,DB10&lt;&gt;0,DB$2,DP10&lt;&gt;0,DP$2,TRUE,"")</f>
        <v/>
      </c>
      <c r="BM10" s="1" t="str" cm="1">
        <f t="array" ref="BM10">+_xlfn.IFS(CA10&lt;&gt;0,CA$2,CO10&lt;&gt;0,CO$2,DC10&lt;&gt;0,DC$2,DQ10&lt;&gt;0,DQ$2,TRUE,"")</f>
        <v/>
      </c>
      <c r="BN10" s="1" t="str" cm="1">
        <f t="array" ref="BN10">+_xlfn.IFS(CB10&lt;&gt;0,CB$2,CP10&lt;&gt;0,CP$2,DD10&lt;&gt;0,DD$2,DR10&lt;&gt;0,DR$2,TRUE,"")</f>
        <v/>
      </c>
      <c r="BO10" s="1" t="str" cm="1">
        <f t="array" ref="BO10">+_xlfn.IFS(CC10&lt;&gt;0,CC$2,CQ10&lt;&gt;0,CQ$2,DE10&lt;&gt;0,DE$2,DS10&lt;&gt;0,DS$2,TRUE,"")</f>
        <v>Upsell</v>
      </c>
      <c r="BP10" s="1" t="str" cm="1">
        <f t="array" ref="BP10">+_xlfn.IFS(CD10&lt;&gt;0,CD$2,CR10&lt;&gt;0,CR$2,DF10&lt;&gt;0,DF$2,DT10&lt;&gt;0,DT$2,TRUE,"")</f>
        <v/>
      </c>
      <c r="BQ10" s="1" t="str" cm="1">
        <f t="array" ref="BQ10">+_xlfn.IFS(CE10&lt;&gt;0,CE$2,CS10&lt;&gt;0,CS$2,DG10&lt;&gt;0,DG$2,DU10&lt;&gt;0,DU$2,TRUE,"")</f>
        <v/>
      </c>
      <c r="BS10" s="111"/>
      <c r="BT10" s="110">
        <f t="shared" si="25"/>
        <v>0</v>
      </c>
      <c r="BU10" s="110">
        <f t="shared" si="26"/>
        <v>0</v>
      </c>
      <c r="BV10" s="110">
        <f t="shared" si="27"/>
        <v>0</v>
      </c>
      <c r="BW10" s="110">
        <f t="shared" si="28"/>
        <v>0</v>
      </c>
      <c r="BX10" s="110">
        <f t="shared" si="29"/>
        <v>0</v>
      </c>
      <c r="BY10" s="110">
        <f t="shared" si="30"/>
        <v>0</v>
      </c>
      <c r="BZ10" s="110">
        <f t="shared" si="31"/>
        <v>0</v>
      </c>
      <c r="CA10" s="110">
        <f t="shared" si="32"/>
        <v>0</v>
      </c>
      <c r="CB10" s="110">
        <f t="shared" si="33"/>
        <v>0</v>
      </c>
      <c r="CC10" s="110">
        <f t="shared" si="34"/>
        <v>0</v>
      </c>
      <c r="CD10" s="110">
        <f t="shared" si="35"/>
        <v>0</v>
      </c>
      <c r="CE10" s="110">
        <f t="shared" si="36"/>
        <v>0</v>
      </c>
      <c r="CG10" s="111"/>
      <c r="CH10" s="110">
        <f t="shared" si="37"/>
        <v>0</v>
      </c>
      <c r="CI10" s="110">
        <f t="shared" si="38"/>
        <v>0</v>
      </c>
      <c r="CJ10" s="110">
        <f t="shared" si="39"/>
        <v>0</v>
      </c>
      <c r="CK10" s="110">
        <f t="shared" si="40"/>
        <v>0</v>
      </c>
      <c r="CL10" s="110">
        <f t="shared" si="41"/>
        <v>0</v>
      </c>
      <c r="CM10" s="110">
        <f t="shared" si="42"/>
        <v>0</v>
      </c>
      <c r="CN10" s="110">
        <f t="shared" si="43"/>
        <v>0</v>
      </c>
      <c r="CO10" s="110">
        <f t="shared" si="44"/>
        <v>0</v>
      </c>
      <c r="CP10" s="110">
        <f t="shared" si="45"/>
        <v>0</v>
      </c>
      <c r="CQ10" s="110">
        <f t="shared" si="46"/>
        <v>0</v>
      </c>
      <c r="CR10" s="110">
        <f t="shared" si="47"/>
        <v>0</v>
      </c>
      <c r="CS10" s="110">
        <f t="shared" si="48"/>
        <v>0</v>
      </c>
      <c r="CU10" s="111"/>
      <c r="CV10" s="110">
        <f t="shared" si="49"/>
        <v>0</v>
      </c>
      <c r="CW10" s="110">
        <f t="shared" si="50"/>
        <v>0</v>
      </c>
      <c r="CX10" s="110">
        <f t="shared" si="51"/>
        <v>0</v>
      </c>
      <c r="CY10" s="110">
        <f t="shared" si="52"/>
        <v>0</v>
      </c>
      <c r="CZ10" s="110">
        <f t="shared" si="53"/>
        <v>0</v>
      </c>
      <c r="DA10" s="110">
        <f t="shared" si="54"/>
        <v>0</v>
      </c>
      <c r="DB10" s="110">
        <f t="shared" si="55"/>
        <v>0</v>
      </c>
      <c r="DC10" s="110">
        <f t="shared" si="56"/>
        <v>0</v>
      </c>
      <c r="DD10" s="110">
        <f t="shared" si="57"/>
        <v>0</v>
      </c>
      <c r="DE10" s="110">
        <f t="shared" si="58"/>
        <v>0</v>
      </c>
      <c r="DF10" s="110">
        <f t="shared" si="59"/>
        <v>0</v>
      </c>
      <c r="DG10" s="110">
        <f t="shared" si="60"/>
        <v>0</v>
      </c>
      <c r="DI10" s="111"/>
      <c r="DJ10" s="110">
        <f t="shared" si="61"/>
        <v>0</v>
      </c>
      <c r="DK10" s="110">
        <f t="shared" si="62"/>
        <v>0</v>
      </c>
      <c r="DL10" s="110">
        <f t="shared" si="63"/>
        <v>0</v>
      </c>
      <c r="DM10" s="110">
        <f t="shared" si="64"/>
        <v>8.9499999999999886</v>
      </c>
      <c r="DN10" s="110">
        <f t="shared" si="65"/>
        <v>0</v>
      </c>
      <c r="DO10" s="110">
        <f t="shared" si="66"/>
        <v>0</v>
      </c>
      <c r="DP10" s="110">
        <f t="shared" si="67"/>
        <v>0</v>
      </c>
      <c r="DQ10" s="110">
        <f t="shared" si="68"/>
        <v>0</v>
      </c>
      <c r="DR10" s="110">
        <f t="shared" si="69"/>
        <v>0</v>
      </c>
      <c r="DS10" s="110">
        <f t="shared" si="70"/>
        <v>6.2700000000000102</v>
      </c>
      <c r="DT10" s="110">
        <f t="shared" si="71"/>
        <v>0</v>
      </c>
      <c r="DU10" s="110">
        <f t="shared" si="72"/>
        <v>0</v>
      </c>
      <c r="DW10" s="111"/>
      <c r="DX10" s="110">
        <f t="shared" si="73"/>
        <v>0</v>
      </c>
      <c r="DY10" s="110">
        <f t="shared" si="74"/>
        <v>0</v>
      </c>
      <c r="DZ10" s="110">
        <f t="shared" si="75"/>
        <v>0</v>
      </c>
      <c r="EA10" s="110">
        <f t="shared" si="76"/>
        <v>0</v>
      </c>
      <c r="EB10" s="110">
        <f t="shared" si="77"/>
        <v>0</v>
      </c>
      <c r="EC10" s="110">
        <f t="shared" si="78"/>
        <v>0</v>
      </c>
      <c r="ED10" s="110">
        <f t="shared" si="79"/>
        <v>0</v>
      </c>
      <c r="EE10" s="110">
        <f t="shared" si="80"/>
        <v>0</v>
      </c>
      <c r="EF10" s="110">
        <f t="shared" si="81"/>
        <v>0</v>
      </c>
      <c r="EG10" s="110">
        <f t="shared" si="82"/>
        <v>0</v>
      </c>
      <c r="EH10" s="110">
        <f t="shared" si="83"/>
        <v>0</v>
      </c>
      <c r="EI10" s="110">
        <f t="shared" si="84"/>
        <v>0</v>
      </c>
      <c r="EK10" s="111"/>
      <c r="EL10" s="110">
        <f t="shared" si="85"/>
        <v>8.9499999999999886</v>
      </c>
      <c r="EM10" s="110">
        <f t="shared" si="86"/>
        <v>0</v>
      </c>
      <c r="EN10" s="110">
        <f t="shared" si="87"/>
        <v>6.2700000000000102</v>
      </c>
      <c r="EP10" s="109" cm="1">
        <f t="array" ref="EP10">+IFERROR(INDEX($C$3:$AM$3,MATCH(TRUE,INDEX($C10:$AM10&lt;&gt;0,0),0)),"N/A")</f>
        <v>44926</v>
      </c>
      <c r="EQ10" s="112"/>
      <c r="ER10" s="1" t="str" cm="1">
        <f t="array" ref="ER10">+_xlfn.IFS(EW10&lt;&gt;0,EW$2,FB10&lt;&gt;0,FB$2,FG10&lt;&gt;0,FG$2,FL10&lt;&gt;0,FL$2,TRUE,"")</f>
        <v>Upsell</v>
      </c>
      <c r="ES10" s="1" t="str" cm="1">
        <f t="array" ref="ES10">+_xlfn.IFS(EX10&lt;&gt;0,EX$2,FC10&lt;&gt;0,FC$2,FH10&lt;&gt;0,FH$2,FM10&lt;&gt;0,FM$2,TRUE,"")</f>
        <v/>
      </c>
      <c r="ET10" s="1" t="str" cm="1">
        <f t="array" ref="ET10">+_xlfn.IFS(EY10&lt;&gt;0,EY$2,FD10&lt;&gt;0,FD$2,FI10&lt;&gt;0,FI$2,FN10&lt;&gt;0,FN$2,TRUE,"")</f>
        <v>Upsell</v>
      </c>
      <c r="EV10" s="111"/>
      <c r="EW10" s="110">
        <f t="shared" si="88"/>
        <v>0</v>
      </c>
      <c r="EX10" s="110">
        <f t="shared" si="89"/>
        <v>0</v>
      </c>
      <c r="EY10" s="110">
        <f t="shared" si="90"/>
        <v>0</v>
      </c>
      <c r="FA10" s="111"/>
      <c r="FB10" s="110">
        <f t="shared" si="91"/>
        <v>0</v>
      </c>
      <c r="FC10" s="110">
        <f t="shared" si="92"/>
        <v>0</v>
      </c>
      <c r="FD10" s="110">
        <f t="shared" si="93"/>
        <v>0</v>
      </c>
      <c r="FF10" s="111"/>
      <c r="FG10" s="110">
        <f t="shared" si="94"/>
        <v>0</v>
      </c>
      <c r="FH10" s="110">
        <f t="shared" si="95"/>
        <v>0</v>
      </c>
      <c r="FI10" s="110">
        <f t="shared" si="96"/>
        <v>0</v>
      </c>
      <c r="FK10" s="111"/>
      <c r="FL10" s="110">
        <f t="shared" si="97"/>
        <v>8.9499999999999886</v>
      </c>
      <c r="FM10" s="110">
        <f t="shared" si="98"/>
        <v>0</v>
      </c>
      <c r="FN10" s="110">
        <f t="shared" si="99"/>
        <v>6.2700000000000102</v>
      </c>
      <c r="FP10" s="111"/>
      <c r="FQ10" s="110">
        <f t="shared" si="100"/>
        <v>0</v>
      </c>
      <c r="FR10" s="110">
        <f t="shared" si="101"/>
        <v>0</v>
      </c>
      <c r="FS10" s="110">
        <f t="shared" si="102"/>
        <v>0</v>
      </c>
      <c r="FU10" s="111">
        <f t="shared" si="103"/>
        <v>8.9499999999999886</v>
      </c>
      <c r="FV10" s="110">
        <f t="shared" si="104"/>
        <v>8.9499999999999886</v>
      </c>
      <c r="FW10" s="110">
        <f t="shared" si="105"/>
        <v>8.9499999999999886</v>
      </c>
      <c r="FX10" s="110">
        <f t="shared" si="106"/>
        <v>8.9499999999999886</v>
      </c>
      <c r="FY10" s="110">
        <f t="shared" si="107"/>
        <v>8.9499999999999886</v>
      </c>
      <c r="FZ10" s="110">
        <f t="shared" si="108"/>
        <v>8.9499999999999886</v>
      </c>
      <c r="GA10" s="110">
        <f t="shared" si="109"/>
        <v>8.9499999999999886</v>
      </c>
      <c r="GB10" s="110">
        <f t="shared" si="110"/>
        <v>8.9499999999999886</v>
      </c>
      <c r="GC10" s="110">
        <f t="shared" si="111"/>
        <v>8.9499999999999886</v>
      </c>
      <c r="GD10" s="110">
        <f t="shared" si="112"/>
        <v>8.9499999999999886</v>
      </c>
      <c r="GE10" s="110">
        <f t="shared" si="113"/>
        <v>0</v>
      </c>
      <c r="GF10" s="110">
        <f t="shared" si="114"/>
        <v>0</v>
      </c>
      <c r="GG10" s="110">
        <f t="shared" si="115"/>
        <v>0</v>
      </c>
      <c r="GH10" s="110">
        <f t="shared" si="116"/>
        <v>0</v>
      </c>
      <c r="GI10" s="110">
        <f t="shared" si="117"/>
        <v>0</v>
      </c>
      <c r="GJ10" s="110">
        <f t="shared" si="118"/>
        <v>0</v>
      </c>
      <c r="GK10" s="110">
        <f t="shared" si="119"/>
        <v>0</v>
      </c>
      <c r="GL10" s="110">
        <f t="shared" si="120"/>
        <v>6.2700000000000102</v>
      </c>
      <c r="GM10" s="110">
        <f t="shared" si="121"/>
        <v>6.2700000000000102</v>
      </c>
      <c r="GN10" s="110">
        <f t="shared" si="122"/>
        <v>6.2700000000000102</v>
      </c>
      <c r="GO10" s="110">
        <f t="shared" si="123"/>
        <v>6.2700000000000102</v>
      </c>
      <c r="GP10" s="110">
        <f t="shared" si="124"/>
        <v>6.2700000000000102</v>
      </c>
      <c r="GQ10" s="110">
        <f t="shared" si="125"/>
        <v>6.2700000000000102</v>
      </c>
      <c r="GR10" s="110">
        <f t="shared" si="126"/>
        <v>6.2700000000000102</v>
      </c>
      <c r="GS10" s="110">
        <f t="shared" si="127"/>
        <v>6.2700000000000102</v>
      </c>
      <c r="GU10" s="109" cm="1">
        <f t="array" ref="GU10">+IFERROR(INDEX($C$3:$AM$3,MATCH(TRUE,INDEX($C10:$AM10&lt;&gt;0,0),0)),"N/A")</f>
        <v>44926</v>
      </c>
      <c r="GV10" s="112" t="str" cm="1">
        <f t="array" ref="GV10">+_xlfn.IFS(HV10&lt;&gt;0,HV$2,IV10&lt;&gt;0,IV$2,JV10&lt;&gt;0,JV$2,KV10&lt;&gt;0,KV$2,TRUE,"")</f>
        <v>Upsell</v>
      </c>
      <c r="GW10" s="1" t="str" cm="1">
        <f t="array" ref="GW10">+_xlfn.IFS(HW10&lt;&gt;0,HW$2,IW10&lt;&gt;0,IW$2,JW10&lt;&gt;0,JW$2,KW10&lt;&gt;0,KW$2,TRUE,"")</f>
        <v>Upsell</v>
      </c>
      <c r="GX10" s="1" t="str" cm="1">
        <f t="array" ref="GX10">+_xlfn.IFS(HX10&lt;&gt;0,HX$2,IX10&lt;&gt;0,IX$2,JX10&lt;&gt;0,JX$2,KX10&lt;&gt;0,KX$2,TRUE,"")</f>
        <v>Upsell</v>
      </c>
      <c r="GY10" s="1" t="str" cm="1">
        <f t="array" ref="GY10">+_xlfn.IFS(HY10&lt;&gt;0,HY$2,IY10&lt;&gt;0,IY$2,JY10&lt;&gt;0,JY$2,KY10&lt;&gt;0,KY$2,TRUE,"")</f>
        <v>Upsell</v>
      </c>
      <c r="GZ10" s="1" t="str" cm="1">
        <f t="array" ref="GZ10">+_xlfn.IFS(HZ10&lt;&gt;0,HZ$2,IZ10&lt;&gt;0,IZ$2,JZ10&lt;&gt;0,JZ$2,KZ10&lt;&gt;0,KZ$2,TRUE,"")</f>
        <v>Upsell</v>
      </c>
      <c r="HA10" s="1" t="str" cm="1">
        <f t="array" ref="HA10">+_xlfn.IFS(IA10&lt;&gt;0,IA$2,JA10&lt;&gt;0,JA$2,KA10&lt;&gt;0,KA$2,LA10&lt;&gt;0,LA$2,TRUE,"")</f>
        <v>Upsell</v>
      </c>
      <c r="HB10" s="1" t="str" cm="1">
        <f t="array" ref="HB10">+_xlfn.IFS(IB10&lt;&gt;0,IB$2,JB10&lt;&gt;0,JB$2,KB10&lt;&gt;0,KB$2,LB10&lt;&gt;0,LB$2,TRUE,"")</f>
        <v>Upsell</v>
      </c>
      <c r="HC10" s="1" t="str" cm="1">
        <f t="array" ref="HC10">+_xlfn.IFS(IC10&lt;&gt;0,IC$2,JC10&lt;&gt;0,JC$2,KC10&lt;&gt;0,KC$2,LC10&lt;&gt;0,LC$2,TRUE,"")</f>
        <v>Upsell</v>
      </c>
      <c r="HD10" s="1" t="str" cm="1">
        <f t="array" ref="HD10">+_xlfn.IFS(ID10&lt;&gt;0,ID$2,JD10&lt;&gt;0,JD$2,KD10&lt;&gt;0,KD$2,LD10&lt;&gt;0,LD$2,TRUE,"")</f>
        <v>Upsell</v>
      </c>
      <c r="HE10" s="1" t="str" cm="1">
        <f t="array" ref="HE10">+_xlfn.IFS(IE10&lt;&gt;0,IE$2,JE10&lt;&gt;0,JE$2,KE10&lt;&gt;0,KE$2,LE10&lt;&gt;0,LE$2,TRUE,"")</f>
        <v>Upsell</v>
      </c>
      <c r="HF10" s="1" t="str" cm="1">
        <f t="array" ref="HF10">+_xlfn.IFS(IF10&lt;&gt;0,IF$2,JF10&lt;&gt;0,JF$2,KF10&lt;&gt;0,KF$2,LF10&lt;&gt;0,LF$2,TRUE,"")</f>
        <v/>
      </c>
      <c r="HG10" s="1" t="str" cm="1">
        <f t="array" ref="HG10">+_xlfn.IFS(IG10&lt;&gt;0,IG$2,JG10&lt;&gt;0,JG$2,KG10&lt;&gt;0,KG$2,LG10&lt;&gt;0,LG$2,TRUE,"")</f>
        <v/>
      </c>
      <c r="HH10" s="1" t="str" cm="1">
        <f t="array" ref="HH10">+_xlfn.IFS(IH10&lt;&gt;0,IH$2,JH10&lt;&gt;0,JH$2,KH10&lt;&gt;0,KH$2,LH10&lt;&gt;0,LH$2,TRUE,"")</f>
        <v/>
      </c>
      <c r="HI10" s="1" t="str" cm="1">
        <f t="array" ref="HI10">+_xlfn.IFS(II10&lt;&gt;0,II$2,JI10&lt;&gt;0,JI$2,KI10&lt;&gt;0,KI$2,LI10&lt;&gt;0,LI$2,TRUE,"")</f>
        <v/>
      </c>
      <c r="HJ10" s="1" t="str" cm="1">
        <f t="array" ref="HJ10">+_xlfn.IFS(IJ10&lt;&gt;0,IJ$2,JJ10&lt;&gt;0,JJ$2,KJ10&lt;&gt;0,KJ$2,LJ10&lt;&gt;0,LJ$2,TRUE,"")</f>
        <v/>
      </c>
      <c r="HK10" s="1" t="str" cm="1">
        <f t="array" ref="HK10">+_xlfn.IFS(IK10&lt;&gt;0,IK$2,JK10&lt;&gt;0,JK$2,KK10&lt;&gt;0,KK$2,LK10&lt;&gt;0,LK$2,TRUE,"")</f>
        <v/>
      </c>
      <c r="HL10" s="1" t="str" cm="1">
        <f t="array" ref="HL10">+_xlfn.IFS(IL10&lt;&gt;0,IL$2,JL10&lt;&gt;0,JL$2,KL10&lt;&gt;0,KL$2,LL10&lt;&gt;0,LL$2,TRUE,"")</f>
        <v/>
      </c>
      <c r="HM10" s="1" t="str" cm="1">
        <f t="array" ref="HM10">+_xlfn.IFS(IM10&lt;&gt;0,IM$2,JM10&lt;&gt;0,JM$2,KM10&lt;&gt;0,KM$2,LM10&lt;&gt;0,LM$2,TRUE,"")</f>
        <v>Upsell</v>
      </c>
      <c r="HN10" s="1" t="str" cm="1">
        <f t="array" ref="HN10">+_xlfn.IFS(IN10&lt;&gt;0,IN$2,JN10&lt;&gt;0,JN$2,KN10&lt;&gt;0,KN$2,LN10&lt;&gt;0,LN$2,TRUE,"")</f>
        <v>Upsell</v>
      </c>
      <c r="HO10" s="1" t="str" cm="1">
        <f t="array" ref="HO10">+_xlfn.IFS(IO10&lt;&gt;0,IO$2,JO10&lt;&gt;0,JO$2,KO10&lt;&gt;0,KO$2,LO10&lt;&gt;0,LO$2,TRUE,"")</f>
        <v>Upsell</v>
      </c>
      <c r="HP10" s="1" t="str" cm="1">
        <f t="array" ref="HP10">+_xlfn.IFS(IP10&lt;&gt;0,IP$2,JP10&lt;&gt;0,JP$2,KP10&lt;&gt;0,KP$2,LP10&lt;&gt;0,LP$2,TRUE,"")</f>
        <v>Upsell</v>
      </c>
      <c r="HQ10" s="1" t="str" cm="1">
        <f t="array" ref="HQ10">+_xlfn.IFS(IQ10&lt;&gt;0,IQ$2,JQ10&lt;&gt;0,JQ$2,KQ10&lt;&gt;0,KQ$2,LQ10&lt;&gt;0,LQ$2,TRUE,"")</f>
        <v>Upsell</v>
      </c>
      <c r="HR10" s="1" t="str" cm="1">
        <f t="array" ref="HR10">+_xlfn.IFS(IR10&lt;&gt;0,IR$2,JR10&lt;&gt;0,JR$2,KR10&lt;&gt;0,KR$2,LR10&lt;&gt;0,LR$2,TRUE,"")</f>
        <v>Upsell</v>
      </c>
      <c r="HS10" s="1" t="str" cm="1">
        <f t="array" ref="HS10">+_xlfn.IFS(IS10&lt;&gt;0,IS$2,JS10&lt;&gt;0,JS$2,KS10&lt;&gt;0,KS$2,LS10&lt;&gt;0,LS$2,TRUE,"")</f>
        <v>Upsell</v>
      </c>
      <c r="HT10" s="1" t="str" cm="1">
        <f t="array" ref="HT10">+_xlfn.IFS(IT10&lt;&gt;0,IT$2,JT10&lt;&gt;0,JT$2,KT10&lt;&gt;0,KT$2,LT10&lt;&gt;0,LT$2,TRUE,"")</f>
        <v>Upsell</v>
      </c>
      <c r="HV10" s="111">
        <f t="shared" si="128"/>
        <v>0</v>
      </c>
      <c r="HW10" s="110">
        <f t="shared" si="129"/>
        <v>0</v>
      </c>
      <c r="HX10" s="110">
        <f t="shared" si="130"/>
        <v>0</v>
      </c>
      <c r="HY10" s="110">
        <f t="shared" si="131"/>
        <v>0</v>
      </c>
      <c r="HZ10" s="110">
        <f t="shared" si="132"/>
        <v>0</v>
      </c>
      <c r="IA10" s="110">
        <f t="shared" si="133"/>
        <v>0</v>
      </c>
      <c r="IB10" s="110">
        <f t="shared" si="134"/>
        <v>0</v>
      </c>
      <c r="IC10" s="110">
        <f t="shared" si="135"/>
        <v>0</v>
      </c>
      <c r="ID10" s="110">
        <f t="shared" si="136"/>
        <v>0</v>
      </c>
      <c r="IE10" s="110">
        <f t="shared" si="137"/>
        <v>0</v>
      </c>
      <c r="IF10" s="110">
        <f t="shared" si="138"/>
        <v>0</v>
      </c>
      <c r="IG10" s="110">
        <f t="shared" si="139"/>
        <v>0</v>
      </c>
      <c r="IH10" s="110">
        <f t="shared" si="140"/>
        <v>0</v>
      </c>
      <c r="II10" s="110">
        <f t="shared" si="141"/>
        <v>0</v>
      </c>
      <c r="IJ10" s="110">
        <f t="shared" si="142"/>
        <v>0</v>
      </c>
      <c r="IK10" s="110">
        <f t="shared" si="143"/>
        <v>0</v>
      </c>
      <c r="IL10" s="110">
        <f t="shared" si="144"/>
        <v>0</v>
      </c>
      <c r="IM10" s="110">
        <f t="shared" si="145"/>
        <v>0</v>
      </c>
      <c r="IN10" s="110">
        <f t="shared" si="146"/>
        <v>0</v>
      </c>
      <c r="IO10" s="110">
        <f t="shared" si="147"/>
        <v>0</v>
      </c>
      <c r="IP10" s="110">
        <f t="shared" si="148"/>
        <v>0</v>
      </c>
      <c r="IQ10" s="110">
        <f t="shared" si="149"/>
        <v>0</v>
      </c>
      <c r="IR10" s="110">
        <f t="shared" si="150"/>
        <v>0</v>
      </c>
      <c r="IS10" s="110">
        <f t="shared" si="151"/>
        <v>0</v>
      </c>
      <c r="IT10" s="110">
        <f t="shared" si="152"/>
        <v>0</v>
      </c>
      <c r="IV10" s="111">
        <f t="shared" si="153"/>
        <v>0</v>
      </c>
      <c r="IW10" s="110">
        <f t="shared" si="154"/>
        <v>0</v>
      </c>
      <c r="IX10" s="110">
        <f t="shared" si="155"/>
        <v>0</v>
      </c>
      <c r="IY10" s="110">
        <f t="shared" si="156"/>
        <v>0</v>
      </c>
      <c r="IZ10" s="110">
        <f t="shared" si="157"/>
        <v>0</v>
      </c>
      <c r="JA10" s="110">
        <f t="shared" si="158"/>
        <v>0</v>
      </c>
      <c r="JB10" s="110">
        <f t="shared" si="159"/>
        <v>0</v>
      </c>
      <c r="JC10" s="110">
        <f t="shared" si="160"/>
        <v>0</v>
      </c>
      <c r="JD10" s="110">
        <f t="shared" si="161"/>
        <v>0</v>
      </c>
      <c r="JE10" s="110">
        <f t="shared" si="162"/>
        <v>0</v>
      </c>
      <c r="JF10" s="110">
        <f t="shared" si="163"/>
        <v>0</v>
      </c>
      <c r="JG10" s="110">
        <f t="shared" si="164"/>
        <v>0</v>
      </c>
      <c r="JH10" s="110">
        <f t="shared" si="165"/>
        <v>0</v>
      </c>
      <c r="JI10" s="110">
        <f t="shared" si="166"/>
        <v>0</v>
      </c>
      <c r="JJ10" s="110">
        <f t="shared" si="167"/>
        <v>0</v>
      </c>
      <c r="JK10" s="110">
        <f t="shared" si="168"/>
        <v>0</v>
      </c>
      <c r="JL10" s="110">
        <f t="shared" si="169"/>
        <v>0</v>
      </c>
      <c r="JM10" s="110">
        <f t="shared" si="170"/>
        <v>0</v>
      </c>
      <c r="JN10" s="110">
        <f t="shared" si="171"/>
        <v>0</v>
      </c>
      <c r="JO10" s="110">
        <f t="shared" si="172"/>
        <v>0</v>
      </c>
      <c r="JP10" s="110">
        <f t="shared" si="173"/>
        <v>0</v>
      </c>
      <c r="JQ10" s="110">
        <f t="shared" si="174"/>
        <v>0</v>
      </c>
      <c r="JR10" s="110">
        <f t="shared" si="175"/>
        <v>0</v>
      </c>
      <c r="JS10" s="110">
        <f t="shared" si="176"/>
        <v>0</v>
      </c>
      <c r="JT10" s="110">
        <f t="shared" si="177"/>
        <v>0</v>
      </c>
      <c r="JV10" s="111">
        <f t="shared" si="178"/>
        <v>0</v>
      </c>
      <c r="JW10" s="110">
        <f t="shared" si="179"/>
        <v>0</v>
      </c>
      <c r="JX10" s="110">
        <f t="shared" si="180"/>
        <v>0</v>
      </c>
      <c r="JY10" s="110">
        <f t="shared" si="181"/>
        <v>0</v>
      </c>
      <c r="JZ10" s="110">
        <f t="shared" si="182"/>
        <v>0</v>
      </c>
      <c r="KA10" s="110">
        <f t="shared" si="183"/>
        <v>0</v>
      </c>
      <c r="KB10" s="110">
        <f t="shared" si="184"/>
        <v>0</v>
      </c>
      <c r="KC10" s="110">
        <f t="shared" si="185"/>
        <v>0</v>
      </c>
      <c r="KD10" s="110">
        <f t="shared" si="186"/>
        <v>0</v>
      </c>
      <c r="KE10" s="110">
        <f t="shared" si="187"/>
        <v>0</v>
      </c>
      <c r="KF10" s="110">
        <f t="shared" si="188"/>
        <v>0</v>
      </c>
      <c r="KG10" s="110">
        <f t="shared" si="189"/>
        <v>0</v>
      </c>
      <c r="KH10" s="110">
        <f t="shared" si="190"/>
        <v>0</v>
      </c>
      <c r="KI10" s="110">
        <f t="shared" si="191"/>
        <v>0</v>
      </c>
      <c r="KJ10" s="110">
        <f t="shared" si="192"/>
        <v>0</v>
      </c>
      <c r="KK10" s="110">
        <f t="shared" si="193"/>
        <v>0</v>
      </c>
      <c r="KL10" s="110">
        <f t="shared" si="194"/>
        <v>0</v>
      </c>
      <c r="KM10" s="110">
        <f t="shared" si="195"/>
        <v>0</v>
      </c>
      <c r="KN10" s="110">
        <f t="shared" si="196"/>
        <v>0</v>
      </c>
      <c r="KO10" s="110">
        <f t="shared" si="197"/>
        <v>0</v>
      </c>
      <c r="KP10" s="110">
        <f t="shared" si="198"/>
        <v>0</v>
      </c>
      <c r="KQ10" s="110">
        <f t="shared" si="199"/>
        <v>0</v>
      </c>
      <c r="KR10" s="110">
        <f t="shared" si="200"/>
        <v>0</v>
      </c>
      <c r="KS10" s="110">
        <f t="shared" si="201"/>
        <v>0</v>
      </c>
      <c r="KT10" s="110">
        <f t="shared" si="202"/>
        <v>0</v>
      </c>
      <c r="KV10" s="111">
        <f t="shared" si="203"/>
        <v>8.9499999999999886</v>
      </c>
      <c r="KW10" s="110">
        <f t="shared" si="204"/>
        <v>8.9499999999999886</v>
      </c>
      <c r="KX10" s="110">
        <f t="shared" si="205"/>
        <v>8.9499999999999886</v>
      </c>
      <c r="KY10" s="110">
        <f t="shared" si="206"/>
        <v>8.9499999999999886</v>
      </c>
      <c r="KZ10" s="110">
        <f t="shared" si="207"/>
        <v>8.9499999999999886</v>
      </c>
      <c r="LA10" s="110">
        <f t="shared" si="208"/>
        <v>8.9499999999999886</v>
      </c>
      <c r="LB10" s="110">
        <f t="shared" si="209"/>
        <v>8.9499999999999886</v>
      </c>
      <c r="LC10" s="110">
        <f t="shared" si="210"/>
        <v>8.9499999999999886</v>
      </c>
      <c r="LD10" s="110">
        <f t="shared" si="211"/>
        <v>8.9499999999999886</v>
      </c>
      <c r="LE10" s="110">
        <f t="shared" si="212"/>
        <v>8.9499999999999886</v>
      </c>
      <c r="LF10" s="110">
        <f t="shared" si="213"/>
        <v>0</v>
      </c>
      <c r="LG10" s="110">
        <f t="shared" si="214"/>
        <v>0</v>
      </c>
      <c r="LH10" s="110">
        <f t="shared" si="215"/>
        <v>0</v>
      </c>
      <c r="LI10" s="110">
        <f t="shared" si="216"/>
        <v>0</v>
      </c>
      <c r="LJ10" s="110">
        <f t="shared" si="217"/>
        <v>0</v>
      </c>
      <c r="LK10" s="110">
        <f t="shared" si="218"/>
        <v>0</v>
      </c>
      <c r="LL10" s="110">
        <f t="shared" si="219"/>
        <v>0</v>
      </c>
      <c r="LM10" s="110">
        <f t="shared" si="220"/>
        <v>6.2700000000000102</v>
      </c>
      <c r="LN10" s="110">
        <f t="shared" si="221"/>
        <v>6.2700000000000102</v>
      </c>
      <c r="LO10" s="110">
        <f t="shared" si="222"/>
        <v>6.2700000000000102</v>
      </c>
      <c r="LP10" s="110">
        <f t="shared" si="223"/>
        <v>6.2700000000000102</v>
      </c>
      <c r="LQ10" s="110">
        <f t="shared" si="224"/>
        <v>6.2700000000000102</v>
      </c>
      <c r="LR10" s="110">
        <f t="shared" si="225"/>
        <v>6.2700000000000102</v>
      </c>
      <c r="LS10" s="110">
        <f t="shared" si="226"/>
        <v>6.2700000000000102</v>
      </c>
      <c r="LT10" s="110">
        <f t="shared" si="227"/>
        <v>6.2700000000000102</v>
      </c>
      <c r="LV10" s="111"/>
      <c r="LW10" s="110">
        <f t="shared" si="228"/>
        <v>0</v>
      </c>
      <c r="LX10" s="110">
        <f t="shared" si="229"/>
        <v>0</v>
      </c>
      <c r="LY10" s="110">
        <f t="shared" si="230"/>
        <v>0</v>
      </c>
      <c r="LZ10" s="110">
        <f t="shared" si="231"/>
        <v>0</v>
      </c>
      <c r="MA10" s="110">
        <f t="shared" si="232"/>
        <v>0</v>
      </c>
      <c r="MB10" s="110">
        <f t="shared" si="233"/>
        <v>0</v>
      </c>
      <c r="MC10" s="110">
        <f t="shared" si="234"/>
        <v>0</v>
      </c>
      <c r="MD10" s="110">
        <f t="shared" si="235"/>
        <v>0</v>
      </c>
      <c r="ME10" s="110">
        <f t="shared" si="236"/>
        <v>0</v>
      </c>
      <c r="MF10" s="110">
        <f t="shared" si="237"/>
        <v>0</v>
      </c>
      <c r="MG10" s="110">
        <f t="shared" si="238"/>
        <v>0</v>
      </c>
      <c r="MH10" s="110">
        <f t="shared" si="239"/>
        <v>0</v>
      </c>
      <c r="MI10" s="110">
        <f t="shared" si="240"/>
        <v>0</v>
      </c>
      <c r="MJ10" s="110">
        <f t="shared" si="241"/>
        <v>0</v>
      </c>
      <c r="MK10" s="110">
        <f t="shared" si="242"/>
        <v>0</v>
      </c>
      <c r="ML10" s="110">
        <f t="shared" si="243"/>
        <v>0</v>
      </c>
      <c r="MM10" s="110">
        <f t="shared" si="244"/>
        <v>0</v>
      </c>
      <c r="MN10" s="110">
        <f t="shared" si="245"/>
        <v>0</v>
      </c>
      <c r="MO10" s="110">
        <f t="shared" si="246"/>
        <v>0</v>
      </c>
      <c r="MP10" s="110">
        <f t="shared" si="247"/>
        <v>0</v>
      </c>
      <c r="MQ10" s="110">
        <f t="shared" si="248"/>
        <v>0</v>
      </c>
      <c r="MR10" s="110">
        <f t="shared" si="249"/>
        <v>0</v>
      </c>
      <c r="MS10" s="110">
        <f t="shared" si="250"/>
        <v>0</v>
      </c>
      <c r="MT10" s="110">
        <f t="shared" si="251"/>
        <v>0</v>
      </c>
      <c r="MV10" s="114">
        <v>185.27</v>
      </c>
      <c r="MW10" s="114">
        <v>0</v>
      </c>
      <c r="MX10" s="114">
        <v>6.2700000000000102</v>
      </c>
      <c r="MY10" s="114">
        <v>0</v>
      </c>
      <c r="MZ10" s="114">
        <v>0</v>
      </c>
      <c r="NB10" s="115">
        <v>56</v>
      </c>
      <c r="NC10" s="115" t="str">
        <v>N/A</v>
      </c>
      <c r="ND10" s="115">
        <v>38</v>
      </c>
      <c r="NE10" s="115" t="str">
        <v>N/A</v>
      </c>
      <c r="NF10" s="115" t="str">
        <v>N/A</v>
      </c>
    </row>
    <row r="11" spans="2:376" ht="13.5" x14ac:dyDescent="0.25">
      <c r="B11" s="8">
        <f t="shared" si="252"/>
        <v>8</v>
      </c>
      <c r="C11" s="7">
        <v>99</v>
      </c>
      <c r="D11" s="7">
        <v>99</v>
      </c>
      <c r="E11" s="7">
        <v>99</v>
      </c>
      <c r="F11" s="7">
        <v>99</v>
      </c>
      <c r="G11" s="7">
        <v>99</v>
      </c>
      <c r="H11" s="7">
        <v>99</v>
      </c>
      <c r="I11" s="7">
        <v>99</v>
      </c>
      <c r="J11" s="7">
        <v>99</v>
      </c>
      <c r="K11" s="7">
        <v>99</v>
      </c>
      <c r="L11" s="7">
        <v>99</v>
      </c>
      <c r="M11" s="7">
        <v>99</v>
      </c>
      <c r="N11" s="7">
        <v>99</v>
      </c>
      <c r="O11" s="7">
        <v>99</v>
      </c>
      <c r="P11" s="7">
        <v>28.71</v>
      </c>
      <c r="Q11" s="7">
        <v>0</v>
      </c>
      <c r="R11" s="7">
        <v>0</v>
      </c>
      <c r="S11" s="7">
        <v>0</v>
      </c>
      <c r="T11" s="7">
        <v>0</v>
      </c>
      <c r="U11" s="7">
        <v>0</v>
      </c>
      <c r="V11" s="7">
        <v>0</v>
      </c>
      <c r="W11" s="7">
        <v>0</v>
      </c>
      <c r="X11" s="7">
        <v>0</v>
      </c>
      <c r="Y11" s="7">
        <v>0</v>
      </c>
      <c r="Z11" s="7">
        <v>0</v>
      </c>
      <c r="AA11" s="7">
        <v>0</v>
      </c>
      <c r="AB11" s="7">
        <v>0</v>
      </c>
      <c r="AC11" s="7">
        <v>0</v>
      </c>
      <c r="AD11" s="7">
        <v>0</v>
      </c>
      <c r="AE11" s="7">
        <v>0</v>
      </c>
      <c r="AF11" s="7">
        <v>0</v>
      </c>
      <c r="AG11" s="7">
        <v>0</v>
      </c>
      <c r="AH11" s="7">
        <v>0</v>
      </c>
      <c r="AI11" s="7">
        <v>0</v>
      </c>
      <c r="AJ11" s="7">
        <v>0</v>
      </c>
      <c r="AK11" s="7">
        <v>0</v>
      </c>
      <c r="AL11" s="7">
        <v>0</v>
      </c>
      <c r="AM11" s="7">
        <v>0</v>
      </c>
      <c r="AN11" s="27">
        <v>8</v>
      </c>
      <c r="AP11" s="111"/>
      <c r="AQ11" s="110">
        <f t="shared" si="13"/>
        <v>0</v>
      </c>
      <c r="AR11" s="110">
        <f t="shared" si="14"/>
        <v>0</v>
      </c>
      <c r="AS11" s="110">
        <f t="shared" si="15"/>
        <v>0</v>
      </c>
      <c r="AT11" s="110">
        <f t="shared" si="16"/>
        <v>0</v>
      </c>
      <c r="AU11" s="110">
        <f t="shared" si="17"/>
        <v>-99</v>
      </c>
      <c r="AV11" s="110">
        <f t="shared" si="18"/>
        <v>0</v>
      </c>
      <c r="AW11" s="110">
        <f t="shared" si="19"/>
        <v>0</v>
      </c>
      <c r="AX11" s="110">
        <f t="shared" si="20"/>
        <v>0</v>
      </c>
      <c r="AY11" s="110">
        <f t="shared" si="21"/>
        <v>0</v>
      </c>
      <c r="AZ11" s="110">
        <f t="shared" si="22"/>
        <v>0</v>
      </c>
      <c r="BA11" s="110">
        <f t="shared" si="23"/>
        <v>0</v>
      </c>
      <c r="BB11" s="110">
        <f t="shared" si="24"/>
        <v>0</v>
      </c>
      <c r="BD11" s="109" cm="1">
        <f t="array" ref="BD11">+IFERROR(INDEX($C$3:$AM$3,MATCH(TRUE,INDEX($C11:$AM11&lt;&gt;0,0),0)),"N/A")</f>
        <v>44926</v>
      </c>
      <c r="BE11" s="112"/>
      <c r="BF11" s="1" t="str" cm="1">
        <f t="array" ref="BF11">+_xlfn.IFS(BT11&lt;&gt;0,BT$2,CH11&lt;&gt;0,CH$2,CV11&lt;&gt;0,CV$2,DJ11&lt;&gt;0,DJ$2,TRUE,"")</f>
        <v/>
      </c>
      <c r="BG11" s="1" t="str" cm="1">
        <f t="array" ref="BG11">+_xlfn.IFS(BU11&lt;&gt;0,BU$2,CI11&lt;&gt;0,CI$2,CW11&lt;&gt;0,CW$2,DK11&lt;&gt;0,DK$2,TRUE,"")</f>
        <v/>
      </c>
      <c r="BH11" s="1" t="str" cm="1">
        <f t="array" ref="BH11">+_xlfn.IFS(BV11&lt;&gt;0,BV$2,CJ11&lt;&gt;0,CJ$2,CX11&lt;&gt;0,CX$2,DL11&lt;&gt;0,DL$2,TRUE,"")</f>
        <v/>
      </c>
      <c r="BI11" s="1" t="str" cm="1">
        <f t="array" ref="BI11">+_xlfn.IFS(BW11&lt;&gt;0,BW$2,CK11&lt;&gt;0,CK$2,CY11&lt;&gt;0,CY$2,DM11&lt;&gt;0,DM$2,TRUE,"")</f>
        <v/>
      </c>
      <c r="BJ11" s="1" t="str" cm="1">
        <f t="array" ref="BJ11">+_xlfn.IFS(BX11&lt;&gt;0,BX$2,CL11&lt;&gt;0,CL$2,CZ11&lt;&gt;0,CZ$2,DN11&lt;&gt;0,DN$2,TRUE,"")</f>
        <v>Churn</v>
      </c>
      <c r="BK11" s="1" t="str" cm="1">
        <f t="array" ref="BK11">+_xlfn.IFS(BY11&lt;&gt;0,BY$2,CM11&lt;&gt;0,CM$2,DA11&lt;&gt;0,DA$2,DO11&lt;&gt;0,DO$2,TRUE,"")</f>
        <v/>
      </c>
      <c r="BL11" s="1" t="str" cm="1">
        <f t="array" ref="BL11">+_xlfn.IFS(BZ11&lt;&gt;0,BZ$2,CN11&lt;&gt;0,CN$2,DB11&lt;&gt;0,DB$2,DP11&lt;&gt;0,DP$2,TRUE,"")</f>
        <v/>
      </c>
      <c r="BM11" s="1" t="str" cm="1">
        <f t="array" ref="BM11">+_xlfn.IFS(CA11&lt;&gt;0,CA$2,CO11&lt;&gt;0,CO$2,DC11&lt;&gt;0,DC$2,DQ11&lt;&gt;0,DQ$2,TRUE,"")</f>
        <v/>
      </c>
      <c r="BN11" s="1" t="str" cm="1">
        <f t="array" ref="BN11">+_xlfn.IFS(CB11&lt;&gt;0,CB$2,CP11&lt;&gt;0,CP$2,DD11&lt;&gt;0,DD$2,DR11&lt;&gt;0,DR$2,TRUE,"")</f>
        <v/>
      </c>
      <c r="BO11" s="1" t="str" cm="1">
        <f t="array" ref="BO11">+_xlfn.IFS(CC11&lt;&gt;0,CC$2,CQ11&lt;&gt;0,CQ$2,DE11&lt;&gt;0,DE$2,DS11&lt;&gt;0,DS$2,TRUE,"")</f>
        <v/>
      </c>
      <c r="BP11" s="1" t="str" cm="1">
        <f t="array" ref="BP11">+_xlfn.IFS(CD11&lt;&gt;0,CD$2,CR11&lt;&gt;0,CR$2,DF11&lt;&gt;0,DF$2,DT11&lt;&gt;0,DT$2,TRUE,"")</f>
        <v/>
      </c>
      <c r="BQ11" s="1" t="str" cm="1">
        <f t="array" ref="BQ11">+_xlfn.IFS(CE11&lt;&gt;0,CE$2,CS11&lt;&gt;0,CS$2,DG11&lt;&gt;0,DG$2,DU11&lt;&gt;0,DU$2,TRUE,"")</f>
        <v/>
      </c>
      <c r="BS11" s="111"/>
      <c r="BT11" s="110">
        <f t="shared" si="25"/>
        <v>0</v>
      </c>
      <c r="BU11" s="110">
        <f t="shared" si="26"/>
        <v>0</v>
      </c>
      <c r="BV11" s="110">
        <f t="shared" si="27"/>
        <v>0</v>
      </c>
      <c r="BW11" s="110">
        <f t="shared" si="28"/>
        <v>0</v>
      </c>
      <c r="BX11" s="110">
        <f t="shared" si="29"/>
        <v>0</v>
      </c>
      <c r="BY11" s="110">
        <f t="shared" si="30"/>
        <v>0</v>
      </c>
      <c r="BZ11" s="110">
        <f t="shared" si="31"/>
        <v>0</v>
      </c>
      <c r="CA11" s="110">
        <f t="shared" si="32"/>
        <v>0</v>
      </c>
      <c r="CB11" s="110">
        <f t="shared" si="33"/>
        <v>0</v>
      </c>
      <c r="CC11" s="110">
        <f t="shared" si="34"/>
        <v>0</v>
      </c>
      <c r="CD11" s="110">
        <f t="shared" si="35"/>
        <v>0</v>
      </c>
      <c r="CE11" s="110">
        <f t="shared" si="36"/>
        <v>0</v>
      </c>
      <c r="CG11" s="111"/>
      <c r="CH11" s="110">
        <f t="shared" si="37"/>
        <v>0</v>
      </c>
      <c r="CI11" s="110">
        <f t="shared" si="38"/>
        <v>0</v>
      </c>
      <c r="CJ11" s="110">
        <f t="shared" si="39"/>
        <v>0</v>
      </c>
      <c r="CK11" s="110">
        <f t="shared" si="40"/>
        <v>0</v>
      </c>
      <c r="CL11" s="110">
        <f t="shared" si="41"/>
        <v>-99</v>
      </c>
      <c r="CM11" s="110">
        <f t="shared" si="42"/>
        <v>0</v>
      </c>
      <c r="CN11" s="110">
        <f t="shared" si="43"/>
        <v>0</v>
      </c>
      <c r="CO11" s="110">
        <f t="shared" si="44"/>
        <v>0</v>
      </c>
      <c r="CP11" s="110">
        <f t="shared" si="45"/>
        <v>0</v>
      </c>
      <c r="CQ11" s="110">
        <f t="shared" si="46"/>
        <v>0</v>
      </c>
      <c r="CR11" s="110">
        <f t="shared" si="47"/>
        <v>0</v>
      </c>
      <c r="CS11" s="110">
        <f t="shared" si="48"/>
        <v>0</v>
      </c>
      <c r="CU11" s="111"/>
      <c r="CV11" s="110">
        <f t="shared" si="49"/>
        <v>0</v>
      </c>
      <c r="CW11" s="110">
        <f t="shared" si="50"/>
        <v>0</v>
      </c>
      <c r="CX11" s="110">
        <f t="shared" si="51"/>
        <v>0</v>
      </c>
      <c r="CY11" s="110">
        <f t="shared" si="52"/>
        <v>0</v>
      </c>
      <c r="CZ11" s="110">
        <f t="shared" si="53"/>
        <v>0</v>
      </c>
      <c r="DA11" s="110">
        <f t="shared" si="54"/>
        <v>0</v>
      </c>
      <c r="DB11" s="110">
        <f t="shared" si="55"/>
        <v>0</v>
      </c>
      <c r="DC11" s="110">
        <f t="shared" si="56"/>
        <v>0</v>
      </c>
      <c r="DD11" s="110">
        <f t="shared" si="57"/>
        <v>0</v>
      </c>
      <c r="DE11" s="110">
        <f t="shared" si="58"/>
        <v>0</v>
      </c>
      <c r="DF11" s="110">
        <f t="shared" si="59"/>
        <v>0</v>
      </c>
      <c r="DG11" s="110">
        <f t="shared" si="60"/>
        <v>0</v>
      </c>
      <c r="DI11" s="111"/>
      <c r="DJ11" s="110">
        <f t="shared" si="61"/>
        <v>0</v>
      </c>
      <c r="DK11" s="110">
        <f t="shared" si="62"/>
        <v>0</v>
      </c>
      <c r="DL11" s="110">
        <f t="shared" si="63"/>
        <v>0</v>
      </c>
      <c r="DM11" s="110">
        <f t="shared" si="64"/>
        <v>0</v>
      </c>
      <c r="DN11" s="110">
        <f t="shared" si="65"/>
        <v>0</v>
      </c>
      <c r="DO11" s="110">
        <f t="shared" si="66"/>
        <v>0</v>
      </c>
      <c r="DP11" s="110">
        <f t="shared" si="67"/>
        <v>0</v>
      </c>
      <c r="DQ11" s="110">
        <f t="shared" si="68"/>
        <v>0</v>
      </c>
      <c r="DR11" s="110">
        <f t="shared" si="69"/>
        <v>0</v>
      </c>
      <c r="DS11" s="110">
        <f t="shared" si="70"/>
        <v>0</v>
      </c>
      <c r="DT11" s="110">
        <f t="shared" si="71"/>
        <v>0</v>
      </c>
      <c r="DU11" s="110">
        <f t="shared" si="72"/>
        <v>0</v>
      </c>
      <c r="DW11" s="111"/>
      <c r="DX11" s="110">
        <f t="shared" si="73"/>
        <v>0</v>
      </c>
      <c r="DY11" s="110">
        <f t="shared" si="74"/>
        <v>0</v>
      </c>
      <c r="DZ11" s="110">
        <f t="shared" si="75"/>
        <v>0</v>
      </c>
      <c r="EA11" s="110">
        <f t="shared" si="76"/>
        <v>0</v>
      </c>
      <c r="EB11" s="110">
        <f t="shared" si="77"/>
        <v>0</v>
      </c>
      <c r="EC11" s="110">
        <f t="shared" si="78"/>
        <v>0</v>
      </c>
      <c r="ED11" s="110">
        <f t="shared" si="79"/>
        <v>0</v>
      </c>
      <c r="EE11" s="110">
        <f t="shared" si="80"/>
        <v>0</v>
      </c>
      <c r="EF11" s="110">
        <f t="shared" si="81"/>
        <v>0</v>
      </c>
      <c r="EG11" s="110">
        <f t="shared" si="82"/>
        <v>0</v>
      </c>
      <c r="EH11" s="110">
        <f t="shared" si="83"/>
        <v>0</v>
      </c>
      <c r="EI11" s="110">
        <f t="shared" si="84"/>
        <v>0</v>
      </c>
      <c r="EK11" s="111"/>
      <c r="EL11" s="110">
        <f t="shared" si="85"/>
        <v>0</v>
      </c>
      <c r="EM11" s="110">
        <f t="shared" si="86"/>
        <v>-99</v>
      </c>
      <c r="EN11" s="110">
        <f t="shared" si="87"/>
        <v>0</v>
      </c>
      <c r="EP11" s="109" cm="1">
        <f t="array" ref="EP11">+IFERROR(INDEX($C$3:$AM$3,MATCH(TRUE,INDEX($C11:$AM11&lt;&gt;0,0),0)),"N/A")</f>
        <v>44926</v>
      </c>
      <c r="EQ11" s="112"/>
      <c r="ER11" s="1" t="str" cm="1">
        <f t="array" ref="ER11">+_xlfn.IFS(EW11&lt;&gt;0,EW$2,FB11&lt;&gt;0,FB$2,FG11&lt;&gt;0,FG$2,FL11&lt;&gt;0,FL$2,TRUE,"")</f>
        <v/>
      </c>
      <c r="ES11" s="1" t="str" cm="1">
        <f t="array" ref="ES11">+_xlfn.IFS(EX11&lt;&gt;0,EX$2,FC11&lt;&gt;0,FC$2,FH11&lt;&gt;0,FH$2,FM11&lt;&gt;0,FM$2,TRUE,"")</f>
        <v>Churn</v>
      </c>
      <c r="ET11" s="1" t="str" cm="1">
        <f t="array" ref="ET11">+_xlfn.IFS(EY11&lt;&gt;0,EY$2,FD11&lt;&gt;0,FD$2,FI11&lt;&gt;0,FI$2,FN11&lt;&gt;0,FN$2,TRUE,"")</f>
        <v/>
      </c>
      <c r="EV11" s="111"/>
      <c r="EW11" s="110">
        <f t="shared" si="88"/>
        <v>0</v>
      </c>
      <c r="EX11" s="110">
        <f t="shared" si="89"/>
        <v>0</v>
      </c>
      <c r="EY11" s="110">
        <f t="shared" si="90"/>
        <v>0</v>
      </c>
      <c r="FA11" s="111"/>
      <c r="FB11" s="110">
        <f t="shared" si="91"/>
        <v>0</v>
      </c>
      <c r="FC11" s="110">
        <f t="shared" si="92"/>
        <v>-99</v>
      </c>
      <c r="FD11" s="110">
        <f t="shared" si="93"/>
        <v>0</v>
      </c>
      <c r="FF11" s="111"/>
      <c r="FG11" s="110">
        <f t="shared" si="94"/>
        <v>0</v>
      </c>
      <c r="FH11" s="110">
        <f t="shared" si="95"/>
        <v>0</v>
      </c>
      <c r="FI11" s="110">
        <f t="shared" si="96"/>
        <v>0</v>
      </c>
      <c r="FK11" s="111"/>
      <c r="FL11" s="110">
        <f t="shared" si="97"/>
        <v>0</v>
      </c>
      <c r="FM11" s="110">
        <f t="shared" si="98"/>
        <v>0</v>
      </c>
      <c r="FN11" s="110">
        <f t="shared" si="99"/>
        <v>0</v>
      </c>
      <c r="FP11" s="111"/>
      <c r="FQ11" s="110">
        <f t="shared" si="100"/>
        <v>0</v>
      </c>
      <c r="FR11" s="110">
        <f t="shared" si="101"/>
        <v>0</v>
      </c>
      <c r="FS11" s="110">
        <f t="shared" si="102"/>
        <v>0</v>
      </c>
      <c r="FU11" s="111">
        <f t="shared" si="103"/>
        <v>0</v>
      </c>
      <c r="FV11" s="110">
        <f t="shared" si="104"/>
        <v>-70.289999999999992</v>
      </c>
      <c r="FW11" s="110">
        <f t="shared" si="105"/>
        <v>-99</v>
      </c>
      <c r="FX11" s="110">
        <f t="shared" si="106"/>
        <v>-99</v>
      </c>
      <c r="FY11" s="110">
        <f t="shared" si="107"/>
        <v>-99</v>
      </c>
      <c r="FZ11" s="110">
        <f t="shared" si="108"/>
        <v>-99</v>
      </c>
      <c r="GA11" s="110">
        <f t="shared" si="109"/>
        <v>-99</v>
      </c>
      <c r="GB11" s="110">
        <f t="shared" si="110"/>
        <v>-99</v>
      </c>
      <c r="GC11" s="110">
        <f t="shared" si="111"/>
        <v>-99</v>
      </c>
      <c r="GD11" s="110">
        <f t="shared" si="112"/>
        <v>-99</v>
      </c>
      <c r="GE11" s="110">
        <f t="shared" si="113"/>
        <v>-99</v>
      </c>
      <c r="GF11" s="110">
        <f t="shared" si="114"/>
        <v>-99</v>
      </c>
      <c r="GG11" s="110">
        <f t="shared" si="115"/>
        <v>-99</v>
      </c>
      <c r="GH11" s="110">
        <f t="shared" si="116"/>
        <v>-28.71</v>
      </c>
      <c r="GI11" s="110">
        <f t="shared" si="117"/>
        <v>0</v>
      </c>
      <c r="GJ11" s="110">
        <f t="shared" si="118"/>
        <v>0</v>
      </c>
      <c r="GK11" s="110">
        <f t="shared" si="119"/>
        <v>0</v>
      </c>
      <c r="GL11" s="110">
        <f t="shared" si="120"/>
        <v>0</v>
      </c>
      <c r="GM11" s="110">
        <f t="shared" si="121"/>
        <v>0</v>
      </c>
      <c r="GN11" s="110">
        <f t="shared" si="122"/>
        <v>0</v>
      </c>
      <c r="GO11" s="110">
        <f t="shared" si="123"/>
        <v>0</v>
      </c>
      <c r="GP11" s="110">
        <f t="shared" si="124"/>
        <v>0</v>
      </c>
      <c r="GQ11" s="110">
        <f t="shared" si="125"/>
        <v>0</v>
      </c>
      <c r="GR11" s="110">
        <f t="shared" si="126"/>
        <v>0</v>
      </c>
      <c r="GS11" s="110">
        <f t="shared" si="127"/>
        <v>0</v>
      </c>
      <c r="GU11" s="109" cm="1">
        <f t="array" ref="GU11">+IFERROR(INDEX($C$3:$AM$3,MATCH(TRUE,INDEX($C11:$AM11&lt;&gt;0,0),0)),"N/A")</f>
        <v>44926</v>
      </c>
      <c r="GV11" s="112" t="str" cm="1">
        <f t="array" ref="GV11">+_xlfn.IFS(HV11&lt;&gt;0,HV$2,IV11&lt;&gt;0,IV$2,JV11&lt;&gt;0,JV$2,KV11&lt;&gt;0,KV$2,TRUE,"")</f>
        <v/>
      </c>
      <c r="GW11" s="1" t="str" cm="1">
        <f t="array" ref="GW11">+_xlfn.IFS(HW11&lt;&gt;0,HW$2,IW11&lt;&gt;0,IW$2,JW11&lt;&gt;0,JW$2,KW11&lt;&gt;0,KW$2,TRUE,"")</f>
        <v>Downsell</v>
      </c>
      <c r="GX11" s="1" t="str" cm="1">
        <f t="array" ref="GX11">+_xlfn.IFS(HX11&lt;&gt;0,HX$2,IX11&lt;&gt;0,IX$2,JX11&lt;&gt;0,JX$2,KX11&lt;&gt;0,KX$2,TRUE,"")</f>
        <v>Churn</v>
      </c>
      <c r="GY11" s="1" t="str" cm="1">
        <f t="array" ref="GY11">+_xlfn.IFS(HY11&lt;&gt;0,HY$2,IY11&lt;&gt;0,IY$2,JY11&lt;&gt;0,JY$2,KY11&lt;&gt;0,KY$2,TRUE,"")</f>
        <v>Churn</v>
      </c>
      <c r="GZ11" s="1" t="str" cm="1">
        <f t="array" ref="GZ11">+_xlfn.IFS(HZ11&lt;&gt;0,HZ$2,IZ11&lt;&gt;0,IZ$2,JZ11&lt;&gt;0,JZ$2,KZ11&lt;&gt;0,KZ$2,TRUE,"")</f>
        <v>Churn</v>
      </c>
      <c r="HA11" s="1" t="str" cm="1">
        <f t="array" ref="HA11">+_xlfn.IFS(IA11&lt;&gt;0,IA$2,JA11&lt;&gt;0,JA$2,KA11&lt;&gt;0,KA$2,LA11&lt;&gt;0,LA$2,TRUE,"")</f>
        <v>Churn</v>
      </c>
      <c r="HB11" s="1" t="str" cm="1">
        <f t="array" ref="HB11">+_xlfn.IFS(IB11&lt;&gt;0,IB$2,JB11&lt;&gt;0,JB$2,KB11&lt;&gt;0,KB$2,LB11&lt;&gt;0,LB$2,TRUE,"")</f>
        <v>Churn</v>
      </c>
      <c r="HC11" s="1" t="str" cm="1">
        <f t="array" ref="HC11">+_xlfn.IFS(IC11&lt;&gt;0,IC$2,JC11&lt;&gt;0,JC$2,KC11&lt;&gt;0,KC$2,LC11&lt;&gt;0,LC$2,TRUE,"")</f>
        <v>Churn</v>
      </c>
      <c r="HD11" s="1" t="str" cm="1">
        <f t="array" ref="HD11">+_xlfn.IFS(ID11&lt;&gt;0,ID$2,JD11&lt;&gt;0,JD$2,KD11&lt;&gt;0,KD$2,LD11&lt;&gt;0,LD$2,TRUE,"")</f>
        <v>Churn</v>
      </c>
      <c r="HE11" s="1" t="str" cm="1">
        <f t="array" ref="HE11">+_xlfn.IFS(IE11&lt;&gt;0,IE$2,JE11&lt;&gt;0,JE$2,KE11&lt;&gt;0,KE$2,LE11&lt;&gt;0,LE$2,TRUE,"")</f>
        <v>Churn</v>
      </c>
      <c r="HF11" s="1" t="str" cm="1">
        <f t="array" ref="HF11">+_xlfn.IFS(IF11&lt;&gt;0,IF$2,JF11&lt;&gt;0,JF$2,KF11&lt;&gt;0,KF$2,LF11&lt;&gt;0,LF$2,TRUE,"")</f>
        <v>Churn</v>
      </c>
      <c r="HG11" s="1" t="str" cm="1">
        <f t="array" ref="HG11">+_xlfn.IFS(IG11&lt;&gt;0,IG$2,JG11&lt;&gt;0,JG$2,KG11&lt;&gt;0,KG$2,LG11&lt;&gt;0,LG$2,TRUE,"")</f>
        <v>Churn</v>
      </c>
      <c r="HH11" s="1" t="str" cm="1">
        <f t="array" ref="HH11">+_xlfn.IFS(IH11&lt;&gt;0,IH$2,JH11&lt;&gt;0,JH$2,KH11&lt;&gt;0,KH$2,LH11&lt;&gt;0,LH$2,TRUE,"")</f>
        <v>Churn</v>
      </c>
      <c r="HI11" s="1" t="str" cm="1">
        <f t="array" ref="HI11">+_xlfn.IFS(II11&lt;&gt;0,II$2,JI11&lt;&gt;0,JI$2,KI11&lt;&gt;0,KI$2,LI11&lt;&gt;0,LI$2,TRUE,"")</f>
        <v>Churn</v>
      </c>
      <c r="HJ11" s="1" t="str" cm="1">
        <f t="array" ref="HJ11">+_xlfn.IFS(IJ11&lt;&gt;0,IJ$2,JJ11&lt;&gt;0,JJ$2,KJ11&lt;&gt;0,KJ$2,LJ11&lt;&gt;0,LJ$2,TRUE,"")</f>
        <v/>
      </c>
      <c r="HK11" s="1" t="str" cm="1">
        <f t="array" ref="HK11">+_xlfn.IFS(IK11&lt;&gt;0,IK$2,JK11&lt;&gt;0,JK$2,KK11&lt;&gt;0,KK$2,LK11&lt;&gt;0,LK$2,TRUE,"")</f>
        <v/>
      </c>
      <c r="HL11" s="1" t="str" cm="1">
        <f t="array" ref="HL11">+_xlfn.IFS(IL11&lt;&gt;0,IL$2,JL11&lt;&gt;0,JL$2,KL11&lt;&gt;0,KL$2,LL11&lt;&gt;0,LL$2,TRUE,"")</f>
        <v/>
      </c>
      <c r="HM11" s="1" t="str" cm="1">
        <f t="array" ref="HM11">+_xlfn.IFS(IM11&lt;&gt;0,IM$2,JM11&lt;&gt;0,JM$2,KM11&lt;&gt;0,KM$2,LM11&lt;&gt;0,LM$2,TRUE,"")</f>
        <v/>
      </c>
      <c r="HN11" s="1" t="str" cm="1">
        <f t="array" ref="HN11">+_xlfn.IFS(IN11&lt;&gt;0,IN$2,JN11&lt;&gt;0,JN$2,KN11&lt;&gt;0,KN$2,LN11&lt;&gt;0,LN$2,TRUE,"")</f>
        <v/>
      </c>
      <c r="HO11" s="1" t="str" cm="1">
        <f t="array" ref="HO11">+_xlfn.IFS(IO11&lt;&gt;0,IO$2,JO11&lt;&gt;0,JO$2,KO11&lt;&gt;0,KO$2,LO11&lt;&gt;0,LO$2,TRUE,"")</f>
        <v/>
      </c>
      <c r="HP11" s="1" t="str" cm="1">
        <f t="array" ref="HP11">+_xlfn.IFS(IP11&lt;&gt;0,IP$2,JP11&lt;&gt;0,JP$2,KP11&lt;&gt;0,KP$2,LP11&lt;&gt;0,LP$2,TRUE,"")</f>
        <v/>
      </c>
      <c r="HQ11" s="1" t="str" cm="1">
        <f t="array" ref="HQ11">+_xlfn.IFS(IQ11&lt;&gt;0,IQ$2,JQ11&lt;&gt;0,JQ$2,KQ11&lt;&gt;0,KQ$2,LQ11&lt;&gt;0,LQ$2,TRUE,"")</f>
        <v/>
      </c>
      <c r="HR11" s="1" t="str" cm="1">
        <f t="array" ref="HR11">+_xlfn.IFS(IR11&lt;&gt;0,IR$2,JR11&lt;&gt;0,JR$2,KR11&lt;&gt;0,KR$2,LR11&lt;&gt;0,LR$2,TRUE,"")</f>
        <v/>
      </c>
      <c r="HS11" s="1" t="str" cm="1">
        <f t="array" ref="HS11">+_xlfn.IFS(IS11&lt;&gt;0,IS$2,JS11&lt;&gt;0,JS$2,KS11&lt;&gt;0,KS$2,LS11&lt;&gt;0,LS$2,TRUE,"")</f>
        <v/>
      </c>
      <c r="HT11" s="1" t="str" cm="1">
        <f t="array" ref="HT11">+_xlfn.IFS(IT11&lt;&gt;0,IT$2,JT11&lt;&gt;0,JT$2,KT11&lt;&gt;0,KT$2,LT11&lt;&gt;0,LT$2,TRUE,"")</f>
        <v/>
      </c>
      <c r="HV11" s="111">
        <f t="shared" si="128"/>
        <v>0</v>
      </c>
      <c r="HW11" s="110">
        <f t="shared" si="129"/>
        <v>0</v>
      </c>
      <c r="HX11" s="110">
        <f t="shared" si="130"/>
        <v>0</v>
      </c>
      <c r="HY11" s="110">
        <f t="shared" si="131"/>
        <v>0</v>
      </c>
      <c r="HZ11" s="110">
        <f t="shared" si="132"/>
        <v>0</v>
      </c>
      <c r="IA11" s="110">
        <f t="shared" si="133"/>
        <v>0</v>
      </c>
      <c r="IB11" s="110">
        <f t="shared" si="134"/>
        <v>0</v>
      </c>
      <c r="IC11" s="110">
        <f t="shared" si="135"/>
        <v>0</v>
      </c>
      <c r="ID11" s="110">
        <f t="shared" si="136"/>
        <v>0</v>
      </c>
      <c r="IE11" s="110">
        <f t="shared" si="137"/>
        <v>0</v>
      </c>
      <c r="IF11" s="110">
        <f t="shared" si="138"/>
        <v>0</v>
      </c>
      <c r="IG11" s="110">
        <f t="shared" si="139"/>
        <v>0</v>
      </c>
      <c r="IH11" s="110">
        <f t="shared" si="140"/>
        <v>0</v>
      </c>
      <c r="II11" s="110">
        <f t="shared" si="141"/>
        <v>0</v>
      </c>
      <c r="IJ11" s="110">
        <f t="shared" si="142"/>
        <v>0</v>
      </c>
      <c r="IK11" s="110">
        <f t="shared" si="143"/>
        <v>0</v>
      </c>
      <c r="IL11" s="110">
        <f t="shared" si="144"/>
        <v>0</v>
      </c>
      <c r="IM11" s="110">
        <f t="shared" si="145"/>
        <v>0</v>
      </c>
      <c r="IN11" s="110">
        <f t="shared" si="146"/>
        <v>0</v>
      </c>
      <c r="IO11" s="110">
        <f t="shared" si="147"/>
        <v>0</v>
      </c>
      <c r="IP11" s="110">
        <f t="shared" si="148"/>
        <v>0</v>
      </c>
      <c r="IQ11" s="110">
        <f t="shared" si="149"/>
        <v>0</v>
      </c>
      <c r="IR11" s="110">
        <f t="shared" si="150"/>
        <v>0</v>
      </c>
      <c r="IS11" s="110">
        <f t="shared" si="151"/>
        <v>0</v>
      </c>
      <c r="IT11" s="110">
        <f t="shared" si="152"/>
        <v>0</v>
      </c>
      <c r="IV11" s="111">
        <f t="shared" si="153"/>
        <v>0</v>
      </c>
      <c r="IW11" s="110">
        <f t="shared" si="154"/>
        <v>0</v>
      </c>
      <c r="IX11" s="110">
        <f t="shared" si="155"/>
        <v>-99</v>
      </c>
      <c r="IY11" s="110">
        <f t="shared" si="156"/>
        <v>-99</v>
      </c>
      <c r="IZ11" s="110">
        <f t="shared" si="157"/>
        <v>-99</v>
      </c>
      <c r="JA11" s="110">
        <f t="shared" si="158"/>
        <v>-99</v>
      </c>
      <c r="JB11" s="110">
        <f t="shared" si="159"/>
        <v>-99</v>
      </c>
      <c r="JC11" s="110">
        <f t="shared" si="160"/>
        <v>-99</v>
      </c>
      <c r="JD11" s="110">
        <f t="shared" si="161"/>
        <v>-99</v>
      </c>
      <c r="JE11" s="110">
        <f t="shared" si="162"/>
        <v>-99</v>
      </c>
      <c r="JF11" s="110">
        <f t="shared" si="163"/>
        <v>-99</v>
      </c>
      <c r="JG11" s="110">
        <f t="shared" si="164"/>
        <v>-99</v>
      </c>
      <c r="JH11" s="110">
        <f t="shared" si="165"/>
        <v>-99</v>
      </c>
      <c r="JI11" s="110">
        <f t="shared" si="166"/>
        <v>-28.71</v>
      </c>
      <c r="JJ11" s="110">
        <f t="shared" si="167"/>
        <v>0</v>
      </c>
      <c r="JK11" s="110">
        <f t="shared" si="168"/>
        <v>0</v>
      </c>
      <c r="JL11" s="110">
        <f t="shared" si="169"/>
        <v>0</v>
      </c>
      <c r="JM11" s="110">
        <f t="shared" si="170"/>
        <v>0</v>
      </c>
      <c r="JN11" s="110">
        <f t="shared" si="171"/>
        <v>0</v>
      </c>
      <c r="JO11" s="110">
        <f t="shared" si="172"/>
        <v>0</v>
      </c>
      <c r="JP11" s="110">
        <f t="shared" si="173"/>
        <v>0</v>
      </c>
      <c r="JQ11" s="110">
        <f t="shared" si="174"/>
        <v>0</v>
      </c>
      <c r="JR11" s="110">
        <f t="shared" si="175"/>
        <v>0</v>
      </c>
      <c r="JS11" s="110">
        <f t="shared" si="176"/>
        <v>0</v>
      </c>
      <c r="JT11" s="110">
        <f t="shared" si="177"/>
        <v>0</v>
      </c>
      <c r="JV11" s="111">
        <f t="shared" si="178"/>
        <v>0</v>
      </c>
      <c r="JW11" s="110">
        <f t="shared" si="179"/>
        <v>-70.289999999999992</v>
      </c>
      <c r="JX11" s="110">
        <f t="shared" si="180"/>
        <v>0</v>
      </c>
      <c r="JY11" s="110">
        <f t="shared" si="181"/>
        <v>0</v>
      </c>
      <c r="JZ11" s="110">
        <f t="shared" si="182"/>
        <v>0</v>
      </c>
      <c r="KA11" s="110">
        <f t="shared" si="183"/>
        <v>0</v>
      </c>
      <c r="KB11" s="110">
        <f t="shared" si="184"/>
        <v>0</v>
      </c>
      <c r="KC11" s="110">
        <f t="shared" si="185"/>
        <v>0</v>
      </c>
      <c r="KD11" s="110">
        <f t="shared" si="186"/>
        <v>0</v>
      </c>
      <c r="KE11" s="110">
        <f t="shared" si="187"/>
        <v>0</v>
      </c>
      <c r="KF11" s="110">
        <f t="shared" si="188"/>
        <v>0</v>
      </c>
      <c r="KG11" s="110">
        <f t="shared" si="189"/>
        <v>0</v>
      </c>
      <c r="KH11" s="110">
        <f t="shared" si="190"/>
        <v>0</v>
      </c>
      <c r="KI11" s="110">
        <f t="shared" si="191"/>
        <v>0</v>
      </c>
      <c r="KJ11" s="110">
        <f t="shared" si="192"/>
        <v>0</v>
      </c>
      <c r="KK11" s="110">
        <f t="shared" si="193"/>
        <v>0</v>
      </c>
      <c r="KL11" s="110">
        <f t="shared" si="194"/>
        <v>0</v>
      </c>
      <c r="KM11" s="110">
        <f t="shared" si="195"/>
        <v>0</v>
      </c>
      <c r="KN11" s="110">
        <f t="shared" si="196"/>
        <v>0</v>
      </c>
      <c r="KO11" s="110">
        <f t="shared" si="197"/>
        <v>0</v>
      </c>
      <c r="KP11" s="110">
        <f t="shared" si="198"/>
        <v>0</v>
      </c>
      <c r="KQ11" s="110">
        <f t="shared" si="199"/>
        <v>0</v>
      </c>
      <c r="KR11" s="110">
        <f t="shared" si="200"/>
        <v>0</v>
      </c>
      <c r="KS11" s="110">
        <f t="shared" si="201"/>
        <v>0</v>
      </c>
      <c r="KT11" s="110">
        <f t="shared" si="202"/>
        <v>0</v>
      </c>
      <c r="KV11" s="111">
        <f t="shared" si="203"/>
        <v>0</v>
      </c>
      <c r="KW11" s="110">
        <f t="shared" si="204"/>
        <v>0</v>
      </c>
      <c r="KX11" s="110">
        <f t="shared" si="205"/>
        <v>0</v>
      </c>
      <c r="KY11" s="110">
        <f t="shared" si="206"/>
        <v>0</v>
      </c>
      <c r="KZ11" s="110">
        <f t="shared" si="207"/>
        <v>0</v>
      </c>
      <c r="LA11" s="110">
        <f t="shared" si="208"/>
        <v>0</v>
      </c>
      <c r="LB11" s="110">
        <f t="shared" si="209"/>
        <v>0</v>
      </c>
      <c r="LC11" s="110">
        <f t="shared" si="210"/>
        <v>0</v>
      </c>
      <c r="LD11" s="110">
        <f t="shared" si="211"/>
        <v>0</v>
      </c>
      <c r="LE11" s="110">
        <f t="shared" si="212"/>
        <v>0</v>
      </c>
      <c r="LF11" s="110">
        <f t="shared" si="213"/>
        <v>0</v>
      </c>
      <c r="LG11" s="110">
        <f t="shared" si="214"/>
        <v>0</v>
      </c>
      <c r="LH11" s="110">
        <f t="shared" si="215"/>
        <v>0</v>
      </c>
      <c r="LI11" s="110">
        <f t="shared" si="216"/>
        <v>0</v>
      </c>
      <c r="LJ11" s="110">
        <f t="shared" si="217"/>
        <v>0</v>
      </c>
      <c r="LK11" s="110">
        <f t="shared" si="218"/>
        <v>0</v>
      </c>
      <c r="LL11" s="110">
        <f t="shared" si="219"/>
        <v>0</v>
      </c>
      <c r="LM11" s="110">
        <f t="shared" si="220"/>
        <v>0</v>
      </c>
      <c r="LN11" s="110">
        <f t="shared" si="221"/>
        <v>0</v>
      </c>
      <c r="LO11" s="110">
        <f t="shared" si="222"/>
        <v>0</v>
      </c>
      <c r="LP11" s="110">
        <f t="shared" si="223"/>
        <v>0</v>
      </c>
      <c r="LQ11" s="110">
        <f t="shared" si="224"/>
        <v>0</v>
      </c>
      <c r="LR11" s="110">
        <f t="shared" si="225"/>
        <v>0</v>
      </c>
      <c r="LS11" s="110">
        <f t="shared" si="226"/>
        <v>0</v>
      </c>
      <c r="LT11" s="110">
        <f t="shared" si="227"/>
        <v>0</v>
      </c>
      <c r="LV11" s="111"/>
      <c r="LW11" s="110">
        <f t="shared" si="228"/>
        <v>0</v>
      </c>
      <c r="LX11" s="110">
        <f t="shared" si="229"/>
        <v>0</v>
      </c>
      <c r="LY11" s="110">
        <f t="shared" si="230"/>
        <v>0</v>
      </c>
      <c r="LZ11" s="110">
        <f t="shared" si="231"/>
        <v>0</v>
      </c>
      <c r="MA11" s="110">
        <f t="shared" si="232"/>
        <v>0</v>
      </c>
      <c r="MB11" s="110">
        <f t="shared" si="233"/>
        <v>0</v>
      </c>
      <c r="MC11" s="110">
        <f t="shared" si="234"/>
        <v>0</v>
      </c>
      <c r="MD11" s="110">
        <f t="shared" si="235"/>
        <v>0</v>
      </c>
      <c r="ME11" s="110">
        <f t="shared" si="236"/>
        <v>0</v>
      </c>
      <c r="MF11" s="110">
        <f t="shared" si="237"/>
        <v>0</v>
      </c>
      <c r="MG11" s="110">
        <f t="shared" si="238"/>
        <v>0</v>
      </c>
      <c r="MH11" s="110">
        <f t="shared" si="239"/>
        <v>0</v>
      </c>
      <c r="MI11" s="110">
        <f t="shared" si="240"/>
        <v>0</v>
      </c>
      <c r="MJ11" s="110">
        <f t="shared" si="241"/>
        <v>0</v>
      </c>
      <c r="MK11" s="110">
        <f t="shared" si="242"/>
        <v>0</v>
      </c>
      <c r="ML11" s="110">
        <f t="shared" si="243"/>
        <v>0</v>
      </c>
      <c r="MM11" s="110">
        <f t="shared" si="244"/>
        <v>0</v>
      </c>
      <c r="MN11" s="110">
        <f t="shared" si="245"/>
        <v>0</v>
      </c>
      <c r="MO11" s="110">
        <f t="shared" si="246"/>
        <v>0</v>
      </c>
      <c r="MP11" s="110">
        <f t="shared" si="247"/>
        <v>0</v>
      </c>
      <c r="MQ11" s="110">
        <f t="shared" si="248"/>
        <v>0</v>
      </c>
      <c r="MR11" s="110">
        <f t="shared" si="249"/>
        <v>0</v>
      </c>
      <c r="MS11" s="110">
        <f t="shared" si="250"/>
        <v>0</v>
      </c>
      <c r="MT11" s="110">
        <f t="shared" si="251"/>
        <v>0</v>
      </c>
      <c r="MV11" s="114">
        <v>0</v>
      </c>
      <c r="MW11" s="114">
        <v>0</v>
      </c>
      <c r="MX11" s="114">
        <v>0</v>
      </c>
      <c r="MY11" s="114">
        <v>0</v>
      </c>
      <c r="MZ11" s="114">
        <v>0</v>
      </c>
      <c r="NB11" s="115" t="str">
        <v>N/A</v>
      </c>
      <c r="NC11" s="115" t="str">
        <v>N/A</v>
      </c>
      <c r="ND11" s="115" t="str">
        <v>N/A</v>
      </c>
      <c r="NE11" s="115" t="str">
        <v>N/A</v>
      </c>
      <c r="NF11" s="115" t="str">
        <v>N/A</v>
      </c>
    </row>
    <row r="12" spans="2:376" ht="13.5" x14ac:dyDescent="0.25">
      <c r="B12" s="8">
        <f t="shared" si="252"/>
        <v>9</v>
      </c>
      <c r="C12" s="7">
        <v>229</v>
      </c>
      <c r="D12" s="7">
        <v>229</v>
      </c>
      <c r="E12" s="7">
        <v>229</v>
      </c>
      <c r="F12" s="7">
        <v>229</v>
      </c>
      <c r="G12" s="7">
        <v>229</v>
      </c>
      <c r="H12" s="7">
        <v>229</v>
      </c>
      <c r="I12" s="7">
        <v>229</v>
      </c>
      <c r="J12" s="7">
        <v>229</v>
      </c>
      <c r="K12" s="7">
        <v>229</v>
      </c>
      <c r="L12" s="7">
        <v>229</v>
      </c>
      <c r="M12" s="7">
        <v>229</v>
      </c>
      <c r="N12" s="7">
        <v>229</v>
      </c>
      <c r="O12" s="7">
        <v>229</v>
      </c>
      <c r="P12" s="7">
        <v>229</v>
      </c>
      <c r="Q12" s="7">
        <v>229</v>
      </c>
      <c r="R12" s="7">
        <v>229</v>
      </c>
      <c r="S12" s="7">
        <v>229</v>
      </c>
      <c r="T12" s="7">
        <v>229</v>
      </c>
      <c r="U12" s="7">
        <v>229</v>
      </c>
      <c r="V12" s="7">
        <v>229</v>
      </c>
      <c r="W12" s="7">
        <v>229</v>
      </c>
      <c r="X12" s="7">
        <v>229</v>
      </c>
      <c r="Y12" s="7">
        <v>229</v>
      </c>
      <c r="Z12" s="7">
        <v>229</v>
      </c>
      <c r="AA12" s="7">
        <v>229</v>
      </c>
      <c r="AB12" s="7">
        <v>229</v>
      </c>
      <c r="AC12" s="7">
        <v>229</v>
      </c>
      <c r="AD12" s="7">
        <v>229</v>
      </c>
      <c r="AE12" s="7">
        <v>229</v>
      </c>
      <c r="AF12" s="7">
        <v>229</v>
      </c>
      <c r="AG12" s="7">
        <v>229</v>
      </c>
      <c r="AH12" s="7">
        <v>229</v>
      </c>
      <c r="AI12" s="7">
        <v>237.02</v>
      </c>
      <c r="AJ12" s="7">
        <v>237.02</v>
      </c>
      <c r="AK12" s="7">
        <v>237.02</v>
      </c>
      <c r="AL12" s="7">
        <v>237.02</v>
      </c>
      <c r="AM12" s="7">
        <v>237.02</v>
      </c>
      <c r="AN12" s="27">
        <v>9</v>
      </c>
      <c r="AP12" s="111"/>
      <c r="AQ12" s="110">
        <f t="shared" si="13"/>
        <v>0</v>
      </c>
      <c r="AR12" s="110">
        <f t="shared" si="14"/>
        <v>0</v>
      </c>
      <c r="AS12" s="110">
        <f t="shared" si="15"/>
        <v>0</v>
      </c>
      <c r="AT12" s="110">
        <f t="shared" si="16"/>
        <v>0</v>
      </c>
      <c r="AU12" s="110">
        <f t="shared" si="17"/>
        <v>0</v>
      </c>
      <c r="AV12" s="110">
        <f t="shared" si="18"/>
        <v>0</v>
      </c>
      <c r="AW12" s="110">
        <f t="shared" si="19"/>
        <v>0</v>
      </c>
      <c r="AX12" s="110">
        <f t="shared" si="20"/>
        <v>0</v>
      </c>
      <c r="AY12" s="110">
        <f t="shared" si="21"/>
        <v>0</v>
      </c>
      <c r="AZ12" s="110">
        <f t="shared" si="22"/>
        <v>0</v>
      </c>
      <c r="BA12" s="110">
        <f t="shared" si="23"/>
        <v>8.0200000000000102</v>
      </c>
      <c r="BB12" s="110">
        <f t="shared" si="24"/>
        <v>0</v>
      </c>
      <c r="BD12" s="109" cm="1">
        <f t="array" ref="BD12">+IFERROR(INDEX($C$3:$AM$3,MATCH(TRUE,INDEX($C12:$AM12&lt;&gt;0,0),0)),"N/A")</f>
        <v>44926</v>
      </c>
      <c r="BE12" s="112"/>
      <c r="BF12" s="1" t="str" cm="1">
        <f t="array" ref="BF12">+_xlfn.IFS(BT12&lt;&gt;0,BT$2,CH12&lt;&gt;0,CH$2,CV12&lt;&gt;0,CV$2,DJ12&lt;&gt;0,DJ$2,TRUE,"")</f>
        <v/>
      </c>
      <c r="BG12" s="1" t="str" cm="1">
        <f t="array" ref="BG12">+_xlfn.IFS(BU12&lt;&gt;0,BU$2,CI12&lt;&gt;0,CI$2,CW12&lt;&gt;0,CW$2,DK12&lt;&gt;0,DK$2,TRUE,"")</f>
        <v/>
      </c>
      <c r="BH12" s="1" t="str" cm="1">
        <f t="array" ref="BH12">+_xlfn.IFS(BV12&lt;&gt;0,BV$2,CJ12&lt;&gt;0,CJ$2,CX12&lt;&gt;0,CX$2,DL12&lt;&gt;0,DL$2,TRUE,"")</f>
        <v/>
      </c>
      <c r="BI12" s="1" t="str" cm="1">
        <f t="array" ref="BI12">+_xlfn.IFS(BW12&lt;&gt;0,BW$2,CK12&lt;&gt;0,CK$2,CY12&lt;&gt;0,CY$2,DM12&lt;&gt;0,DM$2,TRUE,"")</f>
        <v/>
      </c>
      <c r="BJ12" s="1" t="str" cm="1">
        <f t="array" ref="BJ12">+_xlfn.IFS(BX12&lt;&gt;0,BX$2,CL12&lt;&gt;0,CL$2,CZ12&lt;&gt;0,CZ$2,DN12&lt;&gt;0,DN$2,TRUE,"")</f>
        <v/>
      </c>
      <c r="BK12" s="1" t="str" cm="1">
        <f t="array" ref="BK12">+_xlfn.IFS(BY12&lt;&gt;0,BY$2,CM12&lt;&gt;0,CM$2,DA12&lt;&gt;0,DA$2,DO12&lt;&gt;0,DO$2,TRUE,"")</f>
        <v/>
      </c>
      <c r="BL12" s="1" t="str" cm="1">
        <f t="array" ref="BL12">+_xlfn.IFS(BZ12&lt;&gt;0,BZ$2,CN12&lt;&gt;0,CN$2,DB12&lt;&gt;0,DB$2,DP12&lt;&gt;0,DP$2,TRUE,"")</f>
        <v/>
      </c>
      <c r="BM12" s="1" t="str" cm="1">
        <f t="array" ref="BM12">+_xlfn.IFS(CA12&lt;&gt;0,CA$2,CO12&lt;&gt;0,CO$2,DC12&lt;&gt;0,DC$2,DQ12&lt;&gt;0,DQ$2,TRUE,"")</f>
        <v/>
      </c>
      <c r="BN12" s="1" t="str" cm="1">
        <f t="array" ref="BN12">+_xlfn.IFS(CB12&lt;&gt;0,CB$2,CP12&lt;&gt;0,CP$2,DD12&lt;&gt;0,DD$2,DR12&lt;&gt;0,DR$2,TRUE,"")</f>
        <v/>
      </c>
      <c r="BO12" s="1" t="str" cm="1">
        <f t="array" ref="BO12">+_xlfn.IFS(CC12&lt;&gt;0,CC$2,CQ12&lt;&gt;0,CQ$2,DE12&lt;&gt;0,DE$2,DS12&lt;&gt;0,DS$2,TRUE,"")</f>
        <v/>
      </c>
      <c r="BP12" s="1" t="str" cm="1">
        <f t="array" ref="BP12">+_xlfn.IFS(CD12&lt;&gt;0,CD$2,CR12&lt;&gt;0,CR$2,DF12&lt;&gt;0,DF$2,DT12&lt;&gt;0,DT$2,TRUE,"")</f>
        <v>Upsell</v>
      </c>
      <c r="BQ12" s="1" t="str" cm="1">
        <f t="array" ref="BQ12">+_xlfn.IFS(CE12&lt;&gt;0,CE$2,CS12&lt;&gt;0,CS$2,DG12&lt;&gt;0,DG$2,DU12&lt;&gt;0,DU$2,TRUE,"")</f>
        <v/>
      </c>
      <c r="BS12" s="111"/>
      <c r="BT12" s="110">
        <f t="shared" si="25"/>
        <v>0</v>
      </c>
      <c r="BU12" s="110">
        <f t="shared" si="26"/>
        <v>0</v>
      </c>
      <c r="BV12" s="110">
        <f t="shared" si="27"/>
        <v>0</v>
      </c>
      <c r="BW12" s="110">
        <f t="shared" si="28"/>
        <v>0</v>
      </c>
      <c r="BX12" s="110">
        <f t="shared" si="29"/>
        <v>0</v>
      </c>
      <c r="BY12" s="110">
        <f t="shared" si="30"/>
        <v>0</v>
      </c>
      <c r="BZ12" s="110">
        <f t="shared" si="31"/>
        <v>0</v>
      </c>
      <c r="CA12" s="110">
        <f t="shared" si="32"/>
        <v>0</v>
      </c>
      <c r="CB12" s="110">
        <f t="shared" si="33"/>
        <v>0</v>
      </c>
      <c r="CC12" s="110">
        <f t="shared" si="34"/>
        <v>0</v>
      </c>
      <c r="CD12" s="110">
        <f t="shared" si="35"/>
        <v>0</v>
      </c>
      <c r="CE12" s="110">
        <f t="shared" si="36"/>
        <v>0</v>
      </c>
      <c r="CG12" s="111"/>
      <c r="CH12" s="110">
        <f t="shared" si="37"/>
        <v>0</v>
      </c>
      <c r="CI12" s="110">
        <f t="shared" si="38"/>
        <v>0</v>
      </c>
      <c r="CJ12" s="110">
        <f t="shared" si="39"/>
        <v>0</v>
      </c>
      <c r="CK12" s="110">
        <f t="shared" si="40"/>
        <v>0</v>
      </c>
      <c r="CL12" s="110">
        <f t="shared" si="41"/>
        <v>0</v>
      </c>
      <c r="CM12" s="110">
        <f t="shared" si="42"/>
        <v>0</v>
      </c>
      <c r="CN12" s="110">
        <f t="shared" si="43"/>
        <v>0</v>
      </c>
      <c r="CO12" s="110">
        <f t="shared" si="44"/>
        <v>0</v>
      </c>
      <c r="CP12" s="110">
        <f t="shared" si="45"/>
        <v>0</v>
      </c>
      <c r="CQ12" s="110">
        <f t="shared" si="46"/>
        <v>0</v>
      </c>
      <c r="CR12" s="110">
        <f t="shared" si="47"/>
        <v>0</v>
      </c>
      <c r="CS12" s="110">
        <f t="shared" si="48"/>
        <v>0</v>
      </c>
      <c r="CU12" s="111"/>
      <c r="CV12" s="110">
        <f t="shared" si="49"/>
        <v>0</v>
      </c>
      <c r="CW12" s="110">
        <f t="shared" si="50"/>
        <v>0</v>
      </c>
      <c r="CX12" s="110">
        <f t="shared" si="51"/>
        <v>0</v>
      </c>
      <c r="CY12" s="110">
        <f t="shared" si="52"/>
        <v>0</v>
      </c>
      <c r="CZ12" s="110">
        <f t="shared" si="53"/>
        <v>0</v>
      </c>
      <c r="DA12" s="110">
        <f t="shared" si="54"/>
        <v>0</v>
      </c>
      <c r="DB12" s="110">
        <f t="shared" si="55"/>
        <v>0</v>
      </c>
      <c r="DC12" s="110">
        <f t="shared" si="56"/>
        <v>0</v>
      </c>
      <c r="DD12" s="110">
        <f t="shared" si="57"/>
        <v>0</v>
      </c>
      <c r="DE12" s="110">
        <f t="shared" si="58"/>
        <v>0</v>
      </c>
      <c r="DF12" s="110">
        <f t="shared" si="59"/>
        <v>0</v>
      </c>
      <c r="DG12" s="110">
        <f t="shared" si="60"/>
        <v>0</v>
      </c>
      <c r="DI12" s="111"/>
      <c r="DJ12" s="110">
        <f t="shared" si="61"/>
        <v>0</v>
      </c>
      <c r="DK12" s="110">
        <f t="shared" si="62"/>
        <v>0</v>
      </c>
      <c r="DL12" s="110">
        <f t="shared" si="63"/>
        <v>0</v>
      </c>
      <c r="DM12" s="110">
        <f t="shared" si="64"/>
        <v>0</v>
      </c>
      <c r="DN12" s="110">
        <f t="shared" si="65"/>
        <v>0</v>
      </c>
      <c r="DO12" s="110">
        <f t="shared" si="66"/>
        <v>0</v>
      </c>
      <c r="DP12" s="110">
        <f t="shared" si="67"/>
        <v>0</v>
      </c>
      <c r="DQ12" s="110">
        <f t="shared" si="68"/>
        <v>0</v>
      </c>
      <c r="DR12" s="110">
        <f t="shared" si="69"/>
        <v>0</v>
      </c>
      <c r="DS12" s="110">
        <f t="shared" si="70"/>
        <v>0</v>
      </c>
      <c r="DT12" s="110">
        <f t="shared" si="71"/>
        <v>8.0200000000000102</v>
      </c>
      <c r="DU12" s="110">
        <f t="shared" si="72"/>
        <v>0</v>
      </c>
      <c r="DW12" s="111"/>
      <c r="DX12" s="110">
        <f t="shared" si="73"/>
        <v>0</v>
      </c>
      <c r="DY12" s="110">
        <f t="shared" si="74"/>
        <v>0</v>
      </c>
      <c r="DZ12" s="110">
        <f t="shared" si="75"/>
        <v>0</v>
      </c>
      <c r="EA12" s="110">
        <f t="shared" si="76"/>
        <v>0</v>
      </c>
      <c r="EB12" s="110">
        <f t="shared" si="77"/>
        <v>0</v>
      </c>
      <c r="EC12" s="110">
        <f t="shared" si="78"/>
        <v>0</v>
      </c>
      <c r="ED12" s="110">
        <f t="shared" si="79"/>
        <v>0</v>
      </c>
      <c r="EE12" s="110">
        <f t="shared" si="80"/>
        <v>0</v>
      </c>
      <c r="EF12" s="110">
        <f t="shared" si="81"/>
        <v>0</v>
      </c>
      <c r="EG12" s="110">
        <f t="shared" si="82"/>
        <v>0</v>
      </c>
      <c r="EH12" s="110">
        <f t="shared" si="83"/>
        <v>0</v>
      </c>
      <c r="EI12" s="110">
        <f t="shared" si="84"/>
        <v>0</v>
      </c>
      <c r="EK12" s="111"/>
      <c r="EL12" s="110">
        <f t="shared" si="85"/>
        <v>0</v>
      </c>
      <c r="EM12" s="110">
        <f t="shared" si="86"/>
        <v>0</v>
      </c>
      <c r="EN12" s="110">
        <f t="shared" si="87"/>
        <v>8.0200000000000102</v>
      </c>
      <c r="EP12" s="109" cm="1">
        <f t="array" ref="EP12">+IFERROR(INDEX($C$3:$AM$3,MATCH(TRUE,INDEX($C12:$AM12&lt;&gt;0,0),0)),"N/A")</f>
        <v>44926</v>
      </c>
      <c r="EQ12" s="112"/>
      <c r="ER12" s="1" t="str" cm="1">
        <f t="array" ref="ER12">+_xlfn.IFS(EW12&lt;&gt;0,EW$2,FB12&lt;&gt;0,FB$2,FG12&lt;&gt;0,FG$2,FL12&lt;&gt;0,FL$2,TRUE,"")</f>
        <v/>
      </c>
      <c r="ES12" s="1" t="str" cm="1">
        <f t="array" ref="ES12">+_xlfn.IFS(EX12&lt;&gt;0,EX$2,FC12&lt;&gt;0,FC$2,FH12&lt;&gt;0,FH$2,FM12&lt;&gt;0,FM$2,TRUE,"")</f>
        <v/>
      </c>
      <c r="ET12" s="1" t="str" cm="1">
        <f t="array" ref="ET12">+_xlfn.IFS(EY12&lt;&gt;0,EY$2,FD12&lt;&gt;0,FD$2,FI12&lt;&gt;0,FI$2,FN12&lt;&gt;0,FN$2,TRUE,"")</f>
        <v>Upsell</v>
      </c>
      <c r="EV12" s="111"/>
      <c r="EW12" s="110">
        <f t="shared" si="88"/>
        <v>0</v>
      </c>
      <c r="EX12" s="110">
        <f t="shared" si="89"/>
        <v>0</v>
      </c>
      <c r="EY12" s="110">
        <f t="shared" si="90"/>
        <v>0</v>
      </c>
      <c r="FA12" s="111"/>
      <c r="FB12" s="110">
        <f t="shared" si="91"/>
        <v>0</v>
      </c>
      <c r="FC12" s="110">
        <f t="shared" si="92"/>
        <v>0</v>
      </c>
      <c r="FD12" s="110">
        <f t="shared" si="93"/>
        <v>0</v>
      </c>
      <c r="FF12" s="111"/>
      <c r="FG12" s="110">
        <f t="shared" si="94"/>
        <v>0</v>
      </c>
      <c r="FH12" s="110">
        <f t="shared" si="95"/>
        <v>0</v>
      </c>
      <c r="FI12" s="110">
        <f t="shared" si="96"/>
        <v>0</v>
      </c>
      <c r="FK12" s="111"/>
      <c r="FL12" s="110">
        <f t="shared" si="97"/>
        <v>0</v>
      </c>
      <c r="FM12" s="110">
        <f t="shared" si="98"/>
        <v>0</v>
      </c>
      <c r="FN12" s="110">
        <f t="shared" si="99"/>
        <v>8.0200000000000102</v>
      </c>
      <c r="FP12" s="111"/>
      <c r="FQ12" s="110">
        <f t="shared" si="100"/>
        <v>0</v>
      </c>
      <c r="FR12" s="110">
        <f t="shared" si="101"/>
        <v>0</v>
      </c>
      <c r="FS12" s="110">
        <f t="shared" si="102"/>
        <v>0</v>
      </c>
      <c r="FU12" s="111">
        <f t="shared" si="103"/>
        <v>0</v>
      </c>
      <c r="FV12" s="110">
        <f t="shared" si="104"/>
        <v>0</v>
      </c>
      <c r="FW12" s="110">
        <f t="shared" si="105"/>
        <v>0</v>
      </c>
      <c r="FX12" s="110">
        <f t="shared" si="106"/>
        <v>0</v>
      </c>
      <c r="FY12" s="110">
        <f t="shared" si="107"/>
        <v>0</v>
      </c>
      <c r="FZ12" s="110">
        <f t="shared" si="108"/>
        <v>0</v>
      </c>
      <c r="GA12" s="110">
        <f t="shared" si="109"/>
        <v>0</v>
      </c>
      <c r="GB12" s="110">
        <f t="shared" si="110"/>
        <v>0</v>
      </c>
      <c r="GC12" s="110">
        <f t="shared" si="111"/>
        <v>0</v>
      </c>
      <c r="GD12" s="110">
        <f t="shared" si="112"/>
        <v>0</v>
      </c>
      <c r="GE12" s="110">
        <f t="shared" si="113"/>
        <v>0</v>
      </c>
      <c r="GF12" s="110">
        <f t="shared" si="114"/>
        <v>0</v>
      </c>
      <c r="GG12" s="110">
        <f t="shared" si="115"/>
        <v>0</v>
      </c>
      <c r="GH12" s="110">
        <f t="shared" si="116"/>
        <v>0</v>
      </c>
      <c r="GI12" s="110">
        <f t="shared" si="117"/>
        <v>0</v>
      </c>
      <c r="GJ12" s="110">
        <f t="shared" si="118"/>
        <v>0</v>
      </c>
      <c r="GK12" s="110">
        <f t="shared" si="119"/>
        <v>0</v>
      </c>
      <c r="GL12" s="110">
        <f t="shared" si="120"/>
        <v>0</v>
      </c>
      <c r="GM12" s="110">
        <f t="shared" si="121"/>
        <v>0</v>
      </c>
      <c r="GN12" s="110">
        <f t="shared" si="122"/>
        <v>0</v>
      </c>
      <c r="GO12" s="110">
        <f t="shared" si="123"/>
        <v>8.0200000000000102</v>
      </c>
      <c r="GP12" s="110">
        <f t="shared" si="124"/>
        <v>8.0200000000000102</v>
      </c>
      <c r="GQ12" s="110">
        <f t="shared" si="125"/>
        <v>8.0200000000000102</v>
      </c>
      <c r="GR12" s="110">
        <f t="shared" si="126"/>
        <v>8.0200000000000102</v>
      </c>
      <c r="GS12" s="110">
        <f t="shared" si="127"/>
        <v>8.0200000000000102</v>
      </c>
      <c r="GU12" s="109" cm="1">
        <f t="array" ref="GU12">+IFERROR(INDEX($C$3:$AM$3,MATCH(TRUE,INDEX($C12:$AM12&lt;&gt;0,0),0)),"N/A")</f>
        <v>44926</v>
      </c>
      <c r="GV12" s="112" t="str" cm="1">
        <f t="array" ref="GV12">+_xlfn.IFS(HV12&lt;&gt;0,HV$2,IV12&lt;&gt;0,IV$2,JV12&lt;&gt;0,JV$2,KV12&lt;&gt;0,KV$2,TRUE,"")</f>
        <v/>
      </c>
      <c r="GW12" s="1" t="str" cm="1">
        <f t="array" ref="GW12">+_xlfn.IFS(HW12&lt;&gt;0,HW$2,IW12&lt;&gt;0,IW$2,JW12&lt;&gt;0,JW$2,KW12&lt;&gt;0,KW$2,TRUE,"")</f>
        <v/>
      </c>
      <c r="GX12" s="1" t="str" cm="1">
        <f t="array" ref="GX12">+_xlfn.IFS(HX12&lt;&gt;0,HX$2,IX12&lt;&gt;0,IX$2,JX12&lt;&gt;0,JX$2,KX12&lt;&gt;0,KX$2,TRUE,"")</f>
        <v/>
      </c>
      <c r="GY12" s="1" t="str" cm="1">
        <f t="array" ref="GY12">+_xlfn.IFS(HY12&lt;&gt;0,HY$2,IY12&lt;&gt;0,IY$2,JY12&lt;&gt;0,JY$2,KY12&lt;&gt;0,KY$2,TRUE,"")</f>
        <v/>
      </c>
      <c r="GZ12" s="1" t="str" cm="1">
        <f t="array" ref="GZ12">+_xlfn.IFS(HZ12&lt;&gt;0,HZ$2,IZ12&lt;&gt;0,IZ$2,JZ12&lt;&gt;0,JZ$2,KZ12&lt;&gt;0,KZ$2,TRUE,"")</f>
        <v/>
      </c>
      <c r="HA12" s="1" t="str" cm="1">
        <f t="array" ref="HA12">+_xlfn.IFS(IA12&lt;&gt;0,IA$2,JA12&lt;&gt;0,JA$2,KA12&lt;&gt;0,KA$2,LA12&lt;&gt;0,LA$2,TRUE,"")</f>
        <v/>
      </c>
      <c r="HB12" s="1" t="str" cm="1">
        <f t="array" ref="HB12">+_xlfn.IFS(IB12&lt;&gt;0,IB$2,JB12&lt;&gt;0,JB$2,KB12&lt;&gt;0,KB$2,LB12&lt;&gt;0,LB$2,TRUE,"")</f>
        <v/>
      </c>
      <c r="HC12" s="1" t="str" cm="1">
        <f t="array" ref="HC12">+_xlfn.IFS(IC12&lt;&gt;0,IC$2,JC12&lt;&gt;0,JC$2,KC12&lt;&gt;0,KC$2,LC12&lt;&gt;0,LC$2,TRUE,"")</f>
        <v/>
      </c>
      <c r="HD12" s="1" t="str" cm="1">
        <f t="array" ref="HD12">+_xlfn.IFS(ID12&lt;&gt;0,ID$2,JD12&lt;&gt;0,JD$2,KD12&lt;&gt;0,KD$2,LD12&lt;&gt;0,LD$2,TRUE,"")</f>
        <v/>
      </c>
      <c r="HE12" s="1" t="str" cm="1">
        <f t="array" ref="HE12">+_xlfn.IFS(IE12&lt;&gt;0,IE$2,JE12&lt;&gt;0,JE$2,KE12&lt;&gt;0,KE$2,LE12&lt;&gt;0,LE$2,TRUE,"")</f>
        <v/>
      </c>
      <c r="HF12" s="1" t="str" cm="1">
        <f t="array" ref="HF12">+_xlfn.IFS(IF12&lt;&gt;0,IF$2,JF12&lt;&gt;0,JF$2,KF12&lt;&gt;0,KF$2,LF12&lt;&gt;0,LF$2,TRUE,"")</f>
        <v/>
      </c>
      <c r="HG12" s="1" t="str" cm="1">
        <f t="array" ref="HG12">+_xlfn.IFS(IG12&lt;&gt;0,IG$2,JG12&lt;&gt;0,JG$2,KG12&lt;&gt;0,KG$2,LG12&lt;&gt;0,LG$2,TRUE,"")</f>
        <v/>
      </c>
      <c r="HH12" s="1" t="str" cm="1">
        <f t="array" ref="HH12">+_xlfn.IFS(IH12&lt;&gt;0,IH$2,JH12&lt;&gt;0,JH$2,KH12&lt;&gt;0,KH$2,LH12&lt;&gt;0,LH$2,TRUE,"")</f>
        <v/>
      </c>
      <c r="HI12" s="1" t="str" cm="1">
        <f t="array" ref="HI12">+_xlfn.IFS(II12&lt;&gt;0,II$2,JI12&lt;&gt;0,JI$2,KI12&lt;&gt;0,KI$2,LI12&lt;&gt;0,LI$2,TRUE,"")</f>
        <v/>
      </c>
      <c r="HJ12" s="1" t="str" cm="1">
        <f t="array" ref="HJ12">+_xlfn.IFS(IJ12&lt;&gt;0,IJ$2,JJ12&lt;&gt;0,JJ$2,KJ12&lt;&gt;0,KJ$2,LJ12&lt;&gt;0,LJ$2,TRUE,"")</f>
        <v/>
      </c>
      <c r="HK12" s="1" t="str" cm="1">
        <f t="array" ref="HK12">+_xlfn.IFS(IK12&lt;&gt;0,IK$2,JK12&lt;&gt;0,JK$2,KK12&lt;&gt;0,KK$2,LK12&lt;&gt;0,LK$2,TRUE,"")</f>
        <v/>
      </c>
      <c r="HL12" s="1" t="str" cm="1">
        <f t="array" ref="HL12">+_xlfn.IFS(IL12&lt;&gt;0,IL$2,JL12&lt;&gt;0,JL$2,KL12&lt;&gt;0,KL$2,LL12&lt;&gt;0,LL$2,TRUE,"")</f>
        <v/>
      </c>
      <c r="HM12" s="1" t="str" cm="1">
        <f t="array" ref="HM12">+_xlfn.IFS(IM12&lt;&gt;0,IM$2,JM12&lt;&gt;0,JM$2,KM12&lt;&gt;0,KM$2,LM12&lt;&gt;0,LM$2,TRUE,"")</f>
        <v/>
      </c>
      <c r="HN12" s="1" t="str" cm="1">
        <f t="array" ref="HN12">+_xlfn.IFS(IN12&lt;&gt;0,IN$2,JN12&lt;&gt;0,JN$2,KN12&lt;&gt;0,KN$2,LN12&lt;&gt;0,LN$2,TRUE,"")</f>
        <v/>
      </c>
      <c r="HO12" s="1" t="str" cm="1">
        <f t="array" ref="HO12">+_xlfn.IFS(IO12&lt;&gt;0,IO$2,JO12&lt;&gt;0,JO$2,KO12&lt;&gt;0,KO$2,LO12&lt;&gt;0,LO$2,TRUE,"")</f>
        <v/>
      </c>
      <c r="HP12" s="1" t="str" cm="1">
        <f t="array" ref="HP12">+_xlfn.IFS(IP12&lt;&gt;0,IP$2,JP12&lt;&gt;0,JP$2,KP12&lt;&gt;0,KP$2,LP12&lt;&gt;0,LP$2,TRUE,"")</f>
        <v>Upsell</v>
      </c>
      <c r="HQ12" s="1" t="str" cm="1">
        <f t="array" ref="HQ12">+_xlfn.IFS(IQ12&lt;&gt;0,IQ$2,JQ12&lt;&gt;0,JQ$2,KQ12&lt;&gt;0,KQ$2,LQ12&lt;&gt;0,LQ$2,TRUE,"")</f>
        <v>Upsell</v>
      </c>
      <c r="HR12" s="1" t="str" cm="1">
        <f t="array" ref="HR12">+_xlfn.IFS(IR12&lt;&gt;0,IR$2,JR12&lt;&gt;0,JR$2,KR12&lt;&gt;0,KR$2,LR12&lt;&gt;0,LR$2,TRUE,"")</f>
        <v>Upsell</v>
      </c>
      <c r="HS12" s="1" t="str" cm="1">
        <f t="array" ref="HS12">+_xlfn.IFS(IS12&lt;&gt;0,IS$2,JS12&lt;&gt;0,JS$2,KS12&lt;&gt;0,KS$2,LS12&lt;&gt;0,LS$2,TRUE,"")</f>
        <v>Upsell</v>
      </c>
      <c r="HT12" s="1" t="str" cm="1">
        <f t="array" ref="HT12">+_xlfn.IFS(IT12&lt;&gt;0,IT$2,JT12&lt;&gt;0,JT$2,KT12&lt;&gt;0,KT$2,LT12&lt;&gt;0,LT$2,TRUE,"")</f>
        <v>Upsell</v>
      </c>
      <c r="HV12" s="111">
        <f t="shared" si="128"/>
        <v>0</v>
      </c>
      <c r="HW12" s="110">
        <f t="shared" si="129"/>
        <v>0</v>
      </c>
      <c r="HX12" s="110">
        <f t="shared" si="130"/>
        <v>0</v>
      </c>
      <c r="HY12" s="110">
        <f t="shared" si="131"/>
        <v>0</v>
      </c>
      <c r="HZ12" s="110">
        <f t="shared" si="132"/>
        <v>0</v>
      </c>
      <c r="IA12" s="110">
        <f t="shared" si="133"/>
        <v>0</v>
      </c>
      <c r="IB12" s="110">
        <f t="shared" si="134"/>
        <v>0</v>
      </c>
      <c r="IC12" s="110">
        <f t="shared" si="135"/>
        <v>0</v>
      </c>
      <c r="ID12" s="110">
        <f t="shared" si="136"/>
        <v>0</v>
      </c>
      <c r="IE12" s="110">
        <f t="shared" si="137"/>
        <v>0</v>
      </c>
      <c r="IF12" s="110">
        <f t="shared" si="138"/>
        <v>0</v>
      </c>
      <c r="IG12" s="110">
        <f t="shared" si="139"/>
        <v>0</v>
      </c>
      <c r="IH12" s="110">
        <f t="shared" si="140"/>
        <v>0</v>
      </c>
      <c r="II12" s="110">
        <f t="shared" si="141"/>
        <v>0</v>
      </c>
      <c r="IJ12" s="110">
        <f t="shared" si="142"/>
        <v>0</v>
      </c>
      <c r="IK12" s="110">
        <f t="shared" si="143"/>
        <v>0</v>
      </c>
      <c r="IL12" s="110">
        <f t="shared" si="144"/>
        <v>0</v>
      </c>
      <c r="IM12" s="110">
        <f t="shared" si="145"/>
        <v>0</v>
      </c>
      <c r="IN12" s="110">
        <f t="shared" si="146"/>
        <v>0</v>
      </c>
      <c r="IO12" s="110">
        <f t="shared" si="147"/>
        <v>0</v>
      </c>
      <c r="IP12" s="110">
        <f t="shared" si="148"/>
        <v>0</v>
      </c>
      <c r="IQ12" s="110">
        <f t="shared" si="149"/>
        <v>0</v>
      </c>
      <c r="IR12" s="110">
        <f t="shared" si="150"/>
        <v>0</v>
      </c>
      <c r="IS12" s="110">
        <f t="shared" si="151"/>
        <v>0</v>
      </c>
      <c r="IT12" s="110">
        <f t="shared" si="152"/>
        <v>0</v>
      </c>
      <c r="IV12" s="111">
        <f t="shared" si="153"/>
        <v>0</v>
      </c>
      <c r="IW12" s="110">
        <f t="shared" si="154"/>
        <v>0</v>
      </c>
      <c r="IX12" s="110">
        <f t="shared" si="155"/>
        <v>0</v>
      </c>
      <c r="IY12" s="110">
        <f t="shared" si="156"/>
        <v>0</v>
      </c>
      <c r="IZ12" s="110">
        <f t="shared" si="157"/>
        <v>0</v>
      </c>
      <c r="JA12" s="110">
        <f t="shared" si="158"/>
        <v>0</v>
      </c>
      <c r="JB12" s="110">
        <f t="shared" si="159"/>
        <v>0</v>
      </c>
      <c r="JC12" s="110">
        <f t="shared" si="160"/>
        <v>0</v>
      </c>
      <c r="JD12" s="110">
        <f t="shared" si="161"/>
        <v>0</v>
      </c>
      <c r="JE12" s="110">
        <f t="shared" si="162"/>
        <v>0</v>
      </c>
      <c r="JF12" s="110">
        <f t="shared" si="163"/>
        <v>0</v>
      </c>
      <c r="JG12" s="110">
        <f t="shared" si="164"/>
        <v>0</v>
      </c>
      <c r="JH12" s="110">
        <f t="shared" si="165"/>
        <v>0</v>
      </c>
      <c r="JI12" s="110">
        <f t="shared" si="166"/>
        <v>0</v>
      </c>
      <c r="JJ12" s="110">
        <f t="shared" si="167"/>
        <v>0</v>
      </c>
      <c r="JK12" s="110">
        <f t="shared" si="168"/>
        <v>0</v>
      </c>
      <c r="JL12" s="110">
        <f t="shared" si="169"/>
        <v>0</v>
      </c>
      <c r="JM12" s="110">
        <f t="shared" si="170"/>
        <v>0</v>
      </c>
      <c r="JN12" s="110">
        <f t="shared" si="171"/>
        <v>0</v>
      </c>
      <c r="JO12" s="110">
        <f t="shared" si="172"/>
        <v>0</v>
      </c>
      <c r="JP12" s="110">
        <f t="shared" si="173"/>
        <v>0</v>
      </c>
      <c r="JQ12" s="110">
        <f t="shared" si="174"/>
        <v>0</v>
      </c>
      <c r="JR12" s="110">
        <f t="shared" si="175"/>
        <v>0</v>
      </c>
      <c r="JS12" s="110">
        <f t="shared" si="176"/>
        <v>0</v>
      </c>
      <c r="JT12" s="110">
        <f t="shared" si="177"/>
        <v>0</v>
      </c>
      <c r="JV12" s="111">
        <f t="shared" si="178"/>
        <v>0</v>
      </c>
      <c r="JW12" s="110">
        <f t="shared" si="179"/>
        <v>0</v>
      </c>
      <c r="JX12" s="110">
        <f t="shared" si="180"/>
        <v>0</v>
      </c>
      <c r="JY12" s="110">
        <f t="shared" si="181"/>
        <v>0</v>
      </c>
      <c r="JZ12" s="110">
        <f t="shared" si="182"/>
        <v>0</v>
      </c>
      <c r="KA12" s="110">
        <f t="shared" si="183"/>
        <v>0</v>
      </c>
      <c r="KB12" s="110">
        <f t="shared" si="184"/>
        <v>0</v>
      </c>
      <c r="KC12" s="110">
        <f t="shared" si="185"/>
        <v>0</v>
      </c>
      <c r="KD12" s="110">
        <f t="shared" si="186"/>
        <v>0</v>
      </c>
      <c r="KE12" s="110">
        <f t="shared" si="187"/>
        <v>0</v>
      </c>
      <c r="KF12" s="110">
        <f t="shared" si="188"/>
        <v>0</v>
      </c>
      <c r="KG12" s="110">
        <f t="shared" si="189"/>
        <v>0</v>
      </c>
      <c r="KH12" s="110">
        <f t="shared" si="190"/>
        <v>0</v>
      </c>
      <c r="KI12" s="110">
        <f t="shared" si="191"/>
        <v>0</v>
      </c>
      <c r="KJ12" s="110">
        <f t="shared" si="192"/>
        <v>0</v>
      </c>
      <c r="KK12" s="110">
        <f t="shared" si="193"/>
        <v>0</v>
      </c>
      <c r="KL12" s="110">
        <f t="shared" si="194"/>
        <v>0</v>
      </c>
      <c r="KM12" s="110">
        <f t="shared" si="195"/>
        <v>0</v>
      </c>
      <c r="KN12" s="110">
        <f t="shared" si="196"/>
        <v>0</v>
      </c>
      <c r="KO12" s="110">
        <f t="shared" si="197"/>
        <v>0</v>
      </c>
      <c r="KP12" s="110">
        <f t="shared" si="198"/>
        <v>0</v>
      </c>
      <c r="KQ12" s="110">
        <f t="shared" si="199"/>
        <v>0</v>
      </c>
      <c r="KR12" s="110">
        <f t="shared" si="200"/>
        <v>0</v>
      </c>
      <c r="KS12" s="110">
        <f t="shared" si="201"/>
        <v>0</v>
      </c>
      <c r="KT12" s="110">
        <f t="shared" si="202"/>
        <v>0</v>
      </c>
      <c r="KV12" s="111">
        <f t="shared" si="203"/>
        <v>0</v>
      </c>
      <c r="KW12" s="110">
        <f t="shared" si="204"/>
        <v>0</v>
      </c>
      <c r="KX12" s="110">
        <f t="shared" si="205"/>
        <v>0</v>
      </c>
      <c r="KY12" s="110">
        <f t="shared" si="206"/>
        <v>0</v>
      </c>
      <c r="KZ12" s="110">
        <f t="shared" si="207"/>
        <v>0</v>
      </c>
      <c r="LA12" s="110">
        <f t="shared" si="208"/>
        <v>0</v>
      </c>
      <c r="LB12" s="110">
        <f t="shared" si="209"/>
        <v>0</v>
      </c>
      <c r="LC12" s="110">
        <f t="shared" si="210"/>
        <v>0</v>
      </c>
      <c r="LD12" s="110">
        <f t="shared" si="211"/>
        <v>0</v>
      </c>
      <c r="LE12" s="110">
        <f t="shared" si="212"/>
        <v>0</v>
      </c>
      <c r="LF12" s="110">
        <f t="shared" si="213"/>
        <v>0</v>
      </c>
      <c r="LG12" s="110">
        <f t="shared" si="214"/>
        <v>0</v>
      </c>
      <c r="LH12" s="110">
        <f t="shared" si="215"/>
        <v>0</v>
      </c>
      <c r="LI12" s="110">
        <f t="shared" si="216"/>
        <v>0</v>
      </c>
      <c r="LJ12" s="110">
        <f t="shared" si="217"/>
        <v>0</v>
      </c>
      <c r="LK12" s="110">
        <f t="shared" si="218"/>
        <v>0</v>
      </c>
      <c r="LL12" s="110">
        <f t="shared" si="219"/>
        <v>0</v>
      </c>
      <c r="LM12" s="110">
        <f t="shared" si="220"/>
        <v>0</v>
      </c>
      <c r="LN12" s="110">
        <f t="shared" si="221"/>
        <v>0</v>
      </c>
      <c r="LO12" s="110">
        <f t="shared" si="222"/>
        <v>0</v>
      </c>
      <c r="LP12" s="110">
        <f t="shared" si="223"/>
        <v>8.0200000000000102</v>
      </c>
      <c r="LQ12" s="110">
        <f t="shared" si="224"/>
        <v>8.0200000000000102</v>
      </c>
      <c r="LR12" s="110">
        <f t="shared" si="225"/>
        <v>8.0200000000000102</v>
      </c>
      <c r="LS12" s="110">
        <f t="shared" si="226"/>
        <v>8.0200000000000102</v>
      </c>
      <c r="LT12" s="110">
        <f t="shared" si="227"/>
        <v>8.0200000000000102</v>
      </c>
      <c r="LV12" s="111"/>
      <c r="LW12" s="110">
        <f t="shared" si="228"/>
        <v>0</v>
      </c>
      <c r="LX12" s="110">
        <f t="shared" si="229"/>
        <v>0</v>
      </c>
      <c r="LY12" s="110">
        <f t="shared" si="230"/>
        <v>0</v>
      </c>
      <c r="LZ12" s="110">
        <f t="shared" si="231"/>
        <v>0</v>
      </c>
      <c r="MA12" s="110">
        <f t="shared" si="232"/>
        <v>0</v>
      </c>
      <c r="MB12" s="110">
        <f t="shared" si="233"/>
        <v>0</v>
      </c>
      <c r="MC12" s="110">
        <f t="shared" si="234"/>
        <v>0</v>
      </c>
      <c r="MD12" s="110">
        <f t="shared" si="235"/>
        <v>0</v>
      </c>
      <c r="ME12" s="110">
        <f t="shared" si="236"/>
        <v>0</v>
      </c>
      <c r="MF12" s="110">
        <f t="shared" si="237"/>
        <v>0</v>
      </c>
      <c r="MG12" s="110">
        <f t="shared" si="238"/>
        <v>0</v>
      </c>
      <c r="MH12" s="110">
        <f t="shared" si="239"/>
        <v>0</v>
      </c>
      <c r="MI12" s="110">
        <f t="shared" si="240"/>
        <v>0</v>
      </c>
      <c r="MJ12" s="110">
        <f t="shared" si="241"/>
        <v>0</v>
      </c>
      <c r="MK12" s="110">
        <f t="shared" si="242"/>
        <v>0</v>
      </c>
      <c r="ML12" s="110">
        <f t="shared" si="243"/>
        <v>0</v>
      </c>
      <c r="MM12" s="110">
        <f t="shared" si="244"/>
        <v>0</v>
      </c>
      <c r="MN12" s="110">
        <f t="shared" si="245"/>
        <v>0</v>
      </c>
      <c r="MO12" s="110">
        <f t="shared" si="246"/>
        <v>0</v>
      </c>
      <c r="MP12" s="110">
        <f t="shared" si="247"/>
        <v>0</v>
      </c>
      <c r="MQ12" s="110">
        <f t="shared" si="248"/>
        <v>0</v>
      </c>
      <c r="MR12" s="110">
        <f t="shared" si="249"/>
        <v>0</v>
      </c>
      <c r="MS12" s="110">
        <f t="shared" si="250"/>
        <v>0</v>
      </c>
      <c r="MT12" s="110">
        <f t="shared" si="251"/>
        <v>0</v>
      </c>
      <c r="MV12" s="114">
        <v>237.02</v>
      </c>
      <c r="MW12" s="114">
        <v>0</v>
      </c>
      <c r="MX12" s="114">
        <v>8.0200000000000102</v>
      </c>
      <c r="MY12" s="114">
        <v>0</v>
      </c>
      <c r="MZ12" s="114">
        <v>0</v>
      </c>
      <c r="NB12" s="115">
        <v>45</v>
      </c>
      <c r="NC12" s="115" t="str">
        <v>N/A</v>
      </c>
      <c r="ND12" s="115">
        <v>30</v>
      </c>
      <c r="NE12" s="115" t="str">
        <v>N/A</v>
      </c>
      <c r="NF12" s="115" t="str">
        <v>N/A</v>
      </c>
    </row>
    <row r="13" spans="2:376" ht="13.5" x14ac:dyDescent="0.25">
      <c r="B13" s="8">
        <f t="shared" si="252"/>
        <v>10</v>
      </c>
      <c r="C13" s="7">
        <v>279</v>
      </c>
      <c r="D13" s="7">
        <v>279</v>
      </c>
      <c r="E13" s="7">
        <v>279</v>
      </c>
      <c r="F13" s="7">
        <v>279</v>
      </c>
      <c r="G13" s="7">
        <v>279</v>
      </c>
      <c r="H13" s="7">
        <v>279</v>
      </c>
      <c r="I13" s="7">
        <v>179</v>
      </c>
      <c r="J13" s="7">
        <v>179</v>
      </c>
      <c r="K13" s="7">
        <v>179</v>
      </c>
      <c r="L13" s="7">
        <v>179</v>
      </c>
      <c r="M13" s="7">
        <v>179</v>
      </c>
      <c r="N13" s="7">
        <v>179</v>
      </c>
      <c r="O13" s="7">
        <v>179</v>
      </c>
      <c r="P13" s="7">
        <v>179</v>
      </c>
      <c r="Q13" s="7">
        <v>179</v>
      </c>
      <c r="R13" s="7">
        <v>179</v>
      </c>
      <c r="S13" s="7">
        <v>179</v>
      </c>
      <c r="T13" s="7">
        <v>179</v>
      </c>
      <c r="U13" s="7">
        <v>179</v>
      </c>
      <c r="V13" s="7">
        <v>179</v>
      </c>
      <c r="W13" s="7">
        <v>179</v>
      </c>
      <c r="X13" s="7">
        <v>179</v>
      </c>
      <c r="Y13" s="7">
        <v>179</v>
      </c>
      <c r="Z13" s="7">
        <v>179</v>
      </c>
      <c r="AA13" s="7">
        <v>179</v>
      </c>
      <c r="AB13" s="7">
        <v>179</v>
      </c>
      <c r="AC13" s="7">
        <v>179</v>
      </c>
      <c r="AD13" s="7">
        <v>179</v>
      </c>
      <c r="AE13" s="7">
        <v>179</v>
      </c>
      <c r="AF13" s="7">
        <v>179</v>
      </c>
      <c r="AG13" s="7">
        <v>179</v>
      </c>
      <c r="AH13" s="7">
        <v>179</v>
      </c>
      <c r="AI13" s="7">
        <v>179</v>
      </c>
      <c r="AJ13" s="7">
        <v>185.27</v>
      </c>
      <c r="AK13" s="7">
        <v>185.27</v>
      </c>
      <c r="AL13" s="7">
        <v>185.27</v>
      </c>
      <c r="AM13" s="7">
        <v>185.27</v>
      </c>
      <c r="AN13" s="27">
        <v>10</v>
      </c>
      <c r="AP13" s="111"/>
      <c r="AQ13" s="110">
        <f t="shared" si="13"/>
        <v>0</v>
      </c>
      <c r="AR13" s="110">
        <f t="shared" si="14"/>
        <v>-100</v>
      </c>
      <c r="AS13" s="110">
        <f t="shared" si="15"/>
        <v>0</v>
      </c>
      <c r="AT13" s="110">
        <f t="shared" si="16"/>
        <v>0</v>
      </c>
      <c r="AU13" s="110">
        <f t="shared" si="17"/>
        <v>0</v>
      </c>
      <c r="AV13" s="110">
        <f t="shared" si="18"/>
        <v>0</v>
      </c>
      <c r="AW13" s="110">
        <f t="shared" si="19"/>
        <v>0</v>
      </c>
      <c r="AX13" s="110">
        <f t="shared" si="20"/>
        <v>0</v>
      </c>
      <c r="AY13" s="110">
        <f t="shared" si="21"/>
        <v>0</v>
      </c>
      <c r="AZ13" s="110">
        <f t="shared" si="22"/>
        <v>0</v>
      </c>
      <c r="BA13" s="110">
        <f t="shared" si="23"/>
        <v>6.2700000000000102</v>
      </c>
      <c r="BB13" s="110">
        <f t="shared" si="24"/>
        <v>0</v>
      </c>
      <c r="BD13" s="109" cm="1">
        <f t="array" ref="BD13">+IFERROR(INDEX($C$3:$AM$3,MATCH(TRUE,INDEX($C13:$AM13&lt;&gt;0,0),0)),"N/A")</f>
        <v>44926</v>
      </c>
      <c r="BE13" s="112"/>
      <c r="BF13" s="1" t="str" cm="1">
        <f t="array" ref="BF13">+_xlfn.IFS(BT13&lt;&gt;0,BT$2,CH13&lt;&gt;0,CH$2,CV13&lt;&gt;0,CV$2,DJ13&lt;&gt;0,DJ$2,TRUE,"")</f>
        <v/>
      </c>
      <c r="BG13" s="1" t="str" cm="1">
        <f t="array" ref="BG13">+_xlfn.IFS(BU13&lt;&gt;0,BU$2,CI13&lt;&gt;0,CI$2,CW13&lt;&gt;0,CW$2,DK13&lt;&gt;0,DK$2,TRUE,"")</f>
        <v>Downsell</v>
      </c>
      <c r="BH13" s="1" t="str" cm="1">
        <f t="array" ref="BH13">+_xlfn.IFS(BV13&lt;&gt;0,BV$2,CJ13&lt;&gt;0,CJ$2,CX13&lt;&gt;0,CX$2,DL13&lt;&gt;0,DL$2,TRUE,"")</f>
        <v/>
      </c>
      <c r="BI13" s="1" t="str" cm="1">
        <f t="array" ref="BI13">+_xlfn.IFS(BW13&lt;&gt;0,BW$2,CK13&lt;&gt;0,CK$2,CY13&lt;&gt;0,CY$2,DM13&lt;&gt;0,DM$2,TRUE,"")</f>
        <v/>
      </c>
      <c r="BJ13" s="1" t="str" cm="1">
        <f t="array" ref="BJ13">+_xlfn.IFS(BX13&lt;&gt;0,BX$2,CL13&lt;&gt;0,CL$2,CZ13&lt;&gt;0,CZ$2,DN13&lt;&gt;0,DN$2,TRUE,"")</f>
        <v/>
      </c>
      <c r="BK13" s="1" t="str" cm="1">
        <f t="array" ref="BK13">+_xlfn.IFS(BY13&lt;&gt;0,BY$2,CM13&lt;&gt;0,CM$2,DA13&lt;&gt;0,DA$2,DO13&lt;&gt;0,DO$2,TRUE,"")</f>
        <v/>
      </c>
      <c r="BL13" s="1" t="str" cm="1">
        <f t="array" ref="BL13">+_xlfn.IFS(BZ13&lt;&gt;0,BZ$2,CN13&lt;&gt;0,CN$2,DB13&lt;&gt;0,DB$2,DP13&lt;&gt;0,DP$2,TRUE,"")</f>
        <v/>
      </c>
      <c r="BM13" s="1" t="str" cm="1">
        <f t="array" ref="BM13">+_xlfn.IFS(CA13&lt;&gt;0,CA$2,CO13&lt;&gt;0,CO$2,DC13&lt;&gt;0,DC$2,DQ13&lt;&gt;0,DQ$2,TRUE,"")</f>
        <v/>
      </c>
      <c r="BN13" s="1" t="str" cm="1">
        <f t="array" ref="BN13">+_xlfn.IFS(CB13&lt;&gt;0,CB$2,CP13&lt;&gt;0,CP$2,DD13&lt;&gt;0,DD$2,DR13&lt;&gt;0,DR$2,TRUE,"")</f>
        <v/>
      </c>
      <c r="BO13" s="1" t="str" cm="1">
        <f t="array" ref="BO13">+_xlfn.IFS(CC13&lt;&gt;0,CC$2,CQ13&lt;&gt;0,CQ$2,DE13&lt;&gt;0,DE$2,DS13&lt;&gt;0,DS$2,TRUE,"")</f>
        <v/>
      </c>
      <c r="BP13" s="1" t="str" cm="1">
        <f t="array" ref="BP13">+_xlfn.IFS(CD13&lt;&gt;0,CD$2,CR13&lt;&gt;0,CR$2,DF13&lt;&gt;0,DF$2,DT13&lt;&gt;0,DT$2,TRUE,"")</f>
        <v>Upsell</v>
      </c>
      <c r="BQ13" s="1" t="str" cm="1">
        <f t="array" ref="BQ13">+_xlfn.IFS(CE13&lt;&gt;0,CE$2,CS13&lt;&gt;0,CS$2,DG13&lt;&gt;0,DG$2,DU13&lt;&gt;0,DU$2,TRUE,"")</f>
        <v/>
      </c>
      <c r="BS13" s="111"/>
      <c r="BT13" s="110">
        <f t="shared" si="25"/>
        <v>0</v>
      </c>
      <c r="BU13" s="110">
        <f t="shared" si="26"/>
        <v>0</v>
      </c>
      <c r="BV13" s="110">
        <f t="shared" si="27"/>
        <v>0</v>
      </c>
      <c r="BW13" s="110">
        <f t="shared" si="28"/>
        <v>0</v>
      </c>
      <c r="BX13" s="110">
        <f t="shared" si="29"/>
        <v>0</v>
      </c>
      <c r="BY13" s="110">
        <f t="shared" si="30"/>
        <v>0</v>
      </c>
      <c r="BZ13" s="110">
        <f t="shared" si="31"/>
        <v>0</v>
      </c>
      <c r="CA13" s="110">
        <f t="shared" si="32"/>
        <v>0</v>
      </c>
      <c r="CB13" s="110">
        <f t="shared" si="33"/>
        <v>0</v>
      </c>
      <c r="CC13" s="110">
        <f t="shared" si="34"/>
        <v>0</v>
      </c>
      <c r="CD13" s="110">
        <f t="shared" si="35"/>
        <v>0</v>
      </c>
      <c r="CE13" s="110">
        <f t="shared" si="36"/>
        <v>0</v>
      </c>
      <c r="CG13" s="111"/>
      <c r="CH13" s="110">
        <f t="shared" si="37"/>
        <v>0</v>
      </c>
      <c r="CI13" s="110">
        <f t="shared" si="38"/>
        <v>0</v>
      </c>
      <c r="CJ13" s="110">
        <f t="shared" si="39"/>
        <v>0</v>
      </c>
      <c r="CK13" s="110">
        <f t="shared" si="40"/>
        <v>0</v>
      </c>
      <c r="CL13" s="110">
        <f t="shared" si="41"/>
        <v>0</v>
      </c>
      <c r="CM13" s="110">
        <f t="shared" si="42"/>
        <v>0</v>
      </c>
      <c r="CN13" s="110">
        <f t="shared" si="43"/>
        <v>0</v>
      </c>
      <c r="CO13" s="110">
        <f t="shared" si="44"/>
        <v>0</v>
      </c>
      <c r="CP13" s="110">
        <f t="shared" si="45"/>
        <v>0</v>
      </c>
      <c r="CQ13" s="110">
        <f t="shared" si="46"/>
        <v>0</v>
      </c>
      <c r="CR13" s="110">
        <f t="shared" si="47"/>
        <v>0</v>
      </c>
      <c r="CS13" s="110">
        <f t="shared" si="48"/>
        <v>0</v>
      </c>
      <c r="CU13" s="111"/>
      <c r="CV13" s="110">
        <f t="shared" si="49"/>
        <v>0</v>
      </c>
      <c r="CW13" s="110">
        <f t="shared" si="50"/>
        <v>-100</v>
      </c>
      <c r="CX13" s="110">
        <f t="shared" si="51"/>
        <v>0</v>
      </c>
      <c r="CY13" s="110">
        <f t="shared" si="52"/>
        <v>0</v>
      </c>
      <c r="CZ13" s="110">
        <f t="shared" si="53"/>
        <v>0</v>
      </c>
      <c r="DA13" s="110">
        <f t="shared" si="54"/>
        <v>0</v>
      </c>
      <c r="DB13" s="110">
        <f t="shared" si="55"/>
        <v>0</v>
      </c>
      <c r="DC13" s="110">
        <f t="shared" si="56"/>
        <v>0</v>
      </c>
      <c r="DD13" s="110">
        <f t="shared" si="57"/>
        <v>0</v>
      </c>
      <c r="DE13" s="110">
        <f t="shared" si="58"/>
        <v>0</v>
      </c>
      <c r="DF13" s="110">
        <f t="shared" si="59"/>
        <v>0</v>
      </c>
      <c r="DG13" s="110">
        <f t="shared" si="60"/>
        <v>0</v>
      </c>
      <c r="DI13" s="111"/>
      <c r="DJ13" s="110">
        <f t="shared" si="61"/>
        <v>0</v>
      </c>
      <c r="DK13" s="110">
        <f t="shared" si="62"/>
        <v>0</v>
      </c>
      <c r="DL13" s="110">
        <f t="shared" si="63"/>
        <v>0</v>
      </c>
      <c r="DM13" s="110">
        <f t="shared" si="64"/>
        <v>0</v>
      </c>
      <c r="DN13" s="110">
        <f t="shared" si="65"/>
        <v>0</v>
      </c>
      <c r="DO13" s="110">
        <f t="shared" si="66"/>
        <v>0</v>
      </c>
      <c r="DP13" s="110">
        <f t="shared" si="67"/>
        <v>0</v>
      </c>
      <c r="DQ13" s="110">
        <f t="shared" si="68"/>
        <v>0</v>
      </c>
      <c r="DR13" s="110">
        <f t="shared" si="69"/>
        <v>0</v>
      </c>
      <c r="DS13" s="110">
        <f t="shared" si="70"/>
        <v>0</v>
      </c>
      <c r="DT13" s="110">
        <f t="shared" si="71"/>
        <v>6.2700000000000102</v>
      </c>
      <c r="DU13" s="110">
        <f t="shared" si="72"/>
        <v>0</v>
      </c>
      <c r="DW13" s="111"/>
      <c r="DX13" s="110">
        <f t="shared" si="73"/>
        <v>0</v>
      </c>
      <c r="DY13" s="110">
        <f t="shared" si="74"/>
        <v>0</v>
      </c>
      <c r="DZ13" s="110">
        <f t="shared" si="75"/>
        <v>0</v>
      </c>
      <c r="EA13" s="110">
        <f t="shared" si="76"/>
        <v>0</v>
      </c>
      <c r="EB13" s="110">
        <f t="shared" si="77"/>
        <v>0</v>
      </c>
      <c r="EC13" s="110">
        <f t="shared" si="78"/>
        <v>0</v>
      </c>
      <c r="ED13" s="110">
        <f t="shared" si="79"/>
        <v>0</v>
      </c>
      <c r="EE13" s="110">
        <f t="shared" si="80"/>
        <v>0</v>
      </c>
      <c r="EF13" s="110">
        <f t="shared" si="81"/>
        <v>0</v>
      </c>
      <c r="EG13" s="110">
        <f t="shared" si="82"/>
        <v>0</v>
      </c>
      <c r="EH13" s="110">
        <f t="shared" si="83"/>
        <v>0</v>
      </c>
      <c r="EI13" s="110">
        <f t="shared" si="84"/>
        <v>0</v>
      </c>
      <c r="EK13" s="111"/>
      <c r="EL13" s="110">
        <f t="shared" si="85"/>
        <v>-100</v>
      </c>
      <c r="EM13" s="110">
        <f t="shared" si="86"/>
        <v>0</v>
      </c>
      <c r="EN13" s="110">
        <f t="shared" si="87"/>
        <v>6.2700000000000102</v>
      </c>
      <c r="EP13" s="109" cm="1">
        <f t="array" ref="EP13">+IFERROR(INDEX($C$3:$AM$3,MATCH(TRUE,INDEX($C13:$AM13&lt;&gt;0,0),0)),"N/A")</f>
        <v>44926</v>
      </c>
      <c r="EQ13" s="112"/>
      <c r="ER13" s="1" t="str" cm="1">
        <f t="array" ref="ER13">+_xlfn.IFS(EW13&lt;&gt;0,EW$2,FB13&lt;&gt;0,FB$2,FG13&lt;&gt;0,FG$2,FL13&lt;&gt;0,FL$2,TRUE,"")</f>
        <v>Downsell</v>
      </c>
      <c r="ES13" s="1" t="str" cm="1">
        <f t="array" ref="ES13">+_xlfn.IFS(EX13&lt;&gt;0,EX$2,FC13&lt;&gt;0,FC$2,FH13&lt;&gt;0,FH$2,FM13&lt;&gt;0,FM$2,TRUE,"")</f>
        <v/>
      </c>
      <c r="ET13" s="1" t="str" cm="1">
        <f t="array" ref="ET13">+_xlfn.IFS(EY13&lt;&gt;0,EY$2,FD13&lt;&gt;0,FD$2,FI13&lt;&gt;0,FI$2,FN13&lt;&gt;0,FN$2,TRUE,"")</f>
        <v>Upsell</v>
      </c>
      <c r="EV13" s="111"/>
      <c r="EW13" s="110">
        <f t="shared" si="88"/>
        <v>0</v>
      </c>
      <c r="EX13" s="110">
        <f t="shared" si="89"/>
        <v>0</v>
      </c>
      <c r="EY13" s="110">
        <f t="shared" si="90"/>
        <v>0</v>
      </c>
      <c r="FA13" s="111"/>
      <c r="FB13" s="110">
        <f t="shared" si="91"/>
        <v>0</v>
      </c>
      <c r="FC13" s="110">
        <f t="shared" si="92"/>
        <v>0</v>
      </c>
      <c r="FD13" s="110">
        <f t="shared" si="93"/>
        <v>0</v>
      </c>
      <c r="FF13" s="111"/>
      <c r="FG13" s="110">
        <f t="shared" si="94"/>
        <v>-100</v>
      </c>
      <c r="FH13" s="110">
        <f t="shared" si="95"/>
        <v>0</v>
      </c>
      <c r="FI13" s="110">
        <f t="shared" si="96"/>
        <v>0</v>
      </c>
      <c r="FK13" s="111"/>
      <c r="FL13" s="110">
        <f t="shared" si="97"/>
        <v>0</v>
      </c>
      <c r="FM13" s="110">
        <f t="shared" si="98"/>
        <v>0</v>
      </c>
      <c r="FN13" s="110">
        <f t="shared" si="99"/>
        <v>6.2700000000000102</v>
      </c>
      <c r="FP13" s="111"/>
      <c r="FQ13" s="110">
        <f t="shared" si="100"/>
        <v>0</v>
      </c>
      <c r="FR13" s="110">
        <f t="shared" si="101"/>
        <v>0</v>
      </c>
      <c r="FS13" s="110">
        <f t="shared" si="102"/>
        <v>0</v>
      </c>
      <c r="FU13" s="111">
        <f t="shared" si="103"/>
        <v>-100</v>
      </c>
      <c r="FV13" s="110">
        <f t="shared" si="104"/>
        <v>-100</v>
      </c>
      <c r="FW13" s="110">
        <f t="shared" si="105"/>
        <v>-100</v>
      </c>
      <c r="FX13" s="110">
        <f t="shared" si="106"/>
        <v>-100</v>
      </c>
      <c r="FY13" s="110">
        <f t="shared" si="107"/>
        <v>-100</v>
      </c>
      <c r="FZ13" s="110">
        <f t="shared" si="108"/>
        <v>-100</v>
      </c>
      <c r="GA13" s="110">
        <f t="shared" si="109"/>
        <v>0</v>
      </c>
      <c r="GB13" s="110">
        <f t="shared" si="110"/>
        <v>0</v>
      </c>
      <c r="GC13" s="110">
        <f t="shared" si="111"/>
        <v>0</v>
      </c>
      <c r="GD13" s="110">
        <f t="shared" si="112"/>
        <v>0</v>
      </c>
      <c r="GE13" s="110">
        <f t="shared" si="113"/>
        <v>0</v>
      </c>
      <c r="GF13" s="110">
        <f t="shared" si="114"/>
        <v>0</v>
      </c>
      <c r="GG13" s="110">
        <f t="shared" si="115"/>
        <v>0</v>
      </c>
      <c r="GH13" s="110">
        <f t="shared" si="116"/>
        <v>0</v>
      </c>
      <c r="GI13" s="110">
        <f t="shared" si="117"/>
        <v>0</v>
      </c>
      <c r="GJ13" s="110">
        <f t="shared" si="118"/>
        <v>0</v>
      </c>
      <c r="GK13" s="110">
        <f t="shared" si="119"/>
        <v>0</v>
      </c>
      <c r="GL13" s="110">
        <f t="shared" si="120"/>
        <v>0</v>
      </c>
      <c r="GM13" s="110">
        <f t="shared" si="121"/>
        <v>0</v>
      </c>
      <c r="GN13" s="110">
        <f t="shared" si="122"/>
        <v>0</v>
      </c>
      <c r="GO13" s="110">
        <f t="shared" si="123"/>
        <v>0</v>
      </c>
      <c r="GP13" s="110">
        <f t="shared" si="124"/>
        <v>6.2700000000000102</v>
      </c>
      <c r="GQ13" s="110">
        <f t="shared" si="125"/>
        <v>6.2700000000000102</v>
      </c>
      <c r="GR13" s="110">
        <f t="shared" si="126"/>
        <v>6.2700000000000102</v>
      </c>
      <c r="GS13" s="110">
        <f t="shared" si="127"/>
        <v>6.2700000000000102</v>
      </c>
      <c r="GU13" s="109" cm="1">
        <f t="array" ref="GU13">+IFERROR(INDEX($C$3:$AM$3,MATCH(TRUE,INDEX($C13:$AM13&lt;&gt;0,0),0)),"N/A")</f>
        <v>44926</v>
      </c>
      <c r="GV13" s="112" t="str" cm="1">
        <f t="array" ref="GV13">+_xlfn.IFS(HV13&lt;&gt;0,HV$2,IV13&lt;&gt;0,IV$2,JV13&lt;&gt;0,JV$2,KV13&lt;&gt;0,KV$2,TRUE,"")</f>
        <v>Downsell</v>
      </c>
      <c r="GW13" s="1" t="str" cm="1">
        <f t="array" ref="GW13">+_xlfn.IFS(HW13&lt;&gt;0,HW$2,IW13&lt;&gt;0,IW$2,JW13&lt;&gt;0,JW$2,KW13&lt;&gt;0,KW$2,TRUE,"")</f>
        <v>Downsell</v>
      </c>
      <c r="GX13" s="1" t="str" cm="1">
        <f t="array" ref="GX13">+_xlfn.IFS(HX13&lt;&gt;0,HX$2,IX13&lt;&gt;0,IX$2,JX13&lt;&gt;0,JX$2,KX13&lt;&gt;0,KX$2,TRUE,"")</f>
        <v>Downsell</v>
      </c>
      <c r="GY13" s="1" t="str" cm="1">
        <f t="array" ref="GY13">+_xlfn.IFS(HY13&lt;&gt;0,HY$2,IY13&lt;&gt;0,IY$2,JY13&lt;&gt;0,JY$2,KY13&lt;&gt;0,KY$2,TRUE,"")</f>
        <v>Downsell</v>
      </c>
      <c r="GZ13" s="1" t="str" cm="1">
        <f t="array" ref="GZ13">+_xlfn.IFS(HZ13&lt;&gt;0,HZ$2,IZ13&lt;&gt;0,IZ$2,JZ13&lt;&gt;0,JZ$2,KZ13&lt;&gt;0,KZ$2,TRUE,"")</f>
        <v>Downsell</v>
      </c>
      <c r="HA13" s="1" t="str" cm="1">
        <f t="array" ref="HA13">+_xlfn.IFS(IA13&lt;&gt;0,IA$2,JA13&lt;&gt;0,JA$2,KA13&lt;&gt;0,KA$2,LA13&lt;&gt;0,LA$2,TRUE,"")</f>
        <v>Downsell</v>
      </c>
      <c r="HB13" s="1" t="str" cm="1">
        <f t="array" ref="HB13">+_xlfn.IFS(IB13&lt;&gt;0,IB$2,JB13&lt;&gt;0,JB$2,KB13&lt;&gt;0,KB$2,LB13&lt;&gt;0,LB$2,TRUE,"")</f>
        <v/>
      </c>
      <c r="HC13" s="1" t="str" cm="1">
        <f t="array" ref="HC13">+_xlfn.IFS(IC13&lt;&gt;0,IC$2,JC13&lt;&gt;0,JC$2,KC13&lt;&gt;0,KC$2,LC13&lt;&gt;0,LC$2,TRUE,"")</f>
        <v/>
      </c>
      <c r="HD13" s="1" t="str" cm="1">
        <f t="array" ref="HD13">+_xlfn.IFS(ID13&lt;&gt;0,ID$2,JD13&lt;&gt;0,JD$2,KD13&lt;&gt;0,KD$2,LD13&lt;&gt;0,LD$2,TRUE,"")</f>
        <v/>
      </c>
      <c r="HE13" s="1" t="str" cm="1">
        <f t="array" ref="HE13">+_xlfn.IFS(IE13&lt;&gt;0,IE$2,JE13&lt;&gt;0,JE$2,KE13&lt;&gt;0,KE$2,LE13&lt;&gt;0,LE$2,TRUE,"")</f>
        <v/>
      </c>
      <c r="HF13" s="1" t="str" cm="1">
        <f t="array" ref="HF13">+_xlfn.IFS(IF13&lt;&gt;0,IF$2,JF13&lt;&gt;0,JF$2,KF13&lt;&gt;0,KF$2,LF13&lt;&gt;0,LF$2,TRUE,"")</f>
        <v/>
      </c>
      <c r="HG13" s="1" t="str" cm="1">
        <f t="array" ref="HG13">+_xlfn.IFS(IG13&lt;&gt;0,IG$2,JG13&lt;&gt;0,JG$2,KG13&lt;&gt;0,KG$2,LG13&lt;&gt;0,LG$2,TRUE,"")</f>
        <v/>
      </c>
      <c r="HH13" s="1" t="str" cm="1">
        <f t="array" ref="HH13">+_xlfn.IFS(IH13&lt;&gt;0,IH$2,JH13&lt;&gt;0,JH$2,KH13&lt;&gt;0,KH$2,LH13&lt;&gt;0,LH$2,TRUE,"")</f>
        <v/>
      </c>
      <c r="HI13" s="1" t="str" cm="1">
        <f t="array" ref="HI13">+_xlfn.IFS(II13&lt;&gt;0,II$2,JI13&lt;&gt;0,JI$2,KI13&lt;&gt;0,KI$2,LI13&lt;&gt;0,LI$2,TRUE,"")</f>
        <v/>
      </c>
      <c r="HJ13" s="1" t="str" cm="1">
        <f t="array" ref="HJ13">+_xlfn.IFS(IJ13&lt;&gt;0,IJ$2,JJ13&lt;&gt;0,JJ$2,KJ13&lt;&gt;0,KJ$2,LJ13&lt;&gt;0,LJ$2,TRUE,"")</f>
        <v/>
      </c>
      <c r="HK13" s="1" t="str" cm="1">
        <f t="array" ref="HK13">+_xlfn.IFS(IK13&lt;&gt;0,IK$2,JK13&lt;&gt;0,JK$2,KK13&lt;&gt;0,KK$2,LK13&lt;&gt;0,LK$2,TRUE,"")</f>
        <v/>
      </c>
      <c r="HL13" s="1" t="str" cm="1">
        <f t="array" ref="HL13">+_xlfn.IFS(IL13&lt;&gt;0,IL$2,JL13&lt;&gt;0,JL$2,KL13&lt;&gt;0,KL$2,LL13&lt;&gt;0,LL$2,TRUE,"")</f>
        <v/>
      </c>
      <c r="HM13" s="1" t="str" cm="1">
        <f t="array" ref="HM13">+_xlfn.IFS(IM13&lt;&gt;0,IM$2,JM13&lt;&gt;0,JM$2,KM13&lt;&gt;0,KM$2,LM13&lt;&gt;0,LM$2,TRUE,"")</f>
        <v/>
      </c>
      <c r="HN13" s="1" t="str" cm="1">
        <f t="array" ref="HN13">+_xlfn.IFS(IN13&lt;&gt;0,IN$2,JN13&lt;&gt;0,JN$2,KN13&lt;&gt;0,KN$2,LN13&lt;&gt;0,LN$2,TRUE,"")</f>
        <v/>
      </c>
      <c r="HO13" s="1" t="str" cm="1">
        <f t="array" ref="HO13">+_xlfn.IFS(IO13&lt;&gt;0,IO$2,JO13&lt;&gt;0,JO$2,KO13&lt;&gt;0,KO$2,LO13&lt;&gt;0,LO$2,TRUE,"")</f>
        <v/>
      </c>
      <c r="HP13" s="1" t="str" cm="1">
        <f t="array" ref="HP13">+_xlfn.IFS(IP13&lt;&gt;0,IP$2,JP13&lt;&gt;0,JP$2,KP13&lt;&gt;0,KP$2,LP13&lt;&gt;0,LP$2,TRUE,"")</f>
        <v/>
      </c>
      <c r="HQ13" s="1" t="str" cm="1">
        <f t="array" ref="HQ13">+_xlfn.IFS(IQ13&lt;&gt;0,IQ$2,JQ13&lt;&gt;0,JQ$2,KQ13&lt;&gt;0,KQ$2,LQ13&lt;&gt;0,LQ$2,TRUE,"")</f>
        <v>Upsell</v>
      </c>
      <c r="HR13" s="1" t="str" cm="1">
        <f t="array" ref="HR13">+_xlfn.IFS(IR13&lt;&gt;0,IR$2,JR13&lt;&gt;0,JR$2,KR13&lt;&gt;0,KR$2,LR13&lt;&gt;0,LR$2,TRUE,"")</f>
        <v>Upsell</v>
      </c>
      <c r="HS13" s="1" t="str" cm="1">
        <f t="array" ref="HS13">+_xlfn.IFS(IS13&lt;&gt;0,IS$2,JS13&lt;&gt;0,JS$2,KS13&lt;&gt;0,KS$2,LS13&lt;&gt;0,LS$2,TRUE,"")</f>
        <v>Upsell</v>
      </c>
      <c r="HT13" s="1" t="str" cm="1">
        <f t="array" ref="HT13">+_xlfn.IFS(IT13&lt;&gt;0,IT$2,JT13&lt;&gt;0,JT$2,KT13&lt;&gt;0,KT$2,LT13&lt;&gt;0,LT$2,TRUE,"")</f>
        <v>Upsell</v>
      </c>
      <c r="HV13" s="111">
        <f t="shared" si="128"/>
        <v>0</v>
      </c>
      <c r="HW13" s="110">
        <f t="shared" si="129"/>
        <v>0</v>
      </c>
      <c r="HX13" s="110">
        <f t="shared" si="130"/>
        <v>0</v>
      </c>
      <c r="HY13" s="110">
        <f t="shared" si="131"/>
        <v>0</v>
      </c>
      <c r="HZ13" s="110">
        <f t="shared" si="132"/>
        <v>0</v>
      </c>
      <c r="IA13" s="110">
        <f t="shared" si="133"/>
        <v>0</v>
      </c>
      <c r="IB13" s="110">
        <f t="shared" si="134"/>
        <v>0</v>
      </c>
      <c r="IC13" s="110">
        <f t="shared" si="135"/>
        <v>0</v>
      </c>
      <c r="ID13" s="110">
        <f t="shared" si="136"/>
        <v>0</v>
      </c>
      <c r="IE13" s="110">
        <f t="shared" si="137"/>
        <v>0</v>
      </c>
      <c r="IF13" s="110">
        <f t="shared" si="138"/>
        <v>0</v>
      </c>
      <c r="IG13" s="110">
        <f t="shared" si="139"/>
        <v>0</v>
      </c>
      <c r="IH13" s="110">
        <f t="shared" si="140"/>
        <v>0</v>
      </c>
      <c r="II13" s="110">
        <f t="shared" si="141"/>
        <v>0</v>
      </c>
      <c r="IJ13" s="110">
        <f t="shared" si="142"/>
        <v>0</v>
      </c>
      <c r="IK13" s="110">
        <f t="shared" si="143"/>
        <v>0</v>
      </c>
      <c r="IL13" s="110">
        <f t="shared" si="144"/>
        <v>0</v>
      </c>
      <c r="IM13" s="110">
        <f t="shared" si="145"/>
        <v>0</v>
      </c>
      <c r="IN13" s="110">
        <f t="shared" si="146"/>
        <v>0</v>
      </c>
      <c r="IO13" s="110">
        <f t="shared" si="147"/>
        <v>0</v>
      </c>
      <c r="IP13" s="110">
        <f t="shared" si="148"/>
        <v>0</v>
      </c>
      <c r="IQ13" s="110">
        <f t="shared" si="149"/>
        <v>0</v>
      </c>
      <c r="IR13" s="110">
        <f t="shared" si="150"/>
        <v>0</v>
      </c>
      <c r="IS13" s="110">
        <f t="shared" si="151"/>
        <v>0</v>
      </c>
      <c r="IT13" s="110">
        <f t="shared" si="152"/>
        <v>0</v>
      </c>
      <c r="IV13" s="111">
        <f t="shared" si="153"/>
        <v>0</v>
      </c>
      <c r="IW13" s="110">
        <f t="shared" si="154"/>
        <v>0</v>
      </c>
      <c r="IX13" s="110">
        <f t="shared" si="155"/>
        <v>0</v>
      </c>
      <c r="IY13" s="110">
        <f t="shared" si="156"/>
        <v>0</v>
      </c>
      <c r="IZ13" s="110">
        <f t="shared" si="157"/>
        <v>0</v>
      </c>
      <c r="JA13" s="110">
        <f t="shared" si="158"/>
        <v>0</v>
      </c>
      <c r="JB13" s="110">
        <f t="shared" si="159"/>
        <v>0</v>
      </c>
      <c r="JC13" s="110">
        <f t="shared" si="160"/>
        <v>0</v>
      </c>
      <c r="JD13" s="110">
        <f t="shared" si="161"/>
        <v>0</v>
      </c>
      <c r="JE13" s="110">
        <f t="shared" si="162"/>
        <v>0</v>
      </c>
      <c r="JF13" s="110">
        <f t="shared" si="163"/>
        <v>0</v>
      </c>
      <c r="JG13" s="110">
        <f t="shared" si="164"/>
        <v>0</v>
      </c>
      <c r="JH13" s="110">
        <f t="shared" si="165"/>
        <v>0</v>
      </c>
      <c r="JI13" s="110">
        <f t="shared" si="166"/>
        <v>0</v>
      </c>
      <c r="JJ13" s="110">
        <f t="shared" si="167"/>
        <v>0</v>
      </c>
      <c r="JK13" s="110">
        <f t="shared" si="168"/>
        <v>0</v>
      </c>
      <c r="JL13" s="110">
        <f t="shared" si="169"/>
        <v>0</v>
      </c>
      <c r="JM13" s="110">
        <f t="shared" si="170"/>
        <v>0</v>
      </c>
      <c r="JN13" s="110">
        <f t="shared" si="171"/>
        <v>0</v>
      </c>
      <c r="JO13" s="110">
        <f t="shared" si="172"/>
        <v>0</v>
      </c>
      <c r="JP13" s="110">
        <f t="shared" si="173"/>
        <v>0</v>
      </c>
      <c r="JQ13" s="110">
        <f t="shared" si="174"/>
        <v>0</v>
      </c>
      <c r="JR13" s="110">
        <f t="shared" si="175"/>
        <v>0</v>
      </c>
      <c r="JS13" s="110">
        <f t="shared" si="176"/>
        <v>0</v>
      </c>
      <c r="JT13" s="110">
        <f t="shared" si="177"/>
        <v>0</v>
      </c>
      <c r="JV13" s="111">
        <f t="shared" si="178"/>
        <v>-100</v>
      </c>
      <c r="JW13" s="110">
        <f t="shared" si="179"/>
        <v>-100</v>
      </c>
      <c r="JX13" s="110">
        <f t="shared" si="180"/>
        <v>-100</v>
      </c>
      <c r="JY13" s="110">
        <f t="shared" si="181"/>
        <v>-100</v>
      </c>
      <c r="JZ13" s="110">
        <f t="shared" si="182"/>
        <v>-100</v>
      </c>
      <c r="KA13" s="110">
        <f t="shared" si="183"/>
        <v>-100</v>
      </c>
      <c r="KB13" s="110">
        <f t="shared" si="184"/>
        <v>0</v>
      </c>
      <c r="KC13" s="110">
        <f t="shared" si="185"/>
        <v>0</v>
      </c>
      <c r="KD13" s="110">
        <f t="shared" si="186"/>
        <v>0</v>
      </c>
      <c r="KE13" s="110">
        <f t="shared" si="187"/>
        <v>0</v>
      </c>
      <c r="KF13" s="110">
        <f t="shared" si="188"/>
        <v>0</v>
      </c>
      <c r="KG13" s="110">
        <f t="shared" si="189"/>
        <v>0</v>
      </c>
      <c r="KH13" s="110">
        <f t="shared" si="190"/>
        <v>0</v>
      </c>
      <c r="KI13" s="110">
        <f t="shared" si="191"/>
        <v>0</v>
      </c>
      <c r="KJ13" s="110">
        <f t="shared" si="192"/>
        <v>0</v>
      </c>
      <c r="KK13" s="110">
        <f t="shared" si="193"/>
        <v>0</v>
      </c>
      <c r="KL13" s="110">
        <f t="shared" si="194"/>
        <v>0</v>
      </c>
      <c r="KM13" s="110">
        <f t="shared" si="195"/>
        <v>0</v>
      </c>
      <c r="KN13" s="110">
        <f t="shared" si="196"/>
        <v>0</v>
      </c>
      <c r="KO13" s="110">
        <f t="shared" si="197"/>
        <v>0</v>
      </c>
      <c r="KP13" s="110">
        <f t="shared" si="198"/>
        <v>0</v>
      </c>
      <c r="KQ13" s="110">
        <f t="shared" si="199"/>
        <v>0</v>
      </c>
      <c r="KR13" s="110">
        <f t="shared" si="200"/>
        <v>0</v>
      </c>
      <c r="KS13" s="110">
        <f t="shared" si="201"/>
        <v>0</v>
      </c>
      <c r="KT13" s="110">
        <f t="shared" si="202"/>
        <v>0</v>
      </c>
      <c r="KV13" s="111">
        <f t="shared" si="203"/>
        <v>0</v>
      </c>
      <c r="KW13" s="110">
        <f t="shared" si="204"/>
        <v>0</v>
      </c>
      <c r="KX13" s="110">
        <f t="shared" si="205"/>
        <v>0</v>
      </c>
      <c r="KY13" s="110">
        <f t="shared" si="206"/>
        <v>0</v>
      </c>
      <c r="KZ13" s="110">
        <f t="shared" si="207"/>
        <v>0</v>
      </c>
      <c r="LA13" s="110">
        <f t="shared" si="208"/>
        <v>0</v>
      </c>
      <c r="LB13" s="110">
        <f t="shared" si="209"/>
        <v>0</v>
      </c>
      <c r="LC13" s="110">
        <f t="shared" si="210"/>
        <v>0</v>
      </c>
      <c r="LD13" s="110">
        <f t="shared" si="211"/>
        <v>0</v>
      </c>
      <c r="LE13" s="110">
        <f t="shared" si="212"/>
        <v>0</v>
      </c>
      <c r="LF13" s="110">
        <f t="shared" si="213"/>
        <v>0</v>
      </c>
      <c r="LG13" s="110">
        <f t="shared" si="214"/>
        <v>0</v>
      </c>
      <c r="LH13" s="110">
        <f t="shared" si="215"/>
        <v>0</v>
      </c>
      <c r="LI13" s="110">
        <f t="shared" si="216"/>
        <v>0</v>
      </c>
      <c r="LJ13" s="110">
        <f t="shared" si="217"/>
        <v>0</v>
      </c>
      <c r="LK13" s="110">
        <f t="shared" si="218"/>
        <v>0</v>
      </c>
      <c r="LL13" s="110">
        <f t="shared" si="219"/>
        <v>0</v>
      </c>
      <c r="LM13" s="110">
        <f t="shared" si="220"/>
        <v>0</v>
      </c>
      <c r="LN13" s="110">
        <f t="shared" si="221"/>
        <v>0</v>
      </c>
      <c r="LO13" s="110">
        <f t="shared" si="222"/>
        <v>0</v>
      </c>
      <c r="LP13" s="110">
        <f t="shared" si="223"/>
        <v>0</v>
      </c>
      <c r="LQ13" s="110">
        <f t="shared" si="224"/>
        <v>6.2700000000000102</v>
      </c>
      <c r="LR13" s="110">
        <f t="shared" si="225"/>
        <v>6.2700000000000102</v>
      </c>
      <c r="LS13" s="110">
        <f t="shared" si="226"/>
        <v>6.2700000000000102</v>
      </c>
      <c r="LT13" s="110">
        <f t="shared" si="227"/>
        <v>6.2700000000000102</v>
      </c>
      <c r="LV13" s="111"/>
      <c r="LW13" s="110">
        <f t="shared" si="228"/>
        <v>0</v>
      </c>
      <c r="LX13" s="110">
        <f t="shared" si="229"/>
        <v>0</v>
      </c>
      <c r="LY13" s="110">
        <f t="shared" si="230"/>
        <v>0</v>
      </c>
      <c r="LZ13" s="110">
        <f t="shared" si="231"/>
        <v>0</v>
      </c>
      <c r="MA13" s="110">
        <f t="shared" si="232"/>
        <v>0</v>
      </c>
      <c r="MB13" s="110">
        <f t="shared" si="233"/>
        <v>0</v>
      </c>
      <c r="MC13" s="110">
        <f t="shared" si="234"/>
        <v>0</v>
      </c>
      <c r="MD13" s="110">
        <f t="shared" si="235"/>
        <v>0</v>
      </c>
      <c r="ME13" s="110">
        <f t="shared" si="236"/>
        <v>0</v>
      </c>
      <c r="MF13" s="110">
        <f t="shared" si="237"/>
        <v>0</v>
      </c>
      <c r="MG13" s="110">
        <f t="shared" si="238"/>
        <v>0</v>
      </c>
      <c r="MH13" s="110">
        <f t="shared" si="239"/>
        <v>0</v>
      </c>
      <c r="MI13" s="110">
        <f t="shared" si="240"/>
        <v>0</v>
      </c>
      <c r="MJ13" s="110">
        <f t="shared" si="241"/>
        <v>0</v>
      </c>
      <c r="MK13" s="110">
        <f t="shared" si="242"/>
        <v>0</v>
      </c>
      <c r="ML13" s="110">
        <f t="shared" si="243"/>
        <v>0</v>
      </c>
      <c r="MM13" s="110">
        <f t="shared" si="244"/>
        <v>0</v>
      </c>
      <c r="MN13" s="110">
        <f t="shared" si="245"/>
        <v>0</v>
      </c>
      <c r="MO13" s="110">
        <f t="shared" si="246"/>
        <v>0</v>
      </c>
      <c r="MP13" s="110">
        <f t="shared" si="247"/>
        <v>0</v>
      </c>
      <c r="MQ13" s="110">
        <f t="shared" si="248"/>
        <v>0</v>
      </c>
      <c r="MR13" s="110">
        <f t="shared" si="249"/>
        <v>0</v>
      </c>
      <c r="MS13" s="110">
        <f t="shared" si="250"/>
        <v>0</v>
      </c>
      <c r="MT13" s="110">
        <f t="shared" si="251"/>
        <v>0</v>
      </c>
      <c r="MV13" s="114">
        <v>185.27</v>
      </c>
      <c r="MW13" s="114">
        <v>0</v>
      </c>
      <c r="MX13" s="114">
        <v>6.2700000000000102</v>
      </c>
      <c r="MY13" s="114">
        <v>0</v>
      </c>
      <c r="MZ13" s="114">
        <v>0</v>
      </c>
      <c r="NB13" s="115">
        <v>57</v>
      </c>
      <c r="NC13" s="115" t="str">
        <v>N/A</v>
      </c>
      <c r="ND13" s="115">
        <v>39</v>
      </c>
      <c r="NE13" s="115" t="str">
        <v>N/A</v>
      </c>
      <c r="NF13" s="115" t="str">
        <v>N/A</v>
      </c>
    </row>
    <row r="14" spans="2:376" ht="13.5" x14ac:dyDescent="0.25">
      <c r="B14" s="8">
        <f t="shared" si="252"/>
        <v>11</v>
      </c>
      <c r="C14" s="7">
        <v>170.05</v>
      </c>
      <c r="D14" s="7">
        <v>170.05</v>
      </c>
      <c r="E14" s="7">
        <v>170.05</v>
      </c>
      <c r="F14" s="7">
        <v>170.05</v>
      </c>
      <c r="G14" s="7">
        <v>170.05</v>
      </c>
      <c r="H14" s="7">
        <v>170.05</v>
      </c>
      <c r="I14" s="7">
        <v>170.05</v>
      </c>
      <c r="J14" s="7">
        <v>170.05</v>
      </c>
      <c r="K14" s="7">
        <v>170.05</v>
      </c>
      <c r="L14" s="7">
        <v>170.05</v>
      </c>
      <c r="M14" s="7">
        <v>179</v>
      </c>
      <c r="N14" s="7">
        <v>179</v>
      </c>
      <c r="O14" s="7">
        <v>179</v>
      </c>
      <c r="P14" s="7">
        <v>179</v>
      </c>
      <c r="Q14" s="7">
        <v>179</v>
      </c>
      <c r="R14" s="7">
        <v>179</v>
      </c>
      <c r="S14" s="7">
        <v>179</v>
      </c>
      <c r="T14" s="7">
        <v>179</v>
      </c>
      <c r="U14" s="7">
        <v>179</v>
      </c>
      <c r="V14" s="7">
        <v>179</v>
      </c>
      <c r="W14" s="7">
        <v>179</v>
      </c>
      <c r="X14" s="7">
        <v>179</v>
      </c>
      <c r="Y14" s="7">
        <v>179</v>
      </c>
      <c r="Z14" s="7">
        <v>179</v>
      </c>
      <c r="AA14" s="7">
        <v>179</v>
      </c>
      <c r="AB14" s="7">
        <v>179</v>
      </c>
      <c r="AC14" s="7">
        <v>179</v>
      </c>
      <c r="AD14" s="7">
        <v>179</v>
      </c>
      <c r="AE14" s="7">
        <v>179</v>
      </c>
      <c r="AF14" s="7">
        <v>179</v>
      </c>
      <c r="AG14" s="7">
        <v>179</v>
      </c>
      <c r="AH14" s="7">
        <v>179</v>
      </c>
      <c r="AI14" s="7">
        <v>179</v>
      </c>
      <c r="AJ14" s="7">
        <v>179</v>
      </c>
      <c r="AK14" s="7">
        <v>179</v>
      </c>
      <c r="AL14" s="7">
        <v>179</v>
      </c>
      <c r="AM14" s="7">
        <v>179</v>
      </c>
      <c r="AN14" s="27">
        <v>11</v>
      </c>
      <c r="AP14" s="111"/>
      <c r="AQ14" s="110">
        <f t="shared" si="13"/>
        <v>0</v>
      </c>
      <c r="AR14" s="110">
        <f t="shared" si="14"/>
        <v>0</v>
      </c>
      <c r="AS14" s="110">
        <f t="shared" si="15"/>
        <v>0</v>
      </c>
      <c r="AT14" s="110">
        <f t="shared" si="16"/>
        <v>8.9499999999999886</v>
      </c>
      <c r="AU14" s="110">
        <f t="shared" si="17"/>
        <v>0</v>
      </c>
      <c r="AV14" s="110">
        <f t="shared" si="18"/>
        <v>0</v>
      </c>
      <c r="AW14" s="110">
        <f t="shared" si="19"/>
        <v>0</v>
      </c>
      <c r="AX14" s="110">
        <f t="shared" si="20"/>
        <v>0</v>
      </c>
      <c r="AY14" s="110">
        <f t="shared" si="21"/>
        <v>0</v>
      </c>
      <c r="AZ14" s="110">
        <f t="shared" si="22"/>
        <v>0</v>
      </c>
      <c r="BA14" s="110">
        <f t="shared" si="23"/>
        <v>0</v>
      </c>
      <c r="BB14" s="110">
        <f t="shared" si="24"/>
        <v>0</v>
      </c>
      <c r="BD14" s="109" cm="1">
        <f t="array" ref="BD14">+IFERROR(INDEX($C$3:$AM$3,MATCH(TRUE,INDEX($C14:$AM14&lt;&gt;0,0),0)),"N/A")</f>
        <v>44926</v>
      </c>
      <c r="BE14" s="112"/>
      <c r="BF14" s="1" t="str" cm="1">
        <f t="array" ref="BF14">+_xlfn.IFS(BT14&lt;&gt;0,BT$2,CH14&lt;&gt;0,CH$2,CV14&lt;&gt;0,CV$2,DJ14&lt;&gt;0,DJ$2,TRUE,"")</f>
        <v/>
      </c>
      <c r="BG14" s="1" t="str" cm="1">
        <f t="array" ref="BG14">+_xlfn.IFS(BU14&lt;&gt;0,BU$2,CI14&lt;&gt;0,CI$2,CW14&lt;&gt;0,CW$2,DK14&lt;&gt;0,DK$2,TRUE,"")</f>
        <v/>
      </c>
      <c r="BH14" s="1" t="str" cm="1">
        <f t="array" ref="BH14">+_xlfn.IFS(BV14&lt;&gt;0,BV$2,CJ14&lt;&gt;0,CJ$2,CX14&lt;&gt;0,CX$2,DL14&lt;&gt;0,DL$2,TRUE,"")</f>
        <v/>
      </c>
      <c r="BI14" s="1" t="str" cm="1">
        <f t="array" ref="BI14">+_xlfn.IFS(BW14&lt;&gt;0,BW$2,CK14&lt;&gt;0,CK$2,CY14&lt;&gt;0,CY$2,DM14&lt;&gt;0,DM$2,TRUE,"")</f>
        <v>Upsell</v>
      </c>
      <c r="BJ14" s="1" t="str" cm="1">
        <f t="array" ref="BJ14">+_xlfn.IFS(BX14&lt;&gt;0,BX$2,CL14&lt;&gt;0,CL$2,CZ14&lt;&gt;0,CZ$2,DN14&lt;&gt;0,DN$2,TRUE,"")</f>
        <v/>
      </c>
      <c r="BK14" s="1" t="str" cm="1">
        <f t="array" ref="BK14">+_xlfn.IFS(BY14&lt;&gt;0,BY$2,CM14&lt;&gt;0,CM$2,DA14&lt;&gt;0,DA$2,DO14&lt;&gt;0,DO$2,TRUE,"")</f>
        <v/>
      </c>
      <c r="BL14" s="1" t="str" cm="1">
        <f t="array" ref="BL14">+_xlfn.IFS(BZ14&lt;&gt;0,BZ$2,CN14&lt;&gt;0,CN$2,DB14&lt;&gt;0,DB$2,DP14&lt;&gt;0,DP$2,TRUE,"")</f>
        <v/>
      </c>
      <c r="BM14" s="1" t="str" cm="1">
        <f t="array" ref="BM14">+_xlfn.IFS(CA14&lt;&gt;0,CA$2,CO14&lt;&gt;0,CO$2,DC14&lt;&gt;0,DC$2,DQ14&lt;&gt;0,DQ$2,TRUE,"")</f>
        <v/>
      </c>
      <c r="BN14" s="1" t="str" cm="1">
        <f t="array" ref="BN14">+_xlfn.IFS(CB14&lt;&gt;0,CB$2,CP14&lt;&gt;0,CP$2,DD14&lt;&gt;0,DD$2,DR14&lt;&gt;0,DR$2,TRUE,"")</f>
        <v/>
      </c>
      <c r="BO14" s="1" t="str" cm="1">
        <f t="array" ref="BO14">+_xlfn.IFS(CC14&lt;&gt;0,CC$2,CQ14&lt;&gt;0,CQ$2,DE14&lt;&gt;0,DE$2,DS14&lt;&gt;0,DS$2,TRUE,"")</f>
        <v/>
      </c>
      <c r="BP14" s="1" t="str" cm="1">
        <f t="array" ref="BP14">+_xlfn.IFS(CD14&lt;&gt;0,CD$2,CR14&lt;&gt;0,CR$2,DF14&lt;&gt;0,DF$2,DT14&lt;&gt;0,DT$2,TRUE,"")</f>
        <v/>
      </c>
      <c r="BQ14" s="1" t="str" cm="1">
        <f t="array" ref="BQ14">+_xlfn.IFS(CE14&lt;&gt;0,CE$2,CS14&lt;&gt;0,CS$2,DG14&lt;&gt;0,DG$2,DU14&lt;&gt;0,DU$2,TRUE,"")</f>
        <v/>
      </c>
      <c r="BS14" s="111"/>
      <c r="BT14" s="110">
        <f t="shared" si="25"/>
        <v>0</v>
      </c>
      <c r="BU14" s="110">
        <f t="shared" si="26"/>
        <v>0</v>
      </c>
      <c r="BV14" s="110">
        <f t="shared" si="27"/>
        <v>0</v>
      </c>
      <c r="BW14" s="110">
        <f t="shared" si="28"/>
        <v>0</v>
      </c>
      <c r="BX14" s="110">
        <f t="shared" si="29"/>
        <v>0</v>
      </c>
      <c r="BY14" s="110">
        <f t="shared" si="30"/>
        <v>0</v>
      </c>
      <c r="BZ14" s="110">
        <f t="shared" si="31"/>
        <v>0</v>
      </c>
      <c r="CA14" s="110">
        <f t="shared" si="32"/>
        <v>0</v>
      </c>
      <c r="CB14" s="110">
        <f t="shared" si="33"/>
        <v>0</v>
      </c>
      <c r="CC14" s="110">
        <f t="shared" si="34"/>
        <v>0</v>
      </c>
      <c r="CD14" s="110">
        <f t="shared" si="35"/>
        <v>0</v>
      </c>
      <c r="CE14" s="110">
        <f t="shared" si="36"/>
        <v>0</v>
      </c>
      <c r="CG14" s="111"/>
      <c r="CH14" s="110">
        <f t="shared" si="37"/>
        <v>0</v>
      </c>
      <c r="CI14" s="110">
        <f t="shared" si="38"/>
        <v>0</v>
      </c>
      <c r="CJ14" s="110">
        <f t="shared" si="39"/>
        <v>0</v>
      </c>
      <c r="CK14" s="110">
        <f t="shared" si="40"/>
        <v>0</v>
      </c>
      <c r="CL14" s="110">
        <f t="shared" si="41"/>
        <v>0</v>
      </c>
      <c r="CM14" s="110">
        <f t="shared" si="42"/>
        <v>0</v>
      </c>
      <c r="CN14" s="110">
        <f t="shared" si="43"/>
        <v>0</v>
      </c>
      <c r="CO14" s="110">
        <f t="shared" si="44"/>
        <v>0</v>
      </c>
      <c r="CP14" s="110">
        <f t="shared" si="45"/>
        <v>0</v>
      </c>
      <c r="CQ14" s="110">
        <f t="shared" si="46"/>
        <v>0</v>
      </c>
      <c r="CR14" s="110">
        <f t="shared" si="47"/>
        <v>0</v>
      </c>
      <c r="CS14" s="110">
        <f t="shared" si="48"/>
        <v>0</v>
      </c>
      <c r="CU14" s="111"/>
      <c r="CV14" s="110">
        <f t="shared" si="49"/>
        <v>0</v>
      </c>
      <c r="CW14" s="110">
        <f t="shared" si="50"/>
        <v>0</v>
      </c>
      <c r="CX14" s="110">
        <f t="shared" si="51"/>
        <v>0</v>
      </c>
      <c r="CY14" s="110">
        <f t="shared" si="52"/>
        <v>0</v>
      </c>
      <c r="CZ14" s="110">
        <f t="shared" si="53"/>
        <v>0</v>
      </c>
      <c r="DA14" s="110">
        <f t="shared" si="54"/>
        <v>0</v>
      </c>
      <c r="DB14" s="110">
        <f t="shared" si="55"/>
        <v>0</v>
      </c>
      <c r="DC14" s="110">
        <f t="shared" si="56"/>
        <v>0</v>
      </c>
      <c r="DD14" s="110">
        <f t="shared" si="57"/>
        <v>0</v>
      </c>
      <c r="DE14" s="110">
        <f t="shared" si="58"/>
        <v>0</v>
      </c>
      <c r="DF14" s="110">
        <f t="shared" si="59"/>
        <v>0</v>
      </c>
      <c r="DG14" s="110">
        <f t="shared" si="60"/>
        <v>0</v>
      </c>
      <c r="DI14" s="111"/>
      <c r="DJ14" s="110">
        <f t="shared" si="61"/>
        <v>0</v>
      </c>
      <c r="DK14" s="110">
        <f t="shared" si="62"/>
        <v>0</v>
      </c>
      <c r="DL14" s="110">
        <f t="shared" si="63"/>
        <v>0</v>
      </c>
      <c r="DM14" s="110">
        <f t="shared" si="64"/>
        <v>8.9499999999999886</v>
      </c>
      <c r="DN14" s="110">
        <f t="shared" si="65"/>
        <v>0</v>
      </c>
      <c r="DO14" s="110">
        <f t="shared" si="66"/>
        <v>0</v>
      </c>
      <c r="DP14" s="110">
        <f t="shared" si="67"/>
        <v>0</v>
      </c>
      <c r="DQ14" s="110">
        <f t="shared" si="68"/>
        <v>0</v>
      </c>
      <c r="DR14" s="110">
        <f t="shared" si="69"/>
        <v>0</v>
      </c>
      <c r="DS14" s="110">
        <f t="shared" si="70"/>
        <v>0</v>
      </c>
      <c r="DT14" s="110">
        <f t="shared" si="71"/>
        <v>0</v>
      </c>
      <c r="DU14" s="110">
        <f t="shared" si="72"/>
        <v>0</v>
      </c>
      <c r="DW14" s="111"/>
      <c r="DX14" s="110">
        <f t="shared" si="73"/>
        <v>0</v>
      </c>
      <c r="DY14" s="110">
        <f t="shared" si="74"/>
        <v>0</v>
      </c>
      <c r="DZ14" s="110">
        <f t="shared" si="75"/>
        <v>0</v>
      </c>
      <c r="EA14" s="110">
        <f t="shared" si="76"/>
        <v>0</v>
      </c>
      <c r="EB14" s="110">
        <f t="shared" si="77"/>
        <v>0</v>
      </c>
      <c r="EC14" s="110">
        <f t="shared" si="78"/>
        <v>0</v>
      </c>
      <c r="ED14" s="110">
        <f t="shared" si="79"/>
        <v>0</v>
      </c>
      <c r="EE14" s="110">
        <f t="shared" si="80"/>
        <v>0</v>
      </c>
      <c r="EF14" s="110">
        <f t="shared" si="81"/>
        <v>0</v>
      </c>
      <c r="EG14" s="110">
        <f t="shared" si="82"/>
        <v>0</v>
      </c>
      <c r="EH14" s="110">
        <f t="shared" si="83"/>
        <v>0</v>
      </c>
      <c r="EI14" s="110">
        <f t="shared" si="84"/>
        <v>0</v>
      </c>
      <c r="EK14" s="111"/>
      <c r="EL14" s="110">
        <f t="shared" si="85"/>
        <v>8.9499999999999886</v>
      </c>
      <c r="EM14" s="110">
        <f t="shared" si="86"/>
        <v>0</v>
      </c>
      <c r="EN14" s="110">
        <f t="shared" si="87"/>
        <v>0</v>
      </c>
      <c r="EP14" s="109" cm="1">
        <f t="array" ref="EP14">+IFERROR(INDEX($C$3:$AM$3,MATCH(TRUE,INDEX($C14:$AM14&lt;&gt;0,0),0)),"N/A")</f>
        <v>44926</v>
      </c>
      <c r="EQ14" s="112"/>
      <c r="ER14" s="1" t="str" cm="1">
        <f t="array" ref="ER14">+_xlfn.IFS(EW14&lt;&gt;0,EW$2,FB14&lt;&gt;0,FB$2,FG14&lt;&gt;0,FG$2,FL14&lt;&gt;0,FL$2,TRUE,"")</f>
        <v>Upsell</v>
      </c>
      <c r="ES14" s="1" t="str" cm="1">
        <f t="array" ref="ES14">+_xlfn.IFS(EX14&lt;&gt;0,EX$2,FC14&lt;&gt;0,FC$2,FH14&lt;&gt;0,FH$2,FM14&lt;&gt;0,FM$2,TRUE,"")</f>
        <v/>
      </c>
      <c r="ET14" s="1" t="str" cm="1">
        <f t="array" ref="ET14">+_xlfn.IFS(EY14&lt;&gt;0,EY$2,FD14&lt;&gt;0,FD$2,FI14&lt;&gt;0,FI$2,FN14&lt;&gt;0,FN$2,TRUE,"")</f>
        <v/>
      </c>
      <c r="EV14" s="111"/>
      <c r="EW14" s="110">
        <f t="shared" si="88"/>
        <v>0</v>
      </c>
      <c r="EX14" s="110">
        <f t="shared" si="89"/>
        <v>0</v>
      </c>
      <c r="EY14" s="110">
        <f t="shared" si="90"/>
        <v>0</v>
      </c>
      <c r="FA14" s="111"/>
      <c r="FB14" s="110">
        <f t="shared" si="91"/>
        <v>0</v>
      </c>
      <c r="FC14" s="110">
        <f t="shared" si="92"/>
        <v>0</v>
      </c>
      <c r="FD14" s="110">
        <f t="shared" si="93"/>
        <v>0</v>
      </c>
      <c r="FF14" s="111"/>
      <c r="FG14" s="110">
        <f t="shared" si="94"/>
        <v>0</v>
      </c>
      <c r="FH14" s="110">
        <f t="shared" si="95"/>
        <v>0</v>
      </c>
      <c r="FI14" s="110">
        <f t="shared" si="96"/>
        <v>0</v>
      </c>
      <c r="FK14" s="111"/>
      <c r="FL14" s="110">
        <f t="shared" si="97"/>
        <v>8.9499999999999886</v>
      </c>
      <c r="FM14" s="110">
        <f t="shared" si="98"/>
        <v>0</v>
      </c>
      <c r="FN14" s="110">
        <f t="shared" si="99"/>
        <v>0</v>
      </c>
      <c r="FP14" s="111"/>
      <c r="FQ14" s="110">
        <f t="shared" si="100"/>
        <v>0</v>
      </c>
      <c r="FR14" s="110">
        <f t="shared" si="101"/>
        <v>0</v>
      </c>
      <c r="FS14" s="110">
        <f t="shared" si="102"/>
        <v>0</v>
      </c>
      <c r="FU14" s="111">
        <f t="shared" si="103"/>
        <v>8.9499999999999886</v>
      </c>
      <c r="FV14" s="110">
        <f t="shared" si="104"/>
        <v>8.9499999999999886</v>
      </c>
      <c r="FW14" s="110">
        <f t="shared" si="105"/>
        <v>8.9499999999999886</v>
      </c>
      <c r="FX14" s="110">
        <f t="shared" si="106"/>
        <v>8.9499999999999886</v>
      </c>
      <c r="FY14" s="110">
        <f t="shared" si="107"/>
        <v>8.9499999999999886</v>
      </c>
      <c r="FZ14" s="110">
        <f t="shared" si="108"/>
        <v>8.9499999999999886</v>
      </c>
      <c r="GA14" s="110">
        <f t="shared" si="109"/>
        <v>8.9499999999999886</v>
      </c>
      <c r="GB14" s="110">
        <f t="shared" si="110"/>
        <v>8.9499999999999886</v>
      </c>
      <c r="GC14" s="110">
        <f t="shared" si="111"/>
        <v>8.9499999999999886</v>
      </c>
      <c r="GD14" s="110">
        <f t="shared" si="112"/>
        <v>8.9499999999999886</v>
      </c>
      <c r="GE14" s="110">
        <f t="shared" si="113"/>
        <v>0</v>
      </c>
      <c r="GF14" s="110">
        <f t="shared" si="114"/>
        <v>0</v>
      </c>
      <c r="GG14" s="110">
        <f t="shared" si="115"/>
        <v>0</v>
      </c>
      <c r="GH14" s="110">
        <f t="shared" si="116"/>
        <v>0</v>
      </c>
      <c r="GI14" s="110">
        <f t="shared" si="117"/>
        <v>0</v>
      </c>
      <c r="GJ14" s="110">
        <f t="shared" si="118"/>
        <v>0</v>
      </c>
      <c r="GK14" s="110">
        <f t="shared" si="119"/>
        <v>0</v>
      </c>
      <c r="GL14" s="110">
        <f t="shared" si="120"/>
        <v>0</v>
      </c>
      <c r="GM14" s="110">
        <f t="shared" si="121"/>
        <v>0</v>
      </c>
      <c r="GN14" s="110">
        <f t="shared" si="122"/>
        <v>0</v>
      </c>
      <c r="GO14" s="110">
        <f t="shared" si="123"/>
        <v>0</v>
      </c>
      <c r="GP14" s="110">
        <f t="shared" si="124"/>
        <v>0</v>
      </c>
      <c r="GQ14" s="110">
        <f t="shared" si="125"/>
        <v>0</v>
      </c>
      <c r="GR14" s="110">
        <f t="shared" si="126"/>
        <v>0</v>
      </c>
      <c r="GS14" s="110">
        <f t="shared" si="127"/>
        <v>0</v>
      </c>
      <c r="GU14" s="109" cm="1">
        <f t="array" ref="GU14">+IFERROR(INDEX($C$3:$AM$3,MATCH(TRUE,INDEX($C14:$AM14&lt;&gt;0,0),0)),"N/A")</f>
        <v>44926</v>
      </c>
      <c r="GV14" s="112" t="str" cm="1">
        <f t="array" ref="GV14">+_xlfn.IFS(HV14&lt;&gt;0,HV$2,IV14&lt;&gt;0,IV$2,JV14&lt;&gt;0,JV$2,KV14&lt;&gt;0,KV$2,TRUE,"")</f>
        <v>Upsell</v>
      </c>
      <c r="GW14" s="1" t="str" cm="1">
        <f t="array" ref="GW14">+_xlfn.IFS(HW14&lt;&gt;0,HW$2,IW14&lt;&gt;0,IW$2,JW14&lt;&gt;0,JW$2,KW14&lt;&gt;0,KW$2,TRUE,"")</f>
        <v>Upsell</v>
      </c>
      <c r="GX14" s="1" t="str" cm="1">
        <f t="array" ref="GX14">+_xlfn.IFS(HX14&lt;&gt;0,HX$2,IX14&lt;&gt;0,IX$2,JX14&lt;&gt;0,JX$2,KX14&lt;&gt;0,KX$2,TRUE,"")</f>
        <v>Upsell</v>
      </c>
      <c r="GY14" s="1" t="str" cm="1">
        <f t="array" ref="GY14">+_xlfn.IFS(HY14&lt;&gt;0,HY$2,IY14&lt;&gt;0,IY$2,JY14&lt;&gt;0,JY$2,KY14&lt;&gt;0,KY$2,TRUE,"")</f>
        <v>Upsell</v>
      </c>
      <c r="GZ14" s="1" t="str" cm="1">
        <f t="array" ref="GZ14">+_xlfn.IFS(HZ14&lt;&gt;0,HZ$2,IZ14&lt;&gt;0,IZ$2,JZ14&lt;&gt;0,JZ$2,KZ14&lt;&gt;0,KZ$2,TRUE,"")</f>
        <v>Upsell</v>
      </c>
      <c r="HA14" s="1" t="str" cm="1">
        <f t="array" ref="HA14">+_xlfn.IFS(IA14&lt;&gt;0,IA$2,JA14&lt;&gt;0,JA$2,KA14&lt;&gt;0,KA$2,LA14&lt;&gt;0,LA$2,TRUE,"")</f>
        <v>Upsell</v>
      </c>
      <c r="HB14" s="1" t="str" cm="1">
        <f t="array" ref="HB14">+_xlfn.IFS(IB14&lt;&gt;0,IB$2,JB14&lt;&gt;0,JB$2,KB14&lt;&gt;0,KB$2,LB14&lt;&gt;0,LB$2,TRUE,"")</f>
        <v>Upsell</v>
      </c>
      <c r="HC14" s="1" t="str" cm="1">
        <f t="array" ref="HC14">+_xlfn.IFS(IC14&lt;&gt;0,IC$2,JC14&lt;&gt;0,JC$2,KC14&lt;&gt;0,KC$2,LC14&lt;&gt;0,LC$2,TRUE,"")</f>
        <v>Upsell</v>
      </c>
      <c r="HD14" s="1" t="str" cm="1">
        <f t="array" ref="HD14">+_xlfn.IFS(ID14&lt;&gt;0,ID$2,JD14&lt;&gt;0,JD$2,KD14&lt;&gt;0,KD$2,LD14&lt;&gt;0,LD$2,TRUE,"")</f>
        <v>Upsell</v>
      </c>
      <c r="HE14" s="1" t="str" cm="1">
        <f t="array" ref="HE14">+_xlfn.IFS(IE14&lt;&gt;0,IE$2,JE14&lt;&gt;0,JE$2,KE14&lt;&gt;0,KE$2,LE14&lt;&gt;0,LE$2,TRUE,"")</f>
        <v>Upsell</v>
      </c>
      <c r="HF14" s="1" t="str" cm="1">
        <f t="array" ref="HF14">+_xlfn.IFS(IF14&lt;&gt;0,IF$2,JF14&lt;&gt;0,JF$2,KF14&lt;&gt;0,KF$2,LF14&lt;&gt;0,LF$2,TRUE,"")</f>
        <v/>
      </c>
      <c r="HG14" s="1" t="str" cm="1">
        <f t="array" ref="HG14">+_xlfn.IFS(IG14&lt;&gt;0,IG$2,JG14&lt;&gt;0,JG$2,KG14&lt;&gt;0,KG$2,LG14&lt;&gt;0,LG$2,TRUE,"")</f>
        <v/>
      </c>
      <c r="HH14" s="1" t="str" cm="1">
        <f t="array" ref="HH14">+_xlfn.IFS(IH14&lt;&gt;0,IH$2,JH14&lt;&gt;0,JH$2,KH14&lt;&gt;0,KH$2,LH14&lt;&gt;0,LH$2,TRUE,"")</f>
        <v/>
      </c>
      <c r="HI14" s="1" t="str" cm="1">
        <f t="array" ref="HI14">+_xlfn.IFS(II14&lt;&gt;0,II$2,JI14&lt;&gt;0,JI$2,KI14&lt;&gt;0,KI$2,LI14&lt;&gt;0,LI$2,TRUE,"")</f>
        <v/>
      </c>
      <c r="HJ14" s="1" t="str" cm="1">
        <f t="array" ref="HJ14">+_xlfn.IFS(IJ14&lt;&gt;0,IJ$2,JJ14&lt;&gt;0,JJ$2,KJ14&lt;&gt;0,KJ$2,LJ14&lt;&gt;0,LJ$2,TRUE,"")</f>
        <v/>
      </c>
      <c r="HK14" s="1" t="str" cm="1">
        <f t="array" ref="HK14">+_xlfn.IFS(IK14&lt;&gt;0,IK$2,JK14&lt;&gt;0,JK$2,KK14&lt;&gt;0,KK$2,LK14&lt;&gt;0,LK$2,TRUE,"")</f>
        <v/>
      </c>
      <c r="HL14" s="1" t="str" cm="1">
        <f t="array" ref="HL14">+_xlfn.IFS(IL14&lt;&gt;0,IL$2,JL14&lt;&gt;0,JL$2,KL14&lt;&gt;0,KL$2,LL14&lt;&gt;0,LL$2,TRUE,"")</f>
        <v/>
      </c>
      <c r="HM14" s="1" t="str" cm="1">
        <f t="array" ref="HM14">+_xlfn.IFS(IM14&lt;&gt;0,IM$2,JM14&lt;&gt;0,JM$2,KM14&lt;&gt;0,KM$2,LM14&lt;&gt;0,LM$2,TRUE,"")</f>
        <v/>
      </c>
      <c r="HN14" s="1" t="str" cm="1">
        <f t="array" ref="HN14">+_xlfn.IFS(IN14&lt;&gt;0,IN$2,JN14&lt;&gt;0,JN$2,KN14&lt;&gt;0,KN$2,LN14&lt;&gt;0,LN$2,TRUE,"")</f>
        <v/>
      </c>
      <c r="HO14" s="1" t="str" cm="1">
        <f t="array" ref="HO14">+_xlfn.IFS(IO14&lt;&gt;0,IO$2,JO14&lt;&gt;0,JO$2,KO14&lt;&gt;0,KO$2,LO14&lt;&gt;0,LO$2,TRUE,"")</f>
        <v/>
      </c>
      <c r="HP14" s="1" t="str" cm="1">
        <f t="array" ref="HP14">+_xlfn.IFS(IP14&lt;&gt;0,IP$2,JP14&lt;&gt;0,JP$2,KP14&lt;&gt;0,KP$2,LP14&lt;&gt;0,LP$2,TRUE,"")</f>
        <v/>
      </c>
      <c r="HQ14" s="1" t="str" cm="1">
        <f t="array" ref="HQ14">+_xlfn.IFS(IQ14&lt;&gt;0,IQ$2,JQ14&lt;&gt;0,JQ$2,KQ14&lt;&gt;0,KQ$2,LQ14&lt;&gt;0,LQ$2,TRUE,"")</f>
        <v/>
      </c>
      <c r="HR14" s="1" t="str" cm="1">
        <f t="array" ref="HR14">+_xlfn.IFS(IR14&lt;&gt;0,IR$2,JR14&lt;&gt;0,JR$2,KR14&lt;&gt;0,KR$2,LR14&lt;&gt;0,LR$2,TRUE,"")</f>
        <v/>
      </c>
      <c r="HS14" s="1" t="str" cm="1">
        <f t="array" ref="HS14">+_xlfn.IFS(IS14&lt;&gt;0,IS$2,JS14&lt;&gt;0,JS$2,KS14&lt;&gt;0,KS$2,LS14&lt;&gt;0,LS$2,TRUE,"")</f>
        <v/>
      </c>
      <c r="HT14" s="1" t="str" cm="1">
        <f t="array" ref="HT14">+_xlfn.IFS(IT14&lt;&gt;0,IT$2,JT14&lt;&gt;0,JT$2,KT14&lt;&gt;0,KT$2,LT14&lt;&gt;0,LT$2,TRUE,"")</f>
        <v/>
      </c>
      <c r="HV14" s="111">
        <f t="shared" si="128"/>
        <v>0</v>
      </c>
      <c r="HW14" s="110">
        <f t="shared" si="129"/>
        <v>0</v>
      </c>
      <c r="HX14" s="110">
        <f t="shared" si="130"/>
        <v>0</v>
      </c>
      <c r="HY14" s="110">
        <f t="shared" si="131"/>
        <v>0</v>
      </c>
      <c r="HZ14" s="110">
        <f t="shared" si="132"/>
        <v>0</v>
      </c>
      <c r="IA14" s="110">
        <f t="shared" si="133"/>
        <v>0</v>
      </c>
      <c r="IB14" s="110">
        <f t="shared" si="134"/>
        <v>0</v>
      </c>
      <c r="IC14" s="110">
        <f t="shared" si="135"/>
        <v>0</v>
      </c>
      <c r="ID14" s="110">
        <f t="shared" si="136"/>
        <v>0</v>
      </c>
      <c r="IE14" s="110">
        <f t="shared" si="137"/>
        <v>0</v>
      </c>
      <c r="IF14" s="110">
        <f t="shared" si="138"/>
        <v>0</v>
      </c>
      <c r="IG14" s="110">
        <f t="shared" si="139"/>
        <v>0</v>
      </c>
      <c r="IH14" s="110">
        <f t="shared" si="140"/>
        <v>0</v>
      </c>
      <c r="II14" s="110">
        <f t="shared" si="141"/>
        <v>0</v>
      </c>
      <c r="IJ14" s="110">
        <f t="shared" si="142"/>
        <v>0</v>
      </c>
      <c r="IK14" s="110">
        <f t="shared" si="143"/>
        <v>0</v>
      </c>
      <c r="IL14" s="110">
        <f t="shared" si="144"/>
        <v>0</v>
      </c>
      <c r="IM14" s="110">
        <f t="shared" si="145"/>
        <v>0</v>
      </c>
      <c r="IN14" s="110">
        <f t="shared" si="146"/>
        <v>0</v>
      </c>
      <c r="IO14" s="110">
        <f t="shared" si="147"/>
        <v>0</v>
      </c>
      <c r="IP14" s="110">
        <f t="shared" si="148"/>
        <v>0</v>
      </c>
      <c r="IQ14" s="110">
        <f t="shared" si="149"/>
        <v>0</v>
      </c>
      <c r="IR14" s="110">
        <f t="shared" si="150"/>
        <v>0</v>
      </c>
      <c r="IS14" s="110">
        <f t="shared" si="151"/>
        <v>0</v>
      </c>
      <c r="IT14" s="110">
        <f t="shared" si="152"/>
        <v>0</v>
      </c>
      <c r="IV14" s="111">
        <f t="shared" si="153"/>
        <v>0</v>
      </c>
      <c r="IW14" s="110">
        <f t="shared" si="154"/>
        <v>0</v>
      </c>
      <c r="IX14" s="110">
        <f t="shared" si="155"/>
        <v>0</v>
      </c>
      <c r="IY14" s="110">
        <f t="shared" si="156"/>
        <v>0</v>
      </c>
      <c r="IZ14" s="110">
        <f t="shared" si="157"/>
        <v>0</v>
      </c>
      <c r="JA14" s="110">
        <f t="shared" si="158"/>
        <v>0</v>
      </c>
      <c r="JB14" s="110">
        <f t="shared" si="159"/>
        <v>0</v>
      </c>
      <c r="JC14" s="110">
        <f t="shared" si="160"/>
        <v>0</v>
      </c>
      <c r="JD14" s="110">
        <f t="shared" si="161"/>
        <v>0</v>
      </c>
      <c r="JE14" s="110">
        <f t="shared" si="162"/>
        <v>0</v>
      </c>
      <c r="JF14" s="110">
        <f t="shared" si="163"/>
        <v>0</v>
      </c>
      <c r="JG14" s="110">
        <f t="shared" si="164"/>
        <v>0</v>
      </c>
      <c r="JH14" s="110">
        <f t="shared" si="165"/>
        <v>0</v>
      </c>
      <c r="JI14" s="110">
        <f t="shared" si="166"/>
        <v>0</v>
      </c>
      <c r="JJ14" s="110">
        <f t="shared" si="167"/>
        <v>0</v>
      </c>
      <c r="JK14" s="110">
        <f t="shared" si="168"/>
        <v>0</v>
      </c>
      <c r="JL14" s="110">
        <f t="shared" si="169"/>
        <v>0</v>
      </c>
      <c r="JM14" s="110">
        <f t="shared" si="170"/>
        <v>0</v>
      </c>
      <c r="JN14" s="110">
        <f t="shared" si="171"/>
        <v>0</v>
      </c>
      <c r="JO14" s="110">
        <f t="shared" si="172"/>
        <v>0</v>
      </c>
      <c r="JP14" s="110">
        <f t="shared" si="173"/>
        <v>0</v>
      </c>
      <c r="JQ14" s="110">
        <f t="shared" si="174"/>
        <v>0</v>
      </c>
      <c r="JR14" s="110">
        <f t="shared" si="175"/>
        <v>0</v>
      </c>
      <c r="JS14" s="110">
        <f t="shared" si="176"/>
        <v>0</v>
      </c>
      <c r="JT14" s="110">
        <f t="shared" si="177"/>
        <v>0</v>
      </c>
      <c r="JV14" s="111">
        <f t="shared" si="178"/>
        <v>0</v>
      </c>
      <c r="JW14" s="110">
        <f t="shared" si="179"/>
        <v>0</v>
      </c>
      <c r="JX14" s="110">
        <f t="shared" si="180"/>
        <v>0</v>
      </c>
      <c r="JY14" s="110">
        <f t="shared" si="181"/>
        <v>0</v>
      </c>
      <c r="JZ14" s="110">
        <f t="shared" si="182"/>
        <v>0</v>
      </c>
      <c r="KA14" s="110">
        <f t="shared" si="183"/>
        <v>0</v>
      </c>
      <c r="KB14" s="110">
        <f t="shared" si="184"/>
        <v>0</v>
      </c>
      <c r="KC14" s="110">
        <f t="shared" si="185"/>
        <v>0</v>
      </c>
      <c r="KD14" s="110">
        <f t="shared" si="186"/>
        <v>0</v>
      </c>
      <c r="KE14" s="110">
        <f t="shared" si="187"/>
        <v>0</v>
      </c>
      <c r="KF14" s="110">
        <f t="shared" si="188"/>
        <v>0</v>
      </c>
      <c r="KG14" s="110">
        <f t="shared" si="189"/>
        <v>0</v>
      </c>
      <c r="KH14" s="110">
        <f t="shared" si="190"/>
        <v>0</v>
      </c>
      <c r="KI14" s="110">
        <f t="shared" si="191"/>
        <v>0</v>
      </c>
      <c r="KJ14" s="110">
        <f t="shared" si="192"/>
        <v>0</v>
      </c>
      <c r="KK14" s="110">
        <f t="shared" si="193"/>
        <v>0</v>
      </c>
      <c r="KL14" s="110">
        <f t="shared" si="194"/>
        <v>0</v>
      </c>
      <c r="KM14" s="110">
        <f t="shared" si="195"/>
        <v>0</v>
      </c>
      <c r="KN14" s="110">
        <f t="shared" si="196"/>
        <v>0</v>
      </c>
      <c r="KO14" s="110">
        <f t="shared" si="197"/>
        <v>0</v>
      </c>
      <c r="KP14" s="110">
        <f t="shared" si="198"/>
        <v>0</v>
      </c>
      <c r="KQ14" s="110">
        <f t="shared" si="199"/>
        <v>0</v>
      </c>
      <c r="KR14" s="110">
        <f t="shared" si="200"/>
        <v>0</v>
      </c>
      <c r="KS14" s="110">
        <f t="shared" si="201"/>
        <v>0</v>
      </c>
      <c r="KT14" s="110">
        <f t="shared" si="202"/>
        <v>0</v>
      </c>
      <c r="KV14" s="111">
        <f t="shared" si="203"/>
        <v>8.9499999999999886</v>
      </c>
      <c r="KW14" s="110">
        <f t="shared" si="204"/>
        <v>8.9499999999999886</v>
      </c>
      <c r="KX14" s="110">
        <f t="shared" si="205"/>
        <v>8.9499999999999886</v>
      </c>
      <c r="KY14" s="110">
        <f t="shared" si="206"/>
        <v>8.9499999999999886</v>
      </c>
      <c r="KZ14" s="110">
        <f t="shared" si="207"/>
        <v>8.9499999999999886</v>
      </c>
      <c r="LA14" s="110">
        <f t="shared" si="208"/>
        <v>8.9499999999999886</v>
      </c>
      <c r="LB14" s="110">
        <f t="shared" si="209"/>
        <v>8.9499999999999886</v>
      </c>
      <c r="LC14" s="110">
        <f t="shared" si="210"/>
        <v>8.9499999999999886</v>
      </c>
      <c r="LD14" s="110">
        <f t="shared" si="211"/>
        <v>8.9499999999999886</v>
      </c>
      <c r="LE14" s="110">
        <f t="shared" si="212"/>
        <v>8.9499999999999886</v>
      </c>
      <c r="LF14" s="110">
        <f t="shared" si="213"/>
        <v>0</v>
      </c>
      <c r="LG14" s="110">
        <f t="shared" si="214"/>
        <v>0</v>
      </c>
      <c r="LH14" s="110">
        <f t="shared" si="215"/>
        <v>0</v>
      </c>
      <c r="LI14" s="110">
        <f t="shared" si="216"/>
        <v>0</v>
      </c>
      <c r="LJ14" s="110">
        <f t="shared" si="217"/>
        <v>0</v>
      </c>
      <c r="LK14" s="110">
        <f t="shared" si="218"/>
        <v>0</v>
      </c>
      <c r="LL14" s="110">
        <f t="shared" si="219"/>
        <v>0</v>
      </c>
      <c r="LM14" s="110">
        <f t="shared" si="220"/>
        <v>0</v>
      </c>
      <c r="LN14" s="110">
        <f t="shared" si="221"/>
        <v>0</v>
      </c>
      <c r="LO14" s="110">
        <f t="shared" si="222"/>
        <v>0</v>
      </c>
      <c r="LP14" s="110">
        <f t="shared" si="223"/>
        <v>0</v>
      </c>
      <c r="LQ14" s="110">
        <f t="shared" si="224"/>
        <v>0</v>
      </c>
      <c r="LR14" s="110">
        <f t="shared" si="225"/>
        <v>0</v>
      </c>
      <c r="LS14" s="110">
        <f t="shared" si="226"/>
        <v>0</v>
      </c>
      <c r="LT14" s="110">
        <f t="shared" si="227"/>
        <v>0</v>
      </c>
      <c r="LV14" s="111"/>
      <c r="LW14" s="110">
        <f t="shared" si="228"/>
        <v>0</v>
      </c>
      <c r="LX14" s="110">
        <f t="shared" si="229"/>
        <v>0</v>
      </c>
      <c r="LY14" s="110">
        <f t="shared" si="230"/>
        <v>0</v>
      </c>
      <c r="LZ14" s="110">
        <f t="shared" si="231"/>
        <v>0</v>
      </c>
      <c r="MA14" s="110">
        <f t="shared" si="232"/>
        <v>0</v>
      </c>
      <c r="MB14" s="110">
        <f t="shared" si="233"/>
        <v>0</v>
      </c>
      <c r="MC14" s="110">
        <f t="shared" si="234"/>
        <v>0</v>
      </c>
      <c r="MD14" s="110">
        <f t="shared" si="235"/>
        <v>0</v>
      </c>
      <c r="ME14" s="110">
        <f t="shared" si="236"/>
        <v>0</v>
      </c>
      <c r="MF14" s="110">
        <f t="shared" si="237"/>
        <v>0</v>
      </c>
      <c r="MG14" s="110">
        <f t="shared" si="238"/>
        <v>0</v>
      </c>
      <c r="MH14" s="110">
        <f t="shared" si="239"/>
        <v>0</v>
      </c>
      <c r="MI14" s="110">
        <f t="shared" si="240"/>
        <v>0</v>
      </c>
      <c r="MJ14" s="110">
        <f t="shared" si="241"/>
        <v>0</v>
      </c>
      <c r="MK14" s="110">
        <f t="shared" si="242"/>
        <v>0</v>
      </c>
      <c r="ML14" s="110">
        <f t="shared" si="243"/>
        <v>0</v>
      </c>
      <c r="MM14" s="110">
        <f t="shared" si="244"/>
        <v>0</v>
      </c>
      <c r="MN14" s="110">
        <f t="shared" si="245"/>
        <v>0</v>
      </c>
      <c r="MO14" s="110">
        <f t="shared" si="246"/>
        <v>0</v>
      </c>
      <c r="MP14" s="110">
        <f t="shared" si="247"/>
        <v>0</v>
      </c>
      <c r="MQ14" s="110">
        <f t="shared" si="248"/>
        <v>0</v>
      </c>
      <c r="MR14" s="110">
        <f t="shared" si="249"/>
        <v>0</v>
      </c>
      <c r="MS14" s="110">
        <f t="shared" si="250"/>
        <v>0</v>
      </c>
      <c r="MT14" s="110">
        <f t="shared" si="251"/>
        <v>0</v>
      </c>
      <c r="MV14" s="114">
        <v>179</v>
      </c>
      <c r="MW14" s="114">
        <v>0</v>
      </c>
      <c r="MX14" s="114">
        <v>0</v>
      </c>
      <c r="MY14" s="114">
        <v>0</v>
      </c>
      <c r="MZ14" s="114">
        <v>0</v>
      </c>
      <c r="NB14" s="115">
        <v>68</v>
      </c>
      <c r="NC14" s="115" t="str">
        <v>N/A</v>
      </c>
      <c r="ND14" s="115" t="str">
        <v>N/A</v>
      </c>
      <c r="NE14" s="115" t="str">
        <v>N/A</v>
      </c>
      <c r="NF14" s="115" t="str">
        <v>N/A</v>
      </c>
    </row>
    <row r="15" spans="2:376" ht="13.5" x14ac:dyDescent="0.25">
      <c r="B15" s="8">
        <f t="shared" si="252"/>
        <v>12</v>
      </c>
      <c r="C15" s="7">
        <v>284.05</v>
      </c>
      <c r="D15" s="7">
        <v>284.05</v>
      </c>
      <c r="E15" s="7">
        <v>284.05</v>
      </c>
      <c r="F15" s="7">
        <v>284.05</v>
      </c>
      <c r="G15" s="7">
        <v>284.05</v>
      </c>
      <c r="H15" s="7">
        <v>284.05</v>
      </c>
      <c r="I15" s="7">
        <v>290.02999999999997</v>
      </c>
      <c r="J15" s="7">
        <v>290.02999999999997</v>
      </c>
      <c r="K15" s="7">
        <v>290.02999999999997</v>
      </c>
      <c r="L15" s="7">
        <v>290.02999999999997</v>
      </c>
      <c r="M15" s="7">
        <v>281.33</v>
      </c>
      <c r="N15" s="7">
        <v>281.33</v>
      </c>
      <c r="O15" s="7">
        <v>281.33</v>
      </c>
      <c r="P15" s="7">
        <v>281.33</v>
      </c>
      <c r="Q15" s="7">
        <v>281.33</v>
      </c>
      <c r="R15" s="7">
        <v>281.33</v>
      </c>
      <c r="S15" s="7">
        <v>281.33</v>
      </c>
      <c r="T15" s="7">
        <v>290.02999999999997</v>
      </c>
      <c r="U15" s="7">
        <v>290.02999999999997</v>
      </c>
      <c r="V15" s="7">
        <v>290.02999999999997</v>
      </c>
      <c r="W15" s="7">
        <v>290.02999999999997</v>
      </c>
      <c r="X15" s="7">
        <v>290.02999999999997</v>
      </c>
      <c r="Y15" s="7">
        <v>290.02999999999997</v>
      </c>
      <c r="Z15" s="7">
        <v>300.19</v>
      </c>
      <c r="AA15" s="7">
        <v>300.19</v>
      </c>
      <c r="AB15" s="7">
        <v>300.19</v>
      </c>
      <c r="AC15" s="7">
        <v>300.19</v>
      </c>
      <c r="AD15" s="7">
        <v>300.19</v>
      </c>
      <c r="AE15" s="7">
        <v>294</v>
      </c>
      <c r="AF15" s="7">
        <v>294</v>
      </c>
      <c r="AG15" s="7">
        <v>294</v>
      </c>
      <c r="AH15" s="7">
        <v>294</v>
      </c>
      <c r="AI15" s="7">
        <v>294</v>
      </c>
      <c r="AJ15" s="7">
        <v>294</v>
      </c>
      <c r="AK15" s="7">
        <v>294</v>
      </c>
      <c r="AL15" s="7">
        <v>294</v>
      </c>
      <c r="AM15" s="7">
        <v>294</v>
      </c>
      <c r="AN15" s="27">
        <v>12</v>
      </c>
      <c r="AP15" s="111"/>
      <c r="AQ15" s="110">
        <f t="shared" si="13"/>
        <v>0</v>
      </c>
      <c r="AR15" s="110">
        <f t="shared" si="14"/>
        <v>5.9799999999999613</v>
      </c>
      <c r="AS15" s="110">
        <f t="shared" si="15"/>
        <v>0</v>
      </c>
      <c r="AT15" s="110">
        <f t="shared" si="16"/>
        <v>-8.6999999999999886</v>
      </c>
      <c r="AU15" s="110">
        <f t="shared" si="17"/>
        <v>0</v>
      </c>
      <c r="AV15" s="110">
        <f t="shared" si="18"/>
        <v>8.6999999999999886</v>
      </c>
      <c r="AW15" s="110">
        <f t="shared" si="19"/>
        <v>0</v>
      </c>
      <c r="AX15" s="110">
        <f t="shared" si="20"/>
        <v>10.160000000000025</v>
      </c>
      <c r="AY15" s="110">
        <f t="shared" si="21"/>
        <v>0</v>
      </c>
      <c r="AZ15" s="110">
        <f t="shared" si="22"/>
        <v>-6.1899999999999977</v>
      </c>
      <c r="BA15" s="110">
        <f t="shared" si="23"/>
        <v>0</v>
      </c>
      <c r="BB15" s="110">
        <f t="shared" si="24"/>
        <v>0</v>
      </c>
      <c r="BD15" s="109" cm="1">
        <f t="array" ref="BD15">+IFERROR(INDEX($C$3:$AM$3,MATCH(TRUE,INDEX($C15:$AM15&lt;&gt;0,0),0)),"N/A")</f>
        <v>44926</v>
      </c>
      <c r="BE15" s="112"/>
      <c r="BF15" s="1" t="str" cm="1">
        <f t="array" ref="BF15">+_xlfn.IFS(BT15&lt;&gt;0,BT$2,CH15&lt;&gt;0,CH$2,CV15&lt;&gt;0,CV$2,DJ15&lt;&gt;0,DJ$2,TRUE,"")</f>
        <v/>
      </c>
      <c r="BG15" s="1" t="str" cm="1">
        <f t="array" ref="BG15">+_xlfn.IFS(BU15&lt;&gt;0,BU$2,CI15&lt;&gt;0,CI$2,CW15&lt;&gt;0,CW$2,DK15&lt;&gt;0,DK$2,TRUE,"")</f>
        <v>Upsell</v>
      </c>
      <c r="BH15" s="1" t="str" cm="1">
        <f t="array" ref="BH15">+_xlfn.IFS(BV15&lt;&gt;0,BV$2,CJ15&lt;&gt;0,CJ$2,CX15&lt;&gt;0,CX$2,DL15&lt;&gt;0,DL$2,TRUE,"")</f>
        <v/>
      </c>
      <c r="BI15" s="1" t="str" cm="1">
        <f t="array" ref="BI15">+_xlfn.IFS(BW15&lt;&gt;0,BW$2,CK15&lt;&gt;0,CK$2,CY15&lt;&gt;0,CY$2,DM15&lt;&gt;0,DM$2,TRUE,"")</f>
        <v>Downsell</v>
      </c>
      <c r="BJ15" s="1" t="str" cm="1">
        <f t="array" ref="BJ15">+_xlfn.IFS(BX15&lt;&gt;0,BX$2,CL15&lt;&gt;0,CL$2,CZ15&lt;&gt;0,CZ$2,DN15&lt;&gt;0,DN$2,TRUE,"")</f>
        <v/>
      </c>
      <c r="BK15" s="1" t="str" cm="1">
        <f t="array" ref="BK15">+_xlfn.IFS(BY15&lt;&gt;0,BY$2,CM15&lt;&gt;0,CM$2,DA15&lt;&gt;0,DA$2,DO15&lt;&gt;0,DO$2,TRUE,"")</f>
        <v>Upsell</v>
      </c>
      <c r="BL15" s="1" t="str" cm="1">
        <f t="array" ref="BL15">+_xlfn.IFS(BZ15&lt;&gt;0,BZ$2,CN15&lt;&gt;0,CN$2,DB15&lt;&gt;0,DB$2,DP15&lt;&gt;0,DP$2,TRUE,"")</f>
        <v/>
      </c>
      <c r="BM15" s="1" t="str" cm="1">
        <f t="array" ref="BM15">+_xlfn.IFS(CA15&lt;&gt;0,CA$2,CO15&lt;&gt;0,CO$2,DC15&lt;&gt;0,DC$2,DQ15&lt;&gt;0,DQ$2,TRUE,"")</f>
        <v>Upsell</v>
      </c>
      <c r="BN15" s="1" t="str" cm="1">
        <f t="array" ref="BN15">+_xlfn.IFS(CB15&lt;&gt;0,CB$2,CP15&lt;&gt;0,CP$2,DD15&lt;&gt;0,DD$2,DR15&lt;&gt;0,DR$2,TRUE,"")</f>
        <v/>
      </c>
      <c r="BO15" s="1" t="str" cm="1">
        <f t="array" ref="BO15">+_xlfn.IFS(CC15&lt;&gt;0,CC$2,CQ15&lt;&gt;0,CQ$2,DE15&lt;&gt;0,DE$2,DS15&lt;&gt;0,DS$2,TRUE,"")</f>
        <v>Downsell</v>
      </c>
      <c r="BP15" s="1" t="str" cm="1">
        <f t="array" ref="BP15">+_xlfn.IFS(CD15&lt;&gt;0,CD$2,CR15&lt;&gt;0,CR$2,DF15&lt;&gt;0,DF$2,DT15&lt;&gt;0,DT$2,TRUE,"")</f>
        <v/>
      </c>
      <c r="BQ15" s="1" t="str" cm="1">
        <f t="array" ref="BQ15">+_xlfn.IFS(CE15&lt;&gt;0,CE$2,CS15&lt;&gt;0,CS$2,DG15&lt;&gt;0,DG$2,DU15&lt;&gt;0,DU$2,TRUE,"")</f>
        <v/>
      </c>
      <c r="BS15" s="111"/>
      <c r="BT15" s="110">
        <f t="shared" si="25"/>
        <v>0</v>
      </c>
      <c r="BU15" s="110">
        <f t="shared" si="26"/>
        <v>0</v>
      </c>
      <c r="BV15" s="110">
        <f t="shared" si="27"/>
        <v>0</v>
      </c>
      <c r="BW15" s="110">
        <f t="shared" si="28"/>
        <v>0</v>
      </c>
      <c r="BX15" s="110">
        <f t="shared" si="29"/>
        <v>0</v>
      </c>
      <c r="BY15" s="110">
        <f t="shared" si="30"/>
        <v>0</v>
      </c>
      <c r="BZ15" s="110">
        <f t="shared" si="31"/>
        <v>0</v>
      </c>
      <c r="CA15" s="110">
        <f t="shared" si="32"/>
        <v>0</v>
      </c>
      <c r="CB15" s="110">
        <f t="shared" si="33"/>
        <v>0</v>
      </c>
      <c r="CC15" s="110">
        <f t="shared" si="34"/>
        <v>0</v>
      </c>
      <c r="CD15" s="110">
        <f t="shared" si="35"/>
        <v>0</v>
      </c>
      <c r="CE15" s="110">
        <f t="shared" si="36"/>
        <v>0</v>
      </c>
      <c r="CG15" s="111"/>
      <c r="CH15" s="110">
        <f t="shared" si="37"/>
        <v>0</v>
      </c>
      <c r="CI15" s="110">
        <f t="shared" si="38"/>
        <v>0</v>
      </c>
      <c r="CJ15" s="110">
        <f t="shared" si="39"/>
        <v>0</v>
      </c>
      <c r="CK15" s="110">
        <f t="shared" si="40"/>
        <v>0</v>
      </c>
      <c r="CL15" s="110">
        <f t="shared" si="41"/>
        <v>0</v>
      </c>
      <c r="CM15" s="110">
        <f t="shared" si="42"/>
        <v>0</v>
      </c>
      <c r="CN15" s="110">
        <f t="shared" si="43"/>
        <v>0</v>
      </c>
      <c r="CO15" s="110">
        <f t="shared" si="44"/>
        <v>0</v>
      </c>
      <c r="CP15" s="110">
        <f t="shared" si="45"/>
        <v>0</v>
      </c>
      <c r="CQ15" s="110">
        <f t="shared" si="46"/>
        <v>0</v>
      </c>
      <c r="CR15" s="110">
        <f t="shared" si="47"/>
        <v>0</v>
      </c>
      <c r="CS15" s="110">
        <f t="shared" si="48"/>
        <v>0</v>
      </c>
      <c r="CU15" s="111"/>
      <c r="CV15" s="110">
        <f t="shared" si="49"/>
        <v>0</v>
      </c>
      <c r="CW15" s="110">
        <f t="shared" si="50"/>
        <v>0</v>
      </c>
      <c r="CX15" s="110">
        <f t="shared" si="51"/>
        <v>0</v>
      </c>
      <c r="CY15" s="110">
        <f t="shared" si="52"/>
        <v>-8.6999999999999886</v>
      </c>
      <c r="CZ15" s="110">
        <f t="shared" si="53"/>
        <v>0</v>
      </c>
      <c r="DA15" s="110">
        <f t="shared" si="54"/>
        <v>0</v>
      </c>
      <c r="DB15" s="110">
        <f t="shared" si="55"/>
        <v>0</v>
      </c>
      <c r="DC15" s="110">
        <f t="shared" si="56"/>
        <v>0</v>
      </c>
      <c r="DD15" s="110">
        <f t="shared" si="57"/>
        <v>0</v>
      </c>
      <c r="DE15" s="110">
        <f t="shared" si="58"/>
        <v>-6.1899999999999977</v>
      </c>
      <c r="DF15" s="110">
        <f t="shared" si="59"/>
        <v>0</v>
      </c>
      <c r="DG15" s="110">
        <f t="shared" si="60"/>
        <v>0</v>
      </c>
      <c r="DI15" s="111"/>
      <c r="DJ15" s="110">
        <f t="shared" si="61"/>
        <v>0</v>
      </c>
      <c r="DK15" s="110">
        <f t="shared" si="62"/>
        <v>5.9799999999999613</v>
      </c>
      <c r="DL15" s="110">
        <f t="shared" si="63"/>
        <v>0</v>
      </c>
      <c r="DM15" s="110">
        <f t="shared" si="64"/>
        <v>0</v>
      </c>
      <c r="DN15" s="110">
        <f t="shared" si="65"/>
        <v>0</v>
      </c>
      <c r="DO15" s="110">
        <f t="shared" si="66"/>
        <v>8.6999999999999886</v>
      </c>
      <c r="DP15" s="110">
        <f t="shared" si="67"/>
        <v>0</v>
      </c>
      <c r="DQ15" s="110">
        <f t="shared" si="68"/>
        <v>10.160000000000025</v>
      </c>
      <c r="DR15" s="110">
        <f t="shared" si="69"/>
        <v>0</v>
      </c>
      <c r="DS15" s="110">
        <f t="shared" si="70"/>
        <v>0</v>
      </c>
      <c r="DT15" s="110">
        <f t="shared" si="71"/>
        <v>0</v>
      </c>
      <c r="DU15" s="110">
        <f t="shared" si="72"/>
        <v>0</v>
      </c>
      <c r="DW15" s="111"/>
      <c r="DX15" s="110">
        <f t="shared" si="73"/>
        <v>0</v>
      </c>
      <c r="DY15" s="110">
        <f t="shared" si="74"/>
        <v>0</v>
      </c>
      <c r="DZ15" s="110">
        <f t="shared" si="75"/>
        <v>0</v>
      </c>
      <c r="EA15" s="110">
        <f t="shared" si="76"/>
        <v>0</v>
      </c>
      <c r="EB15" s="110">
        <f t="shared" si="77"/>
        <v>0</v>
      </c>
      <c r="EC15" s="110">
        <f t="shared" si="78"/>
        <v>0</v>
      </c>
      <c r="ED15" s="110">
        <f t="shared" si="79"/>
        <v>0</v>
      </c>
      <c r="EE15" s="110">
        <f t="shared" si="80"/>
        <v>0</v>
      </c>
      <c r="EF15" s="110">
        <f t="shared" si="81"/>
        <v>0</v>
      </c>
      <c r="EG15" s="110">
        <f t="shared" si="82"/>
        <v>0</v>
      </c>
      <c r="EH15" s="110">
        <f t="shared" si="83"/>
        <v>0</v>
      </c>
      <c r="EI15" s="110">
        <f t="shared" si="84"/>
        <v>0</v>
      </c>
      <c r="EK15" s="111"/>
      <c r="EL15" s="110">
        <f t="shared" si="85"/>
        <v>-2.7200000000000273</v>
      </c>
      <c r="EM15" s="110">
        <f t="shared" si="86"/>
        <v>18.860000000000014</v>
      </c>
      <c r="EN15" s="110">
        <f t="shared" si="87"/>
        <v>-6.1899999999999977</v>
      </c>
      <c r="EP15" s="109" cm="1">
        <f t="array" ref="EP15">+IFERROR(INDEX($C$3:$AM$3,MATCH(TRUE,INDEX($C15:$AM15&lt;&gt;0,0),0)),"N/A")</f>
        <v>44926</v>
      </c>
      <c r="EQ15" s="112"/>
      <c r="ER15" s="1" t="str" cm="1">
        <f t="array" ref="ER15">+_xlfn.IFS(EW15&lt;&gt;0,EW$2,FB15&lt;&gt;0,FB$2,FG15&lt;&gt;0,FG$2,FL15&lt;&gt;0,FL$2,TRUE,"")</f>
        <v>Downsell</v>
      </c>
      <c r="ES15" s="1" t="str" cm="1">
        <f t="array" ref="ES15">+_xlfn.IFS(EX15&lt;&gt;0,EX$2,FC15&lt;&gt;0,FC$2,FH15&lt;&gt;0,FH$2,FM15&lt;&gt;0,FM$2,TRUE,"")</f>
        <v>Upsell</v>
      </c>
      <c r="ET15" s="1" t="str" cm="1">
        <f t="array" ref="ET15">+_xlfn.IFS(EY15&lt;&gt;0,EY$2,FD15&lt;&gt;0,FD$2,FI15&lt;&gt;0,FI$2,FN15&lt;&gt;0,FN$2,TRUE,"")</f>
        <v>Downsell</v>
      </c>
      <c r="EV15" s="111"/>
      <c r="EW15" s="110">
        <f t="shared" si="88"/>
        <v>0</v>
      </c>
      <c r="EX15" s="110">
        <f t="shared" si="89"/>
        <v>0</v>
      </c>
      <c r="EY15" s="110">
        <f t="shared" si="90"/>
        <v>0</v>
      </c>
      <c r="FA15" s="111"/>
      <c r="FB15" s="110">
        <f t="shared" si="91"/>
        <v>0</v>
      </c>
      <c r="FC15" s="110">
        <f t="shared" si="92"/>
        <v>0</v>
      </c>
      <c r="FD15" s="110">
        <f t="shared" si="93"/>
        <v>0</v>
      </c>
      <c r="FF15" s="111"/>
      <c r="FG15" s="110">
        <f t="shared" si="94"/>
        <v>-2.7200000000000273</v>
      </c>
      <c r="FH15" s="110">
        <f t="shared" si="95"/>
        <v>0</v>
      </c>
      <c r="FI15" s="110">
        <f t="shared" si="96"/>
        <v>-6.1899999999999977</v>
      </c>
      <c r="FK15" s="111"/>
      <c r="FL15" s="110">
        <f t="shared" si="97"/>
        <v>0</v>
      </c>
      <c r="FM15" s="110">
        <f t="shared" si="98"/>
        <v>18.860000000000014</v>
      </c>
      <c r="FN15" s="110">
        <f t="shared" si="99"/>
        <v>0</v>
      </c>
      <c r="FP15" s="111"/>
      <c r="FQ15" s="110">
        <f t="shared" si="100"/>
        <v>0</v>
      </c>
      <c r="FR15" s="110">
        <f t="shared" si="101"/>
        <v>0</v>
      </c>
      <c r="FS15" s="110">
        <f t="shared" si="102"/>
        <v>0</v>
      </c>
      <c r="FU15" s="111">
        <f t="shared" si="103"/>
        <v>-2.7200000000000273</v>
      </c>
      <c r="FV15" s="110">
        <f t="shared" si="104"/>
        <v>-2.7200000000000273</v>
      </c>
      <c r="FW15" s="110">
        <f t="shared" si="105"/>
        <v>-2.7200000000000273</v>
      </c>
      <c r="FX15" s="110">
        <f t="shared" si="106"/>
        <v>-2.7200000000000273</v>
      </c>
      <c r="FY15" s="110">
        <f t="shared" si="107"/>
        <v>-2.7200000000000273</v>
      </c>
      <c r="FZ15" s="110">
        <f t="shared" si="108"/>
        <v>5.9799999999999613</v>
      </c>
      <c r="GA15" s="110">
        <f t="shared" si="109"/>
        <v>0</v>
      </c>
      <c r="GB15" s="110">
        <f t="shared" si="110"/>
        <v>0</v>
      </c>
      <c r="GC15" s="110">
        <f t="shared" si="111"/>
        <v>0</v>
      </c>
      <c r="GD15" s="110">
        <f t="shared" si="112"/>
        <v>0</v>
      </c>
      <c r="GE15" s="110">
        <f t="shared" si="113"/>
        <v>8.6999999999999886</v>
      </c>
      <c r="GF15" s="110">
        <f t="shared" si="114"/>
        <v>18.860000000000014</v>
      </c>
      <c r="GG15" s="110">
        <f t="shared" si="115"/>
        <v>18.860000000000014</v>
      </c>
      <c r="GH15" s="110">
        <f t="shared" si="116"/>
        <v>18.860000000000014</v>
      </c>
      <c r="GI15" s="110">
        <f t="shared" si="117"/>
        <v>18.860000000000014</v>
      </c>
      <c r="GJ15" s="110">
        <f t="shared" si="118"/>
        <v>18.860000000000014</v>
      </c>
      <c r="GK15" s="110">
        <f t="shared" si="119"/>
        <v>12.670000000000016</v>
      </c>
      <c r="GL15" s="110">
        <f t="shared" si="120"/>
        <v>3.9700000000000273</v>
      </c>
      <c r="GM15" s="110">
        <f t="shared" si="121"/>
        <v>3.9700000000000273</v>
      </c>
      <c r="GN15" s="110">
        <f t="shared" si="122"/>
        <v>3.9700000000000273</v>
      </c>
      <c r="GO15" s="110">
        <f t="shared" si="123"/>
        <v>3.9700000000000273</v>
      </c>
      <c r="GP15" s="110">
        <f t="shared" si="124"/>
        <v>3.9700000000000273</v>
      </c>
      <c r="GQ15" s="110">
        <f t="shared" si="125"/>
        <v>3.9700000000000273</v>
      </c>
      <c r="GR15" s="110">
        <f t="shared" si="126"/>
        <v>-6.1899999999999977</v>
      </c>
      <c r="GS15" s="110">
        <f t="shared" si="127"/>
        <v>-6.1899999999999977</v>
      </c>
      <c r="GU15" s="109" cm="1">
        <f t="array" ref="GU15">+IFERROR(INDEX($C$3:$AM$3,MATCH(TRUE,INDEX($C15:$AM15&lt;&gt;0,0),0)),"N/A")</f>
        <v>44926</v>
      </c>
      <c r="GV15" s="112" t="str" cm="1">
        <f t="array" ref="GV15">+_xlfn.IFS(HV15&lt;&gt;0,HV$2,IV15&lt;&gt;0,IV$2,JV15&lt;&gt;0,JV$2,KV15&lt;&gt;0,KV$2,TRUE,"")</f>
        <v>Downsell</v>
      </c>
      <c r="GW15" s="1" t="str" cm="1">
        <f t="array" ref="GW15">+_xlfn.IFS(HW15&lt;&gt;0,HW$2,IW15&lt;&gt;0,IW$2,JW15&lt;&gt;0,JW$2,KW15&lt;&gt;0,KW$2,TRUE,"")</f>
        <v>Downsell</v>
      </c>
      <c r="GX15" s="1" t="str" cm="1">
        <f t="array" ref="GX15">+_xlfn.IFS(HX15&lt;&gt;0,HX$2,IX15&lt;&gt;0,IX$2,JX15&lt;&gt;0,JX$2,KX15&lt;&gt;0,KX$2,TRUE,"")</f>
        <v>Downsell</v>
      </c>
      <c r="GY15" s="1" t="str" cm="1">
        <f t="array" ref="GY15">+_xlfn.IFS(HY15&lt;&gt;0,HY$2,IY15&lt;&gt;0,IY$2,JY15&lt;&gt;0,JY$2,KY15&lt;&gt;0,KY$2,TRUE,"")</f>
        <v>Downsell</v>
      </c>
      <c r="GZ15" s="1" t="str" cm="1">
        <f t="array" ref="GZ15">+_xlfn.IFS(HZ15&lt;&gt;0,HZ$2,IZ15&lt;&gt;0,IZ$2,JZ15&lt;&gt;0,JZ$2,KZ15&lt;&gt;0,KZ$2,TRUE,"")</f>
        <v>Downsell</v>
      </c>
      <c r="HA15" s="1" t="str" cm="1">
        <f t="array" ref="HA15">+_xlfn.IFS(IA15&lt;&gt;0,IA$2,JA15&lt;&gt;0,JA$2,KA15&lt;&gt;0,KA$2,LA15&lt;&gt;0,LA$2,TRUE,"")</f>
        <v>Upsell</v>
      </c>
      <c r="HB15" s="1" t="str" cm="1">
        <f t="array" ref="HB15">+_xlfn.IFS(IB15&lt;&gt;0,IB$2,JB15&lt;&gt;0,JB$2,KB15&lt;&gt;0,KB$2,LB15&lt;&gt;0,LB$2,TRUE,"")</f>
        <v/>
      </c>
      <c r="HC15" s="1" t="str" cm="1">
        <f t="array" ref="HC15">+_xlfn.IFS(IC15&lt;&gt;0,IC$2,JC15&lt;&gt;0,JC$2,KC15&lt;&gt;0,KC$2,LC15&lt;&gt;0,LC$2,TRUE,"")</f>
        <v/>
      </c>
      <c r="HD15" s="1" t="str" cm="1">
        <f t="array" ref="HD15">+_xlfn.IFS(ID15&lt;&gt;0,ID$2,JD15&lt;&gt;0,JD$2,KD15&lt;&gt;0,KD$2,LD15&lt;&gt;0,LD$2,TRUE,"")</f>
        <v/>
      </c>
      <c r="HE15" s="1" t="str" cm="1">
        <f t="array" ref="HE15">+_xlfn.IFS(IE15&lt;&gt;0,IE$2,JE15&lt;&gt;0,JE$2,KE15&lt;&gt;0,KE$2,LE15&lt;&gt;0,LE$2,TRUE,"")</f>
        <v/>
      </c>
      <c r="HF15" s="1" t="str" cm="1">
        <f t="array" ref="HF15">+_xlfn.IFS(IF15&lt;&gt;0,IF$2,JF15&lt;&gt;0,JF$2,KF15&lt;&gt;0,KF$2,LF15&lt;&gt;0,LF$2,TRUE,"")</f>
        <v>Upsell</v>
      </c>
      <c r="HG15" s="1" t="str" cm="1">
        <f t="array" ref="HG15">+_xlfn.IFS(IG15&lt;&gt;0,IG$2,JG15&lt;&gt;0,JG$2,KG15&lt;&gt;0,KG$2,LG15&lt;&gt;0,LG$2,TRUE,"")</f>
        <v>Upsell</v>
      </c>
      <c r="HH15" s="1" t="str" cm="1">
        <f t="array" ref="HH15">+_xlfn.IFS(IH15&lt;&gt;0,IH$2,JH15&lt;&gt;0,JH$2,KH15&lt;&gt;0,KH$2,LH15&lt;&gt;0,LH$2,TRUE,"")</f>
        <v>Upsell</v>
      </c>
      <c r="HI15" s="1" t="str" cm="1">
        <f t="array" ref="HI15">+_xlfn.IFS(II15&lt;&gt;0,II$2,JI15&lt;&gt;0,JI$2,KI15&lt;&gt;0,KI$2,LI15&lt;&gt;0,LI$2,TRUE,"")</f>
        <v>Upsell</v>
      </c>
      <c r="HJ15" s="1" t="str" cm="1">
        <f t="array" ref="HJ15">+_xlfn.IFS(IJ15&lt;&gt;0,IJ$2,JJ15&lt;&gt;0,JJ$2,KJ15&lt;&gt;0,KJ$2,LJ15&lt;&gt;0,LJ$2,TRUE,"")</f>
        <v>Upsell</v>
      </c>
      <c r="HK15" s="1" t="str" cm="1">
        <f t="array" ref="HK15">+_xlfn.IFS(IK15&lt;&gt;0,IK$2,JK15&lt;&gt;0,JK$2,KK15&lt;&gt;0,KK$2,LK15&lt;&gt;0,LK$2,TRUE,"")</f>
        <v>Upsell</v>
      </c>
      <c r="HL15" s="1" t="str" cm="1">
        <f t="array" ref="HL15">+_xlfn.IFS(IL15&lt;&gt;0,IL$2,JL15&lt;&gt;0,JL$2,KL15&lt;&gt;0,KL$2,LL15&lt;&gt;0,LL$2,TRUE,"")</f>
        <v>Upsell</v>
      </c>
      <c r="HM15" s="1" t="str" cm="1">
        <f t="array" ref="HM15">+_xlfn.IFS(IM15&lt;&gt;0,IM$2,JM15&lt;&gt;0,JM$2,KM15&lt;&gt;0,KM$2,LM15&lt;&gt;0,LM$2,TRUE,"")</f>
        <v>Upsell</v>
      </c>
      <c r="HN15" s="1" t="str" cm="1">
        <f t="array" ref="HN15">+_xlfn.IFS(IN15&lt;&gt;0,IN$2,JN15&lt;&gt;0,JN$2,KN15&lt;&gt;0,KN$2,LN15&lt;&gt;0,LN$2,TRUE,"")</f>
        <v>Upsell</v>
      </c>
      <c r="HO15" s="1" t="str" cm="1">
        <f t="array" ref="HO15">+_xlfn.IFS(IO15&lt;&gt;0,IO$2,JO15&lt;&gt;0,JO$2,KO15&lt;&gt;0,KO$2,LO15&lt;&gt;0,LO$2,TRUE,"")</f>
        <v>Upsell</v>
      </c>
      <c r="HP15" s="1" t="str" cm="1">
        <f t="array" ref="HP15">+_xlfn.IFS(IP15&lt;&gt;0,IP$2,JP15&lt;&gt;0,JP$2,KP15&lt;&gt;0,KP$2,LP15&lt;&gt;0,LP$2,TRUE,"")</f>
        <v>Upsell</v>
      </c>
      <c r="HQ15" s="1" t="str" cm="1">
        <f t="array" ref="HQ15">+_xlfn.IFS(IQ15&lt;&gt;0,IQ$2,JQ15&lt;&gt;0,JQ$2,KQ15&lt;&gt;0,KQ$2,LQ15&lt;&gt;0,LQ$2,TRUE,"")</f>
        <v>Upsell</v>
      </c>
      <c r="HR15" s="1" t="str" cm="1">
        <f t="array" ref="HR15">+_xlfn.IFS(IR15&lt;&gt;0,IR$2,JR15&lt;&gt;0,JR$2,KR15&lt;&gt;0,KR$2,LR15&lt;&gt;0,LR$2,TRUE,"")</f>
        <v>Upsell</v>
      </c>
      <c r="HS15" s="1" t="str" cm="1">
        <f t="array" ref="HS15">+_xlfn.IFS(IS15&lt;&gt;0,IS$2,JS15&lt;&gt;0,JS$2,KS15&lt;&gt;0,KS$2,LS15&lt;&gt;0,LS$2,TRUE,"")</f>
        <v>Downsell</v>
      </c>
      <c r="HT15" s="1" t="str" cm="1">
        <f t="array" ref="HT15">+_xlfn.IFS(IT15&lt;&gt;0,IT$2,JT15&lt;&gt;0,JT$2,KT15&lt;&gt;0,KT$2,LT15&lt;&gt;0,LT$2,TRUE,"")</f>
        <v>Downsell</v>
      </c>
      <c r="HV15" s="111">
        <f t="shared" si="128"/>
        <v>0</v>
      </c>
      <c r="HW15" s="110">
        <f t="shared" si="129"/>
        <v>0</v>
      </c>
      <c r="HX15" s="110">
        <f t="shared" si="130"/>
        <v>0</v>
      </c>
      <c r="HY15" s="110">
        <f t="shared" si="131"/>
        <v>0</v>
      </c>
      <c r="HZ15" s="110">
        <f t="shared" si="132"/>
        <v>0</v>
      </c>
      <c r="IA15" s="110">
        <f t="shared" si="133"/>
        <v>0</v>
      </c>
      <c r="IB15" s="110">
        <f t="shared" si="134"/>
        <v>0</v>
      </c>
      <c r="IC15" s="110">
        <f t="shared" si="135"/>
        <v>0</v>
      </c>
      <c r="ID15" s="110">
        <f t="shared" si="136"/>
        <v>0</v>
      </c>
      <c r="IE15" s="110">
        <f t="shared" si="137"/>
        <v>0</v>
      </c>
      <c r="IF15" s="110">
        <f t="shared" si="138"/>
        <v>0</v>
      </c>
      <c r="IG15" s="110">
        <f t="shared" si="139"/>
        <v>0</v>
      </c>
      <c r="IH15" s="110">
        <f t="shared" si="140"/>
        <v>0</v>
      </c>
      <c r="II15" s="110">
        <f t="shared" si="141"/>
        <v>0</v>
      </c>
      <c r="IJ15" s="110">
        <f t="shared" si="142"/>
        <v>0</v>
      </c>
      <c r="IK15" s="110">
        <f t="shared" si="143"/>
        <v>0</v>
      </c>
      <c r="IL15" s="110">
        <f t="shared" si="144"/>
        <v>0</v>
      </c>
      <c r="IM15" s="110">
        <f t="shared" si="145"/>
        <v>0</v>
      </c>
      <c r="IN15" s="110">
        <f t="shared" si="146"/>
        <v>0</v>
      </c>
      <c r="IO15" s="110">
        <f t="shared" si="147"/>
        <v>0</v>
      </c>
      <c r="IP15" s="110">
        <f t="shared" si="148"/>
        <v>0</v>
      </c>
      <c r="IQ15" s="110">
        <f t="shared" si="149"/>
        <v>0</v>
      </c>
      <c r="IR15" s="110">
        <f t="shared" si="150"/>
        <v>0</v>
      </c>
      <c r="IS15" s="110">
        <f t="shared" si="151"/>
        <v>0</v>
      </c>
      <c r="IT15" s="110">
        <f t="shared" si="152"/>
        <v>0</v>
      </c>
      <c r="IV15" s="111">
        <f t="shared" si="153"/>
        <v>0</v>
      </c>
      <c r="IW15" s="110">
        <f t="shared" si="154"/>
        <v>0</v>
      </c>
      <c r="IX15" s="110">
        <f t="shared" si="155"/>
        <v>0</v>
      </c>
      <c r="IY15" s="110">
        <f t="shared" si="156"/>
        <v>0</v>
      </c>
      <c r="IZ15" s="110">
        <f t="shared" si="157"/>
        <v>0</v>
      </c>
      <c r="JA15" s="110">
        <f t="shared" si="158"/>
        <v>0</v>
      </c>
      <c r="JB15" s="110">
        <f t="shared" si="159"/>
        <v>0</v>
      </c>
      <c r="JC15" s="110">
        <f t="shared" si="160"/>
        <v>0</v>
      </c>
      <c r="JD15" s="110">
        <f t="shared" si="161"/>
        <v>0</v>
      </c>
      <c r="JE15" s="110">
        <f t="shared" si="162"/>
        <v>0</v>
      </c>
      <c r="JF15" s="110">
        <f t="shared" si="163"/>
        <v>0</v>
      </c>
      <c r="JG15" s="110">
        <f t="shared" si="164"/>
        <v>0</v>
      </c>
      <c r="JH15" s="110">
        <f t="shared" si="165"/>
        <v>0</v>
      </c>
      <c r="JI15" s="110">
        <f t="shared" si="166"/>
        <v>0</v>
      </c>
      <c r="JJ15" s="110">
        <f t="shared" si="167"/>
        <v>0</v>
      </c>
      <c r="JK15" s="110">
        <f t="shared" si="168"/>
        <v>0</v>
      </c>
      <c r="JL15" s="110">
        <f t="shared" si="169"/>
        <v>0</v>
      </c>
      <c r="JM15" s="110">
        <f t="shared" si="170"/>
        <v>0</v>
      </c>
      <c r="JN15" s="110">
        <f t="shared" si="171"/>
        <v>0</v>
      </c>
      <c r="JO15" s="110">
        <f t="shared" si="172"/>
        <v>0</v>
      </c>
      <c r="JP15" s="110">
        <f t="shared" si="173"/>
        <v>0</v>
      </c>
      <c r="JQ15" s="110">
        <f t="shared" si="174"/>
        <v>0</v>
      </c>
      <c r="JR15" s="110">
        <f t="shared" si="175"/>
        <v>0</v>
      </c>
      <c r="JS15" s="110">
        <f t="shared" si="176"/>
        <v>0</v>
      </c>
      <c r="JT15" s="110">
        <f t="shared" si="177"/>
        <v>0</v>
      </c>
      <c r="JV15" s="111">
        <f t="shared" si="178"/>
        <v>-2.7200000000000273</v>
      </c>
      <c r="JW15" s="110">
        <f t="shared" si="179"/>
        <v>-2.7200000000000273</v>
      </c>
      <c r="JX15" s="110">
        <f t="shared" si="180"/>
        <v>-2.7200000000000273</v>
      </c>
      <c r="JY15" s="110">
        <f t="shared" si="181"/>
        <v>-2.7200000000000273</v>
      </c>
      <c r="JZ15" s="110">
        <f t="shared" si="182"/>
        <v>-2.7200000000000273</v>
      </c>
      <c r="KA15" s="110">
        <f t="shared" si="183"/>
        <v>0</v>
      </c>
      <c r="KB15" s="110">
        <f t="shared" si="184"/>
        <v>0</v>
      </c>
      <c r="KC15" s="110">
        <f t="shared" si="185"/>
        <v>0</v>
      </c>
      <c r="KD15" s="110">
        <f t="shared" si="186"/>
        <v>0</v>
      </c>
      <c r="KE15" s="110">
        <f t="shared" si="187"/>
        <v>0</v>
      </c>
      <c r="KF15" s="110">
        <f t="shared" si="188"/>
        <v>0</v>
      </c>
      <c r="KG15" s="110">
        <f t="shared" si="189"/>
        <v>0</v>
      </c>
      <c r="KH15" s="110">
        <f t="shared" si="190"/>
        <v>0</v>
      </c>
      <c r="KI15" s="110">
        <f t="shared" si="191"/>
        <v>0</v>
      </c>
      <c r="KJ15" s="110">
        <f t="shared" si="192"/>
        <v>0</v>
      </c>
      <c r="KK15" s="110">
        <f t="shared" si="193"/>
        <v>0</v>
      </c>
      <c r="KL15" s="110">
        <f t="shared" si="194"/>
        <v>0</v>
      </c>
      <c r="KM15" s="110">
        <f t="shared" si="195"/>
        <v>0</v>
      </c>
      <c r="KN15" s="110">
        <f t="shared" si="196"/>
        <v>0</v>
      </c>
      <c r="KO15" s="110">
        <f t="shared" si="197"/>
        <v>0</v>
      </c>
      <c r="KP15" s="110">
        <f t="shared" si="198"/>
        <v>0</v>
      </c>
      <c r="KQ15" s="110">
        <f t="shared" si="199"/>
        <v>0</v>
      </c>
      <c r="KR15" s="110">
        <f t="shared" si="200"/>
        <v>0</v>
      </c>
      <c r="KS15" s="110">
        <f t="shared" si="201"/>
        <v>-6.1899999999999977</v>
      </c>
      <c r="KT15" s="110">
        <f t="shared" si="202"/>
        <v>-6.1899999999999977</v>
      </c>
      <c r="KV15" s="111">
        <f t="shared" si="203"/>
        <v>0</v>
      </c>
      <c r="KW15" s="110">
        <f t="shared" si="204"/>
        <v>0</v>
      </c>
      <c r="KX15" s="110">
        <f t="shared" si="205"/>
        <v>0</v>
      </c>
      <c r="KY15" s="110">
        <f t="shared" si="206"/>
        <v>0</v>
      </c>
      <c r="KZ15" s="110">
        <f t="shared" si="207"/>
        <v>0</v>
      </c>
      <c r="LA15" s="110">
        <f t="shared" si="208"/>
        <v>5.9799999999999613</v>
      </c>
      <c r="LB15" s="110">
        <f t="shared" si="209"/>
        <v>0</v>
      </c>
      <c r="LC15" s="110">
        <f t="shared" si="210"/>
        <v>0</v>
      </c>
      <c r="LD15" s="110">
        <f t="shared" si="211"/>
        <v>0</v>
      </c>
      <c r="LE15" s="110">
        <f t="shared" si="212"/>
        <v>0</v>
      </c>
      <c r="LF15" s="110">
        <f t="shared" si="213"/>
        <v>8.6999999999999886</v>
      </c>
      <c r="LG15" s="110">
        <f t="shared" si="214"/>
        <v>18.860000000000014</v>
      </c>
      <c r="LH15" s="110">
        <f t="shared" si="215"/>
        <v>18.860000000000014</v>
      </c>
      <c r="LI15" s="110">
        <f t="shared" si="216"/>
        <v>18.860000000000014</v>
      </c>
      <c r="LJ15" s="110">
        <f t="shared" si="217"/>
        <v>18.860000000000014</v>
      </c>
      <c r="LK15" s="110">
        <f t="shared" si="218"/>
        <v>18.860000000000014</v>
      </c>
      <c r="LL15" s="110">
        <f t="shared" si="219"/>
        <v>12.670000000000016</v>
      </c>
      <c r="LM15" s="110">
        <f t="shared" si="220"/>
        <v>3.9700000000000273</v>
      </c>
      <c r="LN15" s="110">
        <f t="shared" si="221"/>
        <v>3.9700000000000273</v>
      </c>
      <c r="LO15" s="110">
        <f t="shared" si="222"/>
        <v>3.9700000000000273</v>
      </c>
      <c r="LP15" s="110">
        <f t="shared" si="223"/>
        <v>3.9700000000000273</v>
      </c>
      <c r="LQ15" s="110">
        <f t="shared" si="224"/>
        <v>3.9700000000000273</v>
      </c>
      <c r="LR15" s="110">
        <f t="shared" si="225"/>
        <v>3.9700000000000273</v>
      </c>
      <c r="LS15" s="110">
        <f t="shared" si="226"/>
        <v>0</v>
      </c>
      <c r="LT15" s="110">
        <f t="shared" si="227"/>
        <v>0</v>
      </c>
      <c r="LV15" s="111"/>
      <c r="LW15" s="110">
        <f t="shared" si="228"/>
        <v>0</v>
      </c>
      <c r="LX15" s="110">
        <f t="shared" si="229"/>
        <v>0</v>
      </c>
      <c r="LY15" s="110">
        <f t="shared" si="230"/>
        <v>0</v>
      </c>
      <c r="LZ15" s="110">
        <f t="shared" si="231"/>
        <v>0</v>
      </c>
      <c r="MA15" s="110">
        <f t="shared" si="232"/>
        <v>0</v>
      </c>
      <c r="MB15" s="110">
        <f t="shared" si="233"/>
        <v>0</v>
      </c>
      <c r="MC15" s="110">
        <f t="shared" si="234"/>
        <v>0</v>
      </c>
      <c r="MD15" s="110">
        <f t="shared" si="235"/>
        <v>0</v>
      </c>
      <c r="ME15" s="110">
        <f t="shared" si="236"/>
        <v>0</v>
      </c>
      <c r="MF15" s="110">
        <f t="shared" si="237"/>
        <v>0</v>
      </c>
      <c r="MG15" s="110">
        <f t="shared" si="238"/>
        <v>0</v>
      </c>
      <c r="MH15" s="110">
        <f t="shared" si="239"/>
        <v>0</v>
      </c>
      <c r="MI15" s="110">
        <f t="shared" si="240"/>
        <v>0</v>
      </c>
      <c r="MJ15" s="110">
        <f t="shared" si="241"/>
        <v>0</v>
      </c>
      <c r="MK15" s="110">
        <f t="shared" si="242"/>
        <v>0</v>
      </c>
      <c r="ML15" s="110">
        <f t="shared" si="243"/>
        <v>0</v>
      </c>
      <c r="MM15" s="110">
        <f t="shared" si="244"/>
        <v>0</v>
      </c>
      <c r="MN15" s="110">
        <f t="shared" si="245"/>
        <v>0</v>
      </c>
      <c r="MO15" s="110">
        <f t="shared" si="246"/>
        <v>0</v>
      </c>
      <c r="MP15" s="110">
        <f t="shared" si="247"/>
        <v>0</v>
      </c>
      <c r="MQ15" s="110">
        <f t="shared" si="248"/>
        <v>0</v>
      </c>
      <c r="MR15" s="110">
        <f t="shared" si="249"/>
        <v>0</v>
      </c>
      <c r="MS15" s="110">
        <f t="shared" si="250"/>
        <v>0</v>
      </c>
      <c r="MT15" s="110">
        <f t="shared" si="251"/>
        <v>0</v>
      </c>
      <c r="MV15" s="114">
        <v>294</v>
      </c>
      <c r="MW15" s="114">
        <v>0</v>
      </c>
      <c r="MX15" s="114">
        <v>0</v>
      </c>
      <c r="MY15" s="114">
        <v>-6.1899999999999977</v>
      </c>
      <c r="MZ15" s="114">
        <v>0</v>
      </c>
      <c r="NB15" s="115">
        <v>25</v>
      </c>
      <c r="NC15" s="115" t="str">
        <v>N/A</v>
      </c>
      <c r="ND15" s="115" t="str">
        <v>N/A</v>
      </c>
      <c r="NE15" s="115">
        <v>4</v>
      </c>
      <c r="NF15" s="115" t="str">
        <v>N/A</v>
      </c>
    </row>
    <row r="16" spans="2:376" ht="13.5" x14ac:dyDescent="0.25">
      <c r="B16" s="8">
        <f t="shared" si="252"/>
        <v>13</v>
      </c>
      <c r="C16" s="7">
        <v>369</v>
      </c>
      <c r="D16" s="7">
        <v>369</v>
      </c>
      <c r="E16" s="7">
        <v>369</v>
      </c>
      <c r="F16" s="7">
        <v>369</v>
      </c>
      <c r="G16" s="7">
        <v>369</v>
      </c>
      <c r="H16" s="7">
        <v>369</v>
      </c>
      <c r="I16" s="7">
        <v>369</v>
      </c>
      <c r="J16" s="7">
        <v>369</v>
      </c>
      <c r="K16" s="7">
        <v>369</v>
      </c>
      <c r="L16" s="7">
        <v>369</v>
      </c>
      <c r="M16" s="7">
        <v>369</v>
      </c>
      <c r="N16" s="7">
        <v>369</v>
      </c>
      <c r="O16" s="7">
        <v>369</v>
      </c>
      <c r="P16" s="7">
        <v>369</v>
      </c>
      <c r="Q16" s="7">
        <v>369</v>
      </c>
      <c r="R16" s="7">
        <v>369</v>
      </c>
      <c r="S16" s="7">
        <v>369</v>
      </c>
      <c r="T16" s="7">
        <v>369</v>
      </c>
      <c r="U16" s="7">
        <v>369</v>
      </c>
      <c r="V16" s="7">
        <v>369</v>
      </c>
      <c r="W16" s="7">
        <v>369</v>
      </c>
      <c r="X16" s="7">
        <v>369</v>
      </c>
      <c r="Y16" s="7">
        <v>369</v>
      </c>
      <c r="Z16" s="7">
        <v>369</v>
      </c>
      <c r="AA16" s="7">
        <v>381.92</v>
      </c>
      <c r="AB16" s="7">
        <v>381.92</v>
      </c>
      <c r="AC16" s="7">
        <v>381.92</v>
      </c>
      <c r="AD16" s="7">
        <v>381.92</v>
      </c>
      <c r="AE16" s="7">
        <v>381.92</v>
      </c>
      <c r="AF16" s="7">
        <v>381.92</v>
      </c>
      <c r="AG16" s="7">
        <v>381.92</v>
      </c>
      <c r="AH16" s="7">
        <v>381.92</v>
      </c>
      <c r="AI16" s="7">
        <v>381.92</v>
      </c>
      <c r="AJ16" s="7">
        <v>381.92</v>
      </c>
      <c r="AK16" s="7">
        <v>381.92</v>
      </c>
      <c r="AL16" s="7">
        <v>381.92</v>
      </c>
      <c r="AM16" s="7">
        <v>381.92</v>
      </c>
      <c r="AN16" s="27">
        <v>13</v>
      </c>
      <c r="AP16" s="111"/>
      <c r="AQ16" s="110">
        <f t="shared" si="13"/>
        <v>0</v>
      </c>
      <c r="AR16" s="110">
        <f t="shared" si="14"/>
        <v>0</v>
      </c>
      <c r="AS16" s="110">
        <f t="shared" si="15"/>
        <v>0</v>
      </c>
      <c r="AT16" s="110">
        <f t="shared" si="16"/>
        <v>0</v>
      </c>
      <c r="AU16" s="110">
        <f t="shared" si="17"/>
        <v>0</v>
      </c>
      <c r="AV16" s="110">
        <f t="shared" si="18"/>
        <v>0</v>
      </c>
      <c r="AW16" s="110">
        <f t="shared" si="19"/>
        <v>0</v>
      </c>
      <c r="AX16" s="110">
        <f t="shared" si="20"/>
        <v>12.920000000000016</v>
      </c>
      <c r="AY16" s="110">
        <f t="shared" si="21"/>
        <v>0</v>
      </c>
      <c r="AZ16" s="110">
        <f t="shared" si="22"/>
        <v>0</v>
      </c>
      <c r="BA16" s="110">
        <f t="shared" si="23"/>
        <v>0</v>
      </c>
      <c r="BB16" s="110">
        <f t="shared" si="24"/>
        <v>0</v>
      </c>
      <c r="BD16" s="109" cm="1">
        <f t="array" ref="BD16">+IFERROR(INDEX($C$3:$AM$3,MATCH(TRUE,INDEX($C16:$AM16&lt;&gt;0,0),0)),"N/A")</f>
        <v>44926</v>
      </c>
      <c r="BE16" s="112"/>
      <c r="BF16" s="1" t="str" cm="1">
        <f t="array" ref="BF16">+_xlfn.IFS(BT16&lt;&gt;0,BT$2,CH16&lt;&gt;0,CH$2,CV16&lt;&gt;0,CV$2,DJ16&lt;&gt;0,DJ$2,TRUE,"")</f>
        <v/>
      </c>
      <c r="BG16" s="1" t="str" cm="1">
        <f t="array" ref="BG16">+_xlfn.IFS(BU16&lt;&gt;0,BU$2,CI16&lt;&gt;0,CI$2,CW16&lt;&gt;0,CW$2,DK16&lt;&gt;0,DK$2,TRUE,"")</f>
        <v/>
      </c>
      <c r="BH16" s="1" t="str" cm="1">
        <f t="array" ref="BH16">+_xlfn.IFS(BV16&lt;&gt;0,BV$2,CJ16&lt;&gt;0,CJ$2,CX16&lt;&gt;0,CX$2,DL16&lt;&gt;0,DL$2,TRUE,"")</f>
        <v/>
      </c>
      <c r="BI16" s="1" t="str" cm="1">
        <f t="array" ref="BI16">+_xlfn.IFS(BW16&lt;&gt;0,BW$2,CK16&lt;&gt;0,CK$2,CY16&lt;&gt;0,CY$2,DM16&lt;&gt;0,DM$2,TRUE,"")</f>
        <v/>
      </c>
      <c r="BJ16" s="1" t="str" cm="1">
        <f t="array" ref="BJ16">+_xlfn.IFS(BX16&lt;&gt;0,BX$2,CL16&lt;&gt;0,CL$2,CZ16&lt;&gt;0,CZ$2,DN16&lt;&gt;0,DN$2,TRUE,"")</f>
        <v/>
      </c>
      <c r="BK16" s="1" t="str" cm="1">
        <f t="array" ref="BK16">+_xlfn.IFS(BY16&lt;&gt;0,BY$2,CM16&lt;&gt;0,CM$2,DA16&lt;&gt;0,DA$2,DO16&lt;&gt;0,DO$2,TRUE,"")</f>
        <v/>
      </c>
      <c r="BL16" s="1" t="str" cm="1">
        <f t="array" ref="BL16">+_xlfn.IFS(BZ16&lt;&gt;0,BZ$2,CN16&lt;&gt;0,CN$2,DB16&lt;&gt;0,DB$2,DP16&lt;&gt;0,DP$2,TRUE,"")</f>
        <v/>
      </c>
      <c r="BM16" s="1" t="str" cm="1">
        <f t="array" ref="BM16">+_xlfn.IFS(CA16&lt;&gt;0,CA$2,CO16&lt;&gt;0,CO$2,DC16&lt;&gt;0,DC$2,DQ16&lt;&gt;0,DQ$2,TRUE,"")</f>
        <v>Upsell</v>
      </c>
      <c r="BN16" s="1" t="str" cm="1">
        <f t="array" ref="BN16">+_xlfn.IFS(CB16&lt;&gt;0,CB$2,CP16&lt;&gt;0,CP$2,DD16&lt;&gt;0,DD$2,DR16&lt;&gt;0,DR$2,TRUE,"")</f>
        <v/>
      </c>
      <c r="BO16" s="1" t="str" cm="1">
        <f t="array" ref="BO16">+_xlfn.IFS(CC16&lt;&gt;0,CC$2,CQ16&lt;&gt;0,CQ$2,DE16&lt;&gt;0,DE$2,DS16&lt;&gt;0,DS$2,TRUE,"")</f>
        <v/>
      </c>
      <c r="BP16" s="1" t="str" cm="1">
        <f t="array" ref="BP16">+_xlfn.IFS(CD16&lt;&gt;0,CD$2,CR16&lt;&gt;0,CR$2,DF16&lt;&gt;0,DF$2,DT16&lt;&gt;0,DT$2,TRUE,"")</f>
        <v/>
      </c>
      <c r="BQ16" s="1" t="str" cm="1">
        <f t="array" ref="BQ16">+_xlfn.IFS(CE16&lt;&gt;0,CE$2,CS16&lt;&gt;0,CS$2,DG16&lt;&gt;0,DG$2,DU16&lt;&gt;0,DU$2,TRUE,"")</f>
        <v/>
      </c>
      <c r="BS16" s="111"/>
      <c r="BT16" s="110">
        <f t="shared" si="25"/>
        <v>0</v>
      </c>
      <c r="BU16" s="110">
        <f t="shared" si="26"/>
        <v>0</v>
      </c>
      <c r="BV16" s="110">
        <f t="shared" si="27"/>
        <v>0</v>
      </c>
      <c r="BW16" s="110">
        <f t="shared" si="28"/>
        <v>0</v>
      </c>
      <c r="BX16" s="110">
        <f t="shared" si="29"/>
        <v>0</v>
      </c>
      <c r="BY16" s="110">
        <f t="shared" si="30"/>
        <v>0</v>
      </c>
      <c r="BZ16" s="110">
        <f t="shared" si="31"/>
        <v>0</v>
      </c>
      <c r="CA16" s="110">
        <f t="shared" si="32"/>
        <v>0</v>
      </c>
      <c r="CB16" s="110">
        <f t="shared" si="33"/>
        <v>0</v>
      </c>
      <c r="CC16" s="110">
        <f t="shared" si="34"/>
        <v>0</v>
      </c>
      <c r="CD16" s="110">
        <f t="shared" si="35"/>
        <v>0</v>
      </c>
      <c r="CE16" s="110">
        <f t="shared" si="36"/>
        <v>0</v>
      </c>
      <c r="CG16" s="111"/>
      <c r="CH16" s="110">
        <f t="shared" si="37"/>
        <v>0</v>
      </c>
      <c r="CI16" s="110">
        <f t="shared" si="38"/>
        <v>0</v>
      </c>
      <c r="CJ16" s="110">
        <f t="shared" si="39"/>
        <v>0</v>
      </c>
      <c r="CK16" s="110">
        <f t="shared" si="40"/>
        <v>0</v>
      </c>
      <c r="CL16" s="110">
        <f t="shared" si="41"/>
        <v>0</v>
      </c>
      <c r="CM16" s="110">
        <f t="shared" si="42"/>
        <v>0</v>
      </c>
      <c r="CN16" s="110">
        <f t="shared" si="43"/>
        <v>0</v>
      </c>
      <c r="CO16" s="110">
        <f t="shared" si="44"/>
        <v>0</v>
      </c>
      <c r="CP16" s="110">
        <f t="shared" si="45"/>
        <v>0</v>
      </c>
      <c r="CQ16" s="110">
        <f t="shared" si="46"/>
        <v>0</v>
      </c>
      <c r="CR16" s="110">
        <f t="shared" si="47"/>
        <v>0</v>
      </c>
      <c r="CS16" s="110">
        <f t="shared" si="48"/>
        <v>0</v>
      </c>
      <c r="CU16" s="111"/>
      <c r="CV16" s="110">
        <f t="shared" si="49"/>
        <v>0</v>
      </c>
      <c r="CW16" s="110">
        <f t="shared" si="50"/>
        <v>0</v>
      </c>
      <c r="CX16" s="110">
        <f t="shared" si="51"/>
        <v>0</v>
      </c>
      <c r="CY16" s="110">
        <f t="shared" si="52"/>
        <v>0</v>
      </c>
      <c r="CZ16" s="110">
        <f t="shared" si="53"/>
        <v>0</v>
      </c>
      <c r="DA16" s="110">
        <f t="shared" si="54"/>
        <v>0</v>
      </c>
      <c r="DB16" s="110">
        <f t="shared" si="55"/>
        <v>0</v>
      </c>
      <c r="DC16" s="110">
        <f t="shared" si="56"/>
        <v>0</v>
      </c>
      <c r="DD16" s="110">
        <f t="shared" si="57"/>
        <v>0</v>
      </c>
      <c r="DE16" s="110">
        <f t="shared" si="58"/>
        <v>0</v>
      </c>
      <c r="DF16" s="110">
        <f t="shared" si="59"/>
        <v>0</v>
      </c>
      <c r="DG16" s="110">
        <f t="shared" si="60"/>
        <v>0</v>
      </c>
      <c r="DI16" s="111"/>
      <c r="DJ16" s="110">
        <f t="shared" si="61"/>
        <v>0</v>
      </c>
      <c r="DK16" s="110">
        <f t="shared" si="62"/>
        <v>0</v>
      </c>
      <c r="DL16" s="110">
        <f t="shared" si="63"/>
        <v>0</v>
      </c>
      <c r="DM16" s="110">
        <f t="shared" si="64"/>
        <v>0</v>
      </c>
      <c r="DN16" s="110">
        <f t="shared" si="65"/>
        <v>0</v>
      </c>
      <c r="DO16" s="110">
        <f t="shared" si="66"/>
        <v>0</v>
      </c>
      <c r="DP16" s="110">
        <f t="shared" si="67"/>
        <v>0</v>
      </c>
      <c r="DQ16" s="110">
        <f t="shared" si="68"/>
        <v>12.920000000000016</v>
      </c>
      <c r="DR16" s="110">
        <f t="shared" si="69"/>
        <v>0</v>
      </c>
      <c r="DS16" s="110">
        <f t="shared" si="70"/>
        <v>0</v>
      </c>
      <c r="DT16" s="110">
        <f t="shared" si="71"/>
        <v>0</v>
      </c>
      <c r="DU16" s="110">
        <f t="shared" si="72"/>
        <v>0</v>
      </c>
      <c r="DW16" s="111"/>
      <c r="DX16" s="110">
        <f t="shared" si="73"/>
        <v>0</v>
      </c>
      <c r="DY16" s="110">
        <f t="shared" si="74"/>
        <v>0</v>
      </c>
      <c r="DZ16" s="110">
        <f t="shared" si="75"/>
        <v>0</v>
      </c>
      <c r="EA16" s="110">
        <f t="shared" si="76"/>
        <v>0</v>
      </c>
      <c r="EB16" s="110">
        <f t="shared" si="77"/>
        <v>0</v>
      </c>
      <c r="EC16" s="110">
        <f t="shared" si="78"/>
        <v>0</v>
      </c>
      <c r="ED16" s="110">
        <f t="shared" si="79"/>
        <v>0</v>
      </c>
      <c r="EE16" s="110">
        <f t="shared" si="80"/>
        <v>0</v>
      </c>
      <c r="EF16" s="110">
        <f t="shared" si="81"/>
        <v>0</v>
      </c>
      <c r="EG16" s="110">
        <f t="shared" si="82"/>
        <v>0</v>
      </c>
      <c r="EH16" s="110">
        <f t="shared" si="83"/>
        <v>0</v>
      </c>
      <c r="EI16" s="110">
        <f t="shared" si="84"/>
        <v>0</v>
      </c>
      <c r="EK16" s="111"/>
      <c r="EL16" s="110">
        <f t="shared" si="85"/>
        <v>0</v>
      </c>
      <c r="EM16" s="110">
        <f t="shared" si="86"/>
        <v>12.920000000000016</v>
      </c>
      <c r="EN16" s="110">
        <f t="shared" si="87"/>
        <v>0</v>
      </c>
      <c r="EP16" s="109" cm="1">
        <f t="array" ref="EP16">+IFERROR(INDEX($C$3:$AM$3,MATCH(TRUE,INDEX($C16:$AM16&lt;&gt;0,0),0)),"N/A")</f>
        <v>44926</v>
      </c>
      <c r="EQ16" s="112"/>
      <c r="ER16" s="1" t="str" cm="1">
        <f t="array" ref="ER16">+_xlfn.IFS(EW16&lt;&gt;0,EW$2,FB16&lt;&gt;0,FB$2,FG16&lt;&gt;0,FG$2,FL16&lt;&gt;0,FL$2,TRUE,"")</f>
        <v/>
      </c>
      <c r="ES16" s="1" t="str" cm="1">
        <f t="array" ref="ES16">+_xlfn.IFS(EX16&lt;&gt;0,EX$2,FC16&lt;&gt;0,FC$2,FH16&lt;&gt;0,FH$2,FM16&lt;&gt;0,FM$2,TRUE,"")</f>
        <v>Upsell</v>
      </c>
      <c r="ET16" s="1" t="str" cm="1">
        <f t="array" ref="ET16">+_xlfn.IFS(EY16&lt;&gt;0,EY$2,FD16&lt;&gt;0,FD$2,FI16&lt;&gt;0,FI$2,FN16&lt;&gt;0,FN$2,TRUE,"")</f>
        <v/>
      </c>
      <c r="EV16" s="111"/>
      <c r="EW16" s="110">
        <f t="shared" si="88"/>
        <v>0</v>
      </c>
      <c r="EX16" s="110">
        <f t="shared" si="89"/>
        <v>0</v>
      </c>
      <c r="EY16" s="110">
        <f t="shared" si="90"/>
        <v>0</v>
      </c>
      <c r="FA16" s="111"/>
      <c r="FB16" s="110">
        <f t="shared" si="91"/>
        <v>0</v>
      </c>
      <c r="FC16" s="110">
        <f t="shared" si="92"/>
        <v>0</v>
      </c>
      <c r="FD16" s="110">
        <f t="shared" si="93"/>
        <v>0</v>
      </c>
      <c r="FF16" s="111"/>
      <c r="FG16" s="110">
        <f t="shared" si="94"/>
        <v>0</v>
      </c>
      <c r="FH16" s="110">
        <f t="shared" si="95"/>
        <v>0</v>
      </c>
      <c r="FI16" s="110">
        <f t="shared" si="96"/>
        <v>0</v>
      </c>
      <c r="FK16" s="111"/>
      <c r="FL16" s="110">
        <f t="shared" si="97"/>
        <v>0</v>
      </c>
      <c r="FM16" s="110">
        <f t="shared" si="98"/>
        <v>12.920000000000016</v>
      </c>
      <c r="FN16" s="110">
        <f t="shared" si="99"/>
        <v>0</v>
      </c>
      <c r="FP16" s="111"/>
      <c r="FQ16" s="110">
        <f t="shared" si="100"/>
        <v>0</v>
      </c>
      <c r="FR16" s="110">
        <f t="shared" si="101"/>
        <v>0</v>
      </c>
      <c r="FS16" s="110">
        <f t="shared" si="102"/>
        <v>0</v>
      </c>
      <c r="FU16" s="111">
        <f t="shared" si="103"/>
        <v>0</v>
      </c>
      <c r="FV16" s="110">
        <f t="shared" si="104"/>
        <v>0</v>
      </c>
      <c r="FW16" s="110">
        <f t="shared" si="105"/>
        <v>0</v>
      </c>
      <c r="FX16" s="110">
        <f t="shared" si="106"/>
        <v>0</v>
      </c>
      <c r="FY16" s="110">
        <f t="shared" si="107"/>
        <v>0</v>
      </c>
      <c r="FZ16" s="110">
        <f t="shared" si="108"/>
        <v>0</v>
      </c>
      <c r="GA16" s="110">
        <f t="shared" si="109"/>
        <v>0</v>
      </c>
      <c r="GB16" s="110">
        <f t="shared" si="110"/>
        <v>0</v>
      </c>
      <c r="GC16" s="110">
        <f t="shared" si="111"/>
        <v>0</v>
      </c>
      <c r="GD16" s="110">
        <f t="shared" si="112"/>
        <v>0</v>
      </c>
      <c r="GE16" s="110">
        <f t="shared" si="113"/>
        <v>0</v>
      </c>
      <c r="GF16" s="110">
        <f t="shared" si="114"/>
        <v>0</v>
      </c>
      <c r="GG16" s="110">
        <f t="shared" si="115"/>
        <v>12.920000000000016</v>
      </c>
      <c r="GH16" s="110">
        <f t="shared" si="116"/>
        <v>12.920000000000016</v>
      </c>
      <c r="GI16" s="110">
        <f t="shared" si="117"/>
        <v>12.920000000000016</v>
      </c>
      <c r="GJ16" s="110">
        <f t="shared" si="118"/>
        <v>12.920000000000016</v>
      </c>
      <c r="GK16" s="110">
        <f t="shared" si="119"/>
        <v>12.920000000000016</v>
      </c>
      <c r="GL16" s="110">
        <f t="shared" si="120"/>
        <v>12.920000000000016</v>
      </c>
      <c r="GM16" s="110">
        <f t="shared" si="121"/>
        <v>12.920000000000016</v>
      </c>
      <c r="GN16" s="110">
        <f t="shared" si="122"/>
        <v>12.920000000000016</v>
      </c>
      <c r="GO16" s="110">
        <f t="shared" si="123"/>
        <v>12.920000000000016</v>
      </c>
      <c r="GP16" s="110">
        <f t="shared" si="124"/>
        <v>12.920000000000016</v>
      </c>
      <c r="GQ16" s="110">
        <f t="shared" si="125"/>
        <v>12.920000000000016</v>
      </c>
      <c r="GR16" s="110">
        <f t="shared" si="126"/>
        <v>12.920000000000016</v>
      </c>
      <c r="GS16" s="110">
        <f t="shared" si="127"/>
        <v>0</v>
      </c>
      <c r="GU16" s="109" cm="1">
        <f t="array" ref="GU16">+IFERROR(INDEX($C$3:$AM$3,MATCH(TRUE,INDEX($C16:$AM16&lt;&gt;0,0),0)),"N/A")</f>
        <v>44926</v>
      </c>
      <c r="GV16" s="112" t="str" cm="1">
        <f t="array" ref="GV16">+_xlfn.IFS(HV16&lt;&gt;0,HV$2,IV16&lt;&gt;0,IV$2,JV16&lt;&gt;0,JV$2,KV16&lt;&gt;0,KV$2,TRUE,"")</f>
        <v/>
      </c>
      <c r="GW16" s="1" t="str" cm="1">
        <f t="array" ref="GW16">+_xlfn.IFS(HW16&lt;&gt;0,HW$2,IW16&lt;&gt;0,IW$2,JW16&lt;&gt;0,JW$2,KW16&lt;&gt;0,KW$2,TRUE,"")</f>
        <v/>
      </c>
      <c r="GX16" s="1" t="str" cm="1">
        <f t="array" ref="GX16">+_xlfn.IFS(HX16&lt;&gt;0,HX$2,IX16&lt;&gt;0,IX$2,JX16&lt;&gt;0,JX$2,KX16&lt;&gt;0,KX$2,TRUE,"")</f>
        <v/>
      </c>
      <c r="GY16" s="1" t="str" cm="1">
        <f t="array" ref="GY16">+_xlfn.IFS(HY16&lt;&gt;0,HY$2,IY16&lt;&gt;0,IY$2,JY16&lt;&gt;0,JY$2,KY16&lt;&gt;0,KY$2,TRUE,"")</f>
        <v/>
      </c>
      <c r="GZ16" s="1" t="str" cm="1">
        <f t="array" ref="GZ16">+_xlfn.IFS(HZ16&lt;&gt;0,HZ$2,IZ16&lt;&gt;0,IZ$2,JZ16&lt;&gt;0,JZ$2,KZ16&lt;&gt;0,KZ$2,TRUE,"")</f>
        <v/>
      </c>
      <c r="HA16" s="1" t="str" cm="1">
        <f t="array" ref="HA16">+_xlfn.IFS(IA16&lt;&gt;0,IA$2,JA16&lt;&gt;0,JA$2,KA16&lt;&gt;0,KA$2,LA16&lt;&gt;0,LA$2,TRUE,"")</f>
        <v/>
      </c>
      <c r="HB16" s="1" t="str" cm="1">
        <f t="array" ref="HB16">+_xlfn.IFS(IB16&lt;&gt;0,IB$2,JB16&lt;&gt;0,JB$2,KB16&lt;&gt;0,KB$2,LB16&lt;&gt;0,LB$2,TRUE,"")</f>
        <v/>
      </c>
      <c r="HC16" s="1" t="str" cm="1">
        <f t="array" ref="HC16">+_xlfn.IFS(IC16&lt;&gt;0,IC$2,JC16&lt;&gt;0,JC$2,KC16&lt;&gt;0,KC$2,LC16&lt;&gt;0,LC$2,TRUE,"")</f>
        <v/>
      </c>
      <c r="HD16" s="1" t="str" cm="1">
        <f t="array" ref="HD16">+_xlfn.IFS(ID16&lt;&gt;0,ID$2,JD16&lt;&gt;0,JD$2,KD16&lt;&gt;0,KD$2,LD16&lt;&gt;0,LD$2,TRUE,"")</f>
        <v/>
      </c>
      <c r="HE16" s="1" t="str" cm="1">
        <f t="array" ref="HE16">+_xlfn.IFS(IE16&lt;&gt;0,IE$2,JE16&lt;&gt;0,JE$2,KE16&lt;&gt;0,KE$2,LE16&lt;&gt;0,LE$2,TRUE,"")</f>
        <v/>
      </c>
      <c r="HF16" s="1" t="str" cm="1">
        <f t="array" ref="HF16">+_xlfn.IFS(IF16&lt;&gt;0,IF$2,JF16&lt;&gt;0,JF$2,KF16&lt;&gt;0,KF$2,LF16&lt;&gt;0,LF$2,TRUE,"")</f>
        <v/>
      </c>
      <c r="HG16" s="1" t="str" cm="1">
        <f t="array" ref="HG16">+_xlfn.IFS(IG16&lt;&gt;0,IG$2,JG16&lt;&gt;0,JG$2,KG16&lt;&gt;0,KG$2,LG16&lt;&gt;0,LG$2,TRUE,"")</f>
        <v/>
      </c>
      <c r="HH16" s="1" t="str" cm="1">
        <f t="array" ref="HH16">+_xlfn.IFS(IH16&lt;&gt;0,IH$2,JH16&lt;&gt;0,JH$2,KH16&lt;&gt;0,KH$2,LH16&lt;&gt;0,LH$2,TRUE,"")</f>
        <v>Upsell</v>
      </c>
      <c r="HI16" s="1" t="str" cm="1">
        <f t="array" ref="HI16">+_xlfn.IFS(II16&lt;&gt;0,II$2,JI16&lt;&gt;0,JI$2,KI16&lt;&gt;0,KI$2,LI16&lt;&gt;0,LI$2,TRUE,"")</f>
        <v>Upsell</v>
      </c>
      <c r="HJ16" s="1" t="str" cm="1">
        <f t="array" ref="HJ16">+_xlfn.IFS(IJ16&lt;&gt;0,IJ$2,JJ16&lt;&gt;0,JJ$2,KJ16&lt;&gt;0,KJ$2,LJ16&lt;&gt;0,LJ$2,TRUE,"")</f>
        <v>Upsell</v>
      </c>
      <c r="HK16" s="1" t="str" cm="1">
        <f t="array" ref="HK16">+_xlfn.IFS(IK16&lt;&gt;0,IK$2,JK16&lt;&gt;0,JK$2,KK16&lt;&gt;0,KK$2,LK16&lt;&gt;0,LK$2,TRUE,"")</f>
        <v>Upsell</v>
      </c>
      <c r="HL16" s="1" t="str" cm="1">
        <f t="array" ref="HL16">+_xlfn.IFS(IL16&lt;&gt;0,IL$2,JL16&lt;&gt;0,JL$2,KL16&lt;&gt;0,KL$2,LL16&lt;&gt;0,LL$2,TRUE,"")</f>
        <v>Upsell</v>
      </c>
      <c r="HM16" s="1" t="str" cm="1">
        <f t="array" ref="HM16">+_xlfn.IFS(IM16&lt;&gt;0,IM$2,JM16&lt;&gt;0,JM$2,KM16&lt;&gt;0,KM$2,LM16&lt;&gt;0,LM$2,TRUE,"")</f>
        <v>Upsell</v>
      </c>
      <c r="HN16" s="1" t="str" cm="1">
        <f t="array" ref="HN16">+_xlfn.IFS(IN16&lt;&gt;0,IN$2,JN16&lt;&gt;0,JN$2,KN16&lt;&gt;0,KN$2,LN16&lt;&gt;0,LN$2,TRUE,"")</f>
        <v>Upsell</v>
      </c>
      <c r="HO16" s="1" t="str" cm="1">
        <f t="array" ref="HO16">+_xlfn.IFS(IO16&lt;&gt;0,IO$2,JO16&lt;&gt;0,JO$2,KO16&lt;&gt;0,KO$2,LO16&lt;&gt;0,LO$2,TRUE,"")</f>
        <v>Upsell</v>
      </c>
      <c r="HP16" s="1" t="str" cm="1">
        <f t="array" ref="HP16">+_xlfn.IFS(IP16&lt;&gt;0,IP$2,JP16&lt;&gt;0,JP$2,KP16&lt;&gt;0,KP$2,LP16&lt;&gt;0,LP$2,TRUE,"")</f>
        <v>Upsell</v>
      </c>
      <c r="HQ16" s="1" t="str" cm="1">
        <f t="array" ref="HQ16">+_xlfn.IFS(IQ16&lt;&gt;0,IQ$2,JQ16&lt;&gt;0,JQ$2,KQ16&lt;&gt;0,KQ$2,LQ16&lt;&gt;0,LQ$2,TRUE,"")</f>
        <v>Upsell</v>
      </c>
      <c r="HR16" s="1" t="str" cm="1">
        <f t="array" ref="HR16">+_xlfn.IFS(IR16&lt;&gt;0,IR$2,JR16&lt;&gt;0,JR$2,KR16&lt;&gt;0,KR$2,LR16&lt;&gt;0,LR$2,TRUE,"")</f>
        <v>Upsell</v>
      </c>
      <c r="HS16" s="1" t="str" cm="1">
        <f t="array" ref="HS16">+_xlfn.IFS(IS16&lt;&gt;0,IS$2,JS16&lt;&gt;0,JS$2,KS16&lt;&gt;0,KS$2,LS16&lt;&gt;0,LS$2,TRUE,"")</f>
        <v>Upsell</v>
      </c>
      <c r="HT16" s="1" t="str" cm="1">
        <f t="array" ref="HT16">+_xlfn.IFS(IT16&lt;&gt;0,IT$2,JT16&lt;&gt;0,JT$2,KT16&lt;&gt;0,KT$2,LT16&lt;&gt;0,LT$2,TRUE,"")</f>
        <v/>
      </c>
      <c r="HV16" s="111">
        <f t="shared" si="128"/>
        <v>0</v>
      </c>
      <c r="HW16" s="110">
        <f t="shared" si="129"/>
        <v>0</v>
      </c>
      <c r="HX16" s="110">
        <f t="shared" si="130"/>
        <v>0</v>
      </c>
      <c r="HY16" s="110">
        <f t="shared" si="131"/>
        <v>0</v>
      </c>
      <c r="HZ16" s="110">
        <f t="shared" si="132"/>
        <v>0</v>
      </c>
      <c r="IA16" s="110">
        <f t="shared" si="133"/>
        <v>0</v>
      </c>
      <c r="IB16" s="110">
        <f t="shared" si="134"/>
        <v>0</v>
      </c>
      <c r="IC16" s="110">
        <f t="shared" si="135"/>
        <v>0</v>
      </c>
      <c r="ID16" s="110">
        <f t="shared" si="136"/>
        <v>0</v>
      </c>
      <c r="IE16" s="110">
        <f t="shared" si="137"/>
        <v>0</v>
      </c>
      <c r="IF16" s="110">
        <f t="shared" si="138"/>
        <v>0</v>
      </c>
      <c r="IG16" s="110">
        <f t="shared" si="139"/>
        <v>0</v>
      </c>
      <c r="IH16" s="110">
        <f t="shared" si="140"/>
        <v>0</v>
      </c>
      <c r="II16" s="110">
        <f t="shared" si="141"/>
        <v>0</v>
      </c>
      <c r="IJ16" s="110">
        <f t="shared" si="142"/>
        <v>0</v>
      </c>
      <c r="IK16" s="110">
        <f t="shared" si="143"/>
        <v>0</v>
      </c>
      <c r="IL16" s="110">
        <f t="shared" si="144"/>
        <v>0</v>
      </c>
      <c r="IM16" s="110">
        <f t="shared" si="145"/>
        <v>0</v>
      </c>
      <c r="IN16" s="110">
        <f t="shared" si="146"/>
        <v>0</v>
      </c>
      <c r="IO16" s="110">
        <f t="shared" si="147"/>
        <v>0</v>
      </c>
      <c r="IP16" s="110">
        <f t="shared" si="148"/>
        <v>0</v>
      </c>
      <c r="IQ16" s="110">
        <f t="shared" si="149"/>
        <v>0</v>
      </c>
      <c r="IR16" s="110">
        <f t="shared" si="150"/>
        <v>0</v>
      </c>
      <c r="IS16" s="110">
        <f t="shared" si="151"/>
        <v>0</v>
      </c>
      <c r="IT16" s="110">
        <f t="shared" si="152"/>
        <v>0</v>
      </c>
      <c r="IV16" s="111">
        <f t="shared" si="153"/>
        <v>0</v>
      </c>
      <c r="IW16" s="110">
        <f t="shared" si="154"/>
        <v>0</v>
      </c>
      <c r="IX16" s="110">
        <f t="shared" si="155"/>
        <v>0</v>
      </c>
      <c r="IY16" s="110">
        <f t="shared" si="156"/>
        <v>0</v>
      </c>
      <c r="IZ16" s="110">
        <f t="shared" si="157"/>
        <v>0</v>
      </c>
      <c r="JA16" s="110">
        <f t="shared" si="158"/>
        <v>0</v>
      </c>
      <c r="JB16" s="110">
        <f t="shared" si="159"/>
        <v>0</v>
      </c>
      <c r="JC16" s="110">
        <f t="shared" si="160"/>
        <v>0</v>
      </c>
      <c r="JD16" s="110">
        <f t="shared" si="161"/>
        <v>0</v>
      </c>
      <c r="JE16" s="110">
        <f t="shared" si="162"/>
        <v>0</v>
      </c>
      <c r="JF16" s="110">
        <f t="shared" si="163"/>
        <v>0</v>
      </c>
      <c r="JG16" s="110">
        <f t="shared" si="164"/>
        <v>0</v>
      </c>
      <c r="JH16" s="110">
        <f t="shared" si="165"/>
        <v>0</v>
      </c>
      <c r="JI16" s="110">
        <f t="shared" si="166"/>
        <v>0</v>
      </c>
      <c r="JJ16" s="110">
        <f t="shared" si="167"/>
        <v>0</v>
      </c>
      <c r="JK16" s="110">
        <f t="shared" si="168"/>
        <v>0</v>
      </c>
      <c r="JL16" s="110">
        <f t="shared" si="169"/>
        <v>0</v>
      </c>
      <c r="JM16" s="110">
        <f t="shared" si="170"/>
        <v>0</v>
      </c>
      <c r="JN16" s="110">
        <f t="shared" si="171"/>
        <v>0</v>
      </c>
      <c r="JO16" s="110">
        <f t="shared" si="172"/>
        <v>0</v>
      </c>
      <c r="JP16" s="110">
        <f t="shared" si="173"/>
        <v>0</v>
      </c>
      <c r="JQ16" s="110">
        <f t="shared" si="174"/>
        <v>0</v>
      </c>
      <c r="JR16" s="110">
        <f t="shared" si="175"/>
        <v>0</v>
      </c>
      <c r="JS16" s="110">
        <f t="shared" si="176"/>
        <v>0</v>
      </c>
      <c r="JT16" s="110">
        <f t="shared" si="177"/>
        <v>0</v>
      </c>
      <c r="JV16" s="111">
        <f t="shared" si="178"/>
        <v>0</v>
      </c>
      <c r="JW16" s="110">
        <f t="shared" si="179"/>
        <v>0</v>
      </c>
      <c r="JX16" s="110">
        <f t="shared" si="180"/>
        <v>0</v>
      </c>
      <c r="JY16" s="110">
        <f t="shared" si="181"/>
        <v>0</v>
      </c>
      <c r="JZ16" s="110">
        <f t="shared" si="182"/>
        <v>0</v>
      </c>
      <c r="KA16" s="110">
        <f t="shared" si="183"/>
        <v>0</v>
      </c>
      <c r="KB16" s="110">
        <f t="shared" si="184"/>
        <v>0</v>
      </c>
      <c r="KC16" s="110">
        <f t="shared" si="185"/>
        <v>0</v>
      </c>
      <c r="KD16" s="110">
        <f t="shared" si="186"/>
        <v>0</v>
      </c>
      <c r="KE16" s="110">
        <f t="shared" si="187"/>
        <v>0</v>
      </c>
      <c r="KF16" s="110">
        <f t="shared" si="188"/>
        <v>0</v>
      </c>
      <c r="KG16" s="110">
        <f t="shared" si="189"/>
        <v>0</v>
      </c>
      <c r="KH16" s="110">
        <f t="shared" si="190"/>
        <v>0</v>
      </c>
      <c r="KI16" s="110">
        <f t="shared" si="191"/>
        <v>0</v>
      </c>
      <c r="KJ16" s="110">
        <f t="shared" si="192"/>
        <v>0</v>
      </c>
      <c r="KK16" s="110">
        <f t="shared" si="193"/>
        <v>0</v>
      </c>
      <c r="KL16" s="110">
        <f t="shared" si="194"/>
        <v>0</v>
      </c>
      <c r="KM16" s="110">
        <f t="shared" si="195"/>
        <v>0</v>
      </c>
      <c r="KN16" s="110">
        <f t="shared" si="196"/>
        <v>0</v>
      </c>
      <c r="KO16" s="110">
        <f t="shared" si="197"/>
        <v>0</v>
      </c>
      <c r="KP16" s="110">
        <f t="shared" si="198"/>
        <v>0</v>
      </c>
      <c r="KQ16" s="110">
        <f t="shared" si="199"/>
        <v>0</v>
      </c>
      <c r="KR16" s="110">
        <f t="shared" si="200"/>
        <v>0</v>
      </c>
      <c r="KS16" s="110">
        <f t="shared" si="201"/>
        <v>0</v>
      </c>
      <c r="KT16" s="110">
        <f t="shared" si="202"/>
        <v>0</v>
      </c>
      <c r="KV16" s="111">
        <f t="shared" si="203"/>
        <v>0</v>
      </c>
      <c r="KW16" s="110">
        <f t="shared" si="204"/>
        <v>0</v>
      </c>
      <c r="KX16" s="110">
        <f t="shared" si="205"/>
        <v>0</v>
      </c>
      <c r="KY16" s="110">
        <f t="shared" si="206"/>
        <v>0</v>
      </c>
      <c r="KZ16" s="110">
        <f t="shared" si="207"/>
        <v>0</v>
      </c>
      <c r="LA16" s="110">
        <f t="shared" si="208"/>
        <v>0</v>
      </c>
      <c r="LB16" s="110">
        <f t="shared" si="209"/>
        <v>0</v>
      </c>
      <c r="LC16" s="110">
        <f t="shared" si="210"/>
        <v>0</v>
      </c>
      <c r="LD16" s="110">
        <f t="shared" si="211"/>
        <v>0</v>
      </c>
      <c r="LE16" s="110">
        <f t="shared" si="212"/>
        <v>0</v>
      </c>
      <c r="LF16" s="110">
        <f t="shared" si="213"/>
        <v>0</v>
      </c>
      <c r="LG16" s="110">
        <f t="shared" si="214"/>
        <v>0</v>
      </c>
      <c r="LH16" s="110">
        <f t="shared" si="215"/>
        <v>12.920000000000016</v>
      </c>
      <c r="LI16" s="110">
        <f t="shared" si="216"/>
        <v>12.920000000000016</v>
      </c>
      <c r="LJ16" s="110">
        <f t="shared" si="217"/>
        <v>12.920000000000016</v>
      </c>
      <c r="LK16" s="110">
        <f t="shared" si="218"/>
        <v>12.920000000000016</v>
      </c>
      <c r="LL16" s="110">
        <f t="shared" si="219"/>
        <v>12.920000000000016</v>
      </c>
      <c r="LM16" s="110">
        <f t="shared" si="220"/>
        <v>12.920000000000016</v>
      </c>
      <c r="LN16" s="110">
        <f t="shared" si="221"/>
        <v>12.920000000000016</v>
      </c>
      <c r="LO16" s="110">
        <f t="shared" si="222"/>
        <v>12.920000000000016</v>
      </c>
      <c r="LP16" s="110">
        <f t="shared" si="223"/>
        <v>12.920000000000016</v>
      </c>
      <c r="LQ16" s="110">
        <f t="shared" si="224"/>
        <v>12.920000000000016</v>
      </c>
      <c r="LR16" s="110">
        <f t="shared" si="225"/>
        <v>12.920000000000016</v>
      </c>
      <c r="LS16" s="110">
        <f t="shared" si="226"/>
        <v>12.920000000000016</v>
      </c>
      <c r="LT16" s="110">
        <f t="shared" si="227"/>
        <v>0</v>
      </c>
      <c r="LV16" s="111"/>
      <c r="LW16" s="110">
        <f t="shared" si="228"/>
        <v>0</v>
      </c>
      <c r="LX16" s="110">
        <f t="shared" si="229"/>
        <v>0</v>
      </c>
      <c r="LY16" s="110">
        <f t="shared" si="230"/>
        <v>0</v>
      </c>
      <c r="LZ16" s="110">
        <f t="shared" si="231"/>
        <v>0</v>
      </c>
      <c r="MA16" s="110">
        <f t="shared" si="232"/>
        <v>0</v>
      </c>
      <c r="MB16" s="110">
        <f t="shared" si="233"/>
        <v>0</v>
      </c>
      <c r="MC16" s="110">
        <f t="shared" si="234"/>
        <v>0</v>
      </c>
      <c r="MD16" s="110">
        <f t="shared" si="235"/>
        <v>0</v>
      </c>
      <c r="ME16" s="110">
        <f t="shared" si="236"/>
        <v>0</v>
      </c>
      <c r="MF16" s="110">
        <f t="shared" si="237"/>
        <v>0</v>
      </c>
      <c r="MG16" s="110">
        <f t="shared" si="238"/>
        <v>0</v>
      </c>
      <c r="MH16" s="110">
        <f t="shared" si="239"/>
        <v>0</v>
      </c>
      <c r="MI16" s="110">
        <f t="shared" si="240"/>
        <v>0</v>
      </c>
      <c r="MJ16" s="110">
        <f t="shared" si="241"/>
        <v>0</v>
      </c>
      <c r="MK16" s="110">
        <f t="shared" si="242"/>
        <v>0</v>
      </c>
      <c r="ML16" s="110">
        <f t="shared" si="243"/>
        <v>0</v>
      </c>
      <c r="MM16" s="110">
        <f t="shared" si="244"/>
        <v>0</v>
      </c>
      <c r="MN16" s="110">
        <f t="shared" si="245"/>
        <v>0</v>
      </c>
      <c r="MO16" s="110">
        <f t="shared" si="246"/>
        <v>0</v>
      </c>
      <c r="MP16" s="110">
        <f t="shared" si="247"/>
        <v>0</v>
      </c>
      <c r="MQ16" s="110">
        <f t="shared" si="248"/>
        <v>0</v>
      </c>
      <c r="MR16" s="110">
        <f t="shared" si="249"/>
        <v>0</v>
      </c>
      <c r="MS16" s="110">
        <f t="shared" si="250"/>
        <v>0</v>
      </c>
      <c r="MT16" s="110">
        <f t="shared" si="251"/>
        <v>0</v>
      </c>
      <c r="MV16" s="114">
        <v>381.92</v>
      </c>
      <c r="MW16" s="114">
        <v>0</v>
      </c>
      <c r="MX16" s="114">
        <v>0</v>
      </c>
      <c r="MY16" s="114">
        <v>0</v>
      </c>
      <c r="MZ16" s="114">
        <v>0</v>
      </c>
      <c r="NB16" s="115">
        <v>3</v>
      </c>
      <c r="NC16" s="115" t="str">
        <v>N/A</v>
      </c>
      <c r="ND16" s="115" t="str">
        <v>N/A</v>
      </c>
      <c r="NE16" s="115" t="str">
        <v>N/A</v>
      </c>
      <c r="NF16" s="115" t="str">
        <v>N/A</v>
      </c>
    </row>
    <row r="17" spans="1:370" ht="13.5" x14ac:dyDescent="0.25">
      <c r="B17" s="8">
        <f t="shared" si="252"/>
        <v>14</v>
      </c>
      <c r="C17" s="7">
        <v>279</v>
      </c>
      <c r="D17" s="7">
        <v>279</v>
      </c>
      <c r="E17" s="7">
        <v>279</v>
      </c>
      <c r="F17" s="7">
        <v>279</v>
      </c>
      <c r="G17" s="7">
        <v>279</v>
      </c>
      <c r="H17" s="7">
        <v>279</v>
      </c>
      <c r="I17" s="7">
        <v>279</v>
      </c>
      <c r="J17" s="7">
        <v>279</v>
      </c>
      <c r="K17" s="7">
        <v>279</v>
      </c>
      <c r="L17" s="7">
        <v>279</v>
      </c>
      <c r="M17" s="7">
        <v>279</v>
      </c>
      <c r="N17" s="7">
        <v>279</v>
      </c>
      <c r="O17" s="7">
        <v>279</v>
      </c>
      <c r="P17" s="7">
        <v>279</v>
      </c>
      <c r="Q17" s="7">
        <v>279</v>
      </c>
      <c r="R17" s="7">
        <v>279</v>
      </c>
      <c r="S17" s="7">
        <v>279</v>
      </c>
      <c r="T17" s="7">
        <v>279</v>
      </c>
      <c r="U17" s="7">
        <v>279</v>
      </c>
      <c r="V17" s="7">
        <v>279</v>
      </c>
      <c r="W17" s="7">
        <v>279</v>
      </c>
      <c r="X17" s="7">
        <v>279</v>
      </c>
      <c r="Y17" s="7">
        <v>279</v>
      </c>
      <c r="Z17" s="7">
        <v>279</v>
      </c>
      <c r="AA17" s="7">
        <v>279</v>
      </c>
      <c r="AB17" s="7">
        <v>279</v>
      </c>
      <c r="AC17" s="7">
        <v>279</v>
      </c>
      <c r="AD17" s="7">
        <v>288.77</v>
      </c>
      <c r="AE17" s="7">
        <v>288.77</v>
      </c>
      <c r="AF17" s="7">
        <v>288.77</v>
      </c>
      <c r="AG17" s="7">
        <v>288.77</v>
      </c>
      <c r="AH17" s="7">
        <v>288.77</v>
      </c>
      <c r="AI17" s="7">
        <v>288.77</v>
      </c>
      <c r="AJ17" s="7">
        <v>288.77</v>
      </c>
      <c r="AK17" s="7">
        <v>288.77</v>
      </c>
      <c r="AL17" s="7">
        <v>288.77</v>
      </c>
      <c r="AM17" s="7">
        <v>288.77</v>
      </c>
      <c r="AN17" s="27">
        <v>14</v>
      </c>
      <c r="AP17" s="111"/>
      <c r="AQ17" s="110">
        <f t="shared" si="13"/>
        <v>0</v>
      </c>
      <c r="AR17" s="110">
        <f t="shared" si="14"/>
        <v>0</v>
      </c>
      <c r="AS17" s="110">
        <f t="shared" si="15"/>
        <v>0</v>
      </c>
      <c r="AT17" s="110">
        <f t="shared" si="16"/>
        <v>0</v>
      </c>
      <c r="AU17" s="110">
        <f t="shared" si="17"/>
        <v>0</v>
      </c>
      <c r="AV17" s="110">
        <f t="shared" si="18"/>
        <v>0</v>
      </c>
      <c r="AW17" s="110">
        <f t="shared" si="19"/>
        <v>0</v>
      </c>
      <c r="AX17" s="110">
        <f t="shared" si="20"/>
        <v>0</v>
      </c>
      <c r="AY17" s="110">
        <f t="shared" si="21"/>
        <v>9.7699999999999818</v>
      </c>
      <c r="AZ17" s="110">
        <f t="shared" si="22"/>
        <v>0</v>
      </c>
      <c r="BA17" s="110">
        <f t="shared" si="23"/>
        <v>0</v>
      </c>
      <c r="BB17" s="110">
        <f t="shared" si="24"/>
        <v>0</v>
      </c>
      <c r="BD17" s="109" cm="1">
        <f t="array" ref="BD17">+IFERROR(INDEX($C$3:$AM$3,MATCH(TRUE,INDEX($C17:$AM17&lt;&gt;0,0),0)),"N/A")</f>
        <v>44926</v>
      </c>
      <c r="BE17" s="112"/>
      <c r="BF17" s="1" t="str" cm="1">
        <f t="array" ref="BF17">+_xlfn.IFS(BT17&lt;&gt;0,BT$2,CH17&lt;&gt;0,CH$2,CV17&lt;&gt;0,CV$2,DJ17&lt;&gt;0,DJ$2,TRUE,"")</f>
        <v/>
      </c>
      <c r="BG17" s="1" t="str" cm="1">
        <f t="array" ref="BG17">+_xlfn.IFS(BU17&lt;&gt;0,BU$2,CI17&lt;&gt;0,CI$2,CW17&lt;&gt;0,CW$2,DK17&lt;&gt;0,DK$2,TRUE,"")</f>
        <v/>
      </c>
      <c r="BH17" s="1" t="str" cm="1">
        <f t="array" ref="BH17">+_xlfn.IFS(BV17&lt;&gt;0,BV$2,CJ17&lt;&gt;0,CJ$2,CX17&lt;&gt;0,CX$2,DL17&lt;&gt;0,DL$2,TRUE,"")</f>
        <v/>
      </c>
      <c r="BI17" s="1" t="str" cm="1">
        <f t="array" ref="BI17">+_xlfn.IFS(BW17&lt;&gt;0,BW$2,CK17&lt;&gt;0,CK$2,CY17&lt;&gt;0,CY$2,DM17&lt;&gt;0,DM$2,TRUE,"")</f>
        <v/>
      </c>
      <c r="BJ17" s="1" t="str" cm="1">
        <f t="array" ref="BJ17">+_xlfn.IFS(BX17&lt;&gt;0,BX$2,CL17&lt;&gt;0,CL$2,CZ17&lt;&gt;0,CZ$2,DN17&lt;&gt;0,DN$2,TRUE,"")</f>
        <v/>
      </c>
      <c r="BK17" s="1" t="str" cm="1">
        <f t="array" ref="BK17">+_xlfn.IFS(BY17&lt;&gt;0,BY$2,CM17&lt;&gt;0,CM$2,DA17&lt;&gt;0,DA$2,DO17&lt;&gt;0,DO$2,TRUE,"")</f>
        <v/>
      </c>
      <c r="BL17" s="1" t="str" cm="1">
        <f t="array" ref="BL17">+_xlfn.IFS(BZ17&lt;&gt;0,BZ$2,CN17&lt;&gt;0,CN$2,DB17&lt;&gt;0,DB$2,DP17&lt;&gt;0,DP$2,TRUE,"")</f>
        <v/>
      </c>
      <c r="BM17" s="1" t="str" cm="1">
        <f t="array" ref="BM17">+_xlfn.IFS(CA17&lt;&gt;0,CA$2,CO17&lt;&gt;0,CO$2,DC17&lt;&gt;0,DC$2,DQ17&lt;&gt;0,DQ$2,TRUE,"")</f>
        <v/>
      </c>
      <c r="BN17" s="1" t="str" cm="1">
        <f t="array" ref="BN17">+_xlfn.IFS(CB17&lt;&gt;0,CB$2,CP17&lt;&gt;0,CP$2,DD17&lt;&gt;0,DD$2,DR17&lt;&gt;0,DR$2,TRUE,"")</f>
        <v>Upsell</v>
      </c>
      <c r="BO17" s="1" t="str" cm="1">
        <f t="array" ref="BO17">+_xlfn.IFS(CC17&lt;&gt;0,CC$2,CQ17&lt;&gt;0,CQ$2,DE17&lt;&gt;0,DE$2,DS17&lt;&gt;0,DS$2,TRUE,"")</f>
        <v/>
      </c>
      <c r="BP17" s="1" t="str" cm="1">
        <f t="array" ref="BP17">+_xlfn.IFS(CD17&lt;&gt;0,CD$2,CR17&lt;&gt;0,CR$2,DF17&lt;&gt;0,DF$2,DT17&lt;&gt;0,DT$2,TRUE,"")</f>
        <v/>
      </c>
      <c r="BQ17" s="1" t="str" cm="1">
        <f t="array" ref="BQ17">+_xlfn.IFS(CE17&lt;&gt;0,CE$2,CS17&lt;&gt;0,CS$2,DG17&lt;&gt;0,DG$2,DU17&lt;&gt;0,DU$2,TRUE,"")</f>
        <v/>
      </c>
      <c r="BS17" s="111"/>
      <c r="BT17" s="110">
        <f t="shared" si="25"/>
        <v>0</v>
      </c>
      <c r="BU17" s="110">
        <f t="shared" si="26"/>
        <v>0</v>
      </c>
      <c r="BV17" s="110">
        <f t="shared" si="27"/>
        <v>0</v>
      </c>
      <c r="BW17" s="110">
        <f t="shared" si="28"/>
        <v>0</v>
      </c>
      <c r="BX17" s="110">
        <f t="shared" si="29"/>
        <v>0</v>
      </c>
      <c r="BY17" s="110">
        <f t="shared" si="30"/>
        <v>0</v>
      </c>
      <c r="BZ17" s="110">
        <f t="shared" si="31"/>
        <v>0</v>
      </c>
      <c r="CA17" s="110">
        <f t="shared" si="32"/>
        <v>0</v>
      </c>
      <c r="CB17" s="110">
        <f t="shared" si="33"/>
        <v>0</v>
      </c>
      <c r="CC17" s="110">
        <f t="shared" si="34"/>
        <v>0</v>
      </c>
      <c r="CD17" s="110">
        <f t="shared" si="35"/>
        <v>0</v>
      </c>
      <c r="CE17" s="110">
        <f t="shared" si="36"/>
        <v>0</v>
      </c>
      <c r="CG17" s="111"/>
      <c r="CH17" s="110">
        <f t="shared" si="37"/>
        <v>0</v>
      </c>
      <c r="CI17" s="110">
        <f t="shared" si="38"/>
        <v>0</v>
      </c>
      <c r="CJ17" s="110">
        <f t="shared" si="39"/>
        <v>0</v>
      </c>
      <c r="CK17" s="110">
        <f t="shared" si="40"/>
        <v>0</v>
      </c>
      <c r="CL17" s="110">
        <f t="shared" si="41"/>
        <v>0</v>
      </c>
      <c r="CM17" s="110">
        <f t="shared" si="42"/>
        <v>0</v>
      </c>
      <c r="CN17" s="110">
        <f t="shared" si="43"/>
        <v>0</v>
      </c>
      <c r="CO17" s="110">
        <f t="shared" si="44"/>
        <v>0</v>
      </c>
      <c r="CP17" s="110">
        <f t="shared" si="45"/>
        <v>0</v>
      </c>
      <c r="CQ17" s="110">
        <f t="shared" si="46"/>
        <v>0</v>
      </c>
      <c r="CR17" s="110">
        <f t="shared" si="47"/>
        <v>0</v>
      </c>
      <c r="CS17" s="110">
        <f t="shared" si="48"/>
        <v>0</v>
      </c>
      <c r="CU17" s="111"/>
      <c r="CV17" s="110">
        <f t="shared" si="49"/>
        <v>0</v>
      </c>
      <c r="CW17" s="110">
        <f t="shared" si="50"/>
        <v>0</v>
      </c>
      <c r="CX17" s="110">
        <f t="shared" si="51"/>
        <v>0</v>
      </c>
      <c r="CY17" s="110">
        <f t="shared" si="52"/>
        <v>0</v>
      </c>
      <c r="CZ17" s="110">
        <f t="shared" si="53"/>
        <v>0</v>
      </c>
      <c r="DA17" s="110">
        <f t="shared" si="54"/>
        <v>0</v>
      </c>
      <c r="DB17" s="110">
        <f t="shared" si="55"/>
        <v>0</v>
      </c>
      <c r="DC17" s="110">
        <f t="shared" si="56"/>
        <v>0</v>
      </c>
      <c r="DD17" s="110">
        <f t="shared" si="57"/>
        <v>0</v>
      </c>
      <c r="DE17" s="110">
        <f t="shared" si="58"/>
        <v>0</v>
      </c>
      <c r="DF17" s="110">
        <f t="shared" si="59"/>
        <v>0</v>
      </c>
      <c r="DG17" s="110">
        <f t="shared" si="60"/>
        <v>0</v>
      </c>
      <c r="DI17" s="111"/>
      <c r="DJ17" s="110">
        <f t="shared" si="61"/>
        <v>0</v>
      </c>
      <c r="DK17" s="110">
        <f t="shared" si="62"/>
        <v>0</v>
      </c>
      <c r="DL17" s="110">
        <f t="shared" si="63"/>
        <v>0</v>
      </c>
      <c r="DM17" s="110">
        <f t="shared" si="64"/>
        <v>0</v>
      </c>
      <c r="DN17" s="110">
        <f t="shared" si="65"/>
        <v>0</v>
      </c>
      <c r="DO17" s="110">
        <f t="shared" si="66"/>
        <v>0</v>
      </c>
      <c r="DP17" s="110">
        <f t="shared" si="67"/>
        <v>0</v>
      </c>
      <c r="DQ17" s="110">
        <f t="shared" si="68"/>
        <v>0</v>
      </c>
      <c r="DR17" s="110">
        <f t="shared" si="69"/>
        <v>9.7699999999999818</v>
      </c>
      <c r="DS17" s="110">
        <f t="shared" si="70"/>
        <v>0</v>
      </c>
      <c r="DT17" s="110">
        <f t="shared" si="71"/>
        <v>0</v>
      </c>
      <c r="DU17" s="110">
        <f t="shared" si="72"/>
        <v>0</v>
      </c>
      <c r="DW17" s="111"/>
      <c r="DX17" s="110">
        <f t="shared" si="73"/>
        <v>0</v>
      </c>
      <c r="DY17" s="110">
        <f t="shared" si="74"/>
        <v>0</v>
      </c>
      <c r="DZ17" s="110">
        <f t="shared" si="75"/>
        <v>0</v>
      </c>
      <c r="EA17" s="110">
        <f t="shared" si="76"/>
        <v>0</v>
      </c>
      <c r="EB17" s="110">
        <f t="shared" si="77"/>
        <v>0</v>
      </c>
      <c r="EC17" s="110">
        <f t="shared" si="78"/>
        <v>0</v>
      </c>
      <c r="ED17" s="110">
        <f t="shared" si="79"/>
        <v>0</v>
      </c>
      <c r="EE17" s="110">
        <f t="shared" si="80"/>
        <v>0</v>
      </c>
      <c r="EF17" s="110">
        <f t="shared" si="81"/>
        <v>0</v>
      </c>
      <c r="EG17" s="110">
        <f t="shared" si="82"/>
        <v>0</v>
      </c>
      <c r="EH17" s="110">
        <f t="shared" si="83"/>
        <v>0</v>
      </c>
      <c r="EI17" s="110">
        <f t="shared" si="84"/>
        <v>0</v>
      </c>
      <c r="EK17" s="111"/>
      <c r="EL17" s="110">
        <f t="shared" si="85"/>
        <v>0</v>
      </c>
      <c r="EM17" s="110">
        <f t="shared" si="86"/>
        <v>0</v>
      </c>
      <c r="EN17" s="110">
        <f t="shared" si="87"/>
        <v>9.7699999999999818</v>
      </c>
      <c r="EP17" s="109" cm="1">
        <f t="array" ref="EP17">+IFERROR(INDEX($C$3:$AM$3,MATCH(TRUE,INDEX($C17:$AM17&lt;&gt;0,0),0)),"N/A")</f>
        <v>44926</v>
      </c>
      <c r="EQ17" s="112"/>
      <c r="ER17" s="1" t="str" cm="1">
        <f t="array" ref="ER17">+_xlfn.IFS(EW17&lt;&gt;0,EW$2,FB17&lt;&gt;0,FB$2,FG17&lt;&gt;0,FG$2,FL17&lt;&gt;0,FL$2,TRUE,"")</f>
        <v/>
      </c>
      <c r="ES17" s="1" t="str" cm="1">
        <f t="array" ref="ES17">+_xlfn.IFS(EX17&lt;&gt;0,EX$2,FC17&lt;&gt;0,FC$2,FH17&lt;&gt;0,FH$2,FM17&lt;&gt;0,FM$2,TRUE,"")</f>
        <v/>
      </c>
      <c r="ET17" s="1" t="str" cm="1">
        <f t="array" ref="ET17">+_xlfn.IFS(EY17&lt;&gt;0,EY$2,FD17&lt;&gt;0,FD$2,FI17&lt;&gt;0,FI$2,FN17&lt;&gt;0,FN$2,TRUE,"")</f>
        <v>Upsell</v>
      </c>
      <c r="EV17" s="111"/>
      <c r="EW17" s="110">
        <f t="shared" si="88"/>
        <v>0</v>
      </c>
      <c r="EX17" s="110">
        <f t="shared" si="89"/>
        <v>0</v>
      </c>
      <c r="EY17" s="110">
        <f t="shared" si="90"/>
        <v>0</v>
      </c>
      <c r="FA17" s="111"/>
      <c r="FB17" s="110">
        <f t="shared" si="91"/>
        <v>0</v>
      </c>
      <c r="FC17" s="110">
        <f t="shared" si="92"/>
        <v>0</v>
      </c>
      <c r="FD17" s="110">
        <f t="shared" si="93"/>
        <v>0</v>
      </c>
      <c r="FF17" s="111"/>
      <c r="FG17" s="110">
        <f t="shared" si="94"/>
        <v>0</v>
      </c>
      <c r="FH17" s="110">
        <f t="shared" si="95"/>
        <v>0</v>
      </c>
      <c r="FI17" s="110">
        <f t="shared" si="96"/>
        <v>0</v>
      </c>
      <c r="FK17" s="111"/>
      <c r="FL17" s="110">
        <f t="shared" si="97"/>
        <v>0</v>
      </c>
      <c r="FM17" s="110">
        <f t="shared" si="98"/>
        <v>0</v>
      </c>
      <c r="FN17" s="110">
        <f t="shared" si="99"/>
        <v>9.7699999999999818</v>
      </c>
      <c r="FP17" s="111"/>
      <c r="FQ17" s="110">
        <f t="shared" si="100"/>
        <v>0</v>
      </c>
      <c r="FR17" s="110">
        <f t="shared" si="101"/>
        <v>0</v>
      </c>
      <c r="FS17" s="110">
        <f t="shared" si="102"/>
        <v>0</v>
      </c>
      <c r="FU17" s="111">
        <f t="shared" si="103"/>
        <v>0</v>
      </c>
      <c r="FV17" s="110">
        <f t="shared" si="104"/>
        <v>0</v>
      </c>
      <c r="FW17" s="110">
        <f t="shared" si="105"/>
        <v>0</v>
      </c>
      <c r="FX17" s="110">
        <f t="shared" si="106"/>
        <v>0</v>
      </c>
      <c r="FY17" s="110">
        <f t="shared" si="107"/>
        <v>0</v>
      </c>
      <c r="FZ17" s="110">
        <f t="shared" si="108"/>
        <v>0</v>
      </c>
      <c r="GA17" s="110">
        <f t="shared" si="109"/>
        <v>0</v>
      </c>
      <c r="GB17" s="110">
        <f t="shared" si="110"/>
        <v>0</v>
      </c>
      <c r="GC17" s="110">
        <f t="shared" si="111"/>
        <v>0</v>
      </c>
      <c r="GD17" s="110">
        <f t="shared" si="112"/>
        <v>0</v>
      </c>
      <c r="GE17" s="110">
        <f t="shared" si="113"/>
        <v>0</v>
      </c>
      <c r="GF17" s="110">
        <f t="shared" si="114"/>
        <v>0</v>
      </c>
      <c r="GG17" s="110">
        <f t="shared" si="115"/>
        <v>0</v>
      </c>
      <c r="GH17" s="110">
        <f t="shared" si="116"/>
        <v>0</v>
      </c>
      <c r="GI17" s="110">
        <f t="shared" si="117"/>
        <v>0</v>
      </c>
      <c r="GJ17" s="110">
        <f t="shared" si="118"/>
        <v>9.7699999999999818</v>
      </c>
      <c r="GK17" s="110">
        <f t="shared" si="119"/>
        <v>9.7699999999999818</v>
      </c>
      <c r="GL17" s="110">
        <f t="shared" si="120"/>
        <v>9.7699999999999818</v>
      </c>
      <c r="GM17" s="110">
        <f t="shared" si="121"/>
        <v>9.7699999999999818</v>
      </c>
      <c r="GN17" s="110">
        <f t="shared" si="122"/>
        <v>9.7699999999999818</v>
      </c>
      <c r="GO17" s="110">
        <f t="shared" si="123"/>
        <v>9.7699999999999818</v>
      </c>
      <c r="GP17" s="110">
        <f t="shared" si="124"/>
        <v>9.7699999999999818</v>
      </c>
      <c r="GQ17" s="110">
        <f t="shared" si="125"/>
        <v>9.7699999999999818</v>
      </c>
      <c r="GR17" s="110">
        <f t="shared" si="126"/>
        <v>9.7699999999999818</v>
      </c>
      <c r="GS17" s="110">
        <f t="shared" si="127"/>
        <v>9.7699999999999818</v>
      </c>
      <c r="GU17" s="109" cm="1">
        <f t="array" ref="GU17">+IFERROR(INDEX($C$3:$AM$3,MATCH(TRUE,INDEX($C17:$AM17&lt;&gt;0,0),0)),"N/A")</f>
        <v>44926</v>
      </c>
      <c r="GV17" s="112" t="str" cm="1">
        <f t="array" ref="GV17">+_xlfn.IFS(HV17&lt;&gt;0,HV$2,IV17&lt;&gt;0,IV$2,JV17&lt;&gt;0,JV$2,KV17&lt;&gt;0,KV$2,TRUE,"")</f>
        <v/>
      </c>
      <c r="GW17" s="1" t="str" cm="1">
        <f t="array" ref="GW17">+_xlfn.IFS(HW17&lt;&gt;0,HW$2,IW17&lt;&gt;0,IW$2,JW17&lt;&gt;0,JW$2,KW17&lt;&gt;0,KW$2,TRUE,"")</f>
        <v/>
      </c>
      <c r="GX17" s="1" t="str" cm="1">
        <f t="array" ref="GX17">+_xlfn.IFS(HX17&lt;&gt;0,HX$2,IX17&lt;&gt;0,IX$2,JX17&lt;&gt;0,JX$2,KX17&lt;&gt;0,KX$2,TRUE,"")</f>
        <v/>
      </c>
      <c r="GY17" s="1" t="str" cm="1">
        <f t="array" ref="GY17">+_xlfn.IFS(HY17&lt;&gt;0,HY$2,IY17&lt;&gt;0,IY$2,JY17&lt;&gt;0,JY$2,KY17&lt;&gt;0,KY$2,TRUE,"")</f>
        <v/>
      </c>
      <c r="GZ17" s="1" t="str" cm="1">
        <f t="array" ref="GZ17">+_xlfn.IFS(HZ17&lt;&gt;0,HZ$2,IZ17&lt;&gt;0,IZ$2,JZ17&lt;&gt;0,JZ$2,KZ17&lt;&gt;0,KZ$2,TRUE,"")</f>
        <v/>
      </c>
      <c r="HA17" s="1" t="str" cm="1">
        <f t="array" ref="HA17">+_xlfn.IFS(IA17&lt;&gt;0,IA$2,JA17&lt;&gt;0,JA$2,KA17&lt;&gt;0,KA$2,LA17&lt;&gt;0,LA$2,TRUE,"")</f>
        <v/>
      </c>
      <c r="HB17" s="1" t="str" cm="1">
        <f t="array" ref="HB17">+_xlfn.IFS(IB17&lt;&gt;0,IB$2,JB17&lt;&gt;0,JB$2,KB17&lt;&gt;0,KB$2,LB17&lt;&gt;0,LB$2,TRUE,"")</f>
        <v/>
      </c>
      <c r="HC17" s="1" t="str" cm="1">
        <f t="array" ref="HC17">+_xlfn.IFS(IC17&lt;&gt;0,IC$2,JC17&lt;&gt;0,JC$2,KC17&lt;&gt;0,KC$2,LC17&lt;&gt;0,LC$2,TRUE,"")</f>
        <v/>
      </c>
      <c r="HD17" s="1" t="str" cm="1">
        <f t="array" ref="HD17">+_xlfn.IFS(ID17&lt;&gt;0,ID$2,JD17&lt;&gt;0,JD$2,KD17&lt;&gt;0,KD$2,LD17&lt;&gt;0,LD$2,TRUE,"")</f>
        <v/>
      </c>
      <c r="HE17" s="1" t="str" cm="1">
        <f t="array" ref="HE17">+_xlfn.IFS(IE17&lt;&gt;0,IE$2,JE17&lt;&gt;0,JE$2,KE17&lt;&gt;0,KE$2,LE17&lt;&gt;0,LE$2,TRUE,"")</f>
        <v/>
      </c>
      <c r="HF17" s="1" t="str" cm="1">
        <f t="array" ref="HF17">+_xlfn.IFS(IF17&lt;&gt;0,IF$2,JF17&lt;&gt;0,JF$2,KF17&lt;&gt;0,KF$2,LF17&lt;&gt;0,LF$2,TRUE,"")</f>
        <v/>
      </c>
      <c r="HG17" s="1" t="str" cm="1">
        <f t="array" ref="HG17">+_xlfn.IFS(IG17&lt;&gt;0,IG$2,JG17&lt;&gt;0,JG$2,KG17&lt;&gt;0,KG$2,LG17&lt;&gt;0,LG$2,TRUE,"")</f>
        <v/>
      </c>
      <c r="HH17" s="1" t="str" cm="1">
        <f t="array" ref="HH17">+_xlfn.IFS(IH17&lt;&gt;0,IH$2,JH17&lt;&gt;0,JH$2,KH17&lt;&gt;0,KH$2,LH17&lt;&gt;0,LH$2,TRUE,"")</f>
        <v/>
      </c>
      <c r="HI17" s="1" t="str" cm="1">
        <f t="array" ref="HI17">+_xlfn.IFS(II17&lt;&gt;0,II$2,JI17&lt;&gt;0,JI$2,KI17&lt;&gt;0,KI$2,LI17&lt;&gt;0,LI$2,TRUE,"")</f>
        <v/>
      </c>
      <c r="HJ17" s="1" t="str" cm="1">
        <f t="array" ref="HJ17">+_xlfn.IFS(IJ17&lt;&gt;0,IJ$2,JJ17&lt;&gt;0,JJ$2,KJ17&lt;&gt;0,KJ$2,LJ17&lt;&gt;0,LJ$2,TRUE,"")</f>
        <v/>
      </c>
      <c r="HK17" s="1" t="str" cm="1">
        <f t="array" ref="HK17">+_xlfn.IFS(IK17&lt;&gt;0,IK$2,JK17&lt;&gt;0,JK$2,KK17&lt;&gt;0,KK$2,LK17&lt;&gt;0,LK$2,TRUE,"")</f>
        <v>Upsell</v>
      </c>
      <c r="HL17" s="1" t="str" cm="1">
        <f t="array" ref="HL17">+_xlfn.IFS(IL17&lt;&gt;0,IL$2,JL17&lt;&gt;0,JL$2,KL17&lt;&gt;0,KL$2,LL17&lt;&gt;0,LL$2,TRUE,"")</f>
        <v>Upsell</v>
      </c>
      <c r="HM17" s="1" t="str" cm="1">
        <f t="array" ref="HM17">+_xlfn.IFS(IM17&lt;&gt;0,IM$2,JM17&lt;&gt;0,JM$2,KM17&lt;&gt;0,KM$2,LM17&lt;&gt;0,LM$2,TRUE,"")</f>
        <v>Upsell</v>
      </c>
      <c r="HN17" s="1" t="str" cm="1">
        <f t="array" ref="HN17">+_xlfn.IFS(IN17&lt;&gt;0,IN$2,JN17&lt;&gt;0,JN$2,KN17&lt;&gt;0,KN$2,LN17&lt;&gt;0,LN$2,TRUE,"")</f>
        <v>Upsell</v>
      </c>
      <c r="HO17" s="1" t="str" cm="1">
        <f t="array" ref="HO17">+_xlfn.IFS(IO17&lt;&gt;0,IO$2,JO17&lt;&gt;0,JO$2,KO17&lt;&gt;0,KO$2,LO17&lt;&gt;0,LO$2,TRUE,"")</f>
        <v>Upsell</v>
      </c>
      <c r="HP17" s="1" t="str" cm="1">
        <f t="array" ref="HP17">+_xlfn.IFS(IP17&lt;&gt;0,IP$2,JP17&lt;&gt;0,JP$2,KP17&lt;&gt;0,KP$2,LP17&lt;&gt;0,LP$2,TRUE,"")</f>
        <v>Upsell</v>
      </c>
      <c r="HQ17" s="1" t="str" cm="1">
        <f t="array" ref="HQ17">+_xlfn.IFS(IQ17&lt;&gt;0,IQ$2,JQ17&lt;&gt;0,JQ$2,KQ17&lt;&gt;0,KQ$2,LQ17&lt;&gt;0,LQ$2,TRUE,"")</f>
        <v>Upsell</v>
      </c>
      <c r="HR17" s="1" t="str" cm="1">
        <f t="array" ref="HR17">+_xlfn.IFS(IR17&lt;&gt;0,IR$2,JR17&lt;&gt;0,JR$2,KR17&lt;&gt;0,KR$2,LR17&lt;&gt;0,LR$2,TRUE,"")</f>
        <v>Upsell</v>
      </c>
      <c r="HS17" s="1" t="str" cm="1">
        <f t="array" ref="HS17">+_xlfn.IFS(IS17&lt;&gt;0,IS$2,JS17&lt;&gt;0,JS$2,KS17&lt;&gt;0,KS$2,LS17&lt;&gt;0,LS$2,TRUE,"")</f>
        <v>Upsell</v>
      </c>
      <c r="HT17" s="1" t="str" cm="1">
        <f t="array" ref="HT17">+_xlfn.IFS(IT17&lt;&gt;0,IT$2,JT17&lt;&gt;0,JT$2,KT17&lt;&gt;0,KT$2,LT17&lt;&gt;0,LT$2,TRUE,"")</f>
        <v>Upsell</v>
      </c>
      <c r="HV17" s="111">
        <f t="shared" si="128"/>
        <v>0</v>
      </c>
      <c r="HW17" s="110">
        <f t="shared" si="129"/>
        <v>0</v>
      </c>
      <c r="HX17" s="110">
        <f t="shared" si="130"/>
        <v>0</v>
      </c>
      <c r="HY17" s="110">
        <f t="shared" si="131"/>
        <v>0</v>
      </c>
      <c r="HZ17" s="110">
        <f t="shared" si="132"/>
        <v>0</v>
      </c>
      <c r="IA17" s="110">
        <f t="shared" si="133"/>
        <v>0</v>
      </c>
      <c r="IB17" s="110">
        <f t="shared" si="134"/>
        <v>0</v>
      </c>
      <c r="IC17" s="110">
        <f t="shared" si="135"/>
        <v>0</v>
      </c>
      <c r="ID17" s="110">
        <f t="shared" si="136"/>
        <v>0</v>
      </c>
      <c r="IE17" s="110">
        <f t="shared" si="137"/>
        <v>0</v>
      </c>
      <c r="IF17" s="110">
        <f t="shared" si="138"/>
        <v>0</v>
      </c>
      <c r="IG17" s="110">
        <f t="shared" si="139"/>
        <v>0</v>
      </c>
      <c r="IH17" s="110">
        <f t="shared" si="140"/>
        <v>0</v>
      </c>
      <c r="II17" s="110">
        <f t="shared" si="141"/>
        <v>0</v>
      </c>
      <c r="IJ17" s="110">
        <f t="shared" si="142"/>
        <v>0</v>
      </c>
      <c r="IK17" s="110">
        <f t="shared" si="143"/>
        <v>0</v>
      </c>
      <c r="IL17" s="110">
        <f t="shared" si="144"/>
        <v>0</v>
      </c>
      <c r="IM17" s="110">
        <f t="shared" si="145"/>
        <v>0</v>
      </c>
      <c r="IN17" s="110">
        <f t="shared" si="146"/>
        <v>0</v>
      </c>
      <c r="IO17" s="110">
        <f t="shared" si="147"/>
        <v>0</v>
      </c>
      <c r="IP17" s="110">
        <f t="shared" si="148"/>
        <v>0</v>
      </c>
      <c r="IQ17" s="110">
        <f t="shared" si="149"/>
        <v>0</v>
      </c>
      <c r="IR17" s="110">
        <f t="shared" si="150"/>
        <v>0</v>
      </c>
      <c r="IS17" s="110">
        <f t="shared" si="151"/>
        <v>0</v>
      </c>
      <c r="IT17" s="110">
        <f t="shared" si="152"/>
        <v>0</v>
      </c>
      <c r="IV17" s="111">
        <f t="shared" si="153"/>
        <v>0</v>
      </c>
      <c r="IW17" s="110">
        <f t="shared" si="154"/>
        <v>0</v>
      </c>
      <c r="IX17" s="110">
        <f t="shared" si="155"/>
        <v>0</v>
      </c>
      <c r="IY17" s="110">
        <f t="shared" si="156"/>
        <v>0</v>
      </c>
      <c r="IZ17" s="110">
        <f t="shared" si="157"/>
        <v>0</v>
      </c>
      <c r="JA17" s="110">
        <f t="shared" si="158"/>
        <v>0</v>
      </c>
      <c r="JB17" s="110">
        <f t="shared" si="159"/>
        <v>0</v>
      </c>
      <c r="JC17" s="110">
        <f t="shared" si="160"/>
        <v>0</v>
      </c>
      <c r="JD17" s="110">
        <f t="shared" si="161"/>
        <v>0</v>
      </c>
      <c r="JE17" s="110">
        <f t="shared" si="162"/>
        <v>0</v>
      </c>
      <c r="JF17" s="110">
        <f t="shared" si="163"/>
        <v>0</v>
      </c>
      <c r="JG17" s="110">
        <f t="shared" si="164"/>
        <v>0</v>
      </c>
      <c r="JH17" s="110">
        <f t="shared" si="165"/>
        <v>0</v>
      </c>
      <c r="JI17" s="110">
        <f t="shared" si="166"/>
        <v>0</v>
      </c>
      <c r="JJ17" s="110">
        <f t="shared" si="167"/>
        <v>0</v>
      </c>
      <c r="JK17" s="110">
        <f t="shared" si="168"/>
        <v>0</v>
      </c>
      <c r="JL17" s="110">
        <f t="shared" si="169"/>
        <v>0</v>
      </c>
      <c r="JM17" s="110">
        <f t="shared" si="170"/>
        <v>0</v>
      </c>
      <c r="JN17" s="110">
        <f t="shared" si="171"/>
        <v>0</v>
      </c>
      <c r="JO17" s="110">
        <f t="shared" si="172"/>
        <v>0</v>
      </c>
      <c r="JP17" s="110">
        <f t="shared" si="173"/>
        <v>0</v>
      </c>
      <c r="JQ17" s="110">
        <f t="shared" si="174"/>
        <v>0</v>
      </c>
      <c r="JR17" s="110">
        <f t="shared" si="175"/>
        <v>0</v>
      </c>
      <c r="JS17" s="110">
        <f t="shared" si="176"/>
        <v>0</v>
      </c>
      <c r="JT17" s="110">
        <f t="shared" si="177"/>
        <v>0</v>
      </c>
      <c r="JV17" s="111">
        <f t="shared" si="178"/>
        <v>0</v>
      </c>
      <c r="JW17" s="110">
        <f t="shared" si="179"/>
        <v>0</v>
      </c>
      <c r="JX17" s="110">
        <f t="shared" si="180"/>
        <v>0</v>
      </c>
      <c r="JY17" s="110">
        <f t="shared" si="181"/>
        <v>0</v>
      </c>
      <c r="JZ17" s="110">
        <f t="shared" si="182"/>
        <v>0</v>
      </c>
      <c r="KA17" s="110">
        <f t="shared" si="183"/>
        <v>0</v>
      </c>
      <c r="KB17" s="110">
        <f t="shared" si="184"/>
        <v>0</v>
      </c>
      <c r="KC17" s="110">
        <f t="shared" si="185"/>
        <v>0</v>
      </c>
      <c r="KD17" s="110">
        <f t="shared" si="186"/>
        <v>0</v>
      </c>
      <c r="KE17" s="110">
        <f t="shared" si="187"/>
        <v>0</v>
      </c>
      <c r="KF17" s="110">
        <f t="shared" si="188"/>
        <v>0</v>
      </c>
      <c r="KG17" s="110">
        <f t="shared" si="189"/>
        <v>0</v>
      </c>
      <c r="KH17" s="110">
        <f t="shared" si="190"/>
        <v>0</v>
      </c>
      <c r="KI17" s="110">
        <f t="shared" si="191"/>
        <v>0</v>
      </c>
      <c r="KJ17" s="110">
        <f t="shared" si="192"/>
        <v>0</v>
      </c>
      <c r="KK17" s="110">
        <f t="shared" si="193"/>
        <v>0</v>
      </c>
      <c r="KL17" s="110">
        <f t="shared" si="194"/>
        <v>0</v>
      </c>
      <c r="KM17" s="110">
        <f t="shared" si="195"/>
        <v>0</v>
      </c>
      <c r="KN17" s="110">
        <f t="shared" si="196"/>
        <v>0</v>
      </c>
      <c r="KO17" s="110">
        <f t="shared" si="197"/>
        <v>0</v>
      </c>
      <c r="KP17" s="110">
        <f t="shared" si="198"/>
        <v>0</v>
      </c>
      <c r="KQ17" s="110">
        <f t="shared" si="199"/>
        <v>0</v>
      </c>
      <c r="KR17" s="110">
        <f t="shared" si="200"/>
        <v>0</v>
      </c>
      <c r="KS17" s="110">
        <f t="shared" si="201"/>
        <v>0</v>
      </c>
      <c r="KT17" s="110">
        <f t="shared" si="202"/>
        <v>0</v>
      </c>
      <c r="KV17" s="111">
        <f t="shared" si="203"/>
        <v>0</v>
      </c>
      <c r="KW17" s="110">
        <f t="shared" si="204"/>
        <v>0</v>
      </c>
      <c r="KX17" s="110">
        <f t="shared" si="205"/>
        <v>0</v>
      </c>
      <c r="KY17" s="110">
        <f t="shared" si="206"/>
        <v>0</v>
      </c>
      <c r="KZ17" s="110">
        <f t="shared" si="207"/>
        <v>0</v>
      </c>
      <c r="LA17" s="110">
        <f t="shared" si="208"/>
        <v>0</v>
      </c>
      <c r="LB17" s="110">
        <f t="shared" si="209"/>
        <v>0</v>
      </c>
      <c r="LC17" s="110">
        <f t="shared" si="210"/>
        <v>0</v>
      </c>
      <c r="LD17" s="110">
        <f t="shared" si="211"/>
        <v>0</v>
      </c>
      <c r="LE17" s="110">
        <f t="shared" si="212"/>
        <v>0</v>
      </c>
      <c r="LF17" s="110">
        <f t="shared" si="213"/>
        <v>0</v>
      </c>
      <c r="LG17" s="110">
        <f t="shared" si="214"/>
        <v>0</v>
      </c>
      <c r="LH17" s="110">
        <f t="shared" si="215"/>
        <v>0</v>
      </c>
      <c r="LI17" s="110">
        <f t="shared" si="216"/>
        <v>0</v>
      </c>
      <c r="LJ17" s="110">
        <f t="shared" si="217"/>
        <v>0</v>
      </c>
      <c r="LK17" s="110">
        <f t="shared" si="218"/>
        <v>9.7699999999999818</v>
      </c>
      <c r="LL17" s="110">
        <f t="shared" si="219"/>
        <v>9.7699999999999818</v>
      </c>
      <c r="LM17" s="110">
        <f t="shared" si="220"/>
        <v>9.7699999999999818</v>
      </c>
      <c r="LN17" s="110">
        <f t="shared" si="221"/>
        <v>9.7699999999999818</v>
      </c>
      <c r="LO17" s="110">
        <f t="shared" si="222"/>
        <v>9.7699999999999818</v>
      </c>
      <c r="LP17" s="110">
        <f t="shared" si="223"/>
        <v>9.7699999999999818</v>
      </c>
      <c r="LQ17" s="110">
        <f t="shared" si="224"/>
        <v>9.7699999999999818</v>
      </c>
      <c r="LR17" s="110">
        <f t="shared" si="225"/>
        <v>9.7699999999999818</v>
      </c>
      <c r="LS17" s="110">
        <f t="shared" si="226"/>
        <v>9.7699999999999818</v>
      </c>
      <c r="LT17" s="110">
        <f t="shared" si="227"/>
        <v>9.7699999999999818</v>
      </c>
      <c r="LV17" s="111"/>
      <c r="LW17" s="110">
        <f t="shared" si="228"/>
        <v>0</v>
      </c>
      <c r="LX17" s="110">
        <f t="shared" si="229"/>
        <v>0</v>
      </c>
      <c r="LY17" s="110">
        <f t="shared" si="230"/>
        <v>0</v>
      </c>
      <c r="LZ17" s="110">
        <f t="shared" si="231"/>
        <v>0</v>
      </c>
      <c r="MA17" s="110">
        <f t="shared" si="232"/>
        <v>0</v>
      </c>
      <c r="MB17" s="110">
        <f t="shared" si="233"/>
        <v>0</v>
      </c>
      <c r="MC17" s="110">
        <f t="shared" si="234"/>
        <v>0</v>
      </c>
      <c r="MD17" s="110">
        <f t="shared" si="235"/>
        <v>0</v>
      </c>
      <c r="ME17" s="110">
        <f t="shared" si="236"/>
        <v>0</v>
      </c>
      <c r="MF17" s="110">
        <f t="shared" si="237"/>
        <v>0</v>
      </c>
      <c r="MG17" s="110">
        <f t="shared" si="238"/>
        <v>0</v>
      </c>
      <c r="MH17" s="110">
        <f t="shared" si="239"/>
        <v>0</v>
      </c>
      <c r="MI17" s="110">
        <f t="shared" si="240"/>
        <v>0</v>
      </c>
      <c r="MJ17" s="110">
        <f t="shared" si="241"/>
        <v>0</v>
      </c>
      <c r="MK17" s="110">
        <f t="shared" si="242"/>
        <v>0</v>
      </c>
      <c r="ML17" s="110">
        <f t="shared" si="243"/>
        <v>0</v>
      </c>
      <c r="MM17" s="110">
        <f t="shared" si="244"/>
        <v>0</v>
      </c>
      <c r="MN17" s="110">
        <f t="shared" si="245"/>
        <v>0</v>
      </c>
      <c r="MO17" s="110">
        <f t="shared" si="246"/>
        <v>0</v>
      </c>
      <c r="MP17" s="110">
        <f t="shared" si="247"/>
        <v>0</v>
      </c>
      <c r="MQ17" s="110">
        <f t="shared" si="248"/>
        <v>0</v>
      </c>
      <c r="MR17" s="110">
        <f t="shared" si="249"/>
        <v>0</v>
      </c>
      <c r="MS17" s="110">
        <f t="shared" si="250"/>
        <v>0</v>
      </c>
      <c r="MT17" s="110">
        <f t="shared" si="251"/>
        <v>0</v>
      </c>
      <c r="MV17" s="114">
        <v>288.77</v>
      </c>
      <c r="MW17" s="114">
        <v>0</v>
      </c>
      <c r="MX17" s="114">
        <v>9.7699999999999818</v>
      </c>
      <c r="MY17" s="114">
        <v>0</v>
      </c>
      <c r="MZ17" s="114">
        <v>0</v>
      </c>
      <c r="NB17" s="115">
        <v>30</v>
      </c>
      <c r="NC17" s="115" t="str">
        <v>N/A</v>
      </c>
      <c r="ND17" s="115">
        <v>23</v>
      </c>
      <c r="NE17" s="115" t="str">
        <v>N/A</v>
      </c>
      <c r="NF17" s="115" t="str">
        <v>N/A</v>
      </c>
    </row>
    <row r="18" spans="1:370" ht="13.5" x14ac:dyDescent="0.25">
      <c r="B18" s="8">
        <f t="shared" si="252"/>
        <v>15</v>
      </c>
      <c r="C18" s="7">
        <v>179</v>
      </c>
      <c r="D18" s="7">
        <v>179</v>
      </c>
      <c r="E18" s="7">
        <v>179</v>
      </c>
      <c r="F18" s="7">
        <v>179</v>
      </c>
      <c r="G18" s="7">
        <v>179</v>
      </c>
      <c r="H18" s="7">
        <v>179</v>
      </c>
      <c r="I18" s="7">
        <v>179</v>
      </c>
      <c r="J18" s="7">
        <v>179</v>
      </c>
      <c r="K18" s="7">
        <v>179</v>
      </c>
      <c r="L18" s="7">
        <v>179</v>
      </c>
      <c r="M18" s="7">
        <v>179</v>
      </c>
      <c r="N18" s="7">
        <v>179</v>
      </c>
      <c r="O18" s="7">
        <v>179</v>
      </c>
      <c r="P18" s="7">
        <v>179</v>
      </c>
      <c r="Q18" s="7">
        <v>179</v>
      </c>
      <c r="R18" s="7">
        <v>179</v>
      </c>
      <c r="S18" s="7">
        <v>179</v>
      </c>
      <c r="T18" s="7">
        <v>179</v>
      </c>
      <c r="U18" s="7">
        <v>179</v>
      </c>
      <c r="V18" s="7">
        <v>179</v>
      </c>
      <c r="W18" s="7">
        <v>179</v>
      </c>
      <c r="X18" s="7">
        <v>179</v>
      </c>
      <c r="Y18" s="7">
        <v>179</v>
      </c>
      <c r="Z18" s="7">
        <v>179</v>
      </c>
      <c r="AA18" s="7">
        <v>179</v>
      </c>
      <c r="AB18" s="7">
        <v>179</v>
      </c>
      <c r="AC18" s="7">
        <v>179</v>
      </c>
      <c r="AD18" s="7">
        <v>185.27</v>
      </c>
      <c r="AE18" s="7">
        <v>185.27</v>
      </c>
      <c r="AF18" s="7">
        <v>185.27</v>
      </c>
      <c r="AG18" s="7">
        <v>179</v>
      </c>
      <c r="AH18" s="7">
        <v>179</v>
      </c>
      <c r="AI18" s="7">
        <v>179</v>
      </c>
      <c r="AJ18" s="7">
        <v>179</v>
      </c>
      <c r="AK18" s="7">
        <v>179</v>
      </c>
      <c r="AL18" s="7">
        <v>179</v>
      </c>
      <c r="AM18" s="7">
        <v>179</v>
      </c>
      <c r="AN18" s="27">
        <v>15</v>
      </c>
      <c r="AP18" s="111"/>
      <c r="AQ18" s="110">
        <f t="shared" si="13"/>
        <v>0</v>
      </c>
      <c r="AR18" s="110">
        <f t="shared" si="14"/>
        <v>0</v>
      </c>
      <c r="AS18" s="110">
        <f t="shared" si="15"/>
        <v>0</v>
      </c>
      <c r="AT18" s="110">
        <f t="shared" si="16"/>
        <v>0</v>
      </c>
      <c r="AU18" s="110">
        <f t="shared" si="17"/>
        <v>0</v>
      </c>
      <c r="AV18" s="110">
        <f t="shared" si="18"/>
        <v>0</v>
      </c>
      <c r="AW18" s="110">
        <f t="shared" si="19"/>
        <v>0</v>
      </c>
      <c r="AX18" s="110">
        <f t="shared" si="20"/>
        <v>0</v>
      </c>
      <c r="AY18" s="110">
        <f t="shared" si="21"/>
        <v>6.2700000000000102</v>
      </c>
      <c r="AZ18" s="110">
        <f t="shared" si="22"/>
        <v>-6.2700000000000102</v>
      </c>
      <c r="BA18" s="110">
        <f t="shared" si="23"/>
        <v>0</v>
      </c>
      <c r="BB18" s="110">
        <f t="shared" si="24"/>
        <v>0</v>
      </c>
      <c r="BD18" s="109" cm="1">
        <f t="array" ref="BD18">+IFERROR(INDEX($C$3:$AM$3,MATCH(TRUE,INDEX($C18:$AM18&lt;&gt;0,0),0)),"N/A")</f>
        <v>44926</v>
      </c>
      <c r="BE18" s="112"/>
      <c r="BF18" s="1" t="str" cm="1">
        <f t="array" ref="BF18">+_xlfn.IFS(BT18&lt;&gt;0,BT$2,CH18&lt;&gt;0,CH$2,CV18&lt;&gt;0,CV$2,DJ18&lt;&gt;0,DJ$2,TRUE,"")</f>
        <v/>
      </c>
      <c r="BG18" s="1" t="str" cm="1">
        <f t="array" ref="BG18">+_xlfn.IFS(BU18&lt;&gt;0,BU$2,CI18&lt;&gt;0,CI$2,CW18&lt;&gt;0,CW$2,DK18&lt;&gt;0,DK$2,TRUE,"")</f>
        <v/>
      </c>
      <c r="BH18" s="1" t="str" cm="1">
        <f t="array" ref="BH18">+_xlfn.IFS(BV18&lt;&gt;0,BV$2,CJ18&lt;&gt;0,CJ$2,CX18&lt;&gt;0,CX$2,DL18&lt;&gt;0,DL$2,TRUE,"")</f>
        <v/>
      </c>
      <c r="BI18" s="1" t="str" cm="1">
        <f t="array" ref="BI18">+_xlfn.IFS(BW18&lt;&gt;0,BW$2,CK18&lt;&gt;0,CK$2,CY18&lt;&gt;0,CY$2,DM18&lt;&gt;0,DM$2,TRUE,"")</f>
        <v/>
      </c>
      <c r="BJ18" s="1" t="str" cm="1">
        <f t="array" ref="BJ18">+_xlfn.IFS(BX18&lt;&gt;0,BX$2,CL18&lt;&gt;0,CL$2,CZ18&lt;&gt;0,CZ$2,DN18&lt;&gt;0,DN$2,TRUE,"")</f>
        <v/>
      </c>
      <c r="BK18" s="1" t="str" cm="1">
        <f t="array" ref="BK18">+_xlfn.IFS(BY18&lt;&gt;0,BY$2,CM18&lt;&gt;0,CM$2,DA18&lt;&gt;0,DA$2,DO18&lt;&gt;0,DO$2,TRUE,"")</f>
        <v/>
      </c>
      <c r="BL18" s="1" t="str" cm="1">
        <f t="array" ref="BL18">+_xlfn.IFS(BZ18&lt;&gt;0,BZ$2,CN18&lt;&gt;0,CN$2,DB18&lt;&gt;0,DB$2,DP18&lt;&gt;0,DP$2,TRUE,"")</f>
        <v/>
      </c>
      <c r="BM18" s="1" t="str" cm="1">
        <f t="array" ref="BM18">+_xlfn.IFS(CA18&lt;&gt;0,CA$2,CO18&lt;&gt;0,CO$2,DC18&lt;&gt;0,DC$2,DQ18&lt;&gt;0,DQ$2,TRUE,"")</f>
        <v/>
      </c>
      <c r="BN18" s="1" t="str" cm="1">
        <f t="array" ref="BN18">+_xlfn.IFS(CB18&lt;&gt;0,CB$2,CP18&lt;&gt;0,CP$2,DD18&lt;&gt;0,DD$2,DR18&lt;&gt;0,DR$2,TRUE,"")</f>
        <v>Upsell</v>
      </c>
      <c r="BO18" s="1" t="str" cm="1">
        <f t="array" ref="BO18">+_xlfn.IFS(CC18&lt;&gt;0,CC$2,CQ18&lt;&gt;0,CQ$2,DE18&lt;&gt;0,DE$2,DS18&lt;&gt;0,DS$2,TRUE,"")</f>
        <v>Downsell</v>
      </c>
      <c r="BP18" s="1" t="str" cm="1">
        <f t="array" ref="BP18">+_xlfn.IFS(CD18&lt;&gt;0,CD$2,CR18&lt;&gt;0,CR$2,DF18&lt;&gt;0,DF$2,DT18&lt;&gt;0,DT$2,TRUE,"")</f>
        <v/>
      </c>
      <c r="BQ18" s="1" t="str" cm="1">
        <f t="array" ref="BQ18">+_xlfn.IFS(CE18&lt;&gt;0,CE$2,CS18&lt;&gt;0,CS$2,DG18&lt;&gt;0,DG$2,DU18&lt;&gt;0,DU$2,TRUE,"")</f>
        <v/>
      </c>
      <c r="BS18" s="111"/>
      <c r="BT18" s="110">
        <f t="shared" si="25"/>
        <v>0</v>
      </c>
      <c r="BU18" s="110">
        <f t="shared" si="26"/>
        <v>0</v>
      </c>
      <c r="BV18" s="110">
        <f t="shared" si="27"/>
        <v>0</v>
      </c>
      <c r="BW18" s="110">
        <f t="shared" si="28"/>
        <v>0</v>
      </c>
      <c r="BX18" s="110">
        <f t="shared" si="29"/>
        <v>0</v>
      </c>
      <c r="BY18" s="110">
        <f t="shared" si="30"/>
        <v>0</v>
      </c>
      <c r="BZ18" s="110">
        <f t="shared" si="31"/>
        <v>0</v>
      </c>
      <c r="CA18" s="110">
        <f t="shared" si="32"/>
        <v>0</v>
      </c>
      <c r="CB18" s="110">
        <f t="shared" si="33"/>
        <v>0</v>
      </c>
      <c r="CC18" s="110">
        <f t="shared" si="34"/>
        <v>0</v>
      </c>
      <c r="CD18" s="110">
        <f t="shared" si="35"/>
        <v>0</v>
      </c>
      <c r="CE18" s="110">
        <f t="shared" si="36"/>
        <v>0</v>
      </c>
      <c r="CG18" s="111"/>
      <c r="CH18" s="110">
        <f t="shared" si="37"/>
        <v>0</v>
      </c>
      <c r="CI18" s="110">
        <f t="shared" si="38"/>
        <v>0</v>
      </c>
      <c r="CJ18" s="110">
        <f t="shared" si="39"/>
        <v>0</v>
      </c>
      <c r="CK18" s="110">
        <f t="shared" si="40"/>
        <v>0</v>
      </c>
      <c r="CL18" s="110">
        <f t="shared" si="41"/>
        <v>0</v>
      </c>
      <c r="CM18" s="110">
        <f t="shared" si="42"/>
        <v>0</v>
      </c>
      <c r="CN18" s="110">
        <f t="shared" si="43"/>
        <v>0</v>
      </c>
      <c r="CO18" s="110">
        <f t="shared" si="44"/>
        <v>0</v>
      </c>
      <c r="CP18" s="110">
        <f t="shared" si="45"/>
        <v>0</v>
      </c>
      <c r="CQ18" s="110">
        <f t="shared" si="46"/>
        <v>0</v>
      </c>
      <c r="CR18" s="110">
        <f t="shared" si="47"/>
        <v>0</v>
      </c>
      <c r="CS18" s="110">
        <f t="shared" si="48"/>
        <v>0</v>
      </c>
      <c r="CU18" s="111"/>
      <c r="CV18" s="110">
        <f t="shared" si="49"/>
        <v>0</v>
      </c>
      <c r="CW18" s="110">
        <f t="shared" si="50"/>
        <v>0</v>
      </c>
      <c r="CX18" s="110">
        <f t="shared" si="51"/>
        <v>0</v>
      </c>
      <c r="CY18" s="110">
        <f t="shared" si="52"/>
        <v>0</v>
      </c>
      <c r="CZ18" s="110">
        <f t="shared" si="53"/>
        <v>0</v>
      </c>
      <c r="DA18" s="110">
        <f t="shared" si="54"/>
        <v>0</v>
      </c>
      <c r="DB18" s="110">
        <f t="shared" si="55"/>
        <v>0</v>
      </c>
      <c r="DC18" s="110">
        <f t="shared" si="56"/>
        <v>0</v>
      </c>
      <c r="DD18" s="110">
        <f t="shared" si="57"/>
        <v>0</v>
      </c>
      <c r="DE18" s="110">
        <f t="shared" si="58"/>
        <v>-6.2700000000000102</v>
      </c>
      <c r="DF18" s="110">
        <f t="shared" si="59"/>
        <v>0</v>
      </c>
      <c r="DG18" s="110">
        <f t="shared" si="60"/>
        <v>0</v>
      </c>
      <c r="DI18" s="111"/>
      <c r="DJ18" s="110">
        <f t="shared" si="61"/>
        <v>0</v>
      </c>
      <c r="DK18" s="110">
        <f t="shared" si="62"/>
        <v>0</v>
      </c>
      <c r="DL18" s="110">
        <f t="shared" si="63"/>
        <v>0</v>
      </c>
      <c r="DM18" s="110">
        <f t="shared" si="64"/>
        <v>0</v>
      </c>
      <c r="DN18" s="110">
        <f t="shared" si="65"/>
        <v>0</v>
      </c>
      <c r="DO18" s="110">
        <f t="shared" si="66"/>
        <v>0</v>
      </c>
      <c r="DP18" s="110">
        <f t="shared" si="67"/>
        <v>0</v>
      </c>
      <c r="DQ18" s="110">
        <f t="shared" si="68"/>
        <v>0</v>
      </c>
      <c r="DR18" s="110">
        <f t="shared" si="69"/>
        <v>6.2700000000000102</v>
      </c>
      <c r="DS18" s="110">
        <f t="shared" si="70"/>
        <v>0</v>
      </c>
      <c r="DT18" s="110">
        <f t="shared" si="71"/>
        <v>0</v>
      </c>
      <c r="DU18" s="110">
        <f t="shared" si="72"/>
        <v>0</v>
      </c>
      <c r="DW18" s="111"/>
      <c r="DX18" s="110">
        <f t="shared" si="73"/>
        <v>0</v>
      </c>
      <c r="DY18" s="110">
        <f t="shared" si="74"/>
        <v>0</v>
      </c>
      <c r="DZ18" s="110">
        <f t="shared" si="75"/>
        <v>0</v>
      </c>
      <c r="EA18" s="110">
        <f t="shared" si="76"/>
        <v>0</v>
      </c>
      <c r="EB18" s="110">
        <f t="shared" si="77"/>
        <v>0</v>
      </c>
      <c r="EC18" s="110">
        <f t="shared" si="78"/>
        <v>0</v>
      </c>
      <c r="ED18" s="110">
        <f t="shared" si="79"/>
        <v>0</v>
      </c>
      <c r="EE18" s="110">
        <f t="shared" si="80"/>
        <v>0</v>
      </c>
      <c r="EF18" s="110">
        <f t="shared" si="81"/>
        <v>0</v>
      </c>
      <c r="EG18" s="110">
        <f t="shared" si="82"/>
        <v>0</v>
      </c>
      <c r="EH18" s="110">
        <f t="shared" si="83"/>
        <v>0</v>
      </c>
      <c r="EI18" s="110">
        <f t="shared" si="84"/>
        <v>0</v>
      </c>
      <c r="EK18" s="111"/>
      <c r="EL18" s="110">
        <f t="shared" si="85"/>
        <v>0</v>
      </c>
      <c r="EM18" s="110">
        <f t="shared" si="86"/>
        <v>0</v>
      </c>
      <c r="EN18" s="110">
        <f t="shared" si="87"/>
        <v>0</v>
      </c>
      <c r="EP18" s="109" cm="1">
        <f t="array" ref="EP18">+IFERROR(INDEX($C$3:$AM$3,MATCH(TRUE,INDEX($C18:$AM18&lt;&gt;0,0),0)),"N/A")</f>
        <v>44926</v>
      </c>
      <c r="EQ18" s="112"/>
      <c r="ER18" s="1" t="str" cm="1">
        <f t="array" ref="ER18">+_xlfn.IFS(EW18&lt;&gt;0,EW$2,FB18&lt;&gt;0,FB$2,FG18&lt;&gt;0,FG$2,FL18&lt;&gt;0,FL$2,TRUE,"")</f>
        <v/>
      </c>
      <c r="ES18" s="1" t="str" cm="1">
        <f t="array" ref="ES18">+_xlfn.IFS(EX18&lt;&gt;0,EX$2,FC18&lt;&gt;0,FC$2,FH18&lt;&gt;0,FH$2,FM18&lt;&gt;0,FM$2,TRUE,"")</f>
        <v/>
      </c>
      <c r="ET18" s="1" t="str" cm="1">
        <f t="array" ref="ET18">+_xlfn.IFS(EY18&lt;&gt;0,EY$2,FD18&lt;&gt;0,FD$2,FI18&lt;&gt;0,FI$2,FN18&lt;&gt;0,FN$2,TRUE,"")</f>
        <v/>
      </c>
      <c r="EV18" s="111"/>
      <c r="EW18" s="110">
        <f t="shared" si="88"/>
        <v>0</v>
      </c>
      <c r="EX18" s="110">
        <f t="shared" si="89"/>
        <v>0</v>
      </c>
      <c r="EY18" s="110">
        <f t="shared" si="90"/>
        <v>0</v>
      </c>
      <c r="FA18" s="111"/>
      <c r="FB18" s="110">
        <f t="shared" si="91"/>
        <v>0</v>
      </c>
      <c r="FC18" s="110">
        <f t="shared" si="92"/>
        <v>0</v>
      </c>
      <c r="FD18" s="110">
        <f t="shared" si="93"/>
        <v>0</v>
      </c>
      <c r="FF18" s="111"/>
      <c r="FG18" s="110">
        <f t="shared" si="94"/>
        <v>0</v>
      </c>
      <c r="FH18" s="110">
        <f t="shared" si="95"/>
        <v>0</v>
      </c>
      <c r="FI18" s="110">
        <f t="shared" si="96"/>
        <v>0</v>
      </c>
      <c r="FK18" s="111"/>
      <c r="FL18" s="110">
        <f t="shared" si="97"/>
        <v>0</v>
      </c>
      <c r="FM18" s="110">
        <f t="shared" si="98"/>
        <v>0</v>
      </c>
      <c r="FN18" s="110">
        <f t="shared" si="99"/>
        <v>0</v>
      </c>
      <c r="FP18" s="111"/>
      <c r="FQ18" s="110">
        <f t="shared" si="100"/>
        <v>0</v>
      </c>
      <c r="FR18" s="110">
        <f t="shared" si="101"/>
        <v>0</v>
      </c>
      <c r="FS18" s="110">
        <f t="shared" si="102"/>
        <v>0</v>
      </c>
      <c r="FU18" s="111">
        <f t="shared" si="103"/>
        <v>0</v>
      </c>
      <c r="FV18" s="110">
        <f t="shared" si="104"/>
        <v>0</v>
      </c>
      <c r="FW18" s="110">
        <f t="shared" si="105"/>
        <v>0</v>
      </c>
      <c r="FX18" s="110">
        <f t="shared" si="106"/>
        <v>0</v>
      </c>
      <c r="FY18" s="110">
        <f t="shared" si="107"/>
        <v>0</v>
      </c>
      <c r="FZ18" s="110">
        <f t="shared" si="108"/>
        <v>0</v>
      </c>
      <c r="GA18" s="110">
        <f t="shared" si="109"/>
        <v>0</v>
      </c>
      <c r="GB18" s="110">
        <f t="shared" si="110"/>
        <v>0</v>
      </c>
      <c r="GC18" s="110">
        <f t="shared" si="111"/>
        <v>0</v>
      </c>
      <c r="GD18" s="110">
        <f t="shared" si="112"/>
        <v>0</v>
      </c>
      <c r="GE18" s="110">
        <f t="shared" si="113"/>
        <v>0</v>
      </c>
      <c r="GF18" s="110">
        <f t="shared" si="114"/>
        <v>0</v>
      </c>
      <c r="GG18" s="110">
        <f t="shared" si="115"/>
        <v>0</v>
      </c>
      <c r="GH18" s="110">
        <f t="shared" si="116"/>
        <v>0</v>
      </c>
      <c r="GI18" s="110">
        <f t="shared" si="117"/>
        <v>0</v>
      </c>
      <c r="GJ18" s="110">
        <f t="shared" si="118"/>
        <v>6.2700000000000102</v>
      </c>
      <c r="GK18" s="110">
        <f t="shared" si="119"/>
        <v>6.2700000000000102</v>
      </c>
      <c r="GL18" s="110">
        <f t="shared" si="120"/>
        <v>6.2700000000000102</v>
      </c>
      <c r="GM18" s="110">
        <f t="shared" si="121"/>
        <v>0</v>
      </c>
      <c r="GN18" s="110">
        <f t="shared" si="122"/>
        <v>0</v>
      </c>
      <c r="GO18" s="110">
        <f t="shared" si="123"/>
        <v>0</v>
      </c>
      <c r="GP18" s="110">
        <f t="shared" si="124"/>
        <v>0</v>
      </c>
      <c r="GQ18" s="110">
        <f t="shared" si="125"/>
        <v>0</v>
      </c>
      <c r="GR18" s="110">
        <f t="shared" si="126"/>
        <v>0</v>
      </c>
      <c r="GS18" s="110">
        <f t="shared" si="127"/>
        <v>0</v>
      </c>
      <c r="GU18" s="109" cm="1">
        <f t="array" ref="GU18">+IFERROR(INDEX($C$3:$AM$3,MATCH(TRUE,INDEX($C18:$AM18&lt;&gt;0,0),0)),"N/A")</f>
        <v>44926</v>
      </c>
      <c r="GV18" s="112" t="str" cm="1">
        <f t="array" ref="GV18">+_xlfn.IFS(HV18&lt;&gt;0,HV$2,IV18&lt;&gt;0,IV$2,JV18&lt;&gt;0,JV$2,KV18&lt;&gt;0,KV$2,TRUE,"")</f>
        <v/>
      </c>
      <c r="GW18" s="1" t="str" cm="1">
        <f t="array" ref="GW18">+_xlfn.IFS(HW18&lt;&gt;0,HW$2,IW18&lt;&gt;0,IW$2,JW18&lt;&gt;0,JW$2,KW18&lt;&gt;0,KW$2,TRUE,"")</f>
        <v/>
      </c>
      <c r="GX18" s="1" t="str" cm="1">
        <f t="array" ref="GX18">+_xlfn.IFS(HX18&lt;&gt;0,HX$2,IX18&lt;&gt;0,IX$2,JX18&lt;&gt;0,JX$2,KX18&lt;&gt;0,KX$2,TRUE,"")</f>
        <v/>
      </c>
      <c r="GY18" s="1" t="str" cm="1">
        <f t="array" ref="GY18">+_xlfn.IFS(HY18&lt;&gt;0,HY$2,IY18&lt;&gt;0,IY$2,JY18&lt;&gt;0,JY$2,KY18&lt;&gt;0,KY$2,TRUE,"")</f>
        <v/>
      </c>
      <c r="GZ18" s="1" t="str" cm="1">
        <f t="array" ref="GZ18">+_xlfn.IFS(HZ18&lt;&gt;0,HZ$2,IZ18&lt;&gt;0,IZ$2,JZ18&lt;&gt;0,JZ$2,KZ18&lt;&gt;0,KZ$2,TRUE,"")</f>
        <v/>
      </c>
      <c r="HA18" s="1" t="str" cm="1">
        <f t="array" ref="HA18">+_xlfn.IFS(IA18&lt;&gt;0,IA$2,JA18&lt;&gt;0,JA$2,KA18&lt;&gt;0,KA$2,LA18&lt;&gt;0,LA$2,TRUE,"")</f>
        <v/>
      </c>
      <c r="HB18" s="1" t="str" cm="1">
        <f t="array" ref="HB18">+_xlfn.IFS(IB18&lt;&gt;0,IB$2,JB18&lt;&gt;0,JB$2,KB18&lt;&gt;0,KB$2,LB18&lt;&gt;0,LB$2,TRUE,"")</f>
        <v/>
      </c>
      <c r="HC18" s="1" t="str" cm="1">
        <f t="array" ref="HC18">+_xlfn.IFS(IC18&lt;&gt;0,IC$2,JC18&lt;&gt;0,JC$2,KC18&lt;&gt;0,KC$2,LC18&lt;&gt;0,LC$2,TRUE,"")</f>
        <v/>
      </c>
      <c r="HD18" s="1" t="str" cm="1">
        <f t="array" ref="HD18">+_xlfn.IFS(ID18&lt;&gt;0,ID$2,JD18&lt;&gt;0,JD$2,KD18&lt;&gt;0,KD$2,LD18&lt;&gt;0,LD$2,TRUE,"")</f>
        <v/>
      </c>
      <c r="HE18" s="1" t="str" cm="1">
        <f t="array" ref="HE18">+_xlfn.IFS(IE18&lt;&gt;0,IE$2,JE18&lt;&gt;0,JE$2,KE18&lt;&gt;0,KE$2,LE18&lt;&gt;0,LE$2,TRUE,"")</f>
        <v/>
      </c>
      <c r="HF18" s="1" t="str" cm="1">
        <f t="array" ref="HF18">+_xlfn.IFS(IF18&lt;&gt;0,IF$2,JF18&lt;&gt;0,JF$2,KF18&lt;&gt;0,KF$2,LF18&lt;&gt;0,LF$2,TRUE,"")</f>
        <v/>
      </c>
      <c r="HG18" s="1" t="str" cm="1">
        <f t="array" ref="HG18">+_xlfn.IFS(IG18&lt;&gt;0,IG$2,JG18&lt;&gt;0,JG$2,KG18&lt;&gt;0,KG$2,LG18&lt;&gt;0,LG$2,TRUE,"")</f>
        <v/>
      </c>
      <c r="HH18" s="1" t="str" cm="1">
        <f t="array" ref="HH18">+_xlfn.IFS(IH18&lt;&gt;0,IH$2,JH18&lt;&gt;0,JH$2,KH18&lt;&gt;0,KH$2,LH18&lt;&gt;0,LH$2,TRUE,"")</f>
        <v/>
      </c>
      <c r="HI18" s="1" t="str" cm="1">
        <f t="array" ref="HI18">+_xlfn.IFS(II18&lt;&gt;0,II$2,JI18&lt;&gt;0,JI$2,KI18&lt;&gt;0,KI$2,LI18&lt;&gt;0,LI$2,TRUE,"")</f>
        <v/>
      </c>
      <c r="HJ18" s="1" t="str" cm="1">
        <f t="array" ref="HJ18">+_xlfn.IFS(IJ18&lt;&gt;0,IJ$2,JJ18&lt;&gt;0,JJ$2,KJ18&lt;&gt;0,KJ$2,LJ18&lt;&gt;0,LJ$2,TRUE,"")</f>
        <v/>
      </c>
      <c r="HK18" s="1" t="str" cm="1">
        <f t="array" ref="HK18">+_xlfn.IFS(IK18&lt;&gt;0,IK$2,JK18&lt;&gt;0,JK$2,KK18&lt;&gt;0,KK$2,LK18&lt;&gt;0,LK$2,TRUE,"")</f>
        <v>Upsell</v>
      </c>
      <c r="HL18" s="1" t="str" cm="1">
        <f t="array" ref="HL18">+_xlfn.IFS(IL18&lt;&gt;0,IL$2,JL18&lt;&gt;0,JL$2,KL18&lt;&gt;0,KL$2,LL18&lt;&gt;0,LL$2,TRUE,"")</f>
        <v>Upsell</v>
      </c>
      <c r="HM18" s="1" t="str" cm="1">
        <f t="array" ref="HM18">+_xlfn.IFS(IM18&lt;&gt;0,IM$2,JM18&lt;&gt;0,JM$2,KM18&lt;&gt;0,KM$2,LM18&lt;&gt;0,LM$2,TRUE,"")</f>
        <v>Upsell</v>
      </c>
      <c r="HN18" s="1" t="str" cm="1">
        <f t="array" ref="HN18">+_xlfn.IFS(IN18&lt;&gt;0,IN$2,JN18&lt;&gt;0,JN$2,KN18&lt;&gt;0,KN$2,LN18&lt;&gt;0,LN$2,TRUE,"")</f>
        <v/>
      </c>
      <c r="HO18" s="1" t="str" cm="1">
        <f t="array" ref="HO18">+_xlfn.IFS(IO18&lt;&gt;0,IO$2,JO18&lt;&gt;0,JO$2,KO18&lt;&gt;0,KO$2,LO18&lt;&gt;0,LO$2,TRUE,"")</f>
        <v/>
      </c>
      <c r="HP18" s="1" t="str" cm="1">
        <f t="array" ref="HP18">+_xlfn.IFS(IP18&lt;&gt;0,IP$2,JP18&lt;&gt;0,JP$2,KP18&lt;&gt;0,KP$2,LP18&lt;&gt;0,LP$2,TRUE,"")</f>
        <v/>
      </c>
      <c r="HQ18" s="1" t="str" cm="1">
        <f t="array" ref="HQ18">+_xlfn.IFS(IQ18&lt;&gt;0,IQ$2,JQ18&lt;&gt;0,JQ$2,KQ18&lt;&gt;0,KQ$2,LQ18&lt;&gt;0,LQ$2,TRUE,"")</f>
        <v/>
      </c>
      <c r="HR18" s="1" t="str" cm="1">
        <f t="array" ref="HR18">+_xlfn.IFS(IR18&lt;&gt;0,IR$2,JR18&lt;&gt;0,JR$2,KR18&lt;&gt;0,KR$2,LR18&lt;&gt;0,LR$2,TRUE,"")</f>
        <v/>
      </c>
      <c r="HS18" s="1" t="str" cm="1">
        <f t="array" ref="HS18">+_xlfn.IFS(IS18&lt;&gt;0,IS$2,JS18&lt;&gt;0,JS$2,KS18&lt;&gt;0,KS$2,LS18&lt;&gt;0,LS$2,TRUE,"")</f>
        <v/>
      </c>
      <c r="HT18" s="1" t="str" cm="1">
        <f t="array" ref="HT18">+_xlfn.IFS(IT18&lt;&gt;0,IT$2,JT18&lt;&gt;0,JT$2,KT18&lt;&gt;0,KT$2,LT18&lt;&gt;0,LT$2,TRUE,"")</f>
        <v/>
      </c>
      <c r="HV18" s="111">
        <f t="shared" si="128"/>
        <v>0</v>
      </c>
      <c r="HW18" s="110">
        <f t="shared" si="129"/>
        <v>0</v>
      </c>
      <c r="HX18" s="110">
        <f t="shared" si="130"/>
        <v>0</v>
      </c>
      <c r="HY18" s="110">
        <f t="shared" si="131"/>
        <v>0</v>
      </c>
      <c r="HZ18" s="110">
        <f t="shared" si="132"/>
        <v>0</v>
      </c>
      <c r="IA18" s="110">
        <f t="shared" si="133"/>
        <v>0</v>
      </c>
      <c r="IB18" s="110">
        <f t="shared" si="134"/>
        <v>0</v>
      </c>
      <c r="IC18" s="110">
        <f t="shared" si="135"/>
        <v>0</v>
      </c>
      <c r="ID18" s="110">
        <f t="shared" si="136"/>
        <v>0</v>
      </c>
      <c r="IE18" s="110">
        <f t="shared" si="137"/>
        <v>0</v>
      </c>
      <c r="IF18" s="110">
        <f t="shared" si="138"/>
        <v>0</v>
      </c>
      <c r="IG18" s="110">
        <f t="shared" si="139"/>
        <v>0</v>
      </c>
      <c r="IH18" s="110">
        <f t="shared" si="140"/>
        <v>0</v>
      </c>
      <c r="II18" s="110">
        <f t="shared" si="141"/>
        <v>0</v>
      </c>
      <c r="IJ18" s="110">
        <f t="shared" si="142"/>
        <v>0</v>
      </c>
      <c r="IK18" s="110">
        <f t="shared" si="143"/>
        <v>0</v>
      </c>
      <c r="IL18" s="110">
        <f t="shared" si="144"/>
        <v>0</v>
      </c>
      <c r="IM18" s="110">
        <f t="shared" si="145"/>
        <v>0</v>
      </c>
      <c r="IN18" s="110">
        <f t="shared" si="146"/>
        <v>0</v>
      </c>
      <c r="IO18" s="110">
        <f t="shared" si="147"/>
        <v>0</v>
      </c>
      <c r="IP18" s="110">
        <f t="shared" si="148"/>
        <v>0</v>
      </c>
      <c r="IQ18" s="110">
        <f t="shared" si="149"/>
        <v>0</v>
      </c>
      <c r="IR18" s="110">
        <f t="shared" si="150"/>
        <v>0</v>
      </c>
      <c r="IS18" s="110">
        <f t="shared" si="151"/>
        <v>0</v>
      </c>
      <c r="IT18" s="110">
        <f t="shared" si="152"/>
        <v>0</v>
      </c>
      <c r="IV18" s="111">
        <f t="shared" si="153"/>
        <v>0</v>
      </c>
      <c r="IW18" s="110">
        <f t="shared" si="154"/>
        <v>0</v>
      </c>
      <c r="IX18" s="110">
        <f t="shared" si="155"/>
        <v>0</v>
      </c>
      <c r="IY18" s="110">
        <f t="shared" si="156"/>
        <v>0</v>
      </c>
      <c r="IZ18" s="110">
        <f t="shared" si="157"/>
        <v>0</v>
      </c>
      <c r="JA18" s="110">
        <f t="shared" si="158"/>
        <v>0</v>
      </c>
      <c r="JB18" s="110">
        <f t="shared" si="159"/>
        <v>0</v>
      </c>
      <c r="JC18" s="110">
        <f t="shared" si="160"/>
        <v>0</v>
      </c>
      <c r="JD18" s="110">
        <f t="shared" si="161"/>
        <v>0</v>
      </c>
      <c r="JE18" s="110">
        <f t="shared" si="162"/>
        <v>0</v>
      </c>
      <c r="JF18" s="110">
        <f t="shared" si="163"/>
        <v>0</v>
      </c>
      <c r="JG18" s="110">
        <f t="shared" si="164"/>
        <v>0</v>
      </c>
      <c r="JH18" s="110">
        <f t="shared" si="165"/>
        <v>0</v>
      </c>
      <c r="JI18" s="110">
        <f t="shared" si="166"/>
        <v>0</v>
      </c>
      <c r="JJ18" s="110">
        <f t="shared" si="167"/>
        <v>0</v>
      </c>
      <c r="JK18" s="110">
        <f t="shared" si="168"/>
        <v>0</v>
      </c>
      <c r="JL18" s="110">
        <f t="shared" si="169"/>
        <v>0</v>
      </c>
      <c r="JM18" s="110">
        <f t="shared" si="170"/>
        <v>0</v>
      </c>
      <c r="JN18" s="110">
        <f t="shared" si="171"/>
        <v>0</v>
      </c>
      <c r="JO18" s="110">
        <f t="shared" si="172"/>
        <v>0</v>
      </c>
      <c r="JP18" s="110">
        <f t="shared" si="173"/>
        <v>0</v>
      </c>
      <c r="JQ18" s="110">
        <f t="shared" si="174"/>
        <v>0</v>
      </c>
      <c r="JR18" s="110">
        <f t="shared" si="175"/>
        <v>0</v>
      </c>
      <c r="JS18" s="110">
        <f t="shared" si="176"/>
        <v>0</v>
      </c>
      <c r="JT18" s="110">
        <f t="shared" si="177"/>
        <v>0</v>
      </c>
      <c r="JV18" s="111">
        <f t="shared" si="178"/>
        <v>0</v>
      </c>
      <c r="JW18" s="110">
        <f t="shared" si="179"/>
        <v>0</v>
      </c>
      <c r="JX18" s="110">
        <f t="shared" si="180"/>
        <v>0</v>
      </c>
      <c r="JY18" s="110">
        <f t="shared" si="181"/>
        <v>0</v>
      </c>
      <c r="JZ18" s="110">
        <f t="shared" si="182"/>
        <v>0</v>
      </c>
      <c r="KA18" s="110">
        <f t="shared" si="183"/>
        <v>0</v>
      </c>
      <c r="KB18" s="110">
        <f t="shared" si="184"/>
        <v>0</v>
      </c>
      <c r="KC18" s="110">
        <f t="shared" si="185"/>
        <v>0</v>
      </c>
      <c r="KD18" s="110">
        <f t="shared" si="186"/>
        <v>0</v>
      </c>
      <c r="KE18" s="110">
        <f t="shared" si="187"/>
        <v>0</v>
      </c>
      <c r="KF18" s="110">
        <f t="shared" si="188"/>
        <v>0</v>
      </c>
      <c r="KG18" s="110">
        <f t="shared" si="189"/>
        <v>0</v>
      </c>
      <c r="KH18" s="110">
        <f t="shared" si="190"/>
        <v>0</v>
      </c>
      <c r="KI18" s="110">
        <f t="shared" si="191"/>
        <v>0</v>
      </c>
      <c r="KJ18" s="110">
        <f t="shared" si="192"/>
        <v>0</v>
      </c>
      <c r="KK18" s="110">
        <f t="shared" si="193"/>
        <v>0</v>
      </c>
      <c r="KL18" s="110">
        <f t="shared" si="194"/>
        <v>0</v>
      </c>
      <c r="KM18" s="110">
        <f t="shared" si="195"/>
        <v>0</v>
      </c>
      <c r="KN18" s="110">
        <f t="shared" si="196"/>
        <v>0</v>
      </c>
      <c r="KO18" s="110">
        <f t="shared" si="197"/>
        <v>0</v>
      </c>
      <c r="KP18" s="110">
        <f t="shared" si="198"/>
        <v>0</v>
      </c>
      <c r="KQ18" s="110">
        <f t="shared" si="199"/>
        <v>0</v>
      </c>
      <c r="KR18" s="110">
        <f t="shared" si="200"/>
        <v>0</v>
      </c>
      <c r="KS18" s="110">
        <f t="shared" si="201"/>
        <v>0</v>
      </c>
      <c r="KT18" s="110">
        <f t="shared" si="202"/>
        <v>0</v>
      </c>
      <c r="KV18" s="111">
        <f t="shared" si="203"/>
        <v>0</v>
      </c>
      <c r="KW18" s="110">
        <f t="shared" si="204"/>
        <v>0</v>
      </c>
      <c r="KX18" s="110">
        <f t="shared" si="205"/>
        <v>0</v>
      </c>
      <c r="KY18" s="110">
        <f t="shared" si="206"/>
        <v>0</v>
      </c>
      <c r="KZ18" s="110">
        <f t="shared" si="207"/>
        <v>0</v>
      </c>
      <c r="LA18" s="110">
        <f t="shared" si="208"/>
        <v>0</v>
      </c>
      <c r="LB18" s="110">
        <f t="shared" si="209"/>
        <v>0</v>
      </c>
      <c r="LC18" s="110">
        <f t="shared" si="210"/>
        <v>0</v>
      </c>
      <c r="LD18" s="110">
        <f t="shared" si="211"/>
        <v>0</v>
      </c>
      <c r="LE18" s="110">
        <f t="shared" si="212"/>
        <v>0</v>
      </c>
      <c r="LF18" s="110">
        <f t="shared" si="213"/>
        <v>0</v>
      </c>
      <c r="LG18" s="110">
        <f t="shared" si="214"/>
        <v>0</v>
      </c>
      <c r="LH18" s="110">
        <f t="shared" si="215"/>
        <v>0</v>
      </c>
      <c r="LI18" s="110">
        <f t="shared" si="216"/>
        <v>0</v>
      </c>
      <c r="LJ18" s="110">
        <f t="shared" si="217"/>
        <v>0</v>
      </c>
      <c r="LK18" s="110">
        <f t="shared" si="218"/>
        <v>6.2700000000000102</v>
      </c>
      <c r="LL18" s="110">
        <f t="shared" si="219"/>
        <v>6.2700000000000102</v>
      </c>
      <c r="LM18" s="110">
        <f t="shared" si="220"/>
        <v>6.2700000000000102</v>
      </c>
      <c r="LN18" s="110">
        <f t="shared" si="221"/>
        <v>0</v>
      </c>
      <c r="LO18" s="110">
        <f t="shared" si="222"/>
        <v>0</v>
      </c>
      <c r="LP18" s="110">
        <f t="shared" si="223"/>
        <v>0</v>
      </c>
      <c r="LQ18" s="110">
        <f t="shared" si="224"/>
        <v>0</v>
      </c>
      <c r="LR18" s="110">
        <f t="shared" si="225"/>
        <v>0</v>
      </c>
      <c r="LS18" s="110">
        <f t="shared" si="226"/>
        <v>0</v>
      </c>
      <c r="LT18" s="110">
        <f t="shared" si="227"/>
        <v>0</v>
      </c>
      <c r="LV18" s="111"/>
      <c r="LW18" s="110">
        <f t="shared" si="228"/>
        <v>0</v>
      </c>
      <c r="LX18" s="110">
        <f t="shared" si="229"/>
        <v>0</v>
      </c>
      <c r="LY18" s="110">
        <f t="shared" si="230"/>
        <v>0</v>
      </c>
      <c r="LZ18" s="110">
        <f t="shared" si="231"/>
        <v>0</v>
      </c>
      <c r="MA18" s="110">
        <f t="shared" si="232"/>
        <v>0</v>
      </c>
      <c r="MB18" s="110">
        <f t="shared" si="233"/>
        <v>0</v>
      </c>
      <c r="MC18" s="110">
        <f t="shared" si="234"/>
        <v>0</v>
      </c>
      <c r="MD18" s="110">
        <f t="shared" si="235"/>
        <v>0</v>
      </c>
      <c r="ME18" s="110">
        <f t="shared" si="236"/>
        <v>0</v>
      </c>
      <c r="MF18" s="110">
        <f t="shared" si="237"/>
        <v>0</v>
      </c>
      <c r="MG18" s="110">
        <f t="shared" si="238"/>
        <v>0</v>
      </c>
      <c r="MH18" s="110">
        <f t="shared" si="239"/>
        <v>0</v>
      </c>
      <c r="MI18" s="110">
        <f t="shared" si="240"/>
        <v>0</v>
      </c>
      <c r="MJ18" s="110">
        <f t="shared" si="241"/>
        <v>0</v>
      </c>
      <c r="MK18" s="110">
        <f t="shared" si="242"/>
        <v>0</v>
      </c>
      <c r="ML18" s="110">
        <f t="shared" si="243"/>
        <v>0</v>
      </c>
      <c r="MM18" s="110">
        <f t="shared" si="244"/>
        <v>0</v>
      </c>
      <c r="MN18" s="110">
        <f t="shared" si="245"/>
        <v>0</v>
      </c>
      <c r="MO18" s="110">
        <f t="shared" si="246"/>
        <v>0</v>
      </c>
      <c r="MP18" s="110">
        <f t="shared" si="247"/>
        <v>0</v>
      </c>
      <c r="MQ18" s="110">
        <f t="shared" si="248"/>
        <v>0</v>
      </c>
      <c r="MR18" s="110">
        <f t="shared" si="249"/>
        <v>0</v>
      </c>
      <c r="MS18" s="110">
        <f t="shared" si="250"/>
        <v>0</v>
      </c>
      <c r="MT18" s="110">
        <f t="shared" si="251"/>
        <v>0</v>
      </c>
      <c r="MV18" s="114">
        <v>179</v>
      </c>
      <c r="MW18" s="114">
        <v>0</v>
      </c>
      <c r="MX18" s="114">
        <v>0</v>
      </c>
      <c r="MY18" s="114">
        <v>0</v>
      </c>
      <c r="MZ18" s="114">
        <v>0</v>
      </c>
      <c r="NB18" s="115">
        <v>69</v>
      </c>
      <c r="NC18" s="115" t="str">
        <v>N/A</v>
      </c>
      <c r="ND18" s="115" t="str">
        <v>N/A</v>
      </c>
      <c r="NE18" s="115" t="str">
        <v>N/A</v>
      </c>
      <c r="NF18" s="115" t="str">
        <v>N/A</v>
      </c>
    </row>
    <row r="19" spans="1:370" ht="13.5" x14ac:dyDescent="0.25">
      <c r="B19" s="8">
        <f t="shared" si="252"/>
        <v>16</v>
      </c>
      <c r="C19" s="7">
        <v>128</v>
      </c>
      <c r="D19" s="7">
        <v>128</v>
      </c>
      <c r="E19" s="7">
        <v>128</v>
      </c>
      <c r="F19" s="7">
        <v>128</v>
      </c>
      <c r="G19" s="7">
        <v>128</v>
      </c>
      <c r="H19" s="7">
        <v>128</v>
      </c>
      <c r="I19" s="7">
        <v>128</v>
      </c>
      <c r="J19" s="7">
        <v>128</v>
      </c>
      <c r="K19" s="7">
        <v>128</v>
      </c>
      <c r="L19" s="7">
        <v>128</v>
      </c>
      <c r="M19" s="7">
        <v>128</v>
      </c>
      <c r="N19" s="7">
        <v>128</v>
      </c>
      <c r="O19" s="7">
        <v>128</v>
      </c>
      <c r="P19" s="7">
        <v>128</v>
      </c>
      <c r="Q19" s="7">
        <v>128</v>
      </c>
      <c r="R19" s="7">
        <v>0</v>
      </c>
      <c r="S19" s="7">
        <v>0</v>
      </c>
      <c r="T19" s="7">
        <v>0</v>
      </c>
      <c r="U19" s="7">
        <v>0</v>
      </c>
      <c r="V19" s="7">
        <v>0</v>
      </c>
      <c r="W19" s="7">
        <v>0</v>
      </c>
      <c r="X19" s="7">
        <v>0</v>
      </c>
      <c r="Y19" s="7">
        <v>0</v>
      </c>
      <c r="Z19" s="7">
        <v>0</v>
      </c>
      <c r="AA19" s="7">
        <v>0</v>
      </c>
      <c r="AB19" s="7">
        <v>0</v>
      </c>
      <c r="AC19" s="7">
        <v>0</v>
      </c>
      <c r="AD19" s="7">
        <v>0</v>
      </c>
      <c r="AE19" s="7">
        <v>0</v>
      </c>
      <c r="AF19" s="7">
        <v>0</v>
      </c>
      <c r="AG19" s="7">
        <v>0</v>
      </c>
      <c r="AH19" s="7">
        <v>0</v>
      </c>
      <c r="AI19" s="7">
        <v>0</v>
      </c>
      <c r="AJ19" s="7">
        <v>0</v>
      </c>
      <c r="AK19" s="7">
        <v>0</v>
      </c>
      <c r="AL19" s="7">
        <v>0</v>
      </c>
      <c r="AM19" s="7">
        <v>0</v>
      </c>
      <c r="AN19" s="27">
        <v>16</v>
      </c>
      <c r="AP19" s="111"/>
      <c r="AQ19" s="110">
        <f t="shared" si="13"/>
        <v>0</v>
      </c>
      <c r="AR19" s="110">
        <f t="shared" si="14"/>
        <v>0</v>
      </c>
      <c r="AS19" s="110">
        <f t="shared" si="15"/>
        <v>0</v>
      </c>
      <c r="AT19" s="110">
        <f t="shared" si="16"/>
        <v>0</v>
      </c>
      <c r="AU19" s="110">
        <f t="shared" si="17"/>
        <v>-128</v>
      </c>
      <c r="AV19" s="110">
        <f t="shared" si="18"/>
        <v>0</v>
      </c>
      <c r="AW19" s="110">
        <f t="shared" si="19"/>
        <v>0</v>
      </c>
      <c r="AX19" s="110">
        <f t="shared" si="20"/>
        <v>0</v>
      </c>
      <c r="AY19" s="110">
        <f t="shared" si="21"/>
        <v>0</v>
      </c>
      <c r="AZ19" s="110">
        <f t="shared" si="22"/>
        <v>0</v>
      </c>
      <c r="BA19" s="110">
        <f t="shared" si="23"/>
        <v>0</v>
      </c>
      <c r="BB19" s="110">
        <f t="shared" si="24"/>
        <v>0</v>
      </c>
      <c r="BD19" s="109" cm="1">
        <f t="array" ref="BD19">+IFERROR(INDEX($C$3:$AM$3,MATCH(TRUE,INDEX($C19:$AM19&lt;&gt;0,0),0)),"N/A")</f>
        <v>44926</v>
      </c>
      <c r="BE19" s="112"/>
      <c r="BF19" s="1" t="str" cm="1">
        <f t="array" ref="BF19">+_xlfn.IFS(BT19&lt;&gt;0,BT$2,CH19&lt;&gt;0,CH$2,CV19&lt;&gt;0,CV$2,DJ19&lt;&gt;0,DJ$2,TRUE,"")</f>
        <v/>
      </c>
      <c r="BG19" s="1" t="str" cm="1">
        <f t="array" ref="BG19">+_xlfn.IFS(BU19&lt;&gt;0,BU$2,CI19&lt;&gt;0,CI$2,CW19&lt;&gt;0,CW$2,DK19&lt;&gt;0,DK$2,TRUE,"")</f>
        <v/>
      </c>
      <c r="BH19" s="1" t="str" cm="1">
        <f t="array" ref="BH19">+_xlfn.IFS(BV19&lt;&gt;0,BV$2,CJ19&lt;&gt;0,CJ$2,CX19&lt;&gt;0,CX$2,DL19&lt;&gt;0,DL$2,TRUE,"")</f>
        <v/>
      </c>
      <c r="BI19" s="1" t="str" cm="1">
        <f t="array" ref="BI19">+_xlfn.IFS(BW19&lt;&gt;0,BW$2,CK19&lt;&gt;0,CK$2,CY19&lt;&gt;0,CY$2,DM19&lt;&gt;0,DM$2,TRUE,"")</f>
        <v/>
      </c>
      <c r="BJ19" s="1" t="str" cm="1">
        <f t="array" ref="BJ19">+_xlfn.IFS(BX19&lt;&gt;0,BX$2,CL19&lt;&gt;0,CL$2,CZ19&lt;&gt;0,CZ$2,DN19&lt;&gt;0,DN$2,TRUE,"")</f>
        <v>Churn</v>
      </c>
      <c r="BK19" s="1" t="str" cm="1">
        <f t="array" ref="BK19">+_xlfn.IFS(BY19&lt;&gt;0,BY$2,CM19&lt;&gt;0,CM$2,DA19&lt;&gt;0,DA$2,DO19&lt;&gt;0,DO$2,TRUE,"")</f>
        <v/>
      </c>
      <c r="BL19" s="1" t="str" cm="1">
        <f t="array" ref="BL19">+_xlfn.IFS(BZ19&lt;&gt;0,BZ$2,CN19&lt;&gt;0,CN$2,DB19&lt;&gt;0,DB$2,DP19&lt;&gt;0,DP$2,TRUE,"")</f>
        <v/>
      </c>
      <c r="BM19" s="1" t="str" cm="1">
        <f t="array" ref="BM19">+_xlfn.IFS(CA19&lt;&gt;0,CA$2,CO19&lt;&gt;0,CO$2,DC19&lt;&gt;0,DC$2,DQ19&lt;&gt;0,DQ$2,TRUE,"")</f>
        <v/>
      </c>
      <c r="BN19" s="1" t="str" cm="1">
        <f t="array" ref="BN19">+_xlfn.IFS(CB19&lt;&gt;0,CB$2,CP19&lt;&gt;0,CP$2,DD19&lt;&gt;0,DD$2,DR19&lt;&gt;0,DR$2,TRUE,"")</f>
        <v/>
      </c>
      <c r="BO19" s="1" t="str" cm="1">
        <f t="array" ref="BO19">+_xlfn.IFS(CC19&lt;&gt;0,CC$2,CQ19&lt;&gt;0,CQ$2,DE19&lt;&gt;0,DE$2,DS19&lt;&gt;0,DS$2,TRUE,"")</f>
        <v/>
      </c>
      <c r="BP19" s="1" t="str" cm="1">
        <f t="array" ref="BP19">+_xlfn.IFS(CD19&lt;&gt;0,CD$2,CR19&lt;&gt;0,CR$2,DF19&lt;&gt;0,DF$2,DT19&lt;&gt;0,DT$2,TRUE,"")</f>
        <v/>
      </c>
      <c r="BQ19" s="1" t="str" cm="1">
        <f t="array" ref="BQ19">+_xlfn.IFS(CE19&lt;&gt;0,CE$2,CS19&lt;&gt;0,CS$2,DG19&lt;&gt;0,DG$2,DU19&lt;&gt;0,DU$2,TRUE,"")</f>
        <v/>
      </c>
      <c r="BS19" s="111"/>
      <c r="BT19" s="110">
        <f t="shared" si="25"/>
        <v>0</v>
      </c>
      <c r="BU19" s="110">
        <f t="shared" si="26"/>
        <v>0</v>
      </c>
      <c r="BV19" s="110">
        <f t="shared" si="27"/>
        <v>0</v>
      </c>
      <c r="BW19" s="110">
        <f t="shared" si="28"/>
        <v>0</v>
      </c>
      <c r="BX19" s="110">
        <f t="shared" si="29"/>
        <v>0</v>
      </c>
      <c r="BY19" s="110">
        <f t="shared" si="30"/>
        <v>0</v>
      </c>
      <c r="BZ19" s="110">
        <f t="shared" si="31"/>
        <v>0</v>
      </c>
      <c r="CA19" s="110">
        <f t="shared" si="32"/>
        <v>0</v>
      </c>
      <c r="CB19" s="110">
        <f t="shared" si="33"/>
        <v>0</v>
      </c>
      <c r="CC19" s="110">
        <f t="shared" si="34"/>
        <v>0</v>
      </c>
      <c r="CD19" s="110">
        <f t="shared" si="35"/>
        <v>0</v>
      </c>
      <c r="CE19" s="110">
        <f t="shared" si="36"/>
        <v>0</v>
      </c>
      <c r="CG19" s="111"/>
      <c r="CH19" s="110">
        <f t="shared" si="37"/>
        <v>0</v>
      </c>
      <c r="CI19" s="110">
        <f t="shared" si="38"/>
        <v>0</v>
      </c>
      <c r="CJ19" s="110">
        <f t="shared" si="39"/>
        <v>0</v>
      </c>
      <c r="CK19" s="110">
        <f t="shared" si="40"/>
        <v>0</v>
      </c>
      <c r="CL19" s="110">
        <f t="shared" si="41"/>
        <v>-128</v>
      </c>
      <c r="CM19" s="110">
        <f t="shared" si="42"/>
        <v>0</v>
      </c>
      <c r="CN19" s="110">
        <f t="shared" si="43"/>
        <v>0</v>
      </c>
      <c r="CO19" s="110">
        <f t="shared" si="44"/>
        <v>0</v>
      </c>
      <c r="CP19" s="110">
        <f t="shared" si="45"/>
        <v>0</v>
      </c>
      <c r="CQ19" s="110">
        <f t="shared" si="46"/>
        <v>0</v>
      </c>
      <c r="CR19" s="110">
        <f t="shared" si="47"/>
        <v>0</v>
      </c>
      <c r="CS19" s="110">
        <f t="shared" si="48"/>
        <v>0</v>
      </c>
      <c r="CU19" s="111"/>
      <c r="CV19" s="110">
        <f t="shared" si="49"/>
        <v>0</v>
      </c>
      <c r="CW19" s="110">
        <f t="shared" si="50"/>
        <v>0</v>
      </c>
      <c r="CX19" s="110">
        <f t="shared" si="51"/>
        <v>0</v>
      </c>
      <c r="CY19" s="110">
        <f t="shared" si="52"/>
        <v>0</v>
      </c>
      <c r="CZ19" s="110">
        <f t="shared" si="53"/>
        <v>0</v>
      </c>
      <c r="DA19" s="110">
        <f t="shared" si="54"/>
        <v>0</v>
      </c>
      <c r="DB19" s="110">
        <f t="shared" si="55"/>
        <v>0</v>
      </c>
      <c r="DC19" s="110">
        <f t="shared" si="56"/>
        <v>0</v>
      </c>
      <c r="DD19" s="110">
        <f t="shared" si="57"/>
        <v>0</v>
      </c>
      <c r="DE19" s="110">
        <f t="shared" si="58"/>
        <v>0</v>
      </c>
      <c r="DF19" s="110">
        <f t="shared" si="59"/>
        <v>0</v>
      </c>
      <c r="DG19" s="110">
        <f t="shared" si="60"/>
        <v>0</v>
      </c>
      <c r="DI19" s="111"/>
      <c r="DJ19" s="110">
        <f t="shared" si="61"/>
        <v>0</v>
      </c>
      <c r="DK19" s="110">
        <f t="shared" si="62"/>
        <v>0</v>
      </c>
      <c r="DL19" s="110">
        <f t="shared" si="63"/>
        <v>0</v>
      </c>
      <c r="DM19" s="110">
        <f t="shared" si="64"/>
        <v>0</v>
      </c>
      <c r="DN19" s="110">
        <f t="shared" si="65"/>
        <v>0</v>
      </c>
      <c r="DO19" s="110">
        <f t="shared" si="66"/>
        <v>0</v>
      </c>
      <c r="DP19" s="110">
        <f t="shared" si="67"/>
        <v>0</v>
      </c>
      <c r="DQ19" s="110">
        <f t="shared" si="68"/>
        <v>0</v>
      </c>
      <c r="DR19" s="110">
        <f t="shared" si="69"/>
        <v>0</v>
      </c>
      <c r="DS19" s="110">
        <f t="shared" si="70"/>
        <v>0</v>
      </c>
      <c r="DT19" s="110">
        <f t="shared" si="71"/>
        <v>0</v>
      </c>
      <c r="DU19" s="110">
        <f t="shared" si="72"/>
        <v>0</v>
      </c>
      <c r="DW19" s="111"/>
      <c r="DX19" s="110">
        <f t="shared" si="73"/>
        <v>0</v>
      </c>
      <c r="DY19" s="110">
        <f t="shared" si="74"/>
        <v>0</v>
      </c>
      <c r="DZ19" s="110">
        <f t="shared" si="75"/>
        <v>0</v>
      </c>
      <c r="EA19" s="110">
        <f t="shared" si="76"/>
        <v>0</v>
      </c>
      <c r="EB19" s="110">
        <f t="shared" si="77"/>
        <v>0</v>
      </c>
      <c r="EC19" s="110">
        <f t="shared" si="78"/>
        <v>0</v>
      </c>
      <c r="ED19" s="110">
        <f t="shared" si="79"/>
        <v>0</v>
      </c>
      <c r="EE19" s="110">
        <f t="shared" si="80"/>
        <v>0</v>
      </c>
      <c r="EF19" s="110">
        <f t="shared" si="81"/>
        <v>0</v>
      </c>
      <c r="EG19" s="110">
        <f t="shared" si="82"/>
        <v>0</v>
      </c>
      <c r="EH19" s="110">
        <f t="shared" si="83"/>
        <v>0</v>
      </c>
      <c r="EI19" s="110">
        <f t="shared" si="84"/>
        <v>0</v>
      </c>
      <c r="EK19" s="111"/>
      <c r="EL19" s="110">
        <f t="shared" si="85"/>
        <v>0</v>
      </c>
      <c r="EM19" s="110">
        <f t="shared" si="86"/>
        <v>-128</v>
      </c>
      <c r="EN19" s="110">
        <f t="shared" si="87"/>
        <v>0</v>
      </c>
      <c r="EP19" s="109" cm="1">
        <f t="array" ref="EP19">+IFERROR(INDEX($C$3:$AM$3,MATCH(TRUE,INDEX($C19:$AM19&lt;&gt;0,0),0)),"N/A")</f>
        <v>44926</v>
      </c>
      <c r="EQ19" s="112"/>
      <c r="ER19" s="1" t="str" cm="1">
        <f t="array" ref="ER19">+_xlfn.IFS(EW19&lt;&gt;0,EW$2,FB19&lt;&gt;0,FB$2,FG19&lt;&gt;0,FG$2,FL19&lt;&gt;0,FL$2,TRUE,"")</f>
        <v/>
      </c>
      <c r="ES19" s="1" t="str" cm="1">
        <f t="array" ref="ES19">+_xlfn.IFS(EX19&lt;&gt;0,EX$2,FC19&lt;&gt;0,FC$2,FH19&lt;&gt;0,FH$2,FM19&lt;&gt;0,FM$2,TRUE,"")</f>
        <v>Churn</v>
      </c>
      <c r="ET19" s="1" t="str" cm="1">
        <f t="array" ref="ET19">+_xlfn.IFS(EY19&lt;&gt;0,EY$2,FD19&lt;&gt;0,FD$2,FI19&lt;&gt;0,FI$2,FN19&lt;&gt;0,FN$2,TRUE,"")</f>
        <v/>
      </c>
      <c r="EV19" s="111"/>
      <c r="EW19" s="110">
        <f t="shared" si="88"/>
        <v>0</v>
      </c>
      <c r="EX19" s="110">
        <f t="shared" si="89"/>
        <v>0</v>
      </c>
      <c r="EY19" s="110">
        <f t="shared" si="90"/>
        <v>0</v>
      </c>
      <c r="FA19" s="111"/>
      <c r="FB19" s="110">
        <f t="shared" si="91"/>
        <v>0</v>
      </c>
      <c r="FC19" s="110">
        <f t="shared" si="92"/>
        <v>-128</v>
      </c>
      <c r="FD19" s="110">
        <f t="shared" si="93"/>
        <v>0</v>
      </c>
      <c r="FF19" s="111"/>
      <c r="FG19" s="110">
        <f t="shared" si="94"/>
        <v>0</v>
      </c>
      <c r="FH19" s="110">
        <f t="shared" si="95"/>
        <v>0</v>
      </c>
      <c r="FI19" s="110">
        <f t="shared" si="96"/>
        <v>0</v>
      </c>
      <c r="FK19" s="111"/>
      <c r="FL19" s="110">
        <f t="shared" si="97"/>
        <v>0</v>
      </c>
      <c r="FM19" s="110">
        <f t="shared" si="98"/>
        <v>0</v>
      </c>
      <c r="FN19" s="110">
        <f t="shared" si="99"/>
        <v>0</v>
      </c>
      <c r="FP19" s="111"/>
      <c r="FQ19" s="110">
        <f t="shared" si="100"/>
        <v>0</v>
      </c>
      <c r="FR19" s="110">
        <f t="shared" si="101"/>
        <v>0</v>
      </c>
      <c r="FS19" s="110">
        <f t="shared" si="102"/>
        <v>0</v>
      </c>
      <c r="FU19" s="111">
        <f t="shared" si="103"/>
        <v>0</v>
      </c>
      <c r="FV19" s="110">
        <f t="shared" si="104"/>
        <v>0</v>
      </c>
      <c r="FW19" s="110">
        <f t="shared" si="105"/>
        <v>0</v>
      </c>
      <c r="FX19" s="110">
        <f t="shared" si="106"/>
        <v>-128</v>
      </c>
      <c r="FY19" s="110">
        <f t="shared" si="107"/>
        <v>-128</v>
      </c>
      <c r="FZ19" s="110">
        <f t="shared" si="108"/>
        <v>-128</v>
      </c>
      <c r="GA19" s="110">
        <f t="shared" si="109"/>
        <v>-128</v>
      </c>
      <c r="GB19" s="110">
        <f t="shared" si="110"/>
        <v>-128</v>
      </c>
      <c r="GC19" s="110">
        <f t="shared" si="111"/>
        <v>-128</v>
      </c>
      <c r="GD19" s="110">
        <f t="shared" si="112"/>
        <v>-128</v>
      </c>
      <c r="GE19" s="110">
        <f t="shared" si="113"/>
        <v>-128</v>
      </c>
      <c r="GF19" s="110">
        <f t="shared" si="114"/>
        <v>-128</v>
      </c>
      <c r="GG19" s="110">
        <f t="shared" si="115"/>
        <v>-128</v>
      </c>
      <c r="GH19" s="110">
        <f t="shared" si="116"/>
        <v>-128</v>
      </c>
      <c r="GI19" s="110">
        <f t="shared" si="117"/>
        <v>-128</v>
      </c>
      <c r="GJ19" s="110">
        <f t="shared" si="118"/>
        <v>0</v>
      </c>
      <c r="GK19" s="110">
        <f t="shared" si="119"/>
        <v>0</v>
      </c>
      <c r="GL19" s="110">
        <f t="shared" si="120"/>
        <v>0</v>
      </c>
      <c r="GM19" s="110">
        <f t="shared" si="121"/>
        <v>0</v>
      </c>
      <c r="GN19" s="110">
        <f t="shared" si="122"/>
        <v>0</v>
      </c>
      <c r="GO19" s="110">
        <f t="shared" si="123"/>
        <v>0</v>
      </c>
      <c r="GP19" s="110">
        <f t="shared" si="124"/>
        <v>0</v>
      </c>
      <c r="GQ19" s="110">
        <f t="shared" si="125"/>
        <v>0</v>
      </c>
      <c r="GR19" s="110">
        <f t="shared" si="126"/>
        <v>0</v>
      </c>
      <c r="GS19" s="110">
        <f t="shared" si="127"/>
        <v>0</v>
      </c>
      <c r="GU19" s="109" cm="1">
        <f t="array" ref="GU19">+IFERROR(INDEX($C$3:$AM$3,MATCH(TRUE,INDEX($C19:$AM19&lt;&gt;0,0),0)),"N/A")</f>
        <v>44926</v>
      </c>
      <c r="GV19" s="112" t="str" cm="1">
        <f t="array" ref="GV19">+_xlfn.IFS(HV19&lt;&gt;0,HV$2,IV19&lt;&gt;0,IV$2,JV19&lt;&gt;0,JV$2,KV19&lt;&gt;0,KV$2,TRUE,"")</f>
        <v/>
      </c>
      <c r="GW19" s="1" t="str" cm="1">
        <f t="array" ref="GW19">+_xlfn.IFS(HW19&lt;&gt;0,HW$2,IW19&lt;&gt;0,IW$2,JW19&lt;&gt;0,JW$2,KW19&lt;&gt;0,KW$2,TRUE,"")</f>
        <v/>
      </c>
      <c r="GX19" s="1" t="str" cm="1">
        <f t="array" ref="GX19">+_xlfn.IFS(HX19&lt;&gt;0,HX$2,IX19&lt;&gt;0,IX$2,JX19&lt;&gt;0,JX$2,KX19&lt;&gt;0,KX$2,TRUE,"")</f>
        <v/>
      </c>
      <c r="GY19" s="1" t="str" cm="1">
        <f t="array" ref="GY19">+_xlfn.IFS(HY19&lt;&gt;0,HY$2,IY19&lt;&gt;0,IY$2,JY19&lt;&gt;0,JY$2,KY19&lt;&gt;0,KY$2,TRUE,"")</f>
        <v>Churn</v>
      </c>
      <c r="GZ19" s="1" t="str" cm="1">
        <f t="array" ref="GZ19">+_xlfn.IFS(HZ19&lt;&gt;0,HZ$2,IZ19&lt;&gt;0,IZ$2,JZ19&lt;&gt;0,JZ$2,KZ19&lt;&gt;0,KZ$2,TRUE,"")</f>
        <v>Churn</v>
      </c>
      <c r="HA19" s="1" t="str" cm="1">
        <f t="array" ref="HA19">+_xlfn.IFS(IA19&lt;&gt;0,IA$2,JA19&lt;&gt;0,JA$2,KA19&lt;&gt;0,KA$2,LA19&lt;&gt;0,LA$2,TRUE,"")</f>
        <v>Churn</v>
      </c>
      <c r="HB19" s="1" t="str" cm="1">
        <f t="array" ref="HB19">+_xlfn.IFS(IB19&lt;&gt;0,IB$2,JB19&lt;&gt;0,JB$2,KB19&lt;&gt;0,KB$2,LB19&lt;&gt;0,LB$2,TRUE,"")</f>
        <v>Churn</v>
      </c>
      <c r="HC19" s="1" t="str" cm="1">
        <f t="array" ref="HC19">+_xlfn.IFS(IC19&lt;&gt;0,IC$2,JC19&lt;&gt;0,JC$2,KC19&lt;&gt;0,KC$2,LC19&lt;&gt;0,LC$2,TRUE,"")</f>
        <v>Churn</v>
      </c>
      <c r="HD19" s="1" t="str" cm="1">
        <f t="array" ref="HD19">+_xlfn.IFS(ID19&lt;&gt;0,ID$2,JD19&lt;&gt;0,JD$2,KD19&lt;&gt;0,KD$2,LD19&lt;&gt;0,LD$2,TRUE,"")</f>
        <v>Churn</v>
      </c>
      <c r="HE19" s="1" t="str" cm="1">
        <f t="array" ref="HE19">+_xlfn.IFS(IE19&lt;&gt;0,IE$2,JE19&lt;&gt;0,JE$2,KE19&lt;&gt;0,KE$2,LE19&lt;&gt;0,LE$2,TRUE,"")</f>
        <v>Churn</v>
      </c>
      <c r="HF19" s="1" t="str" cm="1">
        <f t="array" ref="HF19">+_xlfn.IFS(IF19&lt;&gt;0,IF$2,JF19&lt;&gt;0,JF$2,KF19&lt;&gt;0,KF$2,LF19&lt;&gt;0,LF$2,TRUE,"")</f>
        <v>Churn</v>
      </c>
      <c r="HG19" s="1" t="str" cm="1">
        <f t="array" ref="HG19">+_xlfn.IFS(IG19&lt;&gt;0,IG$2,JG19&lt;&gt;0,JG$2,KG19&lt;&gt;0,KG$2,LG19&lt;&gt;0,LG$2,TRUE,"")</f>
        <v>Churn</v>
      </c>
      <c r="HH19" s="1" t="str" cm="1">
        <f t="array" ref="HH19">+_xlfn.IFS(IH19&lt;&gt;0,IH$2,JH19&lt;&gt;0,JH$2,KH19&lt;&gt;0,KH$2,LH19&lt;&gt;0,LH$2,TRUE,"")</f>
        <v>Churn</v>
      </c>
      <c r="HI19" s="1" t="str" cm="1">
        <f t="array" ref="HI19">+_xlfn.IFS(II19&lt;&gt;0,II$2,JI19&lt;&gt;0,JI$2,KI19&lt;&gt;0,KI$2,LI19&lt;&gt;0,LI$2,TRUE,"")</f>
        <v>Churn</v>
      </c>
      <c r="HJ19" s="1" t="str" cm="1">
        <f t="array" ref="HJ19">+_xlfn.IFS(IJ19&lt;&gt;0,IJ$2,JJ19&lt;&gt;0,JJ$2,KJ19&lt;&gt;0,KJ$2,LJ19&lt;&gt;0,LJ$2,TRUE,"")</f>
        <v>Churn</v>
      </c>
      <c r="HK19" s="1" t="str" cm="1">
        <f t="array" ref="HK19">+_xlfn.IFS(IK19&lt;&gt;0,IK$2,JK19&lt;&gt;0,JK$2,KK19&lt;&gt;0,KK$2,LK19&lt;&gt;0,LK$2,TRUE,"")</f>
        <v/>
      </c>
      <c r="HL19" s="1" t="str" cm="1">
        <f t="array" ref="HL19">+_xlfn.IFS(IL19&lt;&gt;0,IL$2,JL19&lt;&gt;0,JL$2,KL19&lt;&gt;0,KL$2,LL19&lt;&gt;0,LL$2,TRUE,"")</f>
        <v/>
      </c>
      <c r="HM19" s="1" t="str" cm="1">
        <f t="array" ref="HM19">+_xlfn.IFS(IM19&lt;&gt;0,IM$2,JM19&lt;&gt;0,JM$2,KM19&lt;&gt;0,KM$2,LM19&lt;&gt;0,LM$2,TRUE,"")</f>
        <v/>
      </c>
      <c r="HN19" s="1" t="str" cm="1">
        <f t="array" ref="HN19">+_xlfn.IFS(IN19&lt;&gt;0,IN$2,JN19&lt;&gt;0,JN$2,KN19&lt;&gt;0,KN$2,LN19&lt;&gt;0,LN$2,TRUE,"")</f>
        <v/>
      </c>
      <c r="HO19" s="1" t="str" cm="1">
        <f t="array" ref="HO19">+_xlfn.IFS(IO19&lt;&gt;0,IO$2,JO19&lt;&gt;0,JO$2,KO19&lt;&gt;0,KO$2,LO19&lt;&gt;0,LO$2,TRUE,"")</f>
        <v/>
      </c>
      <c r="HP19" s="1" t="str" cm="1">
        <f t="array" ref="HP19">+_xlfn.IFS(IP19&lt;&gt;0,IP$2,JP19&lt;&gt;0,JP$2,KP19&lt;&gt;0,KP$2,LP19&lt;&gt;0,LP$2,TRUE,"")</f>
        <v/>
      </c>
      <c r="HQ19" s="1" t="str" cm="1">
        <f t="array" ref="HQ19">+_xlfn.IFS(IQ19&lt;&gt;0,IQ$2,JQ19&lt;&gt;0,JQ$2,KQ19&lt;&gt;0,KQ$2,LQ19&lt;&gt;0,LQ$2,TRUE,"")</f>
        <v/>
      </c>
      <c r="HR19" s="1" t="str" cm="1">
        <f t="array" ref="HR19">+_xlfn.IFS(IR19&lt;&gt;0,IR$2,JR19&lt;&gt;0,JR$2,KR19&lt;&gt;0,KR$2,LR19&lt;&gt;0,LR$2,TRUE,"")</f>
        <v/>
      </c>
      <c r="HS19" s="1" t="str" cm="1">
        <f t="array" ref="HS19">+_xlfn.IFS(IS19&lt;&gt;0,IS$2,JS19&lt;&gt;0,JS$2,KS19&lt;&gt;0,KS$2,LS19&lt;&gt;0,LS$2,TRUE,"")</f>
        <v/>
      </c>
      <c r="HT19" s="1" t="str" cm="1">
        <f t="array" ref="HT19">+_xlfn.IFS(IT19&lt;&gt;0,IT$2,JT19&lt;&gt;0,JT$2,KT19&lt;&gt;0,KT$2,LT19&lt;&gt;0,LT$2,TRUE,"")</f>
        <v/>
      </c>
      <c r="HV19" s="111">
        <f t="shared" si="128"/>
        <v>0</v>
      </c>
      <c r="HW19" s="110">
        <f t="shared" si="129"/>
        <v>0</v>
      </c>
      <c r="HX19" s="110">
        <f t="shared" si="130"/>
        <v>0</v>
      </c>
      <c r="HY19" s="110">
        <f t="shared" si="131"/>
        <v>0</v>
      </c>
      <c r="HZ19" s="110">
        <f t="shared" si="132"/>
        <v>0</v>
      </c>
      <c r="IA19" s="110">
        <f t="shared" si="133"/>
        <v>0</v>
      </c>
      <c r="IB19" s="110">
        <f t="shared" si="134"/>
        <v>0</v>
      </c>
      <c r="IC19" s="110">
        <f t="shared" si="135"/>
        <v>0</v>
      </c>
      <c r="ID19" s="110">
        <f t="shared" si="136"/>
        <v>0</v>
      </c>
      <c r="IE19" s="110">
        <f t="shared" si="137"/>
        <v>0</v>
      </c>
      <c r="IF19" s="110">
        <f t="shared" si="138"/>
        <v>0</v>
      </c>
      <c r="IG19" s="110">
        <f t="shared" si="139"/>
        <v>0</v>
      </c>
      <c r="IH19" s="110">
        <f t="shared" si="140"/>
        <v>0</v>
      </c>
      <c r="II19" s="110">
        <f t="shared" si="141"/>
        <v>0</v>
      </c>
      <c r="IJ19" s="110">
        <f t="shared" si="142"/>
        <v>0</v>
      </c>
      <c r="IK19" s="110">
        <f t="shared" si="143"/>
        <v>0</v>
      </c>
      <c r="IL19" s="110">
        <f t="shared" si="144"/>
        <v>0</v>
      </c>
      <c r="IM19" s="110">
        <f t="shared" si="145"/>
        <v>0</v>
      </c>
      <c r="IN19" s="110">
        <f t="shared" si="146"/>
        <v>0</v>
      </c>
      <c r="IO19" s="110">
        <f t="shared" si="147"/>
        <v>0</v>
      </c>
      <c r="IP19" s="110">
        <f t="shared" si="148"/>
        <v>0</v>
      </c>
      <c r="IQ19" s="110">
        <f t="shared" si="149"/>
        <v>0</v>
      </c>
      <c r="IR19" s="110">
        <f t="shared" si="150"/>
        <v>0</v>
      </c>
      <c r="IS19" s="110">
        <f t="shared" si="151"/>
        <v>0</v>
      </c>
      <c r="IT19" s="110">
        <f t="shared" si="152"/>
        <v>0</v>
      </c>
      <c r="IV19" s="111">
        <f t="shared" si="153"/>
        <v>0</v>
      </c>
      <c r="IW19" s="110">
        <f t="shared" si="154"/>
        <v>0</v>
      </c>
      <c r="IX19" s="110">
        <f t="shared" si="155"/>
        <v>0</v>
      </c>
      <c r="IY19" s="110">
        <f t="shared" si="156"/>
        <v>-128</v>
      </c>
      <c r="IZ19" s="110">
        <f t="shared" si="157"/>
        <v>-128</v>
      </c>
      <c r="JA19" s="110">
        <f t="shared" si="158"/>
        <v>-128</v>
      </c>
      <c r="JB19" s="110">
        <f t="shared" si="159"/>
        <v>-128</v>
      </c>
      <c r="JC19" s="110">
        <f t="shared" si="160"/>
        <v>-128</v>
      </c>
      <c r="JD19" s="110">
        <f t="shared" si="161"/>
        <v>-128</v>
      </c>
      <c r="JE19" s="110">
        <f t="shared" si="162"/>
        <v>-128</v>
      </c>
      <c r="JF19" s="110">
        <f t="shared" si="163"/>
        <v>-128</v>
      </c>
      <c r="JG19" s="110">
        <f t="shared" si="164"/>
        <v>-128</v>
      </c>
      <c r="JH19" s="110">
        <f t="shared" si="165"/>
        <v>-128</v>
      </c>
      <c r="JI19" s="110">
        <f t="shared" si="166"/>
        <v>-128</v>
      </c>
      <c r="JJ19" s="110">
        <f t="shared" si="167"/>
        <v>-128</v>
      </c>
      <c r="JK19" s="110">
        <f t="shared" si="168"/>
        <v>0</v>
      </c>
      <c r="JL19" s="110">
        <f t="shared" si="169"/>
        <v>0</v>
      </c>
      <c r="JM19" s="110">
        <f t="shared" si="170"/>
        <v>0</v>
      </c>
      <c r="JN19" s="110">
        <f t="shared" si="171"/>
        <v>0</v>
      </c>
      <c r="JO19" s="110">
        <f t="shared" si="172"/>
        <v>0</v>
      </c>
      <c r="JP19" s="110">
        <f t="shared" si="173"/>
        <v>0</v>
      </c>
      <c r="JQ19" s="110">
        <f t="shared" si="174"/>
        <v>0</v>
      </c>
      <c r="JR19" s="110">
        <f t="shared" si="175"/>
        <v>0</v>
      </c>
      <c r="JS19" s="110">
        <f t="shared" si="176"/>
        <v>0</v>
      </c>
      <c r="JT19" s="110">
        <f t="shared" si="177"/>
        <v>0</v>
      </c>
      <c r="JV19" s="111">
        <f t="shared" si="178"/>
        <v>0</v>
      </c>
      <c r="JW19" s="110">
        <f t="shared" si="179"/>
        <v>0</v>
      </c>
      <c r="JX19" s="110">
        <f t="shared" si="180"/>
        <v>0</v>
      </c>
      <c r="JY19" s="110">
        <f t="shared" si="181"/>
        <v>0</v>
      </c>
      <c r="JZ19" s="110">
        <f t="shared" si="182"/>
        <v>0</v>
      </c>
      <c r="KA19" s="110">
        <f t="shared" si="183"/>
        <v>0</v>
      </c>
      <c r="KB19" s="110">
        <f t="shared" si="184"/>
        <v>0</v>
      </c>
      <c r="KC19" s="110">
        <f t="shared" si="185"/>
        <v>0</v>
      </c>
      <c r="KD19" s="110">
        <f t="shared" si="186"/>
        <v>0</v>
      </c>
      <c r="KE19" s="110">
        <f t="shared" si="187"/>
        <v>0</v>
      </c>
      <c r="KF19" s="110">
        <f t="shared" si="188"/>
        <v>0</v>
      </c>
      <c r="KG19" s="110">
        <f t="shared" si="189"/>
        <v>0</v>
      </c>
      <c r="KH19" s="110">
        <f t="shared" si="190"/>
        <v>0</v>
      </c>
      <c r="KI19" s="110">
        <f t="shared" si="191"/>
        <v>0</v>
      </c>
      <c r="KJ19" s="110">
        <f t="shared" si="192"/>
        <v>0</v>
      </c>
      <c r="KK19" s="110">
        <f t="shared" si="193"/>
        <v>0</v>
      </c>
      <c r="KL19" s="110">
        <f t="shared" si="194"/>
        <v>0</v>
      </c>
      <c r="KM19" s="110">
        <f t="shared" si="195"/>
        <v>0</v>
      </c>
      <c r="KN19" s="110">
        <f t="shared" si="196"/>
        <v>0</v>
      </c>
      <c r="KO19" s="110">
        <f t="shared" si="197"/>
        <v>0</v>
      </c>
      <c r="KP19" s="110">
        <f t="shared" si="198"/>
        <v>0</v>
      </c>
      <c r="KQ19" s="110">
        <f t="shared" si="199"/>
        <v>0</v>
      </c>
      <c r="KR19" s="110">
        <f t="shared" si="200"/>
        <v>0</v>
      </c>
      <c r="KS19" s="110">
        <f t="shared" si="201"/>
        <v>0</v>
      </c>
      <c r="KT19" s="110">
        <f t="shared" si="202"/>
        <v>0</v>
      </c>
      <c r="KV19" s="111">
        <f t="shared" si="203"/>
        <v>0</v>
      </c>
      <c r="KW19" s="110">
        <f t="shared" si="204"/>
        <v>0</v>
      </c>
      <c r="KX19" s="110">
        <f t="shared" si="205"/>
        <v>0</v>
      </c>
      <c r="KY19" s="110">
        <f t="shared" si="206"/>
        <v>0</v>
      </c>
      <c r="KZ19" s="110">
        <f t="shared" si="207"/>
        <v>0</v>
      </c>
      <c r="LA19" s="110">
        <f t="shared" si="208"/>
        <v>0</v>
      </c>
      <c r="LB19" s="110">
        <f t="shared" si="209"/>
        <v>0</v>
      </c>
      <c r="LC19" s="110">
        <f t="shared" si="210"/>
        <v>0</v>
      </c>
      <c r="LD19" s="110">
        <f t="shared" si="211"/>
        <v>0</v>
      </c>
      <c r="LE19" s="110">
        <f t="shared" si="212"/>
        <v>0</v>
      </c>
      <c r="LF19" s="110">
        <f t="shared" si="213"/>
        <v>0</v>
      </c>
      <c r="LG19" s="110">
        <f t="shared" si="214"/>
        <v>0</v>
      </c>
      <c r="LH19" s="110">
        <f t="shared" si="215"/>
        <v>0</v>
      </c>
      <c r="LI19" s="110">
        <f t="shared" si="216"/>
        <v>0</v>
      </c>
      <c r="LJ19" s="110">
        <f t="shared" si="217"/>
        <v>0</v>
      </c>
      <c r="LK19" s="110">
        <f t="shared" si="218"/>
        <v>0</v>
      </c>
      <c r="LL19" s="110">
        <f t="shared" si="219"/>
        <v>0</v>
      </c>
      <c r="LM19" s="110">
        <f t="shared" si="220"/>
        <v>0</v>
      </c>
      <c r="LN19" s="110">
        <f t="shared" si="221"/>
        <v>0</v>
      </c>
      <c r="LO19" s="110">
        <f t="shared" si="222"/>
        <v>0</v>
      </c>
      <c r="LP19" s="110">
        <f t="shared" si="223"/>
        <v>0</v>
      </c>
      <c r="LQ19" s="110">
        <f t="shared" si="224"/>
        <v>0</v>
      </c>
      <c r="LR19" s="110">
        <f t="shared" si="225"/>
        <v>0</v>
      </c>
      <c r="LS19" s="110">
        <f t="shared" si="226"/>
        <v>0</v>
      </c>
      <c r="LT19" s="110">
        <f t="shared" si="227"/>
        <v>0</v>
      </c>
      <c r="LV19" s="111"/>
      <c r="LW19" s="110">
        <f t="shared" si="228"/>
        <v>0</v>
      </c>
      <c r="LX19" s="110">
        <f t="shared" si="229"/>
        <v>0</v>
      </c>
      <c r="LY19" s="110">
        <f t="shared" si="230"/>
        <v>0</v>
      </c>
      <c r="LZ19" s="110">
        <f t="shared" si="231"/>
        <v>0</v>
      </c>
      <c r="MA19" s="110">
        <f t="shared" si="232"/>
        <v>0</v>
      </c>
      <c r="MB19" s="110">
        <f t="shared" si="233"/>
        <v>0</v>
      </c>
      <c r="MC19" s="110">
        <f t="shared" si="234"/>
        <v>0</v>
      </c>
      <c r="MD19" s="110">
        <f t="shared" si="235"/>
        <v>0</v>
      </c>
      <c r="ME19" s="110">
        <f t="shared" si="236"/>
        <v>0</v>
      </c>
      <c r="MF19" s="110">
        <f t="shared" si="237"/>
        <v>0</v>
      </c>
      <c r="MG19" s="110">
        <f t="shared" si="238"/>
        <v>0</v>
      </c>
      <c r="MH19" s="110">
        <f t="shared" si="239"/>
        <v>0</v>
      </c>
      <c r="MI19" s="110">
        <f t="shared" si="240"/>
        <v>0</v>
      </c>
      <c r="MJ19" s="110">
        <f t="shared" si="241"/>
        <v>0</v>
      </c>
      <c r="MK19" s="110">
        <f t="shared" si="242"/>
        <v>0</v>
      </c>
      <c r="ML19" s="110">
        <f t="shared" si="243"/>
        <v>0</v>
      </c>
      <c r="MM19" s="110">
        <f t="shared" si="244"/>
        <v>0</v>
      </c>
      <c r="MN19" s="110">
        <f t="shared" si="245"/>
        <v>0</v>
      </c>
      <c r="MO19" s="110">
        <f t="shared" si="246"/>
        <v>0</v>
      </c>
      <c r="MP19" s="110">
        <f t="shared" si="247"/>
        <v>0</v>
      </c>
      <c r="MQ19" s="110">
        <f t="shared" si="248"/>
        <v>0</v>
      </c>
      <c r="MR19" s="110">
        <f t="shared" si="249"/>
        <v>0</v>
      </c>
      <c r="MS19" s="110">
        <f t="shared" si="250"/>
        <v>0</v>
      </c>
      <c r="MT19" s="110">
        <f t="shared" si="251"/>
        <v>0</v>
      </c>
      <c r="MV19" s="114">
        <v>0</v>
      </c>
      <c r="MW19" s="114">
        <v>0</v>
      </c>
      <c r="MX19" s="114">
        <v>0</v>
      </c>
      <c r="MY19" s="114">
        <v>0</v>
      </c>
      <c r="MZ19" s="114">
        <v>0</v>
      </c>
      <c r="NB19" s="115" t="str">
        <v>N/A</v>
      </c>
      <c r="NC19" s="115" t="str">
        <v>N/A</v>
      </c>
      <c r="ND19" s="115" t="str">
        <v>N/A</v>
      </c>
      <c r="NE19" s="115" t="str">
        <v>N/A</v>
      </c>
      <c r="NF19" s="115" t="str">
        <v>N/A</v>
      </c>
    </row>
    <row r="20" spans="1:370" ht="13.5" x14ac:dyDescent="0.25">
      <c r="B20" s="8">
        <f t="shared" si="252"/>
        <v>17</v>
      </c>
      <c r="C20" s="7">
        <v>279</v>
      </c>
      <c r="D20" s="7">
        <v>279</v>
      </c>
      <c r="E20" s="7">
        <v>279</v>
      </c>
      <c r="F20" s="7">
        <v>279</v>
      </c>
      <c r="G20" s="7">
        <v>279</v>
      </c>
      <c r="H20" s="7">
        <v>279</v>
      </c>
      <c r="I20" s="7">
        <v>279</v>
      </c>
      <c r="J20" s="7">
        <v>279</v>
      </c>
      <c r="K20" s="7">
        <v>279</v>
      </c>
      <c r="L20" s="7">
        <v>279</v>
      </c>
      <c r="M20" s="7">
        <v>279</v>
      </c>
      <c r="N20" s="7">
        <v>279</v>
      </c>
      <c r="O20" s="7">
        <v>279</v>
      </c>
      <c r="P20" s="7">
        <v>279</v>
      </c>
      <c r="Q20" s="7">
        <v>279</v>
      </c>
      <c r="R20" s="7">
        <v>279</v>
      </c>
      <c r="S20" s="7">
        <v>279</v>
      </c>
      <c r="T20" s="7">
        <v>279</v>
      </c>
      <c r="U20" s="7">
        <v>279</v>
      </c>
      <c r="V20" s="7">
        <v>279</v>
      </c>
      <c r="W20" s="7">
        <v>279</v>
      </c>
      <c r="X20" s="7">
        <v>279</v>
      </c>
      <c r="Y20" s="7">
        <v>279</v>
      </c>
      <c r="Z20" s="7">
        <v>279</v>
      </c>
      <c r="AA20" s="7">
        <v>279</v>
      </c>
      <c r="AB20" s="7">
        <v>279</v>
      </c>
      <c r="AC20" s="7">
        <v>279</v>
      </c>
      <c r="AD20" s="7">
        <v>279</v>
      </c>
      <c r="AE20" s="7">
        <v>288.77</v>
      </c>
      <c r="AF20" s="7">
        <v>288.77</v>
      </c>
      <c r="AG20" s="7">
        <v>288.77</v>
      </c>
      <c r="AH20" s="7">
        <v>288.77</v>
      </c>
      <c r="AI20" s="7">
        <v>288.77</v>
      </c>
      <c r="AJ20" s="7">
        <v>288.77</v>
      </c>
      <c r="AK20" s="7">
        <v>288.77</v>
      </c>
      <c r="AL20" s="7">
        <v>288.77</v>
      </c>
      <c r="AM20" s="7">
        <v>288.77</v>
      </c>
      <c r="AN20" s="27">
        <v>17</v>
      </c>
      <c r="AP20" s="111"/>
      <c r="AQ20" s="110">
        <f t="shared" si="13"/>
        <v>0</v>
      </c>
      <c r="AR20" s="110">
        <f t="shared" si="14"/>
        <v>0</v>
      </c>
      <c r="AS20" s="110">
        <f t="shared" si="15"/>
        <v>0</v>
      </c>
      <c r="AT20" s="110">
        <f t="shared" si="16"/>
        <v>0</v>
      </c>
      <c r="AU20" s="110">
        <f t="shared" si="17"/>
        <v>0</v>
      </c>
      <c r="AV20" s="110">
        <f t="shared" si="18"/>
        <v>0</v>
      </c>
      <c r="AW20" s="110">
        <f t="shared" si="19"/>
        <v>0</v>
      </c>
      <c r="AX20" s="110">
        <f t="shared" si="20"/>
        <v>0</v>
      </c>
      <c r="AY20" s="110">
        <f t="shared" si="21"/>
        <v>0</v>
      </c>
      <c r="AZ20" s="110">
        <f t="shared" si="22"/>
        <v>9.7699999999999818</v>
      </c>
      <c r="BA20" s="110">
        <f t="shared" si="23"/>
        <v>0</v>
      </c>
      <c r="BB20" s="110">
        <f t="shared" si="24"/>
        <v>0</v>
      </c>
      <c r="BD20" s="109" cm="1">
        <f t="array" ref="BD20">+IFERROR(INDEX($C$3:$AM$3,MATCH(TRUE,INDEX($C20:$AM20&lt;&gt;0,0),0)),"N/A")</f>
        <v>44926</v>
      </c>
      <c r="BE20" s="112"/>
      <c r="BF20" s="1" t="str" cm="1">
        <f t="array" ref="BF20">+_xlfn.IFS(BT20&lt;&gt;0,BT$2,CH20&lt;&gt;0,CH$2,CV20&lt;&gt;0,CV$2,DJ20&lt;&gt;0,DJ$2,TRUE,"")</f>
        <v/>
      </c>
      <c r="BG20" s="1" t="str" cm="1">
        <f t="array" ref="BG20">+_xlfn.IFS(BU20&lt;&gt;0,BU$2,CI20&lt;&gt;0,CI$2,CW20&lt;&gt;0,CW$2,DK20&lt;&gt;0,DK$2,TRUE,"")</f>
        <v/>
      </c>
      <c r="BH20" s="1" t="str" cm="1">
        <f t="array" ref="BH20">+_xlfn.IFS(BV20&lt;&gt;0,BV$2,CJ20&lt;&gt;0,CJ$2,CX20&lt;&gt;0,CX$2,DL20&lt;&gt;0,DL$2,TRUE,"")</f>
        <v/>
      </c>
      <c r="BI20" s="1" t="str" cm="1">
        <f t="array" ref="BI20">+_xlfn.IFS(BW20&lt;&gt;0,BW$2,CK20&lt;&gt;0,CK$2,CY20&lt;&gt;0,CY$2,DM20&lt;&gt;0,DM$2,TRUE,"")</f>
        <v/>
      </c>
      <c r="BJ20" s="1" t="str" cm="1">
        <f t="array" ref="BJ20">+_xlfn.IFS(BX20&lt;&gt;0,BX$2,CL20&lt;&gt;0,CL$2,CZ20&lt;&gt;0,CZ$2,DN20&lt;&gt;0,DN$2,TRUE,"")</f>
        <v/>
      </c>
      <c r="BK20" s="1" t="str" cm="1">
        <f t="array" ref="BK20">+_xlfn.IFS(BY20&lt;&gt;0,BY$2,CM20&lt;&gt;0,CM$2,DA20&lt;&gt;0,DA$2,DO20&lt;&gt;0,DO$2,TRUE,"")</f>
        <v/>
      </c>
      <c r="BL20" s="1" t="str" cm="1">
        <f t="array" ref="BL20">+_xlfn.IFS(BZ20&lt;&gt;0,BZ$2,CN20&lt;&gt;0,CN$2,DB20&lt;&gt;0,DB$2,DP20&lt;&gt;0,DP$2,TRUE,"")</f>
        <v/>
      </c>
      <c r="BM20" s="1" t="str" cm="1">
        <f t="array" ref="BM20">+_xlfn.IFS(CA20&lt;&gt;0,CA$2,CO20&lt;&gt;0,CO$2,DC20&lt;&gt;0,DC$2,DQ20&lt;&gt;0,DQ$2,TRUE,"")</f>
        <v/>
      </c>
      <c r="BN20" s="1" t="str" cm="1">
        <f t="array" ref="BN20">+_xlfn.IFS(CB20&lt;&gt;0,CB$2,CP20&lt;&gt;0,CP$2,DD20&lt;&gt;0,DD$2,DR20&lt;&gt;0,DR$2,TRUE,"")</f>
        <v/>
      </c>
      <c r="BO20" s="1" t="str" cm="1">
        <f t="array" ref="BO20">+_xlfn.IFS(CC20&lt;&gt;0,CC$2,CQ20&lt;&gt;0,CQ$2,DE20&lt;&gt;0,DE$2,DS20&lt;&gt;0,DS$2,TRUE,"")</f>
        <v>Upsell</v>
      </c>
      <c r="BP20" s="1" t="str" cm="1">
        <f t="array" ref="BP20">+_xlfn.IFS(CD20&lt;&gt;0,CD$2,CR20&lt;&gt;0,CR$2,DF20&lt;&gt;0,DF$2,DT20&lt;&gt;0,DT$2,TRUE,"")</f>
        <v/>
      </c>
      <c r="BQ20" s="1" t="str" cm="1">
        <f t="array" ref="BQ20">+_xlfn.IFS(CE20&lt;&gt;0,CE$2,CS20&lt;&gt;0,CS$2,DG20&lt;&gt;0,DG$2,DU20&lt;&gt;0,DU$2,TRUE,"")</f>
        <v/>
      </c>
      <c r="BS20" s="111"/>
      <c r="BT20" s="110">
        <f t="shared" si="25"/>
        <v>0</v>
      </c>
      <c r="BU20" s="110">
        <f t="shared" si="26"/>
        <v>0</v>
      </c>
      <c r="BV20" s="110">
        <f t="shared" si="27"/>
        <v>0</v>
      </c>
      <c r="BW20" s="110">
        <f t="shared" si="28"/>
        <v>0</v>
      </c>
      <c r="BX20" s="110">
        <f t="shared" si="29"/>
        <v>0</v>
      </c>
      <c r="BY20" s="110">
        <f t="shared" si="30"/>
        <v>0</v>
      </c>
      <c r="BZ20" s="110">
        <f t="shared" si="31"/>
        <v>0</v>
      </c>
      <c r="CA20" s="110">
        <f t="shared" si="32"/>
        <v>0</v>
      </c>
      <c r="CB20" s="110">
        <f t="shared" si="33"/>
        <v>0</v>
      </c>
      <c r="CC20" s="110">
        <f t="shared" si="34"/>
        <v>0</v>
      </c>
      <c r="CD20" s="110">
        <f t="shared" si="35"/>
        <v>0</v>
      </c>
      <c r="CE20" s="110">
        <f t="shared" si="36"/>
        <v>0</v>
      </c>
      <c r="CG20" s="111"/>
      <c r="CH20" s="110">
        <f t="shared" si="37"/>
        <v>0</v>
      </c>
      <c r="CI20" s="110">
        <f t="shared" si="38"/>
        <v>0</v>
      </c>
      <c r="CJ20" s="110">
        <f t="shared" si="39"/>
        <v>0</v>
      </c>
      <c r="CK20" s="110">
        <f t="shared" si="40"/>
        <v>0</v>
      </c>
      <c r="CL20" s="110">
        <f t="shared" si="41"/>
        <v>0</v>
      </c>
      <c r="CM20" s="110">
        <f t="shared" si="42"/>
        <v>0</v>
      </c>
      <c r="CN20" s="110">
        <f t="shared" si="43"/>
        <v>0</v>
      </c>
      <c r="CO20" s="110">
        <f t="shared" si="44"/>
        <v>0</v>
      </c>
      <c r="CP20" s="110">
        <f t="shared" si="45"/>
        <v>0</v>
      </c>
      <c r="CQ20" s="110">
        <f t="shared" si="46"/>
        <v>0</v>
      </c>
      <c r="CR20" s="110">
        <f t="shared" si="47"/>
        <v>0</v>
      </c>
      <c r="CS20" s="110">
        <f t="shared" si="48"/>
        <v>0</v>
      </c>
      <c r="CU20" s="111"/>
      <c r="CV20" s="110">
        <f t="shared" si="49"/>
        <v>0</v>
      </c>
      <c r="CW20" s="110">
        <f t="shared" si="50"/>
        <v>0</v>
      </c>
      <c r="CX20" s="110">
        <f t="shared" si="51"/>
        <v>0</v>
      </c>
      <c r="CY20" s="110">
        <f t="shared" si="52"/>
        <v>0</v>
      </c>
      <c r="CZ20" s="110">
        <f t="shared" si="53"/>
        <v>0</v>
      </c>
      <c r="DA20" s="110">
        <f t="shared" si="54"/>
        <v>0</v>
      </c>
      <c r="DB20" s="110">
        <f t="shared" si="55"/>
        <v>0</v>
      </c>
      <c r="DC20" s="110">
        <f t="shared" si="56"/>
        <v>0</v>
      </c>
      <c r="DD20" s="110">
        <f t="shared" si="57"/>
        <v>0</v>
      </c>
      <c r="DE20" s="110">
        <f t="shared" si="58"/>
        <v>0</v>
      </c>
      <c r="DF20" s="110">
        <f t="shared" si="59"/>
        <v>0</v>
      </c>
      <c r="DG20" s="110">
        <f t="shared" si="60"/>
        <v>0</v>
      </c>
      <c r="DI20" s="111"/>
      <c r="DJ20" s="110">
        <f t="shared" si="61"/>
        <v>0</v>
      </c>
      <c r="DK20" s="110">
        <f t="shared" si="62"/>
        <v>0</v>
      </c>
      <c r="DL20" s="110">
        <f t="shared" si="63"/>
        <v>0</v>
      </c>
      <c r="DM20" s="110">
        <f t="shared" si="64"/>
        <v>0</v>
      </c>
      <c r="DN20" s="110">
        <f t="shared" si="65"/>
        <v>0</v>
      </c>
      <c r="DO20" s="110">
        <f t="shared" si="66"/>
        <v>0</v>
      </c>
      <c r="DP20" s="110">
        <f t="shared" si="67"/>
        <v>0</v>
      </c>
      <c r="DQ20" s="110">
        <f t="shared" si="68"/>
        <v>0</v>
      </c>
      <c r="DR20" s="110">
        <f t="shared" si="69"/>
        <v>0</v>
      </c>
      <c r="DS20" s="110">
        <f t="shared" si="70"/>
        <v>9.7699999999999818</v>
      </c>
      <c r="DT20" s="110">
        <f t="shared" si="71"/>
        <v>0</v>
      </c>
      <c r="DU20" s="110">
        <f t="shared" si="72"/>
        <v>0</v>
      </c>
      <c r="DW20" s="111"/>
      <c r="DX20" s="110">
        <f t="shared" si="73"/>
        <v>0</v>
      </c>
      <c r="DY20" s="110">
        <f t="shared" si="74"/>
        <v>0</v>
      </c>
      <c r="DZ20" s="110">
        <f t="shared" si="75"/>
        <v>0</v>
      </c>
      <c r="EA20" s="110">
        <f t="shared" si="76"/>
        <v>0</v>
      </c>
      <c r="EB20" s="110">
        <f t="shared" si="77"/>
        <v>0</v>
      </c>
      <c r="EC20" s="110">
        <f t="shared" si="78"/>
        <v>0</v>
      </c>
      <c r="ED20" s="110">
        <f t="shared" si="79"/>
        <v>0</v>
      </c>
      <c r="EE20" s="110">
        <f t="shared" si="80"/>
        <v>0</v>
      </c>
      <c r="EF20" s="110">
        <f t="shared" si="81"/>
        <v>0</v>
      </c>
      <c r="EG20" s="110">
        <f t="shared" si="82"/>
        <v>0</v>
      </c>
      <c r="EH20" s="110">
        <f t="shared" si="83"/>
        <v>0</v>
      </c>
      <c r="EI20" s="110">
        <f t="shared" si="84"/>
        <v>0</v>
      </c>
      <c r="EK20" s="111"/>
      <c r="EL20" s="110">
        <f t="shared" si="85"/>
        <v>0</v>
      </c>
      <c r="EM20" s="110">
        <f t="shared" si="86"/>
        <v>0</v>
      </c>
      <c r="EN20" s="110">
        <f t="shared" si="87"/>
        <v>9.7699999999999818</v>
      </c>
      <c r="EP20" s="109" cm="1">
        <f t="array" ref="EP20">+IFERROR(INDEX($C$3:$AM$3,MATCH(TRUE,INDEX($C20:$AM20&lt;&gt;0,0),0)),"N/A")</f>
        <v>44926</v>
      </c>
      <c r="EQ20" s="112"/>
      <c r="ER20" s="1" t="str" cm="1">
        <f t="array" ref="ER20">+_xlfn.IFS(EW20&lt;&gt;0,EW$2,FB20&lt;&gt;0,FB$2,FG20&lt;&gt;0,FG$2,FL20&lt;&gt;0,FL$2,TRUE,"")</f>
        <v/>
      </c>
      <c r="ES20" s="1" t="str" cm="1">
        <f t="array" ref="ES20">+_xlfn.IFS(EX20&lt;&gt;0,EX$2,FC20&lt;&gt;0,FC$2,FH20&lt;&gt;0,FH$2,FM20&lt;&gt;0,FM$2,TRUE,"")</f>
        <v/>
      </c>
      <c r="ET20" s="1" t="str" cm="1">
        <f t="array" ref="ET20">+_xlfn.IFS(EY20&lt;&gt;0,EY$2,FD20&lt;&gt;0,FD$2,FI20&lt;&gt;0,FI$2,FN20&lt;&gt;0,FN$2,TRUE,"")</f>
        <v>Upsell</v>
      </c>
      <c r="EV20" s="111"/>
      <c r="EW20" s="110">
        <f t="shared" si="88"/>
        <v>0</v>
      </c>
      <c r="EX20" s="110">
        <f t="shared" si="89"/>
        <v>0</v>
      </c>
      <c r="EY20" s="110">
        <f t="shared" si="90"/>
        <v>0</v>
      </c>
      <c r="FA20" s="111"/>
      <c r="FB20" s="110">
        <f t="shared" si="91"/>
        <v>0</v>
      </c>
      <c r="FC20" s="110">
        <f t="shared" si="92"/>
        <v>0</v>
      </c>
      <c r="FD20" s="110">
        <f t="shared" si="93"/>
        <v>0</v>
      </c>
      <c r="FF20" s="111"/>
      <c r="FG20" s="110">
        <f t="shared" si="94"/>
        <v>0</v>
      </c>
      <c r="FH20" s="110">
        <f t="shared" si="95"/>
        <v>0</v>
      </c>
      <c r="FI20" s="110">
        <f t="shared" si="96"/>
        <v>0</v>
      </c>
      <c r="FK20" s="111"/>
      <c r="FL20" s="110">
        <f t="shared" si="97"/>
        <v>0</v>
      </c>
      <c r="FM20" s="110">
        <f t="shared" si="98"/>
        <v>0</v>
      </c>
      <c r="FN20" s="110">
        <f t="shared" si="99"/>
        <v>9.7699999999999818</v>
      </c>
      <c r="FP20" s="111"/>
      <c r="FQ20" s="110">
        <f t="shared" si="100"/>
        <v>0</v>
      </c>
      <c r="FR20" s="110">
        <f t="shared" si="101"/>
        <v>0</v>
      </c>
      <c r="FS20" s="110">
        <f t="shared" si="102"/>
        <v>0</v>
      </c>
      <c r="FU20" s="111">
        <f t="shared" si="103"/>
        <v>0</v>
      </c>
      <c r="FV20" s="110">
        <f t="shared" si="104"/>
        <v>0</v>
      </c>
      <c r="FW20" s="110">
        <f t="shared" si="105"/>
        <v>0</v>
      </c>
      <c r="FX20" s="110">
        <f t="shared" si="106"/>
        <v>0</v>
      </c>
      <c r="FY20" s="110">
        <f t="shared" si="107"/>
        <v>0</v>
      </c>
      <c r="FZ20" s="110">
        <f t="shared" si="108"/>
        <v>0</v>
      </c>
      <c r="GA20" s="110">
        <f t="shared" si="109"/>
        <v>0</v>
      </c>
      <c r="GB20" s="110">
        <f t="shared" si="110"/>
        <v>0</v>
      </c>
      <c r="GC20" s="110">
        <f t="shared" si="111"/>
        <v>0</v>
      </c>
      <c r="GD20" s="110">
        <f t="shared" si="112"/>
        <v>0</v>
      </c>
      <c r="GE20" s="110">
        <f t="shared" si="113"/>
        <v>0</v>
      </c>
      <c r="GF20" s="110">
        <f t="shared" si="114"/>
        <v>0</v>
      </c>
      <c r="GG20" s="110">
        <f t="shared" si="115"/>
        <v>0</v>
      </c>
      <c r="GH20" s="110">
        <f t="shared" si="116"/>
        <v>0</v>
      </c>
      <c r="GI20" s="110">
        <f t="shared" si="117"/>
        <v>0</v>
      </c>
      <c r="GJ20" s="110">
        <f t="shared" si="118"/>
        <v>0</v>
      </c>
      <c r="GK20" s="110">
        <f t="shared" si="119"/>
        <v>9.7699999999999818</v>
      </c>
      <c r="GL20" s="110">
        <f t="shared" si="120"/>
        <v>9.7699999999999818</v>
      </c>
      <c r="GM20" s="110">
        <f t="shared" si="121"/>
        <v>9.7699999999999818</v>
      </c>
      <c r="GN20" s="110">
        <f t="shared" si="122"/>
        <v>9.7699999999999818</v>
      </c>
      <c r="GO20" s="110">
        <f t="shared" si="123"/>
        <v>9.7699999999999818</v>
      </c>
      <c r="GP20" s="110">
        <f t="shared" si="124"/>
        <v>9.7699999999999818</v>
      </c>
      <c r="GQ20" s="110">
        <f t="shared" si="125"/>
        <v>9.7699999999999818</v>
      </c>
      <c r="GR20" s="110">
        <f t="shared" si="126"/>
        <v>9.7699999999999818</v>
      </c>
      <c r="GS20" s="110">
        <f t="shared" si="127"/>
        <v>9.7699999999999818</v>
      </c>
      <c r="GU20" s="109" cm="1">
        <f t="array" ref="GU20">+IFERROR(INDEX($C$3:$AM$3,MATCH(TRUE,INDEX($C20:$AM20&lt;&gt;0,0),0)),"N/A")</f>
        <v>44926</v>
      </c>
      <c r="GV20" s="112" t="str" cm="1">
        <f t="array" ref="GV20">+_xlfn.IFS(HV20&lt;&gt;0,HV$2,IV20&lt;&gt;0,IV$2,JV20&lt;&gt;0,JV$2,KV20&lt;&gt;0,KV$2,TRUE,"")</f>
        <v/>
      </c>
      <c r="GW20" s="1" t="str" cm="1">
        <f t="array" ref="GW20">+_xlfn.IFS(HW20&lt;&gt;0,HW$2,IW20&lt;&gt;0,IW$2,JW20&lt;&gt;0,JW$2,KW20&lt;&gt;0,KW$2,TRUE,"")</f>
        <v/>
      </c>
      <c r="GX20" s="1" t="str" cm="1">
        <f t="array" ref="GX20">+_xlfn.IFS(HX20&lt;&gt;0,HX$2,IX20&lt;&gt;0,IX$2,JX20&lt;&gt;0,JX$2,KX20&lt;&gt;0,KX$2,TRUE,"")</f>
        <v/>
      </c>
      <c r="GY20" s="1" t="str" cm="1">
        <f t="array" ref="GY20">+_xlfn.IFS(HY20&lt;&gt;0,HY$2,IY20&lt;&gt;0,IY$2,JY20&lt;&gt;0,JY$2,KY20&lt;&gt;0,KY$2,TRUE,"")</f>
        <v/>
      </c>
      <c r="GZ20" s="1" t="str" cm="1">
        <f t="array" ref="GZ20">+_xlfn.IFS(HZ20&lt;&gt;0,HZ$2,IZ20&lt;&gt;0,IZ$2,JZ20&lt;&gt;0,JZ$2,KZ20&lt;&gt;0,KZ$2,TRUE,"")</f>
        <v/>
      </c>
      <c r="HA20" s="1" t="str" cm="1">
        <f t="array" ref="HA20">+_xlfn.IFS(IA20&lt;&gt;0,IA$2,JA20&lt;&gt;0,JA$2,KA20&lt;&gt;0,KA$2,LA20&lt;&gt;0,LA$2,TRUE,"")</f>
        <v/>
      </c>
      <c r="HB20" s="1" t="str" cm="1">
        <f t="array" ref="HB20">+_xlfn.IFS(IB20&lt;&gt;0,IB$2,JB20&lt;&gt;0,JB$2,KB20&lt;&gt;0,KB$2,LB20&lt;&gt;0,LB$2,TRUE,"")</f>
        <v/>
      </c>
      <c r="HC20" s="1" t="str" cm="1">
        <f t="array" ref="HC20">+_xlfn.IFS(IC20&lt;&gt;0,IC$2,JC20&lt;&gt;0,JC$2,KC20&lt;&gt;0,KC$2,LC20&lt;&gt;0,LC$2,TRUE,"")</f>
        <v/>
      </c>
      <c r="HD20" s="1" t="str" cm="1">
        <f t="array" ref="HD20">+_xlfn.IFS(ID20&lt;&gt;0,ID$2,JD20&lt;&gt;0,JD$2,KD20&lt;&gt;0,KD$2,LD20&lt;&gt;0,LD$2,TRUE,"")</f>
        <v/>
      </c>
      <c r="HE20" s="1" t="str" cm="1">
        <f t="array" ref="HE20">+_xlfn.IFS(IE20&lt;&gt;0,IE$2,JE20&lt;&gt;0,JE$2,KE20&lt;&gt;0,KE$2,LE20&lt;&gt;0,LE$2,TRUE,"")</f>
        <v/>
      </c>
      <c r="HF20" s="1" t="str" cm="1">
        <f t="array" ref="HF20">+_xlfn.IFS(IF20&lt;&gt;0,IF$2,JF20&lt;&gt;0,JF$2,KF20&lt;&gt;0,KF$2,LF20&lt;&gt;0,LF$2,TRUE,"")</f>
        <v/>
      </c>
      <c r="HG20" s="1" t="str" cm="1">
        <f t="array" ref="HG20">+_xlfn.IFS(IG20&lt;&gt;0,IG$2,JG20&lt;&gt;0,JG$2,KG20&lt;&gt;0,KG$2,LG20&lt;&gt;0,LG$2,TRUE,"")</f>
        <v/>
      </c>
      <c r="HH20" s="1" t="str" cm="1">
        <f t="array" ref="HH20">+_xlfn.IFS(IH20&lt;&gt;0,IH$2,JH20&lt;&gt;0,JH$2,KH20&lt;&gt;0,KH$2,LH20&lt;&gt;0,LH$2,TRUE,"")</f>
        <v/>
      </c>
      <c r="HI20" s="1" t="str" cm="1">
        <f t="array" ref="HI20">+_xlfn.IFS(II20&lt;&gt;0,II$2,JI20&lt;&gt;0,JI$2,KI20&lt;&gt;0,KI$2,LI20&lt;&gt;0,LI$2,TRUE,"")</f>
        <v/>
      </c>
      <c r="HJ20" s="1" t="str" cm="1">
        <f t="array" ref="HJ20">+_xlfn.IFS(IJ20&lt;&gt;0,IJ$2,JJ20&lt;&gt;0,JJ$2,KJ20&lt;&gt;0,KJ$2,LJ20&lt;&gt;0,LJ$2,TRUE,"")</f>
        <v/>
      </c>
      <c r="HK20" s="1" t="str" cm="1">
        <f t="array" ref="HK20">+_xlfn.IFS(IK20&lt;&gt;0,IK$2,JK20&lt;&gt;0,JK$2,KK20&lt;&gt;0,KK$2,LK20&lt;&gt;0,LK$2,TRUE,"")</f>
        <v/>
      </c>
      <c r="HL20" s="1" t="str" cm="1">
        <f t="array" ref="HL20">+_xlfn.IFS(IL20&lt;&gt;0,IL$2,JL20&lt;&gt;0,JL$2,KL20&lt;&gt;0,KL$2,LL20&lt;&gt;0,LL$2,TRUE,"")</f>
        <v>Upsell</v>
      </c>
      <c r="HM20" s="1" t="str" cm="1">
        <f t="array" ref="HM20">+_xlfn.IFS(IM20&lt;&gt;0,IM$2,JM20&lt;&gt;0,JM$2,KM20&lt;&gt;0,KM$2,LM20&lt;&gt;0,LM$2,TRUE,"")</f>
        <v>Upsell</v>
      </c>
      <c r="HN20" s="1" t="str" cm="1">
        <f t="array" ref="HN20">+_xlfn.IFS(IN20&lt;&gt;0,IN$2,JN20&lt;&gt;0,JN$2,KN20&lt;&gt;0,KN$2,LN20&lt;&gt;0,LN$2,TRUE,"")</f>
        <v>Upsell</v>
      </c>
      <c r="HO20" s="1" t="str" cm="1">
        <f t="array" ref="HO20">+_xlfn.IFS(IO20&lt;&gt;0,IO$2,JO20&lt;&gt;0,JO$2,KO20&lt;&gt;0,KO$2,LO20&lt;&gt;0,LO$2,TRUE,"")</f>
        <v>Upsell</v>
      </c>
      <c r="HP20" s="1" t="str" cm="1">
        <f t="array" ref="HP20">+_xlfn.IFS(IP20&lt;&gt;0,IP$2,JP20&lt;&gt;0,JP$2,KP20&lt;&gt;0,KP$2,LP20&lt;&gt;0,LP$2,TRUE,"")</f>
        <v>Upsell</v>
      </c>
      <c r="HQ20" s="1" t="str" cm="1">
        <f t="array" ref="HQ20">+_xlfn.IFS(IQ20&lt;&gt;0,IQ$2,JQ20&lt;&gt;0,JQ$2,KQ20&lt;&gt;0,KQ$2,LQ20&lt;&gt;0,LQ$2,TRUE,"")</f>
        <v>Upsell</v>
      </c>
      <c r="HR20" s="1" t="str" cm="1">
        <f t="array" ref="HR20">+_xlfn.IFS(IR20&lt;&gt;0,IR$2,JR20&lt;&gt;0,JR$2,KR20&lt;&gt;0,KR$2,LR20&lt;&gt;0,LR$2,TRUE,"")</f>
        <v>Upsell</v>
      </c>
      <c r="HS20" s="1" t="str" cm="1">
        <f t="array" ref="HS20">+_xlfn.IFS(IS20&lt;&gt;0,IS$2,JS20&lt;&gt;0,JS$2,KS20&lt;&gt;0,KS$2,LS20&lt;&gt;0,LS$2,TRUE,"")</f>
        <v>Upsell</v>
      </c>
      <c r="HT20" s="1" t="str" cm="1">
        <f t="array" ref="HT20">+_xlfn.IFS(IT20&lt;&gt;0,IT$2,JT20&lt;&gt;0,JT$2,KT20&lt;&gt;0,KT$2,LT20&lt;&gt;0,LT$2,TRUE,"")</f>
        <v>Upsell</v>
      </c>
      <c r="HV20" s="111">
        <f t="shared" si="128"/>
        <v>0</v>
      </c>
      <c r="HW20" s="110">
        <f t="shared" si="129"/>
        <v>0</v>
      </c>
      <c r="HX20" s="110">
        <f t="shared" si="130"/>
        <v>0</v>
      </c>
      <c r="HY20" s="110">
        <f t="shared" si="131"/>
        <v>0</v>
      </c>
      <c r="HZ20" s="110">
        <f t="shared" si="132"/>
        <v>0</v>
      </c>
      <c r="IA20" s="110">
        <f t="shared" si="133"/>
        <v>0</v>
      </c>
      <c r="IB20" s="110">
        <f t="shared" si="134"/>
        <v>0</v>
      </c>
      <c r="IC20" s="110">
        <f t="shared" si="135"/>
        <v>0</v>
      </c>
      <c r="ID20" s="110">
        <f t="shared" si="136"/>
        <v>0</v>
      </c>
      <c r="IE20" s="110">
        <f t="shared" si="137"/>
        <v>0</v>
      </c>
      <c r="IF20" s="110">
        <f t="shared" si="138"/>
        <v>0</v>
      </c>
      <c r="IG20" s="110">
        <f t="shared" si="139"/>
        <v>0</v>
      </c>
      <c r="IH20" s="110">
        <f t="shared" si="140"/>
        <v>0</v>
      </c>
      <c r="II20" s="110">
        <f t="shared" si="141"/>
        <v>0</v>
      </c>
      <c r="IJ20" s="110">
        <f t="shared" si="142"/>
        <v>0</v>
      </c>
      <c r="IK20" s="110">
        <f t="shared" si="143"/>
        <v>0</v>
      </c>
      <c r="IL20" s="110">
        <f t="shared" si="144"/>
        <v>0</v>
      </c>
      <c r="IM20" s="110">
        <f t="shared" si="145"/>
        <v>0</v>
      </c>
      <c r="IN20" s="110">
        <f t="shared" si="146"/>
        <v>0</v>
      </c>
      <c r="IO20" s="110">
        <f t="shared" si="147"/>
        <v>0</v>
      </c>
      <c r="IP20" s="110">
        <f t="shared" si="148"/>
        <v>0</v>
      </c>
      <c r="IQ20" s="110">
        <f t="shared" si="149"/>
        <v>0</v>
      </c>
      <c r="IR20" s="110">
        <f t="shared" si="150"/>
        <v>0</v>
      </c>
      <c r="IS20" s="110">
        <f t="shared" si="151"/>
        <v>0</v>
      </c>
      <c r="IT20" s="110">
        <f t="shared" si="152"/>
        <v>0</v>
      </c>
      <c r="IV20" s="111">
        <f t="shared" si="153"/>
        <v>0</v>
      </c>
      <c r="IW20" s="110">
        <f t="shared" si="154"/>
        <v>0</v>
      </c>
      <c r="IX20" s="110">
        <f t="shared" si="155"/>
        <v>0</v>
      </c>
      <c r="IY20" s="110">
        <f t="shared" si="156"/>
        <v>0</v>
      </c>
      <c r="IZ20" s="110">
        <f t="shared" si="157"/>
        <v>0</v>
      </c>
      <c r="JA20" s="110">
        <f t="shared" si="158"/>
        <v>0</v>
      </c>
      <c r="JB20" s="110">
        <f t="shared" si="159"/>
        <v>0</v>
      </c>
      <c r="JC20" s="110">
        <f t="shared" si="160"/>
        <v>0</v>
      </c>
      <c r="JD20" s="110">
        <f t="shared" si="161"/>
        <v>0</v>
      </c>
      <c r="JE20" s="110">
        <f t="shared" si="162"/>
        <v>0</v>
      </c>
      <c r="JF20" s="110">
        <f t="shared" si="163"/>
        <v>0</v>
      </c>
      <c r="JG20" s="110">
        <f t="shared" si="164"/>
        <v>0</v>
      </c>
      <c r="JH20" s="110">
        <f t="shared" si="165"/>
        <v>0</v>
      </c>
      <c r="JI20" s="110">
        <f t="shared" si="166"/>
        <v>0</v>
      </c>
      <c r="JJ20" s="110">
        <f t="shared" si="167"/>
        <v>0</v>
      </c>
      <c r="JK20" s="110">
        <f t="shared" si="168"/>
        <v>0</v>
      </c>
      <c r="JL20" s="110">
        <f t="shared" si="169"/>
        <v>0</v>
      </c>
      <c r="JM20" s="110">
        <f t="shared" si="170"/>
        <v>0</v>
      </c>
      <c r="JN20" s="110">
        <f t="shared" si="171"/>
        <v>0</v>
      </c>
      <c r="JO20" s="110">
        <f t="shared" si="172"/>
        <v>0</v>
      </c>
      <c r="JP20" s="110">
        <f t="shared" si="173"/>
        <v>0</v>
      </c>
      <c r="JQ20" s="110">
        <f t="shared" si="174"/>
        <v>0</v>
      </c>
      <c r="JR20" s="110">
        <f t="shared" si="175"/>
        <v>0</v>
      </c>
      <c r="JS20" s="110">
        <f t="shared" si="176"/>
        <v>0</v>
      </c>
      <c r="JT20" s="110">
        <f t="shared" si="177"/>
        <v>0</v>
      </c>
      <c r="JV20" s="111">
        <f t="shared" si="178"/>
        <v>0</v>
      </c>
      <c r="JW20" s="110">
        <f t="shared" si="179"/>
        <v>0</v>
      </c>
      <c r="JX20" s="110">
        <f t="shared" si="180"/>
        <v>0</v>
      </c>
      <c r="JY20" s="110">
        <f t="shared" si="181"/>
        <v>0</v>
      </c>
      <c r="JZ20" s="110">
        <f t="shared" si="182"/>
        <v>0</v>
      </c>
      <c r="KA20" s="110">
        <f t="shared" si="183"/>
        <v>0</v>
      </c>
      <c r="KB20" s="110">
        <f t="shared" si="184"/>
        <v>0</v>
      </c>
      <c r="KC20" s="110">
        <f t="shared" si="185"/>
        <v>0</v>
      </c>
      <c r="KD20" s="110">
        <f t="shared" si="186"/>
        <v>0</v>
      </c>
      <c r="KE20" s="110">
        <f t="shared" si="187"/>
        <v>0</v>
      </c>
      <c r="KF20" s="110">
        <f t="shared" si="188"/>
        <v>0</v>
      </c>
      <c r="KG20" s="110">
        <f t="shared" si="189"/>
        <v>0</v>
      </c>
      <c r="KH20" s="110">
        <f t="shared" si="190"/>
        <v>0</v>
      </c>
      <c r="KI20" s="110">
        <f t="shared" si="191"/>
        <v>0</v>
      </c>
      <c r="KJ20" s="110">
        <f t="shared" si="192"/>
        <v>0</v>
      </c>
      <c r="KK20" s="110">
        <f t="shared" si="193"/>
        <v>0</v>
      </c>
      <c r="KL20" s="110">
        <f t="shared" si="194"/>
        <v>0</v>
      </c>
      <c r="KM20" s="110">
        <f t="shared" si="195"/>
        <v>0</v>
      </c>
      <c r="KN20" s="110">
        <f t="shared" si="196"/>
        <v>0</v>
      </c>
      <c r="KO20" s="110">
        <f t="shared" si="197"/>
        <v>0</v>
      </c>
      <c r="KP20" s="110">
        <f t="shared" si="198"/>
        <v>0</v>
      </c>
      <c r="KQ20" s="110">
        <f t="shared" si="199"/>
        <v>0</v>
      </c>
      <c r="KR20" s="110">
        <f t="shared" si="200"/>
        <v>0</v>
      </c>
      <c r="KS20" s="110">
        <f t="shared" si="201"/>
        <v>0</v>
      </c>
      <c r="KT20" s="110">
        <f t="shared" si="202"/>
        <v>0</v>
      </c>
      <c r="KV20" s="111">
        <f t="shared" si="203"/>
        <v>0</v>
      </c>
      <c r="KW20" s="110">
        <f t="shared" si="204"/>
        <v>0</v>
      </c>
      <c r="KX20" s="110">
        <f t="shared" si="205"/>
        <v>0</v>
      </c>
      <c r="KY20" s="110">
        <f t="shared" si="206"/>
        <v>0</v>
      </c>
      <c r="KZ20" s="110">
        <f t="shared" si="207"/>
        <v>0</v>
      </c>
      <c r="LA20" s="110">
        <f t="shared" si="208"/>
        <v>0</v>
      </c>
      <c r="LB20" s="110">
        <f t="shared" si="209"/>
        <v>0</v>
      </c>
      <c r="LC20" s="110">
        <f t="shared" si="210"/>
        <v>0</v>
      </c>
      <c r="LD20" s="110">
        <f t="shared" si="211"/>
        <v>0</v>
      </c>
      <c r="LE20" s="110">
        <f t="shared" si="212"/>
        <v>0</v>
      </c>
      <c r="LF20" s="110">
        <f t="shared" si="213"/>
        <v>0</v>
      </c>
      <c r="LG20" s="110">
        <f t="shared" si="214"/>
        <v>0</v>
      </c>
      <c r="LH20" s="110">
        <f t="shared" si="215"/>
        <v>0</v>
      </c>
      <c r="LI20" s="110">
        <f t="shared" si="216"/>
        <v>0</v>
      </c>
      <c r="LJ20" s="110">
        <f t="shared" si="217"/>
        <v>0</v>
      </c>
      <c r="LK20" s="110">
        <f t="shared" si="218"/>
        <v>0</v>
      </c>
      <c r="LL20" s="110">
        <f t="shared" si="219"/>
        <v>9.7699999999999818</v>
      </c>
      <c r="LM20" s="110">
        <f t="shared" si="220"/>
        <v>9.7699999999999818</v>
      </c>
      <c r="LN20" s="110">
        <f t="shared" si="221"/>
        <v>9.7699999999999818</v>
      </c>
      <c r="LO20" s="110">
        <f t="shared" si="222"/>
        <v>9.7699999999999818</v>
      </c>
      <c r="LP20" s="110">
        <f t="shared" si="223"/>
        <v>9.7699999999999818</v>
      </c>
      <c r="LQ20" s="110">
        <f t="shared" si="224"/>
        <v>9.7699999999999818</v>
      </c>
      <c r="LR20" s="110">
        <f t="shared" si="225"/>
        <v>9.7699999999999818</v>
      </c>
      <c r="LS20" s="110">
        <f t="shared" si="226"/>
        <v>9.7699999999999818</v>
      </c>
      <c r="LT20" s="110">
        <f t="shared" si="227"/>
        <v>9.7699999999999818</v>
      </c>
      <c r="LV20" s="111"/>
      <c r="LW20" s="110">
        <f t="shared" si="228"/>
        <v>0</v>
      </c>
      <c r="LX20" s="110">
        <f t="shared" si="229"/>
        <v>0</v>
      </c>
      <c r="LY20" s="110">
        <f t="shared" si="230"/>
        <v>0</v>
      </c>
      <c r="LZ20" s="110">
        <f t="shared" si="231"/>
        <v>0</v>
      </c>
      <c r="MA20" s="110">
        <f t="shared" si="232"/>
        <v>0</v>
      </c>
      <c r="MB20" s="110">
        <f t="shared" si="233"/>
        <v>0</v>
      </c>
      <c r="MC20" s="110">
        <f t="shared" si="234"/>
        <v>0</v>
      </c>
      <c r="MD20" s="110">
        <f t="shared" si="235"/>
        <v>0</v>
      </c>
      <c r="ME20" s="110">
        <f t="shared" si="236"/>
        <v>0</v>
      </c>
      <c r="MF20" s="110">
        <f t="shared" si="237"/>
        <v>0</v>
      </c>
      <c r="MG20" s="110">
        <f t="shared" si="238"/>
        <v>0</v>
      </c>
      <c r="MH20" s="110">
        <f t="shared" si="239"/>
        <v>0</v>
      </c>
      <c r="MI20" s="110">
        <f t="shared" si="240"/>
        <v>0</v>
      </c>
      <c r="MJ20" s="110">
        <f t="shared" si="241"/>
        <v>0</v>
      </c>
      <c r="MK20" s="110">
        <f t="shared" si="242"/>
        <v>0</v>
      </c>
      <c r="ML20" s="110">
        <f t="shared" si="243"/>
        <v>0</v>
      </c>
      <c r="MM20" s="110">
        <f t="shared" si="244"/>
        <v>0</v>
      </c>
      <c r="MN20" s="110">
        <f t="shared" si="245"/>
        <v>0</v>
      </c>
      <c r="MO20" s="110">
        <f t="shared" si="246"/>
        <v>0</v>
      </c>
      <c r="MP20" s="110">
        <f t="shared" si="247"/>
        <v>0</v>
      </c>
      <c r="MQ20" s="110">
        <f t="shared" si="248"/>
        <v>0</v>
      </c>
      <c r="MR20" s="110">
        <f t="shared" si="249"/>
        <v>0</v>
      </c>
      <c r="MS20" s="110">
        <f t="shared" si="250"/>
        <v>0</v>
      </c>
      <c r="MT20" s="110">
        <f t="shared" si="251"/>
        <v>0</v>
      </c>
      <c r="MV20" s="114">
        <v>288.77</v>
      </c>
      <c r="MW20" s="114">
        <v>0</v>
      </c>
      <c r="MX20" s="114">
        <v>9.7699999999999818</v>
      </c>
      <c r="MY20" s="114">
        <v>0</v>
      </c>
      <c r="MZ20" s="114">
        <v>0</v>
      </c>
      <c r="NB20" s="115">
        <v>31</v>
      </c>
      <c r="NC20" s="115" t="str">
        <v>N/A</v>
      </c>
      <c r="ND20" s="115">
        <v>24</v>
      </c>
      <c r="NE20" s="115" t="str">
        <v>N/A</v>
      </c>
      <c r="NF20" s="115" t="str">
        <v>N/A</v>
      </c>
    </row>
    <row r="21" spans="1:370" ht="13.5" x14ac:dyDescent="0.25">
      <c r="B21" s="8">
        <f t="shared" si="252"/>
        <v>18</v>
      </c>
      <c r="C21" s="7">
        <v>245.65</v>
      </c>
      <c r="D21" s="7">
        <v>245.65</v>
      </c>
      <c r="E21" s="7">
        <v>245.65</v>
      </c>
      <c r="F21" s="7">
        <v>245.65</v>
      </c>
      <c r="G21" s="7">
        <v>245.65</v>
      </c>
      <c r="H21" s="7">
        <v>245.65</v>
      </c>
      <c r="I21" s="7">
        <v>245.65</v>
      </c>
      <c r="J21" s="7">
        <v>245.65</v>
      </c>
      <c r="K21" s="7">
        <v>245.65</v>
      </c>
      <c r="L21" s="7">
        <v>245.65</v>
      </c>
      <c r="M21" s="7">
        <v>245.65</v>
      </c>
      <c r="N21" s="7">
        <v>245.65</v>
      </c>
      <c r="O21" s="7">
        <v>245.65</v>
      </c>
      <c r="P21" s="7">
        <v>245.65</v>
      </c>
      <c r="Q21" s="7">
        <v>245.65</v>
      </c>
      <c r="R21" s="7">
        <v>245.65</v>
      </c>
      <c r="S21" s="7">
        <v>245.65</v>
      </c>
      <c r="T21" s="7">
        <v>245.65</v>
      </c>
      <c r="U21" s="7">
        <v>245.65</v>
      </c>
      <c r="V21" s="7">
        <v>245.65</v>
      </c>
      <c r="W21" s="7">
        <v>245.65</v>
      </c>
      <c r="X21" s="7">
        <v>245.65</v>
      </c>
      <c r="Y21" s="7">
        <v>245.65</v>
      </c>
      <c r="Z21" s="7">
        <v>245.65</v>
      </c>
      <c r="AA21" s="7">
        <v>245.65</v>
      </c>
      <c r="AB21" s="7">
        <v>245.65</v>
      </c>
      <c r="AC21" s="7">
        <v>245.65</v>
      </c>
      <c r="AD21" s="7">
        <v>254.25</v>
      </c>
      <c r="AE21" s="7">
        <v>254.25</v>
      </c>
      <c r="AF21" s="7">
        <v>254.25</v>
      </c>
      <c r="AG21" s="7">
        <v>254.25</v>
      </c>
      <c r="AH21" s="7">
        <v>254.25</v>
      </c>
      <c r="AI21" s="7">
        <v>254.25</v>
      </c>
      <c r="AJ21" s="7">
        <v>254.25</v>
      </c>
      <c r="AK21" s="7">
        <v>254.25</v>
      </c>
      <c r="AL21" s="7">
        <v>254.25</v>
      </c>
      <c r="AM21" s="7">
        <v>254.25</v>
      </c>
      <c r="AN21" s="27">
        <v>18</v>
      </c>
      <c r="AP21" s="111"/>
      <c r="AQ21" s="110">
        <f t="shared" si="13"/>
        <v>0</v>
      </c>
      <c r="AR21" s="110">
        <f t="shared" si="14"/>
        <v>0</v>
      </c>
      <c r="AS21" s="110">
        <f t="shared" si="15"/>
        <v>0</v>
      </c>
      <c r="AT21" s="110">
        <f t="shared" si="16"/>
        <v>0</v>
      </c>
      <c r="AU21" s="110">
        <f t="shared" si="17"/>
        <v>0</v>
      </c>
      <c r="AV21" s="110">
        <f t="shared" si="18"/>
        <v>0</v>
      </c>
      <c r="AW21" s="110">
        <f t="shared" si="19"/>
        <v>0</v>
      </c>
      <c r="AX21" s="110">
        <f t="shared" si="20"/>
        <v>0</v>
      </c>
      <c r="AY21" s="110">
        <f t="shared" si="21"/>
        <v>8.5999999999999943</v>
      </c>
      <c r="AZ21" s="110">
        <f t="shared" si="22"/>
        <v>0</v>
      </c>
      <c r="BA21" s="110">
        <f t="shared" si="23"/>
        <v>0</v>
      </c>
      <c r="BB21" s="110">
        <f t="shared" si="24"/>
        <v>0</v>
      </c>
      <c r="BD21" s="109" cm="1">
        <f t="array" ref="BD21">+IFERROR(INDEX($C$3:$AM$3,MATCH(TRUE,INDEX($C21:$AM21&lt;&gt;0,0),0)),"N/A")</f>
        <v>44926</v>
      </c>
      <c r="BE21" s="112"/>
      <c r="BF21" s="1" t="str" cm="1">
        <f t="array" ref="BF21">+_xlfn.IFS(BT21&lt;&gt;0,BT$2,CH21&lt;&gt;0,CH$2,CV21&lt;&gt;0,CV$2,DJ21&lt;&gt;0,DJ$2,TRUE,"")</f>
        <v/>
      </c>
      <c r="BG21" s="1" t="str" cm="1">
        <f t="array" ref="BG21">+_xlfn.IFS(BU21&lt;&gt;0,BU$2,CI21&lt;&gt;0,CI$2,CW21&lt;&gt;0,CW$2,DK21&lt;&gt;0,DK$2,TRUE,"")</f>
        <v/>
      </c>
      <c r="BH21" s="1" t="str" cm="1">
        <f t="array" ref="BH21">+_xlfn.IFS(BV21&lt;&gt;0,BV$2,CJ21&lt;&gt;0,CJ$2,CX21&lt;&gt;0,CX$2,DL21&lt;&gt;0,DL$2,TRUE,"")</f>
        <v/>
      </c>
      <c r="BI21" s="1" t="str" cm="1">
        <f t="array" ref="BI21">+_xlfn.IFS(BW21&lt;&gt;0,BW$2,CK21&lt;&gt;0,CK$2,CY21&lt;&gt;0,CY$2,DM21&lt;&gt;0,DM$2,TRUE,"")</f>
        <v/>
      </c>
      <c r="BJ21" s="1" t="str" cm="1">
        <f t="array" ref="BJ21">+_xlfn.IFS(BX21&lt;&gt;0,BX$2,CL21&lt;&gt;0,CL$2,CZ21&lt;&gt;0,CZ$2,DN21&lt;&gt;0,DN$2,TRUE,"")</f>
        <v/>
      </c>
      <c r="BK21" s="1" t="str" cm="1">
        <f t="array" ref="BK21">+_xlfn.IFS(BY21&lt;&gt;0,BY$2,CM21&lt;&gt;0,CM$2,DA21&lt;&gt;0,DA$2,DO21&lt;&gt;0,DO$2,TRUE,"")</f>
        <v/>
      </c>
      <c r="BL21" s="1" t="str" cm="1">
        <f t="array" ref="BL21">+_xlfn.IFS(BZ21&lt;&gt;0,BZ$2,CN21&lt;&gt;0,CN$2,DB21&lt;&gt;0,DB$2,DP21&lt;&gt;0,DP$2,TRUE,"")</f>
        <v/>
      </c>
      <c r="BM21" s="1" t="str" cm="1">
        <f t="array" ref="BM21">+_xlfn.IFS(CA21&lt;&gt;0,CA$2,CO21&lt;&gt;0,CO$2,DC21&lt;&gt;0,DC$2,DQ21&lt;&gt;0,DQ$2,TRUE,"")</f>
        <v/>
      </c>
      <c r="BN21" s="1" t="str" cm="1">
        <f t="array" ref="BN21">+_xlfn.IFS(CB21&lt;&gt;0,CB$2,CP21&lt;&gt;0,CP$2,DD21&lt;&gt;0,DD$2,DR21&lt;&gt;0,DR$2,TRUE,"")</f>
        <v>Upsell</v>
      </c>
      <c r="BO21" s="1" t="str" cm="1">
        <f t="array" ref="BO21">+_xlfn.IFS(CC21&lt;&gt;0,CC$2,CQ21&lt;&gt;0,CQ$2,DE21&lt;&gt;0,DE$2,DS21&lt;&gt;0,DS$2,TRUE,"")</f>
        <v/>
      </c>
      <c r="BP21" s="1" t="str" cm="1">
        <f t="array" ref="BP21">+_xlfn.IFS(CD21&lt;&gt;0,CD$2,CR21&lt;&gt;0,CR$2,DF21&lt;&gt;0,DF$2,DT21&lt;&gt;0,DT$2,TRUE,"")</f>
        <v/>
      </c>
      <c r="BQ21" s="1" t="str" cm="1">
        <f t="array" ref="BQ21">+_xlfn.IFS(CE21&lt;&gt;0,CE$2,CS21&lt;&gt;0,CS$2,DG21&lt;&gt;0,DG$2,DU21&lt;&gt;0,DU$2,TRUE,"")</f>
        <v/>
      </c>
      <c r="BS21" s="111"/>
      <c r="BT21" s="110">
        <f t="shared" si="25"/>
        <v>0</v>
      </c>
      <c r="BU21" s="110">
        <f t="shared" si="26"/>
        <v>0</v>
      </c>
      <c r="BV21" s="110">
        <f t="shared" si="27"/>
        <v>0</v>
      </c>
      <c r="BW21" s="110">
        <f t="shared" si="28"/>
        <v>0</v>
      </c>
      <c r="BX21" s="110">
        <f t="shared" si="29"/>
        <v>0</v>
      </c>
      <c r="BY21" s="110">
        <f t="shared" si="30"/>
        <v>0</v>
      </c>
      <c r="BZ21" s="110">
        <f t="shared" si="31"/>
        <v>0</v>
      </c>
      <c r="CA21" s="110">
        <f t="shared" si="32"/>
        <v>0</v>
      </c>
      <c r="CB21" s="110">
        <f t="shared" si="33"/>
        <v>0</v>
      </c>
      <c r="CC21" s="110">
        <f t="shared" si="34"/>
        <v>0</v>
      </c>
      <c r="CD21" s="110">
        <f t="shared" si="35"/>
        <v>0</v>
      </c>
      <c r="CE21" s="110">
        <f t="shared" si="36"/>
        <v>0</v>
      </c>
      <c r="CG21" s="111"/>
      <c r="CH21" s="110">
        <f t="shared" si="37"/>
        <v>0</v>
      </c>
      <c r="CI21" s="110">
        <f t="shared" si="38"/>
        <v>0</v>
      </c>
      <c r="CJ21" s="110">
        <f t="shared" si="39"/>
        <v>0</v>
      </c>
      <c r="CK21" s="110">
        <f t="shared" si="40"/>
        <v>0</v>
      </c>
      <c r="CL21" s="110">
        <f t="shared" si="41"/>
        <v>0</v>
      </c>
      <c r="CM21" s="110">
        <f t="shared" si="42"/>
        <v>0</v>
      </c>
      <c r="CN21" s="110">
        <f t="shared" si="43"/>
        <v>0</v>
      </c>
      <c r="CO21" s="110">
        <f t="shared" si="44"/>
        <v>0</v>
      </c>
      <c r="CP21" s="110">
        <f t="shared" si="45"/>
        <v>0</v>
      </c>
      <c r="CQ21" s="110">
        <f t="shared" si="46"/>
        <v>0</v>
      </c>
      <c r="CR21" s="110">
        <f t="shared" si="47"/>
        <v>0</v>
      </c>
      <c r="CS21" s="110">
        <f t="shared" si="48"/>
        <v>0</v>
      </c>
      <c r="CU21" s="111"/>
      <c r="CV21" s="110">
        <f t="shared" si="49"/>
        <v>0</v>
      </c>
      <c r="CW21" s="110">
        <f t="shared" si="50"/>
        <v>0</v>
      </c>
      <c r="CX21" s="110">
        <f t="shared" si="51"/>
        <v>0</v>
      </c>
      <c r="CY21" s="110">
        <f t="shared" si="52"/>
        <v>0</v>
      </c>
      <c r="CZ21" s="110">
        <f t="shared" si="53"/>
        <v>0</v>
      </c>
      <c r="DA21" s="110">
        <f t="shared" si="54"/>
        <v>0</v>
      </c>
      <c r="DB21" s="110">
        <f t="shared" si="55"/>
        <v>0</v>
      </c>
      <c r="DC21" s="110">
        <f t="shared" si="56"/>
        <v>0</v>
      </c>
      <c r="DD21" s="110">
        <f t="shared" si="57"/>
        <v>0</v>
      </c>
      <c r="DE21" s="110">
        <f t="shared" si="58"/>
        <v>0</v>
      </c>
      <c r="DF21" s="110">
        <f t="shared" si="59"/>
        <v>0</v>
      </c>
      <c r="DG21" s="110">
        <f t="shared" si="60"/>
        <v>0</v>
      </c>
      <c r="DI21" s="111"/>
      <c r="DJ21" s="110">
        <f t="shared" si="61"/>
        <v>0</v>
      </c>
      <c r="DK21" s="110">
        <f t="shared" si="62"/>
        <v>0</v>
      </c>
      <c r="DL21" s="110">
        <f t="shared" si="63"/>
        <v>0</v>
      </c>
      <c r="DM21" s="110">
        <f t="shared" si="64"/>
        <v>0</v>
      </c>
      <c r="DN21" s="110">
        <f t="shared" si="65"/>
        <v>0</v>
      </c>
      <c r="DO21" s="110">
        <f t="shared" si="66"/>
        <v>0</v>
      </c>
      <c r="DP21" s="110">
        <f t="shared" si="67"/>
        <v>0</v>
      </c>
      <c r="DQ21" s="110">
        <f t="shared" si="68"/>
        <v>0</v>
      </c>
      <c r="DR21" s="110">
        <f t="shared" si="69"/>
        <v>8.5999999999999943</v>
      </c>
      <c r="DS21" s="110">
        <f t="shared" si="70"/>
        <v>0</v>
      </c>
      <c r="DT21" s="110">
        <f t="shared" si="71"/>
        <v>0</v>
      </c>
      <c r="DU21" s="110">
        <f t="shared" si="72"/>
        <v>0</v>
      </c>
      <c r="DW21" s="111"/>
      <c r="DX21" s="110">
        <f t="shared" si="73"/>
        <v>0</v>
      </c>
      <c r="DY21" s="110">
        <f t="shared" si="74"/>
        <v>0</v>
      </c>
      <c r="DZ21" s="110">
        <f t="shared" si="75"/>
        <v>0</v>
      </c>
      <c r="EA21" s="110">
        <f t="shared" si="76"/>
        <v>0</v>
      </c>
      <c r="EB21" s="110">
        <f t="shared" si="77"/>
        <v>0</v>
      </c>
      <c r="EC21" s="110">
        <f t="shared" si="78"/>
        <v>0</v>
      </c>
      <c r="ED21" s="110">
        <f t="shared" si="79"/>
        <v>0</v>
      </c>
      <c r="EE21" s="110">
        <f t="shared" si="80"/>
        <v>0</v>
      </c>
      <c r="EF21" s="110">
        <f t="shared" si="81"/>
        <v>0</v>
      </c>
      <c r="EG21" s="110">
        <f t="shared" si="82"/>
        <v>0</v>
      </c>
      <c r="EH21" s="110">
        <f t="shared" si="83"/>
        <v>0</v>
      </c>
      <c r="EI21" s="110">
        <f t="shared" si="84"/>
        <v>0</v>
      </c>
      <c r="EK21" s="111"/>
      <c r="EL21" s="110">
        <f t="shared" si="85"/>
        <v>0</v>
      </c>
      <c r="EM21" s="110">
        <f t="shared" si="86"/>
        <v>0</v>
      </c>
      <c r="EN21" s="110">
        <f t="shared" si="87"/>
        <v>8.5999999999999943</v>
      </c>
      <c r="EP21" s="109" cm="1">
        <f t="array" ref="EP21">+IFERROR(INDEX($C$3:$AM$3,MATCH(TRUE,INDEX($C21:$AM21&lt;&gt;0,0),0)),"N/A")</f>
        <v>44926</v>
      </c>
      <c r="EQ21" s="112"/>
      <c r="ER21" s="1" t="str" cm="1">
        <f t="array" ref="ER21">+_xlfn.IFS(EW21&lt;&gt;0,EW$2,FB21&lt;&gt;0,FB$2,FG21&lt;&gt;0,FG$2,FL21&lt;&gt;0,FL$2,TRUE,"")</f>
        <v/>
      </c>
      <c r="ES21" s="1" t="str" cm="1">
        <f t="array" ref="ES21">+_xlfn.IFS(EX21&lt;&gt;0,EX$2,FC21&lt;&gt;0,FC$2,FH21&lt;&gt;0,FH$2,FM21&lt;&gt;0,FM$2,TRUE,"")</f>
        <v/>
      </c>
      <c r="ET21" s="1" t="str" cm="1">
        <f t="array" ref="ET21">+_xlfn.IFS(EY21&lt;&gt;0,EY$2,FD21&lt;&gt;0,FD$2,FI21&lt;&gt;0,FI$2,FN21&lt;&gt;0,FN$2,TRUE,"")</f>
        <v>Upsell</v>
      </c>
      <c r="EV21" s="111"/>
      <c r="EW21" s="110">
        <f t="shared" si="88"/>
        <v>0</v>
      </c>
      <c r="EX21" s="110">
        <f t="shared" si="89"/>
        <v>0</v>
      </c>
      <c r="EY21" s="110">
        <f t="shared" si="90"/>
        <v>0</v>
      </c>
      <c r="FA21" s="111"/>
      <c r="FB21" s="110">
        <f t="shared" si="91"/>
        <v>0</v>
      </c>
      <c r="FC21" s="110">
        <f t="shared" si="92"/>
        <v>0</v>
      </c>
      <c r="FD21" s="110">
        <f t="shared" si="93"/>
        <v>0</v>
      </c>
      <c r="FF21" s="111"/>
      <c r="FG21" s="110">
        <f t="shared" si="94"/>
        <v>0</v>
      </c>
      <c r="FH21" s="110">
        <f t="shared" si="95"/>
        <v>0</v>
      </c>
      <c r="FI21" s="110">
        <f t="shared" si="96"/>
        <v>0</v>
      </c>
      <c r="FK21" s="111"/>
      <c r="FL21" s="110">
        <f t="shared" si="97"/>
        <v>0</v>
      </c>
      <c r="FM21" s="110">
        <f t="shared" si="98"/>
        <v>0</v>
      </c>
      <c r="FN21" s="110">
        <f t="shared" si="99"/>
        <v>8.5999999999999943</v>
      </c>
      <c r="FP21" s="111"/>
      <c r="FQ21" s="110">
        <f t="shared" si="100"/>
        <v>0</v>
      </c>
      <c r="FR21" s="110">
        <f t="shared" si="101"/>
        <v>0</v>
      </c>
      <c r="FS21" s="110">
        <f t="shared" si="102"/>
        <v>0</v>
      </c>
      <c r="FU21" s="111">
        <f t="shared" si="103"/>
        <v>0</v>
      </c>
      <c r="FV21" s="110">
        <f t="shared" si="104"/>
        <v>0</v>
      </c>
      <c r="FW21" s="110">
        <f t="shared" si="105"/>
        <v>0</v>
      </c>
      <c r="FX21" s="110">
        <f t="shared" si="106"/>
        <v>0</v>
      </c>
      <c r="FY21" s="110">
        <f t="shared" si="107"/>
        <v>0</v>
      </c>
      <c r="FZ21" s="110">
        <f t="shared" si="108"/>
        <v>0</v>
      </c>
      <c r="GA21" s="110">
        <f t="shared" si="109"/>
        <v>0</v>
      </c>
      <c r="GB21" s="110">
        <f t="shared" si="110"/>
        <v>0</v>
      </c>
      <c r="GC21" s="110">
        <f t="shared" si="111"/>
        <v>0</v>
      </c>
      <c r="GD21" s="110">
        <f t="shared" si="112"/>
        <v>0</v>
      </c>
      <c r="GE21" s="110">
        <f t="shared" si="113"/>
        <v>0</v>
      </c>
      <c r="GF21" s="110">
        <f t="shared" si="114"/>
        <v>0</v>
      </c>
      <c r="GG21" s="110">
        <f t="shared" si="115"/>
        <v>0</v>
      </c>
      <c r="GH21" s="110">
        <f t="shared" si="116"/>
        <v>0</v>
      </c>
      <c r="GI21" s="110">
        <f t="shared" si="117"/>
        <v>0</v>
      </c>
      <c r="GJ21" s="110">
        <f t="shared" si="118"/>
        <v>8.5999999999999943</v>
      </c>
      <c r="GK21" s="110">
        <f t="shared" si="119"/>
        <v>8.5999999999999943</v>
      </c>
      <c r="GL21" s="110">
        <f t="shared" si="120"/>
        <v>8.5999999999999943</v>
      </c>
      <c r="GM21" s="110">
        <f t="shared" si="121"/>
        <v>8.5999999999999943</v>
      </c>
      <c r="GN21" s="110">
        <f t="shared" si="122"/>
        <v>8.5999999999999943</v>
      </c>
      <c r="GO21" s="110">
        <f t="shared" si="123"/>
        <v>8.5999999999999943</v>
      </c>
      <c r="GP21" s="110">
        <f t="shared" si="124"/>
        <v>8.5999999999999943</v>
      </c>
      <c r="GQ21" s="110">
        <f t="shared" si="125"/>
        <v>8.5999999999999943</v>
      </c>
      <c r="GR21" s="110">
        <f t="shared" si="126"/>
        <v>8.5999999999999943</v>
      </c>
      <c r="GS21" s="110">
        <f t="shared" si="127"/>
        <v>8.5999999999999943</v>
      </c>
      <c r="GU21" s="109" cm="1">
        <f t="array" ref="GU21">+IFERROR(INDEX($C$3:$AM$3,MATCH(TRUE,INDEX($C21:$AM21&lt;&gt;0,0),0)),"N/A")</f>
        <v>44926</v>
      </c>
      <c r="GV21" s="112" t="str" cm="1">
        <f t="array" ref="GV21">+_xlfn.IFS(HV21&lt;&gt;0,HV$2,IV21&lt;&gt;0,IV$2,JV21&lt;&gt;0,JV$2,KV21&lt;&gt;0,KV$2,TRUE,"")</f>
        <v/>
      </c>
      <c r="GW21" s="1" t="str" cm="1">
        <f t="array" ref="GW21">+_xlfn.IFS(HW21&lt;&gt;0,HW$2,IW21&lt;&gt;0,IW$2,JW21&lt;&gt;0,JW$2,KW21&lt;&gt;0,KW$2,TRUE,"")</f>
        <v/>
      </c>
      <c r="GX21" s="1" t="str" cm="1">
        <f t="array" ref="GX21">+_xlfn.IFS(HX21&lt;&gt;0,HX$2,IX21&lt;&gt;0,IX$2,JX21&lt;&gt;0,JX$2,KX21&lt;&gt;0,KX$2,TRUE,"")</f>
        <v/>
      </c>
      <c r="GY21" s="1" t="str" cm="1">
        <f t="array" ref="GY21">+_xlfn.IFS(HY21&lt;&gt;0,HY$2,IY21&lt;&gt;0,IY$2,JY21&lt;&gt;0,JY$2,KY21&lt;&gt;0,KY$2,TRUE,"")</f>
        <v/>
      </c>
      <c r="GZ21" s="1" t="str" cm="1">
        <f t="array" ref="GZ21">+_xlfn.IFS(HZ21&lt;&gt;0,HZ$2,IZ21&lt;&gt;0,IZ$2,JZ21&lt;&gt;0,JZ$2,KZ21&lt;&gt;0,KZ$2,TRUE,"")</f>
        <v/>
      </c>
      <c r="HA21" s="1" t="str" cm="1">
        <f t="array" ref="HA21">+_xlfn.IFS(IA21&lt;&gt;0,IA$2,JA21&lt;&gt;0,JA$2,KA21&lt;&gt;0,KA$2,LA21&lt;&gt;0,LA$2,TRUE,"")</f>
        <v/>
      </c>
      <c r="HB21" s="1" t="str" cm="1">
        <f t="array" ref="HB21">+_xlfn.IFS(IB21&lt;&gt;0,IB$2,JB21&lt;&gt;0,JB$2,KB21&lt;&gt;0,KB$2,LB21&lt;&gt;0,LB$2,TRUE,"")</f>
        <v/>
      </c>
      <c r="HC21" s="1" t="str" cm="1">
        <f t="array" ref="HC21">+_xlfn.IFS(IC21&lt;&gt;0,IC$2,JC21&lt;&gt;0,JC$2,KC21&lt;&gt;0,KC$2,LC21&lt;&gt;0,LC$2,TRUE,"")</f>
        <v/>
      </c>
      <c r="HD21" s="1" t="str" cm="1">
        <f t="array" ref="HD21">+_xlfn.IFS(ID21&lt;&gt;0,ID$2,JD21&lt;&gt;0,JD$2,KD21&lt;&gt;0,KD$2,LD21&lt;&gt;0,LD$2,TRUE,"")</f>
        <v/>
      </c>
      <c r="HE21" s="1" t="str" cm="1">
        <f t="array" ref="HE21">+_xlfn.IFS(IE21&lt;&gt;0,IE$2,JE21&lt;&gt;0,JE$2,KE21&lt;&gt;0,KE$2,LE21&lt;&gt;0,LE$2,TRUE,"")</f>
        <v/>
      </c>
      <c r="HF21" s="1" t="str" cm="1">
        <f t="array" ref="HF21">+_xlfn.IFS(IF21&lt;&gt;0,IF$2,JF21&lt;&gt;0,JF$2,KF21&lt;&gt;0,KF$2,LF21&lt;&gt;0,LF$2,TRUE,"")</f>
        <v/>
      </c>
      <c r="HG21" s="1" t="str" cm="1">
        <f t="array" ref="HG21">+_xlfn.IFS(IG21&lt;&gt;0,IG$2,JG21&lt;&gt;0,JG$2,KG21&lt;&gt;0,KG$2,LG21&lt;&gt;0,LG$2,TRUE,"")</f>
        <v/>
      </c>
      <c r="HH21" s="1" t="str" cm="1">
        <f t="array" ref="HH21">+_xlfn.IFS(IH21&lt;&gt;0,IH$2,JH21&lt;&gt;0,JH$2,KH21&lt;&gt;0,KH$2,LH21&lt;&gt;0,LH$2,TRUE,"")</f>
        <v/>
      </c>
      <c r="HI21" s="1" t="str" cm="1">
        <f t="array" ref="HI21">+_xlfn.IFS(II21&lt;&gt;0,II$2,JI21&lt;&gt;0,JI$2,KI21&lt;&gt;0,KI$2,LI21&lt;&gt;0,LI$2,TRUE,"")</f>
        <v/>
      </c>
      <c r="HJ21" s="1" t="str" cm="1">
        <f t="array" ref="HJ21">+_xlfn.IFS(IJ21&lt;&gt;0,IJ$2,JJ21&lt;&gt;0,JJ$2,KJ21&lt;&gt;0,KJ$2,LJ21&lt;&gt;0,LJ$2,TRUE,"")</f>
        <v/>
      </c>
      <c r="HK21" s="1" t="str" cm="1">
        <f t="array" ref="HK21">+_xlfn.IFS(IK21&lt;&gt;0,IK$2,JK21&lt;&gt;0,JK$2,KK21&lt;&gt;0,KK$2,LK21&lt;&gt;0,LK$2,TRUE,"")</f>
        <v>Upsell</v>
      </c>
      <c r="HL21" s="1" t="str" cm="1">
        <f t="array" ref="HL21">+_xlfn.IFS(IL21&lt;&gt;0,IL$2,JL21&lt;&gt;0,JL$2,KL21&lt;&gt;0,KL$2,LL21&lt;&gt;0,LL$2,TRUE,"")</f>
        <v>Upsell</v>
      </c>
      <c r="HM21" s="1" t="str" cm="1">
        <f t="array" ref="HM21">+_xlfn.IFS(IM21&lt;&gt;0,IM$2,JM21&lt;&gt;0,JM$2,KM21&lt;&gt;0,KM$2,LM21&lt;&gt;0,LM$2,TRUE,"")</f>
        <v>Upsell</v>
      </c>
      <c r="HN21" s="1" t="str" cm="1">
        <f t="array" ref="HN21">+_xlfn.IFS(IN21&lt;&gt;0,IN$2,JN21&lt;&gt;0,JN$2,KN21&lt;&gt;0,KN$2,LN21&lt;&gt;0,LN$2,TRUE,"")</f>
        <v>Upsell</v>
      </c>
      <c r="HO21" s="1" t="str" cm="1">
        <f t="array" ref="HO21">+_xlfn.IFS(IO21&lt;&gt;0,IO$2,JO21&lt;&gt;0,JO$2,KO21&lt;&gt;0,KO$2,LO21&lt;&gt;0,LO$2,TRUE,"")</f>
        <v>Upsell</v>
      </c>
      <c r="HP21" s="1" t="str" cm="1">
        <f t="array" ref="HP21">+_xlfn.IFS(IP21&lt;&gt;0,IP$2,JP21&lt;&gt;0,JP$2,KP21&lt;&gt;0,KP$2,LP21&lt;&gt;0,LP$2,TRUE,"")</f>
        <v>Upsell</v>
      </c>
      <c r="HQ21" s="1" t="str" cm="1">
        <f t="array" ref="HQ21">+_xlfn.IFS(IQ21&lt;&gt;0,IQ$2,JQ21&lt;&gt;0,JQ$2,KQ21&lt;&gt;0,KQ$2,LQ21&lt;&gt;0,LQ$2,TRUE,"")</f>
        <v>Upsell</v>
      </c>
      <c r="HR21" s="1" t="str" cm="1">
        <f t="array" ref="HR21">+_xlfn.IFS(IR21&lt;&gt;0,IR$2,JR21&lt;&gt;0,JR$2,KR21&lt;&gt;0,KR$2,LR21&lt;&gt;0,LR$2,TRUE,"")</f>
        <v>Upsell</v>
      </c>
      <c r="HS21" s="1" t="str" cm="1">
        <f t="array" ref="HS21">+_xlfn.IFS(IS21&lt;&gt;0,IS$2,JS21&lt;&gt;0,JS$2,KS21&lt;&gt;0,KS$2,LS21&lt;&gt;0,LS$2,TRUE,"")</f>
        <v>Upsell</v>
      </c>
      <c r="HT21" s="1" t="str" cm="1">
        <f t="array" ref="HT21">+_xlfn.IFS(IT21&lt;&gt;0,IT$2,JT21&lt;&gt;0,JT$2,KT21&lt;&gt;0,KT$2,LT21&lt;&gt;0,LT$2,TRUE,"")</f>
        <v>Upsell</v>
      </c>
      <c r="HV21" s="111">
        <f t="shared" si="128"/>
        <v>0</v>
      </c>
      <c r="HW21" s="110">
        <f t="shared" si="129"/>
        <v>0</v>
      </c>
      <c r="HX21" s="110">
        <f t="shared" si="130"/>
        <v>0</v>
      </c>
      <c r="HY21" s="110">
        <f t="shared" si="131"/>
        <v>0</v>
      </c>
      <c r="HZ21" s="110">
        <f t="shared" si="132"/>
        <v>0</v>
      </c>
      <c r="IA21" s="110">
        <f t="shared" si="133"/>
        <v>0</v>
      </c>
      <c r="IB21" s="110">
        <f t="shared" si="134"/>
        <v>0</v>
      </c>
      <c r="IC21" s="110">
        <f t="shared" si="135"/>
        <v>0</v>
      </c>
      <c r="ID21" s="110">
        <f t="shared" si="136"/>
        <v>0</v>
      </c>
      <c r="IE21" s="110">
        <f t="shared" si="137"/>
        <v>0</v>
      </c>
      <c r="IF21" s="110">
        <f t="shared" si="138"/>
        <v>0</v>
      </c>
      <c r="IG21" s="110">
        <f t="shared" si="139"/>
        <v>0</v>
      </c>
      <c r="IH21" s="110">
        <f t="shared" si="140"/>
        <v>0</v>
      </c>
      <c r="II21" s="110">
        <f t="shared" si="141"/>
        <v>0</v>
      </c>
      <c r="IJ21" s="110">
        <f t="shared" si="142"/>
        <v>0</v>
      </c>
      <c r="IK21" s="110">
        <f t="shared" si="143"/>
        <v>0</v>
      </c>
      <c r="IL21" s="110">
        <f t="shared" si="144"/>
        <v>0</v>
      </c>
      <c r="IM21" s="110">
        <f t="shared" si="145"/>
        <v>0</v>
      </c>
      <c r="IN21" s="110">
        <f t="shared" si="146"/>
        <v>0</v>
      </c>
      <c r="IO21" s="110">
        <f t="shared" si="147"/>
        <v>0</v>
      </c>
      <c r="IP21" s="110">
        <f t="shared" si="148"/>
        <v>0</v>
      </c>
      <c r="IQ21" s="110">
        <f t="shared" si="149"/>
        <v>0</v>
      </c>
      <c r="IR21" s="110">
        <f t="shared" si="150"/>
        <v>0</v>
      </c>
      <c r="IS21" s="110">
        <f t="shared" si="151"/>
        <v>0</v>
      </c>
      <c r="IT21" s="110">
        <f t="shared" si="152"/>
        <v>0</v>
      </c>
      <c r="IV21" s="111">
        <f t="shared" si="153"/>
        <v>0</v>
      </c>
      <c r="IW21" s="110">
        <f t="shared" si="154"/>
        <v>0</v>
      </c>
      <c r="IX21" s="110">
        <f t="shared" si="155"/>
        <v>0</v>
      </c>
      <c r="IY21" s="110">
        <f t="shared" si="156"/>
        <v>0</v>
      </c>
      <c r="IZ21" s="110">
        <f t="shared" si="157"/>
        <v>0</v>
      </c>
      <c r="JA21" s="110">
        <f t="shared" si="158"/>
        <v>0</v>
      </c>
      <c r="JB21" s="110">
        <f t="shared" si="159"/>
        <v>0</v>
      </c>
      <c r="JC21" s="110">
        <f t="shared" si="160"/>
        <v>0</v>
      </c>
      <c r="JD21" s="110">
        <f t="shared" si="161"/>
        <v>0</v>
      </c>
      <c r="JE21" s="110">
        <f t="shared" si="162"/>
        <v>0</v>
      </c>
      <c r="JF21" s="110">
        <f t="shared" si="163"/>
        <v>0</v>
      </c>
      <c r="JG21" s="110">
        <f t="shared" si="164"/>
        <v>0</v>
      </c>
      <c r="JH21" s="110">
        <f t="shared" si="165"/>
        <v>0</v>
      </c>
      <c r="JI21" s="110">
        <f t="shared" si="166"/>
        <v>0</v>
      </c>
      <c r="JJ21" s="110">
        <f t="shared" si="167"/>
        <v>0</v>
      </c>
      <c r="JK21" s="110">
        <f t="shared" si="168"/>
        <v>0</v>
      </c>
      <c r="JL21" s="110">
        <f t="shared" si="169"/>
        <v>0</v>
      </c>
      <c r="JM21" s="110">
        <f t="shared" si="170"/>
        <v>0</v>
      </c>
      <c r="JN21" s="110">
        <f t="shared" si="171"/>
        <v>0</v>
      </c>
      <c r="JO21" s="110">
        <f t="shared" si="172"/>
        <v>0</v>
      </c>
      <c r="JP21" s="110">
        <f t="shared" si="173"/>
        <v>0</v>
      </c>
      <c r="JQ21" s="110">
        <f t="shared" si="174"/>
        <v>0</v>
      </c>
      <c r="JR21" s="110">
        <f t="shared" si="175"/>
        <v>0</v>
      </c>
      <c r="JS21" s="110">
        <f t="shared" si="176"/>
        <v>0</v>
      </c>
      <c r="JT21" s="110">
        <f t="shared" si="177"/>
        <v>0</v>
      </c>
      <c r="JV21" s="111">
        <f t="shared" si="178"/>
        <v>0</v>
      </c>
      <c r="JW21" s="110">
        <f t="shared" si="179"/>
        <v>0</v>
      </c>
      <c r="JX21" s="110">
        <f t="shared" si="180"/>
        <v>0</v>
      </c>
      <c r="JY21" s="110">
        <f t="shared" si="181"/>
        <v>0</v>
      </c>
      <c r="JZ21" s="110">
        <f t="shared" si="182"/>
        <v>0</v>
      </c>
      <c r="KA21" s="110">
        <f t="shared" si="183"/>
        <v>0</v>
      </c>
      <c r="KB21" s="110">
        <f t="shared" si="184"/>
        <v>0</v>
      </c>
      <c r="KC21" s="110">
        <f t="shared" si="185"/>
        <v>0</v>
      </c>
      <c r="KD21" s="110">
        <f t="shared" si="186"/>
        <v>0</v>
      </c>
      <c r="KE21" s="110">
        <f t="shared" si="187"/>
        <v>0</v>
      </c>
      <c r="KF21" s="110">
        <f t="shared" si="188"/>
        <v>0</v>
      </c>
      <c r="KG21" s="110">
        <f t="shared" si="189"/>
        <v>0</v>
      </c>
      <c r="KH21" s="110">
        <f t="shared" si="190"/>
        <v>0</v>
      </c>
      <c r="KI21" s="110">
        <f t="shared" si="191"/>
        <v>0</v>
      </c>
      <c r="KJ21" s="110">
        <f t="shared" si="192"/>
        <v>0</v>
      </c>
      <c r="KK21" s="110">
        <f t="shared" si="193"/>
        <v>0</v>
      </c>
      <c r="KL21" s="110">
        <f t="shared" si="194"/>
        <v>0</v>
      </c>
      <c r="KM21" s="110">
        <f t="shared" si="195"/>
        <v>0</v>
      </c>
      <c r="KN21" s="110">
        <f t="shared" si="196"/>
        <v>0</v>
      </c>
      <c r="KO21" s="110">
        <f t="shared" si="197"/>
        <v>0</v>
      </c>
      <c r="KP21" s="110">
        <f t="shared" si="198"/>
        <v>0</v>
      </c>
      <c r="KQ21" s="110">
        <f t="shared" si="199"/>
        <v>0</v>
      </c>
      <c r="KR21" s="110">
        <f t="shared" si="200"/>
        <v>0</v>
      </c>
      <c r="KS21" s="110">
        <f t="shared" si="201"/>
        <v>0</v>
      </c>
      <c r="KT21" s="110">
        <f t="shared" si="202"/>
        <v>0</v>
      </c>
      <c r="KV21" s="111">
        <f t="shared" si="203"/>
        <v>0</v>
      </c>
      <c r="KW21" s="110">
        <f t="shared" si="204"/>
        <v>0</v>
      </c>
      <c r="KX21" s="110">
        <f t="shared" si="205"/>
        <v>0</v>
      </c>
      <c r="KY21" s="110">
        <f t="shared" si="206"/>
        <v>0</v>
      </c>
      <c r="KZ21" s="110">
        <f t="shared" si="207"/>
        <v>0</v>
      </c>
      <c r="LA21" s="110">
        <f t="shared" si="208"/>
        <v>0</v>
      </c>
      <c r="LB21" s="110">
        <f t="shared" si="209"/>
        <v>0</v>
      </c>
      <c r="LC21" s="110">
        <f t="shared" si="210"/>
        <v>0</v>
      </c>
      <c r="LD21" s="110">
        <f t="shared" si="211"/>
        <v>0</v>
      </c>
      <c r="LE21" s="110">
        <f t="shared" si="212"/>
        <v>0</v>
      </c>
      <c r="LF21" s="110">
        <f t="shared" si="213"/>
        <v>0</v>
      </c>
      <c r="LG21" s="110">
        <f t="shared" si="214"/>
        <v>0</v>
      </c>
      <c r="LH21" s="110">
        <f t="shared" si="215"/>
        <v>0</v>
      </c>
      <c r="LI21" s="110">
        <f t="shared" si="216"/>
        <v>0</v>
      </c>
      <c r="LJ21" s="110">
        <f t="shared" si="217"/>
        <v>0</v>
      </c>
      <c r="LK21" s="110">
        <f t="shared" si="218"/>
        <v>8.5999999999999943</v>
      </c>
      <c r="LL21" s="110">
        <f t="shared" si="219"/>
        <v>8.5999999999999943</v>
      </c>
      <c r="LM21" s="110">
        <f t="shared" si="220"/>
        <v>8.5999999999999943</v>
      </c>
      <c r="LN21" s="110">
        <f t="shared" si="221"/>
        <v>8.5999999999999943</v>
      </c>
      <c r="LO21" s="110">
        <f t="shared" si="222"/>
        <v>8.5999999999999943</v>
      </c>
      <c r="LP21" s="110">
        <f t="shared" si="223"/>
        <v>8.5999999999999943</v>
      </c>
      <c r="LQ21" s="110">
        <f t="shared" si="224"/>
        <v>8.5999999999999943</v>
      </c>
      <c r="LR21" s="110">
        <f t="shared" si="225"/>
        <v>8.5999999999999943</v>
      </c>
      <c r="LS21" s="110">
        <f t="shared" si="226"/>
        <v>8.5999999999999943</v>
      </c>
      <c r="LT21" s="110">
        <f t="shared" si="227"/>
        <v>8.5999999999999943</v>
      </c>
      <c r="LV21" s="111"/>
      <c r="LW21" s="110">
        <f t="shared" si="228"/>
        <v>0</v>
      </c>
      <c r="LX21" s="110">
        <f t="shared" si="229"/>
        <v>0</v>
      </c>
      <c r="LY21" s="110">
        <f t="shared" si="230"/>
        <v>0</v>
      </c>
      <c r="LZ21" s="110">
        <f t="shared" si="231"/>
        <v>0</v>
      </c>
      <c r="MA21" s="110">
        <f t="shared" si="232"/>
        <v>0</v>
      </c>
      <c r="MB21" s="110">
        <f t="shared" si="233"/>
        <v>0</v>
      </c>
      <c r="MC21" s="110">
        <f t="shared" si="234"/>
        <v>0</v>
      </c>
      <c r="MD21" s="110">
        <f t="shared" si="235"/>
        <v>0</v>
      </c>
      <c r="ME21" s="110">
        <f t="shared" si="236"/>
        <v>0</v>
      </c>
      <c r="MF21" s="110">
        <f t="shared" si="237"/>
        <v>0</v>
      </c>
      <c r="MG21" s="110">
        <f t="shared" si="238"/>
        <v>0</v>
      </c>
      <c r="MH21" s="110">
        <f t="shared" si="239"/>
        <v>0</v>
      </c>
      <c r="MI21" s="110">
        <f t="shared" si="240"/>
        <v>0</v>
      </c>
      <c r="MJ21" s="110">
        <f t="shared" si="241"/>
        <v>0</v>
      </c>
      <c r="MK21" s="110">
        <f t="shared" si="242"/>
        <v>0</v>
      </c>
      <c r="ML21" s="110">
        <f t="shared" si="243"/>
        <v>0</v>
      </c>
      <c r="MM21" s="110">
        <f t="shared" si="244"/>
        <v>0</v>
      </c>
      <c r="MN21" s="110">
        <f t="shared" si="245"/>
        <v>0</v>
      </c>
      <c r="MO21" s="110">
        <f t="shared" si="246"/>
        <v>0</v>
      </c>
      <c r="MP21" s="110">
        <f t="shared" si="247"/>
        <v>0</v>
      </c>
      <c r="MQ21" s="110">
        <f t="shared" si="248"/>
        <v>0</v>
      </c>
      <c r="MR21" s="110">
        <f t="shared" si="249"/>
        <v>0</v>
      </c>
      <c r="MS21" s="110">
        <f t="shared" si="250"/>
        <v>0</v>
      </c>
      <c r="MT21" s="110">
        <f t="shared" si="251"/>
        <v>0</v>
      </c>
      <c r="MV21" s="114">
        <v>254.25</v>
      </c>
      <c r="MW21" s="114">
        <v>0</v>
      </c>
      <c r="MX21" s="114">
        <v>8.5999999999999943</v>
      </c>
      <c r="MY21" s="114">
        <v>0</v>
      </c>
      <c r="MZ21" s="114">
        <v>0</v>
      </c>
      <c r="NB21" s="115">
        <v>40</v>
      </c>
      <c r="NC21" s="115" t="str">
        <v>N/A</v>
      </c>
      <c r="ND21" s="115">
        <v>28</v>
      </c>
      <c r="NE21" s="115" t="str">
        <v>N/A</v>
      </c>
      <c r="NF21" s="115" t="str">
        <v>N/A</v>
      </c>
    </row>
    <row r="22" spans="1:370" ht="13.5" x14ac:dyDescent="0.25">
      <c r="B22" s="8">
        <f t="shared" si="252"/>
        <v>19</v>
      </c>
      <c r="C22" s="7">
        <v>116</v>
      </c>
      <c r="D22" s="7">
        <v>116</v>
      </c>
      <c r="E22" s="7">
        <v>116</v>
      </c>
      <c r="F22" s="7">
        <v>116</v>
      </c>
      <c r="G22" s="7">
        <v>116</v>
      </c>
      <c r="H22" s="7">
        <v>116</v>
      </c>
      <c r="I22" s="7">
        <v>116</v>
      </c>
      <c r="J22" s="7">
        <v>116</v>
      </c>
      <c r="K22" s="7">
        <v>116</v>
      </c>
      <c r="L22" s="7">
        <v>116</v>
      </c>
      <c r="M22" s="7">
        <v>116</v>
      </c>
      <c r="N22" s="7">
        <v>116</v>
      </c>
      <c r="O22" s="7">
        <v>116</v>
      </c>
      <c r="P22" s="7">
        <v>116</v>
      </c>
      <c r="Q22" s="7">
        <v>116</v>
      </c>
      <c r="R22" s="7">
        <v>116</v>
      </c>
      <c r="S22" s="7">
        <v>116</v>
      </c>
      <c r="T22" s="7">
        <v>116</v>
      </c>
      <c r="U22" s="7">
        <v>116</v>
      </c>
      <c r="V22" s="7">
        <v>116</v>
      </c>
      <c r="W22" s="7">
        <v>116</v>
      </c>
      <c r="X22" s="7">
        <v>116</v>
      </c>
      <c r="Y22" s="7">
        <v>116</v>
      </c>
      <c r="Z22" s="7">
        <v>116</v>
      </c>
      <c r="AA22" s="7">
        <v>116</v>
      </c>
      <c r="AB22" s="7">
        <v>116</v>
      </c>
      <c r="AC22" s="7">
        <v>116</v>
      </c>
      <c r="AD22" s="7">
        <v>116</v>
      </c>
      <c r="AE22" s="7">
        <v>116</v>
      </c>
      <c r="AF22" s="7">
        <v>116</v>
      </c>
      <c r="AG22" s="7">
        <v>116</v>
      </c>
      <c r="AH22" s="7">
        <v>116</v>
      </c>
      <c r="AI22" s="7">
        <v>116</v>
      </c>
      <c r="AJ22" s="7">
        <v>116</v>
      </c>
      <c r="AK22" s="7">
        <v>116</v>
      </c>
      <c r="AL22" s="7">
        <v>116</v>
      </c>
      <c r="AM22" s="7">
        <v>116</v>
      </c>
      <c r="AN22" s="27">
        <v>19</v>
      </c>
      <c r="AP22" s="111"/>
      <c r="AQ22" s="110">
        <f t="shared" si="13"/>
        <v>0</v>
      </c>
      <c r="AR22" s="110">
        <f t="shared" si="14"/>
        <v>0</v>
      </c>
      <c r="AS22" s="110">
        <f t="shared" si="15"/>
        <v>0</v>
      </c>
      <c r="AT22" s="110">
        <f t="shared" si="16"/>
        <v>0</v>
      </c>
      <c r="AU22" s="110">
        <f t="shared" si="17"/>
        <v>0</v>
      </c>
      <c r="AV22" s="110">
        <f t="shared" si="18"/>
        <v>0</v>
      </c>
      <c r="AW22" s="110">
        <f t="shared" si="19"/>
        <v>0</v>
      </c>
      <c r="AX22" s="110">
        <f t="shared" si="20"/>
        <v>0</v>
      </c>
      <c r="AY22" s="110">
        <f t="shared" si="21"/>
        <v>0</v>
      </c>
      <c r="AZ22" s="110">
        <f t="shared" si="22"/>
        <v>0</v>
      </c>
      <c r="BA22" s="110">
        <f t="shared" si="23"/>
        <v>0</v>
      </c>
      <c r="BB22" s="110">
        <f t="shared" si="24"/>
        <v>0</v>
      </c>
      <c r="BD22" s="109" cm="1">
        <f t="array" ref="BD22">+IFERROR(INDEX($C$3:$AM$3,MATCH(TRUE,INDEX($C22:$AM22&lt;&gt;0,0),0)),"N/A")</f>
        <v>44926</v>
      </c>
      <c r="BE22" s="112"/>
      <c r="BF22" s="1" t="str" cm="1">
        <f t="array" ref="BF22">+_xlfn.IFS(BT22&lt;&gt;0,BT$2,CH22&lt;&gt;0,CH$2,CV22&lt;&gt;0,CV$2,DJ22&lt;&gt;0,DJ$2,TRUE,"")</f>
        <v/>
      </c>
      <c r="BG22" s="1" t="str" cm="1">
        <f t="array" ref="BG22">+_xlfn.IFS(BU22&lt;&gt;0,BU$2,CI22&lt;&gt;0,CI$2,CW22&lt;&gt;0,CW$2,DK22&lt;&gt;0,DK$2,TRUE,"")</f>
        <v/>
      </c>
      <c r="BH22" s="1" t="str" cm="1">
        <f t="array" ref="BH22">+_xlfn.IFS(BV22&lt;&gt;0,BV$2,CJ22&lt;&gt;0,CJ$2,CX22&lt;&gt;0,CX$2,DL22&lt;&gt;0,DL$2,TRUE,"")</f>
        <v/>
      </c>
      <c r="BI22" s="1" t="str" cm="1">
        <f t="array" ref="BI22">+_xlfn.IFS(BW22&lt;&gt;0,BW$2,CK22&lt;&gt;0,CK$2,CY22&lt;&gt;0,CY$2,DM22&lt;&gt;0,DM$2,TRUE,"")</f>
        <v/>
      </c>
      <c r="BJ22" s="1" t="str" cm="1">
        <f t="array" ref="BJ22">+_xlfn.IFS(BX22&lt;&gt;0,BX$2,CL22&lt;&gt;0,CL$2,CZ22&lt;&gt;0,CZ$2,DN22&lt;&gt;0,DN$2,TRUE,"")</f>
        <v/>
      </c>
      <c r="BK22" s="1" t="str" cm="1">
        <f t="array" ref="BK22">+_xlfn.IFS(BY22&lt;&gt;0,BY$2,CM22&lt;&gt;0,CM$2,DA22&lt;&gt;0,DA$2,DO22&lt;&gt;0,DO$2,TRUE,"")</f>
        <v/>
      </c>
      <c r="BL22" s="1" t="str" cm="1">
        <f t="array" ref="BL22">+_xlfn.IFS(BZ22&lt;&gt;0,BZ$2,CN22&lt;&gt;0,CN$2,DB22&lt;&gt;0,DB$2,DP22&lt;&gt;0,DP$2,TRUE,"")</f>
        <v/>
      </c>
      <c r="BM22" s="1" t="str" cm="1">
        <f t="array" ref="BM22">+_xlfn.IFS(CA22&lt;&gt;0,CA$2,CO22&lt;&gt;0,CO$2,DC22&lt;&gt;0,DC$2,DQ22&lt;&gt;0,DQ$2,TRUE,"")</f>
        <v/>
      </c>
      <c r="BN22" s="1" t="str" cm="1">
        <f t="array" ref="BN22">+_xlfn.IFS(CB22&lt;&gt;0,CB$2,CP22&lt;&gt;0,CP$2,DD22&lt;&gt;0,DD$2,DR22&lt;&gt;0,DR$2,TRUE,"")</f>
        <v/>
      </c>
      <c r="BO22" s="1" t="str" cm="1">
        <f t="array" ref="BO22">+_xlfn.IFS(CC22&lt;&gt;0,CC$2,CQ22&lt;&gt;0,CQ$2,DE22&lt;&gt;0,DE$2,DS22&lt;&gt;0,DS$2,TRUE,"")</f>
        <v/>
      </c>
      <c r="BP22" s="1" t="str" cm="1">
        <f t="array" ref="BP22">+_xlfn.IFS(CD22&lt;&gt;0,CD$2,CR22&lt;&gt;0,CR$2,DF22&lt;&gt;0,DF$2,DT22&lt;&gt;0,DT$2,TRUE,"")</f>
        <v/>
      </c>
      <c r="BQ22" s="1" t="str" cm="1">
        <f t="array" ref="BQ22">+_xlfn.IFS(CE22&lt;&gt;0,CE$2,CS22&lt;&gt;0,CS$2,DG22&lt;&gt;0,DG$2,DU22&lt;&gt;0,DU$2,TRUE,"")</f>
        <v/>
      </c>
      <c r="BS22" s="111"/>
      <c r="BT22" s="110">
        <f t="shared" si="25"/>
        <v>0</v>
      </c>
      <c r="BU22" s="110">
        <f t="shared" si="26"/>
        <v>0</v>
      </c>
      <c r="BV22" s="110">
        <f t="shared" si="27"/>
        <v>0</v>
      </c>
      <c r="BW22" s="110">
        <f t="shared" si="28"/>
        <v>0</v>
      </c>
      <c r="BX22" s="110">
        <f t="shared" si="29"/>
        <v>0</v>
      </c>
      <c r="BY22" s="110">
        <f t="shared" si="30"/>
        <v>0</v>
      </c>
      <c r="BZ22" s="110">
        <f t="shared" si="31"/>
        <v>0</v>
      </c>
      <c r="CA22" s="110">
        <f t="shared" si="32"/>
        <v>0</v>
      </c>
      <c r="CB22" s="110">
        <f t="shared" si="33"/>
        <v>0</v>
      </c>
      <c r="CC22" s="110">
        <f t="shared" si="34"/>
        <v>0</v>
      </c>
      <c r="CD22" s="110">
        <f t="shared" si="35"/>
        <v>0</v>
      </c>
      <c r="CE22" s="110">
        <f t="shared" si="36"/>
        <v>0</v>
      </c>
      <c r="CG22" s="111"/>
      <c r="CH22" s="110">
        <f t="shared" si="37"/>
        <v>0</v>
      </c>
      <c r="CI22" s="110">
        <f t="shared" si="38"/>
        <v>0</v>
      </c>
      <c r="CJ22" s="110">
        <f t="shared" si="39"/>
        <v>0</v>
      </c>
      <c r="CK22" s="110">
        <f t="shared" si="40"/>
        <v>0</v>
      </c>
      <c r="CL22" s="110">
        <f t="shared" si="41"/>
        <v>0</v>
      </c>
      <c r="CM22" s="110">
        <f t="shared" si="42"/>
        <v>0</v>
      </c>
      <c r="CN22" s="110">
        <f t="shared" si="43"/>
        <v>0</v>
      </c>
      <c r="CO22" s="110">
        <f t="shared" si="44"/>
        <v>0</v>
      </c>
      <c r="CP22" s="110">
        <f t="shared" si="45"/>
        <v>0</v>
      </c>
      <c r="CQ22" s="110">
        <f t="shared" si="46"/>
        <v>0</v>
      </c>
      <c r="CR22" s="110">
        <f t="shared" si="47"/>
        <v>0</v>
      </c>
      <c r="CS22" s="110">
        <f t="shared" si="48"/>
        <v>0</v>
      </c>
      <c r="CU22" s="111"/>
      <c r="CV22" s="110">
        <f t="shared" si="49"/>
        <v>0</v>
      </c>
      <c r="CW22" s="110">
        <f t="shared" si="50"/>
        <v>0</v>
      </c>
      <c r="CX22" s="110">
        <f t="shared" si="51"/>
        <v>0</v>
      </c>
      <c r="CY22" s="110">
        <f t="shared" si="52"/>
        <v>0</v>
      </c>
      <c r="CZ22" s="110">
        <f t="shared" si="53"/>
        <v>0</v>
      </c>
      <c r="DA22" s="110">
        <f t="shared" si="54"/>
        <v>0</v>
      </c>
      <c r="DB22" s="110">
        <f t="shared" si="55"/>
        <v>0</v>
      </c>
      <c r="DC22" s="110">
        <f t="shared" si="56"/>
        <v>0</v>
      </c>
      <c r="DD22" s="110">
        <f t="shared" si="57"/>
        <v>0</v>
      </c>
      <c r="DE22" s="110">
        <f t="shared" si="58"/>
        <v>0</v>
      </c>
      <c r="DF22" s="110">
        <f t="shared" si="59"/>
        <v>0</v>
      </c>
      <c r="DG22" s="110">
        <f t="shared" si="60"/>
        <v>0</v>
      </c>
      <c r="DI22" s="111"/>
      <c r="DJ22" s="110">
        <f t="shared" si="61"/>
        <v>0</v>
      </c>
      <c r="DK22" s="110">
        <f t="shared" si="62"/>
        <v>0</v>
      </c>
      <c r="DL22" s="110">
        <f t="shared" si="63"/>
        <v>0</v>
      </c>
      <c r="DM22" s="110">
        <f t="shared" si="64"/>
        <v>0</v>
      </c>
      <c r="DN22" s="110">
        <f t="shared" si="65"/>
        <v>0</v>
      </c>
      <c r="DO22" s="110">
        <f t="shared" si="66"/>
        <v>0</v>
      </c>
      <c r="DP22" s="110">
        <f t="shared" si="67"/>
        <v>0</v>
      </c>
      <c r="DQ22" s="110">
        <f t="shared" si="68"/>
        <v>0</v>
      </c>
      <c r="DR22" s="110">
        <f t="shared" si="69"/>
        <v>0</v>
      </c>
      <c r="DS22" s="110">
        <f t="shared" si="70"/>
        <v>0</v>
      </c>
      <c r="DT22" s="110">
        <f t="shared" si="71"/>
        <v>0</v>
      </c>
      <c r="DU22" s="110">
        <f t="shared" si="72"/>
        <v>0</v>
      </c>
      <c r="DW22" s="111"/>
      <c r="DX22" s="110">
        <f t="shared" si="73"/>
        <v>0</v>
      </c>
      <c r="DY22" s="110">
        <f t="shared" si="74"/>
        <v>0</v>
      </c>
      <c r="DZ22" s="110">
        <f t="shared" si="75"/>
        <v>0</v>
      </c>
      <c r="EA22" s="110">
        <f t="shared" si="76"/>
        <v>0</v>
      </c>
      <c r="EB22" s="110">
        <f t="shared" si="77"/>
        <v>0</v>
      </c>
      <c r="EC22" s="110">
        <f t="shared" si="78"/>
        <v>0</v>
      </c>
      <c r="ED22" s="110">
        <f t="shared" si="79"/>
        <v>0</v>
      </c>
      <c r="EE22" s="110">
        <f t="shared" si="80"/>
        <v>0</v>
      </c>
      <c r="EF22" s="110">
        <f t="shared" si="81"/>
        <v>0</v>
      </c>
      <c r="EG22" s="110">
        <f t="shared" si="82"/>
        <v>0</v>
      </c>
      <c r="EH22" s="110">
        <f t="shared" si="83"/>
        <v>0</v>
      </c>
      <c r="EI22" s="110">
        <f t="shared" si="84"/>
        <v>0</v>
      </c>
      <c r="EK22" s="111"/>
      <c r="EL22" s="110">
        <f t="shared" si="85"/>
        <v>0</v>
      </c>
      <c r="EM22" s="110">
        <f t="shared" si="86"/>
        <v>0</v>
      </c>
      <c r="EN22" s="110">
        <f t="shared" si="87"/>
        <v>0</v>
      </c>
      <c r="EP22" s="109" cm="1">
        <f t="array" ref="EP22">+IFERROR(INDEX($C$3:$AM$3,MATCH(TRUE,INDEX($C22:$AM22&lt;&gt;0,0),0)),"N/A")</f>
        <v>44926</v>
      </c>
      <c r="EQ22" s="112"/>
      <c r="ER22" s="1" t="str" cm="1">
        <f t="array" ref="ER22">+_xlfn.IFS(EW22&lt;&gt;0,EW$2,FB22&lt;&gt;0,FB$2,FG22&lt;&gt;0,FG$2,FL22&lt;&gt;0,FL$2,TRUE,"")</f>
        <v/>
      </c>
      <c r="ES22" s="1" t="str" cm="1">
        <f t="array" ref="ES22">+_xlfn.IFS(EX22&lt;&gt;0,EX$2,FC22&lt;&gt;0,FC$2,FH22&lt;&gt;0,FH$2,FM22&lt;&gt;0,FM$2,TRUE,"")</f>
        <v/>
      </c>
      <c r="ET22" s="1" t="str" cm="1">
        <f t="array" ref="ET22">+_xlfn.IFS(EY22&lt;&gt;0,EY$2,FD22&lt;&gt;0,FD$2,FI22&lt;&gt;0,FI$2,FN22&lt;&gt;0,FN$2,TRUE,"")</f>
        <v/>
      </c>
      <c r="EV22" s="111"/>
      <c r="EW22" s="110">
        <f t="shared" si="88"/>
        <v>0</v>
      </c>
      <c r="EX22" s="110">
        <f t="shared" si="89"/>
        <v>0</v>
      </c>
      <c r="EY22" s="110">
        <f t="shared" si="90"/>
        <v>0</v>
      </c>
      <c r="FA22" s="111"/>
      <c r="FB22" s="110">
        <f t="shared" si="91"/>
        <v>0</v>
      </c>
      <c r="FC22" s="110">
        <f t="shared" si="92"/>
        <v>0</v>
      </c>
      <c r="FD22" s="110">
        <f t="shared" si="93"/>
        <v>0</v>
      </c>
      <c r="FF22" s="111"/>
      <c r="FG22" s="110">
        <f t="shared" si="94"/>
        <v>0</v>
      </c>
      <c r="FH22" s="110">
        <f t="shared" si="95"/>
        <v>0</v>
      </c>
      <c r="FI22" s="110">
        <f t="shared" si="96"/>
        <v>0</v>
      </c>
      <c r="FK22" s="111"/>
      <c r="FL22" s="110">
        <f t="shared" si="97"/>
        <v>0</v>
      </c>
      <c r="FM22" s="110">
        <f t="shared" si="98"/>
        <v>0</v>
      </c>
      <c r="FN22" s="110">
        <f t="shared" si="99"/>
        <v>0</v>
      </c>
      <c r="FP22" s="111"/>
      <c r="FQ22" s="110">
        <f t="shared" si="100"/>
        <v>0</v>
      </c>
      <c r="FR22" s="110">
        <f t="shared" si="101"/>
        <v>0</v>
      </c>
      <c r="FS22" s="110">
        <f t="shared" si="102"/>
        <v>0</v>
      </c>
      <c r="FU22" s="111">
        <f t="shared" si="103"/>
        <v>0</v>
      </c>
      <c r="FV22" s="110">
        <f t="shared" si="104"/>
        <v>0</v>
      </c>
      <c r="FW22" s="110">
        <f t="shared" si="105"/>
        <v>0</v>
      </c>
      <c r="FX22" s="110">
        <f t="shared" si="106"/>
        <v>0</v>
      </c>
      <c r="FY22" s="110">
        <f t="shared" si="107"/>
        <v>0</v>
      </c>
      <c r="FZ22" s="110">
        <f t="shared" si="108"/>
        <v>0</v>
      </c>
      <c r="GA22" s="110">
        <f t="shared" si="109"/>
        <v>0</v>
      </c>
      <c r="GB22" s="110">
        <f t="shared" si="110"/>
        <v>0</v>
      </c>
      <c r="GC22" s="110">
        <f t="shared" si="111"/>
        <v>0</v>
      </c>
      <c r="GD22" s="110">
        <f t="shared" si="112"/>
        <v>0</v>
      </c>
      <c r="GE22" s="110">
        <f t="shared" si="113"/>
        <v>0</v>
      </c>
      <c r="GF22" s="110">
        <f t="shared" si="114"/>
        <v>0</v>
      </c>
      <c r="GG22" s="110">
        <f t="shared" si="115"/>
        <v>0</v>
      </c>
      <c r="GH22" s="110">
        <f t="shared" si="116"/>
        <v>0</v>
      </c>
      <c r="GI22" s="110">
        <f t="shared" si="117"/>
        <v>0</v>
      </c>
      <c r="GJ22" s="110">
        <f t="shared" si="118"/>
        <v>0</v>
      </c>
      <c r="GK22" s="110">
        <f t="shared" si="119"/>
        <v>0</v>
      </c>
      <c r="GL22" s="110">
        <f t="shared" si="120"/>
        <v>0</v>
      </c>
      <c r="GM22" s="110">
        <f t="shared" si="121"/>
        <v>0</v>
      </c>
      <c r="GN22" s="110">
        <f t="shared" si="122"/>
        <v>0</v>
      </c>
      <c r="GO22" s="110">
        <f t="shared" si="123"/>
        <v>0</v>
      </c>
      <c r="GP22" s="110">
        <f t="shared" si="124"/>
        <v>0</v>
      </c>
      <c r="GQ22" s="110">
        <f t="shared" si="125"/>
        <v>0</v>
      </c>
      <c r="GR22" s="110">
        <f t="shared" si="126"/>
        <v>0</v>
      </c>
      <c r="GS22" s="110">
        <f t="shared" si="127"/>
        <v>0</v>
      </c>
      <c r="GU22" s="109" cm="1">
        <f t="array" ref="GU22">+IFERROR(INDEX($C$3:$AM$3,MATCH(TRUE,INDEX($C22:$AM22&lt;&gt;0,0),0)),"N/A")</f>
        <v>44926</v>
      </c>
      <c r="GV22" s="112" t="str" cm="1">
        <f t="array" ref="GV22">+_xlfn.IFS(HV22&lt;&gt;0,HV$2,IV22&lt;&gt;0,IV$2,JV22&lt;&gt;0,JV$2,KV22&lt;&gt;0,KV$2,TRUE,"")</f>
        <v/>
      </c>
      <c r="GW22" s="1" t="str" cm="1">
        <f t="array" ref="GW22">+_xlfn.IFS(HW22&lt;&gt;0,HW$2,IW22&lt;&gt;0,IW$2,JW22&lt;&gt;0,JW$2,KW22&lt;&gt;0,KW$2,TRUE,"")</f>
        <v/>
      </c>
      <c r="GX22" s="1" t="str" cm="1">
        <f t="array" ref="GX22">+_xlfn.IFS(HX22&lt;&gt;0,HX$2,IX22&lt;&gt;0,IX$2,JX22&lt;&gt;0,JX$2,KX22&lt;&gt;0,KX$2,TRUE,"")</f>
        <v/>
      </c>
      <c r="GY22" s="1" t="str" cm="1">
        <f t="array" ref="GY22">+_xlfn.IFS(HY22&lt;&gt;0,HY$2,IY22&lt;&gt;0,IY$2,JY22&lt;&gt;0,JY$2,KY22&lt;&gt;0,KY$2,TRUE,"")</f>
        <v/>
      </c>
      <c r="GZ22" s="1" t="str" cm="1">
        <f t="array" ref="GZ22">+_xlfn.IFS(HZ22&lt;&gt;0,HZ$2,IZ22&lt;&gt;0,IZ$2,JZ22&lt;&gt;0,JZ$2,KZ22&lt;&gt;0,KZ$2,TRUE,"")</f>
        <v/>
      </c>
      <c r="HA22" s="1" t="str" cm="1">
        <f t="array" ref="HA22">+_xlfn.IFS(IA22&lt;&gt;0,IA$2,JA22&lt;&gt;0,JA$2,KA22&lt;&gt;0,KA$2,LA22&lt;&gt;0,LA$2,TRUE,"")</f>
        <v/>
      </c>
      <c r="HB22" s="1" t="str" cm="1">
        <f t="array" ref="HB22">+_xlfn.IFS(IB22&lt;&gt;0,IB$2,JB22&lt;&gt;0,JB$2,KB22&lt;&gt;0,KB$2,LB22&lt;&gt;0,LB$2,TRUE,"")</f>
        <v/>
      </c>
      <c r="HC22" s="1" t="str" cm="1">
        <f t="array" ref="HC22">+_xlfn.IFS(IC22&lt;&gt;0,IC$2,JC22&lt;&gt;0,JC$2,KC22&lt;&gt;0,KC$2,LC22&lt;&gt;0,LC$2,TRUE,"")</f>
        <v/>
      </c>
      <c r="HD22" s="1" t="str" cm="1">
        <f t="array" ref="HD22">+_xlfn.IFS(ID22&lt;&gt;0,ID$2,JD22&lt;&gt;0,JD$2,KD22&lt;&gt;0,KD$2,LD22&lt;&gt;0,LD$2,TRUE,"")</f>
        <v/>
      </c>
      <c r="HE22" s="1" t="str" cm="1">
        <f t="array" ref="HE22">+_xlfn.IFS(IE22&lt;&gt;0,IE$2,JE22&lt;&gt;0,JE$2,KE22&lt;&gt;0,KE$2,LE22&lt;&gt;0,LE$2,TRUE,"")</f>
        <v/>
      </c>
      <c r="HF22" s="1" t="str" cm="1">
        <f t="array" ref="HF22">+_xlfn.IFS(IF22&lt;&gt;0,IF$2,JF22&lt;&gt;0,JF$2,KF22&lt;&gt;0,KF$2,LF22&lt;&gt;0,LF$2,TRUE,"")</f>
        <v/>
      </c>
      <c r="HG22" s="1" t="str" cm="1">
        <f t="array" ref="HG22">+_xlfn.IFS(IG22&lt;&gt;0,IG$2,JG22&lt;&gt;0,JG$2,KG22&lt;&gt;0,KG$2,LG22&lt;&gt;0,LG$2,TRUE,"")</f>
        <v/>
      </c>
      <c r="HH22" s="1" t="str" cm="1">
        <f t="array" ref="HH22">+_xlfn.IFS(IH22&lt;&gt;0,IH$2,JH22&lt;&gt;0,JH$2,KH22&lt;&gt;0,KH$2,LH22&lt;&gt;0,LH$2,TRUE,"")</f>
        <v/>
      </c>
      <c r="HI22" s="1" t="str" cm="1">
        <f t="array" ref="HI22">+_xlfn.IFS(II22&lt;&gt;0,II$2,JI22&lt;&gt;0,JI$2,KI22&lt;&gt;0,KI$2,LI22&lt;&gt;0,LI$2,TRUE,"")</f>
        <v/>
      </c>
      <c r="HJ22" s="1" t="str" cm="1">
        <f t="array" ref="HJ22">+_xlfn.IFS(IJ22&lt;&gt;0,IJ$2,JJ22&lt;&gt;0,JJ$2,KJ22&lt;&gt;0,KJ$2,LJ22&lt;&gt;0,LJ$2,TRUE,"")</f>
        <v/>
      </c>
      <c r="HK22" s="1" t="str" cm="1">
        <f t="array" ref="HK22">+_xlfn.IFS(IK22&lt;&gt;0,IK$2,JK22&lt;&gt;0,JK$2,KK22&lt;&gt;0,KK$2,LK22&lt;&gt;0,LK$2,TRUE,"")</f>
        <v/>
      </c>
      <c r="HL22" s="1" t="str" cm="1">
        <f t="array" ref="HL22">+_xlfn.IFS(IL22&lt;&gt;0,IL$2,JL22&lt;&gt;0,JL$2,KL22&lt;&gt;0,KL$2,LL22&lt;&gt;0,LL$2,TRUE,"")</f>
        <v/>
      </c>
      <c r="HM22" s="1" t="str" cm="1">
        <f t="array" ref="HM22">+_xlfn.IFS(IM22&lt;&gt;0,IM$2,JM22&lt;&gt;0,JM$2,KM22&lt;&gt;0,KM$2,LM22&lt;&gt;0,LM$2,TRUE,"")</f>
        <v/>
      </c>
      <c r="HN22" s="1" t="str" cm="1">
        <f t="array" ref="HN22">+_xlfn.IFS(IN22&lt;&gt;0,IN$2,JN22&lt;&gt;0,JN$2,KN22&lt;&gt;0,KN$2,LN22&lt;&gt;0,LN$2,TRUE,"")</f>
        <v/>
      </c>
      <c r="HO22" s="1" t="str" cm="1">
        <f t="array" ref="HO22">+_xlfn.IFS(IO22&lt;&gt;0,IO$2,JO22&lt;&gt;0,JO$2,KO22&lt;&gt;0,KO$2,LO22&lt;&gt;0,LO$2,TRUE,"")</f>
        <v/>
      </c>
      <c r="HP22" s="1" t="str" cm="1">
        <f t="array" ref="HP22">+_xlfn.IFS(IP22&lt;&gt;0,IP$2,JP22&lt;&gt;0,JP$2,KP22&lt;&gt;0,KP$2,LP22&lt;&gt;0,LP$2,TRUE,"")</f>
        <v/>
      </c>
      <c r="HQ22" s="1" t="str" cm="1">
        <f t="array" ref="HQ22">+_xlfn.IFS(IQ22&lt;&gt;0,IQ$2,JQ22&lt;&gt;0,JQ$2,KQ22&lt;&gt;0,KQ$2,LQ22&lt;&gt;0,LQ$2,TRUE,"")</f>
        <v/>
      </c>
      <c r="HR22" s="1" t="str" cm="1">
        <f t="array" ref="HR22">+_xlfn.IFS(IR22&lt;&gt;0,IR$2,JR22&lt;&gt;0,JR$2,KR22&lt;&gt;0,KR$2,LR22&lt;&gt;0,LR$2,TRUE,"")</f>
        <v/>
      </c>
      <c r="HS22" s="1" t="str" cm="1">
        <f t="array" ref="HS22">+_xlfn.IFS(IS22&lt;&gt;0,IS$2,JS22&lt;&gt;0,JS$2,KS22&lt;&gt;0,KS$2,LS22&lt;&gt;0,LS$2,TRUE,"")</f>
        <v/>
      </c>
      <c r="HT22" s="1" t="str" cm="1">
        <f t="array" ref="HT22">+_xlfn.IFS(IT22&lt;&gt;0,IT$2,JT22&lt;&gt;0,JT$2,KT22&lt;&gt;0,KT$2,LT22&lt;&gt;0,LT$2,TRUE,"")</f>
        <v/>
      </c>
      <c r="HV22" s="111">
        <f t="shared" si="128"/>
        <v>0</v>
      </c>
      <c r="HW22" s="110">
        <f t="shared" si="129"/>
        <v>0</v>
      </c>
      <c r="HX22" s="110">
        <f t="shared" si="130"/>
        <v>0</v>
      </c>
      <c r="HY22" s="110">
        <f t="shared" si="131"/>
        <v>0</v>
      </c>
      <c r="HZ22" s="110">
        <f t="shared" si="132"/>
        <v>0</v>
      </c>
      <c r="IA22" s="110">
        <f t="shared" si="133"/>
        <v>0</v>
      </c>
      <c r="IB22" s="110">
        <f t="shared" si="134"/>
        <v>0</v>
      </c>
      <c r="IC22" s="110">
        <f t="shared" si="135"/>
        <v>0</v>
      </c>
      <c r="ID22" s="110">
        <f t="shared" si="136"/>
        <v>0</v>
      </c>
      <c r="IE22" s="110">
        <f t="shared" si="137"/>
        <v>0</v>
      </c>
      <c r="IF22" s="110">
        <f t="shared" si="138"/>
        <v>0</v>
      </c>
      <c r="IG22" s="110">
        <f t="shared" si="139"/>
        <v>0</v>
      </c>
      <c r="IH22" s="110">
        <f t="shared" si="140"/>
        <v>0</v>
      </c>
      <c r="II22" s="110">
        <f t="shared" si="141"/>
        <v>0</v>
      </c>
      <c r="IJ22" s="110">
        <f t="shared" si="142"/>
        <v>0</v>
      </c>
      <c r="IK22" s="110">
        <f t="shared" si="143"/>
        <v>0</v>
      </c>
      <c r="IL22" s="110">
        <f t="shared" si="144"/>
        <v>0</v>
      </c>
      <c r="IM22" s="110">
        <f t="shared" si="145"/>
        <v>0</v>
      </c>
      <c r="IN22" s="110">
        <f t="shared" si="146"/>
        <v>0</v>
      </c>
      <c r="IO22" s="110">
        <f t="shared" si="147"/>
        <v>0</v>
      </c>
      <c r="IP22" s="110">
        <f t="shared" si="148"/>
        <v>0</v>
      </c>
      <c r="IQ22" s="110">
        <f t="shared" si="149"/>
        <v>0</v>
      </c>
      <c r="IR22" s="110">
        <f t="shared" si="150"/>
        <v>0</v>
      </c>
      <c r="IS22" s="110">
        <f t="shared" si="151"/>
        <v>0</v>
      </c>
      <c r="IT22" s="110">
        <f t="shared" si="152"/>
        <v>0</v>
      </c>
      <c r="IV22" s="111">
        <f t="shared" si="153"/>
        <v>0</v>
      </c>
      <c r="IW22" s="110">
        <f t="shared" si="154"/>
        <v>0</v>
      </c>
      <c r="IX22" s="110">
        <f t="shared" si="155"/>
        <v>0</v>
      </c>
      <c r="IY22" s="110">
        <f t="shared" si="156"/>
        <v>0</v>
      </c>
      <c r="IZ22" s="110">
        <f t="shared" si="157"/>
        <v>0</v>
      </c>
      <c r="JA22" s="110">
        <f t="shared" si="158"/>
        <v>0</v>
      </c>
      <c r="JB22" s="110">
        <f t="shared" si="159"/>
        <v>0</v>
      </c>
      <c r="JC22" s="110">
        <f t="shared" si="160"/>
        <v>0</v>
      </c>
      <c r="JD22" s="110">
        <f t="shared" si="161"/>
        <v>0</v>
      </c>
      <c r="JE22" s="110">
        <f t="shared" si="162"/>
        <v>0</v>
      </c>
      <c r="JF22" s="110">
        <f t="shared" si="163"/>
        <v>0</v>
      </c>
      <c r="JG22" s="110">
        <f t="shared" si="164"/>
        <v>0</v>
      </c>
      <c r="JH22" s="110">
        <f t="shared" si="165"/>
        <v>0</v>
      </c>
      <c r="JI22" s="110">
        <f t="shared" si="166"/>
        <v>0</v>
      </c>
      <c r="JJ22" s="110">
        <f t="shared" si="167"/>
        <v>0</v>
      </c>
      <c r="JK22" s="110">
        <f t="shared" si="168"/>
        <v>0</v>
      </c>
      <c r="JL22" s="110">
        <f t="shared" si="169"/>
        <v>0</v>
      </c>
      <c r="JM22" s="110">
        <f t="shared" si="170"/>
        <v>0</v>
      </c>
      <c r="JN22" s="110">
        <f t="shared" si="171"/>
        <v>0</v>
      </c>
      <c r="JO22" s="110">
        <f t="shared" si="172"/>
        <v>0</v>
      </c>
      <c r="JP22" s="110">
        <f t="shared" si="173"/>
        <v>0</v>
      </c>
      <c r="JQ22" s="110">
        <f t="shared" si="174"/>
        <v>0</v>
      </c>
      <c r="JR22" s="110">
        <f t="shared" si="175"/>
        <v>0</v>
      </c>
      <c r="JS22" s="110">
        <f t="shared" si="176"/>
        <v>0</v>
      </c>
      <c r="JT22" s="110">
        <f t="shared" si="177"/>
        <v>0</v>
      </c>
      <c r="JV22" s="111">
        <f t="shared" si="178"/>
        <v>0</v>
      </c>
      <c r="JW22" s="110">
        <f t="shared" si="179"/>
        <v>0</v>
      </c>
      <c r="JX22" s="110">
        <f t="shared" si="180"/>
        <v>0</v>
      </c>
      <c r="JY22" s="110">
        <f t="shared" si="181"/>
        <v>0</v>
      </c>
      <c r="JZ22" s="110">
        <f t="shared" si="182"/>
        <v>0</v>
      </c>
      <c r="KA22" s="110">
        <f t="shared" si="183"/>
        <v>0</v>
      </c>
      <c r="KB22" s="110">
        <f t="shared" si="184"/>
        <v>0</v>
      </c>
      <c r="KC22" s="110">
        <f t="shared" si="185"/>
        <v>0</v>
      </c>
      <c r="KD22" s="110">
        <f t="shared" si="186"/>
        <v>0</v>
      </c>
      <c r="KE22" s="110">
        <f t="shared" si="187"/>
        <v>0</v>
      </c>
      <c r="KF22" s="110">
        <f t="shared" si="188"/>
        <v>0</v>
      </c>
      <c r="KG22" s="110">
        <f t="shared" si="189"/>
        <v>0</v>
      </c>
      <c r="KH22" s="110">
        <f t="shared" si="190"/>
        <v>0</v>
      </c>
      <c r="KI22" s="110">
        <f t="shared" si="191"/>
        <v>0</v>
      </c>
      <c r="KJ22" s="110">
        <f t="shared" si="192"/>
        <v>0</v>
      </c>
      <c r="KK22" s="110">
        <f t="shared" si="193"/>
        <v>0</v>
      </c>
      <c r="KL22" s="110">
        <f t="shared" si="194"/>
        <v>0</v>
      </c>
      <c r="KM22" s="110">
        <f t="shared" si="195"/>
        <v>0</v>
      </c>
      <c r="KN22" s="110">
        <f t="shared" si="196"/>
        <v>0</v>
      </c>
      <c r="KO22" s="110">
        <f t="shared" si="197"/>
        <v>0</v>
      </c>
      <c r="KP22" s="110">
        <f t="shared" si="198"/>
        <v>0</v>
      </c>
      <c r="KQ22" s="110">
        <f t="shared" si="199"/>
        <v>0</v>
      </c>
      <c r="KR22" s="110">
        <f t="shared" si="200"/>
        <v>0</v>
      </c>
      <c r="KS22" s="110">
        <f t="shared" si="201"/>
        <v>0</v>
      </c>
      <c r="KT22" s="110">
        <f t="shared" si="202"/>
        <v>0</v>
      </c>
      <c r="KV22" s="111">
        <f t="shared" si="203"/>
        <v>0</v>
      </c>
      <c r="KW22" s="110">
        <f t="shared" si="204"/>
        <v>0</v>
      </c>
      <c r="KX22" s="110">
        <f t="shared" si="205"/>
        <v>0</v>
      </c>
      <c r="KY22" s="110">
        <f t="shared" si="206"/>
        <v>0</v>
      </c>
      <c r="KZ22" s="110">
        <f t="shared" si="207"/>
        <v>0</v>
      </c>
      <c r="LA22" s="110">
        <f t="shared" si="208"/>
        <v>0</v>
      </c>
      <c r="LB22" s="110">
        <f t="shared" si="209"/>
        <v>0</v>
      </c>
      <c r="LC22" s="110">
        <f t="shared" si="210"/>
        <v>0</v>
      </c>
      <c r="LD22" s="110">
        <f t="shared" si="211"/>
        <v>0</v>
      </c>
      <c r="LE22" s="110">
        <f t="shared" si="212"/>
        <v>0</v>
      </c>
      <c r="LF22" s="110">
        <f t="shared" si="213"/>
        <v>0</v>
      </c>
      <c r="LG22" s="110">
        <f t="shared" si="214"/>
        <v>0</v>
      </c>
      <c r="LH22" s="110">
        <f t="shared" si="215"/>
        <v>0</v>
      </c>
      <c r="LI22" s="110">
        <f t="shared" si="216"/>
        <v>0</v>
      </c>
      <c r="LJ22" s="110">
        <f t="shared" si="217"/>
        <v>0</v>
      </c>
      <c r="LK22" s="110">
        <f t="shared" si="218"/>
        <v>0</v>
      </c>
      <c r="LL22" s="110">
        <f t="shared" si="219"/>
        <v>0</v>
      </c>
      <c r="LM22" s="110">
        <f t="shared" si="220"/>
        <v>0</v>
      </c>
      <c r="LN22" s="110">
        <f t="shared" si="221"/>
        <v>0</v>
      </c>
      <c r="LO22" s="110">
        <f t="shared" si="222"/>
        <v>0</v>
      </c>
      <c r="LP22" s="110">
        <f t="shared" si="223"/>
        <v>0</v>
      </c>
      <c r="LQ22" s="110">
        <f t="shared" si="224"/>
        <v>0</v>
      </c>
      <c r="LR22" s="110">
        <f t="shared" si="225"/>
        <v>0</v>
      </c>
      <c r="LS22" s="110">
        <f t="shared" si="226"/>
        <v>0</v>
      </c>
      <c r="LT22" s="110">
        <f t="shared" si="227"/>
        <v>0</v>
      </c>
      <c r="LV22" s="111"/>
      <c r="LW22" s="110">
        <f t="shared" si="228"/>
        <v>0</v>
      </c>
      <c r="LX22" s="110">
        <f t="shared" si="229"/>
        <v>0</v>
      </c>
      <c r="LY22" s="110">
        <f t="shared" si="230"/>
        <v>0</v>
      </c>
      <c r="LZ22" s="110">
        <f t="shared" si="231"/>
        <v>0</v>
      </c>
      <c r="MA22" s="110">
        <f t="shared" si="232"/>
        <v>0</v>
      </c>
      <c r="MB22" s="110">
        <f t="shared" si="233"/>
        <v>0</v>
      </c>
      <c r="MC22" s="110">
        <f t="shared" si="234"/>
        <v>0</v>
      </c>
      <c r="MD22" s="110">
        <f t="shared" si="235"/>
        <v>0</v>
      </c>
      <c r="ME22" s="110">
        <f t="shared" si="236"/>
        <v>0</v>
      </c>
      <c r="MF22" s="110">
        <f t="shared" si="237"/>
        <v>0</v>
      </c>
      <c r="MG22" s="110">
        <f t="shared" si="238"/>
        <v>0</v>
      </c>
      <c r="MH22" s="110">
        <f t="shared" si="239"/>
        <v>0</v>
      </c>
      <c r="MI22" s="110">
        <f t="shared" si="240"/>
        <v>0</v>
      </c>
      <c r="MJ22" s="110">
        <f t="shared" si="241"/>
        <v>0</v>
      </c>
      <c r="MK22" s="110">
        <f t="shared" si="242"/>
        <v>0</v>
      </c>
      <c r="ML22" s="110">
        <f t="shared" si="243"/>
        <v>0</v>
      </c>
      <c r="MM22" s="110">
        <f t="shared" si="244"/>
        <v>0</v>
      </c>
      <c r="MN22" s="110">
        <f t="shared" si="245"/>
        <v>0</v>
      </c>
      <c r="MO22" s="110">
        <f t="shared" si="246"/>
        <v>0</v>
      </c>
      <c r="MP22" s="110">
        <f t="shared" si="247"/>
        <v>0</v>
      </c>
      <c r="MQ22" s="110">
        <f t="shared" si="248"/>
        <v>0</v>
      </c>
      <c r="MR22" s="110">
        <f t="shared" si="249"/>
        <v>0</v>
      </c>
      <c r="MS22" s="110">
        <f t="shared" si="250"/>
        <v>0</v>
      </c>
      <c r="MT22" s="110">
        <f t="shared" si="251"/>
        <v>0</v>
      </c>
      <c r="MV22" s="114">
        <v>116</v>
      </c>
      <c r="MW22" s="114">
        <v>0</v>
      </c>
      <c r="MX22" s="114">
        <v>0</v>
      </c>
      <c r="MY22" s="114">
        <v>0</v>
      </c>
      <c r="MZ22" s="114">
        <v>0</v>
      </c>
      <c r="NB22" s="115">
        <v>75</v>
      </c>
      <c r="NC22" s="115" t="str">
        <v>N/A</v>
      </c>
      <c r="ND22" s="115" t="str">
        <v>N/A</v>
      </c>
      <c r="NE22" s="115" t="str">
        <v>N/A</v>
      </c>
      <c r="NF22" s="115" t="str">
        <v>N/A</v>
      </c>
    </row>
    <row r="23" spans="1:370" ht="13.5" x14ac:dyDescent="0.25">
      <c r="B23" s="8">
        <f t="shared" si="252"/>
        <v>20</v>
      </c>
      <c r="C23" s="7">
        <v>170.05</v>
      </c>
      <c r="D23" s="7">
        <v>170.05</v>
      </c>
      <c r="E23" s="7">
        <v>170.05</v>
      </c>
      <c r="F23" s="7">
        <v>170.05</v>
      </c>
      <c r="G23" s="7">
        <v>170.05</v>
      </c>
      <c r="H23" s="7">
        <v>170.05</v>
      </c>
      <c r="I23" s="7">
        <v>170.05</v>
      </c>
      <c r="J23" s="7">
        <v>170.05</v>
      </c>
      <c r="K23" s="7">
        <v>170.05</v>
      </c>
      <c r="L23" s="7">
        <v>170.05</v>
      </c>
      <c r="M23" s="7">
        <v>179</v>
      </c>
      <c r="N23" s="7">
        <v>179</v>
      </c>
      <c r="O23" s="7">
        <v>179</v>
      </c>
      <c r="P23" s="7">
        <v>179</v>
      </c>
      <c r="Q23" s="7">
        <v>179</v>
      </c>
      <c r="R23" s="7">
        <v>179</v>
      </c>
      <c r="S23" s="7">
        <v>179</v>
      </c>
      <c r="T23" s="7">
        <v>179</v>
      </c>
      <c r="U23" s="7">
        <v>179</v>
      </c>
      <c r="V23" s="7">
        <v>179</v>
      </c>
      <c r="W23" s="7">
        <v>179</v>
      </c>
      <c r="X23" s="7">
        <v>179</v>
      </c>
      <c r="Y23" s="7">
        <v>179</v>
      </c>
      <c r="Z23" s="7">
        <v>179</v>
      </c>
      <c r="AA23" s="7">
        <v>179</v>
      </c>
      <c r="AB23" s="7">
        <v>179</v>
      </c>
      <c r="AC23" s="7">
        <v>179</v>
      </c>
      <c r="AD23" s="7">
        <v>179</v>
      </c>
      <c r="AE23" s="7">
        <v>179</v>
      </c>
      <c r="AF23" s="7">
        <v>179</v>
      </c>
      <c r="AG23" s="7">
        <v>185.27</v>
      </c>
      <c r="AH23" s="7">
        <v>185.27</v>
      </c>
      <c r="AI23" s="7">
        <v>185.27</v>
      </c>
      <c r="AJ23" s="7">
        <v>185.27</v>
      </c>
      <c r="AK23" s="7">
        <v>185.27</v>
      </c>
      <c r="AL23" s="7">
        <v>185.27</v>
      </c>
      <c r="AM23" s="7">
        <v>185.27</v>
      </c>
      <c r="AN23" s="27">
        <v>20</v>
      </c>
      <c r="AP23" s="111"/>
      <c r="AQ23" s="110">
        <f t="shared" si="13"/>
        <v>0</v>
      </c>
      <c r="AR23" s="110">
        <f t="shared" si="14"/>
        <v>0</v>
      </c>
      <c r="AS23" s="110">
        <f t="shared" si="15"/>
        <v>0</v>
      </c>
      <c r="AT23" s="110">
        <f t="shared" si="16"/>
        <v>8.9499999999999886</v>
      </c>
      <c r="AU23" s="110">
        <f t="shared" si="17"/>
        <v>0</v>
      </c>
      <c r="AV23" s="110">
        <f t="shared" si="18"/>
        <v>0</v>
      </c>
      <c r="AW23" s="110">
        <f t="shared" si="19"/>
        <v>0</v>
      </c>
      <c r="AX23" s="110">
        <f t="shared" si="20"/>
        <v>0</v>
      </c>
      <c r="AY23" s="110">
        <f t="shared" si="21"/>
        <v>0</v>
      </c>
      <c r="AZ23" s="110">
        <f t="shared" si="22"/>
        <v>6.2700000000000102</v>
      </c>
      <c r="BA23" s="110">
        <f t="shared" si="23"/>
        <v>0</v>
      </c>
      <c r="BB23" s="110">
        <f t="shared" si="24"/>
        <v>0</v>
      </c>
      <c r="BD23" s="109" cm="1">
        <f t="array" ref="BD23">+IFERROR(INDEX($C$3:$AM$3,MATCH(TRUE,INDEX($C23:$AM23&lt;&gt;0,0),0)),"N/A")</f>
        <v>44926</v>
      </c>
      <c r="BE23" s="112"/>
      <c r="BF23" s="1" t="str" cm="1">
        <f t="array" ref="BF23">+_xlfn.IFS(BT23&lt;&gt;0,BT$2,CH23&lt;&gt;0,CH$2,CV23&lt;&gt;0,CV$2,DJ23&lt;&gt;0,DJ$2,TRUE,"")</f>
        <v/>
      </c>
      <c r="BG23" s="1" t="str" cm="1">
        <f t="array" ref="BG23">+_xlfn.IFS(BU23&lt;&gt;0,BU$2,CI23&lt;&gt;0,CI$2,CW23&lt;&gt;0,CW$2,DK23&lt;&gt;0,DK$2,TRUE,"")</f>
        <v/>
      </c>
      <c r="BH23" s="1" t="str" cm="1">
        <f t="array" ref="BH23">+_xlfn.IFS(BV23&lt;&gt;0,BV$2,CJ23&lt;&gt;0,CJ$2,CX23&lt;&gt;0,CX$2,DL23&lt;&gt;0,DL$2,TRUE,"")</f>
        <v/>
      </c>
      <c r="BI23" s="1" t="str" cm="1">
        <f t="array" ref="BI23">+_xlfn.IFS(BW23&lt;&gt;0,BW$2,CK23&lt;&gt;0,CK$2,CY23&lt;&gt;0,CY$2,DM23&lt;&gt;0,DM$2,TRUE,"")</f>
        <v>Upsell</v>
      </c>
      <c r="BJ23" s="1" t="str" cm="1">
        <f t="array" ref="BJ23">+_xlfn.IFS(BX23&lt;&gt;0,BX$2,CL23&lt;&gt;0,CL$2,CZ23&lt;&gt;0,CZ$2,DN23&lt;&gt;0,DN$2,TRUE,"")</f>
        <v/>
      </c>
      <c r="BK23" s="1" t="str" cm="1">
        <f t="array" ref="BK23">+_xlfn.IFS(BY23&lt;&gt;0,BY$2,CM23&lt;&gt;0,CM$2,DA23&lt;&gt;0,DA$2,DO23&lt;&gt;0,DO$2,TRUE,"")</f>
        <v/>
      </c>
      <c r="BL23" s="1" t="str" cm="1">
        <f t="array" ref="BL23">+_xlfn.IFS(BZ23&lt;&gt;0,BZ$2,CN23&lt;&gt;0,CN$2,DB23&lt;&gt;0,DB$2,DP23&lt;&gt;0,DP$2,TRUE,"")</f>
        <v/>
      </c>
      <c r="BM23" s="1" t="str" cm="1">
        <f t="array" ref="BM23">+_xlfn.IFS(CA23&lt;&gt;0,CA$2,CO23&lt;&gt;0,CO$2,DC23&lt;&gt;0,DC$2,DQ23&lt;&gt;0,DQ$2,TRUE,"")</f>
        <v/>
      </c>
      <c r="BN23" s="1" t="str" cm="1">
        <f t="array" ref="BN23">+_xlfn.IFS(CB23&lt;&gt;0,CB$2,CP23&lt;&gt;0,CP$2,DD23&lt;&gt;0,DD$2,DR23&lt;&gt;0,DR$2,TRUE,"")</f>
        <v/>
      </c>
      <c r="BO23" s="1" t="str" cm="1">
        <f t="array" ref="BO23">+_xlfn.IFS(CC23&lt;&gt;0,CC$2,CQ23&lt;&gt;0,CQ$2,DE23&lt;&gt;0,DE$2,DS23&lt;&gt;0,DS$2,TRUE,"")</f>
        <v>Upsell</v>
      </c>
      <c r="BP23" s="1" t="str" cm="1">
        <f t="array" ref="BP23">+_xlfn.IFS(CD23&lt;&gt;0,CD$2,CR23&lt;&gt;0,CR$2,DF23&lt;&gt;0,DF$2,DT23&lt;&gt;0,DT$2,TRUE,"")</f>
        <v/>
      </c>
      <c r="BQ23" s="1" t="str" cm="1">
        <f t="array" ref="BQ23">+_xlfn.IFS(CE23&lt;&gt;0,CE$2,CS23&lt;&gt;0,CS$2,DG23&lt;&gt;0,DG$2,DU23&lt;&gt;0,DU$2,TRUE,"")</f>
        <v/>
      </c>
      <c r="BS23" s="111"/>
      <c r="BT23" s="110">
        <f t="shared" si="25"/>
        <v>0</v>
      </c>
      <c r="BU23" s="110">
        <f t="shared" si="26"/>
        <v>0</v>
      </c>
      <c r="BV23" s="110">
        <f t="shared" si="27"/>
        <v>0</v>
      </c>
      <c r="BW23" s="110">
        <f t="shared" si="28"/>
        <v>0</v>
      </c>
      <c r="BX23" s="110">
        <f t="shared" si="29"/>
        <v>0</v>
      </c>
      <c r="BY23" s="110">
        <f t="shared" si="30"/>
        <v>0</v>
      </c>
      <c r="BZ23" s="110">
        <f t="shared" si="31"/>
        <v>0</v>
      </c>
      <c r="CA23" s="110">
        <f t="shared" si="32"/>
        <v>0</v>
      </c>
      <c r="CB23" s="110">
        <f t="shared" si="33"/>
        <v>0</v>
      </c>
      <c r="CC23" s="110">
        <f t="shared" si="34"/>
        <v>0</v>
      </c>
      <c r="CD23" s="110">
        <f t="shared" si="35"/>
        <v>0</v>
      </c>
      <c r="CE23" s="110">
        <f t="shared" si="36"/>
        <v>0</v>
      </c>
      <c r="CG23" s="111"/>
      <c r="CH23" s="110">
        <f t="shared" si="37"/>
        <v>0</v>
      </c>
      <c r="CI23" s="110">
        <f t="shared" si="38"/>
        <v>0</v>
      </c>
      <c r="CJ23" s="110">
        <f t="shared" si="39"/>
        <v>0</v>
      </c>
      <c r="CK23" s="110">
        <f t="shared" si="40"/>
        <v>0</v>
      </c>
      <c r="CL23" s="110">
        <f t="shared" si="41"/>
        <v>0</v>
      </c>
      <c r="CM23" s="110">
        <f t="shared" si="42"/>
        <v>0</v>
      </c>
      <c r="CN23" s="110">
        <f t="shared" si="43"/>
        <v>0</v>
      </c>
      <c r="CO23" s="110">
        <f t="shared" si="44"/>
        <v>0</v>
      </c>
      <c r="CP23" s="110">
        <f t="shared" si="45"/>
        <v>0</v>
      </c>
      <c r="CQ23" s="110">
        <f t="shared" si="46"/>
        <v>0</v>
      </c>
      <c r="CR23" s="110">
        <f t="shared" si="47"/>
        <v>0</v>
      </c>
      <c r="CS23" s="110">
        <f t="shared" si="48"/>
        <v>0</v>
      </c>
      <c r="CU23" s="111"/>
      <c r="CV23" s="110">
        <f t="shared" si="49"/>
        <v>0</v>
      </c>
      <c r="CW23" s="110">
        <f t="shared" si="50"/>
        <v>0</v>
      </c>
      <c r="CX23" s="110">
        <f t="shared" si="51"/>
        <v>0</v>
      </c>
      <c r="CY23" s="110">
        <f t="shared" si="52"/>
        <v>0</v>
      </c>
      <c r="CZ23" s="110">
        <f t="shared" si="53"/>
        <v>0</v>
      </c>
      <c r="DA23" s="110">
        <f t="shared" si="54"/>
        <v>0</v>
      </c>
      <c r="DB23" s="110">
        <f t="shared" si="55"/>
        <v>0</v>
      </c>
      <c r="DC23" s="110">
        <f t="shared" si="56"/>
        <v>0</v>
      </c>
      <c r="DD23" s="110">
        <f t="shared" si="57"/>
        <v>0</v>
      </c>
      <c r="DE23" s="110">
        <f t="shared" si="58"/>
        <v>0</v>
      </c>
      <c r="DF23" s="110">
        <f t="shared" si="59"/>
        <v>0</v>
      </c>
      <c r="DG23" s="110">
        <f t="shared" si="60"/>
        <v>0</v>
      </c>
      <c r="DI23" s="111"/>
      <c r="DJ23" s="110">
        <f t="shared" si="61"/>
        <v>0</v>
      </c>
      <c r="DK23" s="110">
        <f t="shared" si="62"/>
        <v>0</v>
      </c>
      <c r="DL23" s="110">
        <f t="shared" si="63"/>
        <v>0</v>
      </c>
      <c r="DM23" s="110">
        <f t="shared" si="64"/>
        <v>8.9499999999999886</v>
      </c>
      <c r="DN23" s="110">
        <f t="shared" si="65"/>
        <v>0</v>
      </c>
      <c r="DO23" s="110">
        <f t="shared" si="66"/>
        <v>0</v>
      </c>
      <c r="DP23" s="110">
        <f t="shared" si="67"/>
        <v>0</v>
      </c>
      <c r="DQ23" s="110">
        <f t="shared" si="68"/>
        <v>0</v>
      </c>
      <c r="DR23" s="110">
        <f t="shared" si="69"/>
        <v>0</v>
      </c>
      <c r="DS23" s="110">
        <f t="shared" si="70"/>
        <v>6.2700000000000102</v>
      </c>
      <c r="DT23" s="110">
        <f t="shared" si="71"/>
        <v>0</v>
      </c>
      <c r="DU23" s="110">
        <f t="shared" si="72"/>
        <v>0</v>
      </c>
      <c r="DW23" s="111"/>
      <c r="DX23" s="110">
        <f t="shared" si="73"/>
        <v>0</v>
      </c>
      <c r="DY23" s="110">
        <f t="shared" si="74"/>
        <v>0</v>
      </c>
      <c r="DZ23" s="110">
        <f t="shared" si="75"/>
        <v>0</v>
      </c>
      <c r="EA23" s="110">
        <f t="shared" si="76"/>
        <v>0</v>
      </c>
      <c r="EB23" s="110">
        <f t="shared" si="77"/>
        <v>0</v>
      </c>
      <c r="EC23" s="110">
        <f t="shared" si="78"/>
        <v>0</v>
      </c>
      <c r="ED23" s="110">
        <f t="shared" si="79"/>
        <v>0</v>
      </c>
      <c r="EE23" s="110">
        <f t="shared" si="80"/>
        <v>0</v>
      </c>
      <c r="EF23" s="110">
        <f t="shared" si="81"/>
        <v>0</v>
      </c>
      <c r="EG23" s="110">
        <f t="shared" si="82"/>
        <v>0</v>
      </c>
      <c r="EH23" s="110">
        <f t="shared" si="83"/>
        <v>0</v>
      </c>
      <c r="EI23" s="110">
        <f t="shared" si="84"/>
        <v>0</v>
      </c>
      <c r="EK23" s="111"/>
      <c r="EL23" s="110">
        <f t="shared" si="85"/>
        <v>8.9499999999999886</v>
      </c>
      <c r="EM23" s="110">
        <f t="shared" si="86"/>
        <v>0</v>
      </c>
      <c r="EN23" s="110">
        <f t="shared" si="87"/>
        <v>6.2700000000000102</v>
      </c>
      <c r="EP23" s="109" cm="1">
        <f t="array" ref="EP23">+IFERROR(INDEX($C$3:$AM$3,MATCH(TRUE,INDEX($C23:$AM23&lt;&gt;0,0),0)),"N/A")</f>
        <v>44926</v>
      </c>
      <c r="EQ23" s="112"/>
      <c r="ER23" s="1" t="str" cm="1">
        <f t="array" ref="ER23">+_xlfn.IFS(EW23&lt;&gt;0,EW$2,FB23&lt;&gt;0,FB$2,FG23&lt;&gt;0,FG$2,FL23&lt;&gt;0,FL$2,TRUE,"")</f>
        <v>Upsell</v>
      </c>
      <c r="ES23" s="1" t="str" cm="1">
        <f t="array" ref="ES23">+_xlfn.IFS(EX23&lt;&gt;0,EX$2,FC23&lt;&gt;0,FC$2,FH23&lt;&gt;0,FH$2,FM23&lt;&gt;0,FM$2,TRUE,"")</f>
        <v/>
      </c>
      <c r="ET23" s="1" t="str" cm="1">
        <f t="array" ref="ET23">+_xlfn.IFS(EY23&lt;&gt;0,EY$2,FD23&lt;&gt;0,FD$2,FI23&lt;&gt;0,FI$2,FN23&lt;&gt;0,FN$2,TRUE,"")</f>
        <v>Upsell</v>
      </c>
      <c r="EV23" s="111"/>
      <c r="EW23" s="110">
        <f t="shared" si="88"/>
        <v>0</v>
      </c>
      <c r="EX23" s="110">
        <f t="shared" si="89"/>
        <v>0</v>
      </c>
      <c r="EY23" s="110">
        <f t="shared" si="90"/>
        <v>0</v>
      </c>
      <c r="FA23" s="111"/>
      <c r="FB23" s="110">
        <f t="shared" si="91"/>
        <v>0</v>
      </c>
      <c r="FC23" s="110">
        <f t="shared" si="92"/>
        <v>0</v>
      </c>
      <c r="FD23" s="110">
        <f t="shared" si="93"/>
        <v>0</v>
      </c>
      <c r="FF23" s="111"/>
      <c r="FG23" s="110">
        <f t="shared" si="94"/>
        <v>0</v>
      </c>
      <c r="FH23" s="110">
        <f t="shared" si="95"/>
        <v>0</v>
      </c>
      <c r="FI23" s="110">
        <f t="shared" si="96"/>
        <v>0</v>
      </c>
      <c r="FK23" s="111"/>
      <c r="FL23" s="110">
        <f t="shared" si="97"/>
        <v>8.9499999999999886</v>
      </c>
      <c r="FM23" s="110">
        <f t="shared" si="98"/>
        <v>0</v>
      </c>
      <c r="FN23" s="110">
        <f t="shared" si="99"/>
        <v>6.2700000000000102</v>
      </c>
      <c r="FP23" s="111"/>
      <c r="FQ23" s="110">
        <f t="shared" si="100"/>
        <v>0</v>
      </c>
      <c r="FR23" s="110">
        <f t="shared" si="101"/>
        <v>0</v>
      </c>
      <c r="FS23" s="110">
        <f t="shared" si="102"/>
        <v>0</v>
      </c>
      <c r="FU23" s="111">
        <f t="shared" si="103"/>
        <v>8.9499999999999886</v>
      </c>
      <c r="FV23" s="110">
        <f t="shared" si="104"/>
        <v>8.9499999999999886</v>
      </c>
      <c r="FW23" s="110">
        <f t="shared" si="105"/>
        <v>8.9499999999999886</v>
      </c>
      <c r="FX23" s="110">
        <f t="shared" si="106"/>
        <v>8.9499999999999886</v>
      </c>
      <c r="FY23" s="110">
        <f t="shared" si="107"/>
        <v>8.9499999999999886</v>
      </c>
      <c r="FZ23" s="110">
        <f t="shared" si="108"/>
        <v>8.9499999999999886</v>
      </c>
      <c r="GA23" s="110">
        <f t="shared" si="109"/>
        <v>8.9499999999999886</v>
      </c>
      <c r="GB23" s="110">
        <f t="shared" si="110"/>
        <v>8.9499999999999886</v>
      </c>
      <c r="GC23" s="110">
        <f t="shared" si="111"/>
        <v>8.9499999999999886</v>
      </c>
      <c r="GD23" s="110">
        <f t="shared" si="112"/>
        <v>8.9499999999999886</v>
      </c>
      <c r="GE23" s="110">
        <f t="shared" si="113"/>
        <v>0</v>
      </c>
      <c r="GF23" s="110">
        <f t="shared" si="114"/>
        <v>0</v>
      </c>
      <c r="GG23" s="110">
        <f t="shared" si="115"/>
        <v>0</v>
      </c>
      <c r="GH23" s="110">
        <f t="shared" si="116"/>
        <v>0</v>
      </c>
      <c r="GI23" s="110">
        <f t="shared" si="117"/>
        <v>0</v>
      </c>
      <c r="GJ23" s="110">
        <f t="shared" si="118"/>
        <v>0</v>
      </c>
      <c r="GK23" s="110">
        <f t="shared" si="119"/>
        <v>0</v>
      </c>
      <c r="GL23" s="110">
        <f t="shared" si="120"/>
        <v>0</v>
      </c>
      <c r="GM23" s="110">
        <f t="shared" si="121"/>
        <v>6.2700000000000102</v>
      </c>
      <c r="GN23" s="110">
        <f t="shared" si="122"/>
        <v>6.2700000000000102</v>
      </c>
      <c r="GO23" s="110">
        <f t="shared" si="123"/>
        <v>6.2700000000000102</v>
      </c>
      <c r="GP23" s="110">
        <f t="shared" si="124"/>
        <v>6.2700000000000102</v>
      </c>
      <c r="GQ23" s="110">
        <f t="shared" si="125"/>
        <v>6.2700000000000102</v>
      </c>
      <c r="GR23" s="110">
        <f t="shared" si="126"/>
        <v>6.2700000000000102</v>
      </c>
      <c r="GS23" s="110">
        <f t="shared" si="127"/>
        <v>6.2700000000000102</v>
      </c>
      <c r="GU23" s="109" cm="1">
        <f t="array" ref="GU23">+IFERROR(INDEX($C$3:$AM$3,MATCH(TRUE,INDEX($C23:$AM23&lt;&gt;0,0),0)),"N/A")</f>
        <v>44926</v>
      </c>
      <c r="GV23" s="112" t="str" cm="1">
        <f t="array" ref="GV23">+_xlfn.IFS(HV23&lt;&gt;0,HV$2,IV23&lt;&gt;0,IV$2,JV23&lt;&gt;0,JV$2,KV23&lt;&gt;0,KV$2,TRUE,"")</f>
        <v>Upsell</v>
      </c>
      <c r="GW23" s="1" t="str" cm="1">
        <f t="array" ref="GW23">+_xlfn.IFS(HW23&lt;&gt;0,HW$2,IW23&lt;&gt;0,IW$2,JW23&lt;&gt;0,JW$2,KW23&lt;&gt;0,KW$2,TRUE,"")</f>
        <v>Upsell</v>
      </c>
      <c r="GX23" s="1" t="str" cm="1">
        <f t="array" ref="GX23">+_xlfn.IFS(HX23&lt;&gt;0,HX$2,IX23&lt;&gt;0,IX$2,JX23&lt;&gt;0,JX$2,KX23&lt;&gt;0,KX$2,TRUE,"")</f>
        <v>Upsell</v>
      </c>
      <c r="GY23" s="1" t="str" cm="1">
        <f t="array" ref="GY23">+_xlfn.IFS(HY23&lt;&gt;0,HY$2,IY23&lt;&gt;0,IY$2,JY23&lt;&gt;0,JY$2,KY23&lt;&gt;0,KY$2,TRUE,"")</f>
        <v>Upsell</v>
      </c>
      <c r="GZ23" s="1" t="str" cm="1">
        <f t="array" ref="GZ23">+_xlfn.IFS(HZ23&lt;&gt;0,HZ$2,IZ23&lt;&gt;0,IZ$2,JZ23&lt;&gt;0,JZ$2,KZ23&lt;&gt;0,KZ$2,TRUE,"")</f>
        <v>Upsell</v>
      </c>
      <c r="HA23" s="1" t="str" cm="1">
        <f t="array" ref="HA23">+_xlfn.IFS(IA23&lt;&gt;0,IA$2,JA23&lt;&gt;0,JA$2,KA23&lt;&gt;0,KA$2,LA23&lt;&gt;0,LA$2,TRUE,"")</f>
        <v>Upsell</v>
      </c>
      <c r="HB23" s="1" t="str" cm="1">
        <f t="array" ref="HB23">+_xlfn.IFS(IB23&lt;&gt;0,IB$2,JB23&lt;&gt;0,JB$2,KB23&lt;&gt;0,KB$2,LB23&lt;&gt;0,LB$2,TRUE,"")</f>
        <v>Upsell</v>
      </c>
      <c r="HC23" s="1" t="str" cm="1">
        <f t="array" ref="HC23">+_xlfn.IFS(IC23&lt;&gt;0,IC$2,JC23&lt;&gt;0,JC$2,KC23&lt;&gt;0,KC$2,LC23&lt;&gt;0,LC$2,TRUE,"")</f>
        <v>Upsell</v>
      </c>
      <c r="HD23" s="1" t="str" cm="1">
        <f t="array" ref="HD23">+_xlfn.IFS(ID23&lt;&gt;0,ID$2,JD23&lt;&gt;0,JD$2,KD23&lt;&gt;0,KD$2,LD23&lt;&gt;0,LD$2,TRUE,"")</f>
        <v>Upsell</v>
      </c>
      <c r="HE23" s="1" t="str" cm="1">
        <f t="array" ref="HE23">+_xlfn.IFS(IE23&lt;&gt;0,IE$2,JE23&lt;&gt;0,JE$2,KE23&lt;&gt;0,KE$2,LE23&lt;&gt;0,LE$2,TRUE,"")</f>
        <v>Upsell</v>
      </c>
      <c r="HF23" s="1" t="str" cm="1">
        <f t="array" ref="HF23">+_xlfn.IFS(IF23&lt;&gt;0,IF$2,JF23&lt;&gt;0,JF$2,KF23&lt;&gt;0,KF$2,LF23&lt;&gt;0,LF$2,TRUE,"")</f>
        <v/>
      </c>
      <c r="HG23" s="1" t="str" cm="1">
        <f t="array" ref="HG23">+_xlfn.IFS(IG23&lt;&gt;0,IG$2,JG23&lt;&gt;0,JG$2,KG23&lt;&gt;0,KG$2,LG23&lt;&gt;0,LG$2,TRUE,"")</f>
        <v/>
      </c>
      <c r="HH23" s="1" t="str" cm="1">
        <f t="array" ref="HH23">+_xlfn.IFS(IH23&lt;&gt;0,IH$2,JH23&lt;&gt;0,JH$2,KH23&lt;&gt;0,KH$2,LH23&lt;&gt;0,LH$2,TRUE,"")</f>
        <v/>
      </c>
      <c r="HI23" s="1" t="str" cm="1">
        <f t="array" ref="HI23">+_xlfn.IFS(II23&lt;&gt;0,II$2,JI23&lt;&gt;0,JI$2,KI23&lt;&gt;0,KI$2,LI23&lt;&gt;0,LI$2,TRUE,"")</f>
        <v/>
      </c>
      <c r="HJ23" s="1" t="str" cm="1">
        <f t="array" ref="HJ23">+_xlfn.IFS(IJ23&lt;&gt;0,IJ$2,JJ23&lt;&gt;0,JJ$2,KJ23&lt;&gt;0,KJ$2,LJ23&lt;&gt;0,LJ$2,TRUE,"")</f>
        <v/>
      </c>
      <c r="HK23" s="1" t="str" cm="1">
        <f t="array" ref="HK23">+_xlfn.IFS(IK23&lt;&gt;0,IK$2,JK23&lt;&gt;0,JK$2,KK23&lt;&gt;0,KK$2,LK23&lt;&gt;0,LK$2,TRUE,"")</f>
        <v/>
      </c>
      <c r="HL23" s="1" t="str" cm="1">
        <f t="array" ref="HL23">+_xlfn.IFS(IL23&lt;&gt;0,IL$2,JL23&lt;&gt;0,JL$2,KL23&lt;&gt;0,KL$2,LL23&lt;&gt;0,LL$2,TRUE,"")</f>
        <v/>
      </c>
      <c r="HM23" s="1" t="str" cm="1">
        <f t="array" ref="HM23">+_xlfn.IFS(IM23&lt;&gt;0,IM$2,JM23&lt;&gt;0,JM$2,KM23&lt;&gt;0,KM$2,LM23&lt;&gt;0,LM$2,TRUE,"")</f>
        <v/>
      </c>
      <c r="HN23" s="1" t="str" cm="1">
        <f t="array" ref="HN23">+_xlfn.IFS(IN23&lt;&gt;0,IN$2,JN23&lt;&gt;0,JN$2,KN23&lt;&gt;0,KN$2,LN23&lt;&gt;0,LN$2,TRUE,"")</f>
        <v>Upsell</v>
      </c>
      <c r="HO23" s="1" t="str" cm="1">
        <f t="array" ref="HO23">+_xlfn.IFS(IO23&lt;&gt;0,IO$2,JO23&lt;&gt;0,JO$2,KO23&lt;&gt;0,KO$2,LO23&lt;&gt;0,LO$2,TRUE,"")</f>
        <v>Upsell</v>
      </c>
      <c r="HP23" s="1" t="str" cm="1">
        <f t="array" ref="HP23">+_xlfn.IFS(IP23&lt;&gt;0,IP$2,JP23&lt;&gt;0,JP$2,KP23&lt;&gt;0,KP$2,LP23&lt;&gt;0,LP$2,TRUE,"")</f>
        <v>Upsell</v>
      </c>
      <c r="HQ23" s="1" t="str" cm="1">
        <f t="array" ref="HQ23">+_xlfn.IFS(IQ23&lt;&gt;0,IQ$2,JQ23&lt;&gt;0,JQ$2,KQ23&lt;&gt;0,KQ$2,LQ23&lt;&gt;0,LQ$2,TRUE,"")</f>
        <v>Upsell</v>
      </c>
      <c r="HR23" s="1" t="str" cm="1">
        <f t="array" ref="HR23">+_xlfn.IFS(IR23&lt;&gt;0,IR$2,JR23&lt;&gt;0,JR$2,KR23&lt;&gt;0,KR$2,LR23&lt;&gt;0,LR$2,TRUE,"")</f>
        <v>Upsell</v>
      </c>
      <c r="HS23" s="1" t="str" cm="1">
        <f t="array" ref="HS23">+_xlfn.IFS(IS23&lt;&gt;0,IS$2,JS23&lt;&gt;0,JS$2,KS23&lt;&gt;0,KS$2,LS23&lt;&gt;0,LS$2,TRUE,"")</f>
        <v>Upsell</v>
      </c>
      <c r="HT23" s="1" t="str" cm="1">
        <f t="array" ref="HT23">+_xlfn.IFS(IT23&lt;&gt;0,IT$2,JT23&lt;&gt;0,JT$2,KT23&lt;&gt;0,KT$2,LT23&lt;&gt;0,LT$2,TRUE,"")</f>
        <v>Upsell</v>
      </c>
      <c r="HV23" s="111">
        <f t="shared" si="128"/>
        <v>0</v>
      </c>
      <c r="HW23" s="110">
        <f t="shared" si="129"/>
        <v>0</v>
      </c>
      <c r="HX23" s="110">
        <f t="shared" si="130"/>
        <v>0</v>
      </c>
      <c r="HY23" s="110">
        <f t="shared" si="131"/>
        <v>0</v>
      </c>
      <c r="HZ23" s="110">
        <f t="shared" si="132"/>
        <v>0</v>
      </c>
      <c r="IA23" s="110">
        <f t="shared" si="133"/>
        <v>0</v>
      </c>
      <c r="IB23" s="110">
        <f t="shared" si="134"/>
        <v>0</v>
      </c>
      <c r="IC23" s="110">
        <f t="shared" si="135"/>
        <v>0</v>
      </c>
      <c r="ID23" s="110">
        <f t="shared" si="136"/>
        <v>0</v>
      </c>
      <c r="IE23" s="110">
        <f t="shared" si="137"/>
        <v>0</v>
      </c>
      <c r="IF23" s="110">
        <f t="shared" si="138"/>
        <v>0</v>
      </c>
      <c r="IG23" s="110">
        <f t="shared" si="139"/>
        <v>0</v>
      </c>
      <c r="IH23" s="110">
        <f t="shared" si="140"/>
        <v>0</v>
      </c>
      <c r="II23" s="110">
        <f t="shared" si="141"/>
        <v>0</v>
      </c>
      <c r="IJ23" s="110">
        <f t="shared" si="142"/>
        <v>0</v>
      </c>
      <c r="IK23" s="110">
        <f t="shared" si="143"/>
        <v>0</v>
      </c>
      <c r="IL23" s="110">
        <f t="shared" si="144"/>
        <v>0</v>
      </c>
      <c r="IM23" s="110">
        <f t="shared" si="145"/>
        <v>0</v>
      </c>
      <c r="IN23" s="110">
        <f t="shared" si="146"/>
        <v>0</v>
      </c>
      <c r="IO23" s="110">
        <f t="shared" si="147"/>
        <v>0</v>
      </c>
      <c r="IP23" s="110">
        <f t="shared" si="148"/>
        <v>0</v>
      </c>
      <c r="IQ23" s="110">
        <f t="shared" si="149"/>
        <v>0</v>
      </c>
      <c r="IR23" s="110">
        <f t="shared" si="150"/>
        <v>0</v>
      </c>
      <c r="IS23" s="110">
        <f t="shared" si="151"/>
        <v>0</v>
      </c>
      <c r="IT23" s="110">
        <f t="shared" si="152"/>
        <v>0</v>
      </c>
      <c r="IV23" s="111">
        <f t="shared" si="153"/>
        <v>0</v>
      </c>
      <c r="IW23" s="110">
        <f t="shared" si="154"/>
        <v>0</v>
      </c>
      <c r="IX23" s="110">
        <f t="shared" si="155"/>
        <v>0</v>
      </c>
      <c r="IY23" s="110">
        <f t="shared" si="156"/>
        <v>0</v>
      </c>
      <c r="IZ23" s="110">
        <f t="shared" si="157"/>
        <v>0</v>
      </c>
      <c r="JA23" s="110">
        <f t="shared" si="158"/>
        <v>0</v>
      </c>
      <c r="JB23" s="110">
        <f t="shared" si="159"/>
        <v>0</v>
      </c>
      <c r="JC23" s="110">
        <f t="shared" si="160"/>
        <v>0</v>
      </c>
      <c r="JD23" s="110">
        <f t="shared" si="161"/>
        <v>0</v>
      </c>
      <c r="JE23" s="110">
        <f t="shared" si="162"/>
        <v>0</v>
      </c>
      <c r="JF23" s="110">
        <f t="shared" si="163"/>
        <v>0</v>
      </c>
      <c r="JG23" s="110">
        <f t="shared" si="164"/>
        <v>0</v>
      </c>
      <c r="JH23" s="110">
        <f t="shared" si="165"/>
        <v>0</v>
      </c>
      <c r="JI23" s="110">
        <f t="shared" si="166"/>
        <v>0</v>
      </c>
      <c r="JJ23" s="110">
        <f t="shared" si="167"/>
        <v>0</v>
      </c>
      <c r="JK23" s="110">
        <f t="shared" si="168"/>
        <v>0</v>
      </c>
      <c r="JL23" s="110">
        <f t="shared" si="169"/>
        <v>0</v>
      </c>
      <c r="JM23" s="110">
        <f t="shared" si="170"/>
        <v>0</v>
      </c>
      <c r="JN23" s="110">
        <f t="shared" si="171"/>
        <v>0</v>
      </c>
      <c r="JO23" s="110">
        <f t="shared" si="172"/>
        <v>0</v>
      </c>
      <c r="JP23" s="110">
        <f t="shared" si="173"/>
        <v>0</v>
      </c>
      <c r="JQ23" s="110">
        <f t="shared" si="174"/>
        <v>0</v>
      </c>
      <c r="JR23" s="110">
        <f t="shared" si="175"/>
        <v>0</v>
      </c>
      <c r="JS23" s="110">
        <f t="shared" si="176"/>
        <v>0</v>
      </c>
      <c r="JT23" s="110">
        <f t="shared" si="177"/>
        <v>0</v>
      </c>
      <c r="JV23" s="111">
        <f t="shared" si="178"/>
        <v>0</v>
      </c>
      <c r="JW23" s="110">
        <f t="shared" si="179"/>
        <v>0</v>
      </c>
      <c r="JX23" s="110">
        <f t="shared" si="180"/>
        <v>0</v>
      </c>
      <c r="JY23" s="110">
        <f t="shared" si="181"/>
        <v>0</v>
      </c>
      <c r="JZ23" s="110">
        <f t="shared" si="182"/>
        <v>0</v>
      </c>
      <c r="KA23" s="110">
        <f t="shared" si="183"/>
        <v>0</v>
      </c>
      <c r="KB23" s="110">
        <f t="shared" si="184"/>
        <v>0</v>
      </c>
      <c r="KC23" s="110">
        <f t="shared" si="185"/>
        <v>0</v>
      </c>
      <c r="KD23" s="110">
        <f t="shared" si="186"/>
        <v>0</v>
      </c>
      <c r="KE23" s="110">
        <f t="shared" si="187"/>
        <v>0</v>
      </c>
      <c r="KF23" s="110">
        <f t="shared" si="188"/>
        <v>0</v>
      </c>
      <c r="KG23" s="110">
        <f t="shared" si="189"/>
        <v>0</v>
      </c>
      <c r="KH23" s="110">
        <f t="shared" si="190"/>
        <v>0</v>
      </c>
      <c r="KI23" s="110">
        <f t="shared" si="191"/>
        <v>0</v>
      </c>
      <c r="KJ23" s="110">
        <f t="shared" si="192"/>
        <v>0</v>
      </c>
      <c r="KK23" s="110">
        <f t="shared" si="193"/>
        <v>0</v>
      </c>
      <c r="KL23" s="110">
        <f t="shared" si="194"/>
        <v>0</v>
      </c>
      <c r="KM23" s="110">
        <f t="shared" si="195"/>
        <v>0</v>
      </c>
      <c r="KN23" s="110">
        <f t="shared" si="196"/>
        <v>0</v>
      </c>
      <c r="KO23" s="110">
        <f t="shared" si="197"/>
        <v>0</v>
      </c>
      <c r="KP23" s="110">
        <f t="shared" si="198"/>
        <v>0</v>
      </c>
      <c r="KQ23" s="110">
        <f t="shared" si="199"/>
        <v>0</v>
      </c>
      <c r="KR23" s="110">
        <f t="shared" si="200"/>
        <v>0</v>
      </c>
      <c r="KS23" s="110">
        <f t="shared" si="201"/>
        <v>0</v>
      </c>
      <c r="KT23" s="110">
        <f t="shared" si="202"/>
        <v>0</v>
      </c>
      <c r="KV23" s="111">
        <f t="shared" si="203"/>
        <v>8.9499999999999886</v>
      </c>
      <c r="KW23" s="110">
        <f t="shared" si="204"/>
        <v>8.9499999999999886</v>
      </c>
      <c r="KX23" s="110">
        <f t="shared" si="205"/>
        <v>8.9499999999999886</v>
      </c>
      <c r="KY23" s="110">
        <f t="shared" si="206"/>
        <v>8.9499999999999886</v>
      </c>
      <c r="KZ23" s="110">
        <f t="shared" si="207"/>
        <v>8.9499999999999886</v>
      </c>
      <c r="LA23" s="110">
        <f t="shared" si="208"/>
        <v>8.9499999999999886</v>
      </c>
      <c r="LB23" s="110">
        <f t="shared" si="209"/>
        <v>8.9499999999999886</v>
      </c>
      <c r="LC23" s="110">
        <f t="shared" si="210"/>
        <v>8.9499999999999886</v>
      </c>
      <c r="LD23" s="110">
        <f t="shared" si="211"/>
        <v>8.9499999999999886</v>
      </c>
      <c r="LE23" s="110">
        <f t="shared" si="212"/>
        <v>8.9499999999999886</v>
      </c>
      <c r="LF23" s="110">
        <f t="shared" si="213"/>
        <v>0</v>
      </c>
      <c r="LG23" s="110">
        <f t="shared" si="214"/>
        <v>0</v>
      </c>
      <c r="LH23" s="110">
        <f t="shared" si="215"/>
        <v>0</v>
      </c>
      <c r="LI23" s="110">
        <f t="shared" si="216"/>
        <v>0</v>
      </c>
      <c r="LJ23" s="110">
        <f t="shared" si="217"/>
        <v>0</v>
      </c>
      <c r="LK23" s="110">
        <f t="shared" si="218"/>
        <v>0</v>
      </c>
      <c r="LL23" s="110">
        <f t="shared" si="219"/>
        <v>0</v>
      </c>
      <c r="LM23" s="110">
        <f t="shared" si="220"/>
        <v>0</v>
      </c>
      <c r="LN23" s="110">
        <f t="shared" si="221"/>
        <v>6.2700000000000102</v>
      </c>
      <c r="LO23" s="110">
        <f t="shared" si="222"/>
        <v>6.2700000000000102</v>
      </c>
      <c r="LP23" s="110">
        <f t="shared" si="223"/>
        <v>6.2700000000000102</v>
      </c>
      <c r="LQ23" s="110">
        <f t="shared" si="224"/>
        <v>6.2700000000000102</v>
      </c>
      <c r="LR23" s="110">
        <f t="shared" si="225"/>
        <v>6.2700000000000102</v>
      </c>
      <c r="LS23" s="110">
        <f t="shared" si="226"/>
        <v>6.2700000000000102</v>
      </c>
      <c r="LT23" s="110">
        <f t="shared" si="227"/>
        <v>6.2700000000000102</v>
      </c>
      <c r="LV23" s="111"/>
      <c r="LW23" s="110">
        <f t="shared" si="228"/>
        <v>0</v>
      </c>
      <c r="LX23" s="110">
        <f t="shared" si="229"/>
        <v>0</v>
      </c>
      <c r="LY23" s="110">
        <f t="shared" si="230"/>
        <v>0</v>
      </c>
      <c r="LZ23" s="110">
        <f t="shared" si="231"/>
        <v>0</v>
      </c>
      <c r="MA23" s="110">
        <f t="shared" si="232"/>
        <v>0</v>
      </c>
      <c r="MB23" s="110">
        <f t="shared" si="233"/>
        <v>0</v>
      </c>
      <c r="MC23" s="110">
        <f t="shared" si="234"/>
        <v>0</v>
      </c>
      <c r="MD23" s="110">
        <f t="shared" si="235"/>
        <v>0</v>
      </c>
      <c r="ME23" s="110">
        <f t="shared" si="236"/>
        <v>0</v>
      </c>
      <c r="MF23" s="110">
        <f t="shared" si="237"/>
        <v>0</v>
      </c>
      <c r="MG23" s="110">
        <f t="shared" si="238"/>
        <v>0</v>
      </c>
      <c r="MH23" s="110">
        <f t="shared" si="239"/>
        <v>0</v>
      </c>
      <c r="MI23" s="110">
        <f t="shared" si="240"/>
        <v>0</v>
      </c>
      <c r="MJ23" s="110">
        <f t="shared" si="241"/>
        <v>0</v>
      </c>
      <c r="MK23" s="110">
        <f t="shared" si="242"/>
        <v>0</v>
      </c>
      <c r="ML23" s="110">
        <f t="shared" si="243"/>
        <v>0</v>
      </c>
      <c r="MM23" s="110">
        <f t="shared" si="244"/>
        <v>0</v>
      </c>
      <c r="MN23" s="110">
        <f t="shared" si="245"/>
        <v>0</v>
      </c>
      <c r="MO23" s="110">
        <f t="shared" si="246"/>
        <v>0</v>
      </c>
      <c r="MP23" s="110">
        <f t="shared" si="247"/>
        <v>0</v>
      </c>
      <c r="MQ23" s="110">
        <f t="shared" si="248"/>
        <v>0</v>
      </c>
      <c r="MR23" s="110">
        <f t="shared" si="249"/>
        <v>0</v>
      </c>
      <c r="MS23" s="110">
        <f t="shared" si="250"/>
        <v>0</v>
      </c>
      <c r="MT23" s="110">
        <f t="shared" si="251"/>
        <v>0</v>
      </c>
      <c r="MV23" s="114">
        <v>185.27</v>
      </c>
      <c r="MW23" s="114">
        <v>0</v>
      </c>
      <c r="MX23" s="114">
        <v>6.2700000000000102</v>
      </c>
      <c r="MY23" s="114">
        <v>0</v>
      </c>
      <c r="MZ23" s="114">
        <v>0</v>
      </c>
      <c r="NB23" s="115">
        <v>58</v>
      </c>
      <c r="NC23" s="115" t="str">
        <v>N/A</v>
      </c>
      <c r="ND23" s="115">
        <v>40</v>
      </c>
      <c r="NE23" s="115" t="str">
        <v>N/A</v>
      </c>
      <c r="NF23" s="115" t="str">
        <v>N/A</v>
      </c>
    </row>
    <row r="24" spans="1:370" ht="13.5" x14ac:dyDescent="0.25">
      <c r="B24" s="8">
        <f t="shared" si="252"/>
        <v>21</v>
      </c>
      <c r="C24" s="7">
        <v>279</v>
      </c>
      <c r="D24" s="7">
        <v>279</v>
      </c>
      <c r="E24" s="7">
        <v>279</v>
      </c>
      <c r="F24" s="7">
        <v>279</v>
      </c>
      <c r="G24" s="7">
        <v>279</v>
      </c>
      <c r="H24" s="7">
        <v>279</v>
      </c>
      <c r="I24" s="7">
        <v>279</v>
      </c>
      <c r="J24" s="7">
        <v>279</v>
      </c>
      <c r="K24" s="7">
        <v>279</v>
      </c>
      <c r="L24" s="7">
        <v>279</v>
      </c>
      <c r="M24" s="7">
        <v>279</v>
      </c>
      <c r="N24" s="7">
        <v>279</v>
      </c>
      <c r="O24" s="7">
        <v>279</v>
      </c>
      <c r="P24" s="7">
        <v>279</v>
      </c>
      <c r="Q24" s="7">
        <v>279</v>
      </c>
      <c r="R24" s="7">
        <v>279</v>
      </c>
      <c r="S24" s="7">
        <v>279</v>
      </c>
      <c r="T24" s="7">
        <v>279</v>
      </c>
      <c r="U24" s="7">
        <v>279</v>
      </c>
      <c r="V24" s="7">
        <v>279</v>
      </c>
      <c r="W24" s="7">
        <v>279</v>
      </c>
      <c r="X24" s="7">
        <v>279</v>
      </c>
      <c r="Y24" s="7">
        <v>279</v>
      </c>
      <c r="Z24" s="7">
        <v>279</v>
      </c>
      <c r="AA24" s="7">
        <v>279</v>
      </c>
      <c r="AB24" s="7">
        <v>279</v>
      </c>
      <c r="AC24" s="7">
        <v>279</v>
      </c>
      <c r="AD24" s="7">
        <v>279</v>
      </c>
      <c r="AE24" s="7">
        <v>279</v>
      </c>
      <c r="AF24" s="7">
        <v>279</v>
      </c>
      <c r="AG24" s="7">
        <v>288.77</v>
      </c>
      <c r="AH24" s="7">
        <v>288.77</v>
      </c>
      <c r="AI24" s="7">
        <v>288.77</v>
      </c>
      <c r="AJ24" s="7">
        <v>288.77</v>
      </c>
      <c r="AK24" s="7">
        <v>288.77</v>
      </c>
      <c r="AL24" s="7">
        <v>288.77</v>
      </c>
      <c r="AM24" s="7">
        <v>288.77</v>
      </c>
      <c r="AN24" s="27">
        <v>21</v>
      </c>
      <c r="AP24" s="111"/>
      <c r="AQ24" s="110">
        <f t="shared" si="13"/>
        <v>0</v>
      </c>
      <c r="AR24" s="110">
        <f t="shared" si="14"/>
        <v>0</v>
      </c>
      <c r="AS24" s="110">
        <f t="shared" si="15"/>
        <v>0</v>
      </c>
      <c r="AT24" s="110">
        <f t="shared" si="16"/>
        <v>0</v>
      </c>
      <c r="AU24" s="110">
        <f t="shared" si="17"/>
        <v>0</v>
      </c>
      <c r="AV24" s="110">
        <f t="shared" si="18"/>
        <v>0</v>
      </c>
      <c r="AW24" s="110">
        <f t="shared" si="19"/>
        <v>0</v>
      </c>
      <c r="AX24" s="110">
        <f t="shared" si="20"/>
        <v>0</v>
      </c>
      <c r="AY24" s="110">
        <f t="shared" si="21"/>
        <v>0</v>
      </c>
      <c r="AZ24" s="110">
        <f t="shared" si="22"/>
        <v>9.7699999999999818</v>
      </c>
      <c r="BA24" s="110">
        <f t="shared" si="23"/>
        <v>0</v>
      </c>
      <c r="BB24" s="110">
        <f t="shared" si="24"/>
        <v>0</v>
      </c>
      <c r="BD24" s="109" cm="1">
        <f t="array" ref="BD24">+IFERROR(INDEX($C$3:$AM$3,MATCH(TRUE,INDEX($C24:$AM24&lt;&gt;0,0),0)),"N/A")</f>
        <v>44926</v>
      </c>
      <c r="BE24" s="112"/>
      <c r="BF24" s="1" t="str" cm="1">
        <f t="array" ref="BF24">+_xlfn.IFS(BT24&lt;&gt;0,BT$2,CH24&lt;&gt;0,CH$2,CV24&lt;&gt;0,CV$2,DJ24&lt;&gt;0,DJ$2,TRUE,"")</f>
        <v/>
      </c>
      <c r="BG24" s="1" t="str" cm="1">
        <f t="array" ref="BG24">+_xlfn.IFS(BU24&lt;&gt;0,BU$2,CI24&lt;&gt;0,CI$2,CW24&lt;&gt;0,CW$2,DK24&lt;&gt;0,DK$2,TRUE,"")</f>
        <v/>
      </c>
      <c r="BH24" s="1" t="str" cm="1">
        <f t="array" ref="BH24">+_xlfn.IFS(BV24&lt;&gt;0,BV$2,CJ24&lt;&gt;0,CJ$2,CX24&lt;&gt;0,CX$2,DL24&lt;&gt;0,DL$2,TRUE,"")</f>
        <v/>
      </c>
      <c r="BI24" s="1" t="str" cm="1">
        <f t="array" ref="BI24">+_xlfn.IFS(BW24&lt;&gt;0,BW$2,CK24&lt;&gt;0,CK$2,CY24&lt;&gt;0,CY$2,DM24&lt;&gt;0,DM$2,TRUE,"")</f>
        <v/>
      </c>
      <c r="BJ24" s="1" t="str" cm="1">
        <f t="array" ref="BJ24">+_xlfn.IFS(BX24&lt;&gt;0,BX$2,CL24&lt;&gt;0,CL$2,CZ24&lt;&gt;0,CZ$2,DN24&lt;&gt;0,DN$2,TRUE,"")</f>
        <v/>
      </c>
      <c r="BK24" s="1" t="str" cm="1">
        <f t="array" ref="BK24">+_xlfn.IFS(BY24&lt;&gt;0,BY$2,CM24&lt;&gt;0,CM$2,DA24&lt;&gt;0,DA$2,DO24&lt;&gt;0,DO$2,TRUE,"")</f>
        <v/>
      </c>
      <c r="BL24" s="1" t="str" cm="1">
        <f t="array" ref="BL24">+_xlfn.IFS(BZ24&lt;&gt;0,BZ$2,CN24&lt;&gt;0,CN$2,DB24&lt;&gt;0,DB$2,DP24&lt;&gt;0,DP$2,TRUE,"")</f>
        <v/>
      </c>
      <c r="BM24" s="1" t="str" cm="1">
        <f t="array" ref="BM24">+_xlfn.IFS(CA24&lt;&gt;0,CA$2,CO24&lt;&gt;0,CO$2,DC24&lt;&gt;0,DC$2,DQ24&lt;&gt;0,DQ$2,TRUE,"")</f>
        <v/>
      </c>
      <c r="BN24" s="1" t="str" cm="1">
        <f t="array" ref="BN24">+_xlfn.IFS(CB24&lt;&gt;0,CB$2,CP24&lt;&gt;0,CP$2,DD24&lt;&gt;0,DD$2,DR24&lt;&gt;0,DR$2,TRUE,"")</f>
        <v/>
      </c>
      <c r="BO24" s="1" t="str" cm="1">
        <f t="array" ref="BO24">+_xlfn.IFS(CC24&lt;&gt;0,CC$2,CQ24&lt;&gt;0,CQ$2,DE24&lt;&gt;0,DE$2,DS24&lt;&gt;0,DS$2,TRUE,"")</f>
        <v>Upsell</v>
      </c>
      <c r="BP24" s="1" t="str" cm="1">
        <f t="array" ref="BP24">+_xlfn.IFS(CD24&lt;&gt;0,CD$2,CR24&lt;&gt;0,CR$2,DF24&lt;&gt;0,DF$2,DT24&lt;&gt;0,DT$2,TRUE,"")</f>
        <v/>
      </c>
      <c r="BQ24" s="1" t="str" cm="1">
        <f t="array" ref="BQ24">+_xlfn.IFS(CE24&lt;&gt;0,CE$2,CS24&lt;&gt;0,CS$2,DG24&lt;&gt;0,DG$2,DU24&lt;&gt;0,DU$2,TRUE,"")</f>
        <v/>
      </c>
      <c r="BS24" s="111"/>
      <c r="BT24" s="110">
        <f t="shared" si="25"/>
        <v>0</v>
      </c>
      <c r="BU24" s="110">
        <f t="shared" si="26"/>
        <v>0</v>
      </c>
      <c r="BV24" s="110">
        <f t="shared" si="27"/>
        <v>0</v>
      </c>
      <c r="BW24" s="110">
        <f t="shared" si="28"/>
        <v>0</v>
      </c>
      <c r="BX24" s="110">
        <f t="shared" si="29"/>
        <v>0</v>
      </c>
      <c r="BY24" s="110">
        <f t="shared" si="30"/>
        <v>0</v>
      </c>
      <c r="BZ24" s="110">
        <f t="shared" si="31"/>
        <v>0</v>
      </c>
      <c r="CA24" s="110">
        <f t="shared" si="32"/>
        <v>0</v>
      </c>
      <c r="CB24" s="110">
        <f t="shared" si="33"/>
        <v>0</v>
      </c>
      <c r="CC24" s="110">
        <f t="shared" si="34"/>
        <v>0</v>
      </c>
      <c r="CD24" s="110">
        <f t="shared" si="35"/>
        <v>0</v>
      </c>
      <c r="CE24" s="110">
        <f t="shared" si="36"/>
        <v>0</v>
      </c>
      <c r="CG24" s="111"/>
      <c r="CH24" s="110">
        <f t="shared" si="37"/>
        <v>0</v>
      </c>
      <c r="CI24" s="110">
        <f t="shared" si="38"/>
        <v>0</v>
      </c>
      <c r="CJ24" s="110">
        <f t="shared" si="39"/>
        <v>0</v>
      </c>
      <c r="CK24" s="110">
        <f t="shared" si="40"/>
        <v>0</v>
      </c>
      <c r="CL24" s="110">
        <f t="shared" si="41"/>
        <v>0</v>
      </c>
      <c r="CM24" s="110">
        <f t="shared" si="42"/>
        <v>0</v>
      </c>
      <c r="CN24" s="110">
        <f t="shared" si="43"/>
        <v>0</v>
      </c>
      <c r="CO24" s="110">
        <f t="shared" si="44"/>
        <v>0</v>
      </c>
      <c r="CP24" s="110">
        <f t="shared" si="45"/>
        <v>0</v>
      </c>
      <c r="CQ24" s="110">
        <f t="shared" si="46"/>
        <v>0</v>
      </c>
      <c r="CR24" s="110">
        <f t="shared" si="47"/>
        <v>0</v>
      </c>
      <c r="CS24" s="110">
        <f t="shared" si="48"/>
        <v>0</v>
      </c>
      <c r="CU24" s="111"/>
      <c r="CV24" s="110">
        <f t="shared" si="49"/>
        <v>0</v>
      </c>
      <c r="CW24" s="110">
        <f t="shared" si="50"/>
        <v>0</v>
      </c>
      <c r="CX24" s="110">
        <f t="shared" si="51"/>
        <v>0</v>
      </c>
      <c r="CY24" s="110">
        <f t="shared" si="52"/>
        <v>0</v>
      </c>
      <c r="CZ24" s="110">
        <f t="shared" si="53"/>
        <v>0</v>
      </c>
      <c r="DA24" s="110">
        <f t="shared" si="54"/>
        <v>0</v>
      </c>
      <c r="DB24" s="110">
        <f t="shared" si="55"/>
        <v>0</v>
      </c>
      <c r="DC24" s="110">
        <f t="shared" si="56"/>
        <v>0</v>
      </c>
      <c r="DD24" s="110">
        <f t="shared" si="57"/>
        <v>0</v>
      </c>
      <c r="DE24" s="110">
        <f t="shared" si="58"/>
        <v>0</v>
      </c>
      <c r="DF24" s="110">
        <f t="shared" si="59"/>
        <v>0</v>
      </c>
      <c r="DG24" s="110">
        <f t="shared" si="60"/>
        <v>0</v>
      </c>
      <c r="DI24" s="111"/>
      <c r="DJ24" s="110">
        <f t="shared" si="61"/>
        <v>0</v>
      </c>
      <c r="DK24" s="110">
        <f t="shared" si="62"/>
        <v>0</v>
      </c>
      <c r="DL24" s="110">
        <f t="shared" si="63"/>
        <v>0</v>
      </c>
      <c r="DM24" s="110">
        <f t="shared" si="64"/>
        <v>0</v>
      </c>
      <c r="DN24" s="110">
        <f t="shared" si="65"/>
        <v>0</v>
      </c>
      <c r="DO24" s="110">
        <f t="shared" si="66"/>
        <v>0</v>
      </c>
      <c r="DP24" s="110">
        <f t="shared" si="67"/>
        <v>0</v>
      </c>
      <c r="DQ24" s="110">
        <f t="shared" si="68"/>
        <v>0</v>
      </c>
      <c r="DR24" s="110">
        <f t="shared" si="69"/>
        <v>0</v>
      </c>
      <c r="DS24" s="110">
        <f t="shared" si="70"/>
        <v>9.7699999999999818</v>
      </c>
      <c r="DT24" s="110">
        <f t="shared" si="71"/>
        <v>0</v>
      </c>
      <c r="DU24" s="110">
        <f t="shared" si="72"/>
        <v>0</v>
      </c>
      <c r="DW24" s="111"/>
      <c r="DX24" s="110">
        <f t="shared" si="73"/>
        <v>0</v>
      </c>
      <c r="DY24" s="110">
        <f t="shared" si="74"/>
        <v>0</v>
      </c>
      <c r="DZ24" s="110">
        <f t="shared" si="75"/>
        <v>0</v>
      </c>
      <c r="EA24" s="110">
        <f t="shared" si="76"/>
        <v>0</v>
      </c>
      <c r="EB24" s="110">
        <f t="shared" si="77"/>
        <v>0</v>
      </c>
      <c r="EC24" s="110">
        <f t="shared" si="78"/>
        <v>0</v>
      </c>
      <c r="ED24" s="110">
        <f t="shared" si="79"/>
        <v>0</v>
      </c>
      <c r="EE24" s="110">
        <f t="shared" si="80"/>
        <v>0</v>
      </c>
      <c r="EF24" s="110">
        <f t="shared" si="81"/>
        <v>0</v>
      </c>
      <c r="EG24" s="110">
        <f t="shared" si="82"/>
        <v>0</v>
      </c>
      <c r="EH24" s="110">
        <f t="shared" si="83"/>
        <v>0</v>
      </c>
      <c r="EI24" s="110">
        <f t="shared" si="84"/>
        <v>0</v>
      </c>
      <c r="EK24" s="111"/>
      <c r="EL24" s="110">
        <f t="shared" si="85"/>
        <v>0</v>
      </c>
      <c r="EM24" s="110">
        <f t="shared" si="86"/>
        <v>0</v>
      </c>
      <c r="EN24" s="110">
        <f t="shared" si="87"/>
        <v>9.7699999999999818</v>
      </c>
      <c r="EP24" s="109" cm="1">
        <f t="array" ref="EP24">+IFERROR(INDEX($C$3:$AM$3,MATCH(TRUE,INDEX($C24:$AM24&lt;&gt;0,0),0)),"N/A")</f>
        <v>44926</v>
      </c>
      <c r="EQ24" s="112"/>
      <c r="ER24" s="1" t="str" cm="1">
        <f t="array" ref="ER24">+_xlfn.IFS(EW24&lt;&gt;0,EW$2,FB24&lt;&gt;0,FB$2,FG24&lt;&gt;0,FG$2,FL24&lt;&gt;0,FL$2,TRUE,"")</f>
        <v/>
      </c>
      <c r="ES24" s="1" t="str" cm="1">
        <f t="array" ref="ES24">+_xlfn.IFS(EX24&lt;&gt;0,EX$2,FC24&lt;&gt;0,FC$2,FH24&lt;&gt;0,FH$2,FM24&lt;&gt;0,FM$2,TRUE,"")</f>
        <v/>
      </c>
      <c r="ET24" s="1" t="str" cm="1">
        <f t="array" ref="ET24">+_xlfn.IFS(EY24&lt;&gt;0,EY$2,FD24&lt;&gt;0,FD$2,FI24&lt;&gt;0,FI$2,FN24&lt;&gt;0,FN$2,TRUE,"")</f>
        <v>Upsell</v>
      </c>
      <c r="EV24" s="111"/>
      <c r="EW24" s="110">
        <f t="shared" si="88"/>
        <v>0</v>
      </c>
      <c r="EX24" s="110">
        <f t="shared" si="89"/>
        <v>0</v>
      </c>
      <c r="EY24" s="110">
        <f t="shared" si="90"/>
        <v>0</v>
      </c>
      <c r="FA24" s="111"/>
      <c r="FB24" s="110">
        <f t="shared" si="91"/>
        <v>0</v>
      </c>
      <c r="FC24" s="110">
        <f t="shared" si="92"/>
        <v>0</v>
      </c>
      <c r="FD24" s="110">
        <f t="shared" si="93"/>
        <v>0</v>
      </c>
      <c r="FF24" s="111"/>
      <c r="FG24" s="110">
        <f t="shared" si="94"/>
        <v>0</v>
      </c>
      <c r="FH24" s="110">
        <f t="shared" si="95"/>
        <v>0</v>
      </c>
      <c r="FI24" s="110">
        <f t="shared" si="96"/>
        <v>0</v>
      </c>
      <c r="FK24" s="111"/>
      <c r="FL24" s="110">
        <f t="shared" si="97"/>
        <v>0</v>
      </c>
      <c r="FM24" s="110">
        <f t="shared" si="98"/>
        <v>0</v>
      </c>
      <c r="FN24" s="110">
        <f t="shared" si="99"/>
        <v>9.7699999999999818</v>
      </c>
      <c r="FP24" s="111"/>
      <c r="FQ24" s="110">
        <f t="shared" si="100"/>
        <v>0</v>
      </c>
      <c r="FR24" s="110">
        <f t="shared" si="101"/>
        <v>0</v>
      </c>
      <c r="FS24" s="110">
        <f t="shared" si="102"/>
        <v>0</v>
      </c>
      <c r="FU24" s="111">
        <f t="shared" si="103"/>
        <v>0</v>
      </c>
      <c r="FV24" s="110">
        <f t="shared" si="104"/>
        <v>0</v>
      </c>
      <c r="FW24" s="110">
        <f t="shared" si="105"/>
        <v>0</v>
      </c>
      <c r="FX24" s="110">
        <f t="shared" si="106"/>
        <v>0</v>
      </c>
      <c r="FY24" s="110">
        <f t="shared" si="107"/>
        <v>0</v>
      </c>
      <c r="FZ24" s="110">
        <f t="shared" si="108"/>
        <v>0</v>
      </c>
      <c r="GA24" s="110">
        <f t="shared" si="109"/>
        <v>0</v>
      </c>
      <c r="GB24" s="110">
        <f t="shared" si="110"/>
        <v>0</v>
      </c>
      <c r="GC24" s="110">
        <f t="shared" si="111"/>
        <v>0</v>
      </c>
      <c r="GD24" s="110">
        <f t="shared" si="112"/>
        <v>0</v>
      </c>
      <c r="GE24" s="110">
        <f t="shared" si="113"/>
        <v>0</v>
      </c>
      <c r="GF24" s="110">
        <f t="shared" si="114"/>
        <v>0</v>
      </c>
      <c r="GG24" s="110">
        <f t="shared" si="115"/>
        <v>0</v>
      </c>
      <c r="GH24" s="110">
        <f t="shared" si="116"/>
        <v>0</v>
      </c>
      <c r="GI24" s="110">
        <f t="shared" si="117"/>
        <v>0</v>
      </c>
      <c r="GJ24" s="110">
        <f t="shared" si="118"/>
        <v>0</v>
      </c>
      <c r="GK24" s="110">
        <f t="shared" si="119"/>
        <v>0</v>
      </c>
      <c r="GL24" s="110">
        <f t="shared" si="120"/>
        <v>0</v>
      </c>
      <c r="GM24" s="110">
        <f t="shared" si="121"/>
        <v>9.7699999999999818</v>
      </c>
      <c r="GN24" s="110">
        <f t="shared" si="122"/>
        <v>9.7699999999999818</v>
      </c>
      <c r="GO24" s="110">
        <f t="shared" si="123"/>
        <v>9.7699999999999818</v>
      </c>
      <c r="GP24" s="110">
        <f t="shared" si="124"/>
        <v>9.7699999999999818</v>
      </c>
      <c r="GQ24" s="110">
        <f t="shared" si="125"/>
        <v>9.7699999999999818</v>
      </c>
      <c r="GR24" s="110">
        <f t="shared" si="126"/>
        <v>9.7699999999999818</v>
      </c>
      <c r="GS24" s="110">
        <f t="shared" si="127"/>
        <v>9.7699999999999818</v>
      </c>
      <c r="GU24" s="109" cm="1">
        <f t="array" ref="GU24">+IFERROR(INDEX($C$3:$AM$3,MATCH(TRUE,INDEX($C24:$AM24&lt;&gt;0,0),0)),"N/A")</f>
        <v>44926</v>
      </c>
      <c r="GV24" s="112" t="str" cm="1">
        <f t="array" ref="GV24">+_xlfn.IFS(HV24&lt;&gt;0,HV$2,IV24&lt;&gt;0,IV$2,JV24&lt;&gt;0,JV$2,KV24&lt;&gt;0,KV$2,TRUE,"")</f>
        <v/>
      </c>
      <c r="GW24" s="1" t="str" cm="1">
        <f t="array" ref="GW24">+_xlfn.IFS(HW24&lt;&gt;0,HW$2,IW24&lt;&gt;0,IW$2,JW24&lt;&gt;0,JW$2,KW24&lt;&gt;0,KW$2,TRUE,"")</f>
        <v/>
      </c>
      <c r="GX24" s="1" t="str" cm="1">
        <f t="array" ref="GX24">+_xlfn.IFS(HX24&lt;&gt;0,HX$2,IX24&lt;&gt;0,IX$2,JX24&lt;&gt;0,JX$2,KX24&lt;&gt;0,KX$2,TRUE,"")</f>
        <v/>
      </c>
      <c r="GY24" s="1" t="str" cm="1">
        <f t="array" ref="GY24">+_xlfn.IFS(HY24&lt;&gt;0,HY$2,IY24&lt;&gt;0,IY$2,JY24&lt;&gt;0,JY$2,KY24&lt;&gt;0,KY$2,TRUE,"")</f>
        <v/>
      </c>
      <c r="GZ24" s="1" t="str" cm="1">
        <f t="array" ref="GZ24">+_xlfn.IFS(HZ24&lt;&gt;0,HZ$2,IZ24&lt;&gt;0,IZ$2,JZ24&lt;&gt;0,JZ$2,KZ24&lt;&gt;0,KZ$2,TRUE,"")</f>
        <v/>
      </c>
      <c r="HA24" s="1" t="str" cm="1">
        <f t="array" ref="HA24">+_xlfn.IFS(IA24&lt;&gt;0,IA$2,JA24&lt;&gt;0,JA$2,KA24&lt;&gt;0,KA$2,LA24&lt;&gt;0,LA$2,TRUE,"")</f>
        <v/>
      </c>
      <c r="HB24" s="1" t="str" cm="1">
        <f t="array" ref="HB24">+_xlfn.IFS(IB24&lt;&gt;0,IB$2,JB24&lt;&gt;0,JB$2,KB24&lt;&gt;0,KB$2,LB24&lt;&gt;0,LB$2,TRUE,"")</f>
        <v/>
      </c>
      <c r="HC24" s="1" t="str" cm="1">
        <f t="array" ref="HC24">+_xlfn.IFS(IC24&lt;&gt;0,IC$2,JC24&lt;&gt;0,JC$2,KC24&lt;&gt;0,KC$2,LC24&lt;&gt;0,LC$2,TRUE,"")</f>
        <v/>
      </c>
      <c r="HD24" s="1" t="str" cm="1">
        <f t="array" ref="HD24">+_xlfn.IFS(ID24&lt;&gt;0,ID$2,JD24&lt;&gt;0,JD$2,KD24&lt;&gt;0,KD$2,LD24&lt;&gt;0,LD$2,TRUE,"")</f>
        <v/>
      </c>
      <c r="HE24" s="1" t="str" cm="1">
        <f t="array" ref="HE24">+_xlfn.IFS(IE24&lt;&gt;0,IE$2,JE24&lt;&gt;0,JE$2,KE24&lt;&gt;0,KE$2,LE24&lt;&gt;0,LE$2,TRUE,"")</f>
        <v/>
      </c>
      <c r="HF24" s="1" t="str" cm="1">
        <f t="array" ref="HF24">+_xlfn.IFS(IF24&lt;&gt;0,IF$2,JF24&lt;&gt;0,JF$2,KF24&lt;&gt;0,KF$2,LF24&lt;&gt;0,LF$2,TRUE,"")</f>
        <v/>
      </c>
      <c r="HG24" s="1" t="str" cm="1">
        <f t="array" ref="HG24">+_xlfn.IFS(IG24&lt;&gt;0,IG$2,JG24&lt;&gt;0,JG$2,KG24&lt;&gt;0,KG$2,LG24&lt;&gt;0,LG$2,TRUE,"")</f>
        <v/>
      </c>
      <c r="HH24" s="1" t="str" cm="1">
        <f t="array" ref="HH24">+_xlfn.IFS(IH24&lt;&gt;0,IH$2,JH24&lt;&gt;0,JH$2,KH24&lt;&gt;0,KH$2,LH24&lt;&gt;0,LH$2,TRUE,"")</f>
        <v/>
      </c>
      <c r="HI24" s="1" t="str" cm="1">
        <f t="array" ref="HI24">+_xlfn.IFS(II24&lt;&gt;0,II$2,JI24&lt;&gt;0,JI$2,KI24&lt;&gt;0,KI$2,LI24&lt;&gt;0,LI$2,TRUE,"")</f>
        <v/>
      </c>
      <c r="HJ24" s="1" t="str" cm="1">
        <f t="array" ref="HJ24">+_xlfn.IFS(IJ24&lt;&gt;0,IJ$2,JJ24&lt;&gt;0,JJ$2,KJ24&lt;&gt;0,KJ$2,LJ24&lt;&gt;0,LJ$2,TRUE,"")</f>
        <v/>
      </c>
      <c r="HK24" s="1" t="str" cm="1">
        <f t="array" ref="HK24">+_xlfn.IFS(IK24&lt;&gt;0,IK$2,JK24&lt;&gt;0,JK$2,KK24&lt;&gt;0,KK$2,LK24&lt;&gt;0,LK$2,TRUE,"")</f>
        <v/>
      </c>
      <c r="HL24" s="1" t="str" cm="1">
        <f t="array" ref="HL24">+_xlfn.IFS(IL24&lt;&gt;0,IL$2,JL24&lt;&gt;0,JL$2,KL24&lt;&gt;0,KL$2,LL24&lt;&gt;0,LL$2,TRUE,"")</f>
        <v/>
      </c>
      <c r="HM24" s="1" t="str" cm="1">
        <f t="array" ref="HM24">+_xlfn.IFS(IM24&lt;&gt;0,IM$2,JM24&lt;&gt;0,JM$2,KM24&lt;&gt;0,KM$2,LM24&lt;&gt;0,LM$2,TRUE,"")</f>
        <v/>
      </c>
      <c r="HN24" s="1" t="str" cm="1">
        <f t="array" ref="HN24">+_xlfn.IFS(IN24&lt;&gt;0,IN$2,JN24&lt;&gt;0,JN$2,KN24&lt;&gt;0,KN$2,LN24&lt;&gt;0,LN$2,TRUE,"")</f>
        <v>Upsell</v>
      </c>
      <c r="HO24" s="1" t="str" cm="1">
        <f t="array" ref="HO24">+_xlfn.IFS(IO24&lt;&gt;0,IO$2,JO24&lt;&gt;0,JO$2,KO24&lt;&gt;0,KO$2,LO24&lt;&gt;0,LO$2,TRUE,"")</f>
        <v>Upsell</v>
      </c>
      <c r="HP24" s="1" t="str" cm="1">
        <f t="array" ref="HP24">+_xlfn.IFS(IP24&lt;&gt;0,IP$2,JP24&lt;&gt;0,JP$2,KP24&lt;&gt;0,KP$2,LP24&lt;&gt;0,LP$2,TRUE,"")</f>
        <v>Upsell</v>
      </c>
      <c r="HQ24" s="1" t="str" cm="1">
        <f t="array" ref="HQ24">+_xlfn.IFS(IQ24&lt;&gt;0,IQ$2,JQ24&lt;&gt;0,JQ$2,KQ24&lt;&gt;0,KQ$2,LQ24&lt;&gt;0,LQ$2,TRUE,"")</f>
        <v>Upsell</v>
      </c>
      <c r="HR24" s="1" t="str" cm="1">
        <f t="array" ref="HR24">+_xlfn.IFS(IR24&lt;&gt;0,IR$2,JR24&lt;&gt;0,JR$2,KR24&lt;&gt;0,KR$2,LR24&lt;&gt;0,LR$2,TRUE,"")</f>
        <v>Upsell</v>
      </c>
      <c r="HS24" s="1" t="str" cm="1">
        <f t="array" ref="HS24">+_xlfn.IFS(IS24&lt;&gt;0,IS$2,JS24&lt;&gt;0,JS$2,KS24&lt;&gt;0,KS$2,LS24&lt;&gt;0,LS$2,TRUE,"")</f>
        <v>Upsell</v>
      </c>
      <c r="HT24" s="1" t="str" cm="1">
        <f t="array" ref="HT24">+_xlfn.IFS(IT24&lt;&gt;0,IT$2,JT24&lt;&gt;0,JT$2,KT24&lt;&gt;0,KT$2,LT24&lt;&gt;0,LT$2,TRUE,"")</f>
        <v>Upsell</v>
      </c>
      <c r="HV24" s="111">
        <f t="shared" si="128"/>
        <v>0</v>
      </c>
      <c r="HW24" s="110">
        <f t="shared" si="129"/>
        <v>0</v>
      </c>
      <c r="HX24" s="110">
        <f t="shared" si="130"/>
        <v>0</v>
      </c>
      <c r="HY24" s="110">
        <f t="shared" si="131"/>
        <v>0</v>
      </c>
      <c r="HZ24" s="110">
        <f t="shared" si="132"/>
        <v>0</v>
      </c>
      <c r="IA24" s="110">
        <f t="shared" si="133"/>
        <v>0</v>
      </c>
      <c r="IB24" s="110">
        <f t="shared" si="134"/>
        <v>0</v>
      </c>
      <c r="IC24" s="110">
        <f t="shared" si="135"/>
        <v>0</v>
      </c>
      <c r="ID24" s="110">
        <f t="shared" si="136"/>
        <v>0</v>
      </c>
      <c r="IE24" s="110">
        <f t="shared" si="137"/>
        <v>0</v>
      </c>
      <c r="IF24" s="110">
        <f t="shared" si="138"/>
        <v>0</v>
      </c>
      <c r="IG24" s="110">
        <f t="shared" si="139"/>
        <v>0</v>
      </c>
      <c r="IH24" s="110">
        <f t="shared" si="140"/>
        <v>0</v>
      </c>
      <c r="II24" s="110">
        <f t="shared" si="141"/>
        <v>0</v>
      </c>
      <c r="IJ24" s="110">
        <f t="shared" si="142"/>
        <v>0</v>
      </c>
      <c r="IK24" s="110">
        <f t="shared" si="143"/>
        <v>0</v>
      </c>
      <c r="IL24" s="110">
        <f t="shared" si="144"/>
        <v>0</v>
      </c>
      <c r="IM24" s="110">
        <f t="shared" si="145"/>
        <v>0</v>
      </c>
      <c r="IN24" s="110">
        <f t="shared" si="146"/>
        <v>0</v>
      </c>
      <c r="IO24" s="110">
        <f t="shared" si="147"/>
        <v>0</v>
      </c>
      <c r="IP24" s="110">
        <f t="shared" si="148"/>
        <v>0</v>
      </c>
      <c r="IQ24" s="110">
        <f t="shared" si="149"/>
        <v>0</v>
      </c>
      <c r="IR24" s="110">
        <f t="shared" si="150"/>
        <v>0</v>
      </c>
      <c r="IS24" s="110">
        <f t="shared" si="151"/>
        <v>0</v>
      </c>
      <c r="IT24" s="110">
        <f t="shared" si="152"/>
        <v>0</v>
      </c>
      <c r="IV24" s="111">
        <f t="shared" si="153"/>
        <v>0</v>
      </c>
      <c r="IW24" s="110">
        <f t="shared" si="154"/>
        <v>0</v>
      </c>
      <c r="IX24" s="110">
        <f t="shared" si="155"/>
        <v>0</v>
      </c>
      <c r="IY24" s="110">
        <f t="shared" si="156"/>
        <v>0</v>
      </c>
      <c r="IZ24" s="110">
        <f t="shared" si="157"/>
        <v>0</v>
      </c>
      <c r="JA24" s="110">
        <f t="shared" si="158"/>
        <v>0</v>
      </c>
      <c r="JB24" s="110">
        <f t="shared" si="159"/>
        <v>0</v>
      </c>
      <c r="JC24" s="110">
        <f t="shared" si="160"/>
        <v>0</v>
      </c>
      <c r="JD24" s="110">
        <f t="shared" si="161"/>
        <v>0</v>
      </c>
      <c r="JE24" s="110">
        <f t="shared" si="162"/>
        <v>0</v>
      </c>
      <c r="JF24" s="110">
        <f t="shared" si="163"/>
        <v>0</v>
      </c>
      <c r="JG24" s="110">
        <f t="shared" si="164"/>
        <v>0</v>
      </c>
      <c r="JH24" s="110">
        <f t="shared" si="165"/>
        <v>0</v>
      </c>
      <c r="JI24" s="110">
        <f t="shared" si="166"/>
        <v>0</v>
      </c>
      <c r="JJ24" s="110">
        <f t="shared" si="167"/>
        <v>0</v>
      </c>
      <c r="JK24" s="110">
        <f t="shared" si="168"/>
        <v>0</v>
      </c>
      <c r="JL24" s="110">
        <f t="shared" si="169"/>
        <v>0</v>
      </c>
      <c r="JM24" s="110">
        <f t="shared" si="170"/>
        <v>0</v>
      </c>
      <c r="JN24" s="110">
        <f t="shared" si="171"/>
        <v>0</v>
      </c>
      <c r="JO24" s="110">
        <f t="shared" si="172"/>
        <v>0</v>
      </c>
      <c r="JP24" s="110">
        <f t="shared" si="173"/>
        <v>0</v>
      </c>
      <c r="JQ24" s="110">
        <f t="shared" si="174"/>
        <v>0</v>
      </c>
      <c r="JR24" s="110">
        <f t="shared" si="175"/>
        <v>0</v>
      </c>
      <c r="JS24" s="110">
        <f t="shared" si="176"/>
        <v>0</v>
      </c>
      <c r="JT24" s="110">
        <f t="shared" si="177"/>
        <v>0</v>
      </c>
      <c r="JV24" s="111">
        <f t="shared" si="178"/>
        <v>0</v>
      </c>
      <c r="JW24" s="110">
        <f t="shared" si="179"/>
        <v>0</v>
      </c>
      <c r="JX24" s="110">
        <f t="shared" si="180"/>
        <v>0</v>
      </c>
      <c r="JY24" s="110">
        <f t="shared" si="181"/>
        <v>0</v>
      </c>
      <c r="JZ24" s="110">
        <f t="shared" si="182"/>
        <v>0</v>
      </c>
      <c r="KA24" s="110">
        <f t="shared" si="183"/>
        <v>0</v>
      </c>
      <c r="KB24" s="110">
        <f t="shared" si="184"/>
        <v>0</v>
      </c>
      <c r="KC24" s="110">
        <f t="shared" si="185"/>
        <v>0</v>
      </c>
      <c r="KD24" s="110">
        <f t="shared" si="186"/>
        <v>0</v>
      </c>
      <c r="KE24" s="110">
        <f t="shared" si="187"/>
        <v>0</v>
      </c>
      <c r="KF24" s="110">
        <f t="shared" si="188"/>
        <v>0</v>
      </c>
      <c r="KG24" s="110">
        <f t="shared" si="189"/>
        <v>0</v>
      </c>
      <c r="KH24" s="110">
        <f t="shared" si="190"/>
        <v>0</v>
      </c>
      <c r="KI24" s="110">
        <f t="shared" si="191"/>
        <v>0</v>
      </c>
      <c r="KJ24" s="110">
        <f t="shared" si="192"/>
        <v>0</v>
      </c>
      <c r="KK24" s="110">
        <f t="shared" si="193"/>
        <v>0</v>
      </c>
      <c r="KL24" s="110">
        <f t="shared" si="194"/>
        <v>0</v>
      </c>
      <c r="KM24" s="110">
        <f t="shared" si="195"/>
        <v>0</v>
      </c>
      <c r="KN24" s="110">
        <f t="shared" si="196"/>
        <v>0</v>
      </c>
      <c r="KO24" s="110">
        <f t="shared" si="197"/>
        <v>0</v>
      </c>
      <c r="KP24" s="110">
        <f t="shared" si="198"/>
        <v>0</v>
      </c>
      <c r="KQ24" s="110">
        <f t="shared" si="199"/>
        <v>0</v>
      </c>
      <c r="KR24" s="110">
        <f t="shared" si="200"/>
        <v>0</v>
      </c>
      <c r="KS24" s="110">
        <f t="shared" si="201"/>
        <v>0</v>
      </c>
      <c r="KT24" s="110">
        <f t="shared" si="202"/>
        <v>0</v>
      </c>
      <c r="KV24" s="111">
        <f t="shared" si="203"/>
        <v>0</v>
      </c>
      <c r="KW24" s="110">
        <f t="shared" si="204"/>
        <v>0</v>
      </c>
      <c r="KX24" s="110">
        <f t="shared" si="205"/>
        <v>0</v>
      </c>
      <c r="KY24" s="110">
        <f t="shared" si="206"/>
        <v>0</v>
      </c>
      <c r="KZ24" s="110">
        <f t="shared" si="207"/>
        <v>0</v>
      </c>
      <c r="LA24" s="110">
        <f t="shared" si="208"/>
        <v>0</v>
      </c>
      <c r="LB24" s="110">
        <f t="shared" si="209"/>
        <v>0</v>
      </c>
      <c r="LC24" s="110">
        <f t="shared" si="210"/>
        <v>0</v>
      </c>
      <c r="LD24" s="110">
        <f t="shared" si="211"/>
        <v>0</v>
      </c>
      <c r="LE24" s="110">
        <f t="shared" si="212"/>
        <v>0</v>
      </c>
      <c r="LF24" s="110">
        <f t="shared" si="213"/>
        <v>0</v>
      </c>
      <c r="LG24" s="110">
        <f t="shared" si="214"/>
        <v>0</v>
      </c>
      <c r="LH24" s="110">
        <f t="shared" si="215"/>
        <v>0</v>
      </c>
      <c r="LI24" s="110">
        <f t="shared" si="216"/>
        <v>0</v>
      </c>
      <c r="LJ24" s="110">
        <f t="shared" si="217"/>
        <v>0</v>
      </c>
      <c r="LK24" s="110">
        <f t="shared" si="218"/>
        <v>0</v>
      </c>
      <c r="LL24" s="110">
        <f t="shared" si="219"/>
        <v>0</v>
      </c>
      <c r="LM24" s="110">
        <f t="shared" si="220"/>
        <v>0</v>
      </c>
      <c r="LN24" s="110">
        <f t="shared" si="221"/>
        <v>9.7699999999999818</v>
      </c>
      <c r="LO24" s="110">
        <f t="shared" si="222"/>
        <v>9.7699999999999818</v>
      </c>
      <c r="LP24" s="110">
        <f t="shared" si="223"/>
        <v>9.7699999999999818</v>
      </c>
      <c r="LQ24" s="110">
        <f t="shared" si="224"/>
        <v>9.7699999999999818</v>
      </c>
      <c r="LR24" s="110">
        <f t="shared" si="225"/>
        <v>9.7699999999999818</v>
      </c>
      <c r="LS24" s="110">
        <f t="shared" si="226"/>
        <v>9.7699999999999818</v>
      </c>
      <c r="LT24" s="110">
        <f t="shared" si="227"/>
        <v>9.7699999999999818</v>
      </c>
      <c r="LV24" s="111"/>
      <c r="LW24" s="110">
        <f t="shared" si="228"/>
        <v>0</v>
      </c>
      <c r="LX24" s="110">
        <f t="shared" si="229"/>
        <v>0</v>
      </c>
      <c r="LY24" s="110">
        <f t="shared" si="230"/>
        <v>0</v>
      </c>
      <c r="LZ24" s="110">
        <f t="shared" si="231"/>
        <v>0</v>
      </c>
      <c r="MA24" s="110">
        <f t="shared" si="232"/>
        <v>0</v>
      </c>
      <c r="MB24" s="110">
        <f t="shared" si="233"/>
        <v>0</v>
      </c>
      <c r="MC24" s="110">
        <f t="shared" si="234"/>
        <v>0</v>
      </c>
      <c r="MD24" s="110">
        <f t="shared" si="235"/>
        <v>0</v>
      </c>
      <c r="ME24" s="110">
        <f t="shared" si="236"/>
        <v>0</v>
      </c>
      <c r="MF24" s="110">
        <f t="shared" si="237"/>
        <v>0</v>
      </c>
      <c r="MG24" s="110">
        <f t="shared" si="238"/>
        <v>0</v>
      </c>
      <c r="MH24" s="110">
        <f t="shared" si="239"/>
        <v>0</v>
      </c>
      <c r="MI24" s="110">
        <f t="shared" si="240"/>
        <v>0</v>
      </c>
      <c r="MJ24" s="110">
        <f t="shared" si="241"/>
        <v>0</v>
      </c>
      <c r="MK24" s="110">
        <f t="shared" si="242"/>
        <v>0</v>
      </c>
      <c r="ML24" s="110">
        <f t="shared" si="243"/>
        <v>0</v>
      </c>
      <c r="MM24" s="110">
        <f t="shared" si="244"/>
        <v>0</v>
      </c>
      <c r="MN24" s="110">
        <f t="shared" si="245"/>
        <v>0</v>
      </c>
      <c r="MO24" s="110">
        <f t="shared" si="246"/>
        <v>0</v>
      </c>
      <c r="MP24" s="110">
        <f t="shared" si="247"/>
        <v>0</v>
      </c>
      <c r="MQ24" s="110">
        <f t="shared" si="248"/>
        <v>0</v>
      </c>
      <c r="MR24" s="110">
        <f t="shared" si="249"/>
        <v>0</v>
      </c>
      <c r="MS24" s="110">
        <f t="shared" si="250"/>
        <v>0</v>
      </c>
      <c r="MT24" s="110">
        <f t="shared" si="251"/>
        <v>0</v>
      </c>
      <c r="MV24" s="114">
        <v>288.77</v>
      </c>
      <c r="MW24" s="114">
        <v>0</v>
      </c>
      <c r="MX24" s="114">
        <v>9.7699999999999818</v>
      </c>
      <c r="MY24" s="114">
        <v>0</v>
      </c>
      <c r="MZ24" s="114">
        <v>0</v>
      </c>
      <c r="NB24" s="115">
        <v>32</v>
      </c>
      <c r="NC24" s="115" t="str">
        <v>N/A</v>
      </c>
      <c r="ND24" s="115">
        <v>25</v>
      </c>
      <c r="NE24" s="115" t="str">
        <v>N/A</v>
      </c>
      <c r="NF24" s="115" t="str">
        <v>N/A</v>
      </c>
    </row>
    <row r="25" spans="1:370" ht="13.5" x14ac:dyDescent="0.25">
      <c r="B25" s="8">
        <f t="shared" si="252"/>
        <v>22</v>
      </c>
      <c r="C25" s="7">
        <v>299</v>
      </c>
      <c r="D25" s="7">
        <v>299</v>
      </c>
      <c r="E25" s="7">
        <v>299</v>
      </c>
      <c r="F25" s="7">
        <v>299</v>
      </c>
      <c r="G25" s="7">
        <v>299</v>
      </c>
      <c r="H25" s="7">
        <v>299</v>
      </c>
      <c r="I25" s="7">
        <v>299</v>
      </c>
      <c r="J25" s="7">
        <v>299</v>
      </c>
      <c r="K25" s="7">
        <v>299</v>
      </c>
      <c r="L25" s="7">
        <v>299</v>
      </c>
      <c r="M25" s="7">
        <v>299</v>
      </c>
      <c r="N25" s="7">
        <v>299</v>
      </c>
      <c r="O25" s="7">
        <v>299</v>
      </c>
      <c r="P25" s="7">
        <v>299</v>
      </c>
      <c r="Q25" s="7">
        <v>299</v>
      </c>
      <c r="R25" s="7">
        <v>299</v>
      </c>
      <c r="S25" s="7">
        <v>299</v>
      </c>
      <c r="T25" s="7">
        <v>299</v>
      </c>
      <c r="U25" s="7">
        <v>299</v>
      </c>
      <c r="V25" s="7">
        <v>299</v>
      </c>
      <c r="W25" s="7">
        <v>299</v>
      </c>
      <c r="X25" s="7">
        <v>299</v>
      </c>
      <c r="Y25" s="7">
        <v>299</v>
      </c>
      <c r="Z25" s="7">
        <v>299</v>
      </c>
      <c r="AA25" s="7">
        <v>299</v>
      </c>
      <c r="AB25" s="7">
        <v>299</v>
      </c>
      <c r="AC25" s="7">
        <v>299</v>
      </c>
      <c r="AD25" s="7">
        <v>299</v>
      </c>
      <c r="AE25" s="7">
        <v>299</v>
      </c>
      <c r="AF25" s="7">
        <v>299</v>
      </c>
      <c r="AG25" s="7">
        <v>309.47000000000003</v>
      </c>
      <c r="AH25" s="7">
        <v>309.47000000000003</v>
      </c>
      <c r="AI25" s="7">
        <v>309.47000000000003</v>
      </c>
      <c r="AJ25" s="7">
        <v>309.47000000000003</v>
      </c>
      <c r="AK25" s="7">
        <v>309.47000000000003</v>
      </c>
      <c r="AL25" s="7">
        <v>309.47000000000003</v>
      </c>
      <c r="AM25" s="7">
        <v>309.47000000000003</v>
      </c>
      <c r="AN25" s="27">
        <v>22</v>
      </c>
      <c r="AP25" s="111"/>
      <c r="AQ25" s="110">
        <f t="shared" si="13"/>
        <v>0</v>
      </c>
      <c r="AR25" s="110">
        <f t="shared" si="14"/>
        <v>0</v>
      </c>
      <c r="AS25" s="110">
        <f t="shared" si="15"/>
        <v>0</v>
      </c>
      <c r="AT25" s="110">
        <f t="shared" si="16"/>
        <v>0</v>
      </c>
      <c r="AU25" s="110">
        <f t="shared" si="17"/>
        <v>0</v>
      </c>
      <c r="AV25" s="110">
        <f t="shared" si="18"/>
        <v>0</v>
      </c>
      <c r="AW25" s="110">
        <f t="shared" si="19"/>
        <v>0</v>
      </c>
      <c r="AX25" s="110">
        <f t="shared" si="20"/>
        <v>0</v>
      </c>
      <c r="AY25" s="110">
        <f t="shared" si="21"/>
        <v>0</v>
      </c>
      <c r="AZ25" s="110">
        <f t="shared" si="22"/>
        <v>10.470000000000027</v>
      </c>
      <c r="BA25" s="110">
        <f t="shared" si="23"/>
        <v>0</v>
      </c>
      <c r="BB25" s="110">
        <f t="shared" si="24"/>
        <v>0</v>
      </c>
      <c r="BD25" s="109" cm="1">
        <f t="array" ref="BD25">+IFERROR(INDEX($C$3:$AM$3,MATCH(TRUE,INDEX($C25:$AM25&lt;&gt;0,0),0)),"N/A")</f>
        <v>44926</v>
      </c>
      <c r="BE25" s="112"/>
      <c r="BF25" s="1" t="str" cm="1">
        <f t="array" ref="BF25">+_xlfn.IFS(BT25&lt;&gt;0,BT$2,CH25&lt;&gt;0,CH$2,CV25&lt;&gt;0,CV$2,DJ25&lt;&gt;0,DJ$2,TRUE,"")</f>
        <v/>
      </c>
      <c r="BG25" s="1" t="str" cm="1">
        <f t="array" ref="BG25">+_xlfn.IFS(BU25&lt;&gt;0,BU$2,CI25&lt;&gt;0,CI$2,CW25&lt;&gt;0,CW$2,DK25&lt;&gt;0,DK$2,TRUE,"")</f>
        <v/>
      </c>
      <c r="BH25" s="1" t="str" cm="1">
        <f t="array" ref="BH25">+_xlfn.IFS(BV25&lt;&gt;0,BV$2,CJ25&lt;&gt;0,CJ$2,CX25&lt;&gt;0,CX$2,DL25&lt;&gt;0,DL$2,TRUE,"")</f>
        <v/>
      </c>
      <c r="BI25" s="1" t="str" cm="1">
        <f t="array" ref="BI25">+_xlfn.IFS(BW25&lt;&gt;0,BW$2,CK25&lt;&gt;0,CK$2,CY25&lt;&gt;0,CY$2,DM25&lt;&gt;0,DM$2,TRUE,"")</f>
        <v/>
      </c>
      <c r="BJ25" s="1" t="str" cm="1">
        <f t="array" ref="BJ25">+_xlfn.IFS(BX25&lt;&gt;0,BX$2,CL25&lt;&gt;0,CL$2,CZ25&lt;&gt;0,CZ$2,DN25&lt;&gt;0,DN$2,TRUE,"")</f>
        <v/>
      </c>
      <c r="BK25" s="1" t="str" cm="1">
        <f t="array" ref="BK25">+_xlfn.IFS(BY25&lt;&gt;0,BY$2,CM25&lt;&gt;0,CM$2,DA25&lt;&gt;0,DA$2,DO25&lt;&gt;0,DO$2,TRUE,"")</f>
        <v/>
      </c>
      <c r="BL25" s="1" t="str" cm="1">
        <f t="array" ref="BL25">+_xlfn.IFS(BZ25&lt;&gt;0,BZ$2,CN25&lt;&gt;0,CN$2,DB25&lt;&gt;0,DB$2,DP25&lt;&gt;0,DP$2,TRUE,"")</f>
        <v/>
      </c>
      <c r="BM25" s="1" t="str" cm="1">
        <f t="array" ref="BM25">+_xlfn.IFS(CA25&lt;&gt;0,CA$2,CO25&lt;&gt;0,CO$2,DC25&lt;&gt;0,DC$2,DQ25&lt;&gt;0,DQ$2,TRUE,"")</f>
        <v/>
      </c>
      <c r="BN25" s="1" t="str" cm="1">
        <f t="array" ref="BN25">+_xlfn.IFS(CB25&lt;&gt;0,CB$2,CP25&lt;&gt;0,CP$2,DD25&lt;&gt;0,DD$2,DR25&lt;&gt;0,DR$2,TRUE,"")</f>
        <v/>
      </c>
      <c r="BO25" s="1" t="str" cm="1">
        <f t="array" ref="BO25">+_xlfn.IFS(CC25&lt;&gt;0,CC$2,CQ25&lt;&gt;0,CQ$2,DE25&lt;&gt;0,DE$2,DS25&lt;&gt;0,DS$2,TRUE,"")</f>
        <v>Upsell</v>
      </c>
      <c r="BP25" s="1" t="str" cm="1">
        <f t="array" ref="BP25">+_xlfn.IFS(CD25&lt;&gt;0,CD$2,CR25&lt;&gt;0,CR$2,DF25&lt;&gt;0,DF$2,DT25&lt;&gt;0,DT$2,TRUE,"")</f>
        <v/>
      </c>
      <c r="BQ25" s="1" t="str" cm="1">
        <f t="array" ref="BQ25">+_xlfn.IFS(CE25&lt;&gt;0,CE$2,CS25&lt;&gt;0,CS$2,DG25&lt;&gt;0,DG$2,DU25&lt;&gt;0,DU$2,TRUE,"")</f>
        <v/>
      </c>
      <c r="BS25" s="111"/>
      <c r="BT25" s="110">
        <f t="shared" si="25"/>
        <v>0</v>
      </c>
      <c r="BU25" s="110">
        <f t="shared" si="26"/>
        <v>0</v>
      </c>
      <c r="BV25" s="110">
        <f t="shared" si="27"/>
        <v>0</v>
      </c>
      <c r="BW25" s="110">
        <f t="shared" si="28"/>
        <v>0</v>
      </c>
      <c r="BX25" s="110">
        <f t="shared" si="29"/>
        <v>0</v>
      </c>
      <c r="BY25" s="110">
        <f t="shared" si="30"/>
        <v>0</v>
      </c>
      <c r="BZ25" s="110">
        <f t="shared" si="31"/>
        <v>0</v>
      </c>
      <c r="CA25" s="110">
        <f t="shared" si="32"/>
        <v>0</v>
      </c>
      <c r="CB25" s="110">
        <f t="shared" si="33"/>
        <v>0</v>
      </c>
      <c r="CC25" s="110">
        <f t="shared" si="34"/>
        <v>0</v>
      </c>
      <c r="CD25" s="110">
        <f t="shared" si="35"/>
        <v>0</v>
      </c>
      <c r="CE25" s="110">
        <f t="shared" si="36"/>
        <v>0</v>
      </c>
      <c r="CG25" s="111"/>
      <c r="CH25" s="110">
        <f t="shared" si="37"/>
        <v>0</v>
      </c>
      <c r="CI25" s="110">
        <f t="shared" si="38"/>
        <v>0</v>
      </c>
      <c r="CJ25" s="110">
        <f t="shared" si="39"/>
        <v>0</v>
      </c>
      <c r="CK25" s="110">
        <f t="shared" si="40"/>
        <v>0</v>
      </c>
      <c r="CL25" s="110">
        <f t="shared" si="41"/>
        <v>0</v>
      </c>
      <c r="CM25" s="110">
        <f t="shared" si="42"/>
        <v>0</v>
      </c>
      <c r="CN25" s="110">
        <f t="shared" si="43"/>
        <v>0</v>
      </c>
      <c r="CO25" s="110">
        <f t="shared" si="44"/>
        <v>0</v>
      </c>
      <c r="CP25" s="110">
        <f t="shared" si="45"/>
        <v>0</v>
      </c>
      <c r="CQ25" s="110">
        <f t="shared" si="46"/>
        <v>0</v>
      </c>
      <c r="CR25" s="110">
        <f t="shared" si="47"/>
        <v>0</v>
      </c>
      <c r="CS25" s="110">
        <f t="shared" si="48"/>
        <v>0</v>
      </c>
      <c r="CU25" s="111"/>
      <c r="CV25" s="110">
        <f t="shared" si="49"/>
        <v>0</v>
      </c>
      <c r="CW25" s="110">
        <f t="shared" si="50"/>
        <v>0</v>
      </c>
      <c r="CX25" s="110">
        <f t="shared" si="51"/>
        <v>0</v>
      </c>
      <c r="CY25" s="110">
        <f t="shared" si="52"/>
        <v>0</v>
      </c>
      <c r="CZ25" s="110">
        <f t="shared" si="53"/>
        <v>0</v>
      </c>
      <c r="DA25" s="110">
        <f t="shared" si="54"/>
        <v>0</v>
      </c>
      <c r="DB25" s="110">
        <f t="shared" si="55"/>
        <v>0</v>
      </c>
      <c r="DC25" s="110">
        <f t="shared" si="56"/>
        <v>0</v>
      </c>
      <c r="DD25" s="110">
        <f t="shared" si="57"/>
        <v>0</v>
      </c>
      <c r="DE25" s="110">
        <f t="shared" si="58"/>
        <v>0</v>
      </c>
      <c r="DF25" s="110">
        <f t="shared" si="59"/>
        <v>0</v>
      </c>
      <c r="DG25" s="110">
        <f t="shared" si="60"/>
        <v>0</v>
      </c>
      <c r="DI25" s="111"/>
      <c r="DJ25" s="110">
        <f t="shared" si="61"/>
        <v>0</v>
      </c>
      <c r="DK25" s="110">
        <f t="shared" si="62"/>
        <v>0</v>
      </c>
      <c r="DL25" s="110">
        <f t="shared" si="63"/>
        <v>0</v>
      </c>
      <c r="DM25" s="110">
        <f t="shared" si="64"/>
        <v>0</v>
      </c>
      <c r="DN25" s="110">
        <f t="shared" si="65"/>
        <v>0</v>
      </c>
      <c r="DO25" s="110">
        <f t="shared" si="66"/>
        <v>0</v>
      </c>
      <c r="DP25" s="110">
        <f t="shared" si="67"/>
        <v>0</v>
      </c>
      <c r="DQ25" s="110">
        <f t="shared" si="68"/>
        <v>0</v>
      </c>
      <c r="DR25" s="110">
        <f t="shared" si="69"/>
        <v>0</v>
      </c>
      <c r="DS25" s="110">
        <f t="shared" si="70"/>
        <v>10.470000000000027</v>
      </c>
      <c r="DT25" s="110">
        <f t="shared" si="71"/>
        <v>0</v>
      </c>
      <c r="DU25" s="110">
        <f t="shared" si="72"/>
        <v>0</v>
      </c>
      <c r="DW25" s="111"/>
      <c r="DX25" s="110">
        <f t="shared" si="73"/>
        <v>0</v>
      </c>
      <c r="DY25" s="110">
        <f t="shared" si="74"/>
        <v>0</v>
      </c>
      <c r="DZ25" s="110">
        <f t="shared" si="75"/>
        <v>0</v>
      </c>
      <c r="EA25" s="110">
        <f t="shared" si="76"/>
        <v>0</v>
      </c>
      <c r="EB25" s="110">
        <f t="shared" si="77"/>
        <v>0</v>
      </c>
      <c r="EC25" s="110">
        <f t="shared" si="78"/>
        <v>0</v>
      </c>
      <c r="ED25" s="110">
        <f t="shared" si="79"/>
        <v>0</v>
      </c>
      <c r="EE25" s="110">
        <f t="shared" si="80"/>
        <v>0</v>
      </c>
      <c r="EF25" s="110">
        <f t="shared" si="81"/>
        <v>0</v>
      </c>
      <c r="EG25" s="110">
        <f t="shared" si="82"/>
        <v>0</v>
      </c>
      <c r="EH25" s="110">
        <f t="shared" si="83"/>
        <v>0</v>
      </c>
      <c r="EI25" s="110">
        <f t="shared" si="84"/>
        <v>0</v>
      </c>
      <c r="EK25" s="111"/>
      <c r="EL25" s="110">
        <f t="shared" si="85"/>
        <v>0</v>
      </c>
      <c r="EM25" s="110">
        <f t="shared" si="86"/>
        <v>0</v>
      </c>
      <c r="EN25" s="110">
        <f t="shared" si="87"/>
        <v>10.470000000000027</v>
      </c>
      <c r="EP25" s="109" cm="1">
        <f t="array" ref="EP25">+IFERROR(INDEX($C$3:$AM$3,MATCH(TRUE,INDEX($C25:$AM25&lt;&gt;0,0),0)),"N/A")</f>
        <v>44926</v>
      </c>
      <c r="EQ25" s="112"/>
      <c r="ER25" s="1" t="str" cm="1">
        <f t="array" ref="ER25">+_xlfn.IFS(EW25&lt;&gt;0,EW$2,FB25&lt;&gt;0,FB$2,FG25&lt;&gt;0,FG$2,FL25&lt;&gt;0,FL$2,TRUE,"")</f>
        <v/>
      </c>
      <c r="ES25" s="1" t="str" cm="1">
        <f t="array" ref="ES25">+_xlfn.IFS(EX25&lt;&gt;0,EX$2,FC25&lt;&gt;0,FC$2,FH25&lt;&gt;0,FH$2,FM25&lt;&gt;0,FM$2,TRUE,"")</f>
        <v/>
      </c>
      <c r="ET25" s="1" t="str" cm="1">
        <f t="array" ref="ET25">+_xlfn.IFS(EY25&lt;&gt;0,EY$2,FD25&lt;&gt;0,FD$2,FI25&lt;&gt;0,FI$2,FN25&lt;&gt;0,FN$2,TRUE,"")</f>
        <v>Upsell</v>
      </c>
      <c r="EV25" s="111"/>
      <c r="EW25" s="110">
        <f t="shared" si="88"/>
        <v>0</v>
      </c>
      <c r="EX25" s="110">
        <f t="shared" si="89"/>
        <v>0</v>
      </c>
      <c r="EY25" s="110">
        <f t="shared" si="90"/>
        <v>0</v>
      </c>
      <c r="FA25" s="111"/>
      <c r="FB25" s="110">
        <f t="shared" si="91"/>
        <v>0</v>
      </c>
      <c r="FC25" s="110">
        <f t="shared" si="92"/>
        <v>0</v>
      </c>
      <c r="FD25" s="110">
        <f t="shared" si="93"/>
        <v>0</v>
      </c>
      <c r="FF25" s="111"/>
      <c r="FG25" s="110">
        <f t="shared" si="94"/>
        <v>0</v>
      </c>
      <c r="FH25" s="110">
        <f t="shared" si="95"/>
        <v>0</v>
      </c>
      <c r="FI25" s="110">
        <f t="shared" si="96"/>
        <v>0</v>
      </c>
      <c r="FK25" s="111"/>
      <c r="FL25" s="110">
        <f t="shared" si="97"/>
        <v>0</v>
      </c>
      <c r="FM25" s="110">
        <f t="shared" si="98"/>
        <v>0</v>
      </c>
      <c r="FN25" s="110">
        <f t="shared" si="99"/>
        <v>10.470000000000027</v>
      </c>
      <c r="FP25" s="111"/>
      <c r="FQ25" s="110">
        <f t="shared" si="100"/>
        <v>0</v>
      </c>
      <c r="FR25" s="110">
        <f t="shared" si="101"/>
        <v>0</v>
      </c>
      <c r="FS25" s="110">
        <f t="shared" si="102"/>
        <v>0</v>
      </c>
      <c r="FU25" s="111">
        <f t="shared" si="103"/>
        <v>0</v>
      </c>
      <c r="FV25" s="110">
        <f t="shared" si="104"/>
        <v>0</v>
      </c>
      <c r="FW25" s="110">
        <f t="shared" si="105"/>
        <v>0</v>
      </c>
      <c r="FX25" s="110">
        <f t="shared" si="106"/>
        <v>0</v>
      </c>
      <c r="FY25" s="110">
        <f t="shared" si="107"/>
        <v>0</v>
      </c>
      <c r="FZ25" s="110">
        <f t="shared" si="108"/>
        <v>0</v>
      </c>
      <c r="GA25" s="110">
        <f t="shared" si="109"/>
        <v>0</v>
      </c>
      <c r="GB25" s="110">
        <f t="shared" si="110"/>
        <v>0</v>
      </c>
      <c r="GC25" s="110">
        <f t="shared" si="111"/>
        <v>0</v>
      </c>
      <c r="GD25" s="110">
        <f t="shared" si="112"/>
        <v>0</v>
      </c>
      <c r="GE25" s="110">
        <f t="shared" si="113"/>
        <v>0</v>
      </c>
      <c r="GF25" s="110">
        <f t="shared" si="114"/>
        <v>0</v>
      </c>
      <c r="GG25" s="110">
        <f t="shared" si="115"/>
        <v>0</v>
      </c>
      <c r="GH25" s="110">
        <f t="shared" si="116"/>
        <v>0</v>
      </c>
      <c r="GI25" s="110">
        <f t="shared" si="117"/>
        <v>0</v>
      </c>
      <c r="GJ25" s="110">
        <f t="shared" si="118"/>
        <v>0</v>
      </c>
      <c r="GK25" s="110">
        <f t="shared" si="119"/>
        <v>0</v>
      </c>
      <c r="GL25" s="110">
        <f t="shared" si="120"/>
        <v>0</v>
      </c>
      <c r="GM25" s="110">
        <f t="shared" si="121"/>
        <v>10.470000000000027</v>
      </c>
      <c r="GN25" s="110">
        <f t="shared" si="122"/>
        <v>10.470000000000027</v>
      </c>
      <c r="GO25" s="110">
        <f t="shared" si="123"/>
        <v>10.470000000000027</v>
      </c>
      <c r="GP25" s="110">
        <f t="shared" si="124"/>
        <v>10.470000000000027</v>
      </c>
      <c r="GQ25" s="110">
        <f t="shared" si="125"/>
        <v>10.470000000000027</v>
      </c>
      <c r="GR25" s="110">
        <f t="shared" si="126"/>
        <v>10.470000000000027</v>
      </c>
      <c r="GS25" s="110">
        <f t="shared" si="127"/>
        <v>10.470000000000027</v>
      </c>
      <c r="GU25" s="109" cm="1">
        <f t="array" ref="GU25">+IFERROR(INDEX($C$3:$AM$3,MATCH(TRUE,INDEX($C25:$AM25&lt;&gt;0,0),0)),"N/A")</f>
        <v>44926</v>
      </c>
      <c r="GV25" s="112" t="str" cm="1">
        <f t="array" ref="GV25">+_xlfn.IFS(HV25&lt;&gt;0,HV$2,IV25&lt;&gt;0,IV$2,JV25&lt;&gt;0,JV$2,KV25&lt;&gt;0,KV$2,TRUE,"")</f>
        <v/>
      </c>
      <c r="GW25" s="1" t="str" cm="1">
        <f t="array" ref="GW25">+_xlfn.IFS(HW25&lt;&gt;0,HW$2,IW25&lt;&gt;0,IW$2,JW25&lt;&gt;0,JW$2,KW25&lt;&gt;0,KW$2,TRUE,"")</f>
        <v/>
      </c>
      <c r="GX25" s="1" t="str" cm="1">
        <f t="array" ref="GX25">+_xlfn.IFS(HX25&lt;&gt;0,HX$2,IX25&lt;&gt;0,IX$2,JX25&lt;&gt;0,JX$2,KX25&lt;&gt;0,KX$2,TRUE,"")</f>
        <v/>
      </c>
      <c r="GY25" s="1" t="str" cm="1">
        <f t="array" ref="GY25">+_xlfn.IFS(HY25&lt;&gt;0,HY$2,IY25&lt;&gt;0,IY$2,JY25&lt;&gt;0,JY$2,KY25&lt;&gt;0,KY$2,TRUE,"")</f>
        <v/>
      </c>
      <c r="GZ25" s="1" t="str" cm="1">
        <f t="array" ref="GZ25">+_xlfn.IFS(HZ25&lt;&gt;0,HZ$2,IZ25&lt;&gt;0,IZ$2,JZ25&lt;&gt;0,JZ$2,KZ25&lt;&gt;0,KZ$2,TRUE,"")</f>
        <v/>
      </c>
      <c r="HA25" s="1" t="str" cm="1">
        <f t="array" ref="HA25">+_xlfn.IFS(IA25&lt;&gt;0,IA$2,JA25&lt;&gt;0,JA$2,KA25&lt;&gt;0,KA$2,LA25&lt;&gt;0,LA$2,TRUE,"")</f>
        <v/>
      </c>
      <c r="HB25" s="1" t="str" cm="1">
        <f t="array" ref="HB25">+_xlfn.IFS(IB25&lt;&gt;0,IB$2,JB25&lt;&gt;0,JB$2,KB25&lt;&gt;0,KB$2,LB25&lt;&gt;0,LB$2,TRUE,"")</f>
        <v/>
      </c>
      <c r="HC25" s="1" t="str" cm="1">
        <f t="array" ref="HC25">+_xlfn.IFS(IC25&lt;&gt;0,IC$2,JC25&lt;&gt;0,JC$2,KC25&lt;&gt;0,KC$2,LC25&lt;&gt;0,LC$2,TRUE,"")</f>
        <v/>
      </c>
      <c r="HD25" s="1" t="str" cm="1">
        <f t="array" ref="HD25">+_xlfn.IFS(ID25&lt;&gt;0,ID$2,JD25&lt;&gt;0,JD$2,KD25&lt;&gt;0,KD$2,LD25&lt;&gt;0,LD$2,TRUE,"")</f>
        <v/>
      </c>
      <c r="HE25" s="1" t="str" cm="1">
        <f t="array" ref="HE25">+_xlfn.IFS(IE25&lt;&gt;0,IE$2,JE25&lt;&gt;0,JE$2,KE25&lt;&gt;0,KE$2,LE25&lt;&gt;0,LE$2,TRUE,"")</f>
        <v/>
      </c>
      <c r="HF25" s="1" t="str" cm="1">
        <f t="array" ref="HF25">+_xlfn.IFS(IF25&lt;&gt;0,IF$2,JF25&lt;&gt;0,JF$2,KF25&lt;&gt;0,KF$2,LF25&lt;&gt;0,LF$2,TRUE,"")</f>
        <v/>
      </c>
      <c r="HG25" s="1" t="str" cm="1">
        <f t="array" ref="HG25">+_xlfn.IFS(IG25&lt;&gt;0,IG$2,JG25&lt;&gt;0,JG$2,KG25&lt;&gt;0,KG$2,LG25&lt;&gt;0,LG$2,TRUE,"")</f>
        <v/>
      </c>
      <c r="HH25" s="1" t="str" cm="1">
        <f t="array" ref="HH25">+_xlfn.IFS(IH25&lt;&gt;0,IH$2,JH25&lt;&gt;0,JH$2,KH25&lt;&gt;0,KH$2,LH25&lt;&gt;0,LH$2,TRUE,"")</f>
        <v/>
      </c>
      <c r="HI25" s="1" t="str" cm="1">
        <f t="array" ref="HI25">+_xlfn.IFS(II25&lt;&gt;0,II$2,JI25&lt;&gt;0,JI$2,KI25&lt;&gt;0,KI$2,LI25&lt;&gt;0,LI$2,TRUE,"")</f>
        <v/>
      </c>
      <c r="HJ25" s="1" t="str" cm="1">
        <f t="array" ref="HJ25">+_xlfn.IFS(IJ25&lt;&gt;0,IJ$2,JJ25&lt;&gt;0,JJ$2,KJ25&lt;&gt;0,KJ$2,LJ25&lt;&gt;0,LJ$2,TRUE,"")</f>
        <v/>
      </c>
      <c r="HK25" s="1" t="str" cm="1">
        <f t="array" ref="HK25">+_xlfn.IFS(IK25&lt;&gt;0,IK$2,JK25&lt;&gt;0,JK$2,KK25&lt;&gt;0,KK$2,LK25&lt;&gt;0,LK$2,TRUE,"")</f>
        <v/>
      </c>
      <c r="HL25" s="1" t="str" cm="1">
        <f t="array" ref="HL25">+_xlfn.IFS(IL25&lt;&gt;0,IL$2,JL25&lt;&gt;0,JL$2,KL25&lt;&gt;0,KL$2,LL25&lt;&gt;0,LL$2,TRUE,"")</f>
        <v/>
      </c>
      <c r="HM25" s="1" t="str" cm="1">
        <f t="array" ref="HM25">+_xlfn.IFS(IM25&lt;&gt;0,IM$2,JM25&lt;&gt;0,JM$2,KM25&lt;&gt;0,KM$2,LM25&lt;&gt;0,LM$2,TRUE,"")</f>
        <v/>
      </c>
      <c r="HN25" s="1" t="str" cm="1">
        <f t="array" ref="HN25">+_xlfn.IFS(IN25&lt;&gt;0,IN$2,JN25&lt;&gt;0,JN$2,KN25&lt;&gt;0,KN$2,LN25&lt;&gt;0,LN$2,TRUE,"")</f>
        <v>Upsell</v>
      </c>
      <c r="HO25" s="1" t="str" cm="1">
        <f t="array" ref="HO25">+_xlfn.IFS(IO25&lt;&gt;0,IO$2,JO25&lt;&gt;0,JO$2,KO25&lt;&gt;0,KO$2,LO25&lt;&gt;0,LO$2,TRUE,"")</f>
        <v>Upsell</v>
      </c>
      <c r="HP25" s="1" t="str" cm="1">
        <f t="array" ref="HP25">+_xlfn.IFS(IP25&lt;&gt;0,IP$2,JP25&lt;&gt;0,JP$2,KP25&lt;&gt;0,KP$2,LP25&lt;&gt;0,LP$2,TRUE,"")</f>
        <v>Upsell</v>
      </c>
      <c r="HQ25" s="1" t="str" cm="1">
        <f t="array" ref="HQ25">+_xlfn.IFS(IQ25&lt;&gt;0,IQ$2,JQ25&lt;&gt;0,JQ$2,KQ25&lt;&gt;0,KQ$2,LQ25&lt;&gt;0,LQ$2,TRUE,"")</f>
        <v>Upsell</v>
      </c>
      <c r="HR25" s="1" t="str" cm="1">
        <f t="array" ref="HR25">+_xlfn.IFS(IR25&lt;&gt;0,IR$2,JR25&lt;&gt;0,JR$2,KR25&lt;&gt;0,KR$2,LR25&lt;&gt;0,LR$2,TRUE,"")</f>
        <v>Upsell</v>
      </c>
      <c r="HS25" s="1" t="str" cm="1">
        <f t="array" ref="HS25">+_xlfn.IFS(IS25&lt;&gt;0,IS$2,JS25&lt;&gt;0,JS$2,KS25&lt;&gt;0,KS$2,LS25&lt;&gt;0,LS$2,TRUE,"")</f>
        <v>Upsell</v>
      </c>
      <c r="HT25" s="1" t="str" cm="1">
        <f t="array" ref="HT25">+_xlfn.IFS(IT25&lt;&gt;0,IT$2,JT25&lt;&gt;0,JT$2,KT25&lt;&gt;0,KT$2,LT25&lt;&gt;0,LT$2,TRUE,"")</f>
        <v>Upsell</v>
      </c>
      <c r="HV25" s="111">
        <f t="shared" si="128"/>
        <v>0</v>
      </c>
      <c r="HW25" s="110">
        <f t="shared" si="129"/>
        <v>0</v>
      </c>
      <c r="HX25" s="110">
        <f t="shared" si="130"/>
        <v>0</v>
      </c>
      <c r="HY25" s="110">
        <f t="shared" si="131"/>
        <v>0</v>
      </c>
      <c r="HZ25" s="110">
        <f t="shared" si="132"/>
        <v>0</v>
      </c>
      <c r="IA25" s="110">
        <f t="shared" si="133"/>
        <v>0</v>
      </c>
      <c r="IB25" s="110">
        <f t="shared" si="134"/>
        <v>0</v>
      </c>
      <c r="IC25" s="110">
        <f t="shared" si="135"/>
        <v>0</v>
      </c>
      <c r="ID25" s="110">
        <f t="shared" si="136"/>
        <v>0</v>
      </c>
      <c r="IE25" s="110">
        <f t="shared" si="137"/>
        <v>0</v>
      </c>
      <c r="IF25" s="110">
        <f t="shared" si="138"/>
        <v>0</v>
      </c>
      <c r="IG25" s="110">
        <f t="shared" si="139"/>
        <v>0</v>
      </c>
      <c r="IH25" s="110">
        <f t="shared" si="140"/>
        <v>0</v>
      </c>
      <c r="II25" s="110">
        <f t="shared" si="141"/>
        <v>0</v>
      </c>
      <c r="IJ25" s="110">
        <f t="shared" si="142"/>
        <v>0</v>
      </c>
      <c r="IK25" s="110">
        <f t="shared" si="143"/>
        <v>0</v>
      </c>
      <c r="IL25" s="110">
        <f t="shared" si="144"/>
        <v>0</v>
      </c>
      <c r="IM25" s="110">
        <f t="shared" si="145"/>
        <v>0</v>
      </c>
      <c r="IN25" s="110">
        <f t="shared" si="146"/>
        <v>0</v>
      </c>
      <c r="IO25" s="110">
        <f t="shared" si="147"/>
        <v>0</v>
      </c>
      <c r="IP25" s="110">
        <f t="shared" si="148"/>
        <v>0</v>
      </c>
      <c r="IQ25" s="110">
        <f t="shared" si="149"/>
        <v>0</v>
      </c>
      <c r="IR25" s="110">
        <f t="shared" si="150"/>
        <v>0</v>
      </c>
      <c r="IS25" s="110">
        <f t="shared" si="151"/>
        <v>0</v>
      </c>
      <c r="IT25" s="110">
        <f t="shared" si="152"/>
        <v>0</v>
      </c>
      <c r="IV25" s="111">
        <f t="shared" si="153"/>
        <v>0</v>
      </c>
      <c r="IW25" s="110">
        <f t="shared" si="154"/>
        <v>0</v>
      </c>
      <c r="IX25" s="110">
        <f t="shared" si="155"/>
        <v>0</v>
      </c>
      <c r="IY25" s="110">
        <f t="shared" si="156"/>
        <v>0</v>
      </c>
      <c r="IZ25" s="110">
        <f t="shared" si="157"/>
        <v>0</v>
      </c>
      <c r="JA25" s="110">
        <f t="shared" si="158"/>
        <v>0</v>
      </c>
      <c r="JB25" s="110">
        <f t="shared" si="159"/>
        <v>0</v>
      </c>
      <c r="JC25" s="110">
        <f t="shared" si="160"/>
        <v>0</v>
      </c>
      <c r="JD25" s="110">
        <f t="shared" si="161"/>
        <v>0</v>
      </c>
      <c r="JE25" s="110">
        <f t="shared" si="162"/>
        <v>0</v>
      </c>
      <c r="JF25" s="110">
        <f t="shared" si="163"/>
        <v>0</v>
      </c>
      <c r="JG25" s="110">
        <f t="shared" si="164"/>
        <v>0</v>
      </c>
      <c r="JH25" s="110">
        <f t="shared" si="165"/>
        <v>0</v>
      </c>
      <c r="JI25" s="110">
        <f t="shared" si="166"/>
        <v>0</v>
      </c>
      <c r="JJ25" s="110">
        <f t="shared" si="167"/>
        <v>0</v>
      </c>
      <c r="JK25" s="110">
        <f t="shared" si="168"/>
        <v>0</v>
      </c>
      <c r="JL25" s="110">
        <f t="shared" si="169"/>
        <v>0</v>
      </c>
      <c r="JM25" s="110">
        <f t="shared" si="170"/>
        <v>0</v>
      </c>
      <c r="JN25" s="110">
        <f t="shared" si="171"/>
        <v>0</v>
      </c>
      <c r="JO25" s="110">
        <f t="shared" si="172"/>
        <v>0</v>
      </c>
      <c r="JP25" s="110">
        <f t="shared" si="173"/>
        <v>0</v>
      </c>
      <c r="JQ25" s="110">
        <f t="shared" si="174"/>
        <v>0</v>
      </c>
      <c r="JR25" s="110">
        <f t="shared" si="175"/>
        <v>0</v>
      </c>
      <c r="JS25" s="110">
        <f t="shared" si="176"/>
        <v>0</v>
      </c>
      <c r="JT25" s="110">
        <f t="shared" si="177"/>
        <v>0</v>
      </c>
      <c r="JV25" s="111">
        <f t="shared" si="178"/>
        <v>0</v>
      </c>
      <c r="JW25" s="110">
        <f t="shared" si="179"/>
        <v>0</v>
      </c>
      <c r="JX25" s="110">
        <f t="shared" si="180"/>
        <v>0</v>
      </c>
      <c r="JY25" s="110">
        <f t="shared" si="181"/>
        <v>0</v>
      </c>
      <c r="JZ25" s="110">
        <f t="shared" si="182"/>
        <v>0</v>
      </c>
      <c r="KA25" s="110">
        <f t="shared" si="183"/>
        <v>0</v>
      </c>
      <c r="KB25" s="110">
        <f t="shared" si="184"/>
        <v>0</v>
      </c>
      <c r="KC25" s="110">
        <f t="shared" si="185"/>
        <v>0</v>
      </c>
      <c r="KD25" s="110">
        <f t="shared" si="186"/>
        <v>0</v>
      </c>
      <c r="KE25" s="110">
        <f t="shared" si="187"/>
        <v>0</v>
      </c>
      <c r="KF25" s="110">
        <f t="shared" si="188"/>
        <v>0</v>
      </c>
      <c r="KG25" s="110">
        <f t="shared" si="189"/>
        <v>0</v>
      </c>
      <c r="KH25" s="110">
        <f t="shared" si="190"/>
        <v>0</v>
      </c>
      <c r="KI25" s="110">
        <f t="shared" si="191"/>
        <v>0</v>
      </c>
      <c r="KJ25" s="110">
        <f t="shared" si="192"/>
        <v>0</v>
      </c>
      <c r="KK25" s="110">
        <f t="shared" si="193"/>
        <v>0</v>
      </c>
      <c r="KL25" s="110">
        <f t="shared" si="194"/>
        <v>0</v>
      </c>
      <c r="KM25" s="110">
        <f t="shared" si="195"/>
        <v>0</v>
      </c>
      <c r="KN25" s="110">
        <f t="shared" si="196"/>
        <v>0</v>
      </c>
      <c r="KO25" s="110">
        <f t="shared" si="197"/>
        <v>0</v>
      </c>
      <c r="KP25" s="110">
        <f t="shared" si="198"/>
        <v>0</v>
      </c>
      <c r="KQ25" s="110">
        <f t="shared" si="199"/>
        <v>0</v>
      </c>
      <c r="KR25" s="110">
        <f t="shared" si="200"/>
        <v>0</v>
      </c>
      <c r="KS25" s="110">
        <f t="shared" si="201"/>
        <v>0</v>
      </c>
      <c r="KT25" s="110">
        <f t="shared" si="202"/>
        <v>0</v>
      </c>
      <c r="KV25" s="111">
        <f t="shared" si="203"/>
        <v>0</v>
      </c>
      <c r="KW25" s="110">
        <f t="shared" si="204"/>
        <v>0</v>
      </c>
      <c r="KX25" s="110">
        <f t="shared" si="205"/>
        <v>0</v>
      </c>
      <c r="KY25" s="110">
        <f t="shared" si="206"/>
        <v>0</v>
      </c>
      <c r="KZ25" s="110">
        <f t="shared" si="207"/>
        <v>0</v>
      </c>
      <c r="LA25" s="110">
        <f t="shared" si="208"/>
        <v>0</v>
      </c>
      <c r="LB25" s="110">
        <f t="shared" si="209"/>
        <v>0</v>
      </c>
      <c r="LC25" s="110">
        <f t="shared" si="210"/>
        <v>0</v>
      </c>
      <c r="LD25" s="110">
        <f t="shared" si="211"/>
        <v>0</v>
      </c>
      <c r="LE25" s="110">
        <f t="shared" si="212"/>
        <v>0</v>
      </c>
      <c r="LF25" s="110">
        <f t="shared" si="213"/>
        <v>0</v>
      </c>
      <c r="LG25" s="110">
        <f t="shared" si="214"/>
        <v>0</v>
      </c>
      <c r="LH25" s="110">
        <f t="shared" si="215"/>
        <v>0</v>
      </c>
      <c r="LI25" s="110">
        <f t="shared" si="216"/>
        <v>0</v>
      </c>
      <c r="LJ25" s="110">
        <f t="shared" si="217"/>
        <v>0</v>
      </c>
      <c r="LK25" s="110">
        <f t="shared" si="218"/>
        <v>0</v>
      </c>
      <c r="LL25" s="110">
        <f t="shared" si="219"/>
        <v>0</v>
      </c>
      <c r="LM25" s="110">
        <f t="shared" si="220"/>
        <v>0</v>
      </c>
      <c r="LN25" s="110">
        <f t="shared" si="221"/>
        <v>10.470000000000027</v>
      </c>
      <c r="LO25" s="110">
        <f t="shared" si="222"/>
        <v>10.470000000000027</v>
      </c>
      <c r="LP25" s="110">
        <f t="shared" si="223"/>
        <v>10.470000000000027</v>
      </c>
      <c r="LQ25" s="110">
        <f t="shared" si="224"/>
        <v>10.470000000000027</v>
      </c>
      <c r="LR25" s="110">
        <f t="shared" si="225"/>
        <v>10.470000000000027</v>
      </c>
      <c r="LS25" s="110">
        <f t="shared" si="226"/>
        <v>10.470000000000027</v>
      </c>
      <c r="LT25" s="110">
        <f t="shared" si="227"/>
        <v>10.470000000000027</v>
      </c>
      <c r="LV25" s="111"/>
      <c r="LW25" s="110">
        <f t="shared" si="228"/>
        <v>0</v>
      </c>
      <c r="LX25" s="110">
        <f t="shared" si="229"/>
        <v>0</v>
      </c>
      <c r="LY25" s="110">
        <f t="shared" si="230"/>
        <v>0</v>
      </c>
      <c r="LZ25" s="110">
        <f t="shared" si="231"/>
        <v>0</v>
      </c>
      <c r="MA25" s="110">
        <f t="shared" si="232"/>
        <v>0</v>
      </c>
      <c r="MB25" s="110">
        <f t="shared" si="233"/>
        <v>0</v>
      </c>
      <c r="MC25" s="110">
        <f t="shared" si="234"/>
        <v>0</v>
      </c>
      <c r="MD25" s="110">
        <f t="shared" si="235"/>
        <v>0</v>
      </c>
      <c r="ME25" s="110">
        <f t="shared" si="236"/>
        <v>0</v>
      </c>
      <c r="MF25" s="110">
        <f t="shared" si="237"/>
        <v>0</v>
      </c>
      <c r="MG25" s="110">
        <f t="shared" si="238"/>
        <v>0</v>
      </c>
      <c r="MH25" s="110">
        <f t="shared" si="239"/>
        <v>0</v>
      </c>
      <c r="MI25" s="110">
        <f t="shared" si="240"/>
        <v>0</v>
      </c>
      <c r="MJ25" s="110">
        <f t="shared" si="241"/>
        <v>0</v>
      </c>
      <c r="MK25" s="110">
        <f t="shared" si="242"/>
        <v>0</v>
      </c>
      <c r="ML25" s="110">
        <f t="shared" si="243"/>
        <v>0</v>
      </c>
      <c r="MM25" s="110">
        <f t="shared" si="244"/>
        <v>0</v>
      </c>
      <c r="MN25" s="110">
        <f t="shared" si="245"/>
        <v>0</v>
      </c>
      <c r="MO25" s="110">
        <f t="shared" si="246"/>
        <v>0</v>
      </c>
      <c r="MP25" s="110">
        <f t="shared" si="247"/>
        <v>0</v>
      </c>
      <c r="MQ25" s="110">
        <f t="shared" si="248"/>
        <v>0</v>
      </c>
      <c r="MR25" s="110">
        <f t="shared" si="249"/>
        <v>0</v>
      </c>
      <c r="MS25" s="110">
        <f t="shared" si="250"/>
        <v>0</v>
      </c>
      <c r="MT25" s="110">
        <f t="shared" si="251"/>
        <v>0</v>
      </c>
      <c r="MV25" s="114">
        <v>309.47000000000003</v>
      </c>
      <c r="MW25" s="114">
        <v>0</v>
      </c>
      <c r="MX25" s="114">
        <v>10.470000000000027</v>
      </c>
      <c r="MY25" s="114">
        <v>0</v>
      </c>
      <c r="MZ25" s="114">
        <v>0</v>
      </c>
      <c r="NB25" s="115">
        <v>15</v>
      </c>
      <c r="NC25" s="115" t="str">
        <v>N/A</v>
      </c>
      <c r="ND25" s="115">
        <v>14</v>
      </c>
      <c r="NE25" s="115" t="str">
        <v>N/A</v>
      </c>
      <c r="NF25" s="115" t="str">
        <v>N/A</v>
      </c>
    </row>
    <row r="26" spans="1:370" ht="13.5" x14ac:dyDescent="0.25">
      <c r="B26" s="8">
        <f t="shared" si="252"/>
        <v>23</v>
      </c>
      <c r="C26" s="7">
        <v>287.10000000000002</v>
      </c>
      <c r="D26" s="7">
        <v>287.10000000000002</v>
      </c>
      <c r="E26" s="7">
        <v>287.10000000000002</v>
      </c>
      <c r="F26" s="7">
        <v>287.10000000000002</v>
      </c>
      <c r="G26" s="7">
        <v>287.10000000000002</v>
      </c>
      <c r="H26" s="7">
        <v>287.10000000000002</v>
      </c>
      <c r="I26" s="7">
        <v>287.10000000000002</v>
      </c>
      <c r="J26" s="7">
        <v>287.10000000000002</v>
      </c>
      <c r="K26" s="7">
        <v>287.10000000000002</v>
      </c>
      <c r="L26" s="7">
        <v>287.10000000000002</v>
      </c>
      <c r="M26" s="7">
        <v>287.10000000000002</v>
      </c>
      <c r="N26" s="7">
        <v>287.10000000000002</v>
      </c>
      <c r="O26" s="7">
        <v>287.10000000000002</v>
      </c>
      <c r="P26" s="7">
        <v>287.10000000000002</v>
      </c>
      <c r="Q26" s="7">
        <v>287.10000000000002</v>
      </c>
      <c r="R26" s="7">
        <v>287.10000000000002</v>
      </c>
      <c r="S26" s="7">
        <v>287.10000000000002</v>
      </c>
      <c r="T26" s="7">
        <v>287.10000000000002</v>
      </c>
      <c r="U26" s="7">
        <v>287.10000000000002</v>
      </c>
      <c r="V26" s="7">
        <v>287.10000000000002</v>
      </c>
      <c r="W26" s="7">
        <v>287.10000000000002</v>
      </c>
      <c r="X26" s="7">
        <v>287.10000000000002</v>
      </c>
      <c r="Y26" s="7">
        <v>287.10000000000002</v>
      </c>
      <c r="Z26" s="7">
        <v>287.10000000000002</v>
      </c>
      <c r="AA26" s="7">
        <v>287.10000000000002</v>
      </c>
      <c r="AB26" s="7">
        <v>287.10000000000002</v>
      </c>
      <c r="AC26" s="7">
        <v>287.10000000000002</v>
      </c>
      <c r="AD26" s="7">
        <v>287.10000000000002</v>
      </c>
      <c r="AE26" s="7">
        <v>287.10000000000002</v>
      </c>
      <c r="AF26" s="7">
        <v>287.10000000000002</v>
      </c>
      <c r="AG26" s="7">
        <v>287.10000000000002</v>
      </c>
      <c r="AH26" s="7">
        <v>297.14999999999998</v>
      </c>
      <c r="AI26" s="7">
        <v>297.14999999999998</v>
      </c>
      <c r="AJ26" s="7">
        <v>297.14999999999998</v>
      </c>
      <c r="AK26" s="7">
        <v>297.14999999999998</v>
      </c>
      <c r="AL26" s="7">
        <v>297.14999999999998</v>
      </c>
      <c r="AM26" s="7">
        <v>297.14999999999998</v>
      </c>
      <c r="AN26" s="27">
        <v>23</v>
      </c>
      <c r="AP26" s="111"/>
      <c r="AQ26" s="110">
        <f t="shared" si="13"/>
        <v>0</v>
      </c>
      <c r="AR26" s="110">
        <f t="shared" si="14"/>
        <v>0</v>
      </c>
      <c r="AS26" s="110">
        <f t="shared" si="15"/>
        <v>0</v>
      </c>
      <c r="AT26" s="110">
        <f t="shared" si="16"/>
        <v>0</v>
      </c>
      <c r="AU26" s="110">
        <f t="shared" si="17"/>
        <v>0</v>
      </c>
      <c r="AV26" s="110">
        <f t="shared" si="18"/>
        <v>0</v>
      </c>
      <c r="AW26" s="110">
        <f t="shared" si="19"/>
        <v>0</v>
      </c>
      <c r="AX26" s="110">
        <f t="shared" si="20"/>
        <v>0</v>
      </c>
      <c r="AY26" s="110">
        <f t="shared" si="21"/>
        <v>0</v>
      </c>
      <c r="AZ26" s="110">
        <f t="shared" si="22"/>
        <v>0</v>
      </c>
      <c r="BA26" s="110">
        <f t="shared" si="23"/>
        <v>10.049999999999955</v>
      </c>
      <c r="BB26" s="110">
        <f t="shared" si="24"/>
        <v>0</v>
      </c>
      <c r="BD26" s="109" cm="1">
        <f t="array" ref="BD26">+IFERROR(INDEX($C$3:$AM$3,MATCH(TRUE,INDEX($C26:$AM26&lt;&gt;0,0),0)),"N/A")</f>
        <v>44926</v>
      </c>
      <c r="BE26" s="112"/>
      <c r="BF26" s="1" t="str" cm="1">
        <f t="array" ref="BF26">+_xlfn.IFS(BT26&lt;&gt;0,BT$2,CH26&lt;&gt;0,CH$2,CV26&lt;&gt;0,CV$2,DJ26&lt;&gt;0,DJ$2,TRUE,"")</f>
        <v/>
      </c>
      <c r="BG26" s="1" t="str" cm="1">
        <f t="array" ref="BG26">+_xlfn.IFS(BU26&lt;&gt;0,BU$2,CI26&lt;&gt;0,CI$2,CW26&lt;&gt;0,CW$2,DK26&lt;&gt;0,DK$2,TRUE,"")</f>
        <v/>
      </c>
      <c r="BH26" s="1" t="str" cm="1">
        <f t="array" ref="BH26">+_xlfn.IFS(BV26&lt;&gt;0,BV$2,CJ26&lt;&gt;0,CJ$2,CX26&lt;&gt;0,CX$2,DL26&lt;&gt;0,DL$2,TRUE,"")</f>
        <v/>
      </c>
      <c r="BI26" s="1" t="str" cm="1">
        <f t="array" ref="BI26">+_xlfn.IFS(BW26&lt;&gt;0,BW$2,CK26&lt;&gt;0,CK$2,CY26&lt;&gt;0,CY$2,DM26&lt;&gt;0,DM$2,TRUE,"")</f>
        <v/>
      </c>
      <c r="BJ26" s="1" t="str" cm="1">
        <f t="array" ref="BJ26">+_xlfn.IFS(BX26&lt;&gt;0,BX$2,CL26&lt;&gt;0,CL$2,CZ26&lt;&gt;0,CZ$2,DN26&lt;&gt;0,DN$2,TRUE,"")</f>
        <v/>
      </c>
      <c r="BK26" s="1" t="str" cm="1">
        <f t="array" ref="BK26">+_xlfn.IFS(BY26&lt;&gt;0,BY$2,CM26&lt;&gt;0,CM$2,DA26&lt;&gt;0,DA$2,DO26&lt;&gt;0,DO$2,TRUE,"")</f>
        <v/>
      </c>
      <c r="BL26" s="1" t="str" cm="1">
        <f t="array" ref="BL26">+_xlfn.IFS(BZ26&lt;&gt;0,BZ$2,CN26&lt;&gt;0,CN$2,DB26&lt;&gt;0,DB$2,DP26&lt;&gt;0,DP$2,TRUE,"")</f>
        <v/>
      </c>
      <c r="BM26" s="1" t="str" cm="1">
        <f t="array" ref="BM26">+_xlfn.IFS(CA26&lt;&gt;0,CA$2,CO26&lt;&gt;0,CO$2,DC26&lt;&gt;0,DC$2,DQ26&lt;&gt;0,DQ$2,TRUE,"")</f>
        <v/>
      </c>
      <c r="BN26" s="1" t="str" cm="1">
        <f t="array" ref="BN26">+_xlfn.IFS(CB26&lt;&gt;0,CB$2,CP26&lt;&gt;0,CP$2,DD26&lt;&gt;0,DD$2,DR26&lt;&gt;0,DR$2,TRUE,"")</f>
        <v/>
      </c>
      <c r="BO26" s="1" t="str" cm="1">
        <f t="array" ref="BO26">+_xlfn.IFS(CC26&lt;&gt;0,CC$2,CQ26&lt;&gt;0,CQ$2,DE26&lt;&gt;0,DE$2,DS26&lt;&gt;0,DS$2,TRUE,"")</f>
        <v/>
      </c>
      <c r="BP26" s="1" t="str" cm="1">
        <f t="array" ref="BP26">+_xlfn.IFS(CD26&lt;&gt;0,CD$2,CR26&lt;&gt;0,CR$2,DF26&lt;&gt;0,DF$2,DT26&lt;&gt;0,DT$2,TRUE,"")</f>
        <v>Upsell</v>
      </c>
      <c r="BQ26" s="1" t="str" cm="1">
        <f t="array" ref="BQ26">+_xlfn.IFS(CE26&lt;&gt;0,CE$2,CS26&lt;&gt;0,CS$2,DG26&lt;&gt;0,DG$2,DU26&lt;&gt;0,DU$2,TRUE,"")</f>
        <v/>
      </c>
      <c r="BS26" s="111"/>
      <c r="BT26" s="110">
        <f t="shared" si="25"/>
        <v>0</v>
      </c>
      <c r="BU26" s="110">
        <f t="shared" si="26"/>
        <v>0</v>
      </c>
      <c r="BV26" s="110">
        <f t="shared" si="27"/>
        <v>0</v>
      </c>
      <c r="BW26" s="110">
        <f t="shared" si="28"/>
        <v>0</v>
      </c>
      <c r="BX26" s="110">
        <f t="shared" si="29"/>
        <v>0</v>
      </c>
      <c r="BY26" s="110">
        <f t="shared" si="30"/>
        <v>0</v>
      </c>
      <c r="BZ26" s="110">
        <f t="shared" si="31"/>
        <v>0</v>
      </c>
      <c r="CA26" s="110">
        <f t="shared" si="32"/>
        <v>0</v>
      </c>
      <c r="CB26" s="110">
        <f t="shared" si="33"/>
        <v>0</v>
      </c>
      <c r="CC26" s="110">
        <f t="shared" si="34"/>
        <v>0</v>
      </c>
      <c r="CD26" s="110">
        <f t="shared" si="35"/>
        <v>0</v>
      </c>
      <c r="CE26" s="110">
        <f t="shared" si="36"/>
        <v>0</v>
      </c>
      <c r="CG26" s="111"/>
      <c r="CH26" s="110">
        <f t="shared" si="37"/>
        <v>0</v>
      </c>
      <c r="CI26" s="110">
        <f t="shared" si="38"/>
        <v>0</v>
      </c>
      <c r="CJ26" s="110">
        <f t="shared" si="39"/>
        <v>0</v>
      </c>
      <c r="CK26" s="110">
        <f t="shared" si="40"/>
        <v>0</v>
      </c>
      <c r="CL26" s="110">
        <f t="shared" si="41"/>
        <v>0</v>
      </c>
      <c r="CM26" s="110">
        <f t="shared" si="42"/>
        <v>0</v>
      </c>
      <c r="CN26" s="110">
        <f t="shared" si="43"/>
        <v>0</v>
      </c>
      <c r="CO26" s="110">
        <f t="shared" si="44"/>
        <v>0</v>
      </c>
      <c r="CP26" s="110">
        <f t="shared" si="45"/>
        <v>0</v>
      </c>
      <c r="CQ26" s="110">
        <f t="shared" si="46"/>
        <v>0</v>
      </c>
      <c r="CR26" s="110">
        <f t="shared" si="47"/>
        <v>0</v>
      </c>
      <c r="CS26" s="110">
        <f t="shared" si="48"/>
        <v>0</v>
      </c>
      <c r="CU26" s="111"/>
      <c r="CV26" s="110">
        <f t="shared" si="49"/>
        <v>0</v>
      </c>
      <c r="CW26" s="110">
        <f t="shared" si="50"/>
        <v>0</v>
      </c>
      <c r="CX26" s="110">
        <f t="shared" si="51"/>
        <v>0</v>
      </c>
      <c r="CY26" s="110">
        <f t="shared" si="52"/>
        <v>0</v>
      </c>
      <c r="CZ26" s="110">
        <f t="shared" si="53"/>
        <v>0</v>
      </c>
      <c r="DA26" s="110">
        <f t="shared" si="54"/>
        <v>0</v>
      </c>
      <c r="DB26" s="110">
        <f t="shared" si="55"/>
        <v>0</v>
      </c>
      <c r="DC26" s="110">
        <f t="shared" si="56"/>
        <v>0</v>
      </c>
      <c r="DD26" s="110">
        <f t="shared" si="57"/>
        <v>0</v>
      </c>
      <c r="DE26" s="110">
        <f t="shared" si="58"/>
        <v>0</v>
      </c>
      <c r="DF26" s="110">
        <f t="shared" si="59"/>
        <v>0</v>
      </c>
      <c r="DG26" s="110">
        <f t="shared" si="60"/>
        <v>0</v>
      </c>
      <c r="DI26" s="111"/>
      <c r="DJ26" s="110">
        <f t="shared" si="61"/>
        <v>0</v>
      </c>
      <c r="DK26" s="110">
        <f t="shared" si="62"/>
        <v>0</v>
      </c>
      <c r="DL26" s="110">
        <f t="shared" si="63"/>
        <v>0</v>
      </c>
      <c r="DM26" s="110">
        <f t="shared" si="64"/>
        <v>0</v>
      </c>
      <c r="DN26" s="110">
        <f t="shared" si="65"/>
        <v>0</v>
      </c>
      <c r="DO26" s="110">
        <f t="shared" si="66"/>
        <v>0</v>
      </c>
      <c r="DP26" s="110">
        <f t="shared" si="67"/>
        <v>0</v>
      </c>
      <c r="DQ26" s="110">
        <f t="shared" si="68"/>
        <v>0</v>
      </c>
      <c r="DR26" s="110">
        <f t="shared" si="69"/>
        <v>0</v>
      </c>
      <c r="DS26" s="110">
        <f t="shared" si="70"/>
        <v>0</v>
      </c>
      <c r="DT26" s="110">
        <f t="shared" si="71"/>
        <v>10.049999999999955</v>
      </c>
      <c r="DU26" s="110">
        <f t="shared" si="72"/>
        <v>0</v>
      </c>
      <c r="DW26" s="111"/>
      <c r="DX26" s="110">
        <f t="shared" si="73"/>
        <v>0</v>
      </c>
      <c r="DY26" s="110">
        <f t="shared" si="74"/>
        <v>0</v>
      </c>
      <c r="DZ26" s="110">
        <f t="shared" si="75"/>
        <v>0</v>
      </c>
      <c r="EA26" s="110">
        <f t="shared" si="76"/>
        <v>0</v>
      </c>
      <c r="EB26" s="110">
        <f t="shared" si="77"/>
        <v>0</v>
      </c>
      <c r="EC26" s="110">
        <f t="shared" si="78"/>
        <v>0</v>
      </c>
      <c r="ED26" s="110">
        <f t="shared" si="79"/>
        <v>0</v>
      </c>
      <c r="EE26" s="110">
        <f t="shared" si="80"/>
        <v>0</v>
      </c>
      <c r="EF26" s="110">
        <f t="shared" si="81"/>
        <v>0</v>
      </c>
      <c r="EG26" s="110">
        <f t="shared" si="82"/>
        <v>0</v>
      </c>
      <c r="EH26" s="110">
        <f t="shared" si="83"/>
        <v>0</v>
      </c>
      <c r="EI26" s="110">
        <f t="shared" si="84"/>
        <v>0</v>
      </c>
      <c r="EK26" s="111"/>
      <c r="EL26" s="110">
        <f t="shared" si="85"/>
        <v>0</v>
      </c>
      <c r="EM26" s="110">
        <f t="shared" si="86"/>
        <v>0</v>
      </c>
      <c r="EN26" s="110">
        <f t="shared" si="87"/>
        <v>10.049999999999955</v>
      </c>
      <c r="EP26" s="109" cm="1">
        <f t="array" ref="EP26">+IFERROR(INDEX($C$3:$AM$3,MATCH(TRUE,INDEX($C26:$AM26&lt;&gt;0,0),0)),"N/A")</f>
        <v>44926</v>
      </c>
      <c r="EQ26" s="112"/>
      <c r="ER26" s="1" t="str" cm="1">
        <f t="array" ref="ER26">+_xlfn.IFS(EW26&lt;&gt;0,EW$2,FB26&lt;&gt;0,FB$2,FG26&lt;&gt;0,FG$2,FL26&lt;&gt;0,FL$2,TRUE,"")</f>
        <v/>
      </c>
      <c r="ES26" s="1" t="str" cm="1">
        <f t="array" ref="ES26">+_xlfn.IFS(EX26&lt;&gt;0,EX$2,FC26&lt;&gt;0,FC$2,FH26&lt;&gt;0,FH$2,FM26&lt;&gt;0,FM$2,TRUE,"")</f>
        <v/>
      </c>
      <c r="ET26" s="1" t="str" cm="1">
        <f t="array" ref="ET26">+_xlfn.IFS(EY26&lt;&gt;0,EY$2,FD26&lt;&gt;0,FD$2,FI26&lt;&gt;0,FI$2,FN26&lt;&gt;0,FN$2,TRUE,"")</f>
        <v>Upsell</v>
      </c>
      <c r="EV26" s="111"/>
      <c r="EW26" s="110">
        <f t="shared" si="88"/>
        <v>0</v>
      </c>
      <c r="EX26" s="110">
        <f t="shared" si="89"/>
        <v>0</v>
      </c>
      <c r="EY26" s="110">
        <f t="shared" si="90"/>
        <v>0</v>
      </c>
      <c r="FA26" s="111"/>
      <c r="FB26" s="110">
        <f t="shared" si="91"/>
        <v>0</v>
      </c>
      <c r="FC26" s="110">
        <f t="shared" si="92"/>
        <v>0</v>
      </c>
      <c r="FD26" s="110">
        <f t="shared" si="93"/>
        <v>0</v>
      </c>
      <c r="FF26" s="111"/>
      <c r="FG26" s="110">
        <f t="shared" si="94"/>
        <v>0</v>
      </c>
      <c r="FH26" s="110">
        <f t="shared" si="95"/>
        <v>0</v>
      </c>
      <c r="FI26" s="110">
        <f t="shared" si="96"/>
        <v>0</v>
      </c>
      <c r="FK26" s="111"/>
      <c r="FL26" s="110">
        <f t="shared" si="97"/>
        <v>0</v>
      </c>
      <c r="FM26" s="110">
        <f t="shared" si="98"/>
        <v>0</v>
      </c>
      <c r="FN26" s="110">
        <f t="shared" si="99"/>
        <v>10.049999999999955</v>
      </c>
      <c r="FP26" s="111"/>
      <c r="FQ26" s="110">
        <f t="shared" si="100"/>
        <v>0</v>
      </c>
      <c r="FR26" s="110">
        <f t="shared" si="101"/>
        <v>0</v>
      </c>
      <c r="FS26" s="110">
        <f t="shared" si="102"/>
        <v>0</v>
      </c>
      <c r="FU26" s="111">
        <f t="shared" si="103"/>
        <v>0</v>
      </c>
      <c r="FV26" s="110">
        <f t="shared" si="104"/>
        <v>0</v>
      </c>
      <c r="FW26" s="110">
        <f t="shared" si="105"/>
        <v>0</v>
      </c>
      <c r="FX26" s="110">
        <f t="shared" si="106"/>
        <v>0</v>
      </c>
      <c r="FY26" s="110">
        <f t="shared" si="107"/>
        <v>0</v>
      </c>
      <c r="FZ26" s="110">
        <f t="shared" si="108"/>
        <v>0</v>
      </c>
      <c r="GA26" s="110">
        <f t="shared" si="109"/>
        <v>0</v>
      </c>
      <c r="GB26" s="110">
        <f t="shared" si="110"/>
        <v>0</v>
      </c>
      <c r="GC26" s="110">
        <f t="shared" si="111"/>
        <v>0</v>
      </c>
      <c r="GD26" s="110">
        <f t="shared" si="112"/>
        <v>0</v>
      </c>
      <c r="GE26" s="110">
        <f t="shared" si="113"/>
        <v>0</v>
      </c>
      <c r="GF26" s="110">
        <f t="shared" si="114"/>
        <v>0</v>
      </c>
      <c r="GG26" s="110">
        <f t="shared" si="115"/>
        <v>0</v>
      </c>
      <c r="GH26" s="110">
        <f t="shared" si="116"/>
        <v>0</v>
      </c>
      <c r="GI26" s="110">
        <f t="shared" si="117"/>
        <v>0</v>
      </c>
      <c r="GJ26" s="110">
        <f t="shared" si="118"/>
        <v>0</v>
      </c>
      <c r="GK26" s="110">
        <f t="shared" si="119"/>
        <v>0</v>
      </c>
      <c r="GL26" s="110">
        <f t="shared" si="120"/>
        <v>0</v>
      </c>
      <c r="GM26" s="110">
        <f t="shared" si="121"/>
        <v>0</v>
      </c>
      <c r="GN26" s="110">
        <f t="shared" si="122"/>
        <v>10.049999999999955</v>
      </c>
      <c r="GO26" s="110">
        <f t="shared" si="123"/>
        <v>10.049999999999955</v>
      </c>
      <c r="GP26" s="110">
        <f t="shared" si="124"/>
        <v>10.049999999999955</v>
      </c>
      <c r="GQ26" s="110">
        <f t="shared" si="125"/>
        <v>10.049999999999955</v>
      </c>
      <c r="GR26" s="110">
        <f t="shared" si="126"/>
        <v>10.049999999999955</v>
      </c>
      <c r="GS26" s="110">
        <f t="shared" si="127"/>
        <v>10.049999999999955</v>
      </c>
      <c r="GU26" s="109" cm="1">
        <f t="array" ref="GU26">+IFERROR(INDEX($C$3:$AM$3,MATCH(TRUE,INDEX($C26:$AM26&lt;&gt;0,0),0)),"N/A")</f>
        <v>44926</v>
      </c>
      <c r="GV26" s="112" t="str" cm="1">
        <f t="array" ref="GV26">+_xlfn.IFS(HV26&lt;&gt;0,HV$2,IV26&lt;&gt;0,IV$2,JV26&lt;&gt;0,JV$2,KV26&lt;&gt;0,KV$2,TRUE,"")</f>
        <v/>
      </c>
      <c r="GW26" s="1" t="str" cm="1">
        <f t="array" ref="GW26">+_xlfn.IFS(HW26&lt;&gt;0,HW$2,IW26&lt;&gt;0,IW$2,JW26&lt;&gt;0,JW$2,KW26&lt;&gt;0,KW$2,TRUE,"")</f>
        <v/>
      </c>
      <c r="GX26" s="1" t="str" cm="1">
        <f t="array" ref="GX26">+_xlfn.IFS(HX26&lt;&gt;0,HX$2,IX26&lt;&gt;0,IX$2,JX26&lt;&gt;0,JX$2,KX26&lt;&gt;0,KX$2,TRUE,"")</f>
        <v/>
      </c>
      <c r="GY26" s="1" t="str" cm="1">
        <f t="array" ref="GY26">+_xlfn.IFS(HY26&lt;&gt;0,HY$2,IY26&lt;&gt;0,IY$2,JY26&lt;&gt;0,JY$2,KY26&lt;&gt;0,KY$2,TRUE,"")</f>
        <v/>
      </c>
      <c r="GZ26" s="1" t="str" cm="1">
        <f t="array" ref="GZ26">+_xlfn.IFS(HZ26&lt;&gt;0,HZ$2,IZ26&lt;&gt;0,IZ$2,JZ26&lt;&gt;0,JZ$2,KZ26&lt;&gt;0,KZ$2,TRUE,"")</f>
        <v/>
      </c>
      <c r="HA26" s="1" t="str" cm="1">
        <f t="array" ref="HA26">+_xlfn.IFS(IA26&lt;&gt;0,IA$2,JA26&lt;&gt;0,JA$2,KA26&lt;&gt;0,KA$2,LA26&lt;&gt;0,LA$2,TRUE,"")</f>
        <v/>
      </c>
      <c r="HB26" s="1" t="str" cm="1">
        <f t="array" ref="HB26">+_xlfn.IFS(IB26&lt;&gt;0,IB$2,JB26&lt;&gt;0,JB$2,KB26&lt;&gt;0,KB$2,LB26&lt;&gt;0,LB$2,TRUE,"")</f>
        <v/>
      </c>
      <c r="HC26" s="1" t="str" cm="1">
        <f t="array" ref="HC26">+_xlfn.IFS(IC26&lt;&gt;0,IC$2,JC26&lt;&gt;0,JC$2,KC26&lt;&gt;0,KC$2,LC26&lt;&gt;0,LC$2,TRUE,"")</f>
        <v/>
      </c>
      <c r="HD26" s="1" t="str" cm="1">
        <f t="array" ref="HD26">+_xlfn.IFS(ID26&lt;&gt;0,ID$2,JD26&lt;&gt;0,JD$2,KD26&lt;&gt;0,KD$2,LD26&lt;&gt;0,LD$2,TRUE,"")</f>
        <v/>
      </c>
      <c r="HE26" s="1" t="str" cm="1">
        <f t="array" ref="HE26">+_xlfn.IFS(IE26&lt;&gt;0,IE$2,JE26&lt;&gt;0,JE$2,KE26&lt;&gt;0,KE$2,LE26&lt;&gt;0,LE$2,TRUE,"")</f>
        <v/>
      </c>
      <c r="HF26" s="1" t="str" cm="1">
        <f t="array" ref="HF26">+_xlfn.IFS(IF26&lt;&gt;0,IF$2,JF26&lt;&gt;0,JF$2,KF26&lt;&gt;0,KF$2,LF26&lt;&gt;0,LF$2,TRUE,"")</f>
        <v/>
      </c>
      <c r="HG26" s="1" t="str" cm="1">
        <f t="array" ref="HG26">+_xlfn.IFS(IG26&lt;&gt;0,IG$2,JG26&lt;&gt;0,JG$2,KG26&lt;&gt;0,KG$2,LG26&lt;&gt;0,LG$2,TRUE,"")</f>
        <v/>
      </c>
      <c r="HH26" s="1" t="str" cm="1">
        <f t="array" ref="HH26">+_xlfn.IFS(IH26&lt;&gt;0,IH$2,JH26&lt;&gt;0,JH$2,KH26&lt;&gt;0,KH$2,LH26&lt;&gt;0,LH$2,TRUE,"")</f>
        <v/>
      </c>
      <c r="HI26" s="1" t="str" cm="1">
        <f t="array" ref="HI26">+_xlfn.IFS(II26&lt;&gt;0,II$2,JI26&lt;&gt;0,JI$2,KI26&lt;&gt;0,KI$2,LI26&lt;&gt;0,LI$2,TRUE,"")</f>
        <v/>
      </c>
      <c r="HJ26" s="1" t="str" cm="1">
        <f t="array" ref="HJ26">+_xlfn.IFS(IJ26&lt;&gt;0,IJ$2,JJ26&lt;&gt;0,JJ$2,KJ26&lt;&gt;0,KJ$2,LJ26&lt;&gt;0,LJ$2,TRUE,"")</f>
        <v/>
      </c>
      <c r="HK26" s="1" t="str" cm="1">
        <f t="array" ref="HK26">+_xlfn.IFS(IK26&lt;&gt;0,IK$2,JK26&lt;&gt;0,JK$2,KK26&lt;&gt;0,KK$2,LK26&lt;&gt;0,LK$2,TRUE,"")</f>
        <v/>
      </c>
      <c r="HL26" s="1" t="str" cm="1">
        <f t="array" ref="HL26">+_xlfn.IFS(IL26&lt;&gt;0,IL$2,JL26&lt;&gt;0,JL$2,KL26&lt;&gt;0,KL$2,LL26&lt;&gt;0,LL$2,TRUE,"")</f>
        <v/>
      </c>
      <c r="HM26" s="1" t="str" cm="1">
        <f t="array" ref="HM26">+_xlfn.IFS(IM26&lt;&gt;0,IM$2,JM26&lt;&gt;0,JM$2,KM26&lt;&gt;0,KM$2,LM26&lt;&gt;0,LM$2,TRUE,"")</f>
        <v/>
      </c>
      <c r="HN26" s="1" t="str" cm="1">
        <f t="array" ref="HN26">+_xlfn.IFS(IN26&lt;&gt;0,IN$2,JN26&lt;&gt;0,JN$2,KN26&lt;&gt;0,KN$2,LN26&lt;&gt;0,LN$2,TRUE,"")</f>
        <v/>
      </c>
      <c r="HO26" s="1" t="str" cm="1">
        <f t="array" ref="HO26">+_xlfn.IFS(IO26&lt;&gt;0,IO$2,JO26&lt;&gt;0,JO$2,KO26&lt;&gt;0,KO$2,LO26&lt;&gt;0,LO$2,TRUE,"")</f>
        <v>Upsell</v>
      </c>
      <c r="HP26" s="1" t="str" cm="1">
        <f t="array" ref="HP26">+_xlfn.IFS(IP26&lt;&gt;0,IP$2,JP26&lt;&gt;0,JP$2,KP26&lt;&gt;0,KP$2,LP26&lt;&gt;0,LP$2,TRUE,"")</f>
        <v>Upsell</v>
      </c>
      <c r="HQ26" s="1" t="str" cm="1">
        <f t="array" ref="HQ26">+_xlfn.IFS(IQ26&lt;&gt;0,IQ$2,JQ26&lt;&gt;0,JQ$2,KQ26&lt;&gt;0,KQ$2,LQ26&lt;&gt;0,LQ$2,TRUE,"")</f>
        <v>Upsell</v>
      </c>
      <c r="HR26" s="1" t="str" cm="1">
        <f t="array" ref="HR26">+_xlfn.IFS(IR26&lt;&gt;0,IR$2,JR26&lt;&gt;0,JR$2,KR26&lt;&gt;0,KR$2,LR26&lt;&gt;0,LR$2,TRUE,"")</f>
        <v>Upsell</v>
      </c>
      <c r="HS26" s="1" t="str" cm="1">
        <f t="array" ref="HS26">+_xlfn.IFS(IS26&lt;&gt;0,IS$2,JS26&lt;&gt;0,JS$2,KS26&lt;&gt;0,KS$2,LS26&lt;&gt;0,LS$2,TRUE,"")</f>
        <v>Upsell</v>
      </c>
      <c r="HT26" s="1" t="str" cm="1">
        <f t="array" ref="HT26">+_xlfn.IFS(IT26&lt;&gt;0,IT$2,JT26&lt;&gt;0,JT$2,KT26&lt;&gt;0,KT$2,LT26&lt;&gt;0,LT$2,TRUE,"")</f>
        <v>Upsell</v>
      </c>
      <c r="HV26" s="111">
        <f t="shared" si="128"/>
        <v>0</v>
      </c>
      <c r="HW26" s="110">
        <f t="shared" si="129"/>
        <v>0</v>
      </c>
      <c r="HX26" s="110">
        <f t="shared" si="130"/>
        <v>0</v>
      </c>
      <c r="HY26" s="110">
        <f t="shared" si="131"/>
        <v>0</v>
      </c>
      <c r="HZ26" s="110">
        <f t="shared" si="132"/>
        <v>0</v>
      </c>
      <c r="IA26" s="110">
        <f t="shared" si="133"/>
        <v>0</v>
      </c>
      <c r="IB26" s="110">
        <f t="shared" si="134"/>
        <v>0</v>
      </c>
      <c r="IC26" s="110">
        <f t="shared" si="135"/>
        <v>0</v>
      </c>
      <c r="ID26" s="110">
        <f t="shared" si="136"/>
        <v>0</v>
      </c>
      <c r="IE26" s="110">
        <f t="shared" si="137"/>
        <v>0</v>
      </c>
      <c r="IF26" s="110">
        <f t="shared" si="138"/>
        <v>0</v>
      </c>
      <c r="IG26" s="110">
        <f t="shared" si="139"/>
        <v>0</v>
      </c>
      <c r="IH26" s="110">
        <f t="shared" si="140"/>
        <v>0</v>
      </c>
      <c r="II26" s="110">
        <f t="shared" si="141"/>
        <v>0</v>
      </c>
      <c r="IJ26" s="110">
        <f t="shared" si="142"/>
        <v>0</v>
      </c>
      <c r="IK26" s="110">
        <f t="shared" si="143"/>
        <v>0</v>
      </c>
      <c r="IL26" s="110">
        <f t="shared" si="144"/>
        <v>0</v>
      </c>
      <c r="IM26" s="110">
        <f t="shared" si="145"/>
        <v>0</v>
      </c>
      <c r="IN26" s="110">
        <f t="shared" si="146"/>
        <v>0</v>
      </c>
      <c r="IO26" s="110">
        <f t="shared" si="147"/>
        <v>0</v>
      </c>
      <c r="IP26" s="110">
        <f t="shared" si="148"/>
        <v>0</v>
      </c>
      <c r="IQ26" s="110">
        <f t="shared" si="149"/>
        <v>0</v>
      </c>
      <c r="IR26" s="110">
        <f t="shared" si="150"/>
        <v>0</v>
      </c>
      <c r="IS26" s="110">
        <f t="shared" si="151"/>
        <v>0</v>
      </c>
      <c r="IT26" s="110">
        <f t="shared" si="152"/>
        <v>0</v>
      </c>
      <c r="IV26" s="111">
        <f t="shared" si="153"/>
        <v>0</v>
      </c>
      <c r="IW26" s="110">
        <f t="shared" si="154"/>
        <v>0</v>
      </c>
      <c r="IX26" s="110">
        <f t="shared" si="155"/>
        <v>0</v>
      </c>
      <c r="IY26" s="110">
        <f t="shared" si="156"/>
        <v>0</v>
      </c>
      <c r="IZ26" s="110">
        <f t="shared" si="157"/>
        <v>0</v>
      </c>
      <c r="JA26" s="110">
        <f t="shared" si="158"/>
        <v>0</v>
      </c>
      <c r="JB26" s="110">
        <f t="shared" si="159"/>
        <v>0</v>
      </c>
      <c r="JC26" s="110">
        <f t="shared" si="160"/>
        <v>0</v>
      </c>
      <c r="JD26" s="110">
        <f t="shared" si="161"/>
        <v>0</v>
      </c>
      <c r="JE26" s="110">
        <f t="shared" si="162"/>
        <v>0</v>
      </c>
      <c r="JF26" s="110">
        <f t="shared" si="163"/>
        <v>0</v>
      </c>
      <c r="JG26" s="110">
        <f t="shared" si="164"/>
        <v>0</v>
      </c>
      <c r="JH26" s="110">
        <f t="shared" si="165"/>
        <v>0</v>
      </c>
      <c r="JI26" s="110">
        <f t="shared" si="166"/>
        <v>0</v>
      </c>
      <c r="JJ26" s="110">
        <f t="shared" si="167"/>
        <v>0</v>
      </c>
      <c r="JK26" s="110">
        <f t="shared" si="168"/>
        <v>0</v>
      </c>
      <c r="JL26" s="110">
        <f t="shared" si="169"/>
        <v>0</v>
      </c>
      <c r="JM26" s="110">
        <f t="shared" si="170"/>
        <v>0</v>
      </c>
      <c r="JN26" s="110">
        <f t="shared" si="171"/>
        <v>0</v>
      </c>
      <c r="JO26" s="110">
        <f t="shared" si="172"/>
        <v>0</v>
      </c>
      <c r="JP26" s="110">
        <f t="shared" si="173"/>
        <v>0</v>
      </c>
      <c r="JQ26" s="110">
        <f t="shared" si="174"/>
        <v>0</v>
      </c>
      <c r="JR26" s="110">
        <f t="shared" si="175"/>
        <v>0</v>
      </c>
      <c r="JS26" s="110">
        <f t="shared" si="176"/>
        <v>0</v>
      </c>
      <c r="JT26" s="110">
        <f t="shared" si="177"/>
        <v>0</v>
      </c>
      <c r="JV26" s="111">
        <f t="shared" si="178"/>
        <v>0</v>
      </c>
      <c r="JW26" s="110">
        <f t="shared" si="179"/>
        <v>0</v>
      </c>
      <c r="JX26" s="110">
        <f t="shared" si="180"/>
        <v>0</v>
      </c>
      <c r="JY26" s="110">
        <f t="shared" si="181"/>
        <v>0</v>
      </c>
      <c r="JZ26" s="110">
        <f t="shared" si="182"/>
        <v>0</v>
      </c>
      <c r="KA26" s="110">
        <f t="shared" si="183"/>
        <v>0</v>
      </c>
      <c r="KB26" s="110">
        <f t="shared" si="184"/>
        <v>0</v>
      </c>
      <c r="KC26" s="110">
        <f t="shared" si="185"/>
        <v>0</v>
      </c>
      <c r="KD26" s="110">
        <f t="shared" si="186"/>
        <v>0</v>
      </c>
      <c r="KE26" s="110">
        <f t="shared" si="187"/>
        <v>0</v>
      </c>
      <c r="KF26" s="110">
        <f t="shared" si="188"/>
        <v>0</v>
      </c>
      <c r="KG26" s="110">
        <f t="shared" si="189"/>
        <v>0</v>
      </c>
      <c r="KH26" s="110">
        <f t="shared" si="190"/>
        <v>0</v>
      </c>
      <c r="KI26" s="110">
        <f t="shared" si="191"/>
        <v>0</v>
      </c>
      <c r="KJ26" s="110">
        <f t="shared" si="192"/>
        <v>0</v>
      </c>
      <c r="KK26" s="110">
        <f t="shared" si="193"/>
        <v>0</v>
      </c>
      <c r="KL26" s="110">
        <f t="shared" si="194"/>
        <v>0</v>
      </c>
      <c r="KM26" s="110">
        <f t="shared" si="195"/>
        <v>0</v>
      </c>
      <c r="KN26" s="110">
        <f t="shared" si="196"/>
        <v>0</v>
      </c>
      <c r="KO26" s="110">
        <f t="shared" si="197"/>
        <v>0</v>
      </c>
      <c r="KP26" s="110">
        <f t="shared" si="198"/>
        <v>0</v>
      </c>
      <c r="KQ26" s="110">
        <f t="shared" si="199"/>
        <v>0</v>
      </c>
      <c r="KR26" s="110">
        <f t="shared" si="200"/>
        <v>0</v>
      </c>
      <c r="KS26" s="110">
        <f t="shared" si="201"/>
        <v>0</v>
      </c>
      <c r="KT26" s="110">
        <f t="shared" si="202"/>
        <v>0</v>
      </c>
      <c r="KV26" s="111">
        <f t="shared" si="203"/>
        <v>0</v>
      </c>
      <c r="KW26" s="110">
        <f t="shared" si="204"/>
        <v>0</v>
      </c>
      <c r="KX26" s="110">
        <f t="shared" si="205"/>
        <v>0</v>
      </c>
      <c r="KY26" s="110">
        <f t="shared" si="206"/>
        <v>0</v>
      </c>
      <c r="KZ26" s="110">
        <f t="shared" si="207"/>
        <v>0</v>
      </c>
      <c r="LA26" s="110">
        <f t="shared" si="208"/>
        <v>0</v>
      </c>
      <c r="LB26" s="110">
        <f t="shared" si="209"/>
        <v>0</v>
      </c>
      <c r="LC26" s="110">
        <f t="shared" si="210"/>
        <v>0</v>
      </c>
      <c r="LD26" s="110">
        <f t="shared" si="211"/>
        <v>0</v>
      </c>
      <c r="LE26" s="110">
        <f t="shared" si="212"/>
        <v>0</v>
      </c>
      <c r="LF26" s="110">
        <f t="shared" si="213"/>
        <v>0</v>
      </c>
      <c r="LG26" s="110">
        <f t="shared" si="214"/>
        <v>0</v>
      </c>
      <c r="LH26" s="110">
        <f t="shared" si="215"/>
        <v>0</v>
      </c>
      <c r="LI26" s="110">
        <f t="shared" si="216"/>
        <v>0</v>
      </c>
      <c r="LJ26" s="110">
        <f t="shared" si="217"/>
        <v>0</v>
      </c>
      <c r="LK26" s="110">
        <f t="shared" si="218"/>
        <v>0</v>
      </c>
      <c r="LL26" s="110">
        <f t="shared" si="219"/>
        <v>0</v>
      </c>
      <c r="LM26" s="110">
        <f t="shared" si="220"/>
        <v>0</v>
      </c>
      <c r="LN26" s="110">
        <f t="shared" si="221"/>
        <v>0</v>
      </c>
      <c r="LO26" s="110">
        <f t="shared" si="222"/>
        <v>10.049999999999955</v>
      </c>
      <c r="LP26" s="110">
        <f t="shared" si="223"/>
        <v>10.049999999999955</v>
      </c>
      <c r="LQ26" s="110">
        <f t="shared" si="224"/>
        <v>10.049999999999955</v>
      </c>
      <c r="LR26" s="110">
        <f t="shared" si="225"/>
        <v>10.049999999999955</v>
      </c>
      <c r="LS26" s="110">
        <f t="shared" si="226"/>
        <v>10.049999999999955</v>
      </c>
      <c r="LT26" s="110">
        <f t="shared" si="227"/>
        <v>10.049999999999955</v>
      </c>
      <c r="LV26" s="111"/>
      <c r="LW26" s="110">
        <f t="shared" si="228"/>
        <v>0</v>
      </c>
      <c r="LX26" s="110">
        <f t="shared" si="229"/>
        <v>0</v>
      </c>
      <c r="LY26" s="110">
        <f t="shared" si="230"/>
        <v>0</v>
      </c>
      <c r="LZ26" s="110">
        <f t="shared" si="231"/>
        <v>0</v>
      </c>
      <c r="MA26" s="110">
        <f t="shared" si="232"/>
        <v>0</v>
      </c>
      <c r="MB26" s="110">
        <f t="shared" si="233"/>
        <v>0</v>
      </c>
      <c r="MC26" s="110">
        <f t="shared" si="234"/>
        <v>0</v>
      </c>
      <c r="MD26" s="110">
        <f t="shared" si="235"/>
        <v>0</v>
      </c>
      <c r="ME26" s="110">
        <f t="shared" si="236"/>
        <v>0</v>
      </c>
      <c r="MF26" s="110">
        <f t="shared" si="237"/>
        <v>0</v>
      </c>
      <c r="MG26" s="110">
        <f t="shared" si="238"/>
        <v>0</v>
      </c>
      <c r="MH26" s="110">
        <f t="shared" si="239"/>
        <v>0</v>
      </c>
      <c r="MI26" s="110">
        <f t="shared" si="240"/>
        <v>0</v>
      </c>
      <c r="MJ26" s="110">
        <f t="shared" si="241"/>
        <v>0</v>
      </c>
      <c r="MK26" s="110">
        <f t="shared" si="242"/>
        <v>0</v>
      </c>
      <c r="ML26" s="110">
        <f t="shared" si="243"/>
        <v>0</v>
      </c>
      <c r="MM26" s="110">
        <f t="shared" si="244"/>
        <v>0</v>
      </c>
      <c r="MN26" s="110">
        <f t="shared" si="245"/>
        <v>0</v>
      </c>
      <c r="MO26" s="110">
        <f t="shared" si="246"/>
        <v>0</v>
      </c>
      <c r="MP26" s="110">
        <f t="shared" si="247"/>
        <v>0</v>
      </c>
      <c r="MQ26" s="110">
        <f t="shared" si="248"/>
        <v>0</v>
      </c>
      <c r="MR26" s="110">
        <f t="shared" si="249"/>
        <v>0</v>
      </c>
      <c r="MS26" s="110">
        <f t="shared" si="250"/>
        <v>0</v>
      </c>
      <c r="MT26" s="110">
        <f t="shared" si="251"/>
        <v>0</v>
      </c>
      <c r="MV26" s="114">
        <v>297.14999999999998</v>
      </c>
      <c r="MW26" s="114">
        <v>0</v>
      </c>
      <c r="MX26" s="114">
        <v>10.049999999999955</v>
      </c>
      <c r="MY26" s="114">
        <v>0</v>
      </c>
      <c r="MZ26" s="114">
        <v>0</v>
      </c>
      <c r="NB26" s="115">
        <v>24</v>
      </c>
      <c r="NC26" s="115" t="str">
        <v>N/A</v>
      </c>
      <c r="ND26" s="115">
        <v>20</v>
      </c>
      <c r="NE26" s="115" t="str">
        <v>N/A</v>
      </c>
      <c r="NF26" s="115" t="str">
        <v>N/A</v>
      </c>
    </row>
    <row r="27" spans="1:370" ht="13.5" x14ac:dyDescent="0.25">
      <c r="B27" s="8">
        <f t="shared" si="252"/>
        <v>24</v>
      </c>
      <c r="C27" s="7">
        <v>329</v>
      </c>
      <c r="D27" s="7">
        <v>329</v>
      </c>
      <c r="E27" s="7">
        <v>329</v>
      </c>
      <c r="F27" s="7">
        <v>329</v>
      </c>
      <c r="G27" s="7">
        <v>329</v>
      </c>
      <c r="H27" s="7">
        <v>329</v>
      </c>
      <c r="I27" s="7">
        <v>329</v>
      </c>
      <c r="J27" s="7">
        <v>329</v>
      </c>
      <c r="K27" s="7">
        <v>329</v>
      </c>
      <c r="L27" s="7">
        <v>329</v>
      </c>
      <c r="M27" s="7">
        <v>329</v>
      </c>
      <c r="N27" s="7">
        <v>329</v>
      </c>
      <c r="O27" s="7">
        <v>329</v>
      </c>
      <c r="P27" s="7">
        <v>329</v>
      </c>
      <c r="Q27" s="7">
        <v>329</v>
      </c>
      <c r="R27" s="7">
        <v>329</v>
      </c>
      <c r="S27" s="7">
        <v>329</v>
      </c>
      <c r="T27" s="7">
        <v>329</v>
      </c>
      <c r="U27" s="7">
        <v>329</v>
      </c>
      <c r="V27" s="7">
        <v>329</v>
      </c>
      <c r="W27" s="7">
        <v>329</v>
      </c>
      <c r="X27" s="7">
        <v>329</v>
      </c>
      <c r="Y27" s="7">
        <v>346.15</v>
      </c>
      <c r="Z27" s="7">
        <v>340.52</v>
      </c>
      <c r="AA27" s="7">
        <v>340.52</v>
      </c>
      <c r="AB27" s="7">
        <v>340.52</v>
      </c>
      <c r="AC27" s="7">
        <v>340.52</v>
      </c>
      <c r="AD27" s="7">
        <v>340.52</v>
      </c>
      <c r="AE27" s="7">
        <v>340.52</v>
      </c>
      <c r="AF27" s="7">
        <v>340.52</v>
      </c>
      <c r="AG27" s="7">
        <v>340.52</v>
      </c>
      <c r="AH27" s="7">
        <v>340.52</v>
      </c>
      <c r="AI27" s="7">
        <v>340.52</v>
      </c>
      <c r="AJ27" s="7">
        <v>352.44</v>
      </c>
      <c r="AK27" s="7">
        <v>352.44</v>
      </c>
      <c r="AL27" s="7">
        <v>352.44</v>
      </c>
      <c r="AM27" s="7">
        <v>352.44</v>
      </c>
      <c r="AN27" s="27">
        <v>24</v>
      </c>
      <c r="AP27" s="111"/>
      <c r="AQ27" s="110">
        <f t="shared" si="13"/>
        <v>0</v>
      </c>
      <c r="AR27" s="110">
        <f t="shared" si="14"/>
        <v>0</v>
      </c>
      <c r="AS27" s="110">
        <f t="shared" si="15"/>
        <v>0</v>
      </c>
      <c r="AT27" s="110">
        <f t="shared" si="16"/>
        <v>0</v>
      </c>
      <c r="AU27" s="110">
        <f t="shared" si="17"/>
        <v>0</v>
      </c>
      <c r="AV27" s="110">
        <f t="shared" si="18"/>
        <v>0</v>
      </c>
      <c r="AW27" s="110">
        <f t="shared" si="19"/>
        <v>0</v>
      </c>
      <c r="AX27" s="110">
        <f t="shared" si="20"/>
        <v>11.519999999999982</v>
      </c>
      <c r="AY27" s="110">
        <f t="shared" si="21"/>
        <v>0</v>
      </c>
      <c r="AZ27" s="110">
        <f t="shared" si="22"/>
        <v>0</v>
      </c>
      <c r="BA27" s="110">
        <f t="shared" si="23"/>
        <v>11.920000000000016</v>
      </c>
      <c r="BB27" s="110">
        <f t="shared" si="24"/>
        <v>0</v>
      </c>
      <c r="BD27" s="109" cm="1">
        <f t="array" ref="BD27">+IFERROR(INDEX($C$3:$AM$3,MATCH(TRUE,INDEX($C27:$AM27&lt;&gt;0,0),0)),"N/A")</f>
        <v>44926</v>
      </c>
      <c r="BE27" s="112"/>
      <c r="BF27" s="1" t="str" cm="1">
        <f t="array" ref="BF27">+_xlfn.IFS(BT27&lt;&gt;0,BT$2,CH27&lt;&gt;0,CH$2,CV27&lt;&gt;0,CV$2,DJ27&lt;&gt;0,DJ$2,TRUE,"")</f>
        <v/>
      </c>
      <c r="BG27" s="1" t="str" cm="1">
        <f t="array" ref="BG27">+_xlfn.IFS(BU27&lt;&gt;0,BU$2,CI27&lt;&gt;0,CI$2,CW27&lt;&gt;0,CW$2,DK27&lt;&gt;0,DK$2,TRUE,"")</f>
        <v/>
      </c>
      <c r="BH27" s="1" t="str" cm="1">
        <f t="array" ref="BH27">+_xlfn.IFS(BV27&lt;&gt;0,BV$2,CJ27&lt;&gt;0,CJ$2,CX27&lt;&gt;0,CX$2,DL27&lt;&gt;0,DL$2,TRUE,"")</f>
        <v/>
      </c>
      <c r="BI27" s="1" t="str" cm="1">
        <f t="array" ref="BI27">+_xlfn.IFS(BW27&lt;&gt;0,BW$2,CK27&lt;&gt;0,CK$2,CY27&lt;&gt;0,CY$2,DM27&lt;&gt;0,DM$2,TRUE,"")</f>
        <v/>
      </c>
      <c r="BJ27" s="1" t="str" cm="1">
        <f t="array" ref="BJ27">+_xlfn.IFS(BX27&lt;&gt;0,BX$2,CL27&lt;&gt;0,CL$2,CZ27&lt;&gt;0,CZ$2,DN27&lt;&gt;0,DN$2,TRUE,"")</f>
        <v/>
      </c>
      <c r="BK27" s="1" t="str" cm="1">
        <f t="array" ref="BK27">+_xlfn.IFS(BY27&lt;&gt;0,BY$2,CM27&lt;&gt;0,CM$2,DA27&lt;&gt;0,DA$2,DO27&lt;&gt;0,DO$2,TRUE,"")</f>
        <v/>
      </c>
      <c r="BL27" s="1" t="str" cm="1">
        <f t="array" ref="BL27">+_xlfn.IFS(BZ27&lt;&gt;0,BZ$2,CN27&lt;&gt;0,CN$2,DB27&lt;&gt;0,DB$2,DP27&lt;&gt;0,DP$2,TRUE,"")</f>
        <v/>
      </c>
      <c r="BM27" s="1" t="str" cm="1">
        <f t="array" ref="BM27">+_xlfn.IFS(CA27&lt;&gt;0,CA$2,CO27&lt;&gt;0,CO$2,DC27&lt;&gt;0,DC$2,DQ27&lt;&gt;0,DQ$2,TRUE,"")</f>
        <v>Upsell</v>
      </c>
      <c r="BN27" s="1" t="str" cm="1">
        <f t="array" ref="BN27">+_xlfn.IFS(CB27&lt;&gt;0,CB$2,CP27&lt;&gt;0,CP$2,DD27&lt;&gt;0,DD$2,DR27&lt;&gt;0,DR$2,TRUE,"")</f>
        <v/>
      </c>
      <c r="BO27" s="1" t="str" cm="1">
        <f t="array" ref="BO27">+_xlfn.IFS(CC27&lt;&gt;0,CC$2,CQ27&lt;&gt;0,CQ$2,DE27&lt;&gt;0,DE$2,DS27&lt;&gt;0,DS$2,TRUE,"")</f>
        <v/>
      </c>
      <c r="BP27" s="1" t="str" cm="1">
        <f t="array" ref="BP27">+_xlfn.IFS(CD27&lt;&gt;0,CD$2,CR27&lt;&gt;0,CR$2,DF27&lt;&gt;0,DF$2,DT27&lt;&gt;0,DT$2,TRUE,"")</f>
        <v>Upsell</v>
      </c>
      <c r="BQ27" s="1" t="str" cm="1">
        <f t="array" ref="BQ27">+_xlfn.IFS(CE27&lt;&gt;0,CE$2,CS27&lt;&gt;0,CS$2,DG27&lt;&gt;0,DG$2,DU27&lt;&gt;0,DU$2,TRUE,"")</f>
        <v/>
      </c>
      <c r="BS27" s="111"/>
      <c r="BT27" s="110">
        <f t="shared" si="25"/>
        <v>0</v>
      </c>
      <c r="BU27" s="110">
        <f t="shared" si="26"/>
        <v>0</v>
      </c>
      <c r="BV27" s="110">
        <f t="shared" si="27"/>
        <v>0</v>
      </c>
      <c r="BW27" s="110">
        <f t="shared" si="28"/>
        <v>0</v>
      </c>
      <c r="BX27" s="110">
        <f t="shared" si="29"/>
        <v>0</v>
      </c>
      <c r="BY27" s="110">
        <f t="shared" si="30"/>
        <v>0</v>
      </c>
      <c r="BZ27" s="110">
        <f t="shared" si="31"/>
        <v>0</v>
      </c>
      <c r="CA27" s="110">
        <f t="shared" si="32"/>
        <v>0</v>
      </c>
      <c r="CB27" s="110">
        <f t="shared" si="33"/>
        <v>0</v>
      </c>
      <c r="CC27" s="110">
        <f t="shared" si="34"/>
        <v>0</v>
      </c>
      <c r="CD27" s="110">
        <f t="shared" si="35"/>
        <v>0</v>
      </c>
      <c r="CE27" s="110">
        <f t="shared" si="36"/>
        <v>0</v>
      </c>
      <c r="CG27" s="111"/>
      <c r="CH27" s="110">
        <f t="shared" si="37"/>
        <v>0</v>
      </c>
      <c r="CI27" s="110">
        <f t="shared" si="38"/>
        <v>0</v>
      </c>
      <c r="CJ27" s="110">
        <f t="shared" si="39"/>
        <v>0</v>
      </c>
      <c r="CK27" s="110">
        <f t="shared" si="40"/>
        <v>0</v>
      </c>
      <c r="CL27" s="110">
        <f t="shared" si="41"/>
        <v>0</v>
      </c>
      <c r="CM27" s="110">
        <f t="shared" si="42"/>
        <v>0</v>
      </c>
      <c r="CN27" s="110">
        <f t="shared" si="43"/>
        <v>0</v>
      </c>
      <c r="CO27" s="110">
        <f t="shared" si="44"/>
        <v>0</v>
      </c>
      <c r="CP27" s="110">
        <f t="shared" si="45"/>
        <v>0</v>
      </c>
      <c r="CQ27" s="110">
        <f t="shared" si="46"/>
        <v>0</v>
      </c>
      <c r="CR27" s="110">
        <f t="shared" si="47"/>
        <v>0</v>
      </c>
      <c r="CS27" s="110">
        <f t="shared" si="48"/>
        <v>0</v>
      </c>
      <c r="CU27" s="111"/>
      <c r="CV27" s="110">
        <f t="shared" si="49"/>
        <v>0</v>
      </c>
      <c r="CW27" s="110">
        <f t="shared" si="50"/>
        <v>0</v>
      </c>
      <c r="CX27" s="110">
        <f t="shared" si="51"/>
        <v>0</v>
      </c>
      <c r="CY27" s="110">
        <f t="shared" si="52"/>
        <v>0</v>
      </c>
      <c r="CZ27" s="110">
        <f t="shared" si="53"/>
        <v>0</v>
      </c>
      <c r="DA27" s="110">
        <f t="shared" si="54"/>
        <v>0</v>
      </c>
      <c r="DB27" s="110">
        <f t="shared" si="55"/>
        <v>0</v>
      </c>
      <c r="DC27" s="110">
        <f t="shared" si="56"/>
        <v>0</v>
      </c>
      <c r="DD27" s="110">
        <f t="shared" si="57"/>
        <v>0</v>
      </c>
      <c r="DE27" s="110">
        <f t="shared" si="58"/>
        <v>0</v>
      </c>
      <c r="DF27" s="110">
        <f t="shared" si="59"/>
        <v>0</v>
      </c>
      <c r="DG27" s="110">
        <f t="shared" si="60"/>
        <v>0</v>
      </c>
      <c r="DI27" s="111"/>
      <c r="DJ27" s="110">
        <f t="shared" si="61"/>
        <v>0</v>
      </c>
      <c r="DK27" s="110">
        <f t="shared" si="62"/>
        <v>0</v>
      </c>
      <c r="DL27" s="110">
        <f t="shared" si="63"/>
        <v>0</v>
      </c>
      <c r="DM27" s="110">
        <f t="shared" si="64"/>
        <v>0</v>
      </c>
      <c r="DN27" s="110">
        <f t="shared" si="65"/>
        <v>0</v>
      </c>
      <c r="DO27" s="110">
        <f t="shared" si="66"/>
        <v>0</v>
      </c>
      <c r="DP27" s="110">
        <f t="shared" si="67"/>
        <v>0</v>
      </c>
      <c r="DQ27" s="110">
        <f t="shared" si="68"/>
        <v>11.519999999999982</v>
      </c>
      <c r="DR27" s="110">
        <f t="shared" si="69"/>
        <v>0</v>
      </c>
      <c r="DS27" s="110">
        <f t="shared" si="70"/>
        <v>0</v>
      </c>
      <c r="DT27" s="110">
        <f t="shared" si="71"/>
        <v>11.920000000000016</v>
      </c>
      <c r="DU27" s="110">
        <f t="shared" si="72"/>
        <v>0</v>
      </c>
      <c r="DW27" s="111"/>
      <c r="DX27" s="110">
        <f t="shared" si="73"/>
        <v>0</v>
      </c>
      <c r="DY27" s="110">
        <f t="shared" si="74"/>
        <v>0</v>
      </c>
      <c r="DZ27" s="110">
        <f t="shared" si="75"/>
        <v>0</v>
      </c>
      <c r="EA27" s="110">
        <f t="shared" si="76"/>
        <v>0</v>
      </c>
      <c r="EB27" s="110">
        <f t="shared" si="77"/>
        <v>0</v>
      </c>
      <c r="EC27" s="110">
        <f t="shared" si="78"/>
        <v>0</v>
      </c>
      <c r="ED27" s="110">
        <f t="shared" si="79"/>
        <v>0</v>
      </c>
      <c r="EE27" s="110">
        <f t="shared" si="80"/>
        <v>0</v>
      </c>
      <c r="EF27" s="110">
        <f t="shared" si="81"/>
        <v>0</v>
      </c>
      <c r="EG27" s="110">
        <f t="shared" si="82"/>
        <v>0</v>
      </c>
      <c r="EH27" s="110">
        <f t="shared" si="83"/>
        <v>0</v>
      </c>
      <c r="EI27" s="110">
        <f t="shared" si="84"/>
        <v>0</v>
      </c>
      <c r="EK27" s="111"/>
      <c r="EL27" s="110">
        <f t="shared" si="85"/>
        <v>0</v>
      </c>
      <c r="EM27" s="110">
        <f t="shared" si="86"/>
        <v>11.519999999999982</v>
      </c>
      <c r="EN27" s="110">
        <f t="shared" si="87"/>
        <v>11.920000000000016</v>
      </c>
      <c r="EP27" s="109" cm="1">
        <f t="array" ref="EP27">+IFERROR(INDEX($C$3:$AM$3,MATCH(TRUE,INDEX($C27:$AM27&lt;&gt;0,0),0)),"N/A")</f>
        <v>44926</v>
      </c>
      <c r="EQ27" s="112"/>
      <c r="ER27" s="1" t="str" cm="1">
        <f t="array" ref="ER27">+_xlfn.IFS(EW27&lt;&gt;0,EW$2,FB27&lt;&gt;0,FB$2,FG27&lt;&gt;0,FG$2,FL27&lt;&gt;0,FL$2,TRUE,"")</f>
        <v/>
      </c>
      <c r="ES27" s="1" t="str" cm="1">
        <f t="array" ref="ES27">+_xlfn.IFS(EX27&lt;&gt;0,EX$2,FC27&lt;&gt;0,FC$2,FH27&lt;&gt;0,FH$2,FM27&lt;&gt;0,FM$2,TRUE,"")</f>
        <v>Upsell</v>
      </c>
      <c r="ET27" s="1" t="str" cm="1">
        <f t="array" ref="ET27">+_xlfn.IFS(EY27&lt;&gt;0,EY$2,FD27&lt;&gt;0,FD$2,FI27&lt;&gt;0,FI$2,FN27&lt;&gt;0,FN$2,TRUE,"")</f>
        <v>Upsell</v>
      </c>
      <c r="EV27" s="111"/>
      <c r="EW27" s="110">
        <f t="shared" si="88"/>
        <v>0</v>
      </c>
      <c r="EX27" s="110">
        <f t="shared" si="89"/>
        <v>0</v>
      </c>
      <c r="EY27" s="110">
        <f t="shared" si="90"/>
        <v>0</v>
      </c>
      <c r="FA27" s="111"/>
      <c r="FB27" s="110">
        <f t="shared" si="91"/>
        <v>0</v>
      </c>
      <c r="FC27" s="110">
        <f t="shared" si="92"/>
        <v>0</v>
      </c>
      <c r="FD27" s="110">
        <f t="shared" si="93"/>
        <v>0</v>
      </c>
      <c r="FF27" s="111"/>
      <c r="FG27" s="110">
        <f t="shared" si="94"/>
        <v>0</v>
      </c>
      <c r="FH27" s="110">
        <f t="shared" si="95"/>
        <v>0</v>
      </c>
      <c r="FI27" s="110">
        <f t="shared" si="96"/>
        <v>0</v>
      </c>
      <c r="FK27" s="111"/>
      <c r="FL27" s="110">
        <f t="shared" si="97"/>
        <v>0</v>
      </c>
      <c r="FM27" s="110">
        <f t="shared" si="98"/>
        <v>11.519999999999982</v>
      </c>
      <c r="FN27" s="110">
        <f t="shared" si="99"/>
        <v>11.920000000000016</v>
      </c>
      <c r="FP27" s="111"/>
      <c r="FQ27" s="110">
        <f t="shared" si="100"/>
        <v>0</v>
      </c>
      <c r="FR27" s="110">
        <f t="shared" si="101"/>
        <v>0</v>
      </c>
      <c r="FS27" s="110">
        <f t="shared" si="102"/>
        <v>0</v>
      </c>
      <c r="FU27" s="111">
        <f t="shared" si="103"/>
        <v>0</v>
      </c>
      <c r="FV27" s="110">
        <f t="shared" si="104"/>
        <v>0</v>
      </c>
      <c r="FW27" s="110">
        <f t="shared" si="105"/>
        <v>0</v>
      </c>
      <c r="FX27" s="110">
        <f t="shared" si="106"/>
        <v>0</v>
      </c>
      <c r="FY27" s="110">
        <f t="shared" si="107"/>
        <v>0</v>
      </c>
      <c r="FZ27" s="110">
        <f t="shared" si="108"/>
        <v>0</v>
      </c>
      <c r="GA27" s="110">
        <f t="shared" si="109"/>
        <v>0</v>
      </c>
      <c r="GB27" s="110">
        <f t="shared" si="110"/>
        <v>0</v>
      </c>
      <c r="GC27" s="110">
        <f t="shared" si="111"/>
        <v>0</v>
      </c>
      <c r="GD27" s="110">
        <f t="shared" si="112"/>
        <v>0</v>
      </c>
      <c r="GE27" s="110">
        <f t="shared" si="113"/>
        <v>17.149999999999977</v>
      </c>
      <c r="GF27" s="110">
        <f t="shared" si="114"/>
        <v>11.519999999999982</v>
      </c>
      <c r="GG27" s="110">
        <f t="shared" si="115"/>
        <v>11.519999999999982</v>
      </c>
      <c r="GH27" s="110">
        <f t="shared" si="116"/>
        <v>11.519999999999982</v>
      </c>
      <c r="GI27" s="110">
        <f t="shared" si="117"/>
        <v>11.519999999999982</v>
      </c>
      <c r="GJ27" s="110">
        <f t="shared" si="118"/>
        <v>11.519999999999982</v>
      </c>
      <c r="GK27" s="110">
        <f t="shared" si="119"/>
        <v>11.519999999999982</v>
      </c>
      <c r="GL27" s="110">
        <f t="shared" si="120"/>
        <v>11.519999999999982</v>
      </c>
      <c r="GM27" s="110">
        <f t="shared" si="121"/>
        <v>11.519999999999982</v>
      </c>
      <c r="GN27" s="110">
        <f t="shared" si="122"/>
        <v>11.519999999999982</v>
      </c>
      <c r="GO27" s="110">
        <f t="shared" si="123"/>
        <v>11.519999999999982</v>
      </c>
      <c r="GP27" s="110">
        <f t="shared" si="124"/>
        <v>23.439999999999998</v>
      </c>
      <c r="GQ27" s="110">
        <f t="shared" si="125"/>
        <v>6.2900000000000205</v>
      </c>
      <c r="GR27" s="110">
        <f t="shared" si="126"/>
        <v>11.920000000000016</v>
      </c>
      <c r="GS27" s="110">
        <f t="shared" si="127"/>
        <v>11.920000000000016</v>
      </c>
      <c r="GU27" s="109" cm="1">
        <f t="array" ref="GU27">+IFERROR(INDEX($C$3:$AM$3,MATCH(TRUE,INDEX($C27:$AM27&lt;&gt;0,0),0)),"N/A")</f>
        <v>44926</v>
      </c>
      <c r="GV27" s="112" t="str" cm="1">
        <f t="array" ref="GV27">+_xlfn.IFS(HV27&lt;&gt;0,HV$2,IV27&lt;&gt;0,IV$2,JV27&lt;&gt;0,JV$2,KV27&lt;&gt;0,KV$2,TRUE,"")</f>
        <v/>
      </c>
      <c r="GW27" s="1" t="str" cm="1">
        <f t="array" ref="GW27">+_xlfn.IFS(HW27&lt;&gt;0,HW$2,IW27&lt;&gt;0,IW$2,JW27&lt;&gt;0,JW$2,KW27&lt;&gt;0,KW$2,TRUE,"")</f>
        <v/>
      </c>
      <c r="GX27" s="1" t="str" cm="1">
        <f t="array" ref="GX27">+_xlfn.IFS(HX27&lt;&gt;0,HX$2,IX27&lt;&gt;0,IX$2,JX27&lt;&gt;0,JX$2,KX27&lt;&gt;0,KX$2,TRUE,"")</f>
        <v/>
      </c>
      <c r="GY27" s="1" t="str" cm="1">
        <f t="array" ref="GY27">+_xlfn.IFS(HY27&lt;&gt;0,HY$2,IY27&lt;&gt;0,IY$2,JY27&lt;&gt;0,JY$2,KY27&lt;&gt;0,KY$2,TRUE,"")</f>
        <v/>
      </c>
      <c r="GZ27" s="1" t="str" cm="1">
        <f t="array" ref="GZ27">+_xlfn.IFS(HZ27&lt;&gt;0,HZ$2,IZ27&lt;&gt;0,IZ$2,JZ27&lt;&gt;0,JZ$2,KZ27&lt;&gt;0,KZ$2,TRUE,"")</f>
        <v/>
      </c>
      <c r="HA27" s="1" t="str" cm="1">
        <f t="array" ref="HA27">+_xlfn.IFS(IA27&lt;&gt;0,IA$2,JA27&lt;&gt;0,JA$2,KA27&lt;&gt;0,KA$2,LA27&lt;&gt;0,LA$2,TRUE,"")</f>
        <v/>
      </c>
      <c r="HB27" s="1" t="str" cm="1">
        <f t="array" ref="HB27">+_xlfn.IFS(IB27&lt;&gt;0,IB$2,JB27&lt;&gt;0,JB$2,KB27&lt;&gt;0,KB$2,LB27&lt;&gt;0,LB$2,TRUE,"")</f>
        <v/>
      </c>
      <c r="HC27" s="1" t="str" cm="1">
        <f t="array" ref="HC27">+_xlfn.IFS(IC27&lt;&gt;0,IC$2,JC27&lt;&gt;0,JC$2,KC27&lt;&gt;0,KC$2,LC27&lt;&gt;0,LC$2,TRUE,"")</f>
        <v/>
      </c>
      <c r="HD27" s="1" t="str" cm="1">
        <f t="array" ref="HD27">+_xlfn.IFS(ID27&lt;&gt;0,ID$2,JD27&lt;&gt;0,JD$2,KD27&lt;&gt;0,KD$2,LD27&lt;&gt;0,LD$2,TRUE,"")</f>
        <v/>
      </c>
      <c r="HE27" s="1" t="str" cm="1">
        <f t="array" ref="HE27">+_xlfn.IFS(IE27&lt;&gt;0,IE$2,JE27&lt;&gt;0,JE$2,KE27&lt;&gt;0,KE$2,LE27&lt;&gt;0,LE$2,TRUE,"")</f>
        <v/>
      </c>
      <c r="HF27" s="1" t="str" cm="1">
        <f t="array" ref="HF27">+_xlfn.IFS(IF27&lt;&gt;0,IF$2,JF27&lt;&gt;0,JF$2,KF27&lt;&gt;0,KF$2,LF27&lt;&gt;0,LF$2,TRUE,"")</f>
        <v>Upsell</v>
      </c>
      <c r="HG27" s="1" t="str" cm="1">
        <f t="array" ref="HG27">+_xlfn.IFS(IG27&lt;&gt;0,IG$2,JG27&lt;&gt;0,JG$2,KG27&lt;&gt;0,KG$2,LG27&lt;&gt;0,LG$2,TRUE,"")</f>
        <v>Upsell</v>
      </c>
      <c r="HH27" s="1" t="str" cm="1">
        <f t="array" ref="HH27">+_xlfn.IFS(IH27&lt;&gt;0,IH$2,JH27&lt;&gt;0,JH$2,KH27&lt;&gt;0,KH$2,LH27&lt;&gt;0,LH$2,TRUE,"")</f>
        <v>Upsell</v>
      </c>
      <c r="HI27" s="1" t="str" cm="1">
        <f t="array" ref="HI27">+_xlfn.IFS(II27&lt;&gt;0,II$2,JI27&lt;&gt;0,JI$2,KI27&lt;&gt;0,KI$2,LI27&lt;&gt;0,LI$2,TRUE,"")</f>
        <v>Upsell</v>
      </c>
      <c r="HJ27" s="1" t="str" cm="1">
        <f t="array" ref="HJ27">+_xlfn.IFS(IJ27&lt;&gt;0,IJ$2,JJ27&lt;&gt;0,JJ$2,KJ27&lt;&gt;0,KJ$2,LJ27&lt;&gt;0,LJ$2,TRUE,"")</f>
        <v>Upsell</v>
      </c>
      <c r="HK27" s="1" t="str" cm="1">
        <f t="array" ref="HK27">+_xlfn.IFS(IK27&lt;&gt;0,IK$2,JK27&lt;&gt;0,JK$2,KK27&lt;&gt;0,KK$2,LK27&lt;&gt;0,LK$2,TRUE,"")</f>
        <v>Upsell</v>
      </c>
      <c r="HL27" s="1" t="str" cm="1">
        <f t="array" ref="HL27">+_xlfn.IFS(IL27&lt;&gt;0,IL$2,JL27&lt;&gt;0,JL$2,KL27&lt;&gt;0,KL$2,LL27&lt;&gt;0,LL$2,TRUE,"")</f>
        <v>Upsell</v>
      </c>
      <c r="HM27" s="1" t="str" cm="1">
        <f t="array" ref="HM27">+_xlfn.IFS(IM27&lt;&gt;0,IM$2,JM27&lt;&gt;0,JM$2,KM27&lt;&gt;0,KM$2,LM27&lt;&gt;0,LM$2,TRUE,"")</f>
        <v>Upsell</v>
      </c>
      <c r="HN27" s="1" t="str" cm="1">
        <f t="array" ref="HN27">+_xlfn.IFS(IN27&lt;&gt;0,IN$2,JN27&lt;&gt;0,JN$2,KN27&lt;&gt;0,KN$2,LN27&lt;&gt;0,LN$2,TRUE,"")</f>
        <v>Upsell</v>
      </c>
      <c r="HO27" s="1" t="str" cm="1">
        <f t="array" ref="HO27">+_xlfn.IFS(IO27&lt;&gt;0,IO$2,JO27&lt;&gt;0,JO$2,KO27&lt;&gt;0,KO$2,LO27&lt;&gt;0,LO$2,TRUE,"")</f>
        <v>Upsell</v>
      </c>
      <c r="HP27" s="1" t="str" cm="1">
        <f t="array" ref="HP27">+_xlfn.IFS(IP27&lt;&gt;0,IP$2,JP27&lt;&gt;0,JP$2,KP27&lt;&gt;0,KP$2,LP27&lt;&gt;0,LP$2,TRUE,"")</f>
        <v>Upsell</v>
      </c>
      <c r="HQ27" s="1" t="str" cm="1">
        <f t="array" ref="HQ27">+_xlfn.IFS(IQ27&lt;&gt;0,IQ$2,JQ27&lt;&gt;0,JQ$2,KQ27&lt;&gt;0,KQ$2,LQ27&lt;&gt;0,LQ$2,TRUE,"")</f>
        <v>Upsell</v>
      </c>
      <c r="HR27" s="1" t="str" cm="1">
        <f t="array" ref="HR27">+_xlfn.IFS(IR27&lt;&gt;0,IR$2,JR27&lt;&gt;0,JR$2,KR27&lt;&gt;0,KR$2,LR27&lt;&gt;0,LR$2,TRUE,"")</f>
        <v>Upsell</v>
      </c>
      <c r="HS27" s="1" t="str" cm="1">
        <f t="array" ref="HS27">+_xlfn.IFS(IS27&lt;&gt;0,IS$2,JS27&lt;&gt;0,JS$2,KS27&lt;&gt;0,KS$2,LS27&lt;&gt;0,LS$2,TRUE,"")</f>
        <v>Upsell</v>
      </c>
      <c r="HT27" s="1" t="str" cm="1">
        <f t="array" ref="HT27">+_xlfn.IFS(IT27&lt;&gt;0,IT$2,JT27&lt;&gt;0,JT$2,KT27&lt;&gt;0,KT$2,LT27&lt;&gt;0,LT$2,TRUE,"")</f>
        <v>Upsell</v>
      </c>
      <c r="HV27" s="111">
        <f t="shared" si="128"/>
        <v>0</v>
      </c>
      <c r="HW27" s="110">
        <f t="shared" si="129"/>
        <v>0</v>
      </c>
      <c r="HX27" s="110">
        <f t="shared" si="130"/>
        <v>0</v>
      </c>
      <c r="HY27" s="110">
        <f t="shared" si="131"/>
        <v>0</v>
      </c>
      <c r="HZ27" s="110">
        <f t="shared" si="132"/>
        <v>0</v>
      </c>
      <c r="IA27" s="110">
        <f t="shared" si="133"/>
        <v>0</v>
      </c>
      <c r="IB27" s="110">
        <f t="shared" si="134"/>
        <v>0</v>
      </c>
      <c r="IC27" s="110">
        <f t="shared" si="135"/>
        <v>0</v>
      </c>
      <c r="ID27" s="110">
        <f t="shared" si="136"/>
        <v>0</v>
      </c>
      <c r="IE27" s="110">
        <f t="shared" si="137"/>
        <v>0</v>
      </c>
      <c r="IF27" s="110">
        <f t="shared" si="138"/>
        <v>0</v>
      </c>
      <c r="IG27" s="110">
        <f t="shared" si="139"/>
        <v>0</v>
      </c>
      <c r="IH27" s="110">
        <f t="shared" si="140"/>
        <v>0</v>
      </c>
      <c r="II27" s="110">
        <f t="shared" si="141"/>
        <v>0</v>
      </c>
      <c r="IJ27" s="110">
        <f t="shared" si="142"/>
        <v>0</v>
      </c>
      <c r="IK27" s="110">
        <f t="shared" si="143"/>
        <v>0</v>
      </c>
      <c r="IL27" s="110">
        <f t="shared" si="144"/>
        <v>0</v>
      </c>
      <c r="IM27" s="110">
        <f t="shared" si="145"/>
        <v>0</v>
      </c>
      <c r="IN27" s="110">
        <f t="shared" si="146"/>
        <v>0</v>
      </c>
      <c r="IO27" s="110">
        <f t="shared" si="147"/>
        <v>0</v>
      </c>
      <c r="IP27" s="110">
        <f t="shared" si="148"/>
        <v>0</v>
      </c>
      <c r="IQ27" s="110">
        <f t="shared" si="149"/>
        <v>0</v>
      </c>
      <c r="IR27" s="110">
        <f t="shared" si="150"/>
        <v>0</v>
      </c>
      <c r="IS27" s="110">
        <f t="shared" si="151"/>
        <v>0</v>
      </c>
      <c r="IT27" s="110">
        <f t="shared" si="152"/>
        <v>0</v>
      </c>
      <c r="IV27" s="111">
        <f t="shared" si="153"/>
        <v>0</v>
      </c>
      <c r="IW27" s="110">
        <f t="shared" si="154"/>
        <v>0</v>
      </c>
      <c r="IX27" s="110">
        <f t="shared" si="155"/>
        <v>0</v>
      </c>
      <c r="IY27" s="110">
        <f t="shared" si="156"/>
        <v>0</v>
      </c>
      <c r="IZ27" s="110">
        <f t="shared" si="157"/>
        <v>0</v>
      </c>
      <c r="JA27" s="110">
        <f t="shared" si="158"/>
        <v>0</v>
      </c>
      <c r="JB27" s="110">
        <f t="shared" si="159"/>
        <v>0</v>
      </c>
      <c r="JC27" s="110">
        <f t="shared" si="160"/>
        <v>0</v>
      </c>
      <c r="JD27" s="110">
        <f t="shared" si="161"/>
        <v>0</v>
      </c>
      <c r="JE27" s="110">
        <f t="shared" si="162"/>
        <v>0</v>
      </c>
      <c r="JF27" s="110">
        <f t="shared" si="163"/>
        <v>0</v>
      </c>
      <c r="JG27" s="110">
        <f t="shared" si="164"/>
        <v>0</v>
      </c>
      <c r="JH27" s="110">
        <f t="shared" si="165"/>
        <v>0</v>
      </c>
      <c r="JI27" s="110">
        <f t="shared" si="166"/>
        <v>0</v>
      </c>
      <c r="JJ27" s="110">
        <f t="shared" si="167"/>
        <v>0</v>
      </c>
      <c r="JK27" s="110">
        <f t="shared" si="168"/>
        <v>0</v>
      </c>
      <c r="JL27" s="110">
        <f t="shared" si="169"/>
        <v>0</v>
      </c>
      <c r="JM27" s="110">
        <f t="shared" si="170"/>
        <v>0</v>
      </c>
      <c r="JN27" s="110">
        <f t="shared" si="171"/>
        <v>0</v>
      </c>
      <c r="JO27" s="110">
        <f t="shared" si="172"/>
        <v>0</v>
      </c>
      <c r="JP27" s="110">
        <f t="shared" si="173"/>
        <v>0</v>
      </c>
      <c r="JQ27" s="110">
        <f t="shared" si="174"/>
        <v>0</v>
      </c>
      <c r="JR27" s="110">
        <f t="shared" si="175"/>
        <v>0</v>
      </c>
      <c r="JS27" s="110">
        <f t="shared" si="176"/>
        <v>0</v>
      </c>
      <c r="JT27" s="110">
        <f t="shared" si="177"/>
        <v>0</v>
      </c>
      <c r="JV27" s="111">
        <f t="shared" si="178"/>
        <v>0</v>
      </c>
      <c r="JW27" s="110">
        <f t="shared" si="179"/>
        <v>0</v>
      </c>
      <c r="JX27" s="110">
        <f t="shared" si="180"/>
        <v>0</v>
      </c>
      <c r="JY27" s="110">
        <f t="shared" si="181"/>
        <v>0</v>
      </c>
      <c r="JZ27" s="110">
        <f t="shared" si="182"/>
        <v>0</v>
      </c>
      <c r="KA27" s="110">
        <f t="shared" si="183"/>
        <v>0</v>
      </c>
      <c r="KB27" s="110">
        <f t="shared" si="184"/>
        <v>0</v>
      </c>
      <c r="KC27" s="110">
        <f t="shared" si="185"/>
        <v>0</v>
      </c>
      <c r="KD27" s="110">
        <f t="shared" si="186"/>
        <v>0</v>
      </c>
      <c r="KE27" s="110">
        <f t="shared" si="187"/>
        <v>0</v>
      </c>
      <c r="KF27" s="110">
        <f t="shared" si="188"/>
        <v>0</v>
      </c>
      <c r="KG27" s="110">
        <f t="shared" si="189"/>
        <v>0</v>
      </c>
      <c r="KH27" s="110">
        <f t="shared" si="190"/>
        <v>0</v>
      </c>
      <c r="KI27" s="110">
        <f t="shared" si="191"/>
        <v>0</v>
      </c>
      <c r="KJ27" s="110">
        <f t="shared" si="192"/>
        <v>0</v>
      </c>
      <c r="KK27" s="110">
        <f t="shared" si="193"/>
        <v>0</v>
      </c>
      <c r="KL27" s="110">
        <f t="shared" si="194"/>
        <v>0</v>
      </c>
      <c r="KM27" s="110">
        <f t="shared" si="195"/>
        <v>0</v>
      </c>
      <c r="KN27" s="110">
        <f t="shared" si="196"/>
        <v>0</v>
      </c>
      <c r="KO27" s="110">
        <f t="shared" si="197"/>
        <v>0</v>
      </c>
      <c r="KP27" s="110">
        <f t="shared" si="198"/>
        <v>0</v>
      </c>
      <c r="KQ27" s="110">
        <f t="shared" si="199"/>
        <v>0</v>
      </c>
      <c r="KR27" s="110">
        <f t="shared" si="200"/>
        <v>0</v>
      </c>
      <c r="KS27" s="110">
        <f t="shared" si="201"/>
        <v>0</v>
      </c>
      <c r="KT27" s="110">
        <f t="shared" si="202"/>
        <v>0</v>
      </c>
      <c r="KV27" s="111">
        <f t="shared" si="203"/>
        <v>0</v>
      </c>
      <c r="KW27" s="110">
        <f t="shared" si="204"/>
        <v>0</v>
      </c>
      <c r="KX27" s="110">
        <f t="shared" si="205"/>
        <v>0</v>
      </c>
      <c r="KY27" s="110">
        <f t="shared" si="206"/>
        <v>0</v>
      </c>
      <c r="KZ27" s="110">
        <f t="shared" si="207"/>
        <v>0</v>
      </c>
      <c r="LA27" s="110">
        <f t="shared" si="208"/>
        <v>0</v>
      </c>
      <c r="LB27" s="110">
        <f t="shared" si="209"/>
        <v>0</v>
      </c>
      <c r="LC27" s="110">
        <f t="shared" si="210"/>
        <v>0</v>
      </c>
      <c r="LD27" s="110">
        <f t="shared" si="211"/>
        <v>0</v>
      </c>
      <c r="LE27" s="110">
        <f t="shared" si="212"/>
        <v>0</v>
      </c>
      <c r="LF27" s="110">
        <f t="shared" si="213"/>
        <v>17.149999999999977</v>
      </c>
      <c r="LG27" s="110">
        <f t="shared" si="214"/>
        <v>11.519999999999982</v>
      </c>
      <c r="LH27" s="110">
        <f t="shared" si="215"/>
        <v>11.519999999999982</v>
      </c>
      <c r="LI27" s="110">
        <f t="shared" si="216"/>
        <v>11.519999999999982</v>
      </c>
      <c r="LJ27" s="110">
        <f t="shared" si="217"/>
        <v>11.519999999999982</v>
      </c>
      <c r="LK27" s="110">
        <f t="shared" si="218"/>
        <v>11.519999999999982</v>
      </c>
      <c r="LL27" s="110">
        <f t="shared" si="219"/>
        <v>11.519999999999982</v>
      </c>
      <c r="LM27" s="110">
        <f t="shared" si="220"/>
        <v>11.519999999999982</v>
      </c>
      <c r="LN27" s="110">
        <f t="shared" si="221"/>
        <v>11.519999999999982</v>
      </c>
      <c r="LO27" s="110">
        <f t="shared" si="222"/>
        <v>11.519999999999982</v>
      </c>
      <c r="LP27" s="110">
        <f t="shared" si="223"/>
        <v>11.519999999999982</v>
      </c>
      <c r="LQ27" s="110">
        <f t="shared" si="224"/>
        <v>23.439999999999998</v>
      </c>
      <c r="LR27" s="110">
        <f t="shared" si="225"/>
        <v>6.2900000000000205</v>
      </c>
      <c r="LS27" s="110">
        <f t="shared" si="226"/>
        <v>11.920000000000016</v>
      </c>
      <c r="LT27" s="110">
        <f t="shared" si="227"/>
        <v>11.920000000000016</v>
      </c>
      <c r="LV27" s="111"/>
      <c r="LW27" s="110">
        <f t="shared" si="228"/>
        <v>0</v>
      </c>
      <c r="LX27" s="110">
        <f t="shared" si="229"/>
        <v>0</v>
      </c>
      <c r="LY27" s="110">
        <f t="shared" si="230"/>
        <v>0</v>
      </c>
      <c r="LZ27" s="110">
        <f t="shared" si="231"/>
        <v>0</v>
      </c>
      <c r="MA27" s="110">
        <f t="shared" si="232"/>
        <v>0</v>
      </c>
      <c r="MB27" s="110">
        <f t="shared" si="233"/>
        <v>0</v>
      </c>
      <c r="MC27" s="110">
        <f t="shared" si="234"/>
        <v>0</v>
      </c>
      <c r="MD27" s="110">
        <f t="shared" si="235"/>
        <v>0</v>
      </c>
      <c r="ME27" s="110">
        <f t="shared" si="236"/>
        <v>0</v>
      </c>
      <c r="MF27" s="110">
        <f t="shared" si="237"/>
        <v>0</v>
      </c>
      <c r="MG27" s="110">
        <f t="shared" si="238"/>
        <v>0</v>
      </c>
      <c r="MH27" s="110">
        <f t="shared" si="239"/>
        <v>0</v>
      </c>
      <c r="MI27" s="110">
        <f t="shared" si="240"/>
        <v>0</v>
      </c>
      <c r="MJ27" s="110">
        <f t="shared" si="241"/>
        <v>0</v>
      </c>
      <c r="MK27" s="110">
        <f t="shared" si="242"/>
        <v>0</v>
      </c>
      <c r="ML27" s="110">
        <f t="shared" si="243"/>
        <v>0</v>
      </c>
      <c r="MM27" s="110">
        <f t="shared" si="244"/>
        <v>0</v>
      </c>
      <c r="MN27" s="110">
        <f t="shared" si="245"/>
        <v>0</v>
      </c>
      <c r="MO27" s="110">
        <f t="shared" si="246"/>
        <v>0</v>
      </c>
      <c r="MP27" s="110">
        <f t="shared" si="247"/>
        <v>0</v>
      </c>
      <c r="MQ27" s="110">
        <f t="shared" si="248"/>
        <v>0</v>
      </c>
      <c r="MR27" s="110">
        <f t="shared" si="249"/>
        <v>0</v>
      </c>
      <c r="MS27" s="110">
        <f t="shared" si="250"/>
        <v>0</v>
      </c>
      <c r="MT27" s="110">
        <f t="shared" si="251"/>
        <v>0</v>
      </c>
      <c r="MV27" s="114">
        <v>352.44</v>
      </c>
      <c r="MW27" s="114">
        <v>0</v>
      </c>
      <c r="MX27" s="114">
        <v>11.920000000000016</v>
      </c>
      <c r="MY27" s="114">
        <v>0</v>
      </c>
      <c r="MZ27" s="114">
        <v>0</v>
      </c>
      <c r="NB27" s="115">
        <v>11</v>
      </c>
      <c r="NC27" s="115" t="str">
        <v>N/A</v>
      </c>
      <c r="ND27" s="115">
        <v>10</v>
      </c>
      <c r="NE27" s="115" t="str">
        <v>N/A</v>
      </c>
      <c r="NF27" s="115" t="str">
        <v>N/A</v>
      </c>
    </row>
    <row r="28" spans="1:370" ht="13.5" x14ac:dyDescent="0.25">
      <c r="A28" s="9"/>
      <c r="B28" s="8">
        <f t="shared" si="252"/>
        <v>25</v>
      </c>
      <c r="C28" s="7">
        <v>161.1</v>
      </c>
      <c r="D28" s="7">
        <v>161.1</v>
      </c>
      <c r="E28" s="7">
        <v>161.1</v>
      </c>
      <c r="F28" s="7">
        <v>161.1</v>
      </c>
      <c r="G28" s="7">
        <v>161.1</v>
      </c>
      <c r="H28" s="7">
        <v>161.1</v>
      </c>
      <c r="I28" s="7">
        <v>161.1</v>
      </c>
      <c r="J28" s="7">
        <v>161.1</v>
      </c>
      <c r="K28" s="7">
        <v>161.1</v>
      </c>
      <c r="L28" s="7">
        <v>161.07</v>
      </c>
      <c r="M28" s="7">
        <v>161.07</v>
      </c>
      <c r="N28" s="7">
        <v>161.07</v>
      </c>
      <c r="O28" s="7">
        <v>161.07</v>
      </c>
      <c r="P28" s="7">
        <v>161.07</v>
      </c>
      <c r="Q28" s="7">
        <v>169.55</v>
      </c>
      <c r="R28" s="7">
        <v>169.55</v>
      </c>
      <c r="S28" s="7">
        <v>169.55</v>
      </c>
      <c r="T28" s="7">
        <v>169.55</v>
      </c>
      <c r="U28" s="7">
        <v>169.55</v>
      </c>
      <c r="V28" s="7">
        <v>169.55</v>
      </c>
      <c r="W28" s="7">
        <v>169.55</v>
      </c>
      <c r="X28" s="7">
        <v>169.55</v>
      </c>
      <c r="Y28" s="7">
        <v>180.05</v>
      </c>
      <c r="Z28" s="7">
        <v>175.48</v>
      </c>
      <c r="AA28" s="7">
        <v>175.48</v>
      </c>
      <c r="AB28" s="7">
        <v>175.48</v>
      </c>
      <c r="AC28" s="7">
        <v>175.48</v>
      </c>
      <c r="AD28" s="7">
        <v>175.48</v>
      </c>
      <c r="AE28" s="7">
        <v>175.48</v>
      </c>
      <c r="AF28" s="7">
        <v>175.48</v>
      </c>
      <c r="AG28" s="7">
        <v>175.48</v>
      </c>
      <c r="AH28" s="7">
        <v>175.48</v>
      </c>
      <c r="AI28" s="7">
        <v>175.48</v>
      </c>
      <c r="AJ28" s="7">
        <v>181.62</v>
      </c>
      <c r="AK28" s="7">
        <v>181.62</v>
      </c>
      <c r="AL28" s="7">
        <v>181.62</v>
      </c>
      <c r="AM28" s="7">
        <v>181.62</v>
      </c>
      <c r="AN28" s="27">
        <v>25</v>
      </c>
      <c r="AP28" s="111"/>
      <c r="AQ28" s="110">
        <f t="shared" si="13"/>
        <v>0</v>
      </c>
      <c r="AR28" s="110">
        <f t="shared" si="14"/>
        <v>0</v>
      </c>
      <c r="AS28" s="110">
        <f t="shared" si="15"/>
        <v>-3.0000000000001137E-2</v>
      </c>
      <c r="AT28" s="110">
        <f t="shared" si="16"/>
        <v>0</v>
      </c>
      <c r="AU28" s="110">
        <f t="shared" si="17"/>
        <v>8.4800000000000182</v>
      </c>
      <c r="AV28" s="110">
        <f t="shared" si="18"/>
        <v>0</v>
      </c>
      <c r="AW28" s="110">
        <f t="shared" si="19"/>
        <v>0</v>
      </c>
      <c r="AX28" s="110">
        <f t="shared" si="20"/>
        <v>5.9299999999999784</v>
      </c>
      <c r="AY28" s="110">
        <f t="shared" si="21"/>
        <v>0</v>
      </c>
      <c r="AZ28" s="110">
        <f t="shared" si="22"/>
        <v>0</v>
      </c>
      <c r="BA28" s="110">
        <f t="shared" si="23"/>
        <v>6.1400000000000148</v>
      </c>
      <c r="BB28" s="110">
        <f t="shared" si="24"/>
        <v>0</v>
      </c>
      <c r="BD28" s="109" cm="1">
        <f t="array" ref="BD28">+IFERROR(INDEX($C$3:$AM$3,MATCH(TRUE,INDEX($C28:$AM28&lt;&gt;0,0),0)),"N/A")</f>
        <v>44926</v>
      </c>
      <c r="BE28" s="112"/>
      <c r="BF28" s="1" t="str" cm="1">
        <f t="array" ref="BF28">+_xlfn.IFS(BT28&lt;&gt;0,BT$2,CH28&lt;&gt;0,CH$2,CV28&lt;&gt;0,CV$2,DJ28&lt;&gt;0,DJ$2,TRUE,"")</f>
        <v/>
      </c>
      <c r="BG28" s="1" t="str" cm="1">
        <f t="array" ref="BG28">+_xlfn.IFS(BU28&lt;&gt;0,BU$2,CI28&lt;&gt;0,CI$2,CW28&lt;&gt;0,CW$2,DK28&lt;&gt;0,DK$2,TRUE,"")</f>
        <v/>
      </c>
      <c r="BH28" s="1" t="str" cm="1">
        <f t="array" ref="BH28">+_xlfn.IFS(BV28&lt;&gt;0,BV$2,CJ28&lt;&gt;0,CJ$2,CX28&lt;&gt;0,CX$2,DL28&lt;&gt;0,DL$2,TRUE,"")</f>
        <v>Downsell</v>
      </c>
      <c r="BI28" s="1" t="str" cm="1">
        <f t="array" ref="BI28">+_xlfn.IFS(BW28&lt;&gt;0,BW$2,CK28&lt;&gt;0,CK$2,CY28&lt;&gt;0,CY$2,DM28&lt;&gt;0,DM$2,TRUE,"")</f>
        <v/>
      </c>
      <c r="BJ28" s="1" t="str" cm="1">
        <f t="array" ref="BJ28">+_xlfn.IFS(BX28&lt;&gt;0,BX$2,CL28&lt;&gt;0,CL$2,CZ28&lt;&gt;0,CZ$2,DN28&lt;&gt;0,DN$2,TRUE,"")</f>
        <v>Upsell</v>
      </c>
      <c r="BK28" s="1" t="str" cm="1">
        <f t="array" ref="BK28">+_xlfn.IFS(BY28&lt;&gt;0,BY$2,CM28&lt;&gt;0,CM$2,DA28&lt;&gt;0,DA$2,DO28&lt;&gt;0,DO$2,TRUE,"")</f>
        <v/>
      </c>
      <c r="BL28" s="1" t="str" cm="1">
        <f t="array" ref="BL28">+_xlfn.IFS(BZ28&lt;&gt;0,BZ$2,CN28&lt;&gt;0,CN$2,DB28&lt;&gt;0,DB$2,DP28&lt;&gt;0,DP$2,TRUE,"")</f>
        <v/>
      </c>
      <c r="BM28" s="1" t="str" cm="1">
        <f t="array" ref="BM28">+_xlfn.IFS(CA28&lt;&gt;0,CA$2,CO28&lt;&gt;0,CO$2,DC28&lt;&gt;0,DC$2,DQ28&lt;&gt;0,DQ$2,TRUE,"")</f>
        <v>Upsell</v>
      </c>
      <c r="BN28" s="1" t="str" cm="1">
        <f t="array" ref="BN28">+_xlfn.IFS(CB28&lt;&gt;0,CB$2,CP28&lt;&gt;0,CP$2,DD28&lt;&gt;0,DD$2,DR28&lt;&gt;0,DR$2,TRUE,"")</f>
        <v/>
      </c>
      <c r="BO28" s="1" t="str" cm="1">
        <f t="array" ref="BO28">+_xlfn.IFS(CC28&lt;&gt;0,CC$2,CQ28&lt;&gt;0,CQ$2,DE28&lt;&gt;0,DE$2,DS28&lt;&gt;0,DS$2,TRUE,"")</f>
        <v/>
      </c>
      <c r="BP28" s="1" t="str" cm="1">
        <f t="array" ref="BP28">+_xlfn.IFS(CD28&lt;&gt;0,CD$2,CR28&lt;&gt;0,CR$2,DF28&lt;&gt;0,DF$2,DT28&lt;&gt;0,DT$2,TRUE,"")</f>
        <v>Upsell</v>
      </c>
      <c r="BQ28" s="1" t="str" cm="1">
        <f t="array" ref="BQ28">+_xlfn.IFS(CE28&lt;&gt;0,CE$2,CS28&lt;&gt;0,CS$2,DG28&lt;&gt;0,DG$2,DU28&lt;&gt;0,DU$2,TRUE,"")</f>
        <v/>
      </c>
      <c r="BS28" s="111"/>
      <c r="BT28" s="110">
        <f t="shared" si="25"/>
        <v>0</v>
      </c>
      <c r="BU28" s="110">
        <f t="shared" si="26"/>
        <v>0</v>
      </c>
      <c r="BV28" s="110">
        <f t="shared" si="27"/>
        <v>0</v>
      </c>
      <c r="BW28" s="110">
        <f t="shared" si="28"/>
        <v>0</v>
      </c>
      <c r="BX28" s="110">
        <f t="shared" si="29"/>
        <v>0</v>
      </c>
      <c r="BY28" s="110">
        <f t="shared" si="30"/>
        <v>0</v>
      </c>
      <c r="BZ28" s="110">
        <f t="shared" si="31"/>
        <v>0</v>
      </c>
      <c r="CA28" s="110">
        <f t="shared" si="32"/>
        <v>0</v>
      </c>
      <c r="CB28" s="110">
        <f t="shared" si="33"/>
        <v>0</v>
      </c>
      <c r="CC28" s="110">
        <f t="shared" si="34"/>
        <v>0</v>
      </c>
      <c r="CD28" s="110">
        <f t="shared" si="35"/>
        <v>0</v>
      </c>
      <c r="CE28" s="110">
        <f t="shared" si="36"/>
        <v>0</v>
      </c>
      <c r="CG28" s="111"/>
      <c r="CH28" s="110">
        <f t="shared" si="37"/>
        <v>0</v>
      </c>
      <c r="CI28" s="110">
        <f t="shared" si="38"/>
        <v>0</v>
      </c>
      <c r="CJ28" s="110">
        <f t="shared" si="39"/>
        <v>0</v>
      </c>
      <c r="CK28" s="110">
        <f t="shared" si="40"/>
        <v>0</v>
      </c>
      <c r="CL28" s="110">
        <f t="shared" si="41"/>
        <v>0</v>
      </c>
      <c r="CM28" s="110">
        <f t="shared" si="42"/>
        <v>0</v>
      </c>
      <c r="CN28" s="110">
        <f t="shared" si="43"/>
        <v>0</v>
      </c>
      <c r="CO28" s="110">
        <f t="shared" si="44"/>
        <v>0</v>
      </c>
      <c r="CP28" s="110">
        <f t="shared" si="45"/>
        <v>0</v>
      </c>
      <c r="CQ28" s="110">
        <f t="shared" si="46"/>
        <v>0</v>
      </c>
      <c r="CR28" s="110">
        <f t="shared" si="47"/>
        <v>0</v>
      </c>
      <c r="CS28" s="110">
        <f t="shared" si="48"/>
        <v>0</v>
      </c>
      <c r="CU28" s="111"/>
      <c r="CV28" s="110">
        <f t="shared" si="49"/>
        <v>0</v>
      </c>
      <c r="CW28" s="110">
        <f t="shared" si="50"/>
        <v>0</v>
      </c>
      <c r="CX28" s="110">
        <f t="shared" si="51"/>
        <v>-3.0000000000001137E-2</v>
      </c>
      <c r="CY28" s="110">
        <f t="shared" si="52"/>
        <v>0</v>
      </c>
      <c r="CZ28" s="110">
        <f t="shared" si="53"/>
        <v>0</v>
      </c>
      <c r="DA28" s="110">
        <f t="shared" si="54"/>
        <v>0</v>
      </c>
      <c r="DB28" s="110">
        <f t="shared" si="55"/>
        <v>0</v>
      </c>
      <c r="DC28" s="110">
        <f t="shared" si="56"/>
        <v>0</v>
      </c>
      <c r="DD28" s="110">
        <f t="shared" si="57"/>
        <v>0</v>
      </c>
      <c r="DE28" s="110">
        <f t="shared" si="58"/>
        <v>0</v>
      </c>
      <c r="DF28" s="110">
        <f t="shared" si="59"/>
        <v>0</v>
      </c>
      <c r="DG28" s="110">
        <f t="shared" si="60"/>
        <v>0</v>
      </c>
      <c r="DI28" s="111"/>
      <c r="DJ28" s="110">
        <f t="shared" si="61"/>
        <v>0</v>
      </c>
      <c r="DK28" s="110">
        <f t="shared" si="62"/>
        <v>0</v>
      </c>
      <c r="DL28" s="110">
        <f t="shared" si="63"/>
        <v>0</v>
      </c>
      <c r="DM28" s="110">
        <f t="shared" si="64"/>
        <v>0</v>
      </c>
      <c r="DN28" s="110">
        <f t="shared" si="65"/>
        <v>8.4800000000000182</v>
      </c>
      <c r="DO28" s="110">
        <f t="shared" si="66"/>
        <v>0</v>
      </c>
      <c r="DP28" s="110">
        <f t="shared" si="67"/>
        <v>0</v>
      </c>
      <c r="DQ28" s="110">
        <f t="shared" si="68"/>
        <v>5.9299999999999784</v>
      </c>
      <c r="DR28" s="110">
        <f t="shared" si="69"/>
        <v>0</v>
      </c>
      <c r="DS28" s="110">
        <f t="shared" si="70"/>
        <v>0</v>
      </c>
      <c r="DT28" s="110">
        <f t="shared" si="71"/>
        <v>6.1400000000000148</v>
      </c>
      <c r="DU28" s="110">
        <f t="shared" si="72"/>
        <v>0</v>
      </c>
      <c r="DW28" s="111"/>
      <c r="DX28" s="110">
        <f t="shared" si="73"/>
        <v>0</v>
      </c>
      <c r="DY28" s="110">
        <f t="shared" si="74"/>
        <v>0</v>
      </c>
      <c r="DZ28" s="110">
        <f t="shared" si="75"/>
        <v>0</v>
      </c>
      <c r="EA28" s="110">
        <f t="shared" si="76"/>
        <v>0</v>
      </c>
      <c r="EB28" s="110">
        <f t="shared" si="77"/>
        <v>0</v>
      </c>
      <c r="EC28" s="110">
        <f t="shared" si="78"/>
        <v>0</v>
      </c>
      <c r="ED28" s="110">
        <f t="shared" si="79"/>
        <v>0</v>
      </c>
      <c r="EE28" s="110">
        <f t="shared" si="80"/>
        <v>0</v>
      </c>
      <c r="EF28" s="110">
        <f t="shared" si="81"/>
        <v>0</v>
      </c>
      <c r="EG28" s="110">
        <f t="shared" si="82"/>
        <v>0</v>
      </c>
      <c r="EH28" s="110">
        <f t="shared" si="83"/>
        <v>0</v>
      </c>
      <c r="EI28" s="110">
        <f t="shared" si="84"/>
        <v>0</v>
      </c>
      <c r="EK28" s="111"/>
      <c r="EL28" s="110">
        <f t="shared" si="85"/>
        <v>-3.0000000000001137E-2</v>
      </c>
      <c r="EM28" s="110">
        <f t="shared" si="86"/>
        <v>14.409999999999997</v>
      </c>
      <c r="EN28" s="110">
        <f t="shared" si="87"/>
        <v>6.1400000000000148</v>
      </c>
      <c r="EP28" s="109" cm="1">
        <f t="array" ref="EP28">+IFERROR(INDEX($C$3:$AM$3,MATCH(TRUE,INDEX($C28:$AM28&lt;&gt;0,0),0)),"N/A")</f>
        <v>44926</v>
      </c>
      <c r="EQ28" s="112"/>
      <c r="ER28" s="1" t="str" cm="1">
        <f t="array" ref="ER28">+_xlfn.IFS(EW28&lt;&gt;0,EW$2,FB28&lt;&gt;0,FB$2,FG28&lt;&gt;0,FG$2,FL28&lt;&gt;0,FL$2,TRUE,"")</f>
        <v>Downsell</v>
      </c>
      <c r="ES28" s="1" t="str" cm="1">
        <f t="array" ref="ES28">+_xlfn.IFS(EX28&lt;&gt;0,EX$2,FC28&lt;&gt;0,FC$2,FH28&lt;&gt;0,FH$2,FM28&lt;&gt;0,FM$2,TRUE,"")</f>
        <v>Upsell</v>
      </c>
      <c r="ET28" s="1" t="str" cm="1">
        <f t="array" ref="ET28">+_xlfn.IFS(EY28&lt;&gt;0,EY$2,FD28&lt;&gt;0,FD$2,FI28&lt;&gt;0,FI$2,FN28&lt;&gt;0,FN$2,TRUE,"")</f>
        <v>Upsell</v>
      </c>
      <c r="EV28" s="111"/>
      <c r="EW28" s="110">
        <f t="shared" si="88"/>
        <v>0</v>
      </c>
      <c r="EX28" s="110">
        <f t="shared" si="89"/>
        <v>0</v>
      </c>
      <c r="EY28" s="110">
        <f t="shared" si="90"/>
        <v>0</v>
      </c>
      <c r="FA28" s="111"/>
      <c r="FB28" s="110">
        <f t="shared" si="91"/>
        <v>0</v>
      </c>
      <c r="FC28" s="110">
        <f t="shared" si="92"/>
        <v>0</v>
      </c>
      <c r="FD28" s="110">
        <f t="shared" si="93"/>
        <v>0</v>
      </c>
      <c r="FF28" s="111"/>
      <c r="FG28" s="110">
        <f t="shared" si="94"/>
        <v>-3.0000000000001137E-2</v>
      </c>
      <c r="FH28" s="110">
        <f t="shared" si="95"/>
        <v>0</v>
      </c>
      <c r="FI28" s="110">
        <f t="shared" si="96"/>
        <v>0</v>
      </c>
      <c r="FK28" s="111"/>
      <c r="FL28" s="110">
        <f t="shared" si="97"/>
        <v>0</v>
      </c>
      <c r="FM28" s="110">
        <f t="shared" si="98"/>
        <v>14.409999999999997</v>
      </c>
      <c r="FN28" s="110">
        <f t="shared" si="99"/>
        <v>6.1400000000000148</v>
      </c>
      <c r="FP28" s="111"/>
      <c r="FQ28" s="110">
        <f t="shared" si="100"/>
        <v>0</v>
      </c>
      <c r="FR28" s="110">
        <f t="shared" si="101"/>
        <v>0</v>
      </c>
      <c r="FS28" s="110">
        <f t="shared" si="102"/>
        <v>0</v>
      </c>
      <c r="FU28" s="111">
        <f t="shared" si="103"/>
        <v>-3.0000000000001137E-2</v>
      </c>
      <c r="FV28" s="110">
        <f t="shared" si="104"/>
        <v>-3.0000000000001137E-2</v>
      </c>
      <c r="FW28" s="110">
        <f t="shared" si="105"/>
        <v>8.4500000000000171</v>
      </c>
      <c r="FX28" s="110">
        <f t="shared" si="106"/>
        <v>8.4500000000000171</v>
      </c>
      <c r="FY28" s="110">
        <f t="shared" si="107"/>
        <v>8.4500000000000171</v>
      </c>
      <c r="FZ28" s="110">
        <f t="shared" si="108"/>
        <v>8.4500000000000171</v>
      </c>
      <c r="GA28" s="110">
        <f t="shared" si="109"/>
        <v>8.4500000000000171</v>
      </c>
      <c r="GB28" s="110">
        <f t="shared" si="110"/>
        <v>8.4500000000000171</v>
      </c>
      <c r="GC28" s="110">
        <f t="shared" si="111"/>
        <v>8.4500000000000171</v>
      </c>
      <c r="GD28" s="110">
        <f t="shared" si="112"/>
        <v>8.4800000000000182</v>
      </c>
      <c r="GE28" s="110">
        <f t="shared" si="113"/>
        <v>18.980000000000018</v>
      </c>
      <c r="GF28" s="110">
        <f t="shared" si="114"/>
        <v>14.409999999999997</v>
      </c>
      <c r="GG28" s="110">
        <f t="shared" si="115"/>
        <v>14.409999999999997</v>
      </c>
      <c r="GH28" s="110">
        <f t="shared" si="116"/>
        <v>14.409999999999997</v>
      </c>
      <c r="GI28" s="110">
        <f t="shared" si="117"/>
        <v>5.9299999999999784</v>
      </c>
      <c r="GJ28" s="110">
        <f t="shared" si="118"/>
        <v>5.9299999999999784</v>
      </c>
      <c r="GK28" s="110">
        <f t="shared" si="119"/>
        <v>5.9299999999999784</v>
      </c>
      <c r="GL28" s="110">
        <f t="shared" si="120"/>
        <v>5.9299999999999784</v>
      </c>
      <c r="GM28" s="110">
        <f t="shared" si="121"/>
        <v>5.9299999999999784</v>
      </c>
      <c r="GN28" s="110">
        <f t="shared" si="122"/>
        <v>5.9299999999999784</v>
      </c>
      <c r="GO28" s="110">
        <f t="shared" si="123"/>
        <v>5.9299999999999784</v>
      </c>
      <c r="GP28" s="110">
        <f t="shared" si="124"/>
        <v>12.069999999999993</v>
      </c>
      <c r="GQ28" s="110">
        <f t="shared" si="125"/>
        <v>1.5699999999999932</v>
      </c>
      <c r="GR28" s="110">
        <f t="shared" si="126"/>
        <v>6.1400000000000148</v>
      </c>
      <c r="GS28" s="110">
        <f t="shared" si="127"/>
        <v>6.1400000000000148</v>
      </c>
      <c r="GU28" s="109" cm="1">
        <f t="array" ref="GU28">+IFERROR(INDEX($C$3:$AM$3,MATCH(TRUE,INDEX($C28:$AM28&lt;&gt;0,0),0)),"N/A")</f>
        <v>44926</v>
      </c>
      <c r="GV28" s="112" t="str" cm="1">
        <f t="array" ref="GV28">+_xlfn.IFS(HV28&lt;&gt;0,HV$2,IV28&lt;&gt;0,IV$2,JV28&lt;&gt;0,JV$2,KV28&lt;&gt;0,KV$2,TRUE,"")</f>
        <v>Downsell</v>
      </c>
      <c r="GW28" s="1" t="str" cm="1">
        <f t="array" ref="GW28">+_xlfn.IFS(HW28&lt;&gt;0,HW$2,IW28&lt;&gt;0,IW$2,JW28&lt;&gt;0,JW$2,KW28&lt;&gt;0,KW$2,TRUE,"")</f>
        <v>Downsell</v>
      </c>
      <c r="GX28" s="1" t="str" cm="1">
        <f t="array" ref="GX28">+_xlfn.IFS(HX28&lt;&gt;0,HX$2,IX28&lt;&gt;0,IX$2,JX28&lt;&gt;0,JX$2,KX28&lt;&gt;0,KX$2,TRUE,"")</f>
        <v>Upsell</v>
      </c>
      <c r="GY28" s="1" t="str" cm="1">
        <f t="array" ref="GY28">+_xlfn.IFS(HY28&lt;&gt;0,HY$2,IY28&lt;&gt;0,IY$2,JY28&lt;&gt;0,JY$2,KY28&lt;&gt;0,KY$2,TRUE,"")</f>
        <v>Upsell</v>
      </c>
      <c r="GZ28" s="1" t="str" cm="1">
        <f t="array" ref="GZ28">+_xlfn.IFS(HZ28&lt;&gt;0,HZ$2,IZ28&lt;&gt;0,IZ$2,JZ28&lt;&gt;0,JZ$2,KZ28&lt;&gt;0,KZ$2,TRUE,"")</f>
        <v>Upsell</v>
      </c>
      <c r="HA28" s="1" t="str" cm="1">
        <f t="array" ref="HA28">+_xlfn.IFS(IA28&lt;&gt;0,IA$2,JA28&lt;&gt;0,JA$2,KA28&lt;&gt;0,KA$2,LA28&lt;&gt;0,LA$2,TRUE,"")</f>
        <v>Upsell</v>
      </c>
      <c r="HB28" s="1" t="str" cm="1">
        <f t="array" ref="HB28">+_xlfn.IFS(IB28&lt;&gt;0,IB$2,JB28&lt;&gt;0,JB$2,KB28&lt;&gt;0,KB$2,LB28&lt;&gt;0,LB$2,TRUE,"")</f>
        <v>Upsell</v>
      </c>
      <c r="HC28" s="1" t="str" cm="1">
        <f t="array" ref="HC28">+_xlfn.IFS(IC28&lt;&gt;0,IC$2,JC28&lt;&gt;0,JC$2,KC28&lt;&gt;0,KC$2,LC28&lt;&gt;0,LC$2,TRUE,"")</f>
        <v>Upsell</v>
      </c>
      <c r="HD28" s="1" t="str" cm="1">
        <f t="array" ref="HD28">+_xlfn.IFS(ID28&lt;&gt;0,ID$2,JD28&lt;&gt;0,JD$2,KD28&lt;&gt;0,KD$2,LD28&lt;&gt;0,LD$2,TRUE,"")</f>
        <v>Upsell</v>
      </c>
      <c r="HE28" s="1" t="str" cm="1">
        <f t="array" ref="HE28">+_xlfn.IFS(IE28&lt;&gt;0,IE$2,JE28&lt;&gt;0,JE$2,KE28&lt;&gt;0,KE$2,LE28&lt;&gt;0,LE$2,TRUE,"")</f>
        <v>Upsell</v>
      </c>
      <c r="HF28" s="1" t="str" cm="1">
        <f t="array" ref="HF28">+_xlfn.IFS(IF28&lt;&gt;0,IF$2,JF28&lt;&gt;0,JF$2,KF28&lt;&gt;0,KF$2,LF28&lt;&gt;0,LF$2,TRUE,"")</f>
        <v>Upsell</v>
      </c>
      <c r="HG28" s="1" t="str" cm="1">
        <f t="array" ref="HG28">+_xlfn.IFS(IG28&lt;&gt;0,IG$2,JG28&lt;&gt;0,JG$2,KG28&lt;&gt;0,KG$2,LG28&lt;&gt;0,LG$2,TRUE,"")</f>
        <v>Upsell</v>
      </c>
      <c r="HH28" s="1" t="str" cm="1">
        <f t="array" ref="HH28">+_xlfn.IFS(IH28&lt;&gt;0,IH$2,JH28&lt;&gt;0,JH$2,KH28&lt;&gt;0,KH$2,LH28&lt;&gt;0,LH$2,TRUE,"")</f>
        <v>Upsell</v>
      </c>
      <c r="HI28" s="1" t="str" cm="1">
        <f t="array" ref="HI28">+_xlfn.IFS(II28&lt;&gt;0,II$2,JI28&lt;&gt;0,JI$2,KI28&lt;&gt;0,KI$2,LI28&lt;&gt;0,LI$2,TRUE,"")</f>
        <v>Upsell</v>
      </c>
      <c r="HJ28" s="1" t="str" cm="1">
        <f t="array" ref="HJ28">+_xlfn.IFS(IJ28&lt;&gt;0,IJ$2,JJ28&lt;&gt;0,JJ$2,KJ28&lt;&gt;0,KJ$2,LJ28&lt;&gt;0,LJ$2,TRUE,"")</f>
        <v>Upsell</v>
      </c>
      <c r="HK28" s="1" t="str" cm="1">
        <f t="array" ref="HK28">+_xlfn.IFS(IK28&lt;&gt;0,IK$2,JK28&lt;&gt;0,JK$2,KK28&lt;&gt;0,KK$2,LK28&lt;&gt;0,LK$2,TRUE,"")</f>
        <v>Upsell</v>
      </c>
      <c r="HL28" s="1" t="str" cm="1">
        <f t="array" ref="HL28">+_xlfn.IFS(IL28&lt;&gt;0,IL$2,JL28&lt;&gt;0,JL$2,KL28&lt;&gt;0,KL$2,LL28&lt;&gt;0,LL$2,TRUE,"")</f>
        <v>Upsell</v>
      </c>
      <c r="HM28" s="1" t="str" cm="1">
        <f t="array" ref="HM28">+_xlfn.IFS(IM28&lt;&gt;0,IM$2,JM28&lt;&gt;0,JM$2,KM28&lt;&gt;0,KM$2,LM28&lt;&gt;0,LM$2,TRUE,"")</f>
        <v>Upsell</v>
      </c>
      <c r="HN28" s="1" t="str" cm="1">
        <f t="array" ref="HN28">+_xlfn.IFS(IN28&lt;&gt;0,IN$2,JN28&lt;&gt;0,JN$2,KN28&lt;&gt;0,KN$2,LN28&lt;&gt;0,LN$2,TRUE,"")</f>
        <v>Upsell</v>
      </c>
      <c r="HO28" s="1" t="str" cm="1">
        <f t="array" ref="HO28">+_xlfn.IFS(IO28&lt;&gt;0,IO$2,JO28&lt;&gt;0,JO$2,KO28&lt;&gt;0,KO$2,LO28&lt;&gt;0,LO$2,TRUE,"")</f>
        <v>Upsell</v>
      </c>
      <c r="HP28" s="1" t="str" cm="1">
        <f t="array" ref="HP28">+_xlfn.IFS(IP28&lt;&gt;0,IP$2,JP28&lt;&gt;0,JP$2,KP28&lt;&gt;0,KP$2,LP28&lt;&gt;0,LP$2,TRUE,"")</f>
        <v>Upsell</v>
      </c>
      <c r="HQ28" s="1" t="str" cm="1">
        <f t="array" ref="HQ28">+_xlfn.IFS(IQ28&lt;&gt;0,IQ$2,JQ28&lt;&gt;0,JQ$2,KQ28&lt;&gt;0,KQ$2,LQ28&lt;&gt;0,LQ$2,TRUE,"")</f>
        <v>Upsell</v>
      </c>
      <c r="HR28" s="1" t="str" cm="1">
        <f t="array" ref="HR28">+_xlfn.IFS(IR28&lt;&gt;0,IR$2,JR28&lt;&gt;0,JR$2,KR28&lt;&gt;0,KR$2,LR28&lt;&gt;0,LR$2,TRUE,"")</f>
        <v>Upsell</v>
      </c>
      <c r="HS28" s="1" t="str" cm="1">
        <f t="array" ref="HS28">+_xlfn.IFS(IS28&lt;&gt;0,IS$2,JS28&lt;&gt;0,JS$2,KS28&lt;&gt;0,KS$2,LS28&lt;&gt;0,LS$2,TRUE,"")</f>
        <v>Upsell</v>
      </c>
      <c r="HT28" s="1" t="str" cm="1">
        <f t="array" ref="HT28">+_xlfn.IFS(IT28&lt;&gt;0,IT$2,JT28&lt;&gt;0,JT$2,KT28&lt;&gt;0,KT$2,LT28&lt;&gt;0,LT$2,TRUE,"")</f>
        <v>Upsell</v>
      </c>
      <c r="HV28" s="111">
        <f t="shared" si="128"/>
        <v>0</v>
      </c>
      <c r="HW28" s="110">
        <f t="shared" si="129"/>
        <v>0</v>
      </c>
      <c r="HX28" s="110">
        <f t="shared" si="130"/>
        <v>0</v>
      </c>
      <c r="HY28" s="110">
        <f t="shared" si="131"/>
        <v>0</v>
      </c>
      <c r="HZ28" s="110">
        <f t="shared" si="132"/>
        <v>0</v>
      </c>
      <c r="IA28" s="110">
        <f t="shared" si="133"/>
        <v>0</v>
      </c>
      <c r="IB28" s="110">
        <f t="shared" si="134"/>
        <v>0</v>
      </c>
      <c r="IC28" s="110">
        <f t="shared" si="135"/>
        <v>0</v>
      </c>
      <c r="ID28" s="110">
        <f t="shared" si="136"/>
        <v>0</v>
      </c>
      <c r="IE28" s="110">
        <f t="shared" si="137"/>
        <v>0</v>
      </c>
      <c r="IF28" s="110">
        <f t="shared" si="138"/>
        <v>0</v>
      </c>
      <c r="IG28" s="110">
        <f t="shared" si="139"/>
        <v>0</v>
      </c>
      <c r="IH28" s="110">
        <f t="shared" si="140"/>
        <v>0</v>
      </c>
      <c r="II28" s="110">
        <f t="shared" si="141"/>
        <v>0</v>
      </c>
      <c r="IJ28" s="110">
        <f t="shared" si="142"/>
        <v>0</v>
      </c>
      <c r="IK28" s="110">
        <f t="shared" si="143"/>
        <v>0</v>
      </c>
      <c r="IL28" s="110">
        <f t="shared" si="144"/>
        <v>0</v>
      </c>
      <c r="IM28" s="110">
        <f t="shared" si="145"/>
        <v>0</v>
      </c>
      <c r="IN28" s="110">
        <f t="shared" si="146"/>
        <v>0</v>
      </c>
      <c r="IO28" s="110">
        <f t="shared" si="147"/>
        <v>0</v>
      </c>
      <c r="IP28" s="110">
        <f t="shared" si="148"/>
        <v>0</v>
      </c>
      <c r="IQ28" s="110">
        <f t="shared" si="149"/>
        <v>0</v>
      </c>
      <c r="IR28" s="110">
        <f t="shared" si="150"/>
        <v>0</v>
      </c>
      <c r="IS28" s="110">
        <f t="shared" si="151"/>
        <v>0</v>
      </c>
      <c r="IT28" s="110">
        <f t="shared" si="152"/>
        <v>0</v>
      </c>
      <c r="IV28" s="111">
        <f t="shared" si="153"/>
        <v>0</v>
      </c>
      <c r="IW28" s="110">
        <f t="shared" si="154"/>
        <v>0</v>
      </c>
      <c r="IX28" s="110">
        <f t="shared" si="155"/>
        <v>0</v>
      </c>
      <c r="IY28" s="110">
        <f t="shared" si="156"/>
        <v>0</v>
      </c>
      <c r="IZ28" s="110">
        <f t="shared" si="157"/>
        <v>0</v>
      </c>
      <c r="JA28" s="110">
        <f t="shared" si="158"/>
        <v>0</v>
      </c>
      <c r="JB28" s="110">
        <f t="shared" si="159"/>
        <v>0</v>
      </c>
      <c r="JC28" s="110">
        <f t="shared" si="160"/>
        <v>0</v>
      </c>
      <c r="JD28" s="110">
        <f t="shared" si="161"/>
        <v>0</v>
      </c>
      <c r="JE28" s="110">
        <f t="shared" si="162"/>
        <v>0</v>
      </c>
      <c r="JF28" s="110">
        <f t="shared" si="163"/>
        <v>0</v>
      </c>
      <c r="JG28" s="110">
        <f t="shared" si="164"/>
        <v>0</v>
      </c>
      <c r="JH28" s="110">
        <f t="shared" si="165"/>
        <v>0</v>
      </c>
      <c r="JI28" s="110">
        <f t="shared" si="166"/>
        <v>0</v>
      </c>
      <c r="JJ28" s="110">
        <f t="shared" si="167"/>
        <v>0</v>
      </c>
      <c r="JK28" s="110">
        <f t="shared" si="168"/>
        <v>0</v>
      </c>
      <c r="JL28" s="110">
        <f t="shared" si="169"/>
        <v>0</v>
      </c>
      <c r="JM28" s="110">
        <f t="shared" si="170"/>
        <v>0</v>
      </c>
      <c r="JN28" s="110">
        <f t="shared" si="171"/>
        <v>0</v>
      </c>
      <c r="JO28" s="110">
        <f t="shared" si="172"/>
        <v>0</v>
      </c>
      <c r="JP28" s="110">
        <f t="shared" si="173"/>
        <v>0</v>
      </c>
      <c r="JQ28" s="110">
        <f t="shared" si="174"/>
        <v>0</v>
      </c>
      <c r="JR28" s="110">
        <f t="shared" si="175"/>
        <v>0</v>
      </c>
      <c r="JS28" s="110">
        <f t="shared" si="176"/>
        <v>0</v>
      </c>
      <c r="JT28" s="110">
        <f t="shared" si="177"/>
        <v>0</v>
      </c>
      <c r="JV28" s="111">
        <f t="shared" si="178"/>
        <v>-3.0000000000001137E-2</v>
      </c>
      <c r="JW28" s="110">
        <f t="shared" si="179"/>
        <v>-3.0000000000001137E-2</v>
      </c>
      <c r="JX28" s="110">
        <f t="shared" si="180"/>
        <v>0</v>
      </c>
      <c r="JY28" s="110">
        <f t="shared" si="181"/>
        <v>0</v>
      </c>
      <c r="JZ28" s="110">
        <f t="shared" si="182"/>
        <v>0</v>
      </c>
      <c r="KA28" s="110">
        <f t="shared" si="183"/>
        <v>0</v>
      </c>
      <c r="KB28" s="110">
        <f t="shared" si="184"/>
        <v>0</v>
      </c>
      <c r="KC28" s="110">
        <f t="shared" si="185"/>
        <v>0</v>
      </c>
      <c r="KD28" s="110">
        <f t="shared" si="186"/>
        <v>0</v>
      </c>
      <c r="KE28" s="110">
        <f t="shared" si="187"/>
        <v>0</v>
      </c>
      <c r="KF28" s="110">
        <f t="shared" si="188"/>
        <v>0</v>
      </c>
      <c r="KG28" s="110">
        <f t="shared" si="189"/>
        <v>0</v>
      </c>
      <c r="KH28" s="110">
        <f t="shared" si="190"/>
        <v>0</v>
      </c>
      <c r="KI28" s="110">
        <f t="shared" si="191"/>
        <v>0</v>
      </c>
      <c r="KJ28" s="110">
        <f t="shared" si="192"/>
        <v>0</v>
      </c>
      <c r="KK28" s="110">
        <f t="shared" si="193"/>
        <v>0</v>
      </c>
      <c r="KL28" s="110">
        <f t="shared" si="194"/>
        <v>0</v>
      </c>
      <c r="KM28" s="110">
        <f t="shared" si="195"/>
        <v>0</v>
      </c>
      <c r="KN28" s="110">
        <f t="shared" si="196"/>
        <v>0</v>
      </c>
      <c r="KO28" s="110">
        <f t="shared" si="197"/>
        <v>0</v>
      </c>
      <c r="KP28" s="110">
        <f t="shared" si="198"/>
        <v>0</v>
      </c>
      <c r="KQ28" s="110">
        <f t="shared" si="199"/>
        <v>0</v>
      </c>
      <c r="KR28" s="110">
        <f t="shared" si="200"/>
        <v>0</v>
      </c>
      <c r="KS28" s="110">
        <f t="shared" si="201"/>
        <v>0</v>
      </c>
      <c r="KT28" s="110">
        <f t="shared" si="202"/>
        <v>0</v>
      </c>
      <c r="KV28" s="111">
        <f t="shared" si="203"/>
        <v>0</v>
      </c>
      <c r="KW28" s="110">
        <f t="shared" si="204"/>
        <v>0</v>
      </c>
      <c r="KX28" s="110">
        <f t="shared" si="205"/>
        <v>8.4500000000000171</v>
      </c>
      <c r="KY28" s="110">
        <f t="shared" si="206"/>
        <v>8.4500000000000171</v>
      </c>
      <c r="KZ28" s="110">
        <f t="shared" si="207"/>
        <v>8.4500000000000171</v>
      </c>
      <c r="LA28" s="110">
        <f t="shared" si="208"/>
        <v>8.4500000000000171</v>
      </c>
      <c r="LB28" s="110">
        <f t="shared" si="209"/>
        <v>8.4500000000000171</v>
      </c>
      <c r="LC28" s="110">
        <f t="shared" si="210"/>
        <v>8.4500000000000171</v>
      </c>
      <c r="LD28" s="110">
        <f t="shared" si="211"/>
        <v>8.4500000000000171</v>
      </c>
      <c r="LE28" s="110">
        <f t="shared" si="212"/>
        <v>8.4800000000000182</v>
      </c>
      <c r="LF28" s="110">
        <f t="shared" si="213"/>
        <v>18.980000000000018</v>
      </c>
      <c r="LG28" s="110">
        <f t="shared" si="214"/>
        <v>14.409999999999997</v>
      </c>
      <c r="LH28" s="110">
        <f t="shared" si="215"/>
        <v>14.409999999999997</v>
      </c>
      <c r="LI28" s="110">
        <f t="shared" si="216"/>
        <v>14.409999999999997</v>
      </c>
      <c r="LJ28" s="110">
        <f t="shared" si="217"/>
        <v>5.9299999999999784</v>
      </c>
      <c r="LK28" s="110">
        <f t="shared" si="218"/>
        <v>5.9299999999999784</v>
      </c>
      <c r="LL28" s="110">
        <f t="shared" si="219"/>
        <v>5.9299999999999784</v>
      </c>
      <c r="LM28" s="110">
        <f t="shared" si="220"/>
        <v>5.9299999999999784</v>
      </c>
      <c r="LN28" s="110">
        <f t="shared" si="221"/>
        <v>5.9299999999999784</v>
      </c>
      <c r="LO28" s="110">
        <f t="shared" si="222"/>
        <v>5.9299999999999784</v>
      </c>
      <c r="LP28" s="110">
        <f t="shared" si="223"/>
        <v>5.9299999999999784</v>
      </c>
      <c r="LQ28" s="110">
        <f t="shared" si="224"/>
        <v>12.069999999999993</v>
      </c>
      <c r="LR28" s="110">
        <f t="shared" si="225"/>
        <v>1.5699999999999932</v>
      </c>
      <c r="LS28" s="110">
        <f t="shared" si="226"/>
        <v>6.1400000000000148</v>
      </c>
      <c r="LT28" s="110">
        <f t="shared" si="227"/>
        <v>6.1400000000000148</v>
      </c>
      <c r="LV28" s="111"/>
      <c r="LW28" s="110">
        <f t="shared" si="228"/>
        <v>0</v>
      </c>
      <c r="LX28" s="110">
        <f t="shared" si="229"/>
        <v>0</v>
      </c>
      <c r="LY28" s="110">
        <f t="shared" si="230"/>
        <v>0</v>
      </c>
      <c r="LZ28" s="110">
        <f t="shared" si="231"/>
        <v>0</v>
      </c>
      <c r="MA28" s="110">
        <f t="shared" si="232"/>
        <v>0</v>
      </c>
      <c r="MB28" s="110">
        <f t="shared" si="233"/>
        <v>0</v>
      </c>
      <c r="MC28" s="110">
        <f t="shared" si="234"/>
        <v>0</v>
      </c>
      <c r="MD28" s="110">
        <f t="shared" si="235"/>
        <v>0</v>
      </c>
      <c r="ME28" s="110">
        <f t="shared" si="236"/>
        <v>0</v>
      </c>
      <c r="MF28" s="110">
        <f t="shared" si="237"/>
        <v>0</v>
      </c>
      <c r="MG28" s="110">
        <f t="shared" si="238"/>
        <v>0</v>
      </c>
      <c r="MH28" s="110">
        <f t="shared" si="239"/>
        <v>0</v>
      </c>
      <c r="MI28" s="110">
        <f t="shared" si="240"/>
        <v>0</v>
      </c>
      <c r="MJ28" s="110">
        <f t="shared" si="241"/>
        <v>0</v>
      </c>
      <c r="MK28" s="110">
        <f t="shared" si="242"/>
        <v>0</v>
      </c>
      <c r="ML28" s="110">
        <f t="shared" si="243"/>
        <v>0</v>
      </c>
      <c r="MM28" s="110">
        <f t="shared" si="244"/>
        <v>0</v>
      </c>
      <c r="MN28" s="110">
        <f t="shared" si="245"/>
        <v>0</v>
      </c>
      <c r="MO28" s="110">
        <f t="shared" si="246"/>
        <v>0</v>
      </c>
      <c r="MP28" s="110">
        <f t="shared" si="247"/>
        <v>0</v>
      </c>
      <c r="MQ28" s="110">
        <f t="shared" si="248"/>
        <v>0</v>
      </c>
      <c r="MR28" s="110">
        <f t="shared" si="249"/>
        <v>0</v>
      </c>
      <c r="MS28" s="110">
        <f t="shared" si="250"/>
        <v>0</v>
      </c>
      <c r="MT28" s="110">
        <f t="shared" si="251"/>
        <v>0</v>
      </c>
      <c r="MV28" s="114">
        <v>181.62</v>
      </c>
      <c r="MW28" s="114">
        <v>0</v>
      </c>
      <c r="MX28" s="114">
        <v>6.1400000000000148</v>
      </c>
      <c r="MY28" s="114">
        <v>0</v>
      </c>
      <c r="MZ28" s="114">
        <v>0</v>
      </c>
      <c r="NB28" s="115">
        <v>67</v>
      </c>
      <c r="NC28" s="115" t="str">
        <v>N/A</v>
      </c>
      <c r="ND28" s="115">
        <v>47</v>
      </c>
      <c r="NE28" s="115" t="str">
        <v>N/A</v>
      </c>
      <c r="NF28" s="115" t="str">
        <v>N/A</v>
      </c>
    </row>
    <row r="29" spans="1:370" ht="13.5" x14ac:dyDescent="0.25">
      <c r="B29" s="8">
        <f t="shared" si="252"/>
        <v>26</v>
      </c>
      <c r="C29" s="7">
        <v>0</v>
      </c>
      <c r="D29" s="7">
        <v>0</v>
      </c>
      <c r="E29" s="7">
        <v>0</v>
      </c>
      <c r="F29" s="7">
        <v>170.05</v>
      </c>
      <c r="G29" s="7">
        <v>170.05</v>
      </c>
      <c r="H29" s="7">
        <v>170.05</v>
      </c>
      <c r="I29" s="7">
        <v>170.05</v>
      </c>
      <c r="J29" s="7">
        <v>170.05</v>
      </c>
      <c r="K29" s="7">
        <v>170.05</v>
      </c>
      <c r="L29" s="7">
        <v>170.05</v>
      </c>
      <c r="M29" s="7">
        <v>179</v>
      </c>
      <c r="N29" s="7">
        <v>179</v>
      </c>
      <c r="O29" s="7">
        <v>179</v>
      </c>
      <c r="P29" s="7">
        <v>179</v>
      </c>
      <c r="Q29" s="7">
        <v>179</v>
      </c>
      <c r="R29" s="7">
        <v>179</v>
      </c>
      <c r="S29" s="7">
        <v>179</v>
      </c>
      <c r="T29" s="7">
        <v>179</v>
      </c>
      <c r="U29" s="7">
        <v>179</v>
      </c>
      <c r="V29" s="7">
        <v>179</v>
      </c>
      <c r="W29" s="7">
        <v>179</v>
      </c>
      <c r="X29" s="7">
        <v>179</v>
      </c>
      <c r="Y29" s="7">
        <v>189.5</v>
      </c>
      <c r="Z29" s="7">
        <v>185.27</v>
      </c>
      <c r="AA29" s="7">
        <v>185.27</v>
      </c>
      <c r="AB29" s="7">
        <v>185.27</v>
      </c>
      <c r="AC29" s="7">
        <v>185.27</v>
      </c>
      <c r="AD29" s="7">
        <v>185.27</v>
      </c>
      <c r="AE29" s="7">
        <v>185.27</v>
      </c>
      <c r="AF29" s="7">
        <v>185.27</v>
      </c>
      <c r="AG29" s="7">
        <v>185.27</v>
      </c>
      <c r="AH29" s="7">
        <v>185.27</v>
      </c>
      <c r="AI29" s="7">
        <v>185.27</v>
      </c>
      <c r="AJ29" s="7">
        <v>191.75</v>
      </c>
      <c r="AK29" s="7">
        <v>191.75</v>
      </c>
      <c r="AL29" s="7">
        <v>191.75</v>
      </c>
      <c r="AM29" s="7">
        <v>191.75</v>
      </c>
      <c r="AN29" s="27">
        <v>26</v>
      </c>
      <c r="AP29" s="111"/>
      <c r="AQ29" s="110">
        <f t="shared" si="13"/>
        <v>170.05</v>
      </c>
      <c r="AR29" s="110">
        <f t="shared" si="14"/>
        <v>0</v>
      </c>
      <c r="AS29" s="110">
        <f t="shared" si="15"/>
        <v>0</v>
      </c>
      <c r="AT29" s="110">
        <f t="shared" si="16"/>
        <v>8.9499999999999886</v>
      </c>
      <c r="AU29" s="110">
        <f t="shared" si="17"/>
        <v>0</v>
      </c>
      <c r="AV29" s="110">
        <f t="shared" si="18"/>
        <v>0</v>
      </c>
      <c r="AW29" s="110">
        <f t="shared" si="19"/>
        <v>0</v>
      </c>
      <c r="AX29" s="110">
        <f t="shared" si="20"/>
        <v>6.2700000000000102</v>
      </c>
      <c r="AY29" s="110">
        <f t="shared" si="21"/>
        <v>0</v>
      </c>
      <c r="AZ29" s="110">
        <f t="shared" si="22"/>
        <v>0</v>
      </c>
      <c r="BA29" s="110">
        <f t="shared" si="23"/>
        <v>6.4799999999999898</v>
      </c>
      <c r="BB29" s="110">
        <f t="shared" si="24"/>
        <v>0</v>
      </c>
      <c r="BD29" s="109" cm="1">
        <f t="array" ref="BD29">+IFERROR(INDEX($C$3:$AM$3,MATCH(TRUE,INDEX($C29:$AM29&lt;&gt;0,0),0)),"N/A")</f>
        <v>45016</v>
      </c>
      <c r="BE29" s="112"/>
      <c r="BF29" s="1" t="str" cm="1">
        <f t="array" ref="BF29">+_xlfn.IFS(BT29&lt;&gt;0,BT$2,CH29&lt;&gt;0,CH$2,CV29&lt;&gt;0,CV$2,DJ29&lt;&gt;0,DJ$2,TRUE,"")</f>
        <v>New</v>
      </c>
      <c r="BG29" s="1" t="str" cm="1">
        <f t="array" ref="BG29">+_xlfn.IFS(BU29&lt;&gt;0,BU$2,CI29&lt;&gt;0,CI$2,CW29&lt;&gt;0,CW$2,DK29&lt;&gt;0,DK$2,TRUE,"")</f>
        <v/>
      </c>
      <c r="BH29" s="1" t="str" cm="1">
        <f t="array" ref="BH29">+_xlfn.IFS(BV29&lt;&gt;0,BV$2,CJ29&lt;&gt;0,CJ$2,CX29&lt;&gt;0,CX$2,DL29&lt;&gt;0,DL$2,TRUE,"")</f>
        <v/>
      </c>
      <c r="BI29" s="1" t="str" cm="1">
        <f t="array" ref="BI29">+_xlfn.IFS(BW29&lt;&gt;0,BW$2,CK29&lt;&gt;0,CK$2,CY29&lt;&gt;0,CY$2,DM29&lt;&gt;0,DM$2,TRUE,"")</f>
        <v>Upsell</v>
      </c>
      <c r="BJ29" s="1" t="str" cm="1">
        <f t="array" ref="BJ29">+_xlfn.IFS(BX29&lt;&gt;0,BX$2,CL29&lt;&gt;0,CL$2,CZ29&lt;&gt;0,CZ$2,DN29&lt;&gt;0,DN$2,TRUE,"")</f>
        <v/>
      </c>
      <c r="BK29" s="1" t="str" cm="1">
        <f t="array" ref="BK29">+_xlfn.IFS(BY29&lt;&gt;0,BY$2,CM29&lt;&gt;0,CM$2,DA29&lt;&gt;0,DA$2,DO29&lt;&gt;0,DO$2,TRUE,"")</f>
        <v/>
      </c>
      <c r="BL29" s="1" t="str" cm="1">
        <f t="array" ref="BL29">+_xlfn.IFS(BZ29&lt;&gt;0,BZ$2,CN29&lt;&gt;0,CN$2,DB29&lt;&gt;0,DB$2,DP29&lt;&gt;0,DP$2,TRUE,"")</f>
        <v/>
      </c>
      <c r="BM29" s="1" t="str" cm="1">
        <f t="array" ref="BM29">+_xlfn.IFS(CA29&lt;&gt;0,CA$2,CO29&lt;&gt;0,CO$2,DC29&lt;&gt;0,DC$2,DQ29&lt;&gt;0,DQ$2,TRUE,"")</f>
        <v>Upsell</v>
      </c>
      <c r="BN29" s="1" t="str" cm="1">
        <f t="array" ref="BN29">+_xlfn.IFS(CB29&lt;&gt;0,CB$2,CP29&lt;&gt;0,CP$2,DD29&lt;&gt;0,DD$2,DR29&lt;&gt;0,DR$2,TRUE,"")</f>
        <v/>
      </c>
      <c r="BO29" s="1" t="str" cm="1">
        <f t="array" ref="BO29">+_xlfn.IFS(CC29&lt;&gt;0,CC$2,CQ29&lt;&gt;0,CQ$2,DE29&lt;&gt;0,DE$2,DS29&lt;&gt;0,DS$2,TRUE,"")</f>
        <v/>
      </c>
      <c r="BP29" s="1" t="str" cm="1">
        <f t="array" ref="BP29">+_xlfn.IFS(CD29&lt;&gt;0,CD$2,CR29&lt;&gt;0,CR$2,DF29&lt;&gt;0,DF$2,DT29&lt;&gt;0,DT$2,TRUE,"")</f>
        <v>Upsell</v>
      </c>
      <c r="BQ29" s="1" t="str" cm="1">
        <f t="array" ref="BQ29">+_xlfn.IFS(CE29&lt;&gt;0,CE$2,CS29&lt;&gt;0,CS$2,DG29&lt;&gt;0,DG$2,DU29&lt;&gt;0,DU$2,TRUE,"")</f>
        <v/>
      </c>
      <c r="BS29" s="111"/>
      <c r="BT29" s="110">
        <f t="shared" si="25"/>
        <v>170.05</v>
      </c>
      <c r="BU29" s="110">
        <f t="shared" si="26"/>
        <v>0</v>
      </c>
      <c r="BV29" s="110">
        <f t="shared" si="27"/>
        <v>0</v>
      </c>
      <c r="BW29" s="110">
        <f t="shared" si="28"/>
        <v>0</v>
      </c>
      <c r="BX29" s="110">
        <f t="shared" si="29"/>
        <v>0</v>
      </c>
      <c r="BY29" s="110">
        <f t="shared" si="30"/>
        <v>0</v>
      </c>
      <c r="BZ29" s="110">
        <f t="shared" si="31"/>
        <v>0</v>
      </c>
      <c r="CA29" s="110">
        <f t="shared" si="32"/>
        <v>0</v>
      </c>
      <c r="CB29" s="110">
        <f t="shared" si="33"/>
        <v>0</v>
      </c>
      <c r="CC29" s="110">
        <f t="shared" si="34"/>
        <v>0</v>
      </c>
      <c r="CD29" s="110">
        <f t="shared" si="35"/>
        <v>0</v>
      </c>
      <c r="CE29" s="110">
        <f t="shared" si="36"/>
        <v>0</v>
      </c>
      <c r="CG29" s="111"/>
      <c r="CH29" s="110">
        <f t="shared" si="37"/>
        <v>0</v>
      </c>
      <c r="CI29" s="110">
        <f t="shared" si="38"/>
        <v>0</v>
      </c>
      <c r="CJ29" s="110">
        <f t="shared" si="39"/>
        <v>0</v>
      </c>
      <c r="CK29" s="110">
        <f t="shared" si="40"/>
        <v>0</v>
      </c>
      <c r="CL29" s="110">
        <f t="shared" si="41"/>
        <v>0</v>
      </c>
      <c r="CM29" s="110">
        <f t="shared" si="42"/>
        <v>0</v>
      </c>
      <c r="CN29" s="110">
        <f t="shared" si="43"/>
        <v>0</v>
      </c>
      <c r="CO29" s="110">
        <f t="shared" si="44"/>
        <v>0</v>
      </c>
      <c r="CP29" s="110">
        <f t="shared" si="45"/>
        <v>0</v>
      </c>
      <c r="CQ29" s="110">
        <f t="shared" si="46"/>
        <v>0</v>
      </c>
      <c r="CR29" s="110">
        <f t="shared" si="47"/>
        <v>0</v>
      </c>
      <c r="CS29" s="110">
        <f t="shared" si="48"/>
        <v>0</v>
      </c>
      <c r="CU29" s="111"/>
      <c r="CV29" s="110">
        <f t="shared" si="49"/>
        <v>0</v>
      </c>
      <c r="CW29" s="110">
        <f t="shared" si="50"/>
        <v>0</v>
      </c>
      <c r="CX29" s="110">
        <f t="shared" si="51"/>
        <v>0</v>
      </c>
      <c r="CY29" s="110">
        <f t="shared" si="52"/>
        <v>0</v>
      </c>
      <c r="CZ29" s="110">
        <f t="shared" si="53"/>
        <v>0</v>
      </c>
      <c r="DA29" s="110">
        <f t="shared" si="54"/>
        <v>0</v>
      </c>
      <c r="DB29" s="110">
        <f t="shared" si="55"/>
        <v>0</v>
      </c>
      <c r="DC29" s="110">
        <f t="shared" si="56"/>
        <v>0</v>
      </c>
      <c r="DD29" s="110">
        <f t="shared" si="57"/>
        <v>0</v>
      </c>
      <c r="DE29" s="110">
        <f t="shared" si="58"/>
        <v>0</v>
      </c>
      <c r="DF29" s="110">
        <f t="shared" si="59"/>
        <v>0</v>
      </c>
      <c r="DG29" s="110">
        <f t="shared" si="60"/>
        <v>0</v>
      </c>
      <c r="DI29" s="111"/>
      <c r="DJ29" s="110">
        <f t="shared" si="61"/>
        <v>0</v>
      </c>
      <c r="DK29" s="110">
        <f t="shared" si="62"/>
        <v>0</v>
      </c>
      <c r="DL29" s="110">
        <f t="shared" si="63"/>
        <v>0</v>
      </c>
      <c r="DM29" s="110">
        <f t="shared" si="64"/>
        <v>8.9499999999999886</v>
      </c>
      <c r="DN29" s="110">
        <f t="shared" si="65"/>
        <v>0</v>
      </c>
      <c r="DO29" s="110">
        <f t="shared" si="66"/>
        <v>0</v>
      </c>
      <c r="DP29" s="110">
        <f t="shared" si="67"/>
        <v>0</v>
      </c>
      <c r="DQ29" s="110">
        <f t="shared" si="68"/>
        <v>6.2700000000000102</v>
      </c>
      <c r="DR29" s="110">
        <f t="shared" si="69"/>
        <v>0</v>
      </c>
      <c r="DS29" s="110">
        <f t="shared" si="70"/>
        <v>0</v>
      </c>
      <c r="DT29" s="110">
        <f t="shared" si="71"/>
        <v>6.4799999999999898</v>
      </c>
      <c r="DU29" s="110">
        <f t="shared" si="72"/>
        <v>0</v>
      </c>
      <c r="DW29" s="111"/>
      <c r="DX29" s="110">
        <f t="shared" si="73"/>
        <v>0</v>
      </c>
      <c r="DY29" s="110">
        <f t="shared" si="74"/>
        <v>0</v>
      </c>
      <c r="DZ29" s="110">
        <f t="shared" si="75"/>
        <v>0</v>
      </c>
      <c r="EA29" s="110">
        <f t="shared" si="76"/>
        <v>0</v>
      </c>
      <c r="EB29" s="110">
        <f t="shared" si="77"/>
        <v>0</v>
      </c>
      <c r="EC29" s="110">
        <f t="shared" si="78"/>
        <v>0</v>
      </c>
      <c r="ED29" s="110">
        <f t="shared" si="79"/>
        <v>0</v>
      </c>
      <c r="EE29" s="110">
        <f t="shared" si="80"/>
        <v>0</v>
      </c>
      <c r="EF29" s="110">
        <f t="shared" si="81"/>
        <v>0</v>
      </c>
      <c r="EG29" s="110">
        <f t="shared" si="82"/>
        <v>0</v>
      </c>
      <c r="EH29" s="110">
        <f t="shared" si="83"/>
        <v>0</v>
      </c>
      <c r="EI29" s="110">
        <f t="shared" si="84"/>
        <v>0</v>
      </c>
      <c r="EK29" s="111"/>
      <c r="EL29" s="110">
        <f t="shared" si="85"/>
        <v>179</v>
      </c>
      <c r="EM29" s="110">
        <f t="shared" si="86"/>
        <v>6.2700000000000102</v>
      </c>
      <c r="EN29" s="110">
        <f t="shared" si="87"/>
        <v>6.4799999999999898</v>
      </c>
      <c r="EP29" s="109" cm="1">
        <f t="array" ref="EP29">+IFERROR(INDEX($C$3:$AM$3,MATCH(TRUE,INDEX($C29:$AM29&lt;&gt;0,0),0)),"N/A")</f>
        <v>45016</v>
      </c>
      <c r="EQ29" s="112"/>
      <c r="ER29" s="1" t="str" cm="1">
        <f t="array" ref="ER29">+_xlfn.IFS(EW29&lt;&gt;0,EW$2,FB29&lt;&gt;0,FB$2,FG29&lt;&gt;0,FG$2,FL29&lt;&gt;0,FL$2,TRUE,"")</f>
        <v>New</v>
      </c>
      <c r="ES29" s="1" t="str" cm="1">
        <f t="array" ref="ES29">+_xlfn.IFS(EX29&lt;&gt;0,EX$2,FC29&lt;&gt;0,FC$2,FH29&lt;&gt;0,FH$2,FM29&lt;&gt;0,FM$2,TRUE,"")</f>
        <v>Upsell</v>
      </c>
      <c r="ET29" s="1" t="str" cm="1">
        <f t="array" ref="ET29">+_xlfn.IFS(EY29&lt;&gt;0,EY$2,FD29&lt;&gt;0,FD$2,FI29&lt;&gt;0,FI$2,FN29&lt;&gt;0,FN$2,TRUE,"")</f>
        <v>Upsell</v>
      </c>
      <c r="EV29" s="111"/>
      <c r="EW29" s="110">
        <f t="shared" si="88"/>
        <v>179</v>
      </c>
      <c r="EX29" s="110">
        <f t="shared" si="89"/>
        <v>0</v>
      </c>
      <c r="EY29" s="110">
        <f t="shared" si="90"/>
        <v>0</v>
      </c>
      <c r="FA29" s="111"/>
      <c r="FB29" s="110">
        <f t="shared" si="91"/>
        <v>0</v>
      </c>
      <c r="FC29" s="110">
        <f t="shared" si="92"/>
        <v>0</v>
      </c>
      <c r="FD29" s="110">
        <f t="shared" si="93"/>
        <v>0</v>
      </c>
      <c r="FF29" s="111"/>
      <c r="FG29" s="110">
        <f t="shared" si="94"/>
        <v>0</v>
      </c>
      <c r="FH29" s="110">
        <f t="shared" si="95"/>
        <v>0</v>
      </c>
      <c r="FI29" s="110">
        <f t="shared" si="96"/>
        <v>0</v>
      </c>
      <c r="FK29" s="111"/>
      <c r="FL29" s="110">
        <f t="shared" si="97"/>
        <v>0</v>
      </c>
      <c r="FM29" s="110">
        <f t="shared" si="98"/>
        <v>6.2700000000000102</v>
      </c>
      <c r="FN29" s="110">
        <f t="shared" si="99"/>
        <v>6.4799999999999898</v>
      </c>
      <c r="FP29" s="111"/>
      <c r="FQ29" s="110">
        <f t="shared" si="100"/>
        <v>0</v>
      </c>
      <c r="FR29" s="110">
        <f t="shared" si="101"/>
        <v>0</v>
      </c>
      <c r="FS29" s="110">
        <f t="shared" si="102"/>
        <v>0</v>
      </c>
      <c r="FU29" s="111">
        <f t="shared" si="103"/>
        <v>179</v>
      </c>
      <c r="FV29" s="110">
        <f t="shared" si="104"/>
        <v>179</v>
      </c>
      <c r="FW29" s="110">
        <f t="shared" si="105"/>
        <v>179</v>
      </c>
      <c r="FX29" s="110">
        <f t="shared" si="106"/>
        <v>8.9499999999999886</v>
      </c>
      <c r="FY29" s="110">
        <f t="shared" si="107"/>
        <v>8.9499999999999886</v>
      </c>
      <c r="FZ29" s="110">
        <f t="shared" si="108"/>
        <v>8.9499999999999886</v>
      </c>
      <c r="GA29" s="110">
        <f t="shared" si="109"/>
        <v>8.9499999999999886</v>
      </c>
      <c r="GB29" s="110">
        <f t="shared" si="110"/>
        <v>8.9499999999999886</v>
      </c>
      <c r="GC29" s="110">
        <f t="shared" si="111"/>
        <v>8.9499999999999886</v>
      </c>
      <c r="GD29" s="110">
        <f t="shared" si="112"/>
        <v>8.9499999999999886</v>
      </c>
      <c r="GE29" s="110">
        <f t="shared" si="113"/>
        <v>10.5</v>
      </c>
      <c r="GF29" s="110">
        <f t="shared" si="114"/>
        <v>6.2700000000000102</v>
      </c>
      <c r="GG29" s="110">
        <f t="shared" si="115"/>
        <v>6.2700000000000102</v>
      </c>
      <c r="GH29" s="110">
        <f t="shared" si="116"/>
        <v>6.2700000000000102</v>
      </c>
      <c r="GI29" s="110">
        <f t="shared" si="117"/>
        <v>6.2700000000000102</v>
      </c>
      <c r="GJ29" s="110">
        <f t="shared" si="118"/>
        <v>6.2700000000000102</v>
      </c>
      <c r="GK29" s="110">
        <f t="shared" si="119"/>
        <v>6.2700000000000102</v>
      </c>
      <c r="GL29" s="110">
        <f t="shared" si="120"/>
        <v>6.2700000000000102</v>
      </c>
      <c r="GM29" s="110">
        <f t="shared" si="121"/>
        <v>6.2700000000000102</v>
      </c>
      <c r="GN29" s="110">
        <f t="shared" si="122"/>
        <v>6.2700000000000102</v>
      </c>
      <c r="GO29" s="110">
        <f t="shared" si="123"/>
        <v>6.2700000000000102</v>
      </c>
      <c r="GP29" s="110">
        <f t="shared" si="124"/>
        <v>12.75</v>
      </c>
      <c r="GQ29" s="110">
        <f t="shared" si="125"/>
        <v>2.25</v>
      </c>
      <c r="GR29" s="110">
        <f t="shared" si="126"/>
        <v>6.4799999999999898</v>
      </c>
      <c r="GS29" s="110">
        <f t="shared" si="127"/>
        <v>6.4799999999999898</v>
      </c>
      <c r="GU29" s="109" cm="1">
        <f t="array" ref="GU29">+IFERROR(INDEX($C$3:$AM$3,MATCH(TRUE,INDEX($C29:$AM29&lt;&gt;0,0),0)),"N/A")</f>
        <v>45016</v>
      </c>
      <c r="GV29" s="112" t="str" cm="1">
        <f t="array" ref="GV29">+_xlfn.IFS(HV29&lt;&gt;0,HV$2,IV29&lt;&gt;0,IV$2,JV29&lt;&gt;0,JV$2,KV29&lt;&gt;0,KV$2,TRUE,"")</f>
        <v>New</v>
      </c>
      <c r="GW29" s="1" t="str" cm="1">
        <f t="array" ref="GW29">+_xlfn.IFS(HW29&lt;&gt;0,HW$2,IW29&lt;&gt;0,IW$2,JW29&lt;&gt;0,JW$2,KW29&lt;&gt;0,KW$2,TRUE,"")</f>
        <v>New</v>
      </c>
      <c r="GX29" s="1" t="str" cm="1">
        <f t="array" ref="GX29">+_xlfn.IFS(HX29&lt;&gt;0,HX$2,IX29&lt;&gt;0,IX$2,JX29&lt;&gt;0,JX$2,KX29&lt;&gt;0,KX$2,TRUE,"")</f>
        <v>New</v>
      </c>
      <c r="GY29" s="1" t="str" cm="1">
        <f t="array" ref="GY29">+_xlfn.IFS(HY29&lt;&gt;0,HY$2,IY29&lt;&gt;0,IY$2,JY29&lt;&gt;0,JY$2,KY29&lt;&gt;0,KY$2,TRUE,"")</f>
        <v>Upsell</v>
      </c>
      <c r="GZ29" s="1" t="str" cm="1">
        <f t="array" ref="GZ29">+_xlfn.IFS(HZ29&lt;&gt;0,HZ$2,IZ29&lt;&gt;0,IZ$2,JZ29&lt;&gt;0,JZ$2,KZ29&lt;&gt;0,KZ$2,TRUE,"")</f>
        <v>Upsell</v>
      </c>
      <c r="HA29" s="1" t="str" cm="1">
        <f t="array" ref="HA29">+_xlfn.IFS(IA29&lt;&gt;0,IA$2,JA29&lt;&gt;0,JA$2,KA29&lt;&gt;0,KA$2,LA29&lt;&gt;0,LA$2,TRUE,"")</f>
        <v>Upsell</v>
      </c>
      <c r="HB29" s="1" t="str" cm="1">
        <f t="array" ref="HB29">+_xlfn.IFS(IB29&lt;&gt;0,IB$2,JB29&lt;&gt;0,JB$2,KB29&lt;&gt;0,KB$2,LB29&lt;&gt;0,LB$2,TRUE,"")</f>
        <v>Upsell</v>
      </c>
      <c r="HC29" s="1" t="str" cm="1">
        <f t="array" ref="HC29">+_xlfn.IFS(IC29&lt;&gt;0,IC$2,JC29&lt;&gt;0,JC$2,KC29&lt;&gt;0,KC$2,LC29&lt;&gt;0,LC$2,TRUE,"")</f>
        <v>Upsell</v>
      </c>
      <c r="HD29" s="1" t="str" cm="1">
        <f t="array" ref="HD29">+_xlfn.IFS(ID29&lt;&gt;0,ID$2,JD29&lt;&gt;0,JD$2,KD29&lt;&gt;0,KD$2,LD29&lt;&gt;0,LD$2,TRUE,"")</f>
        <v>Upsell</v>
      </c>
      <c r="HE29" s="1" t="str" cm="1">
        <f t="array" ref="HE29">+_xlfn.IFS(IE29&lt;&gt;0,IE$2,JE29&lt;&gt;0,JE$2,KE29&lt;&gt;0,KE$2,LE29&lt;&gt;0,LE$2,TRUE,"")</f>
        <v>Upsell</v>
      </c>
      <c r="HF29" s="1" t="str" cm="1">
        <f t="array" ref="HF29">+_xlfn.IFS(IF29&lt;&gt;0,IF$2,JF29&lt;&gt;0,JF$2,KF29&lt;&gt;0,KF$2,LF29&lt;&gt;0,LF$2,TRUE,"")</f>
        <v>Upsell</v>
      </c>
      <c r="HG29" s="1" t="str" cm="1">
        <f t="array" ref="HG29">+_xlfn.IFS(IG29&lt;&gt;0,IG$2,JG29&lt;&gt;0,JG$2,KG29&lt;&gt;0,KG$2,LG29&lt;&gt;0,LG$2,TRUE,"")</f>
        <v>Upsell</v>
      </c>
      <c r="HH29" s="1" t="str" cm="1">
        <f t="array" ref="HH29">+_xlfn.IFS(IH29&lt;&gt;0,IH$2,JH29&lt;&gt;0,JH$2,KH29&lt;&gt;0,KH$2,LH29&lt;&gt;0,LH$2,TRUE,"")</f>
        <v>Upsell</v>
      </c>
      <c r="HI29" s="1" t="str" cm="1">
        <f t="array" ref="HI29">+_xlfn.IFS(II29&lt;&gt;0,II$2,JI29&lt;&gt;0,JI$2,KI29&lt;&gt;0,KI$2,LI29&lt;&gt;0,LI$2,TRUE,"")</f>
        <v>Upsell</v>
      </c>
      <c r="HJ29" s="1" t="str" cm="1">
        <f t="array" ref="HJ29">+_xlfn.IFS(IJ29&lt;&gt;0,IJ$2,JJ29&lt;&gt;0,JJ$2,KJ29&lt;&gt;0,KJ$2,LJ29&lt;&gt;0,LJ$2,TRUE,"")</f>
        <v>Upsell</v>
      </c>
      <c r="HK29" s="1" t="str" cm="1">
        <f t="array" ref="HK29">+_xlfn.IFS(IK29&lt;&gt;0,IK$2,JK29&lt;&gt;0,JK$2,KK29&lt;&gt;0,KK$2,LK29&lt;&gt;0,LK$2,TRUE,"")</f>
        <v>Upsell</v>
      </c>
      <c r="HL29" s="1" t="str" cm="1">
        <f t="array" ref="HL29">+_xlfn.IFS(IL29&lt;&gt;0,IL$2,JL29&lt;&gt;0,JL$2,KL29&lt;&gt;0,KL$2,LL29&lt;&gt;0,LL$2,TRUE,"")</f>
        <v>Upsell</v>
      </c>
      <c r="HM29" s="1" t="str" cm="1">
        <f t="array" ref="HM29">+_xlfn.IFS(IM29&lt;&gt;0,IM$2,JM29&lt;&gt;0,JM$2,KM29&lt;&gt;0,KM$2,LM29&lt;&gt;0,LM$2,TRUE,"")</f>
        <v>Upsell</v>
      </c>
      <c r="HN29" s="1" t="str" cm="1">
        <f t="array" ref="HN29">+_xlfn.IFS(IN29&lt;&gt;0,IN$2,JN29&lt;&gt;0,JN$2,KN29&lt;&gt;0,KN$2,LN29&lt;&gt;0,LN$2,TRUE,"")</f>
        <v>Upsell</v>
      </c>
      <c r="HO29" s="1" t="str" cm="1">
        <f t="array" ref="HO29">+_xlfn.IFS(IO29&lt;&gt;0,IO$2,JO29&lt;&gt;0,JO$2,KO29&lt;&gt;0,KO$2,LO29&lt;&gt;0,LO$2,TRUE,"")</f>
        <v>Upsell</v>
      </c>
      <c r="HP29" s="1" t="str" cm="1">
        <f t="array" ref="HP29">+_xlfn.IFS(IP29&lt;&gt;0,IP$2,JP29&lt;&gt;0,JP$2,KP29&lt;&gt;0,KP$2,LP29&lt;&gt;0,LP$2,TRUE,"")</f>
        <v>Upsell</v>
      </c>
      <c r="HQ29" s="1" t="str" cm="1">
        <f t="array" ref="HQ29">+_xlfn.IFS(IQ29&lt;&gt;0,IQ$2,JQ29&lt;&gt;0,JQ$2,KQ29&lt;&gt;0,KQ$2,LQ29&lt;&gt;0,LQ$2,TRUE,"")</f>
        <v>Upsell</v>
      </c>
      <c r="HR29" s="1" t="str" cm="1">
        <f t="array" ref="HR29">+_xlfn.IFS(IR29&lt;&gt;0,IR$2,JR29&lt;&gt;0,JR$2,KR29&lt;&gt;0,KR$2,LR29&lt;&gt;0,LR$2,TRUE,"")</f>
        <v>Upsell</v>
      </c>
      <c r="HS29" s="1" t="str" cm="1">
        <f t="array" ref="HS29">+_xlfn.IFS(IS29&lt;&gt;0,IS$2,JS29&lt;&gt;0,JS$2,KS29&lt;&gt;0,KS$2,LS29&lt;&gt;0,LS$2,TRUE,"")</f>
        <v>Upsell</v>
      </c>
      <c r="HT29" s="1" t="str" cm="1">
        <f t="array" ref="HT29">+_xlfn.IFS(IT29&lt;&gt;0,IT$2,JT29&lt;&gt;0,JT$2,KT29&lt;&gt;0,KT$2,LT29&lt;&gt;0,LT$2,TRUE,"")</f>
        <v>Upsell</v>
      </c>
      <c r="HV29" s="111">
        <f t="shared" si="128"/>
        <v>179</v>
      </c>
      <c r="HW29" s="110">
        <f t="shared" si="129"/>
        <v>179</v>
      </c>
      <c r="HX29" s="110">
        <f t="shared" si="130"/>
        <v>179</v>
      </c>
      <c r="HY29" s="110">
        <f t="shared" si="131"/>
        <v>0</v>
      </c>
      <c r="HZ29" s="110">
        <f t="shared" si="132"/>
        <v>0</v>
      </c>
      <c r="IA29" s="110">
        <f t="shared" si="133"/>
        <v>0</v>
      </c>
      <c r="IB29" s="110">
        <f t="shared" si="134"/>
        <v>0</v>
      </c>
      <c r="IC29" s="110">
        <f t="shared" si="135"/>
        <v>0</v>
      </c>
      <c r="ID29" s="110">
        <f t="shared" si="136"/>
        <v>0</v>
      </c>
      <c r="IE29" s="110">
        <f t="shared" si="137"/>
        <v>0</v>
      </c>
      <c r="IF29" s="110">
        <f t="shared" si="138"/>
        <v>0</v>
      </c>
      <c r="IG29" s="110">
        <f t="shared" si="139"/>
        <v>0</v>
      </c>
      <c r="IH29" s="110">
        <f t="shared" si="140"/>
        <v>0</v>
      </c>
      <c r="II29" s="110">
        <f t="shared" si="141"/>
        <v>0</v>
      </c>
      <c r="IJ29" s="110">
        <f t="shared" si="142"/>
        <v>0</v>
      </c>
      <c r="IK29" s="110">
        <f t="shared" si="143"/>
        <v>0</v>
      </c>
      <c r="IL29" s="110">
        <f t="shared" si="144"/>
        <v>0</v>
      </c>
      <c r="IM29" s="110">
        <f t="shared" si="145"/>
        <v>0</v>
      </c>
      <c r="IN29" s="110">
        <f t="shared" si="146"/>
        <v>0</v>
      </c>
      <c r="IO29" s="110">
        <f t="shared" si="147"/>
        <v>0</v>
      </c>
      <c r="IP29" s="110">
        <f t="shared" si="148"/>
        <v>0</v>
      </c>
      <c r="IQ29" s="110">
        <f t="shared" si="149"/>
        <v>0</v>
      </c>
      <c r="IR29" s="110">
        <f t="shared" si="150"/>
        <v>0</v>
      </c>
      <c r="IS29" s="110">
        <f t="shared" si="151"/>
        <v>0</v>
      </c>
      <c r="IT29" s="110">
        <f t="shared" si="152"/>
        <v>0</v>
      </c>
      <c r="IV29" s="111">
        <f t="shared" si="153"/>
        <v>0</v>
      </c>
      <c r="IW29" s="110">
        <f t="shared" si="154"/>
        <v>0</v>
      </c>
      <c r="IX29" s="110">
        <f t="shared" si="155"/>
        <v>0</v>
      </c>
      <c r="IY29" s="110">
        <f t="shared" si="156"/>
        <v>0</v>
      </c>
      <c r="IZ29" s="110">
        <f t="shared" si="157"/>
        <v>0</v>
      </c>
      <c r="JA29" s="110">
        <f t="shared" si="158"/>
        <v>0</v>
      </c>
      <c r="JB29" s="110">
        <f t="shared" si="159"/>
        <v>0</v>
      </c>
      <c r="JC29" s="110">
        <f t="shared" si="160"/>
        <v>0</v>
      </c>
      <c r="JD29" s="110">
        <f t="shared" si="161"/>
        <v>0</v>
      </c>
      <c r="JE29" s="110">
        <f t="shared" si="162"/>
        <v>0</v>
      </c>
      <c r="JF29" s="110">
        <f t="shared" si="163"/>
        <v>0</v>
      </c>
      <c r="JG29" s="110">
        <f t="shared" si="164"/>
        <v>0</v>
      </c>
      <c r="JH29" s="110">
        <f t="shared" si="165"/>
        <v>0</v>
      </c>
      <c r="JI29" s="110">
        <f t="shared" si="166"/>
        <v>0</v>
      </c>
      <c r="JJ29" s="110">
        <f t="shared" si="167"/>
        <v>0</v>
      </c>
      <c r="JK29" s="110">
        <f t="shared" si="168"/>
        <v>0</v>
      </c>
      <c r="JL29" s="110">
        <f t="shared" si="169"/>
        <v>0</v>
      </c>
      <c r="JM29" s="110">
        <f t="shared" si="170"/>
        <v>0</v>
      </c>
      <c r="JN29" s="110">
        <f t="shared" si="171"/>
        <v>0</v>
      </c>
      <c r="JO29" s="110">
        <f t="shared" si="172"/>
        <v>0</v>
      </c>
      <c r="JP29" s="110">
        <f t="shared" si="173"/>
        <v>0</v>
      </c>
      <c r="JQ29" s="110">
        <f t="shared" si="174"/>
        <v>0</v>
      </c>
      <c r="JR29" s="110">
        <f t="shared" si="175"/>
        <v>0</v>
      </c>
      <c r="JS29" s="110">
        <f t="shared" si="176"/>
        <v>0</v>
      </c>
      <c r="JT29" s="110">
        <f t="shared" si="177"/>
        <v>0</v>
      </c>
      <c r="JV29" s="111">
        <f t="shared" si="178"/>
        <v>0</v>
      </c>
      <c r="JW29" s="110">
        <f t="shared" si="179"/>
        <v>0</v>
      </c>
      <c r="JX29" s="110">
        <f t="shared" si="180"/>
        <v>0</v>
      </c>
      <c r="JY29" s="110">
        <f t="shared" si="181"/>
        <v>0</v>
      </c>
      <c r="JZ29" s="110">
        <f t="shared" si="182"/>
        <v>0</v>
      </c>
      <c r="KA29" s="110">
        <f t="shared" si="183"/>
        <v>0</v>
      </c>
      <c r="KB29" s="110">
        <f t="shared" si="184"/>
        <v>0</v>
      </c>
      <c r="KC29" s="110">
        <f t="shared" si="185"/>
        <v>0</v>
      </c>
      <c r="KD29" s="110">
        <f t="shared" si="186"/>
        <v>0</v>
      </c>
      <c r="KE29" s="110">
        <f t="shared" si="187"/>
        <v>0</v>
      </c>
      <c r="KF29" s="110">
        <f t="shared" si="188"/>
        <v>0</v>
      </c>
      <c r="KG29" s="110">
        <f t="shared" si="189"/>
        <v>0</v>
      </c>
      <c r="KH29" s="110">
        <f t="shared" si="190"/>
        <v>0</v>
      </c>
      <c r="KI29" s="110">
        <f t="shared" si="191"/>
        <v>0</v>
      </c>
      <c r="KJ29" s="110">
        <f t="shared" si="192"/>
        <v>0</v>
      </c>
      <c r="KK29" s="110">
        <f t="shared" si="193"/>
        <v>0</v>
      </c>
      <c r="KL29" s="110">
        <f t="shared" si="194"/>
        <v>0</v>
      </c>
      <c r="KM29" s="110">
        <f t="shared" si="195"/>
        <v>0</v>
      </c>
      <c r="KN29" s="110">
        <f t="shared" si="196"/>
        <v>0</v>
      </c>
      <c r="KO29" s="110">
        <f t="shared" si="197"/>
        <v>0</v>
      </c>
      <c r="KP29" s="110">
        <f t="shared" si="198"/>
        <v>0</v>
      </c>
      <c r="KQ29" s="110">
        <f t="shared" si="199"/>
        <v>0</v>
      </c>
      <c r="KR29" s="110">
        <f t="shared" si="200"/>
        <v>0</v>
      </c>
      <c r="KS29" s="110">
        <f t="shared" si="201"/>
        <v>0</v>
      </c>
      <c r="KT29" s="110">
        <f t="shared" si="202"/>
        <v>0</v>
      </c>
      <c r="KV29" s="111">
        <f t="shared" si="203"/>
        <v>0</v>
      </c>
      <c r="KW29" s="110">
        <f t="shared" si="204"/>
        <v>0</v>
      </c>
      <c r="KX29" s="110">
        <f t="shared" si="205"/>
        <v>0</v>
      </c>
      <c r="KY29" s="110">
        <f t="shared" si="206"/>
        <v>8.9499999999999886</v>
      </c>
      <c r="KZ29" s="110">
        <f t="shared" si="207"/>
        <v>8.9499999999999886</v>
      </c>
      <c r="LA29" s="110">
        <f t="shared" si="208"/>
        <v>8.9499999999999886</v>
      </c>
      <c r="LB29" s="110">
        <f t="shared" si="209"/>
        <v>8.9499999999999886</v>
      </c>
      <c r="LC29" s="110">
        <f t="shared" si="210"/>
        <v>8.9499999999999886</v>
      </c>
      <c r="LD29" s="110">
        <f t="shared" si="211"/>
        <v>8.9499999999999886</v>
      </c>
      <c r="LE29" s="110">
        <f t="shared" si="212"/>
        <v>8.9499999999999886</v>
      </c>
      <c r="LF29" s="110">
        <f t="shared" si="213"/>
        <v>10.5</v>
      </c>
      <c r="LG29" s="110">
        <f t="shared" si="214"/>
        <v>6.2700000000000102</v>
      </c>
      <c r="LH29" s="110">
        <f t="shared" si="215"/>
        <v>6.2700000000000102</v>
      </c>
      <c r="LI29" s="110">
        <f t="shared" si="216"/>
        <v>6.2700000000000102</v>
      </c>
      <c r="LJ29" s="110">
        <f t="shared" si="217"/>
        <v>6.2700000000000102</v>
      </c>
      <c r="LK29" s="110">
        <f t="shared" si="218"/>
        <v>6.2700000000000102</v>
      </c>
      <c r="LL29" s="110">
        <f t="shared" si="219"/>
        <v>6.2700000000000102</v>
      </c>
      <c r="LM29" s="110">
        <f t="shared" si="220"/>
        <v>6.2700000000000102</v>
      </c>
      <c r="LN29" s="110">
        <f t="shared" si="221"/>
        <v>6.2700000000000102</v>
      </c>
      <c r="LO29" s="110">
        <f t="shared" si="222"/>
        <v>6.2700000000000102</v>
      </c>
      <c r="LP29" s="110">
        <f t="shared" si="223"/>
        <v>6.2700000000000102</v>
      </c>
      <c r="LQ29" s="110">
        <f t="shared" si="224"/>
        <v>12.75</v>
      </c>
      <c r="LR29" s="110">
        <f t="shared" si="225"/>
        <v>2.25</v>
      </c>
      <c r="LS29" s="110">
        <f t="shared" si="226"/>
        <v>6.4799999999999898</v>
      </c>
      <c r="LT29" s="110">
        <f t="shared" si="227"/>
        <v>6.4799999999999898</v>
      </c>
      <c r="LV29" s="111"/>
      <c r="LW29" s="110">
        <f t="shared" si="228"/>
        <v>0</v>
      </c>
      <c r="LX29" s="110">
        <f t="shared" si="229"/>
        <v>0</v>
      </c>
      <c r="LY29" s="110">
        <f t="shared" si="230"/>
        <v>0</v>
      </c>
      <c r="LZ29" s="110">
        <f t="shared" si="231"/>
        <v>0</v>
      </c>
      <c r="MA29" s="110">
        <f t="shared" si="232"/>
        <v>0</v>
      </c>
      <c r="MB29" s="110">
        <f t="shared" si="233"/>
        <v>0</v>
      </c>
      <c r="MC29" s="110">
        <f t="shared" si="234"/>
        <v>0</v>
      </c>
      <c r="MD29" s="110">
        <f t="shared" si="235"/>
        <v>0</v>
      </c>
      <c r="ME29" s="110">
        <f t="shared" si="236"/>
        <v>0</v>
      </c>
      <c r="MF29" s="110">
        <f t="shared" si="237"/>
        <v>0</v>
      </c>
      <c r="MG29" s="110">
        <f t="shared" si="238"/>
        <v>0</v>
      </c>
      <c r="MH29" s="110">
        <f t="shared" si="239"/>
        <v>0</v>
      </c>
      <c r="MI29" s="110">
        <f t="shared" si="240"/>
        <v>0</v>
      </c>
      <c r="MJ29" s="110">
        <f t="shared" si="241"/>
        <v>0</v>
      </c>
      <c r="MK29" s="110">
        <f t="shared" si="242"/>
        <v>0</v>
      </c>
      <c r="ML29" s="110">
        <f t="shared" si="243"/>
        <v>0</v>
      </c>
      <c r="MM29" s="110">
        <f t="shared" si="244"/>
        <v>0</v>
      </c>
      <c r="MN29" s="110">
        <f t="shared" si="245"/>
        <v>0</v>
      </c>
      <c r="MO29" s="110">
        <f t="shared" si="246"/>
        <v>0</v>
      </c>
      <c r="MP29" s="110">
        <f t="shared" si="247"/>
        <v>0</v>
      </c>
      <c r="MQ29" s="110">
        <f t="shared" si="248"/>
        <v>0</v>
      </c>
      <c r="MR29" s="110">
        <f t="shared" si="249"/>
        <v>0</v>
      </c>
      <c r="MS29" s="110">
        <f t="shared" si="250"/>
        <v>0</v>
      </c>
      <c r="MT29" s="110">
        <f t="shared" si="251"/>
        <v>0</v>
      </c>
      <c r="MV29" s="114">
        <v>191.75</v>
      </c>
      <c r="MW29" s="114">
        <v>0</v>
      </c>
      <c r="MX29" s="114">
        <v>6.4799999999999898</v>
      </c>
      <c r="MY29" s="114">
        <v>0</v>
      </c>
      <c r="MZ29" s="114">
        <v>0</v>
      </c>
      <c r="NB29" s="115">
        <v>52</v>
      </c>
      <c r="NC29" s="115" t="str">
        <v>N/A</v>
      </c>
      <c r="ND29" s="115">
        <v>36</v>
      </c>
      <c r="NE29" s="115" t="str">
        <v>N/A</v>
      </c>
      <c r="NF29" s="115" t="str">
        <v>N/A</v>
      </c>
    </row>
    <row r="30" spans="1:370" ht="13.5" x14ac:dyDescent="0.25">
      <c r="B30" s="8">
        <f t="shared" si="252"/>
        <v>27</v>
      </c>
      <c r="C30" s="7">
        <v>0</v>
      </c>
      <c r="D30" s="7">
        <v>0</v>
      </c>
      <c r="E30" s="7">
        <v>0</v>
      </c>
      <c r="F30" s="7">
        <v>245.65</v>
      </c>
      <c r="G30" s="7">
        <v>245.65</v>
      </c>
      <c r="H30" s="7">
        <v>245.65</v>
      </c>
      <c r="I30" s="7">
        <v>245.65</v>
      </c>
      <c r="J30" s="7">
        <v>245.65</v>
      </c>
      <c r="K30" s="7">
        <v>245.65</v>
      </c>
      <c r="L30" s="7">
        <v>245.65</v>
      </c>
      <c r="M30" s="7">
        <v>245.65</v>
      </c>
      <c r="N30" s="7">
        <v>245.65</v>
      </c>
      <c r="O30" s="7">
        <v>245.65</v>
      </c>
      <c r="P30" s="7">
        <v>245.65</v>
      </c>
      <c r="Q30" s="7">
        <v>245.65</v>
      </c>
      <c r="R30" s="7">
        <v>245.65</v>
      </c>
      <c r="S30" s="7">
        <v>245.65</v>
      </c>
      <c r="T30" s="7">
        <v>245.65</v>
      </c>
      <c r="U30" s="7">
        <v>245.65</v>
      </c>
      <c r="V30" s="7">
        <v>245.65</v>
      </c>
      <c r="W30" s="7">
        <v>245.65</v>
      </c>
      <c r="X30" s="7">
        <v>245.65</v>
      </c>
      <c r="Y30" s="7">
        <v>257.29000000000002</v>
      </c>
      <c r="Z30" s="7">
        <v>254.25</v>
      </c>
      <c r="AA30" s="7">
        <v>254.25</v>
      </c>
      <c r="AB30" s="7">
        <v>254.25</v>
      </c>
      <c r="AC30" s="7">
        <v>254.25</v>
      </c>
      <c r="AD30" s="7">
        <v>254.25</v>
      </c>
      <c r="AE30" s="7">
        <v>254.25</v>
      </c>
      <c r="AF30" s="7">
        <v>254.25</v>
      </c>
      <c r="AG30" s="7">
        <v>254.25</v>
      </c>
      <c r="AH30" s="7">
        <v>254.25</v>
      </c>
      <c r="AI30" s="7">
        <v>254.25</v>
      </c>
      <c r="AJ30" s="7">
        <v>254.25</v>
      </c>
      <c r="AK30" s="7">
        <v>254.25</v>
      </c>
      <c r="AL30" s="7">
        <v>254.25</v>
      </c>
      <c r="AM30" s="7">
        <v>254.25</v>
      </c>
      <c r="AN30" s="27">
        <v>27</v>
      </c>
      <c r="AP30" s="111"/>
      <c r="AQ30" s="110">
        <f t="shared" si="13"/>
        <v>245.65</v>
      </c>
      <c r="AR30" s="110">
        <f t="shared" si="14"/>
        <v>0</v>
      </c>
      <c r="AS30" s="110">
        <f t="shared" si="15"/>
        <v>0</v>
      </c>
      <c r="AT30" s="110">
        <f t="shared" si="16"/>
        <v>0</v>
      </c>
      <c r="AU30" s="110">
        <f t="shared" si="17"/>
        <v>0</v>
      </c>
      <c r="AV30" s="110">
        <f t="shared" si="18"/>
        <v>0</v>
      </c>
      <c r="AW30" s="110">
        <f t="shared" si="19"/>
        <v>0</v>
      </c>
      <c r="AX30" s="110">
        <f t="shared" si="20"/>
        <v>8.5999999999999943</v>
      </c>
      <c r="AY30" s="110">
        <f t="shared" si="21"/>
        <v>0</v>
      </c>
      <c r="AZ30" s="110">
        <f t="shared" si="22"/>
        <v>0</v>
      </c>
      <c r="BA30" s="110">
        <f t="shared" si="23"/>
        <v>0</v>
      </c>
      <c r="BB30" s="110">
        <f t="shared" si="24"/>
        <v>0</v>
      </c>
      <c r="BD30" s="109" cm="1">
        <f t="array" ref="BD30">+IFERROR(INDEX($C$3:$AM$3,MATCH(TRUE,INDEX($C30:$AM30&lt;&gt;0,0),0)),"N/A")</f>
        <v>45016</v>
      </c>
      <c r="BE30" s="112"/>
      <c r="BF30" s="1" t="str" cm="1">
        <f t="array" ref="BF30">+_xlfn.IFS(BT30&lt;&gt;0,BT$2,CH30&lt;&gt;0,CH$2,CV30&lt;&gt;0,CV$2,DJ30&lt;&gt;0,DJ$2,TRUE,"")</f>
        <v>New</v>
      </c>
      <c r="BG30" s="1" t="str" cm="1">
        <f t="array" ref="BG30">+_xlfn.IFS(BU30&lt;&gt;0,BU$2,CI30&lt;&gt;0,CI$2,CW30&lt;&gt;0,CW$2,DK30&lt;&gt;0,DK$2,TRUE,"")</f>
        <v/>
      </c>
      <c r="BH30" s="1" t="str" cm="1">
        <f t="array" ref="BH30">+_xlfn.IFS(BV30&lt;&gt;0,BV$2,CJ30&lt;&gt;0,CJ$2,CX30&lt;&gt;0,CX$2,DL30&lt;&gt;0,DL$2,TRUE,"")</f>
        <v/>
      </c>
      <c r="BI30" s="1" t="str" cm="1">
        <f t="array" ref="BI30">+_xlfn.IFS(BW30&lt;&gt;0,BW$2,CK30&lt;&gt;0,CK$2,CY30&lt;&gt;0,CY$2,DM30&lt;&gt;0,DM$2,TRUE,"")</f>
        <v/>
      </c>
      <c r="BJ30" s="1" t="str" cm="1">
        <f t="array" ref="BJ30">+_xlfn.IFS(BX30&lt;&gt;0,BX$2,CL30&lt;&gt;0,CL$2,CZ30&lt;&gt;0,CZ$2,DN30&lt;&gt;0,DN$2,TRUE,"")</f>
        <v/>
      </c>
      <c r="BK30" s="1" t="str" cm="1">
        <f t="array" ref="BK30">+_xlfn.IFS(BY30&lt;&gt;0,BY$2,CM30&lt;&gt;0,CM$2,DA30&lt;&gt;0,DA$2,DO30&lt;&gt;0,DO$2,TRUE,"")</f>
        <v/>
      </c>
      <c r="BL30" s="1" t="str" cm="1">
        <f t="array" ref="BL30">+_xlfn.IFS(BZ30&lt;&gt;0,BZ$2,CN30&lt;&gt;0,CN$2,DB30&lt;&gt;0,DB$2,DP30&lt;&gt;0,DP$2,TRUE,"")</f>
        <v/>
      </c>
      <c r="BM30" s="1" t="str" cm="1">
        <f t="array" ref="BM30">+_xlfn.IFS(CA30&lt;&gt;0,CA$2,CO30&lt;&gt;0,CO$2,DC30&lt;&gt;0,DC$2,DQ30&lt;&gt;0,DQ$2,TRUE,"")</f>
        <v>Upsell</v>
      </c>
      <c r="BN30" s="1" t="str" cm="1">
        <f t="array" ref="BN30">+_xlfn.IFS(CB30&lt;&gt;0,CB$2,CP30&lt;&gt;0,CP$2,DD30&lt;&gt;0,DD$2,DR30&lt;&gt;0,DR$2,TRUE,"")</f>
        <v/>
      </c>
      <c r="BO30" s="1" t="str" cm="1">
        <f t="array" ref="BO30">+_xlfn.IFS(CC30&lt;&gt;0,CC$2,CQ30&lt;&gt;0,CQ$2,DE30&lt;&gt;0,DE$2,DS30&lt;&gt;0,DS$2,TRUE,"")</f>
        <v/>
      </c>
      <c r="BP30" s="1" t="str" cm="1">
        <f t="array" ref="BP30">+_xlfn.IFS(CD30&lt;&gt;0,CD$2,CR30&lt;&gt;0,CR$2,DF30&lt;&gt;0,DF$2,DT30&lt;&gt;0,DT$2,TRUE,"")</f>
        <v/>
      </c>
      <c r="BQ30" s="1" t="str" cm="1">
        <f t="array" ref="BQ30">+_xlfn.IFS(CE30&lt;&gt;0,CE$2,CS30&lt;&gt;0,CS$2,DG30&lt;&gt;0,DG$2,DU30&lt;&gt;0,DU$2,TRUE,"")</f>
        <v/>
      </c>
      <c r="BS30" s="111"/>
      <c r="BT30" s="110">
        <f t="shared" si="25"/>
        <v>245.65</v>
      </c>
      <c r="BU30" s="110">
        <f t="shared" si="26"/>
        <v>0</v>
      </c>
      <c r="BV30" s="110">
        <f t="shared" si="27"/>
        <v>0</v>
      </c>
      <c r="BW30" s="110">
        <f t="shared" si="28"/>
        <v>0</v>
      </c>
      <c r="BX30" s="110">
        <f t="shared" si="29"/>
        <v>0</v>
      </c>
      <c r="BY30" s="110">
        <f t="shared" si="30"/>
        <v>0</v>
      </c>
      <c r="BZ30" s="110">
        <f t="shared" si="31"/>
        <v>0</v>
      </c>
      <c r="CA30" s="110">
        <f t="shared" si="32"/>
        <v>0</v>
      </c>
      <c r="CB30" s="110">
        <f t="shared" si="33"/>
        <v>0</v>
      </c>
      <c r="CC30" s="110">
        <f t="shared" si="34"/>
        <v>0</v>
      </c>
      <c r="CD30" s="110">
        <f t="shared" si="35"/>
        <v>0</v>
      </c>
      <c r="CE30" s="110">
        <f t="shared" si="36"/>
        <v>0</v>
      </c>
      <c r="CG30" s="111"/>
      <c r="CH30" s="110">
        <f t="shared" si="37"/>
        <v>0</v>
      </c>
      <c r="CI30" s="110">
        <f t="shared" si="38"/>
        <v>0</v>
      </c>
      <c r="CJ30" s="110">
        <f t="shared" si="39"/>
        <v>0</v>
      </c>
      <c r="CK30" s="110">
        <f t="shared" si="40"/>
        <v>0</v>
      </c>
      <c r="CL30" s="110">
        <f t="shared" si="41"/>
        <v>0</v>
      </c>
      <c r="CM30" s="110">
        <f t="shared" si="42"/>
        <v>0</v>
      </c>
      <c r="CN30" s="110">
        <f t="shared" si="43"/>
        <v>0</v>
      </c>
      <c r="CO30" s="110">
        <f t="shared" si="44"/>
        <v>0</v>
      </c>
      <c r="CP30" s="110">
        <f t="shared" si="45"/>
        <v>0</v>
      </c>
      <c r="CQ30" s="110">
        <f t="shared" si="46"/>
        <v>0</v>
      </c>
      <c r="CR30" s="110">
        <f t="shared" si="47"/>
        <v>0</v>
      </c>
      <c r="CS30" s="110">
        <f t="shared" si="48"/>
        <v>0</v>
      </c>
      <c r="CU30" s="111"/>
      <c r="CV30" s="110">
        <f t="shared" si="49"/>
        <v>0</v>
      </c>
      <c r="CW30" s="110">
        <f t="shared" si="50"/>
        <v>0</v>
      </c>
      <c r="CX30" s="110">
        <f t="shared" si="51"/>
        <v>0</v>
      </c>
      <c r="CY30" s="110">
        <f t="shared" si="52"/>
        <v>0</v>
      </c>
      <c r="CZ30" s="110">
        <f t="shared" si="53"/>
        <v>0</v>
      </c>
      <c r="DA30" s="110">
        <f t="shared" si="54"/>
        <v>0</v>
      </c>
      <c r="DB30" s="110">
        <f t="shared" si="55"/>
        <v>0</v>
      </c>
      <c r="DC30" s="110">
        <f t="shared" si="56"/>
        <v>0</v>
      </c>
      <c r="DD30" s="110">
        <f t="shared" si="57"/>
        <v>0</v>
      </c>
      <c r="DE30" s="110">
        <f t="shared" si="58"/>
        <v>0</v>
      </c>
      <c r="DF30" s="110">
        <f t="shared" si="59"/>
        <v>0</v>
      </c>
      <c r="DG30" s="110">
        <f t="shared" si="60"/>
        <v>0</v>
      </c>
      <c r="DI30" s="111"/>
      <c r="DJ30" s="110">
        <f t="shared" si="61"/>
        <v>0</v>
      </c>
      <c r="DK30" s="110">
        <f t="shared" si="62"/>
        <v>0</v>
      </c>
      <c r="DL30" s="110">
        <f t="shared" si="63"/>
        <v>0</v>
      </c>
      <c r="DM30" s="110">
        <f t="shared" si="64"/>
        <v>0</v>
      </c>
      <c r="DN30" s="110">
        <f t="shared" si="65"/>
        <v>0</v>
      </c>
      <c r="DO30" s="110">
        <f t="shared" si="66"/>
        <v>0</v>
      </c>
      <c r="DP30" s="110">
        <f t="shared" si="67"/>
        <v>0</v>
      </c>
      <c r="DQ30" s="110">
        <f t="shared" si="68"/>
        <v>8.5999999999999943</v>
      </c>
      <c r="DR30" s="110">
        <f t="shared" si="69"/>
        <v>0</v>
      </c>
      <c r="DS30" s="110">
        <f t="shared" si="70"/>
        <v>0</v>
      </c>
      <c r="DT30" s="110">
        <f t="shared" si="71"/>
        <v>0</v>
      </c>
      <c r="DU30" s="110">
        <f t="shared" si="72"/>
        <v>0</v>
      </c>
      <c r="DW30" s="111"/>
      <c r="DX30" s="110">
        <f t="shared" si="73"/>
        <v>0</v>
      </c>
      <c r="DY30" s="110">
        <f t="shared" si="74"/>
        <v>0</v>
      </c>
      <c r="DZ30" s="110">
        <f t="shared" si="75"/>
        <v>0</v>
      </c>
      <c r="EA30" s="110">
        <f t="shared" si="76"/>
        <v>0</v>
      </c>
      <c r="EB30" s="110">
        <f t="shared" si="77"/>
        <v>0</v>
      </c>
      <c r="EC30" s="110">
        <f t="shared" si="78"/>
        <v>0</v>
      </c>
      <c r="ED30" s="110">
        <f t="shared" si="79"/>
        <v>0</v>
      </c>
      <c r="EE30" s="110">
        <f t="shared" si="80"/>
        <v>0</v>
      </c>
      <c r="EF30" s="110">
        <f t="shared" si="81"/>
        <v>0</v>
      </c>
      <c r="EG30" s="110">
        <f t="shared" si="82"/>
        <v>0</v>
      </c>
      <c r="EH30" s="110">
        <f t="shared" si="83"/>
        <v>0</v>
      </c>
      <c r="EI30" s="110">
        <f t="shared" si="84"/>
        <v>0</v>
      </c>
      <c r="EK30" s="111"/>
      <c r="EL30" s="110">
        <f t="shared" si="85"/>
        <v>245.65</v>
      </c>
      <c r="EM30" s="110">
        <f t="shared" si="86"/>
        <v>8.5999999999999943</v>
      </c>
      <c r="EN30" s="110">
        <f t="shared" si="87"/>
        <v>0</v>
      </c>
      <c r="EP30" s="109" cm="1">
        <f t="array" ref="EP30">+IFERROR(INDEX($C$3:$AM$3,MATCH(TRUE,INDEX($C30:$AM30&lt;&gt;0,0),0)),"N/A")</f>
        <v>45016</v>
      </c>
      <c r="EQ30" s="112"/>
      <c r="ER30" s="1" t="str" cm="1">
        <f t="array" ref="ER30">+_xlfn.IFS(EW30&lt;&gt;0,EW$2,FB30&lt;&gt;0,FB$2,FG30&lt;&gt;0,FG$2,FL30&lt;&gt;0,FL$2,TRUE,"")</f>
        <v>New</v>
      </c>
      <c r="ES30" s="1" t="str" cm="1">
        <f t="array" ref="ES30">+_xlfn.IFS(EX30&lt;&gt;0,EX$2,FC30&lt;&gt;0,FC$2,FH30&lt;&gt;0,FH$2,FM30&lt;&gt;0,FM$2,TRUE,"")</f>
        <v>Upsell</v>
      </c>
      <c r="ET30" s="1" t="str" cm="1">
        <f t="array" ref="ET30">+_xlfn.IFS(EY30&lt;&gt;0,EY$2,FD30&lt;&gt;0,FD$2,FI30&lt;&gt;0,FI$2,FN30&lt;&gt;0,FN$2,TRUE,"")</f>
        <v/>
      </c>
      <c r="EV30" s="111"/>
      <c r="EW30" s="110">
        <f t="shared" si="88"/>
        <v>245.65</v>
      </c>
      <c r="EX30" s="110">
        <f t="shared" si="89"/>
        <v>0</v>
      </c>
      <c r="EY30" s="110">
        <f t="shared" si="90"/>
        <v>0</v>
      </c>
      <c r="FA30" s="111"/>
      <c r="FB30" s="110">
        <f t="shared" si="91"/>
        <v>0</v>
      </c>
      <c r="FC30" s="110">
        <f t="shared" si="92"/>
        <v>0</v>
      </c>
      <c r="FD30" s="110">
        <f t="shared" si="93"/>
        <v>0</v>
      </c>
      <c r="FF30" s="111"/>
      <c r="FG30" s="110">
        <f t="shared" si="94"/>
        <v>0</v>
      </c>
      <c r="FH30" s="110">
        <f t="shared" si="95"/>
        <v>0</v>
      </c>
      <c r="FI30" s="110">
        <f t="shared" si="96"/>
        <v>0</v>
      </c>
      <c r="FK30" s="111"/>
      <c r="FL30" s="110">
        <f t="shared" si="97"/>
        <v>0</v>
      </c>
      <c r="FM30" s="110">
        <f t="shared" si="98"/>
        <v>8.5999999999999943</v>
      </c>
      <c r="FN30" s="110">
        <f t="shared" si="99"/>
        <v>0</v>
      </c>
      <c r="FP30" s="111"/>
      <c r="FQ30" s="110">
        <f t="shared" si="100"/>
        <v>0</v>
      </c>
      <c r="FR30" s="110">
        <f t="shared" si="101"/>
        <v>0</v>
      </c>
      <c r="FS30" s="110">
        <f t="shared" si="102"/>
        <v>0</v>
      </c>
      <c r="FU30" s="111">
        <f t="shared" si="103"/>
        <v>245.65</v>
      </c>
      <c r="FV30" s="110">
        <f t="shared" si="104"/>
        <v>245.65</v>
      </c>
      <c r="FW30" s="110">
        <f t="shared" si="105"/>
        <v>245.65</v>
      </c>
      <c r="FX30" s="110">
        <f t="shared" si="106"/>
        <v>0</v>
      </c>
      <c r="FY30" s="110">
        <f t="shared" si="107"/>
        <v>0</v>
      </c>
      <c r="FZ30" s="110">
        <f t="shared" si="108"/>
        <v>0</v>
      </c>
      <c r="GA30" s="110">
        <f t="shared" si="109"/>
        <v>0</v>
      </c>
      <c r="GB30" s="110">
        <f t="shared" si="110"/>
        <v>0</v>
      </c>
      <c r="GC30" s="110">
        <f t="shared" si="111"/>
        <v>0</v>
      </c>
      <c r="GD30" s="110">
        <f t="shared" si="112"/>
        <v>0</v>
      </c>
      <c r="GE30" s="110">
        <f t="shared" si="113"/>
        <v>11.640000000000015</v>
      </c>
      <c r="GF30" s="110">
        <f t="shared" si="114"/>
        <v>8.5999999999999943</v>
      </c>
      <c r="GG30" s="110">
        <f t="shared" si="115"/>
        <v>8.5999999999999943</v>
      </c>
      <c r="GH30" s="110">
        <f t="shared" si="116"/>
        <v>8.5999999999999943</v>
      </c>
      <c r="GI30" s="110">
        <f t="shared" si="117"/>
        <v>8.5999999999999943</v>
      </c>
      <c r="GJ30" s="110">
        <f t="shared" si="118"/>
        <v>8.5999999999999943</v>
      </c>
      <c r="GK30" s="110">
        <f t="shared" si="119"/>
        <v>8.5999999999999943</v>
      </c>
      <c r="GL30" s="110">
        <f t="shared" si="120"/>
        <v>8.5999999999999943</v>
      </c>
      <c r="GM30" s="110">
        <f t="shared" si="121"/>
        <v>8.5999999999999943</v>
      </c>
      <c r="GN30" s="110">
        <f t="shared" si="122"/>
        <v>8.5999999999999943</v>
      </c>
      <c r="GO30" s="110">
        <f t="shared" si="123"/>
        <v>8.5999999999999943</v>
      </c>
      <c r="GP30" s="110">
        <f t="shared" si="124"/>
        <v>8.5999999999999943</v>
      </c>
      <c r="GQ30" s="110">
        <f t="shared" si="125"/>
        <v>-3.0400000000000205</v>
      </c>
      <c r="GR30" s="110">
        <f t="shared" si="126"/>
        <v>0</v>
      </c>
      <c r="GS30" s="110">
        <f t="shared" si="127"/>
        <v>0</v>
      </c>
      <c r="GU30" s="109" cm="1">
        <f t="array" ref="GU30">+IFERROR(INDEX($C$3:$AM$3,MATCH(TRUE,INDEX($C30:$AM30&lt;&gt;0,0),0)),"N/A")</f>
        <v>45016</v>
      </c>
      <c r="GV30" s="112" t="str" cm="1">
        <f t="array" ref="GV30">+_xlfn.IFS(HV30&lt;&gt;0,HV$2,IV30&lt;&gt;0,IV$2,JV30&lt;&gt;0,JV$2,KV30&lt;&gt;0,KV$2,TRUE,"")</f>
        <v>New</v>
      </c>
      <c r="GW30" s="1" t="str" cm="1">
        <f t="array" ref="GW30">+_xlfn.IFS(HW30&lt;&gt;0,HW$2,IW30&lt;&gt;0,IW$2,JW30&lt;&gt;0,JW$2,KW30&lt;&gt;0,KW$2,TRUE,"")</f>
        <v>New</v>
      </c>
      <c r="GX30" s="1" t="str" cm="1">
        <f t="array" ref="GX30">+_xlfn.IFS(HX30&lt;&gt;0,HX$2,IX30&lt;&gt;0,IX$2,JX30&lt;&gt;0,JX$2,KX30&lt;&gt;0,KX$2,TRUE,"")</f>
        <v>New</v>
      </c>
      <c r="GY30" s="1" t="str" cm="1">
        <f t="array" ref="GY30">+_xlfn.IFS(HY30&lt;&gt;0,HY$2,IY30&lt;&gt;0,IY$2,JY30&lt;&gt;0,JY$2,KY30&lt;&gt;0,KY$2,TRUE,"")</f>
        <v/>
      </c>
      <c r="GZ30" s="1" t="str" cm="1">
        <f t="array" ref="GZ30">+_xlfn.IFS(HZ30&lt;&gt;0,HZ$2,IZ30&lt;&gt;0,IZ$2,JZ30&lt;&gt;0,JZ$2,KZ30&lt;&gt;0,KZ$2,TRUE,"")</f>
        <v/>
      </c>
      <c r="HA30" s="1" t="str" cm="1">
        <f t="array" ref="HA30">+_xlfn.IFS(IA30&lt;&gt;0,IA$2,JA30&lt;&gt;0,JA$2,KA30&lt;&gt;0,KA$2,LA30&lt;&gt;0,LA$2,TRUE,"")</f>
        <v/>
      </c>
      <c r="HB30" s="1" t="str" cm="1">
        <f t="array" ref="HB30">+_xlfn.IFS(IB30&lt;&gt;0,IB$2,JB30&lt;&gt;0,JB$2,KB30&lt;&gt;0,KB$2,LB30&lt;&gt;0,LB$2,TRUE,"")</f>
        <v/>
      </c>
      <c r="HC30" s="1" t="str" cm="1">
        <f t="array" ref="HC30">+_xlfn.IFS(IC30&lt;&gt;0,IC$2,JC30&lt;&gt;0,JC$2,KC30&lt;&gt;0,KC$2,LC30&lt;&gt;0,LC$2,TRUE,"")</f>
        <v/>
      </c>
      <c r="HD30" s="1" t="str" cm="1">
        <f t="array" ref="HD30">+_xlfn.IFS(ID30&lt;&gt;0,ID$2,JD30&lt;&gt;0,JD$2,KD30&lt;&gt;0,KD$2,LD30&lt;&gt;0,LD$2,TRUE,"")</f>
        <v/>
      </c>
      <c r="HE30" s="1" t="str" cm="1">
        <f t="array" ref="HE30">+_xlfn.IFS(IE30&lt;&gt;0,IE$2,JE30&lt;&gt;0,JE$2,KE30&lt;&gt;0,KE$2,LE30&lt;&gt;0,LE$2,TRUE,"")</f>
        <v/>
      </c>
      <c r="HF30" s="1" t="str" cm="1">
        <f t="array" ref="HF30">+_xlfn.IFS(IF30&lt;&gt;0,IF$2,JF30&lt;&gt;0,JF$2,KF30&lt;&gt;0,KF$2,LF30&lt;&gt;0,LF$2,TRUE,"")</f>
        <v>Upsell</v>
      </c>
      <c r="HG30" s="1" t="str" cm="1">
        <f t="array" ref="HG30">+_xlfn.IFS(IG30&lt;&gt;0,IG$2,JG30&lt;&gt;0,JG$2,KG30&lt;&gt;0,KG$2,LG30&lt;&gt;0,LG$2,TRUE,"")</f>
        <v>Upsell</v>
      </c>
      <c r="HH30" s="1" t="str" cm="1">
        <f t="array" ref="HH30">+_xlfn.IFS(IH30&lt;&gt;0,IH$2,JH30&lt;&gt;0,JH$2,KH30&lt;&gt;0,KH$2,LH30&lt;&gt;0,LH$2,TRUE,"")</f>
        <v>Upsell</v>
      </c>
      <c r="HI30" s="1" t="str" cm="1">
        <f t="array" ref="HI30">+_xlfn.IFS(II30&lt;&gt;0,II$2,JI30&lt;&gt;0,JI$2,KI30&lt;&gt;0,KI$2,LI30&lt;&gt;0,LI$2,TRUE,"")</f>
        <v>Upsell</v>
      </c>
      <c r="HJ30" s="1" t="str" cm="1">
        <f t="array" ref="HJ30">+_xlfn.IFS(IJ30&lt;&gt;0,IJ$2,JJ30&lt;&gt;0,JJ$2,KJ30&lt;&gt;0,KJ$2,LJ30&lt;&gt;0,LJ$2,TRUE,"")</f>
        <v>Upsell</v>
      </c>
      <c r="HK30" s="1" t="str" cm="1">
        <f t="array" ref="HK30">+_xlfn.IFS(IK30&lt;&gt;0,IK$2,JK30&lt;&gt;0,JK$2,KK30&lt;&gt;0,KK$2,LK30&lt;&gt;0,LK$2,TRUE,"")</f>
        <v>Upsell</v>
      </c>
      <c r="HL30" s="1" t="str" cm="1">
        <f t="array" ref="HL30">+_xlfn.IFS(IL30&lt;&gt;0,IL$2,JL30&lt;&gt;0,JL$2,KL30&lt;&gt;0,KL$2,LL30&lt;&gt;0,LL$2,TRUE,"")</f>
        <v>Upsell</v>
      </c>
      <c r="HM30" s="1" t="str" cm="1">
        <f t="array" ref="HM30">+_xlfn.IFS(IM30&lt;&gt;0,IM$2,JM30&lt;&gt;0,JM$2,KM30&lt;&gt;0,KM$2,LM30&lt;&gt;0,LM$2,TRUE,"")</f>
        <v>Upsell</v>
      </c>
      <c r="HN30" s="1" t="str" cm="1">
        <f t="array" ref="HN30">+_xlfn.IFS(IN30&lt;&gt;0,IN$2,JN30&lt;&gt;0,JN$2,KN30&lt;&gt;0,KN$2,LN30&lt;&gt;0,LN$2,TRUE,"")</f>
        <v>Upsell</v>
      </c>
      <c r="HO30" s="1" t="str" cm="1">
        <f t="array" ref="HO30">+_xlfn.IFS(IO30&lt;&gt;0,IO$2,JO30&lt;&gt;0,JO$2,KO30&lt;&gt;0,KO$2,LO30&lt;&gt;0,LO$2,TRUE,"")</f>
        <v>Upsell</v>
      </c>
      <c r="HP30" s="1" t="str" cm="1">
        <f t="array" ref="HP30">+_xlfn.IFS(IP30&lt;&gt;0,IP$2,JP30&lt;&gt;0,JP$2,KP30&lt;&gt;0,KP$2,LP30&lt;&gt;0,LP$2,TRUE,"")</f>
        <v>Upsell</v>
      </c>
      <c r="HQ30" s="1" t="str" cm="1">
        <f t="array" ref="HQ30">+_xlfn.IFS(IQ30&lt;&gt;0,IQ$2,JQ30&lt;&gt;0,JQ$2,KQ30&lt;&gt;0,KQ$2,LQ30&lt;&gt;0,LQ$2,TRUE,"")</f>
        <v>Upsell</v>
      </c>
      <c r="HR30" s="1" t="str" cm="1">
        <f t="array" ref="HR30">+_xlfn.IFS(IR30&lt;&gt;0,IR$2,JR30&lt;&gt;0,JR$2,KR30&lt;&gt;0,KR$2,LR30&lt;&gt;0,LR$2,TRUE,"")</f>
        <v>Downsell</v>
      </c>
      <c r="HS30" s="1" t="str" cm="1">
        <f t="array" ref="HS30">+_xlfn.IFS(IS30&lt;&gt;0,IS$2,JS30&lt;&gt;0,JS$2,KS30&lt;&gt;0,KS$2,LS30&lt;&gt;0,LS$2,TRUE,"")</f>
        <v/>
      </c>
      <c r="HT30" s="1" t="str" cm="1">
        <f t="array" ref="HT30">+_xlfn.IFS(IT30&lt;&gt;0,IT$2,JT30&lt;&gt;0,JT$2,KT30&lt;&gt;0,KT$2,LT30&lt;&gt;0,LT$2,TRUE,"")</f>
        <v/>
      </c>
      <c r="HV30" s="111">
        <f t="shared" si="128"/>
        <v>245.65</v>
      </c>
      <c r="HW30" s="110">
        <f t="shared" si="129"/>
        <v>245.65</v>
      </c>
      <c r="HX30" s="110">
        <f t="shared" si="130"/>
        <v>245.65</v>
      </c>
      <c r="HY30" s="110">
        <f t="shared" si="131"/>
        <v>0</v>
      </c>
      <c r="HZ30" s="110">
        <f t="shared" si="132"/>
        <v>0</v>
      </c>
      <c r="IA30" s="110">
        <f t="shared" si="133"/>
        <v>0</v>
      </c>
      <c r="IB30" s="110">
        <f t="shared" si="134"/>
        <v>0</v>
      </c>
      <c r="IC30" s="110">
        <f t="shared" si="135"/>
        <v>0</v>
      </c>
      <c r="ID30" s="110">
        <f t="shared" si="136"/>
        <v>0</v>
      </c>
      <c r="IE30" s="110">
        <f t="shared" si="137"/>
        <v>0</v>
      </c>
      <c r="IF30" s="110">
        <f t="shared" si="138"/>
        <v>0</v>
      </c>
      <c r="IG30" s="110">
        <f t="shared" si="139"/>
        <v>0</v>
      </c>
      <c r="IH30" s="110">
        <f t="shared" si="140"/>
        <v>0</v>
      </c>
      <c r="II30" s="110">
        <f t="shared" si="141"/>
        <v>0</v>
      </c>
      <c r="IJ30" s="110">
        <f t="shared" si="142"/>
        <v>0</v>
      </c>
      <c r="IK30" s="110">
        <f t="shared" si="143"/>
        <v>0</v>
      </c>
      <c r="IL30" s="110">
        <f t="shared" si="144"/>
        <v>0</v>
      </c>
      <c r="IM30" s="110">
        <f t="shared" si="145"/>
        <v>0</v>
      </c>
      <c r="IN30" s="110">
        <f t="shared" si="146"/>
        <v>0</v>
      </c>
      <c r="IO30" s="110">
        <f t="shared" si="147"/>
        <v>0</v>
      </c>
      <c r="IP30" s="110">
        <f t="shared" si="148"/>
        <v>0</v>
      </c>
      <c r="IQ30" s="110">
        <f t="shared" si="149"/>
        <v>0</v>
      </c>
      <c r="IR30" s="110">
        <f t="shared" si="150"/>
        <v>0</v>
      </c>
      <c r="IS30" s="110">
        <f t="shared" si="151"/>
        <v>0</v>
      </c>
      <c r="IT30" s="110">
        <f t="shared" si="152"/>
        <v>0</v>
      </c>
      <c r="IV30" s="111">
        <f t="shared" si="153"/>
        <v>0</v>
      </c>
      <c r="IW30" s="110">
        <f t="shared" si="154"/>
        <v>0</v>
      </c>
      <c r="IX30" s="110">
        <f t="shared" si="155"/>
        <v>0</v>
      </c>
      <c r="IY30" s="110">
        <f t="shared" si="156"/>
        <v>0</v>
      </c>
      <c r="IZ30" s="110">
        <f t="shared" si="157"/>
        <v>0</v>
      </c>
      <c r="JA30" s="110">
        <f t="shared" si="158"/>
        <v>0</v>
      </c>
      <c r="JB30" s="110">
        <f t="shared" si="159"/>
        <v>0</v>
      </c>
      <c r="JC30" s="110">
        <f t="shared" si="160"/>
        <v>0</v>
      </c>
      <c r="JD30" s="110">
        <f t="shared" si="161"/>
        <v>0</v>
      </c>
      <c r="JE30" s="110">
        <f t="shared" si="162"/>
        <v>0</v>
      </c>
      <c r="JF30" s="110">
        <f t="shared" si="163"/>
        <v>0</v>
      </c>
      <c r="JG30" s="110">
        <f t="shared" si="164"/>
        <v>0</v>
      </c>
      <c r="JH30" s="110">
        <f t="shared" si="165"/>
        <v>0</v>
      </c>
      <c r="JI30" s="110">
        <f t="shared" si="166"/>
        <v>0</v>
      </c>
      <c r="JJ30" s="110">
        <f t="shared" si="167"/>
        <v>0</v>
      </c>
      <c r="JK30" s="110">
        <f t="shared" si="168"/>
        <v>0</v>
      </c>
      <c r="JL30" s="110">
        <f t="shared" si="169"/>
        <v>0</v>
      </c>
      <c r="JM30" s="110">
        <f t="shared" si="170"/>
        <v>0</v>
      </c>
      <c r="JN30" s="110">
        <f t="shared" si="171"/>
        <v>0</v>
      </c>
      <c r="JO30" s="110">
        <f t="shared" si="172"/>
        <v>0</v>
      </c>
      <c r="JP30" s="110">
        <f t="shared" si="173"/>
        <v>0</v>
      </c>
      <c r="JQ30" s="110">
        <f t="shared" si="174"/>
        <v>0</v>
      </c>
      <c r="JR30" s="110">
        <f t="shared" si="175"/>
        <v>0</v>
      </c>
      <c r="JS30" s="110">
        <f t="shared" si="176"/>
        <v>0</v>
      </c>
      <c r="JT30" s="110">
        <f t="shared" si="177"/>
        <v>0</v>
      </c>
      <c r="JV30" s="111">
        <f t="shared" si="178"/>
        <v>0</v>
      </c>
      <c r="JW30" s="110">
        <f t="shared" si="179"/>
        <v>0</v>
      </c>
      <c r="JX30" s="110">
        <f t="shared" si="180"/>
        <v>0</v>
      </c>
      <c r="JY30" s="110">
        <f t="shared" si="181"/>
        <v>0</v>
      </c>
      <c r="JZ30" s="110">
        <f t="shared" si="182"/>
        <v>0</v>
      </c>
      <c r="KA30" s="110">
        <f t="shared" si="183"/>
        <v>0</v>
      </c>
      <c r="KB30" s="110">
        <f t="shared" si="184"/>
        <v>0</v>
      </c>
      <c r="KC30" s="110">
        <f t="shared" si="185"/>
        <v>0</v>
      </c>
      <c r="KD30" s="110">
        <f t="shared" si="186"/>
        <v>0</v>
      </c>
      <c r="KE30" s="110">
        <f t="shared" si="187"/>
        <v>0</v>
      </c>
      <c r="KF30" s="110">
        <f t="shared" si="188"/>
        <v>0</v>
      </c>
      <c r="KG30" s="110">
        <f t="shared" si="189"/>
        <v>0</v>
      </c>
      <c r="KH30" s="110">
        <f t="shared" si="190"/>
        <v>0</v>
      </c>
      <c r="KI30" s="110">
        <f t="shared" si="191"/>
        <v>0</v>
      </c>
      <c r="KJ30" s="110">
        <f t="shared" si="192"/>
        <v>0</v>
      </c>
      <c r="KK30" s="110">
        <f t="shared" si="193"/>
        <v>0</v>
      </c>
      <c r="KL30" s="110">
        <f t="shared" si="194"/>
        <v>0</v>
      </c>
      <c r="KM30" s="110">
        <f t="shared" si="195"/>
        <v>0</v>
      </c>
      <c r="KN30" s="110">
        <f t="shared" si="196"/>
        <v>0</v>
      </c>
      <c r="KO30" s="110">
        <f t="shared" si="197"/>
        <v>0</v>
      </c>
      <c r="KP30" s="110">
        <f t="shared" si="198"/>
        <v>0</v>
      </c>
      <c r="KQ30" s="110">
        <f t="shared" si="199"/>
        <v>0</v>
      </c>
      <c r="KR30" s="110">
        <f t="shared" si="200"/>
        <v>-3.0400000000000205</v>
      </c>
      <c r="KS30" s="110">
        <f t="shared" si="201"/>
        <v>0</v>
      </c>
      <c r="KT30" s="110">
        <f t="shared" si="202"/>
        <v>0</v>
      </c>
      <c r="KV30" s="111">
        <f t="shared" si="203"/>
        <v>0</v>
      </c>
      <c r="KW30" s="110">
        <f t="shared" si="204"/>
        <v>0</v>
      </c>
      <c r="KX30" s="110">
        <f t="shared" si="205"/>
        <v>0</v>
      </c>
      <c r="KY30" s="110">
        <f t="shared" si="206"/>
        <v>0</v>
      </c>
      <c r="KZ30" s="110">
        <f t="shared" si="207"/>
        <v>0</v>
      </c>
      <c r="LA30" s="110">
        <f t="shared" si="208"/>
        <v>0</v>
      </c>
      <c r="LB30" s="110">
        <f t="shared" si="209"/>
        <v>0</v>
      </c>
      <c r="LC30" s="110">
        <f t="shared" si="210"/>
        <v>0</v>
      </c>
      <c r="LD30" s="110">
        <f t="shared" si="211"/>
        <v>0</v>
      </c>
      <c r="LE30" s="110">
        <f t="shared" si="212"/>
        <v>0</v>
      </c>
      <c r="LF30" s="110">
        <f t="shared" si="213"/>
        <v>11.640000000000015</v>
      </c>
      <c r="LG30" s="110">
        <f t="shared" si="214"/>
        <v>8.5999999999999943</v>
      </c>
      <c r="LH30" s="110">
        <f t="shared" si="215"/>
        <v>8.5999999999999943</v>
      </c>
      <c r="LI30" s="110">
        <f t="shared" si="216"/>
        <v>8.5999999999999943</v>
      </c>
      <c r="LJ30" s="110">
        <f t="shared" si="217"/>
        <v>8.5999999999999943</v>
      </c>
      <c r="LK30" s="110">
        <f t="shared" si="218"/>
        <v>8.5999999999999943</v>
      </c>
      <c r="LL30" s="110">
        <f t="shared" si="219"/>
        <v>8.5999999999999943</v>
      </c>
      <c r="LM30" s="110">
        <f t="shared" si="220"/>
        <v>8.5999999999999943</v>
      </c>
      <c r="LN30" s="110">
        <f t="shared" si="221"/>
        <v>8.5999999999999943</v>
      </c>
      <c r="LO30" s="110">
        <f t="shared" si="222"/>
        <v>8.5999999999999943</v>
      </c>
      <c r="LP30" s="110">
        <f t="shared" si="223"/>
        <v>8.5999999999999943</v>
      </c>
      <c r="LQ30" s="110">
        <f t="shared" si="224"/>
        <v>8.5999999999999943</v>
      </c>
      <c r="LR30" s="110">
        <f t="shared" si="225"/>
        <v>0</v>
      </c>
      <c r="LS30" s="110">
        <f t="shared" si="226"/>
        <v>0</v>
      </c>
      <c r="LT30" s="110">
        <f t="shared" si="227"/>
        <v>0</v>
      </c>
      <c r="LV30" s="111"/>
      <c r="LW30" s="110">
        <f t="shared" si="228"/>
        <v>0</v>
      </c>
      <c r="LX30" s="110">
        <f t="shared" si="229"/>
        <v>0</v>
      </c>
      <c r="LY30" s="110">
        <f t="shared" si="230"/>
        <v>0</v>
      </c>
      <c r="LZ30" s="110">
        <f t="shared" si="231"/>
        <v>0</v>
      </c>
      <c r="MA30" s="110">
        <f t="shared" si="232"/>
        <v>0</v>
      </c>
      <c r="MB30" s="110">
        <f t="shared" si="233"/>
        <v>0</v>
      </c>
      <c r="MC30" s="110">
        <f t="shared" si="234"/>
        <v>0</v>
      </c>
      <c r="MD30" s="110">
        <f t="shared" si="235"/>
        <v>0</v>
      </c>
      <c r="ME30" s="110">
        <f t="shared" si="236"/>
        <v>0</v>
      </c>
      <c r="MF30" s="110">
        <f t="shared" si="237"/>
        <v>0</v>
      </c>
      <c r="MG30" s="110">
        <f t="shared" si="238"/>
        <v>0</v>
      </c>
      <c r="MH30" s="110">
        <f t="shared" si="239"/>
        <v>0</v>
      </c>
      <c r="MI30" s="110">
        <f t="shared" si="240"/>
        <v>0</v>
      </c>
      <c r="MJ30" s="110">
        <f t="shared" si="241"/>
        <v>0</v>
      </c>
      <c r="MK30" s="110">
        <f t="shared" si="242"/>
        <v>0</v>
      </c>
      <c r="ML30" s="110">
        <f t="shared" si="243"/>
        <v>0</v>
      </c>
      <c r="MM30" s="110">
        <f t="shared" si="244"/>
        <v>0</v>
      </c>
      <c r="MN30" s="110">
        <f t="shared" si="245"/>
        <v>0</v>
      </c>
      <c r="MO30" s="110">
        <f t="shared" si="246"/>
        <v>0</v>
      </c>
      <c r="MP30" s="110">
        <f t="shared" si="247"/>
        <v>0</v>
      </c>
      <c r="MQ30" s="110">
        <f t="shared" si="248"/>
        <v>0</v>
      </c>
      <c r="MR30" s="110">
        <f t="shared" si="249"/>
        <v>0</v>
      </c>
      <c r="MS30" s="110">
        <f t="shared" si="250"/>
        <v>0</v>
      </c>
      <c r="MT30" s="110">
        <f t="shared" si="251"/>
        <v>0</v>
      </c>
      <c r="MV30" s="114">
        <v>254.25</v>
      </c>
      <c r="MW30" s="114">
        <v>0</v>
      </c>
      <c r="MX30" s="114">
        <v>0</v>
      </c>
      <c r="MY30" s="114">
        <v>0</v>
      </c>
      <c r="MZ30" s="114">
        <v>0</v>
      </c>
      <c r="NB30" s="115">
        <v>41</v>
      </c>
      <c r="NC30" s="115" t="str">
        <v>N/A</v>
      </c>
      <c r="ND30" s="115" t="str">
        <v>N/A</v>
      </c>
      <c r="NE30" s="115" t="str">
        <v>N/A</v>
      </c>
      <c r="NF30" s="115" t="str">
        <v>N/A</v>
      </c>
    </row>
    <row r="31" spans="1:370" ht="13.5" x14ac:dyDescent="0.25">
      <c r="B31" s="8">
        <f t="shared" si="252"/>
        <v>28</v>
      </c>
      <c r="C31" s="7">
        <v>0</v>
      </c>
      <c r="D31" s="7">
        <v>0</v>
      </c>
      <c r="E31" s="7">
        <v>0</v>
      </c>
      <c r="F31" s="7">
        <v>53.54</v>
      </c>
      <c r="G31" s="7">
        <v>54.32</v>
      </c>
      <c r="H31" s="7">
        <v>51.46</v>
      </c>
      <c r="I31" s="7">
        <v>51.96</v>
      </c>
      <c r="J31" s="7">
        <v>49</v>
      </c>
      <c r="K31" s="7">
        <v>49</v>
      </c>
      <c r="L31" s="7">
        <v>49</v>
      </c>
      <c r="M31" s="7">
        <v>49</v>
      </c>
      <c r="N31" s="7">
        <v>0</v>
      </c>
      <c r="O31" s="7">
        <v>0</v>
      </c>
      <c r="P31" s="7">
        <v>0</v>
      </c>
      <c r="Q31" s="7">
        <v>0</v>
      </c>
      <c r="R31" s="7">
        <v>0</v>
      </c>
      <c r="S31" s="7">
        <v>0</v>
      </c>
      <c r="T31" s="7">
        <v>0</v>
      </c>
      <c r="U31" s="7">
        <v>0</v>
      </c>
      <c r="V31" s="7">
        <v>0</v>
      </c>
      <c r="W31" s="7">
        <v>0</v>
      </c>
      <c r="X31" s="7">
        <v>0</v>
      </c>
      <c r="Y31" s="7">
        <v>0</v>
      </c>
      <c r="Z31" s="7">
        <v>0</v>
      </c>
      <c r="AA31" s="7">
        <v>0</v>
      </c>
      <c r="AB31" s="7">
        <v>0</v>
      </c>
      <c r="AC31" s="7">
        <v>0</v>
      </c>
      <c r="AD31" s="7">
        <v>0</v>
      </c>
      <c r="AE31" s="7">
        <v>0</v>
      </c>
      <c r="AF31" s="7">
        <v>0</v>
      </c>
      <c r="AG31" s="7">
        <v>0</v>
      </c>
      <c r="AH31" s="7">
        <v>0</v>
      </c>
      <c r="AI31" s="7">
        <v>0</v>
      </c>
      <c r="AJ31" s="7">
        <v>0</v>
      </c>
      <c r="AK31" s="7">
        <v>0</v>
      </c>
      <c r="AL31" s="7">
        <v>0</v>
      </c>
      <c r="AM31" s="7">
        <v>0</v>
      </c>
      <c r="AN31" s="27">
        <v>28</v>
      </c>
      <c r="AP31" s="111"/>
      <c r="AQ31" s="110">
        <f t="shared" si="13"/>
        <v>53.54</v>
      </c>
      <c r="AR31" s="110">
        <f t="shared" si="14"/>
        <v>-1.5799999999999983</v>
      </c>
      <c r="AS31" s="110">
        <f t="shared" si="15"/>
        <v>-2.9600000000000009</v>
      </c>
      <c r="AT31" s="110">
        <f t="shared" si="16"/>
        <v>-49</v>
      </c>
      <c r="AU31" s="110">
        <f t="shared" si="17"/>
        <v>0</v>
      </c>
      <c r="AV31" s="110">
        <f t="shared" si="18"/>
        <v>0</v>
      </c>
      <c r="AW31" s="110">
        <f t="shared" si="19"/>
        <v>0</v>
      </c>
      <c r="AX31" s="110">
        <f t="shared" si="20"/>
        <v>0</v>
      </c>
      <c r="AY31" s="110">
        <f t="shared" si="21"/>
        <v>0</v>
      </c>
      <c r="AZ31" s="110">
        <f t="shared" si="22"/>
        <v>0</v>
      </c>
      <c r="BA31" s="110">
        <f t="shared" si="23"/>
        <v>0</v>
      </c>
      <c r="BB31" s="110">
        <f t="shared" si="24"/>
        <v>0</v>
      </c>
      <c r="BD31" s="109" cm="1">
        <f t="array" ref="BD31">+IFERROR(INDEX($C$3:$AM$3,MATCH(TRUE,INDEX($C31:$AM31&lt;&gt;0,0),0)),"N/A")</f>
        <v>45016</v>
      </c>
      <c r="BE31" s="112"/>
      <c r="BF31" s="1" t="str" cm="1">
        <f t="array" ref="BF31">+_xlfn.IFS(BT31&lt;&gt;0,BT$2,CH31&lt;&gt;0,CH$2,CV31&lt;&gt;0,CV$2,DJ31&lt;&gt;0,DJ$2,TRUE,"")</f>
        <v>New</v>
      </c>
      <c r="BG31" s="1" t="str" cm="1">
        <f t="array" ref="BG31">+_xlfn.IFS(BU31&lt;&gt;0,BU$2,CI31&lt;&gt;0,CI$2,CW31&lt;&gt;0,CW$2,DK31&lt;&gt;0,DK$2,TRUE,"")</f>
        <v>Downsell</v>
      </c>
      <c r="BH31" s="1" t="str" cm="1">
        <f t="array" ref="BH31">+_xlfn.IFS(BV31&lt;&gt;0,BV$2,CJ31&lt;&gt;0,CJ$2,CX31&lt;&gt;0,CX$2,DL31&lt;&gt;0,DL$2,TRUE,"")</f>
        <v>Downsell</v>
      </c>
      <c r="BI31" s="1" t="str" cm="1">
        <f t="array" ref="BI31">+_xlfn.IFS(BW31&lt;&gt;0,BW$2,CK31&lt;&gt;0,CK$2,CY31&lt;&gt;0,CY$2,DM31&lt;&gt;0,DM$2,TRUE,"")</f>
        <v>Churn</v>
      </c>
      <c r="BJ31" s="1" t="str" cm="1">
        <f t="array" ref="BJ31">+_xlfn.IFS(BX31&lt;&gt;0,BX$2,CL31&lt;&gt;0,CL$2,CZ31&lt;&gt;0,CZ$2,DN31&lt;&gt;0,DN$2,TRUE,"")</f>
        <v/>
      </c>
      <c r="BK31" s="1" t="str" cm="1">
        <f t="array" ref="BK31">+_xlfn.IFS(BY31&lt;&gt;0,BY$2,CM31&lt;&gt;0,CM$2,DA31&lt;&gt;0,DA$2,DO31&lt;&gt;0,DO$2,TRUE,"")</f>
        <v/>
      </c>
      <c r="BL31" s="1" t="str" cm="1">
        <f t="array" ref="BL31">+_xlfn.IFS(BZ31&lt;&gt;0,BZ$2,CN31&lt;&gt;0,CN$2,DB31&lt;&gt;0,DB$2,DP31&lt;&gt;0,DP$2,TRUE,"")</f>
        <v/>
      </c>
      <c r="BM31" s="1" t="str" cm="1">
        <f t="array" ref="BM31">+_xlfn.IFS(CA31&lt;&gt;0,CA$2,CO31&lt;&gt;0,CO$2,DC31&lt;&gt;0,DC$2,DQ31&lt;&gt;0,DQ$2,TRUE,"")</f>
        <v/>
      </c>
      <c r="BN31" s="1" t="str" cm="1">
        <f t="array" ref="BN31">+_xlfn.IFS(CB31&lt;&gt;0,CB$2,CP31&lt;&gt;0,CP$2,DD31&lt;&gt;0,DD$2,DR31&lt;&gt;0,DR$2,TRUE,"")</f>
        <v/>
      </c>
      <c r="BO31" s="1" t="str" cm="1">
        <f t="array" ref="BO31">+_xlfn.IFS(CC31&lt;&gt;0,CC$2,CQ31&lt;&gt;0,CQ$2,DE31&lt;&gt;0,DE$2,DS31&lt;&gt;0,DS$2,TRUE,"")</f>
        <v/>
      </c>
      <c r="BP31" s="1" t="str" cm="1">
        <f t="array" ref="BP31">+_xlfn.IFS(CD31&lt;&gt;0,CD$2,CR31&lt;&gt;0,CR$2,DF31&lt;&gt;0,DF$2,DT31&lt;&gt;0,DT$2,TRUE,"")</f>
        <v/>
      </c>
      <c r="BQ31" s="1" t="str" cm="1">
        <f t="array" ref="BQ31">+_xlfn.IFS(CE31&lt;&gt;0,CE$2,CS31&lt;&gt;0,CS$2,DG31&lt;&gt;0,DG$2,DU31&lt;&gt;0,DU$2,TRUE,"")</f>
        <v/>
      </c>
      <c r="BS31" s="111"/>
      <c r="BT31" s="110">
        <f t="shared" si="25"/>
        <v>53.54</v>
      </c>
      <c r="BU31" s="110">
        <f t="shared" si="26"/>
        <v>0</v>
      </c>
      <c r="BV31" s="110">
        <f t="shared" si="27"/>
        <v>0</v>
      </c>
      <c r="BW31" s="110">
        <f t="shared" si="28"/>
        <v>0</v>
      </c>
      <c r="BX31" s="110">
        <f t="shared" si="29"/>
        <v>0</v>
      </c>
      <c r="BY31" s="110">
        <f t="shared" si="30"/>
        <v>0</v>
      </c>
      <c r="BZ31" s="110">
        <f t="shared" si="31"/>
        <v>0</v>
      </c>
      <c r="CA31" s="110">
        <f t="shared" si="32"/>
        <v>0</v>
      </c>
      <c r="CB31" s="110">
        <f t="shared" si="33"/>
        <v>0</v>
      </c>
      <c r="CC31" s="110">
        <f t="shared" si="34"/>
        <v>0</v>
      </c>
      <c r="CD31" s="110">
        <f t="shared" si="35"/>
        <v>0</v>
      </c>
      <c r="CE31" s="110">
        <f t="shared" si="36"/>
        <v>0</v>
      </c>
      <c r="CG31" s="111"/>
      <c r="CH31" s="110">
        <f t="shared" si="37"/>
        <v>0</v>
      </c>
      <c r="CI31" s="110">
        <f t="shared" si="38"/>
        <v>0</v>
      </c>
      <c r="CJ31" s="110">
        <f t="shared" si="39"/>
        <v>0</v>
      </c>
      <c r="CK31" s="110">
        <f t="shared" si="40"/>
        <v>-49</v>
      </c>
      <c r="CL31" s="110">
        <f t="shared" si="41"/>
        <v>0</v>
      </c>
      <c r="CM31" s="110">
        <f t="shared" si="42"/>
        <v>0</v>
      </c>
      <c r="CN31" s="110">
        <f t="shared" si="43"/>
        <v>0</v>
      </c>
      <c r="CO31" s="110">
        <f t="shared" si="44"/>
        <v>0</v>
      </c>
      <c r="CP31" s="110">
        <f t="shared" si="45"/>
        <v>0</v>
      </c>
      <c r="CQ31" s="110">
        <f t="shared" si="46"/>
        <v>0</v>
      </c>
      <c r="CR31" s="110">
        <f t="shared" si="47"/>
        <v>0</v>
      </c>
      <c r="CS31" s="110">
        <f t="shared" si="48"/>
        <v>0</v>
      </c>
      <c r="CU31" s="111"/>
      <c r="CV31" s="110">
        <f t="shared" si="49"/>
        <v>0</v>
      </c>
      <c r="CW31" s="110">
        <f t="shared" si="50"/>
        <v>-1.5799999999999983</v>
      </c>
      <c r="CX31" s="110">
        <f t="shared" si="51"/>
        <v>-2.9600000000000009</v>
      </c>
      <c r="CY31" s="110">
        <f t="shared" si="52"/>
        <v>0</v>
      </c>
      <c r="CZ31" s="110">
        <f t="shared" si="53"/>
        <v>0</v>
      </c>
      <c r="DA31" s="110">
        <f t="shared" si="54"/>
        <v>0</v>
      </c>
      <c r="DB31" s="110">
        <f t="shared" si="55"/>
        <v>0</v>
      </c>
      <c r="DC31" s="110">
        <f t="shared" si="56"/>
        <v>0</v>
      </c>
      <c r="DD31" s="110">
        <f t="shared" si="57"/>
        <v>0</v>
      </c>
      <c r="DE31" s="110">
        <f t="shared" si="58"/>
        <v>0</v>
      </c>
      <c r="DF31" s="110">
        <f t="shared" si="59"/>
        <v>0</v>
      </c>
      <c r="DG31" s="110">
        <f t="shared" si="60"/>
        <v>0</v>
      </c>
      <c r="DI31" s="111"/>
      <c r="DJ31" s="110">
        <f t="shared" si="61"/>
        <v>0</v>
      </c>
      <c r="DK31" s="110">
        <f t="shared" si="62"/>
        <v>0</v>
      </c>
      <c r="DL31" s="110">
        <f t="shared" si="63"/>
        <v>0</v>
      </c>
      <c r="DM31" s="110">
        <f t="shared" si="64"/>
        <v>0</v>
      </c>
      <c r="DN31" s="110">
        <f t="shared" si="65"/>
        <v>0</v>
      </c>
      <c r="DO31" s="110">
        <f t="shared" si="66"/>
        <v>0</v>
      </c>
      <c r="DP31" s="110">
        <f t="shared" si="67"/>
        <v>0</v>
      </c>
      <c r="DQ31" s="110">
        <f t="shared" si="68"/>
        <v>0</v>
      </c>
      <c r="DR31" s="110">
        <f t="shared" si="69"/>
        <v>0</v>
      </c>
      <c r="DS31" s="110">
        <f t="shared" si="70"/>
        <v>0</v>
      </c>
      <c r="DT31" s="110">
        <f t="shared" si="71"/>
        <v>0</v>
      </c>
      <c r="DU31" s="110">
        <f t="shared" si="72"/>
        <v>0</v>
      </c>
      <c r="DW31" s="111"/>
      <c r="DX31" s="110">
        <f t="shared" si="73"/>
        <v>0</v>
      </c>
      <c r="DY31" s="110">
        <f t="shared" si="74"/>
        <v>0</v>
      </c>
      <c r="DZ31" s="110">
        <f t="shared" si="75"/>
        <v>0</v>
      </c>
      <c r="EA31" s="110">
        <f t="shared" si="76"/>
        <v>0</v>
      </c>
      <c r="EB31" s="110">
        <f t="shared" si="77"/>
        <v>0</v>
      </c>
      <c r="EC31" s="110">
        <f t="shared" si="78"/>
        <v>0</v>
      </c>
      <c r="ED31" s="110">
        <f t="shared" si="79"/>
        <v>0</v>
      </c>
      <c r="EE31" s="110">
        <f t="shared" si="80"/>
        <v>0</v>
      </c>
      <c r="EF31" s="110">
        <f t="shared" si="81"/>
        <v>0</v>
      </c>
      <c r="EG31" s="110">
        <f t="shared" si="82"/>
        <v>0</v>
      </c>
      <c r="EH31" s="110">
        <f t="shared" si="83"/>
        <v>0</v>
      </c>
      <c r="EI31" s="110">
        <f t="shared" si="84"/>
        <v>0</v>
      </c>
      <c r="EK31" s="111"/>
      <c r="EL31" s="110">
        <f t="shared" si="85"/>
        <v>0</v>
      </c>
      <c r="EM31" s="110">
        <f t="shared" si="86"/>
        <v>0</v>
      </c>
      <c r="EN31" s="110">
        <f t="shared" si="87"/>
        <v>0</v>
      </c>
      <c r="EP31" s="109" cm="1">
        <f t="array" ref="EP31">+IFERROR(INDEX($C$3:$AM$3,MATCH(TRUE,INDEX($C31:$AM31&lt;&gt;0,0),0)),"N/A")</f>
        <v>45016</v>
      </c>
      <c r="EQ31" s="112"/>
      <c r="ER31" s="1" t="str" cm="1">
        <f t="array" ref="ER31">+_xlfn.IFS(EW31&lt;&gt;0,EW$2,FB31&lt;&gt;0,FB$2,FG31&lt;&gt;0,FG$2,FL31&lt;&gt;0,FL$2,TRUE,"")</f>
        <v/>
      </c>
      <c r="ES31" s="1" t="str" cm="1">
        <f t="array" ref="ES31">+_xlfn.IFS(EX31&lt;&gt;0,EX$2,FC31&lt;&gt;0,FC$2,FH31&lt;&gt;0,FH$2,FM31&lt;&gt;0,FM$2,TRUE,"")</f>
        <v/>
      </c>
      <c r="ET31" s="1" t="str" cm="1">
        <f t="array" ref="ET31">+_xlfn.IFS(EY31&lt;&gt;0,EY$2,FD31&lt;&gt;0,FD$2,FI31&lt;&gt;0,FI$2,FN31&lt;&gt;0,FN$2,TRUE,"")</f>
        <v/>
      </c>
      <c r="EV31" s="111"/>
      <c r="EW31" s="110">
        <f t="shared" si="88"/>
        <v>0</v>
      </c>
      <c r="EX31" s="110">
        <f t="shared" si="89"/>
        <v>0</v>
      </c>
      <c r="EY31" s="110">
        <f t="shared" si="90"/>
        <v>0</v>
      </c>
      <c r="FA31" s="111"/>
      <c r="FB31" s="110">
        <f t="shared" si="91"/>
        <v>0</v>
      </c>
      <c r="FC31" s="110">
        <f t="shared" si="92"/>
        <v>0</v>
      </c>
      <c r="FD31" s="110">
        <f t="shared" si="93"/>
        <v>0</v>
      </c>
      <c r="FF31" s="111"/>
      <c r="FG31" s="110">
        <f t="shared" si="94"/>
        <v>0</v>
      </c>
      <c r="FH31" s="110">
        <f t="shared" si="95"/>
        <v>0</v>
      </c>
      <c r="FI31" s="110">
        <f t="shared" si="96"/>
        <v>0</v>
      </c>
      <c r="FK31" s="111"/>
      <c r="FL31" s="110">
        <f t="shared" si="97"/>
        <v>0</v>
      </c>
      <c r="FM31" s="110">
        <f t="shared" si="98"/>
        <v>0</v>
      </c>
      <c r="FN31" s="110">
        <f t="shared" si="99"/>
        <v>0</v>
      </c>
      <c r="FP31" s="111"/>
      <c r="FQ31" s="110">
        <f t="shared" si="100"/>
        <v>0</v>
      </c>
      <c r="FR31" s="110">
        <f t="shared" si="101"/>
        <v>0</v>
      </c>
      <c r="FS31" s="110">
        <f t="shared" si="102"/>
        <v>0</v>
      </c>
      <c r="FU31" s="111">
        <f t="shared" si="103"/>
        <v>0</v>
      </c>
      <c r="FV31" s="110">
        <f t="shared" si="104"/>
        <v>0</v>
      </c>
      <c r="FW31" s="110">
        <f t="shared" si="105"/>
        <v>0</v>
      </c>
      <c r="FX31" s="110">
        <f t="shared" si="106"/>
        <v>-53.54</v>
      </c>
      <c r="FY31" s="110">
        <f t="shared" si="107"/>
        <v>-54.32</v>
      </c>
      <c r="FZ31" s="110">
        <f t="shared" si="108"/>
        <v>-51.46</v>
      </c>
      <c r="GA31" s="110">
        <f t="shared" si="109"/>
        <v>-51.96</v>
      </c>
      <c r="GB31" s="110">
        <f t="shared" si="110"/>
        <v>-49</v>
      </c>
      <c r="GC31" s="110">
        <f t="shared" si="111"/>
        <v>-49</v>
      </c>
      <c r="GD31" s="110">
        <f t="shared" si="112"/>
        <v>-49</v>
      </c>
      <c r="GE31" s="110">
        <f t="shared" si="113"/>
        <v>-49</v>
      </c>
      <c r="GF31" s="110">
        <f t="shared" si="114"/>
        <v>0</v>
      </c>
      <c r="GG31" s="110">
        <f t="shared" si="115"/>
        <v>0</v>
      </c>
      <c r="GH31" s="110">
        <f t="shared" si="116"/>
        <v>0</v>
      </c>
      <c r="GI31" s="110">
        <f t="shared" si="117"/>
        <v>0</v>
      </c>
      <c r="GJ31" s="110">
        <f t="shared" si="118"/>
        <v>0</v>
      </c>
      <c r="GK31" s="110">
        <f t="shared" si="119"/>
        <v>0</v>
      </c>
      <c r="GL31" s="110">
        <f t="shared" si="120"/>
        <v>0</v>
      </c>
      <c r="GM31" s="110">
        <f t="shared" si="121"/>
        <v>0</v>
      </c>
      <c r="GN31" s="110">
        <f t="shared" si="122"/>
        <v>0</v>
      </c>
      <c r="GO31" s="110">
        <f t="shared" si="123"/>
        <v>0</v>
      </c>
      <c r="GP31" s="110">
        <f t="shared" si="124"/>
        <v>0</v>
      </c>
      <c r="GQ31" s="110">
        <f t="shared" si="125"/>
        <v>0</v>
      </c>
      <c r="GR31" s="110">
        <f t="shared" si="126"/>
        <v>0</v>
      </c>
      <c r="GS31" s="110">
        <f t="shared" si="127"/>
        <v>0</v>
      </c>
      <c r="GU31" s="109" cm="1">
        <f t="array" ref="GU31">+IFERROR(INDEX($C$3:$AM$3,MATCH(TRUE,INDEX($C31:$AM31&lt;&gt;0,0),0)),"N/A")</f>
        <v>45016</v>
      </c>
      <c r="GV31" s="112" t="str" cm="1">
        <f t="array" ref="GV31">+_xlfn.IFS(HV31&lt;&gt;0,HV$2,IV31&lt;&gt;0,IV$2,JV31&lt;&gt;0,JV$2,KV31&lt;&gt;0,KV$2,TRUE,"")</f>
        <v/>
      </c>
      <c r="GW31" s="1" t="str" cm="1">
        <f t="array" ref="GW31">+_xlfn.IFS(HW31&lt;&gt;0,HW$2,IW31&lt;&gt;0,IW$2,JW31&lt;&gt;0,JW$2,KW31&lt;&gt;0,KW$2,TRUE,"")</f>
        <v/>
      </c>
      <c r="GX31" s="1" t="str" cm="1">
        <f t="array" ref="GX31">+_xlfn.IFS(HX31&lt;&gt;0,HX$2,IX31&lt;&gt;0,IX$2,JX31&lt;&gt;0,JX$2,KX31&lt;&gt;0,KX$2,TRUE,"")</f>
        <v/>
      </c>
      <c r="GY31" s="1" t="str" cm="1">
        <f t="array" ref="GY31">+_xlfn.IFS(HY31&lt;&gt;0,HY$2,IY31&lt;&gt;0,IY$2,JY31&lt;&gt;0,JY$2,KY31&lt;&gt;0,KY$2,TRUE,"")</f>
        <v>Churn</v>
      </c>
      <c r="GZ31" s="1" t="str" cm="1">
        <f t="array" ref="GZ31">+_xlfn.IFS(HZ31&lt;&gt;0,HZ$2,IZ31&lt;&gt;0,IZ$2,JZ31&lt;&gt;0,JZ$2,KZ31&lt;&gt;0,KZ$2,TRUE,"")</f>
        <v>Churn</v>
      </c>
      <c r="HA31" s="1" t="str" cm="1">
        <f t="array" ref="HA31">+_xlfn.IFS(IA31&lt;&gt;0,IA$2,JA31&lt;&gt;0,JA$2,KA31&lt;&gt;0,KA$2,LA31&lt;&gt;0,LA$2,TRUE,"")</f>
        <v>Churn</v>
      </c>
      <c r="HB31" s="1" t="str" cm="1">
        <f t="array" ref="HB31">+_xlfn.IFS(IB31&lt;&gt;0,IB$2,JB31&lt;&gt;0,JB$2,KB31&lt;&gt;0,KB$2,LB31&lt;&gt;0,LB$2,TRUE,"")</f>
        <v>Churn</v>
      </c>
      <c r="HC31" s="1" t="str" cm="1">
        <f t="array" ref="HC31">+_xlfn.IFS(IC31&lt;&gt;0,IC$2,JC31&lt;&gt;0,JC$2,KC31&lt;&gt;0,KC$2,LC31&lt;&gt;0,LC$2,TRUE,"")</f>
        <v>Churn</v>
      </c>
      <c r="HD31" s="1" t="str" cm="1">
        <f t="array" ref="HD31">+_xlfn.IFS(ID31&lt;&gt;0,ID$2,JD31&lt;&gt;0,JD$2,KD31&lt;&gt;0,KD$2,LD31&lt;&gt;0,LD$2,TRUE,"")</f>
        <v>Churn</v>
      </c>
      <c r="HE31" s="1" t="str" cm="1">
        <f t="array" ref="HE31">+_xlfn.IFS(IE31&lt;&gt;0,IE$2,JE31&lt;&gt;0,JE$2,KE31&lt;&gt;0,KE$2,LE31&lt;&gt;0,LE$2,TRUE,"")</f>
        <v>Churn</v>
      </c>
      <c r="HF31" s="1" t="str" cm="1">
        <f t="array" ref="HF31">+_xlfn.IFS(IF31&lt;&gt;0,IF$2,JF31&lt;&gt;0,JF$2,KF31&lt;&gt;0,KF$2,LF31&lt;&gt;0,LF$2,TRUE,"")</f>
        <v>Churn</v>
      </c>
      <c r="HG31" s="1" t="str" cm="1">
        <f t="array" ref="HG31">+_xlfn.IFS(IG31&lt;&gt;0,IG$2,JG31&lt;&gt;0,JG$2,KG31&lt;&gt;0,KG$2,LG31&lt;&gt;0,LG$2,TRUE,"")</f>
        <v/>
      </c>
      <c r="HH31" s="1" t="str" cm="1">
        <f t="array" ref="HH31">+_xlfn.IFS(IH31&lt;&gt;0,IH$2,JH31&lt;&gt;0,JH$2,KH31&lt;&gt;0,KH$2,LH31&lt;&gt;0,LH$2,TRUE,"")</f>
        <v/>
      </c>
      <c r="HI31" s="1" t="str" cm="1">
        <f t="array" ref="HI31">+_xlfn.IFS(II31&lt;&gt;0,II$2,JI31&lt;&gt;0,JI$2,KI31&lt;&gt;0,KI$2,LI31&lt;&gt;0,LI$2,TRUE,"")</f>
        <v/>
      </c>
      <c r="HJ31" s="1" t="str" cm="1">
        <f t="array" ref="HJ31">+_xlfn.IFS(IJ31&lt;&gt;0,IJ$2,JJ31&lt;&gt;0,JJ$2,KJ31&lt;&gt;0,KJ$2,LJ31&lt;&gt;0,LJ$2,TRUE,"")</f>
        <v/>
      </c>
      <c r="HK31" s="1" t="str" cm="1">
        <f t="array" ref="HK31">+_xlfn.IFS(IK31&lt;&gt;0,IK$2,JK31&lt;&gt;0,JK$2,KK31&lt;&gt;0,KK$2,LK31&lt;&gt;0,LK$2,TRUE,"")</f>
        <v/>
      </c>
      <c r="HL31" s="1" t="str" cm="1">
        <f t="array" ref="HL31">+_xlfn.IFS(IL31&lt;&gt;0,IL$2,JL31&lt;&gt;0,JL$2,KL31&lt;&gt;0,KL$2,LL31&lt;&gt;0,LL$2,TRUE,"")</f>
        <v/>
      </c>
      <c r="HM31" s="1" t="str" cm="1">
        <f t="array" ref="HM31">+_xlfn.IFS(IM31&lt;&gt;0,IM$2,JM31&lt;&gt;0,JM$2,KM31&lt;&gt;0,KM$2,LM31&lt;&gt;0,LM$2,TRUE,"")</f>
        <v/>
      </c>
      <c r="HN31" s="1" t="str" cm="1">
        <f t="array" ref="HN31">+_xlfn.IFS(IN31&lt;&gt;0,IN$2,JN31&lt;&gt;0,JN$2,KN31&lt;&gt;0,KN$2,LN31&lt;&gt;0,LN$2,TRUE,"")</f>
        <v/>
      </c>
      <c r="HO31" s="1" t="str" cm="1">
        <f t="array" ref="HO31">+_xlfn.IFS(IO31&lt;&gt;0,IO$2,JO31&lt;&gt;0,JO$2,KO31&lt;&gt;0,KO$2,LO31&lt;&gt;0,LO$2,TRUE,"")</f>
        <v/>
      </c>
      <c r="HP31" s="1" t="str" cm="1">
        <f t="array" ref="HP31">+_xlfn.IFS(IP31&lt;&gt;0,IP$2,JP31&lt;&gt;0,JP$2,KP31&lt;&gt;0,KP$2,LP31&lt;&gt;0,LP$2,TRUE,"")</f>
        <v/>
      </c>
      <c r="HQ31" s="1" t="str" cm="1">
        <f t="array" ref="HQ31">+_xlfn.IFS(IQ31&lt;&gt;0,IQ$2,JQ31&lt;&gt;0,JQ$2,KQ31&lt;&gt;0,KQ$2,LQ31&lt;&gt;0,LQ$2,TRUE,"")</f>
        <v/>
      </c>
      <c r="HR31" s="1" t="str" cm="1">
        <f t="array" ref="HR31">+_xlfn.IFS(IR31&lt;&gt;0,IR$2,JR31&lt;&gt;0,JR$2,KR31&lt;&gt;0,KR$2,LR31&lt;&gt;0,LR$2,TRUE,"")</f>
        <v/>
      </c>
      <c r="HS31" s="1" t="str" cm="1">
        <f t="array" ref="HS31">+_xlfn.IFS(IS31&lt;&gt;0,IS$2,JS31&lt;&gt;0,JS$2,KS31&lt;&gt;0,KS$2,LS31&lt;&gt;0,LS$2,TRUE,"")</f>
        <v/>
      </c>
      <c r="HT31" s="1" t="str" cm="1">
        <f t="array" ref="HT31">+_xlfn.IFS(IT31&lt;&gt;0,IT$2,JT31&lt;&gt;0,JT$2,KT31&lt;&gt;0,KT$2,LT31&lt;&gt;0,LT$2,TRUE,"")</f>
        <v/>
      </c>
      <c r="HV31" s="111">
        <f t="shared" si="128"/>
        <v>0</v>
      </c>
      <c r="HW31" s="110">
        <f t="shared" si="129"/>
        <v>0</v>
      </c>
      <c r="HX31" s="110">
        <f t="shared" si="130"/>
        <v>0</v>
      </c>
      <c r="HY31" s="110">
        <f t="shared" si="131"/>
        <v>0</v>
      </c>
      <c r="HZ31" s="110">
        <f t="shared" si="132"/>
        <v>0</v>
      </c>
      <c r="IA31" s="110">
        <f t="shared" si="133"/>
        <v>0</v>
      </c>
      <c r="IB31" s="110">
        <f t="shared" si="134"/>
        <v>0</v>
      </c>
      <c r="IC31" s="110">
        <f t="shared" si="135"/>
        <v>0</v>
      </c>
      <c r="ID31" s="110">
        <f t="shared" si="136"/>
        <v>0</v>
      </c>
      <c r="IE31" s="110">
        <f t="shared" si="137"/>
        <v>0</v>
      </c>
      <c r="IF31" s="110">
        <f t="shared" si="138"/>
        <v>0</v>
      </c>
      <c r="IG31" s="110">
        <f t="shared" si="139"/>
        <v>0</v>
      </c>
      <c r="IH31" s="110">
        <f t="shared" si="140"/>
        <v>0</v>
      </c>
      <c r="II31" s="110">
        <f t="shared" si="141"/>
        <v>0</v>
      </c>
      <c r="IJ31" s="110">
        <f t="shared" si="142"/>
        <v>0</v>
      </c>
      <c r="IK31" s="110">
        <f t="shared" si="143"/>
        <v>0</v>
      </c>
      <c r="IL31" s="110">
        <f t="shared" si="144"/>
        <v>0</v>
      </c>
      <c r="IM31" s="110">
        <f t="shared" si="145"/>
        <v>0</v>
      </c>
      <c r="IN31" s="110">
        <f t="shared" si="146"/>
        <v>0</v>
      </c>
      <c r="IO31" s="110">
        <f t="shared" si="147"/>
        <v>0</v>
      </c>
      <c r="IP31" s="110">
        <f t="shared" si="148"/>
        <v>0</v>
      </c>
      <c r="IQ31" s="110">
        <f t="shared" si="149"/>
        <v>0</v>
      </c>
      <c r="IR31" s="110">
        <f t="shared" si="150"/>
        <v>0</v>
      </c>
      <c r="IS31" s="110">
        <f t="shared" si="151"/>
        <v>0</v>
      </c>
      <c r="IT31" s="110">
        <f t="shared" si="152"/>
        <v>0</v>
      </c>
      <c r="IV31" s="111">
        <f t="shared" si="153"/>
        <v>0</v>
      </c>
      <c r="IW31" s="110">
        <f t="shared" si="154"/>
        <v>0</v>
      </c>
      <c r="IX31" s="110">
        <f t="shared" si="155"/>
        <v>0</v>
      </c>
      <c r="IY31" s="110">
        <f t="shared" si="156"/>
        <v>-53.54</v>
      </c>
      <c r="IZ31" s="110">
        <f t="shared" si="157"/>
        <v>-54.32</v>
      </c>
      <c r="JA31" s="110">
        <f t="shared" si="158"/>
        <v>-51.46</v>
      </c>
      <c r="JB31" s="110">
        <f t="shared" si="159"/>
        <v>-51.96</v>
      </c>
      <c r="JC31" s="110">
        <f t="shared" si="160"/>
        <v>-49</v>
      </c>
      <c r="JD31" s="110">
        <f t="shared" si="161"/>
        <v>-49</v>
      </c>
      <c r="JE31" s="110">
        <f t="shared" si="162"/>
        <v>-49</v>
      </c>
      <c r="JF31" s="110">
        <f t="shared" si="163"/>
        <v>-49</v>
      </c>
      <c r="JG31" s="110">
        <f t="shared" si="164"/>
        <v>0</v>
      </c>
      <c r="JH31" s="110">
        <f t="shared" si="165"/>
        <v>0</v>
      </c>
      <c r="JI31" s="110">
        <f t="shared" si="166"/>
        <v>0</v>
      </c>
      <c r="JJ31" s="110">
        <f t="shared" si="167"/>
        <v>0</v>
      </c>
      <c r="JK31" s="110">
        <f t="shared" si="168"/>
        <v>0</v>
      </c>
      <c r="JL31" s="110">
        <f t="shared" si="169"/>
        <v>0</v>
      </c>
      <c r="JM31" s="110">
        <f t="shared" si="170"/>
        <v>0</v>
      </c>
      <c r="JN31" s="110">
        <f t="shared" si="171"/>
        <v>0</v>
      </c>
      <c r="JO31" s="110">
        <f t="shared" si="172"/>
        <v>0</v>
      </c>
      <c r="JP31" s="110">
        <f t="shared" si="173"/>
        <v>0</v>
      </c>
      <c r="JQ31" s="110">
        <f t="shared" si="174"/>
        <v>0</v>
      </c>
      <c r="JR31" s="110">
        <f t="shared" si="175"/>
        <v>0</v>
      </c>
      <c r="JS31" s="110">
        <f t="shared" si="176"/>
        <v>0</v>
      </c>
      <c r="JT31" s="110">
        <f t="shared" si="177"/>
        <v>0</v>
      </c>
      <c r="JV31" s="111">
        <f t="shared" si="178"/>
        <v>0</v>
      </c>
      <c r="JW31" s="110">
        <f t="shared" si="179"/>
        <v>0</v>
      </c>
      <c r="JX31" s="110">
        <f t="shared" si="180"/>
        <v>0</v>
      </c>
      <c r="JY31" s="110">
        <f t="shared" si="181"/>
        <v>0</v>
      </c>
      <c r="JZ31" s="110">
        <f t="shared" si="182"/>
        <v>0</v>
      </c>
      <c r="KA31" s="110">
        <f t="shared" si="183"/>
        <v>0</v>
      </c>
      <c r="KB31" s="110">
        <f t="shared" si="184"/>
        <v>0</v>
      </c>
      <c r="KC31" s="110">
        <f t="shared" si="185"/>
        <v>0</v>
      </c>
      <c r="KD31" s="110">
        <f t="shared" si="186"/>
        <v>0</v>
      </c>
      <c r="KE31" s="110">
        <f t="shared" si="187"/>
        <v>0</v>
      </c>
      <c r="KF31" s="110">
        <f t="shared" si="188"/>
        <v>0</v>
      </c>
      <c r="KG31" s="110">
        <f t="shared" si="189"/>
        <v>0</v>
      </c>
      <c r="KH31" s="110">
        <f t="shared" si="190"/>
        <v>0</v>
      </c>
      <c r="KI31" s="110">
        <f t="shared" si="191"/>
        <v>0</v>
      </c>
      <c r="KJ31" s="110">
        <f t="shared" si="192"/>
        <v>0</v>
      </c>
      <c r="KK31" s="110">
        <f t="shared" si="193"/>
        <v>0</v>
      </c>
      <c r="KL31" s="110">
        <f t="shared" si="194"/>
        <v>0</v>
      </c>
      <c r="KM31" s="110">
        <f t="shared" si="195"/>
        <v>0</v>
      </c>
      <c r="KN31" s="110">
        <f t="shared" si="196"/>
        <v>0</v>
      </c>
      <c r="KO31" s="110">
        <f t="shared" si="197"/>
        <v>0</v>
      </c>
      <c r="KP31" s="110">
        <f t="shared" si="198"/>
        <v>0</v>
      </c>
      <c r="KQ31" s="110">
        <f t="shared" si="199"/>
        <v>0</v>
      </c>
      <c r="KR31" s="110">
        <f t="shared" si="200"/>
        <v>0</v>
      </c>
      <c r="KS31" s="110">
        <f t="shared" si="201"/>
        <v>0</v>
      </c>
      <c r="KT31" s="110">
        <f t="shared" si="202"/>
        <v>0</v>
      </c>
      <c r="KV31" s="111">
        <f t="shared" si="203"/>
        <v>0</v>
      </c>
      <c r="KW31" s="110">
        <f t="shared" si="204"/>
        <v>0</v>
      </c>
      <c r="KX31" s="110">
        <f t="shared" si="205"/>
        <v>0</v>
      </c>
      <c r="KY31" s="110">
        <f t="shared" si="206"/>
        <v>0</v>
      </c>
      <c r="KZ31" s="110">
        <f t="shared" si="207"/>
        <v>0</v>
      </c>
      <c r="LA31" s="110">
        <f t="shared" si="208"/>
        <v>0</v>
      </c>
      <c r="LB31" s="110">
        <f t="shared" si="209"/>
        <v>0</v>
      </c>
      <c r="LC31" s="110">
        <f t="shared" si="210"/>
        <v>0</v>
      </c>
      <c r="LD31" s="110">
        <f t="shared" si="211"/>
        <v>0</v>
      </c>
      <c r="LE31" s="110">
        <f t="shared" si="212"/>
        <v>0</v>
      </c>
      <c r="LF31" s="110">
        <f t="shared" si="213"/>
        <v>0</v>
      </c>
      <c r="LG31" s="110">
        <f t="shared" si="214"/>
        <v>0</v>
      </c>
      <c r="LH31" s="110">
        <f t="shared" si="215"/>
        <v>0</v>
      </c>
      <c r="LI31" s="110">
        <f t="shared" si="216"/>
        <v>0</v>
      </c>
      <c r="LJ31" s="110">
        <f t="shared" si="217"/>
        <v>0</v>
      </c>
      <c r="LK31" s="110">
        <f t="shared" si="218"/>
        <v>0</v>
      </c>
      <c r="LL31" s="110">
        <f t="shared" si="219"/>
        <v>0</v>
      </c>
      <c r="LM31" s="110">
        <f t="shared" si="220"/>
        <v>0</v>
      </c>
      <c r="LN31" s="110">
        <f t="shared" si="221"/>
        <v>0</v>
      </c>
      <c r="LO31" s="110">
        <f t="shared" si="222"/>
        <v>0</v>
      </c>
      <c r="LP31" s="110">
        <f t="shared" si="223"/>
        <v>0</v>
      </c>
      <c r="LQ31" s="110">
        <f t="shared" si="224"/>
        <v>0</v>
      </c>
      <c r="LR31" s="110">
        <f t="shared" si="225"/>
        <v>0</v>
      </c>
      <c r="LS31" s="110">
        <f t="shared" si="226"/>
        <v>0</v>
      </c>
      <c r="LT31" s="110">
        <f t="shared" si="227"/>
        <v>0</v>
      </c>
      <c r="LV31" s="111"/>
      <c r="LW31" s="110">
        <f t="shared" si="228"/>
        <v>0</v>
      </c>
      <c r="LX31" s="110">
        <f t="shared" si="229"/>
        <v>0</v>
      </c>
      <c r="LY31" s="110">
        <f t="shared" si="230"/>
        <v>0</v>
      </c>
      <c r="LZ31" s="110">
        <f t="shared" si="231"/>
        <v>0</v>
      </c>
      <c r="MA31" s="110">
        <f t="shared" si="232"/>
        <v>0</v>
      </c>
      <c r="MB31" s="110">
        <f t="shared" si="233"/>
        <v>0</v>
      </c>
      <c r="MC31" s="110">
        <f t="shared" si="234"/>
        <v>0</v>
      </c>
      <c r="MD31" s="110">
        <f t="shared" si="235"/>
        <v>0</v>
      </c>
      <c r="ME31" s="110">
        <f t="shared" si="236"/>
        <v>0</v>
      </c>
      <c r="MF31" s="110">
        <f t="shared" si="237"/>
        <v>0</v>
      </c>
      <c r="MG31" s="110">
        <f t="shared" si="238"/>
        <v>0</v>
      </c>
      <c r="MH31" s="110">
        <f t="shared" si="239"/>
        <v>0</v>
      </c>
      <c r="MI31" s="110">
        <f t="shared" si="240"/>
        <v>0</v>
      </c>
      <c r="MJ31" s="110">
        <f t="shared" si="241"/>
        <v>0</v>
      </c>
      <c r="MK31" s="110">
        <f t="shared" si="242"/>
        <v>0</v>
      </c>
      <c r="ML31" s="110">
        <f t="shared" si="243"/>
        <v>0</v>
      </c>
      <c r="MM31" s="110">
        <f t="shared" si="244"/>
        <v>0</v>
      </c>
      <c r="MN31" s="110">
        <f t="shared" si="245"/>
        <v>0</v>
      </c>
      <c r="MO31" s="110">
        <f t="shared" si="246"/>
        <v>0</v>
      </c>
      <c r="MP31" s="110">
        <f t="shared" si="247"/>
        <v>0</v>
      </c>
      <c r="MQ31" s="110">
        <f t="shared" si="248"/>
        <v>0</v>
      </c>
      <c r="MR31" s="110">
        <f t="shared" si="249"/>
        <v>0</v>
      </c>
      <c r="MS31" s="110">
        <f t="shared" si="250"/>
        <v>0</v>
      </c>
      <c r="MT31" s="110">
        <f t="shared" si="251"/>
        <v>0</v>
      </c>
      <c r="MV31" s="114">
        <v>0</v>
      </c>
      <c r="MW31" s="114">
        <v>0</v>
      </c>
      <c r="MX31" s="114">
        <v>0</v>
      </c>
      <c r="MY31" s="114">
        <v>0</v>
      </c>
      <c r="MZ31" s="114">
        <v>0</v>
      </c>
      <c r="NB31" s="115" t="str">
        <v>N/A</v>
      </c>
      <c r="NC31" s="115" t="str">
        <v>N/A</v>
      </c>
      <c r="ND31" s="115" t="str">
        <v>N/A</v>
      </c>
      <c r="NE31" s="115" t="str">
        <v>N/A</v>
      </c>
      <c r="NF31" s="115" t="str">
        <v>N/A</v>
      </c>
    </row>
    <row r="32" spans="1:370" ht="13.5" x14ac:dyDescent="0.25">
      <c r="B32" s="8">
        <f t="shared" si="252"/>
        <v>29</v>
      </c>
      <c r="C32" s="7">
        <v>0</v>
      </c>
      <c r="D32" s="7">
        <v>0</v>
      </c>
      <c r="E32" s="7">
        <v>0</v>
      </c>
      <c r="F32" s="7">
        <v>87.99</v>
      </c>
      <c r="G32" s="7">
        <v>87.99</v>
      </c>
      <c r="H32" s="7">
        <v>87.99</v>
      </c>
      <c r="I32" s="7">
        <v>87.99</v>
      </c>
      <c r="J32" s="7">
        <v>87.99</v>
      </c>
      <c r="K32" s="7">
        <v>87.99</v>
      </c>
      <c r="L32" s="7">
        <v>87.99</v>
      </c>
      <c r="M32" s="7">
        <v>87.99</v>
      </c>
      <c r="N32" s="7">
        <v>87.99</v>
      </c>
      <c r="O32" s="7">
        <v>87.99</v>
      </c>
      <c r="P32" s="7">
        <v>87.99</v>
      </c>
      <c r="Q32" s="7">
        <v>87.99</v>
      </c>
      <c r="R32" s="7">
        <v>87.99</v>
      </c>
      <c r="S32" s="7">
        <v>87.99</v>
      </c>
      <c r="T32" s="7">
        <v>87.99</v>
      </c>
      <c r="U32" s="7">
        <v>87.99</v>
      </c>
      <c r="V32" s="7">
        <v>87.99</v>
      </c>
      <c r="W32" s="7">
        <v>87.99</v>
      </c>
      <c r="X32" s="7">
        <v>87.99</v>
      </c>
      <c r="Y32" s="7">
        <v>87.99</v>
      </c>
      <c r="Z32" s="7">
        <v>87.99</v>
      </c>
      <c r="AA32" s="7">
        <v>87.99</v>
      </c>
      <c r="AB32" s="7">
        <v>87.99</v>
      </c>
      <c r="AC32" s="7">
        <v>87.99</v>
      </c>
      <c r="AD32" s="7">
        <v>87.99</v>
      </c>
      <c r="AE32" s="7">
        <v>87.99</v>
      </c>
      <c r="AF32" s="7">
        <v>87.99</v>
      </c>
      <c r="AG32" s="7">
        <v>87.99</v>
      </c>
      <c r="AH32" s="7">
        <v>87.99</v>
      </c>
      <c r="AI32" s="7">
        <v>87.99</v>
      </c>
      <c r="AJ32" s="7">
        <v>87.99</v>
      </c>
      <c r="AK32" s="7">
        <v>87.99</v>
      </c>
      <c r="AL32" s="7">
        <v>87.99</v>
      </c>
      <c r="AM32" s="7">
        <v>87.99</v>
      </c>
      <c r="AN32" s="27">
        <v>29</v>
      </c>
      <c r="AP32" s="111"/>
      <c r="AQ32" s="110">
        <f t="shared" si="13"/>
        <v>87.99</v>
      </c>
      <c r="AR32" s="110">
        <f t="shared" si="14"/>
        <v>0</v>
      </c>
      <c r="AS32" s="110">
        <f t="shared" si="15"/>
        <v>0</v>
      </c>
      <c r="AT32" s="110">
        <f t="shared" si="16"/>
        <v>0</v>
      </c>
      <c r="AU32" s="110">
        <f t="shared" si="17"/>
        <v>0</v>
      </c>
      <c r="AV32" s="110">
        <f t="shared" si="18"/>
        <v>0</v>
      </c>
      <c r="AW32" s="110">
        <f t="shared" si="19"/>
        <v>0</v>
      </c>
      <c r="AX32" s="110">
        <f t="shared" si="20"/>
        <v>0</v>
      </c>
      <c r="AY32" s="110">
        <f t="shared" si="21"/>
        <v>0</v>
      </c>
      <c r="AZ32" s="110">
        <f t="shared" si="22"/>
        <v>0</v>
      </c>
      <c r="BA32" s="110">
        <f t="shared" si="23"/>
        <v>0</v>
      </c>
      <c r="BB32" s="110">
        <f t="shared" si="24"/>
        <v>0</v>
      </c>
      <c r="BD32" s="109" cm="1">
        <f t="array" ref="BD32">+IFERROR(INDEX($C$3:$AM$3,MATCH(TRUE,INDEX($C32:$AM32&lt;&gt;0,0),0)),"N/A")</f>
        <v>45016</v>
      </c>
      <c r="BE32" s="112"/>
      <c r="BF32" s="1" t="str" cm="1">
        <f t="array" ref="BF32">+_xlfn.IFS(BT32&lt;&gt;0,BT$2,CH32&lt;&gt;0,CH$2,CV32&lt;&gt;0,CV$2,DJ32&lt;&gt;0,DJ$2,TRUE,"")</f>
        <v>New</v>
      </c>
      <c r="BG32" s="1" t="str" cm="1">
        <f t="array" ref="BG32">+_xlfn.IFS(BU32&lt;&gt;0,BU$2,CI32&lt;&gt;0,CI$2,CW32&lt;&gt;0,CW$2,DK32&lt;&gt;0,DK$2,TRUE,"")</f>
        <v/>
      </c>
      <c r="BH32" s="1" t="str" cm="1">
        <f t="array" ref="BH32">+_xlfn.IFS(BV32&lt;&gt;0,BV$2,CJ32&lt;&gt;0,CJ$2,CX32&lt;&gt;0,CX$2,DL32&lt;&gt;0,DL$2,TRUE,"")</f>
        <v/>
      </c>
      <c r="BI32" s="1" t="str" cm="1">
        <f t="array" ref="BI32">+_xlfn.IFS(BW32&lt;&gt;0,BW$2,CK32&lt;&gt;0,CK$2,CY32&lt;&gt;0,CY$2,DM32&lt;&gt;0,DM$2,TRUE,"")</f>
        <v/>
      </c>
      <c r="BJ32" s="1" t="str" cm="1">
        <f t="array" ref="BJ32">+_xlfn.IFS(BX32&lt;&gt;0,BX$2,CL32&lt;&gt;0,CL$2,CZ32&lt;&gt;0,CZ$2,DN32&lt;&gt;0,DN$2,TRUE,"")</f>
        <v/>
      </c>
      <c r="BK32" s="1" t="str" cm="1">
        <f t="array" ref="BK32">+_xlfn.IFS(BY32&lt;&gt;0,BY$2,CM32&lt;&gt;0,CM$2,DA32&lt;&gt;0,DA$2,DO32&lt;&gt;0,DO$2,TRUE,"")</f>
        <v/>
      </c>
      <c r="BL32" s="1" t="str" cm="1">
        <f t="array" ref="BL32">+_xlfn.IFS(BZ32&lt;&gt;0,BZ$2,CN32&lt;&gt;0,CN$2,DB32&lt;&gt;0,DB$2,DP32&lt;&gt;0,DP$2,TRUE,"")</f>
        <v/>
      </c>
      <c r="BM32" s="1" t="str" cm="1">
        <f t="array" ref="BM32">+_xlfn.IFS(CA32&lt;&gt;0,CA$2,CO32&lt;&gt;0,CO$2,DC32&lt;&gt;0,DC$2,DQ32&lt;&gt;0,DQ$2,TRUE,"")</f>
        <v/>
      </c>
      <c r="BN32" s="1" t="str" cm="1">
        <f t="array" ref="BN32">+_xlfn.IFS(CB32&lt;&gt;0,CB$2,CP32&lt;&gt;0,CP$2,DD32&lt;&gt;0,DD$2,DR32&lt;&gt;0,DR$2,TRUE,"")</f>
        <v/>
      </c>
      <c r="BO32" s="1" t="str" cm="1">
        <f t="array" ref="BO32">+_xlfn.IFS(CC32&lt;&gt;0,CC$2,CQ32&lt;&gt;0,CQ$2,DE32&lt;&gt;0,DE$2,DS32&lt;&gt;0,DS$2,TRUE,"")</f>
        <v/>
      </c>
      <c r="BP32" s="1" t="str" cm="1">
        <f t="array" ref="BP32">+_xlfn.IFS(CD32&lt;&gt;0,CD$2,CR32&lt;&gt;0,CR$2,DF32&lt;&gt;0,DF$2,DT32&lt;&gt;0,DT$2,TRUE,"")</f>
        <v/>
      </c>
      <c r="BQ32" s="1" t="str" cm="1">
        <f t="array" ref="BQ32">+_xlfn.IFS(CE32&lt;&gt;0,CE$2,CS32&lt;&gt;0,CS$2,DG32&lt;&gt;0,DG$2,DU32&lt;&gt;0,DU$2,TRUE,"")</f>
        <v/>
      </c>
      <c r="BS32" s="111"/>
      <c r="BT32" s="110">
        <f t="shared" si="25"/>
        <v>87.99</v>
      </c>
      <c r="BU32" s="110">
        <f t="shared" si="26"/>
        <v>0</v>
      </c>
      <c r="BV32" s="110">
        <f t="shared" si="27"/>
        <v>0</v>
      </c>
      <c r="BW32" s="110">
        <f t="shared" si="28"/>
        <v>0</v>
      </c>
      <c r="BX32" s="110">
        <f t="shared" si="29"/>
        <v>0</v>
      </c>
      <c r="BY32" s="110">
        <f t="shared" si="30"/>
        <v>0</v>
      </c>
      <c r="BZ32" s="110">
        <f t="shared" si="31"/>
        <v>0</v>
      </c>
      <c r="CA32" s="110">
        <f t="shared" si="32"/>
        <v>0</v>
      </c>
      <c r="CB32" s="110">
        <f t="shared" si="33"/>
        <v>0</v>
      </c>
      <c r="CC32" s="110">
        <f t="shared" si="34"/>
        <v>0</v>
      </c>
      <c r="CD32" s="110">
        <f t="shared" si="35"/>
        <v>0</v>
      </c>
      <c r="CE32" s="110">
        <f t="shared" si="36"/>
        <v>0</v>
      </c>
      <c r="CG32" s="111"/>
      <c r="CH32" s="110">
        <f t="shared" si="37"/>
        <v>0</v>
      </c>
      <c r="CI32" s="110">
        <f t="shared" si="38"/>
        <v>0</v>
      </c>
      <c r="CJ32" s="110">
        <f t="shared" si="39"/>
        <v>0</v>
      </c>
      <c r="CK32" s="110">
        <f t="shared" si="40"/>
        <v>0</v>
      </c>
      <c r="CL32" s="110">
        <f t="shared" si="41"/>
        <v>0</v>
      </c>
      <c r="CM32" s="110">
        <f t="shared" si="42"/>
        <v>0</v>
      </c>
      <c r="CN32" s="110">
        <f t="shared" si="43"/>
        <v>0</v>
      </c>
      <c r="CO32" s="110">
        <f t="shared" si="44"/>
        <v>0</v>
      </c>
      <c r="CP32" s="110">
        <f t="shared" si="45"/>
        <v>0</v>
      </c>
      <c r="CQ32" s="110">
        <f t="shared" si="46"/>
        <v>0</v>
      </c>
      <c r="CR32" s="110">
        <f t="shared" si="47"/>
        <v>0</v>
      </c>
      <c r="CS32" s="110">
        <f t="shared" si="48"/>
        <v>0</v>
      </c>
      <c r="CU32" s="111"/>
      <c r="CV32" s="110">
        <f t="shared" si="49"/>
        <v>0</v>
      </c>
      <c r="CW32" s="110">
        <f t="shared" si="50"/>
        <v>0</v>
      </c>
      <c r="CX32" s="110">
        <f t="shared" si="51"/>
        <v>0</v>
      </c>
      <c r="CY32" s="110">
        <f t="shared" si="52"/>
        <v>0</v>
      </c>
      <c r="CZ32" s="110">
        <f t="shared" si="53"/>
        <v>0</v>
      </c>
      <c r="DA32" s="110">
        <f t="shared" si="54"/>
        <v>0</v>
      </c>
      <c r="DB32" s="110">
        <f t="shared" si="55"/>
        <v>0</v>
      </c>
      <c r="DC32" s="110">
        <f t="shared" si="56"/>
        <v>0</v>
      </c>
      <c r="DD32" s="110">
        <f t="shared" si="57"/>
        <v>0</v>
      </c>
      <c r="DE32" s="110">
        <f t="shared" si="58"/>
        <v>0</v>
      </c>
      <c r="DF32" s="110">
        <f t="shared" si="59"/>
        <v>0</v>
      </c>
      <c r="DG32" s="110">
        <f t="shared" si="60"/>
        <v>0</v>
      </c>
      <c r="DI32" s="111"/>
      <c r="DJ32" s="110">
        <f t="shared" si="61"/>
        <v>0</v>
      </c>
      <c r="DK32" s="110">
        <f t="shared" si="62"/>
        <v>0</v>
      </c>
      <c r="DL32" s="110">
        <f t="shared" si="63"/>
        <v>0</v>
      </c>
      <c r="DM32" s="110">
        <f t="shared" si="64"/>
        <v>0</v>
      </c>
      <c r="DN32" s="110">
        <f t="shared" si="65"/>
        <v>0</v>
      </c>
      <c r="DO32" s="110">
        <f t="shared" si="66"/>
        <v>0</v>
      </c>
      <c r="DP32" s="110">
        <f t="shared" si="67"/>
        <v>0</v>
      </c>
      <c r="DQ32" s="110">
        <f t="shared" si="68"/>
        <v>0</v>
      </c>
      <c r="DR32" s="110">
        <f t="shared" si="69"/>
        <v>0</v>
      </c>
      <c r="DS32" s="110">
        <f t="shared" si="70"/>
        <v>0</v>
      </c>
      <c r="DT32" s="110">
        <f t="shared" si="71"/>
        <v>0</v>
      </c>
      <c r="DU32" s="110">
        <f t="shared" si="72"/>
        <v>0</v>
      </c>
      <c r="DW32" s="111"/>
      <c r="DX32" s="110">
        <f t="shared" si="73"/>
        <v>0</v>
      </c>
      <c r="DY32" s="110">
        <f t="shared" si="74"/>
        <v>0</v>
      </c>
      <c r="DZ32" s="110">
        <f t="shared" si="75"/>
        <v>0</v>
      </c>
      <c r="EA32" s="110">
        <f t="shared" si="76"/>
        <v>0</v>
      </c>
      <c r="EB32" s="110">
        <f t="shared" si="77"/>
        <v>0</v>
      </c>
      <c r="EC32" s="110">
        <f t="shared" si="78"/>
        <v>0</v>
      </c>
      <c r="ED32" s="110">
        <f t="shared" si="79"/>
        <v>0</v>
      </c>
      <c r="EE32" s="110">
        <f t="shared" si="80"/>
        <v>0</v>
      </c>
      <c r="EF32" s="110">
        <f t="shared" si="81"/>
        <v>0</v>
      </c>
      <c r="EG32" s="110">
        <f t="shared" si="82"/>
        <v>0</v>
      </c>
      <c r="EH32" s="110">
        <f t="shared" si="83"/>
        <v>0</v>
      </c>
      <c r="EI32" s="110">
        <f t="shared" si="84"/>
        <v>0</v>
      </c>
      <c r="EK32" s="111"/>
      <c r="EL32" s="110">
        <f t="shared" si="85"/>
        <v>87.99</v>
      </c>
      <c r="EM32" s="110">
        <f t="shared" si="86"/>
        <v>0</v>
      </c>
      <c r="EN32" s="110">
        <f t="shared" si="87"/>
        <v>0</v>
      </c>
      <c r="EP32" s="109" cm="1">
        <f t="array" ref="EP32">+IFERROR(INDEX($C$3:$AM$3,MATCH(TRUE,INDEX($C32:$AM32&lt;&gt;0,0),0)),"N/A")</f>
        <v>45016</v>
      </c>
      <c r="EQ32" s="112"/>
      <c r="ER32" s="1" t="str" cm="1">
        <f t="array" ref="ER32">+_xlfn.IFS(EW32&lt;&gt;0,EW$2,FB32&lt;&gt;0,FB$2,FG32&lt;&gt;0,FG$2,FL32&lt;&gt;0,FL$2,TRUE,"")</f>
        <v>New</v>
      </c>
      <c r="ES32" s="1" t="str" cm="1">
        <f t="array" ref="ES32">+_xlfn.IFS(EX32&lt;&gt;0,EX$2,FC32&lt;&gt;0,FC$2,FH32&lt;&gt;0,FH$2,FM32&lt;&gt;0,FM$2,TRUE,"")</f>
        <v/>
      </c>
      <c r="ET32" s="1" t="str" cm="1">
        <f t="array" ref="ET32">+_xlfn.IFS(EY32&lt;&gt;0,EY$2,FD32&lt;&gt;0,FD$2,FI32&lt;&gt;0,FI$2,FN32&lt;&gt;0,FN$2,TRUE,"")</f>
        <v/>
      </c>
      <c r="EV32" s="111"/>
      <c r="EW32" s="110">
        <f t="shared" si="88"/>
        <v>87.99</v>
      </c>
      <c r="EX32" s="110">
        <f t="shared" si="89"/>
        <v>0</v>
      </c>
      <c r="EY32" s="110">
        <f t="shared" si="90"/>
        <v>0</v>
      </c>
      <c r="FA32" s="111"/>
      <c r="FB32" s="110">
        <f t="shared" si="91"/>
        <v>0</v>
      </c>
      <c r="FC32" s="110">
        <f t="shared" si="92"/>
        <v>0</v>
      </c>
      <c r="FD32" s="110">
        <f t="shared" si="93"/>
        <v>0</v>
      </c>
      <c r="FF32" s="111"/>
      <c r="FG32" s="110">
        <f t="shared" si="94"/>
        <v>0</v>
      </c>
      <c r="FH32" s="110">
        <f t="shared" si="95"/>
        <v>0</v>
      </c>
      <c r="FI32" s="110">
        <f t="shared" si="96"/>
        <v>0</v>
      </c>
      <c r="FK32" s="111"/>
      <c r="FL32" s="110">
        <f t="shared" si="97"/>
        <v>0</v>
      </c>
      <c r="FM32" s="110">
        <f t="shared" si="98"/>
        <v>0</v>
      </c>
      <c r="FN32" s="110">
        <f t="shared" si="99"/>
        <v>0</v>
      </c>
      <c r="FP32" s="111"/>
      <c r="FQ32" s="110">
        <f t="shared" si="100"/>
        <v>0</v>
      </c>
      <c r="FR32" s="110">
        <f t="shared" si="101"/>
        <v>0</v>
      </c>
      <c r="FS32" s="110">
        <f t="shared" si="102"/>
        <v>0</v>
      </c>
      <c r="FU32" s="111">
        <f t="shared" si="103"/>
        <v>87.99</v>
      </c>
      <c r="FV32" s="110">
        <f t="shared" si="104"/>
        <v>87.99</v>
      </c>
      <c r="FW32" s="110">
        <f t="shared" si="105"/>
        <v>87.99</v>
      </c>
      <c r="FX32" s="110">
        <f t="shared" si="106"/>
        <v>0</v>
      </c>
      <c r="FY32" s="110">
        <f t="shared" si="107"/>
        <v>0</v>
      </c>
      <c r="FZ32" s="110">
        <f t="shared" si="108"/>
        <v>0</v>
      </c>
      <c r="GA32" s="110">
        <f t="shared" si="109"/>
        <v>0</v>
      </c>
      <c r="GB32" s="110">
        <f t="shared" si="110"/>
        <v>0</v>
      </c>
      <c r="GC32" s="110">
        <f t="shared" si="111"/>
        <v>0</v>
      </c>
      <c r="GD32" s="110">
        <f t="shared" si="112"/>
        <v>0</v>
      </c>
      <c r="GE32" s="110">
        <f t="shared" si="113"/>
        <v>0</v>
      </c>
      <c r="GF32" s="110">
        <f t="shared" si="114"/>
        <v>0</v>
      </c>
      <c r="GG32" s="110">
        <f t="shared" si="115"/>
        <v>0</v>
      </c>
      <c r="GH32" s="110">
        <f t="shared" si="116"/>
        <v>0</v>
      </c>
      <c r="GI32" s="110">
        <f t="shared" si="117"/>
        <v>0</v>
      </c>
      <c r="GJ32" s="110">
        <f t="shared" si="118"/>
        <v>0</v>
      </c>
      <c r="GK32" s="110">
        <f t="shared" si="119"/>
        <v>0</v>
      </c>
      <c r="GL32" s="110">
        <f t="shared" si="120"/>
        <v>0</v>
      </c>
      <c r="GM32" s="110">
        <f t="shared" si="121"/>
        <v>0</v>
      </c>
      <c r="GN32" s="110">
        <f t="shared" si="122"/>
        <v>0</v>
      </c>
      <c r="GO32" s="110">
        <f t="shared" si="123"/>
        <v>0</v>
      </c>
      <c r="GP32" s="110">
        <f t="shared" si="124"/>
        <v>0</v>
      </c>
      <c r="GQ32" s="110">
        <f t="shared" si="125"/>
        <v>0</v>
      </c>
      <c r="GR32" s="110">
        <f t="shared" si="126"/>
        <v>0</v>
      </c>
      <c r="GS32" s="110">
        <f t="shared" si="127"/>
        <v>0</v>
      </c>
      <c r="GU32" s="109" cm="1">
        <f t="array" ref="GU32">+IFERROR(INDEX($C$3:$AM$3,MATCH(TRUE,INDEX($C32:$AM32&lt;&gt;0,0),0)),"N/A")</f>
        <v>45016</v>
      </c>
      <c r="GV32" s="112" t="str" cm="1">
        <f t="array" ref="GV32">+_xlfn.IFS(HV32&lt;&gt;0,HV$2,IV32&lt;&gt;0,IV$2,JV32&lt;&gt;0,JV$2,KV32&lt;&gt;0,KV$2,TRUE,"")</f>
        <v>New</v>
      </c>
      <c r="GW32" s="1" t="str" cm="1">
        <f t="array" ref="GW32">+_xlfn.IFS(HW32&lt;&gt;0,HW$2,IW32&lt;&gt;0,IW$2,JW32&lt;&gt;0,JW$2,KW32&lt;&gt;0,KW$2,TRUE,"")</f>
        <v>New</v>
      </c>
      <c r="GX32" s="1" t="str" cm="1">
        <f t="array" ref="GX32">+_xlfn.IFS(HX32&lt;&gt;0,HX$2,IX32&lt;&gt;0,IX$2,JX32&lt;&gt;0,JX$2,KX32&lt;&gt;0,KX$2,TRUE,"")</f>
        <v>New</v>
      </c>
      <c r="GY32" s="1" t="str" cm="1">
        <f t="array" ref="GY32">+_xlfn.IFS(HY32&lt;&gt;0,HY$2,IY32&lt;&gt;0,IY$2,JY32&lt;&gt;0,JY$2,KY32&lt;&gt;0,KY$2,TRUE,"")</f>
        <v/>
      </c>
      <c r="GZ32" s="1" t="str" cm="1">
        <f t="array" ref="GZ32">+_xlfn.IFS(HZ32&lt;&gt;0,HZ$2,IZ32&lt;&gt;0,IZ$2,JZ32&lt;&gt;0,JZ$2,KZ32&lt;&gt;0,KZ$2,TRUE,"")</f>
        <v/>
      </c>
      <c r="HA32" s="1" t="str" cm="1">
        <f t="array" ref="HA32">+_xlfn.IFS(IA32&lt;&gt;0,IA$2,JA32&lt;&gt;0,JA$2,KA32&lt;&gt;0,KA$2,LA32&lt;&gt;0,LA$2,TRUE,"")</f>
        <v/>
      </c>
      <c r="HB32" s="1" t="str" cm="1">
        <f t="array" ref="HB32">+_xlfn.IFS(IB32&lt;&gt;0,IB$2,JB32&lt;&gt;0,JB$2,KB32&lt;&gt;0,KB$2,LB32&lt;&gt;0,LB$2,TRUE,"")</f>
        <v/>
      </c>
      <c r="HC32" s="1" t="str" cm="1">
        <f t="array" ref="HC32">+_xlfn.IFS(IC32&lt;&gt;0,IC$2,JC32&lt;&gt;0,JC$2,KC32&lt;&gt;0,KC$2,LC32&lt;&gt;0,LC$2,TRUE,"")</f>
        <v/>
      </c>
      <c r="HD32" s="1" t="str" cm="1">
        <f t="array" ref="HD32">+_xlfn.IFS(ID32&lt;&gt;0,ID$2,JD32&lt;&gt;0,JD$2,KD32&lt;&gt;0,KD$2,LD32&lt;&gt;0,LD$2,TRUE,"")</f>
        <v/>
      </c>
      <c r="HE32" s="1" t="str" cm="1">
        <f t="array" ref="HE32">+_xlfn.IFS(IE32&lt;&gt;0,IE$2,JE32&lt;&gt;0,JE$2,KE32&lt;&gt;0,KE$2,LE32&lt;&gt;0,LE$2,TRUE,"")</f>
        <v/>
      </c>
      <c r="HF32" s="1" t="str" cm="1">
        <f t="array" ref="HF32">+_xlfn.IFS(IF32&lt;&gt;0,IF$2,JF32&lt;&gt;0,JF$2,KF32&lt;&gt;0,KF$2,LF32&lt;&gt;0,LF$2,TRUE,"")</f>
        <v/>
      </c>
      <c r="HG32" s="1" t="str" cm="1">
        <f t="array" ref="HG32">+_xlfn.IFS(IG32&lt;&gt;0,IG$2,JG32&lt;&gt;0,JG$2,KG32&lt;&gt;0,KG$2,LG32&lt;&gt;0,LG$2,TRUE,"")</f>
        <v/>
      </c>
      <c r="HH32" s="1" t="str" cm="1">
        <f t="array" ref="HH32">+_xlfn.IFS(IH32&lt;&gt;0,IH$2,JH32&lt;&gt;0,JH$2,KH32&lt;&gt;0,KH$2,LH32&lt;&gt;0,LH$2,TRUE,"")</f>
        <v/>
      </c>
      <c r="HI32" s="1" t="str" cm="1">
        <f t="array" ref="HI32">+_xlfn.IFS(II32&lt;&gt;0,II$2,JI32&lt;&gt;0,JI$2,KI32&lt;&gt;0,KI$2,LI32&lt;&gt;0,LI$2,TRUE,"")</f>
        <v/>
      </c>
      <c r="HJ32" s="1" t="str" cm="1">
        <f t="array" ref="HJ32">+_xlfn.IFS(IJ32&lt;&gt;0,IJ$2,JJ32&lt;&gt;0,JJ$2,KJ32&lt;&gt;0,KJ$2,LJ32&lt;&gt;0,LJ$2,TRUE,"")</f>
        <v/>
      </c>
      <c r="HK32" s="1" t="str" cm="1">
        <f t="array" ref="HK32">+_xlfn.IFS(IK32&lt;&gt;0,IK$2,JK32&lt;&gt;0,JK$2,KK32&lt;&gt;0,KK$2,LK32&lt;&gt;0,LK$2,TRUE,"")</f>
        <v/>
      </c>
      <c r="HL32" s="1" t="str" cm="1">
        <f t="array" ref="HL32">+_xlfn.IFS(IL32&lt;&gt;0,IL$2,JL32&lt;&gt;0,JL$2,KL32&lt;&gt;0,KL$2,LL32&lt;&gt;0,LL$2,TRUE,"")</f>
        <v/>
      </c>
      <c r="HM32" s="1" t="str" cm="1">
        <f t="array" ref="HM32">+_xlfn.IFS(IM32&lt;&gt;0,IM$2,JM32&lt;&gt;0,JM$2,KM32&lt;&gt;0,KM$2,LM32&lt;&gt;0,LM$2,TRUE,"")</f>
        <v/>
      </c>
      <c r="HN32" s="1" t="str" cm="1">
        <f t="array" ref="HN32">+_xlfn.IFS(IN32&lt;&gt;0,IN$2,JN32&lt;&gt;0,JN$2,KN32&lt;&gt;0,KN$2,LN32&lt;&gt;0,LN$2,TRUE,"")</f>
        <v/>
      </c>
      <c r="HO32" s="1" t="str" cm="1">
        <f t="array" ref="HO32">+_xlfn.IFS(IO32&lt;&gt;0,IO$2,JO32&lt;&gt;0,JO$2,KO32&lt;&gt;0,KO$2,LO32&lt;&gt;0,LO$2,TRUE,"")</f>
        <v/>
      </c>
      <c r="HP32" s="1" t="str" cm="1">
        <f t="array" ref="HP32">+_xlfn.IFS(IP32&lt;&gt;0,IP$2,JP32&lt;&gt;0,JP$2,KP32&lt;&gt;0,KP$2,LP32&lt;&gt;0,LP$2,TRUE,"")</f>
        <v/>
      </c>
      <c r="HQ32" s="1" t="str" cm="1">
        <f t="array" ref="HQ32">+_xlfn.IFS(IQ32&lt;&gt;0,IQ$2,JQ32&lt;&gt;0,JQ$2,KQ32&lt;&gt;0,KQ$2,LQ32&lt;&gt;0,LQ$2,TRUE,"")</f>
        <v/>
      </c>
      <c r="HR32" s="1" t="str" cm="1">
        <f t="array" ref="HR32">+_xlfn.IFS(IR32&lt;&gt;0,IR$2,JR32&lt;&gt;0,JR$2,KR32&lt;&gt;0,KR$2,LR32&lt;&gt;0,LR$2,TRUE,"")</f>
        <v/>
      </c>
      <c r="HS32" s="1" t="str" cm="1">
        <f t="array" ref="HS32">+_xlfn.IFS(IS32&lt;&gt;0,IS$2,JS32&lt;&gt;0,JS$2,KS32&lt;&gt;0,KS$2,LS32&lt;&gt;0,LS$2,TRUE,"")</f>
        <v/>
      </c>
      <c r="HT32" s="1" t="str" cm="1">
        <f t="array" ref="HT32">+_xlfn.IFS(IT32&lt;&gt;0,IT$2,JT32&lt;&gt;0,JT$2,KT32&lt;&gt;0,KT$2,LT32&lt;&gt;0,LT$2,TRUE,"")</f>
        <v/>
      </c>
      <c r="HV32" s="111">
        <f t="shared" si="128"/>
        <v>87.99</v>
      </c>
      <c r="HW32" s="110">
        <f t="shared" si="129"/>
        <v>87.99</v>
      </c>
      <c r="HX32" s="110">
        <f t="shared" si="130"/>
        <v>87.99</v>
      </c>
      <c r="HY32" s="110">
        <f t="shared" si="131"/>
        <v>0</v>
      </c>
      <c r="HZ32" s="110">
        <f t="shared" si="132"/>
        <v>0</v>
      </c>
      <c r="IA32" s="110">
        <f t="shared" si="133"/>
        <v>0</v>
      </c>
      <c r="IB32" s="110">
        <f t="shared" si="134"/>
        <v>0</v>
      </c>
      <c r="IC32" s="110">
        <f t="shared" si="135"/>
        <v>0</v>
      </c>
      <c r="ID32" s="110">
        <f t="shared" si="136"/>
        <v>0</v>
      </c>
      <c r="IE32" s="110">
        <f t="shared" si="137"/>
        <v>0</v>
      </c>
      <c r="IF32" s="110">
        <f t="shared" si="138"/>
        <v>0</v>
      </c>
      <c r="IG32" s="110">
        <f t="shared" si="139"/>
        <v>0</v>
      </c>
      <c r="IH32" s="110">
        <f t="shared" si="140"/>
        <v>0</v>
      </c>
      <c r="II32" s="110">
        <f t="shared" si="141"/>
        <v>0</v>
      </c>
      <c r="IJ32" s="110">
        <f t="shared" si="142"/>
        <v>0</v>
      </c>
      <c r="IK32" s="110">
        <f t="shared" si="143"/>
        <v>0</v>
      </c>
      <c r="IL32" s="110">
        <f t="shared" si="144"/>
        <v>0</v>
      </c>
      <c r="IM32" s="110">
        <f t="shared" si="145"/>
        <v>0</v>
      </c>
      <c r="IN32" s="110">
        <f t="shared" si="146"/>
        <v>0</v>
      </c>
      <c r="IO32" s="110">
        <f t="shared" si="147"/>
        <v>0</v>
      </c>
      <c r="IP32" s="110">
        <f t="shared" si="148"/>
        <v>0</v>
      </c>
      <c r="IQ32" s="110">
        <f t="shared" si="149"/>
        <v>0</v>
      </c>
      <c r="IR32" s="110">
        <f t="shared" si="150"/>
        <v>0</v>
      </c>
      <c r="IS32" s="110">
        <f t="shared" si="151"/>
        <v>0</v>
      </c>
      <c r="IT32" s="110">
        <f t="shared" si="152"/>
        <v>0</v>
      </c>
      <c r="IV32" s="111">
        <f t="shared" si="153"/>
        <v>0</v>
      </c>
      <c r="IW32" s="110">
        <f t="shared" si="154"/>
        <v>0</v>
      </c>
      <c r="IX32" s="110">
        <f t="shared" si="155"/>
        <v>0</v>
      </c>
      <c r="IY32" s="110">
        <f t="shared" si="156"/>
        <v>0</v>
      </c>
      <c r="IZ32" s="110">
        <f t="shared" si="157"/>
        <v>0</v>
      </c>
      <c r="JA32" s="110">
        <f t="shared" si="158"/>
        <v>0</v>
      </c>
      <c r="JB32" s="110">
        <f t="shared" si="159"/>
        <v>0</v>
      </c>
      <c r="JC32" s="110">
        <f t="shared" si="160"/>
        <v>0</v>
      </c>
      <c r="JD32" s="110">
        <f t="shared" si="161"/>
        <v>0</v>
      </c>
      <c r="JE32" s="110">
        <f t="shared" si="162"/>
        <v>0</v>
      </c>
      <c r="JF32" s="110">
        <f t="shared" si="163"/>
        <v>0</v>
      </c>
      <c r="JG32" s="110">
        <f t="shared" si="164"/>
        <v>0</v>
      </c>
      <c r="JH32" s="110">
        <f t="shared" si="165"/>
        <v>0</v>
      </c>
      <c r="JI32" s="110">
        <f t="shared" si="166"/>
        <v>0</v>
      </c>
      <c r="JJ32" s="110">
        <f t="shared" si="167"/>
        <v>0</v>
      </c>
      <c r="JK32" s="110">
        <f t="shared" si="168"/>
        <v>0</v>
      </c>
      <c r="JL32" s="110">
        <f t="shared" si="169"/>
        <v>0</v>
      </c>
      <c r="JM32" s="110">
        <f t="shared" si="170"/>
        <v>0</v>
      </c>
      <c r="JN32" s="110">
        <f t="shared" si="171"/>
        <v>0</v>
      </c>
      <c r="JO32" s="110">
        <f t="shared" si="172"/>
        <v>0</v>
      </c>
      <c r="JP32" s="110">
        <f t="shared" si="173"/>
        <v>0</v>
      </c>
      <c r="JQ32" s="110">
        <f t="shared" si="174"/>
        <v>0</v>
      </c>
      <c r="JR32" s="110">
        <f t="shared" si="175"/>
        <v>0</v>
      </c>
      <c r="JS32" s="110">
        <f t="shared" si="176"/>
        <v>0</v>
      </c>
      <c r="JT32" s="110">
        <f t="shared" si="177"/>
        <v>0</v>
      </c>
      <c r="JV32" s="111">
        <f t="shared" si="178"/>
        <v>0</v>
      </c>
      <c r="JW32" s="110">
        <f t="shared" si="179"/>
        <v>0</v>
      </c>
      <c r="JX32" s="110">
        <f t="shared" si="180"/>
        <v>0</v>
      </c>
      <c r="JY32" s="110">
        <f t="shared" si="181"/>
        <v>0</v>
      </c>
      <c r="JZ32" s="110">
        <f t="shared" si="182"/>
        <v>0</v>
      </c>
      <c r="KA32" s="110">
        <f t="shared" si="183"/>
        <v>0</v>
      </c>
      <c r="KB32" s="110">
        <f t="shared" si="184"/>
        <v>0</v>
      </c>
      <c r="KC32" s="110">
        <f t="shared" si="185"/>
        <v>0</v>
      </c>
      <c r="KD32" s="110">
        <f t="shared" si="186"/>
        <v>0</v>
      </c>
      <c r="KE32" s="110">
        <f t="shared" si="187"/>
        <v>0</v>
      </c>
      <c r="KF32" s="110">
        <f t="shared" si="188"/>
        <v>0</v>
      </c>
      <c r="KG32" s="110">
        <f t="shared" si="189"/>
        <v>0</v>
      </c>
      <c r="KH32" s="110">
        <f t="shared" si="190"/>
        <v>0</v>
      </c>
      <c r="KI32" s="110">
        <f t="shared" si="191"/>
        <v>0</v>
      </c>
      <c r="KJ32" s="110">
        <f t="shared" si="192"/>
        <v>0</v>
      </c>
      <c r="KK32" s="110">
        <f t="shared" si="193"/>
        <v>0</v>
      </c>
      <c r="KL32" s="110">
        <f t="shared" si="194"/>
        <v>0</v>
      </c>
      <c r="KM32" s="110">
        <f t="shared" si="195"/>
        <v>0</v>
      </c>
      <c r="KN32" s="110">
        <f t="shared" si="196"/>
        <v>0</v>
      </c>
      <c r="KO32" s="110">
        <f t="shared" si="197"/>
        <v>0</v>
      </c>
      <c r="KP32" s="110">
        <f t="shared" si="198"/>
        <v>0</v>
      </c>
      <c r="KQ32" s="110">
        <f t="shared" si="199"/>
        <v>0</v>
      </c>
      <c r="KR32" s="110">
        <f t="shared" si="200"/>
        <v>0</v>
      </c>
      <c r="KS32" s="110">
        <f t="shared" si="201"/>
        <v>0</v>
      </c>
      <c r="KT32" s="110">
        <f t="shared" si="202"/>
        <v>0</v>
      </c>
      <c r="KV32" s="111">
        <f t="shared" si="203"/>
        <v>0</v>
      </c>
      <c r="KW32" s="110">
        <f t="shared" si="204"/>
        <v>0</v>
      </c>
      <c r="KX32" s="110">
        <f t="shared" si="205"/>
        <v>0</v>
      </c>
      <c r="KY32" s="110">
        <f t="shared" si="206"/>
        <v>0</v>
      </c>
      <c r="KZ32" s="110">
        <f t="shared" si="207"/>
        <v>0</v>
      </c>
      <c r="LA32" s="110">
        <f t="shared" si="208"/>
        <v>0</v>
      </c>
      <c r="LB32" s="110">
        <f t="shared" si="209"/>
        <v>0</v>
      </c>
      <c r="LC32" s="110">
        <f t="shared" si="210"/>
        <v>0</v>
      </c>
      <c r="LD32" s="110">
        <f t="shared" si="211"/>
        <v>0</v>
      </c>
      <c r="LE32" s="110">
        <f t="shared" si="212"/>
        <v>0</v>
      </c>
      <c r="LF32" s="110">
        <f t="shared" si="213"/>
        <v>0</v>
      </c>
      <c r="LG32" s="110">
        <f t="shared" si="214"/>
        <v>0</v>
      </c>
      <c r="LH32" s="110">
        <f t="shared" si="215"/>
        <v>0</v>
      </c>
      <c r="LI32" s="110">
        <f t="shared" si="216"/>
        <v>0</v>
      </c>
      <c r="LJ32" s="110">
        <f t="shared" si="217"/>
        <v>0</v>
      </c>
      <c r="LK32" s="110">
        <f t="shared" si="218"/>
        <v>0</v>
      </c>
      <c r="LL32" s="110">
        <f t="shared" si="219"/>
        <v>0</v>
      </c>
      <c r="LM32" s="110">
        <f t="shared" si="220"/>
        <v>0</v>
      </c>
      <c r="LN32" s="110">
        <f t="shared" si="221"/>
        <v>0</v>
      </c>
      <c r="LO32" s="110">
        <f t="shared" si="222"/>
        <v>0</v>
      </c>
      <c r="LP32" s="110">
        <f t="shared" si="223"/>
        <v>0</v>
      </c>
      <c r="LQ32" s="110">
        <f t="shared" si="224"/>
        <v>0</v>
      </c>
      <c r="LR32" s="110">
        <f t="shared" si="225"/>
        <v>0</v>
      </c>
      <c r="LS32" s="110">
        <f t="shared" si="226"/>
        <v>0</v>
      </c>
      <c r="LT32" s="110">
        <f t="shared" si="227"/>
        <v>0</v>
      </c>
      <c r="LV32" s="111"/>
      <c r="LW32" s="110">
        <f t="shared" si="228"/>
        <v>0</v>
      </c>
      <c r="LX32" s="110">
        <f t="shared" si="229"/>
        <v>0</v>
      </c>
      <c r="LY32" s="110">
        <f t="shared" si="230"/>
        <v>0</v>
      </c>
      <c r="LZ32" s="110">
        <f t="shared" si="231"/>
        <v>0</v>
      </c>
      <c r="MA32" s="110">
        <f t="shared" si="232"/>
        <v>0</v>
      </c>
      <c r="MB32" s="110">
        <f t="shared" si="233"/>
        <v>0</v>
      </c>
      <c r="MC32" s="110">
        <f t="shared" si="234"/>
        <v>0</v>
      </c>
      <c r="MD32" s="110">
        <f t="shared" si="235"/>
        <v>0</v>
      </c>
      <c r="ME32" s="110">
        <f t="shared" si="236"/>
        <v>0</v>
      </c>
      <c r="MF32" s="110">
        <f t="shared" si="237"/>
        <v>0</v>
      </c>
      <c r="MG32" s="110">
        <f t="shared" si="238"/>
        <v>0</v>
      </c>
      <c r="MH32" s="110">
        <f t="shared" si="239"/>
        <v>0</v>
      </c>
      <c r="MI32" s="110">
        <f t="shared" si="240"/>
        <v>0</v>
      </c>
      <c r="MJ32" s="110">
        <f t="shared" si="241"/>
        <v>0</v>
      </c>
      <c r="MK32" s="110">
        <f t="shared" si="242"/>
        <v>0</v>
      </c>
      <c r="ML32" s="110">
        <f t="shared" si="243"/>
        <v>0</v>
      </c>
      <c r="MM32" s="110">
        <f t="shared" si="244"/>
        <v>0</v>
      </c>
      <c r="MN32" s="110">
        <f t="shared" si="245"/>
        <v>0</v>
      </c>
      <c r="MO32" s="110">
        <f t="shared" si="246"/>
        <v>0</v>
      </c>
      <c r="MP32" s="110">
        <f t="shared" si="247"/>
        <v>0</v>
      </c>
      <c r="MQ32" s="110">
        <f t="shared" si="248"/>
        <v>0</v>
      </c>
      <c r="MR32" s="110">
        <f t="shared" si="249"/>
        <v>0</v>
      </c>
      <c r="MS32" s="110">
        <f t="shared" si="250"/>
        <v>0</v>
      </c>
      <c r="MT32" s="110">
        <f t="shared" si="251"/>
        <v>0</v>
      </c>
      <c r="MV32" s="114">
        <v>87.99</v>
      </c>
      <c r="MW32" s="114">
        <v>0</v>
      </c>
      <c r="MX32" s="114">
        <v>0</v>
      </c>
      <c r="MY32" s="114">
        <v>0</v>
      </c>
      <c r="MZ32" s="114">
        <v>0</v>
      </c>
      <c r="NB32" s="115">
        <v>81</v>
      </c>
      <c r="NC32" s="115" t="str">
        <v>N/A</v>
      </c>
      <c r="ND32" s="115" t="str">
        <v>N/A</v>
      </c>
      <c r="NE32" s="115" t="str">
        <v>N/A</v>
      </c>
      <c r="NF32" s="115" t="str">
        <v>N/A</v>
      </c>
    </row>
    <row r="33" spans="2:370" ht="13.5" x14ac:dyDescent="0.25">
      <c r="B33" s="8">
        <f t="shared" si="252"/>
        <v>30</v>
      </c>
      <c r="C33" s="7">
        <v>0</v>
      </c>
      <c r="D33" s="7">
        <v>0</v>
      </c>
      <c r="E33" s="7">
        <v>0</v>
      </c>
      <c r="F33" s="7">
        <v>98.25</v>
      </c>
      <c r="G33" s="7">
        <v>107.25</v>
      </c>
      <c r="H33" s="7">
        <v>97.609999999999985</v>
      </c>
      <c r="I33" s="7">
        <v>128.60999999999999</v>
      </c>
      <c r="J33" s="7">
        <v>87.99</v>
      </c>
      <c r="K33" s="7">
        <v>87.99</v>
      </c>
      <c r="L33" s="7">
        <v>87.99</v>
      </c>
      <c r="M33" s="7">
        <v>87.99</v>
      </c>
      <c r="N33" s="7">
        <v>87.99</v>
      </c>
      <c r="O33" s="7">
        <v>87.99</v>
      </c>
      <c r="P33" s="7">
        <v>87.99</v>
      </c>
      <c r="Q33" s="7">
        <v>87.99</v>
      </c>
      <c r="R33" s="7">
        <v>87.99</v>
      </c>
      <c r="S33" s="7">
        <v>87.99</v>
      </c>
      <c r="T33" s="7">
        <v>87.99</v>
      </c>
      <c r="U33" s="7">
        <v>87.99</v>
      </c>
      <c r="V33" s="7">
        <v>87.99</v>
      </c>
      <c r="W33" s="7">
        <v>87.99</v>
      </c>
      <c r="X33" s="7">
        <v>87.99</v>
      </c>
      <c r="Y33" s="7">
        <v>87.99</v>
      </c>
      <c r="Z33" s="7">
        <v>87.99</v>
      </c>
      <c r="AA33" s="7">
        <v>87.99</v>
      </c>
      <c r="AB33" s="7">
        <v>87.99</v>
      </c>
      <c r="AC33" s="7">
        <v>87.99</v>
      </c>
      <c r="AD33" s="7">
        <v>87.99</v>
      </c>
      <c r="AE33" s="7">
        <v>87.99</v>
      </c>
      <c r="AF33" s="7">
        <v>87.99</v>
      </c>
      <c r="AG33" s="7">
        <v>87.99</v>
      </c>
      <c r="AH33" s="7">
        <v>87.99</v>
      </c>
      <c r="AI33" s="7">
        <v>87.99</v>
      </c>
      <c r="AJ33" s="7">
        <v>87.99</v>
      </c>
      <c r="AK33" s="7">
        <v>87.99</v>
      </c>
      <c r="AL33" s="7">
        <v>87.99</v>
      </c>
      <c r="AM33" s="7">
        <v>87.99</v>
      </c>
      <c r="AN33" s="27">
        <v>30</v>
      </c>
      <c r="AP33" s="111"/>
      <c r="AQ33" s="110">
        <f t="shared" si="13"/>
        <v>98.25</v>
      </c>
      <c r="AR33" s="110">
        <f t="shared" si="14"/>
        <v>30.359999999999985</v>
      </c>
      <c r="AS33" s="110">
        <f t="shared" si="15"/>
        <v>-40.61999999999999</v>
      </c>
      <c r="AT33" s="110">
        <f t="shared" si="16"/>
        <v>0</v>
      </c>
      <c r="AU33" s="110">
        <f t="shared" si="17"/>
        <v>0</v>
      </c>
      <c r="AV33" s="110">
        <f t="shared" si="18"/>
        <v>0</v>
      </c>
      <c r="AW33" s="110">
        <f t="shared" si="19"/>
        <v>0</v>
      </c>
      <c r="AX33" s="110">
        <f t="shared" si="20"/>
        <v>0</v>
      </c>
      <c r="AY33" s="110">
        <f t="shared" si="21"/>
        <v>0</v>
      </c>
      <c r="AZ33" s="110">
        <f t="shared" si="22"/>
        <v>0</v>
      </c>
      <c r="BA33" s="110">
        <f t="shared" si="23"/>
        <v>0</v>
      </c>
      <c r="BB33" s="110">
        <f t="shared" si="24"/>
        <v>0</v>
      </c>
      <c r="BD33" s="109" cm="1">
        <f t="array" ref="BD33">+IFERROR(INDEX($C$3:$AM$3,MATCH(TRUE,INDEX($C33:$AM33&lt;&gt;0,0),0)),"N/A")</f>
        <v>45016</v>
      </c>
      <c r="BE33" s="112"/>
      <c r="BF33" s="1" t="str" cm="1">
        <f t="array" ref="BF33">+_xlfn.IFS(BT33&lt;&gt;0,BT$2,CH33&lt;&gt;0,CH$2,CV33&lt;&gt;0,CV$2,DJ33&lt;&gt;0,DJ$2,TRUE,"")</f>
        <v>New</v>
      </c>
      <c r="BG33" s="1" t="str" cm="1">
        <f t="array" ref="BG33">+_xlfn.IFS(BU33&lt;&gt;0,BU$2,CI33&lt;&gt;0,CI$2,CW33&lt;&gt;0,CW$2,DK33&lt;&gt;0,DK$2,TRUE,"")</f>
        <v>Upsell</v>
      </c>
      <c r="BH33" s="1" t="str" cm="1">
        <f t="array" ref="BH33">+_xlfn.IFS(BV33&lt;&gt;0,BV$2,CJ33&lt;&gt;0,CJ$2,CX33&lt;&gt;0,CX$2,DL33&lt;&gt;0,DL$2,TRUE,"")</f>
        <v>Downsell</v>
      </c>
      <c r="BI33" s="1" t="str" cm="1">
        <f t="array" ref="BI33">+_xlfn.IFS(BW33&lt;&gt;0,BW$2,CK33&lt;&gt;0,CK$2,CY33&lt;&gt;0,CY$2,DM33&lt;&gt;0,DM$2,TRUE,"")</f>
        <v/>
      </c>
      <c r="BJ33" s="1" t="str" cm="1">
        <f t="array" ref="BJ33">+_xlfn.IFS(BX33&lt;&gt;0,BX$2,CL33&lt;&gt;0,CL$2,CZ33&lt;&gt;0,CZ$2,DN33&lt;&gt;0,DN$2,TRUE,"")</f>
        <v/>
      </c>
      <c r="BK33" s="1" t="str" cm="1">
        <f t="array" ref="BK33">+_xlfn.IFS(BY33&lt;&gt;0,BY$2,CM33&lt;&gt;0,CM$2,DA33&lt;&gt;0,DA$2,DO33&lt;&gt;0,DO$2,TRUE,"")</f>
        <v/>
      </c>
      <c r="BL33" s="1" t="str" cm="1">
        <f t="array" ref="BL33">+_xlfn.IFS(BZ33&lt;&gt;0,BZ$2,CN33&lt;&gt;0,CN$2,DB33&lt;&gt;0,DB$2,DP33&lt;&gt;0,DP$2,TRUE,"")</f>
        <v/>
      </c>
      <c r="BM33" s="1" t="str" cm="1">
        <f t="array" ref="BM33">+_xlfn.IFS(CA33&lt;&gt;0,CA$2,CO33&lt;&gt;0,CO$2,DC33&lt;&gt;0,DC$2,DQ33&lt;&gt;0,DQ$2,TRUE,"")</f>
        <v/>
      </c>
      <c r="BN33" s="1" t="str" cm="1">
        <f t="array" ref="BN33">+_xlfn.IFS(CB33&lt;&gt;0,CB$2,CP33&lt;&gt;0,CP$2,DD33&lt;&gt;0,DD$2,DR33&lt;&gt;0,DR$2,TRUE,"")</f>
        <v/>
      </c>
      <c r="BO33" s="1" t="str" cm="1">
        <f t="array" ref="BO33">+_xlfn.IFS(CC33&lt;&gt;0,CC$2,CQ33&lt;&gt;0,CQ$2,DE33&lt;&gt;0,DE$2,DS33&lt;&gt;0,DS$2,TRUE,"")</f>
        <v/>
      </c>
      <c r="BP33" s="1" t="str" cm="1">
        <f t="array" ref="BP33">+_xlfn.IFS(CD33&lt;&gt;0,CD$2,CR33&lt;&gt;0,CR$2,DF33&lt;&gt;0,DF$2,DT33&lt;&gt;0,DT$2,TRUE,"")</f>
        <v/>
      </c>
      <c r="BQ33" s="1" t="str" cm="1">
        <f t="array" ref="BQ33">+_xlfn.IFS(CE33&lt;&gt;0,CE$2,CS33&lt;&gt;0,CS$2,DG33&lt;&gt;0,DG$2,DU33&lt;&gt;0,DU$2,TRUE,"")</f>
        <v/>
      </c>
      <c r="BS33" s="111"/>
      <c r="BT33" s="110">
        <f t="shared" si="25"/>
        <v>98.25</v>
      </c>
      <c r="BU33" s="110">
        <f t="shared" si="26"/>
        <v>0</v>
      </c>
      <c r="BV33" s="110">
        <f t="shared" si="27"/>
        <v>0</v>
      </c>
      <c r="BW33" s="110">
        <f t="shared" si="28"/>
        <v>0</v>
      </c>
      <c r="BX33" s="110">
        <f t="shared" si="29"/>
        <v>0</v>
      </c>
      <c r="BY33" s="110">
        <f t="shared" si="30"/>
        <v>0</v>
      </c>
      <c r="BZ33" s="110">
        <f t="shared" si="31"/>
        <v>0</v>
      </c>
      <c r="CA33" s="110">
        <f t="shared" si="32"/>
        <v>0</v>
      </c>
      <c r="CB33" s="110">
        <f t="shared" si="33"/>
        <v>0</v>
      </c>
      <c r="CC33" s="110">
        <f t="shared" si="34"/>
        <v>0</v>
      </c>
      <c r="CD33" s="110">
        <f t="shared" si="35"/>
        <v>0</v>
      </c>
      <c r="CE33" s="110">
        <f t="shared" si="36"/>
        <v>0</v>
      </c>
      <c r="CG33" s="111"/>
      <c r="CH33" s="110">
        <f t="shared" si="37"/>
        <v>0</v>
      </c>
      <c r="CI33" s="110">
        <f t="shared" si="38"/>
        <v>0</v>
      </c>
      <c r="CJ33" s="110">
        <f t="shared" si="39"/>
        <v>0</v>
      </c>
      <c r="CK33" s="110">
        <f t="shared" si="40"/>
        <v>0</v>
      </c>
      <c r="CL33" s="110">
        <f t="shared" si="41"/>
        <v>0</v>
      </c>
      <c r="CM33" s="110">
        <f t="shared" si="42"/>
        <v>0</v>
      </c>
      <c r="CN33" s="110">
        <f t="shared" si="43"/>
        <v>0</v>
      </c>
      <c r="CO33" s="110">
        <f t="shared" si="44"/>
        <v>0</v>
      </c>
      <c r="CP33" s="110">
        <f t="shared" si="45"/>
        <v>0</v>
      </c>
      <c r="CQ33" s="110">
        <f t="shared" si="46"/>
        <v>0</v>
      </c>
      <c r="CR33" s="110">
        <f t="shared" si="47"/>
        <v>0</v>
      </c>
      <c r="CS33" s="110">
        <f t="shared" si="48"/>
        <v>0</v>
      </c>
      <c r="CU33" s="111"/>
      <c r="CV33" s="110">
        <f t="shared" si="49"/>
        <v>0</v>
      </c>
      <c r="CW33" s="110">
        <f t="shared" si="50"/>
        <v>0</v>
      </c>
      <c r="CX33" s="110">
        <f t="shared" si="51"/>
        <v>-40.61999999999999</v>
      </c>
      <c r="CY33" s="110">
        <f t="shared" si="52"/>
        <v>0</v>
      </c>
      <c r="CZ33" s="110">
        <f t="shared" si="53"/>
        <v>0</v>
      </c>
      <c r="DA33" s="110">
        <f t="shared" si="54"/>
        <v>0</v>
      </c>
      <c r="DB33" s="110">
        <f t="shared" si="55"/>
        <v>0</v>
      </c>
      <c r="DC33" s="110">
        <f t="shared" si="56"/>
        <v>0</v>
      </c>
      <c r="DD33" s="110">
        <f t="shared" si="57"/>
        <v>0</v>
      </c>
      <c r="DE33" s="110">
        <f t="shared" si="58"/>
        <v>0</v>
      </c>
      <c r="DF33" s="110">
        <f t="shared" si="59"/>
        <v>0</v>
      </c>
      <c r="DG33" s="110">
        <f t="shared" si="60"/>
        <v>0</v>
      </c>
      <c r="DI33" s="111"/>
      <c r="DJ33" s="110">
        <f t="shared" si="61"/>
        <v>0</v>
      </c>
      <c r="DK33" s="110">
        <f t="shared" si="62"/>
        <v>30.359999999999985</v>
      </c>
      <c r="DL33" s="110">
        <f t="shared" si="63"/>
        <v>0</v>
      </c>
      <c r="DM33" s="110">
        <f t="shared" si="64"/>
        <v>0</v>
      </c>
      <c r="DN33" s="110">
        <f t="shared" si="65"/>
        <v>0</v>
      </c>
      <c r="DO33" s="110">
        <f t="shared" si="66"/>
        <v>0</v>
      </c>
      <c r="DP33" s="110">
        <f t="shared" si="67"/>
        <v>0</v>
      </c>
      <c r="DQ33" s="110">
        <f t="shared" si="68"/>
        <v>0</v>
      </c>
      <c r="DR33" s="110">
        <f t="shared" si="69"/>
        <v>0</v>
      </c>
      <c r="DS33" s="110">
        <f t="shared" si="70"/>
        <v>0</v>
      </c>
      <c r="DT33" s="110">
        <f t="shared" si="71"/>
        <v>0</v>
      </c>
      <c r="DU33" s="110">
        <f t="shared" si="72"/>
        <v>0</v>
      </c>
      <c r="DW33" s="111"/>
      <c r="DX33" s="110">
        <f t="shared" si="73"/>
        <v>0</v>
      </c>
      <c r="DY33" s="110">
        <f t="shared" si="74"/>
        <v>0</v>
      </c>
      <c r="DZ33" s="110">
        <f t="shared" si="75"/>
        <v>0</v>
      </c>
      <c r="EA33" s="110">
        <f t="shared" si="76"/>
        <v>0</v>
      </c>
      <c r="EB33" s="110">
        <f t="shared" si="77"/>
        <v>0</v>
      </c>
      <c r="EC33" s="110">
        <f t="shared" si="78"/>
        <v>0</v>
      </c>
      <c r="ED33" s="110">
        <f t="shared" si="79"/>
        <v>0</v>
      </c>
      <c r="EE33" s="110">
        <f t="shared" si="80"/>
        <v>0</v>
      </c>
      <c r="EF33" s="110">
        <f t="shared" si="81"/>
        <v>0</v>
      </c>
      <c r="EG33" s="110">
        <f t="shared" si="82"/>
        <v>0</v>
      </c>
      <c r="EH33" s="110">
        <f t="shared" si="83"/>
        <v>0</v>
      </c>
      <c r="EI33" s="110">
        <f t="shared" si="84"/>
        <v>0</v>
      </c>
      <c r="EK33" s="111"/>
      <c r="EL33" s="110">
        <f t="shared" si="85"/>
        <v>87.99</v>
      </c>
      <c r="EM33" s="110">
        <f t="shared" si="86"/>
        <v>0</v>
      </c>
      <c r="EN33" s="110">
        <f t="shared" si="87"/>
        <v>0</v>
      </c>
      <c r="EP33" s="109" cm="1">
        <f t="array" ref="EP33">+IFERROR(INDEX($C$3:$AM$3,MATCH(TRUE,INDEX($C33:$AM33&lt;&gt;0,0),0)),"N/A")</f>
        <v>45016</v>
      </c>
      <c r="EQ33" s="112"/>
      <c r="ER33" s="1" t="str" cm="1">
        <f t="array" ref="ER33">+_xlfn.IFS(EW33&lt;&gt;0,EW$2,FB33&lt;&gt;0,FB$2,FG33&lt;&gt;0,FG$2,FL33&lt;&gt;0,FL$2,TRUE,"")</f>
        <v>New</v>
      </c>
      <c r="ES33" s="1" t="str" cm="1">
        <f t="array" ref="ES33">+_xlfn.IFS(EX33&lt;&gt;0,EX$2,FC33&lt;&gt;0,FC$2,FH33&lt;&gt;0,FH$2,FM33&lt;&gt;0,FM$2,TRUE,"")</f>
        <v/>
      </c>
      <c r="ET33" s="1" t="str" cm="1">
        <f t="array" ref="ET33">+_xlfn.IFS(EY33&lt;&gt;0,EY$2,FD33&lt;&gt;0,FD$2,FI33&lt;&gt;0,FI$2,FN33&lt;&gt;0,FN$2,TRUE,"")</f>
        <v/>
      </c>
      <c r="EV33" s="111"/>
      <c r="EW33" s="110">
        <f t="shared" si="88"/>
        <v>87.99</v>
      </c>
      <c r="EX33" s="110">
        <f t="shared" si="89"/>
        <v>0</v>
      </c>
      <c r="EY33" s="110">
        <f t="shared" si="90"/>
        <v>0</v>
      </c>
      <c r="FA33" s="111"/>
      <c r="FB33" s="110">
        <f t="shared" si="91"/>
        <v>0</v>
      </c>
      <c r="FC33" s="110">
        <f t="shared" si="92"/>
        <v>0</v>
      </c>
      <c r="FD33" s="110">
        <f t="shared" si="93"/>
        <v>0</v>
      </c>
      <c r="FF33" s="111"/>
      <c r="FG33" s="110">
        <f t="shared" si="94"/>
        <v>0</v>
      </c>
      <c r="FH33" s="110">
        <f t="shared" si="95"/>
        <v>0</v>
      </c>
      <c r="FI33" s="110">
        <f t="shared" si="96"/>
        <v>0</v>
      </c>
      <c r="FK33" s="111"/>
      <c r="FL33" s="110">
        <f t="shared" si="97"/>
        <v>0</v>
      </c>
      <c r="FM33" s="110">
        <f t="shared" si="98"/>
        <v>0</v>
      </c>
      <c r="FN33" s="110">
        <f t="shared" si="99"/>
        <v>0</v>
      </c>
      <c r="FP33" s="111"/>
      <c r="FQ33" s="110">
        <f t="shared" si="100"/>
        <v>0</v>
      </c>
      <c r="FR33" s="110">
        <f t="shared" si="101"/>
        <v>0</v>
      </c>
      <c r="FS33" s="110">
        <f t="shared" si="102"/>
        <v>0</v>
      </c>
      <c r="FU33" s="111">
        <f t="shared" si="103"/>
        <v>87.99</v>
      </c>
      <c r="FV33" s="110">
        <f t="shared" si="104"/>
        <v>87.99</v>
      </c>
      <c r="FW33" s="110">
        <f t="shared" si="105"/>
        <v>87.99</v>
      </c>
      <c r="FX33" s="110">
        <f t="shared" si="106"/>
        <v>-10.260000000000005</v>
      </c>
      <c r="FY33" s="110">
        <f t="shared" si="107"/>
        <v>-19.260000000000005</v>
      </c>
      <c r="FZ33" s="110">
        <f t="shared" si="108"/>
        <v>-9.6199999999999903</v>
      </c>
      <c r="GA33" s="110">
        <f t="shared" si="109"/>
        <v>-40.61999999999999</v>
      </c>
      <c r="GB33" s="110">
        <f t="shared" si="110"/>
        <v>0</v>
      </c>
      <c r="GC33" s="110">
        <f t="shared" si="111"/>
        <v>0</v>
      </c>
      <c r="GD33" s="110">
        <f t="shared" si="112"/>
        <v>0</v>
      </c>
      <c r="GE33" s="110">
        <f t="shared" si="113"/>
        <v>0</v>
      </c>
      <c r="GF33" s="110">
        <f t="shared" si="114"/>
        <v>0</v>
      </c>
      <c r="GG33" s="110">
        <f t="shared" si="115"/>
        <v>0</v>
      </c>
      <c r="GH33" s="110">
        <f t="shared" si="116"/>
        <v>0</v>
      </c>
      <c r="GI33" s="110">
        <f t="shared" si="117"/>
        <v>0</v>
      </c>
      <c r="GJ33" s="110">
        <f t="shared" si="118"/>
        <v>0</v>
      </c>
      <c r="GK33" s="110">
        <f t="shared" si="119"/>
        <v>0</v>
      </c>
      <c r="GL33" s="110">
        <f t="shared" si="120"/>
        <v>0</v>
      </c>
      <c r="GM33" s="110">
        <f t="shared" si="121"/>
        <v>0</v>
      </c>
      <c r="GN33" s="110">
        <f t="shared" si="122"/>
        <v>0</v>
      </c>
      <c r="GO33" s="110">
        <f t="shared" si="123"/>
        <v>0</v>
      </c>
      <c r="GP33" s="110">
        <f t="shared" si="124"/>
        <v>0</v>
      </c>
      <c r="GQ33" s="110">
        <f t="shared" si="125"/>
        <v>0</v>
      </c>
      <c r="GR33" s="110">
        <f t="shared" si="126"/>
        <v>0</v>
      </c>
      <c r="GS33" s="110">
        <f t="shared" si="127"/>
        <v>0</v>
      </c>
      <c r="GU33" s="109" cm="1">
        <f t="array" ref="GU33">+IFERROR(INDEX($C$3:$AM$3,MATCH(TRUE,INDEX($C33:$AM33&lt;&gt;0,0),0)),"N/A")</f>
        <v>45016</v>
      </c>
      <c r="GV33" s="112" t="str" cm="1">
        <f t="array" ref="GV33">+_xlfn.IFS(HV33&lt;&gt;0,HV$2,IV33&lt;&gt;0,IV$2,JV33&lt;&gt;0,JV$2,KV33&lt;&gt;0,KV$2,TRUE,"")</f>
        <v>New</v>
      </c>
      <c r="GW33" s="1" t="str" cm="1">
        <f t="array" ref="GW33">+_xlfn.IFS(HW33&lt;&gt;0,HW$2,IW33&lt;&gt;0,IW$2,JW33&lt;&gt;0,JW$2,KW33&lt;&gt;0,KW$2,TRUE,"")</f>
        <v>New</v>
      </c>
      <c r="GX33" s="1" t="str" cm="1">
        <f t="array" ref="GX33">+_xlfn.IFS(HX33&lt;&gt;0,HX$2,IX33&lt;&gt;0,IX$2,JX33&lt;&gt;0,JX$2,KX33&lt;&gt;0,KX$2,TRUE,"")</f>
        <v>New</v>
      </c>
      <c r="GY33" s="1" t="str" cm="1">
        <f t="array" ref="GY33">+_xlfn.IFS(HY33&lt;&gt;0,HY$2,IY33&lt;&gt;0,IY$2,JY33&lt;&gt;0,JY$2,KY33&lt;&gt;0,KY$2,TRUE,"")</f>
        <v>Downsell</v>
      </c>
      <c r="GZ33" s="1" t="str" cm="1">
        <f t="array" ref="GZ33">+_xlfn.IFS(HZ33&lt;&gt;0,HZ$2,IZ33&lt;&gt;0,IZ$2,JZ33&lt;&gt;0,JZ$2,KZ33&lt;&gt;0,KZ$2,TRUE,"")</f>
        <v>Downsell</v>
      </c>
      <c r="HA33" s="1" t="str" cm="1">
        <f t="array" ref="HA33">+_xlfn.IFS(IA33&lt;&gt;0,IA$2,JA33&lt;&gt;0,JA$2,KA33&lt;&gt;0,KA$2,LA33&lt;&gt;0,LA$2,TRUE,"")</f>
        <v>Downsell</v>
      </c>
      <c r="HB33" s="1" t="str" cm="1">
        <f t="array" ref="HB33">+_xlfn.IFS(IB33&lt;&gt;0,IB$2,JB33&lt;&gt;0,JB$2,KB33&lt;&gt;0,KB$2,LB33&lt;&gt;0,LB$2,TRUE,"")</f>
        <v>Downsell</v>
      </c>
      <c r="HC33" s="1" t="str" cm="1">
        <f t="array" ref="HC33">+_xlfn.IFS(IC33&lt;&gt;0,IC$2,JC33&lt;&gt;0,JC$2,KC33&lt;&gt;0,KC$2,LC33&lt;&gt;0,LC$2,TRUE,"")</f>
        <v/>
      </c>
      <c r="HD33" s="1" t="str" cm="1">
        <f t="array" ref="HD33">+_xlfn.IFS(ID33&lt;&gt;0,ID$2,JD33&lt;&gt;0,JD$2,KD33&lt;&gt;0,KD$2,LD33&lt;&gt;0,LD$2,TRUE,"")</f>
        <v/>
      </c>
      <c r="HE33" s="1" t="str" cm="1">
        <f t="array" ref="HE33">+_xlfn.IFS(IE33&lt;&gt;0,IE$2,JE33&lt;&gt;0,JE$2,KE33&lt;&gt;0,KE$2,LE33&lt;&gt;0,LE$2,TRUE,"")</f>
        <v/>
      </c>
      <c r="HF33" s="1" t="str" cm="1">
        <f t="array" ref="HF33">+_xlfn.IFS(IF33&lt;&gt;0,IF$2,JF33&lt;&gt;0,JF$2,KF33&lt;&gt;0,KF$2,LF33&lt;&gt;0,LF$2,TRUE,"")</f>
        <v/>
      </c>
      <c r="HG33" s="1" t="str" cm="1">
        <f t="array" ref="HG33">+_xlfn.IFS(IG33&lt;&gt;0,IG$2,JG33&lt;&gt;0,JG$2,KG33&lt;&gt;0,KG$2,LG33&lt;&gt;0,LG$2,TRUE,"")</f>
        <v/>
      </c>
      <c r="HH33" s="1" t="str" cm="1">
        <f t="array" ref="HH33">+_xlfn.IFS(IH33&lt;&gt;0,IH$2,JH33&lt;&gt;0,JH$2,KH33&lt;&gt;0,KH$2,LH33&lt;&gt;0,LH$2,TRUE,"")</f>
        <v/>
      </c>
      <c r="HI33" s="1" t="str" cm="1">
        <f t="array" ref="HI33">+_xlfn.IFS(II33&lt;&gt;0,II$2,JI33&lt;&gt;0,JI$2,KI33&lt;&gt;0,KI$2,LI33&lt;&gt;0,LI$2,TRUE,"")</f>
        <v/>
      </c>
      <c r="HJ33" s="1" t="str" cm="1">
        <f t="array" ref="HJ33">+_xlfn.IFS(IJ33&lt;&gt;0,IJ$2,JJ33&lt;&gt;0,JJ$2,KJ33&lt;&gt;0,KJ$2,LJ33&lt;&gt;0,LJ$2,TRUE,"")</f>
        <v/>
      </c>
      <c r="HK33" s="1" t="str" cm="1">
        <f t="array" ref="HK33">+_xlfn.IFS(IK33&lt;&gt;0,IK$2,JK33&lt;&gt;0,JK$2,KK33&lt;&gt;0,KK$2,LK33&lt;&gt;0,LK$2,TRUE,"")</f>
        <v/>
      </c>
      <c r="HL33" s="1" t="str" cm="1">
        <f t="array" ref="HL33">+_xlfn.IFS(IL33&lt;&gt;0,IL$2,JL33&lt;&gt;0,JL$2,KL33&lt;&gt;0,KL$2,LL33&lt;&gt;0,LL$2,TRUE,"")</f>
        <v/>
      </c>
      <c r="HM33" s="1" t="str" cm="1">
        <f t="array" ref="HM33">+_xlfn.IFS(IM33&lt;&gt;0,IM$2,JM33&lt;&gt;0,JM$2,KM33&lt;&gt;0,KM$2,LM33&lt;&gt;0,LM$2,TRUE,"")</f>
        <v/>
      </c>
      <c r="HN33" s="1" t="str" cm="1">
        <f t="array" ref="HN33">+_xlfn.IFS(IN33&lt;&gt;0,IN$2,JN33&lt;&gt;0,JN$2,KN33&lt;&gt;0,KN$2,LN33&lt;&gt;0,LN$2,TRUE,"")</f>
        <v/>
      </c>
      <c r="HO33" s="1" t="str" cm="1">
        <f t="array" ref="HO33">+_xlfn.IFS(IO33&lt;&gt;0,IO$2,JO33&lt;&gt;0,JO$2,KO33&lt;&gt;0,KO$2,LO33&lt;&gt;0,LO$2,TRUE,"")</f>
        <v/>
      </c>
      <c r="HP33" s="1" t="str" cm="1">
        <f t="array" ref="HP33">+_xlfn.IFS(IP33&lt;&gt;0,IP$2,JP33&lt;&gt;0,JP$2,KP33&lt;&gt;0,KP$2,LP33&lt;&gt;0,LP$2,TRUE,"")</f>
        <v/>
      </c>
      <c r="HQ33" s="1" t="str" cm="1">
        <f t="array" ref="HQ33">+_xlfn.IFS(IQ33&lt;&gt;0,IQ$2,JQ33&lt;&gt;0,JQ$2,KQ33&lt;&gt;0,KQ$2,LQ33&lt;&gt;0,LQ$2,TRUE,"")</f>
        <v/>
      </c>
      <c r="HR33" s="1" t="str" cm="1">
        <f t="array" ref="HR33">+_xlfn.IFS(IR33&lt;&gt;0,IR$2,JR33&lt;&gt;0,JR$2,KR33&lt;&gt;0,KR$2,LR33&lt;&gt;0,LR$2,TRUE,"")</f>
        <v/>
      </c>
      <c r="HS33" s="1" t="str" cm="1">
        <f t="array" ref="HS33">+_xlfn.IFS(IS33&lt;&gt;0,IS$2,JS33&lt;&gt;0,JS$2,KS33&lt;&gt;0,KS$2,LS33&lt;&gt;0,LS$2,TRUE,"")</f>
        <v/>
      </c>
      <c r="HT33" s="1" t="str" cm="1">
        <f t="array" ref="HT33">+_xlfn.IFS(IT33&lt;&gt;0,IT$2,JT33&lt;&gt;0,JT$2,KT33&lt;&gt;0,KT$2,LT33&lt;&gt;0,LT$2,TRUE,"")</f>
        <v/>
      </c>
      <c r="HV33" s="111">
        <f t="shared" si="128"/>
        <v>87.99</v>
      </c>
      <c r="HW33" s="110">
        <f t="shared" si="129"/>
        <v>87.99</v>
      </c>
      <c r="HX33" s="110">
        <f t="shared" si="130"/>
        <v>87.99</v>
      </c>
      <c r="HY33" s="110">
        <f t="shared" si="131"/>
        <v>0</v>
      </c>
      <c r="HZ33" s="110">
        <f t="shared" si="132"/>
        <v>0</v>
      </c>
      <c r="IA33" s="110">
        <f t="shared" si="133"/>
        <v>0</v>
      </c>
      <c r="IB33" s="110">
        <f t="shared" si="134"/>
        <v>0</v>
      </c>
      <c r="IC33" s="110">
        <f t="shared" si="135"/>
        <v>0</v>
      </c>
      <c r="ID33" s="110">
        <f t="shared" si="136"/>
        <v>0</v>
      </c>
      <c r="IE33" s="110">
        <f t="shared" si="137"/>
        <v>0</v>
      </c>
      <c r="IF33" s="110">
        <f t="shared" si="138"/>
        <v>0</v>
      </c>
      <c r="IG33" s="110">
        <f t="shared" si="139"/>
        <v>0</v>
      </c>
      <c r="IH33" s="110">
        <f t="shared" si="140"/>
        <v>0</v>
      </c>
      <c r="II33" s="110">
        <f t="shared" si="141"/>
        <v>0</v>
      </c>
      <c r="IJ33" s="110">
        <f t="shared" si="142"/>
        <v>0</v>
      </c>
      <c r="IK33" s="110">
        <f t="shared" si="143"/>
        <v>0</v>
      </c>
      <c r="IL33" s="110">
        <f t="shared" si="144"/>
        <v>0</v>
      </c>
      <c r="IM33" s="110">
        <f t="shared" si="145"/>
        <v>0</v>
      </c>
      <c r="IN33" s="110">
        <f t="shared" si="146"/>
        <v>0</v>
      </c>
      <c r="IO33" s="110">
        <f t="shared" si="147"/>
        <v>0</v>
      </c>
      <c r="IP33" s="110">
        <f t="shared" si="148"/>
        <v>0</v>
      </c>
      <c r="IQ33" s="110">
        <f t="shared" si="149"/>
        <v>0</v>
      </c>
      <c r="IR33" s="110">
        <f t="shared" si="150"/>
        <v>0</v>
      </c>
      <c r="IS33" s="110">
        <f t="shared" si="151"/>
        <v>0</v>
      </c>
      <c r="IT33" s="110">
        <f t="shared" si="152"/>
        <v>0</v>
      </c>
      <c r="IV33" s="111">
        <f t="shared" si="153"/>
        <v>0</v>
      </c>
      <c r="IW33" s="110">
        <f t="shared" si="154"/>
        <v>0</v>
      </c>
      <c r="IX33" s="110">
        <f t="shared" si="155"/>
        <v>0</v>
      </c>
      <c r="IY33" s="110">
        <f t="shared" si="156"/>
        <v>0</v>
      </c>
      <c r="IZ33" s="110">
        <f t="shared" si="157"/>
        <v>0</v>
      </c>
      <c r="JA33" s="110">
        <f t="shared" si="158"/>
        <v>0</v>
      </c>
      <c r="JB33" s="110">
        <f t="shared" si="159"/>
        <v>0</v>
      </c>
      <c r="JC33" s="110">
        <f t="shared" si="160"/>
        <v>0</v>
      </c>
      <c r="JD33" s="110">
        <f t="shared" si="161"/>
        <v>0</v>
      </c>
      <c r="JE33" s="110">
        <f t="shared" si="162"/>
        <v>0</v>
      </c>
      <c r="JF33" s="110">
        <f t="shared" si="163"/>
        <v>0</v>
      </c>
      <c r="JG33" s="110">
        <f t="shared" si="164"/>
        <v>0</v>
      </c>
      <c r="JH33" s="110">
        <f t="shared" si="165"/>
        <v>0</v>
      </c>
      <c r="JI33" s="110">
        <f t="shared" si="166"/>
        <v>0</v>
      </c>
      <c r="JJ33" s="110">
        <f t="shared" si="167"/>
        <v>0</v>
      </c>
      <c r="JK33" s="110">
        <f t="shared" si="168"/>
        <v>0</v>
      </c>
      <c r="JL33" s="110">
        <f t="shared" si="169"/>
        <v>0</v>
      </c>
      <c r="JM33" s="110">
        <f t="shared" si="170"/>
        <v>0</v>
      </c>
      <c r="JN33" s="110">
        <f t="shared" si="171"/>
        <v>0</v>
      </c>
      <c r="JO33" s="110">
        <f t="shared" si="172"/>
        <v>0</v>
      </c>
      <c r="JP33" s="110">
        <f t="shared" si="173"/>
        <v>0</v>
      </c>
      <c r="JQ33" s="110">
        <f t="shared" si="174"/>
        <v>0</v>
      </c>
      <c r="JR33" s="110">
        <f t="shared" si="175"/>
        <v>0</v>
      </c>
      <c r="JS33" s="110">
        <f t="shared" si="176"/>
        <v>0</v>
      </c>
      <c r="JT33" s="110">
        <f t="shared" si="177"/>
        <v>0</v>
      </c>
      <c r="JV33" s="111">
        <f t="shared" si="178"/>
        <v>0</v>
      </c>
      <c r="JW33" s="110">
        <f t="shared" si="179"/>
        <v>0</v>
      </c>
      <c r="JX33" s="110">
        <f t="shared" si="180"/>
        <v>0</v>
      </c>
      <c r="JY33" s="110">
        <f t="shared" si="181"/>
        <v>-10.260000000000005</v>
      </c>
      <c r="JZ33" s="110">
        <f t="shared" si="182"/>
        <v>-19.260000000000005</v>
      </c>
      <c r="KA33" s="110">
        <f t="shared" si="183"/>
        <v>-9.6199999999999903</v>
      </c>
      <c r="KB33" s="110">
        <f t="shared" si="184"/>
        <v>-40.61999999999999</v>
      </c>
      <c r="KC33" s="110">
        <f t="shared" si="185"/>
        <v>0</v>
      </c>
      <c r="KD33" s="110">
        <f t="shared" si="186"/>
        <v>0</v>
      </c>
      <c r="KE33" s="110">
        <f t="shared" si="187"/>
        <v>0</v>
      </c>
      <c r="KF33" s="110">
        <f t="shared" si="188"/>
        <v>0</v>
      </c>
      <c r="KG33" s="110">
        <f t="shared" si="189"/>
        <v>0</v>
      </c>
      <c r="KH33" s="110">
        <f t="shared" si="190"/>
        <v>0</v>
      </c>
      <c r="KI33" s="110">
        <f t="shared" si="191"/>
        <v>0</v>
      </c>
      <c r="KJ33" s="110">
        <f t="shared" si="192"/>
        <v>0</v>
      </c>
      <c r="KK33" s="110">
        <f t="shared" si="193"/>
        <v>0</v>
      </c>
      <c r="KL33" s="110">
        <f t="shared" si="194"/>
        <v>0</v>
      </c>
      <c r="KM33" s="110">
        <f t="shared" si="195"/>
        <v>0</v>
      </c>
      <c r="KN33" s="110">
        <f t="shared" si="196"/>
        <v>0</v>
      </c>
      <c r="KO33" s="110">
        <f t="shared" si="197"/>
        <v>0</v>
      </c>
      <c r="KP33" s="110">
        <f t="shared" si="198"/>
        <v>0</v>
      </c>
      <c r="KQ33" s="110">
        <f t="shared" si="199"/>
        <v>0</v>
      </c>
      <c r="KR33" s="110">
        <f t="shared" si="200"/>
        <v>0</v>
      </c>
      <c r="KS33" s="110">
        <f t="shared" si="201"/>
        <v>0</v>
      </c>
      <c r="KT33" s="110">
        <f t="shared" si="202"/>
        <v>0</v>
      </c>
      <c r="KV33" s="111">
        <f t="shared" si="203"/>
        <v>0</v>
      </c>
      <c r="KW33" s="110">
        <f t="shared" si="204"/>
        <v>0</v>
      </c>
      <c r="KX33" s="110">
        <f t="shared" si="205"/>
        <v>0</v>
      </c>
      <c r="KY33" s="110">
        <f t="shared" si="206"/>
        <v>0</v>
      </c>
      <c r="KZ33" s="110">
        <f t="shared" si="207"/>
        <v>0</v>
      </c>
      <c r="LA33" s="110">
        <f t="shared" si="208"/>
        <v>0</v>
      </c>
      <c r="LB33" s="110">
        <f t="shared" si="209"/>
        <v>0</v>
      </c>
      <c r="LC33" s="110">
        <f t="shared" si="210"/>
        <v>0</v>
      </c>
      <c r="LD33" s="110">
        <f t="shared" si="211"/>
        <v>0</v>
      </c>
      <c r="LE33" s="110">
        <f t="shared" si="212"/>
        <v>0</v>
      </c>
      <c r="LF33" s="110">
        <f t="shared" si="213"/>
        <v>0</v>
      </c>
      <c r="LG33" s="110">
        <f t="shared" si="214"/>
        <v>0</v>
      </c>
      <c r="LH33" s="110">
        <f t="shared" si="215"/>
        <v>0</v>
      </c>
      <c r="LI33" s="110">
        <f t="shared" si="216"/>
        <v>0</v>
      </c>
      <c r="LJ33" s="110">
        <f t="shared" si="217"/>
        <v>0</v>
      </c>
      <c r="LK33" s="110">
        <f t="shared" si="218"/>
        <v>0</v>
      </c>
      <c r="LL33" s="110">
        <f t="shared" si="219"/>
        <v>0</v>
      </c>
      <c r="LM33" s="110">
        <f t="shared" si="220"/>
        <v>0</v>
      </c>
      <c r="LN33" s="110">
        <f t="shared" si="221"/>
        <v>0</v>
      </c>
      <c r="LO33" s="110">
        <f t="shared" si="222"/>
        <v>0</v>
      </c>
      <c r="LP33" s="110">
        <f t="shared" si="223"/>
        <v>0</v>
      </c>
      <c r="LQ33" s="110">
        <f t="shared" si="224"/>
        <v>0</v>
      </c>
      <c r="LR33" s="110">
        <f t="shared" si="225"/>
        <v>0</v>
      </c>
      <c r="LS33" s="110">
        <f t="shared" si="226"/>
        <v>0</v>
      </c>
      <c r="LT33" s="110">
        <f t="shared" si="227"/>
        <v>0</v>
      </c>
      <c r="LV33" s="111"/>
      <c r="LW33" s="110">
        <f t="shared" si="228"/>
        <v>0</v>
      </c>
      <c r="LX33" s="110">
        <f t="shared" si="229"/>
        <v>0</v>
      </c>
      <c r="LY33" s="110">
        <f t="shared" si="230"/>
        <v>0</v>
      </c>
      <c r="LZ33" s="110">
        <f t="shared" si="231"/>
        <v>0</v>
      </c>
      <c r="MA33" s="110">
        <f t="shared" si="232"/>
        <v>0</v>
      </c>
      <c r="MB33" s="110">
        <f t="shared" si="233"/>
        <v>0</v>
      </c>
      <c r="MC33" s="110">
        <f t="shared" si="234"/>
        <v>0</v>
      </c>
      <c r="MD33" s="110">
        <f t="shared" si="235"/>
        <v>0</v>
      </c>
      <c r="ME33" s="110">
        <f t="shared" si="236"/>
        <v>0</v>
      </c>
      <c r="MF33" s="110">
        <f t="shared" si="237"/>
        <v>0</v>
      </c>
      <c r="MG33" s="110">
        <f t="shared" si="238"/>
        <v>0</v>
      </c>
      <c r="MH33" s="110">
        <f t="shared" si="239"/>
        <v>0</v>
      </c>
      <c r="MI33" s="110">
        <f t="shared" si="240"/>
        <v>0</v>
      </c>
      <c r="MJ33" s="110">
        <f t="shared" si="241"/>
        <v>0</v>
      </c>
      <c r="MK33" s="110">
        <f t="shared" si="242"/>
        <v>0</v>
      </c>
      <c r="ML33" s="110">
        <f t="shared" si="243"/>
        <v>0</v>
      </c>
      <c r="MM33" s="110">
        <f t="shared" si="244"/>
        <v>0</v>
      </c>
      <c r="MN33" s="110">
        <f t="shared" si="245"/>
        <v>0</v>
      </c>
      <c r="MO33" s="110">
        <f t="shared" si="246"/>
        <v>0</v>
      </c>
      <c r="MP33" s="110">
        <f t="shared" si="247"/>
        <v>0</v>
      </c>
      <c r="MQ33" s="110">
        <f t="shared" si="248"/>
        <v>0</v>
      </c>
      <c r="MR33" s="110">
        <f t="shared" si="249"/>
        <v>0</v>
      </c>
      <c r="MS33" s="110">
        <f t="shared" si="250"/>
        <v>0</v>
      </c>
      <c r="MT33" s="110">
        <f t="shared" si="251"/>
        <v>0</v>
      </c>
      <c r="MV33" s="114">
        <v>87.99</v>
      </c>
      <c r="MW33" s="114">
        <v>0</v>
      </c>
      <c r="MX33" s="114">
        <v>0</v>
      </c>
      <c r="MY33" s="114">
        <v>0</v>
      </c>
      <c r="MZ33" s="114">
        <v>0</v>
      </c>
      <c r="NB33" s="115">
        <v>82</v>
      </c>
      <c r="NC33" s="115" t="str">
        <v>N/A</v>
      </c>
      <c r="ND33" s="115" t="str">
        <v>N/A</v>
      </c>
      <c r="NE33" s="115" t="str">
        <v>N/A</v>
      </c>
      <c r="NF33" s="115" t="str">
        <v>N/A</v>
      </c>
    </row>
    <row r="34" spans="2:370" ht="13.5" x14ac:dyDescent="0.25">
      <c r="B34" s="8">
        <f t="shared" si="252"/>
        <v>31</v>
      </c>
      <c r="C34" s="7">
        <v>0</v>
      </c>
      <c r="D34" s="7">
        <v>0</v>
      </c>
      <c r="E34" s="7">
        <v>0</v>
      </c>
      <c r="F34" s="7">
        <v>350.2</v>
      </c>
      <c r="G34" s="7">
        <v>350.2</v>
      </c>
      <c r="H34" s="7">
        <v>350.2</v>
      </c>
      <c r="I34" s="7">
        <v>350.2</v>
      </c>
      <c r="J34" s="7">
        <v>350.2</v>
      </c>
      <c r="K34" s="7">
        <v>350.2</v>
      </c>
      <c r="L34" s="7">
        <v>350.2</v>
      </c>
      <c r="M34" s="7">
        <v>350.2</v>
      </c>
      <c r="N34" s="7">
        <v>350.2</v>
      </c>
      <c r="O34" s="7">
        <v>350.2</v>
      </c>
      <c r="P34" s="7">
        <v>350.2</v>
      </c>
      <c r="Q34" s="7">
        <v>350.2</v>
      </c>
      <c r="R34" s="7">
        <v>350.2</v>
      </c>
      <c r="S34" s="7">
        <v>350.2</v>
      </c>
      <c r="T34" s="7">
        <v>350.2</v>
      </c>
      <c r="U34" s="7">
        <v>350.2</v>
      </c>
      <c r="V34" s="7">
        <v>350.2</v>
      </c>
      <c r="W34" s="7">
        <v>350.2</v>
      </c>
      <c r="X34" s="7">
        <v>350.2</v>
      </c>
      <c r="Y34" s="7">
        <v>350.2</v>
      </c>
      <c r="Z34" s="7">
        <v>361.79</v>
      </c>
      <c r="AA34" s="7">
        <v>361.79</v>
      </c>
      <c r="AB34" s="7">
        <v>361.79</v>
      </c>
      <c r="AC34" s="7">
        <v>361.79</v>
      </c>
      <c r="AD34" s="7">
        <v>361.79</v>
      </c>
      <c r="AE34" s="7">
        <v>361.79</v>
      </c>
      <c r="AF34" s="7">
        <v>361.79</v>
      </c>
      <c r="AG34" s="7">
        <v>361.79</v>
      </c>
      <c r="AH34" s="7">
        <v>361.79</v>
      </c>
      <c r="AI34" s="7">
        <v>361.79</v>
      </c>
      <c r="AJ34" s="7">
        <v>361.79</v>
      </c>
      <c r="AK34" s="7">
        <v>361.79</v>
      </c>
      <c r="AL34" s="7">
        <v>361.79</v>
      </c>
      <c r="AM34" s="7">
        <v>361.79</v>
      </c>
      <c r="AN34" s="27">
        <v>31</v>
      </c>
      <c r="AP34" s="111"/>
      <c r="AQ34" s="110">
        <f t="shared" si="13"/>
        <v>350.2</v>
      </c>
      <c r="AR34" s="110">
        <f t="shared" si="14"/>
        <v>0</v>
      </c>
      <c r="AS34" s="110">
        <f t="shared" si="15"/>
        <v>0</v>
      </c>
      <c r="AT34" s="110">
        <f t="shared" si="16"/>
        <v>0</v>
      </c>
      <c r="AU34" s="110">
        <f t="shared" si="17"/>
        <v>0</v>
      </c>
      <c r="AV34" s="110">
        <f t="shared" si="18"/>
        <v>0</v>
      </c>
      <c r="AW34" s="110">
        <f t="shared" si="19"/>
        <v>0</v>
      </c>
      <c r="AX34" s="110">
        <f t="shared" si="20"/>
        <v>11.590000000000032</v>
      </c>
      <c r="AY34" s="110">
        <f t="shared" si="21"/>
        <v>0</v>
      </c>
      <c r="AZ34" s="110">
        <f t="shared" si="22"/>
        <v>0</v>
      </c>
      <c r="BA34" s="110">
        <f t="shared" si="23"/>
        <v>0</v>
      </c>
      <c r="BB34" s="110">
        <f t="shared" si="24"/>
        <v>0</v>
      </c>
      <c r="BD34" s="109" cm="1">
        <f t="array" ref="BD34">+IFERROR(INDEX($C$3:$AM$3,MATCH(TRUE,INDEX($C34:$AM34&lt;&gt;0,0),0)),"N/A")</f>
        <v>45016</v>
      </c>
      <c r="BE34" s="112"/>
      <c r="BF34" s="1" t="str" cm="1">
        <f t="array" ref="BF34">+_xlfn.IFS(BT34&lt;&gt;0,BT$2,CH34&lt;&gt;0,CH$2,CV34&lt;&gt;0,CV$2,DJ34&lt;&gt;0,DJ$2,TRUE,"")</f>
        <v>New</v>
      </c>
      <c r="BG34" s="1" t="str" cm="1">
        <f t="array" ref="BG34">+_xlfn.IFS(BU34&lt;&gt;0,BU$2,CI34&lt;&gt;0,CI$2,CW34&lt;&gt;0,CW$2,DK34&lt;&gt;0,DK$2,TRUE,"")</f>
        <v/>
      </c>
      <c r="BH34" s="1" t="str" cm="1">
        <f t="array" ref="BH34">+_xlfn.IFS(BV34&lt;&gt;0,BV$2,CJ34&lt;&gt;0,CJ$2,CX34&lt;&gt;0,CX$2,DL34&lt;&gt;0,DL$2,TRUE,"")</f>
        <v/>
      </c>
      <c r="BI34" s="1" t="str" cm="1">
        <f t="array" ref="BI34">+_xlfn.IFS(BW34&lt;&gt;0,BW$2,CK34&lt;&gt;0,CK$2,CY34&lt;&gt;0,CY$2,DM34&lt;&gt;0,DM$2,TRUE,"")</f>
        <v/>
      </c>
      <c r="BJ34" s="1" t="str" cm="1">
        <f t="array" ref="BJ34">+_xlfn.IFS(BX34&lt;&gt;0,BX$2,CL34&lt;&gt;0,CL$2,CZ34&lt;&gt;0,CZ$2,DN34&lt;&gt;0,DN$2,TRUE,"")</f>
        <v/>
      </c>
      <c r="BK34" s="1" t="str" cm="1">
        <f t="array" ref="BK34">+_xlfn.IFS(BY34&lt;&gt;0,BY$2,CM34&lt;&gt;0,CM$2,DA34&lt;&gt;0,DA$2,DO34&lt;&gt;0,DO$2,TRUE,"")</f>
        <v/>
      </c>
      <c r="BL34" s="1" t="str" cm="1">
        <f t="array" ref="BL34">+_xlfn.IFS(BZ34&lt;&gt;0,BZ$2,CN34&lt;&gt;0,CN$2,DB34&lt;&gt;0,DB$2,DP34&lt;&gt;0,DP$2,TRUE,"")</f>
        <v/>
      </c>
      <c r="BM34" s="1" t="str" cm="1">
        <f t="array" ref="BM34">+_xlfn.IFS(CA34&lt;&gt;0,CA$2,CO34&lt;&gt;0,CO$2,DC34&lt;&gt;0,DC$2,DQ34&lt;&gt;0,DQ$2,TRUE,"")</f>
        <v>Upsell</v>
      </c>
      <c r="BN34" s="1" t="str" cm="1">
        <f t="array" ref="BN34">+_xlfn.IFS(CB34&lt;&gt;0,CB$2,CP34&lt;&gt;0,CP$2,DD34&lt;&gt;0,DD$2,DR34&lt;&gt;0,DR$2,TRUE,"")</f>
        <v/>
      </c>
      <c r="BO34" s="1" t="str" cm="1">
        <f t="array" ref="BO34">+_xlfn.IFS(CC34&lt;&gt;0,CC$2,CQ34&lt;&gt;0,CQ$2,DE34&lt;&gt;0,DE$2,DS34&lt;&gt;0,DS$2,TRUE,"")</f>
        <v/>
      </c>
      <c r="BP34" s="1" t="str" cm="1">
        <f t="array" ref="BP34">+_xlfn.IFS(CD34&lt;&gt;0,CD$2,CR34&lt;&gt;0,CR$2,DF34&lt;&gt;0,DF$2,DT34&lt;&gt;0,DT$2,TRUE,"")</f>
        <v/>
      </c>
      <c r="BQ34" s="1" t="str" cm="1">
        <f t="array" ref="BQ34">+_xlfn.IFS(CE34&lt;&gt;0,CE$2,CS34&lt;&gt;0,CS$2,DG34&lt;&gt;0,DG$2,DU34&lt;&gt;0,DU$2,TRUE,"")</f>
        <v/>
      </c>
      <c r="BS34" s="111"/>
      <c r="BT34" s="110">
        <f t="shared" si="25"/>
        <v>350.2</v>
      </c>
      <c r="BU34" s="110">
        <f t="shared" si="26"/>
        <v>0</v>
      </c>
      <c r="BV34" s="110">
        <f t="shared" si="27"/>
        <v>0</v>
      </c>
      <c r="BW34" s="110">
        <f t="shared" si="28"/>
        <v>0</v>
      </c>
      <c r="BX34" s="110">
        <f t="shared" si="29"/>
        <v>0</v>
      </c>
      <c r="BY34" s="110">
        <f t="shared" si="30"/>
        <v>0</v>
      </c>
      <c r="BZ34" s="110">
        <f t="shared" si="31"/>
        <v>0</v>
      </c>
      <c r="CA34" s="110">
        <f t="shared" si="32"/>
        <v>0</v>
      </c>
      <c r="CB34" s="110">
        <f t="shared" si="33"/>
        <v>0</v>
      </c>
      <c r="CC34" s="110">
        <f t="shared" si="34"/>
        <v>0</v>
      </c>
      <c r="CD34" s="110">
        <f t="shared" si="35"/>
        <v>0</v>
      </c>
      <c r="CE34" s="110">
        <f t="shared" si="36"/>
        <v>0</v>
      </c>
      <c r="CG34" s="111"/>
      <c r="CH34" s="110">
        <f t="shared" si="37"/>
        <v>0</v>
      </c>
      <c r="CI34" s="110">
        <f t="shared" si="38"/>
        <v>0</v>
      </c>
      <c r="CJ34" s="110">
        <f t="shared" si="39"/>
        <v>0</v>
      </c>
      <c r="CK34" s="110">
        <f t="shared" si="40"/>
        <v>0</v>
      </c>
      <c r="CL34" s="110">
        <f t="shared" si="41"/>
        <v>0</v>
      </c>
      <c r="CM34" s="110">
        <f t="shared" si="42"/>
        <v>0</v>
      </c>
      <c r="CN34" s="110">
        <f t="shared" si="43"/>
        <v>0</v>
      </c>
      <c r="CO34" s="110">
        <f t="shared" si="44"/>
        <v>0</v>
      </c>
      <c r="CP34" s="110">
        <f t="shared" si="45"/>
        <v>0</v>
      </c>
      <c r="CQ34" s="110">
        <f t="shared" si="46"/>
        <v>0</v>
      </c>
      <c r="CR34" s="110">
        <f t="shared" si="47"/>
        <v>0</v>
      </c>
      <c r="CS34" s="110">
        <f t="shared" si="48"/>
        <v>0</v>
      </c>
      <c r="CU34" s="111"/>
      <c r="CV34" s="110">
        <f t="shared" si="49"/>
        <v>0</v>
      </c>
      <c r="CW34" s="110">
        <f t="shared" si="50"/>
        <v>0</v>
      </c>
      <c r="CX34" s="110">
        <f t="shared" si="51"/>
        <v>0</v>
      </c>
      <c r="CY34" s="110">
        <f t="shared" si="52"/>
        <v>0</v>
      </c>
      <c r="CZ34" s="110">
        <f t="shared" si="53"/>
        <v>0</v>
      </c>
      <c r="DA34" s="110">
        <f t="shared" si="54"/>
        <v>0</v>
      </c>
      <c r="DB34" s="110">
        <f t="shared" si="55"/>
        <v>0</v>
      </c>
      <c r="DC34" s="110">
        <f t="shared" si="56"/>
        <v>0</v>
      </c>
      <c r="DD34" s="110">
        <f t="shared" si="57"/>
        <v>0</v>
      </c>
      <c r="DE34" s="110">
        <f t="shared" si="58"/>
        <v>0</v>
      </c>
      <c r="DF34" s="110">
        <f t="shared" si="59"/>
        <v>0</v>
      </c>
      <c r="DG34" s="110">
        <f t="shared" si="60"/>
        <v>0</v>
      </c>
      <c r="DI34" s="111"/>
      <c r="DJ34" s="110">
        <f t="shared" si="61"/>
        <v>0</v>
      </c>
      <c r="DK34" s="110">
        <f t="shared" si="62"/>
        <v>0</v>
      </c>
      <c r="DL34" s="110">
        <f t="shared" si="63"/>
        <v>0</v>
      </c>
      <c r="DM34" s="110">
        <f t="shared" si="64"/>
        <v>0</v>
      </c>
      <c r="DN34" s="110">
        <f t="shared" si="65"/>
        <v>0</v>
      </c>
      <c r="DO34" s="110">
        <f t="shared" si="66"/>
        <v>0</v>
      </c>
      <c r="DP34" s="110">
        <f t="shared" si="67"/>
        <v>0</v>
      </c>
      <c r="DQ34" s="110">
        <f t="shared" si="68"/>
        <v>11.590000000000032</v>
      </c>
      <c r="DR34" s="110">
        <f t="shared" si="69"/>
        <v>0</v>
      </c>
      <c r="DS34" s="110">
        <f t="shared" si="70"/>
        <v>0</v>
      </c>
      <c r="DT34" s="110">
        <f t="shared" si="71"/>
        <v>0</v>
      </c>
      <c r="DU34" s="110">
        <f t="shared" si="72"/>
        <v>0</v>
      </c>
      <c r="DW34" s="111"/>
      <c r="DX34" s="110">
        <f t="shared" si="73"/>
        <v>0</v>
      </c>
      <c r="DY34" s="110">
        <f t="shared" si="74"/>
        <v>0</v>
      </c>
      <c r="DZ34" s="110">
        <f t="shared" si="75"/>
        <v>0</v>
      </c>
      <c r="EA34" s="110">
        <f t="shared" si="76"/>
        <v>0</v>
      </c>
      <c r="EB34" s="110">
        <f t="shared" si="77"/>
        <v>0</v>
      </c>
      <c r="EC34" s="110">
        <f t="shared" si="78"/>
        <v>0</v>
      </c>
      <c r="ED34" s="110">
        <f t="shared" si="79"/>
        <v>0</v>
      </c>
      <c r="EE34" s="110">
        <f t="shared" si="80"/>
        <v>0</v>
      </c>
      <c r="EF34" s="110">
        <f t="shared" si="81"/>
        <v>0</v>
      </c>
      <c r="EG34" s="110">
        <f t="shared" si="82"/>
        <v>0</v>
      </c>
      <c r="EH34" s="110">
        <f t="shared" si="83"/>
        <v>0</v>
      </c>
      <c r="EI34" s="110">
        <f t="shared" si="84"/>
        <v>0</v>
      </c>
      <c r="EK34" s="111"/>
      <c r="EL34" s="110">
        <f t="shared" si="85"/>
        <v>350.2</v>
      </c>
      <c r="EM34" s="110">
        <f t="shared" si="86"/>
        <v>11.590000000000032</v>
      </c>
      <c r="EN34" s="110">
        <f t="shared" si="87"/>
        <v>0</v>
      </c>
      <c r="EP34" s="109" cm="1">
        <f t="array" ref="EP34">+IFERROR(INDEX($C$3:$AM$3,MATCH(TRUE,INDEX($C34:$AM34&lt;&gt;0,0),0)),"N/A")</f>
        <v>45016</v>
      </c>
      <c r="EQ34" s="112"/>
      <c r="ER34" s="1" t="str" cm="1">
        <f t="array" ref="ER34">+_xlfn.IFS(EW34&lt;&gt;0,EW$2,FB34&lt;&gt;0,FB$2,FG34&lt;&gt;0,FG$2,FL34&lt;&gt;0,FL$2,TRUE,"")</f>
        <v>New</v>
      </c>
      <c r="ES34" s="1" t="str" cm="1">
        <f t="array" ref="ES34">+_xlfn.IFS(EX34&lt;&gt;0,EX$2,FC34&lt;&gt;0,FC$2,FH34&lt;&gt;0,FH$2,FM34&lt;&gt;0,FM$2,TRUE,"")</f>
        <v>Upsell</v>
      </c>
      <c r="ET34" s="1" t="str" cm="1">
        <f t="array" ref="ET34">+_xlfn.IFS(EY34&lt;&gt;0,EY$2,FD34&lt;&gt;0,FD$2,FI34&lt;&gt;0,FI$2,FN34&lt;&gt;0,FN$2,TRUE,"")</f>
        <v/>
      </c>
      <c r="EV34" s="111"/>
      <c r="EW34" s="110">
        <f t="shared" si="88"/>
        <v>350.2</v>
      </c>
      <c r="EX34" s="110">
        <f t="shared" si="89"/>
        <v>0</v>
      </c>
      <c r="EY34" s="110">
        <f t="shared" si="90"/>
        <v>0</v>
      </c>
      <c r="FA34" s="111"/>
      <c r="FB34" s="110">
        <f t="shared" si="91"/>
        <v>0</v>
      </c>
      <c r="FC34" s="110">
        <f t="shared" si="92"/>
        <v>0</v>
      </c>
      <c r="FD34" s="110">
        <f t="shared" si="93"/>
        <v>0</v>
      </c>
      <c r="FF34" s="111"/>
      <c r="FG34" s="110">
        <f t="shared" si="94"/>
        <v>0</v>
      </c>
      <c r="FH34" s="110">
        <f t="shared" si="95"/>
        <v>0</v>
      </c>
      <c r="FI34" s="110">
        <f t="shared" si="96"/>
        <v>0</v>
      </c>
      <c r="FK34" s="111"/>
      <c r="FL34" s="110">
        <f t="shared" si="97"/>
        <v>0</v>
      </c>
      <c r="FM34" s="110">
        <f t="shared" si="98"/>
        <v>11.590000000000032</v>
      </c>
      <c r="FN34" s="110">
        <f t="shared" si="99"/>
        <v>0</v>
      </c>
      <c r="FP34" s="111"/>
      <c r="FQ34" s="110">
        <f t="shared" si="100"/>
        <v>0</v>
      </c>
      <c r="FR34" s="110">
        <f t="shared" si="101"/>
        <v>0</v>
      </c>
      <c r="FS34" s="110">
        <f t="shared" si="102"/>
        <v>0</v>
      </c>
      <c r="FU34" s="111">
        <f t="shared" si="103"/>
        <v>350.2</v>
      </c>
      <c r="FV34" s="110">
        <f t="shared" si="104"/>
        <v>350.2</v>
      </c>
      <c r="FW34" s="110">
        <f t="shared" si="105"/>
        <v>350.2</v>
      </c>
      <c r="FX34" s="110">
        <f t="shared" si="106"/>
        <v>0</v>
      </c>
      <c r="FY34" s="110">
        <f t="shared" si="107"/>
        <v>0</v>
      </c>
      <c r="FZ34" s="110">
        <f t="shared" si="108"/>
        <v>0</v>
      </c>
      <c r="GA34" s="110">
        <f t="shared" si="109"/>
        <v>0</v>
      </c>
      <c r="GB34" s="110">
        <f t="shared" si="110"/>
        <v>0</v>
      </c>
      <c r="GC34" s="110">
        <f t="shared" si="111"/>
        <v>0</v>
      </c>
      <c r="GD34" s="110">
        <f t="shared" si="112"/>
        <v>0</v>
      </c>
      <c r="GE34" s="110">
        <f t="shared" si="113"/>
        <v>0</v>
      </c>
      <c r="GF34" s="110">
        <f t="shared" si="114"/>
        <v>11.590000000000032</v>
      </c>
      <c r="GG34" s="110">
        <f t="shared" si="115"/>
        <v>11.590000000000032</v>
      </c>
      <c r="GH34" s="110">
        <f t="shared" si="116"/>
        <v>11.590000000000032</v>
      </c>
      <c r="GI34" s="110">
        <f t="shared" si="117"/>
        <v>11.590000000000032</v>
      </c>
      <c r="GJ34" s="110">
        <f t="shared" si="118"/>
        <v>11.590000000000032</v>
      </c>
      <c r="GK34" s="110">
        <f t="shared" si="119"/>
        <v>11.590000000000032</v>
      </c>
      <c r="GL34" s="110">
        <f t="shared" si="120"/>
        <v>11.590000000000032</v>
      </c>
      <c r="GM34" s="110">
        <f t="shared" si="121"/>
        <v>11.590000000000032</v>
      </c>
      <c r="GN34" s="110">
        <f t="shared" si="122"/>
        <v>11.590000000000032</v>
      </c>
      <c r="GO34" s="110">
        <f t="shared" si="123"/>
        <v>11.590000000000032</v>
      </c>
      <c r="GP34" s="110">
        <f t="shared" si="124"/>
        <v>11.590000000000032</v>
      </c>
      <c r="GQ34" s="110">
        <f t="shared" si="125"/>
        <v>11.590000000000032</v>
      </c>
      <c r="GR34" s="110">
        <f t="shared" si="126"/>
        <v>0</v>
      </c>
      <c r="GS34" s="110">
        <f t="shared" si="127"/>
        <v>0</v>
      </c>
      <c r="GU34" s="109" cm="1">
        <f t="array" ref="GU34">+IFERROR(INDEX($C$3:$AM$3,MATCH(TRUE,INDEX($C34:$AM34&lt;&gt;0,0),0)),"N/A")</f>
        <v>45016</v>
      </c>
      <c r="GV34" s="112" t="str" cm="1">
        <f t="array" ref="GV34">+_xlfn.IFS(HV34&lt;&gt;0,HV$2,IV34&lt;&gt;0,IV$2,JV34&lt;&gt;0,JV$2,KV34&lt;&gt;0,KV$2,TRUE,"")</f>
        <v>New</v>
      </c>
      <c r="GW34" s="1" t="str" cm="1">
        <f t="array" ref="GW34">+_xlfn.IFS(HW34&lt;&gt;0,HW$2,IW34&lt;&gt;0,IW$2,JW34&lt;&gt;0,JW$2,KW34&lt;&gt;0,KW$2,TRUE,"")</f>
        <v>New</v>
      </c>
      <c r="GX34" s="1" t="str" cm="1">
        <f t="array" ref="GX34">+_xlfn.IFS(HX34&lt;&gt;0,HX$2,IX34&lt;&gt;0,IX$2,JX34&lt;&gt;0,JX$2,KX34&lt;&gt;0,KX$2,TRUE,"")</f>
        <v>New</v>
      </c>
      <c r="GY34" s="1" t="str" cm="1">
        <f t="array" ref="GY34">+_xlfn.IFS(HY34&lt;&gt;0,HY$2,IY34&lt;&gt;0,IY$2,JY34&lt;&gt;0,JY$2,KY34&lt;&gt;0,KY$2,TRUE,"")</f>
        <v/>
      </c>
      <c r="GZ34" s="1" t="str" cm="1">
        <f t="array" ref="GZ34">+_xlfn.IFS(HZ34&lt;&gt;0,HZ$2,IZ34&lt;&gt;0,IZ$2,JZ34&lt;&gt;0,JZ$2,KZ34&lt;&gt;0,KZ$2,TRUE,"")</f>
        <v/>
      </c>
      <c r="HA34" s="1" t="str" cm="1">
        <f t="array" ref="HA34">+_xlfn.IFS(IA34&lt;&gt;0,IA$2,JA34&lt;&gt;0,JA$2,KA34&lt;&gt;0,KA$2,LA34&lt;&gt;0,LA$2,TRUE,"")</f>
        <v/>
      </c>
      <c r="HB34" s="1" t="str" cm="1">
        <f t="array" ref="HB34">+_xlfn.IFS(IB34&lt;&gt;0,IB$2,JB34&lt;&gt;0,JB$2,KB34&lt;&gt;0,KB$2,LB34&lt;&gt;0,LB$2,TRUE,"")</f>
        <v/>
      </c>
      <c r="HC34" s="1" t="str" cm="1">
        <f t="array" ref="HC34">+_xlfn.IFS(IC34&lt;&gt;0,IC$2,JC34&lt;&gt;0,JC$2,KC34&lt;&gt;0,KC$2,LC34&lt;&gt;0,LC$2,TRUE,"")</f>
        <v/>
      </c>
      <c r="HD34" s="1" t="str" cm="1">
        <f t="array" ref="HD34">+_xlfn.IFS(ID34&lt;&gt;0,ID$2,JD34&lt;&gt;0,JD$2,KD34&lt;&gt;0,KD$2,LD34&lt;&gt;0,LD$2,TRUE,"")</f>
        <v/>
      </c>
      <c r="HE34" s="1" t="str" cm="1">
        <f t="array" ref="HE34">+_xlfn.IFS(IE34&lt;&gt;0,IE$2,JE34&lt;&gt;0,JE$2,KE34&lt;&gt;0,KE$2,LE34&lt;&gt;0,LE$2,TRUE,"")</f>
        <v/>
      </c>
      <c r="HF34" s="1" t="str" cm="1">
        <f t="array" ref="HF34">+_xlfn.IFS(IF34&lt;&gt;0,IF$2,JF34&lt;&gt;0,JF$2,KF34&lt;&gt;0,KF$2,LF34&lt;&gt;0,LF$2,TRUE,"")</f>
        <v/>
      </c>
      <c r="HG34" s="1" t="str" cm="1">
        <f t="array" ref="HG34">+_xlfn.IFS(IG34&lt;&gt;0,IG$2,JG34&lt;&gt;0,JG$2,KG34&lt;&gt;0,KG$2,LG34&lt;&gt;0,LG$2,TRUE,"")</f>
        <v>Upsell</v>
      </c>
      <c r="HH34" s="1" t="str" cm="1">
        <f t="array" ref="HH34">+_xlfn.IFS(IH34&lt;&gt;0,IH$2,JH34&lt;&gt;0,JH$2,KH34&lt;&gt;0,KH$2,LH34&lt;&gt;0,LH$2,TRUE,"")</f>
        <v>Upsell</v>
      </c>
      <c r="HI34" s="1" t="str" cm="1">
        <f t="array" ref="HI34">+_xlfn.IFS(II34&lt;&gt;0,II$2,JI34&lt;&gt;0,JI$2,KI34&lt;&gt;0,KI$2,LI34&lt;&gt;0,LI$2,TRUE,"")</f>
        <v>Upsell</v>
      </c>
      <c r="HJ34" s="1" t="str" cm="1">
        <f t="array" ref="HJ34">+_xlfn.IFS(IJ34&lt;&gt;0,IJ$2,JJ34&lt;&gt;0,JJ$2,KJ34&lt;&gt;0,KJ$2,LJ34&lt;&gt;0,LJ$2,TRUE,"")</f>
        <v>Upsell</v>
      </c>
      <c r="HK34" s="1" t="str" cm="1">
        <f t="array" ref="HK34">+_xlfn.IFS(IK34&lt;&gt;0,IK$2,JK34&lt;&gt;0,JK$2,KK34&lt;&gt;0,KK$2,LK34&lt;&gt;0,LK$2,TRUE,"")</f>
        <v>Upsell</v>
      </c>
      <c r="HL34" s="1" t="str" cm="1">
        <f t="array" ref="HL34">+_xlfn.IFS(IL34&lt;&gt;0,IL$2,JL34&lt;&gt;0,JL$2,KL34&lt;&gt;0,KL$2,LL34&lt;&gt;0,LL$2,TRUE,"")</f>
        <v>Upsell</v>
      </c>
      <c r="HM34" s="1" t="str" cm="1">
        <f t="array" ref="HM34">+_xlfn.IFS(IM34&lt;&gt;0,IM$2,JM34&lt;&gt;0,JM$2,KM34&lt;&gt;0,KM$2,LM34&lt;&gt;0,LM$2,TRUE,"")</f>
        <v>Upsell</v>
      </c>
      <c r="HN34" s="1" t="str" cm="1">
        <f t="array" ref="HN34">+_xlfn.IFS(IN34&lt;&gt;0,IN$2,JN34&lt;&gt;0,JN$2,KN34&lt;&gt;0,KN$2,LN34&lt;&gt;0,LN$2,TRUE,"")</f>
        <v>Upsell</v>
      </c>
      <c r="HO34" s="1" t="str" cm="1">
        <f t="array" ref="HO34">+_xlfn.IFS(IO34&lt;&gt;0,IO$2,JO34&lt;&gt;0,JO$2,KO34&lt;&gt;0,KO$2,LO34&lt;&gt;0,LO$2,TRUE,"")</f>
        <v>Upsell</v>
      </c>
      <c r="HP34" s="1" t="str" cm="1">
        <f t="array" ref="HP34">+_xlfn.IFS(IP34&lt;&gt;0,IP$2,JP34&lt;&gt;0,JP$2,KP34&lt;&gt;0,KP$2,LP34&lt;&gt;0,LP$2,TRUE,"")</f>
        <v>Upsell</v>
      </c>
      <c r="HQ34" s="1" t="str" cm="1">
        <f t="array" ref="HQ34">+_xlfn.IFS(IQ34&lt;&gt;0,IQ$2,JQ34&lt;&gt;0,JQ$2,KQ34&lt;&gt;0,KQ$2,LQ34&lt;&gt;0,LQ$2,TRUE,"")</f>
        <v>Upsell</v>
      </c>
      <c r="HR34" s="1" t="str" cm="1">
        <f t="array" ref="HR34">+_xlfn.IFS(IR34&lt;&gt;0,IR$2,JR34&lt;&gt;0,JR$2,KR34&lt;&gt;0,KR$2,LR34&lt;&gt;0,LR$2,TRUE,"")</f>
        <v>Upsell</v>
      </c>
      <c r="HS34" s="1" t="str" cm="1">
        <f t="array" ref="HS34">+_xlfn.IFS(IS34&lt;&gt;0,IS$2,JS34&lt;&gt;0,JS$2,KS34&lt;&gt;0,KS$2,LS34&lt;&gt;0,LS$2,TRUE,"")</f>
        <v/>
      </c>
      <c r="HT34" s="1" t="str" cm="1">
        <f t="array" ref="HT34">+_xlfn.IFS(IT34&lt;&gt;0,IT$2,JT34&lt;&gt;0,JT$2,KT34&lt;&gt;0,KT$2,LT34&lt;&gt;0,LT$2,TRUE,"")</f>
        <v/>
      </c>
      <c r="HV34" s="111">
        <f t="shared" si="128"/>
        <v>350.2</v>
      </c>
      <c r="HW34" s="110">
        <f t="shared" si="129"/>
        <v>350.2</v>
      </c>
      <c r="HX34" s="110">
        <f t="shared" si="130"/>
        <v>350.2</v>
      </c>
      <c r="HY34" s="110">
        <f t="shared" si="131"/>
        <v>0</v>
      </c>
      <c r="HZ34" s="110">
        <f t="shared" si="132"/>
        <v>0</v>
      </c>
      <c r="IA34" s="110">
        <f t="shared" si="133"/>
        <v>0</v>
      </c>
      <c r="IB34" s="110">
        <f t="shared" si="134"/>
        <v>0</v>
      </c>
      <c r="IC34" s="110">
        <f t="shared" si="135"/>
        <v>0</v>
      </c>
      <c r="ID34" s="110">
        <f t="shared" si="136"/>
        <v>0</v>
      </c>
      <c r="IE34" s="110">
        <f t="shared" si="137"/>
        <v>0</v>
      </c>
      <c r="IF34" s="110">
        <f t="shared" si="138"/>
        <v>0</v>
      </c>
      <c r="IG34" s="110">
        <f t="shared" si="139"/>
        <v>0</v>
      </c>
      <c r="IH34" s="110">
        <f t="shared" si="140"/>
        <v>0</v>
      </c>
      <c r="II34" s="110">
        <f t="shared" si="141"/>
        <v>0</v>
      </c>
      <c r="IJ34" s="110">
        <f t="shared" si="142"/>
        <v>0</v>
      </c>
      <c r="IK34" s="110">
        <f t="shared" si="143"/>
        <v>0</v>
      </c>
      <c r="IL34" s="110">
        <f t="shared" si="144"/>
        <v>0</v>
      </c>
      <c r="IM34" s="110">
        <f t="shared" si="145"/>
        <v>0</v>
      </c>
      <c r="IN34" s="110">
        <f t="shared" si="146"/>
        <v>0</v>
      </c>
      <c r="IO34" s="110">
        <f t="shared" si="147"/>
        <v>0</v>
      </c>
      <c r="IP34" s="110">
        <f t="shared" si="148"/>
        <v>0</v>
      </c>
      <c r="IQ34" s="110">
        <f t="shared" si="149"/>
        <v>0</v>
      </c>
      <c r="IR34" s="110">
        <f t="shared" si="150"/>
        <v>0</v>
      </c>
      <c r="IS34" s="110">
        <f t="shared" si="151"/>
        <v>0</v>
      </c>
      <c r="IT34" s="110">
        <f t="shared" si="152"/>
        <v>0</v>
      </c>
      <c r="IV34" s="111">
        <f t="shared" si="153"/>
        <v>0</v>
      </c>
      <c r="IW34" s="110">
        <f t="shared" si="154"/>
        <v>0</v>
      </c>
      <c r="IX34" s="110">
        <f t="shared" si="155"/>
        <v>0</v>
      </c>
      <c r="IY34" s="110">
        <f t="shared" si="156"/>
        <v>0</v>
      </c>
      <c r="IZ34" s="110">
        <f t="shared" si="157"/>
        <v>0</v>
      </c>
      <c r="JA34" s="110">
        <f t="shared" si="158"/>
        <v>0</v>
      </c>
      <c r="JB34" s="110">
        <f t="shared" si="159"/>
        <v>0</v>
      </c>
      <c r="JC34" s="110">
        <f t="shared" si="160"/>
        <v>0</v>
      </c>
      <c r="JD34" s="110">
        <f t="shared" si="161"/>
        <v>0</v>
      </c>
      <c r="JE34" s="110">
        <f t="shared" si="162"/>
        <v>0</v>
      </c>
      <c r="JF34" s="110">
        <f t="shared" si="163"/>
        <v>0</v>
      </c>
      <c r="JG34" s="110">
        <f t="shared" si="164"/>
        <v>0</v>
      </c>
      <c r="JH34" s="110">
        <f t="shared" si="165"/>
        <v>0</v>
      </c>
      <c r="JI34" s="110">
        <f t="shared" si="166"/>
        <v>0</v>
      </c>
      <c r="JJ34" s="110">
        <f t="shared" si="167"/>
        <v>0</v>
      </c>
      <c r="JK34" s="110">
        <f t="shared" si="168"/>
        <v>0</v>
      </c>
      <c r="JL34" s="110">
        <f t="shared" si="169"/>
        <v>0</v>
      </c>
      <c r="JM34" s="110">
        <f t="shared" si="170"/>
        <v>0</v>
      </c>
      <c r="JN34" s="110">
        <f t="shared" si="171"/>
        <v>0</v>
      </c>
      <c r="JO34" s="110">
        <f t="shared" si="172"/>
        <v>0</v>
      </c>
      <c r="JP34" s="110">
        <f t="shared" si="173"/>
        <v>0</v>
      </c>
      <c r="JQ34" s="110">
        <f t="shared" si="174"/>
        <v>0</v>
      </c>
      <c r="JR34" s="110">
        <f t="shared" si="175"/>
        <v>0</v>
      </c>
      <c r="JS34" s="110">
        <f t="shared" si="176"/>
        <v>0</v>
      </c>
      <c r="JT34" s="110">
        <f t="shared" si="177"/>
        <v>0</v>
      </c>
      <c r="JV34" s="111">
        <f t="shared" si="178"/>
        <v>0</v>
      </c>
      <c r="JW34" s="110">
        <f t="shared" si="179"/>
        <v>0</v>
      </c>
      <c r="JX34" s="110">
        <f t="shared" si="180"/>
        <v>0</v>
      </c>
      <c r="JY34" s="110">
        <f t="shared" si="181"/>
        <v>0</v>
      </c>
      <c r="JZ34" s="110">
        <f t="shared" si="182"/>
        <v>0</v>
      </c>
      <c r="KA34" s="110">
        <f t="shared" si="183"/>
        <v>0</v>
      </c>
      <c r="KB34" s="110">
        <f t="shared" si="184"/>
        <v>0</v>
      </c>
      <c r="KC34" s="110">
        <f t="shared" si="185"/>
        <v>0</v>
      </c>
      <c r="KD34" s="110">
        <f t="shared" si="186"/>
        <v>0</v>
      </c>
      <c r="KE34" s="110">
        <f t="shared" si="187"/>
        <v>0</v>
      </c>
      <c r="KF34" s="110">
        <f t="shared" si="188"/>
        <v>0</v>
      </c>
      <c r="KG34" s="110">
        <f t="shared" si="189"/>
        <v>0</v>
      </c>
      <c r="KH34" s="110">
        <f t="shared" si="190"/>
        <v>0</v>
      </c>
      <c r="KI34" s="110">
        <f t="shared" si="191"/>
        <v>0</v>
      </c>
      <c r="KJ34" s="110">
        <f t="shared" si="192"/>
        <v>0</v>
      </c>
      <c r="KK34" s="110">
        <f t="shared" si="193"/>
        <v>0</v>
      </c>
      <c r="KL34" s="110">
        <f t="shared" si="194"/>
        <v>0</v>
      </c>
      <c r="KM34" s="110">
        <f t="shared" si="195"/>
        <v>0</v>
      </c>
      <c r="KN34" s="110">
        <f t="shared" si="196"/>
        <v>0</v>
      </c>
      <c r="KO34" s="110">
        <f t="shared" si="197"/>
        <v>0</v>
      </c>
      <c r="KP34" s="110">
        <f t="shared" si="198"/>
        <v>0</v>
      </c>
      <c r="KQ34" s="110">
        <f t="shared" si="199"/>
        <v>0</v>
      </c>
      <c r="KR34" s="110">
        <f t="shared" si="200"/>
        <v>0</v>
      </c>
      <c r="KS34" s="110">
        <f t="shared" si="201"/>
        <v>0</v>
      </c>
      <c r="KT34" s="110">
        <f t="shared" si="202"/>
        <v>0</v>
      </c>
      <c r="KV34" s="111">
        <f t="shared" si="203"/>
        <v>0</v>
      </c>
      <c r="KW34" s="110">
        <f t="shared" si="204"/>
        <v>0</v>
      </c>
      <c r="KX34" s="110">
        <f t="shared" si="205"/>
        <v>0</v>
      </c>
      <c r="KY34" s="110">
        <f t="shared" si="206"/>
        <v>0</v>
      </c>
      <c r="KZ34" s="110">
        <f t="shared" si="207"/>
        <v>0</v>
      </c>
      <c r="LA34" s="110">
        <f t="shared" si="208"/>
        <v>0</v>
      </c>
      <c r="LB34" s="110">
        <f t="shared" si="209"/>
        <v>0</v>
      </c>
      <c r="LC34" s="110">
        <f t="shared" si="210"/>
        <v>0</v>
      </c>
      <c r="LD34" s="110">
        <f t="shared" si="211"/>
        <v>0</v>
      </c>
      <c r="LE34" s="110">
        <f t="shared" si="212"/>
        <v>0</v>
      </c>
      <c r="LF34" s="110">
        <f t="shared" si="213"/>
        <v>0</v>
      </c>
      <c r="LG34" s="110">
        <f t="shared" si="214"/>
        <v>11.590000000000032</v>
      </c>
      <c r="LH34" s="110">
        <f t="shared" si="215"/>
        <v>11.590000000000032</v>
      </c>
      <c r="LI34" s="110">
        <f t="shared" si="216"/>
        <v>11.590000000000032</v>
      </c>
      <c r="LJ34" s="110">
        <f t="shared" si="217"/>
        <v>11.590000000000032</v>
      </c>
      <c r="LK34" s="110">
        <f t="shared" si="218"/>
        <v>11.590000000000032</v>
      </c>
      <c r="LL34" s="110">
        <f t="shared" si="219"/>
        <v>11.590000000000032</v>
      </c>
      <c r="LM34" s="110">
        <f t="shared" si="220"/>
        <v>11.590000000000032</v>
      </c>
      <c r="LN34" s="110">
        <f t="shared" si="221"/>
        <v>11.590000000000032</v>
      </c>
      <c r="LO34" s="110">
        <f t="shared" si="222"/>
        <v>11.590000000000032</v>
      </c>
      <c r="LP34" s="110">
        <f t="shared" si="223"/>
        <v>11.590000000000032</v>
      </c>
      <c r="LQ34" s="110">
        <f t="shared" si="224"/>
        <v>11.590000000000032</v>
      </c>
      <c r="LR34" s="110">
        <f t="shared" si="225"/>
        <v>11.590000000000032</v>
      </c>
      <c r="LS34" s="110">
        <f t="shared" si="226"/>
        <v>0</v>
      </c>
      <c r="LT34" s="110">
        <f t="shared" si="227"/>
        <v>0</v>
      </c>
      <c r="LV34" s="111"/>
      <c r="LW34" s="110">
        <f t="shared" si="228"/>
        <v>0</v>
      </c>
      <c r="LX34" s="110">
        <f t="shared" si="229"/>
        <v>0</v>
      </c>
      <c r="LY34" s="110">
        <f t="shared" si="230"/>
        <v>0</v>
      </c>
      <c r="LZ34" s="110">
        <f t="shared" si="231"/>
        <v>0</v>
      </c>
      <c r="MA34" s="110">
        <f t="shared" si="232"/>
        <v>0</v>
      </c>
      <c r="MB34" s="110">
        <f t="shared" si="233"/>
        <v>0</v>
      </c>
      <c r="MC34" s="110">
        <f t="shared" si="234"/>
        <v>0</v>
      </c>
      <c r="MD34" s="110">
        <f t="shared" si="235"/>
        <v>0</v>
      </c>
      <c r="ME34" s="110">
        <f t="shared" si="236"/>
        <v>0</v>
      </c>
      <c r="MF34" s="110">
        <f t="shared" si="237"/>
        <v>0</v>
      </c>
      <c r="MG34" s="110">
        <f t="shared" si="238"/>
        <v>0</v>
      </c>
      <c r="MH34" s="110">
        <f t="shared" si="239"/>
        <v>0</v>
      </c>
      <c r="MI34" s="110">
        <f t="shared" si="240"/>
        <v>0</v>
      </c>
      <c r="MJ34" s="110">
        <f t="shared" si="241"/>
        <v>0</v>
      </c>
      <c r="MK34" s="110">
        <f t="shared" si="242"/>
        <v>0</v>
      </c>
      <c r="ML34" s="110">
        <f t="shared" si="243"/>
        <v>0</v>
      </c>
      <c r="MM34" s="110">
        <f t="shared" si="244"/>
        <v>0</v>
      </c>
      <c r="MN34" s="110">
        <f t="shared" si="245"/>
        <v>0</v>
      </c>
      <c r="MO34" s="110">
        <f t="shared" si="246"/>
        <v>0</v>
      </c>
      <c r="MP34" s="110">
        <f t="shared" si="247"/>
        <v>0</v>
      </c>
      <c r="MQ34" s="110">
        <f t="shared" si="248"/>
        <v>0</v>
      </c>
      <c r="MR34" s="110">
        <f t="shared" si="249"/>
        <v>0</v>
      </c>
      <c r="MS34" s="110">
        <f t="shared" si="250"/>
        <v>0</v>
      </c>
      <c r="MT34" s="110">
        <f t="shared" si="251"/>
        <v>0</v>
      </c>
      <c r="MV34" s="114">
        <v>361.79</v>
      </c>
      <c r="MW34" s="114">
        <v>0</v>
      </c>
      <c r="MX34" s="114">
        <v>0</v>
      </c>
      <c r="MY34" s="114">
        <v>0</v>
      </c>
      <c r="MZ34" s="114">
        <v>0</v>
      </c>
      <c r="NB34" s="115">
        <v>6</v>
      </c>
      <c r="NC34" s="115" t="str">
        <v>N/A</v>
      </c>
      <c r="ND34" s="115" t="str">
        <v>N/A</v>
      </c>
      <c r="NE34" s="115" t="str">
        <v>N/A</v>
      </c>
      <c r="NF34" s="115" t="str">
        <v>N/A</v>
      </c>
    </row>
    <row r="35" spans="2:370" ht="13.5" x14ac:dyDescent="0.25">
      <c r="B35" s="8">
        <f t="shared" si="252"/>
        <v>32</v>
      </c>
      <c r="C35" s="7">
        <v>0</v>
      </c>
      <c r="D35" s="7">
        <v>0</v>
      </c>
      <c r="E35" s="7">
        <v>0</v>
      </c>
      <c r="F35" s="7">
        <v>296.64999999999998</v>
      </c>
      <c r="G35" s="7">
        <v>296.64999999999998</v>
      </c>
      <c r="H35" s="7">
        <v>296.64999999999998</v>
      </c>
      <c r="I35" s="7">
        <v>296.64999999999998</v>
      </c>
      <c r="J35" s="7">
        <v>296.64999999999998</v>
      </c>
      <c r="K35" s="7">
        <v>296.64999999999998</v>
      </c>
      <c r="L35" s="7">
        <v>296.64999999999998</v>
      </c>
      <c r="M35" s="7">
        <v>296.64999999999998</v>
      </c>
      <c r="N35" s="7">
        <v>296.64999999999998</v>
      </c>
      <c r="O35" s="7">
        <v>296.64999999999998</v>
      </c>
      <c r="P35" s="7">
        <v>296.64999999999998</v>
      </c>
      <c r="Q35" s="7">
        <v>296.64999999999998</v>
      </c>
      <c r="R35" s="7">
        <v>296.64999999999998</v>
      </c>
      <c r="S35" s="7">
        <v>296.64999999999998</v>
      </c>
      <c r="T35" s="7">
        <v>296.64999999999998</v>
      </c>
      <c r="U35" s="7">
        <v>296.64999999999998</v>
      </c>
      <c r="V35" s="7">
        <v>296.64999999999998</v>
      </c>
      <c r="W35" s="7">
        <v>296.64999999999998</v>
      </c>
      <c r="X35" s="7">
        <v>296.64999999999998</v>
      </c>
      <c r="Y35" s="7">
        <v>296.64999999999998</v>
      </c>
      <c r="Z35" s="7">
        <v>307.04000000000002</v>
      </c>
      <c r="AA35" s="7">
        <v>307.04000000000002</v>
      </c>
      <c r="AB35" s="7">
        <v>307.04000000000002</v>
      </c>
      <c r="AC35" s="7">
        <v>307.04000000000002</v>
      </c>
      <c r="AD35" s="7">
        <v>307.04000000000002</v>
      </c>
      <c r="AE35" s="7">
        <v>307.04000000000002</v>
      </c>
      <c r="AF35" s="7">
        <v>307.04000000000002</v>
      </c>
      <c r="AG35" s="7">
        <v>307.04000000000002</v>
      </c>
      <c r="AH35" s="7">
        <v>307.04000000000002</v>
      </c>
      <c r="AI35" s="7">
        <v>307.04000000000002</v>
      </c>
      <c r="AJ35" s="7">
        <v>307.04000000000002</v>
      </c>
      <c r="AK35" s="7">
        <v>307.04000000000002</v>
      </c>
      <c r="AL35" s="7">
        <v>307.04000000000002</v>
      </c>
      <c r="AM35" s="7">
        <v>307.04000000000002</v>
      </c>
      <c r="AN35" s="27">
        <v>32</v>
      </c>
      <c r="AP35" s="111"/>
      <c r="AQ35" s="110">
        <f t="shared" si="13"/>
        <v>296.64999999999998</v>
      </c>
      <c r="AR35" s="110">
        <f t="shared" si="14"/>
        <v>0</v>
      </c>
      <c r="AS35" s="110">
        <f t="shared" si="15"/>
        <v>0</v>
      </c>
      <c r="AT35" s="110">
        <f t="shared" si="16"/>
        <v>0</v>
      </c>
      <c r="AU35" s="110">
        <f t="shared" si="17"/>
        <v>0</v>
      </c>
      <c r="AV35" s="110">
        <f t="shared" si="18"/>
        <v>0</v>
      </c>
      <c r="AW35" s="110">
        <f t="shared" si="19"/>
        <v>0</v>
      </c>
      <c r="AX35" s="110">
        <f t="shared" si="20"/>
        <v>10.390000000000043</v>
      </c>
      <c r="AY35" s="110">
        <f t="shared" si="21"/>
        <v>0</v>
      </c>
      <c r="AZ35" s="110">
        <f t="shared" si="22"/>
        <v>0</v>
      </c>
      <c r="BA35" s="110">
        <f t="shared" si="23"/>
        <v>0</v>
      </c>
      <c r="BB35" s="110">
        <f t="shared" si="24"/>
        <v>0</v>
      </c>
      <c r="BD35" s="109" cm="1">
        <f t="array" ref="BD35">+IFERROR(INDEX($C$3:$AM$3,MATCH(TRUE,INDEX($C35:$AM35&lt;&gt;0,0),0)),"N/A")</f>
        <v>45016</v>
      </c>
      <c r="BE35" s="112"/>
      <c r="BF35" s="1" t="str" cm="1">
        <f t="array" ref="BF35">+_xlfn.IFS(BT35&lt;&gt;0,BT$2,CH35&lt;&gt;0,CH$2,CV35&lt;&gt;0,CV$2,DJ35&lt;&gt;0,DJ$2,TRUE,"")</f>
        <v>New</v>
      </c>
      <c r="BG35" s="1" t="str" cm="1">
        <f t="array" ref="BG35">+_xlfn.IFS(BU35&lt;&gt;0,BU$2,CI35&lt;&gt;0,CI$2,CW35&lt;&gt;0,CW$2,DK35&lt;&gt;0,DK$2,TRUE,"")</f>
        <v/>
      </c>
      <c r="BH35" s="1" t="str" cm="1">
        <f t="array" ref="BH35">+_xlfn.IFS(BV35&lt;&gt;0,BV$2,CJ35&lt;&gt;0,CJ$2,CX35&lt;&gt;0,CX$2,DL35&lt;&gt;0,DL$2,TRUE,"")</f>
        <v/>
      </c>
      <c r="BI35" s="1" t="str" cm="1">
        <f t="array" ref="BI35">+_xlfn.IFS(BW35&lt;&gt;0,BW$2,CK35&lt;&gt;0,CK$2,CY35&lt;&gt;0,CY$2,DM35&lt;&gt;0,DM$2,TRUE,"")</f>
        <v/>
      </c>
      <c r="BJ35" s="1" t="str" cm="1">
        <f t="array" ref="BJ35">+_xlfn.IFS(BX35&lt;&gt;0,BX$2,CL35&lt;&gt;0,CL$2,CZ35&lt;&gt;0,CZ$2,DN35&lt;&gt;0,DN$2,TRUE,"")</f>
        <v/>
      </c>
      <c r="BK35" s="1" t="str" cm="1">
        <f t="array" ref="BK35">+_xlfn.IFS(BY35&lt;&gt;0,BY$2,CM35&lt;&gt;0,CM$2,DA35&lt;&gt;0,DA$2,DO35&lt;&gt;0,DO$2,TRUE,"")</f>
        <v/>
      </c>
      <c r="BL35" s="1" t="str" cm="1">
        <f t="array" ref="BL35">+_xlfn.IFS(BZ35&lt;&gt;0,BZ$2,CN35&lt;&gt;0,CN$2,DB35&lt;&gt;0,DB$2,DP35&lt;&gt;0,DP$2,TRUE,"")</f>
        <v/>
      </c>
      <c r="BM35" s="1" t="str" cm="1">
        <f t="array" ref="BM35">+_xlfn.IFS(CA35&lt;&gt;0,CA$2,CO35&lt;&gt;0,CO$2,DC35&lt;&gt;0,DC$2,DQ35&lt;&gt;0,DQ$2,TRUE,"")</f>
        <v>Upsell</v>
      </c>
      <c r="BN35" s="1" t="str" cm="1">
        <f t="array" ref="BN35">+_xlfn.IFS(CB35&lt;&gt;0,CB$2,CP35&lt;&gt;0,CP$2,DD35&lt;&gt;0,DD$2,DR35&lt;&gt;0,DR$2,TRUE,"")</f>
        <v/>
      </c>
      <c r="BO35" s="1" t="str" cm="1">
        <f t="array" ref="BO35">+_xlfn.IFS(CC35&lt;&gt;0,CC$2,CQ35&lt;&gt;0,CQ$2,DE35&lt;&gt;0,DE$2,DS35&lt;&gt;0,DS$2,TRUE,"")</f>
        <v/>
      </c>
      <c r="BP35" s="1" t="str" cm="1">
        <f t="array" ref="BP35">+_xlfn.IFS(CD35&lt;&gt;0,CD$2,CR35&lt;&gt;0,CR$2,DF35&lt;&gt;0,DF$2,DT35&lt;&gt;0,DT$2,TRUE,"")</f>
        <v/>
      </c>
      <c r="BQ35" s="1" t="str" cm="1">
        <f t="array" ref="BQ35">+_xlfn.IFS(CE35&lt;&gt;0,CE$2,CS35&lt;&gt;0,CS$2,DG35&lt;&gt;0,DG$2,DU35&lt;&gt;0,DU$2,TRUE,"")</f>
        <v/>
      </c>
      <c r="BS35" s="111"/>
      <c r="BT35" s="110">
        <f t="shared" si="25"/>
        <v>296.64999999999998</v>
      </c>
      <c r="BU35" s="110">
        <f t="shared" si="26"/>
        <v>0</v>
      </c>
      <c r="BV35" s="110">
        <f t="shared" si="27"/>
        <v>0</v>
      </c>
      <c r="BW35" s="110">
        <f t="shared" si="28"/>
        <v>0</v>
      </c>
      <c r="BX35" s="110">
        <f t="shared" si="29"/>
        <v>0</v>
      </c>
      <c r="BY35" s="110">
        <f t="shared" si="30"/>
        <v>0</v>
      </c>
      <c r="BZ35" s="110">
        <f t="shared" si="31"/>
        <v>0</v>
      </c>
      <c r="CA35" s="110">
        <f t="shared" si="32"/>
        <v>0</v>
      </c>
      <c r="CB35" s="110">
        <f t="shared" si="33"/>
        <v>0</v>
      </c>
      <c r="CC35" s="110">
        <f t="shared" si="34"/>
        <v>0</v>
      </c>
      <c r="CD35" s="110">
        <f t="shared" si="35"/>
        <v>0</v>
      </c>
      <c r="CE35" s="110">
        <f t="shared" si="36"/>
        <v>0</v>
      </c>
      <c r="CG35" s="111"/>
      <c r="CH35" s="110">
        <f t="shared" si="37"/>
        <v>0</v>
      </c>
      <c r="CI35" s="110">
        <f t="shared" si="38"/>
        <v>0</v>
      </c>
      <c r="CJ35" s="110">
        <f t="shared" si="39"/>
        <v>0</v>
      </c>
      <c r="CK35" s="110">
        <f t="shared" si="40"/>
        <v>0</v>
      </c>
      <c r="CL35" s="110">
        <f t="shared" si="41"/>
        <v>0</v>
      </c>
      <c r="CM35" s="110">
        <f t="shared" si="42"/>
        <v>0</v>
      </c>
      <c r="CN35" s="110">
        <f t="shared" si="43"/>
        <v>0</v>
      </c>
      <c r="CO35" s="110">
        <f t="shared" si="44"/>
        <v>0</v>
      </c>
      <c r="CP35" s="110">
        <f t="shared" si="45"/>
        <v>0</v>
      </c>
      <c r="CQ35" s="110">
        <f t="shared" si="46"/>
        <v>0</v>
      </c>
      <c r="CR35" s="110">
        <f t="shared" si="47"/>
        <v>0</v>
      </c>
      <c r="CS35" s="110">
        <f t="shared" si="48"/>
        <v>0</v>
      </c>
      <c r="CU35" s="111"/>
      <c r="CV35" s="110">
        <f t="shared" si="49"/>
        <v>0</v>
      </c>
      <c r="CW35" s="110">
        <f t="shared" si="50"/>
        <v>0</v>
      </c>
      <c r="CX35" s="110">
        <f t="shared" si="51"/>
        <v>0</v>
      </c>
      <c r="CY35" s="110">
        <f t="shared" si="52"/>
        <v>0</v>
      </c>
      <c r="CZ35" s="110">
        <f t="shared" si="53"/>
        <v>0</v>
      </c>
      <c r="DA35" s="110">
        <f t="shared" si="54"/>
        <v>0</v>
      </c>
      <c r="DB35" s="110">
        <f t="shared" si="55"/>
        <v>0</v>
      </c>
      <c r="DC35" s="110">
        <f t="shared" si="56"/>
        <v>0</v>
      </c>
      <c r="DD35" s="110">
        <f t="shared" si="57"/>
        <v>0</v>
      </c>
      <c r="DE35" s="110">
        <f t="shared" si="58"/>
        <v>0</v>
      </c>
      <c r="DF35" s="110">
        <f t="shared" si="59"/>
        <v>0</v>
      </c>
      <c r="DG35" s="110">
        <f t="shared" si="60"/>
        <v>0</v>
      </c>
      <c r="DI35" s="111"/>
      <c r="DJ35" s="110">
        <f t="shared" si="61"/>
        <v>0</v>
      </c>
      <c r="DK35" s="110">
        <f t="shared" si="62"/>
        <v>0</v>
      </c>
      <c r="DL35" s="110">
        <f t="shared" si="63"/>
        <v>0</v>
      </c>
      <c r="DM35" s="110">
        <f t="shared" si="64"/>
        <v>0</v>
      </c>
      <c r="DN35" s="110">
        <f t="shared" si="65"/>
        <v>0</v>
      </c>
      <c r="DO35" s="110">
        <f t="shared" si="66"/>
        <v>0</v>
      </c>
      <c r="DP35" s="110">
        <f t="shared" si="67"/>
        <v>0</v>
      </c>
      <c r="DQ35" s="110">
        <f t="shared" si="68"/>
        <v>10.390000000000043</v>
      </c>
      <c r="DR35" s="110">
        <f t="shared" si="69"/>
        <v>0</v>
      </c>
      <c r="DS35" s="110">
        <f t="shared" si="70"/>
        <v>0</v>
      </c>
      <c r="DT35" s="110">
        <f t="shared" si="71"/>
        <v>0</v>
      </c>
      <c r="DU35" s="110">
        <f t="shared" si="72"/>
        <v>0</v>
      </c>
      <c r="DW35" s="111"/>
      <c r="DX35" s="110">
        <f t="shared" si="73"/>
        <v>0</v>
      </c>
      <c r="DY35" s="110">
        <f t="shared" si="74"/>
        <v>0</v>
      </c>
      <c r="DZ35" s="110">
        <f t="shared" si="75"/>
        <v>0</v>
      </c>
      <c r="EA35" s="110">
        <f t="shared" si="76"/>
        <v>0</v>
      </c>
      <c r="EB35" s="110">
        <f t="shared" si="77"/>
        <v>0</v>
      </c>
      <c r="EC35" s="110">
        <f t="shared" si="78"/>
        <v>0</v>
      </c>
      <c r="ED35" s="110">
        <f t="shared" si="79"/>
        <v>0</v>
      </c>
      <c r="EE35" s="110">
        <f t="shared" si="80"/>
        <v>0</v>
      </c>
      <c r="EF35" s="110">
        <f t="shared" si="81"/>
        <v>0</v>
      </c>
      <c r="EG35" s="110">
        <f t="shared" si="82"/>
        <v>0</v>
      </c>
      <c r="EH35" s="110">
        <f t="shared" si="83"/>
        <v>0</v>
      </c>
      <c r="EI35" s="110">
        <f t="shared" si="84"/>
        <v>0</v>
      </c>
      <c r="EK35" s="111"/>
      <c r="EL35" s="110">
        <f t="shared" si="85"/>
        <v>296.64999999999998</v>
      </c>
      <c r="EM35" s="110">
        <f t="shared" si="86"/>
        <v>10.390000000000043</v>
      </c>
      <c r="EN35" s="110">
        <f t="shared" si="87"/>
        <v>0</v>
      </c>
      <c r="EP35" s="109" cm="1">
        <f t="array" ref="EP35">+IFERROR(INDEX($C$3:$AM$3,MATCH(TRUE,INDEX($C35:$AM35&lt;&gt;0,0),0)),"N/A")</f>
        <v>45016</v>
      </c>
      <c r="EQ35" s="112"/>
      <c r="ER35" s="1" t="str" cm="1">
        <f t="array" ref="ER35">+_xlfn.IFS(EW35&lt;&gt;0,EW$2,FB35&lt;&gt;0,FB$2,FG35&lt;&gt;0,FG$2,FL35&lt;&gt;0,FL$2,TRUE,"")</f>
        <v>New</v>
      </c>
      <c r="ES35" s="1" t="str" cm="1">
        <f t="array" ref="ES35">+_xlfn.IFS(EX35&lt;&gt;0,EX$2,FC35&lt;&gt;0,FC$2,FH35&lt;&gt;0,FH$2,FM35&lt;&gt;0,FM$2,TRUE,"")</f>
        <v>Upsell</v>
      </c>
      <c r="ET35" s="1" t="str" cm="1">
        <f t="array" ref="ET35">+_xlfn.IFS(EY35&lt;&gt;0,EY$2,FD35&lt;&gt;0,FD$2,FI35&lt;&gt;0,FI$2,FN35&lt;&gt;0,FN$2,TRUE,"")</f>
        <v/>
      </c>
      <c r="EV35" s="111"/>
      <c r="EW35" s="110">
        <f t="shared" si="88"/>
        <v>296.64999999999998</v>
      </c>
      <c r="EX35" s="110">
        <f t="shared" si="89"/>
        <v>0</v>
      </c>
      <c r="EY35" s="110">
        <f t="shared" si="90"/>
        <v>0</v>
      </c>
      <c r="FA35" s="111"/>
      <c r="FB35" s="110">
        <f t="shared" si="91"/>
        <v>0</v>
      </c>
      <c r="FC35" s="110">
        <f t="shared" si="92"/>
        <v>0</v>
      </c>
      <c r="FD35" s="110">
        <f t="shared" si="93"/>
        <v>0</v>
      </c>
      <c r="FF35" s="111"/>
      <c r="FG35" s="110">
        <f t="shared" si="94"/>
        <v>0</v>
      </c>
      <c r="FH35" s="110">
        <f t="shared" si="95"/>
        <v>0</v>
      </c>
      <c r="FI35" s="110">
        <f t="shared" si="96"/>
        <v>0</v>
      </c>
      <c r="FK35" s="111"/>
      <c r="FL35" s="110">
        <f t="shared" si="97"/>
        <v>0</v>
      </c>
      <c r="FM35" s="110">
        <f t="shared" si="98"/>
        <v>10.390000000000043</v>
      </c>
      <c r="FN35" s="110">
        <f t="shared" si="99"/>
        <v>0</v>
      </c>
      <c r="FP35" s="111"/>
      <c r="FQ35" s="110">
        <f t="shared" si="100"/>
        <v>0</v>
      </c>
      <c r="FR35" s="110">
        <f t="shared" si="101"/>
        <v>0</v>
      </c>
      <c r="FS35" s="110">
        <f t="shared" si="102"/>
        <v>0</v>
      </c>
      <c r="FU35" s="111">
        <f t="shared" si="103"/>
        <v>296.64999999999998</v>
      </c>
      <c r="FV35" s="110">
        <f t="shared" si="104"/>
        <v>296.64999999999998</v>
      </c>
      <c r="FW35" s="110">
        <f t="shared" si="105"/>
        <v>296.64999999999998</v>
      </c>
      <c r="FX35" s="110">
        <f t="shared" si="106"/>
        <v>0</v>
      </c>
      <c r="FY35" s="110">
        <f t="shared" si="107"/>
        <v>0</v>
      </c>
      <c r="FZ35" s="110">
        <f t="shared" si="108"/>
        <v>0</v>
      </c>
      <c r="GA35" s="110">
        <f t="shared" si="109"/>
        <v>0</v>
      </c>
      <c r="GB35" s="110">
        <f t="shared" si="110"/>
        <v>0</v>
      </c>
      <c r="GC35" s="110">
        <f t="shared" si="111"/>
        <v>0</v>
      </c>
      <c r="GD35" s="110">
        <f t="shared" si="112"/>
        <v>0</v>
      </c>
      <c r="GE35" s="110">
        <f t="shared" si="113"/>
        <v>0</v>
      </c>
      <c r="GF35" s="110">
        <f t="shared" si="114"/>
        <v>10.390000000000043</v>
      </c>
      <c r="GG35" s="110">
        <f t="shared" si="115"/>
        <v>10.390000000000043</v>
      </c>
      <c r="GH35" s="110">
        <f t="shared" si="116"/>
        <v>10.390000000000043</v>
      </c>
      <c r="GI35" s="110">
        <f t="shared" si="117"/>
        <v>10.390000000000043</v>
      </c>
      <c r="GJ35" s="110">
        <f t="shared" si="118"/>
        <v>10.390000000000043</v>
      </c>
      <c r="GK35" s="110">
        <f t="shared" si="119"/>
        <v>10.390000000000043</v>
      </c>
      <c r="GL35" s="110">
        <f t="shared" si="120"/>
        <v>10.390000000000043</v>
      </c>
      <c r="GM35" s="110">
        <f t="shared" si="121"/>
        <v>10.390000000000043</v>
      </c>
      <c r="GN35" s="110">
        <f t="shared" si="122"/>
        <v>10.390000000000043</v>
      </c>
      <c r="GO35" s="110">
        <f t="shared" si="123"/>
        <v>10.390000000000043</v>
      </c>
      <c r="GP35" s="110">
        <f t="shared" si="124"/>
        <v>10.390000000000043</v>
      </c>
      <c r="GQ35" s="110">
        <f t="shared" si="125"/>
        <v>10.390000000000043</v>
      </c>
      <c r="GR35" s="110">
        <f t="shared" si="126"/>
        <v>0</v>
      </c>
      <c r="GS35" s="110">
        <f t="shared" si="127"/>
        <v>0</v>
      </c>
      <c r="GU35" s="109" cm="1">
        <f t="array" ref="GU35">+IFERROR(INDEX($C$3:$AM$3,MATCH(TRUE,INDEX($C35:$AM35&lt;&gt;0,0),0)),"N/A")</f>
        <v>45016</v>
      </c>
      <c r="GV35" s="112" t="str" cm="1">
        <f t="array" ref="GV35">+_xlfn.IFS(HV35&lt;&gt;0,HV$2,IV35&lt;&gt;0,IV$2,JV35&lt;&gt;0,JV$2,KV35&lt;&gt;0,KV$2,TRUE,"")</f>
        <v>New</v>
      </c>
      <c r="GW35" s="1" t="str" cm="1">
        <f t="array" ref="GW35">+_xlfn.IFS(HW35&lt;&gt;0,HW$2,IW35&lt;&gt;0,IW$2,JW35&lt;&gt;0,JW$2,KW35&lt;&gt;0,KW$2,TRUE,"")</f>
        <v>New</v>
      </c>
      <c r="GX35" s="1" t="str" cm="1">
        <f t="array" ref="GX35">+_xlfn.IFS(HX35&lt;&gt;0,HX$2,IX35&lt;&gt;0,IX$2,JX35&lt;&gt;0,JX$2,KX35&lt;&gt;0,KX$2,TRUE,"")</f>
        <v>New</v>
      </c>
      <c r="GY35" s="1" t="str" cm="1">
        <f t="array" ref="GY35">+_xlfn.IFS(HY35&lt;&gt;0,HY$2,IY35&lt;&gt;0,IY$2,JY35&lt;&gt;0,JY$2,KY35&lt;&gt;0,KY$2,TRUE,"")</f>
        <v/>
      </c>
      <c r="GZ35" s="1" t="str" cm="1">
        <f t="array" ref="GZ35">+_xlfn.IFS(HZ35&lt;&gt;0,HZ$2,IZ35&lt;&gt;0,IZ$2,JZ35&lt;&gt;0,JZ$2,KZ35&lt;&gt;0,KZ$2,TRUE,"")</f>
        <v/>
      </c>
      <c r="HA35" s="1" t="str" cm="1">
        <f t="array" ref="HA35">+_xlfn.IFS(IA35&lt;&gt;0,IA$2,JA35&lt;&gt;0,JA$2,KA35&lt;&gt;0,KA$2,LA35&lt;&gt;0,LA$2,TRUE,"")</f>
        <v/>
      </c>
      <c r="HB35" s="1" t="str" cm="1">
        <f t="array" ref="HB35">+_xlfn.IFS(IB35&lt;&gt;0,IB$2,JB35&lt;&gt;0,JB$2,KB35&lt;&gt;0,KB$2,LB35&lt;&gt;0,LB$2,TRUE,"")</f>
        <v/>
      </c>
      <c r="HC35" s="1" t="str" cm="1">
        <f t="array" ref="HC35">+_xlfn.IFS(IC35&lt;&gt;0,IC$2,JC35&lt;&gt;0,JC$2,KC35&lt;&gt;0,KC$2,LC35&lt;&gt;0,LC$2,TRUE,"")</f>
        <v/>
      </c>
      <c r="HD35" s="1" t="str" cm="1">
        <f t="array" ref="HD35">+_xlfn.IFS(ID35&lt;&gt;0,ID$2,JD35&lt;&gt;0,JD$2,KD35&lt;&gt;0,KD$2,LD35&lt;&gt;0,LD$2,TRUE,"")</f>
        <v/>
      </c>
      <c r="HE35" s="1" t="str" cm="1">
        <f t="array" ref="HE35">+_xlfn.IFS(IE35&lt;&gt;0,IE$2,JE35&lt;&gt;0,JE$2,KE35&lt;&gt;0,KE$2,LE35&lt;&gt;0,LE$2,TRUE,"")</f>
        <v/>
      </c>
      <c r="HF35" s="1" t="str" cm="1">
        <f t="array" ref="HF35">+_xlfn.IFS(IF35&lt;&gt;0,IF$2,JF35&lt;&gt;0,JF$2,KF35&lt;&gt;0,KF$2,LF35&lt;&gt;0,LF$2,TRUE,"")</f>
        <v/>
      </c>
      <c r="HG35" s="1" t="str" cm="1">
        <f t="array" ref="HG35">+_xlfn.IFS(IG35&lt;&gt;0,IG$2,JG35&lt;&gt;0,JG$2,KG35&lt;&gt;0,KG$2,LG35&lt;&gt;0,LG$2,TRUE,"")</f>
        <v>Upsell</v>
      </c>
      <c r="HH35" s="1" t="str" cm="1">
        <f t="array" ref="HH35">+_xlfn.IFS(IH35&lt;&gt;0,IH$2,JH35&lt;&gt;0,JH$2,KH35&lt;&gt;0,KH$2,LH35&lt;&gt;0,LH$2,TRUE,"")</f>
        <v>Upsell</v>
      </c>
      <c r="HI35" s="1" t="str" cm="1">
        <f t="array" ref="HI35">+_xlfn.IFS(II35&lt;&gt;0,II$2,JI35&lt;&gt;0,JI$2,KI35&lt;&gt;0,KI$2,LI35&lt;&gt;0,LI$2,TRUE,"")</f>
        <v>Upsell</v>
      </c>
      <c r="HJ35" s="1" t="str" cm="1">
        <f t="array" ref="HJ35">+_xlfn.IFS(IJ35&lt;&gt;0,IJ$2,JJ35&lt;&gt;0,JJ$2,KJ35&lt;&gt;0,KJ$2,LJ35&lt;&gt;0,LJ$2,TRUE,"")</f>
        <v>Upsell</v>
      </c>
      <c r="HK35" s="1" t="str" cm="1">
        <f t="array" ref="HK35">+_xlfn.IFS(IK35&lt;&gt;0,IK$2,JK35&lt;&gt;0,JK$2,KK35&lt;&gt;0,KK$2,LK35&lt;&gt;0,LK$2,TRUE,"")</f>
        <v>Upsell</v>
      </c>
      <c r="HL35" s="1" t="str" cm="1">
        <f t="array" ref="HL35">+_xlfn.IFS(IL35&lt;&gt;0,IL$2,JL35&lt;&gt;0,JL$2,KL35&lt;&gt;0,KL$2,LL35&lt;&gt;0,LL$2,TRUE,"")</f>
        <v>Upsell</v>
      </c>
      <c r="HM35" s="1" t="str" cm="1">
        <f t="array" ref="HM35">+_xlfn.IFS(IM35&lt;&gt;0,IM$2,JM35&lt;&gt;0,JM$2,KM35&lt;&gt;0,KM$2,LM35&lt;&gt;0,LM$2,TRUE,"")</f>
        <v>Upsell</v>
      </c>
      <c r="HN35" s="1" t="str" cm="1">
        <f t="array" ref="HN35">+_xlfn.IFS(IN35&lt;&gt;0,IN$2,JN35&lt;&gt;0,JN$2,KN35&lt;&gt;0,KN$2,LN35&lt;&gt;0,LN$2,TRUE,"")</f>
        <v>Upsell</v>
      </c>
      <c r="HO35" s="1" t="str" cm="1">
        <f t="array" ref="HO35">+_xlfn.IFS(IO35&lt;&gt;0,IO$2,JO35&lt;&gt;0,JO$2,KO35&lt;&gt;0,KO$2,LO35&lt;&gt;0,LO$2,TRUE,"")</f>
        <v>Upsell</v>
      </c>
      <c r="HP35" s="1" t="str" cm="1">
        <f t="array" ref="HP35">+_xlfn.IFS(IP35&lt;&gt;0,IP$2,JP35&lt;&gt;0,JP$2,KP35&lt;&gt;0,KP$2,LP35&lt;&gt;0,LP$2,TRUE,"")</f>
        <v>Upsell</v>
      </c>
      <c r="HQ35" s="1" t="str" cm="1">
        <f t="array" ref="HQ35">+_xlfn.IFS(IQ35&lt;&gt;0,IQ$2,JQ35&lt;&gt;0,JQ$2,KQ35&lt;&gt;0,KQ$2,LQ35&lt;&gt;0,LQ$2,TRUE,"")</f>
        <v>Upsell</v>
      </c>
      <c r="HR35" s="1" t="str" cm="1">
        <f t="array" ref="HR35">+_xlfn.IFS(IR35&lt;&gt;0,IR$2,JR35&lt;&gt;0,JR$2,KR35&lt;&gt;0,KR$2,LR35&lt;&gt;0,LR$2,TRUE,"")</f>
        <v>Upsell</v>
      </c>
      <c r="HS35" s="1" t="str" cm="1">
        <f t="array" ref="HS35">+_xlfn.IFS(IS35&lt;&gt;0,IS$2,JS35&lt;&gt;0,JS$2,KS35&lt;&gt;0,KS$2,LS35&lt;&gt;0,LS$2,TRUE,"")</f>
        <v/>
      </c>
      <c r="HT35" s="1" t="str" cm="1">
        <f t="array" ref="HT35">+_xlfn.IFS(IT35&lt;&gt;0,IT$2,JT35&lt;&gt;0,JT$2,KT35&lt;&gt;0,KT$2,LT35&lt;&gt;0,LT$2,TRUE,"")</f>
        <v/>
      </c>
      <c r="HV35" s="111">
        <f t="shared" si="128"/>
        <v>296.64999999999998</v>
      </c>
      <c r="HW35" s="110">
        <f t="shared" si="129"/>
        <v>296.64999999999998</v>
      </c>
      <c r="HX35" s="110">
        <f t="shared" si="130"/>
        <v>296.64999999999998</v>
      </c>
      <c r="HY35" s="110">
        <f t="shared" si="131"/>
        <v>0</v>
      </c>
      <c r="HZ35" s="110">
        <f t="shared" si="132"/>
        <v>0</v>
      </c>
      <c r="IA35" s="110">
        <f t="shared" si="133"/>
        <v>0</v>
      </c>
      <c r="IB35" s="110">
        <f t="shared" si="134"/>
        <v>0</v>
      </c>
      <c r="IC35" s="110">
        <f t="shared" si="135"/>
        <v>0</v>
      </c>
      <c r="ID35" s="110">
        <f t="shared" si="136"/>
        <v>0</v>
      </c>
      <c r="IE35" s="110">
        <f t="shared" si="137"/>
        <v>0</v>
      </c>
      <c r="IF35" s="110">
        <f t="shared" si="138"/>
        <v>0</v>
      </c>
      <c r="IG35" s="110">
        <f t="shared" si="139"/>
        <v>0</v>
      </c>
      <c r="IH35" s="110">
        <f t="shared" si="140"/>
        <v>0</v>
      </c>
      <c r="II35" s="110">
        <f t="shared" si="141"/>
        <v>0</v>
      </c>
      <c r="IJ35" s="110">
        <f t="shared" si="142"/>
        <v>0</v>
      </c>
      <c r="IK35" s="110">
        <f t="shared" si="143"/>
        <v>0</v>
      </c>
      <c r="IL35" s="110">
        <f t="shared" si="144"/>
        <v>0</v>
      </c>
      <c r="IM35" s="110">
        <f t="shared" si="145"/>
        <v>0</v>
      </c>
      <c r="IN35" s="110">
        <f t="shared" si="146"/>
        <v>0</v>
      </c>
      <c r="IO35" s="110">
        <f t="shared" si="147"/>
        <v>0</v>
      </c>
      <c r="IP35" s="110">
        <f t="shared" si="148"/>
        <v>0</v>
      </c>
      <c r="IQ35" s="110">
        <f t="shared" si="149"/>
        <v>0</v>
      </c>
      <c r="IR35" s="110">
        <f t="shared" si="150"/>
        <v>0</v>
      </c>
      <c r="IS35" s="110">
        <f t="shared" si="151"/>
        <v>0</v>
      </c>
      <c r="IT35" s="110">
        <f t="shared" si="152"/>
        <v>0</v>
      </c>
      <c r="IV35" s="111">
        <f t="shared" si="153"/>
        <v>0</v>
      </c>
      <c r="IW35" s="110">
        <f t="shared" si="154"/>
        <v>0</v>
      </c>
      <c r="IX35" s="110">
        <f t="shared" si="155"/>
        <v>0</v>
      </c>
      <c r="IY35" s="110">
        <f t="shared" si="156"/>
        <v>0</v>
      </c>
      <c r="IZ35" s="110">
        <f t="shared" si="157"/>
        <v>0</v>
      </c>
      <c r="JA35" s="110">
        <f t="shared" si="158"/>
        <v>0</v>
      </c>
      <c r="JB35" s="110">
        <f t="shared" si="159"/>
        <v>0</v>
      </c>
      <c r="JC35" s="110">
        <f t="shared" si="160"/>
        <v>0</v>
      </c>
      <c r="JD35" s="110">
        <f t="shared" si="161"/>
        <v>0</v>
      </c>
      <c r="JE35" s="110">
        <f t="shared" si="162"/>
        <v>0</v>
      </c>
      <c r="JF35" s="110">
        <f t="shared" si="163"/>
        <v>0</v>
      </c>
      <c r="JG35" s="110">
        <f t="shared" si="164"/>
        <v>0</v>
      </c>
      <c r="JH35" s="110">
        <f t="shared" si="165"/>
        <v>0</v>
      </c>
      <c r="JI35" s="110">
        <f t="shared" si="166"/>
        <v>0</v>
      </c>
      <c r="JJ35" s="110">
        <f t="shared" si="167"/>
        <v>0</v>
      </c>
      <c r="JK35" s="110">
        <f t="shared" si="168"/>
        <v>0</v>
      </c>
      <c r="JL35" s="110">
        <f t="shared" si="169"/>
        <v>0</v>
      </c>
      <c r="JM35" s="110">
        <f t="shared" si="170"/>
        <v>0</v>
      </c>
      <c r="JN35" s="110">
        <f t="shared" si="171"/>
        <v>0</v>
      </c>
      <c r="JO35" s="110">
        <f t="shared" si="172"/>
        <v>0</v>
      </c>
      <c r="JP35" s="110">
        <f t="shared" si="173"/>
        <v>0</v>
      </c>
      <c r="JQ35" s="110">
        <f t="shared" si="174"/>
        <v>0</v>
      </c>
      <c r="JR35" s="110">
        <f t="shared" si="175"/>
        <v>0</v>
      </c>
      <c r="JS35" s="110">
        <f t="shared" si="176"/>
        <v>0</v>
      </c>
      <c r="JT35" s="110">
        <f t="shared" si="177"/>
        <v>0</v>
      </c>
      <c r="JV35" s="111">
        <f t="shared" si="178"/>
        <v>0</v>
      </c>
      <c r="JW35" s="110">
        <f t="shared" si="179"/>
        <v>0</v>
      </c>
      <c r="JX35" s="110">
        <f t="shared" si="180"/>
        <v>0</v>
      </c>
      <c r="JY35" s="110">
        <f t="shared" si="181"/>
        <v>0</v>
      </c>
      <c r="JZ35" s="110">
        <f t="shared" si="182"/>
        <v>0</v>
      </c>
      <c r="KA35" s="110">
        <f t="shared" si="183"/>
        <v>0</v>
      </c>
      <c r="KB35" s="110">
        <f t="shared" si="184"/>
        <v>0</v>
      </c>
      <c r="KC35" s="110">
        <f t="shared" si="185"/>
        <v>0</v>
      </c>
      <c r="KD35" s="110">
        <f t="shared" si="186"/>
        <v>0</v>
      </c>
      <c r="KE35" s="110">
        <f t="shared" si="187"/>
        <v>0</v>
      </c>
      <c r="KF35" s="110">
        <f t="shared" si="188"/>
        <v>0</v>
      </c>
      <c r="KG35" s="110">
        <f t="shared" si="189"/>
        <v>0</v>
      </c>
      <c r="KH35" s="110">
        <f t="shared" si="190"/>
        <v>0</v>
      </c>
      <c r="KI35" s="110">
        <f t="shared" si="191"/>
        <v>0</v>
      </c>
      <c r="KJ35" s="110">
        <f t="shared" si="192"/>
        <v>0</v>
      </c>
      <c r="KK35" s="110">
        <f t="shared" si="193"/>
        <v>0</v>
      </c>
      <c r="KL35" s="110">
        <f t="shared" si="194"/>
        <v>0</v>
      </c>
      <c r="KM35" s="110">
        <f t="shared" si="195"/>
        <v>0</v>
      </c>
      <c r="KN35" s="110">
        <f t="shared" si="196"/>
        <v>0</v>
      </c>
      <c r="KO35" s="110">
        <f t="shared" si="197"/>
        <v>0</v>
      </c>
      <c r="KP35" s="110">
        <f t="shared" si="198"/>
        <v>0</v>
      </c>
      <c r="KQ35" s="110">
        <f t="shared" si="199"/>
        <v>0</v>
      </c>
      <c r="KR35" s="110">
        <f t="shared" si="200"/>
        <v>0</v>
      </c>
      <c r="KS35" s="110">
        <f t="shared" si="201"/>
        <v>0</v>
      </c>
      <c r="KT35" s="110">
        <f t="shared" si="202"/>
        <v>0</v>
      </c>
      <c r="KV35" s="111">
        <f t="shared" si="203"/>
        <v>0</v>
      </c>
      <c r="KW35" s="110">
        <f t="shared" si="204"/>
        <v>0</v>
      </c>
      <c r="KX35" s="110">
        <f t="shared" si="205"/>
        <v>0</v>
      </c>
      <c r="KY35" s="110">
        <f t="shared" si="206"/>
        <v>0</v>
      </c>
      <c r="KZ35" s="110">
        <f t="shared" si="207"/>
        <v>0</v>
      </c>
      <c r="LA35" s="110">
        <f t="shared" si="208"/>
        <v>0</v>
      </c>
      <c r="LB35" s="110">
        <f t="shared" si="209"/>
        <v>0</v>
      </c>
      <c r="LC35" s="110">
        <f t="shared" si="210"/>
        <v>0</v>
      </c>
      <c r="LD35" s="110">
        <f t="shared" si="211"/>
        <v>0</v>
      </c>
      <c r="LE35" s="110">
        <f t="shared" si="212"/>
        <v>0</v>
      </c>
      <c r="LF35" s="110">
        <f t="shared" si="213"/>
        <v>0</v>
      </c>
      <c r="LG35" s="110">
        <f t="shared" si="214"/>
        <v>10.390000000000043</v>
      </c>
      <c r="LH35" s="110">
        <f t="shared" si="215"/>
        <v>10.390000000000043</v>
      </c>
      <c r="LI35" s="110">
        <f t="shared" si="216"/>
        <v>10.390000000000043</v>
      </c>
      <c r="LJ35" s="110">
        <f t="shared" si="217"/>
        <v>10.390000000000043</v>
      </c>
      <c r="LK35" s="110">
        <f t="shared" si="218"/>
        <v>10.390000000000043</v>
      </c>
      <c r="LL35" s="110">
        <f t="shared" si="219"/>
        <v>10.390000000000043</v>
      </c>
      <c r="LM35" s="110">
        <f t="shared" si="220"/>
        <v>10.390000000000043</v>
      </c>
      <c r="LN35" s="110">
        <f t="shared" si="221"/>
        <v>10.390000000000043</v>
      </c>
      <c r="LO35" s="110">
        <f t="shared" si="222"/>
        <v>10.390000000000043</v>
      </c>
      <c r="LP35" s="110">
        <f t="shared" si="223"/>
        <v>10.390000000000043</v>
      </c>
      <c r="LQ35" s="110">
        <f t="shared" si="224"/>
        <v>10.390000000000043</v>
      </c>
      <c r="LR35" s="110">
        <f t="shared" si="225"/>
        <v>10.390000000000043</v>
      </c>
      <c r="LS35" s="110">
        <f t="shared" si="226"/>
        <v>0</v>
      </c>
      <c r="LT35" s="110">
        <f t="shared" si="227"/>
        <v>0</v>
      </c>
      <c r="LV35" s="111"/>
      <c r="LW35" s="110">
        <f t="shared" si="228"/>
        <v>0</v>
      </c>
      <c r="LX35" s="110">
        <f t="shared" si="229"/>
        <v>0</v>
      </c>
      <c r="LY35" s="110">
        <f t="shared" si="230"/>
        <v>0</v>
      </c>
      <c r="LZ35" s="110">
        <f t="shared" si="231"/>
        <v>0</v>
      </c>
      <c r="MA35" s="110">
        <f t="shared" si="232"/>
        <v>0</v>
      </c>
      <c r="MB35" s="110">
        <f t="shared" si="233"/>
        <v>0</v>
      </c>
      <c r="MC35" s="110">
        <f t="shared" si="234"/>
        <v>0</v>
      </c>
      <c r="MD35" s="110">
        <f t="shared" si="235"/>
        <v>0</v>
      </c>
      <c r="ME35" s="110">
        <f t="shared" si="236"/>
        <v>0</v>
      </c>
      <c r="MF35" s="110">
        <f t="shared" si="237"/>
        <v>0</v>
      </c>
      <c r="MG35" s="110">
        <f t="shared" si="238"/>
        <v>0</v>
      </c>
      <c r="MH35" s="110">
        <f t="shared" si="239"/>
        <v>0</v>
      </c>
      <c r="MI35" s="110">
        <f t="shared" si="240"/>
        <v>0</v>
      </c>
      <c r="MJ35" s="110">
        <f t="shared" si="241"/>
        <v>0</v>
      </c>
      <c r="MK35" s="110">
        <f t="shared" si="242"/>
        <v>0</v>
      </c>
      <c r="ML35" s="110">
        <f t="shared" si="243"/>
        <v>0</v>
      </c>
      <c r="MM35" s="110">
        <f t="shared" si="244"/>
        <v>0</v>
      </c>
      <c r="MN35" s="110">
        <f t="shared" si="245"/>
        <v>0</v>
      </c>
      <c r="MO35" s="110">
        <f t="shared" si="246"/>
        <v>0</v>
      </c>
      <c r="MP35" s="110">
        <f t="shared" si="247"/>
        <v>0</v>
      </c>
      <c r="MQ35" s="110">
        <f t="shared" si="248"/>
        <v>0</v>
      </c>
      <c r="MR35" s="110">
        <f t="shared" si="249"/>
        <v>0</v>
      </c>
      <c r="MS35" s="110">
        <f t="shared" si="250"/>
        <v>0</v>
      </c>
      <c r="MT35" s="110">
        <f t="shared" si="251"/>
        <v>0</v>
      </c>
      <c r="MV35" s="114">
        <v>307.04000000000002</v>
      </c>
      <c r="MW35" s="114">
        <v>0</v>
      </c>
      <c r="MX35" s="114">
        <v>0</v>
      </c>
      <c r="MY35" s="114">
        <v>0</v>
      </c>
      <c r="MZ35" s="114">
        <v>0</v>
      </c>
      <c r="NB35" s="115">
        <v>19</v>
      </c>
      <c r="NC35" s="115" t="str">
        <v>N/A</v>
      </c>
      <c r="ND35" s="115" t="str">
        <v>N/A</v>
      </c>
      <c r="NE35" s="115" t="str">
        <v>N/A</v>
      </c>
      <c r="NF35" s="115" t="str">
        <v>N/A</v>
      </c>
    </row>
    <row r="36" spans="2:370" ht="13.5" x14ac:dyDescent="0.25">
      <c r="B36" s="8">
        <f t="shared" si="252"/>
        <v>33</v>
      </c>
      <c r="C36" s="7">
        <v>99.33</v>
      </c>
      <c r="D36" s="7">
        <v>99.33</v>
      </c>
      <c r="E36" s="7">
        <v>99</v>
      </c>
      <c r="F36" s="7">
        <v>99.460000000000008</v>
      </c>
      <c r="G36" s="7">
        <v>99.15</v>
      </c>
      <c r="H36" s="7">
        <v>100.8</v>
      </c>
      <c r="I36" s="7">
        <v>99.74</v>
      </c>
      <c r="J36" s="7">
        <v>99</v>
      </c>
      <c r="K36" s="7">
        <v>99</v>
      </c>
      <c r="L36" s="7">
        <v>99</v>
      </c>
      <c r="M36" s="7">
        <v>99</v>
      </c>
      <c r="N36" s="7">
        <v>99</v>
      </c>
      <c r="O36" s="7">
        <v>99</v>
      </c>
      <c r="P36" s="7">
        <v>99</v>
      </c>
      <c r="Q36" s="7">
        <v>99</v>
      </c>
      <c r="R36" s="7">
        <v>99</v>
      </c>
      <c r="S36" s="7">
        <v>99</v>
      </c>
      <c r="T36" s="7">
        <v>99</v>
      </c>
      <c r="U36" s="7">
        <v>99</v>
      </c>
      <c r="V36" s="7">
        <v>99</v>
      </c>
      <c r="W36" s="7">
        <v>99</v>
      </c>
      <c r="X36" s="7">
        <v>99</v>
      </c>
      <c r="Y36" s="7">
        <v>99</v>
      </c>
      <c r="Z36" s="7">
        <v>99</v>
      </c>
      <c r="AA36" s="7">
        <v>99</v>
      </c>
      <c r="AB36" s="7">
        <v>28.71</v>
      </c>
      <c r="AC36" s="7">
        <v>0</v>
      </c>
      <c r="AD36" s="7">
        <v>0</v>
      </c>
      <c r="AE36" s="7">
        <v>0</v>
      </c>
      <c r="AF36" s="7">
        <v>0</v>
      </c>
      <c r="AG36" s="7">
        <v>0</v>
      </c>
      <c r="AH36" s="7">
        <v>0</v>
      </c>
      <c r="AI36" s="7">
        <v>0</v>
      </c>
      <c r="AJ36" s="7">
        <v>0</v>
      </c>
      <c r="AK36" s="7">
        <v>0</v>
      </c>
      <c r="AL36" s="7">
        <v>0</v>
      </c>
      <c r="AM36" s="7">
        <v>0</v>
      </c>
      <c r="AN36" s="27">
        <v>33</v>
      </c>
      <c r="AP36" s="111"/>
      <c r="AQ36" s="110">
        <f t="shared" ref="AQ36:AQ67" si="253">+F36-C36</f>
        <v>0.13000000000000966</v>
      </c>
      <c r="AR36" s="110">
        <f t="shared" ref="AR36:AR67" si="254">+I36-F36</f>
        <v>0.27999999999998693</v>
      </c>
      <c r="AS36" s="110">
        <f t="shared" ref="AS36:AS67" si="255">+L36-I36</f>
        <v>-0.73999999999999488</v>
      </c>
      <c r="AT36" s="110">
        <f t="shared" ref="AT36:AT67" si="256">+O36-L36</f>
        <v>0</v>
      </c>
      <c r="AU36" s="110">
        <f t="shared" ref="AU36:AU67" si="257">+R36-O36</f>
        <v>0</v>
      </c>
      <c r="AV36" s="110">
        <f t="shared" ref="AV36:AV67" si="258">+U36-R36</f>
        <v>0</v>
      </c>
      <c r="AW36" s="110">
        <f t="shared" ref="AW36:AW67" si="259">+X36-U36</f>
        <v>0</v>
      </c>
      <c r="AX36" s="110">
        <f t="shared" ref="AX36:AX67" si="260">+AA36-X36</f>
        <v>0</v>
      </c>
      <c r="AY36" s="110">
        <f t="shared" ref="AY36:AY67" si="261">+AD36-AA36</f>
        <v>-99</v>
      </c>
      <c r="AZ36" s="110">
        <f t="shared" ref="AZ36:AZ67" si="262">+AG36-AD36</f>
        <v>0</v>
      </c>
      <c r="BA36" s="110">
        <f t="shared" ref="BA36:BA67" si="263">+AJ36-AG36</f>
        <v>0</v>
      </c>
      <c r="BB36" s="110">
        <f t="shared" ref="BB36:BB67" si="264">+AM36-AJ36</f>
        <v>0</v>
      </c>
      <c r="BD36" s="109" cm="1">
        <f t="array" ref="BD36">+IFERROR(INDEX($C$3:$AM$3,MATCH(TRUE,INDEX($C36:$AM36&lt;&gt;0,0),0)),"N/A")</f>
        <v>44926</v>
      </c>
      <c r="BE36" s="112"/>
      <c r="BF36" s="1" t="str" cm="1">
        <f t="array" ref="BF36">+_xlfn.IFS(BT36&lt;&gt;0,BT$2,CH36&lt;&gt;0,CH$2,CV36&lt;&gt;0,CV$2,DJ36&lt;&gt;0,DJ$2,TRUE,"")</f>
        <v>Upsell</v>
      </c>
      <c r="BG36" s="1" t="str" cm="1">
        <f t="array" ref="BG36">+_xlfn.IFS(BU36&lt;&gt;0,BU$2,CI36&lt;&gt;0,CI$2,CW36&lt;&gt;0,CW$2,DK36&lt;&gt;0,DK$2,TRUE,"")</f>
        <v>Upsell</v>
      </c>
      <c r="BH36" s="1" t="str" cm="1">
        <f t="array" ref="BH36">+_xlfn.IFS(BV36&lt;&gt;0,BV$2,CJ36&lt;&gt;0,CJ$2,CX36&lt;&gt;0,CX$2,DL36&lt;&gt;0,DL$2,TRUE,"")</f>
        <v>Downsell</v>
      </c>
      <c r="BI36" s="1" t="str" cm="1">
        <f t="array" ref="BI36">+_xlfn.IFS(BW36&lt;&gt;0,BW$2,CK36&lt;&gt;0,CK$2,CY36&lt;&gt;0,CY$2,DM36&lt;&gt;0,DM$2,TRUE,"")</f>
        <v/>
      </c>
      <c r="BJ36" s="1" t="str" cm="1">
        <f t="array" ref="BJ36">+_xlfn.IFS(BX36&lt;&gt;0,BX$2,CL36&lt;&gt;0,CL$2,CZ36&lt;&gt;0,CZ$2,DN36&lt;&gt;0,DN$2,TRUE,"")</f>
        <v/>
      </c>
      <c r="BK36" s="1" t="str" cm="1">
        <f t="array" ref="BK36">+_xlfn.IFS(BY36&lt;&gt;0,BY$2,CM36&lt;&gt;0,CM$2,DA36&lt;&gt;0,DA$2,DO36&lt;&gt;0,DO$2,TRUE,"")</f>
        <v/>
      </c>
      <c r="BL36" s="1" t="str" cm="1">
        <f t="array" ref="BL36">+_xlfn.IFS(BZ36&lt;&gt;0,BZ$2,CN36&lt;&gt;0,CN$2,DB36&lt;&gt;0,DB$2,DP36&lt;&gt;0,DP$2,TRUE,"")</f>
        <v/>
      </c>
      <c r="BM36" s="1" t="str" cm="1">
        <f t="array" ref="BM36">+_xlfn.IFS(CA36&lt;&gt;0,CA$2,CO36&lt;&gt;0,CO$2,DC36&lt;&gt;0,DC$2,DQ36&lt;&gt;0,DQ$2,TRUE,"")</f>
        <v/>
      </c>
      <c r="BN36" s="1" t="str" cm="1">
        <f t="array" ref="BN36">+_xlfn.IFS(CB36&lt;&gt;0,CB$2,CP36&lt;&gt;0,CP$2,DD36&lt;&gt;0,DD$2,DR36&lt;&gt;0,DR$2,TRUE,"")</f>
        <v>Churn</v>
      </c>
      <c r="BO36" s="1" t="str" cm="1">
        <f t="array" ref="BO36">+_xlfn.IFS(CC36&lt;&gt;0,CC$2,CQ36&lt;&gt;0,CQ$2,DE36&lt;&gt;0,DE$2,DS36&lt;&gt;0,DS$2,TRUE,"")</f>
        <v/>
      </c>
      <c r="BP36" s="1" t="str" cm="1">
        <f t="array" ref="BP36">+_xlfn.IFS(CD36&lt;&gt;0,CD$2,CR36&lt;&gt;0,CR$2,DF36&lt;&gt;0,DF$2,DT36&lt;&gt;0,DT$2,TRUE,"")</f>
        <v/>
      </c>
      <c r="BQ36" s="1" t="str" cm="1">
        <f t="array" ref="BQ36">+_xlfn.IFS(CE36&lt;&gt;0,CE$2,CS36&lt;&gt;0,CS$2,DG36&lt;&gt;0,DG$2,DU36&lt;&gt;0,DU$2,TRUE,"")</f>
        <v/>
      </c>
      <c r="BS36" s="111"/>
      <c r="BT36" s="110">
        <f t="shared" ref="BT36:BT67" si="265">+IF(AND(F36&gt;C36,C36&lt;=0,F36&gt;0),F36-C36,0)</f>
        <v>0</v>
      </c>
      <c r="BU36" s="110">
        <f t="shared" ref="BU36:BU67" si="266">+IF(AND(I36&gt;F36,F36&lt;=0,I36&gt;0),I36-F36,0)</f>
        <v>0</v>
      </c>
      <c r="BV36" s="110">
        <f t="shared" ref="BV36:BV67" si="267">+IF(AND(L36&gt;I36,I36&lt;=0,L36&gt;0),L36-I36,0)</f>
        <v>0</v>
      </c>
      <c r="BW36" s="110">
        <f t="shared" ref="BW36:BW67" si="268">+IF(AND(O36&gt;L36,L36&lt;=0,O36&gt;0),O36-L36,0)</f>
        <v>0</v>
      </c>
      <c r="BX36" s="110">
        <f t="shared" ref="BX36:BX67" si="269">+IF(AND(R36&gt;O36,O36&lt;=0,R36&gt;0),R36-O36,0)</f>
        <v>0</v>
      </c>
      <c r="BY36" s="110">
        <f t="shared" ref="BY36:BY67" si="270">+IF(AND(U36&gt;R36,R36&lt;=0,U36&gt;0),U36-R36,0)</f>
        <v>0</v>
      </c>
      <c r="BZ36" s="110">
        <f t="shared" ref="BZ36:BZ67" si="271">+IF(AND(X36&gt;U36,U36&lt;=0,X36&gt;0),X36-U36,0)</f>
        <v>0</v>
      </c>
      <c r="CA36" s="110">
        <f t="shared" ref="CA36:CA67" si="272">+IF(AND(AA36&gt;X36,X36&lt;=0,AA36&gt;0),AA36-X36,0)</f>
        <v>0</v>
      </c>
      <c r="CB36" s="110">
        <f t="shared" ref="CB36:CB67" si="273">+IF(AND(AD36&gt;AA36,AA36&lt;=0,AD36&gt;0),AD36-AA36,0)</f>
        <v>0</v>
      </c>
      <c r="CC36" s="110">
        <f t="shared" ref="CC36:CC67" si="274">+IF(AND(AG36&gt;AD36,AD36&lt;=0,AG36&gt;0),AG36-AD36,0)</f>
        <v>0</v>
      </c>
      <c r="CD36" s="110">
        <f t="shared" ref="CD36:CD67" si="275">+IF(AND(AJ36&gt;AG36,AG36&lt;=0,AJ36&gt;0),AJ36-AG36,0)</f>
        <v>0</v>
      </c>
      <c r="CE36" s="110">
        <f t="shared" ref="CE36:CE67" si="276">+IF(AND(AM36&gt;AJ36,AJ36&lt;=0,AM36&gt;0),AM36-AJ36,0)</f>
        <v>0</v>
      </c>
      <c r="CG36" s="111"/>
      <c r="CH36" s="110">
        <f t="shared" ref="CH36:CH67" si="277">+IF(AND(F36&lt;C36,F36&lt;=0,C36&gt;0),F36-C36,0)</f>
        <v>0</v>
      </c>
      <c r="CI36" s="110">
        <f t="shared" ref="CI36:CI67" si="278">+IF(AND(I36&lt;F36,I36&lt;=0,F36&gt;0),I36-F36,0)</f>
        <v>0</v>
      </c>
      <c r="CJ36" s="110">
        <f t="shared" ref="CJ36:CJ67" si="279">+IF(AND(L36&lt;I36,L36&lt;=0,I36&gt;0),L36-I36,0)</f>
        <v>0</v>
      </c>
      <c r="CK36" s="110">
        <f t="shared" ref="CK36:CK67" si="280">+IF(AND(O36&lt;L36,O36&lt;=0,L36&gt;0),O36-L36,0)</f>
        <v>0</v>
      </c>
      <c r="CL36" s="110">
        <f t="shared" ref="CL36:CL67" si="281">+IF(AND(R36&lt;O36,R36&lt;=0,O36&gt;0),R36-O36,0)</f>
        <v>0</v>
      </c>
      <c r="CM36" s="110">
        <f t="shared" ref="CM36:CM67" si="282">+IF(AND(U36&lt;R36,U36&lt;=0,R36&gt;0),U36-R36,0)</f>
        <v>0</v>
      </c>
      <c r="CN36" s="110">
        <f t="shared" ref="CN36:CN67" si="283">+IF(AND(X36&lt;U36,X36&lt;=0,U36&gt;0),X36-U36,0)</f>
        <v>0</v>
      </c>
      <c r="CO36" s="110">
        <f t="shared" ref="CO36:CO67" si="284">+IF(AND(AA36&lt;X36,AA36&lt;=0,X36&gt;0),AA36-X36,0)</f>
        <v>0</v>
      </c>
      <c r="CP36" s="110">
        <f t="shared" ref="CP36:CP67" si="285">+IF(AND(AD36&lt;AA36,AD36&lt;=0,AA36&gt;0),AD36-AA36,0)</f>
        <v>-99</v>
      </c>
      <c r="CQ36" s="110">
        <f t="shared" ref="CQ36:CQ67" si="286">+IF(AND(AG36&lt;AD36,AG36&lt;=0,AD36&gt;0),AG36-AD36,0)</f>
        <v>0</v>
      </c>
      <c r="CR36" s="110">
        <f t="shared" ref="CR36:CR67" si="287">+IF(AND(AJ36&lt;AG36,AJ36&lt;=0,AG36&gt;0),AJ36-AG36,0)</f>
        <v>0</v>
      </c>
      <c r="CS36" s="110">
        <f t="shared" ref="CS36:CS67" si="288">+IF(AND(AM36&lt;AJ36,AM36&lt;=0,AJ36&gt;0),AM36-AJ36,0)</f>
        <v>0</v>
      </c>
      <c r="CU36" s="111"/>
      <c r="CV36" s="110">
        <f t="shared" ref="CV36:CV67" si="289">+IF(AND(F36&lt;C36,NOT(AND(C36&gt;0,F36&lt;=0))),F36-C36,0)</f>
        <v>0</v>
      </c>
      <c r="CW36" s="110">
        <f t="shared" ref="CW36:CW67" si="290">+IF(AND(I36&lt;F36,NOT(AND(F36&gt;0,I36&lt;=0))),I36-F36,0)</f>
        <v>0</v>
      </c>
      <c r="CX36" s="110">
        <f t="shared" ref="CX36:CX67" si="291">+IF(AND(L36&lt;I36,NOT(AND(I36&gt;0,L36&lt;=0))),L36-I36,0)</f>
        <v>-0.73999999999999488</v>
      </c>
      <c r="CY36" s="110">
        <f t="shared" ref="CY36:CY67" si="292">+IF(AND(O36&lt;L36,NOT(AND(L36&gt;0,O36&lt;=0))),O36-L36,0)</f>
        <v>0</v>
      </c>
      <c r="CZ36" s="110">
        <f t="shared" ref="CZ36:CZ67" si="293">+IF(AND(R36&lt;O36,NOT(AND(O36&gt;0,R36&lt;=0))),R36-O36,0)</f>
        <v>0</v>
      </c>
      <c r="DA36" s="110">
        <f t="shared" ref="DA36:DA67" si="294">+IF(AND(U36&lt;R36,NOT(AND(R36&gt;0,U36&lt;=0))),U36-R36,0)</f>
        <v>0</v>
      </c>
      <c r="DB36" s="110">
        <f t="shared" ref="DB36:DB67" si="295">+IF(AND(X36&lt;U36,NOT(AND(U36&gt;0,X36&lt;=0))),X36-U36,0)</f>
        <v>0</v>
      </c>
      <c r="DC36" s="110">
        <f t="shared" ref="DC36:DC67" si="296">+IF(AND(AA36&lt;X36,NOT(AND(X36&gt;0,AA36&lt;=0))),AA36-X36,0)</f>
        <v>0</v>
      </c>
      <c r="DD36" s="110">
        <f t="shared" ref="DD36:DD67" si="297">+IF(AND(AD36&lt;AA36,NOT(AND(AA36&gt;0,AD36&lt;=0))),AD36-AA36,0)</f>
        <v>0</v>
      </c>
      <c r="DE36" s="110">
        <f t="shared" ref="DE36:DE67" si="298">+IF(AND(AG36&lt;AD36,NOT(AND(AD36&gt;0,AG36&lt;=0))),AG36-AD36,0)</f>
        <v>0</v>
      </c>
      <c r="DF36" s="110">
        <f t="shared" ref="DF36:DF67" si="299">+IF(AND(AJ36&lt;AG36,NOT(AND(AG36&gt;0,AJ36&lt;=0))),AJ36-AG36,0)</f>
        <v>0</v>
      </c>
      <c r="DG36" s="110">
        <f t="shared" ref="DG36:DG67" si="300">+IF(AND(AM36&lt;AJ36,NOT(AND(AJ36&gt;0,AM36&lt;=0))),AM36-AJ36,0)</f>
        <v>0</v>
      </c>
      <c r="DI36" s="111"/>
      <c r="DJ36" s="110">
        <f t="shared" ref="DJ36:DJ67" si="301">+IF(AND(F36&gt;C36,NOT(AND(C36&lt;=0,F36&gt;0))),F36-C36,0)</f>
        <v>0.13000000000000966</v>
      </c>
      <c r="DK36" s="110">
        <f t="shared" ref="DK36:DK67" si="302">+IF(AND(I36&gt;F36,NOT(AND(F36&lt;=0,I36&gt;0))),I36-F36,0)</f>
        <v>0.27999999999998693</v>
      </c>
      <c r="DL36" s="110">
        <f t="shared" ref="DL36:DL67" si="303">+IF(AND(L36&gt;I36,NOT(AND(I36&lt;=0,L36&gt;0))),L36-I36,0)</f>
        <v>0</v>
      </c>
      <c r="DM36" s="110">
        <f t="shared" ref="DM36:DM67" si="304">+IF(AND(O36&gt;L36,NOT(AND(L36&lt;=0,O36&gt;0))),O36-L36,0)</f>
        <v>0</v>
      </c>
      <c r="DN36" s="110">
        <f t="shared" ref="DN36:DN67" si="305">+IF(AND(R36&gt;O36,NOT(AND(O36&lt;=0,R36&gt;0))),R36-O36,0)</f>
        <v>0</v>
      </c>
      <c r="DO36" s="110">
        <f t="shared" ref="DO36:DO67" si="306">+IF(AND(U36&gt;R36,NOT(AND(R36&lt;=0,U36&gt;0))),U36-R36,0)</f>
        <v>0</v>
      </c>
      <c r="DP36" s="110">
        <f t="shared" ref="DP36:DP67" si="307">+IF(AND(X36&gt;U36,NOT(AND(U36&lt;=0,X36&gt;0))),X36-U36,0)</f>
        <v>0</v>
      </c>
      <c r="DQ36" s="110">
        <f t="shared" ref="DQ36:DQ67" si="308">+IF(AND(AA36&gt;X36,NOT(AND(X36&lt;=0,AA36&gt;0))),AA36-X36,0)</f>
        <v>0</v>
      </c>
      <c r="DR36" s="110">
        <f t="shared" ref="DR36:DR67" si="309">+IF(AND(AD36&gt;AA36,NOT(AND(AA36&lt;=0,AD36&gt;0))),AD36-AA36,0)</f>
        <v>0</v>
      </c>
      <c r="DS36" s="110">
        <f t="shared" ref="DS36:DS67" si="310">+IF(AND(AG36&gt;AD36,NOT(AND(AD36&lt;=0,AG36&gt;0))),AG36-AD36,0)</f>
        <v>0</v>
      </c>
      <c r="DT36" s="110">
        <f t="shared" ref="DT36:DT67" si="311">+IF(AND(AJ36&gt;AG36,NOT(AND(AG36&lt;=0,AJ36&gt;0))),AJ36-AG36,0)</f>
        <v>0</v>
      </c>
      <c r="DU36" s="110">
        <f t="shared" ref="DU36:DU67" si="312">+IF(AND(AM36&gt;AJ36,NOT(AND(AJ36&lt;=0,AM36&gt;0))),AM36-AJ36,0)</f>
        <v>0</v>
      </c>
      <c r="DW36" s="111"/>
      <c r="DX36" s="110">
        <f t="shared" ref="DX36:DX67" si="313">+IF(((BT36&lt;&gt;0)+(CH36&lt;&gt;0)+(CV36&lt;&gt;0)+(DJ36&lt;&gt;0))&gt;1,1,0)</f>
        <v>0</v>
      </c>
      <c r="DY36" s="110">
        <f t="shared" ref="DY36:DY67" si="314">+IF(((BU36&lt;&gt;0)+(CI36&lt;&gt;0)+(CW36&lt;&gt;0)+(DK36&lt;&gt;0))&gt;1,1,0)</f>
        <v>0</v>
      </c>
      <c r="DZ36" s="110">
        <f t="shared" ref="DZ36:DZ67" si="315">+IF(((BV36&lt;&gt;0)+(CJ36&lt;&gt;0)+(CX36&lt;&gt;0)+(DL36&lt;&gt;0))&gt;1,1,0)</f>
        <v>0</v>
      </c>
      <c r="EA36" s="110">
        <f t="shared" ref="EA36:EA67" si="316">+IF(((BW36&lt;&gt;0)+(CK36&lt;&gt;0)+(CY36&lt;&gt;0)+(DM36&lt;&gt;0))&gt;1,1,0)</f>
        <v>0</v>
      </c>
      <c r="EB36" s="110">
        <f t="shared" ref="EB36:EB67" si="317">+IF(((BX36&lt;&gt;0)+(CL36&lt;&gt;0)+(CZ36&lt;&gt;0)+(DN36&lt;&gt;0))&gt;1,1,0)</f>
        <v>0</v>
      </c>
      <c r="EC36" s="110">
        <f t="shared" ref="EC36:EC67" si="318">+IF(((BY36&lt;&gt;0)+(CM36&lt;&gt;0)+(DA36&lt;&gt;0)+(DO36&lt;&gt;0))&gt;1,1,0)</f>
        <v>0</v>
      </c>
      <c r="ED36" s="110">
        <f t="shared" ref="ED36:ED67" si="319">+IF(((BZ36&lt;&gt;0)+(CN36&lt;&gt;0)+(DB36&lt;&gt;0)+(DP36&lt;&gt;0))&gt;1,1,0)</f>
        <v>0</v>
      </c>
      <c r="EE36" s="110">
        <f t="shared" ref="EE36:EE67" si="320">+IF(((CA36&lt;&gt;0)+(CO36&lt;&gt;0)+(DC36&lt;&gt;0)+(DQ36&lt;&gt;0))&gt;1,1,0)</f>
        <v>0</v>
      </c>
      <c r="EF36" s="110">
        <f t="shared" ref="EF36:EF67" si="321">+IF(((CB36&lt;&gt;0)+(CP36&lt;&gt;0)+(DD36&lt;&gt;0)+(DR36&lt;&gt;0))&gt;1,1,0)</f>
        <v>0</v>
      </c>
      <c r="EG36" s="110">
        <f t="shared" ref="EG36:EG67" si="322">+IF(((CC36&lt;&gt;0)+(CQ36&lt;&gt;0)+(DE36&lt;&gt;0)+(DS36&lt;&gt;0))&gt;1,1,0)</f>
        <v>0</v>
      </c>
      <c r="EH36" s="110">
        <f t="shared" ref="EH36:EH67" si="323">+IF(((CD36&lt;&gt;0)+(CR36&lt;&gt;0)+(DF36&lt;&gt;0)+(DT36&lt;&gt;0))&gt;1,1,0)</f>
        <v>0</v>
      </c>
      <c r="EI36" s="110">
        <f t="shared" ref="EI36:EI67" si="324">+IF(((CE36&lt;&gt;0)+(CS36&lt;&gt;0)+(DG36&lt;&gt;0)+(DU36&lt;&gt;0))&gt;1,1,0)</f>
        <v>0</v>
      </c>
      <c r="EK36" s="111"/>
      <c r="EL36" s="110">
        <f t="shared" ref="EL36:EL67" si="325">+O36-C36</f>
        <v>-0.32999999999999829</v>
      </c>
      <c r="EM36" s="110">
        <f t="shared" ref="EM36:EM67" si="326">+AA36-O36</f>
        <v>0</v>
      </c>
      <c r="EN36" s="110">
        <f t="shared" ref="EN36:EN67" si="327">+AM36-AA36</f>
        <v>-99</v>
      </c>
      <c r="EP36" s="109" cm="1">
        <f t="array" ref="EP36">+IFERROR(INDEX($C$3:$AM$3,MATCH(TRUE,INDEX($C36:$AM36&lt;&gt;0,0),0)),"N/A")</f>
        <v>44926</v>
      </c>
      <c r="EQ36" s="112"/>
      <c r="ER36" s="1" t="str" cm="1">
        <f t="array" ref="ER36">+_xlfn.IFS(EW36&lt;&gt;0,EW$2,FB36&lt;&gt;0,FB$2,FG36&lt;&gt;0,FG$2,FL36&lt;&gt;0,FL$2,TRUE,"")</f>
        <v>Downsell</v>
      </c>
      <c r="ES36" s="1" t="str" cm="1">
        <f t="array" ref="ES36">+_xlfn.IFS(EX36&lt;&gt;0,EX$2,FC36&lt;&gt;0,FC$2,FH36&lt;&gt;0,FH$2,FM36&lt;&gt;0,FM$2,TRUE,"")</f>
        <v/>
      </c>
      <c r="ET36" s="1" t="str" cm="1">
        <f t="array" ref="ET36">+_xlfn.IFS(EY36&lt;&gt;0,EY$2,FD36&lt;&gt;0,FD$2,FI36&lt;&gt;0,FI$2,FN36&lt;&gt;0,FN$2,TRUE,"")</f>
        <v>Churn</v>
      </c>
      <c r="EV36" s="111"/>
      <c r="EW36" s="110">
        <f t="shared" ref="EW36:EW67" si="328">+IF(AND(O36&gt;C36,C36&lt;=0,O36&gt;0),O36-C36,0)</f>
        <v>0</v>
      </c>
      <c r="EX36" s="110">
        <f t="shared" ref="EX36:EX67" si="329">+IF(AND(AA36&gt;O36,O36&lt;=0,AA36&gt;0),AA36-O36,0)</f>
        <v>0</v>
      </c>
      <c r="EY36" s="110">
        <f t="shared" ref="EY36:EY67" si="330">+IF(AND(AM36&gt;AA36,AA36&lt;=0,AM36&gt;0),AM36-AA36,0)</f>
        <v>0</v>
      </c>
      <c r="FA36" s="111"/>
      <c r="FB36" s="110">
        <f t="shared" ref="FB36:FB67" si="331">+IF(AND(O36&lt;C36,O36&lt;=0,C36&gt;0),O36-C36,0)</f>
        <v>0</v>
      </c>
      <c r="FC36" s="110">
        <f t="shared" ref="FC36:FC67" si="332">+IF(AND(AA36&lt;O36,AA36&lt;=0,O36&gt;0),AA36-O36,0)</f>
        <v>0</v>
      </c>
      <c r="FD36" s="110">
        <f t="shared" ref="FD36:FD67" si="333">+IF(AND(AM36&lt;AA36,AM36&lt;=0,AA36&gt;0),AM36-AA36,0)</f>
        <v>-99</v>
      </c>
      <c r="FF36" s="111"/>
      <c r="FG36" s="110">
        <f t="shared" ref="FG36:FG67" si="334">+IF(AND(O36&lt;C36,NOT(AND(C36&gt;0,O36&lt;=0))),O36-C36,0)</f>
        <v>-0.32999999999999829</v>
      </c>
      <c r="FH36" s="110">
        <f t="shared" ref="FH36:FH67" si="335">+IF(AND(AA36&lt;O36,NOT(AND(O36&gt;0,AA36&lt;=0))),AA36-O36,0)</f>
        <v>0</v>
      </c>
      <c r="FI36" s="110">
        <f t="shared" ref="FI36:FI67" si="336">+IF(AND(AM36&lt;AA36,NOT(AND(AA36&gt;0,AM36&lt;=0))),AM36-AA36,0)</f>
        <v>0</v>
      </c>
      <c r="FK36" s="111"/>
      <c r="FL36" s="110">
        <f t="shared" ref="FL36:FL67" si="337">+IF(AND(O36&gt;C36,NOT(AND(C36&lt;=0,O36&gt;0))),O36-C36,0)</f>
        <v>0</v>
      </c>
      <c r="FM36" s="110">
        <f t="shared" ref="FM36:FM67" si="338">+IF(AND(AA36&gt;O36,NOT(AND(O36&lt;=0,AA36&gt;0))),AA36-O36,0)</f>
        <v>0</v>
      </c>
      <c r="FN36" s="110">
        <f t="shared" ref="FN36:FN67" si="339">+IF(AND(AM36&gt;AA36,NOT(AND(AA36&lt;=0,AM36&gt;0))),AM36-AA36,0)</f>
        <v>0</v>
      </c>
      <c r="FP36" s="111"/>
      <c r="FQ36" s="110">
        <f t="shared" ref="FQ36:FQ67" si="340">+IF(((EW36&lt;&gt;0)+(FB36&lt;&gt;0)+(FG36&lt;&gt;0)+(FL36&lt;&gt;0))&gt;1,1,0)</f>
        <v>0</v>
      </c>
      <c r="FR36" s="110">
        <f t="shared" ref="FR36:FR67" si="341">+IF(((EX36&lt;&gt;0)+(FC36&lt;&gt;0)+(FH36&lt;&gt;0)+(FM36&lt;&gt;0))&gt;1,1,0)</f>
        <v>0</v>
      </c>
      <c r="FS36" s="110">
        <f t="shared" ref="FS36:FS67" si="342">+IF(((EY36&lt;&gt;0)+(FD36&lt;&gt;0)+(FI36&lt;&gt;0)+(FN36&lt;&gt;0))&gt;1,1,0)</f>
        <v>0</v>
      </c>
      <c r="FU36" s="111">
        <f t="shared" ref="FU36:FU67" si="343">+O36-C36</f>
        <v>-0.32999999999999829</v>
      </c>
      <c r="FV36" s="110">
        <f t="shared" ref="FV36:FV67" si="344">+P36-D36</f>
        <v>-0.32999999999999829</v>
      </c>
      <c r="FW36" s="110">
        <f t="shared" ref="FW36:FW67" si="345">+Q36-E36</f>
        <v>0</v>
      </c>
      <c r="FX36" s="110">
        <f t="shared" ref="FX36:FX67" si="346">+R36-F36</f>
        <v>-0.46000000000000796</v>
      </c>
      <c r="FY36" s="110">
        <f t="shared" ref="FY36:FY67" si="347">+S36-G36</f>
        <v>-0.15000000000000568</v>
      </c>
      <c r="FZ36" s="110">
        <f t="shared" ref="FZ36:FZ67" si="348">+T36-H36</f>
        <v>-1.7999999999999972</v>
      </c>
      <c r="GA36" s="110">
        <f t="shared" ref="GA36:GA67" si="349">+U36-I36</f>
        <v>-0.73999999999999488</v>
      </c>
      <c r="GB36" s="110">
        <f t="shared" ref="GB36:GB67" si="350">+V36-J36</f>
        <v>0</v>
      </c>
      <c r="GC36" s="110">
        <f t="shared" ref="GC36:GC67" si="351">+W36-K36</f>
        <v>0</v>
      </c>
      <c r="GD36" s="110">
        <f t="shared" ref="GD36:GD67" si="352">+X36-L36</f>
        <v>0</v>
      </c>
      <c r="GE36" s="110">
        <f t="shared" ref="GE36:GE67" si="353">+Y36-M36</f>
        <v>0</v>
      </c>
      <c r="GF36" s="110">
        <f t="shared" ref="GF36:GF67" si="354">+Z36-N36</f>
        <v>0</v>
      </c>
      <c r="GG36" s="110">
        <f t="shared" ref="GG36:GG67" si="355">+AA36-O36</f>
        <v>0</v>
      </c>
      <c r="GH36" s="110">
        <f t="shared" ref="GH36:GH67" si="356">+AB36-P36</f>
        <v>-70.289999999999992</v>
      </c>
      <c r="GI36" s="110">
        <f t="shared" ref="GI36:GI67" si="357">+AC36-Q36</f>
        <v>-99</v>
      </c>
      <c r="GJ36" s="110">
        <f t="shared" ref="GJ36:GJ67" si="358">+AD36-R36</f>
        <v>-99</v>
      </c>
      <c r="GK36" s="110">
        <f t="shared" ref="GK36:GK67" si="359">+AE36-S36</f>
        <v>-99</v>
      </c>
      <c r="GL36" s="110">
        <f t="shared" ref="GL36:GL67" si="360">+AF36-T36</f>
        <v>-99</v>
      </c>
      <c r="GM36" s="110">
        <f t="shared" ref="GM36:GM67" si="361">+AG36-U36</f>
        <v>-99</v>
      </c>
      <c r="GN36" s="110">
        <f t="shared" ref="GN36:GN67" si="362">+AH36-V36</f>
        <v>-99</v>
      </c>
      <c r="GO36" s="110">
        <f t="shared" ref="GO36:GO67" si="363">+AI36-W36</f>
        <v>-99</v>
      </c>
      <c r="GP36" s="110">
        <f t="shared" ref="GP36:GP67" si="364">+AJ36-X36</f>
        <v>-99</v>
      </c>
      <c r="GQ36" s="110">
        <f t="shared" ref="GQ36:GQ67" si="365">+AK36-Y36</f>
        <v>-99</v>
      </c>
      <c r="GR36" s="110">
        <f t="shared" ref="GR36:GR67" si="366">+AL36-Z36</f>
        <v>-99</v>
      </c>
      <c r="GS36" s="110">
        <f t="shared" ref="GS36:GS67" si="367">+AM36-AA36</f>
        <v>-99</v>
      </c>
      <c r="GU36" s="109" cm="1">
        <f t="array" ref="GU36">+IFERROR(INDEX($C$3:$AM$3,MATCH(TRUE,INDEX($C36:$AM36&lt;&gt;0,0),0)),"N/A")</f>
        <v>44926</v>
      </c>
      <c r="GV36" s="112" t="str" cm="1">
        <f t="array" ref="GV36">+_xlfn.IFS(HV36&lt;&gt;0,HV$2,IV36&lt;&gt;0,IV$2,JV36&lt;&gt;0,JV$2,KV36&lt;&gt;0,KV$2,TRUE,"")</f>
        <v>Downsell</v>
      </c>
      <c r="GW36" s="1" t="str" cm="1">
        <f t="array" ref="GW36">+_xlfn.IFS(HW36&lt;&gt;0,HW$2,IW36&lt;&gt;0,IW$2,JW36&lt;&gt;0,JW$2,KW36&lt;&gt;0,KW$2,TRUE,"")</f>
        <v>Downsell</v>
      </c>
      <c r="GX36" s="1" t="str" cm="1">
        <f t="array" ref="GX36">+_xlfn.IFS(HX36&lt;&gt;0,HX$2,IX36&lt;&gt;0,IX$2,JX36&lt;&gt;0,JX$2,KX36&lt;&gt;0,KX$2,TRUE,"")</f>
        <v/>
      </c>
      <c r="GY36" s="1" t="str" cm="1">
        <f t="array" ref="GY36">+_xlfn.IFS(HY36&lt;&gt;0,HY$2,IY36&lt;&gt;0,IY$2,JY36&lt;&gt;0,JY$2,KY36&lt;&gt;0,KY$2,TRUE,"")</f>
        <v>Downsell</v>
      </c>
      <c r="GZ36" s="1" t="str" cm="1">
        <f t="array" ref="GZ36">+_xlfn.IFS(HZ36&lt;&gt;0,HZ$2,IZ36&lt;&gt;0,IZ$2,JZ36&lt;&gt;0,JZ$2,KZ36&lt;&gt;0,KZ$2,TRUE,"")</f>
        <v>Downsell</v>
      </c>
      <c r="HA36" s="1" t="str" cm="1">
        <f t="array" ref="HA36">+_xlfn.IFS(IA36&lt;&gt;0,IA$2,JA36&lt;&gt;0,JA$2,KA36&lt;&gt;0,KA$2,LA36&lt;&gt;0,LA$2,TRUE,"")</f>
        <v>Downsell</v>
      </c>
      <c r="HB36" s="1" t="str" cm="1">
        <f t="array" ref="HB36">+_xlfn.IFS(IB36&lt;&gt;0,IB$2,JB36&lt;&gt;0,JB$2,KB36&lt;&gt;0,KB$2,LB36&lt;&gt;0,LB$2,TRUE,"")</f>
        <v>Downsell</v>
      </c>
      <c r="HC36" s="1" t="str" cm="1">
        <f t="array" ref="HC36">+_xlfn.IFS(IC36&lt;&gt;0,IC$2,JC36&lt;&gt;0,JC$2,KC36&lt;&gt;0,KC$2,LC36&lt;&gt;0,LC$2,TRUE,"")</f>
        <v/>
      </c>
      <c r="HD36" s="1" t="str" cm="1">
        <f t="array" ref="HD36">+_xlfn.IFS(ID36&lt;&gt;0,ID$2,JD36&lt;&gt;0,JD$2,KD36&lt;&gt;0,KD$2,LD36&lt;&gt;0,LD$2,TRUE,"")</f>
        <v/>
      </c>
      <c r="HE36" s="1" t="str" cm="1">
        <f t="array" ref="HE36">+_xlfn.IFS(IE36&lt;&gt;0,IE$2,JE36&lt;&gt;0,JE$2,KE36&lt;&gt;0,KE$2,LE36&lt;&gt;0,LE$2,TRUE,"")</f>
        <v/>
      </c>
      <c r="HF36" s="1" t="str" cm="1">
        <f t="array" ref="HF36">+_xlfn.IFS(IF36&lt;&gt;0,IF$2,JF36&lt;&gt;0,JF$2,KF36&lt;&gt;0,KF$2,LF36&lt;&gt;0,LF$2,TRUE,"")</f>
        <v/>
      </c>
      <c r="HG36" s="1" t="str" cm="1">
        <f t="array" ref="HG36">+_xlfn.IFS(IG36&lt;&gt;0,IG$2,JG36&lt;&gt;0,JG$2,KG36&lt;&gt;0,KG$2,LG36&lt;&gt;0,LG$2,TRUE,"")</f>
        <v/>
      </c>
      <c r="HH36" s="1" t="str" cm="1">
        <f t="array" ref="HH36">+_xlfn.IFS(IH36&lt;&gt;0,IH$2,JH36&lt;&gt;0,JH$2,KH36&lt;&gt;0,KH$2,LH36&lt;&gt;0,LH$2,TRUE,"")</f>
        <v/>
      </c>
      <c r="HI36" s="1" t="str" cm="1">
        <f t="array" ref="HI36">+_xlfn.IFS(II36&lt;&gt;0,II$2,JI36&lt;&gt;0,JI$2,KI36&lt;&gt;0,KI$2,LI36&lt;&gt;0,LI$2,TRUE,"")</f>
        <v>Downsell</v>
      </c>
      <c r="HJ36" s="1" t="str" cm="1">
        <f t="array" ref="HJ36">+_xlfn.IFS(IJ36&lt;&gt;0,IJ$2,JJ36&lt;&gt;0,JJ$2,KJ36&lt;&gt;0,KJ$2,LJ36&lt;&gt;0,LJ$2,TRUE,"")</f>
        <v>Churn</v>
      </c>
      <c r="HK36" s="1" t="str" cm="1">
        <f t="array" ref="HK36">+_xlfn.IFS(IK36&lt;&gt;0,IK$2,JK36&lt;&gt;0,JK$2,KK36&lt;&gt;0,KK$2,LK36&lt;&gt;0,LK$2,TRUE,"")</f>
        <v>Churn</v>
      </c>
      <c r="HL36" s="1" t="str" cm="1">
        <f t="array" ref="HL36">+_xlfn.IFS(IL36&lt;&gt;0,IL$2,JL36&lt;&gt;0,JL$2,KL36&lt;&gt;0,KL$2,LL36&lt;&gt;0,LL$2,TRUE,"")</f>
        <v>Churn</v>
      </c>
      <c r="HM36" s="1" t="str" cm="1">
        <f t="array" ref="HM36">+_xlfn.IFS(IM36&lt;&gt;0,IM$2,JM36&lt;&gt;0,JM$2,KM36&lt;&gt;0,KM$2,LM36&lt;&gt;0,LM$2,TRUE,"")</f>
        <v>Churn</v>
      </c>
      <c r="HN36" s="1" t="str" cm="1">
        <f t="array" ref="HN36">+_xlfn.IFS(IN36&lt;&gt;0,IN$2,JN36&lt;&gt;0,JN$2,KN36&lt;&gt;0,KN$2,LN36&lt;&gt;0,LN$2,TRUE,"")</f>
        <v>Churn</v>
      </c>
      <c r="HO36" s="1" t="str" cm="1">
        <f t="array" ref="HO36">+_xlfn.IFS(IO36&lt;&gt;0,IO$2,JO36&lt;&gt;0,JO$2,KO36&lt;&gt;0,KO$2,LO36&lt;&gt;0,LO$2,TRUE,"")</f>
        <v>Churn</v>
      </c>
      <c r="HP36" s="1" t="str" cm="1">
        <f t="array" ref="HP36">+_xlfn.IFS(IP36&lt;&gt;0,IP$2,JP36&lt;&gt;0,JP$2,KP36&lt;&gt;0,KP$2,LP36&lt;&gt;0,LP$2,TRUE,"")</f>
        <v>Churn</v>
      </c>
      <c r="HQ36" s="1" t="str" cm="1">
        <f t="array" ref="HQ36">+_xlfn.IFS(IQ36&lt;&gt;0,IQ$2,JQ36&lt;&gt;0,JQ$2,KQ36&lt;&gt;0,KQ$2,LQ36&lt;&gt;0,LQ$2,TRUE,"")</f>
        <v>Churn</v>
      </c>
      <c r="HR36" s="1" t="str" cm="1">
        <f t="array" ref="HR36">+_xlfn.IFS(IR36&lt;&gt;0,IR$2,JR36&lt;&gt;0,JR$2,KR36&lt;&gt;0,KR$2,LR36&lt;&gt;0,LR$2,TRUE,"")</f>
        <v>Churn</v>
      </c>
      <c r="HS36" s="1" t="str" cm="1">
        <f t="array" ref="HS36">+_xlfn.IFS(IS36&lt;&gt;0,IS$2,JS36&lt;&gt;0,JS$2,KS36&lt;&gt;0,KS$2,LS36&lt;&gt;0,LS$2,TRUE,"")</f>
        <v>Churn</v>
      </c>
      <c r="HT36" s="1" t="str" cm="1">
        <f t="array" ref="HT36">+_xlfn.IFS(IT36&lt;&gt;0,IT$2,JT36&lt;&gt;0,JT$2,KT36&lt;&gt;0,KT$2,LT36&lt;&gt;0,LT$2,TRUE,"")</f>
        <v>Churn</v>
      </c>
      <c r="HV36" s="111">
        <f t="shared" ref="HV36:HV67" si="368">+IF(AND(O36&gt;C36,C36&lt;=0,O36&gt;0),O36-C36,0)</f>
        <v>0</v>
      </c>
      <c r="HW36" s="110">
        <f t="shared" ref="HW36:HW67" si="369">+IF(AND(P36&gt;D36,D36&lt;=0,P36&gt;0),P36-D36,0)</f>
        <v>0</v>
      </c>
      <c r="HX36" s="110">
        <f t="shared" ref="HX36:HX67" si="370">+IF(AND(Q36&gt;E36,E36&lt;=0,Q36&gt;0),Q36-E36,0)</f>
        <v>0</v>
      </c>
      <c r="HY36" s="110">
        <f t="shared" ref="HY36:HY67" si="371">+IF(AND(R36&gt;F36,F36&lt;=0,R36&gt;0),R36-F36,0)</f>
        <v>0</v>
      </c>
      <c r="HZ36" s="110">
        <f t="shared" ref="HZ36:HZ67" si="372">+IF(AND(S36&gt;G36,G36&lt;=0,S36&gt;0),S36-G36,0)</f>
        <v>0</v>
      </c>
      <c r="IA36" s="110">
        <f t="shared" ref="IA36:IA67" si="373">+IF(AND(T36&gt;H36,H36&lt;=0,T36&gt;0),T36-H36,0)</f>
        <v>0</v>
      </c>
      <c r="IB36" s="110">
        <f t="shared" ref="IB36:IB67" si="374">+IF(AND(U36&gt;I36,I36&lt;=0,U36&gt;0),U36-I36,0)</f>
        <v>0</v>
      </c>
      <c r="IC36" s="110">
        <f t="shared" ref="IC36:IC67" si="375">+IF(AND(V36&gt;J36,J36&lt;=0,V36&gt;0),V36-J36,0)</f>
        <v>0</v>
      </c>
      <c r="ID36" s="110">
        <f t="shared" ref="ID36:ID67" si="376">+IF(AND(W36&gt;K36,K36&lt;=0,W36&gt;0),W36-K36,0)</f>
        <v>0</v>
      </c>
      <c r="IE36" s="110">
        <f t="shared" ref="IE36:IE67" si="377">+IF(AND(X36&gt;L36,L36&lt;=0,X36&gt;0),X36-L36,0)</f>
        <v>0</v>
      </c>
      <c r="IF36" s="110">
        <f t="shared" ref="IF36:IF67" si="378">+IF(AND(Y36&gt;M36,M36&lt;=0,Y36&gt;0),Y36-M36,0)</f>
        <v>0</v>
      </c>
      <c r="IG36" s="110">
        <f t="shared" ref="IG36:IG67" si="379">+IF(AND(Z36&gt;N36,N36&lt;=0,Z36&gt;0),Z36-N36,0)</f>
        <v>0</v>
      </c>
      <c r="IH36" s="110">
        <f t="shared" ref="IH36:IH67" si="380">+IF(AND(AA36&gt;O36,O36&lt;=0,AA36&gt;0),AA36-O36,0)</f>
        <v>0</v>
      </c>
      <c r="II36" s="110">
        <f t="shared" ref="II36:II67" si="381">+IF(AND(AB36&gt;P36,P36&lt;=0,AB36&gt;0),AB36-P36,0)</f>
        <v>0</v>
      </c>
      <c r="IJ36" s="110">
        <f t="shared" ref="IJ36:IJ67" si="382">+IF(AND(AC36&gt;Q36,Q36&lt;=0,AC36&gt;0),AC36-Q36,0)</f>
        <v>0</v>
      </c>
      <c r="IK36" s="110">
        <f t="shared" ref="IK36:IK67" si="383">+IF(AND(AD36&gt;R36,R36&lt;=0,AD36&gt;0),AD36-R36,0)</f>
        <v>0</v>
      </c>
      <c r="IL36" s="110">
        <f t="shared" ref="IL36:IL67" si="384">+IF(AND(AE36&gt;S36,S36&lt;=0,AE36&gt;0),AE36-S36,0)</f>
        <v>0</v>
      </c>
      <c r="IM36" s="110">
        <f t="shared" ref="IM36:IM67" si="385">+IF(AND(AF36&gt;T36,T36&lt;=0,AF36&gt;0),AF36-T36,0)</f>
        <v>0</v>
      </c>
      <c r="IN36" s="110">
        <f t="shared" ref="IN36:IN67" si="386">+IF(AND(AG36&gt;U36,U36&lt;=0,AG36&gt;0),AG36-U36,0)</f>
        <v>0</v>
      </c>
      <c r="IO36" s="110">
        <f t="shared" ref="IO36:IO67" si="387">+IF(AND(AH36&gt;V36,V36&lt;=0,AH36&gt;0),AH36-V36,0)</f>
        <v>0</v>
      </c>
      <c r="IP36" s="110">
        <f t="shared" ref="IP36:IP67" si="388">+IF(AND(AI36&gt;W36,W36&lt;=0,AI36&gt;0),AI36-W36,0)</f>
        <v>0</v>
      </c>
      <c r="IQ36" s="110">
        <f t="shared" ref="IQ36:IQ67" si="389">+IF(AND(AJ36&gt;X36,X36&lt;=0,AJ36&gt;0),AJ36-X36,0)</f>
        <v>0</v>
      </c>
      <c r="IR36" s="110">
        <f t="shared" ref="IR36:IR67" si="390">+IF(AND(AK36&gt;Y36,Y36&lt;=0,AK36&gt;0),AK36-Y36,0)</f>
        <v>0</v>
      </c>
      <c r="IS36" s="110">
        <f t="shared" ref="IS36:IS67" si="391">+IF(AND(AL36&gt;Z36,Z36&lt;=0,AL36&gt;0),AL36-Z36,0)</f>
        <v>0</v>
      </c>
      <c r="IT36" s="110">
        <f t="shared" ref="IT36:IT67" si="392">+IF(AND(AM36&gt;AA36,AA36&lt;=0,AM36&gt;0),AM36-AA36,0)</f>
        <v>0</v>
      </c>
      <c r="IV36" s="111">
        <f t="shared" ref="IV36:IV67" si="393">+IF(AND(O36&lt;C36,O36&lt;=0,C36&gt;0),O36-C36,0)</f>
        <v>0</v>
      </c>
      <c r="IW36" s="110">
        <f t="shared" ref="IW36:IW67" si="394">+IF(AND(P36&lt;D36,P36&lt;=0,D36&gt;0),P36-D36,0)</f>
        <v>0</v>
      </c>
      <c r="IX36" s="110">
        <f t="shared" ref="IX36:IX67" si="395">+IF(AND(Q36&lt;E36,Q36&lt;=0,E36&gt;0),Q36-E36,0)</f>
        <v>0</v>
      </c>
      <c r="IY36" s="110">
        <f t="shared" ref="IY36:IY67" si="396">+IF(AND(R36&lt;F36,R36&lt;=0,F36&gt;0),R36-F36,0)</f>
        <v>0</v>
      </c>
      <c r="IZ36" s="110">
        <f t="shared" ref="IZ36:IZ67" si="397">+IF(AND(S36&lt;G36,S36&lt;=0,G36&gt;0),S36-G36,0)</f>
        <v>0</v>
      </c>
      <c r="JA36" s="110">
        <f t="shared" ref="JA36:JA67" si="398">+IF(AND(T36&lt;H36,T36&lt;=0,H36&gt;0),T36-H36,0)</f>
        <v>0</v>
      </c>
      <c r="JB36" s="110">
        <f t="shared" ref="JB36:JB67" si="399">+IF(AND(U36&lt;I36,U36&lt;=0,I36&gt;0),U36-I36,0)</f>
        <v>0</v>
      </c>
      <c r="JC36" s="110">
        <f t="shared" ref="JC36:JC67" si="400">+IF(AND(V36&lt;J36,V36&lt;=0,J36&gt;0),V36-J36,0)</f>
        <v>0</v>
      </c>
      <c r="JD36" s="110">
        <f t="shared" ref="JD36:JD67" si="401">+IF(AND(W36&lt;K36,W36&lt;=0,K36&gt;0),W36-K36,0)</f>
        <v>0</v>
      </c>
      <c r="JE36" s="110">
        <f t="shared" ref="JE36:JE67" si="402">+IF(AND(X36&lt;L36,X36&lt;=0,L36&gt;0),X36-L36,0)</f>
        <v>0</v>
      </c>
      <c r="JF36" s="110">
        <f t="shared" ref="JF36:JF67" si="403">+IF(AND(Y36&lt;M36,Y36&lt;=0,M36&gt;0),Y36-M36,0)</f>
        <v>0</v>
      </c>
      <c r="JG36" s="110">
        <f t="shared" ref="JG36:JG67" si="404">+IF(AND(Z36&lt;N36,Z36&lt;=0,N36&gt;0),Z36-N36,0)</f>
        <v>0</v>
      </c>
      <c r="JH36" s="110">
        <f t="shared" ref="JH36:JH67" si="405">+IF(AND(AA36&lt;O36,AA36&lt;=0,O36&gt;0),AA36-O36,0)</f>
        <v>0</v>
      </c>
      <c r="JI36" s="110">
        <f t="shared" ref="JI36:JI67" si="406">+IF(AND(AB36&lt;P36,AB36&lt;=0,P36&gt;0),AB36-P36,0)</f>
        <v>0</v>
      </c>
      <c r="JJ36" s="110">
        <f t="shared" ref="JJ36:JJ67" si="407">+IF(AND(AC36&lt;Q36,AC36&lt;=0,Q36&gt;0),AC36-Q36,0)</f>
        <v>-99</v>
      </c>
      <c r="JK36" s="110">
        <f t="shared" ref="JK36:JK67" si="408">+IF(AND(AD36&lt;R36,AD36&lt;=0,R36&gt;0),AD36-R36,0)</f>
        <v>-99</v>
      </c>
      <c r="JL36" s="110">
        <f t="shared" ref="JL36:JL67" si="409">+IF(AND(AE36&lt;S36,AE36&lt;=0,S36&gt;0),AE36-S36,0)</f>
        <v>-99</v>
      </c>
      <c r="JM36" s="110">
        <f t="shared" ref="JM36:JM67" si="410">+IF(AND(AF36&lt;T36,AF36&lt;=0,T36&gt;0),AF36-T36,0)</f>
        <v>-99</v>
      </c>
      <c r="JN36" s="110">
        <f t="shared" ref="JN36:JN67" si="411">+IF(AND(AG36&lt;U36,AG36&lt;=0,U36&gt;0),AG36-U36,0)</f>
        <v>-99</v>
      </c>
      <c r="JO36" s="110">
        <f t="shared" ref="JO36:JO67" si="412">+IF(AND(AH36&lt;V36,AH36&lt;=0,V36&gt;0),AH36-V36,0)</f>
        <v>-99</v>
      </c>
      <c r="JP36" s="110">
        <f t="shared" ref="JP36:JP67" si="413">+IF(AND(AI36&lt;W36,AI36&lt;=0,W36&gt;0),AI36-W36,0)</f>
        <v>-99</v>
      </c>
      <c r="JQ36" s="110">
        <f t="shared" ref="JQ36:JQ67" si="414">+IF(AND(AJ36&lt;X36,AJ36&lt;=0,X36&gt;0),AJ36-X36,0)</f>
        <v>-99</v>
      </c>
      <c r="JR36" s="110">
        <f t="shared" ref="JR36:JR67" si="415">+IF(AND(AK36&lt;Y36,AK36&lt;=0,Y36&gt;0),AK36-Y36,0)</f>
        <v>-99</v>
      </c>
      <c r="JS36" s="110">
        <f t="shared" ref="JS36:JS67" si="416">+IF(AND(AL36&lt;Z36,AL36&lt;=0,Z36&gt;0),AL36-Z36,0)</f>
        <v>-99</v>
      </c>
      <c r="JT36" s="110">
        <f t="shared" ref="JT36:JT67" si="417">+IF(AND(AM36&lt;AA36,AM36&lt;=0,AA36&gt;0),AM36-AA36,0)</f>
        <v>-99</v>
      </c>
      <c r="JV36" s="111">
        <f t="shared" ref="JV36:JV67" si="418">+IF(AND(O36&lt;C36,NOT(AND(C36&gt;0,O36&lt;=0))),O36-C36,0)</f>
        <v>-0.32999999999999829</v>
      </c>
      <c r="JW36" s="110">
        <f t="shared" ref="JW36:JW67" si="419">+IF(AND(P36&lt;D36,NOT(AND(D36&gt;0,P36&lt;=0))),P36-D36,0)</f>
        <v>-0.32999999999999829</v>
      </c>
      <c r="JX36" s="110">
        <f t="shared" ref="JX36:JX67" si="420">+IF(AND(Q36&lt;E36,NOT(AND(E36&gt;0,Q36&lt;=0))),Q36-E36,0)</f>
        <v>0</v>
      </c>
      <c r="JY36" s="110">
        <f t="shared" ref="JY36:JY67" si="421">+IF(AND(R36&lt;F36,NOT(AND(F36&gt;0,R36&lt;=0))),R36-F36,0)</f>
        <v>-0.46000000000000796</v>
      </c>
      <c r="JZ36" s="110">
        <f t="shared" ref="JZ36:JZ67" si="422">+IF(AND(S36&lt;G36,NOT(AND(G36&gt;0,S36&lt;=0))),S36-G36,0)</f>
        <v>-0.15000000000000568</v>
      </c>
      <c r="KA36" s="110">
        <f t="shared" ref="KA36:KA67" si="423">+IF(AND(T36&lt;H36,NOT(AND(H36&gt;0,T36&lt;=0))),T36-H36,0)</f>
        <v>-1.7999999999999972</v>
      </c>
      <c r="KB36" s="110">
        <f t="shared" ref="KB36:KB67" si="424">+IF(AND(U36&lt;I36,NOT(AND(I36&gt;0,U36&lt;=0))),U36-I36,0)</f>
        <v>-0.73999999999999488</v>
      </c>
      <c r="KC36" s="110">
        <f t="shared" ref="KC36:KC67" si="425">+IF(AND(V36&lt;J36,NOT(AND(J36&gt;0,V36&lt;=0))),V36-J36,0)</f>
        <v>0</v>
      </c>
      <c r="KD36" s="110">
        <f t="shared" ref="KD36:KD67" si="426">+IF(AND(W36&lt;K36,NOT(AND(K36&gt;0,W36&lt;=0))),W36-K36,0)</f>
        <v>0</v>
      </c>
      <c r="KE36" s="110">
        <f t="shared" ref="KE36:KE67" si="427">+IF(AND(X36&lt;L36,NOT(AND(L36&gt;0,X36&lt;=0))),X36-L36,0)</f>
        <v>0</v>
      </c>
      <c r="KF36" s="110">
        <f t="shared" ref="KF36:KF67" si="428">+IF(AND(Y36&lt;M36,NOT(AND(M36&gt;0,Y36&lt;=0))),Y36-M36,0)</f>
        <v>0</v>
      </c>
      <c r="KG36" s="110">
        <f t="shared" ref="KG36:KG67" si="429">+IF(AND(Z36&lt;N36,NOT(AND(N36&gt;0,Z36&lt;=0))),Z36-N36,0)</f>
        <v>0</v>
      </c>
      <c r="KH36" s="110">
        <f t="shared" ref="KH36:KH67" si="430">+IF(AND(AA36&lt;O36,NOT(AND(O36&gt;0,AA36&lt;=0))),AA36-O36,0)</f>
        <v>0</v>
      </c>
      <c r="KI36" s="110">
        <f t="shared" ref="KI36:KI67" si="431">+IF(AND(AB36&lt;P36,NOT(AND(P36&gt;0,AB36&lt;=0))),AB36-P36,0)</f>
        <v>-70.289999999999992</v>
      </c>
      <c r="KJ36" s="110">
        <f t="shared" ref="KJ36:KJ67" si="432">+IF(AND(AC36&lt;Q36,NOT(AND(Q36&gt;0,AC36&lt;=0))),AC36-Q36,0)</f>
        <v>0</v>
      </c>
      <c r="KK36" s="110">
        <f t="shared" ref="KK36:KK67" si="433">+IF(AND(AD36&lt;R36,NOT(AND(R36&gt;0,AD36&lt;=0))),AD36-R36,0)</f>
        <v>0</v>
      </c>
      <c r="KL36" s="110">
        <f t="shared" ref="KL36:KL67" si="434">+IF(AND(AE36&lt;S36,NOT(AND(S36&gt;0,AE36&lt;=0))),AE36-S36,0)</f>
        <v>0</v>
      </c>
      <c r="KM36" s="110">
        <f t="shared" ref="KM36:KM67" si="435">+IF(AND(AF36&lt;T36,NOT(AND(T36&gt;0,AF36&lt;=0))),AF36-T36,0)</f>
        <v>0</v>
      </c>
      <c r="KN36" s="110">
        <f t="shared" ref="KN36:KN67" si="436">+IF(AND(AG36&lt;U36,NOT(AND(U36&gt;0,AG36&lt;=0))),AG36-U36,0)</f>
        <v>0</v>
      </c>
      <c r="KO36" s="110">
        <f t="shared" ref="KO36:KO67" si="437">+IF(AND(AH36&lt;V36,NOT(AND(V36&gt;0,AH36&lt;=0))),AH36-V36,0)</f>
        <v>0</v>
      </c>
      <c r="KP36" s="110">
        <f t="shared" ref="KP36:KP67" si="438">+IF(AND(AI36&lt;W36,NOT(AND(W36&gt;0,AI36&lt;=0))),AI36-W36,0)</f>
        <v>0</v>
      </c>
      <c r="KQ36" s="110">
        <f t="shared" ref="KQ36:KQ67" si="439">+IF(AND(AJ36&lt;X36,NOT(AND(X36&gt;0,AJ36&lt;=0))),AJ36-X36,0)</f>
        <v>0</v>
      </c>
      <c r="KR36" s="110">
        <f t="shared" ref="KR36:KR67" si="440">+IF(AND(AK36&lt;Y36,NOT(AND(Y36&gt;0,AK36&lt;=0))),AK36-Y36,0)</f>
        <v>0</v>
      </c>
      <c r="KS36" s="110">
        <f t="shared" ref="KS36:KS67" si="441">+IF(AND(AL36&lt;Z36,NOT(AND(Z36&gt;0,AL36&lt;=0))),AL36-Z36,0)</f>
        <v>0</v>
      </c>
      <c r="KT36" s="110">
        <f t="shared" ref="KT36:KT67" si="442">+IF(AND(AM36&lt;AA36,NOT(AND(AA36&gt;0,AM36&lt;=0))),AM36-AA36,0)</f>
        <v>0</v>
      </c>
      <c r="KV36" s="111">
        <f t="shared" ref="KV36:KV67" si="443">+IF(AND(O36&gt;C36,NOT(AND(C36&lt;=0,O36&gt;0))),O36-C36,0)</f>
        <v>0</v>
      </c>
      <c r="KW36" s="110">
        <f t="shared" ref="KW36:KW67" si="444">+IF(AND(P36&gt;D36,NOT(AND(D36&lt;=0,P36&gt;0))),P36-D36,0)</f>
        <v>0</v>
      </c>
      <c r="KX36" s="110">
        <f t="shared" ref="KX36:KX67" si="445">+IF(AND(Q36&gt;E36,NOT(AND(E36&lt;=0,Q36&gt;0))),Q36-E36,0)</f>
        <v>0</v>
      </c>
      <c r="KY36" s="110">
        <f t="shared" ref="KY36:KY67" si="446">+IF(AND(R36&gt;F36,NOT(AND(F36&lt;=0,R36&gt;0))),R36-F36,0)</f>
        <v>0</v>
      </c>
      <c r="KZ36" s="110">
        <f t="shared" ref="KZ36:KZ67" si="447">+IF(AND(S36&gt;G36,NOT(AND(G36&lt;=0,S36&gt;0))),S36-G36,0)</f>
        <v>0</v>
      </c>
      <c r="LA36" s="110">
        <f t="shared" ref="LA36:LA67" si="448">+IF(AND(T36&gt;H36,NOT(AND(H36&lt;=0,T36&gt;0))),T36-H36,0)</f>
        <v>0</v>
      </c>
      <c r="LB36" s="110">
        <f t="shared" ref="LB36:LB67" si="449">+IF(AND(U36&gt;I36,NOT(AND(I36&lt;=0,U36&gt;0))),U36-I36,0)</f>
        <v>0</v>
      </c>
      <c r="LC36" s="110">
        <f t="shared" ref="LC36:LC67" si="450">+IF(AND(V36&gt;J36,NOT(AND(J36&lt;=0,V36&gt;0))),V36-J36,0)</f>
        <v>0</v>
      </c>
      <c r="LD36" s="110">
        <f t="shared" ref="LD36:LD67" si="451">+IF(AND(W36&gt;K36,NOT(AND(K36&lt;=0,W36&gt;0))),W36-K36,0)</f>
        <v>0</v>
      </c>
      <c r="LE36" s="110">
        <f t="shared" ref="LE36:LE67" si="452">+IF(AND(X36&gt;L36,NOT(AND(L36&lt;=0,X36&gt;0))),X36-L36,0)</f>
        <v>0</v>
      </c>
      <c r="LF36" s="110">
        <f t="shared" ref="LF36:LF67" si="453">+IF(AND(Y36&gt;M36,NOT(AND(M36&lt;=0,Y36&gt;0))),Y36-M36,0)</f>
        <v>0</v>
      </c>
      <c r="LG36" s="110">
        <f t="shared" ref="LG36:LG67" si="454">+IF(AND(Z36&gt;N36,NOT(AND(N36&lt;=0,Z36&gt;0))),Z36-N36,0)</f>
        <v>0</v>
      </c>
      <c r="LH36" s="110">
        <f t="shared" ref="LH36:LH67" si="455">+IF(AND(AA36&gt;O36,NOT(AND(O36&lt;=0,AA36&gt;0))),AA36-O36,0)</f>
        <v>0</v>
      </c>
      <c r="LI36" s="110">
        <f t="shared" ref="LI36:LI67" si="456">+IF(AND(AB36&gt;P36,NOT(AND(P36&lt;=0,AB36&gt;0))),AB36-P36,0)</f>
        <v>0</v>
      </c>
      <c r="LJ36" s="110">
        <f t="shared" ref="LJ36:LJ67" si="457">+IF(AND(AC36&gt;Q36,NOT(AND(Q36&lt;=0,AC36&gt;0))),AC36-Q36,0)</f>
        <v>0</v>
      </c>
      <c r="LK36" s="110">
        <f t="shared" ref="LK36:LK67" si="458">+IF(AND(AD36&gt;R36,NOT(AND(R36&lt;=0,AD36&gt;0))),AD36-R36,0)</f>
        <v>0</v>
      </c>
      <c r="LL36" s="110">
        <f t="shared" ref="LL36:LL67" si="459">+IF(AND(AE36&gt;S36,NOT(AND(S36&lt;=0,AE36&gt;0))),AE36-S36,0)</f>
        <v>0</v>
      </c>
      <c r="LM36" s="110">
        <f t="shared" ref="LM36:LM67" si="460">+IF(AND(AF36&gt;T36,NOT(AND(T36&lt;=0,AF36&gt;0))),AF36-T36,0)</f>
        <v>0</v>
      </c>
      <c r="LN36" s="110">
        <f t="shared" ref="LN36:LN67" si="461">+IF(AND(AG36&gt;U36,NOT(AND(U36&lt;=0,AG36&gt;0))),AG36-U36,0)</f>
        <v>0</v>
      </c>
      <c r="LO36" s="110">
        <f t="shared" ref="LO36:LO67" si="462">+IF(AND(AH36&gt;V36,NOT(AND(V36&lt;=0,AH36&gt;0))),AH36-V36,0)</f>
        <v>0</v>
      </c>
      <c r="LP36" s="110">
        <f t="shared" ref="LP36:LP67" si="463">+IF(AND(AI36&gt;W36,NOT(AND(W36&lt;=0,AI36&gt;0))),AI36-W36,0)</f>
        <v>0</v>
      </c>
      <c r="LQ36" s="110">
        <f t="shared" ref="LQ36:LQ67" si="464">+IF(AND(AJ36&gt;X36,NOT(AND(X36&lt;=0,AJ36&gt;0))),AJ36-X36,0)</f>
        <v>0</v>
      </c>
      <c r="LR36" s="110">
        <f t="shared" ref="LR36:LR67" si="465">+IF(AND(AK36&gt;Y36,NOT(AND(Y36&lt;=0,AK36&gt;0))),AK36-Y36,0)</f>
        <v>0</v>
      </c>
      <c r="LS36" s="110">
        <f t="shared" ref="LS36:LS67" si="466">+IF(AND(AL36&gt;Z36,NOT(AND(Z36&lt;=0,AL36&gt;0))),AL36-Z36,0)</f>
        <v>0</v>
      </c>
      <c r="LT36" s="110">
        <f t="shared" ref="LT36:LT67" si="467">+IF(AND(AM36&gt;AA36,NOT(AND(AA36&lt;=0,AM36&gt;0))),AM36-AA36,0)</f>
        <v>0</v>
      </c>
      <c r="LV36" s="111"/>
      <c r="LW36" s="110">
        <f t="shared" ref="LW36:LW67" si="468">+IF(((HW36&lt;&gt;0)+(IW36&lt;&gt;0)+(JW36&lt;&gt;0)+(KW36&lt;&gt;0))&gt;1,1,0)</f>
        <v>0</v>
      </c>
      <c r="LX36" s="110">
        <f t="shared" ref="LX36:LX67" si="469">+IF(((HX36&lt;&gt;0)+(IX36&lt;&gt;0)+(JX36&lt;&gt;0)+(KX36&lt;&gt;0))&gt;1,1,0)</f>
        <v>0</v>
      </c>
      <c r="LY36" s="110">
        <f t="shared" ref="LY36:LY67" si="470">+IF(((HY36&lt;&gt;0)+(IY36&lt;&gt;0)+(JY36&lt;&gt;0)+(KY36&lt;&gt;0))&gt;1,1,0)</f>
        <v>0</v>
      </c>
      <c r="LZ36" s="110">
        <f t="shared" ref="LZ36:LZ67" si="471">+IF(((HZ36&lt;&gt;0)+(IZ36&lt;&gt;0)+(JZ36&lt;&gt;0)+(KZ36&lt;&gt;0))&gt;1,1,0)</f>
        <v>0</v>
      </c>
      <c r="MA36" s="110">
        <f t="shared" ref="MA36:MA67" si="472">+IF(((IA36&lt;&gt;0)+(JA36&lt;&gt;0)+(KA36&lt;&gt;0)+(LA36&lt;&gt;0))&gt;1,1,0)</f>
        <v>0</v>
      </c>
      <c r="MB36" s="110">
        <f t="shared" ref="MB36:MB67" si="473">+IF(((IB36&lt;&gt;0)+(JB36&lt;&gt;0)+(KB36&lt;&gt;0)+(LB36&lt;&gt;0))&gt;1,1,0)</f>
        <v>0</v>
      </c>
      <c r="MC36" s="110">
        <f t="shared" ref="MC36:MC67" si="474">+IF(((IC36&lt;&gt;0)+(JC36&lt;&gt;0)+(KC36&lt;&gt;0)+(LC36&lt;&gt;0))&gt;1,1,0)</f>
        <v>0</v>
      </c>
      <c r="MD36" s="110">
        <f t="shared" ref="MD36:MD67" si="475">+IF(((ID36&lt;&gt;0)+(JD36&lt;&gt;0)+(KD36&lt;&gt;0)+(LD36&lt;&gt;0))&gt;1,1,0)</f>
        <v>0</v>
      </c>
      <c r="ME36" s="110">
        <f t="shared" ref="ME36:ME67" si="476">+IF(((IE36&lt;&gt;0)+(JE36&lt;&gt;0)+(KE36&lt;&gt;0)+(LE36&lt;&gt;0))&gt;1,1,0)</f>
        <v>0</v>
      </c>
      <c r="MF36" s="110">
        <f t="shared" ref="MF36:MF67" si="477">+IF(((IF36&lt;&gt;0)+(JF36&lt;&gt;0)+(KF36&lt;&gt;0)+(LF36&lt;&gt;0))&gt;1,1,0)</f>
        <v>0</v>
      </c>
      <c r="MG36" s="110">
        <f t="shared" ref="MG36:MG67" si="478">+IF(((IG36&lt;&gt;0)+(JG36&lt;&gt;0)+(KG36&lt;&gt;0)+(LG36&lt;&gt;0))&gt;1,1,0)</f>
        <v>0</v>
      </c>
      <c r="MH36" s="110">
        <f t="shared" ref="MH36:MH67" si="479">+IF(((IH36&lt;&gt;0)+(JH36&lt;&gt;0)+(KH36&lt;&gt;0)+(LH36&lt;&gt;0))&gt;1,1,0)</f>
        <v>0</v>
      </c>
      <c r="MI36" s="110">
        <f t="shared" ref="MI36:MI67" si="480">+IF(((II36&lt;&gt;0)+(JI36&lt;&gt;0)+(KI36&lt;&gt;0)+(LI36&lt;&gt;0))&gt;1,1,0)</f>
        <v>0</v>
      </c>
      <c r="MJ36" s="110">
        <f t="shared" ref="MJ36:MJ67" si="481">+IF(((IJ36&lt;&gt;0)+(JJ36&lt;&gt;0)+(KJ36&lt;&gt;0)+(LJ36&lt;&gt;0))&gt;1,1,0)</f>
        <v>0</v>
      </c>
      <c r="MK36" s="110">
        <f t="shared" ref="MK36:MK67" si="482">+IF(((IK36&lt;&gt;0)+(JK36&lt;&gt;0)+(KK36&lt;&gt;0)+(LK36&lt;&gt;0))&gt;1,1,0)</f>
        <v>0</v>
      </c>
      <c r="ML36" s="110">
        <f t="shared" ref="ML36:ML67" si="483">+IF(((IL36&lt;&gt;0)+(JL36&lt;&gt;0)+(KL36&lt;&gt;0)+(LL36&lt;&gt;0))&gt;1,1,0)</f>
        <v>0</v>
      </c>
      <c r="MM36" s="110">
        <f t="shared" ref="MM36:MM67" si="484">+IF(((IM36&lt;&gt;0)+(JM36&lt;&gt;0)+(KM36&lt;&gt;0)+(LM36&lt;&gt;0))&gt;1,1,0)</f>
        <v>0</v>
      </c>
      <c r="MN36" s="110">
        <f t="shared" ref="MN36:MN67" si="485">+IF(((IN36&lt;&gt;0)+(JN36&lt;&gt;0)+(KN36&lt;&gt;0)+(LN36&lt;&gt;0))&gt;1,1,0)</f>
        <v>0</v>
      </c>
      <c r="MO36" s="110">
        <f t="shared" ref="MO36:MO67" si="486">+IF(((IO36&lt;&gt;0)+(JO36&lt;&gt;0)+(KO36&lt;&gt;0)+(LO36&lt;&gt;0))&gt;1,1,0)</f>
        <v>0</v>
      </c>
      <c r="MP36" s="110">
        <f t="shared" ref="MP36:MP67" si="487">+IF(((IP36&lt;&gt;0)+(JP36&lt;&gt;0)+(KP36&lt;&gt;0)+(LP36&lt;&gt;0))&gt;1,1,0)</f>
        <v>0</v>
      </c>
      <c r="MQ36" s="110">
        <f t="shared" ref="MQ36:MQ67" si="488">+IF(((IQ36&lt;&gt;0)+(JQ36&lt;&gt;0)+(KQ36&lt;&gt;0)+(LQ36&lt;&gt;0))&gt;1,1,0)</f>
        <v>0</v>
      </c>
      <c r="MR36" s="110">
        <f t="shared" ref="MR36:MR67" si="489">+IF(((IR36&lt;&gt;0)+(JR36&lt;&gt;0)+(KR36&lt;&gt;0)+(LR36&lt;&gt;0))&gt;1,1,0)</f>
        <v>0</v>
      </c>
      <c r="MS36" s="110">
        <f t="shared" ref="MS36:MS67" si="490">+IF(((IS36&lt;&gt;0)+(JS36&lt;&gt;0)+(KS36&lt;&gt;0)+(LS36&lt;&gt;0))&gt;1,1,0)</f>
        <v>0</v>
      </c>
      <c r="MT36" s="110">
        <f t="shared" ref="MT36:MT67" si="491">+IF(((IT36&lt;&gt;0)+(JT36&lt;&gt;0)+(KT36&lt;&gt;0)+(LT36&lt;&gt;0))&gt;1,1,0)</f>
        <v>0</v>
      </c>
      <c r="MV36" s="114">
        <v>0</v>
      </c>
      <c r="MW36" s="114">
        <v>0</v>
      </c>
      <c r="MX36" s="114">
        <v>0</v>
      </c>
      <c r="MY36" s="114">
        <v>0</v>
      </c>
      <c r="MZ36" s="114">
        <v>-99</v>
      </c>
      <c r="NB36" s="115" t="str">
        <v>N/A</v>
      </c>
      <c r="NC36" s="115" t="str">
        <v>N/A</v>
      </c>
      <c r="ND36" s="115" t="str">
        <v>N/A</v>
      </c>
      <c r="NE36" s="115" t="str">
        <v>N/A</v>
      </c>
      <c r="NF36" s="115">
        <v>2</v>
      </c>
    </row>
    <row r="37" spans="2:370" ht="13.5" x14ac:dyDescent="0.25">
      <c r="B37" s="8">
        <f t="shared" si="252"/>
        <v>34</v>
      </c>
      <c r="C37" s="7">
        <v>239</v>
      </c>
      <c r="D37" s="7">
        <v>239</v>
      </c>
      <c r="E37" s="7">
        <v>239</v>
      </c>
      <c r="F37" s="7">
        <v>239</v>
      </c>
      <c r="G37" s="7">
        <v>239</v>
      </c>
      <c r="H37" s="7">
        <v>239</v>
      </c>
      <c r="I37" s="7">
        <v>239</v>
      </c>
      <c r="J37" s="7">
        <v>239</v>
      </c>
      <c r="K37" s="7">
        <v>239</v>
      </c>
      <c r="L37" s="7">
        <v>239</v>
      </c>
      <c r="M37" s="7">
        <v>239</v>
      </c>
      <c r="N37" s="7">
        <v>239</v>
      </c>
      <c r="O37" s="7">
        <v>239</v>
      </c>
      <c r="P37" s="7">
        <v>239</v>
      </c>
      <c r="Q37" s="7">
        <v>239</v>
      </c>
      <c r="R37" s="7">
        <v>239</v>
      </c>
      <c r="S37" s="7">
        <v>239</v>
      </c>
      <c r="T37" s="7">
        <v>239</v>
      </c>
      <c r="U37" s="7">
        <v>239</v>
      </c>
      <c r="V37" s="7">
        <v>239</v>
      </c>
      <c r="W37" s="7">
        <v>239</v>
      </c>
      <c r="X37" s="7">
        <v>239</v>
      </c>
      <c r="Y37" s="7">
        <v>239</v>
      </c>
      <c r="Z37" s="7">
        <v>247.37</v>
      </c>
      <c r="AA37" s="7">
        <v>247.37</v>
      </c>
      <c r="AB37" s="7">
        <v>247.37</v>
      </c>
      <c r="AC37" s="7">
        <v>247.37</v>
      </c>
      <c r="AD37" s="7">
        <v>247.37</v>
      </c>
      <c r="AE37" s="7">
        <v>247.37</v>
      </c>
      <c r="AF37" s="7">
        <v>247.37</v>
      </c>
      <c r="AG37" s="7">
        <v>247.37</v>
      </c>
      <c r="AH37" s="7">
        <v>247.37</v>
      </c>
      <c r="AI37" s="7">
        <v>247.37</v>
      </c>
      <c r="AJ37" s="7">
        <v>247.37</v>
      </c>
      <c r="AK37" s="7">
        <v>247.37</v>
      </c>
      <c r="AL37" s="7">
        <v>247.37</v>
      </c>
      <c r="AM37" s="7">
        <v>247.37</v>
      </c>
      <c r="AN37" s="27">
        <v>34</v>
      </c>
      <c r="AP37" s="111"/>
      <c r="AQ37" s="110">
        <f t="shared" si="253"/>
        <v>0</v>
      </c>
      <c r="AR37" s="110">
        <f t="shared" si="254"/>
        <v>0</v>
      </c>
      <c r="AS37" s="110">
        <f t="shared" si="255"/>
        <v>0</v>
      </c>
      <c r="AT37" s="110">
        <f t="shared" si="256"/>
        <v>0</v>
      </c>
      <c r="AU37" s="110">
        <f t="shared" si="257"/>
        <v>0</v>
      </c>
      <c r="AV37" s="110">
        <f t="shared" si="258"/>
        <v>0</v>
      </c>
      <c r="AW37" s="110">
        <f t="shared" si="259"/>
        <v>0</v>
      </c>
      <c r="AX37" s="110">
        <f t="shared" si="260"/>
        <v>8.3700000000000045</v>
      </c>
      <c r="AY37" s="110">
        <f t="shared" si="261"/>
        <v>0</v>
      </c>
      <c r="AZ37" s="110">
        <f t="shared" si="262"/>
        <v>0</v>
      </c>
      <c r="BA37" s="110">
        <f t="shared" si="263"/>
        <v>0</v>
      </c>
      <c r="BB37" s="110">
        <f t="shared" si="264"/>
        <v>0</v>
      </c>
      <c r="BD37" s="109" cm="1">
        <f t="array" ref="BD37">+IFERROR(INDEX($C$3:$AM$3,MATCH(TRUE,INDEX($C37:$AM37&lt;&gt;0,0),0)),"N/A")</f>
        <v>44926</v>
      </c>
      <c r="BE37" s="112"/>
      <c r="BF37" s="1" t="str" cm="1">
        <f t="array" ref="BF37">+_xlfn.IFS(BT37&lt;&gt;0,BT$2,CH37&lt;&gt;0,CH$2,CV37&lt;&gt;0,CV$2,DJ37&lt;&gt;0,DJ$2,TRUE,"")</f>
        <v/>
      </c>
      <c r="BG37" s="1" t="str" cm="1">
        <f t="array" ref="BG37">+_xlfn.IFS(BU37&lt;&gt;0,BU$2,CI37&lt;&gt;0,CI$2,CW37&lt;&gt;0,CW$2,DK37&lt;&gt;0,DK$2,TRUE,"")</f>
        <v/>
      </c>
      <c r="BH37" s="1" t="str" cm="1">
        <f t="array" ref="BH37">+_xlfn.IFS(BV37&lt;&gt;0,BV$2,CJ37&lt;&gt;0,CJ$2,CX37&lt;&gt;0,CX$2,DL37&lt;&gt;0,DL$2,TRUE,"")</f>
        <v/>
      </c>
      <c r="BI37" s="1" t="str" cm="1">
        <f t="array" ref="BI37">+_xlfn.IFS(BW37&lt;&gt;0,BW$2,CK37&lt;&gt;0,CK$2,CY37&lt;&gt;0,CY$2,DM37&lt;&gt;0,DM$2,TRUE,"")</f>
        <v/>
      </c>
      <c r="BJ37" s="1" t="str" cm="1">
        <f t="array" ref="BJ37">+_xlfn.IFS(BX37&lt;&gt;0,BX$2,CL37&lt;&gt;0,CL$2,CZ37&lt;&gt;0,CZ$2,DN37&lt;&gt;0,DN$2,TRUE,"")</f>
        <v/>
      </c>
      <c r="BK37" s="1" t="str" cm="1">
        <f t="array" ref="BK37">+_xlfn.IFS(BY37&lt;&gt;0,BY$2,CM37&lt;&gt;0,CM$2,DA37&lt;&gt;0,DA$2,DO37&lt;&gt;0,DO$2,TRUE,"")</f>
        <v/>
      </c>
      <c r="BL37" s="1" t="str" cm="1">
        <f t="array" ref="BL37">+_xlfn.IFS(BZ37&lt;&gt;0,BZ$2,CN37&lt;&gt;0,CN$2,DB37&lt;&gt;0,DB$2,DP37&lt;&gt;0,DP$2,TRUE,"")</f>
        <v/>
      </c>
      <c r="BM37" s="1" t="str" cm="1">
        <f t="array" ref="BM37">+_xlfn.IFS(CA37&lt;&gt;0,CA$2,CO37&lt;&gt;0,CO$2,DC37&lt;&gt;0,DC$2,DQ37&lt;&gt;0,DQ$2,TRUE,"")</f>
        <v>Upsell</v>
      </c>
      <c r="BN37" s="1" t="str" cm="1">
        <f t="array" ref="BN37">+_xlfn.IFS(CB37&lt;&gt;0,CB$2,CP37&lt;&gt;0,CP$2,DD37&lt;&gt;0,DD$2,DR37&lt;&gt;0,DR$2,TRUE,"")</f>
        <v/>
      </c>
      <c r="BO37" s="1" t="str" cm="1">
        <f t="array" ref="BO37">+_xlfn.IFS(CC37&lt;&gt;0,CC$2,CQ37&lt;&gt;0,CQ$2,DE37&lt;&gt;0,DE$2,DS37&lt;&gt;0,DS$2,TRUE,"")</f>
        <v/>
      </c>
      <c r="BP37" s="1" t="str" cm="1">
        <f t="array" ref="BP37">+_xlfn.IFS(CD37&lt;&gt;0,CD$2,CR37&lt;&gt;0,CR$2,DF37&lt;&gt;0,DF$2,DT37&lt;&gt;0,DT$2,TRUE,"")</f>
        <v/>
      </c>
      <c r="BQ37" s="1" t="str" cm="1">
        <f t="array" ref="BQ37">+_xlfn.IFS(CE37&lt;&gt;0,CE$2,CS37&lt;&gt;0,CS$2,DG37&lt;&gt;0,DG$2,DU37&lt;&gt;0,DU$2,TRUE,"")</f>
        <v/>
      </c>
      <c r="BS37" s="111"/>
      <c r="BT37" s="110">
        <f t="shared" si="265"/>
        <v>0</v>
      </c>
      <c r="BU37" s="110">
        <f t="shared" si="266"/>
        <v>0</v>
      </c>
      <c r="BV37" s="110">
        <f t="shared" si="267"/>
        <v>0</v>
      </c>
      <c r="BW37" s="110">
        <f t="shared" si="268"/>
        <v>0</v>
      </c>
      <c r="BX37" s="110">
        <f t="shared" si="269"/>
        <v>0</v>
      </c>
      <c r="BY37" s="110">
        <f t="shared" si="270"/>
        <v>0</v>
      </c>
      <c r="BZ37" s="110">
        <f t="shared" si="271"/>
        <v>0</v>
      </c>
      <c r="CA37" s="110">
        <f t="shared" si="272"/>
        <v>0</v>
      </c>
      <c r="CB37" s="110">
        <f t="shared" si="273"/>
        <v>0</v>
      </c>
      <c r="CC37" s="110">
        <f t="shared" si="274"/>
        <v>0</v>
      </c>
      <c r="CD37" s="110">
        <f t="shared" si="275"/>
        <v>0</v>
      </c>
      <c r="CE37" s="110">
        <f t="shared" si="276"/>
        <v>0</v>
      </c>
      <c r="CG37" s="111"/>
      <c r="CH37" s="110">
        <f t="shared" si="277"/>
        <v>0</v>
      </c>
      <c r="CI37" s="110">
        <f t="shared" si="278"/>
        <v>0</v>
      </c>
      <c r="CJ37" s="110">
        <f t="shared" si="279"/>
        <v>0</v>
      </c>
      <c r="CK37" s="110">
        <f t="shared" si="280"/>
        <v>0</v>
      </c>
      <c r="CL37" s="110">
        <f t="shared" si="281"/>
        <v>0</v>
      </c>
      <c r="CM37" s="110">
        <f t="shared" si="282"/>
        <v>0</v>
      </c>
      <c r="CN37" s="110">
        <f t="shared" si="283"/>
        <v>0</v>
      </c>
      <c r="CO37" s="110">
        <f t="shared" si="284"/>
        <v>0</v>
      </c>
      <c r="CP37" s="110">
        <f t="shared" si="285"/>
        <v>0</v>
      </c>
      <c r="CQ37" s="110">
        <f t="shared" si="286"/>
        <v>0</v>
      </c>
      <c r="CR37" s="110">
        <f t="shared" si="287"/>
        <v>0</v>
      </c>
      <c r="CS37" s="110">
        <f t="shared" si="288"/>
        <v>0</v>
      </c>
      <c r="CU37" s="111"/>
      <c r="CV37" s="110">
        <f t="shared" si="289"/>
        <v>0</v>
      </c>
      <c r="CW37" s="110">
        <f t="shared" si="290"/>
        <v>0</v>
      </c>
      <c r="CX37" s="110">
        <f t="shared" si="291"/>
        <v>0</v>
      </c>
      <c r="CY37" s="110">
        <f t="shared" si="292"/>
        <v>0</v>
      </c>
      <c r="CZ37" s="110">
        <f t="shared" si="293"/>
        <v>0</v>
      </c>
      <c r="DA37" s="110">
        <f t="shared" si="294"/>
        <v>0</v>
      </c>
      <c r="DB37" s="110">
        <f t="shared" si="295"/>
        <v>0</v>
      </c>
      <c r="DC37" s="110">
        <f t="shared" si="296"/>
        <v>0</v>
      </c>
      <c r="DD37" s="110">
        <f t="shared" si="297"/>
        <v>0</v>
      </c>
      <c r="DE37" s="110">
        <f t="shared" si="298"/>
        <v>0</v>
      </c>
      <c r="DF37" s="110">
        <f t="shared" si="299"/>
        <v>0</v>
      </c>
      <c r="DG37" s="110">
        <f t="shared" si="300"/>
        <v>0</v>
      </c>
      <c r="DI37" s="111"/>
      <c r="DJ37" s="110">
        <f t="shared" si="301"/>
        <v>0</v>
      </c>
      <c r="DK37" s="110">
        <f t="shared" si="302"/>
        <v>0</v>
      </c>
      <c r="DL37" s="110">
        <f t="shared" si="303"/>
        <v>0</v>
      </c>
      <c r="DM37" s="110">
        <f t="shared" si="304"/>
        <v>0</v>
      </c>
      <c r="DN37" s="110">
        <f t="shared" si="305"/>
        <v>0</v>
      </c>
      <c r="DO37" s="110">
        <f t="shared" si="306"/>
        <v>0</v>
      </c>
      <c r="DP37" s="110">
        <f t="shared" si="307"/>
        <v>0</v>
      </c>
      <c r="DQ37" s="110">
        <f t="shared" si="308"/>
        <v>8.3700000000000045</v>
      </c>
      <c r="DR37" s="110">
        <f t="shared" si="309"/>
        <v>0</v>
      </c>
      <c r="DS37" s="110">
        <f t="shared" si="310"/>
        <v>0</v>
      </c>
      <c r="DT37" s="110">
        <f t="shared" si="311"/>
        <v>0</v>
      </c>
      <c r="DU37" s="110">
        <f t="shared" si="312"/>
        <v>0</v>
      </c>
      <c r="DW37" s="111"/>
      <c r="DX37" s="110">
        <f t="shared" si="313"/>
        <v>0</v>
      </c>
      <c r="DY37" s="110">
        <f t="shared" si="314"/>
        <v>0</v>
      </c>
      <c r="DZ37" s="110">
        <f t="shared" si="315"/>
        <v>0</v>
      </c>
      <c r="EA37" s="110">
        <f t="shared" si="316"/>
        <v>0</v>
      </c>
      <c r="EB37" s="110">
        <f t="shared" si="317"/>
        <v>0</v>
      </c>
      <c r="EC37" s="110">
        <f t="shared" si="318"/>
        <v>0</v>
      </c>
      <c r="ED37" s="110">
        <f t="shared" si="319"/>
        <v>0</v>
      </c>
      <c r="EE37" s="110">
        <f t="shared" si="320"/>
        <v>0</v>
      </c>
      <c r="EF37" s="110">
        <f t="shared" si="321"/>
        <v>0</v>
      </c>
      <c r="EG37" s="110">
        <f t="shared" si="322"/>
        <v>0</v>
      </c>
      <c r="EH37" s="110">
        <f t="shared" si="323"/>
        <v>0</v>
      </c>
      <c r="EI37" s="110">
        <f t="shared" si="324"/>
        <v>0</v>
      </c>
      <c r="EK37" s="111"/>
      <c r="EL37" s="110">
        <f t="shared" si="325"/>
        <v>0</v>
      </c>
      <c r="EM37" s="110">
        <f t="shared" si="326"/>
        <v>8.3700000000000045</v>
      </c>
      <c r="EN37" s="110">
        <f t="shared" si="327"/>
        <v>0</v>
      </c>
      <c r="EP37" s="109" cm="1">
        <f t="array" ref="EP37">+IFERROR(INDEX($C$3:$AM$3,MATCH(TRUE,INDEX($C37:$AM37&lt;&gt;0,0),0)),"N/A")</f>
        <v>44926</v>
      </c>
      <c r="EQ37" s="112"/>
      <c r="ER37" s="1" t="str" cm="1">
        <f t="array" ref="ER37">+_xlfn.IFS(EW37&lt;&gt;0,EW$2,FB37&lt;&gt;0,FB$2,FG37&lt;&gt;0,FG$2,FL37&lt;&gt;0,FL$2,TRUE,"")</f>
        <v/>
      </c>
      <c r="ES37" s="1" t="str" cm="1">
        <f t="array" ref="ES37">+_xlfn.IFS(EX37&lt;&gt;0,EX$2,FC37&lt;&gt;0,FC$2,FH37&lt;&gt;0,FH$2,FM37&lt;&gt;0,FM$2,TRUE,"")</f>
        <v>Upsell</v>
      </c>
      <c r="ET37" s="1" t="str" cm="1">
        <f t="array" ref="ET37">+_xlfn.IFS(EY37&lt;&gt;0,EY$2,FD37&lt;&gt;0,FD$2,FI37&lt;&gt;0,FI$2,FN37&lt;&gt;0,FN$2,TRUE,"")</f>
        <v/>
      </c>
      <c r="EV37" s="111"/>
      <c r="EW37" s="110">
        <f t="shared" si="328"/>
        <v>0</v>
      </c>
      <c r="EX37" s="110">
        <f t="shared" si="329"/>
        <v>0</v>
      </c>
      <c r="EY37" s="110">
        <f t="shared" si="330"/>
        <v>0</v>
      </c>
      <c r="FA37" s="111"/>
      <c r="FB37" s="110">
        <f t="shared" si="331"/>
        <v>0</v>
      </c>
      <c r="FC37" s="110">
        <f t="shared" si="332"/>
        <v>0</v>
      </c>
      <c r="FD37" s="110">
        <f t="shared" si="333"/>
        <v>0</v>
      </c>
      <c r="FF37" s="111"/>
      <c r="FG37" s="110">
        <f t="shared" si="334"/>
        <v>0</v>
      </c>
      <c r="FH37" s="110">
        <f t="shared" si="335"/>
        <v>0</v>
      </c>
      <c r="FI37" s="110">
        <f t="shared" si="336"/>
        <v>0</v>
      </c>
      <c r="FK37" s="111"/>
      <c r="FL37" s="110">
        <f t="shared" si="337"/>
        <v>0</v>
      </c>
      <c r="FM37" s="110">
        <f t="shared" si="338"/>
        <v>8.3700000000000045</v>
      </c>
      <c r="FN37" s="110">
        <f t="shared" si="339"/>
        <v>0</v>
      </c>
      <c r="FP37" s="111"/>
      <c r="FQ37" s="110">
        <f t="shared" si="340"/>
        <v>0</v>
      </c>
      <c r="FR37" s="110">
        <f t="shared" si="341"/>
        <v>0</v>
      </c>
      <c r="FS37" s="110">
        <f t="shared" si="342"/>
        <v>0</v>
      </c>
      <c r="FU37" s="111">
        <f t="shared" si="343"/>
        <v>0</v>
      </c>
      <c r="FV37" s="110">
        <f t="shared" si="344"/>
        <v>0</v>
      </c>
      <c r="FW37" s="110">
        <f t="shared" si="345"/>
        <v>0</v>
      </c>
      <c r="FX37" s="110">
        <f t="shared" si="346"/>
        <v>0</v>
      </c>
      <c r="FY37" s="110">
        <f t="shared" si="347"/>
        <v>0</v>
      </c>
      <c r="FZ37" s="110">
        <f t="shared" si="348"/>
        <v>0</v>
      </c>
      <c r="GA37" s="110">
        <f t="shared" si="349"/>
        <v>0</v>
      </c>
      <c r="GB37" s="110">
        <f t="shared" si="350"/>
        <v>0</v>
      </c>
      <c r="GC37" s="110">
        <f t="shared" si="351"/>
        <v>0</v>
      </c>
      <c r="GD37" s="110">
        <f t="shared" si="352"/>
        <v>0</v>
      </c>
      <c r="GE37" s="110">
        <f t="shared" si="353"/>
        <v>0</v>
      </c>
      <c r="GF37" s="110">
        <f t="shared" si="354"/>
        <v>8.3700000000000045</v>
      </c>
      <c r="GG37" s="110">
        <f t="shared" si="355"/>
        <v>8.3700000000000045</v>
      </c>
      <c r="GH37" s="110">
        <f t="shared" si="356"/>
        <v>8.3700000000000045</v>
      </c>
      <c r="GI37" s="110">
        <f t="shared" si="357"/>
        <v>8.3700000000000045</v>
      </c>
      <c r="GJ37" s="110">
        <f t="shared" si="358"/>
        <v>8.3700000000000045</v>
      </c>
      <c r="GK37" s="110">
        <f t="shared" si="359"/>
        <v>8.3700000000000045</v>
      </c>
      <c r="GL37" s="110">
        <f t="shared" si="360"/>
        <v>8.3700000000000045</v>
      </c>
      <c r="GM37" s="110">
        <f t="shared" si="361"/>
        <v>8.3700000000000045</v>
      </c>
      <c r="GN37" s="110">
        <f t="shared" si="362"/>
        <v>8.3700000000000045</v>
      </c>
      <c r="GO37" s="110">
        <f t="shared" si="363"/>
        <v>8.3700000000000045</v>
      </c>
      <c r="GP37" s="110">
        <f t="shared" si="364"/>
        <v>8.3700000000000045</v>
      </c>
      <c r="GQ37" s="110">
        <f t="shared" si="365"/>
        <v>8.3700000000000045</v>
      </c>
      <c r="GR37" s="110">
        <f t="shared" si="366"/>
        <v>0</v>
      </c>
      <c r="GS37" s="110">
        <f t="shared" si="367"/>
        <v>0</v>
      </c>
      <c r="GU37" s="109" cm="1">
        <f t="array" ref="GU37">+IFERROR(INDEX($C$3:$AM$3,MATCH(TRUE,INDEX($C37:$AM37&lt;&gt;0,0),0)),"N/A")</f>
        <v>44926</v>
      </c>
      <c r="GV37" s="112" t="str" cm="1">
        <f t="array" ref="GV37">+_xlfn.IFS(HV37&lt;&gt;0,HV$2,IV37&lt;&gt;0,IV$2,JV37&lt;&gt;0,JV$2,KV37&lt;&gt;0,KV$2,TRUE,"")</f>
        <v/>
      </c>
      <c r="GW37" s="1" t="str" cm="1">
        <f t="array" ref="GW37">+_xlfn.IFS(HW37&lt;&gt;0,HW$2,IW37&lt;&gt;0,IW$2,JW37&lt;&gt;0,JW$2,KW37&lt;&gt;0,KW$2,TRUE,"")</f>
        <v/>
      </c>
      <c r="GX37" s="1" t="str" cm="1">
        <f t="array" ref="GX37">+_xlfn.IFS(HX37&lt;&gt;0,HX$2,IX37&lt;&gt;0,IX$2,JX37&lt;&gt;0,JX$2,KX37&lt;&gt;0,KX$2,TRUE,"")</f>
        <v/>
      </c>
      <c r="GY37" s="1" t="str" cm="1">
        <f t="array" ref="GY37">+_xlfn.IFS(HY37&lt;&gt;0,HY$2,IY37&lt;&gt;0,IY$2,JY37&lt;&gt;0,JY$2,KY37&lt;&gt;0,KY$2,TRUE,"")</f>
        <v/>
      </c>
      <c r="GZ37" s="1" t="str" cm="1">
        <f t="array" ref="GZ37">+_xlfn.IFS(HZ37&lt;&gt;0,HZ$2,IZ37&lt;&gt;0,IZ$2,JZ37&lt;&gt;0,JZ$2,KZ37&lt;&gt;0,KZ$2,TRUE,"")</f>
        <v/>
      </c>
      <c r="HA37" s="1" t="str" cm="1">
        <f t="array" ref="HA37">+_xlfn.IFS(IA37&lt;&gt;0,IA$2,JA37&lt;&gt;0,JA$2,KA37&lt;&gt;0,KA$2,LA37&lt;&gt;0,LA$2,TRUE,"")</f>
        <v/>
      </c>
      <c r="HB37" s="1" t="str" cm="1">
        <f t="array" ref="HB37">+_xlfn.IFS(IB37&lt;&gt;0,IB$2,JB37&lt;&gt;0,JB$2,KB37&lt;&gt;0,KB$2,LB37&lt;&gt;0,LB$2,TRUE,"")</f>
        <v/>
      </c>
      <c r="HC37" s="1" t="str" cm="1">
        <f t="array" ref="HC37">+_xlfn.IFS(IC37&lt;&gt;0,IC$2,JC37&lt;&gt;0,JC$2,KC37&lt;&gt;0,KC$2,LC37&lt;&gt;0,LC$2,TRUE,"")</f>
        <v/>
      </c>
      <c r="HD37" s="1" t="str" cm="1">
        <f t="array" ref="HD37">+_xlfn.IFS(ID37&lt;&gt;0,ID$2,JD37&lt;&gt;0,JD$2,KD37&lt;&gt;0,KD$2,LD37&lt;&gt;0,LD$2,TRUE,"")</f>
        <v/>
      </c>
      <c r="HE37" s="1" t="str" cm="1">
        <f t="array" ref="HE37">+_xlfn.IFS(IE37&lt;&gt;0,IE$2,JE37&lt;&gt;0,JE$2,KE37&lt;&gt;0,KE$2,LE37&lt;&gt;0,LE$2,TRUE,"")</f>
        <v/>
      </c>
      <c r="HF37" s="1" t="str" cm="1">
        <f t="array" ref="HF37">+_xlfn.IFS(IF37&lt;&gt;0,IF$2,JF37&lt;&gt;0,JF$2,KF37&lt;&gt;0,KF$2,LF37&lt;&gt;0,LF$2,TRUE,"")</f>
        <v/>
      </c>
      <c r="HG37" s="1" t="str" cm="1">
        <f t="array" ref="HG37">+_xlfn.IFS(IG37&lt;&gt;0,IG$2,JG37&lt;&gt;0,JG$2,KG37&lt;&gt;0,KG$2,LG37&lt;&gt;0,LG$2,TRUE,"")</f>
        <v>Upsell</v>
      </c>
      <c r="HH37" s="1" t="str" cm="1">
        <f t="array" ref="HH37">+_xlfn.IFS(IH37&lt;&gt;0,IH$2,JH37&lt;&gt;0,JH$2,KH37&lt;&gt;0,KH$2,LH37&lt;&gt;0,LH$2,TRUE,"")</f>
        <v>Upsell</v>
      </c>
      <c r="HI37" s="1" t="str" cm="1">
        <f t="array" ref="HI37">+_xlfn.IFS(II37&lt;&gt;0,II$2,JI37&lt;&gt;0,JI$2,KI37&lt;&gt;0,KI$2,LI37&lt;&gt;0,LI$2,TRUE,"")</f>
        <v>Upsell</v>
      </c>
      <c r="HJ37" s="1" t="str" cm="1">
        <f t="array" ref="HJ37">+_xlfn.IFS(IJ37&lt;&gt;0,IJ$2,JJ37&lt;&gt;0,JJ$2,KJ37&lt;&gt;0,KJ$2,LJ37&lt;&gt;0,LJ$2,TRUE,"")</f>
        <v>Upsell</v>
      </c>
      <c r="HK37" s="1" t="str" cm="1">
        <f t="array" ref="HK37">+_xlfn.IFS(IK37&lt;&gt;0,IK$2,JK37&lt;&gt;0,JK$2,KK37&lt;&gt;0,KK$2,LK37&lt;&gt;0,LK$2,TRUE,"")</f>
        <v>Upsell</v>
      </c>
      <c r="HL37" s="1" t="str" cm="1">
        <f t="array" ref="HL37">+_xlfn.IFS(IL37&lt;&gt;0,IL$2,JL37&lt;&gt;0,JL$2,KL37&lt;&gt;0,KL$2,LL37&lt;&gt;0,LL$2,TRUE,"")</f>
        <v>Upsell</v>
      </c>
      <c r="HM37" s="1" t="str" cm="1">
        <f t="array" ref="HM37">+_xlfn.IFS(IM37&lt;&gt;0,IM$2,JM37&lt;&gt;0,JM$2,KM37&lt;&gt;0,KM$2,LM37&lt;&gt;0,LM$2,TRUE,"")</f>
        <v>Upsell</v>
      </c>
      <c r="HN37" s="1" t="str" cm="1">
        <f t="array" ref="HN37">+_xlfn.IFS(IN37&lt;&gt;0,IN$2,JN37&lt;&gt;0,JN$2,KN37&lt;&gt;0,KN$2,LN37&lt;&gt;0,LN$2,TRUE,"")</f>
        <v>Upsell</v>
      </c>
      <c r="HO37" s="1" t="str" cm="1">
        <f t="array" ref="HO37">+_xlfn.IFS(IO37&lt;&gt;0,IO$2,JO37&lt;&gt;0,JO$2,KO37&lt;&gt;0,KO$2,LO37&lt;&gt;0,LO$2,TRUE,"")</f>
        <v>Upsell</v>
      </c>
      <c r="HP37" s="1" t="str" cm="1">
        <f t="array" ref="HP37">+_xlfn.IFS(IP37&lt;&gt;0,IP$2,JP37&lt;&gt;0,JP$2,KP37&lt;&gt;0,KP$2,LP37&lt;&gt;0,LP$2,TRUE,"")</f>
        <v>Upsell</v>
      </c>
      <c r="HQ37" s="1" t="str" cm="1">
        <f t="array" ref="HQ37">+_xlfn.IFS(IQ37&lt;&gt;0,IQ$2,JQ37&lt;&gt;0,JQ$2,KQ37&lt;&gt;0,KQ$2,LQ37&lt;&gt;0,LQ$2,TRUE,"")</f>
        <v>Upsell</v>
      </c>
      <c r="HR37" s="1" t="str" cm="1">
        <f t="array" ref="HR37">+_xlfn.IFS(IR37&lt;&gt;0,IR$2,JR37&lt;&gt;0,JR$2,KR37&lt;&gt;0,KR$2,LR37&lt;&gt;0,LR$2,TRUE,"")</f>
        <v>Upsell</v>
      </c>
      <c r="HS37" s="1" t="str" cm="1">
        <f t="array" ref="HS37">+_xlfn.IFS(IS37&lt;&gt;0,IS$2,JS37&lt;&gt;0,JS$2,KS37&lt;&gt;0,KS$2,LS37&lt;&gt;0,LS$2,TRUE,"")</f>
        <v/>
      </c>
      <c r="HT37" s="1" t="str" cm="1">
        <f t="array" ref="HT37">+_xlfn.IFS(IT37&lt;&gt;0,IT$2,JT37&lt;&gt;0,JT$2,KT37&lt;&gt;0,KT$2,LT37&lt;&gt;0,LT$2,TRUE,"")</f>
        <v/>
      </c>
      <c r="HV37" s="111">
        <f t="shared" si="368"/>
        <v>0</v>
      </c>
      <c r="HW37" s="110">
        <f t="shared" si="369"/>
        <v>0</v>
      </c>
      <c r="HX37" s="110">
        <f t="shared" si="370"/>
        <v>0</v>
      </c>
      <c r="HY37" s="110">
        <f t="shared" si="371"/>
        <v>0</v>
      </c>
      <c r="HZ37" s="110">
        <f t="shared" si="372"/>
        <v>0</v>
      </c>
      <c r="IA37" s="110">
        <f t="shared" si="373"/>
        <v>0</v>
      </c>
      <c r="IB37" s="110">
        <f t="shared" si="374"/>
        <v>0</v>
      </c>
      <c r="IC37" s="110">
        <f t="shared" si="375"/>
        <v>0</v>
      </c>
      <c r="ID37" s="110">
        <f t="shared" si="376"/>
        <v>0</v>
      </c>
      <c r="IE37" s="110">
        <f t="shared" si="377"/>
        <v>0</v>
      </c>
      <c r="IF37" s="110">
        <f t="shared" si="378"/>
        <v>0</v>
      </c>
      <c r="IG37" s="110">
        <f t="shared" si="379"/>
        <v>0</v>
      </c>
      <c r="IH37" s="110">
        <f t="shared" si="380"/>
        <v>0</v>
      </c>
      <c r="II37" s="110">
        <f t="shared" si="381"/>
        <v>0</v>
      </c>
      <c r="IJ37" s="110">
        <f t="shared" si="382"/>
        <v>0</v>
      </c>
      <c r="IK37" s="110">
        <f t="shared" si="383"/>
        <v>0</v>
      </c>
      <c r="IL37" s="110">
        <f t="shared" si="384"/>
        <v>0</v>
      </c>
      <c r="IM37" s="110">
        <f t="shared" si="385"/>
        <v>0</v>
      </c>
      <c r="IN37" s="110">
        <f t="shared" si="386"/>
        <v>0</v>
      </c>
      <c r="IO37" s="110">
        <f t="shared" si="387"/>
        <v>0</v>
      </c>
      <c r="IP37" s="110">
        <f t="shared" si="388"/>
        <v>0</v>
      </c>
      <c r="IQ37" s="110">
        <f t="shared" si="389"/>
        <v>0</v>
      </c>
      <c r="IR37" s="110">
        <f t="shared" si="390"/>
        <v>0</v>
      </c>
      <c r="IS37" s="110">
        <f t="shared" si="391"/>
        <v>0</v>
      </c>
      <c r="IT37" s="110">
        <f t="shared" si="392"/>
        <v>0</v>
      </c>
      <c r="IV37" s="111">
        <f t="shared" si="393"/>
        <v>0</v>
      </c>
      <c r="IW37" s="110">
        <f t="shared" si="394"/>
        <v>0</v>
      </c>
      <c r="IX37" s="110">
        <f t="shared" si="395"/>
        <v>0</v>
      </c>
      <c r="IY37" s="110">
        <f t="shared" si="396"/>
        <v>0</v>
      </c>
      <c r="IZ37" s="110">
        <f t="shared" si="397"/>
        <v>0</v>
      </c>
      <c r="JA37" s="110">
        <f t="shared" si="398"/>
        <v>0</v>
      </c>
      <c r="JB37" s="110">
        <f t="shared" si="399"/>
        <v>0</v>
      </c>
      <c r="JC37" s="110">
        <f t="shared" si="400"/>
        <v>0</v>
      </c>
      <c r="JD37" s="110">
        <f t="shared" si="401"/>
        <v>0</v>
      </c>
      <c r="JE37" s="110">
        <f t="shared" si="402"/>
        <v>0</v>
      </c>
      <c r="JF37" s="110">
        <f t="shared" si="403"/>
        <v>0</v>
      </c>
      <c r="JG37" s="110">
        <f t="shared" si="404"/>
        <v>0</v>
      </c>
      <c r="JH37" s="110">
        <f t="shared" si="405"/>
        <v>0</v>
      </c>
      <c r="JI37" s="110">
        <f t="shared" si="406"/>
        <v>0</v>
      </c>
      <c r="JJ37" s="110">
        <f t="shared" si="407"/>
        <v>0</v>
      </c>
      <c r="JK37" s="110">
        <f t="shared" si="408"/>
        <v>0</v>
      </c>
      <c r="JL37" s="110">
        <f t="shared" si="409"/>
        <v>0</v>
      </c>
      <c r="JM37" s="110">
        <f t="shared" si="410"/>
        <v>0</v>
      </c>
      <c r="JN37" s="110">
        <f t="shared" si="411"/>
        <v>0</v>
      </c>
      <c r="JO37" s="110">
        <f t="shared" si="412"/>
        <v>0</v>
      </c>
      <c r="JP37" s="110">
        <f t="shared" si="413"/>
        <v>0</v>
      </c>
      <c r="JQ37" s="110">
        <f t="shared" si="414"/>
        <v>0</v>
      </c>
      <c r="JR37" s="110">
        <f t="shared" si="415"/>
        <v>0</v>
      </c>
      <c r="JS37" s="110">
        <f t="shared" si="416"/>
        <v>0</v>
      </c>
      <c r="JT37" s="110">
        <f t="shared" si="417"/>
        <v>0</v>
      </c>
      <c r="JV37" s="111">
        <f t="shared" si="418"/>
        <v>0</v>
      </c>
      <c r="JW37" s="110">
        <f t="shared" si="419"/>
        <v>0</v>
      </c>
      <c r="JX37" s="110">
        <f t="shared" si="420"/>
        <v>0</v>
      </c>
      <c r="JY37" s="110">
        <f t="shared" si="421"/>
        <v>0</v>
      </c>
      <c r="JZ37" s="110">
        <f t="shared" si="422"/>
        <v>0</v>
      </c>
      <c r="KA37" s="110">
        <f t="shared" si="423"/>
        <v>0</v>
      </c>
      <c r="KB37" s="110">
        <f t="shared" si="424"/>
        <v>0</v>
      </c>
      <c r="KC37" s="110">
        <f t="shared" si="425"/>
        <v>0</v>
      </c>
      <c r="KD37" s="110">
        <f t="shared" si="426"/>
        <v>0</v>
      </c>
      <c r="KE37" s="110">
        <f t="shared" si="427"/>
        <v>0</v>
      </c>
      <c r="KF37" s="110">
        <f t="shared" si="428"/>
        <v>0</v>
      </c>
      <c r="KG37" s="110">
        <f t="shared" si="429"/>
        <v>0</v>
      </c>
      <c r="KH37" s="110">
        <f t="shared" si="430"/>
        <v>0</v>
      </c>
      <c r="KI37" s="110">
        <f t="shared" si="431"/>
        <v>0</v>
      </c>
      <c r="KJ37" s="110">
        <f t="shared" si="432"/>
        <v>0</v>
      </c>
      <c r="KK37" s="110">
        <f t="shared" si="433"/>
        <v>0</v>
      </c>
      <c r="KL37" s="110">
        <f t="shared" si="434"/>
        <v>0</v>
      </c>
      <c r="KM37" s="110">
        <f t="shared" si="435"/>
        <v>0</v>
      </c>
      <c r="KN37" s="110">
        <f t="shared" si="436"/>
        <v>0</v>
      </c>
      <c r="KO37" s="110">
        <f t="shared" si="437"/>
        <v>0</v>
      </c>
      <c r="KP37" s="110">
        <f t="shared" si="438"/>
        <v>0</v>
      </c>
      <c r="KQ37" s="110">
        <f t="shared" si="439"/>
        <v>0</v>
      </c>
      <c r="KR37" s="110">
        <f t="shared" si="440"/>
        <v>0</v>
      </c>
      <c r="KS37" s="110">
        <f t="shared" si="441"/>
        <v>0</v>
      </c>
      <c r="KT37" s="110">
        <f t="shared" si="442"/>
        <v>0</v>
      </c>
      <c r="KV37" s="111">
        <f t="shared" si="443"/>
        <v>0</v>
      </c>
      <c r="KW37" s="110">
        <f t="shared" si="444"/>
        <v>0</v>
      </c>
      <c r="KX37" s="110">
        <f t="shared" si="445"/>
        <v>0</v>
      </c>
      <c r="KY37" s="110">
        <f t="shared" si="446"/>
        <v>0</v>
      </c>
      <c r="KZ37" s="110">
        <f t="shared" si="447"/>
        <v>0</v>
      </c>
      <c r="LA37" s="110">
        <f t="shared" si="448"/>
        <v>0</v>
      </c>
      <c r="LB37" s="110">
        <f t="shared" si="449"/>
        <v>0</v>
      </c>
      <c r="LC37" s="110">
        <f t="shared" si="450"/>
        <v>0</v>
      </c>
      <c r="LD37" s="110">
        <f t="shared" si="451"/>
        <v>0</v>
      </c>
      <c r="LE37" s="110">
        <f t="shared" si="452"/>
        <v>0</v>
      </c>
      <c r="LF37" s="110">
        <f t="shared" si="453"/>
        <v>0</v>
      </c>
      <c r="LG37" s="110">
        <f t="shared" si="454"/>
        <v>8.3700000000000045</v>
      </c>
      <c r="LH37" s="110">
        <f t="shared" si="455"/>
        <v>8.3700000000000045</v>
      </c>
      <c r="LI37" s="110">
        <f t="shared" si="456"/>
        <v>8.3700000000000045</v>
      </c>
      <c r="LJ37" s="110">
        <f t="shared" si="457"/>
        <v>8.3700000000000045</v>
      </c>
      <c r="LK37" s="110">
        <f t="shared" si="458"/>
        <v>8.3700000000000045</v>
      </c>
      <c r="LL37" s="110">
        <f t="shared" si="459"/>
        <v>8.3700000000000045</v>
      </c>
      <c r="LM37" s="110">
        <f t="shared" si="460"/>
        <v>8.3700000000000045</v>
      </c>
      <c r="LN37" s="110">
        <f t="shared" si="461"/>
        <v>8.3700000000000045</v>
      </c>
      <c r="LO37" s="110">
        <f t="shared" si="462"/>
        <v>8.3700000000000045</v>
      </c>
      <c r="LP37" s="110">
        <f t="shared" si="463"/>
        <v>8.3700000000000045</v>
      </c>
      <c r="LQ37" s="110">
        <f t="shared" si="464"/>
        <v>8.3700000000000045</v>
      </c>
      <c r="LR37" s="110">
        <f t="shared" si="465"/>
        <v>8.3700000000000045</v>
      </c>
      <c r="LS37" s="110">
        <f t="shared" si="466"/>
        <v>0</v>
      </c>
      <c r="LT37" s="110">
        <f t="shared" si="467"/>
        <v>0</v>
      </c>
      <c r="LV37" s="111"/>
      <c r="LW37" s="110">
        <f t="shared" si="468"/>
        <v>0</v>
      </c>
      <c r="LX37" s="110">
        <f t="shared" si="469"/>
        <v>0</v>
      </c>
      <c r="LY37" s="110">
        <f t="shared" si="470"/>
        <v>0</v>
      </c>
      <c r="LZ37" s="110">
        <f t="shared" si="471"/>
        <v>0</v>
      </c>
      <c r="MA37" s="110">
        <f t="shared" si="472"/>
        <v>0</v>
      </c>
      <c r="MB37" s="110">
        <f t="shared" si="473"/>
        <v>0</v>
      </c>
      <c r="MC37" s="110">
        <f t="shared" si="474"/>
        <v>0</v>
      </c>
      <c r="MD37" s="110">
        <f t="shared" si="475"/>
        <v>0</v>
      </c>
      <c r="ME37" s="110">
        <f t="shared" si="476"/>
        <v>0</v>
      </c>
      <c r="MF37" s="110">
        <f t="shared" si="477"/>
        <v>0</v>
      </c>
      <c r="MG37" s="110">
        <f t="shared" si="478"/>
        <v>0</v>
      </c>
      <c r="MH37" s="110">
        <f t="shared" si="479"/>
        <v>0</v>
      </c>
      <c r="MI37" s="110">
        <f t="shared" si="480"/>
        <v>0</v>
      </c>
      <c r="MJ37" s="110">
        <f t="shared" si="481"/>
        <v>0</v>
      </c>
      <c r="MK37" s="110">
        <f t="shared" si="482"/>
        <v>0</v>
      </c>
      <c r="ML37" s="110">
        <f t="shared" si="483"/>
        <v>0</v>
      </c>
      <c r="MM37" s="110">
        <f t="shared" si="484"/>
        <v>0</v>
      </c>
      <c r="MN37" s="110">
        <f t="shared" si="485"/>
        <v>0</v>
      </c>
      <c r="MO37" s="110">
        <f t="shared" si="486"/>
        <v>0</v>
      </c>
      <c r="MP37" s="110">
        <f t="shared" si="487"/>
        <v>0</v>
      </c>
      <c r="MQ37" s="110">
        <f t="shared" si="488"/>
        <v>0</v>
      </c>
      <c r="MR37" s="110">
        <f t="shared" si="489"/>
        <v>0</v>
      </c>
      <c r="MS37" s="110">
        <f t="shared" si="490"/>
        <v>0</v>
      </c>
      <c r="MT37" s="110">
        <f t="shared" si="491"/>
        <v>0</v>
      </c>
      <c r="MV37" s="114">
        <v>247.37</v>
      </c>
      <c r="MW37" s="114">
        <v>0</v>
      </c>
      <c r="MX37" s="114">
        <v>0</v>
      </c>
      <c r="MY37" s="114">
        <v>0</v>
      </c>
      <c r="MZ37" s="114">
        <v>0</v>
      </c>
      <c r="NB37" s="115">
        <v>43</v>
      </c>
      <c r="NC37" s="115" t="str">
        <v>N/A</v>
      </c>
      <c r="ND37" s="115" t="str">
        <v>N/A</v>
      </c>
      <c r="NE37" s="115" t="str">
        <v>N/A</v>
      </c>
      <c r="NF37" s="115" t="str">
        <v>N/A</v>
      </c>
    </row>
    <row r="38" spans="2:370" ht="13.5" x14ac:dyDescent="0.25">
      <c r="B38" s="8">
        <f t="shared" si="252"/>
        <v>35</v>
      </c>
      <c r="C38" s="7">
        <v>269</v>
      </c>
      <c r="D38" s="7">
        <v>269</v>
      </c>
      <c r="E38" s="7">
        <v>269</v>
      </c>
      <c r="F38" s="7">
        <v>269</v>
      </c>
      <c r="G38" s="7">
        <v>269</v>
      </c>
      <c r="H38" s="7">
        <v>269</v>
      </c>
      <c r="I38" s="7">
        <v>269</v>
      </c>
      <c r="J38" s="7">
        <v>261.73</v>
      </c>
      <c r="K38" s="7">
        <v>261.73</v>
      </c>
      <c r="L38" s="7">
        <v>269.10000000000002</v>
      </c>
      <c r="M38" s="7">
        <v>269.10000000000002</v>
      </c>
      <c r="N38" s="7">
        <v>269.10000000000002</v>
      </c>
      <c r="O38" s="7">
        <v>269.10000000000002</v>
      </c>
      <c r="P38" s="7">
        <v>269.10000000000002</v>
      </c>
      <c r="Q38" s="7">
        <v>269.10000000000002</v>
      </c>
      <c r="R38" s="7">
        <v>269.10000000000002</v>
      </c>
      <c r="S38" s="7">
        <v>269.10000000000002</v>
      </c>
      <c r="T38" s="7">
        <v>269.10000000000002</v>
      </c>
      <c r="U38" s="7">
        <v>269.10000000000002</v>
      </c>
      <c r="V38" s="7">
        <v>254.15</v>
      </c>
      <c r="W38" s="7">
        <v>254.15</v>
      </c>
      <c r="X38" s="7">
        <v>254.15</v>
      </c>
      <c r="Y38" s="7">
        <v>254.15</v>
      </c>
      <c r="Z38" s="7">
        <v>254.15</v>
      </c>
      <c r="AA38" s="7">
        <v>263.05</v>
      </c>
      <c r="AB38" s="7">
        <v>287.81</v>
      </c>
      <c r="AC38" s="7">
        <v>287.81</v>
      </c>
      <c r="AD38" s="7">
        <v>296.67</v>
      </c>
      <c r="AE38" s="7">
        <v>287.10000000000002</v>
      </c>
      <c r="AF38" s="7">
        <v>287.10000000000002</v>
      </c>
      <c r="AG38" s="7">
        <v>287.10000000000002</v>
      </c>
      <c r="AH38" s="7">
        <v>287.10000000000002</v>
      </c>
      <c r="AI38" s="7">
        <v>287.10000000000002</v>
      </c>
      <c r="AJ38" s="7">
        <v>287.10000000000002</v>
      </c>
      <c r="AK38" s="7">
        <v>287.10000000000002</v>
      </c>
      <c r="AL38" s="7">
        <v>287.10000000000002</v>
      </c>
      <c r="AM38" s="7">
        <v>287.10000000000002</v>
      </c>
      <c r="AN38" s="27">
        <v>35</v>
      </c>
      <c r="AP38" s="111"/>
      <c r="AQ38" s="110">
        <f t="shared" si="253"/>
        <v>0</v>
      </c>
      <c r="AR38" s="110">
        <f t="shared" si="254"/>
        <v>0</v>
      </c>
      <c r="AS38" s="110">
        <f t="shared" si="255"/>
        <v>0.10000000000002274</v>
      </c>
      <c r="AT38" s="110">
        <f t="shared" si="256"/>
        <v>0</v>
      </c>
      <c r="AU38" s="110">
        <f t="shared" si="257"/>
        <v>0</v>
      </c>
      <c r="AV38" s="110">
        <f t="shared" si="258"/>
        <v>0</v>
      </c>
      <c r="AW38" s="110">
        <f t="shared" si="259"/>
        <v>-14.950000000000017</v>
      </c>
      <c r="AX38" s="110">
        <f t="shared" si="260"/>
        <v>8.9000000000000057</v>
      </c>
      <c r="AY38" s="110">
        <f t="shared" si="261"/>
        <v>33.620000000000005</v>
      </c>
      <c r="AZ38" s="110">
        <f t="shared" si="262"/>
        <v>-9.5699999999999932</v>
      </c>
      <c r="BA38" s="110">
        <f t="shared" si="263"/>
        <v>0</v>
      </c>
      <c r="BB38" s="110">
        <f t="shared" si="264"/>
        <v>0</v>
      </c>
      <c r="BD38" s="109" cm="1">
        <f t="array" ref="BD38">+IFERROR(INDEX($C$3:$AM$3,MATCH(TRUE,INDEX($C38:$AM38&lt;&gt;0,0),0)),"N/A")</f>
        <v>44926</v>
      </c>
      <c r="BE38" s="112"/>
      <c r="BF38" s="1" t="str" cm="1">
        <f t="array" ref="BF38">+_xlfn.IFS(BT38&lt;&gt;0,BT$2,CH38&lt;&gt;0,CH$2,CV38&lt;&gt;0,CV$2,DJ38&lt;&gt;0,DJ$2,TRUE,"")</f>
        <v/>
      </c>
      <c r="BG38" s="1" t="str" cm="1">
        <f t="array" ref="BG38">+_xlfn.IFS(BU38&lt;&gt;0,BU$2,CI38&lt;&gt;0,CI$2,CW38&lt;&gt;0,CW$2,DK38&lt;&gt;0,DK$2,TRUE,"")</f>
        <v/>
      </c>
      <c r="BH38" s="1" t="str" cm="1">
        <f t="array" ref="BH38">+_xlfn.IFS(BV38&lt;&gt;0,BV$2,CJ38&lt;&gt;0,CJ$2,CX38&lt;&gt;0,CX$2,DL38&lt;&gt;0,DL$2,TRUE,"")</f>
        <v>Upsell</v>
      </c>
      <c r="BI38" s="1" t="str" cm="1">
        <f t="array" ref="BI38">+_xlfn.IFS(BW38&lt;&gt;0,BW$2,CK38&lt;&gt;0,CK$2,CY38&lt;&gt;0,CY$2,DM38&lt;&gt;0,DM$2,TRUE,"")</f>
        <v/>
      </c>
      <c r="BJ38" s="1" t="str" cm="1">
        <f t="array" ref="BJ38">+_xlfn.IFS(BX38&lt;&gt;0,BX$2,CL38&lt;&gt;0,CL$2,CZ38&lt;&gt;0,CZ$2,DN38&lt;&gt;0,DN$2,TRUE,"")</f>
        <v/>
      </c>
      <c r="BK38" s="1" t="str" cm="1">
        <f t="array" ref="BK38">+_xlfn.IFS(BY38&lt;&gt;0,BY$2,CM38&lt;&gt;0,CM$2,DA38&lt;&gt;0,DA$2,DO38&lt;&gt;0,DO$2,TRUE,"")</f>
        <v/>
      </c>
      <c r="BL38" s="1" t="str" cm="1">
        <f t="array" ref="BL38">+_xlfn.IFS(BZ38&lt;&gt;0,BZ$2,CN38&lt;&gt;0,CN$2,DB38&lt;&gt;0,DB$2,DP38&lt;&gt;0,DP$2,TRUE,"")</f>
        <v>Downsell</v>
      </c>
      <c r="BM38" s="1" t="str" cm="1">
        <f t="array" ref="BM38">+_xlfn.IFS(CA38&lt;&gt;0,CA$2,CO38&lt;&gt;0,CO$2,DC38&lt;&gt;0,DC$2,DQ38&lt;&gt;0,DQ$2,TRUE,"")</f>
        <v>Upsell</v>
      </c>
      <c r="BN38" s="1" t="str" cm="1">
        <f t="array" ref="BN38">+_xlfn.IFS(CB38&lt;&gt;0,CB$2,CP38&lt;&gt;0,CP$2,DD38&lt;&gt;0,DD$2,DR38&lt;&gt;0,DR$2,TRUE,"")</f>
        <v>Upsell</v>
      </c>
      <c r="BO38" s="1" t="str" cm="1">
        <f t="array" ref="BO38">+_xlfn.IFS(CC38&lt;&gt;0,CC$2,CQ38&lt;&gt;0,CQ$2,DE38&lt;&gt;0,DE$2,DS38&lt;&gt;0,DS$2,TRUE,"")</f>
        <v>Downsell</v>
      </c>
      <c r="BP38" s="1" t="str" cm="1">
        <f t="array" ref="BP38">+_xlfn.IFS(CD38&lt;&gt;0,CD$2,CR38&lt;&gt;0,CR$2,DF38&lt;&gt;0,DF$2,DT38&lt;&gt;0,DT$2,TRUE,"")</f>
        <v/>
      </c>
      <c r="BQ38" s="1" t="str" cm="1">
        <f t="array" ref="BQ38">+_xlfn.IFS(CE38&lt;&gt;0,CE$2,CS38&lt;&gt;0,CS$2,DG38&lt;&gt;0,DG$2,DU38&lt;&gt;0,DU$2,TRUE,"")</f>
        <v/>
      </c>
      <c r="BS38" s="111"/>
      <c r="BT38" s="110">
        <f t="shared" si="265"/>
        <v>0</v>
      </c>
      <c r="BU38" s="110">
        <f t="shared" si="266"/>
        <v>0</v>
      </c>
      <c r="BV38" s="110">
        <f t="shared" si="267"/>
        <v>0</v>
      </c>
      <c r="BW38" s="110">
        <f t="shared" si="268"/>
        <v>0</v>
      </c>
      <c r="BX38" s="110">
        <f t="shared" si="269"/>
        <v>0</v>
      </c>
      <c r="BY38" s="110">
        <f t="shared" si="270"/>
        <v>0</v>
      </c>
      <c r="BZ38" s="110">
        <f t="shared" si="271"/>
        <v>0</v>
      </c>
      <c r="CA38" s="110">
        <f t="shared" si="272"/>
        <v>0</v>
      </c>
      <c r="CB38" s="110">
        <f t="shared" si="273"/>
        <v>0</v>
      </c>
      <c r="CC38" s="110">
        <f t="shared" si="274"/>
        <v>0</v>
      </c>
      <c r="CD38" s="110">
        <f t="shared" si="275"/>
        <v>0</v>
      </c>
      <c r="CE38" s="110">
        <f t="shared" si="276"/>
        <v>0</v>
      </c>
      <c r="CG38" s="111"/>
      <c r="CH38" s="110">
        <f t="shared" si="277"/>
        <v>0</v>
      </c>
      <c r="CI38" s="110">
        <f t="shared" si="278"/>
        <v>0</v>
      </c>
      <c r="CJ38" s="110">
        <f t="shared" si="279"/>
        <v>0</v>
      </c>
      <c r="CK38" s="110">
        <f t="shared" si="280"/>
        <v>0</v>
      </c>
      <c r="CL38" s="110">
        <f t="shared" si="281"/>
        <v>0</v>
      </c>
      <c r="CM38" s="110">
        <f t="shared" si="282"/>
        <v>0</v>
      </c>
      <c r="CN38" s="110">
        <f t="shared" si="283"/>
        <v>0</v>
      </c>
      <c r="CO38" s="110">
        <f t="shared" si="284"/>
        <v>0</v>
      </c>
      <c r="CP38" s="110">
        <f t="shared" si="285"/>
        <v>0</v>
      </c>
      <c r="CQ38" s="110">
        <f t="shared" si="286"/>
        <v>0</v>
      </c>
      <c r="CR38" s="110">
        <f t="shared" si="287"/>
        <v>0</v>
      </c>
      <c r="CS38" s="110">
        <f t="shared" si="288"/>
        <v>0</v>
      </c>
      <c r="CU38" s="111"/>
      <c r="CV38" s="110">
        <f t="shared" si="289"/>
        <v>0</v>
      </c>
      <c r="CW38" s="110">
        <f t="shared" si="290"/>
        <v>0</v>
      </c>
      <c r="CX38" s="110">
        <f t="shared" si="291"/>
        <v>0</v>
      </c>
      <c r="CY38" s="110">
        <f t="shared" si="292"/>
        <v>0</v>
      </c>
      <c r="CZ38" s="110">
        <f t="shared" si="293"/>
        <v>0</v>
      </c>
      <c r="DA38" s="110">
        <f t="shared" si="294"/>
        <v>0</v>
      </c>
      <c r="DB38" s="110">
        <f t="shared" si="295"/>
        <v>-14.950000000000017</v>
      </c>
      <c r="DC38" s="110">
        <f t="shared" si="296"/>
        <v>0</v>
      </c>
      <c r="DD38" s="110">
        <f t="shared" si="297"/>
        <v>0</v>
      </c>
      <c r="DE38" s="110">
        <f t="shared" si="298"/>
        <v>-9.5699999999999932</v>
      </c>
      <c r="DF38" s="110">
        <f t="shared" si="299"/>
        <v>0</v>
      </c>
      <c r="DG38" s="110">
        <f t="shared" si="300"/>
        <v>0</v>
      </c>
      <c r="DI38" s="111"/>
      <c r="DJ38" s="110">
        <f t="shared" si="301"/>
        <v>0</v>
      </c>
      <c r="DK38" s="110">
        <f t="shared" si="302"/>
        <v>0</v>
      </c>
      <c r="DL38" s="110">
        <f t="shared" si="303"/>
        <v>0.10000000000002274</v>
      </c>
      <c r="DM38" s="110">
        <f t="shared" si="304"/>
        <v>0</v>
      </c>
      <c r="DN38" s="110">
        <f t="shared" si="305"/>
        <v>0</v>
      </c>
      <c r="DO38" s="110">
        <f t="shared" si="306"/>
        <v>0</v>
      </c>
      <c r="DP38" s="110">
        <f t="shared" si="307"/>
        <v>0</v>
      </c>
      <c r="DQ38" s="110">
        <f t="shared" si="308"/>
        <v>8.9000000000000057</v>
      </c>
      <c r="DR38" s="110">
        <f t="shared" si="309"/>
        <v>33.620000000000005</v>
      </c>
      <c r="DS38" s="110">
        <f t="shared" si="310"/>
        <v>0</v>
      </c>
      <c r="DT38" s="110">
        <f t="shared" si="311"/>
        <v>0</v>
      </c>
      <c r="DU38" s="110">
        <f t="shared" si="312"/>
        <v>0</v>
      </c>
      <c r="DW38" s="111"/>
      <c r="DX38" s="110">
        <f t="shared" si="313"/>
        <v>0</v>
      </c>
      <c r="DY38" s="110">
        <f t="shared" si="314"/>
        <v>0</v>
      </c>
      <c r="DZ38" s="110">
        <f t="shared" si="315"/>
        <v>0</v>
      </c>
      <c r="EA38" s="110">
        <f t="shared" si="316"/>
        <v>0</v>
      </c>
      <c r="EB38" s="110">
        <f t="shared" si="317"/>
        <v>0</v>
      </c>
      <c r="EC38" s="110">
        <f t="shared" si="318"/>
        <v>0</v>
      </c>
      <c r="ED38" s="110">
        <f t="shared" si="319"/>
        <v>0</v>
      </c>
      <c r="EE38" s="110">
        <f t="shared" si="320"/>
        <v>0</v>
      </c>
      <c r="EF38" s="110">
        <f t="shared" si="321"/>
        <v>0</v>
      </c>
      <c r="EG38" s="110">
        <f t="shared" si="322"/>
        <v>0</v>
      </c>
      <c r="EH38" s="110">
        <f t="shared" si="323"/>
        <v>0</v>
      </c>
      <c r="EI38" s="110">
        <f t="shared" si="324"/>
        <v>0</v>
      </c>
      <c r="EK38" s="111"/>
      <c r="EL38" s="110">
        <f t="shared" si="325"/>
        <v>0.10000000000002274</v>
      </c>
      <c r="EM38" s="110">
        <f t="shared" si="326"/>
        <v>-6.0500000000000114</v>
      </c>
      <c r="EN38" s="110">
        <f t="shared" si="327"/>
        <v>24.050000000000011</v>
      </c>
      <c r="EP38" s="109" cm="1">
        <f t="array" ref="EP38">+IFERROR(INDEX($C$3:$AM$3,MATCH(TRUE,INDEX($C38:$AM38&lt;&gt;0,0),0)),"N/A")</f>
        <v>44926</v>
      </c>
      <c r="EQ38" s="112"/>
      <c r="ER38" s="1" t="str" cm="1">
        <f t="array" ref="ER38">+_xlfn.IFS(EW38&lt;&gt;0,EW$2,FB38&lt;&gt;0,FB$2,FG38&lt;&gt;0,FG$2,FL38&lt;&gt;0,FL$2,TRUE,"")</f>
        <v>Upsell</v>
      </c>
      <c r="ES38" s="1" t="str" cm="1">
        <f t="array" ref="ES38">+_xlfn.IFS(EX38&lt;&gt;0,EX$2,FC38&lt;&gt;0,FC$2,FH38&lt;&gt;0,FH$2,FM38&lt;&gt;0,FM$2,TRUE,"")</f>
        <v>Downsell</v>
      </c>
      <c r="ET38" s="1" t="str" cm="1">
        <f t="array" ref="ET38">+_xlfn.IFS(EY38&lt;&gt;0,EY$2,FD38&lt;&gt;0,FD$2,FI38&lt;&gt;0,FI$2,FN38&lt;&gt;0,FN$2,TRUE,"")</f>
        <v>Upsell</v>
      </c>
      <c r="EV38" s="111"/>
      <c r="EW38" s="110">
        <f t="shared" si="328"/>
        <v>0</v>
      </c>
      <c r="EX38" s="110">
        <f t="shared" si="329"/>
        <v>0</v>
      </c>
      <c r="EY38" s="110">
        <f t="shared" si="330"/>
        <v>0</v>
      </c>
      <c r="FA38" s="111"/>
      <c r="FB38" s="110">
        <f t="shared" si="331"/>
        <v>0</v>
      </c>
      <c r="FC38" s="110">
        <f t="shared" si="332"/>
        <v>0</v>
      </c>
      <c r="FD38" s="110">
        <f t="shared" si="333"/>
        <v>0</v>
      </c>
      <c r="FF38" s="111"/>
      <c r="FG38" s="110">
        <f t="shared" si="334"/>
        <v>0</v>
      </c>
      <c r="FH38" s="110">
        <f t="shared" si="335"/>
        <v>-6.0500000000000114</v>
      </c>
      <c r="FI38" s="110">
        <f t="shared" si="336"/>
        <v>0</v>
      </c>
      <c r="FK38" s="111"/>
      <c r="FL38" s="110">
        <f t="shared" si="337"/>
        <v>0.10000000000002274</v>
      </c>
      <c r="FM38" s="110">
        <f t="shared" si="338"/>
        <v>0</v>
      </c>
      <c r="FN38" s="110">
        <f t="shared" si="339"/>
        <v>24.050000000000011</v>
      </c>
      <c r="FP38" s="111"/>
      <c r="FQ38" s="110">
        <f t="shared" si="340"/>
        <v>0</v>
      </c>
      <c r="FR38" s="110">
        <f t="shared" si="341"/>
        <v>0</v>
      </c>
      <c r="FS38" s="110">
        <f t="shared" si="342"/>
        <v>0</v>
      </c>
      <c r="FU38" s="111">
        <f t="shared" si="343"/>
        <v>0.10000000000002274</v>
      </c>
      <c r="FV38" s="110">
        <f t="shared" si="344"/>
        <v>0.10000000000002274</v>
      </c>
      <c r="FW38" s="110">
        <f t="shared" si="345"/>
        <v>0.10000000000002274</v>
      </c>
      <c r="FX38" s="110">
        <f t="shared" si="346"/>
        <v>0.10000000000002274</v>
      </c>
      <c r="FY38" s="110">
        <f t="shared" si="347"/>
        <v>0.10000000000002274</v>
      </c>
      <c r="FZ38" s="110">
        <f t="shared" si="348"/>
        <v>0.10000000000002274</v>
      </c>
      <c r="GA38" s="110">
        <f t="shared" si="349"/>
        <v>0.10000000000002274</v>
      </c>
      <c r="GB38" s="110">
        <f t="shared" si="350"/>
        <v>-7.5800000000000125</v>
      </c>
      <c r="GC38" s="110">
        <f t="shared" si="351"/>
        <v>-7.5800000000000125</v>
      </c>
      <c r="GD38" s="110">
        <f t="shared" si="352"/>
        <v>-14.950000000000017</v>
      </c>
      <c r="GE38" s="110">
        <f t="shared" si="353"/>
        <v>-14.950000000000017</v>
      </c>
      <c r="GF38" s="110">
        <f t="shared" si="354"/>
        <v>-14.950000000000017</v>
      </c>
      <c r="GG38" s="110">
        <f t="shared" si="355"/>
        <v>-6.0500000000000114</v>
      </c>
      <c r="GH38" s="110">
        <f t="shared" si="356"/>
        <v>18.70999999999998</v>
      </c>
      <c r="GI38" s="110">
        <f t="shared" si="357"/>
        <v>18.70999999999998</v>
      </c>
      <c r="GJ38" s="110">
        <f t="shared" si="358"/>
        <v>27.569999999999993</v>
      </c>
      <c r="GK38" s="110">
        <f t="shared" si="359"/>
        <v>18</v>
      </c>
      <c r="GL38" s="110">
        <f t="shared" si="360"/>
        <v>18</v>
      </c>
      <c r="GM38" s="110">
        <f t="shared" si="361"/>
        <v>18</v>
      </c>
      <c r="GN38" s="110">
        <f t="shared" si="362"/>
        <v>32.950000000000017</v>
      </c>
      <c r="GO38" s="110">
        <f t="shared" si="363"/>
        <v>32.950000000000017</v>
      </c>
      <c r="GP38" s="110">
        <f t="shared" si="364"/>
        <v>32.950000000000017</v>
      </c>
      <c r="GQ38" s="110">
        <f t="shared" si="365"/>
        <v>32.950000000000017</v>
      </c>
      <c r="GR38" s="110">
        <f t="shared" si="366"/>
        <v>32.950000000000017</v>
      </c>
      <c r="GS38" s="110">
        <f t="shared" si="367"/>
        <v>24.050000000000011</v>
      </c>
      <c r="GU38" s="109" cm="1">
        <f t="array" ref="GU38">+IFERROR(INDEX($C$3:$AM$3,MATCH(TRUE,INDEX($C38:$AM38&lt;&gt;0,0),0)),"N/A")</f>
        <v>44926</v>
      </c>
      <c r="GV38" s="112" t="str" cm="1">
        <f t="array" ref="GV38">+_xlfn.IFS(HV38&lt;&gt;0,HV$2,IV38&lt;&gt;0,IV$2,JV38&lt;&gt;0,JV$2,KV38&lt;&gt;0,KV$2,TRUE,"")</f>
        <v>Upsell</v>
      </c>
      <c r="GW38" s="1" t="str" cm="1">
        <f t="array" ref="GW38">+_xlfn.IFS(HW38&lt;&gt;0,HW$2,IW38&lt;&gt;0,IW$2,JW38&lt;&gt;0,JW$2,KW38&lt;&gt;0,KW$2,TRUE,"")</f>
        <v>Upsell</v>
      </c>
      <c r="GX38" s="1" t="str" cm="1">
        <f t="array" ref="GX38">+_xlfn.IFS(HX38&lt;&gt;0,HX$2,IX38&lt;&gt;0,IX$2,JX38&lt;&gt;0,JX$2,KX38&lt;&gt;0,KX$2,TRUE,"")</f>
        <v>Upsell</v>
      </c>
      <c r="GY38" s="1" t="str" cm="1">
        <f t="array" ref="GY38">+_xlfn.IFS(HY38&lt;&gt;0,HY$2,IY38&lt;&gt;0,IY$2,JY38&lt;&gt;0,JY$2,KY38&lt;&gt;0,KY$2,TRUE,"")</f>
        <v>Upsell</v>
      </c>
      <c r="GZ38" s="1" t="str" cm="1">
        <f t="array" ref="GZ38">+_xlfn.IFS(HZ38&lt;&gt;0,HZ$2,IZ38&lt;&gt;0,IZ$2,JZ38&lt;&gt;0,JZ$2,KZ38&lt;&gt;0,KZ$2,TRUE,"")</f>
        <v>Upsell</v>
      </c>
      <c r="HA38" s="1" t="str" cm="1">
        <f t="array" ref="HA38">+_xlfn.IFS(IA38&lt;&gt;0,IA$2,JA38&lt;&gt;0,JA$2,KA38&lt;&gt;0,KA$2,LA38&lt;&gt;0,LA$2,TRUE,"")</f>
        <v>Upsell</v>
      </c>
      <c r="HB38" s="1" t="str" cm="1">
        <f t="array" ref="HB38">+_xlfn.IFS(IB38&lt;&gt;0,IB$2,JB38&lt;&gt;0,JB$2,KB38&lt;&gt;0,KB$2,LB38&lt;&gt;0,LB$2,TRUE,"")</f>
        <v>Upsell</v>
      </c>
      <c r="HC38" s="1" t="str" cm="1">
        <f t="array" ref="HC38">+_xlfn.IFS(IC38&lt;&gt;0,IC$2,JC38&lt;&gt;0,JC$2,KC38&lt;&gt;0,KC$2,LC38&lt;&gt;0,LC$2,TRUE,"")</f>
        <v>Downsell</v>
      </c>
      <c r="HD38" s="1" t="str" cm="1">
        <f t="array" ref="HD38">+_xlfn.IFS(ID38&lt;&gt;0,ID$2,JD38&lt;&gt;0,JD$2,KD38&lt;&gt;0,KD$2,LD38&lt;&gt;0,LD$2,TRUE,"")</f>
        <v>Downsell</v>
      </c>
      <c r="HE38" s="1" t="str" cm="1">
        <f t="array" ref="HE38">+_xlfn.IFS(IE38&lt;&gt;0,IE$2,JE38&lt;&gt;0,JE$2,KE38&lt;&gt;0,KE$2,LE38&lt;&gt;0,LE$2,TRUE,"")</f>
        <v>Downsell</v>
      </c>
      <c r="HF38" s="1" t="str" cm="1">
        <f t="array" ref="HF38">+_xlfn.IFS(IF38&lt;&gt;0,IF$2,JF38&lt;&gt;0,JF$2,KF38&lt;&gt;0,KF$2,LF38&lt;&gt;0,LF$2,TRUE,"")</f>
        <v>Downsell</v>
      </c>
      <c r="HG38" s="1" t="str" cm="1">
        <f t="array" ref="HG38">+_xlfn.IFS(IG38&lt;&gt;0,IG$2,JG38&lt;&gt;0,JG$2,KG38&lt;&gt;0,KG$2,LG38&lt;&gt;0,LG$2,TRUE,"")</f>
        <v>Downsell</v>
      </c>
      <c r="HH38" s="1" t="str" cm="1">
        <f t="array" ref="HH38">+_xlfn.IFS(IH38&lt;&gt;0,IH$2,JH38&lt;&gt;0,JH$2,KH38&lt;&gt;0,KH$2,LH38&lt;&gt;0,LH$2,TRUE,"")</f>
        <v>Downsell</v>
      </c>
      <c r="HI38" s="1" t="str" cm="1">
        <f t="array" ref="HI38">+_xlfn.IFS(II38&lt;&gt;0,II$2,JI38&lt;&gt;0,JI$2,KI38&lt;&gt;0,KI$2,LI38&lt;&gt;0,LI$2,TRUE,"")</f>
        <v>Upsell</v>
      </c>
      <c r="HJ38" s="1" t="str" cm="1">
        <f t="array" ref="HJ38">+_xlfn.IFS(IJ38&lt;&gt;0,IJ$2,JJ38&lt;&gt;0,JJ$2,KJ38&lt;&gt;0,KJ$2,LJ38&lt;&gt;0,LJ$2,TRUE,"")</f>
        <v>Upsell</v>
      </c>
      <c r="HK38" s="1" t="str" cm="1">
        <f t="array" ref="HK38">+_xlfn.IFS(IK38&lt;&gt;0,IK$2,JK38&lt;&gt;0,JK$2,KK38&lt;&gt;0,KK$2,LK38&lt;&gt;0,LK$2,TRUE,"")</f>
        <v>Upsell</v>
      </c>
      <c r="HL38" s="1" t="str" cm="1">
        <f t="array" ref="HL38">+_xlfn.IFS(IL38&lt;&gt;0,IL$2,JL38&lt;&gt;0,JL$2,KL38&lt;&gt;0,KL$2,LL38&lt;&gt;0,LL$2,TRUE,"")</f>
        <v>Upsell</v>
      </c>
      <c r="HM38" s="1" t="str" cm="1">
        <f t="array" ref="HM38">+_xlfn.IFS(IM38&lt;&gt;0,IM$2,JM38&lt;&gt;0,JM$2,KM38&lt;&gt;0,KM$2,LM38&lt;&gt;0,LM$2,TRUE,"")</f>
        <v>Upsell</v>
      </c>
      <c r="HN38" s="1" t="str" cm="1">
        <f t="array" ref="HN38">+_xlfn.IFS(IN38&lt;&gt;0,IN$2,JN38&lt;&gt;0,JN$2,KN38&lt;&gt;0,KN$2,LN38&lt;&gt;0,LN$2,TRUE,"")</f>
        <v>Upsell</v>
      </c>
      <c r="HO38" s="1" t="str" cm="1">
        <f t="array" ref="HO38">+_xlfn.IFS(IO38&lt;&gt;0,IO$2,JO38&lt;&gt;0,JO$2,KO38&lt;&gt;0,KO$2,LO38&lt;&gt;0,LO$2,TRUE,"")</f>
        <v>Upsell</v>
      </c>
      <c r="HP38" s="1" t="str" cm="1">
        <f t="array" ref="HP38">+_xlfn.IFS(IP38&lt;&gt;0,IP$2,JP38&lt;&gt;0,JP$2,KP38&lt;&gt;0,KP$2,LP38&lt;&gt;0,LP$2,TRUE,"")</f>
        <v>Upsell</v>
      </c>
      <c r="HQ38" s="1" t="str" cm="1">
        <f t="array" ref="HQ38">+_xlfn.IFS(IQ38&lt;&gt;0,IQ$2,JQ38&lt;&gt;0,JQ$2,KQ38&lt;&gt;0,KQ$2,LQ38&lt;&gt;0,LQ$2,TRUE,"")</f>
        <v>Upsell</v>
      </c>
      <c r="HR38" s="1" t="str" cm="1">
        <f t="array" ref="HR38">+_xlfn.IFS(IR38&lt;&gt;0,IR$2,JR38&lt;&gt;0,JR$2,KR38&lt;&gt;0,KR$2,LR38&lt;&gt;0,LR$2,TRUE,"")</f>
        <v>Upsell</v>
      </c>
      <c r="HS38" s="1" t="str" cm="1">
        <f t="array" ref="HS38">+_xlfn.IFS(IS38&lt;&gt;0,IS$2,JS38&lt;&gt;0,JS$2,KS38&lt;&gt;0,KS$2,LS38&lt;&gt;0,LS$2,TRUE,"")</f>
        <v>Upsell</v>
      </c>
      <c r="HT38" s="1" t="str" cm="1">
        <f t="array" ref="HT38">+_xlfn.IFS(IT38&lt;&gt;0,IT$2,JT38&lt;&gt;0,JT$2,KT38&lt;&gt;0,KT$2,LT38&lt;&gt;0,LT$2,TRUE,"")</f>
        <v>Upsell</v>
      </c>
      <c r="HV38" s="111">
        <f t="shared" si="368"/>
        <v>0</v>
      </c>
      <c r="HW38" s="110">
        <f t="shared" si="369"/>
        <v>0</v>
      </c>
      <c r="HX38" s="110">
        <f t="shared" si="370"/>
        <v>0</v>
      </c>
      <c r="HY38" s="110">
        <f t="shared" si="371"/>
        <v>0</v>
      </c>
      <c r="HZ38" s="110">
        <f t="shared" si="372"/>
        <v>0</v>
      </c>
      <c r="IA38" s="110">
        <f t="shared" si="373"/>
        <v>0</v>
      </c>
      <c r="IB38" s="110">
        <f t="shared" si="374"/>
        <v>0</v>
      </c>
      <c r="IC38" s="110">
        <f t="shared" si="375"/>
        <v>0</v>
      </c>
      <c r="ID38" s="110">
        <f t="shared" si="376"/>
        <v>0</v>
      </c>
      <c r="IE38" s="110">
        <f t="shared" si="377"/>
        <v>0</v>
      </c>
      <c r="IF38" s="110">
        <f t="shared" si="378"/>
        <v>0</v>
      </c>
      <c r="IG38" s="110">
        <f t="shared" si="379"/>
        <v>0</v>
      </c>
      <c r="IH38" s="110">
        <f t="shared" si="380"/>
        <v>0</v>
      </c>
      <c r="II38" s="110">
        <f t="shared" si="381"/>
        <v>0</v>
      </c>
      <c r="IJ38" s="110">
        <f t="shared" si="382"/>
        <v>0</v>
      </c>
      <c r="IK38" s="110">
        <f t="shared" si="383"/>
        <v>0</v>
      </c>
      <c r="IL38" s="110">
        <f t="shared" si="384"/>
        <v>0</v>
      </c>
      <c r="IM38" s="110">
        <f t="shared" si="385"/>
        <v>0</v>
      </c>
      <c r="IN38" s="110">
        <f t="shared" si="386"/>
        <v>0</v>
      </c>
      <c r="IO38" s="110">
        <f t="shared" si="387"/>
        <v>0</v>
      </c>
      <c r="IP38" s="110">
        <f t="shared" si="388"/>
        <v>0</v>
      </c>
      <c r="IQ38" s="110">
        <f t="shared" si="389"/>
        <v>0</v>
      </c>
      <c r="IR38" s="110">
        <f t="shared" si="390"/>
        <v>0</v>
      </c>
      <c r="IS38" s="110">
        <f t="shared" si="391"/>
        <v>0</v>
      </c>
      <c r="IT38" s="110">
        <f t="shared" si="392"/>
        <v>0</v>
      </c>
      <c r="IV38" s="111">
        <f t="shared" si="393"/>
        <v>0</v>
      </c>
      <c r="IW38" s="110">
        <f t="shared" si="394"/>
        <v>0</v>
      </c>
      <c r="IX38" s="110">
        <f t="shared" si="395"/>
        <v>0</v>
      </c>
      <c r="IY38" s="110">
        <f t="shared" si="396"/>
        <v>0</v>
      </c>
      <c r="IZ38" s="110">
        <f t="shared" si="397"/>
        <v>0</v>
      </c>
      <c r="JA38" s="110">
        <f t="shared" si="398"/>
        <v>0</v>
      </c>
      <c r="JB38" s="110">
        <f t="shared" si="399"/>
        <v>0</v>
      </c>
      <c r="JC38" s="110">
        <f t="shared" si="400"/>
        <v>0</v>
      </c>
      <c r="JD38" s="110">
        <f t="shared" si="401"/>
        <v>0</v>
      </c>
      <c r="JE38" s="110">
        <f t="shared" si="402"/>
        <v>0</v>
      </c>
      <c r="JF38" s="110">
        <f t="shared" si="403"/>
        <v>0</v>
      </c>
      <c r="JG38" s="110">
        <f t="shared" si="404"/>
        <v>0</v>
      </c>
      <c r="JH38" s="110">
        <f t="shared" si="405"/>
        <v>0</v>
      </c>
      <c r="JI38" s="110">
        <f t="shared" si="406"/>
        <v>0</v>
      </c>
      <c r="JJ38" s="110">
        <f t="shared" si="407"/>
        <v>0</v>
      </c>
      <c r="JK38" s="110">
        <f t="shared" si="408"/>
        <v>0</v>
      </c>
      <c r="JL38" s="110">
        <f t="shared" si="409"/>
        <v>0</v>
      </c>
      <c r="JM38" s="110">
        <f t="shared" si="410"/>
        <v>0</v>
      </c>
      <c r="JN38" s="110">
        <f t="shared" si="411"/>
        <v>0</v>
      </c>
      <c r="JO38" s="110">
        <f t="shared" si="412"/>
        <v>0</v>
      </c>
      <c r="JP38" s="110">
        <f t="shared" si="413"/>
        <v>0</v>
      </c>
      <c r="JQ38" s="110">
        <f t="shared" si="414"/>
        <v>0</v>
      </c>
      <c r="JR38" s="110">
        <f t="shared" si="415"/>
        <v>0</v>
      </c>
      <c r="JS38" s="110">
        <f t="shared" si="416"/>
        <v>0</v>
      </c>
      <c r="JT38" s="110">
        <f t="shared" si="417"/>
        <v>0</v>
      </c>
      <c r="JV38" s="111">
        <f t="shared" si="418"/>
        <v>0</v>
      </c>
      <c r="JW38" s="110">
        <f t="shared" si="419"/>
        <v>0</v>
      </c>
      <c r="JX38" s="110">
        <f t="shared" si="420"/>
        <v>0</v>
      </c>
      <c r="JY38" s="110">
        <f t="shared" si="421"/>
        <v>0</v>
      </c>
      <c r="JZ38" s="110">
        <f t="shared" si="422"/>
        <v>0</v>
      </c>
      <c r="KA38" s="110">
        <f t="shared" si="423"/>
        <v>0</v>
      </c>
      <c r="KB38" s="110">
        <f t="shared" si="424"/>
        <v>0</v>
      </c>
      <c r="KC38" s="110">
        <f t="shared" si="425"/>
        <v>-7.5800000000000125</v>
      </c>
      <c r="KD38" s="110">
        <f t="shared" si="426"/>
        <v>-7.5800000000000125</v>
      </c>
      <c r="KE38" s="110">
        <f t="shared" si="427"/>
        <v>-14.950000000000017</v>
      </c>
      <c r="KF38" s="110">
        <f t="shared" si="428"/>
        <v>-14.950000000000017</v>
      </c>
      <c r="KG38" s="110">
        <f t="shared" si="429"/>
        <v>-14.950000000000017</v>
      </c>
      <c r="KH38" s="110">
        <f t="shared" si="430"/>
        <v>-6.0500000000000114</v>
      </c>
      <c r="KI38" s="110">
        <f t="shared" si="431"/>
        <v>0</v>
      </c>
      <c r="KJ38" s="110">
        <f t="shared" si="432"/>
        <v>0</v>
      </c>
      <c r="KK38" s="110">
        <f t="shared" si="433"/>
        <v>0</v>
      </c>
      <c r="KL38" s="110">
        <f t="shared" si="434"/>
        <v>0</v>
      </c>
      <c r="KM38" s="110">
        <f t="shared" si="435"/>
        <v>0</v>
      </c>
      <c r="KN38" s="110">
        <f t="shared" si="436"/>
        <v>0</v>
      </c>
      <c r="KO38" s="110">
        <f t="shared" si="437"/>
        <v>0</v>
      </c>
      <c r="KP38" s="110">
        <f t="shared" si="438"/>
        <v>0</v>
      </c>
      <c r="KQ38" s="110">
        <f t="shared" si="439"/>
        <v>0</v>
      </c>
      <c r="KR38" s="110">
        <f t="shared" si="440"/>
        <v>0</v>
      </c>
      <c r="KS38" s="110">
        <f t="shared" si="441"/>
        <v>0</v>
      </c>
      <c r="KT38" s="110">
        <f t="shared" si="442"/>
        <v>0</v>
      </c>
      <c r="KV38" s="111">
        <f t="shared" si="443"/>
        <v>0.10000000000002274</v>
      </c>
      <c r="KW38" s="110">
        <f t="shared" si="444"/>
        <v>0.10000000000002274</v>
      </c>
      <c r="KX38" s="110">
        <f t="shared" si="445"/>
        <v>0.10000000000002274</v>
      </c>
      <c r="KY38" s="110">
        <f t="shared" si="446"/>
        <v>0.10000000000002274</v>
      </c>
      <c r="KZ38" s="110">
        <f t="shared" si="447"/>
        <v>0.10000000000002274</v>
      </c>
      <c r="LA38" s="110">
        <f t="shared" si="448"/>
        <v>0.10000000000002274</v>
      </c>
      <c r="LB38" s="110">
        <f t="shared" si="449"/>
        <v>0.10000000000002274</v>
      </c>
      <c r="LC38" s="110">
        <f t="shared" si="450"/>
        <v>0</v>
      </c>
      <c r="LD38" s="110">
        <f t="shared" si="451"/>
        <v>0</v>
      </c>
      <c r="LE38" s="110">
        <f t="shared" si="452"/>
        <v>0</v>
      </c>
      <c r="LF38" s="110">
        <f t="shared" si="453"/>
        <v>0</v>
      </c>
      <c r="LG38" s="110">
        <f t="shared" si="454"/>
        <v>0</v>
      </c>
      <c r="LH38" s="110">
        <f t="shared" si="455"/>
        <v>0</v>
      </c>
      <c r="LI38" s="110">
        <f t="shared" si="456"/>
        <v>18.70999999999998</v>
      </c>
      <c r="LJ38" s="110">
        <f t="shared" si="457"/>
        <v>18.70999999999998</v>
      </c>
      <c r="LK38" s="110">
        <f t="shared" si="458"/>
        <v>27.569999999999993</v>
      </c>
      <c r="LL38" s="110">
        <f t="shared" si="459"/>
        <v>18</v>
      </c>
      <c r="LM38" s="110">
        <f t="shared" si="460"/>
        <v>18</v>
      </c>
      <c r="LN38" s="110">
        <f t="shared" si="461"/>
        <v>18</v>
      </c>
      <c r="LO38" s="110">
        <f t="shared" si="462"/>
        <v>32.950000000000017</v>
      </c>
      <c r="LP38" s="110">
        <f t="shared" si="463"/>
        <v>32.950000000000017</v>
      </c>
      <c r="LQ38" s="110">
        <f t="shared" si="464"/>
        <v>32.950000000000017</v>
      </c>
      <c r="LR38" s="110">
        <f t="shared" si="465"/>
        <v>32.950000000000017</v>
      </c>
      <c r="LS38" s="110">
        <f t="shared" si="466"/>
        <v>32.950000000000017</v>
      </c>
      <c r="LT38" s="110">
        <f t="shared" si="467"/>
        <v>24.050000000000011</v>
      </c>
      <c r="LV38" s="111"/>
      <c r="LW38" s="110">
        <f t="shared" si="468"/>
        <v>0</v>
      </c>
      <c r="LX38" s="110">
        <f t="shared" si="469"/>
        <v>0</v>
      </c>
      <c r="LY38" s="110">
        <f t="shared" si="470"/>
        <v>0</v>
      </c>
      <c r="LZ38" s="110">
        <f t="shared" si="471"/>
        <v>0</v>
      </c>
      <c r="MA38" s="110">
        <f t="shared" si="472"/>
        <v>0</v>
      </c>
      <c r="MB38" s="110">
        <f t="shared" si="473"/>
        <v>0</v>
      </c>
      <c r="MC38" s="110">
        <f t="shared" si="474"/>
        <v>0</v>
      </c>
      <c r="MD38" s="110">
        <f t="shared" si="475"/>
        <v>0</v>
      </c>
      <c r="ME38" s="110">
        <f t="shared" si="476"/>
        <v>0</v>
      </c>
      <c r="MF38" s="110">
        <f t="shared" si="477"/>
        <v>0</v>
      </c>
      <c r="MG38" s="110">
        <f t="shared" si="478"/>
        <v>0</v>
      </c>
      <c r="MH38" s="110">
        <f t="shared" si="479"/>
        <v>0</v>
      </c>
      <c r="MI38" s="110">
        <f t="shared" si="480"/>
        <v>0</v>
      </c>
      <c r="MJ38" s="110">
        <f t="shared" si="481"/>
        <v>0</v>
      </c>
      <c r="MK38" s="110">
        <f t="shared" si="482"/>
        <v>0</v>
      </c>
      <c r="ML38" s="110">
        <f t="shared" si="483"/>
        <v>0</v>
      </c>
      <c r="MM38" s="110">
        <f t="shared" si="484"/>
        <v>0</v>
      </c>
      <c r="MN38" s="110">
        <f t="shared" si="485"/>
        <v>0</v>
      </c>
      <c r="MO38" s="110">
        <f t="shared" si="486"/>
        <v>0</v>
      </c>
      <c r="MP38" s="110">
        <f t="shared" si="487"/>
        <v>0</v>
      </c>
      <c r="MQ38" s="110">
        <f t="shared" si="488"/>
        <v>0</v>
      </c>
      <c r="MR38" s="110">
        <f t="shared" si="489"/>
        <v>0</v>
      </c>
      <c r="MS38" s="110">
        <f t="shared" si="490"/>
        <v>0</v>
      </c>
      <c r="MT38" s="110">
        <f t="shared" si="491"/>
        <v>0</v>
      </c>
      <c r="MV38" s="114">
        <v>287.10000000000002</v>
      </c>
      <c r="MW38" s="114">
        <v>0</v>
      </c>
      <c r="MX38" s="114">
        <v>24.050000000000011</v>
      </c>
      <c r="MY38" s="114">
        <v>0</v>
      </c>
      <c r="MZ38" s="114">
        <v>0</v>
      </c>
      <c r="NB38" s="115">
        <v>36</v>
      </c>
      <c r="NC38" s="115" t="str">
        <v>N/A</v>
      </c>
      <c r="ND38" s="115">
        <v>2</v>
      </c>
      <c r="NE38" s="115" t="str">
        <v>N/A</v>
      </c>
      <c r="NF38" s="115" t="str">
        <v>N/A</v>
      </c>
    </row>
    <row r="39" spans="2:370" ht="13.5" x14ac:dyDescent="0.25">
      <c r="B39" s="8">
        <f t="shared" si="252"/>
        <v>36</v>
      </c>
      <c r="C39" s="7">
        <v>219</v>
      </c>
      <c r="D39" s="7">
        <v>219</v>
      </c>
      <c r="E39" s="7">
        <v>219</v>
      </c>
      <c r="F39" s="7">
        <v>219</v>
      </c>
      <c r="G39" s="7">
        <v>219</v>
      </c>
      <c r="H39" s="7">
        <v>219</v>
      </c>
      <c r="I39" s="7">
        <v>219</v>
      </c>
      <c r="J39" s="7">
        <v>219</v>
      </c>
      <c r="K39" s="7">
        <v>219</v>
      </c>
      <c r="L39" s="7">
        <v>0</v>
      </c>
      <c r="M39" s="7">
        <v>0</v>
      </c>
      <c r="N39" s="7">
        <v>0</v>
      </c>
      <c r="O39" s="7">
        <v>0</v>
      </c>
      <c r="P39" s="7">
        <v>0</v>
      </c>
      <c r="Q39" s="7">
        <v>0</v>
      </c>
      <c r="R39" s="7">
        <v>0</v>
      </c>
      <c r="S39" s="7">
        <v>0</v>
      </c>
      <c r="T39" s="7">
        <v>0</v>
      </c>
      <c r="U39" s="7">
        <v>0</v>
      </c>
      <c r="V39" s="7">
        <v>0</v>
      </c>
      <c r="W39" s="7">
        <v>0</v>
      </c>
      <c r="X39" s="7">
        <v>0</v>
      </c>
      <c r="Y39" s="7">
        <v>0</v>
      </c>
      <c r="Z39" s="7">
        <v>0</v>
      </c>
      <c r="AA39" s="7">
        <v>0</v>
      </c>
      <c r="AB39" s="7">
        <v>0</v>
      </c>
      <c r="AC39" s="7">
        <v>0</v>
      </c>
      <c r="AD39" s="7">
        <v>0</v>
      </c>
      <c r="AE39" s="7">
        <v>0</v>
      </c>
      <c r="AF39" s="7">
        <v>0</v>
      </c>
      <c r="AG39" s="7">
        <v>0</v>
      </c>
      <c r="AH39" s="7">
        <v>0</v>
      </c>
      <c r="AI39" s="7">
        <v>0</v>
      </c>
      <c r="AJ39" s="7">
        <v>0</v>
      </c>
      <c r="AK39" s="7">
        <v>0</v>
      </c>
      <c r="AL39" s="7">
        <v>0</v>
      </c>
      <c r="AM39" s="7">
        <v>0</v>
      </c>
      <c r="AN39" s="27">
        <v>36</v>
      </c>
      <c r="AP39" s="111"/>
      <c r="AQ39" s="110">
        <f t="shared" si="253"/>
        <v>0</v>
      </c>
      <c r="AR39" s="110">
        <f t="shared" si="254"/>
        <v>0</v>
      </c>
      <c r="AS39" s="110">
        <f t="shared" si="255"/>
        <v>-219</v>
      </c>
      <c r="AT39" s="110">
        <f t="shared" si="256"/>
        <v>0</v>
      </c>
      <c r="AU39" s="110">
        <f t="shared" si="257"/>
        <v>0</v>
      </c>
      <c r="AV39" s="110">
        <f t="shared" si="258"/>
        <v>0</v>
      </c>
      <c r="AW39" s="110">
        <f t="shared" si="259"/>
        <v>0</v>
      </c>
      <c r="AX39" s="110">
        <f t="shared" si="260"/>
        <v>0</v>
      </c>
      <c r="AY39" s="110">
        <f t="shared" si="261"/>
        <v>0</v>
      </c>
      <c r="AZ39" s="110">
        <f t="shared" si="262"/>
        <v>0</v>
      </c>
      <c r="BA39" s="110">
        <f t="shared" si="263"/>
        <v>0</v>
      </c>
      <c r="BB39" s="110">
        <f t="shared" si="264"/>
        <v>0</v>
      </c>
      <c r="BD39" s="109" cm="1">
        <f t="array" ref="BD39">+IFERROR(INDEX($C$3:$AM$3,MATCH(TRUE,INDEX($C39:$AM39&lt;&gt;0,0),0)),"N/A")</f>
        <v>44926</v>
      </c>
      <c r="BE39" s="112"/>
      <c r="BF39" s="1" t="str" cm="1">
        <f t="array" ref="BF39">+_xlfn.IFS(BT39&lt;&gt;0,BT$2,CH39&lt;&gt;0,CH$2,CV39&lt;&gt;0,CV$2,DJ39&lt;&gt;0,DJ$2,TRUE,"")</f>
        <v/>
      </c>
      <c r="BG39" s="1" t="str" cm="1">
        <f t="array" ref="BG39">+_xlfn.IFS(BU39&lt;&gt;0,BU$2,CI39&lt;&gt;0,CI$2,CW39&lt;&gt;0,CW$2,DK39&lt;&gt;0,DK$2,TRUE,"")</f>
        <v/>
      </c>
      <c r="BH39" s="1" t="str" cm="1">
        <f t="array" ref="BH39">+_xlfn.IFS(BV39&lt;&gt;0,BV$2,CJ39&lt;&gt;0,CJ$2,CX39&lt;&gt;0,CX$2,DL39&lt;&gt;0,DL$2,TRUE,"")</f>
        <v>Churn</v>
      </c>
      <c r="BI39" s="1" t="str" cm="1">
        <f t="array" ref="BI39">+_xlfn.IFS(BW39&lt;&gt;0,BW$2,CK39&lt;&gt;0,CK$2,CY39&lt;&gt;0,CY$2,DM39&lt;&gt;0,DM$2,TRUE,"")</f>
        <v/>
      </c>
      <c r="BJ39" s="1" t="str" cm="1">
        <f t="array" ref="BJ39">+_xlfn.IFS(BX39&lt;&gt;0,BX$2,CL39&lt;&gt;0,CL$2,CZ39&lt;&gt;0,CZ$2,DN39&lt;&gt;0,DN$2,TRUE,"")</f>
        <v/>
      </c>
      <c r="BK39" s="1" t="str" cm="1">
        <f t="array" ref="BK39">+_xlfn.IFS(BY39&lt;&gt;0,BY$2,CM39&lt;&gt;0,CM$2,DA39&lt;&gt;0,DA$2,DO39&lt;&gt;0,DO$2,TRUE,"")</f>
        <v/>
      </c>
      <c r="BL39" s="1" t="str" cm="1">
        <f t="array" ref="BL39">+_xlfn.IFS(BZ39&lt;&gt;0,BZ$2,CN39&lt;&gt;0,CN$2,DB39&lt;&gt;0,DB$2,DP39&lt;&gt;0,DP$2,TRUE,"")</f>
        <v/>
      </c>
      <c r="BM39" s="1" t="str" cm="1">
        <f t="array" ref="BM39">+_xlfn.IFS(CA39&lt;&gt;0,CA$2,CO39&lt;&gt;0,CO$2,DC39&lt;&gt;0,DC$2,DQ39&lt;&gt;0,DQ$2,TRUE,"")</f>
        <v/>
      </c>
      <c r="BN39" s="1" t="str" cm="1">
        <f t="array" ref="BN39">+_xlfn.IFS(CB39&lt;&gt;0,CB$2,CP39&lt;&gt;0,CP$2,DD39&lt;&gt;0,DD$2,DR39&lt;&gt;0,DR$2,TRUE,"")</f>
        <v/>
      </c>
      <c r="BO39" s="1" t="str" cm="1">
        <f t="array" ref="BO39">+_xlfn.IFS(CC39&lt;&gt;0,CC$2,CQ39&lt;&gt;0,CQ$2,DE39&lt;&gt;0,DE$2,DS39&lt;&gt;0,DS$2,TRUE,"")</f>
        <v/>
      </c>
      <c r="BP39" s="1" t="str" cm="1">
        <f t="array" ref="BP39">+_xlfn.IFS(CD39&lt;&gt;0,CD$2,CR39&lt;&gt;0,CR$2,DF39&lt;&gt;0,DF$2,DT39&lt;&gt;0,DT$2,TRUE,"")</f>
        <v/>
      </c>
      <c r="BQ39" s="1" t="str" cm="1">
        <f t="array" ref="BQ39">+_xlfn.IFS(CE39&lt;&gt;0,CE$2,CS39&lt;&gt;0,CS$2,DG39&lt;&gt;0,DG$2,DU39&lt;&gt;0,DU$2,TRUE,"")</f>
        <v/>
      </c>
      <c r="BS39" s="111"/>
      <c r="BT39" s="110">
        <f t="shared" si="265"/>
        <v>0</v>
      </c>
      <c r="BU39" s="110">
        <f t="shared" si="266"/>
        <v>0</v>
      </c>
      <c r="BV39" s="110">
        <f t="shared" si="267"/>
        <v>0</v>
      </c>
      <c r="BW39" s="110">
        <f t="shared" si="268"/>
        <v>0</v>
      </c>
      <c r="BX39" s="110">
        <f t="shared" si="269"/>
        <v>0</v>
      </c>
      <c r="BY39" s="110">
        <f t="shared" si="270"/>
        <v>0</v>
      </c>
      <c r="BZ39" s="110">
        <f t="shared" si="271"/>
        <v>0</v>
      </c>
      <c r="CA39" s="110">
        <f t="shared" si="272"/>
        <v>0</v>
      </c>
      <c r="CB39" s="110">
        <f t="shared" si="273"/>
        <v>0</v>
      </c>
      <c r="CC39" s="110">
        <f t="shared" si="274"/>
        <v>0</v>
      </c>
      <c r="CD39" s="110">
        <f t="shared" si="275"/>
        <v>0</v>
      </c>
      <c r="CE39" s="110">
        <f t="shared" si="276"/>
        <v>0</v>
      </c>
      <c r="CG39" s="111"/>
      <c r="CH39" s="110">
        <f t="shared" si="277"/>
        <v>0</v>
      </c>
      <c r="CI39" s="110">
        <f t="shared" si="278"/>
        <v>0</v>
      </c>
      <c r="CJ39" s="110">
        <f t="shared" si="279"/>
        <v>-219</v>
      </c>
      <c r="CK39" s="110">
        <f t="shared" si="280"/>
        <v>0</v>
      </c>
      <c r="CL39" s="110">
        <f t="shared" si="281"/>
        <v>0</v>
      </c>
      <c r="CM39" s="110">
        <f t="shared" si="282"/>
        <v>0</v>
      </c>
      <c r="CN39" s="110">
        <f t="shared" si="283"/>
        <v>0</v>
      </c>
      <c r="CO39" s="110">
        <f t="shared" si="284"/>
        <v>0</v>
      </c>
      <c r="CP39" s="110">
        <f t="shared" si="285"/>
        <v>0</v>
      </c>
      <c r="CQ39" s="110">
        <f t="shared" si="286"/>
        <v>0</v>
      </c>
      <c r="CR39" s="110">
        <f t="shared" si="287"/>
        <v>0</v>
      </c>
      <c r="CS39" s="110">
        <f t="shared" si="288"/>
        <v>0</v>
      </c>
      <c r="CU39" s="111"/>
      <c r="CV39" s="110">
        <f t="shared" si="289"/>
        <v>0</v>
      </c>
      <c r="CW39" s="110">
        <f t="shared" si="290"/>
        <v>0</v>
      </c>
      <c r="CX39" s="110">
        <f t="shared" si="291"/>
        <v>0</v>
      </c>
      <c r="CY39" s="110">
        <f t="shared" si="292"/>
        <v>0</v>
      </c>
      <c r="CZ39" s="110">
        <f t="shared" si="293"/>
        <v>0</v>
      </c>
      <c r="DA39" s="110">
        <f t="shared" si="294"/>
        <v>0</v>
      </c>
      <c r="DB39" s="110">
        <f t="shared" si="295"/>
        <v>0</v>
      </c>
      <c r="DC39" s="110">
        <f t="shared" si="296"/>
        <v>0</v>
      </c>
      <c r="DD39" s="110">
        <f t="shared" si="297"/>
        <v>0</v>
      </c>
      <c r="DE39" s="110">
        <f t="shared" si="298"/>
        <v>0</v>
      </c>
      <c r="DF39" s="110">
        <f t="shared" si="299"/>
        <v>0</v>
      </c>
      <c r="DG39" s="110">
        <f t="shared" si="300"/>
        <v>0</v>
      </c>
      <c r="DI39" s="111"/>
      <c r="DJ39" s="110">
        <f t="shared" si="301"/>
        <v>0</v>
      </c>
      <c r="DK39" s="110">
        <f t="shared" si="302"/>
        <v>0</v>
      </c>
      <c r="DL39" s="110">
        <f t="shared" si="303"/>
        <v>0</v>
      </c>
      <c r="DM39" s="110">
        <f t="shared" si="304"/>
        <v>0</v>
      </c>
      <c r="DN39" s="110">
        <f t="shared" si="305"/>
        <v>0</v>
      </c>
      <c r="DO39" s="110">
        <f t="shared" si="306"/>
        <v>0</v>
      </c>
      <c r="DP39" s="110">
        <f t="shared" si="307"/>
        <v>0</v>
      </c>
      <c r="DQ39" s="110">
        <f t="shared" si="308"/>
        <v>0</v>
      </c>
      <c r="DR39" s="110">
        <f t="shared" si="309"/>
        <v>0</v>
      </c>
      <c r="DS39" s="110">
        <f t="shared" si="310"/>
        <v>0</v>
      </c>
      <c r="DT39" s="110">
        <f t="shared" si="311"/>
        <v>0</v>
      </c>
      <c r="DU39" s="110">
        <f t="shared" si="312"/>
        <v>0</v>
      </c>
      <c r="DW39" s="111"/>
      <c r="DX39" s="110">
        <f t="shared" si="313"/>
        <v>0</v>
      </c>
      <c r="DY39" s="110">
        <f t="shared" si="314"/>
        <v>0</v>
      </c>
      <c r="DZ39" s="110">
        <f t="shared" si="315"/>
        <v>0</v>
      </c>
      <c r="EA39" s="110">
        <f t="shared" si="316"/>
        <v>0</v>
      </c>
      <c r="EB39" s="110">
        <f t="shared" si="317"/>
        <v>0</v>
      </c>
      <c r="EC39" s="110">
        <f t="shared" si="318"/>
        <v>0</v>
      </c>
      <c r="ED39" s="110">
        <f t="shared" si="319"/>
        <v>0</v>
      </c>
      <c r="EE39" s="110">
        <f t="shared" si="320"/>
        <v>0</v>
      </c>
      <c r="EF39" s="110">
        <f t="shared" si="321"/>
        <v>0</v>
      </c>
      <c r="EG39" s="110">
        <f t="shared" si="322"/>
        <v>0</v>
      </c>
      <c r="EH39" s="110">
        <f t="shared" si="323"/>
        <v>0</v>
      </c>
      <c r="EI39" s="110">
        <f t="shared" si="324"/>
        <v>0</v>
      </c>
      <c r="EK39" s="111"/>
      <c r="EL39" s="110">
        <f t="shared" si="325"/>
        <v>-219</v>
      </c>
      <c r="EM39" s="110">
        <f t="shared" si="326"/>
        <v>0</v>
      </c>
      <c r="EN39" s="110">
        <f t="shared" si="327"/>
        <v>0</v>
      </c>
      <c r="EP39" s="109" cm="1">
        <f t="array" ref="EP39">+IFERROR(INDEX($C$3:$AM$3,MATCH(TRUE,INDEX($C39:$AM39&lt;&gt;0,0),0)),"N/A")</f>
        <v>44926</v>
      </c>
      <c r="EQ39" s="112"/>
      <c r="ER39" s="1" t="str" cm="1">
        <f t="array" ref="ER39">+_xlfn.IFS(EW39&lt;&gt;0,EW$2,FB39&lt;&gt;0,FB$2,FG39&lt;&gt;0,FG$2,FL39&lt;&gt;0,FL$2,TRUE,"")</f>
        <v>Churn</v>
      </c>
      <c r="ES39" s="1" t="str" cm="1">
        <f t="array" ref="ES39">+_xlfn.IFS(EX39&lt;&gt;0,EX$2,FC39&lt;&gt;0,FC$2,FH39&lt;&gt;0,FH$2,FM39&lt;&gt;0,FM$2,TRUE,"")</f>
        <v/>
      </c>
      <c r="ET39" s="1" t="str" cm="1">
        <f t="array" ref="ET39">+_xlfn.IFS(EY39&lt;&gt;0,EY$2,FD39&lt;&gt;0,FD$2,FI39&lt;&gt;0,FI$2,FN39&lt;&gt;0,FN$2,TRUE,"")</f>
        <v/>
      </c>
      <c r="EV39" s="111"/>
      <c r="EW39" s="110">
        <f t="shared" si="328"/>
        <v>0</v>
      </c>
      <c r="EX39" s="110">
        <f t="shared" si="329"/>
        <v>0</v>
      </c>
      <c r="EY39" s="110">
        <f t="shared" si="330"/>
        <v>0</v>
      </c>
      <c r="FA39" s="111"/>
      <c r="FB39" s="110">
        <f t="shared" si="331"/>
        <v>-219</v>
      </c>
      <c r="FC39" s="110">
        <f t="shared" si="332"/>
        <v>0</v>
      </c>
      <c r="FD39" s="110">
        <f t="shared" si="333"/>
        <v>0</v>
      </c>
      <c r="FF39" s="111"/>
      <c r="FG39" s="110">
        <f t="shared" si="334"/>
        <v>0</v>
      </c>
      <c r="FH39" s="110">
        <f t="shared" si="335"/>
        <v>0</v>
      </c>
      <c r="FI39" s="110">
        <f t="shared" si="336"/>
        <v>0</v>
      </c>
      <c r="FK39" s="111"/>
      <c r="FL39" s="110">
        <f t="shared" si="337"/>
        <v>0</v>
      </c>
      <c r="FM39" s="110">
        <f t="shared" si="338"/>
        <v>0</v>
      </c>
      <c r="FN39" s="110">
        <f t="shared" si="339"/>
        <v>0</v>
      </c>
      <c r="FP39" s="111"/>
      <c r="FQ39" s="110">
        <f t="shared" si="340"/>
        <v>0</v>
      </c>
      <c r="FR39" s="110">
        <f t="shared" si="341"/>
        <v>0</v>
      </c>
      <c r="FS39" s="110">
        <f t="shared" si="342"/>
        <v>0</v>
      </c>
      <c r="FU39" s="111">
        <f t="shared" si="343"/>
        <v>-219</v>
      </c>
      <c r="FV39" s="110">
        <f t="shared" si="344"/>
        <v>-219</v>
      </c>
      <c r="FW39" s="110">
        <f t="shared" si="345"/>
        <v>-219</v>
      </c>
      <c r="FX39" s="110">
        <f t="shared" si="346"/>
        <v>-219</v>
      </c>
      <c r="FY39" s="110">
        <f t="shared" si="347"/>
        <v>-219</v>
      </c>
      <c r="FZ39" s="110">
        <f t="shared" si="348"/>
        <v>-219</v>
      </c>
      <c r="GA39" s="110">
        <f t="shared" si="349"/>
        <v>-219</v>
      </c>
      <c r="GB39" s="110">
        <f t="shared" si="350"/>
        <v>-219</v>
      </c>
      <c r="GC39" s="110">
        <f t="shared" si="351"/>
        <v>-219</v>
      </c>
      <c r="GD39" s="110">
        <f t="shared" si="352"/>
        <v>0</v>
      </c>
      <c r="GE39" s="110">
        <f t="shared" si="353"/>
        <v>0</v>
      </c>
      <c r="GF39" s="110">
        <f t="shared" si="354"/>
        <v>0</v>
      </c>
      <c r="GG39" s="110">
        <f t="shared" si="355"/>
        <v>0</v>
      </c>
      <c r="GH39" s="110">
        <f t="shared" si="356"/>
        <v>0</v>
      </c>
      <c r="GI39" s="110">
        <f t="shared" si="357"/>
        <v>0</v>
      </c>
      <c r="GJ39" s="110">
        <f t="shared" si="358"/>
        <v>0</v>
      </c>
      <c r="GK39" s="110">
        <f t="shared" si="359"/>
        <v>0</v>
      </c>
      <c r="GL39" s="110">
        <f t="shared" si="360"/>
        <v>0</v>
      </c>
      <c r="GM39" s="110">
        <f t="shared" si="361"/>
        <v>0</v>
      </c>
      <c r="GN39" s="110">
        <f t="shared" si="362"/>
        <v>0</v>
      </c>
      <c r="GO39" s="110">
        <f t="shared" si="363"/>
        <v>0</v>
      </c>
      <c r="GP39" s="110">
        <f t="shared" si="364"/>
        <v>0</v>
      </c>
      <c r="GQ39" s="110">
        <f t="shared" si="365"/>
        <v>0</v>
      </c>
      <c r="GR39" s="110">
        <f t="shared" si="366"/>
        <v>0</v>
      </c>
      <c r="GS39" s="110">
        <f t="shared" si="367"/>
        <v>0</v>
      </c>
      <c r="GU39" s="109" cm="1">
        <f t="array" ref="GU39">+IFERROR(INDEX($C$3:$AM$3,MATCH(TRUE,INDEX($C39:$AM39&lt;&gt;0,0),0)),"N/A")</f>
        <v>44926</v>
      </c>
      <c r="GV39" s="112" t="str" cm="1">
        <f t="array" ref="GV39">+_xlfn.IFS(HV39&lt;&gt;0,HV$2,IV39&lt;&gt;0,IV$2,JV39&lt;&gt;0,JV$2,KV39&lt;&gt;0,KV$2,TRUE,"")</f>
        <v>Churn</v>
      </c>
      <c r="GW39" s="1" t="str" cm="1">
        <f t="array" ref="GW39">+_xlfn.IFS(HW39&lt;&gt;0,HW$2,IW39&lt;&gt;0,IW$2,JW39&lt;&gt;0,JW$2,KW39&lt;&gt;0,KW$2,TRUE,"")</f>
        <v>Churn</v>
      </c>
      <c r="GX39" s="1" t="str" cm="1">
        <f t="array" ref="GX39">+_xlfn.IFS(HX39&lt;&gt;0,HX$2,IX39&lt;&gt;0,IX$2,JX39&lt;&gt;0,JX$2,KX39&lt;&gt;0,KX$2,TRUE,"")</f>
        <v>Churn</v>
      </c>
      <c r="GY39" s="1" t="str" cm="1">
        <f t="array" ref="GY39">+_xlfn.IFS(HY39&lt;&gt;0,HY$2,IY39&lt;&gt;0,IY$2,JY39&lt;&gt;0,JY$2,KY39&lt;&gt;0,KY$2,TRUE,"")</f>
        <v>Churn</v>
      </c>
      <c r="GZ39" s="1" t="str" cm="1">
        <f t="array" ref="GZ39">+_xlfn.IFS(HZ39&lt;&gt;0,HZ$2,IZ39&lt;&gt;0,IZ$2,JZ39&lt;&gt;0,JZ$2,KZ39&lt;&gt;0,KZ$2,TRUE,"")</f>
        <v>Churn</v>
      </c>
      <c r="HA39" s="1" t="str" cm="1">
        <f t="array" ref="HA39">+_xlfn.IFS(IA39&lt;&gt;0,IA$2,JA39&lt;&gt;0,JA$2,KA39&lt;&gt;0,KA$2,LA39&lt;&gt;0,LA$2,TRUE,"")</f>
        <v>Churn</v>
      </c>
      <c r="HB39" s="1" t="str" cm="1">
        <f t="array" ref="HB39">+_xlfn.IFS(IB39&lt;&gt;0,IB$2,JB39&lt;&gt;0,JB$2,KB39&lt;&gt;0,KB$2,LB39&lt;&gt;0,LB$2,TRUE,"")</f>
        <v>Churn</v>
      </c>
      <c r="HC39" s="1" t="str" cm="1">
        <f t="array" ref="HC39">+_xlfn.IFS(IC39&lt;&gt;0,IC$2,JC39&lt;&gt;0,JC$2,KC39&lt;&gt;0,KC$2,LC39&lt;&gt;0,LC$2,TRUE,"")</f>
        <v>Churn</v>
      </c>
      <c r="HD39" s="1" t="str" cm="1">
        <f t="array" ref="HD39">+_xlfn.IFS(ID39&lt;&gt;0,ID$2,JD39&lt;&gt;0,JD$2,KD39&lt;&gt;0,KD$2,LD39&lt;&gt;0,LD$2,TRUE,"")</f>
        <v>Churn</v>
      </c>
      <c r="HE39" s="1" t="str" cm="1">
        <f t="array" ref="HE39">+_xlfn.IFS(IE39&lt;&gt;0,IE$2,JE39&lt;&gt;0,JE$2,KE39&lt;&gt;0,KE$2,LE39&lt;&gt;0,LE$2,TRUE,"")</f>
        <v/>
      </c>
      <c r="HF39" s="1" t="str" cm="1">
        <f t="array" ref="HF39">+_xlfn.IFS(IF39&lt;&gt;0,IF$2,JF39&lt;&gt;0,JF$2,KF39&lt;&gt;0,KF$2,LF39&lt;&gt;0,LF$2,TRUE,"")</f>
        <v/>
      </c>
      <c r="HG39" s="1" t="str" cm="1">
        <f t="array" ref="HG39">+_xlfn.IFS(IG39&lt;&gt;0,IG$2,JG39&lt;&gt;0,JG$2,KG39&lt;&gt;0,KG$2,LG39&lt;&gt;0,LG$2,TRUE,"")</f>
        <v/>
      </c>
      <c r="HH39" s="1" t="str" cm="1">
        <f t="array" ref="HH39">+_xlfn.IFS(IH39&lt;&gt;0,IH$2,JH39&lt;&gt;0,JH$2,KH39&lt;&gt;0,KH$2,LH39&lt;&gt;0,LH$2,TRUE,"")</f>
        <v/>
      </c>
      <c r="HI39" s="1" t="str" cm="1">
        <f t="array" ref="HI39">+_xlfn.IFS(II39&lt;&gt;0,II$2,JI39&lt;&gt;0,JI$2,KI39&lt;&gt;0,KI$2,LI39&lt;&gt;0,LI$2,TRUE,"")</f>
        <v/>
      </c>
      <c r="HJ39" s="1" t="str" cm="1">
        <f t="array" ref="HJ39">+_xlfn.IFS(IJ39&lt;&gt;0,IJ$2,JJ39&lt;&gt;0,JJ$2,KJ39&lt;&gt;0,KJ$2,LJ39&lt;&gt;0,LJ$2,TRUE,"")</f>
        <v/>
      </c>
      <c r="HK39" s="1" t="str" cm="1">
        <f t="array" ref="HK39">+_xlfn.IFS(IK39&lt;&gt;0,IK$2,JK39&lt;&gt;0,JK$2,KK39&lt;&gt;0,KK$2,LK39&lt;&gt;0,LK$2,TRUE,"")</f>
        <v/>
      </c>
      <c r="HL39" s="1" t="str" cm="1">
        <f t="array" ref="HL39">+_xlfn.IFS(IL39&lt;&gt;0,IL$2,JL39&lt;&gt;0,JL$2,KL39&lt;&gt;0,KL$2,LL39&lt;&gt;0,LL$2,TRUE,"")</f>
        <v/>
      </c>
      <c r="HM39" s="1" t="str" cm="1">
        <f t="array" ref="HM39">+_xlfn.IFS(IM39&lt;&gt;0,IM$2,JM39&lt;&gt;0,JM$2,KM39&lt;&gt;0,KM$2,LM39&lt;&gt;0,LM$2,TRUE,"")</f>
        <v/>
      </c>
      <c r="HN39" s="1" t="str" cm="1">
        <f t="array" ref="HN39">+_xlfn.IFS(IN39&lt;&gt;0,IN$2,JN39&lt;&gt;0,JN$2,KN39&lt;&gt;0,KN$2,LN39&lt;&gt;0,LN$2,TRUE,"")</f>
        <v/>
      </c>
      <c r="HO39" s="1" t="str" cm="1">
        <f t="array" ref="HO39">+_xlfn.IFS(IO39&lt;&gt;0,IO$2,JO39&lt;&gt;0,JO$2,KO39&lt;&gt;0,KO$2,LO39&lt;&gt;0,LO$2,TRUE,"")</f>
        <v/>
      </c>
      <c r="HP39" s="1" t="str" cm="1">
        <f t="array" ref="HP39">+_xlfn.IFS(IP39&lt;&gt;0,IP$2,JP39&lt;&gt;0,JP$2,KP39&lt;&gt;0,KP$2,LP39&lt;&gt;0,LP$2,TRUE,"")</f>
        <v/>
      </c>
      <c r="HQ39" s="1" t="str" cm="1">
        <f t="array" ref="HQ39">+_xlfn.IFS(IQ39&lt;&gt;0,IQ$2,JQ39&lt;&gt;0,JQ$2,KQ39&lt;&gt;0,KQ$2,LQ39&lt;&gt;0,LQ$2,TRUE,"")</f>
        <v/>
      </c>
      <c r="HR39" s="1" t="str" cm="1">
        <f t="array" ref="HR39">+_xlfn.IFS(IR39&lt;&gt;0,IR$2,JR39&lt;&gt;0,JR$2,KR39&lt;&gt;0,KR$2,LR39&lt;&gt;0,LR$2,TRUE,"")</f>
        <v/>
      </c>
      <c r="HS39" s="1" t="str" cm="1">
        <f t="array" ref="HS39">+_xlfn.IFS(IS39&lt;&gt;0,IS$2,JS39&lt;&gt;0,JS$2,KS39&lt;&gt;0,KS$2,LS39&lt;&gt;0,LS$2,TRUE,"")</f>
        <v/>
      </c>
      <c r="HT39" s="1" t="str" cm="1">
        <f t="array" ref="HT39">+_xlfn.IFS(IT39&lt;&gt;0,IT$2,JT39&lt;&gt;0,JT$2,KT39&lt;&gt;0,KT$2,LT39&lt;&gt;0,LT$2,TRUE,"")</f>
        <v/>
      </c>
      <c r="HV39" s="111">
        <f t="shared" si="368"/>
        <v>0</v>
      </c>
      <c r="HW39" s="110">
        <f t="shared" si="369"/>
        <v>0</v>
      </c>
      <c r="HX39" s="110">
        <f t="shared" si="370"/>
        <v>0</v>
      </c>
      <c r="HY39" s="110">
        <f t="shared" si="371"/>
        <v>0</v>
      </c>
      <c r="HZ39" s="110">
        <f t="shared" si="372"/>
        <v>0</v>
      </c>
      <c r="IA39" s="110">
        <f t="shared" si="373"/>
        <v>0</v>
      </c>
      <c r="IB39" s="110">
        <f t="shared" si="374"/>
        <v>0</v>
      </c>
      <c r="IC39" s="110">
        <f t="shared" si="375"/>
        <v>0</v>
      </c>
      <c r="ID39" s="110">
        <f t="shared" si="376"/>
        <v>0</v>
      </c>
      <c r="IE39" s="110">
        <f t="shared" si="377"/>
        <v>0</v>
      </c>
      <c r="IF39" s="110">
        <f t="shared" si="378"/>
        <v>0</v>
      </c>
      <c r="IG39" s="110">
        <f t="shared" si="379"/>
        <v>0</v>
      </c>
      <c r="IH39" s="110">
        <f t="shared" si="380"/>
        <v>0</v>
      </c>
      <c r="II39" s="110">
        <f t="shared" si="381"/>
        <v>0</v>
      </c>
      <c r="IJ39" s="110">
        <f t="shared" si="382"/>
        <v>0</v>
      </c>
      <c r="IK39" s="110">
        <f t="shared" si="383"/>
        <v>0</v>
      </c>
      <c r="IL39" s="110">
        <f t="shared" si="384"/>
        <v>0</v>
      </c>
      <c r="IM39" s="110">
        <f t="shared" si="385"/>
        <v>0</v>
      </c>
      <c r="IN39" s="110">
        <f t="shared" si="386"/>
        <v>0</v>
      </c>
      <c r="IO39" s="110">
        <f t="shared" si="387"/>
        <v>0</v>
      </c>
      <c r="IP39" s="110">
        <f t="shared" si="388"/>
        <v>0</v>
      </c>
      <c r="IQ39" s="110">
        <f t="shared" si="389"/>
        <v>0</v>
      </c>
      <c r="IR39" s="110">
        <f t="shared" si="390"/>
        <v>0</v>
      </c>
      <c r="IS39" s="110">
        <f t="shared" si="391"/>
        <v>0</v>
      </c>
      <c r="IT39" s="110">
        <f t="shared" si="392"/>
        <v>0</v>
      </c>
      <c r="IV39" s="111">
        <f t="shared" si="393"/>
        <v>-219</v>
      </c>
      <c r="IW39" s="110">
        <f t="shared" si="394"/>
        <v>-219</v>
      </c>
      <c r="IX39" s="110">
        <f t="shared" si="395"/>
        <v>-219</v>
      </c>
      <c r="IY39" s="110">
        <f t="shared" si="396"/>
        <v>-219</v>
      </c>
      <c r="IZ39" s="110">
        <f t="shared" si="397"/>
        <v>-219</v>
      </c>
      <c r="JA39" s="110">
        <f t="shared" si="398"/>
        <v>-219</v>
      </c>
      <c r="JB39" s="110">
        <f t="shared" si="399"/>
        <v>-219</v>
      </c>
      <c r="JC39" s="110">
        <f t="shared" si="400"/>
        <v>-219</v>
      </c>
      <c r="JD39" s="110">
        <f t="shared" si="401"/>
        <v>-219</v>
      </c>
      <c r="JE39" s="110">
        <f t="shared" si="402"/>
        <v>0</v>
      </c>
      <c r="JF39" s="110">
        <f t="shared" si="403"/>
        <v>0</v>
      </c>
      <c r="JG39" s="110">
        <f t="shared" si="404"/>
        <v>0</v>
      </c>
      <c r="JH39" s="110">
        <f t="shared" si="405"/>
        <v>0</v>
      </c>
      <c r="JI39" s="110">
        <f t="shared" si="406"/>
        <v>0</v>
      </c>
      <c r="JJ39" s="110">
        <f t="shared" si="407"/>
        <v>0</v>
      </c>
      <c r="JK39" s="110">
        <f t="shared" si="408"/>
        <v>0</v>
      </c>
      <c r="JL39" s="110">
        <f t="shared" si="409"/>
        <v>0</v>
      </c>
      <c r="JM39" s="110">
        <f t="shared" si="410"/>
        <v>0</v>
      </c>
      <c r="JN39" s="110">
        <f t="shared" si="411"/>
        <v>0</v>
      </c>
      <c r="JO39" s="110">
        <f t="shared" si="412"/>
        <v>0</v>
      </c>
      <c r="JP39" s="110">
        <f t="shared" si="413"/>
        <v>0</v>
      </c>
      <c r="JQ39" s="110">
        <f t="shared" si="414"/>
        <v>0</v>
      </c>
      <c r="JR39" s="110">
        <f t="shared" si="415"/>
        <v>0</v>
      </c>
      <c r="JS39" s="110">
        <f t="shared" si="416"/>
        <v>0</v>
      </c>
      <c r="JT39" s="110">
        <f t="shared" si="417"/>
        <v>0</v>
      </c>
      <c r="JV39" s="111">
        <f t="shared" si="418"/>
        <v>0</v>
      </c>
      <c r="JW39" s="110">
        <f t="shared" si="419"/>
        <v>0</v>
      </c>
      <c r="JX39" s="110">
        <f t="shared" si="420"/>
        <v>0</v>
      </c>
      <c r="JY39" s="110">
        <f t="shared" si="421"/>
        <v>0</v>
      </c>
      <c r="JZ39" s="110">
        <f t="shared" si="422"/>
        <v>0</v>
      </c>
      <c r="KA39" s="110">
        <f t="shared" si="423"/>
        <v>0</v>
      </c>
      <c r="KB39" s="110">
        <f t="shared" si="424"/>
        <v>0</v>
      </c>
      <c r="KC39" s="110">
        <f t="shared" si="425"/>
        <v>0</v>
      </c>
      <c r="KD39" s="110">
        <f t="shared" si="426"/>
        <v>0</v>
      </c>
      <c r="KE39" s="110">
        <f t="shared" si="427"/>
        <v>0</v>
      </c>
      <c r="KF39" s="110">
        <f t="shared" si="428"/>
        <v>0</v>
      </c>
      <c r="KG39" s="110">
        <f t="shared" si="429"/>
        <v>0</v>
      </c>
      <c r="KH39" s="110">
        <f t="shared" si="430"/>
        <v>0</v>
      </c>
      <c r="KI39" s="110">
        <f t="shared" si="431"/>
        <v>0</v>
      </c>
      <c r="KJ39" s="110">
        <f t="shared" si="432"/>
        <v>0</v>
      </c>
      <c r="KK39" s="110">
        <f t="shared" si="433"/>
        <v>0</v>
      </c>
      <c r="KL39" s="110">
        <f t="shared" si="434"/>
        <v>0</v>
      </c>
      <c r="KM39" s="110">
        <f t="shared" si="435"/>
        <v>0</v>
      </c>
      <c r="KN39" s="110">
        <f t="shared" si="436"/>
        <v>0</v>
      </c>
      <c r="KO39" s="110">
        <f t="shared" si="437"/>
        <v>0</v>
      </c>
      <c r="KP39" s="110">
        <f t="shared" si="438"/>
        <v>0</v>
      </c>
      <c r="KQ39" s="110">
        <f t="shared" si="439"/>
        <v>0</v>
      </c>
      <c r="KR39" s="110">
        <f t="shared" si="440"/>
        <v>0</v>
      </c>
      <c r="KS39" s="110">
        <f t="shared" si="441"/>
        <v>0</v>
      </c>
      <c r="KT39" s="110">
        <f t="shared" si="442"/>
        <v>0</v>
      </c>
      <c r="KV39" s="111">
        <f t="shared" si="443"/>
        <v>0</v>
      </c>
      <c r="KW39" s="110">
        <f t="shared" si="444"/>
        <v>0</v>
      </c>
      <c r="KX39" s="110">
        <f t="shared" si="445"/>
        <v>0</v>
      </c>
      <c r="KY39" s="110">
        <f t="shared" si="446"/>
        <v>0</v>
      </c>
      <c r="KZ39" s="110">
        <f t="shared" si="447"/>
        <v>0</v>
      </c>
      <c r="LA39" s="110">
        <f t="shared" si="448"/>
        <v>0</v>
      </c>
      <c r="LB39" s="110">
        <f t="shared" si="449"/>
        <v>0</v>
      </c>
      <c r="LC39" s="110">
        <f t="shared" si="450"/>
        <v>0</v>
      </c>
      <c r="LD39" s="110">
        <f t="shared" si="451"/>
        <v>0</v>
      </c>
      <c r="LE39" s="110">
        <f t="shared" si="452"/>
        <v>0</v>
      </c>
      <c r="LF39" s="110">
        <f t="shared" si="453"/>
        <v>0</v>
      </c>
      <c r="LG39" s="110">
        <f t="shared" si="454"/>
        <v>0</v>
      </c>
      <c r="LH39" s="110">
        <f t="shared" si="455"/>
        <v>0</v>
      </c>
      <c r="LI39" s="110">
        <f t="shared" si="456"/>
        <v>0</v>
      </c>
      <c r="LJ39" s="110">
        <f t="shared" si="457"/>
        <v>0</v>
      </c>
      <c r="LK39" s="110">
        <f t="shared" si="458"/>
        <v>0</v>
      </c>
      <c r="LL39" s="110">
        <f t="shared" si="459"/>
        <v>0</v>
      </c>
      <c r="LM39" s="110">
        <f t="shared" si="460"/>
        <v>0</v>
      </c>
      <c r="LN39" s="110">
        <f t="shared" si="461"/>
        <v>0</v>
      </c>
      <c r="LO39" s="110">
        <f t="shared" si="462"/>
        <v>0</v>
      </c>
      <c r="LP39" s="110">
        <f t="shared" si="463"/>
        <v>0</v>
      </c>
      <c r="LQ39" s="110">
        <f t="shared" si="464"/>
        <v>0</v>
      </c>
      <c r="LR39" s="110">
        <f t="shared" si="465"/>
        <v>0</v>
      </c>
      <c r="LS39" s="110">
        <f t="shared" si="466"/>
        <v>0</v>
      </c>
      <c r="LT39" s="110">
        <f t="shared" si="467"/>
        <v>0</v>
      </c>
      <c r="LV39" s="111"/>
      <c r="LW39" s="110">
        <f t="shared" si="468"/>
        <v>0</v>
      </c>
      <c r="LX39" s="110">
        <f t="shared" si="469"/>
        <v>0</v>
      </c>
      <c r="LY39" s="110">
        <f t="shared" si="470"/>
        <v>0</v>
      </c>
      <c r="LZ39" s="110">
        <f t="shared" si="471"/>
        <v>0</v>
      </c>
      <c r="MA39" s="110">
        <f t="shared" si="472"/>
        <v>0</v>
      </c>
      <c r="MB39" s="110">
        <f t="shared" si="473"/>
        <v>0</v>
      </c>
      <c r="MC39" s="110">
        <f t="shared" si="474"/>
        <v>0</v>
      </c>
      <c r="MD39" s="110">
        <f t="shared" si="475"/>
        <v>0</v>
      </c>
      <c r="ME39" s="110">
        <f t="shared" si="476"/>
        <v>0</v>
      </c>
      <c r="MF39" s="110">
        <f t="shared" si="477"/>
        <v>0</v>
      </c>
      <c r="MG39" s="110">
        <f t="shared" si="478"/>
        <v>0</v>
      </c>
      <c r="MH39" s="110">
        <f t="shared" si="479"/>
        <v>0</v>
      </c>
      <c r="MI39" s="110">
        <f t="shared" si="480"/>
        <v>0</v>
      </c>
      <c r="MJ39" s="110">
        <f t="shared" si="481"/>
        <v>0</v>
      </c>
      <c r="MK39" s="110">
        <f t="shared" si="482"/>
        <v>0</v>
      </c>
      <c r="ML39" s="110">
        <f t="shared" si="483"/>
        <v>0</v>
      </c>
      <c r="MM39" s="110">
        <f t="shared" si="484"/>
        <v>0</v>
      </c>
      <c r="MN39" s="110">
        <f t="shared" si="485"/>
        <v>0</v>
      </c>
      <c r="MO39" s="110">
        <f t="shared" si="486"/>
        <v>0</v>
      </c>
      <c r="MP39" s="110">
        <f t="shared" si="487"/>
        <v>0</v>
      </c>
      <c r="MQ39" s="110">
        <f t="shared" si="488"/>
        <v>0</v>
      </c>
      <c r="MR39" s="110">
        <f t="shared" si="489"/>
        <v>0</v>
      </c>
      <c r="MS39" s="110">
        <f t="shared" si="490"/>
        <v>0</v>
      </c>
      <c r="MT39" s="110">
        <f t="shared" si="491"/>
        <v>0</v>
      </c>
      <c r="MV39" s="114">
        <v>0</v>
      </c>
      <c r="MW39" s="114">
        <v>0</v>
      </c>
      <c r="MX39" s="114">
        <v>0</v>
      </c>
      <c r="MY39" s="114">
        <v>0</v>
      </c>
      <c r="MZ39" s="114">
        <v>0</v>
      </c>
      <c r="NB39" s="115" t="str">
        <v>N/A</v>
      </c>
      <c r="NC39" s="115" t="str">
        <v>N/A</v>
      </c>
      <c r="ND39" s="115" t="str">
        <v>N/A</v>
      </c>
      <c r="NE39" s="115" t="str">
        <v>N/A</v>
      </c>
      <c r="NF39" s="115" t="str">
        <v>N/A</v>
      </c>
    </row>
    <row r="40" spans="2:370" ht="13.5" x14ac:dyDescent="0.25">
      <c r="B40" s="8">
        <f t="shared" si="252"/>
        <v>37</v>
      </c>
      <c r="C40" s="7">
        <v>245.65</v>
      </c>
      <c r="D40" s="7">
        <v>245.65</v>
      </c>
      <c r="E40" s="7">
        <v>245.65</v>
      </c>
      <c r="F40" s="7">
        <v>245.65</v>
      </c>
      <c r="G40" s="7">
        <v>245.65</v>
      </c>
      <c r="H40" s="7">
        <v>245.65</v>
      </c>
      <c r="I40" s="7">
        <v>245.65</v>
      </c>
      <c r="J40" s="7">
        <v>245.65</v>
      </c>
      <c r="K40" s="7">
        <v>245.65</v>
      </c>
      <c r="L40" s="7">
        <v>245.65</v>
      </c>
      <c r="M40" s="7">
        <v>245.65</v>
      </c>
      <c r="N40" s="7">
        <v>245.65</v>
      </c>
      <c r="O40" s="7">
        <v>245.65</v>
      </c>
      <c r="P40" s="7">
        <v>245.65</v>
      </c>
      <c r="Q40" s="7">
        <v>245.65</v>
      </c>
      <c r="R40" s="7">
        <v>245.65</v>
      </c>
      <c r="S40" s="7">
        <v>245.65</v>
      </c>
      <c r="T40" s="7">
        <v>245.65</v>
      </c>
      <c r="U40" s="7">
        <v>245.65</v>
      </c>
      <c r="V40" s="7">
        <v>245.65</v>
      </c>
      <c r="W40" s="7">
        <v>245.65</v>
      </c>
      <c r="X40" s="7">
        <v>245.65</v>
      </c>
      <c r="Y40" s="7">
        <v>245.65</v>
      </c>
      <c r="Z40" s="7">
        <v>245.65</v>
      </c>
      <c r="AA40" s="7">
        <v>254.25</v>
      </c>
      <c r="AB40" s="7">
        <v>254.25</v>
      </c>
      <c r="AC40" s="7">
        <v>254.25</v>
      </c>
      <c r="AD40" s="7">
        <v>106.25</v>
      </c>
      <c r="AE40" s="7">
        <v>106.25</v>
      </c>
      <c r="AF40" s="7">
        <v>106.25</v>
      </c>
      <c r="AG40" s="7">
        <v>106.25</v>
      </c>
      <c r="AH40" s="7">
        <v>106.25</v>
      </c>
      <c r="AI40" s="7">
        <v>106.25</v>
      </c>
      <c r="AJ40" s="7">
        <v>106.25</v>
      </c>
      <c r="AK40" s="7">
        <v>106.25</v>
      </c>
      <c r="AL40" s="7">
        <v>106.25</v>
      </c>
      <c r="AM40" s="7">
        <v>106.25</v>
      </c>
      <c r="AN40" s="27">
        <v>37</v>
      </c>
      <c r="AP40" s="111"/>
      <c r="AQ40" s="110">
        <f t="shared" si="253"/>
        <v>0</v>
      </c>
      <c r="AR40" s="110">
        <f t="shared" si="254"/>
        <v>0</v>
      </c>
      <c r="AS40" s="110">
        <f t="shared" si="255"/>
        <v>0</v>
      </c>
      <c r="AT40" s="110">
        <f t="shared" si="256"/>
        <v>0</v>
      </c>
      <c r="AU40" s="110">
        <f t="shared" si="257"/>
        <v>0</v>
      </c>
      <c r="AV40" s="110">
        <f t="shared" si="258"/>
        <v>0</v>
      </c>
      <c r="AW40" s="110">
        <f t="shared" si="259"/>
        <v>0</v>
      </c>
      <c r="AX40" s="110">
        <f t="shared" si="260"/>
        <v>8.5999999999999943</v>
      </c>
      <c r="AY40" s="110">
        <f t="shared" si="261"/>
        <v>-148</v>
      </c>
      <c r="AZ40" s="110">
        <f t="shared" si="262"/>
        <v>0</v>
      </c>
      <c r="BA40" s="110">
        <f t="shared" si="263"/>
        <v>0</v>
      </c>
      <c r="BB40" s="110">
        <f t="shared" si="264"/>
        <v>0</v>
      </c>
      <c r="BD40" s="109" cm="1">
        <f t="array" ref="BD40">+IFERROR(INDEX($C$3:$AM$3,MATCH(TRUE,INDEX($C40:$AM40&lt;&gt;0,0),0)),"N/A")</f>
        <v>44926</v>
      </c>
      <c r="BE40" s="112"/>
      <c r="BF40" s="1" t="str" cm="1">
        <f t="array" ref="BF40">+_xlfn.IFS(BT40&lt;&gt;0,BT$2,CH40&lt;&gt;0,CH$2,CV40&lt;&gt;0,CV$2,DJ40&lt;&gt;0,DJ$2,TRUE,"")</f>
        <v/>
      </c>
      <c r="BG40" s="1" t="str" cm="1">
        <f t="array" ref="BG40">+_xlfn.IFS(BU40&lt;&gt;0,BU$2,CI40&lt;&gt;0,CI$2,CW40&lt;&gt;0,CW$2,DK40&lt;&gt;0,DK$2,TRUE,"")</f>
        <v/>
      </c>
      <c r="BH40" s="1" t="str" cm="1">
        <f t="array" ref="BH40">+_xlfn.IFS(BV40&lt;&gt;0,BV$2,CJ40&lt;&gt;0,CJ$2,CX40&lt;&gt;0,CX$2,DL40&lt;&gt;0,DL$2,TRUE,"")</f>
        <v/>
      </c>
      <c r="BI40" s="1" t="str" cm="1">
        <f t="array" ref="BI40">+_xlfn.IFS(BW40&lt;&gt;0,BW$2,CK40&lt;&gt;0,CK$2,CY40&lt;&gt;0,CY$2,DM40&lt;&gt;0,DM$2,TRUE,"")</f>
        <v/>
      </c>
      <c r="BJ40" s="1" t="str" cm="1">
        <f t="array" ref="BJ40">+_xlfn.IFS(BX40&lt;&gt;0,BX$2,CL40&lt;&gt;0,CL$2,CZ40&lt;&gt;0,CZ$2,DN40&lt;&gt;0,DN$2,TRUE,"")</f>
        <v/>
      </c>
      <c r="BK40" s="1" t="str" cm="1">
        <f t="array" ref="BK40">+_xlfn.IFS(BY40&lt;&gt;0,BY$2,CM40&lt;&gt;0,CM$2,DA40&lt;&gt;0,DA$2,DO40&lt;&gt;0,DO$2,TRUE,"")</f>
        <v/>
      </c>
      <c r="BL40" s="1" t="str" cm="1">
        <f t="array" ref="BL40">+_xlfn.IFS(BZ40&lt;&gt;0,BZ$2,CN40&lt;&gt;0,CN$2,DB40&lt;&gt;0,DB$2,DP40&lt;&gt;0,DP$2,TRUE,"")</f>
        <v/>
      </c>
      <c r="BM40" s="1" t="str" cm="1">
        <f t="array" ref="BM40">+_xlfn.IFS(CA40&lt;&gt;0,CA$2,CO40&lt;&gt;0,CO$2,DC40&lt;&gt;0,DC$2,DQ40&lt;&gt;0,DQ$2,TRUE,"")</f>
        <v>Upsell</v>
      </c>
      <c r="BN40" s="1" t="str" cm="1">
        <f t="array" ref="BN40">+_xlfn.IFS(CB40&lt;&gt;0,CB$2,CP40&lt;&gt;0,CP$2,DD40&lt;&gt;0,DD$2,DR40&lt;&gt;0,DR$2,TRUE,"")</f>
        <v>Downsell</v>
      </c>
      <c r="BO40" s="1" t="str" cm="1">
        <f t="array" ref="BO40">+_xlfn.IFS(CC40&lt;&gt;0,CC$2,CQ40&lt;&gt;0,CQ$2,DE40&lt;&gt;0,DE$2,DS40&lt;&gt;0,DS$2,TRUE,"")</f>
        <v/>
      </c>
      <c r="BP40" s="1" t="str" cm="1">
        <f t="array" ref="BP40">+_xlfn.IFS(CD40&lt;&gt;0,CD$2,CR40&lt;&gt;0,CR$2,DF40&lt;&gt;0,DF$2,DT40&lt;&gt;0,DT$2,TRUE,"")</f>
        <v/>
      </c>
      <c r="BQ40" s="1" t="str" cm="1">
        <f t="array" ref="BQ40">+_xlfn.IFS(CE40&lt;&gt;0,CE$2,CS40&lt;&gt;0,CS$2,DG40&lt;&gt;0,DG$2,DU40&lt;&gt;0,DU$2,TRUE,"")</f>
        <v/>
      </c>
      <c r="BS40" s="111"/>
      <c r="BT40" s="110">
        <f t="shared" si="265"/>
        <v>0</v>
      </c>
      <c r="BU40" s="110">
        <f t="shared" si="266"/>
        <v>0</v>
      </c>
      <c r="BV40" s="110">
        <f t="shared" si="267"/>
        <v>0</v>
      </c>
      <c r="BW40" s="110">
        <f t="shared" si="268"/>
        <v>0</v>
      </c>
      <c r="BX40" s="110">
        <f t="shared" si="269"/>
        <v>0</v>
      </c>
      <c r="BY40" s="110">
        <f t="shared" si="270"/>
        <v>0</v>
      </c>
      <c r="BZ40" s="110">
        <f t="shared" si="271"/>
        <v>0</v>
      </c>
      <c r="CA40" s="110">
        <f t="shared" si="272"/>
        <v>0</v>
      </c>
      <c r="CB40" s="110">
        <f t="shared" si="273"/>
        <v>0</v>
      </c>
      <c r="CC40" s="110">
        <f t="shared" si="274"/>
        <v>0</v>
      </c>
      <c r="CD40" s="110">
        <f t="shared" si="275"/>
        <v>0</v>
      </c>
      <c r="CE40" s="110">
        <f t="shared" si="276"/>
        <v>0</v>
      </c>
      <c r="CG40" s="111"/>
      <c r="CH40" s="110">
        <f t="shared" si="277"/>
        <v>0</v>
      </c>
      <c r="CI40" s="110">
        <f t="shared" si="278"/>
        <v>0</v>
      </c>
      <c r="CJ40" s="110">
        <f t="shared" si="279"/>
        <v>0</v>
      </c>
      <c r="CK40" s="110">
        <f t="shared" si="280"/>
        <v>0</v>
      </c>
      <c r="CL40" s="110">
        <f t="shared" si="281"/>
        <v>0</v>
      </c>
      <c r="CM40" s="110">
        <f t="shared" si="282"/>
        <v>0</v>
      </c>
      <c r="CN40" s="110">
        <f t="shared" si="283"/>
        <v>0</v>
      </c>
      <c r="CO40" s="110">
        <f t="shared" si="284"/>
        <v>0</v>
      </c>
      <c r="CP40" s="110">
        <f t="shared" si="285"/>
        <v>0</v>
      </c>
      <c r="CQ40" s="110">
        <f t="shared" si="286"/>
        <v>0</v>
      </c>
      <c r="CR40" s="110">
        <f t="shared" si="287"/>
        <v>0</v>
      </c>
      <c r="CS40" s="110">
        <f t="shared" si="288"/>
        <v>0</v>
      </c>
      <c r="CU40" s="111"/>
      <c r="CV40" s="110">
        <f t="shared" si="289"/>
        <v>0</v>
      </c>
      <c r="CW40" s="110">
        <f t="shared" si="290"/>
        <v>0</v>
      </c>
      <c r="CX40" s="110">
        <f t="shared" si="291"/>
        <v>0</v>
      </c>
      <c r="CY40" s="110">
        <f t="shared" si="292"/>
        <v>0</v>
      </c>
      <c r="CZ40" s="110">
        <f t="shared" si="293"/>
        <v>0</v>
      </c>
      <c r="DA40" s="110">
        <f t="shared" si="294"/>
        <v>0</v>
      </c>
      <c r="DB40" s="110">
        <f t="shared" si="295"/>
        <v>0</v>
      </c>
      <c r="DC40" s="110">
        <f t="shared" si="296"/>
        <v>0</v>
      </c>
      <c r="DD40" s="110">
        <f t="shared" si="297"/>
        <v>-148</v>
      </c>
      <c r="DE40" s="110">
        <f t="shared" si="298"/>
        <v>0</v>
      </c>
      <c r="DF40" s="110">
        <f t="shared" si="299"/>
        <v>0</v>
      </c>
      <c r="DG40" s="110">
        <f t="shared" si="300"/>
        <v>0</v>
      </c>
      <c r="DI40" s="111"/>
      <c r="DJ40" s="110">
        <f t="shared" si="301"/>
        <v>0</v>
      </c>
      <c r="DK40" s="110">
        <f t="shared" si="302"/>
        <v>0</v>
      </c>
      <c r="DL40" s="110">
        <f t="shared" si="303"/>
        <v>0</v>
      </c>
      <c r="DM40" s="110">
        <f t="shared" si="304"/>
        <v>0</v>
      </c>
      <c r="DN40" s="110">
        <f t="shared" si="305"/>
        <v>0</v>
      </c>
      <c r="DO40" s="110">
        <f t="shared" si="306"/>
        <v>0</v>
      </c>
      <c r="DP40" s="110">
        <f t="shared" si="307"/>
        <v>0</v>
      </c>
      <c r="DQ40" s="110">
        <f t="shared" si="308"/>
        <v>8.5999999999999943</v>
      </c>
      <c r="DR40" s="110">
        <f t="shared" si="309"/>
        <v>0</v>
      </c>
      <c r="DS40" s="110">
        <f t="shared" si="310"/>
        <v>0</v>
      </c>
      <c r="DT40" s="110">
        <f t="shared" si="311"/>
        <v>0</v>
      </c>
      <c r="DU40" s="110">
        <f t="shared" si="312"/>
        <v>0</v>
      </c>
      <c r="DW40" s="111"/>
      <c r="DX40" s="110">
        <f t="shared" si="313"/>
        <v>0</v>
      </c>
      <c r="DY40" s="110">
        <f t="shared" si="314"/>
        <v>0</v>
      </c>
      <c r="DZ40" s="110">
        <f t="shared" si="315"/>
        <v>0</v>
      </c>
      <c r="EA40" s="110">
        <f t="shared" si="316"/>
        <v>0</v>
      </c>
      <c r="EB40" s="110">
        <f t="shared" si="317"/>
        <v>0</v>
      </c>
      <c r="EC40" s="110">
        <f t="shared" si="318"/>
        <v>0</v>
      </c>
      <c r="ED40" s="110">
        <f t="shared" si="319"/>
        <v>0</v>
      </c>
      <c r="EE40" s="110">
        <f t="shared" si="320"/>
        <v>0</v>
      </c>
      <c r="EF40" s="110">
        <f t="shared" si="321"/>
        <v>0</v>
      </c>
      <c r="EG40" s="110">
        <f t="shared" si="322"/>
        <v>0</v>
      </c>
      <c r="EH40" s="110">
        <f t="shared" si="323"/>
        <v>0</v>
      </c>
      <c r="EI40" s="110">
        <f t="shared" si="324"/>
        <v>0</v>
      </c>
      <c r="EK40" s="111"/>
      <c r="EL40" s="110">
        <f t="shared" si="325"/>
        <v>0</v>
      </c>
      <c r="EM40" s="110">
        <f t="shared" si="326"/>
        <v>8.5999999999999943</v>
      </c>
      <c r="EN40" s="110">
        <f t="shared" si="327"/>
        <v>-148</v>
      </c>
      <c r="EP40" s="109" cm="1">
        <f t="array" ref="EP40">+IFERROR(INDEX($C$3:$AM$3,MATCH(TRUE,INDEX($C40:$AM40&lt;&gt;0,0),0)),"N/A")</f>
        <v>44926</v>
      </c>
      <c r="EQ40" s="112"/>
      <c r="ER40" s="1" t="str" cm="1">
        <f t="array" ref="ER40">+_xlfn.IFS(EW40&lt;&gt;0,EW$2,FB40&lt;&gt;0,FB$2,FG40&lt;&gt;0,FG$2,FL40&lt;&gt;0,FL$2,TRUE,"")</f>
        <v/>
      </c>
      <c r="ES40" s="1" t="str" cm="1">
        <f t="array" ref="ES40">+_xlfn.IFS(EX40&lt;&gt;0,EX$2,FC40&lt;&gt;0,FC$2,FH40&lt;&gt;0,FH$2,FM40&lt;&gt;0,FM$2,TRUE,"")</f>
        <v>Upsell</v>
      </c>
      <c r="ET40" s="1" t="str" cm="1">
        <f t="array" ref="ET40">+_xlfn.IFS(EY40&lt;&gt;0,EY$2,FD40&lt;&gt;0,FD$2,FI40&lt;&gt;0,FI$2,FN40&lt;&gt;0,FN$2,TRUE,"")</f>
        <v>Downsell</v>
      </c>
      <c r="EV40" s="111"/>
      <c r="EW40" s="110">
        <f t="shared" si="328"/>
        <v>0</v>
      </c>
      <c r="EX40" s="110">
        <f t="shared" si="329"/>
        <v>0</v>
      </c>
      <c r="EY40" s="110">
        <f t="shared" si="330"/>
        <v>0</v>
      </c>
      <c r="FA40" s="111"/>
      <c r="FB40" s="110">
        <f t="shared" si="331"/>
        <v>0</v>
      </c>
      <c r="FC40" s="110">
        <f t="shared" si="332"/>
        <v>0</v>
      </c>
      <c r="FD40" s="110">
        <f t="shared" si="333"/>
        <v>0</v>
      </c>
      <c r="FF40" s="111"/>
      <c r="FG40" s="110">
        <f t="shared" si="334"/>
        <v>0</v>
      </c>
      <c r="FH40" s="110">
        <f t="shared" si="335"/>
        <v>0</v>
      </c>
      <c r="FI40" s="110">
        <f t="shared" si="336"/>
        <v>-148</v>
      </c>
      <c r="FK40" s="111"/>
      <c r="FL40" s="110">
        <f t="shared" si="337"/>
        <v>0</v>
      </c>
      <c r="FM40" s="110">
        <f t="shared" si="338"/>
        <v>8.5999999999999943</v>
      </c>
      <c r="FN40" s="110">
        <f t="shared" si="339"/>
        <v>0</v>
      </c>
      <c r="FP40" s="111"/>
      <c r="FQ40" s="110">
        <f t="shared" si="340"/>
        <v>0</v>
      </c>
      <c r="FR40" s="110">
        <f t="shared" si="341"/>
        <v>0</v>
      </c>
      <c r="FS40" s="110">
        <f t="shared" si="342"/>
        <v>0</v>
      </c>
      <c r="FU40" s="111">
        <f t="shared" si="343"/>
        <v>0</v>
      </c>
      <c r="FV40" s="110">
        <f t="shared" si="344"/>
        <v>0</v>
      </c>
      <c r="FW40" s="110">
        <f t="shared" si="345"/>
        <v>0</v>
      </c>
      <c r="FX40" s="110">
        <f t="shared" si="346"/>
        <v>0</v>
      </c>
      <c r="FY40" s="110">
        <f t="shared" si="347"/>
        <v>0</v>
      </c>
      <c r="FZ40" s="110">
        <f t="shared" si="348"/>
        <v>0</v>
      </c>
      <c r="GA40" s="110">
        <f t="shared" si="349"/>
        <v>0</v>
      </c>
      <c r="GB40" s="110">
        <f t="shared" si="350"/>
        <v>0</v>
      </c>
      <c r="GC40" s="110">
        <f t="shared" si="351"/>
        <v>0</v>
      </c>
      <c r="GD40" s="110">
        <f t="shared" si="352"/>
        <v>0</v>
      </c>
      <c r="GE40" s="110">
        <f t="shared" si="353"/>
        <v>0</v>
      </c>
      <c r="GF40" s="110">
        <f t="shared" si="354"/>
        <v>0</v>
      </c>
      <c r="GG40" s="110">
        <f t="shared" si="355"/>
        <v>8.5999999999999943</v>
      </c>
      <c r="GH40" s="110">
        <f t="shared" si="356"/>
        <v>8.5999999999999943</v>
      </c>
      <c r="GI40" s="110">
        <f t="shared" si="357"/>
        <v>8.5999999999999943</v>
      </c>
      <c r="GJ40" s="110">
        <f t="shared" si="358"/>
        <v>-139.4</v>
      </c>
      <c r="GK40" s="110">
        <f t="shared" si="359"/>
        <v>-139.4</v>
      </c>
      <c r="GL40" s="110">
        <f t="shared" si="360"/>
        <v>-139.4</v>
      </c>
      <c r="GM40" s="110">
        <f t="shared" si="361"/>
        <v>-139.4</v>
      </c>
      <c r="GN40" s="110">
        <f t="shared" si="362"/>
        <v>-139.4</v>
      </c>
      <c r="GO40" s="110">
        <f t="shared" si="363"/>
        <v>-139.4</v>
      </c>
      <c r="GP40" s="110">
        <f t="shared" si="364"/>
        <v>-139.4</v>
      </c>
      <c r="GQ40" s="110">
        <f t="shared" si="365"/>
        <v>-139.4</v>
      </c>
      <c r="GR40" s="110">
        <f t="shared" si="366"/>
        <v>-139.4</v>
      </c>
      <c r="GS40" s="110">
        <f t="shared" si="367"/>
        <v>-148</v>
      </c>
      <c r="GU40" s="109" cm="1">
        <f t="array" ref="GU40">+IFERROR(INDEX($C$3:$AM$3,MATCH(TRUE,INDEX($C40:$AM40&lt;&gt;0,0),0)),"N/A")</f>
        <v>44926</v>
      </c>
      <c r="GV40" s="112" t="str" cm="1">
        <f t="array" ref="GV40">+_xlfn.IFS(HV40&lt;&gt;0,HV$2,IV40&lt;&gt;0,IV$2,JV40&lt;&gt;0,JV$2,KV40&lt;&gt;0,KV$2,TRUE,"")</f>
        <v/>
      </c>
      <c r="GW40" s="1" t="str" cm="1">
        <f t="array" ref="GW40">+_xlfn.IFS(HW40&lt;&gt;0,HW$2,IW40&lt;&gt;0,IW$2,JW40&lt;&gt;0,JW$2,KW40&lt;&gt;0,KW$2,TRUE,"")</f>
        <v/>
      </c>
      <c r="GX40" s="1" t="str" cm="1">
        <f t="array" ref="GX40">+_xlfn.IFS(HX40&lt;&gt;0,HX$2,IX40&lt;&gt;0,IX$2,JX40&lt;&gt;0,JX$2,KX40&lt;&gt;0,KX$2,TRUE,"")</f>
        <v/>
      </c>
      <c r="GY40" s="1" t="str" cm="1">
        <f t="array" ref="GY40">+_xlfn.IFS(HY40&lt;&gt;0,HY$2,IY40&lt;&gt;0,IY$2,JY40&lt;&gt;0,JY$2,KY40&lt;&gt;0,KY$2,TRUE,"")</f>
        <v/>
      </c>
      <c r="GZ40" s="1" t="str" cm="1">
        <f t="array" ref="GZ40">+_xlfn.IFS(HZ40&lt;&gt;0,HZ$2,IZ40&lt;&gt;0,IZ$2,JZ40&lt;&gt;0,JZ$2,KZ40&lt;&gt;0,KZ$2,TRUE,"")</f>
        <v/>
      </c>
      <c r="HA40" s="1" t="str" cm="1">
        <f t="array" ref="HA40">+_xlfn.IFS(IA40&lt;&gt;0,IA$2,JA40&lt;&gt;0,JA$2,KA40&lt;&gt;0,KA$2,LA40&lt;&gt;0,LA$2,TRUE,"")</f>
        <v/>
      </c>
      <c r="HB40" s="1" t="str" cm="1">
        <f t="array" ref="HB40">+_xlfn.IFS(IB40&lt;&gt;0,IB$2,JB40&lt;&gt;0,JB$2,KB40&lt;&gt;0,KB$2,LB40&lt;&gt;0,LB$2,TRUE,"")</f>
        <v/>
      </c>
      <c r="HC40" s="1" t="str" cm="1">
        <f t="array" ref="HC40">+_xlfn.IFS(IC40&lt;&gt;0,IC$2,JC40&lt;&gt;0,JC$2,KC40&lt;&gt;0,KC$2,LC40&lt;&gt;0,LC$2,TRUE,"")</f>
        <v/>
      </c>
      <c r="HD40" s="1" t="str" cm="1">
        <f t="array" ref="HD40">+_xlfn.IFS(ID40&lt;&gt;0,ID$2,JD40&lt;&gt;0,JD$2,KD40&lt;&gt;0,KD$2,LD40&lt;&gt;0,LD$2,TRUE,"")</f>
        <v/>
      </c>
      <c r="HE40" s="1" t="str" cm="1">
        <f t="array" ref="HE40">+_xlfn.IFS(IE40&lt;&gt;0,IE$2,JE40&lt;&gt;0,JE$2,KE40&lt;&gt;0,KE$2,LE40&lt;&gt;0,LE$2,TRUE,"")</f>
        <v/>
      </c>
      <c r="HF40" s="1" t="str" cm="1">
        <f t="array" ref="HF40">+_xlfn.IFS(IF40&lt;&gt;0,IF$2,JF40&lt;&gt;0,JF$2,KF40&lt;&gt;0,KF$2,LF40&lt;&gt;0,LF$2,TRUE,"")</f>
        <v/>
      </c>
      <c r="HG40" s="1" t="str" cm="1">
        <f t="array" ref="HG40">+_xlfn.IFS(IG40&lt;&gt;0,IG$2,JG40&lt;&gt;0,JG$2,KG40&lt;&gt;0,KG$2,LG40&lt;&gt;0,LG$2,TRUE,"")</f>
        <v/>
      </c>
      <c r="HH40" s="1" t="str" cm="1">
        <f t="array" ref="HH40">+_xlfn.IFS(IH40&lt;&gt;0,IH$2,JH40&lt;&gt;0,JH$2,KH40&lt;&gt;0,KH$2,LH40&lt;&gt;0,LH$2,TRUE,"")</f>
        <v>Upsell</v>
      </c>
      <c r="HI40" s="1" t="str" cm="1">
        <f t="array" ref="HI40">+_xlfn.IFS(II40&lt;&gt;0,II$2,JI40&lt;&gt;0,JI$2,KI40&lt;&gt;0,KI$2,LI40&lt;&gt;0,LI$2,TRUE,"")</f>
        <v>Upsell</v>
      </c>
      <c r="HJ40" s="1" t="str" cm="1">
        <f t="array" ref="HJ40">+_xlfn.IFS(IJ40&lt;&gt;0,IJ$2,JJ40&lt;&gt;0,JJ$2,KJ40&lt;&gt;0,KJ$2,LJ40&lt;&gt;0,LJ$2,TRUE,"")</f>
        <v>Upsell</v>
      </c>
      <c r="HK40" s="1" t="str" cm="1">
        <f t="array" ref="HK40">+_xlfn.IFS(IK40&lt;&gt;0,IK$2,JK40&lt;&gt;0,JK$2,KK40&lt;&gt;0,KK$2,LK40&lt;&gt;0,LK$2,TRUE,"")</f>
        <v>Downsell</v>
      </c>
      <c r="HL40" s="1" t="str" cm="1">
        <f t="array" ref="HL40">+_xlfn.IFS(IL40&lt;&gt;0,IL$2,JL40&lt;&gt;0,JL$2,KL40&lt;&gt;0,KL$2,LL40&lt;&gt;0,LL$2,TRUE,"")</f>
        <v>Downsell</v>
      </c>
      <c r="HM40" s="1" t="str" cm="1">
        <f t="array" ref="HM40">+_xlfn.IFS(IM40&lt;&gt;0,IM$2,JM40&lt;&gt;0,JM$2,KM40&lt;&gt;0,KM$2,LM40&lt;&gt;0,LM$2,TRUE,"")</f>
        <v>Downsell</v>
      </c>
      <c r="HN40" s="1" t="str" cm="1">
        <f t="array" ref="HN40">+_xlfn.IFS(IN40&lt;&gt;0,IN$2,JN40&lt;&gt;0,JN$2,KN40&lt;&gt;0,KN$2,LN40&lt;&gt;0,LN$2,TRUE,"")</f>
        <v>Downsell</v>
      </c>
      <c r="HO40" s="1" t="str" cm="1">
        <f t="array" ref="HO40">+_xlfn.IFS(IO40&lt;&gt;0,IO$2,JO40&lt;&gt;0,JO$2,KO40&lt;&gt;0,KO$2,LO40&lt;&gt;0,LO$2,TRUE,"")</f>
        <v>Downsell</v>
      </c>
      <c r="HP40" s="1" t="str" cm="1">
        <f t="array" ref="HP40">+_xlfn.IFS(IP40&lt;&gt;0,IP$2,JP40&lt;&gt;0,JP$2,KP40&lt;&gt;0,KP$2,LP40&lt;&gt;0,LP$2,TRUE,"")</f>
        <v>Downsell</v>
      </c>
      <c r="HQ40" s="1" t="str" cm="1">
        <f t="array" ref="HQ40">+_xlfn.IFS(IQ40&lt;&gt;0,IQ$2,JQ40&lt;&gt;0,JQ$2,KQ40&lt;&gt;0,KQ$2,LQ40&lt;&gt;0,LQ$2,TRUE,"")</f>
        <v>Downsell</v>
      </c>
      <c r="HR40" s="1" t="str" cm="1">
        <f t="array" ref="HR40">+_xlfn.IFS(IR40&lt;&gt;0,IR$2,JR40&lt;&gt;0,JR$2,KR40&lt;&gt;0,KR$2,LR40&lt;&gt;0,LR$2,TRUE,"")</f>
        <v>Downsell</v>
      </c>
      <c r="HS40" s="1" t="str" cm="1">
        <f t="array" ref="HS40">+_xlfn.IFS(IS40&lt;&gt;0,IS$2,JS40&lt;&gt;0,JS$2,KS40&lt;&gt;0,KS$2,LS40&lt;&gt;0,LS$2,TRUE,"")</f>
        <v>Downsell</v>
      </c>
      <c r="HT40" s="1" t="str" cm="1">
        <f t="array" ref="HT40">+_xlfn.IFS(IT40&lt;&gt;0,IT$2,JT40&lt;&gt;0,JT$2,KT40&lt;&gt;0,KT$2,LT40&lt;&gt;0,LT$2,TRUE,"")</f>
        <v>Downsell</v>
      </c>
      <c r="HV40" s="111">
        <f t="shared" si="368"/>
        <v>0</v>
      </c>
      <c r="HW40" s="110">
        <f t="shared" si="369"/>
        <v>0</v>
      </c>
      <c r="HX40" s="110">
        <f t="shared" si="370"/>
        <v>0</v>
      </c>
      <c r="HY40" s="110">
        <f t="shared" si="371"/>
        <v>0</v>
      </c>
      <c r="HZ40" s="110">
        <f t="shared" si="372"/>
        <v>0</v>
      </c>
      <c r="IA40" s="110">
        <f t="shared" si="373"/>
        <v>0</v>
      </c>
      <c r="IB40" s="110">
        <f t="shared" si="374"/>
        <v>0</v>
      </c>
      <c r="IC40" s="110">
        <f t="shared" si="375"/>
        <v>0</v>
      </c>
      <c r="ID40" s="110">
        <f t="shared" si="376"/>
        <v>0</v>
      </c>
      <c r="IE40" s="110">
        <f t="shared" si="377"/>
        <v>0</v>
      </c>
      <c r="IF40" s="110">
        <f t="shared" si="378"/>
        <v>0</v>
      </c>
      <c r="IG40" s="110">
        <f t="shared" si="379"/>
        <v>0</v>
      </c>
      <c r="IH40" s="110">
        <f t="shared" si="380"/>
        <v>0</v>
      </c>
      <c r="II40" s="110">
        <f t="shared" si="381"/>
        <v>0</v>
      </c>
      <c r="IJ40" s="110">
        <f t="shared" si="382"/>
        <v>0</v>
      </c>
      <c r="IK40" s="110">
        <f t="shared" si="383"/>
        <v>0</v>
      </c>
      <c r="IL40" s="110">
        <f t="shared" si="384"/>
        <v>0</v>
      </c>
      <c r="IM40" s="110">
        <f t="shared" si="385"/>
        <v>0</v>
      </c>
      <c r="IN40" s="110">
        <f t="shared" si="386"/>
        <v>0</v>
      </c>
      <c r="IO40" s="110">
        <f t="shared" si="387"/>
        <v>0</v>
      </c>
      <c r="IP40" s="110">
        <f t="shared" si="388"/>
        <v>0</v>
      </c>
      <c r="IQ40" s="110">
        <f t="shared" si="389"/>
        <v>0</v>
      </c>
      <c r="IR40" s="110">
        <f t="shared" si="390"/>
        <v>0</v>
      </c>
      <c r="IS40" s="110">
        <f t="shared" si="391"/>
        <v>0</v>
      </c>
      <c r="IT40" s="110">
        <f t="shared" si="392"/>
        <v>0</v>
      </c>
      <c r="IV40" s="111">
        <f t="shared" si="393"/>
        <v>0</v>
      </c>
      <c r="IW40" s="110">
        <f t="shared" si="394"/>
        <v>0</v>
      </c>
      <c r="IX40" s="110">
        <f t="shared" si="395"/>
        <v>0</v>
      </c>
      <c r="IY40" s="110">
        <f t="shared" si="396"/>
        <v>0</v>
      </c>
      <c r="IZ40" s="110">
        <f t="shared" si="397"/>
        <v>0</v>
      </c>
      <c r="JA40" s="110">
        <f t="shared" si="398"/>
        <v>0</v>
      </c>
      <c r="JB40" s="110">
        <f t="shared" si="399"/>
        <v>0</v>
      </c>
      <c r="JC40" s="110">
        <f t="shared" si="400"/>
        <v>0</v>
      </c>
      <c r="JD40" s="110">
        <f t="shared" si="401"/>
        <v>0</v>
      </c>
      <c r="JE40" s="110">
        <f t="shared" si="402"/>
        <v>0</v>
      </c>
      <c r="JF40" s="110">
        <f t="shared" si="403"/>
        <v>0</v>
      </c>
      <c r="JG40" s="110">
        <f t="shared" si="404"/>
        <v>0</v>
      </c>
      <c r="JH40" s="110">
        <f t="shared" si="405"/>
        <v>0</v>
      </c>
      <c r="JI40" s="110">
        <f t="shared" si="406"/>
        <v>0</v>
      </c>
      <c r="JJ40" s="110">
        <f t="shared" si="407"/>
        <v>0</v>
      </c>
      <c r="JK40" s="110">
        <f t="shared" si="408"/>
        <v>0</v>
      </c>
      <c r="JL40" s="110">
        <f t="shared" si="409"/>
        <v>0</v>
      </c>
      <c r="JM40" s="110">
        <f t="shared" si="410"/>
        <v>0</v>
      </c>
      <c r="JN40" s="110">
        <f t="shared" si="411"/>
        <v>0</v>
      </c>
      <c r="JO40" s="110">
        <f t="shared" si="412"/>
        <v>0</v>
      </c>
      <c r="JP40" s="110">
        <f t="shared" si="413"/>
        <v>0</v>
      </c>
      <c r="JQ40" s="110">
        <f t="shared" si="414"/>
        <v>0</v>
      </c>
      <c r="JR40" s="110">
        <f t="shared" si="415"/>
        <v>0</v>
      </c>
      <c r="JS40" s="110">
        <f t="shared" si="416"/>
        <v>0</v>
      </c>
      <c r="JT40" s="110">
        <f t="shared" si="417"/>
        <v>0</v>
      </c>
      <c r="JV40" s="111">
        <f t="shared" si="418"/>
        <v>0</v>
      </c>
      <c r="JW40" s="110">
        <f t="shared" si="419"/>
        <v>0</v>
      </c>
      <c r="JX40" s="110">
        <f t="shared" si="420"/>
        <v>0</v>
      </c>
      <c r="JY40" s="110">
        <f t="shared" si="421"/>
        <v>0</v>
      </c>
      <c r="JZ40" s="110">
        <f t="shared" si="422"/>
        <v>0</v>
      </c>
      <c r="KA40" s="110">
        <f t="shared" si="423"/>
        <v>0</v>
      </c>
      <c r="KB40" s="110">
        <f t="shared" si="424"/>
        <v>0</v>
      </c>
      <c r="KC40" s="110">
        <f t="shared" si="425"/>
        <v>0</v>
      </c>
      <c r="KD40" s="110">
        <f t="shared" si="426"/>
        <v>0</v>
      </c>
      <c r="KE40" s="110">
        <f t="shared" si="427"/>
        <v>0</v>
      </c>
      <c r="KF40" s="110">
        <f t="shared" si="428"/>
        <v>0</v>
      </c>
      <c r="KG40" s="110">
        <f t="shared" si="429"/>
        <v>0</v>
      </c>
      <c r="KH40" s="110">
        <f t="shared" si="430"/>
        <v>0</v>
      </c>
      <c r="KI40" s="110">
        <f t="shared" si="431"/>
        <v>0</v>
      </c>
      <c r="KJ40" s="110">
        <f t="shared" si="432"/>
        <v>0</v>
      </c>
      <c r="KK40" s="110">
        <f t="shared" si="433"/>
        <v>-139.4</v>
      </c>
      <c r="KL40" s="110">
        <f t="shared" si="434"/>
        <v>-139.4</v>
      </c>
      <c r="KM40" s="110">
        <f t="shared" si="435"/>
        <v>-139.4</v>
      </c>
      <c r="KN40" s="110">
        <f t="shared" si="436"/>
        <v>-139.4</v>
      </c>
      <c r="KO40" s="110">
        <f t="shared" si="437"/>
        <v>-139.4</v>
      </c>
      <c r="KP40" s="110">
        <f t="shared" si="438"/>
        <v>-139.4</v>
      </c>
      <c r="KQ40" s="110">
        <f t="shared" si="439"/>
        <v>-139.4</v>
      </c>
      <c r="KR40" s="110">
        <f t="shared" si="440"/>
        <v>-139.4</v>
      </c>
      <c r="KS40" s="110">
        <f t="shared" si="441"/>
        <v>-139.4</v>
      </c>
      <c r="KT40" s="110">
        <f t="shared" si="442"/>
        <v>-148</v>
      </c>
      <c r="KV40" s="111">
        <f t="shared" si="443"/>
        <v>0</v>
      </c>
      <c r="KW40" s="110">
        <f t="shared" si="444"/>
        <v>0</v>
      </c>
      <c r="KX40" s="110">
        <f t="shared" si="445"/>
        <v>0</v>
      </c>
      <c r="KY40" s="110">
        <f t="shared" si="446"/>
        <v>0</v>
      </c>
      <c r="KZ40" s="110">
        <f t="shared" si="447"/>
        <v>0</v>
      </c>
      <c r="LA40" s="110">
        <f t="shared" si="448"/>
        <v>0</v>
      </c>
      <c r="LB40" s="110">
        <f t="shared" si="449"/>
        <v>0</v>
      </c>
      <c r="LC40" s="110">
        <f t="shared" si="450"/>
        <v>0</v>
      </c>
      <c r="LD40" s="110">
        <f t="shared" si="451"/>
        <v>0</v>
      </c>
      <c r="LE40" s="110">
        <f t="shared" si="452"/>
        <v>0</v>
      </c>
      <c r="LF40" s="110">
        <f t="shared" si="453"/>
        <v>0</v>
      </c>
      <c r="LG40" s="110">
        <f t="shared" si="454"/>
        <v>0</v>
      </c>
      <c r="LH40" s="110">
        <f t="shared" si="455"/>
        <v>8.5999999999999943</v>
      </c>
      <c r="LI40" s="110">
        <f t="shared" si="456"/>
        <v>8.5999999999999943</v>
      </c>
      <c r="LJ40" s="110">
        <f t="shared" si="457"/>
        <v>8.5999999999999943</v>
      </c>
      <c r="LK40" s="110">
        <f t="shared" si="458"/>
        <v>0</v>
      </c>
      <c r="LL40" s="110">
        <f t="shared" si="459"/>
        <v>0</v>
      </c>
      <c r="LM40" s="110">
        <f t="shared" si="460"/>
        <v>0</v>
      </c>
      <c r="LN40" s="110">
        <f t="shared" si="461"/>
        <v>0</v>
      </c>
      <c r="LO40" s="110">
        <f t="shared" si="462"/>
        <v>0</v>
      </c>
      <c r="LP40" s="110">
        <f t="shared" si="463"/>
        <v>0</v>
      </c>
      <c r="LQ40" s="110">
        <f t="shared" si="464"/>
        <v>0</v>
      </c>
      <c r="LR40" s="110">
        <f t="shared" si="465"/>
        <v>0</v>
      </c>
      <c r="LS40" s="110">
        <f t="shared" si="466"/>
        <v>0</v>
      </c>
      <c r="LT40" s="110">
        <f t="shared" si="467"/>
        <v>0</v>
      </c>
      <c r="LV40" s="111"/>
      <c r="LW40" s="110">
        <f t="shared" si="468"/>
        <v>0</v>
      </c>
      <c r="LX40" s="110">
        <f t="shared" si="469"/>
        <v>0</v>
      </c>
      <c r="LY40" s="110">
        <f t="shared" si="470"/>
        <v>0</v>
      </c>
      <c r="LZ40" s="110">
        <f t="shared" si="471"/>
        <v>0</v>
      </c>
      <c r="MA40" s="110">
        <f t="shared" si="472"/>
        <v>0</v>
      </c>
      <c r="MB40" s="110">
        <f t="shared" si="473"/>
        <v>0</v>
      </c>
      <c r="MC40" s="110">
        <f t="shared" si="474"/>
        <v>0</v>
      </c>
      <c r="MD40" s="110">
        <f t="shared" si="475"/>
        <v>0</v>
      </c>
      <c r="ME40" s="110">
        <f t="shared" si="476"/>
        <v>0</v>
      </c>
      <c r="MF40" s="110">
        <f t="shared" si="477"/>
        <v>0</v>
      </c>
      <c r="MG40" s="110">
        <f t="shared" si="478"/>
        <v>0</v>
      </c>
      <c r="MH40" s="110">
        <f t="shared" si="479"/>
        <v>0</v>
      </c>
      <c r="MI40" s="110">
        <f t="shared" si="480"/>
        <v>0</v>
      </c>
      <c r="MJ40" s="110">
        <f t="shared" si="481"/>
        <v>0</v>
      </c>
      <c r="MK40" s="110">
        <f t="shared" si="482"/>
        <v>0</v>
      </c>
      <c r="ML40" s="110">
        <f t="shared" si="483"/>
        <v>0</v>
      </c>
      <c r="MM40" s="110">
        <f t="shared" si="484"/>
        <v>0</v>
      </c>
      <c r="MN40" s="110">
        <f t="shared" si="485"/>
        <v>0</v>
      </c>
      <c r="MO40" s="110">
        <f t="shared" si="486"/>
        <v>0</v>
      </c>
      <c r="MP40" s="110">
        <f t="shared" si="487"/>
        <v>0</v>
      </c>
      <c r="MQ40" s="110">
        <f t="shared" si="488"/>
        <v>0</v>
      </c>
      <c r="MR40" s="110">
        <f t="shared" si="489"/>
        <v>0</v>
      </c>
      <c r="MS40" s="110">
        <f t="shared" si="490"/>
        <v>0</v>
      </c>
      <c r="MT40" s="110">
        <f t="shared" si="491"/>
        <v>0</v>
      </c>
      <c r="MV40" s="114">
        <v>106.25</v>
      </c>
      <c r="MW40" s="114">
        <v>0</v>
      </c>
      <c r="MX40" s="114">
        <v>0</v>
      </c>
      <c r="MY40" s="114">
        <v>-148</v>
      </c>
      <c r="MZ40" s="114">
        <v>0</v>
      </c>
      <c r="NB40" s="115">
        <v>78</v>
      </c>
      <c r="NC40" s="115" t="str">
        <v>N/A</v>
      </c>
      <c r="ND40" s="115" t="str">
        <v>N/A</v>
      </c>
      <c r="NE40" s="115">
        <v>1</v>
      </c>
      <c r="NF40" s="115" t="str">
        <v>N/A</v>
      </c>
    </row>
    <row r="41" spans="2:370" ht="13.5" x14ac:dyDescent="0.25">
      <c r="B41" s="8">
        <f t="shared" si="252"/>
        <v>38</v>
      </c>
      <c r="C41" s="7">
        <v>0</v>
      </c>
      <c r="D41" s="7">
        <v>0</v>
      </c>
      <c r="E41" s="7">
        <v>0</v>
      </c>
      <c r="F41" s="7">
        <v>0</v>
      </c>
      <c r="G41" s="7">
        <v>0</v>
      </c>
      <c r="H41" s="7">
        <v>0</v>
      </c>
      <c r="I41" s="7">
        <v>0</v>
      </c>
      <c r="J41" s="7">
        <v>0</v>
      </c>
      <c r="K41" s="7">
        <v>0</v>
      </c>
      <c r="L41" s="7">
        <v>0</v>
      </c>
      <c r="M41" s="7">
        <v>0</v>
      </c>
      <c r="N41" s="7">
        <v>0</v>
      </c>
      <c r="O41" s="7">
        <v>0</v>
      </c>
      <c r="P41" s="7">
        <v>0</v>
      </c>
      <c r="Q41" s="7">
        <v>0</v>
      </c>
      <c r="R41" s="7">
        <v>0</v>
      </c>
      <c r="S41" s="7">
        <v>0</v>
      </c>
      <c r="T41" s="7">
        <v>0</v>
      </c>
      <c r="U41" s="7">
        <v>0</v>
      </c>
      <c r="V41" s="7">
        <v>219</v>
      </c>
      <c r="W41" s="7">
        <v>219</v>
      </c>
      <c r="X41" s="7">
        <v>219</v>
      </c>
      <c r="Y41" s="7">
        <v>219</v>
      </c>
      <c r="Z41" s="7">
        <v>219</v>
      </c>
      <c r="AA41" s="7">
        <v>219</v>
      </c>
      <c r="AB41" s="7">
        <v>219</v>
      </c>
      <c r="AC41" s="7">
        <v>219</v>
      </c>
      <c r="AD41" s="7">
        <v>226.67</v>
      </c>
      <c r="AE41" s="7">
        <v>226.67</v>
      </c>
      <c r="AF41" s="7">
        <v>226.67</v>
      </c>
      <c r="AG41" s="7">
        <v>226.67</v>
      </c>
      <c r="AH41" s="7">
        <v>226.67</v>
      </c>
      <c r="AI41" s="7">
        <v>226.67</v>
      </c>
      <c r="AJ41" s="7">
        <v>226.67</v>
      </c>
      <c r="AK41" s="7">
        <v>226.67</v>
      </c>
      <c r="AL41" s="7">
        <v>226.67</v>
      </c>
      <c r="AM41" s="7">
        <v>226.67</v>
      </c>
      <c r="AN41" s="27">
        <v>38</v>
      </c>
      <c r="AP41" s="111"/>
      <c r="AQ41" s="110">
        <f t="shared" si="253"/>
        <v>0</v>
      </c>
      <c r="AR41" s="110">
        <f t="shared" si="254"/>
        <v>0</v>
      </c>
      <c r="AS41" s="110">
        <f t="shared" si="255"/>
        <v>0</v>
      </c>
      <c r="AT41" s="110">
        <f t="shared" si="256"/>
        <v>0</v>
      </c>
      <c r="AU41" s="110">
        <f t="shared" si="257"/>
        <v>0</v>
      </c>
      <c r="AV41" s="110">
        <f t="shared" si="258"/>
        <v>0</v>
      </c>
      <c r="AW41" s="110">
        <f t="shared" si="259"/>
        <v>219</v>
      </c>
      <c r="AX41" s="110">
        <f t="shared" si="260"/>
        <v>0</v>
      </c>
      <c r="AY41" s="110">
        <f t="shared" si="261"/>
        <v>7.6699999999999875</v>
      </c>
      <c r="AZ41" s="110">
        <f t="shared" si="262"/>
        <v>0</v>
      </c>
      <c r="BA41" s="110">
        <f t="shared" si="263"/>
        <v>0</v>
      </c>
      <c r="BB41" s="110">
        <f t="shared" si="264"/>
        <v>0</v>
      </c>
      <c r="BD41" s="109" cm="1">
        <f t="array" ref="BD41">+IFERROR(INDEX($C$3:$AM$3,MATCH(TRUE,INDEX($C41:$AM41&lt;&gt;0,0),0)),"N/A")</f>
        <v>45504</v>
      </c>
      <c r="BE41" s="112"/>
      <c r="BF41" s="1" t="str" cm="1">
        <f t="array" ref="BF41">+_xlfn.IFS(BT41&lt;&gt;0,BT$2,CH41&lt;&gt;0,CH$2,CV41&lt;&gt;0,CV$2,DJ41&lt;&gt;0,DJ$2,TRUE,"")</f>
        <v/>
      </c>
      <c r="BG41" s="1" t="str" cm="1">
        <f t="array" ref="BG41">+_xlfn.IFS(BU41&lt;&gt;0,BU$2,CI41&lt;&gt;0,CI$2,CW41&lt;&gt;0,CW$2,DK41&lt;&gt;0,DK$2,TRUE,"")</f>
        <v/>
      </c>
      <c r="BH41" s="1" t="str" cm="1">
        <f t="array" ref="BH41">+_xlfn.IFS(BV41&lt;&gt;0,BV$2,CJ41&lt;&gt;0,CJ$2,CX41&lt;&gt;0,CX$2,DL41&lt;&gt;0,DL$2,TRUE,"")</f>
        <v/>
      </c>
      <c r="BI41" s="1" t="str" cm="1">
        <f t="array" ref="BI41">+_xlfn.IFS(BW41&lt;&gt;0,BW$2,CK41&lt;&gt;0,CK$2,CY41&lt;&gt;0,CY$2,DM41&lt;&gt;0,DM$2,TRUE,"")</f>
        <v/>
      </c>
      <c r="BJ41" s="1" t="str" cm="1">
        <f t="array" ref="BJ41">+_xlfn.IFS(BX41&lt;&gt;0,BX$2,CL41&lt;&gt;0,CL$2,CZ41&lt;&gt;0,CZ$2,DN41&lt;&gt;0,DN$2,TRUE,"")</f>
        <v/>
      </c>
      <c r="BK41" s="1" t="str" cm="1">
        <f t="array" ref="BK41">+_xlfn.IFS(BY41&lt;&gt;0,BY$2,CM41&lt;&gt;0,CM$2,DA41&lt;&gt;0,DA$2,DO41&lt;&gt;0,DO$2,TRUE,"")</f>
        <v/>
      </c>
      <c r="BL41" s="1" t="str" cm="1">
        <f t="array" ref="BL41">+_xlfn.IFS(BZ41&lt;&gt;0,BZ$2,CN41&lt;&gt;0,CN$2,DB41&lt;&gt;0,DB$2,DP41&lt;&gt;0,DP$2,TRUE,"")</f>
        <v>New</v>
      </c>
      <c r="BM41" s="1" t="str" cm="1">
        <f t="array" ref="BM41">+_xlfn.IFS(CA41&lt;&gt;0,CA$2,CO41&lt;&gt;0,CO$2,DC41&lt;&gt;0,DC$2,DQ41&lt;&gt;0,DQ$2,TRUE,"")</f>
        <v/>
      </c>
      <c r="BN41" s="1" t="str" cm="1">
        <f t="array" ref="BN41">+_xlfn.IFS(CB41&lt;&gt;0,CB$2,CP41&lt;&gt;0,CP$2,DD41&lt;&gt;0,DD$2,DR41&lt;&gt;0,DR$2,TRUE,"")</f>
        <v>Upsell</v>
      </c>
      <c r="BO41" s="1" t="str" cm="1">
        <f t="array" ref="BO41">+_xlfn.IFS(CC41&lt;&gt;0,CC$2,CQ41&lt;&gt;0,CQ$2,DE41&lt;&gt;0,DE$2,DS41&lt;&gt;0,DS$2,TRUE,"")</f>
        <v/>
      </c>
      <c r="BP41" s="1" t="str" cm="1">
        <f t="array" ref="BP41">+_xlfn.IFS(CD41&lt;&gt;0,CD$2,CR41&lt;&gt;0,CR$2,DF41&lt;&gt;0,DF$2,DT41&lt;&gt;0,DT$2,TRUE,"")</f>
        <v/>
      </c>
      <c r="BQ41" s="1" t="str" cm="1">
        <f t="array" ref="BQ41">+_xlfn.IFS(CE41&lt;&gt;0,CE$2,CS41&lt;&gt;0,CS$2,DG41&lt;&gt;0,DG$2,DU41&lt;&gt;0,DU$2,TRUE,"")</f>
        <v/>
      </c>
      <c r="BS41" s="111"/>
      <c r="BT41" s="110">
        <f t="shared" si="265"/>
        <v>0</v>
      </c>
      <c r="BU41" s="110">
        <f t="shared" si="266"/>
        <v>0</v>
      </c>
      <c r="BV41" s="110">
        <f t="shared" si="267"/>
        <v>0</v>
      </c>
      <c r="BW41" s="110">
        <f t="shared" si="268"/>
        <v>0</v>
      </c>
      <c r="BX41" s="110">
        <f t="shared" si="269"/>
        <v>0</v>
      </c>
      <c r="BY41" s="110">
        <f t="shared" si="270"/>
        <v>0</v>
      </c>
      <c r="BZ41" s="110">
        <f t="shared" si="271"/>
        <v>219</v>
      </c>
      <c r="CA41" s="110">
        <f t="shared" si="272"/>
        <v>0</v>
      </c>
      <c r="CB41" s="110">
        <f t="shared" si="273"/>
        <v>0</v>
      </c>
      <c r="CC41" s="110">
        <f t="shared" si="274"/>
        <v>0</v>
      </c>
      <c r="CD41" s="110">
        <f t="shared" si="275"/>
        <v>0</v>
      </c>
      <c r="CE41" s="110">
        <f t="shared" si="276"/>
        <v>0</v>
      </c>
      <c r="CG41" s="111"/>
      <c r="CH41" s="110">
        <f t="shared" si="277"/>
        <v>0</v>
      </c>
      <c r="CI41" s="110">
        <f t="shared" si="278"/>
        <v>0</v>
      </c>
      <c r="CJ41" s="110">
        <f t="shared" si="279"/>
        <v>0</v>
      </c>
      <c r="CK41" s="110">
        <f t="shared" si="280"/>
        <v>0</v>
      </c>
      <c r="CL41" s="110">
        <f t="shared" si="281"/>
        <v>0</v>
      </c>
      <c r="CM41" s="110">
        <f t="shared" si="282"/>
        <v>0</v>
      </c>
      <c r="CN41" s="110">
        <f t="shared" si="283"/>
        <v>0</v>
      </c>
      <c r="CO41" s="110">
        <f t="shared" si="284"/>
        <v>0</v>
      </c>
      <c r="CP41" s="110">
        <f t="shared" si="285"/>
        <v>0</v>
      </c>
      <c r="CQ41" s="110">
        <f t="shared" si="286"/>
        <v>0</v>
      </c>
      <c r="CR41" s="110">
        <f t="shared" si="287"/>
        <v>0</v>
      </c>
      <c r="CS41" s="110">
        <f t="shared" si="288"/>
        <v>0</v>
      </c>
      <c r="CU41" s="111"/>
      <c r="CV41" s="110">
        <f t="shared" si="289"/>
        <v>0</v>
      </c>
      <c r="CW41" s="110">
        <f t="shared" si="290"/>
        <v>0</v>
      </c>
      <c r="CX41" s="110">
        <f t="shared" si="291"/>
        <v>0</v>
      </c>
      <c r="CY41" s="110">
        <f t="shared" si="292"/>
        <v>0</v>
      </c>
      <c r="CZ41" s="110">
        <f t="shared" si="293"/>
        <v>0</v>
      </c>
      <c r="DA41" s="110">
        <f t="shared" si="294"/>
        <v>0</v>
      </c>
      <c r="DB41" s="110">
        <f t="shared" si="295"/>
        <v>0</v>
      </c>
      <c r="DC41" s="110">
        <f t="shared" si="296"/>
        <v>0</v>
      </c>
      <c r="DD41" s="110">
        <f t="shared" si="297"/>
        <v>0</v>
      </c>
      <c r="DE41" s="110">
        <f t="shared" si="298"/>
        <v>0</v>
      </c>
      <c r="DF41" s="110">
        <f t="shared" si="299"/>
        <v>0</v>
      </c>
      <c r="DG41" s="110">
        <f t="shared" si="300"/>
        <v>0</v>
      </c>
      <c r="DI41" s="111"/>
      <c r="DJ41" s="110">
        <f t="shared" si="301"/>
        <v>0</v>
      </c>
      <c r="DK41" s="110">
        <f t="shared" si="302"/>
        <v>0</v>
      </c>
      <c r="DL41" s="110">
        <f t="shared" si="303"/>
        <v>0</v>
      </c>
      <c r="DM41" s="110">
        <f t="shared" si="304"/>
        <v>0</v>
      </c>
      <c r="DN41" s="110">
        <f t="shared" si="305"/>
        <v>0</v>
      </c>
      <c r="DO41" s="110">
        <f t="shared" si="306"/>
        <v>0</v>
      </c>
      <c r="DP41" s="110">
        <f t="shared" si="307"/>
        <v>0</v>
      </c>
      <c r="DQ41" s="110">
        <f t="shared" si="308"/>
        <v>0</v>
      </c>
      <c r="DR41" s="110">
        <f t="shared" si="309"/>
        <v>7.6699999999999875</v>
      </c>
      <c r="DS41" s="110">
        <f t="shared" si="310"/>
        <v>0</v>
      </c>
      <c r="DT41" s="110">
        <f t="shared" si="311"/>
        <v>0</v>
      </c>
      <c r="DU41" s="110">
        <f t="shared" si="312"/>
        <v>0</v>
      </c>
      <c r="DW41" s="111"/>
      <c r="DX41" s="110">
        <f t="shared" si="313"/>
        <v>0</v>
      </c>
      <c r="DY41" s="110">
        <f t="shared" si="314"/>
        <v>0</v>
      </c>
      <c r="DZ41" s="110">
        <f t="shared" si="315"/>
        <v>0</v>
      </c>
      <c r="EA41" s="110">
        <f t="shared" si="316"/>
        <v>0</v>
      </c>
      <c r="EB41" s="110">
        <f t="shared" si="317"/>
        <v>0</v>
      </c>
      <c r="EC41" s="110">
        <f t="shared" si="318"/>
        <v>0</v>
      </c>
      <c r="ED41" s="110">
        <f t="shared" si="319"/>
        <v>0</v>
      </c>
      <c r="EE41" s="110">
        <f t="shared" si="320"/>
        <v>0</v>
      </c>
      <c r="EF41" s="110">
        <f t="shared" si="321"/>
        <v>0</v>
      </c>
      <c r="EG41" s="110">
        <f t="shared" si="322"/>
        <v>0</v>
      </c>
      <c r="EH41" s="110">
        <f t="shared" si="323"/>
        <v>0</v>
      </c>
      <c r="EI41" s="110">
        <f t="shared" si="324"/>
        <v>0</v>
      </c>
      <c r="EK41" s="111"/>
      <c r="EL41" s="110">
        <f t="shared" si="325"/>
        <v>0</v>
      </c>
      <c r="EM41" s="110">
        <f t="shared" si="326"/>
        <v>219</v>
      </c>
      <c r="EN41" s="110">
        <f t="shared" si="327"/>
        <v>7.6699999999999875</v>
      </c>
      <c r="EP41" s="109" cm="1">
        <f t="array" ref="EP41">+IFERROR(INDEX($C$3:$AM$3,MATCH(TRUE,INDEX($C41:$AM41&lt;&gt;0,0),0)),"N/A")</f>
        <v>45504</v>
      </c>
      <c r="EQ41" s="112"/>
      <c r="ER41" s="1" t="str" cm="1">
        <f t="array" ref="ER41">+_xlfn.IFS(EW41&lt;&gt;0,EW$2,FB41&lt;&gt;0,FB$2,FG41&lt;&gt;0,FG$2,FL41&lt;&gt;0,FL$2,TRUE,"")</f>
        <v/>
      </c>
      <c r="ES41" s="1" t="str" cm="1">
        <f t="array" ref="ES41">+_xlfn.IFS(EX41&lt;&gt;0,EX$2,FC41&lt;&gt;0,FC$2,FH41&lt;&gt;0,FH$2,FM41&lt;&gt;0,FM$2,TRUE,"")</f>
        <v>New</v>
      </c>
      <c r="ET41" s="1" t="str" cm="1">
        <f t="array" ref="ET41">+_xlfn.IFS(EY41&lt;&gt;0,EY$2,FD41&lt;&gt;0,FD$2,FI41&lt;&gt;0,FI$2,FN41&lt;&gt;0,FN$2,TRUE,"")</f>
        <v>Upsell</v>
      </c>
      <c r="EV41" s="111"/>
      <c r="EW41" s="110">
        <f t="shared" si="328"/>
        <v>0</v>
      </c>
      <c r="EX41" s="110">
        <f t="shared" si="329"/>
        <v>219</v>
      </c>
      <c r="EY41" s="110">
        <f t="shared" si="330"/>
        <v>0</v>
      </c>
      <c r="FA41" s="111"/>
      <c r="FB41" s="110">
        <f t="shared" si="331"/>
        <v>0</v>
      </c>
      <c r="FC41" s="110">
        <f t="shared" si="332"/>
        <v>0</v>
      </c>
      <c r="FD41" s="110">
        <f t="shared" si="333"/>
        <v>0</v>
      </c>
      <c r="FF41" s="111"/>
      <c r="FG41" s="110">
        <f t="shared" si="334"/>
        <v>0</v>
      </c>
      <c r="FH41" s="110">
        <f t="shared" si="335"/>
        <v>0</v>
      </c>
      <c r="FI41" s="110">
        <f t="shared" si="336"/>
        <v>0</v>
      </c>
      <c r="FK41" s="111"/>
      <c r="FL41" s="110">
        <f t="shared" si="337"/>
        <v>0</v>
      </c>
      <c r="FM41" s="110">
        <f t="shared" si="338"/>
        <v>0</v>
      </c>
      <c r="FN41" s="110">
        <f t="shared" si="339"/>
        <v>7.6699999999999875</v>
      </c>
      <c r="FP41" s="111"/>
      <c r="FQ41" s="110">
        <f t="shared" si="340"/>
        <v>0</v>
      </c>
      <c r="FR41" s="110">
        <f t="shared" si="341"/>
        <v>0</v>
      </c>
      <c r="FS41" s="110">
        <f t="shared" si="342"/>
        <v>0</v>
      </c>
      <c r="FU41" s="111">
        <f t="shared" si="343"/>
        <v>0</v>
      </c>
      <c r="FV41" s="110">
        <f t="shared" si="344"/>
        <v>0</v>
      </c>
      <c r="FW41" s="110">
        <f t="shared" si="345"/>
        <v>0</v>
      </c>
      <c r="FX41" s="110">
        <f t="shared" si="346"/>
        <v>0</v>
      </c>
      <c r="FY41" s="110">
        <f t="shared" si="347"/>
        <v>0</v>
      </c>
      <c r="FZ41" s="110">
        <f t="shared" si="348"/>
        <v>0</v>
      </c>
      <c r="GA41" s="110">
        <f t="shared" si="349"/>
        <v>0</v>
      </c>
      <c r="GB41" s="110">
        <f t="shared" si="350"/>
        <v>219</v>
      </c>
      <c r="GC41" s="110">
        <f t="shared" si="351"/>
        <v>219</v>
      </c>
      <c r="GD41" s="110">
        <f t="shared" si="352"/>
        <v>219</v>
      </c>
      <c r="GE41" s="110">
        <f t="shared" si="353"/>
        <v>219</v>
      </c>
      <c r="GF41" s="110">
        <f t="shared" si="354"/>
        <v>219</v>
      </c>
      <c r="GG41" s="110">
        <f t="shared" si="355"/>
        <v>219</v>
      </c>
      <c r="GH41" s="110">
        <f t="shared" si="356"/>
        <v>219</v>
      </c>
      <c r="GI41" s="110">
        <f t="shared" si="357"/>
        <v>219</v>
      </c>
      <c r="GJ41" s="110">
        <f t="shared" si="358"/>
        <v>226.67</v>
      </c>
      <c r="GK41" s="110">
        <f t="shared" si="359"/>
        <v>226.67</v>
      </c>
      <c r="GL41" s="110">
        <f t="shared" si="360"/>
        <v>226.67</v>
      </c>
      <c r="GM41" s="110">
        <f t="shared" si="361"/>
        <v>226.67</v>
      </c>
      <c r="GN41" s="110">
        <f t="shared" si="362"/>
        <v>7.6699999999999875</v>
      </c>
      <c r="GO41" s="110">
        <f t="shared" si="363"/>
        <v>7.6699999999999875</v>
      </c>
      <c r="GP41" s="110">
        <f t="shared" si="364"/>
        <v>7.6699999999999875</v>
      </c>
      <c r="GQ41" s="110">
        <f t="shared" si="365"/>
        <v>7.6699999999999875</v>
      </c>
      <c r="GR41" s="110">
        <f t="shared" si="366"/>
        <v>7.6699999999999875</v>
      </c>
      <c r="GS41" s="110">
        <f t="shared" si="367"/>
        <v>7.6699999999999875</v>
      </c>
      <c r="GU41" s="109" cm="1">
        <f t="array" ref="GU41">+IFERROR(INDEX($C$3:$AM$3,MATCH(TRUE,INDEX($C41:$AM41&lt;&gt;0,0),0)),"N/A")</f>
        <v>45504</v>
      </c>
      <c r="GV41" s="112" t="str" cm="1">
        <f t="array" ref="GV41">+_xlfn.IFS(HV41&lt;&gt;0,HV$2,IV41&lt;&gt;0,IV$2,JV41&lt;&gt;0,JV$2,KV41&lt;&gt;0,KV$2,TRUE,"")</f>
        <v/>
      </c>
      <c r="GW41" s="1" t="str" cm="1">
        <f t="array" ref="GW41">+_xlfn.IFS(HW41&lt;&gt;0,HW$2,IW41&lt;&gt;0,IW$2,JW41&lt;&gt;0,JW$2,KW41&lt;&gt;0,KW$2,TRUE,"")</f>
        <v/>
      </c>
      <c r="GX41" s="1" t="str" cm="1">
        <f t="array" ref="GX41">+_xlfn.IFS(HX41&lt;&gt;0,HX$2,IX41&lt;&gt;0,IX$2,JX41&lt;&gt;0,JX$2,KX41&lt;&gt;0,KX$2,TRUE,"")</f>
        <v/>
      </c>
      <c r="GY41" s="1" t="str" cm="1">
        <f t="array" ref="GY41">+_xlfn.IFS(HY41&lt;&gt;0,HY$2,IY41&lt;&gt;0,IY$2,JY41&lt;&gt;0,JY$2,KY41&lt;&gt;0,KY$2,TRUE,"")</f>
        <v/>
      </c>
      <c r="GZ41" s="1" t="str" cm="1">
        <f t="array" ref="GZ41">+_xlfn.IFS(HZ41&lt;&gt;0,HZ$2,IZ41&lt;&gt;0,IZ$2,JZ41&lt;&gt;0,JZ$2,KZ41&lt;&gt;0,KZ$2,TRUE,"")</f>
        <v/>
      </c>
      <c r="HA41" s="1" t="str" cm="1">
        <f t="array" ref="HA41">+_xlfn.IFS(IA41&lt;&gt;0,IA$2,JA41&lt;&gt;0,JA$2,KA41&lt;&gt;0,KA$2,LA41&lt;&gt;0,LA$2,TRUE,"")</f>
        <v/>
      </c>
      <c r="HB41" s="1" t="str" cm="1">
        <f t="array" ref="HB41">+_xlfn.IFS(IB41&lt;&gt;0,IB$2,JB41&lt;&gt;0,JB$2,KB41&lt;&gt;0,KB$2,LB41&lt;&gt;0,LB$2,TRUE,"")</f>
        <v/>
      </c>
      <c r="HC41" s="1" t="str" cm="1">
        <f t="array" ref="HC41">+_xlfn.IFS(IC41&lt;&gt;0,IC$2,JC41&lt;&gt;0,JC$2,KC41&lt;&gt;0,KC$2,LC41&lt;&gt;0,LC$2,TRUE,"")</f>
        <v>New</v>
      </c>
      <c r="HD41" s="1" t="str" cm="1">
        <f t="array" ref="HD41">+_xlfn.IFS(ID41&lt;&gt;0,ID$2,JD41&lt;&gt;0,JD$2,KD41&lt;&gt;0,KD$2,LD41&lt;&gt;0,LD$2,TRUE,"")</f>
        <v>New</v>
      </c>
      <c r="HE41" s="1" t="str" cm="1">
        <f t="array" ref="HE41">+_xlfn.IFS(IE41&lt;&gt;0,IE$2,JE41&lt;&gt;0,JE$2,KE41&lt;&gt;0,KE$2,LE41&lt;&gt;0,LE$2,TRUE,"")</f>
        <v>New</v>
      </c>
      <c r="HF41" s="1" t="str" cm="1">
        <f t="array" ref="HF41">+_xlfn.IFS(IF41&lt;&gt;0,IF$2,JF41&lt;&gt;0,JF$2,KF41&lt;&gt;0,KF$2,LF41&lt;&gt;0,LF$2,TRUE,"")</f>
        <v>New</v>
      </c>
      <c r="HG41" s="1" t="str" cm="1">
        <f t="array" ref="HG41">+_xlfn.IFS(IG41&lt;&gt;0,IG$2,JG41&lt;&gt;0,JG$2,KG41&lt;&gt;0,KG$2,LG41&lt;&gt;0,LG$2,TRUE,"")</f>
        <v>New</v>
      </c>
      <c r="HH41" s="1" t="str" cm="1">
        <f t="array" ref="HH41">+_xlfn.IFS(IH41&lt;&gt;0,IH$2,JH41&lt;&gt;0,JH$2,KH41&lt;&gt;0,KH$2,LH41&lt;&gt;0,LH$2,TRUE,"")</f>
        <v>New</v>
      </c>
      <c r="HI41" s="1" t="str" cm="1">
        <f t="array" ref="HI41">+_xlfn.IFS(II41&lt;&gt;0,II$2,JI41&lt;&gt;0,JI$2,KI41&lt;&gt;0,KI$2,LI41&lt;&gt;0,LI$2,TRUE,"")</f>
        <v>New</v>
      </c>
      <c r="HJ41" s="1" t="str" cm="1">
        <f t="array" ref="HJ41">+_xlfn.IFS(IJ41&lt;&gt;0,IJ$2,JJ41&lt;&gt;0,JJ$2,KJ41&lt;&gt;0,KJ$2,LJ41&lt;&gt;0,LJ$2,TRUE,"")</f>
        <v>New</v>
      </c>
      <c r="HK41" s="1" t="str" cm="1">
        <f t="array" ref="HK41">+_xlfn.IFS(IK41&lt;&gt;0,IK$2,JK41&lt;&gt;0,JK$2,KK41&lt;&gt;0,KK$2,LK41&lt;&gt;0,LK$2,TRUE,"")</f>
        <v>New</v>
      </c>
      <c r="HL41" s="1" t="str" cm="1">
        <f t="array" ref="HL41">+_xlfn.IFS(IL41&lt;&gt;0,IL$2,JL41&lt;&gt;0,JL$2,KL41&lt;&gt;0,KL$2,LL41&lt;&gt;0,LL$2,TRUE,"")</f>
        <v>New</v>
      </c>
      <c r="HM41" s="1" t="str" cm="1">
        <f t="array" ref="HM41">+_xlfn.IFS(IM41&lt;&gt;0,IM$2,JM41&lt;&gt;0,JM$2,KM41&lt;&gt;0,KM$2,LM41&lt;&gt;0,LM$2,TRUE,"")</f>
        <v>New</v>
      </c>
      <c r="HN41" s="1" t="str" cm="1">
        <f t="array" ref="HN41">+_xlfn.IFS(IN41&lt;&gt;0,IN$2,JN41&lt;&gt;0,JN$2,KN41&lt;&gt;0,KN$2,LN41&lt;&gt;0,LN$2,TRUE,"")</f>
        <v>New</v>
      </c>
      <c r="HO41" s="1" t="str" cm="1">
        <f t="array" ref="HO41">+_xlfn.IFS(IO41&lt;&gt;0,IO$2,JO41&lt;&gt;0,JO$2,KO41&lt;&gt;0,KO$2,LO41&lt;&gt;0,LO$2,TRUE,"")</f>
        <v>Upsell</v>
      </c>
      <c r="HP41" s="1" t="str" cm="1">
        <f t="array" ref="HP41">+_xlfn.IFS(IP41&lt;&gt;0,IP$2,JP41&lt;&gt;0,JP$2,KP41&lt;&gt;0,KP$2,LP41&lt;&gt;0,LP$2,TRUE,"")</f>
        <v>Upsell</v>
      </c>
      <c r="HQ41" s="1" t="str" cm="1">
        <f t="array" ref="HQ41">+_xlfn.IFS(IQ41&lt;&gt;0,IQ$2,JQ41&lt;&gt;0,JQ$2,KQ41&lt;&gt;0,KQ$2,LQ41&lt;&gt;0,LQ$2,TRUE,"")</f>
        <v>Upsell</v>
      </c>
      <c r="HR41" s="1" t="str" cm="1">
        <f t="array" ref="HR41">+_xlfn.IFS(IR41&lt;&gt;0,IR$2,JR41&lt;&gt;0,JR$2,KR41&lt;&gt;0,KR$2,LR41&lt;&gt;0,LR$2,TRUE,"")</f>
        <v>Upsell</v>
      </c>
      <c r="HS41" s="1" t="str" cm="1">
        <f t="array" ref="HS41">+_xlfn.IFS(IS41&lt;&gt;0,IS$2,JS41&lt;&gt;0,JS$2,KS41&lt;&gt;0,KS$2,LS41&lt;&gt;0,LS$2,TRUE,"")</f>
        <v>Upsell</v>
      </c>
      <c r="HT41" s="1" t="str" cm="1">
        <f t="array" ref="HT41">+_xlfn.IFS(IT41&lt;&gt;0,IT$2,JT41&lt;&gt;0,JT$2,KT41&lt;&gt;0,KT$2,LT41&lt;&gt;0,LT$2,TRUE,"")</f>
        <v>Upsell</v>
      </c>
      <c r="HV41" s="111">
        <f t="shared" si="368"/>
        <v>0</v>
      </c>
      <c r="HW41" s="110">
        <f t="shared" si="369"/>
        <v>0</v>
      </c>
      <c r="HX41" s="110">
        <f t="shared" si="370"/>
        <v>0</v>
      </c>
      <c r="HY41" s="110">
        <f t="shared" si="371"/>
        <v>0</v>
      </c>
      <c r="HZ41" s="110">
        <f t="shared" si="372"/>
        <v>0</v>
      </c>
      <c r="IA41" s="110">
        <f t="shared" si="373"/>
        <v>0</v>
      </c>
      <c r="IB41" s="110">
        <f t="shared" si="374"/>
        <v>0</v>
      </c>
      <c r="IC41" s="110">
        <f t="shared" si="375"/>
        <v>219</v>
      </c>
      <c r="ID41" s="110">
        <f t="shared" si="376"/>
        <v>219</v>
      </c>
      <c r="IE41" s="110">
        <f t="shared" si="377"/>
        <v>219</v>
      </c>
      <c r="IF41" s="110">
        <f t="shared" si="378"/>
        <v>219</v>
      </c>
      <c r="IG41" s="110">
        <f t="shared" si="379"/>
        <v>219</v>
      </c>
      <c r="IH41" s="110">
        <f t="shared" si="380"/>
        <v>219</v>
      </c>
      <c r="II41" s="110">
        <f t="shared" si="381"/>
        <v>219</v>
      </c>
      <c r="IJ41" s="110">
        <f t="shared" si="382"/>
        <v>219</v>
      </c>
      <c r="IK41" s="110">
        <f t="shared" si="383"/>
        <v>226.67</v>
      </c>
      <c r="IL41" s="110">
        <f t="shared" si="384"/>
        <v>226.67</v>
      </c>
      <c r="IM41" s="110">
        <f t="shared" si="385"/>
        <v>226.67</v>
      </c>
      <c r="IN41" s="110">
        <f t="shared" si="386"/>
        <v>226.67</v>
      </c>
      <c r="IO41" s="110">
        <f t="shared" si="387"/>
        <v>0</v>
      </c>
      <c r="IP41" s="110">
        <f t="shared" si="388"/>
        <v>0</v>
      </c>
      <c r="IQ41" s="110">
        <f t="shared" si="389"/>
        <v>0</v>
      </c>
      <c r="IR41" s="110">
        <f t="shared" si="390"/>
        <v>0</v>
      </c>
      <c r="IS41" s="110">
        <f t="shared" si="391"/>
        <v>0</v>
      </c>
      <c r="IT41" s="110">
        <f t="shared" si="392"/>
        <v>0</v>
      </c>
      <c r="IV41" s="111">
        <f t="shared" si="393"/>
        <v>0</v>
      </c>
      <c r="IW41" s="110">
        <f t="shared" si="394"/>
        <v>0</v>
      </c>
      <c r="IX41" s="110">
        <f t="shared" si="395"/>
        <v>0</v>
      </c>
      <c r="IY41" s="110">
        <f t="shared" si="396"/>
        <v>0</v>
      </c>
      <c r="IZ41" s="110">
        <f t="shared" si="397"/>
        <v>0</v>
      </c>
      <c r="JA41" s="110">
        <f t="shared" si="398"/>
        <v>0</v>
      </c>
      <c r="JB41" s="110">
        <f t="shared" si="399"/>
        <v>0</v>
      </c>
      <c r="JC41" s="110">
        <f t="shared" si="400"/>
        <v>0</v>
      </c>
      <c r="JD41" s="110">
        <f t="shared" si="401"/>
        <v>0</v>
      </c>
      <c r="JE41" s="110">
        <f t="shared" si="402"/>
        <v>0</v>
      </c>
      <c r="JF41" s="110">
        <f t="shared" si="403"/>
        <v>0</v>
      </c>
      <c r="JG41" s="110">
        <f t="shared" si="404"/>
        <v>0</v>
      </c>
      <c r="JH41" s="110">
        <f t="shared" si="405"/>
        <v>0</v>
      </c>
      <c r="JI41" s="110">
        <f t="shared" si="406"/>
        <v>0</v>
      </c>
      <c r="JJ41" s="110">
        <f t="shared" si="407"/>
        <v>0</v>
      </c>
      <c r="JK41" s="110">
        <f t="shared" si="408"/>
        <v>0</v>
      </c>
      <c r="JL41" s="110">
        <f t="shared" si="409"/>
        <v>0</v>
      </c>
      <c r="JM41" s="110">
        <f t="shared" si="410"/>
        <v>0</v>
      </c>
      <c r="JN41" s="110">
        <f t="shared" si="411"/>
        <v>0</v>
      </c>
      <c r="JO41" s="110">
        <f t="shared" si="412"/>
        <v>0</v>
      </c>
      <c r="JP41" s="110">
        <f t="shared" si="413"/>
        <v>0</v>
      </c>
      <c r="JQ41" s="110">
        <f t="shared" si="414"/>
        <v>0</v>
      </c>
      <c r="JR41" s="110">
        <f t="shared" si="415"/>
        <v>0</v>
      </c>
      <c r="JS41" s="110">
        <f t="shared" si="416"/>
        <v>0</v>
      </c>
      <c r="JT41" s="110">
        <f t="shared" si="417"/>
        <v>0</v>
      </c>
      <c r="JV41" s="111">
        <f t="shared" si="418"/>
        <v>0</v>
      </c>
      <c r="JW41" s="110">
        <f t="shared" si="419"/>
        <v>0</v>
      </c>
      <c r="JX41" s="110">
        <f t="shared" si="420"/>
        <v>0</v>
      </c>
      <c r="JY41" s="110">
        <f t="shared" si="421"/>
        <v>0</v>
      </c>
      <c r="JZ41" s="110">
        <f t="shared" si="422"/>
        <v>0</v>
      </c>
      <c r="KA41" s="110">
        <f t="shared" si="423"/>
        <v>0</v>
      </c>
      <c r="KB41" s="110">
        <f t="shared" si="424"/>
        <v>0</v>
      </c>
      <c r="KC41" s="110">
        <f t="shared" si="425"/>
        <v>0</v>
      </c>
      <c r="KD41" s="110">
        <f t="shared" si="426"/>
        <v>0</v>
      </c>
      <c r="KE41" s="110">
        <f t="shared" si="427"/>
        <v>0</v>
      </c>
      <c r="KF41" s="110">
        <f t="shared" si="428"/>
        <v>0</v>
      </c>
      <c r="KG41" s="110">
        <f t="shared" si="429"/>
        <v>0</v>
      </c>
      <c r="KH41" s="110">
        <f t="shared" si="430"/>
        <v>0</v>
      </c>
      <c r="KI41" s="110">
        <f t="shared" si="431"/>
        <v>0</v>
      </c>
      <c r="KJ41" s="110">
        <f t="shared" si="432"/>
        <v>0</v>
      </c>
      <c r="KK41" s="110">
        <f t="shared" si="433"/>
        <v>0</v>
      </c>
      <c r="KL41" s="110">
        <f t="shared" si="434"/>
        <v>0</v>
      </c>
      <c r="KM41" s="110">
        <f t="shared" si="435"/>
        <v>0</v>
      </c>
      <c r="KN41" s="110">
        <f t="shared" si="436"/>
        <v>0</v>
      </c>
      <c r="KO41" s="110">
        <f t="shared" si="437"/>
        <v>0</v>
      </c>
      <c r="KP41" s="110">
        <f t="shared" si="438"/>
        <v>0</v>
      </c>
      <c r="KQ41" s="110">
        <f t="shared" si="439"/>
        <v>0</v>
      </c>
      <c r="KR41" s="110">
        <f t="shared" si="440"/>
        <v>0</v>
      </c>
      <c r="KS41" s="110">
        <f t="shared" si="441"/>
        <v>0</v>
      </c>
      <c r="KT41" s="110">
        <f t="shared" si="442"/>
        <v>0</v>
      </c>
      <c r="KV41" s="111">
        <f t="shared" si="443"/>
        <v>0</v>
      </c>
      <c r="KW41" s="110">
        <f t="shared" si="444"/>
        <v>0</v>
      </c>
      <c r="KX41" s="110">
        <f t="shared" si="445"/>
        <v>0</v>
      </c>
      <c r="KY41" s="110">
        <f t="shared" si="446"/>
        <v>0</v>
      </c>
      <c r="KZ41" s="110">
        <f t="shared" si="447"/>
        <v>0</v>
      </c>
      <c r="LA41" s="110">
        <f t="shared" si="448"/>
        <v>0</v>
      </c>
      <c r="LB41" s="110">
        <f t="shared" si="449"/>
        <v>0</v>
      </c>
      <c r="LC41" s="110">
        <f t="shared" si="450"/>
        <v>0</v>
      </c>
      <c r="LD41" s="110">
        <f t="shared" si="451"/>
        <v>0</v>
      </c>
      <c r="LE41" s="110">
        <f t="shared" si="452"/>
        <v>0</v>
      </c>
      <c r="LF41" s="110">
        <f t="shared" si="453"/>
        <v>0</v>
      </c>
      <c r="LG41" s="110">
        <f t="shared" si="454"/>
        <v>0</v>
      </c>
      <c r="LH41" s="110">
        <f t="shared" si="455"/>
        <v>0</v>
      </c>
      <c r="LI41" s="110">
        <f t="shared" si="456"/>
        <v>0</v>
      </c>
      <c r="LJ41" s="110">
        <f t="shared" si="457"/>
        <v>0</v>
      </c>
      <c r="LK41" s="110">
        <f t="shared" si="458"/>
        <v>0</v>
      </c>
      <c r="LL41" s="110">
        <f t="shared" si="459"/>
        <v>0</v>
      </c>
      <c r="LM41" s="110">
        <f t="shared" si="460"/>
        <v>0</v>
      </c>
      <c r="LN41" s="110">
        <f t="shared" si="461"/>
        <v>0</v>
      </c>
      <c r="LO41" s="110">
        <f t="shared" si="462"/>
        <v>7.6699999999999875</v>
      </c>
      <c r="LP41" s="110">
        <f t="shared" si="463"/>
        <v>7.6699999999999875</v>
      </c>
      <c r="LQ41" s="110">
        <f t="shared" si="464"/>
        <v>7.6699999999999875</v>
      </c>
      <c r="LR41" s="110">
        <f t="shared" si="465"/>
        <v>7.6699999999999875</v>
      </c>
      <c r="LS41" s="110">
        <f t="shared" si="466"/>
        <v>7.6699999999999875</v>
      </c>
      <c r="LT41" s="110">
        <f t="shared" si="467"/>
        <v>7.6699999999999875</v>
      </c>
      <c r="LV41" s="111"/>
      <c r="LW41" s="110">
        <f t="shared" si="468"/>
        <v>0</v>
      </c>
      <c r="LX41" s="110">
        <f t="shared" si="469"/>
        <v>0</v>
      </c>
      <c r="LY41" s="110">
        <f t="shared" si="470"/>
        <v>0</v>
      </c>
      <c r="LZ41" s="110">
        <f t="shared" si="471"/>
        <v>0</v>
      </c>
      <c r="MA41" s="110">
        <f t="shared" si="472"/>
        <v>0</v>
      </c>
      <c r="MB41" s="110">
        <f t="shared" si="473"/>
        <v>0</v>
      </c>
      <c r="MC41" s="110">
        <f t="shared" si="474"/>
        <v>0</v>
      </c>
      <c r="MD41" s="110">
        <f t="shared" si="475"/>
        <v>0</v>
      </c>
      <c r="ME41" s="110">
        <f t="shared" si="476"/>
        <v>0</v>
      </c>
      <c r="MF41" s="110">
        <f t="shared" si="477"/>
        <v>0</v>
      </c>
      <c r="MG41" s="110">
        <f t="shared" si="478"/>
        <v>0</v>
      </c>
      <c r="MH41" s="110">
        <f t="shared" si="479"/>
        <v>0</v>
      </c>
      <c r="MI41" s="110">
        <f t="shared" si="480"/>
        <v>0</v>
      </c>
      <c r="MJ41" s="110">
        <f t="shared" si="481"/>
        <v>0</v>
      </c>
      <c r="MK41" s="110">
        <f t="shared" si="482"/>
        <v>0</v>
      </c>
      <c r="ML41" s="110">
        <f t="shared" si="483"/>
        <v>0</v>
      </c>
      <c r="MM41" s="110">
        <f t="shared" si="484"/>
        <v>0</v>
      </c>
      <c r="MN41" s="110">
        <f t="shared" si="485"/>
        <v>0</v>
      </c>
      <c r="MO41" s="110">
        <f t="shared" si="486"/>
        <v>0</v>
      </c>
      <c r="MP41" s="110">
        <f t="shared" si="487"/>
        <v>0</v>
      </c>
      <c r="MQ41" s="110">
        <f t="shared" si="488"/>
        <v>0</v>
      </c>
      <c r="MR41" s="110">
        <f t="shared" si="489"/>
        <v>0</v>
      </c>
      <c r="MS41" s="110">
        <f t="shared" si="490"/>
        <v>0</v>
      </c>
      <c r="MT41" s="110">
        <f t="shared" si="491"/>
        <v>0</v>
      </c>
      <c r="MV41" s="114">
        <v>226.67</v>
      </c>
      <c r="MW41" s="114">
        <v>0</v>
      </c>
      <c r="MX41" s="114">
        <v>7.6699999999999875</v>
      </c>
      <c r="MY41" s="114">
        <v>0</v>
      </c>
      <c r="MZ41" s="114">
        <v>0</v>
      </c>
      <c r="NB41" s="115">
        <v>47</v>
      </c>
      <c r="NC41" s="115" t="str">
        <v>N/A</v>
      </c>
      <c r="ND41" s="115">
        <v>32</v>
      </c>
      <c r="NE41" s="115" t="str">
        <v>N/A</v>
      </c>
      <c r="NF41" s="115" t="str">
        <v>N/A</v>
      </c>
    </row>
    <row r="42" spans="2:370" ht="13.5" x14ac:dyDescent="0.25">
      <c r="B42" s="8">
        <f t="shared" si="252"/>
        <v>39</v>
      </c>
      <c r="C42" s="7">
        <v>0</v>
      </c>
      <c r="D42" s="7">
        <v>0</v>
      </c>
      <c r="E42" s="7">
        <v>0</v>
      </c>
      <c r="F42" s="7">
        <v>0</v>
      </c>
      <c r="G42" s="7">
        <v>0</v>
      </c>
      <c r="H42" s="7">
        <v>0</v>
      </c>
      <c r="I42" s="7">
        <v>0</v>
      </c>
      <c r="J42" s="7">
        <v>0</v>
      </c>
      <c r="K42" s="7">
        <v>0</v>
      </c>
      <c r="L42" s="7">
        <v>0</v>
      </c>
      <c r="M42" s="7">
        <v>0</v>
      </c>
      <c r="N42" s="7">
        <v>0</v>
      </c>
      <c r="O42" s="7">
        <v>0</v>
      </c>
      <c r="P42" s="7">
        <v>0</v>
      </c>
      <c r="Q42" s="7">
        <v>0</v>
      </c>
      <c r="R42" s="7">
        <v>0</v>
      </c>
      <c r="S42" s="7">
        <v>0</v>
      </c>
      <c r="T42" s="7">
        <v>0</v>
      </c>
      <c r="U42" s="7">
        <v>0</v>
      </c>
      <c r="V42" s="7">
        <v>296.10000000000002</v>
      </c>
      <c r="W42" s="7">
        <v>296.10000000000002</v>
      </c>
      <c r="X42" s="7">
        <v>296.10000000000002</v>
      </c>
      <c r="Y42" s="7">
        <v>296.10000000000002</v>
      </c>
      <c r="Z42" s="7">
        <v>296.10000000000002</v>
      </c>
      <c r="AA42" s="7">
        <v>296.10000000000002</v>
      </c>
      <c r="AB42" s="7">
        <v>296.10000000000002</v>
      </c>
      <c r="AC42" s="7">
        <v>296.10000000000002</v>
      </c>
      <c r="AD42" s="7">
        <v>306.45999999999998</v>
      </c>
      <c r="AE42" s="7">
        <v>306.45999999999998</v>
      </c>
      <c r="AF42" s="7">
        <v>306.45999999999998</v>
      </c>
      <c r="AG42" s="7">
        <v>306.45999999999998</v>
      </c>
      <c r="AH42" s="7">
        <v>306.45999999999998</v>
      </c>
      <c r="AI42" s="7">
        <v>306.45999999999998</v>
      </c>
      <c r="AJ42" s="7">
        <v>306.45999999999998</v>
      </c>
      <c r="AK42" s="7">
        <v>306.45999999999998</v>
      </c>
      <c r="AL42" s="7">
        <v>306.45999999999998</v>
      </c>
      <c r="AM42" s="7">
        <v>306.45999999999998</v>
      </c>
      <c r="AN42" s="27">
        <v>39</v>
      </c>
      <c r="AP42" s="111"/>
      <c r="AQ42" s="110">
        <f t="shared" si="253"/>
        <v>0</v>
      </c>
      <c r="AR42" s="110">
        <f t="shared" si="254"/>
        <v>0</v>
      </c>
      <c r="AS42" s="110">
        <f t="shared" si="255"/>
        <v>0</v>
      </c>
      <c r="AT42" s="110">
        <f t="shared" si="256"/>
        <v>0</v>
      </c>
      <c r="AU42" s="110">
        <f t="shared" si="257"/>
        <v>0</v>
      </c>
      <c r="AV42" s="110">
        <f t="shared" si="258"/>
        <v>0</v>
      </c>
      <c r="AW42" s="110">
        <f t="shared" si="259"/>
        <v>296.10000000000002</v>
      </c>
      <c r="AX42" s="110">
        <f t="shared" si="260"/>
        <v>0</v>
      </c>
      <c r="AY42" s="110">
        <f t="shared" si="261"/>
        <v>10.359999999999957</v>
      </c>
      <c r="AZ42" s="110">
        <f t="shared" si="262"/>
        <v>0</v>
      </c>
      <c r="BA42" s="110">
        <f t="shared" si="263"/>
        <v>0</v>
      </c>
      <c r="BB42" s="110">
        <f t="shared" si="264"/>
        <v>0</v>
      </c>
      <c r="BD42" s="109" cm="1">
        <f t="array" ref="BD42">+IFERROR(INDEX($C$3:$AM$3,MATCH(TRUE,INDEX($C42:$AM42&lt;&gt;0,0),0)),"N/A")</f>
        <v>45504</v>
      </c>
      <c r="BE42" s="112"/>
      <c r="BF42" s="1" t="str" cm="1">
        <f t="array" ref="BF42">+_xlfn.IFS(BT42&lt;&gt;0,BT$2,CH42&lt;&gt;0,CH$2,CV42&lt;&gt;0,CV$2,DJ42&lt;&gt;0,DJ$2,TRUE,"")</f>
        <v/>
      </c>
      <c r="BG42" s="1" t="str" cm="1">
        <f t="array" ref="BG42">+_xlfn.IFS(BU42&lt;&gt;0,BU$2,CI42&lt;&gt;0,CI$2,CW42&lt;&gt;0,CW$2,DK42&lt;&gt;0,DK$2,TRUE,"")</f>
        <v/>
      </c>
      <c r="BH42" s="1" t="str" cm="1">
        <f t="array" ref="BH42">+_xlfn.IFS(BV42&lt;&gt;0,BV$2,CJ42&lt;&gt;0,CJ$2,CX42&lt;&gt;0,CX$2,DL42&lt;&gt;0,DL$2,TRUE,"")</f>
        <v/>
      </c>
      <c r="BI42" s="1" t="str" cm="1">
        <f t="array" ref="BI42">+_xlfn.IFS(BW42&lt;&gt;0,BW$2,CK42&lt;&gt;0,CK$2,CY42&lt;&gt;0,CY$2,DM42&lt;&gt;0,DM$2,TRUE,"")</f>
        <v/>
      </c>
      <c r="BJ42" s="1" t="str" cm="1">
        <f t="array" ref="BJ42">+_xlfn.IFS(BX42&lt;&gt;0,BX$2,CL42&lt;&gt;0,CL$2,CZ42&lt;&gt;0,CZ$2,DN42&lt;&gt;0,DN$2,TRUE,"")</f>
        <v/>
      </c>
      <c r="BK42" s="1" t="str" cm="1">
        <f t="array" ref="BK42">+_xlfn.IFS(BY42&lt;&gt;0,BY$2,CM42&lt;&gt;0,CM$2,DA42&lt;&gt;0,DA$2,DO42&lt;&gt;0,DO$2,TRUE,"")</f>
        <v/>
      </c>
      <c r="BL42" s="1" t="str" cm="1">
        <f t="array" ref="BL42">+_xlfn.IFS(BZ42&lt;&gt;0,BZ$2,CN42&lt;&gt;0,CN$2,DB42&lt;&gt;0,DB$2,DP42&lt;&gt;0,DP$2,TRUE,"")</f>
        <v>New</v>
      </c>
      <c r="BM42" s="1" t="str" cm="1">
        <f t="array" ref="BM42">+_xlfn.IFS(CA42&lt;&gt;0,CA$2,CO42&lt;&gt;0,CO$2,DC42&lt;&gt;0,DC$2,DQ42&lt;&gt;0,DQ$2,TRUE,"")</f>
        <v/>
      </c>
      <c r="BN42" s="1" t="str" cm="1">
        <f t="array" ref="BN42">+_xlfn.IFS(CB42&lt;&gt;0,CB$2,CP42&lt;&gt;0,CP$2,DD42&lt;&gt;0,DD$2,DR42&lt;&gt;0,DR$2,TRUE,"")</f>
        <v>Upsell</v>
      </c>
      <c r="BO42" s="1" t="str" cm="1">
        <f t="array" ref="BO42">+_xlfn.IFS(CC42&lt;&gt;0,CC$2,CQ42&lt;&gt;0,CQ$2,DE42&lt;&gt;0,DE$2,DS42&lt;&gt;0,DS$2,TRUE,"")</f>
        <v/>
      </c>
      <c r="BP42" s="1" t="str" cm="1">
        <f t="array" ref="BP42">+_xlfn.IFS(CD42&lt;&gt;0,CD$2,CR42&lt;&gt;0,CR$2,DF42&lt;&gt;0,DF$2,DT42&lt;&gt;0,DT$2,TRUE,"")</f>
        <v/>
      </c>
      <c r="BQ42" s="1" t="str" cm="1">
        <f t="array" ref="BQ42">+_xlfn.IFS(CE42&lt;&gt;0,CE$2,CS42&lt;&gt;0,CS$2,DG42&lt;&gt;0,DG$2,DU42&lt;&gt;0,DU$2,TRUE,"")</f>
        <v/>
      </c>
      <c r="BS42" s="111"/>
      <c r="BT42" s="110">
        <f t="shared" si="265"/>
        <v>0</v>
      </c>
      <c r="BU42" s="110">
        <f t="shared" si="266"/>
        <v>0</v>
      </c>
      <c r="BV42" s="110">
        <f t="shared" si="267"/>
        <v>0</v>
      </c>
      <c r="BW42" s="110">
        <f t="shared" si="268"/>
        <v>0</v>
      </c>
      <c r="BX42" s="110">
        <f t="shared" si="269"/>
        <v>0</v>
      </c>
      <c r="BY42" s="110">
        <f t="shared" si="270"/>
        <v>0</v>
      </c>
      <c r="BZ42" s="110">
        <f t="shared" si="271"/>
        <v>296.10000000000002</v>
      </c>
      <c r="CA42" s="110">
        <f t="shared" si="272"/>
        <v>0</v>
      </c>
      <c r="CB42" s="110">
        <f t="shared" si="273"/>
        <v>0</v>
      </c>
      <c r="CC42" s="110">
        <f t="shared" si="274"/>
        <v>0</v>
      </c>
      <c r="CD42" s="110">
        <f t="shared" si="275"/>
        <v>0</v>
      </c>
      <c r="CE42" s="110">
        <f t="shared" si="276"/>
        <v>0</v>
      </c>
      <c r="CG42" s="111"/>
      <c r="CH42" s="110">
        <f t="shared" si="277"/>
        <v>0</v>
      </c>
      <c r="CI42" s="110">
        <f t="shared" si="278"/>
        <v>0</v>
      </c>
      <c r="CJ42" s="110">
        <f t="shared" si="279"/>
        <v>0</v>
      </c>
      <c r="CK42" s="110">
        <f t="shared" si="280"/>
        <v>0</v>
      </c>
      <c r="CL42" s="110">
        <f t="shared" si="281"/>
        <v>0</v>
      </c>
      <c r="CM42" s="110">
        <f t="shared" si="282"/>
        <v>0</v>
      </c>
      <c r="CN42" s="110">
        <f t="shared" si="283"/>
        <v>0</v>
      </c>
      <c r="CO42" s="110">
        <f t="shared" si="284"/>
        <v>0</v>
      </c>
      <c r="CP42" s="110">
        <f t="shared" si="285"/>
        <v>0</v>
      </c>
      <c r="CQ42" s="110">
        <f t="shared" si="286"/>
        <v>0</v>
      </c>
      <c r="CR42" s="110">
        <f t="shared" si="287"/>
        <v>0</v>
      </c>
      <c r="CS42" s="110">
        <f t="shared" si="288"/>
        <v>0</v>
      </c>
      <c r="CU42" s="111"/>
      <c r="CV42" s="110">
        <f t="shared" si="289"/>
        <v>0</v>
      </c>
      <c r="CW42" s="110">
        <f t="shared" si="290"/>
        <v>0</v>
      </c>
      <c r="CX42" s="110">
        <f t="shared" si="291"/>
        <v>0</v>
      </c>
      <c r="CY42" s="110">
        <f t="shared" si="292"/>
        <v>0</v>
      </c>
      <c r="CZ42" s="110">
        <f t="shared" si="293"/>
        <v>0</v>
      </c>
      <c r="DA42" s="110">
        <f t="shared" si="294"/>
        <v>0</v>
      </c>
      <c r="DB42" s="110">
        <f t="shared" si="295"/>
        <v>0</v>
      </c>
      <c r="DC42" s="110">
        <f t="shared" si="296"/>
        <v>0</v>
      </c>
      <c r="DD42" s="110">
        <f t="shared" si="297"/>
        <v>0</v>
      </c>
      <c r="DE42" s="110">
        <f t="shared" si="298"/>
        <v>0</v>
      </c>
      <c r="DF42" s="110">
        <f t="shared" si="299"/>
        <v>0</v>
      </c>
      <c r="DG42" s="110">
        <f t="shared" si="300"/>
        <v>0</v>
      </c>
      <c r="DI42" s="111"/>
      <c r="DJ42" s="110">
        <f t="shared" si="301"/>
        <v>0</v>
      </c>
      <c r="DK42" s="110">
        <f t="shared" si="302"/>
        <v>0</v>
      </c>
      <c r="DL42" s="110">
        <f t="shared" si="303"/>
        <v>0</v>
      </c>
      <c r="DM42" s="110">
        <f t="shared" si="304"/>
        <v>0</v>
      </c>
      <c r="DN42" s="110">
        <f t="shared" si="305"/>
        <v>0</v>
      </c>
      <c r="DO42" s="110">
        <f t="shared" si="306"/>
        <v>0</v>
      </c>
      <c r="DP42" s="110">
        <f t="shared" si="307"/>
        <v>0</v>
      </c>
      <c r="DQ42" s="110">
        <f t="shared" si="308"/>
        <v>0</v>
      </c>
      <c r="DR42" s="110">
        <f t="shared" si="309"/>
        <v>10.359999999999957</v>
      </c>
      <c r="DS42" s="110">
        <f t="shared" si="310"/>
        <v>0</v>
      </c>
      <c r="DT42" s="110">
        <f t="shared" si="311"/>
        <v>0</v>
      </c>
      <c r="DU42" s="110">
        <f t="shared" si="312"/>
        <v>0</v>
      </c>
      <c r="DW42" s="111"/>
      <c r="DX42" s="110">
        <f t="shared" si="313"/>
        <v>0</v>
      </c>
      <c r="DY42" s="110">
        <f t="shared" si="314"/>
        <v>0</v>
      </c>
      <c r="DZ42" s="110">
        <f t="shared" si="315"/>
        <v>0</v>
      </c>
      <c r="EA42" s="110">
        <f t="shared" si="316"/>
        <v>0</v>
      </c>
      <c r="EB42" s="110">
        <f t="shared" si="317"/>
        <v>0</v>
      </c>
      <c r="EC42" s="110">
        <f t="shared" si="318"/>
        <v>0</v>
      </c>
      <c r="ED42" s="110">
        <f t="shared" si="319"/>
        <v>0</v>
      </c>
      <c r="EE42" s="110">
        <f t="shared" si="320"/>
        <v>0</v>
      </c>
      <c r="EF42" s="110">
        <f t="shared" si="321"/>
        <v>0</v>
      </c>
      <c r="EG42" s="110">
        <f t="shared" si="322"/>
        <v>0</v>
      </c>
      <c r="EH42" s="110">
        <f t="shared" si="323"/>
        <v>0</v>
      </c>
      <c r="EI42" s="110">
        <f t="shared" si="324"/>
        <v>0</v>
      </c>
      <c r="EK42" s="111"/>
      <c r="EL42" s="110">
        <f t="shared" si="325"/>
        <v>0</v>
      </c>
      <c r="EM42" s="110">
        <f t="shared" si="326"/>
        <v>296.10000000000002</v>
      </c>
      <c r="EN42" s="110">
        <f t="shared" si="327"/>
        <v>10.359999999999957</v>
      </c>
      <c r="EP42" s="109" cm="1">
        <f t="array" ref="EP42">+IFERROR(INDEX($C$3:$AM$3,MATCH(TRUE,INDEX($C42:$AM42&lt;&gt;0,0),0)),"N/A")</f>
        <v>45504</v>
      </c>
      <c r="EQ42" s="112"/>
      <c r="ER42" s="1" t="str" cm="1">
        <f t="array" ref="ER42">+_xlfn.IFS(EW42&lt;&gt;0,EW$2,FB42&lt;&gt;0,FB$2,FG42&lt;&gt;0,FG$2,FL42&lt;&gt;0,FL$2,TRUE,"")</f>
        <v/>
      </c>
      <c r="ES42" s="1" t="str" cm="1">
        <f t="array" ref="ES42">+_xlfn.IFS(EX42&lt;&gt;0,EX$2,FC42&lt;&gt;0,FC$2,FH42&lt;&gt;0,FH$2,FM42&lt;&gt;0,FM$2,TRUE,"")</f>
        <v>New</v>
      </c>
      <c r="ET42" s="1" t="str" cm="1">
        <f t="array" ref="ET42">+_xlfn.IFS(EY42&lt;&gt;0,EY$2,FD42&lt;&gt;0,FD$2,FI42&lt;&gt;0,FI$2,FN42&lt;&gt;0,FN$2,TRUE,"")</f>
        <v>Upsell</v>
      </c>
      <c r="EV42" s="111"/>
      <c r="EW42" s="110">
        <f t="shared" si="328"/>
        <v>0</v>
      </c>
      <c r="EX42" s="110">
        <f t="shared" si="329"/>
        <v>296.10000000000002</v>
      </c>
      <c r="EY42" s="110">
        <f t="shared" si="330"/>
        <v>0</v>
      </c>
      <c r="FA42" s="111"/>
      <c r="FB42" s="110">
        <f t="shared" si="331"/>
        <v>0</v>
      </c>
      <c r="FC42" s="110">
        <f t="shared" si="332"/>
        <v>0</v>
      </c>
      <c r="FD42" s="110">
        <f t="shared" si="333"/>
        <v>0</v>
      </c>
      <c r="FF42" s="111"/>
      <c r="FG42" s="110">
        <f t="shared" si="334"/>
        <v>0</v>
      </c>
      <c r="FH42" s="110">
        <f t="shared" si="335"/>
        <v>0</v>
      </c>
      <c r="FI42" s="110">
        <f t="shared" si="336"/>
        <v>0</v>
      </c>
      <c r="FK42" s="111"/>
      <c r="FL42" s="110">
        <f t="shared" si="337"/>
        <v>0</v>
      </c>
      <c r="FM42" s="110">
        <f t="shared" si="338"/>
        <v>0</v>
      </c>
      <c r="FN42" s="110">
        <f t="shared" si="339"/>
        <v>10.359999999999957</v>
      </c>
      <c r="FP42" s="111"/>
      <c r="FQ42" s="110">
        <f t="shared" si="340"/>
        <v>0</v>
      </c>
      <c r="FR42" s="110">
        <f t="shared" si="341"/>
        <v>0</v>
      </c>
      <c r="FS42" s="110">
        <f t="shared" si="342"/>
        <v>0</v>
      </c>
      <c r="FU42" s="111">
        <f t="shared" si="343"/>
        <v>0</v>
      </c>
      <c r="FV42" s="110">
        <f t="shared" si="344"/>
        <v>0</v>
      </c>
      <c r="FW42" s="110">
        <f t="shared" si="345"/>
        <v>0</v>
      </c>
      <c r="FX42" s="110">
        <f t="shared" si="346"/>
        <v>0</v>
      </c>
      <c r="FY42" s="110">
        <f t="shared" si="347"/>
        <v>0</v>
      </c>
      <c r="FZ42" s="110">
        <f t="shared" si="348"/>
        <v>0</v>
      </c>
      <c r="GA42" s="110">
        <f t="shared" si="349"/>
        <v>0</v>
      </c>
      <c r="GB42" s="110">
        <f t="shared" si="350"/>
        <v>296.10000000000002</v>
      </c>
      <c r="GC42" s="110">
        <f t="shared" si="351"/>
        <v>296.10000000000002</v>
      </c>
      <c r="GD42" s="110">
        <f t="shared" si="352"/>
        <v>296.10000000000002</v>
      </c>
      <c r="GE42" s="110">
        <f t="shared" si="353"/>
        <v>296.10000000000002</v>
      </c>
      <c r="GF42" s="110">
        <f t="shared" si="354"/>
        <v>296.10000000000002</v>
      </c>
      <c r="GG42" s="110">
        <f t="shared" si="355"/>
        <v>296.10000000000002</v>
      </c>
      <c r="GH42" s="110">
        <f t="shared" si="356"/>
        <v>296.10000000000002</v>
      </c>
      <c r="GI42" s="110">
        <f t="shared" si="357"/>
        <v>296.10000000000002</v>
      </c>
      <c r="GJ42" s="110">
        <f t="shared" si="358"/>
        <v>306.45999999999998</v>
      </c>
      <c r="GK42" s="110">
        <f t="shared" si="359"/>
        <v>306.45999999999998</v>
      </c>
      <c r="GL42" s="110">
        <f t="shared" si="360"/>
        <v>306.45999999999998</v>
      </c>
      <c r="GM42" s="110">
        <f t="shared" si="361"/>
        <v>306.45999999999998</v>
      </c>
      <c r="GN42" s="110">
        <f t="shared" si="362"/>
        <v>10.359999999999957</v>
      </c>
      <c r="GO42" s="110">
        <f t="shared" si="363"/>
        <v>10.359999999999957</v>
      </c>
      <c r="GP42" s="110">
        <f t="shared" si="364"/>
        <v>10.359999999999957</v>
      </c>
      <c r="GQ42" s="110">
        <f t="shared" si="365"/>
        <v>10.359999999999957</v>
      </c>
      <c r="GR42" s="110">
        <f t="shared" si="366"/>
        <v>10.359999999999957</v>
      </c>
      <c r="GS42" s="110">
        <f t="shared" si="367"/>
        <v>10.359999999999957</v>
      </c>
      <c r="GU42" s="109" cm="1">
        <f t="array" ref="GU42">+IFERROR(INDEX($C$3:$AM$3,MATCH(TRUE,INDEX($C42:$AM42&lt;&gt;0,0),0)),"N/A")</f>
        <v>45504</v>
      </c>
      <c r="GV42" s="112" t="str" cm="1">
        <f t="array" ref="GV42">+_xlfn.IFS(HV42&lt;&gt;0,HV$2,IV42&lt;&gt;0,IV$2,JV42&lt;&gt;0,JV$2,KV42&lt;&gt;0,KV$2,TRUE,"")</f>
        <v/>
      </c>
      <c r="GW42" s="1" t="str" cm="1">
        <f t="array" ref="GW42">+_xlfn.IFS(HW42&lt;&gt;0,HW$2,IW42&lt;&gt;0,IW$2,JW42&lt;&gt;0,JW$2,KW42&lt;&gt;0,KW$2,TRUE,"")</f>
        <v/>
      </c>
      <c r="GX42" s="1" t="str" cm="1">
        <f t="array" ref="GX42">+_xlfn.IFS(HX42&lt;&gt;0,HX$2,IX42&lt;&gt;0,IX$2,JX42&lt;&gt;0,JX$2,KX42&lt;&gt;0,KX$2,TRUE,"")</f>
        <v/>
      </c>
      <c r="GY42" s="1" t="str" cm="1">
        <f t="array" ref="GY42">+_xlfn.IFS(HY42&lt;&gt;0,HY$2,IY42&lt;&gt;0,IY$2,JY42&lt;&gt;0,JY$2,KY42&lt;&gt;0,KY$2,TRUE,"")</f>
        <v/>
      </c>
      <c r="GZ42" s="1" t="str" cm="1">
        <f t="array" ref="GZ42">+_xlfn.IFS(HZ42&lt;&gt;0,HZ$2,IZ42&lt;&gt;0,IZ$2,JZ42&lt;&gt;0,JZ$2,KZ42&lt;&gt;0,KZ$2,TRUE,"")</f>
        <v/>
      </c>
      <c r="HA42" s="1" t="str" cm="1">
        <f t="array" ref="HA42">+_xlfn.IFS(IA42&lt;&gt;0,IA$2,JA42&lt;&gt;0,JA$2,KA42&lt;&gt;0,KA$2,LA42&lt;&gt;0,LA$2,TRUE,"")</f>
        <v/>
      </c>
      <c r="HB42" s="1" t="str" cm="1">
        <f t="array" ref="HB42">+_xlfn.IFS(IB42&lt;&gt;0,IB$2,JB42&lt;&gt;0,JB$2,KB42&lt;&gt;0,KB$2,LB42&lt;&gt;0,LB$2,TRUE,"")</f>
        <v/>
      </c>
      <c r="HC42" s="1" t="str" cm="1">
        <f t="array" ref="HC42">+_xlfn.IFS(IC42&lt;&gt;0,IC$2,JC42&lt;&gt;0,JC$2,KC42&lt;&gt;0,KC$2,LC42&lt;&gt;0,LC$2,TRUE,"")</f>
        <v>New</v>
      </c>
      <c r="HD42" s="1" t="str" cm="1">
        <f t="array" ref="HD42">+_xlfn.IFS(ID42&lt;&gt;0,ID$2,JD42&lt;&gt;0,JD$2,KD42&lt;&gt;0,KD$2,LD42&lt;&gt;0,LD$2,TRUE,"")</f>
        <v>New</v>
      </c>
      <c r="HE42" s="1" t="str" cm="1">
        <f t="array" ref="HE42">+_xlfn.IFS(IE42&lt;&gt;0,IE$2,JE42&lt;&gt;0,JE$2,KE42&lt;&gt;0,KE$2,LE42&lt;&gt;0,LE$2,TRUE,"")</f>
        <v>New</v>
      </c>
      <c r="HF42" s="1" t="str" cm="1">
        <f t="array" ref="HF42">+_xlfn.IFS(IF42&lt;&gt;0,IF$2,JF42&lt;&gt;0,JF$2,KF42&lt;&gt;0,KF$2,LF42&lt;&gt;0,LF$2,TRUE,"")</f>
        <v>New</v>
      </c>
      <c r="HG42" s="1" t="str" cm="1">
        <f t="array" ref="HG42">+_xlfn.IFS(IG42&lt;&gt;0,IG$2,JG42&lt;&gt;0,JG$2,KG42&lt;&gt;0,KG$2,LG42&lt;&gt;0,LG$2,TRUE,"")</f>
        <v>New</v>
      </c>
      <c r="HH42" s="1" t="str" cm="1">
        <f t="array" ref="HH42">+_xlfn.IFS(IH42&lt;&gt;0,IH$2,JH42&lt;&gt;0,JH$2,KH42&lt;&gt;0,KH$2,LH42&lt;&gt;0,LH$2,TRUE,"")</f>
        <v>New</v>
      </c>
      <c r="HI42" s="1" t="str" cm="1">
        <f t="array" ref="HI42">+_xlfn.IFS(II42&lt;&gt;0,II$2,JI42&lt;&gt;0,JI$2,KI42&lt;&gt;0,KI$2,LI42&lt;&gt;0,LI$2,TRUE,"")</f>
        <v>New</v>
      </c>
      <c r="HJ42" s="1" t="str" cm="1">
        <f t="array" ref="HJ42">+_xlfn.IFS(IJ42&lt;&gt;0,IJ$2,JJ42&lt;&gt;0,JJ$2,KJ42&lt;&gt;0,KJ$2,LJ42&lt;&gt;0,LJ$2,TRUE,"")</f>
        <v>New</v>
      </c>
      <c r="HK42" s="1" t="str" cm="1">
        <f t="array" ref="HK42">+_xlfn.IFS(IK42&lt;&gt;0,IK$2,JK42&lt;&gt;0,JK$2,KK42&lt;&gt;0,KK$2,LK42&lt;&gt;0,LK$2,TRUE,"")</f>
        <v>New</v>
      </c>
      <c r="HL42" s="1" t="str" cm="1">
        <f t="array" ref="HL42">+_xlfn.IFS(IL42&lt;&gt;0,IL$2,JL42&lt;&gt;0,JL$2,KL42&lt;&gt;0,KL$2,LL42&lt;&gt;0,LL$2,TRUE,"")</f>
        <v>New</v>
      </c>
      <c r="HM42" s="1" t="str" cm="1">
        <f t="array" ref="HM42">+_xlfn.IFS(IM42&lt;&gt;0,IM$2,JM42&lt;&gt;0,JM$2,KM42&lt;&gt;0,KM$2,LM42&lt;&gt;0,LM$2,TRUE,"")</f>
        <v>New</v>
      </c>
      <c r="HN42" s="1" t="str" cm="1">
        <f t="array" ref="HN42">+_xlfn.IFS(IN42&lt;&gt;0,IN$2,JN42&lt;&gt;0,JN$2,KN42&lt;&gt;0,KN$2,LN42&lt;&gt;0,LN$2,TRUE,"")</f>
        <v>New</v>
      </c>
      <c r="HO42" s="1" t="str" cm="1">
        <f t="array" ref="HO42">+_xlfn.IFS(IO42&lt;&gt;0,IO$2,JO42&lt;&gt;0,JO$2,KO42&lt;&gt;0,KO$2,LO42&lt;&gt;0,LO$2,TRUE,"")</f>
        <v>Upsell</v>
      </c>
      <c r="HP42" s="1" t="str" cm="1">
        <f t="array" ref="HP42">+_xlfn.IFS(IP42&lt;&gt;0,IP$2,JP42&lt;&gt;0,JP$2,KP42&lt;&gt;0,KP$2,LP42&lt;&gt;0,LP$2,TRUE,"")</f>
        <v>Upsell</v>
      </c>
      <c r="HQ42" s="1" t="str" cm="1">
        <f t="array" ref="HQ42">+_xlfn.IFS(IQ42&lt;&gt;0,IQ$2,JQ42&lt;&gt;0,JQ$2,KQ42&lt;&gt;0,KQ$2,LQ42&lt;&gt;0,LQ$2,TRUE,"")</f>
        <v>Upsell</v>
      </c>
      <c r="HR42" s="1" t="str" cm="1">
        <f t="array" ref="HR42">+_xlfn.IFS(IR42&lt;&gt;0,IR$2,JR42&lt;&gt;0,JR$2,KR42&lt;&gt;0,KR$2,LR42&lt;&gt;0,LR$2,TRUE,"")</f>
        <v>Upsell</v>
      </c>
      <c r="HS42" s="1" t="str" cm="1">
        <f t="array" ref="HS42">+_xlfn.IFS(IS42&lt;&gt;0,IS$2,JS42&lt;&gt;0,JS$2,KS42&lt;&gt;0,KS$2,LS42&lt;&gt;0,LS$2,TRUE,"")</f>
        <v>Upsell</v>
      </c>
      <c r="HT42" s="1" t="str" cm="1">
        <f t="array" ref="HT42">+_xlfn.IFS(IT42&lt;&gt;0,IT$2,JT42&lt;&gt;0,JT$2,KT42&lt;&gt;0,KT$2,LT42&lt;&gt;0,LT$2,TRUE,"")</f>
        <v>Upsell</v>
      </c>
      <c r="HV42" s="111">
        <f t="shared" si="368"/>
        <v>0</v>
      </c>
      <c r="HW42" s="110">
        <f t="shared" si="369"/>
        <v>0</v>
      </c>
      <c r="HX42" s="110">
        <f t="shared" si="370"/>
        <v>0</v>
      </c>
      <c r="HY42" s="110">
        <f t="shared" si="371"/>
        <v>0</v>
      </c>
      <c r="HZ42" s="110">
        <f t="shared" si="372"/>
        <v>0</v>
      </c>
      <c r="IA42" s="110">
        <f t="shared" si="373"/>
        <v>0</v>
      </c>
      <c r="IB42" s="110">
        <f t="shared" si="374"/>
        <v>0</v>
      </c>
      <c r="IC42" s="110">
        <f t="shared" si="375"/>
        <v>296.10000000000002</v>
      </c>
      <c r="ID42" s="110">
        <f t="shared" si="376"/>
        <v>296.10000000000002</v>
      </c>
      <c r="IE42" s="110">
        <f t="shared" si="377"/>
        <v>296.10000000000002</v>
      </c>
      <c r="IF42" s="110">
        <f t="shared" si="378"/>
        <v>296.10000000000002</v>
      </c>
      <c r="IG42" s="110">
        <f t="shared" si="379"/>
        <v>296.10000000000002</v>
      </c>
      <c r="IH42" s="110">
        <f t="shared" si="380"/>
        <v>296.10000000000002</v>
      </c>
      <c r="II42" s="110">
        <f t="shared" si="381"/>
        <v>296.10000000000002</v>
      </c>
      <c r="IJ42" s="110">
        <f t="shared" si="382"/>
        <v>296.10000000000002</v>
      </c>
      <c r="IK42" s="110">
        <f t="shared" si="383"/>
        <v>306.45999999999998</v>
      </c>
      <c r="IL42" s="110">
        <f t="shared" si="384"/>
        <v>306.45999999999998</v>
      </c>
      <c r="IM42" s="110">
        <f t="shared" si="385"/>
        <v>306.45999999999998</v>
      </c>
      <c r="IN42" s="110">
        <f t="shared" si="386"/>
        <v>306.45999999999998</v>
      </c>
      <c r="IO42" s="110">
        <f t="shared" si="387"/>
        <v>0</v>
      </c>
      <c r="IP42" s="110">
        <f t="shared" si="388"/>
        <v>0</v>
      </c>
      <c r="IQ42" s="110">
        <f t="shared" si="389"/>
        <v>0</v>
      </c>
      <c r="IR42" s="110">
        <f t="shared" si="390"/>
        <v>0</v>
      </c>
      <c r="IS42" s="110">
        <f t="shared" si="391"/>
        <v>0</v>
      </c>
      <c r="IT42" s="110">
        <f t="shared" si="392"/>
        <v>0</v>
      </c>
      <c r="IV42" s="111">
        <f t="shared" si="393"/>
        <v>0</v>
      </c>
      <c r="IW42" s="110">
        <f t="shared" si="394"/>
        <v>0</v>
      </c>
      <c r="IX42" s="110">
        <f t="shared" si="395"/>
        <v>0</v>
      </c>
      <c r="IY42" s="110">
        <f t="shared" si="396"/>
        <v>0</v>
      </c>
      <c r="IZ42" s="110">
        <f t="shared" si="397"/>
        <v>0</v>
      </c>
      <c r="JA42" s="110">
        <f t="shared" si="398"/>
        <v>0</v>
      </c>
      <c r="JB42" s="110">
        <f t="shared" si="399"/>
        <v>0</v>
      </c>
      <c r="JC42" s="110">
        <f t="shared" si="400"/>
        <v>0</v>
      </c>
      <c r="JD42" s="110">
        <f t="shared" si="401"/>
        <v>0</v>
      </c>
      <c r="JE42" s="110">
        <f t="shared" si="402"/>
        <v>0</v>
      </c>
      <c r="JF42" s="110">
        <f t="shared" si="403"/>
        <v>0</v>
      </c>
      <c r="JG42" s="110">
        <f t="shared" si="404"/>
        <v>0</v>
      </c>
      <c r="JH42" s="110">
        <f t="shared" si="405"/>
        <v>0</v>
      </c>
      <c r="JI42" s="110">
        <f t="shared" si="406"/>
        <v>0</v>
      </c>
      <c r="JJ42" s="110">
        <f t="shared" si="407"/>
        <v>0</v>
      </c>
      <c r="JK42" s="110">
        <f t="shared" si="408"/>
        <v>0</v>
      </c>
      <c r="JL42" s="110">
        <f t="shared" si="409"/>
        <v>0</v>
      </c>
      <c r="JM42" s="110">
        <f t="shared" si="410"/>
        <v>0</v>
      </c>
      <c r="JN42" s="110">
        <f t="shared" si="411"/>
        <v>0</v>
      </c>
      <c r="JO42" s="110">
        <f t="shared" si="412"/>
        <v>0</v>
      </c>
      <c r="JP42" s="110">
        <f t="shared" si="413"/>
        <v>0</v>
      </c>
      <c r="JQ42" s="110">
        <f t="shared" si="414"/>
        <v>0</v>
      </c>
      <c r="JR42" s="110">
        <f t="shared" si="415"/>
        <v>0</v>
      </c>
      <c r="JS42" s="110">
        <f t="shared" si="416"/>
        <v>0</v>
      </c>
      <c r="JT42" s="110">
        <f t="shared" si="417"/>
        <v>0</v>
      </c>
      <c r="JV42" s="111">
        <f t="shared" si="418"/>
        <v>0</v>
      </c>
      <c r="JW42" s="110">
        <f t="shared" si="419"/>
        <v>0</v>
      </c>
      <c r="JX42" s="110">
        <f t="shared" si="420"/>
        <v>0</v>
      </c>
      <c r="JY42" s="110">
        <f t="shared" si="421"/>
        <v>0</v>
      </c>
      <c r="JZ42" s="110">
        <f t="shared" si="422"/>
        <v>0</v>
      </c>
      <c r="KA42" s="110">
        <f t="shared" si="423"/>
        <v>0</v>
      </c>
      <c r="KB42" s="110">
        <f t="shared" si="424"/>
        <v>0</v>
      </c>
      <c r="KC42" s="110">
        <f t="shared" si="425"/>
        <v>0</v>
      </c>
      <c r="KD42" s="110">
        <f t="shared" si="426"/>
        <v>0</v>
      </c>
      <c r="KE42" s="110">
        <f t="shared" si="427"/>
        <v>0</v>
      </c>
      <c r="KF42" s="110">
        <f t="shared" si="428"/>
        <v>0</v>
      </c>
      <c r="KG42" s="110">
        <f t="shared" si="429"/>
        <v>0</v>
      </c>
      <c r="KH42" s="110">
        <f t="shared" si="430"/>
        <v>0</v>
      </c>
      <c r="KI42" s="110">
        <f t="shared" si="431"/>
        <v>0</v>
      </c>
      <c r="KJ42" s="110">
        <f t="shared" si="432"/>
        <v>0</v>
      </c>
      <c r="KK42" s="110">
        <f t="shared" si="433"/>
        <v>0</v>
      </c>
      <c r="KL42" s="110">
        <f t="shared" si="434"/>
        <v>0</v>
      </c>
      <c r="KM42" s="110">
        <f t="shared" si="435"/>
        <v>0</v>
      </c>
      <c r="KN42" s="110">
        <f t="shared" si="436"/>
        <v>0</v>
      </c>
      <c r="KO42" s="110">
        <f t="shared" si="437"/>
        <v>0</v>
      </c>
      <c r="KP42" s="110">
        <f t="shared" si="438"/>
        <v>0</v>
      </c>
      <c r="KQ42" s="110">
        <f t="shared" si="439"/>
        <v>0</v>
      </c>
      <c r="KR42" s="110">
        <f t="shared" si="440"/>
        <v>0</v>
      </c>
      <c r="KS42" s="110">
        <f t="shared" si="441"/>
        <v>0</v>
      </c>
      <c r="KT42" s="110">
        <f t="shared" si="442"/>
        <v>0</v>
      </c>
      <c r="KV42" s="111">
        <f t="shared" si="443"/>
        <v>0</v>
      </c>
      <c r="KW42" s="110">
        <f t="shared" si="444"/>
        <v>0</v>
      </c>
      <c r="KX42" s="110">
        <f t="shared" si="445"/>
        <v>0</v>
      </c>
      <c r="KY42" s="110">
        <f t="shared" si="446"/>
        <v>0</v>
      </c>
      <c r="KZ42" s="110">
        <f t="shared" si="447"/>
        <v>0</v>
      </c>
      <c r="LA42" s="110">
        <f t="shared" si="448"/>
        <v>0</v>
      </c>
      <c r="LB42" s="110">
        <f t="shared" si="449"/>
        <v>0</v>
      </c>
      <c r="LC42" s="110">
        <f t="shared" si="450"/>
        <v>0</v>
      </c>
      <c r="LD42" s="110">
        <f t="shared" si="451"/>
        <v>0</v>
      </c>
      <c r="LE42" s="110">
        <f t="shared" si="452"/>
        <v>0</v>
      </c>
      <c r="LF42" s="110">
        <f t="shared" si="453"/>
        <v>0</v>
      </c>
      <c r="LG42" s="110">
        <f t="shared" si="454"/>
        <v>0</v>
      </c>
      <c r="LH42" s="110">
        <f t="shared" si="455"/>
        <v>0</v>
      </c>
      <c r="LI42" s="110">
        <f t="shared" si="456"/>
        <v>0</v>
      </c>
      <c r="LJ42" s="110">
        <f t="shared" si="457"/>
        <v>0</v>
      </c>
      <c r="LK42" s="110">
        <f t="shared" si="458"/>
        <v>0</v>
      </c>
      <c r="LL42" s="110">
        <f t="shared" si="459"/>
        <v>0</v>
      </c>
      <c r="LM42" s="110">
        <f t="shared" si="460"/>
        <v>0</v>
      </c>
      <c r="LN42" s="110">
        <f t="shared" si="461"/>
        <v>0</v>
      </c>
      <c r="LO42" s="110">
        <f t="shared" si="462"/>
        <v>10.359999999999957</v>
      </c>
      <c r="LP42" s="110">
        <f t="shared" si="463"/>
        <v>10.359999999999957</v>
      </c>
      <c r="LQ42" s="110">
        <f t="shared" si="464"/>
        <v>10.359999999999957</v>
      </c>
      <c r="LR42" s="110">
        <f t="shared" si="465"/>
        <v>10.359999999999957</v>
      </c>
      <c r="LS42" s="110">
        <f t="shared" si="466"/>
        <v>10.359999999999957</v>
      </c>
      <c r="LT42" s="110">
        <f t="shared" si="467"/>
        <v>10.359999999999957</v>
      </c>
      <c r="LV42" s="111"/>
      <c r="LW42" s="110">
        <f t="shared" si="468"/>
        <v>0</v>
      </c>
      <c r="LX42" s="110">
        <f t="shared" si="469"/>
        <v>0</v>
      </c>
      <c r="LY42" s="110">
        <f t="shared" si="470"/>
        <v>0</v>
      </c>
      <c r="LZ42" s="110">
        <f t="shared" si="471"/>
        <v>0</v>
      </c>
      <c r="MA42" s="110">
        <f t="shared" si="472"/>
        <v>0</v>
      </c>
      <c r="MB42" s="110">
        <f t="shared" si="473"/>
        <v>0</v>
      </c>
      <c r="MC42" s="110">
        <f t="shared" si="474"/>
        <v>0</v>
      </c>
      <c r="MD42" s="110">
        <f t="shared" si="475"/>
        <v>0</v>
      </c>
      <c r="ME42" s="110">
        <f t="shared" si="476"/>
        <v>0</v>
      </c>
      <c r="MF42" s="110">
        <f t="shared" si="477"/>
        <v>0</v>
      </c>
      <c r="MG42" s="110">
        <f t="shared" si="478"/>
        <v>0</v>
      </c>
      <c r="MH42" s="110">
        <f t="shared" si="479"/>
        <v>0</v>
      </c>
      <c r="MI42" s="110">
        <f t="shared" si="480"/>
        <v>0</v>
      </c>
      <c r="MJ42" s="110">
        <f t="shared" si="481"/>
        <v>0</v>
      </c>
      <c r="MK42" s="110">
        <f t="shared" si="482"/>
        <v>0</v>
      </c>
      <c r="ML42" s="110">
        <f t="shared" si="483"/>
        <v>0</v>
      </c>
      <c r="MM42" s="110">
        <f t="shared" si="484"/>
        <v>0</v>
      </c>
      <c r="MN42" s="110">
        <f t="shared" si="485"/>
        <v>0</v>
      </c>
      <c r="MO42" s="110">
        <f t="shared" si="486"/>
        <v>0</v>
      </c>
      <c r="MP42" s="110">
        <f t="shared" si="487"/>
        <v>0</v>
      </c>
      <c r="MQ42" s="110">
        <f t="shared" si="488"/>
        <v>0</v>
      </c>
      <c r="MR42" s="110">
        <f t="shared" si="489"/>
        <v>0</v>
      </c>
      <c r="MS42" s="110">
        <f t="shared" si="490"/>
        <v>0</v>
      </c>
      <c r="MT42" s="110">
        <f t="shared" si="491"/>
        <v>0</v>
      </c>
      <c r="MV42" s="114">
        <v>306.45999999999998</v>
      </c>
      <c r="MW42" s="114">
        <v>0</v>
      </c>
      <c r="MX42" s="114">
        <v>10.359999999999957</v>
      </c>
      <c r="MY42" s="114">
        <v>0</v>
      </c>
      <c r="MZ42" s="114">
        <v>0</v>
      </c>
      <c r="NB42" s="115">
        <v>21</v>
      </c>
      <c r="NC42" s="115" t="str">
        <v>N/A</v>
      </c>
      <c r="ND42" s="115">
        <v>17</v>
      </c>
      <c r="NE42" s="115" t="str">
        <v>N/A</v>
      </c>
      <c r="NF42" s="115" t="str">
        <v>N/A</v>
      </c>
    </row>
    <row r="43" spans="2:370" ht="13.5" x14ac:dyDescent="0.25">
      <c r="B43" s="8">
        <f t="shared" si="252"/>
        <v>40</v>
      </c>
      <c r="C43" s="7">
        <v>0</v>
      </c>
      <c r="D43" s="7">
        <v>0</v>
      </c>
      <c r="E43" s="7">
        <v>0</v>
      </c>
      <c r="F43" s="7">
        <v>0</v>
      </c>
      <c r="G43" s="7">
        <v>0</v>
      </c>
      <c r="H43" s="7">
        <v>0</v>
      </c>
      <c r="I43" s="7">
        <v>0</v>
      </c>
      <c r="J43" s="7">
        <v>0</v>
      </c>
      <c r="K43" s="7">
        <v>0</v>
      </c>
      <c r="L43" s="7">
        <v>0</v>
      </c>
      <c r="M43" s="7">
        <v>0</v>
      </c>
      <c r="N43" s="7">
        <v>0</v>
      </c>
      <c r="O43" s="7">
        <v>0</v>
      </c>
      <c r="P43" s="7">
        <v>0</v>
      </c>
      <c r="Q43" s="7">
        <v>0</v>
      </c>
      <c r="R43" s="7">
        <v>0</v>
      </c>
      <c r="S43" s="7">
        <v>0</v>
      </c>
      <c r="T43" s="7">
        <v>0</v>
      </c>
      <c r="U43" s="7">
        <v>0</v>
      </c>
      <c r="V43" s="7">
        <v>239</v>
      </c>
      <c r="W43" s="7">
        <v>239</v>
      </c>
      <c r="X43" s="7">
        <v>239</v>
      </c>
      <c r="Y43" s="7">
        <v>239</v>
      </c>
      <c r="Z43" s="7">
        <v>239</v>
      </c>
      <c r="AA43" s="7">
        <v>239</v>
      </c>
      <c r="AB43" s="7">
        <v>239</v>
      </c>
      <c r="AC43" s="7">
        <v>239</v>
      </c>
      <c r="AD43" s="7">
        <v>247.37</v>
      </c>
      <c r="AE43" s="7">
        <v>247.37</v>
      </c>
      <c r="AF43" s="7">
        <v>247.37</v>
      </c>
      <c r="AG43" s="7">
        <v>247.37</v>
      </c>
      <c r="AH43" s="7">
        <v>247.37</v>
      </c>
      <c r="AI43" s="7">
        <v>247.37</v>
      </c>
      <c r="AJ43" s="7">
        <v>247.37</v>
      </c>
      <c r="AK43" s="7">
        <v>247.37</v>
      </c>
      <c r="AL43" s="7">
        <v>247.37</v>
      </c>
      <c r="AM43" s="7">
        <v>247.37</v>
      </c>
      <c r="AN43" s="27">
        <v>40</v>
      </c>
      <c r="AP43" s="111"/>
      <c r="AQ43" s="110">
        <f t="shared" si="253"/>
        <v>0</v>
      </c>
      <c r="AR43" s="110">
        <f t="shared" si="254"/>
        <v>0</v>
      </c>
      <c r="AS43" s="110">
        <f t="shared" si="255"/>
        <v>0</v>
      </c>
      <c r="AT43" s="110">
        <f t="shared" si="256"/>
        <v>0</v>
      </c>
      <c r="AU43" s="110">
        <f t="shared" si="257"/>
        <v>0</v>
      </c>
      <c r="AV43" s="110">
        <f t="shared" si="258"/>
        <v>0</v>
      </c>
      <c r="AW43" s="110">
        <f t="shared" si="259"/>
        <v>239</v>
      </c>
      <c r="AX43" s="110">
        <f t="shared" si="260"/>
        <v>0</v>
      </c>
      <c r="AY43" s="110">
        <f t="shared" si="261"/>
        <v>8.3700000000000045</v>
      </c>
      <c r="AZ43" s="110">
        <f t="shared" si="262"/>
        <v>0</v>
      </c>
      <c r="BA43" s="110">
        <f t="shared" si="263"/>
        <v>0</v>
      </c>
      <c r="BB43" s="110">
        <f t="shared" si="264"/>
        <v>0</v>
      </c>
      <c r="BD43" s="109" cm="1">
        <f t="array" ref="BD43">+IFERROR(INDEX($C$3:$AM$3,MATCH(TRUE,INDEX($C43:$AM43&lt;&gt;0,0),0)),"N/A")</f>
        <v>45504</v>
      </c>
      <c r="BE43" s="112"/>
      <c r="BF43" s="1" t="str" cm="1">
        <f t="array" ref="BF43">+_xlfn.IFS(BT43&lt;&gt;0,BT$2,CH43&lt;&gt;0,CH$2,CV43&lt;&gt;0,CV$2,DJ43&lt;&gt;0,DJ$2,TRUE,"")</f>
        <v/>
      </c>
      <c r="BG43" s="1" t="str" cm="1">
        <f t="array" ref="BG43">+_xlfn.IFS(BU43&lt;&gt;0,BU$2,CI43&lt;&gt;0,CI$2,CW43&lt;&gt;0,CW$2,DK43&lt;&gt;0,DK$2,TRUE,"")</f>
        <v/>
      </c>
      <c r="BH43" s="1" t="str" cm="1">
        <f t="array" ref="BH43">+_xlfn.IFS(BV43&lt;&gt;0,BV$2,CJ43&lt;&gt;0,CJ$2,CX43&lt;&gt;0,CX$2,DL43&lt;&gt;0,DL$2,TRUE,"")</f>
        <v/>
      </c>
      <c r="BI43" s="1" t="str" cm="1">
        <f t="array" ref="BI43">+_xlfn.IFS(BW43&lt;&gt;0,BW$2,CK43&lt;&gt;0,CK$2,CY43&lt;&gt;0,CY$2,DM43&lt;&gt;0,DM$2,TRUE,"")</f>
        <v/>
      </c>
      <c r="BJ43" s="1" t="str" cm="1">
        <f t="array" ref="BJ43">+_xlfn.IFS(BX43&lt;&gt;0,BX$2,CL43&lt;&gt;0,CL$2,CZ43&lt;&gt;0,CZ$2,DN43&lt;&gt;0,DN$2,TRUE,"")</f>
        <v/>
      </c>
      <c r="BK43" s="1" t="str" cm="1">
        <f t="array" ref="BK43">+_xlfn.IFS(BY43&lt;&gt;0,BY$2,CM43&lt;&gt;0,CM$2,DA43&lt;&gt;0,DA$2,DO43&lt;&gt;0,DO$2,TRUE,"")</f>
        <v/>
      </c>
      <c r="BL43" s="1" t="str" cm="1">
        <f t="array" ref="BL43">+_xlfn.IFS(BZ43&lt;&gt;0,BZ$2,CN43&lt;&gt;0,CN$2,DB43&lt;&gt;0,DB$2,DP43&lt;&gt;0,DP$2,TRUE,"")</f>
        <v>New</v>
      </c>
      <c r="BM43" s="1" t="str" cm="1">
        <f t="array" ref="BM43">+_xlfn.IFS(CA43&lt;&gt;0,CA$2,CO43&lt;&gt;0,CO$2,DC43&lt;&gt;0,DC$2,DQ43&lt;&gt;0,DQ$2,TRUE,"")</f>
        <v/>
      </c>
      <c r="BN43" s="1" t="str" cm="1">
        <f t="array" ref="BN43">+_xlfn.IFS(CB43&lt;&gt;0,CB$2,CP43&lt;&gt;0,CP$2,DD43&lt;&gt;0,DD$2,DR43&lt;&gt;0,DR$2,TRUE,"")</f>
        <v>Upsell</v>
      </c>
      <c r="BO43" s="1" t="str" cm="1">
        <f t="array" ref="BO43">+_xlfn.IFS(CC43&lt;&gt;0,CC$2,CQ43&lt;&gt;0,CQ$2,DE43&lt;&gt;0,DE$2,DS43&lt;&gt;0,DS$2,TRUE,"")</f>
        <v/>
      </c>
      <c r="BP43" s="1" t="str" cm="1">
        <f t="array" ref="BP43">+_xlfn.IFS(CD43&lt;&gt;0,CD$2,CR43&lt;&gt;0,CR$2,DF43&lt;&gt;0,DF$2,DT43&lt;&gt;0,DT$2,TRUE,"")</f>
        <v/>
      </c>
      <c r="BQ43" s="1" t="str" cm="1">
        <f t="array" ref="BQ43">+_xlfn.IFS(CE43&lt;&gt;0,CE$2,CS43&lt;&gt;0,CS$2,DG43&lt;&gt;0,DG$2,DU43&lt;&gt;0,DU$2,TRUE,"")</f>
        <v/>
      </c>
      <c r="BS43" s="111"/>
      <c r="BT43" s="110">
        <f t="shared" si="265"/>
        <v>0</v>
      </c>
      <c r="BU43" s="110">
        <f t="shared" si="266"/>
        <v>0</v>
      </c>
      <c r="BV43" s="110">
        <f t="shared" si="267"/>
        <v>0</v>
      </c>
      <c r="BW43" s="110">
        <f t="shared" si="268"/>
        <v>0</v>
      </c>
      <c r="BX43" s="110">
        <f t="shared" si="269"/>
        <v>0</v>
      </c>
      <c r="BY43" s="110">
        <f t="shared" si="270"/>
        <v>0</v>
      </c>
      <c r="BZ43" s="110">
        <f t="shared" si="271"/>
        <v>239</v>
      </c>
      <c r="CA43" s="110">
        <f t="shared" si="272"/>
        <v>0</v>
      </c>
      <c r="CB43" s="110">
        <f t="shared" si="273"/>
        <v>0</v>
      </c>
      <c r="CC43" s="110">
        <f t="shared" si="274"/>
        <v>0</v>
      </c>
      <c r="CD43" s="110">
        <f t="shared" si="275"/>
        <v>0</v>
      </c>
      <c r="CE43" s="110">
        <f t="shared" si="276"/>
        <v>0</v>
      </c>
      <c r="CG43" s="111"/>
      <c r="CH43" s="110">
        <f t="shared" si="277"/>
        <v>0</v>
      </c>
      <c r="CI43" s="110">
        <f t="shared" si="278"/>
        <v>0</v>
      </c>
      <c r="CJ43" s="110">
        <f t="shared" si="279"/>
        <v>0</v>
      </c>
      <c r="CK43" s="110">
        <f t="shared" si="280"/>
        <v>0</v>
      </c>
      <c r="CL43" s="110">
        <f t="shared" si="281"/>
        <v>0</v>
      </c>
      <c r="CM43" s="110">
        <f t="shared" si="282"/>
        <v>0</v>
      </c>
      <c r="CN43" s="110">
        <f t="shared" si="283"/>
        <v>0</v>
      </c>
      <c r="CO43" s="110">
        <f t="shared" si="284"/>
        <v>0</v>
      </c>
      <c r="CP43" s="110">
        <f t="shared" si="285"/>
        <v>0</v>
      </c>
      <c r="CQ43" s="110">
        <f t="shared" si="286"/>
        <v>0</v>
      </c>
      <c r="CR43" s="110">
        <f t="shared" si="287"/>
        <v>0</v>
      </c>
      <c r="CS43" s="110">
        <f t="shared" si="288"/>
        <v>0</v>
      </c>
      <c r="CU43" s="111"/>
      <c r="CV43" s="110">
        <f t="shared" si="289"/>
        <v>0</v>
      </c>
      <c r="CW43" s="110">
        <f t="shared" si="290"/>
        <v>0</v>
      </c>
      <c r="CX43" s="110">
        <f t="shared" si="291"/>
        <v>0</v>
      </c>
      <c r="CY43" s="110">
        <f t="shared" si="292"/>
        <v>0</v>
      </c>
      <c r="CZ43" s="110">
        <f t="shared" si="293"/>
        <v>0</v>
      </c>
      <c r="DA43" s="110">
        <f t="shared" si="294"/>
        <v>0</v>
      </c>
      <c r="DB43" s="110">
        <f t="shared" si="295"/>
        <v>0</v>
      </c>
      <c r="DC43" s="110">
        <f t="shared" si="296"/>
        <v>0</v>
      </c>
      <c r="DD43" s="110">
        <f t="shared" si="297"/>
        <v>0</v>
      </c>
      <c r="DE43" s="110">
        <f t="shared" si="298"/>
        <v>0</v>
      </c>
      <c r="DF43" s="110">
        <f t="shared" si="299"/>
        <v>0</v>
      </c>
      <c r="DG43" s="110">
        <f t="shared" si="300"/>
        <v>0</v>
      </c>
      <c r="DI43" s="111"/>
      <c r="DJ43" s="110">
        <f t="shared" si="301"/>
        <v>0</v>
      </c>
      <c r="DK43" s="110">
        <f t="shared" si="302"/>
        <v>0</v>
      </c>
      <c r="DL43" s="110">
        <f t="shared" si="303"/>
        <v>0</v>
      </c>
      <c r="DM43" s="110">
        <f t="shared" si="304"/>
        <v>0</v>
      </c>
      <c r="DN43" s="110">
        <f t="shared" si="305"/>
        <v>0</v>
      </c>
      <c r="DO43" s="110">
        <f t="shared" si="306"/>
        <v>0</v>
      </c>
      <c r="DP43" s="110">
        <f t="shared" si="307"/>
        <v>0</v>
      </c>
      <c r="DQ43" s="110">
        <f t="shared" si="308"/>
        <v>0</v>
      </c>
      <c r="DR43" s="110">
        <f t="shared" si="309"/>
        <v>8.3700000000000045</v>
      </c>
      <c r="DS43" s="110">
        <f t="shared" si="310"/>
        <v>0</v>
      </c>
      <c r="DT43" s="110">
        <f t="shared" si="311"/>
        <v>0</v>
      </c>
      <c r="DU43" s="110">
        <f t="shared" si="312"/>
        <v>0</v>
      </c>
      <c r="DW43" s="111"/>
      <c r="DX43" s="110">
        <f t="shared" si="313"/>
        <v>0</v>
      </c>
      <c r="DY43" s="110">
        <f t="shared" si="314"/>
        <v>0</v>
      </c>
      <c r="DZ43" s="110">
        <f t="shared" si="315"/>
        <v>0</v>
      </c>
      <c r="EA43" s="110">
        <f t="shared" si="316"/>
        <v>0</v>
      </c>
      <c r="EB43" s="110">
        <f t="shared" si="317"/>
        <v>0</v>
      </c>
      <c r="EC43" s="110">
        <f t="shared" si="318"/>
        <v>0</v>
      </c>
      <c r="ED43" s="110">
        <f t="shared" si="319"/>
        <v>0</v>
      </c>
      <c r="EE43" s="110">
        <f t="shared" si="320"/>
        <v>0</v>
      </c>
      <c r="EF43" s="110">
        <f t="shared" si="321"/>
        <v>0</v>
      </c>
      <c r="EG43" s="110">
        <f t="shared" si="322"/>
        <v>0</v>
      </c>
      <c r="EH43" s="110">
        <f t="shared" si="323"/>
        <v>0</v>
      </c>
      <c r="EI43" s="110">
        <f t="shared" si="324"/>
        <v>0</v>
      </c>
      <c r="EK43" s="111"/>
      <c r="EL43" s="110">
        <f t="shared" si="325"/>
        <v>0</v>
      </c>
      <c r="EM43" s="110">
        <f t="shared" si="326"/>
        <v>239</v>
      </c>
      <c r="EN43" s="110">
        <f t="shared" si="327"/>
        <v>8.3700000000000045</v>
      </c>
      <c r="EP43" s="109" cm="1">
        <f t="array" ref="EP43">+IFERROR(INDEX($C$3:$AM$3,MATCH(TRUE,INDEX($C43:$AM43&lt;&gt;0,0),0)),"N/A")</f>
        <v>45504</v>
      </c>
      <c r="EQ43" s="112"/>
      <c r="ER43" s="1" t="str" cm="1">
        <f t="array" ref="ER43">+_xlfn.IFS(EW43&lt;&gt;0,EW$2,FB43&lt;&gt;0,FB$2,FG43&lt;&gt;0,FG$2,FL43&lt;&gt;0,FL$2,TRUE,"")</f>
        <v/>
      </c>
      <c r="ES43" s="1" t="str" cm="1">
        <f t="array" ref="ES43">+_xlfn.IFS(EX43&lt;&gt;0,EX$2,FC43&lt;&gt;0,FC$2,FH43&lt;&gt;0,FH$2,FM43&lt;&gt;0,FM$2,TRUE,"")</f>
        <v>New</v>
      </c>
      <c r="ET43" s="1" t="str" cm="1">
        <f t="array" ref="ET43">+_xlfn.IFS(EY43&lt;&gt;0,EY$2,FD43&lt;&gt;0,FD$2,FI43&lt;&gt;0,FI$2,FN43&lt;&gt;0,FN$2,TRUE,"")</f>
        <v>Upsell</v>
      </c>
      <c r="EV43" s="111"/>
      <c r="EW43" s="110">
        <f t="shared" si="328"/>
        <v>0</v>
      </c>
      <c r="EX43" s="110">
        <f t="shared" si="329"/>
        <v>239</v>
      </c>
      <c r="EY43" s="110">
        <f t="shared" si="330"/>
        <v>0</v>
      </c>
      <c r="FA43" s="111"/>
      <c r="FB43" s="110">
        <f t="shared" si="331"/>
        <v>0</v>
      </c>
      <c r="FC43" s="110">
        <f t="shared" si="332"/>
        <v>0</v>
      </c>
      <c r="FD43" s="110">
        <f t="shared" si="333"/>
        <v>0</v>
      </c>
      <c r="FF43" s="111"/>
      <c r="FG43" s="110">
        <f t="shared" si="334"/>
        <v>0</v>
      </c>
      <c r="FH43" s="110">
        <f t="shared" si="335"/>
        <v>0</v>
      </c>
      <c r="FI43" s="110">
        <f t="shared" si="336"/>
        <v>0</v>
      </c>
      <c r="FK43" s="111"/>
      <c r="FL43" s="110">
        <f t="shared" si="337"/>
        <v>0</v>
      </c>
      <c r="FM43" s="110">
        <f t="shared" si="338"/>
        <v>0</v>
      </c>
      <c r="FN43" s="110">
        <f t="shared" si="339"/>
        <v>8.3700000000000045</v>
      </c>
      <c r="FP43" s="111"/>
      <c r="FQ43" s="110">
        <f t="shared" si="340"/>
        <v>0</v>
      </c>
      <c r="FR43" s="110">
        <f t="shared" si="341"/>
        <v>0</v>
      </c>
      <c r="FS43" s="110">
        <f t="shared" si="342"/>
        <v>0</v>
      </c>
      <c r="FU43" s="111">
        <f t="shared" si="343"/>
        <v>0</v>
      </c>
      <c r="FV43" s="110">
        <f t="shared" si="344"/>
        <v>0</v>
      </c>
      <c r="FW43" s="110">
        <f t="shared" si="345"/>
        <v>0</v>
      </c>
      <c r="FX43" s="110">
        <f t="shared" si="346"/>
        <v>0</v>
      </c>
      <c r="FY43" s="110">
        <f t="shared" si="347"/>
        <v>0</v>
      </c>
      <c r="FZ43" s="110">
        <f t="shared" si="348"/>
        <v>0</v>
      </c>
      <c r="GA43" s="110">
        <f t="shared" si="349"/>
        <v>0</v>
      </c>
      <c r="GB43" s="110">
        <f t="shared" si="350"/>
        <v>239</v>
      </c>
      <c r="GC43" s="110">
        <f t="shared" si="351"/>
        <v>239</v>
      </c>
      <c r="GD43" s="110">
        <f t="shared" si="352"/>
        <v>239</v>
      </c>
      <c r="GE43" s="110">
        <f t="shared" si="353"/>
        <v>239</v>
      </c>
      <c r="GF43" s="110">
        <f t="shared" si="354"/>
        <v>239</v>
      </c>
      <c r="GG43" s="110">
        <f t="shared" si="355"/>
        <v>239</v>
      </c>
      <c r="GH43" s="110">
        <f t="shared" si="356"/>
        <v>239</v>
      </c>
      <c r="GI43" s="110">
        <f t="shared" si="357"/>
        <v>239</v>
      </c>
      <c r="GJ43" s="110">
        <f t="shared" si="358"/>
        <v>247.37</v>
      </c>
      <c r="GK43" s="110">
        <f t="shared" si="359"/>
        <v>247.37</v>
      </c>
      <c r="GL43" s="110">
        <f t="shared" si="360"/>
        <v>247.37</v>
      </c>
      <c r="GM43" s="110">
        <f t="shared" si="361"/>
        <v>247.37</v>
      </c>
      <c r="GN43" s="110">
        <f t="shared" si="362"/>
        <v>8.3700000000000045</v>
      </c>
      <c r="GO43" s="110">
        <f t="shared" si="363"/>
        <v>8.3700000000000045</v>
      </c>
      <c r="GP43" s="110">
        <f t="shared" si="364"/>
        <v>8.3700000000000045</v>
      </c>
      <c r="GQ43" s="110">
        <f t="shared" si="365"/>
        <v>8.3700000000000045</v>
      </c>
      <c r="GR43" s="110">
        <f t="shared" si="366"/>
        <v>8.3700000000000045</v>
      </c>
      <c r="GS43" s="110">
        <f t="shared" si="367"/>
        <v>8.3700000000000045</v>
      </c>
      <c r="GU43" s="109" cm="1">
        <f t="array" ref="GU43">+IFERROR(INDEX($C$3:$AM$3,MATCH(TRUE,INDEX($C43:$AM43&lt;&gt;0,0),0)),"N/A")</f>
        <v>45504</v>
      </c>
      <c r="GV43" s="112" t="str" cm="1">
        <f t="array" ref="GV43">+_xlfn.IFS(HV43&lt;&gt;0,HV$2,IV43&lt;&gt;0,IV$2,JV43&lt;&gt;0,JV$2,KV43&lt;&gt;0,KV$2,TRUE,"")</f>
        <v/>
      </c>
      <c r="GW43" s="1" t="str" cm="1">
        <f t="array" ref="GW43">+_xlfn.IFS(HW43&lt;&gt;0,HW$2,IW43&lt;&gt;0,IW$2,JW43&lt;&gt;0,JW$2,KW43&lt;&gt;0,KW$2,TRUE,"")</f>
        <v/>
      </c>
      <c r="GX43" s="1" t="str" cm="1">
        <f t="array" ref="GX43">+_xlfn.IFS(HX43&lt;&gt;0,HX$2,IX43&lt;&gt;0,IX$2,JX43&lt;&gt;0,JX$2,KX43&lt;&gt;0,KX$2,TRUE,"")</f>
        <v/>
      </c>
      <c r="GY43" s="1" t="str" cm="1">
        <f t="array" ref="GY43">+_xlfn.IFS(HY43&lt;&gt;0,HY$2,IY43&lt;&gt;0,IY$2,JY43&lt;&gt;0,JY$2,KY43&lt;&gt;0,KY$2,TRUE,"")</f>
        <v/>
      </c>
      <c r="GZ43" s="1" t="str" cm="1">
        <f t="array" ref="GZ43">+_xlfn.IFS(HZ43&lt;&gt;0,HZ$2,IZ43&lt;&gt;0,IZ$2,JZ43&lt;&gt;0,JZ$2,KZ43&lt;&gt;0,KZ$2,TRUE,"")</f>
        <v/>
      </c>
      <c r="HA43" s="1" t="str" cm="1">
        <f t="array" ref="HA43">+_xlfn.IFS(IA43&lt;&gt;0,IA$2,JA43&lt;&gt;0,JA$2,KA43&lt;&gt;0,KA$2,LA43&lt;&gt;0,LA$2,TRUE,"")</f>
        <v/>
      </c>
      <c r="HB43" s="1" t="str" cm="1">
        <f t="array" ref="HB43">+_xlfn.IFS(IB43&lt;&gt;0,IB$2,JB43&lt;&gt;0,JB$2,KB43&lt;&gt;0,KB$2,LB43&lt;&gt;0,LB$2,TRUE,"")</f>
        <v/>
      </c>
      <c r="HC43" s="1" t="str" cm="1">
        <f t="array" ref="HC43">+_xlfn.IFS(IC43&lt;&gt;0,IC$2,JC43&lt;&gt;0,JC$2,KC43&lt;&gt;0,KC$2,LC43&lt;&gt;0,LC$2,TRUE,"")</f>
        <v>New</v>
      </c>
      <c r="HD43" s="1" t="str" cm="1">
        <f t="array" ref="HD43">+_xlfn.IFS(ID43&lt;&gt;0,ID$2,JD43&lt;&gt;0,JD$2,KD43&lt;&gt;0,KD$2,LD43&lt;&gt;0,LD$2,TRUE,"")</f>
        <v>New</v>
      </c>
      <c r="HE43" s="1" t="str" cm="1">
        <f t="array" ref="HE43">+_xlfn.IFS(IE43&lt;&gt;0,IE$2,JE43&lt;&gt;0,JE$2,KE43&lt;&gt;0,KE$2,LE43&lt;&gt;0,LE$2,TRUE,"")</f>
        <v>New</v>
      </c>
      <c r="HF43" s="1" t="str" cm="1">
        <f t="array" ref="HF43">+_xlfn.IFS(IF43&lt;&gt;0,IF$2,JF43&lt;&gt;0,JF$2,KF43&lt;&gt;0,KF$2,LF43&lt;&gt;0,LF$2,TRUE,"")</f>
        <v>New</v>
      </c>
      <c r="HG43" s="1" t="str" cm="1">
        <f t="array" ref="HG43">+_xlfn.IFS(IG43&lt;&gt;0,IG$2,JG43&lt;&gt;0,JG$2,KG43&lt;&gt;0,KG$2,LG43&lt;&gt;0,LG$2,TRUE,"")</f>
        <v>New</v>
      </c>
      <c r="HH43" s="1" t="str" cm="1">
        <f t="array" ref="HH43">+_xlfn.IFS(IH43&lt;&gt;0,IH$2,JH43&lt;&gt;0,JH$2,KH43&lt;&gt;0,KH$2,LH43&lt;&gt;0,LH$2,TRUE,"")</f>
        <v>New</v>
      </c>
      <c r="HI43" s="1" t="str" cm="1">
        <f t="array" ref="HI43">+_xlfn.IFS(II43&lt;&gt;0,II$2,JI43&lt;&gt;0,JI$2,KI43&lt;&gt;0,KI$2,LI43&lt;&gt;0,LI$2,TRUE,"")</f>
        <v>New</v>
      </c>
      <c r="HJ43" s="1" t="str" cm="1">
        <f t="array" ref="HJ43">+_xlfn.IFS(IJ43&lt;&gt;0,IJ$2,JJ43&lt;&gt;0,JJ$2,KJ43&lt;&gt;0,KJ$2,LJ43&lt;&gt;0,LJ$2,TRUE,"")</f>
        <v>New</v>
      </c>
      <c r="HK43" s="1" t="str" cm="1">
        <f t="array" ref="HK43">+_xlfn.IFS(IK43&lt;&gt;0,IK$2,JK43&lt;&gt;0,JK$2,KK43&lt;&gt;0,KK$2,LK43&lt;&gt;0,LK$2,TRUE,"")</f>
        <v>New</v>
      </c>
      <c r="HL43" s="1" t="str" cm="1">
        <f t="array" ref="HL43">+_xlfn.IFS(IL43&lt;&gt;0,IL$2,JL43&lt;&gt;0,JL$2,KL43&lt;&gt;0,KL$2,LL43&lt;&gt;0,LL$2,TRUE,"")</f>
        <v>New</v>
      </c>
      <c r="HM43" s="1" t="str" cm="1">
        <f t="array" ref="HM43">+_xlfn.IFS(IM43&lt;&gt;0,IM$2,JM43&lt;&gt;0,JM$2,KM43&lt;&gt;0,KM$2,LM43&lt;&gt;0,LM$2,TRUE,"")</f>
        <v>New</v>
      </c>
      <c r="HN43" s="1" t="str" cm="1">
        <f t="array" ref="HN43">+_xlfn.IFS(IN43&lt;&gt;0,IN$2,JN43&lt;&gt;0,JN$2,KN43&lt;&gt;0,KN$2,LN43&lt;&gt;0,LN$2,TRUE,"")</f>
        <v>New</v>
      </c>
      <c r="HO43" s="1" t="str" cm="1">
        <f t="array" ref="HO43">+_xlfn.IFS(IO43&lt;&gt;0,IO$2,JO43&lt;&gt;0,JO$2,KO43&lt;&gt;0,KO$2,LO43&lt;&gt;0,LO$2,TRUE,"")</f>
        <v>Upsell</v>
      </c>
      <c r="HP43" s="1" t="str" cm="1">
        <f t="array" ref="HP43">+_xlfn.IFS(IP43&lt;&gt;0,IP$2,JP43&lt;&gt;0,JP$2,KP43&lt;&gt;0,KP$2,LP43&lt;&gt;0,LP$2,TRUE,"")</f>
        <v>Upsell</v>
      </c>
      <c r="HQ43" s="1" t="str" cm="1">
        <f t="array" ref="HQ43">+_xlfn.IFS(IQ43&lt;&gt;0,IQ$2,JQ43&lt;&gt;0,JQ$2,KQ43&lt;&gt;0,KQ$2,LQ43&lt;&gt;0,LQ$2,TRUE,"")</f>
        <v>Upsell</v>
      </c>
      <c r="HR43" s="1" t="str" cm="1">
        <f t="array" ref="HR43">+_xlfn.IFS(IR43&lt;&gt;0,IR$2,JR43&lt;&gt;0,JR$2,KR43&lt;&gt;0,KR$2,LR43&lt;&gt;0,LR$2,TRUE,"")</f>
        <v>Upsell</v>
      </c>
      <c r="HS43" s="1" t="str" cm="1">
        <f t="array" ref="HS43">+_xlfn.IFS(IS43&lt;&gt;0,IS$2,JS43&lt;&gt;0,JS$2,KS43&lt;&gt;0,KS$2,LS43&lt;&gt;0,LS$2,TRUE,"")</f>
        <v>Upsell</v>
      </c>
      <c r="HT43" s="1" t="str" cm="1">
        <f t="array" ref="HT43">+_xlfn.IFS(IT43&lt;&gt;0,IT$2,JT43&lt;&gt;0,JT$2,KT43&lt;&gt;0,KT$2,LT43&lt;&gt;0,LT$2,TRUE,"")</f>
        <v>Upsell</v>
      </c>
      <c r="HV43" s="111">
        <f t="shared" si="368"/>
        <v>0</v>
      </c>
      <c r="HW43" s="110">
        <f t="shared" si="369"/>
        <v>0</v>
      </c>
      <c r="HX43" s="110">
        <f t="shared" si="370"/>
        <v>0</v>
      </c>
      <c r="HY43" s="110">
        <f t="shared" si="371"/>
        <v>0</v>
      </c>
      <c r="HZ43" s="110">
        <f t="shared" si="372"/>
        <v>0</v>
      </c>
      <c r="IA43" s="110">
        <f t="shared" si="373"/>
        <v>0</v>
      </c>
      <c r="IB43" s="110">
        <f t="shared" si="374"/>
        <v>0</v>
      </c>
      <c r="IC43" s="110">
        <f t="shared" si="375"/>
        <v>239</v>
      </c>
      <c r="ID43" s="110">
        <f t="shared" si="376"/>
        <v>239</v>
      </c>
      <c r="IE43" s="110">
        <f t="shared" si="377"/>
        <v>239</v>
      </c>
      <c r="IF43" s="110">
        <f t="shared" si="378"/>
        <v>239</v>
      </c>
      <c r="IG43" s="110">
        <f t="shared" si="379"/>
        <v>239</v>
      </c>
      <c r="IH43" s="110">
        <f t="shared" si="380"/>
        <v>239</v>
      </c>
      <c r="II43" s="110">
        <f t="shared" si="381"/>
        <v>239</v>
      </c>
      <c r="IJ43" s="110">
        <f t="shared" si="382"/>
        <v>239</v>
      </c>
      <c r="IK43" s="110">
        <f t="shared" si="383"/>
        <v>247.37</v>
      </c>
      <c r="IL43" s="110">
        <f t="shared" si="384"/>
        <v>247.37</v>
      </c>
      <c r="IM43" s="110">
        <f t="shared" si="385"/>
        <v>247.37</v>
      </c>
      <c r="IN43" s="110">
        <f t="shared" si="386"/>
        <v>247.37</v>
      </c>
      <c r="IO43" s="110">
        <f t="shared" si="387"/>
        <v>0</v>
      </c>
      <c r="IP43" s="110">
        <f t="shared" si="388"/>
        <v>0</v>
      </c>
      <c r="IQ43" s="110">
        <f t="shared" si="389"/>
        <v>0</v>
      </c>
      <c r="IR43" s="110">
        <f t="shared" si="390"/>
        <v>0</v>
      </c>
      <c r="IS43" s="110">
        <f t="shared" si="391"/>
        <v>0</v>
      </c>
      <c r="IT43" s="110">
        <f t="shared" si="392"/>
        <v>0</v>
      </c>
      <c r="IV43" s="111">
        <f t="shared" si="393"/>
        <v>0</v>
      </c>
      <c r="IW43" s="110">
        <f t="shared" si="394"/>
        <v>0</v>
      </c>
      <c r="IX43" s="110">
        <f t="shared" si="395"/>
        <v>0</v>
      </c>
      <c r="IY43" s="110">
        <f t="shared" si="396"/>
        <v>0</v>
      </c>
      <c r="IZ43" s="110">
        <f t="shared" si="397"/>
        <v>0</v>
      </c>
      <c r="JA43" s="110">
        <f t="shared" si="398"/>
        <v>0</v>
      </c>
      <c r="JB43" s="110">
        <f t="shared" si="399"/>
        <v>0</v>
      </c>
      <c r="JC43" s="110">
        <f t="shared" si="400"/>
        <v>0</v>
      </c>
      <c r="JD43" s="110">
        <f t="shared" si="401"/>
        <v>0</v>
      </c>
      <c r="JE43" s="110">
        <f t="shared" si="402"/>
        <v>0</v>
      </c>
      <c r="JF43" s="110">
        <f t="shared" si="403"/>
        <v>0</v>
      </c>
      <c r="JG43" s="110">
        <f t="shared" si="404"/>
        <v>0</v>
      </c>
      <c r="JH43" s="110">
        <f t="shared" si="405"/>
        <v>0</v>
      </c>
      <c r="JI43" s="110">
        <f t="shared" si="406"/>
        <v>0</v>
      </c>
      <c r="JJ43" s="110">
        <f t="shared" si="407"/>
        <v>0</v>
      </c>
      <c r="JK43" s="110">
        <f t="shared" si="408"/>
        <v>0</v>
      </c>
      <c r="JL43" s="110">
        <f t="shared" si="409"/>
        <v>0</v>
      </c>
      <c r="JM43" s="110">
        <f t="shared" si="410"/>
        <v>0</v>
      </c>
      <c r="JN43" s="110">
        <f t="shared" si="411"/>
        <v>0</v>
      </c>
      <c r="JO43" s="110">
        <f t="shared" si="412"/>
        <v>0</v>
      </c>
      <c r="JP43" s="110">
        <f t="shared" si="413"/>
        <v>0</v>
      </c>
      <c r="JQ43" s="110">
        <f t="shared" si="414"/>
        <v>0</v>
      </c>
      <c r="JR43" s="110">
        <f t="shared" si="415"/>
        <v>0</v>
      </c>
      <c r="JS43" s="110">
        <f t="shared" si="416"/>
        <v>0</v>
      </c>
      <c r="JT43" s="110">
        <f t="shared" si="417"/>
        <v>0</v>
      </c>
      <c r="JV43" s="111">
        <f t="shared" si="418"/>
        <v>0</v>
      </c>
      <c r="JW43" s="110">
        <f t="shared" si="419"/>
        <v>0</v>
      </c>
      <c r="JX43" s="110">
        <f t="shared" si="420"/>
        <v>0</v>
      </c>
      <c r="JY43" s="110">
        <f t="shared" si="421"/>
        <v>0</v>
      </c>
      <c r="JZ43" s="110">
        <f t="shared" si="422"/>
        <v>0</v>
      </c>
      <c r="KA43" s="110">
        <f t="shared" si="423"/>
        <v>0</v>
      </c>
      <c r="KB43" s="110">
        <f t="shared" si="424"/>
        <v>0</v>
      </c>
      <c r="KC43" s="110">
        <f t="shared" si="425"/>
        <v>0</v>
      </c>
      <c r="KD43" s="110">
        <f t="shared" si="426"/>
        <v>0</v>
      </c>
      <c r="KE43" s="110">
        <f t="shared" si="427"/>
        <v>0</v>
      </c>
      <c r="KF43" s="110">
        <f t="shared" si="428"/>
        <v>0</v>
      </c>
      <c r="KG43" s="110">
        <f t="shared" si="429"/>
        <v>0</v>
      </c>
      <c r="KH43" s="110">
        <f t="shared" si="430"/>
        <v>0</v>
      </c>
      <c r="KI43" s="110">
        <f t="shared" si="431"/>
        <v>0</v>
      </c>
      <c r="KJ43" s="110">
        <f t="shared" si="432"/>
        <v>0</v>
      </c>
      <c r="KK43" s="110">
        <f t="shared" si="433"/>
        <v>0</v>
      </c>
      <c r="KL43" s="110">
        <f t="shared" si="434"/>
        <v>0</v>
      </c>
      <c r="KM43" s="110">
        <f t="shared" si="435"/>
        <v>0</v>
      </c>
      <c r="KN43" s="110">
        <f t="shared" si="436"/>
        <v>0</v>
      </c>
      <c r="KO43" s="110">
        <f t="shared" si="437"/>
        <v>0</v>
      </c>
      <c r="KP43" s="110">
        <f t="shared" si="438"/>
        <v>0</v>
      </c>
      <c r="KQ43" s="110">
        <f t="shared" si="439"/>
        <v>0</v>
      </c>
      <c r="KR43" s="110">
        <f t="shared" si="440"/>
        <v>0</v>
      </c>
      <c r="KS43" s="110">
        <f t="shared" si="441"/>
        <v>0</v>
      </c>
      <c r="KT43" s="110">
        <f t="shared" si="442"/>
        <v>0</v>
      </c>
      <c r="KV43" s="111">
        <f t="shared" si="443"/>
        <v>0</v>
      </c>
      <c r="KW43" s="110">
        <f t="shared" si="444"/>
        <v>0</v>
      </c>
      <c r="KX43" s="110">
        <f t="shared" si="445"/>
        <v>0</v>
      </c>
      <c r="KY43" s="110">
        <f t="shared" si="446"/>
        <v>0</v>
      </c>
      <c r="KZ43" s="110">
        <f t="shared" si="447"/>
        <v>0</v>
      </c>
      <c r="LA43" s="110">
        <f t="shared" si="448"/>
        <v>0</v>
      </c>
      <c r="LB43" s="110">
        <f t="shared" si="449"/>
        <v>0</v>
      </c>
      <c r="LC43" s="110">
        <f t="shared" si="450"/>
        <v>0</v>
      </c>
      <c r="LD43" s="110">
        <f t="shared" si="451"/>
        <v>0</v>
      </c>
      <c r="LE43" s="110">
        <f t="shared" si="452"/>
        <v>0</v>
      </c>
      <c r="LF43" s="110">
        <f t="shared" si="453"/>
        <v>0</v>
      </c>
      <c r="LG43" s="110">
        <f t="shared" si="454"/>
        <v>0</v>
      </c>
      <c r="LH43" s="110">
        <f t="shared" si="455"/>
        <v>0</v>
      </c>
      <c r="LI43" s="110">
        <f t="shared" si="456"/>
        <v>0</v>
      </c>
      <c r="LJ43" s="110">
        <f t="shared" si="457"/>
        <v>0</v>
      </c>
      <c r="LK43" s="110">
        <f t="shared" si="458"/>
        <v>0</v>
      </c>
      <c r="LL43" s="110">
        <f t="shared" si="459"/>
        <v>0</v>
      </c>
      <c r="LM43" s="110">
        <f t="shared" si="460"/>
        <v>0</v>
      </c>
      <c r="LN43" s="110">
        <f t="shared" si="461"/>
        <v>0</v>
      </c>
      <c r="LO43" s="110">
        <f t="shared" si="462"/>
        <v>8.3700000000000045</v>
      </c>
      <c r="LP43" s="110">
        <f t="shared" si="463"/>
        <v>8.3700000000000045</v>
      </c>
      <c r="LQ43" s="110">
        <f t="shared" si="464"/>
        <v>8.3700000000000045</v>
      </c>
      <c r="LR43" s="110">
        <f t="shared" si="465"/>
        <v>8.3700000000000045</v>
      </c>
      <c r="LS43" s="110">
        <f t="shared" si="466"/>
        <v>8.3700000000000045</v>
      </c>
      <c r="LT43" s="110">
        <f t="shared" si="467"/>
        <v>8.3700000000000045</v>
      </c>
      <c r="LV43" s="111"/>
      <c r="LW43" s="110">
        <f t="shared" si="468"/>
        <v>0</v>
      </c>
      <c r="LX43" s="110">
        <f t="shared" si="469"/>
        <v>0</v>
      </c>
      <c r="LY43" s="110">
        <f t="shared" si="470"/>
        <v>0</v>
      </c>
      <c r="LZ43" s="110">
        <f t="shared" si="471"/>
        <v>0</v>
      </c>
      <c r="MA43" s="110">
        <f t="shared" si="472"/>
        <v>0</v>
      </c>
      <c r="MB43" s="110">
        <f t="shared" si="473"/>
        <v>0</v>
      </c>
      <c r="MC43" s="110">
        <f t="shared" si="474"/>
        <v>0</v>
      </c>
      <c r="MD43" s="110">
        <f t="shared" si="475"/>
        <v>0</v>
      </c>
      <c r="ME43" s="110">
        <f t="shared" si="476"/>
        <v>0</v>
      </c>
      <c r="MF43" s="110">
        <f t="shared" si="477"/>
        <v>0</v>
      </c>
      <c r="MG43" s="110">
        <f t="shared" si="478"/>
        <v>0</v>
      </c>
      <c r="MH43" s="110">
        <f t="shared" si="479"/>
        <v>0</v>
      </c>
      <c r="MI43" s="110">
        <f t="shared" si="480"/>
        <v>0</v>
      </c>
      <c r="MJ43" s="110">
        <f t="shared" si="481"/>
        <v>0</v>
      </c>
      <c r="MK43" s="110">
        <f t="shared" si="482"/>
        <v>0</v>
      </c>
      <c r="ML43" s="110">
        <f t="shared" si="483"/>
        <v>0</v>
      </c>
      <c r="MM43" s="110">
        <f t="shared" si="484"/>
        <v>0</v>
      </c>
      <c r="MN43" s="110">
        <f t="shared" si="485"/>
        <v>0</v>
      </c>
      <c r="MO43" s="110">
        <f t="shared" si="486"/>
        <v>0</v>
      </c>
      <c r="MP43" s="110">
        <f t="shared" si="487"/>
        <v>0</v>
      </c>
      <c r="MQ43" s="110">
        <f t="shared" si="488"/>
        <v>0</v>
      </c>
      <c r="MR43" s="110">
        <f t="shared" si="489"/>
        <v>0</v>
      </c>
      <c r="MS43" s="110">
        <f t="shared" si="490"/>
        <v>0</v>
      </c>
      <c r="MT43" s="110">
        <f t="shared" si="491"/>
        <v>0</v>
      </c>
      <c r="MV43" s="114">
        <v>247.37</v>
      </c>
      <c r="MW43" s="114">
        <v>0</v>
      </c>
      <c r="MX43" s="114">
        <v>8.3700000000000045</v>
      </c>
      <c r="MY43" s="114">
        <v>0</v>
      </c>
      <c r="MZ43" s="114">
        <v>0</v>
      </c>
      <c r="NB43" s="115">
        <v>44</v>
      </c>
      <c r="NC43" s="115" t="str">
        <v>N/A</v>
      </c>
      <c r="ND43" s="115">
        <v>29</v>
      </c>
      <c r="NE43" s="115" t="str">
        <v>N/A</v>
      </c>
      <c r="NF43" s="115" t="str">
        <v>N/A</v>
      </c>
    </row>
    <row r="44" spans="2:370" ht="13.5" x14ac:dyDescent="0.25">
      <c r="B44" s="8">
        <f t="shared" si="252"/>
        <v>41</v>
      </c>
      <c r="C44" s="7">
        <v>0</v>
      </c>
      <c r="D44" s="7">
        <v>0</v>
      </c>
      <c r="E44" s="7">
        <v>0</v>
      </c>
      <c r="F44" s="7">
        <v>0</v>
      </c>
      <c r="G44" s="7">
        <v>0</v>
      </c>
      <c r="H44" s="7">
        <v>0</v>
      </c>
      <c r="I44" s="7">
        <v>0</v>
      </c>
      <c r="J44" s="7">
        <v>0</v>
      </c>
      <c r="K44" s="7">
        <v>0</v>
      </c>
      <c r="L44" s="7">
        <v>0</v>
      </c>
      <c r="M44" s="7">
        <v>0</v>
      </c>
      <c r="N44" s="7">
        <v>0</v>
      </c>
      <c r="O44" s="7">
        <v>0</v>
      </c>
      <c r="P44" s="7">
        <v>0</v>
      </c>
      <c r="Q44" s="7">
        <v>0</v>
      </c>
      <c r="R44" s="7">
        <v>0</v>
      </c>
      <c r="S44" s="7">
        <v>0</v>
      </c>
      <c r="T44" s="7">
        <v>0</v>
      </c>
      <c r="U44" s="7">
        <v>0</v>
      </c>
      <c r="V44" s="7">
        <v>229</v>
      </c>
      <c r="W44" s="7">
        <v>229</v>
      </c>
      <c r="X44" s="7">
        <v>229</v>
      </c>
      <c r="Y44" s="7">
        <v>229</v>
      </c>
      <c r="Z44" s="7">
        <v>229</v>
      </c>
      <c r="AA44" s="7">
        <v>229</v>
      </c>
      <c r="AB44" s="7">
        <v>229</v>
      </c>
      <c r="AC44" s="7">
        <v>229</v>
      </c>
      <c r="AD44" s="7">
        <v>237.02</v>
      </c>
      <c r="AE44" s="7">
        <v>237.02</v>
      </c>
      <c r="AF44" s="7">
        <v>237.02</v>
      </c>
      <c r="AG44" s="7">
        <v>237.02</v>
      </c>
      <c r="AH44" s="7">
        <v>237.02</v>
      </c>
      <c r="AI44" s="7">
        <v>237.02</v>
      </c>
      <c r="AJ44" s="7">
        <v>237.02</v>
      </c>
      <c r="AK44" s="7">
        <v>237.02</v>
      </c>
      <c r="AL44" s="7">
        <v>237.02</v>
      </c>
      <c r="AM44" s="7">
        <v>237.02</v>
      </c>
      <c r="AN44" s="27">
        <v>41</v>
      </c>
      <c r="AP44" s="111"/>
      <c r="AQ44" s="110">
        <f t="shared" si="253"/>
        <v>0</v>
      </c>
      <c r="AR44" s="110">
        <f t="shared" si="254"/>
        <v>0</v>
      </c>
      <c r="AS44" s="110">
        <f t="shared" si="255"/>
        <v>0</v>
      </c>
      <c r="AT44" s="110">
        <f t="shared" si="256"/>
        <v>0</v>
      </c>
      <c r="AU44" s="110">
        <f t="shared" si="257"/>
        <v>0</v>
      </c>
      <c r="AV44" s="110">
        <f t="shared" si="258"/>
        <v>0</v>
      </c>
      <c r="AW44" s="110">
        <f t="shared" si="259"/>
        <v>229</v>
      </c>
      <c r="AX44" s="110">
        <f t="shared" si="260"/>
        <v>0</v>
      </c>
      <c r="AY44" s="110">
        <f t="shared" si="261"/>
        <v>8.0200000000000102</v>
      </c>
      <c r="AZ44" s="110">
        <f t="shared" si="262"/>
        <v>0</v>
      </c>
      <c r="BA44" s="110">
        <f t="shared" si="263"/>
        <v>0</v>
      </c>
      <c r="BB44" s="110">
        <f t="shared" si="264"/>
        <v>0</v>
      </c>
      <c r="BD44" s="109" cm="1">
        <f t="array" ref="BD44">+IFERROR(INDEX($C$3:$AM$3,MATCH(TRUE,INDEX($C44:$AM44&lt;&gt;0,0),0)),"N/A")</f>
        <v>45504</v>
      </c>
      <c r="BE44" s="112"/>
      <c r="BF44" s="1" t="str" cm="1">
        <f t="array" ref="BF44">+_xlfn.IFS(BT44&lt;&gt;0,BT$2,CH44&lt;&gt;0,CH$2,CV44&lt;&gt;0,CV$2,DJ44&lt;&gt;0,DJ$2,TRUE,"")</f>
        <v/>
      </c>
      <c r="BG44" s="1" t="str" cm="1">
        <f t="array" ref="BG44">+_xlfn.IFS(BU44&lt;&gt;0,BU$2,CI44&lt;&gt;0,CI$2,CW44&lt;&gt;0,CW$2,DK44&lt;&gt;0,DK$2,TRUE,"")</f>
        <v/>
      </c>
      <c r="BH44" s="1" t="str" cm="1">
        <f t="array" ref="BH44">+_xlfn.IFS(BV44&lt;&gt;0,BV$2,CJ44&lt;&gt;0,CJ$2,CX44&lt;&gt;0,CX$2,DL44&lt;&gt;0,DL$2,TRUE,"")</f>
        <v/>
      </c>
      <c r="BI44" s="1" t="str" cm="1">
        <f t="array" ref="BI44">+_xlfn.IFS(BW44&lt;&gt;0,BW$2,CK44&lt;&gt;0,CK$2,CY44&lt;&gt;0,CY$2,DM44&lt;&gt;0,DM$2,TRUE,"")</f>
        <v/>
      </c>
      <c r="BJ44" s="1" t="str" cm="1">
        <f t="array" ref="BJ44">+_xlfn.IFS(BX44&lt;&gt;0,BX$2,CL44&lt;&gt;0,CL$2,CZ44&lt;&gt;0,CZ$2,DN44&lt;&gt;0,DN$2,TRUE,"")</f>
        <v/>
      </c>
      <c r="BK44" s="1" t="str" cm="1">
        <f t="array" ref="BK44">+_xlfn.IFS(BY44&lt;&gt;0,BY$2,CM44&lt;&gt;0,CM$2,DA44&lt;&gt;0,DA$2,DO44&lt;&gt;0,DO$2,TRUE,"")</f>
        <v/>
      </c>
      <c r="BL44" s="1" t="str" cm="1">
        <f t="array" ref="BL44">+_xlfn.IFS(BZ44&lt;&gt;0,BZ$2,CN44&lt;&gt;0,CN$2,DB44&lt;&gt;0,DB$2,DP44&lt;&gt;0,DP$2,TRUE,"")</f>
        <v>New</v>
      </c>
      <c r="BM44" s="1" t="str" cm="1">
        <f t="array" ref="BM44">+_xlfn.IFS(CA44&lt;&gt;0,CA$2,CO44&lt;&gt;0,CO$2,DC44&lt;&gt;0,DC$2,DQ44&lt;&gt;0,DQ$2,TRUE,"")</f>
        <v/>
      </c>
      <c r="BN44" s="1" t="str" cm="1">
        <f t="array" ref="BN44">+_xlfn.IFS(CB44&lt;&gt;0,CB$2,CP44&lt;&gt;0,CP$2,DD44&lt;&gt;0,DD$2,DR44&lt;&gt;0,DR$2,TRUE,"")</f>
        <v>Upsell</v>
      </c>
      <c r="BO44" s="1" t="str" cm="1">
        <f t="array" ref="BO44">+_xlfn.IFS(CC44&lt;&gt;0,CC$2,CQ44&lt;&gt;0,CQ$2,DE44&lt;&gt;0,DE$2,DS44&lt;&gt;0,DS$2,TRUE,"")</f>
        <v/>
      </c>
      <c r="BP44" s="1" t="str" cm="1">
        <f t="array" ref="BP44">+_xlfn.IFS(CD44&lt;&gt;0,CD$2,CR44&lt;&gt;0,CR$2,DF44&lt;&gt;0,DF$2,DT44&lt;&gt;0,DT$2,TRUE,"")</f>
        <v/>
      </c>
      <c r="BQ44" s="1" t="str" cm="1">
        <f t="array" ref="BQ44">+_xlfn.IFS(CE44&lt;&gt;0,CE$2,CS44&lt;&gt;0,CS$2,DG44&lt;&gt;0,DG$2,DU44&lt;&gt;0,DU$2,TRUE,"")</f>
        <v/>
      </c>
      <c r="BS44" s="111"/>
      <c r="BT44" s="110">
        <f t="shared" si="265"/>
        <v>0</v>
      </c>
      <c r="BU44" s="110">
        <f t="shared" si="266"/>
        <v>0</v>
      </c>
      <c r="BV44" s="110">
        <f t="shared" si="267"/>
        <v>0</v>
      </c>
      <c r="BW44" s="110">
        <f t="shared" si="268"/>
        <v>0</v>
      </c>
      <c r="BX44" s="110">
        <f t="shared" si="269"/>
        <v>0</v>
      </c>
      <c r="BY44" s="110">
        <f t="shared" si="270"/>
        <v>0</v>
      </c>
      <c r="BZ44" s="110">
        <f t="shared" si="271"/>
        <v>229</v>
      </c>
      <c r="CA44" s="110">
        <f t="shared" si="272"/>
        <v>0</v>
      </c>
      <c r="CB44" s="110">
        <f t="shared" si="273"/>
        <v>0</v>
      </c>
      <c r="CC44" s="110">
        <f t="shared" si="274"/>
        <v>0</v>
      </c>
      <c r="CD44" s="110">
        <f t="shared" si="275"/>
        <v>0</v>
      </c>
      <c r="CE44" s="110">
        <f t="shared" si="276"/>
        <v>0</v>
      </c>
      <c r="CG44" s="111"/>
      <c r="CH44" s="110">
        <f t="shared" si="277"/>
        <v>0</v>
      </c>
      <c r="CI44" s="110">
        <f t="shared" si="278"/>
        <v>0</v>
      </c>
      <c r="CJ44" s="110">
        <f t="shared" si="279"/>
        <v>0</v>
      </c>
      <c r="CK44" s="110">
        <f t="shared" si="280"/>
        <v>0</v>
      </c>
      <c r="CL44" s="110">
        <f t="shared" si="281"/>
        <v>0</v>
      </c>
      <c r="CM44" s="110">
        <f t="shared" si="282"/>
        <v>0</v>
      </c>
      <c r="CN44" s="110">
        <f t="shared" si="283"/>
        <v>0</v>
      </c>
      <c r="CO44" s="110">
        <f t="shared" si="284"/>
        <v>0</v>
      </c>
      <c r="CP44" s="110">
        <f t="shared" si="285"/>
        <v>0</v>
      </c>
      <c r="CQ44" s="110">
        <f t="shared" si="286"/>
        <v>0</v>
      </c>
      <c r="CR44" s="110">
        <f t="shared" si="287"/>
        <v>0</v>
      </c>
      <c r="CS44" s="110">
        <f t="shared" si="288"/>
        <v>0</v>
      </c>
      <c r="CU44" s="111"/>
      <c r="CV44" s="110">
        <f t="shared" si="289"/>
        <v>0</v>
      </c>
      <c r="CW44" s="110">
        <f t="shared" si="290"/>
        <v>0</v>
      </c>
      <c r="CX44" s="110">
        <f t="shared" si="291"/>
        <v>0</v>
      </c>
      <c r="CY44" s="110">
        <f t="shared" si="292"/>
        <v>0</v>
      </c>
      <c r="CZ44" s="110">
        <f t="shared" si="293"/>
        <v>0</v>
      </c>
      <c r="DA44" s="110">
        <f t="shared" si="294"/>
        <v>0</v>
      </c>
      <c r="DB44" s="110">
        <f t="shared" si="295"/>
        <v>0</v>
      </c>
      <c r="DC44" s="110">
        <f t="shared" si="296"/>
        <v>0</v>
      </c>
      <c r="DD44" s="110">
        <f t="shared" si="297"/>
        <v>0</v>
      </c>
      <c r="DE44" s="110">
        <f t="shared" si="298"/>
        <v>0</v>
      </c>
      <c r="DF44" s="110">
        <f t="shared" si="299"/>
        <v>0</v>
      </c>
      <c r="DG44" s="110">
        <f t="shared" si="300"/>
        <v>0</v>
      </c>
      <c r="DI44" s="111"/>
      <c r="DJ44" s="110">
        <f t="shared" si="301"/>
        <v>0</v>
      </c>
      <c r="DK44" s="110">
        <f t="shared" si="302"/>
        <v>0</v>
      </c>
      <c r="DL44" s="110">
        <f t="shared" si="303"/>
        <v>0</v>
      </c>
      <c r="DM44" s="110">
        <f t="shared" si="304"/>
        <v>0</v>
      </c>
      <c r="DN44" s="110">
        <f t="shared" si="305"/>
        <v>0</v>
      </c>
      <c r="DO44" s="110">
        <f t="shared" si="306"/>
        <v>0</v>
      </c>
      <c r="DP44" s="110">
        <f t="shared" si="307"/>
        <v>0</v>
      </c>
      <c r="DQ44" s="110">
        <f t="shared" si="308"/>
        <v>0</v>
      </c>
      <c r="DR44" s="110">
        <f t="shared" si="309"/>
        <v>8.0200000000000102</v>
      </c>
      <c r="DS44" s="110">
        <f t="shared" si="310"/>
        <v>0</v>
      </c>
      <c r="DT44" s="110">
        <f t="shared" si="311"/>
        <v>0</v>
      </c>
      <c r="DU44" s="110">
        <f t="shared" si="312"/>
        <v>0</v>
      </c>
      <c r="DW44" s="111"/>
      <c r="DX44" s="110">
        <f t="shared" si="313"/>
        <v>0</v>
      </c>
      <c r="DY44" s="110">
        <f t="shared" si="314"/>
        <v>0</v>
      </c>
      <c r="DZ44" s="110">
        <f t="shared" si="315"/>
        <v>0</v>
      </c>
      <c r="EA44" s="110">
        <f t="shared" si="316"/>
        <v>0</v>
      </c>
      <c r="EB44" s="110">
        <f t="shared" si="317"/>
        <v>0</v>
      </c>
      <c r="EC44" s="110">
        <f t="shared" si="318"/>
        <v>0</v>
      </c>
      <c r="ED44" s="110">
        <f t="shared" si="319"/>
        <v>0</v>
      </c>
      <c r="EE44" s="110">
        <f t="shared" si="320"/>
        <v>0</v>
      </c>
      <c r="EF44" s="110">
        <f t="shared" si="321"/>
        <v>0</v>
      </c>
      <c r="EG44" s="110">
        <f t="shared" si="322"/>
        <v>0</v>
      </c>
      <c r="EH44" s="110">
        <f t="shared" si="323"/>
        <v>0</v>
      </c>
      <c r="EI44" s="110">
        <f t="shared" si="324"/>
        <v>0</v>
      </c>
      <c r="EK44" s="111"/>
      <c r="EL44" s="110">
        <f t="shared" si="325"/>
        <v>0</v>
      </c>
      <c r="EM44" s="110">
        <f t="shared" si="326"/>
        <v>229</v>
      </c>
      <c r="EN44" s="110">
        <f t="shared" si="327"/>
        <v>8.0200000000000102</v>
      </c>
      <c r="EP44" s="109" cm="1">
        <f t="array" ref="EP44">+IFERROR(INDEX($C$3:$AM$3,MATCH(TRUE,INDEX($C44:$AM44&lt;&gt;0,0),0)),"N/A")</f>
        <v>45504</v>
      </c>
      <c r="EQ44" s="112"/>
      <c r="ER44" s="1" t="str" cm="1">
        <f t="array" ref="ER44">+_xlfn.IFS(EW44&lt;&gt;0,EW$2,FB44&lt;&gt;0,FB$2,FG44&lt;&gt;0,FG$2,FL44&lt;&gt;0,FL$2,TRUE,"")</f>
        <v/>
      </c>
      <c r="ES44" s="1" t="str" cm="1">
        <f t="array" ref="ES44">+_xlfn.IFS(EX44&lt;&gt;0,EX$2,FC44&lt;&gt;0,FC$2,FH44&lt;&gt;0,FH$2,FM44&lt;&gt;0,FM$2,TRUE,"")</f>
        <v>New</v>
      </c>
      <c r="ET44" s="1" t="str" cm="1">
        <f t="array" ref="ET44">+_xlfn.IFS(EY44&lt;&gt;0,EY$2,FD44&lt;&gt;0,FD$2,FI44&lt;&gt;0,FI$2,FN44&lt;&gt;0,FN$2,TRUE,"")</f>
        <v>Upsell</v>
      </c>
      <c r="EV44" s="111"/>
      <c r="EW44" s="110">
        <f t="shared" si="328"/>
        <v>0</v>
      </c>
      <c r="EX44" s="110">
        <f t="shared" si="329"/>
        <v>229</v>
      </c>
      <c r="EY44" s="110">
        <f t="shared" si="330"/>
        <v>0</v>
      </c>
      <c r="FA44" s="111"/>
      <c r="FB44" s="110">
        <f t="shared" si="331"/>
        <v>0</v>
      </c>
      <c r="FC44" s="110">
        <f t="shared" si="332"/>
        <v>0</v>
      </c>
      <c r="FD44" s="110">
        <f t="shared" si="333"/>
        <v>0</v>
      </c>
      <c r="FF44" s="111"/>
      <c r="FG44" s="110">
        <f t="shared" si="334"/>
        <v>0</v>
      </c>
      <c r="FH44" s="110">
        <f t="shared" si="335"/>
        <v>0</v>
      </c>
      <c r="FI44" s="110">
        <f t="shared" si="336"/>
        <v>0</v>
      </c>
      <c r="FK44" s="111"/>
      <c r="FL44" s="110">
        <f t="shared" si="337"/>
        <v>0</v>
      </c>
      <c r="FM44" s="110">
        <f t="shared" si="338"/>
        <v>0</v>
      </c>
      <c r="FN44" s="110">
        <f t="shared" si="339"/>
        <v>8.0200000000000102</v>
      </c>
      <c r="FP44" s="111"/>
      <c r="FQ44" s="110">
        <f t="shared" si="340"/>
        <v>0</v>
      </c>
      <c r="FR44" s="110">
        <f t="shared" si="341"/>
        <v>0</v>
      </c>
      <c r="FS44" s="110">
        <f t="shared" si="342"/>
        <v>0</v>
      </c>
      <c r="FU44" s="111">
        <f t="shared" si="343"/>
        <v>0</v>
      </c>
      <c r="FV44" s="110">
        <f t="shared" si="344"/>
        <v>0</v>
      </c>
      <c r="FW44" s="110">
        <f t="shared" si="345"/>
        <v>0</v>
      </c>
      <c r="FX44" s="110">
        <f t="shared" si="346"/>
        <v>0</v>
      </c>
      <c r="FY44" s="110">
        <f t="shared" si="347"/>
        <v>0</v>
      </c>
      <c r="FZ44" s="110">
        <f t="shared" si="348"/>
        <v>0</v>
      </c>
      <c r="GA44" s="110">
        <f t="shared" si="349"/>
        <v>0</v>
      </c>
      <c r="GB44" s="110">
        <f t="shared" si="350"/>
        <v>229</v>
      </c>
      <c r="GC44" s="110">
        <f t="shared" si="351"/>
        <v>229</v>
      </c>
      <c r="GD44" s="110">
        <f t="shared" si="352"/>
        <v>229</v>
      </c>
      <c r="GE44" s="110">
        <f t="shared" si="353"/>
        <v>229</v>
      </c>
      <c r="GF44" s="110">
        <f t="shared" si="354"/>
        <v>229</v>
      </c>
      <c r="GG44" s="110">
        <f t="shared" si="355"/>
        <v>229</v>
      </c>
      <c r="GH44" s="110">
        <f t="shared" si="356"/>
        <v>229</v>
      </c>
      <c r="GI44" s="110">
        <f t="shared" si="357"/>
        <v>229</v>
      </c>
      <c r="GJ44" s="110">
        <f t="shared" si="358"/>
        <v>237.02</v>
      </c>
      <c r="GK44" s="110">
        <f t="shared" si="359"/>
        <v>237.02</v>
      </c>
      <c r="GL44" s="110">
        <f t="shared" si="360"/>
        <v>237.02</v>
      </c>
      <c r="GM44" s="110">
        <f t="shared" si="361"/>
        <v>237.02</v>
      </c>
      <c r="GN44" s="110">
        <f t="shared" si="362"/>
        <v>8.0200000000000102</v>
      </c>
      <c r="GO44" s="110">
        <f t="shared" si="363"/>
        <v>8.0200000000000102</v>
      </c>
      <c r="GP44" s="110">
        <f t="shared" si="364"/>
        <v>8.0200000000000102</v>
      </c>
      <c r="GQ44" s="110">
        <f t="shared" si="365"/>
        <v>8.0200000000000102</v>
      </c>
      <c r="GR44" s="110">
        <f t="shared" si="366"/>
        <v>8.0200000000000102</v>
      </c>
      <c r="GS44" s="110">
        <f t="shared" si="367"/>
        <v>8.0200000000000102</v>
      </c>
      <c r="GU44" s="109" cm="1">
        <f t="array" ref="GU44">+IFERROR(INDEX($C$3:$AM$3,MATCH(TRUE,INDEX($C44:$AM44&lt;&gt;0,0),0)),"N/A")</f>
        <v>45504</v>
      </c>
      <c r="GV44" s="112" t="str" cm="1">
        <f t="array" ref="GV44">+_xlfn.IFS(HV44&lt;&gt;0,HV$2,IV44&lt;&gt;0,IV$2,JV44&lt;&gt;0,JV$2,KV44&lt;&gt;0,KV$2,TRUE,"")</f>
        <v/>
      </c>
      <c r="GW44" s="1" t="str" cm="1">
        <f t="array" ref="GW44">+_xlfn.IFS(HW44&lt;&gt;0,HW$2,IW44&lt;&gt;0,IW$2,JW44&lt;&gt;0,JW$2,KW44&lt;&gt;0,KW$2,TRUE,"")</f>
        <v/>
      </c>
      <c r="GX44" s="1" t="str" cm="1">
        <f t="array" ref="GX44">+_xlfn.IFS(HX44&lt;&gt;0,HX$2,IX44&lt;&gt;0,IX$2,JX44&lt;&gt;0,JX$2,KX44&lt;&gt;0,KX$2,TRUE,"")</f>
        <v/>
      </c>
      <c r="GY44" s="1" t="str" cm="1">
        <f t="array" ref="GY44">+_xlfn.IFS(HY44&lt;&gt;0,HY$2,IY44&lt;&gt;0,IY$2,JY44&lt;&gt;0,JY$2,KY44&lt;&gt;0,KY$2,TRUE,"")</f>
        <v/>
      </c>
      <c r="GZ44" s="1" t="str" cm="1">
        <f t="array" ref="GZ44">+_xlfn.IFS(HZ44&lt;&gt;0,HZ$2,IZ44&lt;&gt;0,IZ$2,JZ44&lt;&gt;0,JZ$2,KZ44&lt;&gt;0,KZ$2,TRUE,"")</f>
        <v/>
      </c>
      <c r="HA44" s="1" t="str" cm="1">
        <f t="array" ref="HA44">+_xlfn.IFS(IA44&lt;&gt;0,IA$2,JA44&lt;&gt;0,JA$2,KA44&lt;&gt;0,KA$2,LA44&lt;&gt;0,LA$2,TRUE,"")</f>
        <v/>
      </c>
      <c r="HB44" s="1" t="str" cm="1">
        <f t="array" ref="HB44">+_xlfn.IFS(IB44&lt;&gt;0,IB$2,JB44&lt;&gt;0,JB$2,KB44&lt;&gt;0,KB$2,LB44&lt;&gt;0,LB$2,TRUE,"")</f>
        <v/>
      </c>
      <c r="HC44" s="1" t="str" cm="1">
        <f t="array" ref="HC44">+_xlfn.IFS(IC44&lt;&gt;0,IC$2,JC44&lt;&gt;0,JC$2,KC44&lt;&gt;0,KC$2,LC44&lt;&gt;0,LC$2,TRUE,"")</f>
        <v>New</v>
      </c>
      <c r="HD44" s="1" t="str" cm="1">
        <f t="array" ref="HD44">+_xlfn.IFS(ID44&lt;&gt;0,ID$2,JD44&lt;&gt;0,JD$2,KD44&lt;&gt;0,KD$2,LD44&lt;&gt;0,LD$2,TRUE,"")</f>
        <v>New</v>
      </c>
      <c r="HE44" s="1" t="str" cm="1">
        <f t="array" ref="HE44">+_xlfn.IFS(IE44&lt;&gt;0,IE$2,JE44&lt;&gt;0,JE$2,KE44&lt;&gt;0,KE$2,LE44&lt;&gt;0,LE$2,TRUE,"")</f>
        <v>New</v>
      </c>
      <c r="HF44" s="1" t="str" cm="1">
        <f t="array" ref="HF44">+_xlfn.IFS(IF44&lt;&gt;0,IF$2,JF44&lt;&gt;0,JF$2,KF44&lt;&gt;0,KF$2,LF44&lt;&gt;0,LF$2,TRUE,"")</f>
        <v>New</v>
      </c>
      <c r="HG44" s="1" t="str" cm="1">
        <f t="array" ref="HG44">+_xlfn.IFS(IG44&lt;&gt;0,IG$2,JG44&lt;&gt;0,JG$2,KG44&lt;&gt;0,KG$2,LG44&lt;&gt;0,LG$2,TRUE,"")</f>
        <v>New</v>
      </c>
      <c r="HH44" s="1" t="str" cm="1">
        <f t="array" ref="HH44">+_xlfn.IFS(IH44&lt;&gt;0,IH$2,JH44&lt;&gt;0,JH$2,KH44&lt;&gt;0,KH$2,LH44&lt;&gt;0,LH$2,TRUE,"")</f>
        <v>New</v>
      </c>
      <c r="HI44" s="1" t="str" cm="1">
        <f t="array" ref="HI44">+_xlfn.IFS(II44&lt;&gt;0,II$2,JI44&lt;&gt;0,JI$2,KI44&lt;&gt;0,KI$2,LI44&lt;&gt;0,LI$2,TRUE,"")</f>
        <v>New</v>
      </c>
      <c r="HJ44" s="1" t="str" cm="1">
        <f t="array" ref="HJ44">+_xlfn.IFS(IJ44&lt;&gt;0,IJ$2,JJ44&lt;&gt;0,JJ$2,KJ44&lt;&gt;0,KJ$2,LJ44&lt;&gt;0,LJ$2,TRUE,"")</f>
        <v>New</v>
      </c>
      <c r="HK44" s="1" t="str" cm="1">
        <f t="array" ref="HK44">+_xlfn.IFS(IK44&lt;&gt;0,IK$2,JK44&lt;&gt;0,JK$2,KK44&lt;&gt;0,KK$2,LK44&lt;&gt;0,LK$2,TRUE,"")</f>
        <v>New</v>
      </c>
      <c r="HL44" s="1" t="str" cm="1">
        <f t="array" ref="HL44">+_xlfn.IFS(IL44&lt;&gt;0,IL$2,JL44&lt;&gt;0,JL$2,KL44&lt;&gt;0,KL$2,LL44&lt;&gt;0,LL$2,TRUE,"")</f>
        <v>New</v>
      </c>
      <c r="HM44" s="1" t="str" cm="1">
        <f t="array" ref="HM44">+_xlfn.IFS(IM44&lt;&gt;0,IM$2,JM44&lt;&gt;0,JM$2,KM44&lt;&gt;0,KM$2,LM44&lt;&gt;0,LM$2,TRUE,"")</f>
        <v>New</v>
      </c>
      <c r="HN44" s="1" t="str" cm="1">
        <f t="array" ref="HN44">+_xlfn.IFS(IN44&lt;&gt;0,IN$2,JN44&lt;&gt;0,JN$2,KN44&lt;&gt;0,KN$2,LN44&lt;&gt;0,LN$2,TRUE,"")</f>
        <v>New</v>
      </c>
      <c r="HO44" s="1" t="str" cm="1">
        <f t="array" ref="HO44">+_xlfn.IFS(IO44&lt;&gt;0,IO$2,JO44&lt;&gt;0,JO$2,KO44&lt;&gt;0,KO$2,LO44&lt;&gt;0,LO$2,TRUE,"")</f>
        <v>Upsell</v>
      </c>
      <c r="HP44" s="1" t="str" cm="1">
        <f t="array" ref="HP44">+_xlfn.IFS(IP44&lt;&gt;0,IP$2,JP44&lt;&gt;0,JP$2,KP44&lt;&gt;0,KP$2,LP44&lt;&gt;0,LP$2,TRUE,"")</f>
        <v>Upsell</v>
      </c>
      <c r="HQ44" s="1" t="str" cm="1">
        <f t="array" ref="HQ44">+_xlfn.IFS(IQ44&lt;&gt;0,IQ$2,JQ44&lt;&gt;0,JQ$2,KQ44&lt;&gt;0,KQ$2,LQ44&lt;&gt;0,LQ$2,TRUE,"")</f>
        <v>Upsell</v>
      </c>
      <c r="HR44" s="1" t="str" cm="1">
        <f t="array" ref="HR44">+_xlfn.IFS(IR44&lt;&gt;0,IR$2,JR44&lt;&gt;0,JR$2,KR44&lt;&gt;0,KR$2,LR44&lt;&gt;0,LR$2,TRUE,"")</f>
        <v>Upsell</v>
      </c>
      <c r="HS44" s="1" t="str" cm="1">
        <f t="array" ref="HS44">+_xlfn.IFS(IS44&lt;&gt;0,IS$2,JS44&lt;&gt;0,JS$2,KS44&lt;&gt;0,KS$2,LS44&lt;&gt;0,LS$2,TRUE,"")</f>
        <v>Upsell</v>
      </c>
      <c r="HT44" s="1" t="str" cm="1">
        <f t="array" ref="HT44">+_xlfn.IFS(IT44&lt;&gt;0,IT$2,JT44&lt;&gt;0,JT$2,KT44&lt;&gt;0,KT$2,LT44&lt;&gt;0,LT$2,TRUE,"")</f>
        <v>Upsell</v>
      </c>
      <c r="HV44" s="111">
        <f t="shared" si="368"/>
        <v>0</v>
      </c>
      <c r="HW44" s="110">
        <f t="shared" si="369"/>
        <v>0</v>
      </c>
      <c r="HX44" s="110">
        <f t="shared" si="370"/>
        <v>0</v>
      </c>
      <c r="HY44" s="110">
        <f t="shared" si="371"/>
        <v>0</v>
      </c>
      <c r="HZ44" s="110">
        <f t="shared" si="372"/>
        <v>0</v>
      </c>
      <c r="IA44" s="110">
        <f t="shared" si="373"/>
        <v>0</v>
      </c>
      <c r="IB44" s="110">
        <f t="shared" si="374"/>
        <v>0</v>
      </c>
      <c r="IC44" s="110">
        <f t="shared" si="375"/>
        <v>229</v>
      </c>
      <c r="ID44" s="110">
        <f t="shared" si="376"/>
        <v>229</v>
      </c>
      <c r="IE44" s="110">
        <f t="shared" si="377"/>
        <v>229</v>
      </c>
      <c r="IF44" s="110">
        <f t="shared" si="378"/>
        <v>229</v>
      </c>
      <c r="IG44" s="110">
        <f t="shared" si="379"/>
        <v>229</v>
      </c>
      <c r="IH44" s="110">
        <f t="shared" si="380"/>
        <v>229</v>
      </c>
      <c r="II44" s="110">
        <f t="shared" si="381"/>
        <v>229</v>
      </c>
      <c r="IJ44" s="110">
        <f t="shared" si="382"/>
        <v>229</v>
      </c>
      <c r="IK44" s="110">
        <f t="shared" si="383"/>
        <v>237.02</v>
      </c>
      <c r="IL44" s="110">
        <f t="shared" si="384"/>
        <v>237.02</v>
      </c>
      <c r="IM44" s="110">
        <f t="shared" si="385"/>
        <v>237.02</v>
      </c>
      <c r="IN44" s="110">
        <f t="shared" si="386"/>
        <v>237.02</v>
      </c>
      <c r="IO44" s="110">
        <f t="shared" si="387"/>
        <v>0</v>
      </c>
      <c r="IP44" s="110">
        <f t="shared" si="388"/>
        <v>0</v>
      </c>
      <c r="IQ44" s="110">
        <f t="shared" si="389"/>
        <v>0</v>
      </c>
      <c r="IR44" s="110">
        <f t="shared" si="390"/>
        <v>0</v>
      </c>
      <c r="IS44" s="110">
        <f t="shared" si="391"/>
        <v>0</v>
      </c>
      <c r="IT44" s="110">
        <f t="shared" si="392"/>
        <v>0</v>
      </c>
      <c r="IV44" s="111">
        <f t="shared" si="393"/>
        <v>0</v>
      </c>
      <c r="IW44" s="110">
        <f t="shared" si="394"/>
        <v>0</v>
      </c>
      <c r="IX44" s="110">
        <f t="shared" si="395"/>
        <v>0</v>
      </c>
      <c r="IY44" s="110">
        <f t="shared" si="396"/>
        <v>0</v>
      </c>
      <c r="IZ44" s="110">
        <f t="shared" si="397"/>
        <v>0</v>
      </c>
      <c r="JA44" s="110">
        <f t="shared" si="398"/>
        <v>0</v>
      </c>
      <c r="JB44" s="110">
        <f t="shared" si="399"/>
        <v>0</v>
      </c>
      <c r="JC44" s="110">
        <f t="shared" si="400"/>
        <v>0</v>
      </c>
      <c r="JD44" s="110">
        <f t="shared" si="401"/>
        <v>0</v>
      </c>
      <c r="JE44" s="110">
        <f t="shared" si="402"/>
        <v>0</v>
      </c>
      <c r="JF44" s="110">
        <f t="shared" si="403"/>
        <v>0</v>
      </c>
      <c r="JG44" s="110">
        <f t="shared" si="404"/>
        <v>0</v>
      </c>
      <c r="JH44" s="110">
        <f t="shared" si="405"/>
        <v>0</v>
      </c>
      <c r="JI44" s="110">
        <f t="shared" si="406"/>
        <v>0</v>
      </c>
      <c r="JJ44" s="110">
        <f t="shared" si="407"/>
        <v>0</v>
      </c>
      <c r="JK44" s="110">
        <f t="shared" si="408"/>
        <v>0</v>
      </c>
      <c r="JL44" s="110">
        <f t="shared" si="409"/>
        <v>0</v>
      </c>
      <c r="JM44" s="110">
        <f t="shared" si="410"/>
        <v>0</v>
      </c>
      <c r="JN44" s="110">
        <f t="shared" si="411"/>
        <v>0</v>
      </c>
      <c r="JO44" s="110">
        <f t="shared" si="412"/>
        <v>0</v>
      </c>
      <c r="JP44" s="110">
        <f t="shared" si="413"/>
        <v>0</v>
      </c>
      <c r="JQ44" s="110">
        <f t="shared" si="414"/>
        <v>0</v>
      </c>
      <c r="JR44" s="110">
        <f t="shared" si="415"/>
        <v>0</v>
      </c>
      <c r="JS44" s="110">
        <f t="shared" si="416"/>
        <v>0</v>
      </c>
      <c r="JT44" s="110">
        <f t="shared" si="417"/>
        <v>0</v>
      </c>
      <c r="JV44" s="111">
        <f t="shared" si="418"/>
        <v>0</v>
      </c>
      <c r="JW44" s="110">
        <f t="shared" si="419"/>
        <v>0</v>
      </c>
      <c r="JX44" s="110">
        <f t="shared" si="420"/>
        <v>0</v>
      </c>
      <c r="JY44" s="110">
        <f t="shared" si="421"/>
        <v>0</v>
      </c>
      <c r="JZ44" s="110">
        <f t="shared" si="422"/>
        <v>0</v>
      </c>
      <c r="KA44" s="110">
        <f t="shared" si="423"/>
        <v>0</v>
      </c>
      <c r="KB44" s="110">
        <f t="shared" si="424"/>
        <v>0</v>
      </c>
      <c r="KC44" s="110">
        <f t="shared" si="425"/>
        <v>0</v>
      </c>
      <c r="KD44" s="110">
        <f t="shared" si="426"/>
        <v>0</v>
      </c>
      <c r="KE44" s="110">
        <f t="shared" si="427"/>
        <v>0</v>
      </c>
      <c r="KF44" s="110">
        <f t="shared" si="428"/>
        <v>0</v>
      </c>
      <c r="KG44" s="110">
        <f t="shared" si="429"/>
        <v>0</v>
      </c>
      <c r="KH44" s="110">
        <f t="shared" si="430"/>
        <v>0</v>
      </c>
      <c r="KI44" s="110">
        <f t="shared" si="431"/>
        <v>0</v>
      </c>
      <c r="KJ44" s="110">
        <f t="shared" si="432"/>
        <v>0</v>
      </c>
      <c r="KK44" s="110">
        <f t="shared" si="433"/>
        <v>0</v>
      </c>
      <c r="KL44" s="110">
        <f t="shared" si="434"/>
        <v>0</v>
      </c>
      <c r="KM44" s="110">
        <f t="shared" si="435"/>
        <v>0</v>
      </c>
      <c r="KN44" s="110">
        <f t="shared" si="436"/>
        <v>0</v>
      </c>
      <c r="KO44" s="110">
        <f t="shared" si="437"/>
        <v>0</v>
      </c>
      <c r="KP44" s="110">
        <f t="shared" si="438"/>
        <v>0</v>
      </c>
      <c r="KQ44" s="110">
        <f t="shared" si="439"/>
        <v>0</v>
      </c>
      <c r="KR44" s="110">
        <f t="shared" si="440"/>
        <v>0</v>
      </c>
      <c r="KS44" s="110">
        <f t="shared" si="441"/>
        <v>0</v>
      </c>
      <c r="KT44" s="110">
        <f t="shared" si="442"/>
        <v>0</v>
      </c>
      <c r="KV44" s="111">
        <f t="shared" si="443"/>
        <v>0</v>
      </c>
      <c r="KW44" s="110">
        <f t="shared" si="444"/>
        <v>0</v>
      </c>
      <c r="KX44" s="110">
        <f t="shared" si="445"/>
        <v>0</v>
      </c>
      <c r="KY44" s="110">
        <f t="shared" si="446"/>
        <v>0</v>
      </c>
      <c r="KZ44" s="110">
        <f t="shared" si="447"/>
        <v>0</v>
      </c>
      <c r="LA44" s="110">
        <f t="shared" si="448"/>
        <v>0</v>
      </c>
      <c r="LB44" s="110">
        <f t="shared" si="449"/>
        <v>0</v>
      </c>
      <c r="LC44" s="110">
        <f t="shared" si="450"/>
        <v>0</v>
      </c>
      <c r="LD44" s="110">
        <f t="shared" si="451"/>
        <v>0</v>
      </c>
      <c r="LE44" s="110">
        <f t="shared" si="452"/>
        <v>0</v>
      </c>
      <c r="LF44" s="110">
        <f t="shared" si="453"/>
        <v>0</v>
      </c>
      <c r="LG44" s="110">
        <f t="shared" si="454"/>
        <v>0</v>
      </c>
      <c r="LH44" s="110">
        <f t="shared" si="455"/>
        <v>0</v>
      </c>
      <c r="LI44" s="110">
        <f t="shared" si="456"/>
        <v>0</v>
      </c>
      <c r="LJ44" s="110">
        <f t="shared" si="457"/>
        <v>0</v>
      </c>
      <c r="LK44" s="110">
        <f t="shared" si="458"/>
        <v>0</v>
      </c>
      <c r="LL44" s="110">
        <f t="shared" si="459"/>
        <v>0</v>
      </c>
      <c r="LM44" s="110">
        <f t="shared" si="460"/>
        <v>0</v>
      </c>
      <c r="LN44" s="110">
        <f t="shared" si="461"/>
        <v>0</v>
      </c>
      <c r="LO44" s="110">
        <f t="shared" si="462"/>
        <v>8.0200000000000102</v>
      </c>
      <c r="LP44" s="110">
        <f t="shared" si="463"/>
        <v>8.0200000000000102</v>
      </c>
      <c r="LQ44" s="110">
        <f t="shared" si="464"/>
        <v>8.0200000000000102</v>
      </c>
      <c r="LR44" s="110">
        <f t="shared" si="465"/>
        <v>8.0200000000000102</v>
      </c>
      <c r="LS44" s="110">
        <f t="shared" si="466"/>
        <v>8.0200000000000102</v>
      </c>
      <c r="LT44" s="110">
        <f t="shared" si="467"/>
        <v>8.0200000000000102</v>
      </c>
      <c r="LV44" s="111"/>
      <c r="LW44" s="110">
        <f t="shared" si="468"/>
        <v>0</v>
      </c>
      <c r="LX44" s="110">
        <f t="shared" si="469"/>
        <v>0</v>
      </c>
      <c r="LY44" s="110">
        <f t="shared" si="470"/>
        <v>0</v>
      </c>
      <c r="LZ44" s="110">
        <f t="shared" si="471"/>
        <v>0</v>
      </c>
      <c r="MA44" s="110">
        <f t="shared" si="472"/>
        <v>0</v>
      </c>
      <c r="MB44" s="110">
        <f t="shared" si="473"/>
        <v>0</v>
      </c>
      <c r="MC44" s="110">
        <f t="shared" si="474"/>
        <v>0</v>
      </c>
      <c r="MD44" s="110">
        <f t="shared" si="475"/>
        <v>0</v>
      </c>
      <c r="ME44" s="110">
        <f t="shared" si="476"/>
        <v>0</v>
      </c>
      <c r="MF44" s="110">
        <f t="shared" si="477"/>
        <v>0</v>
      </c>
      <c r="MG44" s="110">
        <f t="shared" si="478"/>
        <v>0</v>
      </c>
      <c r="MH44" s="110">
        <f t="shared" si="479"/>
        <v>0</v>
      </c>
      <c r="MI44" s="110">
        <f t="shared" si="480"/>
        <v>0</v>
      </c>
      <c r="MJ44" s="110">
        <f t="shared" si="481"/>
        <v>0</v>
      </c>
      <c r="MK44" s="110">
        <f t="shared" si="482"/>
        <v>0</v>
      </c>
      <c r="ML44" s="110">
        <f t="shared" si="483"/>
        <v>0</v>
      </c>
      <c r="MM44" s="110">
        <f t="shared" si="484"/>
        <v>0</v>
      </c>
      <c r="MN44" s="110">
        <f t="shared" si="485"/>
        <v>0</v>
      </c>
      <c r="MO44" s="110">
        <f t="shared" si="486"/>
        <v>0</v>
      </c>
      <c r="MP44" s="110">
        <f t="shared" si="487"/>
        <v>0</v>
      </c>
      <c r="MQ44" s="110">
        <f t="shared" si="488"/>
        <v>0</v>
      </c>
      <c r="MR44" s="110">
        <f t="shared" si="489"/>
        <v>0</v>
      </c>
      <c r="MS44" s="110">
        <f t="shared" si="490"/>
        <v>0</v>
      </c>
      <c r="MT44" s="110">
        <f t="shared" si="491"/>
        <v>0</v>
      </c>
      <c r="MV44" s="114">
        <v>237.02</v>
      </c>
      <c r="MW44" s="114">
        <v>0</v>
      </c>
      <c r="MX44" s="114">
        <v>8.0200000000000102</v>
      </c>
      <c r="MY44" s="114">
        <v>0</v>
      </c>
      <c r="MZ44" s="114">
        <v>0</v>
      </c>
      <c r="NB44" s="115">
        <v>46</v>
      </c>
      <c r="NC44" s="115" t="str">
        <v>N/A</v>
      </c>
      <c r="ND44" s="115">
        <v>31</v>
      </c>
      <c r="NE44" s="115" t="str">
        <v>N/A</v>
      </c>
      <c r="NF44" s="115" t="str">
        <v>N/A</v>
      </c>
    </row>
    <row r="45" spans="2:370" ht="13.5" x14ac:dyDescent="0.25">
      <c r="B45" s="8">
        <f t="shared" si="252"/>
        <v>42</v>
      </c>
      <c r="C45" s="7">
        <v>0</v>
      </c>
      <c r="D45" s="7">
        <v>0</v>
      </c>
      <c r="E45" s="7">
        <v>0</v>
      </c>
      <c r="F45" s="7">
        <v>0</v>
      </c>
      <c r="G45" s="7">
        <v>0</v>
      </c>
      <c r="H45" s="7">
        <v>0</v>
      </c>
      <c r="I45" s="7">
        <v>0</v>
      </c>
      <c r="J45" s="7">
        <v>0</v>
      </c>
      <c r="K45" s="7">
        <v>0</v>
      </c>
      <c r="L45" s="7">
        <v>0</v>
      </c>
      <c r="M45" s="7">
        <v>0</v>
      </c>
      <c r="N45" s="7">
        <v>0</v>
      </c>
      <c r="O45" s="7">
        <v>0</v>
      </c>
      <c r="P45" s="7">
        <v>0</v>
      </c>
      <c r="Q45" s="7">
        <v>0</v>
      </c>
      <c r="R45" s="7">
        <v>0</v>
      </c>
      <c r="S45" s="7">
        <v>0</v>
      </c>
      <c r="T45" s="7">
        <v>0</v>
      </c>
      <c r="U45" s="7">
        <v>0</v>
      </c>
      <c r="V45" s="7">
        <v>69</v>
      </c>
      <c r="W45" s="7">
        <v>69</v>
      </c>
      <c r="X45" s="7">
        <v>69</v>
      </c>
      <c r="Y45" s="7">
        <v>69</v>
      </c>
      <c r="Z45" s="7">
        <v>69</v>
      </c>
      <c r="AA45" s="7">
        <v>69</v>
      </c>
      <c r="AB45" s="7">
        <v>69</v>
      </c>
      <c r="AC45" s="7">
        <v>69</v>
      </c>
      <c r="AD45" s="7">
        <v>69</v>
      </c>
      <c r="AE45" s="7">
        <v>69</v>
      </c>
      <c r="AF45" s="7">
        <v>69</v>
      </c>
      <c r="AG45" s="7">
        <v>69</v>
      </c>
      <c r="AH45" s="7">
        <v>69</v>
      </c>
      <c r="AI45" s="7">
        <v>69</v>
      </c>
      <c r="AJ45" s="7">
        <v>69</v>
      </c>
      <c r="AK45" s="7">
        <v>69</v>
      </c>
      <c r="AL45" s="7">
        <v>69</v>
      </c>
      <c r="AM45" s="7">
        <v>69</v>
      </c>
      <c r="AN45" s="27">
        <v>42</v>
      </c>
      <c r="AP45" s="111"/>
      <c r="AQ45" s="110">
        <f t="shared" si="253"/>
        <v>0</v>
      </c>
      <c r="AR45" s="110">
        <f t="shared" si="254"/>
        <v>0</v>
      </c>
      <c r="AS45" s="110">
        <f t="shared" si="255"/>
        <v>0</v>
      </c>
      <c r="AT45" s="110">
        <f t="shared" si="256"/>
        <v>0</v>
      </c>
      <c r="AU45" s="110">
        <f t="shared" si="257"/>
        <v>0</v>
      </c>
      <c r="AV45" s="110">
        <f t="shared" si="258"/>
        <v>0</v>
      </c>
      <c r="AW45" s="110">
        <f t="shared" si="259"/>
        <v>69</v>
      </c>
      <c r="AX45" s="110">
        <f t="shared" si="260"/>
        <v>0</v>
      </c>
      <c r="AY45" s="110">
        <f t="shared" si="261"/>
        <v>0</v>
      </c>
      <c r="AZ45" s="110">
        <f t="shared" si="262"/>
        <v>0</v>
      </c>
      <c r="BA45" s="110">
        <f t="shared" si="263"/>
        <v>0</v>
      </c>
      <c r="BB45" s="110">
        <f t="shared" si="264"/>
        <v>0</v>
      </c>
      <c r="BD45" s="109" cm="1">
        <f t="array" ref="BD45">+IFERROR(INDEX($C$3:$AM$3,MATCH(TRUE,INDEX($C45:$AM45&lt;&gt;0,0),0)),"N/A")</f>
        <v>45504</v>
      </c>
      <c r="BE45" s="112"/>
      <c r="BF45" s="1" t="str" cm="1">
        <f t="array" ref="BF45">+_xlfn.IFS(BT45&lt;&gt;0,BT$2,CH45&lt;&gt;0,CH$2,CV45&lt;&gt;0,CV$2,DJ45&lt;&gt;0,DJ$2,TRUE,"")</f>
        <v/>
      </c>
      <c r="BG45" s="1" t="str" cm="1">
        <f t="array" ref="BG45">+_xlfn.IFS(BU45&lt;&gt;0,BU$2,CI45&lt;&gt;0,CI$2,CW45&lt;&gt;0,CW$2,DK45&lt;&gt;0,DK$2,TRUE,"")</f>
        <v/>
      </c>
      <c r="BH45" s="1" t="str" cm="1">
        <f t="array" ref="BH45">+_xlfn.IFS(BV45&lt;&gt;0,BV$2,CJ45&lt;&gt;0,CJ$2,CX45&lt;&gt;0,CX$2,DL45&lt;&gt;0,DL$2,TRUE,"")</f>
        <v/>
      </c>
      <c r="BI45" s="1" t="str" cm="1">
        <f t="array" ref="BI45">+_xlfn.IFS(BW45&lt;&gt;0,BW$2,CK45&lt;&gt;0,CK$2,CY45&lt;&gt;0,CY$2,DM45&lt;&gt;0,DM$2,TRUE,"")</f>
        <v/>
      </c>
      <c r="BJ45" s="1" t="str" cm="1">
        <f t="array" ref="BJ45">+_xlfn.IFS(BX45&lt;&gt;0,BX$2,CL45&lt;&gt;0,CL$2,CZ45&lt;&gt;0,CZ$2,DN45&lt;&gt;0,DN$2,TRUE,"")</f>
        <v/>
      </c>
      <c r="BK45" s="1" t="str" cm="1">
        <f t="array" ref="BK45">+_xlfn.IFS(BY45&lt;&gt;0,BY$2,CM45&lt;&gt;0,CM$2,DA45&lt;&gt;0,DA$2,DO45&lt;&gt;0,DO$2,TRUE,"")</f>
        <v/>
      </c>
      <c r="BL45" s="1" t="str" cm="1">
        <f t="array" ref="BL45">+_xlfn.IFS(BZ45&lt;&gt;0,BZ$2,CN45&lt;&gt;0,CN$2,DB45&lt;&gt;0,DB$2,DP45&lt;&gt;0,DP$2,TRUE,"")</f>
        <v>New</v>
      </c>
      <c r="BM45" s="1" t="str" cm="1">
        <f t="array" ref="BM45">+_xlfn.IFS(CA45&lt;&gt;0,CA$2,CO45&lt;&gt;0,CO$2,DC45&lt;&gt;0,DC$2,DQ45&lt;&gt;0,DQ$2,TRUE,"")</f>
        <v/>
      </c>
      <c r="BN45" s="1" t="str" cm="1">
        <f t="array" ref="BN45">+_xlfn.IFS(CB45&lt;&gt;0,CB$2,CP45&lt;&gt;0,CP$2,DD45&lt;&gt;0,DD$2,DR45&lt;&gt;0,DR$2,TRUE,"")</f>
        <v/>
      </c>
      <c r="BO45" s="1" t="str" cm="1">
        <f t="array" ref="BO45">+_xlfn.IFS(CC45&lt;&gt;0,CC$2,CQ45&lt;&gt;0,CQ$2,DE45&lt;&gt;0,DE$2,DS45&lt;&gt;0,DS$2,TRUE,"")</f>
        <v/>
      </c>
      <c r="BP45" s="1" t="str" cm="1">
        <f t="array" ref="BP45">+_xlfn.IFS(CD45&lt;&gt;0,CD$2,CR45&lt;&gt;0,CR$2,DF45&lt;&gt;0,DF$2,DT45&lt;&gt;0,DT$2,TRUE,"")</f>
        <v/>
      </c>
      <c r="BQ45" s="1" t="str" cm="1">
        <f t="array" ref="BQ45">+_xlfn.IFS(CE45&lt;&gt;0,CE$2,CS45&lt;&gt;0,CS$2,DG45&lt;&gt;0,DG$2,DU45&lt;&gt;0,DU$2,TRUE,"")</f>
        <v/>
      </c>
      <c r="BS45" s="111"/>
      <c r="BT45" s="110">
        <f t="shared" si="265"/>
        <v>0</v>
      </c>
      <c r="BU45" s="110">
        <f t="shared" si="266"/>
        <v>0</v>
      </c>
      <c r="BV45" s="110">
        <f t="shared" si="267"/>
        <v>0</v>
      </c>
      <c r="BW45" s="110">
        <f t="shared" si="268"/>
        <v>0</v>
      </c>
      <c r="BX45" s="110">
        <f t="shared" si="269"/>
        <v>0</v>
      </c>
      <c r="BY45" s="110">
        <f t="shared" si="270"/>
        <v>0</v>
      </c>
      <c r="BZ45" s="110">
        <f t="shared" si="271"/>
        <v>69</v>
      </c>
      <c r="CA45" s="110">
        <f t="shared" si="272"/>
        <v>0</v>
      </c>
      <c r="CB45" s="110">
        <f t="shared" si="273"/>
        <v>0</v>
      </c>
      <c r="CC45" s="110">
        <f t="shared" si="274"/>
        <v>0</v>
      </c>
      <c r="CD45" s="110">
        <f t="shared" si="275"/>
        <v>0</v>
      </c>
      <c r="CE45" s="110">
        <f t="shared" si="276"/>
        <v>0</v>
      </c>
      <c r="CG45" s="111"/>
      <c r="CH45" s="110">
        <f t="shared" si="277"/>
        <v>0</v>
      </c>
      <c r="CI45" s="110">
        <f t="shared" si="278"/>
        <v>0</v>
      </c>
      <c r="CJ45" s="110">
        <f t="shared" si="279"/>
        <v>0</v>
      </c>
      <c r="CK45" s="110">
        <f t="shared" si="280"/>
        <v>0</v>
      </c>
      <c r="CL45" s="110">
        <f t="shared" si="281"/>
        <v>0</v>
      </c>
      <c r="CM45" s="110">
        <f t="shared" si="282"/>
        <v>0</v>
      </c>
      <c r="CN45" s="110">
        <f t="shared" si="283"/>
        <v>0</v>
      </c>
      <c r="CO45" s="110">
        <f t="shared" si="284"/>
        <v>0</v>
      </c>
      <c r="CP45" s="110">
        <f t="shared" si="285"/>
        <v>0</v>
      </c>
      <c r="CQ45" s="110">
        <f t="shared" si="286"/>
        <v>0</v>
      </c>
      <c r="CR45" s="110">
        <f t="shared" si="287"/>
        <v>0</v>
      </c>
      <c r="CS45" s="110">
        <f t="shared" si="288"/>
        <v>0</v>
      </c>
      <c r="CU45" s="111"/>
      <c r="CV45" s="110">
        <f t="shared" si="289"/>
        <v>0</v>
      </c>
      <c r="CW45" s="110">
        <f t="shared" si="290"/>
        <v>0</v>
      </c>
      <c r="CX45" s="110">
        <f t="shared" si="291"/>
        <v>0</v>
      </c>
      <c r="CY45" s="110">
        <f t="shared" si="292"/>
        <v>0</v>
      </c>
      <c r="CZ45" s="110">
        <f t="shared" si="293"/>
        <v>0</v>
      </c>
      <c r="DA45" s="110">
        <f t="shared" si="294"/>
        <v>0</v>
      </c>
      <c r="DB45" s="110">
        <f t="shared" si="295"/>
        <v>0</v>
      </c>
      <c r="DC45" s="110">
        <f t="shared" si="296"/>
        <v>0</v>
      </c>
      <c r="DD45" s="110">
        <f t="shared" si="297"/>
        <v>0</v>
      </c>
      <c r="DE45" s="110">
        <f t="shared" si="298"/>
        <v>0</v>
      </c>
      <c r="DF45" s="110">
        <f t="shared" si="299"/>
        <v>0</v>
      </c>
      <c r="DG45" s="110">
        <f t="shared" si="300"/>
        <v>0</v>
      </c>
      <c r="DI45" s="111"/>
      <c r="DJ45" s="110">
        <f t="shared" si="301"/>
        <v>0</v>
      </c>
      <c r="DK45" s="110">
        <f t="shared" si="302"/>
        <v>0</v>
      </c>
      <c r="DL45" s="110">
        <f t="shared" si="303"/>
        <v>0</v>
      </c>
      <c r="DM45" s="110">
        <f t="shared" si="304"/>
        <v>0</v>
      </c>
      <c r="DN45" s="110">
        <f t="shared" si="305"/>
        <v>0</v>
      </c>
      <c r="DO45" s="110">
        <f t="shared" si="306"/>
        <v>0</v>
      </c>
      <c r="DP45" s="110">
        <f t="shared" si="307"/>
        <v>0</v>
      </c>
      <c r="DQ45" s="110">
        <f t="shared" si="308"/>
        <v>0</v>
      </c>
      <c r="DR45" s="110">
        <f t="shared" si="309"/>
        <v>0</v>
      </c>
      <c r="DS45" s="110">
        <f t="shared" si="310"/>
        <v>0</v>
      </c>
      <c r="DT45" s="110">
        <f t="shared" si="311"/>
        <v>0</v>
      </c>
      <c r="DU45" s="110">
        <f t="shared" si="312"/>
        <v>0</v>
      </c>
      <c r="DW45" s="111"/>
      <c r="DX45" s="110">
        <f t="shared" si="313"/>
        <v>0</v>
      </c>
      <c r="DY45" s="110">
        <f t="shared" si="314"/>
        <v>0</v>
      </c>
      <c r="DZ45" s="110">
        <f t="shared" si="315"/>
        <v>0</v>
      </c>
      <c r="EA45" s="110">
        <f t="shared" si="316"/>
        <v>0</v>
      </c>
      <c r="EB45" s="110">
        <f t="shared" si="317"/>
        <v>0</v>
      </c>
      <c r="EC45" s="110">
        <f t="shared" si="318"/>
        <v>0</v>
      </c>
      <c r="ED45" s="110">
        <f t="shared" si="319"/>
        <v>0</v>
      </c>
      <c r="EE45" s="110">
        <f t="shared" si="320"/>
        <v>0</v>
      </c>
      <c r="EF45" s="110">
        <f t="shared" si="321"/>
        <v>0</v>
      </c>
      <c r="EG45" s="110">
        <f t="shared" si="322"/>
        <v>0</v>
      </c>
      <c r="EH45" s="110">
        <f t="shared" si="323"/>
        <v>0</v>
      </c>
      <c r="EI45" s="110">
        <f t="shared" si="324"/>
        <v>0</v>
      </c>
      <c r="EK45" s="111"/>
      <c r="EL45" s="110">
        <f t="shared" si="325"/>
        <v>0</v>
      </c>
      <c r="EM45" s="110">
        <f t="shared" si="326"/>
        <v>69</v>
      </c>
      <c r="EN45" s="110">
        <f t="shared" si="327"/>
        <v>0</v>
      </c>
      <c r="EP45" s="109" cm="1">
        <f t="array" ref="EP45">+IFERROR(INDEX($C$3:$AM$3,MATCH(TRUE,INDEX($C45:$AM45&lt;&gt;0,0),0)),"N/A")</f>
        <v>45504</v>
      </c>
      <c r="EQ45" s="112"/>
      <c r="ER45" s="1" t="str" cm="1">
        <f t="array" ref="ER45">+_xlfn.IFS(EW45&lt;&gt;0,EW$2,FB45&lt;&gt;0,FB$2,FG45&lt;&gt;0,FG$2,FL45&lt;&gt;0,FL$2,TRUE,"")</f>
        <v/>
      </c>
      <c r="ES45" s="1" t="str" cm="1">
        <f t="array" ref="ES45">+_xlfn.IFS(EX45&lt;&gt;0,EX$2,FC45&lt;&gt;0,FC$2,FH45&lt;&gt;0,FH$2,FM45&lt;&gt;0,FM$2,TRUE,"")</f>
        <v>New</v>
      </c>
      <c r="ET45" s="1" t="str" cm="1">
        <f t="array" ref="ET45">+_xlfn.IFS(EY45&lt;&gt;0,EY$2,FD45&lt;&gt;0,FD$2,FI45&lt;&gt;0,FI$2,FN45&lt;&gt;0,FN$2,TRUE,"")</f>
        <v/>
      </c>
      <c r="EV45" s="111"/>
      <c r="EW45" s="110">
        <f t="shared" si="328"/>
        <v>0</v>
      </c>
      <c r="EX45" s="110">
        <f t="shared" si="329"/>
        <v>69</v>
      </c>
      <c r="EY45" s="110">
        <f t="shared" si="330"/>
        <v>0</v>
      </c>
      <c r="FA45" s="111"/>
      <c r="FB45" s="110">
        <f t="shared" si="331"/>
        <v>0</v>
      </c>
      <c r="FC45" s="110">
        <f t="shared" si="332"/>
        <v>0</v>
      </c>
      <c r="FD45" s="110">
        <f t="shared" si="333"/>
        <v>0</v>
      </c>
      <c r="FF45" s="111"/>
      <c r="FG45" s="110">
        <f t="shared" si="334"/>
        <v>0</v>
      </c>
      <c r="FH45" s="110">
        <f t="shared" si="335"/>
        <v>0</v>
      </c>
      <c r="FI45" s="110">
        <f t="shared" si="336"/>
        <v>0</v>
      </c>
      <c r="FK45" s="111"/>
      <c r="FL45" s="110">
        <f t="shared" si="337"/>
        <v>0</v>
      </c>
      <c r="FM45" s="110">
        <f t="shared" si="338"/>
        <v>0</v>
      </c>
      <c r="FN45" s="110">
        <f t="shared" si="339"/>
        <v>0</v>
      </c>
      <c r="FP45" s="111"/>
      <c r="FQ45" s="110">
        <f t="shared" si="340"/>
        <v>0</v>
      </c>
      <c r="FR45" s="110">
        <f t="shared" si="341"/>
        <v>0</v>
      </c>
      <c r="FS45" s="110">
        <f t="shared" si="342"/>
        <v>0</v>
      </c>
      <c r="FU45" s="111">
        <f t="shared" si="343"/>
        <v>0</v>
      </c>
      <c r="FV45" s="110">
        <f t="shared" si="344"/>
        <v>0</v>
      </c>
      <c r="FW45" s="110">
        <f t="shared" si="345"/>
        <v>0</v>
      </c>
      <c r="FX45" s="110">
        <f t="shared" si="346"/>
        <v>0</v>
      </c>
      <c r="FY45" s="110">
        <f t="shared" si="347"/>
        <v>0</v>
      </c>
      <c r="FZ45" s="110">
        <f t="shared" si="348"/>
        <v>0</v>
      </c>
      <c r="GA45" s="110">
        <f t="shared" si="349"/>
        <v>0</v>
      </c>
      <c r="GB45" s="110">
        <f t="shared" si="350"/>
        <v>69</v>
      </c>
      <c r="GC45" s="110">
        <f t="shared" si="351"/>
        <v>69</v>
      </c>
      <c r="GD45" s="110">
        <f t="shared" si="352"/>
        <v>69</v>
      </c>
      <c r="GE45" s="110">
        <f t="shared" si="353"/>
        <v>69</v>
      </c>
      <c r="GF45" s="110">
        <f t="shared" si="354"/>
        <v>69</v>
      </c>
      <c r="GG45" s="110">
        <f t="shared" si="355"/>
        <v>69</v>
      </c>
      <c r="GH45" s="110">
        <f t="shared" si="356"/>
        <v>69</v>
      </c>
      <c r="GI45" s="110">
        <f t="shared" si="357"/>
        <v>69</v>
      </c>
      <c r="GJ45" s="110">
        <f t="shared" si="358"/>
        <v>69</v>
      </c>
      <c r="GK45" s="110">
        <f t="shared" si="359"/>
        <v>69</v>
      </c>
      <c r="GL45" s="110">
        <f t="shared" si="360"/>
        <v>69</v>
      </c>
      <c r="GM45" s="110">
        <f t="shared" si="361"/>
        <v>69</v>
      </c>
      <c r="GN45" s="110">
        <f t="shared" si="362"/>
        <v>0</v>
      </c>
      <c r="GO45" s="110">
        <f t="shared" si="363"/>
        <v>0</v>
      </c>
      <c r="GP45" s="110">
        <f t="shared" si="364"/>
        <v>0</v>
      </c>
      <c r="GQ45" s="110">
        <f t="shared" si="365"/>
        <v>0</v>
      </c>
      <c r="GR45" s="110">
        <f t="shared" si="366"/>
        <v>0</v>
      </c>
      <c r="GS45" s="110">
        <f t="shared" si="367"/>
        <v>0</v>
      </c>
      <c r="GU45" s="109" cm="1">
        <f t="array" ref="GU45">+IFERROR(INDEX($C$3:$AM$3,MATCH(TRUE,INDEX($C45:$AM45&lt;&gt;0,0),0)),"N/A")</f>
        <v>45504</v>
      </c>
      <c r="GV45" s="112" t="str" cm="1">
        <f t="array" ref="GV45">+_xlfn.IFS(HV45&lt;&gt;0,HV$2,IV45&lt;&gt;0,IV$2,JV45&lt;&gt;0,JV$2,KV45&lt;&gt;0,KV$2,TRUE,"")</f>
        <v/>
      </c>
      <c r="GW45" s="1" t="str" cm="1">
        <f t="array" ref="GW45">+_xlfn.IFS(HW45&lt;&gt;0,HW$2,IW45&lt;&gt;0,IW$2,JW45&lt;&gt;0,JW$2,KW45&lt;&gt;0,KW$2,TRUE,"")</f>
        <v/>
      </c>
      <c r="GX45" s="1" t="str" cm="1">
        <f t="array" ref="GX45">+_xlfn.IFS(HX45&lt;&gt;0,HX$2,IX45&lt;&gt;0,IX$2,JX45&lt;&gt;0,JX$2,KX45&lt;&gt;0,KX$2,TRUE,"")</f>
        <v/>
      </c>
      <c r="GY45" s="1" t="str" cm="1">
        <f t="array" ref="GY45">+_xlfn.IFS(HY45&lt;&gt;0,HY$2,IY45&lt;&gt;0,IY$2,JY45&lt;&gt;0,JY$2,KY45&lt;&gt;0,KY$2,TRUE,"")</f>
        <v/>
      </c>
      <c r="GZ45" s="1" t="str" cm="1">
        <f t="array" ref="GZ45">+_xlfn.IFS(HZ45&lt;&gt;0,HZ$2,IZ45&lt;&gt;0,IZ$2,JZ45&lt;&gt;0,JZ$2,KZ45&lt;&gt;0,KZ$2,TRUE,"")</f>
        <v/>
      </c>
      <c r="HA45" s="1" t="str" cm="1">
        <f t="array" ref="HA45">+_xlfn.IFS(IA45&lt;&gt;0,IA$2,JA45&lt;&gt;0,JA$2,KA45&lt;&gt;0,KA$2,LA45&lt;&gt;0,LA$2,TRUE,"")</f>
        <v/>
      </c>
      <c r="HB45" s="1" t="str" cm="1">
        <f t="array" ref="HB45">+_xlfn.IFS(IB45&lt;&gt;0,IB$2,JB45&lt;&gt;0,JB$2,KB45&lt;&gt;0,KB$2,LB45&lt;&gt;0,LB$2,TRUE,"")</f>
        <v/>
      </c>
      <c r="HC45" s="1" t="str" cm="1">
        <f t="array" ref="HC45">+_xlfn.IFS(IC45&lt;&gt;0,IC$2,JC45&lt;&gt;0,JC$2,KC45&lt;&gt;0,KC$2,LC45&lt;&gt;0,LC$2,TRUE,"")</f>
        <v>New</v>
      </c>
      <c r="HD45" s="1" t="str" cm="1">
        <f t="array" ref="HD45">+_xlfn.IFS(ID45&lt;&gt;0,ID$2,JD45&lt;&gt;0,JD$2,KD45&lt;&gt;0,KD$2,LD45&lt;&gt;0,LD$2,TRUE,"")</f>
        <v>New</v>
      </c>
      <c r="HE45" s="1" t="str" cm="1">
        <f t="array" ref="HE45">+_xlfn.IFS(IE45&lt;&gt;0,IE$2,JE45&lt;&gt;0,JE$2,KE45&lt;&gt;0,KE$2,LE45&lt;&gt;0,LE$2,TRUE,"")</f>
        <v>New</v>
      </c>
      <c r="HF45" s="1" t="str" cm="1">
        <f t="array" ref="HF45">+_xlfn.IFS(IF45&lt;&gt;0,IF$2,JF45&lt;&gt;0,JF$2,KF45&lt;&gt;0,KF$2,LF45&lt;&gt;0,LF$2,TRUE,"")</f>
        <v>New</v>
      </c>
      <c r="HG45" s="1" t="str" cm="1">
        <f t="array" ref="HG45">+_xlfn.IFS(IG45&lt;&gt;0,IG$2,JG45&lt;&gt;0,JG$2,KG45&lt;&gt;0,KG$2,LG45&lt;&gt;0,LG$2,TRUE,"")</f>
        <v>New</v>
      </c>
      <c r="HH45" s="1" t="str" cm="1">
        <f t="array" ref="HH45">+_xlfn.IFS(IH45&lt;&gt;0,IH$2,JH45&lt;&gt;0,JH$2,KH45&lt;&gt;0,KH$2,LH45&lt;&gt;0,LH$2,TRUE,"")</f>
        <v>New</v>
      </c>
      <c r="HI45" s="1" t="str" cm="1">
        <f t="array" ref="HI45">+_xlfn.IFS(II45&lt;&gt;0,II$2,JI45&lt;&gt;0,JI$2,KI45&lt;&gt;0,KI$2,LI45&lt;&gt;0,LI$2,TRUE,"")</f>
        <v>New</v>
      </c>
      <c r="HJ45" s="1" t="str" cm="1">
        <f t="array" ref="HJ45">+_xlfn.IFS(IJ45&lt;&gt;0,IJ$2,JJ45&lt;&gt;0,JJ$2,KJ45&lt;&gt;0,KJ$2,LJ45&lt;&gt;0,LJ$2,TRUE,"")</f>
        <v>New</v>
      </c>
      <c r="HK45" s="1" t="str" cm="1">
        <f t="array" ref="HK45">+_xlfn.IFS(IK45&lt;&gt;0,IK$2,JK45&lt;&gt;0,JK$2,KK45&lt;&gt;0,KK$2,LK45&lt;&gt;0,LK$2,TRUE,"")</f>
        <v>New</v>
      </c>
      <c r="HL45" s="1" t="str" cm="1">
        <f t="array" ref="HL45">+_xlfn.IFS(IL45&lt;&gt;0,IL$2,JL45&lt;&gt;0,JL$2,KL45&lt;&gt;0,KL$2,LL45&lt;&gt;0,LL$2,TRUE,"")</f>
        <v>New</v>
      </c>
      <c r="HM45" s="1" t="str" cm="1">
        <f t="array" ref="HM45">+_xlfn.IFS(IM45&lt;&gt;0,IM$2,JM45&lt;&gt;0,JM$2,KM45&lt;&gt;0,KM$2,LM45&lt;&gt;0,LM$2,TRUE,"")</f>
        <v>New</v>
      </c>
      <c r="HN45" s="1" t="str" cm="1">
        <f t="array" ref="HN45">+_xlfn.IFS(IN45&lt;&gt;0,IN$2,JN45&lt;&gt;0,JN$2,KN45&lt;&gt;0,KN$2,LN45&lt;&gt;0,LN$2,TRUE,"")</f>
        <v>New</v>
      </c>
      <c r="HO45" s="1" t="str" cm="1">
        <f t="array" ref="HO45">+_xlfn.IFS(IO45&lt;&gt;0,IO$2,JO45&lt;&gt;0,JO$2,KO45&lt;&gt;0,KO$2,LO45&lt;&gt;0,LO$2,TRUE,"")</f>
        <v/>
      </c>
      <c r="HP45" s="1" t="str" cm="1">
        <f t="array" ref="HP45">+_xlfn.IFS(IP45&lt;&gt;0,IP$2,JP45&lt;&gt;0,JP$2,KP45&lt;&gt;0,KP$2,LP45&lt;&gt;0,LP$2,TRUE,"")</f>
        <v/>
      </c>
      <c r="HQ45" s="1" t="str" cm="1">
        <f t="array" ref="HQ45">+_xlfn.IFS(IQ45&lt;&gt;0,IQ$2,JQ45&lt;&gt;0,JQ$2,KQ45&lt;&gt;0,KQ$2,LQ45&lt;&gt;0,LQ$2,TRUE,"")</f>
        <v/>
      </c>
      <c r="HR45" s="1" t="str" cm="1">
        <f t="array" ref="HR45">+_xlfn.IFS(IR45&lt;&gt;0,IR$2,JR45&lt;&gt;0,JR$2,KR45&lt;&gt;0,KR$2,LR45&lt;&gt;0,LR$2,TRUE,"")</f>
        <v/>
      </c>
      <c r="HS45" s="1" t="str" cm="1">
        <f t="array" ref="HS45">+_xlfn.IFS(IS45&lt;&gt;0,IS$2,JS45&lt;&gt;0,JS$2,KS45&lt;&gt;0,KS$2,LS45&lt;&gt;0,LS$2,TRUE,"")</f>
        <v/>
      </c>
      <c r="HT45" s="1" t="str" cm="1">
        <f t="array" ref="HT45">+_xlfn.IFS(IT45&lt;&gt;0,IT$2,JT45&lt;&gt;0,JT$2,KT45&lt;&gt;0,KT$2,LT45&lt;&gt;0,LT$2,TRUE,"")</f>
        <v/>
      </c>
      <c r="HV45" s="111">
        <f t="shared" si="368"/>
        <v>0</v>
      </c>
      <c r="HW45" s="110">
        <f t="shared" si="369"/>
        <v>0</v>
      </c>
      <c r="HX45" s="110">
        <f t="shared" si="370"/>
        <v>0</v>
      </c>
      <c r="HY45" s="110">
        <f t="shared" si="371"/>
        <v>0</v>
      </c>
      <c r="HZ45" s="110">
        <f t="shared" si="372"/>
        <v>0</v>
      </c>
      <c r="IA45" s="110">
        <f t="shared" si="373"/>
        <v>0</v>
      </c>
      <c r="IB45" s="110">
        <f t="shared" si="374"/>
        <v>0</v>
      </c>
      <c r="IC45" s="110">
        <f t="shared" si="375"/>
        <v>69</v>
      </c>
      <c r="ID45" s="110">
        <f t="shared" si="376"/>
        <v>69</v>
      </c>
      <c r="IE45" s="110">
        <f t="shared" si="377"/>
        <v>69</v>
      </c>
      <c r="IF45" s="110">
        <f t="shared" si="378"/>
        <v>69</v>
      </c>
      <c r="IG45" s="110">
        <f t="shared" si="379"/>
        <v>69</v>
      </c>
      <c r="IH45" s="110">
        <f t="shared" si="380"/>
        <v>69</v>
      </c>
      <c r="II45" s="110">
        <f t="shared" si="381"/>
        <v>69</v>
      </c>
      <c r="IJ45" s="110">
        <f t="shared" si="382"/>
        <v>69</v>
      </c>
      <c r="IK45" s="110">
        <f t="shared" si="383"/>
        <v>69</v>
      </c>
      <c r="IL45" s="110">
        <f t="shared" si="384"/>
        <v>69</v>
      </c>
      <c r="IM45" s="110">
        <f t="shared" si="385"/>
        <v>69</v>
      </c>
      <c r="IN45" s="110">
        <f t="shared" si="386"/>
        <v>69</v>
      </c>
      <c r="IO45" s="110">
        <f t="shared" si="387"/>
        <v>0</v>
      </c>
      <c r="IP45" s="110">
        <f t="shared" si="388"/>
        <v>0</v>
      </c>
      <c r="IQ45" s="110">
        <f t="shared" si="389"/>
        <v>0</v>
      </c>
      <c r="IR45" s="110">
        <f t="shared" si="390"/>
        <v>0</v>
      </c>
      <c r="IS45" s="110">
        <f t="shared" si="391"/>
        <v>0</v>
      </c>
      <c r="IT45" s="110">
        <f t="shared" si="392"/>
        <v>0</v>
      </c>
      <c r="IV45" s="111">
        <f t="shared" si="393"/>
        <v>0</v>
      </c>
      <c r="IW45" s="110">
        <f t="shared" si="394"/>
        <v>0</v>
      </c>
      <c r="IX45" s="110">
        <f t="shared" si="395"/>
        <v>0</v>
      </c>
      <c r="IY45" s="110">
        <f t="shared" si="396"/>
        <v>0</v>
      </c>
      <c r="IZ45" s="110">
        <f t="shared" si="397"/>
        <v>0</v>
      </c>
      <c r="JA45" s="110">
        <f t="shared" si="398"/>
        <v>0</v>
      </c>
      <c r="JB45" s="110">
        <f t="shared" si="399"/>
        <v>0</v>
      </c>
      <c r="JC45" s="110">
        <f t="shared" si="400"/>
        <v>0</v>
      </c>
      <c r="JD45" s="110">
        <f t="shared" si="401"/>
        <v>0</v>
      </c>
      <c r="JE45" s="110">
        <f t="shared" si="402"/>
        <v>0</v>
      </c>
      <c r="JF45" s="110">
        <f t="shared" si="403"/>
        <v>0</v>
      </c>
      <c r="JG45" s="110">
        <f t="shared" si="404"/>
        <v>0</v>
      </c>
      <c r="JH45" s="110">
        <f t="shared" si="405"/>
        <v>0</v>
      </c>
      <c r="JI45" s="110">
        <f t="shared" si="406"/>
        <v>0</v>
      </c>
      <c r="JJ45" s="110">
        <f t="shared" si="407"/>
        <v>0</v>
      </c>
      <c r="JK45" s="110">
        <f t="shared" si="408"/>
        <v>0</v>
      </c>
      <c r="JL45" s="110">
        <f t="shared" si="409"/>
        <v>0</v>
      </c>
      <c r="JM45" s="110">
        <f t="shared" si="410"/>
        <v>0</v>
      </c>
      <c r="JN45" s="110">
        <f t="shared" si="411"/>
        <v>0</v>
      </c>
      <c r="JO45" s="110">
        <f t="shared" si="412"/>
        <v>0</v>
      </c>
      <c r="JP45" s="110">
        <f t="shared" si="413"/>
        <v>0</v>
      </c>
      <c r="JQ45" s="110">
        <f t="shared" si="414"/>
        <v>0</v>
      </c>
      <c r="JR45" s="110">
        <f t="shared" si="415"/>
        <v>0</v>
      </c>
      <c r="JS45" s="110">
        <f t="shared" si="416"/>
        <v>0</v>
      </c>
      <c r="JT45" s="110">
        <f t="shared" si="417"/>
        <v>0</v>
      </c>
      <c r="JV45" s="111">
        <f t="shared" si="418"/>
        <v>0</v>
      </c>
      <c r="JW45" s="110">
        <f t="shared" si="419"/>
        <v>0</v>
      </c>
      <c r="JX45" s="110">
        <f t="shared" si="420"/>
        <v>0</v>
      </c>
      <c r="JY45" s="110">
        <f t="shared" si="421"/>
        <v>0</v>
      </c>
      <c r="JZ45" s="110">
        <f t="shared" si="422"/>
        <v>0</v>
      </c>
      <c r="KA45" s="110">
        <f t="shared" si="423"/>
        <v>0</v>
      </c>
      <c r="KB45" s="110">
        <f t="shared" si="424"/>
        <v>0</v>
      </c>
      <c r="KC45" s="110">
        <f t="shared" si="425"/>
        <v>0</v>
      </c>
      <c r="KD45" s="110">
        <f t="shared" si="426"/>
        <v>0</v>
      </c>
      <c r="KE45" s="110">
        <f t="shared" si="427"/>
        <v>0</v>
      </c>
      <c r="KF45" s="110">
        <f t="shared" si="428"/>
        <v>0</v>
      </c>
      <c r="KG45" s="110">
        <f t="shared" si="429"/>
        <v>0</v>
      </c>
      <c r="KH45" s="110">
        <f t="shared" si="430"/>
        <v>0</v>
      </c>
      <c r="KI45" s="110">
        <f t="shared" si="431"/>
        <v>0</v>
      </c>
      <c r="KJ45" s="110">
        <f t="shared" si="432"/>
        <v>0</v>
      </c>
      <c r="KK45" s="110">
        <f t="shared" si="433"/>
        <v>0</v>
      </c>
      <c r="KL45" s="110">
        <f t="shared" si="434"/>
        <v>0</v>
      </c>
      <c r="KM45" s="110">
        <f t="shared" si="435"/>
        <v>0</v>
      </c>
      <c r="KN45" s="110">
        <f t="shared" si="436"/>
        <v>0</v>
      </c>
      <c r="KO45" s="110">
        <f t="shared" si="437"/>
        <v>0</v>
      </c>
      <c r="KP45" s="110">
        <f t="shared" si="438"/>
        <v>0</v>
      </c>
      <c r="KQ45" s="110">
        <f t="shared" si="439"/>
        <v>0</v>
      </c>
      <c r="KR45" s="110">
        <f t="shared" si="440"/>
        <v>0</v>
      </c>
      <c r="KS45" s="110">
        <f t="shared" si="441"/>
        <v>0</v>
      </c>
      <c r="KT45" s="110">
        <f t="shared" si="442"/>
        <v>0</v>
      </c>
      <c r="KV45" s="111">
        <f t="shared" si="443"/>
        <v>0</v>
      </c>
      <c r="KW45" s="110">
        <f t="shared" si="444"/>
        <v>0</v>
      </c>
      <c r="KX45" s="110">
        <f t="shared" si="445"/>
        <v>0</v>
      </c>
      <c r="KY45" s="110">
        <f t="shared" si="446"/>
        <v>0</v>
      </c>
      <c r="KZ45" s="110">
        <f t="shared" si="447"/>
        <v>0</v>
      </c>
      <c r="LA45" s="110">
        <f t="shared" si="448"/>
        <v>0</v>
      </c>
      <c r="LB45" s="110">
        <f t="shared" si="449"/>
        <v>0</v>
      </c>
      <c r="LC45" s="110">
        <f t="shared" si="450"/>
        <v>0</v>
      </c>
      <c r="LD45" s="110">
        <f t="shared" si="451"/>
        <v>0</v>
      </c>
      <c r="LE45" s="110">
        <f t="shared" si="452"/>
        <v>0</v>
      </c>
      <c r="LF45" s="110">
        <f t="shared" si="453"/>
        <v>0</v>
      </c>
      <c r="LG45" s="110">
        <f t="shared" si="454"/>
        <v>0</v>
      </c>
      <c r="LH45" s="110">
        <f t="shared" si="455"/>
        <v>0</v>
      </c>
      <c r="LI45" s="110">
        <f t="shared" si="456"/>
        <v>0</v>
      </c>
      <c r="LJ45" s="110">
        <f t="shared" si="457"/>
        <v>0</v>
      </c>
      <c r="LK45" s="110">
        <f t="shared" si="458"/>
        <v>0</v>
      </c>
      <c r="LL45" s="110">
        <f t="shared" si="459"/>
        <v>0</v>
      </c>
      <c r="LM45" s="110">
        <f t="shared" si="460"/>
        <v>0</v>
      </c>
      <c r="LN45" s="110">
        <f t="shared" si="461"/>
        <v>0</v>
      </c>
      <c r="LO45" s="110">
        <f t="shared" si="462"/>
        <v>0</v>
      </c>
      <c r="LP45" s="110">
        <f t="shared" si="463"/>
        <v>0</v>
      </c>
      <c r="LQ45" s="110">
        <f t="shared" si="464"/>
        <v>0</v>
      </c>
      <c r="LR45" s="110">
        <f t="shared" si="465"/>
        <v>0</v>
      </c>
      <c r="LS45" s="110">
        <f t="shared" si="466"/>
        <v>0</v>
      </c>
      <c r="LT45" s="110">
        <f t="shared" si="467"/>
        <v>0</v>
      </c>
      <c r="LV45" s="111"/>
      <c r="LW45" s="110">
        <f t="shared" si="468"/>
        <v>0</v>
      </c>
      <c r="LX45" s="110">
        <f t="shared" si="469"/>
        <v>0</v>
      </c>
      <c r="LY45" s="110">
        <f t="shared" si="470"/>
        <v>0</v>
      </c>
      <c r="LZ45" s="110">
        <f t="shared" si="471"/>
        <v>0</v>
      </c>
      <c r="MA45" s="110">
        <f t="shared" si="472"/>
        <v>0</v>
      </c>
      <c r="MB45" s="110">
        <f t="shared" si="473"/>
        <v>0</v>
      </c>
      <c r="MC45" s="110">
        <f t="shared" si="474"/>
        <v>0</v>
      </c>
      <c r="MD45" s="110">
        <f t="shared" si="475"/>
        <v>0</v>
      </c>
      <c r="ME45" s="110">
        <f t="shared" si="476"/>
        <v>0</v>
      </c>
      <c r="MF45" s="110">
        <f t="shared" si="477"/>
        <v>0</v>
      </c>
      <c r="MG45" s="110">
        <f t="shared" si="478"/>
        <v>0</v>
      </c>
      <c r="MH45" s="110">
        <f t="shared" si="479"/>
        <v>0</v>
      </c>
      <c r="MI45" s="110">
        <f t="shared" si="480"/>
        <v>0</v>
      </c>
      <c r="MJ45" s="110">
        <f t="shared" si="481"/>
        <v>0</v>
      </c>
      <c r="MK45" s="110">
        <f t="shared" si="482"/>
        <v>0</v>
      </c>
      <c r="ML45" s="110">
        <f t="shared" si="483"/>
        <v>0</v>
      </c>
      <c r="MM45" s="110">
        <f t="shared" si="484"/>
        <v>0</v>
      </c>
      <c r="MN45" s="110">
        <f t="shared" si="485"/>
        <v>0</v>
      </c>
      <c r="MO45" s="110">
        <f t="shared" si="486"/>
        <v>0</v>
      </c>
      <c r="MP45" s="110">
        <f t="shared" si="487"/>
        <v>0</v>
      </c>
      <c r="MQ45" s="110">
        <f t="shared" si="488"/>
        <v>0</v>
      </c>
      <c r="MR45" s="110">
        <f t="shared" si="489"/>
        <v>0</v>
      </c>
      <c r="MS45" s="110">
        <f t="shared" si="490"/>
        <v>0</v>
      </c>
      <c r="MT45" s="110">
        <f t="shared" si="491"/>
        <v>0</v>
      </c>
      <c r="MV45" s="114">
        <v>69</v>
      </c>
      <c r="MW45" s="114">
        <v>0</v>
      </c>
      <c r="MX45" s="114">
        <v>0</v>
      </c>
      <c r="MY45" s="114">
        <v>0</v>
      </c>
      <c r="MZ45" s="114">
        <v>0</v>
      </c>
      <c r="NB45" s="115">
        <v>83</v>
      </c>
      <c r="NC45" s="115" t="str">
        <v>N/A</v>
      </c>
      <c r="ND45" s="115" t="str">
        <v>N/A</v>
      </c>
      <c r="NE45" s="115" t="str">
        <v>N/A</v>
      </c>
      <c r="NF45" s="115" t="str">
        <v>N/A</v>
      </c>
    </row>
    <row r="46" spans="2:370" ht="13.5" x14ac:dyDescent="0.25">
      <c r="B46" s="8">
        <f t="shared" si="252"/>
        <v>43</v>
      </c>
      <c r="C46" s="7">
        <v>69</v>
      </c>
      <c r="D46" s="7">
        <v>69</v>
      </c>
      <c r="E46" s="7">
        <v>69</v>
      </c>
      <c r="F46" s="7">
        <v>69</v>
      </c>
      <c r="G46" s="7">
        <v>69</v>
      </c>
      <c r="H46" s="7">
        <v>69</v>
      </c>
      <c r="I46" s="7">
        <v>69</v>
      </c>
      <c r="J46" s="7">
        <v>69</v>
      </c>
      <c r="K46" s="7">
        <v>69</v>
      </c>
      <c r="L46" s="7">
        <v>69</v>
      </c>
      <c r="M46" s="7">
        <v>69</v>
      </c>
      <c r="N46" s="7">
        <v>69</v>
      </c>
      <c r="O46" s="7">
        <v>69</v>
      </c>
      <c r="P46" s="7">
        <v>69</v>
      </c>
      <c r="Q46" s="7">
        <v>69</v>
      </c>
      <c r="R46" s="7">
        <v>69</v>
      </c>
      <c r="S46" s="7">
        <v>69</v>
      </c>
      <c r="T46" s="7">
        <v>69</v>
      </c>
      <c r="U46" s="7">
        <v>69</v>
      </c>
      <c r="V46" s="7">
        <v>69</v>
      </c>
      <c r="W46" s="7">
        <v>69</v>
      </c>
      <c r="X46" s="7">
        <v>69</v>
      </c>
      <c r="Y46" s="7">
        <v>69</v>
      </c>
      <c r="Z46" s="7">
        <v>69</v>
      </c>
      <c r="AA46" s="7">
        <v>69</v>
      </c>
      <c r="AB46" s="7">
        <v>69</v>
      </c>
      <c r="AC46" s="7">
        <v>69</v>
      </c>
      <c r="AD46" s="7">
        <v>69</v>
      </c>
      <c r="AE46" s="7">
        <v>69</v>
      </c>
      <c r="AF46" s="7">
        <v>69</v>
      </c>
      <c r="AG46" s="7">
        <v>69</v>
      </c>
      <c r="AH46" s="7">
        <v>69</v>
      </c>
      <c r="AI46" s="7">
        <v>69</v>
      </c>
      <c r="AJ46" s="7">
        <v>69</v>
      </c>
      <c r="AK46" s="7">
        <v>69</v>
      </c>
      <c r="AL46" s="7">
        <v>69</v>
      </c>
      <c r="AM46" s="7">
        <v>69</v>
      </c>
      <c r="AN46" s="27">
        <v>43</v>
      </c>
      <c r="AP46" s="111"/>
      <c r="AQ46" s="110">
        <f t="shared" si="253"/>
        <v>0</v>
      </c>
      <c r="AR46" s="110">
        <f t="shared" si="254"/>
        <v>0</v>
      </c>
      <c r="AS46" s="110">
        <f t="shared" si="255"/>
        <v>0</v>
      </c>
      <c r="AT46" s="110">
        <f t="shared" si="256"/>
        <v>0</v>
      </c>
      <c r="AU46" s="110">
        <f t="shared" si="257"/>
        <v>0</v>
      </c>
      <c r="AV46" s="110">
        <f t="shared" si="258"/>
        <v>0</v>
      </c>
      <c r="AW46" s="110">
        <f t="shared" si="259"/>
        <v>0</v>
      </c>
      <c r="AX46" s="110">
        <f t="shared" si="260"/>
        <v>0</v>
      </c>
      <c r="AY46" s="110">
        <f t="shared" si="261"/>
        <v>0</v>
      </c>
      <c r="AZ46" s="110">
        <f t="shared" si="262"/>
        <v>0</v>
      </c>
      <c r="BA46" s="110">
        <f t="shared" si="263"/>
        <v>0</v>
      </c>
      <c r="BB46" s="110">
        <f t="shared" si="264"/>
        <v>0</v>
      </c>
      <c r="BD46" s="109" cm="1">
        <f t="array" ref="BD46">+IFERROR(INDEX($C$3:$AM$3,MATCH(TRUE,INDEX($C46:$AM46&lt;&gt;0,0),0)),"N/A")</f>
        <v>44926</v>
      </c>
      <c r="BE46" s="112"/>
      <c r="BF46" s="1" t="str" cm="1">
        <f t="array" ref="BF46">+_xlfn.IFS(BT46&lt;&gt;0,BT$2,CH46&lt;&gt;0,CH$2,CV46&lt;&gt;0,CV$2,DJ46&lt;&gt;0,DJ$2,TRUE,"")</f>
        <v/>
      </c>
      <c r="BG46" s="1" t="str" cm="1">
        <f t="array" ref="BG46">+_xlfn.IFS(BU46&lt;&gt;0,BU$2,CI46&lt;&gt;0,CI$2,CW46&lt;&gt;0,CW$2,DK46&lt;&gt;0,DK$2,TRUE,"")</f>
        <v/>
      </c>
      <c r="BH46" s="1" t="str" cm="1">
        <f t="array" ref="BH46">+_xlfn.IFS(BV46&lt;&gt;0,BV$2,CJ46&lt;&gt;0,CJ$2,CX46&lt;&gt;0,CX$2,DL46&lt;&gt;0,DL$2,TRUE,"")</f>
        <v/>
      </c>
      <c r="BI46" s="1" t="str" cm="1">
        <f t="array" ref="BI46">+_xlfn.IFS(BW46&lt;&gt;0,BW$2,CK46&lt;&gt;0,CK$2,CY46&lt;&gt;0,CY$2,DM46&lt;&gt;0,DM$2,TRUE,"")</f>
        <v/>
      </c>
      <c r="BJ46" s="1" t="str" cm="1">
        <f t="array" ref="BJ46">+_xlfn.IFS(BX46&lt;&gt;0,BX$2,CL46&lt;&gt;0,CL$2,CZ46&lt;&gt;0,CZ$2,DN46&lt;&gt;0,DN$2,TRUE,"")</f>
        <v/>
      </c>
      <c r="BK46" s="1" t="str" cm="1">
        <f t="array" ref="BK46">+_xlfn.IFS(BY46&lt;&gt;0,BY$2,CM46&lt;&gt;0,CM$2,DA46&lt;&gt;0,DA$2,DO46&lt;&gt;0,DO$2,TRUE,"")</f>
        <v/>
      </c>
      <c r="BL46" s="1" t="str" cm="1">
        <f t="array" ref="BL46">+_xlfn.IFS(BZ46&lt;&gt;0,BZ$2,CN46&lt;&gt;0,CN$2,DB46&lt;&gt;0,DB$2,DP46&lt;&gt;0,DP$2,TRUE,"")</f>
        <v/>
      </c>
      <c r="BM46" s="1" t="str" cm="1">
        <f t="array" ref="BM46">+_xlfn.IFS(CA46&lt;&gt;0,CA$2,CO46&lt;&gt;0,CO$2,DC46&lt;&gt;0,DC$2,DQ46&lt;&gt;0,DQ$2,TRUE,"")</f>
        <v/>
      </c>
      <c r="BN46" s="1" t="str" cm="1">
        <f t="array" ref="BN46">+_xlfn.IFS(CB46&lt;&gt;0,CB$2,CP46&lt;&gt;0,CP$2,DD46&lt;&gt;0,DD$2,DR46&lt;&gt;0,DR$2,TRUE,"")</f>
        <v/>
      </c>
      <c r="BO46" s="1" t="str" cm="1">
        <f t="array" ref="BO46">+_xlfn.IFS(CC46&lt;&gt;0,CC$2,CQ46&lt;&gt;0,CQ$2,DE46&lt;&gt;0,DE$2,DS46&lt;&gt;0,DS$2,TRUE,"")</f>
        <v/>
      </c>
      <c r="BP46" s="1" t="str" cm="1">
        <f t="array" ref="BP46">+_xlfn.IFS(CD46&lt;&gt;0,CD$2,CR46&lt;&gt;0,CR$2,DF46&lt;&gt;0,DF$2,DT46&lt;&gt;0,DT$2,TRUE,"")</f>
        <v/>
      </c>
      <c r="BQ46" s="1" t="str" cm="1">
        <f t="array" ref="BQ46">+_xlfn.IFS(CE46&lt;&gt;0,CE$2,CS46&lt;&gt;0,CS$2,DG46&lt;&gt;0,DG$2,DU46&lt;&gt;0,DU$2,TRUE,"")</f>
        <v/>
      </c>
      <c r="BS46" s="111"/>
      <c r="BT46" s="110">
        <f t="shared" si="265"/>
        <v>0</v>
      </c>
      <c r="BU46" s="110">
        <f t="shared" si="266"/>
        <v>0</v>
      </c>
      <c r="BV46" s="110">
        <f t="shared" si="267"/>
        <v>0</v>
      </c>
      <c r="BW46" s="110">
        <f t="shared" si="268"/>
        <v>0</v>
      </c>
      <c r="BX46" s="110">
        <f t="shared" si="269"/>
        <v>0</v>
      </c>
      <c r="BY46" s="110">
        <f t="shared" si="270"/>
        <v>0</v>
      </c>
      <c r="BZ46" s="110">
        <f t="shared" si="271"/>
        <v>0</v>
      </c>
      <c r="CA46" s="110">
        <f t="shared" si="272"/>
        <v>0</v>
      </c>
      <c r="CB46" s="110">
        <f t="shared" si="273"/>
        <v>0</v>
      </c>
      <c r="CC46" s="110">
        <f t="shared" si="274"/>
        <v>0</v>
      </c>
      <c r="CD46" s="110">
        <f t="shared" si="275"/>
        <v>0</v>
      </c>
      <c r="CE46" s="110">
        <f t="shared" si="276"/>
        <v>0</v>
      </c>
      <c r="CG46" s="111"/>
      <c r="CH46" s="110">
        <f t="shared" si="277"/>
        <v>0</v>
      </c>
      <c r="CI46" s="110">
        <f t="shared" si="278"/>
        <v>0</v>
      </c>
      <c r="CJ46" s="110">
        <f t="shared" si="279"/>
        <v>0</v>
      </c>
      <c r="CK46" s="110">
        <f t="shared" si="280"/>
        <v>0</v>
      </c>
      <c r="CL46" s="110">
        <f t="shared" si="281"/>
        <v>0</v>
      </c>
      <c r="CM46" s="110">
        <f t="shared" si="282"/>
        <v>0</v>
      </c>
      <c r="CN46" s="110">
        <f t="shared" si="283"/>
        <v>0</v>
      </c>
      <c r="CO46" s="110">
        <f t="shared" si="284"/>
        <v>0</v>
      </c>
      <c r="CP46" s="110">
        <f t="shared" si="285"/>
        <v>0</v>
      </c>
      <c r="CQ46" s="110">
        <f t="shared" si="286"/>
        <v>0</v>
      </c>
      <c r="CR46" s="110">
        <f t="shared" si="287"/>
        <v>0</v>
      </c>
      <c r="CS46" s="110">
        <f t="shared" si="288"/>
        <v>0</v>
      </c>
      <c r="CU46" s="111"/>
      <c r="CV46" s="110">
        <f t="shared" si="289"/>
        <v>0</v>
      </c>
      <c r="CW46" s="110">
        <f t="shared" si="290"/>
        <v>0</v>
      </c>
      <c r="CX46" s="110">
        <f t="shared" si="291"/>
        <v>0</v>
      </c>
      <c r="CY46" s="110">
        <f t="shared" si="292"/>
        <v>0</v>
      </c>
      <c r="CZ46" s="110">
        <f t="shared" si="293"/>
        <v>0</v>
      </c>
      <c r="DA46" s="110">
        <f t="shared" si="294"/>
        <v>0</v>
      </c>
      <c r="DB46" s="110">
        <f t="shared" si="295"/>
        <v>0</v>
      </c>
      <c r="DC46" s="110">
        <f t="shared" si="296"/>
        <v>0</v>
      </c>
      <c r="DD46" s="110">
        <f t="shared" si="297"/>
        <v>0</v>
      </c>
      <c r="DE46" s="110">
        <f t="shared" si="298"/>
        <v>0</v>
      </c>
      <c r="DF46" s="110">
        <f t="shared" si="299"/>
        <v>0</v>
      </c>
      <c r="DG46" s="110">
        <f t="shared" si="300"/>
        <v>0</v>
      </c>
      <c r="DI46" s="111"/>
      <c r="DJ46" s="110">
        <f t="shared" si="301"/>
        <v>0</v>
      </c>
      <c r="DK46" s="110">
        <f t="shared" si="302"/>
        <v>0</v>
      </c>
      <c r="DL46" s="110">
        <f t="shared" si="303"/>
        <v>0</v>
      </c>
      <c r="DM46" s="110">
        <f t="shared" si="304"/>
        <v>0</v>
      </c>
      <c r="DN46" s="110">
        <f t="shared" si="305"/>
        <v>0</v>
      </c>
      <c r="DO46" s="110">
        <f t="shared" si="306"/>
        <v>0</v>
      </c>
      <c r="DP46" s="110">
        <f t="shared" si="307"/>
        <v>0</v>
      </c>
      <c r="DQ46" s="110">
        <f t="shared" si="308"/>
        <v>0</v>
      </c>
      <c r="DR46" s="110">
        <f t="shared" si="309"/>
        <v>0</v>
      </c>
      <c r="DS46" s="110">
        <f t="shared" si="310"/>
        <v>0</v>
      </c>
      <c r="DT46" s="110">
        <f t="shared" si="311"/>
        <v>0</v>
      </c>
      <c r="DU46" s="110">
        <f t="shared" si="312"/>
        <v>0</v>
      </c>
      <c r="DW46" s="111"/>
      <c r="DX46" s="110">
        <f t="shared" si="313"/>
        <v>0</v>
      </c>
      <c r="DY46" s="110">
        <f t="shared" si="314"/>
        <v>0</v>
      </c>
      <c r="DZ46" s="110">
        <f t="shared" si="315"/>
        <v>0</v>
      </c>
      <c r="EA46" s="110">
        <f t="shared" si="316"/>
        <v>0</v>
      </c>
      <c r="EB46" s="110">
        <f t="shared" si="317"/>
        <v>0</v>
      </c>
      <c r="EC46" s="110">
        <f t="shared" si="318"/>
        <v>0</v>
      </c>
      <c r="ED46" s="110">
        <f t="shared" si="319"/>
        <v>0</v>
      </c>
      <c r="EE46" s="110">
        <f t="shared" si="320"/>
        <v>0</v>
      </c>
      <c r="EF46" s="110">
        <f t="shared" si="321"/>
        <v>0</v>
      </c>
      <c r="EG46" s="110">
        <f t="shared" si="322"/>
        <v>0</v>
      </c>
      <c r="EH46" s="110">
        <f t="shared" si="323"/>
        <v>0</v>
      </c>
      <c r="EI46" s="110">
        <f t="shared" si="324"/>
        <v>0</v>
      </c>
      <c r="EK46" s="111"/>
      <c r="EL46" s="110">
        <f t="shared" si="325"/>
        <v>0</v>
      </c>
      <c r="EM46" s="110">
        <f t="shared" si="326"/>
        <v>0</v>
      </c>
      <c r="EN46" s="110">
        <f t="shared" si="327"/>
        <v>0</v>
      </c>
      <c r="EP46" s="109" cm="1">
        <f t="array" ref="EP46">+IFERROR(INDEX($C$3:$AM$3,MATCH(TRUE,INDEX($C46:$AM46&lt;&gt;0,0),0)),"N/A")</f>
        <v>44926</v>
      </c>
      <c r="EQ46" s="112"/>
      <c r="ER46" s="1" t="str" cm="1">
        <f t="array" ref="ER46">+_xlfn.IFS(EW46&lt;&gt;0,EW$2,FB46&lt;&gt;0,FB$2,FG46&lt;&gt;0,FG$2,FL46&lt;&gt;0,FL$2,TRUE,"")</f>
        <v/>
      </c>
      <c r="ES46" s="1" t="str" cm="1">
        <f t="array" ref="ES46">+_xlfn.IFS(EX46&lt;&gt;0,EX$2,FC46&lt;&gt;0,FC$2,FH46&lt;&gt;0,FH$2,FM46&lt;&gt;0,FM$2,TRUE,"")</f>
        <v/>
      </c>
      <c r="ET46" s="1" t="str" cm="1">
        <f t="array" ref="ET46">+_xlfn.IFS(EY46&lt;&gt;0,EY$2,FD46&lt;&gt;0,FD$2,FI46&lt;&gt;0,FI$2,FN46&lt;&gt;0,FN$2,TRUE,"")</f>
        <v/>
      </c>
      <c r="EV46" s="111"/>
      <c r="EW46" s="110">
        <f t="shared" si="328"/>
        <v>0</v>
      </c>
      <c r="EX46" s="110">
        <f t="shared" si="329"/>
        <v>0</v>
      </c>
      <c r="EY46" s="110">
        <f t="shared" si="330"/>
        <v>0</v>
      </c>
      <c r="FA46" s="111"/>
      <c r="FB46" s="110">
        <f t="shared" si="331"/>
        <v>0</v>
      </c>
      <c r="FC46" s="110">
        <f t="shared" si="332"/>
        <v>0</v>
      </c>
      <c r="FD46" s="110">
        <f t="shared" si="333"/>
        <v>0</v>
      </c>
      <c r="FF46" s="111"/>
      <c r="FG46" s="110">
        <f t="shared" si="334"/>
        <v>0</v>
      </c>
      <c r="FH46" s="110">
        <f t="shared" si="335"/>
        <v>0</v>
      </c>
      <c r="FI46" s="110">
        <f t="shared" si="336"/>
        <v>0</v>
      </c>
      <c r="FK46" s="111"/>
      <c r="FL46" s="110">
        <f t="shared" si="337"/>
        <v>0</v>
      </c>
      <c r="FM46" s="110">
        <f t="shared" si="338"/>
        <v>0</v>
      </c>
      <c r="FN46" s="110">
        <f t="shared" si="339"/>
        <v>0</v>
      </c>
      <c r="FP46" s="111"/>
      <c r="FQ46" s="110">
        <f t="shared" si="340"/>
        <v>0</v>
      </c>
      <c r="FR46" s="110">
        <f t="shared" si="341"/>
        <v>0</v>
      </c>
      <c r="FS46" s="110">
        <f t="shared" si="342"/>
        <v>0</v>
      </c>
      <c r="FU46" s="111">
        <f t="shared" si="343"/>
        <v>0</v>
      </c>
      <c r="FV46" s="110">
        <f t="shared" si="344"/>
        <v>0</v>
      </c>
      <c r="FW46" s="110">
        <f t="shared" si="345"/>
        <v>0</v>
      </c>
      <c r="FX46" s="110">
        <f t="shared" si="346"/>
        <v>0</v>
      </c>
      <c r="FY46" s="110">
        <f t="shared" si="347"/>
        <v>0</v>
      </c>
      <c r="FZ46" s="110">
        <f t="shared" si="348"/>
        <v>0</v>
      </c>
      <c r="GA46" s="110">
        <f t="shared" si="349"/>
        <v>0</v>
      </c>
      <c r="GB46" s="110">
        <f t="shared" si="350"/>
        <v>0</v>
      </c>
      <c r="GC46" s="110">
        <f t="shared" si="351"/>
        <v>0</v>
      </c>
      <c r="GD46" s="110">
        <f t="shared" si="352"/>
        <v>0</v>
      </c>
      <c r="GE46" s="110">
        <f t="shared" si="353"/>
        <v>0</v>
      </c>
      <c r="GF46" s="110">
        <f t="shared" si="354"/>
        <v>0</v>
      </c>
      <c r="GG46" s="110">
        <f t="shared" si="355"/>
        <v>0</v>
      </c>
      <c r="GH46" s="110">
        <f t="shared" si="356"/>
        <v>0</v>
      </c>
      <c r="GI46" s="110">
        <f t="shared" si="357"/>
        <v>0</v>
      </c>
      <c r="GJ46" s="110">
        <f t="shared" si="358"/>
        <v>0</v>
      </c>
      <c r="GK46" s="110">
        <f t="shared" si="359"/>
        <v>0</v>
      </c>
      <c r="GL46" s="110">
        <f t="shared" si="360"/>
        <v>0</v>
      </c>
      <c r="GM46" s="110">
        <f t="shared" si="361"/>
        <v>0</v>
      </c>
      <c r="GN46" s="110">
        <f t="shared" si="362"/>
        <v>0</v>
      </c>
      <c r="GO46" s="110">
        <f t="shared" si="363"/>
        <v>0</v>
      </c>
      <c r="GP46" s="110">
        <f t="shared" si="364"/>
        <v>0</v>
      </c>
      <c r="GQ46" s="110">
        <f t="shared" si="365"/>
        <v>0</v>
      </c>
      <c r="GR46" s="110">
        <f t="shared" si="366"/>
        <v>0</v>
      </c>
      <c r="GS46" s="110">
        <f t="shared" si="367"/>
        <v>0</v>
      </c>
      <c r="GU46" s="109" cm="1">
        <f t="array" ref="GU46">+IFERROR(INDEX($C$3:$AM$3,MATCH(TRUE,INDEX($C46:$AM46&lt;&gt;0,0),0)),"N/A")</f>
        <v>44926</v>
      </c>
      <c r="GV46" s="112" t="str" cm="1">
        <f t="array" ref="GV46">+_xlfn.IFS(HV46&lt;&gt;0,HV$2,IV46&lt;&gt;0,IV$2,JV46&lt;&gt;0,JV$2,KV46&lt;&gt;0,KV$2,TRUE,"")</f>
        <v/>
      </c>
      <c r="GW46" s="1" t="str" cm="1">
        <f t="array" ref="GW46">+_xlfn.IFS(HW46&lt;&gt;0,HW$2,IW46&lt;&gt;0,IW$2,JW46&lt;&gt;0,JW$2,KW46&lt;&gt;0,KW$2,TRUE,"")</f>
        <v/>
      </c>
      <c r="GX46" s="1" t="str" cm="1">
        <f t="array" ref="GX46">+_xlfn.IFS(HX46&lt;&gt;0,HX$2,IX46&lt;&gt;0,IX$2,JX46&lt;&gt;0,JX$2,KX46&lt;&gt;0,KX$2,TRUE,"")</f>
        <v/>
      </c>
      <c r="GY46" s="1" t="str" cm="1">
        <f t="array" ref="GY46">+_xlfn.IFS(HY46&lt;&gt;0,HY$2,IY46&lt;&gt;0,IY$2,JY46&lt;&gt;0,JY$2,KY46&lt;&gt;0,KY$2,TRUE,"")</f>
        <v/>
      </c>
      <c r="GZ46" s="1" t="str" cm="1">
        <f t="array" ref="GZ46">+_xlfn.IFS(HZ46&lt;&gt;0,HZ$2,IZ46&lt;&gt;0,IZ$2,JZ46&lt;&gt;0,JZ$2,KZ46&lt;&gt;0,KZ$2,TRUE,"")</f>
        <v/>
      </c>
      <c r="HA46" s="1" t="str" cm="1">
        <f t="array" ref="HA46">+_xlfn.IFS(IA46&lt;&gt;0,IA$2,JA46&lt;&gt;0,JA$2,KA46&lt;&gt;0,KA$2,LA46&lt;&gt;0,LA$2,TRUE,"")</f>
        <v/>
      </c>
      <c r="HB46" s="1" t="str" cm="1">
        <f t="array" ref="HB46">+_xlfn.IFS(IB46&lt;&gt;0,IB$2,JB46&lt;&gt;0,JB$2,KB46&lt;&gt;0,KB$2,LB46&lt;&gt;0,LB$2,TRUE,"")</f>
        <v/>
      </c>
      <c r="HC46" s="1" t="str" cm="1">
        <f t="array" ref="HC46">+_xlfn.IFS(IC46&lt;&gt;0,IC$2,JC46&lt;&gt;0,JC$2,KC46&lt;&gt;0,KC$2,LC46&lt;&gt;0,LC$2,TRUE,"")</f>
        <v/>
      </c>
      <c r="HD46" s="1" t="str" cm="1">
        <f t="array" ref="HD46">+_xlfn.IFS(ID46&lt;&gt;0,ID$2,JD46&lt;&gt;0,JD$2,KD46&lt;&gt;0,KD$2,LD46&lt;&gt;0,LD$2,TRUE,"")</f>
        <v/>
      </c>
      <c r="HE46" s="1" t="str" cm="1">
        <f t="array" ref="HE46">+_xlfn.IFS(IE46&lt;&gt;0,IE$2,JE46&lt;&gt;0,JE$2,KE46&lt;&gt;0,KE$2,LE46&lt;&gt;0,LE$2,TRUE,"")</f>
        <v/>
      </c>
      <c r="HF46" s="1" t="str" cm="1">
        <f t="array" ref="HF46">+_xlfn.IFS(IF46&lt;&gt;0,IF$2,JF46&lt;&gt;0,JF$2,KF46&lt;&gt;0,KF$2,LF46&lt;&gt;0,LF$2,TRUE,"")</f>
        <v/>
      </c>
      <c r="HG46" s="1" t="str" cm="1">
        <f t="array" ref="HG46">+_xlfn.IFS(IG46&lt;&gt;0,IG$2,JG46&lt;&gt;0,JG$2,KG46&lt;&gt;0,KG$2,LG46&lt;&gt;0,LG$2,TRUE,"")</f>
        <v/>
      </c>
      <c r="HH46" s="1" t="str" cm="1">
        <f t="array" ref="HH46">+_xlfn.IFS(IH46&lt;&gt;0,IH$2,JH46&lt;&gt;0,JH$2,KH46&lt;&gt;0,KH$2,LH46&lt;&gt;0,LH$2,TRUE,"")</f>
        <v/>
      </c>
      <c r="HI46" s="1" t="str" cm="1">
        <f t="array" ref="HI46">+_xlfn.IFS(II46&lt;&gt;0,II$2,JI46&lt;&gt;0,JI$2,KI46&lt;&gt;0,KI$2,LI46&lt;&gt;0,LI$2,TRUE,"")</f>
        <v/>
      </c>
      <c r="HJ46" s="1" t="str" cm="1">
        <f t="array" ref="HJ46">+_xlfn.IFS(IJ46&lt;&gt;0,IJ$2,JJ46&lt;&gt;0,JJ$2,KJ46&lt;&gt;0,KJ$2,LJ46&lt;&gt;0,LJ$2,TRUE,"")</f>
        <v/>
      </c>
      <c r="HK46" s="1" t="str" cm="1">
        <f t="array" ref="HK46">+_xlfn.IFS(IK46&lt;&gt;0,IK$2,JK46&lt;&gt;0,JK$2,KK46&lt;&gt;0,KK$2,LK46&lt;&gt;0,LK$2,TRUE,"")</f>
        <v/>
      </c>
      <c r="HL46" s="1" t="str" cm="1">
        <f t="array" ref="HL46">+_xlfn.IFS(IL46&lt;&gt;0,IL$2,JL46&lt;&gt;0,JL$2,KL46&lt;&gt;0,KL$2,LL46&lt;&gt;0,LL$2,TRUE,"")</f>
        <v/>
      </c>
      <c r="HM46" s="1" t="str" cm="1">
        <f t="array" ref="HM46">+_xlfn.IFS(IM46&lt;&gt;0,IM$2,JM46&lt;&gt;0,JM$2,KM46&lt;&gt;0,KM$2,LM46&lt;&gt;0,LM$2,TRUE,"")</f>
        <v/>
      </c>
      <c r="HN46" s="1" t="str" cm="1">
        <f t="array" ref="HN46">+_xlfn.IFS(IN46&lt;&gt;0,IN$2,JN46&lt;&gt;0,JN$2,KN46&lt;&gt;0,KN$2,LN46&lt;&gt;0,LN$2,TRUE,"")</f>
        <v/>
      </c>
      <c r="HO46" s="1" t="str" cm="1">
        <f t="array" ref="HO46">+_xlfn.IFS(IO46&lt;&gt;0,IO$2,JO46&lt;&gt;0,JO$2,KO46&lt;&gt;0,KO$2,LO46&lt;&gt;0,LO$2,TRUE,"")</f>
        <v/>
      </c>
      <c r="HP46" s="1" t="str" cm="1">
        <f t="array" ref="HP46">+_xlfn.IFS(IP46&lt;&gt;0,IP$2,JP46&lt;&gt;0,JP$2,KP46&lt;&gt;0,KP$2,LP46&lt;&gt;0,LP$2,TRUE,"")</f>
        <v/>
      </c>
      <c r="HQ46" s="1" t="str" cm="1">
        <f t="array" ref="HQ46">+_xlfn.IFS(IQ46&lt;&gt;0,IQ$2,JQ46&lt;&gt;0,JQ$2,KQ46&lt;&gt;0,KQ$2,LQ46&lt;&gt;0,LQ$2,TRUE,"")</f>
        <v/>
      </c>
      <c r="HR46" s="1" t="str" cm="1">
        <f t="array" ref="HR46">+_xlfn.IFS(IR46&lt;&gt;0,IR$2,JR46&lt;&gt;0,JR$2,KR46&lt;&gt;0,KR$2,LR46&lt;&gt;0,LR$2,TRUE,"")</f>
        <v/>
      </c>
      <c r="HS46" s="1" t="str" cm="1">
        <f t="array" ref="HS46">+_xlfn.IFS(IS46&lt;&gt;0,IS$2,JS46&lt;&gt;0,JS$2,KS46&lt;&gt;0,KS$2,LS46&lt;&gt;0,LS$2,TRUE,"")</f>
        <v/>
      </c>
      <c r="HT46" s="1" t="str" cm="1">
        <f t="array" ref="HT46">+_xlfn.IFS(IT46&lt;&gt;0,IT$2,JT46&lt;&gt;0,JT$2,KT46&lt;&gt;0,KT$2,LT46&lt;&gt;0,LT$2,TRUE,"")</f>
        <v/>
      </c>
      <c r="HV46" s="111">
        <f t="shared" si="368"/>
        <v>0</v>
      </c>
      <c r="HW46" s="110">
        <f t="shared" si="369"/>
        <v>0</v>
      </c>
      <c r="HX46" s="110">
        <f t="shared" si="370"/>
        <v>0</v>
      </c>
      <c r="HY46" s="110">
        <f t="shared" si="371"/>
        <v>0</v>
      </c>
      <c r="HZ46" s="110">
        <f t="shared" si="372"/>
        <v>0</v>
      </c>
      <c r="IA46" s="110">
        <f t="shared" si="373"/>
        <v>0</v>
      </c>
      <c r="IB46" s="110">
        <f t="shared" si="374"/>
        <v>0</v>
      </c>
      <c r="IC46" s="110">
        <f t="shared" si="375"/>
        <v>0</v>
      </c>
      <c r="ID46" s="110">
        <f t="shared" si="376"/>
        <v>0</v>
      </c>
      <c r="IE46" s="110">
        <f t="shared" si="377"/>
        <v>0</v>
      </c>
      <c r="IF46" s="110">
        <f t="shared" si="378"/>
        <v>0</v>
      </c>
      <c r="IG46" s="110">
        <f t="shared" si="379"/>
        <v>0</v>
      </c>
      <c r="IH46" s="110">
        <f t="shared" si="380"/>
        <v>0</v>
      </c>
      <c r="II46" s="110">
        <f t="shared" si="381"/>
        <v>0</v>
      </c>
      <c r="IJ46" s="110">
        <f t="shared" si="382"/>
        <v>0</v>
      </c>
      <c r="IK46" s="110">
        <f t="shared" si="383"/>
        <v>0</v>
      </c>
      <c r="IL46" s="110">
        <f t="shared" si="384"/>
        <v>0</v>
      </c>
      <c r="IM46" s="110">
        <f t="shared" si="385"/>
        <v>0</v>
      </c>
      <c r="IN46" s="110">
        <f t="shared" si="386"/>
        <v>0</v>
      </c>
      <c r="IO46" s="110">
        <f t="shared" si="387"/>
        <v>0</v>
      </c>
      <c r="IP46" s="110">
        <f t="shared" si="388"/>
        <v>0</v>
      </c>
      <c r="IQ46" s="110">
        <f t="shared" si="389"/>
        <v>0</v>
      </c>
      <c r="IR46" s="110">
        <f t="shared" si="390"/>
        <v>0</v>
      </c>
      <c r="IS46" s="110">
        <f t="shared" si="391"/>
        <v>0</v>
      </c>
      <c r="IT46" s="110">
        <f t="shared" si="392"/>
        <v>0</v>
      </c>
      <c r="IV46" s="111">
        <f t="shared" si="393"/>
        <v>0</v>
      </c>
      <c r="IW46" s="110">
        <f t="shared" si="394"/>
        <v>0</v>
      </c>
      <c r="IX46" s="110">
        <f t="shared" si="395"/>
        <v>0</v>
      </c>
      <c r="IY46" s="110">
        <f t="shared" si="396"/>
        <v>0</v>
      </c>
      <c r="IZ46" s="110">
        <f t="shared" si="397"/>
        <v>0</v>
      </c>
      <c r="JA46" s="110">
        <f t="shared" si="398"/>
        <v>0</v>
      </c>
      <c r="JB46" s="110">
        <f t="shared" si="399"/>
        <v>0</v>
      </c>
      <c r="JC46" s="110">
        <f t="shared" si="400"/>
        <v>0</v>
      </c>
      <c r="JD46" s="110">
        <f t="shared" si="401"/>
        <v>0</v>
      </c>
      <c r="JE46" s="110">
        <f t="shared" si="402"/>
        <v>0</v>
      </c>
      <c r="JF46" s="110">
        <f t="shared" si="403"/>
        <v>0</v>
      </c>
      <c r="JG46" s="110">
        <f t="shared" si="404"/>
        <v>0</v>
      </c>
      <c r="JH46" s="110">
        <f t="shared" si="405"/>
        <v>0</v>
      </c>
      <c r="JI46" s="110">
        <f t="shared" si="406"/>
        <v>0</v>
      </c>
      <c r="JJ46" s="110">
        <f t="shared" si="407"/>
        <v>0</v>
      </c>
      <c r="JK46" s="110">
        <f t="shared" si="408"/>
        <v>0</v>
      </c>
      <c r="JL46" s="110">
        <f t="shared" si="409"/>
        <v>0</v>
      </c>
      <c r="JM46" s="110">
        <f t="shared" si="410"/>
        <v>0</v>
      </c>
      <c r="JN46" s="110">
        <f t="shared" si="411"/>
        <v>0</v>
      </c>
      <c r="JO46" s="110">
        <f t="shared" si="412"/>
        <v>0</v>
      </c>
      <c r="JP46" s="110">
        <f t="shared" si="413"/>
        <v>0</v>
      </c>
      <c r="JQ46" s="110">
        <f t="shared" si="414"/>
        <v>0</v>
      </c>
      <c r="JR46" s="110">
        <f t="shared" si="415"/>
        <v>0</v>
      </c>
      <c r="JS46" s="110">
        <f t="shared" si="416"/>
        <v>0</v>
      </c>
      <c r="JT46" s="110">
        <f t="shared" si="417"/>
        <v>0</v>
      </c>
      <c r="JV46" s="111">
        <f t="shared" si="418"/>
        <v>0</v>
      </c>
      <c r="JW46" s="110">
        <f t="shared" si="419"/>
        <v>0</v>
      </c>
      <c r="JX46" s="110">
        <f t="shared" si="420"/>
        <v>0</v>
      </c>
      <c r="JY46" s="110">
        <f t="shared" si="421"/>
        <v>0</v>
      </c>
      <c r="JZ46" s="110">
        <f t="shared" si="422"/>
        <v>0</v>
      </c>
      <c r="KA46" s="110">
        <f t="shared" si="423"/>
        <v>0</v>
      </c>
      <c r="KB46" s="110">
        <f t="shared" si="424"/>
        <v>0</v>
      </c>
      <c r="KC46" s="110">
        <f t="shared" si="425"/>
        <v>0</v>
      </c>
      <c r="KD46" s="110">
        <f t="shared" si="426"/>
        <v>0</v>
      </c>
      <c r="KE46" s="110">
        <f t="shared" si="427"/>
        <v>0</v>
      </c>
      <c r="KF46" s="110">
        <f t="shared" si="428"/>
        <v>0</v>
      </c>
      <c r="KG46" s="110">
        <f t="shared" si="429"/>
        <v>0</v>
      </c>
      <c r="KH46" s="110">
        <f t="shared" si="430"/>
        <v>0</v>
      </c>
      <c r="KI46" s="110">
        <f t="shared" si="431"/>
        <v>0</v>
      </c>
      <c r="KJ46" s="110">
        <f t="shared" si="432"/>
        <v>0</v>
      </c>
      <c r="KK46" s="110">
        <f t="shared" si="433"/>
        <v>0</v>
      </c>
      <c r="KL46" s="110">
        <f t="shared" si="434"/>
        <v>0</v>
      </c>
      <c r="KM46" s="110">
        <f t="shared" si="435"/>
        <v>0</v>
      </c>
      <c r="KN46" s="110">
        <f t="shared" si="436"/>
        <v>0</v>
      </c>
      <c r="KO46" s="110">
        <f t="shared" si="437"/>
        <v>0</v>
      </c>
      <c r="KP46" s="110">
        <f t="shared" si="438"/>
        <v>0</v>
      </c>
      <c r="KQ46" s="110">
        <f t="shared" si="439"/>
        <v>0</v>
      </c>
      <c r="KR46" s="110">
        <f t="shared" si="440"/>
        <v>0</v>
      </c>
      <c r="KS46" s="110">
        <f t="shared" si="441"/>
        <v>0</v>
      </c>
      <c r="KT46" s="110">
        <f t="shared" si="442"/>
        <v>0</v>
      </c>
      <c r="KV46" s="111">
        <f t="shared" si="443"/>
        <v>0</v>
      </c>
      <c r="KW46" s="110">
        <f t="shared" si="444"/>
        <v>0</v>
      </c>
      <c r="KX46" s="110">
        <f t="shared" si="445"/>
        <v>0</v>
      </c>
      <c r="KY46" s="110">
        <f t="shared" si="446"/>
        <v>0</v>
      </c>
      <c r="KZ46" s="110">
        <f t="shared" si="447"/>
        <v>0</v>
      </c>
      <c r="LA46" s="110">
        <f t="shared" si="448"/>
        <v>0</v>
      </c>
      <c r="LB46" s="110">
        <f t="shared" si="449"/>
        <v>0</v>
      </c>
      <c r="LC46" s="110">
        <f t="shared" si="450"/>
        <v>0</v>
      </c>
      <c r="LD46" s="110">
        <f t="shared" si="451"/>
        <v>0</v>
      </c>
      <c r="LE46" s="110">
        <f t="shared" si="452"/>
        <v>0</v>
      </c>
      <c r="LF46" s="110">
        <f t="shared" si="453"/>
        <v>0</v>
      </c>
      <c r="LG46" s="110">
        <f t="shared" si="454"/>
        <v>0</v>
      </c>
      <c r="LH46" s="110">
        <f t="shared" si="455"/>
        <v>0</v>
      </c>
      <c r="LI46" s="110">
        <f t="shared" si="456"/>
        <v>0</v>
      </c>
      <c r="LJ46" s="110">
        <f t="shared" si="457"/>
        <v>0</v>
      </c>
      <c r="LK46" s="110">
        <f t="shared" si="458"/>
        <v>0</v>
      </c>
      <c r="LL46" s="110">
        <f t="shared" si="459"/>
        <v>0</v>
      </c>
      <c r="LM46" s="110">
        <f t="shared" si="460"/>
        <v>0</v>
      </c>
      <c r="LN46" s="110">
        <f t="shared" si="461"/>
        <v>0</v>
      </c>
      <c r="LO46" s="110">
        <f t="shared" si="462"/>
        <v>0</v>
      </c>
      <c r="LP46" s="110">
        <f t="shared" si="463"/>
        <v>0</v>
      </c>
      <c r="LQ46" s="110">
        <f t="shared" si="464"/>
        <v>0</v>
      </c>
      <c r="LR46" s="110">
        <f t="shared" si="465"/>
        <v>0</v>
      </c>
      <c r="LS46" s="110">
        <f t="shared" si="466"/>
        <v>0</v>
      </c>
      <c r="LT46" s="110">
        <f t="shared" si="467"/>
        <v>0</v>
      </c>
      <c r="LV46" s="111"/>
      <c r="LW46" s="110">
        <f t="shared" si="468"/>
        <v>0</v>
      </c>
      <c r="LX46" s="110">
        <f t="shared" si="469"/>
        <v>0</v>
      </c>
      <c r="LY46" s="110">
        <f t="shared" si="470"/>
        <v>0</v>
      </c>
      <c r="LZ46" s="110">
        <f t="shared" si="471"/>
        <v>0</v>
      </c>
      <c r="MA46" s="110">
        <f t="shared" si="472"/>
        <v>0</v>
      </c>
      <c r="MB46" s="110">
        <f t="shared" si="473"/>
        <v>0</v>
      </c>
      <c r="MC46" s="110">
        <f t="shared" si="474"/>
        <v>0</v>
      </c>
      <c r="MD46" s="110">
        <f t="shared" si="475"/>
        <v>0</v>
      </c>
      <c r="ME46" s="110">
        <f t="shared" si="476"/>
        <v>0</v>
      </c>
      <c r="MF46" s="110">
        <f t="shared" si="477"/>
        <v>0</v>
      </c>
      <c r="MG46" s="110">
        <f t="shared" si="478"/>
        <v>0</v>
      </c>
      <c r="MH46" s="110">
        <f t="shared" si="479"/>
        <v>0</v>
      </c>
      <c r="MI46" s="110">
        <f t="shared" si="480"/>
        <v>0</v>
      </c>
      <c r="MJ46" s="110">
        <f t="shared" si="481"/>
        <v>0</v>
      </c>
      <c r="MK46" s="110">
        <f t="shared" si="482"/>
        <v>0</v>
      </c>
      <c r="ML46" s="110">
        <f t="shared" si="483"/>
        <v>0</v>
      </c>
      <c r="MM46" s="110">
        <f t="shared" si="484"/>
        <v>0</v>
      </c>
      <c r="MN46" s="110">
        <f t="shared" si="485"/>
        <v>0</v>
      </c>
      <c r="MO46" s="110">
        <f t="shared" si="486"/>
        <v>0</v>
      </c>
      <c r="MP46" s="110">
        <f t="shared" si="487"/>
        <v>0</v>
      </c>
      <c r="MQ46" s="110">
        <f t="shared" si="488"/>
        <v>0</v>
      </c>
      <c r="MR46" s="110">
        <f t="shared" si="489"/>
        <v>0</v>
      </c>
      <c r="MS46" s="110">
        <f t="shared" si="490"/>
        <v>0</v>
      </c>
      <c r="MT46" s="110">
        <f t="shared" si="491"/>
        <v>0</v>
      </c>
      <c r="MV46" s="114">
        <v>69</v>
      </c>
      <c r="MW46" s="114">
        <v>0</v>
      </c>
      <c r="MX46" s="114">
        <v>0</v>
      </c>
      <c r="MY46" s="114">
        <v>0</v>
      </c>
      <c r="MZ46" s="114">
        <v>0</v>
      </c>
      <c r="NB46" s="115">
        <v>84</v>
      </c>
      <c r="NC46" s="115" t="str">
        <v>N/A</v>
      </c>
      <c r="ND46" s="115" t="str">
        <v>N/A</v>
      </c>
      <c r="NE46" s="115" t="str">
        <v>N/A</v>
      </c>
      <c r="NF46" s="115" t="str">
        <v>N/A</v>
      </c>
    </row>
    <row r="47" spans="2:370" ht="13.5" x14ac:dyDescent="0.25">
      <c r="B47" s="8">
        <f t="shared" si="252"/>
        <v>44</v>
      </c>
      <c r="C47" s="7">
        <v>69</v>
      </c>
      <c r="D47" s="7">
        <v>69</v>
      </c>
      <c r="E47" s="7">
        <v>69</v>
      </c>
      <c r="F47" s="7">
        <v>69</v>
      </c>
      <c r="G47" s="7">
        <v>69</v>
      </c>
      <c r="H47" s="7">
        <v>69</v>
      </c>
      <c r="I47" s="7">
        <v>69</v>
      </c>
      <c r="J47" s="7">
        <v>69</v>
      </c>
      <c r="K47" s="7">
        <v>69</v>
      </c>
      <c r="L47" s="7">
        <v>69</v>
      </c>
      <c r="M47" s="7">
        <v>69</v>
      </c>
      <c r="N47" s="7">
        <v>69</v>
      </c>
      <c r="O47" s="7">
        <v>69</v>
      </c>
      <c r="P47" s="7">
        <v>69</v>
      </c>
      <c r="Q47" s="7">
        <v>69</v>
      </c>
      <c r="R47" s="7">
        <v>69</v>
      </c>
      <c r="S47" s="7">
        <v>69</v>
      </c>
      <c r="T47" s="7">
        <v>69</v>
      </c>
      <c r="U47" s="7">
        <v>69</v>
      </c>
      <c r="V47" s="7">
        <v>69</v>
      </c>
      <c r="W47" s="7">
        <v>69</v>
      </c>
      <c r="X47" s="7">
        <v>69</v>
      </c>
      <c r="Y47" s="7">
        <v>69</v>
      </c>
      <c r="Z47" s="7">
        <v>69</v>
      </c>
      <c r="AA47" s="7">
        <v>69</v>
      </c>
      <c r="AB47" s="7">
        <v>69</v>
      </c>
      <c r="AC47" s="7">
        <v>69</v>
      </c>
      <c r="AD47" s="7">
        <v>69</v>
      </c>
      <c r="AE47" s="7">
        <v>69</v>
      </c>
      <c r="AF47" s="7">
        <v>69</v>
      </c>
      <c r="AG47" s="7">
        <v>69</v>
      </c>
      <c r="AH47" s="7">
        <v>69</v>
      </c>
      <c r="AI47" s="7">
        <v>69</v>
      </c>
      <c r="AJ47" s="7">
        <v>69</v>
      </c>
      <c r="AK47" s="7">
        <v>69</v>
      </c>
      <c r="AL47" s="7">
        <v>69</v>
      </c>
      <c r="AM47" s="7">
        <v>69</v>
      </c>
      <c r="AN47" s="27">
        <v>44</v>
      </c>
      <c r="AP47" s="111"/>
      <c r="AQ47" s="110">
        <f t="shared" si="253"/>
        <v>0</v>
      </c>
      <c r="AR47" s="110">
        <f t="shared" si="254"/>
        <v>0</v>
      </c>
      <c r="AS47" s="110">
        <f t="shared" si="255"/>
        <v>0</v>
      </c>
      <c r="AT47" s="110">
        <f t="shared" si="256"/>
        <v>0</v>
      </c>
      <c r="AU47" s="110">
        <f t="shared" si="257"/>
        <v>0</v>
      </c>
      <c r="AV47" s="110">
        <f t="shared" si="258"/>
        <v>0</v>
      </c>
      <c r="AW47" s="110">
        <f t="shared" si="259"/>
        <v>0</v>
      </c>
      <c r="AX47" s="110">
        <f t="shared" si="260"/>
        <v>0</v>
      </c>
      <c r="AY47" s="110">
        <f t="shared" si="261"/>
        <v>0</v>
      </c>
      <c r="AZ47" s="110">
        <f t="shared" si="262"/>
        <v>0</v>
      </c>
      <c r="BA47" s="110">
        <f t="shared" si="263"/>
        <v>0</v>
      </c>
      <c r="BB47" s="110">
        <f t="shared" si="264"/>
        <v>0</v>
      </c>
      <c r="BD47" s="109" cm="1">
        <f t="array" ref="BD47">+IFERROR(INDEX($C$3:$AM$3,MATCH(TRUE,INDEX($C47:$AM47&lt;&gt;0,0),0)),"N/A")</f>
        <v>44926</v>
      </c>
      <c r="BE47" s="112"/>
      <c r="BF47" s="1" t="str" cm="1">
        <f t="array" ref="BF47">+_xlfn.IFS(BT47&lt;&gt;0,BT$2,CH47&lt;&gt;0,CH$2,CV47&lt;&gt;0,CV$2,DJ47&lt;&gt;0,DJ$2,TRUE,"")</f>
        <v/>
      </c>
      <c r="BG47" s="1" t="str" cm="1">
        <f t="array" ref="BG47">+_xlfn.IFS(BU47&lt;&gt;0,BU$2,CI47&lt;&gt;0,CI$2,CW47&lt;&gt;0,CW$2,DK47&lt;&gt;0,DK$2,TRUE,"")</f>
        <v/>
      </c>
      <c r="BH47" s="1" t="str" cm="1">
        <f t="array" ref="BH47">+_xlfn.IFS(BV47&lt;&gt;0,BV$2,CJ47&lt;&gt;0,CJ$2,CX47&lt;&gt;0,CX$2,DL47&lt;&gt;0,DL$2,TRUE,"")</f>
        <v/>
      </c>
      <c r="BI47" s="1" t="str" cm="1">
        <f t="array" ref="BI47">+_xlfn.IFS(BW47&lt;&gt;0,BW$2,CK47&lt;&gt;0,CK$2,CY47&lt;&gt;0,CY$2,DM47&lt;&gt;0,DM$2,TRUE,"")</f>
        <v/>
      </c>
      <c r="BJ47" s="1" t="str" cm="1">
        <f t="array" ref="BJ47">+_xlfn.IFS(BX47&lt;&gt;0,BX$2,CL47&lt;&gt;0,CL$2,CZ47&lt;&gt;0,CZ$2,DN47&lt;&gt;0,DN$2,TRUE,"")</f>
        <v/>
      </c>
      <c r="BK47" s="1" t="str" cm="1">
        <f t="array" ref="BK47">+_xlfn.IFS(BY47&lt;&gt;0,BY$2,CM47&lt;&gt;0,CM$2,DA47&lt;&gt;0,DA$2,DO47&lt;&gt;0,DO$2,TRUE,"")</f>
        <v/>
      </c>
      <c r="BL47" s="1" t="str" cm="1">
        <f t="array" ref="BL47">+_xlfn.IFS(BZ47&lt;&gt;0,BZ$2,CN47&lt;&gt;0,CN$2,DB47&lt;&gt;0,DB$2,DP47&lt;&gt;0,DP$2,TRUE,"")</f>
        <v/>
      </c>
      <c r="BM47" s="1" t="str" cm="1">
        <f t="array" ref="BM47">+_xlfn.IFS(CA47&lt;&gt;0,CA$2,CO47&lt;&gt;0,CO$2,DC47&lt;&gt;0,DC$2,DQ47&lt;&gt;0,DQ$2,TRUE,"")</f>
        <v/>
      </c>
      <c r="BN47" s="1" t="str" cm="1">
        <f t="array" ref="BN47">+_xlfn.IFS(CB47&lt;&gt;0,CB$2,CP47&lt;&gt;0,CP$2,DD47&lt;&gt;0,DD$2,DR47&lt;&gt;0,DR$2,TRUE,"")</f>
        <v/>
      </c>
      <c r="BO47" s="1" t="str" cm="1">
        <f t="array" ref="BO47">+_xlfn.IFS(CC47&lt;&gt;0,CC$2,CQ47&lt;&gt;0,CQ$2,DE47&lt;&gt;0,DE$2,DS47&lt;&gt;0,DS$2,TRUE,"")</f>
        <v/>
      </c>
      <c r="BP47" s="1" t="str" cm="1">
        <f t="array" ref="BP47">+_xlfn.IFS(CD47&lt;&gt;0,CD$2,CR47&lt;&gt;0,CR$2,DF47&lt;&gt;0,DF$2,DT47&lt;&gt;0,DT$2,TRUE,"")</f>
        <v/>
      </c>
      <c r="BQ47" s="1" t="str" cm="1">
        <f t="array" ref="BQ47">+_xlfn.IFS(CE47&lt;&gt;0,CE$2,CS47&lt;&gt;0,CS$2,DG47&lt;&gt;0,DG$2,DU47&lt;&gt;0,DU$2,TRUE,"")</f>
        <v/>
      </c>
      <c r="BS47" s="111"/>
      <c r="BT47" s="110">
        <f t="shared" si="265"/>
        <v>0</v>
      </c>
      <c r="BU47" s="110">
        <f t="shared" si="266"/>
        <v>0</v>
      </c>
      <c r="BV47" s="110">
        <f t="shared" si="267"/>
        <v>0</v>
      </c>
      <c r="BW47" s="110">
        <f t="shared" si="268"/>
        <v>0</v>
      </c>
      <c r="BX47" s="110">
        <f t="shared" si="269"/>
        <v>0</v>
      </c>
      <c r="BY47" s="110">
        <f t="shared" si="270"/>
        <v>0</v>
      </c>
      <c r="BZ47" s="110">
        <f t="shared" si="271"/>
        <v>0</v>
      </c>
      <c r="CA47" s="110">
        <f t="shared" si="272"/>
        <v>0</v>
      </c>
      <c r="CB47" s="110">
        <f t="shared" si="273"/>
        <v>0</v>
      </c>
      <c r="CC47" s="110">
        <f t="shared" si="274"/>
        <v>0</v>
      </c>
      <c r="CD47" s="110">
        <f t="shared" si="275"/>
        <v>0</v>
      </c>
      <c r="CE47" s="110">
        <f t="shared" si="276"/>
        <v>0</v>
      </c>
      <c r="CG47" s="111"/>
      <c r="CH47" s="110">
        <f t="shared" si="277"/>
        <v>0</v>
      </c>
      <c r="CI47" s="110">
        <f t="shared" si="278"/>
        <v>0</v>
      </c>
      <c r="CJ47" s="110">
        <f t="shared" si="279"/>
        <v>0</v>
      </c>
      <c r="CK47" s="110">
        <f t="shared" si="280"/>
        <v>0</v>
      </c>
      <c r="CL47" s="110">
        <f t="shared" si="281"/>
        <v>0</v>
      </c>
      <c r="CM47" s="110">
        <f t="shared" si="282"/>
        <v>0</v>
      </c>
      <c r="CN47" s="110">
        <f t="shared" si="283"/>
        <v>0</v>
      </c>
      <c r="CO47" s="110">
        <f t="shared" si="284"/>
        <v>0</v>
      </c>
      <c r="CP47" s="110">
        <f t="shared" si="285"/>
        <v>0</v>
      </c>
      <c r="CQ47" s="110">
        <f t="shared" si="286"/>
        <v>0</v>
      </c>
      <c r="CR47" s="110">
        <f t="shared" si="287"/>
        <v>0</v>
      </c>
      <c r="CS47" s="110">
        <f t="shared" si="288"/>
        <v>0</v>
      </c>
      <c r="CU47" s="111"/>
      <c r="CV47" s="110">
        <f t="shared" si="289"/>
        <v>0</v>
      </c>
      <c r="CW47" s="110">
        <f t="shared" si="290"/>
        <v>0</v>
      </c>
      <c r="CX47" s="110">
        <f t="shared" si="291"/>
        <v>0</v>
      </c>
      <c r="CY47" s="110">
        <f t="shared" si="292"/>
        <v>0</v>
      </c>
      <c r="CZ47" s="110">
        <f t="shared" si="293"/>
        <v>0</v>
      </c>
      <c r="DA47" s="110">
        <f t="shared" si="294"/>
        <v>0</v>
      </c>
      <c r="DB47" s="110">
        <f t="shared" si="295"/>
        <v>0</v>
      </c>
      <c r="DC47" s="110">
        <f t="shared" si="296"/>
        <v>0</v>
      </c>
      <c r="DD47" s="110">
        <f t="shared" si="297"/>
        <v>0</v>
      </c>
      <c r="DE47" s="110">
        <f t="shared" si="298"/>
        <v>0</v>
      </c>
      <c r="DF47" s="110">
        <f t="shared" si="299"/>
        <v>0</v>
      </c>
      <c r="DG47" s="110">
        <f t="shared" si="300"/>
        <v>0</v>
      </c>
      <c r="DI47" s="111"/>
      <c r="DJ47" s="110">
        <f t="shared" si="301"/>
        <v>0</v>
      </c>
      <c r="DK47" s="110">
        <f t="shared" si="302"/>
        <v>0</v>
      </c>
      <c r="DL47" s="110">
        <f t="shared" si="303"/>
        <v>0</v>
      </c>
      <c r="DM47" s="110">
        <f t="shared" si="304"/>
        <v>0</v>
      </c>
      <c r="DN47" s="110">
        <f t="shared" si="305"/>
        <v>0</v>
      </c>
      <c r="DO47" s="110">
        <f t="shared" si="306"/>
        <v>0</v>
      </c>
      <c r="DP47" s="110">
        <f t="shared" si="307"/>
        <v>0</v>
      </c>
      <c r="DQ47" s="110">
        <f t="shared" si="308"/>
        <v>0</v>
      </c>
      <c r="DR47" s="110">
        <f t="shared" si="309"/>
        <v>0</v>
      </c>
      <c r="DS47" s="110">
        <f t="shared" si="310"/>
        <v>0</v>
      </c>
      <c r="DT47" s="110">
        <f t="shared" si="311"/>
        <v>0</v>
      </c>
      <c r="DU47" s="110">
        <f t="shared" si="312"/>
        <v>0</v>
      </c>
      <c r="DW47" s="111"/>
      <c r="DX47" s="110">
        <f t="shared" si="313"/>
        <v>0</v>
      </c>
      <c r="DY47" s="110">
        <f t="shared" si="314"/>
        <v>0</v>
      </c>
      <c r="DZ47" s="110">
        <f t="shared" si="315"/>
        <v>0</v>
      </c>
      <c r="EA47" s="110">
        <f t="shared" si="316"/>
        <v>0</v>
      </c>
      <c r="EB47" s="110">
        <f t="shared" si="317"/>
        <v>0</v>
      </c>
      <c r="EC47" s="110">
        <f t="shared" si="318"/>
        <v>0</v>
      </c>
      <c r="ED47" s="110">
        <f t="shared" si="319"/>
        <v>0</v>
      </c>
      <c r="EE47" s="110">
        <f t="shared" si="320"/>
        <v>0</v>
      </c>
      <c r="EF47" s="110">
        <f t="shared" si="321"/>
        <v>0</v>
      </c>
      <c r="EG47" s="110">
        <f t="shared" si="322"/>
        <v>0</v>
      </c>
      <c r="EH47" s="110">
        <f t="shared" si="323"/>
        <v>0</v>
      </c>
      <c r="EI47" s="110">
        <f t="shared" si="324"/>
        <v>0</v>
      </c>
      <c r="EK47" s="111"/>
      <c r="EL47" s="110">
        <f t="shared" si="325"/>
        <v>0</v>
      </c>
      <c r="EM47" s="110">
        <f t="shared" si="326"/>
        <v>0</v>
      </c>
      <c r="EN47" s="110">
        <f t="shared" si="327"/>
        <v>0</v>
      </c>
      <c r="EP47" s="109" cm="1">
        <f t="array" ref="EP47">+IFERROR(INDEX($C$3:$AM$3,MATCH(TRUE,INDEX($C47:$AM47&lt;&gt;0,0),0)),"N/A")</f>
        <v>44926</v>
      </c>
      <c r="EQ47" s="112"/>
      <c r="ER47" s="1" t="str" cm="1">
        <f t="array" ref="ER47">+_xlfn.IFS(EW47&lt;&gt;0,EW$2,FB47&lt;&gt;0,FB$2,FG47&lt;&gt;0,FG$2,FL47&lt;&gt;0,FL$2,TRUE,"")</f>
        <v/>
      </c>
      <c r="ES47" s="1" t="str" cm="1">
        <f t="array" ref="ES47">+_xlfn.IFS(EX47&lt;&gt;0,EX$2,FC47&lt;&gt;0,FC$2,FH47&lt;&gt;0,FH$2,FM47&lt;&gt;0,FM$2,TRUE,"")</f>
        <v/>
      </c>
      <c r="ET47" s="1" t="str" cm="1">
        <f t="array" ref="ET47">+_xlfn.IFS(EY47&lt;&gt;0,EY$2,FD47&lt;&gt;0,FD$2,FI47&lt;&gt;0,FI$2,FN47&lt;&gt;0,FN$2,TRUE,"")</f>
        <v/>
      </c>
      <c r="EV47" s="111"/>
      <c r="EW47" s="110">
        <f t="shared" si="328"/>
        <v>0</v>
      </c>
      <c r="EX47" s="110">
        <f t="shared" si="329"/>
        <v>0</v>
      </c>
      <c r="EY47" s="110">
        <f t="shared" si="330"/>
        <v>0</v>
      </c>
      <c r="FA47" s="111"/>
      <c r="FB47" s="110">
        <f t="shared" si="331"/>
        <v>0</v>
      </c>
      <c r="FC47" s="110">
        <f t="shared" si="332"/>
        <v>0</v>
      </c>
      <c r="FD47" s="110">
        <f t="shared" si="333"/>
        <v>0</v>
      </c>
      <c r="FF47" s="111"/>
      <c r="FG47" s="110">
        <f t="shared" si="334"/>
        <v>0</v>
      </c>
      <c r="FH47" s="110">
        <f t="shared" si="335"/>
        <v>0</v>
      </c>
      <c r="FI47" s="110">
        <f t="shared" si="336"/>
        <v>0</v>
      </c>
      <c r="FK47" s="111"/>
      <c r="FL47" s="110">
        <f t="shared" si="337"/>
        <v>0</v>
      </c>
      <c r="FM47" s="110">
        <f t="shared" si="338"/>
        <v>0</v>
      </c>
      <c r="FN47" s="110">
        <f t="shared" si="339"/>
        <v>0</v>
      </c>
      <c r="FP47" s="111"/>
      <c r="FQ47" s="110">
        <f t="shared" si="340"/>
        <v>0</v>
      </c>
      <c r="FR47" s="110">
        <f t="shared" si="341"/>
        <v>0</v>
      </c>
      <c r="FS47" s="110">
        <f t="shared" si="342"/>
        <v>0</v>
      </c>
      <c r="FU47" s="111">
        <f t="shared" si="343"/>
        <v>0</v>
      </c>
      <c r="FV47" s="110">
        <f t="shared" si="344"/>
        <v>0</v>
      </c>
      <c r="FW47" s="110">
        <f t="shared" si="345"/>
        <v>0</v>
      </c>
      <c r="FX47" s="110">
        <f t="shared" si="346"/>
        <v>0</v>
      </c>
      <c r="FY47" s="110">
        <f t="shared" si="347"/>
        <v>0</v>
      </c>
      <c r="FZ47" s="110">
        <f t="shared" si="348"/>
        <v>0</v>
      </c>
      <c r="GA47" s="110">
        <f t="shared" si="349"/>
        <v>0</v>
      </c>
      <c r="GB47" s="110">
        <f t="shared" si="350"/>
        <v>0</v>
      </c>
      <c r="GC47" s="110">
        <f t="shared" si="351"/>
        <v>0</v>
      </c>
      <c r="GD47" s="110">
        <f t="shared" si="352"/>
        <v>0</v>
      </c>
      <c r="GE47" s="110">
        <f t="shared" si="353"/>
        <v>0</v>
      </c>
      <c r="GF47" s="110">
        <f t="shared" si="354"/>
        <v>0</v>
      </c>
      <c r="GG47" s="110">
        <f t="shared" si="355"/>
        <v>0</v>
      </c>
      <c r="GH47" s="110">
        <f t="shared" si="356"/>
        <v>0</v>
      </c>
      <c r="GI47" s="110">
        <f t="shared" si="357"/>
        <v>0</v>
      </c>
      <c r="GJ47" s="110">
        <f t="shared" si="358"/>
        <v>0</v>
      </c>
      <c r="GK47" s="110">
        <f t="shared" si="359"/>
        <v>0</v>
      </c>
      <c r="GL47" s="110">
        <f t="shared" si="360"/>
        <v>0</v>
      </c>
      <c r="GM47" s="110">
        <f t="shared" si="361"/>
        <v>0</v>
      </c>
      <c r="GN47" s="110">
        <f t="shared" si="362"/>
        <v>0</v>
      </c>
      <c r="GO47" s="110">
        <f t="shared" si="363"/>
        <v>0</v>
      </c>
      <c r="GP47" s="110">
        <f t="shared" si="364"/>
        <v>0</v>
      </c>
      <c r="GQ47" s="110">
        <f t="shared" si="365"/>
        <v>0</v>
      </c>
      <c r="GR47" s="110">
        <f t="shared" si="366"/>
        <v>0</v>
      </c>
      <c r="GS47" s="110">
        <f t="shared" si="367"/>
        <v>0</v>
      </c>
      <c r="GU47" s="109" cm="1">
        <f t="array" ref="GU47">+IFERROR(INDEX($C$3:$AM$3,MATCH(TRUE,INDEX($C47:$AM47&lt;&gt;0,0),0)),"N/A")</f>
        <v>44926</v>
      </c>
      <c r="GV47" s="112" t="str" cm="1">
        <f t="array" ref="GV47">+_xlfn.IFS(HV47&lt;&gt;0,HV$2,IV47&lt;&gt;0,IV$2,JV47&lt;&gt;0,JV$2,KV47&lt;&gt;0,KV$2,TRUE,"")</f>
        <v/>
      </c>
      <c r="GW47" s="1" t="str" cm="1">
        <f t="array" ref="GW47">+_xlfn.IFS(HW47&lt;&gt;0,HW$2,IW47&lt;&gt;0,IW$2,JW47&lt;&gt;0,JW$2,KW47&lt;&gt;0,KW$2,TRUE,"")</f>
        <v/>
      </c>
      <c r="GX47" s="1" t="str" cm="1">
        <f t="array" ref="GX47">+_xlfn.IFS(HX47&lt;&gt;0,HX$2,IX47&lt;&gt;0,IX$2,JX47&lt;&gt;0,JX$2,KX47&lt;&gt;0,KX$2,TRUE,"")</f>
        <v/>
      </c>
      <c r="GY47" s="1" t="str" cm="1">
        <f t="array" ref="GY47">+_xlfn.IFS(HY47&lt;&gt;0,HY$2,IY47&lt;&gt;0,IY$2,JY47&lt;&gt;0,JY$2,KY47&lt;&gt;0,KY$2,TRUE,"")</f>
        <v/>
      </c>
      <c r="GZ47" s="1" t="str" cm="1">
        <f t="array" ref="GZ47">+_xlfn.IFS(HZ47&lt;&gt;0,HZ$2,IZ47&lt;&gt;0,IZ$2,JZ47&lt;&gt;0,JZ$2,KZ47&lt;&gt;0,KZ$2,TRUE,"")</f>
        <v/>
      </c>
      <c r="HA47" s="1" t="str" cm="1">
        <f t="array" ref="HA47">+_xlfn.IFS(IA47&lt;&gt;0,IA$2,JA47&lt;&gt;0,JA$2,KA47&lt;&gt;0,KA$2,LA47&lt;&gt;0,LA$2,TRUE,"")</f>
        <v/>
      </c>
      <c r="HB47" s="1" t="str" cm="1">
        <f t="array" ref="HB47">+_xlfn.IFS(IB47&lt;&gt;0,IB$2,JB47&lt;&gt;0,JB$2,KB47&lt;&gt;0,KB$2,LB47&lt;&gt;0,LB$2,TRUE,"")</f>
        <v/>
      </c>
      <c r="HC47" s="1" t="str" cm="1">
        <f t="array" ref="HC47">+_xlfn.IFS(IC47&lt;&gt;0,IC$2,JC47&lt;&gt;0,JC$2,KC47&lt;&gt;0,KC$2,LC47&lt;&gt;0,LC$2,TRUE,"")</f>
        <v/>
      </c>
      <c r="HD47" s="1" t="str" cm="1">
        <f t="array" ref="HD47">+_xlfn.IFS(ID47&lt;&gt;0,ID$2,JD47&lt;&gt;0,JD$2,KD47&lt;&gt;0,KD$2,LD47&lt;&gt;0,LD$2,TRUE,"")</f>
        <v/>
      </c>
      <c r="HE47" s="1" t="str" cm="1">
        <f t="array" ref="HE47">+_xlfn.IFS(IE47&lt;&gt;0,IE$2,JE47&lt;&gt;0,JE$2,KE47&lt;&gt;0,KE$2,LE47&lt;&gt;0,LE$2,TRUE,"")</f>
        <v/>
      </c>
      <c r="HF47" s="1" t="str" cm="1">
        <f t="array" ref="HF47">+_xlfn.IFS(IF47&lt;&gt;0,IF$2,JF47&lt;&gt;0,JF$2,KF47&lt;&gt;0,KF$2,LF47&lt;&gt;0,LF$2,TRUE,"")</f>
        <v/>
      </c>
      <c r="HG47" s="1" t="str" cm="1">
        <f t="array" ref="HG47">+_xlfn.IFS(IG47&lt;&gt;0,IG$2,JG47&lt;&gt;0,JG$2,KG47&lt;&gt;0,KG$2,LG47&lt;&gt;0,LG$2,TRUE,"")</f>
        <v/>
      </c>
      <c r="HH47" s="1" t="str" cm="1">
        <f t="array" ref="HH47">+_xlfn.IFS(IH47&lt;&gt;0,IH$2,JH47&lt;&gt;0,JH$2,KH47&lt;&gt;0,KH$2,LH47&lt;&gt;0,LH$2,TRUE,"")</f>
        <v/>
      </c>
      <c r="HI47" s="1" t="str" cm="1">
        <f t="array" ref="HI47">+_xlfn.IFS(II47&lt;&gt;0,II$2,JI47&lt;&gt;0,JI$2,KI47&lt;&gt;0,KI$2,LI47&lt;&gt;0,LI$2,TRUE,"")</f>
        <v/>
      </c>
      <c r="HJ47" s="1" t="str" cm="1">
        <f t="array" ref="HJ47">+_xlfn.IFS(IJ47&lt;&gt;0,IJ$2,JJ47&lt;&gt;0,JJ$2,KJ47&lt;&gt;0,KJ$2,LJ47&lt;&gt;0,LJ$2,TRUE,"")</f>
        <v/>
      </c>
      <c r="HK47" s="1" t="str" cm="1">
        <f t="array" ref="HK47">+_xlfn.IFS(IK47&lt;&gt;0,IK$2,JK47&lt;&gt;0,JK$2,KK47&lt;&gt;0,KK$2,LK47&lt;&gt;0,LK$2,TRUE,"")</f>
        <v/>
      </c>
      <c r="HL47" s="1" t="str" cm="1">
        <f t="array" ref="HL47">+_xlfn.IFS(IL47&lt;&gt;0,IL$2,JL47&lt;&gt;0,JL$2,KL47&lt;&gt;0,KL$2,LL47&lt;&gt;0,LL$2,TRUE,"")</f>
        <v/>
      </c>
      <c r="HM47" s="1" t="str" cm="1">
        <f t="array" ref="HM47">+_xlfn.IFS(IM47&lt;&gt;0,IM$2,JM47&lt;&gt;0,JM$2,KM47&lt;&gt;0,KM$2,LM47&lt;&gt;0,LM$2,TRUE,"")</f>
        <v/>
      </c>
      <c r="HN47" s="1" t="str" cm="1">
        <f t="array" ref="HN47">+_xlfn.IFS(IN47&lt;&gt;0,IN$2,JN47&lt;&gt;0,JN$2,KN47&lt;&gt;0,KN$2,LN47&lt;&gt;0,LN$2,TRUE,"")</f>
        <v/>
      </c>
      <c r="HO47" s="1" t="str" cm="1">
        <f t="array" ref="HO47">+_xlfn.IFS(IO47&lt;&gt;0,IO$2,JO47&lt;&gt;0,JO$2,KO47&lt;&gt;0,KO$2,LO47&lt;&gt;0,LO$2,TRUE,"")</f>
        <v/>
      </c>
      <c r="HP47" s="1" t="str" cm="1">
        <f t="array" ref="HP47">+_xlfn.IFS(IP47&lt;&gt;0,IP$2,JP47&lt;&gt;0,JP$2,KP47&lt;&gt;0,KP$2,LP47&lt;&gt;0,LP$2,TRUE,"")</f>
        <v/>
      </c>
      <c r="HQ47" s="1" t="str" cm="1">
        <f t="array" ref="HQ47">+_xlfn.IFS(IQ47&lt;&gt;0,IQ$2,JQ47&lt;&gt;0,JQ$2,KQ47&lt;&gt;0,KQ$2,LQ47&lt;&gt;0,LQ$2,TRUE,"")</f>
        <v/>
      </c>
      <c r="HR47" s="1" t="str" cm="1">
        <f t="array" ref="HR47">+_xlfn.IFS(IR47&lt;&gt;0,IR$2,JR47&lt;&gt;0,JR$2,KR47&lt;&gt;0,KR$2,LR47&lt;&gt;0,LR$2,TRUE,"")</f>
        <v/>
      </c>
      <c r="HS47" s="1" t="str" cm="1">
        <f t="array" ref="HS47">+_xlfn.IFS(IS47&lt;&gt;0,IS$2,JS47&lt;&gt;0,JS$2,KS47&lt;&gt;0,KS$2,LS47&lt;&gt;0,LS$2,TRUE,"")</f>
        <v/>
      </c>
      <c r="HT47" s="1" t="str" cm="1">
        <f t="array" ref="HT47">+_xlfn.IFS(IT47&lt;&gt;0,IT$2,JT47&lt;&gt;0,JT$2,KT47&lt;&gt;0,KT$2,LT47&lt;&gt;0,LT$2,TRUE,"")</f>
        <v/>
      </c>
      <c r="HV47" s="111">
        <f t="shared" si="368"/>
        <v>0</v>
      </c>
      <c r="HW47" s="110">
        <f t="shared" si="369"/>
        <v>0</v>
      </c>
      <c r="HX47" s="110">
        <f t="shared" si="370"/>
        <v>0</v>
      </c>
      <c r="HY47" s="110">
        <f t="shared" si="371"/>
        <v>0</v>
      </c>
      <c r="HZ47" s="110">
        <f t="shared" si="372"/>
        <v>0</v>
      </c>
      <c r="IA47" s="110">
        <f t="shared" si="373"/>
        <v>0</v>
      </c>
      <c r="IB47" s="110">
        <f t="shared" si="374"/>
        <v>0</v>
      </c>
      <c r="IC47" s="110">
        <f t="shared" si="375"/>
        <v>0</v>
      </c>
      <c r="ID47" s="110">
        <f t="shared" si="376"/>
        <v>0</v>
      </c>
      <c r="IE47" s="110">
        <f t="shared" si="377"/>
        <v>0</v>
      </c>
      <c r="IF47" s="110">
        <f t="shared" si="378"/>
        <v>0</v>
      </c>
      <c r="IG47" s="110">
        <f t="shared" si="379"/>
        <v>0</v>
      </c>
      <c r="IH47" s="110">
        <f t="shared" si="380"/>
        <v>0</v>
      </c>
      <c r="II47" s="110">
        <f t="shared" si="381"/>
        <v>0</v>
      </c>
      <c r="IJ47" s="110">
        <f t="shared" si="382"/>
        <v>0</v>
      </c>
      <c r="IK47" s="110">
        <f t="shared" si="383"/>
        <v>0</v>
      </c>
      <c r="IL47" s="110">
        <f t="shared" si="384"/>
        <v>0</v>
      </c>
      <c r="IM47" s="110">
        <f t="shared" si="385"/>
        <v>0</v>
      </c>
      <c r="IN47" s="110">
        <f t="shared" si="386"/>
        <v>0</v>
      </c>
      <c r="IO47" s="110">
        <f t="shared" si="387"/>
        <v>0</v>
      </c>
      <c r="IP47" s="110">
        <f t="shared" si="388"/>
        <v>0</v>
      </c>
      <c r="IQ47" s="110">
        <f t="shared" si="389"/>
        <v>0</v>
      </c>
      <c r="IR47" s="110">
        <f t="shared" si="390"/>
        <v>0</v>
      </c>
      <c r="IS47" s="110">
        <f t="shared" si="391"/>
        <v>0</v>
      </c>
      <c r="IT47" s="110">
        <f t="shared" si="392"/>
        <v>0</v>
      </c>
      <c r="IV47" s="111">
        <f t="shared" si="393"/>
        <v>0</v>
      </c>
      <c r="IW47" s="110">
        <f t="shared" si="394"/>
        <v>0</v>
      </c>
      <c r="IX47" s="110">
        <f t="shared" si="395"/>
        <v>0</v>
      </c>
      <c r="IY47" s="110">
        <f t="shared" si="396"/>
        <v>0</v>
      </c>
      <c r="IZ47" s="110">
        <f t="shared" si="397"/>
        <v>0</v>
      </c>
      <c r="JA47" s="110">
        <f t="shared" si="398"/>
        <v>0</v>
      </c>
      <c r="JB47" s="110">
        <f t="shared" si="399"/>
        <v>0</v>
      </c>
      <c r="JC47" s="110">
        <f t="shared" si="400"/>
        <v>0</v>
      </c>
      <c r="JD47" s="110">
        <f t="shared" si="401"/>
        <v>0</v>
      </c>
      <c r="JE47" s="110">
        <f t="shared" si="402"/>
        <v>0</v>
      </c>
      <c r="JF47" s="110">
        <f t="shared" si="403"/>
        <v>0</v>
      </c>
      <c r="JG47" s="110">
        <f t="shared" si="404"/>
        <v>0</v>
      </c>
      <c r="JH47" s="110">
        <f t="shared" si="405"/>
        <v>0</v>
      </c>
      <c r="JI47" s="110">
        <f t="shared" si="406"/>
        <v>0</v>
      </c>
      <c r="JJ47" s="110">
        <f t="shared" si="407"/>
        <v>0</v>
      </c>
      <c r="JK47" s="110">
        <f t="shared" si="408"/>
        <v>0</v>
      </c>
      <c r="JL47" s="110">
        <f t="shared" si="409"/>
        <v>0</v>
      </c>
      <c r="JM47" s="110">
        <f t="shared" si="410"/>
        <v>0</v>
      </c>
      <c r="JN47" s="110">
        <f t="shared" si="411"/>
        <v>0</v>
      </c>
      <c r="JO47" s="110">
        <f t="shared" si="412"/>
        <v>0</v>
      </c>
      <c r="JP47" s="110">
        <f t="shared" si="413"/>
        <v>0</v>
      </c>
      <c r="JQ47" s="110">
        <f t="shared" si="414"/>
        <v>0</v>
      </c>
      <c r="JR47" s="110">
        <f t="shared" si="415"/>
        <v>0</v>
      </c>
      <c r="JS47" s="110">
        <f t="shared" si="416"/>
        <v>0</v>
      </c>
      <c r="JT47" s="110">
        <f t="shared" si="417"/>
        <v>0</v>
      </c>
      <c r="JV47" s="111">
        <f t="shared" si="418"/>
        <v>0</v>
      </c>
      <c r="JW47" s="110">
        <f t="shared" si="419"/>
        <v>0</v>
      </c>
      <c r="JX47" s="110">
        <f t="shared" si="420"/>
        <v>0</v>
      </c>
      <c r="JY47" s="110">
        <f t="shared" si="421"/>
        <v>0</v>
      </c>
      <c r="JZ47" s="110">
        <f t="shared" si="422"/>
        <v>0</v>
      </c>
      <c r="KA47" s="110">
        <f t="shared" si="423"/>
        <v>0</v>
      </c>
      <c r="KB47" s="110">
        <f t="shared" si="424"/>
        <v>0</v>
      </c>
      <c r="KC47" s="110">
        <f t="shared" si="425"/>
        <v>0</v>
      </c>
      <c r="KD47" s="110">
        <f t="shared" si="426"/>
        <v>0</v>
      </c>
      <c r="KE47" s="110">
        <f t="shared" si="427"/>
        <v>0</v>
      </c>
      <c r="KF47" s="110">
        <f t="shared" si="428"/>
        <v>0</v>
      </c>
      <c r="KG47" s="110">
        <f t="shared" si="429"/>
        <v>0</v>
      </c>
      <c r="KH47" s="110">
        <f t="shared" si="430"/>
        <v>0</v>
      </c>
      <c r="KI47" s="110">
        <f t="shared" si="431"/>
        <v>0</v>
      </c>
      <c r="KJ47" s="110">
        <f t="shared" si="432"/>
        <v>0</v>
      </c>
      <c r="KK47" s="110">
        <f t="shared" si="433"/>
        <v>0</v>
      </c>
      <c r="KL47" s="110">
        <f t="shared" si="434"/>
        <v>0</v>
      </c>
      <c r="KM47" s="110">
        <f t="shared" si="435"/>
        <v>0</v>
      </c>
      <c r="KN47" s="110">
        <f t="shared" si="436"/>
        <v>0</v>
      </c>
      <c r="KO47" s="110">
        <f t="shared" si="437"/>
        <v>0</v>
      </c>
      <c r="KP47" s="110">
        <f t="shared" si="438"/>
        <v>0</v>
      </c>
      <c r="KQ47" s="110">
        <f t="shared" si="439"/>
        <v>0</v>
      </c>
      <c r="KR47" s="110">
        <f t="shared" si="440"/>
        <v>0</v>
      </c>
      <c r="KS47" s="110">
        <f t="shared" si="441"/>
        <v>0</v>
      </c>
      <c r="KT47" s="110">
        <f t="shared" si="442"/>
        <v>0</v>
      </c>
      <c r="KV47" s="111">
        <f t="shared" si="443"/>
        <v>0</v>
      </c>
      <c r="KW47" s="110">
        <f t="shared" si="444"/>
        <v>0</v>
      </c>
      <c r="KX47" s="110">
        <f t="shared" si="445"/>
        <v>0</v>
      </c>
      <c r="KY47" s="110">
        <f t="shared" si="446"/>
        <v>0</v>
      </c>
      <c r="KZ47" s="110">
        <f t="shared" si="447"/>
        <v>0</v>
      </c>
      <c r="LA47" s="110">
        <f t="shared" si="448"/>
        <v>0</v>
      </c>
      <c r="LB47" s="110">
        <f t="shared" si="449"/>
        <v>0</v>
      </c>
      <c r="LC47" s="110">
        <f t="shared" si="450"/>
        <v>0</v>
      </c>
      <c r="LD47" s="110">
        <f t="shared" si="451"/>
        <v>0</v>
      </c>
      <c r="LE47" s="110">
        <f t="shared" si="452"/>
        <v>0</v>
      </c>
      <c r="LF47" s="110">
        <f t="shared" si="453"/>
        <v>0</v>
      </c>
      <c r="LG47" s="110">
        <f t="shared" si="454"/>
        <v>0</v>
      </c>
      <c r="LH47" s="110">
        <f t="shared" si="455"/>
        <v>0</v>
      </c>
      <c r="LI47" s="110">
        <f t="shared" si="456"/>
        <v>0</v>
      </c>
      <c r="LJ47" s="110">
        <f t="shared" si="457"/>
        <v>0</v>
      </c>
      <c r="LK47" s="110">
        <f t="shared" si="458"/>
        <v>0</v>
      </c>
      <c r="LL47" s="110">
        <f t="shared" si="459"/>
        <v>0</v>
      </c>
      <c r="LM47" s="110">
        <f t="shared" si="460"/>
        <v>0</v>
      </c>
      <c r="LN47" s="110">
        <f t="shared" si="461"/>
        <v>0</v>
      </c>
      <c r="LO47" s="110">
        <f t="shared" si="462"/>
        <v>0</v>
      </c>
      <c r="LP47" s="110">
        <f t="shared" si="463"/>
        <v>0</v>
      </c>
      <c r="LQ47" s="110">
        <f t="shared" si="464"/>
        <v>0</v>
      </c>
      <c r="LR47" s="110">
        <f t="shared" si="465"/>
        <v>0</v>
      </c>
      <c r="LS47" s="110">
        <f t="shared" si="466"/>
        <v>0</v>
      </c>
      <c r="LT47" s="110">
        <f t="shared" si="467"/>
        <v>0</v>
      </c>
      <c r="LV47" s="111"/>
      <c r="LW47" s="110">
        <f t="shared" si="468"/>
        <v>0</v>
      </c>
      <c r="LX47" s="110">
        <f t="shared" si="469"/>
        <v>0</v>
      </c>
      <c r="LY47" s="110">
        <f t="shared" si="470"/>
        <v>0</v>
      </c>
      <c r="LZ47" s="110">
        <f t="shared" si="471"/>
        <v>0</v>
      </c>
      <c r="MA47" s="110">
        <f t="shared" si="472"/>
        <v>0</v>
      </c>
      <c r="MB47" s="110">
        <f t="shared" si="473"/>
        <v>0</v>
      </c>
      <c r="MC47" s="110">
        <f t="shared" si="474"/>
        <v>0</v>
      </c>
      <c r="MD47" s="110">
        <f t="shared" si="475"/>
        <v>0</v>
      </c>
      <c r="ME47" s="110">
        <f t="shared" si="476"/>
        <v>0</v>
      </c>
      <c r="MF47" s="110">
        <f t="shared" si="477"/>
        <v>0</v>
      </c>
      <c r="MG47" s="110">
        <f t="shared" si="478"/>
        <v>0</v>
      </c>
      <c r="MH47" s="110">
        <f t="shared" si="479"/>
        <v>0</v>
      </c>
      <c r="MI47" s="110">
        <f t="shared" si="480"/>
        <v>0</v>
      </c>
      <c r="MJ47" s="110">
        <f t="shared" si="481"/>
        <v>0</v>
      </c>
      <c r="MK47" s="110">
        <f t="shared" si="482"/>
        <v>0</v>
      </c>
      <c r="ML47" s="110">
        <f t="shared" si="483"/>
        <v>0</v>
      </c>
      <c r="MM47" s="110">
        <f t="shared" si="484"/>
        <v>0</v>
      </c>
      <c r="MN47" s="110">
        <f t="shared" si="485"/>
        <v>0</v>
      </c>
      <c r="MO47" s="110">
        <f t="shared" si="486"/>
        <v>0</v>
      </c>
      <c r="MP47" s="110">
        <f t="shared" si="487"/>
        <v>0</v>
      </c>
      <c r="MQ47" s="110">
        <f t="shared" si="488"/>
        <v>0</v>
      </c>
      <c r="MR47" s="110">
        <f t="shared" si="489"/>
        <v>0</v>
      </c>
      <c r="MS47" s="110">
        <f t="shared" si="490"/>
        <v>0</v>
      </c>
      <c r="MT47" s="110">
        <f t="shared" si="491"/>
        <v>0</v>
      </c>
      <c r="MV47" s="114">
        <v>69</v>
      </c>
      <c r="MW47" s="114">
        <v>0</v>
      </c>
      <c r="MX47" s="114">
        <v>0</v>
      </c>
      <c r="MY47" s="114">
        <v>0</v>
      </c>
      <c r="MZ47" s="114">
        <v>0</v>
      </c>
      <c r="NB47" s="115">
        <v>85</v>
      </c>
      <c r="NC47" s="115" t="str">
        <v>N/A</v>
      </c>
      <c r="ND47" s="115" t="str">
        <v>N/A</v>
      </c>
      <c r="NE47" s="115" t="str">
        <v>N/A</v>
      </c>
      <c r="NF47" s="115" t="str">
        <v>N/A</v>
      </c>
    </row>
    <row r="48" spans="2:370" ht="13.5" x14ac:dyDescent="0.25">
      <c r="B48" s="8">
        <f t="shared" si="252"/>
        <v>45</v>
      </c>
      <c r="C48" s="7">
        <v>333.1</v>
      </c>
      <c r="D48" s="7">
        <v>333.1</v>
      </c>
      <c r="E48" s="7">
        <v>333.1</v>
      </c>
      <c r="F48" s="7">
        <v>333.1</v>
      </c>
      <c r="G48" s="7">
        <v>333.1</v>
      </c>
      <c r="H48" s="7">
        <v>333.1</v>
      </c>
      <c r="I48" s="7">
        <v>333.1</v>
      </c>
      <c r="J48" s="7">
        <v>333.1</v>
      </c>
      <c r="K48" s="7">
        <v>333.1</v>
      </c>
      <c r="L48" s="7">
        <v>333.1</v>
      </c>
      <c r="M48" s="7">
        <v>333.1</v>
      </c>
      <c r="N48" s="7">
        <v>333.1</v>
      </c>
      <c r="O48" s="7">
        <v>333.1</v>
      </c>
      <c r="P48" s="7">
        <v>333.1</v>
      </c>
      <c r="Q48" s="7">
        <v>333.1</v>
      </c>
      <c r="R48" s="7">
        <v>333.1</v>
      </c>
      <c r="S48" s="7">
        <v>333.1</v>
      </c>
      <c r="T48" s="7">
        <v>333.1</v>
      </c>
      <c r="U48" s="7">
        <v>333.1</v>
      </c>
      <c r="V48" s="7">
        <v>333.1</v>
      </c>
      <c r="W48" s="7">
        <v>333.1</v>
      </c>
      <c r="X48" s="7">
        <v>333.1</v>
      </c>
      <c r="Y48" s="7">
        <v>333.1</v>
      </c>
      <c r="Z48" s="7">
        <v>333.1</v>
      </c>
      <c r="AA48" s="7">
        <v>333.1</v>
      </c>
      <c r="AB48" s="7">
        <v>333.1</v>
      </c>
      <c r="AC48" s="7">
        <v>333.1</v>
      </c>
      <c r="AD48" s="7">
        <v>344.09</v>
      </c>
      <c r="AE48" s="7">
        <v>344.09</v>
      </c>
      <c r="AF48" s="7">
        <v>344.09</v>
      </c>
      <c r="AG48" s="7">
        <v>344.09</v>
      </c>
      <c r="AH48" s="7">
        <v>344.09</v>
      </c>
      <c r="AI48" s="7">
        <v>344.09</v>
      </c>
      <c r="AJ48" s="7">
        <v>344.09</v>
      </c>
      <c r="AK48" s="7">
        <v>344.09</v>
      </c>
      <c r="AL48" s="7">
        <v>344.09</v>
      </c>
      <c r="AM48" s="7">
        <v>344.09</v>
      </c>
      <c r="AN48" s="27">
        <v>45</v>
      </c>
      <c r="AP48" s="111"/>
      <c r="AQ48" s="110">
        <f t="shared" si="253"/>
        <v>0</v>
      </c>
      <c r="AR48" s="110">
        <f t="shared" si="254"/>
        <v>0</v>
      </c>
      <c r="AS48" s="110">
        <f t="shared" si="255"/>
        <v>0</v>
      </c>
      <c r="AT48" s="110">
        <f t="shared" si="256"/>
        <v>0</v>
      </c>
      <c r="AU48" s="110">
        <f t="shared" si="257"/>
        <v>0</v>
      </c>
      <c r="AV48" s="110">
        <f t="shared" si="258"/>
        <v>0</v>
      </c>
      <c r="AW48" s="110">
        <f t="shared" si="259"/>
        <v>0</v>
      </c>
      <c r="AX48" s="110">
        <f t="shared" si="260"/>
        <v>0</v>
      </c>
      <c r="AY48" s="110">
        <f t="shared" si="261"/>
        <v>10.989999999999952</v>
      </c>
      <c r="AZ48" s="110">
        <f t="shared" si="262"/>
        <v>0</v>
      </c>
      <c r="BA48" s="110">
        <f t="shared" si="263"/>
        <v>0</v>
      </c>
      <c r="BB48" s="110">
        <f t="shared" si="264"/>
        <v>0</v>
      </c>
      <c r="BD48" s="109" cm="1">
        <f t="array" ref="BD48">+IFERROR(INDEX($C$3:$AM$3,MATCH(TRUE,INDEX($C48:$AM48&lt;&gt;0,0),0)),"N/A")</f>
        <v>44926</v>
      </c>
      <c r="BE48" s="112"/>
      <c r="BF48" s="1" t="str" cm="1">
        <f t="array" ref="BF48">+_xlfn.IFS(BT48&lt;&gt;0,BT$2,CH48&lt;&gt;0,CH$2,CV48&lt;&gt;0,CV$2,DJ48&lt;&gt;0,DJ$2,TRUE,"")</f>
        <v/>
      </c>
      <c r="BG48" s="1" t="str" cm="1">
        <f t="array" ref="BG48">+_xlfn.IFS(BU48&lt;&gt;0,BU$2,CI48&lt;&gt;0,CI$2,CW48&lt;&gt;0,CW$2,DK48&lt;&gt;0,DK$2,TRUE,"")</f>
        <v/>
      </c>
      <c r="BH48" s="1" t="str" cm="1">
        <f t="array" ref="BH48">+_xlfn.IFS(BV48&lt;&gt;0,BV$2,CJ48&lt;&gt;0,CJ$2,CX48&lt;&gt;0,CX$2,DL48&lt;&gt;0,DL$2,TRUE,"")</f>
        <v/>
      </c>
      <c r="BI48" s="1" t="str" cm="1">
        <f t="array" ref="BI48">+_xlfn.IFS(BW48&lt;&gt;0,BW$2,CK48&lt;&gt;0,CK$2,CY48&lt;&gt;0,CY$2,DM48&lt;&gt;0,DM$2,TRUE,"")</f>
        <v/>
      </c>
      <c r="BJ48" s="1" t="str" cm="1">
        <f t="array" ref="BJ48">+_xlfn.IFS(BX48&lt;&gt;0,BX$2,CL48&lt;&gt;0,CL$2,CZ48&lt;&gt;0,CZ$2,DN48&lt;&gt;0,DN$2,TRUE,"")</f>
        <v/>
      </c>
      <c r="BK48" s="1" t="str" cm="1">
        <f t="array" ref="BK48">+_xlfn.IFS(BY48&lt;&gt;0,BY$2,CM48&lt;&gt;0,CM$2,DA48&lt;&gt;0,DA$2,DO48&lt;&gt;0,DO$2,TRUE,"")</f>
        <v/>
      </c>
      <c r="BL48" s="1" t="str" cm="1">
        <f t="array" ref="BL48">+_xlfn.IFS(BZ48&lt;&gt;0,BZ$2,CN48&lt;&gt;0,CN$2,DB48&lt;&gt;0,DB$2,DP48&lt;&gt;0,DP$2,TRUE,"")</f>
        <v/>
      </c>
      <c r="BM48" s="1" t="str" cm="1">
        <f t="array" ref="BM48">+_xlfn.IFS(CA48&lt;&gt;0,CA$2,CO48&lt;&gt;0,CO$2,DC48&lt;&gt;0,DC$2,DQ48&lt;&gt;0,DQ$2,TRUE,"")</f>
        <v/>
      </c>
      <c r="BN48" s="1" t="str" cm="1">
        <f t="array" ref="BN48">+_xlfn.IFS(CB48&lt;&gt;0,CB$2,CP48&lt;&gt;0,CP$2,DD48&lt;&gt;0,DD$2,DR48&lt;&gt;0,DR$2,TRUE,"")</f>
        <v>Upsell</v>
      </c>
      <c r="BO48" s="1" t="str" cm="1">
        <f t="array" ref="BO48">+_xlfn.IFS(CC48&lt;&gt;0,CC$2,CQ48&lt;&gt;0,CQ$2,DE48&lt;&gt;0,DE$2,DS48&lt;&gt;0,DS$2,TRUE,"")</f>
        <v/>
      </c>
      <c r="BP48" s="1" t="str" cm="1">
        <f t="array" ref="BP48">+_xlfn.IFS(CD48&lt;&gt;0,CD$2,CR48&lt;&gt;0,CR$2,DF48&lt;&gt;0,DF$2,DT48&lt;&gt;0,DT$2,TRUE,"")</f>
        <v/>
      </c>
      <c r="BQ48" s="1" t="str" cm="1">
        <f t="array" ref="BQ48">+_xlfn.IFS(CE48&lt;&gt;0,CE$2,CS48&lt;&gt;0,CS$2,DG48&lt;&gt;0,DG$2,DU48&lt;&gt;0,DU$2,TRUE,"")</f>
        <v/>
      </c>
      <c r="BS48" s="111"/>
      <c r="BT48" s="110">
        <f t="shared" si="265"/>
        <v>0</v>
      </c>
      <c r="BU48" s="110">
        <f t="shared" si="266"/>
        <v>0</v>
      </c>
      <c r="BV48" s="110">
        <f t="shared" si="267"/>
        <v>0</v>
      </c>
      <c r="BW48" s="110">
        <f t="shared" si="268"/>
        <v>0</v>
      </c>
      <c r="BX48" s="110">
        <f t="shared" si="269"/>
        <v>0</v>
      </c>
      <c r="BY48" s="110">
        <f t="shared" si="270"/>
        <v>0</v>
      </c>
      <c r="BZ48" s="110">
        <f t="shared" si="271"/>
        <v>0</v>
      </c>
      <c r="CA48" s="110">
        <f t="shared" si="272"/>
        <v>0</v>
      </c>
      <c r="CB48" s="110">
        <f t="shared" si="273"/>
        <v>0</v>
      </c>
      <c r="CC48" s="110">
        <f t="shared" si="274"/>
        <v>0</v>
      </c>
      <c r="CD48" s="110">
        <f t="shared" si="275"/>
        <v>0</v>
      </c>
      <c r="CE48" s="110">
        <f t="shared" si="276"/>
        <v>0</v>
      </c>
      <c r="CG48" s="111"/>
      <c r="CH48" s="110">
        <f t="shared" si="277"/>
        <v>0</v>
      </c>
      <c r="CI48" s="110">
        <f t="shared" si="278"/>
        <v>0</v>
      </c>
      <c r="CJ48" s="110">
        <f t="shared" si="279"/>
        <v>0</v>
      </c>
      <c r="CK48" s="110">
        <f t="shared" si="280"/>
        <v>0</v>
      </c>
      <c r="CL48" s="110">
        <f t="shared" si="281"/>
        <v>0</v>
      </c>
      <c r="CM48" s="110">
        <f t="shared" si="282"/>
        <v>0</v>
      </c>
      <c r="CN48" s="110">
        <f t="shared" si="283"/>
        <v>0</v>
      </c>
      <c r="CO48" s="110">
        <f t="shared" si="284"/>
        <v>0</v>
      </c>
      <c r="CP48" s="110">
        <f t="shared" si="285"/>
        <v>0</v>
      </c>
      <c r="CQ48" s="110">
        <f t="shared" si="286"/>
        <v>0</v>
      </c>
      <c r="CR48" s="110">
        <f t="shared" si="287"/>
        <v>0</v>
      </c>
      <c r="CS48" s="110">
        <f t="shared" si="288"/>
        <v>0</v>
      </c>
      <c r="CU48" s="111"/>
      <c r="CV48" s="110">
        <f t="shared" si="289"/>
        <v>0</v>
      </c>
      <c r="CW48" s="110">
        <f t="shared" si="290"/>
        <v>0</v>
      </c>
      <c r="CX48" s="110">
        <f t="shared" si="291"/>
        <v>0</v>
      </c>
      <c r="CY48" s="110">
        <f t="shared" si="292"/>
        <v>0</v>
      </c>
      <c r="CZ48" s="110">
        <f t="shared" si="293"/>
        <v>0</v>
      </c>
      <c r="DA48" s="110">
        <f t="shared" si="294"/>
        <v>0</v>
      </c>
      <c r="DB48" s="110">
        <f t="shared" si="295"/>
        <v>0</v>
      </c>
      <c r="DC48" s="110">
        <f t="shared" si="296"/>
        <v>0</v>
      </c>
      <c r="DD48" s="110">
        <f t="shared" si="297"/>
        <v>0</v>
      </c>
      <c r="DE48" s="110">
        <f t="shared" si="298"/>
        <v>0</v>
      </c>
      <c r="DF48" s="110">
        <f t="shared" si="299"/>
        <v>0</v>
      </c>
      <c r="DG48" s="110">
        <f t="shared" si="300"/>
        <v>0</v>
      </c>
      <c r="DI48" s="111"/>
      <c r="DJ48" s="110">
        <f t="shared" si="301"/>
        <v>0</v>
      </c>
      <c r="DK48" s="110">
        <f t="shared" si="302"/>
        <v>0</v>
      </c>
      <c r="DL48" s="110">
        <f t="shared" si="303"/>
        <v>0</v>
      </c>
      <c r="DM48" s="110">
        <f t="shared" si="304"/>
        <v>0</v>
      </c>
      <c r="DN48" s="110">
        <f t="shared" si="305"/>
        <v>0</v>
      </c>
      <c r="DO48" s="110">
        <f t="shared" si="306"/>
        <v>0</v>
      </c>
      <c r="DP48" s="110">
        <f t="shared" si="307"/>
        <v>0</v>
      </c>
      <c r="DQ48" s="110">
        <f t="shared" si="308"/>
        <v>0</v>
      </c>
      <c r="DR48" s="110">
        <f t="shared" si="309"/>
        <v>10.989999999999952</v>
      </c>
      <c r="DS48" s="110">
        <f t="shared" si="310"/>
        <v>0</v>
      </c>
      <c r="DT48" s="110">
        <f t="shared" si="311"/>
        <v>0</v>
      </c>
      <c r="DU48" s="110">
        <f t="shared" si="312"/>
        <v>0</v>
      </c>
      <c r="DW48" s="111"/>
      <c r="DX48" s="110">
        <f t="shared" si="313"/>
        <v>0</v>
      </c>
      <c r="DY48" s="110">
        <f t="shared" si="314"/>
        <v>0</v>
      </c>
      <c r="DZ48" s="110">
        <f t="shared" si="315"/>
        <v>0</v>
      </c>
      <c r="EA48" s="110">
        <f t="shared" si="316"/>
        <v>0</v>
      </c>
      <c r="EB48" s="110">
        <f t="shared" si="317"/>
        <v>0</v>
      </c>
      <c r="EC48" s="110">
        <f t="shared" si="318"/>
        <v>0</v>
      </c>
      <c r="ED48" s="110">
        <f t="shared" si="319"/>
        <v>0</v>
      </c>
      <c r="EE48" s="110">
        <f t="shared" si="320"/>
        <v>0</v>
      </c>
      <c r="EF48" s="110">
        <f t="shared" si="321"/>
        <v>0</v>
      </c>
      <c r="EG48" s="110">
        <f t="shared" si="322"/>
        <v>0</v>
      </c>
      <c r="EH48" s="110">
        <f t="shared" si="323"/>
        <v>0</v>
      </c>
      <c r="EI48" s="110">
        <f t="shared" si="324"/>
        <v>0</v>
      </c>
      <c r="EK48" s="111"/>
      <c r="EL48" s="110">
        <f t="shared" si="325"/>
        <v>0</v>
      </c>
      <c r="EM48" s="110">
        <f t="shared" si="326"/>
        <v>0</v>
      </c>
      <c r="EN48" s="110">
        <f t="shared" si="327"/>
        <v>10.989999999999952</v>
      </c>
      <c r="EP48" s="109" cm="1">
        <f t="array" ref="EP48">+IFERROR(INDEX($C$3:$AM$3,MATCH(TRUE,INDEX($C48:$AM48&lt;&gt;0,0),0)),"N/A")</f>
        <v>44926</v>
      </c>
      <c r="EQ48" s="112"/>
      <c r="ER48" s="1" t="str" cm="1">
        <f t="array" ref="ER48">+_xlfn.IFS(EW48&lt;&gt;0,EW$2,FB48&lt;&gt;0,FB$2,FG48&lt;&gt;0,FG$2,FL48&lt;&gt;0,FL$2,TRUE,"")</f>
        <v/>
      </c>
      <c r="ES48" s="1" t="str" cm="1">
        <f t="array" ref="ES48">+_xlfn.IFS(EX48&lt;&gt;0,EX$2,FC48&lt;&gt;0,FC$2,FH48&lt;&gt;0,FH$2,FM48&lt;&gt;0,FM$2,TRUE,"")</f>
        <v/>
      </c>
      <c r="ET48" s="1" t="str" cm="1">
        <f t="array" ref="ET48">+_xlfn.IFS(EY48&lt;&gt;0,EY$2,FD48&lt;&gt;0,FD$2,FI48&lt;&gt;0,FI$2,FN48&lt;&gt;0,FN$2,TRUE,"")</f>
        <v>Upsell</v>
      </c>
      <c r="EV48" s="111"/>
      <c r="EW48" s="110">
        <f t="shared" si="328"/>
        <v>0</v>
      </c>
      <c r="EX48" s="110">
        <f t="shared" si="329"/>
        <v>0</v>
      </c>
      <c r="EY48" s="110">
        <f t="shared" si="330"/>
        <v>0</v>
      </c>
      <c r="FA48" s="111"/>
      <c r="FB48" s="110">
        <f t="shared" si="331"/>
        <v>0</v>
      </c>
      <c r="FC48" s="110">
        <f t="shared" si="332"/>
        <v>0</v>
      </c>
      <c r="FD48" s="110">
        <f t="shared" si="333"/>
        <v>0</v>
      </c>
      <c r="FF48" s="111"/>
      <c r="FG48" s="110">
        <f t="shared" si="334"/>
        <v>0</v>
      </c>
      <c r="FH48" s="110">
        <f t="shared" si="335"/>
        <v>0</v>
      </c>
      <c r="FI48" s="110">
        <f t="shared" si="336"/>
        <v>0</v>
      </c>
      <c r="FK48" s="111"/>
      <c r="FL48" s="110">
        <f t="shared" si="337"/>
        <v>0</v>
      </c>
      <c r="FM48" s="110">
        <f t="shared" si="338"/>
        <v>0</v>
      </c>
      <c r="FN48" s="110">
        <f t="shared" si="339"/>
        <v>10.989999999999952</v>
      </c>
      <c r="FP48" s="111"/>
      <c r="FQ48" s="110">
        <f t="shared" si="340"/>
        <v>0</v>
      </c>
      <c r="FR48" s="110">
        <f t="shared" si="341"/>
        <v>0</v>
      </c>
      <c r="FS48" s="110">
        <f t="shared" si="342"/>
        <v>0</v>
      </c>
      <c r="FU48" s="111">
        <f t="shared" si="343"/>
        <v>0</v>
      </c>
      <c r="FV48" s="110">
        <f t="shared" si="344"/>
        <v>0</v>
      </c>
      <c r="FW48" s="110">
        <f t="shared" si="345"/>
        <v>0</v>
      </c>
      <c r="FX48" s="110">
        <f t="shared" si="346"/>
        <v>0</v>
      </c>
      <c r="FY48" s="110">
        <f t="shared" si="347"/>
        <v>0</v>
      </c>
      <c r="FZ48" s="110">
        <f t="shared" si="348"/>
        <v>0</v>
      </c>
      <c r="GA48" s="110">
        <f t="shared" si="349"/>
        <v>0</v>
      </c>
      <c r="GB48" s="110">
        <f t="shared" si="350"/>
        <v>0</v>
      </c>
      <c r="GC48" s="110">
        <f t="shared" si="351"/>
        <v>0</v>
      </c>
      <c r="GD48" s="110">
        <f t="shared" si="352"/>
        <v>0</v>
      </c>
      <c r="GE48" s="110">
        <f t="shared" si="353"/>
        <v>0</v>
      </c>
      <c r="GF48" s="110">
        <f t="shared" si="354"/>
        <v>0</v>
      </c>
      <c r="GG48" s="110">
        <f t="shared" si="355"/>
        <v>0</v>
      </c>
      <c r="GH48" s="110">
        <f t="shared" si="356"/>
        <v>0</v>
      </c>
      <c r="GI48" s="110">
        <f t="shared" si="357"/>
        <v>0</v>
      </c>
      <c r="GJ48" s="110">
        <f t="shared" si="358"/>
        <v>10.989999999999952</v>
      </c>
      <c r="GK48" s="110">
        <f t="shared" si="359"/>
        <v>10.989999999999952</v>
      </c>
      <c r="GL48" s="110">
        <f t="shared" si="360"/>
        <v>10.989999999999952</v>
      </c>
      <c r="GM48" s="110">
        <f t="shared" si="361"/>
        <v>10.989999999999952</v>
      </c>
      <c r="GN48" s="110">
        <f t="shared" si="362"/>
        <v>10.989999999999952</v>
      </c>
      <c r="GO48" s="110">
        <f t="shared" si="363"/>
        <v>10.989999999999952</v>
      </c>
      <c r="GP48" s="110">
        <f t="shared" si="364"/>
        <v>10.989999999999952</v>
      </c>
      <c r="GQ48" s="110">
        <f t="shared" si="365"/>
        <v>10.989999999999952</v>
      </c>
      <c r="GR48" s="110">
        <f t="shared" si="366"/>
        <v>10.989999999999952</v>
      </c>
      <c r="GS48" s="110">
        <f t="shared" si="367"/>
        <v>10.989999999999952</v>
      </c>
      <c r="GU48" s="109" cm="1">
        <f t="array" ref="GU48">+IFERROR(INDEX($C$3:$AM$3,MATCH(TRUE,INDEX($C48:$AM48&lt;&gt;0,0),0)),"N/A")</f>
        <v>44926</v>
      </c>
      <c r="GV48" s="112" t="str" cm="1">
        <f t="array" ref="GV48">+_xlfn.IFS(HV48&lt;&gt;0,HV$2,IV48&lt;&gt;0,IV$2,JV48&lt;&gt;0,JV$2,KV48&lt;&gt;0,KV$2,TRUE,"")</f>
        <v/>
      </c>
      <c r="GW48" s="1" t="str" cm="1">
        <f t="array" ref="GW48">+_xlfn.IFS(HW48&lt;&gt;0,HW$2,IW48&lt;&gt;0,IW$2,JW48&lt;&gt;0,JW$2,KW48&lt;&gt;0,KW$2,TRUE,"")</f>
        <v/>
      </c>
      <c r="GX48" s="1" t="str" cm="1">
        <f t="array" ref="GX48">+_xlfn.IFS(HX48&lt;&gt;0,HX$2,IX48&lt;&gt;0,IX$2,JX48&lt;&gt;0,JX$2,KX48&lt;&gt;0,KX$2,TRUE,"")</f>
        <v/>
      </c>
      <c r="GY48" s="1" t="str" cm="1">
        <f t="array" ref="GY48">+_xlfn.IFS(HY48&lt;&gt;0,HY$2,IY48&lt;&gt;0,IY$2,JY48&lt;&gt;0,JY$2,KY48&lt;&gt;0,KY$2,TRUE,"")</f>
        <v/>
      </c>
      <c r="GZ48" s="1" t="str" cm="1">
        <f t="array" ref="GZ48">+_xlfn.IFS(HZ48&lt;&gt;0,HZ$2,IZ48&lt;&gt;0,IZ$2,JZ48&lt;&gt;0,JZ$2,KZ48&lt;&gt;0,KZ$2,TRUE,"")</f>
        <v/>
      </c>
      <c r="HA48" s="1" t="str" cm="1">
        <f t="array" ref="HA48">+_xlfn.IFS(IA48&lt;&gt;0,IA$2,JA48&lt;&gt;0,JA$2,KA48&lt;&gt;0,KA$2,LA48&lt;&gt;0,LA$2,TRUE,"")</f>
        <v/>
      </c>
      <c r="HB48" s="1" t="str" cm="1">
        <f t="array" ref="HB48">+_xlfn.IFS(IB48&lt;&gt;0,IB$2,JB48&lt;&gt;0,JB$2,KB48&lt;&gt;0,KB$2,LB48&lt;&gt;0,LB$2,TRUE,"")</f>
        <v/>
      </c>
      <c r="HC48" s="1" t="str" cm="1">
        <f t="array" ref="HC48">+_xlfn.IFS(IC48&lt;&gt;0,IC$2,JC48&lt;&gt;0,JC$2,KC48&lt;&gt;0,KC$2,LC48&lt;&gt;0,LC$2,TRUE,"")</f>
        <v/>
      </c>
      <c r="HD48" s="1" t="str" cm="1">
        <f t="array" ref="HD48">+_xlfn.IFS(ID48&lt;&gt;0,ID$2,JD48&lt;&gt;0,JD$2,KD48&lt;&gt;0,KD$2,LD48&lt;&gt;0,LD$2,TRUE,"")</f>
        <v/>
      </c>
      <c r="HE48" s="1" t="str" cm="1">
        <f t="array" ref="HE48">+_xlfn.IFS(IE48&lt;&gt;0,IE$2,JE48&lt;&gt;0,JE$2,KE48&lt;&gt;0,KE$2,LE48&lt;&gt;0,LE$2,TRUE,"")</f>
        <v/>
      </c>
      <c r="HF48" s="1" t="str" cm="1">
        <f t="array" ref="HF48">+_xlfn.IFS(IF48&lt;&gt;0,IF$2,JF48&lt;&gt;0,JF$2,KF48&lt;&gt;0,KF$2,LF48&lt;&gt;0,LF$2,TRUE,"")</f>
        <v/>
      </c>
      <c r="HG48" s="1" t="str" cm="1">
        <f t="array" ref="HG48">+_xlfn.IFS(IG48&lt;&gt;0,IG$2,JG48&lt;&gt;0,JG$2,KG48&lt;&gt;0,KG$2,LG48&lt;&gt;0,LG$2,TRUE,"")</f>
        <v/>
      </c>
      <c r="HH48" s="1" t="str" cm="1">
        <f t="array" ref="HH48">+_xlfn.IFS(IH48&lt;&gt;0,IH$2,JH48&lt;&gt;0,JH$2,KH48&lt;&gt;0,KH$2,LH48&lt;&gt;0,LH$2,TRUE,"")</f>
        <v/>
      </c>
      <c r="HI48" s="1" t="str" cm="1">
        <f t="array" ref="HI48">+_xlfn.IFS(II48&lt;&gt;0,II$2,JI48&lt;&gt;0,JI$2,KI48&lt;&gt;0,KI$2,LI48&lt;&gt;0,LI$2,TRUE,"")</f>
        <v/>
      </c>
      <c r="HJ48" s="1" t="str" cm="1">
        <f t="array" ref="HJ48">+_xlfn.IFS(IJ48&lt;&gt;0,IJ$2,JJ48&lt;&gt;0,JJ$2,KJ48&lt;&gt;0,KJ$2,LJ48&lt;&gt;0,LJ$2,TRUE,"")</f>
        <v/>
      </c>
      <c r="HK48" s="1" t="str" cm="1">
        <f t="array" ref="HK48">+_xlfn.IFS(IK48&lt;&gt;0,IK$2,JK48&lt;&gt;0,JK$2,KK48&lt;&gt;0,KK$2,LK48&lt;&gt;0,LK$2,TRUE,"")</f>
        <v>Upsell</v>
      </c>
      <c r="HL48" s="1" t="str" cm="1">
        <f t="array" ref="HL48">+_xlfn.IFS(IL48&lt;&gt;0,IL$2,JL48&lt;&gt;0,JL$2,KL48&lt;&gt;0,KL$2,LL48&lt;&gt;0,LL$2,TRUE,"")</f>
        <v>Upsell</v>
      </c>
      <c r="HM48" s="1" t="str" cm="1">
        <f t="array" ref="HM48">+_xlfn.IFS(IM48&lt;&gt;0,IM$2,JM48&lt;&gt;0,JM$2,KM48&lt;&gt;0,KM$2,LM48&lt;&gt;0,LM$2,TRUE,"")</f>
        <v>Upsell</v>
      </c>
      <c r="HN48" s="1" t="str" cm="1">
        <f t="array" ref="HN48">+_xlfn.IFS(IN48&lt;&gt;0,IN$2,JN48&lt;&gt;0,JN$2,KN48&lt;&gt;0,KN$2,LN48&lt;&gt;0,LN$2,TRUE,"")</f>
        <v>Upsell</v>
      </c>
      <c r="HO48" s="1" t="str" cm="1">
        <f t="array" ref="HO48">+_xlfn.IFS(IO48&lt;&gt;0,IO$2,JO48&lt;&gt;0,JO$2,KO48&lt;&gt;0,KO$2,LO48&lt;&gt;0,LO$2,TRUE,"")</f>
        <v>Upsell</v>
      </c>
      <c r="HP48" s="1" t="str" cm="1">
        <f t="array" ref="HP48">+_xlfn.IFS(IP48&lt;&gt;0,IP$2,JP48&lt;&gt;0,JP$2,KP48&lt;&gt;0,KP$2,LP48&lt;&gt;0,LP$2,TRUE,"")</f>
        <v>Upsell</v>
      </c>
      <c r="HQ48" s="1" t="str" cm="1">
        <f t="array" ref="HQ48">+_xlfn.IFS(IQ48&lt;&gt;0,IQ$2,JQ48&lt;&gt;0,JQ$2,KQ48&lt;&gt;0,KQ$2,LQ48&lt;&gt;0,LQ$2,TRUE,"")</f>
        <v>Upsell</v>
      </c>
      <c r="HR48" s="1" t="str" cm="1">
        <f t="array" ref="HR48">+_xlfn.IFS(IR48&lt;&gt;0,IR$2,JR48&lt;&gt;0,JR$2,KR48&lt;&gt;0,KR$2,LR48&lt;&gt;0,LR$2,TRUE,"")</f>
        <v>Upsell</v>
      </c>
      <c r="HS48" s="1" t="str" cm="1">
        <f t="array" ref="HS48">+_xlfn.IFS(IS48&lt;&gt;0,IS$2,JS48&lt;&gt;0,JS$2,KS48&lt;&gt;0,KS$2,LS48&lt;&gt;0,LS$2,TRUE,"")</f>
        <v>Upsell</v>
      </c>
      <c r="HT48" s="1" t="str" cm="1">
        <f t="array" ref="HT48">+_xlfn.IFS(IT48&lt;&gt;0,IT$2,JT48&lt;&gt;0,JT$2,KT48&lt;&gt;0,KT$2,LT48&lt;&gt;0,LT$2,TRUE,"")</f>
        <v>Upsell</v>
      </c>
      <c r="HV48" s="111">
        <f t="shared" si="368"/>
        <v>0</v>
      </c>
      <c r="HW48" s="110">
        <f t="shared" si="369"/>
        <v>0</v>
      </c>
      <c r="HX48" s="110">
        <f t="shared" si="370"/>
        <v>0</v>
      </c>
      <c r="HY48" s="110">
        <f t="shared" si="371"/>
        <v>0</v>
      </c>
      <c r="HZ48" s="110">
        <f t="shared" si="372"/>
        <v>0</v>
      </c>
      <c r="IA48" s="110">
        <f t="shared" si="373"/>
        <v>0</v>
      </c>
      <c r="IB48" s="110">
        <f t="shared" si="374"/>
        <v>0</v>
      </c>
      <c r="IC48" s="110">
        <f t="shared" si="375"/>
        <v>0</v>
      </c>
      <c r="ID48" s="110">
        <f t="shared" si="376"/>
        <v>0</v>
      </c>
      <c r="IE48" s="110">
        <f t="shared" si="377"/>
        <v>0</v>
      </c>
      <c r="IF48" s="110">
        <f t="shared" si="378"/>
        <v>0</v>
      </c>
      <c r="IG48" s="110">
        <f t="shared" si="379"/>
        <v>0</v>
      </c>
      <c r="IH48" s="110">
        <f t="shared" si="380"/>
        <v>0</v>
      </c>
      <c r="II48" s="110">
        <f t="shared" si="381"/>
        <v>0</v>
      </c>
      <c r="IJ48" s="110">
        <f t="shared" si="382"/>
        <v>0</v>
      </c>
      <c r="IK48" s="110">
        <f t="shared" si="383"/>
        <v>0</v>
      </c>
      <c r="IL48" s="110">
        <f t="shared" si="384"/>
        <v>0</v>
      </c>
      <c r="IM48" s="110">
        <f t="shared" si="385"/>
        <v>0</v>
      </c>
      <c r="IN48" s="110">
        <f t="shared" si="386"/>
        <v>0</v>
      </c>
      <c r="IO48" s="110">
        <f t="shared" si="387"/>
        <v>0</v>
      </c>
      <c r="IP48" s="110">
        <f t="shared" si="388"/>
        <v>0</v>
      </c>
      <c r="IQ48" s="110">
        <f t="shared" si="389"/>
        <v>0</v>
      </c>
      <c r="IR48" s="110">
        <f t="shared" si="390"/>
        <v>0</v>
      </c>
      <c r="IS48" s="110">
        <f t="shared" si="391"/>
        <v>0</v>
      </c>
      <c r="IT48" s="110">
        <f t="shared" si="392"/>
        <v>0</v>
      </c>
      <c r="IV48" s="111">
        <f t="shared" si="393"/>
        <v>0</v>
      </c>
      <c r="IW48" s="110">
        <f t="shared" si="394"/>
        <v>0</v>
      </c>
      <c r="IX48" s="110">
        <f t="shared" si="395"/>
        <v>0</v>
      </c>
      <c r="IY48" s="110">
        <f t="shared" si="396"/>
        <v>0</v>
      </c>
      <c r="IZ48" s="110">
        <f t="shared" si="397"/>
        <v>0</v>
      </c>
      <c r="JA48" s="110">
        <f t="shared" si="398"/>
        <v>0</v>
      </c>
      <c r="JB48" s="110">
        <f t="shared" si="399"/>
        <v>0</v>
      </c>
      <c r="JC48" s="110">
        <f t="shared" si="400"/>
        <v>0</v>
      </c>
      <c r="JD48" s="110">
        <f t="shared" si="401"/>
        <v>0</v>
      </c>
      <c r="JE48" s="110">
        <f t="shared" si="402"/>
        <v>0</v>
      </c>
      <c r="JF48" s="110">
        <f t="shared" si="403"/>
        <v>0</v>
      </c>
      <c r="JG48" s="110">
        <f t="shared" si="404"/>
        <v>0</v>
      </c>
      <c r="JH48" s="110">
        <f t="shared" si="405"/>
        <v>0</v>
      </c>
      <c r="JI48" s="110">
        <f t="shared" si="406"/>
        <v>0</v>
      </c>
      <c r="JJ48" s="110">
        <f t="shared" si="407"/>
        <v>0</v>
      </c>
      <c r="JK48" s="110">
        <f t="shared" si="408"/>
        <v>0</v>
      </c>
      <c r="JL48" s="110">
        <f t="shared" si="409"/>
        <v>0</v>
      </c>
      <c r="JM48" s="110">
        <f t="shared" si="410"/>
        <v>0</v>
      </c>
      <c r="JN48" s="110">
        <f t="shared" si="411"/>
        <v>0</v>
      </c>
      <c r="JO48" s="110">
        <f t="shared" si="412"/>
        <v>0</v>
      </c>
      <c r="JP48" s="110">
        <f t="shared" si="413"/>
        <v>0</v>
      </c>
      <c r="JQ48" s="110">
        <f t="shared" si="414"/>
        <v>0</v>
      </c>
      <c r="JR48" s="110">
        <f t="shared" si="415"/>
        <v>0</v>
      </c>
      <c r="JS48" s="110">
        <f t="shared" si="416"/>
        <v>0</v>
      </c>
      <c r="JT48" s="110">
        <f t="shared" si="417"/>
        <v>0</v>
      </c>
      <c r="JV48" s="111">
        <f t="shared" si="418"/>
        <v>0</v>
      </c>
      <c r="JW48" s="110">
        <f t="shared" si="419"/>
        <v>0</v>
      </c>
      <c r="JX48" s="110">
        <f t="shared" si="420"/>
        <v>0</v>
      </c>
      <c r="JY48" s="110">
        <f t="shared" si="421"/>
        <v>0</v>
      </c>
      <c r="JZ48" s="110">
        <f t="shared" si="422"/>
        <v>0</v>
      </c>
      <c r="KA48" s="110">
        <f t="shared" si="423"/>
        <v>0</v>
      </c>
      <c r="KB48" s="110">
        <f t="shared" si="424"/>
        <v>0</v>
      </c>
      <c r="KC48" s="110">
        <f t="shared" si="425"/>
        <v>0</v>
      </c>
      <c r="KD48" s="110">
        <f t="shared" si="426"/>
        <v>0</v>
      </c>
      <c r="KE48" s="110">
        <f t="shared" si="427"/>
        <v>0</v>
      </c>
      <c r="KF48" s="110">
        <f t="shared" si="428"/>
        <v>0</v>
      </c>
      <c r="KG48" s="110">
        <f t="shared" si="429"/>
        <v>0</v>
      </c>
      <c r="KH48" s="110">
        <f t="shared" si="430"/>
        <v>0</v>
      </c>
      <c r="KI48" s="110">
        <f t="shared" si="431"/>
        <v>0</v>
      </c>
      <c r="KJ48" s="110">
        <f t="shared" si="432"/>
        <v>0</v>
      </c>
      <c r="KK48" s="110">
        <f t="shared" si="433"/>
        <v>0</v>
      </c>
      <c r="KL48" s="110">
        <f t="shared" si="434"/>
        <v>0</v>
      </c>
      <c r="KM48" s="110">
        <f t="shared" si="435"/>
        <v>0</v>
      </c>
      <c r="KN48" s="110">
        <f t="shared" si="436"/>
        <v>0</v>
      </c>
      <c r="KO48" s="110">
        <f t="shared" si="437"/>
        <v>0</v>
      </c>
      <c r="KP48" s="110">
        <f t="shared" si="438"/>
        <v>0</v>
      </c>
      <c r="KQ48" s="110">
        <f t="shared" si="439"/>
        <v>0</v>
      </c>
      <c r="KR48" s="110">
        <f t="shared" si="440"/>
        <v>0</v>
      </c>
      <c r="KS48" s="110">
        <f t="shared" si="441"/>
        <v>0</v>
      </c>
      <c r="KT48" s="110">
        <f t="shared" si="442"/>
        <v>0</v>
      </c>
      <c r="KV48" s="111">
        <f t="shared" si="443"/>
        <v>0</v>
      </c>
      <c r="KW48" s="110">
        <f t="shared" si="444"/>
        <v>0</v>
      </c>
      <c r="KX48" s="110">
        <f t="shared" si="445"/>
        <v>0</v>
      </c>
      <c r="KY48" s="110">
        <f t="shared" si="446"/>
        <v>0</v>
      </c>
      <c r="KZ48" s="110">
        <f t="shared" si="447"/>
        <v>0</v>
      </c>
      <c r="LA48" s="110">
        <f t="shared" si="448"/>
        <v>0</v>
      </c>
      <c r="LB48" s="110">
        <f t="shared" si="449"/>
        <v>0</v>
      </c>
      <c r="LC48" s="110">
        <f t="shared" si="450"/>
        <v>0</v>
      </c>
      <c r="LD48" s="110">
        <f t="shared" si="451"/>
        <v>0</v>
      </c>
      <c r="LE48" s="110">
        <f t="shared" si="452"/>
        <v>0</v>
      </c>
      <c r="LF48" s="110">
        <f t="shared" si="453"/>
        <v>0</v>
      </c>
      <c r="LG48" s="110">
        <f t="shared" si="454"/>
        <v>0</v>
      </c>
      <c r="LH48" s="110">
        <f t="shared" si="455"/>
        <v>0</v>
      </c>
      <c r="LI48" s="110">
        <f t="shared" si="456"/>
        <v>0</v>
      </c>
      <c r="LJ48" s="110">
        <f t="shared" si="457"/>
        <v>0</v>
      </c>
      <c r="LK48" s="110">
        <f t="shared" si="458"/>
        <v>10.989999999999952</v>
      </c>
      <c r="LL48" s="110">
        <f t="shared" si="459"/>
        <v>10.989999999999952</v>
      </c>
      <c r="LM48" s="110">
        <f t="shared" si="460"/>
        <v>10.989999999999952</v>
      </c>
      <c r="LN48" s="110">
        <f t="shared" si="461"/>
        <v>10.989999999999952</v>
      </c>
      <c r="LO48" s="110">
        <f t="shared" si="462"/>
        <v>10.989999999999952</v>
      </c>
      <c r="LP48" s="110">
        <f t="shared" si="463"/>
        <v>10.989999999999952</v>
      </c>
      <c r="LQ48" s="110">
        <f t="shared" si="464"/>
        <v>10.989999999999952</v>
      </c>
      <c r="LR48" s="110">
        <f t="shared" si="465"/>
        <v>10.989999999999952</v>
      </c>
      <c r="LS48" s="110">
        <f t="shared" si="466"/>
        <v>10.989999999999952</v>
      </c>
      <c r="LT48" s="110">
        <f t="shared" si="467"/>
        <v>10.989999999999952</v>
      </c>
      <c r="LV48" s="111"/>
      <c r="LW48" s="110">
        <f t="shared" si="468"/>
        <v>0</v>
      </c>
      <c r="LX48" s="110">
        <f t="shared" si="469"/>
        <v>0</v>
      </c>
      <c r="LY48" s="110">
        <f t="shared" si="470"/>
        <v>0</v>
      </c>
      <c r="LZ48" s="110">
        <f t="shared" si="471"/>
        <v>0</v>
      </c>
      <c r="MA48" s="110">
        <f t="shared" si="472"/>
        <v>0</v>
      </c>
      <c r="MB48" s="110">
        <f t="shared" si="473"/>
        <v>0</v>
      </c>
      <c r="MC48" s="110">
        <f t="shared" si="474"/>
        <v>0</v>
      </c>
      <c r="MD48" s="110">
        <f t="shared" si="475"/>
        <v>0</v>
      </c>
      <c r="ME48" s="110">
        <f t="shared" si="476"/>
        <v>0</v>
      </c>
      <c r="MF48" s="110">
        <f t="shared" si="477"/>
        <v>0</v>
      </c>
      <c r="MG48" s="110">
        <f t="shared" si="478"/>
        <v>0</v>
      </c>
      <c r="MH48" s="110">
        <f t="shared" si="479"/>
        <v>0</v>
      </c>
      <c r="MI48" s="110">
        <f t="shared" si="480"/>
        <v>0</v>
      </c>
      <c r="MJ48" s="110">
        <f t="shared" si="481"/>
        <v>0</v>
      </c>
      <c r="MK48" s="110">
        <f t="shared" si="482"/>
        <v>0</v>
      </c>
      <c r="ML48" s="110">
        <f t="shared" si="483"/>
        <v>0</v>
      </c>
      <c r="MM48" s="110">
        <f t="shared" si="484"/>
        <v>0</v>
      </c>
      <c r="MN48" s="110">
        <f t="shared" si="485"/>
        <v>0</v>
      </c>
      <c r="MO48" s="110">
        <f t="shared" si="486"/>
        <v>0</v>
      </c>
      <c r="MP48" s="110">
        <f t="shared" si="487"/>
        <v>0</v>
      </c>
      <c r="MQ48" s="110">
        <f t="shared" si="488"/>
        <v>0</v>
      </c>
      <c r="MR48" s="110">
        <f t="shared" si="489"/>
        <v>0</v>
      </c>
      <c r="MS48" s="110">
        <f t="shared" si="490"/>
        <v>0</v>
      </c>
      <c r="MT48" s="110">
        <f t="shared" si="491"/>
        <v>0</v>
      </c>
      <c r="MV48" s="114">
        <v>344.09</v>
      </c>
      <c r="MW48" s="114">
        <v>0</v>
      </c>
      <c r="MX48" s="114">
        <v>10.989999999999952</v>
      </c>
      <c r="MY48" s="114">
        <v>0</v>
      </c>
      <c r="MZ48" s="114">
        <v>0</v>
      </c>
      <c r="NB48" s="115">
        <v>13</v>
      </c>
      <c r="NC48" s="115" t="str">
        <v>N/A</v>
      </c>
      <c r="ND48" s="115">
        <v>13</v>
      </c>
      <c r="NE48" s="115" t="str">
        <v>N/A</v>
      </c>
      <c r="NF48" s="115" t="str">
        <v>N/A</v>
      </c>
    </row>
    <row r="49" spans="2:370" ht="13.5" x14ac:dyDescent="0.25">
      <c r="B49" s="8">
        <f t="shared" si="252"/>
        <v>46</v>
      </c>
      <c r="C49" s="7">
        <v>225.82</v>
      </c>
      <c r="D49" s="7">
        <v>225.82</v>
      </c>
      <c r="E49" s="7">
        <v>229.9</v>
      </c>
      <c r="F49" s="7">
        <v>225.16</v>
      </c>
      <c r="G49" s="7">
        <v>233.9</v>
      </c>
      <c r="H49" s="7">
        <v>234.32</v>
      </c>
      <c r="I49" s="7">
        <v>230.1</v>
      </c>
      <c r="J49" s="7">
        <v>219</v>
      </c>
      <c r="K49" s="7">
        <v>219</v>
      </c>
      <c r="L49" s="7">
        <v>219</v>
      </c>
      <c r="M49" s="7">
        <v>219</v>
      </c>
      <c r="N49" s="7">
        <v>219</v>
      </c>
      <c r="O49" s="7">
        <v>219</v>
      </c>
      <c r="P49" s="7">
        <v>219</v>
      </c>
      <c r="Q49" s="7">
        <v>219</v>
      </c>
      <c r="R49" s="7">
        <v>219</v>
      </c>
      <c r="S49" s="7">
        <v>219</v>
      </c>
      <c r="T49" s="7">
        <v>219</v>
      </c>
      <c r="U49" s="7">
        <v>219</v>
      </c>
      <c r="V49" s="7">
        <v>219</v>
      </c>
      <c r="W49" s="7">
        <v>219</v>
      </c>
      <c r="X49" s="7">
        <v>219</v>
      </c>
      <c r="Y49" s="7">
        <v>219</v>
      </c>
      <c r="Z49" s="7">
        <v>219</v>
      </c>
      <c r="AA49" s="7">
        <v>219</v>
      </c>
      <c r="AB49" s="7">
        <v>219</v>
      </c>
      <c r="AC49" s="7">
        <v>219</v>
      </c>
      <c r="AD49" s="7">
        <v>226.67</v>
      </c>
      <c r="AE49" s="7">
        <v>226.67</v>
      </c>
      <c r="AF49" s="7">
        <v>226.67</v>
      </c>
      <c r="AG49" s="7">
        <v>226.67</v>
      </c>
      <c r="AH49" s="7">
        <v>226.67</v>
      </c>
      <c r="AI49" s="7">
        <v>226.67</v>
      </c>
      <c r="AJ49" s="7">
        <v>226.67</v>
      </c>
      <c r="AK49" s="7">
        <v>226.67</v>
      </c>
      <c r="AL49" s="7">
        <v>226.67</v>
      </c>
      <c r="AM49" s="7">
        <v>226.67</v>
      </c>
      <c r="AN49" s="27">
        <v>46</v>
      </c>
      <c r="AP49" s="111"/>
      <c r="AQ49" s="110">
        <f t="shared" si="253"/>
        <v>-0.65999999999999659</v>
      </c>
      <c r="AR49" s="110">
        <f t="shared" si="254"/>
        <v>4.9399999999999977</v>
      </c>
      <c r="AS49" s="110">
        <f t="shared" si="255"/>
        <v>-11.099999999999994</v>
      </c>
      <c r="AT49" s="110">
        <f t="shared" si="256"/>
        <v>0</v>
      </c>
      <c r="AU49" s="110">
        <f t="shared" si="257"/>
        <v>0</v>
      </c>
      <c r="AV49" s="110">
        <f t="shared" si="258"/>
        <v>0</v>
      </c>
      <c r="AW49" s="110">
        <f t="shared" si="259"/>
        <v>0</v>
      </c>
      <c r="AX49" s="110">
        <f t="shared" si="260"/>
        <v>0</v>
      </c>
      <c r="AY49" s="110">
        <f t="shared" si="261"/>
        <v>7.6699999999999875</v>
      </c>
      <c r="AZ49" s="110">
        <f t="shared" si="262"/>
        <v>0</v>
      </c>
      <c r="BA49" s="110">
        <f t="shared" si="263"/>
        <v>0</v>
      </c>
      <c r="BB49" s="110">
        <f t="shared" si="264"/>
        <v>0</v>
      </c>
      <c r="BD49" s="109" cm="1">
        <f t="array" ref="BD49">+IFERROR(INDEX($C$3:$AM$3,MATCH(TRUE,INDEX($C49:$AM49&lt;&gt;0,0),0)),"N/A")</f>
        <v>44926</v>
      </c>
      <c r="BE49" s="112"/>
      <c r="BF49" s="1" t="str" cm="1">
        <f t="array" ref="BF49">+_xlfn.IFS(BT49&lt;&gt;0,BT$2,CH49&lt;&gt;0,CH$2,CV49&lt;&gt;0,CV$2,DJ49&lt;&gt;0,DJ$2,TRUE,"")</f>
        <v>Downsell</v>
      </c>
      <c r="BG49" s="1" t="str" cm="1">
        <f t="array" ref="BG49">+_xlfn.IFS(BU49&lt;&gt;0,BU$2,CI49&lt;&gt;0,CI$2,CW49&lt;&gt;0,CW$2,DK49&lt;&gt;0,DK$2,TRUE,"")</f>
        <v>Upsell</v>
      </c>
      <c r="BH49" s="1" t="str" cm="1">
        <f t="array" ref="BH49">+_xlfn.IFS(BV49&lt;&gt;0,BV$2,CJ49&lt;&gt;0,CJ$2,CX49&lt;&gt;0,CX$2,DL49&lt;&gt;0,DL$2,TRUE,"")</f>
        <v>Downsell</v>
      </c>
      <c r="BI49" s="1" t="str" cm="1">
        <f t="array" ref="BI49">+_xlfn.IFS(BW49&lt;&gt;0,BW$2,CK49&lt;&gt;0,CK$2,CY49&lt;&gt;0,CY$2,DM49&lt;&gt;0,DM$2,TRUE,"")</f>
        <v/>
      </c>
      <c r="BJ49" s="1" t="str" cm="1">
        <f t="array" ref="BJ49">+_xlfn.IFS(BX49&lt;&gt;0,BX$2,CL49&lt;&gt;0,CL$2,CZ49&lt;&gt;0,CZ$2,DN49&lt;&gt;0,DN$2,TRUE,"")</f>
        <v/>
      </c>
      <c r="BK49" s="1" t="str" cm="1">
        <f t="array" ref="BK49">+_xlfn.IFS(BY49&lt;&gt;0,BY$2,CM49&lt;&gt;0,CM$2,DA49&lt;&gt;0,DA$2,DO49&lt;&gt;0,DO$2,TRUE,"")</f>
        <v/>
      </c>
      <c r="BL49" s="1" t="str" cm="1">
        <f t="array" ref="BL49">+_xlfn.IFS(BZ49&lt;&gt;0,BZ$2,CN49&lt;&gt;0,CN$2,DB49&lt;&gt;0,DB$2,DP49&lt;&gt;0,DP$2,TRUE,"")</f>
        <v/>
      </c>
      <c r="BM49" s="1" t="str" cm="1">
        <f t="array" ref="BM49">+_xlfn.IFS(CA49&lt;&gt;0,CA$2,CO49&lt;&gt;0,CO$2,DC49&lt;&gt;0,DC$2,DQ49&lt;&gt;0,DQ$2,TRUE,"")</f>
        <v/>
      </c>
      <c r="BN49" s="1" t="str" cm="1">
        <f t="array" ref="BN49">+_xlfn.IFS(CB49&lt;&gt;0,CB$2,CP49&lt;&gt;0,CP$2,DD49&lt;&gt;0,DD$2,DR49&lt;&gt;0,DR$2,TRUE,"")</f>
        <v>Upsell</v>
      </c>
      <c r="BO49" s="1" t="str" cm="1">
        <f t="array" ref="BO49">+_xlfn.IFS(CC49&lt;&gt;0,CC$2,CQ49&lt;&gt;0,CQ$2,DE49&lt;&gt;0,DE$2,DS49&lt;&gt;0,DS$2,TRUE,"")</f>
        <v/>
      </c>
      <c r="BP49" s="1" t="str" cm="1">
        <f t="array" ref="BP49">+_xlfn.IFS(CD49&lt;&gt;0,CD$2,CR49&lt;&gt;0,CR$2,DF49&lt;&gt;0,DF$2,DT49&lt;&gt;0,DT$2,TRUE,"")</f>
        <v/>
      </c>
      <c r="BQ49" s="1" t="str" cm="1">
        <f t="array" ref="BQ49">+_xlfn.IFS(CE49&lt;&gt;0,CE$2,CS49&lt;&gt;0,CS$2,DG49&lt;&gt;0,DG$2,DU49&lt;&gt;0,DU$2,TRUE,"")</f>
        <v/>
      </c>
      <c r="BS49" s="111"/>
      <c r="BT49" s="110">
        <f t="shared" si="265"/>
        <v>0</v>
      </c>
      <c r="BU49" s="110">
        <f t="shared" si="266"/>
        <v>0</v>
      </c>
      <c r="BV49" s="110">
        <f t="shared" si="267"/>
        <v>0</v>
      </c>
      <c r="BW49" s="110">
        <f t="shared" si="268"/>
        <v>0</v>
      </c>
      <c r="BX49" s="110">
        <f t="shared" si="269"/>
        <v>0</v>
      </c>
      <c r="BY49" s="110">
        <f t="shared" si="270"/>
        <v>0</v>
      </c>
      <c r="BZ49" s="110">
        <f t="shared" si="271"/>
        <v>0</v>
      </c>
      <c r="CA49" s="110">
        <f t="shared" si="272"/>
        <v>0</v>
      </c>
      <c r="CB49" s="110">
        <f t="shared" si="273"/>
        <v>0</v>
      </c>
      <c r="CC49" s="110">
        <f t="shared" si="274"/>
        <v>0</v>
      </c>
      <c r="CD49" s="110">
        <f t="shared" si="275"/>
        <v>0</v>
      </c>
      <c r="CE49" s="110">
        <f t="shared" si="276"/>
        <v>0</v>
      </c>
      <c r="CG49" s="111"/>
      <c r="CH49" s="110">
        <f t="shared" si="277"/>
        <v>0</v>
      </c>
      <c r="CI49" s="110">
        <f t="shared" si="278"/>
        <v>0</v>
      </c>
      <c r="CJ49" s="110">
        <f t="shared" si="279"/>
        <v>0</v>
      </c>
      <c r="CK49" s="110">
        <f t="shared" si="280"/>
        <v>0</v>
      </c>
      <c r="CL49" s="110">
        <f t="shared" si="281"/>
        <v>0</v>
      </c>
      <c r="CM49" s="110">
        <f t="shared" si="282"/>
        <v>0</v>
      </c>
      <c r="CN49" s="110">
        <f t="shared" si="283"/>
        <v>0</v>
      </c>
      <c r="CO49" s="110">
        <f t="shared" si="284"/>
        <v>0</v>
      </c>
      <c r="CP49" s="110">
        <f t="shared" si="285"/>
        <v>0</v>
      </c>
      <c r="CQ49" s="110">
        <f t="shared" si="286"/>
        <v>0</v>
      </c>
      <c r="CR49" s="110">
        <f t="shared" si="287"/>
        <v>0</v>
      </c>
      <c r="CS49" s="110">
        <f t="shared" si="288"/>
        <v>0</v>
      </c>
      <c r="CU49" s="111"/>
      <c r="CV49" s="110">
        <f t="shared" si="289"/>
        <v>-0.65999999999999659</v>
      </c>
      <c r="CW49" s="110">
        <f t="shared" si="290"/>
        <v>0</v>
      </c>
      <c r="CX49" s="110">
        <f t="shared" si="291"/>
        <v>-11.099999999999994</v>
      </c>
      <c r="CY49" s="110">
        <f t="shared" si="292"/>
        <v>0</v>
      </c>
      <c r="CZ49" s="110">
        <f t="shared" si="293"/>
        <v>0</v>
      </c>
      <c r="DA49" s="110">
        <f t="shared" si="294"/>
        <v>0</v>
      </c>
      <c r="DB49" s="110">
        <f t="shared" si="295"/>
        <v>0</v>
      </c>
      <c r="DC49" s="110">
        <f t="shared" si="296"/>
        <v>0</v>
      </c>
      <c r="DD49" s="110">
        <f t="shared" si="297"/>
        <v>0</v>
      </c>
      <c r="DE49" s="110">
        <f t="shared" si="298"/>
        <v>0</v>
      </c>
      <c r="DF49" s="110">
        <f t="shared" si="299"/>
        <v>0</v>
      </c>
      <c r="DG49" s="110">
        <f t="shared" si="300"/>
        <v>0</v>
      </c>
      <c r="DI49" s="111"/>
      <c r="DJ49" s="110">
        <f t="shared" si="301"/>
        <v>0</v>
      </c>
      <c r="DK49" s="110">
        <f t="shared" si="302"/>
        <v>4.9399999999999977</v>
      </c>
      <c r="DL49" s="110">
        <f t="shared" si="303"/>
        <v>0</v>
      </c>
      <c r="DM49" s="110">
        <f t="shared" si="304"/>
        <v>0</v>
      </c>
      <c r="DN49" s="110">
        <f t="shared" si="305"/>
        <v>0</v>
      </c>
      <c r="DO49" s="110">
        <f t="shared" si="306"/>
        <v>0</v>
      </c>
      <c r="DP49" s="110">
        <f t="shared" si="307"/>
        <v>0</v>
      </c>
      <c r="DQ49" s="110">
        <f t="shared" si="308"/>
        <v>0</v>
      </c>
      <c r="DR49" s="110">
        <f t="shared" si="309"/>
        <v>7.6699999999999875</v>
      </c>
      <c r="DS49" s="110">
        <f t="shared" si="310"/>
        <v>0</v>
      </c>
      <c r="DT49" s="110">
        <f t="shared" si="311"/>
        <v>0</v>
      </c>
      <c r="DU49" s="110">
        <f t="shared" si="312"/>
        <v>0</v>
      </c>
      <c r="DW49" s="111"/>
      <c r="DX49" s="110">
        <f t="shared" si="313"/>
        <v>0</v>
      </c>
      <c r="DY49" s="110">
        <f t="shared" si="314"/>
        <v>0</v>
      </c>
      <c r="DZ49" s="110">
        <f t="shared" si="315"/>
        <v>0</v>
      </c>
      <c r="EA49" s="110">
        <f t="shared" si="316"/>
        <v>0</v>
      </c>
      <c r="EB49" s="110">
        <f t="shared" si="317"/>
        <v>0</v>
      </c>
      <c r="EC49" s="110">
        <f t="shared" si="318"/>
        <v>0</v>
      </c>
      <c r="ED49" s="110">
        <f t="shared" si="319"/>
        <v>0</v>
      </c>
      <c r="EE49" s="110">
        <f t="shared" si="320"/>
        <v>0</v>
      </c>
      <c r="EF49" s="110">
        <f t="shared" si="321"/>
        <v>0</v>
      </c>
      <c r="EG49" s="110">
        <f t="shared" si="322"/>
        <v>0</v>
      </c>
      <c r="EH49" s="110">
        <f t="shared" si="323"/>
        <v>0</v>
      </c>
      <c r="EI49" s="110">
        <f t="shared" si="324"/>
        <v>0</v>
      </c>
      <c r="EK49" s="111"/>
      <c r="EL49" s="110">
        <f t="shared" si="325"/>
        <v>-6.8199999999999932</v>
      </c>
      <c r="EM49" s="110">
        <f t="shared" si="326"/>
        <v>0</v>
      </c>
      <c r="EN49" s="110">
        <f t="shared" si="327"/>
        <v>7.6699999999999875</v>
      </c>
      <c r="EP49" s="109" cm="1">
        <f t="array" ref="EP49">+IFERROR(INDEX($C$3:$AM$3,MATCH(TRUE,INDEX($C49:$AM49&lt;&gt;0,0),0)),"N/A")</f>
        <v>44926</v>
      </c>
      <c r="EQ49" s="112"/>
      <c r="ER49" s="1" t="str" cm="1">
        <f t="array" ref="ER49">+_xlfn.IFS(EW49&lt;&gt;0,EW$2,FB49&lt;&gt;0,FB$2,FG49&lt;&gt;0,FG$2,FL49&lt;&gt;0,FL$2,TRUE,"")</f>
        <v>Downsell</v>
      </c>
      <c r="ES49" s="1" t="str" cm="1">
        <f t="array" ref="ES49">+_xlfn.IFS(EX49&lt;&gt;0,EX$2,FC49&lt;&gt;0,FC$2,FH49&lt;&gt;0,FH$2,FM49&lt;&gt;0,FM$2,TRUE,"")</f>
        <v/>
      </c>
      <c r="ET49" s="1" t="str" cm="1">
        <f t="array" ref="ET49">+_xlfn.IFS(EY49&lt;&gt;0,EY$2,FD49&lt;&gt;0,FD$2,FI49&lt;&gt;0,FI$2,FN49&lt;&gt;0,FN$2,TRUE,"")</f>
        <v>Upsell</v>
      </c>
      <c r="EV49" s="111"/>
      <c r="EW49" s="110">
        <f t="shared" si="328"/>
        <v>0</v>
      </c>
      <c r="EX49" s="110">
        <f t="shared" si="329"/>
        <v>0</v>
      </c>
      <c r="EY49" s="110">
        <f t="shared" si="330"/>
        <v>0</v>
      </c>
      <c r="FA49" s="111"/>
      <c r="FB49" s="110">
        <f t="shared" si="331"/>
        <v>0</v>
      </c>
      <c r="FC49" s="110">
        <f t="shared" si="332"/>
        <v>0</v>
      </c>
      <c r="FD49" s="110">
        <f t="shared" si="333"/>
        <v>0</v>
      </c>
      <c r="FF49" s="111"/>
      <c r="FG49" s="110">
        <f t="shared" si="334"/>
        <v>-6.8199999999999932</v>
      </c>
      <c r="FH49" s="110">
        <f t="shared" si="335"/>
        <v>0</v>
      </c>
      <c r="FI49" s="110">
        <f t="shared" si="336"/>
        <v>0</v>
      </c>
      <c r="FK49" s="111"/>
      <c r="FL49" s="110">
        <f t="shared" si="337"/>
        <v>0</v>
      </c>
      <c r="FM49" s="110">
        <f t="shared" si="338"/>
        <v>0</v>
      </c>
      <c r="FN49" s="110">
        <f t="shared" si="339"/>
        <v>7.6699999999999875</v>
      </c>
      <c r="FP49" s="111"/>
      <c r="FQ49" s="110">
        <f t="shared" si="340"/>
        <v>0</v>
      </c>
      <c r="FR49" s="110">
        <f t="shared" si="341"/>
        <v>0</v>
      </c>
      <c r="FS49" s="110">
        <f t="shared" si="342"/>
        <v>0</v>
      </c>
      <c r="FU49" s="111">
        <f t="shared" si="343"/>
        <v>-6.8199999999999932</v>
      </c>
      <c r="FV49" s="110">
        <f t="shared" si="344"/>
        <v>-6.8199999999999932</v>
      </c>
      <c r="FW49" s="110">
        <f t="shared" si="345"/>
        <v>-10.900000000000006</v>
      </c>
      <c r="FX49" s="110">
        <f t="shared" si="346"/>
        <v>-6.1599999999999966</v>
      </c>
      <c r="FY49" s="110">
        <f t="shared" si="347"/>
        <v>-14.900000000000006</v>
      </c>
      <c r="FZ49" s="110">
        <f t="shared" si="348"/>
        <v>-15.319999999999993</v>
      </c>
      <c r="GA49" s="110">
        <f t="shared" si="349"/>
        <v>-11.099999999999994</v>
      </c>
      <c r="GB49" s="110">
        <f t="shared" si="350"/>
        <v>0</v>
      </c>
      <c r="GC49" s="110">
        <f t="shared" si="351"/>
        <v>0</v>
      </c>
      <c r="GD49" s="110">
        <f t="shared" si="352"/>
        <v>0</v>
      </c>
      <c r="GE49" s="110">
        <f t="shared" si="353"/>
        <v>0</v>
      </c>
      <c r="GF49" s="110">
        <f t="shared" si="354"/>
        <v>0</v>
      </c>
      <c r="GG49" s="110">
        <f t="shared" si="355"/>
        <v>0</v>
      </c>
      <c r="GH49" s="110">
        <f t="shared" si="356"/>
        <v>0</v>
      </c>
      <c r="GI49" s="110">
        <f t="shared" si="357"/>
        <v>0</v>
      </c>
      <c r="GJ49" s="110">
        <f t="shared" si="358"/>
        <v>7.6699999999999875</v>
      </c>
      <c r="GK49" s="110">
        <f t="shared" si="359"/>
        <v>7.6699999999999875</v>
      </c>
      <c r="GL49" s="110">
        <f t="shared" si="360"/>
        <v>7.6699999999999875</v>
      </c>
      <c r="GM49" s="110">
        <f t="shared" si="361"/>
        <v>7.6699999999999875</v>
      </c>
      <c r="GN49" s="110">
        <f t="shared" si="362"/>
        <v>7.6699999999999875</v>
      </c>
      <c r="GO49" s="110">
        <f t="shared" si="363"/>
        <v>7.6699999999999875</v>
      </c>
      <c r="GP49" s="110">
        <f t="shared" si="364"/>
        <v>7.6699999999999875</v>
      </c>
      <c r="GQ49" s="110">
        <f t="shared" si="365"/>
        <v>7.6699999999999875</v>
      </c>
      <c r="GR49" s="110">
        <f t="shared" si="366"/>
        <v>7.6699999999999875</v>
      </c>
      <c r="GS49" s="110">
        <f t="shared" si="367"/>
        <v>7.6699999999999875</v>
      </c>
      <c r="GU49" s="109" cm="1">
        <f t="array" ref="GU49">+IFERROR(INDEX($C$3:$AM$3,MATCH(TRUE,INDEX($C49:$AM49&lt;&gt;0,0),0)),"N/A")</f>
        <v>44926</v>
      </c>
      <c r="GV49" s="112" t="str" cm="1">
        <f t="array" ref="GV49">+_xlfn.IFS(HV49&lt;&gt;0,HV$2,IV49&lt;&gt;0,IV$2,JV49&lt;&gt;0,JV$2,KV49&lt;&gt;0,KV$2,TRUE,"")</f>
        <v>Downsell</v>
      </c>
      <c r="GW49" s="1" t="str" cm="1">
        <f t="array" ref="GW49">+_xlfn.IFS(HW49&lt;&gt;0,HW$2,IW49&lt;&gt;0,IW$2,JW49&lt;&gt;0,JW$2,KW49&lt;&gt;0,KW$2,TRUE,"")</f>
        <v>Downsell</v>
      </c>
      <c r="GX49" s="1" t="str" cm="1">
        <f t="array" ref="GX49">+_xlfn.IFS(HX49&lt;&gt;0,HX$2,IX49&lt;&gt;0,IX$2,JX49&lt;&gt;0,JX$2,KX49&lt;&gt;0,KX$2,TRUE,"")</f>
        <v>Downsell</v>
      </c>
      <c r="GY49" s="1" t="str" cm="1">
        <f t="array" ref="GY49">+_xlfn.IFS(HY49&lt;&gt;0,HY$2,IY49&lt;&gt;0,IY$2,JY49&lt;&gt;0,JY$2,KY49&lt;&gt;0,KY$2,TRUE,"")</f>
        <v>Downsell</v>
      </c>
      <c r="GZ49" s="1" t="str" cm="1">
        <f t="array" ref="GZ49">+_xlfn.IFS(HZ49&lt;&gt;0,HZ$2,IZ49&lt;&gt;0,IZ$2,JZ49&lt;&gt;0,JZ$2,KZ49&lt;&gt;0,KZ$2,TRUE,"")</f>
        <v>Downsell</v>
      </c>
      <c r="HA49" s="1" t="str" cm="1">
        <f t="array" ref="HA49">+_xlfn.IFS(IA49&lt;&gt;0,IA$2,JA49&lt;&gt;0,JA$2,KA49&lt;&gt;0,KA$2,LA49&lt;&gt;0,LA$2,TRUE,"")</f>
        <v>Downsell</v>
      </c>
      <c r="HB49" s="1" t="str" cm="1">
        <f t="array" ref="HB49">+_xlfn.IFS(IB49&lt;&gt;0,IB$2,JB49&lt;&gt;0,JB$2,KB49&lt;&gt;0,KB$2,LB49&lt;&gt;0,LB$2,TRUE,"")</f>
        <v>Downsell</v>
      </c>
      <c r="HC49" s="1" t="str" cm="1">
        <f t="array" ref="HC49">+_xlfn.IFS(IC49&lt;&gt;0,IC$2,JC49&lt;&gt;0,JC$2,KC49&lt;&gt;0,KC$2,LC49&lt;&gt;0,LC$2,TRUE,"")</f>
        <v/>
      </c>
      <c r="HD49" s="1" t="str" cm="1">
        <f t="array" ref="HD49">+_xlfn.IFS(ID49&lt;&gt;0,ID$2,JD49&lt;&gt;0,JD$2,KD49&lt;&gt;0,KD$2,LD49&lt;&gt;0,LD$2,TRUE,"")</f>
        <v/>
      </c>
      <c r="HE49" s="1" t="str" cm="1">
        <f t="array" ref="HE49">+_xlfn.IFS(IE49&lt;&gt;0,IE$2,JE49&lt;&gt;0,JE$2,KE49&lt;&gt;0,KE$2,LE49&lt;&gt;0,LE$2,TRUE,"")</f>
        <v/>
      </c>
      <c r="HF49" s="1" t="str" cm="1">
        <f t="array" ref="HF49">+_xlfn.IFS(IF49&lt;&gt;0,IF$2,JF49&lt;&gt;0,JF$2,KF49&lt;&gt;0,KF$2,LF49&lt;&gt;0,LF$2,TRUE,"")</f>
        <v/>
      </c>
      <c r="HG49" s="1" t="str" cm="1">
        <f t="array" ref="HG49">+_xlfn.IFS(IG49&lt;&gt;0,IG$2,JG49&lt;&gt;0,JG$2,KG49&lt;&gt;0,KG$2,LG49&lt;&gt;0,LG$2,TRUE,"")</f>
        <v/>
      </c>
      <c r="HH49" s="1" t="str" cm="1">
        <f t="array" ref="HH49">+_xlfn.IFS(IH49&lt;&gt;0,IH$2,JH49&lt;&gt;0,JH$2,KH49&lt;&gt;0,KH$2,LH49&lt;&gt;0,LH$2,TRUE,"")</f>
        <v/>
      </c>
      <c r="HI49" s="1" t="str" cm="1">
        <f t="array" ref="HI49">+_xlfn.IFS(II49&lt;&gt;0,II$2,JI49&lt;&gt;0,JI$2,KI49&lt;&gt;0,KI$2,LI49&lt;&gt;0,LI$2,TRUE,"")</f>
        <v/>
      </c>
      <c r="HJ49" s="1" t="str" cm="1">
        <f t="array" ref="HJ49">+_xlfn.IFS(IJ49&lt;&gt;0,IJ$2,JJ49&lt;&gt;0,JJ$2,KJ49&lt;&gt;0,KJ$2,LJ49&lt;&gt;0,LJ$2,TRUE,"")</f>
        <v/>
      </c>
      <c r="HK49" s="1" t="str" cm="1">
        <f t="array" ref="HK49">+_xlfn.IFS(IK49&lt;&gt;0,IK$2,JK49&lt;&gt;0,JK$2,KK49&lt;&gt;0,KK$2,LK49&lt;&gt;0,LK$2,TRUE,"")</f>
        <v>Upsell</v>
      </c>
      <c r="HL49" s="1" t="str" cm="1">
        <f t="array" ref="HL49">+_xlfn.IFS(IL49&lt;&gt;0,IL$2,JL49&lt;&gt;0,JL$2,KL49&lt;&gt;0,KL$2,LL49&lt;&gt;0,LL$2,TRUE,"")</f>
        <v>Upsell</v>
      </c>
      <c r="HM49" s="1" t="str" cm="1">
        <f t="array" ref="HM49">+_xlfn.IFS(IM49&lt;&gt;0,IM$2,JM49&lt;&gt;0,JM$2,KM49&lt;&gt;0,KM$2,LM49&lt;&gt;0,LM$2,TRUE,"")</f>
        <v>Upsell</v>
      </c>
      <c r="HN49" s="1" t="str" cm="1">
        <f t="array" ref="HN49">+_xlfn.IFS(IN49&lt;&gt;0,IN$2,JN49&lt;&gt;0,JN$2,KN49&lt;&gt;0,KN$2,LN49&lt;&gt;0,LN$2,TRUE,"")</f>
        <v>Upsell</v>
      </c>
      <c r="HO49" s="1" t="str" cm="1">
        <f t="array" ref="HO49">+_xlfn.IFS(IO49&lt;&gt;0,IO$2,JO49&lt;&gt;0,JO$2,KO49&lt;&gt;0,KO$2,LO49&lt;&gt;0,LO$2,TRUE,"")</f>
        <v>Upsell</v>
      </c>
      <c r="HP49" s="1" t="str" cm="1">
        <f t="array" ref="HP49">+_xlfn.IFS(IP49&lt;&gt;0,IP$2,JP49&lt;&gt;0,JP$2,KP49&lt;&gt;0,KP$2,LP49&lt;&gt;0,LP$2,TRUE,"")</f>
        <v>Upsell</v>
      </c>
      <c r="HQ49" s="1" t="str" cm="1">
        <f t="array" ref="HQ49">+_xlfn.IFS(IQ49&lt;&gt;0,IQ$2,JQ49&lt;&gt;0,JQ$2,KQ49&lt;&gt;0,KQ$2,LQ49&lt;&gt;0,LQ$2,TRUE,"")</f>
        <v>Upsell</v>
      </c>
      <c r="HR49" s="1" t="str" cm="1">
        <f t="array" ref="HR49">+_xlfn.IFS(IR49&lt;&gt;0,IR$2,JR49&lt;&gt;0,JR$2,KR49&lt;&gt;0,KR$2,LR49&lt;&gt;0,LR$2,TRUE,"")</f>
        <v>Upsell</v>
      </c>
      <c r="HS49" s="1" t="str" cm="1">
        <f t="array" ref="HS49">+_xlfn.IFS(IS49&lt;&gt;0,IS$2,JS49&lt;&gt;0,JS$2,KS49&lt;&gt;0,KS$2,LS49&lt;&gt;0,LS$2,TRUE,"")</f>
        <v>Upsell</v>
      </c>
      <c r="HT49" s="1" t="str" cm="1">
        <f t="array" ref="HT49">+_xlfn.IFS(IT49&lt;&gt;0,IT$2,JT49&lt;&gt;0,JT$2,KT49&lt;&gt;0,KT$2,LT49&lt;&gt;0,LT$2,TRUE,"")</f>
        <v>Upsell</v>
      </c>
      <c r="HV49" s="111">
        <f t="shared" si="368"/>
        <v>0</v>
      </c>
      <c r="HW49" s="110">
        <f t="shared" si="369"/>
        <v>0</v>
      </c>
      <c r="HX49" s="110">
        <f t="shared" si="370"/>
        <v>0</v>
      </c>
      <c r="HY49" s="110">
        <f t="shared" si="371"/>
        <v>0</v>
      </c>
      <c r="HZ49" s="110">
        <f t="shared" si="372"/>
        <v>0</v>
      </c>
      <c r="IA49" s="110">
        <f t="shared" si="373"/>
        <v>0</v>
      </c>
      <c r="IB49" s="110">
        <f t="shared" si="374"/>
        <v>0</v>
      </c>
      <c r="IC49" s="110">
        <f t="shared" si="375"/>
        <v>0</v>
      </c>
      <c r="ID49" s="110">
        <f t="shared" si="376"/>
        <v>0</v>
      </c>
      <c r="IE49" s="110">
        <f t="shared" si="377"/>
        <v>0</v>
      </c>
      <c r="IF49" s="110">
        <f t="shared" si="378"/>
        <v>0</v>
      </c>
      <c r="IG49" s="110">
        <f t="shared" si="379"/>
        <v>0</v>
      </c>
      <c r="IH49" s="110">
        <f t="shared" si="380"/>
        <v>0</v>
      </c>
      <c r="II49" s="110">
        <f t="shared" si="381"/>
        <v>0</v>
      </c>
      <c r="IJ49" s="110">
        <f t="shared" si="382"/>
        <v>0</v>
      </c>
      <c r="IK49" s="110">
        <f t="shared" si="383"/>
        <v>0</v>
      </c>
      <c r="IL49" s="110">
        <f t="shared" si="384"/>
        <v>0</v>
      </c>
      <c r="IM49" s="110">
        <f t="shared" si="385"/>
        <v>0</v>
      </c>
      <c r="IN49" s="110">
        <f t="shared" si="386"/>
        <v>0</v>
      </c>
      <c r="IO49" s="110">
        <f t="shared" si="387"/>
        <v>0</v>
      </c>
      <c r="IP49" s="110">
        <f t="shared" si="388"/>
        <v>0</v>
      </c>
      <c r="IQ49" s="110">
        <f t="shared" si="389"/>
        <v>0</v>
      </c>
      <c r="IR49" s="110">
        <f t="shared" si="390"/>
        <v>0</v>
      </c>
      <c r="IS49" s="110">
        <f t="shared" si="391"/>
        <v>0</v>
      </c>
      <c r="IT49" s="110">
        <f t="shared" si="392"/>
        <v>0</v>
      </c>
      <c r="IV49" s="111">
        <f t="shared" si="393"/>
        <v>0</v>
      </c>
      <c r="IW49" s="110">
        <f t="shared" si="394"/>
        <v>0</v>
      </c>
      <c r="IX49" s="110">
        <f t="shared" si="395"/>
        <v>0</v>
      </c>
      <c r="IY49" s="110">
        <f t="shared" si="396"/>
        <v>0</v>
      </c>
      <c r="IZ49" s="110">
        <f t="shared" si="397"/>
        <v>0</v>
      </c>
      <c r="JA49" s="110">
        <f t="shared" si="398"/>
        <v>0</v>
      </c>
      <c r="JB49" s="110">
        <f t="shared" si="399"/>
        <v>0</v>
      </c>
      <c r="JC49" s="110">
        <f t="shared" si="400"/>
        <v>0</v>
      </c>
      <c r="JD49" s="110">
        <f t="shared" si="401"/>
        <v>0</v>
      </c>
      <c r="JE49" s="110">
        <f t="shared" si="402"/>
        <v>0</v>
      </c>
      <c r="JF49" s="110">
        <f t="shared" si="403"/>
        <v>0</v>
      </c>
      <c r="JG49" s="110">
        <f t="shared" si="404"/>
        <v>0</v>
      </c>
      <c r="JH49" s="110">
        <f t="shared" si="405"/>
        <v>0</v>
      </c>
      <c r="JI49" s="110">
        <f t="shared" si="406"/>
        <v>0</v>
      </c>
      <c r="JJ49" s="110">
        <f t="shared" si="407"/>
        <v>0</v>
      </c>
      <c r="JK49" s="110">
        <f t="shared" si="408"/>
        <v>0</v>
      </c>
      <c r="JL49" s="110">
        <f t="shared" si="409"/>
        <v>0</v>
      </c>
      <c r="JM49" s="110">
        <f t="shared" si="410"/>
        <v>0</v>
      </c>
      <c r="JN49" s="110">
        <f t="shared" si="411"/>
        <v>0</v>
      </c>
      <c r="JO49" s="110">
        <f t="shared" si="412"/>
        <v>0</v>
      </c>
      <c r="JP49" s="110">
        <f t="shared" si="413"/>
        <v>0</v>
      </c>
      <c r="JQ49" s="110">
        <f t="shared" si="414"/>
        <v>0</v>
      </c>
      <c r="JR49" s="110">
        <f t="shared" si="415"/>
        <v>0</v>
      </c>
      <c r="JS49" s="110">
        <f t="shared" si="416"/>
        <v>0</v>
      </c>
      <c r="JT49" s="110">
        <f t="shared" si="417"/>
        <v>0</v>
      </c>
      <c r="JV49" s="111">
        <f t="shared" si="418"/>
        <v>-6.8199999999999932</v>
      </c>
      <c r="JW49" s="110">
        <f t="shared" si="419"/>
        <v>-6.8199999999999932</v>
      </c>
      <c r="JX49" s="110">
        <f t="shared" si="420"/>
        <v>-10.900000000000006</v>
      </c>
      <c r="JY49" s="110">
        <f t="shared" si="421"/>
        <v>-6.1599999999999966</v>
      </c>
      <c r="JZ49" s="110">
        <f t="shared" si="422"/>
        <v>-14.900000000000006</v>
      </c>
      <c r="KA49" s="110">
        <f t="shared" si="423"/>
        <v>-15.319999999999993</v>
      </c>
      <c r="KB49" s="110">
        <f t="shared" si="424"/>
        <v>-11.099999999999994</v>
      </c>
      <c r="KC49" s="110">
        <f t="shared" si="425"/>
        <v>0</v>
      </c>
      <c r="KD49" s="110">
        <f t="shared" si="426"/>
        <v>0</v>
      </c>
      <c r="KE49" s="110">
        <f t="shared" si="427"/>
        <v>0</v>
      </c>
      <c r="KF49" s="110">
        <f t="shared" si="428"/>
        <v>0</v>
      </c>
      <c r="KG49" s="110">
        <f t="shared" si="429"/>
        <v>0</v>
      </c>
      <c r="KH49" s="110">
        <f t="shared" si="430"/>
        <v>0</v>
      </c>
      <c r="KI49" s="110">
        <f t="shared" si="431"/>
        <v>0</v>
      </c>
      <c r="KJ49" s="110">
        <f t="shared" si="432"/>
        <v>0</v>
      </c>
      <c r="KK49" s="110">
        <f t="shared" si="433"/>
        <v>0</v>
      </c>
      <c r="KL49" s="110">
        <f t="shared" si="434"/>
        <v>0</v>
      </c>
      <c r="KM49" s="110">
        <f t="shared" si="435"/>
        <v>0</v>
      </c>
      <c r="KN49" s="110">
        <f t="shared" si="436"/>
        <v>0</v>
      </c>
      <c r="KO49" s="110">
        <f t="shared" si="437"/>
        <v>0</v>
      </c>
      <c r="KP49" s="110">
        <f t="shared" si="438"/>
        <v>0</v>
      </c>
      <c r="KQ49" s="110">
        <f t="shared" si="439"/>
        <v>0</v>
      </c>
      <c r="KR49" s="110">
        <f t="shared" si="440"/>
        <v>0</v>
      </c>
      <c r="KS49" s="110">
        <f t="shared" si="441"/>
        <v>0</v>
      </c>
      <c r="KT49" s="110">
        <f t="shared" si="442"/>
        <v>0</v>
      </c>
      <c r="KV49" s="111">
        <f t="shared" si="443"/>
        <v>0</v>
      </c>
      <c r="KW49" s="110">
        <f t="shared" si="444"/>
        <v>0</v>
      </c>
      <c r="KX49" s="110">
        <f t="shared" si="445"/>
        <v>0</v>
      </c>
      <c r="KY49" s="110">
        <f t="shared" si="446"/>
        <v>0</v>
      </c>
      <c r="KZ49" s="110">
        <f t="shared" si="447"/>
        <v>0</v>
      </c>
      <c r="LA49" s="110">
        <f t="shared" si="448"/>
        <v>0</v>
      </c>
      <c r="LB49" s="110">
        <f t="shared" si="449"/>
        <v>0</v>
      </c>
      <c r="LC49" s="110">
        <f t="shared" si="450"/>
        <v>0</v>
      </c>
      <c r="LD49" s="110">
        <f t="shared" si="451"/>
        <v>0</v>
      </c>
      <c r="LE49" s="110">
        <f t="shared" si="452"/>
        <v>0</v>
      </c>
      <c r="LF49" s="110">
        <f t="shared" si="453"/>
        <v>0</v>
      </c>
      <c r="LG49" s="110">
        <f t="shared" si="454"/>
        <v>0</v>
      </c>
      <c r="LH49" s="110">
        <f t="shared" si="455"/>
        <v>0</v>
      </c>
      <c r="LI49" s="110">
        <f t="shared" si="456"/>
        <v>0</v>
      </c>
      <c r="LJ49" s="110">
        <f t="shared" si="457"/>
        <v>0</v>
      </c>
      <c r="LK49" s="110">
        <f t="shared" si="458"/>
        <v>7.6699999999999875</v>
      </c>
      <c r="LL49" s="110">
        <f t="shared" si="459"/>
        <v>7.6699999999999875</v>
      </c>
      <c r="LM49" s="110">
        <f t="shared" si="460"/>
        <v>7.6699999999999875</v>
      </c>
      <c r="LN49" s="110">
        <f t="shared" si="461"/>
        <v>7.6699999999999875</v>
      </c>
      <c r="LO49" s="110">
        <f t="shared" si="462"/>
        <v>7.6699999999999875</v>
      </c>
      <c r="LP49" s="110">
        <f t="shared" si="463"/>
        <v>7.6699999999999875</v>
      </c>
      <c r="LQ49" s="110">
        <f t="shared" si="464"/>
        <v>7.6699999999999875</v>
      </c>
      <c r="LR49" s="110">
        <f t="shared" si="465"/>
        <v>7.6699999999999875</v>
      </c>
      <c r="LS49" s="110">
        <f t="shared" si="466"/>
        <v>7.6699999999999875</v>
      </c>
      <c r="LT49" s="110">
        <f t="shared" si="467"/>
        <v>7.6699999999999875</v>
      </c>
      <c r="LV49" s="111"/>
      <c r="LW49" s="110">
        <f t="shared" si="468"/>
        <v>0</v>
      </c>
      <c r="LX49" s="110">
        <f t="shared" si="469"/>
        <v>0</v>
      </c>
      <c r="LY49" s="110">
        <f t="shared" si="470"/>
        <v>0</v>
      </c>
      <c r="LZ49" s="110">
        <f t="shared" si="471"/>
        <v>0</v>
      </c>
      <c r="MA49" s="110">
        <f t="shared" si="472"/>
        <v>0</v>
      </c>
      <c r="MB49" s="110">
        <f t="shared" si="473"/>
        <v>0</v>
      </c>
      <c r="MC49" s="110">
        <f t="shared" si="474"/>
        <v>0</v>
      </c>
      <c r="MD49" s="110">
        <f t="shared" si="475"/>
        <v>0</v>
      </c>
      <c r="ME49" s="110">
        <f t="shared" si="476"/>
        <v>0</v>
      </c>
      <c r="MF49" s="110">
        <f t="shared" si="477"/>
        <v>0</v>
      </c>
      <c r="MG49" s="110">
        <f t="shared" si="478"/>
        <v>0</v>
      </c>
      <c r="MH49" s="110">
        <f t="shared" si="479"/>
        <v>0</v>
      </c>
      <c r="MI49" s="110">
        <f t="shared" si="480"/>
        <v>0</v>
      </c>
      <c r="MJ49" s="110">
        <f t="shared" si="481"/>
        <v>0</v>
      </c>
      <c r="MK49" s="110">
        <f t="shared" si="482"/>
        <v>0</v>
      </c>
      <c r="ML49" s="110">
        <f t="shared" si="483"/>
        <v>0</v>
      </c>
      <c r="MM49" s="110">
        <f t="shared" si="484"/>
        <v>0</v>
      </c>
      <c r="MN49" s="110">
        <f t="shared" si="485"/>
        <v>0</v>
      </c>
      <c r="MO49" s="110">
        <f t="shared" si="486"/>
        <v>0</v>
      </c>
      <c r="MP49" s="110">
        <f t="shared" si="487"/>
        <v>0</v>
      </c>
      <c r="MQ49" s="110">
        <f t="shared" si="488"/>
        <v>0</v>
      </c>
      <c r="MR49" s="110">
        <f t="shared" si="489"/>
        <v>0</v>
      </c>
      <c r="MS49" s="110">
        <f t="shared" si="490"/>
        <v>0</v>
      </c>
      <c r="MT49" s="110">
        <f t="shared" si="491"/>
        <v>0</v>
      </c>
      <c r="MV49" s="114">
        <v>226.67</v>
      </c>
      <c r="MW49" s="114">
        <v>0</v>
      </c>
      <c r="MX49" s="114">
        <v>7.6699999999999875</v>
      </c>
      <c r="MY49" s="114">
        <v>0</v>
      </c>
      <c r="MZ49" s="114">
        <v>0</v>
      </c>
      <c r="NB49" s="115">
        <v>48</v>
      </c>
      <c r="NC49" s="115" t="str">
        <v>N/A</v>
      </c>
      <c r="ND49" s="115">
        <v>33</v>
      </c>
      <c r="NE49" s="115" t="str">
        <v>N/A</v>
      </c>
      <c r="NF49" s="115" t="str">
        <v>N/A</v>
      </c>
    </row>
    <row r="50" spans="2:370" ht="13.5" x14ac:dyDescent="0.25">
      <c r="B50" s="8">
        <f t="shared" si="252"/>
        <v>47</v>
      </c>
      <c r="C50" s="7">
        <v>169</v>
      </c>
      <c r="D50" s="7">
        <v>169</v>
      </c>
      <c r="E50" s="7">
        <v>169</v>
      </c>
      <c r="F50" s="7">
        <v>169</v>
      </c>
      <c r="G50" s="7">
        <v>169</v>
      </c>
      <c r="H50" s="7">
        <v>169</v>
      </c>
      <c r="I50" s="7">
        <v>169</v>
      </c>
      <c r="J50" s="7">
        <v>169</v>
      </c>
      <c r="K50" s="7">
        <v>169</v>
      </c>
      <c r="L50" s="7">
        <v>169</v>
      </c>
      <c r="M50" s="7">
        <v>169</v>
      </c>
      <c r="N50" s="7">
        <v>169</v>
      </c>
      <c r="O50" s="7">
        <v>169</v>
      </c>
      <c r="P50" s="7">
        <v>169</v>
      </c>
      <c r="Q50" s="7">
        <v>179</v>
      </c>
      <c r="R50" s="7">
        <v>179</v>
      </c>
      <c r="S50" s="7">
        <v>179</v>
      </c>
      <c r="T50" s="7">
        <v>179</v>
      </c>
      <c r="U50" s="7">
        <v>179</v>
      </c>
      <c r="V50" s="7">
        <v>179</v>
      </c>
      <c r="W50" s="7">
        <v>179</v>
      </c>
      <c r="X50" s="7">
        <v>179</v>
      </c>
      <c r="Y50" s="7">
        <v>179</v>
      </c>
      <c r="Z50" s="7">
        <v>179</v>
      </c>
      <c r="AA50" s="7">
        <v>179</v>
      </c>
      <c r="AB50" s="7">
        <v>179</v>
      </c>
      <c r="AC50" s="7">
        <v>179</v>
      </c>
      <c r="AD50" s="7">
        <v>185.27</v>
      </c>
      <c r="AE50" s="7">
        <v>185.27</v>
      </c>
      <c r="AF50" s="7">
        <v>185.27</v>
      </c>
      <c r="AG50" s="7">
        <v>185.27</v>
      </c>
      <c r="AH50" s="7">
        <v>185.27</v>
      </c>
      <c r="AI50" s="7">
        <v>185.27</v>
      </c>
      <c r="AJ50" s="7">
        <v>185.27</v>
      </c>
      <c r="AK50" s="7">
        <v>185.27</v>
      </c>
      <c r="AL50" s="7">
        <v>185.27</v>
      </c>
      <c r="AM50" s="7">
        <v>185.27</v>
      </c>
      <c r="AN50" s="27">
        <v>47</v>
      </c>
      <c r="AP50" s="111"/>
      <c r="AQ50" s="110">
        <f t="shared" si="253"/>
        <v>0</v>
      </c>
      <c r="AR50" s="110">
        <f t="shared" si="254"/>
        <v>0</v>
      </c>
      <c r="AS50" s="110">
        <f t="shared" si="255"/>
        <v>0</v>
      </c>
      <c r="AT50" s="110">
        <f t="shared" si="256"/>
        <v>0</v>
      </c>
      <c r="AU50" s="110">
        <f t="shared" si="257"/>
        <v>10</v>
      </c>
      <c r="AV50" s="110">
        <f t="shared" si="258"/>
        <v>0</v>
      </c>
      <c r="AW50" s="110">
        <f t="shared" si="259"/>
        <v>0</v>
      </c>
      <c r="AX50" s="110">
        <f t="shared" si="260"/>
        <v>0</v>
      </c>
      <c r="AY50" s="110">
        <f t="shared" si="261"/>
        <v>6.2700000000000102</v>
      </c>
      <c r="AZ50" s="110">
        <f t="shared" si="262"/>
        <v>0</v>
      </c>
      <c r="BA50" s="110">
        <f t="shared" si="263"/>
        <v>0</v>
      </c>
      <c r="BB50" s="110">
        <f t="shared" si="264"/>
        <v>0</v>
      </c>
      <c r="BD50" s="109" cm="1">
        <f t="array" ref="BD50">+IFERROR(INDEX($C$3:$AM$3,MATCH(TRUE,INDEX($C50:$AM50&lt;&gt;0,0),0)),"N/A")</f>
        <v>44926</v>
      </c>
      <c r="BE50" s="112"/>
      <c r="BF50" s="1" t="str" cm="1">
        <f t="array" ref="BF50">+_xlfn.IFS(BT50&lt;&gt;0,BT$2,CH50&lt;&gt;0,CH$2,CV50&lt;&gt;0,CV$2,DJ50&lt;&gt;0,DJ$2,TRUE,"")</f>
        <v/>
      </c>
      <c r="BG50" s="1" t="str" cm="1">
        <f t="array" ref="BG50">+_xlfn.IFS(BU50&lt;&gt;0,BU$2,CI50&lt;&gt;0,CI$2,CW50&lt;&gt;0,CW$2,DK50&lt;&gt;0,DK$2,TRUE,"")</f>
        <v/>
      </c>
      <c r="BH50" s="1" t="str" cm="1">
        <f t="array" ref="BH50">+_xlfn.IFS(BV50&lt;&gt;0,BV$2,CJ50&lt;&gt;0,CJ$2,CX50&lt;&gt;0,CX$2,DL50&lt;&gt;0,DL$2,TRUE,"")</f>
        <v/>
      </c>
      <c r="BI50" s="1" t="str" cm="1">
        <f t="array" ref="BI50">+_xlfn.IFS(BW50&lt;&gt;0,BW$2,CK50&lt;&gt;0,CK$2,CY50&lt;&gt;0,CY$2,DM50&lt;&gt;0,DM$2,TRUE,"")</f>
        <v/>
      </c>
      <c r="BJ50" s="1" t="str" cm="1">
        <f t="array" ref="BJ50">+_xlfn.IFS(BX50&lt;&gt;0,BX$2,CL50&lt;&gt;0,CL$2,CZ50&lt;&gt;0,CZ$2,DN50&lt;&gt;0,DN$2,TRUE,"")</f>
        <v>Upsell</v>
      </c>
      <c r="BK50" s="1" t="str" cm="1">
        <f t="array" ref="BK50">+_xlfn.IFS(BY50&lt;&gt;0,BY$2,CM50&lt;&gt;0,CM$2,DA50&lt;&gt;0,DA$2,DO50&lt;&gt;0,DO$2,TRUE,"")</f>
        <v/>
      </c>
      <c r="BL50" s="1" t="str" cm="1">
        <f t="array" ref="BL50">+_xlfn.IFS(BZ50&lt;&gt;0,BZ$2,CN50&lt;&gt;0,CN$2,DB50&lt;&gt;0,DB$2,DP50&lt;&gt;0,DP$2,TRUE,"")</f>
        <v/>
      </c>
      <c r="BM50" s="1" t="str" cm="1">
        <f t="array" ref="BM50">+_xlfn.IFS(CA50&lt;&gt;0,CA$2,CO50&lt;&gt;0,CO$2,DC50&lt;&gt;0,DC$2,DQ50&lt;&gt;0,DQ$2,TRUE,"")</f>
        <v/>
      </c>
      <c r="BN50" s="1" t="str" cm="1">
        <f t="array" ref="BN50">+_xlfn.IFS(CB50&lt;&gt;0,CB$2,CP50&lt;&gt;0,CP$2,DD50&lt;&gt;0,DD$2,DR50&lt;&gt;0,DR$2,TRUE,"")</f>
        <v>Upsell</v>
      </c>
      <c r="BO50" s="1" t="str" cm="1">
        <f t="array" ref="BO50">+_xlfn.IFS(CC50&lt;&gt;0,CC$2,CQ50&lt;&gt;0,CQ$2,DE50&lt;&gt;0,DE$2,DS50&lt;&gt;0,DS$2,TRUE,"")</f>
        <v/>
      </c>
      <c r="BP50" s="1" t="str" cm="1">
        <f t="array" ref="BP50">+_xlfn.IFS(CD50&lt;&gt;0,CD$2,CR50&lt;&gt;0,CR$2,DF50&lt;&gt;0,DF$2,DT50&lt;&gt;0,DT$2,TRUE,"")</f>
        <v/>
      </c>
      <c r="BQ50" s="1" t="str" cm="1">
        <f t="array" ref="BQ50">+_xlfn.IFS(CE50&lt;&gt;0,CE$2,CS50&lt;&gt;0,CS$2,DG50&lt;&gt;0,DG$2,DU50&lt;&gt;0,DU$2,TRUE,"")</f>
        <v/>
      </c>
      <c r="BS50" s="111"/>
      <c r="BT50" s="110">
        <f t="shared" si="265"/>
        <v>0</v>
      </c>
      <c r="BU50" s="110">
        <f t="shared" si="266"/>
        <v>0</v>
      </c>
      <c r="BV50" s="110">
        <f t="shared" si="267"/>
        <v>0</v>
      </c>
      <c r="BW50" s="110">
        <f t="shared" si="268"/>
        <v>0</v>
      </c>
      <c r="BX50" s="110">
        <f t="shared" si="269"/>
        <v>0</v>
      </c>
      <c r="BY50" s="110">
        <f t="shared" si="270"/>
        <v>0</v>
      </c>
      <c r="BZ50" s="110">
        <f t="shared" si="271"/>
        <v>0</v>
      </c>
      <c r="CA50" s="110">
        <f t="shared" si="272"/>
        <v>0</v>
      </c>
      <c r="CB50" s="110">
        <f t="shared" si="273"/>
        <v>0</v>
      </c>
      <c r="CC50" s="110">
        <f t="shared" si="274"/>
        <v>0</v>
      </c>
      <c r="CD50" s="110">
        <f t="shared" si="275"/>
        <v>0</v>
      </c>
      <c r="CE50" s="110">
        <f t="shared" si="276"/>
        <v>0</v>
      </c>
      <c r="CG50" s="111"/>
      <c r="CH50" s="110">
        <f t="shared" si="277"/>
        <v>0</v>
      </c>
      <c r="CI50" s="110">
        <f t="shared" si="278"/>
        <v>0</v>
      </c>
      <c r="CJ50" s="110">
        <f t="shared" si="279"/>
        <v>0</v>
      </c>
      <c r="CK50" s="110">
        <f t="shared" si="280"/>
        <v>0</v>
      </c>
      <c r="CL50" s="110">
        <f t="shared" si="281"/>
        <v>0</v>
      </c>
      <c r="CM50" s="110">
        <f t="shared" si="282"/>
        <v>0</v>
      </c>
      <c r="CN50" s="110">
        <f t="shared" si="283"/>
        <v>0</v>
      </c>
      <c r="CO50" s="110">
        <f t="shared" si="284"/>
        <v>0</v>
      </c>
      <c r="CP50" s="110">
        <f t="shared" si="285"/>
        <v>0</v>
      </c>
      <c r="CQ50" s="110">
        <f t="shared" si="286"/>
        <v>0</v>
      </c>
      <c r="CR50" s="110">
        <f t="shared" si="287"/>
        <v>0</v>
      </c>
      <c r="CS50" s="110">
        <f t="shared" si="288"/>
        <v>0</v>
      </c>
      <c r="CU50" s="111"/>
      <c r="CV50" s="110">
        <f t="shared" si="289"/>
        <v>0</v>
      </c>
      <c r="CW50" s="110">
        <f t="shared" si="290"/>
        <v>0</v>
      </c>
      <c r="CX50" s="110">
        <f t="shared" si="291"/>
        <v>0</v>
      </c>
      <c r="CY50" s="110">
        <f t="shared" si="292"/>
        <v>0</v>
      </c>
      <c r="CZ50" s="110">
        <f t="shared" si="293"/>
        <v>0</v>
      </c>
      <c r="DA50" s="110">
        <f t="shared" si="294"/>
        <v>0</v>
      </c>
      <c r="DB50" s="110">
        <f t="shared" si="295"/>
        <v>0</v>
      </c>
      <c r="DC50" s="110">
        <f t="shared" si="296"/>
        <v>0</v>
      </c>
      <c r="DD50" s="110">
        <f t="shared" si="297"/>
        <v>0</v>
      </c>
      <c r="DE50" s="110">
        <f t="shared" si="298"/>
        <v>0</v>
      </c>
      <c r="DF50" s="110">
        <f t="shared" si="299"/>
        <v>0</v>
      </c>
      <c r="DG50" s="110">
        <f t="shared" si="300"/>
        <v>0</v>
      </c>
      <c r="DI50" s="111"/>
      <c r="DJ50" s="110">
        <f t="shared" si="301"/>
        <v>0</v>
      </c>
      <c r="DK50" s="110">
        <f t="shared" si="302"/>
        <v>0</v>
      </c>
      <c r="DL50" s="110">
        <f t="shared" si="303"/>
        <v>0</v>
      </c>
      <c r="DM50" s="110">
        <f t="shared" si="304"/>
        <v>0</v>
      </c>
      <c r="DN50" s="110">
        <f t="shared" si="305"/>
        <v>10</v>
      </c>
      <c r="DO50" s="110">
        <f t="shared" si="306"/>
        <v>0</v>
      </c>
      <c r="DP50" s="110">
        <f t="shared" si="307"/>
        <v>0</v>
      </c>
      <c r="DQ50" s="110">
        <f t="shared" si="308"/>
        <v>0</v>
      </c>
      <c r="DR50" s="110">
        <f t="shared" si="309"/>
        <v>6.2700000000000102</v>
      </c>
      <c r="DS50" s="110">
        <f t="shared" si="310"/>
        <v>0</v>
      </c>
      <c r="DT50" s="110">
        <f t="shared" si="311"/>
        <v>0</v>
      </c>
      <c r="DU50" s="110">
        <f t="shared" si="312"/>
        <v>0</v>
      </c>
      <c r="DW50" s="111"/>
      <c r="DX50" s="110">
        <f t="shared" si="313"/>
        <v>0</v>
      </c>
      <c r="DY50" s="110">
        <f t="shared" si="314"/>
        <v>0</v>
      </c>
      <c r="DZ50" s="110">
        <f t="shared" si="315"/>
        <v>0</v>
      </c>
      <c r="EA50" s="110">
        <f t="shared" si="316"/>
        <v>0</v>
      </c>
      <c r="EB50" s="110">
        <f t="shared" si="317"/>
        <v>0</v>
      </c>
      <c r="EC50" s="110">
        <f t="shared" si="318"/>
        <v>0</v>
      </c>
      <c r="ED50" s="110">
        <f t="shared" si="319"/>
        <v>0</v>
      </c>
      <c r="EE50" s="110">
        <f t="shared" si="320"/>
        <v>0</v>
      </c>
      <c r="EF50" s="110">
        <f t="shared" si="321"/>
        <v>0</v>
      </c>
      <c r="EG50" s="110">
        <f t="shared" si="322"/>
        <v>0</v>
      </c>
      <c r="EH50" s="110">
        <f t="shared" si="323"/>
        <v>0</v>
      </c>
      <c r="EI50" s="110">
        <f t="shared" si="324"/>
        <v>0</v>
      </c>
      <c r="EK50" s="111"/>
      <c r="EL50" s="110">
        <f t="shared" si="325"/>
        <v>0</v>
      </c>
      <c r="EM50" s="110">
        <f t="shared" si="326"/>
        <v>10</v>
      </c>
      <c r="EN50" s="110">
        <f t="shared" si="327"/>
        <v>6.2700000000000102</v>
      </c>
      <c r="EP50" s="109" cm="1">
        <f t="array" ref="EP50">+IFERROR(INDEX($C$3:$AM$3,MATCH(TRUE,INDEX($C50:$AM50&lt;&gt;0,0),0)),"N/A")</f>
        <v>44926</v>
      </c>
      <c r="EQ50" s="112"/>
      <c r="ER50" s="1" t="str" cm="1">
        <f t="array" ref="ER50">+_xlfn.IFS(EW50&lt;&gt;0,EW$2,FB50&lt;&gt;0,FB$2,FG50&lt;&gt;0,FG$2,FL50&lt;&gt;0,FL$2,TRUE,"")</f>
        <v/>
      </c>
      <c r="ES50" s="1" t="str" cm="1">
        <f t="array" ref="ES50">+_xlfn.IFS(EX50&lt;&gt;0,EX$2,FC50&lt;&gt;0,FC$2,FH50&lt;&gt;0,FH$2,FM50&lt;&gt;0,FM$2,TRUE,"")</f>
        <v>Upsell</v>
      </c>
      <c r="ET50" s="1" t="str" cm="1">
        <f t="array" ref="ET50">+_xlfn.IFS(EY50&lt;&gt;0,EY$2,FD50&lt;&gt;0,FD$2,FI50&lt;&gt;0,FI$2,FN50&lt;&gt;0,FN$2,TRUE,"")</f>
        <v>Upsell</v>
      </c>
      <c r="EV50" s="111"/>
      <c r="EW50" s="110">
        <f t="shared" si="328"/>
        <v>0</v>
      </c>
      <c r="EX50" s="110">
        <f t="shared" si="329"/>
        <v>0</v>
      </c>
      <c r="EY50" s="110">
        <f t="shared" si="330"/>
        <v>0</v>
      </c>
      <c r="FA50" s="111"/>
      <c r="FB50" s="110">
        <f t="shared" si="331"/>
        <v>0</v>
      </c>
      <c r="FC50" s="110">
        <f t="shared" si="332"/>
        <v>0</v>
      </c>
      <c r="FD50" s="110">
        <f t="shared" si="333"/>
        <v>0</v>
      </c>
      <c r="FF50" s="111"/>
      <c r="FG50" s="110">
        <f t="shared" si="334"/>
        <v>0</v>
      </c>
      <c r="FH50" s="110">
        <f t="shared" si="335"/>
        <v>0</v>
      </c>
      <c r="FI50" s="110">
        <f t="shared" si="336"/>
        <v>0</v>
      </c>
      <c r="FK50" s="111"/>
      <c r="FL50" s="110">
        <f t="shared" si="337"/>
        <v>0</v>
      </c>
      <c r="FM50" s="110">
        <f t="shared" si="338"/>
        <v>10</v>
      </c>
      <c r="FN50" s="110">
        <f t="shared" si="339"/>
        <v>6.2700000000000102</v>
      </c>
      <c r="FP50" s="111"/>
      <c r="FQ50" s="110">
        <f t="shared" si="340"/>
        <v>0</v>
      </c>
      <c r="FR50" s="110">
        <f t="shared" si="341"/>
        <v>0</v>
      </c>
      <c r="FS50" s="110">
        <f t="shared" si="342"/>
        <v>0</v>
      </c>
      <c r="FU50" s="111">
        <f t="shared" si="343"/>
        <v>0</v>
      </c>
      <c r="FV50" s="110">
        <f t="shared" si="344"/>
        <v>0</v>
      </c>
      <c r="FW50" s="110">
        <f t="shared" si="345"/>
        <v>10</v>
      </c>
      <c r="FX50" s="110">
        <f t="shared" si="346"/>
        <v>10</v>
      </c>
      <c r="FY50" s="110">
        <f t="shared" si="347"/>
        <v>10</v>
      </c>
      <c r="FZ50" s="110">
        <f t="shared" si="348"/>
        <v>10</v>
      </c>
      <c r="GA50" s="110">
        <f t="shared" si="349"/>
        <v>10</v>
      </c>
      <c r="GB50" s="110">
        <f t="shared" si="350"/>
        <v>10</v>
      </c>
      <c r="GC50" s="110">
        <f t="shared" si="351"/>
        <v>10</v>
      </c>
      <c r="GD50" s="110">
        <f t="shared" si="352"/>
        <v>10</v>
      </c>
      <c r="GE50" s="110">
        <f t="shared" si="353"/>
        <v>10</v>
      </c>
      <c r="GF50" s="110">
        <f t="shared" si="354"/>
        <v>10</v>
      </c>
      <c r="GG50" s="110">
        <f t="shared" si="355"/>
        <v>10</v>
      </c>
      <c r="GH50" s="110">
        <f t="shared" si="356"/>
        <v>10</v>
      </c>
      <c r="GI50" s="110">
        <f t="shared" si="357"/>
        <v>0</v>
      </c>
      <c r="GJ50" s="110">
        <f t="shared" si="358"/>
        <v>6.2700000000000102</v>
      </c>
      <c r="GK50" s="110">
        <f t="shared" si="359"/>
        <v>6.2700000000000102</v>
      </c>
      <c r="GL50" s="110">
        <f t="shared" si="360"/>
        <v>6.2700000000000102</v>
      </c>
      <c r="GM50" s="110">
        <f t="shared" si="361"/>
        <v>6.2700000000000102</v>
      </c>
      <c r="GN50" s="110">
        <f t="shared" si="362"/>
        <v>6.2700000000000102</v>
      </c>
      <c r="GO50" s="110">
        <f t="shared" si="363"/>
        <v>6.2700000000000102</v>
      </c>
      <c r="GP50" s="110">
        <f t="shared" si="364"/>
        <v>6.2700000000000102</v>
      </c>
      <c r="GQ50" s="110">
        <f t="shared" si="365"/>
        <v>6.2700000000000102</v>
      </c>
      <c r="GR50" s="110">
        <f t="shared" si="366"/>
        <v>6.2700000000000102</v>
      </c>
      <c r="GS50" s="110">
        <f t="shared" si="367"/>
        <v>6.2700000000000102</v>
      </c>
      <c r="GU50" s="109" cm="1">
        <f t="array" ref="GU50">+IFERROR(INDEX($C$3:$AM$3,MATCH(TRUE,INDEX($C50:$AM50&lt;&gt;0,0),0)),"N/A")</f>
        <v>44926</v>
      </c>
      <c r="GV50" s="112" t="str" cm="1">
        <f t="array" ref="GV50">+_xlfn.IFS(HV50&lt;&gt;0,HV$2,IV50&lt;&gt;0,IV$2,JV50&lt;&gt;0,JV$2,KV50&lt;&gt;0,KV$2,TRUE,"")</f>
        <v/>
      </c>
      <c r="GW50" s="1" t="str" cm="1">
        <f t="array" ref="GW50">+_xlfn.IFS(HW50&lt;&gt;0,HW$2,IW50&lt;&gt;0,IW$2,JW50&lt;&gt;0,JW$2,KW50&lt;&gt;0,KW$2,TRUE,"")</f>
        <v/>
      </c>
      <c r="GX50" s="1" t="str" cm="1">
        <f t="array" ref="GX50">+_xlfn.IFS(HX50&lt;&gt;0,HX$2,IX50&lt;&gt;0,IX$2,JX50&lt;&gt;0,JX$2,KX50&lt;&gt;0,KX$2,TRUE,"")</f>
        <v>Upsell</v>
      </c>
      <c r="GY50" s="1" t="str" cm="1">
        <f t="array" ref="GY50">+_xlfn.IFS(HY50&lt;&gt;0,HY$2,IY50&lt;&gt;0,IY$2,JY50&lt;&gt;0,JY$2,KY50&lt;&gt;0,KY$2,TRUE,"")</f>
        <v>Upsell</v>
      </c>
      <c r="GZ50" s="1" t="str" cm="1">
        <f t="array" ref="GZ50">+_xlfn.IFS(HZ50&lt;&gt;0,HZ$2,IZ50&lt;&gt;0,IZ$2,JZ50&lt;&gt;0,JZ$2,KZ50&lt;&gt;0,KZ$2,TRUE,"")</f>
        <v>Upsell</v>
      </c>
      <c r="HA50" s="1" t="str" cm="1">
        <f t="array" ref="HA50">+_xlfn.IFS(IA50&lt;&gt;0,IA$2,JA50&lt;&gt;0,JA$2,KA50&lt;&gt;0,KA$2,LA50&lt;&gt;0,LA$2,TRUE,"")</f>
        <v>Upsell</v>
      </c>
      <c r="HB50" s="1" t="str" cm="1">
        <f t="array" ref="HB50">+_xlfn.IFS(IB50&lt;&gt;0,IB$2,JB50&lt;&gt;0,JB$2,KB50&lt;&gt;0,KB$2,LB50&lt;&gt;0,LB$2,TRUE,"")</f>
        <v>Upsell</v>
      </c>
      <c r="HC50" s="1" t="str" cm="1">
        <f t="array" ref="HC50">+_xlfn.IFS(IC50&lt;&gt;0,IC$2,JC50&lt;&gt;0,JC$2,KC50&lt;&gt;0,KC$2,LC50&lt;&gt;0,LC$2,TRUE,"")</f>
        <v>Upsell</v>
      </c>
      <c r="HD50" s="1" t="str" cm="1">
        <f t="array" ref="HD50">+_xlfn.IFS(ID50&lt;&gt;0,ID$2,JD50&lt;&gt;0,JD$2,KD50&lt;&gt;0,KD$2,LD50&lt;&gt;0,LD$2,TRUE,"")</f>
        <v>Upsell</v>
      </c>
      <c r="HE50" s="1" t="str" cm="1">
        <f t="array" ref="HE50">+_xlfn.IFS(IE50&lt;&gt;0,IE$2,JE50&lt;&gt;0,JE$2,KE50&lt;&gt;0,KE$2,LE50&lt;&gt;0,LE$2,TRUE,"")</f>
        <v>Upsell</v>
      </c>
      <c r="HF50" s="1" t="str" cm="1">
        <f t="array" ref="HF50">+_xlfn.IFS(IF50&lt;&gt;0,IF$2,JF50&lt;&gt;0,JF$2,KF50&lt;&gt;0,KF$2,LF50&lt;&gt;0,LF$2,TRUE,"")</f>
        <v>Upsell</v>
      </c>
      <c r="HG50" s="1" t="str" cm="1">
        <f t="array" ref="HG50">+_xlfn.IFS(IG50&lt;&gt;0,IG$2,JG50&lt;&gt;0,JG$2,KG50&lt;&gt;0,KG$2,LG50&lt;&gt;0,LG$2,TRUE,"")</f>
        <v>Upsell</v>
      </c>
      <c r="HH50" s="1" t="str" cm="1">
        <f t="array" ref="HH50">+_xlfn.IFS(IH50&lt;&gt;0,IH$2,JH50&lt;&gt;0,JH$2,KH50&lt;&gt;0,KH$2,LH50&lt;&gt;0,LH$2,TRUE,"")</f>
        <v>Upsell</v>
      </c>
      <c r="HI50" s="1" t="str" cm="1">
        <f t="array" ref="HI50">+_xlfn.IFS(II50&lt;&gt;0,II$2,JI50&lt;&gt;0,JI$2,KI50&lt;&gt;0,KI$2,LI50&lt;&gt;0,LI$2,TRUE,"")</f>
        <v>Upsell</v>
      </c>
      <c r="HJ50" s="1" t="str" cm="1">
        <f t="array" ref="HJ50">+_xlfn.IFS(IJ50&lt;&gt;0,IJ$2,JJ50&lt;&gt;0,JJ$2,KJ50&lt;&gt;0,KJ$2,LJ50&lt;&gt;0,LJ$2,TRUE,"")</f>
        <v/>
      </c>
      <c r="HK50" s="1" t="str" cm="1">
        <f t="array" ref="HK50">+_xlfn.IFS(IK50&lt;&gt;0,IK$2,JK50&lt;&gt;0,JK$2,KK50&lt;&gt;0,KK$2,LK50&lt;&gt;0,LK$2,TRUE,"")</f>
        <v>Upsell</v>
      </c>
      <c r="HL50" s="1" t="str" cm="1">
        <f t="array" ref="HL50">+_xlfn.IFS(IL50&lt;&gt;0,IL$2,JL50&lt;&gt;0,JL$2,KL50&lt;&gt;0,KL$2,LL50&lt;&gt;0,LL$2,TRUE,"")</f>
        <v>Upsell</v>
      </c>
      <c r="HM50" s="1" t="str" cm="1">
        <f t="array" ref="HM50">+_xlfn.IFS(IM50&lt;&gt;0,IM$2,JM50&lt;&gt;0,JM$2,KM50&lt;&gt;0,KM$2,LM50&lt;&gt;0,LM$2,TRUE,"")</f>
        <v>Upsell</v>
      </c>
      <c r="HN50" s="1" t="str" cm="1">
        <f t="array" ref="HN50">+_xlfn.IFS(IN50&lt;&gt;0,IN$2,JN50&lt;&gt;0,JN$2,KN50&lt;&gt;0,KN$2,LN50&lt;&gt;0,LN$2,TRUE,"")</f>
        <v>Upsell</v>
      </c>
      <c r="HO50" s="1" t="str" cm="1">
        <f t="array" ref="HO50">+_xlfn.IFS(IO50&lt;&gt;0,IO$2,JO50&lt;&gt;0,JO$2,KO50&lt;&gt;0,KO$2,LO50&lt;&gt;0,LO$2,TRUE,"")</f>
        <v>Upsell</v>
      </c>
      <c r="HP50" s="1" t="str" cm="1">
        <f t="array" ref="HP50">+_xlfn.IFS(IP50&lt;&gt;0,IP$2,JP50&lt;&gt;0,JP$2,KP50&lt;&gt;0,KP$2,LP50&lt;&gt;0,LP$2,TRUE,"")</f>
        <v>Upsell</v>
      </c>
      <c r="HQ50" s="1" t="str" cm="1">
        <f t="array" ref="HQ50">+_xlfn.IFS(IQ50&lt;&gt;0,IQ$2,JQ50&lt;&gt;0,JQ$2,KQ50&lt;&gt;0,KQ$2,LQ50&lt;&gt;0,LQ$2,TRUE,"")</f>
        <v>Upsell</v>
      </c>
      <c r="HR50" s="1" t="str" cm="1">
        <f t="array" ref="HR50">+_xlfn.IFS(IR50&lt;&gt;0,IR$2,JR50&lt;&gt;0,JR$2,KR50&lt;&gt;0,KR$2,LR50&lt;&gt;0,LR$2,TRUE,"")</f>
        <v>Upsell</v>
      </c>
      <c r="HS50" s="1" t="str" cm="1">
        <f t="array" ref="HS50">+_xlfn.IFS(IS50&lt;&gt;0,IS$2,JS50&lt;&gt;0,JS$2,KS50&lt;&gt;0,KS$2,LS50&lt;&gt;0,LS$2,TRUE,"")</f>
        <v>Upsell</v>
      </c>
      <c r="HT50" s="1" t="str" cm="1">
        <f t="array" ref="HT50">+_xlfn.IFS(IT50&lt;&gt;0,IT$2,JT50&lt;&gt;0,JT$2,KT50&lt;&gt;0,KT$2,LT50&lt;&gt;0,LT$2,TRUE,"")</f>
        <v>Upsell</v>
      </c>
      <c r="HV50" s="111">
        <f t="shared" si="368"/>
        <v>0</v>
      </c>
      <c r="HW50" s="110">
        <f t="shared" si="369"/>
        <v>0</v>
      </c>
      <c r="HX50" s="110">
        <f t="shared" si="370"/>
        <v>0</v>
      </c>
      <c r="HY50" s="110">
        <f t="shared" si="371"/>
        <v>0</v>
      </c>
      <c r="HZ50" s="110">
        <f t="shared" si="372"/>
        <v>0</v>
      </c>
      <c r="IA50" s="110">
        <f t="shared" si="373"/>
        <v>0</v>
      </c>
      <c r="IB50" s="110">
        <f t="shared" si="374"/>
        <v>0</v>
      </c>
      <c r="IC50" s="110">
        <f t="shared" si="375"/>
        <v>0</v>
      </c>
      <c r="ID50" s="110">
        <f t="shared" si="376"/>
        <v>0</v>
      </c>
      <c r="IE50" s="110">
        <f t="shared" si="377"/>
        <v>0</v>
      </c>
      <c r="IF50" s="110">
        <f t="shared" si="378"/>
        <v>0</v>
      </c>
      <c r="IG50" s="110">
        <f t="shared" si="379"/>
        <v>0</v>
      </c>
      <c r="IH50" s="110">
        <f t="shared" si="380"/>
        <v>0</v>
      </c>
      <c r="II50" s="110">
        <f t="shared" si="381"/>
        <v>0</v>
      </c>
      <c r="IJ50" s="110">
        <f t="shared" si="382"/>
        <v>0</v>
      </c>
      <c r="IK50" s="110">
        <f t="shared" si="383"/>
        <v>0</v>
      </c>
      <c r="IL50" s="110">
        <f t="shared" si="384"/>
        <v>0</v>
      </c>
      <c r="IM50" s="110">
        <f t="shared" si="385"/>
        <v>0</v>
      </c>
      <c r="IN50" s="110">
        <f t="shared" si="386"/>
        <v>0</v>
      </c>
      <c r="IO50" s="110">
        <f t="shared" si="387"/>
        <v>0</v>
      </c>
      <c r="IP50" s="110">
        <f t="shared" si="388"/>
        <v>0</v>
      </c>
      <c r="IQ50" s="110">
        <f t="shared" si="389"/>
        <v>0</v>
      </c>
      <c r="IR50" s="110">
        <f t="shared" si="390"/>
        <v>0</v>
      </c>
      <c r="IS50" s="110">
        <f t="shared" si="391"/>
        <v>0</v>
      </c>
      <c r="IT50" s="110">
        <f t="shared" si="392"/>
        <v>0</v>
      </c>
      <c r="IV50" s="111">
        <f t="shared" si="393"/>
        <v>0</v>
      </c>
      <c r="IW50" s="110">
        <f t="shared" si="394"/>
        <v>0</v>
      </c>
      <c r="IX50" s="110">
        <f t="shared" si="395"/>
        <v>0</v>
      </c>
      <c r="IY50" s="110">
        <f t="shared" si="396"/>
        <v>0</v>
      </c>
      <c r="IZ50" s="110">
        <f t="shared" si="397"/>
        <v>0</v>
      </c>
      <c r="JA50" s="110">
        <f t="shared" si="398"/>
        <v>0</v>
      </c>
      <c r="JB50" s="110">
        <f t="shared" si="399"/>
        <v>0</v>
      </c>
      <c r="JC50" s="110">
        <f t="shared" si="400"/>
        <v>0</v>
      </c>
      <c r="JD50" s="110">
        <f t="shared" si="401"/>
        <v>0</v>
      </c>
      <c r="JE50" s="110">
        <f t="shared" si="402"/>
        <v>0</v>
      </c>
      <c r="JF50" s="110">
        <f t="shared" si="403"/>
        <v>0</v>
      </c>
      <c r="JG50" s="110">
        <f t="shared" si="404"/>
        <v>0</v>
      </c>
      <c r="JH50" s="110">
        <f t="shared" si="405"/>
        <v>0</v>
      </c>
      <c r="JI50" s="110">
        <f t="shared" si="406"/>
        <v>0</v>
      </c>
      <c r="JJ50" s="110">
        <f t="shared" si="407"/>
        <v>0</v>
      </c>
      <c r="JK50" s="110">
        <f t="shared" si="408"/>
        <v>0</v>
      </c>
      <c r="JL50" s="110">
        <f t="shared" si="409"/>
        <v>0</v>
      </c>
      <c r="JM50" s="110">
        <f t="shared" si="410"/>
        <v>0</v>
      </c>
      <c r="JN50" s="110">
        <f t="shared" si="411"/>
        <v>0</v>
      </c>
      <c r="JO50" s="110">
        <f t="shared" si="412"/>
        <v>0</v>
      </c>
      <c r="JP50" s="110">
        <f t="shared" si="413"/>
        <v>0</v>
      </c>
      <c r="JQ50" s="110">
        <f t="shared" si="414"/>
        <v>0</v>
      </c>
      <c r="JR50" s="110">
        <f t="shared" si="415"/>
        <v>0</v>
      </c>
      <c r="JS50" s="110">
        <f t="shared" si="416"/>
        <v>0</v>
      </c>
      <c r="JT50" s="110">
        <f t="shared" si="417"/>
        <v>0</v>
      </c>
      <c r="JV50" s="111">
        <f t="shared" si="418"/>
        <v>0</v>
      </c>
      <c r="JW50" s="110">
        <f t="shared" si="419"/>
        <v>0</v>
      </c>
      <c r="JX50" s="110">
        <f t="shared" si="420"/>
        <v>0</v>
      </c>
      <c r="JY50" s="110">
        <f t="shared" si="421"/>
        <v>0</v>
      </c>
      <c r="JZ50" s="110">
        <f t="shared" si="422"/>
        <v>0</v>
      </c>
      <c r="KA50" s="110">
        <f t="shared" si="423"/>
        <v>0</v>
      </c>
      <c r="KB50" s="110">
        <f t="shared" si="424"/>
        <v>0</v>
      </c>
      <c r="KC50" s="110">
        <f t="shared" si="425"/>
        <v>0</v>
      </c>
      <c r="KD50" s="110">
        <f t="shared" si="426"/>
        <v>0</v>
      </c>
      <c r="KE50" s="110">
        <f t="shared" si="427"/>
        <v>0</v>
      </c>
      <c r="KF50" s="110">
        <f t="shared" si="428"/>
        <v>0</v>
      </c>
      <c r="KG50" s="110">
        <f t="shared" si="429"/>
        <v>0</v>
      </c>
      <c r="KH50" s="110">
        <f t="shared" si="430"/>
        <v>0</v>
      </c>
      <c r="KI50" s="110">
        <f t="shared" si="431"/>
        <v>0</v>
      </c>
      <c r="KJ50" s="110">
        <f t="shared" si="432"/>
        <v>0</v>
      </c>
      <c r="KK50" s="110">
        <f t="shared" si="433"/>
        <v>0</v>
      </c>
      <c r="KL50" s="110">
        <f t="shared" si="434"/>
        <v>0</v>
      </c>
      <c r="KM50" s="110">
        <f t="shared" si="435"/>
        <v>0</v>
      </c>
      <c r="KN50" s="110">
        <f t="shared" si="436"/>
        <v>0</v>
      </c>
      <c r="KO50" s="110">
        <f t="shared" si="437"/>
        <v>0</v>
      </c>
      <c r="KP50" s="110">
        <f t="shared" si="438"/>
        <v>0</v>
      </c>
      <c r="KQ50" s="110">
        <f t="shared" si="439"/>
        <v>0</v>
      </c>
      <c r="KR50" s="110">
        <f t="shared" si="440"/>
        <v>0</v>
      </c>
      <c r="KS50" s="110">
        <f t="shared" si="441"/>
        <v>0</v>
      </c>
      <c r="KT50" s="110">
        <f t="shared" si="442"/>
        <v>0</v>
      </c>
      <c r="KV50" s="111">
        <f t="shared" si="443"/>
        <v>0</v>
      </c>
      <c r="KW50" s="110">
        <f t="shared" si="444"/>
        <v>0</v>
      </c>
      <c r="KX50" s="110">
        <f t="shared" si="445"/>
        <v>10</v>
      </c>
      <c r="KY50" s="110">
        <f t="shared" si="446"/>
        <v>10</v>
      </c>
      <c r="KZ50" s="110">
        <f t="shared" si="447"/>
        <v>10</v>
      </c>
      <c r="LA50" s="110">
        <f t="shared" si="448"/>
        <v>10</v>
      </c>
      <c r="LB50" s="110">
        <f t="shared" si="449"/>
        <v>10</v>
      </c>
      <c r="LC50" s="110">
        <f t="shared" si="450"/>
        <v>10</v>
      </c>
      <c r="LD50" s="110">
        <f t="shared" si="451"/>
        <v>10</v>
      </c>
      <c r="LE50" s="110">
        <f t="shared" si="452"/>
        <v>10</v>
      </c>
      <c r="LF50" s="110">
        <f t="shared" si="453"/>
        <v>10</v>
      </c>
      <c r="LG50" s="110">
        <f t="shared" si="454"/>
        <v>10</v>
      </c>
      <c r="LH50" s="110">
        <f t="shared" si="455"/>
        <v>10</v>
      </c>
      <c r="LI50" s="110">
        <f t="shared" si="456"/>
        <v>10</v>
      </c>
      <c r="LJ50" s="110">
        <f t="shared" si="457"/>
        <v>0</v>
      </c>
      <c r="LK50" s="110">
        <f t="shared" si="458"/>
        <v>6.2700000000000102</v>
      </c>
      <c r="LL50" s="110">
        <f t="shared" si="459"/>
        <v>6.2700000000000102</v>
      </c>
      <c r="LM50" s="110">
        <f t="shared" si="460"/>
        <v>6.2700000000000102</v>
      </c>
      <c r="LN50" s="110">
        <f t="shared" si="461"/>
        <v>6.2700000000000102</v>
      </c>
      <c r="LO50" s="110">
        <f t="shared" si="462"/>
        <v>6.2700000000000102</v>
      </c>
      <c r="LP50" s="110">
        <f t="shared" si="463"/>
        <v>6.2700000000000102</v>
      </c>
      <c r="LQ50" s="110">
        <f t="shared" si="464"/>
        <v>6.2700000000000102</v>
      </c>
      <c r="LR50" s="110">
        <f t="shared" si="465"/>
        <v>6.2700000000000102</v>
      </c>
      <c r="LS50" s="110">
        <f t="shared" si="466"/>
        <v>6.2700000000000102</v>
      </c>
      <c r="LT50" s="110">
        <f t="shared" si="467"/>
        <v>6.2700000000000102</v>
      </c>
      <c r="LV50" s="111"/>
      <c r="LW50" s="110">
        <f t="shared" si="468"/>
        <v>0</v>
      </c>
      <c r="LX50" s="110">
        <f t="shared" si="469"/>
        <v>0</v>
      </c>
      <c r="LY50" s="110">
        <f t="shared" si="470"/>
        <v>0</v>
      </c>
      <c r="LZ50" s="110">
        <f t="shared" si="471"/>
        <v>0</v>
      </c>
      <c r="MA50" s="110">
        <f t="shared" si="472"/>
        <v>0</v>
      </c>
      <c r="MB50" s="110">
        <f t="shared" si="473"/>
        <v>0</v>
      </c>
      <c r="MC50" s="110">
        <f t="shared" si="474"/>
        <v>0</v>
      </c>
      <c r="MD50" s="110">
        <f t="shared" si="475"/>
        <v>0</v>
      </c>
      <c r="ME50" s="110">
        <f t="shared" si="476"/>
        <v>0</v>
      </c>
      <c r="MF50" s="110">
        <f t="shared" si="477"/>
        <v>0</v>
      </c>
      <c r="MG50" s="110">
        <f t="shared" si="478"/>
        <v>0</v>
      </c>
      <c r="MH50" s="110">
        <f t="shared" si="479"/>
        <v>0</v>
      </c>
      <c r="MI50" s="110">
        <f t="shared" si="480"/>
        <v>0</v>
      </c>
      <c r="MJ50" s="110">
        <f t="shared" si="481"/>
        <v>0</v>
      </c>
      <c r="MK50" s="110">
        <f t="shared" si="482"/>
        <v>0</v>
      </c>
      <c r="ML50" s="110">
        <f t="shared" si="483"/>
        <v>0</v>
      </c>
      <c r="MM50" s="110">
        <f t="shared" si="484"/>
        <v>0</v>
      </c>
      <c r="MN50" s="110">
        <f t="shared" si="485"/>
        <v>0</v>
      </c>
      <c r="MO50" s="110">
        <f t="shared" si="486"/>
        <v>0</v>
      </c>
      <c r="MP50" s="110">
        <f t="shared" si="487"/>
        <v>0</v>
      </c>
      <c r="MQ50" s="110">
        <f t="shared" si="488"/>
        <v>0</v>
      </c>
      <c r="MR50" s="110">
        <f t="shared" si="489"/>
        <v>0</v>
      </c>
      <c r="MS50" s="110">
        <f t="shared" si="490"/>
        <v>0</v>
      </c>
      <c r="MT50" s="110">
        <f t="shared" si="491"/>
        <v>0</v>
      </c>
      <c r="MV50" s="114">
        <v>185.27</v>
      </c>
      <c r="MW50" s="114">
        <v>0</v>
      </c>
      <c r="MX50" s="114">
        <v>6.2700000000000102</v>
      </c>
      <c r="MY50" s="114">
        <v>0</v>
      </c>
      <c r="MZ50" s="114">
        <v>0</v>
      </c>
      <c r="NB50" s="115">
        <v>59</v>
      </c>
      <c r="NC50" s="115" t="str">
        <v>N/A</v>
      </c>
      <c r="ND50" s="115">
        <v>41</v>
      </c>
      <c r="NE50" s="115" t="str">
        <v>N/A</v>
      </c>
      <c r="NF50" s="115" t="str">
        <v>N/A</v>
      </c>
    </row>
    <row r="51" spans="2:370" ht="13.5" x14ac:dyDescent="0.25">
      <c r="B51" s="8">
        <f t="shared" si="252"/>
        <v>48</v>
      </c>
      <c r="C51" s="7">
        <v>199</v>
      </c>
      <c r="D51" s="7">
        <v>199</v>
      </c>
      <c r="E51" s="7">
        <v>199</v>
      </c>
      <c r="F51" s="7">
        <v>199</v>
      </c>
      <c r="G51" s="7">
        <v>199</v>
      </c>
      <c r="H51" s="7">
        <v>199</v>
      </c>
      <c r="I51" s="7">
        <v>199</v>
      </c>
      <c r="J51" s="7">
        <v>169.15</v>
      </c>
      <c r="K51" s="7">
        <v>169.15</v>
      </c>
      <c r="L51" s="7">
        <v>245.65</v>
      </c>
      <c r="M51" s="7">
        <v>245.65</v>
      </c>
      <c r="N51" s="7">
        <v>289</v>
      </c>
      <c r="O51" s="7">
        <v>289</v>
      </c>
      <c r="P51" s="7">
        <v>289</v>
      </c>
      <c r="Q51" s="7">
        <v>289</v>
      </c>
      <c r="R51" s="7">
        <v>289</v>
      </c>
      <c r="S51" s="7">
        <v>289</v>
      </c>
      <c r="T51" s="7">
        <v>289</v>
      </c>
      <c r="U51" s="7">
        <v>289</v>
      </c>
      <c r="V51" s="7">
        <v>289</v>
      </c>
      <c r="W51" s="7">
        <v>289</v>
      </c>
      <c r="X51" s="7">
        <v>289</v>
      </c>
      <c r="Y51" s="7">
        <v>289</v>
      </c>
      <c r="Z51" s="7">
        <v>289</v>
      </c>
      <c r="AA51" s="7">
        <v>289</v>
      </c>
      <c r="AB51" s="7">
        <v>289</v>
      </c>
      <c r="AC51" s="7">
        <v>289</v>
      </c>
      <c r="AD51" s="7">
        <v>299.12</v>
      </c>
      <c r="AE51" s="7">
        <v>299.12</v>
      </c>
      <c r="AF51" s="7">
        <v>299.12</v>
      </c>
      <c r="AG51" s="7">
        <v>299.12</v>
      </c>
      <c r="AH51" s="7">
        <v>299.12</v>
      </c>
      <c r="AI51" s="7">
        <v>299.12</v>
      </c>
      <c r="AJ51" s="7">
        <v>299.12</v>
      </c>
      <c r="AK51" s="7">
        <v>299.12</v>
      </c>
      <c r="AL51" s="7">
        <v>299.12</v>
      </c>
      <c r="AM51" s="7">
        <v>299.12</v>
      </c>
      <c r="AN51" s="27">
        <v>48</v>
      </c>
      <c r="AP51" s="111"/>
      <c r="AQ51" s="110">
        <f t="shared" si="253"/>
        <v>0</v>
      </c>
      <c r="AR51" s="110">
        <f t="shared" si="254"/>
        <v>0</v>
      </c>
      <c r="AS51" s="110">
        <f t="shared" si="255"/>
        <v>46.650000000000006</v>
      </c>
      <c r="AT51" s="110">
        <f t="shared" si="256"/>
        <v>43.349999999999994</v>
      </c>
      <c r="AU51" s="110">
        <f t="shared" si="257"/>
        <v>0</v>
      </c>
      <c r="AV51" s="110">
        <f t="shared" si="258"/>
        <v>0</v>
      </c>
      <c r="AW51" s="110">
        <f t="shared" si="259"/>
        <v>0</v>
      </c>
      <c r="AX51" s="110">
        <f t="shared" si="260"/>
        <v>0</v>
      </c>
      <c r="AY51" s="110">
        <f t="shared" si="261"/>
        <v>10.120000000000005</v>
      </c>
      <c r="AZ51" s="110">
        <f t="shared" si="262"/>
        <v>0</v>
      </c>
      <c r="BA51" s="110">
        <f t="shared" si="263"/>
        <v>0</v>
      </c>
      <c r="BB51" s="110">
        <f t="shared" si="264"/>
        <v>0</v>
      </c>
      <c r="BD51" s="109" cm="1">
        <f t="array" ref="BD51">+IFERROR(INDEX($C$3:$AM$3,MATCH(TRUE,INDEX($C51:$AM51&lt;&gt;0,0),0)),"N/A")</f>
        <v>44926</v>
      </c>
      <c r="BE51" s="112"/>
      <c r="BF51" s="1" t="str" cm="1">
        <f t="array" ref="BF51">+_xlfn.IFS(BT51&lt;&gt;0,BT$2,CH51&lt;&gt;0,CH$2,CV51&lt;&gt;0,CV$2,DJ51&lt;&gt;0,DJ$2,TRUE,"")</f>
        <v/>
      </c>
      <c r="BG51" s="1" t="str" cm="1">
        <f t="array" ref="BG51">+_xlfn.IFS(BU51&lt;&gt;0,BU$2,CI51&lt;&gt;0,CI$2,CW51&lt;&gt;0,CW$2,DK51&lt;&gt;0,DK$2,TRUE,"")</f>
        <v/>
      </c>
      <c r="BH51" s="1" t="str" cm="1">
        <f t="array" ref="BH51">+_xlfn.IFS(BV51&lt;&gt;0,BV$2,CJ51&lt;&gt;0,CJ$2,CX51&lt;&gt;0,CX$2,DL51&lt;&gt;0,DL$2,TRUE,"")</f>
        <v>Upsell</v>
      </c>
      <c r="BI51" s="1" t="str" cm="1">
        <f t="array" ref="BI51">+_xlfn.IFS(BW51&lt;&gt;0,BW$2,CK51&lt;&gt;0,CK$2,CY51&lt;&gt;0,CY$2,DM51&lt;&gt;0,DM$2,TRUE,"")</f>
        <v>Upsell</v>
      </c>
      <c r="BJ51" s="1" t="str" cm="1">
        <f t="array" ref="BJ51">+_xlfn.IFS(BX51&lt;&gt;0,BX$2,CL51&lt;&gt;0,CL$2,CZ51&lt;&gt;0,CZ$2,DN51&lt;&gt;0,DN$2,TRUE,"")</f>
        <v/>
      </c>
      <c r="BK51" s="1" t="str" cm="1">
        <f t="array" ref="BK51">+_xlfn.IFS(BY51&lt;&gt;0,BY$2,CM51&lt;&gt;0,CM$2,DA51&lt;&gt;0,DA$2,DO51&lt;&gt;0,DO$2,TRUE,"")</f>
        <v/>
      </c>
      <c r="BL51" s="1" t="str" cm="1">
        <f t="array" ref="BL51">+_xlfn.IFS(BZ51&lt;&gt;0,BZ$2,CN51&lt;&gt;0,CN$2,DB51&lt;&gt;0,DB$2,DP51&lt;&gt;0,DP$2,TRUE,"")</f>
        <v/>
      </c>
      <c r="BM51" s="1" t="str" cm="1">
        <f t="array" ref="BM51">+_xlfn.IFS(CA51&lt;&gt;0,CA$2,CO51&lt;&gt;0,CO$2,DC51&lt;&gt;0,DC$2,DQ51&lt;&gt;0,DQ$2,TRUE,"")</f>
        <v/>
      </c>
      <c r="BN51" s="1" t="str" cm="1">
        <f t="array" ref="BN51">+_xlfn.IFS(CB51&lt;&gt;0,CB$2,CP51&lt;&gt;0,CP$2,DD51&lt;&gt;0,DD$2,DR51&lt;&gt;0,DR$2,TRUE,"")</f>
        <v>Upsell</v>
      </c>
      <c r="BO51" s="1" t="str" cm="1">
        <f t="array" ref="BO51">+_xlfn.IFS(CC51&lt;&gt;0,CC$2,CQ51&lt;&gt;0,CQ$2,DE51&lt;&gt;0,DE$2,DS51&lt;&gt;0,DS$2,TRUE,"")</f>
        <v/>
      </c>
      <c r="BP51" s="1" t="str" cm="1">
        <f t="array" ref="BP51">+_xlfn.IFS(CD51&lt;&gt;0,CD$2,CR51&lt;&gt;0,CR$2,DF51&lt;&gt;0,DF$2,DT51&lt;&gt;0,DT$2,TRUE,"")</f>
        <v/>
      </c>
      <c r="BQ51" s="1" t="str" cm="1">
        <f t="array" ref="BQ51">+_xlfn.IFS(CE51&lt;&gt;0,CE$2,CS51&lt;&gt;0,CS$2,DG51&lt;&gt;0,DG$2,DU51&lt;&gt;0,DU$2,TRUE,"")</f>
        <v/>
      </c>
      <c r="BS51" s="111"/>
      <c r="BT51" s="110">
        <f t="shared" si="265"/>
        <v>0</v>
      </c>
      <c r="BU51" s="110">
        <f t="shared" si="266"/>
        <v>0</v>
      </c>
      <c r="BV51" s="110">
        <f t="shared" si="267"/>
        <v>0</v>
      </c>
      <c r="BW51" s="110">
        <f t="shared" si="268"/>
        <v>0</v>
      </c>
      <c r="BX51" s="110">
        <f t="shared" si="269"/>
        <v>0</v>
      </c>
      <c r="BY51" s="110">
        <f t="shared" si="270"/>
        <v>0</v>
      </c>
      <c r="BZ51" s="110">
        <f t="shared" si="271"/>
        <v>0</v>
      </c>
      <c r="CA51" s="110">
        <f t="shared" si="272"/>
        <v>0</v>
      </c>
      <c r="CB51" s="110">
        <f t="shared" si="273"/>
        <v>0</v>
      </c>
      <c r="CC51" s="110">
        <f t="shared" si="274"/>
        <v>0</v>
      </c>
      <c r="CD51" s="110">
        <f t="shared" si="275"/>
        <v>0</v>
      </c>
      <c r="CE51" s="110">
        <f t="shared" si="276"/>
        <v>0</v>
      </c>
      <c r="CG51" s="111"/>
      <c r="CH51" s="110">
        <f t="shared" si="277"/>
        <v>0</v>
      </c>
      <c r="CI51" s="110">
        <f t="shared" si="278"/>
        <v>0</v>
      </c>
      <c r="CJ51" s="110">
        <f t="shared" si="279"/>
        <v>0</v>
      </c>
      <c r="CK51" s="110">
        <f t="shared" si="280"/>
        <v>0</v>
      </c>
      <c r="CL51" s="110">
        <f t="shared" si="281"/>
        <v>0</v>
      </c>
      <c r="CM51" s="110">
        <f t="shared" si="282"/>
        <v>0</v>
      </c>
      <c r="CN51" s="110">
        <f t="shared" si="283"/>
        <v>0</v>
      </c>
      <c r="CO51" s="110">
        <f t="shared" si="284"/>
        <v>0</v>
      </c>
      <c r="CP51" s="110">
        <f t="shared" si="285"/>
        <v>0</v>
      </c>
      <c r="CQ51" s="110">
        <f t="shared" si="286"/>
        <v>0</v>
      </c>
      <c r="CR51" s="110">
        <f t="shared" si="287"/>
        <v>0</v>
      </c>
      <c r="CS51" s="110">
        <f t="shared" si="288"/>
        <v>0</v>
      </c>
      <c r="CU51" s="111"/>
      <c r="CV51" s="110">
        <f t="shared" si="289"/>
        <v>0</v>
      </c>
      <c r="CW51" s="110">
        <f t="shared" si="290"/>
        <v>0</v>
      </c>
      <c r="CX51" s="110">
        <f t="shared" si="291"/>
        <v>0</v>
      </c>
      <c r="CY51" s="110">
        <f t="shared" si="292"/>
        <v>0</v>
      </c>
      <c r="CZ51" s="110">
        <f t="shared" si="293"/>
        <v>0</v>
      </c>
      <c r="DA51" s="110">
        <f t="shared" si="294"/>
        <v>0</v>
      </c>
      <c r="DB51" s="110">
        <f t="shared" si="295"/>
        <v>0</v>
      </c>
      <c r="DC51" s="110">
        <f t="shared" si="296"/>
        <v>0</v>
      </c>
      <c r="DD51" s="110">
        <f t="shared" si="297"/>
        <v>0</v>
      </c>
      <c r="DE51" s="110">
        <f t="shared" si="298"/>
        <v>0</v>
      </c>
      <c r="DF51" s="110">
        <f t="shared" si="299"/>
        <v>0</v>
      </c>
      <c r="DG51" s="110">
        <f t="shared" si="300"/>
        <v>0</v>
      </c>
      <c r="DI51" s="111"/>
      <c r="DJ51" s="110">
        <f t="shared" si="301"/>
        <v>0</v>
      </c>
      <c r="DK51" s="110">
        <f t="shared" si="302"/>
        <v>0</v>
      </c>
      <c r="DL51" s="110">
        <f t="shared" si="303"/>
        <v>46.650000000000006</v>
      </c>
      <c r="DM51" s="110">
        <f t="shared" si="304"/>
        <v>43.349999999999994</v>
      </c>
      <c r="DN51" s="110">
        <f t="shared" si="305"/>
        <v>0</v>
      </c>
      <c r="DO51" s="110">
        <f t="shared" si="306"/>
        <v>0</v>
      </c>
      <c r="DP51" s="110">
        <f t="shared" si="307"/>
        <v>0</v>
      </c>
      <c r="DQ51" s="110">
        <f t="shared" si="308"/>
        <v>0</v>
      </c>
      <c r="DR51" s="110">
        <f t="shared" si="309"/>
        <v>10.120000000000005</v>
      </c>
      <c r="DS51" s="110">
        <f t="shared" si="310"/>
        <v>0</v>
      </c>
      <c r="DT51" s="110">
        <f t="shared" si="311"/>
        <v>0</v>
      </c>
      <c r="DU51" s="110">
        <f t="shared" si="312"/>
        <v>0</v>
      </c>
      <c r="DW51" s="111"/>
      <c r="DX51" s="110">
        <f t="shared" si="313"/>
        <v>0</v>
      </c>
      <c r="DY51" s="110">
        <f t="shared" si="314"/>
        <v>0</v>
      </c>
      <c r="DZ51" s="110">
        <f t="shared" si="315"/>
        <v>0</v>
      </c>
      <c r="EA51" s="110">
        <f t="shared" si="316"/>
        <v>0</v>
      </c>
      <c r="EB51" s="110">
        <f t="shared" si="317"/>
        <v>0</v>
      </c>
      <c r="EC51" s="110">
        <f t="shared" si="318"/>
        <v>0</v>
      </c>
      <c r="ED51" s="110">
        <f t="shared" si="319"/>
        <v>0</v>
      </c>
      <c r="EE51" s="110">
        <f t="shared" si="320"/>
        <v>0</v>
      </c>
      <c r="EF51" s="110">
        <f t="shared" si="321"/>
        <v>0</v>
      </c>
      <c r="EG51" s="110">
        <f t="shared" si="322"/>
        <v>0</v>
      </c>
      <c r="EH51" s="110">
        <f t="shared" si="323"/>
        <v>0</v>
      </c>
      <c r="EI51" s="110">
        <f t="shared" si="324"/>
        <v>0</v>
      </c>
      <c r="EK51" s="111"/>
      <c r="EL51" s="110">
        <f t="shared" si="325"/>
        <v>90</v>
      </c>
      <c r="EM51" s="110">
        <f t="shared" si="326"/>
        <v>0</v>
      </c>
      <c r="EN51" s="110">
        <f t="shared" si="327"/>
        <v>10.120000000000005</v>
      </c>
      <c r="EP51" s="109" cm="1">
        <f t="array" ref="EP51">+IFERROR(INDEX($C$3:$AM$3,MATCH(TRUE,INDEX($C51:$AM51&lt;&gt;0,0),0)),"N/A")</f>
        <v>44926</v>
      </c>
      <c r="EQ51" s="112"/>
      <c r="ER51" s="1" t="str" cm="1">
        <f t="array" ref="ER51">+_xlfn.IFS(EW51&lt;&gt;0,EW$2,FB51&lt;&gt;0,FB$2,FG51&lt;&gt;0,FG$2,FL51&lt;&gt;0,FL$2,TRUE,"")</f>
        <v>Upsell</v>
      </c>
      <c r="ES51" s="1" t="str" cm="1">
        <f t="array" ref="ES51">+_xlfn.IFS(EX51&lt;&gt;0,EX$2,FC51&lt;&gt;0,FC$2,FH51&lt;&gt;0,FH$2,FM51&lt;&gt;0,FM$2,TRUE,"")</f>
        <v/>
      </c>
      <c r="ET51" s="1" t="str" cm="1">
        <f t="array" ref="ET51">+_xlfn.IFS(EY51&lt;&gt;0,EY$2,FD51&lt;&gt;0,FD$2,FI51&lt;&gt;0,FI$2,FN51&lt;&gt;0,FN$2,TRUE,"")</f>
        <v>Upsell</v>
      </c>
      <c r="EV51" s="111"/>
      <c r="EW51" s="110">
        <f t="shared" si="328"/>
        <v>0</v>
      </c>
      <c r="EX51" s="110">
        <f t="shared" si="329"/>
        <v>0</v>
      </c>
      <c r="EY51" s="110">
        <f t="shared" si="330"/>
        <v>0</v>
      </c>
      <c r="FA51" s="111"/>
      <c r="FB51" s="110">
        <f t="shared" si="331"/>
        <v>0</v>
      </c>
      <c r="FC51" s="110">
        <f t="shared" si="332"/>
        <v>0</v>
      </c>
      <c r="FD51" s="110">
        <f t="shared" si="333"/>
        <v>0</v>
      </c>
      <c r="FF51" s="111"/>
      <c r="FG51" s="110">
        <f t="shared" si="334"/>
        <v>0</v>
      </c>
      <c r="FH51" s="110">
        <f t="shared" si="335"/>
        <v>0</v>
      </c>
      <c r="FI51" s="110">
        <f t="shared" si="336"/>
        <v>0</v>
      </c>
      <c r="FK51" s="111"/>
      <c r="FL51" s="110">
        <f t="shared" si="337"/>
        <v>90</v>
      </c>
      <c r="FM51" s="110">
        <f t="shared" si="338"/>
        <v>0</v>
      </c>
      <c r="FN51" s="110">
        <f t="shared" si="339"/>
        <v>10.120000000000005</v>
      </c>
      <c r="FP51" s="111"/>
      <c r="FQ51" s="110">
        <f t="shared" si="340"/>
        <v>0</v>
      </c>
      <c r="FR51" s="110">
        <f t="shared" si="341"/>
        <v>0</v>
      </c>
      <c r="FS51" s="110">
        <f t="shared" si="342"/>
        <v>0</v>
      </c>
      <c r="FU51" s="111">
        <f t="shared" si="343"/>
        <v>90</v>
      </c>
      <c r="FV51" s="110">
        <f t="shared" si="344"/>
        <v>90</v>
      </c>
      <c r="FW51" s="110">
        <f t="shared" si="345"/>
        <v>90</v>
      </c>
      <c r="FX51" s="110">
        <f t="shared" si="346"/>
        <v>90</v>
      </c>
      <c r="FY51" s="110">
        <f t="shared" si="347"/>
        <v>90</v>
      </c>
      <c r="FZ51" s="110">
        <f t="shared" si="348"/>
        <v>90</v>
      </c>
      <c r="GA51" s="110">
        <f t="shared" si="349"/>
        <v>90</v>
      </c>
      <c r="GB51" s="110">
        <f t="shared" si="350"/>
        <v>119.85</v>
      </c>
      <c r="GC51" s="110">
        <f t="shared" si="351"/>
        <v>119.85</v>
      </c>
      <c r="GD51" s="110">
        <f t="shared" si="352"/>
        <v>43.349999999999994</v>
      </c>
      <c r="GE51" s="110">
        <f t="shared" si="353"/>
        <v>43.349999999999994</v>
      </c>
      <c r="GF51" s="110">
        <f t="shared" si="354"/>
        <v>0</v>
      </c>
      <c r="GG51" s="110">
        <f t="shared" si="355"/>
        <v>0</v>
      </c>
      <c r="GH51" s="110">
        <f t="shared" si="356"/>
        <v>0</v>
      </c>
      <c r="GI51" s="110">
        <f t="shared" si="357"/>
        <v>0</v>
      </c>
      <c r="GJ51" s="110">
        <f t="shared" si="358"/>
        <v>10.120000000000005</v>
      </c>
      <c r="GK51" s="110">
        <f t="shared" si="359"/>
        <v>10.120000000000005</v>
      </c>
      <c r="GL51" s="110">
        <f t="shared" si="360"/>
        <v>10.120000000000005</v>
      </c>
      <c r="GM51" s="110">
        <f t="shared" si="361"/>
        <v>10.120000000000005</v>
      </c>
      <c r="GN51" s="110">
        <f t="shared" si="362"/>
        <v>10.120000000000005</v>
      </c>
      <c r="GO51" s="110">
        <f t="shared" si="363"/>
        <v>10.120000000000005</v>
      </c>
      <c r="GP51" s="110">
        <f t="shared" si="364"/>
        <v>10.120000000000005</v>
      </c>
      <c r="GQ51" s="110">
        <f t="shared" si="365"/>
        <v>10.120000000000005</v>
      </c>
      <c r="GR51" s="110">
        <f t="shared" si="366"/>
        <v>10.120000000000005</v>
      </c>
      <c r="GS51" s="110">
        <f t="shared" si="367"/>
        <v>10.120000000000005</v>
      </c>
      <c r="GU51" s="109" cm="1">
        <f t="array" ref="GU51">+IFERROR(INDEX($C$3:$AM$3,MATCH(TRUE,INDEX($C51:$AM51&lt;&gt;0,0),0)),"N/A")</f>
        <v>44926</v>
      </c>
      <c r="GV51" s="112" t="str" cm="1">
        <f t="array" ref="GV51">+_xlfn.IFS(HV51&lt;&gt;0,HV$2,IV51&lt;&gt;0,IV$2,JV51&lt;&gt;0,JV$2,KV51&lt;&gt;0,KV$2,TRUE,"")</f>
        <v>Upsell</v>
      </c>
      <c r="GW51" s="1" t="str" cm="1">
        <f t="array" ref="GW51">+_xlfn.IFS(HW51&lt;&gt;0,HW$2,IW51&lt;&gt;0,IW$2,JW51&lt;&gt;0,JW$2,KW51&lt;&gt;0,KW$2,TRUE,"")</f>
        <v>Upsell</v>
      </c>
      <c r="GX51" s="1" t="str" cm="1">
        <f t="array" ref="GX51">+_xlfn.IFS(HX51&lt;&gt;0,HX$2,IX51&lt;&gt;0,IX$2,JX51&lt;&gt;0,JX$2,KX51&lt;&gt;0,KX$2,TRUE,"")</f>
        <v>Upsell</v>
      </c>
      <c r="GY51" s="1" t="str" cm="1">
        <f t="array" ref="GY51">+_xlfn.IFS(HY51&lt;&gt;0,HY$2,IY51&lt;&gt;0,IY$2,JY51&lt;&gt;0,JY$2,KY51&lt;&gt;0,KY$2,TRUE,"")</f>
        <v>Upsell</v>
      </c>
      <c r="GZ51" s="1" t="str" cm="1">
        <f t="array" ref="GZ51">+_xlfn.IFS(HZ51&lt;&gt;0,HZ$2,IZ51&lt;&gt;0,IZ$2,JZ51&lt;&gt;0,JZ$2,KZ51&lt;&gt;0,KZ$2,TRUE,"")</f>
        <v>Upsell</v>
      </c>
      <c r="HA51" s="1" t="str" cm="1">
        <f t="array" ref="HA51">+_xlfn.IFS(IA51&lt;&gt;0,IA$2,JA51&lt;&gt;0,JA$2,KA51&lt;&gt;0,KA$2,LA51&lt;&gt;0,LA$2,TRUE,"")</f>
        <v>Upsell</v>
      </c>
      <c r="HB51" s="1" t="str" cm="1">
        <f t="array" ref="HB51">+_xlfn.IFS(IB51&lt;&gt;0,IB$2,JB51&lt;&gt;0,JB$2,KB51&lt;&gt;0,KB$2,LB51&lt;&gt;0,LB$2,TRUE,"")</f>
        <v>Upsell</v>
      </c>
      <c r="HC51" s="1" t="str" cm="1">
        <f t="array" ref="HC51">+_xlfn.IFS(IC51&lt;&gt;0,IC$2,JC51&lt;&gt;0,JC$2,KC51&lt;&gt;0,KC$2,LC51&lt;&gt;0,LC$2,TRUE,"")</f>
        <v>Upsell</v>
      </c>
      <c r="HD51" s="1" t="str" cm="1">
        <f t="array" ref="HD51">+_xlfn.IFS(ID51&lt;&gt;0,ID$2,JD51&lt;&gt;0,JD$2,KD51&lt;&gt;0,KD$2,LD51&lt;&gt;0,LD$2,TRUE,"")</f>
        <v>Upsell</v>
      </c>
      <c r="HE51" s="1" t="str" cm="1">
        <f t="array" ref="HE51">+_xlfn.IFS(IE51&lt;&gt;0,IE$2,JE51&lt;&gt;0,JE$2,KE51&lt;&gt;0,KE$2,LE51&lt;&gt;0,LE$2,TRUE,"")</f>
        <v>Upsell</v>
      </c>
      <c r="HF51" s="1" t="str" cm="1">
        <f t="array" ref="HF51">+_xlfn.IFS(IF51&lt;&gt;0,IF$2,JF51&lt;&gt;0,JF$2,KF51&lt;&gt;0,KF$2,LF51&lt;&gt;0,LF$2,TRUE,"")</f>
        <v>Upsell</v>
      </c>
      <c r="HG51" s="1" t="str" cm="1">
        <f t="array" ref="HG51">+_xlfn.IFS(IG51&lt;&gt;0,IG$2,JG51&lt;&gt;0,JG$2,KG51&lt;&gt;0,KG$2,LG51&lt;&gt;0,LG$2,TRUE,"")</f>
        <v/>
      </c>
      <c r="HH51" s="1" t="str" cm="1">
        <f t="array" ref="HH51">+_xlfn.IFS(IH51&lt;&gt;0,IH$2,JH51&lt;&gt;0,JH$2,KH51&lt;&gt;0,KH$2,LH51&lt;&gt;0,LH$2,TRUE,"")</f>
        <v/>
      </c>
      <c r="HI51" s="1" t="str" cm="1">
        <f t="array" ref="HI51">+_xlfn.IFS(II51&lt;&gt;0,II$2,JI51&lt;&gt;0,JI$2,KI51&lt;&gt;0,KI$2,LI51&lt;&gt;0,LI$2,TRUE,"")</f>
        <v/>
      </c>
      <c r="HJ51" s="1" t="str" cm="1">
        <f t="array" ref="HJ51">+_xlfn.IFS(IJ51&lt;&gt;0,IJ$2,JJ51&lt;&gt;0,JJ$2,KJ51&lt;&gt;0,KJ$2,LJ51&lt;&gt;0,LJ$2,TRUE,"")</f>
        <v/>
      </c>
      <c r="HK51" s="1" t="str" cm="1">
        <f t="array" ref="HK51">+_xlfn.IFS(IK51&lt;&gt;0,IK$2,JK51&lt;&gt;0,JK$2,KK51&lt;&gt;0,KK$2,LK51&lt;&gt;0,LK$2,TRUE,"")</f>
        <v>Upsell</v>
      </c>
      <c r="HL51" s="1" t="str" cm="1">
        <f t="array" ref="HL51">+_xlfn.IFS(IL51&lt;&gt;0,IL$2,JL51&lt;&gt;0,JL$2,KL51&lt;&gt;0,KL$2,LL51&lt;&gt;0,LL$2,TRUE,"")</f>
        <v>Upsell</v>
      </c>
      <c r="HM51" s="1" t="str" cm="1">
        <f t="array" ref="HM51">+_xlfn.IFS(IM51&lt;&gt;0,IM$2,JM51&lt;&gt;0,JM$2,KM51&lt;&gt;0,KM$2,LM51&lt;&gt;0,LM$2,TRUE,"")</f>
        <v>Upsell</v>
      </c>
      <c r="HN51" s="1" t="str" cm="1">
        <f t="array" ref="HN51">+_xlfn.IFS(IN51&lt;&gt;0,IN$2,JN51&lt;&gt;0,JN$2,KN51&lt;&gt;0,KN$2,LN51&lt;&gt;0,LN$2,TRUE,"")</f>
        <v>Upsell</v>
      </c>
      <c r="HO51" s="1" t="str" cm="1">
        <f t="array" ref="HO51">+_xlfn.IFS(IO51&lt;&gt;0,IO$2,JO51&lt;&gt;0,JO$2,KO51&lt;&gt;0,KO$2,LO51&lt;&gt;0,LO$2,TRUE,"")</f>
        <v>Upsell</v>
      </c>
      <c r="HP51" s="1" t="str" cm="1">
        <f t="array" ref="HP51">+_xlfn.IFS(IP51&lt;&gt;0,IP$2,JP51&lt;&gt;0,JP$2,KP51&lt;&gt;0,KP$2,LP51&lt;&gt;0,LP$2,TRUE,"")</f>
        <v>Upsell</v>
      </c>
      <c r="HQ51" s="1" t="str" cm="1">
        <f t="array" ref="HQ51">+_xlfn.IFS(IQ51&lt;&gt;0,IQ$2,JQ51&lt;&gt;0,JQ$2,KQ51&lt;&gt;0,KQ$2,LQ51&lt;&gt;0,LQ$2,TRUE,"")</f>
        <v>Upsell</v>
      </c>
      <c r="HR51" s="1" t="str" cm="1">
        <f t="array" ref="HR51">+_xlfn.IFS(IR51&lt;&gt;0,IR$2,JR51&lt;&gt;0,JR$2,KR51&lt;&gt;0,KR$2,LR51&lt;&gt;0,LR$2,TRUE,"")</f>
        <v>Upsell</v>
      </c>
      <c r="HS51" s="1" t="str" cm="1">
        <f t="array" ref="HS51">+_xlfn.IFS(IS51&lt;&gt;0,IS$2,JS51&lt;&gt;0,JS$2,KS51&lt;&gt;0,KS$2,LS51&lt;&gt;0,LS$2,TRUE,"")</f>
        <v>Upsell</v>
      </c>
      <c r="HT51" s="1" t="str" cm="1">
        <f t="array" ref="HT51">+_xlfn.IFS(IT51&lt;&gt;0,IT$2,JT51&lt;&gt;0,JT$2,KT51&lt;&gt;0,KT$2,LT51&lt;&gt;0,LT$2,TRUE,"")</f>
        <v>Upsell</v>
      </c>
      <c r="HV51" s="111">
        <f t="shared" si="368"/>
        <v>0</v>
      </c>
      <c r="HW51" s="110">
        <f t="shared" si="369"/>
        <v>0</v>
      </c>
      <c r="HX51" s="110">
        <f t="shared" si="370"/>
        <v>0</v>
      </c>
      <c r="HY51" s="110">
        <f t="shared" si="371"/>
        <v>0</v>
      </c>
      <c r="HZ51" s="110">
        <f t="shared" si="372"/>
        <v>0</v>
      </c>
      <c r="IA51" s="110">
        <f t="shared" si="373"/>
        <v>0</v>
      </c>
      <c r="IB51" s="110">
        <f t="shared" si="374"/>
        <v>0</v>
      </c>
      <c r="IC51" s="110">
        <f t="shared" si="375"/>
        <v>0</v>
      </c>
      <c r="ID51" s="110">
        <f t="shared" si="376"/>
        <v>0</v>
      </c>
      <c r="IE51" s="110">
        <f t="shared" si="377"/>
        <v>0</v>
      </c>
      <c r="IF51" s="110">
        <f t="shared" si="378"/>
        <v>0</v>
      </c>
      <c r="IG51" s="110">
        <f t="shared" si="379"/>
        <v>0</v>
      </c>
      <c r="IH51" s="110">
        <f t="shared" si="380"/>
        <v>0</v>
      </c>
      <c r="II51" s="110">
        <f t="shared" si="381"/>
        <v>0</v>
      </c>
      <c r="IJ51" s="110">
        <f t="shared" si="382"/>
        <v>0</v>
      </c>
      <c r="IK51" s="110">
        <f t="shared" si="383"/>
        <v>0</v>
      </c>
      <c r="IL51" s="110">
        <f t="shared" si="384"/>
        <v>0</v>
      </c>
      <c r="IM51" s="110">
        <f t="shared" si="385"/>
        <v>0</v>
      </c>
      <c r="IN51" s="110">
        <f t="shared" si="386"/>
        <v>0</v>
      </c>
      <c r="IO51" s="110">
        <f t="shared" si="387"/>
        <v>0</v>
      </c>
      <c r="IP51" s="110">
        <f t="shared" si="388"/>
        <v>0</v>
      </c>
      <c r="IQ51" s="110">
        <f t="shared" si="389"/>
        <v>0</v>
      </c>
      <c r="IR51" s="110">
        <f t="shared" si="390"/>
        <v>0</v>
      </c>
      <c r="IS51" s="110">
        <f t="shared" si="391"/>
        <v>0</v>
      </c>
      <c r="IT51" s="110">
        <f t="shared" si="392"/>
        <v>0</v>
      </c>
      <c r="IV51" s="111">
        <f t="shared" si="393"/>
        <v>0</v>
      </c>
      <c r="IW51" s="110">
        <f t="shared" si="394"/>
        <v>0</v>
      </c>
      <c r="IX51" s="110">
        <f t="shared" si="395"/>
        <v>0</v>
      </c>
      <c r="IY51" s="110">
        <f t="shared" si="396"/>
        <v>0</v>
      </c>
      <c r="IZ51" s="110">
        <f t="shared" si="397"/>
        <v>0</v>
      </c>
      <c r="JA51" s="110">
        <f t="shared" si="398"/>
        <v>0</v>
      </c>
      <c r="JB51" s="110">
        <f t="shared" si="399"/>
        <v>0</v>
      </c>
      <c r="JC51" s="110">
        <f t="shared" si="400"/>
        <v>0</v>
      </c>
      <c r="JD51" s="110">
        <f t="shared" si="401"/>
        <v>0</v>
      </c>
      <c r="JE51" s="110">
        <f t="shared" si="402"/>
        <v>0</v>
      </c>
      <c r="JF51" s="110">
        <f t="shared" si="403"/>
        <v>0</v>
      </c>
      <c r="JG51" s="110">
        <f t="shared" si="404"/>
        <v>0</v>
      </c>
      <c r="JH51" s="110">
        <f t="shared" si="405"/>
        <v>0</v>
      </c>
      <c r="JI51" s="110">
        <f t="shared" si="406"/>
        <v>0</v>
      </c>
      <c r="JJ51" s="110">
        <f t="shared" si="407"/>
        <v>0</v>
      </c>
      <c r="JK51" s="110">
        <f t="shared" si="408"/>
        <v>0</v>
      </c>
      <c r="JL51" s="110">
        <f t="shared" si="409"/>
        <v>0</v>
      </c>
      <c r="JM51" s="110">
        <f t="shared" si="410"/>
        <v>0</v>
      </c>
      <c r="JN51" s="110">
        <f t="shared" si="411"/>
        <v>0</v>
      </c>
      <c r="JO51" s="110">
        <f t="shared" si="412"/>
        <v>0</v>
      </c>
      <c r="JP51" s="110">
        <f t="shared" si="413"/>
        <v>0</v>
      </c>
      <c r="JQ51" s="110">
        <f t="shared" si="414"/>
        <v>0</v>
      </c>
      <c r="JR51" s="110">
        <f t="shared" si="415"/>
        <v>0</v>
      </c>
      <c r="JS51" s="110">
        <f t="shared" si="416"/>
        <v>0</v>
      </c>
      <c r="JT51" s="110">
        <f t="shared" si="417"/>
        <v>0</v>
      </c>
      <c r="JV51" s="111">
        <f t="shared" si="418"/>
        <v>0</v>
      </c>
      <c r="JW51" s="110">
        <f t="shared" si="419"/>
        <v>0</v>
      </c>
      <c r="JX51" s="110">
        <f t="shared" si="420"/>
        <v>0</v>
      </c>
      <c r="JY51" s="110">
        <f t="shared" si="421"/>
        <v>0</v>
      </c>
      <c r="JZ51" s="110">
        <f t="shared" si="422"/>
        <v>0</v>
      </c>
      <c r="KA51" s="110">
        <f t="shared" si="423"/>
        <v>0</v>
      </c>
      <c r="KB51" s="110">
        <f t="shared" si="424"/>
        <v>0</v>
      </c>
      <c r="KC51" s="110">
        <f t="shared" si="425"/>
        <v>0</v>
      </c>
      <c r="KD51" s="110">
        <f t="shared" si="426"/>
        <v>0</v>
      </c>
      <c r="KE51" s="110">
        <f t="shared" si="427"/>
        <v>0</v>
      </c>
      <c r="KF51" s="110">
        <f t="shared" si="428"/>
        <v>0</v>
      </c>
      <c r="KG51" s="110">
        <f t="shared" si="429"/>
        <v>0</v>
      </c>
      <c r="KH51" s="110">
        <f t="shared" si="430"/>
        <v>0</v>
      </c>
      <c r="KI51" s="110">
        <f t="shared" si="431"/>
        <v>0</v>
      </c>
      <c r="KJ51" s="110">
        <f t="shared" si="432"/>
        <v>0</v>
      </c>
      <c r="KK51" s="110">
        <f t="shared" si="433"/>
        <v>0</v>
      </c>
      <c r="KL51" s="110">
        <f t="shared" si="434"/>
        <v>0</v>
      </c>
      <c r="KM51" s="110">
        <f t="shared" si="435"/>
        <v>0</v>
      </c>
      <c r="KN51" s="110">
        <f t="shared" si="436"/>
        <v>0</v>
      </c>
      <c r="KO51" s="110">
        <f t="shared" si="437"/>
        <v>0</v>
      </c>
      <c r="KP51" s="110">
        <f t="shared" si="438"/>
        <v>0</v>
      </c>
      <c r="KQ51" s="110">
        <f t="shared" si="439"/>
        <v>0</v>
      </c>
      <c r="KR51" s="110">
        <f t="shared" si="440"/>
        <v>0</v>
      </c>
      <c r="KS51" s="110">
        <f t="shared" si="441"/>
        <v>0</v>
      </c>
      <c r="KT51" s="110">
        <f t="shared" si="442"/>
        <v>0</v>
      </c>
      <c r="KV51" s="111">
        <f t="shared" si="443"/>
        <v>90</v>
      </c>
      <c r="KW51" s="110">
        <f t="shared" si="444"/>
        <v>90</v>
      </c>
      <c r="KX51" s="110">
        <f t="shared" si="445"/>
        <v>90</v>
      </c>
      <c r="KY51" s="110">
        <f t="shared" si="446"/>
        <v>90</v>
      </c>
      <c r="KZ51" s="110">
        <f t="shared" si="447"/>
        <v>90</v>
      </c>
      <c r="LA51" s="110">
        <f t="shared" si="448"/>
        <v>90</v>
      </c>
      <c r="LB51" s="110">
        <f t="shared" si="449"/>
        <v>90</v>
      </c>
      <c r="LC51" s="110">
        <f t="shared" si="450"/>
        <v>119.85</v>
      </c>
      <c r="LD51" s="110">
        <f t="shared" si="451"/>
        <v>119.85</v>
      </c>
      <c r="LE51" s="110">
        <f t="shared" si="452"/>
        <v>43.349999999999994</v>
      </c>
      <c r="LF51" s="110">
        <f t="shared" si="453"/>
        <v>43.349999999999994</v>
      </c>
      <c r="LG51" s="110">
        <f t="shared" si="454"/>
        <v>0</v>
      </c>
      <c r="LH51" s="110">
        <f t="shared" si="455"/>
        <v>0</v>
      </c>
      <c r="LI51" s="110">
        <f t="shared" si="456"/>
        <v>0</v>
      </c>
      <c r="LJ51" s="110">
        <f t="shared" si="457"/>
        <v>0</v>
      </c>
      <c r="LK51" s="110">
        <f t="shared" si="458"/>
        <v>10.120000000000005</v>
      </c>
      <c r="LL51" s="110">
        <f t="shared" si="459"/>
        <v>10.120000000000005</v>
      </c>
      <c r="LM51" s="110">
        <f t="shared" si="460"/>
        <v>10.120000000000005</v>
      </c>
      <c r="LN51" s="110">
        <f t="shared" si="461"/>
        <v>10.120000000000005</v>
      </c>
      <c r="LO51" s="110">
        <f t="shared" si="462"/>
        <v>10.120000000000005</v>
      </c>
      <c r="LP51" s="110">
        <f t="shared" si="463"/>
        <v>10.120000000000005</v>
      </c>
      <c r="LQ51" s="110">
        <f t="shared" si="464"/>
        <v>10.120000000000005</v>
      </c>
      <c r="LR51" s="110">
        <f t="shared" si="465"/>
        <v>10.120000000000005</v>
      </c>
      <c r="LS51" s="110">
        <f t="shared" si="466"/>
        <v>10.120000000000005</v>
      </c>
      <c r="LT51" s="110">
        <f t="shared" si="467"/>
        <v>10.120000000000005</v>
      </c>
      <c r="LV51" s="111"/>
      <c r="LW51" s="110">
        <f t="shared" si="468"/>
        <v>0</v>
      </c>
      <c r="LX51" s="110">
        <f t="shared" si="469"/>
        <v>0</v>
      </c>
      <c r="LY51" s="110">
        <f t="shared" si="470"/>
        <v>0</v>
      </c>
      <c r="LZ51" s="110">
        <f t="shared" si="471"/>
        <v>0</v>
      </c>
      <c r="MA51" s="110">
        <f t="shared" si="472"/>
        <v>0</v>
      </c>
      <c r="MB51" s="110">
        <f t="shared" si="473"/>
        <v>0</v>
      </c>
      <c r="MC51" s="110">
        <f t="shared" si="474"/>
        <v>0</v>
      </c>
      <c r="MD51" s="110">
        <f t="shared" si="475"/>
        <v>0</v>
      </c>
      <c r="ME51" s="110">
        <f t="shared" si="476"/>
        <v>0</v>
      </c>
      <c r="MF51" s="110">
        <f t="shared" si="477"/>
        <v>0</v>
      </c>
      <c r="MG51" s="110">
        <f t="shared" si="478"/>
        <v>0</v>
      </c>
      <c r="MH51" s="110">
        <f t="shared" si="479"/>
        <v>0</v>
      </c>
      <c r="MI51" s="110">
        <f t="shared" si="480"/>
        <v>0</v>
      </c>
      <c r="MJ51" s="110">
        <f t="shared" si="481"/>
        <v>0</v>
      </c>
      <c r="MK51" s="110">
        <f t="shared" si="482"/>
        <v>0</v>
      </c>
      <c r="ML51" s="110">
        <f t="shared" si="483"/>
        <v>0</v>
      </c>
      <c r="MM51" s="110">
        <f t="shared" si="484"/>
        <v>0</v>
      </c>
      <c r="MN51" s="110">
        <f t="shared" si="485"/>
        <v>0</v>
      </c>
      <c r="MO51" s="110">
        <f t="shared" si="486"/>
        <v>0</v>
      </c>
      <c r="MP51" s="110">
        <f t="shared" si="487"/>
        <v>0</v>
      </c>
      <c r="MQ51" s="110">
        <f t="shared" si="488"/>
        <v>0</v>
      </c>
      <c r="MR51" s="110">
        <f t="shared" si="489"/>
        <v>0</v>
      </c>
      <c r="MS51" s="110">
        <f t="shared" si="490"/>
        <v>0</v>
      </c>
      <c r="MT51" s="110">
        <f t="shared" si="491"/>
        <v>0</v>
      </c>
      <c r="MV51" s="114">
        <v>299.12</v>
      </c>
      <c r="MW51" s="114">
        <v>0</v>
      </c>
      <c r="MX51" s="114">
        <v>10.120000000000005</v>
      </c>
      <c r="MY51" s="114">
        <v>0</v>
      </c>
      <c r="MZ51" s="114">
        <v>0</v>
      </c>
      <c r="NB51" s="115">
        <v>22</v>
      </c>
      <c r="NC51" s="115" t="str">
        <v>N/A</v>
      </c>
      <c r="ND51" s="115">
        <v>18</v>
      </c>
      <c r="NE51" s="115" t="str">
        <v>N/A</v>
      </c>
      <c r="NF51" s="115" t="str">
        <v>N/A</v>
      </c>
    </row>
    <row r="52" spans="2:370" ht="13.5" x14ac:dyDescent="0.25">
      <c r="B52" s="8">
        <f t="shared" si="252"/>
        <v>49</v>
      </c>
      <c r="C52" s="7">
        <v>299</v>
      </c>
      <c r="D52" s="7">
        <v>299</v>
      </c>
      <c r="E52" s="7">
        <v>299</v>
      </c>
      <c r="F52" s="7">
        <v>299</v>
      </c>
      <c r="G52" s="7">
        <v>284.05</v>
      </c>
      <c r="H52" s="7">
        <v>284.05</v>
      </c>
      <c r="I52" s="7">
        <v>284.05</v>
      </c>
      <c r="J52" s="7">
        <v>284.05</v>
      </c>
      <c r="K52" s="7">
        <v>284.05</v>
      </c>
      <c r="L52" s="7">
        <v>284.05</v>
      </c>
      <c r="M52" s="7">
        <v>284.05</v>
      </c>
      <c r="N52" s="7">
        <v>284.05</v>
      </c>
      <c r="O52" s="7">
        <v>284.05</v>
      </c>
      <c r="P52" s="7">
        <v>284.05</v>
      </c>
      <c r="Q52" s="7">
        <v>284.05</v>
      </c>
      <c r="R52" s="7">
        <v>284.05</v>
      </c>
      <c r="S52" s="7">
        <v>284.05</v>
      </c>
      <c r="T52" s="7">
        <v>284.05</v>
      </c>
      <c r="U52" s="7">
        <v>284.05</v>
      </c>
      <c r="V52" s="7">
        <v>284.05</v>
      </c>
      <c r="W52" s="7">
        <v>284.05</v>
      </c>
      <c r="X52" s="7">
        <v>284.05</v>
      </c>
      <c r="Y52" s="7">
        <v>284.05</v>
      </c>
      <c r="Z52" s="7">
        <v>284.05</v>
      </c>
      <c r="AA52" s="7">
        <v>284.05</v>
      </c>
      <c r="AB52" s="7">
        <v>284.05</v>
      </c>
      <c r="AC52" s="7">
        <v>284.05</v>
      </c>
      <c r="AD52" s="7">
        <v>294</v>
      </c>
      <c r="AE52" s="7">
        <v>294</v>
      </c>
      <c r="AF52" s="7">
        <v>294</v>
      </c>
      <c r="AG52" s="7">
        <v>294</v>
      </c>
      <c r="AH52" s="7">
        <v>294</v>
      </c>
      <c r="AI52" s="7">
        <v>294</v>
      </c>
      <c r="AJ52" s="7">
        <v>294</v>
      </c>
      <c r="AK52" s="7">
        <v>294</v>
      </c>
      <c r="AL52" s="7">
        <v>294</v>
      </c>
      <c r="AM52" s="7">
        <v>294</v>
      </c>
      <c r="AN52" s="27">
        <v>49</v>
      </c>
      <c r="AP52" s="111"/>
      <c r="AQ52" s="110">
        <f t="shared" si="253"/>
        <v>0</v>
      </c>
      <c r="AR52" s="110">
        <f t="shared" si="254"/>
        <v>-14.949999999999989</v>
      </c>
      <c r="AS52" s="110">
        <f t="shared" si="255"/>
        <v>0</v>
      </c>
      <c r="AT52" s="110">
        <f t="shared" si="256"/>
        <v>0</v>
      </c>
      <c r="AU52" s="110">
        <f t="shared" si="257"/>
        <v>0</v>
      </c>
      <c r="AV52" s="110">
        <f t="shared" si="258"/>
        <v>0</v>
      </c>
      <c r="AW52" s="110">
        <f t="shared" si="259"/>
        <v>0</v>
      </c>
      <c r="AX52" s="110">
        <f t="shared" si="260"/>
        <v>0</v>
      </c>
      <c r="AY52" s="110">
        <f t="shared" si="261"/>
        <v>9.9499999999999886</v>
      </c>
      <c r="AZ52" s="110">
        <f t="shared" si="262"/>
        <v>0</v>
      </c>
      <c r="BA52" s="110">
        <f t="shared" si="263"/>
        <v>0</v>
      </c>
      <c r="BB52" s="110">
        <f t="shared" si="264"/>
        <v>0</v>
      </c>
      <c r="BD52" s="109" cm="1">
        <f t="array" ref="BD52">+IFERROR(INDEX($C$3:$AM$3,MATCH(TRUE,INDEX($C52:$AM52&lt;&gt;0,0),0)),"N/A")</f>
        <v>44926</v>
      </c>
      <c r="BE52" s="112"/>
      <c r="BF52" s="1" t="str" cm="1">
        <f t="array" ref="BF52">+_xlfn.IFS(BT52&lt;&gt;0,BT$2,CH52&lt;&gt;0,CH$2,CV52&lt;&gt;0,CV$2,DJ52&lt;&gt;0,DJ$2,TRUE,"")</f>
        <v/>
      </c>
      <c r="BG52" s="1" t="str" cm="1">
        <f t="array" ref="BG52">+_xlfn.IFS(BU52&lt;&gt;0,BU$2,CI52&lt;&gt;0,CI$2,CW52&lt;&gt;0,CW$2,DK52&lt;&gt;0,DK$2,TRUE,"")</f>
        <v>Downsell</v>
      </c>
      <c r="BH52" s="1" t="str" cm="1">
        <f t="array" ref="BH52">+_xlfn.IFS(BV52&lt;&gt;0,BV$2,CJ52&lt;&gt;0,CJ$2,CX52&lt;&gt;0,CX$2,DL52&lt;&gt;0,DL$2,TRUE,"")</f>
        <v/>
      </c>
      <c r="BI52" s="1" t="str" cm="1">
        <f t="array" ref="BI52">+_xlfn.IFS(BW52&lt;&gt;0,BW$2,CK52&lt;&gt;0,CK$2,CY52&lt;&gt;0,CY$2,DM52&lt;&gt;0,DM$2,TRUE,"")</f>
        <v/>
      </c>
      <c r="BJ52" s="1" t="str" cm="1">
        <f t="array" ref="BJ52">+_xlfn.IFS(BX52&lt;&gt;0,BX$2,CL52&lt;&gt;0,CL$2,CZ52&lt;&gt;0,CZ$2,DN52&lt;&gt;0,DN$2,TRUE,"")</f>
        <v/>
      </c>
      <c r="BK52" s="1" t="str" cm="1">
        <f t="array" ref="BK52">+_xlfn.IFS(BY52&lt;&gt;0,BY$2,CM52&lt;&gt;0,CM$2,DA52&lt;&gt;0,DA$2,DO52&lt;&gt;0,DO$2,TRUE,"")</f>
        <v/>
      </c>
      <c r="BL52" s="1" t="str" cm="1">
        <f t="array" ref="BL52">+_xlfn.IFS(BZ52&lt;&gt;0,BZ$2,CN52&lt;&gt;0,CN$2,DB52&lt;&gt;0,DB$2,DP52&lt;&gt;0,DP$2,TRUE,"")</f>
        <v/>
      </c>
      <c r="BM52" s="1" t="str" cm="1">
        <f t="array" ref="BM52">+_xlfn.IFS(CA52&lt;&gt;0,CA$2,CO52&lt;&gt;0,CO$2,DC52&lt;&gt;0,DC$2,DQ52&lt;&gt;0,DQ$2,TRUE,"")</f>
        <v/>
      </c>
      <c r="BN52" s="1" t="str" cm="1">
        <f t="array" ref="BN52">+_xlfn.IFS(CB52&lt;&gt;0,CB$2,CP52&lt;&gt;0,CP$2,DD52&lt;&gt;0,DD$2,DR52&lt;&gt;0,DR$2,TRUE,"")</f>
        <v>Upsell</v>
      </c>
      <c r="BO52" s="1" t="str" cm="1">
        <f t="array" ref="BO52">+_xlfn.IFS(CC52&lt;&gt;0,CC$2,CQ52&lt;&gt;0,CQ$2,DE52&lt;&gt;0,DE$2,DS52&lt;&gt;0,DS$2,TRUE,"")</f>
        <v/>
      </c>
      <c r="BP52" s="1" t="str" cm="1">
        <f t="array" ref="BP52">+_xlfn.IFS(CD52&lt;&gt;0,CD$2,CR52&lt;&gt;0,CR$2,DF52&lt;&gt;0,DF$2,DT52&lt;&gt;0,DT$2,TRUE,"")</f>
        <v/>
      </c>
      <c r="BQ52" s="1" t="str" cm="1">
        <f t="array" ref="BQ52">+_xlfn.IFS(CE52&lt;&gt;0,CE$2,CS52&lt;&gt;0,CS$2,DG52&lt;&gt;0,DG$2,DU52&lt;&gt;0,DU$2,TRUE,"")</f>
        <v/>
      </c>
      <c r="BS52" s="111"/>
      <c r="BT52" s="110">
        <f t="shared" si="265"/>
        <v>0</v>
      </c>
      <c r="BU52" s="110">
        <f t="shared" si="266"/>
        <v>0</v>
      </c>
      <c r="BV52" s="110">
        <f t="shared" si="267"/>
        <v>0</v>
      </c>
      <c r="BW52" s="110">
        <f t="shared" si="268"/>
        <v>0</v>
      </c>
      <c r="BX52" s="110">
        <f t="shared" si="269"/>
        <v>0</v>
      </c>
      <c r="BY52" s="110">
        <f t="shared" si="270"/>
        <v>0</v>
      </c>
      <c r="BZ52" s="110">
        <f t="shared" si="271"/>
        <v>0</v>
      </c>
      <c r="CA52" s="110">
        <f t="shared" si="272"/>
        <v>0</v>
      </c>
      <c r="CB52" s="110">
        <f t="shared" si="273"/>
        <v>0</v>
      </c>
      <c r="CC52" s="110">
        <f t="shared" si="274"/>
        <v>0</v>
      </c>
      <c r="CD52" s="110">
        <f t="shared" si="275"/>
        <v>0</v>
      </c>
      <c r="CE52" s="110">
        <f t="shared" si="276"/>
        <v>0</v>
      </c>
      <c r="CG52" s="111"/>
      <c r="CH52" s="110">
        <f t="shared" si="277"/>
        <v>0</v>
      </c>
      <c r="CI52" s="110">
        <f t="shared" si="278"/>
        <v>0</v>
      </c>
      <c r="CJ52" s="110">
        <f t="shared" si="279"/>
        <v>0</v>
      </c>
      <c r="CK52" s="110">
        <f t="shared" si="280"/>
        <v>0</v>
      </c>
      <c r="CL52" s="110">
        <f t="shared" si="281"/>
        <v>0</v>
      </c>
      <c r="CM52" s="110">
        <f t="shared" si="282"/>
        <v>0</v>
      </c>
      <c r="CN52" s="110">
        <f t="shared" si="283"/>
        <v>0</v>
      </c>
      <c r="CO52" s="110">
        <f t="shared" si="284"/>
        <v>0</v>
      </c>
      <c r="CP52" s="110">
        <f t="shared" si="285"/>
        <v>0</v>
      </c>
      <c r="CQ52" s="110">
        <f t="shared" si="286"/>
        <v>0</v>
      </c>
      <c r="CR52" s="110">
        <f t="shared" si="287"/>
        <v>0</v>
      </c>
      <c r="CS52" s="110">
        <f t="shared" si="288"/>
        <v>0</v>
      </c>
      <c r="CU52" s="111"/>
      <c r="CV52" s="110">
        <f t="shared" si="289"/>
        <v>0</v>
      </c>
      <c r="CW52" s="110">
        <f t="shared" si="290"/>
        <v>-14.949999999999989</v>
      </c>
      <c r="CX52" s="110">
        <f t="shared" si="291"/>
        <v>0</v>
      </c>
      <c r="CY52" s="110">
        <f t="shared" si="292"/>
        <v>0</v>
      </c>
      <c r="CZ52" s="110">
        <f t="shared" si="293"/>
        <v>0</v>
      </c>
      <c r="DA52" s="110">
        <f t="shared" si="294"/>
        <v>0</v>
      </c>
      <c r="DB52" s="110">
        <f t="shared" si="295"/>
        <v>0</v>
      </c>
      <c r="DC52" s="110">
        <f t="shared" si="296"/>
        <v>0</v>
      </c>
      <c r="DD52" s="110">
        <f t="shared" si="297"/>
        <v>0</v>
      </c>
      <c r="DE52" s="110">
        <f t="shared" si="298"/>
        <v>0</v>
      </c>
      <c r="DF52" s="110">
        <f t="shared" si="299"/>
        <v>0</v>
      </c>
      <c r="DG52" s="110">
        <f t="shared" si="300"/>
        <v>0</v>
      </c>
      <c r="DI52" s="111"/>
      <c r="DJ52" s="110">
        <f t="shared" si="301"/>
        <v>0</v>
      </c>
      <c r="DK52" s="110">
        <f t="shared" si="302"/>
        <v>0</v>
      </c>
      <c r="DL52" s="110">
        <f t="shared" si="303"/>
        <v>0</v>
      </c>
      <c r="DM52" s="110">
        <f t="shared" si="304"/>
        <v>0</v>
      </c>
      <c r="DN52" s="110">
        <f t="shared" si="305"/>
        <v>0</v>
      </c>
      <c r="DO52" s="110">
        <f t="shared" si="306"/>
        <v>0</v>
      </c>
      <c r="DP52" s="110">
        <f t="shared" si="307"/>
        <v>0</v>
      </c>
      <c r="DQ52" s="110">
        <f t="shared" si="308"/>
        <v>0</v>
      </c>
      <c r="DR52" s="110">
        <f t="shared" si="309"/>
        <v>9.9499999999999886</v>
      </c>
      <c r="DS52" s="110">
        <f t="shared" si="310"/>
        <v>0</v>
      </c>
      <c r="DT52" s="110">
        <f t="shared" si="311"/>
        <v>0</v>
      </c>
      <c r="DU52" s="110">
        <f t="shared" si="312"/>
        <v>0</v>
      </c>
      <c r="DW52" s="111"/>
      <c r="DX52" s="110">
        <f t="shared" si="313"/>
        <v>0</v>
      </c>
      <c r="DY52" s="110">
        <f t="shared" si="314"/>
        <v>0</v>
      </c>
      <c r="DZ52" s="110">
        <f t="shared" si="315"/>
        <v>0</v>
      </c>
      <c r="EA52" s="110">
        <f t="shared" si="316"/>
        <v>0</v>
      </c>
      <c r="EB52" s="110">
        <f t="shared" si="317"/>
        <v>0</v>
      </c>
      <c r="EC52" s="110">
        <f t="shared" si="318"/>
        <v>0</v>
      </c>
      <c r="ED52" s="110">
        <f t="shared" si="319"/>
        <v>0</v>
      </c>
      <c r="EE52" s="110">
        <f t="shared" si="320"/>
        <v>0</v>
      </c>
      <c r="EF52" s="110">
        <f t="shared" si="321"/>
        <v>0</v>
      </c>
      <c r="EG52" s="110">
        <f t="shared" si="322"/>
        <v>0</v>
      </c>
      <c r="EH52" s="110">
        <f t="shared" si="323"/>
        <v>0</v>
      </c>
      <c r="EI52" s="110">
        <f t="shared" si="324"/>
        <v>0</v>
      </c>
      <c r="EK52" s="111"/>
      <c r="EL52" s="110">
        <f t="shared" si="325"/>
        <v>-14.949999999999989</v>
      </c>
      <c r="EM52" s="110">
        <f t="shared" si="326"/>
        <v>0</v>
      </c>
      <c r="EN52" s="110">
        <f t="shared" si="327"/>
        <v>9.9499999999999886</v>
      </c>
      <c r="EP52" s="109" cm="1">
        <f t="array" ref="EP52">+IFERROR(INDEX($C$3:$AM$3,MATCH(TRUE,INDEX($C52:$AM52&lt;&gt;0,0),0)),"N/A")</f>
        <v>44926</v>
      </c>
      <c r="EQ52" s="112"/>
      <c r="ER52" s="1" t="str" cm="1">
        <f t="array" ref="ER52">+_xlfn.IFS(EW52&lt;&gt;0,EW$2,FB52&lt;&gt;0,FB$2,FG52&lt;&gt;0,FG$2,FL52&lt;&gt;0,FL$2,TRUE,"")</f>
        <v>Downsell</v>
      </c>
      <c r="ES52" s="1" t="str" cm="1">
        <f t="array" ref="ES52">+_xlfn.IFS(EX52&lt;&gt;0,EX$2,FC52&lt;&gt;0,FC$2,FH52&lt;&gt;0,FH$2,FM52&lt;&gt;0,FM$2,TRUE,"")</f>
        <v/>
      </c>
      <c r="ET52" s="1" t="str" cm="1">
        <f t="array" ref="ET52">+_xlfn.IFS(EY52&lt;&gt;0,EY$2,FD52&lt;&gt;0,FD$2,FI52&lt;&gt;0,FI$2,FN52&lt;&gt;0,FN$2,TRUE,"")</f>
        <v>Upsell</v>
      </c>
      <c r="EV52" s="111"/>
      <c r="EW52" s="110">
        <f t="shared" si="328"/>
        <v>0</v>
      </c>
      <c r="EX52" s="110">
        <f t="shared" si="329"/>
        <v>0</v>
      </c>
      <c r="EY52" s="110">
        <f t="shared" si="330"/>
        <v>0</v>
      </c>
      <c r="FA52" s="111"/>
      <c r="FB52" s="110">
        <f t="shared" si="331"/>
        <v>0</v>
      </c>
      <c r="FC52" s="110">
        <f t="shared" si="332"/>
        <v>0</v>
      </c>
      <c r="FD52" s="110">
        <f t="shared" si="333"/>
        <v>0</v>
      </c>
      <c r="FF52" s="111"/>
      <c r="FG52" s="110">
        <f t="shared" si="334"/>
        <v>-14.949999999999989</v>
      </c>
      <c r="FH52" s="110">
        <f t="shared" si="335"/>
        <v>0</v>
      </c>
      <c r="FI52" s="110">
        <f t="shared" si="336"/>
        <v>0</v>
      </c>
      <c r="FK52" s="111"/>
      <c r="FL52" s="110">
        <f t="shared" si="337"/>
        <v>0</v>
      </c>
      <c r="FM52" s="110">
        <f t="shared" si="338"/>
        <v>0</v>
      </c>
      <c r="FN52" s="110">
        <f t="shared" si="339"/>
        <v>9.9499999999999886</v>
      </c>
      <c r="FP52" s="111"/>
      <c r="FQ52" s="110">
        <f t="shared" si="340"/>
        <v>0</v>
      </c>
      <c r="FR52" s="110">
        <f t="shared" si="341"/>
        <v>0</v>
      </c>
      <c r="FS52" s="110">
        <f t="shared" si="342"/>
        <v>0</v>
      </c>
      <c r="FU52" s="111">
        <f t="shared" si="343"/>
        <v>-14.949999999999989</v>
      </c>
      <c r="FV52" s="110">
        <f t="shared" si="344"/>
        <v>-14.949999999999989</v>
      </c>
      <c r="FW52" s="110">
        <f t="shared" si="345"/>
        <v>-14.949999999999989</v>
      </c>
      <c r="FX52" s="110">
        <f t="shared" si="346"/>
        <v>-14.949999999999989</v>
      </c>
      <c r="FY52" s="110">
        <f t="shared" si="347"/>
        <v>0</v>
      </c>
      <c r="FZ52" s="110">
        <f t="shared" si="348"/>
        <v>0</v>
      </c>
      <c r="GA52" s="110">
        <f t="shared" si="349"/>
        <v>0</v>
      </c>
      <c r="GB52" s="110">
        <f t="shared" si="350"/>
        <v>0</v>
      </c>
      <c r="GC52" s="110">
        <f t="shared" si="351"/>
        <v>0</v>
      </c>
      <c r="GD52" s="110">
        <f t="shared" si="352"/>
        <v>0</v>
      </c>
      <c r="GE52" s="110">
        <f t="shared" si="353"/>
        <v>0</v>
      </c>
      <c r="GF52" s="110">
        <f t="shared" si="354"/>
        <v>0</v>
      </c>
      <c r="GG52" s="110">
        <f t="shared" si="355"/>
        <v>0</v>
      </c>
      <c r="GH52" s="110">
        <f t="shared" si="356"/>
        <v>0</v>
      </c>
      <c r="GI52" s="110">
        <f t="shared" si="357"/>
        <v>0</v>
      </c>
      <c r="GJ52" s="110">
        <f t="shared" si="358"/>
        <v>9.9499999999999886</v>
      </c>
      <c r="GK52" s="110">
        <f t="shared" si="359"/>
        <v>9.9499999999999886</v>
      </c>
      <c r="GL52" s="110">
        <f t="shared" si="360"/>
        <v>9.9499999999999886</v>
      </c>
      <c r="GM52" s="110">
        <f t="shared" si="361"/>
        <v>9.9499999999999886</v>
      </c>
      <c r="GN52" s="110">
        <f t="shared" si="362"/>
        <v>9.9499999999999886</v>
      </c>
      <c r="GO52" s="110">
        <f t="shared" si="363"/>
        <v>9.9499999999999886</v>
      </c>
      <c r="GP52" s="110">
        <f t="shared" si="364"/>
        <v>9.9499999999999886</v>
      </c>
      <c r="GQ52" s="110">
        <f t="shared" si="365"/>
        <v>9.9499999999999886</v>
      </c>
      <c r="GR52" s="110">
        <f t="shared" si="366"/>
        <v>9.9499999999999886</v>
      </c>
      <c r="GS52" s="110">
        <f t="shared" si="367"/>
        <v>9.9499999999999886</v>
      </c>
      <c r="GU52" s="109" cm="1">
        <f t="array" ref="GU52">+IFERROR(INDEX($C$3:$AM$3,MATCH(TRUE,INDEX($C52:$AM52&lt;&gt;0,0),0)),"N/A")</f>
        <v>44926</v>
      </c>
      <c r="GV52" s="112" t="str" cm="1">
        <f t="array" ref="GV52">+_xlfn.IFS(HV52&lt;&gt;0,HV$2,IV52&lt;&gt;0,IV$2,JV52&lt;&gt;0,JV$2,KV52&lt;&gt;0,KV$2,TRUE,"")</f>
        <v>Downsell</v>
      </c>
      <c r="GW52" s="1" t="str" cm="1">
        <f t="array" ref="GW52">+_xlfn.IFS(HW52&lt;&gt;0,HW$2,IW52&lt;&gt;0,IW$2,JW52&lt;&gt;0,JW$2,KW52&lt;&gt;0,KW$2,TRUE,"")</f>
        <v>Downsell</v>
      </c>
      <c r="GX52" s="1" t="str" cm="1">
        <f t="array" ref="GX52">+_xlfn.IFS(HX52&lt;&gt;0,HX$2,IX52&lt;&gt;0,IX$2,JX52&lt;&gt;0,JX$2,KX52&lt;&gt;0,KX$2,TRUE,"")</f>
        <v>Downsell</v>
      </c>
      <c r="GY52" s="1" t="str" cm="1">
        <f t="array" ref="GY52">+_xlfn.IFS(HY52&lt;&gt;0,HY$2,IY52&lt;&gt;0,IY$2,JY52&lt;&gt;0,JY$2,KY52&lt;&gt;0,KY$2,TRUE,"")</f>
        <v>Downsell</v>
      </c>
      <c r="GZ52" s="1" t="str" cm="1">
        <f t="array" ref="GZ52">+_xlfn.IFS(HZ52&lt;&gt;0,HZ$2,IZ52&lt;&gt;0,IZ$2,JZ52&lt;&gt;0,JZ$2,KZ52&lt;&gt;0,KZ$2,TRUE,"")</f>
        <v/>
      </c>
      <c r="HA52" s="1" t="str" cm="1">
        <f t="array" ref="HA52">+_xlfn.IFS(IA52&lt;&gt;0,IA$2,JA52&lt;&gt;0,JA$2,KA52&lt;&gt;0,KA$2,LA52&lt;&gt;0,LA$2,TRUE,"")</f>
        <v/>
      </c>
      <c r="HB52" s="1" t="str" cm="1">
        <f t="array" ref="HB52">+_xlfn.IFS(IB52&lt;&gt;0,IB$2,JB52&lt;&gt;0,JB$2,KB52&lt;&gt;0,KB$2,LB52&lt;&gt;0,LB$2,TRUE,"")</f>
        <v/>
      </c>
      <c r="HC52" s="1" t="str" cm="1">
        <f t="array" ref="HC52">+_xlfn.IFS(IC52&lt;&gt;0,IC$2,JC52&lt;&gt;0,JC$2,KC52&lt;&gt;0,KC$2,LC52&lt;&gt;0,LC$2,TRUE,"")</f>
        <v/>
      </c>
      <c r="HD52" s="1" t="str" cm="1">
        <f t="array" ref="HD52">+_xlfn.IFS(ID52&lt;&gt;0,ID$2,JD52&lt;&gt;0,JD$2,KD52&lt;&gt;0,KD$2,LD52&lt;&gt;0,LD$2,TRUE,"")</f>
        <v/>
      </c>
      <c r="HE52" s="1" t="str" cm="1">
        <f t="array" ref="HE52">+_xlfn.IFS(IE52&lt;&gt;0,IE$2,JE52&lt;&gt;0,JE$2,KE52&lt;&gt;0,KE$2,LE52&lt;&gt;0,LE$2,TRUE,"")</f>
        <v/>
      </c>
      <c r="HF52" s="1" t="str" cm="1">
        <f t="array" ref="HF52">+_xlfn.IFS(IF52&lt;&gt;0,IF$2,JF52&lt;&gt;0,JF$2,KF52&lt;&gt;0,KF$2,LF52&lt;&gt;0,LF$2,TRUE,"")</f>
        <v/>
      </c>
      <c r="HG52" s="1" t="str" cm="1">
        <f t="array" ref="HG52">+_xlfn.IFS(IG52&lt;&gt;0,IG$2,JG52&lt;&gt;0,JG$2,KG52&lt;&gt;0,KG$2,LG52&lt;&gt;0,LG$2,TRUE,"")</f>
        <v/>
      </c>
      <c r="HH52" s="1" t="str" cm="1">
        <f t="array" ref="HH52">+_xlfn.IFS(IH52&lt;&gt;0,IH$2,JH52&lt;&gt;0,JH$2,KH52&lt;&gt;0,KH$2,LH52&lt;&gt;0,LH$2,TRUE,"")</f>
        <v/>
      </c>
      <c r="HI52" s="1" t="str" cm="1">
        <f t="array" ref="HI52">+_xlfn.IFS(II52&lt;&gt;0,II$2,JI52&lt;&gt;0,JI$2,KI52&lt;&gt;0,KI$2,LI52&lt;&gt;0,LI$2,TRUE,"")</f>
        <v/>
      </c>
      <c r="HJ52" s="1" t="str" cm="1">
        <f t="array" ref="HJ52">+_xlfn.IFS(IJ52&lt;&gt;0,IJ$2,JJ52&lt;&gt;0,JJ$2,KJ52&lt;&gt;0,KJ$2,LJ52&lt;&gt;0,LJ$2,TRUE,"")</f>
        <v/>
      </c>
      <c r="HK52" s="1" t="str" cm="1">
        <f t="array" ref="HK52">+_xlfn.IFS(IK52&lt;&gt;0,IK$2,JK52&lt;&gt;0,JK$2,KK52&lt;&gt;0,KK$2,LK52&lt;&gt;0,LK$2,TRUE,"")</f>
        <v>Upsell</v>
      </c>
      <c r="HL52" s="1" t="str" cm="1">
        <f t="array" ref="HL52">+_xlfn.IFS(IL52&lt;&gt;0,IL$2,JL52&lt;&gt;0,JL$2,KL52&lt;&gt;0,KL$2,LL52&lt;&gt;0,LL$2,TRUE,"")</f>
        <v>Upsell</v>
      </c>
      <c r="HM52" s="1" t="str" cm="1">
        <f t="array" ref="HM52">+_xlfn.IFS(IM52&lt;&gt;0,IM$2,JM52&lt;&gt;0,JM$2,KM52&lt;&gt;0,KM$2,LM52&lt;&gt;0,LM$2,TRUE,"")</f>
        <v>Upsell</v>
      </c>
      <c r="HN52" s="1" t="str" cm="1">
        <f t="array" ref="HN52">+_xlfn.IFS(IN52&lt;&gt;0,IN$2,JN52&lt;&gt;0,JN$2,KN52&lt;&gt;0,KN$2,LN52&lt;&gt;0,LN$2,TRUE,"")</f>
        <v>Upsell</v>
      </c>
      <c r="HO52" s="1" t="str" cm="1">
        <f t="array" ref="HO52">+_xlfn.IFS(IO52&lt;&gt;0,IO$2,JO52&lt;&gt;0,JO$2,KO52&lt;&gt;0,KO$2,LO52&lt;&gt;0,LO$2,TRUE,"")</f>
        <v>Upsell</v>
      </c>
      <c r="HP52" s="1" t="str" cm="1">
        <f t="array" ref="HP52">+_xlfn.IFS(IP52&lt;&gt;0,IP$2,JP52&lt;&gt;0,JP$2,KP52&lt;&gt;0,KP$2,LP52&lt;&gt;0,LP$2,TRUE,"")</f>
        <v>Upsell</v>
      </c>
      <c r="HQ52" s="1" t="str" cm="1">
        <f t="array" ref="HQ52">+_xlfn.IFS(IQ52&lt;&gt;0,IQ$2,JQ52&lt;&gt;0,JQ$2,KQ52&lt;&gt;0,KQ$2,LQ52&lt;&gt;0,LQ$2,TRUE,"")</f>
        <v>Upsell</v>
      </c>
      <c r="HR52" s="1" t="str" cm="1">
        <f t="array" ref="HR52">+_xlfn.IFS(IR52&lt;&gt;0,IR$2,JR52&lt;&gt;0,JR$2,KR52&lt;&gt;0,KR$2,LR52&lt;&gt;0,LR$2,TRUE,"")</f>
        <v>Upsell</v>
      </c>
      <c r="HS52" s="1" t="str" cm="1">
        <f t="array" ref="HS52">+_xlfn.IFS(IS52&lt;&gt;0,IS$2,JS52&lt;&gt;0,JS$2,KS52&lt;&gt;0,KS$2,LS52&lt;&gt;0,LS$2,TRUE,"")</f>
        <v>Upsell</v>
      </c>
      <c r="HT52" s="1" t="str" cm="1">
        <f t="array" ref="HT52">+_xlfn.IFS(IT52&lt;&gt;0,IT$2,JT52&lt;&gt;0,JT$2,KT52&lt;&gt;0,KT$2,LT52&lt;&gt;0,LT$2,TRUE,"")</f>
        <v>Upsell</v>
      </c>
      <c r="HV52" s="111">
        <f t="shared" si="368"/>
        <v>0</v>
      </c>
      <c r="HW52" s="110">
        <f t="shared" si="369"/>
        <v>0</v>
      </c>
      <c r="HX52" s="110">
        <f t="shared" si="370"/>
        <v>0</v>
      </c>
      <c r="HY52" s="110">
        <f t="shared" si="371"/>
        <v>0</v>
      </c>
      <c r="HZ52" s="110">
        <f t="shared" si="372"/>
        <v>0</v>
      </c>
      <c r="IA52" s="110">
        <f t="shared" si="373"/>
        <v>0</v>
      </c>
      <c r="IB52" s="110">
        <f t="shared" si="374"/>
        <v>0</v>
      </c>
      <c r="IC52" s="110">
        <f t="shared" si="375"/>
        <v>0</v>
      </c>
      <c r="ID52" s="110">
        <f t="shared" si="376"/>
        <v>0</v>
      </c>
      <c r="IE52" s="110">
        <f t="shared" si="377"/>
        <v>0</v>
      </c>
      <c r="IF52" s="110">
        <f t="shared" si="378"/>
        <v>0</v>
      </c>
      <c r="IG52" s="110">
        <f t="shared" si="379"/>
        <v>0</v>
      </c>
      <c r="IH52" s="110">
        <f t="shared" si="380"/>
        <v>0</v>
      </c>
      <c r="II52" s="110">
        <f t="shared" si="381"/>
        <v>0</v>
      </c>
      <c r="IJ52" s="110">
        <f t="shared" si="382"/>
        <v>0</v>
      </c>
      <c r="IK52" s="110">
        <f t="shared" si="383"/>
        <v>0</v>
      </c>
      <c r="IL52" s="110">
        <f t="shared" si="384"/>
        <v>0</v>
      </c>
      <c r="IM52" s="110">
        <f t="shared" si="385"/>
        <v>0</v>
      </c>
      <c r="IN52" s="110">
        <f t="shared" si="386"/>
        <v>0</v>
      </c>
      <c r="IO52" s="110">
        <f t="shared" si="387"/>
        <v>0</v>
      </c>
      <c r="IP52" s="110">
        <f t="shared" si="388"/>
        <v>0</v>
      </c>
      <c r="IQ52" s="110">
        <f t="shared" si="389"/>
        <v>0</v>
      </c>
      <c r="IR52" s="110">
        <f t="shared" si="390"/>
        <v>0</v>
      </c>
      <c r="IS52" s="110">
        <f t="shared" si="391"/>
        <v>0</v>
      </c>
      <c r="IT52" s="110">
        <f t="shared" si="392"/>
        <v>0</v>
      </c>
      <c r="IV52" s="111">
        <f t="shared" si="393"/>
        <v>0</v>
      </c>
      <c r="IW52" s="110">
        <f t="shared" si="394"/>
        <v>0</v>
      </c>
      <c r="IX52" s="110">
        <f t="shared" si="395"/>
        <v>0</v>
      </c>
      <c r="IY52" s="110">
        <f t="shared" si="396"/>
        <v>0</v>
      </c>
      <c r="IZ52" s="110">
        <f t="shared" si="397"/>
        <v>0</v>
      </c>
      <c r="JA52" s="110">
        <f t="shared" si="398"/>
        <v>0</v>
      </c>
      <c r="JB52" s="110">
        <f t="shared" si="399"/>
        <v>0</v>
      </c>
      <c r="JC52" s="110">
        <f t="shared" si="400"/>
        <v>0</v>
      </c>
      <c r="JD52" s="110">
        <f t="shared" si="401"/>
        <v>0</v>
      </c>
      <c r="JE52" s="110">
        <f t="shared" si="402"/>
        <v>0</v>
      </c>
      <c r="JF52" s="110">
        <f t="shared" si="403"/>
        <v>0</v>
      </c>
      <c r="JG52" s="110">
        <f t="shared" si="404"/>
        <v>0</v>
      </c>
      <c r="JH52" s="110">
        <f t="shared" si="405"/>
        <v>0</v>
      </c>
      <c r="JI52" s="110">
        <f t="shared" si="406"/>
        <v>0</v>
      </c>
      <c r="JJ52" s="110">
        <f t="shared" si="407"/>
        <v>0</v>
      </c>
      <c r="JK52" s="110">
        <f t="shared" si="408"/>
        <v>0</v>
      </c>
      <c r="JL52" s="110">
        <f t="shared" si="409"/>
        <v>0</v>
      </c>
      <c r="JM52" s="110">
        <f t="shared" si="410"/>
        <v>0</v>
      </c>
      <c r="JN52" s="110">
        <f t="shared" si="411"/>
        <v>0</v>
      </c>
      <c r="JO52" s="110">
        <f t="shared" si="412"/>
        <v>0</v>
      </c>
      <c r="JP52" s="110">
        <f t="shared" si="413"/>
        <v>0</v>
      </c>
      <c r="JQ52" s="110">
        <f t="shared" si="414"/>
        <v>0</v>
      </c>
      <c r="JR52" s="110">
        <f t="shared" si="415"/>
        <v>0</v>
      </c>
      <c r="JS52" s="110">
        <f t="shared" si="416"/>
        <v>0</v>
      </c>
      <c r="JT52" s="110">
        <f t="shared" si="417"/>
        <v>0</v>
      </c>
      <c r="JV52" s="111">
        <f t="shared" si="418"/>
        <v>-14.949999999999989</v>
      </c>
      <c r="JW52" s="110">
        <f t="shared" si="419"/>
        <v>-14.949999999999989</v>
      </c>
      <c r="JX52" s="110">
        <f t="shared" si="420"/>
        <v>-14.949999999999989</v>
      </c>
      <c r="JY52" s="110">
        <f t="shared" si="421"/>
        <v>-14.949999999999989</v>
      </c>
      <c r="JZ52" s="110">
        <f t="shared" si="422"/>
        <v>0</v>
      </c>
      <c r="KA52" s="110">
        <f t="shared" si="423"/>
        <v>0</v>
      </c>
      <c r="KB52" s="110">
        <f t="shared" si="424"/>
        <v>0</v>
      </c>
      <c r="KC52" s="110">
        <f t="shared" si="425"/>
        <v>0</v>
      </c>
      <c r="KD52" s="110">
        <f t="shared" si="426"/>
        <v>0</v>
      </c>
      <c r="KE52" s="110">
        <f t="shared" si="427"/>
        <v>0</v>
      </c>
      <c r="KF52" s="110">
        <f t="shared" si="428"/>
        <v>0</v>
      </c>
      <c r="KG52" s="110">
        <f t="shared" si="429"/>
        <v>0</v>
      </c>
      <c r="KH52" s="110">
        <f t="shared" si="430"/>
        <v>0</v>
      </c>
      <c r="KI52" s="110">
        <f t="shared" si="431"/>
        <v>0</v>
      </c>
      <c r="KJ52" s="110">
        <f t="shared" si="432"/>
        <v>0</v>
      </c>
      <c r="KK52" s="110">
        <f t="shared" si="433"/>
        <v>0</v>
      </c>
      <c r="KL52" s="110">
        <f t="shared" si="434"/>
        <v>0</v>
      </c>
      <c r="KM52" s="110">
        <f t="shared" si="435"/>
        <v>0</v>
      </c>
      <c r="KN52" s="110">
        <f t="shared" si="436"/>
        <v>0</v>
      </c>
      <c r="KO52" s="110">
        <f t="shared" si="437"/>
        <v>0</v>
      </c>
      <c r="KP52" s="110">
        <f t="shared" si="438"/>
        <v>0</v>
      </c>
      <c r="KQ52" s="110">
        <f t="shared" si="439"/>
        <v>0</v>
      </c>
      <c r="KR52" s="110">
        <f t="shared" si="440"/>
        <v>0</v>
      </c>
      <c r="KS52" s="110">
        <f t="shared" si="441"/>
        <v>0</v>
      </c>
      <c r="KT52" s="110">
        <f t="shared" si="442"/>
        <v>0</v>
      </c>
      <c r="KV52" s="111">
        <f t="shared" si="443"/>
        <v>0</v>
      </c>
      <c r="KW52" s="110">
        <f t="shared" si="444"/>
        <v>0</v>
      </c>
      <c r="KX52" s="110">
        <f t="shared" si="445"/>
        <v>0</v>
      </c>
      <c r="KY52" s="110">
        <f t="shared" si="446"/>
        <v>0</v>
      </c>
      <c r="KZ52" s="110">
        <f t="shared" si="447"/>
        <v>0</v>
      </c>
      <c r="LA52" s="110">
        <f t="shared" si="448"/>
        <v>0</v>
      </c>
      <c r="LB52" s="110">
        <f t="shared" si="449"/>
        <v>0</v>
      </c>
      <c r="LC52" s="110">
        <f t="shared" si="450"/>
        <v>0</v>
      </c>
      <c r="LD52" s="110">
        <f t="shared" si="451"/>
        <v>0</v>
      </c>
      <c r="LE52" s="110">
        <f t="shared" si="452"/>
        <v>0</v>
      </c>
      <c r="LF52" s="110">
        <f t="shared" si="453"/>
        <v>0</v>
      </c>
      <c r="LG52" s="110">
        <f t="shared" si="454"/>
        <v>0</v>
      </c>
      <c r="LH52" s="110">
        <f t="shared" si="455"/>
        <v>0</v>
      </c>
      <c r="LI52" s="110">
        <f t="shared" si="456"/>
        <v>0</v>
      </c>
      <c r="LJ52" s="110">
        <f t="shared" si="457"/>
        <v>0</v>
      </c>
      <c r="LK52" s="110">
        <f t="shared" si="458"/>
        <v>9.9499999999999886</v>
      </c>
      <c r="LL52" s="110">
        <f t="shared" si="459"/>
        <v>9.9499999999999886</v>
      </c>
      <c r="LM52" s="110">
        <f t="shared" si="460"/>
        <v>9.9499999999999886</v>
      </c>
      <c r="LN52" s="110">
        <f t="shared" si="461"/>
        <v>9.9499999999999886</v>
      </c>
      <c r="LO52" s="110">
        <f t="shared" si="462"/>
        <v>9.9499999999999886</v>
      </c>
      <c r="LP52" s="110">
        <f t="shared" si="463"/>
        <v>9.9499999999999886</v>
      </c>
      <c r="LQ52" s="110">
        <f t="shared" si="464"/>
        <v>9.9499999999999886</v>
      </c>
      <c r="LR52" s="110">
        <f t="shared" si="465"/>
        <v>9.9499999999999886</v>
      </c>
      <c r="LS52" s="110">
        <f t="shared" si="466"/>
        <v>9.9499999999999886</v>
      </c>
      <c r="LT52" s="110">
        <f t="shared" si="467"/>
        <v>9.9499999999999886</v>
      </c>
      <c r="LV52" s="111"/>
      <c r="LW52" s="110">
        <f t="shared" si="468"/>
        <v>0</v>
      </c>
      <c r="LX52" s="110">
        <f t="shared" si="469"/>
        <v>0</v>
      </c>
      <c r="LY52" s="110">
        <f t="shared" si="470"/>
        <v>0</v>
      </c>
      <c r="LZ52" s="110">
        <f t="shared" si="471"/>
        <v>0</v>
      </c>
      <c r="MA52" s="110">
        <f t="shared" si="472"/>
        <v>0</v>
      </c>
      <c r="MB52" s="110">
        <f t="shared" si="473"/>
        <v>0</v>
      </c>
      <c r="MC52" s="110">
        <f t="shared" si="474"/>
        <v>0</v>
      </c>
      <c r="MD52" s="110">
        <f t="shared" si="475"/>
        <v>0</v>
      </c>
      <c r="ME52" s="110">
        <f t="shared" si="476"/>
        <v>0</v>
      </c>
      <c r="MF52" s="110">
        <f t="shared" si="477"/>
        <v>0</v>
      </c>
      <c r="MG52" s="110">
        <f t="shared" si="478"/>
        <v>0</v>
      </c>
      <c r="MH52" s="110">
        <f t="shared" si="479"/>
        <v>0</v>
      </c>
      <c r="MI52" s="110">
        <f t="shared" si="480"/>
        <v>0</v>
      </c>
      <c r="MJ52" s="110">
        <f t="shared" si="481"/>
        <v>0</v>
      </c>
      <c r="MK52" s="110">
        <f t="shared" si="482"/>
        <v>0</v>
      </c>
      <c r="ML52" s="110">
        <f t="shared" si="483"/>
        <v>0</v>
      </c>
      <c r="MM52" s="110">
        <f t="shared" si="484"/>
        <v>0</v>
      </c>
      <c r="MN52" s="110">
        <f t="shared" si="485"/>
        <v>0</v>
      </c>
      <c r="MO52" s="110">
        <f t="shared" si="486"/>
        <v>0</v>
      </c>
      <c r="MP52" s="110">
        <f t="shared" si="487"/>
        <v>0</v>
      </c>
      <c r="MQ52" s="110">
        <f t="shared" si="488"/>
        <v>0</v>
      </c>
      <c r="MR52" s="110">
        <f t="shared" si="489"/>
        <v>0</v>
      </c>
      <c r="MS52" s="110">
        <f t="shared" si="490"/>
        <v>0</v>
      </c>
      <c r="MT52" s="110">
        <f t="shared" si="491"/>
        <v>0</v>
      </c>
      <c r="MV52" s="114">
        <v>294</v>
      </c>
      <c r="MW52" s="114">
        <v>0</v>
      </c>
      <c r="MX52" s="114">
        <v>9.9499999999999886</v>
      </c>
      <c r="MY52" s="114">
        <v>0</v>
      </c>
      <c r="MZ52" s="114">
        <v>0</v>
      </c>
      <c r="NB52" s="115">
        <v>26</v>
      </c>
      <c r="NC52" s="115" t="str">
        <v>N/A</v>
      </c>
      <c r="ND52" s="115">
        <v>21</v>
      </c>
      <c r="NE52" s="115" t="str">
        <v>N/A</v>
      </c>
      <c r="NF52" s="115" t="str">
        <v>N/A</v>
      </c>
    </row>
    <row r="53" spans="2:370" ht="13.5" x14ac:dyDescent="0.25">
      <c r="B53" s="8">
        <f t="shared" si="252"/>
        <v>50</v>
      </c>
      <c r="C53" s="7">
        <v>279.2</v>
      </c>
      <c r="D53" s="7">
        <v>279.2</v>
      </c>
      <c r="E53" s="7">
        <v>279.2</v>
      </c>
      <c r="F53" s="7">
        <v>279.2</v>
      </c>
      <c r="G53" s="7">
        <v>279.2</v>
      </c>
      <c r="H53" s="7">
        <v>279.2</v>
      </c>
      <c r="I53" s="7">
        <v>279.2</v>
      </c>
      <c r="J53" s="7">
        <v>279.2</v>
      </c>
      <c r="K53" s="7">
        <v>279.2</v>
      </c>
      <c r="L53" s="7">
        <v>279.16000000000003</v>
      </c>
      <c r="M53" s="7">
        <v>279.16000000000003</v>
      </c>
      <c r="N53" s="7">
        <v>279.16000000000003</v>
      </c>
      <c r="O53" s="7">
        <v>279.16000000000003</v>
      </c>
      <c r="P53" s="7">
        <v>279.16000000000003</v>
      </c>
      <c r="Q53" s="7">
        <v>279.16000000000003</v>
      </c>
      <c r="R53" s="7">
        <v>279.16000000000003</v>
      </c>
      <c r="S53" s="7">
        <v>279.16000000000003</v>
      </c>
      <c r="T53" s="7">
        <v>279.16000000000003</v>
      </c>
      <c r="U53" s="7">
        <v>279.16000000000003</v>
      </c>
      <c r="V53" s="7">
        <v>279.16000000000003</v>
      </c>
      <c r="W53" s="7">
        <v>279.16000000000003</v>
      </c>
      <c r="X53" s="7">
        <v>279.16000000000003</v>
      </c>
      <c r="Y53" s="7">
        <v>279.16000000000003</v>
      </c>
      <c r="Z53" s="7">
        <v>279.16000000000003</v>
      </c>
      <c r="AA53" s="7">
        <v>279.16000000000003</v>
      </c>
      <c r="AB53" s="7">
        <v>279.16000000000003</v>
      </c>
      <c r="AC53" s="7">
        <v>279.16000000000003</v>
      </c>
      <c r="AD53" s="7">
        <v>279.16000000000003</v>
      </c>
      <c r="AE53" s="7">
        <v>279.16000000000003</v>
      </c>
      <c r="AF53" s="7">
        <v>279.16000000000003</v>
      </c>
      <c r="AG53" s="7">
        <v>279.16000000000003</v>
      </c>
      <c r="AH53" s="7">
        <v>279.16000000000003</v>
      </c>
      <c r="AI53" s="7">
        <v>279.16000000000003</v>
      </c>
      <c r="AJ53" s="7">
        <v>279.16000000000003</v>
      </c>
      <c r="AK53" s="7">
        <v>279.16000000000003</v>
      </c>
      <c r="AL53" s="7">
        <v>279.16000000000003</v>
      </c>
      <c r="AM53" s="7">
        <v>279.16000000000003</v>
      </c>
      <c r="AN53" s="27">
        <v>50</v>
      </c>
      <c r="AP53" s="111"/>
      <c r="AQ53" s="110">
        <f t="shared" si="253"/>
        <v>0</v>
      </c>
      <c r="AR53" s="110">
        <f t="shared" si="254"/>
        <v>0</v>
      </c>
      <c r="AS53" s="110">
        <f t="shared" si="255"/>
        <v>-3.999999999996362E-2</v>
      </c>
      <c r="AT53" s="110">
        <f t="shared" si="256"/>
        <v>0</v>
      </c>
      <c r="AU53" s="110">
        <f t="shared" si="257"/>
        <v>0</v>
      </c>
      <c r="AV53" s="110">
        <f t="shared" si="258"/>
        <v>0</v>
      </c>
      <c r="AW53" s="110">
        <f t="shared" si="259"/>
        <v>0</v>
      </c>
      <c r="AX53" s="110">
        <f t="shared" si="260"/>
        <v>0</v>
      </c>
      <c r="AY53" s="110">
        <f t="shared" si="261"/>
        <v>0</v>
      </c>
      <c r="AZ53" s="110">
        <f t="shared" si="262"/>
        <v>0</v>
      </c>
      <c r="BA53" s="110">
        <f t="shared" si="263"/>
        <v>0</v>
      </c>
      <c r="BB53" s="110">
        <f t="shared" si="264"/>
        <v>0</v>
      </c>
      <c r="BD53" s="109" cm="1">
        <f t="array" ref="BD53">+IFERROR(INDEX($C$3:$AM$3,MATCH(TRUE,INDEX($C53:$AM53&lt;&gt;0,0),0)),"N/A")</f>
        <v>44926</v>
      </c>
      <c r="BE53" s="112"/>
      <c r="BF53" s="1" t="str" cm="1">
        <f t="array" ref="BF53">+_xlfn.IFS(BT53&lt;&gt;0,BT$2,CH53&lt;&gt;0,CH$2,CV53&lt;&gt;0,CV$2,DJ53&lt;&gt;0,DJ$2,TRUE,"")</f>
        <v/>
      </c>
      <c r="BG53" s="1" t="str" cm="1">
        <f t="array" ref="BG53">+_xlfn.IFS(BU53&lt;&gt;0,BU$2,CI53&lt;&gt;0,CI$2,CW53&lt;&gt;0,CW$2,DK53&lt;&gt;0,DK$2,TRUE,"")</f>
        <v/>
      </c>
      <c r="BH53" s="1" t="str" cm="1">
        <f t="array" ref="BH53">+_xlfn.IFS(BV53&lt;&gt;0,BV$2,CJ53&lt;&gt;0,CJ$2,CX53&lt;&gt;0,CX$2,DL53&lt;&gt;0,DL$2,TRUE,"")</f>
        <v>Downsell</v>
      </c>
      <c r="BI53" s="1" t="str" cm="1">
        <f t="array" ref="BI53">+_xlfn.IFS(BW53&lt;&gt;0,BW$2,CK53&lt;&gt;0,CK$2,CY53&lt;&gt;0,CY$2,DM53&lt;&gt;0,DM$2,TRUE,"")</f>
        <v/>
      </c>
      <c r="BJ53" s="1" t="str" cm="1">
        <f t="array" ref="BJ53">+_xlfn.IFS(BX53&lt;&gt;0,BX$2,CL53&lt;&gt;0,CL$2,CZ53&lt;&gt;0,CZ$2,DN53&lt;&gt;0,DN$2,TRUE,"")</f>
        <v/>
      </c>
      <c r="BK53" s="1" t="str" cm="1">
        <f t="array" ref="BK53">+_xlfn.IFS(BY53&lt;&gt;0,BY$2,CM53&lt;&gt;0,CM$2,DA53&lt;&gt;0,DA$2,DO53&lt;&gt;0,DO$2,TRUE,"")</f>
        <v/>
      </c>
      <c r="BL53" s="1" t="str" cm="1">
        <f t="array" ref="BL53">+_xlfn.IFS(BZ53&lt;&gt;0,BZ$2,CN53&lt;&gt;0,CN$2,DB53&lt;&gt;0,DB$2,DP53&lt;&gt;0,DP$2,TRUE,"")</f>
        <v/>
      </c>
      <c r="BM53" s="1" t="str" cm="1">
        <f t="array" ref="BM53">+_xlfn.IFS(CA53&lt;&gt;0,CA$2,CO53&lt;&gt;0,CO$2,DC53&lt;&gt;0,DC$2,DQ53&lt;&gt;0,DQ$2,TRUE,"")</f>
        <v/>
      </c>
      <c r="BN53" s="1" t="str" cm="1">
        <f t="array" ref="BN53">+_xlfn.IFS(CB53&lt;&gt;0,CB$2,CP53&lt;&gt;0,CP$2,DD53&lt;&gt;0,DD$2,DR53&lt;&gt;0,DR$2,TRUE,"")</f>
        <v/>
      </c>
      <c r="BO53" s="1" t="str" cm="1">
        <f t="array" ref="BO53">+_xlfn.IFS(CC53&lt;&gt;0,CC$2,CQ53&lt;&gt;0,CQ$2,DE53&lt;&gt;0,DE$2,DS53&lt;&gt;0,DS$2,TRUE,"")</f>
        <v/>
      </c>
      <c r="BP53" s="1" t="str" cm="1">
        <f t="array" ref="BP53">+_xlfn.IFS(CD53&lt;&gt;0,CD$2,CR53&lt;&gt;0,CR$2,DF53&lt;&gt;0,DF$2,DT53&lt;&gt;0,DT$2,TRUE,"")</f>
        <v/>
      </c>
      <c r="BQ53" s="1" t="str" cm="1">
        <f t="array" ref="BQ53">+_xlfn.IFS(CE53&lt;&gt;0,CE$2,CS53&lt;&gt;0,CS$2,DG53&lt;&gt;0,DG$2,DU53&lt;&gt;0,DU$2,TRUE,"")</f>
        <v/>
      </c>
      <c r="BS53" s="111"/>
      <c r="BT53" s="110">
        <f t="shared" si="265"/>
        <v>0</v>
      </c>
      <c r="BU53" s="110">
        <f t="shared" si="266"/>
        <v>0</v>
      </c>
      <c r="BV53" s="110">
        <f t="shared" si="267"/>
        <v>0</v>
      </c>
      <c r="BW53" s="110">
        <f t="shared" si="268"/>
        <v>0</v>
      </c>
      <c r="BX53" s="110">
        <f t="shared" si="269"/>
        <v>0</v>
      </c>
      <c r="BY53" s="110">
        <f t="shared" si="270"/>
        <v>0</v>
      </c>
      <c r="BZ53" s="110">
        <f t="shared" si="271"/>
        <v>0</v>
      </c>
      <c r="CA53" s="110">
        <f t="shared" si="272"/>
        <v>0</v>
      </c>
      <c r="CB53" s="110">
        <f t="shared" si="273"/>
        <v>0</v>
      </c>
      <c r="CC53" s="110">
        <f t="shared" si="274"/>
        <v>0</v>
      </c>
      <c r="CD53" s="110">
        <f t="shared" si="275"/>
        <v>0</v>
      </c>
      <c r="CE53" s="110">
        <f t="shared" si="276"/>
        <v>0</v>
      </c>
      <c r="CG53" s="111"/>
      <c r="CH53" s="110">
        <f t="shared" si="277"/>
        <v>0</v>
      </c>
      <c r="CI53" s="110">
        <f t="shared" si="278"/>
        <v>0</v>
      </c>
      <c r="CJ53" s="110">
        <f t="shared" si="279"/>
        <v>0</v>
      </c>
      <c r="CK53" s="110">
        <f t="shared" si="280"/>
        <v>0</v>
      </c>
      <c r="CL53" s="110">
        <f t="shared" si="281"/>
        <v>0</v>
      </c>
      <c r="CM53" s="110">
        <f t="shared" si="282"/>
        <v>0</v>
      </c>
      <c r="CN53" s="110">
        <f t="shared" si="283"/>
        <v>0</v>
      </c>
      <c r="CO53" s="110">
        <f t="shared" si="284"/>
        <v>0</v>
      </c>
      <c r="CP53" s="110">
        <f t="shared" si="285"/>
        <v>0</v>
      </c>
      <c r="CQ53" s="110">
        <f t="shared" si="286"/>
        <v>0</v>
      </c>
      <c r="CR53" s="110">
        <f t="shared" si="287"/>
        <v>0</v>
      </c>
      <c r="CS53" s="110">
        <f t="shared" si="288"/>
        <v>0</v>
      </c>
      <c r="CU53" s="111"/>
      <c r="CV53" s="110">
        <f t="shared" si="289"/>
        <v>0</v>
      </c>
      <c r="CW53" s="110">
        <f t="shared" si="290"/>
        <v>0</v>
      </c>
      <c r="CX53" s="110">
        <f t="shared" si="291"/>
        <v>-3.999999999996362E-2</v>
      </c>
      <c r="CY53" s="110">
        <f t="shared" si="292"/>
        <v>0</v>
      </c>
      <c r="CZ53" s="110">
        <f t="shared" si="293"/>
        <v>0</v>
      </c>
      <c r="DA53" s="110">
        <f t="shared" si="294"/>
        <v>0</v>
      </c>
      <c r="DB53" s="110">
        <f t="shared" si="295"/>
        <v>0</v>
      </c>
      <c r="DC53" s="110">
        <f t="shared" si="296"/>
        <v>0</v>
      </c>
      <c r="DD53" s="110">
        <f t="shared" si="297"/>
        <v>0</v>
      </c>
      <c r="DE53" s="110">
        <f t="shared" si="298"/>
        <v>0</v>
      </c>
      <c r="DF53" s="110">
        <f t="shared" si="299"/>
        <v>0</v>
      </c>
      <c r="DG53" s="110">
        <f t="shared" si="300"/>
        <v>0</v>
      </c>
      <c r="DI53" s="111"/>
      <c r="DJ53" s="110">
        <f t="shared" si="301"/>
        <v>0</v>
      </c>
      <c r="DK53" s="110">
        <f t="shared" si="302"/>
        <v>0</v>
      </c>
      <c r="DL53" s="110">
        <f t="shared" si="303"/>
        <v>0</v>
      </c>
      <c r="DM53" s="110">
        <f t="shared" si="304"/>
        <v>0</v>
      </c>
      <c r="DN53" s="110">
        <f t="shared" si="305"/>
        <v>0</v>
      </c>
      <c r="DO53" s="110">
        <f t="shared" si="306"/>
        <v>0</v>
      </c>
      <c r="DP53" s="110">
        <f t="shared" si="307"/>
        <v>0</v>
      </c>
      <c r="DQ53" s="110">
        <f t="shared" si="308"/>
        <v>0</v>
      </c>
      <c r="DR53" s="110">
        <f t="shared" si="309"/>
        <v>0</v>
      </c>
      <c r="DS53" s="110">
        <f t="shared" si="310"/>
        <v>0</v>
      </c>
      <c r="DT53" s="110">
        <f t="shared" si="311"/>
        <v>0</v>
      </c>
      <c r="DU53" s="110">
        <f t="shared" si="312"/>
        <v>0</v>
      </c>
      <c r="DW53" s="111"/>
      <c r="DX53" s="110">
        <f t="shared" si="313"/>
        <v>0</v>
      </c>
      <c r="DY53" s="110">
        <f t="shared" si="314"/>
        <v>0</v>
      </c>
      <c r="DZ53" s="110">
        <f t="shared" si="315"/>
        <v>0</v>
      </c>
      <c r="EA53" s="110">
        <f t="shared" si="316"/>
        <v>0</v>
      </c>
      <c r="EB53" s="110">
        <f t="shared" si="317"/>
        <v>0</v>
      </c>
      <c r="EC53" s="110">
        <f t="shared" si="318"/>
        <v>0</v>
      </c>
      <c r="ED53" s="110">
        <f t="shared" si="319"/>
        <v>0</v>
      </c>
      <c r="EE53" s="110">
        <f t="shared" si="320"/>
        <v>0</v>
      </c>
      <c r="EF53" s="110">
        <f t="shared" si="321"/>
        <v>0</v>
      </c>
      <c r="EG53" s="110">
        <f t="shared" si="322"/>
        <v>0</v>
      </c>
      <c r="EH53" s="110">
        <f t="shared" si="323"/>
        <v>0</v>
      </c>
      <c r="EI53" s="110">
        <f t="shared" si="324"/>
        <v>0</v>
      </c>
      <c r="EK53" s="111"/>
      <c r="EL53" s="110">
        <f t="shared" si="325"/>
        <v>-3.999999999996362E-2</v>
      </c>
      <c r="EM53" s="110">
        <f t="shared" si="326"/>
        <v>0</v>
      </c>
      <c r="EN53" s="110">
        <f t="shared" si="327"/>
        <v>0</v>
      </c>
      <c r="EP53" s="109" cm="1">
        <f t="array" ref="EP53">+IFERROR(INDEX($C$3:$AM$3,MATCH(TRUE,INDEX($C53:$AM53&lt;&gt;0,0),0)),"N/A")</f>
        <v>44926</v>
      </c>
      <c r="EQ53" s="112"/>
      <c r="ER53" s="1" t="str" cm="1">
        <f t="array" ref="ER53">+_xlfn.IFS(EW53&lt;&gt;0,EW$2,FB53&lt;&gt;0,FB$2,FG53&lt;&gt;0,FG$2,FL53&lt;&gt;0,FL$2,TRUE,"")</f>
        <v>Downsell</v>
      </c>
      <c r="ES53" s="1" t="str" cm="1">
        <f t="array" ref="ES53">+_xlfn.IFS(EX53&lt;&gt;0,EX$2,FC53&lt;&gt;0,FC$2,FH53&lt;&gt;0,FH$2,FM53&lt;&gt;0,FM$2,TRUE,"")</f>
        <v/>
      </c>
      <c r="ET53" s="1" t="str" cm="1">
        <f t="array" ref="ET53">+_xlfn.IFS(EY53&lt;&gt;0,EY$2,FD53&lt;&gt;0,FD$2,FI53&lt;&gt;0,FI$2,FN53&lt;&gt;0,FN$2,TRUE,"")</f>
        <v/>
      </c>
      <c r="EV53" s="111"/>
      <c r="EW53" s="110">
        <f t="shared" si="328"/>
        <v>0</v>
      </c>
      <c r="EX53" s="110">
        <f t="shared" si="329"/>
        <v>0</v>
      </c>
      <c r="EY53" s="110">
        <f t="shared" si="330"/>
        <v>0</v>
      </c>
      <c r="FA53" s="111"/>
      <c r="FB53" s="110">
        <f t="shared" si="331"/>
        <v>0</v>
      </c>
      <c r="FC53" s="110">
        <f t="shared" si="332"/>
        <v>0</v>
      </c>
      <c r="FD53" s="110">
        <f t="shared" si="333"/>
        <v>0</v>
      </c>
      <c r="FF53" s="111"/>
      <c r="FG53" s="110">
        <f t="shared" si="334"/>
        <v>-3.999999999996362E-2</v>
      </c>
      <c r="FH53" s="110">
        <f t="shared" si="335"/>
        <v>0</v>
      </c>
      <c r="FI53" s="110">
        <f t="shared" si="336"/>
        <v>0</v>
      </c>
      <c r="FK53" s="111"/>
      <c r="FL53" s="110">
        <f t="shared" si="337"/>
        <v>0</v>
      </c>
      <c r="FM53" s="110">
        <f t="shared" si="338"/>
        <v>0</v>
      </c>
      <c r="FN53" s="110">
        <f t="shared" si="339"/>
        <v>0</v>
      </c>
      <c r="FP53" s="111"/>
      <c r="FQ53" s="110">
        <f t="shared" si="340"/>
        <v>0</v>
      </c>
      <c r="FR53" s="110">
        <f t="shared" si="341"/>
        <v>0</v>
      </c>
      <c r="FS53" s="110">
        <f t="shared" si="342"/>
        <v>0</v>
      </c>
      <c r="FU53" s="111">
        <f t="shared" si="343"/>
        <v>-3.999999999996362E-2</v>
      </c>
      <c r="FV53" s="110">
        <f t="shared" si="344"/>
        <v>-3.999999999996362E-2</v>
      </c>
      <c r="FW53" s="110">
        <f t="shared" si="345"/>
        <v>-3.999999999996362E-2</v>
      </c>
      <c r="FX53" s="110">
        <f t="shared" si="346"/>
        <v>-3.999999999996362E-2</v>
      </c>
      <c r="FY53" s="110">
        <f t="shared" si="347"/>
        <v>-3.999999999996362E-2</v>
      </c>
      <c r="FZ53" s="110">
        <f t="shared" si="348"/>
        <v>-3.999999999996362E-2</v>
      </c>
      <c r="GA53" s="110">
        <f t="shared" si="349"/>
        <v>-3.999999999996362E-2</v>
      </c>
      <c r="GB53" s="110">
        <f t="shared" si="350"/>
        <v>-3.999999999996362E-2</v>
      </c>
      <c r="GC53" s="110">
        <f t="shared" si="351"/>
        <v>-3.999999999996362E-2</v>
      </c>
      <c r="GD53" s="110">
        <f t="shared" si="352"/>
        <v>0</v>
      </c>
      <c r="GE53" s="110">
        <f t="shared" si="353"/>
        <v>0</v>
      </c>
      <c r="GF53" s="110">
        <f t="shared" si="354"/>
        <v>0</v>
      </c>
      <c r="GG53" s="110">
        <f t="shared" si="355"/>
        <v>0</v>
      </c>
      <c r="GH53" s="110">
        <f t="shared" si="356"/>
        <v>0</v>
      </c>
      <c r="GI53" s="110">
        <f t="shared" si="357"/>
        <v>0</v>
      </c>
      <c r="GJ53" s="110">
        <f t="shared" si="358"/>
        <v>0</v>
      </c>
      <c r="GK53" s="110">
        <f t="shared" si="359"/>
        <v>0</v>
      </c>
      <c r="GL53" s="110">
        <f t="shared" si="360"/>
        <v>0</v>
      </c>
      <c r="GM53" s="110">
        <f t="shared" si="361"/>
        <v>0</v>
      </c>
      <c r="GN53" s="110">
        <f t="shared" si="362"/>
        <v>0</v>
      </c>
      <c r="GO53" s="110">
        <f t="shared" si="363"/>
        <v>0</v>
      </c>
      <c r="GP53" s="110">
        <f t="shared" si="364"/>
        <v>0</v>
      </c>
      <c r="GQ53" s="110">
        <f t="shared" si="365"/>
        <v>0</v>
      </c>
      <c r="GR53" s="110">
        <f t="shared" si="366"/>
        <v>0</v>
      </c>
      <c r="GS53" s="110">
        <f t="shared" si="367"/>
        <v>0</v>
      </c>
      <c r="GU53" s="109" cm="1">
        <f t="array" ref="GU53">+IFERROR(INDEX($C$3:$AM$3,MATCH(TRUE,INDEX($C53:$AM53&lt;&gt;0,0),0)),"N/A")</f>
        <v>44926</v>
      </c>
      <c r="GV53" s="112" t="str" cm="1">
        <f t="array" ref="GV53">+_xlfn.IFS(HV53&lt;&gt;0,HV$2,IV53&lt;&gt;0,IV$2,JV53&lt;&gt;0,JV$2,KV53&lt;&gt;0,KV$2,TRUE,"")</f>
        <v>Downsell</v>
      </c>
      <c r="GW53" s="1" t="str" cm="1">
        <f t="array" ref="GW53">+_xlfn.IFS(HW53&lt;&gt;0,HW$2,IW53&lt;&gt;0,IW$2,JW53&lt;&gt;0,JW$2,KW53&lt;&gt;0,KW$2,TRUE,"")</f>
        <v>Downsell</v>
      </c>
      <c r="GX53" s="1" t="str" cm="1">
        <f t="array" ref="GX53">+_xlfn.IFS(HX53&lt;&gt;0,HX$2,IX53&lt;&gt;0,IX$2,JX53&lt;&gt;0,JX$2,KX53&lt;&gt;0,KX$2,TRUE,"")</f>
        <v>Downsell</v>
      </c>
      <c r="GY53" s="1" t="str" cm="1">
        <f t="array" ref="GY53">+_xlfn.IFS(HY53&lt;&gt;0,HY$2,IY53&lt;&gt;0,IY$2,JY53&lt;&gt;0,JY$2,KY53&lt;&gt;0,KY$2,TRUE,"")</f>
        <v>Downsell</v>
      </c>
      <c r="GZ53" s="1" t="str" cm="1">
        <f t="array" ref="GZ53">+_xlfn.IFS(HZ53&lt;&gt;0,HZ$2,IZ53&lt;&gt;0,IZ$2,JZ53&lt;&gt;0,JZ$2,KZ53&lt;&gt;0,KZ$2,TRUE,"")</f>
        <v>Downsell</v>
      </c>
      <c r="HA53" s="1" t="str" cm="1">
        <f t="array" ref="HA53">+_xlfn.IFS(IA53&lt;&gt;0,IA$2,JA53&lt;&gt;0,JA$2,KA53&lt;&gt;0,KA$2,LA53&lt;&gt;0,LA$2,TRUE,"")</f>
        <v>Downsell</v>
      </c>
      <c r="HB53" s="1" t="str" cm="1">
        <f t="array" ref="HB53">+_xlfn.IFS(IB53&lt;&gt;0,IB$2,JB53&lt;&gt;0,JB$2,KB53&lt;&gt;0,KB$2,LB53&lt;&gt;0,LB$2,TRUE,"")</f>
        <v>Downsell</v>
      </c>
      <c r="HC53" s="1" t="str" cm="1">
        <f t="array" ref="HC53">+_xlfn.IFS(IC53&lt;&gt;0,IC$2,JC53&lt;&gt;0,JC$2,KC53&lt;&gt;0,KC$2,LC53&lt;&gt;0,LC$2,TRUE,"")</f>
        <v>Downsell</v>
      </c>
      <c r="HD53" s="1" t="str" cm="1">
        <f t="array" ref="HD53">+_xlfn.IFS(ID53&lt;&gt;0,ID$2,JD53&lt;&gt;0,JD$2,KD53&lt;&gt;0,KD$2,LD53&lt;&gt;0,LD$2,TRUE,"")</f>
        <v>Downsell</v>
      </c>
      <c r="HE53" s="1" t="str" cm="1">
        <f t="array" ref="HE53">+_xlfn.IFS(IE53&lt;&gt;0,IE$2,JE53&lt;&gt;0,JE$2,KE53&lt;&gt;0,KE$2,LE53&lt;&gt;0,LE$2,TRUE,"")</f>
        <v/>
      </c>
      <c r="HF53" s="1" t="str" cm="1">
        <f t="array" ref="HF53">+_xlfn.IFS(IF53&lt;&gt;0,IF$2,JF53&lt;&gt;0,JF$2,KF53&lt;&gt;0,KF$2,LF53&lt;&gt;0,LF$2,TRUE,"")</f>
        <v/>
      </c>
      <c r="HG53" s="1" t="str" cm="1">
        <f t="array" ref="HG53">+_xlfn.IFS(IG53&lt;&gt;0,IG$2,JG53&lt;&gt;0,JG$2,KG53&lt;&gt;0,KG$2,LG53&lt;&gt;0,LG$2,TRUE,"")</f>
        <v/>
      </c>
      <c r="HH53" s="1" t="str" cm="1">
        <f t="array" ref="HH53">+_xlfn.IFS(IH53&lt;&gt;0,IH$2,JH53&lt;&gt;0,JH$2,KH53&lt;&gt;0,KH$2,LH53&lt;&gt;0,LH$2,TRUE,"")</f>
        <v/>
      </c>
      <c r="HI53" s="1" t="str" cm="1">
        <f t="array" ref="HI53">+_xlfn.IFS(II53&lt;&gt;0,II$2,JI53&lt;&gt;0,JI$2,KI53&lt;&gt;0,KI$2,LI53&lt;&gt;0,LI$2,TRUE,"")</f>
        <v/>
      </c>
      <c r="HJ53" s="1" t="str" cm="1">
        <f t="array" ref="HJ53">+_xlfn.IFS(IJ53&lt;&gt;0,IJ$2,JJ53&lt;&gt;0,JJ$2,KJ53&lt;&gt;0,KJ$2,LJ53&lt;&gt;0,LJ$2,TRUE,"")</f>
        <v/>
      </c>
      <c r="HK53" s="1" t="str" cm="1">
        <f t="array" ref="HK53">+_xlfn.IFS(IK53&lt;&gt;0,IK$2,JK53&lt;&gt;0,JK$2,KK53&lt;&gt;0,KK$2,LK53&lt;&gt;0,LK$2,TRUE,"")</f>
        <v/>
      </c>
      <c r="HL53" s="1" t="str" cm="1">
        <f t="array" ref="HL53">+_xlfn.IFS(IL53&lt;&gt;0,IL$2,JL53&lt;&gt;0,JL$2,KL53&lt;&gt;0,KL$2,LL53&lt;&gt;0,LL$2,TRUE,"")</f>
        <v/>
      </c>
      <c r="HM53" s="1" t="str" cm="1">
        <f t="array" ref="HM53">+_xlfn.IFS(IM53&lt;&gt;0,IM$2,JM53&lt;&gt;0,JM$2,KM53&lt;&gt;0,KM$2,LM53&lt;&gt;0,LM$2,TRUE,"")</f>
        <v/>
      </c>
      <c r="HN53" s="1" t="str" cm="1">
        <f t="array" ref="HN53">+_xlfn.IFS(IN53&lt;&gt;0,IN$2,JN53&lt;&gt;0,JN$2,KN53&lt;&gt;0,KN$2,LN53&lt;&gt;0,LN$2,TRUE,"")</f>
        <v/>
      </c>
      <c r="HO53" s="1" t="str" cm="1">
        <f t="array" ref="HO53">+_xlfn.IFS(IO53&lt;&gt;0,IO$2,JO53&lt;&gt;0,JO$2,KO53&lt;&gt;0,KO$2,LO53&lt;&gt;0,LO$2,TRUE,"")</f>
        <v/>
      </c>
      <c r="HP53" s="1" t="str" cm="1">
        <f t="array" ref="HP53">+_xlfn.IFS(IP53&lt;&gt;0,IP$2,JP53&lt;&gt;0,JP$2,KP53&lt;&gt;0,KP$2,LP53&lt;&gt;0,LP$2,TRUE,"")</f>
        <v/>
      </c>
      <c r="HQ53" s="1" t="str" cm="1">
        <f t="array" ref="HQ53">+_xlfn.IFS(IQ53&lt;&gt;0,IQ$2,JQ53&lt;&gt;0,JQ$2,KQ53&lt;&gt;0,KQ$2,LQ53&lt;&gt;0,LQ$2,TRUE,"")</f>
        <v/>
      </c>
      <c r="HR53" s="1" t="str" cm="1">
        <f t="array" ref="HR53">+_xlfn.IFS(IR53&lt;&gt;0,IR$2,JR53&lt;&gt;0,JR$2,KR53&lt;&gt;0,KR$2,LR53&lt;&gt;0,LR$2,TRUE,"")</f>
        <v/>
      </c>
      <c r="HS53" s="1" t="str" cm="1">
        <f t="array" ref="HS53">+_xlfn.IFS(IS53&lt;&gt;0,IS$2,JS53&lt;&gt;0,JS$2,KS53&lt;&gt;0,KS$2,LS53&lt;&gt;0,LS$2,TRUE,"")</f>
        <v/>
      </c>
      <c r="HT53" s="1" t="str" cm="1">
        <f t="array" ref="HT53">+_xlfn.IFS(IT53&lt;&gt;0,IT$2,JT53&lt;&gt;0,JT$2,KT53&lt;&gt;0,KT$2,LT53&lt;&gt;0,LT$2,TRUE,"")</f>
        <v/>
      </c>
      <c r="HV53" s="111">
        <f t="shared" si="368"/>
        <v>0</v>
      </c>
      <c r="HW53" s="110">
        <f t="shared" si="369"/>
        <v>0</v>
      </c>
      <c r="HX53" s="110">
        <f t="shared" si="370"/>
        <v>0</v>
      </c>
      <c r="HY53" s="110">
        <f t="shared" si="371"/>
        <v>0</v>
      </c>
      <c r="HZ53" s="110">
        <f t="shared" si="372"/>
        <v>0</v>
      </c>
      <c r="IA53" s="110">
        <f t="shared" si="373"/>
        <v>0</v>
      </c>
      <c r="IB53" s="110">
        <f t="shared" si="374"/>
        <v>0</v>
      </c>
      <c r="IC53" s="110">
        <f t="shared" si="375"/>
        <v>0</v>
      </c>
      <c r="ID53" s="110">
        <f t="shared" si="376"/>
        <v>0</v>
      </c>
      <c r="IE53" s="110">
        <f t="shared" si="377"/>
        <v>0</v>
      </c>
      <c r="IF53" s="110">
        <f t="shared" si="378"/>
        <v>0</v>
      </c>
      <c r="IG53" s="110">
        <f t="shared" si="379"/>
        <v>0</v>
      </c>
      <c r="IH53" s="110">
        <f t="shared" si="380"/>
        <v>0</v>
      </c>
      <c r="II53" s="110">
        <f t="shared" si="381"/>
        <v>0</v>
      </c>
      <c r="IJ53" s="110">
        <f t="shared" si="382"/>
        <v>0</v>
      </c>
      <c r="IK53" s="110">
        <f t="shared" si="383"/>
        <v>0</v>
      </c>
      <c r="IL53" s="110">
        <f t="shared" si="384"/>
        <v>0</v>
      </c>
      <c r="IM53" s="110">
        <f t="shared" si="385"/>
        <v>0</v>
      </c>
      <c r="IN53" s="110">
        <f t="shared" si="386"/>
        <v>0</v>
      </c>
      <c r="IO53" s="110">
        <f t="shared" si="387"/>
        <v>0</v>
      </c>
      <c r="IP53" s="110">
        <f t="shared" si="388"/>
        <v>0</v>
      </c>
      <c r="IQ53" s="110">
        <f t="shared" si="389"/>
        <v>0</v>
      </c>
      <c r="IR53" s="110">
        <f t="shared" si="390"/>
        <v>0</v>
      </c>
      <c r="IS53" s="110">
        <f t="shared" si="391"/>
        <v>0</v>
      </c>
      <c r="IT53" s="110">
        <f t="shared" si="392"/>
        <v>0</v>
      </c>
      <c r="IV53" s="111">
        <f t="shared" si="393"/>
        <v>0</v>
      </c>
      <c r="IW53" s="110">
        <f t="shared" si="394"/>
        <v>0</v>
      </c>
      <c r="IX53" s="110">
        <f t="shared" si="395"/>
        <v>0</v>
      </c>
      <c r="IY53" s="110">
        <f t="shared" si="396"/>
        <v>0</v>
      </c>
      <c r="IZ53" s="110">
        <f t="shared" si="397"/>
        <v>0</v>
      </c>
      <c r="JA53" s="110">
        <f t="shared" si="398"/>
        <v>0</v>
      </c>
      <c r="JB53" s="110">
        <f t="shared" si="399"/>
        <v>0</v>
      </c>
      <c r="JC53" s="110">
        <f t="shared" si="400"/>
        <v>0</v>
      </c>
      <c r="JD53" s="110">
        <f t="shared" si="401"/>
        <v>0</v>
      </c>
      <c r="JE53" s="110">
        <f t="shared" si="402"/>
        <v>0</v>
      </c>
      <c r="JF53" s="110">
        <f t="shared" si="403"/>
        <v>0</v>
      </c>
      <c r="JG53" s="110">
        <f t="shared" si="404"/>
        <v>0</v>
      </c>
      <c r="JH53" s="110">
        <f t="shared" si="405"/>
        <v>0</v>
      </c>
      <c r="JI53" s="110">
        <f t="shared" si="406"/>
        <v>0</v>
      </c>
      <c r="JJ53" s="110">
        <f t="shared" si="407"/>
        <v>0</v>
      </c>
      <c r="JK53" s="110">
        <f t="shared" si="408"/>
        <v>0</v>
      </c>
      <c r="JL53" s="110">
        <f t="shared" si="409"/>
        <v>0</v>
      </c>
      <c r="JM53" s="110">
        <f t="shared" si="410"/>
        <v>0</v>
      </c>
      <c r="JN53" s="110">
        <f t="shared" si="411"/>
        <v>0</v>
      </c>
      <c r="JO53" s="110">
        <f t="shared" si="412"/>
        <v>0</v>
      </c>
      <c r="JP53" s="110">
        <f t="shared" si="413"/>
        <v>0</v>
      </c>
      <c r="JQ53" s="110">
        <f t="shared" si="414"/>
        <v>0</v>
      </c>
      <c r="JR53" s="110">
        <f t="shared" si="415"/>
        <v>0</v>
      </c>
      <c r="JS53" s="110">
        <f t="shared" si="416"/>
        <v>0</v>
      </c>
      <c r="JT53" s="110">
        <f t="shared" si="417"/>
        <v>0</v>
      </c>
      <c r="JV53" s="111">
        <f t="shared" si="418"/>
        <v>-3.999999999996362E-2</v>
      </c>
      <c r="JW53" s="110">
        <f t="shared" si="419"/>
        <v>-3.999999999996362E-2</v>
      </c>
      <c r="JX53" s="110">
        <f t="shared" si="420"/>
        <v>-3.999999999996362E-2</v>
      </c>
      <c r="JY53" s="110">
        <f t="shared" si="421"/>
        <v>-3.999999999996362E-2</v>
      </c>
      <c r="JZ53" s="110">
        <f t="shared" si="422"/>
        <v>-3.999999999996362E-2</v>
      </c>
      <c r="KA53" s="110">
        <f t="shared" si="423"/>
        <v>-3.999999999996362E-2</v>
      </c>
      <c r="KB53" s="110">
        <f t="shared" si="424"/>
        <v>-3.999999999996362E-2</v>
      </c>
      <c r="KC53" s="110">
        <f t="shared" si="425"/>
        <v>-3.999999999996362E-2</v>
      </c>
      <c r="KD53" s="110">
        <f t="shared" si="426"/>
        <v>-3.999999999996362E-2</v>
      </c>
      <c r="KE53" s="110">
        <f t="shared" si="427"/>
        <v>0</v>
      </c>
      <c r="KF53" s="110">
        <f t="shared" si="428"/>
        <v>0</v>
      </c>
      <c r="KG53" s="110">
        <f t="shared" si="429"/>
        <v>0</v>
      </c>
      <c r="KH53" s="110">
        <f t="shared" si="430"/>
        <v>0</v>
      </c>
      <c r="KI53" s="110">
        <f t="shared" si="431"/>
        <v>0</v>
      </c>
      <c r="KJ53" s="110">
        <f t="shared" si="432"/>
        <v>0</v>
      </c>
      <c r="KK53" s="110">
        <f t="shared" si="433"/>
        <v>0</v>
      </c>
      <c r="KL53" s="110">
        <f t="shared" si="434"/>
        <v>0</v>
      </c>
      <c r="KM53" s="110">
        <f t="shared" si="435"/>
        <v>0</v>
      </c>
      <c r="KN53" s="110">
        <f t="shared" si="436"/>
        <v>0</v>
      </c>
      <c r="KO53" s="110">
        <f t="shared" si="437"/>
        <v>0</v>
      </c>
      <c r="KP53" s="110">
        <f t="shared" si="438"/>
        <v>0</v>
      </c>
      <c r="KQ53" s="110">
        <f t="shared" si="439"/>
        <v>0</v>
      </c>
      <c r="KR53" s="110">
        <f t="shared" si="440"/>
        <v>0</v>
      </c>
      <c r="KS53" s="110">
        <f t="shared" si="441"/>
        <v>0</v>
      </c>
      <c r="KT53" s="110">
        <f t="shared" si="442"/>
        <v>0</v>
      </c>
      <c r="KV53" s="111">
        <f t="shared" si="443"/>
        <v>0</v>
      </c>
      <c r="KW53" s="110">
        <f t="shared" si="444"/>
        <v>0</v>
      </c>
      <c r="KX53" s="110">
        <f t="shared" si="445"/>
        <v>0</v>
      </c>
      <c r="KY53" s="110">
        <f t="shared" si="446"/>
        <v>0</v>
      </c>
      <c r="KZ53" s="110">
        <f t="shared" si="447"/>
        <v>0</v>
      </c>
      <c r="LA53" s="110">
        <f t="shared" si="448"/>
        <v>0</v>
      </c>
      <c r="LB53" s="110">
        <f t="shared" si="449"/>
        <v>0</v>
      </c>
      <c r="LC53" s="110">
        <f t="shared" si="450"/>
        <v>0</v>
      </c>
      <c r="LD53" s="110">
        <f t="shared" si="451"/>
        <v>0</v>
      </c>
      <c r="LE53" s="110">
        <f t="shared" si="452"/>
        <v>0</v>
      </c>
      <c r="LF53" s="110">
        <f t="shared" si="453"/>
        <v>0</v>
      </c>
      <c r="LG53" s="110">
        <f t="shared" si="454"/>
        <v>0</v>
      </c>
      <c r="LH53" s="110">
        <f t="shared" si="455"/>
        <v>0</v>
      </c>
      <c r="LI53" s="110">
        <f t="shared" si="456"/>
        <v>0</v>
      </c>
      <c r="LJ53" s="110">
        <f t="shared" si="457"/>
        <v>0</v>
      </c>
      <c r="LK53" s="110">
        <f t="shared" si="458"/>
        <v>0</v>
      </c>
      <c r="LL53" s="110">
        <f t="shared" si="459"/>
        <v>0</v>
      </c>
      <c r="LM53" s="110">
        <f t="shared" si="460"/>
        <v>0</v>
      </c>
      <c r="LN53" s="110">
        <f t="shared" si="461"/>
        <v>0</v>
      </c>
      <c r="LO53" s="110">
        <f t="shared" si="462"/>
        <v>0</v>
      </c>
      <c r="LP53" s="110">
        <f t="shared" si="463"/>
        <v>0</v>
      </c>
      <c r="LQ53" s="110">
        <f t="shared" si="464"/>
        <v>0</v>
      </c>
      <c r="LR53" s="110">
        <f t="shared" si="465"/>
        <v>0</v>
      </c>
      <c r="LS53" s="110">
        <f t="shared" si="466"/>
        <v>0</v>
      </c>
      <c r="LT53" s="110">
        <f t="shared" si="467"/>
        <v>0</v>
      </c>
      <c r="LV53" s="111"/>
      <c r="LW53" s="110">
        <f t="shared" si="468"/>
        <v>0</v>
      </c>
      <c r="LX53" s="110">
        <f t="shared" si="469"/>
        <v>0</v>
      </c>
      <c r="LY53" s="110">
        <f t="shared" si="470"/>
        <v>0</v>
      </c>
      <c r="LZ53" s="110">
        <f t="shared" si="471"/>
        <v>0</v>
      </c>
      <c r="MA53" s="110">
        <f t="shared" si="472"/>
        <v>0</v>
      </c>
      <c r="MB53" s="110">
        <f t="shared" si="473"/>
        <v>0</v>
      </c>
      <c r="MC53" s="110">
        <f t="shared" si="474"/>
        <v>0</v>
      </c>
      <c r="MD53" s="110">
        <f t="shared" si="475"/>
        <v>0</v>
      </c>
      <c r="ME53" s="110">
        <f t="shared" si="476"/>
        <v>0</v>
      </c>
      <c r="MF53" s="110">
        <f t="shared" si="477"/>
        <v>0</v>
      </c>
      <c r="MG53" s="110">
        <f t="shared" si="478"/>
        <v>0</v>
      </c>
      <c r="MH53" s="110">
        <f t="shared" si="479"/>
        <v>0</v>
      </c>
      <c r="MI53" s="110">
        <f t="shared" si="480"/>
        <v>0</v>
      </c>
      <c r="MJ53" s="110">
        <f t="shared" si="481"/>
        <v>0</v>
      </c>
      <c r="MK53" s="110">
        <f t="shared" si="482"/>
        <v>0</v>
      </c>
      <c r="ML53" s="110">
        <f t="shared" si="483"/>
        <v>0</v>
      </c>
      <c r="MM53" s="110">
        <f t="shared" si="484"/>
        <v>0</v>
      </c>
      <c r="MN53" s="110">
        <f t="shared" si="485"/>
        <v>0</v>
      </c>
      <c r="MO53" s="110">
        <f t="shared" si="486"/>
        <v>0</v>
      </c>
      <c r="MP53" s="110">
        <f t="shared" si="487"/>
        <v>0</v>
      </c>
      <c r="MQ53" s="110">
        <f t="shared" si="488"/>
        <v>0</v>
      </c>
      <c r="MR53" s="110">
        <f t="shared" si="489"/>
        <v>0</v>
      </c>
      <c r="MS53" s="110">
        <f t="shared" si="490"/>
        <v>0</v>
      </c>
      <c r="MT53" s="110">
        <f t="shared" si="491"/>
        <v>0</v>
      </c>
      <c r="MV53" s="114">
        <v>279.16000000000003</v>
      </c>
      <c r="MW53" s="114">
        <v>0</v>
      </c>
      <c r="MX53" s="114">
        <v>0</v>
      </c>
      <c r="MY53" s="114">
        <v>0</v>
      </c>
      <c r="MZ53" s="114">
        <v>0</v>
      </c>
      <c r="NB53" s="115">
        <v>37</v>
      </c>
      <c r="NC53" s="115" t="str">
        <v>N/A</v>
      </c>
      <c r="ND53" s="115" t="str">
        <v>N/A</v>
      </c>
      <c r="NE53" s="115" t="str">
        <v>N/A</v>
      </c>
      <c r="NF53" s="115" t="str">
        <v>N/A</v>
      </c>
    </row>
    <row r="54" spans="2:370" ht="13.5" x14ac:dyDescent="0.25">
      <c r="B54" s="8">
        <f t="shared" si="252"/>
        <v>51</v>
      </c>
      <c r="C54" s="7">
        <v>349</v>
      </c>
      <c r="D54" s="7">
        <v>349</v>
      </c>
      <c r="E54" s="7">
        <v>349</v>
      </c>
      <c r="F54" s="7">
        <v>349</v>
      </c>
      <c r="G54" s="7">
        <v>349</v>
      </c>
      <c r="H54" s="7">
        <v>349</v>
      </c>
      <c r="I54" s="7">
        <v>349</v>
      </c>
      <c r="J54" s="7">
        <v>349</v>
      </c>
      <c r="K54" s="7">
        <v>349</v>
      </c>
      <c r="L54" s="7">
        <v>349</v>
      </c>
      <c r="M54" s="7">
        <v>349</v>
      </c>
      <c r="N54" s="7">
        <v>349</v>
      </c>
      <c r="O54" s="7">
        <v>349</v>
      </c>
      <c r="P54" s="7">
        <v>349</v>
      </c>
      <c r="Q54" s="7">
        <v>349</v>
      </c>
      <c r="R54" s="7">
        <v>349</v>
      </c>
      <c r="S54" s="7">
        <v>349</v>
      </c>
      <c r="T54" s="7">
        <v>349</v>
      </c>
      <c r="U54" s="7">
        <v>349</v>
      </c>
      <c r="V54" s="7">
        <v>349</v>
      </c>
      <c r="W54" s="7">
        <v>349</v>
      </c>
      <c r="X54" s="7">
        <v>349</v>
      </c>
      <c r="Y54" s="7">
        <v>349</v>
      </c>
      <c r="Z54" s="7">
        <v>349</v>
      </c>
      <c r="AA54" s="7">
        <v>349</v>
      </c>
      <c r="AB54" s="7">
        <v>349</v>
      </c>
      <c r="AC54" s="7">
        <v>349</v>
      </c>
      <c r="AD54" s="7">
        <v>361.22</v>
      </c>
      <c r="AE54" s="7">
        <v>361.22</v>
      </c>
      <c r="AF54" s="7">
        <v>361.22</v>
      </c>
      <c r="AG54" s="7">
        <v>361.22</v>
      </c>
      <c r="AH54" s="7">
        <v>361.22</v>
      </c>
      <c r="AI54" s="7">
        <v>361.22</v>
      </c>
      <c r="AJ54" s="7">
        <v>361.22</v>
      </c>
      <c r="AK54" s="7">
        <v>361.22</v>
      </c>
      <c r="AL54" s="7">
        <v>361.22</v>
      </c>
      <c r="AM54" s="7">
        <v>361.22</v>
      </c>
      <c r="AN54" s="27">
        <v>51</v>
      </c>
      <c r="AP54" s="111"/>
      <c r="AQ54" s="110">
        <f t="shared" si="253"/>
        <v>0</v>
      </c>
      <c r="AR54" s="110">
        <f t="shared" si="254"/>
        <v>0</v>
      </c>
      <c r="AS54" s="110">
        <f t="shared" si="255"/>
        <v>0</v>
      </c>
      <c r="AT54" s="110">
        <f t="shared" si="256"/>
        <v>0</v>
      </c>
      <c r="AU54" s="110">
        <f t="shared" si="257"/>
        <v>0</v>
      </c>
      <c r="AV54" s="110">
        <f t="shared" si="258"/>
        <v>0</v>
      </c>
      <c r="AW54" s="110">
        <f t="shared" si="259"/>
        <v>0</v>
      </c>
      <c r="AX54" s="110">
        <f t="shared" si="260"/>
        <v>0</v>
      </c>
      <c r="AY54" s="110">
        <f t="shared" si="261"/>
        <v>12.220000000000027</v>
      </c>
      <c r="AZ54" s="110">
        <f t="shared" si="262"/>
        <v>0</v>
      </c>
      <c r="BA54" s="110">
        <f t="shared" si="263"/>
        <v>0</v>
      </c>
      <c r="BB54" s="110">
        <f t="shared" si="264"/>
        <v>0</v>
      </c>
      <c r="BD54" s="109" cm="1">
        <f t="array" ref="BD54">+IFERROR(INDEX($C$3:$AM$3,MATCH(TRUE,INDEX($C54:$AM54&lt;&gt;0,0),0)),"N/A")</f>
        <v>44926</v>
      </c>
      <c r="BE54" s="112"/>
      <c r="BF54" s="1" t="str" cm="1">
        <f t="array" ref="BF54">+_xlfn.IFS(BT54&lt;&gt;0,BT$2,CH54&lt;&gt;0,CH$2,CV54&lt;&gt;0,CV$2,DJ54&lt;&gt;0,DJ$2,TRUE,"")</f>
        <v/>
      </c>
      <c r="BG54" s="1" t="str" cm="1">
        <f t="array" ref="BG54">+_xlfn.IFS(BU54&lt;&gt;0,BU$2,CI54&lt;&gt;0,CI$2,CW54&lt;&gt;0,CW$2,DK54&lt;&gt;0,DK$2,TRUE,"")</f>
        <v/>
      </c>
      <c r="BH54" s="1" t="str" cm="1">
        <f t="array" ref="BH54">+_xlfn.IFS(BV54&lt;&gt;0,BV$2,CJ54&lt;&gt;0,CJ$2,CX54&lt;&gt;0,CX$2,DL54&lt;&gt;0,DL$2,TRUE,"")</f>
        <v/>
      </c>
      <c r="BI54" s="1" t="str" cm="1">
        <f t="array" ref="BI54">+_xlfn.IFS(BW54&lt;&gt;0,BW$2,CK54&lt;&gt;0,CK$2,CY54&lt;&gt;0,CY$2,DM54&lt;&gt;0,DM$2,TRUE,"")</f>
        <v/>
      </c>
      <c r="BJ54" s="1" t="str" cm="1">
        <f t="array" ref="BJ54">+_xlfn.IFS(BX54&lt;&gt;0,BX$2,CL54&lt;&gt;0,CL$2,CZ54&lt;&gt;0,CZ$2,DN54&lt;&gt;0,DN$2,TRUE,"")</f>
        <v/>
      </c>
      <c r="BK54" s="1" t="str" cm="1">
        <f t="array" ref="BK54">+_xlfn.IFS(BY54&lt;&gt;0,BY$2,CM54&lt;&gt;0,CM$2,DA54&lt;&gt;0,DA$2,DO54&lt;&gt;0,DO$2,TRUE,"")</f>
        <v/>
      </c>
      <c r="BL54" s="1" t="str" cm="1">
        <f t="array" ref="BL54">+_xlfn.IFS(BZ54&lt;&gt;0,BZ$2,CN54&lt;&gt;0,CN$2,DB54&lt;&gt;0,DB$2,DP54&lt;&gt;0,DP$2,TRUE,"")</f>
        <v/>
      </c>
      <c r="BM54" s="1" t="str" cm="1">
        <f t="array" ref="BM54">+_xlfn.IFS(CA54&lt;&gt;0,CA$2,CO54&lt;&gt;0,CO$2,DC54&lt;&gt;0,DC$2,DQ54&lt;&gt;0,DQ$2,TRUE,"")</f>
        <v/>
      </c>
      <c r="BN54" s="1" t="str" cm="1">
        <f t="array" ref="BN54">+_xlfn.IFS(CB54&lt;&gt;0,CB$2,CP54&lt;&gt;0,CP$2,DD54&lt;&gt;0,DD$2,DR54&lt;&gt;0,DR$2,TRUE,"")</f>
        <v>Upsell</v>
      </c>
      <c r="BO54" s="1" t="str" cm="1">
        <f t="array" ref="BO54">+_xlfn.IFS(CC54&lt;&gt;0,CC$2,CQ54&lt;&gt;0,CQ$2,DE54&lt;&gt;0,DE$2,DS54&lt;&gt;0,DS$2,TRUE,"")</f>
        <v/>
      </c>
      <c r="BP54" s="1" t="str" cm="1">
        <f t="array" ref="BP54">+_xlfn.IFS(CD54&lt;&gt;0,CD$2,CR54&lt;&gt;0,CR$2,DF54&lt;&gt;0,DF$2,DT54&lt;&gt;0,DT$2,TRUE,"")</f>
        <v/>
      </c>
      <c r="BQ54" s="1" t="str" cm="1">
        <f t="array" ref="BQ54">+_xlfn.IFS(CE54&lt;&gt;0,CE$2,CS54&lt;&gt;0,CS$2,DG54&lt;&gt;0,DG$2,DU54&lt;&gt;0,DU$2,TRUE,"")</f>
        <v/>
      </c>
      <c r="BS54" s="111"/>
      <c r="BT54" s="110">
        <f t="shared" si="265"/>
        <v>0</v>
      </c>
      <c r="BU54" s="110">
        <f t="shared" si="266"/>
        <v>0</v>
      </c>
      <c r="BV54" s="110">
        <f t="shared" si="267"/>
        <v>0</v>
      </c>
      <c r="BW54" s="110">
        <f t="shared" si="268"/>
        <v>0</v>
      </c>
      <c r="BX54" s="110">
        <f t="shared" si="269"/>
        <v>0</v>
      </c>
      <c r="BY54" s="110">
        <f t="shared" si="270"/>
        <v>0</v>
      </c>
      <c r="BZ54" s="110">
        <f t="shared" si="271"/>
        <v>0</v>
      </c>
      <c r="CA54" s="110">
        <f t="shared" si="272"/>
        <v>0</v>
      </c>
      <c r="CB54" s="110">
        <f t="shared" si="273"/>
        <v>0</v>
      </c>
      <c r="CC54" s="110">
        <f t="shared" si="274"/>
        <v>0</v>
      </c>
      <c r="CD54" s="110">
        <f t="shared" si="275"/>
        <v>0</v>
      </c>
      <c r="CE54" s="110">
        <f t="shared" si="276"/>
        <v>0</v>
      </c>
      <c r="CG54" s="111"/>
      <c r="CH54" s="110">
        <f t="shared" si="277"/>
        <v>0</v>
      </c>
      <c r="CI54" s="110">
        <f t="shared" si="278"/>
        <v>0</v>
      </c>
      <c r="CJ54" s="110">
        <f t="shared" si="279"/>
        <v>0</v>
      </c>
      <c r="CK54" s="110">
        <f t="shared" si="280"/>
        <v>0</v>
      </c>
      <c r="CL54" s="110">
        <f t="shared" si="281"/>
        <v>0</v>
      </c>
      <c r="CM54" s="110">
        <f t="shared" si="282"/>
        <v>0</v>
      </c>
      <c r="CN54" s="110">
        <f t="shared" si="283"/>
        <v>0</v>
      </c>
      <c r="CO54" s="110">
        <f t="shared" si="284"/>
        <v>0</v>
      </c>
      <c r="CP54" s="110">
        <f t="shared" si="285"/>
        <v>0</v>
      </c>
      <c r="CQ54" s="110">
        <f t="shared" si="286"/>
        <v>0</v>
      </c>
      <c r="CR54" s="110">
        <f t="shared" si="287"/>
        <v>0</v>
      </c>
      <c r="CS54" s="110">
        <f t="shared" si="288"/>
        <v>0</v>
      </c>
      <c r="CU54" s="111"/>
      <c r="CV54" s="110">
        <f t="shared" si="289"/>
        <v>0</v>
      </c>
      <c r="CW54" s="110">
        <f t="shared" si="290"/>
        <v>0</v>
      </c>
      <c r="CX54" s="110">
        <f t="shared" si="291"/>
        <v>0</v>
      </c>
      <c r="CY54" s="110">
        <f t="shared" si="292"/>
        <v>0</v>
      </c>
      <c r="CZ54" s="110">
        <f t="shared" si="293"/>
        <v>0</v>
      </c>
      <c r="DA54" s="110">
        <f t="shared" si="294"/>
        <v>0</v>
      </c>
      <c r="DB54" s="110">
        <f t="shared" si="295"/>
        <v>0</v>
      </c>
      <c r="DC54" s="110">
        <f t="shared" si="296"/>
        <v>0</v>
      </c>
      <c r="DD54" s="110">
        <f t="shared" si="297"/>
        <v>0</v>
      </c>
      <c r="DE54" s="110">
        <f t="shared" si="298"/>
        <v>0</v>
      </c>
      <c r="DF54" s="110">
        <f t="shared" si="299"/>
        <v>0</v>
      </c>
      <c r="DG54" s="110">
        <f t="shared" si="300"/>
        <v>0</v>
      </c>
      <c r="DI54" s="111"/>
      <c r="DJ54" s="110">
        <f t="shared" si="301"/>
        <v>0</v>
      </c>
      <c r="DK54" s="110">
        <f t="shared" si="302"/>
        <v>0</v>
      </c>
      <c r="DL54" s="110">
        <f t="shared" si="303"/>
        <v>0</v>
      </c>
      <c r="DM54" s="110">
        <f t="shared" si="304"/>
        <v>0</v>
      </c>
      <c r="DN54" s="110">
        <f t="shared" si="305"/>
        <v>0</v>
      </c>
      <c r="DO54" s="110">
        <f t="shared" si="306"/>
        <v>0</v>
      </c>
      <c r="DP54" s="110">
        <f t="shared" si="307"/>
        <v>0</v>
      </c>
      <c r="DQ54" s="110">
        <f t="shared" si="308"/>
        <v>0</v>
      </c>
      <c r="DR54" s="110">
        <f t="shared" si="309"/>
        <v>12.220000000000027</v>
      </c>
      <c r="DS54" s="110">
        <f t="shared" si="310"/>
        <v>0</v>
      </c>
      <c r="DT54" s="110">
        <f t="shared" si="311"/>
        <v>0</v>
      </c>
      <c r="DU54" s="110">
        <f t="shared" si="312"/>
        <v>0</v>
      </c>
      <c r="DW54" s="111"/>
      <c r="DX54" s="110">
        <f t="shared" si="313"/>
        <v>0</v>
      </c>
      <c r="DY54" s="110">
        <f t="shared" si="314"/>
        <v>0</v>
      </c>
      <c r="DZ54" s="110">
        <f t="shared" si="315"/>
        <v>0</v>
      </c>
      <c r="EA54" s="110">
        <f t="shared" si="316"/>
        <v>0</v>
      </c>
      <c r="EB54" s="110">
        <f t="shared" si="317"/>
        <v>0</v>
      </c>
      <c r="EC54" s="110">
        <f t="shared" si="318"/>
        <v>0</v>
      </c>
      <c r="ED54" s="110">
        <f t="shared" si="319"/>
        <v>0</v>
      </c>
      <c r="EE54" s="110">
        <f t="shared" si="320"/>
        <v>0</v>
      </c>
      <c r="EF54" s="110">
        <f t="shared" si="321"/>
        <v>0</v>
      </c>
      <c r="EG54" s="110">
        <f t="shared" si="322"/>
        <v>0</v>
      </c>
      <c r="EH54" s="110">
        <f t="shared" si="323"/>
        <v>0</v>
      </c>
      <c r="EI54" s="110">
        <f t="shared" si="324"/>
        <v>0</v>
      </c>
      <c r="EK54" s="111"/>
      <c r="EL54" s="110">
        <f t="shared" si="325"/>
        <v>0</v>
      </c>
      <c r="EM54" s="110">
        <f t="shared" si="326"/>
        <v>0</v>
      </c>
      <c r="EN54" s="110">
        <f t="shared" si="327"/>
        <v>12.220000000000027</v>
      </c>
      <c r="EP54" s="109" cm="1">
        <f t="array" ref="EP54">+IFERROR(INDEX($C$3:$AM$3,MATCH(TRUE,INDEX($C54:$AM54&lt;&gt;0,0),0)),"N/A")</f>
        <v>44926</v>
      </c>
      <c r="EQ54" s="112"/>
      <c r="ER54" s="1" t="str" cm="1">
        <f t="array" ref="ER54">+_xlfn.IFS(EW54&lt;&gt;0,EW$2,FB54&lt;&gt;0,FB$2,FG54&lt;&gt;0,FG$2,FL54&lt;&gt;0,FL$2,TRUE,"")</f>
        <v/>
      </c>
      <c r="ES54" s="1" t="str" cm="1">
        <f t="array" ref="ES54">+_xlfn.IFS(EX54&lt;&gt;0,EX$2,FC54&lt;&gt;0,FC$2,FH54&lt;&gt;0,FH$2,FM54&lt;&gt;0,FM$2,TRUE,"")</f>
        <v/>
      </c>
      <c r="ET54" s="1" t="str" cm="1">
        <f t="array" ref="ET54">+_xlfn.IFS(EY54&lt;&gt;0,EY$2,FD54&lt;&gt;0,FD$2,FI54&lt;&gt;0,FI$2,FN54&lt;&gt;0,FN$2,TRUE,"")</f>
        <v>Upsell</v>
      </c>
      <c r="EV54" s="111"/>
      <c r="EW54" s="110">
        <f t="shared" si="328"/>
        <v>0</v>
      </c>
      <c r="EX54" s="110">
        <f t="shared" si="329"/>
        <v>0</v>
      </c>
      <c r="EY54" s="110">
        <f t="shared" si="330"/>
        <v>0</v>
      </c>
      <c r="FA54" s="111"/>
      <c r="FB54" s="110">
        <f t="shared" si="331"/>
        <v>0</v>
      </c>
      <c r="FC54" s="110">
        <f t="shared" si="332"/>
        <v>0</v>
      </c>
      <c r="FD54" s="110">
        <f t="shared" si="333"/>
        <v>0</v>
      </c>
      <c r="FF54" s="111"/>
      <c r="FG54" s="110">
        <f t="shared" si="334"/>
        <v>0</v>
      </c>
      <c r="FH54" s="110">
        <f t="shared" si="335"/>
        <v>0</v>
      </c>
      <c r="FI54" s="110">
        <f t="shared" si="336"/>
        <v>0</v>
      </c>
      <c r="FK54" s="111"/>
      <c r="FL54" s="110">
        <f t="shared" si="337"/>
        <v>0</v>
      </c>
      <c r="FM54" s="110">
        <f t="shared" si="338"/>
        <v>0</v>
      </c>
      <c r="FN54" s="110">
        <f t="shared" si="339"/>
        <v>12.220000000000027</v>
      </c>
      <c r="FP54" s="111"/>
      <c r="FQ54" s="110">
        <f t="shared" si="340"/>
        <v>0</v>
      </c>
      <c r="FR54" s="110">
        <f t="shared" si="341"/>
        <v>0</v>
      </c>
      <c r="FS54" s="110">
        <f t="shared" si="342"/>
        <v>0</v>
      </c>
      <c r="FU54" s="111">
        <f t="shared" si="343"/>
        <v>0</v>
      </c>
      <c r="FV54" s="110">
        <f t="shared" si="344"/>
        <v>0</v>
      </c>
      <c r="FW54" s="110">
        <f t="shared" si="345"/>
        <v>0</v>
      </c>
      <c r="FX54" s="110">
        <f t="shared" si="346"/>
        <v>0</v>
      </c>
      <c r="FY54" s="110">
        <f t="shared" si="347"/>
        <v>0</v>
      </c>
      <c r="FZ54" s="110">
        <f t="shared" si="348"/>
        <v>0</v>
      </c>
      <c r="GA54" s="110">
        <f t="shared" si="349"/>
        <v>0</v>
      </c>
      <c r="GB54" s="110">
        <f t="shared" si="350"/>
        <v>0</v>
      </c>
      <c r="GC54" s="110">
        <f t="shared" si="351"/>
        <v>0</v>
      </c>
      <c r="GD54" s="110">
        <f t="shared" si="352"/>
        <v>0</v>
      </c>
      <c r="GE54" s="110">
        <f t="shared" si="353"/>
        <v>0</v>
      </c>
      <c r="GF54" s="110">
        <f t="shared" si="354"/>
        <v>0</v>
      </c>
      <c r="GG54" s="110">
        <f t="shared" si="355"/>
        <v>0</v>
      </c>
      <c r="GH54" s="110">
        <f t="shared" si="356"/>
        <v>0</v>
      </c>
      <c r="GI54" s="110">
        <f t="shared" si="357"/>
        <v>0</v>
      </c>
      <c r="GJ54" s="110">
        <f t="shared" si="358"/>
        <v>12.220000000000027</v>
      </c>
      <c r="GK54" s="110">
        <f t="shared" si="359"/>
        <v>12.220000000000027</v>
      </c>
      <c r="GL54" s="110">
        <f t="shared" si="360"/>
        <v>12.220000000000027</v>
      </c>
      <c r="GM54" s="110">
        <f t="shared" si="361"/>
        <v>12.220000000000027</v>
      </c>
      <c r="GN54" s="110">
        <f t="shared" si="362"/>
        <v>12.220000000000027</v>
      </c>
      <c r="GO54" s="110">
        <f t="shared" si="363"/>
        <v>12.220000000000027</v>
      </c>
      <c r="GP54" s="110">
        <f t="shared" si="364"/>
        <v>12.220000000000027</v>
      </c>
      <c r="GQ54" s="110">
        <f t="shared" si="365"/>
        <v>12.220000000000027</v>
      </c>
      <c r="GR54" s="110">
        <f t="shared" si="366"/>
        <v>12.220000000000027</v>
      </c>
      <c r="GS54" s="110">
        <f t="shared" si="367"/>
        <v>12.220000000000027</v>
      </c>
      <c r="GU54" s="109" cm="1">
        <f t="array" ref="GU54">+IFERROR(INDEX($C$3:$AM$3,MATCH(TRUE,INDEX($C54:$AM54&lt;&gt;0,0),0)),"N/A")</f>
        <v>44926</v>
      </c>
      <c r="GV54" s="112" t="str" cm="1">
        <f t="array" ref="GV54">+_xlfn.IFS(HV54&lt;&gt;0,HV$2,IV54&lt;&gt;0,IV$2,JV54&lt;&gt;0,JV$2,KV54&lt;&gt;0,KV$2,TRUE,"")</f>
        <v/>
      </c>
      <c r="GW54" s="1" t="str" cm="1">
        <f t="array" ref="GW54">+_xlfn.IFS(HW54&lt;&gt;0,HW$2,IW54&lt;&gt;0,IW$2,JW54&lt;&gt;0,JW$2,KW54&lt;&gt;0,KW$2,TRUE,"")</f>
        <v/>
      </c>
      <c r="GX54" s="1" t="str" cm="1">
        <f t="array" ref="GX54">+_xlfn.IFS(HX54&lt;&gt;0,HX$2,IX54&lt;&gt;0,IX$2,JX54&lt;&gt;0,JX$2,KX54&lt;&gt;0,KX$2,TRUE,"")</f>
        <v/>
      </c>
      <c r="GY54" s="1" t="str" cm="1">
        <f t="array" ref="GY54">+_xlfn.IFS(HY54&lt;&gt;0,HY$2,IY54&lt;&gt;0,IY$2,JY54&lt;&gt;0,JY$2,KY54&lt;&gt;0,KY$2,TRUE,"")</f>
        <v/>
      </c>
      <c r="GZ54" s="1" t="str" cm="1">
        <f t="array" ref="GZ54">+_xlfn.IFS(HZ54&lt;&gt;0,HZ$2,IZ54&lt;&gt;0,IZ$2,JZ54&lt;&gt;0,JZ$2,KZ54&lt;&gt;0,KZ$2,TRUE,"")</f>
        <v/>
      </c>
      <c r="HA54" s="1" t="str" cm="1">
        <f t="array" ref="HA54">+_xlfn.IFS(IA54&lt;&gt;0,IA$2,JA54&lt;&gt;0,JA$2,KA54&lt;&gt;0,KA$2,LA54&lt;&gt;0,LA$2,TRUE,"")</f>
        <v/>
      </c>
      <c r="HB54" s="1" t="str" cm="1">
        <f t="array" ref="HB54">+_xlfn.IFS(IB54&lt;&gt;0,IB$2,JB54&lt;&gt;0,JB$2,KB54&lt;&gt;0,KB$2,LB54&lt;&gt;0,LB$2,TRUE,"")</f>
        <v/>
      </c>
      <c r="HC54" s="1" t="str" cm="1">
        <f t="array" ref="HC54">+_xlfn.IFS(IC54&lt;&gt;0,IC$2,JC54&lt;&gt;0,JC$2,KC54&lt;&gt;0,KC$2,LC54&lt;&gt;0,LC$2,TRUE,"")</f>
        <v/>
      </c>
      <c r="HD54" s="1" t="str" cm="1">
        <f t="array" ref="HD54">+_xlfn.IFS(ID54&lt;&gt;0,ID$2,JD54&lt;&gt;0,JD$2,KD54&lt;&gt;0,KD$2,LD54&lt;&gt;0,LD$2,TRUE,"")</f>
        <v/>
      </c>
      <c r="HE54" s="1" t="str" cm="1">
        <f t="array" ref="HE54">+_xlfn.IFS(IE54&lt;&gt;0,IE$2,JE54&lt;&gt;0,JE$2,KE54&lt;&gt;0,KE$2,LE54&lt;&gt;0,LE$2,TRUE,"")</f>
        <v/>
      </c>
      <c r="HF54" s="1" t="str" cm="1">
        <f t="array" ref="HF54">+_xlfn.IFS(IF54&lt;&gt;0,IF$2,JF54&lt;&gt;0,JF$2,KF54&lt;&gt;0,KF$2,LF54&lt;&gt;0,LF$2,TRUE,"")</f>
        <v/>
      </c>
      <c r="HG54" s="1" t="str" cm="1">
        <f t="array" ref="HG54">+_xlfn.IFS(IG54&lt;&gt;0,IG$2,JG54&lt;&gt;0,JG$2,KG54&lt;&gt;0,KG$2,LG54&lt;&gt;0,LG$2,TRUE,"")</f>
        <v/>
      </c>
      <c r="HH54" s="1" t="str" cm="1">
        <f t="array" ref="HH54">+_xlfn.IFS(IH54&lt;&gt;0,IH$2,JH54&lt;&gt;0,JH$2,KH54&lt;&gt;0,KH$2,LH54&lt;&gt;0,LH$2,TRUE,"")</f>
        <v/>
      </c>
      <c r="HI54" s="1" t="str" cm="1">
        <f t="array" ref="HI54">+_xlfn.IFS(II54&lt;&gt;0,II$2,JI54&lt;&gt;0,JI$2,KI54&lt;&gt;0,KI$2,LI54&lt;&gt;0,LI$2,TRUE,"")</f>
        <v/>
      </c>
      <c r="HJ54" s="1" t="str" cm="1">
        <f t="array" ref="HJ54">+_xlfn.IFS(IJ54&lt;&gt;0,IJ$2,JJ54&lt;&gt;0,JJ$2,KJ54&lt;&gt;0,KJ$2,LJ54&lt;&gt;0,LJ$2,TRUE,"")</f>
        <v/>
      </c>
      <c r="HK54" s="1" t="str" cm="1">
        <f t="array" ref="HK54">+_xlfn.IFS(IK54&lt;&gt;0,IK$2,JK54&lt;&gt;0,JK$2,KK54&lt;&gt;0,KK$2,LK54&lt;&gt;0,LK$2,TRUE,"")</f>
        <v>Upsell</v>
      </c>
      <c r="HL54" s="1" t="str" cm="1">
        <f t="array" ref="HL54">+_xlfn.IFS(IL54&lt;&gt;0,IL$2,JL54&lt;&gt;0,JL$2,KL54&lt;&gt;0,KL$2,LL54&lt;&gt;0,LL$2,TRUE,"")</f>
        <v>Upsell</v>
      </c>
      <c r="HM54" s="1" t="str" cm="1">
        <f t="array" ref="HM54">+_xlfn.IFS(IM54&lt;&gt;0,IM$2,JM54&lt;&gt;0,JM$2,KM54&lt;&gt;0,KM$2,LM54&lt;&gt;0,LM$2,TRUE,"")</f>
        <v>Upsell</v>
      </c>
      <c r="HN54" s="1" t="str" cm="1">
        <f t="array" ref="HN54">+_xlfn.IFS(IN54&lt;&gt;0,IN$2,JN54&lt;&gt;0,JN$2,KN54&lt;&gt;0,KN$2,LN54&lt;&gt;0,LN$2,TRUE,"")</f>
        <v>Upsell</v>
      </c>
      <c r="HO54" s="1" t="str" cm="1">
        <f t="array" ref="HO54">+_xlfn.IFS(IO54&lt;&gt;0,IO$2,JO54&lt;&gt;0,JO$2,KO54&lt;&gt;0,KO$2,LO54&lt;&gt;0,LO$2,TRUE,"")</f>
        <v>Upsell</v>
      </c>
      <c r="HP54" s="1" t="str" cm="1">
        <f t="array" ref="HP54">+_xlfn.IFS(IP54&lt;&gt;0,IP$2,JP54&lt;&gt;0,JP$2,KP54&lt;&gt;0,KP$2,LP54&lt;&gt;0,LP$2,TRUE,"")</f>
        <v>Upsell</v>
      </c>
      <c r="HQ54" s="1" t="str" cm="1">
        <f t="array" ref="HQ54">+_xlfn.IFS(IQ54&lt;&gt;0,IQ$2,JQ54&lt;&gt;0,JQ$2,KQ54&lt;&gt;0,KQ$2,LQ54&lt;&gt;0,LQ$2,TRUE,"")</f>
        <v>Upsell</v>
      </c>
      <c r="HR54" s="1" t="str" cm="1">
        <f t="array" ref="HR54">+_xlfn.IFS(IR54&lt;&gt;0,IR$2,JR54&lt;&gt;0,JR$2,KR54&lt;&gt;0,KR$2,LR54&lt;&gt;0,LR$2,TRUE,"")</f>
        <v>Upsell</v>
      </c>
      <c r="HS54" s="1" t="str" cm="1">
        <f t="array" ref="HS54">+_xlfn.IFS(IS54&lt;&gt;0,IS$2,JS54&lt;&gt;0,JS$2,KS54&lt;&gt;0,KS$2,LS54&lt;&gt;0,LS$2,TRUE,"")</f>
        <v>Upsell</v>
      </c>
      <c r="HT54" s="1" t="str" cm="1">
        <f t="array" ref="HT54">+_xlfn.IFS(IT54&lt;&gt;0,IT$2,JT54&lt;&gt;0,JT$2,KT54&lt;&gt;0,KT$2,LT54&lt;&gt;0,LT$2,TRUE,"")</f>
        <v>Upsell</v>
      </c>
      <c r="HV54" s="111">
        <f t="shared" si="368"/>
        <v>0</v>
      </c>
      <c r="HW54" s="110">
        <f t="shared" si="369"/>
        <v>0</v>
      </c>
      <c r="HX54" s="110">
        <f t="shared" si="370"/>
        <v>0</v>
      </c>
      <c r="HY54" s="110">
        <f t="shared" si="371"/>
        <v>0</v>
      </c>
      <c r="HZ54" s="110">
        <f t="shared" si="372"/>
        <v>0</v>
      </c>
      <c r="IA54" s="110">
        <f t="shared" si="373"/>
        <v>0</v>
      </c>
      <c r="IB54" s="110">
        <f t="shared" si="374"/>
        <v>0</v>
      </c>
      <c r="IC54" s="110">
        <f t="shared" si="375"/>
        <v>0</v>
      </c>
      <c r="ID54" s="110">
        <f t="shared" si="376"/>
        <v>0</v>
      </c>
      <c r="IE54" s="110">
        <f t="shared" si="377"/>
        <v>0</v>
      </c>
      <c r="IF54" s="110">
        <f t="shared" si="378"/>
        <v>0</v>
      </c>
      <c r="IG54" s="110">
        <f t="shared" si="379"/>
        <v>0</v>
      </c>
      <c r="IH54" s="110">
        <f t="shared" si="380"/>
        <v>0</v>
      </c>
      <c r="II54" s="110">
        <f t="shared" si="381"/>
        <v>0</v>
      </c>
      <c r="IJ54" s="110">
        <f t="shared" si="382"/>
        <v>0</v>
      </c>
      <c r="IK54" s="110">
        <f t="shared" si="383"/>
        <v>0</v>
      </c>
      <c r="IL54" s="110">
        <f t="shared" si="384"/>
        <v>0</v>
      </c>
      <c r="IM54" s="110">
        <f t="shared" si="385"/>
        <v>0</v>
      </c>
      <c r="IN54" s="110">
        <f t="shared" si="386"/>
        <v>0</v>
      </c>
      <c r="IO54" s="110">
        <f t="shared" si="387"/>
        <v>0</v>
      </c>
      <c r="IP54" s="110">
        <f t="shared" si="388"/>
        <v>0</v>
      </c>
      <c r="IQ54" s="110">
        <f t="shared" si="389"/>
        <v>0</v>
      </c>
      <c r="IR54" s="110">
        <f t="shared" si="390"/>
        <v>0</v>
      </c>
      <c r="IS54" s="110">
        <f t="shared" si="391"/>
        <v>0</v>
      </c>
      <c r="IT54" s="110">
        <f t="shared" si="392"/>
        <v>0</v>
      </c>
      <c r="IV54" s="111">
        <f t="shared" si="393"/>
        <v>0</v>
      </c>
      <c r="IW54" s="110">
        <f t="shared" si="394"/>
        <v>0</v>
      </c>
      <c r="IX54" s="110">
        <f t="shared" si="395"/>
        <v>0</v>
      </c>
      <c r="IY54" s="110">
        <f t="shared" si="396"/>
        <v>0</v>
      </c>
      <c r="IZ54" s="110">
        <f t="shared" si="397"/>
        <v>0</v>
      </c>
      <c r="JA54" s="110">
        <f t="shared" si="398"/>
        <v>0</v>
      </c>
      <c r="JB54" s="110">
        <f t="shared" si="399"/>
        <v>0</v>
      </c>
      <c r="JC54" s="110">
        <f t="shared" si="400"/>
        <v>0</v>
      </c>
      <c r="JD54" s="110">
        <f t="shared" si="401"/>
        <v>0</v>
      </c>
      <c r="JE54" s="110">
        <f t="shared" si="402"/>
        <v>0</v>
      </c>
      <c r="JF54" s="110">
        <f t="shared" si="403"/>
        <v>0</v>
      </c>
      <c r="JG54" s="110">
        <f t="shared" si="404"/>
        <v>0</v>
      </c>
      <c r="JH54" s="110">
        <f t="shared" si="405"/>
        <v>0</v>
      </c>
      <c r="JI54" s="110">
        <f t="shared" si="406"/>
        <v>0</v>
      </c>
      <c r="JJ54" s="110">
        <f t="shared" si="407"/>
        <v>0</v>
      </c>
      <c r="JK54" s="110">
        <f t="shared" si="408"/>
        <v>0</v>
      </c>
      <c r="JL54" s="110">
        <f t="shared" si="409"/>
        <v>0</v>
      </c>
      <c r="JM54" s="110">
        <f t="shared" si="410"/>
        <v>0</v>
      </c>
      <c r="JN54" s="110">
        <f t="shared" si="411"/>
        <v>0</v>
      </c>
      <c r="JO54" s="110">
        <f t="shared" si="412"/>
        <v>0</v>
      </c>
      <c r="JP54" s="110">
        <f t="shared" si="413"/>
        <v>0</v>
      </c>
      <c r="JQ54" s="110">
        <f t="shared" si="414"/>
        <v>0</v>
      </c>
      <c r="JR54" s="110">
        <f t="shared" si="415"/>
        <v>0</v>
      </c>
      <c r="JS54" s="110">
        <f t="shared" si="416"/>
        <v>0</v>
      </c>
      <c r="JT54" s="110">
        <f t="shared" si="417"/>
        <v>0</v>
      </c>
      <c r="JV54" s="111">
        <f t="shared" si="418"/>
        <v>0</v>
      </c>
      <c r="JW54" s="110">
        <f t="shared" si="419"/>
        <v>0</v>
      </c>
      <c r="JX54" s="110">
        <f t="shared" si="420"/>
        <v>0</v>
      </c>
      <c r="JY54" s="110">
        <f t="shared" si="421"/>
        <v>0</v>
      </c>
      <c r="JZ54" s="110">
        <f t="shared" si="422"/>
        <v>0</v>
      </c>
      <c r="KA54" s="110">
        <f t="shared" si="423"/>
        <v>0</v>
      </c>
      <c r="KB54" s="110">
        <f t="shared" si="424"/>
        <v>0</v>
      </c>
      <c r="KC54" s="110">
        <f t="shared" si="425"/>
        <v>0</v>
      </c>
      <c r="KD54" s="110">
        <f t="shared" si="426"/>
        <v>0</v>
      </c>
      <c r="KE54" s="110">
        <f t="shared" si="427"/>
        <v>0</v>
      </c>
      <c r="KF54" s="110">
        <f t="shared" si="428"/>
        <v>0</v>
      </c>
      <c r="KG54" s="110">
        <f t="shared" si="429"/>
        <v>0</v>
      </c>
      <c r="KH54" s="110">
        <f t="shared" si="430"/>
        <v>0</v>
      </c>
      <c r="KI54" s="110">
        <f t="shared" si="431"/>
        <v>0</v>
      </c>
      <c r="KJ54" s="110">
        <f t="shared" si="432"/>
        <v>0</v>
      </c>
      <c r="KK54" s="110">
        <f t="shared" si="433"/>
        <v>0</v>
      </c>
      <c r="KL54" s="110">
        <f t="shared" si="434"/>
        <v>0</v>
      </c>
      <c r="KM54" s="110">
        <f t="shared" si="435"/>
        <v>0</v>
      </c>
      <c r="KN54" s="110">
        <f t="shared" si="436"/>
        <v>0</v>
      </c>
      <c r="KO54" s="110">
        <f t="shared" si="437"/>
        <v>0</v>
      </c>
      <c r="KP54" s="110">
        <f t="shared" si="438"/>
        <v>0</v>
      </c>
      <c r="KQ54" s="110">
        <f t="shared" si="439"/>
        <v>0</v>
      </c>
      <c r="KR54" s="110">
        <f t="shared" si="440"/>
        <v>0</v>
      </c>
      <c r="KS54" s="110">
        <f t="shared" si="441"/>
        <v>0</v>
      </c>
      <c r="KT54" s="110">
        <f t="shared" si="442"/>
        <v>0</v>
      </c>
      <c r="KV54" s="111">
        <f t="shared" si="443"/>
        <v>0</v>
      </c>
      <c r="KW54" s="110">
        <f t="shared" si="444"/>
        <v>0</v>
      </c>
      <c r="KX54" s="110">
        <f t="shared" si="445"/>
        <v>0</v>
      </c>
      <c r="KY54" s="110">
        <f t="shared" si="446"/>
        <v>0</v>
      </c>
      <c r="KZ54" s="110">
        <f t="shared" si="447"/>
        <v>0</v>
      </c>
      <c r="LA54" s="110">
        <f t="shared" si="448"/>
        <v>0</v>
      </c>
      <c r="LB54" s="110">
        <f t="shared" si="449"/>
        <v>0</v>
      </c>
      <c r="LC54" s="110">
        <f t="shared" si="450"/>
        <v>0</v>
      </c>
      <c r="LD54" s="110">
        <f t="shared" si="451"/>
        <v>0</v>
      </c>
      <c r="LE54" s="110">
        <f t="shared" si="452"/>
        <v>0</v>
      </c>
      <c r="LF54" s="110">
        <f t="shared" si="453"/>
        <v>0</v>
      </c>
      <c r="LG54" s="110">
        <f t="shared" si="454"/>
        <v>0</v>
      </c>
      <c r="LH54" s="110">
        <f t="shared" si="455"/>
        <v>0</v>
      </c>
      <c r="LI54" s="110">
        <f t="shared" si="456"/>
        <v>0</v>
      </c>
      <c r="LJ54" s="110">
        <f t="shared" si="457"/>
        <v>0</v>
      </c>
      <c r="LK54" s="110">
        <f t="shared" si="458"/>
        <v>12.220000000000027</v>
      </c>
      <c r="LL54" s="110">
        <f t="shared" si="459"/>
        <v>12.220000000000027</v>
      </c>
      <c r="LM54" s="110">
        <f t="shared" si="460"/>
        <v>12.220000000000027</v>
      </c>
      <c r="LN54" s="110">
        <f t="shared" si="461"/>
        <v>12.220000000000027</v>
      </c>
      <c r="LO54" s="110">
        <f t="shared" si="462"/>
        <v>12.220000000000027</v>
      </c>
      <c r="LP54" s="110">
        <f t="shared" si="463"/>
        <v>12.220000000000027</v>
      </c>
      <c r="LQ54" s="110">
        <f t="shared" si="464"/>
        <v>12.220000000000027</v>
      </c>
      <c r="LR54" s="110">
        <f t="shared" si="465"/>
        <v>12.220000000000027</v>
      </c>
      <c r="LS54" s="110">
        <f t="shared" si="466"/>
        <v>12.220000000000027</v>
      </c>
      <c r="LT54" s="110">
        <f t="shared" si="467"/>
        <v>12.220000000000027</v>
      </c>
      <c r="LV54" s="111"/>
      <c r="LW54" s="110">
        <f t="shared" si="468"/>
        <v>0</v>
      </c>
      <c r="LX54" s="110">
        <f t="shared" si="469"/>
        <v>0</v>
      </c>
      <c r="LY54" s="110">
        <f t="shared" si="470"/>
        <v>0</v>
      </c>
      <c r="LZ54" s="110">
        <f t="shared" si="471"/>
        <v>0</v>
      </c>
      <c r="MA54" s="110">
        <f t="shared" si="472"/>
        <v>0</v>
      </c>
      <c r="MB54" s="110">
        <f t="shared" si="473"/>
        <v>0</v>
      </c>
      <c r="MC54" s="110">
        <f t="shared" si="474"/>
        <v>0</v>
      </c>
      <c r="MD54" s="110">
        <f t="shared" si="475"/>
        <v>0</v>
      </c>
      <c r="ME54" s="110">
        <f t="shared" si="476"/>
        <v>0</v>
      </c>
      <c r="MF54" s="110">
        <f t="shared" si="477"/>
        <v>0</v>
      </c>
      <c r="MG54" s="110">
        <f t="shared" si="478"/>
        <v>0</v>
      </c>
      <c r="MH54" s="110">
        <f t="shared" si="479"/>
        <v>0</v>
      </c>
      <c r="MI54" s="110">
        <f t="shared" si="480"/>
        <v>0</v>
      </c>
      <c r="MJ54" s="110">
        <f t="shared" si="481"/>
        <v>0</v>
      </c>
      <c r="MK54" s="110">
        <f t="shared" si="482"/>
        <v>0</v>
      </c>
      <c r="ML54" s="110">
        <f t="shared" si="483"/>
        <v>0</v>
      </c>
      <c r="MM54" s="110">
        <f t="shared" si="484"/>
        <v>0</v>
      </c>
      <c r="MN54" s="110">
        <f t="shared" si="485"/>
        <v>0</v>
      </c>
      <c r="MO54" s="110">
        <f t="shared" si="486"/>
        <v>0</v>
      </c>
      <c r="MP54" s="110">
        <f t="shared" si="487"/>
        <v>0</v>
      </c>
      <c r="MQ54" s="110">
        <f t="shared" si="488"/>
        <v>0</v>
      </c>
      <c r="MR54" s="110">
        <f t="shared" si="489"/>
        <v>0</v>
      </c>
      <c r="MS54" s="110">
        <f t="shared" si="490"/>
        <v>0</v>
      </c>
      <c r="MT54" s="110">
        <f t="shared" si="491"/>
        <v>0</v>
      </c>
      <c r="MV54" s="114">
        <v>361.22</v>
      </c>
      <c r="MW54" s="114">
        <v>0</v>
      </c>
      <c r="MX54" s="114">
        <v>12.220000000000027</v>
      </c>
      <c r="MY54" s="114">
        <v>0</v>
      </c>
      <c r="MZ54" s="114">
        <v>0</v>
      </c>
      <c r="NB54" s="115">
        <v>7</v>
      </c>
      <c r="NC54" s="115" t="str">
        <v>N/A</v>
      </c>
      <c r="ND54" s="115">
        <v>7</v>
      </c>
      <c r="NE54" s="115" t="str">
        <v>N/A</v>
      </c>
      <c r="NF54" s="115" t="str">
        <v>N/A</v>
      </c>
    </row>
    <row r="55" spans="2:370" ht="13.5" x14ac:dyDescent="0.25">
      <c r="B55" s="8">
        <f t="shared" si="252"/>
        <v>52</v>
      </c>
      <c r="C55" s="7">
        <v>289</v>
      </c>
      <c r="D55" s="7">
        <v>289</v>
      </c>
      <c r="E55" s="7">
        <v>289</v>
      </c>
      <c r="F55" s="7">
        <v>289</v>
      </c>
      <c r="G55" s="7">
        <v>289</v>
      </c>
      <c r="H55" s="7">
        <v>289</v>
      </c>
      <c r="I55" s="7">
        <v>289</v>
      </c>
      <c r="J55" s="7">
        <v>289</v>
      </c>
      <c r="K55" s="7">
        <v>289</v>
      </c>
      <c r="L55" s="7">
        <v>289</v>
      </c>
      <c r="M55" s="7">
        <v>289</v>
      </c>
      <c r="N55" s="7">
        <v>289</v>
      </c>
      <c r="O55" s="7">
        <v>289</v>
      </c>
      <c r="P55" s="7">
        <v>289</v>
      </c>
      <c r="Q55" s="7">
        <v>289</v>
      </c>
      <c r="R55" s="7">
        <v>289</v>
      </c>
      <c r="S55" s="7">
        <v>289</v>
      </c>
      <c r="T55" s="7">
        <v>289</v>
      </c>
      <c r="U55" s="7">
        <v>289</v>
      </c>
      <c r="V55" s="7">
        <v>289</v>
      </c>
      <c r="W55" s="7">
        <v>289</v>
      </c>
      <c r="X55" s="7">
        <v>289</v>
      </c>
      <c r="Y55" s="7">
        <v>289</v>
      </c>
      <c r="Z55" s="7">
        <v>289</v>
      </c>
      <c r="AA55" s="7">
        <v>289</v>
      </c>
      <c r="AB55" s="7">
        <v>289</v>
      </c>
      <c r="AC55" s="7">
        <v>289</v>
      </c>
      <c r="AD55" s="7">
        <v>299.12</v>
      </c>
      <c r="AE55" s="7">
        <v>299.12</v>
      </c>
      <c r="AF55" s="7">
        <v>299.12</v>
      </c>
      <c r="AG55" s="7">
        <v>299.12</v>
      </c>
      <c r="AH55" s="7">
        <v>299.12</v>
      </c>
      <c r="AI55" s="7">
        <v>299.12</v>
      </c>
      <c r="AJ55" s="7">
        <v>299.12</v>
      </c>
      <c r="AK55" s="7">
        <v>299.12</v>
      </c>
      <c r="AL55" s="7">
        <v>299.12</v>
      </c>
      <c r="AM55" s="7">
        <v>299.12</v>
      </c>
      <c r="AN55" s="27">
        <v>52</v>
      </c>
      <c r="AP55" s="111"/>
      <c r="AQ55" s="110">
        <f t="shared" si="253"/>
        <v>0</v>
      </c>
      <c r="AR55" s="110">
        <f t="shared" si="254"/>
        <v>0</v>
      </c>
      <c r="AS55" s="110">
        <f t="shared" si="255"/>
        <v>0</v>
      </c>
      <c r="AT55" s="110">
        <f t="shared" si="256"/>
        <v>0</v>
      </c>
      <c r="AU55" s="110">
        <f t="shared" si="257"/>
        <v>0</v>
      </c>
      <c r="AV55" s="110">
        <f t="shared" si="258"/>
        <v>0</v>
      </c>
      <c r="AW55" s="110">
        <f t="shared" si="259"/>
        <v>0</v>
      </c>
      <c r="AX55" s="110">
        <f t="shared" si="260"/>
        <v>0</v>
      </c>
      <c r="AY55" s="110">
        <f t="shared" si="261"/>
        <v>10.120000000000005</v>
      </c>
      <c r="AZ55" s="110">
        <f t="shared" si="262"/>
        <v>0</v>
      </c>
      <c r="BA55" s="110">
        <f t="shared" si="263"/>
        <v>0</v>
      </c>
      <c r="BB55" s="110">
        <f t="shared" si="264"/>
        <v>0</v>
      </c>
      <c r="BD55" s="109" cm="1">
        <f t="array" ref="BD55">+IFERROR(INDEX($C$3:$AM$3,MATCH(TRUE,INDEX($C55:$AM55&lt;&gt;0,0),0)),"N/A")</f>
        <v>44926</v>
      </c>
      <c r="BE55" s="112"/>
      <c r="BF55" s="1" t="str" cm="1">
        <f t="array" ref="BF55">+_xlfn.IFS(BT55&lt;&gt;0,BT$2,CH55&lt;&gt;0,CH$2,CV55&lt;&gt;0,CV$2,DJ55&lt;&gt;0,DJ$2,TRUE,"")</f>
        <v/>
      </c>
      <c r="BG55" s="1" t="str" cm="1">
        <f t="array" ref="BG55">+_xlfn.IFS(BU55&lt;&gt;0,BU$2,CI55&lt;&gt;0,CI$2,CW55&lt;&gt;0,CW$2,DK55&lt;&gt;0,DK$2,TRUE,"")</f>
        <v/>
      </c>
      <c r="BH55" s="1" t="str" cm="1">
        <f t="array" ref="BH55">+_xlfn.IFS(BV55&lt;&gt;0,BV$2,CJ55&lt;&gt;0,CJ$2,CX55&lt;&gt;0,CX$2,DL55&lt;&gt;0,DL$2,TRUE,"")</f>
        <v/>
      </c>
      <c r="BI55" s="1" t="str" cm="1">
        <f t="array" ref="BI55">+_xlfn.IFS(BW55&lt;&gt;0,BW$2,CK55&lt;&gt;0,CK$2,CY55&lt;&gt;0,CY$2,DM55&lt;&gt;0,DM$2,TRUE,"")</f>
        <v/>
      </c>
      <c r="BJ55" s="1" t="str" cm="1">
        <f t="array" ref="BJ55">+_xlfn.IFS(BX55&lt;&gt;0,BX$2,CL55&lt;&gt;0,CL$2,CZ55&lt;&gt;0,CZ$2,DN55&lt;&gt;0,DN$2,TRUE,"")</f>
        <v/>
      </c>
      <c r="BK55" s="1" t="str" cm="1">
        <f t="array" ref="BK55">+_xlfn.IFS(BY55&lt;&gt;0,BY$2,CM55&lt;&gt;0,CM$2,DA55&lt;&gt;0,DA$2,DO55&lt;&gt;0,DO$2,TRUE,"")</f>
        <v/>
      </c>
      <c r="BL55" s="1" t="str" cm="1">
        <f t="array" ref="BL55">+_xlfn.IFS(BZ55&lt;&gt;0,BZ$2,CN55&lt;&gt;0,CN$2,DB55&lt;&gt;0,DB$2,DP55&lt;&gt;0,DP$2,TRUE,"")</f>
        <v/>
      </c>
      <c r="BM55" s="1" t="str" cm="1">
        <f t="array" ref="BM55">+_xlfn.IFS(CA55&lt;&gt;0,CA$2,CO55&lt;&gt;0,CO$2,DC55&lt;&gt;0,DC$2,DQ55&lt;&gt;0,DQ$2,TRUE,"")</f>
        <v/>
      </c>
      <c r="BN55" s="1" t="str" cm="1">
        <f t="array" ref="BN55">+_xlfn.IFS(CB55&lt;&gt;0,CB$2,CP55&lt;&gt;0,CP$2,DD55&lt;&gt;0,DD$2,DR55&lt;&gt;0,DR$2,TRUE,"")</f>
        <v>Upsell</v>
      </c>
      <c r="BO55" s="1" t="str" cm="1">
        <f t="array" ref="BO55">+_xlfn.IFS(CC55&lt;&gt;0,CC$2,CQ55&lt;&gt;0,CQ$2,DE55&lt;&gt;0,DE$2,DS55&lt;&gt;0,DS$2,TRUE,"")</f>
        <v/>
      </c>
      <c r="BP55" s="1" t="str" cm="1">
        <f t="array" ref="BP55">+_xlfn.IFS(CD55&lt;&gt;0,CD$2,CR55&lt;&gt;0,CR$2,DF55&lt;&gt;0,DF$2,DT55&lt;&gt;0,DT$2,TRUE,"")</f>
        <v/>
      </c>
      <c r="BQ55" s="1" t="str" cm="1">
        <f t="array" ref="BQ55">+_xlfn.IFS(CE55&lt;&gt;0,CE$2,CS55&lt;&gt;0,CS$2,DG55&lt;&gt;0,DG$2,DU55&lt;&gt;0,DU$2,TRUE,"")</f>
        <v/>
      </c>
      <c r="BS55" s="111"/>
      <c r="BT55" s="110">
        <f t="shared" si="265"/>
        <v>0</v>
      </c>
      <c r="BU55" s="110">
        <f t="shared" si="266"/>
        <v>0</v>
      </c>
      <c r="BV55" s="110">
        <f t="shared" si="267"/>
        <v>0</v>
      </c>
      <c r="BW55" s="110">
        <f t="shared" si="268"/>
        <v>0</v>
      </c>
      <c r="BX55" s="110">
        <f t="shared" si="269"/>
        <v>0</v>
      </c>
      <c r="BY55" s="110">
        <f t="shared" si="270"/>
        <v>0</v>
      </c>
      <c r="BZ55" s="110">
        <f t="shared" si="271"/>
        <v>0</v>
      </c>
      <c r="CA55" s="110">
        <f t="shared" si="272"/>
        <v>0</v>
      </c>
      <c r="CB55" s="110">
        <f t="shared" si="273"/>
        <v>0</v>
      </c>
      <c r="CC55" s="110">
        <f t="shared" si="274"/>
        <v>0</v>
      </c>
      <c r="CD55" s="110">
        <f t="shared" si="275"/>
        <v>0</v>
      </c>
      <c r="CE55" s="110">
        <f t="shared" si="276"/>
        <v>0</v>
      </c>
      <c r="CG55" s="111"/>
      <c r="CH55" s="110">
        <f t="shared" si="277"/>
        <v>0</v>
      </c>
      <c r="CI55" s="110">
        <f t="shared" si="278"/>
        <v>0</v>
      </c>
      <c r="CJ55" s="110">
        <f t="shared" si="279"/>
        <v>0</v>
      </c>
      <c r="CK55" s="110">
        <f t="shared" si="280"/>
        <v>0</v>
      </c>
      <c r="CL55" s="110">
        <f t="shared" si="281"/>
        <v>0</v>
      </c>
      <c r="CM55" s="110">
        <f t="shared" si="282"/>
        <v>0</v>
      </c>
      <c r="CN55" s="110">
        <f t="shared" si="283"/>
        <v>0</v>
      </c>
      <c r="CO55" s="110">
        <f t="shared" si="284"/>
        <v>0</v>
      </c>
      <c r="CP55" s="110">
        <f t="shared" si="285"/>
        <v>0</v>
      </c>
      <c r="CQ55" s="110">
        <f t="shared" si="286"/>
        <v>0</v>
      </c>
      <c r="CR55" s="110">
        <f t="shared" si="287"/>
        <v>0</v>
      </c>
      <c r="CS55" s="110">
        <f t="shared" si="288"/>
        <v>0</v>
      </c>
      <c r="CU55" s="111"/>
      <c r="CV55" s="110">
        <f t="shared" si="289"/>
        <v>0</v>
      </c>
      <c r="CW55" s="110">
        <f t="shared" si="290"/>
        <v>0</v>
      </c>
      <c r="CX55" s="110">
        <f t="shared" si="291"/>
        <v>0</v>
      </c>
      <c r="CY55" s="110">
        <f t="shared" si="292"/>
        <v>0</v>
      </c>
      <c r="CZ55" s="110">
        <f t="shared" si="293"/>
        <v>0</v>
      </c>
      <c r="DA55" s="110">
        <f t="shared" si="294"/>
        <v>0</v>
      </c>
      <c r="DB55" s="110">
        <f t="shared" si="295"/>
        <v>0</v>
      </c>
      <c r="DC55" s="110">
        <f t="shared" si="296"/>
        <v>0</v>
      </c>
      <c r="DD55" s="110">
        <f t="shared" si="297"/>
        <v>0</v>
      </c>
      <c r="DE55" s="110">
        <f t="shared" si="298"/>
        <v>0</v>
      </c>
      <c r="DF55" s="110">
        <f t="shared" si="299"/>
        <v>0</v>
      </c>
      <c r="DG55" s="110">
        <f t="shared" si="300"/>
        <v>0</v>
      </c>
      <c r="DI55" s="111"/>
      <c r="DJ55" s="110">
        <f t="shared" si="301"/>
        <v>0</v>
      </c>
      <c r="DK55" s="110">
        <f t="shared" si="302"/>
        <v>0</v>
      </c>
      <c r="DL55" s="110">
        <f t="shared" si="303"/>
        <v>0</v>
      </c>
      <c r="DM55" s="110">
        <f t="shared" si="304"/>
        <v>0</v>
      </c>
      <c r="DN55" s="110">
        <f t="shared" si="305"/>
        <v>0</v>
      </c>
      <c r="DO55" s="110">
        <f t="shared" si="306"/>
        <v>0</v>
      </c>
      <c r="DP55" s="110">
        <f t="shared" si="307"/>
        <v>0</v>
      </c>
      <c r="DQ55" s="110">
        <f t="shared" si="308"/>
        <v>0</v>
      </c>
      <c r="DR55" s="110">
        <f t="shared" si="309"/>
        <v>10.120000000000005</v>
      </c>
      <c r="DS55" s="110">
        <f t="shared" si="310"/>
        <v>0</v>
      </c>
      <c r="DT55" s="110">
        <f t="shared" si="311"/>
        <v>0</v>
      </c>
      <c r="DU55" s="110">
        <f t="shared" si="312"/>
        <v>0</v>
      </c>
      <c r="DW55" s="111"/>
      <c r="DX55" s="110">
        <f t="shared" si="313"/>
        <v>0</v>
      </c>
      <c r="DY55" s="110">
        <f t="shared" si="314"/>
        <v>0</v>
      </c>
      <c r="DZ55" s="110">
        <f t="shared" si="315"/>
        <v>0</v>
      </c>
      <c r="EA55" s="110">
        <f t="shared" si="316"/>
        <v>0</v>
      </c>
      <c r="EB55" s="110">
        <f t="shared" si="317"/>
        <v>0</v>
      </c>
      <c r="EC55" s="110">
        <f t="shared" si="318"/>
        <v>0</v>
      </c>
      <c r="ED55" s="110">
        <f t="shared" si="319"/>
        <v>0</v>
      </c>
      <c r="EE55" s="110">
        <f t="shared" si="320"/>
        <v>0</v>
      </c>
      <c r="EF55" s="110">
        <f t="shared" si="321"/>
        <v>0</v>
      </c>
      <c r="EG55" s="110">
        <f t="shared" si="322"/>
        <v>0</v>
      </c>
      <c r="EH55" s="110">
        <f t="shared" si="323"/>
        <v>0</v>
      </c>
      <c r="EI55" s="110">
        <f t="shared" si="324"/>
        <v>0</v>
      </c>
      <c r="EK55" s="111"/>
      <c r="EL55" s="110">
        <f t="shared" si="325"/>
        <v>0</v>
      </c>
      <c r="EM55" s="110">
        <f t="shared" si="326"/>
        <v>0</v>
      </c>
      <c r="EN55" s="110">
        <f t="shared" si="327"/>
        <v>10.120000000000005</v>
      </c>
      <c r="EP55" s="109" cm="1">
        <f t="array" ref="EP55">+IFERROR(INDEX($C$3:$AM$3,MATCH(TRUE,INDEX($C55:$AM55&lt;&gt;0,0),0)),"N/A")</f>
        <v>44926</v>
      </c>
      <c r="EQ55" s="112"/>
      <c r="ER55" s="1" t="str" cm="1">
        <f t="array" ref="ER55">+_xlfn.IFS(EW55&lt;&gt;0,EW$2,FB55&lt;&gt;0,FB$2,FG55&lt;&gt;0,FG$2,FL55&lt;&gt;0,FL$2,TRUE,"")</f>
        <v/>
      </c>
      <c r="ES55" s="1" t="str" cm="1">
        <f t="array" ref="ES55">+_xlfn.IFS(EX55&lt;&gt;0,EX$2,FC55&lt;&gt;0,FC$2,FH55&lt;&gt;0,FH$2,FM55&lt;&gt;0,FM$2,TRUE,"")</f>
        <v/>
      </c>
      <c r="ET55" s="1" t="str" cm="1">
        <f t="array" ref="ET55">+_xlfn.IFS(EY55&lt;&gt;0,EY$2,FD55&lt;&gt;0,FD$2,FI55&lt;&gt;0,FI$2,FN55&lt;&gt;0,FN$2,TRUE,"")</f>
        <v>Upsell</v>
      </c>
      <c r="EV55" s="111"/>
      <c r="EW55" s="110">
        <f t="shared" si="328"/>
        <v>0</v>
      </c>
      <c r="EX55" s="110">
        <f t="shared" si="329"/>
        <v>0</v>
      </c>
      <c r="EY55" s="110">
        <f t="shared" si="330"/>
        <v>0</v>
      </c>
      <c r="FA55" s="111"/>
      <c r="FB55" s="110">
        <f t="shared" si="331"/>
        <v>0</v>
      </c>
      <c r="FC55" s="110">
        <f t="shared" si="332"/>
        <v>0</v>
      </c>
      <c r="FD55" s="110">
        <f t="shared" si="333"/>
        <v>0</v>
      </c>
      <c r="FF55" s="111"/>
      <c r="FG55" s="110">
        <f t="shared" si="334"/>
        <v>0</v>
      </c>
      <c r="FH55" s="110">
        <f t="shared" si="335"/>
        <v>0</v>
      </c>
      <c r="FI55" s="110">
        <f t="shared" si="336"/>
        <v>0</v>
      </c>
      <c r="FK55" s="111"/>
      <c r="FL55" s="110">
        <f t="shared" si="337"/>
        <v>0</v>
      </c>
      <c r="FM55" s="110">
        <f t="shared" si="338"/>
        <v>0</v>
      </c>
      <c r="FN55" s="110">
        <f t="shared" si="339"/>
        <v>10.120000000000005</v>
      </c>
      <c r="FP55" s="111"/>
      <c r="FQ55" s="110">
        <f t="shared" si="340"/>
        <v>0</v>
      </c>
      <c r="FR55" s="110">
        <f t="shared" si="341"/>
        <v>0</v>
      </c>
      <c r="FS55" s="110">
        <f t="shared" si="342"/>
        <v>0</v>
      </c>
      <c r="FU55" s="111">
        <f t="shared" si="343"/>
        <v>0</v>
      </c>
      <c r="FV55" s="110">
        <f t="shared" si="344"/>
        <v>0</v>
      </c>
      <c r="FW55" s="110">
        <f t="shared" si="345"/>
        <v>0</v>
      </c>
      <c r="FX55" s="110">
        <f t="shared" si="346"/>
        <v>0</v>
      </c>
      <c r="FY55" s="110">
        <f t="shared" si="347"/>
        <v>0</v>
      </c>
      <c r="FZ55" s="110">
        <f t="shared" si="348"/>
        <v>0</v>
      </c>
      <c r="GA55" s="110">
        <f t="shared" si="349"/>
        <v>0</v>
      </c>
      <c r="GB55" s="110">
        <f t="shared" si="350"/>
        <v>0</v>
      </c>
      <c r="GC55" s="110">
        <f t="shared" si="351"/>
        <v>0</v>
      </c>
      <c r="GD55" s="110">
        <f t="shared" si="352"/>
        <v>0</v>
      </c>
      <c r="GE55" s="110">
        <f t="shared" si="353"/>
        <v>0</v>
      </c>
      <c r="GF55" s="110">
        <f t="shared" si="354"/>
        <v>0</v>
      </c>
      <c r="GG55" s="110">
        <f t="shared" si="355"/>
        <v>0</v>
      </c>
      <c r="GH55" s="110">
        <f t="shared" si="356"/>
        <v>0</v>
      </c>
      <c r="GI55" s="110">
        <f t="shared" si="357"/>
        <v>0</v>
      </c>
      <c r="GJ55" s="110">
        <f t="shared" si="358"/>
        <v>10.120000000000005</v>
      </c>
      <c r="GK55" s="110">
        <f t="shared" si="359"/>
        <v>10.120000000000005</v>
      </c>
      <c r="GL55" s="110">
        <f t="shared" si="360"/>
        <v>10.120000000000005</v>
      </c>
      <c r="GM55" s="110">
        <f t="shared" si="361"/>
        <v>10.120000000000005</v>
      </c>
      <c r="GN55" s="110">
        <f t="shared" si="362"/>
        <v>10.120000000000005</v>
      </c>
      <c r="GO55" s="110">
        <f t="shared" si="363"/>
        <v>10.120000000000005</v>
      </c>
      <c r="GP55" s="110">
        <f t="shared" si="364"/>
        <v>10.120000000000005</v>
      </c>
      <c r="GQ55" s="110">
        <f t="shared" si="365"/>
        <v>10.120000000000005</v>
      </c>
      <c r="GR55" s="110">
        <f t="shared" si="366"/>
        <v>10.120000000000005</v>
      </c>
      <c r="GS55" s="110">
        <f t="shared" si="367"/>
        <v>10.120000000000005</v>
      </c>
      <c r="GU55" s="109" cm="1">
        <f t="array" ref="GU55">+IFERROR(INDEX($C$3:$AM$3,MATCH(TRUE,INDEX($C55:$AM55&lt;&gt;0,0),0)),"N/A")</f>
        <v>44926</v>
      </c>
      <c r="GV55" s="112" t="str" cm="1">
        <f t="array" ref="GV55">+_xlfn.IFS(HV55&lt;&gt;0,HV$2,IV55&lt;&gt;0,IV$2,JV55&lt;&gt;0,JV$2,KV55&lt;&gt;0,KV$2,TRUE,"")</f>
        <v/>
      </c>
      <c r="GW55" s="1" t="str" cm="1">
        <f t="array" ref="GW55">+_xlfn.IFS(HW55&lt;&gt;0,HW$2,IW55&lt;&gt;0,IW$2,JW55&lt;&gt;0,JW$2,KW55&lt;&gt;0,KW$2,TRUE,"")</f>
        <v/>
      </c>
      <c r="GX55" s="1" t="str" cm="1">
        <f t="array" ref="GX55">+_xlfn.IFS(HX55&lt;&gt;0,HX$2,IX55&lt;&gt;0,IX$2,JX55&lt;&gt;0,JX$2,KX55&lt;&gt;0,KX$2,TRUE,"")</f>
        <v/>
      </c>
      <c r="GY55" s="1" t="str" cm="1">
        <f t="array" ref="GY55">+_xlfn.IFS(HY55&lt;&gt;0,HY$2,IY55&lt;&gt;0,IY$2,JY55&lt;&gt;0,JY$2,KY55&lt;&gt;0,KY$2,TRUE,"")</f>
        <v/>
      </c>
      <c r="GZ55" s="1" t="str" cm="1">
        <f t="array" ref="GZ55">+_xlfn.IFS(HZ55&lt;&gt;0,HZ$2,IZ55&lt;&gt;0,IZ$2,JZ55&lt;&gt;0,JZ$2,KZ55&lt;&gt;0,KZ$2,TRUE,"")</f>
        <v/>
      </c>
      <c r="HA55" s="1" t="str" cm="1">
        <f t="array" ref="HA55">+_xlfn.IFS(IA55&lt;&gt;0,IA$2,JA55&lt;&gt;0,JA$2,KA55&lt;&gt;0,KA$2,LA55&lt;&gt;0,LA$2,TRUE,"")</f>
        <v/>
      </c>
      <c r="HB55" s="1" t="str" cm="1">
        <f t="array" ref="HB55">+_xlfn.IFS(IB55&lt;&gt;0,IB$2,JB55&lt;&gt;0,JB$2,KB55&lt;&gt;0,KB$2,LB55&lt;&gt;0,LB$2,TRUE,"")</f>
        <v/>
      </c>
      <c r="HC55" s="1" t="str" cm="1">
        <f t="array" ref="HC55">+_xlfn.IFS(IC55&lt;&gt;0,IC$2,JC55&lt;&gt;0,JC$2,KC55&lt;&gt;0,KC$2,LC55&lt;&gt;0,LC$2,TRUE,"")</f>
        <v/>
      </c>
      <c r="HD55" s="1" t="str" cm="1">
        <f t="array" ref="HD55">+_xlfn.IFS(ID55&lt;&gt;0,ID$2,JD55&lt;&gt;0,JD$2,KD55&lt;&gt;0,KD$2,LD55&lt;&gt;0,LD$2,TRUE,"")</f>
        <v/>
      </c>
      <c r="HE55" s="1" t="str" cm="1">
        <f t="array" ref="HE55">+_xlfn.IFS(IE55&lt;&gt;0,IE$2,JE55&lt;&gt;0,JE$2,KE55&lt;&gt;0,KE$2,LE55&lt;&gt;0,LE$2,TRUE,"")</f>
        <v/>
      </c>
      <c r="HF55" s="1" t="str" cm="1">
        <f t="array" ref="HF55">+_xlfn.IFS(IF55&lt;&gt;0,IF$2,JF55&lt;&gt;0,JF$2,KF55&lt;&gt;0,KF$2,LF55&lt;&gt;0,LF$2,TRUE,"")</f>
        <v/>
      </c>
      <c r="HG55" s="1" t="str" cm="1">
        <f t="array" ref="HG55">+_xlfn.IFS(IG55&lt;&gt;0,IG$2,JG55&lt;&gt;0,JG$2,KG55&lt;&gt;0,KG$2,LG55&lt;&gt;0,LG$2,TRUE,"")</f>
        <v/>
      </c>
      <c r="HH55" s="1" t="str" cm="1">
        <f t="array" ref="HH55">+_xlfn.IFS(IH55&lt;&gt;0,IH$2,JH55&lt;&gt;0,JH$2,KH55&lt;&gt;0,KH$2,LH55&lt;&gt;0,LH$2,TRUE,"")</f>
        <v/>
      </c>
      <c r="HI55" s="1" t="str" cm="1">
        <f t="array" ref="HI55">+_xlfn.IFS(II55&lt;&gt;0,II$2,JI55&lt;&gt;0,JI$2,KI55&lt;&gt;0,KI$2,LI55&lt;&gt;0,LI$2,TRUE,"")</f>
        <v/>
      </c>
      <c r="HJ55" s="1" t="str" cm="1">
        <f t="array" ref="HJ55">+_xlfn.IFS(IJ55&lt;&gt;0,IJ$2,JJ55&lt;&gt;0,JJ$2,KJ55&lt;&gt;0,KJ$2,LJ55&lt;&gt;0,LJ$2,TRUE,"")</f>
        <v/>
      </c>
      <c r="HK55" s="1" t="str" cm="1">
        <f t="array" ref="HK55">+_xlfn.IFS(IK55&lt;&gt;0,IK$2,JK55&lt;&gt;0,JK$2,KK55&lt;&gt;0,KK$2,LK55&lt;&gt;0,LK$2,TRUE,"")</f>
        <v>Upsell</v>
      </c>
      <c r="HL55" s="1" t="str" cm="1">
        <f t="array" ref="HL55">+_xlfn.IFS(IL55&lt;&gt;0,IL$2,JL55&lt;&gt;0,JL$2,KL55&lt;&gt;0,KL$2,LL55&lt;&gt;0,LL$2,TRUE,"")</f>
        <v>Upsell</v>
      </c>
      <c r="HM55" s="1" t="str" cm="1">
        <f t="array" ref="HM55">+_xlfn.IFS(IM55&lt;&gt;0,IM$2,JM55&lt;&gt;0,JM$2,KM55&lt;&gt;0,KM$2,LM55&lt;&gt;0,LM$2,TRUE,"")</f>
        <v>Upsell</v>
      </c>
      <c r="HN55" s="1" t="str" cm="1">
        <f t="array" ref="HN55">+_xlfn.IFS(IN55&lt;&gt;0,IN$2,JN55&lt;&gt;0,JN$2,KN55&lt;&gt;0,KN$2,LN55&lt;&gt;0,LN$2,TRUE,"")</f>
        <v>Upsell</v>
      </c>
      <c r="HO55" s="1" t="str" cm="1">
        <f t="array" ref="HO55">+_xlfn.IFS(IO55&lt;&gt;0,IO$2,JO55&lt;&gt;0,JO$2,KO55&lt;&gt;0,KO$2,LO55&lt;&gt;0,LO$2,TRUE,"")</f>
        <v>Upsell</v>
      </c>
      <c r="HP55" s="1" t="str" cm="1">
        <f t="array" ref="HP55">+_xlfn.IFS(IP55&lt;&gt;0,IP$2,JP55&lt;&gt;0,JP$2,KP55&lt;&gt;0,KP$2,LP55&lt;&gt;0,LP$2,TRUE,"")</f>
        <v>Upsell</v>
      </c>
      <c r="HQ55" s="1" t="str" cm="1">
        <f t="array" ref="HQ55">+_xlfn.IFS(IQ55&lt;&gt;0,IQ$2,JQ55&lt;&gt;0,JQ$2,KQ55&lt;&gt;0,KQ$2,LQ55&lt;&gt;0,LQ$2,TRUE,"")</f>
        <v>Upsell</v>
      </c>
      <c r="HR55" s="1" t="str" cm="1">
        <f t="array" ref="HR55">+_xlfn.IFS(IR55&lt;&gt;0,IR$2,JR55&lt;&gt;0,JR$2,KR55&lt;&gt;0,KR$2,LR55&lt;&gt;0,LR$2,TRUE,"")</f>
        <v>Upsell</v>
      </c>
      <c r="HS55" s="1" t="str" cm="1">
        <f t="array" ref="HS55">+_xlfn.IFS(IS55&lt;&gt;0,IS$2,JS55&lt;&gt;0,JS$2,KS55&lt;&gt;0,KS$2,LS55&lt;&gt;0,LS$2,TRUE,"")</f>
        <v>Upsell</v>
      </c>
      <c r="HT55" s="1" t="str" cm="1">
        <f t="array" ref="HT55">+_xlfn.IFS(IT55&lt;&gt;0,IT$2,JT55&lt;&gt;0,JT$2,KT55&lt;&gt;0,KT$2,LT55&lt;&gt;0,LT$2,TRUE,"")</f>
        <v>Upsell</v>
      </c>
      <c r="HV55" s="111">
        <f t="shared" si="368"/>
        <v>0</v>
      </c>
      <c r="HW55" s="110">
        <f t="shared" si="369"/>
        <v>0</v>
      </c>
      <c r="HX55" s="110">
        <f t="shared" si="370"/>
        <v>0</v>
      </c>
      <c r="HY55" s="110">
        <f t="shared" si="371"/>
        <v>0</v>
      </c>
      <c r="HZ55" s="110">
        <f t="shared" si="372"/>
        <v>0</v>
      </c>
      <c r="IA55" s="110">
        <f t="shared" si="373"/>
        <v>0</v>
      </c>
      <c r="IB55" s="110">
        <f t="shared" si="374"/>
        <v>0</v>
      </c>
      <c r="IC55" s="110">
        <f t="shared" si="375"/>
        <v>0</v>
      </c>
      <c r="ID55" s="110">
        <f t="shared" si="376"/>
        <v>0</v>
      </c>
      <c r="IE55" s="110">
        <f t="shared" si="377"/>
        <v>0</v>
      </c>
      <c r="IF55" s="110">
        <f t="shared" si="378"/>
        <v>0</v>
      </c>
      <c r="IG55" s="110">
        <f t="shared" si="379"/>
        <v>0</v>
      </c>
      <c r="IH55" s="110">
        <f t="shared" si="380"/>
        <v>0</v>
      </c>
      <c r="II55" s="110">
        <f t="shared" si="381"/>
        <v>0</v>
      </c>
      <c r="IJ55" s="110">
        <f t="shared" si="382"/>
        <v>0</v>
      </c>
      <c r="IK55" s="110">
        <f t="shared" si="383"/>
        <v>0</v>
      </c>
      <c r="IL55" s="110">
        <f t="shared" si="384"/>
        <v>0</v>
      </c>
      <c r="IM55" s="110">
        <f t="shared" si="385"/>
        <v>0</v>
      </c>
      <c r="IN55" s="110">
        <f t="shared" si="386"/>
        <v>0</v>
      </c>
      <c r="IO55" s="110">
        <f t="shared" si="387"/>
        <v>0</v>
      </c>
      <c r="IP55" s="110">
        <f t="shared" si="388"/>
        <v>0</v>
      </c>
      <c r="IQ55" s="110">
        <f t="shared" si="389"/>
        <v>0</v>
      </c>
      <c r="IR55" s="110">
        <f t="shared" si="390"/>
        <v>0</v>
      </c>
      <c r="IS55" s="110">
        <f t="shared" si="391"/>
        <v>0</v>
      </c>
      <c r="IT55" s="110">
        <f t="shared" si="392"/>
        <v>0</v>
      </c>
      <c r="IV55" s="111">
        <f t="shared" si="393"/>
        <v>0</v>
      </c>
      <c r="IW55" s="110">
        <f t="shared" si="394"/>
        <v>0</v>
      </c>
      <c r="IX55" s="110">
        <f t="shared" si="395"/>
        <v>0</v>
      </c>
      <c r="IY55" s="110">
        <f t="shared" si="396"/>
        <v>0</v>
      </c>
      <c r="IZ55" s="110">
        <f t="shared" si="397"/>
        <v>0</v>
      </c>
      <c r="JA55" s="110">
        <f t="shared" si="398"/>
        <v>0</v>
      </c>
      <c r="JB55" s="110">
        <f t="shared" si="399"/>
        <v>0</v>
      </c>
      <c r="JC55" s="110">
        <f t="shared" si="400"/>
        <v>0</v>
      </c>
      <c r="JD55" s="110">
        <f t="shared" si="401"/>
        <v>0</v>
      </c>
      <c r="JE55" s="110">
        <f t="shared" si="402"/>
        <v>0</v>
      </c>
      <c r="JF55" s="110">
        <f t="shared" si="403"/>
        <v>0</v>
      </c>
      <c r="JG55" s="110">
        <f t="shared" si="404"/>
        <v>0</v>
      </c>
      <c r="JH55" s="110">
        <f t="shared" si="405"/>
        <v>0</v>
      </c>
      <c r="JI55" s="110">
        <f t="shared" si="406"/>
        <v>0</v>
      </c>
      <c r="JJ55" s="110">
        <f t="shared" si="407"/>
        <v>0</v>
      </c>
      <c r="JK55" s="110">
        <f t="shared" si="408"/>
        <v>0</v>
      </c>
      <c r="JL55" s="110">
        <f t="shared" si="409"/>
        <v>0</v>
      </c>
      <c r="JM55" s="110">
        <f t="shared" si="410"/>
        <v>0</v>
      </c>
      <c r="JN55" s="110">
        <f t="shared" si="411"/>
        <v>0</v>
      </c>
      <c r="JO55" s="110">
        <f t="shared" si="412"/>
        <v>0</v>
      </c>
      <c r="JP55" s="110">
        <f t="shared" si="413"/>
        <v>0</v>
      </c>
      <c r="JQ55" s="110">
        <f t="shared" si="414"/>
        <v>0</v>
      </c>
      <c r="JR55" s="110">
        <f t="shared" si="415"/>
        <v>0</v>
      </c>
      <c r="JS55" s="110">
        <f t="shared" si="416"/>
        <v>0</v>
      </c>
      <c r="JT55" s="110">
        <f t="shared" si="417"/>
        <v>0</v>
      </c>
      <c r="JV55" s="111">
        <f t="shared" si="418"/>
        <v>0</v>
      </c>
      <c r="JW55" s="110">
        <f t="shared" si="419"/>
        <v>0</v>
      </c>
      <c r="JX55" s="110">
        <f t="shared" si="420"/>
        <v>0</v>
      </c>
      <c r="JY55" s="110">
        <f t="shared" si="421"/>
        <v>0</v>
      </c>
      <c r="JZ55" s="110">
        <f t="shared" si="422"/>
        <v>0</v>
      </c>
      <c r="KA55" s="110">
        <f t="shared" si="423"/>
        <v>0</v>
      </c>
      <c r="KB55" s="110">
        <f t="shared" si="424"/>
        <v>0</v>
      </c>
      <c r="KC55" s="110">
        <f t="shared" si="425"/>
        <v>0</v>
      </c>
      <c r="KD55" s="110">
        <f t="shared" si="426"/>
        <v>0</v>
      </c>
      <c r="KE55" s="110">
        <f t="shared" si="427"/>
        <v>0</v>
      </c>
      <c r="KF55" s="110">
        <f t="shared" si="428"/>
        <v>0</v>
      </c>
      <c r="KG55" s="110">
        <f t="shared" si="429"/>
        <v>0</v>
      </c>
      <c r="KH55" s="110">
        <f t="shared" si="430"/>
        <v>0</v>
      </c>
      <c r="KI55" s="110">
        <f t="shared" si="431"/>
        <v>0</v>
      </c>
      <c r="KJ55" s="110">
        <f t="shared" si="432"/>
        <v>0</v>
      </c>
      <c r="KK55" s="110">
        <f t="shared" si="433"/>
        <v>0</v>
      </c>
      <c r="KL55" s="110">
        <f t="shared" si="434"/>
        <v>0</v>
      </c>
      <c r="KM55" s="110">
        <f t="shared" si="435"/>
        <v>0</v>
      </c>
      <c r="KN55" s="110">
        <f t="shared" si="436"/>
        <v>0</v>
      </c>
      <c r="KO55" s="110">
        <f t="shared" si="437"/>
        <v>0</v>
      </c>
      <c r="KP55" s="110">
        <f t="shared" si="438"/>
        <v>0</v>
      </c>
      <c r="KQ55" s="110">
        <f t="shared" si="439"/>
        <v>0</v>
      </c>
      <c r="KR55" s="110">
        <f t="shared" si="440"/>
        <v>0</v>
      </c>
      <c r="KS55" s="110">
        <f t="shared" si="441"/>
        <v>0</v>
      </c>
      <c r="KT55" s="110">
        <f t="shared" si="442"/>
        <v>0</v>
      </c>
      <c r="KV55" s="111">
        <f t="shared" si="443"/>
        <v>0</v>
      </c>
      <c r="KW55" s="110">
        <f t="shared" si="444"/>
        <v>0</v>
      </c>
      <c r="KX55" s="110">
        <f t="shared" si="445"/>
        <v>0</v>
      </c>
      <c r="KY55" s="110">
        <f t="shared" si="446"/>
        <v>0</v>
      </c>
      <c r="KZ55" s="110">
        <f t="shared" si="447"/>
        <v>0</v>
      </c>
      <c r="LA55" s="110">
        <f t="shared" si="448"/>
        <v>0</v>
      </c>
      <c r="LB55" s="110">
        <f t="shared" si="449"/>
        <v>0</v>
      </c>
      <c r="LC55" s="110">
        <f t="shared" si="450"/>
        <v>0</v>
      </c>
      <c r="LD55" s="110">
        <f t="shared" si="451"/>
        <v>0</v>
      </c>
      <c r="LE55" s="110">
        <f t="shared" si="452"/>
        <v>0</v>
      </c>
      <c r="LF55" s="110">
        <f t="shared" si="453"/>
        <v>0</v>
      </c>
      <c r="LG55" s="110">
        <f t="shared" si="454"/>
        <v>0</v>
      </c>
      <c r="LH55" s="110">
        <f t="shared" si="455"/>
        <v>0</v>
      </c>
      <c r="LI55" s="110">
        <f t="shared" si="456"/>
        <v>0</v>
      </c>
      <c r="LJ55" s="110">
        <f t="shared" si="457"/>
        <v>0</v>
      </c>
      <c r="LK55" s="110">
        <f t="shared" si="458"/>
        <v>10.120000000000005</v>
      </c>
      <c r="LL55" s="110">
        <f t="shared" si="459"/>
        <v>10.120000000000005</v>
      </c>
      <c r="LM55" s="110">
        <f t="shared" si="460"/>
        <v>10.120000000000005</v>
      </c>
      <c r="LN55" s="110">
        <f t="shared" si="461"/>
        <v>10.120000000000005</v>
      </c>
      <c r="LO55" s="110">
        <f t="shared" si="462"/>
        <v>10.120000000000005</v>
      </c>
      <c r="LP55" s="110">
        <f t="shared" si="463"/>
        <v>10.120000000000005</v>
      </c>
      <c r="LQ55" s="110">
        <f t="shared" si="464"/>
        <v>10.120000000000005</v>
      </c>
      <c r="LR55" s="110">
        <f t="shared" si="465"/>
        <v>10.120000000000005</v>
      </c>
      <c r="LS55" s="110">
        <f t="shared" si="466"/>
        <v>10.120000000000005</v>
      </c>
      <c r="LT55" s="110">
        <f t="shared" si="467"/>
        <v>10.120000000000005</v>
      </c>
      <c r="LV55" s="111"/>
      <c r="LW55" s="110">
        <f t="shared" si="468"/>
        <v>0</v>
      </c>
      <c r="LX55" s="110">
        <f t="shared" si="469"/>
        <v>0</v>
      </c>
      <c r="LY55" s="110">
        <f t="shared" si="470"/>
        <v>0</v>
      </c>
      <c r="LZ55" s="110">
        <f t="shared" si="471"/>
        <v>0</v>
      </c>
      <c r="MA55" s="110">
        <f t="shared" si="472"/>
        <v>0</v>
      </c>
      <c r="MB55" s="110">
        <f t="shared" si="473"/>
        <v>0</v>
      </c>
      <c r="MC55" s="110">
        <f t="shared" si="474"/>
        <v>0</v>
      </c>
      <c r="MD55" s="110">
        <f t="shared" si="475"/>
        <v>0</v>
      </c>
      <c r="ME55" s="110">
        <f t="shared" si="476"/>
        <v>0</v>
      </c>
      <c r="MF55" s="110">
        <f t="shared" si="477"/>
        <v>0</v>
      </c>
      <c r="MG55" s="110">
        <f t="shared" si="478"/>
        <v>0</v>
      </c>
      <c r="MH55" s="110">
        <f t="shared" si="479"/>
        <v>0</v>
      </c>
      <c r="MI55" s="110">
        <f t="shared" si="480"/>
        <v>0</v>
      </c>
      <c r="MJ55" s="110">
        <f t="shared" si="481"/>
        <v>0</v>
      </c>
      <c r="MK55" s="110">
        <f t="shared" si="482"/>
        <v>0</v>
      </c>
      <c r="ML55" s="110">
        <f t="shared" si="483"/>
        <v>0</v>
      </c>
      <c r="MM55" s="110">
        <f t="shared" si="484"/>
        <v>0</v>
      </c>
      <c r="MN55" s="110">
        <f t="shared" si="485"/>
        <v>0</v>
      </c>
      <c r="MO55" s="110">
        <f t="shared" si="486"/>
        <v>0</v>
      </c>
      <c r="MP55" s="110">
        <f t="shared" si="487"/>
        <v>0</v>
      </c>
      <c r="MQ55" s="110">
        <f t="shared" si="488"/>
        <v>0</v>
      </c>
      <c r="MR55" s="110">
        <f t="shared" si="489"/>
        <v>0</v>
      </c>
      <c r="MS55" s="110">
        <f t="shared" si="490"/>
        <v>0</v>
      </c>
      <c r="MT55" s="110">
        <f t="shared" si="491"/>
        <v>0</v>
      </c>
      <c r="MV55" s="114">
        <v>299.12</v>
      </c>
      <c r="MW55" s="114">
        <v>0</v>
      </c>
      <c r="MX55" s="114">
        <v>10.120000000000005</v>
      </c>
      <c r="MY55" s="114">
        <v>0</v>
      </c>
      <c r="MZ55" s="114">
        <v>0</v>
      </c>
      <c r="NB55" s="115">
        <v>23</v>
      </c>
      <c r="NC55" s="115" t="str">
        <v>N/A</v>
      </c>
      <c r="ND55" s="115">
        <v>19</v>
      </c>
      <c r="NE55" s="115" t="str">
        <v>N/A</v>
      </c>
      <c r="NF55" s="115" t="str">
        <v>N/A</v>
      </c>
    </row>
    <row r="56" spans="2:370" ht="13.5" x14ac:dyDescent="0.25">
      <c r="B56" s="8">
        <f t="shared" si="252"/>
        <v>53</v>
      </c>
      <c r="C56" s="7">
        <v>219</v>
      </c>
      <c r="D56" s="7">
        <v>219</v>
      </c>
      <c r="E56" s="7">
        <v>219</v>
      </c>
      <c r="F56" s="7">
        <v>219</v>
      </c>
      <c r="G56" s="7">
        <v>219</v>
      </c>
      <c r="H56" s="7">
        <v>219</v>
      </c>
      <c r="I56" s="7">
        <v>219</v>
      </c>
      <c r="J56" s="7">
        <v>219</v>
      </c>
      <c r="K56" s="7">
        <v>219</v>
      </c>
      <c r="L56" s="7">
        <v>219</v>
      </c>
      <c r="M56" s="7">
        <v>219</v>
      </c>
      <c r="N56" s="7">
        <v>199</v>
      </c>
      <c r="O56" s="7">
        <v>219</v>
      </c>
      <c r="P56" s="7">
        <v>369</v>
      </c>
      <c r="Q56" s="7">
        <v>369</v>
      </c>
      <c r="R56" s="7">
        <v>369</v>
      </c>
      <c r="S56" s="7">
        <v>369</v>
      </c>
      <c r="T56" s="7">
        <v>369</v>
      </c>
      <c r="U56" s="7">
        <v>369</v>
      </c>
      <c r="V56" s="7">
        <v>369</v>
      </c>
      <c r="W56" s="7">
        <v>369</v>
      </c>
      <c r="X56" s="7">
        <v>369</v>
      </c>
      <c r="Y56" s="7">
        <v>369</v>
      </c>
      <c r="Z56" s="7">
        <v>369</v>
      </c>
      <c r="AA56" s="7">
        <v>369</v>
      </c>
      <c r="AB56" s="7">
        <v>369</v>
      </c>
      <c r="AC56" s="7">
        <v>369</v>
      </c>
      <c r="AD56" s="7">
        <v>381.22</v>
      </c>
      <c r="AE56" s="7">
        <v>381.22</v>
      </c>
      <c r="AF56" s="7">
        <v>381.22</v>
      </c>
      <c r="AG56" s="7">
        <v>381.22</v>
      </c>
      <c r="AH56" s="7">
        <v>381.22</v>
      </c>
      <c r="AI56" s="7">
        <v>381.22</v>
      </c>
      <c r="AJ56" s="7">
        <v>381.22</v>
      </c>
      <c r="AK56" s="7">
        <v>381.22</v>
      </c>
      <c r="AL56" s="7">
        <v>381.22</v>
      </c>
      <c r="AM56" s="7">
        <v>381.22</v>
      </c>
      <c r="AN56" s="27">
        <v>53</v>
      </c>
      <c r="AP56" s="111"/>
      <c r="AQ56" s="110">
        <f t="shared" si="253"/>
        <v>0</v>
      </c>
      <c r="AR56" s="110">
        <f t="shared" si="254"/>
        <v>0</v>
      </c>
      <c r="AS56" s="110">
        <f t="shared" si="255"/>
        <v>0</v>
      </c>
      <c r="AT56" s="110">
        <f t="shared" si="256"/>
        <v>0</v>
      </c>
      <c r="AU56" s="110">
        <f t="shared" si="257"/>
        <v>150</v>
      </c>
      <c r="AV56" s="110">
        <f t="shared" si="258"/>
        <v>0</v>
      </c>
      <c r="AW56" s="110">
        <f t="shared" si="259"/>
        <v>0</v>
      </c>
      <c r="AX56" s="110">
        <f t="shared" si="260"/>
        <v>0</v>
      </c>
      <c r="AY56" s="110">
        <f t="shared" si="261"/>
        <v>12.220000000000027</v>
      </c>
      <c r="AZ56" s="110">
        <f t="shared" si="262"/>
        <v>0</v>
      </c>
      <c r="BA56" s="110">
        <f t="shared" si="263"/>
        <v>0</v>
      </c>
      <c r="BB56" s="110">
        <f t="shared" si="264"/>
        <v>0</v>
      </c>
      <c r="BD56" s="109" cm="1">
        <f t="array" ref="BD56">+IFERROR(INDEX($C$3:$AM$3,MATCH(TRUE,INDEX($C56:$AM56&lt;&gt;0,0),0)),"N/A")</f>
        <v>44926</v>
      </c>
      <c r="BE56" s="112"/>
      <c r="BF56" s="1" t="str" cm="1">
        <f t="array" ref="BF56">+_xlfn.IFS(BT56&lt;&gt;0,BT$2,CH56&lt;&gt;0,CH$2,CV56&lt;&gt;0,CV$2,DJ56&lt;&gt;0,DJ$2,TRUE,"")</f>
        <v/>
      </c>
      <c r="BG56" s="1" t="str" cm="1">
        <f t="array" ref="BG56">+_xlfn.IFS(BU56&lt;&gt;0,BU$2,CI56&lt;&gt;0,CI$2,CW56&lt;&gt;0,CW$2,DK56&lt;&gt;0,DK$2,TRUE,"")</f>
        <v/>
      </c>
      <c r="BH56" s="1" t="str" cm="1">
        <f t="array" ref="BH56">+_xlfn.IFS(BV56&lt;&gt;0,BV$2,CJ56&lt;&gt;0,CJ$2,CX56&lt;&gt;0,CX$2,DL56&lt;&gt;0,DL$2,TRUE,"")</f>
        <v/>
      </c>
      <c r="BI56" s="1" t="str" cm="1">
        <f t="array" ref="BI56">+_xlfn.IFS(BW56&lt;&gt;0,BW$2,CK56&lt;&gt;0,CK$2,CY56&lt;&gt;0,CY$2,DM56&lt;&gt;0,DM$2,TRUE,"")</f>
        <v/>
      </c>
      <c r="BJ56" s="1" t="str" cm="1">
        <f t="array" ref="BJ56">+_xlfn.IFS(BX56&lt;&gt;0,BX$2,CL56&lt;&gt;0,CL$2,CZ56&lt;&gt;0,CZ$2,DN56&lt;&gt;0,DN$2,TRUE,"")</f>
        <v>Upsell</v>
      </c>
      <c r="BK56" s="1" t="str" cm="1">
        <f t="array" ref="BK56">+_xlfn.IFS(BY56&lt;&gt;0,BY$2,CM56&lt;&gt;0,CM$2,DA56&lt;&gt;0,DA$2,DO56&lt;&gt;0,DO$2,TRUE,"")</f>
        <v/>
      </c>
      <c r="BL56" s="1" t="str" cm="1">
        <f t="array" ref="BL56">+_xlfn.IFS(BZ56&lt;&gt;0,BZ$2,CN56&lt;&gt;0,CN$2,DB56&lt;&gt;0,DB$2,DP56&lt;&gt;0,DP$2,TRUE,"")</f>
        <v/>
      </c>
      <c r="BM56" s="1" t="str" cm="1">
        <f t="array" ref="BM56">+_xlfn.IFS(CA56&lt;&gt;0,CA$2,CO56&lt;&gt;0,CO$2,DC56&lt;&gt;0,DC$2,DQ56&lt;&gt;0,DQ$2,TRUE,"")</f>
        <v/>
      </c>
      <c r="BN56" s="1" t="str" cm="1">
        <f t="array" ref="BN56">+_xlfn.IFS(CB56&lt;&gt;0,CB$2,CP56&lt;&gt;0,CP$2,DD56&lt;&gt;0,DD$2,DR56&lt;&gt;0,DR$2,TRUE,"")</f>
        <v>Upsell</v>
      </c>
      <c r="BO56" s="1" t="str" cm="1">
        <f t="array" ref="BO56">+_xlfn.IFS(CC56&lt;&gt;0,CC$2,CQ56&lt;&gt;0,CQ$2,DE56&lt;&gt;0,DE$2,DS56&lt;&gt;0,DS$2,TRUE,"")</f>
        <v/>
      </c>
      <c r="BP56" s="1" t="str" cm="1">
        <f t="array" ref="BP56">+_xlfn.IFS(CD56&lt;&gt;0,CD$2,CR56&lt;&gt;0,CR$2,DF56&lt;&gt;0,DF$2,DT56&lt;&gt;0,DT$2,TRUE,"")</f>
        <v/>
      </c>
      <c r="BQ56" s="1" t="str" cm="1">
        <f t="array" ref="BQ56">+_xlfn.IFS(CE56&lt;&gt;0,CE$2,CS56&lt;&gt;0,CS$2,DG56&lt;&gt;0,DG$2,DU56&lt;&gt;0,DU$2,TRUE,"")</f>
        <v/>
      </c>
      <c r="BS56" s="111"/>
      <c r="BT56" s="110">
        <f t="shared" si="265"/>
        <v>0</v>
      </c>
      <c r="BU56" s="110">
        <f t="shared" si="266"/>
        <v>0</v>
      </c>
      <c r="BV56" s="110">
        <f t="shared" si="267"/>
        <v>0</v>
      </c>
      <c r="BW56" s="110">
        <f t="shared" si="268"/>
        <v>0</v>
      </c>
      <c r="BX56" s="110">
        <f t="shared" si="269"/>
        <v>0</v>
      </c>
      <c r="BY56" s="110">
        <f t="shared" si="270"/>
        <v>0</v>
      </c>
      <c r="BZ56" s="110">
        <f t="shared" si="271"/>
        <v>0</v>
      </c>
      <c r="CA56" s="110">
        <f t="shared" si="272"/>
        <v>0</v>
      </c>
      <c r="CB56" s="110">
        <f t="shared" si="273"/>
        <v>0</v>
      </c>
      <c r="CC56" s="110">
        <f t="shared" si="274"/>
        <v>0</v>
      </c>
      <c r="CD56" s="110">
        <f t="shared" si="275"/>
        <v>0</v>
      </c>
      <c r="CE56" s="110">
        <f t="shared" si="276"/>
        <v>0</v>
      </c>
      <c r="CG56" s="111"/>
      <c r="CH56" s="110">
        <f t="shared" si="277"/>
        <v>0</v>
      </c>
      <c r="CI56" s="110">
        <f t="shared" si="278"/>
        <v>0</v>
      </c>
      <c r="CJ56" s="110">
        <f t="shared" si="279"/>
        <v>0</v>
      </c>
      <c r="CK56" s="110">
        <f t="shared" si="280"/>
        <v>0</v>
      </c>
      <c r="CL56" s="110">
        <f t="shared" si="281"/>
        <v>0</v>
      </c>
      <c r="CM56" s="110">
        <f t="shared" si="282"/>
        <v>0</v>
      </c>
      <c r="CN56" s="110">
        <f t="shared" si="283"/>
        <v>0</v>
      </c>
      <c r="CO56" s="110">
        <f t="shared" si="284"/>
        <v>0</v>
      </c>
      <c r="CP56" s="110">
        <f t="shared" si="285"/>
        <v>0</v>
      </c>
      <c r="CQ56" s="110">
        <f t="shared" si="286"/>
        <v>0</v>
      </c>
      <c r="CR56" s="110">
        <f t="shared" si="287"/>
        <v>0</v>
      </c>
      <c r="CS56" s="110">
        <f t="shared" si="288"/>
        <v>0</v>
      </c>
      <c r="CU56" s="111"/>
      <c r="CV56" s="110">
        <f t="shared" si="289"/>
        <v>0</v>
      </c>
      <c r="CW56" s="110">
        <f t="shared" si="290"/>
        <v>0</v>
      </c>
      <c r="CX56" s="110">
        <f t="shared" si="291"/>
        <v>0</v>
      </c>
      <c r="CY56" s="110">
        <f t="shared" si="292"/>
        <v>0</v>
      </c>
      <c r="CZ56" s="110">
        <f t="shared" si="293"/>
        <v>0</v>
      </c>
      <c r="DA56" s="110">
        <f t="shared" si="294"/>
        <v>0</v>
      </c>
      <c r="DB56" s="110">
        <f t="shared" si="295"/>
        <v>0</v>
      </c>
      <c r="DC56" s="110">
        <f t="shared" si="296"/>
        <v>0</v>
      </c>
      <c r="DD56" s="110">
        <f t="shared" si="297"/>
        <v>0</v>
      </c>
      <c r="DE56" s="110">
        <f t="shared" si="298"/>
        <v>0</v>
      </c>
      <c r="DF56" s="110">
        <f t="shared" si="299"/>
        <v>0</v>
      </c>
      <c r="DG56" s="110">
        <f t="shared" si="300"/>
        <v>0</v>
      </c>
      <c r="DI56" s="111"/>
      <c r="DJ56" s="110">
        <f t="shared" si="301"/>
        <v>0</v>
      </c>
      <c r="DK56" s="110">
        <f t="shared" si="302"/>
        <v>0</v>
      </c>
      <c r="DL56" s="110">
        <f t="shared" si="303"/>
        <v>0</v>
      </c>
      <c r="DM56" s="110">
        <f t="shared" si="304"/>
        <v>0</v>
      </c>
      <c r="DN56" s="110">
        <f t="shared" si="305"/>
        <v>150</v>
      </c>
      <c r="DO56" s="110">
        <f t="shared" si="306"/>
        <v>0</v>
      </c>
      <c r="DP56" s="110">
        <f t="shared" si="307"/>
        <v>0</v>
      </c>
      <c r="DQ56" s="110">
        <f t="shared" si="308"/>
        <v>0</v>
      </c>
      <c r="DR56" s="110">
        <f t="shared" si="309"/>
        <v>12.220000000000027</v>
      </c>
      <c r="DS56" s="110">
        <f t="shared" si="310"/>
        <v>0</v>
      </c>
      <c r="DT56" s="110">
        <f t="shared" si="311"/>
        <v>0</v>
      </c>
      <c r="DU56" s="110">
        <f t="shared" si="312"/>
        <v>0</v>
      </c>
      <c r="DW56" s="111"/>
      <c r="DX56" s="110">
        <f t="shared" si="313"/>
        <v>0</v>
      </c>
      <c r="DY56" s="110">
        <f t="shared" si="314"/>
        <v>0</v>
      </c>
      <c r="DZ56" s="110">
        <f t="shared" si="315"/>
        <v>0</v>
      </c>
      <c r="EA56" s="110">
        <f t="shared" si="316"/>
        <v>0</v>
      </c>
      <c r="EB56" s="110">
        <f t="shared" si="317"/>
        <v>0</v>
      </c>
      <c r="EC56" s="110">
        <f t="shared" si="318"/>
        <v>0</v>
      </c>
      <c r="ED56" s="110">
        <f t="shared" si="319"/>
        <v>0</v>
      </c>
      <c r="EE56" s="110">
        <f t="shared" si="320"/>
        <v>0</v>
      </c>
      <c r="EF56" s="110">
        <f t="shared" si="321"/>
        <v>0</v>
      </c>
      <c r="EG56" s="110">
        <f t="shared" si="322"/>
        <v>0</v>
      </c>
      <c r="EH56" s="110">
        <f t="shared" si="323"/>
        <v>0</v>
      </c>
      <c r="EI56" s="110">
        <f t="shared" si="324"/>
        <v>0</v>
      </c>
      <c r="EK56" s="111"/>
      <c r="EL56" s="110">
        <f t="shared" si="325"/>
        <v>0</v>
      </c>
      <c r="EM56" s="110">
        <f t="shared" si="326"/>
        <v>150</v>
      </c>
      <c r="EN56" s="110">
        <f t="shared" si="327"/>
        <v>12.220000000000027</v>
      </c>
      <c r="EP56" s="109" cm="1">
        <f t="array" ref="EP56">+IFERROR(INDEX($C$3:$AM$3,MATCH(TRUE,INDEX($C56:$AM56&lt;&gt;0,0),0)),"N/A")</f>
        <v>44926</v>
      </c>
      <c r="EQ56" s="112"/>
      <c r="ER56" s="1" t="str" cm="1">
        <f t="array" ref="ER56">+_xlfn.IFS(EW56&lt;&gt;0,EW$2,FB56&lt;&gt;0,FB$2,FG56&lt;&gt;0,FG$2,FL56&lt;&gt;0,FL$2,TRUE,"")</f>
        <v/>
      </c>
      <c r="ES56" s="1" t="str" cm="1">
        <f t="array" ref="ES56">+_xlfn.IFS(EX56&lt;&gt;0,EX$2,FC56&lt;&gt;0,FC$2,FH56&lt;&gt;0,FH$2,FM56&lt;&gt;0,FM$2,TRUE,"")</f>
        <v>Upsell</v>
      </c>
      <c r="ET56" s="1" t="str" cm="1">
        <f t="array" ref="ET56">+_xlfn.IFS(EY56&lt;&gt;0,EY$2,FD56&lt;&gt;0,FD$2,FI56&lt;&gt;0,FI$2,FN56&lt;&gt;0,FN$2,TRUE,"")</f>
        <v>Upsell</v>
      </c>
      <c r="EV56" s="111"/>
      <c r="EW56" s="110">
        <f t="shared" si="328"/>
        <v>0</v>
      </c>
      <c r="EX56" s="110">
        <f t="shared" si="329"/>
        <v>0</v>
      </c>
      <c r="EY56" s="110">
        <f t="shared" si="330"/>
        <v>0</v>
      </c>
      <c r="FA56" s="111"/>
      <c r="FB56" s="110">
        <f t="shared" si="331"/>
        <v>0</v>
      </c>
      <c r="FC56" s="110">
        <f t="shared" si="332"/>
        <v>0</v>
      </c>
      <c r="FD56" s="110">
        <f t="shared" si="333"/>
        <v>0</v>
      </c>
      <c r="FF56" s="111"/>
      <c r="FG56" s="110">
        <f t="shared" si="334"/>
        <v>0</v>
      </c>
      <c r="FH56" s="110">
        <f t="shared" si="335"/>
        <v>0</v>
      </c>
      <c r="FI56" s="110">
        <f t="shared" si="336"/>
        <v>0</v>
      </c>
      <c r="FK56" s="111"/>
      <c r="FL56" s="110">
        <f t="shared" si="337"/>
        <v>0</v>
      </c>
      <c r="FM56" s="110">
        <f t="shared" si="338"/>
        <v>150</v>
      </c>
      <c r="FN56" s="110">
        <f t="shared" si="339"/>
        <v>12.220000000000027</v>
      </c>
      <c r="FP56" s="111"/>
      <c r="FQ56" s="110">
        <f t="shared" si="340"/>
        <v>0</v>
      </c>
      <c r="FR56" s="110">
        <f t="shared" si="341"/>
        <v>0</v>
      </c>
      <c r="FS56" s="110">
        <f t="shared" si="342"/>
        <v>0</v>
      </c>
      <c r="FU56" s="111">
        <f t="shared" si="343"/>
        <v>0</v>
      </c>
      <c r="FV56" s="110">
        <f t="shared" si="344"/>
        <v>150</v>
      </c>
      <c r="FW56" s="110">
        <f t="shared" si="345"/>
        <v>150</v>
      </c>
      <c r="FX56" s="110">
        <f t="shared" si="346"/>
        <v>150</v>
      </c>
      <c r="FY56" s="110">
        <f t="shared" si="347"/>
        <v>150</v>
      </c>
      <c r="FZ56" s="110">
        <f t="shared" si="348"/>
        <v>150</v>
      </c>
      <c r="GA56" s="110">
        <f t="shared" si="349"/>
        <v>150</v>
      </c>
      <c r="GB56" s="110">
        <f t="shared" si="350"/>
        <v>150</v>
      </c>
      <c r="GC56" s="110">
        <f t="shared" si="351"/>
        <v>150</v>
      </c>
      <c r="GD56" s="110">
        <f t="shared" si="352"/>
        <v>150</v>
      </c>
      <c r="GE56" s="110">
        <f t="shared" si="353"/>
        <v>150</v>
      </c>
      <c r="GF56" s="110">
        <f t="shared" si="354"/>
        <v>170</v>
      </c>
      <c r="GG56" s="110">
        <f t="shared" si="355"/>
        <v>150</v>
      </c>
      <c r="GH56" s="110">
        <f t="shared" si="356"/>
        <v>0</v>
      </c>
      <c r="GI56" s="110">
        <f t="shared" si="357"/>
        <v>0</v>
      </c>
      <c r="GJ56" s="110">
        <f t="shared" si="358"/>
        <v>12.220000000000027</v>
      </c>
      <c r="GK56" s="110">
        <f t="shared" si="359"/>
        <v>12.220000000000027</v>
      </c>
      <c r="GL56" s="110">
        <f t="shared" si="360"/>
        <v>12.220000000000027</v>
      </c>
      <c r="GM56" s="110">
        <f t="shared" si="361"/>
        <v>12.220000000000027</v>
      </c>
      <c r="GN56" s="110">
        <f t="shared" si="362"/>
        <v>12.220000000000027</v>
      </c>
      <c r="GO56" s="110">
        <f t="shared" si="363"/>
        <v>12.220000000000027</v>
      </c>
      <c r="GP56" s="110">
        <f t="shared" si="364"/>
        <v>12.220000000000027</v>
      </c>
      <c r="GQ56" s="110">
        <f t="shared" si="365"/>
        <v>12.220000000000027</v>
      </c>
      <c r="GR56" s="110">
        <f t="shared" si="366"/>
        <v>12.220000000000027</v>
      </c>
      <c r="GS56" s="110">
        <f t="shared" si="367"/>
        <v>12.220000000000027</v>
      </c>
      <c r="GU56" s="109" cm="1">
        <f t="array" ref="GU56">+IFERROR(INDEX($C$3:$AM$3,MATCH(TRUE,INDEX($C56:$AM56&lt;&gt;0,0),0)),"N/A")</f>
        <v>44926</v>
      </c>
      <c r="GV56" s="112" t="str" cm="1">
        <f t="array" ref="GV56">+_xlfn.IFS(HV56&lt;&gt;0,HV$2,IV56&lt;&gt;0,IV$2,JV56&lt;&gt;0,JV$2,KV56&lt;&gt;0,KV$2,TRUE,"")</f>
        <v/>
      </c>
      <c r="GW56" s="1" t="str" cm="1">
        <f t="array" ref="GW56">+_xlfn.IFS(HW56&lt;&gt;0,HW$2,IW56&lt;&gt;0,IW$2,JW56&lt;&gt;0,JW$2,KW56&lt;&gt;0,KW$2,TRUE,"")</f>
        <v>Upsell</v>
      </c>
      <c r="GX56" s="1" t="str" cm="1">
        <f t="array" ref="GX56">+_xlfn.IFS(HX56&lt;&gt;0,HX$2,IX56&lt;&gt;0,IX$2,JX56&lt;&gt;0,JX$2,KX56&lt;&gt;0,KX$2,TRUE,"")</f>
        <v>Upsell</v>
      </c>
      <c r="GY56" s="1" t="str" cm="1">
        <f t="array" ref="GY56">+_xlfn.IFS(HY56&lt;&gt;0,HY$2,IY56&lt;&gt;0,IY$2,JY56&lt;&gt;0,JY$2,KY56&lt;&gt;0,KY$2,TRUE,"")</f>
        <v>Upsell</v>
      </c>
      <c r="GZ56" s="1" t="str" cm="1">
        <f t="array" ref="GZ56">+_xlfn.IFS(HZ56&lt;&gt;0,HZ$2,IZ56&lt;&gt;0,IZ$2,JZ56&lt;&gt;0,JZ$2,KZ56&lt;&gt;0,KZ$2,TRUE,"")</f>
        <v>Upsell</v>
      </c>
      <c r="HA56" s="1" t="str" cm="1">
        <f t="array" ref="HA56">+_xlfn.IFS(IA56&lt;&gt;0,IA$2,JA56&lt;&gt;0,JA$2,KA56&lt;&gt;0,KA$2,LA56&lt;&gt;0,LA$2,TRUE,"")</f>
        <v>Upsell</v>
      </c>
      <c r="HB56" s="1" t="str" cm="1">
        <f t="array" ref="HB56">+_xlfn.IFS(IB56&lt;&gt;0,IB$2,JB56&lt;&gt;0,JB$2,KB56&lt;&gt;0,KB$2,LB56&lt;&gt;0,LB$2,TRUE,"")</f>
        <v>Upsell</v>
      </c>
      <c r="HC56" s="1" t="str" cm="1">
        <f t="array" ref="HC56">+_xlfn.IFS(IC56&lt;&gt;0,IC$2,JC56&lt;&gt;0,JC$2,KC56&lt;&gt;0,KC$2,LC56&lt;&gt;0,LC$2,TRUE,"")</f>
        <v>Upsell</v>
      </c>
      <c r="HD56" s="1" t="str" cm="1">
        <f t="array" ref="HD56">+_xlfn.IFS(ID56&lt;&gt;0,ID$2,JD56&lt;&gt;0,JD$2,KD56&lt;&gt;0,KD$2,LD56&lt;&gt;0,LD$2,TRUE,"")</f>
        <v>Upsell</v>
      </c>
      <c r="HE56" s="1" t="str" cm="1">
        <f t="array" ref="HE56">+_xlfn.IFS(IE56&lt;&gt;0,IE$2,JE56&lt;&gt;0,JE$2,KE56&lt;&gt;0,KE$2,LE56&lt;&gt;0,LE$2,TRUE,"")</f>
        <v>Upsell</v>
      </c>
      <c r="HF56" s="1" t="str" cm="1">
        <f t="array" ref="HF56">+_xlfn.IFS(IF56&lt;&gt;0,IF$2,JF56&lt;&gt;0,JF$2,KF56&lt;&gt;0,KF$2,LF56&lt;&gt;0,LF$2,TRUE,"")</f>
        <v>Upsell</v>
      </c>
      <c r="HG56" s="1" t="str" cm="1">
        <f t="array" ref="HG56">+_xlfn.IFS(IG56&lt;&gt;0,IG$2,JG56&lt;&gt;0,JG$2,KG56&lt;&gt;0,KG$2,LG56&lt;&gt;0,LG$2,TRUE,"")</f>
        <v>Upsell</v>
      </c>
      <c r="HH56" s="1" t="str" cm="1">
        <f t="array" ref="HH56">+_xlfn.IFS(IH56&lt;&gt;0,IH$2,JH56&lt;&gt;0,JH$2,KH56&lt;&gt;0,KH$2,LH56&lt;&gt;0,LH$2,TRUE,"")</f>
        <v>Upsell</v>
      </c>
      <c r="HI56" s="1" t="str" cm="1">
        <f t="array" ref="HI56">+_xlfn.IFS(II56&lt;&gt;0,II$2,JI56&lt;&gt;0,JI$2,KI56&lt;&gt;0,KI$2,LI56&lt;&gt;0,LI$2,TRUE,"")</f>
        <v/>
      </c>
      <c r="HJ56" s="1" t="str" cm="1">
        <f t="array" ref="HJ56">+_xlfn.IFS(IJ56&lt;&gt;0,IJ$2,JJ56&lt;&gt;0,JJ$2,KJ56&lt;&gt;0,KJ$2,LJ56&lt;&gt;0,LJ$2,TRUE,"")</f>
        <v/>
      </c>
      <c r="HK56" s="1" t="str" cm="1">
        <f t="array" ref="HK56">+_xlfn.IFS(IK56&lt;&gt;0,IK$2,JK56&lt;&gt;0,JK$2,KK56&lt;&gt;0,KK$2,LK56&lt;&gt;0,LK$2,TRUE,"")</f>
        <v>Upsell</v>
      </c>
      <c r="HL56" s="1" t="str" cm="1">
        <f t="array" ref="HL56">+_xlfn.IFS(IL56&lt;&gt;0,IL$2,JL56&lt;&gt;0,JL$2,KL56&lt;&gt;0,KL$2,LL56&lt;&gt;0,LL$2,TRUE,"")</f>
        <v>Upsell</v>
      </c>
      <c r="HM56" s="1" t="str" cm="1">
        <f t="array" ref="HM56">+_xlfn.IFS(IM56&lt;&gt;0,IM$2,JM56&lt;&gt;0,JM$2,KM56&lt;&gt;0,KM$2,LM56&lt;&gt;0,LM$2,TRUE,"")</f>
        <v>Upsell</v>
      </c>
      <c r="HN56" s="1" t="str" cm="1">
        <f t="array" ref="HN56">+_xlfn.IFS(IN56&lt;&gt;0,IN$2,JN56&lt;&gt;0,JN$2,KN56&lt;&gt;0,KN$2,LN56&lt;&gt;0,LN$2,TRUE,"")</f>
        <v>Upsell</v>
      </c>
      <c r="HO56" s="1" t="str" cm="1">
        <f t="array" ref="HO56">+_xlfn.IFS(IO56&lt;&gt;0,IO$2,JO56&lt;&gt;0,JO$2,KO56&lt;&gt;0,KO$2,LO56&lt;&gt;0,LO$2,TRUE,"")</f>
        <v>Upsell</v>
      </c>
      <c r="HP56" s="1" t="str" cm="1">
        <f t="array" ref="HP56">+_xlfn.IFS(IP56&lt;&gt;0,IP$2,JP56&lt;&gt;0,JP$2,KP56&lt;&gt;0,KP$2,LP56&lt;&gt;0,LP$2,TRUE,"")</f>
        <v>Upsell</v>
      </c>
      <c r="HQ56" s="1" t="str" cm="1">
        <f t="array" ref="HQ56">+_xlfn.IFS(IQ56&lt;&gt;0,IQ$2,JQ56&lt;&gt;0,JQ$2,KQ56&lt;&gt;0,KQ$2,LQ56&lt;&gt;0,LQ$2,TRUE,"")</f>
        <v>Upsell</v>
      </c>
      <c r="HR56" s="1" t="str" cm="1">
        <f t="array" ref="HR56">+_xlfn.IFS(IR56&lt;&gt;0,IR$2,JR56&lt;&gt;0,JR$2,KR56&lt;&gt;0,KR$2,LR56&lt;&gt;0,LR$2,TRUE,"")</f>
        <v>Upsell</v>
      </c>
      <c r="HS56" s="1" t="str" cm="1">
        <f t="array" ref="HS56">+_xlfn.IFS(IS56&lt;&gt;0,IS$2,JS56&lt;&gt;0,JS$2,KS56&lt;&gt;0,KS$2,LS56&lt;&gt;0,LS$2,TRUE,"")</f>
        <v>Upsell</v>
      </c>
      <c r="HT56" s="1" t="str" cm="1">
        <f t="array" ref="HT56">+_xlfn.IFS(IT56&lt;&gt;0,IT$2,JT56&lt;&gt;0,JT$2,KT56&lt;&gt;0,KT$2,LT56&lt;&gt;0,LT$2,TRUE,"")</f>
        <v>Upsell</v>
      </c>
      <c r="HV56" s="111">
        <f t="shared" si="368"/>
        <v>0</v>
      </c>
      <c r="HW56" s="110">
        <f t="shared" si="369"/>
        <v>0</v>
      </c>
      <c r="HX56" s="110">
        <f t="shared" si="370"/>
        <v>0</v>
      </c>
      <c r="HY56" s="110">
        <f t="shared" si="371"/>
        <v>0</v>
      </c>
      <c r="HZ56" s="110">
        <f t="shared" si="372"/>
        <v>0</v>
      </c>
      <c r="IA56" s="110">
        <f t="shared" si="373"/>
        <v>0</v>
      </c>
      <c r="IB56" s="110">
        <f t="shared" si="374"/>
        <v>0</v>
      </c>
      <c r="IC56" s="110">
        <f t="shared" si="375"/>
        <v>0</v>
      </c>
      <c r="ID56" s="110">
        <f t="shared" si="376"/>
        <v>0</v>
      </c>
      <c r="IE56" s="110">
        <f t="shared" si="377"/>
        <v>0</v>
      </c>
      <c r="IF56" s="110">
        <f t="shared" si="378"/>
        <v>0</v>
      </c>
      <c r="IG56" s="110">
        <f t="shared" si="379"/>
        <v>0</v>
      </c>
      <c r="IH56" s="110">
        <f t="shared" si="380"/>
        <v>0</v>
      </c>
      <c r="II56" s="110">
        <f t="shared" si="381"/>
        <v>0</v>
      </c>
      <c r="IJ56" s="110">
        <f t="shared" si="382"/>
        <v>0</v>
      </c>
      <c r="IK56" s="110">
        <f t="shared" si="383"/>
        <v>0</v>
      </c>
      <c r="IL56" s="110">
        <f t="shared" si="384"/>
        <v>0</v>
      </c>
      <c r="IM56" s="110">
        <f t="shared" si="385"/>
        <v>0</v>
      </c>
      <c r="IN56" s="110">
        <f t="shared" si="386"/>
        <v>0</v>
      </c>
      <c r="IO56" s="110">
        <f t="shared" si="387"/>
        <v>0</v>
      </c>
      <c r="IP56" s="110">
        <f t="shared" si="388"/>
        <v>0</v>
      </c>
      <c r="IQ56" s="110">
        <f t="shared" si="389"/>
        <v>0</v>
      </c>
      <c r="IR56" s="110">
        <f t="shared" si="390"/>
        <v>0</v>
      </c>
      <c r="IS56" s="110">
        <f t="shared" si="391"/>
        <v>0</v>
      </c>
      <c r="IT56" s="110">
        <f t="shared" si="392"/>
        <v>0</v>
      </c>
      <c r="IV56" s="111">
        <f t="shared" si="393"/>
        <v>0</v>
      </c>
      <c r="IW56" s="110">
        <f t="shared" si="394"/>
        <v>0</v>
      </c>
      <c r="IX56" s="110">
        <f t="shared" si="395"/>
        <v>0</v>
      </c>
      <c r="IY56" s="110">
        <f t="shared" si="396"/>
        <v>0</v>
      </c>
      <c r="IZ56" s="110">
        <f t="shared" si="397"/>
        <v>0</v>
      </c>
      <c r="JA56" s="110">
        <f t="shared" si="398"/>
        <v>0</v>
      </c>
      <c r="JB56" s="110">
        <f t="shared" si="399"/>
        <v>0</v>
      </c>
      <c r="JC56" s="110">
        <f t="shared" si="400"/>
        <v>0</v>
      </c>
      <c r="JD56" s="110">
        <f t="shared" si="401"/>
        <v>0</v>
      </c>
      <c r="JE56" s="110">
        <f t="shared" si="402"/>
        <v>0</v>
      </c>
      <c r="JF56" s="110">
        <f t="shared" si="403"/>
        <v>0</v>
      </c>
      <c r="JG56" s="110">
        <f t="shared" si="404"/>
        <v>0</v>
      </c>
      <c r="JH56" s="110">
        <f t="shared" si="405"/>
        <v>0</v>
      </c>
      <c r="JI56" s="110">
        <f t="shared" si="406"/>
        <v>0</v>
      </c>
      <c r="JJ56" s="110">
        <f t="shared" si="407"/>
        <v>0</v>
      </c>
      <c r="JK56" s="110">
        <f t="shared" si="408"/>
        <v>0</v>
      </c>
      <c r="JL56" s="110">
        <f t="shared" si="409"/>
        <v>0</v>
      </c>
      <c r="JM56" s="110">
        <f t="shared" si="410"/>
        <v>0</v>
      </c>
      <c r="JN56" s="110">
        <f t="shared" si="411"/>
        <v>0</v>
      </c>
      <c r="JO56" s="110">
        <f t="shared" si="412"/>
        <v>0</v>
      </c>
      <c r="JP56" s="110">
        <f t="shared" si="413"/>
        <v>0</v>
      </c>
      <c r="JQ56" s="110">
        <f t="shared" si="414"/>
        <v>0</v>
      </c>
      <c r="JR56" s="110">
        <f t="shared" si="415"/>
        <v>0</v>
      </c>
      <c r="JS56" s="110">
        <f t="shared" si="416"/>
        <v>0</v>
      </c>
      <c r="JT56" s="110">
        <f t="shared" si="417"/>
        <v>0</v>
      </c>
      <c r="JV56" s="111">
        <f t="shared" si="418"/>
        <v>0</v>
      </c>
      <c r="JW56" s="110">
        <f t="shared" si="419"/>
        <v>0</v>
      </c>
      <c r="JX56" s="110">
        <f t="shared" si="420"/>
        <v>0</v>
      </c>
      <c r="JY56" s="110">
        <f t="shared" si="421"/>
        <v>0</v>
      </c>
      <c r="JZ56" s="110">
        <f t="shared" si="422"/>
        <v>0</v>
      </c>
      <c r="KA56" s="110">
        <f t="shared" si="423"/>
        <v>0</v>
      </c>
      <c r="KB56" s="110">
        <f t="shared" si="424"/>
        <v>0</v>
      </c>
      <c r="KC56" s="110">
        <f t="shared" si="425"/>
        <v>0</v>
      </c>
      <c r="KD56" s="110">
        <f t="shared" si="426"/>
        <v>0</v>
      </c>
      <c r="KE56" s="110">
        <f t="shared" si="427"/>
        <v>0</v>
      </c>
      <c r="KF56" s="110">
        <f t="shared" si="428"/>
        <v>0</v>
      </c>
      <c r="KG56" s="110">
        <f t="shared" si="429"/>
        <v>0</v>
      </c>
      <c r="KH56" s="110">
        <f t="shared" si="430"/>
        <v>0</v>
      </c>
      <c r="KI56" s="110">
        <f t="shared" si="431"/>
        <v>0</v>
      </c>
      <c r="KJ56" s="110">
        <f t="shared" si="432"/>
        <v>0</v>
      </c>
      <c r="KK56" s="110">
        <f t="shared" si="433"/>
        <v>0</v>
      </c>
      <c r="KL56" s="110">
        <f t="shared" si="434"/>
        <v>0</v>
      </c>
      <c r="KM56" s="110">
        <f t="shared" si="435"/>
        <v>0</v>
      </c>
      <c r="KN56" s="110">
        <f t="shared" si="436"/>
        <v>0</v>
      </c>
      <c r="KO56" s="110">
        <f t="shared" si="437"/>
        <v>0</v>
      </c>
      <c r="KP56" s="110">
        <f t="shared" si="438"/>
        <v>0</v>
      </c>
      <c r="KQ56" s="110">
        <f t="shared" si="439"/>
        <v>0</v>
      </c>
      <c r="KR56" s="110">
        <f t="shared" si="440"/>
        <v>0</v>
      </c>
      <c r="KS56" s="110">
        <f t="shared" si="441"/>
        <v>0</v>
      </c>
      <c r="KT56" s="110">
        <f t="shared" si="442"/>
        <v>0</v>
      </c>
      <c r="KV56" s="111">
        <f t="shared" si="443"/>
        <v>0</v>
      </c>
      <c r="KW56" s="110">
        <f t="shared" si="444"/>
        <v>150</v>
      </c>
      <c r="KX56" s="110">
        <f t="shared" si="445"/>
        <v>150</v>
      </c>
      <c r="KY56" s="110">
        <f t="shared" si="446"/>
        <v>150</v>
      </c>
      <c r="KZ56" s="110">
        <f t="shared" si="447"/>
        <v>150</v>
      </c>
      <c r="LA56" s="110">
        <f t="shared" si="448"/>
        <v>150</v>
      </c>
      <c r="LB56" s="110">
        <f t="shared" si="449"/>
        <v>150</v>
      </c>
      <c r="LC56" s="110">
        <f t="shared" si="450"/>
        <v>150</v>
      </c>
      <c r="LD56" s="110">
        <f t="shared" si="451"/>
        <v>150</v>
      </c>
      <c r="LE56" s="110">
        <f t="shared" si="452"/>
        <v>150</v>
      </c>
      <c r="LF56" s="110">
        <f t="shared" si="453"/>
        <v>150</v>
      </c>
      <c r="LG56" s="110">
        <f t="shared" si="454"/>
        <v>170</v>
      </c>
      <c r="LH56" s="110">
        <f t="shared" si="455"/>
        <v>150</v>
      </c>
      <c r="LI56" s="110">
        <f t="shared" si="456"/>
        <v>0</v>
      </c>
      <c r="LJ56" s="110">
        <f t="shared" si="457"/>
        <v>0</v>
      </c>
      <c r="LK56" s="110">
        <f t="shared" si="458"/>
        <v>12.220000000000027</v>
      </c>
      <c r="LL56" s="110">
        <f t="shared" si="459"/>
        <v>12.220000000000027</v>
      </c>
      <c r="LM56" s="110">
        <f t="shared" si="460"/>
        <v>12.220000000000027</v>
      </c>
      <c r="LN56" s="110">
        <f t="shared" si="461"/>
        <v>12.220000000000027</v>
      </c>
      <c r="LO56" s="110">
        <f t="shared" si="462"/>
        <v>12.220000000000027</v>
      </c>
      <c r="LP56" s="110">
        <f t="shared" si="463"/>
        <v>12.220000000000027</v>
      </c>
      <c r="LQ56" s="110">
        <f t="shared" si="464"/>
        <v>12.220000000000027</v>
      </c>
      <c r="LR56" s="110">
        <f t="shared" si="465"/>
        <v>12.220000000000027</v>
      </c>
      <c r="LS56" s="110">
        <f t="shared" si="466"/>
        <v>12.220000000000027</v>
      </c>
      <c r="LT56" s="110">
        <f t="shared" si="467"/>
        <v>12.220000000000027</v>
      </c>
      <c r="LV56" s="111"/>
      <c r="LW56" s="110">
        <f t="shared" si="468"/>
        <v>0</v>
      </c>
      <c r="LX56" s="110">
        <f t="shared" si="469"/>
        <v>0</v>
      </c>
      <c r="LY56" s="110">
        <f t="shared" si="470"/>
        <v>0</v>
      </c>
      <c r="LZ56" s="110">
        <f t="shared" si="471"/>
        <v>0</v>
      </c>
      <c r="MA56" s="110">
        <f t="shared" si="472"/>
        <v>0</v>
      </c>
      <c r="MB56" s="110">
        <f t="shared" si="473"/>
        <v>0</v>
      </c>
      <c r="MC56" s="110">
        <f t="shared" si="474"/>
        <v>0</v>
      </c>
      <c r="MD56" s="110">
        <f t="shared" si="475"/>
        <v>0</v>
      </c>
      <c r="ME56" s="110">
        <f t="shared" si="476"/>
        <v>0</v>
      </c>
      <c r="MF56" s="110">
        <f t="shared" si="477"/>
        <v>0</v>
      </c>
      <c r="MG56" s="110">
        <f t="shared" si="478"/>
        <v>0</v>
      </c>
      <c r="MH56" s="110">
        <f t="shared" si="479"/>
        <v>0</v>
      </c>
      <c r="MI56" s="110">
        <f t="shared" si="480"/>
        <v>0</v>
      </c>
      <c r="MJ56" s="110">
        <f t="shared" si="481"/>
        <v>0</v>
      </c>
      <c r="MK56" s="110">
        <f t="shared" si="482"/>
        <v>0</v>
      </c>
      <c r="ML56" s="110">
        <f t="shared" si="483"/>
        <v>0</v>
      </c>
      <c r="MM56" s="110">
        <f t="shared" si="484"/>
        <v>0</v>
      </c>
      <c r="MN56" s="110">
        <f t="shared" si="485"/>
        <v>0</v>
      </c>
      <c r="MO56" s="110">
        <f t="shared" si="486"/>
        <v>0</v>
      </c>
      <c r="MP56" s="110">
        <f t="shared" si="487"/>
        <v>0</v>
      </c>
      <c r="MQ56" s="110">
        <f t="shared" si="488"/>
        <v>0</v>
      </c>
      <c r="MR56" s="110">
        <f t="shared" si="489"/>
        <v>0</v>
      </c>
      <c r="MS56" s="110">
        <f t="shared" si="490"/>
        <v>0</v>
      </c>
      <c r="MT56" s="110">
        <f t="shared" si="491"/>
        <v>0</v>
      </c>
      <c r="MV56" s="114">
        <v>381.22</v>
      </c>
      <c r="MW56" s="114">
        <v>0</v>
      </c>
      <c r="MX56" s="114">
        <v>12.220000000000027</v>
      </c>
      <c r="MY56" s="114">
        <v>0</v>
      </c>
      <c r="MZ56" s="114">
        <v>0</v>
      </c>
      <c r="NB56" s="115">
        <v>4</v>
      </c>
      <c r="NC56" s="115" t="str">
        <v>N/A</v>
      </c>
      <c r="ND56" s="115">
        <v>8</v>
      </c>
      <c r="NE56" s="115" t="str">
        <v>N/A</v>
      </c>
      <c r="NF56" s="115" t="str">
        <v>N/A</v>
      </c>
    </row>
    <row r="57" spans="2:370" ht="13.5" x14ac:dyDescent="0.25">
      <c r="B57" s="8">
        <f t="shared" si="252"/>
        <v>54</v>
      </c>
      <c r="C57" s="7">
        <v>179</v>
      </c>
      <c r="D57" s="7">
        <v>179</v>
      </c>
      <c r="E57" s="7">
        <v>179</v>
      </c>
      <c r="F57" s="7">
        <v>179</v>
      </c>
      <c r="G57" s="7">
        <v>179</v>
      </c>
      <c r="H57" s="7">
        <v>179</v>
      </c>
      <c r="I57" s="7">
        <v>179</v>
      </c>
      <c r="J57" s="7">
        <v>179</v>
      </c>
      <c r="K57" s="7">
        <v>179</v>
      </c>
      <c r="L57" s="7">
        <v>179</v>
      </c>
      <c r="M57" s="7">
        <v>179</v>
      </c>
      <c r="N57" s="7">
        <v>179</v>
      </c>
      <c r="O57" s="7">
        <v>179</v>
      </c>
      <c r="P57" s="7">
        <v>179</v>
      </c>
      <c r="Q57" s="7">
        <v>179</v>
      </c>
      <c r="R57" s="7">
        <v>179</v>
      </c>
      <c r="S57" s="7">
        <v>179</v>
      </c>
      <c r="T57" s="7">
        <v>179</v>
      </c>
      <c r="U57" s="7">
        <v>179</v>
      </c>
      <c r="V57" s="7">
        <v>179</v>
      </c>
      <c r="W57" s="7">
        <v>179</v>
      </c>
      <c r="X57" s="7">
        <v>179</v>
      </c>
      <c r="Y57" s="7">
        <v>179</v>
      </c>
      <c r="Z57" s="7">
        <v>179</v>
      </c>
      <c r="AA57" s="7">
        <v>179</v>
      </c>
      <c r="AB57" s="7">
        <v>179</v>
      </c>
      <c r="AC57" s="7">
        <v>179</v>
      </c>
      <c r="AD57" s="7">
        <v>179</v>
      </c>
      <c r="AE57" s="7">
        <v>179</v>
      </c>
      <c r="AF57" s="7">
        <v>179</v>
      </c>
      <c r="AG57" s="7">
        <v>179</v>
      </c>
      <c r="AH57" s="7">
        <v>179</v>
      </c>
      <c r="AI57" s="7">
        <v>179</v>
      </c>
      <c r="AJ57" s="7">
        <v>179</v>
      </c>
      <c r="AK57" s="7">
        <v>179</v>
      </c>
      <c r="AL57" s="7">
        <v>179</v>
      </c>
      <c r="AM57" s="7">
        <v>179</v>
      </c>
      <c r="AN57" s="27">
        <v>54</v>
      </c>
      <c r="AP57" s="111"/>
      <c r="AQ57" s="110">
        <f t="shared" si="253"/>
        <v>0</v>
      </c>
      <c r="AR57" s="110">
        <f t="shared" si="254"/>
        <v>0</v>
      </c>
      <c r="AS57" s="110">
        <f t="shared" si="255"/>
        <v>0</v>
      </c>
      <c r="AT57" s="110">
        <f t="shared" si="256"/>
        <v>0</v>
      </c>
      <c r="AU57" s="110">
        <f t="shared" si="257"/>
        <v>0</v>
      </c>
      <c r="AV57" s="110">
        <f t="shared" si="258"/>
        <v>0</v>
      </c>
      <c r="AW57" s="110">
        <f t="shared" si="259"/>
        <v>0</v>
      </c>
      <c r="AX57" s="110">
        <f t="shared" si="260"/>
        <v>0</v>
      </c>
      <c r="AY57" s="110">
        <f t="shared" si="261"/>
        <v>0</v>
      </c>
      <c r="AZ57" s="110">
        <f t="shared" si="262"/>
        <v>0</v>
      </c>
      <c r="BA57" s="110">
        <f t="shared" si="263"/>
        <v>0</v>
      </c>
      <c r="BB57" s="110">
        <f t="shared" si="264"/>
        <v>0</v>
      </c>
      <c r="BD57" s="109" cm="1">
        <f t="array" ref="BD57">+IFERROR(INDEX($C$3:$AM$3,MATCH(TRUE,INDEX($C57:$AM57&lt;&gt;0,0),0)),"N/A")</f>
        <v>44926</v>
      </c>
      <c r="BE57" s="112"/>
      <c r="BF57" s="1" t="str" cm="1">
        <f t="array" ref="BF57">+_xlfn.IFS(BT57&lt;&gt;0,BT$2,CH57&lt;&gt;0,CH$2,CV57&lt;&gt;0,CV$2,DJ57&lt;&gt;0,DJ$2,TRUE,"")</f>
        <v/>
      </c>
      <c r="BG57" s="1" t="str" cm="1">
        <f t="array" ref="BG57">+_xlfn.IFS(BU57&lt;&gt;0,BU$2,CI57&lt;&gt;0,CI$2,CW57&lt;&gt;0,CW$2,DK57&lt;&gt;0,DK$2,TRUE,"")</f>
        <v/>
      </c>
      <c r="BH57" s="1" t="str" cm="1">
        <f t="array" ref="BH57">+_xlfn.IFS(BV57&lt;&gt;0,BV$2,CJ57&lt;&gt;0,CJ$2,CX57&lt;&gt;0,CX$2,DL57&lt;&gt;0,DL$2,TRUE,"")</f>
        <v/>
      </c>
      <c r="BI57" s="1" t="str" cm="1">
        <f t="array" ref="BI57">+_xlfn.IFS(BW57&lt;&gt;0,BW$2,CK57&lt;&gt;0,CK$2,CY57&lt;&gt;0,CY$2,DM57&lt;&gt;0,DM$2,TRUE,"")</f>
        <v/>
      </c>
      <c r="BJ57" s="1" t="str" cm="1">
        <f t="array" ref="BJ57">+_xlfn.IFS(BX57&lt;&gt;0,BX$2,CL57&lt;&gt;0,CL$2,CZ57&lt;&gt;0,CZ$2,DN57&lt;&gt;0,DN$2,TRUE,"")</f>
        <v/>
      </c>
      <c r="BK57" s="1" t="str" cm="1">
        <f t="array" ref="BK57">+_xlfn.IFS(BY57&lt;&gt;0,BY$2,CM57&lt;&gt;0,CM$2,DA57&lt;&gt;0,DA$2,DO57&lt;&gt;0,DO$2,TRUE,"")</f>
        <v/>
      </c>
      <c r="BL57" s="1" t="str" cm="1">
        <f t="array" ref="BL57">+_xlfn.IFS(BZ57&lt;&gt;0,BZ$2,CN57&lt;&gt;0,CN$2,DB57&lt;&gt;0,DB$2,DP57&lt;&gt;0,DP$2,TRUE,"")</f>
        <v/>
      </c>
      <c r="BM57" s="1" t="str" cm="1">
        <f t="array" ref="BM57">+_xlfn.IFS(CA57&lt;&gt;0,CA$2,CO57&lt;&gt;0,CO$2,DC57&lt;&gt;0,DC$2,DQ57&lt;&gt;0,DQ$2,TRUE,"")</f>
        <v/>
      </c>
      <c r="BN57" s="1" t="str" cm="1">
        <f t="array" ref="BN57">+_xlfn.IFS(CB57&lt;&gt;0,CB$2,CP57&lt;&gt;0,CP$2,DD57&lt;&gt;0,DD$2,DR57&lt;&gt;0,DR$2,TRUE,"")</f>
        <v/>
      </c>
      <c r="BO57" s="1" t="str" cm="1">
        <f t="array" ref="BO57">+_xlfn.IFS(CC57&lt;&gt;0,CC$2,CQ57&lt;&gt;0,CQ$2,DE57&lt;&gt;0,DE$2,DS57&lt;&gt;0,DS$2,TRUE,"")</f>
        <v/>
      </c>
      <c r="BP57" s="1" t="str" cm="1">
        <f t="array" ref="BP57">+_xlfn.IFS(CD57&lt;&gt;0,CD$2,CR57&lt;&gt;0,CR$2,DF57&lt;&gt;0,DF$2,DT57&lt;&gt;0,DT$2,TRUE,"")</f>
        <v/>
      </c>
      <c r="BQ57" s="1" t="str" cm="1">
        <f t="array" ref="BQ57">+_xlfn.IFS(CE57&lt;&gt;0,CE$2,CS57&lt;&gt;0,CS$2,DG57&lt;&gt;0,DG$2,DU57&lt;&gt;0,DU$2,TRUE,"")</f>
        <v/>
      </c>
      <c r="BS57" s="111"/>
      <c r="BT57" s="110">
        <f t="shared" si="265"/>
        <v>0</v>
      </c>
      <c r="BU57" s="110">
        <f t="shared" si="266"/>
        <v>0</v>
      </c>
      <c r="BV57" s="110">
        <f t="shared" si="267"/>
        <v>0</v>
      </c>
      <c r="BW57" s="110">
        <f t="shared" si="268"/>
        <v>0</v>
      </c>
      <c r="BX57" s="110">
        <f t="shared" si="269"/>
        <v>0</v>
      </c>
      <c r="BY57" s="110">
        <f t="shared" si="270"/>
        <v>0</v>
      </c>
      <c r="BZ57" s="110">
        <f t="shared" si="271"/>
        <v>0</v>
      </c>
      <c r="CA57" s="110">
        <f t="shared" si="272"/>
        <v>0</v>
      </c>
      <c r="CB57" s="110">
        <f t="shared" si="273"/>
        <v>0</v>
      </c>
      <c r="CC57" s="110">
        <f t="shared" si="274"/>
        <v>0</v>
      </c>
      <c r="CD57" s="110">
        <f t="shared" si="275"/>
        <v>0</v>
      </c>
      <c r="CE57" s="110">
        <f t="shared" si="276"/>
        <v>0</v>
      </c>
      <c r="CG57" s="111"/>
      <c r="CH57" s="110">
        <f t="shared" si="277"/>
        <v>0</v>
      </c>
      <c r="CI57" s="110">
        <f t="shared" si="278"/>
        <v>0</v>
      </c>
      <c r="CJ57" s="110">
        <f t="shared" si="279"/>
        <v>0</v>
      </c>
      <c r="CK57" s="110">
        <f t="shared" si="280"/>
        <v>0</v>
      </c>
      <c r="CL57" s="110">
        <f t="shared" si="281"/>
        <v>0</v>
      </c>
      <c r="CM57" s="110">
        <f t="shared" si="282"/>
        <v>0</v>
      </c>
      <c r="CN57" s="110">
        <f t="shared" si="283"/>
        <v>0</v>
      </c>
      <c r="CO57" s="110">
        <f t="shared" si="284"/>
        <v>0</v>
      </c>
      <c r="CP57" s="110">
        <f t="shared" si="285"/>
        <v>0</v>
      </c>
      <c r="CQ57" s="110">
        <f t="shared" si="286"/>
        <v>0</v>
      </c>
      <c r="CR57" s="110">
        <f t="shared" si="287"/>
        <v>0</v>
      </c>
      <c r="CS57" s="110">
        <f t="shared" si="288"/>
        <v>0</v>
      </c>
      <c r="CU57" s="111"/>
      <c r="CV57" s="110">
        <f t="shared" si="289"/>
        <v>0</v>
      </c>
      <c r="CW57" s="110">
        <f t="shared" si="290"/>
        <v>0</v>
      </c>
      <c r="CX57" s="110">
        <f t="shared" si="291"/>
        <v>0</v>
      </c>
      <c r="CY57" s="110">
        <f t="shared" si="292"/>
        <v>0</v>
      </c>
      <c r="CZ57" s="110">
        <f t="shared" si="293"/>
        <v>0</v>
      </c>
      <c r="DA57" s="110">
        <f t="shared" si="294"/>
        <v>0</v>
      </c>
      <c r="DB57" s="110">
        <f t="shared" si="295"/>
        <v>0</v>
      </c>
      <c r="DC57" s="110">
        <f t="shared" si="296"/>
        <v>0</v>
      </c>
      <c r="DD57" s="110">
        <f t="shared" si="297"/>
        <v>0</v>
      </c>
      <c r="DE57" s="110">
        <f t="shared" si="298"/>
        <v>0</v>
      </c>
      <c r="DF57" s="110">
        <f t="shared" si="299"/>
        <v>0</v>
      </c>
      <c r="DG57" s="110">
        <f t="shared" si="300"/>
        <v>0</v>
      </c>
      <c r="DI57" s="111"/>
      <c r="DJ57" s="110">
        <f t="shared" si="301"/>
        <v>0</v>
      </c>
      <c r="DK57" s="110">
        <f t="shared" si="302"/>
        <v>0</v>
      </c>
      <c r="DL57" s="110">
        <f t="shared" si="303"/>
        <v>0</v>
      </c>
      <c r="DM57" s="110">
        <f t="shared" si="304"/>
        <v>0</v>
      </c>
      <c r="DN57" s="110">
        <f t="shared" si="305"/>
        <v>0</v>
      </c>
      <c r="DO57" s="110">
        <f t="shared" si="306"/>
        <v>0</v>
      </c>
      <c r="DP57" s="110">
        <f t="shared" si="307"/>
        <v>0</v>
      </c>
      <c r="DQ57" s="110">
        <f t="shared" si="308"/>
        <v>0</v>
      </c>
      <c r="DR57" s="110">
        <f t="shared" si="309"/>
        <v>0</v>
      </c>
      <c r="DS57" s="110">
        <f t="shared" si="310"/>
        <v>0</v>
      </c>
      <c r="DT57" s="110">
        <f t="shared" si="311"/>
        <v>0</v>
      </c>
      <c r="DU57" s="110">
        <f t="shared" si="312"/>
        <v>0</v>
      </c>
      <c r="DW57" s="111"/>
      <c r="DX57" s="110">
        <f t="shared" si="313"/>
        <v>0</v>
      </c>
      <c r="DY57" s="110">
        <f t="shared" si="314"/>
        <v>0</v>
      </c>
      <c r="DZ57" s="110">
        <f t="shared" si="315"/>
        <v>0</v>
      </c>
      <c r="EA57" s="110">
        <f t="shared" si="316"/>
        <v>0</v>
      </c>
      <c r="EB57" s="110">
        <f t="shared" si="317"/>
        <v>0</v>
      </c>
      <c r="EC57" s="110">
        <f t="shared" si="318"/>
        <v>0</v>
      </c>
      <c r="ED57" s="110">
        <f t="shared" si="319"/>
        <v>0</v>
      </c>
      <c r="EE57" s="110">
        <f t="shared" si="320"/>
        <v>0</v>
      </c>
      <c r="EF57" s="110">
        <f t="shared" si="321"/>
        <v>0</v>
      </c>
      <c r="EG57" s="110">
        <f t="shared" si="322"/>
        <v>0</v>
      </c>
      <c r="EH57" s="110">
        <f t="shared" si="323"/>
        <v>0</v>
      </c>
      <c r="EI57" s="110">
        <f t="shared" si="324"/>
        <v>0</v>
      </c>
      <c r="EK57" s="111"/>
      <c r="EL57" s="110">
        <f t="shared" si="325"/>
        <v>0</v>
      </c>
      <c r="EM57" s="110">
        <f t="shared" si="326"/>
        <v>0</v>
      </c>
      <c r="EN57" s="110">
        <f t="shared" si="327"/>
        <v>0</v>
      </c>
      <c r="EP57" s="109" cm="1">
        <f t="array" ref="EP57">+IFERROR(INDEX($C$3:$AM$3,MATCH(TRUE,INDEX($C57:$AM57&lt;&gt;0,0),0)),"N/A")</f>
        <v>44926</v>
      </c>
      <c r="EQ57" s="112"/>
      <c r="ER57" s="1" t="str" cm="1">
        <f t="array" ref="ER57">+_xlfn.IFS(EW57&lt;&gt;0,EW$2,FB57&lt;&gt;0,FB$2,FG57&lt;&gt;0,FG$2,FL57&lt;&gt;0,FL$2,TRUE,"")</f>
        <v/>
      </c>
      <c r="ES57" s="1" t="str" cm="1">
        <f t="array" ref="ES57">+_xlfn.IFS(EX57&lt;&gt;0,EX$2,FC57&lt;&gt;0,FC$2,FH57&lt;&gt;0,FH$2,FM57&lt;&gt;0,FM$2,TRUE,"")</f>
        <v/>
      </c>
      <c r="ET57" s="1" t="str" cm="1">
        <f t="array" ref="ET57">+_xlfn.IFS(EY57&lt;&gt;0,EY$2,FD57&lt;&gt;0,FD$2,FI57&lt;&gt;0,FI$2,FN57&lt;&gt;0,FN$2,TRUE,"")</f>
        <v/>
      </c>
      <c r="EV57" s="111"/>
      <c r="EW57" s="110">
        <f t="shared" si="328"/>
        <v>0</v>
      </c>
      <c r="EX57" s="110">
        <f t="shared" si="329"/>
        <v>0</v>
      </c>
      <c r="EY57" s="110">
        <f t="shared" si="330"/>
        <v>0</v>
      </c>
      <c r="FA57" s="111"/>
      <c r="FB57" s="110">
        <f t="shared" si="331"/>
        <v>0</v>
      </c>
      <c r="FC57" s="110">
        <f t="shared" si="332"/>
        <v>0</v>
      </c>
      <c r="FD57" s="110">
        <f t="shared" si="333"/>
        <v>0</v>
      </c>
      <c r="FF57" s="111"/>
      <c r="FG57" s="110">
        <f t="shared" si="334"/>
        <v>0</v>
      </c>
      <c r="FH57" s="110">
        <f t="shared" si="335"/>
        <v>0</v>
      </c>
      <c r="FI57" s="110">
        <f t="shared" si="336"/>
        <v>0</v>
      </c>
      <c r="FK57" s="111"/>
      <c r="FL57" s="110">
        <f t="shared" si="337"/>
        <v>0</v>
      </c>
      <c r="FM57" s="110">
        <f t="shared" si="338"/>
        <v>0</v>
      </c>
      <c r="FN57" s="110">
        <f t="shared" si="339"/>
        <v>0</v>
      </c>
      <c r="FP57" s="111"/>
      <c r="FQ57" s="110">
        <f t="shared" si="340"/>
        <v>0</v>
      </c>
      <c r="FR57" s="110">
        <f t="shared" si="341"/>
        <v>0</v>
      </c>
      <c r="FS57" s="110">
        <f t="shared" si="342"/>
        <v>0</v>
      </c>
      <c r="FU57" s="111">
        <f t="shared" si="343"/>
        <v>0</v>
      </c>
      <c r="FV57" s="110">
        <f t="shared" si="344"/>
        <v>0</v>
      </c>
      <c r="FW57" s="110">
        <f t="shared" si="345"/>
        <v>0</v>
      </c>
      <c r="FX57" s="110">
        <f t="shared" si="346"/>
        <v>0</v>
      </c>
      <c r="FY57" s="110">
        <f t="shared" si="347"/>
        <v>0</v>
      </c>
      <c r="FZ57" s="110">
        <f t="shared" si="348"/>
        <v>0</v>
      </c>
      <c r="GA57" s="110">
        <f t="shared" si="349"/>
        <v>0</v>
      </c>
      <c r="GB57" s="110">
        <f t="shared" si="350"/>
        <v>0</v>
      </c>
      <c r="GC57" s="110">
        <f t="shared" si="351"/>
        <v>0</v>
      </c>
      <c r="GD57" s="110">
        <f t="shared" si="352"/>
        <v>0</v>
      </c>
      <c r="GE57" s="110">
        <f t="shared" si="353"/>
        <v>0</v>
      </c>
      <c r="GF57" s="110">
        <f t="shared" si="354"/>
        <v>0</v>
      </c>
      <c r="GG57" s="110">
        <f t="shared" si="355"/>
        <v>0</v>
      </c>
      <c r="GH57" s="110">
        <f t="shared" si="356"/>
        <v>0</v>
      </c>
      <c r="GI57" s="110">
        <f t="shared" si="357"/>
        <v>0</v>
      </c>
      <c r="GJ57" s="110">
        <f t="shared" si="358"/>
        <v>0</v>
      </c>
      <c r="GK57" s="110">
        <f t="shared" si="359"/>
        <v>0</v>
      </c>
      <c r="GL57" s="110">
        <f t="shared" si="360"/>
        <v>0</v>
      </c>
      <c r="GM57" s="110">
        <f t="shared" si="361"/>
        <v>0</v>
      </c>
      <c r="GN57" s="110">
        <f t="shared" si="362"/>
        <v>0</v>
      </c>
      <c r="GO57" s="110">
        <f t="shared" si="363"/>
        <v>0</v>
      </c>
      <c r="GP57" s="110">
        <f t="shared" si="364"/>
        <v>0</v>
      </c>
      <c r="GQ57" s="110">
        <f t="shared" si="365"/>
        <v>0</v>
      </c>
      <c r="GR57" s="110">
        <f t="shared" si="366"/>
        <v>0</v>
      </c>
      <c r="GS57" s="110">
        <f t="shared" si="367"/>
        <v>0</v>
      </c>
      <c r="GU57" s="109" cm="1">
        <f t="array" ref="GU57">+IFERROR(INDEX($C$3:$AM$3,MATCH(TRUE,INDEX($C57:$AM57&lt;&gt;0,0),0)),"N/A")</f>
        <v>44926</v>
      </c>
      <c r="GV57" s="112" t="str" cm="1">
        <f t="array" ref="GV57">+_xlfn.IFS(HV57&lt;&gt;0,HV$2,IV57&lt;&gt;0,IV$2,JV57&lt;&gt;0,JV$2,KV57&lt;&gt;0,KV$2,TRUE,"")</f>
        <v/>
      </c>
      <c r="GW57" s="1" t="str" cm="1">
        <f t="array" ref="GW57">+_xlfn.IFS(HW57&lt;&gt;0,HW$2,IW57&lt;&gt;0,IW$2,JW57&lt;&gt;0,JW$2,KW57&lt;&gt;0,KW$2,TRUE,"")</f>
        <v/>
      </c>
      <c r="GX57" s="1" t="str" cm="1">
        <f t="array" ref="GX57">+_xlfn.IFS(HX57&lt;&gt;0,HX$2,IX57&lt;&gt;0,IX$2,JX57&lt;&gt;0,JX$2,KX57&lt;&gt;0,KX$2,TRUE,"")</f>
        <v/>
      </c>
      <c r="GY57" s="1" t="str" cm="1">
        <f t="array" ref="GY57">+_xlfn.IFS(HY57&lt;&gt;0,HY$2,IY57&lt;&gt;0,IY$2,JY57&lt;&gt;0,JY$2,KY57&lt;&gt;0,KY$2,TRUE,"")</f>
        <v/>
      </c>
      <c r="GZ57" s="1" t="str" cm="1">
        <f t="array" ref="GZ57">+_xlfn.IFS(HZ57&lt;&gt;0,HZ$2,IZ57&lt;&gt;0,IZ$2,JZ57&lt;&gt;0,JZ$2,KZ57&lt;&gt;0,KZ$2,TRUE,"")</f>
        <v/>
      </c>
      <c r="HA57" s="1" t="str" cm="1">
        <f t="array" ref="HA57">+_xlfn.IFS(IA57&lt;&gt;0,IA$2,JA57&lt;&gt;0,JA$2,KA57&lt;&gt;0,KA$2,LA57&lt;&gt;0,LA$2,TRUE,"")</f>
        <v/>
      </c>
      <c r="HB57" s="1" t="str" cm="1">
        <f t="array" ref="HB57">+_xlfn.IFS(IB57&lt;&gt;0,IB$2,JB57&lt;&gt;0,JB$2,KB57&lt;&gt;0,KB$2,LB57&lt;&gt;0,LB$2,TRUE,"")</f>
        <v/>
      </c>
      <c r="HC57" s="1" t="str" cm="1">
        <f t="array" ref="HC57">+_xlfn.IFS(IC57&lt;&gt;0,IC$2,JC57&lt;&gt;0,JC$2,KC57&lt;&gt;0,KC$2,LC57&lt;&gt;0,LC$2,TRUE,"")</f>
        <v/>
      </c>
      <c r="HD57" s="1" t="str" cm="1">
        <f t="array" ref="HD57">+_xlfn.IFS(ID57&lt;&gt;0,ID$2,JD57&lt;&gt;0,JD$2,KD57&lt;&gt;0,KD$2,LD57&lt;&gt;0,LD$2,TRUE,"")</f>
        <v/>
      </c>
      <c r="HE57" s="1" t="str" cm="1">
        <f t="array" ref="HE57">+_xlfn.IFS(IE57&lt;&gt;0,IE$2,JE57&lt;&gt;0,JE$2,KE57&lt;&gt;0,KE$2,LE57&lt;&gt;0,LE$2,TRUE,"")</f>
        <v/>
      </c>
      <c r="HF57" s="1" t="str" cm="1">
        <f t="array" ref="HF57">+_xlfn.IFS(IF57&lt;&gt;0,IF$2,JF57&lt;&gt;0,JF$2,KF57&lt;&gt;0,KF$2,LF57&lt;&gt;0,LF$2,TRUE,"")</f>
        <v/>
      </c>
      <c r="HG57" s="1" t="str" cm="1">
        <f t="array" ref="HG57">+_xlfn.IFS(IG57&lt;&gt;0,IG$2,JG57&lt;&gt;0,JG$2,KG57&lt;&gt;0,KG$2,LG57&lt;&gt;0,LG$2,TRUE,"")</f>
        <v/>
      </c>
      <c r="HH57" s="1" t="str" cm="1">
        <f t="array" ref="HH57">+_xlfn.IFS(IH57&lt;&gt;0,IH$2,JH57&lt;&gt;0,JH$2,KH57&lt;&gt;0,KH$2,LH57&lt;&gt;0,LH$2,TRUE,"")</f>
        <v/>
      </c>
      <c r="HI57" s="1" t="str" cm="1">
        <f t="array" ref="HI57">+_xlfn.IFS(II57&lt;&gt;0,II$2,JI57&lt;&gt;0,JI$2,KI57&lt;&gt;0,KI$2,LI57&lt;&gt;0,LI$2,TRUE,"")</f>
        <v/>
      </c>
      <c r="HJ57" s="1" t="str" cm="1">
        <f t="array" ref="HJ57">+_xlfn.IFS(IJ57&lt;&gt;0,IJ$2,JJ57&lt;&gt;0,JJ$2,KJ57&lt;&gt;0,KJ$2,LJ57&lt;&gt;0,LJ$2,TRUE,"")</f>
        <v/>
      </c>
      <c r="HK57" s="1" t="str" cm="1">
        <f t="array" ref="HK57">+_xlfn.IFS(IK57&lt;&gt;0,IK$2,JK57&lt;&gt;0,JK$2,KK57&lt;&gt;0,KK$2,LK57&lt;&gt;0,LK$2,TRUE,"")</f>
        <v/>
      </c>
      <c r="HL57" s="1" t="str" cm="1">
        <f t="array" ref="HL57">+_xlfn.IFS(IL57&lt;&gt;0,IL$2,JL57&lt;&gt;0,JL$2,KL57&lt;&gt;0,KL$2,LL57&lt;&gt;0,LL$2,TRUE,"")</f>
        <v/>
      </c>
      <c r="HM57" s="1" t="str" cm="1">
        <f t="array" ref="HM57">+_xlfn.IFS(IM57&lt;&gt;0,IM$2,JM57&lt;&gt;0,JM$2,KM57&lt;&gt;0,KM$2,LM57&lt;&gt;0,LM$2,TRUE,"")</f>
        <v/>
      </c>
      <c r="HN57" s="1" t="str" cm="1">
        <f t="array" ref="HN57">+_xlfn.IFS(IN57&lt;&gt;0,IN$2,JN57&lt;&gt;0,JN$2,KN57&lt;&gt;0,KN$2,LN57&lt;&gt;0,LN$2,TRUE,"")</f>
        <v/>
      </c>
      <c r="HO57" s="1" t="str" cm="1">
        <f t="array" ref="HO57">+_xlfn.IFS(IO57&lt;&gt;0,IO$2,JO57&lt;&gt;0,JO$2,KO57&lt;&gt;0,KO$2,LO57&lt;&gt;0,LO$2,TRUE,"")</f>
        <v/>
      </c>
      <c r="HP57" s="1" t="str" cm="1">
        <f t="array" ref="HP57">+_xlfn.IFS(IP57&lt;&gt;0,IP$2,JP57&lt;&gt;0,JP$2,KP57&lt;&gt;0,KP$2,LP57&lt;&gt;0,LP$2,TRUE,"")</f>
        <v/>
      </c>
      <c r="HQ57" s="1" t="str" cm="1">
        <f t="array" ref="HQ57">+_xlfn.IFS(IQ57&lt;&gt;0,IQ$2,JQ57&lt;&gt;0,JQ$2,KQ57&lt;&gt;0,KQ$2,LQ57&lt;&gt;0,LQ$2,TRUE,"")</f>
        <v/>
      </c>
      <c r="HR57" s="1" t="str" cm="1">
        <f t="array" ref="HR57">+_xlfn.IFS(IR57&lt;&gt;0,IR$2,JR57&lt;&gt;0,JR$2,KR57&lt;&gt;0,KR$2,LR57&lt;&gt;0,LR$2,TRUE,"")</f>
        <v/>
      </c>
      <c r="HS57" s="1" t="str" cm="1">
        <f t="array" ref="HS57">+_xlfn.IFS(IS57&lt;&gt;0,IS$2,JS57&lt;&gt;0,JS$2,KS57&lt;&gt;0,KS$2,LS57&lt;&gt;0,LS$2,TRUE,"")</f>
        <v/>
      </c>
      <c r="HT57" s="1" t="str" cm="1">
        <f t="array" ref="HT57">+_xlfn.IFS(IT57&lt;&gt;0,IT$2,JT57&lt;&gt;0,JT$2,KT57&lt;&gt;0,KT$2,LT57&lt;&gt;0,LT$2,TRUE,"")</f>
        <v/>
      </c>
      <c r="HV57" s="111">
        <f t="shared" si="368"/>
        <v>0</v>
      </c>
      <c r="HW57" s="110">
        <f t="shared" si="369"/>
        <v>0</v>
      </c>
      <c r="HX57" s="110">
        <f t="shared" si="370"/>
        <v>0</v>
      </c>
      <c r="HY57" s="110">
        <f t="shared" si="371"/>
        <v>0</v>
      </c>
      <c r="HZ57" s="110">
        <f t="shared" si="372"/>
        <v>0</v>
      </c>
      <c r="IA57" s="110">
        <f t="shared" si="373"/>
        <v>0</v>
      </c>
      <c r="IB57" s="110">
        <f t="shared" si="374"/>
        <v>0</v>
      </c>
      <c r="IC57" s="110">
        <f t="shared" si="375"/>
        <v>0</v>
      </c>
      <c r="ID57" s="110">
        <f t="shared" si="376"/>
        <v>0</v>
      </c>
      <c r="IE57" s="110">
        <f t="shared" si="377"/>
        <v>0</v>
      </c>
      <c r="IF57" s="110">
        <f t="shared" si="378"/>
        <v>0</v>
      </c>
      <c r="IG57" s="110">
        <f t="shared" si="379"/>
        <v>0</v>
      </c>
      <c r="IH57" s="110">
        <f t="shared" si="380"/>
        <v>0</v>
      </c>
      <c r="II57" s="110">
        <f t="shared" si="381"/>
        <v>0</v>
      </c>
      <c r="IJ57" s="110">
        <f t="shared" si="382"/>
        <v>0</v>
      </c>
      <c r="IK57" s="110">
        <f t="shared" si="383"/>
        <v>0</v>
      </c>
      <c r="IL57" s="110">
        <f t="shared" si="384"/>
        <v>0</v>
      </c>
      <c r="IM57" s="110">
        <f t="shared" si="385"/>
        <v>0</v>
      </c>
      <c r="IN57" s="110">
        <f t="shared" si="386"/>
        <v>0</v>
      </c>
      <c r="IO57" s="110">
        <f t="shared" si="387"/>
        <v>0</v>
      </c>
      <c r="IP57" s="110">
        <f t="shared" si="388"/>
        <v>0</v>
      </c>
      <c r="IQ57" s="110">
        <f t="shared" si="389"/>
        <v>0</v>
      </c>
      <c r="IR57" s="110">
        <f t="shared" si="390"/>
        <v>0</v>
      </c>
      <c r="IS57" s="110">
        <f t="shared" si="391"/>
        <v>0</v>
      </c>
      <c r="IT57" s="110">
        <f t="shared" si="392"/>
        <v>0</v>
      </c>
      <c r="IV57" s="111">
        <f t="shared" si="393"/>
        <v>0</v>
      </c>
      <c r="IW57" s="110">
        <f t="shared" si="394"/>
        <v>0</v>
      </c>
      <c r="IX57" s="110">
        <f t="shared" si="395"/>
        <v>0</v>
      </c>
      <c r="IY57" s="110">
        <f t="shared" si="396"/>
        <v>0</v>
      </c>
      <c r="IZ57" s="110">
        <f t="shared" si="397"/>
        <v>0</v>
      </c>
      <c r="JA57" s="110">
        <f t="shared" si="398"/>
        <v>0</v>
      </c>
      <c r="JB57" s="110">
        <f t="shared" si="399"/>
        <v>0</v>
      </c>
      <c r="JC57" s="110">
        <f t="shared" si="400"/>
        <v>0</v>
      </c>
      <c r="JD57" s="110">
        <f t="shared" si="401"/>
        <v>0</v>
      </c>
      <c r="JE57" s="110">
        <f t="shared" si="402"/>
        <v>0</v>
      </c>
      <c r="JF57" s="110">
        <f t="shared" si="403"/>
        <v>0</v>
      </c>
      <c r="JG57" s="110">
        <f t="shared" si="404"/>
        <v>0</v>
      </c>
      <c r="JH57" s="110">
        <f t="shared" si="405"/>
        <v>0</v>
      </c>
      <c r="JI57" s="110">
        <f t="shared" si="406"/>
        <v>0</v>
      </c>
      <c r="JJ57" s="110">
        <f t="shared" si="407"/>
        <v>0</v>
      </c>
      <c r="JK57" s="110">
        <f t="shared" si="408"/>
        <v>0</v>
      </c>
      <c r="JL57" s="110">
        <f t="shared" si="409"/>
        <v>0</v>
      </c>
      <c r="JM57" s="110">
        <f t="shared" si="410"/>
        <v>0</v>
      </c>
      <c r="JN57" s="110">
        <f t="shared" si="411"/>
        <v>0</v>
      </c>
      <c r="JO57" s="110">
        <f t="shared" si="412"/>
        <v>0</v>
      </c>
      <c r="JP57" s="110">
        <f t="shared" si="413"/>
        <v>0</v>
      </c>
      <c r="JQ57" s="110">
        <f t="shared" si="414"/>
        <v>0</v>
      </c>
      <c r="JR57" s="110">
        <f t="shared" si="415"/>
        <v>0</v>
      </c>
      <c r="JS57" s="110">
        <f t="shared" si="416"/>
        <v>0</v>
      </c>
      <c r="JT57" s="110">
        <f t="shared" si="417"/>
        <v>0</v>
      </c>
      <c r="JV57" s="111">
        <f t="shared" si="418"/>
        <v>0</v>
      </c>
      <c r="JW57" s="110">
        <f t="shared" si="419"/>
        <v>0</v>
      </c>
      <c r="JX57" s="110">
        <f t="shared" si="420"/>
        <v>0</v>
      </c>
      <c r="JY57" s="110">
        <f t="shared" si="421"/>
        <v>0</v>
      </c>
      <c r="JZ57" s="110">
        <f t="shared" si="422"/>
        <v>0</v>
      </c>
      <c r="KA57" s="110">
        <f t="shared" si="423"/>
        <v>0</v>
      </c>
      <c r="KB57" s="110">
        <f t="shared" si="424"/>
        <v>0</v>
      </c>
      <c r="KC57" s="110">
        <f t="shared" si="425"/>
        <v>0</v>
      </c>
      <c r="KD57" s="110">
        <f t="shared" si="426"/>
        <v>0</v>
      </c>
      <c r="KE57" s="110">
        <f t="shared" si="427"/>
        <v>0</v>
      </c>
      <c r="KF57" s="110">
        <f t="shared" si="428"/>
        <v>0</v>
      </c>
      <c r="KG57" s="110">
        <f t="shared" si="429"/>
        <v>0</v>
      </c>
      <c r="KH57" s="110">
        <f t="shared" si="430"/>
        <v>0</v>
      </c>
      <c r="KI57" s="110">
        <f t="shared" si="431"/>
        <v>0</v>
      </c>
      <c r="KJ57" s="110">
        <f t="shared" si="432"/>
        <v>0</v>
      </c>
      <c r="KK57" s="110">
        <f t="shared" si="433"/>
        <v>0</v>
      </c>
      <c r="KL57" s="110">
        <f t="shared" si="434"/>
        <v>0</v>
      </c>
      <c r="KM57" s="110">
        <f t="shared" si="435"/>
        <v>0</v>
      </c>
      <c r="KN57" s="110">
        <f t="shared" si="436"/>
        <v>0</v>
      </c>
      <c r="KO57" s="110">
        <f t="shared" si="437"/>
        <v>0</v>
      </c>
      <c r="KP57" s="110">
        <f t="shared" si="438"/>
        <v>0</v>
      </c>
      <c r="KQ57" s="110">
        <f t="shared" si="439"/>
        <v>0</v>
      </c>
      <c r="KR57" s="110">
        <f t="shared" si="440"/>
        <v>0</v>
      </c>
      <c r="KS57" s="110">
        <f t="shared" si="441"/>
        <v>0</v>
      </c>
      <c r="KT57" s="110">
        <f t="shared" si="442"/>
        <v>0</v>
      </c>
      <c r="KV57" s="111">
        <f t="shared" si="443"/>
        <v>0</v>
      </c>
      <c r="KW57" s="110">
        <f t="shared" si="444"/>
        <v>0</v>
      </c>
      <c r="KX57" s="110">
        <f t="shared" si="445"/>
        <v>0</v>
      </c>
      <c r="KY57" s="110">
        <f t="shared" si="446"/>
        <v>0</v>
      </c>
      <c r="KZ57" s="110">
        <f t="shared" si="447"/>
        <v>0</v>
      </c>
      <c r="LA57" s="110">
        <f t="shared" si="448"/>
        <v>0</v>
      </c>
      <c r="LB57" s="110">
        <f t="shared" si="449"/>
        <v>0</v>
      </c>
      <c r="LC57" s="110">
        <f t="shared" si="450"/>
        <v>0</v>
      </c>
      <c r="LD57" s="110">
        <f t="shared" si="451"/>
        <v>0</v>
      </c>
      <c r="LE57" s="110">
        <f t="shared" si="452"/>
        <v>0</v>
      </c>
      <c r="LF57" s="110">
        <f t="shared" si="453"/>
        <v>0</v>
      </c>
      <c r="LG57" s="110">
        <f t="shared" si="454"/>
        <v>0</v>
      </c>
      <c r="LH57" s="110">
        <f t="shared" si="455"/>
        <v>0</v>
      </c>
      <c r="LI57" s="110">
        <f t="shared" si="456"/>
        <v>0</v>
      </c>
      <c r="LJ57" s="110">
        <f t="shared" si="457"/>
        <v>0</v>
      </c>
      <c r="LK57" s="110">
        <f t="shared" si="458"/>
        <v>0</v>
      </c>
      <c r="LL57" s="110">
        <f t="shared" si="459"/>
        <v>0</v>
      </c>
      <c r="LM57" s="110">
        <f t="shared" si="460"/>
        <v>0</v>
      </c>
      <c r="LN57" s="110">
        <f t="shared" si="461"/>
        <v>0</v>
      </c>
      <c r="LO57" s="110">
        <f t="shared" si="462"/>
        <v>0</v>
      </c>
      <c r="LP57" s="110">
        <f t="shared" si="463"/>
        <v>0</v>
      </c>
      <c r="LQ57" s="110">
        <f t="shared" si="464"/>
        <v>0</v>
      </c>
      <c r="LR57" s="110">
        <f t="shared" si="465"/>
        <v>0</v>
      </c>
      <c r="LS57" s="110">
        <f t="shared" si="466"/>
        <v>0</v>
      </c>
      <c r="LT57" s="110">
        <f t="shared" si="467"/>
        <v>0</v>
      </c>
      <c r="LV57" s="111"/>
      <c r="LW57" s="110">
        <f t="shared" si="468"/>
        <v>0</v>
      </c>
      <c r="LX57" s="110">
        <f t="shared" si="469"/>
        <v>0</v>
      </c>
      <c r="LY57" s="110">
        <f t="shared" si="470"/>
        <v>0</v>
      </c>
      <c r="LZ57" s="110">
        <f t="shared" si="471"/>
        <v>0</v>
      </c>
      <c r="MA57" s="110">
        <f t="shared" si="472"/>
        <v>0</v>
      </c>
      <c r="MB57" s="110">
        <f t="shared" si="473"/>
        <v>0</v>
      </c>
      <c r="MC57" s="110">
        <f t="shared" si="474"/>
        <v>0</v>
      </c>
      <c r="MD57" s="110">
        <f t="shared" si="475"/>
        <v>0</v>
      </c>
      <c r="ME57" s="110">
        <f t="shared" si="476"/>
        <v>0</v>
      </c>
      <c r="MF57" s="110">
        <f t="shared" si="477"/>
        <v>0</v>
      </c>
      <c r="MG57" s="110">
        <f t="shared" si="478"/>
        <v>0</v>
      </c>
      <c r="MH57" s="110">
        <f t="shared" si="479"/>
        <v>0</v>
      </c>
      <c r="MI57" s="110">
        <f t="shared" si="480"/>
        <v>0</v>
      </c>
      <c r="MJ57" s="110">
        <f t="shared" si="481"/>
        <v>0</v>
      </c>
      <c r="MK57" s="110">
        <f t="shared" si="482"/>
        <v>0</v>
      </c>
      <c r="ML57" s="110">
        <f t="shared" si="483"/>
        <v>0</v>
      </c>
      <c r="MM57" s="110">
        <f t="shared" si="484"/>
        <v>0</v>
      </c>
      <c r="MN57" s="110">
        <f t="shared" si="485"/>
        <v>0</v>
      </c>
      <c r="MO57" s="110">
        <f t="shared" si="486"/>
        <v>0</v>
      </c>
      <c r="MP57" s="110">
        <f t="shared" si="487"/>
        <v>0</v>
      </c>
      <c r="MQ57" s="110">
        <f t="shared" si="488"/>
        <v>0</v>
      </c>
      <c r="MR57" s="110">
        <f t="shared" si="489"/>
        <v>0</v>
      </c>
      <c r="MS57" s="110">
        <f t="shared" si="490"/>
        <v>0</v>
      </c>
      <c r="MT57" s="110">
        <f t="shared" si="491"/>
        <v>0</v>
      </c>
      <c r="MV57" s="114">
        <v>179</v>
      </c>
      <c r="MW57" s="114">
        <v>0</v>
      </c>
      <c r="MX57" s="114">
        <v>0</v>
      </c>
      <c r="MY57" s="114">
        <v>0</v>
      </c>
      <c r="MZ57" s="114">
        <v>0</v>
      </c>
      <c r="NB57" s="115">
        <v>70</v>
      </c>
      <c r="NC57" s="115" t="str">
        <v>N/A</v>
      </c>
      <c r="ND57" s="115" t="str">
        <v>N/A</v>
      </c>
      <c r="NE57" s="115" t="str">
        <v>N/A</v>
      </c>
      <c r="NF57" s="115" t="str">
        <v>N/A</v>
      </c>
    </row>
    <row r="58" spans="2:370" ht="13.5" x14ac:dyDescent="0.25">
      <c r="B58" s="8">
        <f t="shared" si="252"/>
        <v>55</v>
      </c>
      <c r="C58" s="7">
        <v>101.85</v>
      </c>
      <c r="D58" s="7">
        <v>101.85</v>
      </c>
      <c r="E58" s="7">
        <v>99.51</v>
      </c>
      <c r="F58" s="7">
        <v>99.6</v>
      </c>
      <c r="G58" s="7">
        <v>100.35</v>
      </c>
      <c r="H58" s="7">
        <v>100.14</v>
      </c>
      <c r="I58" s="7">
        <v>100.2</v>
      </c>
      <c r="J58" s="7">
        <v>99</v>
      </c>
      <c r="K58" s="7">
        <v>99</v>
      </c>
      <c r="L58" s="7">
        <v>99</v>
      </c>
      <c r="M58" s="7">
        <v>99</v>
      </c>
      <c r="N58" s="7">
        <v>99</v>
      </c>
      <c r="O58" s="7">
        <v>99</v>
      </c>
      <c r="P58" s="7">
        <v>99</v>
      </c>
      <c r="Q58" s="7">
        <v>99</v>
      </c>
      <c r="R58" s="7">
        <v>99</v>
      </c>
      <c r="S58" s="7">
        <v>99</v>
      </c>
      <c r="T58" s="7">
        <v>99</v>
      </c>
      <c r="U58" s="7">
        <v>99</v>
      </c>
      <c r="V58" s="7">
        <v>99</v>
      </c>
      <c r="W58" s="7">
        <v>99</v>
      </c>
      <c r="X58" s="7">
        <v>99</v>
      </c>
      <c r="Y58" s="7">
        <v>99</v>
      </c>
      <c r="Z58" s="7">
        <v>99</v>
      </c>
      <c r="AA58" s="7">
        <v>99</v>
      </c>
      <c r="AB58" s="7">
        <v>99</v>
      </c>
      <c r="AC58" s="7">
        <v>99</v>
      </c>
      <c r="AD58" s="7">
        <v>99</v>
      </c>
      <c r="AE58" s="7">
        <v>99</v>
      </c>
      <c r="AF58" s="7">
        <v>99</v>
      </c>
      <c r="AG58" s="7">
        <v>99</v>
      </c>
      <c r="AH58" s="7">
        <v>99</v>
      </c>
      <c r="AI58" s="7">
        <v>99</v>
      </c>
      <c r="AJ58" s="7">
        <v>99</v>
      </c>
      <c r="AK58" s="7">
        <v>99</v>
      </c>
      <c r="AL58" s="7">
        <v>99</v>
      </c>
      <c r="AM58" s="7">
        <v>99</v>
      </c>
      <c r="AN58" s="27">
        <v>55</v>
      </c>
      <c r="AP58" s="111"/>
      <c r="AQ58" s="110">
        <f t="shared" si="253"/>
        <v>-2.25</v>
      </c>
      <c r="AR58" s="110">
        <f t="shared" si="254"/>
        <v>0.60000000000000853</v>
      </c>
      <c r="AS58" s="110">
        <f t="shared" si="255"/>
        <v>-1.2000000000000028</v>
      </c>
      <c r="AT58" s="110">
        <f t="shared" si="256"/>
        <v>0</v>
      </c>
      <c r="AU58" s="110">
        <f t="shared" si="257"/>
        <v>0</v>
      </c>
      <c r="AV58" s="110">
        <f t="shared" si="258"/>
        <v>0</v>
      </c>
      <c r="AW58" s="110">
        <f t="shared" si="259"/>
        <v>0</v>
      </c>
      <c r="AX58" s="110">
        <f t="shared" si="260"/>
        <v>0</v>
      </c>
      <c r="AY58" s="110">
        <f t="shared" si="261"/>
        <v>0</v>
      </c>
      <c r="AZ58" s="110">
        <f t="shared" si="262"/>
        <v>0</v>
      </c>
      <c r="BA58" s="110">
        <f t="shared" si="263"/>
        <v>0</v>
      </c>
      <c r="BB58" s="110">
        <f t="shared" si="264"/>
        <v>0</v>
      </c>
      <c r="BD58" s="109" cm="1">
        <f t="array" ref="BD58">+IFERROR(INDEX($C$3:$AM$3,MATCH(TRUE,INDEX($C58:$AM58&lt;&gt;0,0),0)),"N/A")</f>
        <v>44926</v>
      </c>
      <c r="BE58" s="112"/>
      <c r="BF58" s="1" t="str" cm="1">
        <f t="array" ref="BF58">+_xlfn.IFS(BT58&lt;&gt;0,BT$2,CH58&lt;&gt;0,CH$2,CV58&lt;&gt;0,CV$2,DJ58&lt;&gt;0,DJ$2,TRUE,"")</f>
        <v>Downsell</v>
      </c>
      <c r="BG58" s="1" t="str" cm="1">
        <f t="array" ref="BG58">+_xlfn.IFS(BU58&lt;&gt;0,BU$2,CI58&lt;&gt;0,CI$2,CW58&lt;&gt;0,CW$2,DK58&lt;&gt;0,DK$2,TRUE,"")</f>
        <v>Upsell</v>
      </c>
      <c r="BH58" s="1" t="str" cm="1">
        <f t="array" ref="BH58">+_xlfn.IFS(BV58&lt;&gt;0,BV$2,CJ58&lt;&gt;0,CJ$2,CX58&lt;&gt;0,CX$2,DL58&lt;&gt;0,DL$2,TRUE,"")</f>
        <v>Downsell</v>
      </c>
      <c r="BI58" s="1" t="str" cm="1">
        <f t="array" ref="BI58">+_xlfn.IFS(BW58&lt;&gt;0,BW$2,CK58&lt;&gt;0,CK$2,CY58&lt;&gt;0,CY$2,DM58&lt;&gt;0,DM$2,TRUE,"")</f>
        <v/>
      </c>
      <c r="BJ58" s="1" t="str" cm="1">
        <f t="array" ref="BJ58">+_xlfn.IFS(BX58&lt;&gt;0,BX$2,CL58&lt;&gt;0,CL$2,CZ58&lt;&gt;0,CZ$2,DN58&lt;&gt;0,DN$2,TRUE,"")</f>
        <v/>
      </c>
      <c r="BK58" s="1" t="str" cm="1">
        <f t="array" ref="BK58">+_xlfn.IFS(BY58&lt;&gt;0,BY$2,CM58&lt;&gt;0,CM$2,DA58&lt;&gt;0,DA$2,DO58&lt;&gt;0,DO$2,TRUE,"")</f>
        <v/>
      </c>
      <c r="BL58" s="1" t="str" cm="1">
        <f t="array" ref="BL58">+_xlfn.IFS(BZ58&lt;&gt;0,BZ$2,CN58&lt;&gt;0,CN$2,DB58&lt;&gt;0,DB$2,DP58&lt;&gt;0,DP$2,TRUE,"")</f>
        <v/>
      </c>
      <c r="BM58" s="1" t="str" cm="1">
        <f t="array" ref="BM58">+_xlfn.IFS(CA58&lt;&gt;0,CA$2,CO58&lt;&gt;0,CO$2,DC58&lt;&gt;0,DC$2,DQ58&lt;&gt;0,DQ$2,TRUE,"")</f>
        <v/>
      </c>
      <c r="BN58" s="1" t="str" cm="1">
        <f t="array" ref="BN58">+_xlfn.IFS(CB58&lt;&gt;0,CB$2,CP58&lt;&gt;0,CP$2,DD58&lt;&gt;0,DD$2,DR58&lt;&gt;0,DR$2,TRUE,"")</f>
        <v/>
      </c>
      <c r="BO58" s="1" t="str" cm="1">
        <f t="array" ref="BO58">+_xlfn.IFS(CC58&lt;&gt;0,CC$2,CQ58&lt;&gt;0,CQ$2,DE58&lt;&gt;0,DE$2,DS58&lt;&gt;0,DS$2,TRUE,"")</f>
        <v/>
      </c>
      <c r="BP58" s="1" t="str" cm="1">
        <f t="array" ref="BP58">+_xlfn.IFS(CD58&lt;&gt;0,CD$2,CR58&lt;&gt;0,CR$2,DF58&lt;&gt;0,DF$2,DT58&lt;&gt;0,DT$2,TRUE,"")</f>
        <v/>
      </c>
      <c r="BQ58" s="1" t="str" cm="1">
        <f t="array" ref="BQ58">+_xlfn.IFS(CE58&lt;&gt;0,CE$2,CS58&lt;&gt;0,CS$2,DG58&lt;&gt;0,DG$2,DU58&lt;&gt;0,DU$2,TRUE,"")</f>
        <v/>
      </c>
      <c r="BS58" s="111"/>
      <c r="BT58" s="110">
        <f t="shared" si="265"/>
        <v>0</v>
      </c>
      <c r="BU58" s="110">
        <f t="shared" si="266"/>
        <v>0</v>
      </c>
      <c r="BV58" s="110">
        <f t="shared" si="267"/>
        <v>0</v>
      </c>
      <c r="BW58" s="110">
        <f t="shared" si="268"/>
        <v>0</v>
      </c>
      <c r="BX58" s="110">
        <f t="shared" si="269"/>
        <v>0</v>
      </c>
      <c r="BY58" s="110">
        <f t="shared" si="270"/>
        <v>0</v>
      </c>
      <c r="BZ58" s="110">
        <f t="shared" si="271"/>
        <v>0</v>
      </c>
      <c r="CA58" s="110">
        <f t="shared" si="272"/>
        <v>0</v>
      </c>
      <c r="CB58" s="110">
        <f t="shared" si="273"/>
        <v>0</v>
      </c>
      <c r="CC58" s="110">
        <f t="shared" si="274"/>
        <v>0</v>
      </c>
      <c r="CD58" s="110">
        <f t="shared" si="275"/>
        <v>0</v>
      </c>
      <c r="CE58" s="110">
        <f t="shared" si="276"/>
        <v>0</v>
      </c>
      <c r="CG58" s="111"/>
      <c r="CH58" s="110">
        <f t="shared" si="277"/>
        <v>0</v>
      </c>
      <c r="CI58" s="110">
        <f t="shared" si="278"/>
        <v>0</v>
      </c>
      <c r="CJ58" s="110">
        <f t="shared" si="279"/>
        <v>0</v>
      </c>
      <c r="CK58" s="110">
        <f t="shared" si="280"/>
        <v>0</v>
      </c>
      <c r="CL58" s="110">
        <f t="shared" si="281"/>
        <v>0</v>
      </c>
      <c r="CM58" s="110">
        <f t="shared" si="282"/>
        <v>0</v>
      </c>
      <c r="CN58" s="110">
        <f t="shared" si="283"/>
        <v>0</v>
      </c>
      <c r="CO58" s="110">
        <f t="shared" si="284"/>
        <v>0</v>
      </c>
      <c r="CP58" s="110">
        <f t="shared" si="285"/>
        <v>0</v>
      </c>
      <c r="CQ58" s="110">
        <f t="shared" si="286"/>
        <v>0</v>
      </c>
      <c r="CR58" s="110">
        <f t="shared" si="287"/>
        <v>0</v>
      </c>
      <c r="CS58" s="110">
        <f t="shared" si="288"/>
        <v>0</v>
      </c>
      <c r="CU58" s="111"/>
      <c r="CV58" s="110">
        <f t="shared" si="289"/>
        <v>-2.25</v>
      </c>
      <c r="CW58" s="110">
        <f t="shared" si="290"/>
        <v>0</v>
      </c>
      <c r="CX58" s="110">
        <f t="shared" si="291"/>
        <v>-1.2000000000000028</v>
      </c>
      <c r="CY58" s="110">
        <f t="shared" si="292"/>
        <v>0</v>
      </c>
      <c r="CZ58" s="110">
        <f t="shared" si="293"/>
        <v>0</v>
      </c>
      <c r="DA58" s="110">
        <f t="shared" si="294"/>
        <v>0</v>
      </c>
      <c r="DB58" s="110">
        <f t="shared" si="295"/>
        <v>0</v>
      </c>
      <c r="DC58" s="110">
        <f t="shared" si="296"/>
        <v>0</v>
      </c>
      <c r="DD58" s="110">
        <f t="shared" si="297"/>
        <v>0</v>
      </c>
      <c r="DE58" s="110">
        <f t="shared" si="298"/>
        <v>0</v>
      </c>
      <c r="DF58" s="110">
        <f t="shared" si="299"/>
        <v>0</v>
      </c>
      <c r="DG58" s="110">
        <f t="shared" si="300"/>
        <v>0</v>
      </c>
      <c r="DI58" s="111"/>
      <c r="DJ58" s="110">
        <f t="shared" si="301"/>
        <v>0</v>
      </c>
      <c r="DK58" s="110">
        <f t="shared" si="302"/>
        <v>0.60000000000000853</v>
      </c>
      <c r="DL58" s="110">
        <f t="shared" si="303"/>
        <v>0</v>
      </c>
      <c r="DM58" s="110">
        <f t="shared" si="304"/>
        <v>0</v>
      </c>
      <c r="DN58" s="110">
        <f t="shared" si="305"/>
        <v>0</v>
      </c>
      <c r="DO58" s="110">
        <f t="shared" si="306"/>
        <v>0</v>
      </c>
      <c r="DP58" s="110">
        <f t="shared" si="307"/>
        <v>0</v>
      </c>
      <c r="DQ58" s="110">
        <f t="shared" si="308"/>
        <v>0</v>
      </c>
      <c r="DR58" s="110">
        <f t="shared" si="309"/>
        <v>0</v>
      </c>
      <c r="DS58" s="110">
        <f t="shared" si="310"/>
        <v>0</v>
      </c>
      <c r="DT58" s="110">
        <f t="shared" si="311"/>
        <v>0</v>
      </c>
      <c r="DU58" s="110">
        <f t="shared" si="312"/>
        <v>0</v>
      </c>
      <c r="DW58" s="111"/>
      <c r="DX58" s="110">
        <f t="shared" si="313"/>
        <v>0</v>
      </c>
      <c r="DY58" s="110">
        <f t="shared" si="314"/>
        <v>0</v>
      </c>
      <c r="DZ58" s="110">
        <f t="shared" si="315"/>
        <v>0</v>
      </c>
      <c r="EA58" s="110">
        <f t="shared" si="316"/>
        <v>0</v>
      </c>
      <c r="EB58" s="110">
        <f t="shared" si="317"/>
        <v>0</v>
      </c>
      <c r="EC58" s="110">
        <f t="shared" si="318"/>
        <v>0</v>
      </c>
      <c r="ED58" s="110">
        <f t="shared" si="319"/>
        <v>0</v>
      </c>
      <c r="EE58" s="110">
        <f t="shared" si="320"/>
        <v>0</v>
      </c>
      <c r="EF58" s="110">
        <f t="shared" si="321"/>
        <v>0</v>
      </c>
      <c r="EG58" s="110">
        <f t="shared" si="322"/>
        <v>0</v>
      </c>
      <c r="EH58" s="110">
        <f t="shared" si="323"/>
        <v>0</v>
      </c>
      <c r="EI58" s="110">
        <f t="shared" si="324"/>
        <v>0</v>
      </c>
      <c r="EK58" s="111"/>
      <c r="EL58" s="110">
        <f t="shared" si="325"/>
        <v>-2.8499999999999943</v>
      </c>
      <c r="EM58" s="110">
        <f t="shared" si="326"/>
        <v>0</v>
      </c>
      <c r="EN58" s="110">
        <f t="shared" si="327"/>
        <v>0</v>
      </c>
      <c r="EP58" s="109" cm="1">
        <f t="array" ref="EP58">+IFERROR(INDEX($C$3:$AM$3,MATCH(TRUE,INDEX($C58:$AM58&lt;&gt;0,0),0)),"N/A")</f>
        <v>44926</v>
      </c>
      <c r="EQ58" s="112"/>
      <c r="ER58" s="1" t="str" cm="1">
        <f t="array" ref="ER58">+_xlfn.IFS(EW58&lt;&gt;0,EW$2,FB58&lt;&gt;0,FB$2,FG58&lt;&gt;0,FG$2,FL58&lt;&gt;0,FL$2,TRUE,"")</f>
        <v>Downsell</v>
      </c>
      <c r="ES58" s="1" t="str" cm="1">
        <f t="array" ref="ES58">+_xlfn.IFS(EX58&lt;&gt;0,EX$2,FC58&lt;&gt;0,FC$2,FH58&lt;&gt;0,FH$2,FM58&lt;&gt;0,FM$2,TRUE,"")</f>
        <v/>
      </c>
      <c r="ET58" s="1" t="str" cm="1">
        <f t="array" ref="ET58">+_xlfn.IFS(EY58&lt;&gt;0,EY$2,FD58&lt;&gt;0,FD$2,FI58&lt;&gt;0,FI$2,FN58&lt;&gt;0,FN$2,TRUE,"")</f>
        <v/>
      </c>
      <c r="EV58" s="111"/>
      <c r="EW58" s="110">
        <f t="shared" si="328"/>
        <v>0</v>
      </c>
      <c r="EX58" s="110">
        <f t="shared" si="329"/>
        <v>0</v>
      </c>
      <c r="EY58" s="110">
        <f t="shared" si="330"/>
        <v>0</v>
      </c>
      <c r="FA58" s="111"/>
      <c r="FB58" s="110">
        <f t="shared" si="331"/>
        <v>0</v>
      </c>
      <c r="FC58" s="110">
        <f t="shared" si="332"/>
        <v>0</v>
      </c>
      <c r="FD58" s="110">
        <f t="shared" si="333"/>
        <v>0</v>
      </c>
      <c r="FF58" s="111"/>
      <c r="FG58" s="110">
        <f t="shared" si="334"/>
        <v>-2.8499999999999943</v>
      </c>
      <c r="FH58" s="110">
        <f t="shared" si="335"/>
        <v>0</v>
      </c>
      <c r="FI58" s="110">
        <f t="shared" si="336"/>
        <v>0</v>
      </c>
      <c r="FK58" s="111"/>
      <c r="FL58" s="110">
        <f t="shared" si="337"/>
        <v>0</v>
      </c>
      <c r="FM58" s="110">
        <f t="shared" si="338"/>
        <v>0</v>
      </c>
      <c r="FN58" s="110">
        <f t="shared" si="339"/>
        <v>0</v>
      </c>
      <c r="FP58" s="111"/>
      <c r="FQ58" s="110">
        <f t="shared" si="340"/>
        <v>0</v>
      </c>
      <c r="FR58" s="110">
        <f t="shared" si="341"/>
        <v>0</v>
      </c>
      <c r="FS58" s="110">
        <f t="shared" si="342"/>
        <v>0</v>
      </c>
      <c r="FU58" s="111">
        <f t="shared" si="343"/>
        <v>-2.8499999999999943</v>
      </c>
      <c r="FV58" s="110">
        <f t="shared" si="344"/>
        <v>-2.8499999999999943</v>
      </c>
      <c r="FW58" s="110">
        <f t="shared" si="345"/>
        <v>-0.51000000000000512</v>
      </c>
      <c r="FX58" s="110">
        <f t="shared" si="346"/>
        <v>-0.59999999999999432</v>
      </c>
      <c r="FY58" s="110">
        <f t="shared" si="347"/>
        <v>-1.3499999999999943</v>
      </c>
      <c r="FZ58" s="110">
        <f t="shared" si="348"/>
        <v>-1.1400000000000006</v>
      </c>
      <c r="GA58" s="110">
        <f t="shared" si="349"/>
        <v>-1.2000000000000028</v>
      </c>
      <c r="GB58" s="110">
        <f t="shared" si="350"/>
        <v>0</v>
      </c>
      <c r="GC58" s="110">
        <f t="shared" si="351"/>
        <v>0</v>
      </c>
      <c r="GD58" s="110">
        <f t="shared" si="352"/>
        <v>0</v>
      </c>
      <c r="GE58" s="110">
        <f t="shared" si="353"/>
        <v>0</v>
      </c>
      <c r="GF58" s="110">
        <f t="shared" si="354"/>
        <v>0</v>
      </c>
      <c r="GG58" s="110">
        <f t="shared" si="355"/>
        <v>0</v>
      </c>
      <c r="GH58" s="110">
        <f t="shared" si="356"/>
        <v>0</v>
      </c>
      <c r="GI58" s="110">
        <f t="shared" si="357"/>
        <v>0</v>
      </c>
      <c r="GJ58" s="110">
        <f t="shared" si="358"/>
        <v>0</v>
      </c>
      <c r="GK58" s="110">
        <f t="shared" si="359"/>
        <v>0</v>
      </c>
      <c r="GL58" s="110">
        <f t="shared" si="360"/>
        <v>0</v>
      </c>
      <c r="GM58" s="110">
        <f t="shared" si="361"/>
        <v>0</v>
      </c>
      <c r="GN58" s="110">
        <f t="shared" si="362"/>
        <v>0</v>
      </c>
      <c r="GO58" s="110">
        <f t="shared" si="363"/>
        <v>0</v>
      </c>
      <c r="GP58" s="110">
        <f t="shared" si="364"/>
        <v>0</v>
      </c>
      <c r="GQ58" s="110">
        <f t="shared" si="365"/>
        <v>0</v>
      </c>
      <c r="GR58" s="110">
        <f t="shared" si="366"/>
        <v>0</v>
      </c>
      <c r="GS58" s="110">
        <f t="shared" si="367"/>
        <v>0</v>
      </c>
      <c r="GU58" s="109" cm="1">
        <f t="array" ref="GU58">+IFERROR(INDEX($C$3:$AM$3,MATCH(TRUE,INDEX($C58:$AM58&lt;&gt;0,0),0)),"N/A")</f>
        <v>44926</v>
      </c>
      <c r="GV58" s="112" t="str" cm="1">
        <f t="array" ref="GV58">+_xlfn.IFS(HV58&lt;&gt;0,HV$2,IV58&lt;&gt;0,IV$2,JV58&lt;&gt;0,JV$2,KV58&lt;&gt;0,KV$2,TRUE,"")</f>
        <v>Downsell</v>
      </c>
      <c r="GW58" s="1" t="str" cm="1">
        <f t="array" ref="GW58">+_xlfn.IFS(HW58&lt;&gt;0,HW$2,IW58&lt;&gt;0,IW$2,JW58&lt;&gt;0,JW$2,KW58&lt;&gt;0,KW$2,TRUE,"")</f>
        <v>Downsell</v>
      </c>
      <c r="GX58" s="1" t="str" cm="1">
        <f t="array" ref="GX58">+_xlfn.IFS(HX58&lt;&gt;0,HX$2,IX58&lt;&gt;0,IX$2,JX58&lt;&gt;0,JX$2,KX58&lt;&gt;0,KX$2,TRUE,"")</f>
        <v>Downsell</v>
      </c>
      <c r="GY58" s="1" t="str" cm="1">
        <f t="array" ref="GY58">+_xlfn.IFS(HY58&lt;&gt;0,HY$2,IY58&lt;&gt;0,IY$2,JY58&lt;&gt;0,JY$2,KY58&lt;&gt;0,KY$2,TRUE,"")</f>
        <v>Downsell</v>
      </c>
      <c r="GZ58" s="1" t="str" cm="1">
        <f t="array" ref="GZ58">+_xlfn.IFS(HZ58&lt;&gt;0,HZ$2,IZ58&lt;&gt;0,IZ$2,JZ58&lt;&gt;0,JZ$2,KZ58&lt;&gt;0,KZ$2,TRUE,"")</f>
        <v>Downsell</v>
      </c>
      <c r="HA58" s="1" t="str" cm="1">
        <f t="array" ref="HA58">+_xlfn.IFS(IA58&lt;&gt;0,IA$2,JA58&lt;&gt;0,JA$2,KA58&lt;&gt;0,KA$2,LA58&lt;&gt;0,LA$2,TRUE,"")</f>
        <v>Downsell</v>
      </c>
      <c r="HB58" s="1" t="str" cm="1">
        <f t="array" ref="HB58">+_xlfn.IFS(IB58&lt;&gt;0,IB$2,JB58&lt;&gt;0,JB$2,KB58&lt;&gt;0,KB$2,LB58&lt;&gt;0,LB$2,TRUE,"")</f>
        <v>Downsell</v>
      </c>
      <c r="HC58" s="1" t="str" cm="1">
        <f t="array" ref="HC58">+_xlfn.IFS(IC58&lt;&gt;0,IC$2,JC58&lt;&gt;0,JC$2,KC58&lt;&gt;0,KC$2,LC58&lt;&gt;0,LC$2,TRUE,"")</f>
        <v/>
      </c>
      <c r="HD58" s="1" t="str" cm="1">
        <f t="array" ref="HD58">+_xlfn.IFS(ID58&lt;&gt;0,ID$2,JD58&lt;&gt;0,JD$2,KD58&lt;&gt;0,KD$2,LD58&lt;&gt;0,LD$2,TRUE,"")</f>
        <v/>
      </c>
      <c r="HE58" s="1" t="str" cm="1">
        <f t="array" ref="HE58">+_xlfn.IFS(IE58&lt;&gt;0,IE$2,JE58&lt;&gt;0,JE$2,KE58&lt;&gt;0,KE$2,LE58&lt;&gt;0,LE$2,TRUE,"")</f>
        <v/>
      </c>
      <c r="HF58" s="1" t="str" cm="1">
        <f t="array" ref="HF58">+_xlfn.IFS(IF58&lt;&gt;0,IF$2,JF58&lt;&gt;0,JF$2,KF58&lt;&gt;0,KF$2,LF58&lt;&gt;0,LF$2,TRUE,"")</f>
        <v/>
      </c>
      <c r="HG58" s="1" t="str" cm="1">
        <f t="array" ref="HG58">+_xlfn.IFS(IG58&lt;&gt;0,IG$2,JG58&lt;&gt;0,JG$2,KG58&lt;&gt;0,KG$2,LG58&lt;&gt;0,LG$2,TRUE,"")</f>
        <v/>
      </c>
      <c r="HH58" s="1" t="str" cm="1">
        <f t="array" ref="HH58">+_xlfn.IFS(IH58&lt;&gt;0,IH$2,JH58&lt;&gt;0,JH$2,KH58&lt;&gt;0,KH$2,LH58&lt;&gt;0,LH$2,TRUE,"")</f>
        <v/>
      </c>
      <c r="HI58" s="1" t="str" cm="1">
        <f t="array" ref="HI58">+_xlfn.IFS(II58&lt;&gt;0,II$2,JI58&lt;&gt;0,JI$2,KI58&lt;&gt;0,KI$2,LI58&lt;&gt;0,LI$2,TRUE,"")</f>
        <v/>
      </c>
      <c r="HJ58" s="1" t="str" cm="1">
        <f t="array" ref="HJ58">+_xlfn.IFS(IJ58&lt;&gt;0,IJ$2,JJ58&lt;&gt;0,JJ$2,KJ58&lt;&gt;0,KJ$2,LJ58&lt;&gt;0,LJ$2,TRUE,"")</f>
        <v/>
      </c>
      <c r="HK58" s="1" t="str" cm="1">
        <f t="array" ref="HK58">+_xlfn.IFS(IK58&lt;&gt;0,IK$2,JK58&lt;&gt;0,JK$2,KK58&lt;&gt;0,KK$2,LK58&lt;&gt;0,LK$2,TRUE,"")</f>
        <v/>
      </c>
      <c r="HL58" s="1" t="str" cm="1">
        <f t="array" ref="HL58">+_xlfn.IFS(IL58&lt;&gt;0,IL$2,JL58&lt;&gt;0,JL$2,KL58&lt;&gt;0,KL$2,LL58&lt;&gt;0,LL$2,TRUE,"")</f>
        <v/>
      </c>
      <c r="HM58" s="1" t="str" cm="1">
        <f t="array" ref="HM58">+_xlfn.IFS(IM58&lt;&gt;0,IM$2,JM58&lt;&gt;0,JM$2,KM58&lt;&gt;0,KM$2,LM58&lt;&gt;0,LM$2,TRUE,"")</f>
        <v/>
      </c>
      <c r="HN58" s="1" t="str" cm="1">
        <f t="array" ref="HN58">+_xlfn.IFS(IN58&lt;&gt;0,IN$2,JN58&lt;&gt;0,JN$2,KN58&lt;&gt;0,KN$2,LN58&lt;&gt;0,LN$2,TRUE,"")</f>
        <v/>
      </c>
      <c r="HO58" s="1" t="str" cm="1">
        <f t="array" ref="HO58">+_xlfn.IFS(IO58&lt;&gt;0,IO$2,JO58&lt;&gt;0,JO$2,KO58&lt;&gt;0,KO$2,LO58&lt;&gt;0,LO$2,TRUE,"")</f>
        <v/>
      </c>
      <c r="HP58" s="1" t="str" cm="1">
        <f t="array" ref="HP58">+_xlfn.IFS(IP58&lt;&gt;0,IP$2,JP58&lt;&gt;0,JP$2,KP58&lt;&gt;0,KP$2,LP58&lt;&gt;0,LP$2,TRUE,"")</f>
        <v/>
      </c>
      <c r="HQ58" s="1" t="str" cm="1">
        <f t="array" ref="HQ58">+_xlfn.IFS(IQ58&lt;&gt;0,IQ$2,JQ58&lt;&gt;0,JQ$2,KQ58&lt;&gt;0,KQ$2,LQ58&lt;&gt;0,LQ$2,TRUE,"")</f>
        <v/>
      </c>
      <c r="HR58" s="1" t="str" cm="1">
        <f t="array" ref="HR58">+_xlfn.IFS(IR58&lt;&gt;0,IR$2,JR58&lt;&gt;0,JR$2,KR58&lt;&gt;0,KR$2,LR58&lt;&gt;0,LR$2,TRUE,"")</f>
        <v/>
      </c>
      <c r="HS58" s="1" t="str" cm="1">
        <f t="array" ref="HS58">+_xlfn.IFS(IS58&lt;&gt;0,IS$2,JS58&lt;&gt;0,JS$2,KS58&lt;&gt;0,KS$2,LS58&lt;&gt;0,LS$2,TRUE,"")</f>
        <v/>
      </c>
      <c r="HT58" s="1" t="str" cm="1">
        <f t="array" ref="HT58">+_xlfn.IFS(IT58&lt;&gt;0,IT$2,JT58&lt;&gt;0,JT$2,KT58&lt;&gt;0,KT$2,LT58&lt;&gt;0,LT$2,TRUE,"")</f>
        <v/>
      </c>
      <c r="HV58" s="111">
        <f t="shared" si="368"/>
        <v>0</v>
      </c>
      <c r="HW58" s="110">
        <f t="shared" si="369"/>
        <v>0</v>
      </c>
      <c r="HX58" s="110">
        <f t="shared" si="370"/>
        <v>0</v>
      </c>
      <c r="HY58" s="110">
        <f t="shared" si="371"/>
        <v>0</v>
      </c>
      <c r="HZ58" s="110">
        <f t="shared" si="372"/>
        <v>0</v>
      </c>
      <c r="IA58" s="110">
        <f t="shared" si="373"/>
        <v>0</v>
      </c>
      <c r="IB58" s="110">
        <f t="shared" si="374"/>
        <v>0</v>
      </c>
      <c r="IC58" s="110">
        <f t="shared" si="375"/>
        <v>0</v>
      </c>
      <c r="ID58" s="110">
        <f t="shared" si="376"/>
        <v>0</v>
      </c>
      <c r="IE58" s="110">
        <f t="shared" si="377"/>
        <v>0</v>
      </c>
      <c r="IF58" s="110">
        <f t="shared" si="378"/>
        <v>0</v>
      </c>
      <c r="IG58" s="110">
        <f t="shared" si="379"/>
        <v>0</v>
      </c>
      <c r="IH58" s="110">
        <f t="shared" si="380"/>
        <v>0</v>
      </c>
      <c r="II58" s="110">
        <f t="shared" si="381"/>
        <v>0</v>
      </c>
      <c r="IJ58" s="110">
        <f t="shared" si="382"/>
        <v>0</v>
      </c>
      <c r="IK58" s="110">
        <f t="shared" si="383"/>
        <v>0</v>
      </c>
      <c r="IL58" s="110">
        <f t="shared" si="384"/>
        <v>0</v>
      </c>
      <c r="IM58" s="110">
        <f t="shared" si="385"/>
        <v>0</v>
      </c>
      <c r="IN58" s="110">
        <f t="shared" si="386"/>
        <v>0</v>
      </c>
      <c r="IO58" s="110">
        <f t="shared" si="387"/>
        <v>0</v>
      </c>
      <c r="IP58" s="110">
        <f t="shared" si="388"/>
        <v>0</v>
      </c>
      <c r="IQ58" s="110">
        <f t="shared" si="389"/>
        <v>0</v>
      </c>
      <c r="IR58" s="110">
        <f t="shared" si="390"/>
        <v>0</v>
      </c>
      <c r="IS58" s="110">
        <f t="shared" si="391"/>
        <v>0</v>
      </c>
      <c r="IT58" s="110">
        <f t="shared" si="392"/>
        <v>0</v>
      </c>
      <c r="IV58" s="111">
        <f t="shared" si="393"/>
        <v>0</v>
      </c>
      <c r="IW58" s="110">
        <f t="shared" si="394"/>
        <v>0</v>
      </c>
      <c r="IX58" s="110">
        <f t="shared" si="395"/>
        <v>0</v>
      </c>
      <c r="IY58" s="110">
        <f t="shared" si="396"/>
        <v>0</v>
      </c>
      <c r="IZ58" s="110">
        <f t="shared" si="397"/>
        <v>0</v>
      </c>
      <c r="JA58" s="110">
        <f t="shared" si="398"/>
        <v>0</v>
      </c>
      <c r="JB58" s="110">
        <f t="shared" si="399"/>
        <v>0</v>
      </c>
      <c r="JC58" s="110">
        <f t="shared" si="400"/>
        <v>0</v>
      </c>
      <c r="JD58" s="110">
        <f t="shared" si="401"/>
        <v>0</v>
      </c>
      <c r="JE58" s="110">
        <f t="shared" si="402"/>
        <v>0</v>
      </c>
      <c r="JF58" s="110">
        <f t="shared" si="403"/>
        <v>0</v>
      </c>
      <c r="JG58" s="110">
        <f t="shared" si="404"/>
        <v>0</v>
      </c>
      <c r="JH58" s="110">
        <f t="shared" si="405"/>
        <v>0</v>
      </c>
      <c r="JI58" s="110">
        <f t="shared" si="406"/>
        <v>0</v>
      </c>
      <c r="JJ58" s="110">
        <f t="shared" si="407"/>
        <v>0</v>
      </c>
      <c r="JK58" s="110">
        <f t="shared" si="408"/>
        <v>0</v>
      </c>
      <c r="JL58" s="110">
        <f t="shared" si="409"/>
        <v>0</v>
      </c>
      <c r="JM58" s="110">
        <f t="shared" si="410"/>
        <v>0</v>
      </c>
      <c r="JN58" s="110">
        <f t="shared" si="411"/>
        <v>0</v>
      </c>
      <c r="JO58" s="110">
        <f t="shared" si="412"/>
        <v>0</v>
      </c>
      <c r="JP58" s="110">
        <f t="shared" si="413"/>
        <v>0</v>
      </c>
      <c r="JQ58" s="110">
        <f t="shared" si="414"/>
        <v>0</v>
      </c>
      <c r="JR58" s="110">
        <f t="shared" si="415"/>
        <v>0</v>
      </c>
      <c r="JS58" s="110">
        <f t="shared" si="416"/>
        <v>0</v>
      </c>
      <c r="JT58" s="110">
        <f t="shared" si="417"/>
        <v>0</v>
      </c>
      <c r="JV58" s="111">
        <f t="shared" si="418"/>
        <v>-2.8499999999999943</v>
      </c>
      <c r="JW58" s="110">
        <f t="shared" si="419"/>
        <v>-2.8499999999999943</v>
      </c>
      <c r="JX58" s="110">
        <f t="shared" si="420"/>
        <v>-0.51000000000000512</v>
      </c>
      <c r="JY58" s="110">
        <f t="shared" si="421"/>
        <v>-0.59999999999999432</v>
      </c>
      <c r="JZ58" s="110">
        <f t="shared" si="422"/>
        <v>-1.3499999999999943</v>
      </c>
      <c r="KA58" s="110">
        <f t="shared" si="423"/>
        <v>-1.1400000000000006</v>
      </c>
      <c r="KB58" s="110">
        <f t="shared" si="424"/>
        <v>-1.2000000000000028</v>
      </c>
      <c r="KC58" s="110">
        <f t="shared" si="425"/>
        <v>0</v>
      </c>
      <c r="KD58" s="110">
        <f t="shared" si="426"/>
        <v>0</v>
      </c>
      <c r="KE58" s="110">
        <f t="shared" si="427"/>
        <v>0</v>
      </c>
      <c r="KF58" s="110">
        <f t="shared" si="428"/>
        <v>0</v>
      </c>
      <c r="KG58" s="110">
        <f t="shared" si="429"/>
        <v>0</v>
      </c>
      <c r="KH58" s="110">
        <f t="shared" si="430"/>
        <v>0</v>
      </c>
      <c r="KI58" s="110">
        <f t="shared" si="431"/>
        <v>0</v>
      </c>
      <c r="KJ58" s="110">
        <f t="shared" si="432"/>
        <v>0</v>
      </c>
      <c r="KK58" s="110">
        <f t="shared" si="433"/>
        <v>0</v>
      </c>
      <c r="KL58" s="110">
        <f t="shared" si="434"/>
        <v>0</v>
      </c>
      <c r="KM58" s="110">
        <f t="shared" si="435"/>
        <v>0</v>
      </c>
      <c r="KN58" s="110">
        <f t="shared" si="436"/>
        <v>0</v>
      </c>
      <c r="KO58" s="110">
        <f t="shared" si="437"/>
        <v>0</v>
      </c>
      <c r="KP58" s="110">
        <f t="shared" si="438"/>
        <v>0</v>
      </c>
      <c r="KQ58" s="110">
        <f t="shared" si="439"/>
        <v>0</v>
      </c>
      <c r="KR58" s="110">
        <f t="shared" si="440"/>
        <v>0</v>
      </c>
      <c r="KS58" s="110">
        <f t="shared" si="441"/>
        <v>0</v>
      </c>
      <c r="KT58" s="110">
        <f t="shared" si="442"/>
        <v>0</v>
      </c>
      <c r="KV58" s="111">
        <f t="shared" si="443"/>
        <v>0</v>
      </c>
      <c r="KW58" s="110">
        <f t="shared" si="444"/>
        <v>0</v>
      </c>
      <c r="KX58" s="110">
        <f t="shared" si="445"/>
        <v>0</v>
      </c>
      <c r="KY58" s="110">
        <f t="shared" si="446"/>
        <v>0</v>
      </c>
      <c r="KZ58" s="110">
        <f t="shared" si="447"/>
        <v>0</v>
      </c>
      <c r="LA58" s="110">
        <f t="shared" si="448"/>
        <v>0</v>
      </c>
      <c r="LB58" s="110">
        <f t="shared" si="449"/>
        <v>0</v>
      </c>
      <c r="LC58" s="110">
        <f t="shared" si="450"/>
        <v>0</v>
      </c>
      <c r="LD58" s="110">
        <f t="shared" si="451"/>
        <v>0</v>
      </c>
      <c r="LE58" s="110">
        <f t="shared" si="452"/>
        <v>0</v>
      </c>
      <c r="LF58" s="110">
        <f t="shared" si="453"/>
        <v>0</v>
      </c>
      <c r="LG58" s="110">
        <f t="shared" si="454"/>
        <v>0</v>
      </c>
      <c r="LH58" s="110">
        <f t="shared" si="455"/>
        <v>0</v>
      </c>
      <c r="LI58" s="110">
        <f t="shared" si="456"/>
        <v>0</v>
      </c>
      <c r="LJ58" s="110">
        <f t="shared" si="457"/>
        <v>0</v>
      </c>
      <c r="LK58" s="110">
        <f t="shared" si="458"/>
        <v>0</v>
      </c>
      <c r="LL58" s="110">
        <f t="shared" si="459"/>
        <v>0</v>
      </c>
      <c r="LM58" s="110">
        <f t="shared" si="460"/>
        <v>0</v>
      </c>
      <c r="LN58" s="110">
        <f t="shared" si="461"/>
        <v>0</v>
      </c>
      <c r="LO58" s="110">
        <f t="shared" si="462"/>
        <v>0</v>
      </c>
      <c r="LP58" s="110">
        <f t="shared" si="463"/>
        <v>0</v>
      </c>
      <c r="LQ58" s="110">
        <f t="shared" si="464"/>
        <v>0</v>
      </c>
      <c r="LR58" s="110">
        <f t="shared" si="465"/>
        <v>0</v>
      </c>
      <c r="LS58" s="110">
        <f t="shared" si="466"/>
        <v>0</v>
      </c>
      <c r="LT58" s="110">
        <f t="shared" si="467"/>
        <v>0</v>
      </c>
      <c r="LV58" s="111"/>
      <c r="LW58" s="110">
        <f t="shared" si="468"/>
        <v>0</v>
      </c>
      <c r="LX58" s="110">
        <f t="shared" si="469"/>
        <v>0</v>
      </c>
      <c r="LY58" s="110">
        <f t="shared" si="470"/>
        <v>0</v>
      </c>
      <c r="LZ58" s="110">
        <f t="shared" si="471"/>
        <v>0</v>
      </c>
      <c r="MA58" s="110">
        <f t="shared" si="472"/>
        <v>0</v>
      </c>
      <c r="MB58" s="110">
        <f t="shared" si="473"/>
        <v>0</v>
      </c>
      <c r="MC58" s="110">
        <f t="shared" si="474"/>
        <v>0</v>
      </c>
      <c r="MD58" s="110">
        <f t="shared" si="475"/>
        <v>0</v>
      </c>
      <c r="ME58" s="110">
        <f t="shared" si="476"/>
        <v>0</v>
      </c>
      <c r="MF58" s="110">
        <f t="shared" si="477"/>
        <v>0</v>
      </c>
      <c r="MG58" s="110">
        <f t="shared" si="478"/>
        <v>0</v>
      </c>
      <c r="MH58" s="110">
        <f t="shared" si="479"/>
        <v>0</v>
      </c>
      <c r="MI58" s="110">
        <f t="shared" si="480"/>
        <v>0</v>
      </c>
      <c r="MJ58" s="110">
        <f t="shared" si="481"/>
        <v>0</v>
      </c>
      <c r="MK58" s="110">
        <f t="shared" si="482"/>
        <v>0</v>
      </c>
      <c r="ML58" s="110">
        <f t="shared" si="483"/>
        <v>0</v>
      </c>
      <c r="MM58" s="110">
        <f t="shared" si="484"/>
        <v>0</v>
      </c>
      <c r="MN58" s="110">
        <f t="shared" si="485"/>
        <v>0</v>
      </c>
      <c r="MO58" s="110">
        <f t="shared" si="486"/>
        <v>0</v>
      </c>
      <c r="MP58" s="110">
        <f t="shared" si="487"/>
        <v>0</v>
      </c>
      <c r="MQ58" s="110">
        <f t="shared" si="488"/>
        <v>0</v>
      </c>
      <c r="MR58" s="110">
        <f t="shared" si="489"/>
        <v>0</v>
      </c>
      <c r="MS58" s="110">
        <f t="shared" si="490"/>
        <v>0</v>
      </c>
      <c r="MT58" s="110">
        <f t="shared" si="491"/>
        <v>0</v>
      </c>
      <c r="MV58" s="114">
        <v>99</v>
      </c>
      <c r="MW58" s="114">
        <v>0</v>
      </c>
      <c r="MX58" s="114">
        <v>0</v>
      </c>
      <c r="MY58" s="114">
        <v>0</v>
      </c>
      <c r="MZ58" s="114">
        <v>0</v>
      </c>
      <c r="NB58" s="115">
        <v>80</v>
      </c>
      <c r="NC58" s="115" t="str">
        <v>N/A</v>
      </c>
      <c r="ND58" s="115" t="str">
        <v>N/A</v>
      </c>
      <c r="NE58" s="115" t="str">
        <v>N/A</v>
      </c>
      <c r="NF58" s="115" t="str">
        <v>N/A</v>
      </c>
    </row>
    <row r="59" spans="2:370" ht="13.5" x14ac:dyDescent="0.25">
      <c r="B59" s="8">
        <f t="shared" si="252"/>
        <v>56</v>
      </c>
      <c r="C59" s="7">
        <v>269.10000000000002</v>
      </c>
      <c r="D59" s="7">
        <v>269.10000000000002</v>
      </c>
      <c r="E59" s="7">
        <v>269.10000000000002</v>
      </c>
      <c r="F59" s="7">
        <v>269.10000000000002</v>
      </c>
      <c r="G59" s="7">
        <v>269.10000000000002</v>
      </c>
      <c r="H59" s="7">
        <v>269.10000000000002</v>
      </c>
      <c r="I59" s="7">
        <v>269.10000000000002</v>
      </c>
      <c r="J59" s="7">
        <v>269.10000000000002</v>
      </c>
      <c r="K59" s="7">
        <v>269.10000000000002</v>
      </c>
      <c r="L59" s="7">
        <v>269.08999999999997</v>
      </c>
      <c r="M59" s="7">
        <v>269.08999999999997</v>
      </c>
      <c r="N59" s="7">
        <v>269.08999999999997</v>
      </c>
      <c r="O59" s="7">
        <v>269.08999999999997</v>
      </c>
      <c r="P59" s="7">
        <v>269.08999999999997</v>
      </c>
      <c r="Q59" s="7">
        <v>269.08999999999997</v>
      </c>
      <c r="R59" s="7">
        <v>269.08999999999997</v>
      </c>
      <c r="S59" s="7">
        <v>269.08999999999997</v>
      </c>
      <c r="T59" s="7">
        <v>269.08999999999997</v>
      </c>
      <c r="U59" s="7">
        <v>269.08999999999997</v>
      </c>
      <c r="V59" s="7">
        <v>269.08999999999997</v>
      </c>
      <c r="W59" s="7">
        <v>269.08999999999997</v>
      </c>
      <c r="X59" s="7">
        <v>269.08999999999997</v>
      </c>
      <c r="Y59" s="7">
        <v>269.08999999999997</v>
      </c>
      <c r="Z59" s="7">
        <v>269.08999999999997</v>
      </c>
      <c r="AA59" s="7">
        <v>269.08999999999997</v>
      </c>
      <c r="AB59" s="7">
        <v>269.08999999999997</v>
      </c>
      <c r="AC59" s="7">
        <v>269.08999999999997</v>
      </c>
      <c r="AD59" s="7">
        <v>278.5</v>
      </c>
      <c r="AE59" s="7">
        <v>278.5</v>
      </c>
      <c r="AF59" s="7">
        <v>278.5</v>
      </c>
      <c r="AG59" s="7">
        <v>278.5</v>
      </c>
      <c r="AH59" s="7">
        <v>278.5</v>
      </c>
      <c r="AI59" s="7">
        <v>278.5</v>
      </c>
      <c r="AJ59" s="7">
        <v>278.5</v>
      </c>
      <c r="AK59" s="7">
        <v>278.5</v>
      </c>
      <c r="AL59" s="7">
        <v>278.5</v>
      </c>
      <c r="AM59" s="7">
        <v>278.5</v>
      </c>
      <c r="AN59" s="27">
        <v>56</v>
      </c>
      <c r="AP59" s="111"/>
      <c r="AQ59" s="110">
        <f t="shared" si="253"/>
        <v>0</v>
      </c>
      <c r="AR59" s="110">
        <f t="shared" si="254"/>
        <v>0</v>
      </c>
      <c r="AS59" s="110">
        <f t="shared" si="255"/>
        <v>-1.0000000000047748E-2</v>
      </c>
      <c r="AT59" s="110">
        <f t="shared" si="256"/>
        <v>0</v>
      </c>
      <c r="AU59" s="110">
        <f t="shared" si="257"/>
        <v>0</v>
      </c>
      <c r="AV59" s="110">
        <f t="shared" si="258"/>
        <v>0</v>
      </c>
      <c r="AW59" s="110">
        <f t="shared" si="259"/>
        <v>0</v>
      </c>
      <c r="AX59" s="110">
        <f t="shared" si="260"/>
        <v>0</v>
      </c>
      <c r="AY59" s="110">
        <f t="shared" si="261"/>
        <v>9.410000000000025</v>
      </c>
      <c r="AZ59" s="110">
        <f t="shared" si="262"/>
        <v>0</v>
      </c>
      <c r="BA59" s="110">
        <f t="shared" si="263"/>
        <v>0</v>
      </c>
      <c r="BB59" s="110">
        <f t="shared" si="264"/>
        <v>0</v>
      </c>
      <c r="BD59" s="109" cm="1">
        <f t="array" ref="BD59">+IFERROR(INDEX($C$3:$AM$3,MATCH(TRUE,INDEX($C59:$AM59&lt;&gt;0,0),0)),"N/A")</f>
        <v>44926</v>
      </c>
      <c r="BE59" s="112"/>
      <c r="BF59" s="1" t="str" cm="1">
        <f t="array" ref="BF59">+_xlfn.IFS(BT59&lt;&gt;0,BT$2,CH59&lt;&gt;0,CH$2,CV59&lt;&gt;0,CV$2,DJ59&lt;&gt;0,DJ$2,TRUE,"")</f>
        <v/>
      </c>
      <c r="BG59" s="1" t="str" cm="1">
        <f t="array" ref="BG59">+_xlfn.IFS(BU59&lt;&gt;0,BU$2,CI59&lt;&gt;0,CI$2,CW59&lt;&gt;0,CW$2,DK59&lt;&gt;0,DK$2,TRUE,"")</f>
        <v/>
      </c>
      <c r="BH59" s="1" t="str" cm="1">
        <f t="array" ref="BH59">+_xlfn.IFS(BV59&lt;&gt;0,BV$2,CJ59&lt;&gt;0,CJ$2,CX59&lt;&gt;0,CX$2,DL59&lt;&gt;0,DL$2,TRUE,"")</f>
        <v>Downsell</v>
      </c>
      <c r="BI59" s="1" t="str" cm="1">
        <f t="array" ref="BI59">+_xlfn.IFS(BW59&lt;&gt;0,BW$2,CK59&lt;&gt;0,CK$2,CY59&lt;&gt;0,CY$2,DM59&lt;&gt;0,DM$2,TRUE,"")</f>
        <v/>
      </c>
      <c r="BJ59" s="1" t="str" cm="1">
        <f t="array" ref="BJ59">+_xlfn.IFS(BX59&lt;&gt;0,BX$2,CL59&lt;&gt;0,CL$2,CZ59&lt;&gt;0,CZ$2,DN59&lt;&gt;0,DN$2,TRUE,"")</f>
        <v/>
      </c>
      <c r="BK59" s="1" t="str" cm="1">
        <f t="array" ref="BK59">+_xlfn.IFS(BY59&lt;&gt;0,BY$2,CM59&lt;&gt;0,CM$2,DA59&lt;&gt;0,DA$2,DO59&lt;&gt;0,DO$2,TRUE,"")</f>
        <v/>
      </c>
      <c r="BL59" s="1" t="str" cm="1">
        <f t="array" ref="BL59">+_xlfn.IFS(BZ59&lt;&gt;0,BZ$2,CN59&lt;&gt;0,CN$2,DB59&lt;&gt;0,DB$2,DP59&lt;&gt;0,DP$2,TRUE,"")</f>
        <v/>
      </c>
      <c r="BM59" s="1" t="str" cm="1">
        <f t="array" ref="BM59">+_xlfn.IFS(CA59&lt;&gt;0,CA$2,CO59&lt;&gt;0,CO$2,DC59&lt;&gt;0,DC$2,DQ59&lt;&gt;0,DQ$2,TRUE,"")</f>
        <v/>
      </c>
      <c r="BN59" s="1" t="str" cm="1">
        <f t="array" ref="BN59">+_xlfn.IFS(CB59&lt;&gt;0,CB$2,CP59&lt;&gt;0,CP$2,DD59&lt;&gt;0,DD$2,DR59&lt;&gt;0,DR$2,TRUE,"")</f>
        <v>Upsell</v>
      </c>
      <c r="BO59" s="1" t="str" cm="1">
        <f t="array" ref="BO59">+_xlfn.IFS(CC59&lt;&gt;0,CC$2,CQ59&lt;&gt;0,CQ$2,DE59&lt;&gt;0,DE$2,DS59&lt;&gt;0,DS$2,TRUE,"")</f>
        <v/>
      </c>
      <c r="BP59" s="1" t="str" cm="1">
        <f t="array" ref="BP59">+_xlfn.IFS(CD59&lt;&gt;0,CD$2,CR59&lt;&gt;0,CR$2,DF59&lt;&gt;0,DF$2,DT59&lt;&gt;0,DT$2,TRUE,"")</f>
        <v/>
      </c>
      <c r="BQ59" s="1" t="str" cm="1">
        <f t="array" ref="BQ59">+_xlfn.IFS(CE59&lt;&gt;0,CE$2,CS59&lt;&gt;0,CS$2,DG59&lt;&gt;0,DG$2,DU59&lt;&gt;0,DU$2,TRUE,"")</f>
        <v/>
      </c>
      <c r="BS59" s="111"/>
      <c r="BT59" s="110">
        <f t="shared" si="265"/>
        <v>0</v>
      </c>
      <c r="BU59" s="110">
        <f t="shared" si="266"/>
        <v>0</v>
      </c>
      <c r="BV59" s="110">
        <f t="shared" si="267"/>
        <v>0</v>
      </c>
      <c r="BW59" s="110">
        <f t="shared" si="268"/>
        <v>0</v>
      </c>
      <c r="BX59" s="110">
        <f t="shared" si="269"/>
        <v>0</v>
      </c>
      <c r="BY59" s="110">
        <f t="shared" si="270"/>
        <v>0</v>
      </c>
      <c r="BZ59" s="110">
        <f t="shared" si="271"/>
        <v>0</v>
      </c>
      <c r="CA59" s="110">
        <f t="shared" si="272"/>
        <v>0</v>
      </c>
      <c r="CB59" s="110">
        <f t="shared" si="273"/>
        <v>0</v>
      </c>
      <c r="CC59" s="110">
        <f t="shared" si="274"/>
        <v>0</v>
      </c>
      <c r="CD59" s="110">
        <f t="shared" si="275"/>
        <v>0</v>
      </c>
      <c r="CE59" s="110">
        <f t="shared" si="276"/>
        <v>0</v>
      </c>
      <c r="CG59" s="111"/>
      <c r="CH59" s="110">
        <f t="shared" si="277"/>
        <v>0</v>
      </c>
      <c r="CI59" s="110">
        <f t="shared" si="278"/>
        <v>0</v>
      </c>
      <c r="CJ59" s="110">
        <f t="shared" si="279"/>
        <v>0</v>
      </c>
      <c r="CK59" s="110">
        <f t="shared" si="280"/>
        <v>0</v>
      </c>
      <c r="CL59" s="110">
        <f t="shared" si="281"/>
        <v>0</v>
      </c>
      <c r="CM59" s="110">
        <f t="shared" si="282"/>
        <v>0</v>
      </c>
      <c r="CN59" s="110">
        <f t="shared" si="283"/>
        <v>0</v>
      </c>
      <c r="CO59" s="110">
        <f t="shared" si="284"/>
        <v>0</v>
      </c>
      <c r="CP59" s="110">
        <f t="shared" si="285"/>
        <v>0</v>
      </c>
      <c r="CQ59" s="110">
        <f t="shared" si="286"/>
        <v>0</v>
      </c>
      <c r="CR59" s="110">
        <f t="shared" si="287"/>
        <v>0</v>
      </c>
      <c r="CS59" s="110">
        <f t="shared" si="288"/>
        <v>0</v>
      </c>
      <c r="CU59" s="111"/>
      <c r="CV59" s="110">
        <f t="shared" si="289"/>
        <v>0</v>
      </c>
      <c r="CW59" s="110">
        <f t="shared" si="290"/>
        <v>0</v>
      </c>
      <c r="CX59" s="110">
        <f t="shared" si="291"/>
        <v>-1.0000000000047748E-2</v>
      </c>
      <c r="CY59" s="110">
        <f t="shared" si="292"/>
        <v>0</v>
      </c>
      <c r="CZ59" s="110">
        <f t="shared" si="293"/>
        <v>0</v>
      </c>
      <c r="DA59" s="110">
        <f t="shared" si="294"/>
        <v>0</v>
      </c>
      <c r="DB59" s="110">
        <f t="shared" si="295"/>
        <v>0</v>
      </c>
      <c r="DC59" s="110">
        <f t="shared" si="296"/>
        <v>0</v>
      </c>
      <c r="DD59" s="110">
        <f t="shared" si="297"/>
        <v>0</v>
      </c>
      <c r="DE59" s="110">
        <f t="shared" si="298"/>
        <v>0</v>
      </c>
      <c r="DF59" s="110">
        <f t="shared" si="299"/>
        <v>0</v>
      </c>
      <c r="DG59" s="110">
        <f t="shared" si="300"/>
        <v>0</v>
      </c>
      <c r="DI59" s="111"/>
      <c r="DJ59" s="110">
        <f t="shared" si="301"/>
        <v>0</v>
      </c>
      <c r="DK59" s="110">
        <f t="shared" si="302"/>
        <v>0</v>
      </c>
      <c r="DL59" s="110">
        <f t="shared" si="303"/>
        <v>0</v>
      </c>
      <c r="DM59" s="110">
        <f t="shared" si="304"/>
        <v>0</v>
      </c>
      <c r="DN59" s="110">
        <f t="shared" si="305"/>
        <v>0</v>
      </c>
      <c r="DO59" s="110">
        <f t="shared" si="306"/>
        <v>0</v>
      </c>
      <c r="DP59" s="110">
        <f t="shared" si="307"/>
        <v>0</v>
      </c>
      <c r="DQ59" s="110">
        <f t="shared" si="308"/>
        <v>0</v>
      </c>
      <c r="DR59" s="110">
        <f t="shared" si="309"/>
        <v>9.410000000000025</v>
      </c>
      <c r="DS59" s="110">
        <f t="shared" si="310"/>
        <v>0</v>
      </c>
      <c r="DT59" s="110">
        <f t="shared" si="311"/>
        <v>0</v>
      </c>
      <c r="DU59" s="110">
        <f t="shared" si="312"/>
        <v>0</v>
      </c>
      <c r="DW59" s="111"/>
      <c r="DX59" s="110">
        <f t="shared" si="313"/>
        <v>0</v>
      </c>
      <c r="DY59" s="110">
        <f t="shared" si="314"/>
        <v>0</v>
      </c>
      <c r="DZ59" s="110">
        <f t="shared" si="315"/>
        <v>0</v>
      </c>
      <c r="EA59" s="110">
        <f t="shared" si="316"/>
        <v>0</v>
      </c>
      <c r="EB59" s="110">
        <f t="shared" si="317"/>
        <v>0</v>
      </c>
      <c r="EC59" s="110">
        <f t="shared" si="318"/>
        <v>0</v>
      </c>
      <c r="ED59" s="110">
        <f t="shared" si="319"/>
        <v>0</v>
      </c>
      <c r="EE59" s="110">
        <f t="shared" si="320"/>
        <v>0</v>
      </c>
      <c r="EF59" s="110">
        <f t="shared" si="321"/>
        <v>0</v>
      </c>
      <c r="EG59" s="110">
        <f t="shared" si="322"/>
        <v>0</v>
      </c>
      <c r="EH59" s="110">
        <f t="shared" si="323"/>
        <v>0</v>
      </c>
      <c r="EI59" s="110">
        <f t="shared" si="324"/>
        <v>0</v>
      </c>
      <c r="EK59" s="111"/>
      <c r="EL59" s="110">
        <f t="shared" si="325"/>
        <v>-1.0000000000047748E-2</v>
      </c>
      <c r="EM59" s="110">
        <f t="shared" si="326"/>
        <v>0</v>
      </c>
      <c r="EN59" s="110">
        <f t="shared" si="327"/>
        <v>9.410000000000025</v>
      </c>
      <c r="EP59" s="109" cm="1">
        <f t="array" ref="EP59">+IFERROR(INDEX($C$3:$AM$3,MATCH(TRUE,INDEX($C59:$AM59&lt;&gt;0,0),0)),"N/A")</f>
        <v>44926</v>
      </c>
      <c r="EQ59" s="112"/>
      <c r="ER59" s="1" t="str" cm="1">
        <f t="array" ref="ER59">+_xlfn.IFS(EW59&lt;&gt;0,EW$2,FB59&lt;&gt;0,FB$2,FG59&lt;&gt;0,FG$2,FL59&lt;&gt;0,FL$2,TRUE,"")</f>
        <v>Downsell</v>
      </c>
      <c r="ES59" s="1" t="str" cm="1">
        <f t="array" ref="ES59">+_xlfn.IFS(EX59&lt;&gt;0,EX$2,FC59&lt;&gt;0,FC$2,FH59&lt;&gt;0,FH$2,FM59&lt;&gt;0,FM$2,TRUE,"")</f>
        <v/>
      </c>
      <c r="ET59" s="1" t="str" cm="1">
        <f t="array" ref="ET59">+_xlfn.IFS(EY59&lt;&gt;0,EY$2,FD59&lt;&gt;0,FD$2,FI59&lt;&gt;0,FI$2,FN59&lt;&gt;0,FN$2,TRUE,"")</f>
        <v>Upsell</v>
      </c>
      <c r="EV59" s="111"/>
      <c r="EW59" s="110">
        <f t="shared" si="328"/>
        <v>0</v>
      </c>
      <c r="EX59" s="110">
        <f t="shared" si="329"/>
        <v>0</v>
      </c>
      <c r="EY59" s="110">
        <f t="shared" si="330"/>
        <v>0</v>
      </c>
      <c r="FA59" s="111"/>
      <c r="FB59" s="110">
        <f t="shared" si="331"/>
        <v>0</v>
      </c>
      <c r="FC59" s="110">
        <f t="shared" si="332"/>
        <v>0</v>
      </c>
      <c r="FD59" s="110">
        <f t="shared" si="333"/>
        <v>0</v>
      </c>
      <c r="FF59" s="111"/>
      <c r="FG59" s="110">
        <f t="shared" si="334"/>
        <v>-1.0000000000047748E-2</v>
      </c>
      <c r="FH59" s="110">
        <f t="shared" si="335"/>
        <v>0</v>
      </c>
      <c r="FI59" s="110">
        <f t="shared" si="336"/>
        <v>0</v>
      </c>
      <c r="FK59" s="111"/>
      <c r="FL59" s="110">
        <f t="shared" si="337"/>
        <v>0</v>
      </c>
      <c r="FM59" s="110">
        <f t="shared" si="338"/>
        <v>0</v>
      </c>
      <c r="FN59" s="110">
        <f t="shared" si="339"/>
        <v>9.410000000000025</v>
      </c>
      <c r="FP59" s="111"/>
      <c r="FQ59" s="110">
        <f t="shared" si="340"/>
        <v>0</v>
      </c>
      <c r="FR59" s="110">
        <f t="shared" si="341"/>
        <v>0</v>
      </c>
      <c r="FS59" s="110">
        <f t="shared" si="342"/>
        <v>0</v>
      </c>
      <c r="FU59" s="111">
        <f t="shared" si="343"/>
        <v>-1.0000000000047748E-2</v>
      </c>
      <c r="FV59" s="110">
        <f t="shared" si="344"/>
        <v>-1.0000000000047748E-2</v>
      </c>
      <c r="FW59" s="110">
        <f t="shared" si="345"/>
        <v>-1.0000000000047748E-2</v>
      </c>
      <c r="FX59" s="110">
        <f t="shared" si="346"/>
        <v>-1.0000000000047748E-2</v>
      </c>
      <c r="FY59" s="110">
        <f t="shared" si="347"/>
        <v>-1.0000000000047748E-2</v>
      </c>
      <c r="FZ59" s="110">
        <f t="shared" si="348"/>
        <v>-1.0000000000047748E-2</v>
      </c>
      <c r="GA59" s="110">
        <f t="shared" si="349"/>
        <v>-1.0000000000047748E-2</v>
      </c>
      <c r="GB59" s="110">
        <f t="shared" si="350"/>
        <v>-1.0000000000047748E-2</v>
      </c>
      <c r="GC59" s="110">
        <f t="shared" si="351"/>
        <v>-1.0000000000047748E-2</v>
      </c>
      <c r="GD59" s="110">
        <f t="shared" si="352"/>
        <v>0</v>
      </c>
      <c r="GE59" s="110">
        <f t="shared" si="353"/>
        <v>0</v>
      </c>
      <c r="GF59" s="110">
        <f t="shared" si="354"/>
        <v>0</v>
      </c>
      <c r="GG59" s="110">
        <f t="shared" si="355"/>
        <v>0</v>
      </c>
      <c r="GH59" s="110">
        <f t="shared" si="356"/>
        <v>0</v>
      </c>
      <c r="GI59" s="110">
        <f t="shared" si="357"/>
        <v>0</v>
      </c>
      <c r="GJ59" s="110">
        <f t="shared" si="358"/>
        <v>9.410000000000025</v>
      </c>
      <c r="GK59" s="110">
        <f t="shared" si="359"/>
        <v>9.410000000000025</v>
      </c>
      <c r="GL59" s="110">
        <f t="shared" si="360"/>
        <v>9.410000000000025</v>
      </c>
      <c r="GM59" s="110">
        <f t="shared" si="361"/>
        <v>9.410000000000025</v>
      </c>
      <c r="GN59" s="110">
        <f t="shared" si="362"/>
        <v>9.410000000000025</v>
      </c>
      <c r="GO59" s="110">
        <f t="shared" si="363"/>
        <v>9.410000000000025</v>
      </c>
      <c r="GP59" s="110">
        <f t="shared" si="364"/>
        <v>9.410000000000025</v>
      </c>
      <c r="GQ59" s="110">
        <f t="shared" si="365"/>
        <v>9.410000000000025</v>
      </c>
      <c r="GR59" s="110">
        <f t="shared" si="366"/>
        <v>9.410000000000025</v>
      </c>
      <c r="GS59" s="110">
        <f t="shared" si="367"/>
        <v>9.410000000000025</v>
      </c>
      <c r="GU59" s="109" cm="1">
        <f t="array" ref="GU59">+IFERROR(INDEX($C$3:$AM$3,MATCH(TRUE,INDEX($C59:$AM59&lt;&gt;0,0),0)),"N/A")</f>
        <v>44926</v>
      </c>
      <c r="GV59" s="112" t="str" cm="1">
        <f t="array" ref="GV59">+_xlfn.IFS(HV59&lt;&gt;0,HV$2,IV59&lt;&gt;0,IV$2,JV59&lt;&gt;0,JV$2,KV59&lt;&gt;0,KV$2,TRUE,"")</f>
        <v>Downsell</v>
      </c>
      <c r="GW59" s="1" t="str" cm="1">
        <f t="array" ref="GW59">+_xlfn.IFS(HW59&lt;&gt;0,HW$2,IW59&lt;&gt;0,IW$2,JW59&lt;&gt;0,JW$2,KW59&lt;&gt;0,KW$2,TRUE,"")</f>
        <v>Downsell</v>
      </c>
      <c r="GX59" s="1" t="str" cm="1">
        <f t="array" ref="GX59">+_xlfn.IFS(HX59&lt;&gt;0,HX$2,IX59&lt;&gt;0,IX$2,JX59&lt;&gt;0,JX$2,KX59&lt;&gt;0,KX$2,TRUE,"")</f>
        <v>Downsell</v>
      </c>
      <c r="GY59" s="1" t="str" cm="1">
        <f t="array" ref="GY59">+_xlfn.IFS(HY59&lt;&gt;0,HY$2,IY59&lt;&gt;0,IY$2,JY59&lt;&gt;0,JY$2,KY59&lt;&gt;0,KY$2,TRUE,"")</f>
        <v>Downsell</v>
      </c>
      <c r="GZ59" s="1" t="str" cm="1">
        <f t="array" ref="GZ59">+_xlfn.IFS(HZ59&lt;&gt;0,HZ$2,IZ59&lt;&gt;0,IZ$2,JZ59&lt;&gt;0,JZ$2,KZ59&lt;&gt;0,KZ$2,TRUE,"")</f>
        <v>Downsell</v>
      </c>
      <c r="HA59" s="1" t="str" cm="1">
        <f t="array" ref="HA59">+_xlfn.IFS(IA59&lt;&gt;0,IA$2,JA59&lt;&gt;0,JA$2,KA59&lt;&gt;0,KA$2,LA59&lt;&gt;0,LA$2,TRUE,"")</f>
        <v>Downsell</v>
      </c>
      <c r="HB59" s="1" t="str" cm="1">
        <f t="array" ref="HB59">+_xlfn.IFS(IB59&lt;&gt;0,IB$2,JB59&lt;&gt;0,JB$2,KB59&lt;&gt;0,KB$2,LB59&lt;&gt;0,LB$2,TRUE,"")</f>
        <v>Downsell</v>
      </c>
      <c r="HC59" s="1" t="str" cm="1">
        <f t="array" ref="HC59">+_xlfn.IFS(IC59&lt;&gt;0,IC$2,JC59&lt;&gt;0,JC$2,KC59&lt;&gt;0,KC$2,LC59&lt;&gt;0,LC$2,TRUE,"")</f>
        <v>Downsell</v>
      </c>
      <c r="HD59" s="1" t="str" cm="1">
        <f t="array" ref="HD59">+_xlfn.IFS(ID59&lt;&gt;0,ID$2,JD59&lt;&gt;0,JD$2,KD59&lt;&gt;0,KD$2,LD59&lt;&gt;0,LD$2,TRUE,"")</f>
        <v>Downsell</v>
      </c>
      <c r="HE59" s="1" t="str" cm="1">
        <f t="array" ref="HE59">+_xlfn.IFS(IE59&lt;&gt;0,IE$2,JE59&lt;&gt;0,JE$2,KE59&lt;&gt;0,KE$2,LE59&lt;&gt;0,LE$2,TRUE,"")</f>
        <v/>
      </c>
      <c r="HF59" s="1" t="str" cm="1">
        <f t="array" ref="HF59">+_xlfn.IFS(IF59&lt;&gt;0,IF$2,JF59&lt;&gt;0,JF$2,KF59&lt;&gt;0,KF$2,LF59&lt;&gt;0,LF$2,TRUE,"")</f>
        <v/>
      </c>
      <c r="HG59" s="1" t="str" cm="1">
        <f t="array" ref="HG59">+_xlfn.IFS(IG59&lt;&gt;0,IG$2,JG59&lt;&gt;0,JG$2,KG59&lt;&gt;0,KG$2,LG59&lt;&gt;0,LG$2,TRUE,"")</f>
        <v/>
      </c>
      <c r="HH59" s="1" t="str" cm="1">
        <f t="array" ref="HH59">+_xlfn.IFS(IH59&lt;&gt;0,IH$2,JH59&lt;&gt;0,JH$2,KH59&lt;&gt;0,KH$2,LH59&lt;&gt;0,LH$2,TRUE,"")</f>
        <v/>
      </c>
      <c r="HI59" s="1" t="str" cm="1">
        <f t="array" ref="HI59">+_xlfn.IFS(II59&lt;&gt;0,II$2,JI59&lt;&gt;0,JI$2,KI59&lt;&gt;0,KI$2,LI59&lt;&gt;0,LI$2,TRUE,"")</f>
        <v/>
      </c>
      <c r="HJ59" s="1" t="str" cm="1">
        <f t="array" ref="HJ59">+_xlfn.IFS(IJ59&lt;&gt;0,IJ$2,JJ59&lt;&gt;0,JJ$2,KJ59&lt;&gt;0,KJ$2,LJ59&lt;&gt;0,LJ$2,TRUE,"")</f>
        <v/>
      </c>
      <c r="HK59" s="1" t="str" cm="1">
        <f t="array" ref="HK59">+_xlfn.IFS(IK59&lt;&gt;0,IK$2,JK59&lt;&gt;0,JK$2,KK59&lt;&gt;0,KK$2,LK59&lt;&gt;0,LK$2,TRUE,"")</f>
        <v>Upsell</v>
      </c>
      <c r="HL59" s="1" t="str" cm="1">
        <f t="array" ref="HL59">+_xlfn.IFS(IL59&lt;&gt;0,IL$2,JL59&lt;&gt;0,JL$2,KL59&lt;&gt;0,KL$2,LL59&lt;&gt;0,LL$2,TRUE,"")</f>
        <v>Upsell</v>
      </c>
      <c r="HM59" s="1" t="str" cm="1">
        <f t="array" ref="HM59">+_xlfn.IFS(IM59&lt;&gt;0,IM$2,JM59&lt;&gt;0,JM$2,KM59&lt;&gt;0,KM$2,LM59&lt;&gt;0,LM$2,TRUE,"")</f>
        <v>Upsell</v>
      </c>
      <c r="HN59" s="1" t="str" cm="1">
        <f t="array" ref="HN59">+_xlfn.IFS(IN59&lt;&gt;0,IN$2,JN59&lt;&gt;0,JN$2,KN59&lt;&gt;0,KN$2,LN59&lt;&gt;0,LN$2,TRUE,"")</f>
        <v>Upsell</v>
      </c>
      <c r="HO59" s="1" t="str" cm="1">
        <f t="array" ref="HO59">+_xlfn.IFS(IO59&lt;&gt;0,IO$2,JO59&lt;&gt;0,JO$2,KO59&lt;&gt;0,KO$2,LO59&lt;&gt;0,LO$2,TRUE,"")</f>
        <v>Upsell</v>
      </c>
      <c r="HP59" s="1" t="str" cm="1">
        <f t="array" ref="HP59">+_xlfn.IFS(IP59&lt;&gt;0,IP$2,JP59&lt;&gt;0,JP$2,KP59&lt;&gt;0,KP$2,LP59&lt;&gt;0,LP$2,TRUE,"")</f>
        <v>Upsell</v>
      </c>
      <c r="HQ59" s="1" t="str" cm="1">
        <f t="array" ref="HQ59">+_xlfn.IFS(IQ59&lt;&gt;0,IQ$2,JQ59&lt;&gt;0,JQ$2,KQ59&lt;&gt;0,KQ$2,LQ59&lt;&gt;0,LQ$2,TRUE,"")</f>
        <v>Upsell</v>
      </c>
      <c r="HR59" s="1" t="str" cm="1">
        <f t="array" ref="HR59">+_xlfn.IFS(IR59&lt;&gt;0,IR$2,JR59&lt;&gt;0,JR$2,KR59&lt;&gt;0,KR$2,LR59&lt;&gt;0,LR$2,TRUE,"")</f>
        <v>Upsell</v>
      </c>
      <c r="HS59" s="1" t="str" cm="1">
        <f t="array" ref="HS59">+_xlfn.IFS(IS59&lt;&gt;0,IS$2,JS59&lt;&gt;0,JS$2,KS59&lt;&gt;0,KS$2,LS59&lt;&gt;0,LS$2,TRUE,"")</f>
        <v>Upsell</v>
      </c>
      <c r="HT59" s="1" t="str" cm="1">
        <f t="array" ref="HT59">+_xlfn.IFS(IT59&lt;&gt;0,IT$2,JT59&lt;&gt;0,JT$2,KT59&lt;&gt;0,KT$2,LT59&lt;&gt;0,LT$2,TRUE,"")</f>
        <v>Upsell</v>
      </c>
      <c r="HV59" s="111">
        <f t="shared" si="368"/>
        <v>0</v>
      </c>
      <c r="HW59" s="110">
        <f t="shared" si="369"/>
        <v>0</v>
      </c>
      <c r="HX59" s="110">
        <f t="shared" si="370"/>
        <v>0</v>
      </c>
      <c r="HY59" s="110">
        <f t="shared" si="371"/>
        <v>0</v>
      </c>
      <c r="HZ59" s="110">
        <f t="shared" si="372"/>
        <v>0</v>
      </c>
      <c r="IA59" s="110">
        <f t="shared" si="373"/>
        <v>0</v>
      </c>
      <c r="IB59" s="110">
        <f t="shared" si="374"/>
        <v>0</v>
      </c>
      <c r="IC59" s="110">
        <f t="shared" si="375"/>
        <v>0</v>
      </c>
      <c r="ID59" s="110">
        <f t="shared" si="376"/>
        <v>0</v>
      </c>
      <c r="IE59" s="110">
        <f t="shared" si="377"/>
        <v>0</v>
      </c>
      <c r="IF59" s="110">
        <f t="shared" si="378"/>
        <v>0</v>
      </c>
      <c r="IG59" s="110">
        <f t="shared" si="379"/>
        <v>0</v>
      </c>
      <c r="IH59" s="110">
        <f t="shared" si="380"/>
        <v>0</v>
      </c>
      <c r="II59" s="110">
        <f t="shared" si="381"/>
        <v>0</v>
      </c>
      <c r="IJ59" s="110">
        <f t="shared" si="382"/>
        <v>0</v>
      </c>
      <c r="IK59" s="110">
        <f t="shared" si="383"/>
        <v>0</v>
      </c>
      <c r="IL59" s="110">
        <f t="shared" si="384"/>
        <v>0</v>
      </c>
      <c r="IM59" s="110">
        <f t="shared" si="385"/>
        <v>0</v>
      </c>
      <c r="IN59" s="110">
        <f t="shared" si="386"/>
        <v>0</v>
      </c>
      <c r="IO59" s="110">
        <f t="shared" si="387"/>
        <v>0</v>
      </c>
      <c r="IP59" s="110">
        <f t="shared" si="388"/>
        <v>0</v>
      </c>
      <c r="IQ59" s="110">
        <f t="shared" si="389"/>
        <v>0</v>
      </c>
      <c r="IR59" s="110">
        <f t="shared" si="390"/>
        <v>0</v>
      </c>
      <c r="IS59" s="110">
        <f t="shared" si="391"/>
        <v>0</v>
      </c>
      <c r="IT59" s="110">
        <f t="shared" si="392"/>
        <v>0</v>
      </c>
      <c r="IV59" s="111">
        <f t="shared" si="393"/>
        <v>0</v>
      </c>
      <c r="IW59" s="110">
        <f t="shared" si="394"/>
        <v>0</v>
      </c>
      <c r="IX59" s="110">
        <f t="shared" si="395"/>
        <v>0</v>
      </c>
      <c r="IY59" s="110">
        <f t="shared" si="396"/>
        <v>0</v>
      </c>
      <c r="IZ59" s="110">
        <f t="shared" si="397"/>
        <v>0</v>
      </c>
      <c r="JA59" s="110">
        <f t="shared" si="398"/>
        <v>0</v>
      </c>
      <c r="JB59" s="110">
        <f t="shared" si="399"/>
        <v>0</v>
      </c>
      <c r="JC59" s="110">
        <f t="shared" si="400"/>
        <v>0</v>
      </c>
      <c r="JD59" s="110">
        <f t="shared" si="401"/>
        <v>0</v>
      </c>
      <c r="JE59" s="110">
        <f t="shared" si="402"/>
        <v>0</v>
      </c>
      <c r="JF59" s="110">
        <f t="shared" si="403"/>
        <v>0</v>
      </c>
      <c r="JG59" s="110">
        <f t="shared" si="404"/>
        <v>0</v>
      </c>
      <c r="JH59" s="110">
        <f t="shared" si="405"/>
        <v>0</v>
      </c>
      <c r="JI59" s="110">
        <f t="shared" si="406"/>
        <v>0</v>
      </c>
      <c r="JJ59" s="110">
        <f t="shared" si="407"/>
        <v>0</v>
      </c>
      <c r="JK59" s="110">
        <f t="shared" si="408"/>
        <v>0</v>
      </c>
      <c r="JL59" s="110">
        <f t="shared" si="409"/>
        <v>0</v>
      </c>
      <c r="JM59" s="110">
        <f t="shared" si="410"/>
        <v>0</v>
      </c>
      <c r="JN59" s="110">
        <f t="shared" si="411"/>
        <v>0</v>
      </c>
      <c r="JO59" s="110">
        <f t="shared" si="412"/>
        <v>0</v>
      </c>
      <c r="JP59" s="110">
        <f t="shared" si="413"/>
        <v>0</v>
      </c>
      <c r="JQ59" s="110">
        <f t="shared" si="414"/>
        <v>0</v>
      </c>
      <c r="JR59" s="110">
        <f t="shared" si="415"/>
        <v>0</v>
      </c>
      <c r="JS59" s="110">
        <f t="shared" si="416"/>
        <v>0</v>
      </c>
      <c r="JT59" s="110">
        <f t="shared" si="417"/>
        <v>0</v>
      </c>
      <c r="JV59" s="111">
        <f t="shared" si="418"/>
        <v>-1.0000000000047748E-2</v>
      </c>
      <c r="JW59" s="110">
        <f t="shared" si="419"/>
        <v>-1.0000000000047748E-2</v>
      </c>
      <c r="JX59" s="110">
        <f t="shared" si="420"/>
        <v>-1.0000000000047748E-2</v>
      </c>
      <c r="JY59" s="110">
        <f t="shared" si="421"/>
        <v>-1.0000000000047748E-2</v>
      </c>
      <c r="JZ59" s="110">
        <f t="shared" si="422"/>
        <v>-1.0000000000047748E-2</v>
      </c>
      <c r="KA59" s="110">
        <f t="shared" si="423"/>
        <v>-1.0000000000047748E-2</v>
      </c>
      <c r="KB59" s="110">
        <f t="shared" si="424"/>
        <v>-1.0000000000047748E-2</v>
      </c>
      <c r="KC59" s="110">
        <f t="shared" si="425"/>
        <v>-1.0000000000047748E-2</v>
      </c>
      <c r="KD59" s="110">
        <f t="shared" si="426"/>
        <v>-1.0000000000047748E-2</v>
      </c>
      <c r="KE59" s="110">
        <f t="shared" si="427"/>
        <v>0</v>
      </c>
      <c r="KF59" s="110">
        <f t="shared" si="428"/>
        <v>0</v>
      </c>
      <c r="KG59" s="110">
        <f t="shared" si="429"/>
        <v>0</v>
      </c>
      <c r="KH59" s="110">
        <f t="shared" si="430"/>
        <v>0</v>
      </c>
      <c r="KI59" s="110">
        <f t="shared" si="431"/>
        <v>0</v>
      </c>
      <c r="KJ59" s="110">
        <f t="shared" si="432"/>
        <v>0</v>
      </c>
      <c r="KK59" s="110">
        <f t="shared" si="433"/>
        <v>0</v>
      </c>
      <c r="KL59" s="110">
        <f t="shared" si="434"/>
        <v>0</v>
      </c>
      <c r="KM59" s="110">
        <f t="shared" si="435"/>
        <v>0</v>
      </c>
      <c r="KN59" s="110">
        <f t="shared" si="436"/>
        <v>0</v>
      </c>
      <c r="KO59" s="110">
        <f t="shared" si="437"/>
        <v>0</v>
      </c>
      <c r="KP59" s="110">
        <f t="shared" si="438"/>
        <v>0</v>
      </c>
      <c r="KQ59" s="110">
        <f t="shared" si="439"/>
        <v>0</v>
      </c>
      <c r="KR59" s="110">
        <f t="shared" si="440"/>
        <v>0</v>
      </c>
      <c r="KS59" s="110">
        <f t="shared" si="441"/>
        <v>0</v>
      </c>
      <c r="KT59" s="110">
        <f t="shared" si="442"/>
        <v>0</v>
      </c>
      <c r="KV59" s="111">
        <f t="shared" si="443"/>
        <v>0</v>
      </c>
      <c r="KW59" s="110">
        <f t="shared" si="444"/>
        <v>0</v>
      </c>
      <c r="KX59" s="110">
        <f t="shared" si="445"/>
        <v>0</v>
      </c>
      <c r="KY59" s="110">
        <f t="shared" si="446"/>
        <v>0</v>
      </c>
      <c r="KZ59" s="110">
        <f t="shared" si="447"/>
        <v>0</v>
      </c>
      <c r="LA59" s="110">
        <f t="shared" si="448"/>
        <v>0</v>
      </c>
      <c r="LB59" s="110">
        <f t="shared" si="449"/>
        <v>0</v>
      </c>
      <c r="LC59" s="110">
        <f t="shared" si="450"/>
        <v>0</v>
      </c>
      <c r="LD59" s="110">
        <f t="shared" si="451"/>
        <v>0</v>
      </c>
      <c r="LE59" s="110">
        <f t="shared" si="452"/>
        <v>0</v>
      </c>
      <c r="LF59" s="110">
        <f t="shared" si="453"/>
        <v>0</v>
      </c>
      <c r="LG59" s="110">
        <f t="shared" si="454"/>
        <v>0</v>
      </c>
      <c r="LH59" s="110">
        <f t="shared" si="455"/>
        <v>0</v>
      </c>
      <c r="LI59" s="110">
        <f t="shared" si="456"/>
        <v>0</v>
      </c>
      <c r="LJ59" s="110">
        <f t="shared" si="457"/>
        <v>0</v>
      </c>
      <c r="LK59" s="110">
        <f t="shared" si="458"/>
        <v>9.410000000000025</v>
      </c>
      <c r="LL59" s="110">
        <f t="shared" si="459"/>
        <v>9.410000000000025</v>
      </c>
      <c r="LM59" s="110">
        <f t="shared" si="460"/>
        <v>9.410000000000025</v>
      </c>
      <c r="LN59" s="110">
        <f t="shared" si="461"/>
        <v>9.410000000000025</v>
      </c>
      <c r="LO59" s="110">
        <f t="shared" si="462"/>
        <v>9.410000000000025</v>
      </c>
      <c r="LP59" s="110">
        <f t="shared" si="463"/>
        <v>9.410000000000025</v>
      </c>
      <c r="LQ59" s="110">
        <f t="shared" si="464"/>
        <v>9.410000000000025</v>
      </c>
      <c r="LR59" s="110">
        <f t="shared" si="465"/>
        <v>9.410000000000025</v>
      </c>
      <c r="LS59" s="110">
        <f t="shared" si="466"/>
        <v>9.410000000000025</v>
      </c>
      <c r="LT59" s="110">
        <f t="shared" si="467"/>
        <v>9.410000000000025</v>
      </c>
      <c r="LV59" s="111"/>
      <c r="LW59" s="110">
        <f t="shared" si="468"/>
        <v>0</v>
      </c>
      <c r="LX59" s="110">
        <f t="shared" si="469"/>
        <v>0</v>
      </c>
      <c r="LY59" s="110">
        <f t="shared" si="470"/>
        <v>0</v>
      </c>
      <c r="LZ59" s="110">
        <f t="shared" si="471"/>
        <v>0</v>
      </c>
      <c r="MA59" s="110">
        <f t="shared" si="472"/>
        <v>0</v>
      </c>
      <c r="MB59" s="110">
        <f t="shared" si="473"/>
        <v>0</v>
      </c>
      <c r="MC59" s="110">
        <f t="shared" si="474"/>
        <v>0</v>
      </c>
      <c r="MD59" s="110">
        <f t="shared" si="475"/>
        <v>0</v>
      </c>
      <c r="ME59" s="110">
        <f t="shared" si="476"/>
        <v>0</v>
      </c>
      <c r="MF59" s="110">
        <f t="shared" si="477"/>
        <v>0</v>
      </c>
      <c r="MG59" s="110">
        <f t="shared" si="478"/>
        <v>0</v>
      </c>
      <c r="MH59" s="110">
        <f t="shared" si="479"/>
        <v>0</v>
      </c>
      <c r="MI59" s="110">
        <f t="shared" si="480"/>
        <v>0</v>
      </c>
      <c r="MJ59" s="110">
        <f t="shared" si="481"/>
        <v>0</v>
      </c>
      <c r="MK59" s="110">
        <f t="shared" si="482"/>
        <v>0</v>
      </c>
      <c r="ML59" s="110">
        <f t="shared" si="483"/>
        <v>0</v>
      </c>
      <c r="MM59" s="110">
        <f t="shared" si="484"/>
        <v>0</v>
      </c>
      <c r="MN59" s="110">
        <f t="shared" si="485"/>
        <v>0</v>
      </c>
      <c r="MO59" s="110">
        <f t="shared" si="486"/>
        <v>0</v>
      </c>
      <c r="MP59" s="110">
        <f t="shared" si="487"/>
        <v>0</v>
      </c>
      <c r="MQ59" s="110">
        <f t="shared" si="488"/>
        <v>0</v>
      </c>
      <c r="MR59" s="110">
        <f t="shared" si="489"/>
        <v>0</v>
      </c>
      <c r="MS59" s="110">
        <f t="shared" si="490"/>
        <v>0</v>
      </c>
      <c r="MT59" s="110">
        <f t="shared" si="491"/>
        <v>0</v>
      </c>
      <c r="MV59" s="114">
        <v>278.5</v>
      </c>
      <c r="MW59" s="114">
        <v>0</v>
      </c>
      <c r="MX59" s="114">
        <v>9.410000000000025</v>
      </c>
      <c r="MY59" s="114">
        <v>0</v>
      </c>
      <c r="MZ59" s="114">
        <v>0</v>
      </c>
      <c r="NB59" s="115">
        <v>38</v>
      </c>
      <c r="NC59" s="115" t="str">
        <v>N/A</v>
      </c>
      <c r="ND59" s="115">
        <v>27</v>
      </c>
      <c r="NE59" s="115" t="str">
        <v>N/A</v>
      </c>
      <c r="NF59" s="115" t="str">
        <v>N/A</v>
      </c>
    </row>
    <row r="60" spans="2:370" ht="13.5" x14ac:dyDescent="0.25">
      <c r="B60" s="8">
        <f t="shared" si="252"/>
        <v>57</v>
      </c>
      <c r="C60" s="7">
        <v>109.3</v>
      </c>
      <c r="D60" s="7">
        <v>109.3</v>
      </c>
      <c r="E60" s="7">
        <v>109</v>
      </c>
      <c r="F60" s="7">
        <v>109</v>
      </c>
      <c r="G60" s="7">
        <v>109</v>
      </c>
      <c r="H60" s="7">
        <v>109</v>
      </c>
      <c r="I60" s="7">
        <v>109</v>
      </c>
      <c r="J60" s="7">
        <v>109</v>
      </c>
      <c r="K60" s="7">
        <v>0</v>
      </c>
      <c r="L60" s="7">
        <v>0</v>
      </c>
      <c r="M60" s="7">
        <v>0</v>
      </c>
      <c r="N60" s="7">
        <v>0</v>
      </c>
      <c r="O60" s="7">
        <v>0</v>
      </c>
      <c r="P60" s="7">
        <v>0</v>
      </c>
      <c r="Q60" s="7">
        <v>0</v>
      </c>
      <c r="R60" s="7">
        <v>0</v>
      </c>
      <c r="S60" s="7">
        <v>0</v>
      </c>
      <c r="T60" s="7">
        <v>0</v>
      </c>
      <c r="U60" s="7">
        <v>0</v>
      </c>
      <c r="V60" s="7">
        <v>0</v>
      </c>
      <c r="W60" s="7">
        <v>0</v>
      </c>
      <c r="X60" s="7">
        <v>0</v>
      </c>
      <c r="Y60" s="7">
        <v>0</v>
      </c>
      <c r="Z60" s="7">
        <v>0</v>
      </c>
      <c r="AA60" s="7">
        <v>0</v>
      </c>
      <c r="AB60" s="7">
        <v>0</v>
      </c>
      <c r="AC60" s="7">
        <v>0</v>
      </c>
      <c r="AD60" s="7">
        <v>0</v>
      </c>
      <c r="AE60" s="7">
        <v>0</v>
      </c>
      <c r="AF60" s="7">
        <v>0</v>
      </c>
      <c r="AG60" s="7">
        <v>0</v>
      </c>
      <c r="AH60" s="7">
        <v>0</v>
      </c>
      <c r="AI60" s="7">
        <v>0</v>
      </c>
      <c r="AJ60" s="7">
        <v>0</v>
      </c>
      <c r="AK60" s="7">
        <v>0</v>
      </c>
      <c r="AL60" s="7">
        <v>0</v>
      </c>
      <c r="AM60" s="7">
        <v>0</v>
      </c>
      <c r="AN60" s="27">
        <v>57</v>
      </c>
      <c r="AP60" s="111"/>
      <c r="AQ60" s="110">
        <f t="shared" si="253"/>
        <v>-0.29999999999999716</v>
      </c>
      <c r="AR60" s="110">
        <f t="shared" si="254"/>
        <v>0</v>
      </c>
      <c r="AS60" s="110">
        <f t="shared" si="255"/>
        <v>-109</v>
      </c>
      <c r="AT60" s="110">
        <f t="shared" si="256"/>
        <v>0</v>
      </c>
      <c r="AU60" s="110">
        <f t="shared" si="257"/>
        <v>0</v>
      </c>
      <c r="AV60" s="110">
        <f t="shared" si="258"/>
        <v>0</v>
      </c>
      <c r="AW60" s="110">
        <f t="shared" si="259"/>
        <v>0</v>
      </c>
      <c r="AX60" s="110">
        <f t="shared" si="260"/>
        <v>0</v>
      </c>
      <c r="AY60" s="110">
        <f t="shared" si="261"/>
        <v>0</v>
      </c>
      <c r="AZ60" s="110">
        <f t="shared" si="262"/>
        <v>0</v>
      </c>
      <c r="BA60" s="110">
        <f t="shared" si="263"/>
        <v>0</v>
      </c>
      <c r="BB60" s="110">
        <f t="shared" si="264"/>
        <v>0</v>
      </c>
      <c r="BD60" s="109" cm="1">
        <f t="array" ref="BD60">+IFERROR(INDEX($C$3:$AM$3,MATCH(TRUE,INDEX($C60:$AM60&lt;&gt;0,0),0)),"N/A")</f>
        <v>44926</v>
      </c>
      <c r="BE60" s="112"/>
      <c r="BF60" s="1" t="str" cm="1">
        <f t="array" ref="BF60">+_xlfn.IFS(BT60&lt;&gt;0,BT$2,CH60&lt;&gt;0,CH$2,CV60&lt;&gt;0,CV$2,DJ60&lt;&gt;0,DJ$2,TRUE,"")</f>
        <v>Downsell</v>
      </c>
      <c r="BG60" s="1" t="str" cm="1">
        <f t="array" ref="BG60">+_xlfn.IFS(BU60&lt;&gt;0,BU$2,CI60&lt;&gt;0,CI$2,CW60&lt;&gt;0,CW$2,DK60&lt;&gt;0,DK$2,TRUE,"")</f>
        <v/>
      </c>
      <c r="BH60" s="1" t="str" cm="1">
        <f t="array" ref="BH60">+_xlfn.IFS(BV60&lt;&gt;0,BV$2,CJ60&lt;&gt;0,CJ$2,CX60&lt;&gt;0,CX$2,DL60&lt;&gt;0,DL$2,TRUE,"")</f>
        <v>Churn</v>
      </c>
      <c r="BI60" s="1" t="str" cm="1">
        <f t="array" ref="BI60">+_xlfn.IFS(BW60&lt;&gt;0,BW$2,CK60&lt;&gt;0,CK$2,CY60&lt;&gt;0,CY$2,DM60&lt;&gt;0,DM$2,TRUE,"")</f>
        <v/>
      </c>
      <c r="BJ60" s="1" t="str" cm="1">
        <f t="array" ref="BJ60">+_xlfn.IFS(BX60&lt;&gt;0,BX$2,CL60&lt;&gt;0,CL$2,CZ60&lt;&gt;0,CZ$2,DN60&lt;&gt;0,DN$2,TRUE,"")</f>
        <v/>
      </c>
      <c r="BK60" s="1" t="str" cm="1">
        <f t="array" ref="BK60">+_xlfn.IFS(BY60&lt;&gt;0,BY$2,CM60&lt;&gt;0,CM$2,DA60&lt;&gt;0,DA$2,DO60&lt;&gt;0,DO$2,TRUE,"")</f>
        <v/>
      </c>
      <c r="BL60" s="1" t="str" cm="1">
        <f t="array" ref="BL60">+_xlfn.IFS(BZ60&lt;&gt;0,BZ$2,CN60&lt;&gt;0,CN$2,DB60&lt;&gt;0,DB$2,DP60&lt;&gt;0,DP$2,TRUE,"")</f>
        <v/>
      </c>
      <c r="BM60" s="1" t="str" cm="1">
        <f t="array" ref="BM60">+_xlfn.IFS(CA60&lt;&gt;0,CA$2,CO60&lt;&gt;0,CO$2,DC60&lt;&gt;0,DC$2,DQ60&lt;&gt;0,DQ$2,TRUE,"")</f>
        <v/>
      </c>
      <c r="BN60" s="1" t="str" cm="1">
        <f t="array" ref="BN60">+_xlfn.IFS(CB60&lt;&gt;0,CB$2,CP60&lt;&gt;0,CP$2,DD60&lt;&gt;0,DD$2,DR60&lt;&gt;0,DR$2,TRUE,"")</f>
        <v/>
      </c>
      <c r="BO60" s="1" t="str" cm="1">
        <f t="array" ref="BO60">+_xlfn.IFS(CC60&lt;&gt;0,CC$2,CQ60&lt;&gt;0,CQ$2,DE60&lt;&gt;0,DE$2,DS60&lt;&gt;0,DS$2,TRUE,"")</f>
        <v/>
      </c>
      <c r="BP60" s="1" t="str" cm="1">
        <f t="array" ref="BP60">+_xlfn.IFS(CD60&lt;&gt;0,CD$2,CR60&lt;&gt;0,CR$2,DF60&lt;&gt;0,DF$2,DT60&lt;&gt;0,DT$2,TRUE,"")</f>
        <v/>
      </c>
      <c r="BQ60" s="1" t="str" cm="1">
        <f t="array" ref="BQ60">+_xlfn.IFS(CE60&lt;&gt;0,CE$2,CS60&lt;&gt;0,CS$2,DG60&lt;&gt;0,DG$2,DU60&lt;&gt;0,DU$2,TRUE,"")</f>
        <v/>
      </c>
      <c r="BS60" s="111"/>
      <c r="BT60" s="110">
        <f t="shared" si="265"/>
        <v>0</v>
      </c>
      <c r="BU60" s="110">
        <f t="shared" si="266"/>
        <v>0</v>
      </c>
      <c r="BV60" s="110">
        <f t="shared" si="267"/>
        <v>0</v>
      </c>
      <c r="BW60" s="110">
        <f t="shared" si="268"/>
        <v>0</v>
      </c>
      <c r="BX60" s="110">
        <f t="shared" si="269"/>
        <v>0</v>
      </c>
      <c r="BY60" s="110">
        <f t="shared" si="270"/>
        <v>0</v>
      </c>
      <c r="BZ60" s="110">
        <f t="shared" si="271"/>
        <v>0</v>
      </c>
      <c r="CA60" s="110">
        <f t="shared" si="272"/>
        <v>0</v>
      </c>
      <c r="CB60" s="110">
        <f t="shared" si="273"/>
        <v>0</v>
      </c>
      <c r="CC60" s="110">
        <f t="shared" si="274"/>
        <v>0</v>
      </c>
      <c r="CD60" s="110">
        <f t="shared" si="275"/>
        <v>0</v>
      </c>
      <c r="CE60" s="110">
        <f t="shared" si="276"/>
        <v>0</v>
      </c>
      <c r="CG60" s="111"/>
      <c r="CH60" s="110">
        <f t="shared" si="277"/>
        <v>0</v>
      </c>
      <c r="CI60" s="110">
        <f t="shared" si="278"/>
        <v>0</v>
      </c>
      <c r="CJ60" s="110">
        <f t="shared" si="279"/>
        <v>-109</v>
      </c>
      <c r="CK60" s="110">
        <f t="shared" si="280"/>
        <v>0</v>
      </c>
      <c r="CL60" s="110">
        <f t="shared" si="281"/>
        <v>0</v>
      </c>
      <c r="CM60" s="110">
        <f t="shared" si="282"/>
        <v>0</v>
      </c>
      <c r="CN60" s="110">
        <f t="shared" si="283"/>
        <v>0</v>
      </c>
      <c r="CO60" s="110">
        <f t="shared" si="284"/>
        <v>0</v>
      </c>
      <c r="CP60" s="110">
        <f t="shared" si="285"/>
        <v>0</v>
      </c>
      <c r="CQ60" s="110">
        <f t="shared" si="286"/>
        <v>0</v>
      </c>
      <c r="CR60" s="110">
        <f t="shared" si="287"/>
        <v>0</v>
      </c>
      <c r="CS60" s="110">
        <f t="shared" si="288"/>
        <v>0</v>
      </c>
      <c r="CU60" s="111"/>
      <c r="CV60" s="110">
        <f t="shared" si="289"/>
        <v>-0.29999999999999716</v>
      </c>
      <c r="CW60" s="110">
        <f t="shared" si="290"/>
        <v>0</v>
      </c>
      <c r="CX60" s="110">
        <f t="shared" si="291"/>
        <v>0</v>
      </c>
      <c r="CY60" s="110">
        <f t="shared" si="292"/>
        <v>0</v>
      </c>
      <c r="CZ60" s="110">
        <f t="shared" si="293"/>
        <v>0</v>
      </c>
      <c r="DA60" s="110">
        <f t="shared" si="294"/>
        <v>0</v>
      </c>
      <c r="DB60" s="110">
        <f t="shared" si="295"/>
        <v>0</v>
      </c>
      <c r="DC60" s="110">
        <f t="shared" si="296"/>
        <v>0</v>
      </c>
      <c r="DD60" s="110">
        <f t="shared" si="297"/>
        <v>0</v>
      </c>
      <c r="DE60" s="110">
        <f t="shared" si="298"/>
        <v>0</v>
      </c>
      <c r="DF60" s="110">
        <f t="shared" si="299"/>
        <v>0</v>
      </c>
      <c r="DG60" s="110">
        <f t="shared" si="300"/>
        <v>0</v>
      </c>
      <c r="DI60" s="111"/>
      <c r="DJ60" s="110">
        <f t="shared" si="301"/>
        <v>0</v>
      </c>
      <c r="DK60" s="110">
        <f t="shared" si="302"/>
        <v>0</v>
      </c>
      <c r="DL60" s="110">
        <f t="shared" si="303"/>
        <v>0</v>
      </c>
      <c r="DM60" s="110">
        <f t="shared" si="304"/>
        <v>0</v>
      </c>
      <c r="DN60" s="110">
        <f t="shared" si="305"/>
        <v>0</v>
      </c>
      <c r="DO60" s="110">
        <f t="shared" si="306"/>
        <v>0</v>
      </c>
      <c r="DP60" s="110">
        <f t="shared" si="307"/>
        <v>0</v>
      </c>
      <c r="DQ60" s="110">
        <f t="shared" si="308"/>
        <v>0</v>
      </c>
      <c r="DR60" s="110">
        <f t="shared" si="309"/>
        <v>0</v>
      </c>
      <c r="DS60" s="110">
        <f t="shared" si="310"/>
        <v>0</v>
      </c>
      <c r="DT60" s="110">
        <f t="shared" si="311"/>
        <v>0</v>
      </c>
      <c r="DU60" s="110">
        <f t="shared" si="312"/>
        <v>0</v>
      </c>
      <c r="DW60" s="111"/>
      <c r="DX60" s="110">
        <f t="shared" si="313"/>
        <v>0</v>
      </c>
      <c r="DY60" s="110">
        <f t="shared" si="314"/>
        <v>0</v>
      </c>
      <c r="DZ60" s="110">
        <f t="shared" si="315"/>
        <v>0</v>
      </c>
      <c r="EA60" s="110">
        <f t="shared" si="316"/>
        <v>0</v>
      </c>
      <c r="EB60" s="110">
        <f t="shared" si="317"/>
        <v>0</v>
      </c>
      <c r="EC60" s="110">
        <f t="shared" si="318"/>
        <v>0</v>
      </c>
      <c r="ED60" s="110">
        <f t="shared" si="319"/>
        <v>0</v>
      </c>
      <c r="EE60" s="110">
        <f t="shared" si="320"/>
        <v>0</v>
      </c>
      <c r="EF60" s="110">
        <f t="shared" si="321"/>
        <v>0</v>
      </c>
      <c r="EG60" s="110">
        <f t="shared" si="322"/>
        <v>0</v>
      </c>
      <c r="EH60" s="110">
        <f t="shared" si="323"/>
        <v>0</v>
      </c>
      <c r="EI60" s="110">
        <f t="shared" si="324"/>
        <v>0</v>
      </c>
      <c r="EK60" s="111"/>
      <c r="EL60" s="110">
        <f t="shared" si="325"/>
        <v>-109.3</v>
      </c>
      <c r="EM60" s="110">
        <f t="shared" si="326"/>
        <v>0</v>
      </c>
      <c r="EN60" s="110">
        <f t="shared" si="327"/>
        <v>0</v>
      </c>
      <c r="EP60" s="109" cm="1">
        <f t="array" ref="EP60">+IFERROR(INDEX($C$3:$AM$3,MATCH(TRUE,INDEX($C60:$AM60&lt;&gt;0,0),0)),"N/A")</f>
        <v>44926</v>
      </c>
      <c r="EQ60" s="112"/>
      <c r="ER60" s="1" t="str" cm="1">
        <f t="array" ref="ER60">+_xlfn.IFS(EW60&lt;&gt;0,EW$2,FB60&lt;&gt;0,FB$2,FG60&lt;&gt;0,FG$2,FL60&lt;&gt;0,FL$2,TRUE,"")</f>
        <v>Churn</v>
      </c>
      <c r="ES60" s="1" t="str" cm="1">
        <f t="array" ref="ES60">+_xlfn.IFS(EX60&lt;&gt;0,EX$2,FC60&lt;&gt;0,FC$2,FH60&lt;&gt;0,FH$2,FM60&lt;&gt;0,FM$2,TRUE,"")</f>
        <v/>
      </c>
      <c r="ET60" s="1" t="str" cm="1">
        <f t="array" ref="ET60">+_xlfn.IFS(EY60&lt;&gt;0,EY$2,FD60&lt;&gt;0,FD$2,FI60&lt;&gt;0,FI$2,FN60&lt;&gt;0,FN$2,TRUE,"")</f>
        <v/>
      </c>
      <c r="EV60" s="111"/>
      <c r="EW60" s="110">
        <f t="shared" si="328"/>
        <v>0</v>
      </c>
      <c r="EX60" s="110">
        <f t="shared" si="329"/>
        <v>0</v>
      </c>
      <c r="EY60" s="110">
        <f t="shared" si="330"/>
        <v>0</v>
      </c>
      <c r="FA60" s="111"/>
      <c r="FB60" s="110">
        <f t="shared" si="331"/>
        <v>-109.3</v>
      </c>
      <c r="FC60" s="110">
        <f t="shared" si="332"/>
        <v>0</v>
      </c>
      <c r="FD60" s="110">
        <f t="shared" si="333"/>
        <v>0</v>
      </c>
      <c r="FF60" s="111"/>
      <c r="FG60" s="110">
        <f t="shared" si="334"/>
        <v>0</v>
      </c>
      <c r="FH60" s="110">
        <f t="shared" si="335"/>
        <v>0</v>
      </c>
      <c r="FI60" s="110">
        <f t="shared" si="336"/>
        <v>0</v>
      </c>
      <c r="FK60" s="111"/>
      <c r="FL60" s="110">
        <f t="shared" si="337"/>
        <v>0</v>
      </c>
      <c r="FM60" s="110">
        <f t="shared" si="338"/>
        <v>0</v>
      </c>
      <c r="FN60" s="110">
        <f t="shared" si="339"/>
        <v>0</v>
      </c>
      <c r="FP60" s="111"/>
      <c r="FQ60" s="110">
        <f t="shared" si="340"/>
        <v>0</v>
      </c>
      <c r="FR60" s="110">
        <f t="shared" si="341"/>
        <v>0</v>
      </c>
      <c r="FS60" s="110">
        <f t="shared" si="342"/>
        <v>0</v>
      </c>
      <c r="FU60" s="111">
        <f t="shared" si="343"/>
        <v>-109.3</v>
      </c>
      <c r="FV60" s="110">
        <f t="shared" si="344"/>
        <v>-109.3</v>
      </c>
      <c r="FW60" s="110">
        <f t="shared" si="345"/>
        <v>-109</v>
      </c>
      <c r="FX60" s="110">
        <f t="shared" si="346"/>
        <v>-109</v>
      </c>
      <c r="FY60" s="110">
        <f t="shared" si="347"/>
        <v>-109</v>
      </c>
      <c r="FZ60" s="110">
        <f t="shared" si="348"/>
        <v>-109</v>
      </c>
      <c r="GA60" s="110">
        <f t="shared" si="349"/>
        <v>-109</v>
      </c>
      <c r="GB60" s="110">
        <f t="shared" si="350"/>
        <v>-109</v>
      </c>
      <c r="GC60" s="110">
        <f t="shared" si="351"/>
        <v>0</v>
      </c>
      <c r="GD60" s="110">
        <f t="shared" si="352"/>
        <v>0</v>
      </c>
      <c r="GE60" s="110">
        <f t="shared" si="353"/>
        <v>0</v>
      </c>
      <c r="GF60" s="110">
        <f t="shared" si="354"/>
        <v>0</v>
      </c>
      <c r="GG60" s="110">
        <f t="shared" si="355"/>
        <v>0</v>
      </c>
      <c r="GH60" s="110">
        <f t="shared" si="356"/>
        <v>0</v>
      </c>
      <c r="GI60" s="110">
        <f t="shared" si="357"/>
        <v>0</v>
      </c>
      <c r="GJ60" s="110">
        <f t="shared" si="358"/>
        <v>0</v>
      </c>
      <c r="GK60" s="110">
        <f t="shared" si="359"/>
        <v>0</v>
      </c>
      <c r="GL60" s="110">
        <f t="shared" si="360"/>
        <v>0</v>
      </c>
      <c r="GM60" s="110">
        <f t="shared" si="361"/>
        <v>0</v>
      </c>
      <c r="GN60" s="110">
        <f t="shared" si="362"/>
        <v>0</v>
      </c>
      <c r="GO60" s="110">
        <f t="shared" si="363"/>
        <v>0</v>
      </c>
      <c r="GP60" s="110">
        <f t="shared" si="364"/>
        <v>0</v>
      </c>
      <c r="GQ60" s="110">
        <f t="shared" si="365"/>
        <v>0</v>
      </c>
      <c r="GR60" s="110">
        <f t="shared" si="366"/>
        <v>0</v>
      </c>
      <c r="GS60" s="110">
        <f t="shared" si="367"/>
        <v>0</v>
      </c>
      <c r="GU60" s="109" cm="1">
        <f t="array" ref="GU60">+IFERROR(INDEX($C$3:$AM$3,MATCH(TRUE,INDEX($C60:$AM60&lt;&gt;0,0),0)),"N/A")</f>
        <v>44926</v>
      </c>
      <c r="GV60" s="112" t="str" cm="1">
        <f t="array" ref="GV60">+_xlfn.IFS(HV60&lt;&gt;0,HV$2,IV60&lt;&gt;0,IV$2,JV60&lt;&gt;0,JV$2,KV60&lt;&gt;0,KV$2,TRUE,"")</f>
        <v>Churn</v>
      </c>
      <c r="GW60" s="1" t="str" cm="1">
        <f t="array" ref="GW60">+_xlfn.IFS(HW60&lt;&gt;0,HW$2,IW60&lt;&gt;0,IW$2,JW60&lt;&gt;0,JW$2,KW60&lt;&gt;0,KW$2,TRUE,"")</f>
        <v>Churn</v>
      </c>
      <c r="GX60" s="1" t="str" cm="1">
        <f t="array" ref="GX60">+_xlfn.IFS(HX60&lt;&gt;0,HX$2,IX60&lt;&gt;0,IX$2,JX60&lt;&gt;0,JX$2,KX60&lt;&gt;0,KX$2,TRUE,"")</f>
        <v>Churn</v>
      </c>
      <c r="GY60" s="1" t="str" cm="1">
        <f t="array" ref="GY60">+_xlfn.IFS(HY60&lt;&gt;0,HY$2,IY60&lt;&gt;0,IY$2,JY60&lt;&gt;0,JY$2,KY60&lt;&gt;0,KY$2,TRUE,"")</f>
        <v>Churn</v>
      </c>
      <c r="GZ60" s="1" t="str" cm="1">
        <f t="array" ref="GZ60">+_xlfn.IFS(HZ60&lt;&gt;0,HZ$2,IZ60&lt;&gt;0,IZ$2,JZ60&lt;&gt;0,JZ$2,KZ60&lt;&gt;0,KZ$2,TRUE,"")</f>
        <v>Churn</v>
      </c>
      <c r="HA60" s="1" t="str" cm="1">
        <f t="array" ref="HA60">+_xlfn.IFS(IA60&lt;&gt;0,IA$2,JA60&lt;&gt;0,JA$2,KA60&lt;&gt;0,KA$2,LA60&lt;&gt;0,LA$2,TRUE,"")</f>
        <v>Churn</v>
      </c>
      <c r="HB60" s="1" t="str" cm="1">
        <f t="array" ref="HB60">+_xlfn.IFS(IB60&lt;&gt;0,IB$2,JB60&lt;&gt;0,JB$2,KB60&lt;&gt;0,KB$2,LB60&lt;&gt;0,LB$2,TRUE,"")</f>
        <v>Churn</v>
      </c>
      <c r="HC60" s="1" t="str" cm="1">
        <f t="array" ref="HC60">+_xlfn.IFS(IC60&lt;&gt;0,IC$2,JC60&lt;&gt;0,JC$2,KC60&lt;&gt;0,KC$2,LC60&lt;&gt;0,LC$2,TRUE,"")</f>
        <v>Churn</v>
      </c>
      <c r="HD60" s="1" t="str" cm="1">
        <f t="array" ref="HD60">+_xlfn.IFS(ID60&lt;&gt;0,ID$2,JD60&lt;&gt;0,JD$2,KD60&lt;&gt;0,KD$2,LD60&lt;&gt;0,LD$2,TRUE,"")</f>
        <v/>
      </c>
      <c r="HE60" s="1" t="str" cm="1">
        <f t="array" ref="HE60">+_xlfn.IFS(IE60&lt;&gt;0,IE$2,JE60&lt;&gt;0,JE$2,KE60&lt;&gt;0,KE$2,LE60&lt;&gt;0,LE$2,TRUE,"")</f>
        <v/>
      </c>
      <c r="HF60" s="1" t="str" cm="1">
        <f t="array" ref="HF60">+_xlfn.IFS(IF60&lt;&gt;0,IF$2,JF60&lt;&gt;0,JF$2,KF60&lt;&gt;0,KF$2,LF60&lt;&gt;0,LF$2,TRUE,"")</f>
        <v/>
      </c>
      <c r="HG60" s="1" t="str" cm="1">
        <f t="array" ref="HG60">+_xlfn.IFS(IG60&lt;&gt;0,IG$2,JG60&lt;&gt;0,JG$2,KG60&lt;&gt;0,KG$2,LG60&lt;&gt;0,LG$2,TRUE,"")</f>
        <v/>
      </c>
      <c r="HH60" s="1" t="str" cm="1">
        <f t="array" ref="HH60">+_xlfn.IFS(IH60&lt;&gt;0,IH$2,JH60&lt;&gt;0,JH$2,KH60&lt;&gt;0,KH$2,LH60&lt;&gt;0,LH$2,TRUE,"")</f>
        <v/>
      </c>
      <c r="HI60" s="1" t="str" cm="1">
        <f t="array" ref="HI60">+_xlfn.IFS(II60&lt;&gt;0,II$2,JI60&lt;&gt;0,JI$2,KI60&lt;&gt;0,KI$2,LI60&lt;&gt;0,LI$2,TRUE,"")</f>
        <v/>
      </c>
      <c r="HJ60" s="1" t="str" cm="1">
        <f t="array" ref="HJ60">+_xlfn.IFS(IJ60&lt;&gt;0,IJ$2,JJ60&lt;&gt;0,JJ$2,KJ60&lt;&gt;0,KJ$2,LJ60&lt;&gt;0,LJ$2,TRUE,"")</f>
        <v/>
      </c>
      <c r="HK60" s="1" t="str" cm="1">
        <f t="array" ref="HK60">+_xlfn.IFS(IK60&lt;&gt;0,IK$2,JK60&lt;&gt;0,JK$2,KK60&lt;&gt;0,KK$2,LK60&lt;&gt;0,LK$2,TRUE,"")</f>
        <v/>
      </c>
      <c r="HL60" s="1" t="str" cm="1">
        <f t="array" ref="HL60">+_xlfn.IFS(IL60&lt;&gt;0,IL$2,JL60&lt;&gt;0,JL$2,KL60&lt;&gt;0,KL$2,LL60&lt;&gt;0,LL$2,TRUE,"")</f>
        <v/>
      </c>
      <c r="HM60" s="1" t="str" cm="1">
        <f t="array" ref="HM60">+_xlfn.IFS(IM60&lt;&gt;0,IM$2,JM60&lt;&gt;0,JM$2,KM60&lt;&gt;0,KM$2,LM60&lt;&gt;0,LM$2,TRUE,"")</f>
        <v/>
      </c>
      <c r="HN60" s="1" t="str" cm="1">
        <f t="array" ref="HN60">+_xlfn.IFS(IN60&lt;&gt;0,IN$2,JN60&lt;&gt;0,JN$2,KN60&lt;&gt;0,KN$2,LN60&lt;&gt;0,LN$2,TRUE,"")</f>
        <v/>
      </c>
      <c r="HO60" s="1" t="str" cm="1">
        <f t="array" ref="HO60">+_xlfn.IFS(IO60&lt;&gt;0,IO$2,JO60&lt;&gt;0,JO$2,KO60&lt;&gt;0,KO$2,LO60&lt;&gt;0,LO$2,TRUE,"")</f>
        <v/>
      </c>
      <c r="HP60" s="1" t="str" cm="1">
        <f t="array" ref="HP60">+_xlfn.IFS(IP60&lt;&gt;0,IP$2,JP60&lt;&gt;0,JP$2,KP60&lt;&gt;0,KP$2,LP60&lt;&gt;0,LP$2,TRUE,"")</f>
        <v/>
      </c>
      <c r="HQ60" s="1" t="str" cm="1">
        <f t="array" ref="HQ60">+_xlfn.IFS(IQ60&lt;&gt;0,IQ$2,JQ60&lt;&gt;0,JQ$2,KQ60&lt;&gt;0,KQ$2,LQ60&lt;&gt;0,LQ$2,TRUE,"")</f>
        <v/>
      </c>
      <c r="HR60" s="1" t="str" cm="1">
        <f t="array" ref="HR60">+_xlfn.IFS(IR60&lt;&gt;0,IR$2,JR60&lt;&gt;0,JR$2,KR60&lt;&gt;0,KR$2,LR60&lt;&gt;0,LR$2,TRUE,"")</f>
        <v/>
      </c>
      <c r="HS60" s="1" t="str" cm="1">
        <f t="array" ref="HS60">+_xlfn.IFS(IS60&lt;&gt;0,IS$2,JS60&lt;&gt;0,JS$2,KS60&lt;&gt;0,KS$2,LS60&lt;&gt;0,LS$2,TRUE,"")</f>
        <v/>
      </c>
      <c r="HT60" s="1" t="str" cm="1">
        <f t="array" ref="HT60">+_xlfn.IFS(IT60&lt;&gt;0,IT$2,JT60&lt;&gt;0,JT$2,KT60&lt;&gt;0,KT$2,LT60&lt;&gt;0,LT$2,TRUE,"")</f>
        <v/>
      </c>
      <c r="HV60" s="111">
        <f t="shared" si="368"/>
        <v>0</v>
      </c>
      <c r="HW60" s="110">
        <f t="shared" si="369"/>
        <v>0</v>
      </c>
      <c r="HX60" s="110">
        <f t="shared" si="370"/>
        <v>0</v>
      </c>
      <c r="HY60" s="110">
        <f t="shared" si="371"/>
        <v>0</v>
      </c>
      <c r="HZ60" s="110">
        <f t="shared" si="372"/>
        <v>0</v>
      </c>
      <c r="IA60" s="110">
        <f t="shared" si="373"/>
        <v>0</v>
      </c>
      <c r="IB60" s="110">
        <f t="shared" si="374"/>
        <v>0</v>
      </c>
      <c r="IC60" s="110">
        <f t="shared" si="375"/>
        <v>0</v>
      </c>
      <c r="ID60" s="110">
        <f t="shared" si="376"/>
        <v>0</v>
      </c>
      <c r="IE60" s="110">
        <f t="shared" si="377"/>
        <v>0</v>
      </c>
      <c r="IF60" s="110">
        <f t="shared" si="378"/>
        <v>0</v>
      </c>
      <c r="IG60" s="110">
        <f t="shared" si="379"/>
        <v>0</v>
      </c>
      <c r="IH60" s="110">
        <f t="shared" si="380"/>
        <v>0</v>
      </c>
      <c r="II60" s="110">
        <f t="shared" si="381"/>
        <v>0</v>
      </c>
      <c r="IJ60" s="110">
        <f t="shared" si="382"/>
        <v>0</v>
      </c>
      <c r="IK60" s="110">
        <f t="shared" si="383"/>
        <v>0</v>
      </c>
      <c r="IL60" s="110">
        <f t="shared" si="384"/>
        <v>0</v>
      </c>
      <c r="IM60" s="110">
        <f t="shared" si="385"/>
        <v>0</v>
      </c>
      <c r="IN60" s="110">
        <f t="shared" si="386"/>
        <v>0</v>
      </c>
      <c r="IO60" s="110">
        <f t="shared" si="387"/>
        <v>0</v>
      </c>
      <c r="IP60" s="110">
        <f t="shared" si="388"/>
        <v>0</v>
      </c>
      <c r="IQ60" s="110">
        <f t="shared" si="389"/>
        <v>0</v>
      </c>
      <c r="IR60" s="110">
        <f t="shared" si="390"/>
        <v>0</v>
      </c>
      <c r="IS60" s="110">
        <f t="shared" si="391"/>
        <v>0</v>
      </c>
      <c r="IT60" s="110">
        <f t="shared" si="392"/>
        <v>0</v>
      </c>
      <c r="IV60" s="111">
        <f t="shared" si="393"/>
        <v>-109.3</v>
      </c>
      <c r="IW60" s="110">
        <f t="shared" si="394"/>
        <v>-109.3</v>
      </c>
      <c r="IX60" s="110">
        <f t="shared" si="395"/>
        <v>-109</v>
      </c>
      <c r="IY60" s="110">
        <f t="shared" si="396"/>
        <v>-109</v>
      </c>
      <c r="IZ60" s="110">
        <f t="shared" si="397"/>
        <v>-109</v>
      </c>
      <c r="JA60" s="110">
        <f t="shared" si="398"/>
        <v>-109</v>
      </c>
      <c r="JB60" s="110">
        <f t="shared" si="399"/>
        <v>-109</v>
      </c>
      <c r="JC60" s="110">
        <f t="shared" si="400"/>
        <v>-109</v>
      </c>
      <c r="JD60" s="110">
        <f t="shared" si="401"/>
        <v>0</v>
      </c>
      <c r="JE60" s="110">
        <f t="shared" si="402"/>
        <v>0</v>
      </c>
      <c r="JF60" s="110">
        <f t="shared" si="403"/>
        <v>0</v>
      </c>
      <c r="JG60" s="110">
        <f t="shared" si="404"/>
        <v>0</v>
      </c>
      <c r="JH60" s="110">
        <f t="shared" si="405"/>
        <v>0</v>
      </c>
      <c r="JI60" s="110">
        <f t="shared" si="406"/>
        <v>0</v>
      </c>
      <c r="JJ60" s="110">
        <f t="shared" si="407"/>
        <v>0</v>
      </c>
      <c r="JK60" s="110">
        <f t="shared" si="408"/>
        <v>0</v>
      </c>
      <c r="JL60" s="110">
        <f t="shared" si="409"/>
        <v>0</v>
      </c>
      <c r="JM60" s="110">
        <f t="shared" si="410"/>
        <v>0</v>
      </c>
      <c r="JN60" s="110">
        <f t="shared" si="411"/>
        <v>0</v>
      </c>
      <c r="JO60" s="110">
        <f t="shared" si="412"/>
        <v>0</v>
      </c>
      <c r="JP60" s="110">
        <f t="shared" si="413"/>
        <v>0</v>
      </c>
      <c r="JQ60" s="110">
        <f t="shared" si="414"/>
        <v>0</v>
      </c>
      <c r="JR60" s="110">
        <f t="shared" si="415"/>
        <v>0</v>
      </c>
      <c r="JS60" s="110">
        <f t="shared" si="416"/>
        <v>0</v>
      </c>
      <c r="JT60" s="110">
        <f t="shared" si="417"/>
        <v>0</v>
      </c>
      <c r="JV60" s="111">
        <f t="shared" si="418"/>
        <v>0</v>
      </c>
      <c r="JW60" s="110">
        <f t="shared" si="419"/>
        <v>0</v>
      </c>
      <c r="JX60" s="110">
        <f t="shared" si="420"/>
        <v>0</v>
      </c>
      <c r="JY60" s="110">
        <f t="shared" si="421"/>
        <v>0</v>
      </c>
      <c r="JZ60" s="110">
        <f t="shared" si="422"/>
        <v>0</v>
      </c>
      <c r="KA60" s="110">
        <f t="shared" si="423"/>
        <v>0</v>
      </c>
      <c r="KB60" s="110">
        <f t="shared" si="424"/>
        <v>0</v>
      </c>
      <c r="KC60" s="110">
        <f t="shared" si="425"/>
        <v>0</v>
      </c>
      <c r="KD60" s="110">
        <f t="shared" si="426"/>
        <v>0</v>
      </c>
      <c r="KE60" s="110">
        <f t="shared" si="427"/>
        <v>0</v>
      </c>
      <c r="KF60" s="110">
        <f t="shared" si="428"/>
        <v>0</v>
      </c>
      <c r="KG60" s="110">
        <f t="shared" si="429"/>
        <v>0</v>
      </c>
      <c r="KH60" s="110">
        <f t="shared" si="430"/>
        <v>0</v>
      </c>
      <c r="KI60" s="110">
        <f t="shared" si="431"/>
        <v>0</v>
      </c>
      <c r="KJ60" s="110">
        <f t="shared" si="432"/>
        <v>0</v>
      </c>
      <c r="KK60" s="110">
        <f t="shared" si="433"/>
        <v>0</v>
      </c>
      <c r="KL60" s="110">
        <f t="shared" si="434"/>
        <v>0</v>
      </c>
      <c r="KM60" s="110">
        <f t="shared" si="435"/>
        <v>0</v>
      </c>
      <c r="KN60" s="110">
        <f t="shared" si="436"/>
        <v>0</v>
      </c>
      <c r="KO60" s="110">
        <f t="shared" si="437"/>
        <v>0</v>
      </c>
      <c r="KP60" s="110">
        <f t="shared" si="438"/>
        <v>0</v>
      </c>
      <c r="KQ60" s="110">
        <f t="shared" si="439"/>
        <v>0</v>
      </c>
      <c r="KR60" s="110">
        <f t="shared" si="440"/>
        <v>0</v>
      </c>
      <c r="KS60" s="110">
        <f t="shared" si="441"/>
        <v>0</v>
      </c>
      <c r="KT60" s="110">
        <f t="shared" si="442"/>
        <v>0</v>
      </c>
      <c r="KV60" s="111">
        <f t="shared" si="443"/>
        <v>0</v>
      </c>
      <c r="KW60" s="110">
        <f t="shared" si="444"/>
        <v>0</v>
      </c>
      <c r="KX60" s="110">
        <f t="shared" si="445"/>
        <v>0</v>
      </c>
      <c r="KY60" s="110">
        <f t="shared" si="446"/>
        <v>0</v>
      </c>
      <c r="KZ60" s="110">
        <f t="shared" si="447"/>
        <v>0</v>
      </c>
      <c r="LA60" s="110">
        <f t="shared" si="448"/>
        <v>0</v>
      </c>
      <c r="LB60" s="110">
        <f t="shared" si="449"/>
        <v>0</v>
      </c>
      <c r="LC60" s="110">
        <f t="shared" si="450"/>
        <v>0</v>
      </c>
      <c r="LD60" s="110">
        <f t="shared" si="451"/>
        <v>0</v>
      </c>
      <c r="LE60" s="110">
        <f t="shared" si="452"/>
        <v>0</v>
      </c>
      <c r="LF60" s="110">
        <f t="shared" si="453"/>
        <v>0</v>
      </c>
      <c r="LG60" s="110">
        <f t="shared" si="454"/>
        <v>0</v>
      </c>
      <c r="LH60" s="110">
        <f t="shared" si="455"/>
        <v>0</v>
      </c>
      <c r="LI60" s="110">
        <f t="shared" si="456"/>
        <v>0</v>
      </c>
      <c r="LJ60" s="110">
        <f t="shared" si="457"/>
        <v>0</v>
      </c>
      <c r="LK60" s="110">
        <f t="shared" si="458"/>
        <v>0</v>
      </c>
      <c r="LL60" s="110">
        <f t="shared" si="459"/>
        <v>0</v>
      </c>
      <c r="LM60" s="110">
        <f t="shared" si="460"/>
        <v>0</v>
      </c>
      <c r="LN60" s="110">
        <f t="shared" si="461"/>
        <v>0</v>
      </c>
      <c r="LO60" s="110">
        <f t="shared" si="462"/>
        <v>0</v>
      </c>
      <c r="LP60" s="110">
        <f t="shared" si="463"/>
        <v>0</v>
      </c>
      <c r="LQ60" s="110">
        <f t="shared" si="464"/>
        <v>0</v>
      </c>
      <c r="LR60" s="110">
        <f t="shared" si="465"/>
        <v>0</v>
      </c>
      <c r="LS60" s="110">
        <f t="shared" si="466"/>
        <v>0</v>
      </c>
      <c r="LT60" s="110">
        <f t="shared" si="467"/>
        <v>0</v>
      </c>
      <c r="LV60" s="111"/>
      <c r="LW60" s="110">
        <f t="shared" si="468"/>
        <v>0</v>
      </c>
      <c r="LX60" s="110">
        <f t="shared" si="469"/>
        <v>0</v>
      </c>
      <c r="LY60" s="110">
        <f t="shared" si="470"/>
        <v>0</v>
      </c>
      <c r="LZ60" s="110">
        <f t="shared" si="471"/>
        <v>0</v>
      </c>
      <c r="MA60" s="110">
        <f t="shared" si="472"/>
        <v>0</v>
      </c>
      <c r="MB60" s="110">
        <f t="shared" si="473"/>
        <v>0</v>
      </c>
      <c r="MC60" s="110">
        <f t="shared" si="474"/>
        <v>0</v>
      </c>
      <c r="MD60" s="110">
        <f t="shared" si="475"/>
        <v>0</v>
      </c>
      <c r="ME60" s="110">
        <f t="shared" si="476"/>
        <v>0</v>
      </c>
      <c r="MF60" s="110">
        <f t="shared" si="477"/>
        <v>0</v>
      </c>
      <c r="MG60" s="110">
        <f t="shared" si="478"/>
        <v>0</v>
      </c>
      <c r="MH60" s="110">
        <f t="shared" si="479"/>
        <v>0</v>
      </c>
      <c r="MI60" s="110">
        <f t="shared" si="480"/>
        <v>0</v>
      </c>
      <c r="MJ60" s="110">
        <f t="shared" si="481"/>
        <v>0</v>
      </c>
      <c r="MK60" s="110">
        <f t="shared" si="482"/>
        <v>0</v>
      </c>
      <c r="ML60" s="110">
        <f t="shared" si="483"/>
        <v>0</v>
      </c>
      <c r="MM60" s="110">
        <f t="shared" si="484"/>
        <v>0</v>
      </c>
      <c r="MN60" s="110">
        <f t="shared" si="485"/>
        <v>0</v>
      </c>
      <c r="MO60" s="110">
        <f t="shared" si="486"/>
        <v>0</v>
      </c>
      <c r="MP60" s="110">
        <f t="shared" si="487"/>
        <v>0</v>
      </c>
      <c r="MQ60" s="110">
        <f t="shared" si="488"/>
        <v>0</v>
      </c>
      <c r="MR60" s="110">
        <f t="shared" si="489"/>
        <v>0</v>
      </c>
      <c r="MS60" s="110">
        <f t="shared" si="490"/>
        <v>0</v>
      </c>
      <c r="MT60" s="110">
        <f t="shared" si="491"/>
        <v>0</v>
      </c>
      <c r="MV60" s="114">
        <v>0</v>
      </c>
      <c r="MW60" s="114">
        <v>0</v>
      </c>
      <c r="MX60" s="114">
        <v>0</v>
      </c>
      <c r="MY60" s="114">
        <v>0</v>
      </c>
      <c r="MZ60" s="114">
        <v>0</v>
      </c>
      <c r="NB60" s="115" t="str">
        <v>N/A</v>
      </c>
      <c r="NC60" s="115" t="str">
        <v>N/A</v>
      </c>
      <c r="ND60" s="115" t="str">
        <v>N/A</v>
      </c>
      <c r="NE60" s="115" t="str">
        <v>N/A</v>
      </c>
      <c r="NF60" s="115" t="str">
        <v>N/A</v>
      </c>
    </row>
    <row r="61" spans="2:370" ht="13.5" x14ac:dyDescent="0.25">
      <c r="B61" s="8">
        <f t="shared" si="252"/>
        <v>58</v>
      </c>
      <c r="C61" s="7">
        <v>120.59</v>
      </c>
      <c r="D61" s="7">
        <v>120.59</v>
      </c>
      <c r="E61" s="7">
        <v>122.15</v>
      </c>
      <c r="F61" s="7">
        <v>118.59</v>
      </c>
      <c r="G61" s="7">
        <v>118.04</v>
      </c>
      <c r="H61" s="7">
        <v>113.34</v>
      </c>
      <c r="I61" s="7">
        <v>115.67</v>
      </c>
      <c r="J61" s="7">
        <v>109</v>
      </c>
      <c r="K61" s="7">
        <v>109</v>
      </c>
      <c r="L61" s="7">
        <v>109</v>
      </c>
      <c r="M61" s="7">
        <v>109</v>
      </c>
      <c r="N61" s="7">
        <v>109</v>
      </c>
      <c r="O61" s="7">
        <v>109</v>
      </c>
      <c r="P61" s="7">
        <v>109</v>
      </c>
      <c r="Q61" s="7">
        <v>109</v>
      </c>
      <c r="R61" s="7">
        <v>109</v>
      </c>
      <c r="S61" s="7">
        <v>109</v>
      </c>
      <c r="T61" s="7">
        <v>109</v>
      </c>
      <c r="U61" s="7">
        <v>109</v>
      </c>
      <c r="V61" s="7">
        <v>109</v>
      </c>
      <c r="W61" s="7">
        <v>109</v>
      </c>
      <c r="X61" s="7">
        <v>109</v>
      </c>
      <c r="Y61" s="7">
        <v>109</v>
      </c>
      <c r="Z61" s="7">
        <v>109</v>
      </c>
      <c r="AA61" s="7">
        <v>109</v>
      </c>
      <c r="AB61" s="7">
        <v>109</v>
      </c>
      <c r="AC61" s="7">
        <v>109</v>
      </c>
      <c r="AD61" s="7">
        <v>109</v>
      </c>
      <c r="AE61" s="7">
        <v>109</v>
      </c>
      <c r="AF61" s="7">
        <v>109</v>
      </c>
      <c r="AG61" s="7">
        <v>109</v>
      </c>
      <c r="AH61" s="7">
        <v>109</v>
      </c>
      <c r="AI61" s="7">
        <v>109</v>
      </c>
      <c r="AJ61" s="7">
        <v>109</v>
      </c>
      <c r="AK61" s="7">
        <v>109</v>
      </c>
      <c r="AL61" s="7">
        <v>109</v>
      </c>
      <c r="AM61" s="7">
        <v>109</v>
      </c>
      <c r="AN61" s="27">
        <v>58</v>
      </c>
      <c r="AP61" s="111"/>
      <c r="AQ61" s="110">
        <f t="shared" si="253"/>
        <v>-2</v>
      </c>
      <c r="AR61" s="110">
        <f t="shared" si="254"/>
        <v>-2.9200000000000017</v>
      </c>
      <c r="AS61" s="110">
        <f t="shared" si="255"/>
        <v>-6.6700000000000017</v>
      </c>
      <c r="AT61" s="110">
        <f t="shared" si="256"/>
        <v>0</v>
      </c>
      <c r="AU61" s="110">
        <f t="shared" si="257"/>
        <v>0</v>
      </c>
      <c r="AV61" s="110">
        <f t="shared" si="258"/>
        <v>0</v>
      </c>
      <c r="AW61" s="110">
        <f t="shared" si="259"/>
        <v>0</v>
      </c>
      <c r="AX61" s="110">
        <f t="shared" si="260"/>
        <v>0</v>
      </c>
      <c r="AY61" s="110">
        <f t="shared" si="261"/>
        <v>0</v>
      </c>
      <c r="AZ61" s="110">
        <f t="shared" si="262"/>
        <v>0</v>
      </c>
      <c r="BA61" s="110">
        <f t="shared" si="263"/>
        <v>0</v>
      </c>
      <c r="BB61" s="110">
        <f t="shared" si="264"/>
        <v>0</v>
      </c>
      <c r="BD61" s="109" cm="1">
        <f t="array" ref="BD61">+IFERROR(INDEX($C$3:$AM$3,MATCH(TRUE,INDEX($C61:$AM61&lt;&gt;0,0),0)),"N/A")</f>
        <v>44926</v>
      </c>
      <c r="BE61" s="112"/>
      <c r="BF61" s="1" t="str" cm="1">
        <f t="array" ref="BF61">+_xlfn.IFS(BT61&lt;&gt;0,BT$2,CH61&lt;&gt;0,CH$2,CV61&lt;&gt;0,CV$2,DJ61&lt;&gt;0,DJ$2,TRUE,"")</f>
        <v>Downsell</v>
      </c>
      <c r="BG61" s="1" t="str" cm="1">
        <f t="array" ref="BG61">+_xlfn.IFS(BU61&lt;&gt;0,BU$2,CI61&lt;&gt;0,CI$2,CW61&lt;&gt;0,CW$2,DK61&lt;&gt;0,DK$2,TRUE,"")</f>
        <v>Downsell</v>
      </c>
      <c r="BH61" s="1" t="str" cm="1">
        <f t="array" ref="BH61">+_xlfn.IFS(BV61&lt;&gt;0,BV$2,CJ61&lt;&gt;0,CJ$2,CX61&lt;&gt;0,CX$2,DL61&lt;&gt;0,DL$2,TRUE,"")</f>
        <v>Downsell</v>
      </c>
      <c r="BI61" s="1" t="str" cm="1">
        <f t="array" ref="BI61">+_xlfn.IFS(BW61&lt;&gt;0,BW$2,CK61&lt;&gt;0,CK$2,CY61&lt;&gt;0,CY$2,DM61&lt;&gt;0,DM$2,TRUE,"")</f>
        <v/>
      </c>
      <c r="BJ61" s="1" t="str" cm="1">
        <f t="array" ref="BJ61">+_xlfn.IFS(BX61&lt;&gt;0,BX$2,CL61&lt;&gt;0,CL$2,CZ61&lt;&gt;0,CZ$2,DN61&lt;&gt;0,DN$2,TRUE,"")</f>
        <v/>
      </c>
      <c r="BK61" s="1" t="str" cm="1">
        <f t="array" ref="BK61">+_xlfn.IFS(BY61&lt;&gt;0,BY$2,CM61&lt;&gt;0,CM$2,DA61&lt;&gt;0,DA$2,DO61&lt;&gt;0,DO$2,TRUE,"")</f>
        <v/>
      </c>
      <c r="BL61" s="1" t="str" cm="1">
        <f t="array" ref="BL61">+_xlfn.IFS(BZ61&lt;&gt;0,BZ$2,CN61&lt;&gt;0,CN$2,DB61&lt;&gt;0,DB$2,DP61&lt;&gt;0,DP$2,TRUE,"")</f>
        <v/>
      </c>
      <c r="BM61" s="1" t="str" cm="1">
        <f t="array" ref="BM61">+_xlfn.IFS(CA61&lt;&gt;0,CA$2,CO61&lt;&gt;0,CO$2,DC61&lt;&gt;0,DC$2,DQ61&lt;&gt;0,DQ$2,TRUE,"")</f>
        <v/>
      </c>
      <c r="BN61" s="1" t="str" cm="1">
        <f t="array" ref="BN61">+_xlfn.IFS(CB61&lt;&gt;0,CB$2,CP61&lt;&gt;0,CP$2,DD61&lt;&gt;0,DD$2,DR61&lt;&gt;0,DR$2,TRUE,"")</f>
        <v/>
      </c>
      <c r="BO61" s="1" t="str" cm="1">
        <f t="array" ref="BO61">+_xlfn.IFS(CC61&lt;&gt;0,CC$2,CQ61&lt;&gt;0,CQ$2,DE61&lt;&gt;0,DE$2,DS61&lt;&gt;0,DS$2,TRUE,"")</f>
        <v/>
      </c>
      <c r="BP61" s="1" t="str" cm="1">
        <f t="array" ref="BP61">+_xlfn.IFS(CD61&lt;&gt;0,CD$2,CR61&lt;&gt;0,CR$2,DF61&lt;&gt;0,DF$2,DT61&lt;&gt;0,DT$2,TRUE,"")</f>
        <v/>
      </c>
      <c r="BQ61" s="1" t="str" cm="1">
        <f t="array" ref="BQ61">+_xlfn.IFS(CE61&lt;&gt;0,CE$2,CS61&lt;&gt;0,CS$2,DG61&lt;&gt;0,DG$2,DU61&lt;&gt;0,DU$2,TRUE,"")</f>
        <v/>
      </c>
      <c r="BS61" s="111"/>
      <c r="BT61" s="110">
        <f t="shared" si="265"/>
        <v>0</v>
      </c>
      <c r="BU61" s="110">
        <f t="shared" si="266"/>
        <v>0</v>
      </c>
      <c r="BV61" s="110">
        <f t="shared" si="267"/>
        <v>0</v>
      </c>
      <c r="BW61" s="110">
        <f t="shared" si="268"/>
        <v>0</v>
      </c>
      <c r="BX61" s="110">
        <f t="shared" si="269"/>
        <v>0</v>
      </c>
      <c r="BY61" s="110">
        <f t="shared" si="270"/>
        <v>0</v>
      </c>
      <c r="BZ61" s="110">
        <f t="shared" si="271"/>
        <v>0</v>
      </c>
      <c r="CA61" s="110">
        <f t="shared" si="272"/>
        <v>0</v>
      </c>
      <c r="CB61" s="110">
        <f t="shared" si="273"/>
        <v>0</v>
      </c>
      <c r="CC61" s="110">
        <f t="shared" si="274"/>
        <v>0</v>
      </c>
      <c r="CD61" s="110">
        <f t="shared" si="275"/>
        <v>0</v>
      </c>
      <c r="CE61" s="110">
        <f t="shared" si="276"/>
        <v>0</v>
      </c>
      <c r="CG61" s="111"/>
      <c r="CH61" s="110">
        <f t="shared" si="277"/>
        <v>0</v>
      </c>
      <c r="CI61" s="110">
        <f t="shared" si="278"/>
        <v>0</v>
      </c>
      <c r="CJ61" s="110">
        <f t="shared" si="279"/>
        <v>0</v>
      </c>
      <c r="CK61" s="110">
        <f t="shared" si="280"/>
        <v>0</v>
      </c>
      <c r="CL61" s="110">
        <f t="shared" si="281"/>
        <v>0</v>
      </c>
      <c r="CM61" s="110">
        <f t="shared" si="282"/>
        <v>0</v>
      </c>
      <c r="CN61" s="110">
        <f t="shared" si="283"/>
        <v>0</v>
      </c>
      <c r="CO61" s="110">
        <f t="shared" si="284"/>
        <v>0</v>
      </c>
      <c r="CP61" s="110">
        <f t="shared" si="285"/>
        <v>0</v>
      </c>
      <c r="CQ61" s="110">
        <f t="shared" si="286"/>
        <v>0</v>
      </c>
      <c r="CR61" s="110">
        <f t="shared" si="287"/>
        <v>0</v>
      </c>
      <c r="CS61" s="110">
        <f t="shared" si="288"/>
        <v>0</v>
      </c>
      <c r="CU61" s="111"/>
      <c r="CV61" s="110">
        <f t="shared" si="289"/>
        <v>-2</v>
      </c>
      <c r="CW61" s="110">
        <f t="shared" si="290"/>
        <v>-2.9200000000000017</v>
      </c>
      <c r="CX61" s="110">
        <f t="shared" si="291"/>
        <v>-6.6700000000000017</v>
      </c>
      <c r="CY61" s="110">
        <f t="shared" si="292"/>
        <v>0</v>
      </c>
      <c r="CZ61" s="110">
        <f t="shared" si="293"/>
        <v>0</v>
      </c>
      <c r="DA61" s="110">
        <f t="shared" si="294"/>
        <v>0</v>
      </c>
      <c r="DB61" s="110">
        <f t="shared" si="295"/>
        <v>0</v>
      </c>
      <c r="DC61" s="110">
        <f t="shared" si="296"/>
        <v>0</v>
      </c>
      <c r="DD61" s="110">
        <f t="shared" si="297"/>
        <v>0</v>
      </c>
      <c r="DE61" s="110">
        <f t="shared" si="298"/>
        <v>0</v>
      </c>
      <c r="DF61" s="110">
        <f t="shared" si="299"/>
        <v>0</v>
      </c>
      <c r="DG61" s="110">
        <f t="shared" si="300"/>
        <v>0</v>
      </c>
      <c r="DI61" s="111"/>
      <c r="DJ61" s="110">
        <f t="shared" si="301"/>
        <v>0</v>
      </c>
      <c r="DK61" s="110">
        <f t="shared" si="302"/>
        <v>0</v>
      </c>
      <c r="DL61" s="110">
        <f t="shared" si="303"/>
        <v>0</v>
      </c>
      <c r="DM61" s="110">
        <f t="shared" si="304"/>
        <v>0</v>
      </c>
      <c r="DN61" s="110">
        <f t="shared" si="305"/>
        <v>0</v>
      </c>
      <c r="DO61" s="110">
        <f t="shared" si="306"/>
        <v>0</v>
      </c>
      <c r="DP61" s="110">
        <f t="shared" si="307"/>
        <v>0</v>
      </c>
      <c r="DQ61" s="110">
        <f t="shared" si="308"/>
        <v>0</v>
      </c>
      <c r="DR61" s="110">
        <f t="shared" si="309"/>
        <v>0</v>
      </c>
      <c r="DS61" s="110">
        <f t="shared" si="310"/>
        <v>0</v>
      </c>
      <c r="DT61" s="110">
        <f t="shared" si="311"/>
        <v>0</v>
      </c>
      <c r="DU61" s="110">
        <f t="shared" si="312"/>
        <v>0</v>
      </c>
      <c r="DW61" s="111"/>
      <c r="DX61" s="110">
        <f t="shared" si="313"/>
        <v>0</v>
      </c>
      <c r="DY61" s="110">
        <f t="shared" si="314"/>
        <v>0</v>
      </c>
      <c r="DZ61" s="110">
        <f t="shared" si="315"/>
        <v>0</v>
      </c>
      <c r="EA61" s="110">
        <f t="shared" si="316"/>
        <v>0</v>
      </c>
      <c r="EB61" s="110">
        <f t="shared" si="317"/>
        <v>0</v>
      </c>
      <c r="EC61" s="110">
        <f t="shared" si="318"/>
        <v>0</v>
      </c>
      <c r="ED61" s="110">
        <f t="shared" si="319"/>
        <v>0</v>
      </c>
      <c r="EE61" s="110">
        <f t="shared" si="320"/>
        <v>0</v>
      </c>
      <c r="EF61" s="110">
        <f t="shared" si="321"/>
        <v>0</v>
      </c>
      <c r="EG61" s="110">
        <f t="shared" si="322"/>
        <v>0</v>
      </c>
      <c r="EH61" s="110">
        <f t="shared" si="323"/>
        <v>0</v>
      </c>
      <c r="EI61" s="110">
        <f t="shared" si="324"/>
        <v>0</v>
      </c>
      <c r="EK61" s="111"/>
      <c r="EL61" s="110">
        <f t="shared" si="325"/>
        <v>-11.590000000000003</v>
      </c>
      <c r="EM61" s="110">
        <f t="shared" si="326"/>
        <v>0</v>
      </c>
      <c r="EN61" s="110">
        <f t="shared" si="327"/>
        <v>0</v>
      </c>
      <c r="EP61" s="109" cm="1">
        <f t="array" ref="EP61">+IFERROR(INDEX($C$3:$AM$3,MATCH(TRUE,INDEX($C61:$AM61&lt;&gt;0,0),0)),"N/A")</f>
        <v>44926</v>
      </c>
      <c r="EQ61" s="112"/>
      <c r="ER61" s="1" t="str" cm="1">
        <f t="array" ref="ER61">+_xlfn.IFS(EW61&lt;&gt;0,EW$2,FB61&lt;&gt;0,FB$2,FG61&lt;&gt;0,FG$2,FL61&lt;&gt;0,FL$2,TRUE,"")</f>
        <v>Downsell</v>
      </c>
      <c r="ES61" s="1" t="str" cm="1">
        <f t="array" ref="ES61">+_xlfn.IFS(EX61&lt;&gt;0,EX$2,FC61&lt;&gt;0,FC$2,FH61&lt;&gt;0,FH$2,FM61&lt;&gt;0,FM$2,TRUE,"")</f>
        <v/>
      </c>
      <c r="ET61" s="1" t="str" cm="1">
        <f t="array" ref="ET61">+_xlfn.IFS(EY61&lt;&gt;0,EY$2,FD61&lt;&gt;0,FD$2,FI61&lt;&gt;0,FI$2,FN61&lt;&gt;0,FN$2,TRUE,"")</f>
        <v/>
      </c>
      <c r="EV61" s="111"/>
      <c r="EW61" s="110">
        <f t="shared" si="328"/>
        <v>0</v>
      </c>
      <c r="EX61" s="110">
        <f t="shared" si="329"/>
        <v>0</v>
      </c>
      <c r="EY61" s="110">
        <f t="shared" si="330"/>
        <v>0</v>
      </c>
      <c r="FA61" s="111"/>
      <c r="FB61" s="110">
        <f t="shared" si="331"/>
        <v>0</v>
      </c>
      <c r="FC61" s="110">
        <f t="shared" si="332"/>
        <v>0</v>
      </c>
      <c r="FD61" s="110">
        <f t="shared" si="333"/>
        <v>0</v>
      </c>
      <c r="FF61" s="111"/>
      <c r="FG61" s="110">
        <f t="shared" si="334"/>
        <v>-11.590000000000003</v>
      </c>
      <c r="FH61" s="110">
        <f t="shared" si="335"/>
        <v>0</v>
      </c>
      <c r="FI61" s="110">
        <f t="shared" si="336"/>
        <v>0</v>
      </c>
      <c r="FK61" s="111"/>
      <c r="FL61" s="110">
        <f t="shared" si="337"/>
        <v>0</v>
      </c>
      <c r="FM61" s="110">
        <f t="shared" si="338"/>
        <v>0</v>
      </c>
      <c r="FN61" s="110">
        <f t="shared" si="339"/>
        <v>0</v>
      </c>
      <c r="FP61" s="111"/>
      <c r="FQ61" s="110">
        <f t="shared" si="340"/>
        <v>0</v>
      </c>
      <c r="FR61" s="110">
        <f t="shared" si="341"/>
        <v>0</v>
      </c>
      <c r="FS61" s="110">
        <f t="shared" si="342"/>
        <v>0</v>
      </c>
      <c r="FU61" s="111">
        <f t="shared" si="343"/>
        <v>-11.590000000000003</v>
      </c>
      <c r="FV61" s="110">
        <f t="shared" si="344"/>
        <v>-11.590000000000003</v>
      </c>
      <c r="FW61" s="110">
        <f t="shared" si="345"/>
        <v>-13.150000000000006</v>
      </c>
      <c r="FX61" s="110">
        <f t="shared" si="346"/>
        <v>-9.5900000000000034</v>
      </c>
      <c r="FY61" s="110">
        <f t="shared" si="347"/>
        <v>-9.0400000000000063</v>
      </c>
      <c r="FZ61" s="110">
        <f t="shared" si="348"/>
        <v>-4.3400000000000034</v>
      </c>
      <c r="GA61" s="110">
        <f t="shared" si="349"/>
        <v>-6.6700000000000017</v>
      </c>
      <c r="GB61" s="110">
        <f t="shared" si="350"/>
        <v>0</v>
      </c>
      <c r="GC61" s="110">
        <f t="shared" si="351"/>
        <v>0</v>
      </c>
      <c r="GD61" s="110">
        <f t="shared" si="352"/>
        <v>0</v>
      </c>
      <c r="GE61" s="110">
        <f t="shared" si="353"/>
        <v>0</v>
      </c>
      <c r="GF61" s="110">
        <f t="shared" si="354"/>
        <v>0</v>
      </c>
      <c r="GG61" s="110">
        <f t="shared" si="355"/>
        <v>0</v>
      </c>
      <c r="GH61" s="110">
        <f t="shared" si="356"/>
        <v>0</v>
      </c>
      <c r="GI61" s="110">
        <f t="shared" si="357"/>
        <v>0</v>
      </c>
      <c r="GJ61" s="110">
        <f t="shared" si="358"/>
        <v>0</v>
      </c>
      <c r="GK61" s="110">
        <f t="shared" si="359"/>
        <v>0</v>
      </c>
      <c r="GL61" s="110">
        <f t="shared" si="360"/>
        <v>0</v>
      </c>
      <c r="GM61" s="110">
        <f t="shared" si="361"/>
        <v>0</v>
      </c>
      <c r="GN61" s="110">
        <f t="shared" si="362"/>
        <v>0</v>
      </c>
      <c r="GO61" s="110">
        <f t="shared" si="363"/>
        <v>0</v>
      </c>
      <c r="GP61" s="110">
        <f t="shared" si="364"/>
        <v>0</v>
      </c>
      <c r="GQ61" s="110">
        <f t="shared" si="365"/>
        <v>0</v>
      </c>
      <c r="GR61" s="110">
        <f t="shared" si="366"/>
        <v>0</v>
      </c>
      <c r="GS61" s="110">
        <f t="shared" si="367"/>
        <v>0</v>
      </c>
      <c r="GU61" s="109" cm="1">
        <f t="array" ref="GU61">+IFERROR(INDEX($C$3:$AM$3,MATCH(TRUE,INDEX($C61:$AM61&lt;&gt;0,0),0)),"N/A")</f>
        <v>44926</v>
      </c>
      <c r="GV61" s="112" t="str" cm="1">
        <f t="array" ref="GV61">+_xlfn.IFS(HV61&lt;&gt;0,HV$2,IV61&lt;&gt;0,IV$2,JV61&lt;&gt;0,JV$2,KV61&lt;&gt;0,KV$2,TRUE,"")</f>
        <v>Downsell</v>
      </c>
      <c r="GW61" s="1" t="str" cm="1">
        <f t="array" ref="GW61">+_xlfn.IFS(HW61&lt;&gt;0,HW$2,IW61&lt;&gt;0,IW$2,JW61&lt;&gt;0,JW$2,KW61&lt;&gt;0,KW$2,TRUE,"")</f>
        <v>Downsell</v>
      </c>
      <c r="GX61" s="1" t="str" cm="1">
        <f t="array" ref="GX61">+_xlfn.IFS(HX61&lt;&gt;0,HX$2,IX61&lt;&gt;0,IX$2,JX61&lt;&gt;0,JX$2,KX61&lt;&gt;0,KX$2,TRUE,"")</f>
        <v>Downsell</v>
      </c>
      <c r="GY61" s="1" t="str" cm="1">
        <f t="array" ref="GY61">+_xlfn.IFS(HY61&lt;&gt;0,HY$2,IY61&lt;&gt;0,IY$2,JY61&lt;&gt;0,JY$2,KY61&lt;&gt;0,KY$2,TRUE,"")</f>
        <v>Downsell</v>
      </c>
      <c r="GZ61" s="1" t="str" cm="1">
        <f t="array" ref="GZ61">+_xlfn.IFS(HZ61&lt;&gt;0,HZ$2,IZ61&lt;&gt;0,IZ$2,JZ61&lt;&gt;0,JZ$2,KZ61&lt;&gt;0,KZ$2,TRUE,"")</f>
        <v>Downsell</v>
      </c>
      <c r="HA61" s="1" t="str" cm="1">
        <f t="array" ref="HA61">+_xlfn.IFS(IA61&lt;&gt;0,IA$2,JA61&lt;&gt;0,JA$2,KA61&lt;&gt;0,KA$2,LA61&lt;&gt;0,LA$2,TRUE,"")</f>
        <v>Downsell</v>
      </c>
      <c r="HB61" s="1" t="str" cm="1">
        <f t="array" ref="HB61">+_xlfn.IFS(IB61&lt;&gt;0,IB$2,JB61&lt;&gt;0,JB$2,KB61&lt;&gt;0,KB$2,LB61&lt;&gt;0,LB$2,TRUE,"")</f>
        <v>Downsell</v>
      </c>
      <c r="HC61" s="1" t="str" cm="1">
        <f t="array" ref="HC61">+_xlfn.IFS(IC61&lt;&gt;0,IC$2,JC61&lt;&gt;0,JC$2,KC61&lt;&gt;0,KC$2,LC61&lt;&gt;0,LC$2,TRUE,"")</f>
        <v/>
      </c>
      <c r="HD61" s="1" t="str" cm="1">
        <f t="array" ref="HD61">+_xlfn.IFS(ID61&lt;&gt;0,ID$2,JD61&lt;&gt;0,JD$2,KD61&lt;&gt;0,KD$2,LD61&lt;&gt;0,LD$2,TRUE,"")</f>
        <v/>
      </c>
      <c r="HE61" s="1" t="str" cm="1">
        <f t="array" ref="HE61">+_xlfn.IFS(IE61&lt;&gt;0,IE$2,JE61&lt;&gt;0,JE$2,KE61&lt;&gt;0,KE$2,LE61&lt;&gt;0,LE$2,TRUE,"")</f>
        <v/>
      </c>
      <c r="HF61" s="1" t="str" cm="1">
        <f t="array" ref="HF61">+_xlfn.IFS(IF61&lt;&gt;0,IF$2,JF61&lt;&gt;0,JF$2,KF61&lt;&gt;0,KF$2,LF61&lt;&gt;0,LF$2,TRUE,"")</f>
        <v/>
      </c>
      <c r="HG61" s="1" t="str" cm="1">
        <f t="array" ref="HG61">+_xlfn.IFS(IG61&lt;&gt;0,IG$2,JG61&lt;&gt;0,JG$2,KG61&lt;&gt;0,KG$2,LG61&lt;&gt;0,LG$2,TRUE,"")</f>
        <v/>
      </c>
      <c r="HH61" s="1" t="str" cm="1">
        <f t="array" ref="HH61">+_xlfn.IFS(IH61&lt;&gt;0,IH$2,JH61&lt;&gt;0,JH$2,KH61&lt;&gt;0,KH$2,LH61&lt;&gt;0,LH$2,TRUE,"")</f>
        <v/>
      </c>
      <c r="HI61" s="1" t="str" cm="1">
        <f t="array" ref="HI61">+_xlfn.IFS(II61&lt;&gt;0,II$2,JI61&lt;&gt;0,JI$2,KI61&lt;&gt;0,KI$2,LI61&lt;&gt;0,LI$2,TRUE,"")</f>
        <v/>
      </c>
      <c r="HJ61" s="1" t="str" cm="1">
        <f t="array" ref="HJ61">+_xlfn.IFS(IJ61&lt;&gt;0,IJ$2,JJ61&lt;&gt;0,JJ$2,KJ61&lt;&gt;0,KJ$2,LJ61&lt;&gt;0,LJ$2,TRUE,"")</f>
        <v/>
      </c>
      <c r="HK61" s="1" t="str" cm="1">
        <f t="array" ref="HK61">+_xlfn.IFS(IK61&lt;&gt;0,IK$2,JK61&lt;&gt;0,JK$2,KK61&lt;&gt;0,KK$2,LK61&lt;&gt;0,LK$2,TRUE,"")</f>
        <v/>
      </c>
      <c r="HL61" s="1" t="str" cm="1">
        <f t="array" ref="HL61">+_xlfn.IFS(IL61&lt;&gt;0,IL$2,JL61&lt;&gt;0,JL$2,KL61&lt;&gt;0,KL$2,LL61&lt;&gt;0,LL$2,TRUE,"")</f>
        <v/>
      </c>
      <c r="HM61" s="1" t="str" cm="1">
        <f t="array" ref="HM61">+_xlfn.IFS(IM61&lt;&gt;0,IM$2,JM61&lt;&gt;0,JM$2,KM61&lt;&gt;0,KM$2,LM61&lt;&gt;0,LM$2,TRUE,"")</f>
        <v/>
      </c>
      <c r="HN61" s="1" t="str" cm="1">
        <f t="array" ref="HN61">+_xlfn.IFS(IN61&lt;&gt;0,IN$2,JN61&lt;&gt;0,JN$2,KN61&lt;&gt;0,KN$2,LN61&lt;&gt;0,LN$2,TRUE,"")</f>
        <v/>
      </c>
      <c r="HO61" s="1" t="str" cm="1">
        <f t="array" ref="HO61">+_xlfn.IFS(IO61&lt;&gt;0,IO$2,JO61&lt;&gt;0,JO$2,KO61&lt;&gt;0,KO$2,LO61&lt;&gt;0,LO$2,TRUE,"")</f>
        <v/>
      </c>
      <c r="HP61" s="1" t="str" cm="1">
        <f t="array" ref="HP61">+_xlfn.IFS(IP61&lt;&gt;0,IP$2,JP61&lt;&gt;0,JP$2,KP61&lt;&gt;0,KP$2,LP61&lt;&gt;0,LP$2,TRUE,"")</f>
        <v/>
      </c>
      <c r="HQ61" s="1" t="str" cm="1">
        <f t="array" ref="HQ61">+_xlfn.IFS(IQ61&lt;&gt;0,IQ$2,JQ61&lt;&gt;0,JQ$2,KQ61&lt;&gt;0,KQ$2,LQ61&lt;&gt;0,LQ$2,TRUE,"")</f>
        <v/>
      </c>
      <c r="HR61" s="1" t="str" cm="1">
        <f t="array" ref="HR61">+_xlfn.IFS(IR61&lt;&gt;0,IR$2,JR61&lt;&gt;0,JR$2,KR61&lt;&gt;0,KR$2,LR61&lt;&gt;0,LR$2,TRUE,"")</f>
        <v/>
      </c>
      <c r="HS61" s="1" t="str" cm="1">
        <f t="array" ref="HS61">+_xlfn.IFS(IS61&lt;&gt;0,IS$2,JS61&lt;&gt;0,JS$2,KS61&lt;&gt;0,KS$2,LS61&lt;&gt;0,LS$2,TRUE,"")</f>
        <v/>
      </c>
      <c r="HT61" s="1" t="str" cm="1">
        <f t="array" ref="HT61">+_xlfn.IFS(IT61&lt;&gt;0,IT$2,JT61&lt;&gt;0,JT$2,KT61&lt;&gt;0,KT$2,LT61&lt;&gt;0,LT$2,TRUE,"")</f>
        <v/>
      </c>
      <c r="HV61" s="111">
        <f t="shared" si="368"/>
        <v>0</v>
      </c>
      <c r="HW61" s="110">
        <f t="shared" si="369"/>
        <v>0</v>
      </c>
      <c r="HX61" s="110">
        <f t="shared" si="370"/>
        <v>0</v>
      </c>
      <c r="HY61" s="110">
        <f t="shared" si="371"/>
        <v>0</v>
      </c>
      <c r="HZ61" s="110">
        <f t="shared" si="372"/>
        <v>0</v>
      </c>
      <c r="IA61" s="110">
        <f t="shared" si="373"/>
        <v>0</v>
      </c>
      <c r="IB61" s="110">
        <f t="shared" si="374"/>
        <v>0</v>
      </c>
      <c r="IC61" s="110">
        <f t="shared" si="375"/>
        <v>0</v>
      </c>
      <c r="ID61" s="110">
        <f t="shared" si="376"/>
        <v>0</v>
      </c>
      <c r="IE61" s="110">
        <f t="shared" si="377"/>
        <v>0</v>
      </c>
      <c r="IF61" s="110">
        <f t="shared" si="378"/>
        <v>0</v>
      </c>
      <c r="IG61" s="110">
        <f t="shared" si="379"/>
        <v>0</v>
      </c>
      <c r="IH61" s="110">
        <f t="shared" si="380"/>
        <v>0</v>
      </c>
      <c r="II61" s="110">
        <f t="shared" si="381"/>
        <v>0</v>
      </c>
      <c r="IJ61" s="110">
        <f t="shared" si="382"/>
        <v>0</v>
      </c>
      <c r="IK61" s="110">
        <f t="shared" si="383"/>
        <v>0</v>
      </c>
      <c r="IL61" s="110">
        <f t="shared" si="384"/>
        <v>0</v>
      </c>
      <c r="IM61" s="110">
        <f t="shared" si="385"/>
        <v>0</v>
      </c>
      <c r="IN61" s="110">
        <f t="shared" si="386"/>
        <v>0</v>
      </c>
      <c r="IO61" s="110">
        <f t="shared" si="387"/>
        <v>0</v>
      </c>
      <c r="IP61" s="110">
        <f t="shared" si="388"/>
        <v>0</v>
      </c>
      <c r="IQ61" s="110">
        <f t="shared" si="389"/>
        <v>0</v>
      </c>
      <c r="IR61" s="110">
        <f t="shared" si="390"/>
        <v>0</v>
      </c>
      <c r="IS61" s="110">
        <f t="shared" si="391"/>
        <v>0</v>
      </c>
      <c r="IT61" s="110">
        <f t="shared" si="392"/>
        <v>0</v>
      </c>
      <c r="IV61" s="111">
        <f t="shared" si="393"/>
        <v>0</v>
      </c>
      <c r="IW61" s="110">
        <f t="shared" si="394"/>
        <v>0</v>
      </c>
      <c r="IX61" s="110">
        <f t="shared" si="395"/>
        <v>0</v>
      </c>
      <c r="IY61" s="110">
        <f t="shared" si="396"/>
        <v>0</v>
      </c>
      <c r="IZ61" s="110">
        <f t="shared" si="397"/>
        <v>0</v>
      </c>
      <c r="JA61" s="110">
        <f t="shared" si="398"/>
        <v>0</v>
      </c>
      <c r="JB61" s="110">
        <f t="shared" si="399"/>
        <v>0</v>
      </c>
      <c r="JC61" s="110">
        <f t="shared" si="400"/>
        <v>0</v>
      </c>
      <c r="JD61" s="110">
        <f t="shared" si="401"/>
        <v>0</v>
      </c>
      <c r="JE61" s="110">
        <f t="shared" si="402"/>
        <v>0</v>
      </c>
      <c r="JF61" s="110">
        <f t="shared" si="403"/>
        <v>0</v>
      </c>
      <c r="JG61" s="110">
        <f t="shared" si="404"/>
        <v>0</v>
      </c>
      <c r="JH61" s="110">
        <f t="shared" si="405"/>
        <v>0</v>
      </c>
      <c r="JI61" s="110">
        <f t="shared" si="406"/>
        <v>0</v>
      </c>
      <c r="JJ61" s="110">
        <f t="shared" si="407"/>
        <v>0</v>
      </c>
      <c r="JK61" s="110">
        <f t="shared" si="408"/>
        <v>0</v>
      </c>
      <c r="JL61" s="110">
        <f t="shared" si="409"/>
        <v>0</v>
      </c>
      <c r="JM61" s="110">
        <f t="shared" si="410"/>
        <v>0</v>
      </c>
      <c r="JN61" s="110">
        <f t="shared" si="411"/>
        <v>0</v>
      </c>
      <c r="JO61" s="110">
        <f t="shared" si="412"/>
        <v>0</v>
      </c>
      <c r="JP61" s="110">
        <f t="shared" si="413"/>
        <v>0</v>
      </c>
      <c r="JQ61" s="110">
        <f t="shared" si="414"/>
        <v>0</v>
      </c>
      <c r="JR61" s="110">
        <f t="shared" si="415"/>
        <v>0</v>
      </c>
      <c r="JS61" s="110">
        <f t="shared" si="416"/>
        <v>0</v>
      </c>
      <c r="JT61" s="110">
        <f t="shared" si="417"/>
        <v>0</v>
      </c>
      <c r="JV61" s="111">
        <f t="shared" si="418"/>
        <v>-11.590000000000003</v>
      </c>
      <c r="JW61" s="110">
        <f t="shared" si="419"/>
        <v>-11.590000000000003</v>
      </c>
      <c r="JX61" s="110">
        <f t="shared" si="420"/>
        <v>-13.150000000000006</v>
      </c>
      <c r="JY61" s="110">
        <f t="shared" si="421"/>
        <v>-9.5900000000000034</v>
      </c>
      <c r="JZ61" s="110">
        <f t="shared" si="422"/>
        <v>-9.0400000000000063</v>
      </c>
      <c r="KA61" s="110">
        <f t="shared" si="423"/>
        <v>-4.3400000000000034</v>
      </c>
      <c r="KB61" s="110">
        <f t="shared" si="424"/>
        <v>-6.6700000000000017</v>
      </c>
      <c r="KC61" s="110">
        <f t="shared" si="425"/>
        <v>0</v>
      </c>
      <c r="KD61" s="110">
        <f t="shared" si="426"/>
        <v>0</v>
      </c>
      <c r="KE61" s="110">
        <f t="shared" si="427"/>
        <v>0</v>
      </c>
      <c r="KF61" s="110">
        <f t="shared" si="428"/>
        <v>0</v>
      </c>
      <c r="KG61" s="110">
        <f t="shared" si="429"/>
        <v>0</v>
      </c>
      <c r="KH61" s="110">
        <f t="shared" si="430"/>
        <v>0</v>
      </c>
      <c r="KI61" s="110">
        <f t="shared" si="431"/>
        <v>0</v>
      </c>
      <c r="KJ61" s="110">
        <f t="shared" si="432"/>
        <v>0</v>
      </c>
      <c r="KK61" s="110">
        <f t="shared" si="433"/>
        <v>0</v>
      </c>
      <c r="KL61" s="110">
        <f t="shared" si="434"/>
        <v>0</v>
      </c>
      <c r="KM61" s="110">
        <f t="shared" si="435"/>
        <v>0</v>
      </c>
      <c r="KN61" s="110">
        <f t="shared" si="436"/>
        <v>0</v>
      </c>
      <c r="KO61" s="110">
        <f t="shared" si="437"/>
        <v>0</v>
      </c>
      <c r="KP61" s="110">
        <f t="shared" si="438"/>
        <v>0</v>
      </c>
      <c r="KQ61" s="110">
        <f t="shared" si="439"/>
        <v>0</v>
      </c>
      <c r="KR61" s="110">
        <f t="shared" si="440"/>
        <v>0</v>
      </c>
      <c r="KS61" s="110">
        <f t="shared" si="441"/>
        <v>0</v>
      </c>
      <c r="KT61" s="110">
        <f t="shared" si="442"/>
        <v>0</v>
      </c>
      <c r="KV61" s="111">
        <f t="shared" si="443"/>
        <v>0</v>
      </c>
      <c r="KW61" s="110">
        <f t="shared" si="444"/>
        <v>0</v>
      </c>
      <c r="KX61" s="110">
        <f t="shared" si="445"/>
        <v>0</v>
      </c>
      <c r="KY61" s="110">
        <f t="shared" si="446"/>
        <v>0</v>
      </c>
      <c r="KZ61" s="110">
        <f t="shared" si="447"/>
        <v>0</v>
      </c>
      <c r="LA61" s="110">
        <f t="shared" si="448"/>
        <v>0</v>
      </c>
      <c r="LB61" s="110">
        <f t="shared" si="449"/>
        <v>0</v>
      </c>
      <c r="LC61" s="110">
        <f t="shared" si="450"/>
        <v>0</v>
      </c>
      <c r="LD61" s="110">
        <f t="shared" si="451"/>
        <v>0</v>
      </c>
      <c r="LE61" s="110">
        <f t="shared" si="452"/>
        <v>0</v>
      </c>
      <c r="LF61" s="110">
        <f t="shared" si="453"/>
        <v>0</v>
      </c>
      <c r="LG61" s="110">
        <f t="shared" si="454"/>
        <v>0</v>
      </c>
      <c r="LH61" s="110">
        <f t="shared" si="455"/>
        <v>0</v>
      </c>
      <c r="LI61" s="110">
        <f t="shared" si="456"/>
        <v>0</v>
      </c>
      <c r="LJ61" s="110">
        <f t="shared" si="457"/>
        <v>0</v>
      </c>
      <c r="LK61" s="110">
        <f t="shared" si="458"/>
        <v>0</v>
      </c>
      <c r="LL61" s="110">
        <f t="shared" si="459"/>
        <v>0</v>
      </c>
      <c r="LM61" s="110">
        <f t="shared" si="460"/>
        <v>0</v>
      </c>
      <c r="LN61" s="110">
        <f t="shared" si="461"/>
        <v>0</v>
      </c>
      <c r="LO61" s="110">
        <f t="shared" si="462"/>
        <v>0</v>
      </c>
      <c r="LP61" s="110">
        <f t="shared" si="463"/>
        <v>0</v>
      </c>
      <c r="LQ61" s="110">
        <f t="shared" si="464"/>
        <v>0</v>
      </c>
      <c r="LR61" s="110">
        <f t="shared" si="465"/>
        <v>0</v>
      </c>
      <c r="LS61" s="110">
        <f t="shared" si="466"/>
        <v>0</v>
      </c>
      <c r="LT61" s="110">
        <f t="shared" si="467"/>
        <v>0</v>
      </c>
      <c r="LV61" s="111"/>
      <c r="LW61" s="110">
        <f t="shared" si="468"/>
        <v>0</v>
      </c>
      <c r="LX61" s="110">
        <f t="shared" si="469"/>
        <v>0</v>
      </c>
      <c r="LY61" s="110">
        <f t="shared" si="470"/>
        <v>0</v>
      </c>
      <c r="LZ61" s="110">
        <f t="shared" si="471"/>
        <v>0</v>
      </c>
      <c r="MA61" s="110">
        <f t="shared" si="472"/>
        <v>0</v>
      </c>
      <c r="MB61" s="110">
        <f t="shared" si="473"/>
        <v>0</v>
      </c>
      <c r="MC61" s="110">
        <f t="shared" si="474"/>
        <v>0</v>
      </c>
      <c r="MD61" s="110">
        <f t="shared" si="475"/>
        <v>0</v>
      </c>
      <c r="ME61" s="110">
        <f t="shared" si="476"/>
        <v>0</v>
      </c>
      <c r="MF61" s="110">
        <f t="shared" si="477"/>
        <v>0</v>
      </c>
      <c r="MG61" s="110">
        <f t="shared" si="478"/>
        <v>0</v>
      </c>
      <c r="MH61" s="110">
        <f t="shared" si="479"/>
        <v>0</v>
      </c>
      <c r="MI61" s="110">
        <f t="shared" si="480"/>
        <v>0</v>
      </c>
      <c r="MJ61" s="110">
        <f t="shared" si="481"/>
        <v>0</v>
      </c>
      <c r="MK61" s="110">
        <f t="shared" si="482"/>
        <v>0</v>
      </c>
      <c r="ML61" s="110">
        <f t="shared" si="483"/>
        <v>0</v>
      </c>
      <c r="MM61" s="110">
        <f t="shared" si="484"/>
        <v>0</v>
      </c>
      <c r="MN61" s="110">
        <f t="shared" si="485"/>
        <v>0</v>
      </c>
      <c r="MO61" s="110">
        <f t="shared" si="486"/>
        <v>0</v>
      </c>
      <c r="MP61" s="110">
        <f t="shared" si="487"/>
        <v>0</v>
      </c>
      <c r="MQ61" s="110">
        <f t="shared" si="488"/>
        <v>0</v>
      </c>
      <c r="MR61" s="110">
        <f t="shared" si="489"/>
        <v>0</v>
      </c>
      <c r="MS61" s="110">
        <f t="shared" si="490"/>
        <v>0</v>
      </c>
      <c r="MT61" s="110">
        <f t="shared" si="491"/>
        <v>0</v>
      </c>
      <c r="MV61" s="114">
        <v>109</v>
      </c>
      <c r="MW61" s="114">
        <v>0</v>
      </c>
      <c r="MX61" s="114">
        <v>0</v>
      </c>
      <c r="MY61" s="114">
        <v>0</v>
      </c>
      <c r="MZ61" s="114">
        <v>0</v>
      </c>
      <c r="NB61" s="115">
        <v>76</v>
      </c>
      <c r="NC61" s="115" t="str">
        <v>N/A</v>
      </c>
      <c r="ND61" s="115" t="str">
        <v>N/A</v>
      </c>
      <c r="NE61" s="115" t="str">
        <v>N/A</v>
      </c>
      <c r="NF61" s="115" t="str">
        <v>N/A</v>
      </c>
    </row>
    <row r="62" spans="2:370" ht="13.5" x14ac:dyDescent="0.25">
      <c r="B62" s="8">
        <f t="shared" si="252"/>
        <v>59</v>
      </c>
      <c r="C62" s="7">
        <v>179</v>
      </c>
      <c r="D62" s="7">
        <v>179</v>
      </c>
      <c r="E62" s="7">
        <v>179</v>
      </c>
      <c r="F62" s="7">
        <v>179</v>
      </c>
      <c r="G62" s="7">
        <v>179</v>
      </c>
      <c r="H62" s="7">
        <v>179</v>
      </c>
      <c r="I62" s="7">
        <v>179</v>
      </c>
      <c r="J62" s="7">
        <v>179</v>
      </c>
      <c r="K62" s="7">
        <v>179</v>
      </c>
      <c r="L62" s="7">
        <v>179</v>
      </c>
      <c r="M62" s="7">
        <v>179</v>
      </c>
      <c r="N62" s="7">
        <v>179</v>
      </c>
      <c r="O62" s="7">
        <v>179</v>
      </c>
      <c r="P62" s="7">
        <v>179</v>
      </c>
      <c r="Q62" s="7">
        <v>179</v>
      </c>
      <c r="R62" s="7">
        <v>179</v>
      </c>
      <c r="S62" s="7">
        <v>179</v>
      </c>
      <c r="T62" s="7">
        <v>179</v>
      </c>
      <c r="U62" s="7">
        <v>179</v>
      </c>
      <c r="V62" s="7">
        <v>179</v>
      </c>
      <c r="W62" s="7">
        <v>179</v>
      </c>
      <c r="X62" s="7">
        <v>179</v>
      </c>
      <c r="Y62" s="7">
        <v>179</v>
      </c>
      <c r="Z62" s="7">
        <v>179</v>
      </c>
      <c r="AA62" s="7">
        <v>179</v>
      </c>
      <c r="AB62" s="7">
        <v>179</v>
      </c>
      <c r="AC62" s="7">
        <v>179</v>
      </c>
      <c r="AD62" s="7">
        <v>179</v>
      </c>
      <c r="AE62" s="7">
        <v>185.27</v>
      </c>
      <c r="AF62" s="7">
        <v>185.27</v>
      </c>
      <c r="AG62" s="7">
        <v>185.27</v>
      </c>
      <c r="AH62" s="7">
        <v>185.27</v>
      </c>
      <c r="AI62" s="7">
        <v>185.27</v>
      </c>
      <c r="AJ62" s="7">
        <v>185.27</v>
      </c>
      <c r="AK62" s="7">
        <v>185.27</v>
      </c>
      <c r="AL62" s="7">
        <v>185.27</v>
      </c>
      <c r="AM62" s="7">
        <v>185.27</v>
      </c>
      <c r="AN62" s="27">
        <v>59</v>
      </c>
      <c r="AP62" s="111"/>
      <c r="AQ62" s="110">
        <f t="shared" si="253"/>
        <v>0</v>
      </c>
      <c r="AR62" s="110">
        <f t="shared" si="254"/>
        <v>0</v>
      </c>
      <c r="AS62" s="110">
        <f t="shared" si="255"/>
        <v>0</v>
      </c>
      <c r="AT62" s="110">
        <f t="shared" si="256"/>
        <v>0</v>
      </c>
      <c r="AU62" s="110">
        <f t="shared" si="257"/>
        <v>0</v>
      </c>
      <c r="AV62" s="110">
        <f t="shared" si="258"/>
        <v>0</v>
      </c>
      <c r="AW62" s="110">
        <f t="shared" si="259"/>
        <v>0</v>
      </c>
      <c r="AX62" s="110">
        <f t="shared" si="260"/>
        <v>0</v>
      </c>
      <c r="AY62" s="110">
        <f t="shared" si="261"/>
        <v>0</v>
      </c>
      <c r="AZ62" s="110">
        <f t="shared" si="262"/>
        <v>6.2700000000000102</v>
      </c>
      <c r="BA62" s="110">
        <f t="shared" si="263"/>
        <v>0</v>
      </c>
      <c r="BB62" s="110">
        <f t="shared" si="264"/>
        <v>0</v>
      </c>
      <c r="BD62" s="109" cm="1">
        <f t="array" ref="BD62">+IFERROR(INDEX($C$3:$AM$3,MATCH(TRUE,INDEX($C62:$AM62&lt;&gt;0,0),0)),"N/A")</f>
        <v>44926</v>
      </c>
      <c r="BE62" s="112"/>
      <c r="BF62" s="1" t="str" cm="1">
        <f t="array" ref="BF62">+_xlfn.IFS(BT62&lt;&gt;0,BT$2,CH62&lt;&gt;0,CH$2,CV62&lt;&gt;0,CV$2,DJ62&lt;&gt;0,DJ$2,TRUE,"")</f>
        <v/>
      </c>
      <c r="BG62" s="1" t="str" cm="1">
        <f t="array" ref="BG62">+_xlfn.IFS(BU62&lt;&gt;0,BU$2,CI62&lt;&gt;0,CI$2,CW62&lt;&gt;0,CW$2,DK62&lt;&gt;0,DK$2,TRUE,"")</f>
        <v/>
      </c>
      <c r="BH62" s="1" t="str" cm="1">
        <f t="array" ref="BH62">+_xlfn.IFS(BV62&lt;&gt;0,BV$2,CJ62&lt;&gt;0,CJ$2,CX62&lt;&gt;0,CX$2,DL62&lt;&gt;0,DL$2,TRUE,"")</f>
        <v/>
      </c>
      <c r="BI62" s="1" t="str" cm="1">
        <f t="array" ref="BI62">+_xlfn.IFS(BW62&lt;&gt;0,BW$2,CK62&lt;&gt;0,CK$2,CY62&lt;&gt;0,CY$2,DM62&lt;&gt;0,DM$2,TRUE,"")</f>
        <v/>
      </c>
      <c r="BJ62" s="1" t="str" cm="1">
        <f t="array" ref="BJ62">+_xlfn.IFS(BX62&lt;&gt;0,BX$2,CL62&lt;&gt;0,CL$2,CZ62&lt;&gt;0,CZ$2,DN62&lt;&gt;0,DN$2,TRUE,"")</f>
        <v/>
      </c>
      <c r="BK62" s="1" t="str" cm="1">
        <f t="array" ref="BK62">+_xlfn.IFS(BY62&lt;&gt;0,BY$2,CM62&lt;&gt;0,CM$2,DA62&lt;&gt;0,DA$2,DO62&lt;&gt;0,DO$2,TRUE,"")</f>
        <v/>
      </c>
      <c r="BL62" s="1" t="str" cm="1">
        <f t="array" ref="BL62">+_xlfn.IFS(BZ62&lt;&gt;0,BZ$2,CN62&lt;&gt;0,CN$2,DB62&lt;&gt;0,DB$2,DP62&lt;&gt;0,DP$2,TRUE,"")</f>
        <v/>
      </c>
      <c r="BM62" s="1" t="str" cm="1">
        <f t="array" ref="BM62">+_xlfn.IFS(CA62&lt;&gt;0,CA$2,CO62&lt;&gt;0,CO$2,DC62&lt;&gt;0,DC$2,DQ62&lt;&gt;0,DQ$2,TRUE,"")</f>
        <v/>
      </c>
      <c r="BN62" s="1" t="str" cm="1">
        <f t="array" ref="BN62">+_xlfn.IFS(CB62&lt;&gt;0,CB$2,CP62&lt;&gt;0,CP$2,DD62&lt;&gt;0,DD$2,DR62&lt;&gt;0,DR$2,TRUE,"")</f>
        <v/>
      </c>
      <c r="BO62" s="1" t="str" cm="1">
        <f t="array" ref="BO62">+_xlfn.IFS(CC62&lt;&gt;0,CC$2,CQ62&lt;&gt;0,CQ$2,DE62&lt;&gt;0,DE$2,DS62&lt;&gt;0,DS$2,TRUE,"")</f>
        <v>Upsell</v>
      </c>
      <c r="BP62" s="1" t="str" cm="1">
        <f t="array" ref="BP62">+_xlfn.IFS(CD62&lt;&gt;0,CD$2,CR62&lt;&gt;0,CR$2,DF62&lt;&gt;0,DF$2,DT62&lt;&gt;0,DT$2,TRUE,"")</f>
        <v/>
      </c>
      <c r="BQ62" s="1" t="str" cm="1">
        <f t="array" ref="BQ62">+_xlfn.IFS(CE62&lt;&gt;0,CE$2,CS62&lt;&gt;0,CS$2,DG62&lt;&gt;0,DG$2,DU62&lt;&gt;0,DU$2,TRUE,"")</f>
        <v/>
      </c>
      <c r="BS62" s="111"/>
      <c r="BT62" s="110">
        <f t="shared" si="265"/>
        <v>0</v>
      </c>
      <c r="BU62" s="110">
        <f t="shared" si="266"/>
        <v>0</v>
      </c>
      <c r="BV62" s="110">
        <f t="shared" si="267"/>
        <v>0</v>
      </c>
      <c r="BW62" s="110">
        <f t="shared" si="268"/>
        <v>0</v>
      </c>
      <c r="BX62" s="110">
        <f t="shared" si="269"/>
        <v>0</v>
      </c>
      <c r="BY62" s="110">
        <f t="shared" si="270"/>
        <v>0</v>
      </c>
      <c r="BZ62" s="110">
        <f t="shared" si="271"/>
        <v>0</v>
      </c>
      <c r="CA62" s="110">
        <f t="shared" si="272"/>
        <v>0</v>
      </c>
      <c r="CB62" s="110">
        <f t="shared" si="273"/>
        <v>0</v>
      </c>
      <c r="CC62" s="110">
        <f t="shared" si="274"/>
        <v>0</v>
      </c>
      <c r="CD62" s="110">
        <f t="shared" si="275"/>
        <v>0</v>
      </c>
      <c r="CE62" s="110">
        <f t="shared" si="276"/>
        <v>0</v>
      </c>
      <c r="CG62" s="111"/>
      <c r="CH62" s="110">
        <f t="shared" si="277"/>
        <v>0</v>
      </c>
      <c r="CI62" s="110">
        <f t="shared" si="278"/>
        <v>0</v>
      </c>
      <c r="CJ62" s="110">
        <f t="shared" si="279"/>
        <v>0</v>
      </c>
      <c r="CK62" s="110">
        <f t="shared" si="280"/>
        <v>0</v>
      </c>
      <c r="CL62" s="110">
        <f t="shared" si="281"/>
        <v>0</v>
      </c>
      <c r="CM62" s="110">
        <f t="shared" si="282"/>
        <v>0</v>
      </c>
      <c r="CN62" s="110">
        <f t="shared" si="283"/>
        <v>0</v>
      </c>
      <c r="CO62" s="110">
        <f t="shared" si="284"/>
        <v>0</v>
      </c>
      <c r="CP62" s="110">
        <f t="shared" si="285"/>
        <v>0</v>
      </c>
      <c r="CQ62" s="110">
        <f t="shared" si="286"/>
        <v>0</v>
      </c>
      <c r="CR62" s="110">
        <f t="shared" si="287"/>
        <v>0</v>
      </c>
      <c r="CS62" s="110">
        <f t="shared" si="288"/>
        <v>0</v>
      </c>
      <c r="CU62" s="111"/>
      <c r="CV62" s="110">
        <f t="shared" si="289"/>
        <v>0</v>
      </c>
      <c r="CW62" s="110">
        <f t="shared" si="290"/>
        <v>0</v>
      </c>
      <c r="CX62" s="110">
        <f t="shared" si="291"/>
        <v>0</v>
      </c>
      <c r="CY62" s="110">
        <f t="shared" si="292"/>
        <v>0</v>
      </c>
      <c r="CZ62" s="110">
        <f t="shared" si="293"/>
        <v>0</v>
      </c>
      <c r="DA62" s="110">
        <f t="shared" si="294"/>
        <v>0</v>
      </c>
      <c r="DB62" s="110">
        <f t="shared" si="295"/>
        <v>0</v>
      </c>
      <c r="DC62" s="110">
        <f t="shared" si="296"/>
        <v>0</v>
      </c>
      <c r="DD62" s="110">
        <f t="shared" si="297"/>
        <v>0</v>
      </c>
      <c r="DE62" s="110">
        <f t="shared" si="298"/>
        <v>0</v>
      </c>
      <c r="DF62" s="110">
        <f t="shared" si="299"/>
        <v>0</v>
      </c>
      <c r="DG62" s="110">
        <f t="shared" si="300"/>
        <v>0</v>
      </c>
      <c r="DI62" s="111"/>
      <c r="DJ62" s="110">
        <f t="shared" si="301"/>
        <v>0</v>
      </c>
      <c r="DK62" s="110">
        <f t="shared" si="302"/>
        <v>0</v>
      </c>
      <c r="DL62" s="110">
        <f t="shared" si="303"/>
        <v>0</v>
      </c>
      <c r="DM62" s="110">
        <f t="shared" si="304"/>
        <v>0</v>
      </c>
      <c r="DN62" s="110">
        <f t="shared" si="305"/>
        <v>0</v>
      </c>
      <c r="DO62" s="110">
        <f t="shared" si="306"/>
        <v>0</v>
      </c>
      <c r="DP62" s="110">
        <f t="shared" si="307"/>
        <v>0</v>
      </c>
      <c r="DQ62" s="110">
        <f t="shared" si="308"/>
        <v>0</v>
      </c>
      <c r="DR62" s="110">
        <f t="shared" si="309"/>
        <v>0</v>
      </c>
      <c r="DS62" s="110">
        <f t="shared" si="310"/>
        <v>6.2700000000000102</v>
      </c>
      <c r="DT62" s="110">
        <f t="shared" si="311"/>
        <v>0</v>
      </c>
      <c r="DU62" s="110">
        <f t="shared" si="312"/>
        <v>0</v>
      </c>
      <c r="DW62" s="111"/>
      <c r="DX62" s="110">
        <f t="shared" si="313"/>
        <v>0</v>
      </c>
      <c r="DY62" s="110">
        <f t="shared" si="314"/>
        <v>0</v>
      </c>
      <c r="DZ62" s="110">
        <f t="shared" si="315"/>
        <v>0</v>
      </c>
      <c r="EA62" s="110">
        <f t="shared" si="316"/>
        <v>0</v>
      </c>
      <c r="EB62" s="110">
        <f t="shared" si="317"/>
        <v>0</v>
      </c>
      <c r="EC62" s="110">
        <f t="shared" si="318"/>
        <v>0</v>
      </c>
      <c r="ED62" s="110">
        <f t="shared" si="319"/>
        <v>0</v>
      </c>
      <c r="EE62" s="110">
        <f t="shared" si="320"/>
        <v>0</v>
      </c>
      <c r="EF62" s="110">
        <f t="shared" si="321"/>
        <v>0</v>
      </c>
      <c r="EG62" s="110">
        <f t="shared" si="322"/>
        <v>0</v>
      </c>
      <c r="EH62" s="110">
        <f t="shared" si="323"/>
        <v>0</v>
      </c>
      <c r="EI62" s="110">
        <f t="shared" si="324"/>
        <v>0</v>
      </c>
      <c r="EK62" s="111"/>
      <c r="EL62" s="110">
        <f t="shared" si="325"/>
        <v>0</v>
      </c>
      <c r="EM62" s="110">
        <f t="shared" si="326"/>
        <v>0</v>
      </c>
      <c r="EN62" s="110">
        <f t="shared" si="327"/>
        <v>6.2700000000000102</v>
      </c>
      <c r="EP62" s="109" cm="1">
        <f t="array" ref="EP62">+IFERROR(INDEX($C$3:$AM$3,MATCH(TRUE,INDEX($C62:$AM62&lt;&gt;0,0),0)),"N/A")</f>
        <v>44926</v>
      </c>
      <c r="EQ62" s="112"/>
      <c r="ER62" s="1" t="str" cm="1">
        <f t="array" ref="ER62">+_xlfn.IFS(EW62&lt;&gt;0,EW$2,FB62&lt;&gt;0,FB$2,FG62&lt;&gt;0,FG$2,FL62&lt;&gt;0,FL$2,TRUE,"")</f>
        <v/>
      </c>
      <c r="ES62" s="1" t="str" cm="1">
        <f t="array" ref="ES62">+_xlfn.IFS(EX62&lt;&gt;0,EX$2,FC62&lt;&gt;0,FC$2,FH62&lt;&gt;0,FH$2,FM62&lt;&gt;0,FM$2,TRUE,"")</f>
        <v/>
      </c>
      <c r="ET62" s="1" t="str" cm="1">
        <f t="array" ref="ET62">+_xlfn.IFS(EY62&lt;&gt;0,EY$2,FD62&lt;&gt;0,FD$2,FI62&lt;&gt;0,FI$2,FN62&lt;&gt;0,FN$2,TRUE,"")</f>
        <v>Upsell</v>
      </c>
      <c r="EV62" s="111"/>
      <c r="EW62" s="110">
        <f t="shared" si="328"/>
        <v>0</v>
      </c>
      <c r="EX62" s="110">
        <f t="shared" si="329"/>
        <v>0</v>
      </c>
      <c r="EY62" s="110">
        <f t="shared" si="330"/>
        <v>0</v>
      </c>
      <c r="FA62" s="111"/>
      <c r="FB62" s="110">
        <f t="shared" si="331"/>
        <v>0</v>
      </c>
      <c r="FC62" s="110">
        <f t="shared" si="332"/>
        <v>0</v>
      </c>
      <c r="FD62" s="110">
        <f t="shared" si="333"/>
        <v>0</v>
      </c>
      <c r="FF62" s="111"/>
      <c r="FG62" s="110">
        <f t="shared" si="334"/>
        <v>0</v>
      </c>
      <c r="FH62" s="110">
        <f t="shared" si="335"/>
        <v>0</v>
      </c>
      <c r="FI62" s="110">
        <f t="shared" si="336"/>
        <v>0</v>
      </c>
      <c r="FK62" s="111"/>
      <c r="FL62" s="110">
        <f t="shared" si="337"/>
        <v>0</v>
      </c>
      <c r="FM62" s="110">
        <f t="shared" si="338"/>
        <v>0</v>
      </c>
      <c r="FN62" s="110">
        <f t="shared" si="339"/>
        <v>6.2700000000000102</v>
      </c>
      <c r="FP62" s="111"/>
      <c r="FQ62" s="110">
        <f t="shared" si="340"/>
        <v>0</v>
      </c>
      <c r="FR62" s="110">
        <f t="shared" si="341"/>
        <v>0</v>
      </c>
      <c r="FS62" s="110">
        <f t="shared" si="342"/>
        <v>0</v>
      </c>
      <c r="FU62" s="111">
        <f t="shared" si="343"/>
        <v>0</v>
      </c>
      <c r="FV62" s="110">
        <f t="shared" si="344"/>
        <v>0</v>
      </c>
      <c r="FW62" s="110">
        <f t="shared" si="345"/>
        <v>0</v>
      </c>
      <c r="FX62" s="110">
        <f t="shared" si="346"/>
        <v>0</v>
      </c>
      <c r="FY62" s="110">
        <f t="shared" si="347"/>
        <v>0</v>
      </c>
      <c r="FZ62" s="110">
        <f t="shared" si="348"/>
        <v>0</v>
      </c>
      <c r="GA62" s="110">
        <f t="shared" si="349"/>
        <v>0</v>
      </c>
      <c r="GB62" s="110">
        <f t="shared" si="350"/>
        <v>0</v>
      </c>
      <c r="GC62" s="110">
        <f t="shared" si="351"/>
        <v>0</v>
      </c>
      <c r="GD62" s="110">
        <f t="shared" si="352"/>
        <v>0</v>
      </c>
      <c r="GE62" s="110">
        <f t="shared" si="353"/>
        <v>0</v>
      </c>
      <c r="GF62" s="110">
        <f t="shared" si="354"/>
        <v>0</v>
      </c>
      <c r="GG62" s="110">
        <f t="shared" si="355"/>
        <v>0</v>
      </c>
      <c r="GH62" s="110">
        <f t="shared" si="356"/>
        <v>0</v>
      </c>
      <c r="GI62" s="110">
        <f t="shared" si="357"/>
        <v>0</v>
      </c>
      <c r="GJ62" s="110">
        <f t="shared" si="358"/>
        <v>0</v>
      </c>
      <c r="GK62" s="110">
        <f t="shared" si="359"/>
        <v>6.2700000000000102</v>
      </c>
      <c r="GL62" s="110">
        <f t="shared" si="360"/>
        <v>6.2700000000000102</v>
      </c>
      <c r="GM62" s="110">
        <f t="shared" si="361"/>
        <v>6.2700000000000102</v>
      </c>
      <c r="GN62" s="110">
        <f t="shared" si="362"/>
        <v>6.2700000000000102</v>
      </c>
      <c r="GO62" s="110">
        <f t="shared" si="363"/>
        <v>6.2700000000000102</v>
      </c>
      <c r="GP62" s="110">
        <f t="shared" si="364"/>
        <v>6.2700000000000102</v>
      </c>
      <c r="GQ62" s="110">
        <f t="shared" si="365"/>
        <v>6.2700000000000102</v>
      </c>
      <c r="GR62" s="110">
        <f t="shared" si="366"/>
        <v>6.2700000000000102</v>
      </c>
      <c r="GS62" s="110">
        <f t="shared" si="367"/>
        <v>6.2700000000000102</v>
      </c>
      <c r="GU62" s="109" cm="1">
        <f t="array" ref="GU62">+IFERROR(INDEX($C$3:$AM$3,MATCH(TRUE,INDEX($C62:$AM62&lt;&gt;0,0),0)),"N/A")</f>
        <v>44926</v>
      </c>
      <c r="GV62" s="112" t="str" cm="1">
        <f t="array" ref="GV62">+_xlfn.IFS(HV62&lt;&gt;0,HV$2,IV62&lt;&gt;0,IV$2,JV62&lt;&gt;0,JV$2,KV62&lt;&gt;0,KV$2,TRUE,"")</f>
        <v/>
      </c>
      <c r="GW62" s="1" t="str" cm="1">
        <f t="array" ref="GW62">+_xlfn.IFS(HW62&lt;&gt;0,HW$2,IW62&lt;&gt;0,IW$2,JW62&lt;&gt;0,JW$2,KW62&lt;&gt;0,KW$2,TRUE,"")</f>
        <v/>
      </c>
      <c r="GX62" s="1" t="str" cm="1">
        <f t="array" ref="GX62">+_xlfn.IFS(HX62&lt;&gt;0,HX$2,IX62&lt;&gt;0,IX$2,JX62&lt;&gt;0,JX$2,KX62&lt;&gt;0,KX$2,TRUE,"")</f>
        <v/>
      </c>
      <c r="GY62" s="1" t="str" cm="1">
        <f t="array" ref="GY62">+_xlfn.IFS(HY62&lt;&gt;0,HY$2,IY62&lt;&gt;0,IY$2,JY62&lt;&gt;0,JY$2,KY62&lt;&gt;0,KY$2,TRUE,"")</f>
        <v/>
      </c>
      <c r="GZ62" s="1" t="str" cm="1">
        <f t="array" ref="GZ62">+_xlfn.IFS(HZ62&lt;&gt;0,HZ$2,IZ62&lt;&gt;0,IZ$2,JZ62&lt;&gt;0,JZ$2,KZ62&lt;&gt;0,KZ$2,TRUE,"")</f>
        <v/>
      </c>
      <c r="HA62" s="1" t="str" cm="1">
        <f t="array" ref="HA62">+_xlfn.IFS(IA62&lt;&gt;0,IA$2,JA62&lt;&gt;0,JA$2,KA62&lt;&gt;0,KA$2,LA62&lt;&gt;0,LA$2,TRUE,"")</f>
        <v/>
      </c>
      <c r="HB62" s="1" t="str" cm="1">
        <f t="array" ref="HB62">+_xlfn.IFS(IB62&lt;&gt;0,IB$2,JB62&lt;&gt;0,JB$2,KB62&lt;&gt;0,KB$2,LB62&lt;&gt;0,LB$2,TRUE,"")</f>
        <v/>
      </c>
      <c r="HC62" s="1" t="str" cm="1">
        <f t="array" ref="HC62">+_xlfn.IFS(IC62&lt;&gt;0,IC$2,JC62&lt;&gt;0,JC$2,KC62&lt;&gt;0,KC$2,LC62&lt;&gt;0,LC$2,TRUE,"")</f>
        <v/>
      </c>
      <c r="HD62" s="1" t="str" cm="1">
        <f t="array" ref="HD62">+_xlfn.IFS(ID62&lt;&gt;0,ID$2,JD62&lt;&gt;0,JD$2,KD62&lt;&gt;0,KD$2,LD62&lt;&gt;0,LD$2,TRUE,"")</f>
        <v/>
      </c>
      <c r="HE62" s="1" t="str" cm="1">
        <f t="array" ref="HE62">+_xlfn.IFS(IE62&lt;&gt;0,IE$2,JE62&lt;&gt;0,JE$2,KE62&lt;&gt;0,KE$2,LE62&lt;&gt;0,LE$2,TRUE,"")</f>
        <v/>
      </c>
      <c r="HF62" s="1" t="str" cm="1">
        <f t="array" ref="HF62">+_xlfn.IFS(IF62&lt;&gt;0,IF$2,JF62&lt;&gt;0,JF$2,KF62&lt;&gt;0,KF$2,LF62&lt;&gt;0,LF$2,TRUE,"")</f>
        <v/>
      </c>
      <c r="HG62" s="1" t="str" cm="1">
        <f t="array" ref="HG62">+_xlfn.IFS(IG62&lt;&gt;0,IG$2,JG62&lt;&gt;0,JG$2,KG62&lt;&gt;0,KG$2,LG62&lt;&gt;0,LG$2,TRUE,"")</f>
        <v/>
      </c>
      <c r="HH62" s="1" t="str" cm="1">
        <f t="array" ref="HH62">+_xlfn.IFS(IH62&lt;&gt;0,IH$2,JH62&lt;&gt;0,JH$2,KH62&lt;&gt;0,KH$2,LH62&lt;&gt;0,LH$2,TRUE,"")</f>
        <v/>
      </c>
      <c r="HI62" s="1" t="str" cm="1">
        <f t="array" ref="HI62">+_xlfn.IFS(II62&lt;&gt;0,II$2,JI62&lt;&gt;0,JI$2,KI62&lt;&gt;0,KI$2,LI62&lt;&gt;0,LI$2,TRUE,"")</f>
        <v/>
      </c>
      <c r="HJ62" s="1" t="str" cm="1">
        <f t="array" ref="HJ62">+_xlfn.IFS(IJ62&lt;&gt;0,IJ$2,JJ62&lt;&gt;0,JJ$2,KJ62&lt;&gt;0,KJ$2,LJ62&lt;&gt;0,LJ$2,TRUE,"")</f>
        <v/>
      </c>
      <c r="HK62" s="1" t="str" cm="1">
        <f t="array" ref="HK62">+_xlfn.IFS(IK62&lt;&gt;0,IK$2,JK62&lt;&gt;0,JK$2,KK62&lt;&gt;0,KK$2,LK62&lt;&gt;0,LK$2,TRUE,"")</f>
        <v/>
      </c>
      <c r="HL62" s="1" t="str" cm="1">
        <f t="array" ref="HL62">+_xlfn.IFS(IL62&lt;&gt;0,IL$2,JL62&lt;&gt;0,JL$2,KL62&lt;&gt;0,KL$2,LL62&lt;&gt;0,LL$2,TRUE,"")</f>
        <v>Upsell</v>
      </c>
      <c r="HM62" s="1" t="str" cm="1">
        <f t="array" ref="HM62">+_xlfn.IFS(IM62&lt;&gt;0,IM$2,JM62&lt;&gt;0,JM$2,KM62&lt;&gt;0,KM$2,LM62&lt;&gt;0,LM$2,TRUE,"")</f>
        <v>Upsell</v>
      </c>
      <c r="HN62" s="1" t="str" cm="1">
        <f t="array" ref="HN62">+_xlfn.IFS(IN62&lt;&gt;0,IN$2,JN62&lt;&gt;0,JN$2,KN62&lt;&gt;0,KN$2,LN62&lt;&gt;0,LN$2,TRUE,"")</f>
        <v>Upsell</v>
      </c>
      <c r="HO62" s="1" t="str" cm="1">
        <f t="array" ref="HO62">+_xlfn.IFS(IO62&lt;&gt;0,IO$2,JO62&lt;&gt;0,JO$2,KO62&lt;&gt;0,KO$2,LO62&lt;&gt;0,LO$2,TRUE,"")</f>
        <v>Upsell</v>
      </c>
      <c r="HP62" s="1" t="str" cm="1">
        <f t="array" ref="HP62">+_xlfn.IFS(IP62&lt;&gt;0,IP$2,JP62&lt;&gt;0,JP$2,KP62&lt;&gt;0,KP$2,LP62&lt;&gt;0,LP$2,TRUE,"")</f>
        <v>Upsell</v>
      </c>
      <c r="HQ62" s="1" t="str" cm="1">
        <f t="array" ref="HQ62">+_xlfn.IFS(IQ62&lt;&gt;0,IQ$2,JQ62&lt;&gt;0,JQ$2,KQ62&lt;&gt;0,KQ$2,LQ62&lt;&gt;0,LQ$2,TRUE,"")</f>
        <v>Upsell</v>
      </c>
      <c r="HR62" s="1" t="str" cm="1">
        <f t="array" ref="HR62">+_xlfn.IFS(IR62&lt;&gt;0,IR$2,JR62&lt;&gt;0,JR$2,KR62&lt;&gt;0,KR$2,LR62&lt;&gt;0,LR$2,TRUE,"")</f>
        <v>Upsell</v>
      </c>
      <c r="HS62" s="1" t="str" cm="1">
        <f t="array" ref="HS62">+_xlfn.IFS(IS62&lt;&gt;0,IS$2,JS62&lt;&gt;0,JS$2,KS62&lt;&gt;0,KS$2,LS62&lt;&gt;0,LS$2,TRUE,"")</f>
        <v>Upsell</v>
      </c>
      <c r="HT62" s="1" t="str" cm="1">
        <f t="array" ref="HT62">+_xlfn.IFS(IT62&lt;&gt;0,IT$2,JT62&lt;&gt;0,JT$2,KT62&lt;&gt;0,KT$2,LT62&lt;&gt;0,LT$2,TRUE,"")</f>
        <v>Upsell</v>
      </c>
      <c r="HV62" s="111">
        <f t="shared" si="368"/>
        <v>0</v>
      </c>
      <c r="HW62" s="110">
        <f t="shared" si="369"/>
        <v>0</v>
      </c>
      <c r="HX62" s="110">
        <f t="shared" si="370"/>
        <v>0</v>
      </c>
      <c r="HY62" s="110">
        <f t="shared" si="371"/>
        <v>0</v>
      </c>
      <c r="HZ62" s="110">
        <f t="shared" si="372"/>
        <v>0</v>
      </c>
      <c r="IA62" s="110">
        <f t="shared" si="373"/>
        <v>0</v>
      </c>
      <c r="IB62" s="110">
        <f t="shared" si="374"/>
        <v>0</v>
      </c>
      <c r="IC62" s="110">
        <f t="shared" si="375"/>
        <v>0</v>
      </c>
      <c r="ID62" s="110">
        <f t="shared" si="376"/>
        <v>0</v>
      </c>
      <c r="IE62" s="110">
        <f t="shared" si="377"/>
        <v>0</v>
      </c>
      <c r="IF62" s="110">
        <f t="shared" si="378"/>
        <v>0</v>
      </c>
      <c r="IG62" s="110">
        <f t="shared" si="379"/>
        <v>0</v>
      </c>
      <c r="IH62" s="110">
        <f t="shared" si="380"/>
        <v>0</v>
      </c>
      <c r="II62" s="110">
        <f t="shared" si="381"/>
        <v>0</v>
      </c>
      <c r="IJ62" s="110">
        <f t="shared" si="382"/>
        <v>0</v>
      </c>
      <c r="IK62" s="110">
        <f t="shared" si="383"/>
        <v>0</v>
      </c>
      <c r="IL62" s="110">
        <f t="shared" si="384"/>
        <v>0</v>
      </c>
      <c r="IM62" s="110">
        <f t="shared" si="385"/>
        <v>0</v>
      </c>
      <c r="IN62" s="110">
        <f t="shared" si="386"/>
        <v>0</v>
      </c>
      <c r="IO62" s="110">
        <f t="shared" si="387"/>
        <v>0</v>
      </c>
      <c r="IP62" s="110">
        <f t="shared" si="388"/>
        <v>0</v>
      </c>
      <c r="IQ62" s="110">
        <f t="shared" si="389"/>
        <v>0</v>
      </c>
      <c r="IR62" s="110">
        <f t="shared" si="390"/>
        <v>0</v>
      </c>
      <c r="IS62" s="110">
        <f t="shared" si="391"/>
        <v>0</v>
      </c>
      <c r="IT62" s="110">
        <f t="shared" si="392"/>
        <v>0</v>
      </c>
      <c r="IV62" s="111">
        <f t="shared" si="393"/>
        <v>0</v>
      </c>
      <c r="IW62" s="110">
        <f t="shared" si="394"/>
        <v>0</v>
      </c>
      <c r="IX62" s="110">
        <f t="shared" si="395"/>
        <v>0</v>
      </c>
      <c r="IY62" s="110">
        <f t="shared" si="396"/>
        <v>0</v>
      </c>
      <c r="IZ62" s="110">
        <f t="shared" si="397"/>
        <v>0</v>
      </c>
      <c r="JA62" s="110">
        <f t="shared" si="398"/>
        <v>0</v>
      </c>
      <c r="JB62" s="110">
        <f t="shared" si="399"/>
        <v>0</v>
      </c>
      <c r="JC62" s="110">
        <f t="shared" si="400"/>
        <v>0</v>
      </c>
      <c r="JD62" s="110">
        <f t="shared" si="401"/>
        <v>0</v>
      </c>
      <c r="JE62" s="110">
        <f t="shared" si="402"/>
        <v>0</v>
      </c>
      <c r="JF62" s="110">
        <f t="shared" si="403"/>
        <v>0</v>
      </c>
      <c r="JG62" s="110">
        <f t="shared" si="404"/>
        <v>0</v>
      </c>
      <c r="JH62" s="110">
        <f t="shared" si="405"/>
        <v>0</v>
      </c>
      <c r="JI62" s="110">
        <f t="shared" si="406"/>
        <v>0</v>
      </c>
      <c r="JJ62" s="110">
        <f t="shared" si="407"/>
        <v>0</v>
      </c>
      <c r="JK62" s="110">
        <f t="shared" si="408"/>
        <v>0</v>
      </c>
      <c r="JL62" s="110">
        <f t="shared" si="409"/>
        <v>0</v>
      </c>
      <c r="JM62" s="110">
        <f t="shared" si="410"/>
        <v>0</v>
      </c>
      <c r="JN62" s="110">
        <f t="shared" si="411"/>
        <v>0</v>
      </c>
      <c r="JO62" s="110">
        <f t="shared" si="412"/>
        <v>0</v>
      </c>
      <c r="JP62" s="110">
        <f t="shared" si="413"/>
        <v>0</v>
      </c>
      <c r="JQ62" s="110">
        <f t="shared" si="414"/>
        <v>0</v>
      </c>
      <c r="JR62" s="110">
        <f t="shared" si="415"/>
        <v>0</v>
      </c>
      <c r="JS62" s="110">
        <f t="shared" si="416"/>
        <v>0</v>
      </c>
      <c r="JT62" s="110">
        <f t="shared" si="417"/>
        <v>0</v>
      </c>
      <c r="JV62" s="111">
        <f t="shared" si="418"/>
        <v>0</v>
      </c>
      <c r="JW62" s="110">
        <f t="shared" si="419"/>
        <v>0</v>
      </c>
      <c r="JX62" s="110">
        <f t="shared" si="420"/>
        <v>0</v>
      </c>
      <c r="JY62" s="110">
        <f t="shared" si="421"/>
        <v>0</v>
      </c>
      <c r="JZ62" s="110">
        <f t="shared" si="422"/>
        <v>0</v>
      </c>
      <c r="KA62" s="110">
        <f t="shared" si="423"/>
        <v>0</v>
      </c>
      <c r="KB62" s="110">
        <f t="shared" si="424"/>
        <v>0</v>
      </c>
      <c r="KC62" s="110">
        <f t="shared" si="425"/>
        <v>0</v>
      </c>
      <c r="KD62" s="110">
        <f t="shared" si="426"/>
        <v>0</v>
      </c>
      <c r="KE62" s="110">
        <f t="shared" si="427"/>
        <v>0</v>
      </c>
      <c r="KF62" s="110">
        <f t="shared" si="428"/>
        <v>0</v>
      </c>
      <c r="KG62" s="110">
        <f t="shared" si="429"/>
        <v>0</v>
      </c>
      <c r="KH62" s="110">
        <f t="shared" si="430"/>
        <v>0</v>
      </c>
      <c r="KI62" s="110">
        <f t="shared" si="431"/>
        <v>0</v>
      </c>
      <c r="KJ62" s="110">
        <f t="shared" si="432"/>
        <v>0</v>
      </c>
      <c r="KK62" s="110">
        <f t="shared" si="433"/>
        <v>0</v>
      </c>
      <c r="KL62" s="110">
        <f t="shared" si="434"/>
        <v>0</v>
      </c>
      <c r="KM62" s="110">
        <f t="shared" si="435"/>
        <v>0</v>
      </c>
      <c r="KN62" s="110">
        <f t="shared" si="436"/>
        <v>0</v>
      </c>
      <c r="KO62" s="110">
        <f t="shared" si="437"/>
        <v>0</v>
      </c>
      <c r="KP62" s="110">
        <f t="shared" si="438"/>
        <v>0</v>
      </c>
      <c r="KQ62" s="110">
        <f t="shared" si="439"/>
        <v>0</v>
      </c>
      <c r="KR62" s="110">
        <f t="shared" si="440"/>
        <v>0</v>
      </c>
      <c r="KS62" s="110">
        <f t="shared" si="441"/>
        <v>0</v>
      </c>
      <c r="KT62" s="110">
        <f t="shared" si="442"/>
        <v>0</v>
      </c>
      <c r="KV62" s="111">
        <f t="shared" si="443"/>
        <v>0</v>
      </c>
      <c r="KW62" s="110">
        <f t="shared" si="444"/>
        <v>0</v>
      </c>
      <c r="KX62" s="110">
        <f t="shared" si="445"/>
        <v>0</v>
      </c>
      <c r="KY62" s="110">
        <f t="shared" si="446"/>
        <v>0</v>
      </c>
      <c r="KZ62" s="110">
        <f t="shared" si="447"/>
        <v>0</v>
      </c>
      <c r="LA62" s="110">
        <f t="shared" si="448"/>
        <v>0</v>
      </c>
      <c r="LB62" s="110">
        <f t="shared" si="449"/>
        <v>0</v>
      </c>
      <c r="LC62" s="110">
        <f t="shared" si="450"/>
        <v>0</v>
      </c>
      <c r="LD62" s="110">
        <f t="shared" si="451"/>
        <v>0</v>
      </c>
      <c r="LE62" s="110">
        <f t="shared" si="452"/>
        <v>0</v>
      </c>
      <c r="LF62" s="110">
        <f t="shared" si="453"/>
        <v>0</v>
      </c>
      <c r="LG62" s="110">
        <f t="shared" si="454"/>
        <v>0</v>
      </c>
      <c r="LH62" s="110">
        <f t="shared" si="455"/>
        <v>0</v>
      </c>
      <c r="LI62" s="110">
        <f t="shared" si="456"/>
        <v>0</v>
      </c>
      <c r="LJ62" s="110">
        <f t="shared" si="457"/>
        <v>0</v>
      </c>
      <c r="LK62" s="110">
        <f t="shared" si="458"/>
        <v>0</v>
      </c>
      <c r="LL62" s="110">
        <f t="shared" si="459"/>
        <v>6.2700000000000102</v>
      </c>
      <c r="LM62" s="110">
        <f t="shared" si="460"/>
        <v>6.2700000000000102</v>
      </c>
      <c r="LN62" s="110">
        <f t="shared" si="461"/>
        <v>6.2700000000000102</v>
      </c>
      <c r="LO62" s="110">
        <f t="shared" si="462"/>
        <v>6.2700000000000102</v>
      </c>
      <c r="LP62" s="110">
        <f t="shared" si="463"/>
        <v>6.2700000000000102</v>
      </c>
      <c r="LQ62" s="110">
        <f t="shared" si="464"/>
        <v>6.2700000000000102</v>
      </c>
      <c r="LR62" s="110">
        <f t="shared" si="465"/>
        <v>6.2700000000000102</v>
      </c>
      <c r="LS62" s="110">
        <f t="shared" si="466"/>
        <v>6.2700000000000102</v>
      </c>
      <c r="LT62" s="110">
        <f t="shared" si="467"/>
        <v>6.2700000000000102</v>
      </c>
      <c r="LV62" s="111"/>
      <c r="LW62" s="110">
        <f t="shared" si="468"/>
        <v>0</v>
      </c>
      <c r="LX62" s="110">
        <f t="shared" si="469"/>
        <v>0</v>
      </c>
      <c r="LY62" s="110">
        <f t="shared" si="470"/>
        <v>0</v>
      </c>
      <c r="LZ62" s="110">
        <f t="shared" si="471"/>
        <v>0</v>
      </c>
      <c r="MA62" s="110">
        <f t="shared" si="472"/>
        <v>0</v>
      </c>
      <c r="MB62" s="110">
        <f t="shared" si="473"/>
        <v>0</v>
      </c>
      <c r="MC62" s="110">
        <f t="shared" si="474"/>
        <v>0</v>
      </c>
      <c r="MD62" s="110">
        <f t="shared" si="475"/>
        <v>0</v>
      </c>
      <c r="ME62" s="110">
        <f t="shared" si="476"/>
        <v>0</v>
      </c>
      <c r="MF62" s="110">
        <f t="shared" si="477"/>
        <v>0</v>
      </c>
      <c r="MG62" s="110">
        <f t="shared" si="478"/>
        <v>0</v>
      </c>
      <c r="MH62" s="110">
        <f t="shared" si="479"/>
        <v>0</v>
      </c>
      <c r="MI62" s="110">
        <f t="shared" si="480"/>
        <v>0</v>
      </c>
      <c r="MJ62" s="110">
        <f t="shared" si="481"/>
        <v>0</v>
      </c>
      <c r="MK62" s="110">
        <f t="shared" si="482"/>
        <v>0</v>
      </c>
      <c r="ML62" s="110">
        <f t="shared" si="483"/>
        <v>0</v>
      </c>
      <c r="MM62" s="110">
        <f t="shared" si="484"/>
        <v>0</v>
      </c>
      <c r="MN62" s="110">
        <f t="shared" si="485"/>
        <v>0</v>
      </c>
      <c r="MO62" s="110">
        <f t="shared" si="486"/>
        <v>0</v>
      </c>
      <c r="MP62" s="110">
        <f t="shared" si="487"/>
        <v>0</v>
      </c>
      <c r="MQ62" s="110">
        <f t="shared" si="488"/>
        <v>0</v>
      </c>
      <c r="MR62" s="110">
        <f t="shared" si="489"/>
        <v>0</v>
      </c>
      <c r="MS62" s="110">
        <f t="shared" si="490"/>
        <v>0</v>
      </c>
      <c r="MT62" s="110">
        <f t="shared" si="491"/>
        <v>0</v>
      </c>
      <c r="MV62" s="114">
        <v>185.27</v>
      </c>
      <c r="MW62" s="114">
        <v>0</v>
      </c>
      <c r="MX62" s="114">
        <v>6.2700000000000102</v>
      </c>
      <c r="MY62" s="114">
        <v>0</v>
      </c>
      <c r="MZ62" s="114">
        <v>0</v>
      </c>
      <c r="NB62" s="115">
        <v>60</v>
      </c>
      <c r="NC62" s="115" t="str">
        <v>N/A</v>
      </c>
      <c r="ND62" s="115">
        <v>42</v>
      </c>
      <c r="NE62" s="115" t="str">
        <v>N/A</v>
      </c>
      <c r="NF62" s="115" t="str">
        <v>N/A</v>
      </c>
    </row>
    <row r="63" spans="2:370" ht="13.5" x14ac:dyDescent="0.25">
      <c r="B63" s="8">
        <f t="shared" si="252"/>
        <v>60</v>
      </c>
      <c r="C63" s="7">
        <v>179</v>
      </c>
      <c r="D63" s="7">
        <v>179</v>
      </c>
      <c r="E63" s="7">
        <v>179</v>
      </c>
      <c r="F63" s="7">
        <v>179</v>
      </c>
      <c r="G63" s="7">
        <v>179</v>
      </c>
      <c r="H63" s="7">
        <v>179</v>
      </c>
      <c r="I63" s="7">
        <v>179</v>
      </c>
      <c r="J63" s="7">
        <v>179</v>
      </c>
      <c r="K63" s="7">
        <v>179</v>
      </c>
      <c r="L63" s="7">
        <v>179</v>
      </c>
      <c r="M63" s="7">
        <v>179</v>
      </c>
      <c r="N63" s="7">
        <v>179</v>
      </c>
      <c r="O63" s="7">
        <v>179</v>
      </c>
      <c r="P63" s="7">
        <v>179</v>
      </c>
      <c r="Q63" s="7">
        <v>179</v>
      </c>
      <c r="R63" s="7">
        <v>179</v>
      </c>
      <c r="S63" s="7">
        <v>179</v>
      </c>
      <c r="T63" s="7">
        <v>179</v>
      </c>
      <c r="U63" s="7">
        <v>179</v>
      </c>
      <c r="V63" s="7">
        <v>179</v>
      </c>
      <c r="W63" s="7">
        <v>179</v>
      </c>
      <c r="X63" s="7">
        <v>179</v>
      </c>
      <c r="Y63" s="7">
        <v>179</v>
      </c>
      <c r="Z63" s="7">
        <v>179</v>
      </c>
      <c r="AA63" s="7">
        <v>179</v>
      </c>
      <c r="AB63" s="7">
        <v>179</v>
      </c>
      <c r="AC63" s="7">
        <v>199</v>
      </c>
      <c r="AD63" s="7">
        <v>199</v>
      </c>
      <c r="AE63" s="7">
        <v>199</v>
      </c>
      <c r="AF63" s="7">
        <v>199</v>
      </c>
      <c r="AG63" s="7">
        <v>199</v>
      </c>
      <c r="AH63" s="7">
        <v>199</v>
      </c>
      <c r="AI63" s="7">
        <v>199</v>
      </c>
      <c r="AJ63" s="7">
        <v>199</v>
      </c>
      <c r="AK63" s="7">
        <v>199</v>
      </c>
      <c r="AL63" s="7">
        <v>199</v>
      </c>
      <c r="AM63" s="7">
        <v>199</v>
      </c>
      <c r="AN63" s="27">
        <v>60</v>
      </c>
      <c r="AP63" s="111"/>
      <c r="AQ63" s="110">
        <f t="shared" si="253"/>
        <v>0</v>
      </c>
      <c r="AR63" s="110">
        <f t="shared" si="254"/>
        <v>0</v>
      </c>
      <c r="AS63" s="110">
        <f t="shared" si="255"/>
        <v>0</v>
      </c>
      <c r="AT63" s="110">
        <f t="shared" si="256"/>
        <v>0</v>
      </c>
      <c r="AU63" s="110">
        <f t="shared" si="257"/>
        <v>0</v>
      </c>
      <c r="AV63" s="110">
        <f t="shared" si="258"/>
        <v>0</v>
      </c>
      <c r="AW63" s="110">
        <f t="shared" si="259"/>
        <v>0</v>
      </c>
      <c r="AX63" s="110">
        <f t="shared" si="260"/>
        <v>0</v>
      </c>
      <c r="AY63" s="110">
        <f t="shared" si="261"/>
        <v>20</v>
      </c>
      <c r="AZ63" s="110">
        <f t="shared" si="262"/>
        <v>0</v>
      </c>
      <c r="BA63" s="110">
        <f t="shared" si="263"/>
        <v>0</v>
      </c>
      <c r="BB63" s="110">
        <f t="shared" si="264"/>
        <v>0</v>
      </c>
      <c r="BD63" s="109" cm="1">
        <f t="array" ref="BD63">+IFERROR(INDEX($C$3:$AM$3,MATCH(TRUE,INDEX($C63:$AM63&lt;&gt;0,0),0)),"N/A")</f>
        <v>44926</v>
      </c>
      <c r="BE63" s="112"/>
      <c r="BF63" s="1" t="str" cm="1">
        <f t="array" ref="BF63">+_xlfn.IFS(BT63&lt;&gt;0,BT$2,CH63&lt;&gt;0,CH$2,CV63&lt;&gt;0,CV$2,DJ63&lt;&gt;0,DJ$2,TRUE,"")</f>
        <v/>
      </c>
      <c r="BG63" s="1" t="str" cm="1">
        <f t="array" ref="BG63">+_xlfn.IFS(BU63&lt;&gt;0,BU$2,CI63&lt;&gt;0,CI$2,CW63&lt;&gt;0,CW$2,DK63&lt;&gt;0,DK$2,TRUE,"")</f>
        <v/>
      </c>
      <c r="BH63" s="1" t="str" cm="1">
        <f t="array" ref="BH63">+_xlfn.IFS(BV63&lt;&gt;0,BV$2,CJ63&lt;&gt;0,CJ$2,CX63&lt;&gt;0,CX$2,DL63&lt;&gt;0,DL$2,TRUE,"")</f>
        <v/>
      </c>
      <c r="BI63" s="1" t="str" cm="1">
        <f t="array" ref="BI63">+_xlfn.IFS(BW63&lt;&gt;0,BW$2,CK63&lt;&gt;0,CK$2,CY63&lt;&gt;0,CY$2,DM63&lt;&gt;0,DM$2,TRUE,"")</f>
        <v/>
      </c>
      <c r="BJ63" s="1" t="str" cm="1">
        <f t="array" ref="BJ63">+_xlfn.IFS(BX63&lt;&gt;0,BX$2,CL63&lt;&gt;0,CL$2,CZ63&lt;&gt;0,CZ$2,DN63&lt;&gt;0,DN$2,TRUE,"")</f>
        <v/>
      </c>
      <c r="BK63" s="1" t="str" cm="1">
        <f t="array" ref="BK63">+_xlfn.IFS(BY63&lt;&gt;0,BY$2,CM63&lt;&gt;0,CM$2,DA63&lt;&gt;0,DA$2,DO63&lt;&gt;0,DO$2,TRUE,"")</f>
        <v/>
      </c>
      <c r="BL63" s="1" t="str" cm="1">
        <f t="array" ref="BL63">+_xlfn.IFS(BZ63&lt;&gt;0,BZ$2,CN63&lt;&gt;0,CN$2,DB63&lt;&gt;0,DB$2,DP63&lt;&gt;0,DP$2,TRUE,"")</f>
        <v/>
      </c>
      <c r="BM63" s="1" t="str" cm="1">
        <f t="array" ref="BM63">+_xlfn.IFS(CA63&lt;&gt;0,CA$2,CO63&lt;&gt;0,CO$2,DC63&lt;&gt;0,DC$2,DQ63&lt;&gt;0,DQ$2,TRUE,"")</f>
        <v/>
      </c>
      <c r="BN63" s="1" t="str" cm="1">
        <f t="array" ref="BN63">+_xlfn.IFS(CB63&lt;&gt;0,CB$2,CP63&lt;&gt;0,CP$2,DD63&lt;&gt;0,DD$2,DR63&lt;&gt;0,DR$2,TRUE,"")</f>
        <v>Upsell</v>
      </c>
      <c r="BO63" s="1" t="str" cm="1">
        <f t="array" ref="BO63">+_xlfn.IFS(CC63&lt;&gt;0,CC$2,CQ63&lt;&gt;0,CQ$2,DE63&lt;&gt;0,DE$2,DS63&lt;&gt;0,DS$2,TRUE,"")</f>
        <v/>
      </c>
      <c r="BP63" s="1" t="str" cm="1">
        <f t="array" ref="BP63">+_xlfn.IFS(CD63&lt;&gt;0,CD$2,CR63&lt;&gt;0,CR$2,DF63&lt;&gt;0,DF$2,DT63&lt;&gt;0,DT$2,TRUE,"")</f>
        <v/>
      </c>
      <c r="BQ63" s="1" t="str" cm="1">
        <f t="array" ref="BQ63">+_xlfn.IFS(CE63&lt;&gt;0,CE$2,CS63&lt;&gt;0,CS$2,DG63&lt;&gt;0,DG$2,DU63&lt;&gt;0,DU$2,TRUE,"")</f>
        <v/>
      </c>
      <c r="BS63" s="111"/>
      <c r="BT63" s="110">
        <f t="shared" si="265"/>
        <v>0</v>
      </c>
      <c r="BU63" s="110">
        <f t="shared" si="266"/>
        <v>0</v>
      </c>
      <c r="BV63" s="110">
        <f t="shared" si="267"/>
        <v>0</v>
      </c>
      <c r="BW63" s="110">
        <f t="shared" si="268"/>
        <v>0</v>
      </c>
      <c r="BX63" s="110">
        <f t="shared" si="269"/>
        <v>0</v>
      </c>
      <c r="BY63" s="110">
        <f t="shared" si="270"/>
        <v>0</v>
      </c>
      <c r="BZ63" s="110">
        <f t="shared" si="271"/>
        <v>0</v>
      </c>
      <c r="CA63" s="110">
        <f t="shared" si="272"/>
        <v>0</v>
      </c>
      <c r="CB63" s="110">
        <f t="shared" si="273"/>
        <v>0</v>
      </c>
      <c r="CC63" s="110">
        <f t="shared" si="274"/>
        <v>0</v>
      </c>
      <c r="CD63" s="110">
        <f t="shared" si="275"/>
        <v>0</v>
      </c>
      <c r="CE63" s="110">
        <f t="shared" si="276"/>
        <v>0</v>
      </c>
      <c r="CG63" s="111"/>
      <c r="CH63" s="110">
        <f t="shared" si="277"/>
        <v>0</v>
      </c>
      <c r="CI63" s="110">
        <f t="shared" si="278"/>
        <v>0</v>
      </c>
      <c r="CJ63" s="110">
        <f t="shared" si="279"/>
        <v>0</v>
      </c>
      <c r="CK63" s="110">
        <f t="shared" si="280"/>
        <v>0</v>
      </c>
      <c r="CL63" s="110">
        <f t="shared" si="281"/>
        <v>0</v>
      </c>
      <c r="CM63" s="110">
        <f t="shared" si="282"/>
        <v>0</v>
      </c>
      <c r="CN63" s="110">
        <f t="shared" si="283"/>
        <v>0</v>
      </c>
      <c r="CO63" s="110">
        <f t="shared" si="284"/>
        <v>0</v>
      </c>
      <c r="CP63" s="110">
        <f t="shared" si="285"/>
        <v>0</v>
      </c>
      <c r="CQ63" s="110">
        <f t="shared" si="286"/>
        <v>0</v>
      </c>
      <c r="CR63" s="110">
        <f t="shared" si="287"/>
        <v>0</v>
      </c>
      <c r="CS63" s="110">
        <f t="shared" si="288"/>
        <v>0</v>
      </c>
      <c r="CU63" s="111"/>
      <c r="CV63" s="110">
        <f t="shared" si="289"/>
        <v>0</v>
      </c>
      <c r="CW63" s="110">
        <f t="shared" si="290"/>
        <v>0</v>
      </c>
      <c r="CX63" s="110">
        <f t="shared" si="291"/>
        <v>0</v>
      </c>
      <c r="CY63" s="110">
        <f t="shared" si="292"/>
        <v>0</v>
      </c>
      <c r="CZ63" s="110">
        <f t="shared" si="293"/>
        <v>0</v>
      </c>
      <c r="DA63" s="110">
        <f t="shared" si="294"/>
        <v>0</v>
      </c>
      <c r="DB63" s="110">
        <f t="shared" si="295"/>
        <v>0</v>
      </c>
      <c r="DC63" s="110">
        <f t="shared" si="296"/>
        <v>0</v>
      </c>
      <c r="DD63" s="110">
        <f t="shared" si="297"/>
        <v>0</v>
      </c>
      <c r="DE63" s="110">
        <f t="shared" si="298"/>
        <v>0</v>
      </c>
      <c r="DF63" s="110">
        <f t="shared" si="299"/>
        <v>0</v>
      </c>
      <c r="DG63" s="110">
        <f t="shared" si="300"/>
        <v>0</v>
      </c>
      <c r="DI63" s="111"/>
      <c r="DJ63" s="110">
        <f t="shared" si="301"/>
        <v>0</v>
      </c>
      <c r="DK63" s="110">
        <f t="shared" si="302"/>
        <v>0</v>
      </c>
      <c r="DL63" s="110">
        <f t="shared" si="303"/>
        <v>0</v>
      </c>
      <c r="DM63" s="110">
        <f t="shared" si="304"/>
        <v>0</v>
      </c>
      <c r="DN63" s="110">
        <f t="shared" si="305"/>
        <v>0</v>
      </c>
      <c r="DO63" s="110">
        <f t="shared" si="306"/>
        <v>0</v>
      </c>
      <c r="DP63" s="110">
        <f t="shared" si="307"/>
        <v>0</v>
      </c>
      <c r="DQ63" s="110">
        <f t="shared" si="308"/>
        <v>0</v>
      </c>
      <c r="DR63" s="110">
        <f t="shared" si="309"/>
        <v>20</v>
      </c>
      <c r="DS63" s="110">
        <f t="shared" si="310"/>
        <v>0</v>
      </c>
      <c r="DT63" s="110">
        <f t="shared" si="311"/>
        <v>0</v>
      </c>
      <c r="DU63" s="110">
        <f t="shared" si="312"/>
        <v>0</v>
      </c>
      <c r="DW63" s="111"/>
      <c r="DX63" s="110">
        <f t="shared" si="313"/>
        <v>0</v>
      </c>
      <c r="DY63" s="110">
        <f t="shared" si="314"/>
        <v>0</v>
      </c>
      <c r="DZ63" s="110">
        <f t="shared" si="315"/>
        <v>0</v>
      </c>
      <c r="EA63" s="110">
        <f t="shared" si="316"/>
        <v>0</v>
      </c>
      <c r="EB63" s="110">
        <f t="shared" si="317"/>
        <v>0</v>
      </c>
      <c r="EC63" s="110">
        <f t="shared" si="318"/>
        <v>0</v>
      </c>
      <c r="ED63" s="110">
        <f t="shared" si="319"/>
        <v>0</v>
      </c>
      <c r="EE63" s="110">
        <f t="shared" si="320"/>
        <v>0</v>
      </c>
      <c r="EF63" s="110">
        <f t="shared" si="321"/>
        <v>0</v>
      </c>
      <c r="EG63" s="110">
        <f t="shared" si="322"/>
        <v>0</v>
      </c>
      <c r="EH63" s="110">
        <f t="shared" si="323"/>
        <v>0</v>
      </c>
      <c r="EI63" s="110">
        <f t="shared" si="324"/>
        <v>0</v>
      </c>
      <c r="EK63" s="111"/>
      <c r="EL63" s="110">
        <f t="shared" si="325"/>
        <v>0</v>
      </c>
      <c r="EM63" s="110">
        <f t="shared" si="326"/>
        <v>0</v>
      </c>
      <c r="EN63" s="110">
        <f t="shared" si="327"/>
        <v>20</v>
      </c>
      <c r="EP63" s="109" cm="1">
        <f t="array" ref="EP63">+IFERROR(INDEX($C$3:$AM$3,MATCH(TRUE,INDEX($C63:$AM63&lt;&gt;0,0),0)),"N/A")</f>
        <v>44926</v>
      </c>
      <c r="EQ63" s="112"/>
      <c r="ER63" s="1" t="str" cm="1">
        <f t="array" ref="ER63">+_xlfn.IFS(EW63&lt;&gt;0,EW$2,FB63&lt;&gt;0,FB$2,FG63&lt;&gt;0,FG$2,FL63&lt;&gt;0,FL$2,TRUE,"")</f>
        <v/>
      </c>
      <c r="ES63" s="1" t="str" cm="1">
        <f t="array" ref="ES63">+_xlfn.IFS(EX63&lt;&gt;0,EX$2,FC63&lt;&gt;0,FC$2,FH63&lt;&gt;0,FH$2,FM63&lt;&gt;0,FM$2,TRUE,"")</f>
        <v/>
      </c>
      <c r="ET63" s="1" t="str" cm="1">
        <f t="array" ref="ET63">+_xlfn.IFS(EY63&lt;&gt;0,EY$2,FD63&lt;&gt;0,FD$2,FI63&lt;&gt;0,FI$2,FN63&lt;&gt;0,FN$2,TRUE,"")</f>
        <v>Upsell</v>
      </c>
      <c r="EV63" s="111"/>
      <c r="EW63" s="110">
        <f t="shared" si="328"/>
        <v>0</v>
      </c>
      <c r="EX63" s="110">
        <f t="shared" si="329"/>
        <v>0</v>
      </c>
      <c r="EY63" s="110">
        <f t="shared" si="330"/>
        <v>0</v>
      </c>
      <c r="FA63" s="111"/>
      <c r="FB63" s="110">
        <f t="shared" si="331"/>
        <v>0</v>
      </c>
      <c r="FC63" s="110">
        <f t="shared" si="332"/>
        <v>0</v>
      </c>
      <c r="FD63" s="110">
        <f t="shared" si="333"/>
        <v>0</v>
      </c>
      <c r="FF63" s="111"/>
      <c r="FG63" s="110">
        <f t="shared" si="334"/>
        <v>0</v>
      </c>
      <c r="FH63" s="110">
        <f t="shared" si="335"/>
        <v>0</v>
      </c>
      <c r="FI63" s="110">
        <f t="shared" si="336"/>
        <v>0</v>
      </c>
      <c r="FK63" s="111"/>
      <c r="FL63" s="110">
        <f t="shared" si="337"/>
        <v>0</v>
      </c>
      <c r="FM63" s="110">
        <f t="shared" si="338"/>
        <v>0</v>
      </c>
      <c r="FN63" s="110">
        <f t="shared" si="339"/>
        <v>20</v>
      </c>
      <c r="FP63" s="111"/>
      <c r="FQ63" s="110">
        <f t="shared" si="340"/>
        <v>0</v>
      </c>
      <c r="FR63" s="110">
        <f t="shared" si="341"/>
        <v>0</v>
      </c>
      <c r="FS63" s="110">
        <f t="shared" si="342"/>
        <v>0</v>
      </c>
      <c r="FU63" s="111">
        <f t="shared" si="343"/>
        <v>0</v>
      </c>
      <c r="FV63" s="110">
        <f t="shared" si="344"/>
        <v>0</v>
      </c>
      <c r="FW63" s="110">
        <f t="shared" si="345"/>
        <v>0</v>
      </c>
      <c r="FX63" s="110">
        <f t="shared" si="346"/>
        <v>0</v>
      </c>
      <c r="FY63" s="110">
        <f t="shared" si="347"/>
        <v>0</v>
      </c>
      <c r="FZ63" s="110">
        <f t="shared" si="348"/>
        <v>0</v>
      </c>
      <c r="GA63" s="110">
        <f t="shared" si="349"/>
        <v>0</v>
      </c>
      <c r="GB63" s="110">
        <f t="shared" si="350"/>
        <v>0</v>
      </c>
      <c r="GC63" s="110">
        <f t="shared" si="351"/>
        <v>0</v>
      </c>
      <c r="GD63" s="110">
        <f t="shared" si="352"/>
        <v>0</v>
      </c>
      <c r="GE63" s="110">
        <f t="shared" si="353"/>
        <v>0</v>
      </c>
      <c r="GF63" s="110">
        <f t="shared" si="354"/>
        <v>0</v>
      </c>
      <c r="GG63" s="110">
        <f t="shared" si="355"/>
        <v>0</v>
      </c>
      <c r="GH63" s="110">
        <f t="shared" si="356"/>
        <v>0</v>
      </c>
      <c r="GI63" s="110">
        <f t="shared" si="357"/>
        <v>20</v>
      </c>
      <c r="GJ63" s="110">
        <f t="shared" si="358"/>
        <v>20</v>
      </c>
      <c r="GK63" s="110">
        <f t="shared" si="359"/>
        <v>20</v>
      </c>
      <c r="GL63" s="110">
        <f t="shared" si="360"/>
        <v>20</v>
      </c>
      <c r="GM63" s="110">
        <f t="shared" si="361"/>
        <v>20</v>
      </c>
      <c r="GN63" s="110">
        <f t="shared" si="362"/>
        <v>20</v>
      </c>
      <c r="GO63" s="110">
        <f t="shared" si="363"/>
        <v>20</v>
      </c>
      <c r="GP63" s="110">
        <f t="shared" si="364"/>
        <v>20</v>
      </c>
      <c r="GQ63" s="110">
        <f t="shared" si="365"/>
        <v>20</v>
      </c>
      <c r="GR63" s="110">
        <f t="shared" si="366"/>
        <v>20</v>
      </c>
      <c r="GS63" s="110">
        <f t="shared" si="367"/>
        <v>20</v>
      </c>
      <c r="GU63" s="109" cm="1">
        <f t="array" ref="GU63">+IFERROR(INDEX($C$3:$AM$3,MATCH(TRUE,INDEX($C63:$AM63&lt;&gt;0,0),0)),"N/A")</f>
        <v>44926</v>
      </c>
      <c r="GV63" s="112" t="str" cm="1">
        <f t="array" ref="GV63">+_xlfn.IFS(HV63&lt;&gt;0,HV$2,IV63&lt;&gt;0,IV$2,JV63&lt;&gt;0,JV$2,KV63&lt;&gt;0,KV$2,TRUE,"")</f>
        <v/>
      </c>
      <c r="GW63" s="1" t="str" cm="1">
        <f t="array" ref="GW63">+_xlfn.IFS(HW63&lt;&gt;0,HW$2,IW63&lt;&gt;0,IW$2,JW63&lt;&gt;0,JW$2,KW63&lt;&gt;0,KW$2,TRUE,"")</f>
        <v/>
      </c>
      <c r="GX63" s="1" t="str" cm="1">
        <f t="array" ref="GX63">+_xlfn.IFS(HX63&lt;&gt;0,HX$2,IX63&lt;&gt;0,IX$2,JX63&lt;&gt;0,JX$2,KX63&lt;&gt;0,KX$2,TRUE,"")</f>
        <v/>
      </c>
      <c r="GY63" s="1" t="str" cm="1">
        <f t="array" ref="GY63">+_xlfn.IFS(HY63&lt;&gt;0,HY$2,IY63&lt;&gt;0,IY$2,JY63&lt;&gt;0,JY$2,KY63&lt;&gt;0,KY$2,TRUE,"")</f>
        <v/>
      </c>
      <c r="GZ63" s="1" t="str" cm="1">
        <f t="array" ref="GZ63">+_xlfn.IFS(HZ63&lt;&gt;0,HZ$2,IZ63&lt;&gt;0,IZ$2,JZ63&lt;&gt;0,JZ$2,KZ63&lt;&gt;0,KZ$2,TRUE,"")</f>
        <v/>
      </c>
      <c r="HA63" s="1" t="str" cm="1">
        <f t="array" ref="HA63">+_xlfn.IFS(IA63&lt;&gt;0,IA$2,JA63&lt;&gt;0,JA$2,KA63&lt;&gt;0,KA$2,LA63&lt;&gt;0,LA$2,TRUE,"")</f>
        <v/>
      </c>
      <c r="HB63" s="1" t="str" cm="1">
        <f t="array" ref="HB63">+_xlfn.IFS(IB63&lt;&gt;0,IB$2,JB63&lt;&gt;0,JB$2,KB63&lt;&gt;0,KB$2,LB63&lt;&gt;0,LB$2,TRUE,"")</f>
        <v/>
      </c>
      <c r="HC63" s="1" t="str" cm="1">
        <f t="array" ref="HC63">+_xlfn.IFS(IC63&lt;&gt;0,IC$2,JC63&lt;&gt;0,JC$2,KC63&lt;&gt;0,KC$2,LC63&lt;&gt;0,LC$2,TRUE,"")</f>
        <v/>
      </c>
      <c r="HD63" s="1" t="str" cm="1">
        <f t="array" ref="HD63">+_xlfn.IFS(ID63&lt;&gt;0,ID$2,JD63&lt;&gt;0,JD$2,KD63&lt;&gt;0,KD$2,LD63&lt;&gt;0,LD$2,TRUE,"")</f>
        <v/>
      </c>
      <c r="HE63" s="1" t="str" cm="1">
        <f t="array" ref="HE63">+_xlfn.IFS(IE63&lt;&gt;0,IE$2,JE63&lt;&gt;0,JE$2,KE63&lt;&gt;0,KE$2,LE63&lt;&gt;0,LE$2,TRUE,"")</f>
        <v/>
      </c>
      <c r="HF63" s="1" t="str" cm="1">
        <f t="array" ref="HF63">+_xlfn.IFS(IF63&lt;&gt;0,IF$2,JF63&lt;&gt;0,JF$2,KF63&lt;&gt;0,KF$2,LF63&lt;&gt;0,LF$2,TRUE,"")</f>
        <v/>
      </c>
      <c r="HG63" s="1" t="str" cm="1">
        <f t="array" ref="HG63">+_xlfn.IFS(IG63&lt;&gt;0,IG$2,JG63&lt;&gt;0,JG$2,KG63&lt;&gt;0,KG$2,LG63&lt;&gt;0,LG$2,TRUE,"")</f>
        <v/>
      </c>
      <c r="HH63" s="1" t="str" cm="1">
        <f t="array" ref="HH63">+_xlfn.IFS(IH63&lt;&gt;0,IH$2,JH63&lt;&gt;0,JH$2,KH63&lt;&gt;0,KH$2,LH63&lt;&gt;0,LH$2,TRUE,"")</f>
        <v/>
      </c>
      <c r="HI63" s="1" t="str" cm="1">
        <f t="array" ref="HI63">+_xlfn.IFS(II63&lt;&gt;0,II$2,JI63&lt;&gt;0,JI$2,KI63&lt;&gt;0,KI$2,LI63&lt;&gt;0,LI$2,TRUE,"")</f>
        <v/>
      </c>
      <c r="HJ63" s="1" t="str" cm="1">
        <f t="array" ref="HJ63">+_xlfn.IFS(IJ63&lt;&gt;0,IJ$2,JJ63&lt;&gt;0,JJ$2,KJ63&lt;&gt;0,KJ$2,LJ63&lt;&gt;0,LJ$2,TRUE,"")</f>
        <v>Upsell</v>
      </c>
      <c r="HK63" s="1" t="str" cm="1">
        <f t="array" ref="HK63">+_xlfn.IFS(IK63&lt;&gt;0,IK$2,JK63&lt;&gt;0,JK$2,KK63&lt;&gt;0,KK$2,LK63&lt;&gt;0,LK$2,TRUE,"")</f>
        <v>Upsell</v>
      </c>
      <c r="HL63" s="1" t="str" cm="1">
        <f t="array" ref="HL63">+_xlfn.IFS(IL63&lt;&gt;0,IL$2,JL63&lt;&gt;0,JL$2,KL63&lt;&gt;0,KL$2,LL63&lt;&gt;0,LL$2,TRUE,"")</f>
        <v>Upsell</v>
      </c>
      <c r="HM63" s="1" t="str" cm="1">
        <f t="array" ref="HM63">+_xlfn.IFS(IM63&lt;&gt;0,IM$2,JM63&lt;&gt;0,JM$2,KM63&lt;&gt;0,KM$2,LM63&lt;&gt;0,LM$2,TRUE,"")</f>
        <v>Upsell</v>
      </c>
      <c r="HN63" s="1" t="str" cm="1">
        <f t="array" ref="HN63">+_xlfn.IFS(IN63&lt;&gt;0,IN$2,JN63&lt;&gt;0,JN$2,KN63&lt;&gt;0,KN$2,LN63&lt;&gt;0,LN$2,TRUE,"")</f>
        <v>Upsell</v>
      </c>
      <c r="HO63" s="1" t="str" cm="1">
        <f t="array" ref="HO63">+_xlfn.IFS(IO63&lt;&gt;0,IO$2,JO63&lt;&gt;0,JO$2,KO63&lt;&gt;0,KO$2,LO63&lt;&gt;0,LO$2,TRUE,"")</f>
        <v>Upsell</v>
      </c>
      <c r="HP63" s="1" t="str" cm="1">
        <f t="array" ref="HP63">+_xlfn.IFS(IP63&lt;&gt;0,IP$2,JP63&lt;&gt;0,JP$2,KP63&lt;&gt;0,KP$2,LP63&lt;&gt;0,LP$2,TRUE,"")</f>
        <v>Upsell</v>
      </c>
      <c r="HQ63" s="1" t="str" cm="1">
        <f t="array" ref="HQ63">+_xlfn.IFS(IQ63&lt;&gt;0,IQ$2,JQ63&lt;&gt;0,JQ$2,KQ63&lt;&gt;0,KQ$2,LQ63&lt;&gt;0,LQ$2,TRUE,"")</f>
        <v>Upsell</v>
      </c>
      <c r="HR63" s="1" t="str" cm="1">
        <f t="array" ref="HR63">+_xlfn.IFS(IR63&lt;&gt;0,IR$2,JR63&lt;&gt;0,JR$2,KR63&lt;&gt;0,KR$2,LR63&lt;&gt;0,LR$2,TRUE,"")</f>
        <v>Upsell</v>
      </c>
      <c r="HS63" s="1" t="str" cm="1">
        <f t="array" ref="HS63">+_xlfn.IFS(IS63&lt;&gt;0,IS$2,JS63&lt;&gt;0,JS$2,KS63&lt;&gt;0,KS$2,LS63&lt;&gt;0,LS$2,TRUE,"")</f>
        <v>Upsell</v>
      </c>
      <c r="HT63" s="1" t="str" cm="1">
        <f t="array" ref="HT63">+_xlfn.IFS(IT63&lt;&gt;0,IT$2,JT63&lt;&gt;0,JT$2,KT63&lt;&gt;0,KT$2,LT63&lt;&gt;0,LT$2,TRUE,"")</f>
        <v>Upsell</v>
      </c>
      <c r="HV63" s="111">
        <f t="shared" si="368"/>
        <v>0</v>
      </c>
      <c r="HW63" s="110">
        <f t="shared" si="369"/>
        <v>0</v>
      </c>
      <c r="HX63" s="110">
        <f t="shared" si="370"/>
        <v>0</v>
      </c>
      <c r="HY63" s="110">
        <f t="shared" si="371"/>
        <v>0</v>
      </c>
      <c r="HZ63" s="110">
        <f t="shared" si="372"/>
        <v>0</v>
      </c>
      <c r="IA63" s="110">
        <f t="shared" si="373"/>
        <v>0</v>
      </c>
      <c r="IB63" s="110">
        <f t="shared" si="374"/>
        <v>0</v>
      </c>
      <c r="IC63" s="110">
        <f t="shared" si="375"/>
        <v>0</v>
      </c>
      <c r="ID63" s="110">
        <f t="shared" si="376"/>
        <v>0</v>
      </c>
      <c r="IE63" s="110">
        <f t="shared" si="377"/>
        <v>0</v>
      </c>
      <c r="IF63" s="110">
        <f t="shared" si="378"/>
        <v>0</v>
      </c>
      <c r="IG63" s="110">
        <f t="shared" si="379"/>
        <v>0</v>
      </c>
      <c r="IH63" s="110">
        <f t="shared" si="380"/>
        <v>0</v>
      </c>
      <c r="II63" s="110">
        <f t="shared" si="381"/>
        <v>0</v>
      </c>
      <c r="IJ63" s="110">
        <f t="shared" si="382"/>
        <v>0</v>
      </c>
      <c r="IK63" s="110">
        <f t="shared" si="383"/>
        <v>0</v>
      </c>
      <c r="IL63" s="110">
        <f t="shared" si="384"/>
        <v>0</v>
      </c>
      <c r="IM63" s="110">
        <f t="shared" si="385"/>
        <v>0</v>
      </c>
      <c r="IN63" s="110">
        <f t="shared" si="386"/>
        <v>0</v>
      </c>
      <c r="IO63" s="110">
        <f t="shared" si="387"/>
        <v>0</v>
      </c>
      <c r="IP63" s="110">
        <f t="shared" si="388"/>
        <v>0</v>
      </c>
      <c r="IQ63" s="110">
        <f t="shared" si="389"/>
        <v>0</v>
      </c>
      <c r="IR63" s="110">
        <f t="shared" si="390"/>
        <v>0</v>
      </c>
      <c r="IS63" s="110">
        <f t="shared" si="391"/>
        <v>0</v>
      </c>
      <c r="IT63" s="110">
        <f t="shared" si="392"/>
        <v>0</v>
      </c>
      <c r="IV63" s="111">
        <f t="shared" si="393"/>
        <v>0</v>
      </c>
      <c r="IW63" s="110">
        <f t="shared" si="394"/>
        <v>0</v>
      </c>
      <c r="IX63" s="110">
        <f t="shared" si="395"/>
        <v>0</v>
      </c>
      <c r="IY63" s="110">
        <f t="shared" si="396"/>
        <v>0</v>
      </c>
      <c r="IZ63" s="110">
        <f t="shared" si="397"/>
        <v>0</v>
      </c>
      <c r="JA63" s="110">
        <f t="shared" si="398"/>
        <v>0</v>
      </c>
      <c r="JB63" s="110">
        <f t="shared" si="399"/>
        <v>0</v>
      </c>
      <c r="JC63" s="110">
        <f t="shared" si="400"/>
        <v>0</v>
      </c>
      <c r="JD63" s="110">
        <f t="shared" si="401"/>
        <v>0</v>
      </c>
      <c r="JE63" s="110">
        <f t="shared" si="402"/>
        <v>0</v>
      </c>
      <c r="JF63" s="110">
        <f t="shared" si="403"/>
        <v>0</v>
      </c>
      <c r="JG63" s="110">
        <f t="shared" si="404"/>
        <v>0</v>
      </c>
      <c r="JH63" s="110">
        <f t="shared" si="405"/>
        <v>0</v>
      </c>
      <c r="JI63" s="110">
        <f t="shared" si="406"/>
        <v>0</v>
      </c>
      <c r="JJ63" s="110">
        <f t="shared" si="407"/>
        <v>0</v>
      </c>
      <c r="JK63" s="110">
        <f t="shared" si="408"/>
        <v>0</v>
      </c>
      <c r="JL63" s="110">
        <f t="shared" si="409"/>
        <v>0</v>
      </c>
      <c r="JM63" s="110">
        <f t="shared" si="410"/>
        <v>0</v>
      </c>
      <c r="JN63" s="110">
        <f t="shared" si="411"/>
        <v>0</v>
      </c>
      <c r="JO63" s="110">
        <f t="shared" si="412"/>
        <v>0</v>
      </c>
      <c r="JP63" s="110">
        <f t="shared" si="413"/>
        <v>0</v>
      </c>
      <c r="JQ63" s="110">
        <f t="shared" si="414"/>
        <v>0</v>
      </c>
      <c r="JR63" s="110">
        <f t="shared" si="415"/>
        <v>0</v>
      </c>
      <c r="JS63" s="110">
        <f t="shared" si="416"/>
        <v>0</v>
      </c>
      <c r="JT63" s="110">
        <f t="shared" si="417"/>
        <v>0</v>
      </c>
      <c r="JV63" s="111">
        <f t="shared" si="418"/>
        <v>0</v>
      </c>
      <c r="JW63" s="110">
        <f t="shared" si="419"/>
        <v>0</v>
      </c>
      <c r="JX63" s="110">
        <f t="shared" si="420"/>
        <v>0</v>
      </c>
      <c r="JY63" s="110">
        <f t="shared" si="421"/>
        <v>0</v>
      </c>
      <c r="JZ63" s="110">
        <f t="shared" si="422"/>
        <v>0</v>
      </c>
      <c r="KA63" s="110">
        <f t="shared" si="423"/>
        <v>0</v>
      </c>
      <c r="KB63" s="110">
        <f t="shared" si="424"/>
        <v>0</v>
      </c>
      <c r="KC63" s="110">
        <f t="shared" si="425"/>
        <v>0</v>
      </c>
      <c r="KD63" s="110">
        <f t="shared" si="426"/>
        <v>0</v>
      </c>
      <c r="KE63" s="110">
        <f t="shared" si="427"/>
        <v>0</v>
      </c>
      <c r="KF63" s="110">
        <f t="shared" si="428"/>
        <v>0</v>
      </c>
      <c r="KG63" s="110">
        <f t="shared" si="429"/>
        <v>0</v>
      </c>
      <c r="KH63" s="110">
        <f t="shared" si="430"/>
        <v>0</v>
      </c>
      <c r="KI63" s="110">
        <f t="shared" si="431"/>
        <v>0</v>
      </c>
      <c r="KJ63" s="110">
        <f t="shared" si="432"/>
        <v>0</v>
      </c>
      <c r="KK63" s="110">
        <f t="shared" si="433"/>
        <v>0</v>
      </c>
      <c r="KL63" s="110">
        <f t="shared" si="434"/>
        <v>0</v>
      </c>
      <c r="KM63" s="110">
        <f t="shared" si="435"/>
        <v>0</v>
      </c>
      <c r="KN63" s="110">
        <f t="shared" si="436"/>
        <v>0</v>
      </c>
      <c r="KO63" s="110">
        <f t="shared" si="437"/>
        <v>0</v>
      </c>
      <c r="KP63" s="110">
        <f t="shared" si="438"/>
        <v>0</v>
      </c>
      <c r="KQ63" s="110">
        <f t="shared" si="439"/>
        <v>0</v>
      </c>
      <c r="KR63" s="110">
        <f t="shared" si="440"/>
        <v>0</v>
      </c>
      <c r="KS63" s="110">
        <f t="shared" si="441"/>
        <v>0</v>
      </c>
      <c r="KT63" s="110">
        <f t="shared" si="442"/>
        <v>0</v>
      </c>
      <c r="KV63" s="111">
        <f t="shared" si="443"/>
        <v>0</v>
      </c>
      <c r="KW63" s="110">
        <f t="shared" si="444"/>
        <v>0</v>
      </c>
      <c r="KX63" s="110">
        <f t="shared" si="445"/>
        <v>0</v>
      </c>
      <c r="KY63" s="110">
        <f t="shared" si="446"/>
        <v>0</v>
      </c>
      <c r="KZ63" s="110">
        <f t="shared" si="447"/>
        <v>0</v>
      </c>
      <c r="LA63" s="110">
        <f t="shared" si="448"/>
        <v>0</v>
      </c>
      <c r="LB63" s="110">
        <f t="shared" si="449"/>
        <v>0</v>
      </c>
      <c r="LC63" s="110">
        <f t="shared" si="450"/>
        <v>0</v>
      </c>
      <c r="LD63" s="110">
        <f t="shared" si="451"/>
        <v>0</v>
      </c>
      <c r="LE63" s="110">
        <f t="shared" si="452"/>
        <v>0</v>
      </c>
      <c r="LF63" s="110">
        <f t="shared" si="453"/>
        <v>0</v>
      </c>
      <c r="LG63" s="110">
        <f t="shared" si="454"/>
        <v>0</v>
      </c>
      <c r="LH63" s="110">
        <f t="shared" si="455"/>
        <v>0</v>
      </c>
      <c r="LI63" s="110">
        <f t="shared" si="456"/>
        <v>0</v>
      </c>
      <c r="LJ63" s="110">
        <f t="shared" si="457"/>
        <v>20</v>
      </c>
      <c r="LK63" s="110">
        <f t="shared" si="458"/>
        <v>20</v>
      </c>
      <c r="LL63" s="110">
        <f t="shared" si="459"/>
        <v>20</v>
      </c>
      <c r="LM63" s="110">
        <f t="shared" si="460"/>
        <v>20</v>
      </c>
      <c r="LN63" s="110">
        <f t="shared" si="461"/>
        <v>20</v>
      </c>
      <c r="LO63" s="110">
        <f t="shared" si="462"/>
        <v>20</v>
      </c>
      <c r="LP63" s="110">
        <f t="shared" si="463"/>
        <v>20</v>
      </c>
      <c r="LQ63" s="110">
        <f t="shared" si="464"/>
        <v>20</v>
      </c>
      <c r="LR63" s="110">
        <f t="shared" si="465"/>
        <v>20</v>
      </c>
      <c r="LS63" s="110">
        <f t="shared" si="466"/>
        <v>20</v>
      </c>
      <c r="LT63" s="110">
        <f t="shared" si="467"/>
        <v>20</v>
      </c>
      <c r="LV63" s="111"/>
      <c r="LW63" s="110">
        <f t="shared" si="468"/>
        <v>0</v>
      </c>
      <c r="LX63" s="110">
        <f t="shared" si="469"/>
        <v>0</v>
      </c>
      <c r="LY63" s="110">
        <f t="shared" si="470"/>
        <v>0</v>
      </c>
      <c r="LZ63" s="110">
        <f t="shared" si="471"/>
        <v>0</v>
      </c>
      <c r="MA63" s="110">
        <f t="shared" si="472"/>
        <v>0</v>
      </c>
      <c r="MB63" s="110">
        <f t="shared" si="473"/>
        <v>0</v>
      </c>
      <c r="MC63" s="110">
        <f t="shared" si="474"/>
        <v>0</v>
      </c>
      <c r="MD63" s="110">
        <f t="shared" si="475"/>
        <v>0</v>
      </c>
      <c r="ME63" s="110">
        <f t="shared" si="476"/>
        <v>0</v>
      </c>
      <c r="MF63" s="110">
        <f t="shared" si="477"/>
        <v>0</v>
      </c>
      <c r="MG63" s="110">
        <f t="shared" si="478"/>
        <v>0</v>
      </c>
      <c r="MH63" s="110">
        <f t="shared" si="479"/>
        <v>0</v>
      </c>
      <c r="MI63" s="110">
        <f t="shared" si="480"/>
        <v>0</v>
      </c>
      <c r="MJ63" s="110">
        <f t="shared" si="481"/>
        <v>0</v>
      </c>
      <c r="MK63" s="110">
        <f t="shared" si="482"/>
        <v>0</v>
      </c>
      <c r="ML63" s="110">
        <f t="shared" si="483"/>
        <v>0</v>
      </c>
      <c r="MM63" s="110">
        <f t="shared" si="484"/>
        <v>0</v>
      </c>
      <c r="MN63" s="110">
        <f t="shared" si="485"/>
        <v>0</v>
      </c>
      <c r="MO63" s="110">
        <f t="shared" si="486"/>
        <v>0</v>
      </c>
      <c r="MP63" s="110">
        <f t="shared" si="487"/>
        <v>0</v>
      </c>
      <c r="MQ63" s="110">
        <f t="shared" si="488"/>
        <v>0</v>
      </c>
      <c r="MR63" s="110">
        <f t="shared" si="489"/>
        <v>0</v>
      </c>
      <c r="MS63" s="110">
        <f t="shared" si="490"/>
        <v>0</v>
      </c>
      <c r="MT63" s="110">
        <f t="shared" si="491"/>
        <v>0</v>
      </c>
      <c r="MV63" s="114">
        <v>199</v>
      </c>
      <c r="MW63" s="114">
        <v>0</v>
      </c>
      <c r="MX63" s="114">
        <v>20</v>
      </c>
      <c r="MY63" s="114">
        <v>0</v>
      </c>
      <c r="MZ63" s="114">
        <v>0</v>
      </c>
      <c r="NB63" s="115">
        <v>51</v>
      </c>
      <c r="NC63" s="115" t="str">
        <v>N/A</v>
      </c>
      <c r="ND63" s="115">
        <v>3</v>
      </c>
      <c r="NE63" s="115" t="str">
        <v>N/A</v>
      </c>
      <c r="NF63" s="115" t="str">
        <v>N/A</v>
      </c>
    </row>
    <row r="64" spans="2:370" ht="13.5" x14ac:dyDescent="0.25">
      <c r="B64" s="8">
        <f t="shared" si="252"/>
        <v>61</v>
      </c>
      <c r="C64" s="7">
        <v>387</v>
      </c>
      <c r="D64" s="7">
        <v>387</v>
      </c>
      <c r="E64" s="7">
        <v>387</v>
      </c>
      <c r="F64" s="7">
        <v>387</v>
      </c>
      <c r="G64" s="7">
        <v>387</v>
      </c>
      <c r="H64" s="7">
        <v>387</v>
      </c>
      <c r="I64" s="7">
        <v>387</v>
      </c>
      <c r="J64" s="7">
        <v>387</v>
      </c>
      <c r="K64" s="7">
        <v>387</v>
      </c>
      <c r="L64" s="7">
        <v>387</v>
      </c>
      <c r="M64" s="7">
        <v>387</v>
      </c>
      <c r="N64" s="7">
        <v>387</v>
      </c>
      <c r="O64" s="7">
        <v>387</v>
      </c>
      <c r="P64" s="7">
        <v>387</v>
      </c>
      <c r="Q64" s="7">
        <v>387</v>
      </c>
      <c r="R64" s="7">
        <v>387</v>
      </c>
      <c r="S64" s="7">
        <v>387</v>
      </c>
      <c r="T64" s="7">
        <v>387</v>
      </c>
      <c r="U64" s="7">
        <v>387</v>
      </c>
      <c r="V64" s="7">
        <v>387</v>
      </c>
      <c r="W64" s="7">
        <v>387</v>
      </c>
      <c r="X64" s="7">
        <v>387</v>
      </c>
      <c r="Y64" s="7">
        <v>387</v>
      </c>
      <c r="Z64" s="7">
        <v>387</v>
      </c>
      <c r="AA64" s="7">
        <v>387</v>
      </c>
      <c r="AB64" s="7">
        <v>387</v>
      </c>
      <c r="AC64" s="7">
        <v>387</v>
      </c>
      <c r="AD64" s="7">
        <v>387</v>
      </c>
      <c r="AE64" s="7">
        <v>399.88</v>
      </c>
      <c r="AF64" s="7">
        <v>399.88</v>
      </c>
      <c r="AG64" s="7">
        <v>399.88</v>
      </c>
      <c r="AH64" s="7">
        <v>399.88</v>
      </c>
      <c r="AI64" s="7">
        <v>399.88</v>
      </c>
      <c r="AJ64" s="7">
        <v>399.88</v>
      </c>
      <c r="AK64" s="7">
        <v>399.88</v>
      </c>
      <c r="AL64" s="7">
        <v>399.88</v>
      </c>
      <c r="AM64" s="7">
        <v>399.88</v>
      </c>
      <c r="AN64" s="27">
        <v>61</v>
      </c>
      <c r="AP64" s="111"/>
      <c r="AQ64" s="110">
        <f t="shared" si="253"/>
        <v>0</v>
      </c>
      <c r="AR64" s="110">
        <f t="shared" si="254"/>
        <v>0</v>
      </c>
      <c r="AS64" s="110">
        <f t="shared" si="255"/>
        <v>0</v>
      </c>
      <c r="AT64" s="110">
        <f t="shared" si="256"/>
        <v>0</v>
      </c>
      <c r="AU64" s="110">
        <f t="shared" si="257"/>
        <v>0</v>
      </c>
      <c r="AV64" s="110">
        <f t="shared" si="258"/>
        <v>0</v>
      </c>
      <c r="AW64" s="110">
        <f t="shared" si="259"/>
        <v>0</v>
      </c>
      <c r="AX64" s="110">
        <f t="shared" si="260"/>
        <v>0</v>
      </c>
      <c r="AY64" s="110">
        <f t="shared" si="261"/>
        <v>0</v>
      </c>
      <c r="AZ64" s="110">
        <f t="shared" si="262"/>
        <v>12.879999999999995</v>
      </c>
      <c r="BA64" s="110">
        <f t="shared" si="263"/>
        <v>0</v>
      </c>
      <c r="BB64" s="110">
        <f t="shared" si="264"/>
        <v>0</v>
      </c>
      <c r="BD64" s="109" cm="1">
        <f t="array" ref="BD64">+IFERROR(INDEX($C$3:$AM$3,MATCH(TRUE,INDEX($C64:$AM64&lt;&gt;0,0),0)),"N/A")</f>
        <v>44926</v>
      </c>
      <c r="BE64" s="112"/>
      <c r="BF64" s="1" t="str" cm="1">
        <f t="array" ref="BF64">+_xlfn.IFS(BT64&lt;&gt;0,BT$2,CH64&lt;&gt;0,CH$2,CV64&lt;&gt;0,CV$2,DJ64&lt;&gt;0,DJ$2,TRUE,"")</f>
        <v/>
      </c>
      <c r="BG64" s="1" t="str" cm="1">
        <f t="array" ref="BG64">+_xlfn.IFS(BU64&lt;&gt;0,BU$2,CI64&lt;&gt;0,CI$2,CW64&lt;&gt;0,CW$2,DK64&lt;&gt;0,DK$2,TRUE,"")</f>
        <v/>
      </c>
      <c r="BH64" s="1" t="str" cm="1">
        <f t="array" ref="BH64">+_xlfn.IFS(BV64&lt;&gt;0,BV$2,CJ64&lt;&gt;0,CJ$2,CX64&lt;&gt;0,CX$2,DL64&lt;&gt;0,DL$2,TRUE,"")</f>
        <v/>
      </c>
      <c r="BI64" s="1" t="str" cm="1">
        <f t="array" ref="BI64">+_xlfn.IFS(BW64&lt;&gt;0,BW$2,CK64&lt;&gt;0,CK$2,CY64&lt;&gt;0,CY$2,DM64&lt;&gt;0,DM$2,TRUE,"")</f>
        <v/>
      </c>
      <c r="BJ64" s="1" t="str" cm="1">
        <f t="array" ref="BJ64">+_xlfn.IFS(BX64&lt;&gt;0,BX$2,CL64&lt;&gt;0,CL$2,CZ64&lt;&gt;0,CZ$2,DN64&lt;&gt;0,DN$2,TRUE,"")</f>
        <v/>
      </c>
      <c r="BK64" s="1" t="str" cm="1">
        <f t="array" ref="BK64">+_xlfn.IFS(BY64&lt;&gt;0,BY$2,CM64&lt;&gt;0,CM$2,DA64&lt;&gt;0,DA$2,DO64&lt;&gt;0,DO$2,TRUE,"")</f>
        <v/>
      </c>
      <c r="BL64" s="1" t="str" cm="1">
        <f t="array" ref="BL64">+_xlfn.IFS(BZ64&lt;&gt;0,BZ$2,CN64&lt;&gt;0,CN$2,DB64&lt;&gt;0,DB$2,DP64&lt;&gt;0,DP$2,TRUE,"")</f>
        <v/>
      </c>
      <c r="BM64" s="1" t="str" cm="1">
        <f t="array" ref="BM64">+_xlfn.IFS(CA64&lt;&gt;0,CA$2,CO64&lt;&gt;0,CO$2,DC64&lt;&gt;0,DC$2,DQ64&lt;&gt;0,DQ$2,TRUE,"")</f>
        <v/>
      </c>
      <c r="BN64" s="1" t="str" cm="1">
        <f t="array" ref="BN64">+_xlfn.IFS(CB64&lt;&gt;0,CB$2,CP64&lt;&gt;0,CP$2,DD64&lt;&gt;0,DD$2,DR64&lt;&gt;0,DR$2,TRUE,"")</f>
        <v/>
      </c>
      <c r="BO64" s="1" t="str" cm="1">
        <f t="array" ref="BO64">+_xlfn.IFS(CC64&lt;&gt;0,CC$2,CQ64&lt;&gt;0,CQ$2,DE64&lt;&gt;0,DE$2,DS64&lt;&gt;0,DS$2,TRUE,"")</f>
        <v>Upsell</v>
      </c>
      <c r="BP64" s="1" t="str" cm="1">
        <f t="array" ref="BP64">+_xlfn.IFS(CD64&lt;&gt;0,CD$2,CR64&lt;&gt;0,CR$2,DF64&lt;&gt;0,DF$2,DT64&lt;&gt;0,DT$2,TRUE,"")</f>
        <v/>
      </c>
      <c r="BQ64" s="1" t="str" cm="1">
        <f t="array" ref="BQ64">+_xlfn.IFS(CE64&lt;&gt;0,CE$2,CS64&lt;&gt;0,CS$2,DG64&lt;&gt;0,DG$2,DU64&lt;&gt;0,DU$2,TRUE,"")</f>
        <v/>
      </c>
      <c r="BS64" s="111"/>
      <c r="BT64" s="110">
        <f t="shared" si="265"/>
        <v>0</v>
      </c>
      <c r="BU64" s="110">
        <f t="shared" si="266"/>
        <v>0</v>
      </c>
      <c r="BV64" s="110">
        <f t="shared" si="267"/>
        <v>0</v>
      </c>
      <c r="BW64" s="110">
        <f t="shared" si="268"/>
        <v>0</v>
      </c>
      <c r="BX64" s="110">
        <f t="shared" si="269"/>
        <v>0</v>
      </c>
      <c r="BY64" s="110">
        <f t="shared" si="270"/>
        <v>0</v>
      </c>
      <c r="BZ64" s="110">
        <f t="shared" si="271"/>
        <v>0</v>
      </c>
      <c r="CA64" s="110">
        <f t="shared" si="272"/>
        <v>0</v>
      </c>
      <c r="CB64" s="110">
        <f t="shared" si="273"/>
        <v>0</v>
      </c>
      <c r="CC64" s="110">
        <f t="shared" si="274"/>
        <v>0</v>
      </c>
      <c r="CD64" s="110">
        <f t="shared" si="275"/>
        <v>0</v>
      </c>
      <c r="CE64" s="110">
        <f t="shared" si="276"/>
        <v>0</v>
      </c>
      <c r="CG64" s="111"/>
      <c r="CH64" s="110">
        <f t="shared" si="277"/>
        <v>0</v>
      </c>
      <c r="CI64" s="110">
        <f t="shared" si="278"/>
        <v>0</v>
      </c>
      <c r="CJ64" s="110">
        <f t="shared" si="279"/>
        <v>0</v>
      </c>
      <c r="CK64" s="110">
        <f t="shared" si="280"/>
        <v>0</v>
      </c>
      <c r="CL64" s="110">
        <f t="shared" si="281"/>
        <v>0</v>
      </c>
      <c r="CM64" s="110">
        <f t="shared" si="282"/>
        <v>0</v>
      </c>
      <c r="CN64" s="110">
        <f t="shared" si="283"/>
        <v>0</v>
      </c>
      <c r="CO64" s="110">
        <f t="shared" si="284"/>
        <v>0</v>
      </c>
      <c r="CP64" s="110">
        <f t="shared" si="285"/>
        <v>0</v>
      </c>
      <c r="CQ64" s="110">
        <f t="shared" si="286"/>
        <v>0</v>
      </c>
      <c r="CR64" s="110">
        <f t="shared" si="287"/>
        <v>0</v>
      </c>
      <c r="CS64" s="110">
        <f t="shared" si="288"/>
        <v>0</v>
      </c>
      <c r="CU64" s="111"/>
      <c r="CV64" s="110">
        <f t="shared" si="289"/>
        <v>0</v>
      </c>
      <c r="CW64" s="110">
        <f t="shared" si="290"/>
        <v>0</v>
      </c>
      <c r="CX64" s="110">
        <f t="shared" si="291"/>
        <v>0</v>
      </c>
      <c r="CY64" s="110">
        <f t="shared" si="292"/>
        <v>0</v>
      </c>
      <c r="CZ64" s="110">
        <f t="shared" si="293"/>
        <v>0</v>
      </c>
      <c r="DA64" s="110">
        <f t="shared" si="294"/>
        <v>0</v>
      </c>
      <c r="DB64" s="110">
        <f t="shared" si="295"/>
        <v>0</v>
      </c>
      <c r="DC64" s="110">
        <f t="shared" si="296"/>
        <v>0</v>
      </c>
      <c r="DD64" s="110">
        <f t="shared" si="297"/>
        <v>0</v>
      </c>
      <c r="DE64" s="110">
        <f t="shared" si="298"/>
        <v>0</v>
      </c>
      <c r="DF64" s="110">
        <f t="shared" si="299"/>
        <v>0</v>
      </c>
      <c r="DG64" s="110">
        <f t="shared" si="300"/>
        <v>0</v>
      </c>
      <c r="DI64" s="111"/>
      <c r="DJ64" s="110">
        <f t="shared" si="301"/>
        <v>0</v>
      </c>
      <c r="DK64" s="110">
        <f t="shared" si="302"/>
        <v>0</v>
      </c>
      <c r="DL64" s="110">
        <f t="shared" si="303"/>
        <v>0</v>
      </c>
      <c r="DM64" s="110">
        <f t="shared" si="304"/>
        <v>0</v>
      </c>
      <c r="DN64" s="110">
        <f t="shared" si="305"/>
        <v>0</v>
      </c>
      <c r="DO64" s="110">
        <f t="shared" si="306"/>
        <v>0</v>
      </c>
      <c r="DP64" s="110">
        <f t="shared" si="307"/>
        <v>0</v>
      </c>
      <c r="DQ64" s="110">
        <f t="shared" si="308"/>
        <v>0</v>
      </c>
      <c r="DR64" s="110">
        <f t="shared" si="309"/>
        <v>0</v>
      </c>
      <c r="DS64" s="110">
        <f t="shared" si="310"/>
        <v>12.879999999999995</v>
      </c>
      <c r="DT64" s="110">
        <f t="shared" si="311"/>
        <v>0</v>
      </c>
      <c r="DU64" s="110">
        <f t="shared" si="312"/>
        <v>0</v>
      </c>
      <c r="DW64" s="111"/>
      <c r="DX64" s="110">
        <f t="shared" si="313"/>
        <v>0</v>
      </c>
      <c r="DY64" s="110">
        <f t="shared" si="314"/>
        <v>0</v>
      </c>
      <c r="DZ64" s="110">
        <f t="shared" si="315"/>
        <v>0</v>
      </c>
      <c r="EA64" s="110">
        <f t="shared" si="316"/>
        <v>0</v>
      </c>
      <c r="EB64" s="110">
        <f t="shared" si="317"/>
        <v>0</v>
      </c>
      <c r="EC64" s="110">
        <f t="shared" si="318"/>
        <v>0</v>
      </c>
      <c r="ED64" s="110">
        <f t="shared" si="319"/>
        <v>0</v>
      </c>
      <c r="EE64" s="110">
        <f t="shared" si="320"/>
        <v>0</v>
      </c>
      <c r="EF64" s="110">
        <f t="shared" si="321"/>
        <v>0</v>
      </c>
      <c r="EG64" s="110">
        <f t="shared" si="322"/>
        <v>0</v>
      </c>
      <c r="EH64" s="110">
        <f t="shared" si="323"/>
        <v>0</v>
      </c>
      <c r="EI64" s="110">
        <f t="shared" si="324"/>
        <v>0</v>
      </c>
      <c r="EK64" s="111"/>
      <c r="EL64" s="110">
        <f t="shared" si="325"/>
        <v>0</v>
      </c>
      <c r="EM64" s="110">
        <f t="shared" si="326"/>
        <v>0</v>
      </c>
      <c r="EN64" s="110">
        <f t="shared" si="327"/>
        <v>12.879999999999995</v>
      </c>
      <c r="EP64" s="109" cm="1">
        <f t="array" ref="EP64">+IFERROR(INDEX($C$3:$AM$3,MATCH(TRUE,INDEX($C64:$AM64&lt;&gt;0,0),0)),"N/A")</f>
        <v>44926</v>
      </c>
      <c r="EQ64" s="112"/>
      <c r="ER64" s="1" t="str" cm="1">
        <f t="array" ref="ER64">+_xlfn.IFS(EW64&lt;&gt;0,EW$2,FB64&lt;&gt;0,FB$2,FG64&lt;&gt;0,FG$2,FL64&lt;&gt;0,FL$2,TRUE,"")</f>
        <v/>
      </c>
      <c r="ES64" s="1" t="str" cm="1">
        <f t="array" ref="ES64">+_xlfn.IFS(EX64&lt;&gt;0,EX$2,FC64&lt;&gt;0,FC$2,FH64&lt;&gt;0,FH$2,FM64&lt;&gt;0,FM$2,TRUE,"")</f>
        <v/>
      </c>
      <c r="ET64" s="1" t="str" cm="1">
        <f t="array" ref="ET64">+_xlfn.IFS(EY64&lt;&gt;0,EY$2,FD64&lt;&gt;0,FD$2,FI64&lt;&gt;0,FI$2,FN64&lt;&gt;0,FN$2,TRUE,"")</f>
        <v>Upsell</v>
      </c>
      <c r="EV64" s="111"/>
      <c r="EW64" s="110">
        <f t="shared" si="328"/>
        <v>0</v>
      </c>
      <c r="EX64" s="110">
        <f t="shared" si="329"/>
        <v>0</v>
      </c>
      <c r="EY64" s="110">
        <f t="shared" si="330"/>
        <v>0</v>
      </c>
      <c r="FA64" s="111"/>
      <c r="FB64" s="110">
        <f t="shared" si="331"/>
        <v>0</v>
      </c>
      <c r="FC64" s="110">
        <f t="shared" si="332"/>
        <v>0</v>
      </c>
      <c r="FD64" s="110">
        <f t="shared" si="333"/>
        <v>0</v>
      </c>
      <c r="FF64" s="111"/>
      <c r="FG64" s="110">
        <f t="shared" si="334"/>
        <v>0</v>
      </c>
      <c r="FH64" s="110">
        <f t="shared" si="335"/>
        <v>0</v>
      </c>
      <c r="FI64" s="110">
        <f t="shared" si="336"/>
        <v>0</v>
      </c>
      <c r="FK64" s="111"/>
      <c r="FL64" s="110">
        <f t="shared" si="337"/>
        <v>0</v>
      </c>
      <c r="FM64" s="110">
        <f t="shared" si="338"/>
        <v>0</v>
      </c>
      <c r="FN64" s="110">
        <f t="shared" si="339"/>
        <v>12.879999999999995</v>
      </c>
      <c r="FP64" s="111"/>
      <c r="FQ64" s="110">
        <f t="shared" si="340"/>
        <v>0</v>
      </c>
      <c r="FR64" s="110">
        <f t="shared" si="341"/>
        <v>0</v>
      </c>
      <c r="FS64" s="110">
        <f t="shared" si="342"/>
        <v>0</v>
      </c>
      <c r="FU64" s="111">
        <f t="shared" si="343"/>
        <v>0</v>
      </c>
      <c r="FV64" s="110">
        <f t="shared" si="344"/>
        <v>0</v>
      </c>
      <c r="FW64" s="110">
        <f t="shared" si="345"/>
        <v>0</v>
      </c>
      <c r="FX64" s="110">
        <f t="shared" si="346"/>
        <v>0</v>
      </c>
      <c r="FY64" s="110">
        <f t="shared" si="347"/>
        <v>0</v>
      </c>
      <c r="FZ64" s="110">
        <f t="shared" si="348"/>
        <v>0</v>
      </c>
      <c r="GA64" s="110">
        <f t="shared" si="349"/>
        <v>0</v>
      </c>
      <c r="GB64" s="110">
        <f t="shared" si="350"/>
        <v>0</v>
      </c>
      <c r="GC64" s="110">
        <f t="shared" si="351"/>
        <v>0</v>
      </c>
      <c r="GD64" s="110">
        <f t="shared" si="352"/>
        <v>0</v>
      </c>
      <c r="GE64" s="110">
        <f t="shared" si="353"/>
        <v>0</v>
      </c>
      <c r="GF64" s="110">
        <f t="shared" si="354"/>
        <v>0</v>
      </c>
      <c r="GG64" s="110">
        <f t="shared" si="355"/>
        <v>0</v>
      </c>
      <c r="GH64" s="110">
        <f t="shared" si="356"/>
        <v>0</v>
      </c>
      <c r="GI64" s="110">
        <f t="shared" si="357"/>
        <v>0</v>
      </c>
      <c r="GJ64" s="110">
        <f t="shared" si="358"/>
        <v>0</v>
      </c>
      <c r="GK64" s="110">
        <f t="shared" si="359"/>
        <v>12.879999999999995</v>
      </c>
      <c r="GL64" s="110">
        <f t="shared" si="360"/>
        <v>12.879999999999995</v>
      </c>
      <c r="GM64" s="110">
        <f t="shared" si="361"/>
        <v>12.879999999999995</v>
      </c>
      <c r="GN64" s="110">
        <f t="shared" si="362"/>
        <v>12.879999999999995</v>
      </c>
      <c r="GO64" s="110">
        <f t="shared" si="363"/>
        <v>12.879999999999995</v>
      </c>
      <c r="GP64" s="110">
        <f t="shared" si="364"/>
        <v>12.879999999999995</v>
      </c>
      <c r="GQ64" s="110">
        <f t="shared" si="365"/>
        <v>12.879999999999995</v>
      </c>
      <c r="GR64" s="110">
        <f t="shared" si="366"/>
        <v>12.879999999999995</v>
      </c>
      <c r="GS64" s="110">
        <f t="shared" si="367"/>
        <v>12.879999999999995</v>
      </c>
      <c r="GU64" s="109" cm="1">
        <f t="array" ref="GU64">+IFERROR(INDEX($C$3:$AM$3,MATCH(TRUE,INDEX($C64:$AM64&lt;&gt;0,0),0)),"N/A")</f>
        <v>44926</v>
      </c>
      <c r="GV64" s="112" t="str" cm="1">
        <f t="array" ref="GV64">+_xlfn.IFS(HV64&lt;&gt;0,HV$2,IV64&lt;&gt;0,IV$2,JV64&lt;&gt;0,JV$2,KV64&lt;&gt;0,KV$2,TRUE,"")</f>
        <v/>
      </c>
      <c r="GW64" s="1" t="str" cm="1">
        <f t="array" ref="GW64">+_xlfn.IFS(HW64&lt;&gt;0,HW$2,IW64&lt;&gt;0,IW$2,JW64&lt;&gt;0,JW$2,KW64&lt;&gt;0,KW$2,TRUE,"")</f>
        <v/>
      </c>
      <c r="GX64" s="1" t="str" cm="1">
        <f t="array" ref="GX64">+_xlfn.IFS(HX64&lt;&gt;0,HX$2,IX64&lt;&gt;0,IX$2,JX64&lt;&gt;0,JX$2,KX64&lt;&gt;0,KX$2,TRUE,"")</f>
        <v/>
      </c>
      <c r="GY64" s="1" t="str" cm="1">
        <f t="array" ref="GY64">+_xlfn.IFS(HY64&lt;&gt;0,HY$2,IY64&lt;&gt;0,IY$2,JY64&lt;&gt;0,JY$2,KY64&lt;&gt;0,KY$2,TRUE,"")</f>
        <v/>
      </c>
      <c r="GZ64" s="1" t="str" cm="1">
        <f t="array" ref="GZ64">+_xlfn.IFS(HZ64&lt;&gt;0,HZ$2,IZ64&lt;&gt;0,IZ$2,JZ64&lt;&gt;0,JZ$2,KZ64&lt;&gt;0,KZ$2,TRUE,"")</f>
        <v/>
      </c>
      <c r="HA64" s="1" t="str" cm="1">
        <f t="array" ref="HA64">+_xlfn.IFS(IA64&lt;&gt;0,IA$2,JA64&lt;&gt;0,JA$2,KA64&lt;&gt;0,KA$2,LA64&lt;&gt;0,LA$2,TRUE,"")</f>
        <v/>
      </c>
      <c r="HB64" s="1" t="str" cm="1">
        <f t="array" ref="HB64">+_xlfn.IFS(IB64&lt;&gt;0,IB$2,JB64&lt;&gt;0,JB$2,KB64&lt;&gt;0,KB$2,LB64&lt;&gt;0,LB$2,TRUE,"")</f>
        <v/>
      </c>
      <c r="HC64" s="1" t="str" cm="1">
        <f t="array" ref="HC64">+_xlfn.IFS(IC64&lt;&gt;0,IC$2,JC64&lt;&gt;0,JC$2,KC64&lt;&gt;0,KC$2,LC64&lt;&gt;0,LC$2,TRUE,"")</f>
        <v/>
      </c>
      <c r="HD64" s="1" t="str" cm="1">
        <f t="array" ref="HD64">+_xlfn.IFS(ID64&lt;&gt;0,ID$2,JD64&lt;&gt;0,JD$2,KD64&lt;&gt;0,KD$2,LD64&lt;&gt;0,LD$2,TRUE,"")</f>
        <v/>
      </c>
      <c r="HE64" s="1" t="str" cm="1">
        <f t="array" ref="HE64">+_xlfn.IFS(IE64&lt;&gt;0,IE$2,JE64&lt;&gt;0,JE$2,KE64&lt;&gt;0,KE$2,LE64&lt;&gt;0,LE$2,TRUE,"")</f>
        <v/>
      </c>
      <c r="HF64" s="1" t="str" cm="1">
        <f t="array" ref="HF64">+_xlfn.IFS(IF64&lt;&gt;0,IF$2,JF64&lt;&gt;0,JF$2,KF64&lt;&gt;0,KF$2,LF64&lt;&gt;0,LF$2,TRUE,"")</f>
        <v/>
      </c>
      <c r="HG64" s="1" t="str" cm="1">
        <f t="array" ref="HG64">+_xlfn.IFS(IG64&lt;&gt;0,IG$2,JG64&lt;&gt;0,JG$2,KG64&lt;&gt;0,KG$2,LG64&lt;&gt;0,LG$2,TRUE,"")</f>
        <v/>
      </c>
      <c r="HH64" s="1" t="str" cm="1">
        <f t="array" ref="HH64">+_xlfn.IFS(IH64&lt;&gt;0,IH$2,JH64&lt;&gt;0,JH$2,KH64&lt;&gt;0,KH$2,LH64&lt;&gt;0,LH$2,TRUE,"")</f>
        <v/>
      </c>
      <c r="HI64" s="1" t="str" cm="1">
        <f t="array" ref="HI64">+_xlfn.IFS(II64&lt;&gt;0,II$2,JI64&lt;&gt;0,JI$2,KI64&lt;&gt;0,KI$2,LI64&lt;&gt;0,LI$2,TRUE,"")</f>
        <v/>
      </c>
      <c r="HJ64" s="1" t="str" cm="1">
        <f t="array" ref="HJ64">+_xlfn.IFS(IJ64&lt;&gt;0,IJ$2,JJ64&lt;&gt;0,JJ$2,KJ64&lt;&gt;0,KJ$2,LJ64&lt;&gt;0,LJ$2,TRUE,"")</f>
        <v/>
      </c>
      <c r="HK64" s="1" t="str" cm="1">
        <f t="array" ref="HK64">+_xlfn.IFS(IK64&lt;&gt;0,IK$2,JK64&lt;&gt;0,JK$2,KK64&lt;&gt;0,KK$2,LK64&lt;&gt;0,LK$2,TRUE,"")</f>
        <v/>
      </c>
      <c r="HL64" s="1" t="str" cm="1">
        <f t="array" ref="HL64">+_xlfn.IFS(IL64&lt;&gt;0,IL$2,JL64&lt;&gt;0,JL$2,KL64&lt;&gt;0,KL$2,LL64&lt;&gt;0,LL$2,TRUE,"")</f>
        <v>Upsell</v>
      </c>
      <c r="HM64" s="1" t="str" cm="1">
        <f t="array" ref="HM64">+_xlfn.IFS(IM64&lt;&gt;0,IM$2,JM64&lt;&gt;0,JM$2,KM64&lt;&gt;0,KM$2,LM64&lt;&gt;0,LM$2,TRUE,"")</f>
        <v>Upsell</v>
      </c>
      <c r="HN64" s="1" t="str" cm="1">
        <f t="array" ref="HN64">+_xlfn.IFS(IN64&lt;&gt;0,IN$2,JN64&lt;&gt;0,JN$2,KN64&lt;&gt;0,KN$2,LN64&lt;&gt;0,LN$2,TRUE,"")</f>
        <v>Upsell</v>
      </c>
      <c r="HO64" s="1" t="str" cm="1">
        <f t="array" ref="HO64">+_xlfn.IFS(IO64&lt;&gt;0,IO$2,JO64&lt;&gt;0,JO$2,KO64&lt;&gt;0,KO$2,LO64&lt;&gt;0,LO$2,TRUE,"")</f>
        <v>Upsell</v>
      </c>
      <c r="HP64" s="1" t="str" cm="1">
        <f t="array" ref="HP64">+_xlfn.IFS(IP64&lt;&gt;0,IP$2,JP64&lt;&gt;0,JP$2,KP64&lt;&gt;0,KP$2,LP64&lt;&gt;0,LP$2,TRUE,"")</f>
        <v>Upsell</v>
      </c>
      <c r="HQ64" s="1" t="str" cm="1">
        <f t="array" ref="HQ64">+_xlfn.IFS(IQ64&lt;&gt;0,IQ$2,JQ64&lt;&gt;0,JQ$2,KQ64&lt;&gt;0,KQ$2,LQ64&lt;&gt;0,LQ$2,TRUE,"")</f>
        <v>Upsell</v>
      </c>
      <c r="HR64" s="1" t="str" cm="1">
        <f t="array" ref="HR64">+_xlfn.IFS(IR64&lt;&gt;0,IR$2,JR64&lt;&gt;0,JR$2,KR64&lt;&gt;0,KR$2,LR64&lt;&gt;0,LR$2,TRUE,"")</f>
        <v>Upsell</v>
      </c>
      <c r="HS64" s="1" t="str" cm="1">
        <f t="array" ref="HS64">+_xlfn.IFS(IS64&lt;&gt;0,IS$2,JS64&lt;&gt;0,JS$2,KS64&lt;&gt;0,KS$2,LS64&lt;&gt;0,LS$2,TRUE,"")</f>
        <v>Upsell</v>
      </c>
      <c r="HT64" s="1" t="str" cm="1">
        <f t="array" ref="HT64">+_xlfn.IFS(IT64&lt;&gt;0,IT$2,JT64&lt;&gt;0,JT$2,KT64&lt;&gt;0,KT$2,LT64&lt;&gt;0,LT$2,TRUE,"")</f>
        <v>Upsell</v>
      </c>
      <c r="HV64" s="111">
        <f t="shared" si="368"/>
        <v>0</v>
      </c>
      <c r="HW64" s="110">
        <f t="shared" si="369"/>
        <v>0</v>
      </c>
      <c r="HX64" s="110">
        <f t="shared" si="370"/>
        <v>0</v>
      </c>
      <c r="HY64" s="110">
        <f t="shared" si="371"/>
        <v>0</v>
      </c>
      <c r="HZ64" s="110">
        <f t="shared" si="372"/>
        <v>0</v>
      </c>
      <c r="IA64" s="110">
        <f t="shared" si="373"/>
        <v>0</v>
      </c>
      <c r="IB64" s="110">
        <f t="shared" si="374"/>
        <v>0</v>
      </c>
      <c r="IC64" s="110">
        <f t="shared" si="375"/>
        <v>0</v>
      </c>
      <c r="ID64" s="110">
        <f t="shared" si="376"/>
        <v>0</v>
      </c>
      <c r="IE64" s="110">
        <f t="shared" si="377"/>
        <v>0</v>
      </c>
      <c r="IF64" s="110">
        <f t="shared" si="378"/>
        <v>0</v>
      </c>
      <c r="IG64" s="110">
        <f t="shared" si="379"/>
        <v>0</v>
      </c>
      <c r="IH64" s="110">
        <f t="shared" si="380"/>
        <v>0</v>
      </c>
      <c r="II64" s="110">
        <f t="shared" si="381"/>
        <v>0</v>
      </c>
      <c r="IJ64" s="110">
        <f t="shared" si="382"/>
        <v>0</v>
      </c>
      <c r="IK64" s="110">
        <f t="shared" si="383"/>
        <v>0</v>
      </c>
      <c r="IL64" s="110">
        <f t="shared" si="384"/>
        <v>0</v>
      </c>
      <c r="IM64" s="110">
        <f t="shared" si="385"/>
        <v>0</v>
      </c>
      <c r="IN64" s="110">
        <f t="shared" si="386"/>
        <v>0</v>
      </c>
      <c r="IO64" s="110">
        <f t="shared" si="387"/>
        <v>0</v>
      </c>
      <c r="IP64" s="110">
        <f t="shared" si="388"/>
        <v>0</v>
      </c>
      <c r="IQ64" s="110">
        <f t="shared" si="389"/>
        <v>0</v>
      </c>
      <c r="IR64" s="110">
        <f t="shared" si="390"/>
        <v>0</v>
      </c>
      <c r="IS64" s="110">
        <f t="shared" si="391"/>
        <v>0</v>
      </c>
      <c r="IT64" s="110">
        <f t="shared" si="392"/>
        <v>0</v>
      </c>
      <c r="IV64" s="111">
        <f t="shared" si="393"/>
        <v>0</v>
      </c>
      <c r="IW64" s="110">
        <f t="shared" si="394"/>
        <v>0</v>
      </c>
      <c r="IX64" s="110">
        <f t="shared" si="395"/>
        <v>0</v>
      </c>
      <c r="IY64" s="110">
        <f t="shared" si="396"/>
        <v>0</v>
      </c>
      <c r="IZ64" s="110">
        <f t="shared" si="397"/>
        <v>0</v>
      </c>
      <c r="JA64" s="110">
        <f t="shared" si="398"/>
        <v>0</v>
      </c>
      <c r="JB64" s="110">
        <f t="shared" si="399"/>
        <v>0</v>
      </c>
      <c r="JC64" s="110">
        <f t="shared" si="400"/>
        <v>0</v>
      </c>
      <c r="JD64" s="110">
        <f t="shared" si="401"/>
        <v>0</v>
      </c>
      <c r="JE64" s="110">
        <f t="shared" si="402"/>
        <v>0</v>
      </c>
      <c r="JF64" s="110">
        <f t="shared" si="403"/>
        <v>0</v>
      </c>
      <c r="JG64" s="110">
        <f t="shared" si="404"/>
        <v>0</v>
      </c>
      <c r="JH64" s="110">
        <f t="shared" si="405"/>
        <v>0</v>
      </c>
      <c r="JI64" s="110">
        <f t="shared" si="406"/>
        <v>0</v>
      </c>
      <c r="JJ64" s="110">
        <f t="shared" si="407"/>
        <v>0</v>
      </c>
      <c r="JK64" s="110">
        <f t="shared" si="408"/>
        <v>0</v>
      </c>
      <c r="JL64" s="110">
        <f t="shared" si="409"/>
        <v>0</v>
      </c>
      <c r="JM64" s="110">
        <f t="shared" si="410"/>
        <v>0</v>
      </c>
      <c r="JN64" s="110">
        <f t="shared" si="411"/>
        <v>0</v>
      </c>
      <c r="JO64" s="110">
        <f t="shared" si="412"/>
        <v>0</v>
      </c>
      <c r="JP64" s="110">
        <f t="shared" si="413"/>
        <v>0</v>
      </c>
      <c r="JQ64" s="110">
        <f t="shared" si="414"/>
        <v>0</v>
      </c>
      <c r="JR64" s="110">
        <f t="shared" si="415"/>
        <v>0</v>
      </c>
      <c r="JS64" s="110">
        <f t="shared" si="416"/>
        <v>0</v>
      </c>
      <c r="JT64" s="110">
        <f t="shared" si="417"/>
        <v>0</v>
      </c>
      <c r="JV64" s="111">
        <f t="shared" si="418"/>
        <v>0</v>
      </c>
      <c r="JW64" s="110">
        <f t="shared" si="419"/>
        <v>0</v>
      </c>
      <c r="JX64" s="110">
        <f t="shared" si="420"/>
        <v>0</v>
      </c>
      <c r="JY64" s="110">
        <f t="shared" si="421"/>
        <v>0</v>
      </c>
      <c r="JZ64" s="110">
        <f t="shared" si="422"/>
        <v>0</v>
      </c>
      <c r="KA64" s="110">
        <f t="shared" si="423"/>
        <v>0</v>
      </c>
      <c r="KB64" s="110">
        <f t="shared" si="424"/>
        <v>0</v>
      </c>
      <c r="KC64" s="110">
        <f t="shared" si="425"/>
        <v>0</v>
      </c>
      <c r="KD64" s="110">
        <f t="shared" si="426"/>
        <v>0</v>
      </c>
      <c r="KE64" s="110">
        <f t="shared" si="427"/>
        <v>0</v>
      </c>
      <c r="KF64" s="110">
        <f t="shared" si="428"/>
        <v>0</v>
      </c>
      <c r="KG64" s="110">
        <f t="shared" si="429"/>
        <v>0</v>
      </c>
      <c r="KH64" s="110">
        <f t="shared" si="430"/>
        <v>0</v>
      </c>
      <c r="KI64" s="110">
        <f t="shared" si="431"/>
        <v>0</v>
      </c>
      <c r="KJ64" s="110">
        <f t="shared" si="432"/>
        <v>0</v>
      </c>
      <c r="KK64" s="110">
        <f t="shared" si="433"/>
        <v>0</v>
      </c>
      <c r="KL64" s="110">
        <f t="shared" si="434"/>
        <v>0</v>
      </c>
      <c r="KM64" s="110">
        <f t="shared" si="435"/>
        <v>0</v>
      </c>
      <c r="KN64" s="110">
        <f t="shared" si="436"/>
        <v>0</v>
      </c>
      <c r="KO64" s="110">
        <f t="shared" si="437"/>
        <v>0</v>
      </c>
      <c r="KP64" s="110">
        <f t="shared" si="438"/>
        <v>0</v>
      </c>
      <c r="KQ64" s="110">
        <f t="shared" si="439"/>
        <v>0</v>
      </c>
      <c r="KR64" s="110">
        <f t="shared" si="440"/>
        <v>0</v>
      </c>
      <c r="KS64" s="110">
        <f t="shared" si="441"/>
        <v>0</v>
      </c>
      <c r="KT64" s="110">
        <f t="shared" si="442"/>
        <v>0</v>
      </c>
      <c r="KV64" s="111">
        <f t="shared" si="443"/>
        <v>0</v>
      </c>
      <c r="KW64" s="110">
        <f t="shared" si="444"/>
        <v>0</v>
      </c>
      <c r="KX64" s="110">
        <f t="shared" si="445"/>
        <v>0</v>
      </c>
      <c r="KY64" s="110">
        <f t="shared" si="446"/>
        <v>0</v>
      </c>
      <c r="KZ64" s="110">
        <f t="shared" si="447"/>
        <v>0</v>
      </c>
      <c r="LA64" s="110">
        <f t="shared" si="448"/>
        <v>0</v>
      </c>
      <c r="LB64" s="110">
        <f t="shared" si="449"/>
        <v>0</v>
      </c>
      <c r="LC64" s="110">
        <f t="shared" si="450"/>
        <v>0</v>
      </c>
      <c r="LD64" s="110">
        <f t="shared" si="451"/>
        <v>0</v>
      </c>
      <c r="LE64" s="110">
        <f t="shared" si="452"/>
        <v>0</v>
      </c>
      <c r="LF64" s="110">
        <f t="shared" si="453"/>
        <v>0</v>
      </c>
      <c r="LG64" s="110">
        <f t="shared" si="454"/>
        <v>0</v>
      </c>
      <c r="LH64" s="110">
        <f t="shared" si="455"/>
        <v>0</v>
      </c>
      <c r="LI64" s="110">
        <f t="shared" si="456"/>
        <v>0</v>
      </c>
      <c r="LJ64" s="110">
        <f t="shared" si="457"/>
        <v>0</v>
      </c>
      <c r="LK64" s="110">
        <f t="shared" si="458"/>
        <v>0</v>
      </c>
      <c r="LL64" s="110">
        <f t="shared" si="459"/>
        <v>12.879999999999995</v>
      </c>
      <c r="LM64" s="110">
        <f t="shared" si="460"/>
        <v>12.879999999999995</v>
      </c>
      <c r="LN64" s="110">
        <f t="shared" si="461"/>
        <v>12.879999999999995</v>
      </c>
      <c r="LO64" s="110">
        <f t="shared" si="462"/>
        <v>12.879999999999995</v>
      </c>
      <c r="LP64" s="110">
        <f t="shared" si="463"/>
        <v>12.879999999999995</v>
      </c>
      <c r="LQ64" s="110">
        <f t="shared" si="464"/>
        <v>12.879999999999995</v>
      </c>
      <c r="LR64" s="110">
        <f t="shared" si="465"/>
        <v>12.879999999999995</v>
      </c>
      <c r="LS64" s="110">
        <f t="shared" si="466"/>
        <v>12.879999999999995</v>
      </c>
      <c r="LT64" s="110">
        <f t="shared" si="467"/>
        <v>12.879999999999995</v>
      </c>
      <c r="LV64" s="111"/>
      <c r="LW64" s="110">
        <f t="shared" si="468"/>
        <v>0</v>
      </c>
      <c r="LX64" s="110">
        <f t="shared" si="469"/>
        <v>0</v>
      </c>
      <c r="LY64" s="110">
        <f t="shared" si="470"/>
        <v>0</v>
      </c>
      <c r="LZ64" s="110">
        <f t="shared" si="471"/>
        <v>0</v>
      </c>
      <c r="MA64" s="110">
        <f t="shared" si="472"/>
        <v>0</v>
      </c>
      <c r="MB64" s="110">
        <f t="shared" si="473"/>
        <v>0</v>
      </c>
      <c r="MC64" s="110">
        <f t="shared" si="474"/>
        <v>0</v>
      </c>
      <c r="MD64" s="110">
        <f t="shared" si="475"/>
        <v>0</v>
      </c>
      <c r="ME64" s="110">
        <f t="shared" si="476"/>
        <v>0</v>
      </c>
      <c r="MF64" s="110">
        <f t="shared" si="477"/>
        <v>0</v>
      </c>
      <c r="MG64" s="110">
        <f t="shared" si="478"/>
        <v>0</v>
      </c>
      <c r="MH64" s="110">
        <f t="shared" si="479"/>
        <v>0</v>
      </c>
      <c r="MI64" s="110">
        <f t="shared" si="480"/>
        <v>0</v>
      </c>
      <c r="MJ64" s="110">
        <f t="shared" si="481"/>
        <v>0</v>
      </c>
      <c r="MK64" s="110">
        <f t="shared" si="482"/>
        <v>0</v>
      </c>
      <c r="ML64" s="110">
        <f t="shared" si="483"/>
        <v>0</v>
      </c>
      <c r="MM64" s="110">
        <f t="shared" si="484"/>
        <v>0</v>
      </c>
      <c r="MN64" s="110">
        <f t="shared" si="485"/>
        <v>0</v>
      </c>
      <c r="MO64" s="110">
        <f t="shared" si="486"/>
        <v>0</v>
      </c>
      <c r="MP64" s="110">
        <f t="shared" si="487"/>
        <v>0</v>
      </c>
      <c r="MQ64" s="110">
        <f t="shared" si="488"/>
        <v>0</v>
      </c>
      <c r="MR64" s="110">
        <f t="shared" si="489"/>
        <v>0</v>
      </c>
      <c r="MS64" s="110">
        <f t="shared" si="490"/>
        <v>0</v>
      </c>
      <c r="MT64" s="110">
        <f t="shared" si="491"/>
        <v>0</v>
      </c>
      <c r="MV64" s="114">
        <v>399.88</v>
      </c>
      <c r="MW64" s="114">
        <v>0</v>
      </c>
      <c r="MX64" s="114">
        <v>12.879999999999995</v>
      </c>
      <c r="MY64" s="114">
        <v>0</v>
      </c>
      <c r="MZ64" s="114">
        <v>0</v>
      </c>
      <c r="NB64" s="115">
        <v>1</v>
      </c>
      <c r="NC64" s="115" t="str">
        <v>N/A</v>
      </c>
      <c r="ND64" s="115">
        <v>4</v>
      </c>
      <c r="NE64" s="115" t="str">
        <v>N/A</v>
      </c>
      <c r="NF64" s="115" t="str">
        <v>N/A</v>
      </c>
    </row>
    <row r="65" spans="2:370" ht="13.5" x14ac:dyDescent="0.25">
      <c r="B65" s="8">
        <f t="shared" si="252"/>
        <v>62</v>
      </c>
      <c r="C65" s="7">
        <v>0</v>
      </c>
      <c r="D65" s="7">
        <v>0</v>
      </c>
      <c r="E65" s="7">
        <v>0</v>
      </c>
      <c r="F65" s="7">
        <v>0</v>
      </c>
      <c r="G65" s="7">
        <v>0</v>
      </c>
      <c r="H65" s="7">
        <v>0</v>
      </c>
      <c r="I65" s="7">
        <v>0</v>
      </c>
      <c r="J65" s="7">
        <v>0</v>
      </c>
      <c r="K65" s="7">
        <v>0</v>
      </c>
      <c r="L65" s="7">
        <v>0</v>
      </c>
      <c r="M65" s="7">
        <v>0</v>
      </c>
      <c r="N65" s="7">
        <v>0</v>
      </c>
      <c r="O65" s="7">
        <v>0</v>
      </c>
      <c r="P65" s="7">
        <v>0</v>
      </c>
      <c r="Q65" s="7">
        <v>0</v>
      </c>
      <c r="R65" s="7">
        <v>0</v>
      </c>
      <c r="S65" s="7">
        <v>0</v>
      </c>
      <c r="T65" s="7">
        <v>0</v>
      </c>
      <c r="U65" s="7">
        <v>0</v>
      </c>
      <c r="V65" s="7">
        <v>0</v>
      </c>
      <c r="W65" s="7">
        <v>0</v>
      </c>
      <c r="X65" s="7">
        <v>0</v>
      </c>
      <c r="Y65" s="7">
        <v>0</v>
      </c>
      <c r="Z65" s="7">
        <v>0</v>
      </c>
      <c r="AA65" s="7">
        <v>0</v>
      </c>
      <c r="AB65" s="7">
        <v>0</v>
      </c>
      <c r="AC65" s="7">
        <v>0</v>
      </c>
      <c r="AD65" s="7">
        <v>0</v>
      </c>
      <c r="AE65" s="7">
        <v>0</v>
      </c>
      <c r="AF65" s="7">
        <v>0</v>
      </c>
      <c r="AG65" s="7">
        <v>361.22</v>
      </c>
      <c r="AH65" s="7">
        <v>361.22</v>
      </c>
      <c r="AI65" s="7">
        <v>361.22</v>
      </c>
      <c r="AJ65" s="7">
        <v>361.22</v>
      </c>
      <c r="AK65" s="7">
        <v>361.22</v>
      </c>
      <c r="AL65" s="7">
        <v>361.22</v>
      </c>
      <c r="AM65" s="7">
        <v>361.22</v>
      </c>
      <c r="AN65" s="27">
        <v>62</v>
      </c>
      <c r="AP65" s="111"/>
      <c r="AQ65" s="110">
        <f t="shared" si="253"/>
        <v>0</v>
      </c>
      <c r="AR65" s="110">
        <f t="shared" si="254"/>
        <v>0</v>
      </c>
      <c r="AS65" s="110">
        <f t="shared" si="255"/>
        <v>0</v>
      </c>
      <c r="AT65" s="110">
        <f t="shared" si="256"/>
        <v>0</v>
      </c>
      <c r="AU65" s="110">
        <f t="shared" si="257"/>
        <v>0</v>
      </c>
      <c r="AV65" s="110">
        <f t="shared" si="258"/>
        <v>0</v>
      </c>
      <c r="AW65" s="110">
        <f t="shared" si="259"/>
        <v>0</v>
      </c>
      <c r="AX65" s="110">
        <f t="shared" si="260"/>
        <v>0</v>
      </c>
      <c r="AY65" s="110">
        <f t="shared" si="261"/>
        <v>0</v>
      </c>
      <c r="AZ65" s="110">
        <f t="shared" si="262"/>
        <v>361.22</v>
      </c>
      <c r="BA65" s="110">
        <f t="shared" si="263"/>
        <v>0</v>
      </c>
      <c r="BB65" s="110">
        <f t="shared" si="264"/>
        <v>0</v>
      </c>
      <c r="BD65" s="109" cm="1">
        <f t="array" ref="BD65">+IFERROR(INDEX($C$3:$AM$3,MATCH(TRUE,INDEX($C65:$AM65&lt;&gt;0,0),0)),"N/A")</f>
        <v>45838</v>
      </c>
      <c r="BE65" s="112"/>
      <c r="BF65" s="1" t="str" cm="1">
        <f t="array" ref="BF65">+_xlfn.IFS(BT65&lt;&gt;0,BT$2,CH65&lt;&gt;0,CH$2,CV65&lt;&gt;0,CV$2,DJ65&lt;&gt;0,DJ$2,TRUE,"")</f>
        <v/>
      </c>
      <c r="BG65" s="1" t="str" cm="1">
        <f t="array" ref="BG65">+_xlfn.IFS(BU65&lt;&gt;0,BU$2,CI65&lt;&gt;0,CI$2,CW65&lt;&gt;0,CW$2,DK65&lt;&gt;0,DK$2,TRUE,"")</f>
        <v/>
      </c>
      <c r="BH65" s="1" t="str" cm="1">
        <f t="array" ref="BH65">+_xlfn.IFS(BV65&lt;&gt;0,BV$2,CJ65&lt;&gt;0,CJ$2,CX65&lt;&gt;0,CX$2,DL65&lt;&gt;0,DL$2,TRUE,"")</f>
        <v/>
      </c>
      <c r="BI65" s="1" t="str" cm="1">
        <f t="array" ref="BI65">+_xlfn.IFS(BW65&lt;&gt;0,BW$2,CK65&lt;&gt;0,CK$2,CY65&lt;&gt;0,CY$2,DM65&lt;&gt;0,DM$2,TRUE,"")</f>
        <v/>
      </c>
      <c r="BJ65" s="1" t="str" cm="1">
        <f t="array" ref="BJ65">+_xlfn.IFS(BX65&lt;&gt;0,BX$2,CL65&lt;&gt;0,CL$2,CZ65&lt;&gt;0,CZ$2,DN65&lt;&gt;0,DN$2,TRUE,"")</f>
        <v/>
      </c>
      <c r="BK65" s="1" t="str" cm="1">
        <f t="array" ref="BK65">+_xlfn.IFS(BY65&lt;&gt;0,BY$2,CM65&lt;&gt;0,CM$2,DA65&lt;&gt;0,DA$2,DO65&lt;&gt;0,DO$2,TRUE,"")</f>
        <v/>
      </c>
      <c r="BL65" s="1" t="str" cm="1">
        <f t="array" ref="BL65">+_xlfn.IFS(BZ65&lt;&gt;0,BZ$2,CN65&lt;&gt;0,CN$2,DB65&lt;&gt;0,DB$2,DP65&lt;&gt;0,DP$2,TRUE,"")</f>
        <v/>
      </c>
      <c r="BM65" s="1" t="str" cm="1">
        <f t="array" ref="BM65">+_xlfn.IFS(CA65&lt;&gt;0,CA$2,CO65&lt;&gt;0,CO$2,DC65&lt;&gt;0,DC$2,DQ65&lt;&gt;0,DQ$2,TRUE,"")</f>
        <v/>
      </c>
      <c r="BN65" s="1" t="str" cm="1">
        <f t="array" ref="BN65">+_xlfn.IFS(CB65&lt;&gt;0,CB$2,CP65&lt;&gt;0,CP$2,DD65&lt;&gt;0,DD$2,DR65&lt;&gt;0,DR$2,TRUE,"")</f>
        <v/>
      </c>
      <c r="BO65" s="1" t="str" cm="1">
        <f t="array" ref="BO65">+_xlfn.IFS(CC65&lt;&gt;0,CC$2,CQ65&lt;&gt;0,CQ$2,DE65&lt;&gt;0,DE$2,DS65&lt;&gt;0,DS$2,TRUE,"")</f>
        <v>New</v>
      </c>
      <c r="BP65" s="1" t="str" cm="1">
        <f t="array" ref="BP65">+_xlfn.IFS(CD65&lt;&gt;0,CD$2,CR65&lt;&gt;0,CR$2,DF65&lt;&gt;0,DF$2,DT65&lt;&gt;0,DT$2,TRUE,"")</f>
        <v/>
      </c>
      <c r="BQ65" s="1" t="str" cm="1">
        <f t="array" ref="BQ65">+_xlfn.IFS(CE65&lt;&gt;0,CE$2,CS65&lt;&gt;0,CS$2,DG65&lt;&gt;0,DG$2,DU65&lt;&gt;0,DU$2,TRUE,"")</f>
        <v/>
      </c>
      <c r="BS65" s="111"/>
      <c r="BT65" s="110">
        <f t="shared" si="265"/>
        <v>0</v>
      </c>
      <c r="BU65" s="110">
        <f t="shared" si="266"/>
        <v>0</v>
      </c>
      <c r="BV65" s="110">
        <f t="shared" si="267"/>
        <v>0</v>
      </c>
      <c r="BW65" s="110">
        <f t="shared" si="268"/>
        <v>0</v>
      </c>
      <c r="BX65" s="110">
        <f t="shared" si="269"/>
        <v>0</v>
      </c>
      <c r="BY65" s="110">
        <f t="shared" si="270"/>
        <v>0</v>
      </c>
      <c r="BZ65" s="110">
        <f t="shared" si="271"/>
        <v>0</v>
      </c>
      <c r="CA65" s="110">
        <f t="shared" si="272"/>
        <v>0</v>
      </c>
      <c r="CB65" s="110">
        <f t="shared" si="273"/>
        <v>0</v>
      </c>
      <c r="CC65" s="110">
        <f t="shared" si="274"/>
        <v>361.22</v>
      </c>
      <c r="CD65" s="110">
        <f t="shared" si="275"/>
        <v>0</v>
      </c>
      <c r="CE65" s="110">
        <f t="shared" si="276"/>
        <v>0</v>
      </c>
      <c r="CG65" s="111"/>
      <c r="CH65" s="110">
        <f t="shared" si="277"/>
        <v>0</v>
      </c>
      <c r="CI65" s="110">
        <f t="shared" si="278"/>
        <v>0</v>
      </c>
      <c r="CJ65" s="110">
        <f t="shared" si="279"/>
        <v>0</v>
      </c>
      <c r="CK65" s="110">
        <f t="shared" si="280"/>
        <v>0</v>
      </c>
      <c r="CL65" s="110">
        <f t="shared" si="281"/>
        <v>0</v>
      </c>
      <c r="CM65" s="110">
        <f t="shared" si="282"/>
        <v>0</v>
      </c>
      <c r="CN65" s="110">
        <f t="shared" si="283"/>
        <v>0</v>
      </c>
      <c r="CO65" s="110">
        <f t="shared" si="284"/>
        <v>0</v>
      </c>
      <c r="CP65" s="110">
        <f t="shared" si="285"/>
        <v>0</v>
      </c>
      <c r="CQ65" s="110">
        <f t="shared" si="286"/>
        <v>0</v>
      </c>
      <c r="CR65" s="110">
        <f t="shared" si="287"/>
        <v>0</v>
      </c>
      <c r="CS65" s="110">
        <f t="shared" si="288"/>
        <v>0</v>
      </c>
      <c r="CU65" s="111"/>
      <c r="CV65" s="110">
        <f t="shared" si="289"/>
        <v>0</v>
      </c>
      <c r="CW65" s="110">
        <f t="shared" si="290"/>
        <v>0</v>
      </c>
      <c r="CX65" s="110">
        <f t="shared" si="291"/>
        <v>0</v>
      </c>
      <c r="CY65" s="110">
        <f t="shared" si="292"/>
        <v>0</v>
      </c>
      <c r="CZ65" s="110">
        <f t="shared" si="293"/>
        <v>0</v>
      </c>
      <c r="DA65" s="110">
        <f t="shared" si="294"/>
        <v>0</v>
      </c>
      <c r="DB65" s="110">
        <f t="shared" si="295"/>
        <v>0</v>
      </c>
      <c r="DC65" s="110">
        <f t="shared" si="296"/>
        <v>0</v>
      </c>
      <c r="DD65" s="110">
        <f t="shared" si="297"/>
        <v>0</v>
      </c>
      <c r="DE65" s="110">
        <f t="shared" si="298"/>
        <v>0</v>
      </c>
      <c r="DF65" s="110">
        <f t="shared" si="299"/>
        <v>0</v>
      </c>
      <c r="DG65" s="110">
        <f t="shared" si="300"/>
        <v>0</v>
      </c>
      <c r="DI65" s="111"/>
      <c r="DJ65" s="110">
        <f t="shared" si="301"/>
        <v>0</v>
      </c>
      <c r="DK65" s="110">
        <f t="shared" si="302"/>
        <v>0</v>
      </c>
      <c r="DL65" s="110">
        <f t="shared" si="303"/>
        <v>0</v>
      </c>
      <c r="DM65" s="110">
        <f t="shared" si="304"/>
        <v>0</v>
      </c>
      <c r="DN65" s="110">
        <f t="shared" si="305"/>
        <v>0</v>
      </c>
      <c r="DO65" s="110">
        <f t="shared" si="306"/>
        <v>0</v>
      </c>
      <c r="DP65" s="110">
        <f t="shared" si="307"/>
        <v>0</v>
      </c>
      <c r="DQ65" s="110">
        <f t="shared" si="308"/>
        <v>0</v>
      </c>
      <c r="DR65" s="110">
        <f t="shared" si="309"/>
        <v>0</v>
      </c>
      <c r="DS65" s="110">
        <f t="shared" si="310"/>
        <v>0</v>
      </c>
      <c r="DT65" s="110">
        <f t="shared" si="311"/>
        <v>0</v>
      </c>
      <c r="DU65" s="110">
        <f t="shared" si="312"/>
        <v>0</v>
      </c>
      <c r="DW65" s="111"/>
      <c r="DX65" s="110">
        <f t="shared" si="313"/>
        <v>0</v>
      </c>
      <c r="DY65" s="110">
        <f t="shared" si="314"/>
        <v>0</v>
      </c>
      <c r="DZ65" s="110">
        <f t="shared" si="315"/>
        <v>0</v>
      </c>
      <c r="EA65" s="110">
        <f t="shared" si="316"/>
        <v>0</v>
      </c>
      <c r="EB65" s="110">
        <f t="shared" si="317"/>
        <v>0</v>
      </c>
      <c r="EC65" s="110">
        <f t="shared" si="318"/>
        <v>0</v>
      </c>
      <c r="ED65" s="110">
        <f t="shared" si="319"/>
        <v>0</v>
      </c>
      <c r="EE65" s="110">
        <f t="shared" si="320"/>
        <v>0</v>
      </c>
      <c r="EF65" s="110">
        <f t="shared" si="321"/>
        <v>0</v>
      </c>
      <c r="EG65" s="110">
        <f t="shared" si="322"/>
        <v>0</v>
      </c>
      <c r="EH65" s="110">
        <f t="shared" si="323"/>
        <v>0</v>
      </c>
      <c r="EI65" s="110">
        <f t="shared" si="324"/>
        <v>0</v>
      </c>
      <c r="EK65" s="111"/>
      <c r="EL65" s="110">
        <f t="shared" si="325"/>
        <v>0</v>
      </c>
      <c r="EM65" s="110">
        <f t="shared" si="326"/>
        <v>0</v>
      </c>
      <c r="EN65" s="110">
        <f t="shared" si="327"/>
        <v>361.22</v>
      </c>
      <c r="EP65" s="109" cm="1">
        <f t="array" ref="EP65">+IFERROR(INDEX($C$3:$AM$3,MATCH(TRUE,INDEX($C65:$AM65&lt;&gt;0,0),0)),"N/A")</f>
        <v>45838</v>
      </c>
      <c r="EQ65" s="112"/>
      <c r="ER65" s="1" t="str" cm="1">
        <f t="array" ref="ER65">+_xlfn.IFS(EW65&lt;&gt;0,EW$2,FB65&lt;&gt;0,FB$2,FG65&lt;&gt;0,FG$2,FL65&lt;&gt;0,FL$2,TRUE,"")</f>
        <v/>
      </c>
      <c r="ES65" s="1" t="str" cm="1">
        <f t="array" ref="ES65">+_xlfn.IFS(EX65&lt;&gt;0,EX$2,FC65&lt;&gt;0,FC$2,FH65&lt;&gt;0,FH$2,FM65&lt;&gt;0,FM$2,TRUE,"")</f>
        <v/>
      </c>
      <c r="ET65" s="1" t="str" cm="1">
        <f t="array" ref="ET65">+_xlfn.IFS(EY65&lt;&gt;0,EY$2,FD65&lt;&gt;0,FD$2,FI65&lt;&gt;0,FI$2,FN65&lt;&gt;0,FN$2,TRUE,"")</f>
        <v>New</v>
      </c>
      <c r="EV65" s="111"/>
      <c r="EW65" s="110">
        <f t="shared" si="328"/>
        <v>0</v>
      </c>
      <c r="EX65" s="110">
        <f t="shared" si="329"/>
        <v>0</v>
      </c>
      <c r="EY65" s="110">
        <f t="shared" si="330"/>
        <v>361.22</v>
      </c>
      <c r="FA65" s="111"/>
      <c r="FB65" s="110">
        <f t="shared" si="331"/>
        <v>0</v>
      </c>
      <c r="FC65" s="110">
        <f t="shared" si="332"/>
        <v>0</v>
      </c>
      <c r="FD65" s="110">
        <f t="shared" si="333"/>
        <v>0</v>
      </c>
      <c r="FF65" s="111"/>
      <c r="FG65" s="110">
        <f t="shared" si="334"/>
        <v>0</v>
      </c>
      <c r="FH65" s="110">
        <f t="shared" si="335"/>
        <v>0</v>
      </c>
      <c r="FI65" s="110">
        <f t="shared" si="336"/>
        <v>0</v>
      </c>
      <c r="FK65" s="111"/>
      <c r="FL65" s="110">
        <f t="shared" si="337"/>
        <v>0</v>
      </c>
      <c r="FM65" s="110">
        <f t="shared" si="338"/>
        <v>0</v>
      </c>
      <c r="FN65" s="110">
        <f t="shared" si="339"/>
        <v>0</v>
      </c>
      <c r="FP65" s="111"/>
      <c r="FQ65" s="110">
        <f t="shared" si="340"/>
        <v>0</v>
      </c>
      <c r="FR65" s="110">
        <f t="shared" si="341"/>
        <v>0</v>
      </c>
      <c r="FS65" s="110">
        <f t="shared" si="342"/>
        <v>0</v>
      </c>
      <c r="FU65" s="111">
        <f t="shared" si="343"/>
        <v>0</v>
      </c>
      <c r="FV65" s="110">
        <f t="shared" si="344"/>
        <v>0</v>
      </c>
      <c r="FW65" s="110">
        <f t="shared" si="345"/>
        <v>0</v>
      </c>
      <c r="FX65" s="110">
        <f t="shared" si="346"/>
        <v>0</v>
      </c>
      <c r="FY65" s="110">
        <f t="shared" si="347"/>
        <v>0</v>
      </c>
      <c r="FZ65" s="110">
        <f t="shared" si="348"/>
        <v>0</v>
      </c>
      <c r="GA65" s="110">
        <f t="shared" si="349"/>
        <v>0</v>
      </c>
      <c r="GB65" s="110">
        <f t="shared" si="350"/>
        <v>0</v>
      </c>
      <c r="GC65" s="110">
        <f t="shared" si="351"/>
        <v>0</v>
      </c>
      <c r="GD65" s="110">
        <f t="shared" si="352"/>
        <v>0</v>
      </c>
      <c r="GE65" s="110">
        <f t="shared" si="353"/>
        <v>0</v>
      </c>
      <c r="GF65" s="110">
        <f t="shared" si="354"/>
        <v>0</v>
      </c>
      <c r="GG65" s="110">
        <f t="shared" si="355"/>
        <v>0</v>
      </c>
      <c r="GH65" s="110">
        <f t="shared" si="356"/>
        <v>0</v>
      </c>
      <c r="GI65" s="110">
        <f t="shared" si="357"/>
        <v>0</v>
      </c>
      <c r="GJ65" s="110">
        <f t="shared" si="358"/>
        <v>0</v>
      </c>
      <c r="GK65" s="110">
        <f t="shared" si="359"/>
        <v>0</v>
      </c>
      <c r="GL65" s="110">
        <f t="shared" si="360"/>
        <v>0</v>
      </c>
      <c r="GM65" s="110">
        <f t="shared" si="361"/>
        <v>361.22</v>
      </c>
      <c r="GN65" s="110">
        <f t="shared" si="362"/>
        <v>361.22</v>
      </c>
      <c r="GO65" s="110">
        <f t="shared" si="363"/>
        <v>361.22</v>
      </c>
      <c r="GP65" s="110">
        <f t="shared" si="364"/>
        <v>361.22</v>
      </c>
      <c r="GQ65" s="110">
        <f t="shared" si="365"/>
        <v>361.22</v>
      </c>
      <c r="GR65" s="110">
        <f t="shared" si="366"/>
        <v>361.22</v>
      </c>
      <c r="GS65" s="110">
        <f t="shared" si="367"/>
        <v>361.22</v>
      </c>
      <c r="GU65" s="109" cm="1">
        <f t="array" ref="GU65">+IFERROR(INDEX($C$3:$AM$3,MATCH(TRUE,INDEX($C65:$AM65&lt;&gt;0,0),0)),"N/A")</f>
        <v>45838</v>
      </c>
      <c r="GV65" s="112" t="str" cm="1">
        <f t="array" ref="GV65">+_xlfn.IFS(HV65&lt;&gt;0,HV$2,IV65&lt;&gt;0,IV$2,JV65&lt;&gt;0,JV$2,KV65&lt;&gt;0,KV$2,TRUE,"")</f>
        <v/>
      </c>
      <c r="GW65" s="1" t="str" cm="1">
        <f t="array" ref="GW65">+_xlfn.IFS(HW65&lt;&gt;0,HW$2,IW65&lt;&gt;0,IW$2,JW65&lt;&gt;0,JW$2,KW65&lt;&gt;0,KW$2,TRUE,"")</f>
        <v/>
      </c>
      <c r="GX65" s="1" t="str" cm="1">
        <f t="array" ref="GX65">+_xlfn.IFS(HX65&lt;&gt;0,HX$2,IX65&lt;&gt;0,IX$2,JX65&lt;&gt;0,JX$2,KX65&lt;&gt;0,KX$2,TRUE,"")</f>
        <v/>
      </c>
      <c r="GY65" s="1" t="str" cm="1">
        <f t="array" ref="GY65">+_xlfn.IFS(HY65&lt;&gt;0,HY$2,IY65&lt;&gt;0,IY$2,JY65&lt;&gt;0,JY$2,KY65&lt;&gt;0,KY$2,TRUE,"")</f>
        <v/>
      </c>
      <c r="GZ65" s="1" t="str" cm="1">
        <f t="array" ref="GZ65">+_xlfn.IFS(HZ65&lt;&gt;0,HZ$2,IZ65&lt;&gt;0,IZ$2,JZ65&lt;&gt;0,JZ$2,KZ65&lt;&gt;0,KZ$2,TRUE,"")</f>
        <v/>
      </c>
      <c r="HA65" s="1" t="str" cm="1">
        <f t="array" ref="HA65">+_xlfn.IFS(IA65&lt;&gt;0,IA$2,JA65&lt;&gt;0,JA$2,KA65&lt;&gt;0,KA$2,LA65&lt;&gt;0,LA$2,TRUE,"")</f>
        <v/>
      </c>
      <c r="HB65" s="1" t="str" cm="1">
        <f t="array" ref="HB65">+_xlfn.IFS(IB65&lt;&gt;0,IB$2,JB65&lt;&gt;0,JB$2,KB65&lt;&gt;0,KB$2,LB65&lt;&gt;0,LB$2,TRUE,"")</f>
        <v/>
      </c>
      <c r="HC65" s="1" t="str" cm="1">
        <f t="array" ref="HC65">+_xlfn.IFS(IC65&lt;&gt;0,IC$2,JC65&lt;&gt;0,JC$2,KC65&lt;&gt;0,KC$2,LC65&lt;&gt;0,LC$2,TRUE,"")</f>
        <v/>
      </c>
      <c r="HD65" s="1" t="str" cm="1">
        <f t="array" ref="HD65">+_xlfn.IFS(ID65&lt;&gt;0,ID$2,JD65&lt;&gt;0,JD$2,KD65&lt;&gt;0,KD$2,LD65&lt;&gt;0,LD$2,TRUE,"")</f>
        <v/>
      </c>
      <c r="HE65" s="1" t="str" cm="1">
        <f t="array" ref="HE65">+_xlfn.IFS(IE65&lt;&gt;0,IE$2,JE65&lt;&gt;0,JE$2,KE65&lt;&gt;0,KE$2,LE65&lt;&gt;0,LE$2,TRUE,"")</f>
        <v/>
      </c>
      <c r="HF65" s="1" t="str" cm="1">
        <f t="array" ref="HF65">+_xlfn.IFS(IF65&lt;&gt;0,IF$2,JF65&lt;&gt;0,JF$2,KF65&lt;&gt;0,KF$2,LF65&lt;&gt;0,LF$2,TRUE,"")</f>
        <v/>
      </c>
      <c r="HG65" s="1" t="str" cm="1">
        <f t="array" ref="HG65">+_xlfn.IFS(IG65&lt;&gt;0,IG$2,JG65&lt;&gt;0,JG$2,KG65&lt;&gt;0,KG$2,LG65&lt;&gt;0,LG$2,TRUE,"")</f>
        <v/>
      </c>
      <c r="HH65" s="1" t="str" cm="1">
        <f t="array" ref="HH65">+_xlfn.IFS(IH65&lt;&gt;0,IH$2,JH65&lt;&gt;0,JH$2,KH65&lt;&gt;0,KH$2,LH65&lt;&gt;0,LH$2,TRUE,"")</f>
        <v/>
      </c>
      <c r="HI65" s="1" t="str" cm="1">
        <f t="array" ref="HI65">+_xlfn.IFS(II65&lt;&gt;0,II$2,JI65&lt;&gt;0,JI$2,KI65&lt;&gt;0,KI$2,LI65&lt;&gt;0,LI$2,TRUE,"")</f>
        <v/>
      </c>
      <c r="HJ65" s="1" t="str" cm="1">
        <f t="array" ref="HJ65">+_xlfn.IFS(IJ65&lt;&gt;0,IJ$2,JJ65&lt;&gt;0,JJ$2,KJ65&lt;&gt;0,KJ$2,LJ65&lt;&gt;0,LJ$2,TRUE,"")</f>
        <v/>
      </c>
      <c r="HK65" s="1" t="str" cm="1">
        <f t="array" ref="HK65">+_xlfn.IFS(IK65&lt;&gt;0,IK$2,JK65&lt;&gt;0,JK$2,KK65&lt;&gt;0,KK$2,LK65&lt;&gt;0,LK$2,TRUE,"")</f>
        <v/>
      </c>
      <c r="HL65" s="1" t="str" cm="1">
        <f t="array" ref="HL65">+_xlfn.IFS(IL65&lt;&gt;0,IL$2,JL65&lt;&gt;0,JL$2,KL65&lt;&gt;0,KL$2,LL65&lt;&gt;0,LL$2,TRUE,"")</f>
        <v/>
      </c>
      <c r="HM65" s="1" t="str" cm="1">
        <f t="array" ref="HM65">+_xlfn.IFS(IM65&lt;&gt;0,IM$2,JM65&lt;&gt;0,JM$2,KM65&lt;&gt;0,KM$2,LM65&lt;&gt;0,LM$2,TRUE,"")</f>
        <v/>
      </c>
      <c r="HN65" s="1" t="str" cm="1">
        <f t="array" ref="HN65">+_xlfn.IFS(IN65&lt;&gt;0,IN$2,JN65&lt;&gt;0,JN$2,KN65&lt;&gt;0,KN$2,LN65&lt;&gt;0,LN$2,TRUE,"")</f>
        <v>New</v>
      </c>
      <c r="HO65" s="1" t="str" cm="1">
        <f t="array" ref="HO65">+_xlfn.IFS(IO65&lt;&gt;0,IO$2,JO65&lt;&gt;0,JO$2,KO65&lt;&gt;0,KO$2,LO65&lt;&gt;0,LO$2,TRUE,"")</f>
        <v>New</v>
      </c>
      <c r="HP65" s="1" t="str" cm="1">
        <f t="array" ref="HP65">+_xlfn.IFS(IP65&lt;&gt;0,IP$2,JP65&lt;&gt;0,JP$2,KP65&lt;&gt;0,KP$2,LP65&lt;&gt;0,LP$2,TRUE,"")</f>
        <v>New</v>
      </c>
      <c r="HQ65" s="1" t="str" cm="1">
        <f t="array" ref="HQ65">+_xlfn.IFS(IQ65&lt;&gt;0,IQ$2,JQ65&lt;&gt;0,JQ$2,KQ65&lt;&gt;0,KQ$2,LQ65&lt;&gt;0,LQ$2,TRUE,"")</f>
        <v>New</v>
      </c>
      <c r="HR65" s="1" t="str" cm="1">
        <f t="array" ref="HR65">+_xlfn.IFS(IR65&lt;&gt;0,IR$2,JR65&lt;&gt;0,JR$2,KR65&lt;&gt;0,KR$2,LR65&lt;&gt;0,LR$2,TRUE,"")</f>
        <v>New</v>
      </c>
      <c r="HS65" s="1" t="str" cm="1">
        <f t="array" ref="HS65">+_xlfn.IFS(IS65&lt;&gt;0,IS$2,JS65&lt;&gt;0,JS$2,KS65&lt;&gt;0,KS$2,LS65&lt;&gt;0,LS$2,TRUE,"")</f>
        <v>New</v>
      </c>
      <c r="HT65" s="1" t="str" cm="1">
        <f t="array" ref="HT65">+_xlfn.IFS(IT65&lt;&gt;0,IT$2,JT65&lt;&gt;0,JT$2,KT65&lt;&gt;0,KT$2,LT65&lt;&gt;0,LT$2,TRUE,"")</f>
        <v>New</v>
      </c>
      <c r="HV65" s="111">
        <f t="shared" si="368"/>
        <v>0</v>
      </c>
      <c r="HW65" s="110">
        <f t="shared" si="369"/>
        <v>0</v>
      </c>
      <c r="HX65" s="110">
        <f t="shared" si="370"/>
        <v>0</v>
      </c>
      <c r="HY65" s="110">
        <f t="shared" si="371"/>
        <v>0</v>
      </c>
      <c r="HZ65" s="110">
        <f t="shared" si="372"/>
        <v>0</v>
      </c>
      <c r="IA65" s="110">
        <f t="shared" si="373"/>
        <v>0</v>
      </c>
      <c r="IB65" s="110">
        <f t="shared" si="374"/>
        <v>0</v>
      </c>
      <c r="IC65" s="110">
        <f t="shared" si="375"/>
        <v>0</v>
      </c>
      <c r="ID65" s="110">
        <f t="shared" si="376"/>
        <v>0</v>
      </c>
      <c r="IE65" s="110">
        <f t="shared" si="377"/>
        <v>0</v>
      </c>
      <c r="IF65" s="110">
        <f t="shared" si="378"/>
        <v>0</v>
      </c>
      <c r="IG65" s="110">
        <f t="shared" si="379"/>
        <v>0</v>
      </c>
      <c r="IH65" s="110">
        <f t="shared" si="380"/>
        <v>0</v>
      </c>
      <c r="II65" s="110">
        <f t="shared" si="381"/>
        <v>0</v>
      </c>
      <c r="IJ65" s="110">
        <f t="shared" si="382"/>
        <v>0</v>
      </c>
      <c r="IK65" s="110">
        <f t="shared" si="383"/>
        <v>0</v>
      </c>
      <c r="IL65" s="110">
        <f t="shared" si="384"/>
        <v>0</v>
      </c>
      <c r="IM65" s="110">
        <f t="shared" si="385"/>
        <v>0</v>
      </c>
      <c r="IN65" s="110">
        <f t="shared" si="386"/>
        <v>361.22</v>
      </c>
      <c r="IO65" s="110">
        <f t="shared" si="387"/>
        <v>361.22</v>
      </c>
      <c r="IP65" s="110">
        <f t="shared" si="388"/>
        <v>361.22</v>
      </c>
      <c r="IQ65" s="110">
        <f t="shared" si="389"/>
        <v>361.22</v>
      </c>
      <c r="IR65" s="110">
        <f t="shared" si="390"/>
        <v>361.22</v>
      </c>
      <c r="IS65" s="110">
        <f t="shared" si="391"/>
        <v>361.22</v>
      </c>
      <c r="IT65" s="110">
        <f t="shared" si="392"/>
        <v>361.22</v>
      </c>
      <c r="IV65" s="111">
        <f t="shared" si="393"/>
        <v>0</v>
      </c>
      <c r="IW65" s="110">
        <f t="shared" si="394"/>
        <v>0</v>
      </c>
      <c r="IX65" s="110">
        <f t="shared" si="395"/>
        <v>0</v>
      </c>
      <c r="IY65" s="110">
        <f t="shared" si="396"/>
        <v>0</v>
      </c>
      <c r="IZ65" s="110">
        <f t="shared" si="397"/>
        <v>0</v>
      </c>
      <c r="JA65" s="110">
        <f t="shared" si="398"/>
        <v>0</v>
      </c>
      <c r="JB65" s="110">
        <f t="shared" si="399"/>
        <v>0</v>
      </c>
      <c r="JC65" s="110">
        <f t="shared" si="400"/>
        <v>0</v>
      </c>
      <c r="JD65" s="110">
        <f t="shared" si="401"/>
        <v>0</v>
      </c>
      <c r="JE65" s="110">
        <f t="shared" si="402"/>
        <v>0</v>
      </c>
      <c r="JF65" s="110">
        <f t="shared" si="403"/>
        <v>0</v>
      </c>
      <c r="JG65" s="110">
        <f t="shared" si="404"/>
        <v>0</v>
      </c>
      <c r="JH65" s="110">
        <f t="shared" si="405"/>
        <v>0</v>
      </c>
      <c r="JI65" s="110">
        <f t="shared" si="406"/>
        <v>0</v>
      </c>
      <c r="JJ65" s="110">
        <f t="shared" si="407"/>
        <v>0</v>
      </c>
      <c r="JK65" s="110">
        <f t="shared" si="408"/>
        <v>0</v>
      </c>
      <c r="JL65" s="110">
        <f t="shared" si="409"/>
        <v>0</v>
      </c>
      <c r="JM65" s="110">
        <f t="shared" si="410"/>
        <v>0</v>
      </c>
      <c r="JN65" s="110">
        <f t="shared" si="411"/>
        <v>0</v>
      </c>
      <c r="JO65" s="110">
        <f t="shared" si="412"/>
        <v>0</v>
      </c>
      <c r="JP65" s="110">
        <f t="shared" si="413"/>
        <v>0</v>
      </c>
      <c r="JQ65" s="110">
        <f t="shared" si="414"/>
        <v>0</v>
      </c>
      <c r="JR65" s="110">
        <f t="shared" si="415"/>
        <v>0</v>
      </c>
      <c r="JS65" s="110">
        <f t="shared" si="416"/>
        <v>0</v>
      </c>
      <c r="JT65" s="110">
        <f t="shared" si="417"/>
        <v>0</v>
      </c>
      <c r="JV65" s="111">
        <f t="shared" si="418"/>
        <v>0</v>
      </c>
      <c r="JW65" s="110">
        <f t="shared" si="419"/>
        <v>0</v>
      </c>
      <c r="JX65" s="110">
        <f t="shared" si="420"/>
        <v>0</v>
      </c>
      <c r="JY65" s="110">
        <f t="shared" si="421"/>
        <v>0</v>
      </c>
      <c r="JZ65" s="110">
        <f t="shared" si="422"/>
        <v>0</v>
      </c>
      <c r="KA65" s="110">
        <f t="shared" si="423"/>
        <v>0</v>
      </c>
      <c r="KB65" s="110">
        <f t="shared" si="424"/>
        <v>0</v>
      </c>
      <c r="KC65" s="110">
        <f t="shared" si="425"/>
        <v>0</v>
      </c>
      <c r="KD65" s="110">
        <f t="shared" si="426"/>
        <v>0</v>
      </c>
      <c r="KE65" s="110">
        <f t="shared" si="427"/>
        <v>0</v>
      </c>
      <c r="KF65" s="110">
        <f t="shared" si="428"/>
        <v>0</v>
      </c>
      <c r="KG65" s="110">
        <f t="shared" si="429"/>
        <v>0</v>
      </c>
      <c r="KH65" s="110">
        <f t="shared" si="430"/>
        <v>0</v>
      </c>
      <c r="KI65" s="110">
        <f t="shared" si="431"/>
        <v>0</v>
      </c>
      <c r="KJ65" s="110">
        <f t="shared" si="432"/>
        <v>0</v>
      </c>
      <c r="KK65" s="110">
        <f t="shared" si="433"/>
        <v>0</v>
      </c>
      <c r="KL65" s="110">
        <f t="shared" si="434"/>
        <v>0</v>
      </c>
      <c r="KM65" s="110">
        <f t="shared" si="435"/>
        <v>0</v>
      </c>
      <c r="KN65" s="110">
        <f t="shared" si="436"/>
        <v>0</v>
      </c>
      <c r="KO65" s="110">
        <f t="shared" si="437"/>
        <v>0</v>
      </c>
      <c r="KP65" s="110">
        <f t="shared" si="438"/>
        <v>0</v>
      </c>
      <c r="KQ65" s="110">
        <f t="shared" si="439"/>
        <v>0</v>
      </c>
      <c r="KR65" s="110">
        <f t="shared" si="440"/>
        <v>0</v>
      </c>
      <c r="KS65" s="110">
        <f t="shared" si="441"/>
        <v>0</v>
      </c>
      <c r="KT65" s="110">
        <f t="shared" si="442"/>
        <v>0</v>
      </c>
      <c r="KV65" s="111">
        <f t="shared" si="443"/>
        <v>0</v>
      </c>
      <c r="KW65" s="110">
        <f t="shared" si="444"/>
        <v>0</v>
      </c>
      <c r="KX65" s="110">
        <f t="shared" si="445"/>
        <v>0</v>
      </c>
      <c r="KY65" s="110">
        <f t="shared" si="446"/>
        <v>0</v>
      </c>
      <c r="KZ65" s="110">
        <f t="shared" si="447"/>
        <v>0</v>
      </c>
      <c r="LA65" s="110">
        <f t="shared" si="448"/>
        <v>0</v>
      </c>
      <c r="LB65" s="110">
        <f t="shared" si="449"/>
        <v>0</v>
      </c>
      <c r="LC65" s="110">
        <f t="shared" si="450"/>
        <v>0</v>
      </c>
      <c r="LD65" s="110">
        <f t="shared" si="451"/>
        <v>0</v>
      </c>
      <c r="LE65" s="110">
        <f t="shared" si="452"/>
        <v>0</v>
      </c>
      <c r="LF65" s="110">
        <f t="shared" si="453"/>
        <v>0</v>
      </c>
      <c r="LG65" s="110">
        <f t="shared" si="454"/>
        <v>0</v>
      </c>
      <c r="LH65" s="110">
        <f t="shared" si="455"/>
        <v>0</v>
      </c>
      <c r="LI65" s="110">
        <f t="shared" si="456"/>
        <v>0</v>
      </c>
      <c r="LJ65" s="110">
        <f t="shared" si="457"/>
        <v>0</v>
      </c>
      <c r="LK65" s="110">
        <f t="shared" si="458"/>
        <v>0</v>
      </c>
      <c r="LL65" s="110">
        <f t="shared" si="459"/>
        <v>0</v>
      </c>
      <c r="LM65" s="110">
        <f t="shared" si="460"/>
        <v>0</v>
      </c>
      <c r="LN65" s="110">
        <f t="shared" si="461"/>
        <v>0</v>
      </c>
      <c r="LO65" s="110">
        <f t="shared" si="462"/>
        <v>0</v>
      </c>
      <c r="LP65" s="110">
        <f t="shared" si="463"/>
        <v>0</v>
      </c>
      <c r="LQ65" s="110">
        <f t="shared" si="464"/>
        <v>0</v>
      </c>
      <c r="LR65" s="110">
        <f t="shared" si="465"/>
        <v>0</v>
      </c>
      <c r="LS65" s="110">
        <f t="shared" si="466"/>
        <v>0</v>
      </c>
      <c r="LT65" s="110">
        <f t="shared" si="467"/>
        <v>0</v>
      </c>
      <c r="LV65" s="111"/>
      <c r="LW65" s="110">
        <f t="shared" si="468"/>
        <v>0</v>
      </c>
      <c r="LX65" s="110">
        <f t="shared" si="469"/>
        <v>0</v>
      </c>
      <c r="LY65" s="110">
        <f t="shared" si="470"/>
        <v>0</v>
      </c>
      <c r="LZ65" s="110">
        <f t="shared" si="471"/>
        <v>0</v>
      </c>
      <c r="MA65" s="110">
        <f t="shared" si="472"/>
        <v>0</v>
      </c>
      <c r="MB65" s="110">
        <f t="shared" si="473"/>
        <v>0</v>
      </c>
      <c r="MC65" s="110">
        <f t="shared" si="474"/>
        <v>0</v>
      </c>
      <c r="MD65" s="110">
        <f t="shared" si="475"/>
        <v>0</v>
      </c>
      <c r="ME65" s="110">
        <f t="shared" si="476"/>
        <v>0</v>
      </c>
      <c r="MF65" s="110">
        <f t="shared" si="477"/>
        <v>0</v>
      </c>
      <c r="MG65" s="110">
        <f t="shared" si="478"/>
        <v>0</v>
      </c>
      <c r="MH65" s="110">
        <f t="shared" si="479"/>
        <v>0</v>
      </c>
      <c r="MI65" s="110">
        <f t="shared" si="480"/>
        <v>0</v>
      </c>
      <c r="MJ65" s="110">
        <f t="shared" si="481"/>
        <v>0</v>
      </c>
      <c r="MK65" s="110">
        <f t="shared" si="482"/>
        <v>0</v>
      </c>
      <c r="ML65" s="110">
        <f t="shared" si="483"/>
        <v>0</v>
      </c>
      <c r="MM65" s="110">
        <f t="shared" si="484"/>
        <v>0</v>
      </c>
      <c r="MN65" s="110">
        <f t="shared" si="485"/>
        <v>0</v>
      </c>
      <c r="MO65" s="110">
        <f t="shared" si="486"/>
        <v>0</v>
      </c>
      <c r="MP65" s="110">
        <f t="shared" si="487"/>
        <v>0</v>
      </c>
      <c r="MQ65" s="110">
        <f t="shared" si="488"/>
        <v>0</v>
      </c>
      <c r="MR65" s="110">
        <f t="shared" si="489"/>
        <v>0</v>
      </c>
      <c r="MS65" s="110">
        <f t="shared" si="490"/>
        <v>0</v>
      </c>
      <c r="MT65" s="110">
        <f t="shared" si="491"/>
        <v>0</v>
      </c>
      <c r="MV65" s="114">
        <v>361.22</v>
      </c>
      <c r="MW65" s="114">
        <v>361.22</v>
      </c>
      <c r="MX65" s="114">
        <v>0</v>
      </c>
      <c r="MY65" s="114">
        <v>0</v>
      </c>
      <c r="MZ65" s="114">
        <v>0</v>
      </c>
      <c r="NB65" s="115">
        <v>8</v>
      </c>
      <c r="NC65" s="115">
        <v>1</v>
      </c>
      <c r="ND65" s="115" t="str">
        <v>N/A</v>
      </c>
      <c r="NE65" s="115" t="str">
        <v>N/A</v>
      </c>
      <c r="NF65" s="115" t="str">
        <v>N/A</v>
      </c>
    </row>
    <row r="66" spans="2:370" ht="13.5" x14ac:dyDescent="0.25">
      <c r="B66" s="8">
        <f t="shared" si="252"/>
        <v>63</v>
      </c>
      <c r="C66" s="7">
        <v>0</v>
      </c>
      <c r="D66" s="7">
        <v>0</v>
      </c>
      <c r="E66" s="7">
        <v>0</v>
      </c>
      <c r="F66" s="7">
        <v>0</v>
      </c>
      <c r="G66" s="7">
        <v>0</v>
      </c>
      <c r="H66" s="7">
        <v>0</v>
      </c>
      <c r="I66" s="7">
        <v>0</v>
      </c>
      <c r="J66" s="7">
        <v>0</v>
      </c>
      <c r="K66" s="7">
        <v>0</v>
      </c>
      <c r="L66" s="7">
        <v>0</v>
      </c>
      <c r="M66" s="7">
        <v>0</v>
      </c>
      <c r="N66" s="7">
        <v>0</v>
      </c>
      <c r="O66" s="7">
        <v>0</v>
      </c>
      <c r="P66" s="7">
        <v>0</v>
      </c>
      <c r="Q66" s="7">
        <v>0</v>
      </c>
      <c r="R66" s="7">
        <v>0</v>
      </c>
      <c r="S66" s="7">
        <v>0</v>
      </c>
      <c r="T66" s="7">
        <v>0</v>
      </c>
      <c r="U66" s="7">
        <v>0</v>
      </c>
      <c r="V66" s="7">
        <v>0</v>
      </c>
      <c r="W66" s="7">
        <v>0</v>
      </c>
      <c r="X66" s="7">
        <v>0</v>
      </c>
      <c r="Y66" s="7">
        <v>0</v>
      </c>
      <c r="Z66" s="7">
        <v>0</v>
      </c>
      <c r="AA66" s="7">
        <v>0</v>
      </c>
      <c r="AB66" s="7">
        <v>0</v>
      </c>
      <c r="AC66" s="7">
        <v>0</v>
      </c>
      <c r="AD66" s="7">
        <v>0</v>
      </c>
      <c r="AE66" s="7">
        <v>0</v>
      </c>
      <c r="AF66" s="7">
        <v>0</v>
      </c>
      <c r="AG66" s="7">
        <v>309.47000000000003</v>
      </c>
      <c r="AH66" s="7">
        <v>309.47000000000003</v>
      </c>
      <c r="AI66" s="7">
        <v>309.47000000000003</v>
      </c>
      <c r="AJ66" s="7">
        <v>309.47000000000003</v>
      </c>
      <c r="AK66" s="7">
        <v>309.47000000000003</v>
      </c>
      <c r="AL66" s="7">
        <v>309.47000000000003</v>
      </c>
      <c r="AM66" s="7">
        <v>309.47000000000003</v>
      </c>
      <c r="AN66" s="27">
        <v>63</v>
      </c>
      <c r="AP66" s="111"/>
      <c r="AQ66" s="110">
        <f t="shared" si="253"/>
        <v>0</v>
      </c>
      <c r="AR66" s="110">
        <f t="shared" si="254"/>
        <v>0</v>
      </c>
      <c r="AS66" s="110">
        <f t="shared" si="255"/>
        <v>0</v>
      </c>
      <c r="AT66" s="110">
        <f t="shared" si="256"/>
        <v>0</v>
      </c>
      <c r="AU66" s="110">
        <f t="shared" si="257"/>
        <v>0</v>
      </c>
      <c r="AV66" s="110">
        <f t="shared" si="258"/>
        <v>0</v>
      </c>
      <c r="AW66" s="110">
        <f t="shared" si="259"/>
        <v>0</v>
      </c>
      <c r="AX66" s="110">
        <f t="shared" si="260"/>
        <v>0</v>
      </c>
      <c r="AY66" s="110">
        <f t="shared" si="261"/>
        <v>0</v>
      </c>
      <c r="AZ66" s="110">
        <f t="shared" si="262"/>
        <v>309.47000000000003</v>
      </c>
      <c r="BA66" s="110">
        <f t="shared" si="263"/>
        <v>0</v>
      </c>
      <c r="BB66" s="110">
        <f t="shared" si="264"/>
        <v>0</v>
      </c>
      <c r="BD66" s="109" cm="1">
        <f t="array" ref="BD66">+IFERROR(INDEX($C$3:$AM$3,MATCH(TRUE,INDEX($C66:$AM66&lt;&gt;0,0),0)),"N/A")</f>
        <v>45838</v>
      </c>
      <c r="BE66" s="112"/>
      <c r="BF66" s="1" t="str" cm="1">
        <f t="array" ref="BF66">+_xlfn.IFS(BT66&lt;&gt;0,BT$2,CH66&lt;&gt;0,CH$2,CV66&lt;&gt;0,CV$2,DJ66&lt;&gt;0,DJ$2,TRUE,"")</f>
        <v/>
      </c>
      <c r="BG66" s="1" t="str" cm="1">
        <f t="array" ref="BG66">+_xlfn.IFS(BU66&lt;&gt;0,BU$2,CI66&lt;&gt;0,CI$2,CW66&lt;&gt;0,CW$2,DK66&lt;&gt;0,DK$2,TRUE,"")</f>
        <v/>
      </c>
      <c r="BH66" s="1" t="str" cm="1">
        <f t="array" ref="BH66">+_xlfn.IFS(BV66&lt;&gt;0,BV$2,CJ66&lt;&gt;0,CJ$2,CX66&lt;&gt;0,CX$2,DL66&lt;&gt;0,DL$2,TRUE,"")</f>
        <v/>
      </c>
      <c r="BI66" s="1" t="str" cm="1">
        <f t="array" ref="BI66">+_xlfn.IFS(BW66&lt;&gt;0,BW$2,CK66&lt;&gt;0,CK$2,CY66&lt;&gt;0,CY$2,DM66&lt;&gt;0,DM$2,TRUE,"")</f>
        <v/>
      </c>
      <c r="BJ66" s="1" t="str" cm="1">
        <f t="array" ref="BJ66">+_xlfn.IFS(BX66&lt;&gt;0,BX$2,CL66&lt;&gt;0,CL$2,CZ66&lt;&gt;0,CZ$2,DN66&lt;&gt;0,DN$2,TRUE,"")</f>
        <v/>
      </c>
      <c r="BK66" s="1" t="str" cm="1">
        <f t="array" ref="BK66">+_xlfn.IFS(BY66&lt;&gt;0,BY$2,CM66&lt;&gt;0,CM$2,DA66&lt;&gt;0,DA$2,DO66&lt;&gt;0,DO$2,TRUE,"")</f>
        <v/>
      </c>
      <c r="BL66" s="1" t="str" cm="1">
        <f t="array" ref="BL66">+_xlfn.IFS(BZ66&lt;&gt;0,BZ$2,CN66&lt;&gt;0,CN$2,DB66&lt;&gt;0,DB$2,DP66&lt;&gt;0,DP$2,TRUE,"")</f>
        <v/>
      </c>
      <c r="BM66" s="1" t="str" cm="1">
        <f t="array" ref="BM66">+_xlfn.IFS(CA66&lt;&gt;0,CA$2,CO66&lt;&gt;0,CO$2,DC66&lt;&gt;0,DC$2,DQ66&lt;&gt;0,DQ$2,TRUE,"")</f>
        <v/>
      </c>
      <c r="BN66" s="1" t="str" cm="1">
        <f t="array" ref="BN66">+_xlfn.IFS(CB66&lt;&gt;0,CB$2,CP66&lt;&gt;0,CP$2,DD66&lt;&gt;0,DD$2,DR66&lt;&gt;0,DR$2,TRUE,"")</f>
        <v/>
      </c>
      <c r="BO66" s="1" t="str" cm="1">
        <f t="array" ref="BO66">+_xlfn.IFS(CC66&lt;&gt;0,CC$2,CQ66&lt;&gt;0,CQ$2,DE66&lt;&gt;0,DE$2,DS66&lt;&gt;0,DS$2,TRUE,"")</f>
        <v>New</v>
      </c>
      <c r="BP66" s="1" t="str" cm="1">
        <f t="array" ref="BP66">+_xlfn.IFS(CD66&lt;&gt;0,CD$2,CR66&lt;&gt;0,CR$2,DF66&lt;&gt;0,DF$2,DT66&lt;&gt;0,DT$2,TRUE,"")</f>
        <v/>
      </c>
      <c r="BQ66" s="1" t="str" cm="1">
        <f t="array" ref="BQ66">+_xlfn.IFS(CE66&lt;&gt;0,CE$2,CS66&lt;&gt;0,CS$2,DG66&lt;&gt;0,DG$2,DU66&lt;&gt;0,DU$2,TRUE,"")</f>
        <v/>
      </c>
      <c r="BS66" s="111"/>
      <c r="BT66" s="110">
        <f t="shared" si="265"/>
        <v>0</v>
      </c>
      <c r="BU66" s="110">
        <f t="shared" si="266"/>
        <v>0</v>
      </c>
      <c r="BV66" s="110">
        <f t="shared" si="267"/>
        <v>0</v>
      </c>
      <c r="BW66" s="110">
        <f t="shared" si="268"/>
        <v>0</v>
      </c>
      <c r="BX66" s="110">
        <f t="shared" si="269"/>
        <v>0</v>
      </c>
      <c r="BY66" s="110">
        <f t="shared" si="270"/>
        <v>0</v>
      </c>
      <c r="BZ66" s="110">
        <f t="shared" si="271"/>
        <v>0</v>
      </c>
      <c r="CA66" s="110">
        <f t="shared" si="272"/>
        <v>0</v>
      </c>
      <c r="CB66" s="110">
        <f t="shared" si="273"/>
        <v>0</v>
      </c>
      <c r="CC66" s="110">
        <f t="shared" si="274"/>
        <v>309.47000000000003</v>
      </c>
      <c r="CD66" s="110">
        <f t="shared" si="275"/>
        <v>0</v>
      </c>
      <c r="CE66" s="110">
        <f t="shared" si="276"/>
        <v>0</v>
      </c>
      <c r="CG66" s="111"/>
      <c r="CH66" s="110">
        <f t="shared" si="277"/>
        <v>0</v>
      </c>
      <c r="CI66" s="110">
        <f t="shared" si="278"/>
        <v>0</v>
      </c>
      <c r="CJ66" s="110">
        <f t="shared" si="279"/>
        <v>0</v>
      </c>
      <c r="CK66" s="110">
        <f t="shared" si="280"/>
        <v>0</v>
      </c>
      <c r="CL66" s="110">
        <f t="shared" si="281"/>
        <v>0</v>
      </c>
      <c r="CM66" s="110">
        <f t="shared" si="282"/>
        <v>0</v>
      </c>
      <c r="CN66" s="110">
        <f t="shared" si="283"/>
        <v>0</v>
      </c>
      <c r="CO66" s="110">
        <f t="shared" si="284"/>
        <v>0</v>
      </c>
      <c r="CP66" s="110">
        <f t="shared" si="285"/>
        <v>0</v>
      </c>
      <c r="CQ66" s="110">
        <f t="shared" si="286"/>
        <v>0</v>
      </c>
      <c r="CR66" s="110">
        <f t="shared" si="287"/>
        <v>0</v>
      </c>
      <c r="CS66" s="110">
        <f t="shared" si="288"/>
        <v>0</v>
      </c>
      <c r="CU66" s="111"/>
      <c r="CV66" s="110">
        <f t="shared" si="289"/>
        <v>0</v>
      </c>
      <c r="CW66" s="110">
        <f t="shared" si="290"/>
        <v>0</v>
      </c>
      <c r="CX66" s="110">
        <f t="shared" si="291"/>
        <v>0</v>
      </c>
      <c r="CY66" s="110">
        <f t="shared" si="292"/>
        <v>0</v>
      </c>
      <c r="CZ66" s="110">
        <f t="shared" si="293"/>
        <v>0</v>
      </c>
      <c r="DA66" s="110">
        <f t="shared" si="294"/>
        <v>0</v>
      </c>
      <c r="DB66" s="110">
        <f t="shared" si="295"/>
        <v>0</v>
      </c>
      <c r="DC66" s="110">
        <f t="shared" si="296"/>
        <v>0</v>
      </c>
      <c r="DD66" s="110">
        <f t="shared" si="297"/>
        <v>0</v>
      </c>
      <c r="DE66" s="110">
        <f t="shared" si="298"/>
        <v>0</v>
      </c>
      <c r="DF66" s="110">
        <f t="shared" si="299"/>
        <v>0</v>
      </c>
      <c r="DG66" s="110">
        <f t="shared" si="300"/>
        <v>0</v>
      </c>
      <c r="DI66" s="111"/>
      <c r="DJ66" s="110">
        <f t="shared" si="301"/>
        <v>0</v>
      </c>
      <c r="DK66" s="110">
        <f t="shared" si="302"/>
        <v>0</v>
      </c>
      <c r="DL66" s="110">
        <f t="shared" si="303"/>
        <v>0</v>
      </c>
      <c r="DM66" s="110">
        <f t="shared" si="304"/>
        <v>0</v>
      </c>
      <c r="DN66" s="110">
        <f t="shared" si="305"/>
        <v>0</v>
      </c>
      <c r="DO66" s="110">
        <f t="shared" si="306"/>
        <v>0</v>
      </c>
      <c r="DP66" s="110">
        <f t="shared" si="307"/>
        <v>0</v>
      </c>
      <c r="DQ66" s="110">
        <f t="shared" si="308"/>
        <v>0</v>
      </c>
      <c r="DR66" s="110">
        <f t="shared" si="309"/>
        <v>0</v>
      </c>
      <c r="DS66" s="110">
        <f t="shared" si="310"/>
        <v>0</v>
      </c>
      <c r="DT66" s="110">
        <f t="shared" si="311"/>
        <v>0</v>
      </c>
      <c r="DU66" s="110">
        <f t="shared" si="312"/>
        <v>0</v>
      </c>
      <c r="DW66" s="111"/>
      <c r="DX66" s="110">
        <f t="shared" si="313"/>
        <v>0</v>
      </c>
      <c r="DY66" s="110">
        <f t="shared" si="314"/>
        <v>0</v>
      </c>
      <c r="DZ66" s="110">
        <f t="shared" si="315"/>
        <v>0</v>
      </c>
      <c r="EA66" s="110">
        <f t="shared" si="316"/>
        <v>0</v>
      </c>
      <c r="EB66" s="110">
        <f t="shared" si="317"/>
        <v>0</v>
      </c>
      <c r="EC66" s="110">
        <f t="shared" si="318"/>
        <v>0</v>
      </c>
      <c r="ED66" s="110">
        <f t="shared" si="319"/>
        <v>0</v>
      </c>
      <c r="EE66" s="110">
        <f t="shared" si="320"/>
        <v>0</v>
      </c>
      <c r="EF66" s="110">
        <f t="shared" si="321"/>
        <v>0</v>
      </c>
      <c r="EG66" s="110">
        <f t="shared" si="322"/>
        <v>0</v>
      </c>
      <c r="EH66" s="110">
        <f t="shared" si="323"/>
        <v>0</v>
      </c>
      <c r="EI66" s="110">
        <f t="shared" si="324"/>
        <v>0</v>
      </c>
      <c r="EK66" s="111"/>
      <c r="EL66" s="110">
        <f t="shared" si="325"/>
        <v>0</v>
      </c>
      <c r="EM66" s="110">
        <f t="shared" si="326"/>
        <v>0</v>
      </c>
      <c r="EN66" s="110">
        <f t="shared" si="327"/>
        <v>309.47000000000003</v>
      </c>
      <c r="EP66" s="109" cm="1">
        <f t="array" ref="EP66">+IFERROR(INDEX($C$3:$AM$3,MATCH(TRUE,INDEX($C66:$AM66&lt;&gt;0,0),0)),"N/A")</f>
        <v>45838</v>
      </c>
      <c r="EQ66" s="112"/>
      <c r="ER66" s="1" t="str" cm="1">
        <f t="array" ref="ER66">+_xlfn.IFS(EW66&lt;&gt;0,EW$2,FB66&lt;&gt;0,FB$2,FG66&lt;&gt;0,FG$2,FL66&lt;&gt;0,FL$2,TRUE,"")</f>
        <v/>
      </c>
      <c r="ES66" s="1" t="str" cm="1">
        <f t="array" ref="ES66">+_xlfn.IFS(EX66&lt;&gt;0,EX$2,FC66&lt;&gt;0,FC$2,FH66&lt;&gt;0,FH$2,FM66&lt;&gt;0,FM$2,TRUE,"")</f>
        <v/>
      </c>
      <c r="ET66" s="1" t="str" cm="1">
        <f t="array" ref="ET66">+_xlfn.IFS(EY66&lt;&gt;0,EY$2,FD66&lt;&gt;0,FD$2,FI66&lt;&gt;0,FI$2,FN66&lt;&gt;0,FN$2,TRUE,"")</f>
        <v>New</v>
      </c>
      <c r="EV66" s="111"/>
      <c r="EW66" s="110">
        <f t="shared" si="328"/>
        <v>0</v>
      </c>
      <c r="EX66" s="110">
        <f t="shared" si="329"/>
        <v>0</v>
      </c>
      <c r="EY66" s="110">
        <f t="shared" si="330"/>
        <v>309.47000000000003</v>
      </c>
      <c r="FA66" s="111"/>
      <c r="FB66" s="110">
        <f t="shared" si="331"/>
        <v>0</v>
      </c>
      <c r="FC66" s="110">
        <f t="shared" si="332"/>
        <v>0</v>
      </c>
      <c r="FD66" s="110">
        <f t="shared" si="333"/>
        <v>0</v>
      </c>
      <c r="FF66" s="111"/>
      <c r="FG66" s="110">
        <f t="shared" si="334"/>
        <v>0</v>
      </c>
      <c r="FH66" s="110">
        <f t="shared" si="335"/>
        <v>0</v>
      </c>
      <c r="FI66" s="110">
        <f t="shared" si="336"/>
        <v>0</v>
      </c>
      <c r="FK66" s="111"/>
      <c r="FL66" s="110">
        <f t="shared" si="337"/>
        <v>0</v>
      </c>
      <c r="FM66" s="110">
        <f t="shared" si="338"/>
        <v>0</v>
      </c>
      <c r="FN66" s="110">
        <f t="shared" si="339"/>
        <v>0</v>
      </c>
      <c r="FP66" s="111"/>
      <c r="FQ66" s="110">
        <f t="shared" si="340"/>
        <v>0</v>
      </c>
      <c r="FR66" s="110">
        <f t="shared" si="341"/>
        <v>0</v>
      </c>
      <c r="FS66" s="110">
        <f t="shared" si="342"/>
        <v>0</v>
      </c>
      <c r="FU66" s="111">
        <f t="shared" si="343"/>
        <v>0</v>
      </c>
      <c r="FV66" s="110">
        <f t="shared" si="344"/>
        <v>0</v>
      </c>
      <c r="FW66" s="110">
        <f t="shared" si="345"/>
        <v>0</v>
      </c>
      <c r="FX66" s="110">
        <f t="shared" si="346"/>
        <v>0</v>
      </c>
      <c r="FY66" s="110">
        <f t="shared" si="347"/>
        <v>0</v>
      </c>
      <c r="FZ66" s="110">
        <f t="shared" si="348"/>
        <v>0</v>
      </c>
      <c r="GA66" s="110">
        <f t="shared" si="349"/>
        <v>0</v>
      </c>
      <c r="GB66" s="110">
        <f t="shared" si="350"/>
        <v>0</v>
      </c>
      <c r="GC66" s="110">
        <f t="shared" si="351"/>
        <v>0</v>
      </c>
      <c r="GD66" s="110">
        <f t="shared" si="352"/>
        <v>0</v>
      </c>
      <c r="GE66" s="110">
        <f t="shared" si="353"/>
        <v>0</v>
      </c>
      <c r="GF66" s="110">
        <f t="shared" si="354"/>
        <v>0</v>
      </c>
      <c r="GG66" s="110">
        <f t="shared" si="355"/>
        <v>0</v>
      </c>
      <c r="GH66" s="110">
        <f t="shared" si="356"/>
        <v>0</v>
      </c>
      <c r="GI66" s="110">
        <f t="shared" si="357"/>
        <v>0</v>
      </c>
      <c r="GJ66" s="110">
        <f t="shared" si="358"/>
        <v>0</v>
      </c>
      <c r="GK66" s="110">
        <f t="shared" si="359"/>
        <v>0</v>
      </c>
      <c r="GL66" s="110">
        <f t="shared" si="360"/>
        <v>0</v>
      </c>
      <c r="GM66" s="110">
        <f t="shared" si="361"/>
        <v>309.47000000000003</v>
      </c>
      <c r="GN66" s="110">
        <f t="shared" si="362"/>
        <v>309.47000000000003</v>
      </c>
      <c r="GO66" s="110">
        <f t="shared" si="363"/>
        <v>309.47000000000003</v>
      </c>
      <c r="GP66" s="110">
        <f t="shared" si="364"/>
        <v>309.47000000000003</v>
      </c>
      <c r="GQ66" s="110">
        <f t="shared" si="365"/>
        <v>309.47000000000003</v>
      </c>
      <c r="GR66" s="110">
        <f t="shared" si="366"/>
        <v>309.47000000000003</v>
      </c>
      <c r="GS66" s="110">
        <f t="shared" si="367"/>
        <v>309.47000000000003</v>
      </c>
      <c r="GU66" s="109" cm="1">
        <f t="array" ref="GU66">+IFERROR(INDEX($C$3:$AM$3,MATCH(TRUE,INDEX($C66:$AM66&lt;&gt;0,0),0)),"N/A")</f>
        <v>45838</v>
      </c>
      <c r="GV66" s="112" t="str" cm="1">
        <f t="array" ref="GV66">+_xlfn.IFS(HV66&lt;&gt;0,HV$2,IV66&lt;&gt;0,IV$2,JV66&lt;&gt;0,JV$2,KV66&lt;&gt;0,KV$2,TRUE,"")</f>
        <v/>
      </c>
      <c r="GW66" s="1" t="str" cm="1">
        <f t="array" ref="GW66">+_xlfn.IFS(HW66&lt;&gt;0,HW$2,IW66&lt;&gt;0,IW$2,JW66&lt;&gt;0,JW$2,KW66&lt;&gt;0,KW$2,TRUE,"")</f>
        <v/>
      </c>
      <c r="GX66" s="1" t="str" cm="1">
        <f t="array" ref="GX66">+_xlfn.IFS(HX66&lt;&gt;0,HX$2,IX66&lt;&gt;0,IX$2,JX66&lt;&gt;0,JX$2,KX66&lt;&gt;0,KX$2,TRUE,"")</f>
        <v/>
      </c>
      <c r="GY66" s="1" t="str" cm="1">
        <f t="array" ref="GY66">+_xlfn.IFS(HY66&lt;&gt;0,HY$2,IY66&lt;&gt;0,IY$2,JY66&lt;&gt;0,JY$2,KY66&lt;&gt;0,KY$2,TRUE,"")</f>
        <v/>
      </c>
      <c r="GZ66" s="1" t="str" cm="1">
        <f t="array" ref="GZ66">+_xlfn.IFS(HZ66&lt;&gt;0,HZ$2,IZ66&lt;&gt;0,IZ$2,JZ66&lt;&gt;0,JZ$2,KZ66&lt;&gt;0,KZ$2,TRUE,"")</f>
        <v/>
      </c>
      <c r="HA66" s="1" t="str" cm="1">
        <f t="array" ref="HA66">+_xlfn.IFS(IA66&lt;&gt;0,IA$2,JA66&lt;&gt;0,JA$2,KA66&lt;&gt;0,KA$2,LA66&lt;&gt;0,LA$2,TRUE,"")</f>
        <v/>
      </c>
      <c r="HB66" s="1" t="str" cm="1">
        <f t="array" ref="HB66">+_xlfn.IFS(IB66&lt;&gt;0,IB$2,JB66&lt;&gt;0,JB$2,KB66&lt;&gt;0,KB$2,LB66&lt;&gt;0,LB$2,TRUE,"")</f>
        <v/>
      </c>
      <c r="HC66" s="1" t="str" cm="1">
        <f t="array" ref="HC66">+_xlfn.IFS(IC66&lt;&gt;0,IC$2,JC66&lt;&gt;0,JC$2,KC66&lt;&gt;0,KC$2,LC66&lt;&gt;0,LC$2,TRUE,"")</f>
        <v/>
      </c>
      <c r="HD66" s="1" t="str" cm="1">
        <f t="array" ref="HD66">+_xlfn.IFS(ID66&lt;&gt;0,ID$2,JD66&lt;&gt;0,JD$2,KD66&lt;&gt;0,KD$2,LD66&lt;&gt;0,LD$2,TRUE,"")</f>
        <v/>
      </c>
      <c r="HE66" s="1" t="str" cm="1">
        <f t="array" ref="HE66">+_xlfn.IFS(IE66&lt;&gt;0,IE$2,JE66&lt;&gt;0,JE$2,KE66&lt;&gt;0,KE$2,LE66&lt;&gt;0,LE$2,TRUE,"")</f>
        <v/>
      </c>
      <c r="HF66" s="1" t="str" cm="1">
        <f t="array" ref="HF66">+_xlfn.IFS(IF66&lt;&gt;0,IF$2,JF66&lt;&gt;0,JF$2,KF66&lt;&gt;0,KF$2,LF66&lt;&gt;0,LF$2,TRUE,"")</f>
        <v/>
      </c>
      <c r="HG66" s="1" t="str" cm="1">
        <f t="array" ref="HG66">+_xlfn.IFS(IG66&lt;&gt;0,IG$2,JG66&lt;&gt;0,JG$2,KG66&lt;&gt;0,KG$2,LG66&lt;&gt;0,LG$2,TRUE,"")</f>
        <v/>
      </c>
      <c r="HH66" s="1" t="str" cm="1">
        <f t="array" ref="HH66">+_xlfn.IFS(IH66&lt;&gt;0,IH$2,JH66&lt;&gt;0,JH$2,KH66&lt;&gt;0,KH$2,LH66&lt;&gt;0,LH$2,TRUE,"")</f>
        <v/>
      </c>
      <c r="HI66" s="1" t="str" cm="1">
        <f t="array" ref="HI66">+_xlfn.IFS(II66&lt;&gt;0,II$2,JI66&lt;&gt;0,JI$2,KI66&lt;&gt;0,KI$2,LI66&lt;&gt;0,LI$2,TRUE,"")</f>
        <v/>
      </c>
      <c r="HJ66" s="1" t="str" cm="1">
        <f t="array" ref="HJ66">+_xlfn.IFS(IJ66&lt;&gt;0,IJ$2,JJ66&lt;&gt;0,JJ$2,KJ66&lt;&gt;0,KJ$2,LJ66&lt;&gt;0,LJ$2,TRUE,"")</f>
        <v/>
      </c>
      <c r="HK66" s="1" t="str" cm="1">
        <f t="array" ref="HK66">+_xlfn.IFS(IK66&lt;&gt;0,IK$2,JK66&lt;&gt;0,JK$2,KK66&lt;&gt;0,KK$2,LK66&lt;&gt;0,LK$2,TRUE,"")</f>
        <v/>
      </c>
      <c r="HL66" s="1" t="str" cm="1">
        <f t="array" ref="HL66">+_xlfn.IFS(IL66&lt;&gt;0,IL$2,JL66&lt;&gt;0,JL$2,KL66&lt;&gt;0,KL$2,LL66&lt;&gt;0,LL$2,TRUE,"")</f>
        <v/>
      </c>
      <c r="HM66" s="1" t="str" cm="1">
        <f t="array" ref="HM66">+_xlfn.IFS(IM66&lt;&gt;0,IM$2,JM66&lt;&gt;0,JM$2,KM66&lt;&gt;0,KM$2,LM66&lt;&gt;0,LM$2,TRUE,"")</f>
        <v/>
      </c>
      <c r="HN66" s="1" t="str" cm="1">
        <f t="array" ref="HN66">+_xlfn.IFS(IN66&lt;&gt;0,IN$2,JN66&lt;&gt;0,JN$2,KN66&lt;&gt;0,KN$2,LN66&lt;&gt;0,LN$2,TRUE,"")</f>
        <v>New</v>
      </c>
      <c r="HO66" s="1" t="str" cm="1">
        <f t="array" ref="HO66">+_xlfn.IFS(IO66&lt;&gt;0,IO$2,JO66&lt;&gt;0,JO$2,KO66&lt;&gt;0,KO$2,LO66&lt;&gt;0,LO$2,TRUE,"")</f>
        <v>New</v>
      </c>
      <c r="HP66" s="1" t="str" cm="1">
        <f t="array" ref="HP66">+_xlfn.IFS(IP66&lt;&gt;0,IP$2,JP66&lt;&gt;0,JP$2,KP66&lt;&gt;0,KP$2,LP66&lt;&gt;0,LP$2,TRUE,"")</f>
        <v>New</v>
      </c>
      <c r="HQ66" s="1" t="str" cm="1">
        <f t="array" ref="HQ66">+_xlfn.IFS(IQ66&lt;&gt;0,IQ$2,JQ66&lt;&gt;0,JQ$2,KQ66&lt;&gt;0,KQ$2,LQ66&lt;&gt;0,LQ$2,TRUE,"")</f>
        <v>New</v>
      </c>
      <c r="HR66" s="1" t="str" cm="1">
        <f t="array" ref="HR66">+_xlfn.IFS(IR66&lt;&gt;0,IR$2,JR66&lt;&gt;0,JR$2,KR66&lt;&gt;0,KR$2,LR66&lt;&gt;0,LR$2,TRUE,"")</f>
        <v>New</v>
      </c>
      <c r="HS66" s="1" t="str" cm="1">
        <f t="array" ref="HS66">+_xlfn.IFS(IS66&lt;&gt;0,IS$2,JS66&lt;&gt;0,JS$2,KS66&lt;&gt;0,KS$2,LS66&lt;&gt;0,LS$2,TRUE,"")</f>
        <v>New</v>
      </c>
      <c r="HT66" s="1" t="str" cm="1">
        <f t="array" ref="HT66">+_xlfn.IFS(IT66&lt;&gt;0,IT$2,JT66&lt;&gt;0,JT$2,KT66&lt;&gt;0,KT$2,LT66&lt;&gt;0,LT$2,TRUE,"")</f>
        <v>New</v>
      </c>
      <c r="HV66" s="111">
        <f t="shared" si="368"/>
        <v>0</v>
      </c>
      <c r="HW66" s="110">
        <f t="shared" si="369"/>
        <v>0</v>
      </c>
      <c r="HX66" s="110">
        <f t="shared" si="370"/>
        <v>0</v>
      </c>
      <c r="HY66" s="110">
        <f t="shared" si="371"/>
        <v>0</v>
      </c>
      <c r="HZ66" s="110">
        <f t="shared" si="372"/>
        <v>0</v>
      </c>
      <c r="IA66" s="110">
        <f t="shared" si="373"/>
        <v>0</v>
      </c>
      <c r="IB66" s="110">
        <f t="shared" si="374"/>
        <v>0</v>
      </c>
      <c r="IC66" s="110">
        <f t="shared" si="375"/>
        <v>0</v>
      </c>
      <c r="ID66" s="110">
        <f t="shared" si="376"/>
        <v>0</v>
      </c>
      <c r="IE66" s="110">
        <f t="shared" si="377"/>
        <v>0</v>
      </c>
      <c r="IF66" s="110">
        <f t="shared" si="378"/>
        <v>0</v>
      </c>
      <c r="IG66" s="110">
        <f t="shared" si="379"/>
        <v>0</v>
      </c>
      <c r="IH66" s="110">
        <f t="shared" si="380"/>
        <v>0</v>
      </c>
      <c r="II66" s="110">
        <f t="shared" si="381"/>
        <v>0</v>
      </c>
      <c r="IJ66" s="110">
        <f t="shared" si="382"/>
        <v>0</v>
      </c>
      <c r="IK66" s="110">
        <f t="shared" si="383"/>
        <v>0</v>
      </c>
      <c r="IL66" s="110">
        <f t="shared" si="384"/>
        <v>0</v>
      </c>
      <c r="IM66" s="110">
        <f t="shared" si="385"/>
        <v>0</v>
      </c>
      <c r="IN66" s="110">
        <f t="shared" si="386"/>
        <v>309.47000000000003</v>
      </c>
      <c r="IO66" s="110">
        <f t="shared" si="387"/>
        <v>309.47000000000003</v>
      </c>
      <c r="IP66" s="110">
        <f t="shared" si="388"/>
        <v>309.47000000000003</v>
      </c>
      <c r="IQ66" s="110">
        <f t="shared" si="389"/>
        <v>309.47000000000003</v>
      </c>
      <c r="IR66" s="110">
        <f t="shared" si="390"/>
        <v>309.47000000000003</v>
      </c>
      <c r="IS66" s="110">
        <f t="shared" si="391"/>
        <v>309.47000000000003</v>
      </c>
      <c r="IT66" s="110">
        <f t="shared" si="392"/>
        <v>309.47000000000003</v>
      </c>
      <c r="IV66" s="111">
        <f t="shared" si="393"/>
        <v>0</v>
      </c>
      <c r="IW66" s="110">
        <f t="shared" si="394"/>
        <v>0</v>
      </c>
      <c r="IX66" s="110">
        <f t="shared" si="395"/>
        <v>0</v>
      </c>
      <c r="IY66" s="110">
        <f t="shared" si="396"/>
        <v>0</v>
      </c>
      <c r="IZ66" s="110">
        <f t="shared" si="397"/>
        <v>0</v>
      </c>
      <c r="JA66" s="110">
        <f t="shared" si="398"/>
        <v>0</v>
      </c>
      <c r="JB66" s="110">
        <f t="shared" si="399"/>
        <v>0</v>
      </c>
      <c r="JC66" s="110">
        <f t="shared" si="400"/>
        <v>0</v>
      </c>
      <c r="JD66" s="110">
        <f t="shared" si="401"/>
        <v>0</v>
      </c>
      <c r="JE66" s="110">
        <f t="shared" si="402"/>
        <v>0</v>
      </c>
      <c r="JF66" s="110">
        <f t="shared" si="403"/>
        <v>0</v>
      </c>
      <c r="JG66" s="110">
        <f t="shared" si="404"/>
        <v>0</v>
      </c>
      <c r="JH66" s="110">
        <f t="shared" si="405"/>
        <v>0</v>
      </c>
      <c r="JI66" s="110">
        <f t="shared" si="406"/>
        <v>0</v>
      </c>
      <c r="JJ66" s="110">
        <f t="shared" si="407"/>
        <v>0</v>
      </c>
      <c r="JK66" s="110">
        <f t="shared" si="408"/>
        <v>0</v>
      </c>
      <c r="JL66" s="110">
        <f t="shared" si="409"/>
        <v>0</v>
      </c>
      <c r="JM66" s="110">
        <f t="shared" si="410"/>
        <v>0</v>
      </c>
      <c r="JN66" s="110">
        <f t="shared" si="411"/>
        <v>0</v>
      </c>
      <c r="JO66" s="110">
        <f t="shared" si="412"/>
        <v>0</v>
      </c>
      <c r="JP66" s="110">
        <f t="shared" si="413"/>
        <v>0</v>
      </c>
      <c r="JQ66" s="110">
        <f t="shared" si="414"/>
        <v>0</v>
      </c>
      <c r="JR66" s="110">
        <f t="shared" si="415"/>
        <v>0</v>
      </c>
      <c r="JS66" s="110">
        <f t="shared" si="416"/>
        <v>0</v>
      </c>
      <c r="JT66" s="110">
        <f t="shared" si="417"/>
        <v>0</v>
      </c>
      <c r="JV66" s="111">
        <f t="shared" si="418"/>
        <v>0</v>
      </c>
      <c r="JW66" s="110">
        <f t="shared" si="419"/>
        <v>0</v>
      </c>
      <c r="JX66" s="110">
        <f t="shared" si="420"/>
        <v>0</v>
      </c>
      <c r="JY66" s="110">
        <f t="shared" si="421"/>
        <v>0</v>
      </c>
      <c r="JZ66" s="110">
        <f t="shared" si="422"/>
        <v>0</v>
      </c>
      <c r="KA66" s="110">
        <f t="shared" si="423"/>
        <v>0</v>
      </c>
      <c r="KB66" s="110">
        <f t="shared" si="424"/>
        <v>0</v>
      </c>
      <c r="KC66" s="110">
        <f t="shared" si="425"/>
        <v>0</v>
      </c>
      <c r="KD66" s="110">
        <f t="shared" si="426"/>
        <v>0</v>
      </c>
      <c r="KE66" s="110">
        <f t="shared" si="427"/>
        <v>0</v>
      </c>
      <c r="KF66" s="110">
        <f t="shared" si="428"/>
        <v>0</v>
      </c>
      <c r="KG66" s="110">
        <f t="shared" si="429"/>
        <v>0</v>
      </c>
      <c r="KH66" s="110">
        <f t="shared" si="430"/>
        <v>0</v>
      </c>
      <c r="KI66" s="110">
        <f t="shared" si="431"/>
        <v>0</v>
      </c>
      <c r="KJ66" s="110">
        <f t="shared" si="432"/>
        <v>0</v>
      </c>
      <c r="KK66" s="110">
        <f t="shared" si="433"/>
        <v>0</v>
      </c>
      <c r="KL66" s="110">
        <f t="shared" si="434"/>
        <v>0</v>
      </c>
      <c r="KM66" s="110">
        <f t="shared" si="435"/>
        <v>0</v>
      </c>
      <c r="KN66" s="110">
        <f t="shared" si="436"/>
        <v>0</v>
      </c>
      <c r="KO66" s="110">
        <f t="shared" si="437"/>
        <v>0</v>
      </c>
      <c r="KP66" s="110">
        <f t="shared" si="438"/>
        <v>0</v>
      </c>
      <c r="KQ66" s="110">
        <f t="shared" si="439"/>
        <v>0</v>
      </c>
      <c r="KR66" s="110">
        <f t="shared" si="440"/>
        <v>0</v>
      </c>
      <c r="KS66" s="110">
        <f t="shared" si="441"/>
        <v>0</v>
      </c>
      <c r="KT66" s="110">
        <f t="shared" si="442"/>
        <v>0</v>
      </c>
      <c r="KV66" s="111">
        <f t="shared" si="443"/>
        <v>0</v>
      </c>
      <c r="KW66" s="110">
        <f t="shared" si="444"/>
        <v>0</v>
      </c>
      <c r="KX66" s="110">
        <f t="shared" si="445"/>
        <v>0</v>
      </c>
      <c r="KY66" s="110">
        <f t="shared" si="446"/>
        <v>0</v>
      </c>
      <c r="KZ66" s="110">
        <f t="shared" si="447"/>
        <v>0</v>
      </c>
      <c r="LA66" s="110">
        <f t="shared" si="448"/>
        <v>0</v>
      </c>
      <c r="LB66" s="110">
        <f t="shared" si="449"/>
        <v>0</v>
      </c>
      <c r="LC66" s="110">
        <f t="shared" si="450"/>
        <v>0</v>
      </c>
      <c r="LD66" s="110">
        <f t="shared" si="451"/>
        <v>0</v>
      </c>
      <c r="LE66" s="110">
        <f t="shared" si="452"/>
        <v>0</v>
      </c>
      <c r="LF66" s="110">
        <f t="shared" si="453"/>
        <v>0</v>
      </c>
      <c r="LG66" s="110">
        <f t="shared" si="454"/>
        <v>0</v>
      </c>
      <c r="LH66" s="110">
        <f t="shared" si="455"/>
        <v>0</v>
      </c>
      <c r="LI66" s="110">
        <f t="shared" si="456"/>
        <v>0</v>
      </c>
      <c r="LJ66" s="110">
        <f t="shared" si="457"/>
        <v>0</v>
      </c>
      <c r="LK66" s="110">
        <f t="shared" si="458"/>
        <v>0</v>
      </c>
      <c r="LL66" s="110">
        <f t="shared" si="459"/>
        <v>0</v>
      </c>
      <c r="LM66" s="110">
        <f t="shared" si="460"/>
        <v>0</v>
      </c>
      <c r="LN66" s="110">
        <f t="shared" si="461"/>
        <v>0</v>
      </c>
      <c r="LO66" s="110">
        <f t="shared" si="462"/>
        <v>0</v>
      </c>
      <c r="LP66" s="110">
        <f t="shared" si="463"/>
        <v>0</v>
      </c>
      <c r="LQ66" s="110">
        <f t="shared" si="464"/>
        <v>0</v>
      </c>
      <c r="LR66" s="110">
        <f t="shared" si="465"/>
        <v>0</v>
      </c>
      <c r="LS66" s="110">
        <f t="shared" si="466"/>
        <v>0</v>
      </c>
      <c r="LT66" s="110">
        <f t="shared" si="467"/>
        <v>0</v>
      </c>
      <c r="LV66" s="111"/>
      <c r="LW66" s="110">
        <f t="shared" si="468"/>
        <v>0</v>
      </c>
      <c r="LX66" s="110">
        <f t="shared" si="469"/>
        <v>0</v>
      </c>
      <c r="LY66" s="110">
        <f t="shared" si="470"/>
        <v>0</v>
      </c>
      <c r="LZ66" s="110">
        <f t="shared" si="471"/>
        <v>0</v>
      </c>
      <c r="MA66" s="110">
        <f t="shared" si="472"/>
        <v>0</v>
      </c>
      <c r="MB66" s="110">
        <f t="shared" si="473"/>
        <v>0</v>
      </c>
      <c r="MC66" s="110">
        <f t="shared" si="474"/>
        <v>0</v>
      </c>
      <c r="MD66" s="110">
        <f t="shared" si="475"/>
        <v>0</v>
      </c>
      <c r="ME66" s="110">
        <f t="shared" si="476"/>
        <v>0</v>
      </c>
      <c r="MF66" s="110">
        <f t="shared" si="477"/>
        <v>0</v>
      </c>
      <c r="MG66" s="110">
        <f t="shared" si="478"/>
        <v>0</v>
      </c>
      <c r="MH66" s="110">
        <f t="shared" si="479"/>
        <v>0</v>
      </c>
      <c r="MI66" s="110">
        <f t="shared" si="480"/>
        <v>0</v>
      </c>
      <c r="MJ66" s="110">
        <f t="shared" si="481"/>
        <v>0</v>
      </c>
      <c r="MK66" s="110">
        <f t="shared" si="482"/>
        <v>0</v>
      </c>
      <c r="ML66" s="110">
        <f t="shared" si="483"/>
        <v>0</v>
      </c>
      <c r="MM66" s="110">
        <f t="shared" si="484"/>
        <v>0</v>
      </c>
      <c r="MN66" s="110">
        <f t="shared" si="485"/>
        <v>0</v>
      </c>
      <c r="MO66" s="110">
        <f t="shared" si="486"/>
        <v>0</v>
      </c>
      <c r="MP66" s="110">
        <f t="shared" si="487"/>
        <v>0</v>
      </c>
      <c r="MQ66" s="110">
        <f t="shared" si="488"/>
        <v>0</v>
      </c>
      <c r="MR66" s="110">
        <f t="shared" si="489"/>
        <v>0</v>
      </c>
      <c r="MS66" s="110">
        <f t="shared" si="490"/>
        <v>0</v>
      </c>
      <c r="MT66" s="110">
        <f t="shared" si="491"/>
        <v>0</v>
      </c>
      <c r="MV66" s="114">
        <v>309.47000000000003</v>
      </c>
      <c r="MW66" s="114">
        <v>309.47000000000003</v>
      </c>
      <c r="MX66" s="114">
        <v>0</v>
      </c>
      <c r="MY66" s="114">
        <v>0</v>
      </c>
      <c r="MZ66" s="114">
        <v>0</v>
      </c>
      <c r="NB66" s="115">
        <v>16</v>
      </c>
      <c r="NC66" s="115">
        <v>3</v>
      </c>
      <c r="ND66" s="115" t="str">
        <v>N/A</v>
      </c>
      <c r="NE66" s="115" t="str">
        <v>N/A</v>
      </c>
      <c r="NF66" s="115" t="str">
        <v>N/A</v>
      </c>
    </row>
    <row r="67" spans="2:370" ht="13.5" x14ac:dyDescent="0.25">
      <c r="B67" s="8">
        <f t="shared" si="252"/>
        <v>64</v>
      </c>
      <c r="C67" s="7">
        <v>0</v>
      </c>
      <c r="D67" s="7">
        <v>0</v>
      </c>
      <c r="E67" s="7">
        <v>0</v>
      </c>
      <c r="F67" s="7">
        <v>0</v>
      </c>
      <c r="G67" s="7">
        <v>0</v>
      </c>
      <c r="H67" s="7">
        <v>0</v>
      </c>
      <c r="I67" s="7">
        <v>0</v>
      </c>
      <c r="J67" s="7">
        <v>0</v>
      </c>
      <c r="K67" s="7">
        <v>0</v>
      </c>
      <c r="L67" s="7">
        <v>0</v>
      </c>
      <c r="M67" s="7">
        <v>0</v>
      </c>
      <c r="N67" s="7">
        <v>0</v>
      </c>
      <c r="O67" s="7">
        <v>0</v>
      </c>
      <c r="P67" s="7">
        <v>0</v>
      </c>
      <c r="Q67" s="7">
        <v>0</v>
      </c>
      <c r="R67" s="7">
        <v>0</v>
      </c>
      <c r="S67" s="7">
        <v>0</v>
      </c>
      <c r="T67" s="7">
        <v>0</v>
      </c>
      <c r="U67" s="7">
        <v>0</v>
      </c>
      <c r="V67" s="7">
        <v>0</v>
      </c>
      <c r="W67" s="7">
        <v>0</v>
      </c>
      <c r="X67" s="7">
        <v>0</v>
      </c>
      <c r="Y67" s="7">
        <v>0</v>
      </c>
      <c r="Z67" s="7">
        <v>0</v>
      </c>
      <c r="AA67" s="7">
        <v>0</v>
      </c>
      <c r="AB67" s="7">
        <v>0</v>
      </c>
      <c r="AC67" s="7">
        <v>0</v>
      </c>
      <c r="AD67" s="7">
        <v>0</v>
      </c>
      <c r="AE67" s="7">
        <v>0</v>
      </c>
      <c r="AF67" s="7">
        <v>0</v>
      </c>
      <c r="AG67" s="7">
        <v>309.47000000000003</v>
      </c>
      <c r="AH67" s="7">
        <v>309.47000000000003</v>
      </c>
      <c r="AI67" s="7">
        <v>309.47000000000003</v>
      </c>
      <c r="AJ67" s="7">
        <v>309.47000000000003</v>
      </c>
      <c r="AK67" s="7">
        <v>309.47000000000003</v>
      </c>
      <c r="AL67" s="7">
        <v>309.47000000000003</v>
      </c>
      <c r="AM67" s="7">
        <v>309.47000000000003</v>
      </c>
      <c r="AN67" s="27">
        <v>64</v>
      </c>
      <c r="AP67" s="111"/>
      <c r="AQ67" s="110">
        <f t="shared" si="253"/>
        <v>0</v>
      </c>
      <c r="AR67" s="110">
        <f t="shared" si="254"/>
        <v>0</v>
      </c>
      <c r="AS67" s="110">
        <f t="shared" si="255"/>
        <v>0</v>
      </c>
      <c r="AT67" s="110">
        <f t="shared" si="256"/>
        <v>0</v>
      </c>
      <c r="AU67" s="110">
        <f t="shared" si="257"/>
        <v>0</v>
      </c>
      <c r="AV67" s="110">
        <f t="shared" si="258"/>
        <v>0</v>
      </c>
      <c r="AW67" s="110">
        <f t="shared" si="259"/>
        <v>0</v>
      </c>
      <c r="AX67" s="110">
        <f t="shared" si="260"/>
        <v>0</v>
      </c>
      <c r="AY67" s="110">
        <f t="shared" si="261"/>
        <v>0</v>
      </c>
      <c r="AZ67" s="110">
        <f t="shared" si="262"/>
        <v>309.47000000000003</v>
      </c>
      <c r="BA67" s="110">
        <f t="shared" si="263"/>
        <v>0</v>
      </c>
      <c r="BB67" s="110">
        <f t="shared" si="264"/>
        <v>0</v>
      </c>
      <c r="BD67" s="109" cm="1">
        <f t="array" ref="BD67">+IFERROR(INDEX($C$3:$AM$3,MATCH(TRUE,INDEX($C67:$AM67&lt;&gt;0,0),0)),"N/A")</f>
        <v>45838</v>
      </c>
      <c r="BE67" s="112"/>
      <c r="BF67" s="1" t="str" cm="1">
        <f t="array" ref="BF67">+_xlfn.IFS(BT67&lt;&gt;0,BT$2,CH67&lt;&gt;0,CH$2,CV67&lt;&gt;0,CV$2,DJ67&lt;&gt;0,DJ$2,TRUE,"")</f>
        <v/>
      </c>
      <c r="BG67" s="1" t="str" cm="1">
        <f t="array" ref="BG67">+_xlfn.IFS(BU67&lt;&gt;0,BU$2,CI67&lt;&gt;0,CI$2,CW67&lt;&gt;0,CW$2,DK67&lt;&gt;0,DK$2,TRUE,"")</f>
        <v/>
      </c>
      <c r="BH67" s="1" t="str" cm="1">
        <f t="array" ref="BH67">+_xlfn.IFS(BV67&lt;&gt;0,BV$2,CJ67&lt;&gt;0,CJ$2,CX67&lt;&gt;0,CX$2,DL67&lt;&gt;0,DL$2,TRUE,"")</f>
        <v/>
      </c>
      <c r="BI67" s="1" t="str" cm="1">
        <f t="array" ref="BI67">+_xlfn.IFS(BW67&lt;&gt;0,BW$2,CK67&lt;&gt;0,CK$2,CY67&lt;&gt;0,CY$2,DM67&lt;&gt;0,DM$2,TRUE,"")</f>
        <v/>
      </c>
      <c r="BJ67" s="1" t="str" cm="1">
        <f t="array" ref="BJ67">+_xlfn.IFS(BX67&lt;&gt;0,BX$2,CL67&lt;&gt;0,CL$2,CZ67&lt;&gt;0,CZ$2,DN67&lt;&gt;0,DN$2,TRUE,"")</f>
        <v/>
      </c>
      <c r="BK67" s="1" t="str" cm="1">
        <f t="array" ref="BK67">+_xlfn.IFS(BY67&lt;&gt;0,BY$2,CM67&lt;&gt;0,CM$2,DA67&lt;&gt;0,DA$2,DO67&lt;&gt;0,DO$2,TRUE,"")</f>
        <v/>
      </c>
      <c r="BL67" s="1" t="str" cm="1">
        <f t="array" ref="BL67">+_xlfn.IFS(BZ67&lt;&gt;0,BZ$2,CN67&lt;&gt;0,CN$2,DB67&lt;&gt;0,DB$2,DP67&lt;&gt;0,DP$2,TRUE,"")</f>
        <v/>
      </c>
      <c r="BM67" s="1" t="str" cm="1">
        <f t="array" ref="BM67">+_xlfn.IFS(CA67&lt;&gt;0,CA$2,CO67&lt;&gt;0,CO$2,DC67&lt;&gt;0,DC$2,DQ67&lt;&gt;0,DQ$2,TRUE,"")</f>
        <v/>
      </c>
      <c r="BN67" s="1" t="str" cm="1">
        <f t="array" ref="BN67">+_xlfn.IFS(CB67&lt;&gt;0,CB$2,CP67&lt;&gt;0,CP$2,DD67&lt;&gt;0,DD$2,DR67&lt;&gt;0,DR$2,TRUE,"")</f>
        <v/>
      </c>
      <c r="BO67" s="1" t="str" cm="1">
        <f t="array" ref="BO67">+_xlfn.IFS(CC67&lt;&gt;0,CC$2,CQ67&lt;&gt;0,CQ$2,DE67&lt;&gt;0,DE$2,DS67&lt;&gt;0,DS$2,TRUE,"")</f>
        <v>New</v>
      </c>
      <c r="BP67" s="1" t="str" cm="1">
        <f t="array" ref="BP67">+_xlfn.IFS(CD67&lt;&gt;0,CD$2,CR67&lt;&gt;0,CR$2,DF67&lt;&gt;0,DF$2,DT67&lt;&gt;0,DT$2,TRUE,"")</f>
        <v/>
      </c>
      <c r="BQ67" s="1" t="str" cm="1">
        <f t="array" ref="BQ67">+_xlfn.IFS(CE67&lt;&gt;0,CE$2,CS67&lt;&gt;0,CS$2,DG67&lt;&gt;0,DG$2,DU67&lt;&gt;0,DU$2,TRUE,"")</f>
        <v/>
      </c>
      <c r="BS67" s="111"/>
      <c r="BT67" s="110">
        <f t="shared" si="265"/>
        <v>0</v>
      </c>
      <c r="BU67" s="110">
        <f t="shared" si="266"/>
        <v>0</v>
      </c>
      <c r="BV67" s="110">
        <f t="shared" si="267"/>
        <v>0</v>
      </c>
      <c r="BW67" s="110">
        <f t="shared" si="268"/>
        <v>0</v>
      </c>
      <c r="BX67" s="110">
        <f t="shared" si="269"/>
        <v>0</v>
      </c>
      <c r="BY67" s="110">
        <f t="shared" si="270"/>
        <v>0</v>
      </c>
      <c r="BZ67" s="110">
        <f t="shared" si="271"/>
        <v>0</v>
      </c>
      <c r="CA67" s="110">
        <f t="shared" si="272"/>
        <v>0</v>
      </c>
      <c r="CB67" s="110">
        <f t="shared" si="273"/>
        <v>0</v>
      </c>
      <c r="CC67" s="110">
        <f t="shared" si="274"/>
        <v>309.47000000000003</v>
      </c>
      <c r="CD67" s="110">
        <f t="shared" si="275"/>
        <v>0</v>
      </c>
      <c r="CE67" s="110">
        <f t="shared" si="276"/>
        <v>0</v>
      </c>
      <c r="CG67" s="111"/>
      <c r="CH67" s="110">
        <f t="shared" si="277"/>
        <v>0</v>
      </c>
      <c r="CI67" s="110">
        <f t="shared" si="278"/>
        <v>0</v>
      </c>
      <c r="CJ67" s="110">
        <f t="shared" si="279"/>
        <v>0</v>
      </c>
      <c r="CK67" s="110">
        <f t="shared" si="280"/>
        <v>0</v>
      </c>
      <c r="CL67" s="110">
        <f t="shared" si="281"/>
        <v>0</v>
      </c>
      <c r="CM67" s="110">
        <f t="shared" si="282"/>
        <v>0</v>
      </c>
      <c r="CN67" s="110">
        <f t="shared" si="283"/>
        <v>0</v>
      </c>
      <c r="CO67" s="110">
        <f t="shared" si="284"/>
        <v>0</v>
      </c>
      <c r="CP67" s="110">
        <f t="shared" si="285"/>
        <v>0</v>
      </c>
      <c r="CQ67" s="110">
        <f t="shared" si="286"/>
        <v>0</v>
      </c>
      <c r="CR67" s="110">
        <f t="shared" si="287"/>
        <v>0</v>
      </c>
      <c r="CS67" s="110">
        <f t="shared" si="288"/>
        <v>0</v>
      </c>
      <c r="CU67" s="111"/>
      <c r="CV67" s="110">
        <f t="shared" si="289"/>
        <v>0</v>
      </c>
      <c r="CW67" s="110">
        <f t="shared" si="290"/>
        <v>0</v>
      </c>
      <c r="CX67" s="110">
        <f t="shared" si="291"/>
        <v>0</v>
      </c>
      <c r="CY67" s="110">
        <f t="shared" si="292"/>
        <v>0</v>
      </c>
      <c r="CZ67" s="110">
        <f t="shared" si="293"/>
        <v>0</v>
      </c>
      <c r="DA67" s="110">
        <f t="shared" si="294"/>
        <v>0</v>
      </c>
      <c r="DB67" s="110">
        <f t="shared" si="295"/>
        <v>0</v>
      </c>
      <c r="DC67" s="110">
        <f t="shared" si="296"/>
        <v>0</v>
      </c>
      <c r="DD67" s="110">
        <f t="shared" si="297"/>
        <v>0</v>
      </c>
      <c r="DE67" s="110">
        <f t="shared" si="298"/>
        <v>0</v>
      </c>
      <c r="DF67" s="110">
        <f t="shared" si="299"/>
        <v>0</v>
      </c>
      <c r="DG67" s="110">
        <f t="shared" si="300"/>
        <v>0</v>
      </c>
      <c r="DI67" s="111"/>
      <c r="DJ67" s="110">
        <f t="shared" si="301"/>
        <v>0</v>
      </c>
      <c r="DK67" s="110">
        <f t="shared" si="302"/>
        <v>0</v>
      </c>
      <c r="DL67" s="110">
        <f t="shared" si="303"/>
        <v>0</v>
      </c>
      <c r="DM67" s="110">
        <f t="shared" si="304"/>
        <v>0</v>
      </c>
      <c r="DN67" s="110">
        <f t="shared" si="305"/>
        <v>0</v>
      </c>
      <c r="DO67" s="110">
        <f t="shared" si="306"/>
        <v>0</v>
      </c>
      <c r="DP67" s="110">
        <f t="shared" si="307"/>
        <v>0</v>
      </c>
      <c r="DQ67" s="110">
        <f t="shared" si="308"/>
        <v>0</v>
      </c>
      <c r="DR67" s="110">
        <f t="shared" si="309"/>
        <v>0</v>
      </c>
      <c r="DS67" s="110">
        <f t="shared" si="310"/>
        <v>0</v>
      </c>
      <c r="DT67" s="110">
        <f t="shared" si="311"/>
        <v>0</v>
      </c>
      <c r="DU67" s="110">
        <f t="shared" si="312"/>
        <v>0</v>
      </c>
      <c r="DW67" s="111"/>
      <c r="DX67" s="110">
        <f t="shared" si="313"/>
        <v>0</v>
      </c>
      <c r="DY67" s="110">
        <f t="shared" si="314"/>
        <v>0</v>
      </c>
      <c r="DZ67" s="110">
        <f t="shared" si="315"/>
        <v>0</v>
      </c>
      <c r="EA67" s="110">
        <f t="shared" si="316"/>
        <v>0</v>
      </c>
      <c r="EB67" s="110">
        <f t="shared" si="317"/>
        <v>0</v>
      </c>
      <c r="EC67" s="110">
        <f t="shared" si="318"/>
        <v>0</v>
      </c>
      <c r="ED67" s="110">
        <f t="shared" si="319"/>
        <v>0</v>
      </c>
      <c r="EE67" s="110">
        <f t="shared" si="320"/>
        <v>0</v>
      </c>
      <c r="EF67" s="110">
        <f t="shared" si="321"/>
        <v>0</v>
      </c>
      <c r="EG67" s="110">
        <f t="shared" si="322"/>
        <v>0</v>
      </c>
      <c r="EH67" s="110">
        <f t="shared" si="323"/>
        <v>0</v>
      </c>
      <c r="EI67" s="110">
        <f t="shared" si="324"/>
        <v>0</v>
      </c>
      <c r="EK67" s="111"/>
      <c r="EL67" s="110">
        <f t="shared" si="325"/>
        <v>0</v>
      </c>
      <c r="EM67" s="110">
        <f t="shared" si="326"/>
        <v>0</v>
      </c>
      <c r="EN67" s="110">
        <f t="shared" si="327"/>
        <v>309.47000000000003</v>
      </c>
      <c r="EP67" s="109" cm="1">
        <f t="array" ref="EP67">+IFERROR(INDEX($C$3:$AM$3,MATCH(TRUE,INDEX($C67:$AM67&lt;&gt;0,0),0)),"N/A")</f>
        <v>45838</v>
      </c>
      <c r="EQ67" s="112"/>
      <c r="ER67" s="1" t="str" cm="1">
        <f t="array" ref="ER67">+_xlfn.IFS(EW67&lt;&gt;0,EW$2,FB67&lt;&gt;0,FB$2,FG67&lt;&gt;0,FG$2,FL67&lt;&gt;0,FL$2,TRUE,"")</f>
        <v/>
      </c>
      <c r="ES67" s="1" t="str" cm="1">
        <f t="array" ref="ES67">+_xlfn.IFS(EX67&lt;&gt;0,EX$2,FC67&lt;&gt;0,FC$2,FH67&lt;&gt;0,FH$2,FM67&lt;&gt;0,FM$2,TRUE,"")</f>
        <v/>
      </c>
      <c r="ET67" s="1" t="str" cm="1">
        <f t="array" ref="ET67">+_xlfn.IFS(EY67&lt;&gt;0,EY$2,FD67&lt;&gt;0,FD$2,FI67&lt;&gt;0,FI$2,FN67&lt;&gt;0,FN$2,TRUE,"")</f>
        <v>New</v>
      </c>
      <c r="EV67" s="111"/>
      <c r="EW67" s="110">
        <f t="shared" si="328"/>
        <v>0</v>
      </c>
      <c r="EX67" s="110">
        <f t="shared" si="329"/>
        <v>0</v>
      </c>
      <c r="EY67" s="110">
        <f t="shared" si="330"/>
        <v>309.47000000000003</v>
      </c>
      <c r="FA67" s="111"/>
      <c r="FB67" s="110">
        <f t="shared" si="331"/>
        <v>0</v>
      </c>
      <c r="FC67" s="110">
        <f t="shared" si="332"/>
        <v>0</v>
      </c>
      <c r="FD67" s="110">
        <f t="shared" si="333"/>
        <v>0</v>
      </c>
      <c r="FF67" s="111"/>
      <c r="FG67" s="110">
        <f t="shared" si="334"/>
        <v>0</v>
      </c>
      <c r="FH67" s="110">
        <f t="shared" si="335"/>
        <v>0</v>
      </c>
      <c r="FI67" s="110">
        <f t="shared" si="336"/>
        <v>0</v>
      </c>
      <c r="FK67" s="111"/>
      <c r="FL67" s="110">
        <f t="shared" si="337"/>
        <v>0</v>
      </c>
      <c r="FM67" s="110">
        <f t="shared" si="338"/>
        <v>0</v>
      </c>
      <c r="FN67" s="110">
        <f t="shared" si="339"/>
        <v>0</v>
      </c>
      <c r="FP67" s="111"/>
      <c r="FQ67" s="110">
        <f t="shared" si="340"/>
        <v>0</v>
      </c>
      <c r="FR67" s="110">
        <f t="shared" si="341"/>
        <v>0</v>
      </c>
      <c r="FS67" s="110">
        <f t="shared" si="342"/>
        <v>0</v>
      </c>
      <c r="FU67" s="111">
        <f t="shared" si="343"/>
        <v>0</v>
      </c>
      <c r="FV67" s="110">
        <f t="shared" si="344"/>
        <v>0</v>
      </c>
      <c r="FW67" s="110">
        <f t="shared" si="345"/>
        <v>0</v>
      </c>
      <c r="FX67" s="110">
        <f t="shared" si="346"/>
        <v>0</v>
      </c>
      <c r="FY67" s="110">
        <f t="shared" si="347"/>
        <v>0</v>
      </c>
      <c r="FZ67" s="110">
        <f t="shared" si="348"/>
        <v>0</v>
      </c>
      <c r="GA67" s="110">
        <f t="shared" si="349"/>
        <v>0</v>
      </c>
      <c r="GB67" s="110">
        <f t="shared" si="350"/>
        <v>0</v>
      </c>
      <c r="GC67" s="110">
        <f t="shared" si="351"/>
        <v>0</v>
      </c>
      <c r="GD67" s="110">
        <f t="shared" si="352"/>
        <v>0</v>
      </c>
      <c r="GE67" s="110">
        <f t="shared" si="353"/>
        <v>0</v>
      </c>
      <c r="GF67" s="110">
        <f t="shared" si="354"/>
        <v>0</v>
      </c>
      <c r="GG67" s="110">
        <f t="shared" si="355"/>
        <v>0</v>
      </c>
      <c r="GH67" s="110">
        <f t="shared" si="356"/>
        <v>0</v>
      </c>
      <c r="GI67" s="110">
        <f t="shared" si="357"/>
        <v>0</v>
      </c>
      <c r="GJ67" s="110">
        <f t="shared" si="358"/>
        <v>0</v>
      </c>
      <c r="GK67" s="110">
        <f t="shared" si="359"/>
        <v>0</v>
      </c>
      <c r="GL67" s="110">
        <f t="shared" si="360"/>
        <v>0</v>
      </c>
      <c r="GM67" s="110">
        <f t="shared" si="361"/>
        <v>309.47000000000003</v>
      </c>
      <c r="GN67" s="110">
        <f t="shared" si="362"/>
        <v>309.47000000000003</v>
      </c>
      <c r="GO67" s="110">
        <f t="shared" si="363"/>
        <v>309.47000000000003</v>
      </c>
      <c r="GP67" s="110">
        <f t="shared" si="364"/>
        <v>309.47000000000003</v>
      </c>
      <c r="GQ67" s="110">
        <f t="shared" si="365"/>
        <v>309.47000000000003</v>
      </c>
      <c r="GR67" s="110">
        <f t="shared" si="366"/>
        <v>309.47000000000003</v>
      </c>
      <c r="GS67" s="110">
        <f t="shared" si="367"/>
        <v>309.47000000000003</v>
      </c>
      <c r="GU67" s="109" cm="1">
        <f t="array" ref="GU67">+IFERROR(INDEX($C$3:$AM$3,MATCH(TRUE,INDEX($C67:$AM67&lt;&gt;0,0),0)),"N/A")</f>
        <v>45838</v>
      </c>
      <c r="GV67" s="112" t="str" cm="1">
        <f t="array" ref="GV67">+_xlfn.IFS(HV67&lt;&gt;0,HV$2,IV67&lt;&gt;0,IV$2,JV67&lt;&gt;0,JV$2,KV67&lt;&gt;0,KV$2,TRUE,"")</f>
        <v/>
      </c>
      <c r="GW67" s="1" t="str" cm="1">
        <f t="array" ref="GW67">+_xlfn.IFS(HW67&lt;&gt;0,HW$2,IW67&lt;&gt;0,IW$2,JW67&lt;&gt;0,JW$2,KW67&lt;&gt;0,KW$2,TRUE,"")</f>
        <v/>
      </c>
      <c r="GX67" s="1" t="str" cm="1">
        <f t="array" ref="GX67">+_xlfn.IFS(HX67&lt;&gt;0,HX$2,IX67&lt;&gt;0,IX$2,JX67&lt;&gt;0,JX$2,KX67&lt;&gt;0,KX$2,TRUE,"")</f>
        <v/>
      </c>
      <c r="GY67" s="1" t="str" cm="1">
        <f t="array" ref="GY67">+_xlfn.IFS(HY67&lt;&gt;0,HY$2,IY67&lt;&gt;0,IY$2,JY67&lt;&gt;0,JY$2,KY67&lt;&gt;0,KY$2,TRUE,"")</f>
        <v/>
      </c>
      <c r="GZ67" s="1" t="str" cm="1">
        <f t="array" ref="GZ67">+_xlfn.IFS(HZ67&lt;&gt;0,HZ$2,IZ67&lt;&gt;0,IZ$2,JZ67&lt;&gt;0,JZ$2,KZ67&lt;&gt;0,KZ$2,TRUE,"")</f>
        <v/>
      </c>
      <c r="HA67" s="1" t="str" cm="1">
        <f t="array" ref="HA67">+_xlfn.IFS(IA67&lt;&gt;0,IA$2,JA67&lt;&gt;0,JA$2,KA67&lt;&gt;0,KA$2,LA67&lt;&gt;0,LA$2,TRUE,"")</f>
        <v/>
      </c>
      <c r="HB67" s="1" t="str" cm="1">
        <f t="array" ref="HB67">+_xlfn.IFS(IB67&lt;&gt;0,IB$2,JB67&lt;&gt;0,JB$2,KB67&lt;&gt;0,KB$2,LB67&lt;&gt;0,LB$2,TRUE,"")</f>
        <v/>
      </c>
      <c r="HC67" s="1" t="str" cm="1">
        <f t="array" ref="HC67">+_xlfn.IFS(IC67&lt;&gt;0,IC$2,JC67&lt;&gt;0,JC$2,KC67&lt;&gt;0,KC$2,LC67&lt;&gt;0,LC$2,TRUE,"")</f>
        <v/>
      </c>
      <c r="HD67" s="1" t="str" cm="1">
        <f t="array" ref="HD67">+_xlfn.IFS(ID67&lt;&gt;0,ID$2,JD67&lt;&gt;0,JD$2,KD67&lt;&gt;0,KD$2,LD67&lt;&gt;0,LD$2,TRUE,"")</f>
        <v/>
      </c>
      <c r="HE67" s="1" t="str" cm="1">
        <f t="array" ref="HE67">+_xlfn.IFS(IE67&lt;&gt;0,IE$2,JE67&lt;&gt;0,JE$2,KE67&lt;&gt;0,KE$2,LE67&lt;&gt;0,LE$2,TRUE,"")</f>
        <v/>
      </c>
      <c r="HF67" s="1" t="str" cm="1">
        <f t="array" ref="HF67">+_xlfn.IFS(IF67&lt;&gt;0,IF$2,JF67&lt;&gt;0,JF$2,KF67&lt;&gt;0,KF$2,LF67&lt;&gt;0,LF$2,TRUE,"")</f>
        <v/>
      </c>
      <c r="HG67" s="1" t="str" cm="1">
        <f t="array" ref="HG67">+_xlfn.IFS(IG67&lt;&gt;0,IG$2,JG67&lt;&gt;0,JG$2,KG67&lt;&gt;0,KG$2,LG67&lt;&gt;0,LG$2,TRUE,"")</f>
        <v/>
      </c>
      <c r="HH67" s="1" t="str" cm="1">
        <f t="array" ref="HH67">+_xlfn.IFS(IH67&lt;&gt;0,IH$2,JH67&lt;&gt;0,JH$2,KH67&lt;&gt;0,KH$2,LH67&lt;&gt;0,LH$2,TRUE,"")</f>
        <v/>
      </c>
      <c r="HI67" s="1" t="str" cm="1">
        <f t="array" ref="HI67">+_xlfn.IFS(II67&lt;&gt;0,II$2,JI67&lt;&gt;0,JI$2,KI67&lt;&gt;0,KI$2,LI67&lt;&gt;0,LI$2,TRUE,"")</f>
        <v/>
      </c>
      <c r="HJ67" s="1" t="str" cm="1">
        <f t="array" ref="HJ67">+_xlfn.IFS(IJ67&lt;&gt;0,IJ$2,JJ67&lt;&gt;0,JJ$2,KJ67&lt;&gt;0,KJ$2,LJ67&lt;&gt;0,LJ$2,TRUE,"")</f>
        <v/>
      </c>
      <c r="HK67" s="1" t="str" cm="1">
        <f t="array" ref="HK67">+_xlfn.IFS(IK67&lt;&gt;0,IK$2,JK67&lt;&gt;0,JK$2,KK67&lt;&gt;0,KK$2,LK67&lt;&gt;0,LK$2,TRUE,"")</f>
        <v/>
      </c>
      <c r="HL67" s="1" t="str" cm="1">
        <f t="array" ref="HL67">+_xlfn.IFS(IL67&lt;&gt;0,IL$2,JL67&lt;&gt;0,JL$2,KL67&lt;&gt;0,KL$2,LL67&lt;&gt;0,LL$2,TRUE,"")</f>
        <v/>
      </c>
      <c r="HM67" s="1" t="str" cm="1">
        <f t="array" ref="HM67">+_xlfn.IFS(IM67&lt;&gt;0,IM$2,JM67&lt;&gt;0,JM$2,KM67&lt;&gt;0,KM$2,LM67&lt;&gt;0,LM$2,TRUE,"")</f>
        <v/>
      </c>
      <c r="HN67" s="1" t="str" cm="1">
        <f t="array" ref="HN67">+_xlfn.IFS(IN67&lt;&gt;0,IN$2,JN67&lt;&gt;0,JN$2,KN67&lt;&gt;0,KN$2,LN67&lt;&gt;0,LN$2,TRUE,"")</f>
        <v>New</v>
      </c>
      <c r="HO67" s="1" t="str" cm="1">
        <f t="array" ref="HO67">+_xlfn.IFS(IO67&lt;&gt;0,IO$2,JO67&lt;&gt;0,JO$2,KO67&lt;&gt;0,KO$2,LO67&lt;&gt;0,LO$2,TRUE,"")</f>
        <v>New</v>
      </c>
      <c r="HP67" s="1" t="str" cm="1">
        <f t="array" ref="HP67">+_xlfn.IFS(IP67&lt;&gt;0,IP$2,JP67&lt;&gt;0,JP$2,KP67&lt;&gt;0,KP$2,LP67&lt;&gt;0,LP$2,TRUE,"")</f>
        <v>New</v>
      </c>
      <c r="HQ67" s="1" t="str" cm="1">
        <f t="array" ref="HQ67">+_xlfn.IFS(IQ67&lt;&gt;0,IQ$2,JQ67&lt;&gt;0,JQ$2,KQ67&lt;&gt;0,KQ$2,LQ67&lt;&gt;0,LQ$2,TRUE,"")</f>
        <v>New</v>
      </c>
      <c r="HR67" s="1" t="str" cm="1">
        <f t="array" ref="HR67">+_xlfn.IFS(IR67&lt;&gt;0,IR$2,JR67&lt;&gt;0,JR$2,KR67&lt;&gt;0,KR$2,LR67&lt;&gt;0,LR$2,TRUE,"")</f>
        <v>New</v>
      </c>
      <c r="HS67" s="1" t="str" cm="1">
        <f t="array" ref="HS67">+_xlfn.IFS(IS67&lt;&gt;0,IS$2,JS67&lt;&gt;0,JS$2,KS67&lt;&gt;0,KS$2,LS67&lt;&gt;0,LS$2,TRUE,"")</f>
        <v>New</v>
      </c>
      <c r="HT67" s="1" t="str" cm="1">
        <f t="array" ref="HT67">+_xlfn.IFS(IT67&lt;&gt;0,IT$2,JT67&lt;&gt;0,JT$2,KT67&lt;&gt;0,KT$2,LT67&lt;&gt;0,LT$2,TRUE,"")</f>
        <v>New</v>
      </c>
      <c r="HV67" s="111">
        <f t="shared" si="368"/>
        <v>0</v>
      </c>
      <c r="HW67" s="110">
        <f t="shared" si="369"/>
        <v>0</v>
      </c>
      <c r="HX67" s="110">
        <f t="shared" si="370"/>
        <v>0</v>
      </c>
      <c r="HY67" s="110">
        <f t="shared" si="371"/>
        <v>0</v>
      </c>
      <c r="HZ67" s="110">
        <f t="shared" si="372"/>
        <v>0</v>
      </c>
      <c r="IA67" s="110">
        <f t="shared" si="373"/>
        <v>0</v>
      </c>
      <c r="IB67" s="110">
        <f t="shared" si="374"/>
        <v>0</v>
      </c>
      <c r="IC67" s="110">
        <f t="shared" si="375"/>
        <v>0</v>
      </c>
      <c r="ID67" s="110">
        <f t="shared" si="376"/>
        <v>0</v>
      </c>
      <c r="IE67" s="110">
        <f t="shared" si="377"/>
        <v>0</v>
      </c>
      <c r="IF67" s="110">
        <f t="shared" si="378"/>
        <v>0</v>
      </c>
      <c r="IG67" s="110">
        <f t="shared" si="379"/>
        <v>0</v>
      </c>
      <c r="IH67" s="110">
        <f t="shared" si="380"/>
        <v>0</v>
      </c>
      <c r="II67" s="110">
        <f t="shared" si="381"/>
        <v>0</v>
      </c>
      <c r="IJ67" s="110">
        <f t="shared" si="382"/>
        <v>0</v>
      </c>
      <c r="IK67" s="110">
        <f t="shared" si="383"/>
        <v>0</v>
      </c>
      <c r="IL67" s="110">
        <f t="shared" si="384"/>
        <v>0</v>
      </c>
      <c r="IM67" s="110">
        <f t="shared" si="385"/>
        <v>0</v>
      </c>
      <c r="IN67" s="110">
        <f t="shared" si="386"/>
        <v>309.47000000000003</v>
      </c>
      <c r="IO67" s="110">
        <f t="shared" si="387"/>
        <v>309.47000000000003</v>
      </c>
      <c r="IP67" s="110">
        <f t="shared" si="388"/>
        <v>309.47000000000003</v>
      </c>
      <c r="IQ67" s="110">
        <f t="shared" si="389"/>
        <v>309.47000000000003</v>
      </c>
      <c r="IR67" s="110">
        <f t="shared" si="390"/>
        <v>309.47000000000003</v>
      </c>
      <c r="IS67" s="110">
        <f t="shared" si="391"/>
        <v>309.47000000000003</v>
      </c>
      <c r="IT67" s="110">
        <f t="shared" si="392"/>
        <v>309.47000000000003</v>
      </c>
      <c r="IV67" s="111">
        <f t="shared" si="393"/>
        <v>0</v>
      </c>
      <c r="IW67" s="110">
        <f t="shared" si="394"/>
        <v>0</v>
      </c>
      <c r="IX67" s="110">
        <f t="shared" si="395"/>
        <v>0</v>
      </c>
      <c r="IY67" s="110">
        <f t="shared" si="396"/>
        <v>0</v>
      </c>
      <c r="IZ67" s="110">
        <f t="shared" si="397"/>
        <v>0</v>
      </c>
      <c r="JA67" s="110">
        <f t="shared" si="398"/>
        <v>0</v>
      </c>
      <c r="JB67" s="110">
        <f t="shared" si="399"/>
        <v>0</v>
      </c>
      <c r="JC67" s="110">
        <f t="shared" si="400"/>
        <v>0</v>
      </c>
      <c r="JD67" s="110">
        <f t="shared" si="401"/>
        <v>0</v>
      </c>
      <c r="JE67" s="110">
        <f t="shared" si="402"/>
        <v>0</v>
      </c>
      <c r="JF67" s="110">
        <f t="shared" si="403"/>
        <v>0</v>
      </c>
      <c r="JG67" s="110">
        <f t="shared" si="404"/>
        <v>0</v>
      </c>
      <c r="JH67" s="110">
        <f t="shared" si="405"/>
        <v>0</v>
      </c>
      <c r="JI67" s="110">
        <f t="shared" si="406"/>
        <v>0</v>
      </c>
      <c r="JJ67" s="110">
        <f t="shared" si="407"/>
        <v>0</v>
      </c>
      <c r="JK67" s="110">
        <f t="shared" si="408"/>
        <v>0</v>
      </c>
      <c r="JL67" s="110">
        <f t="shared" si="409"/>
        <v>0</v>
      </c>
      <c r="JM67" s="110">
        <f t="shared" si="410"/>
        <v>0</v>
      </c>
      <c r="JN67" s="110">
        <f t="shared" si="411"/>
        <v>0</v>
      </c>
      <c r="JO67" s="110">
        <f t="shared" si="412"/>
        <v>0</v>
      </c>
      <c r="JP67" s="110">
        <f t="shared" si="413"/>
        <v>0</v>
      </c>
      <c r="JQ67" s="110">
        <f t="shared" si="414"/>
        <v>0</v>
      </c>
      <c r="JR67" s="110">
        <f t="shared" si="415"/>
        <v>0</v>
      </c>
      <c r="JS67" s="110">
        <f t="shared" si="416"/>
        <v>0</v>
      </c>
      <c r="JT67" s="110">
        <f t="shared" si="417"/>
        <v>0</v>
      </c>
      <c r="JV67" s="111">
        <f t="shared" si="418"/>
        <v>0</v>
      </c>
      <c r="JW67" s="110">
        <f t="shared" si="419"/>
        <v>0</v>
      </c>
      <c r="JX67" s="110">
        <f t="shared" si="420"/>
        <v>0</v>
      </c>
      <c r="JY67" s="110">
        <f t="shared" si="421"/>
        <v>0</v>
      </c>
      <c r="JZ67" s="110">
        <f t="shared" si="422"/>
        <v>0</v>
      </c>
      <c r="KA67" s="110">
        <f t="shared" si="423"/>
        <v>0</v>
      </c>
      <c r="KB67" s="110">
        <f t="shared" si="424"/>
        <v>0</v>
      </c>
      <c r="KC67" s="110">
        <f t="shared" si="425"/>
        <v>0</v>
      </c>
      <c r="KD67" s="110">
        <f t="shared" si="426"/>
        <v>0</v>
      </c>
      <c r="KE67" s="110">
        <f t="shared" si="427"/>
        <v>0</v>
      </c>
      <c r="KF67" s="110">
        <f t="shared" si="428"/>
        <v>0</v>
      </c>
      <c r="KG67" s="110">
        <f t="shared" si="429"/>
        <v>0</v>
      </c>
      <c r="KH67" s="110">
        <f t="shared" si="430"/>
        <v>0</v>
      </c>
      <c r="KI67" s="110">
        <f t="shared" si="431"/>
        <v>0</v>
      </c>
      <c r="KJ67" s="110">
        <f t="shared" si="432"/>
        <v>0</v>
      </c>
      <c r="KK67" s="110">
        <f t="shared" si="433"/>
        <v>0</v>
      </c>
      <c r="KL67" s="110">
        <f t="shared" si="434"/>
        <v>0</v>
      </c>
      <c r="KM67" s="110">
        <f t="shared" si="435"/>
        <v>0</v>
      </c>
      <c r="KN67" s="110">
        <f t="shared" si="436"/>
        <v>0</v>
      </c>
      <c r="KO67" s="110">
        <f t="shared" si="437"/>
        <v>0</v>
      </c>
      <c r="KP67" s="110">
        <f t="shared" si="438"/>
        <v>0</v>
      </c>
      <c r="KQ67" s="110">
        <f t="shared" si="439"/>
        <v>0</v>
      </c>
      <c r="KR67" s="110">
        <f t="shared" si="440"/>
        <v>0</v>
      </c>
      <c r="KS67" s="110">
        <f t="shared" si="441"/>
        <v>0</v>
      </c>
      <c r="KT67" s="110">
        <f t="shared" si="442"/>
        <v>0</v>
      </c>
      <c r="KV67" s="111">
        <f t="shared" si="443"/>
        <v>0</v>
      </c>
      <c r="KW67" s="110">
        <f t="shared" si="444"/>
        <v>0</v>
      </c>
      <c r="KX67" s="110">
        <f t="shared" si="445"/>
        <v>0</v>
      </c>
      <c r="KY67" s="110">
        <f t="shared" si="446"/>
        <v>0</v>
      </c>
      <c r="KZ67" s="110">
        <f t="shared" si="447"/>
        <v>0</v>
      </c>
      <c r="LA67" s="110">
        <f t="shared" si="448"/>
        <v>0</v>
      </c>
      <c r="LB67" s="110">
        <f t="shared" si="449"/>
        <v>0</v>
      </c>
      <c r="LC67" s="110">
        <f t="shared" si="450"/>
        <v>0</v>
      </c>
      <c r="LD67" s="110">
        <f t="shared" si="451"/>
        <v>0</v>
      </c>
      <c r="LE67" s="110">
        <f t="shared" si="452"/>
        <v>0</v>
      </c>
      <c r="LF67" s="110">
        <f t="shared" si="453"/>
        <v>0</v>
      </c>
      <c r="LG67" s="110">
        <f t="shared" si="454"/>
        <v>0</v>
      </c>
      <c r="LH67" s="110">
        <f t="shared" si="455"/>
        <v>0</v>
      </c>
      <c r="LI67" s="110">
        <f t="shared" si="456"/>
        <v>0</v>
      </c>
      <c r="LJ67" s="110">
        <f t="shared" si="457"/>
        <v>0</v>
      </c>
      <c r="LK67" s="110">
        <f t="shared" si="458"/>
        <v>0</v>
      </c>
      <c r="LL67" s="110">
        <f t="shared" si="459"/>
        <v>0</v>
      </c>
      <c r="LM67" s="110">
        <f t="shared" si="460"/>
        <v>0</v>
      </c>
      <c r="LN67" s="110">
        <f t="shared" si="461"/>
        <v>0</v>
      </c>
      <c r="LO67" s="110">
        <f t="shared" si="462"/>
        <v>0</v>
      </c>
      <c r="LP67" s="110">
        <f t="shared" si="463"/>
        <v>0</v>
      </c>
      <c r="LQ67" s="110">
        <f t="shared" si="464"/>
        <v>0</v>
      </c>
      <c r="LR67" s="110">
        <f t="shared" si="465"/>
        <v>0</v>
      </c>
      <c r="LS67" s="110">
        <f t="shared" si="466"/>
        <v>0</v>
      </c>
      <c r="LT67" s="110">
        <f t="shared" si="467"/>
        <v>0</v>
      </c>
      <c r="LV67" s="111"/>
      <c r="LW67" s="110">
        <f t="shared" si="468"/>
        <v>0</v>
      </c>
      <c r="LX67" s="110">
        <f t="shared" si="469"/>
        <v>0</v>
      </c>
      <c r="LY67" s="110">
        <f t="shared" si="470"/>
        <v>0</v>
      </c>
      <c r="LZ67" s="110">
        <f t="shared" si="471"/>
        <v>0</v>
      </c>
      <c r="MA67" s="110">
        <f t="shared" si="472"/>
        <v>0</v>
      </c>
      <c r="MB67" s="110">
        <f t="shared" si="473"/>
        <v>0</v>
      </c>
      <c r="MC67" s="110">
        <f t="shared" si="474"/>
        <v>0</v>
      </c>
      <c r="MD67" s="110">
        <f t="shared" si="475"/>
        <v>0</v>
      </c>
      <c r="ME67" s="110">
        <f t="shared" si="476"/>
        <v>0</v>
      </c>
      <c r="MF67" s="110">
        <f t="shared" si="477"/>
        <v>0</v>
      </c>
      <c r="MG67" s="110">
        <f t="shared" si="478"/>
        <v>0</v>
      </c>
      <c r="MH67" s="110">
        <f t="shared" si="479"/>
        <v>0</v>
      </c>
      <c r="MI67" s="110">
        <f t="shared" si="480"/>
        <v>0</v>
      </c>
      <c r="MJ67" s="110">
        <f t="shared" si="481"/>
        <v>0</v>
      </c>
      <c r="MK67" s="110">
        <f t="shared" si="482"/>
        <v>0</v>
      </c>
      <c r="ML67" s="110">
        <f t="shared" si="483"/>
        <v>0</v>
      </c>
      <c r="MM67" s="110">
        <f t="shared" si="484"/>
        <v>0</v>
      </c>
      <c r="MN67" s="110">
        <f t="shared" si="485"/>
        <v>0</v>
      </c>
      <c r="MO67" s="110">
        <f t="shared" si="486"/>
        <v>0</v>
      </c>
      <c r="MP67" s="110">
        <f t="shared" si="487"/>
        <v>0</v>
      </c>
      <c r="MQ67" s="110">
        <f t="shared" si="488"/>
        <v>0</v>
      </c>
      <c r="MR67" s="110">
        <f t="shared" si="489"/>
        <v>0</v>
      </c>
      <c r="MS67" s="110">
        <f t="shared" si="490"/>
        <v>0</v>
      </c>
      <c r="MT67" s="110">
        <f t="shared" si="491"/>
        <v>0</v>
      </c>
      <c r="MV67" s="114">
        <v>309.47000000000003</v>
      </c>
      <c r="MW67" s="114">
        <v>309.47000000000003</v>
      </c>
      <c r="MX67" s="114">
        <v>0</v>
      </c>
      <c r="MY67" s="114">
        <v>0</v>
      </c>
      <c r="MZ67" s="114">
        <v>0</v>
      </c>
      <c r="NB67" s="115">
        <v>17</v>
      </c>
      <c r="NC67" s="115">
        <v>4</v>
      </c>
      <c r="ND67" s="115" t="str">
        <v>N/A</v>
      </c>
      <c r="NE67" s="115" t="str">
        <v>N/A</v>
      </c>
      <c r="NF67" s="115" t="str">
        <v>N/A</v>
      </c>
    </row>
    <row r="68" spans="2:370" ht="13.5" x14ac:dyDescent="0.25">
      <c r="B68" s="8">
        <f t="shared" si="252"/>
        <v>65</v>
      </c>
      <c r="C68" s="7">
        <v>0</v>
      </c>
      <c r="D68" s="7">
        <v>0</v>
      </c>
      <c r="E68" s="7">
        <v>0</v>
      </c>
      <c r="F68" s="7">
        <v>0</v>
      </c>
      <c r="G68" s="7">
        <v>0</v>
      </c>
      <c r="H68" s="7">
        <v>0</v>
      </c>
      <c r="I68" s="7">
        <v>0</v>
      </c>
      <c r="J68" s="7">
        <v>0</v>
      </c>
      <c r="K68" s="7">
        <v>0</v>
      </c>
      <c r="L68" s="7">
        <v>0</v>
      </c>
      <c r="M68" s="7">
        <v>0</v>
      </c>
      <c r="N68" s="7">
        <v>0</v>
      </c>
      <c r="O68" s="7">
        <v>0</v>
      </c>
      <c r="P68" s="7">
        <v>0</v>
      </c>
      <c r="Q68" s="7">
        <v>0</v>
      </c>
      <c r="R68" s="7">
        <v>0</v>
      </c>
      <c r="S68" s="7">
        <v>0</v>
      </c>
      <c r="T68" s="7">
        <v>0</v>
      </c>
      <c r="U68" s="7">
        <v>0</v>
      </c>
      <c r="V68" s="7">
        <v>0</v>
      </c>
      <c r="W68" s="7">
        <v>0</v>
      </c>
      <c r="X68" s="7">
        <v>0</v>
      </c>
      <c r="Y68" s="7">
        <v>0</v>
      </c>
      <c r="Z68" s="7">
        <v>0</v>
      </c>
      <c r="AA68" s="7">
        <v>0</v>
      </c>
      <c r="AB68" s="7">
        <v>0</v>
      </c>
      <c r="AC68" s="7">
        <v>0</v>
      </c>
      <c r="AD68" s="7">
        <v>0</v>
      </c>
      <c r="AE68" s="7">
        <v>0</v>
      </c>
      <c r="AF68" s="7">
        <v>0</v>
      </c>
      <c r="AG68" s="7">
        <v>185.27</v>
      </c>
      <c r="AH68" s="7">
        <v>185.27</v>
      </c>
      <c r="AI68" s="7">
        <v>185.27</v>
      </c>
      <c r="AJ68" s="7">
        <v>185.27</v>
      </c>
      <c r="AK68" s="7">
        <v>185.27</v>
      </c>
      <c r="AL68" s="7">
        <v>185.27</v>
      </c>
      <c r="AM68" s="7">
        <v>185.27</v>
      </c>
      <c r="AN68" s="27">
        <v>65</v>
      </c>
      <c r="AP68" s="111"/>
      <c r="AQ68" s="110">
        <f t="shared" ref="AQ68:AQ103" si="492">+F68-C68</f>
        <v>0</v>
      </c>
      <c r="AR68" s="110">
        <f t="shared" ref="AR68:AR103" si="493">+I68-F68</f>
        <v>0</v>
      </c>
      <c r="AS68" s="110">
        <f t="shared" ref="AS68:AS103" si="494">+L68-I68</f>
        <v>0</v>
      </c>
      <c r="AT68" s="110">
        <f t="shared" ref="AT68:AT103" si="495">+O68-L68</f>
        <v>0</v>
      </c>
      <c r="AU68" s="110">
        <f t="shared" ref="AU68:AU103" si="496">+R68-O68</f>
        <v>0</v>
      </c>
      <c r="AV68" s="110">
        <f t="shared" ref="AV68:AV103" si="497">+U68-R68</f>
        <v>0</v>
      </c>
      <c r="AW68" s="110">
        <f t="shared" ref="AW68:AW103" si="498">+X68-U68</f>
        <v>0</v>
      </c>
      <c r="AX68" s="110">
        <f t="shared" ref="AX68:AX103" si="499">+AA68-X68</f>
        <v>0</v>
      </c>
      <c r="AY68" s="110">
        <f t="shared" ref="AY68:AY103" si="500">+AD68-AA68</f>
        <v>0</v>
      </c>
      <c r="AZ68" s="110">
        <f t="shared" ref="AZ68:AZ103" si="501">+AG68-AD68</f>
        <v>185.27</v>
      </c>
      <c r="BA68" s="110">
        <f t="shared" ref="BA68:BA103" si="502">+AJ68-AG68</f>
        <v>0</v>
      </c>
      <c r="BB68" s="110">
        <f t="shared" ref="BB68:BB103" si="503">+AM68-AJ68</f>
        <v>0</v>
      </c>
      <c r="BD68" s="109" cm="1">
        <f t="array" ref="BD68">+IFERROR(INDEX($C$3:$AM$3,MATCH(TRUE,INDEX($C68:$AM68&lt;&gt;0,0),0)),"N/A")</f>
        <v>45838</v>
      </c>
      <c r="BE68" s="112"/>
      <c r="BF68" s="1" t="str" cm="1">
        <f t="array" ref="BF68">+_xlfn.IFS(BT68&lt;&gt;0,BT$2,CH68&lt;&gt;0,CH$2,CV68&lt;&gt;0,CV$2,DJ68&lt;&gt;0,DJ$2,TRUE,"")</f>
        <v/>
      </c>
      <c r="BG68" s="1" t="str" cm="1">
        <f t="array" ref="BG68">+_xlfn.IFS(BU68&lt;&gt;0,BU$2,CI68&lt;&gt;0,CI$2,CW68&lt;&gt;0,CW$2,DK68&lt;&gt;0,DK$2,TRUE,"")</f>
        <v/>
      </c>
      <c r="BH68" s="1" t="str" cm="1">
        <f t="array" ref="BH68">+_xlfn.IFS(BV68&lt;&gt;0,BV$2,CJ68&lt;&gt;0,CJ$2,CX68&lt;&gt;0,CX$2,DL68&lt;&gt;0,DL$2,TRUE,"")</f>
        <v/>
      </c>
      <c r="BI68" s="1" t="str" cm="1">
        <f t="array" ref="BI68">+_xlfn.IFS(BW68&lt;&gt;0,BW$2,CK68&lt;&gt;0,CK$2,CY68&lt;&gt;0,CY$2,DM68&lt;&gt;0,DM$2,TRUE,"")</f>
        <v/>
      </c>
      <c r="BJ68" s="1" t="str" cm="1">
        <f t="array" ref="BJ68">+_xlfn.IFS(BX68&lt;&gt;0,BX$2,CL68&lt;&gt;0,CL$2,CZ68&lt;&gt;0,CZ$2,DN68&lt;&gt;0,DN$2,TRUE,"")</f>
        <v/>
      </c>
      <c r="BK68" s="1" t="str" cm="1">
        <f t="array" ref="BK68">+_xlfn.IFS(BY68&lt;&gt;0,BY$2,CM68&lt;&gt;0,CM$2,DA68&lt;&gt;0,DA$2,DO68&lt;&gt;0,DO$2,TRUE,"")</f>
        <v/>
      </c>
      <c r="BL68" s="1" t="str" cm="1">
        <f t="array" ref="BL68">+_xlfn.IFS(BZ68&lt;&gt;0,BZ$2,CN68&lt;&gt;0,CN$2,DB68&lt;&gt;0,DB$2,DP68&lt;&gt;0,DP$2,TRUE,"")</f>
        <v/>
      </c>
      <c r="BM68" s="1" t="str" cm="1">
        <f t="array" ref="BM68">+_xlfn.IFS(CA68&lt;&gt;0,CA$2,CO68&lt;&gt;0,CO$2,DC68&lt;&gt;0,DC$2,DQ68&lt;&gt;0,DQ$2,TRUE,"")</f>
        <v/>
      </c>
      <c r="BN68" s="1" t="str" cm="1">
        <f t="array" ref="BN68">+_xlfn.IFS(CB68&lt;&gt;0,CB$2,CP68&lt;&gt;0,CP$2,DD68&lt;&gt;0,DD$2,DR68&lt;&gt;0,DR$2,TRUE,"")</f>
        <v/>
      </c>
      <c r="BO68" s="1" t="str" cm="1">
        <f t="array" ref="BO68">+_xlfn.IFS(CC68&lt;&gt;0,CC$2,CQ68&lt;&gt;0,CQ$2,DE68&lt;&gt;0,DE$2,DS68&lt;&gt;0,DS$2,TRUE,"")</f>
        <v>New</v>
      </c>
      <c r="BP68" s="1" t="str" cm="1">
        <f t="array" ref="BP68">+_xlfn.IFS(CD68&lt;&gt;0,CD$2,CR68&lt;&gt;0,CR$2,DF68&lt;&gt;0,DF$2,DT68&lt;&gt;0,DT$2,TRUE,"")</f>
        <v/>
      </c>
      <c r="BQ68" s="1" t="str" cm="1">
        <f t="array" ref="BQ68">+_xlfn.IFS(CE68&lt;&gt;0,CE$2,CS68&lt;&gt;0,CS$2,DG68&lt;&gt;0,DG$2,DU68&lt;&gt;0,DU$2,TRUE,"")</f>
        <v/>
      </c>
      <c r="BS68" s="111"/>
      <c r="BT68" s="110">
        <f t="shared" ref="BT68:BT103" si="504">+IF(AND(F68&gt;C68,C68&lt;=0,F68&gt;0),F68-C68,0)</f>
        <v>0</v>
      </c>
      <c r="BU68" s="110">
        <f t="shared" ref="BU68:BU103" si="505">+IF(AND(I68&gt;F68,F68&lt;=0,I68&gt;0),I68-F68,0)</f>
        <v>0</v>
      </c>
      <c r="BV68" s="110">
        <f t="shared" ref="BV68:BV103" si="506">+IF(AND(L68&gt;I68,I68&lt;=0,L68&gt;0),L68-I68,0)</f>
        <v>0</v>
      </c>
      <c r="BW68" s="110">
        <f t="shared" ref="BW68:BW103" si="507">+IF(AND(O68&gt;L68,L68&lt;=0,O68&gt;0),O68-L68,0)</f>
        <v>0</v>
      </c>
      <c r="BX68" s="110">
        <f t="shared" ref="BX68:BX103" si="508">+IF(AND(R68&gt;O68,O68&lt;=0,R68&gt;0),R68-O68,0)</f>
        <v>0</v>
      </c>
      <c r="BY68" s="110">
        <f t="shared" ref="BY68:BY103" si="509">+IF(AND(U68&gt;R68,R68&lt;=0,U68&gt;0),U68-R68,0)</f>
        <v>0</v>
      </c>
      <c r="BZ68" s="110">
        <f t="shared" ref="BZ68:BZ103" si="510">+IF(AND(X68&gt;U68,U68&lt;=0,X68&gt;0),X68-U68,0)</f>
        <v>0</v>
      </c>
      <c r="CA68" s="110">
        <f t="shared" ref="CA68:CA103" si="511">+IF(AND(AA68&gt;X68,X68&lt;=0,AA68&gt;0),AA68-X68,0)</f>
        <v>0</v>
      </c>
      <c r="CB68" s="110">
        <f t="shared" ref="CB68:CB103" si="512">+IF(AND(AD68&gt;AA68,AA68&lt;=0,AD68&gt;0),AD68-AA68,0)</f>
        <v>0</v>
      </c>
      <c r="CC68" s="110">
        <f t="shared" ref="CC68:CC103" si="513">+IF(AND(AG68&gt;AD68,AD68&lt;=0,AG68&gt;0),AG68-AD68,0)</f>
        <v>185.27</v>
      </c>
      <c r="CD68" s="110">
        <f t="shared" ref="CD68:CD103" si="514">+IF(AND(AJ68&gt;AG68,AG68&lt;=0,AJ68&gt;0),AJ68-AG68,0)</f>
        <v>0</v>
      </c>
      <c r="CE68" s="110">
        <f t="shared" ref="CE68:CE103" si="515">+IF(AND(AM68&gt;AJ68,AJ68&lt;=0,AM68&gt;0),AM68-AJ68,0)</f>
        <v>0</v>
      </c>
      <c r="CG68" s="111"/>
      <c r="CH68" s="110">
        <f t="shared" ref="CH68:CH103" si="516">+IF(AND(F68&lt;C68,F68&lt;=0,C68&gt;0),F68-C68,0)</f>
        <v>0</v>
      </c>
      <c r="CI68" s="110">
        <f t="shared" ref="CI68:CI103" si="517">+IF(AND(I68&lt;F68,I68&lt;=0,F68&gt;0),I68-F68,0)</f>
        <v>0</v>
      </c>
      <c r="CJ68" s="110">
        <f t="shared" ref="CJ68:CJ103" si="518">+IF(AND(L68&lt;I68,L68&lt;=0,I68&gt;0),L68-I68,0)</f>
        <v>0</v>
      </c>
      <c r="CK68" s="110">
        <f t="shared" ref="CK68:CK103" si="519">+IF(AND(O68&lt;L68,O68&lt;=0,L68&gt;0),O68-L68,0)</f>
        <v>0</v>
      </c>
      <c r="CL68" s="110">
        <f t="shared" ref="CL68:CL103" si="520">+IF(AND(R68&lt;O68,R68&lt;=0,O68&gt;0),R68-O68,0)</f>
        <v>0</v>
      </c>
      <c r="CM68" s="110">
        <f t="shared" ref="CM68:CM103" si="521">+IF(AND(U68&lt;R68,U68&lt;=0,R68&gt;0),U68-R68,0)</f>
        <v>0</v>
      </c>
      <c r="CN68" s="110">
        <f t="shared" ref="CN68:CN103" si="522">+IF(AND(X68&lt;U68,X68&lt;=0,U68&gt;0),X68-U68,0)</f>
        <v>0</v>
      </c>
      <c r="CO68" s="110">
        <f t="shared" ref="CO68:CO103" si="523">+IF(AND(AA68&lt;X68,AA68&lt;=0,X68&gt;0),AA68-X68,0)</f>
        <v>0</v>
      </c>
      <c r="CP68" s="110">
        <f t="shared" ref="CP68:CP103" si="524">+IF(AND(AD68&lt;AA68,AD68&lt;=0,AA68&gt;0),AD68-AA68,0)</f>
        <v>0</v>
      </c>
      <c r="CQ68" s="110">
        <f t="shared" ref="CQ68:CQ103" si="525">+IF(AND(AG68&lt;AD68,AG68&lt;=0,AD68&gt;0),AG68-AD68,0)</f>
        <v>0</v>
      </c>
      <c r="CR68" s="110">
        <f t="shared" ref="CR68:CR103" si="526">+IF(AND(AJ68&lt;AG68,AJ68&lt;=0,AG68&gt;0),AJ68-AG68,0)</f>
        <v>0</v>
      </c>
      <c r="CS68" s="110">
        <f t="shared" ref="CS68:CS103" si="527">+IF(AND(AM68&lt;AJ68,AM68&lt;=0,AJ68&gt;0),AM68-AJ68,0)</f>
        <v>0</v>
      </c>
      <c r="CU68" s="111"/>
      <c r="CV68" s="110">
        <f t="shared" ref="CV68:CV103" si="528">+IF(AND(F68&lt;C68,NOT(AND(C68&gt;0,F68&lt;=0))),F68-C68,0)</f>
        <v>0</v>
      </c>
      <c r="CW68" s="110">
        <f t="shared" ref="CW68:CW103" si="529">+IF(AND(I68&lt;F68,NOT(AND(F68&gt;0,I68&lt;=0))),I68-F68,0)</f>
        <v>0</v>
      </c>
      <c r="CX68" s="110">
        <f t="shared" ref="CX68:CX103" si="530">+IF(AND(L68&lt;I68,NOT(AND(I68&gt;0,L68&lt;=0))),L68-I68,0)</f>
        <v>0</v>
      </c>
      <c r="CY68" s="110">
        <f t="shared" ref="CY68:CY103" si="531">+IF(AND(O68&lt;L68,NOT(AND(L68&gt;0,O68&lt;=0))),O68-L68,0)</f>
        <v>0</v>
      </c>
      <c r="CZ68" s="110">
        <f t="shared" ref="CZ68:CZ103" si="532">+IF(AND(R68&lt;O68,NOT(AND(O68&gt;0,R68&lt;=0))),R68-O68,0)</f>
        <v>0</v>
      </c>
      <c r="DA68" s="110">
        <f t="shared" ref="DA68:DA103" si="533">+IF(AND(U68&lt;R68,NOT(AND(R68&gt;0,U68&lt;=0))),U68-R68,0)</f>
        <v>0</v>
      </c>
      <c r="DB68" s="110">
        <f t="shared" ref="DB68:DB103" si="534">+IF(AND(X68&lt;U68,NOT(AND(U68&gt;0,X68&lt;=0))),X68-U68,0)</f>
        <v>0</v>
      </c>
      <c r="DC68" s="110">
        <f t="shared" ref="DC68:DC103" si="535">+IF(AND(AA68&lt;X68,NOT(AND(X68&gt;0,AA68&lt;=0))),AA68-X68,0)</f>
        <v>0</v>
      </c>
      <c r="DD68" s="110">
        <f t="shared" ref="DD68:DD103" si="536">+IF(AND(AD68&lt;AA68,NOT(AND(AA68&gt;0,AD68&lt;=0))),AD68-AA68,0)</f>
        <v>0</v>
      </c>
      <c r="DE68" s="110">
        <f t="shared" ref="DE68:DE103" si="537">+IF(AND(AG68&lt;AD68,NOT(AND(AD68&gt;0,AG68&lt;=0))),AG68-AD68,0)</f>
        <v>0</v>
      </c>
      <c r="DF68" s="110">
        <f t="shared" ref="DF68:DF103" si="538">+IF(AND(AJ68&lt;AG68,NOT(AND(AG68&gt;0,AJ68&lt;=0))),AJ68-AG68,0)</f>
        <v>0</v>
      </c>
      <c r="DG68" s="110">
        <f t="shared" ref="DG68:DG103" si="539">+IF(AND(AM68&lt;AJ68,NOT(AND(AJ68&gt;0,AM68&lt;=0))),AM68-AJ68,0)</f>
        <v>0</v>
      </c>
      <c r="DI68" s="111"/>
      <c r="DJ68" s="110">
        <f t="shared" ref="DJ68:DJ103" si="540">+IF(AND(F68&gt;C68,NOT(AND(C68&lt;=0,F68&gt;0))),F68-C68,0)</f>
        <v>0</v>
      </c>
      <c r="DK68" s="110">
        <f t="shared" ref="DK68:DK103" si="541">+IF(AND(I68&gt;F68,NOT(AND(F68&lt;=0,I68&gt;0))),I68-F68,0)</f>
        <v>0</v>
      </c>
      <c r="DL68" s="110">
        <f t="shared" ref="DL68:DL103" si="542">+IF(AND(L68&gt;I68,NOT(AND(I68&lt;=0,L68&gt;0))),L68-I68,0)</f>
        <v>0</v>
      </c>
      <c r="DM68" s="110">
        <f t="shared" ref="DM68:DM103" si="543">+IF(AND(O68&gt;L68,NOT(AND(L68&lt;=0,O68&gt;0))),O68-L68,0)</f>
        <v>0</v>
      </c>
      <c r="DN68" s="110">
        <f t="shared" ref="DN68:DN103" si="544">+IF(AND(R68&gt;O68,NOT(AND(O68&lt;=0,R68&gt;0))),R68-O68,0)</f>
        <v>0</v>
      </c>
      <c r="DO68" s="110">
        <f t="shared" ref="DO68:DO103" si="545">+IF(AND(U68&gt;R68,NOT(AND(R68&lt;=0,U68&gt;0))),U68-R68,0)</f>
        <v>0</v>
      </c>
      <c r="DP68" s="110">
        <f t="shared" ref="DP68:DP103" si="546">+IF(AND(X68&gt;U68,NOT(AND(U68&lt;=0,X68&gt;0))),X68-U68,0)</f>
        <v>0</v>
      </c>
      <c r="DQ68" s="110">
        <f t="shared" ref="DQ68:DQ103" si="547">+IF(AND(AA68&gt;X68,NOT(AND(X68&lt;=0,AA68&gt;0))),AA68-X68,0)</f>
        <v>0</v>
      </c>
      <c r="DR68" s="110">
        <f t="shared" ref="DR68:DR103" si="548">+IF(AND(AD68&gt;AA68,NOT(AND(AA68&lt;=0,AD68&gt;0))),AD68-AA68,0)</f>
        <v>0</v>
      </c>
      <c r="DS68" s="110">
        <f t="shared" ref="DS68:DS103" si="549">+IF(AND(AG68&gt;AD68,NOT(AND(AD68&lt;=0,AG68&gt;0))),AG68-AD68,0)</f>
        <v>0</v>
      </c>
      <c r="DT68" s="110">
        <f t="shared" ref="DT68:DT103" si="550">+IF(AND(AJ68&gt;AG68,NOT(AND(AG68&lt;=0,AJ68&gt;0))),AJ68-AG68,0)</f>
        <v>0</v>
      </c>
      <c r="DU68" s="110">
        <f t="shared" ref="DU68:DU103" si="551">+IF(AND(AM68&gt;AJ68,NOT(AND(AJ68&lt;=0,AM68&gt;0))),AM68-AJ68,0)</f>
        <v>0</v>
      </c>
      <c r="DW68" s="111"/>
      <c r="DX68" s="110">
        <f t="shared" ref="DX68:DX103" si="552">+IF(((BT68&lt;&gt;0)+(CH68&lt;&gt;0)+(CV68&lt;&gt;0)+(DJ68&lt;&gt;0))&gt;1,1,0)</f>
        <v>0</v>
      </c>
      <c r="DY68" s="110">
        <f t="shared" ref="DY68:DY103" si="553">+IF(((BU68&lt;&gt;0)+(CI68&lt;&gt;0)+(CW68&lt;&gt;0)+(DK68&lt;&gt;0))&gt;1,1,0)</f>
        <v>0</v>
      </c>
      <c r="DZ68" s="110">
        <f t="shared" ref="DZ68:DZ103" si="554">+IF(((BV68&lt;&gt;0)+(CJ68&lt;&gt;0)+(CX68&lt;&gt;0)+(DL68&lt;&gt;0))&gt;1,1,0)</f>
        <v>0</v>
      </c>
      <c r="EA68" s="110">
        <f t="shared" ref="EA68:EA103" si="555">+IF(((BW68&lt;&gt;0)+(CK68&lt;&gt;0)+(CY68&lt;&gt;0)+(DM68&lt;&gt;0))&gt;1,1,0)</f>
        <v>0</v>
      </c>
      <c r="EB68" s="110">
        <f t="shared" ref="EB68:EB103" si="556">+IF(((BX68&lt;&gt;0)+(CL68&lt;&gt;0)+(CZ68&lt;&gt;0)+(DN68&lt;&gt;0))&gt;1,1,0)</f>
        <v>0</v>
      </c>
      <c r="EC68" s="110">
        <f t="shared" ref="EC68:EC103" si="557">+IF(((BY68&lt;&gt;0)+(CM68&lt;&gt;0)+(DA68&lt;&gt;0)+(DO68&lt;&gt;0))&gt;1,1,0)</f>
        <v>0</v>
      </c>
      <c r="ED68" s="110">
        <f t="shared" ref="ED68:ED103" si="558">+IF(((BZ68&lt;&gt;0)+(CN68&lt;&gt;0)+(DB68&lt;&gt;0)+(DP68&lt;&gt;0))&gt;1,1,0)</f>
        <v>0</v>
      </c>
      <c r="EE68" s="110">
        <f t="shared" ref="EE68:EE103" si="559">+IF(((CA68&lt;&gt;0)+(CO68&lt;&gt;0)+(DC68&lt;&gt;0)+(DQ68&lt;&gt;0))&gt;1,1,0)</f>
        <v>0</v>
      </c>
      <c r="EF68" s="110">
        <f t="shared" ref="EF68:EF103" si="560">+IF(((CB68&lt;&gt;0)+(CP68&lt;&gt;0)+(DD68&lt;&gt;0)+(DR68&lt;&gt;0))&gt;1,1,0)</f>
        <v>0</v>
      </c>
      <c r="EG68" s="110">
        <f t="shared" ref="EG68:EG103" si="561">+IF(((CC68&lt;&gt;0)+(CQ68&lt;&gt;0)+(DE68&lt;&gt;0)+(DS68&lt;&gt;0))&gt;1,1,0)</f>
        <v>0</v>
      </c>
      <c r="EH68" s="110">
        <f t="shared" ref="EH68:EH103" si="562">+IF(((CD68&lt;&gt;0)+(CR68&lt;&gt;0)+(DF68&lt;&gt;0)+(DT68&lt;&gt;0))&gt;1,1,0)</f>
        <v>0</v>
      </c>
      <c r="EI68" s="110">
        <f t="shared" ref="EI68:EI103" si="563">+IF(((CE68&lt;&gt;0)+(CS68&lt;&gt;0)+(DG68&lt;&gt;0)+(DU68&lt;&gt;0))&gt;1,1,0)</f>
        <v>0</v>
      </c>
      <c r="EK68" s="111"/>
      <c r="EL68" s="110">
        <f t="shared" ref="EL68:EL103" si="564">+O68-C68</f>
        <v>0</v>
      </c>
      <c r="EM68" s="110">
        <f t="shared" ref="EM68:EM103" si="565">+AA68-O68</f>
        <v>0</v>
      </c>
      <c r="EN68" s="110">
        <f t="shared" ref="EN68:EN103" si="566">+AM68-AA68</f>
        <v>185.27</v>
      </c>
      <c r="EP68" s="109" cm="1">
        <f t="array" ref="EP68">+IFERROR(INDEX($C$3:$AM$3,MATCH(TRUE,INDEX($C68:$AM68&lt;&gt;0,0),0)),"N/A")</f>
        <v>45838</v>
      </c>
      <c r="EQ68" s="112"/>
      <c r="ER68" s="1" t="str" cm="1">
        <f t="array" ref="ER68">+_xlfn.IFS(EW68&lt;&gt;0,EW$2,FB68&lt;&gt;0,FB$2,FG68&lt;&gt;0,FG$2,FL68&lt;&gt;0,FL$2,TRUE,"")</f>
        <v/>
      </c>
      <c r="ES68" s="1" t="str" cm="1">
        <f t="array" ref="ES68">+_xlfn.IFS(EX68&lt;&gt;0,EX$2,FC68&lt;&gt;0,FC$2,FH68&lt;&gt;0,FH$2,FM68&lt;&gt;0,FM$2,TRUE,"")</f>
        <v/>
      </c>
      <c r="ET68" s="1" t="str" cm="1">
        <f t="array" ref="ET68">+_xlfn.IFS(EY68&lt;&gt;0,EY$2,FD68&lt;&gt;0,FD$2,FI68&lt;&gt;0,FI$2,FN68&lt;&gt;0,FN$2,TRUE,"")</f>
        <v>New</v>
      </c>
      <c r="EV68" s="111"/>
      <c r="EW68" s="110">
        <f t="shared" ref="EW68:EW103" si="567">+IF(AND(O68&gt;C68,C68&lt;=0,O68&gt;0),O68-C68,0)</f>
        <v>0</v>
      </c>
      <c r="EX68" s="110">
        <f t="shared" ref="EX68:EX103" si="568">+IF(AND(AA68&gt;O68,O68&lt;=0,AA68&gt;0),AA68-O68,0)</f>
        <v>0</v>
      </c>
      <c r="EY68" s="110">
        <f t="shared" ref="EY68:EY103" si="569">+IF(AND(AM68&gt;AA68,AA68&lt;=0,AM68&gt;0),AM68-AA68,0)</f>
        <v>185.27</v>
      </c>
      <c r="FA68" s="111"/>
      <c r="FB68" s="110">
        <f t="shared" ref="FB68:FB103" si="570">+IF(AND(O68&lt;C68,O68&lt;=0,C68&gt;0),O68-C68,0)</f>
        <v>0</v>
      </c>
      <c r="FC68" s="110">
        <f t="shared" ref="FC68:FC103" si="571">+IF(AND(AA68&lt;O68,AA68&lt;=0,O68&gt;0),AA68-O68,0)</f>
        <v>0</v>
      </c>
      <c r="FD68" s="110">
        <f t="shared" ref="FD68:FD103" si="572">+IF(AND(AM68&lt;AA68,AM68&lt;=0,AA68&gt;0),AM68-AA68,0)</f>
        <v>0</v>
      </c>
      <c r="FF68" s="111"/>
      <c r="FG68" s="110">
        <f t="shared" ref="FG68:FG103" si="573">+IF(AND(O68&lt;C68,NOT(AND(C68&gt;0,O68&lt;=0))),O68-C68,0)</f>
        <v>0</v>
      </c>
      <c r="FH68" s="110">
        <f t="shared" ref="FH68:FH103" si="574">+IF(AND(AA68&lt;O68,NOT(AND(O68&gt;0,AA68&lt;=0))),AA68-O68,0)</f>
        <v>0</v>
      </c>
      <c r="FI68" s="110">
        <f t="shared" ref="FI68:FI103" si="575">+IF(AND(AM68&lt;AA68,NOT(AND(AA68&gt;0,AM68&lt;=0))),AM68-AA68,0)</f>
        <v>0</v>
      </c>
      <c r="FK68" s="111"/>
      <c r="FL68" s="110">
        <f t="shared" ref="FL68:FL103" si="576">+IF(AND(O68&gt;C68,NOT(AND(C68&lt;=0,O68&gt;0))),O68-C68,0)</f>
        <v>0</v>
      </c>
      <c r="FM68" s="110">
        <f t="shared" ref="FM68:FM103" si="577">+IF(AND(AA68&gt;O68,NOT(AND(O68&lt;=0,AA68&gt;0))),AA68-O68,0)</f>
        <v>0</v>
      </c>
      <c r="FN68" s="110">
        <f t="shared" ref="FN68:FN103" si="578">+IF(AND(AM68&gt;AA68,NOT(AND(AA68&lt;=0,AM68&gt;0))),AM68-AA68,0)</f>
        <v>0</v>
      </c>
      <c r="FP68" s="111"/>
      <c r="FQ68" s="110">
        <f t="shared" ref="FQ68:FQ103" si="579">+IF(((EW68&lt;&gt;0)+(FB68&lt;&gt;0)+(FG68&lt;&gt;0)+(FL68&lt;&gt;0))&gt;1,1,0)</f>
        <v>0</v>
      </c>
      <c r="FR68" s="110">
        <f t="shared" ref="FR68:FR103" si="580">+IF(((EX68&lt;&gt;0)+(FC68&lt;&gt;0)+(FH68&lt;&gt;0)+(FM68&lt;&gt;0))&gt;1,1,0)</f>
        <v>0</v>
      </c>
      <c r="FS68" s="110">
        <f t="shared" ref="FS68:FS103" si="581">+IF(((EY68&lt;&gt;0)+(FD68&lt;&gt;0)+(FI68&lt;&gt;0)+(FN68&lt;&gt;0))&gt;1,1,0)</f>
        <v>0</v>
      </c>
      <c r="FU68" s="111">
        <f t="shared" ref="FU68:FU103" si="582">+O68-C68</f>
        <v>0</v>
      </c>
      <c r="FV68" s="110">
        <f t="shared" ref="FV68:FV103" si="583">+P68-D68</f>
        <v>0</v>
      </c>
      <c r="FW68" s="110">
        <f t="shared" ref="FW68:FW103" si="584">+Q68-E68</f>
        <v>0</v>
      </c>
      <c r="FX68" s="110">
        <f t="shared" ref="FX68:FX103" si="585">+R68-F68</f>
        <v>0</v>
      </c>
      <c r="FY68" s="110">
        <f t="shared" ref="FY68:FY103" si="586">+S68-G68</f>
        <v>0</v>
      </c>
      <c r="FZ68" s="110">
        <f t="shared" ref="FZ68:FZ103" si="587">+T68-H68</f>
        <v>0</v>
      </c>
      <c r="GA68" s="110">
        <f t="shared" ref="GA68:GA103" si="588">+U68-I68</f>
        <v>0</v>
      </c>
      <c r="GB68" s="110">
        <f t="shared" ref="GB68:GB103" si="589">+V68-J68</f>
        <v>0</v>
      </c>
      <c r="GC68" s="110">
        <f t="shared" ref="GC68:GC103" si="590">+W68-K68</f>
        <v>0</v>
      </c>
      <c r="GD68" s="110">
        <f t="shared" ref="GD68:GD103" si="591">+X68-L68</f>
        <v>0</v>
      </c>
      <c r="GE68" s="110">
        <f t="shared" ref="GE68:GE103" si="592">+Y68-M68</f>
        <v>0</v>
      </c>
      <c r="GF68" s="110">
        <f t="shared" ref="GF68:GF103" si="593">+Z68-N68</f>
        <v>0</v>
      </c>
      <c r="GG68" s="110">
        <f t="shared" ref="GG68:GG103" si="594">+AA68-O68</f>
        <v>0</v>
      </c>
      <c r="GH68" s="110">
        <f t="shared" ref="GH68:GH103" si="595">+AB68-P68</f>
        <v>0</v>
      </c>
      <c r="GI68" s="110">
        <f t="shared" ref="GI68:GI103" si="596">+AC68-Q68</f>
        <v>0</v>
      </c>
      <c r="GJ68" s="110">
        <f t="shared" ref="GJ68:GJ103" si="597">+AD68-R68</f>
        <v>0</v>
      </c>
      <c r="GK68" s="110">
        <f t="shared" ref="GK68:GK103" si="598">+AE68-S68</f>
        <v>0</v>
      </c>
      <c r="GL68" s="110">
        <f t="shared" ref="GL68:GL103" si="599">+AF68-T68</f>
        <v>0</v>
      </c>
      <c r="GM68" s="110">
        <f t="shared" ref="GM68:GM103" si="600">+AG68-U68</f>
        <v>185.27</v>
      </c>
      <c r="GN68" s="110">
        <f t="shared" ref="GN68:GN103" si="601">+AH68-V68</f>
        <v>185.27</v>
      </c>
      <c r="GO68" s="110">
        <f t="shared" ref="GO68:GO103" si="602">+AI68-W68</f>
        <v>185.27</v>
      </c>
      <c r="GP68" s="110">
        <f t="shared" ref="GP68:GP103" si="603">+AJ68-X68</f>
        <v>185.27</v>
      </c>
      <c r="GQ68" s="110">
        <f t="shared" ref="GQ68:GQ103" si="604">+AK68-Y68</f>
        <v>185.27</v>
      </c>
      <c r="GR68" s="110">
        <f t="shared" ref="GR68:GR103" si="605">+AL68-Z68</f>
        <v>185.27</v>
      </c>
      <c r="GS68" s="110">
        <f t="shared" ref="GS68:GS103" si="606">+AM68-AA68</f>
        <v>185.27</v>
      </c>
      <c r="GU68" s="109" cm="1">
        <f t="array" ref="GU68">+IFERROR(INDEX($C$3:$AM$3,MATCH(TRUE,INDEX($C68:$AM68&lt;&gt;0,0),0)),"N/A")</f>
        <v>45838</v>
      </c>
      <c r="GV68" s="112" t="str" cm="1">
        <f t="array" ref="GV68">+_xlfn.IFS(HV68&lt;&gt;0,HV$2,IV68&lt;&gt;0,IV$2,JV68&lt;&gt;0,JV$2,KV68&lt;&gt;0,KV$2,TRUE,"")</f>
        <v/>
      </c>
      <c r="GW68" s="1" t="str" cm="1">
        <f t="array" ref="GW68">+_xlfn.IFS(HW68&lt;&gt;0,HW$2,IW68&lt;&gt;0,IW$2,JW68&lt;&gt;0,JW$2,KW68&lt;&gt;0,KW$2,TRUE,"")</f>
        <v/>
      </c>
      <c r="GX68" s="1" t="str" cm="1">
        <f t="array" ref="GX68">+_xlfn.IFS(HX68&lt;&gt;0,HX$2,IX68&lt;&gt;0,IX$2,JX68&lt;&gt;0,JX$2,KX68&lt;&gt;0,KX$2,TRUE,"")</f>
        <v/>
      </c>
      <c r="GY68" s="1" t="str" cm="1">
        <f t="array" ref="GY68">+_xlfn.IFS(HY68&lt;&gt;0,HY$2,IY68&lt;&gt;0,IY$2,JY68&lt;&gt;0,JY$2,KY68&lt;&gt;0,KY$2,TRUE,"")</f>
        <v/>
      </c>
      <c r="GZ68" s="1" t="str" cm="1">
        <f t="array" ref="GZ68">+_xlfn.IFS(HZ68&lt;&gt;0,HZ$2,IZ68&lt;&gt;0,IZ$2,JZ68&lt;&gt;0,JZ$2,KZ68&lt;&gt;0,KZ$2,TRUE,"")</f>
        <v/>
      </c>
      <c r="HA68" s="1" t="str" cm="1">
        <f t="array" ref="HA68">+_xlfn.IFS(IA68&lt;&gt;0,IA$2,JA68&lt;&gt;0,JA$2,KA68&lt;&gt;0,KA$2,LA68&lt;&gt;0,LA$2,TRUE,"")</f>
        <v/>
      </c>
      <c r="HB68" s="1" t="str" cm="1">
        <f t="array" ref="HB68">+_xlfn.IFS(IB68&lt;&gt;0,IB$2,JB68&lt;&gt;0,JB$2,KB68&lt;&gt;0,KB$2,LB68&lt;&gt;0,LB$2,TRUE,"")</f>
        <v/>
      </c>
      <c r="HC68" s="1" t="str" cm="1">
        <f t="array" ref="HC68">+_xlfn.IFS(IC68&lt;&gt;0,IC$2,JC68&lt;&gt;0,JC$2,KC68&lt;&gt;0,KC$2,LC68&lt;&gt;0,LC$2,TRUE,"")</f>
        <v/>
      </c>
      <c r="HD68" s="1" t="str" cm="1">
        <f t="array" ref="HD68">+_xlfn.IFS(ID68&lt;&gt;0,ID$2,JD68&lt;&gt;0,JD$2,KD68&lt;&gt;0,KD$2,LD68&lt;&gt;0,LD$2,TRUE,"")</f>
        <v/>
      </c>
      <c r="HE68" s="1" t="str" cm="1">
        <f t="array" ref="HE68">+_xlfn.IFS(IE68&lt;&gt;0,IE$2,JE68&lt;&gt;0,JE$2,KE68&lt;&gt;0,KE$2,LE68&lt;&gt;0,LE$2,TRUE,"")</f>
        <v/>
      </c>
      <c r="HF68" s="1" t="str" cm="1">
        <f t="array" ref="HF68">+_xlfn.IFS(IF68&lt;&gt;0,IF$2,JF68&lt;&gt;0,JF$2,KF68&lt;&gt;0,KF$2,LF68&lt;&gt;0,LF$2,TRUE,"")</f>
        <v/>
      </c>
      <c r="HG68" s="1" t="str" cm="1">
        <f t="array" ref="HG68">+_xlfn.IFS(IG68&lt;&gt;0,IG$2,JG68&lt;&gt;0,JG$2,KG68&lt;&gt;0,KG$2,LG68&lt;&gt;0,LG$2,TRUE,"")</f>
        <v/>
      </c>
      <c r="HH68" s="1" t="str" cm="1">
        <f t="array" ref="HH68">+_xlfn.IFS(IH68&lt;&gt;0,IH$2,JH68&lt;&gt;0,JH$2,KH68&lt;&gt;0,KH$2,LH68&lt;&gt;0,LH$2,TRUE,"")</f>
        <v/>
      </c>
      <c r="HI68" s="1" t="str" cm="1">
        <f t="array" ref="HI68">+_xlfn.IFS(II68&lt;&gt;0,II$2,JI68&lt;&gt;0,JI$2,KI68&lt;&gt;0,KI$2,LI68&lt;&gt;0,LI$2,TRUE,"")</f>
        <v/>
      </c>
      <c r="HJ68" s="1" t="str" cm="1">
        <f t="array" ref="HJ68">+_xlfn.IFS(IJ68&lt;&gt;0,IJ$2,JJ68&lt;&gt;0,JJ$2,KJ68&lt;&gt;0,KJ$2,LJ68&lt;&gt;0,LJ$2,TRUE,"")</f>
        <v/>
      </c>
      <c r="HK68" s="1" t="str" cm="1">
        <f t="array" ref="HK68">+_xlfn.IFS(IK68&lt;&gt;0,IK$2,JK68&lt;&gt;0,JK$2,KK68&lt;&gt;0,KK$2,LK68&lt;&gt;0,LK$2,TRUE,"")</f>
        <v/>
      </c>
      <c r="HL68" s="1" t="str" cm="1">
        <f t="array" ref="HL68">+_xlfn.IFS(IL68&lt;&gt;0,IL$2,JL68&lt;&gt;0,JL$2,KL68&lt;&gt;0,KL$2,LL68&lt;&gt;0,LL$2,TRUE,"")</f>
        <v/>
      </c>
      <c r="HM68" s="1" t="str" cm="1">
        <f t="array" ref="HM68">+_xlfn.IFS(IM68&lt;&gt;0,IM$2,JM68&lt;&gt;0,JM$2,KM68&lt;&gt;0,KM$2,LM68&lt;&gt;0,LM$2,TRUE,"")</f>
        <v/>
      </c>
      <c r="HN68" s="1" t="str" cm="1">
        <f t="array" ref="HN68">+_xlfn.IFS(IN68&lt;&gt;0,IN$2,JN68&lt;&gt;0,JN$2,KN68&lt;&gt;0,KN$2,LN68&lt;&gt;0,LN$2,TRUE,"")</f>
        <v>New</v>
      </c>
      <c r="HO68" s="1" t="str" cm="1">
        <f t="array" ref="HO68">+_xlfn.IFS(IO68&lt;&gt;0,IO$2,JO68&lt;&gt;0,JO$2,KO68&lt;&gt;0,KO$2,LO68&lt;&gt;0,LO$2,TRUE,"")</f>
        <v>New</v>
      </c>
      <c r="HP68" s="1" t="str" cm="1">
        <f t="array" ref="HP68">+_xlfn.IFS(IP68&lt;&gt;0,IP$2,JP68&lt;&gt;0,JP$2,KP68&lt;&gt;0,KP$2,LP68&lt;&gt;0,LP$2,TRUE,"")</f>
        <v>New</v>
      </c>
      <c r="HQ68" s="1" t="str" cm="1">
        <f t="array" ref="HQ68">+_xlfn.IFS(IQ68&lt;&gt;0,IQ$2,JQ68&lt;&gt;0,JQ$2,KQ68&lt;&gt;0,KQ$2,LQ68&lt;&gt;0,LQ$2,TRUE,"")</f>
        <v>New</v>
      </c>
      <c r="HR68" s="1" t="str" cm="1">
        <f t="array" ref="HR68">+_xlfn.IFS(IR68&lt;&gt;0,IR$2,JR68&lt;&gt;0,JR$2,KR68&lt;&gt;0,KR$2,LR68&lt;&gt;0,LR$2,TRUE,"")</f>
        <v>New</v>
      </c>
      <c r="HS68" s="1" t="str" cm="1">
        <f t="array" ref="HS68">+_xlfn.IFS(IS68&lt;&gt;0,IS$2,JS68&lt;&gt;0,JS$2,KS68&lt;&gt;0,KS$2,LS68&lt;&gt;0,LS$2,TRUE,"")</f>
        <v>New</v>
      </c>
      <c r="HT68" s="1" t="str" cm="1">
        <f t="array" ref="HT68">+_xlfn.IFS(IT68&lt;&gt;0,IT$2,JT68&lt;&gt;0,JT$2,KT68&lt;&gt;0,KT$2,LT68&lt;&gt;0,LT$2,TRUE,"")</f>
        <v>New</v>
      </c>
      <c r="HV68" s="111">
        <f t="shared" ref="HV68:HV103" si="607">+IF(AND(O68&gt;C68,C68&lt;=0,O68&gt;0),O68-C68,0)</f>
        <v>0</v>
      </c>
      <c r="HW68" s="110">
        <f t="shared" ref="HW68:HW103" si="608">+IF(AND(P68&gt;D68,D68&lt;=0,P68&gt;0),P68-D68,0)</f>
        <v>0</v>
      </c>
      <c r="HX68" s="110">
        <f t="shared" ref="HX68:HX103" si="609">+IF(AND(Q68&gt;E68,E68&lt;=0,Q68&gt;0),Q68-E68,0)</f>
        <v>0</v>
      </c>
      <c r="HY68" s="110">
        <f t="shared" ref="HY68:HY103" si="610">+IF(AND(R68&gt;F68,F68&lt;=0,R68&gt;0),R68-F68,0)</f>
        <v>0</v>
      </c>
      <c r="HZ68" s="110">
        <f t="shared" ref="HZ68:HZ103" si="611">+IF(AND(S68&gt;G68,G68&lt;=0,S68&gt;0),S68-G68,0)</f>
        <v>0</v>
      </c>
      <c r="IA68" s="110">
        <f t="shared" ref="IA68:IA103" si="612">+IF(AND(T68&gt;H68,H68&lt;=0,T68&gt;0),T68-H68,0)</f>
        <v>0</v>
      </c>
      <c r="IB68" s="110">
        <f t="shared" ref="IB68:IB103" si="613">+IF(AND(U68&gt;I68,I68&lt;=0,U68&gt;0),U68-I68,0)</f>
        <v>0</v>
      </c>
      <c r="IC68" s="110">
        <f t="shared" ref="IC68:IC103" si="614">+IF(AND(V68&gt;J68,J68&lt;=0,V68&gt;0),V68-J68,0)</f>
        <v>0</v>
      </c>
      <c r="ID68" s="110">
        <f t="shared" ref="ID68:ID103" si="615">+IF(AND(W68&gt;K68,K68&lt;=0,W68&gt;0),W68-K68,0)</f>
        <v>0</v>
      </c>
      <c r="IE68" s="110">
        <f t="shared" ref="IE68:IE103" si="616">+IF(AND(X68&gt;L68,L68&lt;=0,X68&gt;0),X68-L68,0)</f>
        <v>0</v>
      </c>
      <c r="IF68" s="110">
        <f t="shared" ref="IF68:IF103" si="617">+IF(AND(Y68&gt;M68,M68&lt;=0,Y68&gt;0),Y68-M68,0)</f>
        <v>0</v>
      </c>
      <c r="IG68" s="110">
        <f t="shared" ref="IG68:IG103" si="618">+IF(AND(Z68&gt;N68,N68&lt;=0,Z68&gt;0),Z68-N68,0)</f>
        <v>0</v>
      </c>
      <c r="IH68" s="110">
        <f t="shared" ref="IH68:IH103" si="619">+IF(AND(AA68&gt;O68,O68&lt;=0,AA68&gt;0),AA68-O68,0)</f>
        <v>0</v>
      </c>
      <c r="II68" s="110">
        <f t="shared" ref="II68:II103" si="620">+IF(AND(AB68&gt;P68,P68&lt;=0,AB68&gt;0),AB68-P68,0)</f>
        <v>0</v>
      </c>
      <c r="IJ68" s="110">
        <f t="shared" ref="IJ68:IJ103" si="621">+IF(AND(AC68&gt;Q68,Q68&lt;=0,AC68&gt;0),AC68-Q68,0)</f>
        <v>0</v>
      </c>
      <c r="IK68" s="110">
        <f t="shared" ref="IK68:IK103" si="622">+IF(AND(AD68&gt;R68,R68&lt;=0,AD68&gt;0),AD68-R68,0)</f>
        <v>0</v>
      </c>
      <c r="IL68" s="110">
        <f t="shared" ref="IL68:IL103" si="623">+IF(AND(AE68&gt;S68,S68&lt;=0,AE68&gt;0),AE68-S68,0)</f>
        <v>0</v>
      </c>
      <c r="IM68" s="110">
        <f t="shared" ref="IM68:IM103" si="624">+IF(AND(AF68&gt;T68,T68&lt;=0,AF68&gt;0),AF68-T68,0)</f>
        <v>0</v>
      </c>
      <c r="IN68" s="110">
        <f t="shared" ref="IN68:IN103" si="625">+IF(AND(AG68&gt;U68,U68&lt;=0,AG68&gt;0),AG68-U68,0)</f>
        <v>185.27</v>
      </c>
      <c r="IO68" s="110">
        <f t="shared" ref="IO68:IO103" si="626">+IF(AND(AH68&gt;V68,V68&lt;=0,AH68&gt;0),AH68-V68,0)</f>
        <v>185.27</v>
      </c>
      <c r="IP68" s="110">
        <f t="shared" ref="IP68:IP103" si="627">+IF(AND(AI68&gt;W68,W68&lt;=0,AI68&gt;0),AI68-W68,0)</f>
        <v>185.27</v>
      </c>
      <c r="IQ68" s="110">
        <f t="shared" ref="IQ68:IQ103" si="628">+IF(AND(AJ68&gt;X68,X68&lt;=0,AJ68&gt;0),AJ68-X68,0)</f>
        <v>185.27</v>
      </c>
      <c r="IR68" s="110">
        <f t="shared" ref="IR68:IR103" si="629">+IF(AND(AK68&gt;Y68,Y68&lt;=0,AK68&gt;0),AK68-Y68,0)</f>
        <v>185.27</v>
      </c>
      <c r="IS68" s="110">
        <f t="shared" ref="IS68:IS103" si="630">+IF(AND(AL68&gt;Z68,Z68&lt;=0,AL68&gt;0),AL68-Z68,0)</f>
        <v>185.27</v>
      </c>
      <c r="IT68" s="110">
        <f t="shared" ref="IT68:IT103" si="631">+IF(AND(AM68&gt;AA68,AA68&lt;=0,AM68&gt;0),AM68-AA68,0)</f>
        <v>185.27</v>
      </c>
      <c r="IV68" s="111">
        <f t="shared" ref="IV68:IV103" si="632">+IF(AND(O68&lt;C68,O68&lt;=0,C68&gt;0),O68-C68,0)</f>
        <v>0</v>
      </c>
      <c r="IW68" s="110">
        <f t="shared" ref="IW68:IW103" si="633">+IF(AND(P68&lt;D68,P68&lt;=0,D68&gt;0),P68-D68,0)</f>
        <v>0</v>
      </c>
      <c r="IX68" s="110">
        <f t="shared" ref="IX68:IX103" si="634">+IF(AND(Q68&lt;E68,Q68&lt;=0,E68&gt;0),Q68-E68,0)</f>
        <v>0</v>
      </c>
      <c r="IY68" s="110">
        <f t="shared" ref="IY68:IY103" si="635">+IF(AND(R68&lt;F68,R68&lt;=0,F68&gt;0),R68-F68,0)</f>
        <v>0</v>
      </c>
      <c r="IZ68" s="110">
        <f t="shared" ref="IZ68:IZ103" si="636">+IF(AND(S68&lt;G68,S68&lt;=0,G68&gt;0),S68-G68,0)</f>
        <v>0</v>
      </c>
      <c r="JA68" s="110">
        <f t="shared" ref="JA68:JA103" si="637">+IF(AND(T68&lt;H68,T68&lt;=0,H68&gt;0),T68-H68,0)</f>
        <v>0</v>
      </c>
      <c r="JB68" s="110">
        <f t="shared" ref="JB68:JB103" si="638">+IF(AND(U68&lt;I68,U68&lt;=0,I68&gt;0),U68-I68,0)</f>
        <v>0</v>
      </c>
      <c r="JC68" s="110">
        <f t="shared" ref="JC68:JC103" si="639">+IF(AND(V68&lt;J68,V68&lt;=0,J68&gt;0),V68-J68,0)</f>
        <v>0</v>
      </c>
      <c r="JD68" s="110">
        <f t="shared" ref="JD68:JD103" si="640">+IF(AND(W68&lt;K68,W68&lt;=0,K68&gt;0),W68-K68,0)</f>
        <v>0</v>
      </c>
      <c r="JE68" s="110">
        <f t="shared" ref="JE68:JE103" si="641">+IF(AND(X68&lt;L68,X68&lt;=0,L68&gt;0),X68-L68,0)</f>
        <v>0</v>
      </c>
      <c r="JF68" s="110">
        <f t="shared" ref="JF68:JF103" si="642">+IF(AND(Y68&lt;M68,Y68&lt;=0,M68&gt;0),Y68-M68,0)</f>
        <v>0</v>
      </c>
      <c r="JG68" s="110">
        <f t="shared" ref="JG68:JG103" si="643">+IF(AND(Z68&lt;N68,Z68&lt;=0,N68&gt;0),Z68-N68,0)</f>
        <v>0</v>
      </c>
      <c r="JH68" s="110">
        <f t="shared" ref="JH68:JH103" si="644">+IF(AND(AA68&lt;O68,AA68&lt;=0,O68&gt;0),AA68-O68,0)</f>
        <v>0</v>
      </c>
      <c r="JI68" s="110">
        <f t="shared" ref="JI68:JI103" si="645">+IF(AND(AB68&lt;P68,AB68&lt;=0,P68&gt;0),AB68-P68,0)</f>
        <v>0</v>
      </c>
      <c r="JJ68" s="110">
        <f t="shared" ref="JJ68:JJ103" si="646">+IF(AND(AC68&lt;Q68,AC68&lt;=0,Q68&gt;0),AC68-Q68,0)</f>
        <v>0</v>
      </c>
      <c r="JK68" s="110">
        <f t="shared" ref="JK68:JK103" si="647">+IF(AND(AD68&lt;R68,AD68&lt;=0,R68&gt;0),AD68-R68,0)</f>
        <v>0</v>
      </c>
      <c r="JL68" s="110">
        <f t="shared" ref="JL68:JL103" si="648">+IF(AND(AE68&lt;S68,AE68&lt;=0,S68&gt;0),AE68-S68,0)</f>
        <v>0</v>
      </c>
      <c r="JM68" s="110">
        <f t="shared" ref="JM68:JM103" si="649">+IF(AND(AF68&lt;T68,AF68&lt;=0,T68&gt;0),AF68-T68,0)</f>
        <v>0</v>
      </c>
      <c r="JN68" s="110">
        <f t="shared" ref="JN68:JN103" si="650">+IF(AND(AG68&lt;U68,AG68&lt;=0,U68&gt;0),AG68-U68,0)</f>
        <v>0</v>
      </c>
      <c r="JO68" s="110">
        <f t="shared" ref="JO68:JO103" si="651">+IF(AND(AH68&lt;V68,AH68&lt;=0,V68&gt;0),AH68-V68,0)</f>
        <v>0</v>
      </c>
      <c r="JP68" s="110">
        <f t="shared" ref="JP68:JP103" si="652">+IF(AND(AI68&lt;W68,AI68&lt;=0,W68&gt;0),AI68-W68,0)</f>
        <v>0</v>
      </c>
      <c r="JQ68" s="110">
        <f t="shared" ref="JQ68:JQ103" si="653">+IF(AND(AJ68&lt;X68,AJ68&lt;=0,X68&gt;0),AJ68-X68,0)</f>
        <v>0</v>
      </c>
      <c r="JR68" s="110">
        <f t="shared" ref="JR68:JR103" si="654">+IF(AND(AK68&lt;Y68,AK68&lt;=0,Y68&gt;0),AK68-Y68,0)</f>
        <v>0</v>
      </c>
      <c r="JS68" s="110">
        <f t="shared" ref="JS68:JS103" si="655">+IF(AND(AL68&lt;Z68,AL68&lt;=0,Z68&gt;0),AL68-Z68,0)</f>
        <v>0</v>
      </c>
      <c r="JT68" s="110">
        <f t="shared" ref="JT68:JT103" si="656">+IF(AND(AM68&lt;AA68,AM68&lt;=0,AA68&gt;0),AM68-AA68,0)</f>
        <v>0</v>
      </c>
      <c r="JV68" s="111">
        <f t="shared" ref="JV68:JV103" si="657">+IF(AND(O68&lt;C68,NOT(AND(C68&gt;0,O68&lt;=0))),O68-C68,0)</f>
        <v>0</v>
      </c>
      <c r="JW68" s="110">
        <f t="shared" ref="JW68:JW103" si="658">+IF(AND(P68&lt;D68,NOT(AND(D68&gt;0,P68&lt;=0))),P68-D68,0)</f>
        <v>0</v>
      </c>
      <c r="JX68" s="110">
        <f t="shared" ref="JX68:JX103" si="659">+IF(AND(Q68&lt;E68,NOT(AND(E68&gt;0,Q68&lt;=0))),Q68-E68,0)</f>
        <v>0</v>
      </c>
      <c r="JY68" s="110">
        <f t="shared" ref="JY68:JY103" si="660">+IF(AND(R68&lt;F68,NOT(AND(F68&gt;0,R68&lt;=0))),R68-F68,0)</f>
        <v>0</v>
      </c>
      <c r="JZ68" s="110">
        <f t="shared" ref="JZ68:JZ103" si="661">+IF(AND(S68&lt;G68,NOT(AND(G68&gt;0,S68&lt;=0))),S68-G68,0)</f>
        <v>0</v>
      </c>
      <c r="KA68" s="110">
        <f t="shared" ref="KA68:KA103" si="662">+IF(AND(T68&lt;H68,NOT(AND(H68&gt;0,T68&lt;=0))),T68-H68,0)</f>
        <v>0</v>
      </c>
      <c r="KB68" s="110">
        <f t="shared" ref="KB68:KB103" si="663">+IF(AND(U68&lt;I68,NOT(AND(I68&gt;0,U68&lt;=0))),U68-I68,0)</f>
        <v>0</v>
      </c>
      <c r="KC68" s="110">
        <f t="shared" ref="KC68:KC103" si="664">+IF(AND(V68&lt;J68,NOT(AND(J68&gt;0,V68&lt;=0))),V68-J68,0)</f>
        <v>0</v>
      </c>
      <c r="KD68" s="110">
        <f t="shared" ref="KD68:KD103" si="665">+IF(AND(W68&lt;K68,NOT(AND(K68&gt;0,W68&lt;=0))),W68-K68,0)</f>
        <v>0</v>
      </c>
      <c r="KE68" s="110">
        <f t="shared" ref="KE68:KE103" si="666">+IF(AND(X68&lt;L68,NOT(AND(L68&gt;0,X68&lt;=0))),X68-L68,0)</f>
        <v>0</v>
      </c>
      <c r="KF68" s="110">
        <f t="shared" ref="KF68:KF103" si="667">+IF(AND(Y68&lt;M68,NOT(AND(M68&gt;0,Y68&lt;=0))),Y68-M68,0)</f>
        <v>0</v>
      </c>
      <c r="KG68" s="110">
        <f t="shared" ref="KG68:KG103" si="668">+IF(AND(Z68&lt;N68,NOT(AND(N68&gt;0,Z68&lt;=0))),Z68-N68,0)</f>
        <v>0</v>
      </c>
      <c r="KH68" s="110">
        <f t="shared" ref="KH68:KH103" si="669">+IF(AND(AA68&lt;O68,NOT(AND(O68&gt;0,AA68&lt;=0))),AA68-O68,0)</f>
        <v>0</v>
      </c>
      <c r="KI68" s="110">
        <f t="shared" ref="KI68:KI103" si="670">+IF(AND(AB68&lt;P68,NOT(AND(P68&gt;0,AB68&lt;=0))),AB68-P68,0)</f>
        <v>0</v>
      </c>
      <c r="KJ68" s="110">
        <f t="shared" ref="KJ68:KJ103" si="671">+IF(AND(AC68&lt;Q68,NOT(AND(Q68&gt;0,AC68&lt;=0))),AC68-Q68,0)</f>
        <v>0</v>
      </c>
      <c r="KK68" s="110">
        <f t="shared" ref="KK68:KK103" si="672">+IF(AND(AD68&lt;R68,NOT(AND(R68&gt;0,AD68&lt;=0))),AD68-R68,0)</f>
        <v>0</v>
      </c>
      <c r="KL68" s="110">
        <f t="shared" ref="KL68:KL103" si="673">+IF(AND(AE68&lt;S68,NOT(AND(S68&gt;0,AE68&lt;=0))),AE68-S68,0)</f>
        <v>0</v>
      </c>
      <c r="KM68" s="110">
        <f t="shared" ref="KM68:KM103" si="674">+IF(AND(AF68&lt;T68,NOT(AND(T68&gt;0,AF68&lt;=0))),AF68-T68,0)</f>
        <v>0</v>
      </c>
      <c r="KN68" s="110">
        <f t="shared" ref="KN68:KN103" si="675">+IF(AND(AG68&lt;U68,NOT(AND(U68&gt;0,AG68&lt;=0))),AG68-U68,0)</f>
        <v>0</v>
      </c>
      <c r="KO68" s="110">
        <f t="shared" ref="KO68:KO103" si="676">+IF(AND(AH68&lt;V68,NOT(AND(V68&gt;0,AH68&lt;=0))),AH68-V68,0)</f>
        <v>0</v>
      </c>
      <c r="KP68" s="110">
        <f t="shared" ref="KP68:KP103" si="677">+IF(AND(AI68&lt;W68,NOT(AND(W68&gt;0,AI68&lt;=0))),AI68-W68,0)</f>
        <v>0</v>
      </c>
      <c r="KQ68" s="110">
        <f t="shared" ref="KQ68:KQ103" si="678">+IF(AND(AJ68&lt;X68,NOT(AND(X68&gt;0,AJ68&lt;=0))),AJ68-X68,0)</f>
        <v>0</v>
      </c>
      <c r="KR68" s="110">
        <f t="shared" ref="KR68:KR103" si="679">+IF(AND(AK68&lt;Y68,NOT(AND(Y68&gt;0,AK68&lt;=0))),AK68-Y68,0)</f>
        <v>0</v>
      </c>
      <c r="KS68" s="110">
        <f t="shared" ref="KS68:KS103" si="680">+IF(AND(AL68&lt;Z68,NOT(AND(Z68&gt;0,AL68&lt;=0))),AL68-Z68,0)</f>
        <v>0</v>
      </c>
      <c r="KT68" s="110">
        <f t="shared" ref="KT68:KT103" si="681">+IF(AND(AM68&lt;AA68,NOT(AND(AA68&gt;0,AM68&lt;=0))),AM68-AA68,0)</f>
        <v>0</v>
      </c>
      <c r="KV68" s="111">
        <f t="shared" ref="KV68:KV103" si="682">+IF(AND(O68&gt;C68,NOT(AND(C68&lt;=0,O68&gt;0))),O68-C68,0)</f>
        <v>0</v>
      </c>
      <c r="KW68" s="110">
        <f t="shared" ref="KW68:KW103" si="683">+IF(AND(P68&gt;D68,NOT(AND(D68&lt;=0,P68&gt;0))),P68-D68,0)</f>
        <v>0</v>
      </c>
      <c r="KX68" s="110">
        <f t="shared" ref="KX68:KX103" si="684">+IF(AND(Q68&gt;E68,NOT(AND(E68&lt;=0,Q68&gt;0))),Q68-E68,0)</f>
        <v>0</v>
      </c>
      <c r="KY68" s="110">
        <f t="shared" ref="KY68:KY103" si="685">+IF(AND(R68&gt;F68,NOT(AND(F68&lt;=0,R68&gt;0))),R68-F68,0)</f>
        <v>0</v>
      </c>
      <c r="KZ68" s="110">
        <f t="shared" ref="KZ68:KZ103" si="686">+IF(AND(S68&gt;G68,NOT(AND(G68&lt;=0,S68&gt;0))),S68-G68,0)</f>
        <v>0</v>
      </c>
      <c r="LA68" s="110">
        <f t="shared" ref="LA68:LA103" si="687">+IF(AND(T68&gt;H68,NOT(AND(H68&lt;=0,T68&gt;0))),T68-H68,0)</f>
        <v>0</v>
      </c>
      <c r="LB68" s="110">
        <f t="shared" ref="LB68:LB103" si="688">+IF(AND(U68&gt;I68,NOT(AND(I68&lt;=0,U68&gt;0))),U68-I68,0)</f>
        <v>0</v>
      </c>
      <c r="LC68" s="110">
        <f t="shared" ref="LC68:LC103" si="689">+IF(AND(V68&gt;J68,NOT(AND(J68&lt;=0,V68&gt;0))),V68-J68,0)</f>
        <v>0</v>
      </c>
      <c r="LD68" s="110">
        <f t="shared" ref="LD68:LD103" si="690">+IF(AND(W68&gt;K68,NOT(AND(K68&lt;=0,W68&gt;0))),W68-K68,0)</f>
        <v>0</v>
      </c>
      <c r="LE68" s="110">
        <f t="shared" ref="LE68:LE103" si="691">+IF(AND(X68&gt;L68,NOT(AND(L68&lt;=0,X68&gt;0))),X68-L68,0)</f>
        <v>0</v>
      </c>
      <c r="LF68" s="110">
        <f t="shared" ref="LF68:LF103" si="692">+IF(AND(Y68&gt;M68,NOT(AND(M68&lt;=0,Y68&gt;0))),Y68-M68,0)</f>
        <v>0</v>
      </c>
      <c r="LG68" s="110">
        <f t="shared" ref="LG68:LG103" si="693">+IF(AND(Z68&gt;N68,NOT(AND(N68&lt;=0,Z68&gt;0))),Z68-N68,0)</f>
        <v>0</v>
      </c>
      <c r="LH68" s="110">
        <f t="shared" ref="LH68:LH103" si="694">+IF(AND(AA68&gt;O68,NOT(AND(O68&lt;=0,AA68&gt;0))),AA68-O68,0)</f>
        <v>0</v>
      </c>
      <c r="LI68" s="110">
        <f t="shared" ref="LI68:LI103" si="695">+IF(AND(AB68&gt;P68,NOT(AND(P68&lt;=0,AB68&gt;0))),AB68-P68,0)</f>
        <v>0</v>
      </c>
      <c r="LJ68" s="110">
        <f t="shared" ref="LJ68:LJ103" si="696">+IF(AND(AC68&gt;Q68,NOT(AND(Q68&lt;=0,AC68&gt;0))),AC68-Q68,0)</f>
        <v>0</v>
      </c>
      <c r="LK68" s="110">
        <f t="shared" ref="LK68:LK103" si="697">+IF(AND(AD68&gt;R68,NOT(AND(R68&lt;=0,AD68&gt;0))),AD68-R68,0)</f>
        <v>0</v>
      </c>
      <c r="LL68" s="110">
        <f t="shared" ref="LL68:LL103" si="698">+IF(AND(AE68&gt;S68,NOT(AND(S68&lt;=0,AE68&gt;0))),AE68-S68,0)</f>
        <v>0</v>
      </c>
      <c r="LM68" s="110">
        <f t="shared" ref="LM68:LM103" si="699">+IF(AND(AF68&gt;T68,NOT(AND(T68&lt;=0,AF68&gt;0))),AF68-T68,0)</f>
        <v>0</v>
      </c>
      <c r="LN68" s="110">
        <f t="shared" ref="LN68:LN103" si="700">+IF(AND(AG68&gt;U68,NOT(AND(U68&lt;=0,AG68&gt;0))),AG68-U68,0)</f>
        <v>0</v>
      </c>
      <c r="LO68" s="110">
        <f t="shared" ref="LO68:LO103" si="701">+IF(AND(AH68&gt;V68,NOT(AND(V68&lt;=0,AH68&gt;0))),AH68-V68,0)</f>
        <v>0</v>
      </c>
      <c r="LP68" s="110">
        <f t="shared" ref="LP68:LP103" si="702">+IF(AND(AI68&gt;W68,NOT(AND(W68&lt;=0,AI68&gt;0))),AI68-W68,0)</f>
        <v>0</v>
      </c>
      <c r="LQ68" s="110">
        <f t="shared" ref="LQ68:LQ103" si="703">+IF(AND(AJ68&gt;X68,NOT(AND(X68&lt;=0,AJ68&gt;0))),AJ68-X68,0)</f>
        <v>0</v>
      </c>
      <c r="LR68" s="110">
        <f t="shared" ref="LR68:LR103" si="704">+IF(AND(AK68&gt;Y68,NOT(AND(Y68&lt;=0,AK68&gt;0))),AK68-Y68,0)</f>
        <v>0</v>
      </c>
      <c r="LS68" s="110">
        <f t="shared" ref="LS68:LS103" si="705">+IF(AND(AL68&gt;Z68,NOT(AND(Z68&lt;=0,AL68&gt;0))),AL68-Z68,0)</f>
        <v>0</v>
      </c>
      <c r="LT68" s="110">
        <f t="shared" ref="LT68:LT103" si="706">+IF(AND(AM68&gt;AA68,NOT(AND(AA68&lt;=0,AM68&gt;0))),AM68-AA68,0)</f>
        <v>0</v>
      </c>
      <c r="LV68" s="111"/>
      <c r="LW68" s="110">
        <f t="shared" ref="LW68:LW103" si="707">+IF(((HW68&lt;&gt;0)+(IW68&lt;&gt;0)+(JW68&lt;&gt;0)+(KW68&lt;&gt;0))&gt;1,1,0)</f>
        <v>0</v>
      </c>
      <c r="LX68" s="110">
        <f t="shared" ref="LX68:LX103" si="708">+IF(((HX68&lt;&gt;0)+(IX68&lt;&gt;0)+(JX68&lt;&gt;0)+(KX68&lt;&gt;0))&gt;1,1,0)</f>
        <v>0</v>
      </c>
      <c r="LY68" s="110">
        <f t="shared" ref="LY68:LY103" si="709">+IF(((HY68&lt;&gt;0)+(IY68&lt;&gt;0)+(JY68&lt;&gt;0)+(KY68&lt;&gt;0))&gt;1,1,0)</f>
        <v>0</v>
      </c>
      <c r="LZ68" s="110">
        <f t="shared" ref="LZ68:LZ103" si="710">+IF(((HZ68&lt;&gt;0)+(IZ68&lt;&gt;0)+(JZ68&lt;&gt;0)+(KZ68&lt;&gt;0))&gt;1,1,0)</f>
        <v>0</v>
      </c>
      <c r="MA68" s="110">
        <f t="shared" ref="MA68:MA103" si="711">+IF(((IA68&lt;&gt;0)+(JA68&lt;&gt;0)+(KA68&lt;&gt;0)+(LA68&lt;&gt;0))&gt;1,1,0)</f>
        <v>0</v>
      </c>
      <c r="MB68" s="110">
        <f t="shared" ref="MB68:MB103" si="712">+IF(((IB68&lt;&gt;0)+(JB68&lt;&gt;0)+(KB68&lt;&gt;0)+(LB68&lt;&gt;0))&gt;1,1,0)</f>
        <v>0</v>
      </c>
      <c r="MC68" s="110">
        <f t="shared" ref="MC68:MC103" si="713">+IF(((IC68&lt;&gt;0)+(JC68&lt;&gt;0)+(KC68&lt;&gt;0)+(LC68&lt;&gt;0))&gt;1,1,0)</f>
        <v>0</v>
      </c>
      <c r="MD68" s="110">
        <f t="shared" ref="MD68:MD103" si="714">+IF(((ID68&lt;&gt;0)+(JD68&lt;&gt;0)+(KD68&lt;&gt;0)+(LD68&lt;&gt;0))&gt;1,1,0)</f>
        <v>0</v>
      </c>
      <c r="ME68" s="110">
        <f t="shared" ref="ME68:ME103" si="715">+IF(((IE68&lt;&gt;0)+(JE68&lt;&gt;0)+(KE68&lt;&gt;0)+(LE68&lt;&gt;0))&gt;1,1,0)</f>
        <v>0</v>
      </c>
      <c r="MF68" s="110">
        <f t="shared" ref="MF68:MF103" si="716">+IF(((IF68&lt;&gt;0)+(JF68&lt;&gt;0)+(KF68&lt;&gt;0)+(LF68&lt;&gt;0))&gt;1,1,0)</f>
        <v>0</v>
      </c>
      <c r="MG68" s="110">
        <f t="shared" ref="MG68:MG103" si="717">+IF(((IG68&lt;&gt;0)+(JG68&lt;&gt;0)+(KG68&lt;&gt;0)+(LG68&lt;&gt;0))&gt;1,1,0)</f>
        <v>0</v>
      </c>
      <c r="MH68" s="110">
        <f t="shared" ref="MH68:MH103" si="718">+IF(((IH68&lt;&gt;0)+(JH68&lt;&gt;0)+(KH68&lt;&gt;0)+(LH68&lt;&gt;0))&gt;1,1,0)</f>
        <v>0</v>
      </c>
      <c r="MI68" s="110">
        <f t="shared" ref="MI68:MI103" si="719">+IF(((II68&lt;&gt;0)+(JI68&lt;&gt;0)+(KI68&lt;&gt;0)+(LI68&lt;&gt;0))&gt;1,1,0)</f>
        <v>0</v>
      </c>
      <c r="MJ68" s="110">
        <f t="shared" ref="MJ68:MJ103" si="720">+IF(((IJ68&lt;&gt;0)+(JJ68&lt;&gt;0)+(KJ68&lt;&gt;0)+(LJ68&lt;&gt;0))&gt;1,1,0)</f>
        <v>0</v>
      </c>
      <c r="MK68" s="110">
        <f t="shared" ref="MK68:MK103" si="721">+IF(((IK68&lt;&gt;0)+(JK68&lt;&gt;0)+(KK68&lt;&gt;0)+(LK68&lt;&gt;0))&gt;1,1,0)</f>
        <v>0</v>
      </c>
      <c r="ML68" s="110">
        <f t="shared" ref="ML68:ML103" si="722">+IF(((IL68&lt;&gt;0)+(JL68&lt;&gt;0)+(KL68&lt;&gt;0)+(LL68&lt;&gt;0))&gt;1,1,0)</f>
        <v>0</v>
      </c>
      <c r="MM68" s="110">
        <f t="shared" ref="MM68:MM103" si="723">+IF(((IM68&lt;&gt;0)+(JM68&lt;&gt;0)+(KM68&lt;&gt;0)+(LM68&lt;&gt;0))&gt;1,1,0)</f>
        <v>0</v>
      </c>
      <c r="MN68" s="110">
        <f t="shared" ref="MN68:MN103" si="724">+IF(((IN68&lt;&gt;0)+(JN68&lt;&gt;0)+(KN68&lt;&gt;0)+(LN68&lt;&gt;0))&gt;1,1,0)</f>
        <v>0</v>
      </c>
      <c r="MO68" s="110">
        <f t="shared" ref="MO68:MO103" si="725">+IF(((IO68&lt;&gt;0)+(JO68&lt;&gt;0)+(KO68&lt;&gt;0)+(LO68&lt;&gt;0))&gt;1,1,0)</f>
        <v>0</v>
      </c>
      <c r="MP68" s="110">
        <f t="shared" ref="MP68:MP103" si="726">+IF(((IP68&lt;&gt;0)+(JP68&lt;&gt;0)+(KP68&lt;&gt;0)+(LP68&lt;&gt;0))&gt;1,1,0)</f>
        <v>0</v>
      </c>
      <c r="MQ68" s="110">
        <f t="shared" ref="MQ68:MQ103" si="727">+IF(((IQ68&lt;&gt;0)+(JQ68&lt;&gt;0)+(KQ68&lt;&gt;0)+(LQ68&lt;&gt;0))&gt;1,1,0)</f>
        <v>0</v>
      </c>
      <c r="MR68" s="110">
        <f t="shared" ref="MR68:MR103" si="728">+IF(((IR68&lt;&gt;0)+(JR68&lt;&gt;0)+(KR68&lt;&gt;0)+(LR68&lt;&gt;0))&gt;1,1,0)</f>
        <v>0</v>
      </c>
      <c r="MS68" s="110">
        <f t="shared" ref="MS68:MS103" si="729">+IF(((IS68&lt;&gt;0)+(JS68&lt;&gt;0)+(KS68&lt;&gt;0)+(LS68&lt;&gt;0))&gt;1,1,0)</f>
        <v>0</v>
      </c>
      <c r="MT68" s="110">
        <f t="shared" ref="MT68:MT103" si="730">+IF(((IT68&lt;&gt;0)+(JT68&lt;&gt;0)+(KT68&lt;&gt;0)+(LT68&lt;&gt;0))&gt;1,1,0)</f>
        <v>0</v>
      </c>
      <c r="MV68" s="114">
        <v>185.27</v>
      </c>
      <c r="MW68" s="114">
        <v>185.27</v>
      </c>
      <c r="MX68" s="114">
        <v>0</v>
      </c>
      <c r="MY68" s="114">
        <v>0</v>
      </c>
      <c r="MZ68" s="114">
        <v>0</v>
      </c>
      <c r="NB68" s="115">
        <v>61</v>
      </c>
      <c r="NC68" s="115">
        <v>6</v>
      </c>
      <c r="ND68" s="115" t="str">
        <v>N/A</v>
      </c>
      <c r="NE68" s="115" t="str">
        <v>N/A</v>
      </c>
      <c r="NF68" s="115" t="str">
        <v>N/A</v>
      </c>
    </row>
    <row r="69" spans="2:370" ht="13.5" x14ac:dyDescent="0.25">
      <c r="B69" s="8">
        <f t="shared" si="252"/>
        <v>66</v>
      </c>
      <c r="C69" s="7">
        <v>0</v>
      </c>
      <c r="D69" s="7">
        <v>0</v>
      </c>
      <c r="E69" s="7">
        <v>0</v>
      </c>
      <c r="F69" s="7">
        <v>0</v>
      </c>
      <c r="G69" s="7">
        <v>0</v>
      </c>
      <c r="H69" s="7">
        <v>0</v>
      </c>
      <c r="I69" s="7">
        <v>0</v>
      </c>
      <c r="J69" s="7">
        <v>0</v>
      </c>
      <c r="K69" s="7">
        <v>0</v>
      </c>
      <c r="L69" s="7">
        <v>0</v>
      </c>
      <c r="M69" s="7">
        <v>0</v>
      </c>
      <c r="N69" s="7">
        <v>0</v>
      </c>
      <c r="O69" s="7">
        <v>0</v>
      </c>
      <c r="P69" s="7">
        <v>0</v>
      </c>
      <c r="Q69" s="7">
        <v>0</v>
      </c>
      <c r="R69" s="7">
        <v>0</v>
      </c>
      <c r="S69" s="7">
        <v>0</v>
      </c>
      <c r="T69" s="7">
        <v>0</v>
      </c>
      <c r="U69" s="7">
        <v>0</v>
      </c>
      <c r="V69" s="7">
        <v>0</v>
      </c>
      <c r="W69" s="7">
        <v>0</v>
      </c>
      <c r="X69" s="7">
        <v>0</v>
      </c>
      <c r="Y69" s="7">
        <v>0</v>
      </c>
      <c r="Z69" s="7">
        <v>0</v>
      </c>
      <c r="AA69" s="7">
        <v>0</v>
      </c>
      <c r="AB69" s="7">
        <v>0</v>
      </c>
      <c r="AC69" s="7">
        <v>0</v>
      </c>
      <c r="AD69" s="7">
        <v>0</v>
      </c>
      <c r="AE69" s="7">
        <v>0</v>
      </c>
      <c r="AF69" s="7">
        <v>0</v>
      </c>
      <c r="AG69" s="7">
        <v>0</v>
      </c>
      <c r="AH69" s="7">
        <v>0</v>
      </c>
      <c r="AI69" s="7">
        <v>0</v>
      </c>
      <c r="AJ69" s="7">
        <v>0</v>
      </c>
      <c r="AK69" s="7">
        <v>0</v>
      </c>
      <c r="AL69" s="7">
        <v>0</v>
      </c>
      <c r="AM69" s="7">
        <v>0</v>
      </c>
      <c r="AN69" s="27">
        <v>66</v>
      </c>
      <c r="AP69" s="111"/>
      <c r="AQ69" s="110">
        <f t="shared" si="492"/>
        <v>0</v>
      </c>
      <c r="AR69" s="110">
        <f t="shared" si="493"/>
        <v>0</v>
      </c>
      <c r="AS69" s="110">
        <f t="shared" si="494"/>
        <v>0</v>
      </c>
      <c r="AT69" s="110">
        <f t="shared" si="495"/>
        <v>0</v>
      </c>
      <c r="AU69" s="110">
        <f t="shared" si="496"/>
        <v>0</v>
      </c>
      <c r="AV69" s="110">
        <f t="shared" si="497"/>
        <v>0</v>
      </c>
      <c r="AW69" s="110">
        <f t="shared" si="498"/>
        <v>0</v>
      </c>
      <c r="AX69" s="110">
        <f t="shared" si="499"/>
        <v>0</v>
      </c>
      <c r="AY69" s="110">
        <f t="shared" si="500"/>
        <v>0</v>
      </c>
      <c r="AZ69" s="110">
        <f t="shared" si="501"/>
        <v>0</v>
      </c>
      <c r="BA69" s="110">
        <f t="shared" si="502"/>
        <v>0</v>
      </c>
      <c r="BB69" s="110">
        <f t="shared" si="503"/>
        <v>0</v>
      </c>
      <c r="BD69" s="109" t="str" cm="1">
        <f t="array" ref="BD69">+IFERROR(INDEX($C$3:$AM$3,MATCH(TRUE,INDEX($C69:$AM69&lt;&gt;0,0),0)),"N/A")</f>
        <v>N/A</v>
      </c>
      <c r="BE69" s="112"/>
      <c r="BF69" s="1" t="str" cm="1">
        <f t="array" ref="BF69">+_xlfn.IFS(BT69&lt;&gt;0,BT$2,CH69&lt;&gt;0,CH$2,CV69&lt;&gt;0,CV$2,DJ69&lt;&gt;0,DJ$2,TRUE,"")</f>
        <v/>
      </c>
      <c r="BG69" s="1" t="str" cm="1">
        <f t="array" ref="BG69">+_xlfn.IFS(BU69&lt;&gt;0,BU$2,CI69&lt;&gt;0,CI$2,CW69&lt;&gt;0,CW$2,DK69&lt;&gt;0,DK$2,TRUE,"")</f>
        <v/>
      </c>
      <c r="BH69" s="1" t="str" cm="1">
        <f t="array" ref="BH69">+_xlfn.IFS(BV69&lt;&gt;0,BV$2,CJ69&lt;&gt;0,CJ$2,CX69&lt;&gt;0,CX$2,DL69&lt;&gt;0,DL$2,TRUE,"")</f>
        <v/>
      </c>
      <c r="BI69" s="1" t="str" cm="1">
        <f t="array" ref="BI69">+_xlfn.IFS(BW69&lt;&gt;0,BW$2,CK69&lt;&gt;0,CK$2,CY69&lt;&gt;0,CY$2,DM69&lt;&gt;0,DM$2,TRUE,"")</f>
        <v/>
      </c>
      <c r="BJ69" s="1" t="str" cm="1">
        <f t="array" ref="BJ69">+_xlfn.IFS(BX69&lt;&gt;0,BX$2,CL69&lt;&gt;0,CL$2,CZ69&lt;&gt;0,CZ$2,DN69&lt;&gt;0,DN$2,TRUE,"")</f>
        <v/>
      </c>
      <c r="BK69" s="1" t="str" cm="1">
        <f t="array" ref="BK69">+_xlfn.IFS(BY69&lt;&gt;0,BY$2,CM69&lt;&gt;0,CM$2,DA69&lt;&gt;0,DA$2,DO69&lt;&gt;0,DO$2,TRUE,"")</f>
        <v/>
      </c>
      <c r="BL69" s="1" t="str" cm="1">
        <f t="array" ref="BL69">+_xlfn.IFS(BZ69&lt;&gt;0,BZ$2,CN69&lt;&gt;0,CN$2,DB69&lt;&gt;0,DB$2,DP69&lt;&gt;0,DP$2,TRUE,"")</f>
        <v/>
      </c>
      <c r="BM69" s="1" t="str" cm="1">
        <f t="array" ref="BM69">+_xlfn.IFS(CA69&lt;&gt;0,CA$2,CO69&lt;&gt;0,CO$2,DC69&lt;&gt;0,DC$2,DQ69&lt;&gt;0,DQ$2,TRUE,"")</f>
        <v/>
      </c>
      <c r="BN69" s="1" t="str" cm="1">
        <f t="array" ref="BN69">+_xlfn.IFS(CB69&lt;&gt;0,CB$2,CP69&lt;&gt;0,CP$2,DD69&lt;&gt;0,DD$2,DR69&lt;&gt;0,DR$2,TRUE,"")</f>
        <v/>
      </c>
      <c r="BO69" s="1" t="str" cm="1">
        <f t="array" ref="BO69">+_xlfn.IFS(CC69&lt;&gt;0,CC$2,CQ69&lt;&gt;0,CQ$2,DE69&lt;&gt;0,DE$2,DS69&lt;&gt;0,DS$2,TRUE,"")</f>
        <v/>
      </c>
      <c r="BP69" s="1" t="str" cm="1">
        <f t="array" ref="BP69">+_xlfn.IFS(CD69&lt;&gt;0,CD$2,CR69&lt;&gt;0,CR$2,DF69&lt;&gt;0,DF$2,DT69&lt;&gt;0,DT$2,TRUE,"")</f>
        <v/>
      </c>
      <c r="BQ69" s="1" t="str" cm="1">
        <f t="array" ref="BQ69">+_xlfn.IFS(CE69&lt;&gt;0,CE$2,CS69&lt;&gt;0,CS$2,DG69&lt;&gt;0,DG$2,DU69&lt;&gt;0,DU$2,TRUE,"")</f>
        <v/>
      </c>
      <c r="BS69" s="111"/>
      <c r="BT69" s="110">
        <f t="shared" si="504"/>
        <v>0</v>
      </c>
      <c r="BU69" s="110">
        <f t="shared" si="505"/>
        <v>0</v>
      </c>
      <c r="BV69" s="110">
        <f t="shared" si="506"/>
        <v>0</v>
      </c>
      <c r="BW69" s="110">
        <f t="shared" si="507"/>
        <v>0</v>
      </c>
      <c r="BX69" s="110">
        <f t="shared" si="508"/>
        <v>0</v>
      </c>
      <c r="BY69" s="110">
        <f t="shared" si="509"/>
        <v>0</v>
      </c>
      <c r="BZ69" s="110">
        <f t="shared" si="510"/>
        <v>0</v>
      </c>
      <c r="CA69" s="110">
        <f t="shared" si="511"/>
        <v>0</v>
      </c>
      <c r="CB69" s="110">
        <f t="shared" si="512"/>
        <v>0</v>
      </c>
      <c r="CC69" s="110">
        <f t="shared" si="513"/>
        <v>0</v>
      </c>
      <c r="CD69" s="110">
        <f t="shared" si="514"/>
        <v>0</v>
      </c>
      <c r="CE69" s="110">
        <f t="shared" si="515"/>
        <v>0</v>
      </c>
      <c r="CG69" s="111"/>
      <c r="CH69" s="110">
        <f t="shared" si="516"/>
        <v>0</v>
      </c>
      <c r="CI69" s="110">
        <f t="shared" si="517"/>
        <v>0</v>
      </c>
      <c r="CJ69" s="110">
        <f t="shared" si="518"/>
        <v>0</v>
      </c>
      <c r="CK69" s="110">
        <f t="shared" si="519"/>
        <v>0</v>
      </c>
      <c r="CL69" s="110">
        <f t="shared" si="520"/>
        <v>0</v>
      </c>
      <c r="CM69" s="110">
        <f t="shared" si="521"/>
        <v>0</v>
      </c>
      <c r="CN69" s="110">
        <f t="shared" si="522"/>
        <v>0</v>
      </c>
      <c r="CO69" s="110">
        <f t="shared" si="523"/>
        <v>0</v>
      </c>
      <c r="CP69" s="110">
        <f t="shared" si="524"/>
        <v>0</v>
      </c>
      <c r="CQ69" s="110">
        <f t="shared" si="525"/>
        <v>0</v>
      </c>
      <c r="CR69" s="110">
        <f t="shared" si="526"/>
        <v>0</v>
      </c>
      <c r="CS69" s="110">
        <f t="shared" si="527"/>
        <v>0</v>
      </c>
      <c r="CU69" s="111"/>
      <c r="CV69" s="110">
        <f t="shared" si="528"/>
        <v>0</v>
      </c>
      <c r="CW69" s="110">
        <f t="shared" si="529"/>
        <v>0</v>
      </c>
      <c r="CX69" s="110">
        <f t="shared" si="530"/>
        <v>0</v>
      </c>
      <c r="CY69" s="110">
        <f t="shared" si="531"/>
        <v>0</v>
      </c>
      <c r="CZ69" s="110">
        <f t="shared" si="532"/>
        <v>0</v>
      </c>
      <c r="DA69" s="110">
        <f t="shared" si="533"/>
        <v>0</v>
      </c>
      <c r="DB69" s="110">
        <f t="shared" si="534"/>
        <v>0</v>
      </c>
      <c r="DC69" s="110">
        <f t="shared" si="535"/>
        <v>0</v>
      </c>
      <c r="DD69" s="110">
        <f t="shared" si="536"/>
        <v>0</v>
      </c>
      <c r="DE69" s="110">
        <f t="shared" si="537"/>
        <v>0</v>
      </c>
      <c r="DF69" s="110">
        <f t="shared" si="538"/>
        <v>0</v>
      </c>
      <c r="DG69" s="110">
        <f t="shared" si="539"/>
        <v>0</v>
      </c>
      <c r="DI69" s="111"/>
      <c r="DJ69" s="110">
        <f t="shared" si="540"/>
        <v>0</v>
      </c>
      <c r="DK69" s="110">
        <f t="shared" si="541"/>
        <v>0</v>
      </c>
      <c r="DL69" s="110">
        <f t="shared" si="542"/>
        <v>0</v>
      </c>
      <c r="DM69" s="110">
        <f t="shared" si="543"/>
        <v>0</v>
      </c>
      <c r="DN69" s="110">
        <f t="shared" si="544"/>
        <v>0</v>
      </c>
      <c r="DO69" s="110">
        <f t="shared" si="545"/>
        <v>0</v>
      </c>
      <c r="DP69" s="110">
        <f t="shared" si="546"/>
        <v>0</v>
      </c>
      <c r="DQ69" s="110">
        <f t="shared" si="547"/>
        <v>0</v>
      </c>
      <c r="DR69" s="110">
        <f t="shared" si="548"/>
        <v>0</v>
      </c>
      <c r="DS69" s="110">
        <f t="shared" si="549"/>
        <v>0</v>
      </c>
      <c r="DT69" s="110">
        <f t="shared" si="550"/>
        <v>0</v>
      </c>
      <c r="DU69" s="110">
        <f t="shared" si="551"/>
        <v>0</v>
      </c>
      <c r="DW69" s="111"/>
      <c r="DX69" s="110">
        <f t="shared" si="552"/>
        <v>0</v>
      </c>
      <c r="DY69" s="110">
        <f t="shared" si="553"/>
        <v>0</v>
      </c>
      <c r="DZ69" s="110">
        <f t="shared" si="554"/>
        <v>0</v>
      </c>
      <c r="EA69" s="110">
        <f t="shared" si="555"/>
        <v>0</v>
      </c>
      <c r="EB69" s="110">
        <f t="shared" si="556"/>
        <v>0</v>
      </c>
      <c r="EC69" s="110">
        <f t="shared" si="557"/>
        <v>0</v>
      </c>
      <c r="ED69" s="110">
        <f t="shared" si="558"/>
        <v>0</v>
      </c>
      <c r="EE69" s="110">
        <f t="shared" si="559"/>
        <v>0</v>
      </c>
      <c r="EF69" s="110">
        <f t="shared" si="560"/>
        <v>0</v>
      </c>
      <c r="EG69" s="110">
        <f t="shared" si="561"/>
        <v>0</v>
      </c>
      <c r="EH69" s="110">
        <f t="shared" si="562"/>
        <v>0</v>
      </c>
      <c r="EI69" s="110">
        <f t="shared" si="563"/>
        <v>0</v>
      </c>
      <c r="EK69" s="111"/>
      <c r="EL69" s="110">
        <f t="shared" si="564"/>
        <v>0</v>
      </c>
      <c r="EM69" s="110">
        <f t="shared" si="565"/>
        <v>0</v>
      </c>
      <c r="EN69" s="110">
        <f t="shared" si="566"/>
        <v>0</v>
      </c>
      <c r="EP69" s="109" t="str" cm="1">
        <f t="array" ref="EP69">+IFERROR(INDEX($C$3:$AM$3,MATCH(TRUE,INDEX($C69:$AM69&lt;&gt;0,0),0)),"N/A")</f>
        <v>N/A</v>
      </c>
      <c r="EQ69" s="112"/>
      <c r="ER69" s="1" t="str" cm="1">
        <f t="array" ref="ER69">+_xlfn.IFS(EW69&lt;&gt;0,EW$2,FB69&lt;&gt;0,FB$2,FG69&lt;&gt;0,FG$2,FL69&lt;&gt;0,FL$2,TRUE,"")</f>
        <v/>
      </c>
      <c r="ES69" s="1" t="str" cm="1">
        <f t="array" ref="ES69">+_xlfn.IFS(EX69&lt;&gt;0,EX$2,FC69&lt;&gt;0,FC$2,FH69&lt;&gt;0,FH$2,FM69&lt;&gt;0,FM$2,TRUE,"")</f>
        <v/>
      </c>
      <c r="ET69" s="1" t="str" cm="1">
        <f t="array" ref="ET69">+_xlfn.IFS(EY69&lt;&gt;0,EY$2,FD69&lt;&gt;0,FD$2,FI69&lt;&gt;0,FI$2,FN69&lt;&gt;0,FN$2,TRUE,"")</f>
        <v/>
      </c>
      <c r="EV69" s="111"/>
      <c r="EW69" s="110">
        <f t="shared" si="567"/>
        <v>0</v>
      </c>
      <c r="EX69" s="110">
        <f t="shared" si="568"/>
        <v>0</v>
      </c>
      <c r="EY69" s="110">
        <f t="shared" si="569"/>
        <v>0</v>
      </c>
      <c r="FA69" s="111"/>
      <c r="FB69" s="110">
        <f t="shared" si="570"/>
        <v>0</v>
      </c>
      <c r="FC69" s="110">
        <f t="shared" si="571"/>
        <v>0</v>
      </c>
      <c r="FD69" s="110">
        <f t="shared" si="572"/>
        <v>0</v>
      </c>
      <c r="FF69" s="111"/>
      <c r="FG69" s="110">
        <f t="shared" si="573"/>
        <v>0</v>
      </c>
      <c r="FH69" s="110">
        <f t="shared" si="574"/>
        <v>0</v>
      </c>
      <c r="FI69" s="110">
        <f t="shared" si="575"/>
        <v>0</v>
      </c>
      <c r="FK69" s="111"/>
      <c r="FL69" s="110">
        <f t="shared" si="576"/>
        <v>0</v>
      </c>
      <c r="FM69" s="110">
        <f t="shared" si="577"/>
        <v>0</v>
      </c>
      <c r="FN69" s="110">
        <f t="shared" si="578"/>
        <v>0</v>
      </c>
      <c r="FP69" s="111"/>
      <c r="FQ69" s="110">
        <f t="shared" si="579"/>
        <v>0</v>
      </c>
      <c r="FR69" s="110">
        <f t="shared" si="580"/>
        <v>0</v>
      </c>
      <c r="FS69" s="110">
        <f t="shared" si="581"/>
        <v>0</v>
      </c>
      <c r="FU69" s="111">
        <f t="shared" si="582"/>
        <v>0</v>
      </c>
      <c r="FV69" s="110">
        <f t="shared" si="583"/>
        <v>0</v>
      </c>
      <c r="FW69" s="110">
        <f t="shared" si="584"/>
        <v>0</v>
      </c>
      <c r="FX69" s="110">
        <f t="shared" si="585"/>
        <v>0</v>
      </c>
      <c r="FY69" s="110">
        <f t="shared" si="586"/>
        <v>0</v>
      </c>
      <c r="FZ69" s="110">
        <f t="shared" si="587"/>
        <v>0</v>
      </c>
      <c r="GA69" s="110">
        <f t="shared" si="588"/>
        <v>0</v>
      </c>
      <c r="GB69" s="110">
        <f t="shared" si="589"/>
        <v>0</v>
      </c>
      <c r="GC69" s="110">
        <f t="shared" si="590"/>
        <v>0</v>
      </c>
      <c r="GD69" s="110">
        <f t="shared" si="591"/>
        <v>0</v>
      </c>
      <c r="GE69" s="110">
        <f t="shared" si="592"/>
        <v>0</v>
      </c>
      <c r="GF69" s="110">
        <f t="shared" si="593"/>
        <v>0</v>
      </c>
      <c r="GG69" s="110">
        <f t="shared" si="594"/>
        <v>0</v>
      </c>
      <c r="GH69" s="110">
        <f t="shared" si="595"/>
        <v>0</v>
      </c>
      <c r="GI69" s="110">
        <f t="shared" si="596"/>
        <v>0</v>
      </c>
      <c r="GJ69" s="110">
        <f t="shared" si="597"/>
        <v>0</v>
      </c>
      <c r="GK69" s="110">
        <f t="shared" si="598"/>
        <v>0</v>
      </c>
      <c r="GL69" s="110">
        <f t="shared" si="599"/>
        <v>0</v>
      </c>
      <c r="GM69" s="110">
        <f t="shared" si="600"/>
        <v>0</v>
      </c>
      <c r="GN69" s="110">
        <f t="shared" si="601"/>
        <v>0</v>
      </c>
      <c r="GO69" s="110">
        <f t="shared" si="602"/>
        <v>0</v>
      </c>
      <c r="GP69" s="110">
        <f t="shared" si="603"/>
        <v>0</v>
      </c>
      <c r="GQ69" s="110">
        <f t="shared" si="604"/>
        <v>0</v>
      </c>
      <c r="GR69" s="110">
        <f t="shared" si="605"/>
        <v>0</v>
      </c>
      <c r="GS69" s="110">
        <f t="shared" si="606"/>
        <v>0</v>
      </c>
      <c r="GU69" s="109" t="str" cm="1">
        <f t="array" ref="GU69">+IFERROR(INDEX($C$3:$AM$3,MATCH(TRUE,INDEX($C69:$AM69&lt;&gt;0,0),0)),"N/A")</f>
        <v>N/A</v>
      </c>
      <c r="GV69" s="112" t="str" cm="1">
        <f t="array" ref="GV69">+_xlfn.IFS(HV69&lt;&gt;0,HV$2,IV69&lt;&gt;0,IV$2,JV69&lt;&gt;0,JV$2,KV69&lt;&gt;0,KV$2,TRUE,"")</f>
        <v/>
      </c>
      <c r="GW69" s="1" t="str" cm="1">
        <f t="array" ref="GW69">+_xlfn.IFS(HW69&lt;&gt;0,HW$2,IW69&lt;&gt;0,IW$2,JW69&lt;&gt;0,JW$2,KW69&lt;&gt;0,KW$2,TRUE,"")</f>
        <v/>
      </c>
      <c r="GX69" s="1" t="str" cm="1">
        <f t="array" ref="GX69">+_xlfn.IFS(HX69&lt;&gt;0,HX$2,IX69&lt;&gt;0,IX$2,JX69&lt;&gt;0,JX$2,KX69&lt;&gt;0,KX$2,TRUE,"")</f>
        <v/>
      </c>
      <c r="GY69" s="1" t="str" cm="1">
        <f t="array" ref="GY69">+_xlfn.IFS(HY69&lt;&gt;0,HY$2,IY69&lt;&gt;0,IY$2,JY69&lt;&gt;0,JY$2,KY69&lt;&gt;0,KY$2,TRUE,"")</f>
        <v/>
      </c>
      <c r="GZ69" s="1" t="str" cm="1">
        <f t="array" ref="GZ69">+_xlfn.IFS(HZ69&lt;&gt;0,HZ$2,IZ69&lt;&gt;0,IZ$2,JZ69&lt;&gt;0,JZ$2,KZ69&lt;&gt;0,KZ$2,TRUE,"")</f>
        <v/>
      </c>
      <c r="HA69" s="1" t="str" cm="1">
        <f t="array" ref="HA69">+_xlfn.IFS(IA69&lt;&gt;0,IA$2,JA69&lt;&gt;0,JA$2,KA69&lt;&gt;0,KA$2,LA69&lt;&gt;0,LA$2,TRUE,"")</f>
        <v/>
      </c>
      <c r="HB69" s="1" t="str" cm="1">
        <f t="array" ref="HB69">+_xlfn.IFS(IB69&lt;&gt;0,IB$2,JB69&lt;&gt;0,JB$2,KB69&lt;&gt;0,KB$2,LB69&lt;&gt;0,LB$2,TRUE,"")</f>
        <v/>
      </c>
      <c r="HC69" s="1" t="str" cm="1">
        <f t="array" ref="HC69">+_xlfn.IFS(IC69&lt;&gt;0,IC$2,JC69&lt;&gt;0,JC$2,KC69&lt;&gt;0,KC$2,LC69&lt;&gt;0,LC$2,TRUE,"")</f>
        <v/>
      </c>
      <c r="HD69" s="1" t="str" cm="1">
        <f t="array" ref="HD69">+_xlfn.IFS(ID69&lt;&gt;0,ID$2,JD69&lt;&gt;0,JD$2,KD69&lt;&gt;0,KD$2,LD69&lt;&gt;0,LD$2,TRUE,"")</f>
        <v/>
      </c>
      <c r="HE69" s="1" t="str" cm="1">
        <f t="array" ref="HE69">+_xlfn.IFS(IE69&lt;&gt;0,IE$2,JE69&lt;&gt;0,JE$2,KE69&lt;&gt;0,KE$2,LE69&lt;&gt;0,LE$2,TRUE,"")</f>
        <v/>
      </c>
      <c r="HF69" s="1" t="str" cm="1">
        <f t="array" ref="HF69">+_xlfn.IFS(IF69&lt;&gt;0,IF$2,JF69&lt;&gt;0,JF$2,KF69&lt;&gt;0,KF$2,LF69&lt;&gt;0,LF$2,TRUE,"")</f>
        <v/>
      </c>
      <c r="HG69" s="1" t="str" cm="1">
        <f t="array" ref="HG69">+_xlfn.IFS(IG69&lt;&gt;0,IG$2,JG69&lt;&gt;0,JG$2,KG69&lt;&gt;0,KG$2,LG69&lt;&gt;0,LG$2,TRUE,"")</f>
        <v/>
      </c>
      <c r="HH69" s="1" t="str" cm="1">
        <f t="array" ref="HH69">+_xlfn.IFS(IH69&lt;&gt;0,IH$2,JH69&lt;&gt;0,JH$2,KH69&lt;&gt;0,KH$2,LH69&lt;&gt;0,LH$2,TRUE,"")</f>
        <v/>
      </c>
      <c r="HI69" s="1" t="str" cm="1">
        <f t="array" ref="HI69">+_xlfn.IFS(II69&lt;&gt;0,II$2,JI69&lt;&gt;0,JI$2,KI69&lt;&gt;0,KI$2,LI69&lt;&gt;0,LI$2,TRUE,"")</f>
        <v/>
      </c>
      <c r="HJ69" s="1" t="str" cm="1">
        <f t="array" ref="HJ69">+_xlfn.IFS(IJ69&lt;&gt;0,IJ$2,JJ69&lt;&gt;0,JJ$2,KJ69&lt;&gt;0,KJ$2,LJ69&lt;&gt;0,LJ$2,TRUE,"")</f>
        <v/>
      </c>
      <c r="HK69" s="1" t="str" cm="1">
        <f t="array" ref="HK69">+_xlfn.IFS(IK69&lt;&gt;0,IK$2,JK69&lt;&gt;0,JK$2,KK69&lt;&gt;0,KK$2,LK69&lt;&gt;0,LK$2,TRUE,"")</f>
        <v/>
      </c>
      <c r="HL69" s="1" t="str" cm="1">
        <f t="array" ref="HL69">+_xlfn.IFS(IL69&lt;&gt;0,IL$2,JL69&lt;&gt;0,JL$2,KL69&lt;&gt;0,KL$2,LL69&lt;&gt;0,LL$2,TRUE,"")</f>
        <v/>
      </c>
      <c r="HM69" s="1" t="str" cm="1">
        <f t="array" ref="HM69">+_xlfn.IFS(IM69&lt;&gt;0,IM$2,JM69&lt;&gt;0,JM$2,KM69&lt;&gt;0,KM$2,LM69&lt;&gt;0,LM$2,TRUE,"")</f>
        <v/>
      </c>
      <c r="HN69" s="1" t="str" cm="1">
        <f t="array" ref="HN69">+_xlfn.IFS(IN69&lt;&gt;0,IN$2,JN69&lt;&gt;0,JN$2,KN69&lt;&gt;0,KN$2,LN69&lt;&gt;0,LN$2,TRUE,"")</f>
        <v/>
      </c>
      <c r="HO69" s="1" t="str" cm="1">
        <f t="array" ref="HO69">+_xlfn.IFS(IO69&lt;&gt;0,IO$2,JO69&lt;&gt;0,JO$2,KO69&lt;&gt;0,KO$2,LO69&lt;&gt;0,LO$2,TRUE,"")</f>
        <v/>
      </c>
      <c r="HP69" s="1" t="str" cm="1">
        <f t="array" ref="HP69">+_xlfn.IFS(IP69&lt;&gt;0,IP$2,JP69&lt;&gt;0,JP$2,KP69&lt;&gt;0,KP$2,LP69&lt;&gt;0,LP$2,TRUE,"")</f>
        <v/>
      </c>
      <c r="HQ69" s="1" t="str" cm="1">
        <f t="array" ref="HQ69">+_xlfn.IFS(IQ69&lt;&gt;0,IQ$2,JQ69&lt;&gt;0,JQ$2,KQ69&lt;&gt;0,KQ$2,LQ69&lt;&gt;0,LQ$2,TRUE,"")</f>
        <v/>
      </c>
      <c r="HR69" s="1" t="str" cm="1">
        <f t="array" ref="HR69">+_xlfn.IFS(IR69&lt;&gt;0,IR$2,JR69&lt;&gt;0,JR$2,KR69&lt;&gt;0,KR$2,LR69&lt;&gt;0,LR$2,TRUE,"")</f>
        <v/>
      </c>
      <c r="HS69" s="1" t="str" cm="1">
        <f t="array" ref="HS69">+_xlfn.IFS(IS69&lt;&gt;0,IS$2,JS69&lt;&gt;0,JS$2,KS69&lt;&gt;0,KS$2,LS69&lt;&gt;0,LS$2,TRUE,"")</f>
        <v/>
      </c>
      <c r="HT69" s="1" t="str" cm="1">
        <f t="array" ref="HT69">+_xlfn.IFS(IT69&lt;&gt;0,IT$2,JT69&lt;&gt;0,JT$2,KT69&lt;&gt;0,KT$2,LT69&lt;&gt;0,LT$2,TRUE,"")</f>
        <v/>
      </c>
      <c r="HV69" s="111">
        <f t="shared" si="607"/>
        <v>0</v>
      </c>
      <c r="HW69" s="110">
        <f t="shared" si="608"/>
        <v>0</v>
      </c>
      <c r="HX69" s="110">
        <f t="shared" si="609"/>
        <v>0</v>
      </c>
      <c r="HY69" s="110">
        <f t="shared" si="610"/>
        <v>0</v>
      </c>
      <c r="HZ69" s="110">
        <f t="shared" si="611"/>
        <v>0</v>
      </c>
      <c r="IA69" s="110">
        <f t="shared" si="612"/>
        <v>0</v>
      </c>
      <c r="IB69" s="110">
        <f t="shared" si="613"/>
        <v>0</v>
      </c>
      <c r="IC69" s="110">
        <f t="shared" si="614"/>
        <v>0</v>
      </c>
      <c r="ID69" s="110">
        <f t="shared" si="615"/>
        <v>0</v>
      </c>
      <c r="IE69" s="110">
        <f t="shared" si="616"/>
        <v>0</v>
      </c>
      <c r="IF69" s="110">
        <f t="shared" si="617"/>
        <v>0</v>
      </c>
      <c r="IG69" s="110">
        <f t="shared" si="618"/>
        <v>0</v>
      </c>
      <c r="IH69" s="110">
        <f t="shared" si="619"/>
        <v>0</v>
      </c>
      <c r="II69" s="110">
        <f t="shared" si="620"/>
        <v>0</v>
      </c>
      <c r="IJ69" s="110">
        <f t="shared" si="621"/>
        <v>0</v>
      </c>
      <c r="IK69" s="110">
        <f t="shared" si="622"/>
        <v>0</v>
      </c>
      <c r="IL69" s="110">
        <f t="shared" si="623"/>
        <v>0</v>
      </c>
      <c r="IM69" s="110">
        <f t="shared" si="624"/>
        <v>0</v>
      </c>
      <c r="IN69" s="110">
        <f t="shared" si="625"/>
        <v>0</v>
      </c>
      <c r="IO69" s="110">
        <f t="shared" si="626"/>
        <v>0</v>
      </c>
      <c r="IP69" s="110">
        <f t="shared" si="627"/>
        <v>0</v>
      </c>
      <c r="IQ69" s="110">
        <f t="shared" si="628"/>
        <v>0</v>
      </c>
      <c r="IR69" s="110">
        <f t="shared" si="629"/>
        <v>0</v>
      </c>
      <c r="IS69" s="110">
        <f t="shared" si="630"/>
        <v>0</v>
      </c>
      <c r="IT69" s="110">
        <f t="shared" si="631"/>
        <v>0</v>
      </c>
      <c r="IV69" s="111">
        <f t="shared" si="632"/>
        <v>0</v>
      </c>
      <c r="IW69" s="110">
        <f t="shared" si="633"/>
        <v>0</v>
      </c>
      <c r="IX69" s="110">
        <f t="shared" si="634"/>
        <v>0</v>
      </c>
      <c r="IY69" s="110">
        <f t="shared" si="635"/>
        <v>0</v>
      </c>
      <c r="IZ69" s="110">
        <f t="shared" si="636"/>
        <v>0</v>
      </c>
      <c r="JA69" s="110">
        <f t="shared" si="637"/>
        <v>0</v>
      </c>
      <c r="JB69" s="110">
        <f t="shared" si="638"/>
        <v>0</v>
      </c>
      <c r="JC69" s="110">
        <f t="shared" si="639"/>
        <v>0</v>
      </c>
      <c r="JD69" s="110">
        <f t="shared" si="640"/>
        <v>0</v>
      </c>
      <c r="JE69" s="110">
        <f t="shared" si="641"/>
        <v>0</v>
      </c>
      <c r="JF69" s="110">
        <f t="shared" si="642"/>
        <v>0</v>
      </c>
      <c r="JG69" s="110">
        <f t="shared" si="643"/>
        <v>0</v>
      </c>
      <c r="JH69" s="110">
        <f t="shared" si="644"/>
        <v>0</v>
      </c>
      <c r="JI69" s="110">
        <f t="shared" si="645"/>
        <v>0</v>
      </c>
      <c r="JJ69" s="110">
        <f t="shared" si="646"/>
        <v>0</v>
      </c>
      <c r="JK69" s="110">
        <f t="shared" si="647"/>
        <v>0</v>
      </c>
      <c r="JL69" s="110">
        <f t="shared" si="648"/>
        <v>0</v>
      </c>
      <c r="JM69" s="110">
        <f t="shared" si="649"/>
        <v>0</v>
      </c>
      <c r="JN69" s="110">
        <f t="shared" si="650"/>
        <v>0</v>
      </c>
      <c r="JO69" s="110">
        <f t="shared" si="651"/>
        <v>0</v>
      </c>
      <c r="JP69" s="110">
        <f t="shared" si="652"/>
        <v>0</v>
      </c>
      <c r="JQ69" s="110">
        <f t="shared" si="653"/>
        <v>0</v>
      </c>
      <c r="JR69" s="110">
        <f t="shared" si="654"/>
        <v>0</v>
      </c>
      <c r="JS69" s="110">
        <f t="shared" si="655"/>
        <v>0</v>
      </c>
      <c r="JT69" s="110">
        <f t="shared" si="656"/>
        <v>0</v>
      </c>
      <c r="JV69" s="111">
        <f t="shared" si="657"/>
        <v>0</v>
      </c>
      <c r="JW69" s="110">
        <f t="shared" si="658"/>
        <v>0</v>
      </c>
      <c r="JX69" s="110">
        <f t="shared" si="659"/>
        <v>0</v>
      </c>
      <c r="JY69" s="110">
        <f t="shared" si="660"/>
        <v>0</v>
      </c>
      <c r="JZ69" s="110">
        <f t="shared" si="661"/>
        <v>0</v>
      </c>
      <c r="KA69" s="110">
        <f t="shared" si="662"/>
        <v>0</v>
      </c>
      <c r="KB69" s="110">
        <f t="shared" si="663"/>
        <v>0</v>
      </c>
      <c r="KC69" s="110">
        <f t="shared" si="664"/>
        <v>0</v>
      </c>
      <c r="KD69" s="110">
        <f t="shared" si="665"/>
        <v>0</v>
      </c>
      <c r="KE69" s="110">
        <f t="shared" si="666"/>
        <v>0</v>
      </c>
      <c r="KF69" s="110">
        <f t="shared" si="667"/>
        <v>0</v>
      </c>
      <c r="KG69" s="110">
        <f t="shared" si="668"/>
        <v>0</v>
      </c>
      <c r="KH69" s="110">
        <f t="shared" si="669"/>
        <v>0</v>
      </c>
      <c r="KI69" s="110">
        <f t="shared" si="670"/>
        <v>0</v>
      </c>
      <c r="KJ69" s="110">
        <f t="shared" si="671"/>
        <v>0</v>
      </c>
      <c r="KK69" s="110">
        <f t="shared" si="672"/>
        <v>0</v>
      </c>
      <c r="KL69" s="110">
        <f t="shared" si="673"/>
        <v>0</v>
      </c>
      <c r="KM69" s="110">
        <f t="shared" si="674"/>
        <v>0</v>
      </c>
      <c r="KN69" s="110">
        <f t="shared" si="675"/>
        <v>0</v>
      </c>
      <c r="KO69" s="110">
        <f t="shared" si="676"/>
        <v>0</v>
      </c>
      <c r="KP69" s="110">
        <f t="shared" si="677"/>
        <v>0</v>
      </c>
      <c r="KQ69" s="110">
        <f t="shared" si="678"/>
        <v>0</v>
      </c>
      <c r="KR69" s="110">
        <f t="shared" si="679"/>
        <v>0</v>
      </c>
      <c r="KS69" s="110">
        <f t="shared" si="680"/>
        <v>0</v>
      </c>
      <c r="KT69" s="110">
        <f t="shared" si="681"/>
        <v>0</v>
      </c>
      <c r="KV69" s="111">
        <f t="shared" si="682"/>
        <v>0</v>
      </c>
      <c r="KW69" s="110">
        <f t="shared" si="683"/>
        <v>0</v>
      </c>
      <c r="KX69" s="110">
        <f t="shared" si="684"/>
        <v>0</v>
      </c>
      <c r="KY69" s="110">
        <f t="shared" si="685"/>
        <v>0</v>
      </c>
      <c r="KZ69" s="110">
        <f t="shared" si="686"/>
        <v>0</v>
      </c>
      <c r="LA69" s="110">
        <f t="shared" si="687"/>
        <v>0</v>
      </c>
      <c r="LB69" s="110">
        <f t="shared" si="688"/>
        <v>0</v>
      </c>
      <c r="LC69" s="110">
        <f t="shared" si="689"/>
        <v>0</v>
      </c>
      <c r="LD69" s="110">
        <f t="shared" si="690"/>
        <v>0</v>
      </c>
      <c r="LE69" s="110">
        <f t="shared" si="691"/>
        <v>0</v>
      </c>
      <c r="LF69" s="110">
        <f t="shared" si="692"/>
        <v>0</v>
      </c>
      <c r="LG69" s="110">
        <f t="shared" si="693"/>
        <v>0</v>
      </c>
      <c r="LH69" s="110">
        <f t="shared" si="694"/>
        <v>0</v>
      </c>
      <c r="LI69" s="110">
        <f t="shared" si="695"/>
        <v>0</v>
      </c>
      <c r="LJ69" s="110">
        <f t="shared" si="696"/>
        <v>0</v>
      </c>
      <c r="LK69" s="110">
        <f t="shared" si="697"/>
        <v>0</v>
      </c>
      <c r="LL69" s="110">
        <f t="shared" si="698"/>
        <v>0</v>
      </c>
      <c r="LM69" s="110">
        <f t="shared" si="699"/>
        <v>0</v>
      </c>
      <c r="LN69" s="110">
        <f t="shared" si="700"/>
        <v>0</v>
      </c>
      <c r="LO69" s="110">
        <f t="shared" si="701"/>
        <v>0</v>
      </c>
      <c r="LP69" s="110">
        <f t="shared" si="702"/>
        <v>0</v>
      </c>
      <c r="LQ69" s="110">
        <f t="shared" si="703"/>
        <v>0</v>
      </c>
      <c r="LR69" s="110">
        <f t="shared" si="704"/>
        <v>0</v>
      </c>
      <c r="LS69" s="110">
        <f t="shared" si="705"/>
        <v>0</v>
      </c>
      <c r="LT69" s="110">
        <f t="shared" si="706"/>
        <v>0</v>
      </c>
      <c r="LV69" s="111"/>
      <c r="LW69" s="110">
        <f t="shared" si="707"/>
        <v>0</v>
      </c>
      <c r="LX69" s="110">
        <f t="shared" si="708"/>
        <v>0</v>
      </c>
      <c r="LY69" s="110">
        <f t="shared" si="709"/>
        <v>0</v>
      </c>
      <c r="LZ69" s="110">
        <f t="shared" si="710"/>
        <v>0</v>
      </c>
      <c r="MA69" s="110">
        <f t="shared" si="711"/>
        <v>0</v>
      </c>
      <c r="MB69" s="110">
        <f t="shared" si="712"/>
        <v>0</v>
      </c>
      <c r="MC69" s="110">
        <f t="shared" si="713"/>
        <v>0</v>
      </c>
      <c r="MD69" s="110">
        <f t="shared" si="714"/>
        <v>0</v>
      </c>
      <c r="ME69" s="110">
        <f t="shared" si="715"/>
        <v>0</v>
      </c>
      <c r="MF69" s="110">
        <f t="shared" si="716"/>
        <v>0</v>
      </c>
      <c r="MG69" s="110">
        <f t="shared" si="717"/>
        <v>0</v>
      </c>
      <c r="MH69" s="110">
        <f t="shared" si="718"/>
        <v>0</v>
      </c>
      <c r="MI69" s="110">
        <f t="shared" si="719"/>
        <v>0</v>
      </c>
      <c r="MJ69" s="110">
        <f t="shared" si="720"/>
        <v>0</v>
      </c>
      <c r="MK69" s="110">
        <f t="shared" si="721"/>
        <v>0</v>
      </c>
      <c r="ML69" s="110">
        <f t="shared" si="722"/>
        <v>0</v>
      </c>
      <c r="MM69" s="110">
        <f t="shared" si="723"/>
        <v>0</v>
      </c>
      <c r="MN69" s="110">
        <f t="shared" si="724"/>
        <v>0</v>
      </c>
      <c r="MO69" s="110">
        <f t="shared" si="725"/>
        <v>0</v>
      </c>
      <c r="MP69" s="110">
        <f t="shared" si="726"/>
        <v>0</v>
      </c>
      <c r="MQ69" s="110">
        <f t="shared" si="727"/>
        <v>0</v>
      </c>
      <c r="MR69" s="110">
        <f t="shared" si="728"/>
        <v>0</v>
      </c>
      <c r="MS69" s="110">
        <f t="shared" si="729"/>
        <v>0</v>
      </c>
      <c r="MT69" s="110">
        <f t="shared" si="730"/>
        <v>0</v>
      </c>
      <c r="MV69" s="114">
        <v>0</v>
      </c>
      <c r="MW69" s="114">
        <v>0</v>
      </c>
      <c r="MX69" s="114">
        <v>0</v>
      </c>
      <c r="MY69" s="114">
        <v>0</v>
      </c>
      <c r="MZ69" s="114">
        <v>0</v>
      </c>
      <c r="NB69" s="115" t="str">
        <v>N/A</v>
      </c>
      <c r="NC69" s="115" t="str">
        <v>N/A</v>
      </c>
      <c r="ND69" s="115" t="str">
        <v>N/A</v>
      </c>
      <c r="NE69" s="115" t="str">
        <v>N/A</v>
      </c>
      <c r="NF69" s="115" t="str">
        <v>N/A</v>
      </c>
    </row>
    <row r="70" spans="2:370" ht="13.5" x14ac:dyDescent="0.25">
      <c r="B70" s="8">
        <f t="shared" ref="B70:B103" si="731">B69+1</f>
        <v>67</v>
      </c>
      <c r="C70" s="7">
        <v>0</v>
      </c>
      <c r="D70" s="7">
        <v>0</v>
      </c>
      <c r="E70" s="7">
        <v>0</v>
      </c>
      <c r="F70" s="7">
        <v>0</v>
      </c>
      <c r="G70" s="7">
        <v>0</v>
      </c>
      <c r="H70" s="7">
        <v>0</v>
      </c>
      <c r="I70" s="7">
        <v>0</v>
      </c>
      <c r="J70" s="7">
        <v>0</v>
      </c>
      <c r="K70" s="7">
        <v>0</v>
      </c>
      <c r="L70" s="7">
        <v>0</v>
      </c>
      <c r="M70" s="7">
        <v>0</v>
      </c>
      <c r="N70" s="7">
        <v>0</v>
      </c>
      <c r="O70" s="7">
        <v>0</v>
      </c>
      <c r="P70" s="7">
        <v>0</v>
      </c>
      <c r="Q70" s="7">
        <v>0</v>
      </c>
      <c r="R70" s="7">
        <v>0</v>
      </c>
      <c r="S70" s="7">
        <v>0</v>
      </c>
      <c r="T70" s="7">
        <v>0</v>
      </c>
      <c r="U70" s="7">
        <v>0</v>
      </c>
      <c r="V70" s="7">
        <v>0</v>
      </c>
      <c r="W70" s="7">
        <v>0</v>
      </c>
      <c r="X70" s="7">
        <v>0</v>
      </c>
      <c r="Y70" s="7">
        <v>0</v>
      </c>
      <c r="Z70" s="7">
        <v>0</v>
      </c>
      <c r="AA70" s="7">
        <v>0</v>
      </c>
      <c r="AB70" s="7">
        <v>0</v>
      </c>
      <c r="AC70" s="7">
        <v>0</v>
      </c>
      <c r="AD70" s="7">
        <v>0</v>
      </c>
      <c r="AE70" s="7">
        <v>0</v>
      </c>
      <c r="AF70" s="7">
        <v>0</v>
      </c>
      <c r="AG70" s="7">
        <v>257.72000000000003</v>
      </c>
      <c r="AH70" s="7">
        <v>257.72000000000003</v>
      </c>
      <c r="AI70" s="7">
        <v>257.72000000000003</v>
      </c>
      <c r="AJ70" s="7">
        <v>257.72000000000003</v>
      </c>
      <c r="AK70" s="7">
        <v>257.72000000000003</v>
      </c>
      <c r="AL70" s="7">
        <v>257.72000000000003</v>
      </c>
      <c r="AM70" s="7">
        <v>257.72000000000003</v>
      </c>
      <c r="AN70" s="27">
        <v>67</v>
      </c>
      <c r="AP70" s="111"/>
      <c r="AQ70" s="110">
        <f t="shared" si="492"/>
        <v>0</v>
      </c>
      <c r="AR70" s="110">
        <f t="shared" si="493"/>
        <v>0</v>
      </c>
      <c r="AS70" s="110">
        <f t="shared" si="494"/>
        <v>0</v>
      </c>
      <c r="AT70" s="110">
        <f t="shared" si="495"/>
        <v>0</v>
      </c>
      <c r="AU70" s="110">
        <f t="shared" si="496"/>
        <v>0</v>
      </c>
      <c r="AV70" s="110">
        <f t="shared" si="497"/>
        <v>0</v>
      </c>
      <c r="AW70" s="110">
        <f t="shared" si="498"/>
        <v>0</v>
      </c>
      <c r="AX70" s="110">
        <f t="shared" si="499"/>
        <v>0</v>
      </c>
      <c r="AY70" s="110">
        <f t="shared" si="500"/>
        <v>0</v>
      </c>
      <c r="AZ70" s="110">
        <f t="shared" si="501"/>
        <v>257.72000000000003</v>
      </c>
      <c r="BA70" s="110">
        <f t="shared" si="502"/>
        <v>0</v>
      </c>
      <c r="BB70" s="110">
        <f t="shared" si="503"/>
        <v>0</v>
      </c>
      <c r="BD70" s="109" cm="1">
        <f t="array" ref="BD70">+IFERROR(INDEX($C$3:$AM$3,MATCH(TRUE,INDEX($C70:$AM70&lt;&gt;0,0),0)),"N/A")</f>
        <v>45838</v>
      </c>
      <c r="BE70" s="112"/>
      <c r="BF70" s="1" t="str" cm="1">
        <f t="array" ref="BF70">+_xlfn.IFS(BT70&lt;&gt;0,BT$2,CH70&lt;&gt;0,CH$2,CV70&lt;&gt;0,CV$2,DJ70&lt;&gt;0,DJ$2,TRUE,"")</f>
        <v/>
      </c>
      <c r="BG70" s="1" t="str" cm="1">
        <f t="array" ref="BG70">+_xlfn.IFS(BU70&lt;&gt;0,BU$2,CI70&lt;&gt;0,CI$2,CW70&lt;&gt;0,CW$2,DK70&lt;&gt;0,DK$2,TRUE,"")</f>
        <v/>
      </c>
      <c r="BH70" s="1" t="str" cm="1">
        <f t="array" ref="BH70">+_xlfn.IFS(BV70&lt;&gt;0,BV$2,CJ70&lt;&gt;0,CJ$2,CX70&lt;&gt;0,CX$2,DL70&lt;&gt;0,DL$2,TRUE,"")</f>
        <v/>
      </c>
      <c r="BI70" s="1" t="str" cm="1">
        <f t="array" ref="BI70">+_xlfn.IFS(BW70&lt;&gt;0,BW$2,CK70&lt;&gt;0,CK$2,CY70&lt;&gt;0,CY$2,DM70&lt;&gt;0,DM$2,TRUE,"")</f>
        <v/>
      </c>
      <c r="BJ70" s="1" t="str" cm="1">
        <f t="array" ref="BJ70">+_xlfn.IFS(BX70&lt;&gt;0,BX$2,CL70&lt;&gt;0,CL$2,CZ70&lt;&gt;0,CZ$2,DN70&lt;&gt;0,DN$2,TRUE,"")</f>
        <v/>
      </c>
      <c r="BK70" s="1" t="str" cm="1">
        <f t="array" ref="BK70">+_xlfn.IFS(BY70&lt;&gt;0,BY$2,CM70&lt;&gt;0,CM$2,DA70&lt;&gt;0,DA$2,DO70&lt;&gt;0,DO$2,TRUE,"")</f>
        <v/>
      </c>
      <c r="BL70" s="1" t="str" cm="1">
        <f t="array" ref="BL70">+_xlfn.IFS(BZ70&lt;&gt;0,BZ$2,CN70&lt;&gt;0,CN$2,DB70&lt;&gt;0,DB$2,DP70&lt;&gt;0,DP$2,TRUE,"")</f>
        <v/>
      </c>
      <c r="BM70" s="1" t="str" cm="1">
        <f t="array" ref="BM70">+_xlfn.IFS(CA70&lt;&gt;0,CA$2,CO70&lt;&gt;0,CO$2,DC70&lt;&gt;0,DC$2,DQ70&lt;&gt;0,DQ$2,TRUE,"")</f>
        <v/>
      </c>
      <c r="BN70" s="1" t="str" cm="1">
        <f t="array" ref="BN70">+_xlfn.IFS(CB70&lt;&gt;0,CB$2,CP70&lt;&gt;0,CP$2,DD70&lt;&gt;0,DD$2,DR70&lt;&gt;0,DR$2,TRUE,"")</f>
        <v/>
      </c>
      <c r="BO70" s="1" t="str" cm="1">
        <f t="array" ref="BO70">+_xlfn.IFS(CC70&lt;&gt;0,CC$2,CQ70&lt;&gt;0,CQ$2,DE70&lt;&gt;0,DE$2,DS70&lt;&gt;0,DS$2,TRUE,"")</f>
        <v>New</v>
      </c>
      <c r="BP70" s="1" t="str" cm="1">
        <f t="array" ref="BP70">+_xlfn.IFS(CD70&lt;&gt;0,CD$2,CR70&lt;&gt;0,CR$2,DF70&lt;&gt;0,DF$2,DT70&lt;&gt;0,DT$2,TRUE,"")</f>
        <v/>
      </c>
      <c r="BQ70" s="1" t="str" cm="1">
        <f t="array" ref="BQ70">+_xlfn.IFS(CE70&lt;&gt;0,CE$2,CS70&lt;&gt;0,CS$2,DG70&lt;&gt;0,DG$2,DU70&lt;&gt;0,DU$2,TRUE,"")</f>
        <v/>
      </c>
      <c r="BS70" s="111"/>
      <c r="BT70" s="110">
        <f t="shared" si="504"/>
        <v>0</v>
      </c>
      <c r="BU70" s="110">
        <f t="shared" si="505"/>
        <v>0</v>
      </c>
      <c r="BV70" s="110">
        <f t="shared" si="506"/>
        <v>0</v>
      </c>
      <c r="BW70" s="110">
        <f t="shared" si="507"/>
        <v>0</v>
      </c>
      <c r="BX70" s="110">
        <f t="shared" si="508"/>
        <v>0</v>
      </c>
      <c r="BY70" s="110">
        <f t="shared" si="509"/>
        <v>0</v>
      </c>
      <c r="BZ70" s="110">
        <f t="shared" si="510"/>
        <v>0</v>
      </c>
      <c r="CA70" s="110">
        <f t="shared" si="511"/>
        <v>0</v>
      </c>
      <c r="CB70" s="110">
        <f t="shared" si="512"/>
        <v>0</v>
      </c>
      <c r="CC70" s="110">
        <f t="shared" si="513"/>
        <v>257.72000000000003</v>
      </c>
      <c r="CD70" s="110">
        <f t="shared" si="514"/>
        <v>0</v>
      </c>
      <c r="CE70" s="110">
        <f t="shared" si="515"/>
        <v>0</v>
      </c>
      <c r="CG70" s="111"/>
      <c r="CH70" s="110">
        <f t="shared" si="516"/>
        <v>0</v>
      </c>
      <c r="CI70" s="110">
        <f t="shared" si="517"/>
        <v>0</v>
      </c>
      <c r="CJ70" s="110">
        <f t="shared" si="518"/>
        <v>0</v>
      </c>
      <c r="CK70" s="110">
        <f t="shared" si="519"/>
        <v>0</v>
      </c>
      <c r="CL70" s="110">
        <f t="shared" si="520"/>
        <v>0</v>
      </c>
      <c r="CM70" s="110">
        <f t="shared" si="521"/>
        <v>0</v>
      </c>
      <c r="CN70" s="110">
        <f t="shared" si="522"/>
        <v>0</v>
      </c>
      <c r="CO70" s="110">
        <f t="shared" si="523"/>
        <v>0</v>
      </c>
      <c r="CP70" s="110">
        <f t="shared" si="524"/>
        <v>0</v>
      </c>
      <c r="CQ70" s="110">
        <f t="shared" si="525"/>
        <v>0</v>
      </c>
      <c r="CR70" s="110">
        <f t="shared" si="526"/>
        <v>0</v>
      </c>
      <c r="CS70" s="110">
        <f t="shared" si="527"/>
        <v>0</v>
      </c>
      <c r="CU70" s="111"/>
      <c r="CV70" s="110">
        <f t="shared" si="528"/>
        <v>0</v>
      </c>
      <c r="CW70" s="110">
        <f t="shared" si="529"/>
        <v>0</v>
      </c>
      <c r="CX70" s="110">
        <f t="shared" si="530"/>
        <v>0</v>
      </c>
      <c r="CY70" s="110">
        <f t="shared" si="531"/>
        <v>0</v>
      </c>
      <c r="CZ70" s="110">
        <f t="shared" si="532"/>
        <v>0</v>
      </c>
      <c r="DA70" s="110">
        <f t="shared" si="533"/>
        <v>0</v>
      </c>
      <c r="DB70" s="110">
        <f t="shared" si="534"/>
        <v>0</v>
      </c>
      <c r="DC70" s="110">
        <f t="shared" si="535"/>
        <v>0</v>
      </c>
      <c r="DD70" s="110">
        <f t="shared" si="536"/>
        <v>0</v>
      </c>
      <c r="DE70" s="110">
        <f t="shared" si="537"/>
        <v>0</v>
      </c>
      <c r="DF70" s="110">
        <f t="shared" si="538"/>
        <v>0</v>
      </c>
      <c r="DG70" s="110">
        <f t="shared" si="539"/>
        <v>0</v>
      </c>
      <c r="DI70" s="111"/>
      <c r="DJ70" s="110">
        <f t="shared" si="540"/>
        <v>0</v>
      </c>
      <c r="DK70" s="110">
        <f t="shared" si="541"/>
        <v>0</v>
      </c>
      <c r="DL70" s="110">
        <f t="shared" si="542"/>
        <v>0</v>
      </c>
      <c r="DM70" s="110">
        <f t="shared" si="543"/>
        <v>0</v>
      </c>
      <c r="DN70" s="110">
        <f t="shared" si="544"/>
        <v>0</v>
      </c>
      <c r="DO70" s="110">
        <f t="shared" si="545"/>
        <v>0</v>
      </c>
      <c r="DP70" s="110">
        <f t="shared" si="546"/>
        <v>0</v>
      </c>
      <c r="DQ70" s="110">
        <f t="shared" si="547"/>
        <v>0</v>
      </c>
      <c r="DR70" s="110">
        <f t="shared" si="548"/>
        <v>0</v>
      </c>
      <c r="DS70" s="110">
        <f t="shared" si="549"/>
        <v>0</v>
      </c>
      <c r="DT70" s="110">
        <f t="shared" si="550"/>
        <v>0</v>
      </c>
      <c r="DU70" s="110">
        <f t="shared" si="551"/>
        <v>0</v>
      </c>
      <c r="DW70" s="111"/>
      <c r="DX70" s="110">
        <f t="shared" si="552"/>
        <v>0</v>
      </c>
      <c r="DY70" s="110">
        <f t="shared" si="553"/>
        <v>0</v>
      </c>
      <c r="DZ70" s="110">
        <f t="shared" si="554"/>
        <v>0</v>
      </c>
      <c r="EA70" s="110">
        <f t="shared" si="555"/>
        <v>0</v>
      </c>
      <c r="EB70" s="110">
        <f t="shared" si="556"/>
        <v>0</v>
      </c>
      <c r="EC70" s="110">
        <f t="shared" si="557"/>
        <v>0</v>
      </c>
      <c r="ED70" s="110">
        <f t="shared" si="558"/>
        <v>0</v>
      </c>
      <c r="EE70" s="110">
        <f t="shared" si="559"/>
        <v>0</v>
      </c>
      <c r="EF70" s="110">
        <f t="shared" si="560"/>
        <v>0</v>
      </c>
      <c r="EG70" s="110">
        <f t="shared" si="561"/>
        <v>0</v>
      </c>
      <c r="EH70" s="110">
        <f t="shared" si="562"/>
        <v>0</v>
      </c>
      <c r="EI70" s="110">
        <f t="shared" si="563"/>
        <v>0</v>
      </c>
      <c r="EK70" s="111"/>
      <c r="EL70" s="110">
        <f t="shared" si="564"/>
        <v>0</v>
      </c>
      <c r="EM70" s="110">
        <f t="shared" si="565"/>
        <v>0</v>
      </c>
      <c r="EN70" s="110">
        <f t="shared" si="566"/>
        <v>257.72000000000003</v>
      </c>
      <c r="EP70" s="109" cm="1">
        <f t="array" ref="EP70">+IFERROR(INDEX($C$3:$AM$3,MATCH(TRUE,INDEX($C70:$AM70&lt;&gt;0,0),0)),"N/A")</f>
        <v>45838</v>
      </c>
      <c r="EQ70" s="112"/>
      <c r="ER70" s="1" t="str" cm="1">
        <f t="array" ref="ER70">+_xlfn.IFS(EW70&lt;&gt;0,EW$2,FB70&lt;&gt;0,FB$2,FG70&lt;&gt;0,FG$2,FL70&lt;&gt;0,FL$2,TRUE,"")</f>
        <v/>
      </c>
      <c r="ES70" s="1" t="str" cm="1">
        <f t="array" ref="ES70">+_xlfn.IFS(EX70&lt;&gt;0,EX$2,FC70&lt;&gt;0,FC$2,FH70&lt;&gt;0,FH$2,FM70&lt;&gt;0,FM$2,TRUE,"")</f>
        <v/>
      </c>
      <c r="ET70" s="1" t="str" cm="1">
        <f t="array" ref="ET70">+_xlfn.IFS(EY70&lt;&gt;0,EY$2,FD70&lt;&gt;0,FD$2,FI70&lt;&gt;0,FI$2,FN70&lt;&gt;0,FN$2,TRUE,"")</f>
        <v>New</v>
      </c>
      <c r="EV70" s="111"/>
      <c r="EW70" s="110">
        <f t="shared" si="567"/>
        <v>0</v>
      </c>
      <c r="EX70" s="110">
        <f t="shared" si="568"/>
        <v>0</v>
      </c>
      <c r="EY70" s="110">
        <f t="shared" si="569"/>
        <v>257.72000000000003</v>
      </c>
      <c r="FA70" s="111"/>
      <c r="FB70" s="110">
        <f t="shared" si="570"/>
        <v>0</v>
      </c>
      <c r="FC70" s="110">
        <f t="shared" si="571"/>
        <v>0</v>
      </c>
      <c r="FD70" s="110">
        <f t="shared" si="572"/>
        <v>0</v>
      </c>
      <c r="FF70" s="111"/>
      <c r="FG70" s="110">
        <f t="shared" si="573"/>
        <v>0</v>
      </c>
      <c r="FH70" s="110">
        <f t="shared" si="574"/>
        <v>0</v>
      </c>
      <c r="FI70" s="110">
        <f t="shared" si="575"/>
        <v>0</v>
      </c>
      <c r="FK70" s="111"/>
      <c r="FL70" s="110">
        <f t="shared" si="576"/>
        <v>0</v>
      </c>
      <c r="FM70" s="110">
        <f t="shared" si="577"/>
        <v>0</v>
      </c>
      <c r="FN70" s="110">
        <f t="shared" si="578"/>
        <v>0</v>
      </c>
      <c r="FP70" s="111"/>
      <c r="FQ70" s="110">
        <f t="shared" si="579"/>
        <v>0</v>
      </c>
      <c r="FR70" s="110">
        <f t="shared" si="580"/>
        <v>0</v>
      </c>
      <c r="FS70" s="110">
        <f t="shared" si="581"/>
        <v>0</v>
      </c>
      <c r="FU70" s="111">
        <f t="shared" si="582"/>
        <v>0</v>
      </c>
      <c r="FV70" s="110">
        <f t="shared" si="583"/>
        <v>0</v>
      </c>
      <c r="FW70" s="110">
        <f t="shared" si="584"/>
        <v>0</v>
      </c>
      <c r="FX70" s="110">
        <f t="shared" si="585"/>
        <v>0</v>
      </c>
      <c r="FY70" s="110">
        <f t="shared" si="586"/>
        <v>0</v>
      </c>
      <c r="FZ70" s="110">
        <f t="shared" si="587"/>
        <v>0</v>
      </c>
      <c r="GA70" s="110">
        <f t="shared" si="588"/>
        <v>0</v>
      </c>
      <c r="GB70" s="110">
        <f t="shared" si="589"/>
        <v>0</v>
      </c>
      <c r="GC70" s="110">
        <f t="shared" si="590"/>
        <v>0</v>
      </c>
      <c r="GD70" s="110">
        <f t="shared" si="591"/>
        <v>0</v>
      </c>
      <c r="GE70" s="110">
        <f t="shared" si="592"/>
        <v>0</v>
      </c>
      <c r="GF70" s="110">
        <f t="shared" si="593"/>
        <v>0</v>
      </c>
      <c r="GG70" s="110">
        <f t="shared" si="594"/>
        <v>0</v>
      </c>
      <c r="GH70" s="110">
        <f t="shared" si="595"/>
        <v>0</v>
      </c>
      <c r="GI70" s="110">
        <f t="shared" si="596"/>
        <v>0</v>
      </c>
      <c r="GJ70" s="110">
        <f t="shared" si="597"/>
        <v>0</v>
      </c>
      <c r="GK70" s="110">
        <f t="shared" si="598"/>
        <v>0</v>
      </c>
      <c r="GL70" s="110">
        <f t="shared" si="599"/>
        <v>0</v>
      </c>
      <c r="GM70" s="110">
        <f t="shared" si="600"/>
        <v>257.72000000000003</v>
      </c>
      <c r="GN70" s="110">
        <f t="shared" si="601"/>
        <v>257.72000000000003</v>
      </c>
      <c r="GO70" s="110">
        <f t="shared" si="602"/>
        <v>257.72000000000003</v>
      </c>
      <c r="GP70" s="110">
        <f t="shared" si="603"/>
        <v>257.72000000000003</v>
      </c>
      <c r="GQ70" s="110">
        <f t="shared" si="604"/>
        <v>257.72000000000003</v>
      </c>
      <c r="GR70" s="110">
        <f t="shared" si="605"/>
        <v>257.72000000000003</v>
      </c>
      <c r="GS70" s="110">
        <f t="shared" si="606"/>
        <v>257.72000000000003</v>
      </c>
      <c r="GU70" s="109" cm="1">
        <f t="array" ref="GU70">+IFERROR(INDEX($C$3:$AM$3,MATCH(TRUE,INDEX($C70:$AM70&lt;&gt;0,0),0)),"N/A")</f>
        <v>45838</v>
      </c>
      <c r="GV70" s="112" t="str" cm="1">
        <f t="array" ref="GV70">+_xlfn.IFS(HV70&lt;&gt;0,HV$2,IV70&lt;&gt;0,IV$2,JV70&lt;&gt;0,JV$2,KV70&lt;&gt;0,KV$2,TRUE,"")</f>
        <v/>
      </c>
      <c r="GW70" s="1" t="str" cm="1">
        <f t="array" ref="GW70">+_xlfn.IFS(HW70&lt;&gt;0,HW$2,IW70&lt;&gt;0,IW$2,JW70&lt;&gt;0,JW$2,KW70&lt;&gt;0,KW$2,TRUE,"")</f>
        <v/>
      </c>
      <c r="GX70" s="1" t="str" cm="1">
        <f t="array" ref="GX70">+_xlfn.IFS(HX70&lt;&gt;0,HX$2,IX70&lt;&gt;0,IX$2,JX70&lt;&gt;0,JX$2,KX70&lt;&gt;0,KX$2,TRUE,"")</f>
        <v/>
      </c>
      <c r="GY70" s="1" t="str" cm="1">
        <f t="array" ref="GY70">+_xlfn.IFS(HY70&lt;&gt;0,HY$2,IY70&lt;&gt;0,IY$2,JY70&lt;&gt;0,JY$2,KY70&lt;&gt;0,KY$2,TRUE,"")</f>
        <v/>
      </c>
      <c r="GZ70" s="1" t="str" cm="1">
        <f t="array" ref="GZ70">+_xlfn.IFS(HZ70&lt;&gt;0,HZ$2,IZ70&lt;&gt;0,IZ$2,JZ70&lt;&gt;0,JZ$2,KZ70&lt;&gt;0,KZ$2,TRUE,"")</f>
        <v/>
      </c>
      <c r="HA70" s="1" t="str" cm="1">
        <f t="array" ref="HA70">+_xlfn.IFS(IA70&lt;&gt;0,IA$2,JA70&lt;&gt;0,JA$2,KA70&lt;&gt;0,KA$2,LA70&lt;&gt;0,LA$2,TRUE,"")</f>
        <v/>
      </c>
      <c r="HB70" s="1" t="str" cm="1">
        <f t="array" ref="HB70">+_xlfn.IFS(IB70&lt;&gt;0,IB$2,JB70&lt;&gt;0,JB$2,KB70&lt;&gt;0,KB$2,LB70&lt;&gt;0,LB$2,TRUE,"")</f>
        <v/>
      </c>
      <c r="HC70" s="1" t="str" cm="1">
        <f t="array" ref="HC70">+_xlfn.IFS(IC70&lt;&gt;0,IC$2,JC70&lt;&gt;0,JC$2,KC70&lt;&gt;0,KC$2,LC70&lt;&gt;0,LC$2,TRUE,"")</f>
        <v/>
      </c>
      <c r="HD70" s="1" t="str" cm="1">
        <f t="array" ref="HD70">+_xlfn.IFS(ID70&lt;&gt;0,ID$2,JD70&lt;&gt;0,JD$2,KD70&lt;&gt;0,KD$2,LD70&lt;&gt;0,LD$2,TRUE,"")</f>
        <v/>
      </c>
      <c r="HE70" s="1" t="str" cm="1">
        <f t="array" ref="HE70">+_xlfn.IFS(IE70&lt;&gt;0,IE$2,JE70&lt;&gt;0,JE$2,KE70&lt;&gt;0,KE$2,LE70&lt;&gt;0,LE$2,TRUE,"")</f>
        <v/>
      </c>
      <c r="HF70" s="1" t="str" cm="1">
        <f t="array" ref="HF70">+_xlfn.IFS(IF70&lt;&gt;0,IF$2,JF70&lt;&gt;0,JF$2,KF70&lt;&gt;0,KF$2,LF70&lt;&gt;0,LF$2,TRUE,"")</f>
        <v/>
      </c>
      <c r="HG70" s="1" t="str" cm="1">
        <f t="array" ref="HG70">+_xlfn.IFS(IG70&lt;&gt;0,IG$2,JG70&lt;&gt;0,JG$2,KG70&lt;&gt;0,KG$2,LG70&lt;&gt;0,LG$2,TRUE,"")</f>
        <v/>
      </c>
      <c r="HH70" s="1" t="str" cm="1">
        <f t="array" ref="HH70">+_xlfn.IFS(IH70&lt;&gt;0,IH$2,JH70&lt;&gt;0,JH$2,KH70&lt;&gt;0,KH$2,LH70&lt;&gt;0,LH$2,TRUE,"")</f>
        <v/>
      </c>
      <c r="HI70" s="1" t="str" cm="1">
        <f t="array" ref="HI70">+_xlfn.IFS(II70&lt;&gt;0,II$2,JI70&lt;&gt;0,JI$2,KI70&lt;&gt;0,KI$2,LI70&lt;&gt;0,LI$2,TRUE,"")</f>
        <v/>
      </c>
      <c r="HJ70" s="1" t="str" cm="1">
        <f t="array" ref="HJ70">+_xlfn.IFS(IJ70&lt;&gt;0,IJ$2,JJ70&lt;&gt;0,JJ$2,KJ70&lt;&gt;0,KJ$2,LJ70&lt;&gt;0,LJ$2,TRUE,"")</f>
        <v/>
      </c>
      <c r="HK70" s="1" t="str" cm="1">
        <f t="array" ref="HK70">+_xlfn.IFS(IK70&lt;&gt;0,IK$2,JK70&lt;&gt;0,JK$2,KK70&lt;&gt;0,KK$2,LK70&lt;&gt;0,LK$2,TRUE,"")</f>
        <v/>
      </c>
      <c r="HL70" s="1" t="str" cm="1">
        <f t="array" ref="HL70">+_xlfn.IFS(IL70&lt;&gt;0,IL$2,JL70&lt;&gt;0,JL$2,KL70&lt;&gt;0,KL$2,LL70&lt;&gt;0,LL$2,TRUE,"")</f>
        <v/>
      </c>
      <c r="HM70" s="1" t="str" cm="1">
        <f t="array" ref="HM70">+_xlfn.IFS(IM70&lt;&gt;0,IM$2,JM70&lt;&gt;0,JM$2,KM70&lt;&gt;0,KM$2,LM70&lt;&gt;0,LM$2,TRUE,"")</f>
        <v/>
      </c>
      <c r="HN70" s="1" t="str" cm="1">
        <f t="array" ref="HN70">+_xlfn.IFS(IN70&lt;&gt;0,IN$2,JN70&lt;&gt;0,JN$2,KN70&lt;&gt;0,KN$2,LN70&lt;&gt;0,LN$2,TRUE,"")</f>
        <v>New</v>
      </c>
      <c r="HO70" s="1" t="str" cm="1">
        <f t="array" ref="HO70">+_xlfn.IFS(IO70&lt;&gt;0,IO$2,JO70&lt;&gt;0,JO$2,KO70&lt;&gt;0,KO$2,LO70&lt;&gt;0,LO$2,TRUE,"")</f>
        <v>New</v>
      </c>
      <c r="HP70" s="1" t="str" cm="1">
        <f t="array" ref="HP70">+_xlfn.IFS(IP70&lt;&gt;0,IP$2,JP70&lt;&gt;0,JP$2,KP70&lt;&gt;0,KP$2,LP70&lt;&gt;0,LP$2,TRUE,"")</f>
        <v>New</v>
      </c>
      <c r="HQ70" s="1" t="str" cm="1">
        <f t="array" ref="HQ70">+_xlfn.IFS(IQ70&lt;&gt;0,IQ$2,JQ70&lt;&gt;0,JQ$2,KQ70&lt;&gt;0,KQ$2,LQ70&lt;&gt;0,LQ$2,TRUE,"")</f>
        <v>New</v>
      </c>
      <c r="HR70" s="1" t="str" cm="1">
        <f t="array" ref="HR70">+_xlfn.IFS(IR70&lt;&gt;0,IR$2,JR70&lt;&gt;0,JR$2,KR70&lt;&gt;0,KR$2,LR70&lt;&gt;0,LR$2,TRUE,"")</f>
        <v>New</v>
      </c>
      <c r="HS70" s="1" t="str" cm="1">
        <f t="array" ref="HS70">+_xlfn.IFS(IS70&lt;&gt;0,IS$2,JS70&lt;&gt;0,JS$2,KS70&lt;&gt;0,KS$2,LS70&lt;&gt;0,LS$2,TRUE,"")</f>
        <v>New</v>
      </c>
      <c r="HT70" s="1" t="str" cm="1">
        <f t="array" ref="HT70">+_xlfn.IFS(IT70&lt;&gt;0,IT$2,JT70&lt;&gt;0,JT$2,KT70&lt;&gt;0,KT$2,LT70&lt;&gt;0,LT$2,TRUE,"")</f>
        <v>New</v>
      </c>
      <c r="HV70" s="111">
        <f t="shared" si="607"/>
        <v>0</v>
      </c>
      <c r="HW70" s="110">
        <f t="shared" si="608"/>
        <v>0</v>
      </c>
      <c r="HX70" s="110">
        <f t="shared" si="609"/>
        <v>0</v>
      </c>
      <c r="HY70" s="110">
        <f t="shared" si="610"/>
        <v>0</v>
      </c>
      <c r="HZ70" s="110">
        <f t="shared" si="611"/>
        <v>0</v>
      </c>
      <c r="IA70" s="110">
        <f t="shared" si="612"/>
        <v>0</v>
      </c>
      <c r="IB70" s="110">
        <f t="shared" si="613"/>
        <v>0</v>
      </c>
      <c r="IC70" s="110">
        <f t="shared" si="614"/>
        <v>0</v>
      </c>
      <c r="ID70" s="110">
        <f t="shared" si="615"/>
        <v>0</v>
      </c>
      <c r="IE70" s="110">
        <f t="shared" si="616"/>
        <v>0</v>
      </c>
      <c r="IF70" s="110">
        <f t="shared" si="617"/>
        <v>0</v>
      </c>
      <c r="IG70" s="110">
        <f t="shared" si="618"/>
        <v>0</v>
      </c>
      <c r="IH70" s="110">
        <f t="shared" si="619"/>
        <v>0</v>
      </c>
      <c r="II70" s="110">
        <f t="shared" si="620"/>
        <v>0</v>
      </c>
      <c r="IJ70" s="110">
        <f t="shared" si="621"/>
        <v>0</v>
      </c>
      <c r="IK70" s="110">
        <f t="shared" si="622"/>
        <v>0</v>
      </c>
      <c r="IL70" s="110">
        <f t="shared" si="623"/>
        <v>0</v>
      </c>
      <c r="IM70" s="110">
        <f t="shared" si="624"/>
        <v>0</v>
      </c>
      <c r="IN70" s="110">
        <f t="shared" si="625"/>
        <v>257.72000000000003</v>
      </c>
      <c r="IO70" s="110">
        <f t="shared" si="626"/>
        <v>257.72000000000003</v>
      </c>
      <c r="IP70" s="110">
        <f t="shared" si="627"/>
        <v>257.72000000000003</v>
      </c>
      <c r="IQ70" s="110">
        <f t="shared" si="628"/>
        <v>257.72000000000003</v>
      </c>
      <c r="IR70" s="110">
        <f t="shared" si="629"/>
        <v>257.72000000000003</v>
      </c>
      <c r="IS70" s="110">
        <f t="shared" si="630"/>
        <v>257.72000000000003</v>
      </c>
      <c r="IT70" s="110">
        <f t="shared" si="631"/>
        <v>257.72000000000003</v>
      </c>
      <c r="IV70" s="111">
        <f t="shared" si="632"/>
        <v>0</v>
      </c>
      <c r="IW70" s="110">
        <f t="shared" si="633"/>
        <v>0</v>
      </c>
      <c r="IX70" s="110">
        <f t="shared" si="634"/>
        <v>0</v>
      </c>
      <c r="IY70" s="110">
        <f t="shared" si="635"/>
        <v>0</v>
      </c>
      <c r="IZ70" s="110">
        <f t="shared" si="636"/>
        <v>0</v>
      </c>
      <c r="JA70" s="110">
        <f t="shared" si="637"/>
        <v>0</v>
      </c>
      <c r="JB70" s="110">
        <f t="shared" si="638"/>
        <v>0</v>
      </c>
      <c r="JC70" s="110">
        <f t="shared" si="639"/>
        <v>0</v>
      </c>
      <c r="JD70" s="110">
        <f t="shared" si="640"/>
        <v>0</v>
      </c>
      <c r="JE70" s="110">
        <f t="shared" si="641"/>
        <v>0</v>
      </c>
      <c r="JF70" s="110">
        <f t="shared" si="642"/>
        <v>0</v>
      </c>
      <c r="JG70" s="110">
        <f t="shared" si="643"/>
        <v>0</v>
      </c>
      <c r="JH70" s="110">
        <f t="shared" si="644"/>
        <v>0</v>
      </c>
      <c r="JI70" s="110">
        <f t="shared" si="645"/>
        <v>0</v>
      </c>
      <c r="JJ70" s="110">
        <f t="shared" si="646"/>
        <v>0</v>
      </c>
      <c r="JK70" s="110">
        <f t="shared" si="647"/>
        <v>0</v>
      </c>
      <c r="JL70" s="110">
        <f t="shared" si="648"/>
        <v>0</v>
      </c>
      <c r="JM70" s="110">
        <f t="shared" si="649"/>
        <v>0</v>
      </c>
      <c r="JN70" s="110">
        <f t="shared" si="650"/>
        <v>0</v>
      </c>
      <c r="JO70" s="110">
        <f t="shared" si="651"/>
        <v>0</v>
      </c>
      <c r="JP70" s="110">
        <f t="shared" si="652"/>
        <v>0</v>
      </c>
      <c r="JQ70" s="110">
        <f t="shared" si="653"/>
        <v>0</v>
      </c>
      <c r="JR70" s="110">
        <f t="shared" si="654"/>
        <v>0</v>
      </c>
      <c r="JS70" s="110">
        <f t="shared" si="655"/>
        <v>0</v>
      </c>
      <c r="JT70" s="110">
        <f t="shared" si="656"/>
        <v>0</v>
      </c>
      <c r="JV70" s="111">
        <f t="shared" si="657"/>
        <v>0</v>
      </c>
      <c r="JW70" s="110">
        <f t="shared" si="658"/>
        <v>0</v>
      </c>
      <c r="JX70" s="110">
        <f t="shared" si="659"/>
        <v>0</v>
      </c>
      <c r="JY70" s="110">
        <f t="shared" si="660"/>
        <v>0</v>
      </c>
      <c r="JZ70" s="110">
        <f t="shared" si="661"/>
        <v>0</v>
      </c>
      <c r="KA70" s="110">
        <f t="shared" si="662"/>
        <v>0</v>
      </c>
      <c r="KB70" s="110">
        <f t="shared" si="663"/>
        <v>0</v>
      </c>
      <c r="KC70" s="110">
        <f t="shared" si="664"/>
        <v>0</v>
      </c>
      <c r="KD70" s="110">
        <f t="shared" si="665"/>
        <v>0</v>
      </c>
      <c r="KE70" s="110">
        <f t="shared" si="666"/>
        <v>0</v>
      </c>
      <c r="KF70" s="110">
        <f t="shared" si="667"/>
        <v>0</v>
      </c>
      <c r="KG70" s="110">
        <f t="shared" si="668"/>
        <v>0</v>
      </c>
      <c r="KH70" s="110">
        <f t="shared" si="669"/>
        <v>0</v>
      </c>
      <c r="KI70" s="110">
        <f t="shared" si="670"/>
        <v>0</v>
      </c>
      <c r="KJ70" s="110">
        <f t="shared" si="671"/>
        <v>0</v>
      </c>
      <c r="KK70" s="110">
        <f t="shared" si="672"/>
        <v>0</v>
      </c>
      <c r="KL70" s="110">
        <f t="shared" si="673"/>
        <v>0</v>
      </c>
      <c r="KM70" s="110">
        <f t="shared" si="674"/>
        <v>0</v>
      </c>
      <c r="KN70" s="110">
        <f t="shared" si="675"/>
        <v>0</v>
      </c>
      <c r="KO70" s="110">
        <f t="shared" si="676"/>
        <v>0</v>
      </c>
      <c r="KP70" s="110">
        <f t="shared" si="677"/>
        <v>0</v>
      </c>
      <c r="KQ70" s="110">
        <f t="shared" si="678"/>
        <v>0</v>
      </c>
      <c r="KR70" s="110">
        <f t="shared" si="679"/>
        <v>0</v>
      </c>
      <c r="KS70" s="110">
        <f t="shared" si="680"/>
        <v>0</v>
      </c>
      <c r="KT70" s="110">
        <f t="shared" si="681"/>
        <v>0</v>
      </c>
      <c r="KV70" s="111">
        <f t="shared" si="682"/>
        <v>0</v>
      </c>
      <c r="KW70" s="110">
        <f t="shared" si="683"/>
        <v>0</v>
      </c>
      <c r="KX70" s="110">
        <f t="shared" si="684"/>
        <v>0</v>
      </c>
      <c r="KY70" s="110">
        <f t="shared" si="685"/>
        <v>0</v>
      </c>
      <c r="KZ70" s="110">
        <f t="shared" si="686"/>
        <v>0</v>
      </c>
      <c r="LA70" s="110">
        <f t="shared" si="687"/>
        <v>0</v>
      </c>
      <c r="LB70" s="110">
        <f t="shared" si="688"/>
        <v>0</v>
      </c>
      <c r="LC70" s="110">
        <f t="shared" si="689"/>
        <v>0</v>
      </c>
      <c r="LD70" s="110">
        <f t="shared" si="690"/>
        <v>0</v>
      </c>
      <c r="LE70" s="110">
        <f t="shared" si="691"/>
        <v>0</v>
      </c>
      <c r="LF70" s="110">
        <f t="shared" si="692"/>
        <v>0</v>
      </c>
      <c r="LG70" s="110">
        <f t="shared" si="693"/>
        <v>0</v>
      </c>
      <c r="LH70" s="110">
        <f t="shared" si="694"/>
        <v>0</v>
      </c>
      <c r="LI70" s="110">
        <f t="shared" si="695"/>
        <v>0</v>
      </c>
      <c r="LJ70" s="110">
        <f t="shared" si="696"/>
        <v>0</v>
      </c>
      <c r="LK70" s="110">
        <f t="shared" si="697"/>
        <v>0</v>
      </c>
      <c r="LL70" s="110">
        <f t="shared" si="698"/>
        <v>0</v>
      </c>
      <c r="LM70" s="110">
        <f t="shared" si="699"/>
        <v>0</v>
      </c>
      <c r="LN70" s="110">
        <f t="shared" si="700"/>
        <v>0</v>
      </c>
      <c r="LO70" s="110">
        <f t="shared" si="701"/>
        <v>0</v>
      </c>
      <c r="LP70" s="110">
        <f t="shared" si="702"/>
        <v>0</v>
      </c>
      <c r="LQ70" s="110">
        <f t="shared" si="703"/>
        <v>0</v>
      </c>
      <c r="LR70" s="110">
        <f t="shared" si="704"/>
        <v>0</v>
      </c>
      <c r="LS70" s="110">
        <f t="shared" si="705"/>
        <v>0</v>
      </c>
      <c r="LT70" s="110">
        <f t="shared" si="706"/>
        <v>0</v>
      </c>
      <c r="LV70" s="111"/>
      <c r="LW70" s="110">
        <f t="shared" si="707"/>
        <v>0</v>
      </c>
      <c r="LX70" s="110">
        <f t="shared" si="708"/>
        <v>0</v>
      </c>
      <c r="LY70" s="110">
        <f t="shared" si="709"/>
        <v>0</v>
      </c>
      <c r="LZ70" s="110">
        <f t="shared" si="710"/>
        <v>0</v>
      </c>
      <c r="MA70" s="110">
        <f t="shared" si="711"/>
        <v>0</v>
      </c>
      <c r="MB70" s="110">
        <f t="shared" si="712"/>
        <v>0</v>
      </c>
      <c r="MC70" s="110">
        <f t="shared" si="713"/>
        <v>0</v>
      </c>
      <c r="MD70" s="110">
        <f t="shared" si="714"/>
        <v>0</v>
      </c>
      <c r="ME70" s="110">
        <f t="shared" si="715"/>
        <v>0</v>
      </c>
      <c r="MF70" s="110">
        <f t="shared" si="716"/>
        <v>0</v>
      </c>
      <c r="MG70" s="110">
        <f t="shared" si="717"/>
        <v>0</v>
      </c>
      <c r="MH70" s="110">
        <f t="shared" si="718"/>
        <v>0</v>
      </c>
      <c r="MI70" s="110">
        <f t="shared" si="719"/>
        <v>0</v>
      </c>
      <c r="MJ70" s="110">
        <f t="shared" si="720"/>
        <v>0</v>
      </c>
      <c r="MK70" s="110">
        <f t="shared" si="721"/>
        <v>0</v>
      </c>
      <c r="ML70" s="110">
        <f t="shared" si="722"/>
        <v>0</v>
      </c>
      <c r="MM70" s="110">
        <f t="shared" si="723"/>
        <v>0</v>
      </c>
      <c r="MN70" s="110">
        <f t="shared" si="724"/>
        <v>0</v>
      </c>
      <c r="MO70" s="110">
        <f t="shared" si="725"/>
        <v>0</v>
      </c>
      <c r="MP70" s="110">
        <f t="shared" si="726"/>
        <v>0</v>
      </c>
      <c r="MQ70" s="110">
        <f t="shared" si="727"/>
        <v>0</v>
      </c>
      <c r="MR70" s="110">
        <f t="shared" si="728"/>
        <v>0</v>
      </c>
      <c r="MS70" s="110">
        <f t="shared" si="729"/>
        <v>0</v>
      </c>
      <c r="MT70" s="110">
        <f t="shared" si="730"/>
        <v>0</v>
      </c>
      <c r="MV70" s="114">
        <v>257.72000000000003</v>
      </c>
      <c r="MW70" s="114">
        <v>257.72000000000003</v>
      </c>
      <c r="MX70" s="114">
        <v>0</v>
      </c>
      <c r="MY70" s="114">
        <v>0</v>
      </c>
      <c r="MZ70" s="114">
        <v>0</v>
      </c>
      <c r="NB70" s="115">
        <v>39</v>
      </c>
      <c r="NC70" s="115">
        <v>5</v>
      </c>
      <c r="ND70" s="115" t="str">
        <v>N/A</v>
      </c>
      <c r="NE70" s="115" t="str">
        <v>N/A</v>
      </c>
      <c r="NF70" s="115" t="str">
        <v>N/A</v>
      </c>
    </row>
    <row r="71" spans="2:370" ht="13.5" x14ac:dyDescent="0.25">
      <c r="B71" s="8">
        <f t="shared" si="731"/>
        <v>68</v>
      </c>
      <c r="C71" s="7">
        <v>0</v>
      </c>
      <c r="D71" s="7">
        <v>0</v>
      </c>
      <c r="E71" s="7">
        <v>0</v>
      </c>
      <c r="F71" s="7">
        <v>0</v>
      </c>
      <c r="G71" s="7">
        <v>0</v>
      </c>
      <c r="H71" s="7">
        <v>0</v>
      </c>
      <c r="I71" s="7">
        <v>0</v>
      </c>
      <c r="J71" s="7">
        <v>0</v>
      </c>
      <c r="K71" s="7">
        <v>0</v>
      </c>
      <c r="L71" s="7">
        <v>0</v>
      </c>
      <c r="M71" s="7">
        <v>0</v>
      </c>
      <c r="N71" s="7">
        <v>0</v>
      </c>
      <c r="O71" s="7">
        <v>0</v>
      </c>
      <c r="P71" s="7">
        <v>0</v>
      </c>
      <c r="Q71" s="7">
        <v>0</v>
      </c>
      <c r="R71" s="7">
        <v>0</v>
      </c>
      <c r="S71" s="7">
        <v>0</v>
      </c>
      <c r="T71" s="7">
        <v>0</v>
      </c>
      <c r="U71" s="7">
        <v>0</v>
      </c>
      <c r="V71" s="7">
        <v>0</v>
      </c>
      <c r="W71" s="7">
        <v>0</v>
      </c>
      <c r="X71" s="7">
        <v>0</v>
      </c>
      <c r="Y71" s="7">
        <v>0</v>
      </c>
      <c r="Z71" s="7">
        <v>0</v>
      </c>
      <c r="AA71" s="7">
        <v>0</v>
      </c>
      <c r="AB71" s="7">
        <v>0</v>
      </c>
      <c r="AC71" s="7">
        <v>0</v>
      </c>
      <c r="AD71" s="7">
        <v>0</v>
      </c>
      <c r="AE71" s="7">
        <v>0</v>
      </c>
      <c r="AF71" s="7">
        <v>0</v>
      </c>
      <c r="AG71" s="7">
        <v>361.22</v>
      </c>
      <c r="AH71" s="7">
        <v>361.22</v>
      </c>
      <c r="AI71" s="7">
        <v>361.22</v>
      </c>
      <c r="AJ71" s="7">
        <v>361.22</v>
      </c>
      <c r="AK71" s="7">
        <v>361.22</v>
      </c>
      <c r="AL71" s="7">
        <v>361.22</v>
      </c>
      <c r="AM71" s="7">
        <v>361.22</v>
      </c>
      <c r="AN71" s="27">
        <v>68</v>
      </c>
      <c r="AP71" s="111"/>
      <c r="AQ71" s="110">
        <f t="shared" si="492"/>
        <v>0</v>
      </c>
      <c r="AR71" s="110">
        <f t="shared" si="493"/>
        <v>0</v>
      </c>
      <c r="AS71" s="110">
        <f t="shared" si="494"/>
        <v>0</v>
      </c>
      <c r="AT71" s="110">
        <f t="shared" si="495"/>
        <v>0</v>
      </c>
      <c r="AU71" s="110">
        <f t="shared" si="496"/>
        <v>0</v>
      </c>
      <c r="AV71" s="110">
        <f t="shared" si="497"/>
        <v>0</v>
      </c>
      <c r="AW71" s="110">
        <f t="shared" si="498"/>
        <v>0</v>
      </c>
      <c r="AX71" s="110">
        <f t="shared" si="499"/>
        <v>0</v>
      </c>
      <c r="AY71" s="110">
        <f t="shared" si="500"/>
        <v>0</v>
      </c>
      <c r="AZ71" s="110">
        <f t="shared" si="501"/>
        <v>361.22</v>
      </c>
      <c r="BA71" s="110">
        <f t="shared" si="502"/>
        <v>0</v>
      </c>
      <c r="BB71" s="110">
        <f t="shared" si="503"/>
        <v>0</v>
      </c>
      <c r="BD71" s="109" cm="1">
        <f t="array" ref="BD71">+IFERROR(INDEX($C$3:$AM$3,MATCH(TRUE,INDEX($C71:$AM71&lt;&gt;0,0),0)),"N/A")</f>
        <v>45838</v>
      </c>
      <c r="BE71" s="112"/>
      <c r="BF71" s="1" t="str" cm="1">
        <f t="array" ref="BF71">+_xlfn.IFS(BT71&lt;&gt;0,BT$2,CH71&lt;&gt;0,CH$2,CV71&lt;&gt;0,CV$2,DJ71&lt;&gt;0,DJ$2,TRUE,"")</f>
        <v/>
      </c>
      <c r="BG71" s="1" t="str" cm="1">
        <f t="array" ref="BG71">+_xlfn.IFS(BU71&lt;&gt;0,BU$2,CI71&lt;&gt;0,CI$2,CW71&lt;&gt;0,CW$2,DK71&lt;&gt;0,DK$2,TRUE,"")</f>
        <v/>
      </c>
      <c r="BH71" s="1" t="str" cm="1">
        <f t="array" ref="BH71">+_xlfn.IFS(BV71&lt;&gt;0,BV$2,CJ71&lt;&gt;0,CJ$2,CX71&lt;&gt;0,CX$2,DL71&lt;&gt;0,DL$2,TRUE,"")</f>
        <v/>
      </c>
      <c r="BI71" s="1" t="str" cm="1">
        <f t="array" ref="BI71">+_xlfn.IFS(BW71&lt;&gt;0,BW$2,CK71&lt;&gt;0,CK$2,CY71&lt;&gt;0,CY$2,DM71&lt;&gt;0,DM$2,TRUE,"")</f>
        <v/>
      </c>
      <c r="BJ71" s="1" t="str" cm="1">
        <f t="array" ref="BJ71">+_xlfn.IFS(BX71&lt;&gt;0,BX$2,CL71&lt;&gt;0,CL$2,CZ71&lt;&gt;0,CZ$2,DN71&lt;&gt;0,DN$2,TRUE,"")</f>
        <v/>
      </c>
      <c r="BK71" s="1" t="str" cm="1">
        <f t="array" ref="BK71">+_xlfn.IFS(BY71&lt;&gt;0,BY$2,CM71&lt;&gt;0,CM$2,DA71&lt;&gt;0,DA$2,DO71&lt;&gt;0,DO$2,TRUE,"")</f>
        <v/>
      </c>
      <c r="BL71" s="1" t="str" cm="1">
        <f t="array" ref="BL71">+_xlfn.IFS(BZ71&lt;&gt;0,BZ$2,CN71&lt;&gt;0,CN$2,DB71&lt;&gt;0,DB$2,DP71&lt;&gt;0,DP$2,TRUE,"")</f>
        <v/>
      </c>
      <c r="BM71" s="1" t="str" cm="1">
        <f t="array" ref="BM71">+_xlfn.IFS(CA71&lt;&gt;0,CA$2,CO71&lt;&gt;0,CO$2,DC71&lt;&gt;0,DC$2,DQ71&lt;&gt;0,DQ$2,TRUE,"")</f>
        <v/>
      </c>
      <c r="BN71" s="1" t="str" cm="1">
        <f t="array" ref="BN71">+_xlfn.IFS(CB71&lt;&gt;0,CB$2,CP71&lt;&gt;0,CP$2,DD71&lt;&gt;0,DD$2,DR71&lt;&gt;0,DR$2,TRUE,"")</f>
        <v/>
      </c>
      <c r="BO71" s="1" t="str" cm="1">
        <f t="array" ref="BO71">+_xlfn.IFS(CC71&lt;&gt;0,CC$2,CQ71&lt;&gt;0,CQ$2,DE71&lt;&gt;0,DE$2,DS71&lt;&gt;0,DS$2,TRUE,"")</f>
        <v>New</v>
      </c>
      <c r="BP71" s="1" t="str" cm="1">
        <f t="array" ref="BP71">+_xlfn.IFS(CD71&lt;&gt;0,CD$2,CR71&lt;&gt;0,CR$2,DF71&lt;&gt;0,DF$2,DT71&lt;&gt;0,DT$2,TRUE,"")</f>
        <v/>
      </c>
      <c r="BQ71" s="1" t="str" cm="1">
        <f t="array" ref="BQ71">+_xlfn.IFS(CE71&lt;&gt;0,CE$2,CS71&lt;&gt;0,CS$2,DG71&lt;&gt;0,DG$2,DU71&lt;&gt;0,DU$2,TRUE,"")</f>
        <v/>
      </c>
      <c r="BS71" s="111"/>
      <c r="BT71" s="110">
        <f t="shared" si="504"/>
        <v>0</v>
      </c>
      <c r="BU71" s="110">
        <f t="shared" si="505"/>
        <v>0</v>
      </c>
      <c r="BV71" s="110">
        <f t="shared" si="506"/>
        <v>0</v>
      </c>
      <c r="BW71" s="110">
        <f t="shared" si="507"/>
        <v>0</v>
      </c>
      <c r="BX71" s="110">
        <f t="shared" si="508"/>
        <v>0</v>
      </c>
      <c r="BY71" s="110">
        <f t="shared" si="509"/>
        <v>0</v>
      </c>
      <c r="BZ71" s="110">
        <f t="shared" si="510"/>
        <v>0</v>
      </c>
      <c r="CA71" s="110">
        <f t="shared" si="511"/>
        <v>0</v>
      </c>
      <c r="CB71" s="110">
        <f t="shared" si="512"/>
        <v>0</v>
      </c>
      <c r="CC71" s="110">
        <f t="shared" si="513"/>
        <v>361.22</v>
      </c>
      <c r="CD71" s="110">
        <f t="shared" si="514"/>
        <v>0</v>
      </c>
      <c r="CE71" s="110">
        <f t="shared" si="515"/>
        <v>0</v>
      </c>
      <c r="CG71" s="111"/>
      <c r="CH71" s="110">
        <f t="shared" si="516"/>
        <v>0</v>
      </c>
      <c r="CI71" s="110">
        <f t="shared" si="517"/>
        <v>0</v>
      </c>
      <c r="CJ71" s="110">
        <f t="shared" si="518"/>
        <v>0</v>
      </c>
      <c r="CK71" s="110">
        <f t="shared" si="519"/>
        <v>0</v>
      </c>
      <c r="CL71" s="110">
        <f t="shared" si="520"/>
        <v>0</v>
      </c>
      <c r="CM71" s="110">
        <f t="shared" si="521"/>
        <v>0</v>
      </c>
      <c r="CN71" s="110">
        <f t="shared" si="522"/>
        <v>0</v>
      </c>
      <c r="CO71" s="110">
        <f t="shared" si="523"/>
        <v>0</v>
      </c>
      <c r="CP71" s="110">
        <f t="shared" si="524"/>
        <v>0</v>
      </c>
      <c r="CQ71" s="110">
        <f t="shared" si="525"/>
        <v>0</v>
      </c>
      <c r="CR71" s="110">
        <f t="shared" si="526"/>
        <v>0</v>
      </c>
      <c r="CS71" s="110">
        <f t="shared" si="527"/>
        <v>0</v>
      </c>
      <c r="CU71" s="111"/>
      <c r="CV71" s="110">
        <f t="shared" si="528"/>
        <v>0</v>
      </c>
      <c r="CW71" s="110">
        <f t="shared" si="529"/>
        <v>0</v>
      </c>
      <c r="CX71" s="110">
        <f t="shared" si="530"/>
        <v>0</v>
      </c>
      <c r="CY71" s="110">
        <f t="shared" si="531"/>
        <v>0</v>
      </c>
      <c r="CZ71" s="110">
        <f t="shared" si="532"/>
        <v>0</v>
      </c>
      <c r="DA71" s="110">
        <f t="shared" si="533"/>
        <v>0</v>
      </c>
      <c r="DB71" s="110">
        <f t="shared" si="534"/>
        <v>0</v>
      </c>
      <c r="DC71" s="110">
        <f t="shared" si="535"/>
        <v>0</v>
      </c>
      <c r="DD71" s="110">
        <f t="shared" si="536"/>
        <v>0</v>
      </c>
      <c r="DE71" s="110">
        <f t="shared" si="537"/>
        <v>0</v>
      </c>
      <c r="DF71" s="110">
        <f t="shared" si="538"/>
        <v>0</v>
      </c>
      <c r="DG71" s="110">
        <f t="shared" si="539"/>
        <v>0</v>
      </c>
      <c r="DI71" s="111"/>
      <c r="DJ71" s="110">
        <f t="shared" si="540"/>
        <v>0</v>
      </c>
      <c r="DK71" s="110">
        <f t="shared" si="541"/>
        <v>0</v>
      </c>
      <c r="DL71" s="110">
        <f t="shared" si="542"/>
        <v>0</v>
      </c>
      <c r="DM71" s="110">
        <f t="shared" si="543"/>
        <v>0</v>
      </c>
      <c r="DN71" s="110">
        <f t="shared" si="544"/>
        <v>0</v>
      </c>
      <c r="DO71" s="110">
        <f t="shared" si="545"/>
        <v>0</v>
      </c>
      <c r="DP71" s="110">
        <f t="shared" si="546"/>
        <v>0</v>
      </c>
      <c r="DQ71" s="110">
        <f t="shared" si="547"/>
        <v>0</v>
      </c>
      <c r="DR71" s="110">
        <f t="shared" si="548"/>
        <v>0</v>
      </c>
      <c r="DS71" s="110">
        <f t="shared" si="549"/>
        <v>0</v>
      </c>
      <c r="DT71" s="110">
        <f t="shared" si="550"/>
        <v>0</v>
      </c>
      <c r="DU71" s="110">
        <f t="shared" si="551"/>
        <v>0</v>
      </c>
      <c r="DW71" s="111"/>
      <c r="DX71" s="110">
        <f t="shared" si="552"/>
        <v>0</v>
      </c>
      <c r="DY71" s="110">
        <f t="shared" si="553"/>
        <v>0</v>
      </c>
      <c r="DZ71" s="110">
        <f t="shared" si="554"/>
        <v>0</v>
      </c>
      <c r="EA71" s="110">
        <f t="shared" si="555"/>
        <v>0</v>
      </c>
      <c r="EB71" s="110">
        <f t="shared" si="556"/>
        <v>0</v>
      </c>
      <c r="EC71" s="110">
        <f t="shared" si="557"/>
        <v>0</v>
      </c>
      <c r="ED71" s="110">
        <f t="shared" si="558"/>
        <v>0</v>
      </c>
      <c r="EE71" s="110">
        <f t="shared" si="559"/>
        <v>0</v>
      </c>
      <c r="EF71" s="110">
        <f t="shared" si="560"/>
        <v>0</v>
      </c>
      <c r="EG71" s="110">
        <f t="shared" si="561"/>
        <v>0</v>
      </c>
      <c r="EH71" s="110">
        <f t="shared" si="562"/>
        <v>0</v>
      </c>
      <c r="EI71" s="110">
        <f t="shared" si="563"/>
        <v>0</v>
      </c>
      <c r="EK71" s="111"/>
      <c r="EL71" s="110">
        <f t="shared" si="564"/>
        <v>0</v>
      </c>
      <c r="EM71" s="110">
        <f t="shared" si="565"/>
        <v>0</v>
      </c>
      <c r="EN71" s="110">
        <f t="shared" si="566"/>
        <v>361.22</v>
      </c>
      <c r="EP71" s="109" cm="1">
        <f t="array" ref="EP71">+IFERROR(INDEX($C$3:$AM$3,MATCH(TRUE,INDEX($C71:$AM71&lt;&gt;0,0),0)),"N/A")</f>
        <v>45838</v>
      </c>
      <c r="EQ71" s="112"/>
      <c r="ER71" s="1" t="str" cm="1">
        <f t="array" ref="ER71">+_xlfn.IFS(EW71&lt;&gt;0,EW$2,FB71&lt;&gt;0,FB$2,FG71&lt;&gt;0,FG$2,FL71&lt;&gt;0,FL$2,TRUE,"")</f>
        <v/>
      </c>
      <c r="ES71" s="1" t="str" cm="1">
        <f t="array" ref="ES71">+_xlfn.IFS(EX71&lt;&gt;0,EX$2,FC71&lt;&gt;0,FC$2,FH71&lt;&gt;0,FH$2,FM71&lt;&gt;0,FM$2,TRUE,"")</f>
        <v/>
      </c>
      <c r="ET71" s="1" t="str" cm="1">
        <f t="array" ref="ET71">+_xlfn.IFS(EY71&lt;&gt;0,EY$2,FD71&lt;&gt;0,FD$2,FI71&lt;&gt;0,FI$2,FN71&lt;&gt;0,FN$2,TRUE,"")</f>
        <v>New</v>
      </c>
      <c r="EV71" s="111"/>
      <c r="EW71" s="110">
        <f t="shared" si="567"/>
        <v>0</v>
      </c>
      <c r="EX71" s="110">
        <f t="shared" si="568"/>
        <v>0</v>
      </c>
      <c r="EY71" s="110">
        <f t="shared" si="569"/>
        <v>361.22</v>
      </c>
      <c r="FA71" s="111"/>
      <c r="FB71" s="110">
        <f t="shared" si="570"/>
        <v>0</v>
      </c>
      <c r="FC71" s="110">
        <f t="shared" si="571"/>
        <v>0</v>
      </c>
      <c r="FD71" s="110">
        <f t="shared" si="572"/>
        <v>0</v>
      </c>
      <c r="FF71" s="111"/>
      <c r="FG71" s="110">
        <f t="shared" si="573"/>
        <v>0</v>
      </c>
      <c r="FH71" s="110">
        <f t="shared" si="574"/>
        <v>0</v>
      </c>
      <c r="FI71" s="110">
        <f t="shared" si="575"/>
        <v>0</v>
      </c>
      <c r="FK71" s="111"/>
      <c r="FL71" s="110">
        <f t="shared" si="576"/>
        <v>0</v>
      </c>
      <c r="FM71" s="110">
        <f t="shared" si="577"/>
        <v>0</v>
      </c>
      <c r="FN71" s="110">
        <f t="shared" si="578"/>
        <v>0</v>
      </c>
      <c r="FP71" s="111"/>
      <c r="FQ71" s="110">
        <f t="shared" si="579"/>
        <v>0</v>
      </c>
      <c r="FR71" s="110">
        <f t="shared" si="580"/>
        <v>0</v>
      </c>
      <c r="FS71" s="110">
        <f t="shared" si="581"/>
        <v>0</v>
      </c>
      <c r="FU71" s="111">
        <f t="shared" si="582"/>
        <v>0</v>
      </c>
      <c r="FV71" s="110">
        <f t="shared" si="583"/>
        <v>0</v>
      </c>
      <c r="FW71" s="110">
        <f t="shared" si="584"/>
        <v>0</v>
      </c>
      <c r="FX71" s="110">
        <f t="shared" si="585"/>
        <v>0</v>
      </c>
      <c r="FY71" s="110">
        <f t="shared" si="586"/>
        <v>0</v>
      </c>
      <c r="FZ71" s="110">
        <f t="shared" si="587"/>
        <v>0</v>
      </c>
      <c r="GA71" s="110">
        <f t="shared" si="588"/>
        <v>0</v>
      </c>
      <c r="GB71" s="110">
        <f t="shared" si="589"/>
        <v>0</v>
      </c>
      <c r="GC71" s="110">
        <f t="shared" si="590"/>
        <v>0</v>
      </c>
      <c r="GD71" s="110">
        <f t="shared" si="591"/>
        <v>0</v>
      </c>
      <c r="GE71" s="110">
        <f t="shared" si="592"/>
        <v>0</v>
      </c>
      <c r="GF71" s="110">
        <f t="shared" si="593"/>
        <v>0</v>
      </c>
      <c r="GG71" s="110">
        <f t="shared" si="594"/>
        <v>0</v>
      </c>
      <c r="GH71" s="110">
        <f t="shared" si="595"/>
        <v>0</v>
      </c>
      <c r="GI71" s="110">
        <f t="shared" si="596"/>
        <v>0</v>
      </c>
      <c r="GJ71" s="110">
        <f t="shared" si="597"/>
        <v>0</v>
      </c>
      <c r="GK71" s="110">
        <f t="shared" si="598"/>
        <v>0</v>
      </c>
      <c r="GL71" s="110">
        <f t="shared" si="599"/>
        <v>0</v>
      </c>
      <c r="GM71" s="110">
        <f t="shared" si="600"/>
        <v>361.22</v>
      </c>
      <c r="GN71" s="110">
        <f t="shared" si="601"/>
        <v>361.22</v>
      </c>
      <c r="GO71" s="110">
        <f t="shared" si="602"/>
        <v>361.22</v>
      </c>
      <c r="GP71" s="110">
        <f t="shared" si="603"/>
        <v>361.22</v>
      </c>
      <c r="GQ71" s="110">
        <f t="shared" si="604"/>
        <v>361.22</v>
      </c>
      <c r="GR71" s="110">
        <f t="shared" si="605"/>
        <v>361.22</v>
      </c>
      <c r="GS71" s="110">
        <f t="shared" si="606"/>
        <v>361.22</v>
      </c>
      <c r="GU71" s="109" cm="1">
        <f t="array" ref="GU71">+IFERROR(INDEX($C$3:$AM$3,MATCH(TRUE,INDEX($C71:$AM71&lt;&gt;0,0),0)),"N/A")</f>
        <v>45838</v>
      </c>
      <c r="GV71" s="112" t="str" cm="1">
        <f t="array" ref="GV71">+_xlfn.IFS(HV71&lt;&gt;0,HV$2,IV71&lt;&gt;0,IV$2,JV71&lt;&gt;0,JV$2,KV71&lt;&gt;0,KV$2,TRUE,"")</f>
        <v/>
      </c>
      <c r="GW71" s="1" t="str" cm="1">
        <f t="array" ref="GW71">+_xlfn.IFS(HW71&lt;&gt;0,HW$2,IW71&lt;&gt;0,IW$2,JW71&lt;&gt;0,JW$2,KW71&lt;&gt;0,KW$2,TRUE,"")</f>
        <v/>
      </c>
      <c r="GX71" s="1" t="str" cm="1">
        <f t="array" ref="GX71">+_xlfn.IFS(HX71&lt;&gt;0,HX$2,IX71&lt;&gt;0,IX$2,JX71&lt;&gt;0,JX$2,KX71&lt;&gt;0,KX$2,TRUE,"")</f>
        <v/>
      </c>
      <c r="GY71" s="1" t="str" cm="1">
        <f t="array" ref="GY71">+_xlfn.IFS(HY71&lt;&gt;0,HY$2,IY71&lt;&gt;0,IY$2,JY71&lt;&gt;0,JY$2,KY71&lt;&gt;0,KY$2,TRUE,"")</f>
        <v/>
      </c>
      <c r="GZ71" s="1" t="str" cm="1">
        <f t="array" ref="GZ71">+_xlfn.IFS(HZ71&lt;&gt;0,HZ$2,IZ71&lt;&gt;0,IZ$2,JZ71&lt;&gt;0,JZ$2,KZ71&lt;&gt;0,KZ$2,TRUE,"")</f>
        <v/>
      </c>
      <c r="HA71" s="1" t="str" cm="1">
        <f t="array" ref="HA71">+_xlfn.IFS(IA71&lt;&gt;0,IA$2,JA71&lt;&gt;0,JA$2,KA71&lt;&gt;0,KA$2,LA71&lt;&gt;0,LA$2,TRUE,"")</f>
        <v/>
      </c>
      <c r="HB71" s="1" t="str" cm="1">
        <f t="array" ref="HB71">+_xlfn.IFS(IB71&lt;&gt;0,IB$2,JB71&lt;&gt;0,JB$2,KB71&lt;&gt;0,KB$2,LB71&lt;&gt;0,LB$2,TRUE,"")</f>
        <v/>
      </c>
      <c r="HC71" s="1" t="str" cm="1">
        <f t="array" ref="HC71">+_xlfn.IFS(IC71&lt;&gt;0,IC$2,JC71&lt;&gt;0,JC$2,KC71&lt;&gt;0,KC$2,LC71&lt;&gt;0,LC$2,TRUE,"")</f>
        <v/>
      </c>
      <c r="HD71" s="1" t="str" cm="1">
        <f t="array" ref="HD71">+_xlfn.IFS(ID71&lt;&gt;0,ID$2,JD71&lt;&gt;0,JD$2,KD71&lt;&gt;0,KD$2,LD71&lt;&gt;0,LD$2,TRUE,"")</f>
        <v/>
      </c>
      <c r="HE71" s="1" t="str" cm="1">
        <f t="array" ref="HE71">+_xlfn.IFS(IE71&lt;&gt;0,IE$2,JE71&lt;&gt;0,JE$2,KE71&lt;&gt;0,KE$2,LE71&lt;&gt;0,LE$2,TRUE,"")</f>
        <v/>
      </c>
      <c r="HF71" s="1" t="str" cm="1">
        <f t="array" ref="HF71">+_xlfn.IFS(IF71&lt;&gt;0,IF$2,JF71&lt;&gt;0,JF$2,KF71&lt;&gt;0,KF$2,LF71&lt;&gt;0,LF$2,TRUE,"")</f>
        <v/>
      </c>
      <c r="HG71" s="1" t="str" cm="1">
        <f t="array" ref="HG71">+_xlfn.IFS(IG71&lt;&gt;0,IG$2,JG71&lt;&gt;0,JG$2,KG71&lt;&gt;0,KG$2,LG71&lt;&gt;0,LG$2,TRUE,"")</f>
        <v/>
      </c>
      <c r="HH71" s="1" t="str" cm="1">
        <f t="array" ref="HH71">+_xlfn.IFS(IH71&lt;&gt;0,IH$2,JH71&lt;&gt;0,JH$2,KH71&lt;&gt;0,KH$2,LH71&lt;&gt;0,LH$2,TRUE,"")</f>
        <v/>
      </c>
      <c r="HI71" s="1" t="str" cm="1">
        <f t="array" ref="HI71">+_xlfn.IFS(II71&lt;&gt;0,II$2,JI71&lt;&gt;0,JI$2,KI71&lt;&gt;0,KI$2,LI71&lt;&gt;0,LI$2,TRUE,"")</f>
        <v/>
      </c>
      <c r="HJ71" s="1" t="str" cm="1">
        <f t="array" ref="HJ71">+_xlfn.IFS(IJ71&lt;&gt;0,IJ$2,JJ71&lt;&gt;0,JJ$2,KJ71&lt;&gt;0,KJ$2,LJ71&lt;&gt;0,LJ$2,TRUE,"")</f>
        <v/>
      </c>
      <c r="HK71" s="1" t="str" cm="1">
        <f t="array" ref="HK71">+_xlfn.IFS(IK71&lt;&gt;0,IK$2,JK71&lt;&gt;0,JK$2,KK71&lt;&gt;0,KK$2,LK71&lt;&gt;0,LK$2,TRUE,"")</f>
        <v/>
      </c>
      <c r="HL71" s="1" t="str" cm="1">
        <f t="array" ref="HL71">+_xlfn.IFS(IL71&lt;&gt;0,IL$2,JL71&lt;&gt;0,JL$2,KL71&lt;&gt;0,KL$2,LL71&lt;&gt;0,LL$2,TRUE,"")</f>
        <v/>
      </c>
      <c r="HM71" s="1" t="str" cm="1">
        <f t="array" ref="HM71">+_xlfn.IFS(IM71&lt;&gt;0,IM$2,JM71&lt;&gt;0,JM$2,KM71&lt;&gt;0,KM$2,LM71&lt;&gt;0,LM$2,TRUE,"")</f>
        <v/>
      </c>
      <c r="HN71" s="1" t="str" cm="1">
        <f t="array" ref="HN71">+_xlfn.IFS(IN71&lt;&gt;0,IN$2,JN71&lt;&gt;0,JN$2,KN71&lt;&gt;0,KN$2,LN71&lt;&gt;0,LN$2,TRUE,"")</f>
        <v>New</v>
      </c>
      <c r="HO71" s="1" t="str" cm="1">
        <f t="array" ref="HO71">+_xlfn.IFS(IO71&lt;&gt;0,IO$2,JO71&lt;&gt;0,JO$2,KO71&lt;&gt;0,KO$2,LO71&lt;&gt;0,LO$2,TRUE,"")</f>
        <v>New</v>
      </c>
      <c r="HP71" s="1" t="str" cm="1">
        <f t="array" ref="HP71">+_xlfn.IFS(IP71&lt;&gt;0,IP$2,JP71&lt;&gt;0,JP$2,KP71&lt;&gt;0,KP$2,LP71&lt;&gt;0,LP$2,TRUE,"")</f>
        <v>New</v>
      </c>
      <c r="HQ71" s="1" t="str" cm="1">
        <f t="array" ref="HQ71">+_xlfn.IFS(IQ71&lt;&gt;0,IQ$2,JQ71&lt;&gt;0,JQ$2,KQ71&lt;&gt;0,KQ$2,LQ71&lt;&gt;0,LQ$2,TRUE,"")</f>
        <v>New</v>
      </c>
      <c r="HR71" s="1" t="str" cm="1">
        <f t="array" ref="HR71">+_xlfn.IFS(IR71&lt;&gt;0,IR$2,JR71&lt;&gt;0,JR$2,KR71&lt;&gt;0,KR$2,LR71&lt;&gt;0,LR$2,TRUE,"")</f>
        <v>New</v>
      </c>
      <c r="HS71" s="1" t="str" cm="1">
        <f t="array" ref="HS71">+_xlfn.IFS(IS71&lt;&gt;0,IS$2,JS71&lt;&gt;0,JS$2,KS71&lt;&gt;0,KS$2,LS71&lt;&gt;0,LS$2,TRUE,"")</f>
        <v>New</v>
      </c>
      <c r="HT71" s="1" t="str" cm="1">
        <f t="array" ref="HT71">+_xlfn.IFS(IT71&lt;&gt;0,IT$2,JT71&lt;&gt;0,JT$2,KT71&lt;&gt;0,KT$2,LT71&lt;&gt;0,LT$2,TRUE,"")</f>
        <v>New</v>
      </c>
      <c r="HV71" s="111">
        <f t="shared" si="607"/>
        <v>0</v>
      </c>
      <c r="HW71" s="110">
        <f t="shared" si="608"/>
        <v>0</v>
      </c>
      <c r="HX71" s="110">
        <f t="shared" si="609"/>
        <v>0</v>
      </c>
      <c r="HY71" s="110">
        <f t="shared" si="610"/>
        <v>0</v>
      </c>
      <c r="HZ71" s="110">
        <f t="shared" si="611"/>
        <v>0</v>
      </c>
      <c r="IA71" s="110">
        <f t="shared" si="612"/>
        <v>0</v>
      </c>
      <c r="IB71" s="110">
        <f t="shared" si="613"/>
        <v>0</v>
      </c>
      <c r="IC71" s="110">
        <f t="shared" si="614"/>
        <v>0</v>
      </c>
      <c r="ID71" s="110">
        <f t="shared" si="615"/>
        <v>0</v>
      </c>
      <c r="IE71" s="110">
        <f t="shared" si="616"/>
        <v>0</v>
      </c>
      <c r="IF71" s="110">
        <f t="shared" si="617"/>
        <v>0</v>
      </c>
      <c r="IG71" s="110">
        <f t="shared" si="618"/>
        <v>0</v>
      </c>
      <c r="IH71" s="110">
        <f t="shared" si="619"/>
        <v>0</v>
      </c>
      <c r="II71" s="110">
        <f t="shared" si="620"/>
        <v>0</v>
      </c>
      <c r="IJ71" s="110">
        <f t="shared" si="621"/>
        <v>0</v>
      </c>
      <c r="IK71" s="110">
        <f t="shared" si="622"/>
        <v>0</v>
      </c>
      <c r="IL71" s="110">
        <f t="shared" si="623"/>
        <v>0</v>
      </c>
      <c r="IM71" s="110">
        <f t="shared" si="624"/>
        <v>0</v>
      </c>
      <c r="IN71" s="110">
        <f t="shared" si="625"/>
        <v>361.22</v>
      </c>
      <c r="IO71" s="110">
        <f t="shared" si="626"/>
        <v>361.22</v>
      </c>
      <c r="IP71" s="110">
        <f t="shared" si="627"/>
        <v>361.22</v>
      </c>
      <c r="IQ71" s="110">
        <f t="shared" si="628"/>
        <v>361.22</v>
      </c>
      <c r="IR71" s="110">
        <f t="shared" si="629"/>
        <v>361.22</v>
      </c>
      <c r="IS71" s="110">
        <f t="shared" si="630"/>
        <v>361.22</v>
      </c>
      <c r="IT71" s="110">
        <f t="shared" si="631"/>
        <v>361.22</v>
      </c>
      <c r="IV71" s="111">
        <f t="shared" si="632"/>
        <v>0</v>
      </c>
      <c r="IW71" s="110">
        <f t="shared" si="633"/>
        <v>0</v>
      </c>
      <c r="IX71" s="110">
        <f t="shared" si="634"/>
        <v>0</v>
      </c>
      <c r="IY71" s="110">
        <f t="shared" si="635"/>
        <v>0</v>
      </c>
      <c r="IZ71" s="110">
        <f t="shared" si="636"/>
        <v>0</v>
      </c>
      <c r="JA71" s="110">
        <f t="shared" si="637"/>
        <v>0</v>
      </c>
      <c r="JB71" s="110">
        <f t="shared" si="638"/>
        <v>0</v>
      </c>
      <c r="JC71" s="110">
        <f t="shared" si="639"/>
        <v>0</v>
      </c>
      <c r="JD71" s="110">
        <f t="shared" si="640"/>
        <v>0</v>
      </c>
      <c r="JE71" s="110">
        <f t="shared" si="641"/>
        <v>0</v>
      </c>
      <c r="JF71" s="110">
        <f t="shared" si="642"/>
        <v>0</v>
      </c>
      <c r="JG71" s="110">
        <f t="shared" si="643"/>
        <v>0</v>
      </c>
      <c r="JH71" s="110">
        <f t="shared" si="644"/>
        <v>0</v>
      </c>
      <c r="JI71" s="110">
        <f t="shared" si="645"/>
        <v>0</v>
      </c>
      <c r="JJ71" s="110">
        <f t="shared" si="646"/>
        <v>0</v>
      </c>
      <c r="JK71" s="110">
        <f t="shared" si="647"/>
        <v>0</v>
      </c>
      <c r="JL71" s="110">
        <f t="shared" si="648"/>
        <v>0</v>
      </c>
      <c r="JM71" s="110">
        <f t="shared" si="649"/>
        <v>0</v>
      </c>
      <c r="JN71" s="110">
        <f t="shared" si="650"/>
        <v>0</v>
      </c>
      <c r="JO71" s="110">
        <f t="shared" si="651"/>
        <v>0</v>
      </c>
      <c r="JP71" s="110">
        <f t="shared" si="652"/>
        <v>0</v>
      </c>
      <c r="JQ71" s="110">
        <f t="shared" si="653"/>
        <v>0</v>
      </c>
      <c r="JR71" s="110">
        <f t="shared" si="654"/>
        <v>0</v>
      </c>
      <c r="JS71" s="110">
        <f t="shared" si="655"/>
        <v>0</v>
      </c>
      <c r="JT71" s="110">
        <f t="shared" si="656"/>
        <v>0</v>
      </c>
      <c r="JV71" s="111">
        <f t="shared" si="657"/>
        <v>0</v>
      </c>
      <c r="JW71" s="110">
        <f t="shared" si="658"/>
        <v>0</v>
      </c>
      <c r="JX71" s="110">
        <f t="shared" si="659"/>
        <v>0</v>
      </c>
      <c r="JY71" s="110">
        <f t="shared" si="660"/>
        <v>0</v>
      </c>
      <c r="JZ71" s="110">
        <f t="shared" si="661"/>
        <v>0</v>
      </c>
      <c r="KA71" s="110">
        <f t="shared" si="662"/>
        <v>0</v>
      </c>
      <c r="KB71" s="110">
        <f t="shared" si="663"/>
        <v>0</v>
      </c>
      <c r="KC71" s="110">
        <f t="shared" si="664"/>
        <v>0</v>
      </c>
      <c r="KD71" s="110">
        <f t="shared" si="665"/>
        <v>0</v>
      </c>
      <c r="KE71" s="110">
        <f t="shared" si="666"/>
        <v>0</v>
      </c>
      <c r="KF71" s="110">
        <f t="shared" si="667"/>
        <v>0</v>
      </c>
      <c r="KG71" s="110">
        <f t="shared" si="668"/>
        <v>0</v>
      </c>
      <c r="KH71" s="110">
        <f t="shared" si="669"/>
        <v>0</v>
      </c>
      <c r="KI71" s="110">
        <f t="shared" si="670"/>
        <v>0</v>
      </c>
      <c r="KJ71" s="110">
        <f t="shared" si="671"/>
        <v>0</v>
      </c>
      <c r="KK71" s="110">
        <f t="shared" si="672"/>
        <v>0</v>
      </c>
      <c r="KL71" s="110">
        <f t="shared" si="673"/>
        <v>0</v>
      </c>
      <c r="KM71" s="110">
        <f t="shared" si="674"/>
        <v>0</v>
      </c>
      <c r="KN71" s="110">
        <f t="shared" si="675"/>
        <v>0</v>
      </c>
      <c r="KO71" s="110">
        <f t="shared" si="676"/>
        <v>0</v>
      </c>
      <c r="KP71" s="110">
        <f t="shared" si="677"/>
        <v>0</v>
      </c>
      <c r="KQ71" s="110">
        <f t="shared" si="678"/>
        <v>0</v>
      </c>
      <c r="KR71" s="110">
        <f t="shared" si="679"/>
        <v>0</v>
      </c>
      <c r="KS71" s="110">
        <f t="shared" si="680"/>
        <v>0</v>
      </c>
      <c r="KT71" s="110">
        <f t="shared" si="681"/>
        <v>0</v>
      </c>
      <c r="KV71" s="111">
        <f t="shared" si="682"/>
        <v>0</v>
      </c>
      <c r="KW71" s="110">
        <f t="shared" si="683"/>
        <v>0</v>
      </c>
      <c r="KX71" s="110">
        <f t="shared" si="684"/>
        <v>0</v>
      </c>
      <c r="KY71" s="110">
        <f t="shared" si="685"/>
        <v>0</v>
      </c>
      <c r="KZ71" s="110">
        <f t="shared" si="686"/>
        <v>0</v>
      </c>
      <c r="LA71" s="110">
        <f t="shared" si="687"/>
        <v>0</v>
      </c>
      <c r="LB71" s="110">
        <f t="shared" si="688"/>
        <v>0</v>
      </c>
      <c r="LC71" s="110">
        <f t="shared" si="689"/>
        <v>0</v>
      </c>
      <c r="LD71" s="110">
        <f t="shared" si="690"/>
        <v>0</v>
      </c>
      <c r="LE71" s="110">
        <f t="shared" si="691"/>
        <v>0</v>
      </c>
      <c r="LF71" s="110">
        <f t="shared" si="692"/>
        <v>0</v>
      </c>
      <c r="LG71" s="110">
        <f t="shared" si="693"/>
        <v>0</v>
      </c>
      <c r="LH71" s="110">
        <f t="shared" si="694"/>
        <v>0</v>
      </c>
      <c r="LI71" s="110">
        <f t="shared" si="695"/>
        <v>0</v>
      </c>
      <c r="LJ71" s="110">
        <f t="shared" si="696"/>
        <v>0</v>
      </c>
      <c r="LK71" s="110">
        <f t="shared" si="697"/>
        <v>0</v>
      </c>
      <c r="LL71" s="110">
        <f t="shared" si="698"/>
        <v>0</v>
      </c>
      <c r="LM71" s="110">
        <f t="shared" si="699"/>
        <v>0</v>
      </c>
      <c r="LN71" s="110">
        <f t="shared" si="700"/>
        <v>0</v>
      </c>
      <c r="LO71" s="110">
        <f t="shared" si="701"/>
        <v>0</v>
      </c>
      <c r="LP71" s="110">
        <f t="shared" si="702"/>
        <v>0</v>
      </c>
      <c r="LQ71" s="110">
        <f t="shared" si="703"/>
        <v>0</v>
      </c>
      <c r="LR71" s="110">
        <f t="shared" si="704"/>
        <v>0</v>
      </c>
      <c r="LS71" s="110">
        <f t="shared" si="705"/>
        <v>0</v>
      </c>
      <c r="LT71" s="110">
        <f t="shared" si="706"/>
        <v>0</v>
      </c>
      <c r="LV71" s="111"/>
      <c r="LW71" s="110">
        <f t="shared" si="707"/>
        <v>0</v>
      </c>
      <c r="LX71" s="110">
        <f t="shared" si="708"/>
        <v>0</v>
      </c>
      <c r="LY71" s="110">
        <f t="shared" si="709"/>
        <v>0</v>
      </c>
      <c r="LZ71" s="110">
        <f t="shared" si="710"/>
        <v>0</v>
      </c>
      <c r="MA71" s="110">
        <f t="shared" si="711"/>
        <v>0</v>
      </c>
      <c r="MB71" s="110">
        <f t="shared" si="712"/>
        <v>0</v>
      </c>
      <c r="MC71" s="110">
        <f t="shared" si="713"/>
        <v>0</v>
      </c>
      <c r="MD71" s="110">
        <f t="shared" si="714"/>
        <v>0</v>
      </c>
      <c r="ME71" s="110">
        <f t="shared" si="715"/>
        <v>0</v>
      </c>
      <c r="MF71" s="110">
        <f t="shared" si="716"/>
        <v>0</v>
      </c>
      <c r="MG71" s="110">
        <f t="shared" si="717"/>
        <v>0</v>
      </c>
      <c r="MH71" s="110">
        <f t="shared" si="718"/>
        <v>0</v>
      </c>
      <c r="MI71" s="110">
        <f t="shared" si="719"/>
        <v>0</v>
      </c>
      <c r="MJ71" s="110">
        <f t="shared" si="720"/>
        <v>0</v>
      </c>
      <c r="MK71" s="110">
        <f t="shared" si="721"/>
        <v>0</v>
      </c>
      <c r="ML71" s="110">
        <f t="shared" si="722"/>
        <v>0</v>
      </c>
      <c r="MM71" s="110">
        <f t="shared" si="723"/>
        <v>0</v>
      </c>
      <c r="MN71" s="110">
        <f t="shared" si="724"/>
        <v>0</v>
      </c>
      <c r="MO71" s="110">
        <f t="shared" si="725"/>
        <v>0</v>
      </c>
      <c r="MP71" s="110">
        <f t="shared" si="726"/>
        <v>0</v>
      </c>
      <c r="MQ71" s="110">
        <f t="shared" si="727"/>
        <v>0</v>
      </c>
      <c r="MR71" s="110">
        <f t="shared" si="728"/>
        <v>0</v>
      </c>
      <c r="MS71" s="110">
        <f t="shared" si="729"/>
        <v>0</v>
      </c>
      <c r="MT71" s="110">
        <f t="shared" si="730"/>
        <v>0</v>
      </c>
      <c r="MV71" s="114">
        <v>361.22</v>
      </c>
      <c r="MW71" s="114">
        <v>361.22</v>
      </c>
      <c r="MX71" s="114">
        <v>0</v>
      </c>
      <c r="MY71" s="114">
        <v>0</v>
      </c>
      <c r="MZ71" s="114">
        <v>0</v>
      </c>
      <c r="NB71" s="115">
        <v>9</v>
      </c>
      <c r="NC71" s="115">
        <v>2</v>
      </c>
      <c r="ND71" s="115" t="str">
        <v>N/A</v>
      </c>
      <c r="NE71" s="115" t="str">
        <v>N/A</v>
      </c>
      <c r="NF71" s="115" t="str">
        <v>N/A</v>
      </c>
    </row>
    <row r="72" spans="2:370" ht="13.5" x14ac:dyDescent="0.25">
      <c r="B72" s="8">
        <f t="shared" si="731"/>
        <v>69</v>
      </c>
      <c r="C72" s="7">
        <v>0</v>
      </c>
      <c r="D72" s="7">
        <v>0</v>
      </c>
      <c r="E72" s="7">
        <v>0</v>
      </c>
      <c r="F72" s="7">
        <v>0</v>
      </c>
      <c r="G72" s="7">
        <v>0</v>
      </c>
      <c r="H72" s="7">
        <v>0</v>
      </c>
      <c r="I72" s="7">
        <v>0</v>
      </c>
      <c r="J72" s="7">
        <v>0</v>
      </c>
      <c r="K72" s="7">
        <v>0</v>
      </c>
      <c r="L72" s="7">
        <v>0</v>
      </c>
      <c r="M72" s="7">
        <v>0</v>
      </c>
      <c r="N72" s="7">
        <v>0</v>
      </c>
      <c r="O72" s="7">
        <v>0</v>
      </c>
      <c r="P72" s="7">
        <v>0</v>
      </c>
      <c r="Q72" s="7">
        <v>0</v>
      </c>
      <c r="R72" s="7">
        <v>0</v>
      </c>
      <c r="S72" s="7">
        <v>0</v>
      </c>
      <c r="T72" s="7">
        <v>0</v>
      </c>
      <c r="U72" s="7">
        <v>0</v>
      </c>
      <c r="V72" s="7">
        <v>0</v>
      </c>
      <c r="W72" s="7">
        <v>0</v>
      </c>
      <c r="X72" s="7">
        <v>0</v>
      </c>
      <c r="Y72" s="7">
        <v>0</v>
      </c>
      <c r="Z72" s="7">
        <v>0</v>
      </c>
      <c r="AA72" s="7">
        <v>0</v>
      </c>
      <c r="AB72" s="7">
        <v>0</v>
      </c>
      <c r="AC72" s="7">
        <v>0</v>
      </c>
      <c r="AD72" s="7">
        <v>0</v>
      </c>
      <c r="AE72" s="7">
        <v>0</v>
      </c>
      <c r="AF72" s="7">
        <v>0</v>
      </c>
      <c r="AG72" s="7">
        <v>0</v>
      </c>
      <c r="AH72" s="7">
        <v>0</v>
      </c>
      <c r="AI72" s="7">
        <v>0</v>
      </c>
      <c r="AJ72" s="7">
        <v>0</v>
      </c>
      <c r="AK72" s="7">
        <v>0</v>
      </c>
      <c r="AL72" s="7">
        <v>0</v>
      </c>
      <c r="AM72" s="7">
        <v>0</v>
      </c>
      <c r="AN72" s="27">
        <v>69</v>
      </c>
      <c r="AP72" s="111"/>
      <c r="AQ72" s="110">
        <f t="shared" si="492"/>
        <v>0</v>
      </c>
      <c r="AR72" s="110">
        <f t="shared" si="493"/>
        <v>0</v>
      </c>
      <c r="AS72" s="110">
        <f t="shared" si="494"/>
        <v>0</v>
      </c>
      <c r="AT72" s="110">
        <f t="shared" si="495"/>
        <v>0</v>
      </c>
      <c r="AU72" s="110">
        <f t="shared" si="496"/>
        <v>0</v>
      </c>
      <c r="AV72" s="110">
        <f t="shared" si="497"/>
        <v>0</v>
      </c>
      <c r="AW72" s="110">
        <f t="shared" si="498"/>
        <v>0</v>
      </c>
      <c r="AX72" s="110">
        <f t="shared" si="499"/>
        <v>0</v>
      </c>
      <c r="AY72" s="110">
        <f t="shared" si="500"/>
        <v>0</v>
      </c>
      <c r="AZ72" s="110">
        <f t="shared" si="501"/>
        <v>0</v>
      </c>
      <c r="BA72" s="110">
        <f t="shared" si="502"/>
        <v>0</v>
      </c>
      <c r="BB72" s="110">
        <f t="shared" si="503"/>
        <v>0</v>
      </c>
      <c r="BD72" s="109" t="str" cm="1">
        <f t="array" ref="BD72">+IFERROR(INDEX($C$3:$AM$3,MATCH(TRUE,INDEX($C72:$AM72&lt;&gt;0,0),0)),"N/A")</f>
        <v>N/A</v>
      </c>
      <c r="BE72" s="112"/>
      <c r="BF72" s="1" t="str" cm="1">
        <f t="array" ref="BF72">+_xlfn.IFS(BT72&lt;&gt;0,BT$2,CH72&lt;&gt;0,CH$2,CV72&lt;&gt;0,CV$2,DJ72&lt;&gt;0,DJ$2,TRUE,"")</f>
        <v/>
      </c>
      <c r="BG72" s="1" t="str" cm="1">
        <f t="array" ref="BG72">+_xlfn.IFS(BU72&lt;&gt;0,BU$2,CI72&lt;&gt;0,CI$2,CW72&lt;&gt;0,CW$2,DK72&lt;&gt;0,DK$2,TRUE,"")</f>
        <v/>
      </c>
      <c r="BH72" s="1" t="str" cm="1">
        <f t="array" ref="BH72">+_xlfn.IFS(BV72&lt;&gt;0,BV$2,CJ72&lt;&gt;0,CJ$2,CX72&lt;&gt;0,CX$2,DL72&lt;&gt;0,DL$2,TRUE,"")</f>
        <v/>
      </c>
      <c r="BI72" s="1" t="str" cm="1">
        <f t="array" ref="BI72">+_xlfn.IFS(BW72&lt;&gt;0,BW$2,CK72&lt;&gt;0,CK$2,CY72&lt;&gt;0,CY$2,DM72&lt;&gt;0,DM$2,TRUE,"")</f>
        <v/>
      </c>
      <c r="BJ72" s="1" t="str" cm="1">
        <f t="array" ref="BJ72">+_xlfn.IFS(BX72&lt;&gt;0,BX$2,CL72&lt;&gt;0,CL$2,CZ72&lt;&gt;0,CZ$2,DN72&lt;&gt;0,DN$2,TRUE,"")</f>
        <v/>
      </c>
      <c r="BK72" s="1" t="str" cm="1">
        <f t="array" ref="BK72">+_xlfn.IFS(BY72&lt;&gt;0,BY$2,CM72&lt;&gt;0,CM$2,DA72&lt;&gt;0,DA$2,DO72&lt;&gt;0,DO$2,TRUE,"")</f>
        <v/>
      </c>
      <c r="BL72" s="1" t="str" cm="1">
        <f t="array" ref="BL72">+_xlfn.IFS(BZ72&lt;&gt;0,BZ$2,CN72&lt;&gt;0,CN$2,DB72&lt;&gt;0,DB$2,DP72&lt;&gt;0,DP$2,TRUE,"")</f>
        <v/>
      </c>
      <c r="BM72" s="1" t="str" cm="1">
        <f t="array" ref="BM72">+_xlfn.IFS(CA72&lt;&gt;0,CA$2,CO72&lt;&gt;0,CO$2,DC72&lt;&gt;0,DC$2,DQ72&lt;&gt;0,DQ$2,TRUE,"")</f>
        <v/>
      </c>
      <c r="BN72" s="1" t="str" cm="1">
        <f t="array" ref="BN72">+_xlfn.IFS(CB72&lt;&gt;0,CB$2,CP72&lt;&gt;0,CP$2,DD72&lt;&gt;0,DD$2,DR72&lt;&gt;0,DR$2,TRUE,"")</f>
        <v/>
      </c>
      <c r="BO72" s="1" t="str" cm="1">
        <f t="array" ref="BO72">+_xlfn.IFS(CC72&lt;&gt;0,CC$2,CQ72&lt;&gt;0,CQ$2,DE72&lt;&gt;0,DE$2,DS72&lt;&gt;0,DS$2,TRUE,"")</f>
        <v/>
      </c>
      <c r="BP72" s="1" t="str" cm="1">
        <f t="array" ref="BP72">+_xlfn.IFS(CD72&lt;&gt;0,CD$2,CR72&lt;&gt;0,CR$2,DF72&lt;&gt;0,DF$2,DT72&lt;&gt;0,DT$2,TRUE,"")</f>
        <v/>
      </c>
      <c r="BQ72" s="1" t="str" cm="1">
        <f t="array" ref="BQ72">+_xlfn.IFS(CE72&lt;&gt;0,CE$2,CS72&lt;&gt;0,CS$2,DG72&lt;&gt;0,DG$2,DU72&lt;&gt;0,DU$2,TRUE,"")</f>
        <v/>
      </c>
      <c r="BS72" s="111"/>
      <c r="BT72" s="110">
        <f t="shared" si="504"/>
        <v>0</v>
      </c>
      <c r="BU72" s="110">
        <f t="shared" si="505"/>
        <v>0</v>
      </c>
      <c r="BV72" s="110">
        <f t="shared" si="506"/>
        <v>0</v>
      </c>
      <c r="BW72" s="110">
        <f t="shared" si="507"/>
        <v>0</v>
      </c>
      <c r="BX72" s="110">
        <f t="shared" si="508"/>
        <v>0</v>
      </c>
      <c r="BY72" s="110">
        <f t="shared" si="509"/>
        <v>0</v>
      </c>
      <c r="BZ72" s="110">
        <f t="shared" si="510"/>
        <v>0</v>
      </c>
      <c r="CA72" s="110">
        <f t="shared" si="511"/>
        <v>0</v>
      </c>
      <c r="CB72" s="110">
        <f t="shared" si="512"/>
        <v>0</v>
      </c>
      <c r="CC72" s="110">
        <f t="shared" si="513"/>
        <v>0</v>
      </c>
      <c r="CD72" s="110">
        <f t="shared" si="514"/>
        <v>0</v>
      </c>
      <c r="CE72" s="110">
        <f t="shared" si="515"/>
        <v>0</v>
      </c>
      <c r="CG72" s="111"/>
      <c r="CH72" s="110">
        <f t="shared" si="516"/>
        <v>0</v>
      </c>
      <c r="CI72" s="110">
        <f t="shared" si="517"/>
        <v>0</v>
      </c>
      <c r="CJ72" s="110">
        <f t="shared" si="518"/>
        <v>0</v>
      </c>
      <c r="CK72" s="110">
        <f t="shared" si="519"/>
        <v>0</v>
      </c>
      <c r="CL72" s="110">
        <f t="shared" si="520"/>
        <v>0</v>
      </c>
      <c r="CM72" s="110">
        <f t="shared" si="521"/>
        <v>0</v>
      </c>
      <c r="CN72" s="110">
        <f t="shared" si="522"/>
        <v>0</v>
      </c>
      <c r="CO72" s="110">
        <f t="shared" si="523"/>
        <v>0</v>
      </c>
      <c r="CP72" s="110">
        <f t="shared" si="524"/>
        <v>0</v>
      </c>
      <c r="CQ72" s="110">
        <f t="shared" si="525"/>
        <v>0</v>
      </c>
      <c r="CR72" s="110">
        <f t="shared" si="526"/>
        <v>0</v>
      </c>
      <c r="CS72" s="110">
        <f t="shared" si="527"/>
        <v>0</v>
      </c>
      <c r="CU72" s="111"/>
      <c r="CV72" s="110">
        <f t="shared" si="528"/>
        <v>0</v>
      </c>
      <c r="CW72" s="110">
        <f t="shared" si="529"/>
        <v>0</v>
      </c>
      <c r="CX72" s="110">
        <f t="shared" si="530"/>
        <v>0</v>
      </c>
      <c r="CY72" s="110">
        <f t="shared" si="531"/>
        <v>0</v>
      </c>
      <c r="CZ72" s="110">
        <f t="shared" si="532"/>
        <v>0</v>
      </c>
      <c r="DA72" s="110">
        <f t="shared" si="533"/>
        <v>0</v>
      </c>
      <c r="DB72" s="110">
        <f t="shared" si="534"/>
        <v>0</v>
      </c>
      <c r="DC72" s="110">
        <f t="shared" si="535"/>
        <v>0</v>
      </c>
      <c r="DD72" s="110">
        <f t="shared" si="536"/>
        <v>0</v>
      </c>
      <c r="DE72" s="110">
        <f t="shared" si="537"/>
        <v>0</v>
      </c>
      <c r="DF72" s="110">
        <f t="shared" si="538"/>
        <v>0</v>
      </c>
      <c r="DG72" s="110">
        <f t="shared" si="539"/>
        <v>0</v>
      </c>
      <c r="DI72" s="111"/>
      <c r="DJ72" s="110">
        <f t="shared" si="540"/>
        <v>0</v>
      </c>
      <c r="DK72" s="110">
        <f t="shared" si="541"/>
        <v>0</v>
      </c>
      <c r="DL72" s="110">
        <f t="shared" si="542"/>
        <v>0</v>
      </c>
      <c r="DM72" s="110">
        <f t="shared" si="543"/>
        <v>0</v>
      </c>
      <c r="DN72" s="110">
        <f t="shared" si="544"/>
        <v>0</v>
      </c>
      <c r="DO72" s="110">
        <f t="shared" si="545"/>
        <v>0</v>
      </c>
      <c r="DP72" s="110">
        <f t="shared" si="546"/>
        <v>0</v>
      </c>
      <c r="DQ72" s="110">
        <f t="shared" si="547"/>
        <v>0</v>
      </c>
      <c r="DR72" s="110">
        <f t="shared" si="548"/>
        <v>0</v>
      </c>
      <c r="DS72" s="110">
        <f t="shared" si="549"/>
        <v>0</v>
      </c>
      <c r="DT72" s="110">
        <f t="shared" si="550"/>
        <v>0</v>
      </c>
      <c r="DU72" s="110">
        <f t="shared" si="551"/>
        <v>0</v>
      </c>
      <c r="DW72" s="111"/>
      <c r="DX72" s="110">
        <f t="shared" si="552"/>
        <v>0</v>
      </c>
      <c r="DY72" s="110">
        <f t="shared" si="553"/>
        <v>0</v>
      </c>
      <c r="DZ72" s="110">
        <f t="shared" si="554"/>
        <v>0</v>
      </c>
      <c r="EA72" s="110">
        <f t="shared" si="555"/>
        <v>0</v>
      </c>
      <c r="EB72" s="110">
        <f t="shared" si="556"/>
        <v>0</v>
      </c>
      <c r="EC72" s="110">
        <f t="shared" si="557"/>
        <v>0</v>
      </c>
      <c r="ED72" s="110">
        <f t="shared" si="558"/>
        <v>0</v>
      </c>
      <c r="EE72" s="110">
        <f t="shared" si="559"/>
        <v>0</v>
      </c>
      <c r="EF72" s="110">
        <f t="shared" si="560"/>
        <v>0</v>
      </c>
      <c r="EG72" s="110">
        <f t="shared" si="561"/>
        <v>0</v>
      </c>
      <c r="EH72" s="110">
        <f t="shared" si="562"/>
        <v>0</v>
      </c>
      <c r="EI72" s="110">
        <f t="shared" si="563"/>
        <v>0</v>
      </c>
      <c r="EK72" s="111"/>
      <c r="EL72" s="110">
        <f t="shared" si="564"/>
        <v>0</v>
      </c>
      <c r="EM72" s="110">
        <f t="shared" si="565"/>
        <v>0</v>
      </c>
      <c r="EN72" s="110">
        <f t="shared" si="566"/>
        <v>0</v>
      </c>
      <c r="EP72" s="109" t="str" cm="1">
        <f t="array" ref="EP72">+IFERROR(INDEX($C$3:$AM$3,MATCH(TRUE,INDEX($C72:$AM72&lt;&gt;0,0),0)),"N/A")</f>
        <v>N/A</v>
      </c>
      <c r="EQ72" s="112"/>
      <c r="ER72" s="1" t="str" cm="1">
        <f t="array" ref="ER72">+_xlfn.IFS(EW72&lt;&gt;0,EW$2,FB72&lt;&gt;0,FB$2,FG72&lt;&gt;0,FG$2,FL72&lt;&gt;0,FL$2,TRUE,"")</f>
        <v/>
      </c>
      <c r="ES72" s="1" t="str" cm="1">
        <f t="array" ref="ES72">+_xlfn.IFS(EX72&lt;&gt;0,EX$2,FC72&lt;&gt;0,FC$2,FH72&lt;&gt;0,FH$2,FM72&lt;&gt;0,FM$2,TRUE,"")</f>
        <v/>
      </c>
      <c r="ET72" s="1" t="str" cm="1">
        <f t="array" ref="ET72">+_xlfn.IFS(EY72&lt;&gt;0,EY$2,FD72&lt;&gt;0,FD$2,FI72&lt;&gt;0,FI$2,FN72&lt;&gt;0,FN$2,TRUE,"")</f>
        <v/>
      </c>
      <c r="EV72" s="111"/>
      <c r="EW72" s="110">
        <f t="shared" si="567"/>
        <v>0</v>
      </c>
      <c r="EX72" s="110">
        <f t="shared" si="568"/>
        <v>0</v>
      </c>
      <c r="EY72" s="110">
        <f t="shared" si="569"/>
        <v>0</v>
      </c>
      <c r="FA72" s="111"/>
      <c r="FB72" s="110">
        <f t="shared" si="570"/>
        <v>0</v>
      </c>
      <c r="FC72" s="110">
        <f t="shared" si="571"/>
        <v>0</v>
      </c>
      <c r="FD72" s="110">
        <f t="shared" si="572"/>
        <v>0</v>
      </c>
      <c r="FF72" s="111"/>
      <c r="FG72" s="110">
        <f t="shared" si="573"/>
        <v>0</v>
      </c>
      <c r="FH72" s="110">
        <f t="shared" si="574"/>
        <v>0</v>
      </c>
      <c r="FI72" s="110">
        <f t="shared" si="575"/>
        <v>0</v>
      </c>
      <c r="FK72" s="111"/>
      <c r="FL72" s="110">
        <f t="shared" si="576"/>
        <v>0</v>
      </c>
      <c r="FM72" s="110">
        <f t="shared" si="577"/>
        <v>0</v>
      </c>
      <c r="FN72" s="110">
        <f t="shared" si="578"/>
        <v>0</v>
      </c>
      <c r="FP72" s="111"/>
      <c r="FQ72" s="110">
        <f t="shared" si="579"/>
        <v>0</v>
      </c>
      <c r="FR72" s="110">
        <f t="shared" si="580"/>
        <v>0</v>
      </c>
      <c r="FS72" s="110">
        <f t="shared" si="581"/>
        <v>0</v>
      </c>
      <c r="FU72" s="111">
        <f t="shared" si="582"/>
        <v>0</v>
      </c>
      <c r="FV72" s="110">
        <f t="shared" si="583"/>
        <v>0</v>
      </c>
      <c r="FW72" s="110">
        <f t="shared" si="584"/>
        <v>0</v>
      </c>
      <c r="FX72" s="110">
        <f t="shared" si="585"/>
        <v>0</v>
      </c>
      <c r="FY72" s="110">
        <f t="shared" si="586"/>
        <v>0</v>
      </c>
      <c r="FZ72" s="110">
        <f t="shared" si="587"/>
        <v>0</v>
      </c>
      <c r="GA72" s="110">
        <f t="shared" si="588"/>
        <v>0</v>
      </c>
      <c r="GB72" s="110">
        <f t="shared" si="589"/>
        <v>0</v>
      </c>
      <c r="GC72" s="110">
        <f t="shared" si="590"/>
        <v>0</v>
      </c>
      <c r="GD72" s="110">
        <f t="shared" si="591"/>
        <v>0</v>
      </c>
      <c r="GE72" s="110">
        <f t="shared" si="592"/>
        <v>0</v>
      </c>
      <c r="GF72" s="110">
        <f t="shared" si="593"/>
        <v>0</v>
      </c>
      <c r="GG72" s="110">
        <f t="shared" si="594"/>
        <v>0</v>
      </c>
      <c r="GH72" s="110">
        <f t="shared" si="595"/>
        <v>0</v>
      </c>
      <c r="GI72" s="110">
        <f t="shared" si="596"/>
        <v>0</v>
      </c>
      <c r="GJ72" s="110">
        <f t="shared" si="597"/>
        <v>0</v>
      </c>
      <c r="GK72" s="110">
        <f t="shared" si="598"/>
        <v>0</v>
      </c>
      <c r="GL72" s="110">
        <f t="shared" si="599"/>
        <v>0</v>
      </c>
      <c r="GM72" s="110">
        <f t="shared" si="600"/>
        <v>0</v>
      </c>
      <c r="GN72" s="110">
        <f t="shared" si="601"/>
        <v>0</v>
      </c>
      <c r="GO72" s="110">
        <f t="shared" si="602"/>
        <v>0</v>
      </c>
      <c r="GP72" s="110">
        <f t="shared" si="603"/>
        <v>0</v>
      </c>
      <c r="GQ72" s="110">
        <f t="shared" si="604"/>
        <v>0</v>
      </c>
      <c r="GR72" s="110">
        <f t="shared" si="605"/>
        <v>0</v>
      </c>
      <c r="GS72" s="110">
        <f t="shared" si="606"/>
        <v>0</v>
      </c>
      <c r="GU72" s="109" t="str" cm="1">
        <f t="array" ref="GU72">+IFERROR(INDEX($C$3:$AM$3,MATCH(TRUE,INDEX($C72:$AM72&lt;&gt;0,0),0)),"N/A")</f>
        <v>N/A</v>
      </c>
      <c r="GV72" s="112" t="str" cm="1">
        <f t="array" ref="GV72">+_xlfn.IFS(HV72&lt;&gt;0,HV$2,IV72&lt;&gt;0,IV$2,JV72&lt;&gt;0,JV$2,KV72&lt;&gt;0,KV$2,TRUE,"")</f>
        <v/>
      </c>
      <c r="GW72" s="1" t="str" cm="1">
        <f t="array" ref="GW72">+_xlfn.IFS(HW72&lt;&gt;0,HW$2,IW72&lt;&gt;0,IW$2,JW72&lt;&gt;0,JW$2,KW72&lt;&gt;0,KW$2,TRUE,"")</f>
        <v/>
      </c>
      <c r="GX72" s="1" t="str" cm="1">
        <f t="array" ref="GX72">+_xlfn.IFS(HX72&lt;&gt;0,HX$2,IX72&lt;&gt;0,IX$2,JX72&lt;&gt;0,JX$2,KX72&lt;&gt;0,KX$2,TRUE,"")</f>
        <v/>
      </c>
      <c r="GY72" s="1" t="str" cm="1">
        <f t="array" ref="GY72">+_xlfn.IFS(HY72&lt;&gt;0,HY$2,IY72&lt;&gt;0,IY$2,JY72&lt;&gt;0,JY$2,KY72&lt;&gt;0,KY$2,TRUE,"")</f>
        <v/>
      </c>
      <c r="GZ72" s="1" t="str" cm="1">
        <f t="array" ref="GZ72">+_xlfn.IFS(HZ72&lt;&gt;0,HZ$2,IZ72&lt;&gt;0,IZ$2,JZ72&lt;&gt;0,JZ$2,KZ72&lt;&gt;0,KZ$2,TRUE,"")</f>
        <v/>
      </c>
      <c r="HA72" s="1" t="str" cm="1">
        <f t="array" ref="HA72">+_xlfn.IFS(IA72&lt;&gt;0,IA$2,JA72&lt;&gt;0,JA$2,KA72&lt;&gt;0,KA$2,LA72&lt;&gt;0,LA$2,TRUE,"")</f>
        <v/>
      </c>
      <c r="HB72" s="1" t="str" cm="1">
        <f t="array" ref="HB72">+_xlfn.IFS(IB72&lt;&gt;0,IB$2,JB72&lt;&gt;0,JB$2,KB72&lt;&gt;0,KB$2,LB72&lt;&gt;0,LB$2,TRUE,"")</f>
        <v/>
      </c>
      <c r="HC72" s="1" t="str" cm="1">
        <f t="array" ref="HC72">+_xlfn.IFS(IC72&lt;&gt;0,IC$2,JC72&lt;&gt;0,JC$2,KC72&lt;&gt;0,KC$2,LC72&lt;&gt;0,LC$2,TRUE,"")</f>
        <v/>
      </c>
      <c r="HD72" s="1" t="str" cm="1">
        <f t="array" ref="HD72">+_xlfn.IFS(ID72&lt;&gt;0,ID$2,JD72&lt;&gt;0,JD$2,KD72&lt;&gt;0,KD$2,LD72&lt;&gt;0,LD$2,TRUE,"")</f>
        <v/>
      </c>
      <c r="HE72" s="1" t="str" cm="1">
        <f t="array" ref="HE72">+_xlfn.IFS(IE72&lt;&gt;0,IE$2,JE72&lt;&gt;0,JE$2,KE72&lt;&gt;0,KE$2,LE72&lt;&gt;0,LE$2,TRUE,"")</f>
        <v/>
      </c>
      <c r="HF72" s="1" t="str" cm="1">
        <f t="array" ref="HF72">+_xlfn.IFS(IF72&lt;&gt;0,IF$2,JF72&lt;&gt;0,JF$2,KF72&lt;&gt;0,KF$2,LF72&lt;&gt;0,LF$2,TRUE,"")</f>
        <v/>
      </c>
      <c r="HG72" s="1" t="str" cm="1">
        <f t="array" ref="HG72">+_xlfn.IFS(IG72&lt;&gt;0,IG$2,JG72&lt;&gt;0,JG$2,KG72&lt;&gt;0,KG$2,LG72&lt;&gt;0,LG$2,TRUE,"")</f>
        <v/>
      </c>
      <c r="HH72" s="1" t="str" cm="1">
        <f t="array" ref="HH72">+_xlfn.IFS(IH72&lt;&gt;0,IH$2,JH72&lt;&gt;0,JH$2,KH72&lt;&gt;0,KH$2,LH72&lt;&gt;0,LH$2,TRUE,"")</f>
        <v/>
      </c>
      <c r="HI72" s="1" t="str" cm="1">
        <f t="array" ref="HI72">+_xlfn.IFS(II72&lt;&gt;0,II$2,JI72&lt;&gt;0,JI$2,KI72&lt;&gt;0,KI$2,LI72&lt;&gt;0,LI$2,TRUE,"")</f>
        <v/>
      </c>
      <c r="HJ72" s="1" t="str" cm="1">
        <f t="array" ref="HJ72">+_xlfn.IFS(IJ72&lt;&gt;0,IJ$2,JJ72&lt;&gt;0,JJ$2,KJ72&lt;&gt;0,KJ$2,LJ72&lt;&gt;0,LJ$2,TRUE,"")</f>
        <v/>
      </c>
      <c r="HK72" s="1" t="str" cm="1">
        <f t="array" ref="HK72">+_xlfn.IFS(IK72&lt;&gt;0,IK$2,JK72&lt;&gt;0,JK$2,KK72&lt;&gt;0,KK$2,LK72&lt;&gt;0,LK$2,TRUE,"")</f>
        <v/>
      </c>
      <c r="HL72" s="1" t="str" cm="1">
        <f t="array" ref="HL72">+_xlfn.IFS(IL72&lt;&gt;0,IL$2,JL72&lt;&gt;0,JL$2,KL72&lt;&gt;0,KL$2,LL72&lt;&gt;0,LL$2,TRUE,"")</f>
        <v/>
      </c>
      <c r="HM72" s="1" t="str" cm="1">
        <f t="array" ref="HM72">+_xlfn.IFS(IM72&lt;&gt;0,IM$2,JM72&lt;&gt;0,JM$2,KM72&lt;&gt;0,KM$2,LM72&lt;&gt;0,LM$2,TRUE,"")</f>
        <v/>
      </c>
      <c r="HN72" s="1" t="str" cm="1">
        <f t="array" ref="HN72">+_xlfn.IFS(IN72&lt;&gt;0,IN$2,JN72&lt;&gt;0,JN$2,KN72&lt;&gt;0,KN$2,LN72&lt;&gt;0,LN$2,TRUE,"")</f>
        <v/>
      </c>
      <c r="HO72" s="1" t="str" cm="1">
        <f t="array" ref="HO72">+_xlfn.IFS(IO72&lt;&gt;0,IO$2,JO72&lt;&gt;0,JO$2,KO72&lt;&gt;0,KO$2,LO72&lt;&gt;0,LO$2,TRUE,"")</f>
        <v/>
      </c>
      <c r="HP72" s="1" t="str" cm="1">
        <f t="array" ref="HP72">+_xlfn.IFS(IP72&lt;&gt;0,IP$2,JP72&lt;&gt;0,JP$2,KP72&lt;&gt;0,KP$2,LP72&lt;&gt;0,LP$2,TRUE,"")</f>
        <v/>
      </c>
      <c r="HQ72" s="1" t="str" cm="1">
        <f t="array" ref="HQ72">+_xlfn.IFS(IQ72&lt;&gt;0,IQ$2,JQ72&lt;&gt;0,JQ$2,KQ72&lt;&gt;0,KQ$2,LQ72&lt;&gt;0,LQ$2,TRUE,"")</f>
        <v/>
      </c>
      <c r="HR72" s="1" t="str" cm="1">
        <f t="array" ref="HR72">+_xlfn.IFS(IR72&lt;&gt;0,IR$2,JR72&lt;&gt;0,JR$2,KR72&lt;&gt;0,KR$2,LR72&lt;&gt;0,LR$2,TRUE,"")</f>
        <v/>
      </c>
      <c r="HS72" s="1" t="str" cm="1">
        <f t="array" ref="HS72">+_xlfn.IFS(IS72&lt;&gt;0,IS$2,JS72&lt;&gt;0,JS$2,KS72&lt;&gt;0,KS$2,LS72&lt;&gt;0,LS$2,TRUE,"")</f>
        <v/>
      </c>
      <c r="HT72" s="1" t="str" cm="1">
        <f t="array" ref="HT72">+_xlfn.IFS(IT72&lt;&gt;0,IT$2,JT72&lt;&gt;0,JT$2,KT72&lt;&gt;0,KT$2,LT72&lt;&gt;0,LT$2,TRUE,"")</f>
        <v/>
      </c>
      <c r="HV72" s="111">
        <f t="shared" si="607"/>
        <v>0</v>
      </c>
      <c r="HW72" s="110">
        <f t="shared" si="608"/>
        <v>0</v>
      </c>
      <c r="HX72" s="110">
        <f t="shared" si="609"/>
        <v>0</v>
      </c>
      <c r="HY72" s="110">
        <f t="shared" si="610"/>
        <v>0</v>
      </c>
      <c r="HZ72" s="110">
        <f t="shared" si="611"/>
        <v>0</v>
      </c>
      <c r="IA72" s="110">
        <f t="shared" si="612"/>
        <v>0</v>
      </c>
      <c r="IB72" s="110">
        <f t="shared" si="613"/>
        <v>0</v>
      </c>
      <c r="IC72" s="110">
        <f t="shared" si="614"/>
        <v>0</v>
      </c>
      <c r="ID72" s="110">
        <f t="shared" si="615"/>
        <v>0</v>
      </c>
      <c r="IE72" s="110">
        <f t="shared" si="616"/>
        <v>0</v>
      </c>
      <c r="IF72" s="110">
        <f t="shared" si="617"/>
        <v>0</v>
      </c>
      <c r="IG72" s="110">
        <f t="shared" si="618"/>
        <v>0</v>
      </c>
      <c r="IH72" s="110">
        <f t="shared" si="619"/>
        <v>0</v>
      </c>
      <c r="II72" s="110">
        <f t="shared" si="620"/>
        <v>0</v>
      </c>
      <c r="IJ72" s="110">
        <f t="shared" si="621"/>
        <v>0</v>
      </c>
      <c r="IK72" s="110">
        <f t="shared" si="622"/>
        <v>0</v>
      </c>
      <c r="IL72" s="110">
        <f t="shared" si="623"/>
        <v>0</v>
      </c>
      <c r="IM72" s="110">
        <f t="shared" si="624"/>
        <v>0</v>
      </c>
      <c r="IN72" s="110">
        <f t="shared" si="625"/>
        <v>0</v>
      </c>
      <c r="IO72" s="110">
        <f t="shared" si="626"/>
        <v>0</v>
      </c>
      <c r="IP72" s="110">
        <f t="shared" si="627"/>
        <v>0</v>
      </c>
      <c r="IQ72" s="110">
        <f t="shared" si="628"/>
        <v>0</v>
      </c>
      <c r="IR72" s="110">
        <f t="shared" si="629"/>
        <v>0</v>
      </c>
      <c r="IS72" s="110">
        <f t="shared" si="630"/>
        <v>0</v>
      </c>
      <c r="IT72" s="110">
        <f t="shared" si="631"/>
        <v>0</v>
      </c>
      <c r="IV72" s="111">
        <f t="shared" si="632"/>
        <v>0</v>
      </c>
      <c r="IW72" s="110">
        <f t="shared" si="633"/>
        <v>0</v>
      </c>
      <c r="IX72" s="110">
        <f t="shared" si="634"/>
        <v>0</v>
      </c>
      <c r="IY72" s="110">
        <f t="shared" si="635"/>
        <v>0</v>
      </c>
      <c r="IZ72" s="110">
        <f t="shared" si="636"/>
        <v>0</v>
      </c>
      <c r="JA72" s="110">
        <f t="shared" si="637"/>
        <v>0</v>
      </c>
      <c r="JB72" s="110">
        <f t="shared" si="638"/>
        <v>0</v>
      </c>
      <c r="JC72" s="110">
        <f t="shared" si="639"/>
        <v>0</v>
      </c>
      <c r="JD72" s="110">
        <f t="shared" si="640"/>
        <v>0</v>
      </c>
      <c r="JE72" s="110">
        <f t="shared" si="641"/>
        <v>0</v>
      </c>
      <c r="JF72" s="110">
        <f t="shared" si="642"/>
        <v>0</v>
      </c>
      <c r="JG72" s="110">
        <f t="shared" si="643"/>
        <v>0</v>
      </c>
      <c r="JH72" s="110">
        <f t="shared" si="644"/>
        <v>0</v>
      </c>
      <c r="JI72" s="110">
        <f t="shared" si="645"/>
        <v>0</v>
      </c>
      <c r="JJ72" s="110">
        <f t="shared" si="646"/>
        <v>0</v>
      </c>
      <c r="JK72" s="110">
        <f t="shared" si="647"/>
        <v>0</v>
      </c>
      <c r="JL72" s="110">
        <f t="shared" si="648"/>
        <v>0</v>
      </c>
      <c r="JM72" s="110">
        <f t="shared" si="649"/>
        <v>0</v>
      </c>
      <c r="JN72" s="110">
        <f t="shared" si="650"/>
        <v>0</v>
      </c>
      <c r="JO72" s="110">
        <f t="shared" si="651"/>
        <v>0</v>
      </c>
      <c r="JP72" s="110">
        <f t="shared" si="652"/>
        <v>0</v>
      </c>
      <c r="JQ72" s="110">
        <f t="shared" si="653"/>
        <v>0</v>
      </c>
      <c r="JR72" s="110">
        <f t="shared" si="654"/>
        <v>0</v>
      </c>
      <c r="JS72" s="110">
        <f t="shared" si="655"/>
        <v>0</v>
      </c>
      <c r="JT72" s="110">
        <f t="shared" si="656"/>
        <v>0</v>
      </c>
      <c r="JV72" s="111">
        <f t="shared" si="657"/>
        <v>0</v>
      </c>
      <c r="JW72" s="110">
        <f t="shared" si="658"/>
        <v>0</v>
      </c>
      <c r="JX72" s="110">
        <f t="shared" si="659"/>
        <v>0</v>
      </c>
      <c r="JY72" s="110">
        <f t="shared" si="660"/>
        <v>0</v>
      </c>
      <c r="JZ72" s="110">
        <f t="shared" si="661"/>
        <v>0</v>
      </c>
      <c r="KA72" s="110">
        <f t="shared" si="662"/>
        <v>0</v>
      </c>
      <c r="KB72" s="110">
        <f t="shared" si="663"/>
        <v>0</v>
      </c>
      <c r="KC72" s="110">
        <f t="shared" si="664"/>
        <v>0</v>
      </c>
      <c r="KD72" s="110">
        <f t="shared" si="665"/>
        <v>0</v>
      </c>
      <c r="KE72" s="110">
        <f t="shared" si="666"/>
        <v>0</v>
      </c>
      <c r="KF72" s="110">
        <f t="shared" si="667"/>
        <v>0</v>
      </c>
      <c r="KG72" s="110">
        <f t="shared" si="668"/>
        <v>0</v>
      </c>
      <c r="KH72" s="110">
        <f t="shared" si="669"/>
        <v>0</v>
      </c>
      <c r="KI72" s="110">
        <f t="shared" si="670"/>
        <v>0</v>
      </c>
      <c r="KJ72" s="110">
        <f t="shared" si="671"/>
        <v>0</v>
      </c>
      <c r="KK72" s="110">
        <f t="shared" si="672"/>
        <v>0</v>
      </c>
      <c r="KL72" s="110">
        <f t="shared" si="673"/>
        <v>0</v>
      </c>
      <c r="KM72" s="110">
        <f t="shared" si="674"/>
        <v>0</v>
      </c>
      <c r="KN72" s="110">
        <f t="shared" si="675"/>
        <v>0</v>
      </c>
      <c r="KO72" s="110">
        <f t="shared" si="676"/>
        <v>0</v>
      </c>
      <c r="KP72" s="110">
        <f t="shared" si="677"/>
        <v>0</v>
      </c>
      <c r="KQ72" s="110">
        <f t="shared" si="678"/>
        <v>0</v>
      </c>
      <c r="KR72" s="110">
        <f t="shared" si="679"/>
        <v>0</v>
      </c>
      <c r="KS72" s="110">
        <f t="shared" si="680"/>
        <v>0</v>
      </c>
      <c r="KT72" s="110">
        <f t="shared" si="681"/>
        <v>0</v>
      </c>
      <c r="KV72" s="111">
        <f t="shared" si="682"/>
        <v>0</v>
      </c>
      <c r="KW72" s="110">
        <f t="shared" si="683"/>
        <v>0</v>
      </c>
      <c r="KX72" s="110">
        <f t="shared" si="684"/>
        <v>0</v>
      </c>
      <c r="KY72" s="110">
        <f t="shared" si="685"/>
        <v>0</v>
      </c>
      <c r="KZ72" s="110">
        <f t="shared" si="686"/>
        <v>0</v>
      </c>
      <c r="LA72" s="110">
        <f t="shared" si="687"/>
        <v>0</v>
      </c>
      <c r="LB72" s="110">
        <f t="shared" si="688"/>
        <v>0</v>
      </c>
      <c r="LC72" s="110">
        <f t="shared" si="689"/>
        <v>0</v>
      </c>
      <c r="LD72" s="110">
        <f t="shared" si="690"/>
        <v>0</v>
      </c>
      <c r="LE72" s="110">
        <f t="shared" si="691"/>
        <v>0</v>
      </c>
      <c r="LF72" s="110">
        <f t="shared" si="692"/>
        <v>0</v>
      </c>
      <c r="LG72" s="110">
        <f t="shared" si="693"/>
        <v>0</v>
      </c>
      <c r="LH72" s="110">
        <f t="shared" si="694"/>
        <v>0</v>
      </c>
      <c r="LI72" s="110">
        <f t="shared" si="695"/>
        <v>0</v>
      </c>
      <c r="LJ72" s="110">
        <f t="shared" si="696"/>
        <v>0</v>
      </c>
      <c r="LK72" s="110">
        <f t="shared" si="697"/>
        <v>0</v>
      </c>
      <c r="LL72" s="110">
        <f t="shared" si="698"/>
        <v>0</v>
      </c>
      <c r="LM72" s="110">
        <f t="shared" si="699"/>
        <v>0</v>
      </c>
      <c r="LN72" s="110">
        <f t="shared" si="700"/>
        <v>0</v>
      </c>
      <c r="LO72" s="110">
        <f t="shared" si="701"/>
        <v>0</v>
      </c>
      <c r="LP72" s="110">
        <f t="shared" si="702"/>
        <v>0</v>
      </c>
      <c r="LQ72" s="110">
        <f t="shared" si="703"/>
        <v>0</v>
      </c>
      <c r="LR72" s="110">
        <f t="shared" si="704"/>
        <v>0</v>
      </c>
      <c r="LS72" s="110">
        <f t="shared" si="705"/>
        <v>0</v>
      </c>
      <c r="LT72" s="110">
        <f t="shared" si="706"/>
        <v>0</v>
      </c>
      <c r="LV72" s="111"/>
      <c r="LW72" s="110">
        <f t="shared" si="707"/>
        <v>0</v>
      </c>
      <c r="LX72" s="110">
        <f t="shared" si="708"/>
        <v>0</v>
      </c>
      <c r="LY72" s="110">
        <f t="shared" si="709"/>
        <v>0</v>
      </c>
      <c r="LZ72" s="110">
        <f t="shared" si="710"/>
        <v>0</v>
      </c>
      <c r="MA72" s="110">
        <f t="shared" si="711"/>
        <v>0</v>
      </c>
      <c r="MB72" s="110">
        <f t="shared" si="712"/>
        <v>0</v>
      </c>
      <c r="MC72" s="110">
        <f t="shared" si="713"/>
        <v>0</v>
      </c>
      <c r="MD72" s="110">
        <f t="shared" si="714"/>
        <v>0</v>
      </c>
      <c r="ME72" s="110">
        <f t="shared" si="715"/>
        <v>0</v>
      </c>
      <c r="MF72" s="110">
        <f t="shared" si="716"/>
        <v>0</v>
      </c>
      <c r="MG72" s="110">
        <f t="shared" si="717"/>
        <v>0</v>
      </c>
      <c r="MH72" s="110">
        <f t="shared" si="718"/>
        <v>0</v>
      </c>
      <c r="MI72" s="110">
        <f t="shared" si="719"/>
        <v>0</v>
      </c>
      <c r="MJ72" s="110">
        <f t="shared" si="720"/>
        <v>0</v>
      </c>
      <c r="MK72" s="110">
        <f t="shared" si="721"/>
        <v>0</v>
      </c>
      <c r="ML72" s="110">
        <f t="shared" si="722"/>
        <v>0</v>
      </c>
      <c r="MM72" s="110">
        <f t="shared" si="723"/>
        <v>0</v>
      </c>
      <c r="MN72" s="110">
        <f t="shared" si="724"/>
        <v>0</v>
      </c>
      <c r="MO72" s="110">
        <f t="shared" si="725"/>
        <v>0</v>
      </c>
      <c r="MP72" s="110">
        <f t="shared" si="726"/>
        <v>0</v>
      </c>
      <c r="MQ72" s="110">
        <f t="shared" si="727"/>
        <v>0</v>
      </c>
      <c r="MR72" s="110">
        <f t="shared" si="728"/>
        <v>0</v>
      </c>
      <c r="MS72" s="110">
        <f t="shared" si="729"/>
        <v>0</v>
      </c>
      <c r="MT72" s="110">
        <f t="shared" si="730"/>
        <v>0</v>
      </c>
      <c r="MV72" s="114">
        <v>0</v>
      </c>
      <c r="MW72" s="114">
        <v>0</v>
      </c>
      <c r="MX72" s="114">
        <v>0</v>
      </c>
      <c r="MY72" s="114">
        <v>0</v>
      </c>
      <c r="MZ72" s="114">
        <v>0</v>
      </c>
      <c r="NB72" s="115" t="str">
        <v>N/A</v>
      </c>
      <c r="NC72" s="115" t="str">
        <v>N/A</v>
      </c>
      <c r="ND72" s="115" t="str">
        <v>N/A</v>
      </c>
      <c r="NE72" s="115" t="str">
        <v>N/A</v>
      </c>
      <c r="NF72" s="115" t="str">
        <v>N/A</v>
      </c>
    </row>
    <row r="73" spans="2:370" ht="13.5" x14ac:dyDescent="0.25">
      <c r="B73" s="8">
        <f t="shared" si="731"/>
        <v>70</v>
      </c>
      <c r="C73" s="7">
        <v>0</v>
      </c>
      <c r="D73" s="7">
        <v>0</v>
      </c>
      <c r="E73" s="7">
        <v>0</v>
      </c>
      <c r="F73" s="7">
        <v>0</v>
      </c>
      <c r="G73" s="7">
        <v>0</v>
      </c>
      <c r="H73" s="7">
        <v>0</v>
      </c>
      <c r="I73" s="7">
        <v>0</v>
      </c>
      <c r="J73" s="7">
        <v>0</v>
      </c>
      <c r="K73" s="7">
        <v>0</v>
      </c>
      <c r="L73" s="7">
        <v>0</v>
      </c>
      <c r="M73" s="7">
        <v>0</v>
      </c>
      <c r="N73" s="7">
        <v>0</v>
      </c>
      <c r="O73" s="7">
        <v>0</v>
      </c>
      <c r="P73" s="7">
        <v>0</v>
      </c>
      <c r="Q73" s="7">
        <v>0</v>
      </c>
      <c r="R73" s="7">
        <v>0</v>
      </c>
      <c r="S73" s="7">
        <v>0</v>
      </c>
      <c r="T73" s="7">
        <v>0</v>
      </c>
      <c r="U73" s="7">
        <v>0</v>
      </c>
      <c r="V73" s="7">
        <v>0</v>
      </c>
      <c r="W73" s="7">
        <v>0</v>
      </c>
      <c r="X73" s="7">
        <v>0</v>
      </c>
      <c r="Y73" s="7">
        <v>0</v>
      </c>
      <c r="Z73" s="7">
        <v>0</v>
      </c>
      <c r="AA73" s="7">
        <v>0</v>
      </c>
      <c r="AB73" s="7">
        <v>0</v>
      </c>
      <c r="AC73" s="7">
        <v>0</v>
      </c>
      <c r="AD73" s="7">
        <v>0</v>
      </c>
      <c r="AE73" s="7">
        <v>0</v>
      </c>
      <c r="AF73" s="7">
        <v>0</v>
      </c>
      <c r="AG73" s="7">
        <v>185.27</v>
      </c>
      <c r="AH73" s="7">
        <v>185.27</v>
      </c>
      <c r="AI73" s="7">
        <v>185.27</v>
      </c>
      <c r="AJ73" s="7">
        <v>185.27</v>
      </c>
      <c r="AK73" s="7">
        <v>185.27</v>
      </c>
      <c r="AL73" s="7">
        <v>185.27</v>
      </c>
      <c r="AM73" s="7">
        <v>185.27</v>
      </c>
      <c r="AN73" s="27">
        <v>70</v>
      </c>
      <c r="AP73" s="111"/>
      <c r="AQ73" s="110">
        <f t="shared" si="492"/>
        <v>0</v>
      </c>
      <c r="AR73" s="110">
        <f t="shared" si="493"/>
        <v>0</v>
      </c>
      <c r="AS73" s="110">
        <f t="shared" si="494"/>
        <v>0</v>
      </c>
      <c r="AT73" s="110">
        <f t="shared" si="495"/>
        <v>0</v>
      </c>
      <c r="AU73" s="110">
        <f t="shared" si="496"/>
        <v>0</v>
      </c>
      <c r="AV73" s="110">
        <f t="shared" si="497"/>
        <v>0</v>
      </c>
      <c r="AW73" s="110">
        <f t="shared" si="498"/>
        <v>0</v>
      </c>
      <c r="AX73" s="110">
        <f t="shared" si="499"/>
        <v>0</v>
      </c>
      <c r="AY73" s="110">
        <f t="shared" si="500"/>
        <v>0</v>
      </c>
      <c r="AZ73" s="110">
        <f t="shared" si="501"/>
        <v>185.27</v>
      </c>
      <c r="BA73" s="110">
        <f t="shared" si="502"/>
        <v>0</v>
      </c>
      <c r="BB73" s="110">
        <f t="shared" si="503"/>
        <v>0</v>
      </c>
      <c r="BD73" s="109" cm="1">
        <f t="array" ref="BD73">+IFERROR(INDEX($C$3:$AM$3,MATCH(TRUE,INDEX($C73:$AM73&lt;&gt;0,0),0)),"N/A")</f>
        <v>45838</v>
      </c>
      <c r="BE73" s="112"/>
      <c r="BF73" s="1" t="str" cm="1">
        <f t="array" ref="BF73">+_xlfn.IFS(BT73&lt;&gt;0,BT$2,CH73&lt;&gt;0,CH$2,CV73&lt;&gt;0,CV$2,DJ73&lt;&gt;0,DJ$2,TRUE,"")</f>
        <v/>
      </c>
      <c r="BG73" s="1" t="str" cm="1">
        <f t="array" ref="BG73">+_xlfn.IFS(BU73&lt;&gt;0,BU$2,CI73&lt;&gt;0,CI$2,CW73&lt;&gt;0,CW$2,DK73&lt;&gt;0,DK$2,TRUE,"")</f>
        <v/>
      </c>
      <c r="BH73" s="1" t="str" cm="1">
        <f t="array" ref="BH73">+_xlfn.IFS(BV73&lt;&gt;0,BV$2,CJ73&lt;&gt;0,CJ$2,CX73&lt;&gt;0,CX$2,DL73&lt;&gt;0,DL$2,TRUE,"")</f>
        <v/>
      </c>
      <c r="BI73" s="1" t="str" cm="1">
        <f t="array" ref="BI73">+_xlfn.IFS(BW73&lt;&gt;0,BW$2,CK73&lt;&gt;0,CK$2,CY73&lt;&gt;0,CY$2,DM73&lt;&gt;0,DM$2,TRUE,"")</f>
        <v/>
      </c>
      <c r="BJ73" s="1" t="str" cm="1">
        <f t="array" ref="BJ73">+_xlfn.IFS(BX73&lt;&gt;0,BX$2,CL73&lt;&gt;0,CL$2,CZ73&lt;&gt;0,CZ$2,DN73&lt;&gt;0,DN$2,TRUE,"")</f>
        <v/>
      </c>
      <c r="BK73" s="1" t="str" cm="1">
        <f t="array" ref="BK73">+_xlfn.IFS(BY73&lt;&gt;0,BY$2,CM73&lt;&gt;0,CM$2,DA73&lt;&gt;0,DA$2,DO73&lt;&gt;0,DO$2,TRUE,"")</f>
        <v/>
      </c>
      <c r="BL73" s="1" t="str" cm="1">
        <f t="array" ref="BL73">+_xlfn.IFS(BZ73&lt;&gt;0,BZ$2,CN73&lt;&gt;0,CN$2,DB73&lt;&gt;0,DB$2,DP73&lt;&gt;0,DP$2,TRUE,"")</f>
        <v/>
      </c>
      <c r="BM73" s="1" t="str" cm="1">
        <f t="array" ref="BM73">+_xlfn.IFS(CA73&lt;&gt;0,CA$2,CO73&lt;&gt;0,CO$2,DC73&lt;&gt;0,DC$2,DQ73&lt;&gt;0,DQ$2,TRUE,"")</f>
        <v/>
      </c>
      <c r="BN73" s="1" t="str" cm="1">
        <f t="array" ref="BN73">+_xlfn.IFS(CB73&lt;&gt;0,CB$2,CP73&lt;&gt;0,CP$2,DD73&lt;&gt;0,DD$2,DR73&lt;&gt;0,DR$2,TRUE,"")</f>
        <v/>
      </c>
      <c r="BO73" s="1" t="str" cm="1">
        <f t="array" ref="BO73">+_xlfn.IFS(CC73&lt;&gt;0,CC$2,CQ73&lt;&gt;0,CQ$2,DE73&lt;&gt;0,DE$2,DS73&lt;&gt;0,DS$2,TRUE,"")</f>
        <v>New</v>
      </c>
      <c r="BP73" s="1" t="str" cm="1">
        <f t="array" ref="BP73">+_xlfn.IFS(CD73&lt;&gt;0,CD$2,CR73&lt;&gt;0,CR$2,DF73&lt;&gt;0,DF$2,DT73&lt;&gt;0,DT$2,TRUE,"")</f>
        <v/>
      </c>
      <c r="BQ73" s="1" t="str" cm="1">
        <f t="array" ref="BQ73">+_xlfn.IFS(CE73&lt;&gt;0,CE$2,CS73&lt;&gt;0,CS$2,DG73&lt;&gt;0,DG$2,DU73&lt;&gt;0,DU$2,TRUE,"")</f>
        <v/>
      </c>
      <c r="BS73" s="111"/>
      <c r="BT73" s="110">
        <f t="shared" si="504"/>
        <v>0</v>
      </c>
      <c r="BU73" s="110">
        <f t="shared" si="505"/>
        <v>0</v>
      </c>
      <c r="BV73" s="110">
        <f t="shared" si="506"/>
        <v>0</v>
      </c>
      <c r="BW73" s="110">
        <f t="shared" si="507"/>
        <v>0</v>
      </c>
      <c r="BX73" s="110">
        <f t="shared" si="508"/>
        <v>0</v>
      </c>
      <c r="BY73" s="110">
        <f t="shared" si="509"/>
        <v>0</v>
      </c>
      <c r="BZ73" s="110">
        <f t="shared" si="510"/>
        <v>0</v>
      </c>
      <c r="CA73" s="110">
        <f t="shared" si="511"/>
        <v>0</v>
      </c>
      <c r="CB73" s="110">
        <f t="shared" si="512"/>
        <v>0</v>
      </c>
      <c r="CC73" s="110">
        <f t="shared" si="513"/>
        <v>185.27</v>
      </c>
      <c r="CD73" s="110">
        <f t="shared" si="514"/>
        <v>0</v>
      </c>
      <c r="CE73" s="110">
        <f t="shared" si="515"/>
        <v>0</v>
      </c>
      <c r="CG73" s="111"/>
      <c r="CH73" s="110">
        <f t="shared" si="516"/>
        <v>0</v>
      </c>
      <c r="CI73" s="110">
        <f t="shared" si="517"/>
        <v>0</v>
      </c>
      <c r="CJ73" s="110">
        <f t="shared" si="518"/>
        <v>0</v>
      </c>
      <c r="CK73" s="110">
        <f t="shared" si="519"/>
        <v>0</v>
      </c>
      <c r="CL73" s="110">
        <f t="shared" si="520"/>
        <v>0</v>
      </c>
      <c r="CM73" s="110">
        <f t="shared" si="521"/>
        <v>0</v>
      </c>
      <c r="CN73" s="110">
        <f t="shared" si="522"/>
        <v>0</v>
      </c>
      <c r="CO73" s="110">
        <f t="shared" si="523"/>
        <v>0</v>
      </c>
      <c r="CP73" s="110">
        <f t="shared" si="524"/>
        <v>0</v>
      </c>
      <c r="CQ73" s="110">
        <f t="shared" si="525"/>
        <v>0</v>
      </c>
      <c r="CR73" s="110">
        <f t="shared" si="526"/>
        <v>0</v>
      </c>
      <c r="CS73" s="110">
        <f t="shared" si="527"/>
        <v>0</v>
      </c>
      <c r="CU73" s="111"/>
      <c r="CV73" s="110">
        <f t="shared" si="528"/>
        <v>0</v>
      </c>
      <c r="CW73" s="110">
        <f t="shared" si="529"/>
        <v>0</v>
      </c>
      <c r="CX73" s="110">
        <f t="shared" si="530"/>
        <v>0</v>
      </c>
      <c r="CY73" s="110">
        <f t="shared" si="531"/>
        <v>0</v>
      </c>
      <c r="CZ73" s="110">
        <f t="shared" si="532"/>
        <v>0</v>
      </c>
      <c r="DA73" s="110">
        <f t="shared" si="533"/>
        <v>0</v>
      </c>
      <c r="DB73" s="110">
        <f t="shared" si="534"/>
        <v>0</v>
      </c>
      <c r="DC73" s="110">
        <f t="shared" si="535"/>
        <v>0</v>
      </c>
      <c r="DD73" s="110">
        <f t="shared" si="536"/>
        <v>0</v>
      </c>
      <c r="DE73" s="110">
        <f t="shared" si="537"/>
        <v>0</v>
      </c>
      <c r="DF73" s="110">
        <f t="shared" si="538"/>
        <v>0</v>
      </c>
      <c r="DG73" s="110">
        <f t="shared" si="539"/>
        <v>0</v>
      </c>
      <c r="DI73" s="111"/>
      <c r="DJ73" s="110">
        <f t="shared" si="540"/>
        <v>0</v>
      </c>
      <c r="DK73" s="110">
        <f t="shared" si="541"/>
        <v>0</v>
      </c>
      <c r="DL73" s="110">
        <f t="shared" si="542"/>
        <v>0</v>
      </c>
      <c r="DM73" s="110">
        <f t="shared" si="543"/>
        <v>0</v>
      </c>
      <c r="DN73" s="110">
        <f t="shared" si="544"/>
        <v>0</v>
      </c>
      <c r="DO73" s="110">
        <f t="shared" si="545"/>
        <v>0</v>
      </c>
      <c r="DP73" s="110">
        <f t="shared" si="546"/>
        <v>0</v>
      </c>
      <c r="DQ73" s="110">
        <f t="shared" si="547"/>
        <v>0</v>
      </c>
      <c r="DR73" s="110">
        <f t="shared" si="548"/>
        <v>0</v>
      </c>
      <c r="DS73" s="110">
        <f t="shared" si="549"/>
        <v>0</v>
      </c>
      <c r="DT73" s="110">
        <f t="shared" si="550"/>
        <v>0</v>
      </c>
      <c r="DU73" s="110">
        <f t="shared" si="551"/>
        <v>0</v>
      </c>
      <c r="DW73" s="111"/>
      <c r="DX73" s="110">
        <f t="shared" si="552"/>
        <v>0</v>
      </c>
      <c r="DY73" s="110">
        <f t="shared" si="553"/>
        <v>0</v>
      </c>
      <c r="DZ73" s="110">
        <f t="shared" si="554"/>
        <v>0</v>
      </c>
      <c r="EA73" s="110">
        <f t="shared" si="555"/>
        <v>0</v>
      </c>
      <c r="EB73" s="110">
        <f t="shared" si="556"/>
        <v>0</v>
      </c>
      <c r="EC73" s="110">
        <f t="shared" si="557"/>
        <v>0</v>
      </c>
      <c r="ED73" s="110">
        <f t="shared" si="558"/>
        <v>0</v>
      </c>
      <c r="EE73" s="110">
        <f t="shared" si="559"/>
        <v>0</v>
      </c>
      <c r="EF73" s="110">
        <f t="shared" si="560"/>
        <v>0</v>
      </c>
      <c r="EG73" s="110">
        <f t="shared" si="561"/>
        <v>0</v>
      </c>
      <c r="EH73" s="110">
        <f t="shared" si="562"/>
        <v>0</v>
      </c>
      <c r="EI73" s="110">
        <f t="shared" si="563"/>
        <v>0</v>
      </c>
      <c r="EK73" s="111"/>
      <c r="EL73" s="110">
        <f t="shared" si="564"/>
        <v>0</v>
      </c>
      <c r="EM73" s="110">
        <f t="shared" si="565"/>
        <v>0</v>
      </c>
      <c r="EN73" s="110">
        <f t="shared" si="566"/>
        <v>185.27</v>
      </c>
      <c r="EP73" s="109" cm="1">
        <f t="array" ref="EP73">+IFERROR(INDEX($C$3:$AM$3,MATCH(TRUE,INDEX($C73:$AM73&lt;&gt;0,0),0)),"N/A")</f>
        <v>45838</v>
      </c>
      <c r="EQ73" s="112"/>
      <c r="ER73" s="1" t="str" cm="1">
        <f t="array" ref="ER73">+_xlfn.IFS(EW73&lt;&gt;0,EW$2,FB73&lt;&gt;0,FB$2,FG73&lt;&gt;0,FG$2,FL73&lt;&gt;0,FL$2,TRUE,"")</f>
        <v/>
      </c>
      <c r="ES73" s="1" t="str" cm="1">
        <f t="array" ref="ES73">+_xlfn.IFS(EX73&lt;&gt;0,EX$2,FC73&lt;&gt;0,FC$2,FH73&lt;&gt;0,FH$2,FM73&lt;&gt;0,FM$2,TRUE,"")</f>
        <v/>
      </c>
      <c r="ET73" s="1" t="str" cm="1">
        <f t="array" ref="ET73">+_xlfn.IFS(EY73&lt;&gt;0,EY$2,FD73&lt;&gt;0,FD$2,FI73&lt;&gt;0,FI$2,FN73&lt;&gt;0,FN$2,TRUE,"")</f>
        <v>New</v>
      </c>
      <c r="EV73" s="111"/>
      <c r="EW73" s="110">
        <f t="shared" si="567"/>
        <v>0</v>
      </c>
      <c r="EX73" s="110">
        <f t="shared" si="568"/>
        <v>0</v>
      </c>
      <c r="EY73" s="110">
        <f t="shared" si="569"/>
        <v>185.27</v>
      </c>
      <c r="FA73" s="111"/>
      <c r="FB73" s="110">
        <f t="shared" si="570"/>
        <v>0</v>
      </c>
      <c r="FC73" s="110">
        <f t="shared" si="571"/>
        <v>0</v>
      </c>
      <c r="FD73" s="110">
        <f t="shared" si="572"/>
        <v>0</v>
      </c>
      <c r="FF73" s="111"/>
      <c r="FG73" s="110">
        <f t="shared" si="573"/>
        <v>0</v>
      </c>
      <c r="FH73" s="110">
        <f t="shared" si="574"/>
        <v>0</v>
      </c>
      <c r="FI73" s="110">
        <f t="shared" si="575"/>
        <v>0</v>
      </c>
      <c r="FK73" s="111"/>
      <c r="FL73" s="110">
        <f t="shared" si="576"/>
        <v>0</v>
      </c>
      <c r="FM73" s="110">
        <f t="shared" si="577"/>
        <v>0</v>
      </c>
      <c r="FN73" s="110">
        <f t="shared" si="578"/>
        <v>0</v>
      </c>
      <c r="FP73" s="111"/>
      <c r="FQ73" s="110">
        <f t="shared" si="579"/>
        <v>0</v>
      </c>
      <c r="FR73" s="110">
        <f t="shared" si="580"/>
        <v>0</v>
      </c>
      <c r="FS73" s="110">
        <f t="shared" si="581"/>
        <v>0</v>
      </c>
      <c r="FU73" s="111">
        <f t="shared" si="582"/>
        <v>0</v>
      </c>
      <c r="FV73" s="110">
        <f t="shared" si="583"/>
        <v>0</v>
      </c>
      <c r="FW73" s="110">
        <f t="shared" si="584"/>
        <v>0</v>
      </c>
      <c r="FX73" s="110">
        <f t="shared" si="585"/>
        <v>0</v>
      </c>
      <c r="FY73" s="110">
        <f t="shared" si="586"/>
        <v>0</v>
      </c>
      <c r="FZ73" s="110">
        <f t="shared" si="587"/>
        <v>0</v>
      </c>
      <c r="GA73" s="110">
        <f t="shared" si="588"/>
        <v>0</v>
      </c>
      <c r="GB73" s="110">
        <f t="shared" si="589"/>
        <v>0</v>
      </c>
      <c r="GC73" s="110">
        <f t="shared" si="590"/>
        <v>0</v>
      </c>
      <c r="GD73" s="110">
        <f t="shared" si="591"/>
        <v>0</v>
      </c>
      <c r="GE73" s="110">
        <f t="shared" si="592"/>
        <v>0</v>
      </c>
      <c r="GF73" s="110">
        <f t="shared" si="593"/>
        <v>0</v>
      </c>
      <c r="GG73" s="110">
        <f t="shared" si="594"/>
        <v>0</v>
      </c>
      <c r="GH73" s="110">
        <f t="shared" si="595"/>
        <v>0</v>
      </c>
      <c r="GI73" s="110">
        <f t="shared" si="596"/>
        <v>0</v>
      </c>
      <c r="GJ73" s="110">
        <f t="shared" si="597"/>
        <v>0</v>
      </c>
      <c r="GK73" s="110">
        <f t="shared" si="598"/>
        <v>0</v>
      </c>
      <c r="GL73" s="110">
        <f t="shared" si="599"/>
        <v>0</v>
      </c>
      <c r="GM73" s="110">
        <f t="shared" si="600"/>
        <v>185.27</v>
      </c>
      <c r="GN73" s="110">
        <f t="shared" si="601"/>
        <v>185.27</v>
      </c>
      <c r="GO73" s="110">
        <f t="shared" si="602"/>
        <v>185.27</v>
      </c>
      <c r="GP73" s="110">
        <f t="shared" si="603"/>
        <v>185.27</v>
      </c>
      <c r="GQ73" s="110">
        <f t="shared" si="604"/>
        <v>185.27</v>
      </c>
      <c r="GR73" s="110">
        <f t="shared" si="605"/>
        <v>185.27</v>
      </c>
      <c r="GS73" s="110">
        <f t="shared" si="606"/>
        <v>185.27</v>
      </c>
      <c r="GU73" s="109" cm="1">
        <f t="array" ref="GU73">+IFERROR(INDEX($C$3:$AM$3,MATCH(TRUE,INDEX($C73:$AM73&lt;&gt;0,0),0)),"N/A")</f>
        <v>45838</v>
      </c>
      <c r="GV73" s="112" t="str" cm="1">
        <f t="array" ref="GV73">+_xlfn.IFS(HV73&lt;&gt;0,HV$2,IV73&lt;&gt;0,IV$2,JV73&lt;&gt;0,JV$2,KV73&lt;&gt;0,KV$2,TRUE,"")</f>
        <v/>
      </c>
      <c r="GW73" s="1" t="str" cm="1">
        <f t="array" ref="GW73">+_xlfn.IFS(HW73&lt;&gt;0,HW$2,IW73&lt;&gt;0,IW$2,JW73&lt;&gt;0,JW$2,KW73&lt;&gt;0,KW$2,TRUE,"")</f>
        <v/>
      </c>
      <c r="GX73" s="1" t="str" cm="1">
        <f t="array" ref="GX73">+_xlfn.IFS(HX73&lt;&gt;0,HX$2,IX73&lt;&gt;0,IX$2,JX73&lt;&gt;0,JX$2,KX73&lt;&gt;0,KX$2,TRUE,"")</f>
        <v/>
      </c>
      <c r="GY73" s="1" t="str" cm="1">
        <f t="array" ref="GY73">+_xlfn.IFS(HY73&lt;&gt;0,HY$2,IY73&lt;&gt;0,IY$2,JY73&lt;&gt;0,JY$2,KY73&lt;&gt;0,KY$2,TRUE,"")</f>
        <v/>
      </c>
      <c r="GZ73" s="1" t="str" cm="1">
        <f t="array" ref="GZ73">+_xlfn.IFS(HZ73&lt;&gt;0,HZ$2,IZ73&lt;&gt;0,IZ$2,JZ73&lt;&gt;0,JZ$2,KZ73&lt;&gt;0,KZ$2,TRUE,"")</f>
        <v/>
      </c>
      <c r="HA73" s="1" t="str" cm="1">
        <f t="array" ref="HA73">+_xlfn.IFS(IA73&lt;&gt;0,IA$2,JA73&lt;&gt;0,JA$2,KA73&lt;&gt;0,KA$2,LA73&lt;&gt;0,LA$2,TRUE,"")</f>
        <v/>
      </c>
      <c r="HB73" s="1" t="str" cm="1">
        <f t="array" ref="HB73">+_xlfn.IFS(IB73&lt;&gt;0,IB$2,JB73&lt;&gt;0,JB$2,KB73&lt;&gt;0,KB$2,LB73&lt;&gt;0,LB$2,TRUE,"")</f>
        <v/>
      </c>
      <c r="HC73" s="1" t="str" cm="1">
        <f t="array" ref="HC73">+_xlfn.IFS(IC73&lt;&gt;0,IC$2,JC73&lt;&gt;0,JC$2,KC73&lt;&gt;0,KC$2,LC73&lt;&gt;0,LC$2,TRUE,"")</f>
        <v/>
      </c>
      <c r="HD73" s="1" t="str" cm="1">
        <f t="array" ref="HD73">+_xlfn.IFS(ID73&lt;&gt;0,ID$2,JD73&lt;&gt;0,JD$2,KD73&lt;&gt;0,KD$2,LD73&lt;&gt;0,LD$2,TRUE,"")</f>
        <v/>
      </c>
      <c r="HE73" s="1" t="str" cm="1">
        <f t="array" ref="HE73">+_xlfn.IFS(IE73&lt;&gt;0,IE$2,JE73&lt;&gt;0,JE$2,KE73&lt;&gt;0,KE$2,LE73&lt;&gt;0,LE$2,TRUE,"")</f>
        <v/>
      </c>
      <c r="HF73" s="1" t="str" cm="1">
        <f t="array" ref="HF73">+_xlfn.IFS(IF73&lt;&gt;0,IF$2,JF73&lt;&gt;0,JF$2,KF73&lt;&gt;0,KF$2,LF73&lt;&gt;0,LF$2,TRUE,"")</f>
        <v/>
      </c>
      <c r="HG73" s="1" t="str" cm="1">
        <f t="array" ref="HG73">+_xlfn.IFS(IG73&lt;&gt;0,IG$2,JG73&lt;&gt;0,JG$2,KG73&lt;&gt;0,KG$2,LG73&lt;&gt;0,LG$2,TRUE,"")</f>
        <v/>
      </c>
      <c r="HH73" s="1" t="str" cm="1">
        <f t="array" ref="HH73">+_xlfn.IFS(IH73&lt;&gt;0,IH$2,JH73&lt;&gt;0,JH$2,KH73&lt;&gt;0,KH$2,LH73&lt;&gt;0,LH$2,TRUE,"")</f>
        <v/>
      </c>
      <c r="HI73" s="1" t="str" cm="1">
        <f t="array" ref="HI73">+_xlfn.IFS(II73&lt;&gt;0,II$2,JI73&lt;&gt;0,JI$2,KI73&lt;&gt;0,KI$2,LI73&lt;&gt;0,LI$2,TRUE,"")</f>
        <v/>
      </c>
      <c r="HJ73" s="1" t="str" cm="1">
        <f t="array" ref="HJ73">+_xlfn.IFS(IJ73&lt;&gt;0,IJ$2,JJ73&lt;&gt;0,JJ$2,KJ73&lt;&gt;0,KJ$2,LJ73&lt;&gt;0,LJ$2,TRUE,"")</f>
        <v/>
      </c>
      <c r="HK73" s="1" t="str" cm="1">
        <f t="array" ref="HK73">+_xlfn.IFS(IK73&lt;&gt;0,IK$2,JK73&lt;&gt;0,JK$2,KK73&lt;&gt;0,KK$2,LK73&lt;&gt;0,LK$2,TRUE,"")</f>
        <v/>
      </c>
      <c r="HL73" s="1" t="str" cm="1">
        <f t="array" ref="HL73">+_xlfn.IFS(IL73&lt;&gt;0,IL$2,JL73&lt;&gt;0,JL$2,KL73&lt;&gt;0,KL$2,LL73&lt;&gt;0,LL$2,TRUE,"")</f>
        <v/>
      </c>
      <c r="HM73" s="1" t="str" cm="1">
        <f t="array" ref="HM73">+_xlfn.IFS(IM73&lt;&gt;0,IM$2,JM73&lt;&gt;0,JM$2,KM73&lt;&gt;0,KM$2,LM73&lt;&gt;0,LM$2,TRUE,"")</f>
        <v/>
      </c>
      <c r="HN73" s="1" t="str" cm="1">
        <f t="array" ref="HN73">+_xlfn.IFS(IN73&lt;&gt;0,IN$2,JN73&lt;&gt;0,JN$2,KN73&lt;&gt;0,KN$2,LN73&lt;&gt;0,LN$2,TRUE,"")</f>
        <v>New</v>
      </c>
      <c r="HO73" s="1" t="str" cm="1">
        <f t="array" ref="HO73">+_xlfn.IFS(IO73&lt;&gt;0,IO$2,JO73&lt;&gt;0,JO$2,KO73&lt;&gt;0,KO$2,LO73&lt;&gt;0,LO$2,TRUE,"")</f>
        <v>New</v>
      </c>
      <c r="HP73" s="1" t="str" cm="1">
        <f t="array" ref="HP73">+_xlfn.IFS(IP73&lt;&gt;0,IP$2,JP73&lt;&gt;0,JP$2,KP73&lt;&gt;0,KP$2,LP73&lt;&gt;0,LP$2,TRUE,"")</f>
        <v>New</v>
      </c>
      <c r="HQ73" s="1" t="str" cm="1">
        <f t="array" ref="HQ73">+_xlfn.IFS(IQ73&lt;&gt;0,IQ$2,JQ73&lt;&gt;0,JQ$2,KQ73&lt;&gt;0,KQ$2,LQ73&lt;&gt;0,LQ$2,TRUE,"")</f>
        <v>New</v>
      </c>
      <c r="HR73" s="1" t="str" cm="1">
        <f t="array" ref="HR73">+_xlfn.IFS(IR73&lt;&gt;0,IR$2,JR73&lt;&gt;0,JR$2,KR73&lt;&gt;0,KR$2,LR73&lt;&gt;0,LR$2,TRUE,"")</f>
        <v>New</v>
      </c>
      <c r="HS73" s="1" t="str" cm="1">
        <f t="array" ref="HS73">+_xlfn.IFS(IS73&lt;&gt;0,IS$2,JS73&lt;&gt;0,JS$2,KS73&lt;&gt;0,KS$2,LS73&lt;&gt;0,LS$2,TRUE,"")</f>
        <v>New</v>
      </c>
      <c r="HT73" s="1" t="str" cm="1">
        <f t="array" ref="HT73">+_xlfn.IFS(IT73&lt;&gt;0,IT$2,JT73&lt;&gt;0,JT$2,KT73&lt;&gt;0,KT$2,LT73&lt;&gt;0,LT$2,TRUE,"")</f>
        <v>New</v>
      </c>
      <c r="HV73" s="111">
        <f t="shared" si="607"/>
        <v>0</v>
      </c>
      <c r="HW73" s="110">
        <f t="shared" si="608"/>
        <v>0</v>
      </c>
      <c r="HX73" s="110">
        <f t="shared" si="609"/>
        <v>0</v>
      </c>
      <c r="HY73" s="110">
        <f t="shared" si="610"/>
        <v>0</v>
      </c>
      <c r="HZ73" s="110">
        <f t="shared" si="611"/>
        <v>0</v>
      </c>
      <c r="IA73" s="110">
        <f t="shared" si="612"/>
        <v>0</v>
      </c>
      <c r="IB73" s="110">
        <f t="shared" si="613"/>
        <v>0</v>
      </c>
      <c r="IC73" s="110">
        <f t="shared" si="614"/>
        <v>0</v>
      </c>
      <c r="ID73" s="110">
        <f t="shared" si="615"/>
        <v>0</v>
      </c>
      <c r="IE73" s="110">
        <f t="shared" si="616"/>
        <v>0</v>
      </c>
      <c r="IF73" s="110">
        <f t="shared" si="617"/>
        <v>0</v>
      </c>
      <c r="IG73" s="110">
        <f t="shared" si="618"/>
        <v>0</v>
      </c>
      <c r="IH73" s="110">
        <f t="shared" si="619"/>
        <v>0</v>
      </c>
      <c r="II73" s="110">
        <f t="shared" si="620"/>
        <v>0</v>
      </c>
      <c r="IJ73" s="110">
        <f t="shared" si="621"/>
        <v>0</v>
      </c>
      <c r="IK73" s="110">
        <f t="shared" si="622"/>
        <v>0</v>
      </c>
      <c r="IL73" s="110">
        <f t="shared" si="623"/>
        <v>0</v>
      </c>
      <c r="IM73" s="110">
        <f t="shared" si="624"/>
        <v>0</v>
      </c>
      <c r="IN73" s="110">
        <f t="shared" si="625"/>
        <v>185.27</v>
      </c>
      <c r="IO73" s="110">
        <f t="shared" si="626"/>
        <v>185.27</v>
      </c>
      <c r="IP73" s="110">
        <f t="shared" si="627"/>
        <v>185.27</v>
      </c>
      <c r="IQ73" s="110">
        <f t="shared" si="628"/>
        <v>185.27</v>
      </c>
      <c r="IR73" s="110">
        <f t="shared" si="629"/>
        <v>185.27</v>
      </c>
      <c r="IS73" s="110">
        <f t="shared" si="630"/>
        <v>185.27</v>
      </c>
      <c r="IT73" s="110">
        <f t="shared" si="631"/>
        <v>185.27</v>
      </c>
      <c r="IV73" s="111">
        <f t="shared" si="632"/>
        <v>0</v>
      </c>
      <c r="IW73" s="110">
        <f t="shared" si="633"/>
        <v>0</v>
      </c>
      <c r="IX73" s="110">
        <f t="shared" si="634"/>
        <v>0</v>
      </c>
      <c r="IY73" s="110">
        <f t="shared" si="635"/>
        <v>0</v>
      </c>
      <c r="IZ73" s="110">
        <f t="shared" si="636"/>
        <v>0</v>
      </c>
      <c r="JA73" s="110">
        <f t="shared" si="637"/>
        <v>0</v>
      </c>
      <c r="JB73" s="110">
        <f t="shared" si="638"/>
        <v>0</v>
      </c>
      <c r="JC73" s="110">
        <f t="shared" si="639"/>
        <v>0</v>
      </c>
      <c r="JD73" s="110">
        <f t="shared" si="640"/>
        <v>0</v>
      </c>
      <c r="JE73" s="110">
        <f t="shared" si="641"/>
        <v>0</v>
      </c>
      <c r="JF73" s="110">
        <f t="shared" si="642"/>
        <v>0</v>
      </c>
      <c r="JG73" s="110">
        <f t="shared" si="643"/>
        <v>0</v>
      </c>
      <c r="JH73" s="110">
        <f t="shared" si="644"/>
        <v>0</v>
      </c>
      <c r="JI73" s="110">
        <f t="shared" si="645"/>
        <v>0</v>
      </c>
      <c r="JJ73" s="110">
        <f t="shared" si="646"/>
        <v>0</v>
      </c>
      <c r="JK73" s="110">
        <f t="shared" si="647"/>
        <v>0</v>
      </c>
      <c r="JL73" s="110">
        <f t="shared" si="648"/>
        <v>0</v>
      </c>
      <c r="JM73" s="110">
        <f t="shared" si="649"/>
        <v>0</v>
      </c>
      <c r="JN73" s="110">
        <f t="shared" si="650"/>
        <v>0</v>
      </c>
      <c r="JO73" s="110">
        <f t="shared" si="651"/>
        <v>0</v>
      </c>
      <c r="JP73" s="110">
        <f t="shared" si="652"/>
        <v>0</v>
      </c>
      <c r="JQ73" s="110">
        <f t="shared" si="653"/>
        <v>0</v>
      </c>
      <c r="JR73" s="110">
        <f t="shared" si="654"/>
        <v>0</v>
      </c>
      <c r="JS73" s="110">
        <f t="shared" si="655"/>
        <v>0</v>
      </c>
      <c r="JT73" s="110">
        <f t="shared" si="656"/>
        <v>0</v>
      </c>
      <c r="JV73" s="111">
        <f t="shared" si="657"/>
        <v>0</v>
      </c>
      <c r="JW73" s="110">
        <f t="shared" si="658"/>
        <v>0</v>
      </c>
      <c r="JX73" s="110">
        <f t="shared" si="659"/>
        <v>0</v>
      </c>
      <c r="JY73" s="110">
        <f t="shared" si="660"/>
        <v>0</v>
      </c>
      <c r="JZ73" s="110">
        <f t="shared" si="661"/>
        <v>0</v>
      </c>
      <c r="KA73" s="110">
        <f t="shared" si="662"/>
        <v>0</v>
      </c>
      <c r="KB73" s="110">
        <f t="shared" si="663"/>
        <v>0</v>
      </c>
      <c r="KC73" s="110">
        <f t="shared" si="664"/>
        <v>0</v>
      </c>
      <c r="KD73" s="110">
        <f t="shared" si="665"/>
        <v>0</v>
      </c>
      <c r="KE73" s="110">
        <f t="shared" si="666"/>
        <v>0</v>
      </c>
      <c r="KF73" s="110">
        <f t="shared" si="667"/>
        <v>0</v>
      </c>
      <c r="KG73" s="110">
        <f t="shared" si="668"/>
        <v>0</v>
      </c>
      <c r="KH73" s="110">
        <f t="shared" si="669"/>
        <v>0</v>
      </c>
      <c r="KI73" s="110">
        <f t="shared" si="670"/>
        <v>0</v>
      </c>
      <c r="KJ73" s="110">
        <f t="shared" si="671"/>
        <v>0</v>
      </c>
      <c r="KK73" s="110">
        <f t="shared" si="672"/>
        <v>0</v>
      </c>
      <c r="KL73" s="110">
        <f t="shared" si="673"/>
        <v>0</v>
      </c>
      <c r="KM73" s="110">
        <f t="shared" si="674"/>
        <v>0</v>
      </c>
      <c r="KN73" s="110">
        <f t="shared" si="675"/>
        <v>0</v>
      </c>
      <c r="KO73" s="110">
        <f t="shared" si="676"/>
        <v>0</v>
      </c>
      <c r="KP73" s="110">
        <f t="shared" si="677"/>
        <v>0</v>
      </c>
      <c r="KQ73" s="110">
        <f t="shared" si="678"/>
        <v>0</v>
      </c>
      <c r="KR73" s="110">
        <f t="shared" si="679"/>
        <v>0</v>
      </c>
      <c r="KS73" s="110">
        <f t="shared" si="680"/>
        <v>0</v>
      </c>
      <c r="KT73" s="110">
        <f t="shared" si="681"/>
        <v>0</v>
      </c>
      <c r="KV73" s="111">
        <f t="shared" si="682"/>
        <v>0</v>
      </c>
      <c r="KW73" s="110">
        <f t="shared" si="683"/>
        <v>0</v>
      </c>
      <c r="KX73" s="110">
        <f t="shared" si="684"/>
        <v>0</v>
      </c>
      <c r="KY73" s="110">
        <f t="shared" si="685"/>
        <v>0</v>
      </c>
      <c r="KZ73" s="110">
        <f t="shared" si="686"/>
        <v>0</v>
      </c>
      <c r="LA73" s="110">
        <f t="shared" si="687"/>
        <v>0</v>
      </c>
      <c r="LB73" s="110">
        <f t="shared" si="688"/>
        <v>0</v>
      </c>
      <c r="LC73" s="110">
        <f t="shared" si="689"/>
        <v>0</v>
      </c>
      <c r="LD73" s="110">
        <f t="shared" si="690"/>
        <v>0</v>
      </c>
      <c r="LE73" s="110">
        <f t="shared" si="691"/>
        <v>0</v>
      </c>
      <c r="LF73" s="110">
        <f t="shared" si="692"/>
        <v>0</v>
      </c>
      <c r="LG73" s="110">
        <f t="shared" si="693"/>
        <v>0</v>
      </c>
      <c r="LH73" s="110">
        <f t="shared" si="694"/>
        <v>0</v>
      </c>
      <c r="LI73" s="110">
        <f t="shared" si="695"/>
        <v>0</v>
      </c>
      <c r="LJ73" s="110">
        <f t="shared" si="696"/>
        <v>0</v>
      </c>
      <c r="LK73" s="110">
        <f t="shared" si="697"/>
        <v>0</v>
      </c>
      <c r="LL73" s="110">
        <f t="shared" si="698"/>
        <v>0</v>
      </c>
      <c r="LM73" s="110">
        <f t="shared" si="699"/>
        <v>0</v>
      </c>
      <c r="LN73" s="110">
        <f t="shared" si="700"/>
        <v>0</v>
      </c>
      <c r="LO73" s="110">
        <f t="shared" si="701"/>
        <v>0</v>
      </c>
      <c r="LP73" s="110">
        <f t="shared" si="702"/>
        <v>0</v>
      </c>
      <c r="LQ73" s="110">
        <f t="shared" si="703"/>
        <v>0</v>
      </c>
      <c r="LR73" s="110">
        <f t="shared" si="704"/>
        <v>0</v>
      </c>
      <c r="LS73" s="110">
        <f t="shared" si="705"/>
        <v>0</v>
      </c>
      <c r="LT73" s="110">
        <f t="shared" si="706"/>
        <v>0</v>
      </c>
      <c r="LV73" s="111"/>
      <c r="LW73" s="110">
        <f t="shared" si="707"/>
        <v>0</v>
      </c>
      <c r="LX73" s="110">
        <f t="shared" si="708"/>
        <v>0</v>
      </c>
      <c r="LY73" s="110">
        <f t="shared" si="709"/>
        <v>0</v>
      </c>
      <c r="LZ73" s="110">
        <f t="shared" si="710"/>
        <v>0</v>
      </c>
      <c r="MA73" s="110">
        <f t="shared" si="711"/>
        <v>0</v>
      </c>
      <c r="MB73" s="110">
        <f t="shared" si="712"/>
        <v>0</v>
      </c>
      <c r="MC73" s="110">
        <f t="shared" si="713"/>
        <v>0</v>
      </c>
      <c r="MD73" s="110">
        <f t="shared" si="714"/>
        <v>0</v>
      </c>
      <c r="ME73" s="110">
        <f t="shared" si="715"/>
        <v>0</v>
      </c>
      <c r="MF73" s="110">
        <f t="shared" si="716"/>
        <v>0</v>
      </c>
      <c r="MG73" s="110">
        <f t="shared" si="717"/>
        <v>0</v>
      </c>
      <c r="MH73" s="110">
        <f t="shared" si="718"/>
        <v>0</v>
      </c>
      <c r="MI73" s="110">
        <f t="shared" si="719"/>
        <v>0</v>
      </c>
      <c r="MJ73" s="110">
        <f t="shared" si="720"/>
        <v>0</v>
      </c>
      <c r="MK73" s="110">
        <f t="shared" si="721"/>
        <v>0</v>
      </c>
      <c r="ML73" s="110">
        <f t="shared" si="722"/>
        <v>0</v>
      </c>
      <c r="MM73" s="110">
        <f t="shared" si="723"/>
        <v>0</v>
      </c>
      <c r="MN73" s="110">
        <f t="shared" si="724"/>
        <v>0</v>
      </c>
      <c r="MO73" s="110">
        <f t="shared" si="725"/>
        <v>0</v>
      </c>
      <c r="MP73" s="110">
        <f t="shared" si="726"/>
        <v>0</v>
      </c>
      <c r="MQ73" s="110">
        <f t="shared" si="727"/>
        <v>0</v>
      </c>
      <c r="MR73" s="110">
        <f t="shared" si="728"/>
        <v>0</v>
      </c>
      <c r="MS73" s="110">
        <f t="shared" si="729"/>
        <v>0</v>
      </c>
      <c r="MT73" s="110">
        <f t="shared" si="730"/>
        <v>0</v>
      </c>
      <c r="MV73" s="114">
        <v>185.27</v>
      </c>
      <c r="MW73" s="114">
        <v>185.27</v>
      </c>
      <c r="MX73" s="114">
        <v>0</v>
      </c>
      <c r="MY73" s="114">
        <v>0</v>
      </c>
      <c r="MZ73" s="114">
        <v>0</v>
      </c>
      <c r="NB73" s="115">
        <v>62</v>
      </c>
      <c r="NC73" s="115">
        <v>7</v>
      </c>
      <c r="ND73" s="115" t="str">
        <v>N/A</v>
      </c>
      <c r="NE73" s="115" t="str">
        <v>N/A</v>
      </c>
      <c r="NF73" s="115" t="str">
        <v>N/A</v>
      </c>
    </row>
    <row r="74" spans="2:370" ht="13.5" x14ac:dyDescent="0.25">
      <c r="B74" s="8">
        <f t="shared" si="731"/>
        <v>71</v>
      </c>
      <c r="C74" s="7">
        <v>299</v>
      </c>
      <c r="D74" s="7">
        <v>299</v>
      </c>
      <c r="E74" s="7">
        <v>299</v>
      </c>
      <c r="F74" s="7">
        <v>299</v>
      </c>
      <c r="G74" s="7">
        <v>299</v>
      </c>
      <c r="H74" s="7">
        <v>299</v>
      </c>
      <c r="I74" s="7">
        <v>299</v>
      </c>
      <c r="J74" s="7">
        <v>299</v>
      </c>
      <c r="K74" s="7">
        <v>299</v>
      </c>
      <c r="L74" s="7">
        <v>299</v>
      </c>
      <c r="M74" s="7">
        <v>299</v>
      </c>
      <c r="N74" s="7">
        <v>0</v>
      </c>
      <c r="O74" s="7">
        <v>0</v>
      </c>
      <c r="P74" s="7">
        <v>0</v>
      </c>
      <c r="Q74" s="7">
        <v>0</v>
      </c>
      <c r="R74" s="7">
        <v>0</v>
      </c>
      <c r="S74" s="7">
        <v>0</v>
      </c>
      <c r="T74" s="7">
        <v>0</v>
      </c>
      <c r="U74" s="7">
        <v>0</v>
      </c>
      <c r="V74" s="7">
        <v>0</v>
      </c>
      <c r="W74" s="7">
        <v>0</v>
      </c>
      <c r="X74" s="7">
        <v>0</v>
      </c>
      <c r="Y74" s="7">
        <v>0</v>
      </c>
      <c r="Z74" s="7">
        <v>0</v>
      </c>
      <c r="AA74" s="7">
        <v>0</v>
      </c>
      <c r="AB74" s="7">
        <v>0</v>
      </c>
      <c r="AC74" s="7">
        <v>0</v>
      </c>
      <c r="AD74" s="7">
        <v>0</v>
      </c>
      <c r="AE74" s="7">
        <v>0</v>
      </c>
      <c r="AF74" s="7">
        <v>0</v>
      </c>
      <c r="AG74" s="7">
        <v>0</v>
      </c>
      <c r="AH74" s="7">
        <v>0</v>
      </c>
      <c r="AI74" s="7">
        <v>0</v>
      </c>
      <c r="AJ74" s="7">
        <v>0</v>
      </c>
      <c r="AK74" s="7">
        <v>0</v>
      </c>
      <c r="AL74" s="7">
        <v>0</v>
      </c>
      <c r="AM74" s="7">
        <v>0</v>
      </c>
      <c r="AN74" s="27">
        <v>71</v>
      </c>
      <c r="AP74" s="111"/>
      <c r="AQ74" s="110">
        <f t="shared" si="492"/>
        <v>0</v>
      </c>
      <c r="AR74" s="110">
        <f t="shared" si="493"/>
        <v>0</v>
      </c>
      <c r="AS74" s="110">
        <f t="shared" si="494"/>
        <v>0</v>
      </c>
      <c r="AT74" s="110">
        <f t="shared" si="495"/>
        <v>-299</v>
      </c>
      <c r="AU74" s="110">
        <f t="shared" si="496"/>
        <v>0</v>
      </c>
      <c r="AV74" s="110">
        <f t="shared" si="497"/>
        <v>0</v>
      </c>
      <c r="AW74" s="110">
        <f t="shared" si="498"/>
        <v>0</v>
      </c>
      <c r="AX74" s="110">
        <f t="shared" si="499"/>
        <v>0</v>
      </c>
      <c r="AY74" s="110">
        <f t="shared" si="500"/>
        <v>0</v>
      </c>
      <c r="AZ74" s="110">
        <f t="shared" si="501"/>
        <v>0</v>
      </c>
      <c r="BA74" s="110">
        <f t="shared" si="502"/>
        <v>0</v>
      </c>
      <c r="BB74" s="110">
        <f t="shared" si="503"/>
        <v>0</v>
      </c>
      <c r="BD74" s="109" cm="1">
        <f t="array" ref="BD74">+IFERROR(INDEX($C$3:$AM$3,MATCH(TRUE,INDEX($C74:$AM74&lt;&gt;0,0),0)),"N/A")</f>
        <v>44926</v>
      </c>
      <c r="BE74" s="112"/>
      <c r="BF74" s="1" t="str" cm="1">
        <f t="array" ref="BF74">+_xlfn.IFS(BT74&lt;&gt;0,BT$2,CH74&lt;&gt;0,CH$2,CV74&lt;&gt;0,CV$2,DJ74&lt;&gt;0,DJ$2,TRUE,"")</f>
        <v/>
      </c>
      <c r="BG74" s="1" t="str" cm="1">
        <f t="array" ref="BG74">+_xlfn.IFS(BU74&lt;&gt;0,BU$2,CI74&lt;&gt;0,CI$2,CW74&lt;&gt;0,CW$2,DK74&lt;&gt;0,DK$2,TRUE,"")</f>
        <v/>
      </c>
      <c r="BH74" s="1" t="str" cm="1">
        <f t="array" ref="BH74">+_xlfn.IFS(BV74&lt;&gt;0,BV$2,CJ74&lt;&gt;0,CJ$2,CX74&lt;&gt;0,CX$2,DL74&lt;&gt;0,DL$2,TRUE,"")</f>
        <v/>
      </c>
      <c r="BI74" s="1" t="str" cm="1">
        <f t="array" ref="BI74">+_xlfn.IFS(BW74&lt;&gt;0,BW$2,CK74&lt;&gt;0,CK$2,CY74&lt;&gt;0,CY$2,DM74&lt;&gt;0,DM$2,TRUE,"")</f>
        <v>Churn</v>
      </c>
      <c r="BJ74" s="1" t="str" cm="1">
        <f t="array" ref="BJ74">+_xlfn.IFS(BX74&lt;&gt;0,BX$2,CL74&lt;&gt;0,CL$2,CZ74&lt;&gt;0,CZ$2,DN74&lt;&gt;0,DN$2,TRUE,"")</f>
        <v/>
      </c>
      <c r="BK74" s="1" t="str" cm="1">
        <f t="array" ref="BK74">+_xlfn.IFS(BY74&lt;&gt;0,BY$2,CM74&lt;&gt;0,CM$2,DA74&lt;&gt;0,DA$2,DO74&lt;&gt;0,DO$2,TRUE,"")</f>
        <v/>
      </c>
      <c r="BL74" s="1" t="str" cm="1">
        <f t="array" ref="BL74">+_xlfn.IFS(BZ74&lt;&gt;0,BZ$2,CN74&lt;&gt;0,CN$2,DB74&lt;&gt;0,DB$2,DP74&lt;&gt;0,DP$2,TRUE,"")</f>
        <v/>
      </c>
      <c r="BM74" s="1" t="str" cm="1">
        <f t="array" ref="BM74">+_xlfn.IFS(CA74&lt;&gt;0,CA$2,CO74&lt;&gt;0,CO$2,DC74&lt;&gt;0,DC$2,DQ74&lt;&gt;0,DQ$2,TRUE,"")</f>
        <v/>
      </c>
      <c r="BN74" s="1" t="str" cm="1">
        <f t="array" ref="BN74">+_xlfn.IFS(CB74&lt;&gt;0,CB$2,CP74&lt;&gt;0,CP$2,DD74&lt;&gt;0,DD$2,DR74&lt;&gt;0,DR$2,TRUE,"")</f>
        <v/>
      </c>
      <c r="BO74" s="1" t="str" cm="1">
        <f t="array" ref="BO74">+_xlfn.IFS(CC74&lt;&gt;0,CC$2,CQ74&lt;&gt;0,CQ$2,DE74&lt;&gt;0,DE$2,DS74&lt;&gt;0,DS$2,TRUE,"")</f>
        <v/>
      </c>
      <c r="BP74" s="1" t="str" cm="1">
        <f t="array" ref="BP74">+_xlfn.IFS(CD74&lt;&gt;0,CD$2,CR74&lt;&gt;0,CR$2,DF74&lt;&gt;0,DF$2,DT74&lt;&gt;0,DT$2,TRUE,"")</f>
        <v/>
      </c>
      <c r="BQ74" s="1" t="str" cm="1">
        <f t="array" ref="BQ74">+_xlfn.IFS(CE74&lt;&gt;0,CE$2,CS74&lt;&gt;0,CS$2,DG74&lt;&gt;0,DG$2,DU74&lt;&gt;0,DU$2,TRUE,"")</f>
        <v/>
      </c>
      <c r="BS74" s="111"/>
      <c r="BT74" s="110">
        <f t="shared" si="504"/>
        <v>0</v>
      </c>
      <c r="BU74" s="110">
        <f t="shared" si="505"/>
        <v>0</v>
      </c>
      <c r="BV74" s="110">
        <f t="shared" si="506"/>
        <v>0</v>
      </c>
      <c r="BW74" s="110">
        <f t="shared" si="507"/>
        <v>0</v>
      </c>
      <c r="BX74" s="110">
        <f t="shared" si="508"/>
        <v>0</v>
      </c>
      <c r="BY74" s="110">
        <f t="shared" si="509"/>
        <v>0</v>
      </c>
      <c r="BZ74" s="110">
        <f t="shared" si="510"/>
        <v>0</v>
      </c>
      <c r="CA74" s="110">
        <f t="shared" si="511"/>
        <v>0</v>
      </c>
      <c r="CB74" s="110">
        <f t="shared" si="512"/>
        <v>0</v>
      </c>
      <c r="CC74" s="110">
        <f t="shared" si="513"/>
        <v>0</v>
      </c>
      <c r="CD74" s="110">
        <f t="shared" si="514"/>
        <v>0</v>
      </c>
      <c r="CE74" s="110">
        <f t="shared" si="515"/>
        <v>0</v>
      </c>
      <c r="CG74" s="111"/>
      <c r="CH74" s="110">
        <f t="shared" si="516"/>
        <v>0</v>
      </c>
      <c r="CI74" s="110">
        <f t="shared" si="517"/>
        <v>0</v>
      </c>
      <c r="CJ74" s="110">
        <f t="shared" si="518"/>
        <v>0</v>
      </c>
      <c r="CK74" s="110">
        <f t="shared" si="519"/>
        <v>-299</v>
      </c>
      <c r="CL74" s="110">
        <f t="shared" si="520"/>
        <v>0</v>
      </c>
      <c r="CM74" s="110">
        <f t="shared" si="521"/>
        <v>0</v>
      </c>
      <c r="CN74" s="110">
        <f t="shared" si="522"/>
        <v>0</v>
      </c>
      <c r="CO74" s="110">
        <f t="shared" si="523"/>
        <v>0</v>
      </c>
      <c r="CP74" s="110">
        <f t="shared" si="524"/>
        <v>0</v>
      </c>
      <c r="CQ74" s="110">
        <f t="shared" si="525"/>
        <v>0</v>
      </c>
      <c r="CR74" s="110">
        <f t="shared" si="526"/>
        <v>0</v>
      </c>
      <c r="CS74" s="110">
        <f t="shared" si="527"/>
        <v>0</v>
      </c>
      <c r="CU74" s="111"/>
      <c r="CV74" s="110">
        <f t="shared" si="528"/>
        <v>0</v>
      </c>
      <c r="CW74" s="110">
        <f t="shared" si="529"/>
        <v>0</v>
      </c>
      <c r="CX74" s="110">
        <f t="shared" si="530"/>
        <v>0</v>
      </c>
      <c r="CY74" s="110">
        <f t="shared" si="531"/>
        <v>0</v>
      </c>
      <c r="CZ74" s="110">
        <f t="shared" si="532"/>
        <v>0</v>
      </c>
      <c r="DA74" s="110">
        <f t="shared" si="533"/>
        <v>0</v>
      </c>
      <c r="DB74" s="110">
        <f t="shared" si="534"/>
        <v>0</v>
      </c>
      <c r="DC74" s="110">
        <f t="shared" si="535"/>
        <v>0</v>
      </c>
      <c r="DD74" s="110">
        <f t="shared" si="536"/>
        <v>0</v>
      </c>
      <c r="DE74" s="110">
        <f t="shared" si="537"/>
        <v>0</v>
      </c>
      <c r="DF74" s="110">
        <f t="shared" si="538"/>
        <v>0</v>
      </c>
      <c r="DG74" s="110">
        <f t="shared" si="539"/>
        <v>0</v>
      </c>
      <c r="DI74" s="111"/>
      <c r="DJ74" s="110">
        <f t="shared" si="540"/>
        <v>0</v>
      </c>
      <c r="DK74" s="110">
        <f t="shared" si="541"/>
        <v>0</v>
      </c>
      <c r="DL74" s="110">
        <f t="shared" si="542"/>
        <v>0</v>
      </c>
      <c r="DM74" s="110">
        <f t="shared" si="543"/>
        <v>0</v>
      </c>
      <c r="DN74" s="110">
        <f t="shared" si="544"/>
        <v>0</v>
      </c>
      <c r="DO74" s="110">
        <f t="shared" si="545"/>
        <v>0</v>
      </c>
      <c r="DP74" s="110">
        <f t="shared" si="546"/>
        <v>0</v>
      </c>
      <c r="DQ74" s="110">
        <f t="shared" si="547"/>
        <v>0</v>
      </c>
      <c r="DR74" s="110">
        <f t="shared" si="548"/>
        <v>0</v>
      </c>
      <c r="DS74" s="110">
        <f t="shared" si="549"/>
        <v>0</v>
      </c>
      <c r="DT74" s="110">
        <f t="shared" si="550"/>
        <v>0</v>
      </c>
      <c r="DU74" s="110">
        <f t="shared" si="551"/>
        <v>0</v>
      </c>
      <c r="DW74" s="111"/>
      <c r="DX74" s="110">
        <f t="shared" si="552"/>
        <v>0</v>
      </c>
      <c r="DY74" s="110">
        <f t="shared" si="553"/>
        <v>0</v>
      </c>
      <c r="DZ74" s="110">
        <f t="shared" si="554"/>
        <v>0</v>
      </c>
      <c r="EA74" s="110">
        <f t="shared" si="555"/>
        <v>0</v>
      </c>
      <c r="EB74" s="110">
        <f t="shared" si="556"/>
        <v>0</v>
      </c>
      <c r="EC74" s="110">
        <f t="shared" si="557"/>
        <v>0</v>
      </c>
      <c r="ED74" s="110">
        <f t="shared" si="558"/>
        <v>0</v>
      </c>
      <c r="EE74" s="110">
        <f t="shared" si="559"/>
        <v>0</v>
      </c>
      <c r="EF74" s="110">
        <f t="shared" si="560"/>
        <v>0</v>
      </c>
      <c r="EG74" s="110">
        <f t="shared" si="561"/>
        <v>0</v>
      </c>
      <c r="EH74" s="110">
        <f t="shared" si="562"/>
        <v>0</v>
      </c>
      <c r="EI74" s="110">
        <f t="shared" si="563"/>
        <v>0</v>
      </c>
      <c r="EK74" s="111"/>
      <c r="EL74" s="110">
        <f t="shared" si="564"/>
        <v>-299</v>
      </c>
      <c r="EM74" s="110">
        <f t="shared" si="565"/>
        <v>0</v>
      </c>
      <c r="EN74" s="110">
        <f t="shared" si="566"/>
        <v>0</v>
      </c>
      <c r="EP74" s="109" cm="1">
        <f t="array" ref="EP74">+IFERROR(INDEX($C$3:$AM$3,MATCH(TRUE,INDEX($C74:$AM74&lt;&gt;0,0),0)),"N/A")</f>
        <v>44926</v>
      </c>
      <c r="EQ74" s="112"/>
      <c r="ER74" s="1" t="str" cm="1">
        <f t="array" ref="ER74">+_xlfn.IFS(EW74&lt;&gt;0,EW$2,FB74&lt;&gt;0,FB$2,FG74&lt;&gt;0,FG$2,FL74&lt;&gt;0,FL$2,TRUE,"")</f>
        <v>Churn</v>
      </c>
      <c r="ES74" s="1" t="str" cm="1">
        <f t="array" ref="ES74">+_xlfn.IFS(EX74&lt;&gt;0,EX$2,FC74&lt;&gt;0,FC$2,FH74&lt;&gt;0,FH$2,FM74&lt;&gt;0,FM$2,TRUE,"")</f>
        <v/>
      </c>
      <c r="ET74" s="1" t="str" cm="1">
        <f t="array" ref="ET74">+_xlfn.IFS(EY74&lt;&gt;0,EY$2,FD74&lt;&gt;0,FD$2,FI74&lt;&gt;0,FI$2,FN74&lt;&gt;0,FN$2,TRUE,"")</f>
        <v/>
      </c>
      <c r="EV74" s="111"/>
      <c r="EW74" s="110">
        <f t="shared" si="567"/>
        <v>0</v>
      </c>
      <c r="EX74" s="110">
        <f t="shared" si="568"/>
        <v>0</v>
      </c>
      <c r="EY74" s="110">
        <f t="shared" si="569"/>
        <v>0</v>
      </c>
      <c r="FA74" s="111"/>
      <c r="FB74" s="110">
        <f t="shared" si="570"/>
        <v>-299</v>
      </c>
      <c r="FC74" s="110">
        <f t="shared" si="571"/>
        <v>0</v>
      </c>
      <c r="FD74" s="110">
        <f t="shared" si="572"/>
        <v>0</v>
      </c>
      <c r="FF74" s="111"/>
      <c r="FG74" s="110">
        <f t="shared" si="573"/>
        <v>0</v>
      </c>
      <c r="FH74" s="110">
        <f t="shared" si="574"/>
        <v>0</v>
      </c>
      <c r="FI74" s="110">
        <f t="shared" si="575"/>
        <v>0</v>
      </c>
      <c r="FK74" s="111"/>
      <c r="FL74" s="110">
        <f t="shared" si="576"/>
        <v>0</v>
      </c>
      <c r="FM74" s="110">
        <f t="shared" si="577"/>
        <v>0</v>
      </c>
      <c r="FN74" s="110">
        <f t="shared" si="578"/>
        <v>0</v>
      </c>
      <c r="FP74" s="111"/>
      <c r="FQ74" s="110">
        <f t="shared" si="579"/>
        <v>0</v>
      </c>
      <c r="FR74" s="110">
        <f t="shared" si="580"/>
        <v>0</v>
      </c>
      <c r="FS74" s="110">
        <f t="shared" si="581"/>
        <v>0</v>
      </c>
      <c r="FU74" s="111">
        <f t="shared" si="582"/>
        <v>-299</v>
      </c>
      <c r="FV74" s="110">
        <f t="shared" si="583"/>
        <v>-299</v>
      </c>
      <c r="FW74" s="110">
        <f t="shared" si="584"/>
        <v>-299</v>
      </c>
      <c r="FX74" s="110">
        <f t="shared" si="585"/>
        <v>-299</v>
      </c>
      <c r="FY74" s="110">
        <f t="shared" si="586"/>
        <v>-299</v>
      </c>
      <c r="FZ74" s="110">
        <f t="shared" si="587"/>
        <v>-299</v>
      </c>
      <c r="GA74" s="110">
        <f t="shared" si="588"/>
        <v>-299</v>
      </c>
      <c r="GB74" s="110">
        <f t="shared" si="589"/>
        <v>-299</v>
      </c>
      <c r="GC74" s="110">
        <f t="shared" si="590"/>
        <v>-299</v>
      </c>
      <c r="GD74" s="110">
        <f t="shared" si="591"/>
        <v>-299</v>
      </c>
      <c r="GE74" s="110">
        <f t="shared" si="592"/>
        <v>-299</v>
      </c>
      <c r="GF74" s="110">
        <f t="shared" si="593"/>
        <v>0</v>
      </c>
      <c r="GG74" s="110">
        <f t="shared" si="594"/>
        <v>0</v>
      </c>
      <c r="GH74" s="110">
        <f t="shared" si="595"/>
        <v>0</v>
      </c>
      <c r="GI74" s="110">
        <f t="shared" si="596"/>
        <v>0</v>
      </c>
      <c r="GJ74" s="110">
        <f t="shared" si="597"/>
        <v>0</v>
      </c>
      <c r="GK74" s="110">
        <f t="shared" si="598"/>
        <v>0</v>
      </c>
      <c r="GL74" s="110">
        <f t="shared" si="599"/>
        <v>0</v>
      </c>
      <c r="GM74" s="110">
        <f t="shared" si="600"/>
        <v>0</v>
      </c>
      <c r="GN74" s="110">
        <f t="shared" si="601"/>
        <v>0</v>
      </c>
      <c r="GO74" s="110">
        <f t="shared" si="602"/>
        <v>0</v>
      </c>
      <c r="GP74" s="110">
        <f t="shared" si="603"/>
        <v>0</v>
      </c>
      <c r="GQ74" s="110">
        <f t="shared" si="604"/>
        <v>0</v>
      </c>
      <c r="GR74" s="110">
        <f t="shared" si="605"/>
        <v>0</v>
      </c>
      <c r="GS74" s="110">
        <f t="shared" si="606"/>
        <v>0</v>
      </c>
      <c r="GU74" s="109" cm="1">
        <f t="array" ref="GU74">+IFERROR(INDEX($C$3:$AM$3,MATCH(TRUE,INDEX($C74:$AM74&lt;&gt;0,0),0)),"N/A")</f>
        <v>44926</v>
      </c>
      <c r="GV74" s="112" t="str" cm="1">
        <f t="array" ref="GV74">+_xlfn.IFS(HV74&lt;&gt;0,HV$2,IV74&lt;&gt;0,IV$2,JV74&lt;&gt;0,JV$2,KV74&lt;&gt;0,KV$2,TRUE,"")</f>
        <v>Churn</v>
      </c>
      <c r="GW74" s="1" t="str" cm="1">
        <f t="array" ref="GW74">+_xlfn.IFS(HW74&lt;&gt;0,HW$2,IW74&lt;&gt;0,IW$2,JW74&lt;&gt;0,JW$2,KW74&lt;&gt;0,KW$2,TRUE,"")</f>
        <v>Churn</v>
      </c>
      <c r="GX74" s="1" t="str" cm="1">
        <f t="array" ref="GX74">+_xlfn.IFS(HX74&lt;&gt;0,HX$2,IX74&lt;&gt;0,IX$2,JX74&lt;&gt;0,JX$2,KX74&lt;&gt;0,KX$2,TRUE,"")</f>
        <v>Churn</v>
      </c>
      <c r="GY74" s="1" t="str" cm="1">
        <f t="array" ref="GY74">+_xlfn.IFS(HY74&lt;&gt;0,HY$2,IY74&lt;&gt;0,IY$2,JY74&lt;&gt;0,JY$2,KY74&lt;&gt;0,KY$2,TRUE,"")</f>
        <v>Churn</v>
      </c>
      <c r="GZ74" s="1" t="str" cm="1">
        <f t="array" ref="GZ74">+_xlfn.IFS(HZ74&lt;&gt;0,HZ$2,IZ74&lt;&gt;0,IZ$2,JZ74&lt;&gt;0,JZ$2,KZ74&lt;&gt;0,KZ$2,TRUE,"")</f>
        <v>Churn</v>
      </c>
      <c r="HA74" s="1" t="str" cm="1">
        <f t="array" ref="HA74">+_xlfn.IFS(IA74&lt;&gt;0,IA$2,JA74&lt;&gt;0,JA$2,KA74&lt;&gt;0,KA$2,LA74&lt;&gt;0,LA$2,TRUE,"")</f>
        <v>Churn</v>
      </c>
      <c r="HB74" s="1" t="str" cm="1">
        <f t="array" ref="HB74">+_xlfn.IFS(IB74&lt;&gt;0,IB$2,JB74&lt;&gt;0,JB$2,KB74&lt;&gt;0,KB$2,LB74&lt;&gt;0,LB$2,TRUE,"")</f>
        <v>Churn</v>
      </c>
      <c r="HC74" s="1" t="str" cm="1">
        <f t="array" ref="HC74">+_xlfn.IFS(IC74&lt;&gt;0,IC$2,JC74&lt;&gt;0,JC$2,KC74&lt;&gt;0,KC$2,LC74&lt;&gt;0,LC$2,TRUE,"")</f>
        <v>Churn</v>
      </c>
      <c r="HD74" s="1" t="str" cm="1">
        <f t="array" ref="HD74">+_xlfn.IFS(ID74&lt;&gt;0,ID$2,JD74&lt;&gt;0,JD$2,KD74&lt;&gt;0,KD$2,LD74&lt;&gt;0,LD$2,TRUE,"")</f>
        <v>Churn</v>
      </c>
      <c r="HE74" s="1" t="str" cm="1">
        <f t="array" ref="HE74">+_xlfn.IFS(IE74&lt;&gt;0,IE$2,JE74&lt;&gt;0,JE$2,KE74&lt;&gt;0,KE$2,LE74&lt;&gt;0,LE$2,TRUE,"")</f>
        <v>Churn</v>
      </c>
      <c r="HF74" s="1" t="str" cm="1">
        <f t="array" ref="HF74">+_xlfn.IFS(IF74&lt;&gt;0,IF$2,JF74&lt;&gt;0,JF$2,KF74&lt;&gt;0,KF$2,LF74&lt;&gt;0,LF$2,TRUE,"")</f>
        <v>Churn</v>
      </c>
      <c r="HG74" s="1" t="str" cm="1">
        <f t="array" ref="HG74">+_xlfn.IFS(IG74&lt;&gt;0,IG$2,JG74&lt;&gt;0,JG$2,KG74&lt;&gt;0,KG$2,LG74&lt;&gt;0,LG$2,TRUE,"")</f>
        <v/>
      </c>
      <c r="HH74" s="1" t="str" cm="1">
        <f t="array" ref="HH74">+_xlfn.IFS(IH74&lt;&gt;0,IH$2,JH74&lt;&gt;0,JH$2,KH74&lt;&gt;0,KH$2,LH74&lt;&gt;0,LH$2,TRUE,"")</f>
        <v/>
      </c>
      <c r="HI74" s="1" t="str" cm="1">
        <f t="array" ref="HI74">+_xlfn.IFS(II74&lt;&gt;0,II$2,JI74&lt;&gt;0,JI$2,KI74&lt;&gt;0,KI$2,LI74&lt;&gt;0,LI$2,TRUE,"")</f>
        <v/>
      </c>
      <c r="HJ74" s="1" t="str" cm="1">
        <f t="array" ref="HJ74">+_xlfn.IFS(IJ74&lt;&gt;0,IJ$2,JJ74&lt;&gt;0,JJ$2,KJ74&lt;&gt;0,KJ$2,LJ74&lt;&gt;0,LJ$2,TRUE,"")</f>
        <v/>
      </c>
      <c r="HK74" s="1" t="str" cm="1">
        <f t="array" ref="HK74">+_xlfn.IFS(IK74&lt;&gt;0,IK$2,JK74&lt;&gt;0,JK$2,KK74&lt;&gt;0,KK$2,LK74&lt;&gt;0,LK$2,TRUE,"")</f>
        <v/>
      </c>
      <c r="HL74" s="1" t="str" cm="1">
        <f t="array" ref="HL74">+_xlfn.IFS(IL74&lt;&gt;0,IL$2,JL74&lt;&gt;0,JL$2,KL74&lt;&gt;0,KL$2,LL74&lt;&gt;0,LL$2,TRUE,"")</f>
        <v/>
      </c>
      <c r="HM74" s="1" t="str" cm="1">
        <f t="array" ref="HM74">+_xlfn.IFS(IM74&lt;&gt;0,IM$2,JM74&lt;&gt;0,JM$2,KM74&lt;&gt;0,KM$2,LM74&lt;&gt;0,LM$2,TRUE,"")</f>
        <v/>
      </c>
      <c r="HN74" s="1" t="str" cm="1">
        <f t="array" ref="HN74">+_xlfn.IFS(IN74&lt;&gt;0,IN$2,JN74&lt;&gt;0,JN$2,KN74&lt;&gt;0,KN$2,LN74&lt;&gt;0,LN$2,TRUE,"")</f>
        <v/>
      </c>
      <c r="HO74" s="1" t="str" cm="1">
        <f t="array" ref="HO74">+_xlfn.IFS(IO74&lt;&gt;0,IO$2,JO74&lt;&gt;0,JO$2,KO74&lt;&gt;0,KO$2,LO74&lt;&gt;0,LO$2,TRUE,"")</f>
        <v/>
      </c>
      <c r="HP74" s="1" t="str" cm="1">
        <f t="array" ref="HP74">+_xlfn.IFS(IP74&lt;&gt;0,IP$2,JP74&lt;&gt;0,JP$2,KP74&lt;&gt;0,KP$2,LP74&lt;&gt;0,LP$2,TRUE,"")</f>
        <v/>
      </c>
      <c r="HQ74" s="1" t="str" cm="1">
        <f t="array" ref="HQ74">+_xlfn.IFS(IQ74&lt;&gt;0,IQ$2,JQ74&lt;&gt;0,JQ$2,KQ74&lt;&gt;0,KQ$2,LQ74&lt;&gt;0,LQ$2,TRUE,"")</f>
        <v/>
      </c>
      <c r="HR74" s="1" t="str" cm="1">
        <f t="array" ref="HR74">+_xlfn.IFS(IR74&lt;&gt;0,IR$2,JR74&lt;&gt;0,JR$2,KR74&lt;&gt;0,KR$2,LR74&lt;&gt;0,LR$2,TRUE,"")</f>
        <v/>
      </c>
      <c r="HS74" s="1" t="str" cm="1">
        <f t="array" ref="HS74">+_xlfn.IFS(IS74&lt;&gt;0,IS$2,JS74&lt;&gt;0,JS$2,KS74&lt;&gt;0,KS$2,LS74&lt;&gt;0,LS$2,TRUE,"")</f>
        <v/>
      </c>
      <c r="HT74" s="1" t="str" cm="1">
        <f t="array" ref="HT74">+_xlfn.IFS(IT74&lt;&gt;0,IT$2,JT74&lt;&gt;0,JT$2,KT74&lt;&gt;0,KT$2,LT74&lt;&gt;0,LT$2,TRUE,"")</f>
        <v/>
      </c>
      <c r="HV74" s="111">
        <f t="shared" si="607"/>
        <v>0</v>
      </c>
      <c r="HW74" s="110">
        <f t="shared" si="608"/>
        <v>0</v>
      </c>
      <c r="HX74" s="110">
        <f t="shared" si="609"/>
        <v>0</v>
      </c>
      <c r="HY74" s="110">
        <f t="shared" si="610"/>
        <v>0</v>
      </c>
      <c r="HZ74" s="110">
        <f t="shared" si="611"/>
        <v>0</v>
      </c>
      <c r="IA74" s="110">
        <f t="shared" si="612"/>
        <v>0</v>
      </c>
      <c r="IB74" s="110">
        <f t="shared" si="613"/>
        <v>0</v>
      </c>
      <c r="IC74" s="110">
        <f t="shared" si="614"/>
        <v>0</v>
      </c>
      <c r="ID74" s="110">
        <f t="shared" si="615"/>
        <v>0</v>
      </c>
      <c r="IE74" s="110">
        <f t="shared" si="616"/>
        <v>0</v>
      </c>
      <c r="IF74" s="110">
        <f t="shared" si="617"/>
        <v>0</v>
      </c>
      <c r="IG74" s="110">
        <f t="shared" si="618"/>
        <v>0</v>
      </c>
      <c r="IH74" s="110">
        <f t="shared" si="619"/>
        <v>0</v>
      </c>
      <c r="II74" s="110">
        <f t="shared" si="620"/>
        <v>0</v>
      </c>
      <c r="IJ74" s="110">
        <f t="shared" si="621"/>
        <v>0</v>
      </c>
      <c r="IK74" s="110">
        <f t="shared" si="622"/>
        <v>0</v>
      </c>
      <c r="IL74" s="110">
        <f t="shared" si="623"/>
        <v>0</v>
      </c>
      <c r="IM74" s="110">
        <f t="shared" si="624"/>
        <v>0</v>
      </c>
      <c r="IN74" s="110">
        <f t="shared" si="625"/>
        <v>0</v>
      </c>
      <c r="IO74" s="110">
        <f t="shared" si="626"/>
        <v>0</v>
      </c>
      <c r="IP74" s="110">
        <f t="shared" si="627"/>
        <v>0</v>
      </c>
      <c r="IQ74" s="110">
        <f t="shared" si="628"/>
        <v>0</v>
      </c>
      <c r="IR74" s="110">
        <f t="shared" si="629"/>
        <v>0</v>
      </c>
      <c r="IS74" s="110">
        <f t="shared" si="630"/>
        <v>0</v>
      </c>
      <c r="IT74" s="110">
        <f t="shared" si="631"/>
        <v>0</v>
      </c>
      <c r="IV74" s="111">
        <f t="shared" si="632"/>
        <v>-299</v>
      </c>
      <c r="IW74" s="110">
        <f t="shared" si="633"/>
        <v>-299</v>
      </c>
      <c r="IX74" s="110">
        <f t="shared" si="634"/>
        <v>-299</v>
      </c>
      <c r="IY74" s="110">
        <f t="shared" si="635"/>
        <v>-299</v>
      </c>
      <c r="IZ74" s="110">
        <f t="shared" si="636"/>
        <v>-299</v>
      </c>
      <c r="JA74" s="110">
        <f t="shared" si="637"/>
        <v>-299</v>
      </c>
      <c r="JB74" s="110">
        <f t="shared" si="638"/>
        <v>-299</v>
      </c>
      <c r="JC74" s="110">
        <f t="shared" si="639"/>
        <v>-299</v>
      </c>
      <c r="JD74" s="110">
        <f t="shared" si="640"/>
        <v>-299</v>
      </c>
      <c r="JE74" s="110">
        <f t="shared" si="641"/>
        <v>-299</v>
      </c>
      <c r="JF74" s="110">
        <f t="shared" si="642"/>
        <v>-299</v>
      </c>
      <c r="JG74" s="110">
        <f t="shared" si="643"/>
        <v>0</v>
      </c>
      <c r="JH74" s="110">
        <f t="shared" si="644"/>
        <v>0</v>
      </c>
      <c r="JI74" s="110">
        <f t="shared" si="645"/>
        <v>0</v>
      </c>
      <c r="JJ74" s="110">
        <f t="shared" si="646"/>
        <v>0</v>
      </c>
      <c r="JK74" s="110">
        <f t="shared" si="647"/>
        <v>0</v>
      </c>
      <c r="JL74" s="110">
        <f t="shared" si="648"/>
        <v>0</v>
      </c>
      <c r="JM74" s="110">
        <f t="shared" si="649"/>
        <v>0</v>
      </c>
      <c r="JN74" s="110">
        <f t="shared" si="650"/>
        <v>0</v>
      </c>
      <c r="JO74" s="110">
        <f t="shared" si="651"/>
        <v>0</v>
      </c>
      <c r="JP74" s="110">
        <f t="shared" si="652"/>
        <v>0</v>
      </c>
      <c r="JQ74" s="110">
        <f t="shared" si="653"/>
        <v>0</v>
      </c>
      <c r="JR74" s="110">
        <f t="shared" si="654"/>
        <v>0</v>
      </c>
      <c r="JS74" s="110">
        <f t="shared" si="655"/>
        <v>0</v>
      </c>
      <c r="JT74" s="110">
        <f t="shared" si="656"/>
        <v>0</v>
      </c>
      <c r="JV74" s="111">
        <f t="shared" si="657"/>
        <v>0</v>
      </c>
      <c r="JW74" s="110">
        <f t="shared" si="658"/>
        <v>0</v>
      </c>
      <c r="JX74" s="110">
        <f t="shared" si="659"/>
        <v>0</v>
      </c>
      <c r="JY74" s="110">
        <f t="shared" si="660"/>
        <v>0</v>
      </c>
      <c r="JZ74" s="110">
        <f t="shared" si="661"/>
        <v>0</v>
      </c>
      <c r="KA74" s="110">
        <f t="shared" si="662"/>
        <v>0</v>
      </c>
      <c r="KB74" s="110">
        <f t="shared" si="663"/>
        <v>0</v>
      </c>
      <c r="KC74" s="110">
        <f t="shared" si="664"/>
        <v>0</v>
      </c>
      <c r="KD74" s="110">
        <f t="shared" si="665"/>
        <v>0</v>
      </c>
      <c r="KE74" s="110">
        <f t="shared" si="666"/>
        <v>0</v>
      </c>
      <c r="KF74" s="110">
        <f t="shared" si="667"/>
        <v>0</v>
      </c>
      <c r="KG74" s="110">
        <f t="shared" si="668"/>
        <v>0</v>
      </c>
      <c r="KH74" s="110">
        <f t="shared" si="669"/>
        <v>0</v>
      </c>
      <c r="KI74" s="110">
        <f t="shared" si="670"/>
        <v>0</v>
      </c>
      <c r="KJ74" s="110">
        <f t="shared" si="671"/>
        <v>0</v>
      </c>
      <c r="KK74" s="110">
        <f t="shared" si="672"/>
        <v>0</v>
      </c>
      <c r="KL74" s="110">
        <f t="shared" si="673"/>
        <v>0</v>
      </c>
      <c r="KM74" s="110">
        <f t="shared" si="674"/>
        <v>0</v>
      </c>
      <c r="KN74" s="110">
        <f t="shared" si="675"/>
        <v>0</v>
      </c>
      <c r="KO74" s="110">
        <f t="shared" si="676"/>
        <v>0</v>
      </c>
      <c r="KP74" s="110">
        <f t="shared" si="677"/>
        <v>0</v>
      </c>
      <c r="KQ74" s="110">
        <f t="shared" si="678"/>
        <v>0</v>
      </c>
      <c r="KR74" s="110">
        <f t="shared" si="679"/>
        <v>0</v>
      </c>
      <c r="KS74" s="110">
        <f t="shared" si="680"/>
        <v>0</v>
      </c>
      <c r="KT74" s="110">
        <f t="shared" si="681"/>
        <v>0</v>
      </c>
      <c r="KV74" s="111">
        <f t="shared" si="682"/>
        <v>0</v>
      </c>
      <c r="KW74" s="110">
        <f t="shared" si="683"/>
        <v>0</v>
      </c>
      <c r="KX74" s="110">
        <f t="shared" si="684"/>
        <v>0</v>
      </c>
      <c r="KY74" s="110">
        <f t="shared" si="685"/>
        <v>0</v>
      </c>
      <c r="KZ74" s="110">
        <f t="shared" si="686"/>
        <v>0</v>
      </c>
      <c r="LA74" s="110">
        <f t="shared" si="687"/>
        <v>0</v>
      </c>
      <c r="LB74" s="110">
        <f t="shared" si="688"/>
        <v>0</v>
      </c>
      <c r="LC74" s="110">
        <f t="shared" si="689"/>
        <v>0</v>
      </c>
      <c r="LD74" s="110">
        <f t="shared" si="690"/>
        <v>0</v>
      </c>
      <c r="LE74" s="110">
        <f t="shared" si="691"/>
        <v>0</v>
      </c>
      <c r="LF74" s="110">
        <f t="shared" si="692"/>
        <v>0</v>
      </c>
      <c r="LG74" s="110">
        <f t="shared" si="693"/>
        <v>0</v>
      </c>
      <c r="LH74" s="110">
        <f t="shared" si="694"/>
        <v>0</v>
      </c>
      <c r="LI74" s="110">
        <f t="shared" si="695"/>
        <v>0</v>
      </c>
      <c r="LJ74" s="110">
        <f t="shared" si="696"/>
        <v>0</v>
      </c>
      <c r="LK74" s="110">
        <f t="shared" si="697"/>
        <v>0</v>
      </c>
      <c r="LL74" s="110">
        <f t="shared" si="698"/>
        <v>0</v>
      </c>
      <c r="LM74" s="110">
        <f t="shared" si="699"/>
        <v>0</v>
      </c>
      <c r="LN74" s="110">
        <f t="shared" si="700"/>
        <v>0</v>
      </c>
      <c r="LO74" s="110">
        <f t="shared" si="701"/>
        <v>0</v>
      </c>
      <c r="LP74" s="110">
        <f t="shared" si="702"/>
        <v>0</v>
      </c>
      <c r="LQ74" s="110">
        <f t="shared" si="703"/>
        <v>0</v>
      </c>
      <c r="LR74" s="110">
        <f t="shared" si="704"/>
        <v>0</v>
      </c>
      <c r="LS74" s="110">
        <f t="shared" si="705"/>
        <v>0</v>
      </c>
      <c r="LT74" s="110">
        <f t="shared" si="706"/>
        <v>0</v>
      </c>
      <c r="LV74" s="111"/>
      <c r="LW74" s="110">
        <f t="shared" si="707"/>
        <v>0</v>
      </c>
      <c r="LX74" s="110">
        <f t="shared" si="708"/>
        <v>0</v>
      </c>
      <c r="LY74" s="110">
        <f t="shared" si="709"/>
        <v>0</v>
      </c>
      <c r="LZ74" s="110">
        <f t="shared" si="710"/>
        <v>0</v>
      </c>
      <c r="MA74" s="110">
        <f t="shared" si="711"/>
        <v>0</v>
      </c>
      <c r="MB74" s="110">
        <f t="shared" si="712"/>
        <v>0</v>
      </c>
      <c r="MC74" s="110">
        <f t="shared" si="713"/>
        <v>0</v>
      </c>
      <c r="MD74" s="110">
        <f t="shared" si="714"/>
        <v>0</v>
      </c>
      <c r="ME74" s="110">
        <f t="shared" si="715"/>
        <v>0</v>
      </c>
      <c r="MF74" s="110">
        <f t="shared" si="716"/>
        <v>0</v>
      </c>
      <c r="MG74" s="110">
        <f t="shared" si="717"/>
        <v>0</v>
      </c>
      <c r="MH74" s="110">
        <f t="shared" si="718"/>
        <v>0</v>
      </c>
      <c r="MI74" s="110">
        <f t="shared" si="719"/>
        <v>0</v>
      </c>
      <c r="MJ74" s="110">
        <f t="shared" si="720"/>
        <v>0</v>
      </c>
      <c r="MK74" s="110">
        <f t="shared" si="721"/>
        <v>0</v>
      </c>
      <c r="ML74" s="110">
        <f t="shared" si="722"/>
        <v>0</v>
      </c>
      <c r="MM74" s="110">
        <f t="shared" si="723"/>
        <v>0</v>
      </c>
      <c r="MN74" s="110">
        <f t="shared" si="724"/>
        <v>0</v>
      </c>
      <c r="MO74" s="110">
        <f t="shared" si="725"/>
        <v>0</v>
      </c>
      <c r="MP74" s="110">
        <f t="shared" si="726"/>
        <v>0</v>
      </c>
      <c r="MQ74" s="110">
        <f t="shared" si="727"/>
        <v>0</v>
      </c>
      <c r="MR74" s="110">
        <f t="shared" si="728"/>
        <v>0</v>
      </c>
      <c r="MS74" s="110">
        <f t="shared" si="729"/>
        <v>0</v>
      </c>
      <c r="MT74" s="110">
        <f t="shared" si="730"/>
        <v>0</v>
      </c>
      <c r="MV74" s="114">
        <v>0</v>
      </c>
      <c r="MW74" s="114">
        <v>0</v>
      </c>
      <c r="MX74" s="114">
        <v>0</v>
      </c>
      <c r="MY74" s="114">
        <v>0</v>
      </c>
      <c r="MZ74" s="114">
        <v>0</v>
      </c>
      <c r="NB74" s="115" t="str">
        <v>N/A</v>
      </c>
      <c r="NC74" s="115" t="str">
        <v>N/A</v>
      </c>
      <c r="ND74" s="115" t="str">
        <v>N/A</v>
      </c>
      <c r="NE74" s="115" t="str">
        <v>N/A</v>
      </c>
      <c r="NF74" s="115" t="str">
        <v>N/A</v>
      </c>
    </row>
    <row r="75" spans="2:370" ht="13.5" x14ac:dyDescent="0.25">
      <c r="B75" s="8">
        <f t="shared" si="731"/>
        <v>72</v>
      </c>
      <c r="C75" s="7">
        <v>288.14999999999998</v>
      </c>
      <c r="D75" s="7">
        <v>288.14999999999998</v>
      </c>
      <c r="E75" s="7">
        <v>288.14999999999998</v>
      </c>
      <c r="F75" s="7">
        <v>288.14999999999998</v>
      </c>
      <c r="G75" s="7">
        <v>288.14999999999998</v>
      </c>
      <c r="H75" s="7">
        <v>288.14999999999998</v>
      </c>
      <c r="I75" s="7">
        <v>288.14999999999998</v>
      </c>
      <c r="J75" s="7">
        <v>288.14999999999998</v>
      </c>
      <c r="K75" s="7">
        <v>288.14999999999998</v>
      </c>
      <c r="L75" s="7">
        <v>288.14999999999998</v>
      </c>
      <c r="M75" s="7">
        <v>288.14999999999998</v>
      </c>
      <c r="N75" s="7">
        <v>288.14999999999998</v>
      </c>
      <c r="O75" s="7">
        <v>288.14999999999998</v>
      </c>
      <c r="P75" s="7">
        <v>288.14999999999998</v>
      </c>
      <c r="Q75" s="7">
        <v>288.14999999999998</v>
      </c>
      <c r="R75" s="7">
        <v>288.14999999999998</v>
      </c>
      <c r="S75" s="7">
        <v>288.14999999999998</v>
      </c>
      <c r="T75" s="7">
        <v>288.14999999999998</v>
      </c>
      <c r="U75" s="7">
        <v>288.14999999999998</v>
      </c>
      <c r="V75" s="7">
        <v>288.14999999999998</v>
      </c>
      <c r="W75" s="7">
        <v>288.14999999999998</v>
      </c>
      <c r="X75" s="7">
        <v>288.14999999999998</v>
      </c>
      <c r="Y75" s="7">
        <v>288.14999999999998</v>
      </c>
      <c r="Z75" s="7">
        <v>288.14999999999998</v>
      </c>
      <c r="AA75" s="7">
        <v>288.14999999999998</v>
      </c>
      <c r="AB75" s="7">
        <v>288.14999999999998</v>
      </c>
      <c r="AC75" s="7">
        <v>288.14999999999998</v>
      </c>
      <c r="AD75" s="7">
        <v>288.14999999999998</v>
      </c>
      <c r="AE75" s="7">
        <v>288.14999999999998</v>
      </c>
      <c r="AF75" s="7">
        <v>288.14999999999998</v>
      </c>
      <c r="AG75" s="7">
        <v>288.14999999999998</v>
      </c>
      <c r="AH75" s="7">
        <v>288.14999999999998</v>
      </c>
      <c r="AI75" s="7">
        <v>288.14999999999998</v>
      </c>
      <c r="AJ75" s="7">
        <v>288.14999999999998</v>
      </c>
      <c r="AK75" s="7">
        <v>288.14999999999998</v>
      </c>
      <c r="AL75" s="7">
        <v>288.14999999999998</v>
      </c>
      <c r="AM75" s="7">
        <v>288.14999999999998</v>
      </c>
      <c r="AN75" s="27">
        <v>72</v>
      </c>
      <c r="AP75" s="111"/>
      <c r="AQ75" s="110">
        <f t="shared" si="492"/>
        <v>0</v>
      </c>
      <c r="AR75" s="110">
        <f t="shared" si="493"/>
        <v>0</v>
      </c>
      <c r="AS75" s="110">
        <f t="shared" si="494"/>
        <v>0</v>
      </c>
      <c r="AT75" s="110">
        <f t="shared" si="495"/>
        <v>0</v>
      </c>
      <c r="AU75" s="110">
        <f t="shared" si="496"/>
        <v>0</v>
      </c>
      <c r="AV75" s="110">
        <f t="shared" si="497"/>
        <v>0</v>
      </c>
      <c r="AW75" s="110">
        <f t="shared" si="498"/>
        <v>0</v>
      </c>
      <c r="AX75" s="110">
        <f t="shared" si="499"/>
        <v>0</v>
      </c>
      <c r="AY75" s="110">
        <f t="shared" si="500"/>
        <v>0</v>
      </c>
      <c r="AZ75" s="110">
        <f t="shared" si="501"/>
        <v>0</v>
      </c>
      <c r="BA75" s="110">
        <f t="shared" si="502"/>
        <v>0</v>
      </c>
      <c r="BB75" s="110">
        <f t="shared" si="503"/>
        <v>0</v>
      </c>
      <c r="BD75" s="109" cm="1">
        <f t="array" ref="BD75">+IFERROR(INDEX($C$3:$AM$3,MATCH(TRUE,INDEX($C75:$AM75&lt;&gt;0,0),0)),"N/A")</f>
        <v>44926</v>
      </c>
      <c r="BE75" s="112"/>
      <c r="BF75" s="1" t="str" cm="1">
        <f t="array" ref="BF75">+_xlfn.IFS(BT75&lt;&gt;0,BT$2,CH75&lt;&gt;0,CH$2,CV75&lt;&gt;0,CV$2,DJ75&lt;&gt;0,DJ$2,TRUE,"")</f>
        <v/>
      </c>
      <c r="BG75" s="1" t="str" cm="1">
        <f t="array" ref="BG75">+_xlfn.IFS(BU75&lt;&gt;0,BU$2,CI75&lt;&gt;0,CI$2,CW75&lt;&gt;0,CW$2,DK75&lt;&gt;0,DK$2,TRUE,"")</f>
        <v/>
      </c>
      <c r="BH75" s="1" t="str" cm="1">
        <f t="array" ref="BH75">+_xlfn.IFS(BV75&lt;&gt;0,BV$2,CJ75&lt;&gt;0,CJ$2,CX75&lt;&gt;0,CX$2,DL75&lt;&gt;0,DL$2,TRUE,"")</f>
        <v/>
      </c>
      <c r="BI75" s="1" t="str" cm="1">
        <f t="array" ref="BI75">+_xlfn.IFS(BW75&lt;&gt;0,BW$2,CK75&lt;&gt;0,CK$2,CY75&lt;&gt;0,CY$2,DM75&lt;&gt;0,DM$2,TRUE,"")</f>
        <v/>
      </c>
      <c r="BJ75" s="1" t="str" cm="1">
        <f t="array" ref="BJ75">+_xlfn.IFS(BX75&lt;&gt;0,BX$2,CL75&lt;&gt;0,CL$2,CZ75&lt;&gt;0,CZ$2,DN75&lt;&gt;0,DN$2,TRUE,"")</f>
        <v/>
      </c>
      <c r="BK75" s="1" t="str" cm="1">
        <f t="array" ref="BK75">+_xlfn.IFS(BY75&lt;&gt;0,BY$2,CM75&lt;&gt;0,CM$2,DA75&lt;&gt;0,DA$2,DO75&lt;&gt;0,DO$2,TRUE,"")</f>
        <v/>
      </c>
      <c r="BL75" s="1" t="str" cm="1">
        <f t="array" ref="BL75">+_xlfn.IFS(BZ75&lt;&gt;0,BZ$2,CN75&lt;&gt;0,CN$2,DB75&lt;&gt;0,DB$2,DP75&lt;&gt;0,DP$2,TRUE,"")</f>
        <v/>
      </c>
      <c r="BM75" s="1" t="str" cm="1">
        <f t="array" ref="BM75">+_xlfn.IFS(CA75&lt;&gt;0,CA$2,CO75&lt;&gt;0,CO$2,DC75&lt;&gt;0,DC$2,DQ75&lt;&gt;0,DQ$2,TRUE,"")</f>
        <v/>
      </c>
      <c r="BN75" s="1" t="str" cm="1">
        <f t="array" ref="BN75">+_xlfn.IFS(CB75&lt;&gt;0,CB$2,CP75&lt;&gt;0,CP$2,DD75&lt;&gt;0,DD$2,DR75&lt;&gt;0,DR$2,TRUE,"")</f>
        <v/>
      </c>
      <c r="BO75" s="1" t="str" cm="1">
        <f t="array" ref="BO75">+_xlfn.IFS(CC75&lt;&gt;0,CC$2,CQ75&lt;&gt;0,CQ$2,DE75&lt;&gt;0,DE$2,DS75&lt;&gt;0,DS$2,TRUE,"")</f>
        <v/>
      </c>
      <c r="BP75" s="1" t="str" cm="1">
        <f t="array" ref="BP75">+_xlfn.IFS(CD75&lt;&gt;0,CD$2,CR75&lt;&gt;0,CR$2,DF75&lt;&gt;0,DF$2,DT75&lt;&gt;0,DT$2,TRUE,"")</f>
        <v/>
      </c>
      <c r="BQ75" s="1" t="str" cm="1">
        <f t="array" ref="BQ75">+_xlfn.IFS(CE75&lt;&gt;0,CE$2,CS75&lt;&gt;0,CS$2,DG75&lt;&gt;0,DG$2,DU75&lt;&gt;0,DU$2,TRUE,"")</f>
        <v/>
      </c>
      <c r="BS75" s="111"/>
      <c r="BT75" s="110">
        <f t="shared" si="504"/>
        <v>0</v>
      </c>
      <c r="BU75" s="110">
        <f t="shared" si="505"/>
        <v>0</v>
      </c>
      <c r="BV75" s="110">
        <f t="shared" si="506"/>
        <v>0</v>
      </c>
      <c r="BW75" s="110">
        <f t="shared" si="507"/>
        <v>0</v>
      </c>
      <c r="BX75" s="110">
        <f t="shared" si="508"/>
        <v>0</v>
      </c>
      <c r="BY75" s="110">
        <f t="shared" si="509"/>
        <v>0</v>
      </c>
      <c r="BZ75" s="110">
        <f t="shared" si="510"/>
        <v>0</v>
      </c>
      <c r="CA75" s="110">
        <f t="shared" si="511"/>
        <v>0</v>
      </c>
      <c r="CB75" s="110">
        <f t="shared" si="512"/>
        <v>0</v>
      </c>
      <c r="CC75" s="110">
        <f t="shared" si="513"/>
        <v>0</v>
      </c>
      <c r="CD75" s="110">
        <f t="shared" si="514"/>
        <v>0</v>
      </c>
      <c r="CE75" s="110">
        <f t="shared" si="515"/>
        <v>0</v>
      </c>
      <c r="CG75" s="111"/>
      <c r="CH75" s="110">
        <f t="shared" si="516"/>
        <v>0</v>
      </c>
      <c r="CI75" s="110">
        <f t="shared" si="517"/>
        <v>0</v>
      </c>
      <c r="CJ75" s="110">
        <f t="shared" si="518"/>
        <v>0</v>
      </c>
      <c r="CK75" s="110">
        <f t="shared" si="519"/>
        <v>0</v>
      </c>
      <c r="CL75" s="110">
        <f t="shared" si="520"/>
        <v>0</v>
      </c>
      <c r="CM75" s="110">
        <f t="shared" si="521"/>
        <v>0</v>
      </c>
      <c r="CN75" s="110">
        <f t="shared" si="522"/>
        <v>0</v>
      </c>
      <c r="CO75" s="110">
        <f t="shared" si="523"/>
        <v>0</v>
      </c>
      <c r="CP75" s="110">
        <f t="shared" si="524"/>
        <v>0</v>
      </c>
      <c r="CQ75" s="110">
        <f t="shared" si="525"/>
        <v>0</v>
      </c>
      <c r="CR75" s="110">
        <f t="shared" si="526"/>
        <v>0</v>
      </c>
      <c r="CS75" s="110">
        <f t="shared" si="527"/>
        <v>0</v>
      </c>
      <c r="CU75" s="111"/>
      <c r="CV75" s="110">
        <f t="shared" si="528"/>
        <v>0</v>
      </c>
      <c r="CW75" s="110">
        <f t="shared" si="529"/>
        <v>0</v>
      </c>
      <c r="CX75" s="110">
        <f t="shared" si="530"/>
        <v>0</v>
      </c>
      <c r="CY75" s="110">
        <f t="shared" si="531"/>
        <v>0</v>
      </c>
      <c r="CZ75" s="110">
        <f t="shared" si="532"/>
        <v>0</v>
      </c>
      <c r="DA75" s="110">
        <f t="shared" si="533"/>
        <v>0</v>
      </c>
      <c r="DB75" s="110">
        <f t="shared" si="534"/>
        <v>0</v>
      </c>
      <c r="DC75" s="110">
        <f t="shared" si="535"/>
        <v>0</v>
      </c>
      <c r="DD75" s="110">
        <f t="shared" si="536"/>
        <v>0</v>
      </c>
      <c r="DE75" s="110">
        <f t="shared" si="537"/>
        <v>0</v>
      </c>
      <c r="DF75" s="110">
        <f t="shared" si="538"/>
        <v>0</v>
      </c>
      <c r="DG75" s="110">
        <f t="shared" si="539"/>
        <v>0</v>
      </c>
      <c r="DI75" s="111"/>
      <c r="DJ75" s="110">
        <f t="shared" si="540"/>
        <v>0</v>
      </c>
      <c r="DK75" s="110">
        <f t="shared" si="541"/>
        <v>0</v>
      </c>
      <c r="DL75" s="110">
        <f t="shared" si="542"/>
        <v>0</v>
      </c>
      <c r="DM75" s="110">
        <f t="shared" si="543"/>
        <v>0</v>
      </c>
      <c r="DN75" s="110">
        <f t="shared" si="544"/>
        <v>0</v>
      </c>
      <c r="DO75" s="110">
        <f t="shared" si="545"/>
        <v>0</v>
      </c>
      <c r="DP75" s="110">
        <f t="shared" si="546"/>
        <v>0</v>
      </c>
      <c r="DQ75" s="110">
        <f t="shared" si="547"/>
        <v>0</v>
      </c>
      <c r="DR75" s="110">
        <f t="shared" si="548"/>
        <v>0</v>
      </c>
      <c r="DS75" s="110">
        <f t="shared" si="549"/>
        <v>0</v>
      </c>
      <c r="DT75" s="110">
        <f t="shared" si="550"/>
        <v>0</v>
      </c>
      <c r="DU75" s="110">
        <f t="shared" si="551"/>
        <v>0</v>
      </c>
      <c r="DW75" s="111"/>
      <c r="DX75" s="110">
        <f t="shared" si="552"/>
        <v>0</v>
      </c>
      <c r="DY75" s="110">
        <f t="shared" si="553"/>
        <v>0</v>
      </c>
      <c r="DZ75" s="110">
        <f t="shared" si="554"/>
        <v>0</v>
      </c>
      <c r="EA75" s="110">
        <f t="shared" si="555"/>
        <v>0</v>
      </c>
      <c r="EB75" s="110">
        <f t="shared" si="556"/>
        <v>0</v>
      </c>
      <c r="EC75" s="110">
        <f t="shared" si="557"/>
        <v>0</v>
      </c>
      <c r="ED75" s="110">
        <f t="shared" si="558"/>
        <v>0</v>
      </c>
      <c r="EE75" s="110">
        <f t="shared" si="559"/>
        <v>0</v>
      </c>
      <c r="EF75" s="110">
        <f t="shared" si="560"/>
        <v>0</v>
      </c>
      <c r="EG75" s="110">
        <f t="shared" si="561"/>
        <v>0</v>
      </c>
      <c r="EH75" s="110">
        <f t="shared" si="562"/>
        <v>0</v>
      </c>
      <c r="EI75" s="110">
        <f t="shared" si="563"/>
        <v>0</v>
      </c>
      <c r="EK75" s="111"/>
      <c r="EL75" s="110">
        <f t="shared" si="564"/>
        <v>0</v>
      </c>
      <c r="EM75" s="110">
        <f t="shared" si="565"/>
        <v>0</v>
      </c>
      <c r="EN75" s="110">
        <f t="shared" si="566"/>
        <v>0</v>
      </c>
      <c r="EP75" s="109" cm="1">
        <f t="array" ref="EP75">+IFERROR(INDEX($C$3:$AM$3,MATCH(TRUE,INDEX($C75:$AM75&lt;&gt;0,0),0)),"N/A")</f>
        <v>44926</v>
      </c>
      <c r="EQ75" s="112"/>
      <c r="ER75" s="1" t="str" cm="1">
        <f t="array" ref="ER75">+_xlfn.IFS(EW75&lt;&gt;0,EW$2,FB75&lt;&gt;0,FB$2,FG75&lt;&gt;0,FG$2,FL75&lt;&gt;0,FL$2,TRUE,"")</f>
        <v/>
      </c>
      <c r="ES75" s="1" t="str" cm="1">
        <f t="array" ref="ES75">+_xlfn.IFS(EX75&lt;&gt;0,EX$2,FC75&lt;&gt;0,FC$2,FH75&lt;&gt;0,FH$2,FM75&lt;&gt;0,FM$2,TRUE,"")</f>
        <v/>
      </c>
      <c r="ET75" s="1" t="str" cm="1">
        <f t="array" ref="ET75">+_xlfn.IFS(EY75&lt;&gt;0,EY$2,FD75&lt;&gt;0,FD$2,FI75&lt;&gt;0,FI$2,FN75&lt;&gt;0,FN$2,TRUE,"")</f>
        <v/>
      </c>
      <c r="EV75" s="111"/>
      <c r="EW75" s="110">
        <f t="shared" si="567"/>
        <v>0</v>
      </c>
      <c r="EX75" s="110">
        <f t="shared" si="568"/>
        <v>0</v>
      </c>
      <c r="EY75" s="110">
        <f t="shared" si="569"/>
        <v>0</v>
      </c>
      <c r="FA75" s="111"/>
      <c r="FB75" s="110">
        <f t="shared" si="570"/>
        <v>0</v>
      </c>
      <c r="FC75" s="110">
        <f t="shared" si="571"/>
        <v>0</v>
      </c>
      <c r="FD75" s="110">
        <f t="shared" si="572"/>
        <v>0</v>
      </c>
      <c r="FF75" s="111"/>
      <c r="FG75" s="110">
        <f t="shared" si="573"/>
        <v>0</v>
      </c>
      <c r="FH75" s="110">
        <f t="shared" si="574"/>
        <v>0</v>
      </c>
      <c r="FI75" s="110">
        <f t="shared" si="575"/>
        <v>0</v>
      </c>
      <c r="FK75" s="111"/>
      <c r="FL75" s="110">
        <f t="shared" si="576"/>
        <v>0</v>
      </c>
      <c r="FM75" s="110">
        <f t="shared" si="577"/>
        <v>0</v>
      </c>
      <c r="FN75" s="110">
        <f t="shared" si="578"/>
        <v>0</v>
      </c>
      <c r="FP75" s="111"/>
      <c r="FQ75" s="110">
        <f t="shared" si="579"/>
        <v>0</v>
      </c>
      <c r="FR75" s="110">
        <f t="shared" si="580"/>
        <v>0</v>
      </c>
      <c r="FS75" s="110">
        <f t="shared" si="581"/>
        <v>0</v>
      </c>
      <c r="FU75" s="111">
        <f t="shared" si="582"/>
        <v>0</v>
      </c>
      <c r="FV75" s="110">
        <f t="shared" si="583"/>
        <v>0</v>
      </c>
      <c r="FW75" s="110">
        <f t="shared" si="584"/>
        <v>0</v>
      </c>
      <c r="FX75" s="110">
        <f t="shared" si="585"/>
        <v>0</v>
      </c>
      <c r="FY75" s="110">
        <f t="shared" si="586"/>
        <v>0</v>
      </c>
      <c r="FZ75" s="110">
        <f t="shared" si="587"/>
        <v>0</v>
      </c>
      <c r="GA75" s="110">
        <f t="shared" si="588"/>
        <v>0</v>
      </c>
      <c r="GB75" s="110">
        <f t="shared" si="589"/>
        <v>0</v>
      </c>
      <c r="GC75" s="110">
        <f t="shared" si="590"/>
        <v>0</v>
      </c>
      <c r="GD75" s="110">
        <f t="shared" si="591"/>
        <v>0</v>
      </c>
      <c r="GE75" s="110">
        <f t="shared" si="592"/>
        <v>0</v>
      </c>
      <c r="GF75" s="110">
        <f t="shared" si="593"/>
        <v>0</v>
      </c>
      <c r="GG75" s="110">
        <f t="shared" si="594"/>
        <v>0</v>
      </c>
      <c r="GH75" s="110">
        <f t="shared" si="595"/>
        <v>0</v>
      </c>
      <c r="GI75" s="110">
        <f t="shared" si="596"/>
        <v>0</v>
      </c>
      <c r="GJ75" s="110">
        <f t="shared" si="597"/>
        <v>0</v>
      </c>
      <c r="GK75" s="110">
        <f t="shared" si="598"/>
        <v>0</v>
      </c>
      <c r="GL75" s="110">
        <f t="shared" si="599"/>
        <v>0</v>
      </c>
      <c r="GM75" s="110">
        <f t="shared" si="600"/>
        <v>0</v>
      </c>
      <c r="GN75" s="110">
        <f t="shared" si="601"/>
        <v>0</v>
      </c>
      <c r="GO75" s="110">
        <f t="shared" si="602"/>
        <v>0</v>
      </c>
      <c r="GP75" s="110">
        <f t="shared" si="603"/>
        <v>0</v>
      </c>
      <c r="GQ75" s="110">
        <f t="shared" si="604"/>
        <v>0</v>
      </c>
      <c r="GR75" s="110">
        <f t="shared" si="605"/>
        <v>0</v>
      </c>
      <c r="GS75" s="110">
        <f t="shared" si="606"/>
        <v>0</v>
      </c>
      <c r="GU75" s="109" cm="1">
        <f t="array" ref="GU75">+IFERROR(INDEX($C$3:$AM$3,MATCH(TRUE,INDEX($C75:$AM75&lt;&gt;0,0),0)),"N/A")</f>
        <v>44926</v>
      </c>
      <c r="GV75" s="112" t="str" cm="1">
        <f t="array" ref="GV75">+_xlfn.IFS(HV75&lt;&gt;0,HV$2,IV75&lt;&gt;0,IV$2,JV75&lt;&gt;0,JV$2,KV75&lt;&gt;0,KV$2,TRUE,"")</f>
        <v/>
      </c>
      <c r="GW75" s="1" t="str" cm="1">
        <f t="array" ref="GW75">+_xlfn.IFS(HW75&lt;&gt;0,HW$2,IW75&lt;&gt;0,IW$2,JW75&lt;&gt;0,JW$2,KW75&lt;&gt;0,KW$2,TRUE,"")</f>
        <v/>
      </c>
      <c r="GX75" s="1" t="str" cm="1">
        <f t="array" ref="GX75">+_xlfn.IFS(HX75&lt;&gt;0,HX$2,IX75&lt;&gt;0,IX$2,JX75&lt;&gt;0,JX$2,KX75&lt;&gt;0,KX$2,TRUE,"")</f>
        <v/>
      </c>
      <c r="GY75" s="1" t="str" cm="1">
        <f t="array" ref="GY75">+_xlfn.IFS(HY75&lt;&gt;0,HY$2,IY75&lt;&gt;0,IY$2,JY75&lt;&gt;0,JY$2,KY75&lt;&gt;0,KY$2,TRUE,"")</f>
        <v/>
      </c>
      <c r="GZ75" s="1" t="str" cm="1">
        <f t="array" ref="GZ75">+_xlfn.IFS(HZ75&lt;&gt;0,HZ$2,IZ75&lt;&gt;0,IZ$2,JZ75&lt;&gt;0,JZ$2,KZ75&lt;&gt;0,KZ$2,TRUE,"")</f>
        <v/>
      </c>
      <c r="HA75" s="1" t="str" cm="1">
        <f t="array" ref="HA75">+_xlfn.IFS(IA75&lt;&gt;0,IA$2,JA75&lt;&gt;0,JA$2,KA75&lt;&gt;0,KA$2,LA75&lt;&gt;0,LA$2,TRUE,"")</f>
        <v/>
      </c>
      <c r="HB75" s="1" t="str" cm="1">
        <f t="array" ref="HB75">+_xlfn.IFS(IB75&lt;&gt;0,IB$2,JB75&lt;&gt;0,JB$2,KB75&lt;&gt;0,KB$2,LB75&lt;&gt;0,LB$2,TRUE,"")</f>
        <v/>
      </c>
      <c r="HC75" s="1" t="str" cm="1">
        <f t="array" ref="HC75">+_xlfn.IFS(IC75&lt;&gt;0,IC$2,JC75&lt;&gt;0,JC$2,KC75&lt;&gt;0,KC$2,LC75&lt;&gt;0,LC$2,TRUE,"")</f>
        <v/>
      </c>
      <c r="HD75" s="1" t="str" cm="1">
        <f t="array" ref="HD75">+_xlfn.IFS(ID75&lt;&gt;0,ID$2,JD75&lt;&gt;0,JD$2,KD75&lt;&gt;0,KD$2,LD75&lt;&gt;0,LD$2,TRUE,"")</f>
        <v/>
      </c>
      <c r="HE75" s="1" t="str" cm="1">
        <f t="array" ref="HE75">+_xlfn.IFS(IE75&lt;&gt;0,IE$2,JE75&lt;&gt;0,JE$2,KE75&lt;&gt;0,KE$2,LE75&lt;&gt;0,LE$2,TRUE,"")</f>
        <v/>
      </c>
      <c r="HF75" s="1" t="str" cm="1">
        <f t="array" ref="HF75">+_xlfn.IFS(IF75&lt;&gt;0,IF$2,JF75&lt;&gt;0,JF$2,KF75&lt;&gt;0,KF$2,LF75&lt;&gt;0,LF$2,TRUE,"")</f>
        <v/>
      </c>
      <c r="HG75" s="1" t="str" cm="1">
        <f t="array" ref="HG75">+_xlfn.IFS(IG75&lt;&gt;0,IG$2,JG75&lt;&gt;0,JG$2,KG75&lt;&gt;0,KG$2,LG75&lt;&gt;0,LG$2,TRUE,"")</f>
        <v/>
      </c>
      <c r="HH75" s="1" t="str" cm="1">
        <f t="array" ref="HH75">+_xlfn.IFS(IH75&lt;&gt;0,IH$2,JH75&lt;&gt;0,JH$2,KH75&lt;&gt;0,KH$2,LH75&lt;&gt;0,LH$2,TRUE,"")</f>
        <v/>
      </c>
      <c r="HI75" s="1" t="str" cm="1">
        <f t="array" ref="HI75">+_xlfn.IFS(II75&lt;&gt;0,II$2,JI75&lt;&gt;0,JI$2,KI75&lt;&gt;0,KI$2,LI75&lt;&gt;0,LI$2,TRUE,"")</f>
        <v/>
      </c>
      <c r="HJ75" s="1" t="str" cm="1">
        <f t="array" ref="HJ75">+_xlfn.IFS(IJ75&lt;&gt;0,IJ$2,JJ75&lt;&gt;0,JJ$2,KJ75&lt;&gt;0,KJ$2,LJ75&lt;&gt;0,LJ$2,TRUE,"")</f>
        <v/>
      </c>
      <c r="HK75" s="1" t="str" cm="1">
        <f t="array" ref="HK75">+_xlfn.IFS(IK75&lt;&gt;0,IK$2,JK75&lt;&gt;0,JK$2,KK75&lt;&gt;0,KK$2,LK75&lt;&gt;0,LK$2,TRUE,"")</f>
        <v/>
      </c>
      <c r="HL75" s="1" t="str" cm="1">
        <f t="array" ref="HL75">+_xlfn.IFS(IL75&lt;&gt;0,IL$2,JL75&lt;&gt;0,JL$2,KL75&lt;&gt;0,KL$2,LL75&lt;&gt;0,LL$2,TRUE,"")</f>
        <v/>
      </c>
      <c r="HM75" s="1" t="str" cm="1">
        <f t="array" ref="HM75">+_xlfn.IFS(IM75&lt;&gt;0,IM$2,JM75&lt;&gt;0,JM$2,KM75&lt;&gt;0,KM$2,LM75&lt;&gt;0,LM$2,TRUE,"")</f>
        <v/>
      </c>
      <c r="HN75" s="1" t="str" cm="1">
        <f t="array" ref="HN75">+_xlfn.IFS(IN75&lt;&gt;0,IN$2,JN75&lt;&gt;0,JN$2,KN75&lt;&gt;0,KN$2,LN75&lt;&gt;0,LN$2,TRUE,"")</f>
        <v/>
      </c>
      <c r="HO75" s="1" t="str" cm="1">
        <f t="array" ref="HO75">+_xlfn.IFS(IO75&lt;&gt;0,IO$2,JO75&lt;&gt;0,JO$2,KO75&lt;&gt;0,KO$2,LO75&lt;&gt;0,LO$2,TRUE,"")</f>
        <v/>
      </c>
      <c r="HP75" s="1" t="str" cm="1">
        <f t="array" ref="HP75">+_xlfn.IFS(IP75&lt;&gt;0,IP$2,JP75&lt;&gt;0,JP$2,KP75&lt;&gt;0,KP$2,LP75&lt;&gt;0,LP$2,TRUE,"")</f>
        <v/>
      </c>
      <c r="HQ75" s="1" t="str" cm="1">
        <f t="array" ref="HQ75">+_xlfn.IFS(IQ75&lt;&gt;0,IQ$2,JQ75&lt;&gt;0,JQ$2,KQ75&lt;&gt;0,KQ$2,LQ75&lt;&gt;0,LQ$2,TRUE,"")</f>
        <v/>
      </c>
      <c r="HR75" s="1" t="str" cm="1">
        <f t="array" ref="HR75">+_xlfn.IFS(IR75&lt;&gt;0,IR$2,JR75&lt;&gt;0,JR$2,KR75&lt;&gt;0,KR$2,LR75&lt;&gt;0,LR$2,TRUE,"")</f>
        <v/>
      </c>
      <c r="HS75" s="1" t="str" cm="1">
        <f t="array" ref="HS75">+_xlfn.IFS(IS75&lt;&gt;0,IS$2,JS75&lt;&gt;0,JS$2,KS75&lt;&gt;0,KS$2,LS75&lt;&gt;0,LS$2,TRUE,"")</f>
        <v/>
      </c>
      <c r="HT75" s="1" t="str" cm="1">
        <f t="array" ref="HT75">+_xlfn.IFS(IT75&lt;&gt;0,IT$2,JT75&lt;&gt;0,JT$2,KT75&lt;&gt;0,KT$2,LT75&lt;&gt;0,LT$2,TRUE,"")</f>
        <v/>
      </c>
      <c r="HV75" s="111">
        <f t="shared" si="607"/>
        <v>0</v>
      </c>
      <c r="HW75" s="110">
        <f t="shared" si="608"/>
        <v>0</v>
      </c>
      <c r="HX75" s="110">
        <f t="shared" si="609"/>
        <v>0</v>
      </c>
      <c r="HY75" s="110">
        <f t="shared" si="610"/>
        <v>0</v>
      </c>
      <c r="HZ75" s="110">
        <f t="shared" si="611"/>
        <v>0</v>
      </c>
      <c r="IA75" s="110">
        <f t="shared" si="612"/>
        <v>0</v>
      </c>
      <c r="IB75" s="110">
        <f t="shared" si="613"/>
        <v>0</v>
      </c>
      <c r="IC75" s="110">
        <f t="shared" si="614"/>
        <v>0</v>
      </c>
      <c r="ID75" s="110">
        <f t="shared" si="615"/>
        <v>0</v>
      </c>
      <c r="IE75" s="110">
        <f t="shared" si="616"/>
        <v>0</v>
      </c>
      <c r="IF75" s="110">
        <f t="shared" si="617"/>
        <v>0</v>
      </c>
      <c r="IG75" s="110">
        <f t="shared" si="618"/>
        <v>0</v>
      </c>
      <c r="IH75" s="110">
        <f t="shared" si="619"/>
        <v>0</v>
      </c>
      <c r="II75" s="110">
        <f t="shared" si="620"/>
        <v>0</v>
      </c>
      <c r="IJ75" s="110">
        <f t="shared" si="621"/>
        <v>0</v>
      </c>
      <c r="IK75" s="110">
        <f t="shared" si="622"/>
        <v>0</v>
      </c>
      <c r="IL75" s="110">
        <f t="shared" si="623"/>
        <v>0</v>
      </c>
      <c r="IM75" s="110">
        <f t="shared" si="624"/>
        <v>0</v>
      </c>
      <c r="IN75" s="110">
        <f t="shared" si="625"/>
        <v>0</v>
      </c>
      <c r="IO75" s="110">
        <f t="shared" si="626"/>
        <v>0</v>
      </c>
      <c r="IP75" s="110">
        <f t="shared" si="627"/>
        <v>0</v>
      </c>
      <c r="IQ75" s="110">
        <f t="shared" si="628"/>
        <v>0</v>
      </c>
      <c r="IR75" s="110">
        <f t="shared" si="629"/>
        <v>0</v>
      </c>
      <c r="IS75" s="110">
        <f t="shared" si="630"/>
        <v>0</v>
      </c>
      <c r="IT75" s="110">
        <f t="shared" si="631"/>
        <v>0</v>
      </c>
      <c r="IV75" s="111">
        <f t="shared" si="632"/>
        <v>0</v>
      </c>
      <c r="IW75" s="110">
        <f t="shared" si="633"/>
        <v>0</v>
      </c>
      <c r="IX75" s="110">
        <f t="shared" si="634"/>
        <v>0</v>
      </c>
      <c r="IY75" s="110">
        <f t="shared" si="635"/>
        <v>0</v>
      </c>
      <c r="IZ75" s="110">
        <f t="shared" si="636"/>
        <v>0</v>
      </c>
      <c r="JA75" s="110">
        <f t="shared" si="637"/>
        <v>0</v>
      </c>
      <c r="JB75" s="110">
        <f t="shared" si="638"/>
        <v>0</v>
      </c>
      <c r="JC75" s="110">
        <f t="shared" si="639"/>
        <v>0</v>
      </c>
      <c r="JD75" s="110">
        <f t="shared" si="640"/>
        <v>0</v>
      </c>
      <c r="JE75" s="110">
        <f t="shared" si="641"/>
        <v>0</v>
      </c>
      <c r="JF75" s="110">
        <f t="shared" si="642"/>
        <v>0</v>
      </c>
      <c r="JG75" s="110">
        <f t="shared" si="643"/>
        <v>0</v>
      </c>
      <c r="JH75" s="110">
        <f t="shared" si="644"/>
        <v>0</v>
      </c>
      <c r="JI75" s="110">
        <f t="shared" si="645"/>
        <v>0</v>
      </c>
      <c r="JJ75" s="110">
        <f t="shared" si="646"/>
        <v>0</v>
      </c>
      <c r="JK75" s="110">
        <f t="shared" si="647"/>
        <v>0</v>
      </c>
      <c r="JL75" s="110">
        <f t="shared" si="648"/>
        <v>0</v>
      </c>
      <c r="JM75" s="110">
        <f t="shared" si="649"/>
        <v>0</v>
      </c>
      <c r="JN75" s="110">
        <f t="shared" si="650"/>
        <v>0</v>
      </c>
      <c r="JO75" s="110">
        <f t="shared" si="651"/>
        <v>0</v>
      </c>
      <c r="JP75" s="110">
        <f t="shared" si="652"/>
        <v>0</v>
      </c>
      <c r="JQ75" s="110">
        <f t="shared" si="653"/>
        <v>0</v>
      </c>
      <c r="JR75" s="110">
        <f t="shared" si="654"/>
        <v>0</v>
      </c>
      <c r="JS75" s="110">
        <f t="shared" si="655"/>
        <v>0</v>
      </c>
      <c r="JT75" s="110">
        <f t="shared" si="656"/>
        <v>0</v>
      </c>
      <c r="JV75" s="111">
        <f t="shared" si="657"/>
        <v>0</v>
      </c>
      <c r="JW75" s="110">
        <f t="shared" si="658"/>
        <v>0</v>
      </c>
      <c r="JX75" s="110">
        <f t="shared" si="659"/>
        <v>0</v>
      </c>
      <c r="JY75" s="110">
        <f t="shared" si="660"/>
        <v>0</v>
      </c>
      <c r="JZ75" s="110">
        <f t="shared" si="661"/>
        <v>0</v>
      </c>
      <c r="KA75" s="110">
        <f t="shared" si="662"/>
        <v>0</v>
      </c>
      <c r="KB75" s="110">
        <f t="shared" si="663"/>
        <v>0</v>
      </c>
      <c r="KC75" s="110">
        <f t="shared" si="664"/>
        <v>0</v>
      </c>
      <c r="KD75" s="110">
        <f t="shared" si="665"/>
        <v>0</v>
      </c>
      <c r="KE75" s="110">
        <f t="shared" si="666"/>
        <v>0</v>
      </c>
      <c r="KF75" s="110">
        <f t="shared" si="667"/>
        <v>0</v>
      </c>
      <c r="KG75" s="110">
        <f t="shared" si="668"/>
        <v>0</v>
      </c>
      <c r="KH75" s="110">
        <f t="shared" si="669"/>
        <v>0</v>
      </c>
      <c r="KI75" s="110">
        <f t="shared" si="670"/>
        <v>0</v>
      </c>
      <c r="KJ75" s="110">
        <f t="shared" si="671"/>
        <v>0</v>
      </c>
      <c r="KK75" s="110">
        <f t="shared" si="672"/>
        <v>0</v>
      </c>
      <c r="KL75" s="110">
        <f t="shared" si="673"/>
        <v>0</v>
      </c>
      <c r="KM75" s="110">
        <f t="shared" si="674"/>
        <v>0</v>
      </c>
      <c r="KN75" s="110">
        <f t="shared" si="675"/>
        <v>0</v>
      </c>
      <c r="KO75" s="110">
        <f t="shared" si="676"/>
        <v>0</v>
      </c>
      <c r="KP75" s="110">
        <f t="shared" si="677"/>
        <v>0</v>
      </c>
      <c r="KQ75" s="110">
        <f t="shared" si="678"/>
        <v>0</v>
      </c>
      <c r="KR75" s="110">
        <f t="shared" si="679"/>
        <v>0</v>
      </c>
      <c r="KS75" s="110">
        <f t="shared" si="680"/>
        <v>0</v>
      </c>
      <c r="KT75" s="110">
        <f t="shared" si="681"/>
        <v>0</v>
      </c>
      <c r="KV75" s="111">
        <f t="shared" si="682"/>
        <v>0</v>
      </c>
      <c r="KW75" s="110">
        <f t="shared" si="683"/>
        <v>0</v>
      </c>
      <c r="KX75" s="110">
        <f t="shared" si="684"/>
        <v>0</v>
      </c>
      <c r="KY75" s="110">
        <f t="shared" si="685"/>
        <v>0</v>
      </c>
      <c r="KZ75" s="110">
        <f t="shared" si="686"/>
        <v>0</v>
      </c>
      <c r="LA75" s="110">
        <f t="shared" si="687"/>
        <v>0</v>
      </c>
      <c r="LB75" s="110">
        <f t="shared" si="688"/>
        <v>0</v>
      </c>
      <c r="LC75" s="110">
        <f t="shared" si="689"/>
        <v>0</v>
      </c>
      <c r="LD75" s="110">
        <f t="shared" si="690"/>
        <v>0</v>
      </c>
      <c r="LE75" s="110">
        <f t="shared" si="691"/>
        <v>0</v>
      </c>
      <c r="LF75" s="110">
        <f t="shared" si="692"/>
        <v>0</v>
      </c>
      <c r="LG75" s="110">
        <f t="shared" si="693"/>
        <v>0</v>
      </c>
      <c r="LH75" s="110">
        <f t="shared" si="694"/>
        <v>0</v>
      </c>
      <c r="LI75" s="110">
        <f t="shared" si="695"/>
        <v>0</v>
      </c>
      <c r="LJ75" s="110">
        <f t="shared" si="696"/>
        <v>0</v>
      </c>
      <c r="LK75" s="110">
        <f t="shared" si="697"/>
        <v>0</v>
      </c>
      <c r="LL75" s="110">
        <f t="shared" si="698"/>
        <v>0</v>
      </c>
      <c r="LM75" s="110">
        <f t="shared" si="699"/>
        <v>0</v>
      </c>
      <c r="LN75" s="110">
        <f t="shared" si="700"/>
        <v>0</v>
      </c>
      <c r="LO75" s="110">
        <f t="shared" si="701"/>
        <v>0</v>
      </c>
      <c r="LP75" s="110">
        <f t="shared" si="702"/>
        <v>0</v>
      </c>
      <c r="LQ75" s="110">
        <f t="shared" si="703"/>
        <v>0</v>
      </c>
      <c r="LR75" s="110">
        <f t="shared" si="704"/>
        <v>0</v>
      </c>
      <c r="LS75" s="110">
        <f t="shared" si="705"/>
        <v>0</v>
      </c>
      <c r="LT75" s="110">
        <f t="shared" si="706"/>
        <v>0</v>
      </c>
      <c r="LV75" s="111"/>
      <c r="LW75" s="110">
        <f t="shared" si="707"/>
        <v>0</v>
      </c>
      <c r="LX75" s="110">
        <f t="shared" si="708"/>
        <v>0</v>
      </c>
      <c r="LY75" s="110">
        <f t="shared" si="709"/>
        <v>0</v>
      </c>
      <c r="LZ75" s="110">
        <f t="shared" si="710"/>
        <v>0</v>
      </c>
      <c r="MA75" s="110">
        <f t="shared" si="711"/>
        <v>0</v>
      </c>
      <c r="MB75" s="110">
        <f t="shared" si="712"/>
        <v>0</v>
      </c>
      <c r="MC75" s="110">
        <f t="shared" si="713"/>
        <v>0</v>
      </c>
      <c r="MD75" s="110">
        <f t="shared" si="714"/>
        <v>0</v>
      </c>
      <c r="ME75" s="110">
        <f t="shared" si="715"/>
        <v>0</v>
      </c>
      <c r="MF75" s="110">
        <f t="shared" si="716"/>
        <v>0</v>
      </c>
      <c r="MG75" s="110">
        <f t="shared" si="717"/>
        <v>0</v>
      </c>
      <c r="MH75" s="110">
        <f t="shared" si="718"/>
        <v>0</v>
      </c>
      <c r="MI75" s="110">
        <f t="shared" si="719"/>
        <v>0</v>
      </c>
      <c r="MJ75" s="110">
        <f t="shared" si="720"/>
        <v>0</v>
      </c>
      <c r="MK75" s="110">
        <f t="shared" si="721"/>
        <v>0</v>
      </c>
      <c r="ML75" s="110">
        <f t="shared" si="722"/>
        <v>0</v>
      </c>
      <c r="MM75" s="110">
        <f t="shared" si="723"/>
        <v>0</v>
      </c>
      <c r="MN75" s="110">
        <f t="shared" si="724"/>
        <v>0</v>
      </c>
      <c r="MO75" s="110">
        <f t="shared" si="725"/>
        <v>0</v>
      </c>
      <c r="MP75" s="110">
        <f t="shared" si="726"/>
        <v>0</v>
      </c>
      <c r="MQ75" s="110">
        <f t="shared" si="727"/>
        <v>0</v>
      </c>
      <c r="MR75" s="110">
        <f t="shared" si="728"/>
        <v>0</v>
      </c>
      <c r="MS75" s="110">
        <f t="shared" si="729"/>
        <v>0</v>
      </c>
      <c r="MT75" s="110">
        <f t="shared" si="730"/>
        <v>0</v>
      </c>
      <c r="MV75" s="114">
        <v>288.14999999999998</v>
      </c>
      <c r="MW75" s="114">
        <v>0</v>
      </c>
      <c r="MX75" s="114">
        <v>0</v>
      </c>
      <c r="MY75" s="114">
        <v>0</v>
      </c>
      <c r="MZ75" s="114">
        <v>0</v>
      </c>
      <c r="NB75" s="115">
        <v>34</v>
      </c>
      <c r="NC75" s="115" t="str">
        <v>N/A</v>
      </c>
      <c r="ND75" s="115" t="str">
        <v>N/A</v>
      </c>
      <c r="NE75" s="115" t="str">
        <v>N/A</v>
      </c>
      <c r="NF75" s="115" t="str">
        <v>N/A</v>
      </c>
    </row>
    <row r="76" spans="2:370" ht="13.5" x14ac:dyDescent="0.25">
      <c r="B76" s="8">
        <f t="shared" si="731"/>
        <v>73</v>
      </c>
      <c r="C76" s="7">
        <v>195.67</v>
      </c>
      <c r="D76" s="7">
        <v>195.67</v>
      </c>
      <c r="E76" s="7">
        <v>195.67</v>
      </c>
      <c r="F76" s="7">
        <v>195.67</v>
      </c>
      <c r="G76" s="7">
        <v>195.67</v>
      </c>
      <c r="H76" s="7">
        <v>195.67</v>
      </c>
      <c r="I76" s="7">
        <v>195.67</v>
      </c>
      <c r="J76" s="7">
        <v>195.67</v>
      </c>
      <c r="K76" s="7">
        <v>195.67</v>
      </c>
      <c r="L76" s="7">
        <v>331.55</v>
      </c>
      <c r="M76" s="7">
        <v>331.55</v>
      </c>
      <c r="N76" s="7">
        <v>331.55</v>
      </c>
      <c r="O76" s="7">
        <v>331.55</v>
      </c>
      <c r="P76" s="7">
        <v>331.55</v>
      </c>
      <c r="Q76" s="7">
        <v>331.55</v>
      </c>
      <c r="R76" s="7">
        <v>331.55</v>
      </c>
      <c r="S76" s="7">
        <v>331.55</v>
      </c>
      <c r="T76" s="7">
        <v>331.55</v>
      </c>
      <c r="U76" s="7">
        <v>331.55</v>
      </c>
      <c r="V76" s="7">
        <v>331.55</v>
      </c>
      <c r="W76" s="7">
        <v>331.55</v>
      </c>
      <c r="X76" s="7">
        <v>331.55</v>
      </c>
      <c r="Y76" s="7">
        <v>331.55</v>
      </c>
      <c r="Z76" s="7">
        <v>331.55</v>
      </c>
      <c r="AA76" s="7">
        <v>331.55</v>
      </c>
      <c r="AB76" s="7">
        <v>331.55</v>
      </c>
      <c r="AC76" s="7">
        <v>331.55</v>
      </c>
      <c r="AD76" s="7">
        <v>331.55</v>
      </c>
      <c r="AE76" s="7">
        <v>331.55</v>
      </c>
      <c r="AF76" s="7">
        <v>331.55</v>
      </c>
      <c r="AG76" s="7">
        <v>343.16</v>
      </c>
      <c r="AH76" s="7">
        <v>343.16</v>
      </c>
      <c r="AI76" s="7">
        <v>343.16</v>
      </c>
      <c r="AJ76" s="7">
        <v>343.16</v>
      </c>
      <c r="AK76" s="7">
        <v>343.16</v>
      </c>
      <c r="AL76" s="7">
        <v>343.16</v>
      </c>
      <c r="AM76" s="7">
        <v>343.16</v>
      </c>
      <c r="AN76" s="27">
        <v>73</v>
      </c>
      <c r="AP76" s="111"/>
      <c r="AQ76" s="110">
        <f t="shared" si="492"/>
        <v>0</v>
      </c>
      <c r="AR76" s="110">
        <f t="shared" si="493"/>
        <v>0</v>
      </c>
      <c r="AS76" s="110">
        <f t="shared" si="494"/>
        <v>135.88000000000002</v>
      </c>
      <c r="AT76" s="110">
        <f t="shared" si="495"/>
        <v>0</v>
      </c>
      <c r="AU76" s="110">
        <f t="shared" si="496"/>
        <v>0</v>
      </c>
      <c r="AV76" s="110">
        <f t="shared" si="497"/>
        <v>0</v>
      </c>
      <c r="AW76" s="110">
        <f t="shared" si="498"/>
        <v>0</v>
      </c>
      <c r="AX76" s="110">
        <f t="shared" si="499"/>
        <v>0</v>
      </c>
      <c r="AY76" s="110">
        <f t="shared" si="500"/>
        <v>0</v>
      </c>
      <c r="AZ76" s="110">
        <f t="shared" si="501"/>
        <v>11.610000000000014</v>
      </c>
      <c r="BA76" s="110">
        <f t="shared" si="502"/>
        <v>0</v>
      </c>
      <c r="BB76" s="110">
        <f t="shared" si="503"/>
        <v>0</v>
      </c>
      <c r="BD76" s="109" cm="1">
        <f t="array" ref="BD76">+IFERROR(INDEX($C$3:$AM$3,MATCH(TRUE,INDEX($C76:$AM76&lt;&gt;0,0),0)),"N/A")</f>
        <v>44926</v>
      </c>
      <c r="BE76" s="112"/>
      <c r="BF76" s="1" t="str" cm="1">
        <f t="array" ref="BF76">+_xlfn.IFS(BT76&lt;&gt;0,BT$2,CH76&lt;&gt;0,CH$2,CV76&lt;&gt;0,CV$2,DJ76&lt;&gt;0,DJ$2,TRUE,"")</f>
        <v/>
      </c>
      <c r="BG76" s="1" t="str" cm="1">
        <f t="array" ref="BG76">+_xlfn.IFS(BU76&lt;&gt;0,BU$2,CI76&lt;&gt;0,CI$2,CW76&lt;&gt;0,CW$2,DK76&lt;&gt;0,DK$2,TRUE,"")</f>
        <v/>
      </c>
      <c r="BH76" s="1" t="str" cm="1">
        <f t="array" ref="BH76">+_xlfn.IFS(BV76&lt;&gt;0,BV$2,CJ76&lt;&gt;0,CJ$2,CX76&lt;&gt;0,CX$2,DL76&lt;&gt;0,DL$2,TRUE,"")</f>
        <v>Upsell</v>
      </c>
      <c r="BI76" s="1" t="str" cm="1">
        <f t="array" ref="BI76">+_xlfn.IFS(BW76&lt;&gt;0,BW$2,CK76&lt;&gt;0,CK$2,CY76&lt;&gt;0,CY$2,DM76&lt;&gt;0,DM$2,TRUE,"")</f>
        <v/>
      </c>
      <c r="BJ76" s="1" t="str" cm="1">
        <f t="array" ref="BJ76">+_xlfn.IFS(BX76&lt;&gt;0,BX$2,CL76&lt;&gt;0,CL$2,CZ76&lt;&gt;0,CZ$2,DN76&lt;&gt;0,DN$2,TRUE,"")</f>
        <v/>
      </c>
      <c r="BK76" s="1" t="str" cm="1">
        <f t="array" ref="BK76">+_xlfn.IFS(BY76&lt;&gt;0,BY$2,CM76&lt;&gt;0,CM$2,DA76&lt;&gt;0,DA$2,DO76&lt;&gt;0,DO$2,TRUE,"")</f>
        <v/>
      </c>
      <c r="BL76" s="1" t="str" cm="1">
        <f t="array" ref="BL76">+_xlfn.IFS(BZ76&lt;&gt;0,BZ$2,CN76&lt;&gt;0,CN$2,DB76&lt;&gt;0,DB$2,DP76&lt;&gt;0,DP$2,TRUE,"")</f>
        <v/>
      </c>
      <c r="BM76" s="1" t="str" cm="1">
        <f t="array" ref="BM76">+_xlfn.IFS(CA76&lt;&gt;0,CA$2,CO76&lt;&gt;0,CO$2,DC76&lt;&gt;0,DC$2,DQ76&lt;&gt;0,DQ$2,TRUE,"")</f>
        <v/>
      </c>
      <c r="BN76" s="1" t="str" cm="1">
        <f t="array" ref="BN76">+_xlfn.IFS(CB76&lt;&gt;0,CB$2,CP76&lt;&gt;0,CP$2,DD76&lt;&gt;0,DD$2,DR76&lt;&gt;0,DR$2,TRUE,"")</f>
        <v/>
      </c>
      <c r="BO76" s="1" t="str" cm="1">
        <f t="array" ref="BO76">+_xlfn.IFS(CC76&lt;&gt;0,CC$2,CQ76&lt;&gt;0,CQ$2,DE76&lt;&gt;0,DE$2,DS76&lt;&gt;0,DS$2,TRUE,"")</f>
        <v>Upsell</v>
      </c>
      <c r="BP76" s="1" t="str" cm="1">
        <f t="array" ref="BP76">+_xlfn.IFS(CD76&lt;&gt;0,CD$2,CR76&lt;&gt;0,CR$2,DF76&lt;&gt;0,DF$2,DT76&lt;&gt;0,DT$2,TRUE,"")</f>
        <v/>
      </c>
      <c r="BQ76" s="1" t="str" cm="1">
        <f t="array" ref="BQ76">+_xlfn.IFS(CE76&lt;&gt;0,CE$2,CS76&lt;&gt;0,CS$2,DG76&lt;&gt;0,DG$2,DU76&lt;&gt;0,DU$2,TRUE,"")</f>
        <v/>
      </c>
      <c r="BS76" s="111"/>
      <c r="BT76" s="110">
        <f t="shared" si="504"/>
        <v>0</v>
      </c>
      <c r="BU76" s="110">
        <f t="shared" si="505"/>
        <v>0</v>
      </c>
      <c r="BV76" s="110">
        <f t="shared" si="506"/>
        <v>0</v>
      </c>
      <c r="BW76" s="110">
        <f t="shared" si="507"/>
        <v>0</v>
      </c>
      <c r="BX76" s="110">
        <f t="shared" si="508"/>
        <v>0</v>
      </c>
      <c r="BY76" s="110">
        <f t="shared" si="509"/>
        <v>0</v>
      </c>
      <c r="BZ76" s="110">
        <f t="shared" si="510"/>
        <v>0</v>
      </c>
      <c r="CA76" s="110">
        <f t="shared" si="511"/>
        <v>0</v>
      </c>
      <c r="CB76" s="110">
        <f t="shared" si="512"/>
        <v>0</v>
      </c>
      <c r="CC76" s="110">
        <f t="shared" si="513"/>
        <v>0</v>
      </c>
      <c r="CD76" s="110">
        <f t="shared" si="514"/>
        <v>0</v>
      </c>
      <c r="CE76" s="110">
        <f t="shared" si="515"/>
        <v>0</v>
      </c>
      <c r="CG76" s="111"/>
      <c r="CH76" s="110">
        <f t="shared" si="516"/>
        <v>0</v>
      </c>
      <c r="CI76" s="110">
        <f t="shared" si="517"/>
        <v>0</v>
      </c>
      <c r="CJ76" s="110">
        <f t="shared" si="518"/>
        <v>0</v>
      </c>
      <c r="CK76" s="110">
        <f t="shared" si="519"/>
        <v>0</v>
      </c>
      <c r="CL76" s="110">
        <f t="shared" si="520"/>
        <v>0</v>
      </c>
      <c r="CM76" s="110">
        <f t="shared" si="521"/>
        <v>0</v>
      </c>
      <c r="CN76" s="110">
        <f t="shared" si="522"/>
        <v>0</v>
      </c>
      <c r="CO76" s="110">
        <f t="shared" si="523"/>
        <v>0</v>
      </c>
      <c r="CP76" s="110">
        <f t="shared" si="524"/>
        <v>0</v>
      </c>
      <c r="CQ76" s="110">
        <f t="shared" si="525"/>
        <v>0</v>
      </c>
      <c r="CR76" s="110">
        <f t="shared" si="526"/>
        <v>0</v>
      </c>
      <c r="CS76" s="110">
        <f t="shared" si="527"/>
        <v>0</v>
      </c>
      <c r="CU76" s="111"/>
      <c r="CV76" s="110">
        <f t="shared" si="528"/>
        <v>0</v>
      </c>
      <c r="CW76" s="110">
        <f t="shared" si="529"/>
        <v>0</v>
      </c>
      <c r="CX76" s="110">
        <f t="shared" si="530"/>
        <v>0</v>
      </c>
      <c r="CY76" s="110">
        <f t="shared" si="531"/>
        <v>0</v>
      </c>
      <c r="CZ76" s="110">
        <f t="shared" si="532"/>
        <v>0</v>
      </c>
      <c r="DA76" s="110">
        <f t="shared" si="533"/>
        <v>0</v>
      </c>
      <c r="DB76" s="110">
        <f t="shared" si="534"/>
        <v>0</v>
      </c>
      <c r="DC76" s="110">
        <f t="shared" si="535"/>
        <v>0</v>
      </c>
      <c r="DD76" s="110">
        <f t="shared" si="536"/>
        <v>0</v>
      </c>
      <c r="DE76" s="110">
        <f t="shared" si="537"/>
        <v>0</v>
      </c>
      <c r="DF76" s="110">
        <f t="shared" si="538"/>
        <v>0</v>
      </c>
      <c r="DG76" s="110">
        <f t="shared" si="539"/>
        <v>0</v>
      </c>
      <c r="DI76" s="111"/>
      <c r="DJ76" s="110">
        <f t="shared" si="540"/>
        <v>0</v>
      </c>
      <c r="DK76" s="110">
        <f t="shared" si="541"/>
        <v>0</v>
      </c>
      <c r="DL76" s="110">
        <f t="shared" si="542"/>
        <v>135.88000000000002</v>
      </c>
      <c r="DM76" s="110">
        <f t="shared" si="543"/>
        <v>0</v>
      </c>
      <c r="DN76" s="110">
        <f t="shared" si="544"/>
        <v>0</v>
      </c>
      <c r="DO76" s="110">
        <f t="shared" si="545"/>
        <v>0</v>
      </c>
      <c r="DP76" s="110">
        <f t="shared" si="546"/>
        <v>0</v>
      </c>
      <c r="DQ76" s="110">
        <f t="shared" si="547"/>
        <v>0</v>
      </c>
      <c r="DR76" s="110">
        <f t="shared" si="548"/>
        <v>0</v>
      </c>
      <c r="DS76" s="110">
        <f t="shared" si="549"/>
        <v>11.610000000000014</v>
      </c>
      <c r="DT76" s="110">
        <f t="shared" si="550"/>
        <v>0</v>
      </c>
      <c r="DU76" s="110">
        <f t="shared" si="551"/>
        <v>0</v>
      </c>
      <c r="DW76" s="111"/>
      <c r="DX76" s="110">
        <f t="shared" si="552"/>
        <v>0</v>
      </c>
      <c r="DY76" s="110">
        <f t="shared" si="553"/>
        <v>0</v>
      </c>
      <c r="DZ76" s="110">
        <f t="shared" si="554"/>
        <v>0</v>
      </c>
      <c r="EA76" s="110">
        <f t="shared" si="555"/>
        <v>0</v>
      </c>
      <c r="EB76" s="110">
        <f t="shared" si="556"/>
        <v>0</v>
      </c>
      <c r="EC76" s="110">
        <f t="shared" si="557"/>
        <v>0</v>
      </c>
      <c r="ED76" s="110">
        <f t="shared" si="558"/>
        <v>0</v>
      </c>
      <c r="EE76" s="110">
        <f t="shared" si="559"/>
        <v>0</v>
      </c>
      <c r="EF76" s="110">
        <f t="shared" si="560"/>
        <v>0</v>
      </c>
      <c r="EG76" s="110">
        <f t="shared" si="561"/>
        <v>0</v>
      </c>
      <c r="EH76" s="110">
        <f t="shared" si="562"/>
        <v>0</v>
      </c>
      <c r="EI76" s="110">
        <f t="shared" si="563"/>
        <v>0</v>
      </c>
      <c r="EK76" s="111"/>
      <c r="EL76" s="110">
        <f t="shared" si="564"/>
        <v>135.88000000000002</v>
      </c>
      <c r="EM76" s="110">
        <f t="shared" si="565"/>
        <v>0</v>
      </c>
      <c r="EN76" s="110">
        <f t="shared" si="566"/>
        <v>11.610000000000014</v>
      </c>
      <c r="EP76" s="109" cm="1">
        <f t="array" ref="EP76">+IFERROR(INDEX($C$3:$AM$3,MATCH(TRUE,INDEX($C76:$AM76&lt;&gt;0,0),0)),"N/A")</f>
        <v>44926</v>
      </c>
      <c r="EQ76" s="112"/>
      <c r="ER76" s="1" t="str" cm="1">
        <f t="array" ref="ER76">+_xlfn.IFS(EW76&lt;&gt;0,EW$2,FB76&lt;&gt;0,FB$2,FG76&lt;&gt;0,FG$2,FL76&lt;&gt;0,FL$2,TRUE,"")</f>
        <v>Upsell</v>
      </c>
      <c r="ES76" s="1" t="str" cm="1">
        <f t="array" ref="ES76">+_xlfn.IFS(EX76&lt;&gt;0,EX$2,FC76&lt;&gt;0,FC$2,FH76&lt;&gt;0,FH$2,FM76&lt;&gt;0,FM$2,TRUE,"")</f>
        <v/>
      </c>
      <c r="ET76" s="1" t="str" cm="1">
        <f t="array" ref="ET76">+_xlfn.IFS(EY76&lt;&gt;0,EY$2,FD76&lt;&gt;0,FD$2,FI76&lt;&gt;0,FI$2,FN76&lt;&gt;0,FN$2,TRUE,"")</f>
        <v>Upsell</v>
      </c>
      <c r="EV76" s="111"/>
      <c r="EW76" s="110">
        <f t="shared" si="567"/>
        <v>0</v>
      </c>
      <c r="EX76" s="110">
        <f t="shared" si="568"/>
        <v>0</v>
      </c>
      <c r="EY76" s="110">
        <f t="shared" si="569"/>
        <v>0</v>
      </c>
      <c r="FA76" s="111"/>
      <c r="FB76" s="110">
        <f t="shared" si="570"/>
        <v>0</v>
      </c>
      <c r="FC76" s="110">
        <f t="shared" si="571"/>
        <v>0</v>
      </c>
      <c r="FD76" s="110">
        <f t="shared" si="572"/>
        <v>0</v>
      </c>
      <c r="FF76" s="111"/>
      <c r="FG76" s="110">
        <f t="shared" si="573"/>
        <v>0</v>
      </c>
      <c r="FH76" s="110">
        <f t="shared" si="574"/>
        <v>0</v>
      </c>
      <c r="FI76" s="110">
        <f t="shared" si="575"/>
        <v>0</v>
      </c>
      <c r="FK76" s="111"/>
      <c r="FL76" s="110">
        <f t="shared" si="576"/>
        <v>135.88000000000002</v>
      </c>
      <c r="FM76" s="110">
        <f t="shared" si="577"/>
        <v>0</v>
      </c>
      <c r="FN76" s="110">
        <f t="shared" si="578"/>
        <v>11.610000000000014</v>
      </c>
      <c r="FP76" s="111"/>
      <c r="FQ76" s="110">
        <f t="shared" si="579"/>
        <v>0</v>
      </c>
      <c r="FR76" s="110">
        <f t="shared" si="580"/>
        <v>0</v>
      </c>
      <c r="FS76" s="110">
        <f t="shared" si="581"/>
        <v>0</v>
      </c>
      <c r="FU76" s="111">
        <f t="shared" si="582"/>
        <v>135.88000000000002</v>
      </c>
      <c r="FV76" s="110">
        <f t="shared" si="583"/>
        <v>135.88000000000002</v>
      </c>
      <c r="FW76" s="110">
        <f t="shared" si="584"/>
        <v>135.88000000000002</v>
      </c>
      <c r="FX76" s="110">
        <f t="shared" si="585"/>
        <v>135.88000000000002</v>
      </c>
      <c r="FY76" s="110">
        <f t="shared" si="586"/>
        <v>135.88000000000002</v>
      </c>
      <c r="FZ76" s="110">
        <f t="shared" si="587"/>
        <v>135.88000000000002</v>
      </c>
      <c r="GA76" s="110">
        <f t="shared" si="588"/>
        <v>135.88000000000002</v>
      </c>
      <c r="GB76" s="110">
        <f t="shared" si="589"/>
        <v>135.88000000000002</v>
      </c>
      <c r="GC76" s="110">
        <f t="shared" si="590"/>
        <v>135.88000000000002</v>
      </c>
      <c r="GD76" s="110">
        <f t="shared" si="591"/>
        <v>0</v>
      </c>
      <c r="GE76" s="110">
        <f t="shared" si="592"/>
        <v>0</v>
      </c>
      <c r="GF76" s="110">
        <f t="shared" si="593"/>
        <v>0</v>
      </c>
      <c r="GG76" s="110">
        <f t="shared" si="594"/>
        <v>0</v>
      </c>
      <c r="GH76" s="110">
        <f t="shared" si="595"/>
        <v>0</v>
      </c>
      <c r="GI76" s="110">
        <f t="shared" si="596"/>
        <v>0</v>
      </c>
      <c r="GJ76" s="110">
        <f t="shared" si="597"/>
        <v>0</v>
      </c>
      <c r="GK76" s="110">
        <f t="shared" si="598"/>
        <v>0</v>
      </c>
      <c r="GL76" s="110">
        <f t="shared" si="599"/>
        <v>0</v>
      </c>
      <c r="GM76" s="110">
        <f t="shared" si="600"/>
        <v>11.610000000000014</v>
      </c>
      <c r="GN76" s="110">
        <f t="shared" si="601"/>
        <v>11.610000000000014</v>
      </c>
      <c r="GO76" s="110">
        <f t="shared" si="602"/>
        <v>11.610000000000014</v>
      </c>
      <c r="GP76" s="110">
        <f t="shared" si="603"/>
        <v>11.610000000000014</v>
      </c>
      <c r="GQ76" s="110">
        <f t="shared" si="604"/>
        <v>11.610000000000014</v>
      </c>
      <c r="GR76" s="110">
        <f t="shared" si="605"/>
        <v>11.610000000000014</v>
      </c>
      <c r="GS76" s="110">
        <f t="shared" si="606"/>
        <v>11.610000000000014</v>
      </c>
      <c r="GU76" s="109" cm="1">
        <f t="array" ref="GU76">+IFERROR(INDEX($C$3:$AM$3,MATCH(TRUE,INDEX($C76:$AM76&lt;&gt;0,0),0)),"N/A")</f>
        <v>44926</v>
      </c>
      <c r="GV76" s="112" t="str" cm="1">
        <f t="array" ref="GV76">+_xlfn.IFS(HV76&lt;&gt;0,HV$2,IV76&lt;&gt;0,IV$2,JV76&lt;&gt;0,JV$2,KV76&lt;&gt;0,KV$2,TRUE,"")</f>
        <v>Upsell</v>
      </c>
      <c r="GW76" s="1" t="str" cm="1">
        <f t="array" ref="GW76">+_xlfn.IFS(HW76&lt;&gt;0,HW$2,IW76&lt;&gt;0,IW$2,JW76&lt;&gt;0,JW$2,KW76&lt;&gt;0,KW$2,TRUE,"")</f>
        <v>Upsell</v>
      </c>
      <c r="GX76" s="1" t="str" cm="1">
        <f t="array" ref="GX76">+_xlfn.IFS(HX76&lt;&gt;0,HX$2,IX76&lt;&gt;0,IX$2,JX76&lt;&gt;0,JX$2,KX76&lt;&gt;0,KX$2,TRUE,"")</f>
        <v>Upsell</v>
      </c>
      <c r="GY76" s="1" t="str" cm="1">
        <f t="array" ref="GY76">+_xlfn.IFS(HY76&lt;&gt;0,HY$2,IY76&lt;&gt;0,IY$2,JY76&lt;&gt;0,JY$2,KY76&lt;&gt;0,KY$2,TRUE,"")</f>
        <v>Upsell</v>
      </c>
      <c r="GZ76" s="1" t="str" cm="1">
        <f t="array" ref="GZ76">+_xlfn.IFS(HZ76&lt;&gt;0,HZ$2,IZ76&lt;&gt;0,IZ$2,JZ76&lt;&gt;0,JZ$2,KZ76&lt;&gt;0,KZ$2,TRUE,"")</f>
        <v>Upsell</v>
      </c>
      <c r="HA76" s="1" t="str" cm="1">
        <f t="array" ref="HA76">+_xlfn.IFS(IA76&lt;&gt;0,IA$2,JA76&lt;&gt;0,JA$2,KA76&lt;&gt;0,KA$2,LA76&lt;&gt;0,LA$2,TRUE,"")</f>
        <v>Upsell</v>
      </c>
      <c r="HB76" s="1" t="str" cm="1">
        <f t="array" ref="HB76">+_xlfn.IFS(IB76&lt;&gt;0,IB$2,JB76&lt;&gt;0,JB$2,KB76&lt;&gt;0,KB$2,LB76&lt;&gt;0,LB$2,TRUE,"")</f>
        <v>Upsell</v>
      </c>
      <c r="HC76" s="1" t="str" cm="1">
        <f t="array" ref="HC76">+_xlfn.IFS(IC76&lt;&gt;0,IC$2,JC76&lt;&gt;0,JC$2,KC76&lt;&gt;0,KC$2,LC76&lt;&gt;0,LC$2,TRUE,"")</f>
        <v>Upsell</v>
      </c>
      <c r="HD76" s="1" t="str" cm="1">
        <f t="array" ref="HD76">+_xlfn.IFS(ID76&lt;&gt;0,ID$2,JD76&lt;&gt;0,JD$2,KD76&lt;&gt;0,KD$2,LD76&lt;&gt;0,LD$2,TRUE,"")</f>
        <v>Upsell</v>
      </c>
      <c r="HE76" s="1" t="str" cm="1">
        <f t="array" ref="HE76">+_xlfn.IFS(IE76&lt;&gt;0,IE$2,JE76&lt;&gt;0,JE$2,KE76&lt;&gt;0,KE$2,LE76&lt;&gt;0,LE$2,TRUE,"")</f>
        <v/>
      </c>
      <c r="HF76" s="1" t="str" cm="1">
        <f t="array" ref="HF76">+_xlfn.IFS(IF76&lt;&gt;0,IF$2,JF76&lt;&gt;0,JF$2,KF76&lt;&gt;0,KF$2,LF76&lt;&gt;0,LF$2,TRUE,"")</f>
        <v/>
      </c>
      <c r="HG76" s="1" t="str" cm="1">
        <f t="array" ref="HG76">+_xlfn.IFS(IG76&lt;&gt;0,IG$2,JG76&lt;&gt;0,JG$2,KG76&lt;&gt;0,KG$2,LG76&lt;&gt;0,LG$2,TRUE,"")</f>
        <v/>
      </c>
      <c r="HH76" s="1" t="str" cm="1">
        <f t="array" ref="HH76">+_xlfn.IFS(IH76&lt;&gt;0,IH$2,JH76&lt;&gt;0,JH$2,KH76&lt;&gt;0,KH$2,LH76&lt;&gt;0,LH$2,TRUE,"")</f>
        <v/>
      </c>
      <c r="HI76" s="1" t="str" cm="1">
        <f t="array" ref="HI76">+_xlfn.IFS(II76&lt;&gt;0,II$2,JI76&lt;&gt;0,JI$2,KI76&lt;&gt;0,KI$2,LI76&lt;&gt;0,LI$2,TRUE,"")</f>
        <v/>
      </c>
      <c r="HJ76" s="1" t="str" cm="1">
        <f t="array" ref="HJ76">+_xlfn.IFS(IJ76&lt;&gt;0,IJ$2,JJ76&lt;&gt;0,JJ$2,KJ76&lt;&gt;0,KJ$2,LJ76&lt;&gt;0,LJ$2,TRUE,"")</f>
        <v/>
      </c>
      <c r="HK76" s="1" t="str" cm="1">
        <f t="array" ref="HK76">+_xlfn.IFS(IK76&lt;&gt;0,IK$2,JK76&lt;&gt;0,JK$2,KK76&lt;&gt;0,KK$2,LK76&lt;&gt;0,LK$2,TRUE,"")</f>
        <v/>
      </c>
      <c r="HL76" s="1" t="str" cm="1">
        <f t="array" ref="HL76">+_xlfn.IFS(IL76&lt;&gt;0,IL$2,JL76&lt;&gt;0,JL$2,KL76&lt;&gt;0,KL$2,LL76&lt;&gt;0,LL$2,TRUE,"")</f>
        <v/>
      </c>
      <c r="HM76" s="1" t="str" cm="1">
        <f t="array" ref="HM76">+_xlfn.IFS(IM76&lt;&gt;0,IM$2,JM76&lt;&gt;0,JM$2,KM76&lt;&gt;0,KM$2,LM76&lt;&gt;0,LM$2,TRUE,"")</f>
        <v/>
      </c>
      <c r="HN76" s="1" t="str" cm="1">
        <f t="array" ref="HN76">+_xlfn.IFS(IN76&lt;&gt;0,IN$2,JN76&lt;&gt;0,JN$2,KN76&lt;&gt;0,KN$2,LN76&lt;&gt;0,LN$2,TRUE,"")</f>
        <v>Upsell</v>
      </c>
      <c r="HO76" s="1" t="str" cm="1">
        <f t="array" ref="HO76">+_xlfn.IFS(IO76&lt;&gt;0,IO$2,JO76&lt;&gt;0,JO$2,KO76&lt;&gt;0,KO$2,LO76&lt;&gt;0,LO$2,TRUE,"")</f>
        <v>Upsell</v>
      </c>
      <c r="HP76" s="1" t="str" cm="1">
        <f t="array" ref="HP76">+_xlfn.IFS(IP76&lt;&gt;0,IP$2,JP76&lt;&gt;0,JP$2,KP76&lt;&gt;0,KP$2,LP76&lt;&gt;0,LP$2,TRUE,"")</f>
        <v>Upsell</v>
      </c>
      <c r="HQ76" s="1" t="str" cm="1">
        <f t="array" ref="HQ76">+_xlfn.IFS(IQ76&lt;&gt;0,IQ$2,JQ76&lt;&gt;0,JQ$2,KQ76&lt;&gt;0,KQ$2,LQ76&lt;&gt;0,LQ$2,TRUE,"")</f>
        <v>Upsell</v>
      </c>
      <c r="HR76" s="1" t="str" cm="1">
        <f t="array" ref="HR76">+_xlfn.IFS(IR76&lt;&gt;0,IR$2,JR76&lt;&gt;0,JR$2,KR76&lt;&gt;0,KR$2,LR76&lt;&gt;0,LR$2,TRUE,"")</f>
        <v>Upsell</v>
      </c>
      <c r="HS76" s="1" t="str" cm="1">
        <f t="array" ref="HS76">+_xlfn.IFS(IS76&lt;&gt;0,IS$2,JS76&lt;&gt;0,JS$2,KS76&lt;&gt;0,KS$2,LS76&lt;&gt;0,LS$2,TRUE,"")</f>
        <v>Upsell</v>
      </c>
      <c r="HT76" s="1" t="str" cm="1">
        <f t="array" ref="HT76">+_xlfn.IFS(IT76&lt;&gt;0,IT$2,JT76&lt;&gt;0,JT$2,KT76&lt;&gt;0,KT$2,LT76&lt;&gt;0,LT$2,TRUE,"")</f>
        <v>Upsell</v>
      </c>
      <c r="HV76" s="111">
        <f t="shared" si="607"/>
        <v>0</v>
      </c>
      <c r="HW76" s="110">
        <f t="shared" si="608"/>
        <v>0</v>
      </c>
      <c r="HX76" s="110">
        <f t="shared" si="609"/>
        <v>0</v>
      </c>
      <c r="HY76" s="110">
        <f t="shared" si="610"/>
        <v>0</v>
      </c>
      <c r="HZ76" s="110">
        <f t="shared" si="611"/>
        <v>0</v>
      </c>
      <c r="IA76" s="110">
        <f t="shared" si="612"/>
        <v>0</v>
      </c>
      <c r="IB76" s="110">
        <f t="shared" si="613"/>
        <v>0</v>
      </c>
      <c r="IC76" s="110">
        <f t="shared" si="614"/>
        <v>0</v>
      </c>
      <c r="ID76" s="110">
        <f t="shared" si="615"/>
        <v>0</v>
      </c>
      <c r="IE76" s="110">
        <f t="shared" si="616"/>
        <v>0</v>
      </c>
      <c r="IF76" s="110">
        <f t="shared" si="617"/>
        <v>0</v>
      </c>
      <c r="IG76" s="110">
        <f t="shared" si="618"/>
        <v>0</v>
      </c>
      <c r="IH76" s="110">
        <f t="shared" si="619"/>
        <v>0</v>
      </c>
      <c r="II76" s="110">
        <f t="shared" si="620"/>
        <v>0</v>
      </c>
      <c r="IJ76" s="110">
        <f t="shared" si="621"/>
        <v>0</v>
      </c>
      <c r="IK76" s="110">
        <f t="shared" si="622"/>
        <v>0</v>
      </c>
      <c r="IL76" s="110">
        <f t="shared" si="623"/>
        <v>0</v>
      </c>
      <c r="IM76" s="110">
        <f t="shared" si="624"/>
        <v>0</v>
      </c>
      <c r="IN76" s="110">
        <f t="shared" si="625"/>
        <v>0</v>
      </c>
      <c r="IO76" s="110">
        <f t="shared" si="626"/>
        <v>0</v>
      </c>
      <c r="IP76" s="110">
        <f t="shared" si="627"/>
        <v>0</v>
      </c>
      <c r="IQ76" s="110">
        <f t="shared" si="628"/>
        <v>0</v>
      </c>
      <c r="IR76" s="110">
        <f t="shared" si="629"/>
        <v>0</v>
      </c>
      <c r="IS76" s="110">
        <f t="shared" si="630"/>
        <v>0</v>
      </c>
      <c r="IT76" s="110">
        <f t="shared" si="631"/>
        <v>0</v>
      </c>
      <c r="IV76" s="111">
        <f t="shared" si="632"/>
        <v>0</v>
      </c>
      <c r="IW76" s="110">
        <f t="shared" si="633"/>
        <v>0</v>
      </c>
      <c r="IX76" s="110">
        <f t="shared" si="634"/>
        <v>0</v>
      </c>
      <c r="IY76" s="110">
        <f t="shared" si="635"/>
        <v>0</v>
      </c>
      <c r="IZ76" s="110">
        <f t="shared" si="636"/>
        <v>0</v>
      </c>
      <c r="JA76" s="110">
        <f t="shared" si="637"/>
        <v>0</v>
      </c>
      <c r="JB76" s="110">
        <f t="shared" si="638"/>
        <v>0</v>
      </c>
      <c r="JC76" s="110">
        <f t="shared" si="639"/>
        <v>0</v>
      </c>
      <c r="JD76" s="110">
        <f t="shared" si="640"/>
        <v>0</v>
      </c>
      <c r="JE76" s="110">
        <f t="shared" si="641"/>
        <v>0</v>
      </c>
      <c r="JF76" s="110">
        <f t="shared" si="642"/>
        <v>0</v>
      </c>
      <c r="JG76" s="110">
        <f t="shared" si="643"/>
        <v>0</v>
      </c>
      <c r="JH76" s="110">
        <f t="shared" si="644"/>
        <v>0</v>
      </c>
      <c r="JI76" s="110">
        <f t="shared" si="645"/>
        <v>0</v>
      </c>
      <c r="JJ76" s="110">
        <f t="shared" si="646"/>
        <v>0</v>
      </c>
      <c r="JK76" s="110">
        <f t="shared" si="647"/>
        <v>0</v>
      </c>
      <c r="JL76" s="110">
        <f t="shared" si="648"/>
        <v>0</v>
      </c>
      <c r="JM76" s="110">
        <f t="shared" si="649"/>
        <v>0</v>
      </c>
      <c r="JN76" s="110">
        <f t="shared" si="650"/>
        <v>0</v>
      </c>
      <c r="JO76" s="110">
        <f t="shared" si="651"/>
        <v>0</v>
      </c>
      <c r="JP76" s="110">
        <f t="shared" si="652"/>
        <v>0</v>
      </c>
      <c r="JQ76" s="110">
        <f t="shared" si="653"/>
        <v>0</v>
      </c>
      <c r="JR76" s="110">
        <f t="shared" si="654"/>
        <v>0</v>
      </c>
      <c r="JS76" s="110">
        <f t="shared" si="655"/>
        <v>0</v>
      </c>
      <c r="JT76" s="110">
        <f t="shared" si="656"/>
        <v>0</v>
      </c>
      <c r="JV76" s="111">
        <f t="shared" si="657"/>
        <v>0</v>
      </c>
      <c r="JW76" s="110">
        <f t="shared" si="658"/>
        <v>0</v>
      </c>
      <c r="JX76" s="110">
        <f t="shared" si="659"/>
        <v>0</v>
      </c>
      <c r="JY76" s="110">
        <f t="shared" si="660"/>
        <v>0</v>
      </c>
      <c r="JZ76" s="110">
        <f t="shared" si="661"/>
        <v>0</v>
      </c>
      <c r="KA76" s="110">
        <f t="shared" si="662"/>
        <v>0</v>
      </c>
      <c r="KB76" s="110">
        <f t="shared" si="663"/>
        <v>0</v>
      </c>
      <c r="KC76" s="110">
        <f t="shared" si="664"/>
        <v>0</v>
      </c>
      <c r="KD76" s="110">
        <f t="shared" si="665"/>
        <v>0</v>
      </c>
      <c r="KE76" s="110">
        <f t="shared" si="666"/>
        <v>0</v>
      </c>
      <c r="KF76" s="110">
        <f t="shared" si="667"/>
        <v>0</v>
      </c>
      <c r="KG76" s="110">
        <f t="shared" si="668"/>
        <v>0</v>
      </c>
      <c r="KH76" s="110">
        <f t="shared" si="669"/>
        <v>0</v>
      </c>
      <c r="KI76" s="110">
        <f t="shared" si="670"/>
        <v>0</v>
      </c>
      <c r="KJ76" s="110">
        <f t="shared" si="671"/>
        <v>0</v>
      </c>
      <c r="KK76" s="110">
        <f t="shared" si="672"/>
        <v>0</v>
      </c>
      <c r="KL76" s="110">
        <f t="shared" si="673"/>
        <v>0</v>
      </c>
      <c r="KM76" s="110">
        <f t="shared" si="674"/>
        <v>0</v>
      </c>
      <c r="KN76" s="110">
        <f t="shared" si="675"/>
        <v>0</v>
      </c>
      <c r="KO76" s="110">
        <f t="shared" si="676"/>
        <v>0</v>
      </c>
      <c r="KP76" s="110">
        <f t="shared" si="677"/>
        <v>0</v>
      </c>
      <c r="KQ76" s="110">
        <f t="shared" si="678"/>
        <v>0</v>
      </c>
      <c r="KR76" s="110">
        <f t="shared" si="679"/>
        <v>0</v>
      </c>
      <c r="KS76" s="110">
        <f t="shared" si="680"/>
        <v>0</v>
      </c>
      <c r="KT76" s="110">
        <f t="shared" si="681"/>
        <v>0</v>
      </c>
      <c r="KV76" s="111">
        <f t="shared" si="682"/>
        <v>135.88000000000002</v>
      </c>
      <c r="KW76" s="110">
        <f t="shared" si="683"/>
        <v>135.88000000000002</v>
      </c>
      <c r="KX76" s="110">
        <f t="shared" si="684"/>
        <v>135.88000000000002</v>
      </c>
      <c r="KY76" s="110">
        <f t="shared" si="685"/>
        <v>135.88000000000002</v>
      </c>
      <c r="KZ76" s="110">
        <f t="shared" si="686"/>
        <v>135.88000000000002</v>
      </c>
      <c r="LA76" s="110">
        <f t="shared" si="687"/>
        <v>135.88000000000002</v>
      </c>
      <c r="LB76" s="110">
        <f t="shared" si="688"/>
        <v>135.88000000000002</v>
      </c>
      <c r="LC76" s="110">
        <f t="shared" si="689"/>
        <v>135.88000000000002</v>
      </c>
      <c r="LD76" s="110">
        <f t="shared" si="690"/>
        <v>135.88000000000002</v>
      </c>
      <c r="LE76" s="110">
        <f t="shared" si="691"/>
        <v>0</v>
      </c>
      <c r="LF76" s="110">
        <f t="shared" si="692"/>
        <v>0</v>
      </c>
      <c r="LG76" s="110">
        <f t="shared" si="693"/>
        <v>0</v>
      </c>
      <c r="LH76" s="110">
        <f t="shared" si="694"/>
        <v>0</v>
      </c>
      <c r="LI76" s="110">
        <f t="shared" si="695"/>
        <v>0</v>
      </c>
      <c r="LJ76" s="110">
        <f t="shared" si="696"/>
        <v>0</v>
      </c>
      <c r="LK76" s="110">
        <f t="shared" si="697"/>
        <v>0</v>
      </c>
      <c r="LL76" s="110">
        <f t="shared" si="698"/>
        <v>0</v>
      </c>
      <c r="LM76" s="110">
        <f t="shared" si="699"/>
        <v>0</v>
      </c>
      <c r="LN76" s="110">
        <f t="shared" si="700"/>
        <v>11.610000000000014</v>
      </c>
      <c r="LO76" s="110">
        <f t="shared" si="701"/>
        <v>11.610000000000014</v>
      </c>
      <c r="LP76" s="110">
        <f t="shared" si="702"/>
        <v>11.610000000000014</v>
      </c>
      <c r="LQ76" s="110">
        <f t="shared" si="703"/>
        <v>11.610000000000014</v>
      </c>
      <c r="LR76" s="110">
        <f t="shared" si="704"/>
        <v>11.610000000000014</v>
      </c>
      <c r="LS76" s="110">
        <f t="shared" si="705"/>
        <v>11.610000000000014</v>
      </c>
      <c r="LT76" s="110">
        <f t="shared" si="706"/>
        <v>11.610000000000014</v>
      </c>
      <c r="LV76" s="111"/>
      <c r="LW76" s="110">
        <f t="shared" si="707"/>
        <v>0</v>
      </c>
      <c r="LX76" s="110">
        <f t="shared" si="708"/>
        <v>0</v>
      </c>
      <c r="LY76" s="110">
        <f t="shared" si="709"/>
        <v>0</v>
      </c>
      <c r="LZ76" s="110">
        <f t="shared" si="710"/>
        <v>0</v>
      </c>
      <c r="MA76" s="110">
        <f t="shared" si="711"/>
        <v>0</v>
      </c>
      <c r="MB76" s="110">
        <f t="shared" si="712"/>
        <v>0</v>
      </c>
      <c r="MC76" s="110">
        <f t="shared" si="713"/>
        <v>0</v>
      </c>
      <c r="MD76" s="110">
        <f t="shared" si="714"/>
        <v>0</v>
      </c>
      <c r="ME76" s="110">
        <f t="shared" si="715"/>
        <v>0</v>
      </c>
      <c r="MF76" s="110">
        <f t="shared" si="716"/>
        <v>0</v>
      </c>
      <c r="MG76" s="110">
        <f t="shared" si="717"/>
        <v>0</v>
      </c>
      <c r="MH76" s="110">
        <f t="shared" si="718"/>
        <v>0</v>
      </c>
      <c r="MI76" s="110">
        <f t="shared" si="719"/>
        <v>0</v>
      </c>
      <c r="MJ76" s="110">
        <f t="shared" si="720"/>
        <v>0</v>
      </c>
      <c r="MK76" s="110">
        <f t="shared" si="721"/>
        <v>0</v>
      </c>
      <c r="ML76" s="110">
        <f t="shared" si="722"/>
        <v>0</v>
      </c>
      <c r="MM76" s="110">
        <f t="shared" si="723"/>
        <v>0</v>
      </c>
      <c r="MN76" s="110">
        <f t="shared" si="724"/>
        <v>0</v>
      </c>
      <c r="MO76" s="110">
        <f t="shared" si="725"/>
        <v>0</v>
      </c>
      <c r="MP76" s="110">
        <f t="shared" si="726"/>
        <v>0</v>
      </c>
      <c r="MQ76" s="110">
        <f t="shared" si="727"/>
        <v>0</v>
      </c>
      <c r="MR76" s="110">
        <f t="shared" si="728"/>
        <v>0</v>
      </c>
      <c r="MS76" s="110">
        <f t="shared" si="729"/>
        <v>0</v>
      </c>
      <c r="MT76" s="110">
        <f t="shared" si="730"/>
        <v>0</v>
      </c>
      <c r="MV76" s="114">
        <v>343.16</v>
      </c>
      <c r="MW76" s="114">
        <v>0</v>
      </c>
      <c r="MX76" s="114">
        <v>11.610000000000014</v>
      </c>
      <c r="MY76" s="114">
        <v>0</v>
      </c>
      <c r="MZ76" s="114">
        <v>0</v>
      </c>
      <c r="NB76" s="115">
        <v>14</v>
      </c>
      <c r="NC76" s="115" t="str">
        <v>N/A</v>
      </c>
      <c r="ND76" s="115">
        <v>12</v>
      </c>
      <c r="NE76" s="115" t="str">
        <v>N/A</v>
      </c>
      <c r="NF76" s="115" t="str">
        <v>N/A</v>
      </c>
    </row>
    <row r="77" spans="2:370" ht="13.5" x14ac:dyDescent="0.25">
      <c r="B77" s="8">
        <f t="shared" si="731"/>
        <v>74</v>
      </c>
      <c r="C77" s="7">
        <v>111.61</v>
      </c>
      <c r="D77" s="7">
        <v>111.61</v>
      </c>
      <c r="E77" s="7">
        <v>112.81</v>
      </c>
      <c r="F77" s="7">
        <v>116.08</v>
      </c>
      <c r="G77" s="7">
        <v>115.18</v>
      </c>
      <c r="H77" s="7">
        <v>134.98000000000002</v>
      </c>
      <c r="I77" s="7">
        <v>135</v>
      </c>
      <c r="J77" s="7">
        <v>129</v>
      </c>
      <c r="K77" s="7">
        <v>129</v>
      </c>
      <c r="L77" s="7">
        <v>129</v>
      </c>
      <c r="M77" s="7">
        <v>129</v>
      </c>
      <c r="N77" s="7">
        <v>129</v>
      </c>
      <c r="O77" s="7">
        <v>129</v>
      </c>
      <c r="P77" s="7">
        <v>129</v>
      </c>
      <c r="Q77" s="7">
        <v>129</v>
      </c>
      <c r="R77" s="7">
        <v>129</v>
      </c>
      <c r="S77" s="7">
        <v>103.2</v>
      </c>
      <c r="T77" s="7">
        <v>0</v>
      </c>
      <c r="U77" s="7">
        <v>0</v>
      </c>
      <c r="V77" s="7">
        <v>0</v>
      </c>
      <c r="W77" s="7">
        <v>0</v>
      </c>
      <c r="X77" s="7">
        <v>0</v>
      </c>
      <c r="Y77" s="7">
        <v>0</v>
      </c>
      <c r="Z77" s="7">
        <v>0</v>
      </c>
      <c r="AA77" s="7">
        <v>0</v>
      </c>
      <c r="AB77" s="7">
        <v>0</v>
      </c>
      <c r="AC77" s="7">
        <v>0</v>
      </c>
      <c r="AD77" s="7">
        <v>0</v>
      </c>
      <c r="AE77" s="7">
        <v>0</v>
      </c>
      <c r="AF77" s="7">
        <v>0</v>
      </c>
      <c r="AG77" s="7">
        <v>0</v>
      </c>
      <c r="AH77" s="7">
        <v>0</v>
      </c>
      <c r="AI77" s="7">
        <v>0</v>
      </c>
      <c r="AJ77" s="7">
        <v>0</v>
      </c>
      <c r="AK77" s="7">
        <v>0</v>
      </c>
      <c r="AL77" s="7">
        <v>0</v>
      </c>
      <c r="AM77" s="7">
        <v>0</v>
      </c>
      <c r="AN77" s="27">
        <v>74</v>
      </c>
      <c r="AP77" s="111"/>
      <c r="AQ77" s="110">
        <f t="shared" si="492"/>
        <v>4.4699999999999989</v>
      </c>
      <c r="AR77" s="110">
        <f t="shared" si="493"/>
        <v>18.920000000000002</v>
      </c>
      <c r="AS77" s="110">
        <f t="shared" si="494"/>
        <v>-6</v>
      </c>
      <c r="AT77" s="110">
        <f t="shared" si="495"/>
        <v>0</v>
      </c>
      <c r="AU77" s="110">
        <f t="shared" si="496"/>
        <v>0</v>
      </c>
      <c r="AV77" s="110">
        <f t="shared" si="497"/>
        <v>-129</v>
      </c>
      <c r="AW77" s="110">
        <f t="shared" si="498"/>
        <v>0</v>
      </c>
      <c r="AX77" s="110">
        <f t="shared" si="499"/>
        <v>0</v>
      </c>
      <c r="AY77" s="110">
        <f t="shared" si="500"/>
        <v>0</v>
      </c>
      <c r="AZ77" s="110">
        <f t="shared" si="501"/>
        <v>0</v>
      </c>
      <c r="BA77" s="110">
        <f t="shared" si="502"/>
        <v>0</v>
      </c>
      <c r="BB77" s="110">
        <f t="shared" si="503"/>
        <v>0</v>
      </c>
      <c r="BD77" s="109" cm="1">
        <f t="array" ref="BD77">+IFERROR(INDEX($C$3:$AM$3,MATCH(TRUE,INDEX($C77:$AM77&lt;&gt;0,0),0)),"N/A")</f>
        <v>44926</v>
      </c>
      <c r="BE77" s="112"/>
      <c r="BF77" s="1" t="str" cm="1">
        <f t="array" ref="BF77">+_xlfn.IFS(BT77&lt;&gt;0,BT$2,CH77&lt;&gt;0,CH$2,CV77&lt;&gt;0,CV$2,DJ77&lt;&gt;0,DJ$2,TRUE,"")</f>
        <v>Upsell</v>
      </c>
      <c r="BG77" s="1" t="str" cm="1">
        <f t="array" ref="BG77">+_xlfn.IFS(BU77&lt;&gt;0,BU$2,CI77&lt;&gt;0,CI$2,CW77&lt;&gt;0,CW$2,DK77&lt;&gt;0,DK$2,TRUE,"")</f>
        <v>Upsell</v>
      </c>
      <c r="BH77" s="1" t="str" cm="1">
        <f t="array" ref="BH77">+_xlfn.IFS(BV77&lt;&gt;0,BV$2,CJ77&lt;&gt;0,CJ$2,CX77&lt;&gt;0,CX$2,DL77&lt;&gt;0,DL$2,TRUE,"")</f>
        <v>Downsell</v>
      </c>
      <c r="BI77" s="1" t="str" cm="1">
        <f t="array" ref="BI77">+_xlfn.IFS(BW77&lt;&gt;0,BW$2,CK77&lt;&gt;0,CK$2,CY77&lt;&gt;0,CY$2,DM77&lt;&gt;0,DM$2,TRUE,"")</f>
        <v/>
      </c>
      <c r="BJ77" s="1" t="str" cm="1">
        <f t="array" ref="BJ77">+_xlfn.IFS(BX77&lt;&gt;0,BX$2,CL77&lt;&gt;0,CL$2,CZ77&lt;&gt;0,CZ$2,DN77&lt;&gt;0,DN$2,TRUE,"")</f>
        <v/>
      </c>
      <c r="BK77" s="1" t="str" cm="1">
        <f t="array" ref="BK77">+_xlfn.IFS(BY77&lt;&gt;0,BY$2,CM77&lt;&gt;0,CM$2,DA77&lt;&gt;0,DA$2,DO77&lt;&gt;0,DO$2,TRUE,"")</f>
        <v>Churn</v>
      </c>
      <c r="BL77" s="1" t="str" cm="1">
        <f t="array" ref="BL77">+_xlfn.IFS(BZ77&lt;&gt;0,BZ$2,CN77&lt;&gt;0,CN$2,DB77&lt;&gt;0,DB$2,DP77&lt;&gt;0,DP$2,TRUE,"")</f>
        <v/>
      </c>
      <c r="BM77" s="1" t="str" cm="1">
        <f t="array" ref="BM77">+_xlfn.IFS(CA77&lt;&gt;0,CA$2,CO77&lt;&gt;0,CO$2,DC77&lt;&gt;0,DC$2,DQ77&lt;&gt;0,DQ$2,TRUE,"")</f>
        <v/>
      </c>
      <c r="BN77" s="1" t="str" cm="1">
        <f t="array" ref="BN77">+_xlfn.IFS(CB77&lt;&gt;0,CB$2,CP77&lt;&gt;0,CP$2,DD77&lt;&gt;0,DD$2,DR77&lt;&gt;0,DR$2,TRUE,"")</f>
        <v/>
      </c>
      <c r="BO77" s="1" t="str" cm="1">
        <f t="array" ref="BO77">+_xlfn.IFS(CC77&lt;&gt;0,CC$2,CQ77&lt;&gt;0,CQ$2,DE77&lt;&gt;0,DE$2,DS77&lt;&gt;0,DS$2,TRUE,"")</f>
        <v/>
      </c>
      <c r="BP77" s="1" t="str" cm="1">
        <f t="array" ref="BP77">+_xlfn.IFS(CD77&lt;&gt;0,CD$2,CR77&lt;&gt;0,CR$2,DF77&lt;&gt;0,DF$2,DT77&lt;&gt;0,DT$2,TRUE,"")</f>
        <v/>
      </c>
      <c r="BQ77" s="1" t="str" cm="1">
        <f t="array" ref="BQ77">+_xlfn.IFS(CE77&lt;&gt;0,CE$2,CS77&lt;&gt;0,CS$2,DG77&lt;&gt;0,DG$2,DU77&lt;&gt;0,DU$2,TRUE,"")</f>
        <v/>
      </c>
      <c r="BS77" s="111"/>
      <c r="BT77" s="110">
        <f t="shared" si="504"/>
        <v>0</v>
      </c>
      <c r="BU77" s="110">
        <f t="shared" si="505"/>
        <v>0</v>
      </c>
      <c r="BV77" s="110">
        <f t="shared" si="506"/>
        <v>0</v>
      </c>
      <c r="BW77" s="110">
        <f t="shared" si="507"/>
        <v>0</v>
      </c>
      <c r="BX77" s="110">
        <f t="shared" si="508"/>
        <v>0</v>
      </c>
      <c r="BY77" s="110">
        <f t="shared" si="509"/>
        <v>0</v>
      </c>
      <c r="BZ77" s="110">
        <f t="shared" si="510"/>
        <v>0</v>
      </c>
      <c r="CA77" s="110">
        <f t="shared" si="511"/>
        <v>0</v>
      </c>
      <c r="CB77" s="110">
        <f t="shared" si="512"/>
        <v>0</v>
      </c>
      <c r="CC77" s="110">
        <f t="shared" si="513"/>
        <v>0</v>
      </c>
      <c r="CD77" s="110">
        <f t="shared" si="514"/>
        <v>0</v>
      </c>
      <c r="CE77" s="110">
        <f t="shared" si="515"/>
        <v>0</v>
      </c>
      <c r="CG77" s="111"/>
      <c r="CH77" s="110">
        <f t="shared" si="516"/>
        <v>0</v>
      </c>
      <c r="CI77" s="110">
        <f t="shared" si="517"/>
        <v>0</v>
      </c>
      <c r="CJ77" s="110">
        <f t="shared" si="518"/>
        <v>0</v>
      </c>
      <c r="CK77" s="110">
        <f t="shared" si="519"/>
        <v>0</v>
      </c>
      <c r="CL77" s="110">
        <f t="shared" si="520"/>
        <v>0</v>
      </c>
      <c r="CM77" s="110">
        <f t="shared" si="521"/>
        <v>-129</v>
      </c>
      <c r="CN77" s="110">
        <f t="shared" si="522"/>
        <v>0</v>
      </c>
      <c r="CO77" s="110">
        <f t="shared" si="523"/>
        <v>0</v>
      </c>
      <c r="CP77" s="110">
        <f t="shared" si="524"/>
        <v>0</v>
      </c>
      <c r="CQ77" s="110">
        <f t="shared" si="525"/>
        <v>0</v>
      </c>
      <c r="CR77" s="110">
        <f t="shared" si="526"/>
        <v>0</v>
      </c>
      <c r="CS77" s="110">
        <f t="shared" si="527"/>
        <v>0</v>
      </c>
      <c r="CU77" s="111"/>
      <c r="CV77" s="110">
        <f t="shared" si="528"/>
        <v>0</v>
      </c>
      <c r="CW77" s="110">
        <f t="shared" si="529"/>
        <v>0</v>
      </c>
      <c r="CX77" s="110">
        <f t="shared" si="530"/>
        <v>-6</v>
      </c>
      <c r="CY77" s="110">
        <f t="shared" si="531"/>
        <v>0</v>
      </c>
      <c r="CZ77" s="110">
        <f t="shared" si="532"/>
        <v>0</v>
      </c>
      <c r="DA77" s="110">
        <f t="shared" si="533"/>
        <v>0</v>
      </c>
      <c r="DB77" s="110">
        <f t="shared" si="534"/>
        <v>0</v>
      </c>
      <c r="DC77" s="110">
        <f t="shared" si="535"/>
        <v>0</v>
      </c>
      <c r="DD77" s="110">
        <f t="shared" si="536"/>
        <v>0</v>
      </c>
      <c r="DE77" s="110">
        <f t="shared" si="537"/>
        <v>0</v>
      </c>
      <c r="DF77" s="110">
        <f t="shared" si="538"/>
        <v>0</v>
      </c>
      <c r="DG77" s="110">
        <f t="shared" si="539"/>
        <v>0</v>
      </c>
      <c r="DI77" s="111"/>
      <c r="DJ77" s="110">
        <f t="shared" si="540"/>
        <v>4.4699999999999989</v>
      </c>
      <c r="DK77" s="110">
        <f t="shared" si="541"/>
        <v>18.920000000000002</v>
      </c>
      <c r="DL77" s="110">
        <f t="shared" si="542"/>
        <v>0</v>
      </c>
      <c r="DM77" s="110">
        <f t="shared" si="543"/>
        <v>0</v>
      </c>
      <c r="DN77" s="110">
        <f t="shared" si="544"/>
        <v>0</v>
      </c>
      <c r="DO77" s="110">
        <f t="shared" si="545"/>
        <v>0</v>
      </c>
      <c r="DP77" s="110">
        <f t="shared" si="546"/>
        <v>0</v>
      </c>
      <c r="DQ77" s="110">
        <f t="shared" si="547"/>
        <v>0</v>
      </c>
      <c r="DR77" s="110">
        <f t="shared" si="548"/>
        <v>0</v>
      </c>
      <c r="DS77" s="110">
        <f t="shared" si="549"/>
        <v>0</v>
      </c>
      <c r="DT77" s="110">
        <f t="shared" si="550"/>
        <v>0</v>
      </c>
      <c r="DU77" s="110">
        <f t="shared" si="551"/>
        <v>0</v>
      </c>
      <c r="DW77" s="111"/>
      <c r="DX77" s="110">
        <f t="shared" si="552"/>
        <v>0</v>
      </c>
      <c r="DY77" s="110">
        <f t="shared" si="553"/>
        <v>0</v>
      </c>
      <c r="DZ77" s="110">
        <f t="shared" si="554"/>
        <v>0</v>
      </c>
      <c r="EA77" s="110">
        <f t="shared" si="555"/>
        <v>0</v>
      </c>
      <c r="EB77" s="110">
        <f t="shared" si="556"/>
        <v>0</v>
      </c>
      <c r="EC77" s="110">
        <f t="shared" si="557"/>
        <v>0</v>
      </c>
      <c r="ED77" s="110">
        <f t="shared" si="558"/>
        <v>0</v>
      </c>
      <c r="EE77" s="110">
        <f t="shared" si="559"/>
        <v>0</v>
      </c>
      <c r="EF77" s="110">
        <f t="shared" si="560"/>
        <v>0</v>
      </c>
      <c r="EG77" s="110">
        <f t="shared" si="561"/>
        <v>0</v>
      </c>
      <c r="EH77" s="110">
        <f t="shared" si="562"/>
        <v>0</v>
      </c>
      <c r="EI77" s="110">
        <f t="shared" si="563"/>
        <v>0</v>
      </c>
      <c r="EK77" s="111"/>
      <c r="EL77" s="110">
        <f t="shared" si="564"/>
        <v>17.39</v>
      </c>
      <c r="EM77" s="110">
        <f t="shared" si="565"/>
        <v>-129</v>
      </c>
      <c r="EN77" s="110">
        <f t="shared" si="566"/>
        <v>0</v>
      </c>
      <c r="EP77" s="109" cm="1">
        <f t="array" ref="EP77">+IFERROR(INDEX($C$3:$AM$3,MATCH(TRUE,INDEX($C77:$AM77&lt;&gt;0,0),0)),"N/A")</f>
        <v>44926</v>
      </c>
      <c r="EQ77" s="112"/>
      <c r="ER77" s="1" t="str" cm="1">
        <f t="array" ref="ER77">+_xlfn.IFS(EW77&lt;&gt;0,EW$2,FB77&lt;&gt;0,FB$2,FG77&lt;&gt;0,FG$2,FL77&lt;&gt;0,FL$2,TRUE,"")</f>
        <v>Upsell</v>
      </c>
      <c r="ES77" s="1" t="str" cm="1">
        <f t="array" ref="ES77">+_xlfn.IFS(EX77&lt;&gt;0,EX$2,FC77&lt;&gt;0,FC$2,FH77&lt;&gt;0,FH$2,FM77&lt;&gt;0,FM$2,TRUE,"")</f>
        <v>Churn</v>
      </c>
      <c r="ET77" s="1" t="str" cm="1">
        <f t="array" ref="ET77">+_xlfn.IFS(EY77&lt;&gt;0,EY$2,FD77&lt;&gt;0,FD$2,FI77&lt;&gt;0,FI$2,FN77&lt;&gt;0,FN$2,TRUE,"")</f>
        <v/>
      </c>
      <c r="EV77" s="111"/>
      <c r="EW77" s="110">
        <f t="shared" si="567"/>
        <v>0</v>
      </c>
      <c r="EX77" s="110">
        <f t="shared" si="568"/>
        <v>0</v>
      </c>
      <c r="EY77" s="110">
        <f t="shared" si="569"/>
        <v>0</v>
      </c>
      <c r="FA77" s="111"/>
      <c r="FB77" s="110">
        <f t="shared" si="570"/>
        <v>0</v>
      </c>
      <c r="FC77" s="110">
        <f t="shared" si="571"/>
        <v>-129</v>
      </c>
      <c r="FD77" s="110">
        <f t="shared" si="572"/>
        <v>0</v>
      </c>
      <c r="FF77" s="111"/>
      <c r="FG77" s="110">
        <f t="shared" si="573"/>
        <v>0</v>
      </c>
      <c r="FH77" s="110">
        <f t="shared" si="574"/>
        <v>0</v>
      </c>
      <c r="FI77" s="110">
        <f t="shared" si="575"/>
        <v>0</v>
      </c>
      <c r="FK77" s="111"/>
      <c r="FL77" s="110">
        <f t="shared" si="576"/>
        <v>17.39</v>
      </c>
      <c r="FM77" s="110">
        <f t="shared" si="577"/>
        <v>0</v>
      </c>
      <c r="FN77" s="110">
        <f t="shared" si="578"/>
        <v>0</v>
      </c>
      <c r="FP77" s="111"/>
      <c r="FQ77" s="110">
        <f t="shared" si="579"/>
        <v>0</v>
      </c>
      <c r="FR77" s="110">
        <f t="shared" si="580"/>
        <v>0</v>
      </c>
      <c r="FS77" s="110">
        <f t="shared" si="581"/>
        <v>0</v>
      </c>
      <c r="FU77" s="111">
        <f t="shared" si="582"/>
        <v>17.39</v>
      </c>
      <c r="FV77" s="110">
        <f t="shared" si="583"/>
        <v>17.39</v>
      </c>
      <c r="FW77" s="110">
        <f t="shared" si="584"/>
        <v>16.189999999999998</v>
      </c>
      <c r="FX77" s="110">
        <f t="shared" si="585"/>
        <v>12.920000000000002</v>
      </c>
      <c r="FY77" s="110">
        <f t="shared" si="586"/>
        <v>-11.980000000000004</v>
      </c>
      <c r="FZ77" s="110">
        <f t="shared" si="587"/>
        <v>-134.98000000000002</v>
      </c>
      <c r="GA77" s="110">
        <f t="shared" si="588"/>
        <v>-135</v>
      </c>
      <c r="GB77" s="110">
        <f t="shared" si="589"/>
        <v>-129</v>
      </c>
      <c r="GC77" s="110">
        <f t="shared" si="590"/>
        <v>-129</v>
      </c>
      <c r="GD77" s="110">
        <f t="shared" si="591"/>
        <v>-129</v>
      </c>
      <c r="GE77" s="110">
        <f t="shared" si="592"/>
        <v>-129</v>
      </c>
      <c r="GF77" s="110">
        <f t="shared" si="593"/>
        <v>-129</v>
      </c>
      <c r="GG77" s="110">
        <f t="shared" si="594"/>
        <v>-129</v>
      </c>
      <c r="GH77" s="110">
        <f t="shared" si="595"/>
        <v>-129</v>
      </c>
      <c r="GI77" s="110">
        <f t="shared" si="596"/>
        <v>-129</v>
      </c>
      <c r="GJ77" s="110">
        <f t="shared" si="597"/>
        <v>-129</v>
      </c>
      <c r="GK77" s="110">
        <f t="shared" si="598"/>
        <v>-103.2</v>
      </c>
      <c r="GL77" s="110">
        <f t="shared" si="599"/>
        <v>0</v>
      </c>
      <c r="GM77" s="110">
        <f t="shared" si="600"/>
        <v>0</v>
      </c>
      <c r="GN77" s="110">
        <f t="shared" si="601"/>
        <v>0</v>
      </c>
      <c r="GO77" s="110">
        <f t="shared" si="602"/>
        <v>0</v>
      </c>
      <c r="GP77" s="110">
        <f t="shared" si="603"/>
        <v>0</v>
      </c>
      <c r="GQ77" s="110">
        <f t="shared" si="604"/>
        <v>0</v>
      </c>
      <c r="GR77" s="110">
        <f t="shared" si="605"/>
        <v>0</v>
      </c>
      <c r="GS77" s="110">
        <f t="shared" si="606"/>
        <v>0</v>
      </c>
      <c r="GU77" s="109" cm="1">
        <f t="array" ref="GU77">+IFERROR(INDEX($C$3:$AM$3,MATCH(TRUE,INDEX($C77:$AM77&lt;&gt;0,0),0)),"N/A")</f>
        <v>44926</v>
      </c>
      <c r="GV77" s="112" t="str" cm="1">
        <f t="array" ref="GV77">+_xlfn.IFS(HV77&lt;&gt;0,HV$2,IV77&lt;&gt;0,IV$2,JV77&lt;&gt;0,JV$2,KV77&lt;&gt;0,KV$2,TRUE,"")</f>
        <v>Upsell</v>
      </c>
      <c r="GW77" s="1" t="str" cm="1">
        <f t="array" ref="GW77">+_xlfn.IFS(HW77&lt;&gt;0,HW$2,IW77&lt;&gt;0,IW$2,JW77&lt;&gt;0,JW$2,KW77&lt;&gt;0,KW$2,TRUE,"")</f>
        <v>Upsell</v>
      </c>
      <c r="GX77" s="1" t="str" cm="1">
        <f t="array" ref="GX77">+_xlfn.IFS(HX77&lt;&gt;0,HX$2,IX77&lt;&gt;0,IX$2,JX77&lt;&gt;0,JX$2,KX77&lt;&gt;0,KX$2,TRUE,"")</f>
        <v>Upsell</v>
      </c>
      <c r="GY77" s="1" t="str" cm="1">
        <f t="array" ref="GY77">+_xlfn.IFS(HY77&lt;&gt;0,HY$2,IY77&lt;&gt;0,IY$2,JY77&lt;&gt;0,JY$2,KY77&lt;&gt;0,KY$2,TRUE,"")</f>
        <v>Upsell</v>
      </c>
      <c r="GZ77" s="1" t="str" cm="1">
        <f t="array" ref="GZ77">+_xlfn.IFS(HZ77&lt;&gt;0,HZ$2,IZ77&lt;&gt;0,IZ$2,JZ77&lt;&gt;0,JZ$2,KZ77&lt;&gt;0,KZ$2,TRUE,"")</f>
        <v>Downsell</v>
      </c>
      <c r="HA77" s="1" t="str" cm="1">
        <f t="array" ref="HA77">+_xlfn.IFS(IA77&lt;&gt;0,IA$2,JA77&lt;&gt;0,JA$2,KA77&lt;&gt;0,KA$2,LA77&lt;&gt;0,LA$2,TRUE,"")</f>
        <v>Churn</v>
      </c>
      <c r="HB77" s="1" t="str" cm="1">
        <f t="array" ref="HB77">+_xlfn.IFS(IB77&lt;&gt;0,IB$2,JB77&lt;&gt;0,JB$2,KB77&lt;&gt;0,KB$2,LB77&lt;&gt;0,LB$2,TRUE,"")</f>
        <v>Churn</v>
      </c>
      <c r="HC77" s="1" t="str" cm="1">
        <f t="array" ref="HC77">+_xlfn.IFS(IC77&lt;&gt;0,IC$2,JC77&lt;&gt;0,JC$2,KC77&lt;&gt;0,KC$2,LC77&lt;&gt;0,LC$2,TRUE,"")</f>
        <v>Churn</v>
      </c>
      <c r="HD77" s="1" t="str" cm="1">
        <f t="array" ref="HD77">+_xlfn.IFS(ID77&lt;&gt;0,ID$2,JD77&lt;&gt;0,JD$2,KD77&lt;&gt;0,KD$2,LD77&lt;&gt;0,LD$2,TRUE,"")</f>
        <v>Churn</v>
      </c>
      <c r="HE77" s="1" t="str" cm="1">
        <f t="array" ref="HE77">+_xlfn.IFS(IE77&lt;&gt;0,IE$2,JE77&lt;&gt;0,JE$2,KE77&lt;&gt;0,KE$2,LE77&lt;&gt;0,LE$2,TRUE,"")</f>
        <v>Churn</v>
      </c>
      <c r="HF77" s="1" t="str" cm="1">
        <f t="array" ref="HF77">+_xlfn.IFS(IF77&lt;&gt;0,IF$2,JF77&lt;&gt;0,JF$2,KF77&lt;&gt;0,KF$2,LF77&lt;&gt;0,LF$2,TRUE,"")</f>
        <v>Churn</v>
      </c>
      <c r="HG77" s="1" t="str" cm="1">
        <f t="array" ref="HG77">+_xlfn.IFS(IG77&lt;&gt;0,IG$2,JG77&lt;&gt;0,JG$2,KG77&lt;&gt;0,KG$2,LG77&lt;&gt;0,LG$2,TRUE,"")</f>
        <v>Churn</v>
      </c>
      <c r="HH77" s="1" t="str" cm="1">
        <f t="array" ref="HH77">+_xlfn.IFS(IH77&lt;&gt;0,IH$2,JH77&lt;&gt;0,JH$2,KH77&lt;&gt;0,KH$2,LH77&lt;&gt;0,LH$2,TRUE,"")</f>
        <v>Churn</v>
      </c>
      <c r="HI77" s="1" t="str" cm="1">
        <f t="array" ref="HI77">+_xlfn.IFS(II77&lt;&gt;0,II$2,JI77&lt;&gt;0,JI$2,KI77&lt;&gt;0,KI$2,LI77&lt;&gt;0,LI$2,TRUE,"")</f>
        <v>Churn</v>
      </c>
      <c r="HJ77" s="1" t="str" cm="1">
        <f t="array" ref="HJ77">+_xlfn.IFS(IJ77&lt;&gt;0,IJ$2,JJ77&lt;&gt;0,JJ$2,KJ77&lt;&gt;0,KJ$2,LJ77&lt;&gt;0,LJ$2,TRUE,"")</f>
        <v>Churn</v>
      </c>
      <c r="HK77" s="1" t="str" cm="1">
        <f t="array" ref="HK77">+_xlfn.IFS(IK77&lt;&gt;0,IK$2,JK77&lt;&gt;0,JK$2,KK77&lt;&gt;0,KK$2,LK77&lt;&gt;0,LK$2,TRUE,"")</f>
        <v>Churn</v>
      </c>
      <c r="HL77" s="1" t="str" cm="1">
        <f t="array" ref="HL77">+_xlfn.IFS(IL77&lt;&gt;0,IL$2,JL77&lt;&gt;0,JL$2,KL77&lt;&gt;0,KL$2,LL77&lt;&gt;0,LL$2,TRUE,"")</f>
        <v>Churn</v>
      </c>
      <c r="HM77" s="1" t="str" cm="1">
        <f t="array" ref="HM77">+_xlfn.IFS(IM77&lt;&gt;0,IM$2,JM77&lt;&gt;0,JM$2,KM77&lt;&gt;0,KM$2,LM77&lt;&gt;0,LM$2,TRUE,"")</f>
        <v/>
      </c>
      <c r="HN77" s="1" t="str" cm="1">
        <f t="array" ref="HN77">+_xlfn.IFS(IN77&lt;&gt;0,IN$2,JN77&lt;&gt;0,JN$2,KN77&lt;&gt;0,KN$2,LN77&lt;&gt;0,LN$2,TRUE,"")</f>
        <v/>
      </c>
      <c r="HO77" s="1" t="str" cm="1">
        <f t="array" ref="HO77">+_xlfn.IFS(IO77&lt;&gt;0,IO$2,JO77&lt;&gt;0,JO$2,KO77&lt;&gt;0,KO$2,LO77&lt;&gt;0,LO$2,TRUE,"")</f>
        <v/>
      </c>
      <c r="HP77" s="1" t="str" cm="1">
        <f t="array" ref="HP77">+_xlfn.IFS(IP77&lt;&gt;0,IP$2,JP77&lt;&gt;0,JP$2,KP77&lt;&gt;0,KP$2,LP77&lt;&gt;0,LP$2,TRUE,"")</f>
        <v/>
      </c>
      <c r="HQ77" s="1" t="str" cm="1">
        <f t="array" ref="HQ77">+_xlfn.IFS(IQ77&lt;&gt;0,IQ$2,JQ77&lt;&gt;0,JQ$2,KQ77&lt;&gt;0,KQ$2,LQ77&lt;&gt;0,LQ$2,TRUE,"")</f>
        <v/>
      </c>
      <c r="HR77" s="1" t="str" cm="1">
        <f t="array" ref="HR77">+_xlfn.IFS(IR77&lt;&gt;0,IR$2,JR77&lt;&gt;0,JR$2,KR77&lt;&gt;0,KR$2,LR77&lt;&gt;0,LR$2,TRUE,"")</f>
        <v/>
      </c>
      <c r="HS77" s="1" t="str" cm="1">
        <f t="array" ref="HS77">+_xlfn.IFS(IS77&lt;&gt;0,IS$2,JS77&lt;&gt;0,JS$2,KS77&lt;&gt;0,KS$2,LS77&lt;&gt;0,LS$2,TRUE,"")</f>
        <v/>
      </c>
      <c r="HT77" s="1" t="str" cm="1">
        <f t="array" ref="HT77">+_xlfn.IFS(IT77&lt;&gt;0,IT$2,JT77&lt;&gt;0,JT$2,KT77&lt;&gt;0,KT$2,LT77&lt;&gt;0,LT$2,TRUE,"")</f>
        <v/>
      </c>
      <c r="HV77" s="111">
        <f t="shared" si="607"/>
        <v>0</v>
      </c>
      <c r="HW77" s="110">
        <f t="shared" si="608"/>
        <v>0</v>
      </c>
      <c r="HX77" s="110">
        <f t="shared" si="609"/>
        <v>0</v>
      </c>
      <c r="HY77" s="110">
        <f t="shared" si="610"/>
        <v>0</v>
      </c>
      <c r="HZ77" s="110">
        <f t="shared" si="611"/>
        <v>0</v>
      </c>
      <c r="IA77" s="110">
        <f t="shared" si="612"/>
        <v>0</v>
      </c>
      <c r="IB77" s="110">
        <f t="shared" si="613"/>
        <v>0</v>
      </c>
      <c r="IC77" s="110">
        <f t="shared" si="614"/>
        <v>0</v>
      </c>
      <c r="ID77" s="110">
        <f t="shared" si="615"/>
        <v>0</v>
      </c>
      <c r="IE77" s="110">
        <f t="shared" si="616"/>
        <v>0</v>
      </c>
      <c r="IF77" s="110">
        <f t="shared" si="617"/>
        <v>0</v>
      </c>
      <c r="IG77" s="110">
        <f t="shared" si="618"/>
        <v>0</v>
      </c>
      <c r="IH77" s="110">
        <f t="shared" si="619"/>
        <v>0</v>
      </c>
      <c r="II77" s="110">
        <f t="shared" si="620"/>
        <v>0</v>
      </c>
      <c r="IJ77" s="110">
        <f t="shared" si="621"/>
        <v>0</v>
      </c>
      <c r="IK77" s="110">
        <f t="shared" si="622"/>
        <v>0</v>
      </c>
      <c r="IL77" s="110">
        <f t="shared" si="623"/>
        <v>0</v>
      </c>
      <c r="IM77" s="110">
        <f t="shared" si="624"/>
        <v>0</v>
      </c>
      <c r="IN77" s="110">
        <f t="shared" si="625"/>
        <v>0</v>
      </c>
      <c r="IO77" s="110">
        <f t="shared" si="626"/>
        <v>0</v>
      </c>
      <c r="IP77" s="110">
        <f t="shared" si="627"/>
        <v>0</v>
      </c>
      <c r="IQ77" s="110">
        <f t="shared" si="628"/>
        <v>0</v>
      </c>
      <c r="IR77" s="110">
        <f t="shared" si="629"/>
        <v>0</v>
      </c>
      <c r="IS77" s="110">
        <f t="shared" si="630"/>
        <v>0</v>
      </c>
      <c r="IT77" s="110">
        <f t="shared" si="631"/>
        <v>0</v>
      </c>
      <c r="IV77" s="111">
        <f t="shared" si="632"/>
        <v>0</v>
      </c>
      <c r="IW77" s="110">
        <f t="shared" si="633"/>
        <v>0</v>
      </c>
      <c r="IX77" s="110">
        <f t="shared" si="634"/>
        <v>0</v>
      </c>
      <c r="IY77" s="110">
        <f t="shared" si="635"/>
        <v>0</v>
      </c>
      <c r="IZ77" s="110">
        <f t="shared" si="636"/>
        <v>0</v>
      </c>
      <c r="JA77" s="110">
        <f t="shared" si="637"/>
        <v>-134.98000000000002</v>
      </c>
      <c r="JB77" s="110">
        <f t="shared" si="638"/>
        <v>-135</v>
      </c>
      <c r="JC77" s="110">
        <f t="shared" si="639"/>
        <v>-129</v>
      </c>
      <c r="JD77" s="110">
        <f t="shared" si="640"/>
        <v>-129</v>
      </c>
      <c r="JE77" s="110">
        <f t="shared" si="641"/>
        <v>-129</v>
      </c>
      <c r="JF77" s="110">
        <f t="shared" si="642"/>
        <v>-129</v>
      </c>
      <c r="JG77" s="110">
        <f t="shared" si="643"/>
        <v>-129</v>
      </c>
      <c r="JH77" s="110">
        <f t="shared" si="644"/>
        <v>-129</v>
      </c>
      <c r="JI77" s="110">
        <f t="shared" si="645"/>
        <v>-129</v>
      </c>
      <c r="JJ77" s="110">
        <f t="shared" si="646"/>
        <v>-129</v>
      </c>
      <c r="JK77" s="110">
        <f t="shared" si="647"/>
        <v>-129</v>
      </c>
      <c r="JL77" s="110">
        <f t="shared" si="648"/>
        <v>-103.2</v>
      </c>
      <c r="JM77" s="110">
        <f t="shared" si="649"/>
        <v>0</v>
      </c>
      <c r="JN77" s="110">
        <f t="shared" si="650"/>
        <v>0</v>
      </c>
      <c r="JO77" s="110">
        <f t="shared" si="651"/>
        <v>0</v>
      </c>
      <c r="JP77" s="110">
        <f t="shared" si="652"/>
        <v>0</v>
      </c>
      <c r="JQ77" s="110">
        <f t="shared" si="653"/>
        <v>0</v>
      </c>
      <c r="JR77" s="110">
        <f t="shared" si="654"/>
        <v>0</v>
      </c>
      <c r="JS77" s="110">
        <f t="shared" si="655"/>
        <v>0</v>
      </c>
      <c r="JT77" s="110">
        <f t="shared" si="656"/>
        <v>0</v>
      </c>
      <c r="JV77" s="111">
        <f t="shared" si="657"/>
        <v>0</v>
      </c>
      <c r="JW77" s="110">
        <f t="shared" si="658"/>
        <v>0</v>
      </c>
      <c r="JX77" s="110">
        <f t="shared" si="659"/>
        <v>0</v>
      </c>
      <c r="JY77" s="110">
        <f t="shared" si="660"/>
        <v>0</v>
      </c>
      <c r="JZ77" s="110">
        <f t="shared" si="661"/>
        <v>-11.980000000000004</v>
      </c>
      <c r="KA77" s="110">
        <f t="shared" si="662"/>
        <v>0</v>
      </c>
      <c r="KB77" s="110">
        <f t="shared" si="663"/>
        <v>0</v>
      </c>
      <c r="KC77" s="110">
        <f t="shared" si="664"/>
        <v>0</v>
      </c>
      <c r="KD77" s="110">
        <f t="shared" si="665"/>
        <v>0</v>
      </c>
      <c r="KE77" s="110">
        <f t="shared" si="666"/>
        <v>0</v>
      </c>
      <c r="KF77" s="110">
        <f t="shared" si="667"/>
        <v>0</v>
      </c>
      <c r="KG77" s="110">
        <f t="shared" si="668"/>
        <v>0</v>
      </c>
      <c r="KH77" s="110">
        <f t="shared" si="669"/>
        <v>0</v>
      </c>
      <c r="KI77" s="110">
        <f t="shared" si="670"/>
        <v>0</v>
      </c>
      <c r="KJ77" s="110">
        <f t="shared" si="671"/>
        <v>0</v>
      </c>
      <c r="KK77" s="110">
        <f t="shared" si="672"/>
        <v>0</v>
      </c>
      <c r="KL77" s="110">
        <f t="shared" si="673"/>
        <v>0</v>
      </c>
      <c r="KM77" s="110">
        <f t="shared" si="674"/>
        <v>0</v>
      </c>
      <c r="KN77" s="110">
        <f t="shared" si="675"/>
        <v>0</v>
      </c>
      <c r="KO77" s="110">
        <f t="shared" si="676"/>
        <v>0</v>
      </c>
      <c r="KP77" s="110">
        <f t="shared" si="677"/>
        <v>0</v>
      </c>
      <c r="KQ77" s="110">
        <f t="shared" si="678"/>
        <v>0</v>
      </c>
      <c r="KR77" s="110">
        <f t="shared" si="679"/>
        <v>0</v>
      </c>
      <c r="KS77" s="110">
        <f t="shared" si="680"/>
        <v>0</v>
      </c>
      <c r="KT77" s="110">
        <f t="shared" si="681"/>
        <v>0</v>
      </c>
      <c r="KV77" s="111">
        <f t="shared" si="682"/>
        <v>17.39</v>
      </c>
      <c r="KW77" s="110">
        <f t="shared" si="683"/>
        <v>17.39</v>
      </c>
      <c r="KX77" s="110">
        <f t="shared" si="684"/>
        <v>16.189999999999998</v>
      </c>
      <c r="KY77" s="110">
        <f t="shared" si="685"/>
        <v>12.920000000000002</v>
      </c>
      <c r="KZ77" s="110">
        <f t="shared" si="686"/>
        <v>0</v>
      </c>
      <c r="LA77" s="110">
        <f t="shared" si="687"/>
        <v>0</v>
      </c>
      <c r="LB77" s="110">
        <f t="shared" si="688"/>
        <v>0</v>
      </c>
      <c r="LC77" s="110">
        <f t="shared" si="689"/>
        <v>0</v>
      </c>
      <c r="LD77" s="110">
        <f t="shared" si="690"/>
        <v>0</v>
      </c>
      <c r="LE77" s="110">
        <f t="shared" si="691"/>
        <v>0</v>
      </c>
      <c r="LF77" s="110">
        <f t="shared" si="692"/>
        <v>0</v>
      </c>
      <c r="LG77" s="110">
        <f t="shared" si="693"/>
        <v>0</v>
      </c>
      <c r="LH77" s="110">
        <f t="shared" si="694"/>
        <v>0</v>
      </c>
      <c r="LI77" s="110">
        <f t="shared" si="695"/>
        <v>0</v>
      </c>
      <c r="LJ77" s="110">
        <f t="shared" si="696"/>
        <v>0</v>
      </c>
      <c r="LK77" s="110">
        <f t="shared" si="697"/>
        <v>0</v>
      </c>
      <c r="LL77" s="110">
        <f t="shared" si="698"/>
        <v>0</v>
      </c>
      <c r="LM77" s="110">
        <f t="shared" si="699"/>
        <v>0</v>
      </c>
      <c r="LN77" s="110">
        <f t="shared" si="700"/>
        <v>0</v>
      </c>
      <c r="LO77" s="110">
        <f t="shared" si="701"/>
        <v>0</v>
      </c>
      <c r="LP77" s="110">
        <f t="shared" si="702"/>
        <v>0</v>
      </c>
      <c r="LQ77" s="110">
        <f t="shared" si="703"/>
        <v>0</v>
      </c>
      <c r="LR77" s="110">
        <f t="shared" si="704"/>
        <v>0</v>
      </c>
      <c r="LS77" s="110">
        <f t="shared" si="705"/>
        <v>0</v>
      </c>
      <c r="LT77" s="110">
        <f t="shared" si="706"/>
        <v>0</v>
      </c>
      <c r="LV77" s="111"/>
      <c r="LW77" s="110">
        <f t="shared" si="707"/>
        <v>0</v>
      </c>
      <c r="LX77" s="110">
        <f t="shared" si="708"/>
        <v>0</v>
      </c>
      <c r="LY77" s="110">
        <f t="shared" si="709"/>
        <v>0</v>
      </c>
      <c r="LZ77" s="110">
        <f t="shared" si="710"/>
        <v>0</v>
      </c>
      <c r="MA77" s="110">
        <f t="shared" si="711"/>
        <v>0</v>
      </c>
      <c r="MB77" s="110">
        <f t="shared" si="712"/>
        <v>0</v>
      </c>
      <c r="MC77" s="110">
        <f t="shared" si="713"/>
        <v>0</v>
      </c>
      <c r="MD77" s="110">
        <f t="shared" si="714"/>
        <v>0</v>
      </c>
      <c r="ME77" s="110">
        <f t="shared" si="715"/>
        <v>0</v>
      </c>
      <c r="MF77" s="110">
        <f t="shared" si="716"/>
        <v>0</v>
      </c>
      <c r="MG77" s="110">
        <f t="shared" si="717"/>
        <v>0</v>
      </c>
      <c r="MH77" s="110">
        <f t="shared" si="718"/>
        <v>0</v>
      </c>
      <c r="MI77" s="110">
        <f t="shared" si="719"/>
        <v>0</v>
      </c>
      <c r="MJ77" s="110">
        <f t="shared" si="720"/>
        <v>0</v>
      </c>
      <c r="MK77" s="110">
        <f t="shared" si="721"/>
        <v>0</v>
      </c>
      <c r="ML77" s="110">
        <f t="shared" si="722"/>
        <v>0</v>
      </c>
      <c r="MM77" s="110">
        <f t="shared" si="723"/>
        <v>0</v>
      </c>
      <c r="MN77" s="110">
        <f t="shared" si="724"/>
        <v>0</v>
      </c>
      <c r="MO77" s="110">
        <f t="shared" si="725"/>
        <v>0</v>
      </c>
      <c r="MP77" s="110">
        <f t="shared" si="726"/>
        <v>0</v>
      </c>
      <c r="MQ77" s="110">
        <f t="shared" si="727"/>
        <v>0</v>
      </c>
      <c r="MR77" s="110">
        <f t="shared" si="728"/>
        <v>0</v>
      </c>
      <c r="MS77" s="110">
        <f t="shared" si="729"/>
        <v>0</v>
      </c>
      <c r="MT77" s="110">
        <f t="shared" si="730"/>
        <v>0</v>
      </c>
      <c r="MV77" s="114">
        <v>0</v>
      </c>
      <c r="MW77" s="114">
        <v>0</v>
      </c>
      <c r="MX77" s="114">
        <v>0</v>
      </c>
      <c r="MY77" s="114">
        <v>0</v>
      </c>
      <c r="MZ77" s="114">
        <v>0</v>
      </c>
      <c r="NB77" s="115" t="str">
        <v>N/A</v>
      </c>
      <c r="NC77" s="115" t="str">
        <v>N/A</v>
      </c>
      <c r="ND77" s="115" t="str">
        <v>N/A</v>
      </c>
      <c r="NE77" s="115" t="str">
        <v>N/A</v>
      </c>
      <c r="NF77" s="115" t="str">
        <v>N/A</v>
      </c>
    </row>
    <row r="78" spans="2:370" ht="13.5" x14ac:dyDescent="0.25">
      <c r="B78" s="8">
        <f t="shared" si="731"/>
        <v>75</v>
      </c>
      <c r="C78" s="7">
        <v>179</v>
      </c>
      <c r="D78" s="7">
        <v>179</v>
      </c>
      <c r="E78" s="7">
        <v>179</v>
      </c>
      <c r="F78" s="7">
        <v>179</v>
      </c>
      <c r="G78" s="7">
        <v>179</v>
      </c>
      <c r="H78" s="7">
        <v>179</v>
      </c>
      <c r="I78" s="7">
        <v>179</v>
      </c>
      <c r="J78" s="7">
        <v>179</v>
      </c>
      <c r="K78" s="7">
        <v>179</v>
      </c>
      <c r="L78" s="7">
        <v>179</v>
      </c>
      <c r="M78" s="7">
        <v>179</v>
      </c>
      <c r="N78" s="7">
        <v>179</v>
      </c>
      <c r="O78" s="7">
        <v>179</v>
      </c>
      <c r="P78" s="7">
        <v>179</v>
      </c>
      <c r="Q78" s="7">
        <v>179</v>
      </c>
      <c r="R78" s="7">
        <v>179</v>
      </c>
      <c r="S78" s="7">
        <v>179</v>
      </c>
      <c r="T78" s="7">
        <v>179</v>
      </c>
      <c r="U78" s="7">
        <v>179</v>
      </c>
      <c r="V78" s="7">
        <v>179</v>
      </c>
      <c r="W78" s="7">
        <v>179</v>
      </c>
      <c r="X78" s="7">
        <v>179</v>
      </c>
      <c r="Y78" s="7">
        <v>179</v>
      </c>
      <c r="Z78" s="7">
        <v>179</v>
      </c>
      <c r="AA78" s="7">
        <v>179</v>
      </c>
      <c r="AB78" s="7">
        <v>179</v>
      </c>
      <c r="AC78" s="7">
        <v>179</v>
      </c>
      <c r="AD78" s="7">
        <v>179</v>
      </c>
      <c r="AE78" s="7">
        <v>179</v>
      </c>
      <c r="AF78" s="7">
        <v>185.27</v>
      </c>
      <c r="AG78" s="7">
        <v>185.27</v>
      </c>
      <c r="AH78" s="7">
        <v>185.27</v>
      </c>
      <c r="AI78" s="7">
        <v>185.27</v>
      </c>
      <c r="AJ78" s="7">
        <v>185.27</v>
      </c>
      <c r="AK78" s="7">
        <v>185.27</v>
      </c>
      <c r="AL78" s="7">
        <v>185.27</v>
      </c>
      <c r="AM78" s="7">
        <v>185.27</v>
      </c>
      <c r="AN78" s="27">
        <v>75</v>
      </c>
      <c r="AP78" s="111"/>
      <c r="AQ78" s="110">
        <f t="shared" si="492"/>
        <v>0</v>
      </c>
      <c r="AR78" s="110">
        <f t="shared" si="493"/>
        <v>0</v>
      </c>
      <c r="AS78" s="110">
        <f t="shared" si="494"/>
        <v>0</v>
      </c>
      <c r="AT78" s="110">
        <f t="shared" si="495"/>
        <v>0</v>
      </c>
      <c r="AU78" s="110">
        <f t="shared" si="496"/>
        <v>0</v>
      </c>
      <c r="AV78" s="110">
        <f t="shared" si="497"/>
        <v>0</v>
      </c>
      <c r="AW78" s="110">
        <f t="shared" si="498"/>
        <v>0</v>
      </c>
      <c r="AX78" s="110">
        <f t="shared" si="499"/>
        <v>0</v>
      </c>
      <c r="AY78" s="110">
        <f t="shared" si="500"/>
        <v>0</v>
      </c>
      <c r="AZ78" s="110">
        <f t="shared" si="501"/>
        <v>6.2700000000000102</v>
      </c>
      <c r="BA78" s="110">
        <f t="shared" si="502"/>
        <v>0</v>
      </c>
      <c r="BB78" s="110">
        <f t="shared" si="503"/>
        <v>0</v>
      </c>
      <c r="BD78" s="109" cm="1">
        <f t="array" ref="BD78">+IFERROR(INDEX($C$3:$AM$3,MATCH(TRUE,INDEX($C78:$AM78&lt;&gt;0,0),0)),"N/A")</f>
        <v>44926</v>
      </c>
      <c r="BE78" s="112"/>
      <c r="BF78" s="1" t="str" cm="1">
        <f t="array" ref="BF78">+_xlfn.IFS(BT78&lt;&gt;0,BT$2,CH78&lt;&gt;0,CH$2,CV78&lt;&gt;0,CV$2,DJ78&lt;&gt;0,DJ$2,TRUE,"")</f>
        <v/>
      </c>
      <c r="BG78" s="1" t="str" cm="1">
        <f t="array" ref="BG78">+_xlfn.IFS(BU78&lt;&gt;0,BU$2,CI78&lt;&gt;0,CI$2,CW78&lt;&gt;0,CW$2,DK78&lt;&gt;0,DK$2,TRUE,"")</f>
        <v/>
      </c>
      <c r="BH78" s="1" t="str" cm="1">
        <f t="array" ref="BH78">+_xlfn.IFS(BV78&lt;&gt;0,BV$2,CJ78&lt;&gt;0,CJ$2,CX78&lt;&gt;0,CX$2,DL78&lt;&gt;0,DL$2,TRUE,"")</f>
        <v/>
      </c>
      <c r="BI78" s="1" t="str" cm="1">
        <f t="array" ref="BI78">+_xlfn.IFS(BW78&lt;&gt;0,BW$2,CK78&lt;&gt;0,CK$2,CY78&lt;&gt;0,CY$2,DM78&lt;&gt;0,DM$2,TRUE,"")</f>
        <v/>
      </c>
      <c r="BJ78" s="1" t="str" cm="1">
        <f t="array" ref="BJ78">+_xlfn.IFS(BX78&lt;&gt;0,BX$2,CL78&lt;&gt;0,CL$2,CZ78&lt;&gt;0,CZ$2,DN78&lt;&gt;0,DN$2,TRUE,"")</f>
        <v/>
      </c>
      <c r="BK78" s="1" t="str" cm="1">
        <f t="array" ref="BK78">+_xlfn.IFS(BY78&lt;&gt;0,BY$2,CM78&lt;&gt;0,CM$2,DA78&lt;&gt;0,DA$2,DO78&lt;&gt;0,DO$2,TRUE,"")</f>
        <v/>
      </c>
      <c r="BL78" s="1" t="str" cm="1">
        <f t="array" ref="BL78">+_xlfn.IFS(BZ78&lt;&gt;0,BZ$2,CN78&lt;&gt;0,CN$2,DB78&lt;&gt;0,DB$2,DP78&lt;&gt;0,DP$2,TRUE,"")</f>
        <v/>
      </c>
      <c r="BM78" s="1" t="str" cm="1">
        <f t="array" ref="BM78">+_xlfn.IFS(CA78&lt;&gt;0,CA$2,CO78&lt;&gt;0,CO$2,DC78&lt;&gt;0,DC$2,DQ78&lt;&gt;0,DQ$2,TRUE,"")</f>
        <v/>
      </c>
      <c r="BN78" s="1" t="str" cm="1">
        <f t="array" ref="BN78">+_xlfn.IFS(CB78&lt;&gt;0,CB$2,CP78&lt;&gt;0,CP$2,DD78&lt;&gt;0,DD$2,DR78&lt;&gt;0,DR$2,TRUE,"")</f>
        <v/>
      </c>
      <c r="BO78" s="1" t="str" cm="1">
        <f t="array" ref="BO78">+_xlfn.IFS(CC78&lt;&gt;0,CC$2,CQ78&lt;&gt;0,CQ$2,DE78&lt;&gt;0,DE$2,DS78&lt;&gt;0,DS$2,TRUE,"")</f>
        <v>Upsell</v>
      </c>
      <c r="BP78" s="1" t="str" cm="1">
        <f t="array" ref="BP78">+_xlfn.IFS(CD78&lt;&gt;0,CD$2,CR78&lt;&gt;0,CR$2,DF78&lt;&gt;0,DF$2,DT78&lt;&gt;0,DT$2,TRUE,"")</f>
        <v/>
      </c>
      <c r="BQ78" s="1" t="str" cm="1">
        <f t="array" ref="BQ78">+_xlfn.IFS(CE78&lt;&gt;0,CE$2,CS78&lt;&gt;0,CS$2,DG78&lt;&gt;0,DG$2,DU78&lt;&gt;0,DU$2,TRUE,"")</f>
        <v/>
      </c>
      <c r="BS78" s="111"/>
      <c r="BT78" s="110">
        <f t="shared" si="504"/>
        <v>0</v>
      </c>
      <c r="BU78" s="110">
        <f t="shared" si="505"/>
        <v>0</v>
      </c>
      <c r="BV78" s="110">
        <f t="shared" si="506"/>
        <v>0</v>
      </c>
      <c r="BW78" s="110">
        <f t="shared" si="507"/>
        <v>0</v>
      </c>
      <c r="BX78" s="110">
        <f t="shared" si="508"/>
        <v>0</v>
      </c>
      <c r="BY78" s="110">
        <f t="shared" si="509"/>
        <v>0</v>
      </c>
      <c r="BZ78" s="110">
        <f t="shared" si="510"/>
        <v>0</v>
      </c>
      <c r="CA78" s="110">
        <f t="shared" si="511"/>
        <v>0</v>
      </c>
      <c r="CB78" s="110">
        <f t="shared" si="512"/>
        <v>0</v>
      </c>
      <c r="CC78" s="110">
        <f t="shared" si="513"/>
        <v>0</v>
      </c>
      <c r="CD78" s="110">
        <f t="shared" si="514"/>
        <v>0</v>
      </c>
      <c r="CE78" s="110">
        <f t="shared" si="515"/>
        <v>0</v>
      </c>
      <c r="CG78" s="111"/>
      <c r="CH78" s="110">
        <f t="shared" si="516"/>
        <v>0</v>
      </c>
      <c r="CI78" s="110">
        <f t="shared" si="517"/>
        <v>0</v>
      </c>
      <c r="CJ78" s="110">
        <f t="shared" si="518"/>
        <v>0</v>
      </c>
      <c r="CK78" s="110">
        <f t="shared" si="519"/>
        <v>0</v>
      </c>
      <c r="CL78" s="110">
        <f t="shared" si="520"/>
        <v>0</v>
      </c>
      <c r="CM78" s="110">
        <f t="shared" si="521"/>
        <v>0</v>
      </c>
      <c r="CN78" s="110">
        <f t="shared" si="522"/>
        <v>0</v>
      </c>
      <c r="CO78" s="110">
        <f t="shared" si="523"/>
        <v>0</v>
      </c>
      <c r="CP78" s="110">
        <f t="shared" si="524"/>
        <v>0</v>
      </c>
      <c r="CQ78" s="110">
        <f t="shared" si="525"/>
        <v>0</v>
      </c>
      <c r="CR78" s="110">
        <f t="shared" si="526"/>
        <v>0</v>
      </c>
      <c r="CS78" s="110">
        <f t="shared" si="527"/>
        <v>0</v>
      </c>
      <c r="CU78" s="111"/>
      <c r="CV78" s="110">
        <f t="shared" si="528"/>
        <v>0</v>
      </c>
      <c r="CW78" s="110">
        <f t="shared" si="529"/>
        <v>0</v>
      </c>
      <c r="CX78" s="110">
        <f t="shared" si="530"/>
        <v>0</v>
      </c>
      <c r="CY78" s="110">
        <f t="shared" si="531"/>
        <v>0</v>
      </c>
      <c r="CZ78" s="110">
        <f t="shared" si="532"/>
        <v>0</v>
      </c>
      <c r="DA78" s="110">
        <f t="shared" si="533"/>
        <v>0</v>
      </c>
      <c r="DB78" s="110">
        <f t="shared" si="534"/>
        <v>0</v>
      </c>
      <c r="DC78" s="110">
        <f t="shared" si="535"/>
        <v>0</v>
      </c>
      <c r="DD78" s="110">
        <f t="shared" si="536"/>
        <v>0</v>
      </c>
      <c r="DE78" s="110">
        <f t="shared" si="537"/>
        <v>0</v>
      </c>
      <c r="DF78" s="110">
        <f t="shared" si="538"/>
        <v>0</v>
      </c>
      <c r="DG78" s="110">
        <f t="shared" si="539"/>
        <v>0</v>
      </c>
      <c r="DI78" s="111"/>
      <c r="DJ78" s="110">
        <f t="shared" si="540"/>
        <v>0</v>
      </c>
      <c r="DK78" s="110">
        <f t="shared" si="541"/>
        <v>0</v>
      </c>
      <c r="DL78" s="110">
        <f t="shared" si="542"/>
        <v>0</v>
      </c>
      <c r="DM78" s="110">
        <f t="shared" si="543"/>
        <v>0</v>
      </c>
      <c r="DN78" s="110">
        <f t="shared" si="544"/>
        <v>0</v>
      </c>
      <c r="DO78" s="110">
        <f t="shared" si="545"/>
        <v>0</v>
      </c>
      <c r="DP78" s="110">
        <f t="shared" si="546"/>
        <v>0</v>
      </c>
      <c r="DQ78" s="110">
        <f t="shared" si="547"/>
        <v>0</v>
      </c>
      <c r="DR78" s="110">
        <f t="shared" si="548"/>
        <v>0</v>
      </c>
      <c r="DS78" s="110">
        <f t="shared" si="549"/>
        <v>6.2700000000000102</v>
      </c>
      <c r="DT78" s="110">
        <f t="shared" si="550"/>
        <v>0</v>
      </c>
      <c r="DU78" s="110">
        <f t="shared" si="551"/>
        <v>0</v>
      </c>
      <c r="DW78" s="111"/>
      <c r="DX78" s="110">
        <f t="shared" si="552"/>
        <v>0</v>
      </c>
      <c r="DY78" s="110">
        <f t="shared" si="553"/>
        <v>0</v>
      </c>
      <c r="DZ78" s="110">
        <f t="shared" si="554"/>
        <v>0</v>
      </c>
      <c r="EA78" s="110">
        <f t="shared" si="555"/>
        <v>0</v>
      </c>
      <c r="EB78" s="110">
        <f t="shared" si="556"/>
        <v>0</v>
      </c>
      <c r="EC78" s="110">
        <f t="shared" si="557"/>
        <v>0</v>
      </c>
      <c r="ED78" s="110">
        <f t="shared" si="558"/>
        <v>0</v>
      </c>
      <c r="EE78" s="110">
        <f t="shared" si="559"/>
        <v>0</v>
      </c>
      <c r="EF78" s="110">
        <f t="shared" si="560"/>
        <v>0</v>
      </c>
      <c r="EG78" s="110">
        <f t="shared" si="561"/>
        <v>0</v>
      </c>
      <c r="EH78" s="110">
        <f t="shared" si="562"/>
        <v>0</v>
      </c>
      <c r="EI78" s="110">
        <f t="shared" si="563"/>
        <v>0</v>
      </c>
      <c r="EK78" s="111"/>
      <c r="EL78" s="110">
        <f t="shared" si="564"/>
        <v>0</v>
      </c>
      <c r="EM78" s="110">
        <f t="shared" si="565"/>
        <v>0</v>
      </c>
      <c r="EN78" s="110">
        <f t="shared" si="566"/>
        <v>6.2700000000000102</v>
      </c>
      <c r="EP78" s="109" cm="1">
        <f t="array" ref="EP78">+IFERROR(INDEX($C$3:$AM$3,MATCH(TRUE,INDEX($C78:$AM78&lt;&gt;0,0),0)),"N/A")</f>
        <v>44926</v>
      </c>
      <c r="EQ78" s="112"/>
      <c r="ER78" s="1" t="str" cm="1">
        <f t="array" ref="ER78">+_xlfn.IFS(EW78&lt;&gt;0,EW$2,FB78&lt;&gt;0,FB$2,FG78&lt;&gt;0,FG$2,FL78&lt;&gt;0,FL$2,TRUE,"")</f>
        <v/>
      </c>
      <c r="ES78" s="1" t="str" cm="1">
        <f t="array" ref="ES78">+_xlfn.IFS(EX78&lt;&gt;0,EX$2,FC78&lt;&gt;0,FC$2,FH78&lt;&gt;0,FH$2,FM78&lt;&gt;0,FM$2,TRUE,"")</f>
        <v/>
      </c>
      <c r="ET78" s="1" t="str" cm="1">
        <f t="array" ref="ET78">+_xlfn.IFS(EY78&lt;&gt;0,EY$2,FD78&lt;&gt;0,FD$2,FI78&lt;&gt;0,FI$2,FN78&lt;&gt;0,FN$2,TRUE,"")</f>
        <v>Upsell</v>
      </c>
      <c r="EV78" s="111"/>
      <c r="EW78" s="110">
        <f t="shared" si="567"/>
        <v>0</v>
      </c>
      <c r="EX78" s="110">
        <f t="shared" si="568"/>
        <v>0</v>
      </c>
      <c r="EY78" s="110">
        <f t="shared" si="569"/>
        <v>0</v>
      </c>
      <c r="FA78" s="111"/>
      <c r="FB78" s="110">
        <f t="shared" si="570"/>
        <v>0</v>
      </c>
      <c r="FC78" s="110">
        <f t="shared" si="571"/>
        <v>0</v>
      </c>
      <c r="FD78" s="110">
        <f t="shared" si="572"/>
        <v>0</v>
      </c>
      <c r="FF78" s="111"/>
      <c r="FG78" s="110">
        <f t="shared" si="573"/>
        <v>0</v>
      </c>
      <c r="FH78" s="110">
        <f t="shared" si="574"/>
        <v>0</v>
      </c>
      <c r="FI78" s="110">
        <f t="shared" si="575"/>
        <v>0</v>
      </c>
      <c r="FK78" s="111"/>
      <c r="FL78" s="110">
        <f t="shared" si="576"/>
        <v>0</v>
      </c>
      <c r="FM78" s="110">
        <f t="shared" si="577"/>
        <v>0</v>
      </c>
      <c r="FN78" s="110">
        <f t="shared" si="578"/>
        <v>6.2700000000000102</v>
      </c>
      <c r="FP78" s="111"/>
      <c r="FQ78" s="110">
        <f t="shared" si="579"/>
        <v>0</v>
      </c>
      <c r="FR78" s="110">
        <f t="shared" si="580"/>
        <v>0</v>
      </c>
      <c r="FS78" s="110">
        <f t="shared" si="581"/>
        <v>0</v>
      </c>
      <c r="FU78" s="111">
        <f t="shared" si="582"/>
        <v>0</v>
      </c>
      <c r="FV78" s="110">
        <f t="shared" si="583"/>
        <v>0</v>
      </c>
      <c r="FW78" s="110">
        <f t="shared" si="584"/>
        <v>0</v>
      </c>
      <c r="FX78" s="110">
        <f t="shared" si="585"/>
        <v>0</v>
      </c>
      <c r="FY78" s="110">
        <f t="shared" si="586"/>
        <v>0</v>
      </c>
      <c r="FZ78" s="110">
        <f t="shared" si="587"/>
        <v>0</v>
      </c>
      <c r="GA78" s="110">
        <f t="shared" si="588"/>
        <v>0</v>
      </c>
      <c r="GB78" s="110">
        <f t="shared" si="589"/>
        <v>0</v>
      </c>
      <c r="GC78" s="110">
        <f t="shared" si="590"/>
        <v>0</v>
      </c>
      <c r="GD78" s="110">
        <f t="shared" si="591"/>
        <v>0</v>
      </c>
      <c r="GE78" s="110">
        <f t="shared" si="592"/>
        <v>0</v>
      </c>
      <c r="GF78" s="110">
        <f t="shared" si="593"/>
        <v>0</v>
      </c>
      <c r="GG78" s="110">
        <f t="shared" si="594"/>
        <v>0</v>
      </c>
      <c r="GH78" s="110">
        <f t="shared" si="595"/>
        <v>0</v>
      </c>
      <c r="GI78" s="110">
        <f t="shared" si="596"/>
        <v>0</v>
      </c>
      <c r="GJ78" s="110">
        <f t="shared" si="597"/>
        <v>0</v>
      </c>
      <c r="GK78" s="110">
        <f t="shared" si="598"/>
        <v>0</v>
      </c>
      <c r="GL78" s="110">
        <f t="shared" si="599"/>
        <v>6.2700000000000102</v>
      </c>
      <c r="GM78" s="110">
        <f t="shared" si="600"/>
        <v>6.2700000000000102</v>
      </c>
      <c r="GN78" s="110">
        <f t="shared" si="601"/>
        <v>6.2700000000000102</v>
      </c>
      <c r="GO78" s="110">
        <f t="shared" si="602"/>
        <v>6.2700000000000102</v>
      </c>
      <c r="GP78" s="110">
        <f t="shared" si="603"/>
        <v>6.2700000000000102</v>
      </c>
      <c r="GQ78" s="110">
        <f t="shared" si="604"/>
        <v>6.2700000000000102</v>
      </c>
      <c r="GR78" s="110">
        <f t="shared" si="605"/>
        <v>6.2700000000000102</v>
      </c>
      <c r="GS78" s="110">
        <f t="shared" si="606"/>
        <v>6.2700000000000102</v>
      </c>
      <c r="GU78" s="109" cm="1">
        <f t="array" ref="GU78">+IFERROR(INDEX($C$3:$AM$3,MATCH(TRUE,INDEX($C78:$AM78&lt;&gt;0,0),0)),"N/A")</f>
        <v>44926</v>
      </c>
      <c r="GV78" s="112" t="str" cm="1">
        <f t="array" ref="GV78">+_xlfn.IFS(HV78&lt;&gt;0,HV$2,IV78&lt;&gt;0,IV$2,JV78&lt;&gt;0,JV$2,KV78&lt;&gt;0,KV$2,TRUE,"")</f>
        <v/>
      </c>
      <c r="GW78" s="1" t="str" cm="1">
        <f t="array" ref="GW78">+_xlfn.IFS(HW78&lt;&gt;0,HW$2,IW78&lt;&gt;0,IW$2,JW78&lt;&gt;0,JW$2,KW78&lt;&gt;0,KW$2,TRUE,"")</f>
        <v/>
      </c>
      <c r="GX78" s="1" t="str" cm="1">
        <f t="array" ref="GX78">+_xlfn.IFS(HX78&lt;&gt;0,HX$2,IX78&lt;&gt;0,IX$2,JX78&lt;&gt;0,JX$2,KX78&lt;&gt;0,KX$2,TRUE,"")</f>
        <v/>
      </c>
      <c r="GY78" s="1" t="str" cm="1">
        <f t="array" ref="GY78">+_xlfn.IFS(HY78&lt;&gt;0,HY$2,IY78&lt;&gt;0,IY$2,JY78&lt;&gt;0,JY$2,KY78&lt;&gt;0,KY$2,TRUE,"")</f>
        <v/>
      </c>
      <c r="GZ78" s="1" t="str" cm="1">
        <f t="array" ref="GZ78">+_xlfn.IFS(HZ78&lt;&gt;0,HZ$2,IZ78&lt;&gt;0,IZ$2,JZ78&lt;&gt;0,JZ$2,KZ78&lt;&gt;0,KZ$2,TRUE,"")</f>
        <v/>
      </c>
      <c r="HA78" s="1" t="str" cm="1">
        <f t="array" ref="HA78">+_xlfn.IFS(IA78&lt;&gt;0,IA$2,JA78&lt;&gt;0,JA$2,KA78&lt;&gt;0,KA$2,LA78&lt;&gt;0,LA$2,TRUE,"")</f>
        <v/>
      </c>
      <c r="HB78" s="1" t="str" cm="1">
        <f t="array" ref="HB78">+_xlfn.IFS(IB78&lt;&gt;0,IB$2,JB78&lt;&gt;0,JB$2,KB78&lt;&gt;0,KB$2,LB78&lt;&gt;0,LB$2,TRUE,"")</f>
        <v/>
      </c>
      <c r="HC78" s="1" t="str" cm="1">
        <f t="array" ref="HC78">+_xlfn.IFS(IC78&lt;&gt;0,IC$2,JC78&lt;&gt;0,JC$2,KC78&lt;&gt;0,KC$2,LC78&lt;&gt;0,LC$2,TRUE,"")</f>
        <v/>
      </c>
      <c r="HD78" s="1" t="str" cm="1">
        <f t="array" ref="HD78">+_xlfn.IFS(ID78&lt;&gt;0,ID$2,JD78&lt;&gt;0,JD$2,KD78&lt;&gt;0,KD$2,LD78&lt;&gt;0,LD$2,TRUE,"")</f>
        <v/>
      </c>
      <c r="HE78" s="1" t="str" cm="1">
        <f t="array" ref="HE78">+_xlfn.IFS(IE78&lt;&gt;0,IE$2,JE78&lt;&gt;0,JE$2,KE78&lt;&gt;0,KE$2,LE78&lt;&gt;0,LE$2,TRUE,"")</f>
        <v/>
      </c>
      <c r="HF78" s="1" t="str" cm="1">
        <f t="array" ref="HF78">+_xlfn.IFS(IF78&lt;&gt;0,IF$2,JF78&lt;&gt;0,JF$2,KF78&lt;&gt;0,KF$2,LF78&lt;&gt;0,LF$2,TRUE,"")</f>
        <v/>
      </c>
      <c r="HG78" s="1" t="str" cm="1">
        <f t="array" ref="HG78">+_xlfn.IFS(IG78&lt;&gt;0,IG$2,JG78&lt;&gt;0,JG$2,KG78&lt;&gt;0,KG$2,LG78&lt;&gt;0,LG$2,TRUE,"")</f>
        <v/>
      </c>
      <c r="HH78" s="1" t="str" cm="1">
        <f t="array" ref="HH78">+_xlfn.IFS(IH78&lt;&gt;0,IH$2,JH78&lt;&gt;0,JH$2,KH78&lt;&gt;0,KH$2,LH78&lt;&gt;0,LH$2,TRUE,"")</f>
        <v/>
      </c>
      <c r="HI78" s="1" t="str" cm="1">
        <f t="array" ref="HI78">+_xlfn.IFS(II78&lt;&gt;0,II$2,JI78&lt;&gt;0,JI$2,KI78&lt;&gt;0,KI$2,LI78&lt;&gt;0,LI$2,TRUE,"")</f>
        <v/>
      </c>
      <c r="HJ78" s="1" t="str" cm="1">
        <f t="array" ref="HJ78">+_xlfn.IFS(IJ78&lt;&gt;0,IJ$2,JJ78&lt;&gt;0,JJ$2,KJ78&lt;&gt;0,KJ$2,LJ78&lt;&gt;0,LJ$2,TRUE,"")</f>
        <v/>
      </c>
      <c r="HK78" s="1" t="str" cm="1">
        <f t="array" ref="HK78">+_xlfn.IFS(IK78&lt;&gt;0,IK$2,JK78&lt;&gt;0,JK$2,KK78&lt;&gt;0,KK$2,LK78&lt;&gt;0,LK$2,TRUE,"")</f>
        <v/>
      </c>
      <c r="HL78" s="1" t="str" cm="1">
        <f t="array" ref="HL78">+_xlfn.IFS(IL78&lt;&gt;0,IL$2,JL78&lt;&gt;0,JL$2,KL78&lt;&gt;0,KL$2,LL78&lt;&gt;0,LL$2,TRUE,"")</f>
        <v/>
      </c>
      <c r="HM78" s="1" t="str" cm="1">
        <f t="array" ref="HM78">+_xlfn.IFS(IM78&lt;&gt;0,IM$2,JM78&lt;&gt;0,JM$2,KM78&lt;&gt;0,KM$2,LM78&lt;&gt;0,LM$2,TRUE,"")</f>
        <v>Upsell</v>
      </c>
      <c r="HN78" s="1" t="str" cm="1">
        <f t="array" ref="HN78">+_xlfn.IFS(IN78&lt;&gt;0,IN$2,JN78&lt;&gt;0,JN$2,KN78&lt;&gt;0,KN$2,LN78&lt;&gt;0,LN$2,TRUE,"")</f>
        <v>Upsell</v>
      </c>
      <c r="HO78" s="1" t="str" cm="1">
        <f t="array" ref="HO78">+_xlfn.IFS(IO78&lt;&gt;0,IO$2,JO78&lt;&gt;0,JO$2,KO78&lt;&gt;0,KO$2,LO78&lt;&gt;0,LO$2,TRUE,"")</f>
        <v>Upsell</v>
      </c>
      <c r="HP78" s="1" t="str" cm="1">
        <f t="array" ref="HP78">+_xlfn.IFS(IP78&lt;&gt;0,IP$2,JP78&lt;&gt;0,JP$2,KP78&lt;&gt;0,KP$2,LP78&lt;&gt;0,LP$2,TRUE,"")</f>
        <v>Upsell</v>
      </c>
      <c r="HQ78" s="1" t="str" cm="1">
        <f t="array" ref="HQ78">+_xlfn.IFS(IQ78&lt;&gt;0,IQ$2,JQ78&lt;&gt;0,JQ$2,KQ78&lt;&gt;0,KQ$2,LQ78&lt;&gt;0,LQ$2,TRUE,"")</f>
        <v>Upsell</v>
      </c>
      <c r="HR78" s="1" t="str" cm="1">
        <f t="array" ref="HR78">+_xlfn.IFS(IR78&lt;&gt;0,IR$2,JR78&lt;&gt;0,JR$2,KR78&lt;&gt;0,KR$2,LR78&lt;&gt;0,LR$2,TRUE,"")</f>
        <v>Upsell</v>
      </c>
      <c r="HS78" s="1" t="str" cm="1">
        <f t="array" ref="HS78">+_xlfn.IFS(IS78&lt;&gt;0,IS$2,JS78&lt;&gt;0,JS$2,KS78&lt;&gt;0,KS$2,LS78&lt;&gt;0,LS$2,TRUE,"")</f>
        <v>Upsell</v>
      </c>
      <c r="HT78" s="1" t="str" cm="1">
        <f t="array" ref="HT78">+_xlfn.IFS(IT78&lt;&gt;0,IT$2,JT78&lt;&gt;0,JT$2,KT78&lt;&gt;0,KT$2,LT78&lt;&gt;0,LT$2,TRUE,"")</f>
        <v>Upsell</v>
      </c>
      <c r="HV78" s="111">
        <f t="shared" si="607"/>
        <v>0</v>
      </c>
      <c r="HW78" s="110">
        <f t="shared" si="608"/>
        <v>0</v>
      </c>
      <c r="HX78" s="110">
        <f t="shared" si="609"/>
        <v>0</v>
      </c>
      <c r="HY78" s="110">
        <f t="shared" si="610"/>
        <v>0</v>
      </c>
      <c r="HZ78" s="110">
        <f t="shared" si="611"/>
        <v>0</v>
      </c>
      <c r="IA78" s="110">
        <f t="shared" si="612"/>
        <v>0</v>
      </c>
      <c r="IB78" s="110">
        <f t="shared" si="613"/>
        <v>0</v>
      </c>
      <c r="IC78" s="110">
        <f t="shared" si="614"/>
        <v>0</v>
      </c>
      <c r="ID78" s="110">
        <f t="shared" si="615"/>
        <v>0</v>
      </c>
      <c r="IE78" s="110">
        <f t="shared" si="616"/>
        <v>0</v>
      </c>
      <c r="IF78" s="110">
        <f t="shared" si="617"/>
        <v>0</v>
      </c>
      <c r="IG78" s="110">
        <f t="shared" si="618"/>
        <v>0</v>
      </c>
      <c r="IH78" s="110">
        <f t="shared" si="619"/>
        <v>0</v>
      </c>
      <c r="II78" s="110">
        <f t="shared" si="620"/>
        <v>0</v>
      </c>
      <c r="IJ78" s="110">
        <f t="shared" si="621"/>
        <v>0</v>
      </c>
      <c r="IK78" s="110">
        <f t="shared" si="622"/>
        <v>0</v>
      </c>
      <c r="IL78" s="110">
        <f t="shared" si="623"/>
        <v>0</v>
      </c>
      <c r="IM78" s="110">
        <f t="shared" si="624"/>
        <v>0</v>
      </c>
      <c r="IN78" s="110">
        <f t="shared" si="625"/>
        <v>0</v>
      </c>
      <c r="IO78" s="110">
        <f t="shared" si="626"/>
        <v>0</v>
      </c>
      <c r="IP78" s="110">
        <f t="shared" si="627"/>
        <v>0</v>
      </c>
      <c r="IQ78" s="110">
        <f t="shared" si="628"/>
        <v>0</v>
      </c>
      <c r="IR78" s="110">
        <f t="shared" si="629"/>
        <v>0</v>
      </c>
      <c r="IS78" s="110">
        <f t="shared" si="630"/>
        <v>0</v>
      </c>
      <c r="IT78" s="110">
        <f t="shared" si="631"/>
        <v>0</v>
      </c>
      <c r="IV78" s="111">
        <f t="shared" si="632"/>
        <v>0</v>
      </c>
      <c r="IW78" s="110">
        <f t="shared" si="633"/>
        <v>0</v>
      </c>
      <c r="IX78" s="110">
        <f t="shared" si="634"/>
        <v>0</v>
      </c>
      <c r="IY78" s="110">
        <f t="shared" si="635"/>
        <v>0</v>
      </c>
      <c r="IZ78" s="110">
        <f t="shared" si="636"/>
        <v>0</v>
      </c>
      <c r="JA78" s="110">
        <f t="shared" si="637"/>
        <v>0</v>
      </c>
      <c r="JB78" s="110">
        <f t="shared" si="638"/>
        <v>0</v>
      </c>
      <c r="JC78" s="110">
        <f t="shared" si="639"/>
        <v>0</v>
      </c>
      <c r="JD78" s="110">
        <f t="shared" si="640"/>
        <v>0</v>
      </c>
      <c r="JE78" s="110">
        <f t="shared" si="641"/>
        <v>0</v>
      </c>
      <c r="JF78" s="110">
        <f t="shared" si="642"/>
        <v>0</v>
      </c>
      <c r="JG78" s="110">
        <f t="shared" si="643"/>
        <v>0</v>
      </c>
      <c r="JH78" s="110">
        <f t="shared" si="644"/>
        <v>0</v>
      </c>
      <c r="JI78" s="110">
        <f t="shared" si="645"/>
        <v>0</v>
      </c>
      <c r="JJ78" s="110">
        <f t="shared" si="646"/>
        <v>0</v>
      </c>
      <c r="JK78" s="110">
        <f t="shared" si="647"/>
        <v>0</v>
      </c>
      <c r="JL78" s="110">
        <f t="shared" si="648"/>
        <v>0</v>
      </c>
      <c r="JM78" s="110">
        <f t="shared" si="649"/>
        <v>0</v>
      </c>
      <c r="JN78" s="110">
        <f t="shared" si="650"/>
        <v>0</v>
      </c>
      <c r="JO78" s="110">
        <f t="shared" si="651"/>
        <v>0</v>
      </c>
      <c r="JP78" s="110">
        <f t="shared" si="652"/>
        <v>0</v>
      </c>
      <c r="JQ78" s="110">
        <f t="shared" si="653"/>
        <v>0</v>
      </c>
      <c r="JR78" s="110">
        <f t="shared" si="654"/>
        <v>0</v>
      </c>
      <c r="JS78" s="110">
        <f t="shared" si="655"/>
        <v>0</v>
      </c>
      <c r="JT78" s="110">
        <f t="shared" si="656"/>
        <v>0</v>
      </c>
      <c r="JV78" s="111">
        <f t="shared" si="657"/>
        <v>0</v>
      </c>
      <c r="JW78" s="110">
        <f t="shared" si="658"/>
        <v>0</v>
      </c>
      <c r="JX78" s="110">
        <f t="shared" si="659"/>
        <v>0</v>
      </c>
      <c r="JY78" s="110">
        <f t="shared" si="660"/>
        <v>0</v>
      </c>
      <c r="JZ78" s="110">
        <f t="shared" si="661"/>
        <v>0</v>
      </c>
      <c r="KA78" s="110">
        <f t="shared" si="662"/>
        <v>0</v>
      </c>
      <c r="KB78" s="110">
        <f t="shared" si="663"/>
        <v>0</v>
      </c>
      <c r="KC78" s="110">
        <f t="shared" si="664"/>
        <v>0</v>
      </c>
      <c r="KD78" s="110">
        <f t="shared" si="665"/>
        <v>0</v>
      </c>
      <c r="KE78" s="110">
        <f t="shared" si="666"/>
        <v>0</v>
      </c>
      <c r="KF78" s="110">
        <f t="shared" si="667"/>
        <v>0</v>
      </c>
      <c r="KG78" s="110">
        <f t="shared" si="668"/>
        <v>0</v>
      </c>
      <c r="KH78" s="110">
        <f t="shared" si="669"/>
        <v>0</v>
      </c>
      <c r="KI78" s="110">
        <f t="shared" si="670"/>
        <v>0</v>
      </c>
      <c r="KJ78" s="110">
        <f t="shared" si="671"/>
        <v>0</v>
      </c>
      <c r="KK78" s="110">
        <f t="shared" si="672"/>
        <v>0</v>
      </c>
      <c r="KL78" s="110">
        <f t="shared" si="673"/>
        <v>0</v>
      </c>
      <c r="KM78" s="110">
        <f t="shared" si="674"/>
        <v>0</v>
      </c>
      <c r="KN78" s="110">
        <f t="shared" si="675"/>
        <v>0</v>
      </c>
      <c r="KO78" s="110">
        <f t="shared" si="676"/>
        <v>0</v>
      </c>
      <c r="KP78" s="110">
        <f t="shared" si="677"/>
        <v>0</v>
      </c>
      <c r="KQ78" s="110">
        <f t="shared" si="678"/>
        <v>0</v>
      </c>
      <c r="KR78" s="110">
        <f t="shared" si="679"/>
        <v>0</v>
      </c>
      <c r="KS78" s="110">
        <f t="shared" si="680"/>
        <v>0</v>
      </c>
      <c r="KT78" s="110">
        <f t="shared" si="681"/>
        <v>0</v>
      </c>
      <c r="KV78" s="111">
        <f t="shared" si="682"/>
        <v>0</v>
      </c>
      <c r="KW78" s="110">
        <f t="shared" si="683"/>
        <v>0</v>
      </c>
      <c r="KX78" s="110">
        <f t="shared" si="684"/>
        <v>0</v>
      </c>
      <c r="KY78" s="110">
        <f t="shared" si="685"/>
        <v>0</v>
      </c>
      <c r="KZ78" s="110">
        <f t="shared" si="686"/>
        <v>0</v>
      </c>
      <c r="LA78" s="110">
        <f t="shared" si="687"/>
        <v>0</v>
      </c>
      <c r="LB78" s="110">
        <f t="shared" si="688"/>
        <v>0</v>
      </c>
      <c r="LC78" s="110">
        <f t="shared" si="689"/>
        <v>0</v>
      </c>
      <c r="LD78" s="110">
        <f t="shared" si="690"/>
        <v>0</v>
      </c>
      <c r="LE78" s="110">
        <f t="shared" si="691"/>
        <v>0</v>
      </c>
      <c r="LF78" s="110">
        <f t="shared" si="692"/>
        <v>0</v>
      </c>
      <c r="LG78" s="110">
        <f t="shared" si="693"/>
        <v>0</v>
      </c>
      <c r="LH78" s="110">
        <f t="shared" si="694"/>
        <v>0</v>
      </c>
      <c r="LI78" s="110">
        <f t="shared" si="695"/>
        <v>0</v>
      </c>
      <c r="LJ78" s="110">
        <f t="shared" si="696"/>
        <v>0</v>
      </c>
      <c r="LK78" s="110">
        <f t="shared" si="697"/>
        <v>0</v>
      </c>
      <c r="LL78" s="110">
        <f t="shared" si="698"/>
        <v>0</v>
      </c>
      <c r="LM78" s="110">
        <f t="shared" si="699"/>
        <v>6.2700000000000102</v>
      </c>
      <c r="LN78" s="110">
        <f t="shared" si="700"/>
        <v>6.2700000000000102</v>
      </c>
      <c r="LO78" s="110">
        <f t="shared" si="701"/>
        <v>6.2700000000000102</v>
      </c>
      <c r="LP78" s="110">
        <f t="shared" si="702"/>
        <v>6.2700000000000102</v>
      </c>
      <c r="LQ78" s="110">
        <f t="shared" si="703"/>
        <v>6.2700000000000102</v>
      </c>
      <c r="LR78" s="110">
        <f t="shared" si="704"/>
        <v>6.2700000000000102</v>
      </c>
      <c r="LS78" s="110">
        <f t="shared" si="705"/>
        <v>6.2700000000000102</v>
      </c>
      <c r="LT78" s="110">
        <f t="shared" si="706"/>
        <v>6.2700000000000102</v>
      </c>
      <c r="LV78" s="111"/>
      <c r="LW78" s="110">
        <f t="shared" si="707"/>
        <v>0</v>
      </c>
      <c r="LX78" s="110">
        <f t="shared" si="708"/>
        <v>0</v>
      </c>
      <c r="LY78" s="110">
        <f t="shared" si="709"/>
        <v>0</v>
      </c>
      <c r="LZ78" s="110">
        <f t="shared" si="710"/>
        <v>0</v>
      </c>
      <c r="MA78" s="110">
        <f t="shared" si="711"/>
        <v>0</v>
      </c>
      <c r="MB78" s="110">
        <f t="shared" si="712"/>
        <v>0</v>
      </c>
      <c r="MC78" s="110">
        <f t="shared" si="713"/>
        <v>0</v>
      </c>
      <c r="MD78" s="110">
        <f t="shared" si="714"/>
        <v>0</v>
      </c>
      <c r="ME78" s="110">
        <f t="shared" si="715"/>
        <v>0</v>
      </c>
      <c r="MF78" s="110">
        <f t="shared" si="716"/>
        <v>0</v>
      </c>
      <c r="MG78" s="110">
        <f t="shared" si="717"/>
        <v>0</v>
      </c>
      <c r="MH78" s="110">
        <f t="shared" si="718"/>
        <v>0</v>
      </c>
      <c r="MI78" s="110">
        <f t="shared" si="719"/>
        <v>0</v>
      </c>
      <c r="MJ78" s="110">
        <f t="shared" si="720"/>
        <v>0</v>
      </c>
      <c r="MK78" s="110">
        <f t="shared" si="721"/>
        <v>0</v>
      </c>
      <c r="ML78" s="110">
        <f t="shared" si="722"/>
        <v>0</v>
      </c>
      <c r="MM78" s="110">
        <f t="shared" si="723"/>
        <v>0</v>
      </c>
      <c r="MN78" s="110">
        <f t="shared" si="724"/>
        <v>0</v>
      </c>
      <c r="MO78" s="110">
        <f t="shared" si="725"/>
        <v>0</v>
      </c>
      <c r="MP78" s="110">
        <f t="shared" si="726"/>
        <v>0</v>
      </c>
      <c r="MQ78" s="110">
        <f t="shared" si="727"/>
        <v>0</v>
      </c>
      <c r="MR78" s="110">
        <f t="shared" si="728"/>
        <v>0</v>
      </c>
      <c r="MS78" s="110">
        <f t="shared" si="729"/>
        <v>0</v>
      </c>
      <c r="MT78" s="110">
        <f t="shared" si="730"/>
        <v>0</v>
      </c>
      <c r="MV78" s="114">
        <v>185.27</v>
      </c>
      <c r="MW78" s="114">
        <v>0</v>
      </c>
      <c r="MX78" s="114">
        <v>6.2700000000000102</v>
      </c>
      <c r="MY78" s="114">
        <v>0</v>
      </c>
      <c r="MZ78" s="114">
        <v>0</v>
      </c>
      <c r="NB78" s="115">
        <v>63</v>
      </c>
      <c r="NC78" s="115" t="str">
        <v>N/A</v>
      </c>
      <c r="ND78" s="115">
        <v>43</v>
      </c>
      <c r="NE78" s="115" t="str">
        <v>N/A</v>
      </c>
      <c r="NF78" s="115" t="str">
        <v>N/A</v>
      </c>
    </row>
    <row r="79" spans="2:370" ht="13.5" x14ac:dyDescent="0.25">
      <c r="B79" s="8">
        <f t="shared" si="731"/>
        <v>76</v>
      </c>
      <c r="C79" s="7">
        <v>323.10000000000002</v>
      </c>
      <c r="D79" s="7">
        <v>323.10000000000002</v>
      </c>
      <c r="E79" s="7">
        <v>323.10000000000002</v>
      </c>
      <c r="F79" s="7">
        <v>323.10000000000002</v>
      </c>
      <c r="G79" s="7">
        <v>352.18</v>
      </c>
      <c r="H79" s="7">
        <v>294.02</v>
      </c>
      <c r="I79" s="7">
        <v>323.10000000000002</v>
      </c>
      <c r="J79" s="7">
        <v>323.10000000000002</v>
      </c>
      <c r="K79" s="7">
        <v>323.10000000000002</v>
      </c>
      <c r="L79" s="7">
        <v>323.10000000000002</v>
      </c>
      <c r="M79" s="7">
        <v>326.69</v>
      </c>
      <c r="N79" s="7">
        <v>326.69</v>
      </c>
      <c r="O79" s="7">
        <v>326.69</v>
      </c>
      <c r="P79" s="7">
        <v>326.69</v>
      </c>
      <c r="Q79" s="7">
        <v>337.46</v>
      </c>
      <c r="R79" s="7">
        <v>337.46</v>
      </c>
      <c r="S79" s="7">
        <v>337.46</v>
      </c>
      <c r="T79" s="7">
        <v>337.46</v>
      </c>
      <c r="U79" s="7">
        <v>337.46</v>
      </c>
      <c r="V79" s="7">
        <v>337.46</v>
      </c>
      <c r="W79" s="7">
        <v>337.46</v>
      </c>
      <c r="X79" s="7">
        <v>337.46</v>
      </c>
      <c r="Y79" s="7">
        <v>337.46</v>
      </c>
      <c r="Z79" s="7">
        <v>337.46</v>
      </c>
      <c r="AA79" s="7">
        <v>337.46</v>
      </c>
      <c r="AB79" s="7">
        <v>337.46</v>
      </c>
      <c r="AC79" s="7">
        <v>337.46</v>
      </c>
      <c r="AD79" s="7">
        <v>337.46</v>
      </c>
      <c r="AE79" s="7">
        <v>337.46</v>
      </c>
      <c r="AF79" s="7">
        <v>349.28</v>
      </c>
      <c r="AG79" s="7">
        <v>349.28</v>
      </c>
      <c r="AH79" s="7">
        <v>349.28</v>
      </c>
      <c r="AI79" s="7">
        <v>349.28</v>
      </c>
      <c r="AJ79" s="7">
        <v>349.28</v>
      </c>
      <c r="AK79" s="7">
        <v>349.28</v>
      </c>
      <c r="AL79" s="7">
        <v>349.28</v>
      </c>
      <c r="AM79" s="7">
        <v>349.28</v>
      </c>
      <c r="AN79" s="27">
        <v>76</v>
      </c>
      <c r="AP79" s="111"/>
      <c r="AQ79" s="110">
        <f t="shared" si="492"/>
        <v>0</v>
      </c>
      <c r="AR79" s="110">
        <f t="shared" si="493"/>
        <v>0</v>
      </c>
      <c r="AS79" s="110">
        <f t="shared" si="494"/>
        <v>0</v>
      </c>
      <c r="AT79" s="110">
        <f t="shared" si="495"/>
        <v>3.589999999999975</v>
      </c>
      <c r="AU79" s="110">
        <f t="shared" si="496"/>
        <v>10.769999999999982</v>
      </c>
      <c r="AV79" s="110">
        <f t="shared" si="497"/>
        <v>0</v>
      </c>
      <c r="AW79" s="110">
        <f t="shared" si="498"/>
        <v>0</v>
      </c>
      <c r="AX79" s="110">
        <f t="shared" si="499"/>
        <v>0</v>
      </c>
      <c r="AY79" s="110">
        <f t="shared" si="500"/>
        <v>0</v>
      </c>
      <c r="AZ79" s="110">
        <f t="shared" si="501"/>
        <v>11.819999999999993</v>
      </c>
      <c r="BA79" s="110">
        <f t="shared" si="502"/>
        <v>0</v>
      </c>
      <c r="BB79" s="110">
        <f t="shared" si="503"/>
        <v>0</v>
      </c>
      <c r="BD79" s="109" cm="1">
        <f t="array" ref="BD79">+IFERROR(INDEX($C$3:$AM$3,MATCH(TRUE,INDEX($C79:$AM79&lt;&gt;0,0),0)),"N/A")</f>
        <v>44926</v>
      </c>
      <c r="BE79" s="112"/>
      <c r="BF79" s="1" t="str" cm="1">
        <f t="array" ref="BF79">+_xlfn.IFS(BT79&lt;&gt;0,BT$2,CH79&lt;&gt;0,CH$2,CV79&lt;&gt;0,CV$2,DJ79&lt;&gt;0,DJ$2,TRUE,"")</f>
        <v/>
      </c>
      <c r="BG79" s="1" t="str" cm="1">
        <f t="array" ref="BG79">+_xlfn.IFS(BU79&lt;&gt;0,BU$2,CI79&lt;&gt;0,CI$2,CW79&lt;&gt;0,CW$2,DK79&lt;&gt;0,DK$2,TRUE,"")</f>
        <v/>
      </c>
      <c r="BH79" s="1" t="str" cm="1">
        <f t="array" ref="BH79">+_xlfn.IFS(BV79&lt;&gt;0,BV$2,CJ79&lt;&gt;0,CJ$2,CX79&lt;&gt;0,CX$2,DL79&lt;&gt;0,DL$2,TRUE,"")</f>
        <v/>
      </c>
      <c r="BI79" s="1" t="str" cm="1">
        <f t="array" ref="BI79">+_xlfn.IFS(BW79&lt;&gt;0,BW$2,CK79&lt;&gt;0,CK$2,CY79&lt;&gt;0,CY$2,DM79&lt;&gt;0,DM$2,TRUE,"")</f>
        <v>Upsell</v>
      </c>
      <c r="BJ79" s="1" t="str" cm="1">
        <f t="array" ref="BJ79">+_xlfn.IFS(BX79&lt;&gt;0,BX$2,CL79&lt;&gt;0,CL$2,CZ79&lt;&gt;0,CZ$2,DN79&lt;&gt;0,DN$2,TRUE,"")</f>
        <v>Upsell</v>
      </c>
      <c r="BK79" s="1" t="str" cm="1">
        <f t="array" ref="BK79">+_xlfn.IFS(BY79&lt;&gt;0,BY$2,CM79&lt;&gt;0,CM$2,DA79&lt;&gt;0,DA$2,DO79&lt;&gt;0,DO$2,TRUE,"")</f>
        <v/>
      </c>
      <c r="BL79" s="1" t="str" cm="1">
        <f t="array" ref="BL79">+_xlfn.IFS(BZ79&lt;&gt;0,BZ$2,CN79&lt;&gt;0,CN$2,DB79&lt;&gt;0,DB$2,DP79&lt;&gt;0,DP$2,TRUE,"")</f>
        <v/>
      </c>
      <c r="BM79" s="1" t="str" cm="1">
        <f t="array" ref="BM79">+_xlfn.IFS(CA79&lt;&gt;0,CA$2,CO79&lt;&gt;0,CO$2,DC79&lt;&gt;0,DC$2,DQ79&lt;&gt;0,DQ$2,TRUE,"")</f>
        <v/>
      </c>
      <c r="BN79" s="1" t="str" cm="1">
        <f t="array" ref="BN79">+_xlfn.IFS(CB79&lt;&gt;0,CB$2,CP79&lt;&gt;0,CP$2,DD79&lt;&gt;0,DD$2,DR79&lt;&gt;0,DR$2,TRUE,"")</f>
        <v/>
      </c>
      <c r="BO79" s="1" t="str" cm="1">
        <f t="array" ref="BO79">+_xlfn.IFS(CC79&lt;&gt;0,CC$2,CQ79&lt;&gt;0,CQ$2,DE79&lt;&gt;0,DE$2,DS79&lt;&gt;0,DS$2,TRUE,"")</f>
        <v>Upsell</v>
      </c>
      <c r="BP79" s="1" t="str" cm="1">
        <f t="array" ref="BP79">+_xlfn.IFS(CD79&lt;&gt;0,CD$2,CR79&lt;&gt;0,CR$2,DF79&lt;&gt;0,DF$2,DT79&lt;&gt;0,DT$2,TRUE,"")</f>
        <v/>
      </c>
      <c r="BQ79" s="1" t="str" cm="1">
        <f t="array" ref="BQ79">+_xlfn.IFS(CE79&lt;&gt;0,CE$2,CS79&lt;&gt;0,CS$2,DG79&lt;&gt;0,DG$2,DU79&lt;&gt;0,DU$2,TRUE,"")</f>
        <v/>
      </c>
      <c r="BS79" s="111"/>
      <c r="BT79" s="110">
        <f t="shared" si="504"/>
        <v>0</v>
      </c>
      <c r="BU79" s="110">
        <f t="shared" si="505"/>
        <v>0</v>
      </c>
      <c r="BV79" s="110">
        <f t="shared" si="506"/>
        <v>0</v>
      </c>
      <c r="BW79" s="110">
        <f t="shared" si="507"/>
        <v>0</v>
      </c>
      <c r="BX79" s="110">
        <f t="shared" si="508"/>
        <v>0</v>
      </c>
      <c r="BY79" s="110">
        <f t="shared" si="509"/>
        <v>0</v>
      </c>
      <c r="BZ79" s="110">
        <f t="shared" si="510"/>
        <v>0</v>
      </c>
      <c r="CA79" s="110">
        <f t="shared" si="511"/>
        <v>0</v>
      </c>
      <c r="CB79" s="110">
        <f t="shared" si="512"/>
        <v>0</v>
      </c>
      <c r="CC79" s="110">
        <f t="shared" si="513"/>
        <v>0</v>
      </c>
      <c r="CD79" s="110">
        <f t="shared" si="514"/>
        <v>0</v>
      </c>
      <c r="CE79" s="110">
        <f t="shared" si="515"/>
        <v>0</v>
      </c>
      <c r="CG79" s="111"/>
      <c r="CH79" s="110">
        <f t="shared" si="516"/>
        <v>0</v>
      </c>
      <c r="CI79" s="110">
        <f t="shared" si="517"/>
        <v>0</v>
      </c>
      <c r="CJ79" s="110">
        <f t="shared" si="518"/>
        <v>0</v>
      </c>
      <c r="CK79" s="110">
        <f t="shared" si="519"/>
        <v>0</v>
      </c>
      <c r="CL79" s="110">
        <f t="shared" si="520"/>
        <v>0</v>
      </c>
      <c r="CM79" s="110">
        <f t="shared" si="521"/>
        <v>0</v>
      </c>
      <c r="CN79" s="110">
        <f t="shared" si="522"/>
        <v>0</v>
      </c>
      <c r="CO79" s="110">
        <f t="shared" si="523"/>
        <v>0</v>
      </c>
      <c r="CP79" s="110">
        <f t="shared" si="524"/>
        <v>0</v>
      </c>
      <c r="CQ79" s="110">
        <f t="shared" si="525"/>
        <v>0</v>
      </c>
      <c r="CR79" s="110">
        <f t="shared" si="526"/>
        <v>0</v>
      </c>
      <c r="CS79" s="110">
        <f t="shared" si="527"/>
        <v>0</v>
      </c>
      <c r="CU79" s="111"/>
      <c r="CV79" s="110">
        <f t="shared" si="528"/>
        <v>0</v>
      </c>
      <c r="CW79" s="110">
        <f t="shared" si="529"/>
        <v>0</v>
      </c>
      <c r="CX79" s="110">
        <f t="shared" si="530"/>
        <v>0</v>
      </c>
      <c r="CY79" s="110">
        <f t="shared" si="531"/>
        <v>0</v>
      </c>
      <c r="CZ79" s="110">
        <f t="shared" si="532"/>
        <v>0</v>
      </c>
      <c r="DA79" s="110">
        <f t="shared" si="533"/>
        <v>0</v>
      </c>
      <c r="DB79" s="110">
        <f t="shared" si="534"/>
        <v>0</v>
      </c>
      <c r="DC79" s="110">
        <f t="shared" si="535"/>
        <v>0</v>
      </c>
      <c r="DD79" s="110">
        <f t="shared" si="536"/>
        <v>0</v>
      </c>
      <c r="DE79" s="110">
        <f t="shared" si="537"/>
        <v>0</v>
      </c>
      <c r="DF79" s="110">
        <f t="shared" si="538"/>
        <v>0</v>
      </c>
      <c r="DG79" s="110">
        <f t="shared" si="539"/>
        <v>0</v>
      </c>
      <c r="DI79" s="111"/>
      <c r="DJ79" s="110">
        <f t="shared" si="540"/>
        <v>0</v>
      </c>
      <c r="DK79" s="110">
        <f t="shared" si="541"/>
        <v>0</v>
      </c>
      <c r="DL79" s="110">
        <f t="shared" si="542"/>
        <v>0</v>
      </c>
      <c r="DM79" s="110">
        <f t="shared" si="543"/>
        <v>3.589999999999975</v>
      </c>
      <c r="DN79" s="110">
        <f t="shared" si="544"/>
        <v>10.769999999999982</v>
      </c>
      <c r="DO79" s="110">
        <f t="shared" si="545"/>
        <v>0</v>
      </c>
      <c r="DP79" s="110">
        <f t="shared" si="546"/>
        <v>0</v>
      </c>
      <c r="DQ79" s="110">
        <f t="shared" si="547"/>
        <v>0</v>
      </c>
      <c r="DR79" s="110">
        <f t="shared" si="548"/>
        <v>0</v>
      </c>
      <c r="DS79" s="110">
        <f t="shared" si="549"/>
        <v>11.819999999999993</v>
      </c>
      <c r="DT79" s="110">
        <f t="shared" si="550"/>
        <v>0</v>
      </c>
      <c r="DU79" s="110">
        <f t="shared" si="551"/>
        <v>0</v>
      </c>
      <c r="DW79" s="111"/>
      <c r="DX79" s="110">
        <f t="shared" si="552"/>
        <v>0</v>
      </c>
      <c r="DY79" s="110">
        <f t="shared" si="553"/>
        <v>0</v>
      </c>
      <c r="DZ79" s="110">
        <f t="shared" si="554"/>
        <v>0</v>
      </c>
      <c r="EA79" s="110">
        <f t="shared" si="555"/>
        <v>0</v>
      </c>
      <c r="EB79" s="110">
        <f t="shared" si="556"/>
        <v>0</v>
      </c>
      <c r="EC79" s="110">
        <f t="shared" si="557"/>
        <v>0</v>
      </c>
      <c r="ED79" s="110">
        <f t="shared" si="558"/>
        <v>0</v>
      </c>
      <c r="EE79" s="110">
        <f t="shared" si="559"/>
        <v>0</v>
      </c>
      <c r="EF79" s="110">
        <f t="shared" si="560"/>
        <v>0</v>
      </c>
      <c r="EG79" s="110">
        <f t="shared" si="561"/>
        <v>0</v>
      </c>
      <c r="EH79" s="110">
        <f t="shared" si="562"/>
        <v>0</v>
      </c>
      <c r="EI79" s="110">
        <f t="shared" si="563"/>
        <v>0</v>
      </c>
      <c r="EK79" s="111"/>
      <c r="EL79" s="110">
        <f t="shared" si="564"/>
        <v>3.589999999999975</v>
      </c>
      <c r="EM79" s="110">
        <f t="shared" si="565"/>
        <v>10.769999999999982</v>
      </c>
      <c r="EN79" s="110">
        <f t="shared" si="566"/>
        <v>11.819999999999993</v>
      </c>
      <c r="EP79" s="109" cm="1">
        <f t="array" ref="EP79">+IFERROR(INDEX($C$3:$AM$3,MATCH(TRUE,INDEX($C79:$AM79&lt;&gt;0,0),0)),"N/A")</f>
        <v>44926</v>
      </c>
      <c r="EQ79" s="112"/>
      <c r="ER79" s="1" t="str" cm="1">
        <f t="array" ref="ER79">+_xlfn.IFS(EW79&lt;&gt;0,EW$2,FB79&lt;&gt;0,FB$2,FG79&lt;&gt;0,FG$2,FL79&lt;&gt;0,FL$2,TRUE,"")</f>
        <v>Upsell</v>
      </c>
      <c r="ES79" s="1" t="str" cm="1">
        <f t="array" ref="ES79">+_xlfn.IFS(EX79&lt;&gt;0,EX$2,FC79&lt;&gt;0,FC$2,FH79&lt;&gt;0,FH$2,FM79&lt;&gt;0,FM$2,TRUE,"")</f>
        <v>Upsell</v>
      </c>
      <c r="ET79" s="1" t="str" cm="1">
        <f t="array" ref="ET79">+_xlfn.IFS(EY79&lt;&gt;0,EY$2,FD79&lt;&gt;0,FD$2,FI79&lt;&gt;0,FI$2,FN79&lt;&gt;0,FN$2,TRUE,"")</f>
        <v>Upsell</v>
      </c>
      <c r="EV79" s="111"/>
      <c r="EW79" s="110">
        <f t="shared" si="567"/>
        <v>0</v>
      </c>
      <c r="EX79" s="110">
        <f t="shared" si="568"/>
        <v>0</v>
      </c>
      <c r="EY79" s="110">
        <f t="shared" si="569"/>
        <v>0</v>
      </c>
      <c r="FA79" s="111"/>
      <c r="FB79" s="110">
        <f t="shared" si="570"/>
        <v>0</v>
      </c>
      <c r="FC79" s="110">
        <f t="shared" si="571"/>
        <v>0</v>
      </c>
      <c r="FD79" s="110">
        <f t="shared" si="572"/>
        <v>0</v>
      </c>
      <c r="FF79" s="111"/>
      <c r="FG79" s="110">
        <f t="shared" si="573"/>
        <v>0</v>
      </c>
      <c r="FH79" s="110">
        <f t="shared" si="574"/>
        <v>0</v>
      </c>
      <c r="FI79" s="110">
        <f t="shared" si="575"/>
        <v>0</v>
      </c>
      <c r="FK79" s="111"/>
      <c r="FL79" s="110">
        <f t="shared" si="576"/>
        <v>3.589999999999975</v>
      </c>
      <c r="FM79" s="110">
        <f t="shared" si="577"/>
        <v>10.769999999999982</v>
      </c>
      <c r="FN79" s="110">
        <f t="shared" si="578"/>
        <v>11.819999999999993</v>
      </c>
      <c r="FP79" s="111"/>
      <c r="FQ79" s="110">
        <f t="shared" si="579"/>
        <v>0</v>
      </c>
      <c r="FR79" s="110">
        <f t="shared" si="580"/>
        <v>0</v>
      </c>
      <c r="FS79" s="110">
        <f t="shared" si="581"/>
        <v>0</v>
      </c>
      <c r="FU79" s="111">
        <f t="shared" si="582"/>
        <v>3.589999999999975</v>
      </c>
      <c r="FV79" s="110">
        <f t="shared" si="583"/>
        <v>3.589999999999975</v>
      </c>
      <c r="FW79" s="110">
        <f t="shared" si="584"/>
        <v>14.359999999999957</v>
      </c>
      <c r="FX79" s="110">
        <f t="shared" si="585"/>
        <v>14.359999999999957</v>
      </c>
      <c r="FY79" s="110">
        <f t="shared" si="586"/>
        <v>-14.720000000000027</v>
      </c>
      <c r="FZ79" s="110">
        <f t="shared" si="587"/>
        <v>43.44</v>
      </c>
      <c r="GA79" s="110">
        <f t="shared" si="588"/>
        <v>14.359999999999957</v>
      </c>
      <c r="GB79" s="110">
        <f t="shared" si="589"/>
        <v>14.359999999999957</v>
      </c>
      <c r="GC79" s="110">
        <f t="shared" si="590"/>
        <v>14.359999999999957</v>
      </c>
      <c r="GD79" s="110">
        <f t="shared" si="591"/>
        <v>14.359999999999957</v>
      </c>
      <c r="GE79" s="110">
        <f t="shared" si="592"/>
        <v>10.769999999999982</v>
      </c>
      <c r="GF79" s="110">
        <f t="shared" si="593"/>
        <v>10.769999999999982</v>
      </c>
      <c r="GG79" s="110">
        <f t="shared" si="594"/>
        <v>10.769999999999982</v>
      </c>
      <c r="GH79" s="110">
        <f t="shared" si="595"/>
        <v>10.769999999999982</v>
      </c>
      <c r="GI79" s="110">
        <f t="shared" si="596"/>
        <v>0</v>
      </c>
      <c r="GJ79" s="110">
        <f t="shared" si="597"/>
        <v>0</v>
      </c>
      <c r="GK79" s="110">
        <f t="shared" si="598"/>
        <v>0</v>
      </c>
      <c r="GL79" s="110">
        <f t="shared" si="599"/>
        <v>11.819999999999993</v>
      </c>
      <c r="GM79" s="110">
        <f t="shared" si="600"/>
        <v>11.819999999999993</v>
      </c>
      <c r="GN79" s="110">
        <f t="shared" si="601"/>
        <v>11.819999999999993</v>
      </c>
      <c r="GO79" s="110">
        <f t="shared" si="602"/>
        <v>11.819999999999993</v>
      </c>
      <c r="GP79" s="110">
        <f t="shared" si="603"/>
        <v>11.819999999999993</v>
      </c>
      <c r="GQ79" s="110">
        <f t="shared" si="604"/>
        <v>11.819999999999993</v>
      </c>
      <c r="GR79" s="110">
        <f t="shared" si="605"/>
        <v>11.819999999999993</v>
      </c>
      <c r="GS79" s="110">
        <f t="shared" si="606"/>
        <v>11.819999999999993</v>
      </c>
      <c r="GU79" s="109" cm="1">
        <f t="array" ref="GU79">+IFERROR(INDEX($C$3:$AM$3,MATCH(TRUE,INDEX($C79:$AM79&lt;&gt;0,0),0)),"N/A")</f>
        <v>44926</v>
      </c>
      <c r="GV79" s="112" t="str" cm="1">
        <f t="array" ref="GV79">+_xlfn.IFS(HV79&lt;&gt;0,HV$2,IV79&lt;&gt;0,IV$2,JV79&lt;&gt;0,JV$2,KV79&lt;&gt;0,KV$2,TRUE,"")</f>
        <v>Upsell</v>
      </c>
      <c r="GW79" s="1" t="str" cm="1">
        <f t="array" ref="GW79">+_xlfn.IFS(HW79&lt;&gt;0,HW$2,IW79&lt;&gt;0,IW$2,JW79&lt;&gt;0,JW$2,KW79&lt;&gt;0,KW$2,TRUE,"")</f>
        <v>Upsell</v>
      </c>
      <c r="GX79" s="1" t="str" cm="1">
        <f t="array" ref="GX79">+_xlfn.IFS(HX79&lt;&gt;0,HX$2,IX79&lt;&gt;0,IX$2,JX79&lt;&gt;0,JX$2,KX79&lt;&gt;0,KX$2,TRUE,"")</f>
        <v>Upsell</v>
      </c>
      <c r="GY79" s="1" t="str" cm="1">
        <f t="array" ref="GY79">+_xlfn.IFS(HY79&lt;&gt;0,HY$2,IY79&lt;&gt;0,IY$2,JY79&lt;&gt;0,JY$2,KY79&lt;&gt;0,KY$2,TRUE,"")</f>
        <v>Upsell</v>
      </c>
      <c r="GZ79" s="1" t="str" cm="1">
        <f t="array" ref="GZ79">+_xlfn.IFS(HZ79&lt;&gt;0,HZ$2,IZ79&lt;&gt;0,IZ$2,JZ79&lt;&gt;0,JZ$2,KZ79&lt;&gt;0,KZ$2,TRUE,"")</f>
        <v>Downsell</v>
      </c>
      <c r="HA79" s="1" t="str" cm="1">
        <f t="array" ref="HA79">+_xlfn.IFS(IA79&lt;&gt;0,IA$2,JA79&lt;&gt;0,JA$2,KA79&lt;&gt;0,KA$2,LA79&lt;&gt;0,LA$2,TRUE,"")</f>
        <v>Upsell</v>
      </c>
      <c r="HB79" s="1" t="str" cm="1">
        <f t="array" ref="HB79">+_xlfn.IFS(IB79&lt;&gt;0,IB$2,JB79&lt;&gt;0,JB$2,KB79&lt;&gt;0,KB$2,LB79&lt;&gt;0,LB$2,TRUE,"")</f>
        <v>Upsell</v>
      </c>
      <c r="HC79" s="1" t="str" cm="1">
        <f t="array" ref="HC79">+_xlfn.IFS(IC79&lt;&gt;0,IC$2,JC79&lt;&gt;0,JC$2,KC79&lt;&gt;0,KC$2,LC79&lt;&gt;0,LC$2,TRUE,"")</f>
        <v>Upsell</v>
      </c>
      <c r="HD79" s="1" t="str" cm="1">
        <f t="array" ref="HD79">+_xlfn.IFS(ID79&lt;&gt;0,ID$2,JD79&lt;&gt;0,JD$2,KD79&lt;&gt;0,KD$2,LD79&lt;&gt;0,LD$2,TRUE,"")</f>
        <v>Upsell</v>
      </c>
      <c r="HE79" s="1" t="str" cm="1">
        <f t="array" ref="HE79">+_xlfn.IFS(IE79&lt;&gt;0,IE$2,JE79&lt;&gt;0,JE$2,KE79&lt;&gt;0,KE$2,LE79&lt;&gt;0,LE$2,TRUE,"")</f>
        <v>Upsell</v>
      </c>
      <c r="HF79" s="1" t="str" cm="1">
        <f t="array" ref="HF79">+_xlfn.IFS(IF79&lt;&gt;0,IF$2,JF79&lt;&gt;0,JF$2,KF79&lt;&gt;0,KF$2,LF79&lt;&gt;0,LF$2,TRUE,"")</f>
        <v>Upsell</v>
      </c>
      <c r="HG79" s="1" t="str" cm="1">
        <f t="array" ref="HG79">+_xlfn.IFS(IG79&lt;&gt;0,IG$2,JG79&lt;&gt;0,JG$2,KG79&lt;&gt;0,KG$2,LG79&lt;&gt;0,LG$2,TRUE,"")</f>
        <v>Upsell</v>
      </c>
      <c r="HH79" s="1" t="str" cm="1">
        <f t="array" ref="HH79">+_xlfn.IFS(IH79&lt;&gt;0,IH$2,JH79&lt;&gt;0,JH$2,KH79&lt;&gt;0,KH$2,LH79&lt;&gt;0,LH$2,TRUE,"")</f>
        <v>Upsell</v>
      </c>
      <c r="HI79" s="1" t="str" cm="1">
        <f t="array" ref="HI79">+_xlfn.IFS(II79&lt;&gt;0,II$2,JI79&lt;&gt;0,JI$2,KI79&lt;&gt;0,KI$2,LI79&lt;&gt;0,LI$2,TRUE,"")</f>
        <v>Upsell</v>
      </c>
      <c r="HJ79" s="1" t="str" cm="1">
        <f t="array" ref="HJ79">+_xlfn.IFS(IJ79&lt;&gt;0,IJ$2,JJ79&lt;&gt;0,JJ$2,KJ79&lt;&gt;0,KJ$2,LJ79&lt;&gt;0,LJ$2,TRUE,"")</f>
        <v/>
      </c>
      <c r="HK79" s="1" t="str" cm="1">
        <f t="array" ref="HK79">+_xlfn.IFS(IK79&lt;&gt;0,IK$2,JK79&lt;&gt;0,JK$2,KK79&lt;&gt;0,KK$2,LK79&lt;&gt;0,LK$2,TRUE,"")</f>
        <v/>
      </c>
      <c r="HL79" s="1" t="str" cm="1">
        <f t="array" ref="HL79">+_xlfn.IFS(IL79&lt;&gt;0,IL$2,JL79&lt;&gt;0,JL$2,KL79&lt;&gt;0,KL$2,LL79&lt;&gt;0,LL$2,TRUE,"")</f>
        <v/>
      </c>
      <c r="HM79" s="1" t="str" cm="1">
        <f t="array" ref="HM79">+_xlfn.IFS(IM79&lt;&gt;0,IM$2,JM79&lt;&gt;0,JM$2,KM79&lt;&gt;0,KM$2,LM79&lt;&gt;0,LM$2,TRUE,"")</f>
        <v>Upsell</v>
      </c>
      <c r="HN79" s="1" t="str" cm="1">
        <f t="array" ref="HN79">+_xlfn.IFS(IN79&lt;&gt;0,IN$2,JN79&lt;&gt;0,JN$2,KN79&lt;&gt;0,KN$2,LN79&lt;&gt;0,LN$2,TRUE,"")</f>
        <v>Upsell</v>
      </c>
      <c r="HO79" s="1" t="str" cm="1">
        <f t="array" ref="HO79">+_xlfn.IFS(IO79&lt;&gt;0,IO$2,JO79&lt;&gt;0,JO$2,KO79&lt;&gt;0,KO$2,LO79&lt;&gt;0,LO$2,TRUE,"")</f>
        <v>Upsell</v>
      </c>
      <c r="HP79" s="1" t="str" cm="1">
        <f t="array" ref="HP79">+_xlfn.IFS(IP79&lt;&gt;0,IP$2,JP79&lt;&gt;0,JP$2,KP79&lt;&gt;0,KP$2,LP79&lt;&gt;0,LP$2,TRUE,"")</f>
        <v>Upsell</v>
      </c>
      <c r="HQ79" s="1" t="str" cm="1">
        <f t="array" ref="HQ79">+_xlfn.IFS(IQ79&lt;&gt;0,IQ$2,JQ79&lt;&gt;0,JQ$2,KQ79&lt;&gt;0,KQ$2,LQ79&lt;&gt;0,LQ$2,TRUE,"")</f>
        <v>Upsell</v>
      </c>
      <c r="HR79" s="1" t="str" cm="1">
        <f t="array" ref="HR79">+_xlfn.IFS(IR79&lt;&gt;0,IR$2,JR79&lt;&gt;0,JR$2,KR79&lt;&gt;0,KR$2,LR79&lt;&gt;0,LR$2,TRUE,"")</f>
        <v>Upsell</v>
      </c>
      <c r="HS79" s="1" t="str" cm="1">
        <f t="array" ref="HS79">+_xlfn.IFS(IS79&lt;&gt;0,IS$2,JS79&lt;&gt;0,JS$2,KS79&lt;&gt;0,KS$2,LS79&lt;&gt;0,LS$2,TRUE,"")</f>
        <v>Upsell</v>
      </c>
      <c r="HT79" s="1" t="str" cm="1">
        <f t="array" ref="HT79">+_xlfn.IFS(IT79&lt;&gt;0,IT$2,JT79&lt;&gt;0,JT$2,KT79&lt;&gt;0,KT$2,LT79&lt;&gt;0,LT$2,TRUE,"")</f>
        <v>Upsell</v>
      </c>
      <c r="HV79" s="111">
        <f t="shared" si="607"/>
        <v>0</v>
      </c>
      <c r="HW79" s="110">
        <f t="shared" si="608"/>
        <v>0</v>
      </c>
      <c r="HX79" s="110">
        <f t="shared" si="609"/>
        <v>0</v>
      </c>
      <c r="HY79" s="110">
        <f t="shared" si="610"/>
        <v>0</v>
      </c>
      <c r="HZ79" s="110">
        <f t="shared" si="611"/>
        <v>0</v>
      </c>
      <c r="IA79" s="110">
        <f t="shared" si="612"/>
        <v>0</v>
      </c>
      <c r="IB79" s="110">
        <f t="shared" si="613"/>
        <v>0</v>
      </c>
      <c r="IC79" s="110">
        <f t="shared" si="614"/>
        <v>0</v>
      </c>
      <c r="ID79" s="110">
        <f t="shared" si="615"/>
        <v>0</v>
      </c>
      <c r="IE79" s="110">
        <f t="shared" si="616"/>
        <v>0</v>
      </c>
      <c r="IF79" s="110">
        <f t="shared" si="617"/>
        <v>0</v>
      </c>
      <c r="IG79" s="110">
        <f t="shared" si="618"/>
        <v>0</v>
      </c>
      <c r="IH79" s="110">
        <f t="shared" si="619"/>
        <v>0</v>
      </c>
      <c r="II79" s="110">
        <f t="shared" si="620"/>
        <v>0</v>
      </c>
      <c r="IJ79" s="110">
        <f t="shared" si="621"/>
        <v>0</v>
      </c>
      <c r="IK79" s="110">
        <f t="shared" si="622"/>
        <v>0</v>
      </c>
      <c r="IL79" s="110">
        <f t="shared" si="623"/>
        <v>0</v>
      </c>
      <c r="IM79" s="110">
        <f t="shared" si="624"/>
        <v>0</v>
      </c>
      <c r="IN79" s="110">
        <f t="shared" si="625"/>
        <v>0</v>
      </c>
      <c r="IO79" s="110">
        <f t="shared" si="626"/>
        <v>0</v>
      </c>
      <c r="IP79" s="110">
        <f t="shared" si="627"/>
        <v>0</v>
      </c>
      <c r="IQ79" s="110">
        <f t="shared" si="628"/>
        <v>0</v>
      </c>
      <c r="IR79" s="110">
        <f t="shared" si="629"/>
        <v>0</v>
      </c>
      <c r="IS79" s="110">
        <f t="shared" si="630"/>
        <v>0</v>
      </c>
      <c r="IT79" s="110">
        <f t="shared" si="631"/>
        <v>0</v>
      </c>
      <c r="IV79" s="111">
        <f t="shared" si="632"/>
        <v>0</v>
      </c>
      <c r="IW79" s="110">
        <f t="shared" si="633"/>
        <v>0</v>
      </c>
      <c r="IX79" s="110">
        <f t="shared" si="634"/>
        <v>0</v>
      </c>
      <c r="IY79" s="110">
        <f t="shared" si="635"/>
        <v>0</v>
      </c>
      <c r="IZ79" s="110">
        <f t="shared" si="636"/>
        <v>0</v>
      </c>
      <c r="JA79" s="110">
        <f t="shared" si="637"/>
        <v>0</v>
      </c>
      <c r="JB79" s="110">
        <f t="shared" si="638"/>
        <v>0</v>
      </c>
      <c r="JC79" s="110">
        <f t="shared" si="639"/>
        <v>0</v>
      </c>
      <c r="JD79" s="110">
        <f t="shared" si="640"/>
        <v>0</v>
      </c>
      <c r="JE79" s="110">
        <f t="shared" si="641"/>
        <v>0</v>
      </c>
      <c r="JF79" s="110">
        <f t="shared" si="642"/>
        <v>0</v>
      </c>
      <c r="JG79" s="110">
        <f t="shared" si="643"/>
        <v>0</v>
      </c>
      <c r="JH79" s="110">
        <f t="shared" si="644"/>
        <v>0</v>
      </c>
      <c r="JI79" s="110">
        <f t="shared" si="645"/>
        <v>0</v>
      </c>
      <c r="JJ79" s="110">
        <f t="shared" si="646"/>
        <v>0</v>
      </c>
      <c r="JK79" s="110">
        <f t="shared" si="647"/>
        <v>0</v>
      </c>
      <c r="JL79" s="110">
        <f t="shared" si="648"/>
        <v>0</v>
      </c>
      <c r="JM79" s="110">
        <f t="shared" si="649"/>
        <v>0</v>
      </c>
      <c r="JN79" s="110">
        <f t="shared" si="650"/>
        <v>0</v>
      </c>
      <c r="JO79" s="110">
        <f t="shared" si="651"/>
        <v>0</v>
      </c>
      <c r="JP79" s="110">
        <f t="shared" si="652"/>
        <v>0</v>
      </c>
      <c r="JQ79" s="110">
        <f t="shared" si="653"/>
        <v>0</v>
      </c>
      <c r="JR79" s="110">
        <f t="shared" si="654"/>
        <v>0</v>
      </c>
      <c r="JS79" s="110">
        <f t="shared" si="655"/>
        <v>0</v>
      </c>
      <c r="JT79" s="110">
        <f t="shared" si="656"/>
        <v>0</v>
      </c>
      <c r="JV79" s="111">
        <f t="shared" si="657"/>
        <v>0</v>
      </c>
      <c r="JW79" s="110">
        <f t="shared" si="658"/>
        <v>0</v>
      </c>
      <c r="JX79" s="110">
        <f t="shared" si="659"/>
        <v>0</v>
      </c>
      <c r="JY79" s="110">
        <f t="shared" si="660"/>
        <v>0</v>
      </c>
      <c r="JZ79" s="110">
        <f t="shared" si="661"/>
        <v>-14.720000000000027</v>
      </c>
      <c r="KA79" s="110">
        <f t="shared" si="662"/>
        <v>0</v>
      </c>
      <c r="KB79" s="110">
        <f t="shared" si="663"/>
        <v>0</v>
      </c>
      <c r="KC79" s="110">
        <f t="shared" si="664"/>
        <v>0</v>
      </c>
      <c r="KD79" s="110">
        <f t="shared" si="665"/>
        <v>0</v>
      </c>
      <c r="KE79" s="110">
        <f t="shared" si="666"/>
        <v>0</v>
      </c>
      <c r="KF79" s="110">
        <f t="shared" si="667"/>
        <v>0</v>
      </c>
      <c r="KG79" s="110">
        <f t="shared" si="668"/>
        <v>0</v>
      </c>
      <c r="KH79" s="110">
        <f t="shared" si="669"/>
        <v>0</v>
      </c>
      <c r="KI79" s="110">
        <f t="shared" si="670"/>
        <v>0</v>
      </c>
      <c r="KJ79" s="110">
        <f t="shared" si="671"/>
        <v>0</v>
      </c>
      <c r="KK79" s="110">
        <f t="shared" si="672"/>
        <v>0</v>
      </c>
      <c r="KL79" s="110">
        <f t="shared" si="673"/>
        <v>0</v>
      </c>
      <c r="KM79" s="110">
        <f t="shared" si="674"/>
        <v>0</v>
      </c>
      <c r="KN79" s="110">
        <f t="shared" si="675"/>
        <v>0</v>
      </c>
      <c r="KO79" s="110">
        <f t="shared" si="676"/>
        <v>0</v>
      </c>
      <c r="KP79" s="110">
        <f t="shared" si="677"/>
        <v>0</v>
      </c>
      <c r="KQ79" s="110">
        <f t="shared" si="678"/>
        <v>0</v>
      </c>
      <c r="KR79" s="110">
        <f t="shared" si="679"/>
        <v>0</v>
      </c>
      <c r="KS79" s="110">
        <f t="shared" si="680"/>
        <v>0</v>
      </c>
      <c r="KT79" s="110">
        <f t="shared" si="681"/>
        <v>0</v>
      </c>
      <c r="KV79" s="111">
        <f t="shared" si="682"/>
        <v>3.589999999999975</v>
      </c>
      <c r="KW79" s="110">
        <f t="shared" si="683"/>
        <v>3.589999999999975</v>
      </c>
      <c r="KX79" s="110">
        <f t="shared" si="684"/>
        <v>14.359999999999957</v>
      </c>
      <c r="KY79" s="110">
        <f t="shared" si="685"/>
        <v>14.359999999999957</v>
      </c>
      <c r="KZ79" s="110">
        <f t="shared" si="686"/>
        <v>0</v>
      </c>
      <c r="LA79" s="110">
        <f t="shared" si="687"/>
        <v>43.44</v>
      </c>
      <c r="LB79" s="110">
        <f t="shared" si="688"/>
        <v>14.359999999999957</v>
      </c>
      <c r="LC79" s="110">
        <f t="shared" si="689"/>
        <v>14.359999999999957</v>
      </c>
      <c r="LD79" s="110">
        <f t="shared" si="690"/>
        <v>14.359999999999957</v>
      </c>
      <c r="LE79" s="110">
        <f t="shared" si="691"/>
        <v>14.359999999999957</v>
      </c>
      <c r="LF79" s="110">
        <f t="shared" si="692"/>
        <v>10.769999999999982</v>
      </c>
      <c r="LG79" s="110">
        <f t="shared" si="693"/>
        <v>10.769999999999982</v>
      </c>
      <c r="LH79" s="110">
        <f t="shared" si="694"/>
        <v>10.769999999999982</v>
      </c>
      <c r="LI79" s="110">
        <f t="shared" si="695"/>
        <v>10.769999999999982</v>
      </c>
      <c r="LJ79" s="110">
        <f t="shared" si="696"/>
        <v>0</v>
      </c>
      <c r="LK79" s="110">
        <f t="shared" si="697"/>
        <v>0</v>
      </c>
      <c r="LL79" s="110">
        <f t="shared" si="698"/>
        <v>0</v>
      </c>
      <c r="LM79" s="110">
        <f t="shared" si="699"/>
        <v>11.819999999999993</v>
      </c>
      <c r="LN79" s="110">
        <f t="shared" si="700"/>
        <v>11.819999999999993</v>
      </c>
      <c r="LO79" s="110">
        <f t="shared" si="701"/>
        <v>11.819999999999993</v>
      </c>
      <c r="LP79" s="110">
        <f t="shared" si="702"/>
        <v>11.819999999999993</v>
      </c>
      <c r="LQ79" s="110">
        <f t="shared" si="703"/>
        <v>11.819999999999993</v>
      </c>
      <c r="LR79" s="110">
        <f t="shared" si="704"/>
        <v>11.819999999999993</v>
      </c>
      <c r="LS79" s="110">
        <f t="shared" si="705"/>
        <v>11.819999999999993</v>
      </c>
      <c r="LT79" s="110">
        <f t="shared" si="706"/>
        <v>11.819999999999993</v>
      </c>
      <c r="LV79" s="111"/>
      <c r="LW79" s="110">
        <f t="shared" si="707"/>
        <v>0</v>
      </c>
      <c r="LX79" s="110">
        <f t="shared" si="708"/>
        <v>0</v>
      </c>
      <c r="LY79" s="110">
        <f t="shared" si="709"/>
        <v>0</v>
      </c>
      <c r="LZ79" s="110">
        <f t="shared" si="710"/>
        <v>0</v>
      </c>
      <c r="MA79" s="110">
        <f t="shared" si="711"/>
        <v>0</v>
      </c>
      <c r="MB79" s="110">
        <f t="shared" si="712"/>
        <v>0</v>
      </c>
      <c r="MC79" s="110">
        <f t="shared" si="713"/>
        <v>0</v>
      </c>
      <c r="MD79" s="110">
        <f t="shared" si="714"/>
        <v>0</v>
      </c>
      <c r="ME79" s="110">
        <f t="shared" si="715"/>
        <v>0</v>
      </c>
      <c r="MF79" s="110">
        <f t="shared" si="716"/>
        <v>0</v>
      </c>
      <c r="MG79" s="110">
        <f t="shared" si="717"/>
        <v>0</v>
      </c>
      <c r="MH79" s="110">
        <f t="shared" si="718"/>
        <v>0</v>
      </c>
      <c r="MI79" s="110">
        <f t="shared" si="719"/>
        <v>0</v>
      </c>
      <c r="MJ79" s="110">
        <f t="shared" si="720"/>
        <v>0</v>
      </c>
      <c r="MK79" s="110">
        <f t="shared" si="721"/>
        <v>0</v>
      </c>
      <c r="ML79" s="110">
        <f t="shared" si="722"/>
        <v>0</v>
      </c>
      <c r="MM79" s="110">
        <f t="shared" si="723"/>
        <v>0</v>
      </c>
      <c r="MN79" s="110">
        <f t="shared" si="724"/>
        <v>0</v>
      </c>
      <c r="MO79" s="110">
        <f t="shared" si="725"/>
        <v>0</v>
      </c>
      <c r="MP79" s="110">
        <f t="shared" si="726"/>
        <v>0</v>
      </c>
      <c r="MQ79" s="110">
        <f t="shared" si="727"/>
        <v>0</v>
      </c>
      <c r="MR79" s="110">
        <f t="shared" si="728"/>
        <v>0</v>
      </c>
      <c r="MS79" s="110">
        <f t="shared" si="729"/>
        <v>0</v>
      </c>
      <c r="MT79" s="110">
        <f t="shared" si="730"/>
        <v>0</v>
      </c>
      <c r="MV79" s="114">
        <v>349.28</v>
      </c>
      <c r="MW79" s="114">
        <v>0</v>
      </c>
      <c r="MX79" s="114">
        <v>11.819999999999993</v>
      </c>
      <c r="MY79" s="114">
        <v>0</v>
      </c>
      <c r="MZ79" s="114">
        <v>0</v>
      </c>
      <c r="NB79" s="115">
        <v>12</v>
      </c>
      <c r="NC79" s="115" t="str">
        <v>N/A</v>
      </c>
      <c r="ND79" s="115">
        <v>11</v>
      </c>
      <c r="NE79" s="115" t="str">
        <v>N/A</v>
      </c>
      <c r="NF79" s="115" t="str">
        <v>N/A</v>
      </c>
    </row>
    <row r="80" spans="2:370" ht="13.5" x14ac:dyDescent="0.25">
      <c r="B80" s="8">
        <f t="shared" si="731"/>
        <v>77</v>
      </c>
      <c r="C80" s="7">
        <v>288.14999999999998</v>
      </c>
      <c r="D80" s="7">
        <v>288.14999999999998</v>
      </c>
      <c r="E80" s="7">
        <v>288.14999999999998</v>
      </c>
      <c r="F80" s="7">
        <v>288.14999999999998</v>
      </c>
      <c r="G80" s="7">
        <v>288.14999999999998</v>
      </c>
      <c r="H80" s="7">
        <v>288.14999999999998</v>
      </c>
      <c r="I80" s="7">
        <v>288.14999999999998</v>
      </c>
      <c r="J80" s="7">
        <v>288.14999999999998</v>
      </c>
      <c r="K80" s="7">
        <v>288.14999999999998</v>
      </c>
      <c r="L80" s="7">
        <v>288.14999999999998</v>
      </c>
      <c r="M80" s="7">
        <v>288.14999999999998</v>
      </c>
      <c r="N80" s="7">
        <v>288.14999999999998</v>
      </c>
      <c r="O80" s="7">
        <v>288.14999999999998</v>
      </c>
      <c r="P80" s="7">
        <v>288.14999999999998</v>
      </c>
      <c r="Q80" s="7">
        <v>288.14999999999998</v>
      </c>
      <c r="R80" s="7">
        <v>288.14999999999998</v>
      </c>
      <c r="S80" s="7">
        <v>288.14999999999998</v>
      </c>
      <c r="T80" s="7">
        <v>288.14999999999998</v>
      </c>
      <c r="U80" s="7">
        <v>288.14999999999998</v>
      </c>
      <c r="V80" s="7">
        <v>288.14999999999998</v>
      </c>
      <c r="W80" s="7">
        <v>288.14999999999998</v>
      </c>
      <c r="X80" s="7">
        <v>288.14999999999998</v>
      </c>
      <c r="Y80" s="7">
        <v>288.14999999999998</v>
      </c>
      <c r="Z80" s="7">
        <v>288.14999999999998</v>
      </c>
      <c r="AA80" s="7">
        <v>288.14999999999998</v>
      </c>
      <c r="AB80" s="7">
        <v>288.14999999999998</v>
      </c>
      <c r="AC80" s="7">
        <v>288.14999999999998</v>
      </c>
      <c r="AD80" s="7">
        <v>288.14999999999998</v>
      </c>
      <c r="AE80" s="7">
        <v>288.14999999999998</v>
      </c>
      <c r="AF80" s="7">
        <v>288.14999999999998</v>
      </c>
      <c r="AG80" s="7">
        <v>288.14999999999998</v>
      </c>
      <c r="AH80" s="7">
        <v>288.14999999999998</v>
      </c>
      <c r="AI80" s="7">
        <v>288.14999999999998</v>
      </c>
      <c r="AJ80" s="7">
        <v>288.14999999999998</v>
      </c>
      <c r="AK80" s="7">
        <v>288.14999999999998</v>
      </c>
      <c r="AL80" s="7">
        <v>288.14999999999998</v>
      </c>
      <c r="AM80" s="7">
        <v>288.14999999999998</v>
      </c>
      <c r="AN80" s="27">
        <v>77</v>
      </c>
      <c r="AP80" s="111"/>
      <c r="AQ80" s="110">
        <f t="shared" si="492"/>
        <v>0</v>
      </c>
      <c r="AR80" s="110">
        <f t="shared" si="493"/>
        <v>0</v>
      </c>
      <c r="AS80" s="110">
        <f t="shared" si="494"/>
        <v>0</v>
      </c>
      <c r="AT80" s="110">
        <f t="shared" si="495"/>
        <v>0</v>
      </c>
      <c r="AU80" s="110">
        <f t="shared" si="496"/>
        <v>0</v>
      </c>
      <c r="AV80" s="110">
        <f t="shared" si="497"/>
        <v>0</v>
      </c>
      <c r="AW80" s="110">
        <f t="shared" si="498"/>
        <v>0</v>
      </c>
      <c r="AX80" s="110">
        <f t="shared" si="499"/>
        <v>0</v>
      </c>
      <c r="AY80" s="110">
        <f t="shared" si="500"/>
        <v>0</v>
      </c>
      <c r="AZ80" s="110">
        <f t="shared" si="501"/>
        <v>0</v>
      </c>
      <c r="BA80" s="110">
        <f t="shared" si="502"/>
        <v>0</v>
      </c>
      <c r="BB80" s="110">
        <f t="shared" si="503"/>
        <v>0</v>
      </c>
      <c r="BD80" s="109" cm="1">
        <f t="array" ref="BD80">+IFERROR(INDEX($C$3:$AM$3,MATCH(TRUE,INDEX($C80:$AM80&lt;&gt;0,0),0)),"N/A")</f>
        <v>44926</v>
      </c>
      <c r="BE80" s="112"/>
      <c r="BF80" s="1" t="str" cm="1">
        <f t="array" ref="BF80">+_xlfn.IFS(BT80&lt;&gt;0,BT$2,CH80&lt;&gt;0,CH$2,CV80&lt;&gt;0,CV$2,DJ80&lt;&gt;0,DJ$2,TRUE,"")</f>
        <v/>
      </c>
      <c r="BG80" s="1" t="str" cm="1">
        <f t="array" ref="BG80">+_xlfn.IFS(BU80&lt;&gt;0,BU$2,CI80&lt;&gt;0,CI$2,CW80&lt;&gt;0,CW$2,DK80&lt;&gt;0,DK$2,TRUE,"")</f>
        <v/>
      </c>
      <c r="BH80" s="1" t="str" cm="1">
        <f t="array" ref="BH80">+_xlfn.IFS(BV80&lt;&gt;0,BV$2,CJ80&lt;&gt;0,CJ$2,CX80&lt;&gt;0,CX$2,DL80&lt;&gt;0,DL$2,TRUE,"")</f>
        <v/>
      </c>
      <c r="BI80" s="1" t="str" cm="1">
        <f t="array" ref="BI80">+_xlfn.IFS(BW80&lt;&gt;0,BW$2,CK80&lt;&gt;0,CK$2,CY80&lt;&gt;0,CY$2,DM80&lt;&gt;0,DM$2,TRUE,"")</f>
        <v/>
      </c>
      <c r="BJ80" s="1" t="str" cm="1">
        <f t="array" ref="BJ80">+_xlfn.IFS(BX80&lt;&gt;0,BX$2,CL80&lt;&gt;0,CL$2,CZ80&lt;&gt;0,CZ$2,DN80&lt;&gt;0,DN$2,TRUE,"")</f>
        <v/>
      </c>
      <c r="BK80" s="1" t="str" cm="1">
        <f t="array" ref="BK80">+_xlfn.IFS(BY80&lt;&gt;0,BY$2,CM80&lt;&gt;0,CM$2,DA80&lt;&gt;0,DA$2,DO80&lt;&gt;0,DO$2,TRUE,"")</f>
        <v/>
      </c>
      <c r="BL80" s="1" t="str" cm="1">
        <f t="array" ref="BL80">+_xlfn.IFS(BZ80&lt;&gt;0,BZ$2,CN80&lt;&gt;0,CN$2,DB80&lt;&gt;0,DB$2,DP80&lt;&gt;0,DP$2,TRUE,"")</f>
        <v/>
      </c>
      <c r="BM80" s="1" t="str" cm="1">
        <f t="array" ref="BM80">+_xlfn.IFS(CA80&lt;&gt;0,CA$2,CO80&lt;&gt;0,CO$2,DC80&lt;&gt;0,DC$2,DQ80&lt;&gt;0,DQ$2,TRUE,"")</f>
        <v/>
      </c>
      <c r="BN80" s="1" t="str" cm="1">
        <f t="array" ref="BN80">+_xlfn.IFS(CB80&lt;&gt;0,CB$2,CP80&lt;&gt;0,CP$2,DD80&lt;&gt;0,DD$2,DR80&lt;&gt;0,DR$2,TRUE,"")</f>
        <v/>
      </c>
      <c r="BO80" s="1" t="str" cm="1">
        <f t="array" ref="BO80">+_xlfn.IFS(CC80&lt;&gt;0,CC$2,CQ80&lt;&gt;0,CQ$2,DE80&lt;&gt;0,DE$2,DS80&lt;&gt;0,DS$2,TRUE,"")</f>
        <v/>
      </c>
      <c r="BP80" s="1" t="str" cm="1">
        <f t="array" ref="BP80">+_xlfn.IFS(CD80&lt;&gt;0,CD$2,CR80&lt;&gt;0,CR$2,DF80&lt;&gt;0,DF$2,DT80&lt;&gt;0,DT$2,TRUE,"")</f>
        <v/>
      </c>
      <c r="BQ80" s="1" t="str" cm="1">
        <f t="array" ref="BQ80">+_xlfn.IFS(CE80&lt;&gt;0,CE$2,CS80&lt;&gt;0,CS$2,DG80&lt;&gt;0,DG$2,DU80&lt;&gt;0,DU$2,TRUE,"")</f>
        <v/>
      </c>
      <c r="BS80" s="111"/>
      <c r="BT80" s="110">
        <f t="shared" si="504"/>
        <v>0</v>
      </c>
      <c r="BU80" s="110">
        <f t="shared" si="505"/>
        <v>0</v>
      </c>
      <c r="BV80" s="110">
        <f t="shared" si="506"/>
        <v>0</v>
      </c>
      <c r="BW80" s="110">
        <f t="shared" si="507"/>
        <v>0</v>
      </c>
      <c r="BX80" s="110">
        <f t="shared" si="508"/>
        <v>0</v>
      </c>
      <c r="BY80" s="110">
        <f t="shared" si="509"/>
        <v>0</v>
      </c>
      <c r="BZ80" s="110">
        <f t="shared" si="510"/>
        <v>0</v>
      </c>
      <c r="CA80" s="110">
        <f t="shared" si="511"/>
        <v>0</v>
      </c>
      <c r="CB80" s="110">
        <f t="shared" si="512"/>
        <v>0</v>
      </c>
      <c r="CC80" s="110">
        <f t="shared" si="513"/>
        <v>0</v>
      </c>
      <c r="CD80" s="110">
        <f t="shared" si="514"/>
        <v>0</v>
      </c>
      <c r="CE80" s="110">
        <f t="shared" si="515"/>
        <v>0</v>
      </c>
      <c r="CG80" s="111"/>
      <c r="CH80" s="110">
        <f t="shared" si="516"/>
        <v>0</v>
      </c>
      <c r="CI80" s="110">
        <f t="shared" si="517"/>
        <v>0</v>
      </c>
      <c r="CJ80" s="110">
        <f t="shared" si="518"/>
        <v>0</v>
      </c>
      <c r="CK80" s="110">
        <f t="shared" si="519"/>
        <v>0</v>
      </c>
      <c r="CL80" s="110">
        <f t="shared" si="520"/>
        <v>0</v>
      </c>
      <c r="CM80" s="110">
        <f t="shared" si="521"/>
        <v>0</v>
      </c>
      <c r="CN80" s="110">
        <f t="shared" si="522"/>
        <v>0</v>
      </c>
      <c r="CO80" s="110">
        <f t="shared" si="523"/>
        <v>0</v>
      </c>
      <c r="CP80" s="110">
        <f t="shared" si="524"/>
        <v>0</v>
      </c>
      <c r="CQ80" s="110">
        <f t="shared" si="525"/>
        <v>0</v>
      </c>
      <c r="CR80" s="110">
        <f t="shared" si="526"/>
        <v>0</v>
      </c>
      <c r="CS80" s="110">
        <f t="shared" si="527"/>
        <v>0</v>
      </c>
      <c r="CU80" s="111"/>
      <c r="CV80" s="110">
        <f t="shared" si="528"/>
        <v>0</v>
      </c>
      <c r="CW80" s="110">
        <f t="shared" si="529"/>
        <v>0</v>
      </c>
      <c r="CX80" s="110">
        <f t="shared" si="530"/>
        <v>0</v>
      </c>
      <c r="CY80" s="110">
        <f t="shared" si="531"/>
        <v>0</v>
      </c>
      <c r="CZ80" s="110">
        <f t="shared" si="532"/>
        <v>0</v>
      </c>
      <c r="DA80" s="110">
        <f t="shared" si="533"/>
        <v>0</v>
      </c>
      <c r="DB80" s="110">
        <f t="shared" si="534"/>
        <v>0</v>
      </c>
      <c r="DC80" s="110">
        <f t="shared" si="535"/>
        <v>0</v>
      </c>
      <c r="DD80" s="110">
        <f t="shared" si="536"/>
        <v>0</v>
      </c>
      <c r="DE80" s="110">
        <f t="shared" si="537"/>
        <v>0</v>
      </c>
      <c r="DF80" s="110">
        <f t="shared" si="538"/>
        <v>0</v>
      </c>
      <c r="DG80" s="110">
        <f t="shared" si="539"/>
        <v>0</v>
      </c>
      <c r="DI80" s="111"/>
      <c r="DJ80" s="110">
        <f t="shared" si="540"/>
        <v>0</v>
      </c>
      <c r="DK80" s="110">
        <f t="shared" si="541"/>
        <v>0</v>
      </c>
      <c r="DL80" s="110">
        <f t="shared" si="542"/>
        <v>0</v>
      </c>
      <c r="DM80" s="110">
        <f t="shared" si="543"/>
        <v>0</v>
      </c>
      <c r="DN80" s="110">
        <f t="shared" si="544"/>
        <v>0</v>
      </c>
      <c r="DO80" s="110">
        <f t="shared" si="545"/>
        <v>0</v>
      </c>
      <c r="DP80" s="110">
        <f t="shared" si="546"/>
        <v>0</v>
      </c>
      <c r="DQ80" s="110">
        <f t="shared" si="547"/>
        <v>0</v>
      </c>
      <c r="DR80" s="110">
        <f t="shared" si="548"/>
        <v>0</v>
      </c>
      <c r="DS80" s="110">
        <f t="shared" si="549"/>
        <v>0</v>
      </c>
      <c r="DT80" s="110">
        <f t="shared" si="550"/>
        <v>0</v>
      </c>
      <c r="DU80" s="110">
        <f t="shared" si="551"/>
        <v>0</v>
      </c>
      <c r="DW80" s="111"/>
      <c r="DX80" s="110">
        <f t="shared" si="552"/>
        <v>0</v>
      </c>
      <c r="DY80" s="110">
        <f t="shared" si="553"/>
        <v>0</v>
      </c>
      <c r="DZ80" s="110">
        <f t="shared" si="554"/>
        <v>0</v>
      </c>
      <c r="EA80" s="110">
        <f t="shared" si="555"/>
        <v>0</v>
      </c>
      <c r="EB80" s="110">
        <f t="shared" si="556"/>
        <v>0</v>
      </c>
      <c r="EC80" s="110">
        <f t="shared" si="557"/>
        <v>0</v>
      </c>
      <c r="ED80" s="110">
        <f t="shared" si="558"/>
        <v>0</v>
      </c>
      <c r="EE80" s="110">
        <f t="shared" si="559"/>
        <v>0</v>
      </c>
      <c r="EF80" s="110">
        <f t="shared" si="560"/>
        <v>0</v>
      </c>
      <c r="EG80" s="110">
        <f t="shared" si="561"/>
        <v>0</v>
      </c>
      <c r="EH80" s="110">
        <f t="shared" si="562"/>
        <v>0</v>
      </c>
      <c r="EI80" s="110">
        <f t="shared" si="563"/>
        <v>0</v>
      </c>
      <c r="EK80" s="111"/>
      <c r="EL80" s="110">
        <f t="shared" si="564"/>
        <v>0</v>
      </c>
      <c r="EM80" s="110">
        <f t="shared" si="565"/>
        <v>0</v>
      </c>
      <c r="EN80" s="110">
        <f t="shared" si="566"/>
        <v>0</v>
      </c>
      <c r="EP80" s="109" cm="1">
        <f t="array" ref="EP80">+IFERROR(INDEX($C$3:$AM$3,MATCH(TRUE,INDEX($C80:$AM80&lt;&gt;0,0),0)),"N/A")</f>
        <v>44926</v>
      </c>
      <c r="EQ80" s="112"/>
      <c r="ER80" s="1" t="str" cm="1">
        <f t="array" ref="ER80">+_xlfn.IFS(EW80&lt;&gt;0,EW$2,FB80&lt;&gt;0,FB$2,FG80&lt;&gt;0,FG$2,FL80&lt;&gt;0,FL$2,TRUE,"")</f>
        <v/>
      </c>
      <c r="ES80" s="1" t="str" cm="1">
        <f t="array" ref="ES80">+_xlfn.IFS(EX80&lt;&gt;0,EX$2,FC80&lt;&gt;0,FC$2,FH80&lt;&gt;0,FH$2,FM80&lt;&gt;0,FM$2,TRUE,"")</f>
        <v/>
      </c>
      <c r="ET80" s="1" t="str" cm="1">
        <f t="array" ref="ET80">+_xlfn.IFS(EY80&lt;&gt;0,EY$2,FD80&lt;&gt;0,FD$2,FI80&lt;&gt;0,FI$2,FN80&lt;&gt;0,FN$2,TRUE,"")</f>
        <v/>
      </c>
      <c r="EV80" s="111"/>
      <c r="EW80" s="110">
        <f t="shared" si="567"/>
        <v>0</v>
      </c>
      <c r="EX80" s="110">
        <f t="shared" si="568"/>
        <v>0</v>
      </c>
      <c r="EY80" s="110">
        <f t="shared" si="569"/>
        <v>0</v>
      </c>
      <c r="FA80" s="111"/>
      <c r="FB80" s="110">
        <f t="shared" si="570"/>
        <v>0</v>
      </c>
      <c r="FC80" s="110">
        <f t="shared" si="571"/>
        <v>0</v>
      </c>
      <c r="FD80" s="110">
        <f t="shared" si="572"/>
        <v>0</v>
      </c>
      <c r="FF80" s="111"/>
      <c r="FG80" s="110">
        <f t="shared" si="573"/>
        <v>0</v>
      </c>
      <c r="FH80" s="110">
        <f t="shared" si="574"/>
        <v>0</v>
      </c>
      <c r="FI80" s="110">
        <f t="shared" si="575"/>
        <v>0</v>
      </c>
      <c r="FK80" s="111"/>
      <c r="FL80" s="110">
        <f t="shared" si="576"/>
        <v>0</v>
      </c>
      <c r="FM80" s="110">
        <f t="shared" si="577"/>
        <v>0</v>
      </c>
      <c r="FN80" s="110">
        <f t="shared" si="578"/>
        <v>0</v>
      </c>
      <c r="FP80" s="111"/>
      <c r="FQ80" s="110">
        <f t="shared" si="579"/>
        <v>0</v>
      </c>
      <c r="FR80" s="110">
        <f t="shared" si="580"/>
        <v>0</v>
      </c>
      <c r="FS80" s="110">
        <f t="shared" si="581"/>
        <v>0</v>
      </c>
      <c r="FU80" s="111">
        <f t="shared" si="582"/>
        <v>0</v>
      </c>
      <c r="FV80" s="110">
        <f t="shared" si="583"/>
        <v>0</v>
      </c>
      <c r="FW80" s="110">
        <f t="shared" si="584"/>
        <v>0</v>
      </c>
      <c r="FX80" s="110">
        <f t="shared" si="585"/>
        <v>0</v>
      </c>
      <c r="FY80" s="110">
        <f t="shared" si="586"/>
        <v>0</v>
      </c>
      <c r="FZ80" s="110">
        <f t="shared" si="587"/>
        <v>0</v>
      </c>
      <c r="GA80" s="110">
        <f t="shared" si="588"/>
        <v>0</v>
      </c>
      <c r="GB80" s="110">
        <f t="shared" si="589"/>
        <v>0</v>
      </c>
      <c r="GC80" s="110">
        <f t="shared" si="590"/>
        <v>0</v>
      </c>
      <c r="GD80" s="110">
        <f t="shared" si="591"/>
        <v>0</v>
      </c>
      <c r="GE80" s="110">
        <f t="shared" si="592"/>
        <v>0</v>
      </c>
      <c r="GF80" s="110">
        <f t="shared" si="593"/>
        <v>0</v>
      </c>
      <c r="GG80" s="110">
        <f t="shared" si="594"/>
        <v>0</v>
      </c>
      <c r="GH80" s="110">
        <f t="shared" si="595"/>
        <v>0</v>
      </c>
      <c r="GI80" s="110">
        <f t="shared" si="596"/>
        <v>0</v>
      </c>
      <c r="GJ80" s="110">
        <f t="shared" si="597"/>
        <v>0</v>
      </c>
      <c r="GK80" s="110">
        <f t="shared" si="598"/>
        <v>0</v>
      </c>
      <c r="GL80" s="110">
        <f t="shared" si="599"/>
        <v>0</v>
      </c>
      <c r="GM80" s="110">
        <f t="shared" si="600"/>
        <v>0</v>
      </c>
      <c r="GN80" s="110">
        <f t="shared" si="601"/>
        <v>0</v>
      </c>
      <c r="GO80" s="110">
        <f t="shared" si="602"/>
        <v>0</v>
      </c>
      <c r="GP80" s="110">
        <f t="shared" si="603"/>
        <v>0</v>
      </c>
      <c r="GQ80" s="110">
        <f t="shared" si="604"/>
        <v>0</v>
      </c>
      <c r="GR80" s="110">
        <f t="shared" si="605"/>
        <v>0</v>
      </c>
      <c r="GS80" s="110">
        <f t="shared" si="606"/>
        <v>0</v>
      </c>
      <c r="GU80" s="109" cm="1">
        <f t="array" ref="GU80">+IFERROR(INDEX($C$3:$AM$3,MATCH(TRUE,INDEX($C80:$AM80&lt;&gt;0,0),0)),"N/A")</f>
        <v>44926</v>
      </c>
      <c r="GV80" s="112" t="str" cm="1">
        <f t="array" ref="GV80">+_xlfn.IFS(HV80&lt;&gt;0,HV$2,IV80&lt;&gt;0,IV$2,JV80&lt;&gt;0,JV$2,KV80&lt;&gt;0,KV$2,TRUE,"")</f>
        <v/>
      </c>
      <c r="GW80" s="1" t="str" cm="1">
        <f t="array" ref="GW80">+_xlfn.IFS(HW80&lt;&gt;0,HW$2,IW80&lt;&gt;0,IW$2,JW80&lt;&gt;0,JW$2,KW80&lt;&gt;0,KW$2,TRUE,"")</f>
        <v/>
      </c>
      <c r="GX80" s="1" t="str" cm="1">
        <f t="array" ref="GX80">+_xlfn.IFS(HX80&lt;&gt;0,HX$2,IX80&lt;&gt;0,IX$2,JX80&lt;&gt;0,JX$2,KX80&lt;&gt;0,KX$2,TRUE,"")</f>
        <v/>
      </c>
      <c r="GY80" s="1" t="str" cm="1">
        <f t="array" ref="GY80">+_xlfn.IFS(HY80&lt;&gt;0,HY$2,IY80&lt;&gt;0,IY$2,JY80&lt;&gt;0,JY$2,KY80&lt;&gt;0,KY$2,TRUE,"")</f>
        <v/>
      </c>
      <c r="GZ80" s="1" t="str" cm="1">
        <f t="array" ref="GZ80">+_xlfn.IFS(HZ80&lt;&gt;0,HZ$2,IZ80&lt;&gt;0,IZ$2,JZ80&lt;&gt;0,JZ$2,KZ80&lt;&gt;0,KZ$2,TRUE,"")</f>
        <v/>
      </c>
      <c r="HA80" s="1" t="str" cm="1">
        <f t="array" ref="HA80">+_xlfn.IFS(IA80&lt;&gt;0,IA$2,JA80&lt;&gt;0,JA$2,KA80&lt;&gt;0,KA$2,LA80&lt;&gt;0,LA$2,TRUE,"")</f>
        <v/>
      </c>
      <c r="HB80" s="1" t="str" cm="1">
        <f t="array" ref="HB80">+_xlfn.IFS(IB80&lt;&gt;0,IB$2,JB80&lt;&gt;0,JB$2,KB80&lt;&gt;0,KB$2,LB80&lt;&gt;0,LB$2,TRUE,"")</f>
        <v/>
      </c>
      <c r="HC80" s="1" t="str" cm="1">
        <f t="array" ref="HC80">+_xlfn.IFS(IC80&lt;&gt;0,IC$2,JC80&lt;&gt;0,JC$2,KC80&lt;&gt;0,KC$2,LC80&lt;&gt;0,LC$2,TRUE,"")</f>
        <v/>
      </c>
      <c r="HD80" s="1" t="str" cm="1">
        <f t="array" ref="HD80">+_xlfn.IFS(ID80&lt;&gt;0,ID$2,JD80&lt;&gt;0,JD$2,KD80&lt;&gt;0,KD$2,LD80&lt;&gt;0,LD$2,TRUE,"")</f>
        <v/>
      </c>
      <c r="HE80" s="1" t="str" cm="1">
        <f t="array" ref="HE80">+_xlfn.IFS(IE80&lt;&gt;0,IE$2,JE80&lt;&gt;0,JE$2,KE80&lt;&gt;0,KE$2,LE80&lt;&gt;0,LE$2,TRUE,"")</f>
        <v/>
      </c>
      <c r="HF80" s="1" t="str" cm="1">
        <f t="array" ref="HF80">+_xlfn.IFS(IF80&lt;&gt;0,IF$2,JF80&lt;&gt;0,JF$2,KF80&lt;&gt;0,KF$2,LF80&lt;&gt;0,LF$2,TRUE,"")</f>
        <v/>
      </c>
      <c r="HG80" s="1" t="str" cm="1">
        <f t="array" ref="HG80">+_xlfn.IFS(IG80&lt;&gt;0,IG$2,JG80&lt;&gt;0,JG$2,KG80&lt;&gt;0,KG$2,LG80&lt;&gt;0,LG$2,TRUE,"")</f>
        <v/>
      </c>
      <c r="HH80" s="1" t="str" cm="1">
        <f t="array" ref="HH80">+_xlfn.IFS(IH80&lt;&gt;0,IH$2,JH80&lt;&gt;0,JH$2,KH80&lt;&gt;0,KH$2,LH80&lt;&gt;0,LH$2,TRUE,"")</f>
        <v/>
      </c>
      <c r="HI80" s="1" t="str" cm="1">
        <f t="array" ref="HI80">+_xlfn.IFS(II80&lt;&gt;0,II$2,JI80&lt;&gt;0,JI$2,KI80&lt;&gt;0,KI$2,LI80&lt;&gt;0,LI$2,TRUE,"")</f>
        <v/>
      </c>
      <c r="HJ80" s="1" t="str" cm="1">
        <f t="array" ref="HJ80">+_xlfn.IFS(IJ80&lt;&gt;0,IJ$2,JJ80&lt;&gt;0,JJ$2,KJ80&lt;&gt;0,KJ$2,LJ80&lt;&gt;0,LJ$2,TRUE,"")</f>
        <v/>
      </c>
      <c r="HK80" s="1" t="str" cm="1">
        <f t="array" ref="HK80">+_xlfn.IFS(IK80&lt;&gt;0,IK$2,JK80&lt;&gt;0,JK$2,KK80&lt;&gt;0,KK$2,LK80&lt;&gt;0,LK$2,TRUE,"")</f>
        <v/>
      </c>
      <c r="HL80" s="1" t="str" cm="1">
        <f t="array" ref="HL80">+_xlfn.IFS(IL80&lt;&gt;0,IL$2,JL80&lt;&gt;0,JL$2,KL80&lt;&gt;0,KL$2,LL80&lt;&gt;0,LL$2,TRUE,"")</f>
        <v/>
      </c>
      <c r="HM80" s="1" t="str" cm="1">
        <f t="array" ref="HM80">+_xlfn.IFS(IM80&lt;&gt;0,IM$2,JM80&lt;&gt;0,JM$2,KM80&lt;&gt;0,KM$2,LM80&lt;&gt;0,LM$2,TRUE,"")</f>
        <v/>
      </c>
      <c r="HN80" s="1" t="str" cm="1">
        <f t="array" ref="HN80">+_xlfn.IFS(IN80&lt;&gt;0,IN$2,JN80&lt;&gt;0,JN$2,KN80&lt;&gt;0,KN$2,LN80&lt;&gt;0,LN$2,TRUE,"")</f>
        <v/>
      </c>
      <c r="HO80" s="1" t="str" cm="1">
        <f t="array" ref="HO80">+_xlfn.IFS(IO80&lt;&gt;0,IO$2,JO80&lt;&gt;0,JO$2,KO80&lt;&gt;0,KO$2,LO80&lt;&gt;0,LO$2,TRUE,"")</f>
        <v/>
      </c>
      <c r="HP80" s="1" t="str" cm="1">
        <f t="array" ref="HP80">+_xlfn.IFS(IP80&lt;&gt;0,IP$2,JP80&lt;&gt;0,JP$2,KP80&lt;&gt;0,KP$2,LP80&lt;&gt;0,LP$2,TRUE,"")</f>
        <v/>
      </c>
      <c r="HQ80" s="1" t="str" cm="1">
        <f t="array" ref="HQ80">+_xlfn.IFS(IQ80&lt;&gt;0,IQ$2,JQ80&lt;&gt;0,JQ$2,KQ80&lt;&gt;0,KQ$2,LQ80&lt;&gt;0,LQ$2,TRUE,"")</f>
        <v/>
      </c>
      <c r="HR80" s="1" t="str" cm="1">
        <f t="array" ref="HR80">+_xlfn.IFS(IR80&lt;&gt;0,IR$2,JR80&lt;&gt;0,JR$2,KR80&lt;&gt;0,KR$2,LR80&lt;&gt;0,LR$2,TRUE,"")</f>
        <v/>
      </c>
      <c r="HS80" s="1" t="str" cm="1">
        <f t="array" ref="HS80">+_xlfn.IFS(IS80&lt;&gt;0,IS$2,JS80&lt;&gt;0,JS$2,KS80&lt;&gt;0,KS$2,LS80&lt;&gt;0,LS$2,TRUE,"")</f>
        <v/>
      </c>
      <c r="HT80" s="1" t="str" cm="1">
        <f t="array" ref="HT80">+_xlfn.IFS(IT80&lt;&gt;0,IT$2,JT80&lt;&gt;0,JT$2,KT80&lt;&gt;0,KT$2,LT80&lt;&gt;0,LT$2,TRUE,"")</f>
        <v/>
      </c>
      <c r="HV80" s="111">
        <f t="shared" si="607"/>
        <v>0</v>
      </c>
      <c r="HW80" s="110">
        <f t="shared" si="608"/>
        <v>0</v>
      </c>
      <c r="HX80" s="110">
        <f t="shared" si="609"/>
        <v>0</v>
      </c>
      <c r="HY80" s="110">
        <f t="shared" si="610"/>
        <v>0</v>
      </c>
      <c r="HZ80" s="110">
        <f t="shared" si="611"/>
        <v>0</v>
      </c>
      <c r="IA80" s="110">
        <f t="shared" si="612"/>
        <v>0</v>
      </c>
      <c r="IB80" s="110">
        <f t="shared" si="613"/>
        <v>0</v>
      </c>
      <c r="IC80" s="110">
        <f t="shared" si="614"/>
        <v>0</v>
      </c>
      <c r="ID80" s="110">
        <f t="shared" si="615"/>
        <v>0</v>
      </c>
      <c r="IE80" s="110">
        <f t="shared" si="616"/>
        <v>0</v>
      </c>
      <c r="IF80" s="110">
        <f t="shared" si="617"/>
        <v>0</v>
      </c>
      <c r="IG80" s="110">
        <f t="shared" si="618"/>
        <v>0</v>
      </c>
      <c r="IH80" s="110">
        <f t="shared" si="619"/>
        <v>0</v>
      </c>
      <c r="II80" s="110">
        <f t="shared" si="620"/>
        <v>0</v>
      </c>
      <c r="IJ80" s="110">
        <f t="shared" si="621"/>
        <v>0</v>
      </c>
      <c r="IK80" s="110">
        <f t="shared" si="622"/>
        <v>0</v>
      </c>
      <c r="IL80" s="110">
        <f t="shared" si="623"/>
        <v>0</v>
      </c>
      <c r="IM80" s="110">
        <f t="shared" si="624"/>
        <v>0</v>
      </c>
      <c r="IN80" s="110">
        <f t="shared" si="625"/>
        <v>0</v>
      </c>
      <c r="IO80" s="110">
        <f t="shared" si="626"/>
        <v>0</v>
      </c>
      <c r="IP80" s="110">
        <f t="shared" si="627"/>
        <v>0</v>
      </c>
      <c r="IQ80" s="110">
        <f t="shared" si="628"/>
        <v>0</v>
      </c>
      <c r="IR80" s="110">
        <f t="shared" si="629"/>
        <v>0</v>
      </c>
      <c r="IS80" s="110">
        <f t="shared" si="630"/>
        <v>0</v>
      </c>
      <c r="IT80" s="110">
        <f t="shared" si="631"/>
        <v>0</v>
      </c>
      <c r="IV80" s="111">
        <f t="shared" si="632"/>
        <v>0</v>
      </c>
      <c r="IW80" s="110">
        <f t="shared" si="633"/>
        <v>0</v>
      </c>
      <c r="IX80" s="110">
        <f t="shared" si="634"/>
        <v>0</v>
      </c>
      <c r="IY80" s="110">
        <f t="shared" si="635"/>
        <v>0</v>
      </c>
      <c r="IZ80" s="110">
        <f t="shared" si="636"/>
        <v>0</v>
      </c>
      <c r="JA80" s="110">
        <f t="shared" si="637"/>
        <v>0</v>
      </c>
      <c r="JB80" s="110">
        <f t="shared" si="638"/>
        <v>0</v>
      </c>
      <c r="JC80" s="110">
        <f t="shared" si="639"/>
        <v>0</v>
      </c>
      <c r="JD80" s="110">
        <f t="shared" si="640"/>
        <v>0</v>
      </c>
      <c r="JE80" s="110">
        <f t="shared" si="641"/>
        <v>0</v>
      </c>
      <c r="JF80" s="110">
        <f t="shared" si="642"/>
        <v>0</v>
      </c>
      <c r="JG80" s="110">
        <f t="shared" si="643"/>
        <v>0</v>
      </c>
      <c r="JH80" s="110">
        <f t="shared" si="644"/>
        <v>0</v>
      </c>
      <c r="JI80" s="110">
        <f t="shared" si="645"/>
        <v>0</v>
      </c>
      <c r="JJ80" s="110">
        <f t="shared" si="646"/>
        <v>0</v>
      </c>
      <c r="JK80" s="110">
        <f t="shared" si="647"/>
        <v>0</v>
      </c>
      <c r="JL80" s="110">
        <f t="shared" si="648"/>
        <v>0</v>
      </c>
      <c r="JM80" s="110">
        <f t="shared" si="649"/>
        <v>0</v>
      </c>
      <c r="JN80" s="110">
        <f t="shared" si="650"/>
        <v>0</v>
      </c>
      <c r="JO80" s="110">
        <f t="shared" si="651"/>
        <v>0</v>
      </c>
      <c r="JP80" s="110">
        <f t="shared" si="652"/>
        <v>0</v>
      </c>
      <c r="JQ80" s="110">
        <f t="shared" si="653"/>
        <v>0</v>
      </c>
      <c r="JR80" s="110">
        <f t="shared" si="654"/>
        <v>0</v>
      </c>
      <c r="JS80" s="110">
        <f t="shared" si="655"/>
        <v>0</v>
      </c>
      <c r="JT80" s="110">
        <f t="shared" si="656"/>
        <v>0</v>
      </c>
      <c r="JV80" s="111">
        <f t="shared" si="657"/>
        <v>0</v>
      </c>
      <c r="JW80" s="110">
        <f t="shared" si="658"/>
        <v>0</v>
      </c>
      <c r="JX80" s="110">
        <f t="shared" si="659"/>
        <v>0</v>
      </c>
      <c r="JY80" s="110">
        <f t="shared" si="660"/>
        <v>0</v>
      </c>
      <c r="JZ80" s="110">
        <f t="shared" si="661"/>
        <v>0</v>
      </c>
      <c r="KA80" s="110">
        <f t="shared" si="662"/>
        <v>0</v>
      </c>
      <c r="KB80" s="110">
        <f t="shared" si="663"/>
        <v>0</v>
      </c>
      <c r="KC80" s="110">
        <f t="shared" si="664"/>
        <v>0</v>
      </c>
      <c r="KD80" s="110">
        <f t="shared" si="665"/>
        <v>0</v>
      </c>
      <c r="KE80" s="110">
        <f t="shared" si="666"/>
        <v>0</v>
      </c>
      <c r="KF80" s="110">
        <f t="shared" si="667"/>
        <v>0</v>
      </c>
      <c r="KG80" s="110">
        <f t="shared" si="668"/>
        <v>0</v>
      </c>
      <c r="KH80" s="110">
        <f t="shared" si="669"/>
        <v>0</v>
      </c>
      <c r="KI80" s="110">
        <f t="shared" si="670"/>
        <v>0</v>
      </c>
      <c r="KJ80" s="110">
        <f t="shared" si="671"/>
        <v>0</v>
      </c>
      <c r="KK80" s="110">
        <f t="shared" si="672"/>
        <v>0</v>
      </c>
      <c r="KL80" s="110">
        <f t="shared" si="673"/>
        <v>0</v>
      </c>
      <c r="KM80" s="110">
        <f t="shared" si="674"/>
        <v>0</v>
      </c>
      <c r="KN80" s="110">
        <f t="shared" si="675"/>
        <v>0</v>
      </c>
      <c r="KO80" s="110">
        <f t="shared" si="676"/>
        <v>0</v>
      </c>
      <c r="KP80" s="110">
        <f t="shared" si="677"/>
        <v>0</v>
      </c>
      <c r="KQ80" s="110">
        <f t="shared" si="678"/>
        <v>0</v>
      </c>
      <c r="KR80" s="110">
        <f t="shared" si="679"/>
        <v>0</v>
      </c>
      <c r="KS80" s="110">
        <f t="shared" si="680"/>
        <v>0</v>
      </c>
      <c r="KT80" s="110">
        <f t="shared" si="681"/>
        <v>0</v>
      </c>
      <c r="KV80" s="111">
        <f t="shared" si="682"/>
        <v>0</v>
      </c>
      <c r="KW80" s="110">
        <f t="shared" si="683"/>
        <v>0</v>
      </c>
      <c r="KX80" s="110">
        <f t="shared" si="684"/>
        <v>0</v>
      </c>
      <c r="KY80" s="110">
        <f t="shared" si="685"/>
        <v>0</v>
      </c>
      <c r="KZ80" s="110">
        <f t="shared" si="686"/>
        <v>0</v>
      </c>
      <c r="LA80" s="110">
        <f t="shared" si="687"/>
        <v>0</v>
      </c>
      <c r="LB80" s="110">
        <f t="shared" si="688"/>
        <v>0</v>
      </c>
      <c r="LC80" s="110">
        <f t="shared" si="689"/>
        <v>0</v>
      </c>
      <c r="LD80" s="110">
        <f t="shared" si="690"/>
        <v>0</v>
      </c>
      <c r="LE80" s="110">
        <f t="shared" si="691"/>
        <v>0</v>
      </c>
      <c r="LF80" s="110">
        <f t="shared" si="692"/>
        <v>0</v>
      </c>
      <c r="LG80" s="110">
        <f t="shared" si="693"/>
        <v>0</v>
      </c>
      <c r="LH80" s="110">
        <f t="shared" si="694"/>
        <v>0</v>
      </c>
      <c r="LI80" s="110">
        <f t="shared" si="695"/>
        <v>0</v>
      </c>
      <c r="LJ80" s="110">
        <f t="shared" si="696"/>
        <v>0</v>
      </c>
      <c r="LK80" s="110">
        <f t="shared" si="697"/>
        <v>0</v>
      </c>
      <c r="LL80" s="110">
        <f t="shared" si="698"/>
        <v>0</v>
      </c>
      <c r="LM80" s="110">
        <f t="shared" si="699"/>
        <v>0</v>
      </c>
      <c r="LN80" s="110">
        <f t="shared" si="700"/>
        <v>0</v>
      </c>
      <c r="LO80" s="110">
        <f t="shared" si="701"/>
        <v>0</v>
      </c>
      <c r="LP80" s="110">
        <f t="shared" si="702"/>
        <v>0</v>
      </c>
      <c r="LQ80" s="110">
        <f t="shared" si="703"/>
        <v>0</v>
      </c>
      <c r="LR80" s="110">
        <f t="shared" si="704"/>
        <v>0</v>
      </c>
      <c r="LS80" s="110">
        <f t="shared" si="705"/>
        <v>0</v>
      </c>
      <c r="LT80" s="110">
        <f t="shared" si="706"/>
        <v>0</v>
      </c>
      <c r="LV80" s="111"/>
      <c r="LW80" s="110">
        <f t="shared" si="707"/>
        <v>0</v>
      </c>
      <c r="LX80" s="110">
        <f t="shared" si="708"/>
        <v>0</v>
      </c>
      <c r="LY80" s="110">
        <f t="shared" si="709"/>
        <v>0</v>
      </c>
      <c r="LZ80" s="110">
        <f t="shared" si="710"/>
        <v>0</v>
      </c>
      <c r="MA80" s="110">
        <f t="shared" si="711"/>
        <v>0</v>
      </c>
      <c r="MB80" s="110">
        <f t="shared" si="712"/>
        <v>0</v>
      </c>
      <c r="MC80" s="110">
        <f t="shared" si="713"/>
        <v>0</v>
      </c>
      <c r="MD80" s="110">
        <f t="shared" si="714"/>
        <v>0</v>
      </c>
      <c r="ME80" s="110">
        <f t="shared" si="715"/>
        <v>0</v>
      </c>
      <c r="MF80" s="110">
        <f t="shared" si="716"/>
        <v>0</v>
      </c>
      <c r="MG80" s="110">
        <f t="shared" si="717"/>
        <v>0</v>
      </c>
      <c r="MH80" s="110">
        <f t="shared" si="718"/>
        <v>0</v>
      </c>
      <c r="MI80" s="110">
        <f t="shared" si="719"/>
        <v>0</v>
      </c>
      <c r="MJ80" s="110">
        <f t="shared" si="720"/>
        <v>0</v>
      </c>
      <c r="MK80" s="110">
        <f t="shared" si="721"/>
        <v>0</v>
      </c>
      <c r="ML80" s="110">
        <f t="shared" si="722"/>
        <v>0</v>
      </c>
      <c r="MM80" s="110">
        <f t="shared" si="723"/>
        <v>0</v>
      </c>
      <c r="MN80" s="110">
        <f t="shared" si="724"/>
        <v>0</v>
      </c>
      <c r="MO80" s="110">
        <f t="shared" si="725"/>
        <v>0</v>
      </c>
      <c r="MP80" s="110">
        <f t="shared" si="726"/>
        <v>0</v>
      </c>
      <c r="MQ80" s="110">
        <f t="shared" si="727"/>
        <v>0</v>
      </c>
      <c r="MR80" s="110">
        <f t="shared" si="728"/>
        <v>0</v>
      </c>
      <c r="MS80" s="110">
        <f t="shared" si="729"/>
        <v>0</v>
      </c>
      <c r="MT80" s="110">
        <f t="shared" si="730"/>
        <v>0</v>
      </c>
      <c r="MV80" s="114">
        <v>288.14999999999998</v>
      </c>
      <c r="MW80" s="114">
        <v>0</v>
      </c>
      <c r="MX80" s="114">
        <v>0</v>
      </c>
      <c r="MY80" s="114">
        <v>0</v>
      </c>
      <c r="MZ80" s="114">
        <v>0</v>
      </c>
      <c r="NB80" s="115">
        <v>35</v>
      </c>
      <c r="NC80" s="115" t="str">
        <v>N/A</v>
      </c>
      <c r="ND80" s="115" t="str">
        <v>N/A</v>
      </c>
      <c r="NE80" s="115" t="str">
        <v>N/A</v>
      </c>
      <c r="NF80" s="115" t="str">
        <v>N/A</v>
      </c>
    </row>
    <row r="81" spans="2:370" ht="13.5" x14ac:dyDescent="0.25">
      <c r="B81" s="8">
        <f t="shared" si="731"/>
        <v>78</v>
      </c>
      <c r="C81" s="7">
        <v>219</v>
      </c>
      <c r="D81" s="7">
        <v>219</v>
      </c>
      <c r="E81" s="7">
        <v>219</v>
      </c>
      <c r="F81" s="7">
        <v>219</v>
      </c>
      <c r="G81" s="7">
        <v>219</v>
      </c>
      <c r="H81" s="7">
        <v>219</v>
      </c>
      <c r="I81" s="7">
        <v>219</v>
      </c>
      <c r="J81" s="7">
        <v>219</v>
      </c>
      <c r="K81" s="7">
        <v>219</v>
      </c>
      <c r="L81" s="7">
        <v>219</v>
      </c>
      <c r="M81" s="7">
        <v>219</v>
      </c>
      <c r="N81" s="7">
        <v>219</v>
      </c>
      <c r="O81" s="7">
        <v>219</v>
      </c>
      <c r="P81" s="7">
        <v>219</v>
      </c>
      <c r="Q81" s="7">
        <v>219</v>
      </c>
      <c r="R81" s="7">
        <v>179</v>
      </c>
      <c r="S81" s="7">
        <v>179</v>
      </c>
      <c r="T81" s="7">
        <v>179</v>
      </c>
      <c r="U81" s="7">
        <v>179</v>
      </c>
      <c r="V81" s="7">
        <v>179</v>
      </c>
      <c r="W81" s="7">
        <v>179</v>
      </c>
      <c r="X81" s="7">
        <v>179</v>
      </c>
      <c r="Y81" s="7">
        <v>179</v>
      </c>
      <c r="Z81" s="7">
        <v>179</v>
      </c>
      <c r="AA81" s="7">
        <v>179</v>
      </c>
      <c r="AB81" s="7">
        <v>179</v>
      </c>
      <c r="AC81" s="7">
        <v>179</v>
      </c>
      <c r="AD81" s="7">
        <v>179</v>
      </c>
      <c r="AE81" s="7">
        <v>179</v>
      </c>
      <c r="AF81" s="7">
        <v>185.27</v>
      </c>
      <c r="AG81" s="7">
        <v>185.27</v>
      </c>
      <c r="AH81" s="7">
        <v>185.27</v>
      </c>
      <c r="AI81" s="7">
        <v>185.27</v>
      </c>
      <c r="AJ81" s="7">
        <v>185.27</v>
      </c>
      <c r="AK81" s="7">
        <v>185.27</v>
      </c>
      <c r="AL81" s="7">
        <v>185.27</v>
      </c>
      <c r="AM81" s="7">
        <v>185.27</v>
      </c>
      <c r="AN81" s="27">
        <v>78</v>
      </c>
      <c r="AP81" s="111"/>
      <c r="AQ81" s="110">
        <f t="shared" si="492"/>
        <v>0</v>
      </c>
      <c r="AR81" s="110">
        <f t="shared" si="493"/>
        <v>0</v>
      </c>
      <c r="AS81" s="110">
        <f t="shared" si="494"/>
        <v>0</v>
      </c>
      <c r="AT81" s="110">
        <f t="shared" si="495"/>
        <v>0</v>
      </c>
      <c r="AU81" s="110">
        <f t="shared" si="496"/>
        <v>-40</v>
      </c>
      <c r="AV81" s="110">
        <f t="shared" si="497"/>
        <v>0</v>
      </c>
      <c r="AW81" s="110">
        <f t="shared" si="498"/>
        <v>0</v>
      </c>
      <c r="AX81" s="110">
        <f t="shared" si="499"/>
        <v>0</v>
      </c>
      <c r="AY81" s="110">
        <f t="shared" si="500"/>
        <v>0</v>
      </c>
      <c r="AZ81" s="110">
        <f t="shared" si="501"/>
        <v>6.2700000000000102</v>
      </c>
      <c r="BA81" s="110">
        <f t="shared" si="502"/>
        <v>0</v>
      </c>
      <c r="BB81" s="110">
        <f t="shared" si="503"/>
        <v>0</v>
      </c>
      <c r="BD81" s="109" cm="1">
        <f t="array" ref="BD81">+IFERROR(INDEX($C$3:$AM$3,MATCH(TRUE,INDEX($C81:$AM81&lt;&gt;0,0),0)),"N/A")</f>
        <v>44926</v>
      </c>
      <c r="BE81" s="112"/>
      <c r="BF81" s="1" t="str" cm="1">
        <f t="array" ref="BF81">+_xlfn.IFS(BT81&lt;&gt;0,BT$2,CH81&lt;&gt;0,CH$2,CV81&lt;&gt;0,CV$2,DJ81&lt;&gt;0,DJ$2,TRUE,"")</f>
        <v/>
      </c>
      <c r="BG81" s="1" t="str" cm="1">
        <f t="array" ref="BG81">+_xlfn.IFS(BU81&lt;&gt;0,BU$2,CI81&lt;&gt;0,CI$2,CW81&lt;&gt;0,CW$2,DK81&lt;&gt;0,DK$2,TRUE,"")</f>
        <v/>
      </c>
      <c r="BH81" s="1" t="str" cm="1">
        <f t="array" ref="BH81">+_xlfn.IFS(BV81&lt;&gt;0,BV$2,CJ81&lt;&gt;0,CJ$2,CX81&lt;&gt;0,CX$2,DL81&lt;&gt;0,DL$2,TRUE,"")</f>
        <v/>
      </c>
      <c r="BI81" s="1" t="str" cm="1">
        <f t="array" ref="BI81">+_xlfn.IFS(BW81&lt;&gt;0,BW$2,CK81&lt;&gt;0,CK$2,CY81&lt;&gt;0,CY$2,DM81&lt;&gt;0,DM$2,TRUE,"")</f>
        <v/>
      </c>
      <c r="BJ81" s="1" t="str" cm="1">
        <f t="array" ref="BJ81">+_xlfn.IFS(BX81&lt;&gt;0,BX$2,CL81&lt;&gt;0,CL$2,CZ81&lt;&gt;0,CZ$2,DN81&lt;&gt;0,DN$2,TRUE,"")</f>
        <v>Downsell</v>
      </c>
      <c r="BK81" s="1" t="str" cm="1">
        <f t="array" ref="BK81">+_xlfn.IFS(BY81&lt;&gt;0,BY$2,CM81&lt;&gt;0,CM$2,DA81&lt;&gt;0,DA$2,DO81&lt;&gt;0,DO$2,TRUE,"")</f>
        <v/>
      </c>
      <c r="BL81" s="1" t="str" cm="1">
        <f t="array" ref="BL81">+_xlfn.IFS(BZ81&lt;&gt;0,BZ$2,CN81&lt;&gt;0,CN$2,DB81&lt;&gt;0,DB$2,DP81&lt;&gt;0,DP$2,TRUE,"")</f>
        <v/>
      </c>
      <c r="BM81" s="1" t="str" cm="1">
        <f t="array" ref="BM81">+_xlfn.IFS(CA81&lt;&gt;0,CA$2,CO81&lt;&gt;0,CO$2,DC81&lt;&gt;0,DC$2,DQ81&lt;&gt;0,DQ$2,TRUE,"")</f>
        <v/>
      </c>
      <c r="BN81" s="1" t="str" cm="1">
        <f t="array" ref="BN81">+_xlfn.IFS(CB81&lt;&gt;0,CB$2,CP81&lt;&gt;0,CP$2,DD81&lt;&gt;0,DD$2,DR81&lt;&gt;0,DR$2,TRUE,"")</f>
        <v/>
      </c>
      <c r="BO81" s="1" t="str" cm="1">
        <f t="array" ref="BO81">+_xlfn.IFS(CC81&lt;&gt;0,CC$2,CQ81&lt;&gt;0,CQ$2,DE81&lt;&gt;0,DE$2,DS81&lt;&gt;0,DS$2,TRUE,"")</f>
        <v>Upsell</v>
      </c>
      <c r="BP81" s="1" t="str" cm="1">
        <f t="array" ref="BP81">+_xlfn.IFS(CD81&lt;&gt;0,CD$2,CR81&lt;&gt;0,CR$2,DF81&lt;&gt;0,DF$2,DT81&lt;&gt;0,DT$2,TRUE,"")</f>
        <v/>
      </c>
      <c r="BQ81" s="1" t="str" cm="1">
        <f t="array" ref="BQ81">+_xlfn.IFS(CE81&lt;&gt;0,CE$2,CS81&lt;&gt;0,CS$2,DG81&lt;&gt;0,DG$2,DU81&lt;&gt;0,DU$2,TRUE,"")</f>
        <v/>
      </c>
      <c r="BS81" s="111"/>
      <c r="BT81" s="110">
        <f t="shared" si="504"/>
        <v>0</v>
      </c>
      <c r="BU81" s="110">
        <f t="shared" si="505"/>
        <v>0</v>
      </c>
      <c r="BV81" s="110">
        <f t="shared" si="506"/>
        <v>0</v>
      </c>
      <c r="BW81" s="110">
        <f t="shared" si="507"/>
        <v>0</v>
      </c>
      <c r="BX81" s="110">
        <f t="shared" si="508"/>
        <v>0</v>
      </c>
      <c r="BY81" s="110">
        <f t="shared" si="509"/>
        <v>0</v>
      </c>
      <c r="BZ81" s="110">
        <f t="shared" si="510"/>
        <v>0</v>
      </c>
      <c r="CA81" s="110">
        <f t="shared" si="511"/>
        <v>0</v>
      </c>
      <c r="CB81" s="110">
        <f t="shared" si="512"/>
        <v>0</v>
      </c>
      <c r="CC81" s="110">
        <f t="shared" si="513"/>
        <v>0</v>
      </c>
      <c r="CD81" s="110">
        <f t="shared" si="514"/>
        <v>0</v>
      </c>
      <c r="CE81" s="110">
        <f t="shared" si="515"/>
        <v>0</v>
      </c>
      <c r="CG81" s="111"/>
      <c r="CH81" s="110">
        <f t="shared" si="516"/>
        <v>0</v>
      </c>
      <c r="CI81" s="110">
        <f t="shared" si="517"/>
        <v>0</v>
      </c>
      <c r="CJ81" s="110">
        <f t="shared" si="518"/>
        <v>0</v>
      </c>
      <c r="CK81" s="110">
        <f t="shared" si="519"/>
        <v>0</v>
      </c>
      <c r="CL81" s="110">
        <f t="shared" si="520"/>
        <v>0</v>
      </c>
      <c r="CM81" s="110">
        <f t="shared" si="521"/>
        <v>0</v>
      </c>
      <c r="CN81" s="110">
        <f t="shared" si="522"/>
        <v>0</v>
      </c>
      <c r="CO81" s="110">
        <f t="shared" si="523"/>
        <v>0</v>
      </c>
      <c r="CP81" s="110">
        <f t="shared" si="524"/>
        <v>0</v>
      </c>
      <c r="CQ81" s="110">
        <f t="shared" si="525"/>
        <v>0</v>
      </c>
      <c r="CR81" s="110">
        <f t="shared" si="526"/>
        <v>0</v>
      </c>
      <c r="CS81" s="110">
        <f t="shared" si="527"/>
        <v>0</v>
      </c>
      <c r="CU81" s="111"/>
      <c r="CV81" s="110">
        <f t="shared" si="528"/>
        <v>0</v>
      </c>
      <c r="CW81" s="110">
        <f t="shared" si="529"/>
        <v>0</v>
      </c>
      <c r="CX81" s="110">
        <f t="shared" si="530"/>
        <v>0</v>
      </c>
      <c r="CY81" s="110">
        <f t="shared" si="531"/>
        <v>0</v>
      </c>
      <c r="CZ81" s="110">
        <f t="shared" si="532"/>
        <v>-40</v>
      </c>
      <c r="DA81" s="110">
        <f t="shared" si="533"/>
        <v>0</v>
      </c>
      <c r="DB81" s="110">
        <f t="shared" si="534"/>
        <v>0</v>
      </c>
      <c r="DC81" s="110">
        <f t="shared" si="535"/>
        <v>0</v>
      </c>
      <c r="DD81" s="110">
        <f t="shared" si="536"/>
        <v>0</v>
      </c>
      <c r="DE81" s="110">
        <f t="shared" si="537"/>
        <v>0</v>
      </c>
      <c r="DF81" s="110">
        <f t="shared" si="538"/>
        <v>0</v>
      </c>
      <c r="DG81" s="110">
        <f t="shared" si="539"/>
        <v>0</v>
      </c>
      <c r="DI81" s="111"/>
      <c r="DJ81" s="110">
        <f t="shared" si="540"/>
        <v>0</v>
      </c>
      <c r="DK81" s="110">
        <f t="shared" si="541"/>
        <v>0</v>
      </c>
      <c r="DL81" s="110">
        <f t="shared" si="542"/>
        <v>0</v>
      </c>
      <c r="DM81" s="110">
        <f t="shared" si="543"/>
        <v>0</v>
      </c>
      <c r="DN81" s="110">
        <f t="shared" si="544"/>
        <v>0</v>
      </c>
      <c r="DO81" s="110">
        <f t="shared" si="545"/>
        <v>0</v>
      </c>
      <c r="DP81" s="110">
        <f t="shared" si="546"/>
        <v>0</v>
      </c>
      <c r="DQ81" s="110">
        <f t="shared" si="547"/>
        <v>0</v>
      </c>
      <c r="DR81" s="110">
        <f t="shared" si="548"/>
        <v>0</v>
      </c>
      <c r="DS81" s="110">
        <f t="shared" si="549"/>
        <v>6.2700000000000102</v>
      </c>
      <c r="DT81" s="110">
        <f t="shared" si="550"/>
        <v>0</v>
      </c>
      <c r="DU81" s="110">
        <f t="shared" si="551"/>
        <v>0</v>
      </c>
      <c r="DW81" s="111"/>
      <c r="DX81" s="110">
        <f t="shared" si="552"/>
        <v>0</v>
      </c>
      <c r="DY81" s="110">
        <f t="shared" si="553"/>
        <v>0</v>
      </c>
      <c r="DZ81" s="110">
        <f t="shared" si="554"/>
        <v>0</v>
      </c>
      <c r="EA81" s="110">
        <f t="shared" si="555"/>
        <v>0</v>
      </c>
      <c r="EB81" s="110">
        <f t="shared" si="556"/>
        <v>0</v>
      </c>
      <c r="EC81" s="110">
        <f t="shared" si="557"/>
        <v>0</v>
      </c>
      <c r="ED81" s="110">
        <f t="shared" si="558"/>
        <v>0</v>
      </c>
      <c r="EE81" s="110">
        <f t="shared" si="559"/>
        <v>0</v>
      </c>
      <c r="EF81" s="110">
        <f t="shared" si="560"/>
        <v>0</v>
      </c>
      <c r="EG81" s="110">
        <f t="shared" si="561"/>
        <v>0</v>
      </c>
      <c r="EH81" s="110">
        <f t="shared" si="562"/>
        <v>0</v>
      </c>
      <c r="EI81" s="110">
        <f t="shared" si="563"/>
        <v>0</v>
      </c>
      <c r="EK81" s="111"/>
      <c r="EL81" s="110">
        <f t="shared" si="564"/>
        <v>0</v>
      </c>
      <c r="EM81" s="110">
        <f t="shared" si="565"/>
        <v>-40</v>
      </c>
      <c r="EN81" s="110">
        <f t="shared" si="566"/>
        <v>6.2700000000000102</v>
      </c>
      <c r="EP81" s="109" cm="1">
        <f t="array" ref="EP81">+IFERROR(INDEX($C$3:$AM$3,MATCH(TRUE,INDEX($C81:$AM81&lt;&gt;0,0),0)),"N/A")</f>
        <v>44926</v>
      </c>
      <c r="EQ81" s="112"/>
      <c r="ER81" s="1" t="str" cm="1">
        <f t="array" ref="ER81">+_xlfn.IFS(EW81&lt;&gt;0,EW$2,FB81&lt;&gt;0,FB$2,FG81&lt;&gt;0,FG$2,FL81&lt;&gt;0,FL$2,TRUE,"")</f>
        <v/>
      </c>
      <c r="ES81" s="1" t="str" cm="1">
        <f t="array" ref="ES81">+_xlfn.IFS(EX81&lt;&gt;0,EX$2,FC81&lt;&gt;0,FC$2,FH81&lt;&gt;0,FH$2,FM81&lt;&gt;0,FM$2,TRUE,"")</f>
        <v>Downsell</v>
      </c>
      <c r="ET81" s="1" t="str" cm="1">
        <f t="array" ref="ET81">+_xlfn.IFS(EY81&lt;&gt;0,EY$2,FD81&lt;&gt;0,FD$2,FI81&lt;&gt;0,FI$2,FN81&lt;&gt;0,FN$2,TRUE,"")</f>
        <v>Upsell</v>
      </c>
      <c r="EV81" s="111"/>
      <c r="EW81" s="110">
        <f t="shared" si="567"/>
        <v>0</v>
      </c>
      <c r="EX81" s="110">
        <f t="shared" si="568"/>
        <v>0</v>
      </c>
      <c r="EY81" s="110">
        <f t="shared" si="569"/>
        <v>0</v>
      </c>
      <c r="FA81" s="111"/>
      <c r="FB81" s="110">
        <f t="shared" si="570"/>
        <v>0</v>
      </c>
      <c r="FC81" s="110">
        <f t="shared" si="571"/>
        <v>0</v>
      </c>
      <c r="FD81" s="110">
        <f t="shared" si="572"/>
        <v>0</v>
      </c>
      <c r="FF81" s="111"/>
      <c r="FG81" s="110">
        <f t="shared" si="573"/>
        <v>0</v>
      </c>
      <c r="FH81" s="110">
        <f t="shared" si="574"/>
        <v>-40</v>
      </c>
      <c r="FI81" s="110">
        <f t="shared" si="575"/>
        <v>0</v>
      </c>
      <c r="FK81" s="111"/>
      <c r="FL81" s="110">
        <f t="shared" si="576"/>
        <v>0</v>
      </c>
      <c r="FM81" s="110">
        <f t="shared" si="577"/>
        <v>0</v>
      </c>
      <c r="FN81" s="110">
        <f t="shared" si="578"/>
        <v>6.2700000000000102</v>
      </c>
      <c r="FP81" s="111"/>
      <c r="FQ81" s="110">
        <f t="shared" si="579"/>
        <v>0</v>
      </c>
      <c r="FR81" s="110">
        <f t="shared" si="580"/>
        <v>0</v>
      </c>
      <c r="FS81" s="110">
        <f t="shared" si="581"/>
        <v>0</v>
      </c>
      <c r="FU81" s="111">
        <f t="shared" si="582"/>
        <v>0</v>
      </c>
      <c r="FV81" s="110">
        <f t="shared" si="583"/>
        <v>0</v>
      </c>
      <c r="FW81" s="110">
        <f t="shared" si="584"/>
        <v>0</v>
      </c>
      <c r="FX81" s="110">
        <f t="shared" si="585"/>
        <v>-40</v>
      </c>
      <c r="FY81" s="110">
        <f t="shared" si="586"/>
        <v>-40</v>
      </c>
      <c r="FZ81" s="110">
        <f t="shared" si="587"/>
        <v>-40</v>
      </c>
      <c r="GA81" s="110">
        <f t="shared" si="588"/>
        <v>-40</v>
      </c>
      <c r="GB81" s="110">
        <f t="shared" si="589"/>
        <v>-40</v>
      </c>
      <c r="GC81" s="110">
        <f t="shared" si="590"/>
        <v>-40</v>
      </c>
      <c r="GD81" s="110">
        <f t="shared" si="591"/>
        <v>-40</v>
      </c>
      <c r="GE81" s="110">
        <f t="shared" si="592"/>
        <v>-40</v>
      </c>
      <c r="GF81" s="110">
        <f t="shared" si="593"/>
        <v>-40</v>
      </c>
      <c r="GG81" s="110">
        <f t="shared" si="594"/>
        <v>-40</v>
      </c>
      <c r="GH81" s="110">
        <f t="shared" si="595"/>
        <v>-40</v>
      </c>
      <c r="GI81" s="110">
        <f t="shared" si="596"/>
        <v>-40</v>
      </c>
      <c r="GJ81" s="110">
        <f t="shared" si="597"/>
        <v>0</v>
      </c>
      <c r="GK81" s="110">
        <f t="shared" si="598"/>
        <v>0</v>
      </c>
      <c r="GL81" s="110">
        <f t="shared" si="599"/>
        <v>6.2700000000000102</v>
      </c>
      <c r="GM81" s="110">
        <f t="shared" si="600"/>
        <v>6.2700000000000102</v>
      </c>
      <c r="GN81" s="110">
        <f t="shared" si="601"/>
        <v>6.2700000000000102</v>
      </c>
      <c r="GO81" s="110">
        <f t="shared" si="602"/>
        <v>6.2700000000000102</v>
      </c>
      <c r="GP81" s="110">
        <f t="shared" si="603"/>
        <v>6.2700000000000102</v>
      </c>
      <c r="GQ81" s="110">
        <f t="shared" si="604"/>
        <v>6.2700000000000102</v>
      </c>
      <c r="GR81" s="110">
        <f t="shared" si="605"/>
        <v>6.2700000000000102</v>
      </c>
      <c r="GS81" s="110">
        <f t="shared" si="606"/>
        <v>6.2700000000000102</v>
      </c>
      <c r="GU81" s="109" cm="1">
        <f t="array" ref="GU81">+IFERROR(INDEX($C$3:$AM$3,MATCH(TRUE,INDEX($C81:$AM81&lt;&gt;0,0),0)),"N/A")</f>
        <v>44926</v>
      </c>
      <c r="GV81" s="112" t="str" cm="1">
        <f t="array" ref="GV81">+_xlfn.IFS(HV81&lt;&gt;0,HV$2,IV81&lt;&gt;0,IV$2,JV81&lt;&gt;0,JV$2,KV81&lt;&gt;0,KV$2,TRUE,"")</f>
        <v/>
      </c>
      <c r="GW81" s="1" t="str" cm="1">
        <f t="array" ref="GW81">+_xlfn.IFS(HW81&lt;&gt;0,HW$2,IW81&lt;&gt;0,IW$2,JW81&lt;&gt;0,JW$2,KW81&lt;&gt;0,KW$2,TRUE,"")</f>
        <v/>
      </c>
      <c r="GX81" s="1" t="str" cm="1">
        <f t="array" ref="GX81">+_xlfn.IFS(HX81&lt;&gt;0,HX$2,IX81&lt;&gt;0,IX$2,JX81&lt;&gt;0,JX$2,KX81&lt;&gt;0,KX$2,TRUE,"")</f>
        <v/>
      </c>
      <c r="GY81" s="1" t="str" cm="1">
        <f t="array" ref="GY81">+_xlfn.IFS(HY81&lt;&gt;0,HY$2,IY81&lt;&gt;0,IY$2,JY81&lt;&gt;0,JY$2,KY81&lt;&gt;0,KY$2,TRUE,"")</f>
        <v>Downsell</v>
      </c>
      <c r="GZ81" s="1" t="str" cm="1">
        <f t="array" ref="GZ81">+_xlfn.IFS(HZ81&lt;&gt;0,HZ$2,IZ81&lt;&gt;0,IZ$2,JZ81&lt;&gt;0,JZ$2,KZ81&lt;&gt;0,KZ$2,TRUE,"")</f>
        <v>Downsell</v>
      </c>
      <c r="HA81" s="1" t="str" cm="1">
        <f t="array" ref="HA81">+_xlfn.IFS(IA81&lt;&gt;0,IA$2,JA81&lt;&gt;0,JA$2,KA81&lt;&gt;0,KA$2,LA81&lt;&gt;0,LA$2,TRUE,"")</f>
        <v>Downsell</v>
      </c>
      <c r="HB81" s="1" t="str" cm="1">
        <f t="array" ref="HB81">+_xlfn.IFS(IB81&lt;&gt;0,IB$2,JB81&lt;&gt;0,JB$2,KB81&lt;&gt;0,KB$2,LB81&lt;&gt;0,LB$2,TRUE,"")</f>
        <v>Downsell</v>
      </c>
      <c r="HC81" s="1" t="str" cm="1">
        <f t="array" ref="HC81">+_xlfn.IFS(IC81&lt;&gt;0,IC$2,JC81&lt;&gt;0,JC$2,KC81&lt;&gt;0,KC$2,LC81&lt;&gt;0,LC$2,TRUE,"")</f>
        <v>Downsell</v>
      </c>
      <c r="HD81" s="1" t="str" cm="1">
        <f t="array" ref="HD81">+_xlfn.IFS(ID81&lt;&gt;0,ID$2,JD81&lt;&gt;0,JD$2,KD81&lt;&gt;0,KD$2,LD81&lt;&gt;0,LD$2,TRUE,"")</f>
        <v>Downsell</v>
      </c>
      <c r="HE81" s="1" t="str" cm="1">
        <f t="array" ref="HE81">+_xlfn.IFS(IE81&lt;&gt;0,IE$2,JE81&lt;&gt;0,JE$2,KE81&lt;&gt;0,KE$2,LE81&lt;&gt;0,LE$2,TRUE,"")</f>
        <v>Downsell</v>
      </c>
      <c r="HF81" s="1" t="str" cm="1">
        <f t="array" ref="HF81">+_xlfn.IFS(IF81&lt;&gt;0,IF$2,JF81&lt;&gt;0,JF$2,KF81&lt;&gt;0,KF$2,LF81&lt;&gt;0,LF$2,TRUE,"")</f>
        <v>Downsell</v>
      </c>
      <c r="HG81" s="1" t="str" cm="1">
        <f t="array" ref="HG81">+_xlfn.IFS(IG81&lt;&gt;0,IG$2,JG81&lt;&gt;0,JG$2,KG81&lt;&gt;0,KG$2,LG81&lt;&gt;0,LG$2,TRUE,"")</f>
        <v>Downsell</v>
      </c>
      <c r="HH81" s="1" t="str" cm="1">
        <f t="array" ref="HH81">+_xlfn.IFS(IH81&lt;&gt;0,IH$2,JH81&lt;&gt;0,JH$2,KH81&lt;&gt;0,KH$2,LH81&lt;&gt;0,LH$2,TRUE,"")</f>
        <v>Downsell</v>
      </c>
      <c r="HI81" s="1" t="str" cm="1">
        <f t="array" ref="HI81">+_xlfn.IFS(II81&lt;&gt;0,II$2,JI81&lt;&gt;0,JI$2,KI81&lt;&gt;0,KI$2,LI81&lt;&gt;0,LI$2,TRUE,"")</f>
        <v>Downsell</v>
      </c>
      <c r="HJ81" s="1" t="str" cm="1">
        <f t="array" ref="HJ81">+_xlfn.IFS(IJ81&lt;&gt;0,IJ$2,JJ81&lt;&gt;0,JJ$2,KJ81&lt;&gt;0,KJ$2,LJ81&lt;&gt;0,LJ$2,TRUE,"")</f>
        <v>Downsell</v>
      </c>
      <c r="HK81" s="1" t="str" cm="1">
        <f t="array" ref="HK81">+_xlfn.IFS(IK81&lt;&gt;0,IK$2,JK81&lt;&gt;0,JK$2,KK81&lt;&gt;0,KK$2,LK81&lt;&gt;0,LK$2,TRUE,"")</f>
        <v/>
      </c>
      <c r="HL81" s="1" t="str" cm="1">
        <f t="array" ref="HL81">+_xlfn.IFS(IL81&lt;&gt;0,IL$2,JL81&lt;&gt;0,JL$2,KL81&lt;&gt;0,KL$2,LL81&lt;&gt;0,LL$2,TRUE,"")</f>
        <v/>
      </c>
      <c r="HM81" s="1" t="str" cm="1">
        <f t="array" ref="HM81">+_xlfn.IFS(IM81&lt;&gt;0,IM$2,JM81&lt;&gt;0,JM$2,KM81&lt;&gt;0,KM$2,LM81&lt;&gt;0,LM$2,TRUE,"")</f>
        <v>Upsell</v>
      </c>
      <c r="HN81" s="1" t="str" cm="1">
        <f t="array" ref="HN81">+_xlfn.IFS(IN81&lt;&gt;0,IN$2,JN81&lt;&gt;0,JN$2,KN81&lt;&gt;0,KN$2,LN81&lt;&gt;0,LN$2,TRUE,"")</f>
        <v>Upsell</v>
      </c>
      <c r="HO81" s="1" t="str" cm="1">
        <f t="array" ref="HO81">+_xlfn.IFS(IO81&lt;&gt;0,IO$2,JO81&lt;&gt;0,JO$2,KO81&lt;&gt;0,KO$2,LO81&lt;&gt;0,LO$2,TRUE,"")</f>
        <v>Upsell</v>
      </c>
      <c r="HP81" s="1" t="str" cm="1">
        <f t="array" ref="HP81">+_xlfn.IFS(IP81&lt;&gt;0,IP$2,JP81&lt;&gt;0,JP$2,KP81&lt;&gt;0,KP$2,LP81&lt;&gt;0,LP$2,TRUE,"")</f>
        <v>Upsell</v>
      </c>
      <c r="HQ81" s="1" t="str" cm="1">
        <f t="array" ref="HQ81">+_xlfn.IFS(IQ81&lt;&gt;0,IQ$2,JQ81&lt;&gt;0,JQ$2,KQ81&lt;&gt;0,KQ$2,LQ81&lt;&gt;0,LQ$2,TRUE,"")</f>
        <v>Upsell</v>
      </c>
      <c r="HR81" s="1" t="str" cm="1">
        <f t="array" ref="HR81">+_xlfn.IFS(IR81&lt;&gt;0,IR$2,JR81&lt;&gt;0,JR$2,KR81&lt;&gt;0,KR$2,LR81&lt;&gt;0,LR$2,TRUE,"")</f>
        <v>Upsell</v>
      </c>
      <c r="HS81" s="1" t="str" cm="1">
        <f t="array" ref="HS81">+_xlfn.IFS(IS81&lt;&gt;0,IS$2,JS81&lt;&gt;0,JS$2,KS81&lt;&gt;0,KS$2,LS81&lt;&gt;0,LS$2,TRUE,"")</f>
        <v>Upsell</v>
      </c>
      <c r="HT81" s="1" t="str" cm="1">
        <f t="array" ref="HT81">+_xlfn.IFS(IT81&lt;&gt;0,IT$2,JT81&lt;&gt;0,JT$2,KT81&lt;&gt;0,KT$2,LT81&lt;&gt;0,LT$2,TRUE,"")</f>
        <v>Upsell</v>
      </c>
      <c r="HV81" s="111">
        <f t="shared" si="607"/>
        <v>0</v>
      </c>
      <c r="HW81" s="110">
        <f t="shared" si="608"/>
        <v>0</v>
      </c>
      <c r="HX81" s="110">
        <f t="shared" si="609"/>
        <v>0</v>
      </c>
      <c r="HY81" s="110">
        <f t="shared" si="610"/>
        <v>0</v>
      </c>
      <c r="HZ81" s="110">
        <f t="shared" si="611"/>
        <v>0</v>
      </c>
      <c r="IA81" s="110">
        <f t="shared" si="612"/>
        <v>0</v>
      </c>
      <c r="IB81" s="110">
        <f t="shared" si="613"/>
        <v>0</v>
      </c>
      <c r="IC81" s="110">
        <f t="shared" si="614"/>
        <v>0</v>
      </c>
      <c r="ID81" s="110">
        <f t="shared" si="615"/>
        <v>0</v>
      </c>
      <c r="IE81" s="110">
        <f t="shared" si="616"/>
        <v>0</v>
      </c>
      <c r="IF81" s="110">
        <f t="shared" si="617"/>
        <v>0</v>
      </c>
      <c r="IG81" s="110">
        <f t="shared" si="618"/>
        <v>0</v>
      </c>
      <c r="IH81" s="110">
        <f t="shared" si="619"/>
        <v>0</v>
      </c>
      <c r="II81" s="110">
        <f t="shared" si="620"/>
        <v>0</v>
      </c>
      <c r="IJ81" s="110">
        <f t="shared" si="621"/>
        <v>0</v>
      </c>
      <c r="IK81" s="110">
        <f t="shared" si="622"/>
        <v>0</v>
      </c>
      <c r="IL81" s="110">
        <f t="shared" si="623"/>
        <v>0</v>
      </c>
      <c r="IM81" s="110">
        <f t="shared" si="624"/>
        <v>0</v>
      </c>
      <c r="IN81" s="110">
        <f t="shared" si="625"/>
        <v>0</v>
      </c>
      <c r="IO81" s="110">
        <f t="shared" si="626"/>
        <v>0</v>
      </c>
      <c r="IP81" s="110">
        <f t="shared" si="627"/>
        <v>0</v>
      </c>
      <c r="IQ81" s="110">
        <f t="shared" si="628"/>
        <v>0</v>
      </c>
      <c r="IR81" s="110">
        <f t="shared" si="629"/>
        <v>0</v>
      </c>
      <c r="IS81" s="110">
        <f t="shared" si="630"/>
        <v>0</v>
      </c>
      <c r="IT81" s="110">
        <f t="shared" si="631"/>
        <v>0</v>
      </c>
      <c r="IV81" s="111">
        <f t="shared" si="632"/>
        <v>0</v>
      </c>
      <c r="IW81" s="110">
        <f t="shared" si="633"/>
        <v>0</v>
      </c>
      <c r="IX81" s="110">
        <f t="shared" si="634"/>
        <v>0</v>
      </c>
      <c r="IY81" s="110">
        <f t="shared" si="635"/>
        <v>0</v>
      </c>
      <c r="IZ81" s="110">
        <f t="shared" si="636"/>
        <v>0</v>
      </c>
      <c r="JA81" s="110">
        <f t="shared" si="637"/>
        <v>0</v>
      </c>
      <c r="JB81" s="110">
        <f t="shared" si="638"/>
        <v>0</v>
      </c>
      <c r="JC81" s="110">
        <f t="shared" si="639"/>
        <v>0</v>
      </c>
      <c r="JD81" s="110">
        <f t="shared" si="640"/>
        <v>0</v>
      </c>
      <c r="JE81" s="110">
        <f t="shared" si="641"/>
        <v>0</v>
      </c>
      <c r="JF81" s="110">
        <f t="shared" si="642"/>
        <v>0</v>
      </c>
      <c r="JG81" s="110">
        <f t="shared" si="643"/>
        <v>0</v>
      </c>
      <c r="JH81" s="110">
        <f t="shared" si="644"/>
        <v>0</v>
      </c>
      <c r="JI81" s="110">
        <f t="shared" si="645"/>
        <v>0</v>
      </c>
      <c r="JJ81" s="110">
        <f t="shared" si="646"/>
        <v>0</v>
      </c>
      <c r="JK81" s="110">
        <f t="shared" si="647"/>
        <v>0</v>
      </c>
      <c r="JL81" s="110">
        <f t="shared" si="648"/>
        <v>0</v>
      </c>
      <c r="JM81" s="110">
        <f t="shared" si="649"/>
        <v>0</v>
      </c>
      <c r="JN81" s="110">
        <f t="shared" si="650"/>
        <v>0</v>
      </c>
      <c r="JO81" s="110">
        <f t="shared" si="651"/>
        <v>0</v>
      </c>
      <c r="JP81" s="110">
        <f t="shared" si="652"/>
        <v>0</v>
      </c>
      <c r="JQ81" s="110">
        <f t="shared" si="653"/>
        <v>0</v>
      </c>
      <c r="JR81" s="110">
        <f t="shared" si="654"/>
        <v>0</v>
      </c>
      <c r="JS81" s="110">
        <f t="shared" si="655"/>
        <v>0</v>
      </c>
      <c r="JT81" s="110">
        <f t="shared" si="656"/>
        <v>0</v>
      </c>
      <c r="JV81" s="111">
        <f t="shared" si="657"/>
        <v>0</v>
      </c>
      <c r="JW81" s="110">
        <f t="shared" si="658"/>
        <v>0</v>
      </c>
      <c r="JX81" s="110">
        <f t="shared" si="659"/>
        <v>0</v>
      </c>
      <c r="JY81" s="110">
        <f t="shared" si="660"/>
        <v>-40</v>
      </c>
      <c r="JZ81" s="110">
        <f t="shared" si="661"/>
        <v>-40</v>
      </c>
      <c r="KA81" s="110">
        <f t="shared" si="662"/>
        <v>-40</v>
      </c>
      <c r="KB81" s="110">
        <f t="shared" si="663"/>
        <v>-40</v>
      </c>
      <c r="KC81" s="110">
        <f t="shared" si="664"/>
        <v>-40</v>
      </c>
      <c r="KD81" s="110">
        <f t="shared" si="665"/>
        <v>-40</v>
      </c>
      <c r="KE81" s="110">
        <f t="shared" si="666"/>
        <v>-40</v>
      </c>
      <c r="KF81" s="110">
        <f t="shared" si="667"/>
        <v>-40</v>
      </c>
      <c r="KG81" s="110">
        <f t="shared" si="668"/>
        <v>-40</v>
      </c>
      <c r="KH81" s="110">
        <f t="shared" si="669"/>
        <v>-40</v>
      </c>
      <c r="KI81" s="110">
        <f t="shared" si="670"/>
        <v>-40</v>
      </c>
      <c r="KJ81" s="110">
        <f t="shared" si="671"/>
        <v>-40</v>
      </c>
      <c r="KK81" s="110">
        <f t="shared" si="672"/>
        <v>0</v>
      </c>
      <c r="KL81" s="110">
        <f t="shared" si="673"/>
        <v>0</v>
      </c>
      <c r="KM81" s="110">
        <f t="shared" si="674"/>
        <v>0</v>
      </c>
      <c r="KN81" s="110">
        <f t="shared" si="675"/>
        <v>0</v>
      </c>
      <c r="KO81" s="110">
        <f t="shared" si="676"/>
        <v>0</v>
      </c>
      <c r="KP81" s="110">
        <f t="shared" si="677"/>
        <v>0</v>
      </c>
      <c r="KQ81" s="110">
        <f t="shared" si="678"/>
        <v>0</v>
      </c>
      <c r="KR81" s="110">
        <f t="shared" si="679"/>
        <v>0</v>
      </c>
      <c r="KS81" s="110">
        <f t="shared" si="680"/>
        <v>0</v>
      </c>
      <c r="KT81" s="110">
        <f t="shared" si="681"/>
        <v>0</v>
      </c>
      <c r="KV81" s="111">
        <f t="shared" si="682"/>
        <v>0</v>
      </c>
      <c r="KW81" s="110">
        <f t="shared" si="683"/>
        <v>0</v>
      </c>
      <c r="KX81" s="110">
        <f t="shared" si="684"/>
        <v>0</v>
      </c>
      <c r="KY81" s="110">
        <f t="shared" si="685"/>
        <v>0</v>
      </c>
      <c r="KZ81" s="110">
        <f t="shared" si="686"/>
        <v>0</v>
      </c>
      <c r="LA81" s="110">
        <f t="shared" si="687"/>
        <v>0</v>
      </c>
      <c r="LB81" s="110">
        <f t="shared" si="688"/>
        <v>0</v>
      </c>
      <c r="LC81" s="110">
        <f t="shared" si="689"/>
        <v>0</v>
      </c>
      <c r="LD81" s="110">
        <f t="shared" si="690"/>
        <v>0</v>
      </c>
      <c r="LE81" s="110">
        <f t="shared" si="691"/>
        <v>0</v>
      </c>
      <c r="LF81" s="110">
        <f t="shared" si="692"/>
        <v>0</v>
      </c>
      <c r="LG81" s="110">
        <f t="shared" si="693"/>
        <v>0</v>
      </c>
      <c r="LH81" s="110">
        <f t="shared" si="694"/>
        <v>0</v>
      </c>
      <c r="LI81" s="110">
        <f t="shared" si="695"/>
        <v>0</v>
      </c>
      <c r="LJ81" s="110">
        <f t="shared" si="696"/>
        <v>0</v>
      </c>
      <c r="LK81" s="110">
        <f t="shared" si="697"/>
        <v>0</v>
      </c>
      <c r="LL81" s="110">
        <f t="shared" si="698"/>
        <v>0</v>
      </c>
      <c r="LM81" s="110">
        <f t="shared" si="699"/>
        <v>6.2700000000000102</v>
      </c>
      <c r="LN81" s="110">
        <f t="shared" si="700"/>
        <v>6.2700000000000102</v>
      </c>
      <c r="LO81" s="110">
        <f t="shared" si="701"/>
        <v>6.2700000000000102</v>
      </c>
      <c r="LP81" s="110">
        <f t="shared" si="702"/>
        <v>6.2700000000000102</v>
      </c>
      <c r="LQ81" s="110">
        <f t="shared" si="703"/>
        <v>6.2700000000000102</v>
      </c>
      <c r="LR81" s="110">
        <f t="shared" si="704"/>
        <v>6.2700000000000102</v>
      </c>
      <c r="LS81" s="110">
        <f t="shared" si="705"/>
        <v>6.2700000000000102</v>
      </c>
      <c r="LT81" s="110">
        <f t="shared" si="706"/>
        <v>6.2700000000000102</v>
      </c>
      <c r="LV81" s="111"/>
      <c r="LW81" s="110">
        <f t="shared" si="707"/>
        <v>0</v>
      </c>
      <c r="LX81" s="110">
        <f t="shared" si="708"/>
        <v>0</v>
      </c>
      <c r="LY81" s="110">
        <f t="shared" si="709"/>
        <v>0</v>
      </c>
      <c r="LZ81" s="110">
        <f t="shared" si="710"/>
        <v>0</v>
      </c>
      <c r="MA81" s="110">
        <f t="shared" si="711"/>
        <v>0</v>
      </c>
      <c r="MB81" s="110">
        <f t="shared" si="712"/>
        <v>0</v>
      </c>
      <c r="MC81" s="110">
        <f t="shared" si="713"/>
        <v>0</v>
      </c>
      <c r="MD81" s="110">
        <f t="shared" si="714"/>
        <v>0</v>
      </c>
      <c r="ME81" s="110">
        <f t="shared" si="715"/>
        <v>0</v>
      </c>
      <c r="MF81" s="110">
        <f t="shared" si="716"/>
        <v>0</v>
      </c>
      <c r="MG81" s="110">
        <f t="shared" si="717"/>
        <v>0</v>
      </c>
      <c r="MH81" s="110">
        <f t="shared" si="718"/>
        <v>0</v>
      </c>
      <c r="MI81" s="110">
        <f t="shared" si="719"/>
        <v>0</v>
      </c>
      <c r="MJ81" s="110">
        <f t="shared" si="720"/>
        <v>0</v>
      </c>
      <c r="MK81" s="110">
        <f t="shared" si="721"/>
        <v>0</v>
      </c>
      <c r="ML81" s="110">
        <f t="shared" si="722"/>
        <v>0</v>
      </c>
      <c r="MM81" s="110">
        <f t="shared" si="723"/>
        <v>0</v>
      </c>
      <c r="MN81" s="110">
        <f t="shared" si="724"/>
        <v>0</v>
      </c>
      <c r="MO81" s="110">
        <f t="shared" si="725"/>
        <v>0</v>
      </c>
      <c r="MP81" s="110">
        <f t="shared" si="726"/>
        <v>0</v>
      </c>
      <c r="MQ81" s="110">
        <f t="shared" si="727"/>
        <v>0</v>
      </c>
      <c r="MR81" s="110">
        <f t="shared" si="728"/>
        <v>0</v>
      </c>
      <c r="MS81" s="110">
        <f t="shared" si="729"/>
        <v>0</v>
      </c>
      <c r="MT81" s="110">
        <f t="shared" si="730"/>
        <v>0</v>
      </c>
      <c r="MV81" s="114">
        <v>185.27</v>
      </c>
      <c r="MW81" s="114">
        <v>0</v>
      </c>
      <c r="MX81" s="114">
        <v>6.2700000000000102</v>
      </c>
      <c r="MY81" s="114">
        <v>0</v>
      </c>
      <c r="MZ81" s="114">
        <v>0</v>
      </c>
      <c r="NB81" s="115">
        <v>64</v>
      </c>
      <c r="NC81" s="115" t="str">
        <v>N/A</v>
      </c>
      <c r="ND81" s="115">
        <v>44</v>
      </c>
      <c r="NE81" s="115" t="str">
        <v>N/A</v>
      </c>
      <c r="NF81" s="115" t="str">
        <v>N/A</v>
      </c>
    </row>
    <row r="82" spans="2:370" ht="13.5" x14ac:dyDescent="0.25">
      <c r="B82" s="8">
        <f t="shared" si="731"/>
        <v>79</v>
      </c>
      <c r="C82" s="7">
        <v>254.15</v>
      </c>
      <c r="D82" s="7">
        <v>254.15</v>
      </c>
      <c r="E82" s="7">
        <v>254.15</v>
      </c>
      <c r="F82" s="7">
        <v>254.15</v>
      </c>
      <c r="G82" s="7">
        <v>254.15</v>
      </c>
      <c r="H82" s="7">
        <v>254.15</v>
      </c>
      <c r="I82" s="7">
        <v>254.15</v>
      </c>
      <c r="J82" s="7">
        <v>254.15</v>
      </c>
      <c r="K82" s="7">
        <v>254.15</v>
      </c>
      <c r="L82" s="7">
        <v>254.15</v>
      </c>
      <c r="M82" s="7">
        <v>254.15</v>
      </c>
      <c r="N82" s="7">
        <v>254.15</v>
      </c>
      <c r="O82" s="7">
        <v>254.15</v>
      </c>
      <c r="P82" s="7">
        <v>254.15</v>
      </c>
      <c r="Q82" s="7">
        <v>254.15</v>
      </c>
      <c r="R82" s="7">
        <v>254.15</v>
      </c>
      <c r="S82" s="7">
        <v>254.15</v>
      </c>
      <c r="T82" s="7">
        <v>254.15</v>
      </c>
      <c r="U82" s="7">
        <v>254.15</v>
      </c>
      <c r="V82" s="7">
        <v>254.15</v>
      </c>
      <c r="W82" s="7">
        <v>254.15</v>
      </c>
      <c r="X82" s="7">
        <v>254.15</v>
      </c>
      <c r="Y82" s="7">
        <v>254.15</v>
      </c>
      <c r="Z82" s="7">
        <v>254.15</v>
      </c>
      <c r="AA82" s="7">
        <v>254.15</v>
      </c>
      <c r="AB82" s="7">
        <v>254.15</v>
      </c>
      <c r="AC82" s="7">
        <v>254.15</v>
      </c>
      <c r="AD82" s="7">
        <v>254.15</v>
      </c>
      <c r="AE82" s="7">
        <v>254.15</v>
      </c>
      <c r="AF82" s="7">
        <v>254.15</v>
      </c>
      <c r="AG82" s="7">
        <v>254.15</v>
      </c>
      <c r="AH82" s="7">
        <v>254.15</v>
      </c>
      <c r="AI82" s="7">
        <v>254.15</v>
      </c>
      <c r="AJ82" s="7">
        <v>254.15</v>
      </c>
      <c r="AK82" s="7">
        <v>254.15</v>
      </c>
      <c r="AL82" s="7">
        <v>254.15</v>
      </c>
      <c r="AM82" s="7">
        <v>254.15</v>
      </c>
      <c r="AN82" s="27">
        <v>79</v>
      </c>
      <c r="AP82" s="111"/>
      <c r="AQ82" s="110">
        <f t="shared" si="492"/>
        <v>0</v>
      </c>
      <c r="AR82" s="110">
        <f t="shared" si="493"/>
        <v>0</v>
      </c>
      <c r="AS82" s="110">
        <f t="shared" si="494"/>
        <v>0</v>
      </c>
      <c r="AT82" s="110">
        <f t="shared" si="495"/>
        <v>0</v>
      </c>
      <c r="AU82" s="110">
        <f t="shared" si="496"/>
        <v>0</v>
      </c>
      <c r="AV82" s="110">
        <f t="shared" si="497"/>
        <v>0</v>
      </c>
      <c r="AW82" s="110">
        <f t="shared" si="498"/>
        <v>0</v>
      </c>
      <c r="AX82" s="110">
        <f t="shared" si="499"/>
        <v>0</v>
      </c>
      <c r="AY82" s="110">
        <f t="shared" si="500"/>
        <v>0</v>
      </c>
      <c r="AZ82" s="110">
        <f t="shared" si="501"/>
        <v>0</v>
      </c>
      <c r="BA82" s="110">
        <f t="shared" si="502"/>
        <v>0</v>
      </c>
      <c r="BB82" s="110">
        <f t="shared" si="503"/>
        <v>0</v>
      </c>
      <c r="BD82" s="109" cm="1">
        <f t="array" ref="BD82">+IFERROR(INDEX($C$3:$AM$3,MATCH(TRUE,INDEX($C82:$AM82&lt;&gt;0,0),0)),"N/A")</f>
        <v>44926</v>
      </c>
      <c r="BE82" s="112"/>
      <c r="BF82" s="1" t="str" cm="1">
        <f t="array" ref="BF82">+_xlfn.IFS(BT82&lt;&gt;0,BT$2,CH82&lt;&gt;0,CH$2,CV82&lt;&gt;0,CV$2,DJ82&lt;&gt;0,DJ$2,TRUE,"")</f>
        <v/>
      </c>
      <c r="BG82" s="1" t="str" cm="1">
        <f t="array" ref="BG82">+_xlfn.IFS(BU82&lt;&gt;0,BU$2,CI82&lt;&gt;0,CI$2,CW82&lt;&gt;0,CW$2,DK82&lt;&gt;0,DK$2,TRUE,"")</f>
        <v/>
      </c>
      <c r="BH82" s="1" t="str" cm="1">
        <f t="array" ref="BH82">+_xlfn.IFS(BV82&lt;&gt;0,BV$2,CJ82&lt;&gt;0,CJ$2,CX82&lt;&gt;0,CX$2,DL82&lt;&gt;0,DL$2,TRUE,"")</f>
        <v/>
      </c>
      <c r="BI82" s="1" t="str" cm="1">
        <f t="array" ref="BI82">+_xlfn.IFS(BW82&lt;&gt;0,BW$2,CK82&lt;&gt;0,CK$2,CY82&lt;&gt;0,CY$2,DM82&lt;&gt;0,DM$2,TRUE,"")</f>
        <v/>
      </c>
      <c r="BJ82" s="1" t="str" cm="1">
        <f t="array" ref="BJ82">+_xlfn.IFS(BX82&lt;&gt;0,BX$2,CL82&lt;&gt;0,CL$2,CZ82&lt;&gt;0,CZ$2,DN82&lt;&gt;0,DN$2,TRUE,"")</f>
        <v/>
      </c>
      <c r="BK82" s="1" t="str" cm="1">
        <f t="array" ref="BK82">+_xlfn.IFS(BY82&lt;&gt;0,BY$2,CM82&lt;&gt;0,CM$2,DA82&lt;&gt;0,DA$2,DO82&lt;&gt;0,DO$2,TRUE,"")</f>
        <v/>
      </c>
      <c r="BL82" s="1" t="str" cm="1">
        <f t="array" ref="BL82">+_xlfn.IFS(BZ82&lt;&gt;0,BZ$2,CN82&lt;&gt;0,CN$2,DB82&lt;&gt;0,DB$2,DP82&lt;&gt;0,DP$2,TRUE,"")</f>
        <v/>
      </c>
      <c r="BM82" s="1" t="str" cm="1">
        <f t="array" ref="BM82">+_xlfn.IFS(CA82&lt;&gt;0,CA$2,CO82&lt;&gt;0,CO$2,DC82&lt;&gt;0,DC$2,DQ82&lt;&gt;0,DQ$2,TRUE,"")</f>
        <v/>
      </c>
      <c r="BN82" s="1" t="str" cm="1">
        <f t="array" ref="BN82">+_xlfn.IFS(CB82&lt;&gt;0,CB$2,CP82&lt;&gt;0,CP$2,DD82&lt;&gt;0,DD$2,DR82&lt;&gt;0,DR$2,TRUE,"")</f>
        <v/>
      </c>
      <c r="BO82" s="1" t="str" cm="1">
        <f t="array" ref="BO82">+_xlfn.IFS(CC82&lt;&gt;0,CC$2,CQ82&lt;&gt;0,CQ$2,DE82&lt;&gt;0,DE$2,DS82&lt;&gt;0,DS$2,TRUE,"")</f>
        <v/>
      </c>
      <c r="BP82" s="1" t="str" cm="1">
        <f t="array" ref="BP82">+_xlfn.IFS(CD82&lt;&gt;0,CD$2,CR82&lt;&gt;0,CR$2,DF82&lt;&gt;0,DF$2,DT82&lt;&gt;0,DT$2,TRUE,"")</f>
        <v/>
      </c>
      <c r="BQ82" s="1" t="str" cm="1">
        <f t="array" ref="BQ82">+_xlfn.IFS(CE82&lt;&gt;0,CE$2,CS82&lt;&gt;0,CS$2,DG82&lt;&gt;0,DG$2,DU82&lt;&gt;0,DU$2,TRUE,"")</f>
        <v/>
      </c>
      <c r="BS82" s="111"/>
      <c r="BT82" s="110">
        <f t="shared" si="504"/>
        <v>0</v>
      </c>
      <c r="BU82" s="110">
        <f t="shared" si="505"/>
        <v>0</v>
      </c>
      <c r="BV82" s="110">
        <f t="shared" si="506"/>
        <v>0</v>
      </c>
      <c r="BW82" s="110">
        <f t="shared" si="507"/>
        <v>0</v>
      </c>
      <c r="BX82" s="110">
        <f t="shared" si="508"/>
        <v>0</v>
      </c>
      <c r="BY82" s="110">
        <f t="shared" si="509"/>
        <v>0</v>
      </c>
      <c r="BZ82" s="110">
        <f t="shared" si="510"/>
        <v>0</v>
      </c>
      <c r="CA82" s="110">
        <f t="shared" si="511"/>
        <v>0</v>
      </c>
      <c r="CB82" s="110">
        <f t="shared" si="512"/>
        <v>0</v>
      </c>
      <c r="CC82" s="110">
        <f t="shared" si="513"/>
        <v>0</v>
      </c>
      <c r="CD82" s="110">
        <f t="shared" si="514"/>
        <v>0</v>
      </c>
      <c r="CE82" s="110">
        <f t="shared" si="515"/>
        <v>0</v>
      </c>
      <c r="CG82" s="111"/>
      <c r="CH82" s="110">
        <f t="shared" si="516"/>
        <v>0</v>
      </c>
      <c r="CI82" s="110">
        <f t="shared" si="517"/>
        <v>0</v>
      </c>
      <c r="CJ82" s="110">
        <f t="shared" si="518"/>
        <v>0</v>
      </c>
      <c r="CK82" s="110">
        <f t="shared" si="519"/>
        <v>0</v>
      </c>
      <c r="CL82" s="110">
        <f t="shared" si="520"/>
        <v>0</v>
      </c>
      <c r="CM82" s="110">
        <f t="shared" si="521"/>
        <v>0</v>
      </c>
      <c r="CN82" s="110">
        <f t="shared" si="522"/>
        <v>0</v>
      </c>
      <c r="CO82" s="110">
        <f t="shared" si="523"/>
        <v>0</v>
      </c>
      <c r="CP82" s="110">
        <f t="shared" si="524"/>
        <v>0</v>
      </c>
      <c r="CQ82" s="110">
        <f t="shared" si="525"/>
        <v>0</v>
      </c>
      <c r="CR82" s="110">
        <f t="shared" si="526"/>
        <v>0</v>
      </c>
      <c r="CS82" s="110">
        <f t="shared" si="527"/>
        <v>0</v>
      </c>
      <c r="CU82" s="111"/>
      <c r="CV82" s="110">
        <f t="shared" si="528"/>
        <v>0</v>
      </c>
      <c r="CW82" s="110">
        <f t="shared" si="529"/>
        <v>0</v>
      </c>
      <c r="CX82" s="110">
        <f t="shared" si="530"/>
        <v>0</v>
      </c>
      <c r="CY82" s="110">
        <f t="shared" si="531"/>
        <v>0</v>
      </c>
      <c r="CZ82" s="110">
        <f t="shared" si="532"/>
        <v>0</v>
      </c>
      <c r="DA82" s="110">
        <f t="shared" si="533"/>
        <v>0</v>
      </c>
      <c r="DB82" s="110">
        <f t="shared" si="534"/>
        <v>0</v>
      </c>
      <c r="DC82" s="110">
        <f t="shared" si="535"/>
        <v>0</v>
      </c>
      <c r="DD82" s="110">
        <f t="shared" si="536"/>
        <v>0</v>
      </c>
      <c r="DE82" s="110">
        <f t="shared" si="537"/>
        <v>0</v>
      </c>
      <c r="DF82" s="110">
        <f t="shared" si="538"/>
        <v>0</v>
      </c>
      <c r="DG82" s="110">
        <f t="shared" si="539"/>
        <v>0</v>
      </c>
      <c r="DI82" s="111"/>
      <c r="DJ82" s="110">
        <f t="shared" si="540"/>
        <v>0</v>
      </c>
      <c r="DK82" s="110">
        <f t="shared" si="541"/>
        <v>0</v>
      </c>
      <c r="DL82" s="110">
        <f t="shared" si="542"/>
        <v>0</v>
      </c>
      <c r="DM82" s="110">
        <f t="shared" si="543"/>
        <v>0</v>
      </c>
      <c r="DN82" s="110">
        <f t="shared" si="544"/>
        <v>0</v>
      </c>
      <c r="DO82" s="110">
        <f t="shared" si="545"/>
        <v>0</v>
      </c>
      <c r="DP82" s="110">
        <f t="shared" si="546"/>
        <v>0</v>
      </c>
      <c r="DQ82" s="110">
        <f t="shared" si="547"/>
        <v>0</v>
      </c>
      <c r="DR82" s="110">
        <f t="shared" si="548"/>
        <v>0</v>
      </c>
      <c r="DS82" s="110">
        <f t="shared" si="549"/>
        <v>0</v>
      </c>
      <c r="DT82" s="110">
        <f t="shared" si="550"/>
        <v>0</v>
      </c>
      <c r="DU82" s="110">
        <f t="shared" si="551"/>
        <v>0</v>
      </c>
      <c r="DW82" s="111"/>
      <c r="DX82" s="110">
        <f t="shared" si="552"/>
        <v>0</v>
      </c>
      <c r="DY82" s="110">
        <f t="shared" si="553"/>
        <v>0</v>
      </c>
      <c r="DZ82" s="110">
        <f t="shared" si="554"/>
        <v>0</v>
      </c>
      <c r="EA82" s="110">
        <f t="shared" si="555"/>
        <v>0</v>
      </c>
      <c r="EB82" s="110">
        <f t="shared" si="556"/>
        <v>0</v>
      </c>
      <c r="EC82" s="110">
        <f t="shared" si="557"/>
        <v>0</v>
      </c>
      <c r="ED82" s="110">
        <f t="shared" si="558"/>
        <v>0</v>
      </c>
      <c r="EE82" s="110">
        <f t="shared" si="559"/>
        <v>0</v>
      </c>
      <c r="EF82" s="110">
        <f t="shared" si="560"/>
        <v>0</v>
      </c>
      <c r="EG82" s="110">
        <f t="shared" si="561"/>
        <v>0</v>
      </c>
      <c r="EH82" s="110">
        <f t="shared" si="562"/>
        <v>0</v>
      </c>
      <c r="EI82" s="110">
        <f t="shared" si="563"/>
        <v>0</v>
      </c>
      <c r="EK82" s="111"/>
      <c r="EL82" s="110">
        <f t="shared" si="564"/>
        <v>0</v>
      </c>
      <c r="EM82" s="110">
        <f t="shared" si="565"/>
        <v>0</v>
      </c>
      <c r="EN82" s="110">
        <f t="shared" si="566"/>
        <v>0</v>
      </c>
      <c r="EP82" s="109" cm="1">
        <f t="array" ref="EP82">+IFERROR(INDEX($C$3:$AM$3,MATCH(TRUE,INDEX($C82:$AM82&lt;&gt;0,0),0)),"N/A")</f>
        <v>44926</v>
      </c>
      <c r="EQ82" s="112"/>
      <c r="ER82" s="1" t="str" cm="1">
        <f t="array" ref="ER82">+_xlfn.IFS(EW82&lt;&gt;0,EW$2,FB82&lt;&gt;0,FB$2,FG82&lt;&gt;0,FG$2,FL82&lt;&gt;0,FL$2,TRUE,"")</f>
        <v/>
      </c>
      <c r="ES82" s="1" t="str" cm="1">
        <f t="array" ref="ES82">+_xlfn.IFS(EX82&lt;&gt;0,EX$2,FC82&lt;&gt;0,FC$2,FH82&lt;&gt;0,FH$2,FM82&lt;&gt;0,FM$2,TRUE,"")</f>
        <v/>
      </c>
      <c r="ET82" s="1" t="str" cm="1">
        <f t="array" ref="ET82">+_xlfn.IFS(EY82&lt;&gt;0,EY$2,FD82&lt;&gt;0,FD$2,FI82&lt;&gt;0,FI$2,FN82&lt;&gt;0,FN$2,TRUE,"")</f>
        <v/>
      </c>
      <c r="EV82" s="111"/>
      <c r="EW82" s="110">
        <f t="shared" si="567"/>
        <v>0</v>
      </c>
      <c r="EX82" s="110">
        <f t="shared" si="568"/>
        <v>0</v>
      </c>
      <c r="EY82" s="110">
        <f t="shared" si="569"/>
        <v>0</v>
      </c>
      <c r="FA82" s="111"/>
      <c r="FB82" s="110">
        <f t="shared" si="570"/>
        <v>0</v>
      </c>
      <c r="FC82" s="110">
        <f t="shared" si="571"/>
        <v>0</v>
      </c>
      <c r="FD82" s="110">
        <f t="shared" si="572"/>
        <v>0</v>
      </c>
      <c r="FF82" s="111"/>
      <c r="FG82" s="110">
        <f t="shared" si="573"/>
        <v>0</v>
      </c>
      <c r="FH82" s="110">
        <f t="shared" si="574"/>
        <v>0</v>
      </c>
      <c r="FI82" s="110">
        <f t="shared" si="575"/>
        <v>0</v>
      </c>
      <c r="FK82" s="111"/>
      <c r="FL82" s="110">
        <f t="shared" si="576"/>
        <v>0</v>
      </c>
      <c r="FM82" s="110">
        <f t="shared" si="577"/>
        <v>0</v>
      </c>
      <c r="FN82" s="110">
        <f t="shared" si="578"/>
        <v>0</v>
      </c>
      <c r="FP82" s="111"/>
      <c r="FQ82" s="110">
        <f t="shared" si="579"/>
        <v>0</v>
      </c>
      <c r="FR82" s="110">
        <f t="shared" si="580"/>
        <v>0</v>
      </c>
      <c r="FS82" s="110">
        <f t="shared" si="581"/>
        <v>0</v>
      </c>
      <c r="FU82" s="111">
        <f t="shared" si="582"/>
        <v>0</v>
      </c>
      <c r="FV82" s="110">
        <f t="shared" si="583"/>
        <v>0</v>
      </c>
      <c r="FW82" s="110">
        <f t="shared" si="584"/>
        <v>0</v>
      </c>
      <c r="FX82" s="110">
        <f t="shared" si="585"/>
        <v>0</v>
      </c>
      <c r="FY82" s="110">
        <f t="shared" si="586"/>
        <v>0</v>
      </c>
      <c r="FZ82" s="110">
        <f t="shared" si="587"/>
        <v>0</v>
      </c>
      <c r="GA82" s="110">
        <f t="shared" si="588"/>
        <v>0</v>
      </c>
      <c r="GB82" s="110">
        <f t="shared" si="589"/>
        <v>0</v>
      </c>
      <c r="GC82" s="110">
        <f t="shared" si="590"/>
        <v>0</v>
      </c>
      <c r="GD82" s="110">
        <f t="shared" si="591"/>
        <v>0</v>
      </c>
      <c r="GE82" s="110">
        <f t="shared" si="592"/>
        <v>0</v>
      </c>
      <c r="GF82" s="110">
        <f t="shared" si="593"/>
        <v>0</v>
      </c>
      <c r="GG82" s="110">
        <f t="shared" si="594"/>
        <v>0</v>
      </c>
      <c r="GH82" s="110">
        <f t="shared" si="595"/>
        <v>0</v>
      </c>
      <c r="GI82" s="110">
        <f t="shared" si="596"/>
        <v>0</v>
      </c>
      <c r="GJ82" s="110">
        <f t="shared" si="597"/>
        <v>0</v>
      </c>
      <c r="GK82" s="110">
        <f t="shared" si="598"/>
        <v>0</v>
      </c>
      <c r="GL82" s="110">
        <f t="shared" si="599"/>
        <v>0</v>
      </c>
      <c r="GM82" s="110">
        <f t="shared" si="600"/>
        <v>0</v>
      </c>
      <c r="GN82" s="110">
        <f t="shared" si="601"/>
        <v>0</v>
      </c>
      <c r="GO82" s="110">
        <f t="shared" si="602"/>
        <v>0</v>
      </c>
      <c r="GP82" s="110">
        <f t="shared" si="603"/>
        <v>0</v>
      </c>
      <c r="GQ82" s="110">
        <f t="shared" si="604"/>
        <v>0</v>
      </c>
      <c r="GR82" s="110">
        <f t="shared" si="605"/>
        <v>0</v>
      </c>
      <c r="GS82" s="110">
        <f t="shared" si="606"/>
        <v>0</v>
      </c>
      <c r="GU82" s="109" cm="1">
        <f t="array" ref="GU82">+IFERROR(INDEX($C$3:$AM$3,MATCH(TRUE,INDEX($C82:$AM82&lt;&gt;0,0),0)),"N/A")</f>
        <v>44926</v>
      </c>
      <c r="GV82" s="112" t="str" cm="1">
        <f t="array" ref="GV82">+_xlfn.IFS(HV82&lt;&gt;0,HV$2,IV82&lt;&gt;0,IV$2,JV82&lt;&gt;0,JV$2,KV82&lt;&gt;0,KV$2,TRUE,"")</f>
        <v/>
      </c>
      <c r="GW82" s="1" t="str" cm="1">
        <f t="array" ref="GW82">+_xlfn.IFS(HW82&lt;&gt;0,HW$2,IW82&lt;&gt;0,IW$2,JW82&lt;&gt;0,JW$2,KW82&lt;&gt;0,KW$2,TRUE,"")</f>
        <v/>
      </c>
      <c r="GX82" s="1" t="str" cm="1">
        <f t="array" ref="GX82">+_xlfn.IFS(HX82&lt;&gt;0,HX$2,IX82&lt;&gt;0,IX$2,JX82&lt;&gt;0,JX$2,KX82&lt;&gt;0,KX$2,TRUE,"")</f>
        <v/>
      </c>
      <c r="GY82" s="1" t="str" cm="1">
        <f t="array" ref="GY82">+_xlfn.IFS(HY82&lt;&gt;0,HY$2,IY82&lt;&gt;0,IY$2,JY82&lt;&gt;0,JY$2,KY82&lt;&gt;0,KY$2,TRUE,"")</f>
        <v/>
      </c>
      <c r="GZ82" s="1" t="str" cm="1">
        <f t="array" ref="GZ82">+_xlfn.IFS(HZ82&lt;&gt;0,HZ$2,IZ82&lt;&gt;0,IZ$2,JZ82&lt;&gt;0,JZ$2,KZ82&lt;&gt;0,KZ$2,TRUE,"")</f>
        <v/>
      </c>
      <c r="HA82" s="1" t="str" cm="1">
        <f t="array" ref="HA82">+_xlfn.IFS(IA82&lt;&gt;0,IA$2,JA82&lt;&gt;0,JA$2,KA82&lt;&gt;0,KA$2,LA82&lt;&gt;0,LA$2,TRUE,"")</f>
        <v/>
      </c>
      <c r="HB82" s="1" t="str" cm="1">
        <f t="array" ref="HB82">+_xlfn.IFS(IB82&lt;&gt;0,IB$2,JB82&lt;&gt;0,JB$2,KB82&lt;&gt;0,KB$2,LB82&lt;&gt;0,LB$2,TRUE,"")</f>
        <v/>
      </c>
      <c r="HC82" s="1" t="str" cm="1">
        <f t="array" ref="HC82">+_xlfn.IFS(IC82&lt;&gt;0,IC$2,JC82&lt;&gt;0,JC$2,KC82&lt;&gt;0,KC$2,LC82&lt;&gt;0,LC$2,TRUE,"")</f>
        <v/>
      </c>
      <c r="HD82" s="1" t="str" cm="1">
        <f t="array" ref="HD82">+_xlfn.IFS(ID82&lt;&gt;0,ID$2,JD82&lt;&gt;0,JD$2,KD82&lt;&gt;0,KD$2,LD82&lt;&gt;0,LD$2,TRUE,"")</f>
        <v/>
      </c>
      <c r="HE82" s="1" t="str" cm="1">
        <f t="array" ref="HE82">+_xlfn.IFS(IE82&lt;&gt;0,IE$2,JE82&lt;&gt;0,JE$2,KE82&lt;&gt;0,KE$2,LE82&lt;&gt;0,LE$2,TRUE,"")</f>
        <v/>
      </c>
      <c r="HF82" s="1" t="str" cm="1">
        <f t="array" ref="HF82">+_xlfn.IFS(IF82&lt;&gt;0,IF$2,JF82&lt;&gt;0,JF$2,KF82&lt;&gt;0,KF$2,LF82&lt;&gt;0,LF$2,TRUE,"")</f>
        <v/>
      </c>
      <c r="HG82" s="1" t="str" cm="1">
        <f t="array" ref="HG82">+_xlfn.IFS(IG82&lt;&gt;0,IG$2,JG82&lt;&gt;0,JG$2,KG82&lt;&gt;0,KG$2,LG82&lt;&gt;0,LG$2,TRUE,"")</f>
        <v/>
      </c>
      <c r="HH82" s="1" t="str" cm="1">
        <f t="array" ref="HH82">+_xlfn.IFS(IH82&lt;&gt;0,IH$2,JH82&lt;&gt;0,JH$2,KH82&lt;&gt;0,KH$2,LH82&lt;&gt;0,LH$2,TRUE,"")</f>
        <v/>
      </c>
      <c r="HI82" s="1" t="str" cm="1">
        <f t="array" ref="HI82">+_xlfn.IFS(II82&lt;&gt;0,II$2,JI82&lt;&gt;0,JI$2,KI82&lt;&gt;0,KI$2,LI82&lt;&gt;0,LI$2,TRUE,"")</f>
        <v/>
      </c>
      <c r="HJ82" s="1" t="str" cm="1">
        <f t="array" ref="HJ82">+_xlfn.IFS(IJ82&lt;&gt;0,IJ$2,JJ82&lt;&gt;0,JJ$2,KJ82&lt;&gt;0,KJ$2,LJ82&lt;&gt;0,LJ$2,TRUE,"")</f>
        <v/>
      </c>
      <c r="HK82" s="1" t="str" cm="1">
        <f t="array" ref="HK82">+_xlfn.IFS(IK82&lt;&gt;0,IK$2,JK82&lt;&gt;0,JK$2,KK82&lt;&gt;0,KK$2,LK82&lt;&gt;0,LK$2,TRUE,"")</f>
        <v/>
      </c>
      <c r="HL82" s="1" t="str" cm="1">
        <f t="array" ref="HL82">+_xlfn.IFS(IL82&lt;&gt;0,IL$2,JL82&lt;&gt;0,JL$2,KL82&lt;&gt;0,KL$2,LL82&lt;&gt;0,LL$2,TRUE,"")</f>
        <v/>
      </c>
      <c r="HM82" s="1" t="str" cm="1">
        <f t="array" ref="HM82">+_xlfn.IFS(IM82&lt;&gt;0,IM$2,JM82&lt;&gt;0,JM$2,KM82&lt;&gt;0,KM$2,LM82&lt;&gt;0,LM$2,TRUE,"")</f>
        <v/>
      </c>
      <c r="HN82" s="1" t="str" cm="1">
        <f t="array" ref="HN82">+_xlfn.IFS(IN82&lt;&gt;0,IN$2,JN82&lt;&gt;0,JN$2,KN82&lt;&gt;0,KN$2,LN82&lt;&gt;0,LN$2,TRUE,"")</f>
        <v/>
      </c>
      <c r="HO82" s="1" t="str" cm="1">
        <f t="array" ref="HO82">+_xlfn.IFS(IO82&lt;&gt;0,IO$2,JO82&lt;&gt;0,JO$2,KO82&lt;&gt;0,KO$2,LO82&lt;&gt;0,LO$2,TRUE,"")</f>
        <v/>
      </c>
      <c r="HP82" s="1" t="str" cm="1">
        <f t="array" ref="HP82">+_xlfn.IFS(IP82&lt;&gt;0,IP$2,JP82&lt;&gt;0,JP$2,KP82&lt;&gt;0,KP$2,LP82&lt;&gt;0,LP$2,TRUE,"")</f>
        <v/>
      </c>
      <c r="HQ82" s="1" t="str" cm="1">
        <f t="array" ref="HQ82">+_xlfn.IFS(IQ82&lt;&gt;0,IQ$2,JQ82&lt;&gt;0,JQ$2,KQ82&lt;&gt;0,KQ$2,LQ82&lt;&gt;0,LQ$2,TRUE,"")</f>
        <v/>
      </c>
      <c r="HR82" s="1" t="str" cm="1">
        <f t="array" ref="HR82">+_xlfn.IFS(IR82&lt;&gt;0,IR$2,JR82&lt;&gt;0,JR$2,KR82&lt;&gt;0,KR$2,LR82&lt;&gt;0,LR$2,TRUE,"")</f>
        <v/>
      </c>
      <c r="HS82" s="1" t="str" cm="1">
        <f t="array" ref="HS82">+_xlfn.IFS(IS82&lt;&gt;0,IS$2,JS82&lt;&gt;0,JS$2,KS82&lt;&gt;0,KS$2,LS82&lt;&gt;0,LS$2,TRUE,"")</f>
        <v/>
      </c>
      <c r="HT82" s="1" t="str" cm="1">
        <f t="array" ref="HT82">+_xlfn.IFS(IT82&lt;&gt;0,IT$2,JT82&lt;&gt;0,JT$2,KT82&lt;&gt;0,KT$2,LT82&lt;&gt;0,LT$2,TRUE,"")</f>
        <v/>
      </c>
      <c r="HV82" s="111">
        <f t="shared" si="607"/>
        <v>0</v>
      </c>
      <c r="HW82" s="110">
        <f t="shared" si="608"/>
        <v>0</v>
      </c>
      <c r="HX82" s="110">
        <f t="shared" si="609"/>
        <v>0</v>
      </c>
      <c r="HY82" s="110">
        <f t="shared" si="610"/>
        <v>0</v>
      </c>
      <c r="HZ82" s="110">
        <f t="shared" si="611"/>
        <v>0</v>
      </c>
      <c r="IA82" s="110">
        <f t="shared" si="612"/>
        <v>0</v>
      </c>
      <c r="IB82" s="110">
        <f t="shared" si="613"/>
        <v>0</v>
      </c>
      <c r="IC82" s="110">
        <f t="shared" si="614"/>
        <v>0</v>
      </c>
      <c r="ID82" s="110">
        <f t="shared" si="615"/>
        <v>0</v>
      </c>
      <c r="IE82" s="110">
        <f t="shared" si="616"/>
        <v>0</v>
      </c>
      <c r="IF82" s="110">
        <f t="shared" si="617"/>
        <v>0</v>
      </c>
      <c r="IG82" s="110">
        <f t="shared" si="618"/>
        <v>0</v>
      </c>
      <c r="IH82" s="110">
        <f t="shared" si="619"/>
        <v>0</v>
      </c>
      <c r="II82" s="110">
        <f t="shared" si="620"/>
        <v>0</v>
      </c>
      <c r="IJ82" s="110">
        <f t="shared" si="621"/>
        <v>0</v>
      </c>
      <c r="IK82" s="110">
        <f t="shared" si="622"/>
        <v>0</v>
      </c>
      <c r="IL82" s="110">
        <f t="shared" si="623"/>
        <v>0</v>
      </c>
      <c r="IM82" s="110">
        <f t="shared" si="624"/>
        <v>0</v>
      </c>
      <c r="IN82" s="110">
        <f t="shared" si="625"/>
        <v>0</v>
      </c>
      <c r="IO82" s="110">
        <f t="shared" si="626"/>
        <v>0</v>
      </c>
      <c r="IP82" s="110">
        <f t="shared" si="627"/>
        <v>0</v>
      </c>
      <c r="IQ82" s="110">
        <f t="shared" si="628"/>
        <v>0</v>
      </c>
      <c r="IR82" s="110">
        <f t="shared" si="629"/>
        <v>0</v>
      </c>
      <c r="IS82" s="110">
        <f t="shared" si="630"/>
        <v>0</v>
      </c>
      <c r="IT82" s="110">
        <f t="shared" si="631"/>
        <v>0</v>
      </c>
      <c r="IV82" s="111">
        <f t="shared" si="632"/>
        <v>0</v>
      </c>
      <c r="IW82" s="110">
        <f t="shared" si="633"/>
        <v>0</v>
      </c>
      <c r="IX82" s="110">
        <f t="shared" si="634"/>
        <v>0</v>
      </c>
      <c r="IY82" s="110">
        <f t="shared" si="635"/>
        <v>0</v>
      </c>
      <c r="IZ82" s="110">
        <f t="shared" si="636"/>
        <v>0</v>
      </c>
      <c r="JA82" s="110">
        <f t="shared" si="637"/>
        <v>0</v>
      </c>
      <c r="JB82" s="110">
        <f t="shared" si="638"/>
        <v>0</v>
      </c>
      <c r="JC82" s="110">
        <f t="shared" si="639"/>
        <v>0</v>
      </c>
      <c r="JD82" s="110">
        <f t="shared" si="640"/>
        <v>0</v>
      </c>
      <c r="JE82" s="110">
        <f t="shared" si="641"/>
        <v>0</v>
      </c>
      <c r="JF82" s="110">
        <f t="shared" si="642"/>
        <v>0</v>
      </c>
      <c r="JG82" s="110">
        <f t="shared" si="643"/>
        <v>0</v>
      </c>
      <c r="JH82" s="110">
        <f t="shared" si="644"/>
        <v>0</v>
      </c>
      <c r="JI82" s="110">
        <f t="shared" si="645"/>
        <v>0</v>
      </c>
      <c r="JJ82" s="110">
        <f t="shared" si="646"/>
        <v>0</v>
      </c>
      <c r="JK82" s="110">
        <f t="shared" si="647"/>
        <v>0</v>
      </c>
      <c r="JL82" s="110">
        <f t="shared" si="648"/>
        <v>0</v>
      </c>
      <c r="JM82" s="110">
        <f t="shared" si="649"/>
        <v>0</v>
      </c>
      <c r="JN82" s="110">
        <f t="shared" si="650"/>
        <v>0</v>
      </c>
      <c r="JO82" s="110">
        <f t="shared" si="651"/>
        <v>0</v>
      </c>
      <c r="JP82" s="110">
        <f t="shared" si="652"/>
        <v>0</v>
      </c>
      <c r="JQ82" s="110">
        <f t="shared" si="653"/>
        <v>0</v>
      </c>
      <c r="JR82" s="110">
        <f t="shared" si="654"/>
        <v>0</v>
      </c>
      <c r="JS82" s="110">
        <f t="shared" si="655"/>
        <v>0</v>
      </c>
      <c r="JT82" s="110">
        <f t="shared" si="656"/>
        <v>0</v>
      </c>
      <c r="JV82" s="111">
        <f t="shared" si="657"/>
        <v>0</v>
      </c>
      <c r="JW82" s="110">
        <f t="shared" si="658"/>
        <v>0</v>
      </c>
      <c r="JX82" s="110">
        <f t="shared" si="659"/>
        <v>0</v>
      </c>
      <c r="JY82" s="110">
        <f t="shared" si="660"/>
        <v>0</v>
      </c>
      <c r="JZ82" s="110">
        <f t="shared" si="661"/>
        <v>0</v>
      </c>
      <c r="KA82" s="110">
        <f t="shared" si="662"/>
        <v>0</v>
      </c>
      <c r="KB82" s="110">
        <f t="shared" si="663"/>
        <v>0</v>
      </c>
      <c r="KC82" s="110">
        <f t="shared" si="664"/>
        <v>0</v>
      </c>
      <c r="KD82" s="110">
        <f t="shared" si="665"/>
        <v>0</v>
      </c>
      <c r="KE82" s="110">
        <f t="shared" si="666"/>
        <v>0</v>
      </c>
      <c r="KF82" s="110">
        <f t="shared" si="667"/>
        <v>0</v>
      </c>
      <c r="KG82" s="110">
        <f t="shared" si="668"/>
        <v>0</v>
      </c>
      <c r="KH82" s="110">
        <f t="shared" si="669"/>
        <v>0</v>
      </c>
      <c r="KI82" s="110">
        <f t="shared" si="670"/>
        <v>0</v>
      </c>
      <c r="KJ82" s="110">
        <f t="shared" si="671"/>
        <v>0</v>
      </c>
      <c r="KK82" s="110">
        <f t="shared" si="672"/>
        <v>0</v>
      </c>
      <c r="KL82" s="110">
        <f t="shared" si="673"/>
        <v>0</v>
      </c>
      <c r="KM82" s="110">
        <f t="shared" si="674"/>
        <v>0</v>
      </c>
      <c r="KN82" s="110">
        <f t="shared" si="675"/>
        <v>0</v>
      </c>
      <c r="KO82" s="110">
        <f t="shared" si="676"/>
        <v>0</v>
      </c>
      <c r="KP82" s="110">
        <f t="shared" si="677"/>
        <v>0</v>
      </c>
      <c r="KQ82" s="110">
        <f t="shared" si="678"/>
        <v>0</v>
      </c>
      <c r="KR82" s="110">
        <f t="shared" si="679"/>
        <v>0</v>
      </c>
      <c r="KS82" s="110">
        <f t="shared" si="680"/>
        <v>0</v>
      </c>
      <c r="KT82" s="110">
        <f t="shared" si="681"/>
        <v>0</v>
      </c>
      <c r="KV82" s="111">
        <f t="shared" si="682"/>
        <v>0</v>
      </c>
      <c r="KW82" s="110">
        <f t="shared" si="683"/>
        <v>0</v>
      </c>
      <c r="KX82" s="110">
        <f t="shared" si="684"/>
        <v>0</v>
      </c>
      <c r="KY82" s="110">
        <f t="shared" si="685"/>
        <v>0</v>
      </c>
      <c r="KZ82" s="110">
        <f t="shared" si="686"/>
        <v>0</v>
      </c>
      <c r="LA82" s="110">
        <f t="shared" si="687"/>
        <v>0</v>
      </c>
      <c r="LB82" s="110">
        <f t="shared" si="688"/>
        <v>0</v>
      </c>
      <c r="LC82" s="110">
        <f t="shared" si="689"/>
        <v>0</v>
      </c>
      <c r="LD82" s="110">
        <f t="shared" si="690"/>
        <v>0</v>
      </c>
      <c r="LE82" s="110">
        <f t="shared" si="691"/>
        <v>0</v>
      </c>
      <c r="LF82" s="110">
        <f t="shared" si="692"/>
        <v>0</v>
      </c>
      <c r="LG82" s="110">
        <f t="shared" si="693"/>
        <v>0</v>
      </c>
      <c r="LH82" s="110">
        <f t="shared" si="694"/>
        <v>0</v>
      </c>
      <c r="LI82" s="110">
        <f t="shared" si="695"/>
        <v>0</v>
      </c>
      <c r="LJ82" s="110">
        <f t="shared" si="696"/>
        <v>0</v>
      </c>
      <c r="LK82" s="110">
        <f t="shared" si="697"/>
        <v>0</v>
      </c>
      <c r="LL82" s="110">
        <f t="shared" si="698"/>
        <v>0</v>
      </c>
      <c r="LM82" s="110">
        <f t="shared" si="699"/>
        <v>0</v>
      </c>
      <c r="LN82" s="110">
        <f t="shared" si="700"/>
        <v>0</v>
      </c>
      <c r="LO82" s="110">
        <f t="shared" si="701"/>
        <v>0</v>
      </c>
      <c r="LP82" s="110">
        <f t="shared" si="702"/>
        <v>0</v>
      </c>
      <c r="LQ82" s="110">
        <f t="shared" si="703"/>
        <v>0</v>
      </c>
      <c r="LR82" s="110">
        <f t="shared" si="704"/>
        <v>0</v>
      </c>
      <c r="LS82" s="110">
        <f t="shared" si="705"/>
        <v>0</v>
      </c>
      <c r="LT82" s="110">
        <f t="shared" si="706"/>
        <v>0</v>
      </c>
      <c r="LV82" s="111"/>
      <c r="LW82" s="110">
        <f t="shared" si="707"/>
        <v>0</v>
      </c>
      <c r="LX82" s="110">
        <f t="shared" si="708"/>
        <v>0</v>
      </c>
      <c r="LY82" s="110">
        <f t="shared" si="709"/>
        <v>0</v>
      </c>
      <c r="LZ82" s="110">
        <f t="shared" si="710"/>
        <v>0</v>
      </c>
      <c r="MA82" s="110">
        <f t="shared" si="711"/>
        <v>0</v>
      </c>
      <c r="MB82" s="110">
        <f t="shared" si="712"/>
        <v>0</v>
      </c>
      <c r="MC82" s="110">
        <f t="shared" si="713"/>
        <v>0</v>
      </c>
      <c r="MD82" s="110">
        <f t="shared" si="714"/>
        <v>0</v>
      </c>
      <c r="ME82" s="110">
        <f t="shared" si="715"/>
        <v>0</v>
      </c>
      <c r="MF82" s="110">
        <f t="shared" si="716"/>
        <v>0</v>
      </c>
      <c r="MG82" s="110">
        <f t="shared" si="717"/>
        <v>0</v>
      </c>
      <c r="MH82" s="110">
        <f t="shared" si="718"/>
        <v>0</v>
      </c>
      <c r="MI82" s="110">
        <f t="shared" si="719"/>
        <v>0</v>
      </c>
      <c r="MJ82" s="110">
        <f t="shared" si="720"/>
        <v>0</v>
      </c>
      <c r="MK82" s="110">
        <f t="shared" si="721"/>
        <v>0</v>
      </c>
      <c r="ML82" s="110">
        <f t="shared" si="722"/>
        <v>0</v>
      </c>
      <c r="MM82" s="110">
        <f t="shared" si="723"/>
        <v>0</v>
      </c>
      <c r="MN82" s="110">
        <f t="shared" si="724"/>
        <v>0</v>
      </c>
      <c r="MO82" s="110">
        <f t="shared" si="725"/>
        <v>0</v>
      </c>
      <c r="MP82" s="110">
        <f t="shared" si="726"/>
        <v>0</v>
      </c>
      <c r="MQ82" s="110">
        <f t="shared" si="727"/>
        <v>0</v>
      </c>
      <c r="MR82" s="110">
        <f t="shared" si="728"/>
        <v>0</v>
      </c>
      <c r="MS82" s="110">
        <f t="shared" si="729"/>
        <v>0</v>
      </c>
      <c r="MT82" s="110">
        <f t="shared" si="730"/>
        <v>0</v>
      </c>
      <c r="MV82" s="114">
        <v>254.15</v>
      </c>
      <c r="MW82" s="114">
        <v>0</v>
      </c>
      <c r="MX82" s="114">
        <v>0</v>
      </c>
      <c r="MY82" s="114">
        <v>0</v>
      </c>
      <c r="MZ82" s="114">
        <v>0</v>
      </c>
      <c r="NB82" s="115">
        <v>42</v>
      </c>
      <c r="NC82" s="115" t="str">
        <v>N/A</v>
      </c>
      <c r="ND82" s="115" t="str">
        <v>N/A</v>
      </c>
      <c r="NE82" s="115" t="str">
        <v>N/A</v>
      </c>
      <c r="NF82" s="115" t="str">
        <v>N/A</v>
      </c>
    </row>
    <row r="83" spans="2:370" ht="13.5" x14ac:dyDescent="0.25">
      <c r="B83" s="8">
        <f t="shared" si="731"/>
        <v>80</v>
      </c>
      <c r="C83" s="7">
        <v>179</v>
      </c>
      <c r="D83" s="7">
        <v>179</v>
      </c>
      <c r="E83" s="7">
        <v>179</v>
      </c>
      <c r="F83" s="7">
        <v>179</v>
      </c>
      <c r="G83" s="7">
        <v>179</v>
      </c>
      <c r="H83" s="7">
        <v>179</v>
      </c>
      <c r="I83" s="7">
        <v>179</v>
      </c>
      <c r="J83" s="7">
        <v>179</v>
      </c>
      <c r="K83" s="7">
        <v>179</v>
      </c>
      <c r="L83" s="7">
        <v>179</v>
      </c>
      <c r="M83" s="7">
        <v>179</v>
      </c>
      <c r="N83" s="7">
        <v>179</v>
      </c>
      <c r="O83" s="7">
        <v>179</v>
      </c>
      <c r="P83" s="7">
        <v>179</v>
      </c>
      <c r="Q83" s="7">
        <v>179</v>
      </c>
      <c r="R83" s="7">
        <v>179</v>
      </c>
      <c r="S83" s="7">
        <v>179</v>
      </c>
      <c r="T83" s="7">
        <v>179</v>
      </c>
      <c r="U83" s="7">
        <v>179</v>
      </c>
      <c r="V83" s="7">
        <v>179</v>
      </c>
      <c r="W83" s="7">
        <v>179</v>
      </c>
      <c r="X83" s="7">
        <v>179</v>
      </c>
      <c r="Y83" s="7">
        <v>199.55</v>
      </c>
      <c r="Z83" s="7">
        <v>185.27</v>
      </c>
      <c r="AA83" s="7">
        <v>185.27</v>
      </c>
      <c r="AB83" s="7">
        <v>185.27</v>
      </c>
      <c r="AC83" s="7">
        <v>185.27</v>
      </c>
      <c r="AD83" s="7">
        <v>185.27</v>
      </c>
      <c r="AE83" s="7">
        <v>185.27</v>
      </c>
      <c r="AF83" s="7">
        <v>185.27</v>
      </c>
      <c r="AG83" s="7">
        <v>185.27</v>
      </c>
      <c r="AH83" s="7">
        <v>185.27</v>
      </c>
      <c r="AI83" s="7">
        <v>185.27</v>
      </c>
      <c r="AJ83" s="7">
        <v>191.75</v>
      </c>
      <c r="AK83" s="7">
        <v>191.75</v>
      </c>
      <c r="AL83" s="7">
        <v>191.75</v>
      </c>
      <c r="AM83" s="7">
        <v>191.75</v>
      </c>
      <c r="AN83" s="27">
        <v>80</v>
      </c>
      <c r="AP83" s="111"/>
      <c r="AQ83" s="110">
        <f t="shared" si="492"/>
        <v>0</v>
      </c>
      <c r="AR83" s="110">
        <f t="shared" si="493"/>
        <v>0</v>
      </c>
      <c r="AS83" s="110">
        <f t="shared" si="494"/>
        <v>0</v>
      </c>
      <c r="AT83" s="110">
        <f t="shared" si="495"/>
        <v>0</v>
      </c>
      <c r="AU83" s="110">
        <f t="shared" si="496"/>
        <v>0</v>
      </c>
      <c r="AV83" s="110">
        <f t="shared" si="497"/>
        <v>0</v>
      </c>
      <c r="AW83" s="110">
        <f t="shared" si="498"/>
        <v>0</v>
      </c>
      <c r="AX83" s="110">
        <f t="shared" si="499"/>
        <v>6.2700000000000102</v>
      </c>
      <c r="AY83" s="110">
        <f t="shared" si="500"/>
        <v>0</v>
      </c>
      <c r="AZ83" s="110">
        <f t="shared" si="501"/>
        <v>0</v>
      </c>
      <c r="BA83" s="110">
        <f t="shared" si="502"/>
        <v>6.4799999999999898</v>
      </c>
      <c r="BB83" s="110">
        <f t="shared" si="503"/>
        <v>0</v>
      </c>
      <c r="BD83" s="109" cm="1">
        <f t="array" ref="BD83">+IFERROR(INDEX($C$3:$AM$3,MATCH(TRUE,INDEX($C83:$AM83&lt;&gt;0,0),0)),"N/A")</f>
        <v>44926</v>
      </c>
      <c r="BE83" s="112"/>
      <c r="BF83" s="1" t="str" cm="1">
        <f t="array" ref="BF83">+_xlfn.IFS(BT83&lt;&gt;0,BT$2,CH83&lt;&gt;0,CH$2,CV83&lt;&gt;0,CV$2,DJ83&lt;&gt;0,DJ$2,TRUE,"")</f>
        <v/>
      </c>
      <c r="BG83" s="1" t="str" cm="1">
        <f t="array" ref="BG83">+_xlfn.IFS(BU83&lt;&gt;0,BU$2,CI83&lt;&gt;0,CI$2,CW83&lt;&gt;0,CW$2,DK83&lt;&gt;0,DK$2,TRUE,"")</f>
        <v/>
      </c>
      <c r="BH83" s="1" t="str" cm="1">
        <f t="array" ref="BH83">+_xlfn.IFS(BV83&lt;&gt;0,BV$2,CJ83&lt;&gt;0,CJ$2,CX83&lt;&gt;0,CX$2,DL83&lt;&gt;0,DL$2,TRUE,"")</f>
        <v/>
      </c>
      <c r="BI83" s="1" t="str" cm="1">
        <f t="array" ref="BI83">+_xlfn.IFS(BW83&lt;&gt;0,BW$2,CK83&lt;&gt;0,CK$2,CY83&lt;&gt;0,CY$2,DM83&lt;&gt;0,DM$2,TRUE,"")</f>
        <v/>
      </c>
      <c r="BJ83" s="1" t="str" cm="1">
        <f t="array" ref="BJ83">+_xlfn.IFS(BX83&lt;&gt;0,BX$2,CL83&lt;&gt;0,CL$2,CZ83&lt;&gt;0,CZ$2,DN83&lt;&gt;0,DN$2,TRUE,"")</f>
        <v/>
      </c>
      <c r="BK83" s="1" t="str" cm="1">
        <f t="array" ref="BK83">+_xlfn.IFS(BY83&lt;&gt;0,BY$2,CM83&lt;&gt;0,CM$2,DA83&lt;&gt;0,DA$2,DO83&lt;&gt;0,DO$2,TRUE,"")</f>
        <v/>
      </c>
      <c r="BL83" s="1" t="str" cm="1">
        <f t="array" ref="BL83">+_xlfn.IFS(BZ83&lt;&gt;0,BZ$2,CN83&lt;&gt;0,CN$2,DB83&lt;&gt;0,DB$2,DP83&lt;&gt;0,DP$2,TRUE,"")</f>
        <v/>
      </c>
      <c r="BM83" s="1" t="str" cm="1">
        <f t="array" ref="BM83">+_xlfn.IFS(CA83&lt;&gt;0,CA$2,CO83&lt;&gt;0,CO$2,DC83&lt;&gt;0,DC$2,DQ83&lt;&gt;0,DQ$2,TRUE,"")</f>
        <v>Upsell</v>
      </c>
      <c r="BN83" s="1" t="str" cm="1">
        <f t="array" ref="BN83">+_xlfn.IFS(CB83&lt;&gt;0,CB$2,CP83&lt;&gt;0,CP$2,DD83&lt;&gt;0,DD$2,DR83&lt;&gt;0,DR$2,TRUE,"")</f>
        <v/>
      </c>
      <c r="BO83" s="1" t="str" cm="1">
        <f t="array" ref="BO83">+_xlfn.IFS(CC83&lt;&gt;0,CC$2,CQ83&lt;&gt;0,CQ$2,DE83&lt;&gt;0,DE$2,DS83&lt;&gt;0,DS$2,TRUE,"")</f>
        <v/>
      </c>
      <c r="BP83" s="1" t="str" cm="1">
        <f t="array" ref="BP83">+_xlfn.IFS(CD83&lt;&gt;0,CD$2,CR83&lt;&gt;0,CR$2,DF83&lt;&gt;0,DF$2,DT83&lt;&gt;0,DT$2,TRUE,"")</f>
        <v>Upsell</v>
      </c>
      <c r="BQ83" s="1" t="str" cm="1">
        <f t="array" ref="BQ83">+_xlfn.IFS(CE83&lt;&gt;0,CE$2,CS83&lt;&gt;0,CS$2,DG83&lt;&gt;0,DG$2,DU83&lt;&gt;0,DU$2,TRUE,"")</f>
        <v/>
      </c>
      <c r="BS83" s="111"/>
      <c r="BT83" s="110">
        <f t="shared" si="504"/>
        <v>0</v>
      </c>
      <c r="BU83" s="110">
        <f t="shared" si="505"/>
        <v>0</v>
      </c>
      <c r="BV83" s="110">
        <f t="shared" si="506"/>
        <v>0</v>
      </c>
      <c r="BW83" s="110">
        <f t="shared" si="507"/>
        <v>0</v>
      </c>
      <c r="BX83" s="110">
        <f t="shared" si="508"/>
        <v>0</v>
      </c>
      <c r="BY83" s="110">
        <f t="shared" si="509"/>
        <v>0</v>
      </c>
      <c r="BZ83" s="110">
        <f t="shared" si="510"/>
        <v>0</v>
      </c>
      <c r="CA83" s="110">
        <f t="shared" si="511"/>
        <v>0</v>
      </c>
      <c r="CB83" s="110">
        <f t="shared" si="512"/>
        <v>0</v>
      </c>
      <c r="CC83" s="110">
        <f t="shared" si="513"/>
        <v>0</v>
      </c>
      <c r="CD83" s="110">
        <f t="shared" si="514"/>
        <v>0</v>
      </c>
      <c r="CE83" s="110">
        <f t="shared" si="515"/>
        <v>0</v>
      </c>
      <c r="CG83" s="111"/>
      <c r="CH83" s="110">
        <f t="shared" si="516"/>
        <v>0</v>
      </c>
      <c r="CI83" s="110">
        <f t="shared" si="517"/>
        <v>0</v>
      </c>
      <c r="CJ83" s="110">
        <f t="shared" si="518"/>
        <v>0</v>
      </c>
      <c r="CK83" s="110">
        <f t="shared" si="519"/>
        <v>0</v>
      </c>
      <c r="CL83" s="110">
        <f t="shared" si="520"/>
        <v>0</v>
      </c>
      <c r="CM83" s="110">
        <f t="shared" si="521"/>
        <v>0</v>
      </c>
      <c r="CN83" s="110">
        <f t="shared" si="522"/>
        <v>0</v>
      </c>
      <c r="CO83" s="110">
        <f t="shared" si="523"/>
        <v>0</v>
      </c>
      <c r="CP83" s="110">
        <f t="shared" si="524"/>
        <v>0</v>
      </c>
      <c r="CQ83" s="110">
        <f t="shared" si="525"/>
        <v>0</v>
      </c>
      <c r="CR83" s="110">
        <f t="shared" si="526"/>
        <v>0</v>
      </c>
      <c r="CS83" s="110">
        <f t="shared" si="527"/>
        <v>0</v>
      </c>
      <c r="CU83" s="111"/>
      <c r="CV83" s="110">
        <f t="shared" si="528"/>
        <v>0</v>
      </c>
      <c r="CW83" s="110">
        <f t="shared" si="529"/>
        <v>0</v>
      </c>
      <c r="CX83" s="110">
        <f t="shared" si="530"/>
        <v>0</v>
      </c>
      <c r="CY83" s="110">
        <f t="shared" si="531"/>
        <v>0</v>
      </c>
      <c r="CZ83" s="110">
        <f t="shared" si="532"/>
        <v>0</v>
      </c>
      <c r="DA83" s="110">
        <f t="shared" si="533"/>
        <v>0</v>
      </c>
      <c r="DB83" s="110">
        <f t="shared" si="534"/>
        <v>0</v>
      </c>
      <c r="DC83" s="110">
        <f t="shared" si="535"/>
        <v>0</v>
      </c>
      <c r="DD83" s="110">
        <f t="shared" si="536"/>
        <v>0</v>
      </c>
      <c r="DE83" s="110">
        <f t="shared" si="537"/>
        <v>0</v>
      </c>
      <c r="DF83" s="110">
        <f t="shared" si="538"/>
        <v>0</v>
      </c>
      <c r="DG83" s="110">
        <f t="shared" si="539"/>
        <v>0</v>
      </c>
      <c r="DI83" s="111"/>
      <c r="DJ83" s="110">
        <f t="shared" si="540"/>
        <v>0</v>
      </c>
      <c r="DK83" s="110">
        <f t="shared" si="541"/>
        <v>0</v>
      </c>
      <c r="DL83" s="110">
        <f t="shared" si="542"/>
        <v>0</v>
      </c>
      <c r="DM83" s="110">
        <f t="shared" si="543"/>
        <v>0</v>
      </c>
      <c r="DN83" s="110">
        <f t="shared" si="544"/>
        <v>0</v>
      </c>
      <c r="DO83" s="110">
        <f t="shared" si="545"/>
        <v>0</v>
      </c>
      <c r="DP83" s="110">
        <f t="shared" si="546"/>
        <v>0</v>
      </c>
      <c r="DQ83" s="110">
        <f t="shared" si="547"/>
        <v>6.2700000000000102</v>
      </c>
      <c r="DR83" s="110">
        <f t="shared" si="548"/>
        <v>0</v>
      </c>
      <c r="DS83" s="110">
        <f t="shared" si="549"/>
        <v>0</v>
      </c>
      <c r="DT83" s="110">
        <f t="shared" si="550"/>
        <v>6.4799999999999898</v>
      </c>
      <c r="DU83" s="110">
        <f t="shared" si="551"/>
        <v>0</v>
      </c>
      <c r="DW83" s="111"/>
      <c r="DX83" s="110">
        <f t="shared" si="552"/>
        <v>0</v>
      </c>
      <c r="DY83" s="110">
        <f t="shared" si="553"/>
        <v>0</v>
      </c>
      <c r="DZ83" s="110">
        <f t="shared" si="554"/>
        <v>0</v>
      </c>
      <c r="EA83" s="110">
        <f t="shared" si="555"/>
        <v>0</v>
      </c>
      <c r="EB83" s="110">
        <f t="shared" si="556"/>
        <v>0</v>
      </c>
      <c r="EC83" s="110">
        <f t="shared" si="557"/>
        <v>0</v>
      </c>
      <c r="ED83" s="110">
        <f t="shared" si="558"/>
        <v>0</v>
      </c>
      <c r="EE83" s="110">
        <f t="shared" si="559"/>
        <v>0</v>
      </c>
      <c r="EF83" s="110">
        <f t="shared" si="560"/>
        <v>0</v>
      </c>
      <c r="EG83" s="110">
        <f t="shared" si="561"/>
        <v>0</v>
      </c>
      <c r="EH83" s="110">
        <f t="shared" si="562"/>
        <v>0</v>
      </c>
      <c r="EI83" s="110">
        <f t="shared" si="563"/>
        <v>0</v>
      </c>
      <c r="EK83" s="111"/>
      <c r="EL83" s="110">
        <f t="shared" si="564"/>
        <v>0</v>
      </c>
      <c r="EM83" s="110">
        <f t="shared" si="565"/>
        <v>6.2700000000000102</v>
      </c>
      <c r="EN83" s="110">
        <f t="shared" si="566"/>
        <v>6.4799999999999898</v>
      </c>
      <c r="EP83" s="109" cm="1">
        <f t="array" ref="EP83">+IFERROR(INDEX($C$3:$AM$3,MATCH(TRUE,INDEX($C83:$AM83&lt;&gt;0,0),0)),"N/A")</f>
        <v>44926</v>
      </c>
      <c r="EQ83" s="112"/>
      <c r="ER83" s="1" t="str" cm="1">
        <f t="array" ref="ER83">+_xlfn.IFS(EW83&lt;&gt;0,EW$2,FB83&lt;&gt;0,FB$2,FG83&lt;&gt;0,FG$2,FL83&lt;&gt;0,FL$2,TRUE,"")</f>
        <v/>
      </c>
      <c r="ES83" s="1" t="str" cm="1">
        <f t="array" ref="ES83">+_xlfn.IFS(EX83&lt;&gt;0,EX$2,FC83&lt;&gt;0,FC$2,FH83&lt;&gt;0,FH$2,FM83&lt;&gt;0,FM$2,TRUE,"")</f>
        <v>Upsell</v>
      </c>
      <c r="ET83" s="1" t="str" cm="1">
        <f t="array" ref="ET83">+_xlfn.IFS(EY83&lt;&gt;0,EY$2,FD83&lt;&gt;0,FD$2,FI83&lt;&gt;0,FI$2,FN83&lt;&gt;0,FN$2,TRUE,"")</f>
        <v>Upsell</v>
      </c>
      <c r="EV83" s="111"/>
      <c r="EW83" s="110">
        <f t="shared" si="567"/>
        <v>0</v>
      </c>
      <c r="EX83" s="110">
        <f t="shared" si="568"/>
        <v>0</v>
      </c>
      <c r="EY83" s="110">
        <f t="shared" si="569"/>
        <v>0</v>
      </c>
      <c r="FA83" s="111"/>
      <c r="FB83" s="110">
        <f t="shared" si="570"/>
        <v>0</v>
      </c>
      <c r="FC83" s="110">
        <f t="shared" si="571"/>
        <v>0</v>
      </c>
      <c r="FD83" s="110">
        <f t="shared" si="572"/>
        <v>0</v>
      </c>
      <c r="FF83" s="111"/>
      <c r="FG83" s="110">
        <f t="shared" si="573"/>
        <v>0</v>
      </c>
      <c r="FH83" s="110">
        <f t="shared" si="574"/>
        <v>0</v>
      </c>
      <c r="FI83" s="110">
        <f t="shared" si="575"/>
        <v>0</v>
      </c>
      <c r="FK83" s="111"/>
      <c r="FL83" s="110">
        <f t="shared" si="576"/>
        <v>0</v>
      </c>
      <c r="FM83" s="110">
        <f t="shared" si="577"/>
        <v>6.2700000000000102</v>
      </c>
      <c r="FN83" s="110">
        <f t="shared" si="578"/>
        <v>6.4799999999999898</v>
      </c>
      <c r="FP83" s="111"/>
      <c r="FQ83" s="110">
        <f t="shared" si="579"/>
        <v>0</v>
      </c>
      <c r="FR83" s="110">
        <f t="shared" si="580"/>
        <v>0</v>
      </c>
      <c r="FS83" s="110">
        <f t="shared" si="581"/>
        <v>0</v>
      </c>
      <c r="FU83" s="111">
        <f t="shared" si="582"/>
        <v>0</v>
      </c>
      <c r="FV83" s="110">
        <f t="shared" si="583"/>
        <v>0</v>
      </c>
      <c r="FW83" s="110">
        <f t="shared" si="584"/>
        <v>0</v>
      </c>
      <c r="FX83" s="110">
        <f t="shared" si="585"/>
        <v>0</v>
      </c>
      <c r="FY83" s="110">
        <f t="shared" si="586"/>
        <v>0</v>
      </c>
      <c r="FZ83" s="110">
        <f t="shared" si="587"/>
        <v>0</v>
      </c>
      <c r="GA83" s="110">
        <f t="shared" si="588"/>
        <v>0</v>
      </c>
      <c r="GB83" s="110">
        <f t="shared" si="589"/>
        <v>0</v>
      </c>
      <c r="GC83" s="110">
        <f t="shared" si="590"/>
        <v>0</v>
      </c>
      <c r="GD83" s="110">
        <f t="shared" si="591"/>
        <v>0</v>
      </c>
      <c r="GE83" s="110">
        <f t="shared" si="592"/>
        <v>20.550000000000011</v>
      </c>
      <c r="GF83" s="110">
        <f t="shared" si="593"/>
        <v>6.2700000000000102</v>
      </c>
      <c r="GG83" s="110">
        <f t="shared" si="594"/>
        <v>6.2700000000000102</v>
      </c>
      <c r="GH83" s="110">
        <f t="shared" si="595"/>
        <v>6.2700000000000102</v>
      </c>
      <c r="GI83" s="110">
        <f t="shared" si="596"/>
        <v>6.2700000000000102</v>
      </c>
      <c r="GJ83" s="110">
        <f t="shared" si="597"/>
        <v>6.2700000000000102</v>
      </c>
      <c r="GK83" s="110">
        <f t="shared" si="598"/>
        <v>6.2700000000000102</v>
      </c>
      <c r="GL83" s="110">
        <f t="shared" si="599"/>
        <v>6.2700000000000102</v>
      </c>
      <c r="GM83" s="110">
        <f t="shared" si="600"/>
        <v>6.2700000000000102</v>
      </c>
      <c r="GN83" s="110">
        <f t="shared" si="601"/>
        <v>6.2700000000000102</v>
      </c>
      <c r="GO83" s="110">
        <f t="shared" si="602"/>
        <v>6.2700000000000102</v>
      </c>
      <c r="GP83" s="110">
        <f t="shared" si="603"/>
        <v>12.75</v>
      </c>
      <c r="GQ83" s="110">
        <f t="shared" si="604"/>
        <v>-7.8000000000000114</v>
      </c>
      <c r="GR83" s="110">
        <f t="shared" si="605"/>
        <v>6.4799999999999898</v>
      </c>
      <c r="GS83" s="110">
        <f t="shared" si="606"/>
        <v>6.4799999999999898</v>
      </c>
      <c r="GU83" s="109" cm="1">
        <f t="array" ref="GU83">+IFERROR(INDEX($C$3:$AM$3,MATCH(TRUE,INDEX($C83:$AM83&lt;&gt;0,0),0)),"N/A")</f>
        <v>44926</v>
      </c>
      <c r="GV83" s="112" t="str" cm="1">
        <f t="array" ref="GV83">+_xlfn.IFS(HV83&lt;&gt;0,HV$2,IV83&lt;&gt;0,IV$2,JV83&lt;&gt;0,JV$2,KV83&lt;&gt;0,KV$2,TRUE,"")</f>
        <v/>
      </c>
      <c r="GW83" s="1" t="str" cm="1">
        <f t="array" ref="GW83">+_xlfn.IFS(HW83&lt;&gt;0,HW$2,IW83&lt;&gt;0,IW$2,JW83&lt;&gt;0,JW$2,KW83&lt;&gt;0,KW$2,TRUE,"")</f>
        <v/>
      </c>
      <c r="GX83" s="1" t="str" cm="1">
        <f t="array" ref="GX83">+_xlfn.IFS(HX83&lt;&gt;0,HX$2,IX83&lt;&gt;0,IX$2,JX83&lt;&gt;0,JX$2,KX83&lt;&gt;0,KX$2,TRUE,"")</f>
        <v/>
      </c>
      <c r="GY83" s="1" t="str" cm="1">
        <f t="array" ref="GY83">+_xlfn.IFS(HY83&lt;&gt;0,HY$2,IY83&lt;&gt;0,IY$2,JY83&lt;&gt;0,JY$2,KY83&lt;&gt;0,KY$2,TRUE,"")</f>
        <v/>
      </c>
      <c r="GZ83" s="1" t="str" cm="1">
        <f t="array" ref="GZ83">+_xlfn.IFS(HZ83&lt;&gt;0,HZ$2,IZ83&lt;&gt;0,IZ$2,JZ83&lt;&gt;0,JZ$2,KZ83&lt;&gt;0,KZ$2,TRUE,"")</f>
        <v/>
      </c>
      <c r="HA83" s="1" t="str" cm="1">
        <f t="array" ref="HA83">+_xlfn.IFS(IA83&lt;&gt;0,IA$2,JA83&lt;&gt;0,JA$2,KA83&lt;&gt;0,KA$2,LA83&lt;&gt;0,LA$2,TRUE,"")</f>
        <v/>
      </c>
      <c r="HB83" s="1" t="str" cm="1">
        <f t="array" ref="HB83">+_xlfn.IFS(IB83&lt;&gt;0,IB$2,JB83&lt;&gt;0,JB$2,KB83&lt;&gt;0,KB$2,LB83&lt;&gt;0,LB$2,TRUE,"")</f>
        <v/>
      </c>
      <c r="HC83" s="1" t="str" cm="1">
        <f t="array" ref="HC83">+_xlfn.IFS(IC83&lt;&gt;0,IC$2,JC83&lt;&gt;0,JC$2,KC83&lt;&gt;0,KC$2,LC83&lt;&gt;0,LC$2,TRUE,"")</f>
        <v/>
      </c>
      <c r="HD83" s="1" t="str" cm="1">
        <f t="array" ref="HD83">+_xlfn.IFS(ID83&lt;&gt;0,ID$2,JD83&lt;&gt;0,JD$2,KD83&lt;&gt;0,KD$2,LD83&lt;&gt;0,LD$2,TRUE,"")</f>
        <v/>
      </c>
      <c r="HE83" s="1" t="str" cm="1">
        <f t="array" ref="HE83">+_xlfn.IFS(IE83&lt;&gt;0,IE$2,JE83&lt;&gt;0,JE$2,KE83&lt;&gt;0,KE$2,LE83&lt;&gt;0,LE$2,TRUE,"")</f>
        <v/>
      </c>
      <c r="HF83" s="1" t="str" cm="1">
        <f t="array" ref="HF83">+_xlfn.IFS(IF83&lt;&gt;0,IF$2,JF83&lt;&gt;0,JF$2,KF83&lt;&gt;0,KF$2,LF83&lt;&gt;0,LF$2,TRUE,"")</f>
        <v>Upsell</v>
      </c>
      <c r="HG83" s="1" t="str" cm="1">
        <f t="array" ref="HG83">+_xlfn.IFS(IG83&lt;&gt;0,IG$2,JG83&lt;&gt;0,JG$2,KG83&lt;&gt;0,KG$2,LG83&lt;&gt;0,LG$2,TRUE,"")</f>
        <v>Upsell</v>
      </c>
      <c r="HH83" s="1" t="str" cm="1">
        <f t="array" ref="HH83">+_xlfn.IFS(IH83&lt;&gt;0,IH$2,JH83&lt;&gt;0,JH$2,KH83&lt;&gt;0,KH$2,LH83&lt;&gt;0,LH$2,TRUE,"")</f>
        <v>Upsell</v>
      </c>
      <c r="HI83" s="1" t="str" cm="1">
        <f t="array" ref="HI83">+_xlfn.IFS(II83&lt;&gt;0,II$2,JI83&lt;&gt;0,JI$2,KI83&lt;&gt;0,KI$2,LI83&lt;&gt;0,LI$2,TRUE,"")</f>
        <v>Upsell</v>
      </c>
      <c r="HJ83" s="1" t="str" cm="1">
        <f t="array" ref="HJ83">+_xlfn.IFS(IJ83&lt;&gt;0,IJ$2,JJ83&lt;&gt;0,JJ$2,KJ83&lt;&gt;0,KJ$2,LJ83&lt;&gt;0,LJ$2,TRUE,"")</f>
        <v>Upsell</v>
      </c>
      <c r="HK83" s="1" t="str" cm="1">
        <f t="array" ref="HK83">+_xlfn.IFS(IK83&lt;&gt;0,IK$2,JK83&lt;&gt;0,JK$2,KK83&lt;&gt;0,KK$2,LK83&lt;&gt;0,LK$2,TRUE,"")</f>
        <v>Upsell</v>
      </c>
      <c r="HL83" s="1" t="str" cm="1">
        <f t="array" ref="HL83">+_xlfn.IFS(IL83&lt;&gt;0,IL$2,JL83&lt;&gt;0,JL$2,KL83&lt;&gt;0,KL$2,LL83&lt;&gt;0,LL$2,TRUE,"")</f>
        <v>Upsell</v>
      </c>
      <c r="HM83" s="1" t="str" cm="1">
        <f t="array" ref="HM83">+_xlfn.IFS(IM83&lt;&gt;0,IM$2,JM83&lt;&gt;0,JM$2,KM83&lt;&gt;0,KM$2,LM83&lt;&gt;0,LM$2,TRUE,"")</f>
        <v>Upsell</v>
      </c>
      <c r="HN83" s="1" t="str" cm="1">
        <f t="array" ref="HN83">+_xlfn.IFS(IN83&lt;&gt;0,IN$2,JN83&lt;&gt;0,JN$2,KN83&lt;&gt;0,KN$2,LN83&lt;&gt;0,LN$2,TRUE,"")</f>
        <v>Upsell</v>
      </c>
      <c r="HO83" s="1" t="str" cm="1">
        <f t="array" ref="HO83">+_xlfn.IFS(IO83&lt;&gt;0,IO$2,JO83&lt;&gt;0,JO$2,KO83&lt;&gt;0,KO$2,LO83&lt;&gt;0,LO$2,TRUE,"")</f>
        <v>Upsell</v>
      </c>
      <c r="HP83" s="1" t="str" cm="1">
        <f t="array" ref="HP83">+_xlfn.IFS(IP83&lt;&gt;0,IP$2,JP83&lt;&gt;0,JP$2,KP83&lt;&gt;0,KP$2,LP83&lt;&gt;0,LP$2,TRUE,"")</f>
        <v>Upsell</v>
      </c>
      <c r="HQ83" s="1" t="str" cm="1">
        <f t="array" ref="HQ83">+_xlfn.IFS(IQ83&lt;&gt;0,IQ$2,JQ83&lt;&gt;0,JQ$2,KQ83&lt;&gt;0,KQ$2,LQ83&lt;&gt;0,LQ$2,TRUE,"")</f>
        <v>Upsell</v>
      </c>
      <c r="HR83" s="1" t="str" cm="1">
        <f t="array" ref="HR83">+_xlfn.IFS(IR83&lt;&gt;0,IR$2,JR83&lt;&gt;0,JR$2,KR83&lt;&gt;0,KR$2,LR83&lt;&gt;0,LR$2,TRUE,"")</f>
        <v>Downsell</v>
      </c>
      <c r="HS83" s="1" t="str" cm="1">
        <f t="array" ref="HS83">+_xlfn.IFS(IS83&lt;&gt;0,IS$2,JS83&lt;&gt;0,JS$2,KS83&lt;&gt;0,KS$2,LS83&lt;&gt;0,LS$2,TRUE,"")</f>
        <v>Upsell</v>
      </c>
      <c r="HT83" s="1" t="str" cm="1">
        <f t="array" ref="HT83">+_xlfn.IFS(IT83&lt;&gt;0,IT$2,JT83&lt;&gt;0,JT$2,KT83&lt;&gt;0,KT$2,LT83&lt;&gt;0,LT$2,TRUE,"")</f>
        <v>Upsell</v>
      </c>
      <c r="HV83" s="111">
        <f t="shared" si="607"/>
        <v>0</v>
      </c>
      <c r="HW83" s="110">
        <f t="shared" si="608"/>
        <v>0</v>
      </c>
      <c r="HX83" s="110">
        <f t="shared" si="609"/>
        <v>0</v>
      </c>
      <c r="HY83" s="110">
        <f t="shared" si="610"/>
        <v>0</v>
      </c>
      <c r="HZ83" s="110">
        <f t="shared" si="611"/>
        <v>0</v>
      </c>
      <c r="IA83" s="110">
        <f t="shared" si="612"/>
        <v>0</v>
      </c>
      <c r="IB83" s="110">
        <f t="shared" si="613"/>
        <v>0</v>
      </c>
      <c r="IC83" s="110">
        <f t="shared" si="614"/>
        <v>0</v>
      </c>
      <c r="ID83" s="110">
        <f t="shared" si="615"/>
        <v>0</v>
      </c>
      <c r="IE83" s="110">
        <f t="shared" si="616"/>
        <v>0</v>
      </c>
      <c r="IF83" s="110">
        <f t="shared" si="617"/>
        <v>0</v>
      </c>
      <c r="IG83" s="110">
        <f t="shared" si="618"/>
        <v>0</v>
      </c>
      <c r="IH83" s="110">
        <f t="shared" si="619"/>
        <v>0</v>
      </c>
      <c r="II83" s="110">
        <f t="shared" si="620"/>
        <v>0</v>
      </c>
      <c r="IJ83" s="110">
        <f t="shared" si="621"/>
        <v>0</v>
      </c>
      <c r="IK83" s="110">
        <f t="shared" si="622"/>
        <v>0</v>
      </c>
      <c r="IL83" s="110">
        <f t="shared" si="623"/>
        <v>0</v>
      </c>
      <c r="IM83" s="110">
        <f t="shared" si="624"/>
        <v>0</v>
      </c>
      <c r="IN83" s="110">
        <f t="shared" si="625"/>
        <v>0</v>
      </c>
      <c r="IO83" s="110">
        <f t="shared" si="626"/>
        <v>0</v>
      </c>
      <c r="IP83" s="110">
        <f t="shared" si="627"/>
        <v>0</v>
      </c>
      <c r="IQ83" s="110">
        <f t="shared" si="628"/>
        <v>0</v>
      </c>
      <c r="IR83" s="110">
        <f t="shared" si="629"/>
        <v>0</v>
      </c>
      <c r="IS83" s="110">
        <f t="shared" si="630"/>
        <v>0</v>
      </c>
      <c r="IT83" s="110">
        <f t="shared" si="631"/>
        <v>0</v>
      </c>
      <c r="IV83" s="111">
        <f t="shared" si="632"/>
        <v>0</v>
      </c>
      <c r="IW83" s="110">
        <f t="shared" si="633"/>
        <v>0</v>
      </c>
      <c r="IX83" s="110">
        <f t="shared" si="634"/>
        <v>0</v>
      </c>
      <c r="IY83" s="110">
        <f t="shared" si="635"/>
        <v>0</v>
      </c>
      <c r="IZ83" s="110">
        <f t="shared" si="636"/>
        <v>0</v>
      </c>
      <c r="JA83" s="110">
        <f t="shared" si="637"/>
        <v>0</v>
      </c>
      <c r="JB83" s="110">
        <f t="shared" si="638"/>
        <v>0</v>
      </c>
      <c r="JC83" s="110">
        <f t="shared" si="639"/>
        <v>0</v>
      </c>
      <c r="JD83" s="110">
        <f t="shared" si="640"/>
        <v>0</v>
      </c>
      <c r="JE83" s="110">
        <f t="shared" si="641"/>
        <v>0</v>
      </c>
      <c r="JF83" s="110">
        <f t="shared" si="642"/>
        <v>0</v>
      </c>
      <c r="JG83" s="110">
        <f t="shared" si="643"/>
        <v>0</v>
      </c>
      <c r="JH83" s="110">
        <f t="shared" si="644"/>
        <v>0</v>
      </c>
      <c r="JI83" s="110">
        <f t="shared" si="645"/>
        <v>0</v>
      </c>
      <c r="JJ83" s="110">
        <f t="shared" si="646"/>
        <v>0</v>
      </c>
      <c r="JK83" s="110">
        <f t="shared" si="647"/>
        <v>0</v>
      </c>
      <c r="JL83" s="110">
        <f t="shared" si="648"/>
        <v>0</v>
      </c>
      <c r="JM83" s="110">
        <f t="shared" si="649"/>
        <v>0</v>
      </c>
      <c r="JN83" s="110">
        <f t="shared" si="650"/>
        <v>0</v>
      </c>
      <c r="JO83" s="110">
        <f t="shared" si="651"/>
        <v>0</v>
      </c>
      <c r="JP83" s="110">
        <f t="shared" si="652"/>
        <v>0</v>
      </c>
      <c r="JQ83" s="110">
        <f t="shared" si="653"/>
        <v>0</v>
      </c>
      <c r="JR83" s="110">
        <f t="shared" si="654"/>
        <v>0</v>
      </c>
      <c r="JS83" s="110">
        <f t="shared" si="655"/>
        <v>0</v>
      </c>
      <c r="JT83" s="110">
        <f t="shared" si="656"/>
        <v>0</v>
      </c>
      <c r="JV83" s="111">
        <f t="shared" si="657"/>
        <v>0</v>
      </c>
      <c r="JW83" s="110">
        <f t="shared" si="658"/>
        <v>0</v>
      </c>
      <c r="JX83" s="110">
        <f t="shared" si="659"/>
        <v>0</v>
      </c>
      <c r="JY83" s="110">
        <f t="shared" si="660"/>
        <v>0</v>
      </c>
      <c r="JZ83" s="110">
        <f t="shared" si="661"/>
        <v>0</v>
      </c>
      <c r="KA83" s="110">
        <f t="shared" si="662"/>
        <v>0</v>
      </c>
      <c r="KB83" s="110">
        <f t="shared" si="663"/>
        <v>0</v>
      </c>
      <c r="KC83" s="110">
        <f t="shared" si="664"/>
        <v>0</v>
      </c>
      <c r="KD83" s="110">
        <f t="shared" si="665"/>
        <v>0</v>
      </c>
      <c r="KE83" s="110">
        <f t="shared" si="666"/>
        <v>0</v>
      </c>
      <c r="KF83" s="110">
        <f t="shared" si="667"/>
        <v>0</v>
      </c>
      <c r="KG83" s="110">
        <f t="shared" si="668"/>
        <v>0</v>
      </c>
      <c r="KH83" s="110">
        <f t="shared" si="669"/>
        <v>0</v>
      </c>
      <c r="KI83" s="110">
        <f t="shared" si="670"/>
        <v>0</v>
      </c>
      <c r="KJ83" s="110">
        <f t="shared" si="671"/>
        <v>0</v>
      </c>
      <c r="KK83" s="110">
        <f t="shared" si="672"/>
        <v>0</v>
      </c>
      <c r="KL83" s="110">
        <f t="shared" si="673"/>
        <v>0</v>
      </c>
      <c r="KM83" s="110">
        <f t="shared" si="674"/>
        <v>0</v>
      </c>
      <c r="KN83" s="110">
        <f t="shared" si="675"/>
        <v>0</v>
      </c>
      <c r="KO83" s="110">
        <f t="shared" si="676"/>
        <v>0</v>
      </c>
      <c r="KP83" s="110">
        <f t="shared" si="677"/>
        <v>0</v>
      </c>
      <c r="KQ83" s="110">
        <f t="shared" si="678"/>
        <v>0</v>
      </c>
      <c r="KR83" s="110">
        <f t="shared" si="679"/>
        <v>-7.8000000000000114</v>
      </c>
      <c r="KS83" s="110">
        <f t="shared" si="680"/>
        <v>0</v>
      </c>
      <c r="KT83" s="110">
        <f t="shared" si="681"/>
        <v>0</v>
      </c>
      <c r="KV83" s="111">
        <f t="shared" si="682"/>
        <v>0</v>
      </c>
      <c r="KW83" s="110">
        <f t="shared" si="683"/>
        <v>0</v>
      </c>
      <c r="KX83" s="110">
        <f t="shared" si="684"/>
        <v>0</v>
      </c>
      <c r="KY83" s="110">
        <f t="shared" si="685"/>
        <v>0</v>
      </c>
      <c r="KZ83" s="110">
        <f t="shared" si="686"/>
        <v>0</v>
      </c>
      <c r="LA83" s="110">
        <f t="shared" si="687"/>
        <v>0</v>
      </c>
      <c r="LB83" s="110">
        <f t="shared" si="688"/>
        <v>0</v>
      </c>
      <c r="LC83" s="110">
        <f t="shared" si="689"/>
        <v>0</v>
      </c>
      <c r="LD83" s="110">
        <f t="shared" si="690"/>
        <v>0</v>
      </c>
      <c r="LE83" s="110">
        <f t="shared" si="691"/>
        <v>0</v>
      </c>
      <c r="LF83" s="110">
        <f t="shared" si="692"/>
        <v>20.550000000000011</v>
      </c>
      <c r="LG83" s="110">
        <f t="shared" si="693"/>
        <v>6.2700000000000102</v>
      </c>
      <c r="LH83" s="110">
        <f t="shared" si="694"/>
        <v>6.2700000000000102</v>
      </c>
      <c r="LI83" s="110">
        <f t="shared" si="695"/>
        <v>6.2700000000000102</v>
      </c>
      <c r="LJ83" s="110">
        <f t="shared" si="696"/>
        <v>6.2700000000000102</v>
      </c>
      <c r="LK83" s="110">
        <f t="shared" si="697"/>
        <v>6.2700000000000102</v>
      </c>
      <c r="LL83" s="110">
        <f t="shared" si="698"/>
        <v>6.2700000000000102</v>
      </c>
      <c r="LM83" s="110">
        <f t="shared" si="699"/>
        <v>6.2700000000000102</v>
      </c>
      <c r="LN83" s="110">
        <f t="shared" si="700"/>
        <v>6.2700000000000102</v>
      </c>
      <c r="LO83" s="110">
        <f t="shared" si="701"/>
        <v>6.2700000000000102</v>
      </c>
      <c r="LP83" s="110">
        <f t="shared" si="702"/>
        <v>6.2700000000000102</v>
      </c>
      <c r="LQ83" s="110">
        <f t="shared" si="703"/>
        <v>12.75</v>
      </c>
      <c r="LR83" s="110">
        <f t="shared" si="704"/>
        <v>0</v>
      </c>
      <c r="LS83" s="110">
        <f t="shared" si="705"/>
        <v>6.4799999999999898</v>
      </c>
      <c r="LT83" s="110">
        <f t="shared" si="706"/>
        <v>6.4799999999999898</v>
      </c>
      <c r="LV83" s="111"/>
      <c r="LW83" s="110">
        <f t="shared" si="707"/>
        <v>0</v>
      </c>
      <c r="LX83" s="110">
        <f t="shared" si="708"/>
        <v>0</v>
      </c>
      <c r="LY83" s="110">
        <f t="shared" si="709"/>
        <v>0</v>
      </c>
      <c r="LZ83" s="110">
        <f t="shared" si="710"/>
        <v>0</v>
      </c>
      <c r="MA83" s="110">
        <f t="shared" si="711"/>
        <v>0</v>
      </c>
      <c r="MB83" s="110">
        <f t="shared" si="712"/>
        <v>0</v>
      </c>
      <c r="MC83" s="110">
        <f t="shared" si="713"/>
        <v>0</v>
      </c>
      <c r="MD83" s="110">
        <f t="shared" si="714"/>
        <v>0</v>
      </c>
      <c r="ME83" s="110">
        <f t="shared" si="715"/>
        <v>0</v>
      </c>
      <c r="MF83" s="110">
        <f t="shared" si="716"/>
        <v>0</v>
      </c>
      <c r="MG83" s="110">
        <f t="shared" si="717"/>
        <v>0</v>
      </c>
      <c r="MH83" s="110">
        <f t="shared" si="718"/>
        <v>0</v>
      </c>
      <c r="MI83" s="110">
        <f t="shared" si="719"/>
        <v>0</v>
      </c>
      <c r="MJ83" s="110">
        <f t="shared" si="720"/>
        <v>0</v>
      </c>
      <c r="MK83" s="110">
        <f t="shared" si="721"/>
        <v>0</v>
      </c>
      <c r="ML83" s="110">
        <f t="shared" si="722"/>
        <v>0</v>
      </c>
      <c r="MM83" s="110">
        <f t="shared" si="723"/>
        <v>0</v>
      </c>
      <c r="MN83" s="110">
        <f t="shared" si="724"/>
        <v>0</v>
      </c>
      <c r="MO83" s="110">
        <f t="shared" si="725"/>
        <v>0</v>
      </c>
      <c r="MP83" s="110">
        <f t="shared" si="726"/>
        <v>0</v>
      </c>
      <c r="MQ83" s="110">
        <f t="shared" si="727"/>
        <v>0</v>
      </c>
      <c r="MR83" s="110">
        <f t="shared" si="728"/>
        <v>0</v>
      </c>
      <c r="MS83" s="110">
        <f t="shared" si="729"/>
        <v>0</v>
      </c>
      <c r="MT83" s="110">
        <f t="shared" si="730"/>
        <v>0</v>
      </c>
      <c r="MV83" s="114">
        <v>191.75</v>
      </c>
      <c r="MW83" s="114">
        <v>0</v>
      </c>
      <c r="MX83" s="114">
        <v>6.4799999999999898</v>
      </c>
      <c r="MY83" s="114">
        <v>0</v>
      </c>
      <c r="MZ83" s="114">
        <v>0</v>
      </c>
      <c r="NB83" s="115">
        <v>53</v>
      </c>
      <c r="NC83" s="115" t="str">
        <v>N/A</v>
      </c>
      <c r="ND83" s="115">
        <v>37</v>
      </c>
      <c r="NE83" s="115" t="str">
        <v>N/A</v>
      </c>
      <c r="NF83" s="115" t="str">
        <v>N/A</v>
      </c>
    </row>
    <row r="84" spans="2:370" ht="13.5" x14ac:dyDescent="0.25">
      <c r="B84" s="8">
        <f t="shared" si="731"/>
        <v>81</v>
      </c>
      <c r="C84" s="7">
        <v>199</v>
      </c>
      <c r="D84" s="7">
        <v>199</v>
      </c>
      <c r="E84" s="7">
        <v>149</v>
      </c>
      <c r="F84" s="7">
        <v>149</v>
      </c>
      <c r="G84" s="7">
        <v>149</v>
      </c>
      <c r="H84" s="7">
        <v>149</v>
      </c>
      <c r="I84" s="7">
        <v>149</v>
      </c>
      <c r="J84" s="7">
        <v>149</v>
      </c>
      <c r="K84" s="7">
        <v>149</v>
      </c>
      <c r="L84" s="7">
        <v>149</v>
      </c>
      <c r="M84" s="7">
        <v>149</v>
      </c>
      <c r="N84" s="7">
        <v>149</v>
      </c>
      <c r="O84" s="7">
        <v>149</v>
      </c>
      <c r="P84" s="7">
        <v>149</v>
      </c>
      <c r="Q84" s="7">
        <v>149</v>
      </c>
      <c r="R84" s="7">
        <v>149</v>
      </c>
      <c r="S84" s="7">
        <v>149</v>
      </c>
      <c r="T84" s="7">
        <v>149</v>
      </c>
      <c r="U84" s="7">
        <v>149</v>
      </c>
      <c r="V84" s="7">
        <v>149</v>
      </c>
      <c r="W84" s="7">
        <v>149</v>
      </c>
      <c r="X84" s="7">
        <v>149</v>
      </c>
      <c r="Y84" s="7">
        <v>149</v>
      </c>
      <c r="Z84" s="7">
        <v>149</v>
      </c>
      <c r="AA84" s="7">
        <v>149</v>
      </c>
      <c r="AB84" s="7">
        <v>149</v>
      </c>
      <c r="AC84" s="7">
        <v>149</v>
      </c>
      <c r="AD84" s="7">
        <v>149</v>
      </c>
      <c r="AE84" s="7">
        <v>149</v>
      </c>
      <c r="AF84" s="7">
        <v>149</v>
      </c>
      <c r="AG84" s="7">
        <v>154.22</v>
      </c>
      <c r="AH84" s="7">
        <v>154.22</v>
      </c>
      <c r="AI84" s="7">
        <v>154.22</v>
      </c>
      <c r="AJ84" s="7">
        <v>154.22</v>
      </c>
      <c r="AK84" s="7">
        <v>154.22</v>
      </c>
      <c r="AL84" s="7">
        <v>154.22</v>
      </c>
      <c r="AM84" s="7">
        <v>154.22</v>
      </c>
      <c r="AN84" s="27">
        <v>81</v>
      </c>
      <c r="AP84" s="111"/>
      <c r="AQ84" s="110">
        <f t="shared" si="492"/>
        <v>-50</v>
      </c>
      <c r="AR84" s="110">
        <f t="shared" si="493"/>
        <v>0</v>
      </c>
      <c r="AS84" s="110">
        <f t="shared" si="494"/>
        <v>0</v>
      </c>
      <c r="AT84" s="110">
        <f t="shared" si="495"/>
        <v>0</v>
      </c>
      <c r="AU84" s="110">
        <f t="shared" si="496"/>
        <v>0</v>
      </c>
      <c r="AV84" s="110">
        <f t="shared" si="497"/>
        <v>0</v>
      </c>
      <c r="AW84" s="110">
        <f t="shared" si="498"/>
        <v>0</v>
      </c>
      <c r="AX84" s="110">
        <f t="shared" si="499"/>
        <v>0</v>
      </c>
      <c r="AY84" s="110">
        <f t="shared" si="500"/>
        <v>0</v>
      </c>
      <c r="AZ84" s="110">
        <f t="shared" si="501"/>
        <v>5.2199999999999989</v>
      </c>
      <c r="BA84" s="110">
        <f t="shared" si="502"/>
        <v>0</v>
      </c>
      <c r="BB84" s="110">
        <f t="shared" si="503"/>
        <v>0</v>
      </c>
      <c r="BD84" s="109" cm="1">
        <f t="array" ref="BD84">+IFERROR(INDEX($C$3:$AM$3,MATCH(TRUE,INDEX($C84:$AM84&lt;&gt;0,0),0)),"N/A")</f>
        <v>44926</v>
      </c>
      <c r="BE84" s="112"/>
      <c r="BF84" s="1" t="str" cm="1">
        <f t="array" ref="BF84">+_xlfn.IFS(BT84&lt;&gt;0,BT$2,CH84&lt;&gt;0,CH$2,CV84&lt;&gt;0,CV$2,DJ84&lt;&gt;0,DJ$2,TRUE,"")</f>
        <v>Downsell</v>
      </c>
      <c r="BG84" s="1" t="str" cm="1">
        <f t="array" ref="BG84">+_xlfn.IFS(BU84&lt;&gt;0,BU$2,CI84&lt;&gt;0,CI$2,CW84&lt;&gt;0,CW$2,DK84&lt;&gt;0,DK$2,TRUE,"")</f>
        <v/>
      </c>
      <c r="BH84" s="1" t="str" cm="1">
        <f t="array" ref="BH84">+_xlfn.IFS(BV84&lt;&gt;0,BV$2,CJ84&lt;&gt;0,CJ$2,CX84&lt;&gt;0,CX$2,DL84&lt;&gt;0,DL$2,TRUE,"")</f>
        <v/>
      </c>
      <c r="BI84" s="1" t="str" cm="1">
        <f t="array" ref="BI84">+_xlfn.IFS(BW84&lt;&gt;0,BW$2,CK84&lt;&gt;0,CK$2,CY84&lt;&gt;0,CY$2,DM84&lt;&gt;0,DM$2,TRUE,"")</f>
        <v/>
      </c>
      <c r="BJ84" s="1" t="str" cm="1">
        <f t="array" ref="BJ84">+_xlfn.IFS(BX84&lt;&gt;0,BX$2,CL84&lt;&gt;0,CL$2,CZ84&lt;&gt;0,CZ$2,DN84&lt;&gt;0,DN$2,TRUE,"")</f>
        <v/>
      </c>
      <c r="BK84" s="1" t="str" cm="1">
        <f t="array" ref="BK84">+_xlfn.IFS(BY84&lt;&gt;0,BY$2,CM84&lt;&gt;0,CM$2,DA84&lt;&gt;0,DA$2,DO84&lt;&gt;0,DO$2,TRUE,"")</f>
        <v/>
      </c>
      <c r="BL84" s="1" t="str" cm="1">
        <f t="array" ref="BL84">+_xlfn.IFS(BZ84&lt;&gt;0,BZ$2,CN84&lt;&gt;0,CN$2,DB84&lt;&gt;0,DB$2,DP84&lt;&gt;0,DP$2,TRUE,"")</f>
        <v/>
      </c>
      <c r="BM84" s="1" t="str" cm="1">
        <f t="array" ref="BM84">+_xlfn.IFS(CA84&lt;&gt;0,CA$2,CO84&lt;&gt;0,CO$2,DC84&lt;&gt;0,DC$2,DQ84&lt;&gt;0,DQ$2,TRUE,"")</f>
        <v/>
      </c>
      <c r="BN84" s="1" t="str" cm="1">
        <f t="array" ref="BN84">+_xlfn.IFS(CB84&lt;&gt;0,CB$2,CP84&lt;&gt;0,CP$2,DD84&lt;&gt;0,DD$2,DR84&lt;&gt;0,DR$2,TRUE,"")</f>
        <v/>
      </c>
      <c r="BO84" s="1" t="str" cm="1">
        <f t="array" ref="BO84">+_xlfn.IFS(CC84&lt;&gt;0,CC$2,CQ84&lt;&gt;0,CQ$2,DE84&lt;&gt;0,DE$2,DS84&lt;&gt;0,DS$2,TRUE,"")</f>
        <v>Upsell</v>
      </c>
      <c r="BP84" s="1" t="str" cm="1">
        <f t="array" ref="BP84">+_xlfn.IFS(CD84&lt;&gt;0,CD$2,CR84&lt;&gt;0,CR$2,DF84&lt;&gt;0,DF$2,DT84&lt;&gt;0,DT$2,TRUE,"")</f>
        <v/>
      </c>
      <c r="BQ84" s="1" t="str" cm="1">
        <f t="array" ref="BQ84">+_xlfn.IFS(CE84&lt;&gt;0,CE$2,CS84&lt;&gt;0,CS$2,DG84&lt;&gt;0,DG$2,DU84&lt;&gt;0,DU$2,TRUE,"")</f>
        <v/>
      </c>
      <c r="BS84" s="111"/>
      <c r="BT84" s="110">
        <f t="shared" si="504"/>
        <v>0</v>
      </c>
      <c r="BU84" s="110">
        <f t="shared" si="505"/>
        <v>0</v>
      </c>
      <c r="BV84" s="110">
        <f t="shared" si="506"/>
        <v>0</v>
      </c>
      <c r="BW84" s="110">
        <f t="shared" si="507"/>
        <v>0</v>
      </c>
      <c r="BX84" s="110">
        <f t="shared" si="508"/>
        <v>0</v>
      </c>
      <c r="BY84" s="110">
        <f t="shared" si="509"/>
        <v>0</v>
      </c>
      <c r="BZ84" s="110">
        <f t="shared" si="510"/>
        <v>0</v>
      </c>
      <c r="CA84" s="110">
        <f t="shared" si="511"/>
        <v>0</v>
      </c>
      <c r="CB84" s="110">
        <f t="shared" si="512"/>
        <v>0</v>
      </c>
      <c r="CC84" s="110">
        <f t="shared" si="513"/>
        <v>0</v>
      </c>
      <c r="CD84" s="110">
        <f t="shared" si="514"/>
        <v>0</v>
      </c>
      <c r="CE84" s="110">
        <f t="shared" si="515"/>
        <v>0</v>
      </c>
      <c r="CG84" s="111"/>
      <c r="CH84" s="110">
        <f t="shared" si="516"/>
        <v>0</v>
      </c>
      <c r="CI84" s="110">
        <f t="shared" si="517"/>
        <v>0</v>
      </c>
      <c r="CJ84" s="110">
        <f t="shared" si="518"/>
        <v>0</v>
      </c>
      <c r="CK84" s="110">
        <f t="shared" si="519"/>
        <v>0</v>
      </c>
      <c r="CL84" s="110">
        <f t="shared" si="520"/>
        <v>0</v>
      </c>
      <c r="CM84" s="110">
        <f t="shared" si="521"/>
        <v>0</v>
      </c>
      <c r="CN84" s="110">
        <f t="shared" si="522"/>
        <v>0</v>
      </c>
      <c r="CO84" s="110">
        <f t="shared" si="523"/>
        <v>0</v>
      </c>
      <c r="CP84" s="110">
        <f t="shared" si="524"/>
        <v>0</v>
      </c>
      <c r="CQ84" s="110">
        <f t="shared" si="525"/>
        <v>0</v>
      </c>
      <c r="CR84" s="110">
        <f t="shared" si="526"/>
        <v>0</v>
      </c>
      <c r="CS84" s="110">
        <f t="shared" si="527"/>
        <v>0</v>
      </c>
      <c r="CU84" s="111"/>
      <c r="CV84" s="110">
        <f t="shared" si="528"/>
        <v>-50</v>
      </c>
      <c r="CW84" s="110">
        <f t="shared" si="529"/>
        <v>0</v>
      </c>
      <c r="CX84" s="110">
        <f t="shared" si="530"/>
        <v>0</v>
      </c>
      <c r="CY84" s="110">
        <f t="shared" si="531"/>
        <v>0</v>
      </c>
      <c r="CZ84" s="110">
        <f t="shared" si="532"/>
        <v>0</v>
      </c>
      <c r="DA84" s="110">
        <f t="shared" si="533"/>
        <v>0</v>
      </c>
      <c r="DB84" s="110">
        <f t="shared" si="534"/>
        <v>0</v>
      </c>
      <c r="DC84" s="110">
        <f t="shared" si="535"/>
        <v>0</v>
      </c>
      <c r="DD84" s="110">
        <f t="shared" si="536"/>
        <v>0</v>
      </c>
      <c r="DE84" s="110">
        <f t="shared" si="537"/>
        <v>0</v>
      </c>
      <c r="DF84" s="110">
        <f t="shared" si="538"/>
        <v>0</v>
      </c>
      <c r="DG84" s="110">
        <f t="shared" si="539"/>
        <v>0</v>
      </c>
      <c r="DI84" s="111"/>
      <c r="DJ84" s="110">
        <f t="shared" si="540"/>
        <v>0</v>
      </c>
      <c r="DK84" s="110">
        <f t="shared" si="541"/>
        <v>0</v>
      </c>
      <c r="DL84" s="110">
        <f t="shared" si="542"/>
        <v>0</v>
      </c>
      <c r="DM84" s="110">
        <f t="shared" si="543"/>
        <v>0</v>
      </c>
      <c r="DN84" s="110">
        <f t="shared" si="544"/>
        <v>0</v>
      </c>
      <c r="DO84" s="110">
        <f t="shared" si="545"/>
        <v>0</v>
      </c>
      <c r="DP84" s="110">
        <f t="shared" si="546"/>
        <v>0</v>
      </c>
      <c r="DQ84" s="110">
        <f t="shared" si="547"/>
        <v>0</v>
      </c>
      <c r="DR84" s="110">
        <f t="shared" si="548"/>
        <v>0</v>
      </c>
      <c r="DS84" s="110">
        <f t="shared" si="549"/>
        <v>5.2199999999999989</v>
      </c>
      <c r="DT84" s="110">
        <f t="shared" si="550"/>
        <v>0</v>
      </c>
      <c r="DU84" s="110">
        <f t="shared" si="551"/>
        <v>0</v>
      </c>
      <c r="DW84" s="111"/>
      <c r="DX84" s="110">
        <f t="shared" si="552"/>
        <v>0</v>
      </c>
      <c r="DY84" s="110">
        <f t="shared" si="553"/>
        <v>0</v>
      </c>
      <c r="DZ84" s="110">
        <f t="shared" si="554"/>
        <v>0</v>
      </c>
      <c r="EA84" s="110">
        <f t="shared" si="555"/>
        <v>0</v>
      </c>
      <c r="EB84" s="110">
        <f t="shared" si="556"/>
        <v>0</v>
      </c>
      <c r="EC84" s="110">
        <f t="shared" si="557"/>
        <v>0</v>
      </c>
      <c r="ED84" s="110">
        <f t="shared" si="558"/>
        <v>0</v>
      </c>
      <c r="EE84" s="110">
        <f t="shared" si="559"/>
        <v>0</v>
      </c>
      <c r="EF84" s="110">
        <f t="shared" si="560"/>
        <v>0</v>
      </c>
      <c r="EG84" s="110">
        <f t="shared" si="561"/>
        <v>0</v>
      </c>
      <c r="EH84" s="110">
        <f t="shared" si="562"/>
        <v>0</v>
      </c>
      <c r="EI84" s="110">
        <f t="shared" si="563"/>
        <v>0</v>
      </c>
      <c r="EK84" s="111"/>
      <c r="EL84" s="110">
        <f t="shared" si="564"/>
        <v>-50</v>
      </c>
      <c r="EM84" s="110">
        <f t="shared" si="565"/>
        <v>0</v>
      </c>
      <c r="EN84" s="110">
        <f t="shared" si="566"/>
        <v>5.2199999999999989</v>
      </c>
      <c r="EP84" s="109" cm="1">
        <f t="array" ref="EP84">+IFERROR(INDEX($C$3:$AM$3,MATCH(TRUE,INDEX($C84:$AM84&lt;&gt;0,0),0)),"N/A")</f>
        <v>44926</v>
      </c>
      <c r="EQ84" s="112"/>
      <c r="ER84" s="1" t="str" cm="1">
        <f t="array" ref="ER84">+_xlfn.IFS(EW84&lt;&gt;0,EW$2,FB84&lt;&gt;0,FB$2,FG84&lt;&gt;0,FG$2,FL84&lt;&gt;0,FL$2,TRUE,"")</f>
        <v>Downsell</v>
      </c>
      <c r="ES84" s="1" t="str" cm="1">
        <f t="array" ref="ES84">+_xlfn.IFS(EX84&lt;&gt;0,EX$2,FC84&lt;&gt;0,FC$2,FH84&lt;&gt;0,FH$2,FM84&lt;&gt;0,FM$2,TRUE,"")</f>
        <v/>
      </c>
      <c r="ET84" s="1" t="str" cm="1">
        <f t="array" ref="ET84">+_xlfn.IFS(EY84&lt;&gt;0,EY$2,FD84&lt;&gt;0,FD$2,FI84&lt;&gt;0,FI$2,FN84&lt;&gt;0,FN$2,TRUE,"")</f>
        <v>Upsell</v>
      </c>
      <c r="EV84" s="111"/>
      <c r="EW84" s="110">
        <f t="shared" si="567"/>
        <v>0</v>
      </c>
      <c r="EX84" s="110">
        <f t="shared" si="568"/>
        <v>0</v>
      </c>
      <c r="EY84" s="110">
        <f t="shared" si="569"/>
        <v>0</v>
      </c>
      <c r="FA84" s="111"/>
      <c r="FB84" s="110">
        <f t="shared" si="570"/>
        <v>0</v>
      </c>
      <c r="FC84" s="110">
        <f t="shared" si="571"/>
        <v>0</v>
      </c>
      <c r="FD84" s="110">
        <f t="shared" si="572"/>
        <v>0</v>
      </c>
      <c r="FF84" s="111"/>
      <c r="FG84" s="110">
        <f t="shared" si="573"/>
        <v>-50</v>
      </c>
      <c r="FH84" s="110">
        <f t="shared" si="574"/>
        <v>0</v>
      </c>
      <c r="FI84" s="110">
        <f t="shared" si="575"/>
        <v>0</v>
      </c>
      <c r="FK84" s="111"/>
      <c r="FL84" s="110">
        <f t="shared" si="576"/>
        <v>0</v>
      </c>
      <c r="FM84" s="110">
        <f t="shared" si="577"/>
        <v>0</v>
      </c>
      <c r="FN84" s="110">
        <f t="shared" si="578"/>
        <v>5.2199999999999989</v>
      </c>
      <c r="FP84" s="111"/>
      <c r="FQ84" s="110">
        <f t="shared" si="579"/>
        <v>0</v>
      </c>
      <c r="FR84" s="110">
        <f t="shared" si="580"/>
        <v>0</v>
      </c>
      <c r="FS84" s="110">
        <f t="shared" si="581"/>
        <v>0</v>
      </c>
      <c r="FU84" s="111">
        <f t="shared" si="582"/>
        <v>-50</v>
      </c>
      <c r="FV84" s="110">
        <f t="shared" si="583"/>
        <v>-50</v>
      </c>
      <c r="FW84" s="110">
        <f t="shared" si="584"/>
        <v>0</v>
      </c>
      <c r="FX84" s="110">
        <f t="shared" si="585"/>
        <v>0</v>
      </c>
      <c r="FY84" s="110">
        <f t="shared" si="586"/>
        <v>0</v>
      </c>
      <c r="FZ84" s="110">
        <f t="shared" si="587"/>
        <v>0</v>
      </c>
      <c r="GA84" s="110">
        <f t="shared" si="588"/>
        <v>0</v>
      </c>
      <c r="GB84" s="110">
        <f t="shared" si="589"/>
        <v>0</v>
      </c>
      <c r="GC84" s="110">
        <f t="shared" si="590"/>
        <v>0</v>
      </c>
      <c r="GD84" s="110">
        <f t="shared" si="591"/>
        <v>0</v>
      </c>
      <c r="GE84" s="110">
        <f t="shared" si="592"/>
        <v>0</v>
      </c>
      <c r="GF84" s="110">
        <f t="shared" si="593"/>
        <v>0</v>
      </c>
      <c r="GG84" s="110">
        <f t="shared" si="594"/>
        <v>0</v>
      </c>
      <c r="GH84" s="110">
        <f t="shared" si="595"/>
        <v>0</v>
      </c>
      <c r="GI84" s="110">
        <f t="shared" si="596"/>
        <v>0</v>
      </c>
      <c r="GJ84" s="110">
        <f t="shared" si="597"/>
        <v>0</v>
      </c>
      <c r="GK84" s="110">
        <f t="shared" si="598"/>
        <v>0</v>
      </c>
      <c r="GL84" s="110">
        <f t="shared" si="599"/>
        <v>0</v>
      </c>
      <c r="GM84" s="110">
        <f t="shared" si="600"/>
        <v>5.2199999999999989</v>
      </c>
      <c r="GN84" s="110">
        <f t="shared" si="601"/>
        <v>5.2199999999999989</v>
      </c>
      <c r="GO84" s="110">
        <f t="shared" si="602"/>
        <v>5.2199999999999989</v>
      </c>
      <c r="GP84" s="110">
        <f t="shared" si="603"/>
        <v>5.2199999999999989</v>
      </c>
      <c r="GQ84" s="110">
        <f t="shared" si="604"/>
        <v>5.2199999999999989</v>
      </c>
      <c r="GR84" s="110">
        <f t="shared" si="605"/>
        <v>5.2199999999999989</v>
      </c>
      <c r="GS84" s="110">
        <f t="shared" si="606"/>
        <v>5.2199999999999989</v>
      </c>
      <c r="GU84" s="109" cm="1">
        <f t="array" ref="GU84">+IFERROR(INDEX($C$3:$AM$3,MATCH(TRUE,INDEX($C84:$AM84&lt;&gt;0,0),0)),"N/A")</f>
        <v>44926</v>
      </c>
      <c r="GV84" s="112" t="str" cm="1">
        <f t="array" ref="GV84">+_xlfn.IFS(HV84&lt;&gt;0,HV$2,IV84&lt;&gt;0,IV$2,JV84&lt;&gt;0,JV$2,KV84&lt;&gt;0,KV$2,TRUE,"")</f>
        <v>Downsell</v>
      </c>
      <c r="GW84" s="1" t="str" cm="1">
        <f t="array" ref="GW84">+_xlfn.IFS(HW84&lt;&gt;0,HW$2,IW84&lt;&gt;0,IW$2,JW84&lt;&gt;0,JW$2,KW84&lt;&gt;0,KW$2,TRUE,"")</f>
        <v>Downsell</v>
      </c>
      <c r="GX84" s="1" t="str" cm="1">
        <f t="array" ref="GX84">+_xlfn.IFS(HX84&lt;&gt;0,HX$2,IX84&lt;&gt;0,IX$2,JX84&lt;&gt;0,JX$2,KX84&lt;&gt;0,KX$2,TRUE,"")</f>
        <v/>
      </c>
      <c r="GY84" s="1" t="str" cm="1">
        <f t="array" ref="GY84">+_xlfn.IFS(HY84&lt;&gt;0,HY$2,IY84&lt;&gt;0,IY$2,JY84&lt;&gt;0,JY$2,KY84&lt;&gt;0,KY$2,TRUE,"")</f>
        <v/>
      </c>
      <c r="GZ84" s="1" t="str" cm="1">
        <f t="array" ref="GZ84">+_xlfn.IFS(HZ84&lt;&gt;0,HZ$2,IZ84&lt;&gt;0,IZ$2,JZ84&lt;&gt;0,JZ$2,KZ84&lt;&gt;0,KZ$2,TRUE,"")</f>
        <v/>
      </c>
      <c r="HA84" s="1" t="str" cm="1">
        <f t="array" ref="HA84">+_xlfn.IFS(IA84&lt;&gt;0,IA$2,JA84&lt;&gt;0,JA$2,KA84&lt;&gt;0,KA$2,LA84&lt;&gt;0,LA$2,TRUE,"")</f>
        <v/>
      </c>
      <c r="HB84" s="1" t="str" cm="1">
        <f t="array" ref="HB84">+_xlfn.IFS(IB84&lt;&gt;0,IB$2,JB84&lt;&gt;0,JB$2,KB84&lt;&gt;0,KB$2,LB84&lt;&gt;0,LB$2,TRUE,"")</f>
        <v/>
      </c>
      <c r="HC84" s="1" t="str" cm="1">
        <f t="array" ref="HC84">+_xlfn.IFS(IC84&lt;&gt;0,IC$2,JC84&lt;&gt;0,JC$2,KC84&lt;&gt;0,KC$2,LC84&lt;&gt;0,LC$2,TRUE,"")</f>
        <v/>
      </c>
      <c r="HD84" s="1" t="str" cm="1">
        <f t="array" ref="HD84">+_xlfn.IFS(ID84&lt;&gt;0,ID$2,JD84&lt;&gt;0,JD$2,KD84&lt;&gt;0,KD$2,LD84&lt;&gt;0,LD$2,TRUE,"")</f>
        <v/>
      </c>
      <c r="HE84" s="1" t="str" cm="1">
        <f t="array" ref="HE84">+_xlfn.IFS(IE84&lt;&gt;0,IE$2,JE84&lt;&gt;0,JE$2,KE84&lt;&gt;0,KE$2,LE84&lt;&gt;0,LE$2,TRUE,"")</f>
        <v/>
      </c>
      <c r="HF84" s="1" t="str" cm="1">
        <f t="array" ref="HF84">+_xlfn.IFS(IF84&lt;&gt;0,IF$2,JF84&lt;&gt;0,JF$2,KF84&lt;&gt;0,KF$2,LF84&lt;&gt;0,LF$2,TRUE,"")</f>
        <v/>
      </c>
      <c r="HG84" s="1" t="str" cm="1">
        <f t="array" ref="HG84">+_xlfn.IFS(IG84&lt;&gt;0,IG$2,JG84&lt;&gt;0,JG$2,KG84&lt;&gt;0,KG$2,LG84&lt;&gt;0,LG$2,TRUE,"")</f>
        <v/>
      </c>
      <c r="HH84" s="1" t="str" cm="1">
        <f t="array" ref="HH84">+_xlfn.IFS(IH84&lt;&gt;0,IH$2,JH84&lt;&gt;0,JH$2,KH84&lt;&gt;0,KH$2,LH84&lt;&gt;0,LH$2,TRUE,"")</f>
        <v/>
      </c>
      <c r="HI84" s="1" t="str" cm="1">
        <f t="array" ref="HI84">+_xlfn.IFS(II84&lt;&gt;0,II$2,JI84&lt;&gt;0,JI$2,KI84&lt;&gt;0,KI$2,LI84&lt;&gt;0,LI$2,TRUE,"")</f>
        <v/>
      </c>
      <c r="HJ84" s="1" t="str" cm="1">
        <f t="array" ref="HJ84">+_xlfn.IFS(IJ84&lt;&gt;0,IJ$2,JJ84&lt;&gt;0,JJ$2,KJ84&lt;&gt;0,KJ$2,LJ84&lt;&gt;0,LJ$2,TRUE,"")</f>
        <v/>
      </c>
      <c r="HK84" s="1" t="str" cm="1">
        <f t="array" ref="HK84">+_xlfn.IFS(IK84&lt;&gt;0,IK$2,JK84&lt;&gt;0,JK$2,KK84&lt;&gt;0,KK$2,LK84&lt;&gt;0,LK$2,TRUE,"")</f>
        <v/>
      </c>
      <c r="HL84" s="1" t="str" cm="1">
        <f t="array" ref="HL84">+_xlfn.IFS(IL84&lt;&gt;0,IL$2,JL84&lt;&gt;0,JL$2,KL84&lt;&gt;0,KL$2,LL84&lt;&gt;0,LL$2,TRUE,"")</f>
        <v/>
      </c>
      <c r="HM84" s="1" t="str" cm="1">
        <f t="array" ref="HM84">+_xlfn.IFS(IM84&lt;&gt;0,IM$2,JM84&lt;&gt;0,JM$2,KM84&lt;&gt;0,KM$2,LM84&lt;&gt;0,LM$2,TRUE,"")</f>
        <v/>
      </c>
      <c r="HN84" s="1" t="str" cm="1">
        <f t="array" ref="HN84">+_xlfn.IFS(IN84&lt;&gt;0,IN$2,JN84&lt;&gt;0,JN$2,KN84&lt;&gt;0,KN$2,LN84&lt;&gt;0,LN$2,TRUE,"")</f>
        <v>Upsell</v>
      </c>
      <c r="HO84" s="1" t="str" cm="1">
        <f t="array" ref="HO84">+_xlfn.IFS(IO84&lt;&gt;0,IO$2,JO84&lt;&gt;0,JO$2,KO84&lt;&gt;0,KO$2,LO84&lt;&gt;0,LO$2,TRUE,"")</f>
        <v>Upsell</v>
      </c>
      <c r="HP84" s="1" t="str" cm="1">
        <f t="array" ref="HP84">+_xlfn.IFS(IP84&lt;&gt;0,IP$2,JP84&lt;&gt;0,JP$2,KP84&lt;&gt;0,KP$2,LP84&lt;&gt;0,LP$2,TRUE,"")</f>
        <v>Upsell</v>
      </c>
      <c r="HQ84" s="1" t="str" cm="1">
        <f t="array" ref="HQ84">+_xlfn.IFS(IQ84&lt;&gt;0,IQ$2,JQ84&lt;&gt;0,JQ$2,KQ84&lt;&gt;0,KQ$2,LQ84&lt;&gt;0,LQ$2,TRUE,"")</f>
        <v>Upsell</v>
      </c>
      <c r="HR84" s="1" t="str" cm="1">
        <f t="array" ref="HR84">+_xlfn.IFS(IR84&lt;&gt;0,IR$2,JR84&lt;&gt;0,JR$2,KR84&lt;&gt;0,KR$2,LR84&lt;&gt;0,LR$2,TRUE,"")</f>
        <v>Upsell</v>
      </c>
      <c r="HS84" s="1" t="str" cm="1">
        <f t="array" ref="HS84">+_xlfn.IFS(IS84&lt;&gt;0,IS$2,JS84&lt;&gt;0,JS$2,KS84&lt;&gt;0,KS$2,LS84&lt;&gt;0,LS$2,TRUE,"")</f>
        <v>Upsell</v>
      </c>
      <c r="HT84" s="1" t="str" cm="1">
        <f t="array" ref="HT84">+_xlfn.IFS(IT84&lt;&gt;0,IT$2,JT84&lt;&gt;0,JT$2,KT84&lt;&gt;0,KT$2,LT84&lt;&gt;0,LT$2,TRUE,"")</f>
        <v>Upsell</v>
      </c>
      <c r="HV84" s="111">
        <f t="shared" si="607"/>
        <v>0</v>
      </c>
      <c r="HW84" s="110">
        <f t="shared" si="608"/>
        <v>0</v>
      </c>
      <c r="HX84" s="110">
        <f t="shared" si="609"/>
        <v>0</v>
      </c>
      <c r="HY84" s="110">
        <f t="shared" si="610"/>
        <v>0</v>
      </c>
      <c r="HZ84" s="110">
        <f t="shared" si="611"/>
        <v>0</v>
      </c>
      <c r="IA84" s="110">
        <f t="shared" si="612"/>
        <v>0</v>
      </c>
      <c r="IB84" s="110">
        <f t="shared" si="613"/>
        <v>0</v>
      </c>
      <c r="IC84" s="110">
        <f t="shared" si="614"/>
        <v>0</v>
      </c>
      <c r="ID84" s="110">
        <f t="shared" si="615"/>
        <v>0</v>
      </c>
      <c r="IE84" s="110">
        <f t="shared" si="616"/>
        <v>0</v>
      </c>
      <c r="IF84" s="110">
        <f t="shared" si="617"/>
        <v>0</v>
      </c>
      <c r="IG84" s="110">
        <f t="shared" si="618"/>
        <v>0</v>
      </c>
      <c r="IH84" s="110">
        <f t="shared" si="619"/>
        <v>0</v>
      </c>
      <c r="II84" s="110">
        <f t="shared" si="620"/>
        <v>0</v>
      </c>
      <c r="IJ84" s="110">
        <f t="shared" si="621"/>
        <v>0</v>
      </c>
      <c r="IK84" s="110">
        <f t="shared" si="622"/>
        <v>0</v>
      </c>
      <c r="IL84" s="110">
        <f t="shared" si="623"/>
        <v>0</v>
      </c>
      <c r="IM84" s="110">
        <f t="shared" si="624"/>
        <v>0</v>
      </c>
      <c r="IN84" s="110">
        <f t="shared" si="625"/>
        <v>0</v>
      </c>
      <c r="IO84" s="110">
        <f t="shared" si="626"/>
        <v>0</v>
      </c>
      <c r="IP84" s="110">
        <f t="shared" si="627"/>
        <v>0</v>
      </c>
      <c r="IQ84" s="110">
        <f t="shared" si="628"/>
        <v>0</v>
      </c>
      <c r="IR84" s="110">
        <f t="shared" si="629"/>
        <v>0</v>
      </c>
      <c r="IS84" s="110">
        <f t="shared" si="630"/>
        <v>0</v>
      </c>
      <c r="IT84" s="110">
        <f t="shared" si="631"/>
        <v>0</v>
      </c>
      <c r="IV84" s="111">
        <f t="shared" si="632"/>
        <v>0</v>
      </c>
      <c r="IW84" s="110">
        <f t="shared" si="633"/>
        <v>0</v>
      </c>
      <c r="IX84" s="110">
        <f t="shared" si="634"/>
        <v>0</v>
      </c>
      <c r="IY84" s="110">
        <f t="shared" si="635"/>
        <v>0</v>
      </c>
      <c r="IZ84" s="110">
        <f t="shared" si="636"/>
        <v>0</v>
      </c>
      <c r="JA84" s="110">
        <f t="shared" si="637"/>
        <v>0</v>
      </c>
      <c r="JB84" s="110">
        <f t="shared" si="638"/>
        <v>0</v>
      </c>
      <c r="JC84" s="110">
        <f t="shared" si="639"/>
        <v>0</v>
      </c>
      <c r="JD84" s="110">
        <f t="shared" si="640"/>
        <v>0</v>
      </c>
      <c r="JE84" s="110">
        <f t="shared" si="641"/>
        <v>0</v>
      </c>
      <c r="JF84" s="110">
        <f t="shared" si="642"/>
        <v>0</v>
      </c>
      <c r="JG84" s="110">
        <f t="shared" si="643"/>
        <v>0</v>
      </c>
      <c r="JH84" s="110">
        <f t="shared" si="644"/>
        <v>0</v>
      </c>
      <c r="JI84" s="110">
        <f t="shared" si="645"/>
        <v>0</v>
      </c>
      <c r="JJ84" s="110">
        <f t="shared" si="646"/>
        <v>0</v>
      </c>
      <c r="JK84" s="110">
        <f t="shared" si="647"/>
        <v>0</v>
      </c>
      <c r="JL84" s="110">
        <f t="shared" si="648"/>
        <v>0</v>
      </c>
      <c r="JM84" s="110">
        <f t="shared" si="649"/>
        <v>0</v>
      </c>
      <c r="JN84" s="110">
        <f t="shared" si="650"/>
        <v>0</v>
      </c>
      <c r="JO84" s="110">
        <f t="shared" si="651"/>
        <v>0</v>
      </c>
      <c r="JP84" s="110">
        <f t="shared" si="652"/>
        <v>0</v>
      </c>
      <c r="JQ84" s="110">
        <f t="shared" si="653"/>
        <v>0</v>
      </c>
      <c r="JR84" s="110">
        <f t="shared" si="654"/>
        <v>0</v>
      </c>
      <c r="JS84" s="110">
        <f t="shared" si="655"/>
        <v>0</v>
      </c>
      <c r="JT84" s="110">
        <f t="shared" si="656"/>
        <v>0</v>
      </c>
      <c r="JV84" s="111">
        <f t="shared" si="657"/>
        <v>-50</v>
      </c>
      <c r="JW84" s="110">
        <f t="shared" si="658"/>
        <v>-50</v>
      </c>
      <c r="JX84" s="110">
        <f t="shared" si="659"/>
        <v>0</v>
      </c>
      <c r="JY84" s="110">
        <f t="shared" si="660"/>
        <v>0</v>
      </c>
      <c r="JZ84" s="110">
        <f t="shared" si="661"/>
        <v>0</v>
      </c>
      <c r="KA84" s="110">
        <f t="shared" si="662"/>
        <v>0</v>
      </c>
      <c r="KB84" s="110">
        <f t="shared" si="663"/>
        <v>0</v>
      </c>
      <c r="KC84" s="110">
        <f t="shared" si="664"/>
        <v>0</v>
      </c>
      <c r="KD84" s="110">
        <f t="shared" si="665"/>
        <v>0</v>
      </c>
      <c r="KE84" s="110">
        <f t="shared" si="666"/>
        <v>0</v>
      </c>
      <c r="KF84" s="110">
        <f t="shared" si="667"/>
        <v>0</v>
      </c>
      <c r="KG84" s="110">
        <f t="shared" si="668"/>
        <v>0</v>
      </c>
      <c r="KH84" s="110">
        <f t="shared" si="669"/>
        <v>0</v>
      </c>
      <c r="KI84" s="110">
        <f t="shared" si="670"/>
        <v>0</v>
      </c>
      <c r="KJ84" s="110">
        <f t="shared" si="671"/>
        <v>0</v>
      </c>
      <c r="KK84" s="110">
        <f t="shared" si="672"/>
        <v>0</v>
      </c>
      <c r="KL84" s="110">
        <f t="shared" si="673"/>
        <v>0</v>
      </c>
      <c r="KM84" s="110">
        <f t="shared" si="674"/>
        <v>0</v>
      </c>
      <c r="KN84" s="110">
        <f t="shared" si="675"/>
        <v>0</v>
      </c>
      <c r="KO84" s="110">
        <f t="shared" si="676"/>
        <v>0</v>
      </c>
      <c r="KP84" s="110">
        <f t="shared" si="677"/>
        <v>0</v>
      </c>
      <c r="KQ84" s="110">
        <f t="shared" si="678"/>
        <v>0</v>
      </c>
      <c r="KR84" s="110">
        <f t="shared" si="679"/>
        <v>0</v>
      </c>
      <c r="KS84" s="110">
        <f t="shared" si="680"/>
        <v>0</v>
      </c>
      <c r="KT84" s="110">
        <f t="shared" si="681"/>
        <v>0</v>
      </c>
      <c r="KV84" s="111">
        <f t="shared" si="682"/>
        <v>0</v>
      </c>
      <c r="KW84" s="110">
        <f t="shared" si="683"/>
        <v>0</v>
      </c>
      <c r="KX84" s="110">
        <f t="shared" si="684"/>
        <v>0</v>
      </c>
      <c r="KY84" s="110">
        <f t="shared" si="685"/>
        <v>0</v>
      </c>
      <c r="KZ84" s="110">
        <f t="shared" si="686"/>
        <v>0</v>
      </c>
      <c r="LA84" s="110">
        <f t="shared" si="687"/>
        <v>0</v>
      </c>
      <c r="LB84" s="110">
        <f t="shared" si="688"/>
        <v>0</v>
      </c>
      <c r="LC84" s="110">
        <f t="shared" si="689"/>
        <v>0</v>
      </c>
      <c r="LD84" s="110">
        <f t="shared" si="690"/>
        <v>0</v>
      </c>
      <c r="LE84" s="110">
        <f t="shared" si="691"/>
        <v>0</v>
      </c>
      <c r="LF84" s="110">
        <f t="shared" si="692"/>
        <v>0</v>
      </c>
      <c r="LG84" s="110">
        <f t="shared" si="693"/>
        <v>0</v>
      </c>
      <c r="LH84" s="110">
        <f t="shared" si="694"/>
        <v>0</v>
      </c>
      <c r="LI84" s="110">
        <f t="shared" si="695"/>
        <v>0</v>
      </c>
      <c r="LJ84" s="110">
        <f t="shared" si="696"/>
        <v>0</v>
      </c>
      <c r="LK84" s="110">
        <f t="shared" si="697"/>
        <v>0</v>
      </c>
      <c r="LL84" s="110">
        <f t="shared" si="698"/>
        <v>0</v>
      </c>
      <c r="LM84" s="110">
        <f t="shared" si="699"/>
        <v>0</v>
      </c>
      <c r="LN84" s="110">
        <f t="shared" si="700"/>
        <v>5.2199999999999989</v>
      </c>
      <c r="LO84" s="110">
        <f t="shared" si="701"/>
        <v>5.2199999999999989</v>
      </c>
      <c r="LP84" s="110">
        <f t="shared" si="702"/>
        <v>5.2199999999999989</v>
      </c>
      <c r="LQ84" s="110">
        <f t="shared" si="703"/>
        <v>5.2199999999999989</v>
      </c>
      <c r="LR84" s="110">
        <f t="shared" si="704"/>
        <v>5.2199999999999989</v>
      </c>
      <c r="LS84" s="110">
        <f t="shared" si="705"/>
        <v>5.2199999999999989</v>
      </c>
      <c r="LT84" s="110">
        <f t="shared" si="706"/>
        <v>5.2199999999999989</v>
      </c>
      <c r="LV84" s="111"/>
      <c r="LW84" s="110">
        <f t="shared" si="707"/>
        <v>0</v>
      </c>
      <c r="LX84" s="110">
        <f t="shared" si="708"/>
        <v>0</v>
      </c>
      <c r="LY84" s="110">
        <f t="shared" si="709"/>
        <v>0</v>
      </c>
      <c r="LZ84" s="110">
        <f t="shared" si="710"/>
        <v>0</v>
      </c>
      <c r="MA84" s="110">
        <f t="shared" si="711"/>
        <v>0</v>
      </c>
      <c r="MB84" s="110">
        <f t="shared" si="712"/>
        <v>0</v>
      </c>
      <c r="MC84" s="110">
        <f t="shared" si="713"/>
        <v>0</v>
      </c>
      <c r="MD84" s="110">
        <f t="shared" si="714"/>
        <v>0</v>
      </c>
      <c r="ME84" s="110">
        <f t="shared" si="715"/>
        <v>0</v>
      </c>
      <c r="MF84" s="110">
        <f t="shared" si="716"/>
        <v>0</v>
      </c>
      <c r="MG84" s="110">
        <f t="shared" si="717"/>
        <v>0</v>
      </c>
      <c r="MH84" s="110">
        <f t="shared" si="718"/>
        <v>0</v>
      </c>
      <c r="MI84" s="110">
        <f t="shared" si="719"/>
        <v>0</v>
      </c>
      <c r="MJ84" s="110">
        <f t="shared" si="720"/>
        <v>0</v>
      </c>
      <c r="MK84" s="110">
        <f t="shared" si="721"/>
        <v>0</v>
      </c>
      <c r="ML84" s="110">
        <f t="shared" si="722"/>
        <v>0</v>
      </c>
      <c r="MM84" s="110">
        <f t="shared" si="723"/>
        <v>0</v>
      </c>
      <c r="MN84" s="110">
        <f t="shared" si="724"/>
        <v>0</v>
      </c>
      <c r="MO84" s="110">
        <f t="shared" si="725"/>
        <v>0</v>
      </c>
      <c r="MP84" s="110">
        <f t="shared" si="726"/>
        <v>0</v>
      </c>
      <c r="MQ84" s="110">
        <f t="shared" si="727"/>
        <v>0</v>
      </c>
      <c r="MR84" s="110">
        <f t="shared" si="728"/>
        <v>0</v>
      </c>
      <c r="MS84" s="110">
        <f t="shared" si="729"/>
        <v>0</v>
      </c>
      <c r="MT84" s="110">
        <f t="shared" si="730"/>
        <v>0</v>
      </c>
      <c r="MV84" s="114">
        <v>154.22</v>
      </c>
      <c r="MW84" s="114">
        <v>0</v>
      </c>
      <c r="MX84" s="114">
        <v>5.2199999999999989</v>
      </c>
      <c r="MY84" s="114">
        <v>0</v>
      </c>
      <c r="MZ84" s="114">
        <v>0</v>
      </c>
      <c r="NB84" s="115">
        <v>72</v>
      </c>
      <c r="NC84" s="115" t="str">
        <v>N/A</v>
      </c>
      <c r="ND84" s="115">
        <v>48</v>
      </c>
      <c r="NE84" s="115" t="str">
        <v>N/A</v>
      </c>
      <c r="NF84" s="115" t="str">
        <v>N/A</v>
      </c>
    </row>
    <row r="85" spans="2:370" ht="13.5" x14ac:dyDescent="0.25">
      <c r="B85" s="8">
        <f t="shared" si="731"/>
        <v>82</v>
      </c>
      <c r="C85" s="7">
        <v>279</v>
      </c>
      <c r="D85" s="7">
        <v>279</v>
      </c>
      <c r="E85" s="7">
        <v>279</v>
      </c>
      <c r="F85" s="7">
        <v>279</v>
      </c>
      <c r="G85" s="7">
        <v>279</v>
      </c>
      <c r="H85" s="7">
        <v>279</v>
      </c>
      <c r="I85" s="7">
        <v>279</v>
      </c>
      <c r="J85" s="7">
        <v>279</v>
      </c>
      <c r="K85" s="7">
        <v>279</v>
      </c>
      <c r="L85" s="7">
        <v>279</v>
      </c>
      <c r="M85" s="7">
        <v>279</v>
      </c>
      <c r="N85" s="7">
        <v>279</v>
      </c>
      <c r="O85" s="7">
        <v>279</v>
      </c>
      <c r="P85" s="7">
        <v>279</v>
      </c>
      <c r="Q85" s="7">
        <v>279</v>
      </c>
      <c r="R85" s="7">
        <v>279</v>
      </c>
      <c r="S85" s="7">
        <v>279</v>
      </c>
      <c r="T85" s="7">
        <v>279</v>
      </c>
      <c r="U85" s="7">
        <v>279</v>
      </c>
      <c r="V85" s="7">
        <v>279</v>
      </c>
      <c r="W85" s="7">
        <v>279</v>
      </c>
      <c r="X85" s="7">
        <v>279</v>
      </c>
      <c r="Y85" s="7">
        <v>279</v>
      </c>
      <c r="Z85" s="7">
        <v>279</v>
      </c>
      <c r="AA85" s="7">
        <v>279</v>
      </c>
      <c r="AB85" s="7">
        <v>279</v>
      </c>
      <c r="AC85" s="7">
        <v>279</v>
      </c>
      <c r="AD85" s="7">
        <v>279</v>
      </c>
      <c r="AE85" s="7">
        <v>279</v>
      </c>
      <c r="AF85" s="7">
        <v>279</v>
      </c>
      <c r="AG85" s="7">
        <v>288.77</v>
      </c>
      <c r="AH85" s="7">
        <v>288.77</v>
      </c>
      <c r="AI85" s="7">
        <v>288.77</v>
      </c>
      <c r="AJ85" s="7">
        <v>288.77</v>
      </c>
      <c r="AK85" s="7">
        <v>288.77</v>
      </c>
      <c r="AL85" s="7">
        <v>288.77</v>
      </c>
      <c r="AM85" s="7">
        <v>288.77</v>
      </c>
      <c r="AN85" s="27">
        <v>82</v>
      </c>
      <c r="AP85" s="111"/>
      <c r="AQ85" s="110">
        <f t="shared" si="492"/>
        <v>0</v>
      </c>
      <c r="AR85" s="110">
        <f t="shared" si="493"/>
        <v>0</v>
      </c>
      <c r="AS85" s="110">
        <f t="shared" si="494"/>
        <v>0</v>
      </c>
      <c r="AT85" s="110">
        <f t="shared" si="495"/>
        <v>0</v>
      </c>
      <c r="AU85" s="110">
        <f t="shared" si="496"/>
        <v>0</v>
      </c>
      <c r="AV85" s="110">
        <f t="shared" si="497"/>
        <v>0</v>
      </c>
      <c r="AW85" s="110">
        <f t="shared" si="498"/>
        <v>0</v>
      </c>
      <c r="AX85" s="110">
        <f t="shared" si="499"/>
        <v>0</v>
      </c>
      <c r="AY85" s="110">
        <f t="shared" si="500"/>
        <v>0</v>
      </c>
      <c r="AZ85" s="110">
        <f t="shared" si="501"/>
        <v>9.7699999999999818</v>
      </c>
      <c r="BA85" s="110">
        <f t="shared" si="502"/>
        <v>0</v>
      </c>
      <c r="BB85" s="110">
        <f t="shared" si="503"/>
        <v>0</v>
      </c>
      <c r="BD85" s="109" cm="1">
        <f t="array" ref="BD85">+IFERROR(INDEX($C$3:$AM$3,MATCH(TRUE,INDEX($C85:$AM85&lt;&gt;0,0),0)),"N/A")</f>
        <v>44926</v>
      </c>
      <c r="BE85" s="112"/>
      <c r="BF85" s="1" t="str" cm="1">
        <f t="array" ref="BF85">+_xlfn.IFS(BT85&lt;&gt;0,BT$2,CH85&lt;&gt;0,CH$2,CV85&lt;&gt;0,CV$2,DJ85&lt;&gt;0,DJ$2,TRUE,"")</f>
        <v/>
      </c>
      <c r="BG85" s="1" t="str" cm="1">
        <f t="array" ref="BG85">+_xlfn.IFS(BU85&lt;&gt;0,BU$2,CI85&lt;&gt;0,CI$2,CW85&lt;&gt;0,CW$2,DK85&lt;&gt;0,DK$2,TRUE,"")</f>
        <v/>
      </c>
      <c r="BH85" s="1" t="str" cm="1">
        <f t="array" ref="BH85">+_xlfn.IFS(BV85&lt;&gt;0,BV$2,CJ85&lt;&gt;0,CJ$2,CX85&lt;&gt;0,CX$2,DL85&lt;&gt;0,DL$2,TRUE,"")</f>
        <v/>
      </c>
      <c r="BI85" s="1" t="str" cm="1">
        <f t="array" ref="BI85">+_xlfn.IFS(BW85&lt;&gt;0,BW$2,CK85&lt;&gt;0,CK$2,CY85&lt;&gt;0,CY$2,DM85&lt;&gt;0,DM$2,TRUE,"")</f>
        <v/>
      </c>
      <c r="BJ85" s="1" t="str" cm="1">
        <f t="array" ref="BJ85">+_xlfn.IFS(BX85&lt;&gt;0,BX$2,CL85&lt;&gt;0,CL$2,CZ85&lt;&gt;0,CZ$2,DN85&lt;&gt;0,DN$2,TRUE,"")</f>
        <v/>
      </c>
      <c r="BK85" s="1" t="str" cm="1">
        <f t="array" ref="BK85">+_xlfn.IFS(BY85&lt;&gt;0,BY$2,CM85&lt;&gt;0,CM$2,DA85&lt;&gt;0,DA$2,DO85&lt;&gt;0,DO$2,TRUE,"")</f>
        <v/>
      </c>
      <c r="BL85" s="1" t="str" cm="1">
        <f t="array" ref="BL85">+_xlfn.IFS(BZ85&lt;&gt;0,BZ$2,CN85&lt;&gt;0,CN$2,DB85&lt;&gt;0,DB$2,DP85&lt;&gt;0,DP$2,TRUE,"")</f>
        <v/>
      </c>
      <c r="BM85" s="1" t="str" cm="1">
        <f t="array" ref="BM85">+_xlfn.IFS(CA85&lt;&gt;0,CA$2,CO85&lt;&gt;0,CO$2,DC85&lt;&gt;0,DC$2,DQ85&lt;&gt;0,DQ$2,TRUE,"")</f>
        <v/>
      </c>
      <c r="BN85" s="1" t="str" cm="1">
        <f t="array" ref="BN85">+_xlfn.IFS(CB85&lt;&gt;0,CB$2,CP85&lt;&gt;0,CP$2,DD85&lt;&gt;0,DD$2,DR85&lt;&gt;0,DR$2,TRUE,"")</f>
        <v/>
      </c>
      <c r="BO85" s="1" t="str" cm="1">
        <f t="array" ref="BO85">+_xlfn.IFS(CC85&lt;&gt;0,CC$2,CQ85&lt;&gt;0,CQ$2,DE85&lt;&gt;0,DE$2,DS85&lt;&gt;0,DS$2,TRUE,"")</f>
        <v>Upsell</v>
      </c>
      <c r="BP85" s="1" t="str" cm="1">
        <f t="array" ref="BP85">+_xlfn.IFS(CD85&lt;&gt;0,CD$2,CR85&lt;&gt;0,CR$2,DF85&lt;&gt;0,DF$2,DT85&lt;&gt;0,DT$2,TRUE,"")</f>
        <v/>
      </c>
      <c r="BQ85" s="1" t="str" cm="1">
        <f t="array" ref="BQ85">+_xlfn.IFS(CE85&lt;&gt;0,CE$2,CS85&lt;&gt;0,CS$2,DG85&lt;&gt;0,DG$2,DU85&lt;&gt;0,DU$2,TRUE,"")</f>
        <v/>
      </c>
      <c r="BS85" s="111"/>
      <c r="BT85" s="110">
        <f t="shared" si="504"/>
        <v>0</v>
      </c>
      <c r="BU85" s="110">
        <f t="shared" si="505"/>
        <v>0</v>
      </c>
      <c r="BV85" s="110">
        <f t="shared" si="506"/>
        <v>0</v>
      </c>
      <c r="BW85" s="110">
        <f t="shared" si="507"/>
        <v>0</v>
      </c>
      <c r="BX85" s="110">
        <f t="shared" si="508"/>
        <v>0</v>
      </c>
      <c r="BY85" s="110">
        <f t="shared" si="509"/>
        <v>0</v>
      </c>
      <c r="BZ85" s="110">
        <f t="shared" si="510"/>
        <v>0</v>
      </c>
      <c r="CA85" s="110">
        <f t="shared" si="511"/>
        <v>0</v>
      </c>
      <c r="CB85" s="110">
        <f t="shared" si="512"/>
        <v>0</v>
      </c>
      <c r="CC85" s="110">
        <f t="shared" si="513"/>
        <v>0</v>
      </c>
      <c r="CD85" s="110">
        <f t="shared" si="514"/>
        <v>0</v>
      </c>
      <c r="CE85" s="110">
        <f t="shared" si="515"/>
        <v>0</v>
      </c>
      <c r="CG85" s="111"/>
      <c r="CH85" s="110">
        <f t="shared" si="516"/>
        <v>0</v>
      </c>
      <c r="CI85" s="110">
        <f t="shared" si="517"/>
        <v>0</v>
      </c>
      <c r="CJ85" s="110">
        <f t="shared" si="518"/>
        <v>0</v>
      </c>
      <c r="CK85" s="110">
        <f t="shared" si="519"/>
        <v>0</v>
      </c>
      <c r="CL85" s="110">
        <f t="shared" si="520"/>
        <v>0</v>
      </c>
      <c r="CM85" s="110">
        <f t="shared" si="521"/>
        <v>0</v>
      </c>
      <c r="CN85" s="110">
        <f t="shared" si="522"/>
        <v>0</v>
      </c>
      <c r="CO85" s="110">
        <f t="shared" si="523"/>
        <v>0</v>
      </c>
      <c r="CP85" s="110">
        <f t="shared" si="524"/>
        <v>0</v>
      </c>
      <c r="CQ85" s="110">
        <f t="shared" si="525"/>
        <v>0</v>
      </c>
      <c r="CR85" s="110">
        <f t="shared" si="526"/>
        <v>0</v>
      </c>
      <c r="CS85" s="110">
        <f t="shared" si="527"/>
        <v>0</v>
      </c>
      <c r="CU85" s="111"/>
      <c r="CV85" s="110">
        <f t="shared" si="528"/>
        <v>0</v>
      </c>
      <c r="CW85" s="110">
        <f t="shared" si="529"/>
        <v>0</v>
      </c>
      <c r="CX85" s="110">
        <f t="shared" si="530"/>
        <v>0</v>
      </c>
      <c r="CY85" s="110">
        <f t="shared" si="531"/>
        <v>0</v>
      </c>
      <c r="CZ85" s="110">
        <f t="shared" si="532"/>
        <v>0</v>
      </c>
      <c r="DA85" s="110">
        <f t="shared" si="533"/>
        <v>0</v>
      </c>
      <c r="DB85" s="110">
        <f t="shared" si="534"/>
        <v>0</v>
      </c>
      <c r="DC85" s="110">
        <f t="shared" si="535"/>
        <v>0</v>
      </c>
      <c r="DD85" s="110">
        <f t="shared" si="536"/>
        <v>0</v>
      </c>
      <c r="DE85" s="110">
        <f t="shared" si="537"/>
        <v>0</v>
      </c>
      <c r="DF85" s="110">
        <f t="shared" si="538"/>
        <v>0</v>
      </c>
      <c r="DG85" s="110">
        <f t="shared" si="539"/>
        <v>0</v>
      </c>
      <c r="DI85" s="111"/>
      <c r="DJ85" s="110">
        <f t="shared" si="540"/>
        <v>0</v>
      </c>
      <c r="DK85" s="110">
        <f t="shared" si="541"/>
        <v>0</v>
      </c>
      <c r="DL85" s="110">
        <f t="shared" si="542"/>
        <v>0</v>
      </c>
      <c r="DM85" s="110">
        <f t="shared" si="543"/>
        <v>0</v>
      </c>
      <c r="DN85" s="110">
        <f t="shared" si="544"/>
        <v>0</v>
      </c>
      <c r="DO85" s="110">
        <f t="shared" si="545"/>
        <v>0</v>
      </c>
      <c r="DP85" s="110">
        <f t="shared" si="546"/>
        <v>0</v>
      </c>
      <c r="DQ85" s="110">
        <f t="shared" si="547"/>
        <v>0</v>
      </c>
      <c r="DR85" s="110">
        <f t="shared" si="548"/>
        <v>0</v>
      </c>
      <c r="DS85" s="110">
        <f t="shared" si="549"/>
        <v>9.7699999999999818</v>
      </c>
      <c r="DT85" s="110">
        <f t="shared" si="550"/>
        <v>0</v>
      </c>
      <c r="DU85" s="110">
        <f t="shared" si="551"/>
        <v>0</v>
      </c>
      <c r="DW85" s="111"/>
      <c r="DX85" s="110">
        <f t="shared" si="552"/>
        <v>0</v>
      </c>
      <c r="DY85" s="110">
        <f t="shared" si="553"/>
        <v>0</v>
      </c>
      <c r="DZ85" s="110">
        <f t="shared" si="554"/>
        <v>0</v>
      </c>
      <c r="EA85" s="110">
        <f t="shared" si="555"/>
        <v>0</v>
      </c>
      <c r="EB85" s="110">
        <f t="shared" si="556"/>
        <v>0</v>
      </c>
      <c r="EC85" s="110">
        <f t="shared" si="557"/>
        <v>0</v>
      </c>
      <c r="ED85" s="110">
        <f t="shared" si="558"/>
        <v>0</v>
      </c>
      <c r="EE85" s="110">
        <f t="shared" si="559"/>
        <v>0</v>
      </c>
      <c r="EF85" s="110">
        <f t="shared" si="560"/>
        <v>0</v>
      </c>
      <c r="EG85" s="110">
        <f t="shared" si="561"/>
        <v>0</v>
      </c>
      <c r="EH85" s="110">
        <f t="shared" si="562"/>
        <v>0</v>
      </c>
      <c r="EI85" s="110">
        <f t="shared" si="563"/>
        <v>0</v>
      </c>
      <c r="EK85" s="111"/>
      <c r="EL85" s="110">
        <f t="shared" si="564"/>
        <v>0</v>
      </c>
      <c r="EM85" s="110">
        <f t="shared" si="565"/>
        <v>0</v>
      </c>
      <c r="EN85" s="110">
        <f t="shared" si="566"/>
        <v>9.7699999999999818</v>
      </c>
      <c r="EP85" s="109" cm="1">
        <f t="array" ref="EP85">+IFERROR(INDEX($C$3:$AM$3,MATCH(TRUE,INDEX($C85:$AM85&lt;&gt;0,0),0)),"N/A")</f>
        <v>44926</v>
      </c>
      <c r="EQ85" s="112"/>
      <c r="ER85" s="1" t="str" cm="1">
        <f t="array" ref="ER85">+_xlfn.IFS(EW85&lt;&gt;0,EW$2,FB85&lt;&gt;0,FB$2,FG85&lt;&gt;0,FG$2,FL85&lt;&gt;0,FL$2,TRUE,"")</f>
        <v/>
      </c>
      <c r="ES85" s="1" t="str" cm="1">
        <f t="array" ref="ES85">+_xlfn.IFS(EX85&lt;&gt;0,EX$2,FC85&lt;&gt;0,FC$2,FH85&lt;&gt;0,FH$2,FM85&lt;&gt;0,FM$2,TRUE,"")</f>
        <v/>
      </c>
      <c r="ET85" s="1" t="str" cm="1">
        <f t="array" ref="ET85">+_xlfn.IFS(EY85&lt;&gt;0,EY$2,FD85&lt;&gt;0,FD$2,FI85&lt;&gt;0,FI$2,FN85&lt;&gt;0,FN$2,TRUE,"")</f>
        <v>Upsell</v>
      </c>
      <c r="EV85" s="111"/>
      <c r="EW85" s="110">
        <f t="shared" si="567"/>
        <v>0</v>
      </c>
      <c r="EX85" s="110">
        <f t="shared" si="568"/>
        <v>0</v>
      </c>
      <c r="EY85" s="110">
        <f t="shared" si="569"/>
        <v>0</v>
      </c>
      <c r="FA85" s="111"/>
      <c r="FB85" s="110">
        <f t="shared" si="570"/>
        <v>0</v>
      </c>
      <c r="FC85" s="110">
        <f t="shared" si="571"/>
        <v>0</v>
      </c>
      <c r="FD85" s="110">
        <f t="shared" si="572"/>
        <v>0</v>
      </c>
      <c r="FF85" s="111"/>
      <c r="FG85" s="110">
        <f t="shared" si="573"/>
        <v>0</v>
      </c>
      <c r="FH85" s="110">
        <f t="shared" si="574"/>
        <v>0</v>
      </c>
      <c r="FI85" s="110">
        <f t="shared" si="575"/>
        <v>0</v>
      </c>
      <c r="FK85" s="111"/>
      <c r="FL85" s="110">
        <f t="shared" si="576"/>
        <v>0</v>
      </c>
      <c r="FM85" s="110">
        <f t="shared" si="577"/>
        <v>0</v>
      </c>
      <c r="FN85" s="110">
        <f t="shared" si="578"/>
        <v>9.7699999999999818</v>
      </c>
      <c r="FP85" s="111"/>
      <c r="FQ85" s="110">
        <f t="shared" si="579"/>
        <v>0</v>
      </c>
      <c r="FR85" s="110">
        <f t="shared" si="580"/>
        <v>0</v>
      </c>
      <c r="FS85" s="110">
        <f t="shared" si="581"/>
        <v>0</v>
      </c>
      <c r="FU85" s="111">
        <f t="shared" si="582"/>
        <v>0</v>
      </c>
      <c r="FV85" s="110">
        <f t="shared" si="583"/>
        <v>0</v>
      </c>
      <c r="FW85" s="110">
        <f t="shared" si="584"/>
        <v>0</v>
      </c>
      <c r="FX85" s="110">
        <f t="shared" si="585"/>
        <v>0</v>
      </c>
      <c r="FY85" s="110">
        <f t="shared" si="586"/>
        <v>0</v>
      </c>
      <c r="FZ85" s="110">
        <f t="shared" si="587"/>
        <v>0</v>
      </c>
      <c r="GA85" s="110">
        <f t="shared" si="588"/>
        <v>0</v>
      </c>
      <c r="GB85" s="110">
        <f t="shared" si="589"/>
        <v>0</v>
      </c>
      <c r="GC85" s="110">
        <f t="shared" si="590"/>
        <v>0</v>
      </c>
      <c r="GD85" s="110">
        <f t="shared" si="591"/>
        <v>0</v>
      </c>
      <c r="GE85" s="110">
        <f t="shared" si="592"/>
        <v>0</v>
      </c>
      <c r="GF85" s="110">
        <f t="shared" si="593"/>
        <v>0</v>
      </c>
      <c r="GG85" s="110">
        <f t="shared" si="594"/>
        <v>0</v>
      </c>
      <c r="GH85" s="110">
        <f t="shared" si="595"/>
        <v>0</v>
      </c>
      <c r="GI85" s="110">
        <f t="shared" si="596"/>
        <v>0</v>
      </c>
      <c r="GJ85" s="110">
        <f t="shared" si="597"/>
        <v>0</v>
      </c>
      <c r="GK85" s="110">
        <f t="shared" si="598"/>
        <v>0</v>
      </c>
      <c r="GL85" s="110">
        <f t="shared" si="599"/>
        <v>0</v>
      </c>
      <c r="GM85" s="110">
        <f t="shared" si="600"/>
        <v>9.7699999999999818</v>
      </c>
      <c r="GN85" s="110">
        <f t="shared" si="601"/>
        <v>9.7699999999999818</v>
      </c>
      <c r="GO85" s="110">
        <f t="shared" si="602"/>
        <v>9.7699999999999818</v>
      </c>
      <c r="GP85" s="110">
        <f t="shared" si="603"/>
        <v>9.7699999999999818</v>
      </c>
      <c r="GQ85" s="110">
        <f t="shared" si="604"/>
        <v>9.7699999999999818</v>
      </c>
      <c r="GR85" s="110">
        <f t="shared" si="605"/>
        <v>9.7699999999999818</v>
      </c>
      <c r="GS85" s="110">
        <f t="shared" si="606"/>
        <v>9.7699999999999818</v>
      </c>
      <c r="GU85" s="109" cm="1">
        <f t="array" ref="GU85">+IFERROR(INDEX($C$3:$AM$3,MATCH(TRUE,INDEX($C85:$AM85&lt;&gt;0,0),0)),"N/A")</f>
        <v>44926</v>
      </c>
      <c r="GV85" s="112" t="str" cm="1">
        <f t="array" ref="GV85">+_xlfn.IFS(HV85&lt;&gt;0,HV$2,IV85&lt;&gt;0,IV$2,JV85&lt;&gt;0,JV$2,KV85&lt;&gt;0,KV$2,TRUE,"")</f>
        <v/>
      </c>
      <c r="GW85" s="1" t="str" cm="1">
        <f t="array" ref="GW85">+_xlfn.IFS(HW85&lt;&gt;0,HW$2,IW85&lt;&gt;0,IW$2,JW85&lt;&gt;0,JW$2,KW85&lt;&gt;0,KW$2,TRUE,"")</f>
        <v/>
      </c>
      <c r="GX85" s="1" t="str" cm="1">
        <f t="array" ref="GX85">+_xlfn.IFS(HX85&lt;&gt;0,HX$2,IX85&lt;&gt;0,IX$2,JX85&lt;&gt;0,JX$2,KX85&lt;&gt;0,KX$2,TRUE,"")</f>
        <v/>
      </c>
      <c r="GY85" s="1" t="str" cm="1">
        <f t="array" ref="GY85">+_xlfn.IFS(HY85&lt;&gt;0,HY$2,IY85&lt;&gt;0,IY$2,JY85&lt;&gt;0,JY$2,KY85&lt;&gt;0,KY$2,TRUE,"")</f>
        <v/>
      </c>
      <c r="GZ85" s="1" t="str" cm="1">
        <f t="array" ref="GZ85">+_xlfn.IFS(HZ85&lt;&gt;0,HZ$2,IZ85&lt;&gt;0,IZ$2,JZ85&lt;&gt;0,JZ$2,KZ85&lt;&gt;0,KZ$2,TRUE,"")</f>
        <v/>
      </c>
      <c r="HA85" s="1" t="str" cm="1">
        <f t="array" ref="HA85">+_xlfn.IFS(IA85&lt;&gt;0,IA$2,JA85&lt;&gt;0,JA$2,KA85&lt;&gt;0,KA$2,LA85&lt;&gt;0,LA$2,TRUE,"")</f>
        <v/>
      </c>
      <c r="HB85" s="1" t="str" cm="1">
        <f t="array" ref="HB85">+_xlfn.IFS(IB85&lt;&gt;0,IB$2,JB85&lt;&gt;0,JB$2,KB85&lt;&gt;0,KB$2,LB85&lt;&gt;0,LB$2,TRUE,"")</f>
        <v/>
      </c>
      <c r="HC85" s="1" t="str" cm="1">
        <f t="array" ref="HC85">+_xlfn.IFS(IC85&lt;&gt;0,IC$2,JC85&lt;&gt;0,JC$2,KC85&lt;&gt;0,KC$2,LC85&lt;&gt;0,LC$2,TRUE,"")</f>
        <v/>
      </c>
      <c r="HD85" s="1" t="str" cm="1">
        <f t="array" ref="HD85">+_xlfn.IFS(ID85&lt;&gt;0,ID$2,JD85&lt;&gt;0,JD$2,KD85&lt;&gt;0,KD$2,LD85&lt;&gt;0,LD$2,TRUE,"")</f>
        <v/>
      </c>
      <c r="HE85" s="1" t="str" cm="1">
        <f t="array" ref="HE85">+_xlfn.IFS(IE85&lt;&gt;0,IE$2,JE85&lt;&gt;0,JE$2,KE85&lt;&gt;0,KE$2,LE85&lt;&gt;0,LE$2,TRUE,"")</f>
        <v/>
      </c>
      <c r="HF85" s="1" t="str" cm="1">
        <f t="array" ref="HF85">+_xlfn.IFS(IF85&lt;&gt;0,IF$2,JF85&lt;&gt;0,JF$2,KF85&lt;&gt;0,KF$2,LF85&lt;&gt;0,LF$2,TRUE,"")</f>
        <v/>
      </c>
      <c r="HG85" s="1" t="str" cm="1">
        <f t="array" ref="HG85">+_xlfn.IFS(IG85&lt;&gt;0,IG$2,JG85&lt;&gt;0,JG$2,KG85&lt;&gt;0,KG$2,LG85&lt;&gt;0,LG$2,TRUE,"")</f>
        <v/>
      </c>
      <c r="HH85" s="1" t="str" cm="1">
        <f t="array" ref="HH85">+_xlfn.IFS(IH85&lt;&gt;0,IH$2,JH85&lt;&gt;0,JH$2,KH85&lt;&gt;0,KH$2,LH85&lt;&gt;0,LH$2,TRUE,"")</f>
        <v/>
      </c>
      <c r="HI85" s="1" t="str" cm="1">
        <f t="array" ref="HI85">+_xlfn.IFS(II85&lt;&gt;0,II$2,JI85&lt;&gt;0,JI$2,KI85&lt;&gt;0,KI$2,LI85&lt;&gt;0,LI$2,TRUE,"")</f>
        <v/>
      </c>
      <c r="HJ85" s="1" t="str" cm="1">
        <f t="array" ref="HJ85">+_xlfn.IFS(IJ85&lt;&gt;0,IJ$2,JJ85&lt;&gt;0,JJ$2,KJ85&lt;&gt;0,KJ$2,LJ85&lt;&gt;0,LJ$2,TRUE,"")</f>
        <v/>
      </c>
      <c r="HK85" s="1" t="str" cm="1">
        <f t="array" ref="HK85">+_xlfn.IFS(IK85&lt;&gt;0,IK$2,JK85&lt;&gt;0,JK$2,KK85&lt;&gt;0,KK$2,LK85&lt;&gt;0,LK$2,TRUE,"")</f>
        <v/>
      </c>
      <c r="HL85" s="1" t="str" cm="1">
        <f t="array" ref="HL85">+_xlfn.IFS(IL85&lt;&gt;0,IL$2,JL85&lt;&gt;0,JL$2,KL85&lt;&gt;0,KL$2,LL85&lt;&gt;0,LL$2,TRUE,"")</f>
        <v/>
      </c>
      <c r="HM85" s="1" t="str" cm="1">
        <f t="array" ref="HM85">+_xlfn.IFS(IM85&lt;&gt;0,IM$2,JM85&lt;&gt;0,JM$2,KM85&lt;&gt;0,KM$2,LM85&lt;&gt;0,LM$2,TRUE,"")</f>
        <v/>
      </c>
      <c r="HN85" s="1" t="str" cm="1">
        <f t="array" ref="HN85">+_xlfn.IFS(IN85&lt;&gt;0,IN$2,JN85&lt;&gt;0,JN$2,KN85&lt;&gt;0,KN$2,LN85&lt;&gt;0,LN$2,TRUE,"")</f>
        <v>Upsell</v>
      </c>
      <c r="HO85" s="1" t="str" cm="1">
        <f t="array" ref="HO85">+_xlfn.IFS(IO85&lt;&gt;0,IO$2,JO85&lt;&gt;0,JO$2,KO85&lt;&gt;0,KO$2,LO85&lt;&gt;0,LO$2,TRUE,"")</f>
        <v>Upsell</v>
      </c>
      <c r="HP85" s="1" t="str" cm="1">
        <f t="array" ref="HP85">+_xlfn.IFS(IP85&lt;&gt;0,IP$2,JP85&lt;&gt;0,JP$2,KP85&lt;&gt;0,KP$2,LP85&lt;&gt;0,LP$2,TRUE,"")</f>
        <v>Upsell</v>
      </c>
      <c r="HQ85" s="1" t="str" cm="1">
        <f t="array" ref="HQ85">+_xlfn.IFS(IQ85&lt;&gt;0,IQ$2,JQ85&lt;&gt;0,JQ$2,KQ85&lt;&gt;0,KQ$2,LQ85&lt;&gt;0,LQ$2,TRUE,"")</f>
        <v>Upsell</v>
      </c>
      <c r="HR85" s="1" t="str" cm="1">
        <f t="array" ref="HR85">+_xlfn.IFS(IR85&lt;&gt;0,IR$2,JR85&lt;&gt;0,JR$2,KR85&lt;&gt;0,KR$2,LR85&lt;&gt;0,LR$2,TRUE,"")</f>
        <v>Upsell</v>
      </c>
      <c r="HS85" s="1" t="str" cm="1">
        <f t="array" ref="HS85">+_xlfn.IFS(IS85&lt;&gt;0,IS$2,JS85&lt;&gt;0,JS$2,KS85&lt;&gt;0,KS$2,LS85&lt;&gt;0,LS$2,TRUE,"")</f>
        <v>Upsell</v>
      </c>
      <c r="HT85" s="1" t="str" cm="1">
        <f t="array" ref="HT85">+_xlfn.IFS(IT85&lt;&gt;0,IT$2,JT85&lt;&gt;0,JT$2,KT85&lt;&gt;0,KT$2,LT85&lt;&gt;0,LT$2,TRUE,"")</f>
        <v>Upsell</v>
      </c>
      <c r="HV85" s="111">
        <f t="shared" si="607"/>
        <v>0</v>
      </c>
      <c r="HW85" s="110">
        <f t="shared" si="608"/>
        <v>0</v>
      </c>
      <c r="HX85" s="110">
        <f t="shared" si="609"/>
        <v>0</v>
      </c>
      <c r="HY85" s="110">
        <f t="shared" si="610"/>
        <v>0</v>
      </c>
      <c r="HZ85" s="110">
        <f t="shared" si="611"/>
        <v>0</v>
      </c>
      <c r="IA85" s="110">
        <f t="shared" si="612"/>
        <v>0</v>
      </c>
      <c r="IB85" s="110">
        <f t="shared" si="613"/>
        <v>0</v>
      </c>
      <c r="IC85" s="110">
        <f t="shared" si="614"/>
        <v>0</v>
      </c>
      <c r="ID85" s="110">
        <f t="shared" si="615"/>
        <v>0</v>
      </c>
      <c r="IE85" s="110">
        <f t="shared" si="616"/>
        <v>0</v>
      </c>
      <c r="IF85" s="110">
        <f t="shared" si="617"/>
        <v>0</v>
      </c>
      <c r="IG85" s="110">
        <f t="shared" si="618"/>
        <v>0</v>
      </c>
      <c r="IH85" s="110">
        <f t="shared" si="619"/>
        <v>0</v>
      </c>
      <c r="II85" s="110">
        <f t="shared" si="620"/>
        <v>0</v>
      </c>
      <c r="IJ85" s="110">
        <f t="shared" si="621"/>
        <v>0</v>
      </c>
      <c r="IK85" s="110">
        <f t="shared" si="622"/>
        <v>0</v>
      </c>
      <c r="IL85" s="110">
        <f t="shared" si="623"/>
        <v>0</v>
      </c>
      <c r="IM85" s="110">
        <f t="shared" si="624"/>
        <v>0</v>
      </c>
      <c r="IN85" s="110">
        <f t="shared" si="625"/>
        <v>0</v>
      </c>
      <c r="IO85" s="110">
        <f t="shared" si="626"/>
        <v>0</v>
      </c>
      <c r="IP85" s="110">
        <f t="shared" si="627"/>
        <v>0</v>
      </c>
      <c r="IQ85" s="110">
        <f t="shared" si="628"/>
        <v>0</v>
      </c>
      <c r="IR85" s="110">
        <f t="shared" si="629"/>
        <v>0</v>
      </c>
      <c r="IS85" s="110">
        <f t="shared" si="630"/>
        <v>0</v>
      </c>
      <c r="IT85" s="110">
        <f t="shared" si="631"/>
        <v>0</v>
      </c>
      <c r="IV85" s="111">
        <f t="shared" si="632"/>
        <v>0</v>
      </c>
      <c r="IW85" s="110">
        <f t="shared" si="633"/>
        <v>0</v>
      </c>
      <c r="IX85" s="110">
        <f t="shared" si="634"/>
        <v>0</v>
      </c>
      <c r="IY85" s="110">
        <f t="shared" si="635"/>
        <v>0</v>
      </c>
      <c r="IZ85" s="110">
        <f t="shared" si="636"/>
        <v>0</v>
      </c>
      <c r="JA85" s="110">
        <f t="shared" si="637"/>
        <v>0</v>
      </c>
      <c r="JB85" s="110">
        <f t="shared" si="638"/>
        <v>0</v>
      </c>
      <c r="JC85" s="110">
        <f t="shared" si="639"/>
        <v>0</v>
      </c>
      <c r="JD85" s="110">
        <f t="shared" si="640"/>
        <v>0</v>
      </c>
      <c r="JE85" s="110">
        <f t="shared" si="641"/>
        <v>0</v>
      </c>
      <c r="JF85" s="110">
        <f t="shared" si="642"/>
        <v>0</v>
      </c>
      <c r="JG85" s="110">
        <f t="shared" si="643"/>
        <v>0</v>
      </c>
      <c r="JH85" s="110">
        <f t="shared" si="644"/>
        <v>0</v>
      </c>
      <c r="JI85" s="110">
        <f t="shared" si="645"/>
        <v>0</v>
      </c>
      <c r="JJ85" s="110">
        <f t="shared" si="646"/>
        <v>0</v>
      </c>
      <c r="JK85" s="110">
        <f t="shared" si="647"/>
        <v>0</v>
      </c>
      <c r="JL85" s="110">
        <f t="shared" si="648"/>
        <v>0</v>
      </c>
      <c r="JM85" s="110">
        <f t="shared" si="649"/>
        <v>0</v>
      </c>
      <c r="JN85" s="110">
        <f t="shared" si="650"/>
        <v>0</v>
      </c>
      <c r="JO85" s="110">
        <f t="shared" si="651"/>
        <v>0</v>
      </c>
      <c r="JP85" s="110">
        <f t="shared" si="652"/>
        <v>0</v>
      </c>
      <c r="JQ85" s="110">
        <f t="shared" si="653"/>
        <v>0</v>
      </c>
      <c r="JR85" s="110">
        <f t="shared" si="654"/>
        <v>0</v>
      </c>
      <c r="JS85" s="110">
        <f t="shared" si="655"/>
        <v>0</v>
      </c>
      <c r="JT85" s="110">
        <f t="shared" si="656"/>
        <v>0</v>
      </c>
      <c r="JV85" s="111">
        <f t="shared" si="657"/>
        <v>0</v>
      </c>
      <c r="JW85" s="110">
        <f t="shared" si="658"/>
        <v>0</v>
      </c>
      <c r="JX85" s="110">
        <f t="shared" si="659"/>
        <v>0</v>
      </c>
      <c r="JY85" s="110">
        <f t="shared" si="660"/>
        <v>0</v>
      </c>
      <c r="JZ85" s="110">
        <f t="shared" si="661"/>
        <v>0</v>
      </c>
      <c r="KA85" s="110">
        <f t="shared" si="662"/>
        <v>0</v>
      </c>
      <c r="KB85" s="110">
        <f t="shared" si="663"/>
        <v>0</v>
      </c>
      <c r="KC85" s="110">
        <f t="shared" si="664"/>
        <v>0</v>
      </c>
      <c r="KD85" s="110">
        <f t="shared" si="665"/>
        <v>0</v>
      </c>
      <c r="KE85" s="110">
        <f t="shared" si="666"/>
        <v>0</v>
      </c>
      <c r="KF85" s="110">
        <f t="shared" si="667"/>
        <v>0</v>
      </c>
      <c r="KG85" s="110">
        <f t="shared" si="668"/>
        <v>0</v>
      </c>
      <c r="KH85" s="110">
        <f t="shared" si="669"/>
        <v>0</v>
      </c>
      <c r="KI85" s="110">
        <f t="shared" si="670"/>
        <v>0</v>
      </c>
      <c r="KJ85" s="110">
        <f t="shared" si="671"/>
        <v>0</v>
      </c>
      <c r="KK85" s="110">
        <f t="shared" si="672"/>
        <v>0</v>
      </c>
      <c r="KL85" s="110">
        <f t="shared" si="673"/>
        <v>0</v>
      </c>
      <c r="KM85" s="110">
        <f t="shared" si="674"/>
        <v>0</v>
      </c>
      <c r="KN85" s="110">
        <f t="shared" si="675"/>
        <v>0</v>
      </c>
      <c r="KO85" s="110">
        <f t="shared" si="676"/>
        <v>0</v>
      </c>
      <c r="KP85" s="110">
        <f t="shared" si="677"/>
        <v>0</v>
      </c>
      <c r="KQ85" s="110">
        <f t="shared" si="678"/>
        <v>0</v>
      </c>
      <c r="KR85" s="110">
        <f t="shared" si="679"/>
        <v>0</v>
      </c>
      <c r="KS85" s="110">
        <f t="shared" si="680"/>
        <v>0</v>
      </c>
      <c r="KT85" s="110">
        <f t="shared" si="681"/>
        <v>0</v>
      </c>
      <c r="KV85" s="111">
        <f t="shared" si="682"/>
        <v>0</v>
      </c>
      <c r="KW85" s="110">
        <f t="shared" si="683"/>
        <v>0</v>
      </c>
      <c r="KX85" s="110">
        <f t="shared" si="684"/>
        <v>0</v>
      </c>
      <c r="KY85" s="110">
        <f t="shared" si="685"/>
        <v>0</v>
      </c>
      <c r="KZ85" s="110">
        <f t="shared" si="686"/>
        <v>0</v>
      </c>
      <c r="LA85" s="110">
        <f t="shared" si="687"/>
        <v>0</v>
      </c>
      <c r="LB85" s="110">
        <f t="shared" si="688"/>
        <v>0</v>
      </c>
      <c r="LC85" s="110">
        <f t="shared" si="689"/>
        <v>0</v>
      </c>
      <c r="LD85" s="110">
        <f t="shared" si="690"/>
        <v>0</v>
      </c>
      <c r="LE85" s="110">
        <f t="shared" si="691"/>
        <v>0</v>
      </c>
      <c r="LF85" s="110">
        <f t="shared" si="692"/>
        <v>0</v>
      </c>
      <c r="LG85" s="110">
        <f t="shared" si="693"/>
        <v>0</v>
      </c>
      <c r="LH85" s="110">
        <f t="shared" si="694"/>
        <v>0</v>
      </c>
      <c r="LI85" s="110">
        <f t="shared" si="695"/>
        <v>0</v>
      </c>
      <c r="LJ85" s="110">
        <f t="shared" si="696"/>
        <v>0</v>
      </c>
      <c r="LK85" s="110">
        <f t="shared" si="697"/>
        <v>0</v>
      </c>
      <c r="LL85" s="110">
        <f t="shared" si="698"/>
        <v>0</v>
      </c>
      <c r="LM85" s="110">
        <f t="shared" si="699"/>
        <v>0</v>
      </c>
      <c r="LN85" s="110">
        <f t="shared" si="700"/>
        <v>9.7699999999999818</v>
      </c>
      <c r="LO85" s="110">
        <f t="shared" si="701"/>
        <v>9.7699999999999818</v>
      </c>
      <c r="LP85" s="110">
        <f t="shared" si="702"/>
        <v>9.7699999999999818</v>
      </c>
      <c r="LQ85" s="110">
        <f t="shared" si="703"/>
        <v>9.7699999999999818</v>
      </c>
      <c r="LR85" s="110">
        <f t="shared" si="704"/>
        <v>9.7699999999999818</v>
      </c>
      <c r="LS85" s="110">
        <f t="shared" si="705"/>
        <v>9.7699999999999818</v>
      </c>
      <c r="LT85" s="110">
        <f t="shared" si="706"/>
        <v>9.7699999999999818</v>
      </c>
      <c r="LV85" s="111"/>
      <c r="LW85" s="110">
        <f t="shared" si="707"/>
        <v>0</v>
      </c>
      <c r="LX85" s="110">
        <f t="shared" si="708"/>
        <v>0</v>
      </c>
      <c r="LY85" s="110">
        <f t="shared" si="709"/>
        <v>0</v>
      </c>
      <c r="LZ85" s="110">
        <f t="shared" si="710"/>
        <v>0</v>
      </c>
      <c r="MA85" s="110">
        <f t="shared" si="711"/>
        <v>0</v>
      </c>
      <c r="MB85" s="110">
        <f t="shared" si="712"/>
        <v>0</v>
      </c>
      <c r="MC85" s="110">
        <f t="shared" si="713"/>
        <v>0</v>
      </c>
      <c r="MD85" s="110">
        <f t="shared" si="714"/>
        <v>0</v>
      </c>
      <c r="ME85" s="110">
        <f t="shared" si="715"/>
        <v>0</v>
      </c>
      <c r="MF85" s="110">
        <f t="shared" si="716"/>
        <v>0</v>
      </c>
      <c r="MG85" s="110">
        <f t="shared" si="717"/>
        <v>0</v>
      </c>
      <c r="MH85" s="110">
        <f t="shared" si="718"/>
        <v>0</v>
      </c>
      <c r="MI85" s="110">
        <f t="shared" si="719"/>
        <v>0</v>
      </c>
      <c r="MJ85" s="110">
        <f t="shared" si="720"/>
        <v>0</v>
      </c>
      <c r="MK85" s="110">
        <f t="shared" si="721"/>
        <v>0</v>
      </c>
      <c r="ML85" s="110">
        <f t="shared" si="722"/>
        <v>0</v>
      </c>
      <c r="MM85" s="110">
        <f t="shared" si="723"/>
        <v>0</v>
      </c>
      <c r="MN85" s="110">
        <f t="shared" si="724"/>
        <v>0</v>
      </c>
      <c r="MO85" s="110">
        <f t="shared" si="725"/>
        <v>0</v>
      </c>
      <c r="MP85" s="110">
        <f t="shared" si="726"/>
        <v>0</v>
      </c>
      <c r="MQ85" s="110">
        <f t="shared" si="727"/>
        <v>0</v>
      </c>
      <c r="MR85" s="110">
        <f t="shared" si="728"/>
        <v>0</v>
      </c>
      <c r="MS85" s="110">
        <f t="shared" si="729"/>
        <v>0</v>
      </c>
      <c r="MT85" s="110">
        <f t="shared" si="730"/>
        <v>0</v>
      </c>
      <c r="MV85" s="114">
        <v>288.77</v>
      </c>
      <c r="MW85" s="114">
        <v>0</v>
      </c>
      <c r="MX85" s="114">
        <v>9.7699999999999818</v>
      </c>
      <c r="MY85" s="114">
        <v>0</v>
      </c>
      <c r="MZ85" s="114">
        <v>0</v>
      </c>
      <c r="NB85" s="115">
        <v>33</v>
      </c>
      <c r="NC85" s="115" t="str">
        <v>N/A</v>
      </c>
      <c r="ND85" s="115">
        <v>26</v>
      </c>
      <c r="NE85" s="115" t="str">
        <v>N/A</v>
      </c>
      <c r="NF85" s="115" t="str">
        <v>N/A</v>
      </c>
    </row>
    <row r="86" spans="2:370" ht="13.5" x14ac:dyDescent="0.25">
      <c r="B86" s="8">
        <f t="shared" si="731"/>
        <v>83</v>
      </c>
      <c r="C86" s="7">
        <v>132.87</v>
      </c>
      <c r="D86" s="7">
        <v>132.87</v>
      </c>
      <c r="E86" s="7">
        <v>138.31</v>
      </c>
      <c r="F86" s="7">
        <v>141.71</v>
      </c>
      <c r="G86" s="7">
        <v>139.16</v>
      </c>
      <c r="H86" s="7">
        <v>131.49</v>
      </c>
      <c r="I86" s="7">
        <v>140.32999999999998</v>
      </c>
      <c r="J86" s="7">
        <v>119</v>
      </c>
      <c r="K86" s="7">
        <v>119</v>
      </c>
      <c r="L86" s="7">
        <v>119</v>
      </c>
      <c r="M86" s="7">
        <v>119</v>
      </c>
      <c r="N86" s="7">
        <v>119</v>
      </c>
      <c r="O86" s="7">
        <v>119</v>
      </c>
      <c r="P86" s="7">
        <v>119</v>
      </c>
      <c r="Q86" s="7">
        <v>119</v>
      </c>
      <c r="R86" s="7">
        <v>119</v>
      </c>
      <c r="S86" s="7">
        <v>119</v>
      </c>
      <c r="T86" s="7">
        <v>119</v>
      </c>
      <c r="U86" s="7">
        <v>119</v>
      </c>
      <c r="V86" s="7">
        <v>119</v>
      </c>
      <c r="W86" s="7">
        <v>119</v>
      </c>
      <c r="X86" s="7">
        <v>119</v>
      </c>
      <c r="Y86" s="7">
        <v>119</v>
      </c>
      <c r="Z86" s="7">
        <v>119</v>
      </c>
      <c r="AA86" s="7">
        <v>119</v>
      </c>
      <c r="AB86" s="7">
        <v>119</v>
      </c>
      <c r="AC86" s="7">
        <v>119</v>
      </c>
      <c r="AD86" s="7">
        <v>119</v>
      </c>
      <c r="AE86" s="7">
        <v>119</v>
      </c>
      <c r="AF86" s="7">
        <v>119</v>
      </c>
      <c r="AG86" s="7">
        <v>119</v>
      </c>
      <c r="AH86" s="7">
        <v>119</v>
      </c>
      <c r="AI86" s="7">
        <v>119</v>
      </c>
      <c r="AJ86" s="7">
        <v>119</v>
      </c>
      <c r="AK86" s="7">
        <v>119</v>
      </c>
      <c r="AL86" s="7">
        <v>119</v>
      </c>
      <c r="AM86" s="7">
        <v>119</v>
      </c>
      <c r="AN86" s="27">
        <v>83</v>
      </c>
      <c r="AP86" s="111"/>
      <c r="AQ86" s="110">
        <f t="shared" si="492"/>
        <v>8.8400000000000034</v>
      </c>
      <c r="AR86" s="110">
        <f t="shared" si="493"/>
        <v>-1.3800000000000239</v>
      </c>
      <c r="AS86" s="110">
        <f t="shared" si="494"/>
        <v>-21.329999999999984</v>
      </c>
      <c r="AT86" s="110">
        <f t="shared" si="495"/>
        <v>0</v>
      </c>
      <c r="AU86" s="110">
        <f t="shared" si="496"/>
        <v>0</v>
      </c>
      <c r="AV86" s="110">
        <f t="shared" si="497"/>
        <v>0</v>
      </c>
      <c r="AW86" s="110">
        <f t="shared" si="498"/>
        <v>0</v>
      </c>
      <c r="AX86" s="110">
        <f t="shared" si="499"/>
        <v>0</v>
      </c>
      <c r="AY86" s="110">
        <f t="shared" si="500"/>
        <v>0</v>
      </c>
      <c r="AZ86" s="110">
        <f t="shared" si="501"/>
        <v>0</v>
      </c>
      <c r="BA86" s="110">
        <f t="shared" si="502"/>
        <v>0</v>
      </c>
      <c r="BB86" s="110">
        <f t="shared" si="503"/>
        <v>0</v>
      </c>
      <c r="BD86" s="109" cm="1">
        <f t="array" ref="BD86">+IFERROR(INDEX($C$3:$AM$3,MATCH(TRUE,INDEX($C86:$AM86&lt;&gt;0,0),0)),"N/A")</f>
        <v>44926</v>
      </c>
      <c r="BE86" s="112"/>
      <c r="BF86" s="1" t="str" cm="1">
        <f t="array" ref="BF86">+_xlfn.IFS(BT86&lt;&gt;0,BT$2,CH86&lt;&gt;0,CH$2,CV86&lt;&gt;0,CV$2,DJ86&lt;&gt;0,DJ$2,TRUE,"")</f>
        <v>Upsell</v>
      </c>
      <c r="BG86" s="1" t="str" cm="1">
        <f t="array" ref="BG86">+_xlfn.IFS(BU86&lt;&gt;0,BU$2,CI86&lt;&gt;0,CI$2,CW86&lt;&gt;0,CW$2,DK86&lt;&gt;0,DK$2,TRUE,"")</f>
        <v>Downsell</v>
      </c>
      <c r="BH86" s="1" t="str" cm="1">
        <f t="array" ref="BH86">+_xlfn.IFS(BV86&lt;&gt;0,BV$2,CJ86&lt;&gt;0,CJ$2,CX86&lt;&gt;0,CX$2,DL86&lt;&gt;0,DL$2,TRUE,"")</f>
        <v>Downsell</v>
      </c>
      <c r="BI86" s="1" t="str" cm="1">
        <f t="array" ref="BI86">+_xlfn.IFS(BW86&lt;&gt;0,BW$2,CK86&lt;&gt;0,CK$2,CY86&lt;&gt;0,CY$2,DM86&lt;&gt;0,DM$2,TRUE,"")</f>
        <v/>
      </c>
      <c r="BJ86" s="1" t="str" cm="1">
        <f t="array" ref="BJ86">+_xlfn.IFS(BX86&lt;&gt;0,BX$2,CL86&lt;&gt;0,CL$2,CZ86&lt;&gt;0,CZ$2,DN86&lt;&gt;0,DN$2,TRUE,"")</f>
        <v/>
      </c>
      <c r="BK86" s="1" t="str" cm="1">
        <f t="array" ref="BK86">+_xlfn.IFS(BY86&lt;&gt;0,BY$2,CM86&lt;&gt;0,CM$2,DA86&lt;&gt;0,DA$2,DO86&lt;&gt;0,DO$2,TRUE,"")</f>
        <v/>
      </c>
      <c r="BL86" s="1" t="str" cm="1">
        <f t="array" ref="BL86">+_xlfn.IFS(BZ86&lt;&gt;0,BZ$2,CN86&lt;&gt;0,CN$2,DB86&lt;&gt;0,DB$2,DP86&lt;&gt;0,DP$2,TRUE,"")</f>
        <v/>
      </c>
      <c r="BM86" s="1" t="str" cm="1">
        <f t="array" ref="BM86">+_xlfn.IFS(CA86&lt;&gt;0,CA$2,CO86&lt;&gt;0,CO$2,DC86&lt;&gt;0,DC$2,DQ86&lt;&gt;0,DQ$2,TRUE,"")</f>
        <v/>
      </c>
      <c r="BN86" s="1" t="str" cm="1">
        <f t="array" ref="BN86">+_xlfn.IFS(CB86&lt;&gt;0,CB$2,CP86&lt;&gt;0,CP$2,DD86&lt;&gt;0,DD$2,DR86&lt;&gt;0,DR$2,TRUE,"")</f>
        <v/>
      </c>
      <c r="BO86" s="1" t="str" cm="1">
        <f t="array" ref="BO86">+_xlfn.IFS(CC86&lt;&gt;0,CC$2,CQ86&lt;&gt;0,CQ$2,DE86&lt;&gt;0,DE$2,DS86&lt;&gt;0,DS$2,TRUE,"")</f>
        <v/>
      </c>
      <c r="BP86" s="1" t="str" cm="1">
        <f t="array" ref="BP86">+_xlfn.IFS(CD86&lt;&gt;0,CD$2,CR86&lt;&gt;0,CR$2,DF86&lt;&gt;0,DF$2,DT86&lt;&gt;0,DT$2,TRUE,"")</f>
        <v/>
      </c>
      <c r="BQ86" s="1" t="str" cm="1">
        <f t="array" ref="BQ86">+_xlfn.IFS(CE86&lt;&gt;0,CE$2,CS86&lt;&gt;0,CS$2,DG86&lt;&gt;0,DG$2,DU86&lt;&gt;0,DU$2,TRUE,"")</f>
        <v/>
      </c>
      <c r="BS86" s="111"/>
      <c r="BT86" s="110">
        <f t="shared" si="504"/>
        <v>0</v>
      </c>
      <c r="BU86" s="110">
        <f t="shared" si="505"/>
        <v>0</v>
      </c>
      <c r="BV86" s="110">
        <f t="shared" si="506"/>
        <v>0</v>
      </c>
      <c r="BW86" s="110">
        <f t="shared" si="507"/>
        <v>0</v>
      </c>
      <c r="BX86" s="110">
        <f t="shared" si="508"/>
        <v>0</v>
      </c>
      <c r="BY86" s="110">
        <f t="shared" si="509"/>
        <v>0</v>
      </c>
      <c r="BZ86" s="110">
        <f t="shared" si="510"/>
        <v>0</v>
      </c>
      <c r="CA86" s="110">
        <f t="shared" si="511"/>
        <v>0</v>
      </c>
      <c r="CB86" s="110">
        <f t="shared" si="512"/>
        <v>0</v>
      </c>
      <c r="CC86" s="110">
        <f t="shared" si="513"/>
        <v>0</v>
      </c>
      <c r="CD86" s="110">
        <f t="shared" si="514"/>
        <v>0</v>
      </c>
      <c r="CE86" s="110">
        <f t="shared" si="515"/>
        <v>0</v>
      </c>
      <c r="CG86" s="111"/>
      <c r="CH86" s="110">
        <f t="shared" si="516"/>
        <v>0</v>
      </c>
      <c r="CI86" s="110">
        <f t="shared" si="517"/>
        <v>0</v>
      </c>
      <c r="CJ86" s="110">
        <f t="shared" si="518"/>
        <v>0</v>
      </c>
      <c r="CK86" s="110">
        <f t="shared" si="519"/>
        <v>0</v>
      </c>
      <c r="CL86" s="110">
        <f t="shared" si="520"/>
        <v>0</v>
      </c>
      <c r="CM86" s="110">
        <f t="shared" si="521"/>
        <v>0</v>
      </c>
      <c r="CN86" s="110">
        <f t="shared" si="522"/>
        <v>0</v>
      </c>
      <c r="CO86" s="110">
        <f t="shared" si="523"/>
        <v>0</v>
      </c>
      <c r="CP86" s="110">
        <f t="shared" si="524"/>
        <v>0</v>
      </c>
      <c r="CQ86" s="110">
        <f t="shared" si="525"/>
        <v>0</v>
      </c>
      <c r="CR86" s="110">
        <f t="shared" si="526"/>
        <v>0</v>
      </c>
      <c r="CS86" s="110">
        <f t="shared" si="527"/>
        <v>0</v>
      </c>
      <c r="CU86" s="111"/>
      <c r="CV86" s="110">
        <f t="shared" si="528"/>
        <v>0</v>
      </c>
      <c r="CW86" s="110">
        <f t="shared" si="529"/>
        <v>-1.3800000000000239</v>
      </c>
      <c r="CX86" s="110">
        <f t="shared" si="530"/>
        <v>-21.329999999999984</v>
      </c>
      <c r="CY86" s="110">
        <f t="shared" si="531"/>
        <v>0</v>
      </c>
      <c r="CZ86" s="110">
        <f t="shared" si="532"/>
        <v>0</v>
      </c>
      <c r="DA86" s="110">
        <f t="shared" si="533"/>
        <v>0</v>
      </c>
      <c r="DB86" s="110">
        <f t="shared" si="534"/>
        <v>0</v>
      </c>
      <c r="DC86" s="110">
        <f t="shared" si="535"/>
        <v>0</v>
      </c>
      <c r="DD86" s="110">
        <f t="shared" si="536"/>
        <v>0</v>
      </c>
      <c r="DE86" s="110">
        <f t="shared" si="537"/>
        <v>0</v>
      </c>
      <c r="DF86" s="110">
        <f t="shared" si="538"/>
        <v>0</v>
      </c>
      <c r="DG86" s="110">
        <f t="shared" si="539"/>
        <v>0</v>
      </c>
      <c r="DI86" s="111"/>
      <c r="DJ86" s="110">
        <f t="shared" si="540"/>
        <v>8.8400000000000034</v>
      </c>
      <c r="DK86" s="110">
        <f t="shared" si="541"/>
        <v>0</v>
      </c>
      <c r="DL86" s="110">
        <f t="shared" si="542"/>
        <v>0</v>
      </c>
      <c r="DM86" s="110">
        <f t="shared" si="543"/>
        <v>0</v>
      </c>
      <c r="DN86" s="110">
        <f t="shared" si="544"/>
        <v>0</v>
      </c>
      <c r="DO86" s="110">
        <f t="shared" si="545"/>
        <v>0</v>
      </c>
      <c r="DP86" s="110">
        <f t="shared" si="546"/>
        <v>0</v>
      </c>
      <c r="DQ86" s="110">
        <f t="shared" si="547"/>
        <v>0</v>
      </c>
      <c r="DR86" s="110">
        <f t="shared" si="548"/>
        <v>0</v>
      </c>
      <c r="DS86" s="110">
        <f t="shared" si="549"/>
        <v>0</v>
      </c>
      <c r="DT86" s="110">
        <f t="shared" si="550"/>
        <v>0</v>
      </c>
      <c r="DU86" s="110">
        <f t="shared" si="551"/>
        <v>0</v>
      </c>
      <c r="DW86" s="111"/>
      <c r="DX86" s="110">
        <f t="shared" si="552"/>
        <v>0</v>
      </c>
      <c r="DY86" s="110">
        <f t="shared" si="553"/>
        <v>0</v>
      </c>
      <c r="DZ86" s="110">
        <f t="shared" si="554"/>
        <v>0</v>
      </c>
      <c r="EA86" s="110">
        <f t="shared" si="555"/>
        <v>0</v>
      </c>
      <c r="EB86" s="110">
        <f t="shared" si="556"/>
        <v>0</v>
      </c>
      <c r="EC86" s="110">
        <f t="shared" si="557"/>
        <v>0</v>
      </c>
      <c r="ED86" s="110">
        <f t="shared" si="558"/>
        <v>0</v>
      </c>
      <c r="EE86" s="110">
        <f t="shared" si="559"/>
        <v>0</v>
      </c>
      <c r="EF86" s="110">
        <f t="shared" si="560"/>
        <v>0</v>
      </c>
      <c r="EG86" s="110">
        <f t="shared" si="561"/>
        <v>0</v>
      </c>
      <c r="EH86" s="110">
        <f t="shared" si="562"/>
        <v>0</v>
      </c>
      <c r="EI86" s="110">
        <f t="shared" si="563"/>
        <v>0</v>
      </c>
      <c r="EK86" s="111"/>
      <c r="EL86" s="110">
        <f t="shared" si="564"/>
        <v>-13.870000000000005</v>
      </c>
      <c r="EM86" s="110">
        <f t="shared" si="565"/>
        <v>0</v>
      </c>
      <c r="EN86" s="110">
        <f t="shared" si="566"/>
        <v>0</v>
      </c>
      <c r="EP86" s="109" cm="1">
        <f t="array" ref="EP86">+IFERROR(INDEX($C$3:$AM$3,MATCH(TRUE,INDEX($C86:$AM86&lt;&gt;0,0),0)),"N/A")</f>
        <v>44926</v>
      </c>
      <c r="EQ86" s="112"/>
      <c r="ER86" s="1" t="str" cm="1">
        <f t="array" ref="ER86">+_xlfn.IFS(EW86&lt;&gt;0,EW$2,FB86&lt;&gt;0,FB$2,FG86&lt;&gt;0,FG$2,FL86&lt;&gt;0,FL$2,TRUE,"")</f>
        <v>Downsell</v>
      </c>
      <c r="ES86" s="1" t="str" cm="1">
        <f t="array" ref="ES86">+_xlfn.IFS(EX86&lt;&gt;0,EX$2,FC86&lt;&gt;0,FC$2,FH86&lt;&gt;0,FH$2,FM86&lt;&gt;0,FM$2,TRUE,"")</f>
        <v/>
      </c>
      <c r="ET86" s="1" t="str" cm="1">
        <f t="array" ref="ET86">+_xlfn.IFS(EY86&lt;&gt;0,EY$2,FD86&lt;&gt;0,FD$2,FI86&lt;&gt;0,FI$2,FN86&lt;&gt;0,FN$2,TRUE,"")</f>
        <v/>
      </c>
      <c r="EV86" s="111"/>
      <c r="EW86" s="110">
        <f t="shared" si="567"/>
        <v>0</v>
      </c>
      <c r="EX86" s="110">
        <f t="shared" si="568"/>
        <v>0</v>
      </c>
      <c r="EY86" s="110">
        <f t="shared" si="569"/>
        <v>0</v>
      </c>
      <c r="FA86" s="111"/>
      <c r="FB86" s="110">
        <f t="shared" si="570"/>
        <v>0</v>
      </c>
      <c r="FC86" s="110">
        <f t="shared" si="571"/>
        <v>0</v>
      </c>
      <c r="FD86" s="110">
        <f t="shared" si="572"/>
        <v>0</v>
      </c>
      <c r="FF86" s="111"/>
      <c r="FG86" s="110">
        <f t="shared" si="573"/>
        <v>-13.870000000000005</v>
      </c>
      <c r="FH86" s="110">
        <f t="shared" si="574"/>
        <v>0</v>
      </c>
      <c r="FI86" s="110">
        <f t="shared" si="575"/>
        <v>0</v>
      </c>
      <c r="FK86" s="111"/>
      <c r="FL86" s="110">
        <f t="shared" si="576"/>
        <v>0</v>
      </c>
      <c r="FM86" s="110">
        <f t="shared" si="577"/>
        <v>0</v>
      </c>
      <c r="FN86" s="110">
        <f t="shared" si="578"/>
        <v>0</v>
      </c>
      <c r="FP86" s="111"/>
      <c r="FQ86" s="110">
        <f t="shared" si="579"/>
        <v>0</v>
      </c>
      <c r="FR86" s="110">
        <f t="shared" si="580"/>
        <v>0</v>
      </c>
      <c r="FS86" s="110">
        <f t="shared" si="581"/>
        <v>0</v>
      </c>
      <c r="FU86" s="111">
        <f t="shared" si="582"/>
        <v>-13.870000000000005</v>
      </c>
      <c r="FV86" s="110">
        <f t="shared" si="583"/>
        <v>-13.870000000000005</v>
      </c>
      <c r="FW86" s="110">
        <f t="shared" si="584"/>
        <v>-19.310000000000002</v>
      </c>
      <c r="FX86" s="110">
        <f t="shared" si="585"/>
        <v>-22.710000000000008</v>
      </c>
      <c r="FY86" s="110">
        <f t="shared" si="586"/>
        <v>-20.159999999999997</v>
      </c>
      <c r="FZ86" s="110">
        <f t="shared" si="587"/>
        <v>-12.490000000000009</v>
      </c>
      <c r="GA86" s="110">
        <f t="shared" si="588"/>
        <v>-21.329999999999984</v>
      </c>
      <c r="GB86" s="110">
        <f t="shared" si="589"/>
        <v>0</v>
      </c>
      <c r="GC86" s="110">
        <f t="shared" si="590"/>
        <v>0</v>
      </c>
      <c r="GD86" s="110">
        <f t="shared" si="591"/>
        <v>0</v>
      </c>
      <c r="GE86" s="110">
        <f t="shared" si="592"/>
        <v>0</v>
      </c>
      <c r="GF86" s="110">
        <f t="shared" si="593"/>
        <v>0</v>
      </c>
      <c r="GG86" s="110">
        <f t="shared" si="594"/>
        <v>0</v>
      </c>
      <c r="GH86" s="110">
        <f t="shared" si="595"/>
        <v>0</v>
      </c>
      <c r="GI86" s="110">
        <f t="shared" si="596"/>
        <v>0</v>
      </c>
      <c r="GJ86" s="110">
        <f t="shared" si="597"/>
        <v>0</v>
      </c>
      <c r="GK86" s="110">
        <f t="shared" si="598"/>
        <v>0</v>
      </c>
      <c r="GL86" s="110">
        <f t="shared" si="599"/>
        <v>0</v>
      </c>
      <c r="GM86" s="110">
        <f t="shared" si="600"/>
        <v>0</v>
      </c>
      <c r="GN86" s="110">
        <f t="shared" si="601"/>
        <v>0</v>
      </c>
      <c r="GO86" s="110">
        <f t="shared" si="602"/>
        <v>0</v>
      </c>
      <c r="GP86" s="110">
        <f t="shared" si="603"/>
        <v>0</v>
      </c>
      <c r="GQ86" s="110">
        <f t="shared" si="604"/>
        <v>0</v>
      </c>
      <c r="GR86" s="110">
        <f t="shared" si="605"/>
        <v>0</v>
      </c>
      <c r="GS86" s="110">
        <f t="shared" si="606"/>
        <v>0</v>
      </c>
      <c r="GU86" s="109" cm="1">
        <f t="array" ref="GU86">+IFERROR(INDEX($C$3:$AM$3,MATCH(TRUE,INDEX($C86:$AM86&lt;&gt;0,0),0)),"N/A")</f>
        <v>44926</v>
      </c>
      <c r="GV86" s="112" t="str" cm="1">
        <f t="array" ref="GV86">+_xlfn.IFS(HV86&lt;&gt;0,HV$2,IV86&lt;&gt;0,IV$2,JV86&lt;&gt;0,JV$2,KV86&lt;&gt;0,KV$2,TRUE,"")</f>
        <v>Downsell</v>
      </c>
      <c r="GW86" s="1" t="str" cm="1">
        <f t="array" ref="GW86">+_xlfn.IFS(HW86&lt;&gt;0,HW$2,IW86&lt;&gt;0,IW$2,JW86&lt;&gt;0,JW$2,KW86&lt;&gt;0,KW$2,TRUE,"")</f>
        <v>Downsell</v>
      </c>
      <c r="GX86" s="1" t="str" cm="1">
        <f t="array" ref="GX86">+_xlfn.IFS(HX86&lt;&gt;0,HX$2,IX86&lt;&gt;0,IX$2,JX86&lt;&gt;0,JX$2,KX86&lt;&gt;0,KX$2,TRUE,"")</f>
        <v>Downsell</v>
      </c>
      <c r="GY86" s="1" t="str" cm="1">
        <f t="array" ref="GY86">+_xlfn.IFS(HY86&lt;&gt;0,HY$2,IY86&lt;&gt;0,IY$2,JY86&lt;&gt;0,JY$2,KY86&lt;&gt;0,KY$2,TRUE,"")</f>
        <v>Downsell</v>
      </c>
      <c r="GZ86" s="1" t="str" cm="1">
        <f t="array" ref="GZ86">+_xlfn.IFS(HZ86&lt;&gt;0,HZ$2,IZ86&lt;&gt;0,IZ$2,JZ86&lt;&gt;0,JZ$2,KZ86&lt;&gt;0,KZ$2,TRUE,"")</f>
        <v>Downsell</v>
      </c>
      <c r="HA86" s="1" t="str" cm="1">
        <f t="array" ref="HA86">+_xlfn.IFS(IA86&lt;&gt;0,IA$2,JA86&lt;&gt;0,JA$2,KA86&lt;&gt;0,KA$2,LA86&lt;&gt;0,LA$2,TRUE,"")</f>
        <v>Downsell</v>
      </c>
      <c r="HB86" s="1" t="str" cm="1">
        <f t="array" ref="HB86">+_xlfn.IFS(IB86&lt;&gt;0,IB$2,JB86&lt;&gt;0,JB$2,KB86&lt;&gt;0,KB$2,LB86&lt;&gt;0,LB$2,TRUE,"")</f>
        <v>Downsell</v>
      </c>
      <c r="HC86" s="1" t="str" cm="1">
        <f t="array" ref="HC86">+_xlfn.IFS(IC86&lt;&gt;0,IC$2,JC86&lt;&gt;0,JC$2,KC86&lt;&gt;0,KC$2,LC86&lt;&gt;0,LC$2,TRUE,"")</f>
        <v/>
      </c>
      <c r="HD86" s="1" t="str" cm="1">
        <f t="array" ref="HD86">+_xlfn.IFS(ID86&lt;&gt;0,ID$2,JD86&lt;&gt;0,JD$2,KD86&lt;&gt;0,KD$2,LD86&lt;&gt;0,LD$2,TRUE,"")</f>
        <v/>
      </c>
      <c r="HE86" s="1" t="str" cm="1">
        <f t="array" ref="HE86">+_xlfn.IFS(IE86&lt;&gt;0,IE$2,JE86&lt;&gt;0,JE$2,KE86&lt;&gt;0,KE$2,LE86&lt;&gt;0,LE$2,TRUE,"")</f>
        <v/>
      </c>
      <c r="HF86" s="1" t="str" cm="1">
        <f t="array" ref="HF86">+_xlfn.IFS(IF86&lt;&gt;0,IF$2,JF86&lt;&gt;0,JF$2,KF86&lt;&gt;0,KF$2,LF86&lt;&gt;0,LF$2,TRUE,"")</f>
        <v/>
      </c>
      <c r="HG86" s="1" t="str" cm="1">
        <f t="array" ref="HG86">+_xlfn.IFS(IG86&lt;&gt;0,IG$2,JG86&lt;&gt;0,JG$2,KG86&lt;&gt;0,KG$2,LG86&lt;&gt;0,LG$2,TRUE,"")</f>
        <v/>
      </c>
      <c r="HH86" s="1" t="str" cm="1">
        <f t="array" ref="HH86">+_xlfn.IFS(IH86&lt;&gt;0,IH$2,JH86&lt;&gt;0,JH$2,KH86&lt;&gt;0,KH$2,LH86&lt;&gt;0,LH$2,TRUE,"")</f>
        <v/>
      </c>
      <c r="HI86" s="1" t="str" cm="1">
        <f t="array" ref="HI86">+_xlfn.IFS(II86&lt;&gt;0,II$2,JI86&lt;&gt;0,JI$2,KI86&lt;&gt;0,KI$2,LI86&lt;&gt;0,LI$2,TRUE,"")</f>
        <v/>
      </c>
      <c r="HJ86" s="1" t="str" cm="1">
        <f t="array" ref="HJ86">+_xlfn.IFS(IJ86&lt;&gt;0,IJ$2,JJ86&lt;&gt;0,JJ$2,KJ86&lt;&gt;0,KJ$2,LJ86&lt;&gt;0,LJ$2,TRUE,"")</f>
        <v/>
      </c>
      <c r="HK86" s="1" t="str" cm="1">
        <f t="array" ref="HK86">+_xlfn.IFS(IK86&lt;&gt;0,IK$2,JK86&lt;&gt;0,JK$2,KK86&lt;&gt;0,KK$2,LK86&lt;&gt;0,LK$2,TRUE,"")</f>
        <v/>
      </c>
      <c r="HL86" s="1" t="str" cm="1">
        <f t="array" ref="HL86">+_xlfn.IFS(IL86&lt;&gt;0,IL$2,JL86&lt;&gt;0,JL$2,KL86&lt;&gt;0,KL$2,LL86&lt;&gt;0,LL$2,TRUE,"")</f>
        <v/>
      </c>
      <c r="HM86" s="1" t="str" cm="1">
        <f t="array" ref="HM86">+_xlfn.IFS(IM86&lt;&gt;0,IM$2,JM86&lt;&gt;0,JM$2,KM86&lt;&gt;0,KM$2,LM86&lt;&gt;0,LM$2,TRUE,"")</f>
        <v/>
      </c>
      <c r="HN86" s="1" t="str" cm="1">
        <f t="array" ref="HN86">+_xlfn.IFS(IN86&lt;&gt;0,IN$2,JN86&lt;&gt;0,JN$2,KN86&lt;&gt;0,KN$2,LN86&lt;&gt;0,LN$2,TRUE,"")</f>
        <v/>
      </c>
      <c r="HO86" s="1" t="str" cm="1">
        <f t="array" ref="HO86">+_xlfn.IFS(IO86&lt;&gt;0,IO$2,JO86&lt;&gt;0,JO$2,KO86&lt;&gt;0,KO$2,LO86&lt;&gt;0,LO$2,TRUE,"")</f>
        <v/>
      </c>
      <c r="HP86" s="1" t="str" cm="1">
        <f t="array" ref="HP86">+_xlfn.IFS(IP86&lt;&gt;0,IP$2,JP86&lt;&gt;0,JP$2,KP86&lt;&gt;0,KP$2,LP86&lt;&gt;0,LP$2,TRUE,"")</f>
        <v/>
      </c>
      <c r="HQ86" s="1" t="str" cm="1">
        <f t="array" ref="HQ86">+_xlfn.IFS(IQ86&lt;&gt;0,IQ$2,JQ86&lt;&gt;0,JQ$2,KQ86&lt;&gt;0,KQ$2,LQ86&lt;&gt;0,LQ$2,TRUE,"")</f>
        <v/>
      </c>
      <c r="HR86" s="1" t="str" cm="1">
        <f t="array" ref="HR86">+_xlfn.IFS(IR86&lt;&gt;0,IR$2,JR86&lt;&gt;0,JR$2,KR86&lt;&gt;0,KR$2,LR86&lt;&gt;0,LR$2,TRUE,"")</f>
        <v/>
      </c>
      <c r="HS86" s="1" t="str" cm="1">
        <f t="array" ref="HS86">+_xlfn.IFS(IS86&lt;&gt;0,IS$2,JS86&lt;&gt;0,JS$2,KS86&lt;&gt;0,KS$2,LS86&lt;&gt;0,LS$2,TRUE,"")</f>
        <v/>
      </c>
      <c r="HT86" s="1" t="str" cm="1">
        <f t="array" ref="HT86">+_xlfn.IFS(IT86&lt;&gt;0,IT$2,JT86&lt;&gt;0,JT$2,KT86&lt;&gt;0,KT$2,LT86&lt;&gt;0,LT$2,TRUE,"")</f>
        <v/>
      </c>
      <c r="HV86" s="111">
        <f t="shared" si="607"/>
        <v>0</v>
      </c>
      <c r="HW86" s="110">
        <f t="shared" si="608"/>
        <v>0</v>
      </c>
      <c r="HX86" s="110">
        <f t="shared" si="609"/>
        <v>0</v>
      </c>
      <c r="HY86" s="110">
        <f t="shared" si="610"/>
        <v>0</v>
      </c>
      <c r="HZ86" s="110">
        <f t="shared" si="611"/>
        <v>0</v>
      </c>
      <c r="IA86" s="110">
        <f t="shared" si="612"/>
        <v>0</v>
      </c>
      <c r="IB86" s="110">
        <f t="shared" si="613"/>
        <v>0</v>
      </c>
      <c r="IC86" s="110">
        <f t="shared" si="614"/>
        <v>0</v>
      </c>
      <c r="ID86" s="110">
        <f t="shared" si="615"/>
        <v>0</v>
      </c>
      <c r="IE86" s="110">
        <f t="shared" si="616"/>
        <v>0</v>
      </c>
      <c r="IF86" s="110">
        <f t="shared" si="617"/>
        <v>0</v>
      </c>
      <c r="IG86" s="110">
        <f t="shared" si="618"/>
        <v>0</v>
      </c>
      <c r="IH86" s="110">
        <f t="shared" si="619"/>
        <v>0</v>
      </c>
      <c r="II86" s="110">
        <f t="shared" si="620"/>
        <v>0</v>
      </c>
      <c r="IJ86" s="110">
        <f t="shared" si="621"/>
        <v>0</v>
      </c>
      <c r="IK86" s="110">
        <f t="shared" si="622"/>
        <v>0</v>
      </c>
      <c r="IL86" s="110">
        <f t="shared" si="623"/>
        <v>0</v>
      </c>
      <c r="IM86" s="110">
        <f t="shared" si="624"/>
        <v>0</v>
      </c>
      <c r="IN86" s="110">
        <f t="shared" si="625"/>
        <v>0</v>
      </c>
      <c r="IO86" s="110">
        <f t="shared" si="626"/>
        <v>0</v>
      </c>
      <c r="IP86" s="110">
        <f t="shared" si="627"/>
        <v>0</v>
      </c>
      <c r="IQ86" s="110">
        <f t="shared" si="628"/>
        <v>0</v>
      </c>
      <c r="IR86" s="110">
        <f t="shared" si="629"/>
        <v>0</v>
      </c>
      <c r="IS86" s="110">
        <f t="shared" si="630"/>
        <v>0</v>
      </c>
      <c r="IT86" s="110">
        <f t="shared" si="631"/>
        <v>0</v>
      </c>
      <c r="IV86" s="111">
        <f t="shared" si="632"/>
        <v>0</v>
      </c>
      <c r="IW86" s="110">
        <f t="shared" si="633"/>
        <v>0</v>
      </c>
      <c r="IX86" s="110">
        <f t="shared" si="634"/>
        <v>0</v>
      </c>
      <c r="IY86" s="110">
        <f t="shared" si="635"/>
        <v>0</v>
      </c>
      <c r="IZ86" s="110">
        <f t="shared" si="636"/>
        <v>0</v>
      </c>
      <c r="JA86" s="110">
        <f t="shared" si="637"/>
        <v>0</v>
      </c>
      <c r="JB86" s="110">
        <f t="shared" si="638"/>
        <v>0</v>
      </c>
      <c r="JC86" s="110">
        <f t="shared" si="639"/>
        <v>0</v>
      </c>
      <c r="JD86" s="110">
        <f t="shared" si="640"/>
        <v>0</v>
      </c>
      <c r="JE86" s="110">
        <f t="shared" si="641"/>
        <v>0</v>
      </c>
      <c r="JF86" s="110">
        <f t="shared" si="642"/>
        <v>0</v>
      </c>
      <c r="JG86" s="110">
        <f t="shared" si="643"/>
        <v>0</v>
      </c>
      <c r="JH86" s="110">
        <f t="shared" si="644"/>
        <v>0</v>
      </c>
      <c r="JI86" s="110">
        <f t="shared" si="645"/>
        <v>0</v>
      </c>
      <c r="JJ86" s="110">
        <f t="shared" si="646"/>
        <v>0</v>
      </c>
      <c r="JK86" s="110">
        <f t="shared" si="647"/>
        <v>0</v>
      </c>
      <c r="JL86" s="110">
        <f t="shared" si="648"/>
        <v>0</v>
      </c>
      <c r="JM86" s="110">
        <f t="shared" si="649"/>
        <v>0</v>
      </c>
      <c r="JN86" s="110">
        <f t="shared" si="650"/>
        <v>0</v>
      </c>
      <c r="JO86" s="110">
        <f t="shared" si="651"/>
        <v>0</v>
      </c>
      <c r="JP86" s="110">
        <f t="shared" si="652"/>
        <v>0</v>
      </c>
      <c r="JQ86" s="110">
        <f t="shared" si="653"/>
        <v>0</v>
      </c>
      <c r="JR86" s="110">
        <f t="shared" si="654"/>
        <v>0</v>
      </c>
      <c r="JS86" s="110">
        <f t="shared" si="655"/>
        <v>0</v>
      </c>
      <c r="JT86" s="110">
        <f t="shared" si="656"/>
        <v>0</v>
      </c>
      <c r="JV86" s="111">
        <f t="shared" si="657"/>
        <v>-13.870000000000005</v>
      </c>
      <c r="JW86" s="110">
        <f t="shared" si="658"/>
        <v>-13.870000000000005</v>
      </c>
      <c r="JX86" s="110">
        <f t="shared" si="659"/>
        <v>-19.310000000000002</v>
      </c>
      <c r="JY86" s="110">
        <f t="shared" si="660"/>
        <v>-22.710000000000008</v>
      </c>
      <c r="JZ86" s="110">
        <f t="shared" si="661"/>
        <v>-20.159999999999997</v>
      </c>
      <c r="KA86" s="110">
        <f t="shared" si="662"/>
        <v>-12.490000000000009</v>
      </c>
      <c r="KB86" s="110">
        <f t="shared" si="663"/>
        <v>-21.329999999999984</v>
      </c>
      <c r="KC86" s="110">
        <f t="shared" si="664"/>
        <v>0</v>
      </c>
      <c r="KD86" s="110">
        <f t="shared" si="665"/>
        <v>0</v>
      </c>
      <c r="KE86" s="110">
        <f t="shared" si="666"/>
        <v>0</v>
      </c>
      <c r="KF86" s="110">
        <f t="shared" si="667"/>
        <v>0</v>
      </c>
      <c r="KG86" s="110">
        <f t="shared" si="668"/>
        <v>0</v>
      </c>
      <c r="KH86" s="110">
        <f t="shared" si="669"/>
        <v>0</v>
      </c>
      <c r="KI86" s="110">
        <f t="shared" si="670"/>
        <v>0</v>
      </c>
      <c r="KJ86" s="110">
        <f t="shared" si="671"/>
        <v>0</v>
      </c>
      <c r="KK86" s="110">
        <f t="shared" si="672"/>
        <v>0</v>
      </c>
      <c r="KL86" s="110">
        <f t="shared" si="673"/>
        <v>0</v>
      </c>
      <c r="KM86" s="110">
        <f t="shared" si="674"/>
        <v>0</v>
      </c>
      <c r="KN86" s="110">
        <f t="shared" si="675"/>
        <v>0</v>
      </c>
      <c r="KO86" s="110">
        <f t="shared" si="676"/>
        <v>0</v>
      </c>
      <c r="KP86" s="110">
        <f t="shared" si="677"/>
        <v>0</v>
      </c>
      <c r="KQ86" s="110">
        <f t="shared" si="678"/>
        <v>0</v>
      </c>
      <c r="KR86" s="110">
        <f t="shared" si="679"/>
        <v>0</v>
      </c>
      <c r="KS86" s="110">
        <f t="shared" si="680"/>
        <v>0</v>
      </c>
      <c r="KT86" s="110">
        <f t="shared" si="681"/>
        <v>0</v>
      </c>
      <c r="KV86" s="111">
        <f t="shared" si="682"/>
        <v>0</v>
      </c>
      <c r="KW86" s="110">
        <f t="shared" si="683"/>
        <v>0</v>
      </c>
      <c r="KX86" s="110">
        <f t="shared" si="684"/>
        <v>0</v>
      </c>
      <c r="KY86" s="110">
        <f t="shared" si="685"/>
        <v>0</v>
      </c>
      <c r="KZ86" s="110">
        <f t="shared" si="686"/>
        <v>0</v>
      </c>
      <c r="LA86" s="110">
        <f t="shared" si="687"/>
        <v>0</v>
      </c>
      <c r="LB86" s="110">
        <f t="shared" si="688"/>
        <v>0</v>
      </c>
      <c r="LC86" s="110">
        <f t="shared" si="689"/>
        <v>0</v>
      </c>
      <c r="LD86" s="110">
        <f t="shared" si="690"/>
        <v>0</v>
      </c>
      <c r="LE86" s="110">
        <f t="shared" si="691"/>
        <v>0</v>
      </c>
      <c r="LF86" s="110">
        <f t="shared" si="692"/>
        <v>0</v>
      </c>
      <c r="LG86" s="110">
        <f t="shared" si="693"/>
        <v>0</v>
      </c>
      <c r="LH86" s="110">
        <f t="shared" si="694"/>
        <v>0</v>
      </c>
      <c r="LI86" s="110">
        <f t="shared" si="695"/>
        <v>0</v>
      </c>
      <c r="LJ86" s="110">
        <f t="shared" si="696"/>
        <v>0</v>
      </c>
      <c r="LK86" s="110">
        <f t="shared" si="697"/>
        <v>0</v>
      </c>
      <c r="LL86" s="110">
        <f t="shared" si="698"/>
        <v>0</v>
      </c>
      <c r="LM86" s="110">
        <f t="shared" si="699"/>
        <v>0</v>
      </c>
      <c r="LN86" s="110">
        <f t="shared" si="700"/>
        <v>0</v>
      </c>
      <c r="LO86" s="110">
        <f t="shared" si="701"/>
        <v>0</v>
      </c>
      <c r="LP86" s="110">
        <f t="shared" si="702"/>
        <v>0</v>
      </c>
      <c r="LQ86" s="110">
        <f t="shared" si="703"/>
        <v>0</v>
      </c>
      <c r="LR86" s="110">
        <f t="shared" si="704"/>
        <v>0</v>
      </c>
      <c r="LS86" s="110">
        <f t="shared" si="705"/>
        <v>0</v>
      </c>
      <c r="LT86" s="110">
        <f t="shared" si="706"/>
        <v>0</v>
      </c>
      <c r="LV86" s="111"/>
      <c r="LW86" s="110">
        <f t="shared" si="707"/>
        <v>0</v>
      </c>
      <c r="LX86" s="110">
        <f t="shared" si="708"/>
        <v>0</v>
      </c>
      <c r="LY86" s="110">
        <f t="shared" si="709"/>
        <v>0</v>
      </c>
      <c r="LZ86" s="110">
        <f t="shared" si="710"/>
        <v>0</v>
      </c>
      <c r="MA86" s="110">
        <f t="shared" si="711"/>
        <v>0</v>
      </c>
      <c r="MB86" s="110">
        <f t="shared" si="712"/>
        <v>0</v>
      </c>
      <c r="MC86" s="110">
        <f t="shared" si="713"/>
        <v>0</v>
      </c>
      <c r="MD86" s="110">
        <f t="shared" si="714"/>
        <v>0</v>
      </c>
      <c r="ME86" s="110">
        <f t="shared" si="715"/>
        <v>0</v>
      </c>
      <c r="MF86" s="110">
        <f t="shared" si="716"/>
        <v>0</v>
      </c>
      <c r="MG86" s="110">
        <f t="shared" si="717"/>
        <v>0</v>
      </c>
      <c r="MH86" s="110">
        <f t="shared" si="718"/>
        <v>0</v>
      </c>
      <c r="MI86" s="110">
        <f t="shared" si="719"/>
        <v>0</v>
      </c>
      <c r="MJ86" s="110">
        <f t="shared" si="720"/>
        <v>0</v>
      </c>
      <c r="MK86" s="110">
        <f t="shared" si="721"/>
        <v>0</v>
      </c>
      <c r="ML86" s="110">
        <f t="shared" si="722"/>
        <v>0</v>
      </c>
      <c r="MM86" s="110">
        <f t="shared" si="723"/>
        <v>0</v>
      </c>
      <c r="MN86" s="110">
        <f t="shared" si="724"/>
        <v>0</v>
      </c>
      <c r="MO86" s="110">
        <f t="shared" si="725"/>
        <v>0</v>
      </c>
      <c r="MP86" s="110">
        <f t="shared" si="726"/>
        <v>0</v>
      </c>
      <c r="MQ86" s="110">
        <f t="shared" si="727"/>
        <v>0</v>
      </c>
      <c r="MR86" s="110">
        <f t="shared" si="728"/>
        <v>0</v>
      </c>
      <c r="MS86" s="110">
        <f t="shared" si="729"/>
        <v>0</v>
      </c>
      <c r="MT86" s="110">
        <f t="shared" si="730"/>
        <v>0</v>
      </c>
      <c r="MV86" s="114">
        <v>119</v>
      </c>
      <c r="MW86" s="114">
        <v>0</v>
      </c>
      <c r="MX86" s="114">
        <v>0</v>
      </c>
      <c r="MY86" s="114">
        <v>0</v>
      </c>
      <c r="MZ86" s="114">
        <v>0</v>
      </c>
      <c r="NB86" s="115">
        <v>74</v>
      </c>
      <c r="NC86" s="115" t="str">
        <v>N/A</v>
      </c>
      <c r="ND86" s="115" t="str">
        <v>N/A</v>
      </c>
      <c r="NE86" s="115" t="str">
        <v>N/A</v>
      </c>
      <c r="NF86" s="115" t="str">
        <v>N/A</v>
      </c>
    </row>
    <row r="87" spans="2:370" ht="13.5" x14ac:dyDescent="0.25">
      <c r="B87" s="8">
        <f t="shared" si="731"/>
        <v>84</v>
      </c>
      <c r="C87" s="7">
        <v>118.11999999999999</v>
      </c>
      <c r="D87" s="7">
        <v>118.11999999999999</v>
      </c>
      <c r="E87" s="7">
        <v>116.22</v>
      </c>
      <c r="F87" s="7">
        <v>113.52</v>
      </c>
      <c r="G87" s="7">
        <v>120.01</v>
      </c>
      <c r="H87" s="7">
        <v>117.67</v>
      </c>
      <c r="I87" s="7">
        <v>115.78999999999999</v>
      </c>
      <c r="J87" s="7">
        <v>109</v>
      </c>
      <c r="K87" s="7">
        <v>109</v>
      </c>
      <c r="L87" s="7">
        <v>109</v>
      </c>
      <c r="M87" s="7">
        <v>109</v>
      </c>
      <c r="N87" s="7">
        <v>109</v>
      </c>
      <c r="O87" s="7">
        <v>109</v>
      </c>
      <c r="P87" s="7">
        <v>109</v>
      </c>
      <c r="Q87" s="7">
        <v>109</v>
      </c>
      <c r="R87" s="7">
        <v>109</v>
      </c>
      <c r="S87" s="7">
        <v>109</v>
      </c>
      <c r="T87" s="7">
        <v>109</v>
      </c>
      <c r="U87" s="7">
        <v>109</v>
      </c>
      <c r="V87" s="7">
        <v>109</v>
      </c>
      <c r="W87" s="7">
        <v>109</v>
      </c>
      <c r="X87" s="7">
        <v>109</v>
      </c>
      <c r="Y87" s="7">
        <v>109</v>
      </c>
      <c r="Z87" s="7">
        <v>109</v>
      </c>
      <c r="AA87" s="7">
        <v>109</v>
      </c>
      <c r="AB87" s="7">
        <v>109</v>
      </c>
      <c r="AC87" s="7">
        <v>109</v>
      </c>
      <c r="AD87" s="7">
        <v>109</v>
      </c>
      <c r="AE87" s="7">
        <v>109</v>
      </c>
      <c r="AF87" s="7">
        <v>109</v>
      </c>
      <c r="AG87" s="7">
        <v>109</v>
      </c>
      <c r="AH87" s="7">
        <v>109</v>
      </c>
      <c r="AI87" s="7">
        <v>109</v>
      </c>
      <c r="AJ87" s="7">
        <v>109</v>
      </c>
      <c r="AK87" s="7">
        <v>109</v>
      </c>
      <c r="AL87" s="7">
        <v>109</v>
      </c>
      <c r="AM87" s="7">
        <v>109</v>
      </c>
      <c r="AN87" s="27">
        <v>84</v>
      </c>
      <c r="AP87" s="111"/>
      <c r="AQ87" s="110">
        <f t="shared" si="492"/>
        <v>-4.5999999999999943</v>
      </c>
      <c r="AR87" s="110">
        <f t="shared" si="493"/>
        <v>2.269999999999996</v>
      </c>
      <c r="AS87" s="110">
        <f t="shared" si="494"/>
        <v>-6.789999999999992</v>
      </c>
      <c r="AT87" s="110">
        <f t="shared" si="495"/>
        <v>0</v>
      </c>
      <c r="AU87" s="110">
        <f t="shared" si="496"/>
        <v>0</v>
      </c>
      <c r="AV87" s="110">
        <f t="shared" si="497"/>
        <v>0</v>
      </c>
      <c r="AW87" s="110">
        <f t="shared" si="498"/>
        <v>0</v>
      </c>
      <c r="AX87" s="110">
        <f t="shared" si="499"/>
        <v>0</v>
      </c>
      <c r="AY87" s="110">
        <f t="shared" si="500"/>
        <v>0</v>
      </c>
      <c r="AZ87" s="110">
        <f t="shared" si="501"/>
        <v>0</v>
      </c>
      <c r="BA87" s="110">
        <f t="shared" si="502"/>
        <v>0</v>
      </c>
      <c r="BB87" s="110">
        <f t="shared" si="503"/>
        <v>0</v>
      </c>
      <c r="BD87" s="109" cm="1">
        <f t="array" ref="BD87">+IFERROR(INDEX($C$3:$AM$3,MATCH(TRUE,INDEX($C87:$AM87&lt;&gt;0,0),0)),"N/A")</f>
        <v>44926</v>
      </c>
      <c r="BE87" s="112"/>
      <c r="BF87" s="1" t="str" cm="1">
        <f t="array" ref="BF87">+_xlfn.IFS(BT87&lt;&gt;0,BT$2,CH87&lt;&gt;0,CH$2,CV87&lt;&gt;0,CV$2,DJ87&lt;&gt;0,DJ$2,TRUE,"")</f>
        <v>Downsell</v>
      </c>
      <c r="BG87" s="1" t="str" cm="1">
        <f t="array" ref="BG87">+_xlfn.IFS(BU87&lt;&gt;0,BU$2,CI87&lt;&gt;0,CI$2,CW87&lt;&gt;0,CW$2,DK87&lt;&gt;0,DK$2,TRUE,"")</f>
        <v>Upsell</v>
      </c>
      <c r="BH87" s="1" t="str" cm="1">
        <f t="array" ref="BH87">+_xlfn.IFS(BV87&lt;&gt;0,BV$2,CJ87&lt;&gt;0,CJ$2,CX87&lt;&gt;0,CX$2,DL87&lt;&gt;0,DL$2,TRUE,"")</f>
        <v>Downsell</v>
      </c>
      <c r="BI87" s="1" t="str" cm="1">
        <f t="array" ref="BI87">+_xlfn.IFS(BW87&lt;&gt;0,BW$2,CK87&lt;&gt;0,CK$2,CY87&lt;&gt;0,CY$2,DM87&lt;&gt;0,DM$2,TRUE,"")</f>
        <v/>
      </c>
      <c r="BJ87" s="1" t="str" cm="1">
        <f t="array" ref="BJ87">+_xlfn.IFS(BX87&lt;&gt;0,BX$2,CL87&lt;&gt;0,CL$2,CZ87&lt;&gt;0,CZ$2,DN87&lt;&gt;0,DN$2,TRUE,"")</f>
        <v/>
      </c>
      <c r="BK87" s="1" t="str" cm="1">
        <f t="array" ref="BK87">+_xlfn.IFS(BY87&lt;&gt;0,BY$2,CM87&lt;&gt;0,CM$2,DA87&lt;&gt;0,DA$2,DO87&lt;&gt;0,DO$2,TRUE,"")</f>
        <v/>
      </c>
      <c r="BL87" s="1" t="str" cm="1">
        <f t="array" ref="BL87">+_xlfn.IFS(BZ87&lt;&gt;0,BZ$2,CN87&lt;&gt;0,CN$2,DB87&lt;&gt;0,DB$2,DP87&lt;&gt;0,DP$2,TRUE,"")</f>
        <v/>
      </c>
      <c r="BM87" s="1" t="str" cm="1">
        <f t="array" ref="BM87">+_xlfn.IFS(CA87&lt;&gt;0,CA$2,CO87&lt;&gt;0,CO$2,DC87&lt;&gt;0,DC$2,DQ87&lt;&gt;0,DQ$2,TRUE,"")</f>
        <v/>
      </c>
      <c r="BN87" s="1" t="str" cm="1">
        <f t="array" ref="BN87">+_xlfn.IFS(CB87&lt;&gt;0,CB$2,CP87&lt;&gt;0,CP$2,DD87&lt;&gt;0,DD$2,DR87&lt;&gt;0,DR$2,TRUE,"")</f>
        <v/>
      </c>
      <c r="BO87" s="1" t="str" cm="1">
        <f t="array" ref="BO87">+_xlfn.IFS(CC87&lt;&gt;0,CC$2,CQ87&lt;&gt;0,CQ$2,DE87&lt;&gt;0,DE$2,DS87&lt;&gt;0,DS$2,TRUE,"")</f>
        <v/>
      </c>
      <c r="BP87" s="1" t="str" cm="1">
        <f t="array" ref="BP87">+_xlfn.IFS(CD87&lt;&gt;0,CD$2,CR87&lt;&gt;0,CR$2,DF87&lt;&gt;0,DF$2,DT87&lt;&gt;0,DT$2,TRUE,"")</f>
        <v/>
      </c>
      <c r="BQ87" s="1" t="str" cm="1">
        <f t="array" ref="BQ87">+_xlfn.IFS(CE87&lt;&gt;0,CE$2,CS87&lt;&gt;0,CS$2,DG87&lt;&gt;0,DG$2,DU87&lt;&gt;0,DU$2,TRUE,"")</f>
        <v/>
      </c>
      <c r="BS87" s="111"/>
      <c r="BT87" s="110">
        <f t="shared" si="504"/>
        <v>0</v>
      </c>
      <c r="BU87" s="110">
        <f t="shared" si="505"/>
        <v>0</v>
      </c>
      <c r="BV87" s="110">
        <f t="shared" si="506"/>
        <v>0</v>
      </c>
      <c r="BW87" s="110">
        <f t="shared" si="507"/>
        <v>0</v>
      </c>
      <c r="BX87" s="110">
        <f t="shared" si="508"/>
        <v>0</v>
      </c>
      <c r="BY87" s="110">
        <f t="shared" si="509"/>
        <v>0</v>
      </c>
      <c r="BZ87" s="110">
        <f t="shared" si="510"/>
        <v>0</v>
      </c>
      <c r="CA87" s="110">
        <f t="shared" si="511"/>
        <v>0</v>
      </c>
      <c r="CB87" s="110">
        <f t="shared" si="512"/>
        <v>0</v>
      </c>
      <c r="CC87" s="110">
        <f t="shared" si="513"/>
        <v>0</v>
      </c>
      <c r="CD87" s="110">
        <f t="shared" si="514"/>
        <v>0</v>
      </c>
      <c r="CE87" s="110">
        <f t="shared" si="515"/>
        <v>0</v>
      </c>
      <c r="CG87" s="111"/>
      <c r="CH87" s="110">
        <f t="shared" si="516"/>
        <v>0</v>
      </c>
      <c r="CI87" s="110">
        <f t="shared" si="517"/>
        <v>0</v>
      </c>
      <c r="CJ87" s="110">
        <f t="shared" si="518"/>
        <v>0</v>
      </c>
      <c r="CK87" s="110">
        <f t="shared" si="519"/>
        <v>0</v>
      </c>
      <c r="CL87" s="110">
        <f t="shared" si="520"/>
        <v>0</v>
      </c>
      <c r="CM87" s="110">
        <f t="shared" si="521"/>
        <v>0</v>
      </c>
      <c r="CN87" s="110">
        <f t="shared" si="522"/>
        <v>0</v>
      </c>
      <c r="CO87" s="110">
        <f t="shared" si="523"/>
        <v>0</v>
      </c>
      <c r="CP87" s="110">
        <f t="shared" si="524"/>
        <v>0</v>
      </c>
      <c r="CQ87" s="110">
        <f t="shared" si="525"/>
        <v>0</v>
      </c>
      <c r="CR87" s="110">
        <f t="shared" si="526"/>
        <v>0</v>
      </c>
      <c r="CS87" s="110">
        <f t="shared" si="527"/>
        <v>0</v>
      </c>
      <c r="CU87" s="111"/>
      <c r="CV87" s="110">
        <f t="shared" si="528"/>
        <v>-4.5999999999999943</v>
      </c>
      <c r="CW87" s="110">
        <f t="shared" si="529"/>
        <v>0</v>
      </c>
      <c r="CX87" s="110">
        <f t="shared" si="530"/>
        <v>-6.789999999999992</v>
      </c>
      <c r="CY87" s="110">
        <f t="shared" si="531"/>
        <v>0</v>
      </c>
      <c r="CZ87" s="110">
        <f t="shared" si="532"/>
        <v>0</v>
      </c>
      <c r="DA87" s="110">
        <f t="shared" si="533"/>
        <v>0</v>
      </c>
      <c r="DB87" s="110">
        <f t="shared" si="534"/>
        <v>0</v>
      </c>
      <c r="DC87" s="110">
        <f t="shared" si="535"/>
        <v>0</v>
      </c>
      <c r="DD87" s="110">
        <f t="shared" si="536"/>
        <v>0</v>
      </c>
      <c r="DE87" s="110">
        <f t="shared" si="537"/>
        <v>0</v>
      </c>
      <c r="DF87" s="110">
        <f t="shared" si="538"/>
        <v>0</v>
      </c>
      <c r="DG87" s="110">
        <f t="shared" si="539"/>
        <v>0</v>
      </c>
      <c r="DI87" s="111"/>
      <c r="DJ87" s="110">
        <f t="shared" si="540"/>
        <v>0</v>
      </c>
      <c r="DK87" s="110">
        <f t="shared" si="541"/>
        <v>2.269999999999996</v>
      </c>
      <c r="DL87" s="110">
        <f t="shared" si="542"/>
        <v>0</v>
      </c>
      <c r="DM87" s="110">
        <f t="shared" si="543"/>
        <v>0</v>
      </c>
      <c r="DN87" s="110">
        <f t="shared" si="544"/>
        <v>0</v>
      </c>
      <c r="DO87" s="110">
        <f t="shared" si="545"/>
        <v>0</v>
      </c>
      <c r="DP87" s="110">
        <f t="shared" si="546"/>
        <v>0</v>
      </c>
      <c r="DQ87" s="110">
        <f t="shared" si="547"/>
        <v>0</v>
      </c>
      <c r="DR87" s="110">
        <f t="shared" si="548"/>
        <v>0</v>
      </c>
      <c r="DS87" s="110">
        <f t="shared" si="549"/>
        <v>0</v>
      </c>
      <c r="DT87" s="110">
        <f t="shared" si="550"/>
        <v>0</v>
      </c>
      <c r="DU87" s="110">
        <f t="shared" si="551"/>
        <v>0</v>
      </c>
      <c r="DW87" s="111"/>
      <c r="DX87" s="110">
        <f t="shared" si="552"/>
        <v>0</v>
      </c>
      <c r="DY87" s="110">
        <f t="shared" si="553"/>
        <v>0</v>
      </c>
      <c r="DZ87" s="110">
        <f t="shared" si="554"/>
        <v>0</v>
      </c>
      <c r="EA87" s="110">
        <f t="shared" si="555"/>
        <v>0</v>
      </c>
      <c r="EB87" s="110">
        <f t="shared" si="556"/>
        <v>0</v>
      </c>
      <c r="EC87" s="110">
        <f t="shared" si="557"/>
        <v>0</v>
      </c>
      <c r="ED87" s="110">
        <f t="shared" si="558"/>
        <v>0</v>
      </c>
      <c r="EE87" s="110">
        <f t="shared" si="559"/>
        <v>0</v>
      </c>
      <c r="EF87" s="110">
        <f t="shared" si="560"/>
        <v>0</v>
      </c>
      <c r="EG87" s="110">
        <f t="shared" si="561"/>
        <v>0</v>
      </c>
      <c r="EH87" s="110">
        <f t="shared" si="562"/>
        <v>0</v>
      </c>
      <c r="EI87" s="110">
        <f t="shared" si="563"/>
        <v>0</v>
      </c>
      <c r="EK87" s="111"/>
      <c r="EL87" s="110">
        <f t="shared" si="564"/>
        <v>-9.1199999999999903</v>
      </c>
      <c r="EM87" s="110">
        <f t="shared" si="565"/>
        <v>0</v>
      </c>
      <c r="EN87" s="110">
        <f t="shared" si="566"/>
        <v>0</v>
      </c>
      <c r="EP87" s="109" cm="1">
        <f t="array" ref="EP87">+IFERROR(INDEX($C$3:$AM$3,MATCH(TRUE,INDEX($C87:$AM87&lt;&gt;0,0),0)),"N/A")</f>
        <v>44926</v>
      </c>
      <c r="EQ87" s="112"/>
      <c r="ER87" s="1" t="str" cm="1">
        <f t="array" ref="ER87">+_xlfn.IFS(EW87&lt;&gt;0,EW$2,FB87&lt;&gt;0,FB$2,FG87&lt;&gt;0,FG$2,FL87&lt;&gt;0,FL$2,TRUE,"")</f>
        <v>Downsell</v>
      </c>
      <c r="ES87" s="1" t="str" cm="1">
        <f t="array" ref="ES87">+_xlfn.IFS(EX87&lt;&gt;0,EX$2,FC87&lt;&gt;0,FC$2,FH87&lt;&gt;0,FH$2,FM87&lt;&gt;0,FM$2,TRUE,"")</f>
        <v/>
      </c>
      <c r="ET87" s="1" t="str" cm="1">
        <f t="array" ref="ET87">+_xlfn.IFS(EY87&lt;&gt;0,EY$2,FD87&lt;&gt;0,FD$2,FI87&lt;&gt;0,FI$2,FN87&lt;&gt;0,FN$2,TRUE,"")</f>
        <v/>
      </c>
      <c r="EV87" s="111"/>
      <c r="EW87" s="110">
        <f t="shared" si="567"/>
        <v>0</v>
      </c>
      <c r="EX87" s="110">
        <f t="shared" si="568"/>
        <v>0</v>
      </c>
      <c r="EY87" s="110">
        <f t="shared" si="569"/>
        <v>0</v>
      </c>
      <c r="FA87" s="111"/>
      <c r="FB87" s="110">
        <f t="shared" si="570"/>
        <v>0</v>
      </c>
      <c r="FC87" s="110">
        <f t="shared" si="571"/>
        <v>0</v>
      </c>
      <c r="FD87" s="110">
        <f t="shared" si="572"/>
        <v>0</v>
      </c>
      <c r="FF87" s="111"/>
      <c r="FG87" s="110">
        <f t="shared" si="573"/>
        <v>-9.1199999999999903</v>
      </c>
      <c r="FH87" s="110">
        <f t="shared" si="574"/>
        <v>0</v>
      </c>
      <c r="FI87" s="110">
        <f t="shared" si="575"/>
        <v>0</v>
      </c>
      <c r="FK87" s="111"/>
      <c r="FL87" s="110">
        <f t="shared" si="576"/>
        <v>0</v>
      </c>
      <c r="FM87" s="110">
        <f t="shared" si="577"/>
        <v>0</v>
      </c>
      <c r="FN87" s="110">
        <f t="shared" si="578"/>
        <v>0</v>
      </c>
      <c r="FP87" s="111"/>
      <c r="FQ87" s="110">
        <f t="shared" si="579"/>
        <v>0</v>
      </c>
      <c r="FR87" s="110">
        <f t="shared" si="580"/>
        <v>0</v>
      </c>
      <c r="FS87" s="110">
        <f t="shared" si="581"/>
        <v>0</v>
      </c>
      <c r="FU87" s="111">
        <f t="shared" si="582"/>
        <v>-9.1199999999999903</v>
      </c>
      <c r="FV87" s="110">
        <f t="shared" si="583"/>
        <v>-9.1199999999999903</v>
      </c>
      <c r="FW87" s="110">
        <f t="shared" si="584"/>
        <v>-7.2199999999999989</v>
      </c>
      <c r="FX87" s="110">
        <f t="shared" si="585"/>
        <v>-4.519999999999996</v>
      </c>
      <c r="FY87" s="110">
        <f t="shared" si="586"/>
        <v>-11.010000000000005</v>
      </c>
      <c r="FZ87" s="110">
        <f t="shared" si="587"/>
        <v>-8.6700000000000017</v>
      </c>
      <c r="GA87" s="110">
        <f t="shared" si="588"/>
        <v>-6.789999999999992</v>
      </c>
      <c r="GB87" s="110">
        <f t="shared" si="589"/>
        <v>0</v>
      </c>
      <c r="GC87" s="110">
        <f t="shared" si="590"/>
        <v>0</v>
      </c>
      <c r="GD87" s="110">
        <f t="shared" si="591"/>
        <v>0</v>
      </c>
      <c r="GE87" s="110">
        <f t="shared" si="592"/>
        <v>0</v>
      </c>
      <c r="GF87" s="110">
        <f t="shared" si="593"/>
        <v>0</v>
      </c>
      <c r="GG87" s="110">
        <f t="shared" si="594"/>
        <v>0</v>
      </c>
      <c r="GH87" s="110">
        <f t="shared" si="595"/>
        <v>0</v>
      </c>
      <c r="GI87" s="110">
        <f t="shared" si="596"/>
        <v>0</v>
      </c>
      <c r="GJ87" s="110">
        <f t="shared" si="597"/>
        <v>0</v>
      </c>
      <c r="GK87" s="110">
        <f t="shared" si="598"/>
        <v>0</v>
      </c>
      <c r="GL87" s="110">
        <f t="shared" si="599"/>
        <v>0</v>
      </c>
      <c r="GM87" s="110">
        <f t="shared" si="600"/>
        <v>0</v>
      </c>
      <c r="GN87" s="110">
        <f t="shared" si="601"/>
        <v>0</v>
      </c>
      <c r="GO87" s="110">
        <f t="shared" si="602"/>
        <v>0</v>
      </c>
      <c r="GP87" s="110">
        <f t="shared" si="603"/>
        <v>0</v>
      </c>
      <c r="GQ87" s="110">
        <f t="shared" si="604"/>
        <v>0</v>
      </c>
      <c r="GR87" s="110">
        <f t="shared" si="605"/>
        <v>0</v>
      </c>
      <c r="GS87" s="110">
        <f t="shared" si="606"/>
        <v>0</v>
      </c>
      <c r="GU87" s="109" cm="1">
        <f t="array" ref="GU87">+IFERROR(INDEX($C$3:$AM$3,MATCH(TRUE,INDEX($C87:$AM87&lt;&gt;0,0),0)),"N/A")</f>
        <v>44926</v>
      </c>
      <c r="GV87" s="112" t="str" cm="1">
        <f t="array" ref="GV87">+_xlfn.IFS(HV87&lt;&gt;0,HV$2,IV87&lt;&gt;0,IV$2,JV87&lt;&gt;0,JV$2,KV87&lt;&gt;0,KV$2,TRUE,"")</f>
        <v>Downsell</v>
      </c>
      <c r="GW87" s="1" t="str" cm="1">
        <f t="array" ref="GW87">+_xlfn.IFS(HW87&lt;&gt;0,HW$2,IW87&lt;&gt;0,IW$2,JW87&lt;&gt;0,JW$2,KW87&lt;&gt;0,KW$2,TRUE,"")</f>
        <v>Downsell</v>
      </c>
      <c r="GX87" s="1" t="str" cm="1">
        <f t="array" ref="GX87">+_xlfn.IFS(HX87&lt;&gt;0,HX$2,IX87&lt;&gt;0,IX$2,JX87&lt;&gt;0,JX$2,KX87&lt;&gt;0,KX$2,TRUE,"")</f>
        <v>Downsell</v>
      </c>
      <c r="GY87" s="1" t="str" cm="1">
        <f t="array" ref="GY87">+_xlfn.IFS(HY87&lt;&gt;0,HY$2,IY87&lt;&gt;0,IY$2,JY87&lt;&gt;0,JY$2,KY87&lt;&gt;0,KY$2,TRUE,"")</f>
        <v>Downsell</v>
      </c>
      <c r="GZ87" s="1" t="str" cm="1">
        <f t="array" ref="GZ87">+_xlfn.IFS(HZ87&lt;&gt;0,HZ$2,IZ87&lt;&gt;0,IZ$2,JZ87&lt;&gt;0,JZ$2,KZ87&lt;&gt;0,KZ$2,TRUE,"")</f>
        <v>Downsell</v>
      </c>
      <c r="HA87" s="1" t="str" cm="1">
        <f t="array" ref="HA87">+_xlfn.IFS(IA87&lt;&gt;0,IA$2,JA87&lt;&gt;0,JA$2,KA87&lt;&gt;0,KA$2,LA87&lt;&gt;0,LA$2,TRUE,"")</f>
        <v>Downsell</v>
      </c>
      <c r="HB87" s="1" t="str" cm="1">
        <f t="array" ref="HB87">+_xlfn.IFS(IB87&lt;&gt;0,IB$2,JB87&lt;&gt;0,JB$2,KB87&lt;&gt;0,KB$2,LB87&lt;&gt;0,LB$2,TRUE,"")</f>
        <v>Downsell</v>
      </c>
      <c r="HC87" s="1" t="str" cm="1">
        <f t="array" ref="HC87">+_xlfn.IFS(IC87&lt;&gt;0,IC$2,JC87&lt;&gt;0,JC$2,KC87&lt;&gt;0,KC$2,LC87&lt;&gt;0,LC$2,TRUE,"")</f>
        <v/>
      </c>
      <c r="HD87" s="1" t="str" cm="1">
        <f t="array" ref="HD87">+_xlfn.IFS(ID87&lt;&gt;0,ID$2,JD87&lt;&gt;0,JD$2,KD87&lt;&gt;0,KD$2,LD87&lt;&gt;0,LD$2,TRUE,"")</f>
        <v/>
      </c>
      <c r="HE87" s="1" t="str" cm="1">
        <f t="array" ref="HE87">+_xlfn.IFS(IE87&lt;&gt;0,IE$2,JE87&lt;&gt;0,JE$2,KE87&lt;&gt;0,KE$2,LE87&lt;&gt;0,LE$2,TRUE,"")</f>
        <v/>
      </c>
      <c r="HF87" s="1" t="str" cm="1">
        <f t="array" ref="HF87">+_xlfn.IFS(IF87&lt;&gt;0,IF$2,JF87&lt;&gt;0,JF$2,KF87&lt;&gt;0,KF$2,LF87&lt;&gt;0,LF$2,TRUE,"")</f>
        <v/>
      </c>
      <c r="HG87" s="1" t="str" cm="1">
        <f t="array" ref="HG87">+_xlfn.IFS(IG87&lt;&gt;0,IG$2,JG87&lt;&gt;0,JG$2,KG87&lt;&gt;0,KG$2,LG87&lt;&gt;0,LG$2,TRUE,"")</f>
        <v/>
      </c>
      <c r="HH87" s="1" t="str" cm="1">
        <f t="array" ref="HH87">+_xlfn.IFS(IH87&lt;&gt;0,IH$2,JH87&lt;&gt;0,JH$2,KH87&lt;&gt;0,KH$2,LH87&lt;&gt;0,LH$2,TRUE,"")</f>
        <v/>
      </c>
      <c r="HI87" s="1" t="str" cm="1">
        <f t="array" ref="HI87">+_xlfn.IFS(II87&lt;&gt;0,II$2,JI87&lt;&gt;0,JI$2,KI87&lt;&gt;0,KI$2,LI87&lt;&gt;0,LI$2,TRUE,"")</f>
        <v/>
      </c>
      <c r="HJ87" s="1" t="str" cm="1">
        <f t="array" ref="HJ87">+_xlfn.IFS(IJ87&lt;&gt;0,IJ$2,JJ87&lt;&gt;0,JJ$2,KJ87&lt;&gt;0,KJ$2,LJ87&lt;&gt;0,LJ$2,TRUE,"")</f>
        <v/>
      </c>
      <c r="HK87" s="1" t="str" cm="1">
        <f t="array" ref="HK87">+_xlfn.IFS(IK87&lt;&gt;0,IK$2,JK87&lt;&gt;0,JK$2,KK87&lt;&gt;0,KK$2,LK87&lt;&gt;0,LK$2,TRUE,"")</f>
        <v/>
      </c>
      <c r="HL87" s="1" t="str" cm="1">
        <f t="array" ref="HL87">+_xlfn.IFS(IL87&lt;&gt;0,IL$2,JL87&lt;&gt;0,JL$2,KL87&lt;&gt;0,KL$2,LL87&lt;&gt;0,LL$2,TRUE,"")</f>
        <v/>
      </c>
      <c r="HM87" s="1" t="str" cm="1">
        <f t="array" ref="HM87">+_xlfn.IFS(IM87&lt;&gt;0,IM$2,JM87&lt;&gt;0,JM$2,KM87&lt;&gt;0,KM$2,LM87&lt;&gt;0,LM$2,TRUE,"")</f>
        <v/>
      </c>
      <c r="HN87" s="1" t="str" cm="1">
        <f t="array" ref="HN87">+_xlfn.IFS(IN87&lt;&gt;0,IN$2,JN87&lt;&gt;0,JN$2,KN87&lt;&gt;0,KN$2,LN87&lt;&gt;0,LN$2,TRUE,"")</f>
        <v/>
      </c>
      <c r="HO87" s="1" t="str" cm="1">
        <f t="array" ref="HO87">+_xlfn.IFS(IO87&lt;&gt;0,IO$2,JO87&lt;&gt;0,JO$2,KO87&lt;&gt;0,KO$2,LO87&lt;&gt;0,LO$2,TRUE,"")</f>
        <v/>
      </c>
      <c r="HP87" s="1" t="str" cm="1">
        <f t="array" ref="HP87">+_xlfn.IFS(IP87&lt;&gt;0,IP$2,JP87&lt;&gt;0,JP$2,KP87&lt;&gt;0,KP$2,LP87&lt;&gt;0,LP$2,TRUE,"")</f>
        <v/>
      </c>
      <c r="HQ87" s="1" t="str" cm="1">
        <f t="array" ref="HQ87">+_xlfn.IFS(IQ87&lt;&gt;0,IQ$2,JQ87&lt;&gt;0,JQ$2,KQ87&lt;&gt;0,KQ$2,LQ87&lt;&gt;0,LQ$2,TRUE,"")</f>
        <v/>
      </c>
      <c r="HR87" s="1" t="str" cm="1">
        <f t="array" ref="HR87">+_xlfn.IFS(IR87&lt;&gt;0,IR$2,JR87&lt;&gt;0,JR$2,KR87&lt;&gt;0,KR$2,LR87&lt;&gt;0,LR$2,TRUE,"")</f>
        <v/>
      </c>
      <c r="HS87" s="1" t="str" cm="1">
        <f t="array" ref="HS87">+_xlfn.IFS(IS87&lt;&gt;0,IS$2,JS87&lt;&gt;0,JS$2,KS87&lt;&gt;0,KS$2,LS87&lt;&gt;0,LS$2,TRUE,"")</f>
        <v/>
      </c>
      <c r="HT87" s="1" t="str" cm="1">
        <f t="array" ref="HT87">+_xlfn.IFS(IT87&lt;&gt;0,IT$2,JT87&lt;&gt;0,JT$2,KT87&lt;&gt;0,KT$2,LT87&lt;&gt;0,LT$2,TRUE,"")</f>
        <v/>
      </c>
      <c r="HV87" s="111">
        <f t="shared" si="607"/>
        <v>0</v>
      </c>
      <c r="HW87" s="110">
        <f t="shared" si="608"/>
        <v>0</v>
      </c>
      <c r="HX87" s="110">
        <f t="shared" si="609"/>
        <v>0</v>
      </c>
      <c r="HY87" s="110">
        <f t="shared" si="610"/>
        <v>0</v>
      </c>
      <c r="HZ87" s="110">
        <f t="shared" si="611"/>
        <v>0</v>
      </c>
      <c r="IA87" s="110">
        <f t="shared" si="612"/>
        <v>0</v>
      </c>
      <c r="IB87" s="110">
        <f t="shared" si="613"/>
        <v>0</v>
      </c>
      <c r="IC87" s="110">
        <f t="shared" si="614"/>
        <v>0</v>
      </c>
      <c r="ID87" s="110">
        <f t="shared" si="615"/>
        <v>0</v>
      </c>
      <c r="IE87" s="110">
        <f t="shared" si="616"/>
        <v>0</v>
      </c>
      <c r="IF87" s="110">
        <f t="shared" si="617"/>
        <v>0</v>
      </c>
      <c r="IG87" s="110">
        <f t="shared" si="618"/>
        <v>0</v>
      </c>
      <c r="IH87" s="110">
        <f t="shared" si="619"/>
        <v>0</v>
      </c>
      <c r="II87" s="110">
        <f t="shared" si="620"/>
        <v>0</v>
      </c>
      <c r="IJ87" s="110">
        <f t="shared" si="621"/>
        <v>0</v>
      </c>
      <c r="IK87" s="110">
        <f t="shared" si="622"/>
        <v>0</v>
      </c>
      <c r="IL87" s="110">
        <f t="shared" si="623"/>
        <v>0</v>
      </c>
      <c r="IM87" s="110">
        <f t="shared" si="624"/>
        <v>0</v>
      </c>
      <c r="IN87" s="110">
        <f t="shared" si="625"/>
        <v>0</v>
      </c>
      <c r="IO87" s="110">
        <f t="shared" si="626"/>
        <v>0</v>
      </c>
      <c r="IP87" s="110">
        <f t="shared" si="627"/>
        <v>0</v>
      </c>
      <c r="IQ87" s="110">
        <f t="shared" si="628"/>
        <v>0</v>
      </c>
      <c r="IR87" s="110">
        <f t="shared" si="629"/>
        <v>0</v>
      </c>
      <c r="IS87" s="110">
        <f t="shared" si="630"/>
        <v>0</v>
      </c>
      <c r="IT87" s="110">
        <f t="shared" si="631"/>
        <v>0</v>
      </c>
      <c r="IV87" s="111">
        <f t="shared" si="632"/>
        <v>0</v>
      </c>
      <c r="IW87" s="110">
        <f t="shared" si="633"/>
        <v>0</v>
      </c>
      <c r="IX87" s="110">
        <f t="shared" si="634"/>
        <v>0</v>
      </c>
      <c r="IY87" s="110">
        <f t="shared" si="635"/>
        <v>0</v>
      </c>
      <c r="IZ87" s="110">
        <f t="shared" si="636"/>
        <v>0</v>
      </c>
      <c r="JA87" s="110">
        <f t="shared" si="637"/>
        <v>0</v>
      </c>
      <c r="JB87" s="110">
        <f t="shared" si="638"/>
        <v>0</v>
      </c>
      <c r="JC87" s="110">
        <f t="shared" si="639"/>
        <v>0</v>
      </c>
      <c r="JD87" s="110">
        <f t="shared" si="640"/>
        <v>0</v>
      </c>
      <c r="JE87" s="110">
        <f t="shared" si="641"/>
        <v>0</v>
      </c>
      <c r="JF87" s="110">
        <f t="shared" si="642"/>
        <v>0</v>
      </c>
      <c r="JG87" s="110">
        <f t="shared" si="643"/>
        <v>0</v>
      </c>
      <c r="JH87" s="110">
        <f t="shared" si="644"/>
        <v>0</v>
      </c>
      <c r="JI87" s="110">
        <f t="shared" si="645"/>
        <v>0</v>
      </c>
      <c r="JJ87" s="110">
        <f t="shared" si="646"/>
        <v>0</v>
      </c>
      <c r="JK87" s="110">
        <f t="shared" si="647"/>
        <v>0</v>
      </c>
      <c r="JL87" s="110">
        <f t="shared" si="648"/>
        <v>0</v>
      </c>
      <c r="JM87" s="110">
        <f t="shared" si="649"/>
        <v>0</v>
      </c>
      <c r="JN87" s="110">
        <f t="shared" si="650"/>
        <v>0</v>
      </c>
      <c r="JO87" s="110">
        <f t="shared" si="651"/>
        <v>0</v>
      </c>
      <c r="JP87" s="110">
        <f t="shared" si="652"/>
        <v>0</v>
      </c>
      <c r="JQ87" s="110">
        <f t="shared" si="653"/>
        <v>0</v>
      </c>
      <c r="JR87" s="110">
        <f t="shared" si="654"/>
        <v>0</v>
      </c>
      <c r="JS87" s="110">
        <f t="shared" si="655"/>
        <v>0</v>
      </c>
      <c r="JT87" s="110">
        <f t="shared" si="656"/>
        <v>0</v>
      </c>
      <c r="JV87" s="111">
        <f t="shared" si="657"/>
        <v>-9.1199999999999903</v>
      </c>
      <c r="JW87" s="110">
        <f t="shared" si="658"/>
        <v>-9.1199999999999903</v>
      </c>
      <c r="JX87" s="110">
        <f t="shared" si="659"/>
        <v>-7.2199999999999989</v>
      </c>
      <c r="JY87" s="110">
        <f t="shared" si="660"/>
        <v>-4.519999999999996</v>
      </c>
      <c r="JZ87" s="110">
        <f t="shared" si="661"/>
        <v>-11.010000000000005</v>
      </c>
      <c r="KA87" s="110">
        <f t="shared" si="662"/>
        <v>-8.6700000000000017</v>
      </c>
      <c r="KB87" s="110">
        <f t="shared" si="663"/>
        <v>-6.789999999999992</v>
      </c>
      <c r="KC87" s="110">
        <f t="shared" si="664"/>
        <v>0</v>
      </c>
      <c r="KD87" s="110">
        <f t="shared" si="665"/>
        <v>0</v>
      </c>
      <c r="KE87" s="110">
        <f t="shared" si="666"/>
        <v>0</v>
      </c>
      <c r="KF87" s="110">
        <f t="shared" si="667"/>
        <v>0</v>
      </c>
      <c r="KG87" s="110">
        <f t="shared" si="668"/>
        <v>0</v>
      </c>
      <c r="KH87" s="110">
        <f t="shared" si="669"/>
        <v>0</v>
      </c>
      <c r="KI87" s="110">
        <f t="shared" si="670"/>
        <v>0</v>
      </c>
      <c r="KJ87" s="110">
        <f t="shared" si="671"/>
        <v>0</v>
      </c>
      <c r="KK87" s="110">
        <f t="shared" si="672"/>
        <v>0</v>
      </c>
      <c r="KL87" s="110">
        <f t="shared" si="673"/>
        <v>0</v>
      </c>
      <c r="KM87" s="110">
        <f t="shared" si="674"/>
        <v>0</v>
      </c>
      <c r="KN87" s="110">
        <f t="shared" si="675"/>
        <v>0</v>
      </c>
      <c r="KO87" s="110">
        <f t="shared" si="676"/>
        <v>0</v>
      </c>
      <c r="KP87" s="110">
        <f t="shared" si="677"/>
        <v>0</v>
      </c>
      <c r="KQ87" s="110">
        <f t="shared" si="678"/>
        <v>0</v>
      </c>
      <c r="KR87" s="110">
        <f t="shared" si="679"/>
        <v>0</v>
      </c>
      <c r="KS87" s="110">
        <f t="shared" si="680"/>
        <v>0</v>
      </c>
      <c r="KT87" s="110">
        <f t="shared" si="681"/>
        <v>0</v>
      </c>
      <c r="KV87" s="111">
        <f t="shared" si="682"/>
        <v>0</v>
      </c>
      <c r="KW87" s="110">
        <f t="shared" si="683"/>
        <v>0</v>
      </c>
      <c r="KX87" s="110">
        <f t="shared" si="684"/>
        <v>0</v>
      </c>
      <c r="KY87" s="110">
        <f t="shared" si="685"/>
        <v>0</v>
      </c>
      <c r="KZ87" s="110">
        <f t="shared" si="686"/>
        <v>0</v>
      </c>
      <c r="LA87" s="110">
        <f t="shared" si="687"/>
        <v>0</v>
      </c>
      <c r="LB87" s="110">
        <f t="shared" si="688"/>
        <v>0</v>
      </c>
      <c r="LC87" s="110">
        <f t="shared" si="689"/>
        <v>0</v>
      </c>
      <c r="LD87" s="110">
        <f t="shared" si="690"/>
        <v>0</v>
      </c>
      <c r="LE87" s="110">
        <f t="shared" si="691"/>
        <v>0</v>
      </c>
      <c r="LF87" s="110">
        <f t="shared" si="692"/>
        <v>0</v>
      </c>
      <c r="LG87" s="110">
        <f t="shared" si="693"/>
        <v>0</v>
      </c>
      <c r="LH87" s="110">
        <f t="shared" si="694"/>
        <v>0</v>
      </c>
      <c r="LI87" s="110">
        <f t="shared" si="695"/>
        <v>0</v>
      </c>
      <c r="LJ87" s="110">
        <f t="shared" si="696"/>
        <v>0</v>
      </c>
      <c r="LK87" s="110">
        <f t="shared" si="697"/>
        <v>0</v>
      </c>
      <c r="LL87" s="110">
        <f t="shared" si="698"/>
        <v>0</v>
      </c>
      <c r="LM87" s="110">
        <f t="shared" si="699"/>
        <v>0</v>
      </c>
      <c r="LN87" s="110">
        <f t="shared" si="700"/>
        <v>0</v>
      </c>
      <c r="LO87" s="110">
        <f t="shared" si="701"/>
        <v>0</v>
      </c>
      <c r="LP87" s="110">
        <f t="shared" si="702"/>
        <v>0</v>
      </c>
      <c r="LQ87" s="110">
        <f t="shared" si="703"/>
        <v>0</v>
      </c>
      <c r="LR87" s="110">
        <f t="shared" si="704"/>
        <v>0</v>
      </c>
      <c r="LS87" s="110">
        <f t="shared" si="705"/>
        <v>0</v>
      </c>
      <c r="LT87" s="110">
        <f t="shared" si="706"/>
        <v>0</v>
      </c>
      <c r="LV87" s="111"/>
      <c r="LW87" s="110">
        <f t="shared" si="707"/>
        <v>0</v>
      </c>
      <c r="LX87" s="110">
        <f t="shared" si="708"/>
        <v>0</v>
      </c>
      <c r="LY87" s="110">
        <f t="shared" si="709"/>
        <v>0</v>
      </c>
      <c r="LZ87" s="110">
        <f t="shared" si="710"/>
        <v>0</v>
      </c>
      <c r="MA87" s="110">
        <f t="shared" si="711"/>
        <v>0</v>
      </c>
      <c r="MB87" s="110">
        <f t="shared" si="712"/>
        <v>0</v>
      </c>
      <c r="MC87" s="110">
        <f t="shared" si="713"/>
        <v>0</v>
      </c>
      <c r="MD87" s="110">
        <f t="shared" si="714"/>
        <v>0</v>
      </c>
      <c r="ME87" s="110">
        <f t="shared" si="715"/>
        <v>0</v>
      </c>
      <c r="MF87" s="110">
        <f t="shared" si="716"/>
        <v>0</v>
      </c>
      <c r="MG87" s="110">
        <f t="shared" si="717"/>
        <v>0</v>
      </c>
      <c r="MH87" s="110">
        <f t="shared" si="718"/>
        <v>0</v>
      </c>
      <c r="MI87" s="110">
        <f t="shared" si="719"/>
        <v>0</v>
      </c>
      <c r="MJ87" s="110">
        <f t="shared" si="720"/>
        <v>0</v>
      </c>
      <c r="MK87" s="110">
        <f t="shared" si="721"/>
        <v>0</v>
      </c>
      <c r="ML87" s="110">
        <f t="shared" si="722"/>
        <v>0</v>
      </c>
      <c r="MM87" s="110">
        <f t="shared" si="723"/>
        <v>0</v>
      </c>
      <c r="MN87" s="110">
        <f t="shared" si="724"/>
        <v>0</v>
      </c>
      <c r="MO87" s="110">
        <f t="shared" si="725"/>
        <v>0</v>
      </c>
      <c r="MP87" s="110">
        <f t="shared" si="726"/>
        <v>0</v>
      </c>
      <c r="MQ87" s="110">
        <f t="shared" si="727"/>
        <v>0</v>
      </c>
      <c r="MR87" s="110">
        <f t="shared" si="728"/>
        <v>0</v>
      </c>
      <c r="MS87" s="110">
        <f t="shared" si="729"/>
        <v>0</v>
      </c>
      <c r="MT87" s="110">
        <f t="shared" si="730"/>
        <v>0</v>
      </c>
      <c r="MV87" s="114">
        <v>109</v>
      </c>
      <c r="MW87" s="114">
        <v>0</v>
      </c>
      <c r="MX87" s="114">
        <v>0</v>
      </c>
      <c r="MY87" s="114">
        <v>0</v>
      </c>
      <c r="MZ87" s="114">
        <v>0</v>
      </c>
      <c r="NB87" s="115">
        <v>77</v>
      </c>
      <c r="NC87" s="115" t="str">
        <v>N/A</v>
      </c>
      <c r="ND87" s="115" t="str">
        <v>N/A</v>
      </c>
      <c r="NE87" s="115" t="str">
        <v>N/A</v>
      </c>
      <c r="NF87" s="115" t="str">
        <v>N/A</v>
      </c>
    </row>
    <row r="88" spans="2:370" ht="13.5" x14ac:dyDescent="0.25">
      <c r="B88" s="8">
        <f t="shared" si="731"/>
        <v>85</v>
      </c>
      <c r="C88" s="7">
        <v>299</v>
      </c>
      <c r="D88" s="7">
        <v>299</v>
      </c>
      <c r="E88" s="7">
        <v>299</v>
      </c>
      <c r="F88" s="7">
        <v>299</v>
      </c>
      <c r="G88" s="7">
        <v>299</v>
      </c>
      <c r="H88" s="7">
        <v>299</v>
      </c>
      <c r="I88" s="7">
        <v>299</v>
      </c>
      <c r="J88" s="7">
        <v>299</v>
      </c>
      <c r="K88" s="7">
        <v>299</v>
      </c>
      <c r="L88" s="7">
        <v>299</v>
      </c>
      <c r="M88" s="7">
        <v>299</v>
      </c>
      <c r="N88" s="7">
        <v>299</v>
      </c>
      <c r="O88" s="7">
        <v>299</v>
      </c>
      <c r="P88" s="7">
        <v>299</v>
      </c>
      <c r="Q88" s="7">
        <v>299</v>
      </c>
      <c r="R88" s="7">
        <v>299</v>
      </c>
      <c r="S88" s="7">
        <v>299</v>
      </c>
      <c r="T88" s="7">
        <v>299</v>
      </c>
      <c r="U88" s="7">
        <v>299</v>
      </c>
      <c r="V88" s="7">
        <v>299</v>
      </c>
      <c r="W88" s="7">
        <v>299</v>
      </c>
      <c r="X88" s="7">
        <v>299</v>
      </c>
      <c r="Y88" s="7">
        <v>299</v>
      </c>
      <c r="Z88" s="7">
        <v>299</v>
      </c>
      <c r="AA88" s="7">
        <v>299</v>
      </c>
      <c r="AB88" s="7">
        <v>299</v>
      </c>
      <c r="AC88" s="7">
        <v>299</v>
      </c>
      <c r="AD88" s="7">
        <v>299</v>
      </c>
      <c r="AE88" s="7">
        <v>299</v>
      </c>
      <c r="AF88" s="7">
        <v>299</v>
      </c>
      <c r="AG88" s="7">
        <v>309.47000000000003</v>
      </c>
      <c r="AH88" s="7">
        <v>309.47000000000003</v>
      </c>
      <c r="AI88" s="7">
        <v>309.47000000000003</v>
      </c>
      <c r="AJ88" s="7">
        <v>309.47000000000003</v>
      </c>
      <c r="AK88" s="7">
        <v>309.47000000000003</v>
      </c>
      <c r="AL88" s="7">
        <v>309.47000000000003</v>
      </c>
      <c r="AM88" s="7">
        <v>309.47000000000003</v>
      </c>
      <c r="AN88" s="27">
        <v>85</v>
      </c>
      <c r="AP88" s="111"/>
      <c r="AQ88" s="110">
        <f t="shared" si="492"/>
        <v>0</v>
      </c>
      <c r="AR88" s="110">
        <f t="shared" si="493"/>
        <v>0</v>
      </c>
      <c r="AS88" s="110">
        <f t="shared" si="494"/>
        <v>0</v>
      </c>
      <c r="AT88" s="110">
        <f t="shared" si="495"/>
        <v>0</v>
      </c>
      <c r="AU88" s="110">
        <f t="shared" si="496"/>
        <v>0</v>
      </c>
      <c r="AV88" s="110">
        <f t="shared" si="497"/>
        <v>0</v>
      </c>
      <c r="AW88" s="110">
        <f t="shared" si="498"/>
        <v>0</v>
      </c>
      <c r="AX88" s="110">
        <f t="shared" si="499"/>
        <v>0</v>
      </c>
      <c r="AY88" s="110">
        <f t="shared" si="500"/>
        <v>0</v>
      </c>
      <c r="AZ88" s="110">
        <f t="shared" si="501"/>
        <v>10.470000000000027</v>
      </c>
      <c r="BA88" s="110">
        <f t="shared" si="502"/>
        <v>0</v>
      </c>
      <c r="BB88" s="110">
        <f t="shared" si="503"/>
        <v>0</v>
      </c>
      <c r="BD88" s="109" cm="1">
        <f t="array" ref="BD88">+IFERROR(INDEX($C$3:$AM$3,MATCH(TRUE,INDEX($C88:$AM88&lt;&gt;0,0),0)),"N/A")</f>
        <v>44926</v>
      </c>
      <c r="BE88" s="112"/>
      <c r="BF88" s="1" t="str" cm="1">
        <f t="array" ref="BF88">+_xlfn.IFS(BT88&lt;&gt;0,BT$2,CH88&lt;&gt;0,CH$2,CV88&lt;&gt;0,CV$2,DJ88&lt;&gt;0,DJ$2,TRUE,"")</f>
        <v/>
      </c>
      <c r="BG88" s="1" t="str" cm="1">
        <f t="array" ref="BG88">+_xlfn.IFS(BU88&lt;&gt;0,BU$2,CI88&lt;&gt;0,CI$2,CW88&lt;&gt;0,CW$2,DK88&lt;&gt;0,DK$2,TRUE,"")</f>
        <v/>
      </c>
      <c r="BH88" s="1" t="str" cm="1">
        <f t="array" ref="BH88">+_xlfn.IFS(BV88&lt;&gt;0,BV$2,CJ88&lt;&gt;0,CJ$2,CX88&lt;&gt;0,CX$2,DL88&lt;&gt;0,DL$2,TRUE,"")</f>
        <v/>
      </c>
      <c r="BI88" s="1" t="str" cm="1">
        <f t="array" ref="BI88">+_xlfn.IFS(BW88&lt;&gt;0,BW$2,CK88&lt;&gt;0,CK$2,CY88&lt;&gt;0,CY$2,DM88&lt;&gt;0,DM$2,TRUE,"")</f>
        <v/>
      </c>
      <c r="BJ88" s="1" t="str" cm="1">
        <f t="array" ref="BJ88">+_xlfn.IFS(BX88&lt;&gt;0,BX$2,CL88&lt;&gt;0,CL$2,CZ88&lt;&gt;0,CZ$2,DN88&lt;&gt;0,DN$2,TRUE,"")</f>
        <v/>
      </c>
      <c r="BK88" s="1" t="str" cm="1">
        <f t="array" ref="BK88">+_xlfn.IFS(BY88&lt;&gt;0,BY$2,CM88&lt;&gt;0,CM$2,DA88&lt;&gt;0,DA$2,DO88&lt;&gt;0,DO$2,TRUE,"")</f>
        <v/>
      </c>
      <c r="BL88" s="1" t="str" cm="1">
        <f t="array" ref="BL88">+_xlfn.IFS(BZ88&lt;&gt;0,BZ$2,CN88&lt;&gt;0,CN$2,DB88&lt;&gt;0,DB$2,DP88&lt;&gt;0,DP$2,TRUE,"")</f>
        <v/>
      </c>
      <c r="BM88" s="1" t="str" cm="1">
        <f t="array" ref="BM88">+_xlfn.IFS(CA88&lt;&gt;0,CA$2,CO88&lt;&gt;0,CO$2,DC88&lt;&gt;0,DC$2,DQ88&lt;&gt;0,DQ$2,TRUE,"")</f>
        <v/>
      </c>
      <c r="BN88" s="1" t="str" cm="1">
        <f t="array" ref="BN88">+_xlfn.IFS(CB88&lt;&gt;0,CB$2,CP88&lt;&gt;0,CP$2,DD88&lt;&gt;0,DD$2,DR88&lt;&gt;0,DR$2,TRUE,"")</f>
        <v/>
      </c>
      <c r="BO88" s="1" t="str" cm="1">
        <f t="array" ref="BO88">+_xlfn.IFS(CC88&lt;&gt;0,CC$2,CQ88&lt;&gt;0,CQ$2,DE88&lt;&gt;0,DE$2,DS88&lt;&gt;0,DS$2,TRUE,"")</f>
        <v>Upsell</v>
      </c>
      <c r="BP88" s="1" t="str" cm="1">
        <f t="array" ref="BP88">+_xlfn.IFS(CD88&lt;&gt;0,CD$2,CR88&lt;&gt;0,CR$2,DF88&lt;&gt;0,DF$2,DT88&lt;&gt;0,DT$2,TRUE,"")</f>
        <v/>
      </c>
      <c r="BQ88" s="1" t="str" cm="1">
        <f t="array" ref="BQ88">+_xlfn.IFS(CE88&lt;&gt;0,CE$2,CS88&lt;&gt;0,CS$2,DG88&lt;&gt;0,DG$2,DU88&lt;&gt;0,DU$2,TRUE,"")</f>
        <v/>
      </c>
      <c r="BS88" s="111"/>
      <c r="BT88" s="110">
        <f t="shared" si="504"/>
        <v>0</v>
      </c>
      <c r="BU88" s="110">
        <f t="shared" si="505"/>
        <v>0</v>
      </c>
      <c r="BV88" s="110">
        <f t="shared" si="506"/>
        <v>0</v>
      </c>
      <c r="BW88" s="110">
        <f t="shared" si="507"/>
        <v>0</v>
      </c>
      <c r="BX88" s="110">
        <f t="shared" si="508"/>
        <v>0</v>
      </c>
      <c r="BY88" s="110">
        <f t="shared" si="509"/>
        <v>0</v>
      </c>
      <c r="BZ88" s="110">
        <f t="shared" si="510"/>
        <v>0</v>
      </c>
      <c r="CA88" s="110">
        <f t="shared" si="511"/>
        <v>0</v>
      </c>
      <c r="CB88" s="110">
        <f t="shared" si="512"/>
        <v>0</v>
      </c>
      <c r="CC88" s="110">
        <f t="shared" si="513"/>
        <v>0</v>
      </c>
      <c r="CD88" s="110">
        <f t="shared" si="514"/>
        <v>0</v>
      </c>
      <c r="CE88" s="110">
        <f t="shared" si="515"/>
        <v>0</v>
      </c>
      <c r="CG88" s="111"/>
      <c r="CH88" s="110">
        <f t="shared" si="516"/>
        <v>0</v>
      </c>
      <c r="CI88" s="110">
        <f t="shared" si="517"/>
        <v>0</v>
      </c>
      <c r="CJ88" s="110">
        <f t="shared" si="518"/>
        <v>0</v>
      </c>
      <c r="CK88" s="110">
        <f t="shared" si="519"/>
        <v>0</v>
      </c>
      <c r="CL88" s="110">
        <f t="shared" si="520"/>
        <v>0</v>
      </c>
      <c r="CM88" s="110">
        <f t="shared" si="521"/>
        <v>0</v>
      </c>
      <c r="CN88" s="110">
        <f t="shared" si="522"/>
        <v>0</v>
      </c>
      <c r="CO88" s="110">
        <f t="shared" si="523"/>
        <v>0</v>
      </c>
      <c r="CP88" s="110">
        <f t="shared" si="524"/>
        <v>0</v>
      </c>
      <c r="CQ88" s="110">
        <f t="shared" si="525"/>
        <v>0</v>
      </c>
      <c r="CR88" s="110">
        <f t="shared" si="526"/>
        <v>0</v>
      </c>
      <c r="CS88" s="110">
        <f t="shared" si="527"/>
        <v>0</v>
      </c>
      <c r="CU88" s="111"/>
      <c r="CV88" s="110">
        <f t="shared" si="528"/>
        <v>0</v>
      </c>
      <c r="CW88" s="110">
        <f t="shared" si="529"/>
        <v>0</v>
      </c>
      <c r="CX88" s="110">
        <f t="shared" si="530"/>
        <v>0</v>
      </c>
      <c r="CY88" s="110">
        <f t="shared" si="531"/>
        <v>0</v>
      </c>
      <c r="CZ88" s="110">
        <f t="shared" si="532"/>
        <v>0</v>
      </c>
      <c r="DA88" s="110">
        <f t="shared" si="533"/>
        <v>0</v>
      </c>
      <c r="DB88" s="110">
        <f t="shared" si="534"/>
        <v>0</v>
      </c>
      <c r="DC88" s="110">
        <f t="shared" si="535"/>
        <v>0</v>
      </c>
      <c r="DD88" s="110">
        <f t="shared" si="536"/>
        <v>0</v>
      </c>
      <c r="DE88" s="110">
        <f t="shared" si="537"/>
        <v>0</v>
      </c>
      <c r="DF88" s="110">
        <f t="shared" si="538"/>
        <v>0</v>
      </c>
      <c r="DG88" s="110">
        <f t="shared" si="539"/>
        <v>0</v>
      </c>
      <c r="DI88" s="111"/>
      <c r="DJ88" s="110">
        <f t="shared" si="540"/>
        <v>0</v>
      </c>
      <c r="DK88" s="110">
        <f t="shared" si="541"/>
        <v>0</v>
      </c>
      <c r="DL88" s="110">
        <f t="shared" si="542"/>
        <v>0</v>
      </c>
      <c r="DM88" s="110">
        <f t="shared" si="543"/>
        <v>0</v>
      </c>
      <c r="DN88" s="110">
        <f t="shared" si="544"/>
        <v>0</v>
      </c>
      <c r="DO88" s="110">
        <f t="shared" si="545"/>
        <v>0</v>
      </c>
      <c r="DP88" s="110">
        <f t="shared" si="546"/>
        <v>0</v>
      </c>
      <c r="DQ88" s="110">
        <f t="shared" si="547"/>
        <v>0</v>
      </c>
      <c r="DR88" s="110">
        <f t="shared" si="548"/>
        <v>0</v>
      </c>
      <c r="DS88" s="110">
        <f t="shared" si="549"/>
        <v>10.470000000000027</v>
      </c>
      <c r="DT88" s="110">
        <f t="shared" si="550"/>
        <v>0</v>
      </c>
      <c r="DU88" s="110">
        <f t="shared" si="551"/>
        <v>0</v>
      </c>
      <c r="DW88" s="111"/>
      <c r="DX88" s="110">
        <f t="shared" si="552"/>
        <v>0</v>
      </c>
      <c r="DY88" s="110">
        <f t="shared" si="553"/>
        <v>0</v>
      </c>
      <c r="DZ88" s="110">
        <f t="shared" si="554"/>
        <v>0</v>
      </c>
      <c r="EA88" s="110">
        <f t="shared" si="555"/>
        <v>0</v>
      </c>
      <c r="EB88" s="110">
        <f t="shared" si="556"/>
        <v>0</v>
      </c>
      <c r="EC88" s="110">
        <f t="shared" si="557"/>
        <v>0</v>
      </c>
      <c r="ED88" s="110">
        <f t="shared" si="558"/>
        <v>0</v>
      </c>
      <c r="EE88" s="110">
        <f t="shared" si="559"/>
        <v>0</v>
      </c>
      <c r="EF88" s="110">
        <f t="shared" si="560"/>
        <v>0</v>
      </c>
      <c r="EG88" s="110">
        <f t="shared" si="561"/>
        <v>0</v>
      </c>
      <c r="EH88" s="110">
        <f t="shared" si="562"/>
        <v>0</v>
      </c>
      <c r="EI88" s="110">
        <f t="shared" si="563"/>
        <v>0</v>
      </c>
      <c r="EK88" s="111"/>
      <c r="EL88" s="110">
        <f t="shared" si="564"/>
        <v>0</v>
      </c>
      <c r="EM88" s="110">
        <f t="shared" si="565"/>
        <v>0</v>
      </c>
      <c r="EN88" s="110">
        <f t="shared" si="566"/>
        <v>10.470000000000027</v>
      </c>
      <c r="EP88" s="109" cm="1">
        <f t="array" ref="EP88">+IFERROR(INDEX($C$3:$AM$3,MATCH(TRUE,INDEX($C88:$AM88&lt;&gt;0,0),0)),"N/A")</f>
        <v>44926</v>
      </c>
      <c r="EQ88" s="112"/>
      <c r="ER88" s="1" t="str" cm="1">
        <f t="array" ref="ER88">+_xlfn.IFS(EW88&lt;&gt;0,EW$2,FB88&lt;&gt;0,FB$2,FG88&lt;&gt;0,FG$2,FL88&lt;&gt;0,FL$2,TRUE,"")</f>
        <v/>
      </c>
      <c r="ES88" s="1" t="str" cm="1">
        <f t="array" ref="ES88">+_xlfn.IFS(EX88&lt;&gt;0,EX$2,FC88&lt;&gt;0,FC$2,FH88&lt;&gt;0,FH$2,FM88&lt;&gt;0,FM$2,TRUE,"")</f>
        <v/>
      </c>
      <c r="ET88" s="1" t="str" cm="1">
        <f t="array" ref="ET88">+_xlfn.IFS(EY88&lt;&gt;0,EY$2,FD88&lt;&gt;0,FD$2,FI88&lt;&gt;0,FI$2,FN88&lt;&gt;0,FN$2,TRUE,"")</f>
        <v>Upsell</v>
      </c>
      <c r="EV88" s="111"/>
      <c r="EW88" s="110">
        <f t="shared" si="567"/>
        <v>0</v>
      </c>
      <c r="EX88" s="110">
        <f t="shared" si="568"/>
        <v>0</v>
      </c>
      <c r="EY88" s="110">
        <f t="shared" si="569"/>
        <v>0</v>
      </c>
      <c r="FA88" s="111"/>
      <c r="FB88" s="110">
        <f t="shared" si="570"/>
        <v>0</v>
      </c>
      <c r="FC88" s="110">
        <f t="shared" si="571"/>
        <v>0</v>
      </c>
      <c r="FD88" s="110">
        <f t="shared" si="572"/>
        <v>0</v>
      </c>
      <c r="FF88" s="111"/>
      <c r="FG88" s="110">
        <f t="shared" si="573"/>
        <v>0</v>
      </c>
      <c r="FH88" s="110">
        <f t="shared" si="574"/>
        <v>0</v>
      </c>
      <c r="FI88" s="110">
        <f t="shared" si="575"/>
        <v>0</v>
      </c>
      <c r="FK88" s="111"/>
      <c r="FL88" s="110">
        <f t="shared" si="576"/>
        <v>0</v>
      </c>
      <c r="FM88" s="110">
        <f t="shared" si="577"/>
        <v>0</v>
      </c>
      <c r="FN88" s="110">
        <f t="shared" si="578"/>
        <v>10.470000000000027</v>
      </c>
      <c r="FP88" s="111"/>
      <c r="FQ88" s="110">
        <f t="shared" si="579"/>
        <v>0</v>
      </c>
      <c r="FR88" s="110">
        <f t="shared" si="580"/>
        <v>0</v>
      </c>
      <c r="FS88" s="110">
        <f t="shared" si="581"/>
        <v>0</v>
      </c>
      <c r="FU88" s="111">
        <f t="shared" si="582"/>
        <v>0</v>
      </c>
      <c r="FV88" s="110">
        <f t="shared" si="583"/>
        <v>0</v>
      </c>
      <c r="FW88" s="110">
        <f t="shared" si="584"/>
        <v>0</v>
      </c>
      <c r="FX88" s="110">
        <f t="shared" si="585"/>
        <v>0</v>
      </c>
      <c r="FY88" s="110">
        <f t="shared" si="586"/>
        <v>0</v>
      </c>
      <c r="FZ88" s="110">
        <f t="shared" si="587"/>
        <v>0</v>
      </c>
      <c r="GA88" s="110">
        <f t="shared" si="588"/>
        <v>0</v>
      </c>
      <c r="GB88" s="110">
        <f t="shared" si="589"/>
        <v>0</v>
      </c>
      <c r="GC88" s="110">
        <f t="shared" si="590"/>
        <v>0</v>
      </c>
      <c r="GD88" s="110">
        <f t="shared" si="591"/>
        <v>0</v>
      </c>
      <c r="GE88" s="110">
        <f t="shared" si="592"/>
        <v>0</v>
      </c>
      <c r="GF88" s="110">
        <f t="shared" si="593"/>
        <v>0</v>
      </c>
      <c r="GG88" s="110">
        <f t="shared" si="594"/>
        <v>0</v>
      </c>
      <c r="GH88" s="110">
        <f t="shared" si="595"/>
        <v>0</v>
      </c>
      <c r="GI88" s="110">
        <f t="shared" si="596"/>
        <v>0</v>
      </c>
      <c r="GJ88" s="110">
        <f t="shared" si="597"/>
        <v>0</v>
      </c>
      <c r="GK88" s="110">
        <f t="shared" si="598"/>
        <v>0</v>
      </c>
      <c r="GL88" s="110">
        <f t="shared" si="599"/>
        <v>0</v>
      </c>
      <c r="GM88" s="110">
        <f t="shared" si="600"/>
        <v>10.470000000000027</v>
      </c>
      <c r="GN88" s="110">
        <f t="shared" si="601"/>
        <v>10.470000000000027</v>
      </c>
      <c r="GO88" s="110">
        <f t="shared" si="602"/>
        <v>10.470000000000027</v>
      </c>
      <c r="GP88" s="110">
        <f t="shared" si="603"/>
        <v>10.470000000000027</v>
      </c>
      <c r="GQ88" s="110">
        <f t="shared" si="604"/>
        <v>10.470000000000027</v>
      </c>
      <c r="GR88" s="110">
        <f t="shared" si="605"/>
        <v>10.470000000000027</v>
      </c>
      <c r="GS88" s="110">
        <f t="shared" si="606"/>
        <v>10.470000000000027</v>
      </c>
      <c r="GU88" s="109" cm="1">
        <f t="array" ref="GU88">+IFERROR(INDEX($C$3:$AM$3,MATCH(TRUE,INDEX($C88:$AM88&lt;&gt;0,0),0)),"N/A")</f>
        <v>44926</v>
      </c>
      <c r="GV88" s="112" t="str" cm="1">
        <f t="array" ref="GV88">+_xlfn.IFS(HV88&lt;&gt;0,HV$2,IV88&lt;&gt;0,IV$2,JV88&lt;&gt;0,JV$2,KV88&lt;&gt;0,KV$2,TRUE,"")</f>
        <v/>
      </c>
      <c r="GW88" s="1" t="str" cm="1">
        <f t="array" ref="GW88">+_xlfn.IFS(HW88&lt;&gt;0,HW$2,IW88&lt;&gt;0,IW$2,JW88&lt;&gt;0,JW$2,KW88&lt;&gt;0,KW$2,TRUE,"")</f>
        <v/>
      </c>
      <c r="GX88" s="1" t="str" cm="1">
        <f t="array" ref="GX88">+_xlfn.IFS(HX88&lt;&gt;0,HX$2,IX88&lt;&gt;0,IX$2,JX88&lt;&gt;0,JX$2,KX88&lt;&gt;0,KX$2,TRUE,"")</f>
        <v/>
      </c>
      <c r="GY88" s="1" t="str" cm="1">
        <f t="array" ref="GY88">+_xlfn.IFS(HY88&lt;&gt;0,HY$2,IY88&lt;&gt;0,IY$2,JY88&lt;&gt;0,JY$2,KY88&lt;&gt;0,KY$2,TRUE,"")</f>
        <v/>
      </c>
      <c r="GZ88" s="1" t="str" cm="1">
        <f t="array" ref="GZ88">+_xlfn.IFS(HZ88&lt;&gt;0,HZ$2,IZ88&lt;&gt;0,IZ$2,JZ88&lt;&gt;0,JZ$2,KZ88&lt;&gt;0,KZ$2,TRUE,"")</f>
        <v/>
      </c>
      <c r="HA88" s="1" t="str" cm="1">
        <f t="array" ref="HA88">+_xlfn.IFS(IA88&lt;&gt;0,IA$2,JA88&lt;&gt;0,JA$2,KA88&lt;&gt;0,KA$2,LA88&lt;&gt;0,LA$2,TRUE,"")</f>
        <v/>
      </c>
      <c r="HB88" s="1" t="str" cm="1">
        <f t="array" ref="HB88">+_xlfn.IFS(IB88&lt;&gt;0,IB$2,JB88&lt;&gt;0,JB$2,KB88&lt;&gt;0,KB$2,LB88&lt;&gt;0,LB$2,TRUE,"")</f>
        <v/>
      </c>
      <c r="HC88" s="1" t="str" cm="1">
        <f t="array" ref="HC88">+_xlfn.IFS(IC88&lt;&gt;0,IC$2,JC88&lt;&gt;0,JC$2,KC88&lt;&gt;0,KC$2,LC88&lt;&gt;0,LC$2,TRUE,"")</f>
        <v/>
      </c>
      <c r="HD88" s="1" t="str" cm="1">
        <f t="array" ref="HD88">+_xlfn.IFS(ID88&lt;&gt;0,ID$2,JD88&lt;&gt;0,JD$2,KD88&lt;&gt;0,KD$2,LD88&lt;&gt;0,LD$2,TRUE,"")</f>
        <v/>
      </c>
      <c r="HE88" s="1" t="str" cm="1">
        <f t="array" ref="HE88">+_xlfn.IFS(IE88&lt;&gt;0,IE$2,JE88&lt;&gt;0,JE$2,KE88&lt;&gt;0,KE$2,LE88&lt;&gt;0,LE$2,TRUE,"")</f>
        <v/>
      </c>
      <c r="HF88" s="1" t="str" cm="1">
        <f t="array" ref="HF88">+_xlfn.IFS(IF88&lt;&gt;0,IF$2,JF88&lt;&gt;0,JF$2,KF88&lt;&gt;0,KF$2,LF88&lt;&gt;0,LF$2,TRUE,"")</f>
        <v/>
      </c>
      <c r="HG88" s="1" t="str" cm="1">
        <f t="array" ref="HG88">+_xlfn.IFS(IG88&lt;&gt;0,IG$2,JG88&lt;&gt;0,JG$2,KG88&lt;&gt;0,KG$2,LG88&lt;&gt;0,LG$2,TRUE,"")</f>
        <v/>
      </c>
      <c r="HH88" s="1" t="str" cm="1">
        <f t="array" ref="HH88">+_xlfn.IFS(IH88&lt;&gt;0,IH$2,JH88&lt;&gt;0,JH$2,KH88&lt;&gt;0,KH$2,LH88&lt;&gt;0,LH$2,TRUE,"")</f>
        <v/>
      </c>
      <c r="HI88" s="1" t="str" cm="1">
        <f t="array" ref="HI88">+_xlfn.IFS(II88&lt;&gt;0,II$2,JI88&lt;&gt;0,JI$2,KI88&lt;&gt;0,KI$2,LI88&lt;&gt;0,LI$2,TRUE,"")</f>
        <v/>
      </c>
      <c r="HJ88" s="1" t="str" cm="1">
        <f t="array" ref="HJ88">+_xlfn.IFS(IJ88&lt;&gt;0,IJ$2,JJ88&lt;&gt;0,JJ$2,KJ88&lt;&gt;0,KJ$2,LJ88&lt;&gt;0,LJ$2,TRUE,"")</f>
        <v/>
      </c>
      <c r="HK88" s="1" t="str" cm="1">
        <f t="array" ref="HK88">+_xlfn.IFS(IK88&lt;&gt;0,IK$2,JK88&lt;&gt;0,JK$2,KK88&lt;&gt;0,KK$2,LK88&lt;&gt;0,LK$2,TRUE,"")</f>
        <v/>
      </c>
      <c r="HL88" s="1" t="str" cm="1">
        <f t="array" ref="HL88">+_xlfn.IFS(IL88&lt;&gt;0,IL$2,JL88&lt;&gt;0,JL$2,KL88&lt;&gt;0,KL$2,LL88&lt;&gt;0,LL$2,TRUE,"")</f>
        <v/>
      </c>
      <c r="HM88" s="1" t="str" cm="1">
        <f t="array" ref="HM88">+_xlfn.IFS(IM88&lt;&gt;0,IM$2,JM88&lt;&gt;0,JM$2,KM88&lt;&gt;0,KM$2,LM88&lt;&gt;0,LM$2,TRUE,"")</f>
        <v/>
      </c>
      <c r="HN88" s="1" t="str" cm="1">
        <f t="array" ref="HN88">+_xlfn.IFS(IN88&lt;&gt;0,IN$2,JN88&lt;&gt;0,JN$2,KN88&lt;&gt;0,KN$2,LN88&lt;&gt;0,LN$2,TRUE,"")</f>
        <v>Upsell</v>
      </c>
      <c r="HO88" s="1" t="str" cm="1">
        <f t="array" ref="HO88">+_xlfn.IFS(IO88&lt;&gt;0,IO$2,JO88&lt;&gt;0,JO$2,KO88&lt;&gt;0,KO$2,LO88&lt;&gt;0,LO$2,TRUE,"")</f>
        <v>Upsell</v>
      </c>
      <c r="HP88" s="1" t="str" cm="1">
        <f t="array" ref="HP88">+_xlfn.IFS(IP88&lt;&gt;0,IP$2,JP88&lt;&gt;0,JP$2,KP88&lt;&gt;0,KP$2,LP88&lt;&gt;0,LP$2,TRUE,"")</f>
        <v>Upsell</v>
      </c>
      <c r="HQ88" s="1" t="str" cm="1">
        <f t="array" ref="HQ88">+_xlfn.IFS(IQ88&lt;&gt;0,IQ$2,JQ88&lt;&gt;0,JQ$2,KQ88&lt;&gt;0,KQ$2,LQ88&lt;&gt;0,LQ$2,TRUE,"")</f>
        <v>Upsell</v>
      </c>
      <c r="HR88" s="1" t="str" cm="1">
        <f t="array" ref="HR88">+_xlfn.IFS(IR88&lt;&gt;0,IR$2,JR88&lt;&gt;0,JR$2,KR88&lt;&gt;0,KR$2,LR88&lt;&gt;0,LR$2,TRUE,"")</f>
        <v>Upsell</v>
      </c>
      <c r="HS88" s="1" t="str" cm="1">
        <f t="array" ref="HS88">+_xlfn.IFS(IS88&lt;&gt;0,IS$2,JS88&lt;&gt;0,JS$2,KS88&lt;&gt;0,KS$2,LS88&lt;&gt;0,LS$2,TRUE,"")</f>
        <v>Upsell</v>
      </c>
      <c r="HT88" s="1" t="str" cm="1">
        <f t="array" ref="HT88">+_xlfn.IFS(IT88&lt;&gt;0,IT$2,JT88&lt;&gt;0,JT$2,KT88&lt;&gt;0,KT$2,LT88&lt;&gt;0,LT$2,TRUE,"")</f>
        <v>Upsell</v>
      </c>
      <c r="HV88" s="111">
        <f t="shared" si="607"/>
        <v>0</v>
      </c>
      <c r="HW88" s="110">
        <f t="shared" si="608"/>
        <v>0</v>
      </c>
      <c r="HX88" s="110">
        <f t="shared" si="609"/>
        <v>0</v>
      </c>
      <c r="HY88" s="110">
        <f t="shared" si="610"/>
        <v>0</v>
      </c>
      <c r="HZ88" s="110">
        <f t="shared" si="611"/>
        <v>0</v>
      </c>
      <c r="IA88" s="110">
        <f t="shared" si="612"/>
        <v>0</v>
      </c>
      <c r="IB88" s="110">
        <f t="shared" si="613"/>
        <v>0</v>
      </c>
      <c r="IC88" s="110">
        <f t="shared" si="614"/>
        <v>0</v>
      </c>
      <c r="ID88" s="110">
        <f t="shared" si="615"/>
        <v>0</v>
      </c>
      <c r="IE88" s="110">
        <f t="shared" si="616"/>
        <v>0</v>
      </c>
      <c r="IF88" s="110">
        <f t="shared" si="617"/>
        <v>0</v>
      </c>
      <c r="IG88" s="110">
        <f t="shared" si="618"/>
        <v>0</v>
      </c>
      <c r="IH88" s="110">
        <f t="shared" si="619"/>
        <v>0</v>
      </c>
      <c r="II88" s="110">
        <f t="shared" si="620"/>
        <v>0</v>
      </c>
      <c r="IJ88" s="110">
        <f t="shared" si="621"/>
        <v>0</v>
      </c>
      <c r="IK88" s="110">
        <f t="shared" si="622"/>
        <v>0</v>
      </c>
      <c r="IL88" s="110">
        <f t="shared" si="623"/>
        <v>0</v>
      </c>
      <c r="IM88" s="110">
        <f t="shared" si="624"/>
        <v>0</v>
      </c>
      <c r="IN88" s="110">
        <f t="shared" si="625"/>
        <v>0</v>
      </c>
      <c r="IO88" s="110">
        <f t="shared" si="626"/>
        <v>0</v>
      </c>
      <c r="IP88" s="110">
        <f t="shared" si="627"/>
        <v>0</v>
      </c>
      <c r="IQ88" s="110">
        <f t="shared" si="628"/>
        <v>0</v>
      </c>
      <c r="IR88" s="110">
        <f t="shared" si="629"/>
        <v>0</v>
      </c>
      <c r="IS88" s="110">
        <f t="shared" si="630"/>
        <v>0</v>
      </c>
      <c r="IT88" s="110">
        <f t="shared" si="631"/>
        <v>0</v>
      </c>
      <c r="IV88" s="111">
        <f t="shared" si="632"/>
        <v>0</v>
      </c>
      <c r="IW88" s="110">
        <f t="shared" si="633"/>
        <v>0</v>
      </c>
      <c r="IX88" s="110">
        <f t="shared" si="634"/>
        <v>0</v>
      </c>
      <c r="IY88" s="110">
        <f t="shared" si="635"/>
        <v>0</v>
      </c>
      <c r="IZ88" s="110">
        <f t="shared" si="636"/>
        <v>0</v>
      </c>
      <c r="JA88" s="110">
        <f t="shared" si="637"/>
        <v>0</v>
      </c>
      <c r="JB88" s="110">
        <f t="shared" si="638"/>
        <v>0</v>
      </c>
      <c r="JC88" s="110">
        <f t="shared" si="639"/>
        <v>0</v>
      </c>
      <c r="JD88" s="110">
        <f t="shared" si="640"/>
        <v>0</v>
      </c>
      <c r="JE88" s="110">
        <f t="shared" si="641"/>
        <v>0</v>
      </c>
      <c r="JF88" s="110">
        <f t="shared" si="642"/>
        <v>0</v>
      </c>
      <c r="JG88" s="110">
        <f t="shared" si="643"/>
        <v>0</v>
      </c>
      <c r="JH88" s="110">
        <f t="shared" si="644"/>
        <v>0</v>
      </c>
      <c r="JI88" s="110">
        <f t="shared" si="645"/>
        <v>0</v>
      </c>
      <c r="JJ88" s="110">
        <f t="shared" si="646"/>
        <v>0</v>
      </c>
      <c r="JK88" s="110">
        <f t="shared" si="647"/>
        <v>0</v>
      </c>
      <c r="JL88" s="110">
        <f t="shared" si="648"/>
        <v>0</v>
      </c>
      <c r="JM88" s="110">
        <f t="shared" si="649"/>
        <v>0</v>
      </c>
      <c r="JN88" s="110">
        <f t="shared" si="650"/>
        <v>0</v>
      </c>
      <c r="JO88" s="110">
        <f t="shared" si="651"/>
        <v>0</v>
      </c>
      <c r="JP88" s="110">
        <f t="shared" si="652"/>
        <v>0</v>
      </c>
      <c r="JQ88" s="110">
        <f t="shared" si="653"/>
        <v>0</v>
      </c>
      <c r="JR88" s="110">
        <f t="shared" si="654"/>
        <v>0</v>
      </c>
      <c r="JS88" s="110">
        <f t="shared" si="655"/>
        <v>0</v>
      </c>
      <c r="JT88" s="110">
        <f t="shared" si="656"/>
        <v>0</v>
      </c>
      <c r="JV88" s="111">
        <f t="shared" si="657"/>
        <v>0</v>
      </c>
      <c r="JW88" s="110">
        <f t="shared" si="658"/>
        <v>0</v>
      </c>
      <c r="JX88" s="110">
        <f t="shared" si="659"/>
        <v>0</v>
      </c>
      <c r="JY88" s="110">
        <f t="shared" si="660"/>
        <v>0</v>
      </c>
      <c r="JZ88" s="110">
        <f t="shared" si="661"/>
        <v>0</v>
      </c>
      <c r="KA88" s="110">
        <f t="shared" si="662"/>
        <v>0</v>
      </c>
      <c r="KB88" s="110">
        <f t="shared" si="663"/>
        <v>0</v>
      </c>
      <c r="KC88" s="110">
        <f t="shared" si="664"/>
        <v>0</v>
      </c>
      <c r="KD88" s="110">
        <f t="shared" si="665"/>
        <v>0</v>
      </c>
      <c r="KE88" s="110">
        <f t="shared" si="666"/>
        <v>0</v>
      </c>
      <c r="KF88" s="110">
        <f t="shared" si="667"/>
        <v>0</v>
      </c>
      <c r="KG88" s="110">
        <f t="shared" si="668"/>
        <v>0</v>
      </c>
      <c r="KH88" s="110">
        <f t="shared" si="669"/>
        <v>0</v>
      </c>
      <c r="KI88" s="110">
        <f t="shared" si="670"/>
        <v>0</v>
      </c>
      <c r="KJ88" s="110">
        <f t="shared" si="671"/>
        <v>0</v>
      </c>
      <c r="KK88" s="110">
        <f t="shared" si="672"/>
        <v>0</v>
      </c>
      <c r="KL88" s="110">
        <f t="shared" si="673"/>
        <v>0</v>
      </c>
      <c r="KM88" s="110">
        <f t="shared" si="674"/>
        <v>0</v>
      </c>
      <c r="KN88" s="110">
        <f t="shared" si="675"/>
        <v>0</v>
      </c>
      <c r="KO88" s="110">
        <f t="shared" si="676"/>
        <v>0</v>
      </c>
      <c r="KP88" s="110">
        <f t="shared" si="677"/>
        <v>0</v>
      </c>
      <c r="KQ88" s="110">
        <f t="shared" si="678"/>
        <v>0</v>
      </c>
      <c r="KR88" s="110">
        <f t="shared" si="679"/>
        <v>0</v>
      </c>
      <c r="KS88" s="110">
        <f t="shared" si="680"/>
        <v>0</v>
      </c>
      <c r="KT88" s="110">
        <f t="shared" si="681"/>
        <v>0</v>
      </c>
      <c r="KV88" s="111">
        <f t="shared" si="682"/>
        <v>0</v>
      </c>
      <c r="KW88" s="110">
        <f t="shared" si="683"/>
        <v>0</v>
      </c>
      <c r="KX88" s="110">
        <f t="shared" si="684"/>
        <v>0</v>
      </c>
      <c r="KY88" s="110">
        <f t="shared" si="685"/>
        <v>0</v>
      </c>
      <c r="KZ88" s="110">
        <f t="shared" si="686"/>
        <v>0</v>
      </c>
      <c r="LA88" s="110">
        <f t="shared" si="687"/>
        <v>0</v>
      </c>
      <c r="LB88" s="110">
        <f t="shared" si="688"/>
        <v>0</v>
      </c>
      <c r="LC88" s="110">
        <f t="shared" si="689"/>
        <v>0</v>
      </c>
      <c r="LD88" s="110">
        <f t="shared" si="690"/>
        <v>0</v>
      </c>
      <c r="LE88" s="110">
        <f t="shared" si="691"/>
        <v>0</v>
      </c>
      <c r="LF88" s="110">
        <f t="shared" si="692"/>
        <v>0</v>
      </c>
      <c r="LG88" s="110">
        <f t="shared" si="693"/>
        <v>0</v>
      </c>
      <c r="LH88" s="110">
        <f t="shared" si="694"/>
        <v>0</v>
      </c>
      <c r="LI88" s="110">
        <f t="shared" si="695"/>
        <v>0</v>
      </c>
      <c r="LJ88" s="110">
        <f t="shared" si="696"/>
        <v>0</v>
      </c>
      <c r="LK88" s="110">
        <f t="shared" si="697"/>
        <v>0</v>
      </c>
      <c r="LL88" s="110">
        <f t="shared" si="698"/>
        <v>0</v>
      </c>
      <c r="LM88" s="110">
        <f t="shared" si="699"/>
        <v>0</v>
      </c>
      <c r="LN88" s="110">
        <f t="shared" si="700"/>
        <v>10.470000000000027</v>
      </c>
      <c r="LO88" s="110">
        <f t="shared" si="701"/>
        <v>10.470000000000027</v>
      </c>
      <c r="LP88" s="110">
        <f t="shared" si="702"/>
        <v>10.470000000000027</v>
      </c>
      <c r="LQ88" s="110">
        <f t="shared" si="703"/>
        <v>10.470000000000027</v>
      </c>
      <c r="LR88" s="110">
        <f t="shared" si="704"/>
        <v>10.470000000000027</v>
      </c>
      <c r="LS88" s="110">
        <f t="shared" si="705"/>
        <v>10.470000000000027</v>
      </c>
      <c r="LT88" s="110">
        <f t="shared" si="706"/>
        <v>10.470000000000027</v>
      </c>
      <c r="LV88" s="111"/>
      <c r="LW88" s="110">
        <f t="shared" si="707"/>
        <v>0</v>
      </c>
      <c r="LX88" s="110">
        <f t="shared" si="708"/>
        <v>0</v>
      </c>
      <c r="LY88" s="110">
        <f t="shared" si="709"/>
        <v>0</v>
      </c>
      <c r="LZ88" s="110">
        <f t="shared" si="710"/>
        <v>0</v>
      </c>
      <c r="MA88" s="110">
        <f t="shared" si="711"/>
        <v>0</v>
      </c>
      <c r="MB88" s="110">
        <f t="shared" si="712"/>
        <v>0</v>
      </c>
      <c r="MC88" s="110">
        <f t="shared" si="713"/>
        <v>0</v>
      </c>
      <c r="MD88" s="110">
        <f t="shared" si="714"/>
        <v>0</v>
      </c>
      <c r="ME88" s="110">
        <f t="shared" si="715"/>
        <v>0</v>
      </c>
      <c r="MF88" s="110">
        <f t="shared" si="716"/>
        <v>0</v>
      </c>
      <c r="MG88" s="110">
        <f t="shared" si="717"/>
        <v>0</v>
      </c>
      <c r="MH88" s="110">
        <f t="shared" si="718"/>
        <v>0</v>
      </c>
      <c r="MI88" s="110">
        <f t="shared" si="719"/>
        <v>0</v>
      </c>
      <c r="MJ88" s="110">
        <f t="shared" si="720"/>
        <v>0</v>
      </c>
      <c r="MK88" s="110">
        <f t="shared" si="721"/>
        <v>0</v>
      </c>
      <c r="ML88" s="110">
        <f t="shared" si="722"/>
        <v>0</v>
      </c>
      <c r="MM88" s="110">
        <f t="shared" si="723"/>
        <v>0</v>
      </c>
      <c r="MN88" s="110">
        <f t="shared" si="724"/>
        <v>0</v>
      </c>
      <c r="MO88" s="110">
        <f t="shared" si="725"/>
        <v>0</v>
      </c>
      <c r="MP88" s="110">
        <f t="shared" si="726"/>
        <v>0</v>
      </c>
      <c r="MQ88" s="110">
        <f t="shared" si="727"/>
        <v>0</v>
      </c>
      <c r="MR88" s="110">
        <f t="shared" si="728"/>
        <v>0</v>
      </c>
      <c r="MS88" s="110">
        <f t="shared" si="729"/>
        <v>0</v>
      </c>
      <c r="MT88" s="110">
        <f t="shared" si="730"/>
        <v>0</v>
      </c>
      <c r="MV88" s="114">
        <v>309.47000000000003</v>
      </c>
      <c r="MW88" s="114">
        <v>0</v>
      </c>
      <c r="MX88" s="114">
        <v>10.470000000000027</v>
      </c>
      <c r="MY88" s="114">
        <v>0</v>
      </c>
      <c r="MZ88" s="114">
        <v>0</v>
      </c>
      <c r="NB88" s="115">
        <v>18</v>
      </c>
      <c r="NC88" s="115" t="str">
        <v>N/A</v>
      </c>
      <c r="ND88" s="115">
        <v>15</v>
      </c>
      <c r="NE88" s="115" t="str">
        <v>N/A</v>
      </c>
      <c r="NF88" s="115" t="str">
        <v>N/A</v>
      </c>
    </row>
    <row r="89" spans="2:370" ht="13.5" x14ac:dyDescent="0.25">
      <c r="B89" s="8">
        <f t="shared" si="731"/>
        <v>86</v>
      </c>
      <c r="C89" s="7">
        <v>179</v>
      </c>
      <c r="D89" s="7">
        <v>179</v>
      </c>
      <c r="E89" s="7">
        <v>179</v>
      </c>
      <c r="F89" s="7">
        <v>179</v>
      </c>
      <c r="G89" s="7">
        <v>179</v>
      </c>
      <c r="H89" s="7">
        <v>179</v>
      </c>
      <c r="I89" s="7">
        <v>179</v>
      </c>
      <c r="J89" s="7">
        <v>179</v>
      </c>
      <c r="K89" s="7">
        <v>179</v>
      </c>
      <c r="L89" s="7">
        <v>179</v>
      </c>
      <c r="M89" s="7">
        <v>179</v>
      </c>
      <c r="N89" s="7">
        <v>179</v>
      </c>
      <c r="O89" s="7">
        <v>179</v>
      </c>
      <c r="P89" s="7">
        <v>179</v>
      </c>
      <c r="Q89" s="7">
        <v>179</v>
      </c>
      <c r="R89" s="7">
        <v>179</v>
      </c>
      <c r="S89" s="7">
        <v>179</v>
      </c>
      <c r="T89" s="7">
        <v>179</v>
      </c>
      <c r="U89" s="7">
        <v>179</v>
      </c>
      <c r="V89" s="7">
        <v>179</v>
      </c>
      <c r="W89" s="7">
        <v>179</v>
      </c>
      <c r="X89" s="7">
        <v>179</v>
      </c>
      <c r="Y89" s="7">
        <v>179</v>
      </c>
      <c r="Z89" s="7">
        <v>179</v>
      </c>
      <c r="AA89" s="7">
        <v>179</v>
      </c>
      <c r="AB89" s="7">
        <v>179</v>
      </c>
      <c r="AC89" s="7">
        <v>179</v>
      </c>
      <c r="AD89" s="7">
        <v>179</v>
      </c>
      <c r="AE89" s="7">
        <v>179</v>
      </c>
      <c r="AF89" s="7">
        <v>100</v>
      </c>
      <c r="AG89" s="7">
        <v>100</v>
      </c>
      <c r="AH89" s="7">
        <v>100</v>
      </c>
      <c r="AI89" s="7">
        <v>100</v>
      </c>
      <c r="AJ89" s="7">
        <v>100</v>
      </c>
      <c r="AK89" s="7">
        <v>100</v>
      </c>
      <c r="AL89" s="7">
        <v>100</v>
      </c>
      <c r="AM89" s="7">
        <v>100</v>
      </c>
      <c r="AN89" s="27">
        <v>86</v>
      </c>
      <c r="AP89" s="111"/>
      <c r="AQ89" s="110">
        <f t="shared" si="492"/>
        <v>0</v>
      </c>
      <c r="AR89" s="110">
        <f t="shared" si="493"/>
        <v>0</v>
      </c>
      <c r="AS89" s="110">
        <f t="shared" si="494"/>
        <v>0</v>
      </c>
      <c r="AT89" s="110">
        <f t="shared" si="495"/>
        <v>0</v>
      </c>
      <c r="AU89" s="110">
        <f t="shared" si="496"/>
        <v>0</v>
      </c>
      <c r="AV89" s="110">
        <f t="shared" si="497"/>
        <v>0</v>
      </c>
      <c r="AW89" s="110">
        <f t="shared" si="498"/>
        <v>0</v>
      </c>
      <c r="AX89" s="110">
        <f t="shared" si="499"/>
        <v>0</v>
      </c>
      <c r="AY89" s="110">
        <f t="shared" si="500"/>
        <v>0</v>
      </c>
      <c r="AZ89" s="110">
        <f t="shared" si="501"/>
        <v>-79</v>
      </c>
      <c r="BA89" s="110">
        <f t="shared" si="502"/>
        <v>0</v>
      </c>
      <c r="BB89" s="110">
        <f t="shared" si="503"/>
        <v>0</v>
      </c>
      <c r="BD89" s="109" cm="1">
        <f t="array" ref="BD89">+IFERROR(INDEX($C$3:$AM$3,MATCH(TRUE,INDEX($C89:$AM89&lt;&gt;0,0),0)),"N/A")</f>
        <v>44926</v>
      </c>
      <c r="BE89" s="112"/>
      <c r="BF89" s="1" t="str" cm="1">
        <f t="array" ref="BF89">+_xlfn.IFS(BT89&lt;&gt;0,BT$2,CH89&lt;&gt;0,CH$2,CV89&lt;&gt;0,CV$2,DJ89&lt;&gt;0,DJ$2,TRUE,"")</f>
        <v/>
      </c>
      <c r="BG89" s="1" t="str" cm="1">
        <f t="array" ref="BG89">+_xlfn.IFS(BU89&lt;&gt;0,BU$2,CI89&lt;&gt;0,CI$2,CW89&lt;&gt;0,CW$2,DK89&lt;&gt;0,DK$2,TRUE,"")</f>
        <v/>
      </c>
      <c r="BH89" s="1" t="str" cm="1">
        <f t="array" ref="BH89">+_xlfn.IFS(BV89&lt;&gt;0,BV$2,CJ89&lt;&gt;0,CJ$2,CX89&lt;&gt;0,CX$2,DL89&lt;&gt;0,DL$2,TRUE,"")</f>
        <v/>
      </c>
      <c r="BI89" s="1" t="str" cm="1">
        <f t="array" ref="BI89">+_xlfn.IFS(BW89&lt;&gt;0,BW$2,CK89&lt;&gt;0,CK$2,CY89&lt;&gt;0,CY$2,DM89&lt;&gt;0,DM$2,TRUE,"")</f>
        <v/>
      </c>
      <c r="BJ89" s="1" t="str" cm="1">
        <f t="array" ref="BJ89">+_xlfn.IFS(BX89&lt;&gt;0,BX$2,CL89&lt;&gt;0,CL$2,CZ89&lt;&gt;0,CZ$2,DN89&lt;&gt;0,DN$2,TRUE,"")</f>
        <v/>
      </c>
      <c r="BK89" s="1" t="str" cm="1">
        <f t="array" ref="BK89">+_xlfn.IFS(BY89&lt;&gt;0,BY$2,CM89&lt;&gt;0,CM$2,DA89&lt;&gt;0,DA$2,DO89&lt;&gt;0,DO$2,TRUE,"")</f>
        <v/>
      </c>
      <c r="BL89" s="1" t="str" cm="1">
        <f t="array" ref="BL89">+_xlfn.IFS(BZ89&lt;&gt;0,BZ$2,CN89&lt;&gt;0,CN$2,DB89&lt;&gt;0,DB$2,DP89&lt;&gt;0,DP$2,TRUE,"")</f>
        <v/>
      </c>
      <c r="BM89" s="1" t="str" cm="1">
        <f t="array" ref="BM89">+_xlfn.IFS(CA89&lt;&gt;0,CA$2,CO89&lt;&gt;0,CO$2,DC89&lt;&gt;0,DC$2,DQ89&lt;&gt;0,DQ$2,TRUE,"")</f>
        <v/>
      </c>
      <c r="BN89" s="1" t="str" cm="1">
        <f t="array" ref="BN89">+_xlfn.IFS(CB89&lt;&gt;0,CB$2,CP89&lt;&gt;0,CP$2,DD89&lt;&gt;0,DD$2,DR89&lt;&gt;0,DR$2,TRUE,"")</f>
        <v/>
      </c>
      <c r="BO89" s="1" t="str" cm="1">
        <f t="array" ref="BO89">+_xlfn.IFS(CC89&lt;&gt;0,CC$2,CQ89&lt;&gt;0,CQ$2,DE89&lt;&gt;0,DE$2,DS89&lt;&gt;0,DS$2,TRUE,"")</f>
        <v>Downsell</v>
      </c>
      <c r="BP89" s="1" t="str" cm="1">
        <f t="array" ref="BP89">+_xlfn.IFS(CD89&lt;&gt;0,CD$2,CR89&lt;&gt;0,CR$2,DF89&lt;&gt;0,DF$2,DT89&lt;&gt;0,DT$2,TRUE,"")</f>
        <v/>
      </c>
      <c r="BQ89" s="1" t="str" cm="1">
        <f t="array" ref="BQ89">+_xlfn.IFS(CE89&lt;&gt;0,CE$2,CS89&lt;&gt;0,CS$2,DG89&lt;&gt;0,DG$2,DU89&lt;&gt;0,DU$2,TRUE,"")</f>
        <v/>
      </c>
      <c r="BS89" s="111"/>
      <c r="BT89" s="110">
        <f t="shared" si="504"/>
        <v>0</v>
      </c>
      <c r="BU89" s="110">
        <f t="shared" si="505"/>
        <v>0</v>
      </c>
      <c r="BV89" s="110">
        <f t="shared" si="506"/>
        <v>0</v>
      </c>
      <c r="BW89" s="110">
        <f t="shared" si="507"/>
        <v>0</v>
      </c>
      <c r="BX89" s="110">
        <f t="shared" si="508"/>
        <v>0</v>
      </c>
      <c r="BY89" s="110">
        <f t="shared" si="509"/>
        <v>0</v>
      </c>
      <c r="BZ89" s="110">
        <f t="shared" si="510"/>
        <v>0</v>
      </c>
      <c r="CA89" s="110">
        <f t="shared" si="511"/>
        <v>0</v>
      </c>
      <c r="CB89" s="110">
        <f t="shared" si="512"/>
        <v>0</v>
      </c>
      <c r="CC89" s="110">
        <f t="shared" si="513"/>
        <v>0</v>
      </c>
      <c r="CD89" s="110">
        <f t="shared" si="514"/>
        <v>0</v>
      </c>
      <c r="CE89" s="110">
        <f t="shared" si="515"/>
        <v>0</v>
      </c>
      <c r="CG89" s="111"/>
      <c r="CH89" s="110">
        <f t="shared" si="516"/>
        <v>0</v>
      </c>
      <c r="CI89" s="110">
        <f t="shared" si="517"/>
        <v>0</v>
      </c>
      <c r="CJ89" s="110">
        <f t="shared" si="518"/>
        <v>0</v>
      </c>
      <c r="CK89" s="110">
        <f t="shared" si="519"/>
        <v>0</v>
      </c>
      <c r="CL89" s="110">
        <f t="shared" si="520"/>
        <v>0</v>
      </c>
      <c r="CM89" s="110">
        <f t="shared" si="521"/>
        <v>0</v>
      </c>
      <c r="CN89" s="110">
        <f t="shared" si="522"/>
        <v>0</v>
      </c>
      <c r="CO89" s="110">
        <f t="shared" si="523"/>
        <v>0</v>
      </c>
      <c r="CP89" s="110">
        <f t="shared" si="524"/>
        <v>0</v>
      </c>
      <c r="CQ89" s="110">
        <f t="shared" si="525"/>
        <v>0</v>
      </c>
      <c r="CR89" s="110">
        <f t="shared" si="526"/>
        <v>0</v>
      </c>
      <c r="CS89" s="110">
        <f t="shared" si="527"/>
        <v>0</v>
      </c>
      <c r="CU89" s="111"/>
      <c r="CV89" s="110">
        <f t="shared" si="528"/>
        <v>0</v>
      </c>
      <c r="CW89" s="110">
        <f t="shared" si="529"/>
        <v>0</v>
      </c>
      <c r="CX89" s="110">
        <f t="shared" si="530"/>
        <v>0</v>
      </c>
      <c r="CY89" s="110">
        <f t="shared" si="531"/>
        <v>0</v>
      </c>
      <c r="CZ89" s="110">
        <f t="shared" si="532"/>
        <v>0</v>
      </c>
      <c r="DA89" s="110">
        <f t="shared" si="533"/>
        <v>0</v>
      </c>
      <c r="DB89" s="110">
        <f t="shared" si="534"/>
        <v>0</v>
      </c>
      <c r="DC89" s="110">
        <f t="shared" si="535"/>
        <v>0</v>
      </c>
      <c r="DD89" s="110">
        <f t="shared" si="536"/>
        <v>0</v>
      </c>
      <c r="DE89" s="110">
        <f t="shared" si="537"/>
        <v>-79</v>
      </c>
      <c r="DF89" s="110">
        <f t="shared" si="538"/>
        <v>0</v>
      </c>
      <c r="DG89" s="110">
        <f t="shared" si="539"/>
        <v>0</v>
      </c>
      <c r="DI89" s="111"/>
      <c r="DJ89" s="110">
        <f t="shared" si="540"/>
        <v>0</v>
      </c>
      <c r="DK89" s="110">
        <f t="shared" si="541"/>
        <v>0</v>
      </c>
      <c r="DL89" s="110">
        <f t="shared" si="542"/>
        <v>0</v>
      </c>
      <c r="DM89" s="110">
        <f t="shared" si="543"/>
        <v>0</v>
      </c>
      <c r="DN89" s="110">
        <f t="shared" si="544"/>
        <v>0</v>
      </c>
      <c r="DO89" s="110">
        <f t="shared" si="545"/>
        <v>0</v>
      </c>
      <c r="DP89" s="110">
        <f t="shared" si="546"/>
        <v>0</v>
      </c>
      <c r="DQ89" s="110">
        <f t="shared" si="547"/>
        <v>0</v>
      </c>
      <c r="DR89" s="110">
        <f t="shared" si="548"/>
        <v>0</v>
      </c>
      <c r="DS89" s="110">
        <f t="shared" si="549"/>
        <v>0</v>
      </c>
      <c r="DT89" s="110">
        <f t="shared" si="550"/>
        <v>0</v>
      </c>
      <c r="DU89" s="110">
        <f t="shared" si="551"/>
        <v>0</v>
      </c>
      <c r="DW89" s="111"/>
      <c r="DX89" s="110">
        <f t="shared" si="552"/>
        <v>0</v>
      </c>
      <c r="DY89" s="110">
        <f t="shared" si="553"/>
        <v>0</v>
      </c>
      <c r="DZ89" s="110">
        <f t="shared" si="554"/>
        <v>0</v>
      </c>
      <c r="EA89" s="110">
        <f t="shared" si="555"/>
        <v>0</v>
      </c>
      <c r="EB89" s="110">
        <f t="shared" si="556"/>
        <v>0</v>
      </c>
      <c r="EC89" s="110">
        <f t="shared" si="557"/>
        <v>0</v>
      </c>
      <c r="ED89" s="110">
        <f t="shared" si="558"/>
        <v>0</v>
      </c>
      <c r="EE89" s="110">
        <f t="shared" si="559"/>
        <v>0</v>
      </c>
      <c r="EF89" s="110">
        <f t="shared" si="560"/>
        <v>0</v>
      </c>
      <c r="EG89" s="110">
        <f t="shared" si="561"/>
        <v>0</v>
      </c>
      <c r="EH89" s="110">
        <f t="shared" si="562"/>
        <v>0</v>
      </c>
      <c r="EI89" s="110">
        <f t="shared" si="563"/>
        <v>0</v>
      </c>
      <c r="EK89" s="111"/>
      <c r="EL89" s="110">
        <f t="shared" si="564"/>
        <v>0</v>
      </c>
      <c r="EM89" s="110">
        <f t="shared" si="565"/>
        <v>0</v>
      </c>
      <c r="EN89" s="110">
        <f t="shared" si="566"/>
        <v>-79</v>
      </c>
      <c r="EP89" s="109" cm="1">
        <f t="array" ref="EP89">+IFERROR(INDEX($C$3:$AM$3,MATCH(TRUE,INDEX($C89:$AM89&lt;&gt;0,0),0)),"N/A")</f>
        <v>44926</v>
      </c>
      <c r="EQ89" s="112"/>
      <c r="ER89" s="1" t="str" cm="1">
        <f t="array" ref="ER89">+_xlfn.IFS(EW89&lt;&gt;0,EW$2,FB89&lt;&gt;0,FB$2,FG89&lt;&gt;0,FG$2,FL89&lt;&gt;0,FL$2,TRUE,"")</f>
        <v/>
      </c>
      <c r="ES89" s="1" t="str" cm="1">
        <f t="array" ref="ES89">+_xlfn.IFS(EX89&lt;&gt;0,EX$2,FC89&lt;&gt;0,FC$2,FH89&lt;&gt;0,FH$2,FM89&lt;&gt;0,FM$2,TRUE,"")</f>
        <v/>
      </c>
      <c r="ET89" s="1" t="str" cm="1">
        <f t="array" ref="ET89">+_xlfn.IFS(EY89&lt;&gt;0,EY$2,FD89&lt;&gt;0,FD$2,FI89&lt;&gt;0,FI$2,FN89&lt;&gt;0,FN$2,TRUE,"")</f>
        <v>Downsell</v>
      </c>
      <c r="EV89" s="111"/>
      <c r="EW89" s="110">
        <f t="shared" si="567"/>
        <v>0</v>
      </c>
      <c r="EX89" s="110">
        <f t="shared" si="568"/>
        <v>0</v>
      </c>
      <c r="EY89" s="110">
        <f t="shared" si="569"/>
        <v>0</v>
      </c>
      <c r="FA89" s="111"/>
      <c r="FB89" s="110">
        <f t="shared" si="570"/>
        <v>0</v>
      </c>
      <c r="FC89" s="110">
        <f t="shared" si="571"/>
        <v>0</v>
      </c>
      <c r="FD89" s="110">
        <f t="shared" si="572"/>
        <v>0</v>
      </c>
      <c r="FF89" s="111"/>
      <c r="FG89" s="110">
        <f t="shared" si="573"/>
        <v>0</v>
      </c>
      <c r="FH89" s="110">
        <f t="shared" si="574"/>
        <v>0</v>
      </c>
      <c r="FI89" s="110">
        <f t="shared" si="575"/>
        <v>-79</v>
      </c>
      <c r="FK89" s="111"/>
      <c r="FL89" s="110">
        <f t="shared" si="576"/>
        <v>0</v>
      </c>
      <c r="FM89" s="110">
        <f t="shared" si="577"/>
        <v>0</v>
      </c>
      <c r="FN89" s="110">
        <f t="shared" si="578"/>
        <v>0</v>
      </c>
      <c r="FP89" s="111"/>
      <c r="FQ89" s="110">
        <f t="shared" si="579"/>
        <v>0</v>
      </c>
      <c r="FR89" s="110">
        <f t="shared" si="580"/>
        <v>0</v>
      </c>
      <c r="FS89" s="110">
        <f t="shared" si="581"/>
        <v>0</v>
      </c>
      <c r="FU89" s="111">
        <f t="shared" si="582"/>
        <v>0</v>
      </c>
      <c r="FV89" s="110">
        <f t="shared" si="583"/>
        <v>0</v>
      </c>
      <c r="FW89" s="110">
        <f t="shared" si="584"/>
        <v>0</v>
      </c>
      <c r="FX89" s="110">
        <f t="shared" si="585"/>
        <v>0</v>
      </c>
      <c r="FY89" s="110">
        <f t="shared" si="586"/>
        <v>0</v>
      </c>
      <c r="FZ89" s="110">
        <f t="shared" si="587"/>
        <v>0</v>
      </c>
      <c r="GA89" s="110">
        <f t="shared" si="588"/>
        <v>0</v>
      </c>
      <c r="GB89" s="110">
        <f t="shared" si="589"/>
        <v>0</v>
      </c>
      <c r="GC89" s="110">
        <f t="shared" si="590"/>
        <v>0</v>
      </c>
      <c r="GD89" s="110">
        <f t="shared" si="591"/>
        <v>0</v>
      </c>
      <c r="GE89" s="110">
        <f t="shared" si="592"/>
        <v>0</v>
      </c>
      <c r="GF89" s="110">
        <f t="shared" si="593"/>
        <v>0</v>
      </c>
      <c r="GG89" s="110">
        <f t="shared" si="594"/>
        <v>0</v>
      </c>
      <c r="GH89" s="110">
        <f t="shared" si="595"/>
        <v>0</v>
      </c>
      <c r="GI89" s="110">
        <f t="shared" si="596"/>
        <v>0</v>
      </c>
      <c r="GJ89" s="110">
        <f t="shared" si="597"/>
        <v>0</v>
      </c>
      <c r="GK89" s="110">
        <f t="shared" si="598"/>
        <v>0</v>
      </c>
      <c r="GL89" s="110">
        <f t="shared" si="599"/>
        <v>-79</v>
      </c>
      <c r="GM89" s="110">
        <f t="shared" si="600"/>
        <v>-79</v>
      </c>
      <c r="GN89" s="110">
        <f t="shared" si="601"/>
        <v>-79</v>
      </c>
      <c r="GO89" s="110">
        <f t="shared" si="602"/>
        <v>-79</v>
      </c>
      <c r="GP89" s="110">
        <f t="shared" si="603"/>
        <v>-79</v>
      </c>
      <c r="GQ89" s="110">
        <f t="shared" si="604"/>
        <v>-79</v>
      </c>
      <c r="GR89" s="110">
        <f t="shared" si="605"/>
        <v>-79</v>
      </c>
      <c r="GS89" s="110">
        <f t="shared" si="606"/>
        <v>-79</v>
      </c>
      <c r="GU89" s="109" cm="1">
        <f t="array" ref="GU89">+IFERROR(INDEX($C$3:$AM$3,MATCH(TRUE,INDEX($C89:$AM89&lt;&gt;0,0),0)),"N/A")</f>
        <v>44926</v>
      </c>
      <c r="GV89" s="112" t="str" cm="1">
        <f t="array" ref="GV89">+_xlfn.IFS(HV89&lt;&gt;0,HV$2,IV89&lt;&gt;0,IV$2,JV89&lt;&gt;0,JV$2,KV89&lt;&gt;0,KV$2,TRUE,"")</f>
        <v/>
      </c>
      <c r="GW89" s="1" t="str" cm="1">
        <f t="array" ref="GW89">+_xlfn.IFS(HW89&lt;&gt;0,HW$2,IW89&lt;&gt;0,IW$2,JW89&lt;&gt;0,JW$2,KW89&lt;&gt;0,KW$2,TRUE,"")</f>
        <v/>
      </c>
      <c r="GX89" s="1" t="str" cm="1">
        <f t="array" ref="GX89">+_xlfn.IFS(HX89&lt;&gt;0,HX$2,IX89&lt;&gt;0,IX$2,JX89&lt;&gt;0,JX$2,KX89&lt;&gt;0,KX$2,TRUE,"")</f>
        <v/>
      </c>
      <c r="GY89" s="1" t="str" cm="1">
        <f t="array" ref="GY89">+_xlfn.IFS(HY89&lt;&gt;0,HY$2,IY89&lt;&gt;0,IY$2,JY89&lt;&gt;0,JY$2,KY89&lt;&gt;0,KY$2,TRUE,"")</f>
        <v/>
      </c>
      <c r="GZ89" s="1" t="str" cm="1">
        <f t="array" ref="GZ89">+_xlfn.IFS(HZ89&lt;&gt;0,HZ$2,IZ89&lt;&gt;0,IZ$2,JZ89&lt;&gt;0,JZ$2,KZ89&lt;&gt;0,KZ$2,TRUE,"")</f>
        <v/>
      </c>
      <c r="HA89" s="1" t="str" cm="1">
        <f t="array" ref="HA89">+_xlfn.IFS(IA89&lt;&gt;0,IA$2,JA89&lt;&gt;0,JA$2,KA89&lt;&gt;0,KA$2,LA89&lt;&gt;0,LA$2,TRUE,"")</f>
        <v/>
      </c>
      <c r="HB89" s="1" t="str" cm="1">
        <f t="array" ref="HB89">+_xlfn.IFS(IB89&lt;&gt;0,IB$2,JB89&lt;&gt;0,JB$2,KB89&lt;&gt;0,KB$2,LB89&lt;&gt;0,LB$2,TRUE,"")</f>
        <v/>
      </c>
      <c r="HC89" s="1" t="str" cm="1">
        <f t="array" ref="HC89">+_xlfn.IFS(IC89&lt;&gt;0,IC$2,JC89&lt;&gt;0,JC$2,KC89&lt;&gt;0,KC$2,LC89&lt;&gt;0,LC$2,TRUE,"")</f>
        <v/>
      </c>
      <c r="HD89" s="1" t="str" cm="1">
        <f t="array" ref="HD89">+_xlfn.IFS(ID89&lt;&gt;0,ID$2,JD89&lt;&gt;0,JD$2,KD89&lt;&gt;0,KD$2,LD89&lt;&gt;0,LD$2,TRUE,"")</f>
        <v/>
      </c>
      <c r="HE89" s="1" t="str" cm="1">
        <f t="array" ref="HE89">+_xlfn.IFS(IE89&lt;&gt;0,IE$2,JE89&lt;&gt;0,JE$2,KE89&lt;&gt;0,KE$2,LE89&lt;&gt;0,LE$2,TRUE,"")</f>
        <v/>
      </c>
      <c r="HF89" s="1" t="str" cm="1">
        <f t="array" ref="HF89">+_xlfn.IFS(IF89&lt;&gt;0,IF$2,JF89&lt;&gt;0,JF$2,KF89&lt;&gt;0,KF$2,LF89&lt;&gt;0,LF$2,TRUE,"")</f>
        <v/>
      </c>
      <c r="HG89" s="1" t="str" cm="1">
        <f t="array" ref="HG89">+_xlfn.IFS(IG89&lt;&gt;0,IG$2,JG89&lt;&gt;0,JG$2,KG89&lt;&gt;0,KG$2,LG89&lt;&gt;0,LG$2,TRUE,"")</f>
        <v/>
      </c>
      <c r="HH89" s="1" t="str" cm="1">
        <f t="array" ref="HH89">+_xlfn.IFS(IH89&lt;&gt;0,IH$2,JH89&lt;&gt;0,JH$2,KH89&lt;&gt;0,KH$2,LH89&lt;&gt;0,LH$2,TRUE,"")</f>
        <v/>
      </c>
      <c r="HI89" s="1" t="str" cm="1">
        <f t="array" ref="HI89">+_xlfn.IFS(II89&lt;&gt;0,II$2,JI89&lt;&gt;0,JI$2,KI89&lt;&gt;0,KI$2,LI89&lt;&gt;0,LI$2,TRUE,"")</f>
        <v/>
      </c>
      <c r="HJ89" s="1" t="str" cm="1">
        <f t="array" ref="HJ89">+_xlfn.IFS(IJ89&lt;&gt;0,IJ$2,JJ89&lt;&gt;0,JJ$2,KJ89&lt;&gt;0,KJ$2,LJ89&lt;&gt;0,LJ$2,TRUE,"")</f>
        <v/>
      </c>
      <c r="HK89" s="1" t="str" cm="1">
        <f t="array" ref="HK89">+_xlfn.IFS(IK89&lt;&gt;0,IK$2,JK89&lt;&gt;0,JK$2,KK89&lt;&gt;0,KK$2,LK89&lt;&gt;0,LK$2,TRUE,"")</f>
        <v/>
      </c>
      <c r="HL89" s="1" t="str" cm="1">
        <f t="array" ref="HL89">+_xlfn.IFS(IL89&lt;&gt;0,IL$2,JL89&lt;&gt;0,JL$2,KL89&lt;&gt;0,KL$2,LL89&lt;&gt;0,LL$2,TRUE,"")</f>
        <v/>
      </c>
      <c r="HM89" s="1" t="str" cm="1">
        <f t="array" ref="HM89">+_xlfn.IFS(IM89&lt;&gt;0,IM$2,JM89&lt;&gt;0,JM$2,KM89&lt;&gt;0,KM$2,LM89&lt;&gt;0,LM$2,TRUE,"")</f>
        <v>Downsell</v>
      </c>
      <c r="HN89" s="1" t="str" cm="1">
        <f t="array" ref="HN89">+_xlfn.IFS(IN89&lt;&gt;0,IN$2,JN89&lt;&gt;0,JN$2,KN89&lt;&gt;0,KN$2,LN89&lt;&gt;0,LN$2,TRUE,"")</f>
        <v>Downsell</v>
      </c>
      <c r="HO89" s="1" t="str" cm="1">
        <f t="array" ref="HO89">+_xlfn.IFS(IO89&lt;&gt;0,IO$2,JO89&lt;&gt;0,JO$2,KO89&lt;&gt;0,KO$2,LO89&lt;&gt;0,LO$2,TRUE,"")</f>
        <v>Downsell</v>
      </c>
      <c r="HP89" s="1" t="str" cm="1">
        <f t="array" ref="HP89">+_xlfn.IFS(IP89&lt;&gt;0,IP$2,JP89&lt;&gt;0,JP$2,KP89&lt;&gt;0,KP$2,LP89&lt;&gt;0,LP$2,TRUE,"")</f>
        <v>Downsell</v>
      </c>
      <c r="HQ89" s="1" t="str" cm="1">
        <f t="array" ref="HQ89">+_xlfn.IFS(IQ89&lt;&gt;0,IQ$2,JQ89&lt;&gt;0,JQ$2,KQ89&lt;&gt;0,KQ$2,LQ89&lt;&gt;0,LQ$2,TRUE,"")</f>
        <v>Downsell</v>
      </c>
      <c r="HR89" s="1" t="str" cm="1">
        <f t="array" ref="HR89">+_xlfn.IFS(IR89&lt;&gt;0,IR$2,JR89&lt;&gt;0,JR$2,KR89&lt;&gt;0,KR$2,LR89&lt;&gt;0,LR$2,TRUE,"")</f>
        <v>Downsell</v>
      </c>
      <c r="HS89" s="1" t="str" cm="1">
        <f t="array" ref="HS89">+_xlfn.IFS(IS89&lt;&gt;0,IS$2,JS89&lt;&gt;0,JS$2,KS89&lt;&gt;0,KS$2,LS89&lt;&gt;0,LS$2,TRUE,"")</f>
        <v>Downsell</v>
      </c>
      <c r="HT89" s="1" t="str" cm="1">
        <f t="array" ref="HT89">+_xlfn.IFS(IT89&lt;&gt;0,IT$2,JT89&lt;&gt;0,JT$2,KT89&lt;&gt;0,KT$2,LT89&lt;&gt;0,LT$2,TRUE,"")</f>
        <v>Downsell</v>
      </c>
      <c r="HV89" s="111">
        <f t="shared" si="607"/>
        <v>0</v>
      </c>
      <c r="HW89" s="110">
        <f t="shared" si="608"/>
        <v>0</v>
      </c>
      <c r="HX89" s="110">
        <f t="shared" si="609"/>
        <v>0</v>
      </c>
      <c r="HY89" s="110">
        <f t="shared" si="610"/>
        <v>0</v>
      </c>
      <c r="HZ89" s="110">
        <f t="shared" si="611"/>
        <v>0</v>
      </c>
      <c r="IA89" s="110">
        <f t="shared" si="612"/>
        <v>0</v>
      </c>
      <c r="IB89" s="110">
        <f t="shared" si="613"/>
        <v>0</v>
      </c>
      <c r="IC89" s="110">
        <f t="shared" si="614"/>
        <v>0</v>
      </c>
      <c r="ID89" s="110">
        <f t="shared" si="615"/>
        <v>0</v>
      </c>
      <c r="IE89" s="110">
        <f t="shared" si="616"/>
        <v>0</v>
      </c>
      <c r="IF89" s="110">
        <f t="shared" si="617"/>
        <v>0</v>
      </c>
      <c r="IG89" s="110">
        <f t="shared" si="618"/>
        <v>0</v>
      </c>
      <c r="IH89" s="110">
        <f t="shared" si="619"/>
        <v>0</v>
      </c>
      <c r="II89" s="110">
        <f t="shared" si="620"/>
        <v>0</v>
      </c>
      <c r="IJ89" s="110">
        <f t="shared" si="621"/>
        <v>0</v>
      </c>
      <c r="IK89" s="110">
        <f t="shared" si="622"/>
        <v>0</v>
      </c>
      <c r="IL89" s="110">
        <f t="shared" si="623"/>
        <v>0</v>
      </c>
      <c r="IM89" s="110">
        <f t="shared" si="624"/>
        <v>0</v>
      </c>
      <c r="IN89" s="110">
        <f t="shared" si="625"/>
        <v>0</v>
      </c>
      <c r="IO89" s="110">
        <f t="shared" si="626"/>
        <v>0</v>
      </c>
      <c r="IP89" s="110">
        <f t="shared" si="627"/>
        <v>0</v>
      </c>
      <c r="IQ89" s="110">
        <f t="shared" si="628"/>
        <v>0</v>
      </c>
      <c r="IR89" s="110">
        <f t="shared" si="629"/>
        <v>0</v>
      </c>
      <c r="IS89" s="110">
        <f t="shared" si="630"/>
        <v>0</v>
      </c>
      <c r="IT89" s="110">
        <f t="shared" si="631"/>
        <v>0</v>
      </c>
      <c r="IV89" s="111">
        <f t="shared" si="632"/>
        <v>0</v>
      </c>
      <c r="IW89" s="110">
        <f t="shared" si="633"/>
        <v>0</v>
      </c>
      <c r="IX89" s="110">
        <f t="shared" si="634"/>
        <v>0</v>
      </c>
      <c r="IY89" s="110">
        <f t="shared" si="635"/>
        <v>0</v>
      </c>
      <c r="IZ89" s="110">
        <f t="shared" si="636"/>
        <v>0</v>
      </c>
      <c r="JA89" s="110">
        <f t="shared" si="637"/>
        <v>0</v>
      </c>
      <c r="JB89" s="110">
        <f t="shared" si="638"/>
        <v>0</v>
      </c>
      <c r="JC89" s="110">
        <f t="shared" si="639"/>
        <v>0</v>
      </c>
      <c r="JD89" s="110">
        <f t="shared" si="640"/>
        <v>0</v>
      </c>
      <c r="JE89" s="110">
        <f t="shared" si="641"/>
        <v>0</v>
      </c>
      <c r="JF89" s="110">
        <f t="shared" si="642"/>
        <v>0</v>
      </c>
      <c r="JG89" s="110">
        <f t="shared" si="643"/>
        <v>0</v>
      </c>
      <c r="JH89" s="110">
        <f t="shared" si="644"/>
        <v>0</v>
      </c>
      <c r="JI89" s="110">
        <f t="shared" si="645"/>
        <v>0</v>
      </c>
      <c r="JJ89" s="110">
        <f t="shared" si="646"/>
        <v>0</v>
      </c>
      <c r="JK89" s="110">
        <f t="shared" si="647"/>
        <v>0</v>
      </c>
      <c r="JL89" s="110">
        <f t="shared" si="648"/>
        <v>0</v>
      </c>
      <c r="JM89" s="110">
        <f t="shared" si="649"/>
        <v>0</v>
      </c>
      <c r="JN89" s="110">
        <f t="shared" si="650"/>
        <v>0</v>
      </c>
      <c r="JO89" s="110">
        <f t="shared" si="651"/>
        <v>0</v>
      </c>
      <c r="JP89" s="110">
        <f t="shared" si="652"/>
        <v>0</v>
      </c>
      <c r="JQ89" s="110">
        <f t="shared" si="653"/>
        <v>0</v>
      </c>
      <c r="JR89" s="110">
        <f t="shared" si="654"/>
        <v>0</v>
      </c>
      <c r="JS89" s="110">
        <f t="shared" si="655"/>
        <v>0</v>
      </c>
      <c r="JT89" s="110">
        <f t="shared" si="656"/>
        <v>0</v>
      </c>
      <c r="JV89" s="111">
        <f t="shared" si="657"/>
        <v>0</v>
      </c>
      <c r="JW89" s="110">
        <f t="shared" si="658"/>
        <v>0</v>
      </c>
      <c r="JX89" s="110">
        <f t="shared" si="659"/>
        <v>0</v>
      </c>
      <c r="JY89" s="110">
        <f t="shared" si="660"/>
        <v>0</v>
      </c>
      <c r="JZ89" s="110">
        <f t="shared" si="661"/>
        <v>0</v>
      </c>
      <c r="KA89" s="110">
        <f t="shared" si="662"/>
        <v>0</v>
      </c>
      <c r="KB89" s="110">
        <f t="shared" si="663"/>
        <v>0</v>
      </c>
      <c r="KC89" s="110">
        <f t="shared" si="664"/>
        <v>0</v>
      </c>
      <c r="KD89" s="110">
        <f t="shared" si="665"/>
        <v>0</v>
      </c>
      <c r="KE89" s="110">
        <f t="shared" si="666"/>
        <v>0</v>
      </c>
      <c r="KF89" s="110">
        <f t="shared" si="667"/>
        <v>0</v>
      </c>
      <c r="KG89" s="110">
        <f t="shared" si="668"/>
        <v>0</v>
      </c>
      <c r="KH89" s="110">
        <f t="shared" si="669"/>
        <v>0</v>
      </c>
      <c r="KI89" s="110">
        <f t="shared" si="670"/>
        <v>0</v>
      </c>
      <c r="KJ89" s="110">
        <f t="shared" si="671"/>
        <v>0</v>
      </c>
      <c r="KK89" s="110">
        <f t="shared" si="672"/>
        <v>0</v>
      </c>
      <c r="KL89" s="110">
        <f t="shared" si="673"/>
        <v>0</v>
      </c>
      <c r="KM89" s="110">
        <f t="shared" si="674"/>
        <v>-79</v>
      </c>
      <c r="KN89" s="110">
        <f t="shared" si="675"/>
        <v>-79</v>
      </c>
      <c r="KO89" s="110">
        <f t="shared" si="676"/>
        <v>-79</v>
      </c>
      <c r="KP89" s="110">
        <f t="shared" si="677"/>
        <v>-79</v>
      </c>
      <c r="KQ89" s="110">
        <f t="shared" si="678"/>
        <v>-79</v>
      </c>
      <c r="KR89" s="110">
        <f t="shared" si="679"/>
        <v>-79</v>
      </c>
      <c r="KS89" s="110">
        <f t="shared" si="680"/>
        <v>-79</v>
      </c>
      <c r="KT89" s="110">
        <f t="shared" si="681"/>
        <v>-79</v>
      </c>
      <c r="KV89" s="111">
        <f t="shared" si="682"/>
        <v>0</v>
      </c>
      <c r="KW89" s="110">
        <f t="shared" si="683"/>
        <v>0</v>
      </c>
      <c r="KX89" s="110">
        <f t="shared" si="684"/>
        <v>0</v>
      </c>
      <c r="KY89" s="110">
        <f t="shared" si="685"/>
        <v>0</v>
      </c>
      <c r="KZ89" s="110">
        <f t="shared" si="686"/>
        <v>0</v>
      </c>
      <c r="LA89" s="110">
        <f t="shared" si="687"/>
        <v>0</v>
      </c>
      <c r="LB89" s="110">
        <f t="shared" si="688"/>
        <v>0</v>
      </c>
      <c r="LC89" s="110">
        <f t="shared" si="689"/>
        <v>0</v>
      </c>
      <c r="LD89" s="110">
        <f t="shared" si="690"/>
        <v>0</v>
      </c>
      <c r="LE89" s="110">
        <f t="shared" si="691"/>
        <v>0</v>
      </c>
      <c r="LF89" s="110">
        <f t="shared" si="692"/>
        <v>0</v>
      </c>
      <c r="LG89" s="110">
        <f t="shared" si="693"/>
        <v>0</v>
      </c>
      <c r="LH89" s="110">
        <f t="shared" si="694"/>
        <v>0</v>
      </c>
      <c r="LI89" s="110">
        <f t="shared" si="695"/>
        <v>0</v>
      </c>
      <c r="LJ89" s="110">
        <f t="shared" si="696"/>
        <v>0</v>
      </c>
      <c r="LK89" s="110">
        <f t="shared" si="697"/>
        <v>0</v>
      </c>
      <c r="LL89" s="110">
        <f t="shared" si="698"/>
        <v>0</v>
      </c>
      <c r="LM89" s="110">
        <f t="shared" si="699"/>
        <v>0</v>
      </c>
      <c r="LN89" s="110">
        <f t="shared" si="700"/>
        <v>0</v>
      </c>
      <c r="LO89" s="110">
        <f t="shared" si="701"/>
        <v>0</v>
      </c>
      <c r="LP89" s="110">
        <f t="shared" si="702"/>
        <v>0</v>
      </c>
      <c r="LQ89" s="110">
        <f t="shared" si="703"/>
        <v>0</v>
      </c>
      <c r="LR89" s="110">
        <f t="shared" si="704"/>
        <v>0</v>
      </c>
      <c r="LS89" s="110">
        <f t="shared" si="705"/>
        <v>0</v>
      </c>
      <c r="LT89" s="110">
        <f t="shared" si="706"/>
        <v>0</v>
      </c>
      <c r="LV89" s="111"/>
      <c r="LW89" s="110">
        <f t="shared" si="707"/>
        <v>0</v>
      </c>
      <c r="LX89" s="110">
        <f t="shared" si="708"/>
        <v>0</v>
      </c>
      <c r="LY89" s="110">
        <f t="shared" si="709"/>
        <v>0</v>
      </c>
      <c r="LZ89" s="110">
        <f t="shared" si="710"/>
        <v>0</v>
      </c>
      <c r="MA89" s="110">
        <f t="shared" si="711"/>
        <v>0</v>
      </c>
      <c r="MB89" s="110">
        <f t="shared" si="712"/>
        <v>0</v>
      </c>
      <c r="MC89" s="110">
        <f t="shared" si="713"/>
        <v>0</v>
      </c>
      <c r="MD89" s="110">
        <f t="shared" si="714"/>
        <v>0</v>
      </c>
      <c r="ME89" s="110">
        <f t="shared" si="715"/>
        <v>0</v>
      </c>
      <c r="MF89" s="110">
        <f t="shared" si="716"/>
        <v>0</v>
      </c>
      <c r="MG89" s="110">
        <f t="shared" si="717"/>
        <v>0</v>
      </c>
      <c r="MH89" s="110">
        <f t="shared" si="718"/>
        <v>0</v>
      </c>
      <c r="MI89" s="110">
        <f t="shared" si="719"/>
        <v>0</v>
      </c>
      <c r="MJ89" s="110">
        <f t="shared" si="720"/>
        <v>0</v>
      </c>
      <c r="MK89" s="110">
        <f t="shared" si="721"/>
        <v>0</v>
      </c>
      <c r="ML89" s="110">
        <f t="shared" si="722"/>
        <v>0</v>
      </c>
      <c r="MM89" s="110">
        <f t="shared" si="723"/>
        <v>0</v>
      </c>
      <c r="MN89" s="110">
        <f t="shared" si="724"/>
        <v>0</v>
      </c>
      <c r="MO89" s="110">
        <f t="shared" si="725"/>
        <v>0</v>
      </c>
      <c r="MP89" s="110">
        <f t="shared" si="726"/>
        <v>0</v>
      </c>
      <c r="MQ89" s="110">
        <f t="shared" si="727"/>
        <v>0</v>
      </c>
      <c r="MR89" s="110">
        <f t="shared" si="728"/>
        <v>0</v>
      </c>
      <c r="MS89" s="110">
        <f t="shared" si="729"/>
        <v>0</v>
      </c>
      <c r="MT89" s="110">
        <f t="shared" si="730"/>
        <v>0</v>
      </c>
      <c r="MV89" s="114">
        <v>100</v>
      </c>
      <c r="MW89" s="114">
        <v>0</v>
      </c>
      <c r="MX89" s="114">
        <v>0</v>
      </c>
      <c r="MY89" s="114">
        <v>-79</v>
      </c>
      <c r="MZ89" s="114">
        <v>0</v>
      </c>
      <c r="NB89" s="115">
        <v>79</v>
      </c>
      <c r="NC89" s="115" t="str">
        <v>N/A</v>
      </c>
      <c r="ND89" s="115" t="str">
        <v>N/A</v>
      </c>
      <c r="NE89" s="115">
        <v>2</v>
      </c>
      <c r="NF89" s="115" t="str">
        <v>N/A</v>
      </c>
    </row>
    <row r="90" spans="2:370" ht="13.5" x14ac:dyDescent="0.25">
      <c r="B90" s="8">
        <f t="shared" si="731"/>
        <v>87</v>
      </c>
      <c r="C90" s="7">
        <v>179</v>
      </c>
      <c r="D90" s="7">
        <v>179</v>
      </c>
      <c r="E90" s="7">
        <v>179</v>
      </c>
      <c r="F90" s="7">
        <v>179</v>
      </c>
      <c r="G90" s="7">
        <v>179</v>
      </c>
      <c r="H90" s="7">
        <v>179</v>
      </c>
      <c r="I90" s="7">
        <v>179</v>
      </c>
      <c r="J90" s="7">
        <v>179</v>
      </c>
      <c r="K90" s="7">
        <v>179</v>
      </c>
      <c r="L90" s="7">
        <v>179</v>
      </c>
      <c r="M90" s="7">
        <v>179</v>
      </c>
      <c r="N90" s="7">
        <v>179</v>
      </c>
      <c r="O90" s="7">
        <v>179</v>
      </c>
      <c r="P90" s="7">
        <v>179</v>
      </c>
      <c r="Q90" s="7">
        <v>179</v>
      </c>
      <c r="R90" s="7">
        <v>179</v>
      </c>
      <c r="S90" s="7">
        <v>179</v>
      </c>
      <c r="T90" s="7">
        <v>179</v>
      </c>
      <c r="U90" s="7">
        <v>179</v>
      </c>
      <c r="V90" s="7">
        <v>179</v>
      </c>
      <c r="W90" s="7">
        <v>179</v>
      </c>
      <c r="X90" s="7">
        <v>179</v>
      </c>
      <c r="Y90" s="7">
        <v>179</v>
      </c>
      <c r="Z90" s="7">
        <v>179</v>
      </c>
      <c r="AA90" s="7">
        <v>179</v>
      </c>
      <c r="AB90" s="7">
        <v>179</v>
      </c>
      <c r="AC90" s="7">
        <v>179</v>
      </c>
      <c r="AD90" s="7">
        <v>179</v>
      </c>
      <c r="AE90" s="7">
        <v>179</v>
      </c>
      <c r="AF90" s="7">
        <v>179</v>
      </c>
      <c r="AG90" s="7">
        <v>179</v>
      </c>
      <c r="AH90" s="7">
        <v>185.27</v>
      </c>
      <c r="AI90" s="7">
        <v>185.27</v>
      </c>
      <c r="AJ90" s="7">
        <v>185.27</v>
      </c>
      <c r="AK90" s="7">
        <v>185.27</v>
      </c>
      <c r="AL90" s="7">
        <v>185.27</v>
      </c>
      <c r="AM90" s="7">
        <v>185.27</v>
      </c>
      <c r="AN90" s="27">
        <v>87</v>
      </c>
      <c r="AP90" s="111"/>
      <c r="AQ90" s="110">
        <f t="shared" si="492"/>
        <v>0</v>
      </c>
      <c r="AR90" s="110">
        <f t="shared" si="493"/>
        <v>0</v>
      </c>
      <c r="AS90" s="110">
        <f t="shared" si="494"/>
        <v>0</v>
      </c>
      <c r="AT90" s="110">
        <f t="shared" si="495"/>
        <v>0</v>
      </c>
      <c r="AU90" s="110">
        <f t="shared" si="496"/>
        <v>0</v>
      </c>
      <c r="AV90" s="110">
        <f t="shared" si="497"/>
        <v>0</v>
      </c>
      <c r="AW90" s="110">
        <f t="shared" si="498"/>
        <v>0</v>
      </c>
      <c r="AX90" s="110">
        <f t="shared" si="499"/>
        <v>0</v>
      </c>
      <c r="AY90" s="110">
        <f t="shared" si="500"/>
        <v>0</v>
      </c>
      <c r="AZ90" s="110">
        <f t="shared" si="501"/>
        <v>0</v>
      </c>
      <c r="BA90" s="110">
        <f t="shared" si="502"/>
        <v>6.2700000000000102</v>
      </c>
      <c r="BB90" s="110">
        <f t="shared" si="503"/>
        <v>0</v>
      </c>
      <c r="BD90" s="109" cm="1">
        <f t="array" ref="BD90">+IFERROR(INDEX($C$3:$AM$3,MATCH(TRUE,INDEX($C90:$AM90&lt;&gt;0,0),0)),"N/A")</f>
        <v>44926</v>
      </c>
      <c r="BE90" s="112"/>
      <c r="BF90" s="1" t="str" cm="1">
        <f t="array" ref="BF90">+_xlfn.IFS(BT90&lt;&gt;0,BT$2,CH90&lt;&gt;0,CH$2,CV90&lt;&gt;0,CV$2,DJ90&lt;&gt;0,DJ$2,TRUE,"")</f>
        <v/>
      </c>
      <c r="BG90" s="1" t="str" cm="1">
        <f t="array" ref="BG90">+_xlfn.IFS(BU90&lt;&gt;0,BU$2,CI90&lt;&gt;0,CI$2,CW90&lt;&gt;0,CW$2,DK90&lt;&gt;0,DK$2,TRUE,"")</f>
        <v/>
      </c>
      <c r="BH90" s="1" t="str" cm="1">
        <f t="array" ref="BH90">+_xlfn.IFS(BV90&lt;&gt;0,BV$2,CJ90&lt;&gt;0,CJ$2,CX90&lt;&gt;0,CX$2,DL90&lt;&gt;0,DL$2,TRUE,"")</f>
        <v/>
      </c>
      <c r="BI90" s="1" t="str" cm="1">
        <f t="array" ref="BI90">+_xlfn.IFS(BW90&lt;&gt;0,BW$2,CK90&lt;&gt;0,CK$2,CY90&lt;&gt;0,CY$2,DM90&lt;&gt;0,DM$2,TRUE,"")</f>
        <v/>
      </c>
      <c r="BJ90" s="1" t="str" cm="1">
        <f t="array" ref="BJ90">+_xlfn.IFS(BX90&lt;&gt;0,BX$2,CL90&lt;&gt;0,CL$2,CZ90&lt;&gt;0,CZ$2,DN90&lt;&gt;0,DN$2,TRUE,"")</f>
        <v/>
      </c>
      <c r="BK90" s="1" t="str" cm="1">
        <f t="array" ref="BK90">+_xlfn.IFS(BY90&lt;&gt;0,BY$2,CM90&lt;&gt;0,CM$2,DA90&lt;&gt;0,DA$2,DO90&lt;&gt;0,DO$2,TRUE,"")</f>
        <v/>
      </c>
      <c r="BL90" s="1" t="str" cm="1">
        <f t="array" ref="BL90">+_xlfn.IFS(BZ90&lt;&gt;0,BZ$2,CN90&lt;&gt;0,CN$2,DB90&lt;&gt;0,DB$2,DP90&lt;&gt;0,DP$2,TRUE,"")</f>
        <v/>
      </c>
      <c r="BM90" s="1" t="str" cm="1">
        <f t="array" ref="BM90">+_xlfn.IFS(CA90&lt;&gt;0,CA$2,CO90&lt;&gt;0,CO$2,DC90&lt;&gt;0,DC$2,DQ90&lt;&gt;0,DQ$2,TRUE,"")</f>
        <v/>
      </c>
      <c r="BN90" s="1" t="str" cm="1">
        <f t="array" ref="BN90">+_xlfn.IFS(CB90&lt;&gt;0,CB$2,CP90&lt;&gt;0,CP$2,DD90&lt;&gt;0,DD$2,DR90&lt;&gt;0,DR$2,TRUE,"")</f>
        <v/>
      </c>
      <c r="BO90" s="1" t="str" cm="1">
        <f t="array" ref="BO90">+_xlfn.IFS(CC90&lt;&gt;0,CC$2,CQ90&lt;&gt;0,CQ$2,DE90&lt;&gt;0,DE$2,DS90&lt;&gt;0,DS$2,TRUE,"")</f>
        <v/>
      </c>
      <c r="BP90" s="1" t="str" cm="1">
        <f t="array" ref="BP90">+_xlfn.IFS(CD90&lt;&gt;0,CD$2,CR90&lt;&gt;0,CR$2,DF90&lt;&gt;0,DF$2,DT90&lt;&gt;0,DT$2,TRUE,"")</f>
        <v>Upsell</v>
      </c>
      <c r="BQ90" s="1" t="str" cm="1">
        <f t="array" ref="BQ90">+_xlfn.IFS(CE90&lt;&gt;0,CE$2,CS90&lt;&gt;0,CS$2,DG90&lt;&gt;0,DG$2,DU90&lt;&gt;0,DU$2,TRUE,"")</f>
        <v/>
      </c>
      <c r="BS90" s="111"/>
      <c r="BT90" s="110">
        <f t="shared" si="504"/>
        <v>0</v>
      </c>
      <c r="BU90" s="110">
        <f t="shared" si="505"/>
        <v>0</v>
      </c>
      <c r="BV90" s="110">
        <f t="shared" si="506"/>
        <v>0</v>
      </c>
      <c r="BW90" s="110">
        <f t="shared" si="507"/>
        <v>0</v>
      </c>
      <c r="BX90" s="110">
        <f t="shared" si="508"/>
        <v>0</v>
      </c>
      <c r="BY90" s="110">
        <f t="shared" si="509"/>
        <v>0</v>
      </c>
      <c r="BZ90" s="110">
        <f t="shared" si="510"/>
        <v>0</v>
      </c>
      <c r="CA90" s="110">
        <f t="shared" si="511"/>
        <v>0</v>
      </c>
      <c r="CB90" s="110">
        <f t="shared" si="512"/>
        <v>0</v>
      </c>
      <c r="CC90" s="110">
        <f t="shared" si="513"/>
        <v>0</v>
      </c>
      <c r="CD90" s="110">
        <f t="shared" si="514"/>
        <v>0</v>
      </c>
      <c r="CE90" s="110">
        <f t="shared" si="515"/>
        <v>0</v>
      </c>
      <c r="CG90" s="111"/>
      <c r="CH90" s="110">
        <f t="shared" si="516"/>
        <v>0</v>
      </c>
      <c r="CI90" s="110">
        <f t="shared" si="517"/>
        <v>0</v>
      </c>
      <c r="CJ90" s="110">
        <f t="shared" si="518"/>
        <v>0</v>
      </c>
      <c r="CK90" s="110">
        <f t="shared" si="519"/>
        <v>0</v>
      </c>
      <c r="CL90" s="110">
        <f t="shared" si="520"/>
        <v>0</v>
      </c>
      <c r="CM90" s="110">
        <f t="shared" si="521"/>
        <v>0</v>
      </c>
      <c r="CN90" s="110">
        <f t="shared" si="522"/>
        <v>0</v>
      </c>
      <c r="CO90" s="110">
        <f t="shared" si="523"/>
        <v>0</v>
      </c>
      <c r="CP90" s="110">
        <f t="shared" si="524"/>
        <v>0</v>
      </c>
      <c r="CQ90" s="110">
        <f t="shared" si="525"/>
        <v>0</v>
      </c>
      <c r="CR90" s="110">
        <f t="shared" si="526"/>
        <v>0</v>
      </c>
      <c r="CS90" s="110">
        <f t="shared" si="527"/>
        <v>0</v>
      </c>
      <c r="CU90" s="111"/>
      <c r="CV90" s="110">
        <f t="shared" si="528"/>
        <v>0</v>
      </c>
      <c r="CW90" s="110">
        <f t="shared" si="529"/>
        <v>0</v>
      </c>
      <c r="CX90" s="110">
        <f t="shared" si="530"/>
        <v>0</v>
      </c>
      <c r="CY90" s="110">
        <f t="shared" si="531"/>
        <v>0</v>
      </c>
      <c r="CZ90" s="110">
        <f t="shared" si="532"/>
        <v>0</v>
      </c>
      <c r="DA90" s="110">
        <f t="shared" si="533"/>
        <v>0</v>
      </c>
      <c r="DB90" s="110">
        <f t="shared" si="534"/>
        <v>0</v>
      </c>
      <c r="DC90" s="110">
        <f t="shared" si="535"/>
        <v>0</v>
      </c>
      <c r="DD90" s="110">
        <f t="shared" si="536"/>
        <v>0</v>
      </c>
      <c r="DE90" s="110">
        <f t="shared" si="537"/>
        <v>0</v>
      </c>
      <c r="DF90" s="110">
        <f t="shared" si="538"/>
        <v>0</v>
      </c>
      <c r="DG90" s="110">
        <f t="shared" si="539"/>
        <v>0</v>
      </c>
      <c r="DI90" s="111"/>
      <c r="DJ90" s="110">
        <f t="shared" si="540"/>
        <v>0</v>
      </c>
      <c r="DK90" s="110">
        <f t="shared" si="541"/>
        <v>0</v>
      </c>
      <c r="DL90" s="110">
        <f t="shared" si="542"/>
        <v>0</v>
      </c>
      <c r="DM90" s="110">
        <f t="shared" si="543"/>
        <v>0</v>
      </c>
      <c r="DN90" s="110">
        <f t="shared" si="544"/>
        <v>0</v>
      </c>
      <c r="DO90" s="110">
        <f t="shared" si="545"/>
        <v>0</v>
      </c>
      <c r="DP90" s="110">
        <f t="shared" si="546"/>
        <v>0</v>
      </c>
      <c r="DQ90" s="110">
        <f t="shared" si="547"/>
        <v>0</v>
      </c>
      <c r="DR90" s="110">
        <f t="shared" si="548"/>
        <v>0</v>
      </c>
      <c r="DS90" s="110">
        <f t="shared" si="549"/>
        <v>0</v>
      </c>
      <c r="DT90" s="110">
        <f t="shared" si="550"/>
        <v>6.2700000000000102</v>
      </c>
      <c r="DU90" s="110">
        <f t="shared" si="551"/>
        <v>0</v>
      </c>
      <c r="DW90" s="111"/>
      <c r="DX90" s="110">
        <f t="shared" si="552"/>
        <v>0</v>
      </c>
      <c r="DY90" s="110">
        <f t="shared" si="553"/>
        <v>0</v>
      </c>
      <c r="DZ90" s="110">
        <f t="shared" si="554"/>
        <v>0</v>
      </c>
      <c r="EA90" s="110">
        <f t="shared" si="555"/>
        <v>0</v>
      </c>
      <c r="EB90" s="110">
        <f t="shared" si="556"/>
        <v>0</v>
      </c>
      <c r="EC90" s="110">
        <f t="shared" si="557"/>
        <v>0</v>
      </c>
      <c r="ED90" s="110">
        <f t="shared" si="558"/>
        <v>0</v>
      </c>
      <c r="EE90" s="110">
        <f t="shared" si="559"/>
        <v>0</v>
      </c>
      <c r="EF90" s="110">
        <f t="shared" si="560"/>
        <v>0</v>
      </c>
      <c r="EG90" s="110">
        <f t="shared" si="561"/>
        <v>0</v>
      </c>
      <c r="EH90" s="110">
        <f t="shared" si="562"/>
        <v>0</v>
      </c>
      <c r="EI90" s="110">
        <f t="shared" si="563"/>
        <v>0</v>
      </c>
      <c r="EK90" s="111"/>
      <c r="EL90" s="110">
        <f t="shared" si="564"/>
        <v>0</v>
      </c>
      <c r="EM90" s="110">
        <f t="shared" si="565"/>
        <v>0</v>
      </c>
      <c r="EN90" s="110">
        <f t="shared" si="566"/>
        <v>6.2700000000000102</v>
      </c>
      <c r="EP90" s="109" cm="1">
        <f t="array" ref="EP90">+IFERROR(INDEX($C$3:$AM$3,MATCH(TRUE,INDEX($C90:$AM90&lt;&gt;0,0),0)),"N/A")</f>
        <v>44926</v>
      </c>
      <c r="EQ90" s="112"/>
      <c r="ER90" s="1" t="str" cm="1">
        <f t="array" ref="ER90">+_xlfn.IFS(EW90&lt;&gt;0,EW$2,FB90&lt;&gt;0,FB$2,FG90&lt;&gt;0,FG$2,FL90&lt;&gt;0,FL$2,TRUE,"")</f>
        <v/>
      </c>
      <c r="ES90" s="1" t="str" cm="1">
        <f t="array" ref="ES90">+_xlfn.IFS(EX90&lt;&gt;0,EX$2,FC90&lt;&gt;0,FC$2,FH90&lt;&gt;0,FH$2,FM90&lt;&gt;0,FM$2,TRUE,"")</f>
        <v/>
      </c>
      <c r="ET90" s="1" t="str" cm="1">
        <f t="array" ref="ET90">+_xlfn.IFS(EY90&lt;&gt;0,EY$2,FD90&lt;&gt;0,FD$2,FI90&lt;&gt;0,FI$2,FN90&lt;&gt;0,FN$2,TRUE,"")</f>
        <v>Upsell</v>
      </c>
      <c r="EV90" s="111"/>
      <c r="EW90" s="110">
        <f t="shared" si="567"/>
        <v>0</v>
      </c>
      <c r="EX90" s="110">
        <f t="shared" si="568"/>
        <v>0</v>
      </c>
      <c r="EY90" s="110">
        <f t="shared" si="569"/>
        <v>0</v>
      </c>
      <c r="FA90" s="111"/>
      <c r="FB90" s="110">
        <f t="shared" si="570"/>
        <v>0</v>
      </c>
      <c r="FC90" s="110">
        <f t="shared" si="571"/>
        <v>0</v>
      </c>
      <c r="FD90" s="110">
        <f t="shared" si="572"/>
        <v>0</v>
      </c>
      <c r="FF90" s="111"/>
      <c r="FG90" s="110">
        <f t="shared" si="573"/>
        <v>0</v>
      </c>
      <c r="FH90" s="110">
        <f t="shared" si="574"/>
        <v>0</v>
      </c>
      <c r="FI90" s="110">
        <f t="shared" si="575"/>
        <v>0</v>
      </c>
      <c r="FK90" s="111"/>
      <c r="FL90" s="110">
        <f t="shared" si="576"/>
        <v>0</v>
      </c>
      <c r="FM90" s="110">
        <f t="shared" si="577"/>
        <v>0</v>
      </c>
      <c r="FN90" s="110">
        <f t="shared" si="578"/>
        <v>6.2700000000000102</v>
      </c>
      <c r="FP90" s="111"/>
      <c r="FQ90" s="110">
        <f t="shared" si="579"/>
        <v>0</v>
      </c>
      <c r="FR90" s="110">
        <f t="shared" si="580"/>
        <v>0</v>
      </c>
      <c r="FS90" s="110">
        <f t="shared" si="581"/>
        <v>0</v>
      </c>
      <c r="FU90" s="111">
        <f t="shared" si="582"/>
        <v>0</v>
      </c>
      <c r="FV90" s="110">
        <f t="shared" si="583"/>
        <v>0</v>
      </c>
      <c r="FW90" s="110">
        <f t="shared" si="584"/>
        <v>0</v>
      </c>
      <c r="FX90" s="110">
        <f t="shared" si="585"/>
        <v>0</v>
      </c>
      <c r="FY90" s="110">
        <f t="shared" si="586"/>
        <v>0</v>
      </c>
      <c r="FZ90" s="110">
        <f t="shared" si="587"/>
        <v>0</v>
      </c>
      <c r="GA90" s="110">
        <f t="shared" si="588"/>
        <v>0</v>
      </c>
      <c r="GB90" s="110">
        <f t="shared" si="589"/>
        <v>0</v>
      </c>
      <c r="GC90" s="110">
        <f t="shared" si="590"/>
        <v>0</v>
      </c>
      <c r="GD90" s="110">
        <f t="shared" si="591"/>
        <v>0</v>
      </c>
      <c r="GE90" s="110">
        <f t="shared" si="592"/>
        <v>0</v>
      </c>
      <c r="GF90" s="110">
        <f t="shared" si="593"/>
        <v>0</v>
      </c>
      <c r="GG90" s="110">
        <f t="shared" si="594"/>
        <v>0</v>
      </c>
      <c r="GH90" s="110">
        <f t="shared" si="595"/>
        <v>0</v>
      </c>
      <c r="GI90" s="110">
        <f t="shared" si="596"/>
        <v>0</v>
      </c>
      <c r="GJ90" s="110">
        <f t="shared" si="597"/>
        <v>0</v>
      </c>
      <c r="GK90" s="110">
        <f t="shared" si="598"/>
        <v>0</v>
      </c>
      <c r="GL90" s="110">
        <f t="shared" si="599"/>
        <v>0</v>
      </c>
      <c r="GM90" s="110">
        <f t="shared" si="600"/>
        <v>0</v>
      </c>
      <c r="GN90" s="110">
        <f t="shared" si="601"/>
        <v>6.2700000000000102</v>
      </c>
      <c r="GO90" s="110">
        <f t="shared" si="602"/>
        <v>6.2700000000000102</v>
      </c>
      <c r="GP90" s="110">
        <f t="shared" si="603"/>
        <v>6.2700000000000102</v>
      </c>
      <c r="GQ90" s="110">
        <f t="shared" si="604"/>
        <v>6.2700000000000102</v>
      </c>
      <c r="GR90" s="110">
        <f t="shared" si="605"/>
        <v>6.2700000000000102</v>
      </c>
      <c r="GS90" s="110">
        <f t="shared" si="606"/>
        <v>6.2700000000000102</v>
      </c>
      <c r="GU90" s="109" cm="1">
        <f t="array" ref="GU90">+IFERROR(INDEX($C$3:$AM$3,MATCH(TRUE,INDEX($C90:$AM90&lt;&gt;0,0),0)),"N/A")</f>
        <v>44926</v>
      </c>
      <c r="GV90" s="112" t="str" cm="1">
        <f t="array" ref="GV90">+_xlfn.IFS(HV90&lt;&gt;0,HV$2,IV90&lt;&gt;0,IV$2,JV90&lt;&gt;0,JV$2,KV90&lt;&gt;0,KV$2,TRUE,"")</f>
        <v/>
      </c>
      <c r="GW90" s="1" t="str" cm="1">
        <f t="array" ref="GW90">+_xlfn.IFS(HW90&lt;&gt;0,HW$2,IW90&lt;&gt;0,IW$2,JW90&lt;&gt;0,JW$2,KW90&lt;&gt;0,KW$2,TRUE,"")</f>
        <v/>
      </c>
      <c r="GX90" s="1" t="str" cm="1">
        <f t="array" ref="GX90">+_xlfn.IFS(HX90&lt;&gt;0,HX$2,IX90&lt;&gt;0,IX$2,JX90&lt;&gt;0,JX$2,KX90&lt;&gt;0,KX$2,TRUE,"")</f>
        <v/>
      </c>
      <c r="GY90" s="1" t="str" cm="1">
        <f t="array" ref="GY90">+_xlfn.IFS(HY90&lt;&gt;0,HY$2,IY90&lt;&gt;0,IY$2,JY90&lt;&gt;0,JY$2,KY90&lt;&gt;0,KY$2,TRUE,"")</f>
        <v/>
      </c>
      <c r="GZ90" s="1" t="str" cm="1">
        <f t="array" ref="GZ90">+_xlfn.IFS(HZ90&lt;&gt;0,HZ$2,IZ90&lt;&gt;0,IZ$2,JZ90&lt;&gt;0,JZ$2,KZ90&lt;&gt;0,KZ$2,TRUE,"")</f>
        <v/>
      </c>
      <c r="HA90" s="1" t="str" cm="1">
        <f t="array" ref="HA90">+_xlfn.IFS(IA90&lt;&gt;0,IA$2,JA90&lt;&gt;0,JA$2,KA90&lt;&gt;0,KA$2,LA90&lt;&gt;0,LA$2,TRUE,"")</f>
        <v/>
      </c>
      <c r="HB90" s="1" t="str" cm="1">
        <f t="array" ref="HB90">+_xlfn.IFS(IB90&lt;&gt;0,IB$2,JB90&lt;&gt;0,JB$2,KB90&lt;&gt;0,KB$2,LB90&lt;&gt;0,LB$2,TRUE,"")</f>
        <v/>
      </c>
      <c r="HC90" s="1" t="str" cm="1">
        <f t="array" ref="HC90">+_xlfn.IFS(IC90&lt;&gt;0,IC$2,JC90&lt;&gt;0,JC$2,KC90&lt;&gt;0,KC$2,LC90&lt;&gt;0,LC$2,TRUE,"")</f>
        <v/>
      </c>
      <c r="HD90" s="1" t="str" cm="1">
        <f t="array" ref="HD90">+_xlfn.IFS(ID90&lt;&gt;0,ID$2,JD90&lt;&gt;0,JD$2,KD90&lt;&gt;0,KD$2,LD90&lt;&gt;0,LD$2,TRUE,"")</f>
        <v/>
      </c>
      <c r="HE90" s="1" t="str" cm="1">
        <f t="array" ref="HE90">+_xlfn.IFS(IE90&lt;&gt;0,IE$2,JE90&lt;&gt;0,JE$2,KE90&lt;&gt;0,KE$2,LE90&lt;&gt;0,LE$2,TRUE,"")</f>
        <v/>
      </c>
      <c r="HF90" s="1" t="str" cm="1">
        <f t="array" ref="HF90">+_xlfn.IFS(IF90&lt;&gt;0,IF$2,JF90&lt;&gt;0,JF$2,KF90&lt;&gt;0,KF$2,LF90&lt;&gt;0,LF$2,TRUE,"")</f>
        <v/>
      </c>
      <c r="HG90" s="1" t="str" cm="1">
        <f t="array" ref="HG90">+_xlfn.IFS(IG90&lt;&gt;0,IG$2,JG90&lt;&gt;0,JG$2,KG90&lt;&gt;0,KG$2,LG90&lt;&gt;0,LG$2,TRUE,"")</f>
        <v/>
      </c>
      <c r="HH90" s="1" t="str" cm="1">
        <f t="array" ref="HH90">+_xlfn.IFS(IH90&lt;&gt;0,IH$2,JH90&lt;&gt;0,JH$2,KH90&lt;&gt;0,KH$2,LH90&lt;&gt;0,LH$2,TRUE,"")</f>
        <v/>
      </c>
      <c r="HI90" s="1" t="str" cm="1">
        <f t="array" ref="HI90">+_xlfn.IFS(II90&lt;&gt;0,II$2,JI90&lt;&gt;0,JI$2,KI90&lt;&gt;0,KI$2,LI90&lt;&gt;0,LI$2,TRUE,"")</f>
        <v/>
      </c>
      <c r="HJ90" s="1" t="str" cm="1">
        <f t="array" ref="HJ90">+_xlfn.IFS(IJ90&lt;&gt;0,IJ$2,JJ90&lt;&gt;0,JJ$2,KJ90&lt;&gt;0,KJ$2,LJ90&lt;&gt;0,LJ$2,TRUE,"")</f>
        <v/>
      </c>
      <c r="HK90" s="1" t="str" cm="1">
        <f t="array" ref="HK90">+_xlfn.IFS(IK90&lt;&gt;0,IK$2,JK90&lt;&gt;0,JK$2,KK90&lt;&gt;0,KK$2,LK90&lt;&gt;0,LK$2,TRUE,"")</f>
        <v/>
      </c>
      <c r="HL90" s="1" t="str" cm="1">
        <f t="array" ref="HL90">+_xlfn.IFS(IL90&lt;&gt;0,IL$2,JL90&lt;&gt;0,JL$2,KL90&lt;&gt;0,KL$2,LL90&lt;&gt;0,LL$2,TRUE,"")</f>
        <v/>
      </c>
      <c r="HM90" s="1" t="str" cm="1">
        <f t="array" ref="HM90">+_xlfn.IFS(IM90&lt;&gt;0,IM$2,JM90&lt;&gt;0,JM$2,KM90&lt;&gt;0,KM$2,LM90&lt;&gt;0,LM$2,TRUE,"")</f>
        <v/>
      </c>
      <c r="HN90" s="1" t="str" cm="1">
        <f t="array" ref="HN90">+_xlfn.IFS(IN90&lt;&gt;0,IN$2,JN90&lt;&gt;0,JN$2,KN90&lt;&gt;0,KN$2,LN90&lt;&gt;0,LN$2,TRUE,"")</f>
        <v/>
      </c>
      <c r="HO90" s="1" t="str" cm="1">
        <f t="array" ref="HO90">+_xlfn.IFS(IO90&lt;&gt;0,IO$2,JO90&lt;&gt;0,JO$2,KO90&lt;&gt;0,KO$2,LO90&lt;&gt;0,LO$2,TRUE,"")</f>
        <v>Upsell</v>
      </c>
      <c r="HP90" s="1" t="str" cm="1">
        <f t="array" ref="HP90">+_xlfn.IFS(IP90&lt;&gt;0,IP$2,JP90&lt;&gt;0,JP$2,KP90&lt;&gt;0,KP$2,LP90&lt;&gt;0,LP$2,TRUE,"")</f>
        <v>Upsell</v>
      </c>
      <c r="HQ90" s="1" t="str" cm="1">
        <f t="array" ref="HQ90">+_xlfn.IFS(IQ90&lt;&gt;0,IQ$2,JQ90&lt;&gt;0,JQ$2,KQ90&lt;&gt;0,KQ$2,LQ90&lt;&gt;0,LQ$2,TRUE,"")</f>
        <v>Upsell</v>
      </c>
      <c r="HR90" s="1" t="str" cm="1">
        <f t="array" ref="HR90">+_xlfn.IFS(IR90&lt;&gt;0,IR$2,JR90&lt;&gt;0,JR$2,KR90&lt;&gt;0,KR$2,LR90&lt;&gt;0,LR$2,TRUE,"")</f>
        <v>Upsell</v>
      </c>
      <c r="HS90" s="1" t="str" cm="1">
        <f t="array" ref="HS90">+_xlfn.IFS(IS90&lt;&gt;0,IS$2,JS90&lt;&gt;0,JS$2,KS90&lt;&gt;0,KS$2,LS90&lt;&gt;0,LS$2,TRUE,"")</f>
        <v>Upsell</v>
      </c>
      <c r="HT90" s="1" t="str" cm="1">
        <f t="array" ref="HT90">+_xlfn.IFS(IT90&lt;&gt;0,IT$2,JT90&lt;&gt;0,JT$2,KT90&lt;&gt;0,KT$2,LT90&lt;&gt;0,LT$2,TRUE,"")</f>
        <v>Upsell</v>
      </c>
      <c r="HV90" s="111">
        <f t="shared" si="607"/>
        <v>0</v>
      </c>
      <c r="HW90" s="110">
        <f t="shared" si="608"/>
        <v>0</v>
      </c>
      <c r="HX90" s="110">
        <f t="shared" si="609"/>
        <v>0</v>
      </c>
      <c r="HY90" s="110">
        <f t="shared" si="610"/>
        <v>0</v>
      </c>
      <c r="HZ90" s="110">
        <f t="shared" si="611"/>
        <v>0</v>
      </c>
      <c r="IA90" s="110">
        <f t="shared" si="612"/>
        <v>0</v>
      </c>
      <c r="IB90" s="110">
        <f t="shared" si="613"/>
        <v>0</v>
      </c>
      <c r="IC90" s="110">
        <f t="shared" si="614"/>
        <v>0</v>
      </c>
      <c r="ID90" s="110">
        <f t="shared" si="615"/>
        <v>0</v>
      </c>
      <c r="IE90" s="110">
        <f t="shared" si="616"/>
        <v>0</v>
      </c>
      <c r="IF90" s="110">
        <f t="shared" si="617"/>
        <v>0</v>
      </c>
      <c r="IG90" s="110">
        <f t="shared" si="618"/>
        <v>0</v>
      </c>
      <c r="IH90" s="110">
        <f t="shared" si="619"/>
        <v>0</v>
      </c>
      <c r="II90" s="110">
        <f t="shared" si="620"/>
        <v>0</v>
      </c>
      <c r="IJ90" s="110">
        <f t="shared" si="621"/>
        <v>0</v>
      </c>
      <c r="IK90" s="110">
        <f t="shared" si="622"/>
        <v>0</v>
      </c>
      <c r="IL90" s="110">
        <f t="shared" si="623"/>
        <v>0</v>
      </c>
      <c r="IM90" s="110">
        <f t="shared" si="624"/>
        <v>0</v>
      </c>
      <c r="IN90" s="110">
        <f t="shared" si="625"/>
        <v>0</v>
      </c>
      <c r="IO90" s="110">
        <f t="shared" si="626"/>
        <v>0</v>
      </c>
      <c r="IP90" s="110">
        <f t="shared" si="627"/>
        <v>0</v>
      </c>
      <c r="IQ90" s="110">
        <f t="shared" si="628"/>
        <v>0</v>
      </c>
      <c r="IR90" s="110">
        <f t="shared" si="629"/>
        <v>0</v>
      </c>
      <c r="IS90" s="110">
        <f t="shared" si="630"/>
        <v>0</v>
      </c>
      <c r="IT90" s="110">
        <f t="shared" si="631"/>
        <v>0</v>
      </c>
      <c r="IV90" s="111">
        <f t="shared" si="632"/>
        <v>0</v>
      </c>
      <c r="IW90" s="110">
        <f t="shared" si="633"/>
        <v>0</v>
      </c>
      <c r="IX90" s="110">
        <f t="shared" si="634"/>
        <v>0</v>
      </c>
      <c r="IY90" s="110">
        <f t="shared" si="635"/>
        <v>0</v>
      </c>
      <c r="IZ90" s="110">
        <f t="shared" si="636"/>
        <v>0</v>
      </c>
      <c r="JA90" s="110">
        <f t="shared" si="637"/>
        <v>0</v>
      </c>
      <c r="JB90" s="110">
        <f t="shared" si="638"/>
        <v>0</v>
      </c>
      <c r="JC90" s="110">
        <f t="shared" si="639"/>
        <v>0</v>
      </c>
      <c r="JD90" s="110">
        <f t="shared" si="640"/>
        <v>0</v>
      </c>
      <c r="JE90" s="110">
        <f t="shared" si="641"/>
        <v>0</v>
      </c>
      <c r="JF90" s="110">
        <f t="shared" si="642"/>
        <v>0</v>
      </c>
      <c r="JG90" s="110">
        <f t="shared" si="643"/>
        <v>0</v>
      </c>
      <c r="JH90" s="110">
        <f t="shared" si="644"/>
        <v>0</v>
      </c>
      <c r="JI90" s="110">
        <f t="shared" si="645"/>
        <v>0</v>
      </c>
      <c r="JJ90" s="110">
        <f t="shared" si="646"/>
        <v>0</v>
      </c>
      <c r="JK90" s="110">
        <f t="shared" si="647"/>
        <v>0</v>
      </c>
      <c r="JL90" s="110">
        <f t="shared" si="648"/>
        <v>0</v>
      </c>
      <c r="JM90" s="110">
        <f t="shared" si="649"/>
        <v>0</v>
      </c>
      <c r="JN90" s="110">
        <f t="shared" si="650"/>
        <v>0</v>
      </c>
      <c r="JO90" s="110">
        <f t="shared" si="651"/>
        <v>0</v>
      </c>
      <c r="JP90" s="110">
        <f t="shared" si="652"/>
        <v>0</v>
      </c>
      <c r="JQ90" s="110">
        <f t="shared" si="653"/>
        <v>0</v>
      </c>
      <c r="JR90" s="110">
        <f t="shared" si="654"/>
        <v>0</v>
      </c>
      <c r="JS90" s="110">
        <f t="shared" si="655"/>
        <v>0</v>
      </c>
      <c r="JT90" s="110">
        <f t="shared" si="656"/>
        <v>0</v>
      </c>
      <c r="JV90" s="111">
        <f t="shared" si="657"/>
        <v>0</v>
      </c>
      <c r="JW90" s="110">
        <f t="shared" si="658"/>
        <v>0</v>
      </c>
      <c r="JX90" s="110">
        <f t="shared" si="659"/>
        <v>0</v>
      </c>
      <c r="JY90" s="110">
        <f t="shared" si="660"/>
        <v>0</v>
      </c>
      <c r="JZ90" s="110">
        <f t="shared" si="661"/>
        <v>0</v>
      </c>
      <c r="KA90" s="110">
        <f t="shared" si="662"/>
        <v>0</v>
      </c>
      <c r="KB90" s="110">
        <f t="shared" si="663"/>
        <v>0</v>
      </c>
      <c r="KC90" s="110">
        <f t="shared" si="664"/>
        <v>0</v>
      </c>
      <c r="KD90" s="110">
        <f t="shared" si="665"/>
        <v>0</v>
      </c>
      <c r="KE90" s="110">
        <f t="shared" si="666"/>
        <v>0</v>
      </c>
      <c r="KF90" s="110">
        <f t="shared" si="667"/>
        <v>0</v>
      </c>
      <c r="KG90" s="110">
        <f t="shared" si="668"/>
        <v>0</v>
      </c>
      <c r="KH90" s="110">
        <f t="shared" si="669"/>
        <v>0</v>
      </c>
      <c r="KI90" s="110">
        <f t="shared" si="670"/>
        <v>0</v>
      </c>
      <c r="KJ90" s="110">
        <f t="shared" si="671"/>
        <v>0</v>
      </c>
      <c r="KK90" s="110">
        <f t="shared" si="672"/>
        <v>0</v>
      </c>
      <c r="KL90" s="110">
        <f t="shared" si="673"/>
        <v>0</v>
      </c>
      <c r="KM90" s="110">
        <f t="shared" si="674"/>
        <v>0</v>
      </c>
      <c r="KN90" s="110">
        <f t="shared" si="675"/>
        <v>0</v>
      </c>
      <c r="KO90" s="110">
        <f t="shared" si="676"/>
        <v>0</v>
      </c>
      <c r="KP90" s="110">
        <f t="shared" si="677"/>
        <v>0</v>
      </c>
      <c r="KQ90" s="110">
        <f t="shared" si="678"/>
        <v>0</v>
      </c>
      <c r="KR90" s="110">
        <f t="shared" si="679"/>
        <v>0</v>
      </c>
      <c r="KS90" s="110">
        <f t="shared" si="680"/>
        <v>0</v>
      </c>
      <c r="KT90" s="110">
        <f t="shared" si="681"/>
        <v>0</v>
      </c>
      <c r="KV90" s="111">
        <f t="shared" si="682"/>
        <v>0</v>
      </c>
      <c r="KW90" s="110">
        <f t="shared" si="683"/>
        <v>0</v>
      </c>
      <c r="KX90" s="110">
        <f t="shared" si="684"/>
        <v>0</v>
      </c>
      <c r="KY90" s="110">
        <f t="shared" si="685"/>
        <v>0</v>
      </c>
      <c r="KZ90" s="110">
        <f t="shared" si="686"/>
        <v>0</v>
      </c>
      <c r="LA90" s="110">
        <f t="shared" si="687"/>
        <v>0</v>
      </c>
      <c r="LB90" s="110">
        <f t="shared" si="688"/>
        <v>0</v>
      </c>
      <c r="LC90" s="110">
        <f t="shared" si="689"/>
        <v>0</v>
      </c>
      <c r="LD90" s="110">
        <f t="shared" si="690"/>
        <v>0</v>
      </c>
      <c r="LE90" s="110">
        <f t="shared" si="691"/>
        <v>0</v>
      </c>
      <c r="LF90" s="110">
        <f t="shared" si="692"/>
        <v>0</v>
      </c>
      <c r="LG90" s="110">
        <f t="shared" si="693"/>
        <v>0</v>
      </c>
      <c r="LH90" s="110">
        <f t="shared" si="694"/>
        <v>0</v>
      </c>
      <c r="LI90" s="110">
        <f t="shared" si="695"/>
        <v>0</v>
      </c>
      <c r="LJ90" s="110">
        <f t="shared" si="696"/>
        <v>0</v>
      </c>
      <c r="LK90" s="110">
        <f t="shared" si="697"/>
        <v>0</v>
      </c>
      <c r="LL90" s="110">
        <f t="shared" si="698"/>
        <v>0</v>
      </c>
      <c r="LM90" s="110">
        <f t="shared" si="699"/>
        <v>0</v>
      </c>
      <c r="LN90" s="110">
        <f t="shared" si="700"/>
        <v>0</v>
      </c>
      <c r="LO90" s="110">
        <f t="shared" si="701"/>
        <v>6.2700000000000102</v>
      </c>
      <c r="LP90" s="110">
        <f t="shared" si="702"/>
        <v>6.2700000000000102</v>
      </c>
      <c r="LQ90" s="110">
        <f t="shared" si="703"/>
        <v>6.2700000000000102</v>
      </c>
      <c r="LR90" s="110">
        <f t="shared" si="704"/>
        <v>6.2700000000000102</v>
      </c>
      <c r="LS90" s="110">
        <f t="shared" si="705"/>
        <v>6.2700000000000102</v>
      </c>
      <c r="LT90" s="110">
        <f t="shared" si="706"/>
        <v>6.2700000000000102</v>
      </c>
      <c r="LV90" s="111"/>
      <c r="LW90" s="110">
        <f t="shared" si="707"/>
        <v>0</v>
      </c>
      <c r="LX90" s="110">
        <f t="shared" si="708"/>
        <v>0</v>
      </c>
      <c r="LY90" s="110">
        <f t="shared" si="709"/>
        <v>0</v>
      </c>
      <c r="LZ90" s="110">
        <f t="shared" si="710"/>
        <v>0</v>
      </c>
      <c r="MA90" s="110">
        <f t="shared" si="711"/>
        <v>0</v>
      </c>
      <c r="MB90" s="110">
        <f t="shared" si="712"/>
        <v>0</v>
      </c>
      <c r="MC90" s="110">
        <f t="shared" si="713"/>
        <v>0</v>
      </c>
      <c r="MD90" s="110">
        <f t="shared" si="714"/>
        <v>0</v>
      </c>
      <c r="ME90" s="110">
        <f t="shared" si="715"/>
        <v>0</v>
      </c>
      <c r="MF90" s="110">
        <f t="shared" si="716"/>
        <v>0</v>
      </c>
      <c r="MG90" s="110">
        <f t="shared" si="717"/>
        <v>0</v>
      </c>
      <c r="MH90" s="110">
        <f t="shared" si="718"/>
        <v>0</v>
      </c>
      <c r="MI90" s="110">
        <f t="shared" si="719"/>
        <v>0</v>
      </c>
      <c r="MJ90" s="110">
        <f t="shared" si="720"/>
        <v>0</v>
      </c>
      <c r="MK90" s="110">
        <f t="shared" si="721"/>
        <v>0</v>
      </c>
      <c r="ML90" s="110">
        <f t="shared" si="722"/>
        <v>0</v>
      </c>
      <c r="MM90" s="110">
        <f t="shared" si="723"/>
        <v>0</v>
      </c>
      <c r="MN90" s="110">
        <f t="shared" si="724"/>
        <v>0</v>
      </c>
      <c r="MO90" s="110">
        <f t="shared" si="725"/>
        <v>0</v>
      </c>
      <c r="MP90" s="110">
        <f t="shared" si="726"/>
        <v>0</v>
      </c>
      <c r="MQ90" s="110">
        <f t="shared" si="727"/>
        <v>0</v>
      </c>
      <c r="MR90" s="110">
        <f t="shared" si="728"/>
        <v>0</v>
      </c>
      <c r="MS90" s="110">
        <f t="shared" si="729"/>
        <v>0</v>
      </c>
      <c r="MT90" s="110">
        <f t="shared" si="730"/>
        <v>0</v>
      </c>
      <c r="MV90" s="114">
        <v>185.27</v>
      </c>
      <c r="MW90" s="114">
        <v>0</v>
      </c>
      <c r="MX90" s="114">
        <v>6.2700000000000102</v>
      </c>
      <c r="MY90" s="114">
        <v>0</v>
      </c>
      <c r="MZ90" s="114">
        <v>0</v>
      </c>
      <c r="NB90" s="115">
        <v>65</v>
      </c>
      <c r="NC90" s="115" t="str">
        <v>N/A</v>
      </c>
      <c r="ND90" s="115">
        <v>45</v>
      </c>
      <c r="NE90" s="115" t="str">
        <v>N/A</v>
      </c>
      <c r="NF90" s="115" t="str">
        <v>N/A</v>
      </c>
    </row>
    <row r="91" spans="2:370" ht="13.5" x14ac:dyDescent="0.25">
      <c r="B91" s="8">
        <f t="shared" si="731"/>
        <v>88</v>
      </c>
      <c r="C91" s="7">
        <v>205.31</v>
      </c>
      <c r="D91" s="7">
        <v>205.31</v>
      </c>
      <c r="E91" s="7">
        <v>209.57</v>
      </c>
      <c r="F91" s="7">
        <v>232.46</v>
      </c>
      <c r="G91" s="7">
        <v>214.64000000000001</v>
      </c>
      <c r="H91" s="7">
        <v>204.10999999999999</v>
      </c>
      <c r="I91" s="7">
        <v>212.6</v>
      </c>
      <c r="J91" s="7">
        <v>179</v>
      </c>
      <c r="K91" s="7">
        <v>656.93000000000006</v>
      </c>
      <c r="L91" s="7">
        <v>0</v>
      </c>
      <c r="M91" s="7">
        <v>0</v>
      </c>
      <c r="N91" s="7">
        <v>0</v>
      </c>
      <c r="O91" s="7">
        <v>0</v>
      </c>
      <c r="P91" s="7">
        <v>0</v>
      </c>
      <c r="Q91" s="7">
        <v>0</v>
      </c>
      <c r="R91" s="7">
        <v>0</v>
      </c>
      <c r="S91" s="7">
        <v>0</v>
      </c>
      <c r="T91" s="7">
        <v>0</v>
      </c>
      <c r="U91" s="7">
        <v>0</v>
      </c>
      <c r="V91" s="7">
        <v>0</v>
      </c>
      <c r="W91" s="7">
        <v>0</v>
      </c>
      <c r="X91" s="7">
        <v>0</v>
      </c>
      <c r="Y91" s="7">
        <v>0</v>
      </c>
      <c r="Z91" s="7">
        <v>0</v>
      </c>
      <c r="AA91" s="7">
        <v>0</v>
      </c>
      <c r="AB91" s="7">
        <v>0</v>
      </c>
      <c r="AC91" s="7">
        <v>0</v>
      </c>
      <c r="AD91" s="7">
        <v>0</v>
      </c>
      <c r="AE91" s="7">
        <v>0</v>
      </c>
      <c r="AF91" s="7">
        <v>0</v>
      </c>
      <c r="AG91" s="7">
        <v>0</v>
      </c>
      <c r="AH91" s="7">
        <v>0</v>
      </c>
      <c r="AI91" s="7">
        <v>0</v>
      </c>
      <c r="AJ91" s="7">
        <v>0</v>
      </c>
      <c r="AK91" s="7">
        <v>0</v>
      </c>
      <c r="AL91" s="7">
        <v>0</v>
      </c>
      <c r="AM91" s="7">
        <v>0</v>
      </c>
      <c r="AN91" s="27">
        <v>88</v>
      </c>
      <c r="AP91" s="111"/>
      <c r="AQ91" s="110">
        <f t="shared" si="492"/>
        <v>27.150000000000006</v>
      </c>
      <c r="AR91" s="110">
        <f t="shared" si="493"/>
        <v>-19.860000000000014</v>
      </c>
      <c r="AS91" s="110">
        <f t="shared" si="494"/>
        <v>-212.6</v>
      </c>
      <c r="AT91" s="110">
        <f t="shared" si="495"/>
        <v>0</v>
      </c>
      <c r="AU91" s="110">
        <f t="shared" si="496"/>
        <v>0</v>
      </c>
      <c r="AV91" s="110">
        <f t="shared" si="497"/>
        <v>0</v>
      </c>
      <c r="AW91" s="110">
        <f t="shared" si="498"/>
        <v>0</v>
      </c>
      <c r="AX91" s="110">
        <f t="shared" si="499"/>
        <v>0</v>
      </c>
      <c r="AY91" s="110">
        <f t="shared" si="500"/>
        <v>0</v>
      </c>
      <c r="AZ91" s="110">
        <f t="shared" si="501"/>
        <v>0</v>
      </c>
      <c r="BA91" s="110">
        <f t="shared" si="502"/>
        <v>0</v>
      </c>
      <c r="BB91" s="110">
        <f t="shared" si="503"/>
        <v>0</v>
      </c>
      <c r="BD91" s="109" cm="1">
        <f t="array" ref="BD91">+IFERROR(INDEX($C$3:$AM$3,MATCH(TRUE,INDEX($C91:$AM91&lt;&gt;0,0),0)),"N/A")</f>
        <v>44926</v>
      </c>
      <c r="BE91" s="112"/>
      <c r="BF91" s="1" t="str" cm="1">
        <f t="array" ref="BF91">+_xlfn.IFS(BT91&lt;&gt;0,BT$2,CH91&lt;&gt;0,CH$2,CV91&lt;&gt;0,CV$2,DJ91&lt;&gt;0,DJ$2,TRUE,"")</f>
        <v>Upsell</v>
      </c>
      <c r="BG91" s="1" t="str" cm="1">
        <f t="array" ref="BG91">+_xlfn.IFS(BU91&lt;&gt;0,BU$2,CI91&lt;&gt;0,CI$2,CW91&lt;&gt;0,CW$2,DK91&lt;&gt;0,DK$2,TRUE,"")</f>
        <v>Downsell</v>
      </c>
      <c r="BH91" s="1" t="str" cm="1">
        <f t="array" ref="BH91">+_xlfn.IFS(BV91&lt;&gt;0,BV$2,CJ91&lt;&gt;0,CJ$2,CX91&lt;&gt;0,CX$2,DL91&lt;&gt;0,DL$2,TRUE,"")</f>
        <v>Churn</v>
      </c>
      <c r="BI91" s="1" t="str" cm="1">
        <f t="array" ref="BI91">+_xlfn.IFS(BW91&lt;&gt;0,BW$2,CK91&lt;&gt;0,CK$2,CY91&lt;&gt;0,CY$2,DM91&lt;&gt;0,DM$2,TRUE,"")</f>
        <v/>
      </c>
      <c r="BJ91" s="1" t="str" cm="1">
        <f t="array" ref="BJ91">+_xlfn.IFS(BX91&lt;&gt;0,BX$2,CL91&lt;&gt;0,CL$2,CZ91&lt;&gt;0,CZ$2,DN91&lt;&gt;0,DN$2,TRUE,"")</f>
        <v/>
      </c>
      <c r="BK91" s="1" t="str" cm="1">
        <f t="array" ref="BK91">+_xlfn.IFS(BY91&lt;&gt;0,BY$2,CM91&lt;&gt;0,CM$2,DA91&lt;&gt;0,DA$2,DO91&lt;&gt;0,DO$2,TRUE,"")</f>
        <v/>
      </c>
      <c r="BL91" s="1" t="str" cm="1">
        <f t="array" ref="BL91">+_xlfn.IFS(BZ91&lt;&gt;0,BZ$2,CN91&lt;&gt;0,CN$2,DB91&lt;&gt;0,DB$2,DP91&lt;&gt;0,DP$2,TRUE,"")</f>
        <v/>
      </c>
      <c r="BM91" s="1" t="str" cm="1">
        <f t="array" ref="BM91">+_xlfn.IFS(CA91&lt;&gt;0,CA$2,CO91&lt;&gt;0,CO$2,DC91&lt;&gt;0,DC$2,DQ91&lt;&gt;0,DQ$2,TRUE,"")</f>
        <v/>
      </c>
      <c r="BN91" s="1" t="str" cm="1">
        <f t="array" ref="BN91">+_xlfn.IFS(CB91&lt;&gt;0,CB$2,CP91&lt;&gt;0,CP$2,DD91&lt;&gt;0,DD$2,DR91&lt;&gt;0,DR$2,TRUE,"")</f>
        <v/>
      </c>
      <c r="BO91" s="1" t="str" cm="1">
        <f t="array" ref="BO91">+_xlfn.IFS(CC91&lt;&gt;0,CC$2,CQ91&lt;&gt;0,CQ$2,DE91&lt;&gt;0,DE$2,DS91&lt;&gt;0,DS$2,TRUE,"")</f>
        <v/>
      </c>
      <c r="BP91" s="1" t="str" cm="1">
        <f t="array" ref="BP91">+_xlfn.IFS(CD91&lt;&gt;0,CD$2,CR91&lt;&gt;0,CR$2,DF91&lt;&gt;0,DF$2,DT91&lt;&gt;0,DT$2,TRUE,"")</f>
        <v/>
      </c>
      <c r="BQ91" s="1" t="str" cm="1">
        <f t="array" ref="BQ91">+_xlfn.IFS(CE91&lt;&gt;0,CE$2,CS91&lt;&gt;0,CS$2,DG91&lt;&gt;0,DG$2,DU91&lt;&gt;0,DU$2,TRUE,"")</f>
        <v/>
      </c>
      <c r="BS91" s="111"/>
      <c r="BT91" s="110">
        <f t="shared" si="504"/>
        <v>0</v>
      </c>
      <c r="BU91" s="110">
        <f t="shared" si="505"/>
        <v>0</v>
      </c>
      <c r="BV91" s="110">
        <f t="shared" si="506"/>
        <v>0</v>
      </c>
      <c r="BW91" s="110">
        <f t="shared" si="507"/>
        <v>0</v>
      </c>
      <c r="BX91" s="110">
        <f t="shared" si="508"/>
        <v>0</v>
      </c>
      <c r="BY91" s="110">
        <f t="shared" si="509"/>
        <v>0</v>
      </c>
      <c r="BZ91" s="110">
        <f t="shared" si="510"/>
        <v>0</v>
      </c>
      <c r="CA91" s="110">
        <f t="shared" si="511"/>
        <v>0</v>
      </c>
      <c r="CB91" s="110">
        <f t="shared" si="512"/>
        <v>0</v>
      </c>
      <c r="CC91" s="110">
        <f t="shared" si="513"/>
        <v>0</v>
      </c>
      <c r="CD91" s="110">
        <f t="shared" si="514"/>
        <v>0</v>
      </c>
      <c r="CE91" s="110">
        <f t="shared" si="515"/>
        <v>0</v>
      </c>
      <c r="CG91" s="111"/>
      <c r="CH91" s="110">
        <f t="shared" si="516"/>
        <v>0</v>
      </c>
      <c r="CI91" s="110">
        <f t="shared" si="517"/>
        <v>0</v>
      </c>
      <c r="CJ91" s="110">
        <f t="shared" si="518"/>
        <v>-212.6</v>
      </c>
      <c r="CK91" s="110">
        <f t="shared" si="519"/>
        <v>0</v>
      </c>
      <c r="CL91" s="110">
        <f t="shared" si="520"/>
        <v>0</v>
      </c>
      <c r="CM91" s="110">
        <f t="shared" si="521"/>
        <v>0</v>
      </c>
      <c r="CN91" s="110">
        <f t="shared" si="522"/>
        <v>0</v>
      </c>
      <c r="CO91" s="110">
        <f t="shared" si="523"/>
        <v>0</v>
      </c>
      <c r="CP91" s="110">
        <f t="shared" si="524"/>
        <v>0</v>
      </c>
      <c r="CQ91" s="110">
        <f t="shared" si="525"/>
        <v>0</v>
      </c>
      <c r="CR91" s="110">
        <f t="shared" si="526"/>
        <v>0</v>
      </c>
      <c r="CS91" s="110">
        <f t="shared" si="527"/>
        <v>0</v>
      </c>
      <c r="CU91" s="111"/>
      <c r="CV91" s="110">
        <f t="shared" si="528"/>
        <v>0</v>
      </c>
      <c r="CW91" s="110">
        <f t="shared" si="529"/>
        <v>-19.860000000000014</v>
      </c>
      <c r="CX91" s="110">
        <f t="shared" si="530"/>
        <v>0</v>
      </c>
      <c r="CY91" s="110">
        <f t="shared" si="531"/>
        <v>0</v>
      </c>
      <c r="CZ91" s="110">
        <f t="shared" si="532"/>
        <v>0</v>
      </c>
      <c r="DA91" s="110">
        <f t="shared" si="533"/>
        <v>0</v>
      </c>
      <c r="DB91" s="110">
        <f t="shared" si="534"/>
        <v>0</v>
      </c>
      <c r="DC91" s="110">
        <f t="shared" si="535"/>
        <v>0</v>
      </c>
      <c r="DD91" s="110">
        <f t="shared" si="536"/>
        <v>0</v>
      </c>
      <c r="DE91" s="110">
        <f t="shared" si="537"/>
        <v>0</v>
      </c>
      <c r="DF91" s="110">
        <f t="shared" si="538"/>
        <v>0</v>
      </c>
      <c r="DG91" s="110">
        <f t="shared" si="539"/>
        <v>0</v>
      </c>
      <c r="DI91" s="111"/>
      <c r="DJ91" s="110">
        <f t="shared" si="540"/>
        <v>27.150000000000006</v>
      </c>
      <c r="DK91" s="110">
        <f t="shared" si="541"/>
        <v>0</v>
      </c>
      <c r="DL91" s="110">
        <f t="shared" si="542"/>
        <v>0</v>
      </c>
      <c r="DM91" s="110">
        <f t="shared" si="543"/>
        <v>0</v>
      </c>
      <c r="DN91" s="110">
        <f t="shared" si="544"/>
        <v>0</v>
      </c>
      <c r="DO91" s="110">
        <f t="shared" si="545"/>
        <v>0</v>
      </c>
      <c r="DP91" s="110">
        <f t="shared" si="546"/>
        <v>0</v>
      </c>
      <c r="DQ91" s="110">
        <f t="shared" si="547"/>
        <v>0</v>
      </c>
      <c r="DR91" s="110">
        <f t="shared" si="548"/>
        <v>0</v>
      </c>
      <c r="DS91" s="110">
        <f t="shared" si="549"/>
        <v>0</v>
      </c>
      <c r="DT91" s="110">
        <f t="shared" si="550"/>
        <v>0</v>
      </c>
      <c r="DU91" s="110">
        <f t="shared" si="551"/>
        <v>0</v>
      </c>
      <c r="DW91" s="111"/>
      <c r="DX91" s="110">
        <f t="shared" si="552"/>
        <v>0</v>
      </c>
      <c r="DY91" s="110">
        <f t="shared" si="553"/>
        <v>0</v>
      </c>
      <c r="DZ91" s="110">
        <f t="shared" si="554"/>
        <v>0</v>
      </c>
      <c r="EA91" s="110">
        <f t="shared" si="555"/>
        <v>0</v>
      </c>
      <c r="EB91" s="110">
        <f t="shared" si="556"/>
        <v>0</v>
      </c>
      <c r="EC91" s="110">
        <f t="shared" si="557"/>
        <v>0</v>
      </c>
      <c r="ED91" s="110">
        <f t="shared" si="558"/>
        <v>0</v>
      </c>
      <c r="EE91" s="110">
        <f t="shared" si="559"/>
        <v>0</v>
      </c>
      <c r="EF91" s="110">
        <f t="shared" si="560"/>
        <v>0</v>
      </c>
      <c r="EG91" s="110">
        <f t="shared" si="561"/>
        <v>0</v>
      </c>
      <c r="EH91" s="110">
        <f t="shared" si="562"/>
        <v>0</v>
      </c>
      <c r="EI91" s="110">
        <f t="shared" si="563"/>
        <v>0</v>
      </c>
      <c r="EK91" s="111"/>
      <c r="EL91" s="110">
        <f t="shared" si="564"/>
        <v>-205.31</v>
      </c>
      <c r="EM91" s="110">
        <f t="shared" si="565"/>
        <v>0</v>
      </c>
      <c r="EN91" s="110">
        <f t="shared" si="566"/>
        <v>0</v>
      </c>
      <c r="EP91" s="109" cm="1">
        <f t="array" ref="EP91">+IFERROR(INDEX($C$3:$AM$3,MATCH(TRUE,INDEX($C91:$AM91&lt;&gt;0,0),0)),"N/A")</f>
        <v>44926</v>
      </c>
      <c r="EQ91" s="112"/>
      <c r="ER91" s="1" t="str" cm="1">
        <f t="array" ref="ER91">+_xlfn.IFS(EW91&lt;&gt;0,EW$2,FB91&lt;&gt;0,FB$2,FG91&lt;&gt;0,FG$2,FL91&lt;&gt;0,FL$2,TRUE,"")</f>
        <v>Churn</v>
      </c>
      <c r="ES91" s="1" t="str" cm="1">
        <f t="array" ref="ES91">+_xlfn.IFS(EX91&lt;&gt;0,EX$2,FC91&lt;&gt;0,FC$2,FH91&lt;&gt;0,FH$2,FM91&lt;&gt;0,FM$2,TRUE,"")</f>
        <v/>
      </c>
      <c r="ET91" s="1" t="str" cm="1">
        <f t="array" ref="ET91">+_xlfn.IFS(EY91&lt;&gt;0,EY$2,FD91&lt;&gt;0,FD$2,FI91&lt;&gt;0,FI$2,FN91&lt;&gt;0,FN$2,TRUE,"")</f>
        <v/>
      </c>
      <c r="EV91" s="111"/>
      <c r="EW91" s="110">
        <f t="shared" si="567"/>
        <v>0</v>
      </c>
      <c r="EX91" s="110">
        <f t="shared" si="568"/>
        <v>0</v>
      </c>
      <c r="EY91" s="110">
        <f t="shared" si="569"/>
        <v>0</v>
      </c>
      <c r="FA91" s="111"/>
      <c r="FB91" s="110">
        <f t="shared" si="570"/>
        <v>-205.31</v>
      </c>
      <c r="FC91" s="110">
        <f t="shared" si="571"/>
        <v>0</v>
      </c>
      <c r="FD91" s="110">
        <f t="shared" si="572"/>
        <v>0</v>
      </c>
      <c r="FF91" s="111"/>
      <c r="FG91" s="110">
        <f t="shared" si="573"/>
        <v>0</v>
      </c>
      <c r="FH91" s="110">
        <f t="shared" si="574"/>
        <v>0</v>
      </c>
      <c r="FI91" s="110">
        <f t="shared" si="575"/>
        <v>0</v>
      </c>
      <c r="FK91" s="111"/>
      <c r="FL91" s="110">
        <f t="shared" si="576"/>
        <v>0</v>
      </c>
      <c r="FM91" s="110">
        <f t="shared" si="577"/>
        <v>0</v>
      </c>
      <c r="FN91" s="110">
        <f t="shared" si="578"/>
        <v>0</v>
      </c>
      <c r="FP91" s="111"/>
      <c r="FQ91" s="110">
        <f t="shared" si="579"/>
        <v>0</v>
      </c>
      <c r="FR91" s="110">
        <f t="shared" si="580"/>
        <v>0</v>
      </c>
      <c r="FS91" s="110">
        <f t="shared" si="581"/>
        <v>0</v>
      </c>
      <c r="FU91" s="111">
        <f t="shared" si="582"/>
        <v>-205.31</v>
      </c>
      <c r="FV91" s="110">
        <f t="shared" si="583"/>
        <v>-205.31</v>
      </c>
      <c r="FW91" s="110">
        <f t="shared" si="584"/>
        <v>-209.57</v>
      </c>
      <c r="FX91" s="110">
        <f t="shared" si="585"/>
        <v>-232.46</v>
      </c>
      <c r="FY91" s="110">
        <f t="shared" si="586"/>
        <v>-214.64000000000001</v>
      </c>
      <c r="FZ91" s="110">
        <f t="shared" si="587"/>
        <v>-204.10999999999999</v>
      </c>
      <c r="GA91" s="110">
        <f t="shared" si="588"/>
        <v>-212.6</v>
      </c>
      <c r="GB91" s="110">
        <f t="shared" si="589"/>
        <v>-179</v>
      </c>
      <c r="GC91" s="110">
        <f t="shared" si="590"/>
        <v>-656.93000000000006</v>
      </c>
      <c r="GD91" s="110">
        <f t="shared" si="591"/>
        <v>0</v>
      </c>
      <c r="GE91" s="110">
        <f t="shared" si="592"/>
        <v>0</v>
      </c>
      <c r="GF91" s="110">
        <f t="shared" si="593"/>
        <v>0</v>
      </c>
      <c r="GG91" s="110">
        <f t="shared" si="594"/>
        <v>0</v>
      </c>
      <c r="GH91" s="110">
        <f t="shared" si="595"/>
        <v>0</v>
      </c>
      <c r="GI91" s="110">
        <f t="shared" si="596"/>
        <v>0</v>
      </c>
      <c r="GJ91" s="110">
        <f t="shared" si="597"/>
        <v>0</v>
      </c>
      <c r="GK91" s="110">
        <f t="shared" si="598"/>
        <v>0</v>
      </c>
      <c r="GL91" s="110">
        <f t="shared" si="599"/>
        <v>0</v>
      </c>
      <c r="GM91" s="110">
        <f t="shared" si="600"/>
        <v>0</v>
      </c>
      <c r="GN91" s="110">
        <f t="shared" si="601"/>
        <v>0</v>
      </c>
      <c r="GO91" s="110">
        <f t="shared" si="602"/>
        <v>0</v>
      </c>
      <c r="GP91" s="110">
        <f t="shared" si="603"/>
        <v>0</v>
      </c>
      <c r="GQ91" s="110">
        <f t="shared" si="604"/>
        <v>0</v>
      </c>
      <c r="GR91" s="110">
        <f t="shared" si="605"/>
        <v>0</v>
      </c>
      <c r="GS91" s="110">
        <f t="shared" si="606"/>
        <v>0</v>
      </c>
      <c r="GU91" s="109" cm="1">
        <f t="array" ref="GU91">+IFERROR(INDEX($C$3:$AM$3,MATCH(TRUE,INDEX($C91:$AM91&lt;&gt;0,0),0)),"N/A")</f>
        <v>44926</v>
      </c>
      <c r="GV91" s="112" t="str" cm="1">
        <f t="array" ref="GV91">+_xlfn.IFS(HV91&lt;&gt;0,HV$2,IV91&lt;&gt;0,IV$2,JV91&lt;&gt;0,JV$2,KV91&lt;&gt;0,KV$2,TRUE,"")</f>
        <v>Churn</v>
      </c>
      <c r="GW91" s="1" t="str" cm="1">
        <f t="array" ref="GW91">+_xlfn.IFS(HW91&lt;&gt;0,HW$2,IW91&lt;&gt;0,IW$2,JW91&lt;&gt;0,JW$2,KW91&lt;&gt;0,KW$2,TRUE,"")</f>
        <v>Churn</v>
      </c>
      <c r="GX91" s="1" t="str" cm="1">
        <f t="array" ref="GX91">+_xlfn.IFS(HX91&lt;&gt;0,HX$2,IX91&lt;&gt;0,IX$2,JX91&lt;&gt;0,JX$2,KX91&lt;&gt;0,KX$2,TRUE,"")</f>
        <v>Churn</v>
      </c>
      <c r="GY91" s="1" t="str" cm="1">
        <f t="array" ref="GY91">+_xlfn.IFS(HY91&lt;&gt;0,HY$2,IY91&lt;&gt;0,IY$2,JY91&lt;&gt;0,JY$2,KY91&lt;&gt;0,KY$2,TRUE,"")</f>
        <v>Churn</v>
      </c>
      <c r="GZ91" s="1" t="str" cm="1">
        <f t="array" ref="GZ91">+_xlfn.IFS(HZ91&lt;&gt;0,HZ$2,IZ91&lt;&gt;0,IZ$2,JZ91&lt;&gt;0,JZ$2,KZ91&lt;&gt;0,KZ$2,TRUE,"")</f>
        <v>Churn</v>
      </c>
      <c r="HA91" s="1" t="str" cm="1">
        <f t="array" ref="HA91">+_xlfn.IFS(IA91&lt;&gt;0,IA$2,JA91&lt;&gt;0,JA$2,KA91&lt;&gt;0,KA$2,LA91&lt;&gt;0,LA$2,TRUE,"")</f>
        <v>Churn</v>
      </c>
      <c r="HB91" s="1" t="str" cm="1">
        <f t="array" ref="HB91">+_xlfn.IFS(IB91&lt;&gt;0,IB$2,JB91&lt;&gt;0,JB$2,KB91&lt;&gt;0,KB$2,LB91&lt;&gt;0,LB$2,TRUE,"")</f>
        <v>Churn</v>
      </c>
      <c r="HC91" s="1" t="str" cm="1">
        <f t="array" ref="HC91">+_xlfn.IFS(IC91&lt;&gt;0,IC$2,JC91&lt;&gt;0,JC$2,KC91&lt;&gt;0,KC$2,LC91&lt;&gt;0,LC$2,TRUE,"")</f>
        <v>Churn</v>
      </c>
      <c r="HD91" s="1" t="str" cm="1">
        <f t="array" ref="HD91">+_xlfn.IFS(ID91&lt;&gt;0,ID$2,JD91&lt;&gt;0,JD$2,KD91&lt;&gt;0,KD$2,LD91&lt;&gt;0,LD$2,TRUE,"")</f>
        <v>Churn</v>
      </c>
      <c r="HE91" s="1" t="str" cm="1">
        <f t="array" ref="HE91">+_xlfn.IFS(IE91&lt;&gt;0,IE$2,JE91&lt;&gt;0,JE$2,KE91&lt;&gt;0,KE$2,LE91&lt;&gt;0,LE$2,TRUE,"")</f>
        <v/>
      </c>
      <c r="HF91" s="1" t="str" cm="1">
        <f t="array" ref="HF91">+_xlfn.IFS(IF91&lt;&gt;0,IF$2,JF91&lt;&gt;0,JF$2,KF91&lt;&gt;0,KF$2,LF91&lt;&gt;0,LF$2,TRUE,"")</f>
        <v/>
      </c>
      <c r="HG91" s="1" t="str" cm="1">
        <f t="array" ref="HG91">+_xlfn.IFS(IG91&lt;&gt;0,IG$2,JG91&lt;&gt;0,JG$2,KG91&lt;&gt;0,KG$2,LG91&lt;&gt;0,LG$2,TRUE,"")</f>
        <v/>
      </c>
      <c r="HH91" s="1" t="str" cm="1">
        <f t="array" ref="HH91">+_xlfn.IFS(IH91&lt;&gt;0,IH$2,JH91&lt;&gt;0,JH$2,KH91&lt;&gt;0,KH$2,LH91&lt;&gt;0,LH$2,TRUE,"")</f>
        <v/>
      </c>
      <c r="HI91" s="1" t="str" cm="1">
        <f t="array" ref="HI91">+_xlfn.IFS(II91&lt;&gt;0,II$2,JI91&lt;&gt;0,JI$2,KI91&lt;&gt;0,KI$2,LI91&lt;&gt;0,LI$2,TRUE,"")</f>
        <v/>
      </c>
      <c r="HJ91" s="1" t="str" cm="1">
        <f t="array" ref="HJ91">+_xlfn.IFS(IJ91&lt;&gt;0,IJ$2,JJ91&lt;&gt;0,JJ$2,KJ91&lt;&gt;0,KJ$2,LJ91&lt;&gt;0,LJ$2,TRUE,"")</f>
        <v/>
      </c>
      <c r="HK91" s="1" t="str" cm="1">
        <f t="array" ref="HK91">+_xlfn.IFS(IK91&lt;&gt;0,IK$2,JK91&lt;&gt;0,JK$2,KK91&lt;&gt;0,KK$2,LK91&lt;&gt;0,LK$2,TRUE,"")</f>
        <v/>
      </c>
      <c r="HL91" s="1" t="str" cm="1">
        <f t="array" ref="HL91">+_xlfn.IFS(IL91&lt;&gt;0,IL$2,JL91&lt;&gt;0,JL$2,KL91&lt;&gt;0,KL$2,LL91&lt;&gt;0,LL$2,TRUE,"")</f>
        <v/>
      </c>
      <c r="HM91" s="1" t="str" cm="1">
        <f t="array" ref="HM91">+_xlfn.IFS(IM91&lt;&gt;0,IM$2,JM91&lt;&gt;0,JM$2,KM91&lt;&gt;0,KM$2,LM91&lt;&gt;0,LM$2,TRUE,"")</f>
        <v/>
      </c>
      <c r="HN91" s="1" t="str" cm="1">
        <f t="array" ref="HN91">+_xlfn.IFS(IN91&lt;&gt;0,IN$2,JN91&lt;&gt;0,JN$2,KN91&lt;&gt;0,KN$2,LN91&lt;&gt;0,LN$2,TRUE,"")</f>
        <v/>
      </c>
      <c r="HO91" s="1" t="str" cm="1">
        <f t="array" ref="HO91">+_xlfn.IFS(IO91&lt;&gt;0,IO$2,JO91&lt;&gt;0,JO$2,KO91&lt;&gt;0,KO$2,LO91&lt;&gt;0,LO$2,TRUE,"")</f>
        <v/>
      </c>
      <c r="HP91" s="1" t="str" cm="1">
        <f t="array" ref="HP91">+_xlfn.IFS(IP91&lt;&gt;0,IP$2,JP91&lt;&gt;0,JP$2,KP91&lt;&gt;0,KP$2,LP91&lt;&gt;0,LP$2,TRUE,"")</f>
        <v/>
      </c>
      <c r="HQ91" s="1" t="str" cm="1">
        <f t="array" ref="HQ91">+_xlfn.IFS(IQ91&lt;&gt;0,IQ$2,JQ91&lt;&gt;0,JQ$2,KQ91&lt;&gt;0,KQ$2,LQ91&lt;&gt;0,LQ$2,TRUE,"")</f>
        <v/>
      </c>
      <c r="HR91" s="1" t="str" cm="1">
        <f t="array" ref="HR91">+_xlfn.IFS(IR91&lt;&gt;0,IR$2,JR91&lt;&gt;0,JR$2,KR91&lt;&gt;0,KR$2,LR91&lt;&gt;0,LR$2,TRUE,"")</f>
        <v/>
      </c>
      <c r="HS91" s="1" t="str" cm="1">
        <f t="array" ref="HS91">+_xlfn.IFS(IS91&lt;&gt;0,IS$2,JS91&lt;&gt;0,JS$2,KS91&lt;&gt;0,KS$2,LS91&lt;&gt;0,LS$2,TRUE,"")</f>
        <v/>
      </c>
      <c r="HT91" s="1" t="str" cm="1">
        <f t="array" ref="HT91">+_xlfn.IFS(IT91&lt;&gt;0,IT$2,JT91&lt;&gt;0,JT$2,KT91&lt;&gt;0,KT$2,LT91&lt;&gt;0,LT$2,TRUE,"")</f>
        <v/>
      </c>
      <c r="HV91" s="111">
        <f t="shared" si="607"/>
        <v>0</v>
      </c>
      <c r="HW91" s="110">
        <f t="shared" si="608"/>
        <v>0</v>
      </c>
      <c r="HX91" s="110">
        <f t="shared" si="609"/>
        <v>0</v>
      </c>
      <c r="HY91" s="110">
        <f t="shared" si="610"/>
        <v>0</v>
      </c>
      <c r="HZ91" s="110">
        <f t="shared" si="611"/>
        <v>0</v>
      </c>
      <c r="IA91" s="110">
        <f t="shared" si="612"/>
        <v>0</v>
      </c>
      <c r="IB91" s="110">
        <f t="shared" si="613"/>
        <v>0</v>
      </c>
      <c r="IC91" s="110">
        <f t="shared" si="614"/>
        <v>0</v>
      </c>
      <c r="ID91" s="110">
        <f t="shared" si="615"/>
        <v>0</v>
      </c>
      <c r="IE91" s="110">
        <f t="shared" si="616"/>
        <v>0</v>
      </c>
      <c r="IF91" s="110">
        <f t="shared" si="617"/>
        <v>0</v>
      </c>
      <c r="IG91" s="110">
        <f t="shared" si="618"/>
        <v>0</v>
      </c>
      <c r="IH91" s="110">
        <f t="shared" si="619"/>
        <v>0</v>
      </c>
      <c r="II91" s="110">
        <f t="shared" si="620"/>
        <v>0</v>
      </c>
      <c r="IJ91" s="110">
        <f t="shared" si="621"/>
        <v>0</v>
      </c>
      <c r="IK91" s="110">
        <f t="shared" si="622"/>
        <v>0</v>
      </c>
      <c r="IL91" s="110">
        <f t="shared" si="623"/>
        <v>0</v>
      </c>
      <c r="IM91" s="110">
        <f t="shared" si="624"/>
        <v>0</v>
      </c>
      <c r="IN91" s="110">
        <f t="shared" si="625"/>
        <v>0</v>
      </c>
      <c r="IO91" s="110">
        <f t="shared" si="626"/>
        <v>0</v>
      </c>
      <c r="IP91" s="110">
        <f t="shared" si="627"/>
        <v>0</v>
      </c>
      <c r="IQ91" s="110">
        <f t="shared" si="628"/>
        <v>0</v>
      </c>
      <c r="IR91" s="110">
        <f t="shared" si="629"/>
        <v>0</v>
      </c>
      <c r="IS91" s="110">
        <f t="shared" si="630"/>
        <v>0</v>
      </c>
      <c r="IT91" s="110">
        <f t="shared" si="631"/>
        <v>0</v>
      </c>
      <c r="IV91" s="111">
        <f t="shared" si="632"/>
        <v>-205.31</v>
      </c>
      <c r="IW91" s="110">
        <f t="shared" si="633"/>
        <v>-205.31</v>
      </c>
      <c r="IX91" s="110">
        <f t="shared" si="634"/>
        <v>-209.57</v>
      </c>
      <c r="IY91" s="110">
        <f t="shared" si="635"/>
        <v>-232.46</v>
      </c>
      <c r="IZ91" s="110">
        <f t="shared" si="636"/>
        <v>-214.64000000000001</v>
      </c>
      <c r="JA91" s="110">
        <f t="shared" si="637"/>
        <v>-204.10999999999999</v>
      </c>
      <c r="JB91" s="110">
        <f t="shared" si="638"/>
        <v>-212.6</v>
      </c>
      <c r="JC91" s="110">
        <f t="shared" si="639"/>
        <v>-179</v>
      </c>
      <c r="JD91" s="110">
        <f t="shared" si="640"/>
        <v>-656.93000000000006</v>
      </c>
      <c r="JE91" s="110">
        <f t="shared" si="641"/>
        <v>0</v>
      </c>
      <c r="JF91" s="110">
        <f t="shared" si="642"/>
        <v>0</v>
      </c>
      <c r="JG91" s="110">
        <f t="shared" si="643"/>
        <v>0</v>
      </c>
      <c r="JH91" s="110">
        <f t="shared" si="644"/>
        <v>0</v>
      </c>
      <c r="JI91" s="110">
        <f t="shared" si="645"/>
        <v>0</v>
      </c>
      <c r="JJ91" s="110">
        <f t="shared" si="646"/>
        <v>0</v>
      </c>
      <c r="JK91" s="110">
        <f t="shared" si="647"/>
        <v>0</v>
      </c>
      <c r="JL91" s="110">
        <f t="shared" si="648"/>
        <v>0</v>
      </c>
      <c r="JM91" s="110">
        <f t="shared" si="649"/>
        <v>0</v>
      </c>
      <c r="JN91" s="110">
        <f t="shared" si="650"/>
        <v>0</v>
      </c>
      <c r="JO91" s="110">
        <f t="shared" si="651"/>
        <v>0</v>
      </c>
      <c r="JP91" s="110">
        <f t="shared" si="652"/>
        <v>0</v>
      </c>
      <c r="JQ91" s="110">
        <f t="shared" si="653"/>
        <v>0</v>
      </c>
      <c r="JR91" s="110">
        <f t="shared" si="654"/>
        <v>0</v>
      </c>
      <c r="JS91" s="110">
        <f t="shared" si="655"/>
        <v>0</v>
      </c>
      <c r="JT91" s="110">
        <f t="shared" si="656"/>
        <v>0</v>
      </c>
      <c r="JV91" s="111">
        <f t="shared" si="657"/>
        <v>0</v>
      </c>
      <c r="JW91" s="110">
        <f t="shared" si="658"/>
        <v>0</v>
      </c>
      <c r="JX91" s="110">
        <f t="shared" si="659"/>
        <v>0</v>
      </c>
      <c r="JY91" s="110">
        <f t="shared" si="660"/>
        <v>0</v>
      </c>
      <c r="JZ91" s="110">
        <f t="shared" si="661"/>
        <v>0</v>
      </c>
      <c r="KA91" s="110">
        <f t="shared" si="662"/>
        <v>0</v>
      </c>
      <c r="KB91" s="110">
        <f t="shared" si="663"/>
        <v>0</v>
      </c>
      <c r="KC91" s="110">
        <f t="shared" si="664"/>
        <v>0</v>
      </c>
      <c r="KD91" s="110">
        <f t="shared" si="665"/>
        <v>0</v>
      </c>
      <c r="KE91" s="110">
        <f t="shared" si="666"/>
        <v>0</v>
      </c>
      <c r="KF91" s="110">
        <f t="shared" si="667"/>
        <v>0</v>
      </c>
      <c r="KG91" s="110">
        <f t="shared" si="668"/>
        <v>0</v>
      </c>
      <c r="KH91" s="110">
        <f t="shared" si="669"/>
        <v>0</v>
      </c>
      <c r="KI91" s="110">
        <f t="shared" si="670"/>
        <v>0</v>
      </c>
      <c r="KJ91" s="110">
        <f t="shared" si="671"/>
        <v>0</v>
      </c>
      <c r="KK91" s="110">
        <f t="shared" si="672"/>
        <v>0</v>
      </c>
      <c r="KL91" s="110">
        <f t="shared" si="673"/>
        <v>0</v>
      </c>
      <c r="KM91" s="110">
        <f t="shared" si="674"/>
        <v>0</v>
      </c>
      <c r="KN91" s="110">
        <f t="shared" si="675"/>
        <v>0</v>
      </c>
      <c r="KO91" s="110">
        <f t="shared" si="676"/>
        <v>0</v>
      </c>
      <c r="KP91" s="110">
        <f t="shared" si="677"/>
        <v>0</v>
      </c>
      <c r="KQ91" s="110">
        <f t="shared" si="678"/>
        <v>0</v>
      </c>
      <c r="KR91" s="110">
        <f t="shared" si="679"/>
        <v>0</v>
      </c>
      <c r="KS91" s="110">
        <f t="shared" si="680"/>
        <v>0</v>
      </c>
      <c r="KT91" s="110">
        <f t="shared" si="681"/>
        <v>0</v>
      </c>
      <c r="KV91" s="111">
        <f t="shared" si="682"/>
        <v>0</v>
      </c>
      <c r="KW91" s="110">
        <f t="shared" si="683"/>
        <v>0</v>
      </c>
      <c r="KX91" s="110">
        <f t="shared" si="684"/>
        <v>0</v>
      </c>
      <c r="KY91" s="110">
        <f t="shared" si="685"/>
        <v>0</v>
      </c>
      <c r="KZ91" s="110">
        <f t="shared" si="686"/>
        <v>0</v>
      </c>
      <c r="LA91" s="110">
        <f t="shared" si="687"/>
        <v>0</v>
      </c>
      <c r="LB91" s="110">
        <f t="shared" si="688"/>
        <v>0</v>
      </c>
      <c r="LC91" s="110">
        <f t="shared" si="689"/>
        <v>0</v>
      </c>
      <c r="LD91" s="110">
        <f t="shared" si="690"/>
        <v>0</v>
      </c>
      <c r="LE91" s="110">
        <f t="shared" si="691"/>
        <v>0</v>
      </c>
      <c r="LF91" s="110">
        <f t="shared" si="692"/>
        <v>0</v>
      </c>
      <c r="LG91" s="110">
        <f t="shared" si="693"/>
        <v>0</v>
      </c>
      <c r="LH91" s="110">
        <f t="shared" si="694"/>
        <v>0</v>
      </c>
      <c r="LI91" s="110">
        <f t="shared" si="695"/>
        <v>0</v>
      </c>
      <c r="LJ91" s="110">
        <f t="shared" si="696"/>
        <v>0</v>
      </c>
      <c r="LK91" s="110">
        <f t="shared" si="697"/>
        <v>0</v>
      </c>
      <c r="LL91" s="110">
        <f t="shared" si="698"/>
        <v>0</v>
      </c>
      <c r="LM91" s="110">
        <f t="shared" si="699"/>
        <v>0</v>
      </c>
      <c r="LN91" s="110">
        <f t="shared" si="700"/>
        <v>0</v>
      </c>
      <c r="LO91" s="110">
        <f t="shared" si="701"/>
        <v>0</v>
      </c>
      <c r="LP91" s="110">
        <f t="shared" si="702"/>
        <v>0</v>
      </c>
      <c r="LQ91" s="110">
        <f t="shared" si="703"/>
        <v>0</v>
      </c>
      <c r="LR91" s="110">
        <f t="shared" si="704"/>
        <v>0</v>
      </c>
      <c r="LS91" s="110">
        <f t="shared" si="705"/>
        <v>0</v>
      </c>
      <c r="LT91" s="110">
        <f t="shared" si="706"/>
        <v>0</v>
      </c>
      <c r="LV91" s="111"/>
      <c r="LW91" s="110">
        <f t="shared" si="707"/>
        <v>0</v>
      </c>
      <c r="LX91" s="110">
        <f t="shared" si="708"/>
        <v>0</v>
      </c>
      <c r="LY91" s="110">
        <f t="shared" si="709"/>
        <v>0</v>
      </c>
      <c r="LZ91" s="110">
        <f t="shared" si="710"/>
        <v>0</v>
      </c>
      <c r="MA91" s="110">
        <f t="shared" si="711"/>
        <v>0</v>
      </c>
      <c r="MB91" s="110">
        <f t="shared" si="712"/>
        <v>0</v>
      </c>
      <c r="MC91" s="110">
        <f t="shared" si="713"/>
        <v>0</v>
      </c>
      <c r="MD91" s="110">
        <f t="shared" si="714"/>
        <v>0</v>
      </c>
      <c r="ME91" s="110">
        <f t="shared" si="715"/>
        <v>0</v>
      </c>
      <c r="MF91" s="110">
        <f t="shared" si="716"/>
        <v>0</v>
      </c>
      <c r="MG91" s="110">
        <f t="shared" si="717"/>
        <v>0</v>
      </c>
      <c r="MH91" s="110">
        <f t="shared" si="718"/>
        <v>0</v>
      </c>
      <c r="MI91" s="110">
        <f t="shared" si="719"/>
        <v>0</v>
      </c>
      <c r="MJ91" s="110">
        <f t="shared" si="720"/>
        <v>0</v>
      </c>
      <c r="MK91" s="110">
        <f t="shared" si="721"/>
        <v>0</v>
      </c>
      <c r="ML91" s="110">
        <f t="shared" si="722"/>
        <v>0</v>
      </c>
      <c r="MM91" s="110">
        <f t="shared" si="723"/>
        <v>0</v>
      </c>
      <c r="MN91" s="110">
        <f t="shared" si="724"/>
        <v>0</v>
      </c>
      <c r="MO91" s="110">
        <f t="shared" si="725"/>
        <v>0</v>
      </c>
      <c r="MP91" s="110">
        <f t="shared" si="726"/>
        <v>0</v>
      </c>
      <c r="MQ91" s="110">
        <f t="shared" si="727"/>
        <v>0</v>
      </c>
      <c r="MR91" s="110">
        <f t="shared" si="728"/>
        <v>0</v>
      </c>
      <c r="MS91" s="110">
        <f t="shared" si="729"/>
        <v>0</v>
      </c>
      <c r="MT91" s="110">
        <f t="shared" si="730"/>
        <v>0</v>
      </c>
      <c r="MV91" s="114">
        <v>0</v>
      </c>
      <c r="MW91" s="114">
        <v>0</v>
      </c>
      <c r="MX91" s="114">
        <v>0</v>
      </c>
      <c r="MY91" s="114">
        <v>0</v>
      </c>
      <c r="MZ91" s="114">
        <v>0</v>
      </c>
      <c r="NB91" s="115" t="str">
        <v>N/A</v>
      </c>
      <c r="NC91" s="115" t="str">
        <v>N/A</v>
      </c>
      <c r="ND91" s="115" t="str">
        <v>N/A</v>
      </c>
      <c r="NE91" s="115" t="str">
        <v>N/A</v>
      </c>
      <c r="NF91" s="115" t="str">
        <v>N/A</v>
      </c>
    </row>
    <row r="92" spans="2:370" ht="13.5" x14ac:dyDescent="0.25">
      <c r="B92" s="8">
        <f t="shared" si="731"/>
        <v>89</v>
      </c>
      <c r="C92" s="7">
        <v>191.72</v>
      </c>
      <c r="D92" s="7">
        <v>191.72</v>
      </c>
      <c r="E92" s="7">
        <v>188.69</v>
      </c>
      <c r="F92" s="7">
        <v>195.56</v>
      </c>
      <c r="G92" s="7">
        <v>190.19</v>
      </c>
      <c r="H92" s="7">
        <v>187.19</v>
      </c>
      <c r="I92" s="7">
        <v>196.48999999999998</v>
      </c>
      <c r="J92" s="7">
        <v>179</v>
      </c>
      <c r="K92" s="7">
        <v>656.93000000000006</v>
      </c>
      <c r="L92" s="7">
        <v>0</v>
      </c>
      <c r="M92" s="7">
        <v>0</v>
      </c>
      <c r="N92" s="7">
        <v>0</v>
      </c>
      <c r="O92" s="7">
        <v>0</v>
      </c>
      <c r="P92" s="7">
        <v>0</v>
      </c>
      <c r="Q92" s="7">
        <v>0</v>
      </c>
      <c r="R92" s="7">
        <v>0</v>
      </c>
      <c r="S92" s="7">
        <v>0</v>
      </c>
      <c r="T92" s="7">
        <v>0</v>
      </c>
      <c r="U92" s="7">
        <v>0</v>
      </c>
      <c r="V92" s="7">
        <v>0</v>
      </c>
      <c r="W92" s="7">
        <v>0</v>
      </c>
      <c r="X92" s="7">
        <v>0</v>
      </c>
      <c r="Y92" s="7">
        <v>0</v>
      </c>
      <c r="Z92" s="7">
        <v>0</v>
      </c>
      <c r="AA92" s="7">
        <v>0</v>
      </c>
      <c r="AB92" s="7">
        <v>0</v>
      </c>
      <c r="AC92" s="7">
        <v>0</v>
      </c>
      <c r="AD92" s="7">
        <v>0</v>
      </c>
      <c r="AE92" s="7">
        <v>0</v>
      </c>
      <c r="AF92" s="7">
        <v>0</v>
      </c>
      <c r="AG92" s="7">
        <v>0</v>
      </c>
      <c r="AH92" s="7">
        <v>0</v>
      </c>
      <c r="AI92" s="7">
        <v>0</v>
      </c>
      <c r="AJ92" s="7">
        <v>0</v>
      </c>
      <c r="AK92" s="7">
        <v>0</v>
      </c>
      <c r="AL92" s="7">
        <v>0</v>
      </c>
      <c r="AM92" s="7">
        <v>0</v>
      </c>
      <c r="AN92" s="27">
        <v>89</v>
      </c>
      <c r="AP92" s="111"/>
      <c r="AQ92" s="110">
        <f t="shared" si="492"/>
        <v>3.8400000000000034</v>
      </c>
      <c r="AR92" s="110">
        <f t="shared" si="493"/>
        <v>0.9299999999999784</v>
      </c>
      <c r="AS92" s="110">
        <f t="shared" si="494"/>
        <v>-196.48999999999998</v>
      </c>
      <c r="AT92" s="110">
        <f t="shared" si="495"/>
        <v>0</v>
      </c>
      <c r="AU92" s="110">
        <f t="shared" si="496"/>
        <v>0</v>
      </c>
      <c r="AV92" s="110">
        <f t="shared" si="497"/>
        <v>0</v>
      </c>
      <c r="AW92" s="110">
        <f t="shared" si="498"/>
        <v>0</v>
      </c>
      <c r="AX92" s="110">
        <f t="shared" si="499"/>
        <v>0</v>
      </c>
      <c r="AY92" s="110">
        <f t="shared" si="500"/>
        <v>0</v>
      </c>
      <c r="AZ92" s="110">
        <f t="shared" si="501"/>
        <v>0</v>
      </c>
      <c r="BA92" s="110">
        <f t="shared" si="502"/>
        <v>0</v>
      </c>
      <c r="BB92" s="110">
        <f t="shared" si="503"/>
        <v>0</v>
      </c>
      <c r="BD92" s="109" cm="1">
        <f t="array" ref="BD92">+IFERROR(INDEX($C$3:$AM$3,MATCH(TRUE,INDEX($C92:$AM92&lt;&gt;0,0),0)),"N/A")</f>
        <v>44926</v>
      </c>
      <c r="BE92" s="112"/>
      <c r="BF92" s="1" t="str" cm="1">
        <f t="array" ref="BF92">+_xlfn.IFS(BT92&lt;&gt;0,BT$2,CH92&lt;&gt;0,CH$2,CV92&lt;&gt;0,CV$2,DJ92&lt;&gt;0,DJ$2,TRUE,"")</f>
        <v>Upsell</v>
      </c>
      <c r="BG92" s="1" t="str" cm="1">
        <f t="array" ref="BG92">+_xlfn.IFS(BU92&lt;&gt;0,BU$2,CI92&lt;&gt;0,CI$2,CW92&lt;&gt;0,CW$2,DK92&lt;&gt;0,DK$2,TRUE,"")</f>
        <v>Upsell</v>
      </c>
      <c r="BH92" s="1" t="str" cm="1">
        <f t="array" ref="BH92">+_xlfn.IFS(BV92&lt;&gt;0,BV$2,CJ92&lt;&gt;0,CJ$2,CX92&lt;&gt;0,CX$2,DL92&lt;&gt;0,DL$2,TRUE,"")</f>
        <v>Churn</v>
      </c>
      <c r="BI92" s="1" t="str" cm="1">
        <f t="array" ref="BI92">+_xlfn.IFS(BW92&lt;&gt;0,BW$2,CK92&lt;&gt;0,CK$2,CY92&lt;&gt;0,CY$2,DM92&lt;&gt;0,DM$2,TRUE,"")</f>
        <v/>
      </c>
      <c r="BJ92" s="1" t="str" cm="1">
        <f t="array" ref="BJ92">+_xlfn.IFS(BX92&lt;&gt;0,BX$2,CL92&lt;&gt;0,CL$2,CZ92&lt;&gt;0,CZ$2,DN92&lt;&gt;0,DN$2,TRUE,"")</f>
        <v/>
      </c>
      <c r="BK92" s="1" t="str" cm="1">
        <f t="array" ref="BK92">+_xlfn.IFS(BY92&lt;&gt;0,BY$2,CM92&lt;&gt;0,CM$2,DA92&lt;&gt;0,DA$2,DO92&lt;&gt;0,DO$2,TRUE,"")</f>
        <v/>
      </c>
      <c r="BL92" s="1" t="str" cm="1">
        <f t="array" ref="BL92">+_xlfn.IFS(BZ92&lt;&gt;0,BZ$2,CN92&lt;&gt;0,CN$2,DB92&lt;&gt;0,DB$2,DP92&lt;&gt;0,DP$2,TRUE,"")</f>
        <v/>
      </c>
      <c r="BM92" s="1" t="str" cm="1">
        <f t="array" ref="BM92">+_xlfn.IFS(CA92&lt;&gt;0,CA$2,CO92&lt;&gt;0,CO$2,DC92&lt;&gt;0,DC$2,DQ92&lt;&gt;0,DQ$2,TRUE,"")</f>
        <v/>
      </c>
      <c r="BN92" s="1" t="str" cm="1">
        <f t="array" ref="BN92">+_xlfn.IFS(CB92&lt;&gt;0,CB$2,CP92&lt;&gt;0,CP$2,DD92&lt;&gt;0,DD$2,DR92&lt;&gt;0,DR$2,TRUE,"")</f>
        <v/>
      </c>
      <c r="BO92" s="1" t="str" cm="1">
        <f t="array" ref="BO92">+_xlfn.IFS(CC92&lt;&gt;0,CC$2,CQ92&lt;&gt;0,CQ$2,DE92&lt;&gt;0,DE$2,DS92&lt;&gt;0,DS$2,TRUE,"")</f>
        <v/>
      </c>
      <c r="BP92" s="1" t="str" cm="1">
        <f t="array" ref="BP92">+_xlfn.IFS(CD92&lt;&gt;0,CD$2,CR92&lt;&gt;0,CR$2,DF92&lt;&gt;0,DF$2,DT92&lt;&gt;0,DT$2,TRUE,"")</f>
        <v/>
      </c>
      <c r="BQ92" s="1" t="str" cm="1">
        <f t="array" ref="BQ92">+_xlfn.IFS(CE92&lt;&gt;0,CE$2,CS92&lt;&gt;0,CS$2,DG92&lt;&gt;0,DG$2,DU92&lt;&gt;0,DU$2,TRUE,"")</f>
        <v/>
      </c>
      <c r="BS92" s="111"/>
      <c r="BT92" s="110">
        <f t="shared" si="504"/>
        <v>0</v>
      </c>
      <c r="BU92" s="110">
        <f t="shared" si="505"/>
        <v>0</v>
      </c>
      <c r="BV92" s="110">
        <f t="shared" si="506"/>
        <v>0</v>
      </c>
      <c r="BW92" s="110">
        <f t="shared" si="507"/>
        <v>0</v>
      </c>
      <c r="BX92" s="110">
        <f t="shared" si="508"/>
        <v>0</v>
      </c>
      <c r="BY92" s="110">
        <f t="shared" si="509"/>
        <v>0</v>
      </c>
      <c r="BZ92" s="110">
        <f t="shared" si="510"/>
        <v>0</v>
      </c>
      <c r="CA92" s="110">
        <f t="shared" si="511"/>
        <v>0</v>
      </c>
      <c r="CB92" s="110">
        <f t="shared" si="512"/>
        <v>0</v>
      </c>
      <c r="CC92" s="110">
        <f t="shared" si="513"/>
        <v>0</v>
      </c>
      <c r="CD92" s="110">
        <f t="shared" si="514"/>
        <v>0</v>
      </c>
      <c r="CE92" s="110">
        <f t="shared" si="515"/>
        <v>0</v>
      </c>
      <c r="CG92" s="111"/>
      <c r="CH92" s="110">
        <f t="shared" si="516"/>
        <v>0</v>
      </c>
      <c r="CI92" s="110">
        <f t="shared" si="517"/>
        <v>0</v>
      </c>
      <c r="CJ92" s="110">
        <f t="shared" si="518"/>
        <v>-196.48999999999998</v>
      </c>
      <c r="CK92" s="110">
        <f t="shared" si="519"/>
        <v>0</v>
      </c>
      <c r="CL92" s="110">
        <f t="shared" si="520"/>
        <v>0</v>
      </c>
      <c r="CM92" s="110">
        <f t="shared" si="521"/>
        <v>0</v>
      </c>
      <c r="CN92" s="110">
        <f t="shared" si="522"/>
        <v>0</v>
      </c>
      <c r="CO92" s="110">
        <f t="shared" si="523"/>
        <v>0</v>
      </c>
      <c r="CP92" s="110">
        <f t="shared" si="524"/>
        <v>0</v>
      </c>
      <c r="CQ92" s="110">
        <f t="shared" si="525"/>
        <v>0</v>
      </c>
      <c r="CR92" s="110">
        <f t="shared" si="526"/>
        <v>0</v>
      </c>
      <c r="CS92" s="110">
        <f t="shared" si="527"/>
        <v>0</v>
      </c>
      <c r="CU92" s="111"/>
      <c r="CV92" s="110">
        <f t="shared" si="528"/>
        <v>0</v>
      </c>
      <c r="CW92" s="110">
        <f t="shared" si="529"/>
        <v>0</v>
      </c>
      <c r="CX92" s="110">
        <f t="shared" si="530"/>
        <v>0</v>
      </c>
      <c r="CY92" s="110">
        <f t="shared" si="531"/>
        <v>0</v>
      </c>
      <c r="CZ92" s="110">
        <f t="shared" si="532"/>
        <v>0</v>
      </c>
      <c r="DA92" s="110">
        <f t="shared" si="533"/>
        <v>0</v>
      </c>
      <c r="DB92" s="110">
        <f t="shared" si="534"/>
        <v>0</v>
      </c>
      <c r="DC92" s="110">
        <f t="shared" si="535"/>
        <v>0</v>
      </c>
      <c r="DD92" s="110">
        <f t="shared" si="536"/>
        <v>0</v>
      </c>
      <c r="DE92" s="110">
        <f t="shared" si="537"/>
        <v>0</v>
      </c>
      <c r="DF92" s="110">
        <f t="shared" si="538"/>
        <v>0</v>
      </c>
      <c r="DG92" s="110">
        <f t="shared" si="539"/>
        <v>0</v>
      </c>
      <c r="DI92" s="111"/>
      <c r="DJ92" s="110">
        <f t="shared" si="540"/>
        <v>3.8400000000000034</v>
      </c>
      <c r="DK92" s="110">
        <f t="shared" si="541"/>
        <v>0.9299999999999784</v>
      </c>
      <c r="DL92" s="110">
        <f t="shared" si="542"/>
        <v>0</v>
      </c>
      <c r="DM92" s="110">
        <f t="shared" si="543"/>
        <v>0</v>
      </c>
      <c r="DN92" s="110">
        <f t="shared" si="544"/>
        <v>0</v>
      </c>
      <c r="DO92" s="110">
        <f t="shared" si="545"/>
        <v>0</v>
      </c>
      <c r="DP92" s="110">
        <f t="shared" si="546"/>
        <v>0</v>
      </c>
      <c r="DQ92" s="110">
        <f t="shared" si="547"/>
        <v>0</v>
      </c>
      <c r="DR92" s="110">
        <f t="shared" si="548"/>
        <v>0</v>
      </c>
      <c r="DS92" s="110">
        <f t="shared" si="549"/>
        <v>0</v>
      </c>
      <c r="DT92" s="110">
        <f t="shared" si="550"/>
        <v>0</v>
      </c>
      <c r="DU92" s="110">
        <f t="shared" si="551"/>
        <v>0</v>
      </c>
      <c r="DW92" s="111"/>
      <c r="DX92" s="110">
        <f t="shared" si="552"/>
        <v>0</v>
      </c>
      <c r="DY92" s="110">
        <f t="shared" si="553"/>
        <v>0</v>
      </c>
      <c r="DZ92" s="110">
        <f t="shared" si="554"/>
        <v>0</v>
      </c>
      <c r="EA92" s="110">
        <f t="shared" si="555"/>
        <v>0</v>
      </c>
      <c r="EB92" s="110">
        <f t="shared" si="556"/>
        <v>0</v>
      </c>
      <c r="EC92" s="110">
        <f t="shared" si="557"/>
        <v>0</v>
      </c>
      <c r="ED92" s="110">
        <f t="shared" si="558"/>
        <v>0</v>
      </c>
      <c r="EE92" s="110">
        <f t="shared" si="559"/>
        <v>0</v>
      </c>
      <c r="EF92" s="110">
        <f t="shared" si="560"/>
        <v>0</v>
      </c>
      <c r="EG92" s="110">
        <f t="shared" si="561"/>
        <v>0</v>
      </c>
      <c r="EH92" s="110">
        <f t="shared" si="562"/>
        <v>0</v>
      </c>
      <c r="EI92" s="110">
        <f t="shared" si="563"/>
        <v>0</v>
      </c>
      <c r="EK92" s="111"/>
      <c r="EL92" s="110">
        <f t="shared" si="564"/>
        <v>-191.72</v>
      </c>
      <c r="EM92" s="110">
        <f t="shared" si="565"/>
        <v>0</v>
      </c>
      <c r="EN92" s="110">
        <f t="shared" si="566"/>
        <v>0</v>
      </c>
      <c r="EP92" s="109" cm="1">
        <f t="array" ref="EP92">+IFERROR(INDEX($C$3:$AM$3,MATCH(TRUE,INDEX($C92:$AM92&lt;&gt;0,0),0)),"N/A")</f>
        <v>44926</v>
      </c>
      <c r="EQ92" s="112"/>
      <c r="ER92" s="1" t="str" cm="1">
        <f t="array" ref="ER92">+_xlfn.IFS(EW92&lt;&gt;0,EW$2,FB92&lt;&gt;0,FB$2,FG92&lt;&gt;0,FG$2,FL92&lt;&gt;0,FL$2,TRUE,"")</f>
        <v>Churn</v>
      </c>
      <c r="ES92" s="1" t="str" cm="1">
        <f t="array" ref="ES92">+_xlfn.IFS(EX92&lt;&gt;0,EX$2,FC92&lt;&gt;0,FC$2,FH92&lt;&gt;0,FH$2,FM92&lt;&gt;0,FM$2,TRUE,"")</f>
        <v/>
      </c>
      <c r="ET92" s="1" t="str" cm="1">
        <f t="array" ref="ET92">+_xlfn.IFS(EY92&lt;&gt;0,EY$2,FD92&lt;&gt;0,FD$2,FI92&lt;&gt;0,FI$2,FN92&lt;&gt;0,FN$2,TRUE,"")</f>
        <v/>
      </c>
      <c r="EV92" s="111"/>
      <c r="EW92" s="110">
        <f t="shared" si="567"/>
        <v>0</v>
      </c>
      <c r="EX92" s="110">
        <f t="shared" si="568"/>
        <v>0</v>
      </c>
      <c r="EY92" s="110">
        <f t="shared" si="569"/>
        <v>0</v>
      </c>
      <c r="FA92" s="111"/>
      <c r="FB92" s="110">
        <f t="shared" si="570"/>
        <v>-191.72</v>
      </c>
      <c r="FC92" s="110">
        <f t="shared" si="571"/>
        <v>0</v>
      </c>
      <c r="FD92" s="110">
        <f t="shared" si="572"/>
        <v>0</v>
      </c>
      <c r="FF92" s="111"/>
      <c r="FG92" s="110">
        <f t="shared" si="573"/>
        <v>0</v>
      </c>
      <c r="FH92" s="110">
        <f t="shared" si="574"/>
        <v>0</v>
      </c>
      <c r="FI92" s="110">
        <f t="shared" si="575"/>
        <v>0</v>
      </c>
      <c r="FK92" s="111"/>
      <c r="FL92" s="110">
        <f t="shared" si="576"/>
        <v>0</v>
      </c>
      <c r="FM92" s="110">
        <f t="shared" si="577"/>
        <v>0</v>
      </c>
      <c r="FN92" s="110">
        <f t="shared" si="578"/>
        <v>0</v>
      </c>
      <c r="FP92" s="111"/>
      <c r="FQ92" s="110">
        <f t="shared" si="579"/>
        <v>0</v>
      </c>
      <c r="FR92" s="110">
        <f t="shared" si="580"/>
        <v>0</v>
      </c>
      <c r="FS92" s="110">
        <f t="shared" si="581"/>
        <v>0</v>
      </c>
      <c r="FU92" s="111">
        <f t="shared" si="582"/>
        <v>-191.72</v>
      </c>
      <c r="FV92" s="110">
        <f t="shared" si="583"/>
        <v>-191.72</v>
      </c>
      <c r="FW92" s="110">
        <f t="shared" si="584"/>
        <v>-188.69</v>
      </c>
      <c r="FX92" s="110">
        <f t="shared" si="585"/>
        <v>-195.56</v>
      </c>
      <c r="FY92" s="110">
        <f t="shared" si="586"/>
        <v>-190.19</v>
      </c>
      <c r="FZ92" s="110">
        <f t="shared" si="587"/>
        <v>-187.19</v>
      </c>
      <c r="GA92" s="110">
        <f t="shared" si="588"/>
        <v>-196.48999999999998</v>
      </c>
      <c r="GB92" s="110">
        <f t="shared" si="589"/>
        <v>-179</v>
      </c>
      <c r="GC92" s="110">
        <f t="shared" si="590"/>
        <v>-656.93000000000006</v>
      </c>
      <c r="GD92" s="110">
        <f t="shared" si="591"/>
        <v>0</v>
      </c>
      <c r="GE92" s="110">
        <f t="shared" si="592"/>
        <v>0</v>
      </c>
      <c r="GF92" s="110">
        <f t="shared" si="593"/>
        <v>0</v>
      </c>
      <c r="GG92" s="110">
        <f t="shared" si="594"/>
        <v>0</v>
      </c>
      <c r="GH92" s="110">
        <f t="shared" si="595"/>
        <v>0</v>
      </c>
      <c r="GI92" s="110">
        <f t="shared" si="596"/>
        <v>0</v>
      </c>
      <c r="GJ92" s="110">
        <f t="shared" si="597"/>
        <v>0</v>
      </c>
      <c r="GK92" s="110">
        <f t="shared" si="598"/>
        <v>0</v>
      </c>
      <c r="GL92" s="110">
        <f t="shared" si="599"/>
        <v>0</v>
      </c>
      <c r="GM92" s="110">
        <f t="shared" si="600"/>
        <v>0</v>
      </c>
      <c r="GN92" s="110">
        <f t="shared" si="601"/>
        <v>0</v>
      </c>
      <c r="GO92" s="110">
        <f t="shared" si="602"/>
        <v>0</v>
      </c>
      <c r="GP92" s="110">
        <f t="shared" si="603"/>
        <v>0</v>
      </c>
      <c r="GQ92" s="110">
        <f t="shared" si="604"/>
        <v>0</v>
      </c>
      <c r="GR92" s="110">
        <f t="shared" si="605"/>
        <v>0</v>
      </c>
      <c r="GS92" s="110">
        <f t="shared" si="606"/>
        <v>0</v>
      </c>
      <c r="GU92" s="109" cm="1">
        <f t="array" ref="GU92">+IFERROR(INDEX($C$3:$AM$3,MATCH(TRUE,INDEX($C92:$AM92&lt;&gt;0,0),0)),"N/A")</f>
        <v>44926</v>
      </c>
      <c r="GV92" s="112" t="str" cm="1">
        <f t="array" ref="GV92">+_xlfn.IFS(HV92&lt;&gt;0,HV$2,IV92&lt;&gt;0,IV$2,JV92&lt;&gt;0,JV$2,KV92&lt;&gt;0,KV$2,TRUE,"")</f>
        <v>Churn</v>
      </c>
      <c r="GW92" s="1" t="str" cm="1">
        <f t="array" ref="GW92">+_xlfn.IFS(HW92&lt;&gt;0,HW$2,IW92&lt;&gt;0,IW$2,JW92&lt;&gt;0,JW$2,KW92&lt;&gt;0,KW$2,TRUE,"")</f>
        <v>Churn</v>
      </c>
      <c r="GX92" s="1" t="str" cm="1">
        <f t="array" ref="GX92">+_xlfn.IFS(HX92&lt;&gt;0,HX$2,IX92&lt;&gt;0,IX$2,JX92&lt;&gt;0,JX$2,KX92&lt;&gt;0,KX$2,TRUE,"")</f>
        <v>Churn</v>
      </c>
      <c r="GY92" s="1" t="str" cm="1">
        <f t="array" ref="GY92">+_xlfn.IFS(HY92&lt;&gt;0,HY$2,IY92&lt;&gt;0,IY$2,JY92&lt;&gt;0,JY$2,KY92&lt;&gt;0,KY$2,TRUE,"")</f>
        <v>Churn</v>
      </c>
      <c r="GZ92" s="1" t="str" cm="1">
        <f t="array" ref="GZ92">+_xlfn.IFS(HZ92&lt;&gt;0,HZ$2,IZ92&lt;&gt;0,IZ$2,JZ92&lt;&gt;0,JZ$2,KZ92&lt;&gt;0,KZ$2,TRUE,"")</f>
        <v>Churn</v>
      </c>
      <c r="HA92" s="1" t="str" cm="1">
        <f t="array" ref="HA92">+_xlfn.IFS(IA92&lt;&gt;0,IA$2,JA92&lt;&gt;0,JA$2,KA92&lt;&gt;0,KA$2,LA92&lt;&gt;0,LA$2,TRUE,"")</f>
        <v>Churn</v>
      </c>
      <c r="HB92" s="1" t="str" cm="1">
        <f t="array" ref="HB92">+_xlfn.IFS(IB92&lt;&gt;0,IB$2,JB92&lt;&gt;0,JB$2,KB92&lt;&gt;0,KB$2,LB92&lt;&gt;0,LB$2,TRUE,"")</f>
        <v>Churn</v>
      </c>
      <c r="HC92" s="1" t="str" cm="1">
        <f t="array" ref="HC92">+_xlfn.IFS(IC92&lt;&gt;0,IC$2,JC92&lt;&gt;0,JC$2,KC92&lt;&gt;0,KC$2,LC92&lt;&gt;0,LC$2,TRUE,"")</f>
        <v>Churn</v>
      </c>
      <c r="HD92" s="1" t="str" cm="1">
        <f t="array" ref="HD92">+_xlfn.IFS(ID92&lt;&gt;0,ID$2,JD92&lt;&gt;0,JD$2,KD92&lt;&gt;0,KD$2,LD92&lt;&gt;0,LD$2,TRUE,"")</f>
        <v>Churn</v>
      </c>
      <c r="HE92" s="1" t="str" cm="1">
        <f t="array" ref="HE92">+_xlfn.IFS(IE92&lt;&gt;0,IE$2,JE92&lt;&gt;0,JE$2,KE92&lt;&gt;0,KE$2,LE92&lt;&gt;0,LE$2,TRUE,"")</f>
        <v/>
      </c>
      <c r="HF92" s="1" t="str" cm="1">
        <f t="array" ref="HF92">+_xlfn.IFS(IF92&lt;&gt;0,IF$2,JF92&lt;&gt;0,JF$2,KF92&lt;&gt;0,KF$2,LF92&lt;&gt;0,LF$2,TRUE,"")</f>
        <v/>
      </c>
      <c r="HG92" s="1" t="str" cm="1">
        <f t="array" ref="HG92">+_xlfn.IFS(IG92&lt;&gt;0,IG$2,JG92&lt;&gt;0,JG$2,KG92&lt;&gt;0,KG$2,LG92&lt;&gt;0,LG$2,TRUE,"")</f>
        <v/>
      </c>
      <c r="HH92" s="1" t="str" cm="1">
        <f t="array" ref="HH92">+_xlfn.IFS(IH92&lt;&gt;0,IH$2,JH92&lt;&gt;0,JH$2,KH92&lt;&gt;0,KH$2,LH92&lt;&gt;0,LH$2,TRUE,"")</f>
        <v/>
      </c>
      <c r="HI92" s="1" t="str" cm="1">
        <f t="array" ref="HI92">+_xlfn.IFS(II92&lt;&gt;0,II$2,JI92&lt;&gt;0,JI$2,KI92&lt;&gt;0,KI$2,LI92&lt;&gt;0,LI$2,TRUE,"")</f>
        <v/>
      </c>
      <c r="HJ92" s="1" t="str" cm="1">
        <f t="array" ref="HJ92">+_xlfn.IFS(IJ92&lt;&gt;0,IJ$2,JJ92&lt;&gt;0,JJ$2,KJ92&lt;&gt;0,KJ$2,LJ92&lt;&gt;0,LJ$2,TRUE,"")</f>
        <v/>
      </c>
      <c r="HK92" s="1" t="str" cm="1">
        <f t="array" ref="HK92">+_xlfn.IFS(IK92&lt;&gt;0,IK$2,JK92&lt;&gt;0,JK$2,KK92&lt;&gt;0,KK$2,LK92&lt;&gt;0,LK$2,TRUE,"")</f>
        <v/>
      </c>
      <c r="HL92" s="1" t="str" cm="1">
        <f t="array" ref="HL92">+_xlfn.IFS(IL92&lt;&gt;0,IL$2,JL92&lt;&gt;0,JL$2,KL92&lt;&gt;0,KL$2,LL92&lt;&gt;0,LL$2,TRUE,"")</f>
        <v/>
      </c>
      <c r="HM92" s="1" t="str" cm="1">
        <f t="array" ref="HM92">+_xlfn.IFS(IM92&lt;&gt;0,IM$2,JM92&lt;&gt;0,JM$2,KM92&lt;&gt;0,KM$2,LM92&lt;&gt;0,LM$2,TRUE,"")</f>
        <v/>
      </c>
      <c r="HN92" s="1" t="str" cm="1">
        <f t="array" ref="HN92">+_xlfn.IFS(IN92&lt;&gt;0,IN$2,JN92&lt;&gt;0,JN$2,KN92&lt;&gt;0,KN$2,LN92&lt;&gt;0,LN$2,TRUE,"")</f>
        <v/>
      </c>
      <c r="HO92" s="1" t="str" cm="1">
        <f t="array" ref="HO92">+_xlfn.IFS(IO92&lt;&gt;0,IO$2,JO92&lt;&gt;0,JO$2,KO92&lt;&gt;0,KO$2,LO92&lt;&gt;0,LO$2,TRUE,"")</f>
        <v/>
      </c>
      <c r="HP92" s="1" t="str" cm="1">
        <f t="array" ref="HP92">+_xlfn.IFS(IP92&lt;&gt;0,IP$2,JP92&lt;&gt;0,JP$2,KP92&lt;&gt;0,KP$2,LP92&lt;&gt;0,LP$2,TRUE,"")</f>
        <v/>
      </c>
      <c r="HQ92" s="1" t="str" cm="1">
        <f t="array" ref="HQ92">+_xlfn.IFS(IQ92&lt;&gt;0,IQ$2,JQ92&lt;&gt;0,JQ$2,KQ92&lt;&gt;0,KQ$2,LQ92&lt;&gt;0,LQ$2,TRUE,"")</f>
        <v/>
      </c>
      <c r="HR92" s="1" t="str" cm="1">
        <f t="array" ref="HR92">+_xlfn.IFS(IR92&lt;&gt;0,IR$2,JR92&lt;&gt;0,JR$2,KR92&lt;&gt;0,KR$2,LR92&lt;&gt;0,LR$2,TRUE,"")</f>
        <v/>
      </c>
      <c r="HS92" s="1" t="str" cm="1">
        <f t="array" ref="HS92">+_xlfn.IFS(IS92&lt;&gt;0,IS$2,JS92&lt;&gt;0,JS$2,KS92&lt;&gt;0,KS$2,LS92&lt;&gt;0,LS$2,TRUE,"")</f>
        <v/>
      </c>
      <c r="HT92" s="1" t="str" cm="1">
        <f t="array" ref="HT92">+_xlfn.IFS(IT92&lt;&gt;0,IT$2,JT92&lt;&gt;0,JT$2,KT92&lt;&gt;0,KT$2,LT92&lt;&gt;0,LT$2,TRUE,"")</f>
        <v/>
      </c>
      <c r="HV92" s="111">
        <f t="shared" si="607"/>
        <v>0</v>
      </c>
      <c r="HW92" s="110">
        <f t="shared" si="608"/>
        <v>0</v>
      </c>
      <c r="HX92" s="110">
        <f t="shared" si="609"/>
        <v>0</v>
      </c>
      <c r="HY92" s="110">
        <f t="shared" si="610"/>
        <v>0</v>
      </c>
      <c r="HZ92" s="110">
        <f t="shared" si="611"/>
        <v>0</v>
      </c>
      <c r="IA92" s="110">
        <f t="shared" si="612"/>
        <v>0</v>
      </c>
      <c r="IB92" s="110">
        <f t="shared" si="613"/>
        <v>0</v>
      </c>
      <c r="IC92" s="110">
        <f t="shared" si="614"/>
        <v>0</v>
      </c>
      <c r="ID92" s="110">
        <f t="shared" si="615"/>
        <v>0</v>
      </c>
      <c r="IE92" s="110">
        <f t="shared" si="616"/>
        <v>0</v>
      </c>
      <c r="IF92" s="110">
        <f t="shared" si="617"/>
        <v>0</v>
      </c>
      <c r="IG92" s="110">
        <f t="shared" si="618"/>
        <v>0</v>
      </c>
      <c r="IH92" s="110">
        <f t="shared" si="619"/>
        <v>0</v>
      </c>
      <c r="II92" s="110">
        <f t="shared" si="620"/>
        <v>0</v>
      </c>
      <c r="IJ92" s="110">
        <f t="shared" si="621"/>
        <v>0</v>
      </c>
      <c r="IK92" s="110">
        <f t="shared" si="622"/>
        <v>0</v>
      </c>
      <c r="IL92" s="110">
        <f t="shared" si="623"/>
        <v>0</v>
      </c>
      <c r="IM92" s="110">
        <f t="shared" si="624"/>
        <v>0</v>
      </c>
      <c r="IN92" s="110">
        <f t="shared" si="625"/>
        <v>0</v>
      </c>
      <c r="IO92" s="110">
        <f t="shared" si="626"/>
        <v>0</v>
      </c>
      <c r="IP92" s="110">
        <f t="shared" si="627"/>
        <v>0</v>
      </c>
      <c r="IQ92" s="110">
        <f t="shared" si="628"/>
        <v>0</v>
      </c>
      <c r="IR92" s="110">
        <f t="shared" si="629"/>
        <v>0</v>
      </c>
      <c r="IS92" s="110">
        <f t="shared" si="630"/>
        <v>0</v>
      </c>
      <c r="IT92" s="110">
        <f t="shared" si="631"/>
        <v>0</v>
      </c>
      <c r="IV92" s="111">
        <f t="shared" si="632"/>
        <v>-191.72</v>
      </c>
      <c r="IW92" s="110">
        <f t="shared" si="633"/>
        <v>-191.72</v>
      </c>
      <c r="IX92" s="110">
        <f t="shared" si="634"/>
        <v>-188.69</v>
      </c>
      <c r="IY92" s="110">
        <f t="shared" si="635"/>
        <v>-195.56</v>
      </c>
      <c r="IZ92" s="110">
        <f t="shared" si="636"/>
        <v>-190.19</v>
      </c>
      <c r="JA92" s="110">
        <f t="shared" si="637"/>
        <v>-187.19</v>
      </c>
      <c r="JB92" s="110">
        <f t="shared" si="638"/>
        <v>-196.48999999999998</v>
      </c>
      <c r="JC92" s="110">
        <f t="shared" si="639"/>
        <v>-179</v>
      </c>
      <c r="JD92" s="110">
        <f t="shared" si="640"/>
        <v>-656.93000000000006</v>
      </c>
      <c r="JE92" s="110">
        <f t="shared" si="641"/>
        <v>0</v>
      </c>
      <c r="JF92" s="110">
        <f t="shared" si="642"/>
        <v>0</v>
      </c>
      <c r="JG92" s="110">
        <f t="shared" si="643"/>
        <v>0</v>
      </c>
      <c r="JH92" s="110">
        <f t="shared" si="644"/>
        <v>0</v>
      </c>
      <c r="JI92" s="110">
        <f t="shared" si="645"/>
        <v>0</v>
      </c>
      <c r="JJ92" s="110">
        <f t="shared" si="646"/>
        <v>0</v>
      </c>
      <c r="JK92" s="110">
        <f t="shared" si="647"/>
        <v>0</v>
      </c>
      <c r="JL92" s="110">
        <f t="shared" si="648"/>
        <v>0</v>
      </c>
      <c r="JM92" s="110">
        <f t="shared" si="649"/>
        <v>0</v>
      </c>
      <c r="JN92" s="110">
        <f t="shared" si="650"/>
        <v>0</v>
      </c>
      <c r="JO92" s="110">
        <f t="shared" si="651"/>
        <v>0</v>
      </c>
      <c r="JP92" s="110">
        <f t="shared" si="652"/>
        <v>0</v>
      </c>
      <c r="JQ92" s="110">
        <f t="shared" si="653"/>
        <v>0</v>
      </c>
      <c r="JR92" s="110">
        <f t="shared" si="654"/>
        <v>0</v>
      </c>
      <c r="JS92" s="110">
        <f t="shared" si="655"/>
        <v>0</v>
      </c>
      <c r="JT92" s="110">
        <f t="shared" si="656"/>
        <v>0</v>
      </c>
      <c r="JV92" s="111">
        <f t="shared" si="657"/>
        <v>0</v>
      </c>
      <c r="JW92" s="110">
        <f t="shared" si="658"/>
        <v>0</v>
      </c>
      <c r="JX92" s="110">
        <f t="shared" si="659"/>
        <v>0</v>
      </c>
      <c r="JY92" s="110">
        <f t="shared" si="660"/>
        <v>0</v>
      </c>
      <c r="JZ92" s="110">
        <f t="shared" si="661"/>
        <v>0</v>
      </c>
      <c r="KA92" s="110">
        <f t="shared" si="662"/>
        <v>0</v>
      </c>
      <c r="KB92" s="110">
        <f t="shared" si="663"/>
        <v>0</v>
      </c>
      <c r="KC92" s="110">
        <f t="shared" si="664"/>
        <v>0</v>
      </c>
      <c r="KD92" s="110">
        <f t="shared" si="665"/>
        <v>0</v>
      </c>
      <c r="KE92" s="110">
        <f t="shared" si="666"/>
        <v>0</v>
      </c>
      <c r="KF92" s="110">
        <f t="shared" si="667"/>
        <v>0</v>
      </c>
      <c r="KG92" s="110">
        <f t="shared" si="668"/>
        <v>0</v>
      </c>
      <c r="KH92" s="110">
        <f t="shared" si="669"/>
        <v>0</v>
      </c>
      <c r="KI92" s="110">
        <f t="shared" si="670"/>
        <v>0</v>
      </c>
      <c r="KJ92" s="110">
        <f t="shared" si="671"/>
        <v>0</v>
      </c>
      <c r="KK92" s="110">
        <f t="shared" si="672"/>
        <v>0</v>
      </c>
      <c r="KL92" s="110">
        <f t="shared" si="673"/>
        <v>0</v>
      </c>
      <c r="KM92" s="110">
        <f t="shared" si="674"/>
        <v>0</v>
      </c>
      <c r="KN92" s="110">
        <f t="shared" si="675"/>
        <v>0</v>
      </c>
      <c r="KO92" s="110">
        <f t="shared" si="676"/>
        <v>0</v>
      </c>
      <c r="KP92" s="110">
        <f t="shared" si="677"/>
        <v>0</v>
      </c>
      <c r="KQ92" s="110">
        <f t="shared" si="678"/>
        <v>0</v>
      </c>
      <c r="KR92" s="110">
        <f t="shared" si="679"/>
        <v>0</v>
      </c>
      <c r="KS92" s="110">
        <f t="shared" si="680"/>
        <v>0</v>
      </c>
      <c r="KT92" s="110">
        <f t="shared" si="681"/>
        <v>0</v>
      </c>
      <c r="KV92" s="111">
        <f t="shared" si="682"/>
        <v>0</v>
      </c>
      <c r="KW92" s="110">
        <f t="shared" si="683"/>
        <v>0</v>
      </c>
      <c r="KX92" s="110">
        <f t="shared" si="684"/>
        <v>0</v>
      </c>
      <c r="KY92" s="110">
        <f t="shared" si="685"/>
        <v>0</v>
      </c>
      <c r="KZ92" s="110">
        <f t="shared" si="686"/>
        <v>0</v>
      </c>
      <c r="LA92" s="110">
        <f t="shared" si="687"/>
        <v>0</v>
      </c>
      <c r="LB92" s="110">
        <f t="shared" si="688"/>
        <v>0</v>
      </c>
      <c r="LC92" s="110">
        <f t="shared" si="689"/>
        <v>0</v>
      </c>
      <c r="LD92" s="110">
        <f t="shared" si="690"/>
        <v>0</v>
      </c>
      <c r="LE92" s="110">
        <f t="shared" si="691"/>
        <v>0</v>
      </c>
      <c r="LF92" s="110">
        <f t="shared" si="692"/>
        <v>0</v>
      </c>
      <c r="LG92" s="110">
        <f t="shared" si="693"/>
        <v>0</v>
      </c>
      <c r="LH92" s="110">
        <f t="shared" si="694"/>
        <v>0</v>
      </c>
      <c r="LI92" s="110">
        <f t="shared" si="695"/>
        <v>0</v>
      </c>
      <c r="LJ92" s="110">
        <f t="shared" si="696"/>
        <v>0</v>
      </c>
      <c r="LK92" s="110">
        <f t="shared" si="697"/>
        <v>0</v>
      </c>
      <c r="LL92" s="110">
        <f t="shared" si="698"/>
        <v>0</v>
      </c>
      <c r="LM92" s="110">
        <f t="shared" si="699"/>
        <v>0</v>
      </c>
      <c r="LN92" s="110">
        <f t="shared" si="700"/>
        <v>0</v>
      </c>
      <c r="LO92" s="110">
        <f t="shared" si="701"/>
        <v>0</v>
      </c>
      <c r="LP92" s="110">
        <f t="shared" si="702"/>
        <v>0</v>
      </c>
      <c r="LQ92" s="110">
        <f t="shared" si="703"/>
        <v>0</v>
      </c>
      <c r="LR92" s="110">
        <f t="shared" si="704"/>
        <v>0</v>
      </c>
      <c r="LS92" s="110">
        <f t="shared" si="705"/>
        <v>0</v>
      </c>
      <c r="LT92" s="110">
        <f t="shared" si="706"/>
        <v>0</v>
      </c>
      <c r="LV92" s="111"/>
      <c r="LW92" s="110">
        <f t="shared" si="707"/>
        <v>0</v>
      </c>
      <c r="LX92" s="110">
        <f t="shared" si="708"/>
        <v>0</v>
      </c>
      <c r="LY92" s="110">
        <f t="shared" si="709"/>
        <v>0</v>
      </c>
      <c r="LZ92" s="110">
        <f t="shared" si="710"/>
        <v>0</v>
      </c>
      <c r="MA92" s="110">
        <f t="shared" si="711"/>
        <v>0</v>
      </c>
      <c r="MB92" s="110">
        <f t="shared" si="712"/>
        <v>0</v>
      </c>
      <c r="MC92" s="110">
        <f t="shared" si="713"/>
        <v>0</v>
      </c>
      <c r="MD92" s="110">
        <f t="shared" si="714"/>
        <v>0</v>
      </c>
      <c r="ME92" s="110">
        <f t="shared" si="715"/>
        <v>0</v>
      </c>
      <c r="MF92" s="110">
        <f t="shared" si="716"/>
        <v>0</v>
      </c>
      <c r="MG92" s="110">
        <f t="shared" si="717"/>
        <v>0</v>
      </c>
      <c r="MH92" s="110">
        <f t="shared" si="718"/>
        <v>0</v>
      </c>
      <c r="MI92" s="110">
        <f t="shared" si="719"/>
        <v>0</v>
      </c>
      <c r="MJ92" s="110">
        <f t="shared" si="720"/>
        <v>0</v>
      </c>
      <c r="MK92" s="110">
        <f t="shared" si="721"/>
        <v>0</v>
      </c>
      <c r="ML92" s="110">
        <f t="shared" si="722"/>
        <v>0</v>
      </c>
      <c r="MM92" s="110">
        <f t="shared" si="723"/>
        <v>0</v>
      </c>
      <c r="MN92" s="110">
        <f t="shared" si="724"/>
        <v>0</v>
      </c>
      <c r="MO92" s="110">
        <f t="shared" si="725"/>
        <v>0</v>
      </c>
      <c r="MP92" s="110">
        <f t="shared" si="726"/>
        <v>0</v>
      </c>
      <c r="MQ92" s="110">
        <f t="shared" si="727"/>
        <v>0</v>
      </c>
      <c r="MR92" s="110">
        <f t="shared" si="728"/>
        <v>0</v>
      </c>
      <c r="MS92" s="110">
        <f t="shared" si="729"/>
        <v>0</v>
      </c>
      <c r="MT92" s="110">
        <f t="shared" si="730"/>
        <v>0</v>
      </c>
      <c r="MV92" s="114">
        <v>0</v>
      </c>
      <c r="MW92" s="114">
        <v>0</v>
      </c>
      <c r="MX92" s="114">
        <v>0</v>
      </c>
      <c r="MY92" s="114">
        <v>0</v>
      </c>
      <c r="MZ92" s="114">
        <v>0</v>
      </c>
      <c r="NB92" s="115" t="str">
        <v>N/A</v>
      </c>
      <c r="NC92" s="115" t="str">
        <v>N/A</v>
      </c>
      <c r="ND92" s="115" t="str">
        <v>N/A</v>
      </c>
      <c r="NE92" s="115" t="str">
        <v>N/A</v>
      </c>
      <c r="NF92" s="115" t="str">
        <v>N/A</v>
      </c>
    </row>
    <row r="93" spans="2:370" ht="13.5" x14ac:dyDescent="0.25">
      <c r="B93" s="8">
        <f t="shared" si="731"/>
        <v>90</v>
      </c>
      <c r="C93" s="7">
        <v>170.05</v>
      </c>
      <c r="D93" s="7">
        <v>170.05</v>
      </c>
      <c r="E93" s="7">
        <v>170.05</v>
      </c>
      <c r="F93" s="7">
        <v>170.05</v>
      </c>
      <c r="G93" s="7">
        <v>170.05</v>
      </c>
      <c r="H93" s="7">
        <v>170.05</v>
      </c>
      <c r="I93" s="7">
        <v>170.05</v>
      </c>
      <c r="J93" s="7">
        <v>170.05</v>
      </c>
      <c r="K93" s="7">
        <v>170.05</v>
      </c>
      <c r="L93" s="7">
        <v>170.05</v>
      </c>
      <c r="M93" s="7">
        <v>179</v>
      </c>
      <c r="N93" s="7">
        <v>179</v>
      </c>
      <c r="O93" s="7">
        <v>179</v>
      </c>
      <c r="P93" s="7">
        <v>179</v>
      </c>
      <c r="Q93" s="7">
        <v>179</v>
      </c>
      <c r="R93" s="7">
        <v>179</v>
      </c>
      <c r="S93" s="7">
        <v>179</v>
      </c>
      <c r="T93" s="7">
        <v>179</v>
      </c>
      <c r="U93" s="7">
        <v>179</v>
      </c>
      <c r="V93" s="7">
        <v>179</v>
      </c>
      <c r="W93" s="7">
        <v>179</v>
      </c>
      <c r="X93" s="7">
        <v>179</v>
      </c>
      <c r="Y93" s="7">
        <v>179</v>
      </c>
      <c r="Z93" s="7">
        <v>179</v>
      </c>
      <c r="AA93" s="7">
        <v>179</v>
      </c>
      <c r="AB93" s="7">
        <v>179</v>
      </c>
      <c r="AC93" s="7">
        <v>179</v>
      </c>
      <c r="AD93" s="7">
        <v>185.27</v>
      </c>
      <c r="AE93" s="7">
        <v>185.27</v>
      </c>
      <c r="AF93" s="7">
        <v>185.27</v>
      </c>
      <c r="AG93" s="7">
        <v>185.27</v>
      </c>
      <c r="AH93" s="7">
        <v>185.27</v>
      </c>
      <c r="AI93" s="7">
        <v>185.27</v>
      </c>
      <c r="AJ93" s="7">
        <v>185.27</v>
      </c>
      <c r="AK93" s="7">
        <v>191.75</v>
      </c>
      <c r="AL93" s="7">
        <v>191.75</v>
      </c>
      <c r="AM93" s="7">
        <v>191.75</v>
      </c>
      <c r="AN93" s="27">
        <v>90</v>
      </c>
      <c r="AP93" s="111"/>
      <c r="AQ93" s="110">
        <f t="shared" si="492"/>
        <v>0</v>
      </c>
      <c r="AR93" s="110">
        <f t="shared" si="493"/>
        <v>0</v>
      </c>
      <c r="AS93" s="110">
        <f t="shared" si="494"/>
        <v>0</v>
      </c>
      <c r="AT93" s="110">
        <f t="shared" si="495"/>
        <v>8.9499999999999886</v>
      </c>
      <c r="AU93" s="110">
        <f t="shared" si="496"/>
        <v>0</v>
      </c>
      <c r="AV93" s="110">
        <f t="shared" si="497"/>
        <v>0</v>
      </c>
      <c r="AW93" s="110">
        <f t="shared" si="498"/>
        <v>0</v>
      </c>
      <c r="AX93" s="110">
        <f t="shared" si="499"/>
        <v>0</v>
      </c>
      <c r="AY93" s="110">
        <f t="shared" si="500"/>
        <v>6.2700000000000102</v>
      </c>
      <c r="AZ93" s="110">
        <f t="shared" si="501"/>
        <v>0</v>
      </c>
      <c r="BA93" s="110">
        <f t="shared" si="502"/>
        <v>0</v>
      </c>
      <c r="BB93" s="110">
        <f t="shared" si="503"/>
        <v>6.4799999999999898</v>
      </c>
      <c r="BD93" s="109" cm="1">
        <f t="array" ref="BD93">+IFERROR(INDEX($C$3:$AM$3,MATCH(TRUE,INDEX($C93:$AM93&lt;&gt;0,0),0)),"N/A")</f>
        <v>44926</v>
      </c>
      <c r="BE93" s="112"/>
      <c r="BF93" s="1" t="str" cm="1">
        <f t="array" ref="BF93">+_xlfn.IFS(BT93&lt;&gt;0,BT$2,CH93&lt;&gt;0,CH$2,CV93&lt;&gt;0,CV$2,DJ93&lt;&gt;0,DJ$2,TRUE,"")</f>
        <v/>
      </c>
      <c r="BG93" s="1" t="str" cm="1">
        <f t="array" ref="BG93">+_xlfn.IFS(BU93&lt;&gt;0,BU$2,CI93&lt;&gt;0,CI$2,CW93&lt;&gt;0,CW$2,DK93&lt;&gt;0,DK$2,TRUE,"")</f>
        <v/>
      </c>
      <c r="BH93" s="1" t="str" cm="1">
        <f t="array" ref="BH93">+_xlfn.IFS(BV93&lt;&gt;0,BV$2,CJ93&lt;&gt;0,CJ$2,CX93&lt;&gt;0,CX$2,DL93&lt;&gt;0,DL$2,TRUE,"")</f>
        <v/>
      </c>
      <c r="BI93" s="1" t="str" cm="1">
        <f t="array" ref="BI93">+_xlfn.IFS(BW93&lt;&gt;0,BW$2,CK93&lt;&gt;0,CK$2,CY93&lt;&gt;0,CY$2,DM93&lt;&gt;0,DM$2,TRUE,"")</f>
        <v>Upsell</v>
      </c>
      <c r="BJ93" s="1" t="str" cm="1">
        <f t="array" ref="BJ93">+_xlfn.IFS(BX93&lt;&gt;0,BX$2,CL93&lt;&gt;0,CL$2,CZ93&lt;&gt;0,CZ$2,DN93&lt;&gt;0,DN$2,TRUE,"")</f>
        <v/>
      </c>
      <c r="BK93" s="1" t="str" cm="1">
        <f t="array" ref="BK93">+_xlfn.IFS(BY93&lt;&gt;0,BY$2,CM93&lt;&gt;0,CM$2,DA93&lt;&gt;0,DA$2,DO93&lt;&gt;0,DO$2,TRUE,"")</f>
        <v/>
      </c>
      <c r="BL93" s="1" t="str" cm="1">
        <f t="array" ref="BL93">+_xlfn.IFS(BZ93&lt;&gt;0,BZ$2,CN93&lt;&gt;0,CN$2,DB93&lt;&gt;0,DB$2,DP93&lt;&gt;0,DP$2,TRUE,"")</f>
        <v/>
      </c>
      <c r="BM93" s="1" t="str" cm="1">
        <f t="array" ref="BM93">+_xlfn.IFS(CA93&lt;&gt;0,CA$2,CO93&lt;&gt;0,CO$2,DC93&lt;&gt;0,DC$2,DQ93&lt;&gt;0,DQ$2,TRUE,"")</f>
        <v/>
      </c>
      <c r="BN93" s="1" t="str" cm="1">
        <f t="array" ref="BN93">+_xlfn.IFS(CB93&lt;&gt;0,CB$2,CP93&lt;&gt;0,CP$2,DD93&lt;&gt;0,DD$2,DR93&lt;&gt;0,DR$2,TRUE,"")</f>
        <v>Upsell</v>
      </c>
      <c r="BO93" s="1" t="str" cm="1">
        <f t="array" ref="BO93">+_xlfn.IFS(CC93&lt;&gt;0,CC$2,CQ93&lt;&gt;0,CQ$2,DE93&lt;&gt;0,DE$2,DS93&lt;&gt;0,DS$2,TRUE,"")</f>
        <v/>
      </c>
      <c r="BP93" s="1" t="str" cm="1">
        <f t="array" ref="BP93">+_xlfn.IFS(CD93&lt;&gt;0,CD$2,CR93&lt;&gt;0,CR$2,DF93&lt;&gt;0,DF$2,DT93&lt;&gt;0,DT$2,TRUE,"")</f>
        <v/>
      </c>
      <c r="BQ93" s="1" t="str" cm="1">
        <f t="array" ref="BQ93">+_xlfn.IFS(CE93&lt;&gt;0,CE$2,CS93&lt;&gt;0,CS$2,DG93&lt;&gt;0,DG$2,DU93&lt;&gt;0,DU$2,TRUE,"")</f>
        <v>Upsell</v>
      </c>
      <c r="BS93" s="111"/>
      <c r="BT93" s="110">
        <f t="shared" si="504"/>
        <v>0</v>
      </c>
      <c r="BU93" s="110">
        <f t="shared" si="505"/>
        <v>0</v>
      </c>
      <c r="BV93" s="110">
        <f t="shared" si="506"/>
        <v>0</v>
      </c>
      <c r="BW93" s="110">
        <f t="shared" si="507"/>
        <v>0</v>
      </c>
      <c r="BX93" s="110">
        <f t="shared" si="508"/>
        <v>0</v>
      </c>
      <c r="BY93" s="110">
        <f t="shared" si="509"/>
        <v>0</v>
      </c>
      <c r="BZ93" s="110">
        <f t="shared" si="510"/>
        <v>0</v>
      </c>
      <c r="CA93" s="110">
        <f t="shared" si="511"/>
        <v>0</v>
      </c>
      <c r="CB93" s="110">
        <f t="shared" si="512"/>
        <v>0</v>
      </c>
      <c r="CC93" s="110">
        <f t="shared" si="513"/>
        <v>0</v>
      </c>
      <c r="CD93" s="110">
        <f t="shared" si="514"/>
        <v>0</v>
      </c>
      <c r="CE93" s="110">
        <f t="shared" si="515"/>
        <v>0</v>
      </c>
      <c r="CG93" s="111"/>
      <c r="CH93" s="110">
        <f t="shared" si="516"/>
        <v>0</v>
      </c>
      <c r="CI93" s="110">
        <f t="shared" si="517"/>
        <v>0</v>
      </c>
      <c r="CJ93" s="110">
        <f t="shared" si="518"/>
        <v>0</v>
      </c>
      <c r="CK93" s="110">
        <f t="shared" si="519"/>
        <v>0</v>
      </c>
      <c r="CL93" s="110">
        <f t="shared" si="520"/>
        <v>0</v>
      </c>
      <c r="CM93" s="110">
        <f t="shared" si="521"/>
        <v>0</v>
      </c>
      <c r="CN93" s="110">
        <f t="shared" si="522"/>
        <v>0</v>
      </c>
      <c r="CO93" s="110">
        <f t="shared" si="523"/>
        <v>0</v>
      </c>
      <c r="CP93" s="110">
        <f t="shared" si="524"/>
        <v>0</v>
      </c>
      <c r="CQ93" s="110">
        <f t="shared" si="525"/>
        <v>0</v>
      </c>
      <c r="CR93" s="110">
        <f t="shared" si="526"/>
        <v>0</v>
      </c>
      <c r="CS93" s="110">
        <f t="shared" si="527"/>
        <v>0</v>
      </c>
      <c r="CU93" s="111"/>
      <c r="CV93" s="110">
        <f t="shared" si="528"/>
        <v>0</v>
      </c>
      <c r="CW93" s="110">
        <f t="shared" si="529"/>
        <v>0</v>
      </c>
      <c r="CX93" s="110">
        <f t="shared" si="530"/>
        <v>0</v>
      </c>
      <c r="CY93" s="110">
        <f t="shared" si="531"/>
        <v>0</v>
      </c>
      <c r="CZ93" s="110">
        <f t="shared" si="532"/>
        <v>0</v>
      </c>
      <c r="DA93" s="110">
        <f t="shared" si="533"/>
        <v>0</v>
      </c>
      <c r="DB93" s="110">
        <f t="shared" si="534"/>
        <v>0</v>
      </c>
      <c r="DC93" s="110">
        <f t="shared" si="535"/>
        <v>0</v>
      </c>
      <c r="DD93" s="110">
        <f t="shared" si="536"/>
        <v>0</v>
      </c>
      <c r="DE93" s="110">
        <f t="shared" si="537"/>
        <v>0</v>
      </c>
      <c r="DF93" s="110">
        <f t="shared" si="538"/>
        <v>0</v>
      </c>
      <c r="DG93" s="110">
        <f t="shared" si="539"/>
        <v>0</v>
      </c>
      <c r="DI93" s="111"/>
      <c r="DJ93" s="110">
        <f t="shared" si="540"/>
        <v>0</v>
      </c>
      <c r="DK93" s="110">
        <f t="shared" si="541"/>
        <v>0</v>
      </c>
      <c r="DL93" s="110">
        <f t="shared" si="542"/>
        <v>0</v>
      </c>
      <c r="DM93" s="110">
        <f t="shared" si="543"/>
        <v>8.9499999999999886</v>
      </c>
      <c r="DN93" s="110">
        <f t="shared" si="544"/>
        <v>0</v>
      </c>
      <c r="DO93" s="110">
        <f t="shared" si="545"/>
        <v>0</v>
      </c>
      <c r="DP93" s="110">
        <f t="shared" si="546"/>
        <v>0</v>
      </c>
      <c r="DQ93" s="110">
        <f t="shared" si="547"/>
        <v>0</v>
      </c>
      <c r="DR93" s="110">
        <f t="shared" si="548"/>
        <v>6.2700000000000102</v>
      </c>
      <c r="DS93" s="110">
        <f t="shared" si="549"/>
        <v>0</v>
      </c>
      <c r="DT93" s="110">
        <f t="shared" si="550"/>
        <v>0</v>
      </c>
      <c r="DU93" s="110">
        <f t="shared" si="551"/>
        <v>6.4799999999999898</v>
      </c>
      <c r="DW93" s="111"/>
      <c r="DX93" s="110">
        <f t="shared" si="552"/>
        <v>0</v>
      </c>
      <c r="DY93" s="110">
        <f t="shared" si="553"/>
        <v>0</v>
      </c>
      <c r="DZ93" s="110">
        <f t="shared" si="554"/>
        <v>0</v>
      </c>
      <c r="EA93" s="110">
        <f t="shared" si="555"/>
        <v>0</v>
      </c>
      <c r="EB93" s="110">
        <f t="shared" si="556"/>
        <v>0</v>
      </c>
      <c r="EC93" s="110">
        <f t="shared" si="557"/>
        <v>0</v>
      </c>
      <c r="ED93" s="110">
        <f t="shared" si="558"/>
        <v>0</v>
      </c>
      <c r="EE93" s="110">
        <f t="shared" si="559"/>
        <v>0</v>
      </c>
      <c r="EF93" s="110">
        <f t="shared" si="560"/>
        <v>0</v>
      </c>
      <c r="EG93" s="110">
        <f t="shared" si="561"/>
        <v>0</v>
      </c>
      <c r="EH93" s="110">
        <f t="shared" si="562"/>
        <v>0</v>
      </c>
      <c r="EI93" s="110">
        <f t="shared" si="563"/>
        <v>0</v>
      </c>
      <c r="EK93" s="111"/>
      <c r="EL93" s="110">
        <f t="shared" si="564"/>
        <v>8.9499999999999886</v>
      </c>
      <c r="EM93" s="110">
        <f t="shared" si="565"/>
        <v>0</v>
      </c>
      <c r="EN93" s="110">
        <f t="shared" si="566"/>
        <v>12.75</v>
      </c>
      <c r="EP93" s="109" cm="1">
        <f t="array" ref="EP93">+IFERROR(INDEX($C$3:$AM$3,MATCH(TRUE,INDEX($C93:$AM93&lt;&gt;0,0),0)),"N/A")</f>
        <v>44926</v>
      </c>
      <c r="EQ93" s="112"/>
      <c r="ER93" s="1" t="str" cm="1">
        <f t="array" ref="ER93">+_xlfn.IFS(EW93&lt;&gt;0,EW$2,FB93&lt;&gt;0,FB$2,FG93&lt;&gt;0,FG$2,FL93&lt;&gt;0,FL$2,TRUE,"")</f>
        <v>Upsell</v>
      </c>
      <c r="ES93" s="1" t="str" cm="1">
        <f t="array" ref="ES93">+_xlfn.IFS(EX93&lt;&gt;0,EX$2,FC93&lt;&gt;0,FC$2,FH93&lt;&gt;0,FH$2,FM93&lt;&gt;0,FM$2,TRUE,"")</f>
        <v/>
      </c>
      <c r="ET93" s="1" t="str" cm="1">
        <f t="array" ref="ET93">+_xlfn.IFS(EY93&lt;&gt;0,EY$2,FD93&lt;&gt;0,FD$2,FI93&lt;&gt;0,FI$2,FN93&lt;&gt;0,FN$2,TRUE,"")</f>
        <v>Upsell</v>
      </c>
      <c r="EV93" s="111"/>
      <c r="EW93" s="110">
        <f t="shared" si="567"/>
        <v>0</v>
      </c>
      <c r="EX93" s="110">
        <f t="shared" si="568"/>
        <v>0</v>
      </c>
      <c r="EY93" s="110">
        <f t="shared" si="569"/>
        <v>0</v>
      </c>
      <c r="FA93" s="111"/>
      <c r="FB93" s="110">
        <f t="shared" si="570"/>
        <v>0</v>
      </c>
      <c r="FC93" s="110">
        <f t="shared" si="571"/>
        <v>0</v>
      </c>
      <c r="FD93" s="110">
        <f t="shared" si="572"/>
        <v>0</v>
      </c>
      <c r="FF93" s="111"/>
      <c r="FG93" s="110">
        <f t="shared" si="573"/>
        <v>0</v>
      </c>
      <c r="FH93" s="110">
        <f t="shared" si="574"/>
        <v>0</v>
      </c>
      <c r="FI93" s="110">
        <f t="shared" si="575"/>
        <v>0</v>
      </c>
      <c r="FK93" s="111"/>
      <c r="FL93" s="110">
        <f t="shared" si="576"/>
        <v>8.9499999999999886</v>
      </c>
      <c r="FM93" s="110">
        <f t="shared" si="577"/>
        <v>0</v>
      </c>
      <c r="FN93" s="110">
        <f t="shared" si="578"/>
        <v>12.75</v>
      </c>
      <c r="FP93" s="111"/>
      <c r="FQ93" s="110">
        <f t="shared" si="579"/>
        <v>0</v>
      </c>
      <c r="FR93" s="110">
        <f t="shared" si="580"/>
        <v>0</v>
      </c>
      <c r="FS93" s="110">
        <f t="shared" si="581"/>
        <v>0</v>
      </c>
      <c r="FU93" s="111">
        <f t="shared" si="582"/>
        <v>8.9499999999999886</v>
      </c>
      <c r="FV93" s="110">
        <f t="shared" si="583"/>
        <v>8.9499999999999886</v>
      </c>
      <c r="FW93" s="110">
        <f t="shared" si="584"/>
        <v>8.9499999999999886</v>
      </c>
      <c r="FX93" s="110">
        <f t="shared" si="585"/>
        <v>8.9499999999999886</v>
      </c>
      <c r="FY93" s="110">
        <f t="shared" si="586"/>
        <v>8.9499999999999886</v>
      </c>
      <c r="FZ93" s="110">
        <f t="shared" si="587"/>
        <v>8.9499999999999886</v>
      </c>
      <c r="GA93" s="110">
        <f t="shared" si="588"/>
        <v>8.9499999999999886</v>
      </c>
      <c r="GB93" s="110">
        <f t="shared" si="589"/>
        <v>8.9499999999999886</v>
      </c>
      <c r="GC93" s="110">
        <f t="shared" si="590"/>
        <v>8.9499999999999886</v>
      </c>
      <c r="GD93" s="110">
        <f t="shared" si="591"/>
        <v>8.9499999999999886</v>
      </c>
      <c r="GE93" s="110">
        <f t="shared" si="592"/>
        <v>0</v>
      </c>
      <c r="GF93" s="110">
        <f t="shared" si="593"/>
        <v>0</v>
      </c>
      <c r="GG93" s="110">
        <f t="shared" si="594"/>
        <v>0</v>
      </c>
      <c r="GH93" s="110">
        <f t="shared" si="595"/>
        <v>0</v>
      </c>
      <c r="GI93" s="110">
        <f t="shared" si="596"/>
        <v>0</v>
      </c>
      <c r="GJ93" s="110">
        <f t="shared" si="597"/>
        <v>6.2700000000000102</v>
      </c>
      <c r="GK93" s="110">
        <f t="shared" si="598"/>
        <v>6.2700000000000102</v>
      </c>
      <c r="GL93" s="110">
        <f t="shared" si="599"/>
        <v>6.2700000000000102</v>
      </c>
      <c r="GM93" s="110">
        <f t="shared" si="600"/>
        <v>6.2700000000000102</v>
      </c>
      <c r="GN93" s="110">
        <f t="shared" si="601"/>
        <v>6.2700000000000102</v>
      </c>
      <c r="GO93" s="110">
        <f t="shared" si="602"/>
        <v>6.2700000000000102</v>
      </c>
      <c r="GP93" s="110">
        <f t="shared" si="603"/>
        <v>6.2700000000000102</v>
      </c>
      <c r="GQ93" s="110">
        <f t="shared" si="604"/>
        <v>12.75</v>
      </c>
      <c r="GR93" s="110">
        <f t="shared" si="605"/>
        <v>12.75</v>
      </c>
      <c r="GS93" s="110">
        <f t="shared" si="606"/>
        <v>12.75</v>
      </c>
      <c r="GU93" s="109" cm="1">
        <f t="array" ref="GU93">+IFERROR(INDEX($C$3:$AM$3,MATCH(TRUE,INDEX($C93:$AM93&lt;&gt;0,0),0)),"N/A")</f>
        <v>44926</v>
      </c>
      <c r="GV93" s="112" t="str" cm="1">
        <f t="array" ref="GV93">+_xlfn.IFS(HV93&lt;&gt;0,HV$2,IV93&lt;&gt;0,IV$2,JV93&lt;&gt;0,JV$2,KV93&lt;&gt;0,KV$2,TRUE,"")</f>
        <v>Upsell</v>
      </c>
      <c r="GW93" s="1" t="str" cm="1">
        <f t="array" ref="GW93">+_xlfn.IFS(HW93&lt;&gt;0,HW$2,IW93&lt;&gt;0,IW$2,JW93&lt;&gt;0,JW$2,KW93&lt;&gt;0,KW$2,TRUE,"")</f>
        <v>Upsell</v>
      </c>
      <c r="GX93" s="1" t="str" cm="1">
        <f t="array" ref="GX93">+_xlfn.IFS(HX93&lt;&gt;0,HX$2,IX93&lt;&gt;0,IX$2,JX93&lt;&gt;0,JX$2,KX93&lt;&gt;0,KX$2,TRUE,"")</f>
        <v>Upsell</v>
      </c>
      <c r="GY93" s="1" t="str" cm="1">
        <f t="array" ref="GY93">+_xlfn.IFS(HY93&lt;&gt;0,HY$2,IY93&lt;&gt;0,IY$2,JY93&lt;&gt;0,JY$2,KY93&lt;&gt;0,KY$2,TRUE,"")</f>
        <v>Upsell</v>
      </c>
      <c r="GZ93" s="1" t="str" cm="1">
        <f t="array" ref="GZ93">+_xlfn.IFS(HZ93&lt;&gt;0,HZ$2,IZ93&lt;&gt;0,IZ$2,JZ93&lt;&gt;0,JZ$2,KZ93&lt;&gt;0,KZ$2,TRUE,"")</f>
        <v>Upsell</v>
      </c>
      <c r="HA93" s="1" t="str" cm="1">
        <f t="array" ref="HA93">+_xlfn.IFS(IA93&lt;&gt;0,IA$2,JA93&lt;&gt;0,JA$2,KA93&lt;&gt;0,KA$2,LA93&lt;&gt;0,LA$2,TRUE,"")</f>
        <v>Upsell</v>
      </c>
      <c r="HB93" s="1" t="str" cm="1">
        <f t="array" ref="HB93">+_xlfn.IFS(IB93&lt;&gt;0,IB$2,JB93&lt;&gt;0,JB$2,KB93&lt;&gt;0,KB$2,LB93&lt;&gt;0,LB$2,TRUE,"")</f>
        <v>Upsell</v>
      </c>
      <c r="HC93" s="1" t="str" cm="1">
        <f t="array" ref="HC93">+_xlfn.IFS(IC93&lt;&gt;0,IC$2,JC93&lt;&gt;0,JC$2,KC93&lt;&gt;0,KC$2,LC93&lt;&gt;0,LC$2,TRUE,"")</f>
        <v>Upsell</v>
      </c>
      <c r="HD93" s="1" t="str" cm="1">
        <f t="array" ref="HD93">+_xlfn.IFS(ID93&lt;&gt;0,ID$2,JD93&lt;&gt;0,JD$2,KD93&lt;&gt;0,KD$2,LD93&lt;&gt;0,LD$2,TRUE,"")</f>
        <v>Upsell</v>
      </c>
      <c r="HE93" s="1" t="str" cm="1">
        <f t="array" ref="HE93">+_xlfn.IFS(IE93&lt;&gt;0,IE$2,JE93&lt;&gt;0,JE$2,KE93&lt;&gt;0,KE$2,LE93&lt;&gt;0,LE$2,TRUE,"")</f>
        <v>Upsell</v>
      </c>
      <c r="HF93" s="1" t="str" cm="1">
        <f t="array" ref="HF93">+_xlfn.IFS(IF93&lt;&gt;0,IF$2,JF93&lt;&gt;0,JF$2,KF93&lt;&gt;0,KF$2,LF93&lt;&gt;0,LF$2,TRUE,"")</f>
        <v/>
      </c>
      <c r="HG93" s="1" t="str" cm="1">
        <f t="array" ref="HG93">+_xlfn.IFS(IG93&lt;&gt;0,IG$2,JG93&lt;&gt;0,JG$2,KG93&lt;&gt;0,KG$2,LG93&lt;&gt;0,LG$2,TRUE,"")</f>
        <v/>
      </c>
      <c r="HH93" s="1" t="str" cm="1">
        <f t="array" ref="HH93">+_xlfn.IFS(IH93&lt;&gt;0,IH$2,JH93&lt;&gt;0,JH$2,KH93&lt;&gt;0,KH$2,LH93&lt;&gt;0,LH$2,TRUE,"")</f>
        <v/>
      </c>
      <c r="HI93" s="1" t="str" cm="1">
        <f t="array" ref="HI93">+_xlfn.IFS(II93&lt;&gt;0,II$2,JI93&lt;&gt;0,JI$2,KI93&lt;&gt;0,KI$2,LI93&lt;&gt;0,LI$2,TRUE,"")</f>
        <v/>
      </c>
      <c r="HJ93" s="1" t="str" cm="1">
        <f t="array" ref="HJ93">+_xlfn.IFS(IJ93&lt;&gt;0,IJ$2,JJ93&lt;&gt;0,JJ$2,KJ93&lt;&gt;0,KJ$2,LJ93&lt;&gt;0,LJ$2,TRUE,"")</f>
        <v/>
      </c>
      <c r="HK93" s="1" t="str" cm="1">
        <f t="array" ref="HK93">+_xlfn.IFS(IK93&lt;&gt;0,IK$2,JK93&lt;&gt;0,JK$2,KK93&lt;&gt;0,KK$2,LK93&lt;&gt;0,LK$2,TRUE,"")</f>
        <v>Upsell</v>
      </c>
      <c r="HL93" s="1" t="str" cm="1">
        <f t="array" ref="HL93">+_xlfn.IFS(IL93&lt;&gt;0,IL$2,JL93&lt;&gt;0,JL$2,KL93&lt;&gt;0,KL$2,LL93&lt;&gt;0,LL$2,TRUE,"")</f>
        <v>Upsell</v>
      </c>
      <c r="HM93" s="1" t="str" cm="1">
        <f t="array" ref="HM93">+_xlfn.IFS(IM93&lt;&gt;0,IM$2,JM93&lt;&gt;0,JM$2,KM93&lt;&gt;0,KM$2,LM93&lt;&gt;0,LM$2,TRUE,"")</f>
        <v>Upsell</v>
      </c>
      <c r="HN93" s="1" t="str" cm="1">
        <f t="array" ref="HN93">+_xlfn.IFS(IN93&lt;&gt;0,IN$2,JN93&lt;&gt;0,JN$2,KN93&lt;&gt;0,KN$2,LN93&lt;&gt;0,LN$2,TRUE,"")</f>
        <v>Upsell</v>
      </c>
      <c r="HO93" s="1" t="str" cm="1">
        <f t="array" ref="HO93">+_xlfn.IFS(IO93&lt;&gt;0,IO$2,JO93&lt;&gt;0,JO$2,KO93&lt;&gt;0,KO$2,LO93&lt;&gt;0,LO$2,TRUE,"")</f>
        <v>Upsell</v>
      </c>
      <c r="HP93" s="1" t="str" cm="1">
        <f t="array" ref="HP93">+_xlfn.IFS(IP93&lt;&gt;0,IP$2,JP93&lt;&gt;0,JP$2,KP93&lt;&gt;0,KP$2,LP93&lt;&gt;0,LP$2,TRUE,"")</f>
        <v>Upsell</v>
      </c>
      <c r="HQ93" s="1" t="str" cm="1">
        <f t="array" ref="HQ93">+_xlfn.IFS(IQ93&lt;&gt;0,IQ$2,JQ93&lt;&gt;0,JQ$2,KQ93&lt;&gt;0,KQ$2,LQ93&lt;&gt;0,LQ$2,TRUE,"")</f>
        <v>Upsell</v>
      </c>
      <c r="HR93" s="1" t="str" cm="1">
        <f t="array" ref="HR93">+_xlfn.IFS(IR93&lt;&gt;0,IR$2,JR93&lt;&gt;0,JR$2,KR93&lt;&gt;0,KR$2,LR93&lt;&gt;0,LR$2,TRUE,"")</f>
        <v>Upsell</v>
      </c>
      <c r="HS93" s="1" t="str" cm="1">
        <f t="array" ref="HS93">+_xlfn.IFS(IS93&lt;&gt;0,IS$2,JS93&lt;&gt;0,JS$2,KS93&lt;&gt;0,KS$2,LS93&lt;&gt;0,LS$2,TRUE,"")</f>
        <v>Upsell</v>
      </c>
      <c r="HT93" s="1" t="str" cm="1">
        <f t="array" ref="HT93">+_xlfn.IFS(IT93&lt;&gt;0,IT$2,JT93&lt;&gt;0,JT$2,KT93&lt;&gt;0,KT$2,LT93&lt;&gt;0,LT$2,TRUE,"")</f>
        <v>Upsell</v>
      </c>
      <c r="HV93" s="111">
        <f t="shared" si="607"/>
        <v>0</v>
      </c>
      <c r="HW93" s="110">
        <f t="shared" si="608"/>
        <v>0</v>
      </c>
      <c r="HX93" s="110">
        <f t="shared" si="609"/>
        <v>0</v>
      </c>
      <c r="HY93" s="110">
        <f t="shared" si="610"/>
        <v>0</v>
      </c>
      <c r="HZ93" s="110">
        <f t="shared" si="611"/>
        <v>0</v>
      </c>
      <c r="IA93" s="110">
        <f t="shared" si="612"/>
        <v>0</v>
      </c>
      <c r="IB93" s="110">
        <f t="shared" si="613"/>
        <v>0</v>
      </c>
      <c r="IC93" s="110">
        <f t="shared" si="614"/>
        <v>0</v>
      </c>
      <c r="ID93" s="110">
        <f t="shared" si="615"/>
        <v>0</v>
      </c>
      <c r="IE93" s="110">
        <f t="shared" si="616"/>
        <v>0</v>
      </c>
      <c r="IF93" s="110">
        <f t="shared" si="617"/>
        <v>0</v>
      </c>
      <c r="IG93" s="110">
        <f t="shared" si="618"/>
        <v>0</v>
      </c>
      <c r="IH93" s="110">
        <f t="shared" si="619"/>
        <v>0</v>
      </c>
      <c r="II93" s="110">
        <f t="shared" si="620"/>
        <v>0</v>
      </c>
      <c r="IJ93" s="110">
        <f t="shared" si="621"/>
        <v>0</v>
      </c>
      <c r="IK93" s="110">
        <f t="shared" si="622"/>
        <v>0</v>
      </c>
      <c r="IL93" s="110">
        <f t="shared" si="623"/>
        <v>0</v>
      </c>
      <c r="IM93" s="110">
        <f t="shared" si="624"/>
        <v>0</v>
      </c>
      <c r="IN93" s="110">
        <f t="shared" si="625"/>
        <v>0</v>
      </c>
      <c r="IO93" s="110">
        <f t="shared" si="626"/>
        <v>0</v>
      </c>
      <c r="IP93" s="110">
        <f t="shared" si="627"/>
        <v>0</v>
      </c>
      <c r="IQ93" s="110">
        <f t="shared" si="628"/>
        <v>0</v>
      </c>
      <c r="IR93" s="110">
        <f t="shared" si="629"/>
        <v>0</v>
      </c>
      <c r="IS93" s="110">
        <f t="shared" si="630"/>
        <v>0</v>
      </c>
      <c r="IT93" s="110">
        <f t="shared" si="631"/>
        <v>0</v>
      </c>
      <c r="IV93" s="111">
        <f t="shared" si="632"/>
        <v>0</v>
      </c>
      <c r="IW93" s="110">
        <f t="shared" si="633"/>
        <v>0</v>
      </c>
      <c r="IX93" s="110">
        <f t="shared" si="634"/>
        <v>0</v>
      </c>
      <c r="IY93" s="110">
        <f t="shared" si="635"/>
        <v>0</v>
      </c>
      <c r="IZ93" s="110">
        <f t="shared" si="636"/>
        <v>0</v>
      </c>
      <c r="JA93" s="110">
        <f t="shared" si="637"/>
        <v>0</v>
      </c>
      <c r="JB93" s="110">
        <f t="shared" si="638"/>
        <v>0</v>
      </c>
      <c r="JC93" s="110">
        <f t="shared" si="639"/>
        <v>0</v>
      </c>
      <c r="JD93" s="110">
        <f t="shared" si="640"/>
        <v>0</v>
      </c>
      <c r="JE93" s="110">
        <f t="shared" si="641"/>
        <v>0</v>
      </c>
      <c r="JF93" s="110">
        <f t="shared" si="642"/>
        <v>0</v>
      </c>
      <c r="JG93" s="110">
        <f t="shared" si="643"/>
        <v>0</v>
      </c>
      <c r="JH93" s="110">
        <f t="shared" si="644"/>
        <v>0</v>
      </c>
      <c r="JI93" s="110">
        <f t="shared" si="645"/>
        <v>0</v>
      </c>
      <c r="JJ93" s="110">
        <f t="shared" si="646"/>
        <v>0</v>
      </c>
      <c r="JK93" s="110">
        <f t="shared" si="647"/>
        <v>0</v>
      </c>
      <c r="JL93" s="110">
        <f t="shared" si="648"/>
        <v>0</v>
      </c>
      <c r="JM93" s="110">
        <f t="shared" si="649"/>
        <v>0</v>
      </c>
      <c r="JN93" s="110">
        <f t="shared" si="650"/>
        <v>0</v>
      </c>
      <c r="JO93" s="110">
        <f t="shared" si="651"/>
        <v>0</v>
      </c>
      <c r="JP93" s="110">
        <f t="shared" si="652"/>
        <v>0</v>
      </c>
      <c r="JQ93" s="110">
        <f t="shared" si="653"/>
        <v>0</v>
      </c>
      <c r="JR93" s="110">
        <f t="shared" si="654"/>
        <v>0</v>
      </c>
      <c r="JS93" s="110">
        <f t="shared" si="655"/>
        <v>0</v>
      </c>
      <c r="JT93" s="110">
        <f t="shared" si="656"/>
        <v>0</v>
      </c>
      <c r="JV93" s="111">
        <f t="shared" si="657"/>
        <v>0</v>
      </c>
      <c r="JW93" s="110">
        <f t="shared" si="658"/>
        <v>0</v>
      </c>
      <c r="JX93" s="110">
        <f t="shared" si="659"/>
        <v>0</v>
      </c>
      <c r="JY93" s="110">
        <f t="shared" si="660"/>
        <v>0</v>
      </c>
      <c r="JZ93" s="110">
        <f t="shared" si="661"/>
        <v>0</v>
      </c>
      <c r="KA93" s="110">
        <f t="shared" si="662"/>
        <v>0</v>
      </c>
      <c r="KB93" s="110">
        <f t="shared" si="663"/>
        <v>0</v>
      </c>
      <c r="KC93" s="110">
        <f t="shared" si="664"/>
        <v>0</v>
      </c>
      <c r="KD93" s="110">
        <f t="shared" si="665"/>
        <v>0</v>
      </c>
      <c r="KE93" s="110">
        <f t="shared" si="666"/>
        <v>0</v>
      </c>
      <c r="KF93" s="110">
        <f t="shared" si="667"/>
        <v>0</v>
      </c>
      <c r="KG93" s="110">
        <f t="shared" si="668"/>
        <v>0</v>
      </c>
      <c r="KH93" s="110">
        <f t="shared" si="669"/>
        <v>0</v>
      </c>
      <c r="KI93" s="110">
        <f t="shared" si="670"/>
        <v>0</v>
      </c>
      <c r="KJ93" s="110">
        <f t="shared" si="671"/>
        <v>0</v>
      </c>
      <c r="KK93" s="110">
        <f t="shared" si="672"/>
        <v>0</v>
      </c>
      <c r="KL93" s="110">
        <f t="shared" si="673"/>
        <v>0</v>
      </c>
      <c r="KM93" s="110">
        <f t="shared" si="674"/>
        <v>0</v>
      </c>
      <c r="KN93" s="110">
        <f t="shared" si="675"/>
        <v>0</v>
      </c>
      <c r="KO93" s="110">
        <f t="shared" si="676"/>
        <v>0</v>
      </c>
      <c r="KP93" s="110">
        <f t="shared" si="677"/>
        <v>0</v>
      </c>
      <c r="KQ93" s="110">
        <f t="shared" si="678"/>
        <v>0</v>
      </c>
      <c r="KR93" s="110">
        <f t="shared" si="679"/>
        <v>0</v>
      </c>
      <c r="KS93" s="110">
        <f t="shared" si="680"/>
        <v>0</v>
      </c>
      <c r="KT93" s="110">
        <f t="shared" si="681"/>
        <v>0</v>
      </c>
      <c r="KV93" s="111">
        <f t="shared" si="682"/>
        <v>8.9499999999999886</v>
      </c>
      <c r="KW93" s="110">
        <f t="shared" si="683"/>
        <v>8.9499999999999886</v>
      </c>
      <c r="KX93" s="110">
        <f t="shared" si="684"/>
        <v>8.9499999999999886</v>
      </c>
      <c r="KY93" s="110">
        <f t="shared" si="685"/>
        <v>8.9499999999999886</v>
      </c>
      <c r="KZ93" s="110">
        <f t="shared" si="686"/>
        <v>8.9499999999999886</v>
      </c>
      <c r="LA93" s="110">
        <f t="shared" si="687"/>
        <v>8.9499999999999886</v>
      </c>
      <c r="LB93" s="110">
        <f t="shared" si="688"/>
        <v>8.9499999999999886</v>
      </c>
      <c r="LC93" s="110">
        <f t="shared" si="689"/>
        <v>8.9499999999999886</v>
      </c>
      <c r="LD93" s="110">
        <f t="shared" si="690"/>
        <v>8.9499999999999886</v>
      </c>
      <c r="LE93" s="110">
        <f t="shared" si="691"/>
        <v>8.9499999999999886</v>
      </c>
      <c r="LF93" s="110">
        <f t="shared" si="692"/>
        <v>0</v>
      </c>
      <c r="LG93" s="110">
        <f t="shared" si="693"/>
        <v>0</v>
      </c>
      <c r="LH93" s="110">
        <f t="shared" si="694"/>
        <v>0</v>
      </c>
      <c r="LI93" s="110">
        <f t="shared" si="695"/>
        <v>0</v>
      </c>
      <c r="LJ93" s="110">
        <f t="shared" si="696"/>
        <v>0</v>
      </c>
      <c r="LK93" s="110">
        <f t="shared" si="697"/>
        <v>6.2700000000000102</v>
      </c>
      <c r="LL93" s="110">
        <f t="shared" si="698"/>
        <v>6.2700000000000102</v>
      </c>
      <c r="LM93" s="110">
        <f t="shared" si="699"/>
        <v>6.2700000000000102</v>
      </c>
      <c r="LN93" s="110">
        <f t="shared" si="700"/>
        <v>6.2700000000000102</v>
      </c>
      <c r="LO93" s="110">
        <f t="shared" si="701"/>
        <v>6.2700000000000102</v>
      </c>
      <c r="LP93" s="110">
        <f t="shared" si="702"/>
        <v>6.2700000000000102</v>
      </c>
      <c r="LQ93" s="110">
        <f t="shared" si="703"/>
        <v>6.2700000000000102</v>
      </c>
      <c r="LR93" s="110">
        <f t="shared" si="704"/>
        <v>12.75</v>
      </c>
      <c r="LS93" s="110">
        <f t="shared" si="705"/>
        <v>12.75</v>
      </c>
      <c r="LT93" s="110">
        <f t="shared" si="706"/>
        <v>12.75</v>
      </c>
      <c r="LV93" s="111"/>
      <c r="LW93" s="110">
        <f t="shared" si="707"/>
        <v>0</v>
      </c>
      <c r="LX93" s="110">
        <f t="shared" si="708"/>
        <v>0</v>
      </c>
      <c r="LY93" s="110">
        <f t="shared" si="709"/>
        <v>0</v>
      </c>
      <c r="LZ93" s="110">
        <f t="shared" si="710"/>
        <v>0</v>
      </c>
      <c r="MA93" s="110">
        <f t="shared" si="711"/>
        <v>0</v>
      </c>
      <c r="MB93" s="110">
        <f t="shared" si="712"/>
        <v>0</v>
      </c>
      <c r="MC93" s="110">
        <f t="shared" si="713"/>
        <v>0</v>
      </c>
      <c r="MD93" s="110">
        <f t="shared" si="714"/>
        <v>0</v>
      </c>
      <c r="ME93" s="110">
        <f t="shared" si="715"/>
        <v>0</v>
      </c>
      <c r="MF93" s="110">
        <f t="shared" si="716"/>
        <v>0</v>
      </c>
      <c r="MG93" s="110">
        <f t="shared" si="717"/>
        <v>0</v>
      </c>
      <c r="MH93" s="110">
        <f t="shared" si="718"/>
        <v>0</v>
      </c>
      <c r="MI93" s="110">
        <f t="shared" si="719"/>
        <v>0</v>
      </c>
      <c r="MJ93" s="110">
        <f t="shared" si="720"/>
        <v>0</v>
      </c>
      <c r="MK93" s="110">
        <f t="shared" si="721"/>
        <v>0</v>
      </c>
      <c r="ML93" s="110">
        <f t="shared" si="722"/>
        <v>0</v>
      </c>
      <c r="MM93" s="110">
        <f t="shared" si="723"/>
        <v>0</v>
      </c>
      <c r="MN93" s="110">
        <f t="shared" si="724"/>
        <v>0</v>
      </c>
      <c r="MO93" s="110">
        <f t="shared" si="725"/>
        <v>0</v>
      </c>
      <c r="MP93" s="110">
        <f t="shared" si="726"/>
        <v>0</v>
      </c>
      <c r="MQ93" s="110">
        <f t="shared" si="727"/>
        <v>0</v>
      </c>
      <c r="MR93" s="110">
        <f t="shared" si="728"/>
        <v>0</v>
      </c>
      <c r="MS93" s="110">
        <f t="shared" si="729"/>
        <v>0</v>
      </c>
      <c r="MT93" s="110">
        <f t="shared" si="730"/>
        <v>0</v>
      </c>
      <c r="MV93" s="114">
        <v>191.75</v>
      </c>
      <c r="MW93" s="114">
        <v>0</v>
      </c>
      <c r="MX93" s="114">
        <v>12.75</v>
      </c>
      <c r="MY93" s="114">
        <v>0</v>
      </c>
      <c r="MZ93" s="114">
        <v>0</v>
      </c>
      <c r="NB93" s="115">
        <v>54</v>
      </c>
      <c r="NC93" s="115" t="str">
        <v>N/A</v>
      </c>
      <c r="ND93" s="115">
        <v>5</v>
      </c>
      <c r="NE93" s="115" t="str">
        <v>N/A</v>
      </c>
      <c r="NF93" s="115" t="str">
        <v>N/A</v>
      </c>
    </row>
    <row r="94" spans="2:370" ht="13.5" x14ac:dyDescent="0.25">
      <c r="B94" s="8">
        <f t="shared" si="731"/>
        <v>91</v>
      </c>
      <c r="C94" s="7">
        <v>349</v>
      </c>
      <c r="D94" s="7">
        <v>349</v>
      </c>
      <c r="E94" s="7">
        <v>349</v>
      </c>
      <c r="F94" s="7">
        <v>349</v>
      </c>
      <c r="G94" s="7">
        <v>349</v>
      </c>
      <c r="H94" s="7">
        <v>349</v>
      </c>
      <c r="I94" s="7">
        <v>349</v>
      </c>
      <c r="J94" s="7">
        <v>349</v>
      </c>
      <c r="K94" s="7">
        <v>349</v>
      </c>
      <c r="L94" s="7">
        <v>349</v>
      </c>
      <c r="M94" s="7">
        <v>349</v>
      </c>
      <c r="N94" s="7">
        <v>349</v>
      </c>
      <c r="O94" s="7">
        <v>349</v>
      </c>
      <c r="P94" s="7">
        <v>349</v>
      </c>
      <c r="Q94" s="7">
        <v>349</v>
      </c>
      <c r="R94" s="7">
        <v>349</v>
      </c>
      <c r="S94" s="7">
        <v>349</v>
      </c>
      <c r="T94" s="7">
        <v>349</v>
      </c>
      <c r="U94" s="7">
        <v>349</v>
      </c>
      <c r="V94" s="7">
        <v>349</v>
      </c>
      <c r="W94" s="7">
        <v>349</v>
      </c>
      <c r="X94" s="7">
        <v>349</v>
      </c>
      <c r="Y94" s="7">
        <v>349</v>
      </c>
      <c r="Z94" s="7">
        <v>349</v>
      </c>
      <c r="AA94" s="7">
        <v>349</v>
      </c>
      <c r="AB94" s="7">
        <v>349</v>
      </c>
      <c r="AC94" s="7">
        <v>349</v>
      </c>
      <c r="AD94" s="7">
        <v>349</v>
      </c>
      <c r="AE94" s="7">
        <v>349</v>
      </c>
      <c r="AF94" s="7">
        <v>349</v>
      </c>
      <c r="AG94" s="7">
        <v>361.22</v>
      </c>
      <c r="AH94" s="7">
        <v>361.22</v>
      </c>
      <c r="AI94" s="7">
        <v>361.22</v>
      </c>
      <c r="AJ94" s="7">
        <v>361.22</v>
      </c>
      <c r="AK94" s="7">
        <v>361.22</v>
      </c>
      <c r="AL94" s="7">
        <v>361.22</v>
      </c>
      <c r="AM94" s="7">
        <v>361.22</v>
      </c>
      <c r="AN94" s="27">
        <v>91</v>
      </c>
      <c r="AP94" s="111"/>
      <c r="AQ94" s="110">
        <f t="shared" si="492"/>
        <v>0</v>
      </c>
      <c r="AR94" s="110">
        <f t="shared" si="493"/>
        <v>0</v>
      </c>
      <c r="AS94" s="110">
        <f t="shared" si="494"/>
        <v>0</v>
      </c>
      <c r="AT94" s="110">
        <f t="shared" si="495"/>
        <v>0</v>
      </c>
      <c r="AU94" s="110">
        <f t="shared" si="496"/>
        <v>0</v>
      </c>
      <c r="AV94" s="110">
        <f t="shared" si="497"/>
        <v>0</v>
      </c>
      <c r="AW94" s="110">
        <f t="shared" si="498"/>
        <v>0</v>
      </c>
      <c r="AX94" s="110">
        <f t="shared" si="499"/>
        <v>0</v>
      </c>
      <c r="AY94" s="110">
        <f t="shared" si="500"/>
        <v>0</v>
      </c>
      <c r="AZ94" s="110">
        <f t="shared" si="501"/>
        <v>12.220000000000027</v>
      </c>
      <c r="BA94" s="110">
        <f t="shared" si="502"/>
        <v>0</v>
      </c>
      <c r="BB94" s="110">
        <f t="shared" si="503"/>
        <v>0</v>
      </c>
      <c r="BD94" s="109" cm="1">
        <f t="array" ref="BD94">+IFERROR(INDEX($C$3:$AM$3,MATCH(TRUE,INDEX($C94:$AM94&lt;&gt;0,0),0)),"N/A")</f>
        <v>44926</v>
      </c>
      <c r="BE94" s="112"/>
      <c r="BF94" s="1" t="str" cm="1">
        <f t="array" ref="BF94">+_xlfn.IFS(BT94&lt;&gt;0,BT$2,CH94&lt;&gt;0,CH$2,CV94&lt;&gt;0,CV$2,DJ94&lt;&gt;0,DJ$2,TRUE,"")</f>
        <v/>
      </c>
      <c r="BG94" s="1" t="str" cm="1">
        <f t="array" ref="BG94">+_xlfn.IFS(BU94&lt;&gt;0,BU$2,CI94&lt;&gt;0,CI$2,CW94&lt;&gt;0,CW$2,DK94&lt;&gt;0,DK$2,TRUE,"")</f>
        <v/>
      </c>
      <c r="BH94" s="1" t="str" cm="1">
        <f t="array" ref="BH94">+_xlfn.IFS(BV94&lt;&gt;0,BV$2,CJ94&lt;&gt;0,CJ$2,CX94&lt;&gt;0,CX$2,DL94&lt;&gt;0,DL$2,TRUE,"")</f>
        <v/>
      </c>
      <c r="BI94" s="1" t="str" cm="1">
        <f t="array" ref="BI94">+_xlfn.IFS(BW94&lt;&gt;0,BW$2,CK94&lt;&gt;0,CK$2,CY94&lt;&gt;0,CY$2,DM94&lt;&gt;0,DM$2,TRUE,"")</f>
        <v/>
      </c>
      <c r="BJ94" s="1" t="str" cm="1">
        <f t="array" ref="BJ94">+_xlfn.IFS(BX94&lt;&gt;0,BX$2,CL94&lt;&gt;0,CL$2,CZ94&lt;&gt;0,CZ$2,DN94&lt;&gt;0,DN$2,TRUE,"")</f>
        <v/>
      </c>
      <c r="BK94" s="1" t="str" cm="1">
        <f t="array" ref="BK94">+_xlfn.IFS(BY94&lt;&gt;0,BY$2,CM94&lt;&gt;0,CM$2,DA94&lt;&gt;0,DA$2,DO94&lt;&gt;0,DO$2,TRUE,"")</f>
        <v/>
      </c>
      <c r="BL94" s="1" t="str" cm="1">
        <f t="array" ref="BL94">+_xlfn.IFS(BZ94&lt;&gt;0,BZ$2,CN94&lt;&gt;0,CN$2,DB94&lt;&gt;0,DB$2,DP94&lt;&gt;0,DP$2,TRUE,"")</f>
        <v/>
      </c>
      <c r="BM94" s="1" t="str" cm="1">
        <f t="array" ref="BM94">+_xlfn.IFS(CA94&lt;&gt;0,CA$2,CO94&lt;&gt;0,CO$2,DC94&lt;&gt;0,DC$2,DQ94&lt;&gt;0,DQ$2,TRUE,"")</f>
        <v/>
      </c>
      <c r="BN94" s="1" t="str" cm="1">
        <f t="array" ref="BN94">+_xlfn.IFS(CB94&lt;&gt;0,CB$2,CP94&lt;&gt;0,CP$2,DD94&lt;&gt;0,DD$2,DR94&lt;&gt;0,DR$2,TRUE,"")</f>
        <v/>
      </c>
      <c r="BO94" s="1" t="str" cm="1">
        <f t="array" ref="BO94">+_xlfn.IFS(CC94&lt;&gt;0,CC$2,CQ94&lt;&gt;0,CQ$2,DE94&lt;&gt;0,DE$2,DS94&lt;&gt;0,DS$2,TRUE,"")</f>
        <v>Upsell</v>
      </c>
      <c r="BP94" s="1" t="str" cm="1">
        <f t="array" ref="BP94">+_xlfn.IFS(CD94&lt;&gt;0,CD$2,CR94&lt;&gt;0,CR$2,DF94&lt;&gt;0,DF$2,DT94&lt;&gt;0,DT$2,TRUE,"")</f>
        <v/>
      </c>
      <c r="BQ94" s="1" t="str" cm="1">
        <f t="array" ref="BQ94">+_xlfn.IFS(CE94&lt;&gt;0,CE$2,CS94&lt;&gt;0,CS$2,DG94&lt;&gt;0,DG$2,DU94&lt;&gt;0,DU$2,TRUE,"")</f>
        <v/>
      </c>
      <c r="BS94" s="111"/>
      <c r="BT94" s="110">
        <f t="shared" si="504"/>
        <v>0</v>
      </c>
      <c r="BU94" s="110">
        <f t="shared" si="505"/>
        <v>0</v>
      </c>
      <c r="BV94" s="110">
        <f t="shared" si="506"/>
        <v>0</v>
      </c>
      <c r="BW94" s="110">
        <f t="shared" si="507"/>
        <v>0</v>
      </c>
      <c r="BX94" s="110">
        <f t="shared" si="508"/>
        <v>0</v>
      </c>
      <c r="BY94" s="110">
        <f t="shared" si="509"/>
        <v>0</v>
      </c>
      <c r="BZ94" s="110">
        <f t="shared" si="510"/>
        <v>0</v>
      </c>
      <c r="CA94" s="110">
        <f t="shared" si="511"/>
        <v>0</v>
      </c>
      <c r="CB94" s="110">
        <f t="shared" si="512"/>
        <v>0</v>
      </c>
      <c r="CC94" s="110">
        <f t="shared" si="513"/>
        <v>0</v>
      </c>
      <c r="CD94" s="110">
        <f t="shared" si="514"/>
        <v>0</v>
      </c>
      <c r="CE94" s="110">
        <f t="shared" si="515"/>
        <v>0</v>
      </c>
      <c r="CG94" s="111"/>
      <c r="CH94" s="110">
        <f t="shared" si="516"/>
        <v>0</v>
      </c>
      <c r="CI94" s="110">
        <f t="shared" si="517"/>
        <v>0</v>
      </c>
      <c r="CJ94" s="110">
        <f t="shared" si="518"/>
        <v>0</v>
      </c>
      <c r="CK94" s="110">
        <f t="shared" si="519"/>
        <v>0</v>
      </c>
      <c r="CL94" s="110">
        <f t="shared" si="520"/>
        <v>0</v>
      </c>
      <c r="CM94" s="110">
        <f t="shared" si="521"/>
        <v>0</v>
      </c>
      <c r="CN94" s="110">
        <f t="shared" si="522"/>
        <v>0</v>
      </c>
      <c r="CO94" s="110">
        <f t="shared" si="523"/>
        <v>0</v>
      </c>
      <c r="CP94" s="110">
        <f t="shared" si="524"/>
        <v>0</v>
      </c>
      <c r="CQ94" s="110">
        <f t="shared" si="525"/>
        <v>0</v>
      </c>
      <c r="CR94" s="110">
        <f t="shared" si="526"/>
        <v>0</v>
      </c>
      <c r="CS94" s="110">
        <f t="shared" si="527"/>
        <v>0</v>
      </c>
      <c r="CU94" s="111"/>
      <c r="CV94" s="110">
        <f t="shared" si="528"/>
        <v>0</v>
      </c>
      <c r="CW94" s="110">
        <f t="shared" si="529"/>
        <v>0</v>
      </c>
      <c r="CX94" s="110">
        <f t="shared" si="530"/>
        <v>0</v>
      </c>
      <c r="CY94" s="110">
        <f t="shared" si="531"/>
        <v>0</v>
      </c>
      <c r="CZ94" s="110">
        <f t="shared" si="532"/>
        <v>0</v>
      </c>
      <c r="DA94" s="110">
        <f t="shared" si="533"/>
        <v>0</v>
      </c>
      <c r="DB94" s="110">
        <f t="shared" si="534"/>
        <v>0</v>
      </c>
      <c r="DC94" s="110">
        <f t="shared" si="535"/>
        <v>0</v>
      </c>
      <c r="DD94" s="110">
        <f t="shared" si="536"/>
        <v>0</v>
      </c>
      <c r="DE94" s="110">
        <f t="shared" si="537"/>
        <v>0</v>
      </c>
      <c r="DF94" s="110">
        <f t="shared" si="538"/>
        <v>0</v>
      </c>
      <c r="DG94" s="110">
        <f t="shared" si="539"/>
        <v>0</v>
      </c>
      <c r="DI94" s="111"/>
      <c r="DJ94" s="110">
        <f t="shared" si="540"/>
        <v>0</v>
      </c>
      <c r="DK94" s="110">
        <f t="shared" si="541"/>
        <v>0</v>
      </c>
      <c r="DL94" s="110">
        <f t="shared" si="542"/>
        <v>0</v>
      </c>
      <c r="DM94" s="110">
        <f t="shared" si="543"/>
        <v>0</v>
      </c>
      <c r="DN94" s="110">
        <f t="shared" si="544"/>
        <v>0</v>
      </c>
      <c r="DO94" s="110">
        <f t="shared" si="545"/>
        <v>0</v>
      </c>
      <c r="DP94" s="110">
        <f t="shared" si="546"/>
        <v>0</v>
      </c>
      <c r="DQ94" s="110">
        <f t="shared" si="547"/>
        <v>0</v>
      </c>
      <c r="DR94" s="110">
        <f t="shared" si="548"/>
        <v>0</v>
      </c>
      <c r="DS94" s="110">
        <f t="shared" si="549"/>
        <v>12.220000000000027</v>
      </c>
      <c r="DT94" s="110">
        <f t="shared" si="550"/>
        <v>0</v>
      </c>
      <c r="DU94" s="110">
        <f t="shared" si="551"/>
        <v>0</v>
      </c>
      <c r="DW94" s="111"/>
      <c r="DX94" s="110">
        <f t="shared" si="552"/>
        <v>0</v>
      </c>
      <c r="DY94" s="110">
        <f t="shared" si="553"/>
        <v>0</v>
      </c>
      <c r="DZ94" s="110">
        <f t="shared" si="554"/>
        <v>0</v>
      </c>
      <c r="EA94" s="110">
        <f t="shared" si="555"/>
        <v>0</v>
      </c>
      <c r="EB94" s="110">
        <f t="shared" si="556"/>
        <v>0</v>
      </c>
      <c r="EC94" s="110">
        <f t="shared" si="557"/>
        <v>0</v>
      </c>
      <c r="ED94" s="110">
        <f t="shared" si="558"/>
        <v>0</v>
      </c>
      <c r="EE94" s="110">
        <f t="shared" si="559"/>
        <v>0</v>
      </c>
      <c r="EF94" s="110">
        <f t="shared" si="560"/>
        <v>0</v>
      </c>
      <c r="EG94" s="110">
        <f t="shared" si="561"/>
        <v>0</v>
      </c>
      <c r="EH94" s="110">
        <f t="shared" si="562"/>
        <v>0</v>
      </c>
      <c r="EI94" s="110">
        <f t="shared" si="563"/>
        <v>0</v>
      </c>
      <c r="EK94" s="111"/>
      <c r="EL94" s="110">
        <f t="shared" si="564"/>
        <v>0</v>
      </c>
      <c r="EM94" s="110">
        <f t="shared" si="565"/>
        <v>0</v>
      </c>
      <c r="EN94" s="110">
        <f t="shared" si="566"/>
        <v>12.220000000000027</v>
      </c>
      <c r="EP94" s="109" cm="1">
        <f t="array" ref="EP94">+IFERROR(INDEX($C$3:$AM$3,MATCH(TRUE,INDEX($C94:$AM94&lt;&gt;0,0),0)),"N/A")</f>
        <v>44926</v>
      </c>
      <c r="EQ94" s="112"/>
      <c r="ER94" s="1" t="str" cm="1">
        <f t="array" ref="ER94">+_xlfn.IFS(EW94&lt;&gt;0,EW$2,FB94&lt;&gt;0,FB$2,FG94&lt;&gt;0,FG$2,FL94&lt;&gt;0,FL$2,TRUE,"")</f>
        <v/>
      </c>
      <c r="ES94" s="1" t="str" cm="1">
        <f t="array" ref="ES94">+_xlfn.IFS(EX94&lt;&gt;0,EX$2,FC94&lt;&gt;0,FC$2,FH94&lt;&gt;0,FH$2,FM94&lt;&gt;0,FM$2,TRUE,"")</f>
        <v/>
      </c>
      <c r="ET94" s="1" t="str" cm="1">
        <f t="array" ref="ET94">+_xlfn.IFS(EY94&lt;&gt;0,EY$2,FD94&lt;&gt;0,FD$2,FI94&lt;&gt;0,FI$2,FN94&lt;&gt;0,FN$2,TRUE,"")</f>
        <v>Upsell</v>
      </c>
      <c r="EV94" s="111"/>
      <c r="EW94" s="110">
        <f t="shared" si="567"/>
        <v>0</v>
      </c>
      <c r="EX94" s="110">
        <f t="shared" si="568"/>
        <v>0</v>
      </c>
      <c r="EY94" s="110">
        <f t="shared" si="569"/>
        <v>0</v>
      </c>
      <c r="FA94" s="111"/>
      <c r="FB94" s="110">
        <f t="shared" si="570"/>
        <v>0</v>
      </c>
      <c r="FC94" s="110">
        <f t="shared" si="571"/>
        <v>0</v>
      </c>
      <c r="FD94" s="110">
        <f t="shared" si="572"/>
        <v>0</v>
      </c>
      <c r="FF94" s="111"/>
      <c r="FG94" s="110">
        <f t="shared" si="573"/>
        <v>0</v>
      </c>
      <c r="FH94" s="110">
        <f t="shared" si="574"/>
        <v>0</v>
      </c>
      <c r="FI94" s="110">
        <f t="shared" si="575"/>
        <v>0</v>
      </c>
      <c r="FK94" s="111"/>
      <c r="FL94" s="110">
        <f t="shared" si="576"/>
        <v>0</v>
      </c>
      <c r="FM94" s="110">
        <f t="shared" si="577"/>
        <v>0</v>
      </c>
      <c r="FN94" s="110">
        <f t="shared" si="578"/>
        <v>12.220000000000027</v>
      </c>
      <c r="FP94" s="111"/>
      <c r="FQ94" s="110">
        <f t="shared" si="579"/>
        <v>0</v>
      </c>
      <c r="FR94" s="110">
        <f t="shared" si="580"/>
        <v>0</v>
      </c>
      <c r="FS94" s="110">
        <f t="shared" si="581"/>
        <v>0</v>
      </c>
      <c r="FU94" s="111">
        <f t="shared" si="582"/>
        <v>0</v>
      </c>
      <c r="FV94" s="110">
        <f t="shared" si="583"/>
        <v>0</v>
      </c>
      <c r="FW94" s="110">
        <f t="shared" si="584"/>
        <v>0</v>
      </c>
      <c r="FX94" s="110">
        <f t="shared" si="585"/>
        <v>0</v>
      </c>
      <c r="FY94" s="110">
        <f t="shared" si="586"/>
        <v>0</v>
      </c>
      <c r="FZ94" s="110">
        <f t="shared" si="587"/>
        <v>0</v>
      </c>
      <c r="GA94" s="110">
        <f t="shared" si="588"/>
        <v>0</v>
      </c>
      <c r="GB94" s="110">
        <f t="shared" si="589"/>
        <v>0</v>
      </c>
      <c r="GC94" s="110">
        <f t="shared" si="590"/>
        <v>0</v>
      </c>
      <c r="GD94" s="110">
        <f t="shared" si="591"/>
        <v>0</v>
      </c>
      <c r="GE94" s="110">
        <f t="shared" si="592"/>
        <v>0</v>
      </c>
      <c r="GF94" s="110">
        <f t="shared" si="593"/>
        <v>0</v>
      </c>
      <c r="GG94" s="110">
        <f t="shared" si="594"/>
        <v>0</v>
      </c>
      <c r="GH94" s="110">
        <f t="shared" si="595"/>
        <v>0</v>
      </c>
      <c r="GI94" s="110">
        <f t="shared" si="596"/>
        <v>0</v>
      </c>
      <c r="GJ94" s="110">
        <f t="shared" si="597"/>
        <v>0</v>
      </c>
      <c r="GK94" s="110">
        <f t="shared" si="598"/>
        <v>0</v>
      </c>
      <c r="GL94" s="110">
        <f t="shared" si="599"/>
        <v>0</v>
      </c>
      <c r="GM94" s="110">
        <f t="shared" si="600"/>
        <v>12.220000000000027</v>
      </c>
      <c r="GN94" s="110">
        <f t="shared" si="601"/>
        <v>12.220000000000027</v>
      </c>
      <c r="GO94" s="110">
        <f t="shared" si="602"/>
        <v>12.220000000000027</v>
      </c>
      <c r="GP94" s="110">
        <f t="shared" si="603"/>
        <v>12.220000000000027</v>
      </c>
      <c r="GQ94" s="110">
        <f t="shared" si="604"/>
        <v>12.220000000000027</v>
      </c>
      <c r="GR94" s="110">
        <f t="shared" si="605"/>
        <v>12.220000000000027</v>
      </c>
      <c r="GS94" s="110">
        <f t="shared" si="606"/>
        <v>12.220000000000027</v>
      </c>
      <c r="GU94" s="109" cm="1">
        <f t="array" ref="GU94">+IFERROR(INDEX($C$3:$AM$3,MATCH(TRUE,INDEX($C94:$AM94&lt;&gt;0,0),0)),"N/A")</f>
        <v>44926</v>
      </c>
      <c r="GV94" s="112" t="str" cm="1">
        <f t="array" ref="GV94">+_xlfn.IFS(HV94&lt;&gt;0,HV$2,IV94&lt;&gt;0,IV$2,JV94&lt;&gt;0,JV$2,KV94&lt;&gt;0,KV$2,TRUE,"")</f>
        <v/>
      </c>
      <c r="GW94" s="1" t="str" cm="1">
        <f t="array" ref="GW94">+_xlfn.IFS(HW94&lt;&gt;0,HW$2,IW94&lt;&gt;0,IW$2,JW94&lt;&gt;0,JW$2,KW94&lt;&gt;0,KW$2,TRUE,"")</f>
        <v/>
      </c>
      <c r="GX94" s="1" t="str" cm="1">
        <f t="array" ref="GX94">+_xlfn.IFS(HX94&lt;&gt;0,HX$2,IX94&lt;&gt;0,IX$2,JX94&lt;&gt;0,JX$2,KX94&lt;&gt;0,KX$2,TRUE,"")</f>
        <v/>
      </c>
      <c r="GY94" s="1" t="str" cm="1">
        <f t="array" ref="GY94">+_xlfn.IFS(HY94&lt;&gt;0,HY$2,IY94&lt;&gt;0,IY$2,JY94&lt;&gt;0,JY$2,KY94&lt;&gt;0,KY$2,TRUE,"")</f>
        <v/>
      </c>
      <c r="GZ94" s="1" t="str" cm="1">
        <f t="array" ref="GZ94">+_xlfn.IFS(HZ94&lt;&gt;0,HZ$2,IZ94&lt;&gt;0,IZ$2,JZ94&lt;&gt;0,JZ$2,KZ94&lt;&gt;0,KZ$2,TRUE,"")</f>
        <v/>
      </c>
      <c r="HA94" s="1" t="str" cm="1">
        <f t="array" ref="HA94">+_xlfn.IFS(IA94&lt;&gt;0,IA$2,JA94&lt;&gt;0,JA$2,KA94&lt;&gt;0,KA$2,LA94&lt;&gt;0,LA$2,TRUE,"")</f>
        <v/>
      </c>
      <c r="HB94" s="1" t="str" cm="1">
        <f t="array" ref="HB94">+_xlfn.IFS(IB94&lt;&gt;0,IB$2,JB94&lt;&gt;0,JB$2,KB94&lt;&gt;0,KB$2,LB94&lt;&gt;0,LB$2,TRUE,"")</f>
        <v/>
      </c>
      <c r="HC94" s="1" t="str" cm="1">
        <f t="array" ref="HC94">+_xlfn.IFS(IC94&lt;&gt;0,IC$2,JC94&lt;&gt;0,JC$2,KC94&lt;&gt;0,KC$2,LC94&lt;&gt;0,LC$2,TRUE,"")</f>
        <v/>
      </c>
      <c r="HD94" s="1" t="str" cm="1">
        <f t="array" ref="HD94">+_xlfn.IFS(ID94&lt;&gt;0,ID$2,JD94&lt;&gt;0,JD$2,KD94&lt;&gt;0,KD$2,LD94&lt;&gt;0,LD$2,TRUE,"")</f>
        <v/>
      </c>
      <c r="HE94" s="1" t="str" cm="1">
        <f t="array" ref="HE94">+_xlfn.IFS(IE94&lt;&gt;0,IE$2,JE94&lt;&gt;0,JE$2,KE94&lt;&gt;0,KE$2,LE94&lt;&gt;0,LE$2,TRUE,"")</f>
        <v/>
      </c>
      <c r="HF94" s="1" t="str" cm="1">
        <f t="array" ref="HF94">+_xlfn.IFS(IF94&lt;&gt;0,IF$2,JF94&lt;&gt;0,JF$2,KF94&lt;&gt;0,KF$2,LF94&lt;&gt;0,LF$2,TRUE,"")</f>
        <v/>
      </c>
      <c r="HG94" s="1" t="str" cm="1">
        <f t="array" ref="HG94">+_xlfn.IFS(IG94&lt;&gt;0,IG$2,JG94&lt;&gt;0,JG$2,KG94&lt;&gt;0,KG$2,LG94&lt;&gt;0,LG$2,TRUE,"")</f>
        <v/>
      </c>
      <c r="HH94" s="1" t="str" cm="1">
        <f t="array" ref="HH94">+_xlfn.IFS(IH94&lt;&gt;0,IH$2,JH94&lt;&gt;0,JH$2,KH94&lt;&gt;0,KH$2,LH94&lt;&gt;0,LH$2,TRUE,"")</f>
        <v/>
      </c>
      <c r="HI94" s="1" t="str" cm="1">
        <f t="array" ref="HI94">+_xlfn.IFS(II94&lt;&gt;0,II$2,JI94&lt;&gt;0,JI$2,KI94&lt;&gt;0,KI$2,LI94&lt;&gt;0,LI$2,TRUE,"")</f>
        <v/>
      </c>
      <c r="HJ94" s="1" t="str" cm="1">
        <f t="array" ref="HJ94">+_xlfn.IFS(IJ94&lt;&gt;0,IJ$2,JJ94&lt;&gt;0,JJ$2,KJ94&lt;&gt;0,KJ$2,LJ94&lt;&gt;0,LJ$2,TRUE,"")</f>
        <v/>
      </c>
      <c r="HK94" s="1" t="str" cm="1">
        <f t="array" ref="HK94">+_xlfn.IFS(IK94&lt;&gt;0,IK$2,JK94&lt;&gt;0,JK$2,KK94&lt;&gt;0,KK$2,LK94&lt;&gt;0,LK$2,TRUE,"")</f>
        <v/>
      </c>
      <c r="HL94" s="1" t="str" cm="1">
        <f t="array" ref="HL94">+_xlfn.IFS(IL94&lt;&gt;0,IL$2,JL94&lt;&gt;0,JL$2,KL94&lt;&gt;0,KL$2,LL94&lt;&gt;0,LL$2,TRUE,"")</f>
        <v/>
      </c>
      <c r="HM94" s="1" t="str" cm="1">
        <f t="array" ref="HM94">+_xlfn.IFS(IM94&lt;&gt;0,IM$2,JM94&lt;&gt;0,JM$2,KM94&lt;&gt;0,KM$2,LM94&lt;&gt;0,LM$2,TRUE,"")</f>
        <v/>
      </c>
      <c r="HN94" s="1" t="str" cm="1">
        <f t="array" ref="HN94">+_xlfn.IFS(IN94&lt;&gt;0,IN$2,JN94&lt;&gt;0,JN$2,KN94&lt;&gt;0,KN$2,LN94&lt;&gt;0,LN$2,TRUE,"")</f>
        <v>Upsell</v>
      </c>
      <c r="HO94" s="1" t="str" cm="1">
        <f t="array" ref="HO94">+_xlfn.IFS(IO94&lt;&gt;0,IO$2,JO94&lt;&gt;0,JO$2,KO94&lt;&gt;0,KO$2,LO94&lt;&gt;0,LO$2,TRUE,"")</f>
        <v>Upsell</v>
      </c>
      <c r="HP94" s="1" t="str" cm="1">
        <f t="array" ref="HP94">+_xlfn.IFS(IP94&lt;&gt;0,IP$2,JP94&lt;&gt;0,JP$2,KP94&lt;&gt;0,KP$2,LP94&lt;&gt;0,LP$2,TRUE,"")</f>
        <v>Upsell</v>
      </c>
      <c r="HQ94" s="1" t="str" cm="1">
        <f t="array" ref="HQ94">+_xlfn.IFS(IQ94&lt;&gt;0,IQ$2,JQ94&lt;&gt;0,JQ$2,KQ94&lt;&gt;0,KQ$2,LQ94&lt;&gt;0,LQ$2,TRUE,"")</f>
        <v>Upsell</v>
      </c>
      <c r="HR94" s="1" t="str" cm="1">
        <f t="array" ref="HR94">+_xlfn.IFS(IR94&lt;&gt;0,IR$2,JR94&lt;&gt;0,JR$2,KR94&lt;&gt;0,KR$2,LR94&lt;&gt;0,LR$2,TRUE,"")</f>
        <v>Upsell</v>
      </c>
      <c r="HS94" s="1" t="str" cm="1">
        <f t="array" ref="HS94">+_xlfn.IFS(IS94&lt;&gt;0,IS$2,JS94&lt;&gt;0,JS$2,KS94&lt;&gt;0,KS$2,LS94&lt;&gt;0,LS$2,TRUE,"")</f>
        <v>Upsell</v>
      </c>
      <c r="HT94" s="1" t="str" cm="1">
        <f t="array" ref="HT94">+_xlfn.IFS(IT94&lt;&gt;0,IT$2,JT94&lt;&gt;0,JT$2,KT94&lt;&gt;0,KT$2,LT94&lt;&gt;0,LT$2,TRUE,"")</f>
        <v>Upsell</v>
      </c>
      <c r="HV94" s="111">
        <f t="shared" si="607"/>
        <v>0</v>
      </c>
      <c r="HW94" s="110">
        <f t="shared" si="608"/>
        <v>0</v>
      </c>
      <c r="HX94" s="110">
        <f t="shared" si="609"/>
        <v>0</v>
      </c>
      <c r="HY94" s="110">
        <f t="shared" si="610"/>
        <v>0</v>
      </c>
      <c r="HZ94" s="110">
        <f t="shared" si="611"/>
        <v>0</v>
      </c>
      <c r="IA94" s="110">
        <f t="shared" si="612"/>
        <v>0</v>
      </c>
      <c r="IB94" s="110">
        <f t="shared" si="613"/>
        <v>0</v>
      </c>
      <c r="IC94" s="110">
        <f t="shared" si="614"/>
        <v>0</v>
      </c>
      <c r="ID94" s="110">
        <f t="shared" si="615"/>
        <v>0</v>
      </c>
      <c r="IE94" s="110">
        <f t="shared" si="616"/>
        <v>0</v>
      </c>
      <c r="IF94" s="110">
        <f t="shared" si="617"/>
        <v>0</v>
      </c>
      <c r="IG94" s="110">
        <f t="shared" si="618"/>
        <v>0</v>
      </c>
      <c r="IH94" s="110">
        <f t="shared" si="619"/>
        <v>0</v>
      </c>
      <c r="II94" s="110">
        <f t="shared" si="620"/>
        <v>0</v>
      </c>
      <c r="IJ94" s="110">
        <f t="shared" si="621"/>
        <v>0</v>
      </c>
      <c r="IK94" s="110">
        <f t="shared" si="622"/>
        <v>0</v>
      </c>
      <c r="IL94" s="110">
        <f t="shared" si="623"/>
        <v>0</v>
      </c>
      <c r="IM94" s="110">
        <f t="shared" si="624"/>
        <v>0</v>
      </c>
      <c r="IN94" s="110">
        <f t="shared" si="625"/>
        <v>0</v>
      </c>
      <c r="IO94" s="110">
        <f t="shared" si="626"/>
        <v>0</v>
      </c>
      <c r="IP94" s="110">
        <f t="shared" si="627"/>
        <v>0</v>
      </c>
      <c r="IQ94" s="110">
        <f t="shared" si="628"/>
        <v>0</v>
      </c>
      <c r="IR94" s="110">
        <f t="shared" si="629"/>
        <v>0</v>
      </c>
      <c r="IS94" s="110">
        <f t="shared" si="630"/>
        <v>0</v>
      </c>
      <c r="IT94" s="110">
        <f t="shared" si="631"/>
        <v>0</v>
      </c>
      <c r="IV94" s="111">
        <f t="shared" si="632"/>
        <v>0</v>
      </c>
      <c r="IW94" s="110">
        <f t="shared" si="633"/>
        <v>0</v>
      </c>
      <c r="IX94" s="110">
        <f t="shared" si="634"/>
        <v>0</v>
      </c>
      <c r="IY94" s="110">
        <f t="shared" si="635"/>
        <v>0</v>
      </c>
      <c r="IZ94" s="110">
        <f t="shared" si="636"/>
        <v>0</v>
      </c>
      <c r="JA94" s="110">
        <f t="shared" si="637"/>
        <v>0</v>
      </c>
      <c r="JB94" s="110">
        <f t="shared" si="638"/>
        <v>0</v>
      </c>
      <c r="JC94" s="110">
        <f t="shared" si="639"/>
        <v>0</v>
      </c>
      <c r="JD94" s="110">
        <f t="shared" si="640"/>
        <v>0</v>
      </c>
      <c r="JE94" s="110">
        <f t="shared" si="641"/>
        <v>0</v>
      </c>
      <c r="JF94" s="110">
        <f t="shared" si="642"/>
        <v>0</v>
      </c>
      <c r="JG94" s="110">
        <f t="shared" si="643"/>
        <v>0</v>
      </c>
      <c r="JH94" s="110">
        <f t="shared" si="644"/>
        <v>0</v>
      </c>
      <c r="JI94" s="110">
        <f t="shared" si="645"/>
        <v>0</v>
      </c>
      <c r="JJ94" s="110">
        <f t="shared" si="646"/>
        <v>0</v>
      </c>
      <c r="JK94" s="110">
        <f t="shared" si="647"/>
        <v>0</v>
      </c>
      <c r="JL94" s="110">
        <f t="shared" si="648"/>
        <v>0</v>
      </c>
      <c r="JM94" s="110">
        <f t="shared" si="649"/>
        <v>0</v>
      </c>
      <c r="JN94" s="110">
        <f t="shared" si="650"/>
        <v>0</v>
      </c>
      <c r="JO94" s="110">
        <f t="shared" si="651"/>
        <v>0</v>
      </c>
      <c r="JP94" s="110">
        <f t="shared" si="652"/>
        <v>0</v>
      </c>
      <c r="JQ94" s="110">
        <f t="shared" si="653"/>
        <v>0</v>
      </c>
      <c r="JR94" s="110">
        <f t="shared" si="654"/>
        <v>0</v>
      </c>
      <c r="JS94" s="110">
        <f t="shared" si="655"/>
        <v>0</v>
      </c>
      <c r="JT94" s="110">
        <f t="shared" si="656"/>
        <v>0</v>
      </c>
      <c r="JV94" s="111">
        <f t="shared" si="657"/>
        <v>0</v>
      </c>
      <c r="JW94" s="110">
        <f t="shared" si="658"/>
        <v>0</v>
      </c>
      <c r="JX94" s="110">
        <f t="shared" si="659"/>
        <v>0</v>
      </c>
      <c r="JY94" s="110">
        <f t="shared" si="660"/>
        <v>0</v>
      </c>
      <c r="JZ94" s="110">
        <f t="shared" si="661"/>
        <v>0</v>
      </c>
      <c r="KA94" s="110">
        <f t="shared" si="662"/>
        <v>0</v>
      </c>
      <c r="KB94" s="110">
        <f t="shared" si="663"/>
        <v>0</v>
      </c>
      <c r="KC94" s="110">
        <f t="shared" si="664"/>
        <v>0</v>
      </c>
      <c r="KD94" s="110">
        <f t="shared" si="665"/>
        <v>0</v>
      </c>
      <c r="KE94" s="110">
        <f t="shared" si="666"/>
        <v>0</v>
      </c>
      <c r="KF94" s="110">
        <f t="shared" si="667"/>
        <v>0</v>
      </c>
      <c r="KG94" s="110">
        <f t="shared" si="668"/>
        <v>0</v>
      </c>
      <c r="KH94" s="110">
        <f t="shared" si="669"/>
        <v>0</v>
      </c>
      <c r="KI94" s="110">
        <f t="shared" si="670"/>
        <v>0</v>
      </c>
      <c r="KJ94" s="110">
        <f t="shared" si="671"/>
        <v>0</v>
      </c>
      <c r="KK94" s="110">
        <f t="shared" si="672"/>
        <v>0</v>
      </c>
      <c r="KL94" s="110">
        <f t="shared" si="673"/>
        <v>0</v>
      </c>
      <c r="KM94" s="110">
        <f t="shared" si="674"/>
        <v>0</v>
      </c>
      <c r="KN94" s="110">
        <f t="shared" si="675"/>
        <v>0</v>
      </c>
      <c r="KO94" s="110">
        <f t="shared" si="676"/>
        <v>0</v>
      </c>
      <c r="KP94" s="110">
        <f t="shared" si="677"/>
        <v>0</v>
      </c>
      <c r="KQ94" s="110">
        <f t="shared" si="678"/>
        <v>0</v>
      </c>
      <c r="KR94" s="110">
        <f t="shared" si="679"/>
        <v>0</v>
      </c>
      <c r="KS94" s="110">
        <f t="shared" si="680"/>
        <v>0</v>
      </c>
      <c r="KT94" s="110">
        <f t="shared" si="681"/>
        <v>0</v>
      </c>
      <c r="KV94" s="111">
        <f t="shared" si="682"/>
        <v>0</v>
      </c>
      <c r="KW94" s="110">
        <f t="shared" si="683"/>
        <v>0</v>
      </c>
      <c r="KX94" s="110">
        <f t="shared" si="684"/>
        <v>0</v>
      </c>
      <c r="KY94" s="110">
        <f t="shared" si="685"/>
        <v>0</v>
      </c>
      <c r="KZ94" s="110">
        <f t="shared" si="686"/>
        <v>0</v>
      </c>
      <c r="LA94" s="110">
        <f t="shared" si="687"/>
        <v>0</v>
      </c>
      <c r="LB94" s="110">
        <f t="shared" si="688"/>
        <v>0</v>
      </c>
      <c r="LC94" s="110">
        <f t="shared" si="689"/>
        <v>0</v>
      </c>
      <c r="LD94" s="110">
        <f t="shared" si="690"/>
        <v>0</v>
      </c>
      <c r="LE94" s="110">
        <f t="shared" si="691"/>
        <v>0</v>
      </c>
      <c r="LF94" s="110">
        <f t="shared" si="692"/>
        <v>0</v>
      </c>
      <c r="LG94" s="110">
        <f t="shared" si="693"/>
        <v>0</v>
      </c>
      <c r="LH94" s="110">
        <f t="shared" si="694"/>
        <v>0</v>
      </c>
      <c r="LI94" s="110">
        <f t="shared" si="695"/>
        <v>0</v>
      </c>
      <c r="LJ94" s="110">
        <f t="shared" si="696"/>
        <v>0</v>
      </c>
      <c r="LK94" s="110">
        <f t="shared" si="697"/>
        <v>0</v>
      </c>
      <c r="LL94" s="110">
        <f t="shared" si="698"/>
        <v>0</v>
      </c>
      <c r="LM94" s="110">
        <f t="shared" si="699"/>
        <v>0</v>
      </c>
      <c r="LN94" s="110">
        <f t="shared" si="700"/>
        <v>12.220000000000027</v>
      </c>
      <c r="LO94" s="110">
        <f t="shared" si="701"/>
        <v>12.220000000000027</v>
      </c>
      <c r="LP94" s="110">
        <f t="shared" si="702"/>
        <v>12.220000000000027</v>
      </c>
      <c r="LQ94" s="110">
        <f t="shared" si="703"/>
        <v>12.220000000000027</v>
      </c>
      <c r="LR94" s="110">
        <f t="shared" si="704"/>
        <v>12.220000000000027</v>
      </c>
      <c r="LS94" s="110">
        <f t="shared" si="705"/>
        <v>12.220000000000027</v>
      </c>
      <c r="LT94" s="110">
        <f t="shared" si="706"/>
        <v>12.220000000000027</v>
      </c>
      <c r="LV94" s="111"/>
      <c r="LW94" s="110">
        <f t="shared" si="707"/>
        <v>0</v>
      </c>
      <c r="LX94" s="110">
        <f t="shared" si="708"/>
        <v>0</v>
      </c>
      <c r="LY94" s="110">
        <f t="shared" si="709"/>
        <v>0</v>
      </c>
      <c r="LZ94" s="110">
        <f t="shared" si="710"/>
        <v>0</v>
      </c>
      <c r="MA94" s="110">
        <f t="shared" si="711"/>
        <v>0</v>
      </c>
      <c r="MB94" s="110">
        <f t="shared" si="712"/>
        <v>0</v>
      </c>
      <c r="MC94" s="110">
        <f t="shared" si="713"/>
        <v>0</v>
      </c>
      <c r="MD94" s="110">
        <f t="shared" si="714"/>
        <v>0</v>
      </c>
      <c r="ME94" s="110">
        <f t="shared" si="715"/>
        <v>0</v>
      </c>
      <c r="MF94" s="110">
        <f t="shared" si="716"/>
        <v>0</v>
      </c>
      <c r="MG94" s="110">
        <f t="shared" si="717"/>
        <v>0</v>
      </c>
      <c r="MH94" s="110">
        <f t="shared" si="718"/>
        <v>0</v>
      </c>
      <c r="MI94" s="110">
        <f t="shared" si="719"/>
        <v>0</v>
      </c>
      <c r="MJ94" s="110">
        <f t="shared" si="720"/>
        <v>0</v>
      </c>
      <c r="MK94" s="110">
        <f t="shared" si="721"/>
        <v>0</v>
      </c>
      <c r="ML94" s="110">
        <f t="shared" si="722"/>
        <v>0</v>
      </c>
      <c r="MM94" s="110">
        <f t="shared" si="723"/>
        <v>0</v>
      </c>
      <c r="MN94" s="110">
        <f t="shared" si="724"/>
        <v>0</v>
      </c>
      <c r="MO94" s="110">
        <f t="shared" si="725"/>
        <v>0</v>
      </c>
      <c r="MP94" s="110">
        <f t="shared" si="726"/>
        <v>0</v>
      </c>
      <c r="MQ94" s="110">
        <f t="shared" si="727"/>
        <v>0</v>
      </c>
      <c r="MR94" s="110">
        <f t="shared" si="728"/>
        <v>0</v>
      </c>
      <c r="MS94" s="110">
        <f t="shared" si="729"/>
        <v>0</v>
      </c>
      <c r="MT94" s="110">
        <f t="shared" si="730"/>
        <v>0</v>
      </c>
      <c r="MV94" s="114">
        <v>361.22</v>
      </c>
      <c r="MW94" s="114">
        <v>0</v>
      </c>
      <c r="MX94" s="114">
        <v>12.220000000000027</v>
      </c>
      <c r="MY94" s="114">
        <v>0</v>
      </c>
      <c r="MZ94" s="114">
        <v>0</v>
      </c>
      <c r="NB94" s="115">
        <v>10</v>
      </c>
      <c r="NC94" s="115" t="str">
        <v>N/A</v>
      </c>
      <c r="ND94" s="115">
        <v>9</v>
      </c>
      <c r="NE94" s="115" t="str">
        <v>N/A</v>
      </c>
      <c r="NF94" s="115" t="str">
        <v>N/A</v>
      </c>
    </row>
    <row r="95" spans="2:370" ht="13.5" x14ac:dyDescent="0.25">
      <c r="B95" s="8">
        <f t="shared" si="731"/>
        <v>92</v>
      </c>
      <c r="C95" s="7">
        <v>146.5</v>
      </c>
      <c r="D95" s="7">
        <v>146.5</v>
      </c>
      <c r="E95" s="7">
        <v>146.5</v>
      </c>
      <c r="F95" s="7">
        <v>146.5</v>
      </c>
      <c r="G95" s="7">
        <v>146.5</v>
      </c>
      <c r="H95" s="7">
        <v>146.5</v>
      </c>
      <c r="I95" s="7">
        <v>146.5</v>
      </c>
      <c r="J95" s="7">
        <v>146.5</v>
      </c>
      <c r="K95" s="7">
        <v>146.5</v>
      </c>
      <c r="L95" s="7">
        <v>227.05</v>
      </c>
      <c r="M95" s="7">
        <v>227.05</v>
      </c>
      <c r="N95" s="7">
        <v>227.05</v>
      </c>
      <c r="O95" s="7">
        <v>227.05</v>
      </c>
      <c r="P95" s="7">
        <v>227.05</v>
      </c>
      <c r="Q95" s="7">
        <v>227.05</v>
      </c>
      <c r="R95" s="7">
        <v>227.05</v>
      </c>
      <c r="S95" s="7">
        <v>227.05</v>
      </c>
      <c r="T95" s="7">
        <v>227.05</v>
      </c>
      <c r="U95" s="7">
        <v>227.05</v>
      </c>
      <c r="V95" s="7">
        <v>227.05</v>
      </c>
      <c r="W95" s="7">
        <v>227.05</v>
      </c>
      <c r="X95" s="7">
        <v>227.05</v>
      </c>
      <c r="Y95" s="7">
        <v>227.05</v>
      </c>
      <c r="Z95" s="7">
        <v>227.05</v>
      </c>
      <c r="AA95" s="7">
        <v>227.05</v>
      </c>
      <c r="AB95" s="7">
        <v>170.05</v>
      </c>
      <c r="AC95" s="7">
        <v>170.05</v>
      </c>
      <c r="AD95" s="7">
        <v>170.05</v>
      </c>
      <c r="AE95" s="7">
        <v>170.05</v>
      </c>
      <c r="AF95" s="7">
        <v>170.05</v>
      </c>
      <c r="AG95" s="7">
        <v>170.05</v>
      </c>
      <c r="AH95" s="7">
        <v>170.05</v>
      </c>
      <c r="AI95" s="7">
        <v>170.05</v>
      </c>
      <c r="AJ95" s="7">
        <v>170.05</v>
      </c>
      <c r="AK95" s="7">
        <v>170.05</v>
      </c>
      <c r="AL95" s="7">
        <v>170.05</v>
      </c>
      <c r="AM95" s="7">
        <v>170.05</v>
      </c>
      <c r="AN95" s="27">
        <v>92</v>
      </c>
      <c r="AP95" s="111"/>
      <c r="AQ95" s="110">
        <f t="shared" si="492"/>
        <v>0</v>
      </c>
      <c r="AR95" s="110">
        <f t="shared" si="493"/>
        <v>0</v>
      </c>
      <c r="AS95" s="110">
        <f t="shared" si="494"/>
        <v>80.550000000000011</v>
      </c>
      <c r="AT95" s="110">
        <f t="shared" si="495"/>
        <v>0</v>
      </c>
      <c r="AU95" s="110">
        <f t="shared" si="496"/>
        <v>0</v>
      </c>
      <c r="AV95" s="110">
        <f t="shared" si="497"/>
        <v>0</v>
      </c>
      <c r="AW95" s="110">
        <f t="shared" si="498"/>
        <v>0</v>
      </c>
      <c r="AX95" s="110">
        <f t="shared" si="499"/>
        <v>0</v>
      </c>
      <c r="AY95" s="110">
        <f t="shared" si="500"/>
        <v>-57</v>
      </c>
      <c r="AZ95" s="110">
        <f t="shared" si="501"/>
        <v>0</v>
      </c>
      <c r="BA95" s="110">
        <f t="shared" si="502"/>
        <v>0</v>
      </c>
      <c r="BB95" s="110">
        <f t="shared" si="503"/>
        <v>0</v>
      </c>
      <c r="BD95" s="109" cm="1">
        <f t="array" ref="BD95">+IFERROR(INDEX($C$3:$AM$3,MATCH(TRUE,INDEX($C95:$AM95&lt;&gt;0,0),0)),"N/A")</f>
        <v>44926</v>
      </c>
      <c r="BE95" s="112"/>
      <c r="BF95" s="1" t="str" cm="1">
        <f t="array" ref="BF95">+_xlfn.IFS(BT95&lt;&gt;0,BT$2,CH95&lt;&gt;0,CH$2,CV95&lt;&gt;0,CV$2,DJ95&lt;&gt;0,DJ$2,TRUE,"")</f>
        <v/>
      </c>
      <c r="BG95" s="1" t="str" cm="1">
        <f t="array" ref="BG95">+_xlfn.IFS(BU95&lt;&gt;0,BU$2,CI95&lt;&gt;0,CI$2,CW95&lt;&gt;0,CW$2,DK95&lt;&gt;0,DK$2,TRUE,"")</f>
        <v/>
      </c>
      <c r="BH95" s="1" t="str" cm="1">
        <f t="array" ref="BH95">+_xlfn.IFS(BV95&lt;&gt;0,BV$2,CJ95&lt;&gt;0,CJ$2,CX95&lt;&gt;0,CX$2,DL95&lt;&gt;0,DL$2,TRUE,"")</f>
        <v>Upsell</v>
      </c>
      <c r="BI95" s="1" t="str" cm="1">
        <f t="array" ref="BI95">+_xlfn.IFS(BW95&lt;&gt;0,BW$2,CK95&lt;&gt;0,CK$2,CY95&lt;&gt;0,CY$2,DM95&lt;&gt;0,DM$2,TRUE,"")</f>
        <v/>
      </c>
      <c r="BJ95" s="1" t="str" cm="1">
        <f t="array" ref="BJ95">+_xlfn.IFS(BX95&lt;&gt;0,BX$2,CL95&lt;&gt;0,CL$2,CZ95&lt;&gt;0,CZ$2,DN95&lt;&gt;0,DN$2,TRUE,"")</f>
        <v/>
      </c>
      <c r="BK95" s="1" t="str" cm="1">
        <f t="array" ref="BK95">+_xlfn.IFS(BY95&lt;&gt;0,BY$2,CM95&lt;&gt;0,CM$2,DA95&lt;&gt;0,DA$2,DO95&lt;&gt;0,DO$2,TRUE,"")</f>
        <v/>
      </c>
      <c r="BL95" s="1" t="str" cm="1">
        <f t="array" ref="BL95">+_xlfn.IFS(BZ95&lt;&gt;0,BZ$2,CN95&lt;&gt;0,CN$2,DB95&lt;&gt;0,DB$2,DP95&lt;&gt;0,DP$2,TRUE,"")</f>
        <v/>
      </c>
      <c r="BM95" s="1" t="str" cm="1">
        <f t="array" ref="BM95">+_xlfn.IFS(CA95&lt;&gt;0,CA$2,CO95&lt;&gt;0,CO$2,DC95&lt;&gt;0,DC$2,DQ95&lt;&gt;0,DQ$2,TRUE,"")</f>
        <v/>
      </c>
      <c r="BN95" s="1" t="str" cm="1">
        <f t="array" ref="BN95">+_xlfn.IFS(CB95&lt;&gt;0,CB$2,CP95&lt;&gt;0,CP$2,DD95&lt;&gt;0,DD$2,DR95&lt;&gt;0,DR$2,TRUE,"")</f>
        <v>Downsell</v>
      </c>
      <c r="BO95" s="1" t="str" cm="1">
        <f t="array" ref="BO95">+_xlfn.IFS(CC95&lt;&gt;0,CC$2,CQ95&lt;&gt;0,CQ$2,DE95&lt;&gt;0,DE$2,DS95&lt;&gt;0,DS$2,TRUE,"")</f>
        <v/>
      </c>
      <c r="BP95" s="1" t="str" cm="1">
        <f t="array" ref="BP95">+_xlfn.IFS(CD95&lt;&gt;0,CD$2,CR95&lt;&gt;0,CR$2,DF95&lt;&gt;0,DF$2,DT95&lt;&gt;0,DT$2,TRUE,"")</f>
        <v/>
      </c>
      <c r="BQ95" s="1" t="str" cm="1">
        <f t="array" ref="BQ95">+_xlfn.IFS(CE95&lt;&gt;0,CE$2,CS95&lt;&gt;0,CS$2,DG95&lt;&gt;0,DG$2,DU95&lt;&gt;0,DU$2,TRUE,"")</f>
        <v/>
      </c>
      <c r="BS95" s="111"/>
      <c r="BT95" s="110">
        <f t="shared" si="504"/>
        <v>0</v>
      </c>
      <c r="BU95" s="110">
        <f t="shared" si="505"/>
        <v>0</v>
      </c>
      <c r="BV95" s="110">
        <f t="shared" si="506"/>
        <v>0</v>
      </c>
      <c r="BW95" s="110">
        <f t="shared" si="507"/>
        <v>0</v>
      </c>
      <c r="BX95" s="110">
        <f t="shared" si="508"/>
        <v>0</v>
      </c>
      <c r="BY95" s="110">
        <f t="shared" si="509"/>
        <v>0</v>
      </c>
      <c r="BZ95" s="110">
        <f t="shared" si="510"/>
        <v>0</v>
      </c>
      <c r="CA95" s="110">
        <f t="shared" si="511"/>
        <v>0</v>
      </c>
      <c r="CB95" s="110">
        <f t="shared" si="512"/>
        <v>0</v>
      </c>
      <c r="CC95" s="110">
        <f t="shared" si="513"/>
        <v>0</v>
      </c>
      <c r="CD95" s="110">
        <f t="shared" si="514"/>
        <v>0</v>
      </c>
      <c r="CE95" s="110">
        <f t="shared" si="515"/>
        <v>0</v>
      </c>
      <c r="CG95" s="111"/>
      <c r="CH95" s="110">
        <f t="shared" si="516"/>
        <v>0</v>
      </c>
      <c r="CI95" s="110">
        <f t="shared" si="517"/>
        <v>0</v>
      </c>
      <c r="CJ95" s="110">
        <f t="shared" si="518"/>
        <v>0</v>
      </c>
      <c r="CK95" s="110">
        <f t="shared" si="519"/>
        <v>0</v>
      </c>
      <c r="CL95" s="110">
        <f t="shared" si="520"/>
        <v>0</v>
      </c>
      <c r="CM95" s="110">
        <f t="shared" si="521"/>
        <v>0</v>
      </c>
      <c r="CN95" s="110">
        <f t="shared" si="522"/>
        <v>0</v>
      </c>
      <c r="CO95" s="110">
        <f t="shared" si="523"/>
        <v>0</v>
      </c>
      <c r="CP95" s="110">
        <f t="shared" si="524"/>
        <v>0</v>
      </c>
      <c r="CQ95" s="110">
        <f t="shared" si="525"/>
        <v>0</v>
      </c>
      <c r="CR95" s="110">
        <f t="shared" si="526"/>
        <v>0</v>
      </c>
      <c r="CS95" s="110">
        <f t="shared" si="527"/>
        <v>0</v>
      </c>
      <c r="CU95" s="111"/>
      <c r="CV95" s="110">
        <f t="shared" si="528"/>
        <v>0</v>
      </c>
      <c r="CW95" s="110">
        <f t="shared" si="529"/>
        <v>0</v>
      </c>
      <c r="CX95" s="110">
        <f t="shared" si="530"/>
        <v>0</v>
      </c>
      <c r="CY95" s="110">
        <f t="shared" si="531"/>
        <v>0</v>
      </c>
      <c r="CZ95" s="110">
        <f t="shared" si="532"/>
        <v>0</v>
      </c>
      <c r="DA95" s="110">
        <f t="shared" si="533"/>
        <v>0</v>
      </c>
      <c r="DB95" s="110">
        <f t="shared" si="534"/>
        <v>0</v>
      </c>
      <c r="DC95" s="110">
        <f t="shared" si="535"/>
        <v>0</v>
      </c>
      <c r="DD95" s="110">
        <f t="shared" si="536"/>
        <v>-57</v>
      </c>
      <c r="DE95" s="110">
        <f t="shared" si="537"/>
        <v>0</v>
      </c>
      <c r="DF95" s="110">
        <f t="shared" si="538"/>
        <v>0</v>
      </c>
      <c r="DG95" s="110">
        <f t="shared" si="539"/>
        <v>0</v>
      </c>
      <c r="DI95" s="111"/>
      <c r="DJ95" s="110">
        <f t="shared" si="540"/>
        <v>0</v>
      </c>
      <c r="DK95" s="110">
        <f t="shared" si="541"/>
        <v>0</v>
      </c>
      <c r="DL95" s="110">
        <f t="shared" si="542"/>
        <v>80.550000000000011</v>
      </c>
      <c r="DM95" s="110">
        <f t="shared" si="543"/>
        <v>0</v>
      </c>
      <c r="DN95" s="110">
        <f t="shared" si="544"/>
        <v>0</v>
      </c>
      <c r="DO95" s="110">
        <f t="shared" si="545"/>
        <v>0</v>
      </c>
      <c r="DP95" s="110">
        <f t="shared" si="546"/>
        <v>0</v>
      </c>
      <c r="DQ95" s="110">
        <f t="shared" si="547"/>
        <v>0</v>
      </c>
      <c r="DR95" s="110">
        <f t="shared" si="548"/>
        <v>0</v>
      </c>
      <c r="DS95" s="110">
        <f t="shared" si="549"/>
        <v>0</v>
      </c>
      <c r="DT95" s="110">
        <f t="shared" si="550"/>
        <v>0</v>
      </c>
      <c r="DU95" s="110">
        <f t="shared" si="551"/>
        <v>0</v>
      </c>
      <c r="DW95" s="111"/>
      <c r="DX95" s="110">
        <f t="shared" si="552"/>
        <v>0</v>
      </c>
      <c r="DY95" s="110">
        <f t="shared" si="553"/>
        <v>0</v>
      </c>
      <c r="DZ95" s="110">
        <f t="shared" si="554"/>
        <v>0</v>
      </c>
      <c r="EA95" s="110">
        <f t="shared" si="555"/>
        <v>0</v>
      </c>
      <c r="EB95" s="110">
        <f t="shared" si="556"/>
        <v>0</v>
      </c>
      <c r="EC95" s="110">
        <f t="shared" si="557"/>
        <v>0</v>
      </c>
      <c r="ED95" s="110">
        <f t="shared" si="558"/>
        <v>0</v>
      </c>
      <c r="EE95" s="110">
        <f t="shared" si="559"/>
        <v>0</v>
      </c>
      <c r="EF95" s="110">
        <f t="shared" si="560"/>
        <v>0</v>
      </c>
      <c r="EG95" s="110">
        <f t="shared" si="561"/>
        <v>0</v>
      </c>
      <c r="EH95" s="110">
        <f t="shared" si="562"/>
        <v>0</v>
      </c>
      <c r="EI95" s="110">
        <f t="shared" si="563"/>
        <v>0</v>
      </c>
      <c r="EK95" s="111"/>
      <c r="EL95" s="110">
        <f t="shared" si="564"/>
        <v>80.550000000000011</v>
      </c>
      <c r="EM95" s="110">
        <f t="shared" si="565"/>
        <v>0</v>
      </c>
      <c r="EN95" s="110">
        <f t="shared" si="566"/>
        <v>-57</v>
      </c>
      <c r="EP95" s="109" cm="1">
        <f t="array" ref="EP95">+IFERROR(INDEX($C$3:$AM$3,MATCH(TRUE,INDEX($C95:$AM95&lt;&gt;0,0),0)),"N/A")</f>
        <v>44926</v>
      </c>
      <c r="EQ95" s="112"/>
      <c r="ER95" s="1" t="str" cm="1">
        <f t="array" ref="ER95">+_xlfn.IFS(EW95&lt;&gt;0,EW$2,FB95&lt;&gt;0,FB$2,FG95&lt;&gt;0,FG$2,FL95&lt;&gt;0,FL$2,TRUE,"")</f>
        <v>Upsell</v>
      </c>
      <c r="ES95" s="1" t="str" cm="1">
        <f t="array" ref="ES95">+_xlfn.IFS(EX95&lt;&gt;0,EX$2,FC95&lt;&gt;0,FC$2,FH95&lt;&gt;0,FH$2,FM95&lt;&gt;0,FM$2,TRUE,"")</f>
        <v/>
      </c>
      <c r="ET95" s="1" t="str" cm="1">
        <f t="array" ref="ET95">+_xlfn.IFS(EY95&lt;&gt;0,EY$2,FD95&lt;&gt;0,FD$2,FI95&lt;&gt;0,FI$2,FN95&lt;&gt;0,FN$2,TRUE,"")</f>
        <v>Downsell</v>
      </c>
      <c r="EV95" s="111"/>
      <c r="EW95" s="110">
        <f t="shared" si="567"/>
        <v>0</v>
      </c>
      <c r="EX95" s="110">
        <f t="shared" si="568"/>
        <v>0</v>
      </c>
      <c r="EY95" s="110">
        <f t="shared" si="569"/>
        <v>0</v>
      </c>
      <c r="FA95" s="111"/>
      <c r="FB95" s="110">
        <f t="shared" si="570"/>
        <v>0</v>
      </c>
      <c r="FC95" s="110">
        <f t="shared" si="571"/>
        <v>0</v>
      </c>
      <c r="FD95" s="110">
        <f t="shared" si="572"/>
        <v>0</v>
      </c>
      <c r="FF95" s="111"/>
      <c r="FG95" s="110">
        <f t="shared" si="573"/>
        <v>0</v>
      </c>
      <c r="FH95" s="110">
        <f t="shared" si="574"/>
        <v>0</v>
      </c>
      <c r="FI95" s="110">
        <f t="shared" si="575"/>
        <v>-57</v>
      </c>
      <c r="FK95" s="111"/>
      <c r="FL95" s="110">
        <f t="shared" si="576"/>
        <v>80.550000000000011</v>
      </c>
      <c r="FM95" s="110">
        <f t="shared" si="577"/>
        <v>0</v>
      </c>
      <c r="FN95" s="110">
        <f t="shared" si="578"/>
        <v>0</v>
      </c>
      <c r="FP95" s="111"/>
      <c r="FQ95" s="110">
        <f t="shared" si="579"/>
        <v>0</v>
      </c>
      <c r="FR95" s="110">
        <f t="shared" si="580"/>
        <v>0</v>
      </c>
      <c r="FS95" s="110">
        <f t="shared" si="581"/>
        <v>0</v>
      </c>
      <c r="FU95" s="111">
        <f t="shared" si="582"/>
        <v>80.550000000000011</v>
      </c>
      <c r="FV95" s="110">
        <f t="shared" si="583"/>
        <v>80.550000000000011</v>
      </c>
      <c r="FW95" s="110">
        <f t="shared" si="584"/>
        <v>80.550000000000011</v>
      </c>
      <c r="FX95" s="110">
        <f t="shared" si="585"/>
        <v>80.550000000000011</v>
      </c>
      <c r="FY95" s="110">
        <f t="shared" si="586"/>
        <v>80.550000000000011</v>
      </c>
      <c r="FZ95" s="110">
        <f t="shared" si="587"/>
        <v>80.550000000000011</v>
      </c>
      <c r="GA95" s="110">
        <f t="shared" si="588"/>
        <v>80.550000000000011</v>
      </c>
      <c r="GB95" s="110">
        <f t="shared" si="589"/>
        <v>80.550000000000011</v>
      </c>
      <c r="GC95" s="110">
        <f t="shared" si="590"/>
        <v>80.550000000000011</v>
      </c>
      <c r="GD95" s="110">
        <f t="shared" si="591"/>
        <v>0</v>
      </c>
      <c r="GE95" s="110">
        <f t="shared" si="592"/>
        <v>0</v>
      </c>
      <c r="GF95" s="110">
        <f t="shared" si="593"/>
        <v>0</v>
      </c>
      <c r="GG95" s="110">
        <f t="shared" si="594"/>
        <v>0</v>
      </c>
      <c r="GH95" s="110">
        <f t="shared" si="595"/>
        <v>-57</v>
      </c>
      <c r="GI95" s="110">
        <f t="shared" si="596"/>
        <v>-57</v>
      </c>
      <c r="GJ95" s="110">
        <f t="shared" si="597"/>
        <v>-57</v>
      </c>
      <c r="GK95" s="110">
        <f t="shared" si="598"/>
        <v>-57</v>
      </c>
      <c r="GL95" s="110">
        <f t="shared" si="599"/>
        <v>-57</v>
      </c>
      <c r="GM95" s="110">
        <f t="shared" si="600"/>
        <v>-57</v>
      </c>
      <c r="GN95" s="110">
        <f t="shared" si="601"/>
        <v>-57</v>
      </c>
      <c r="GO95" s="110">
        <f t="shared" si="602"/>
        <v>-57</v>
      </c>
      <c r="GP95" s="110">
        <f t="shared" si="603"/>
        <v>-57</v>
      </c>
      <c r="GQ95" s="110">
        <f t="shared" si="604"/>
        <v>-57</v>
      </c>
      <c r="GR95" s="110">
        <f t="shared" si="605"/>
        <v>-57</v>
      </c>
      <c r="GS95" s="110">
        <f t="shared" si="606"/>
        <v>-57</v>
      </c>
      <c r="GU95" s="109" cm="1">
        <f t="array" ref="GU95">+IFERROR(INDEX($C$3:$AM$3,MATCH(TRUE,INDEX($C95:$AM95&lt;&gt;0,0),0)),"N/A")</f>
        <v>44926</v>
      </c>
      <c r="GV95" s="112" t="str" cm="1">
        <f t="array" ref="GV95">+_xlfn.IFS(HV95&lt;&gt;0,HV$2,IV95&lt;&gt;0,IV$2,JV95&lt;&gt;0,JV$2,KV95&lt;&gt;0,KV$2,TRUE,"")</f>
        <v>Upsell</v>
      </c>
      <c r="GW95" s="1" t="str" cm="1">
        <f t="array" ref="GW95">+_xlfn.IFS(HW95&lt;&gt;0,HW$2,IW95&lt;&gt;0,IW$2,JW95&lt;&gt;0,JW$2,KW95&lt;&gt;0,KW$2,TRUE,"")</f>
        <v>Upsell</v>
      </c>
      <c r="GX95" s="1" t="str" cm="1">
        <f t="array" ref="GX95">+_xlfn.IFS(HX95&lt;&gt;0,HX$2,IX95&lt;&gt;0,IX$2,JX95&lt;&gt;0,JX$2,KX95&lt;&gt;0,KX$2,TRUE,"")</f>
        <v>Upsell</v>
      </c>
      <c r="GY95" s="1" t="str" cm="1">
        <f t="array" ref="GY95">+_xlfn.IFS(HY95&lt;&gt;0,HY$2,IY95&lt;&gt;0,IY$2,JY95&lt;&gt;0,JY$2,KY95&lt;&gt;0,KY$2,TRUE,"")</f>
        <v>Upsell</v>
      </c>
      <c r="GZ95" s="1" t="str" cm="1">
        <f t="array" ref="GZ95">+_xlfn.IFS(HZ95&lt;&gt;0,HZ$2,IZ95&lt;&gt;0,IZ$2,JZ95&lt;&gt;0,JZ$2,KZ95&lt;&gt;0,KZ$2,TRUE,"")</f>
        <v>Upsell</v>
      </c>
      <c r="HA95" s="1" t="str" cm="1">
        <f t="array" ref="HA95">+_xlfn.IFS(IA95&lt;&gt;0,IA$2,JA95&lt;&gt;0,JA$2,KA95&lt;&gt;0,KA$2,LA95&lt;&gt;0,LA$2,TRUE,"")</f>
        <v>Upsell</v>
      </c>
      <c r="HB95" s="1" t="str" cm="1">
        <f t="array" ref="HB95">+_xlfn.IFS(IB95&lt;&gt;0,IB$2,JB95&lt;&gt;0,JB$2,KB95&lt;&gt;0,KB$2,LB95&lt;&gt;0,LB$2,TRUE,"")</f>
        <v>Upsell</v>
      </c>
      <c r="HC95" s="1" t="str" cm="1">
        <f t="array" ref="HC95">+_xlfn.IFS(IC95&lt;&gt;0,IC$2,JC95&lt;&gt;0,JC$2,KC95&lt;&gt;0,KC$2,LC95&lt;&gt;0,LC$2,TRUE,"")</f>
        <v>Upsell</v>
      </c>
      <c r="HD95" s="1" t="str" cm="1">
        <f t="array" ref="HD95">+_xlfn.IFS(ID95&lt;&gt;0,ID$2,JD95&lt;&gt;0,JD$2,KD95&lt;&gt;0,KD$2,LD95&lt;&gt;0,LD$2,TRUE,"")</f>
        <v>Upsell</v>
      </c>
      <c r="HE95" s="1" t="str" cm="1">
        <f t="array" ref="HE95">+_xlfn.IFS(IE95&lt;&gt;0,IE$2,JE95&lt;&gt;0,JE$2,KE95&lt;&gt;0,KE$2,LE95&lt;&gt;0,LE$2,TRUE,"")</f>
        <v/>
      </c>
      <c r="HF95" s="1" t="str" cm="1">
        <f t="array" ref="HF95">+_xlfn.IFS(IF95&lt;&gt;0,IF$2,JF95&lt;&gt;0,JF$2,KF95&lt;&gt;0,KF$2,LF95&lt;&gt;0,LF$2,TRUE,"")</f>
        <v/>
      </c>
      <c r="HG95" s="1" t="str" cm="1">
        <f t="array" ref="HG95">+_xlfn.IFS(IG95&lt;&gt;0,IG$2,JG95&lt;&gt;0,JG$2,KG95&lt;&gt;0,KG$2,LG95&lt;&gt;0,LG$2,TRUE,"")</f>
        <v/>
      </c>
      <c r="HH95" s="1" t="str" cm="1">
        <f t="array" ref="HH95">+_xlfn.IFS(IH95&lt;&gt;0,IH$2,JH95&lt;&gt;0,JH$2,KH95&lt;&gt;0,KH$2,LH95&lt;&gt;0,LH$2,TRUE,"")</f>
        <v/>
      </c>
      <c r="HI95" s="1" t="str" cm="1">
        <f t="array" ref="HI95">+_xlfn.IFS(II95&lt;&gt;0,II$2,JI95&lt;&gt;0,JI$2,KI95&lt;&gt;0,KI$2,LI95&lt;&gt;0,LI$2,TRUE,"")</f>
        <v>Downsell</v>
      </c>
      <c r="HJ95" s="1" t="str" cm="1">
        <f t="array" ref="HJ95">+_xlfn.IFS(IJ95&lt;&gt;0,IJ$2,JJ95&lt;&gt;0,JJ$2,KJ95&lt;&gt;0,KJ$2,LJ95&lt;&gt;0,LJ$2,TRUE,"")</f>
        <v>Downsell</v>
      </c>
      <c r="HK95" s="1" t="str" cm="1">
        <f t="array" ref="HK95">+_xlfn.IFS(IK95&lt;&gt;0,IK$2,JK95&lt;&gt;0,JK$2,KK95&lt;&gt;0,KK$2,LK95&lt;&gt;0,LK$2,TRUE,"")</f>
        <v>Downsell</v>
      </c>
      <c r="HL95" s="1" t="str" cm="1">
        <f t="array" ref="HL95">+_xlfn.IFS(IL95&lt;&gt;0,IL$2,JL95&lt;&gt;0,JL$2,KL95&lt;&gt;0,KL$2,LL95&lt;&gt;0,LL$2,TRUE,"")</f>
        <v>Downsell</v>
      </c>
      <c r="HM95" s="1" t="str" cm="1">
        <f t="array" ref="HM95">+_xlfn.IFS(IM95&lt;&gt;0,IM$2,JM95&lt;&gt;0,JM$2,KM95&lt;&gt;0,KM$2,LM95&lt;&gt;0,LM$2,TRUE,"")</f>
        <v>Downsell</v>
      </c>
      <c r="HN95" s="1" t="str" cm="1">
        <f t="array" ref="HN95">+_xlfn.IFS(IN95&lt;&gt;0,IN$2,JN95&lt;&gt;0,JN$2,KN95&lt;&gt;0,KN$2,LN95&lt;&gt;0,LN$2,TRUE,"")</f>
        <v>Downsell</v>
      </c>
      <c r="HO95" s="1" t="str" cm="1">
        <f t="array" ref="HO95">+_xlfn.IFS(IO95&lt;&gt;0,IO$2,JO95&lt;&gt;0,JO$2,KO95&lt;&gt;0,KO$2,LO95&lt;&gt;0,LO$2,TRUE,"")</f>
        <v>Downsell</v>
      </c>
      <c r="HP95" s="1" t="str" cm="1">
        <f t="array" ref="HP95">+_xlfn.IFS(IP95&lt;&gt;0,IP$2,JP95&lt;&gt;0,JP$2,KP95&lt;&gt;0,KP$2,LP95&lt;&gt;0,LP$2,TRUE,"")</f>
        <v>Downsell</v>
      </c>
      <c r="HQ95" s="1" t="str" cm="1">
        <f t="array" ref="HQ95">+_xlfn.IFS(IQ95&lt;&gt;0,IQ$2,JQ95&lt;&gt;0,JQ$2,KQ95&lt;&gt;0,KQ$2,LQ95&lt;&gt;0,LQ$2,TRUE,"")</f>
        <v>Downsell</v>
      </c>
      <c r="HR95" s="1" t="str" cm="1">
        <f t="array" ref="HR95">+_xlfn.IFS(IR95&lt;&gt;0,IR$2,JR95&lt;&gt;0,JR$2,KR95&lt;&gt;0,KR$2,LR95&lt;&gt;0,LR$2,TRUE,"")</f>
        <v>Downsell</v>
      </c>
      <c r="HS95" s="1" t="str" cm="1">
        <f t="array" ref="HS95">+_xlfn.IFS(IS95&lt;&gt;0,IS$2,JS95&lt;&gt;0,JS$2,KS95&lt;&gt;0,KS$2,LS95&lt;&gt;0,LS$2,TRUE,"")</f>
        <v>Downsell</v>
      </c>
      <c r="HT95" s="1" t="str" cm="1">
        <f t="array" ref="HT95">+_xlfn.IFS(IT95&lt;&gt;0,IT$2,JT95&lt;&gt;0,JT$2,KT95&lt;&gt;0,KT$2,LT95&lt;&gt;0,LT$2,TRUE,"")</f>
        <v>Downsell</v>
      </c>
      <c r="HV95" s="111">
        <f t="shared" si="607"/>
        <v>0</v>
      </c>
      <c r="HW95" s="110">
        <f t="shared" si="608"/>
        <v>0</v>
      </c>
      <c r="HX95" s="110">
        <f t="shared" si="609"/>
        <v>0</v>
      </c>
      <c r="HY95" s="110">
        <f t="shared" si="610"/>
        <v>0</v>
      </c>
      <c r="HZ95" s="110">
        <f t="shared" si="611"/>
        <v>0</v>
      </c>
      <c r="IA95" s="110">
        <f t="shared" si="612"/>
        <v>0</v>
      </c>
      <c r="IB95" s="110">
        <f t="shared" si="613"/>
        <v>0</v>
      </c>
      <c r="IC95" s="110">
        <f t="shared" si="614"/>
        <v>0</v>
      </c>
      <c r="ID95" s="110">
        <f t="shared" si="615"/>
        <v>0</v>
      </c>
      <c r="IE95" s="110">
        <f t="shared" si="616"/>
        <v>0</v>
      </c>
      <c r="IF95" s="110">
        <f t="shared" si="617"/>
        <v>0</v>
      </c>
      <c r="IG95" s="110">
        <f t="shared" si="618"/>
        <v>0</v>
      </c>
      <c r="IH95" s="110">
        <f t="shared" si="619"/>
        <v>0</v>
      </c>
      <c r="II95" s="110">
        <f t="shared" si="620"/>
        <v>0</v>
      </c>
      <c r="IJ95" s="110">
        <f t="shared" si="621"/>
        <v>0</v>
      </c>
      <c r="IK95" s="110">
        <f t="shared" si="622"/>
        <v>0</v>
      </c>
      <c r="IL95" s="110">
        <f t="shared" si="623"/>
        <v>0</v>
      </c>
      <c r="IM95" s="110">
        <f t="shared" si="624"/>
        <v>0</v>
      </c>
      <c r="IN95" s="110">
        <f t="shared" si="625"/>
        <v>0</v>
      </c>
      <c r="IO95" s="110">
        <f t="shared" si="626"/>
        <v>0</v>
      </c>
      <c r="IP95" s="110">
        <f t="shared" si="627"/>
        <v>0</v>
      </c>
      <c r="IQ95" s="110">
        <f t="shared" si="628"/>
        <v>0</v>
      </c>
      <c r="IR95" s="110">
        <f t="shared" si="629"/>
        <v>0</v>
      </c>
      <c r="IS95" s="110">
        <f t="shared" si="630"/>
        <v>0</v>
      </c>
      <c r="IT95" s="110">
        <f t="shared" si="631"/>
        <v>0</v>
      </c>
      <c r="IV95" s="111">
        <f t="shared" si="632"/>
        <v>0</v>
      </c>
      <c r="IW95" s="110">
        <f t="shared" si="633"/>
        <v>0</v>
      </c>
      <c r="IX95" s="110">
        <f t="shared" si="634"/>
        <v>0</v>
      </c>
      <c r="IY95" s="110">
        <f t="shared" si="635"/>
        <v>0</v>
      </c>
      <c r="IZ95" s="110">
        <f t="shared" si="636"/>
        <v>0</v>
      </c>
      <c r="JA95" s="110">
        <f t="shared" si="637"/>
        <v>0</v>
      </c>
      <c r="JB95" s="110">
        <f t="shared" si="638"/>
        <v>0</v>
      </c>
      <c r="JC95" s="110">
        <f t="shared" si="639"/>
        <v>0</v>
      </c>
      <c r="JD95" s="110">
        <f t="shared" si="640"/>
        <v>0</v>
      </c>
      <c r="JE95" s="110">
        <f t="shared" si="641"/>
        <v>0</v>
      </c>
      <c r="JF95" s="110">
        <f t="shared" si="642"/>
        <v>0</v>
      </c>
      <c r="JG95" s="110">
        <f t="shared" si="643"/>
        <v>0</v>
      </c>
      <c r="JH95" s="110">
        <f t="shared" si="644"/>
        <v>0</v>
      </c>
      <c r="JI95" s="110">
        <f t="shared" si="645"/>
        <v>0</v>
      </c>
      <c r="JJ95" s="110">
        <f t="shared" si="646"/>
        <v>0</v>
      </c>
      <c r="JK95" s="110">
        <f t="shared" si="647"/>
        <v>0</v>
      </c>
      <c r="JL95" s="110">
        <f t="shared" si="648"/>
        <v>0</v>
      </c>
      <c r="JM95" s="110">
        <f t="shared" si="649"/>
        <v>0</v>
      </c>
      <c r="JN95" s="110">
        <f t="shared" si="650"/>
        <v>0</v>
      </c>
      <c r="JO95" s="110">
        <f t="shared" si="651"/>
        <v>0</v>
      </c>
      <c r="JP95" s="110">
        <f t="shared" si="652"/>
        <v>0</v>
      </c>
      <c r="JQ95" s="110">
        <f t="shared" si="653"/>
        <v>0</v>
      </c>
      <c r="JR95" s="110">
        <f t="shared" si="654"/>
        <v>0</v>
      </c>
      <c r="JS95" s="110">
        <f t="shared" si="655"/>
        <v>0</v>
      </c>
      <c r="JT95" s="110">
        <f t="shared" si="656"/>
        <v>0</v>
      </c>
      <c r="JV95" s="111">
        <f t="shared" si="657"/>
        <v>0</v>
      </c>
      <c r="JW95" s="110">
        <f t="shared" si="658"/>
        <v>0</v>
      </c>
      <c r="JX95" s="110">
        <f t="shared" si="659"/>
        <v>0</v>
      </c>
      <c r="JY95" s="110">
        <f t="shared" si="660"/>
        <v>0</v>
      </c>
      <c r="JZ95" s="110">
        <f t="shared" si="661"/>
        <v>0</v>
      </c>
      <c r="KA95" s="110">
        <f t="shared" si="662"/>
        <v>0</v>
      </c>
      <c r="KB95" s="110">
        <f t="shared" si="663"/>
        <v>0</v>
      </c>
      <c r="KC95" s="110">
        <f t="shared" si="664"/>
        <v>0</v>
      </c>
      <c r="KD95" s="110">
        <f t="shared" si="665"/>
        <v>0</v>
      </c>
      <c r="KE95" s="110">
        <f t="shared" si="666"/>
        <v>0</v>
      </c>
      <c r="KF95" s="110">
        <f t="shared" si="667"/>
        <v>0</v>
      </c>
      <c r="KG95" s="110">
        <f t="shared" si="668"/>
        <v>0</v>
      </c>
      <c r="KH95" s="110">
        <f t="shared" si="669"/>
        <v>0</v>
      </c>
      <c r="KI95" s="110">
        <f t="shared" si="670"/>
        <v>-57</v>
      </c>
      <c r="KJ95" s="110">
        <f t="shared" si="671"/>
        <v>-57</v>
      </c>
      <c r="KK95" s="110">
        <f t="shared" si="672"/>
        <v>-57</v>
      </c>
      <c r="KL95" s="110">
        <f t="shared" si="673"/>
        <v>-57</v>
      </c>
      <c r="KM95" s="110">
        <f t="shared" si="674"/>
        <v>-57</v>
      </c>
      <c r="KN95" s="110">
        <f t="shared" si="675"/>
        <v>-57</v>
      </c>
      <c r="KO95" s="110">
        <f t="shared" si="676"/>
        <v>-57</v>
      </c>
      <c r="KP95" s="110">
        <f t="shared" si="677"/>
        <v>-57</v>
      </c>
      <c r="KQ95" s="110">
        <f t="shared" si="678"/>
        <v>-57</v>
      </c>
      <c r="KR95" s="110">
        <f t="shared" si="679"/>
        <v>-57</v>
      </c>
      <c r="KS95" s="110">
        <f t="shared" si="680"/>
        <v>-57</v>
      </c>
      <c r="KT95" s="110">
        <f t="shared" si="681"/>
        <v>-57</v>
      </c>
      <c r="KV95" s="111">
        <f t="shared" si="682"/>
        <v>80.550000000000011</v>
      </c>
      <c r="KW95" s="110">
        <f t="shared" si="683"/>
        <v>80.550000000000011</v>
      </c>
      <c r="KX95" s="110">
        <f t="shared" si="684"/>
        <v>80.550000000000011</v>
      </c>
      <c r="KY95" s="110">
        <f t="shared" si="685"/>
        <v>80.550000000000011</v>
      </c>
      <c r="KZ95" s="110">
        <f t="shared" si="686"/>
        <v>80.550000000000011</v>
      </c>
      <c r="LA95" s="110">
        <f t="shared" si="687"/>
        <v>80.550000000000011</v>
      </c>
      <c r="LB95" s="110">
        <f t="shared" si="688"/>
        <v>80.550000000000011</v>
      </c>
      <c r="LC95" s="110">
        <f t="shared" si="689"/>
        <v>80.550000000000011</v>
      </c>
      <c r="LD95" s="110">
        <f t="shared" si="690"/>
        <v>80.550000000000011</v>
      </c>
      <c r="LE95" s="110">
        <f t="shared" si="691"/>
        <v>0</v>
      </c>
      <c r="LF95" s="110">
        <f t="shared" si="692"/>
        <v>0</v>
      </c>
      <c r="LG95" s="110">
        <f t="shared" si="693"/>
        <v>0</v>
      </c>
      <c r="LH95" s="110">
        <f t="shared" si="694"/>
        <v>0</v>
      </c>
      <c r="LI95" s="110">
        <f t="shared" si="695"/>
        <v>0</v>
      </c>
      <c r="LJ95" s="110">
        <f t="shared" si="696"/>
        <v>0</v>
      </c>
      <c r="LK95" s="110">
        <f t="shared" si="697"/>
        <v>0</v>
      </c>
      <c r="LL95" s="110">
        <f t="shared" si="698"/>
        <v>0</v>
      </c>
      <c r="LM95" s="110">
        <f t="shared" si="699"/>
        <v>0</v>
      </c>
      <c r="LN95" s="110">
        <f t="shared" si="700"/>
        <v>0</v>
      </c>
      <c r="LO95" s="110">
        <f t="shared" si="701"/>
        <v>0</v>
      </c>
      <c r="LP95" s="110">
        <f t="shared" si="702"/>
        <v>0</v>
      </c>
      <c r="LQ95" s="110">
        <f t="shared" si="703"/>
        <v>0</v>
      </c>
      <c r="LR95" s="110">
        <f t="shared" si="704"/>
        <v>0</v>
      </c>
      <c r="LS95" s="110">
        <f t="shared" si="705"/>
        <v>0</v>
      </c>
      <c r="LT95" s="110">
        <f t="shared" si="706"/>
        <v>0</v>
      </c>
      <c r="LV95" s="111"/>
      <c r="LW95" s="110">
        <f t="shared" si="707"/>
        <v>0</v>
      </c>
      <c r="LX95" s="110">
        <f t="shared" si="708"/>
        <v>0</v>
      </c>
      <c r="LY95" s="110">
        <f t="shared" si="709"/>
        <v>0</v>
      </c>
      <c r="LZ95" s="110">
        <f t="shared" si="710"/>
        <v>0</v>
      </c>
      <c r="MA95" s="110">
        <f t="shared" si="711"/>
        <v>0</v>
      </c>
      <c r="MB95" s="110">
        <f t="shared" si="712"/>
        <v>0</v>
      </c>
      <c r="MC95" s="110">
        <f t="shared" si="713"/>
        <v>0</v>
      </c>
      <c r="MD95" s="110">
        <f t="shared" si="714"/>
        <v>0</v>
      </c>
      <c r="ME95" s="110">
        <f t="shared" si="715"/>
        <v>0</v>
      </c>
      <c r="MF95" s="110">
        <f t="shared" si="716"/>
        <v>0</v>
      </c>
      <c r="MG95" s="110">
        <f t="shared" si="717"/>
        <v>0</v>
      </c>
      <c r="MH95" s="110">
        <f t="shared" si="718"/>
        <v>0</v>
      </c>
      <c r="MI95" s="110">
        <f t="shared" si="719"/>
        <v>0</v>
      </c>
      <c r="MJ95" s="110">
        <f t="shared" si="720"/>
        <v>0</v>
      </c>
      <c r="MK95" s="110">
        <f t="shared" si="721"/>
        <v>0</v>
      </c>
      <c r="ML95" s="110">
        <f t="shared" si="722"/>
        <v>0</v>
      </c>
      <c r="MM95" s="110">
        <f t="shared" si="723"/>
        <v>0</v>
      </c>
      <c r="MN95" s="110">
        <f t="shared" si="724"/>
        <v>0</v>
      </c>
      <c r="MO95" s="110">
        <f t="shared" si="725"/>
        <v>0</v>
      </c>
      <c r="MP95" s="110">
        <f t="shared" si="726"/>
        <v>0</v>
      </c>
      <c r="MQ95" s="110">
        <f t="shared" si="727"/>
        <v>0</v>
      </c>
      <c r="MR95" s="110">
        <f t="shared" si="728"/>
        <v>0</v>
      </c>
      <c r="MS95" s="110">
        <f t="shared" si="729"/>
        <v>0</v>
      </c>
      <c r="MT95" s="110">
        <f t="shared" si="730"/>
        <v>0</v>
      </c>
      <c r="MV95" s="114">
        <v>170.05</v>
      </c>
      <c r="MW95" s="114">
        <v>0</v>
      </c>
      <c r="MX95" s="114">
        <v>0</v>
      </c>
      <c r="MY95" s="114">
        <v>-57</v>
      </c>
      <c r="MZ95" s="114">
        <v>0</v>
      </c>
      <c r="NB95" s="115">
        <v>71</v>
      </c>
      <c r="NC95" s="115" t="str">
        <v>N/A</v>
      </c>
      <c r="ND95" s="115" t="str">
        <v>N/A</v>
      </c>
      <c r="NE95" s="115">
        <v>3</v>
      </c>
      <c r="NF95" s="115" t="str">
        <v>N/A</v>
      </c>
    </row>
    <row r="96" spans="2:370" ht="13.5" x14ac:dyDescent="0.25">
      <c r="B96" s="8">
        <f t="shared" si="731"/>
        <v>93</v>
      </c>
      <c r="C96" s="7">
        <v>305.10000000000002</v>
      </c>
      <c r="D96" s="7">
        <v>305.10000000000002</v>
      </c>
      <c r="E96" s="7">
        <v>179</v>
      </c>
      <c r="F96" s="7">
        <v>179</v>
      </c>
      <c r="G96" s="7">
        <v>179</v>
      </c>
      <c r="H96" s="7">
        <v>179</v>
      </c>
      <c r="I96" s="7">
        <v>179</v>
      </c>
      <c r="J96" s="7">
        <v>179</v>
      </c>
      <c r="K96" s="7">
        <v>179</v>
      </c>
      <c r="L96" s="7">
        <v>179</v>
      </c>
      <c r="M96" s="7">
        <v>179</v>
      </c>
      <c r="N96" s="7">
        <v>179</v>
      </c>
      <c r="O96" s="7">
        <v>179</v>
      </c>
      <c r="P96" s="7">
        <v>179</v>
      </c>
      <c r="Q96" s="7">
        <v>179</v>
      </c>
      <c r="R96" s="7">
        <v>179</v>
      </c>
      <c r="S96" s="7">
        <v>179</v>
      </c>
      <c r="T96" s="7">
        <v>179</v>
      </c>
      <c r="U96" s="7">
        <v>179</v>
      </c>
      <c r="V96" s="7">
        <v>179</v>
      </c>
      <c r="W96" s="7">
        <v>179</v>
      </c>
      <c r="X96" s="7">
        <v>179</v>
      </c>
      <c r="Y96" s="7">
        <v>179</v>
      </c>
      <c r="Z96" s="7">
        <v>179</v>
      </c>
      <c r="AA96" s="7">
        <v>179</v>
      </c>
      <c r="AB96" s="7">
        <v>179</v>
      </c>
      <c r="AC96" s="7">
        <v>179</v>
      </c>
      <c r="AD96" s="7">
        <v>179</v>
      </c>
      <c r="AE96" s="7">
        <v>179</v>
      </c>
      <c r="AF96" s="7">
        <v>179</v>
      </c>
      <c r="AG96" s="7">
        <v>179</v>
      </c>
      <c r="AH96" s="7">
        <v>185.27</v>
      </c>
      <c r="AI96" s="7">
        <v>185.27</v>
      </c>
      <c r="AJ96" s="7">
        <v>185.27</v>
      </c>
      <c r="AK96" s="7">
        <v>185.27</v>
      </c>
      <c r="AL96" s="7">
        <v>185.27</v>
      </c>
      <c r="AM96" s="7">
        <v>185.27</v>
      </c>
      <c r="AN96" s="27">
        <v>93</v>
      </c>
      <c r="AP96" s="111"/>
      <c r="AQ96" s="110">
        <f t="shared" si="492"/>
        <v>-126.10000000000002</v>
      </c>
      <c r="AR96" s="110">
        <f t="shared" si="493"/>
        <v>0</v>
      </c>
      <c r="AS96" s="110">
        <f t="shared" si="494"/>
        <v>0</v>
      </c>
      <c r="AT96" s="110">
        <f t="shared" si="495"/>
        <v>0</v>
      </c>
      <c r="AU96" s="110">
        <f t="shared" si="496"/>
        <v>0</v>
      </c>
      <c r="AV96" s="110">
        <f t="shared" si="497"/>
        <v>0</v>
      </c>
      <c r="AW96" s="110">
        <f t="shared" si="498"/>
        <v>0</v>
      </c>
      <c r="AX96" s="110">
        <f t="shared" si="499"/>
        <v>0</v>
      </c>
      <c r="AY96" s="110">
        <f t="shared" si="500"/>
        <v>0</v>
      </c>
      <c r="AZ96" s="110">
        <f t="shared" si="501"/>
        <v>0</v>
      </c>
      <c r="BA96" s="110">
        <f t="shared" si="502"/>
        <v>6.2700000000000102</v>
      </c>
      <c r="BB96" s="110">
        <f t="shared" si="503"/>
        <v>0</v>
      </c>
      <c r="BD96" s="109" cm="1">
        <f t="array" ref="BD96">+IFERROR(INDEX($C$3:$AM$3,MATCH(TRUE,INDEX($C96:$AM96&lt;&gt;0,0),0)),"N/A")</f>
        <v>44926</v>
      </c>
      <c r="BE96" s="112"/>
      <c r="BF96" s="1" t="str" cm="1">
        <f t="array" ref="BF96">+_xlfn.IFS(BT96&lt;&gt;0,BT$2,CH96&lt;&gt;0,CH$2,CV96&lt;&gt;0,CV$2,DJ96&lt;&gt;0,DJ$2,TRUE,"")</f>
        <v>Downsell</v>
      </c>
      <c r="BG96" s="1" t="str" cm="1">
        <f t="array" ref="BG96">+_xlfn.IFS(BU96&lt;&gt;0,BU$2,CI96&lt;&gt;0,CI$2,CW96&lt;&gt;0,CW$2,DK96&lt;&gt;0,DK$2,TRUE,"")</f>
        <v/>
      </c>
      <c r="BH96" s="1" t="str" cm="1">
        <f t="array" ref="BH96">+_xlfn.IFS(BV96&lt;&gt;0,BV$2,CJ96&lt;&gt;0,CJ$2,CX96&lt;&gt;0,CX$2,DL96&lt;&gt;0,DL$2,TRUE,"")</f>
        <v/>
      </c>
      <c r="BI96" s="1" t="str" cm="1">
        <f t="array" ref="BI96">+_xlfn.IFS(BW96&lt;&gt;0,BW$2,CK96&lt;&gt;0,CK$2,CY96&lt;&gt;0,CY$2,DM96&lt;&gt;0,DM$2,TRUE,"")</f>
        <v/>
      </c>
      <c r="BJ96" s="1" t="str" cm="1">
        <f t="array" ref="BJ96">+_xlfn.IFS(BX96&lt;&gt;0,BX$2,CL96&lt;&gt;0,CL$2,CZ96&lt;&gt;0,CZ$2,DN96&lt;&gt;0,DN$2,TRUE,"")</f>
        <v/>
      </c>
      <c r="BK96" s="1" t="str" cm="1">
        <f t="array" ref="BK96">+_xlfn.IFS(BY96&lt;&gt;0,BY$2,CM96&lt;&gt;0,CM$2,DA96&lt;&gt;0,DA$2,DO96&lt;&gt;0,DO$2,TRUE,"")</f>
        <v/>
      </c>
      <c r="BL96" s="1" t="str" cm="1">
        <f t="array" ref="BL96">+_xlfn.IFS(BZ96&lt;&gt;0,BZ$2,CN96&lt;&gt;0,CN$2,DB96&lt;&gt;0,DB$2,DP96&lt;&gt;0,DP$2,TRUE,"")</f>
        <v/>
      </c>
      <c r="BM96" s="1" t="str" cm="1">
        <f t="array" ref="BM96">+_xlfn.IFS(CA96&lt;&gt;0,CA$2,CO96&lt;&gt;0,CO$2,DC96&lt;&gt;0,DC$2,DQ96&lt;&gt;0,DQ$2,TRUE,"")</f>
        <v/>
      </c>
      <c r="BN96" s="1" t="str" cm="1">
        <f t="array" ref="BN96">+_xlfn.IFS(CB96&lt;&gt;0,CB$2,CP96&lt;&gt;0,CP$2,DD96&lt;&gt;0,DD$2,DR96&lt;&gt;0,DR$2,TRUE,"")</f>
        <v/>
      </c>
      <c r="BO96" s="1" t="str" cm="1">
        <f t="array" ref="BO96">+_xlfn.IFS(CC96&lt;&gt;0,CC$2,CQ96&lt;&gt;0,CQ$2,DE96&lt;&gt;0,DE$2,DS96&lt;&gt;0,DS$2,TRUE,"")</f>
        <v/>
      </c>
      <c r="BP96" s="1" t="str" cm="1">
        <f t="array" ref="BP96">+_xlfn.IFS(CD96&lt;&gt;0,CD$2,CR96&lt;&gt;0,CR$2,DF96&lt;&gt;0,DF$2,DT96&lt;&gt;0,DT$2,TRUE,"")</f>
        <v>Upsell</v>
      </c>
      <c r="BQ96" s="1" t="str" cm="1">
        <f t="array" ref="BQ96">+_xlfn.IFS(CE96&lt;&gt;0,CE$2,CS96&lt;&gt;0,CS$2,DG96&lt;&gt;0,DG$2,DU96&lt;&gt;0,DU$2,TRUE,"")</f>
        <v/>
      </c>
      <c r="BS96" s="111"/>
      <c r="BT96" s="110">
        <f t="shared" si="504"/>
        <v>0</v>
      </c>
      <c r="BU96" s="110">
        <f t="shared" si="505"/>
        <v>0</v>
      </c>
      <c r="BV96" s="110">
        <f t="shared" si="506"/>
        <v>0</v>
      </c>
      <c r="BW96" s="110">
        <f t="shared" si="507"/>
        <v>0</v>
      </c>
      <c r="BX96" s="110">
        <f t="shared" si="508"/>
        <v>0</v>
      </c>
      <c r="BY96" s="110">
        <f t="shared" si="509"/>
        <v>0</v>
      </c>
      <c r="BZ96" s="110">
        <f t="shared" si="510"/>
        <v>0</v>
      </c>
      <c r="CA96" s="110">
        <f t="shared" si="511"/>
        <v>0</v>
      </c>
      <c r="CB96" s="110">
        <f t="shared" si="512"/>
        <v>0</v>
      </c>
      <c r="CC96" s="110">
        <f t="shared" si="513"/>
        <v>0</v>
      </c>
      <c r="CD96" s="110">
        <f t="shared" si="514"/>
        <v>0</v>
      </c>
      <c r="CE96" s="110">
        <f t="shared" si="515"/>
        <v>0</v>
      </c>
      <c r="CG96" s="111"/>
      <c r="CH96" s="110">
        <f t="shared" si="516"/>
        <v>0</v>
      </c>
      <c r="CI96" s="110">
        <f t="shared" si="517"/>
        <v>0</v>
      </c>
      <c r="CJ96" s="110">
        <f t="shared" si="518"/>
        <v>0</v>
      </c>
      <c r="CK96" s="110">
        <f t="shared" si="519"/>
        <v>0</v>
      </c>
      <c r="CL96" s="110">
        <f t="shared" si="520"/>
        <v>0</v>
      </c>
      <c r="CM96" s="110">
        <f t="shared" si="521"/>
        <v>0</v>
      </c>
      <c r="CN96" s="110">
        <f t="shared" si="522"/>
        <v>0</v>
      </c>
      <c r="CO96" s="110">
        <f t="shared" si="523"/>
        <v>0</v>
      </c>
      <c r="CP96" s="110">
        <f t="shared" si="524"/>
        <v>0</v>
      </c>
      <c r="CQ96" s="110">
        <f t="shared" si="525"/>
        <v>0</v>
      </c>
      <c r="CR96" s="110">
        <f t="shared" si="526"/>
        <v>0</v>
      </c>
      <c r="CS96" s="110">
        <f t="shared" si="527"/>
        <v>0</v>
      </c>
      <c r="CU96" s="111"/>
      <c r="CV96" s="110">
        <f t="shared" si="528"/>
        <v>-126.10000000000002</v>
      </c>
      <c r="CW96" s="110">
        <f t="shared" si="529"/>
        <v>0</v>
      </c>
      <c r="CX96" s="110">
        <f t="shared" si="530"/>
        <v>0</v>
      </c>
      <c r="CY96" s="110">
        <f t="shared" si="531"/>
        <v>0</v>
      </c>
      <c r="CZ96" s="110">
        <f t="shared" si="532"/>
        <v>0</v>
      </c>
      <c r="DA96" s="110">
        <f t="shared" si="533"/>
        <v>0</v>
      </c>
      <c r="DB96" s="110">
        <f t="shared" si="534"/>
        <v>0</v>
      </c>
      <c r="DC96" s="110">
        <f t="shared" si="535"/>
        <v>0</v>
      </c>
      <c r="DD96" s="110">
        <f t="shared" si="536"/>
        <v>0</v>
      </c>
      <c r="DE96" s="110">
        <f t="shared" si="537"/>
        <v>0</v>
      </c>
      <c r="DF96" s="110">
        <f t="shared" si="538"/>
        <v>0</v>
      </c>
      <c r="DG96" s="110">
        <f t="shared" si="539"/>
        <v>0</v>
      </c>
      <c r="DI96" s="111"/>
      <c r="DJ96" s="110">
        <f t="shared" si="540"/>
        <v>0</v>
      </c>
      <c r="DK96" s="110">
        <f t="shared" si="541"/>
        <v>0</v>
      </c>
      <c r="DL96" s="110">
        <f t="shared" si="542"/>
        <v>0</v>
      </c>
      <c r="DM96" s="110">
        <f t="shared" si="543"/>
        <v>0</v>
      </c>
      <c r="DN96" s="110">
        <f t="shared" si="544"/>
        <v>0</v>
      </c>
      <c r="DO96" s="110">
        <f t="shared" si="545"/>
        <v>0</v>
      </c>
      <c r="DP96" s="110">
        <f t="shared" si="546"/>
        <v>0</v>
      </c>
      <c r="DQ96" s="110">
        <f t="shared" si="547"/>
        <v>0</v>
      </c>
      <c r="DR96" s="110">
        <f t="shared" si="548"/>
        <v>0</v>
      </c>
      <c r="DS96" s="110">
        <f t="shared" si="549"/>
        <v>0</v>
      </c>
      <c r="DT96" s="110">
        <f t="shared" si="550"/>
        <v>6.2700000000000102</v>
      </c>
      <c r="DU96" s="110">
        <f t="shared" si="551"/>
        <v>0</v>
      </c>
      <c r="DW96" s="111"/>
      <c r="DX96" s="110">
        <f t="shared" si="552"/>
        <v>0</v>
      </c>
      <c r="DY96" s="110">
        <f t="shared" si="553"/>
        <v>0</v>
      </c>
      <c r="DZ96" s="110">
        <f t="shared" si="554"/>
        <v>0</v>
      </c>
      <c r="EA96" s="110">
        <f t="shared" si="555"/>
        <v>0</v>
      </c>
      <c r="EB96" s="110">
        <f t="shared" si="556"/>
        <v>0</v>
      </c>
      <c r="EC96" s="110">
        <f t="shared" si="557"/>
        <v>0</v>
      </c>
      <c r="ED96" s="110">
        <f t="shared" si="558"/>
        <v>0</v>
      </c>
      <c r="EE96" s="110">
        <f t="shared" si="559"/>
        <v>0</v>
      </c>
      <c r="EF96" s="110">
        <f t="shared" si="560"/>
        <v>0</v>
      </c>
      <c r="EG96" s="110">
        <f t="shared" si="561"/>
        <v>0</v>
      </c>
      <c r="EH96" s="110">
        <f t="shared" si="562"/>
        <v>0</v>
      </c>
      <c r="EI96" s="110">
        <f t="shared" si="563"/>
        <v>0</v>
      </c>
      <c r="EK96" s="111"/>
      <c r="EL96" s="110">
        <f t="shared" si="564"/>
        <v>-126.10000000000002</v>
      </c>
      <c r="EM96" s="110">
        <f t="shared" si="565"/>
        <v>0</v>
      </c>
      <c r="EN96" s="110">
        <f t="shared" si="566"/>
        <v>6.2700000000000102</v>
      </c>
      <c r="EP96" s="109" cm="1">
        <f t="array" ref="EP96">+IFERROR(INDEX($C$3:$AM$3,MATCH(TRUE,INDEX($C96:$AM96&lt;&gt;0,0),0)),"N/A")</f>
        <v>44926</v>
      </c>
      <c r="EQ96" s="112"/>
      <c r="ER96" s="1" t="str" cm="1">
        <f t="array" ref="ER96">+_xlfn.IFS(EW96&lt;&gt;0,EW$2,FB96&lt;&gt;0,FB$2,FG96&lt;&gt;0,FG$2,FL96&lt;&gt;0,FL$2,TRUE,"")</f>
        <v>Downsell</v>
      </c>
      <c r="ES96" s="1" t="str" cm="1">
        <f t="array" ref="ES96">+_xlfn.IFS(EX96&lt;&gt;0,EX$2,FC96&lt;&gt;0,FC$2,FH96&lt;&gt;0,FH$2,FM96&lt;&gt;0,FM$2,TRUE,"")</f>
        <v/>
      </c>
      <c r="ET96" s="1" t="str" cm="1">
        <f t="array" ref="ET96">+_xlfn.IFS(EY96&lt;&gt;0,EY$2,FD96&lt;&gt;0,FD$2,FI96&lt;&gt;0,FI$2,FN96&lt;&gt;0,FN$2,TRUE,"")</f>
        <v>Upsell</v>
      </c>
      <c r="EV96" s="111"/>
      <c r="EW96" s="110">
        <f t="shared" si="567"/>
        <v>0</v>
      </c>
      <c r="EX96" s="110">
        <f t="shared" si="568"/>
        <v>0</v>
      </c>
      <c r="EY96" s="110">
        <f t="shared" si="569"/>
        <v>0</v>
      </c>
      <c r="FA96" s="111"/>
      <c r="FB96" s="110">
        <f t="shared" si="570"/>
        <v>0</v>
      </c>
      <c r="FC96" s="110">
        <f t="shared" si="571"/>
        <v>0</v>
      </c>
      <c r="FD96" s="110">
        <f t="shared" si="572"/>
        <v>0</v>
      </c>
      <c r="FF96" s="111"/>
      <c r="FG96" s="110">
        <f t="shared" si="573"/>
        <v>-126.10000000000002</v>
      </c>
      <c r="FH96" s="110">
        <f t="shared" si="574"/>
        <v>0</v>
      </c>
      <c r="FI96" s="110">
        <f t="shared" si="575"/>
        <v>0</v>
      </c>
      <c r="FK96" s="111"/>
      <c r="FL96" s="110">
        <f t="shared" si="576"/>
        <v>0</v>
      </c>
      <c r="FM96" s="110">
        <f t="shared" si="577"/>
        <v>0</v>
      </c>
      <c r="FN96" s="110">
        <f t="shared" si="578"/>
        <v>6.2700000000000102</v>
      </c>
      <c r="FP96" s="111"/>
      <c r="FQ96" s="110">
        <f t="shared" si="579"/>
        <v>0</v>
      </c>
      <c r="FR96" s="110">
        <f t="shared" si="580"/>
        <v>0</v>
      </c>
      <c r="FS96" s="110">
        <f t="shared" si="581"/>
        <v>0</v>
      </c>
      <c r="FU96" s="111">
        <f t="shared" si="582"/>
        <v>-126.10000000000002</v>
      </c>
      <c r="FV96" s="110">
        <f t="shared" si="583"/>
        <v>-126.10000000000002</v>
      </c>
      <c r="FW96" s="110">
        <f t="shared" si="584"/>
        <v>0</v>
      </c>
      <c r="FX96" s="110">
        <f t="shared" si="585"/>
        <v>0</v>
      </c>
      <c r="FY96" s="110">
        <f t="shared" si="586"/>
        <v>0</v>
      </c>
      <c r="FZ96" s="110">
        <f t="shared" si="587"/>
        <v>0</v>
      </c>
      <c r="GA96" s="110">
        <f t="shared" si="588"/>
        <v>0</v>
      </c>
      <c r="GB96" s="110">
        <f t="shared" si="589"/>
        <v>0</v>
      </c>
      <c r="GC96" s="110">
        <f t="shared" si="590"/>
        <v>0</v>
      </c>
      <c r="GD96" s="110">
        <f t="shared" si="591"/>
        <v>0</v>
      </c>
      <c r="GE96" s="110">
        <f t="shared" si="592"/>
        <v>0</v>
      </c>
      <c r="GF96" s="110">
        <f t="shared" si="593"/>
        <v>0</v>
      </c>
      <c r="GG96" s="110">
        <f t="shared" si="594"/>
        <v>0</v>
      </c>
      <c r="GH96" s="110">
        <f t="shared" si="595"/>
        <v>0</v>
      </c>
      <c r="GI96" s="110">
        <f t="shared" si="596"/>
        <v>0</v>
      </c>
      <c r="GJ96" s="110">
        <f t="shared" si="597"/>
        <v>0</v>
      </c>
      <c r="GK96" s="110">
        <f t="shared" si="598"/>
        <v>0</v>
      </c>
      <c r="GL96" s="110">
        <f t="shared" si="599"/>
        <v>0</v>
      </c>
      <c r="GM96" s="110">
        <f t="shared" si="600"/>
        <v>0</v>
      </c>
      <c r="GN96" s="110">
        <f t="shared" si="601"/>
        <v>6.2700000000000102</v>
      </c>
      <c r="GO96" s="110">
        <f t="shared" si="602"/>
        <v>6.2700000000000102</v>
      </c>
      <c r="GP96" s="110">
        <f t="shared" si="603"/>
        <v>6.2700000000000102</v>
      </c>
      <c r="GQ96" s="110">
        <f t="shared" si="604"/>
        <v>6.2700000000000102</v>
      </c>
      <c r="GR96" s="110">
        <f t="shared" si="605"/>
        <v>6.2700000000000102</v>
      </c>
      <c r="GS96" s="110">
        <f t="shared" si="606"/>
        <v>6.2700000000000102</v>
      </c>
      <c r="GU96" s="109" cm="1">
        <f t="array" ref="GU96">+IFERROR(INDEX($C$3:$AM$3,MATCH(TRUE,INDEX($C96:$AM96&lt;&gt;0,0),0)),"N/A")</f>
        <v>44926</v>
      </c>
      <c r="GV96" s="112" t="str" cm="1">
        <f t="array" ref="GV96">+_xlfn.IFS(HV96&lt;&gt;0,HV$2,IV96&lt;&gt;0,IV$2,JV96&lt;&gt;0,JV$2,KV96&lt;&gt;0,KV$2,TRUE,"")</f>
        <v>Downsell</v>
      </c>
      <c r="GW96" s="1" t="str" cm="1">
        <f t="array" ref="GW96">+_xlfn.IFS(HW96&lt;&gt;0,HW$2,IW96&lt;&gt;0,IW$2,JW96&lt;&gt;0,JW$2,KW96&lt;&gt;0,KW$2,TRUE,"")</f>
        <v>Downsell</v>
      </c>
      <c r="GX96" s="1" t="str" cm="1">
        <f t="array" ref="GX96">+_xlfn.IFS(HX96&lt;&gt;0,HX$2,IX96&lt;&gt;0,IX$2,JX96&lt;&gt;0,JX$2,KX96&lt;&gt;0,KX$2,TRUE,"")</f>
        <v/>
      </c>
      <c r="GY96" s="1" t="str" cm="1">
        <f t="array" ref="GY96">+_xlfn.IFS(HY96&lt;&gt;0,HY$2,IY96&lt;&gt;0,IY$2,JY96&lt;&gt;0,JY$2,KY96&lt;&gt;0,KY$2,TRUE,"")</f>
        <v/>
      </c>
      <c r="GZ96" s="1" t="str" cm="1">
        <f t="array" ref="GZ96">+_xlfn.IFS(HZ96&lt;&gt;0,HZ$2,IZ96&lt;&gt;0,IZ$2,JZ96&lt;&gt;0,JZ$2,KZ96&lt;&gt;0,KZ$2,TRUE,"")</f>
        <v/>
      </c>
      <c r="HA96" s="1" t="str" cm="1">
        <f t="array" ref="HA96">+_xlfn.IFS(IA96&lt;&gt;0,IA$2,JA96&lt;&gt;0,JA$2,KA96&lt;&gt;0,KA$2,LA96&lt;&gt;0,LA$2,TRUE,"")</f>
        <v/>
      </c>
      <c r="HB96" s="1" t="str" cm="1">
        <f t="array" ref="HB96">+_xlfn.IFS(IB96&lt;&gt;0,IB$2,JB96&lt;&gt;0,JB$2,KB96&lt;&gt;0,KB$2,LB96&lt;&gt;0,LB$2,TRUE,"")</f>
        <v/>
      </c>
      <c r="HC96" s="1" t="str" cm="1">
        <f t="array" ref="HC96">+_xlfn.IFS(IC96&lt;&gt;0,IC$2,JC96&lt;&gt;0,JC$2,KC96&lt;&gt;0,KC$2,LC96&lt;&gt;0,LC$2,TRUE,"")</f>
        <v/>
      </c>
      <c r="HD96" s="1" t="str" cm="1">
        <f t="array" ref="HD96">+_xlfn.IFS(ID96&lt;&gt;0,ID$2,JD96&lt;&gt;0,JD$2,KD96&lt;&gt;0,KD$2,LD96&lt;&gt;0,LD$2,TRUE,"")</f>
        <v/>
      </c>
      <c r="HE96" s="1" t="str" cm="1">
        <f t="array" ref="HE96">+_xlfn.IFS(IE96&lt;&gt;0,IE$2,JE96&lt;&gt;0,JE$2,KE96&lt;&gt;0,KE$2,LE96&lt;&gt;0,LE$2,TRUE,"")</f>
        <v/>
      </c>
      <c r="HF96" s="1" t="str" cm="1">
        <f t="array" ref="HF96">+_xlfn.IFS(IF96&lt;&gt;0,IF$2,JF96&lt;&gt;0,JF$2,KF96&lt;&gt;0,KF$2,LF96&lt;&gt;0,LF$2,TRUE,"")</f>
        <v/>
      </c>
      <c r="HG96" s="1" t="str" cm="1">
        <f t="array" ref="HG96">+_xlfn.IFS(IG96&lt;&gt;0,IG$2,JG96&lt;&gt;0,JG$2,KG96&lt;&gt;0,KG$2,LG96&lt;&gt;0,LG$2,TRUE,"")</f>
        <v/>
      </c>
      <c r="HH96" s="1" t="str" cm="1">
        <f t="array" ref="HH96">+_xlfn.IFS(IH96&lt;&gt;0,IH$2,JH96&lt;&gt;0,JH$2,KH96&lt;&gt;0,KH$2,LH96&lt;&gt;0,LH$2,TRUE,"")</f>
        <v/>
      </c>
      <c r="HI96" s="1" t="str" cm="1">
        <f t="array" ref="HI96">+_xlfn.IFS(II96&lt;&gt;0,II$2,JI96&lt;&gt;0,JI$2,KI96&lt;&gt;0,KI$2,LI96&lt;&gt;0,LI$2,TRUE,"")</f>
        <v/>
      </c>
      <c r="HJ96" s="1" t="str" cm="1">
        <f t="array" ref="HJ96">+_xlfn.IFS(IJ96&lt;&gt;0,IJ$2,JJ96&lt;&gt;0,JJ$2,KJ96&lt;&gt;0,KJ$2,LJ96&lt;&gt;0,LJ$2,TRUE,"")</f>
        <v/>
      </c>
      <c r="HK96" s="1" t="str" cm="1">
        <f t="array" ref="HK96">+_xlfn.IFS(IK96&lt;&gt;0,IK$2,JK96&lt;&gt;0,JK$2,KK96&lt;&gt;0,KK$2,LK96&lt;&gt;0,LK$2,TRUE,"")</f>
        <v/>
      </c>
      <c r="HL96" s="1" t="str" cm="1">
        <f t="array" ref="HL96">+_xlfn.IFS(IL96&lt;&gt;0,IL$2,JL96&lt;&gt;0,JL$2,KL96&lt;&gt;0,KL$2,LL96&lt;&gt;0,LL$2,TRUE,"")</f>
        <v/>
      </c>
      <c r="HM96" s="1" t="str" cm="1">
        <f t="array" ref="HM96">+_xlfn.IFS(IM96&lt;&gt;0,IM$2,JM96&lt;&gt;0,JM$2,KM96&lt;&gt;0,KM$2,LM96&lt;&gt;0,LM$2,TRUE,"")</f>
        <v/>
      </c>
      <c r="HN96" s="1" t="str" cm="1">
        <f t="array" ref="HN96">+_xlfn.IFS(IN96&lt;&gt;0,IN$2,JN96&lt;&gt;0,JN$2,KN96&lt;&gt;0,KN$2,LN96&lt;&gt;0,LN$2,TRUE,"")</f>
        <v/>
      </c>
      <c r="HO96" s="1" t="str" cm="1">
        <f t="array" ref="HO96">+_xlfn.IFS(IO96&lt;&gt;0,IO$2,JO96&lt;&gt;0,JO$2,KO96&lt;&gt;0,KO$2,LO96&lt;&gt;0,LO$2,TRUE,"")</f>
        <v>Upsell</v>
      </c>
      <c r="HP96" s="1" t="str" cm="1">
        <f t="array" ref="HP96">+_xlfn.IFS(IP96&lt;&gt;0,IP$2,JP96&lt;&gt;0,JP$2,KP96&lt;&gt;0,KP$2,LP96&lt;&gt;0,LP$2,TRUE,"")</f>
        <v>Upsell</v>
      </c>
      <c r="HQ96" s="1" t="str" cm="1">
        <f t="array" ref="HQ96">+_xlfn.IFS(IQ96&lt;&gt;0,IQ$2,JQ96&lt;&gt;0,JQ$2,KQ96&lt;&gt;0,KQ$2,LQ96&lt;&gt;0,LQ$2,TRUE,"")</f>
        <v>Upsell</v>
      </c>
      <c r="HR96" s="1" t="str" cm="1">
        <f t="array" ref="HR96">+_xlfn.IFS(IR96&lt;&gt;0,IR$2,JR96&lt;&gt;0,JR$2,KR96&lt;&gt;0,KR$2,LR96&lt;&gt;0,LR$2,TRUE,"")</f>
        <v>Upsell</v>
      </c>
      <c r="HS96" s="1" t="str" cm="1">
        <f t="array" ref="HS96">+_xlfn.IFS(IS96&lt;&gt;0,IS$2,JS96&lt;&gt;0,JS$2,KS96&lt;&gt;0,KS$2,LS96&lt;&gt;0,LS$2,TRUE,"")</f>
        <v>Upsell</v>
      </c>
      <c r="HT96" s="1" t="str" cm="1">
        <f t="array" ref="HT96">+_xlfn.IFS(IT96&lt;&gt;0,IT$2,JT96&lt;&gt;0,JT$2,KT96&lt;&gt;0,KT$2,LT96&lt;&gt;0,LT$2,TRUE,"")</f>
        <v>Upsell</v>
      </c>
      <c r="HV96" s="111">
        <f t="shared" si="607"/>
        <v>0</v>
      </c>
      <c r="HW96" s="110">
        <f t="shared" si="608"/>
        <v>0</v>
      </c>
      <c r="HX96" s="110">
        <f t="shared" si="609"/>
        <v>0</v>
      </c>
      <c r="HY96" s="110">
        <f t="shared" si="610"/>
        <v>0</v>
      </c>
      <c r="HZ96" s="110">
        <f t="shared" si="611"/>
        <v>0</v>
      </c>
      <c r="IA96" s="110">
        <f t="shared" si="612"/>
        <v>0</v>
      </c>
      <c r="IB96" s="110">
        <f t="shared" si="613"/>
        <v>0</v>
      </c>
      <c r="IC96" s="110">
        <f t="shared" si="614"/>
        <v>0</v>
      </c>
      <c r="ID96" s="110">
        <f t="shared" si="615"/>
        <v>0</v>
      </c>
      <c r="IE96" s="110">
        <f t="shared" si="616"/>
        <v>0</v>
      </c>
      <c r="IF96" s="110">
        <f t="shared" si="617"/>
        <v>0</v>
      </c>
      <c r="IG96" s="110">
        <f t="shared" si="618"/>
        <v>0</v>
      </c>
      <c r="IH96" s="110">
        <f t="shared" si="619"/>
        <v>0</v>
      </c>
      <c r="II96" s="110">
        <f t="shared" si="620"/>
        <v>0</v>
      </c>
      <c r="IJ96" s="110">
        <f t="shared" si="621"/>
        <v>0</v>
      </c>
      <c r="IK96" s="110">
        <f t="shared" si="622"/>
        <v>0</v>
      </c>
      <c r="IL96" s="110">
        <f t="shared" si="623"/>
        <v>0</v>
      </c>
      <c r="IM96" s="110">
        <f t="shared" si="624"/>
        <v>0</v>
      </c>
      <c r="IN96" s="110">
        <f t="shared" si="625"/>
        <v>0</v>
      </c>
      <c r="IO96" s="110">
        <f t="shared" si="626"/>
        <v>0</v>
      </c>
      <c r="IP96" s="110">
        <f t="shared" si="627"/>
        <v>0</v>
      </c>
      <c r="IQ96" s="110">
        <f t="shared" si="628"/>
        <v>0</v>
      </c>
      <c r="IR96" s="110">
        <f t="shared" si="629"/>
        <v>0</v>
      </c>
      <c r="IS96" s="110">
        <f t="shared" si="630"/>
        <v>0</v>
      </c>
      <c r="IT96" s="110">
        <f t="shared" si="631"/>
        <v>0</v>
      </c>
      <c r="IV96" s="111">
        <f t="shared" si="632"/>
        <v>0</v>
      </c>
      <c r="IW96" s="110">
        <f t="shared" si="633"/>
        <v>0</v>
      </c>
      <c r="IX96" s="110">
        <f t="shared" si="634"/>
        <v>0</v>
      </c>
      <c r="IY96" s="110">
        <f t="shared" si="635"/>
        <v>0</v>
      </c>
      <c r="IZ96" s="110">
        <f t="shared" si="636"/>
        <v>0</v>
      </c>
      <c r="JA96" s="110">
        <f t="shared" si="637"/>
        <v>0</v>
      </c>
      <c r="JB96" s="110">
        <f t="shared" si="638"/>
        <v>0</v>
      </c>
      <c r="JC96" s="110">
        <f t="shared" si="639"/>
        <v>0</v>
      </c>
      <c r="JD96" s="110">
        <f t="shared" si="640"/>
        <v>0</v>
      </c>
      <c r="JE96" s="110">
        <f t="shared" si="641"/>
        <v>0</v>
      </c>
      <c r="JF96" s="110">
        <f t="shared" si="642"/>
        <v>0</v>
      </c>
      <c r="JG96" s="110">
        <f t="shared" si="643"/>
        <v>0</v>
      </c>
      <c r="JH96" s="110">
        <f t="shared" si="644"/>
        <v>0</v>
      </c>
      <c r="JI96" s="110">
        <f t="shared" si="645"/>
        <v>0</v>
      </c>
      <c r="JJ96" s="110">
        <f t="shared" si="646"/>
        <v>0</v>
      </c>
      <c r="JK96" s="110">
        <f t="shared" si="647"/>
        <v>0</v>
      </c>
      <c r="JL96" s="110">
        <f t="shared" si="648"/>
        <v>0</v>
      </c>
      <c r="JM96" s="110">
        <f t="shared" si="649"/>
        <v>0</v>
      </c>
      <c r="JN96" s="110">
        <f t="shared" si="650"/>
        <v>0</v>
      </c>
      <c r="JO96" s="110">
        <f t="shared" si="651"/>
        <v>0</v>
      </c>
      <c r="JP96" s="110">
        <f t="shared" si="652"/>
        <v>0</v>
      </c>
      <c r="JQ96" s="110">
        <f t="shared" si="653"/>
        <v>0</v>
      </c>
      <c r="JR96" s="110">
        <f t="shared" si="654"/>
        <v>0</v>
      </c>
      <c r="JS96" s="110">
        <f t="shared" si="655"/>
        <v>0</v>
      </c>
      <c r="JT96" s="110">
        <f t="shared" si="656"/>
        <v>0</v>
      </c>
      <c r="JV96" s="111">
        <f t="shared" si="657"/>
        <v>-126.10000000000002</v>
      </c>
      <c r="JW96" s="110">
        <f t="shared" si="658"/>
        <v>-126.10000000000002</v>
      </c>
      <c r="JX96" s="110">
        <f t="shared" si="659"/>
        <v>0</v>
      </c>
      <c r="JY96" s="110">
        <f t="shared" si="660"/>
        <v>0</v>
      </c>
      <c r="JZ96" s="110">
        <f t="shared" si="661"/>
        <v>0</v>
      </c>
      <c r="KA96" s="110">
        <f t="shared" si="662"/>
        <v>0</v>
      </c>
      <c r="KB96" s="110">
        <f t="shared" si="663"/>
        <v>0</v>
      </c>
      <c r="KC96" s="110">
        <f t="shared" si="664"/>
        <v>0</v>
      </c>
      <c r="KD96" s="110">
        <f t="shared" si="665"/>
        <v>0</v>
      </c>
      <c r="KE96" s="110">
        <f t="shared" si="666"/>
        <v>0</v>
      </c>
      <c r="KF96" s="110">
        <f t="shared" si="667"/>
        <v>0</v>
      </c>
      <c r="KG96" s="110">
        <f t="shared" si="668"/>
        <v>0</v>
      </c>
      <c r="KH96" s="110">
        <f t="shared" si="669"/>
        <v>0</v>
      </c>
      <c r="KI96" s="110">
        <f t="shared" si="670"/>
        <v>0</v>
      </c>
      <c r="KJ96" s="110">
        <f t="shared" si="671"/>
        <v>0</v>
      </c>
      <c r="KK96" s="110">
        <f t="shared" si="672"/>
        <v>0</v>
      </c>
      <c r="KL96" s="110">
        <f t="shared" si="673"/>
        <v>0</v>
      </c>
      <c r="KM96" s="110">
        <f t="shared" si="674"/>
        <v>0</v>
      </c>
      <c r="KN96" s="110">
        <f t="shared" si="675"/>
        <v>0</v>
      </c>
      <c r="KO96" s="110">
        <f t="shared" si="676"/>
        <v>0</v>
      </c>
      <c r="KP96" s="110">
        <f t="shared" si="677"/>
        <v>0</v>
      </c>
      <c r="KQ96" s="110">
        <f t="shared" si="678"/>
        <v>0</v>
      </c>
      <c r="KR96" s="110">
        <f t="shared" si="679"/>
        <v>0</v>
      </c>
      <c r="KS96" s="110">
        <f t="shared" si="680"/>
        <v>0</v>
      </c>
      <c r="KT96" s="110">
        <f t="shared" si="681"/>
        <v>0</v>
      </c>
      <c r="KV96" s="111">
        <f t="shared" si="682"/>
        <v>0</v>
      </c>
      <c r="KW96" s="110">
        <f t="shared" si="683"/>
        <v>0</v>
      </c>
      <c r="KX96" s="110">
        <f t="shared" si="684"/>
        <v>0</v>
      </c>
      <c r="KY96" s="110">
        <f t="shared" si="685"/>
        <v>0</v>
      </c>
      <c r="KZ96" s="110">
        <f t="shared" si="686"/>
        <v>0</v>
      </c>
      <c r="LA96" s="110">
        <f t="shared" si="687"/>
        <v>0</v>
      </c>
      <c r="LB96" s="110">
        <f t="shared" si="688"/>
        <v>0</v>
      </c>
      <c r="LC96" s="110">
        <f t="shared" si="689"/>
        <v>0</v>
      </c>
      <c r="LD96" s="110">
        <f t="shared" si="690"/>
        <v>0</v>
      </c>
      <c r="LE96" s="110">
        <f t="shared" si="691"/>
        <v>0</v>
      </c>
      <c r="LF96" s="110">
        <f t="shared" si="692"/>
        <v>0</v>
      </c>
      <c r="LG96" s="110">
        <f t="shared" si="693"/>
        <v>0</v>
      </c>
      <c r="LH96" s="110">
        <f t="shared" si="694"/>
        <v>0</v>
      </c>
      <c r="LI96" s="110">
        <f t="shared" si="695"/>
        <v>0</v>
      </c>
      <c r="LJ96" s="110">
        <f t="shared" si="696"/>
        <v>0</v>
      </c>
      <c r="LK96" s="110">
        <f t="shared" si="697"/>
        <v>0</v>
      </c>
      <c r="LL96" s="110">
        <f t="shared" si="698"/>
        <v>0</v>
      </c>
      <c r="LM96" s="110">
        <f t="shared" si="699"/>
        <v>0</v>
      </c>
      <c r="LN96" s="110">
        <f t="shared" si="700"/>
        <v>0</v>
      </c>
      <c r="LO96" s="110">
        <f t="shared" si="701"/>
        <v>6.2700000000000102</v>
      </c>
      <c r="LP96" s="110">
        <f t="shared" si="702"/>
        <v>6.2700000000000102</v>
      </c>
      <c r="LQ96" s="110">
        <f t="shared" si="703"/>
        <v>6.2700000000000102</v>
      </c>
      <c r="LR96" s="110">
        <f t="shared" si="704"/>
        <v>6.2700000000000102</v>
      </c>
      <c r="LS96" s="110">
        <f t="shared" si="705"/>
        <v>6.2700000000000102</v>
      </c>
      <c r="LT96" s="110">
        <f t="shared" si="706"/>
        <v>6.2700000000000102</v>
      </c>
      <c r="LV96" s="111"/>
      <c r="LW96" s="110">
        <f t="shared" si="707"/>
        <v>0</v>
      </c>
      <c r="LX96" s="110">
        <f t="shared" si="708"/>
        <v>0</v>
      </c>
      <c r="LY96" s="110">
        <f t="shared" si="709"/>
        <v>0</v>
      </c>
      <c r="LZ96" s="110">
        <f t="shared" si="710"/>
        <v>0</v>
      </c>
      <c r="MA96" s="110">
        <f t="shared" si="711"/>
        <v>0</v>
      </c>
      <c r="MB96" s="110">
        <f t="shared" si="712"/>
        <v>0</v>
      </c>
      <c r="MC96" s="110">
        <f t="shared" si="713"/>
        <v>0</v>
      </c>
      <c r="MD96" s="110">
        <f t="shared" si="714"/>
        <v>0</v>
      </c>
      <c r="ME96" s="110">
        <f t="shared" si="715"/>
        <v>0</v>
      </c>
      <c r="MF96" s="110">
        <f t="shared" si="716"/>
        <v>0</v>
      </c>
      <c r="MG96" s="110">
        <f t="shared" si="717"/>
        <v>0</v>
      </c>
      <c r="MH96" s="110">
        <f t="shared" si="718"/>
        <v>0</v>
      </c>
      <c r="MI96" s="110">
        <f t="shared" si="719"/>
        <v>0</v>
      </c>
      <c r="MJ96" s="110">
        <f t="shared" si="720"/>
        <v>0</v>
      </c>
      <c r="MK96" s="110">
        <f t="shared" si="721"/>
        <v>0</v>
      </c>
      <c r="ML96" s="110">
        <f t="shared" si="722"/>
        <v>0</v>
      </c>
      <c r="MM96" s="110">
        <f t="shared" si="723"/>
        <v>0</v>
      </c>
      <c r="MN96" s="110">
        <f t="shared" si="724"/>
        <v>0</v>
      </c>
      <c r="MO96" s="110">
        <f t="shared" si="725"/>
        <v>0</v>
      </c>
      <c r="MP96" s="110">
        <f t="shared" si="726"/>
        <v>0</v>
      </c>
      <c r="MQ96" s="110">
        <f t="shared" si="727"/>
        <v>0</v>
      </c>
      <c r="MR96" s="110">
        <f t="shared" si="728"/>
        <v>0</v>
      </c>
      <c r="MS96" s="110">
        <f t="shared" si="729"/>
        <v>0</v>
      </c>
      <c r="MT96" s="110">
        <f t="shared" si="730"/>
        <v>0</v>
      </c>
      <c r="MV96" s="114">
        <v>185.27</v>
      </c>
      <c r="MW96" s="114">
        <v>0</v>
      </c>
      <c r="MX96" s="114">
        <v>6.2700000000000102</v>
      </c>
      <c r="MY96" s="114">
        <v>0</v>
      </c>
      <c r="MZ96" s="114">
        <v>0</v>
      </c>
      <c r="NB96" s="115">
        <v>66</v>
      </c>
      <c r="NC96" s="115" t="str">
        <v>N/A</v>
      </c>
      <c r="ND96" s="115">
        <v>46</v>
      </c>
      <c r="NE96" s="115" t="str">
        <v>N/A</v>
      </c>
      <c r="NF96" s="115" t="str">
        <v>N/A</v>
      </c>
    </row>
    <row r="97" spans="2:370" ht="13.5" x14ac:dyDescent="0.25">
      <c r="B97" s="8">
        <f t="shared" si="731"/>
        <v>94</v>
      </c>
      <c r="C97" s="7">
        <v>349</v>
      </c>
      <c r="D97" s="7">
        <v>349</v>
      </c>
      <c r="E97" s="7">
        <v>349</v>
      </c>
      <c r="F97" s="7">
        <v>349</v>
      </c>
      <c r="G97" s="7">
        <v>349</v>
      </c>
      <c r="H97" s="7">
        <v>349</v>
      </c>
      <c r="I97" s="7">
        <v>349</v>
      </c>
      <c r="J97" s="7">
        <v>349</v>
      </c>
      <c r="K97" s="7">
        <v>349</v>
      </c>
      <c r="L97" s="7">
        <v>349</v>
      </c>
      <c r="M97" s="7">
        <v>349</v>
      </c>
      <c r="N97" s="7">
        <v>349</v>
      </c>
      <c r="O97" s="7">
        <v>349</v>
      </c>
      <c r="P97" s="7">
        <v>349</v>
      </c>
      <c r="Q97" s="7">
        <v>349</v>
      </c>
      <c r="R97" s="7">
        <v>349</v>
      </c>
      <c r="S97" s="7">
        <v>349</v>
      </c>
      <c r="T97" s="7">
        <v>349</v>
      </c>
      <c r="U97" s="7">
        <v>349</v>
      </c>
      <c r="V97" s="7">
        <v>349</v>
      </c>
      <c r="W97" s="7">
        <v>349</v>
      </c>
      <c r="X97" s="7">
        <v>349</v>
      </c>
      <c r="Y97" s="7">
        <v>364.75</v>
      </c>
      <c r="Z97" s="7">
        <v>361.22</v>
      </c>
      <c r="AA97" s="7">
        <v>361.22</v>
      </c>
      <c r="AB97" s="7">
        <v>361.22</v>
      </c>
      <c r="AC97" s="7">
        <v>361.22</v>
      </c>
      <c r="AD97" s="7">
        <v>361.22</v>
      </c>
      <c r="AE97" s="7">
        <v>361.22</v>
      </c>
      <c r="AF97" s="7">
        <v>361.22</v>
      </c>
      <c r="AG97" s="7">
        <v>361.22</v>
      </c>
      <c r="AH97" s="7">
        <v>361.22</v>
      </c>
      <c r="AI97" s="7">
        <v>361.22</v>
      </c>
      <c r="AJ97" s="7">
        <v>373.86</v>
      </c>
      <c r="AK97" s="7">
        <v>373.86</v>
      </c>
      <c r="AL97" s="7">
        <v>373.86</v>
      </c>
      <c r="AM97" s="7">
        <v>373.86</v>
      </c>
      <c r="AN97" s="27">
        <v>94</v>
      </c>
      <c r="AP97" s="111"/>
      <c r="AQ97" s="110">
        <f t="shared" si="492"/>
        <v>0</v>
      </c>
      <c r="AR97" s="110">
        <f t="shared" si="493"/>
        <v>0</v>
      </c>
      <c r="AS97" s="110">
        <f t="shared" si="494"/>
        <v>0</v>
      </c>
      <c r="AT97" s="110">
        <f t="shared" si="495"/>
        <v>0</v>
      </c>
      <c r="AU97" s="110">
        <f t="shared" si="496"/>
        <v>0</v>
      </c>
      <c r="AV97" s="110">
        <f t="shared" si="497"/>
        <v>0</v>
      </c>
      <c r="AW97" s="110">
        <f t="shared" si="498"/>
        <v>0</v>
      </c>
      <c r="AX97" s="110">
        <f t="shared" si="499"/>
        <v>12.220000000000027</v>
      </c>
      <c r="AY97" s="110">
        <f t="shared" si="500"/>
        <v>0</v>
      </c>
      <c r="AZ97" s="110">
        <f t="shared" si="501"/>
        <v>0</v>
      </c>
      <c r="BA97" s="110">
        <f t="shared" si="502"/>
        <v>12.639999999999986</v>
      </c>
      <c r="BB97" s="110">
        <f t="shared" si="503"/>
        <v>0</v>
      </c>
      <c r="BD97" s="109" cm="1">
        <f t="array" ref="BD97">+IFERROR(INDEX($C$3:$AM$3,MATCH(TRUE,INDEX($C97:$AM97&lt;&gt;0,0),0)),"N/A")</f>
        <v>44926</v>
      </c>
      <c r="BE97" s="112"/>
      <c r="BF97" s="1" t="str" cm="1">
        <f t="array" ref="BF97">+_xlfn.IFS(BT97&lt;&gt;0,BT$2,CH97&lt;&gt;0,CH$2,CV97&lt;&gt;0,CV$2,DJ97&lt;&gt;0,DJ$2,TRUE,"")</f>
        <v/>
      </c>
      <c r="BG97" s="1" t="str" cm="1">
        <f t="array" ref="BG97">+_xlfn.IFS(BU97&lt;&gt;0,BU$2,CI97&lt;&gt;0,CI$2,CW97&lt;&gt;0,CW$2,DK97&lt;&gt;0,DK$2,TRUE,"")</f>
        <v/>
      </c>
      <c r="BH97" s="1" t="str" cm="1">
        <f t="array" ref="BH97">+_xlfn.IFS(BV97&lt;&gt;0,BV$2,CJ97&lt;&gt;0,CJ$2,CX97&lt;&gt;0,CX$2,DL97&lt;&gt;0,DL$2,TRUE,"")</f>
        <v/>
      </c>
      <c r="BI97" s="1" t="str" cm="1">
        <f t="array" ref="BI97">+_xlfn.IFS(BW97&lt;&gt;0,BW$2,CK97&lt;&gt;0,CK$2,CY97&lt;&gt;0,CY$2,DM97&lt;&gt;0,DM$2,TRUE,"")</f>
        <v/>
      </c>
      <c r="BJ97" s="1" t="str" cm="1">
        <f t="array" ref="BJ97">+_xlfn.IFS(BX97&lt;&gt;0,BX$2,CL97&lt;&gt;0,CL$2,CZ97&lt;&gt;0,CZ$2,DN97&lt;&gt;0,DN$2,TRUE,"")</f>
        <v/>
      </c>
      <c r="BK97" s="1" t="str" cm="1">
        <f t="array" ref="BK97">+_xlfn.IFS(BY97&lt;&gt;0,BY$2,CM97&lt;&gt;0,CM$2,DA97&lt;&gt;0,DA$2,DO97&lt;&gt;0,DO$2,TRUE,"")</f>
        <v/>
      </c>
      <c r="BL97" s="1" t="str" cm="1">
        <f t="array" ref="BL97">+_xlfn.IFS(BZ97&lt;&gt;0,BZ$2,CN97&lt;&gt;0,CN$2,DB97&lt;&gt;0,DB$2,DP97&lt;&gt;0,DP$2,TRUE,"")</f>
        <v/>
      </c>
      <c r="BM97" s="1" t="str" cm="1">
        <f t="array" ref="BM97">+_xlfn.IFS(CA97&lt;&gt;0,CA$2,CO97&lt;&gt;0,CO$2,DC97&lt;&gt;0,DC$2,DQ97&lt;&gt;0,DQ$2,TRUE,"")</f>
        <v>Upsell</v>
      </c>
      <c r="BN97" s="1" t="str" cm="1">
        <f t="array" ref="BN97">+_xlfn.IFS(CB97&lt;&gt;0,CB$2,CP97&lt;&gt;0,CP$2,DD97&lt;&gt;0,DD$2,DR97&lt;&gt;0,DR$2,TRUE,"")</f>
        <v/>
      </c>
      <c r="BO97" s="1" t="str" cm="1">
        <f t="array" ref="BO97">+_xlfn.IFS(CC97&lt;&gt;0,CC$2,CQ97&lt;&gt;0,CQ$2,DE97&lt;&gt;0,DE$2,DS97&lt;&gt;0,DS$2,TRUE,"")</f>
        <v/>
      </c>
      <c r="BP97" s="1" t="str" cm="1">
        <f t="array" ref="BP97">+_xlfn.IFS(CD97&lt;&gt;0,CD$2,CR97&lt;&gt;0,CR$2,DF97&lt;&gt;0,DF$2,DT97&lt;&gt;0,DT$2,TRUE,"")</f>
        <v>Upsell</v>
      </c>
      <c r="BQ97" s="1" t="str" cm="1">
        <f t="array" ref="BQ97">+_xlfn.IFS(CE97&lt;&gt;0,CE$2,CS97&lt;&gt;0,CS$2,DG97&lt;&gt;0,DG$2,DU97&lt;&gt;0,DU$2,TRUE,"")</f>
        <v/>
      </c>
      <c r="BS97" s="111"/>
      <c r="BT97" s="110">
        <f t="shared" si="504"/>
        <v>0</v>
      </c>
      <c r="BU97" s="110">
        <f t="shared" si="505"/>
        <v>0</v>
      </c>
      <c r="BV97" s="110">
        <f t="shared" si="506"/>
        <v>0</v>
      </c>
      <c r="BW97" s="110">
        <f t="shared" si="507"/>
        <v>0</v>
      </c>
      <c r="BX97" s="110">
        <f t="shared" si="508"/>
        <v>0</v>
      </c>
      <c r="BY97" s="110">
        <f t="shared" si="509"/>
        <v>0</v>
      </c>
      <c r="BZ97" s="110">
        <f t="shared" si="510"/>
        <v>0</v>
      </c>
      <c r="CA97" s="110">
        <f t="shared" si="511"/>
        <v>0</v>
      </c>
      <c r="CB97" s="110">
        <f t="shared" si="512"/>
        <v>0</v>
      </c>
      <c r="CC97" s="110">
        <f t="shared" si="513"/>
        <v>0</v>
      </c>
      <c r="CD97" s="110">
        <f t="shared" si="514"/>
        <v>0</v>
      </c>
      <c r="CE97" s="110">
        <f t="shared" si="515"/>
        <v>0</v>
      </c>
      <c r="CG97" s="111"/>
      <c r="CH97" s="110">
        <f t="shared" si="516"/>
        <v>0</v>
      </c>
      <c r="CI97" s="110">
        <f t="shared" si="517"/>
        <v>0</v>
      </c>
      <c r="CJ97" s="110">
        <f t="shared" si="518"/>
        <v>0</v>
      </c>
      <c r="CK97" s="110">
        <f t="shared" si="519"/>
        <v>0</v>
      </c>
      <c r="CL97" s="110">
        <f t="shared" si="520"/>
        <v>0</v>
      </c>
      <c r="CM97" s="110">
        <f t="shared" si="521"/>
        <v>0</v>
      </c>
      <c r="CN97" s="110">
        <f t="shared" si="522"/>
        <v>0</v>
      </c>
      <c r="CO97" s="110">
        <f t="shared" si="523"/>
        <v>0</v>
      </c>
      <c r="CP97" s="110">
        <f t="shared" si="524"/>
        <v>0</v>
      </c>
      <c r="CQ97" s="110">
        <f t="shared" si="525"/>
        <v>0</v>
      </c>
      <c r="CR97" s="110">
        <f t="shared" si="526"/>
        <v>0</v>
      </c>
      <c r="CS97" s="110">
        <f t="shared" si="527"/>
        <v>0</v>
      </c>
      <c r="CU97" s="111"/>
      <c r="CV97" s="110">
        <f t="shared" si="528"/>
        <v>0</v>
      </c>
      <c r="CW97" s="110">
        <f t="shared" si="529"/>
        <v>0</v>
      </c>
      <c r="CX97" s="110">
        <f t="shared" si="530"/>
        <v>0</v>
      </c>
      <c r="CY97" s="110">
        <f t="shared" si="531"/>
        <v>0</v>
      </c>
      <c r="CZ97" s="110">
        <f t="shared" si="532"/>
        <v>0</v>
      </c>
      <c r="DA97" s="110">
        <f t="shared" si="533"/>
        <v>0</v>
      </c>
      <c r="DB97" s="110">
        <f t="shared" si="534"/>
        <v>0</v>
      </c>
      <c r="DC97" s="110">
        <f t="shared" si="535"/>
        <v>0</v>
      </c>
      <c r="DD97" s="110">
        <f t="shared" si="536"/>
        <v>0</v>
      </c>
      <c r="DE97" s="110">
        <f t="shared" si="537"/>
        <v>0</v>
      </c>
      <c r="DF97" s="110">
        <f t="shared" si="538"/>
        <v>0</v>
      </c>
      <c r="DG97" s="110">
        <f t="shared" si="539"/>
        <v>0</v>
      </c>
      <c r="DI97" s="111"/>
      <c r="DJ97" s="110">
        <f t="shared" si="540"/>
        <v>0</v>
      </c>
      <c r="DK97" s="110">
        <f t="shared" si="541"/>
        <v>0</v>
      </c>
      <c r="DL97" s="110">
        <f t="shared" si="542"/>
        <v>0</v>
      </c>
      <c r="DM97" s="110">
        <f t="shared" si="543"/>
        <v>0</v>
      </c>
      <c r="DN97" s="110">
        <f t="shared" si="544"/>
        <v>0</v>
      </c>
      <c r="DO97" s="110">
        <f t="shared" si="545"/>
        <v>0</v>
      </c>
      <c r="DP97" s="110">
        <f t="shared" si="546"/>
        <v>0</v>
      </c>
      <c r="DQ97" s="110">
        <f t="shared" si="547"/>
        <v>12.220000000000027</v>
      </c>
      <c r="DR97" s="110">
        <f t="shared" si="548"/>
        <v>0</v>
      </c>
      <c r="DS97" s="110">
        <f t="shared" si="549"/>
        <v>0</v>
      </c>
      <c r="DT97" s="110">
        <f t="shared" si="550"/>
        <v>12.639999999999986</v>
      </c>
      <c r="DU97" s="110">
        <f t="shared" si="551"/>
        <v>0</v>
      </c>
      <c r="DW97" s="111"/>
      <c r="DX97" s="110">
        <f t="shared" si="552"/>
        <v>0</v>
      </c>
      <c r="DY97" s="110">
        <f t="shared" si="553"/>
        <v>0</v>
      </c>
      <c r="DZ97" s="110">
        <f t="shared" si="554"/>
        <v>0</v>
      </c>
      <c r="EA97" s="110">
        <f t="shared" si="555"/>
        <v>0</v>
      </c>
      <c r="EB97" s="110">
        <f t="shared" si="556"/>
        <v>0</v>
      </c>
      <c r="EC97" s="110">
        <f t="shared" si="557"/>
        <v>0</v>
      </c>
      <c r="ED97" s="110">
        <f t="shared" si="558"/>
        <v>0</v>
      </c>
      <c r="EE97" s="110">
        <f t="shared" si="559"/>
        <v>0</v>
      </c>
      <c r="EF97" s="110">
        <f t="shared" si="560"/>
        <v>0</v>
      </c>
      <c r="EG97" s="110">
        <f t="shared" si="561"/>
        <v>0</v>
      </c>
      <c r="EH97" s="110">
        <f t="shared" si="562"/>
        <v>0</v>
      </c>
      <c r="EI97" s="110">
        <f t="shared" si="563"/>
        <v>0</v>
      </c>
      <c r="EK97" s="111"/>
      <c r="EL97" s="110">
        <f t="shared" si="564"/>
        <v>0</v>
      </c>
      <c r="EM97" s="110">
        <f t="shared" si="565"/>
        <v>12.220000000000027</v>
      </c>
      <c r="EN97" s="110">
        <f t="shared" si="566"/>
        <v>12.639999999999986</v>
      </c>
      <c r="EP97" s="109" cm="1">
        <f t="array" ref="EP97">+IFERROR(INDEX($C$3:$AM$3,MATCH(TRUE,INDEX($C97:$AM97&lt;&gt;0,0),0)),"N/A")</f>
        <v>44926</v>
      </c>
      <c r="EQ97" s="112"/>
      <c r="ER97" s="1" t="str" cm="1">
        <f t="array" ref="ER97">+_xlfn.IFS(EW97&lt;&gt;0,EW$2,FB97&lt;&gt;0,FB$2,FG97&lt;&gt;0,FG$2,FL97&lt;&gt;0,FL$2,TRUE,"")</f>
        <v/>
      </c>
      <c r="ES97" s="1" t="str" cm="1">
        <f t="array" ref="ES97">+_xlfn.IFS(EX97&lt;&gt;0,EX$2,FC97&lt;&gt;0,FC$2,FH97&lt;&gt;0,FH$2,FM97&lt;&gt;0,FM$2,TRUE,"")</f>
        <v>Upsell</v>
      </c>
      <c r="ET97" s="1" t="str" cm="1">
        <f t="array" ref="ET97">+_xlfn.IFS(EY97&lt;&gt;0,EY$2,FD97&lt;&gt;0,FD$2,FI97&lt;&gt;0,FI$2,FN97&lt;&gt;0,FN$2,TRUE,"")</f>
        <v>Upsell</v>
      </c>
      <c r="EV97" s="111"/>
      <c r="EW97" s="110">
        <f t="shared" si="567"/>
        <v>0</v>
      </c>
      <c r="EX97" s="110">
        <f t="shared" si="568"/>
        <v>0</v>
      </c>
      <c r="EY97" s="110">
        <f t="shared" si="569"/>
        <v>0</v>
      </c>
      <c r="FA97" s="111"/>
      <c r="FB97" s="110">
        <f t="shared" si="570"/>
        <v>0</v>
      </c>
      <c r="FC97" s="110">
        <f t="shared" si="571"/>
        <v>0</v>
      </c>
      <c r="FD97" s="110">
        <f t="shared" si="572"/>
        <v>0</v>
      </c>
      <c r="FF97" s="111"/>
      <c r="FG97" s="110">
        <f t="shared" si="573"/>
        <v>0</v>
      </c>
      <c r="FH97" s="110">
        <f t="shared" si="574"/>
        <v>0</v>
      </c>
      <c r="FI97" s="110">
        <f t="shared" si="575"/>
        <v>0</v>
      </c>
      <c r="FK97" s="111"/>
      <c r="FL97" s="110">
        <f t="shared" si="576"/>
        <v>0</v>
      </c>
      <c r="FM97" s="110">
        <f t="shared" si="577"/>
        <v>12.220000000000027</v>
      </c>
      <c r="FN97" s="110">
        <f t="shared" si="578"/>
        <v>12.639999999999986</v>
      </c>
      <c r="FP97" s="111"/>
      <c r="FQ97" s="110">
        <f t="shared" si="579"/>
        <v>0</v>
      </c>
      <c r="FR97" s="110">
        <f t="shared" si="580"/>
        <v>0</v>
      </c>
      <c r="FS97" s="110">
        <f t="shared" si="581"/>
        <v>0</v>
      </c>
      <c r="FU97" s="111">
        <f t="shared" si="582"/>
        <v>0</v>
      </c>
      <c r="FV97" s="110">
        <f t="shared" si="583"/>
        <v>0</v>
      </c>
      <c r="FW97" s="110">
        <f t="shared" si="584"/>
        <v>0</v>
      </c>
      <c r="FX97" s="110">
        <f t="shared" si="585"/>
        <v>0</v>
      </c>
      <c r="FY97" s="110">
        <f t="shared" si="586"/>
        <v>0</v>
      </c>
      <c r="FZ97" s="110">
        <f t="shared" si="587"/>
        <v>0</v>
      </c>
      <c r="GA97" s="110">
        <f t="shared" si="588"/>
        <v>0</v>
      </c>
      <c r="GB97" s="110">
        <f t="shared" si="589"/>
        <v>0</v>
      </c>
      <c r="GC97" s="110">
        <f t="shared" si="590"/>
        <v>0</v>
      </c>
      <c r="GD97" s="110">
        <f t="shared" si="591"/>
        <v>0</v>
      </c>
      <c r="GE97" s="110">
        <f t="shared" si="592"/>
        <v>15.75</v>
      </c>
      <c r="GF97" s="110">
        <f t="shared" si="593"/>
        <v>12.220000000000027</v>
      </c>
      <c r="GG97" s="110">
        <f t="shared" si="594"/>
        <v>12.220000000000027</v>
      </c>
      <c r="GH97" s="110">
        <f t="shared" si="595"/>
        <v>12.220000000000027</v>
      </c>
      <c r="GI97" s="110">
        <f t="shared" si="596"/>
        <v>12.220000000000027</v>
      </c>
      <c r="GJ97" s="110">
        <f t="shared" si="597"/>
        <v>12.220000000000027</v>
      </c>
      <c r="GK97" s="110">
        <f t="shared" si="598"/>
        <v>12.220000000000027</v>
      </c>
      <c r="GL97" s="110">
        <f t="shared" si="599"/>
        <v>12.220000000000027</v>
      </c>
      <c r="GM97" s="110">
        <f t="shared" si="600"/>
        <v>12.220000000000027</v>
      </c>
      <c r="GN97" s="110">
        <f t="shared" si="601"/>
        <v>12.220000000000027</v>
      </c>
      <c r="GO97" s="110">
        <f t="shared" si="602"/>
        <v>12.220000000000027</v>
      </c>
      <c r="GP97" s="110">
        <f t="shared" si="603"/>
        <v>24.860000000000014</v>
      </c>
      <c r="GQ97" s="110">
        <f t="shared" si="604"/>
        <v>9.1100000000000136</v>
      </c>
      <c r="GR97" s="110">
        <f t="shared" si="605"/>
        <v>12.639999999999986</v>
      </c>
      <c r="GS97" s="110">
        <f t="shared" si="606"/>
        <v>12.639999999999986</v>
      </c>
      <c r="GU97" s="109" cm="1">
        <f t="array" ref="GU97">+IFERROR(INDEX($C$3:$AM$3,MATCH(TRUE,INDEX($C97:$AM97&lt;&gt;0,0),0)),"N/A")</f>
        <v>44926</v>
      </c>
      <c r="GV97" s="112" t="str" cm="1">
        <f t="array" ref="GV97">+_xlfn.IFS(HV97&lt;&gt;0,HV$2,IV97&lt;&gt;0,IV$2,JV97&lt;&gt;0,JV$2,KV97&lt;&gt;0,KV$2,TRUE,"")</f>
        <v/>
      </c>
      <c r="GW97" s="1" t="str" cm="1">
        <f t="array" ref="GW97">+_xlfn.IFS(HW97&lt;&gt;0,HW$2,IW97&lt;&gt;0,IW$2,JW97&lt;&gt;0,JW$2,KW97&lt;&gt;0,KW$2,TRUE,"")</f>
        <v/>
      </c>
      <c r="GX97" s="1" t="str" cm="1">
        <f t="array" ref="GX97">+_xlfn.IFS(HX97&lt;&gt;0,HX$2,IX97&lt;&gt;0,IX$2,JX97&lt;&gt;0,JX$2,KX97&lt;&gt;0,KX$2,TRUE,"")</f>
        <v/>
      </c>
      <c r="GY97" s="1" t="str" cm="1">
        <f t="array" ref="GY97">+_xlfn.IFS(HY97&lt;&gt;0,HY$2,IY97&lt;&gt;0,IY$2,JY97&lt;&gt;0,JY$2,KY97&lt;&gt;0,KY$2,TRUE,"")</f>
        <v/>
      </c>
      <c r="GZ97" s="1" t="str" cm="1">
        <f t="array" ref="GZ97">+_xlfn.IFS(HZ97&lt;&gt;0,HZ$2,IZ97&lt;&gt;0,IZ$2,JZ97&lt;&gt;0,JZ$2,KZ97&lt;&gt;0,KZ$2,TRUE,"")</f>
        <v/>
      </c>
      <c r="HA97" s="1" t="str" cm="1">
        <f t="array" ref="HA97">+_xlfn.IFS(IA97&lt;&gt;0,IA$2,JA97&lt;&gt;0,JA$2,KA97&lt;&gt;0,KA$2,LA97&lt;&gt;0,LA$2,TRUE,"")</f>
        <v/>
      </c>
      <c r="HB97" s="1" t="str" cm="1">
        <f t="array" ref="HB97">+_xlfn.IFS(IB97&lt;&gt;0,IB$2,JB97&lt;&gt;0,JB$2,KB97&lt;&gt;0,KB$2,LB97&lt;&gt;0,LB$2,TRUE,"")</f>
        <v/>
      </c>
      <c r="HC97" s="1" t="str" cm="1">
        <f t="array" ref="HC97">+_xlfn.IFS(IC97&lt;&gt;0,IC$2,JC97&lt;&gt;0,JC$2,KC97&lt;&gt;0,KC$2,LC97&lt;&gt;0,LC$2,TRUE,"")</f>
        <v/>
      </c>
      <c r="HD97" s="1" t="str" cm="1">
        <f t="array" ref="HD97">+_xlfn.IFS(ID97&lt;&gt;0,ID$2,JD97&lt;&gt;0,JD$2,KD97&lt;&gt;0,KD$2,LD97&lt;&gt;0,LD$2,TRUE,"")</f>
        <v/>
      </c>
      <c r="HE97" s="1" t="str" cm="1">
        <f t="array" ref="HE97">+_xlfn.IFS(IE97&lt;&gt;0,IE$2,JE97&lt;&gt;0,JE$2,KE97&lt;&gt;0,KE$2,LE97&lt;&gt;0,LE$2,TRUE,"")</f>
        <v/>
      </c>
      <c r="HF97" s="1" t="str" cm="1">
        <f t="array" ref="HF97">+_xlfn.IFS(IF97&lt;&gt;0,IF$2,JF97&lt;&gt;0,JF$2,KF97&lt;&gt;0,KF$2,LF97&lt;&gt;0,LF$2,TRUE,"")</f>
        <v>Upsell</v>
      </c>
      <c r="HG97" s="1" t="str" cm="1">
        <f t="array" ref="HG97">+_xlfn.IFS(IG97&lt;&gt;0,IG$2,JG97&lt;&gt;0,JG$2,KG97&lt;&gt;0,KG$2,LG97&lt;&gt;0,LG$2,TRUE,"")</f>
        <v>Upsell</v>
      </c>
      <c r="HH97" s="1" t="str" cm="1">
        <f t="array" ref="HH97">+_xlfn.IFS(IH97&lt;&gt;0,IH$2,JH97&lt;&gt;0,JH$2,KH97&lt;&gt;0,KH$2,LH97&lt;&gt;0,LH$2,TRUE,"")</f>
        <v>Upsell</v>
      </c>
      <c r="HI97" s="1" t="str" cm="1">
        <f t="array" ref="HI97">+_xlfn.IFS(II97&lt;&gt;0,II$2,JI97&lt;&gt;0,JI$2,KI97&lt;&gt;0,KI$2,LI97&lt;&gt;0,LI$2,TRUE,"")</f>
        <v>Upsell</v>
      </c>
      <c r="HJ97" s="1" t="str" cm="1">
        <f t="array" ref="HJ97">+_xlfn.IFS(IJ97&lt;&gt;0,IJ$2,JJ97&lt;&gt;0,JJ$2,KJ97&lt;&gt;0,KJ$2,LJ97&lt;&gt;0,LJ$2,TRUE,"")</f>
        <v>Upsell</v>
      </c>
      <c r="HK97" s="1" t="str" cm="1">
        <f t="array" ref="HK97">+_xlfn.IFS(IK97&lt;&gt;0,IK$2,JK97&lt;&gt;0,JK$2,KK97&lt;&gt;0,KK$2,LK97&lt;&gt;0,LK$2,TRUE,"")</f>
        <v>Upsell</v>
      </c>
      <c r="HL97" s="1" t="str" cm="1">
        <f t="array" ref="HL97">+_xlfn.IFS(IL97&lt;&gt;0,IL$2,JL97&lt;&gt;0,JL$2,KL97&lt;&gt;0,KL$2,LL97&lt;&gt;0,LL$2,TRUE,"")</f>
        <v>Upsell</v>
      </c>
      <c r="HM97" s="1" t="str" cm="1">
        <f t="array" ref="HM97">+_xlfn.IFS(IM97&lt;&gt;0,IM$2,JM97&lt;&gt;0,JM$2,KM97&lt;&gt;0,KM$2,LM97&lt;&gt;0,LM$2,TRUE,"")</f>
        <v>Upsell</v>
      </c>
      <c r="HN97" s="1" t="str" cm="1">
        <f t="array" ref="HN97">+_xlfn.IFS(IN97&lt;&gt;0,IN$2,JN97&lt;&gt;0,JN$2,KN97&lt;&gt;0,KN$2,LN97&lt;&gt;0,LN$2,TRUE,"")</f>
        <v>Upsell</v>
      </c>
      <c r="HO97" s="1" t="str" cm="1">
        <f t="array" ref="HO97">+_xlfn.IFS(IO97&lt;&gt;0,IO$2,JO97&lt;&gt;0,JO$2,KO97&lt;&gt;0,KO$2,LO97&lt;&gt;0,LO$2,TRUE,"")</f>
        <v>Upsell</v>
      </c>
      <c r="HP97" s="1" t="str" cm="1">
        <f t="array" ref="HP97">+_xlfn.IFS(IP97&lt;&gt;0,IP$2,JP97&lt;&gt;0,JP$2,KP97&lt;&gt;0,KP$2,LP97&lt;&gt;0,LP$2,TRUE,"")</f>
        <v>Upsell</v>
      </c>
      <c r="HQ97" s="1" t="str" cm="1">
        <f t="array" ref="HQ97">+_xlfn.IFS(IQ97&lt;&gt;0,IQ$2,JQ97&lt;&gt;0,JQ$2,KQ97&lt;&gt;0,KQ$2,LQ97&lt;&gt;0,LQ$2,TRUE,"")</f>
        <v>Upsell</v>
      </c>
      <c r="HR97" s="1" t="str" cm="1">
        <f t="array" ref="HR97">+_xlfn.IFS(IR97&lt;&gt;0,IR$2,JR97&lt;&gt;0,JR$2,KR97&lt;&gt;0,KR$2,LR97&lt;&gt;0,LR$2,TRUE,"")</f>
        <v>Upsell</v>
      </c>
      <c r="HS97" s="1" t="str" cm="1">
        <f t="array" ref="HS97">+_xlfn.IFS(IS97&lt;&gt;0,IS$2,JS97&lt;&gt;0,JS$2,KS97&lt;&gt;0,KS$2,LS97&lt;&gt;0,LS$2,TRUE,"")</f>
        <v>Upsell</v>
      </c>
      <c r="HT97" s="1" t="str" cm="1">
        <f t="array" ref="HT97">+_xlfn.IFS(IT97&lt;&gt;0,IT$2,JT97&lt;&gt;0,JT$2,KT97&lt;&gt;0,KT$2,LT97&lt;&gt;0,LT$2,TRUE,"")</f>
        <v>Upsell</v>
      </c>
      <c r="HV97" s="111">
        <f t="shared" si="607"/>
        <v>0</v>
      </c>
      <c r="HW97" s="110">
        <f t="shared" si="608"/>
        <v>0</v>
      </c>
      <c r="HX97" s="110">
        <f t="shared" si="609"/>
        <v>0</v>
      </c>
      <c r="HY97" s="110">
        <f t="shared" si="610"/>
        <v>0</v>
      </c>
      <c r="HZ97" s="110">
        <f t="shared" si="611"/>
        <v>0</v>
      </c>
      <c r="IA97" s="110">
        <f t="shared" si="612"/>
        <v>0</v>
      </c>
      <c r="IB97" s="110">
        <f t="shared" si="613"/>
        <v>0</v>
      </c>
      <c r="IC97" s="110">
        <f t="shared" si="614"/>
        <v>0</v>
      </c>
      <c r="ID97" s="110">
        <f t="shared" si="615"/>
        <v>0</v>
      </c>
      <c r="IE97" s="110">
        <f t="shared" si="616"/>
        <v>0</v>
      </c>
      <c r="IF97" s="110">
        <f t="shared" si="617"/>
        <v>0</v>
      </c>
      <c r="IG97" s="110">
        <f t="shared" si="618"/>
        <v>0</v>
      </c>
      <c r="IH97" s="110">
        <f t="shared" si="619"/>
        <v>0</v>
      </c>
      <c r="II97" s="110">
        <f t="shared" si="620"/>
        <v>0</v>
      </c>
      <c r="IJ97" s="110">
        <f t="shared" si="621"/>
        <v>0</v>
      </c>
      <c r="IK97" s="110">
        <f t="shared" si="622"/>
        <v>0</v>
      </c>
      <c r="IL97" s="110">
        <f t="shared" si="623"/>
        <v>0</v>
      </c>
      <c r="IM97" s="110">
        <f t="shared" si="624"/>
        <v>0</v>
      </c>
      <c r="IN97" s="110">
        <f t="shared" si="625"/>
        <v>0</v>
      </c>
      <c r="IO97" s="110">
        <f t="shared" si="626"/>
        <v>0</v>
      </c>
      <c r="IP97" s="110">
        <f t="shared" si="627"/>
        <v>0</v>
      </c>
      <c r="IQ97" s="110">
        <f t="shared" si="628"/>
        <v>0</v>
      </c>
      <c r="IR97" s="110">
        <f t="shared" si="629"/>
        <v>0</v>
      </c>
      <c r="IS97" s="110">
        <f t="shared" si="630"/>
        <v>0</v>
      </c>
      <c r="IT97" s="110">
        <f t="shared" si="631"/>
        <v>0</v>
      </c>
      <c r="IV97" s="111">
        <f t="shared" si="632"/>
        <v>0</v>
      </c>
      <c r="IW97" s="110">
        <f t="shared" si="633"/>
        <v>0</v>
      </c>
      <c r="IX97" s="110">
        <f t="shared" si="634"/>
        <v>0</v>
      </c>
      <c r="IY97" s="110">
        <f t="shared" si="635"/>
        <v>0</v>
      </c>
      <c r="IZ97" s="110">
        <f t="shared" si="636"/>
        <v>0</v>
      </c>
      <c r="JA97" s="110">
        <f t="shared" si="637"/>
        <v>0</v>
      </c>
      <c r="JB97" s="110">
        <f t="shared" si="638"/>
        <v>0</v>
      </c>
      <c r="JC97" s="110">
        <f t="shared" si="639"/>
        <v>0</v>
      </c>
      <c r="JD97" s="110">
        <f t="shared" si="640"/>
        <v>0</v>
      </c>
      <c r="JE97" s="110">
        <f t="shared" si="641"/>
        <v>0</v>
      </c>
      <c r="JF97" s="110">
        <f t="shared" si="642"/>
        <v>0</v>
      </c>
      <c r="JG97" s="110">
        <f t="shared" si="643"/>
        <v>0</v>
      </c>
      <c r="JH97" s="110">
        <f t="shared" si="644"/>
        <v>0</v>
      </c>
      <c r="JI97" s="110">
        <f t="shared" si="645"/>
        <v>0</v>
      </c>
      <c r="JJ97" s="110">
        <f t="shared" si="646"/>
        <v>0</v>
      </c>
      <c r="JK97" s="110">
        <f t="shared" si="647"/>
        <v>0</v>
      </c>
      <c r="JL97" s="110">
        <f t="shared" si="648"/>
        <v>0</v>
      </c>
      <c r="JM97" s="110">
        <f t="shared" si="649"/>
        <v>0</v>
      </c>
      <c r="JN97" s="110">
        <f t="shared" si="650"/>
        <v>0</v>
      </c>
      <c r="JO97" s="110">
        <f t="shared" si="651"/>
        <v>0</v>
      </c>
      <c r="JP97" s="110">
        <f t="shared" si="652"/>
        <v>0</v>
      </c>
      <c r="JQ97" s="110">
        <f t="shared" si="653"/>
        <v>0</v>
      </c>
      <c r="JR97" s="110">
        <f t="shared" si="654"/>
        <v>0</v>
      </c>
      <c r="JS97" s="110">
        <f t="shared" si="655"/>
        <v>0</v>
      </c>
      <c r="JT97" s="110">
        <f t="shared" si="656"/>
        <v>0</v>
      </c>
      <c r="JV97" s="111">
        <f t="shared" si="657"/>
        <v>0</v>
      </c>
      <c r="JW97" s="110">
        <f t="shared" si="658"/>
        <v>0</v>
      </c>
      <c r="JX97" s="110">
        <f t="shared" si="659"/>
        <v>0</v>
      </c>
      <c r="JY97" s="110">
        <f t="shared" si="660"/>
        <v>0</v>
      </c>
      <c r="JZ97" s="110">
        <f t="shared" si="661"/>
        <v>0</v>
      </c>
      <c r="KA97" s="110">
        <f t="shared" si="662"/>
        <v>0</v>
      </c>
      <c r="KB97" s="110">
        <f t="shared" si="663"/>
        <v>0</v>
      </c>
      <c r="KC97" s="110">
        <f t="shared" si="664"/>
        <v>0</v>
      </c>
      <c r="KD97" s="110">
        <f t="shared" si="665"/>
        <v>0</v>
      </c>
      <c r="KE97" s="110">
        <f t="shared" si="666"/>
        <v>0</v>
      </c>
      <c r="KF97" s="110">
        <f t="shared" si="667"/>
        <v>0</v>
      </c>
      <c r="KG97" s="110">
        <f t="shared" si="668"/>
        <v>0</v>
      </c>
      <c r="KH97" s="110">
        <f t="shared" si="669"/>
        <v>0</v>
      </c>
      <c r="KI97" s="110">
        <f t="shared" si="670"/>
        <v>0</v>
      </c>
      <c r="KJ97" s="110">
        <f t="shared" si="671"/>
        <v>0</v>
      </c>
      <c r="KK97" s="110">
        <f t="shared" si="672"/>
        <v>0</v>
      </c>
      <c r="KL97" s="110">
        <f t="shared" si="673"/>
        <v>0</v>
      </c>
      <c r="KM97" s="110">
        <f t="shared" si="674"/>
        <v>0</v>
      </c>
      <c r="KN97" s="110">
        <f t="shared" si="675"/>
        <v>0</v>
      </c>
      <c r="KO97" s="110">
        <f t="shared" si="676"/>
        <v>0</v>
      </c>
      <c r="KP97" s="110">
        <f t="shared" si="677"/>
        <v>0</v>
      </c>
      <c r="KQ97" s="110">
        <f t="shared" si="678"/>
        <v>0</v>
      </c>
      <c r="KR97" s="110">
        <f t="shared" si="679"/>
        <v>0</v>
      </c>
      <c r="KS97" s="110">
        <f t="shared" si="680"/>
        <v>0</v>
      </c>
      <c r="KT97" s="110">
        <f t="shared" si="681"/>
        <v>0</v>
      </c>
      <c r="KV97" s="111">
        <f t="shared" si="682"/>
        <v>0</v>
      </c>
      <c r="KW97" s="110">
        <f t="shared" si="683"/>
        <v>0</v>
      </c>
      <c r="KX97" s="110">
        <f t="shared" si="684"/>
        <v>0</v>
      </c>
      <c r="KY97" s="110">
        <f t="shared" si="685"/>
        <v>0</v>
      </c>
      <c r="KZ97" s="110">
        <f t="shared" si="686"/>
        <v>0</v>
      </c>
      <c r="LA97" s="110">
        <f t="shared" si="687"/>
        <v>0</v>
      </c>
      <c r="LB97" s="110">
        <f t="shared" si="688"/>
        <v>0</v>
      </c>
      <c r="LC97" s="110">
        <f t="shared" si="689"/>
        <v>0</v>
      </c>
      <c r="LD97" s="110">
        <f t="shared" si="690"/>
        <v>0</v>
      </c>
      <c r="LE97" s="110">
        <f t="shared" si="691"/>
        <v>0</v>
      </c>
      <c r="LF97" s="110">
        <f t="shared" si="692"/>
        <v>15.75</v>
      </c>
      <c r="LG97" s="110">
        <f t="shared" si="693"/>
        <v>12.220000000000027</v>
      </c>
      <c r="LH97" s="110">
        <f t="shared" si="694"/>
        <v>12.220000000000027</v>
      </c>
      <c r="LI97" s="110">
        <f t="shared" si="695"/>
        <v>12.220000000000027</v>
      </c>
      <c r="LJ97" s="110">
        <f t="shared" si="696"/>
        <v>12.220000000000027</v>
      </c>
      <c r="LK97" s="110">
        <f t="shared" si="697"/>
        <v>12.220000000000027</v>
      </c>
      <c r="LL97" s="110">
        <f t="shared" si="698"/>
        <v>12.220000000000027</v>
      </c>
      <c r="LM97" s="110">
        <f t="shared" si="699"/>
        <v>12.220000000000027</v>
      </c>
      <c r="LN97" s="110">
        <f t="shared" si="700"/>
        <v>12.220000000000027</v>
      </c>
      <c r="LO97" s="110">
        <f t="shared" si="701"/>
        <v>12.220000000000027</v>
      </c>
      <c r="LP97" s="110">
        <f t="shared" si="702"/>
        <v>12.220000000000027</v>
      </c>
      <c r="LQ97" s="110">
        <f t="shared" si="703"/>
        <v>24.860000000000014</v>
      </c>
      <c r="LR97" s="110">
        <f t="shared" si="704"/>
        <v>9.1100000000000136</v>
      </c>
      <c r="LS97" s="110">
        <f t="shared" si="705"/>
        <v>12.639999999999986</v>
      </c>
      <c r="LT97" s="110">
        <f t="shared" si="706"/>
        <v>12.639999999999986</v>
      </c>
      <c r="LV97" s="111"/>
      <c r="LW97" s="110">
        <f t="shared" si="707"/>
        <v>0</v>
      </c>
      <c r="LX97" s="110">
        <f t="shared" si="708"/>
        <v>0</v>
      </c>
      <c r="LY97" s="110">
        <f t="shared" si="709"/>
        <v>0</v>
      </c>
      <c r="LZ97" s="110">
        <f t="shared" si="710"/>
        <v>0</v>
      </c>
      <c r="MA97" s="110">
        <f t="shared" si="711"/>
        <v>0</v>
      </c>
      <c r="MB97" s="110">
        <f t="shared" si="712"/>
        <v>0</v>
      </c>
      <c r="MC97" s="110">
        <f t="shared" si="713"/>
        <v>0</v>
      </c>
      <c r="MD97" s="110">
        <f t="shared" si="714"/>
        <v>0</v>
      </c>
      <c r="ME97" s="110">
        <f t="shared" si="715"/>
        <v>0</v>
      </c>
      <c r="MF97" s="110">
        <f t="shared" si="716"/>
        <v>0</v>
      </c>
      <c r="MG97" s="110">
        <f t="shared" si="717"/>
        <v>0</v>
      </c>
      <c r="MH97" s="110">
        <f t="shared" si="718"/>
        <v>0</v>
      </c>
      <c r="MI97" s="110">
        <f t="shared" si="719"/>
        <v>0</v>
      </c>
      <c r="MJ97" s="110">
        <f t="shared" si="720"/>
        <v>0</v>
      </c>
      <c r="MK97" s="110">
        <f t="shared" si="721"/>
        <v>0</v>
      </c>
      <c r="ML97" s="110">
        <f t="shared" si="722"/>
        <v>0</v>
      </c>
      <c r="MM97" s="110">
        <f t="shared" si="723"/>
        <v>0</v>
      </c>
      <c r="MN97" s="110">
        <f t="shared" si="724"/>
        <v>0</v>
      </c>
      <c r="MO97" s="110">
        <f t="shared" si="725"/>
        <v>0</v>
      </c>
      <c r="MP97" s="110">
        <f t="shared" si="726"/>
        <v>0</v>
      </c>
      <c r="MQ97" s="110">
        <f t="shared" si="727"/>
        <v>0</v>
      </c>
      <c r="MR97" s="110">
        <f t="shared" si="728"/>
        <v>0</v>
      </c>
      <c r="MS97" s="110">
        <f t="shared" si="729"/>
        <v>0</v>
      </c>
      <c r="MT97" s="110">
        <f t="shared" si="730"/>
        <v>0</v>
      </c>
      <c r="MV97" s="114">
        <v>373.86</v>
      </c>
      <c r="MW97" s="114">
        <v>0</v>
      </c>
      <c r="MX97" s="114">
        <v>12.639999999999986</v>
      </c>
      <c r="MY97" s="114">
        <v>0</v>
      </c>
      <c r="MZ97" s="114">
        <v>0</v>
      </c>
      <c r="NB97" s="115">
        <v>5</v>
      </c>
      <c r="NC97" s="115" t="str">
        <v>N/A</v>
      </c>
      <c r="ND97" s="115">
        <v>6</v>
      </c>
      <c r="NE97" s="115" t="str">
        <v>N/A</v>
      </c>
      <c r="NF97" s="115" t="str">
        <v>N/A</v>
      </c>
    </row>
    <row r="98" spans="2:370" ht="13.5" x14ac:dyDescent="0.25">
      <c r="B98" s="8">
        <f t="shared" si="731"/>
        <v>95</v>
      </c>
      <c r="C98" s="7">
        <v>129</v>
      </c>
      <c r="D98" s="7">
        <v>129</v>
      </c>
      <c r="E98" s="7">
        <v>129</v>
      </c>
      <c r="F98" s="7">
        <v>129</v>
      </c>
      <c r="G98" s="7">
        <v>129</v>
      </c>
      <c r="H98" s="7">
        <v>129</v>
      </c>
      <c r="I98" s="7">
        <v>129</v>
      </c>
      <c r="J98" s="7">
        <v>129</v>
      </c>
      <c r="K98" s="7">
        <v>129</v>
      </c>
      <c r="L98" s="7">
        <v>129</v>
      </c>
      <c r="M98" s="7">
        <v>129</v>
      </c>
      <c r="N98" s="7">
        <v>129</v>
      </c>
      <c r="O98" s="7">
        <v>129</v>
      </c>
      <c r="P98" s="7">
        <v>129</v>
      </c>
      <c r="Q98" s="7">
        <v>129</v>
      </c>
      <c r="R98" s="7">
        <v>129</v>
      </c>
      <c r="S98" s="7">
        <v>129</v>
      </c>
      <c r="T98" s="7">
        <v>129</v>
      </c>
      <c r="U98" s="7">
        <v>129</v>
      </c>
      <c r="V98" s="7">
        <v>129</v>
      </c>
      <c r="W98" s="7">
        <v>129</v>
      </c>
      <c r="X98" s="7">
        <v>129</v>
      </c>
      <c r="Y98" s="7">
        <v>129</v>
      </c>
      <c r="Z98" s="7">
        <v>129</v>
      </c>
      <c r="AA98" s="7">
        <v>129</v>
      </c>
      <c r="AB98" s="7">
        <v>129</v>
      </c>
      <c r="AC98" s="7">
        <v>129</v>
      </c>
      <c r="AD98" s="7">
        <v>129</v>
      </c>
      <c r="AE98" s="7">
        <v>129</v>
      </c>
      <c r="AF98" s="7">
        <v>129</v>
      </c>
      <c r="AG98" s="7">
        <v>129</v>
      </c>
      <c r="AH98" s="7">
        <v>129</v>
      </c>
      <c r="AI98" s="7">
        <v>129</v>
      </c>
      <c r="AJ98" s="7">
        <v>129</v>
      </c>
      <c r="AK98" s="7">
        <v>129</v>
      </c>
      <c r="AL98" s="7">
        <v>129</v>
      </c>
      <c r="AM98" s="7">
        <v>129</v>
      </c>
      <c r="AN98" s="27">
        <v>95</v>
      </c>
      <c r="AP98" s="111"/>
      <c r="AQ98" s="110">
        <f t="shared" si="492"/>
        <v>0</v>
      </c>
      <c r="AR98" s="110">
        <f t="shared" si="493"/>
        <v>0</v>
      </c>
      <c r="AS98" s="110">
        <f t="shared" si="494"/>
        <v>0</v>
      </c>
      <c r="AT98" s="110">
        <f t="shared" si="495"/>
        <v>0</v>
      </c>
      <c r="AU98" s="110">
        <f t="shared" si="496"/>
        <v>0</v>
      </c>
      <c r="AV98" s="110">
        <f t="shared" si="497"/>
        <v>0</v>
      </c>
      <c r="AW98" s="110">
        <f t="shared" si="498"/>
        <v>0</v>
      </c>
      <c r="AX98" s="110">
        <f t="shared" si="499"/>
        <v>0</v>
      </c>
      <c r="AY98" s="110">
        <f t="shared" si="500"/>
        <v>0</v>
      </c>
      <c r="AZ98" s="110">
        <f t="shared" si="501"/>
        <v>0</v>
      </c>
      <c r="BA98" s="110">
        <f t="shared" si="502"/>
        <v>0</v>
      </c>
      <c r="BB98" s="110">
        <f t="shared" si="503"/>
        <v>0</v>
      </c>
      <c r="BD98" s="109" cm="1">
        <f t="array" ref="BD98">+IFERROR(INDEX($C$3:$AM$3,MATCH(TRUE,INDEX($C98:$AM98&lt;&gt;0,0),0)),"N/A")</f>
        <v>44926</v>
      </c>
      <c r="BE98" s="112"/>
      <c r="BF98" s="1" t="str" cm="1">
        <f t="array" ref="BF98">+_xlfn.IFS(BT98&lt;&gt;0,BT$2,CH98&lt;&gt;0,CH$2,CV98&lt;&gt;0,CV$2,DJ98&lt;&gt;0,DJ$2,TRUE,"")</f>
        <v/>
      </c>
      <c r="BG98" s="1" t="str" cm="1">
        <f t="array" ref="BG98">+_xlfn.IFS(BU98&lt;&gt;0,BU$2,CI98&lt;&gt;0,CI$2,CW98&lt;&gt;0,CW$2,DK98&lt;&gt;0,DK$2,TRUE,"")</f>
        <v/>
      </c>
      <c r="BH98" s="1" t="str" cm="1">
        <f t="array" ref="BH98">+_xlfn.IFS(BV98&lt;&gt;0,BV$2,CJ98&lt;&gt;0,CJ$2,CX98&lt;&gt;0,CX$2,DL98&lt;&gt;0,DL$2,TRUE,"")</f>
        <v/>
      </c>
      <c r="BI98" s="1" t="str" cm="1">
        <f t="array" ref="BI98">+_xlfn.IFS(BW98&lt;&gt;0,BW$2,CK98&lt;&gt;0,CK$2,CY98&lt;&gt;0,CY$2,DM98&lt;&gt;0,DM$2,TRUE,"")</f>
        <v/>
      </c>
      <c r="BJ98" s="1" t="str" cm="1">
        <f t="array" ref="BJ98">+_xlfn.IFS(BX98&lt;&gt;0,BX$2,CL98&lt;&gt;0,CL$2,CZ98&lt;&gt;0,CZ$2,DN98&lt;&gt;0,DN$2,TRUE,"")</f>
        <v/>
      </c>
      <c r="BK98" s="1" t="str" cm="1">
        <f t="array" ref="BK98">+_xlfn.IFS(BY98&lt;&gt;0,BY$2,CM98&lt;&gt;0,CM$2,DA98&lt;&gt;0,DA$2,DO98&lt;&gt;0,DO$2,TRUE,"")</f>
        <v/>
      </c>
      <c r="BL98" s="1" t="str" cm="1">
        <f t="array" ref="BL98">+_xlfn.IFS(BZ98&lt;&gt;0,BZ$2,CN98&lt;&gt;0,CN$2,DB98&lt;&gt;0,DB$2,DP98&lt;&gt;0,DP$2,TRUE,"")</f>
        <v/>
      </c>
      <c r="BM98" s="1" t="str" cm="1">
        <f t="array" ref="BM98">+_xlfn.IFS(CA98&lt;&gt;0,CA$2,CO98&lt;&gt;0,CO$2,DC98&lt;&gt;0,DC$2,DQ98&lt;&gt;0,DQ$2,TRUE,"")</f>
        <v/>
      </c>
      <c r="BN98" s="1" t="str" cm="1">
        <f t="array" ref="BN98">+_xlfn.IFS(CB98&lt;&gt;0,CB$2,CP98&lt;&gt;0,CP$2,DD98&lt;&gt;0,DD$2,DR98&lt;&gt;0,DR$2,TRUE,"")</f>
        <v/>
      </c>
      <c r="BO98" s="1" t="str" cm="1">
        <f t="array" ref="BO98">+_xlfn.IFS(CC98&lt;&gt;0,CC$2,CQ98&lt;&gt;0,CQ$2,DE98&lt;&gt;0,DE$2,DS98&lt;&gt;0,DS$2,TRUE,"")</f>
        <v/>
      </c>
      <c r="BP98" s="1" t="str" cm="1">
        <f t="array" ref="BP98">+_xlfn.IFS(CD98&lt;&gt;0,CD$2,CR98&lt;&gt;0,CR$2,DF98&lt;&gt;0,DF$2,DT98&lt;&gt;0,DT$2,TRUE,"")</f>
        <v/>
      </c>
      <c r="BQ98" s="1" t="str" cm="1">
        <f t="array" ref="BQ98">+_xlfn.IFS(CE98&lt;&gt;0,CE$2,CS98&lt;&gt;0,CS$2,DG98&lt;&gt;0,DG$2,DU98&lt;&gt;0,DU$2,TRUE,"")</f>
        <v/>
      </c>
      <c r="BS98" s="111"/>
      <c r="BT98" s="110">
        <f t="shared" si="504"/>
        <v>0</v>
      </c>
      <c r="BU98" s="110">
        <f t="shared" si="505"/>
        <v>0</v>
      </c>
      <c r="BV98" s="110">
        <f t="shared" si="506"/>
        <v>0</v>
      </c>
      <c r="BW98" s="110">
        <f t="shared" si="507"/>
        <v>0</v>
      </c>
      <c r="BX98" s="110">
        <f t="shared" si="508"/>
        <v>0</v>
      </c>
      <c r="BY98" s="110">
        <f t="shared" si="509"/>
        <v>0</v>
      </c>
      <c r="BZ98" s="110">
        <f t="shared" si="510"/>
        <v>0</v>
      </c>
      <c r="CA98" s="110">
        <f t="shared" si="511"/>
        <v>0</v>
      </c>
      <c r="CB98" s="110">
        <f t="shared" si="512"/>
        <v>0</v>
      </c>
      <c r="CC98" s="110">
        <f t="shared" si="513"/>
        <v>0</v>
      </c>
      <c r="CD98" s="110">
        <f t="shared" si="514"/>
        <v>0</v>
      </c>
      <c r="CE98" s="110">
        <f t="shared" si="515"/>
        <v>0</v>
      </c>
      <c r="CG98" s="111"/>
      <c r="CH98" s="110">
        <f t="shared" si="516"/>
        <v>0</v>
      </c>
      <c r="CI98" s="110">
        <f t="shared" si="517"/>
        <v>0</v>
      </c>
      <c r="CJ98" s="110">
        <f t="shared" si="518"/>
        <v>0</v>
      </c>
      <c r="CK98" s="110">
        <f t="shared" si="519"/>
        <v>0</v>
      </c>
      <c r="CL98" s="110">
        <f t="shared" si="520"/>
        <v>0</v>
      </c>
      <c r="CM98" s="110">
        <f t="shared" si="521"/>
        <v>0</v>
      </c>
      <c r="CN98" s="110">
        <f t="shared" si="522"/>
        <v>0</v>
      </c>
      <c r="CO98" s="110">
        <f t="shared" si="523"/>
        <v>0</v>
      </c>
      <c r="CP98" s="110">
        <f t="shared" si="524"/>
        <v>0</v>
      </c>
      <c r="CQ98" s="110">
        <f t="shared" si="525"/>
        <v>0</v>
      </c>
      <c r="CR98" s="110">
        <f t="shared" si="526"/>
        <v>0</v>
      </c>
      <c r="CS98" s="110">
        <f t="shared" si="527"/>
        <v>0</v>
      </c>
      <c r="CU98" s="111"/>
      <c r="CV98" s="110">
        <f t="shared" si="528"/>
        <v>0</v>
      </c>
      <c r="CW98" s="110">
        <f t="shared" si="529"/>
        <v>0</v>
      </c>
      <c r="CX98" s="110">
        <f t="shared" si="530"/>
        <v>0</v>
      </c>
      <c r="CY98" s="110">
        <f t="shared" si="531"/>
        <v>0</v>
      </c>
      <c r="CZ98" s="110">
        <f t="shared" si="532"/>
        <v>0</v>
      </c>
      <c r="DA98" s="110">
        <f t="shared" si="533"/>
        <v>0</v>
      </c>
      <c r="DB98" s="110">
        <f t="shared" si="534"/>
        <v>0</v>
      </c>
      <c r="DC98" s="110">
        <f t="shared" si="535"/>
        <v>0</v>
      </c>
      <c r="DD98" s="110">
        <f t="shared" si="536"/>
        <v>0</v>
      </c>
      <c r="DE98" s="110">
        <f t="shared" si="537"/>
        <v>0</v>
      </c>
      <c r="DF98" s="110">
        <f t="shared" si="538"/>
        <v>0</v>
      </c>
      <c r="DG98" s="110">
        <f t="shared" si="539"/>
        <v>0</v>
      </c>
      <c r="DI98" s="111"/>
      <c r="DJ98" s="110">
        <f t="shared" si="540"/>
        <v>0</v>
      </c>
      <c r="DK98" s="110">
        <f t="shared" si="541"/>
        <v>0</v>
      </c>
      <c r="DL98" s="110">
        <f t="shared" si="542"/>
        <v>0</v>
      </c>
      <c r="DM98" s="110">
        <f t="shared" si="543"/>
        <v>0</v>
      </c>
      <c r="DN98" s="110">
        <f t="shared" si="544"/>
        <v>0</v>
      </c>
      <c r="DO98" s="110">
        <f t="shared" si="545"/>
        <v>0</v>
      </c>
      <c r="DP98" s="110">
        <f t="shared" si="546"/>
        <v>0</v>
      </c>
      <c r="DQ98" s="110">
        <f t="shared" si="547"/>
        <v>0</v>
      </c>
      <c r="DR98" s="110">
        <f t="shared" si="548"/>
        <v>0</v>
      </c>
      <c r="DS98" s="110">
        <f t="shared" si="549"/>
        <v>0</v>
      </c>
      <c r="DT98" s="110">
        <f t="shared" si="550"/>
        <v>0</v>
      </c>
      <c r="DU98" s="110">
        <f t="shared" si="551"/>
        <v>0</v>
      </c>
      <c r="DW98" s="111"/>
      <c r="DX98" s="110">
        <f t="shared" si="552"/>
        <v>0</v>
      </c>
      <c r="DY98" s="110">
        <f t="shared" si="553"/>
        <v>0</v>
      </c>
      <c r="DZ98" s="110">
        <f t="shared" si="554"/>
        <v>0</v>
      </c>
      <c r="EA98" s="110">
        <f t="shared" si="555"/>
        <v>0</v>
      </c>
      <c r="EB98" s="110">
        <f t="shared" si="556"/>
        <v>0</v>
      </c>
      <c r="EC98" s="110">
        <f t="shared" si="557"/>
        <v>0</v>
      </c>
      <c r="ED98" s="110">
        <f t="shared" si="558"/>
        <v>0</v>
      </c>
      <c r="EE98" s="110">
        <f t="shared" si="559"/>
        <v>0</v>
      </c>
      <c r="EF98" s="110">
        <f t="shared" si="560"/>
        <v>0</v>
      </c>
      <c r="EG98" s="110">
        <f t="shared" si="561"/>
        <v>0</v>
      </c>
      <c r="EH98" s="110">
        <f t="shared" si="562"/>
        <v>0</v>
      </c>
      <c r="EI98" s="110">
        <f t="shared" si="563"/>
        <v>0</v>
      </c>
      <c r="EK98" s="111"/>
      <c r="EL98" s="110">
        <f t="shared" si="564"/>
        <v>0</v>
      </c>
      <c r="EM98" s="110">
        <f t="shared" si="565"/>
        <v>0</v>
      </c>
      <c r="EN98" s="110">
        <f t="shared" si="566"/>
        <v>0</v>
      </c>
      <c r="EP98" s="109" cm="1">
        <f t="array" ref="EP98">+IFERROR(INDEX($C$3:$AM$3,MATCH(TRUE,INDEX($C98:$AM98&lt;&gt;0,0),0)),"N/A")</f>
        <v>44926</v>
      </c>
      <c r="EQ98" s="112"/>
      <c r="ER98" s="1" t="str" cm="1">
        <f t="array" ref="ER98">+_xlfn.IFS(EW98&lt;&gt;0,EW$2,FB98&lt;&gt;0,FB$2,FG98&lt;&gt;0,FG$2,FL98&lt;&gt;0,FL$2,TRUE,"")</f>
        <v/>
      </c>
      <c r="ES98" s="1" t="str" cm="1">
        <f t="array" ref="ES98">+_xlfn.IFS(EX98&lt;&gt;0,EX$2,FC98&lt;&gt;0,FC$2,FH98&lt;&gt;0,FH$2,FM98&lt;&gt;0,FM$2,TRUE,"")</f>
        <v/>
      </c>
      <c r="ET98" s="1" t="str" cm="1">
        <f t="array" ref="ET98">+_xlfn.IFS(EY98&lt;&gt;0,EY$2,FD98&lt;&gt;0,FD$2,FI98&lt;&gt;0,FI$2,FN98&lt;&gt;0,FN$2,TRUE,"")</f>
        <v/>
      </c>
      <c r="EV98" s="111"/>
      <c r="EW98" s="110">
        <f t="shared" si="567"/>
        <v>0</v>
      </c>
      <c r="EX98" s="110">
        <f t="shared" si="568"/>
        <v>0</v>
      </c>
      <c r="EY98" s="110">
        <f t="shared" si="569"/>
        <v>0</v>
      </c>
      <c r="FA98" s="111"/>
      <c r="FB98" s="110">
        <f t="shared" si="570"/>
        <v>0</v>
      </c>
      <c r="FC98" s="110">
        <f t="shared" si="571"/>
        <v>0</v>
      </c>
      <c r="FD98" s="110">
        <f t="shared" si="572"/>
        <v>0</v>
      </c>
      <c r="FF98" s="111"/>
      <c r="FG98" s="110">
        <f t="shared" si="573"/>
        <v>0</v>
      </c>
      <c r="FH98" s="110">
        <f t="shared" si="574"/>
        <v>0</v>
      </c>
      <c r="FI98" s="110">
        <f t="shared" si="575"/>
        <v>0</v>
      </c>
      <c r="FK98" s="111"/>
      <c r="FL98" s="110">
        <f t="shared" si="576"/>
        <v>0</v>
      </c>
      <c r="FM98" s="110">
        <f t="shared" si="577"/>
        <v>0</v>
      </c>
      <c r="FN98" s="110">
        <f t="shared" si="578"/>
        <v>0</v>
      </c>
      <c r="FP98" s="111"/>
      <c r="FQ98" s="110">
        <f t="shared" si="579"/>
        <v>0</v>
      </c>
      <c r="FR98" s="110">
        <f t="shared" si="580"/>
        <v>0</v>
      </c>
      <c r="FS98" s="110">
        <f t="shared" si="581"/>
        <v>0</v>
      </c>
      <c r="FU98" s="111">
        <f t="shared" si="582"/>
        <v>0</v>
      </c>
      <c r="FV98" s="110">
        <f t="shared" si="583"/>
        <v>0</v>
      </c>
      <c r="FW98" s="110">
        <f t="shared" si="584"/>
        <v>0</v>
      </c>
      <c r="FX98" s="110">
        <f t="shared" si="585"/>
        <v>0</v>
      </c>
      <c r="FY98" s="110">
        <f t="shared" si="586"/>
        <v>0</v>
      </c>
      <c r="FZ98" s="110">
        <f t="shared" si="587"/>
        <v>0</v>
      </c>
      <c r="GA98" s="110">
        <f t="shared" si="588"/>
        <v>0</v>
      </c>
      <c r="GB98" s="110">
        <f t="shared" si="589"/>
        <v>0</v>
      </c>
      <c r="GC98" s="110">
        <f t="shared" si="590"/>
        <v>0</v>
      </c>
      <c r="GD98" s="110">
        <f t="shared" si="591"/>
        <v>0</v>
      </c>
      <c r="GE98" s="110">
        <f t="shared" si="592"/>
        <v>0</v>
      </c>
      <c r="GF98" s="110">
        <f t="shared" si="593"/>
        <v>0</v>
      </c>
      <c r="GG98" s="110">
        <f t="shared" si="594"/>
        <v>0</v>
      </c>
      <c r="GH98" s="110">
        <f t="shared" si="595"/>
        <v>0</v>
      </c>
      <c r="GI98" s="110">
        <f t="shared" si="596"/>
        <v>0</v>
      </c>
      <c r="GJ98" s="110">
        <f t="shared" si="597"/>
        <v>0</v>
      </c>
      <c r="GK98" s="110">
        <f t="shared" si="598"/>
        <v>0</v>
      </c>
      <c r="GL98" s="110">
        <f t="shared" si="599"/>
        <v>0</v>
      </c>
      <c r="GM98" s="110">
        <f t="shared" si="600"/>
        <v>0</v>
      </c>
      <c r="GN98" s="110">
        <f t="shared" si="601"/>
        <v>0</v>
      </c>
      <c r="GO98" s="110">
        <f t="shared" si="602"/>
        <v>0</v>
      </c>
      <c r="GP98" s="110">
        <f t="shared" si="603"/>
        <v>0</v>
      </c>
      <c r="GQ98" s="110">
        <f t="shared" si="604"/>
        <v>0</v>
      </c>
      <c r="GR98" s="110">
        <f t="shared" si="605"/>
        <v>0</v>
      </c>
      <c r="GS98" s="110">
        <f t="shared" si="606"/>
        <v>0</v>
      </c>
      <c r="GU98" s="109" cm="1">
        <f t="array" ref="GU98">+IFERROR(INDEX($C$3:$AM$3,MATCH(TRUE,INDEX($C98:$AM98&lt;&gt;0,0),0)),"N/A")</f>
        <v>44926</v>
      </c>
      <c r="GV98" s="112" t="str" cm="1">
        <f t="array" ref="GV98">+_xlfn.IFS(HV98&lt;&gt;0,HV$2,IV98&lt;&gt;0,IV$2,JV98&lt;&gt;0,JV$2,KV98&lt;&gt;0,KV$2,TRUE,"")</f>
        <v/>
      </c>
      <c r="GW98" s="1" t="str" cm="1">
        <f t="array" ref="GW98">+_xlfn.IFS(HW98&lt;&gt;0,HW$2,IW98&lt;&gt;0,IW$2,JW98&lt;&gt;0,JW$2,KW98&lt;&gt;0,KW$2,TRUE,"")</f>
        <v/>
      </c>
      <c r="GX98" s="1" t="str" cm="1">
        <f t="array" ref="GX98">+_xlfn.IFS(HX98&lt;&gt;0,HX$2,IX98&lt;&gt;0,IX$2,JX98&lt;&gt;0,JX$2,KX98&lt;&gt;0,KX$2,TRUE,"")</f>
        <v/>
      </c>
      <c r="GY98" s="1" t="str" cm="1">
        <f t="array" ref="GY98">+_xlfn.IFS(HY98&lt;&gt;0,HY$2,IY98&lt;&gt;0,IY$2,JY98&lt;&gt;0,JY$2,KY98&lt;&gt;0,KY$2,TRUE,"")</f>
        <v/>
      </c>
      <c r="GZ98" s="1" t="str" cm="1">
        <f t="array" ref="GZ98">+_xlfn.IFS(HZ98&lt;&gt;0,HZ$2,IZ98&lt;&gt;0,IZ$2,JZ98&lt;&gt;0,JZ$2,KZ98&lt;&gt;0,KZ$2,TRUE,"")</f>
        <v/>
      </c>
      <c r="HA98" s="1" t="str" cm="1">
        <f t="array" ref="HA98">+_xlfn.IFS(IA98&lt;&gt;0,IA$2,JA98&lt;&gt;0,JA$2,KA98&lt;&gt;0,KA$2,LA98&lt;&gt;0,LA$2,TRUE,"")</f>
        <v/>
      </c>
      <c r="HB98" s="1" t="str" cm="1">
        <f t="array" ref="HB98">+_xlfn.IFS(IB98&lt;&gt;0,IB$2,JB98&lt;&gt;0,JB$2,KB98&lt;&gt;0,KB$2,LB98&lt;&gt;0,LB$2,TRUE,"")</f>
        <v/>
      </c>
      <c r="HC98" s="1" t="str" cm="1">
        <f t="array" ref="HC98">+_xlfn.IFS(IC98&lt;&gt;0,IC$2,JC98&lt;&gt;0,JC$2,KC98&lt;&gt;0,KC$2,LC98&lt;&gt;0,LC$2,TRUE,"")</f>
        <v/>
      </c>
      <c r="HD98" s="1" t="str" cm="1">
        <f t="array" ref="HD98">+_xlfn.IFS(ID98&lt;&gt;0,ID$2,JD98&lt;&gt;0,JD$2,KD98&lt;&gt;0,KD$2,LD98&lt;&gt;0,LD$2,TRUE,"")</f>
        <v/>
      </c>
      <c r="HE98" s="1" t="str" cm="1">
        <f t="array" ref="HE98">+_xlfn.IFS(IE98&lt;&gt;0,IE$2,JE98&lt;&gt;0,JE$2,KE98&lt;&gt;0,KE$2,LE98&lt;&gt;0,LE$2,TRUE,"")</f>
        <v/>
      </c>
      <c r="HF98" s="1" t="str" cm="1">
        <f t="array" ref="HF98">+_xlfn.IFS(IF98&lt;&gt;0,IF$2,JF98&lt;&gt;0,JF$2,KF98&lt;&gt;0,KF$2,LF98&lt;&gt;0,LF$2,TRUE,"")</f>
        <v/>
      </c>
      <c r="HG98" s="1" t="str" cm="1">
        <f t="array" ref="HG98">+_xlfn.IFS(IG98&lt;&gt;0,IG$2,JG98&lt;&gt;0,JG$2,KG98&lt;&gt;0,KG$2,LG98&lt;&gt;0,LG$2,TRUE,"")</f>
        <v/>
      </c>
      <c r="HH98" s="1" t="str" cm="1">
        <f t="array" ref="HH98">+_xlfn.IFS(IH98&lt;&gt;0,IH$2,JH98&lt;&gt;0,JH$2,KH98&lt;&gt;0,KH$2,LH98&lt;&gt;0,LH$2,TRUE,"")</f>
        <v/>
      </c>
      <c r="HI98" s="1" t="str" cm="1">
        <f t="array" ref="HI98">+_xlfn.IFS(II98&lt;&gt;0,II$2,JI98&lt;&gt;0,JI$2,KI98&lt;&gt;0,KI$2,LI98&lt;&gt;0,LI$2,TRUE,"")</f>
        <v/>
      </c>
      <c r="HJ98" s="1" t="str" cm="1">
        <f t="array" ref="HJ98">+_xlfn.IFS(IJ98&lt;&gt;0,IJ$2,JJ98&lt;&gt;0,JJ$2,KJ98&lt;&gt;0,KJ$2,LJ98&lt;&gt;0,LJ$2,TRUE,"")</f>
        <v/>
      </c>
      <c r="HK98" s="1" t="str" cm="1">
        <f t="array" ref="HK98">+_xlfn.IFS(IK98&lt;&gt;0,IK$2,JK98&lt;&gt;0,JK$2,KK98&lt;&gt;0,KK$2,LK98&lt;&gt;0,LK$2,TRUE,"")</f>
        <v/>
      </c>
      <c r="HL98" s="1" t="str" cm="1">
        <f t="array" ref="HL98">+_xlfn.IFS(IL98&lt;&gt;0,IL$2,JL98&lt;&gt;0,JL$2,KL98&lt;&gt;0,KL$2,LL98&lt;&gt;0,LL$2,TRUE,"")</f>
        <v/>
      </c>
      <c r="HM98" s="1" t="str" cm="1">
        <f t="array" ref="HM98">+_xlfn.IFS(IM98&lt;&gt;0,IM$2,JM98&lt;&gt;0,JM$2,KM98&lt;&gt;0,KM$2,LM98&lt;&gt;0,LM$2,TRUE,"")</f>
        <v/>
      </c>
      <c r="HN98" s="1" t="str" cm="1">
        <f t="array" ref="HN98">+_xlfn.IFS(IN98&lt;&gt;0,IN$2,JN98&lt;&gt;0,JN$2,KN98&lt;&gt;0,KN$2,LN98&lt;&gt;0,LN$2,TRUE,"")</f>
        <v/>
      </c>
      <c r="HO98" s="1" t="str" cm="1">
        <f t="array" ref="HO98">+_xlfn.IFS(IO98&lt;&gt;0,IO$2,JO98&lt;&gt;0,JO$2,KO98&lt;&gt;0,KO$2,LO98&lt;&gt;0,LO$2,TRUE,"")</f>
        <v/>
      </c>
      <c r="HP98" s="1" t="str" cm="1">
        <f t="array" ref="HP98">+_xlfn.IFS(IP98&lt;&gt;0,IP$2,JP98&lt;&gt;0,JP$2,KP98&lt;&gt;0,KP$2,LP98&lt;&gt;0,LP$2,TRUE,"")</f>
        <v/>
      </c>
      <c r="HQ98" s="1" t="str" cm="1">
        <f t="array" ref="HQ98">+_xlfn.IFS(IQ98&lt;&gt;0,IQ$2,JQ98&lt;&gt;0,JQ$2,KQ98&lt;&gt;0,KQ$2,LQ98&lt;&gt;0,LQ$2,TRUE,"")</f>
        <v/>
      </c>
      <c r="HR98" s="1" t="str" cm="1">
        <f t="array" ref="HR98">+_xlfn.IFS(IR98&lt;&gt;0,IR$2,JR98&lt;&gt;0,JR$2,KR98&lt;&gt;0,KR$2,LR98&lt;&gt;0,LR$2,TRUE,"")</f>
        <v/>
      </c>
      <c r="HS98" s="1" t="str" cm="1">
        <f t="array" ref="HS98">+_xlfn.IFS(IS98&lt;&gt;0,IS$2,JS98&lt;&gt;0,JS$2,KS98&lt;&gt;0,KS$2,LS98&lt;&gt;0,LS$2,TRUE,"")</f>
        <v/>
      </c>
      <c r="HT98" s="1" t="str" cm="1">
        <f t="array" ref="HT98">+_xlfn.IFS(IT98&lt;&gt;0,IT$2,JT98&lt;&gt;0,JT$2,KT98&lt;&gt;0,KT$2,LT98&lt;&gt;0,LT$2,TRUE,"")</f>
        <v/>
      </c>
      <c r="HV98" s="111">
        <f t="shared" si="607"/>
        <v>0</v>
      </c>
      <c r="HW98" s="110">
        <f t="shared" si="608"/>
        <v>0</v>
      </c>
      <c r="HX98" s="110">
        <f t="shared" si="609"/>
        <v>0</v>
      </c>
      <c r="HY98" s="110">
        <f t="shared" si="610"/>
        <v>0</v>
      </c>
      <c r="HZ98" s="110">
        <f t="shared" si="611"/>
        <v>0</v>
      </c>
      <c r="IA98" s="110">
        <f t="shared" si="612"/>
        <v>0</v>
      </c>
      <c r="IB98" s="110">
        <f t="shared" si="613"/>
        <v>0</v>
      </c>
      <c r="IC98" s="110">
        <f t="shared" si="614"/>
        <v>0</v>
      </c>
      <c r="ID98" s="110">
        <f t="shared" si="615"/>
        <v>0</v>
      </c>
      <c r="IE98" s="110">
        <f t="shared" si="616"/>
        <v>0</v>
      </c>
      <c r="IF98" s="110">
        <f t="shared" si="617"/>
        <v>0</v>
      </c>
      <c r="IG98" s="110">
        <f t="shared" si="618"/>
        <v>0</v>
      </c>
      <c r="IH98" s="110">
        <f t="shared" si="619"/>
        <v>0</v>
      </c>
      <c r="II98" s="110">
        <f t="shared" si="620"/>
        <v>0</v>
      </c>
      <c r="IJ98" s="110">
        <f t="shared" si="621"/>
        <v>0</v>
      </c>
      <c r="IK98" s="110">
        <f t="shared" si="622"/>
        <v>0</v>
      </c>
      <c r="IL98" s="110">
        <f t="shared" si="623"/>
        <v>0</v>
      </c>
      <c r="IM98" s="110">
        <f t="shared" si="624"/>
        <v>0</v>
      </c>
      <c r="IN98" s="110">
        <f t="shared" si="625"/>
        <v>0</v>
      </c>
      <c r="IO98" s="110">
        <f t="shared" si="626"/>
        <v>0</v>
      </c>
      <c r="IP98" s="110">
        <f t="shared" si="627"/>
        <v>0</v>
      </c>
      <c r="IQ98" s="110">
        <f t="shared" si="628"/>
        <v>0</v>
      </c>
      <c r="IR98" s="110">
        <f t="shared" si="629"/>
        <v>0</v>
      </c>
      <c r="IS98" s="110">
        <f t="shared" si="630"/>
        <v>0</v>
      </c>
      <c r="IT98" s="110">
        <f t="shared" si="631"/>
        <v>0</v>
      </c>
      <c r="IV98" s="111">
        <f t="shared" si="632"/>
        <v>0</v>
      </c>
      <c r="IW98" s="110">
        <f t="shared" si="633"/>
        <v>0</v>
      </c>
      <c r="IX98" s="110">
        <f t="shared" si="634"/>
        <v>0</v>
      </c>
      <c r="IY98" s="110">
        <f t="shared" si="635"/>
        <v>0</v>
      </c>
      <c r="IZ98" s="110">
        <f t="shared" si="636"/>
        <v>0</v>
      </c>
      <c r="JA98" s="110">
        <f t="shared" si="637"/>
        <v>0</v>
      </c>
      <c r="JB98" s="110">
        <f t="shared" si="638"/>
        <v>0</v>
      </c>
      <c r="JC98" s="110">
        <f t="shared" si="639"/>
        <v>0</v>
      </c>
      <c r="JD98" s="110">
        <f t="shared" si="640"/>
        <v>0</v>
      </c>
      <c r="JE98" s="110">
        <f t="shared" si="641"/>
        <v>0</v>
      </c>
      <c r="JF98" s="110">
        <f t="shared" si="642"/>
        <v>0</v>
      </c>
      <c r="JG98" s="110">
        <f t="shared" si="643"/>
        <v>0</v>
      </c>
      <c r="JH98" s="110">
        <f t="shared" si="644"/>
        <v>0</v>
      </c>
      <c r="JI98" s="110">
        <f t="shared" si="645"/>
        <v>0</v>
      </c>
      <c r="JJ98" s="110">
        <f t="shared" si="646"/>
        <v>0</v>
      </c>
      <c r="JK98" s="110">
        <f t="shared" si="647"/>
        <v>0</v>
      </c>
      <c r="JL98" s="110">
        <f t="shared" si="648"/>
        <v>0</v>
      </c>
      <c r="JM98" s="110">
        <f t="shared" si="649"/>
        <v>0</v>
      </c>
      <c r="JN98" s="110">
        <f t="shared" si="650"/>
        <v>0</v>
      </c>
      <c r="JO98" s="110">
        <f t="shared" si="651"/>
        <v>0</v>
      </c>
      <c r="JP98" s="110">
        <f t="shared" si="652"/>
        <v>0</v>
      </c>
      <c r="JQ98" s="110">
        <f t="shared" si="653"/>
        <v>0</v>
      </c>
      <c r="JR98" s="110">
        <f t="shared" si="654"/>
        <v>0</v>
      </c>
      <c r="JS98" s="110">
        <f t="shared" si="655"/>
        <v>0</v>
      </c>
      <c r="JT98" s="110">
        <f t="shared" si="656"/>
        <v>0</v>
      </c>
      <c r="JV98" s="111">
        <f t="shared" si="657"/>
        <v>0</v>
      </c>
      <c r="JW98" s="110">
        <f t="shared" si="658"/>
        <v>0</v>
      </c>
      <c r="JX98" s="110">
        <f t="shared" si="659"/>
        <v>0</v>
      </c>
      <c r="JY98" s="110">
        <f t="shared" si="660"/>
        <v>0</v>
      </c>
      <c r="JZ98" s="110">
        <f t="shared" si="661"/>
        <v>0</v>
      </c>
      <c r="KA98" s="110">
        <f t="shared" si="662"/>
        <v>0</v>
      </c>
      <c r="KB98" s="110">
        <f t="shared" si="663"/>
        <v>0</v>
      </c>
      <c r="KC98" s="110">
        <f t="shared" si="664"/>
        <v>0</v>
      </c>
      <c r="KD98" s="110">
        <f t="shared" si="665"/>
        <v>0</v>
      </c>
      <c r="KE98" s="110">
        <f t="shared" si="666"/>
        <v>0</v>
      </c>
      <c r="KF98" s="110">
        <f t="shared" si="667"/>
        <v>0</v>
      </c>
      <c r="KG98" s="110">
        <f t="shared" si="668"/>
        <v>0</v>
      </c>
      <c r="KH98" s="110">
        <f t="shared" si="669"/>
        <v>0</v>
      </c>
      <c r="KI98" s="110">
        <f t="shared" si="670"/>
        <v>0</v>
      </c>
      <c r="KJ98" s="110">
        <f t="shared" si="671"/>
        <v>0</v>
      </c>
      <c r="KK98" s="110">
        <f t="shared" si="672"/>
        <v>0</v>
      </c>
      <c r="KL98" s="110">
        <f t="shared" si="673"/>
        <v>0</v>
      </c>
      <c r="KM98" s="110">
        <f t="shared" si="674"/>
        <v>0</v>
      </c>
      <c r="KN98" s="110">
        <f t="shared" si="675"/>
        <v>0</v>
      </c>
      <c r="KO98" s="110">
        <f t="shared" si="676"/>
        <v>0</v>
      </c>
      <c r="KP98" s="110">
        <f t="shared" si="677"/>
        <v>0</v>
      </c>
      <c r="KQ98" s="110">
        <f t="shared" si="678"/>
        <v>0</v>
      </c>
      <c r="KR98" s="110">
        <f t="shared" si="679"/>
        <v>0</v>
      </c>
      <c r="KS98" s="110">
        <f t="shared" si="680"/>
        <v>0</v>
      </c>
      <c r="KT98" s="110">
        <f t="shared" si="681"/>
        <v>0</v>
      </c>
      <c r="KV98" s="111">
        <f t="shared" si="682"/>
        <v>0</v>
      </c>
      <c r="KW98" s="110">
        <f t="shared" si="683"/>
        <v>0</v>
      </c>
      <c r="KX98" s="110">
        <f t="shared" si="684"/>
        <v>0</v>
      </c>
      <c r="KY98" s="110">
        <f t="shared" si="685"/>
        <v>0</v>
      </c>
      <c r="KZ98" s="110">
        <f t="shared" si="686"/>
        <v>0</v>
      </c>
      <c r="LA98" s="110">
        <f t="shared" si="687"/>
        <v>0</v>
      </c>
      <c r="LB98" s="110">
        <f t="shared" si="688"/>
        <v>0</v>
      </c>
      <c r="LC98" s="110">
        <f t="shared" si="689"/>
        <v>0</v>
      </c>
      <c r="LD98" s="110">
        <f t="shared" si="690"/>
        <v>0</v>
      </c>
      <c r="LE98" s="110">
        <f t="shared" si="691"/>
        <v>0</v>
      </c>
      <c r="LF98" s="110">
        <f t="shared" si="692"/>
        <v>0</v>
      </c>
      <c r="LG98" s="110">
        <f t="shared" si="693"/>
        <v>0</v>
      </c>
      <c r="LH98" s="110">
        <f t="shared" si="694"/>
        <v>0</v>
      </c>
      <c r="LI98" s="110">
        <f t="shared" si="695"/>
        <v>0</v>
      </c>
      <c r="LJ98" s="110">
        <f t="shared" si="696"/>
        <v>0</v>
      </c>
      <c r="LK98" s="110">
        <f t="shared" si="697"/>
        <v>0</v>
      </c>
      <c r="LL98" s="110">
        <f t="shared" si="698"/>
        <v>0</v>
      </c>
      <c r="LM98" s="110">
        <f t="shared" si="699"/>
        <v>0</v>
      </c>
      <c r="LN98" s="110">
        <f t="shared" si="700"/>
        <v>0</v>
      </c>
      <c r="LO98" s="110">
        <f t="shared" si="701"/>
        <v>0</v>
      </c>
      <c r="LP98" s="110">
        <f t="shared" si="702"/>
        <v>0</v>
      </c>
      <c r="LQ98" s="110">
        <f t="shared" si="703"/>
        <v>0</v>
      </c>
      <c r="LR98" s="110">
        <f t="shared" si="704"/>
        <v>0</v>
      </c>
      <c r="LS98" s="110">
        <f t="shared" si="705"/>
        <v>0</v>
      </c>
      <c r="LT98" s="110">
        <f t="shared" si="706"/>
        <v>0</v>
      </c>
      <c r="LV98" s="111"/>
      <c r="LW98" s="110">
        <f t="shared" si="707"/>
        <v>0</v>
      </c>
      <c r="LX98" s="110">
        <f t="shared" si="708"/>
        <v>0</v>
      </c>
      <c r="LY98" s="110">
        <f t="shared" si="709"/>
        <v>0</v>
      </c>
      <c r="LZ98" s="110">
        <f t="shared" si="710"/>
        <v>0</v>
      </c>
      <c r="MA98" s="110">
        <f t="shared" si="711"/>
        <v>0</v>
      </c>
      <c r="MB98" s="110">
        <f t="shared" si="712"/>
        <v>0</v>
      </c>
      <c r="MC98" s="110">
        <f t="shared" si="713"/>
        <v>0</v>
      </c>
      <c r="MD98" s="110">
        <f t="shared" si="714"/>
        <v>0</v>
      </c>
      <c r="ME98" s="110">
        <f t="shared" si="715"/>
        <v>0</v>
      </c>
      <c r="MF98" s="110">
        <f t="shared" si="716"/>
        <v>0</v>
      </c>
      <c r="MG98" s="110">
        <f t="shared" si="717"/>
        <v>0</v>
      </c>
      <c r="MH98" s="110">
        <f t="shared" si="718"/>
        <v>0</v>
      </c>
      <c r="MI98" s="110">
        <f t="shared" si="719"/>
        <v>0</v>
      </c>
      <c r="MJ98" s="110">
        <f t="shared" si="720"/>
        <v>0</v>
      </c>
      <c r="MK98" s="110">
        <f t="shared" si="721"/>
        <v>0</v>
      </c>
      <c r="ML98" s="110">
        <f t="shared" si="722"/>
        <v>0</v>
      </c>
      <c r="MM98" s="110">
        <f t="shared" si="723"/>
        <v>0</v>
      </c>
      <c r="MN98" s="110">
        <f t="shared" si="724"/>
        <v>0</v>
      </c>
      <c r="MO98" s="110">
        <f t="shared" si="725"/>
        <v>0</v>
      </c>
      <c r="MP98" s="110">
        <f t="shared" si="726"/>
        <v>0</v>
      </c>
      <c r="MQ98" s="110">
        <f t="shared" si="727"/>
        <v>0</v>
      </c>
      <c r="MR98" s="110">
        <f t="shared" si="728"/>
        <v>0</v>
      </c>
      <c r="MS98" s="110">
        <f t="shared" si="729"/>
        <v>0</v>
      </c>
      <c r="MT98" s="110">
        <f t="shared" si="730"/>
        <v>0</v>
      </c>
      <c r="MV98" s="114">
        <v>129</v>
      </c>
      <c r="MW98" s="114">
        <v>0</v>
      </c>
      <c r="MX98" s="114">
        <v>0</v>
      </c>
      <c r="MY98" s="114">
        <v>0</v>
      </c>
      <c r="MZ98" s="114">
        <v>0</v>
      </c>
      <c r="NB98" s="115">
        <v>73</v>
      </c>
      <c r="NC98" s="115" t="str">
        <v>N/A</v>
      </c>
      <c r="ND98" s="115" t="str">
        <v>N/A</v>
      </c>
      <c r="NE98" s="115" t="str">
        <v>N/A</v>
      </c>
      <c r="NF98" s="115" t="str">
        <v>N/A</v>
      </c>
    </row>
    <row r="99" spans="2:370" ht="13.5" x14ac:dyDescent="0.25">
      <c r="B99" s="8">
        <f t="shared" si="731"/>
        <v>96</v>
      </c>
      <c r="C99" s="7">
        <v>284.05</v>
      </c>
      <c r="D99" s="7">
        <v>284.05</v>
      </c>
      <c r="E99" s="7">
        <v>284.05</v>
      </c>
      <c r="F99" s="7">
        <v>284.05</v>
      </c>
      <c r="G99" s="7">
        <v>284.05</v>
      </c>
      <c r="H99" s="7">
        <v>284.05</v>
      </c>
      <c r="I99" s="7">
        <v>290.02999999999997</v>
      </c>
      <c r="J99" s="7">
        <v>290.02999999999997</v>
      </c>
      <c r="K99" s="7">
        <v>290.02999999999997</v>
      </c>
      <c r="L99" s="7">
        <v>290.02999999999997</v>
      </c>
      <c r="M99" s="7">
        <v>281.33</v>
      </c>
      <c r="N99" s="7">
        <v>281.33</v>
      </c>
      <c r="O99" s="7">
        <v>281.33</v>
      </c>
      <c r="P99" s="7">
        <v>281.33</v>
      </c>
      <c r="Q99" s="7">
        <v>281.33</v>
      </c>
      <c r="R99" s="7">
        <v>281.33</v>
      </c>
      <c r="S99" s="7">
        <v>281.33</v>
      </c>
      <c r="T99" s="7">
        <v>290.02999999999997</v>
      </c>
      <c r="U99" s="7">
        <v>290.02999999999997</v>
      </c>
      <c r="V99" s="7">
        <v>290.02999999999997</v>
      </c>
      <c r="W99" s="7">
        <v>290.02999999999997</v>
      </c>
      <c r="X99" s="7">
        <v>290.02999999999997</v>
      </c>
      <c r="Y99" s="7">
        <v>290.02999999999997</v>
      </c>
      <c r="Z99" s="7">
        <v>290.02999999999997</v>
      </c>
      <c r="AA99" s="7">
        <v>290.02999999999997</v>
      </c>
      <c r="AB99" s="7">
        <v>290.02999999999997</v>
      </c>
      <c r="AC99" s="7">
        <v>290.02999999999997</v>
      </c>
      <c r="AD99" s="7">
        <v>290.02999999999997</v>
      </c>
      <c r="AE99" s="7">
        <v>284.05</v>
      </c>
      <c r="AF99" s="7">
        <v>284.05</v>
      </c>
      <c r="AG99" s="7">
        <v>284.05</v>
      </c>
      <c r="AH99" s="7">
        <v>294</v>
      </c>
      <c r="AI99" s="7">
        <v>294</v>
      </c>
      <c r="AJ99" s="7">
        <v>294</v>
      </c>
      <c r="AK99" s="7">
        <v>294</v>
      </c>
      <c r="AL99" s="7">
        <v>294</v>
      </c>
      <c r="AM99" s="7">
        <v>294</v>
      </c>
      <c r="AN99" s="27">
        <v>96</v>
      </c>
      <c r="AP99" s="111"/>
      <c r="AQ99" s="110">
        <f t="shared" si="492"/>
        <v>0</v>
      </c>
      <c r="AR99" s="110">
        <f t="shared" si="493"/>
        <v>5.9799999999999613</v>
      </c>
      <c r="AS99" s="110">
        <f t="shared" si="494"/>
        <v>0</v>
      </c>
      <c r="AT99" s="110">
        <f t="shared" si="495"/>
        <v>-8.6999999999999886</v>
      </c>
      <c r="AU99" s="110">
        <f t="shared" si="496"/>
        <v>0</v>
      </c>
      <c r="AV99" s="110">
        <f t="shared" si="497"/>
        <v>8.6999999999999886</v>
      </c>
      <c r="AW99" s="110">
        <f t="shared" si="498"/>
        <v>0</v>
      </c>
      <c r="AX99" s="110">
        <f t="shared" si="499"/>
        <v>0</v>
      </c>
      <c r="AY99" s="110">
        <f t="shared" si="500"/>
        <v>0</v>
      </c>
      <c r="AZ99" s="110">
        <f t="shared" si="501"/>
        <v>-5.9799999999999613</v>
      </c>
      <c r="BA99" s="110">
        <f t="shared" si="502"/>
        <v>9.9499999999999886</v>
      </c>
      <c r="BB99" s="110">
        <f t="shared" si="503"/>
        <v>0</v>
      </c>
      <c r="BD99" s="109" cm="1">
        <f t="array" ref="BD99">+IFERROR(INDEX($C$3:$AM$3,MATCH(TRUE,INDEX($C99:$AM99&lt;&gt;0,0),0)),"N/A")</f>
        <v>44926</v>
      </c>
      <c r="BE99" s="112"/>
      <c r="BF99" s="1" t="str" cm="1">
        <f t="array" ref="BF99">+_xlfn.IFS(BT99&lt;&gt;0,BT$2,CH99&lt;&gt;0,CH$2,CV99&lt;&gt;0,CV$2,DJ99&lt;&gt;0,DJ$2,TRUE,"")</f>
        <v/>
      </c>
      <c r="BG99" s="1" t="str" cm="1">
        <f t="array" ref="BG99">+_xlfn.IFS(BU99&lt;&gt;0,BU$2,CI99&lt;&gt;0,CI$2,CW99&lt;&gt;0,CW$2,DK99&lt;&gt;0,DK$2,TRUE,"")</f>
        <v>Upsell</v>
      </c>
      <c r="BH99" s="1" t="str" cm="1">
        <f t="array" ref="BH99">+_xlfn.IFS(BV99&lt;&gt;0,BV$2,CJ99&lt;&gt;0,CJ$2,CX99&lt;&gt;0,CX$2,DL99&lt;&gt;0,DL$2,TRUE,"")</f>
        <v/>
      </c>
      <c r="BI99" s="1" t="str" cm="1">
        <f t="array" ref="BI99">+_xlfn.IFS(BW99&lt;&gt;0,BW$2,CK99&lt;&gt;0,CK$2,CY99&lt;&gt;0,CY$2,DM99&lt;&gt;0,DM$2,TRUE,"")</f>
        <v>Downsell</v>
      </c>
      <c r="BJ99" s="1" t="str" cm="1">
        <f t="array" ref="BJ99">+_xlfn.IFS(BX99&lt;&gt;0,BX$2,CL99&lt;&gt;0,CL$2,CZ99&lt;&gt;0,CZ$2,DN99&lt;&gt;0,DN$2,TRUE,"")</f>
        <v/>
      </c>
      <c r="BK99" s="1" t="str" cm="1">
        <f t="array" ref="BK99">+_xlfn.IFS(BY99&lt;&gt;0,BY$2,CM99&lt;&gt;0,CM$2,DA99&lt;&gt;0,DA$2,DO99&lt;&gt;0,DO$2,TRUE,"")</f>
        <v>Upsell</v>
      </c>
      <c r="BL99" s="1" t="str" cm="1">
        <f t="array" ref="BL99">+_xlfn.IFS(BZ99&lt;&gt;0,BZ$2,CN99&lt;&gt;0,CN$2,DB99&lt;&gt;0,DB$2,DP99&lt;&gt;0,DP$2,TRUE,"")</f>
        <v/>
      </c>
      <c r="BM99" s="1" t="str" cm="1">
        <f t="array" ref="BM99">+_xlfn.IFS(CA99&lt;&gt;0,CA$2,CO99&lt;&gt;0,CO$2,DC99&lt;&gt;0,DC$2,DQ99&lt;&gt;0,DQ$2,TRUE,"")</f>
        <v/>
      </c>
      <c r="BN99" s="1" t="str" cm="1">
        <f t="array" ref="BN99">+_xlfn.IFS(CB99&lt;&gt;0,CB$2,CP99&lt;&gt;0,CP$2,DD99&lt;&gt;0,DD$2,DR99&lt;&gt;0,DR$2,TRUE,"")</f>
        <v/>
      </c>
      <c r="BO99" s="1" t="str" cm="1">
        <f t="array" ref="BO99">+_xlfn.IFS(CC99&lt;&gt;0,CC$2,CQ99&lt;&gt;0,CQ$2,DE99&lt;&gt;0,DE$2,DS99&lt;&gt;0,DS$2,TRUE,"")</f>
        <v>Downsell</v>
      </c>
      <c r="BP99" s="1" t="str" cm="1">
        <f t="array" ref="BP99">+_xlfn.IFS(CD99&lt;&gt;0,CD$2,CR99&lt;&gt;0,CR$2,DF99&lt;&gt;0,DF$2,DT99&lt;&gt;0,DT$2,TRUE,"")</f>
        <v>Upsell</v>
      </c>
      <c r="BQ99" s="1" t="str" cm="1">
        <f t="array" ref="BQ99">+_xlfn.IFS(CE99&lt;&gt;0,CE$2,CS99&lt;&gt;0,CS$2,DG99&lt;&gt;0,DG$2,DU99&lt;&gt;0,DU$2,TRUE,"")</f>
        <v/>
      </c>
      <c r="BS99" s="111"/>
      <c r="BT99" s="110">
        <f t="shared" si="504"/>
        <v>0</v>
      </c>
      <c r="BU99" s="110">
        <f t="shared" si="505"/>
        <v>0</v>
      </c>
      <c r="BV99" s="110">
        <f t="shared" si="506"/>
        <v>0</v>
      </c>
      <c r="BW99" s="110">
        <f t="shared" si="507"/>
        <v>0</v>
      </c>
      <c r="BX99" s="110">
        <f t="shared" si="508"/>
        <v>0</v>
      </c>
      <c r="BY99" s="110">
        <f t="shared" si="509"/>
        <v>0</v>
      </c>
      <c r="BZ99" s="110">
        <f t="shared" si="510"/>
        <v>0</v>
      </c>
      <c r="CA99" s="110">
        <f t="shared" si="511"/>
        <v>0</v>
      </c>
      <c r="CB99" s="110">
        <f t="shared" si="512"/>
        <v>0</v>
      </c>
      <c r="CC99" s="110">
        <f t="shared" si="513"/>
        <v>0</v>
      </c>
      <c r="CD99" s="110">
        <f t="shared" si="514"/>
        <v>0</v>
      </c>
      <c r="CE99" s="110">
        <f t="shared" si="515"/>
        <v>0</v>
      </c>
      <c r="CG99" s="111"/>
      <c r="CH99" s="110">
        <f t="shared" si="516"/>
        <v>0</v>
      </c>
      <c r="CI99" s="110">
        <f t="shared" si="517"/>
        <v>0</v>
      </c>
      <c r="CJ99" s="110">
        <f t="shared" si="518"/>
        <v>0</v>
      </c>
      <c r="CK99" s="110">
        <f t="shared" si="519"/>
        <v>0</v>
      </c>
      <c r="CL99" s="110">
        <f t="shared" si="520"/>
        <v>0</v>
      </c>
      <c r="CM99" s="110">
        <f t="shared" si="521"/>
        <v>0</v>
      </c>
      <c r="CN99" s="110">
        <f t="shared" si="522"/>
        <v>0</v>
      </c>
      <c r="CO99" s="110">
        <f t="shared" si="523"/>
        <v>0</v>
      </c>
      <c r="CP99" s="110">
        <f t="shared" si="524"/>
        <v>0</v>
      </c>
      <c r="CQ99" s="110">
        <f t="shared" si="525"/>
        <v>0</v>
      </c>
      <c r="CR99" s="110">
        <f t="shared" si="526"/>
        <v>0</v>
      </c>
      <c r="CS99" s="110">
        <f t="shared" si="527"/>
        <v>0</v>
      </c>
      <c r="CU99" s="111"/>
      <c r="CV99" s="110">
        <f t="shared" si="528"/>
        <v>0</v>
      </c>
      <c r="CW99" s="110">
        <f t="shared" si="529"/>
        <v>0</v>
      </c>
      <c r="CX99" s="110">
        <f t="shared" si="530"/>
        <v>0</v>
      </c>
      <c r="CY99" s="110">
        <f t="shared" si="531"/>
        <v>-8.6999999999999886</v>
      </c>
      <c r="CZ99" s="110">
        <f t="shared" si="532"/>
        <v>0</v>
      </c>
      <c r="DA99" s="110">
        <f t="shared" si="533"/>
        <v>0</v>
      </c>
      <c r="DB99" s="110">
        <f t="shared" si="534"/>
        <v>0</v>
      </c>
      <c r="DC99" s="110">
        <f t="shared" si="535"/>
        <v>0</v>
      </c>
      <c r="DD99" s="110">
        <f t="shared" si="536"/>
        <v>0</v>
      </c>
      <c r="DE99" s="110">
        <f t="shared" si="537"/>
        <v>-5.9799999999999613</v>
      </c>
      <c r="DF99" s="110">
        <f t="shared" si="538"/>
        <v>0</v>
      </c>
      <c r="DG99" s="110">
        <f t="shared" si="539"/>
        <v>0</v>
      </c>
      <c r="DI99" s="111"/>
      <c r="DJ99" s="110">
        <f t="shared" si="540"/>
        <v>0</v>
      </c>
      <c r="DK99" s="110">
        <f t="shared" si="541"/>
        <v>5.9799999999999613</v>
      </c>
      <c r="DL99" s="110">
        <f t="shared" si="542"/>
        <v>0</v>
      </c>
      <c r="DM99" s="110">
        <f t="shared" si="543"/>
        <v>0</v>
      </c>
      <c r="DN99" s="110">
        <f t="shared" si="544"/>
        <v>0</v>
      </c>
      <c r="DO99" s="110">
        <f t="shared" si="545"/>
        <v>8.6999999999999886</v>
      </c>
      <c r="DP99" s="110">
        <f t="shared" si="546"/>
        <v>0</v>
      </c>
      <c r="DQ99" s="110">
        <f t="shared" si="547"/>
        <v>0</v>
      </c>
      <c r="DR99" s="110">
        <f t="shared" si="548"/>
        <v>0</v>
      </c>
      <c r="DS99" s="110">
        <f t="shared" si="549"/>
        <v>0</v>
      </c>
      <c r="DT99" s="110">
        <f t="shared" si="550"/>
        <v>9.9499999999999886</v>
      </c>
      <c r="DU99" s="110">
        <f t="shared" si="551"/>
        <v>0</v>
      </c>
      <c r="DW99" s="111"/>
      <c r="DX99" s="110">
        <f t="shared" si="552"/>
        <v>0</v>
      </c>
      <c r="DY99" s="110">
        <f t="shared" si="553"/>
        <v>0</v>
      </c>
      <c r="DZ99" s="110">
        <f t="shared" si="554"/>
        <v>0</v>
      </c>
      <c r="EA99" s="110">
        <f t="shared" si="555"/>
        <v>0</v>
      </c>
      <c r="EB99" s="110">
        <f t="shared" si="556"/>
        <v>0</v>
      </c>
      <c r="EC99" s="110">
        <f t="shared" si="557"/>
        <v>0</v>
      </c>
      <c r="ED99" s="110">
        <f t="shared" si="558"/>
        <v>0</v>
      </c>
      <c r="EE99" s="110">
        <f t="shared" si="559"/>
        <v>0</v>
      </c>
      <c r="EF99" s="110">
        <f t="shared" si="560"/>
        <v>0</v>
      </c>
      <c r="EG99" s="110">
        <f t="shared" si="561"/>
        <v>0</v>
      </c>
      <c r="EH99" s="110">
        <f t="shared" si="562"/>
        <v>0</v>
      </c>
      <c r="EI99" s="110">
        <f t="shared" si="563"/>
        <v>0</v>
      </c>
      <c r="EK99" s="111"/>
      <c r="EL99" s="110">
        <f t="shared" si="564"/>
        <v>-2.7200000000000273</v>
      </c>
      <c r="EM99" s="110">
        <f t="shared" si="565"/>
        <v>8.6999999999999886</v>
      </c>
      <c r="EN99" s="110">
        <f t="shared" si="566"/>
        <v>3.9700000000000273</v>
      </c>
      <c r="EP99" s="109" cm="1">
        <f t="array" ref="EP99">+IFERROR(INDEX($C$3:$AM$3,MATCH(TRUE,INDEX($C99:$AM99&lt;&gt;0,0),0)),"N/A")</f>
        <v>44926</v>
      </c>
      <c r="EQ99" s="112"/>
      <c r="ER99" s="1" t="str" cm="1">
        <f t="array" ref="ER99">+_xlfn.IFS(EW99&lt;&gt;0,EW$2,FB99&lt;&gt;0,FB$2,FG99&lt;&gt;0,FG$2,FL99&lt;&gt;0,FL$2,TRUE,"")</f>
        <v>Downsell</v>
      </c>
      <c r="ES99" s="1" t="str" cm="1">
        <f t="array" ref="ES99">+_xlfn.IFS(EX99&lt;&gt;0,EX$2,FC99&lt;&gt;0,FC$2,FH99&lt;&gt;0,FH$2,FM99&lt;&gt;0,FM$2,TRUE,"")</f>
        <v>Upsell</v>
      </c>
      <c r="ET99" s="1" t="str" cm="1">
        <f t="array" ref="ET99">+_xlfn.IFS(EY99&lt;&gt;0,EY$2,FD99&lt;&gt;0,FD$2,FI99&lt;&gt;0,FI$2,FN99&lt;&gt;0,FN$2,TRUE,"")</f>
        <v>Upsell</v>
      </c>
      <c r="EV99" s="111"/>
      <c r="EW99" s="110">
        <f t="shared" si="567"/>
        <v>0</v>
      </c>
      <c r="EX99" s="110">
        <f t="shared" si="568"/>
        <v>0</v>
      </c>
      <c r="EY99" s="110">
        <f t="shared" si="569"/>
        <v>0</v>
      </c>
      <c r="FA99" s="111"/>
      <c r="FB99" s="110">
        <f t="shared" si="570"/>
        <v>0</v>
      </c>
      <c r="FC99" s="110">
        <f t="shared" si="571"/>
        <v>0</v>
      </c>
      <c r="FD99" s="110">
        <f t="shared" si="572"/>
        <v>0</v>
      </c>
      <c r="FF99" s="111"/>
      <c r="FG99" s="110">
        <f t="shared" si="573"/>
        <v>-2.7200000000000273</v>
      </c>
      <c r="FH99" s="110">
        <f t="shared" si="574"/>
        <v>0</v>
      </c>
      <c r="FI99" s="110">
        <f t="shared" si="575"/>
        <v>0</v>
      </c>
      <c r="FK99" s="111"/>
      <c r="FL99" s="110">
        <f t="shared" si="576"/>
        <v>0</v>
      </c>
      <c r="FM99" s="110">
        <f t="shared" si="577"/>
        <v>8.6999999999999886</v>
      </c>
      <c r="FN99" s="110">
        <f t="shared" si="578"/>
        <v>3.9700000000000273</v>
      </c>
      <c r="FP99" s="111"/>
      <c r="FQ99" s="110">
        <f t="shared" si="579"/>
        <v>0</v>
      </c>
      <c r="FR99" s="110">
        <f t="shared" si="580"/>
        <v>0</v>
      </c>
      <c r="FS99" s="110">
        <f t="shared" si="581"/>
        <v>0</v>
      </c>
      <c r="FU99" s="111">
        <f t="shared" si="582"/>
        <v>-2.7200000000000273</v>
      </c>
      <c r="FV99" s="110">
        <f t="shared" si="583"/>
        <v>-2.7200000000000273</v>
      </c>
      <c r="FW99" s="110">
        <f t="shared" si="584"/>
        <v>-2.7200000000000273</v>
      </c>
      <c r="FX99" s="110">
        <f t="shared" si="585"/>
        <v>-2.7200000000000273</v>
      </c>
      <c r="FY99" s="110">
        <f t="shared" si="586"/>
        <v>-2.7200000000000273</v>
      </c>
      <c r="FZ99" s="110">
        <f t="shared" si="587"/>
        <v>5.9799999999999613</v>
      </c>
      <c r="GA99" s="110">
        <f t="shared" si="588"/>
        <v>0</v>
      </c>
      <c r="GB99" s="110">
        <f t="shared" si="589"/>
        <v>0</v>
      </c>
      <c r="GC99" s="110">
        <f t="shared" si="590"/>
        <v>0</v>
      </c>
      <c r="GD99" s="110">
        <f t="shared" si="591"/>
        <v>0</v>
      </c>
      <c r="GE99" s="110">
        <f t="shared" si="592"/>
        <v>8.6999999999999886</v>
      </c>
      <c r="GF99" s="110">
        <f t="shared" si="593"/>
        <v>8.6999999999999886</v>
      </c>
      <c r="GG99" s="110">
        <f t="shared" si="594"/>
        <v>8.6999999999999886</v>
      </c>
      <c r="GH99" s="110">
        <f t="shared" si="595"/>
        <v>8.6999999999999886</v>
      </c>
      <c r="GI99" s="110">
        <f t="shared" si="596"/>
        <v>8.6999999999999886</v>
      </c>
      <c r="GJ99" s="110">
        <f t="shared" si="597"/>
        <v>8.6999999999999886</v>
      </c>
      <c r="GK99" s="110">
        <f t="shared" si="598"/>
        <v>2.7200000000000273</v>
      </c>
      <c r="GL99" s="110">
        <f t="shared" si="599"/>
        <v>-5.9799999999999613</v>
      </c>
      <c r="GM99" s="110">
        <f t="shared" si="600"/>
        <v>-5.9799999999999613</v>
      </c>
      <c r="GN99" s="110">
        <f t="shared" si="601"/>
        <v>3.9700000000000273</v>
      </c>
      <c r="GO99" s="110">
        <f t="shared" si="602"/>
        <v>3.9700000000000273</v>
      </c>
      <c r="GP99" s="110">
        <f t="shared" si="603"/>
        <v>3.9700000000000273</v>
      </c>
      <c r="GQ99" s="110">
        <f t="shared" si="604"/>
        <v>3.9700000000000273</v>
      </c>
      <c r="GR99" s="110">
        <f t="shared" si="605"/>
        <v>3.9700000000000273</v>
      </c>
      <c r="GS99" s="110">
        <f t="shared" si="606"/>
        <v>3.9700000000000273</v>
      </c>
      <c r="GU99" s="109" cm="1">
        <f t="array" ref="GU99">+IFERROR(INDEX($C$3:$AM$3,MATCH(TRUE,INDEX($C99:$AM99&lt;&gt;0,0),0)),"N/A")</f>
        <v>44926</v>
      </c>
      <c r="GV99" s="112" t="str" cm="1">
        <f t="array" ref="GV99">+_xlfn.IFS(HV99&lt;&gt;0,HV$2,IV99&lt;&gt;0,IV$2,JV99&lt;&gt;0,JV$2,KV99&lt;&gt;0,KV$2,TRUE,"")</f>
        <v>Downsell</v>
      </c>
      <c r="GW99" s="1" t="str" cm="1">
        <f t="array" ref="GW99">+_xlfn.IFS(HW99&lt;&gt;0,HW$2,IW99&lt;&gt;0,IW$2,JW99&lt;&gt;0,JW$2,KW99&lt;&gt;0,KW$2,TRUE,"")</f>
        <v>Downsell</v>
      </c>
      <c r="GX99" s="1" t="str" cm="1">
        <f t="array" ref="GX99">+_xlfn.IFS(HX99&lt;&gt;0,HX$2,IX99&lt;&gt;0,IX$2,JX99&lt;&gt;0,JX$2,KX99&lt;&gt;0,KX$2,TRUE,"")</f>
        <v>Downsell</v>
      </c>
      <c r="GY99" s="1" t="str" cm="1">
        <f t="array" ref="GY99">+_xlfn.IFS(HY99&lt;&gt;0,HY$2,IY99&lt;&gt;0,IY$2,JY99&lt;&gt;0,JY$2,KY99&lt;&gt;0,KY$2,TRUE,"")</f>
        <v>Downsell</v>
      </c>
      <c r="GZ99" s="1" t="str" cm="1">
        <f t="array" ref="GZ99">+_xlfn.IFS(HZ99&lt;&gt;0,HZ$2,IZ99&lt;&gt;0,IZ$2,JZ99&lt;&gt;0,JZ$2,KZ99&lt;&gt;0,KZ$2,TRUE,"")</f>
        <v>Downsell</v>
      </c>
      <c r="HA99" s="1" t="str" cm="1">
        <f t="array" ref="HA99">+_xlfn.IFS(IA99&lt;&gt;0,IA$2,JA99&lt;&gt;0,JA$2,KA99&lt;&gt;0,KA$2,LA99&lt;&gt;0,LA$2,TRUE,"")</f>
        <v>Upsell</v>
      </c>
      <c r="HB99" s="1" t="str" cm="1">
        <f t="array" ref="HB99">+_xlfn.IFS(IB99&lt;&gt;0,IB$2,JB99&lt;&gt;0,JB$2,KB99&lt;&gt;0,KB$2,LB99&lt;&gt;0,LB$2,TRUE,"")</f>
        <v/>
      </c>
      <c r="HC99" s="1" t="str" cm="1">
        <f t="array" ref="HC99">+_xlfn.IFS(IC99&lt;&gt;0,IC$2,JC99&lt;&gt;0,JC$2,KC99&lt;&gt;0,KC$2,LC99&lt;&gt;0,LC$2,TRUE,"")</f>
        <v/>
      </c>
      <c r="HD99" s="1" t="str" cm="1">
        <f t="array" ref="HD99">+_xlfn.IFS(ID99&lt;&gt;0,ID$2,JD99&lt;&gt;0,JD$2,KD99&lt;&gt;0,KD$2,LD99&lt;&gt;0,LD$2,TRUE,"")</f>
        <v/>
      </c>
      <c r="HE99" s="1" t="str" cm="1">
        <f t="array" ref="HE99">+_xlfn.IFS(IE99&lt;&gt;0,IE$2,JE99&lt;&gt;0,JE$2,KE99&lt;&gt;0,KE$2,LE99&lt;&gt;0,LE$2,TRUE,"")</f>
        <v/>
      </c>
      <c r="HF99" s="1" t="str" cm="1">
        <f t="array" ref="HF99">+_xlfn.IFS(IF99&lt;&gt;0,IF$2,JF99&lt;&gt;0,JF$2,KF99&lt;&gt;0,KF$2,LF99&lt;&gt;0,LF$2,TRUE,"")</f>
        <v>Upsell</v>
      </c>
      <c r="HG99" s="1" t="str" cm="1">
        <f t="array" ref="HG99">+_xlfn.IFS(IG99&lt;&gt;0,IG$2,JG99&lt;&gt;0,JG$2,KG99&lt;&gt;0,KG$2,LG99&lt;&gt;0,LG$2,TRUE,"")</f>
        <v>Upsell</v>
      </c>
      <c r="HH99" s="1" t="str" cm="1">
        <f t="array" ref="HH99">+_xlfn.IFS(IH99&lt;&gt;0,IH$2,JH99&lt;&gt;0,JH$2,KH99&lt;&gt;0,KH$2,LH99&lt;&gt;0,LH$2,TRUE,"")</f>
        <v>Upsell</v>
      </c>
      <c r="HI99" s="1" t="str" cm="1">
        <f t="array" ref="HI99">+_xlfn.IFS(II99&lt;&gt;0,II$2,JI99&lt;&gt;0,JI$2,KI99&lt;&gt;0,KI$2,LI99&lt;&gt;0,LI$2,TRUE,"")</f>
        <v>Upsell</v>
      </c>
      <c r="HJ99" s="1" t="str" cm="1">
        <f t="array" ref="HJ99">+_xlfn.IFS(IJ99&lt;&gt;0,IJ$2,JJ99&lt;&gt;0,JJ$2,KJ99&lt;&gt;0,KJ$2,LJ99&lt;&gt;0,LJ$2,TRUE,"")</f>
        <v>Upsell</v>
      </c>
      <c r="HK99" s="1" t="str" cm="1">
        <f t="array" ref="HK99">+_xlfn.IFS(IK99&lt;&gt;0,IK$2,JK99&lt;&gt;0,JK$2,KK99&lt;&gt;0,KK$2,LK99&lt;&gt;0,LK$2,TRUE,"")</f>
        <v>Upsell</v>
      </c>
      <c r="HL99" s="1" t="str" cm="1">
        <f t="array" ref="HL99">+_xlfn.IFS(IL99&lt;&gt;0,IL$2,JL99&lt;&gt;0,JL$2,KL99&lt;&gt;0,KL$2,LL99&lt;&gt;0,LL$2,TRUE,"")</f>
        <v>Upsell</v>
      </c>
      <c r="HM99" s="1" t="str" cm="1">
        <f t="array" ref="HM99">+_xlfn.IFS(IM99&lt;&gt;0,IM$2,JM99&lt;&gt;0,JM$2,KM99&lt;&gt;0,KM$2,LM99&lt;&gt;0,LM$2,TRUE,"")</f>
        <v>Downsell</v>
      </c>
      <c r="HN99" s="1" t="str" cm="1">
        <f t="array" ref="HN99">+_xlfn.IFS(IN99&lt;&gt;0,IN$2,JN99&lt;&gt;0,JN$2,KN99&lt;&gt;0,KN$2,LN99&lt;&gt;0,LN$2,TRUE,"")</f>
        <v>Downsell</v>
      </c>
      <c r="HO99" s="1" t="str" cm="1">
        <f t="array" ref="HO99">+_xlfn.IFS(IO99&lt;&gt;0,IO$2,JO99&lt;&gt;0,JO$2,KO99&lt;&gt;0,KO$2,LO99&lt;&gt;0,LO$2,TRUE,"")</f>
        <v>Upsell</v>
      </c>
      <c r="HP99" s="1" t="str" cm="1">
        <f t="array" ref="HP99">+_xlfn.IFS(IP99&lt;&gt;0,IP$2,JP99&lt;&gt;0,JP$2,KP99&lt;&gt;0,KP$2,LP99&lt;&gt;0,LP$2,TRUE,"")</f>
        <v>Upsell</v>
      </c>
      <c r="HQ99" s="1" t="str" cm="1">
        <f t="array" ref="HQ99">+_xlfn.IFS(IQ99&lt;&gt;0,IQ$2,JQ99&lt;&gt;0,JQ$2,KQ99&lt;&gt;0,KQ$2,LQ99&lt;&gt;0,LQ$2,TRUE,"")</f>
        <v>Upsell</v>
      </c>
      <c r="HR99" s="1" t="str" cm="1">
        <f t="array" ref="HR99">+_xlfn.IFS(IR99&lt;&gt;0,IR$2,JR99&lt;&gt;0,JR$2,KR99&lt;&gt;0,KR$2,LR99&lt;&gt;0,LR$2,TRUE,"")</f>
        <v>Upsell</v>
      </c>
      <c r="HS99" s="1" t="str" cm="1">
        <f t="array" ref="HS99">+_xlfn.IFS(IS99&lt;&gt;0,IS$2,JS99&lt;&gt;0,JS$2,KS99&lt;&gt;0,KS$2,LS99&lt;&gt;0,LS$2,TRUE,"")</f>
        <v>Upsell</v>
      </c>
      <c r="HT99" s="1" t="str" cm="1">
        <f t="array" ref="HT99">+_xlfn.IFS(IT99&lt;&gt;0,IT$2,JT99&lt;&gt;0,JT$2,KT99&lt;&gt;0,KT$2,LT99&lt;&gt;0,LT$2,TRUE,"")</f>
        <v>Upsell</v>
      </c>
      <c r="HV99" s="111">
        <f t="shared" si="607"/>
        <v>0</v>
      </c>
      <c r="HW99" s="110">
        <f t="shared" si="608"/>
        <v>0</v>
      </c>
      <c r="HX99" s="110">
        <f t="shared" si="609"/>
        <v>0</v>
      </c>
      <c r="HY99" s="110">
        <f t="shared" si="610"/>
        <v>0</v>
      </c>
      <c r="HZ99" s="110">
        <f t="shared" si="611"/>
        <v>0</v>
      </c>
      <c r="IA99" s="110">
        <f t="shared" si="612"/>
        <v>0</v>
      </c>
      <c r="IB99" s="110">
        <f t="shared" si="613"/>
        <v>0</v>
      </c>
      <c r="IC99" s="110">
        <f t="shared" si="614"/>
        <v>0</v>
      </c>
      <c r="ID99" s="110">
        <f t="shared" si="615"/>
        <v>0</v>
      </c>
      <c r="IE99" s="110">
        <f t="shared" si="616"/>
        <v>0</v>
      </c>
      <c r="IF99" s="110">
        <f t="shared" si="617"/>
        <v>0</v>
      </c>
      <c r="IG99" s="110">
        <f t="shared" si="618"/>
        <v>0</v>
      </c>
      <c r="IH99" s="110">
        <f t="shared" si="619"/>
        <v>0</v>
      </c>
      <c r="II99" s="110">
        <f t="shared" si="620"/>
        <v>0</v>
      </c>
      <c r="IJ99" s="110">
        <f t="shared" si="621"/>
        <v>0</v>
      </c>
      <c r="IK99" s="110">
        <f t="shared" si="622"/>
        <v>0</v>
      </c>
      <c r="IL99" s="110">
        <f t="shared" si="623"/>
        <v>0</v>
      </c>
      <c r="IM99" s="110">
        <f t="shared" si="624"/>
        <v>0</v>
      </c>
      <c r="IN99" s="110">
        <f t="shared" si="625"/>
        <v>0</v>
      </c>
      <c r="IO99" s="110">
        <f t="shared" si="626"/>
        <v>0</v>
      </c>
      <c r="IP99" s="110">
        <f t="shared" si="627"/>
        <v>0</v>
      </c>
      <c r="IQ99" s="110">
        <f t="shared" si="628"/>
        <v>0</v>
      </c>
      <c r="IR99" s="110">
        <f t="shared" si="629"/>
        <v>0</v>
      </c>
      <c r="IS99" s="110">
        <f t="shared" si="630"/>
        <v>0</v>
      </c>
      <c r="IT99" s="110">
        <f t="shared" si="631"/>
        <v>0</v>
      </c>
      <c r="IV99" s="111">
        <f t="shared" si="632"/>
        <v>0</v>
      </c>
      <c r="IW99" s="110">
        <f t="shared" si="633"/>
        <v>0</v>
      </c>
      <c r="IX99" s="110">
        <f t="shared" si="634"/>
        <v>0</v>
      </c>
      <c r="IY99" s="110">
        <f t="shared" si="635"/>
        <v>0</v>
      </c>
      <c r="IZ99" s="110">
        <f t="shared" si="636"/>
        <v>0</v>
      </c>
      <c r="JA99" s="110">
        <f t="shared" si="637"/>
        <v>0</v>
      </c>
      <c r="JB99" s="110">
        <f t="shared" si="638"/>
        <v>0</v>
      </c>
      <c r="JC99" s="110">
        <f t="shared" si="639"/>
        <v>0</v>
      </c>
      <c r="JD99" s="110">
        <f t="shared" si="640"/>
        <v>0</v>
      </c>
      <c r="JE99" s="110">
        <f t="shared" si="641"/>
        <v>0</v>
      </c>
      <c r="JF99" s="110">
        <f t="shared" si="642"/>
        <v>0</v>
      </c>
      <c r="JG99" s="110">
        <f t="shared" si="643"/>
        <v>0</v>
      </c>
      <c r="JH99" s="110">
        <f t="shared" si="644"/>
        <v>0</v>
      </c>
      <c r="JI99" s="110">
        <f t="shared" si="645"/>
        <v>0</v>
      </c>
      <c r="JJ99" s="110">
        <f t="shared" si="646"/>
        <v>0</v>
      </c>
      <c r="JK99" s="110">
        <f t="shared" si="647"/>
        <v>0</v>
      </c>
      <c r="JL99" s="110">
        <f t="shared" si="648"/>
        <v>0</v>
      </c>
      <c r="JM99" s="110">
        <f t="shared" si="649"/>
        <v>0</v>
      </c>
      <c r="JN99" s="110">
        <f t="shared" si="650"/>
        <v>0</v>
      </c>
      <c r="JO99" s="110">
        <f t="shared" si="651"/>
        <v>0</v>
      </c>
      <c r="JP99" s="110">
        <f t="shared" si="652"/>
        <v>0</v>
      </c>
      <c r="JQ99" s="110">
        <f t="shared" si="653"/>
        <v>0</v>
      </c>
      <c r="JR99" s="110">
        <f t="shared" si="654"/>
        <v>0</v>
      </c>
      <c r="JS99" s="110">
        <f t="shared" si="655"/>
        <v>0</v>
      </c>
      <c r="JT99" s="110">
        <f t="shared" si="656"/>
        <v>0</v>
      </c>
      <c r="JV99" s="111">
        <f t="shared" si="657"/>
        <v>-2.7200000000000273</v>
      </c>
      <c r="JW99" s="110">
        <f t="shared" si="658"/>
        <v>-2.7200000000000273</v>
      </c>
      <c r="JX99" s="110">
        <f t="shared" si="659"/>
        <v>-2.7200000000000273</v>
      </c>
      <c r="JY99" s="110">
        <f t="shared" si="660"/>
        <v>-2.7200000000000273</v>
      </c>
      <c r="JZ99" s="110">
        <f t="shared" si="661"/>
        <v>-2.7200000000000273</v>
      </c>
      <c r="KA99" s="110">
        <f t="shared" si="662"/>
        <v>0</v>
      </c>
      <c r="KB99" s="110">
        <f t="shared" si="663"/>
        <v>0</v>
      </c>
      <c r="KC99" s="110">
        <f t="shared" si="664"/>
        <v>0</v>
      </c>
      <c r="KD99" s="110">
        <f t="shared" si="665"/>
        <v>0</v>
      </c>
      <c r="KE99" s="110">
        <f t="shared" si="666"/>
        <v>0</v>
      </c>
      <c r="KF99" s="110">
        <f t="shared" si="667"/>
        <v>0</v>
      </c>
      <c r="KG99" s="110">
        <f t="shared" si="668"/>
        <v>0</v>
      </c>
      <c r="KH99" s="110">
        <f t="shared" si="669"/>
        <v>0</v>
      </c>
      <c r="KI99" s="110">
        <f t="shared" si="670"/>
        <v>0</v>
      </c>
      <c r="KJ99" s="110">
        <f t="shared" si="671"/>
        <v>0</v>
      </c>
      <c r="KK99" s="110">
        <f t="shared" si="672"/>
        <v>0</v>
      </c>
      <c r="KL99" s="110">
        <f t="shared" si="673"/>
        <v>0</v>
      </c>
      <c r="KM99" s="110">
        <f t="shared" si="674"/>
        <v>-5.9799999999999613</v>
      </c>
      <c r="KN99" s="110">
        <f t="shared" si="675"/>
        <v>-5.9799999999999613</v>
      </c>
      <c r="KO99" s="110">
        <f t="shared" si="676"/>
        <v>0</v>
      </c>
      <c r="KP99" s="110">
        <f t="shared" si="677"/>
        <v>0</v>
      </c>
      <c r="KQ99" s="110">
        <f t="shared" si="678"/>
        <v>0</v>
      </c>
      <c r="KR99" s="110">
        <f t="shared" si="679"/>
        <v>0</v>
      </c>
      <c r="KS99" s="110">
        <f t="shared" si="680"/>
        <v>0</v>
      </c>
      <c r="KT99" s="110">
        <f t="shared" si="681"/>
        <v>0</v>
      </c>
      <c r="KV99" s="111">
        <f t="shared" si="682"/>
        <v>0</v>
      </c>
      <c r="KW99" s="110">
        <f t="shared" si="683"/>
        <v>0</v>
      </c>
      <c r="KX99" s="110">
        <f t="shared" si="684"/>
        <v>0</v>
      </c>
      <c r="KY99" s="110">
        <f t="shared" si="685"/>
        <v>0</v>
      </c>
      <c r="KZ99" s="110">
        <f t="shared" si="686"/>
        <v>0</v>
      </c>
      <c r="LA99" s="110">
        <f t="shared" si="687"/>
        <v>5.9799999999999613</v>
      </c>
      <c r="LB99" s="110">
        <f t="shared" si="688"/>
        <v>0</v>
      </c>
      <c r="LC99" s="110">
        <f t="shared" si="689"/>
        <v>0</v>
      </c>
      <c r="LD99" s="110">
        <f t="shared" si="690"/>
        <v>0</v>
      </c>
      <c r="LE99" s="110">
        <f t="shared" si="691"/>
        <v>0</v>
      </c>
      <c r="LF99" s="110">
        <f t="shared" si="692"/>
        <v>8.6999999999999886</v>
      </c>
      <c r="LG99" s="110">
        <f t="shared" si="693"/>
        <v>8.6999999999999886</v>
      </c>
      <c r="LH99" s="110">
        <f t="shared" si="694"/>
        <v>8.6999999999999886</v>
      </c>
      <c r="LI99" s="110">
        <f t="shared" si="695"/>
        <v>8.6999999999999886</v>
      </c>
      <c r="LJ99" s="110">
        <f t="shared" si="696"/>
        <v>8.6999999999999886</v>
      </c>
      <c r="LK99" s="110">
        <f t="shared" si="697"/>
        <v>8.6999999999999886</v>
      </c>
      <c r="LL99" s="110">
        <f t="shared" si="698"/>
        <v>2.7200000000000273</v>
      </c>
      <c r="LM99" s="110">
        <f t="shared" si="699"/>
        <v>0</v>
      </c>
      <c r="LN99" s="110">
        <f t="shared" si="700"/>
        <v>0</v>
      </c>
      <c r="LO99" s="110">
        <f t="shared" si="701"/>
        <v>3.9700000000000273</v>
      </c>
      <c r="LP99" s="110">
        <f t="shared" si="702"/>
        <v>3.9700000000000273</v>
      </c>
      <c r="LQ99" s="110">
        <f t="shared" si="703"/>
        <v>3.9700000000000273</v>
      </c>
      <c r="LR99" s="110">
        <f t="shared" si="704"/>
        <v>3.9700000000000273</v>
      </c>
      <c r="LS99" s="110">
        <f t="shared" si="705"/>
        <v>3.9700000000000273</v>
      </c>
      <c r="LT99" s="110">
        <f t="shared" si="706"/>
        <v>3.9700000000000273</v>
      </c>
      <c r="LV99" s="111"/>
      <c r="LW99" s="110">
        <f t="shared" si="707"/>
        <v>0</v>
      </c>
      <c r="LX99" s="110">
        <f t="shared" si="708"/>
        <v>0</v>
      </c>
      <c r="LY99" s="110">
        <f t="shared" si="709"/>
        <v>0</v>
      </c>
      <c r="LZ99" s="110">
        <f t="shared" si="710"/>
        <v>0</v>
      </c>
      <c r="MA99" s="110">
        <f t="shared" si="711"/>
        <v>0</v>
      </c>
      <c r="MB99" s="110">
        <f t="shared" si="712"/>
        <v>0</v>
      </c>
      <c r="MC99" s="110">
        <f t="shared" si="713"/>
        <v>0</v>
      </c>
      <c r="MD99" s="110">
        <f t="shared" si="714"/>
        <v>0</v>
      </c>
      <c r="ME99" s="110">
        <f t="shared" si="715"/>
        <v>0</v>
      </c>
      <c r="MF99" s="110">
        <f t="shared" si="716"/>
        <v>0</v>
      </c>
      <c r="MG99" s="110">
        <f t="shared" si="717"/>
        <v>0</v>
      </c>
      <c r="MH99" s="110">
        <f t="shared" si="718"/>
        <v>0</v>
      </c>
      <c r="MI99" s="110">
        <f t="shared" si="719"/>
        <v>0</v>
      </c>
      <c r="MJ99" s="110">
        <f t="shared" si="720"/>
        <v>0</v>
      </c>
      <c r="MK99" s="110">
        <f t="shared" si="721"/>
        <v>0</v>
      </c>
      <c r="ML99" s="110">
        <f t="shared" si="722"/>
        <v>0</v>
      </c>
      <c r="MM99" s="110">
        <f t="shared" si="723"/>
        <v>0</v>
      </c>
      <c r="MN99" s="110">
        <f t="shared" si="724"/>
        <v>0</v>
      </c>
      <c r="MO99" s="110">
        <f t="shared" si="725"/>
        <v>0</v>
      </c>
      <c r="MP99" s="110">
        <f t="shared" si="726"/>
        <v>0</v>
      </c>
      <c r="MQ99" s="110">
        <f t="shared" si="727"/>
        <v>0</v>
      </c>
      <c r="MR99" s="110">
        <f t="shared" si="728"/>
        <v>0</v>
      </c>
      <c r="MS99" s="110">
        <f t="shared" si="729"/>
        <v>0</v>
      </c>
      <c r="MT99" s="110">
        <f t="shared" si="730"/>
        <v>0</v>
      </c>
      <c r="MV99" s="114">
        <v>294</v>
      </c>
      <c r="MW99" s="114">
        <v>0</v>
      </c>
      <c r="MX99" s="114">
        <v>3.9700000000000273</v>
      </c>
      <c r="MY99" s="114">
        <v>0</v>
      </c>
      <c r="MZ99" s="114">
        <v>0</v>
      </c>
      <c r="NB99" s="115">
        <v>27</v>
      </c>
      <c r="NC99" s="115" t="str">
        <v>N/A</v>
      </c>
      <c r="ND99" s="115">
        <v>49</v>
      </c>
      <c r="NE99" s="115" t="str">
        <v>N/A</v>
      </c>
      <c r="NF99" s="115" t="str">
        <v>N/A</v>
      </c>
    </row>
    <row r="100" spans="2:370" ht="13.5" x14ac:dyDescent="0.25">
      <c r="B100" s="8">
        <f t="shared" si="731"/>
        <v>97</v>
      </c>
      <c r="C100" s="7">
        <v>319</v>
      </c>
      <c r="D100" s="7">
        <v>319</v>
      </c>
      <c r="E100" s="7">
        <v>319</v>
      </c>
      <c r="F100" s="7">
        <v>319</v>
      </c>
      <c r="G100" s="7">
        <v>319</v>
      </c>
      <c r="H100" s="7">
        <v>319</v>
      </c>
      <c r="I100" s="7">
        <v>378</v>
      </c>
      <c r="J100" s="7">
        <v>279</v>
      </c>
      <c r="K100" s="7">
        <v>279</v>
      </c>
      <c r="L100" s="7">
        <v>279</v>
      </c>
      <c r="M100" s="7">
        <v>279</v>
      </c>
      <c r="N100" s="7">
        <v>279</v>
      </c>
      <c r="O100" s="7">
        <v>279</v>
      </c>
      <c r="P100" s="7">
        <v>279</v>
      </c>
      <c r="Q100" s="7">
        <v>279</v>
      </c>
      <c r="R100" s="7">
        <v>279</v>
      </c>
      <c r="S100" s="7">
        <v>279</v>
      </c>
      <c r="T100" s="7">
        <v>279</v>
      </c>
      <c r="U100" s="7">
        <v>279</v>
      </c>
      <c r="V100" s="7">
        <v>0</v>
      </c>
      <c r="W100" s="7">
        <v>0</v>
      </c>
      <c r="X100" s="7">
        <v>0</v>
      </c>
      <c r="Y100" s="7">
        <v>0</v>
      </c>
      <c r="Z100" s="7">
        <v>0</v>
      </c>
      <c r="AA100" s="7">
        <v>0</v>
      </c>
      <c r="AB100" s="7">
        <v>0</v>
      </c>
      <c r="AC100" s="7">
        <v>0</v>
      </c>
      <c r="AD100" s="7">
        <v>0</v>
      </c>
      <c r="AE100" s="7">
        <v>0</v>
      </c>
      <c r="AF100" s="7">
        <v>0</v>
      </c>
      <c r="AG100" s="7">
        <v>0</v>
      </c>
      <c r="AH100" s="7">
        <v>0</v>
      </c>
      <c r="AI100" s="7">
        <v>0</v>
      </c>
      <c r="AJ100" s="7">
        <v>0</v>
      </c>
      <c r="AK100" s="7">
        <v>0</v>
      </c>
      <c r="AL100" s="7">
        <v>0</v>
      </c>
      <c r="AM100" s="7">
        <v>0</v>
      </c>
      <c r="AN100" s="27">
        <v>97</v>
      </c>
      <c r="AP100" s="111"/>
      <c r="AQ100" s="110">
        <f t="shared" si="492"/>
        <v>0</v>
      </c>
      <c r="AR100" s="110">
        <f t="shared" si="493"/>
        <v>59</v>
      </c>
      <c r="AS100" s="110">
        <f t="shared" si="494"/>
        <v>-99</v>
      </c>
      <c r="AT100" s="110">
        <f t="shared" si="495"/>
        <v>0</v>
      </c>
      <c r="AU100" s="110">
        <f t="shared" si="496"/>
        <v>0</v>
      </c>
      <c r="AV100" s="110">
        <f t="shared" si="497"/>
        <v>0</v>
      </c>
      <c r="AW100" s="110">
        <f t="shared" si="498"/>
        <v>-279</v>
      </c>
      <c r="AX100" s="110">
        <f t="shared" si="499"/>
        <v>0</v>
      </c>
      <c r="AY100" s="110">
        <f t="shared" si="500"/>
        <v>0</v>
      </c>
      <c r="AZ100" s="110">
        <f t="shared" si="501"/>
        <v>0</v>
      </c>
      <c r="BA100" s="110">
        <f t="shared" si="502"/>
        <v>0</v>
      </c>
      <c r="BB100" s="110">
        <f t="shared" si="503"/>
        <v>0</v>
      </c>
      <c r="BD100" s="109" cm="1">
        <f t="array" ref="BD100">+IFERROR(INDEX($C$3:$AM$3,MATCH(TRUE,INDEX($C100:$AM100&lt;&gt;0,0),0)),"N/A")</f>
        <v>44926</v>
      </c>
      <c r="BE100" s="112"/>
      <c r="BF100" s="1" t="str" cm="1">
        <f t="array" ref="BF100">+_xlfn.IFS(BT100&lt;&gt;0,BT$2,CH100&lt;&gt;0,CH$2,CV100&lt;&gt;0,CV$2,DJ100&lt;&gt;0,DJ$2,TRUE,"")</f>
        <v/>
      </c>
      <c r="BG100" s="1" t="str" cm="1">
        <f t="array" ref="BG100">+_xlfn.IFS(BU100&lt;&gt;0,BU$2,CI100&lt;&gt;0,CI$2,CW100&lt;&gt;0,CW$2,DK100&lt;&gt;0,DK$2,TRUE,"")</f>
        <v>Upsell</v>
      </c>
      <c r="BH100" s="1" t="str" cm="1">
        <f t="array" ref="BH100">+_xlfn.IFS(BV100&lt;&gt;0,BV$2,CJ100&lt;&gt;0,CJ$2,CX100&lt;&gt;0,CX$2,DL100&lt;&gt;0,DL$2,TRUE,"")</f>
        <v>Downsell</v>
      </c>
      <c r="BI100" s="1" t="str" cm="1">
        <f t="array" ref="BI100">+_xlfn.IFS(BW100&lt;&gt;0,BW$2,CK100&lt;&gt;0,CK$2,CY100&lt;&gt;0,CY$2,DM100&lt;&gt;0,DM$2,TRUE,"")</f>
        <v/>
      </c>
      <c r="BJ100" s="1" t="str" cm="1">
        <f t="array" ref="BJ100">+_xlfn.IFS(BX100&lt;&gt;0,BX$2,CL100&lt;&gt;0,CL$2,CZ100&lt;&gt;0,CZ$2,DN100&lt;&gt;0,DN$2,TRUE,"")</f>
        <v/>
      </c>
      <c r="BK100" s="1" t="str" cm="1">
        <f t="array" ref="BK100">+_xlfn.IFS(BY100&lt;&gt;0,BY$2,CM100&lt;&gt;0,CM$2,DA100&lt;&gt;0,DA$2,DO100&lt;&gt;0,DO$2,TRUE,"")</f>
        <v/>
      </c>
      <c r="BL100" s="1" t="str" cm="1">
        <f t="array" ref="BL100">+_xlfn.IFS(BZ100&lt;&gt;0,BZ$2,CN100&lt;&gt;0,CN$2,DB100&lt;&gt;0,DB$2,DP100&lt;&gt;0,DP$2,TRUE,"")</f>
        <v>Churn</v>
      </c>
      <c r="BM100" s="1" t="str" cm="1">
        <f t="array" ref="BM100">+_xlfn.IFS(CA100&lt;&gt;0,CA$2,CO100&lt;&gt;0,CO$2,DC100&lt;&gt;0,DC$2,DQ100&lt;&gt;0,DQ$2,TRUE,"")</f>
        <v/>
      </c>
      <c r="BN100" s="1" t="str" cm="1">
        <f t="array" ref="BN100">+_xlfn.IFS(CB100&lt;&gt;0,CB$2,CP100&lt;&gt;0,CP$2,DD100&lt;&gt;0,DD$2,DR100&lt;&gt;0,DR$2,TRUE,"")</f>
        <v/>
      </c>
      <c r="BO100" s="1" t="str" cm="1">
        <f t="array" ref="BO100">+_xlfn.IFS(CC100&lt;&gt;0,CC$2,CQ100&lt;&gt;0,CQ$2,DE100&lt;&gt;0,DE$2,DS100&lt;&gt;0,DS$2,TRUE,"")</f>
        <v/>
      </c>
      <c r="BP100" s="1" t="str" cm="1">
        <f t="array" ref="BP100">+_xlfn.IFS(CD100&lt;&gt;0,CD$2,CR100&lt;&gt;0,CR$2,DF100&lt;&gt;0,DF$2,DT100&lt;&gt;0,DT$2,TRUE,"")</f>
        <v/>
      </c>
      <c r="BQ100" s="1" t="str" cm="1">
        <f t="array" ref="BQ100">+_xlfn.IFS(CE100&lt;&gt;0,CE$2,CS100&lt;&gt;0,CS$2,DG100&lt;&gt;0,DG$2,DU100&lt;&gt;0,DU$2,TRUE,"")</f>
        <v/>
      </c>
      <c r="BS100" s="111"/>
      <c r="BT100" s="110">
        <f t="shared" si="504"/>
        <v>0</v>
      </c>
      <c r="BU100" s="110">
        <f t="shared" si="505"/>
        <v>0</v>
      </c>
      <c r="BV100" s="110">
        <f t="shared" si="506"/>
        <v>0</v>
      </c>
      <c r="BW100" s="110">
        <f t="shared" si="507"/>
        <v>0</v>
      </c>
      <c r="BX100" s="110">
        <f t="shared" si="508"/>
        <v>0</v>
      </c>
      <c r="BY100" s="110">
        <f t="shared" si="509"/>
        <v>0</v>
      </c>
      <c r="BZ100" s="110">
        <f t="shared" si="510"/>
        <v>0</v>
      </c>
      <c r="CA100" s="110">
        <f t="shared" si="511"/>
        <v>0</v>
      </c>
      <c r="CB100" s="110">
        <f t="shared" si="512"/>
        <v>0</v>
      </c>
      <c r="CC100" s="110">
        <f t="shared" si="513"/>
        <v>0</v>
      </c>
      <c r="CD100" s="110">
        <f t="shared" si="514"/>
        <v>0</v>
      </c>
      <c r="CE100" s="110">
        <f t="shared" si="515"/>
        <v>0</v>
      </c>
      <c r="CG100" s="111"/>
      <c r="CH100" s="110">
        <f t="shared" si="516"/>
        <v>0</v>
      </c>
      <c r="CI100" s="110">
        <f t="shared" si="517"/>
        <v>0</v>
      </c>
      <c r="CJ100" s="110">
        <f t="shared" si="518"/>
        <v>0</v>
      </c>
      <c r="CK100" s="110">
        <f t="shared" si="519"/>
        <v>0</v>
      </c>
      <c r="CL100" s="110">
        <f t="shared" si="520"/>
        <v>0</v>
      </c>
      <c r="CM100" s="110">
        <f t="shared" si="521"/>
        <v>0</v>
      </c>
      <c r="CN100" s="110">
        <f t="shared" si="522"/>
        <v>-279</v>
      </c>
      <c r="CO100" s="110">
        <f t="shared" si="523"/>
        <v>0</v>
      </c>
      <c r="CP100" s="110">
        <f t="shared" si="524"/>
        <v>0</v>
      </c>
      <c r="CQ100" s="110">
        <f t="shared" si="525"/>
        <v>0</v>
      </c>
      <c r="CR100" s="110">
        <f t="shared" si="526"/>
        <v>0</v>
      </c>
      <c r="CS100" s="110">
        <f t="shared" si="527"/>
        <v>0</v>
      </c>
      <c r="CU100" s="111"/>
      <c r="CV100" s="110">
        <f t="shared" si="528"/>
        <v>0</v>
      </c>
      <c r="CW100" s="110">
        <f t="shared" si="529"/>
        <v>0</v>
      </c>
      <c r="CX100" s="110">
        <f t="shared" si="530"/>
        <v>-99</v>
      </c>
      <c r="CY100" s="110">
        <f t="shared" si="531"/>
        <v>0</v>
      </c>
      <c r="CZ100" s="110">
        <f t="shared" si="532"/>
        <v>0</v>
      </c>
      <c r="DA100" s="110">
        <f t="shared" si="533"/>
        <v>0</v>
      </c>
      <c r="DB100" s="110">
        <f t="shared" si="534"/>
        <v>0</v>
      </c>
      <c r="DC100" s="110">
        <f t="shared" si="535"/>
        <v>0</v>
      </c>
      <c r="DD100" s="110">
        <f t="shared" si="536"/>
        <v>0</v>
      </c>
      <c r="DE100" s="110">
        <f t="shared" si="537"/>
        <v>0</v>
      </c>
      <c r="DF100" s="110">
        <f t="shared" si="538"/>
        <v>0</v>
      </c>
      <c r="DG100" s="110">
        <f t="shared" si="539"/>
        <v>0</v>
      </c>
      <c r="DI100" s="111"/>
      <c r="DJ100" s="110">
        <f t="shared" si="540"/>
        <v>0</v>
      </c>
      <c r="DK100" s="110">
        <f t="shared" si="541"/>
        <v>59</v>
      </c>
      <c r="DL100" s="110">
        <f t="shared" si="542"/>
        <v>0</v>
      </c>
      <c r="DM100" s="110">
        <f t="shared" si="543"/>
        <v>0</v>
      </c>
      <c r="DN100" s="110">
        <f t="shared" si="544"/>
        <v>0</v>
      </c>
      <c r="DO100" s="110">
        <f t="shared" si="545"/>
        <v>0</v>
      </c>
      <c r="DP100" s="110">
        <f t="shared" si="546"/>
        <v>0</v>
      </c>
      <c r="DQ100" s="110">
        <f t="shared" si="547"/>
        <v>0</v>
      </c>
      <c r="DR100" s="110">
        <f t="shared" si="548"/>
        <v>0</v>
      </c>
      <c r="DS100" s="110">
        <f t="shared" si="549"/>
        <v>0</v>
      </c>
      <c r="DT100" s="110">
        <f t="shared" si="550"/>
        <v>0</v>
      </c>
      <c r="DU100" s="110">
        <f t="shared" si="551"/>
        <v>0</v>
      </c>
      <c r="DW100" s="111"/>
      <c r="DX100" s="110">
        <f t="shared" si="552"/>
        <v>0</v>
      </c>
      <c r="DY100" s="110">
        <f t="shared" si="553"/>
        <v>0</v>
      </c>
      <c r="DZ100" s="110">
        <f t="shared" si="554"/>
        <v>0</v>
      </c>
      <c r="EA100" s="110">
        <f t="shared" si="555"/>
        <v>0</v>
      </c>
      <c r="EB100" s="110">
        <f t="shared" si="556"/>
        <v>0</v>
      </c>
      <c r="EC100" s="110">
        <f t="shared" si="557"/>
        <v>0</v>
      </c>
      <c r="ED100" s="110">
        <f t="shared" si="558"/>
        <v>0</v>
      </c>
      <c r="EE100" s="110">
        <f t="shared" si="559"/>
        <v>0</v>
      </c>
      <c r="EF100" s="110">
        <f t="shared" si="560"/>
        <v>0</v>
      </c>
      <c r="EG100" s="110">
        <f t="shared" si="561"/>
        <v>0</v>
      </c>
      <c r="EH100" s="110">
        <f t="shared" si="562"/>
        <v>0</v>
      </c>
      <c r="EI100" s="110">
        <f t="shared" si="563"/>
        <v>0</v>
      </c>
      <c r="EK100" s="111"/>
      <c r="EL100" s="110">
        <f t="shared" si="564"/>
        <v>-40</v>
      </c>
      <c r="EM100" s="110">
        <f t="shared" si="565"/>
        <v>-279</v>
      </c>
      <c r="EN100" s="110">
        <f t="shared" si="566"/>
        <v>0</v>
      </c>
      <c r="EP100" s="109" cm="1">
        <f t="array" ref="EP100">+IFERROR(INDEX($C$3:$AM$3,MATCH(TRUE,INDEX($C100:$AM100&lt;&gt;0,0),0)),"N/A")</f>
        <v>44926</v>
      </c>
      <c r="EQ100" s="112"/>
      <c r="ER100" s="1" t="str" cm="1">
        <f t="array" ref="ER100">+_xlfn.IFS(EW100&lt;&gt;0,EW$2,FB100&lt;&gt;0,FB$2,FG100&lt;&gt;0,FG$2,FL100&lt;&gt;0,FL$2,TRUE,"")</f>
        <v>Downsell</v>
      </c>
      <c r="ES100" s="1" t="str" cm="1">
        <f t="array" ref="ES100">+_xlfn.IFS(EX100&lt;&gt;0,EX$2,FC100&lt;&gt;0,FC$2,FH100&lt;&gt;0,FH$2,FM100&lt;&gt;0,FM$2,TRUE,"")</f>
        <v>Churn</v>
      </c>
      <c r="ET100" s="1" t="str" cm="1">
        <f t="array" ref="ET100">+_xlfn.IFS(EY100&lt;&gt;0,EY$2,FD100&lt;&gt;0,FD$2,FI100&lt;&gt;0,FI$2,FN100&lt;&gt;0,FN$2,TRUE,"")</f>
        <v/>
      </c>
      <c r="EV100" s="111"/>
      <c r="EW100" s="110">
        <f t="shared" si="567"/>
        <v>0</v>
      </c>
      <c r="EX100" s="110">
        <f t="shared" si="568"/>
        <v>0</v>
      </c>
      <c r="EY100" s="110">
        <f t="shared" si="569"/>
        <v>0</v>
      </c>
      <c r="FA100" s="111"/>
      <c r="FB100" s="110">
        <f t="shared" si="570"/>
        <v>0</v>
      </c>
      <c r="FC100" s="110">
        <f t="shared" si="571"/>
        <v>-279</v>
      </c>
      <c r="FD100" s="110">
        <f t="shared" si="572"/>
        <v>0</v>
      </c>
      <c r="FF100" s="111"/>
      <c r="FG100" s="110">
        <f t="shared" si="573"/>
        <v>-40</v>
      </c>
      <c r="FH100" s="110">
        <f t="shared" si="574"/>
        <v>0</v>
      </c>
      <c r="FI100" s="110">
        <f t="shared" si="575"/>
        <v>0</v>
      </c>
      <c r="FK100" s="111"/>
      <c r="FL100" s="110">
        <f t="shared" si="576"/>
        <v>0</v>
      </c>
      <c r="FM100" s="110">
        <f t="shared" si="577"/>
        <v>0</v>
      </c>
      <c r="FN100" s="110">
        <f t="shared" si="578"/>
        <v>0</v>
      </c>
      <c r="FP100" s="111"/>
      <c r="FQ100" s="110">
        <f t="shared" si="579"/>
        <v>0</v>
      </c>
      <c r="FR100" s="110">
        <f t="shared" si="580"/>
        <v>0</v>
      </c>
      <c r="FS100" s="110">
        <f t="shared" si="581"/>
        <v>0</v>
      </c>
      <c r="FU100" s="111">
        <f t="shared" si="582"/>
        <v>-40</v>
      </c>
      <c r="FV100" s="110">
        <f t="shared" si="583"/>
        <v>-40</v>
      </c>
      <c r="FW100" s="110">
        <f t="shared" si="584"/>
        <v>-40</v>
      </c>
      <c r="FX100" s="110">
        <f t="shared" si="585"/>
        <v>-40</v>
      </c>
      <c r="FY100" s="110">
        <f t="shared" si="586"/>
        <v>-40</v>
      </c>
      <c r="FZ100" s="110">
        <f t="shared" si="587"/>
        <v>-40</v>
      </c>
      <c r="GA100" s="110">
        <f t="shared" si="588"/>
        <v>-99</v>
      </c>
      <c r="GB100" s="110">
        <f t="shared" si="589"/>
        <v>-279</v>
      </c>
      <c r="GC100" s="110">
        <f t="shared" si="590"/>
        <v>-279</v>
      </c>
      <c r="GD100" s="110">
        <f t="shared" si="591"/>
        <v>-279</v>
      </c>
      <c r="GE100" s="110">
        <f t="shared" si="592"/>
        <v>-279</v>
      </c>
      <c r="GF100" s="110">
        <f t="shared" si="593"/>
        <v>-279</v>
      </c>
      <c r="GG100" s="110">
        <f t="shared" si="594"/>
        <v>-279</v>
      </c>
      <c r="GH100" s="110">
        <f t="shared" si="595"/>
        <v>-279</v>
      </c>
      <c r="GI100" s="110">
        <f t="shared" si="596"/>
        <v>-279</v>
      </c>
      <c r="GJ100" s="110">
        <f t="shared" si="597"/>
        <v>-279</v>
      </c>
      <c r="GK100" s="110">
        <f t="shared" si="598"/>
        <v>-279</v>
      </c>
      <c r="GL100" s="110">
        <f t="shared" si="599"/>
        <v>-279</v>
      </c>
      <c r="GM100" s="110">
        <f t="shared" si="600"/>
        <v>-279</v>
      </c>
      <c r="GN100" s="110">
        <f t="shared" si="601"/>
        <v>0</v>
      </c>
      <c r="GO100" s="110">
        <f t="shared" si="602"/>
        <v>0</v>
      </c>
      <c r="GP100" s="110">
        <f t="shared" si="603"/>
        <v>0</v>
      </c>
      <c r="GQ100" s="110">
        <f t="shared" si="604"/>
        <v>0</v>
      </c>
      <c r="GR100" s="110">
        <f t="shared" si="605"/>
        <v>0</v>
      </c>
      <c r="GS100" s="110">
        <f t="shared" si="606"/>
        <v>0</v>
      </c>
      <c r="GU100" s="109" cm="1">
        <f t="array" ref="GU100">+IFERROR(INDEX($C$3:$AM$3,MATCH(TRUE,INDEX($C100:$AM100&lt;&gt;0,0),0)),"N/A")</f>
        <v>44926</v>
      </c>
      <c r="GV100" s="112" t="str" cm="1">
        <f t="array" ref="GV100">+_xlfn.IFS(HV100&lt;&gt;0,HV$2,IV100&lt;&gt;0,IV$2,JV100&lt;&gt;0,JV$2,KV100&lt;&gt;0,KV$2,TRUE,"")</f>
        <v>Downsell</v>
      </c>
      <c r="GW100" s="1" t="str" cm="1">
        <f t="array" ref="GW100">+_xlfn.IFS(HW100&lt;&gt;0,HW$2,IW100&lt;&gt;0,IW$2,JW100&lt;&gt;0,JW$2,KW100&lt;&gt;0,KW$2,TRUE,"")</f>
        <v>Downsell</v>
      </c>
      <c r="GX100" s="1" t="str" cm="1">
        <f t="array" ref="GX100">+_xlfn.IFS(HX100&lt;&gt;0,HX$2,IX100&lt;&gt;0,IX$2,JX100&lt;&gt;0,JX$2,KX100&lt;&gt;0,KX$2,TRUE,"")</f>
        <v>Downsell</v>
      </c>
      <c r="GY100" s="1" t="str" cm="1">
        <f t="array" ref="GY100">+_xlfn.IFS(HY100&lt;&gt;0,HY$2,IY100&lt;&gt;0,IY$2,JY100&lt;&gt;0,JY$2,KY100&lt;&gt;0,KY$2,TRUE,"")</f>
        <v>Downsell</v>
      </c>
      <c r="GZ100" s="1" t="str" cm="1">
        <f t="array" ref="GZ100">+_xlfn.IFS(HZ100&lt;&gt;0,HZ$2,IZ100&lt;&gt;0,IZ$2,JZ100&lt;&gt;0,JZ$2,KZ100&lt;&gt;0,KZ$2,TRUE,"")</f>
        <v>Downsell</v>
      </c>
      <c r="HA100" s="1" t="str" cm="1">
        <f t="array" ref="HA100">+_xlfn.IFS(IA100&lt;&gt;0,IA$2,JA100&lt;&gt;0,JA$2,KA100&lt;&gt;0,KA$2,LA100&lt;&gt;0,LA$2,TRUE,"")</f>
        <v>Downsell</v>
      </c>
      <c r="HB100" s="1" t="str" cm="1">
        <f t="array" ref="HB100">+_xlfn.IFS(IB100&lt;&gt;0,IB$2,JB100&lt;&gt;0,JB$2,KB100&lt;&gt;0,KB$2,LB100&lt;&gt;0,LB$2,TRUE,"")</f>
        <v>Downsell</v>
      </c>
      <c r="HC100" s="1" t="str" cm="1">
        <f t="array" ref="HC100">+_xlfn.IFS(IC100&lt;&gt;0,IC$2,JC100&lt;&gt;0,JC$2,KC100&lt;&gt;0,KC$2,LC100&lt;&gt;0,LC$2,TRUE,"")</f>
        <v>Churn</v>
      </c>
      <c r="HD100" s="1" t="str" cm="1">
        <f t="array" ref="HD100">+_xlfn.IFS(ID100&lt;&gt;0,ID$2,JD100&lt;&gt;0,JD$2,KD100&lt;&gt;0,KD$2,LD100&lt;&gt;0,LD$2,TRUE,"")</f>
        <v>Churn</v>
      </c>
      <c r="HE100" s="1" t="str" cm="1">
        <f t="array" ref="HE100">+_xlfn.IFS(IE100&lt;&gt;0,IE$2,JE100&lt;&gt;0,JE$2,KE100&lt;&gt;0,KE$2,LE100&lt;&gt;0,LE$2,TRUE,"")</f>
        <v>Churn</v>
      </c>
      <c r="HF100" s="1" t="str" cm="1">
        <f t="array" ref="HF100">+_xlfn.IFS(IF100&lt;&gt;0,IF$2,JF100&lt;&gt;0,JF$2,KF100&lt;&gt;0,KF$2,LF100&lt;&gt;0,LF$2,TRUE,"")</f>
        <v>Churn</v>
      </c>
      <c r="HG100" s="1" t="str" cm="1">
        <f t="array" ref="HG100">+_xlfn.IFS(IG100&lt;&gt;0,IG$2,JG100&lt;&gt;0,JG$2,KG100&lt;&gt;0,KG$2,LG100&lt;&gt;0,LG$2,TRUE,"")</f>
        <v>Churn</v>
      </c>
      <c r="HH100" s="1" t="str" cm="1">
        <f t="array" ref="HH100">+_xlfn.IFS(IH100&lt;&gt;0,IH$2,JH100&lt;&gt;0,JH$2,KH100&lt;&gt;0,KH$2,LH100&lt;&gt;0,LH$2,TRUE,"")</f>
        <v>Churn</v>
      </c>
      <c r="HI100" s="1" t="str" cm="1">
        <f t="array" ref="HI100">+_xlfn.IFS(II100&lt;&gt;0,II$2,JI100&lt;&gt;0,JI$2,KI100&lt;&gt;0,KI$2,LI100&lt;&gt;0,LI$2,TRUE,"")</f>
        <v>Churn</v>
      </c>
      <c r="HJ100" s="1" t="str" cm="1">
        <f t="array" ref="HJ100">+_xlfn.IFS(IJ100&lt;&gt;0,IJ$2,JJ100&lt;&gt;0,JJ$2,KJ100&lt;&gt;0,KJ$2,LJ100&lt;&gt;0,LJ$2,TRUE,"")</f>
        <v>Churn</v>
      </c>
      <c r="HK100" s="1" t="str" cm="1">
        <f t="array" ref="HK100">+_xlfn.IFS(IK100&lt;&gt;0,IK$2,JK100&lt;&gt;0,JK$2,KK100&lt;&gt;0,KK$2,LK100&lt;&gt;0,LK$2,TRUE,"")</f>
        <v>Churn</v>
      </c>
      <c r="HL100" s="1" t="str" cm="1">
        <f t="array" ref="HL100">+_xlfn.IFS(IL100&lt;&gt;0,IL$2,JL100&lt;&gt;0,JL$2,KL100&lt;&gt;0,KL$2,LL100&lt;&gt;0,LL$2,TRUE,"")</f>
        <v>Churn</v>
      </c>
      <c r="HM100" s="1" t="str" cm="1">
        <f t="array" ref="HM100">+_xlfn.IFS(IM100&lt;&gt;0,IM$2,JM100&lt;&gt;0,JM$2,KM100&lt;&gt;0,KM$2,LM100&lt;&gt;0,LM$2,TRUE,"")</f>
        <v>Churn</v>
      </c>
      <c r="HN100" s="1" t="str" cm="1">
        <f t="array" ref="HN100">+_xlfn.IFS(IN100&lt;&gt;0,IN$2,JN100&lt;&gt;0,JN$2,KN100&lt;&gt;0,KN$2,LN100&lt;&gt;0,LN$2,TRUE,"")</f>
        <v>Churn</v>
      </c>
      <c r="HO100" s="1" t="str" cm="1">
        <f t="array" ref="HO100">+_xlfn.IFS(IO100&lt;&gt;0,IO$2,JO100&lt;&gt;0,JO$2,KO100&lt;&gt;0,KO$2,LO100&lt;&gt;0,LO$2,TRUE,"")</f>
        <v/>
      </c>
      <c r="HP100" s="1" t="str" cm="1">
        <f t="array" ref="HP100">+_xlfn.IFS(IP100&lt;&gt;0,IP$2,JP100&lt;&gt;0,JP$2,KP100&lt;&gt;0,KP$2,LP100&lt;&gt;0,LP$2,TRUE,"")</f>
        <v/>
      </c>
      <c r="HQ100" s="1" t="str" cm="1">
        <f t="array" ref="HQ100">+_xlfn.IFS(IQ100&lt;&gt;0,IQ$2,JQ100&lt;&gt;0,JQ$2,KQ100&lt;&gt;0,KQ$2,LQ100&lt;&gt;0,LQ$2,TRUE,"")</f>
        <v/>
      </c>
      <c r="HR100" s="1" t="str" cm="1">
        <f t="array" ref="HR100">+_xlfn.IFS(IR100&lt;&gt;0,IR$2,JR100&lt;&gt;0,JR$2,KR100&lt;&gt;0,KR$2,LR100&lt;&gt;0,LR$2,TRUE,"")</f>
        <v/>
      </c>
      <c r="HS100" s="1" t="str" cm="1">
        <f t="array" ref="HS100">+_xlfn.IFS(IS100&lt;&gt;0,IS$2,JS100&lt;&gt;0,JS$2,KS100&lt;&gt;0,KS$2,LS100&lt;&gt;0,LS$2,TRUE,"")</f>
        <v/>
      </c>
      <c r="HT100" s="1" t="str" cm="1">
        <f t="array" ref="HT100">+_xlfn.IFS(IT100&lt;&gt;0,IT$2,JT100&lt;&gt;0,JT$2,KT100&lt;&gt;0,KT$2,LT100&lt;&gt;0,LT$2,TRUE,"")</f>
        <v/>
      </c>
      <c r="HV100" s="111">
        <f t="shared" si="607"/>
        <v>0</v>
      </c>
      <c r="HW100" s="110">
        <f t="shared" si="608"/>
        <v>0</v>
      </c>
      <c r="HX100" s="110">
        <f t="shared" si="609"/>
        <v>0</v>
      </c>
      <c r="HY100" s="110">
        <f t="shared" si="610"/>
        <v>0</v>
      </c>
      <c r="HZ100" s="110">
        <f t="shared" si="611"/>
        <v>0</v>
      </c>
      <c r="IA100" s="110">
        <f t="shared" si="612"/>
        <v>0</v>
      </c>
      <c r="IB100" s="110">
        <f t="shared" si="613"/>
        <v>0</v>
      </c>
      <c r="IC100" s="110">
        <f t="shared" si="614"/>
        <v>0</v>
      </c>
      <c r="ID100" s="110">
        <f t="shared" si="615"/>
        <v>0</v>
      </c>
      <c r="IE100" s="110">
        <f t="shared" si="616"/>
        <v>0</v>
      </c>
      <c r="IF100" s="110">
        <f t="shared" si="617"/>
        <v>0</v>
      </c>
      <c r="IG100" s="110">
        <f t="shared" si="618"/>
        <v>0</v>
      </c>
      <c r="IH100" s="110">
        <f t="shared" si="619"/>
        <v>0</v>
      </c>
      <c r="II100" s="110">
        <f t="shared" si="620"/>
        <v>0</v>
      </c>
      <c r="IJ100" s="110">
        <f t="shared" si="621"/>
        <v>0</v>
      </c>
      <c r="IK100" s="110">
        <f t="shared" si="622"/>
        <v>0</v>
      </c>
      <c r="IL100" s="110">
        <f t="shared" si="623"/>
        <v>0</v>
      </c>
      <c r="IM100" s="110">
        <f t="shared" si="624"/>
        <v>0</v>
      </c>
      <c r="IN100" s="110">
        <f t="shared" si="625"/>
        <v>0</v>
      </c>
      <c r="IO100" s="110">
        <f t="shared" si="626"/>
        <v>0</v>
      </c>
      <c r="IP100" s="110">
        <f t="shared" si="627"/>
        <v>0</v>
      </c>
      <c r="IQ100" s="110">
        <f t="shared" si="628"/>
        <v>0</v>
      </c>
      <c r="IR100" s="110">
        <f t="shared" si="629"/>
        <v>0</v>
      </c>
      <c r="IS100" s="110">
        <f t="shared" si="630"/>
        <v>0</v>
      </c>
      <c r="IT100" s="110">
        <f t="shared" si="631"/>
        <v>0</v>
      </c>
      <c r="IV100" s="111">
        <f t="shared" si="632"/>
        <v>0</v>
      </c>
      <c r="IW100" s="110">
        <f t="shared" si="633"/>
        <v>0</v>
      </c>
      <c r="IX100" s="110">
        <f t="shared" si="634"/>
        <v>0</v>
      </c>
      <c r="IY100" s="110">
        <f t="shared" si="635"/>
        <v>0</v>
      </c>
      <c r="IZ100" s="110">
        <f t="shared" si="636"/>
        <v>0</v>
      </c>
      <c r="JA100" s="110">
        <f t="shared" si="637"/>
        <v>0</v>
      </c>
      <c r="JB100" s="110">
        <f t="shared" si="638"/>
        <v>0</v>
      </c>
      <c r="JC100" s="110">
        <f t="shared" si="639"/>
        <v>-279</v>
      </c>
      <c r="JD100" s="110">
        <f t="shared" si="640"/>
        <v>-279</v>
      </c>
      <c r="JE100" s="110">
        <f t="shared" si="641"/>
        <v>-279</v>
      </c>
      <c r="JF100" s="110">
        <f t="shared" si="642"/>
        <v>-279</v>
      </c>
      <c r="JG100" s="110">
        <f t="shared" si="643"/>
        <v>-279</v>
      </c>
      <c r="JH100" s="110">
        <f t="shared" si="644"/>
        <v>-279</v>
      </c>
      <c r="JI100" s="110">
        <f t="shared" si="645"/>
        <v>-279</v>
      </c>
      <c r="JJ100" s="110">
        <f t="shared" si="646"/>
        <v>-279</v>
      </c>
      <c r="JK100" s="110">
        <f t="shared" si="647"/>
        <v>-279</v>
      </c>
      <c r="JL100" s="110">
        <f t="shared" si="648"/>
        <v>-279</v>
      </c>
      <c r="JM100" s="110">
        <f t="shared" si="649"/>
        <v>-279</v>
      </c>
      <c r="JN100" s="110">
        <f t="shared" si="650"/>
        <v>-279</v>
      </c>
      <c r="JO100" s="110">
        <f t="shared" si="651"/>
        <v>0</v>
      </c>
      <c r="JP100" s="110">
        <f t="shared" si="652"/>
        <v>0</v>
      </c>
      <c r="JQ100" s="110">
        <f t="shared" si="653"/>
        <v>0</v>
      </c>
      <c r="JR100" s="110">
        <f t="shared" si="654"/>
        <v>0</v>
      </c>
      <c r="JS100" s="110">
        <f t="shared" si="655"/>
        <v>0</v>
      </c>
      <c r="JT100" s="110">
        <f t="shared" si="656"/>
        <v>0</v>
      </c>
      <c r="JV100" s="111">
        <f t="shared" si="657"/>
        <v>-40</v>
      </c>
      <c r="JW100" s="110">
        <f t="shared" si="658"/>
        <v>-40</v>
      </c>
      <c r="JX100" s="110">
        <f t="shared" si="659"/>
        <v>-40</v>
      </c>
      <c r="JY100" s="110">
        <f t="shared" si="660"/>
        <v>-40</v>
      </c>
      <c r="JZ100" s="110">
        <f t="shared" si="661"/>
        <v>-40</v>
      </c>
      <c r="KA100" s="110">
        <f t="shared" si="662"/>
        <v>-40</v>
      </c>
      <c r="KB100" s="110">
        <f t="shared" si="663"/>
        <v>-99</v>
      </c>
      <c r="KC100" s="110">
        <f t="shared" si="664"/>
        <v>0</v>
      </c>
      <c r="KD100" s="110">
        <f t="shared" si="665"/>
        <v>0</v>
      </c>
      <c r="KE100" s="110">
        <f t="shared" si="666"/>
        <v>0</v>
      </c>
      <c r="KF100" s="110">
        <f t="shared" si="667"/>
        <v>0</v>
      </c>
      <c r="KG100" s="110">
        <f t="shared" si="668"/>
        <v>0</v>
      </c>
      <c r="KH100" s="110">
        <f t="shared" si="669"/>
        <v>0</v>
      </c>
      <c r="KI100" s="110">
        <f t="shared" si="670"/>
        <v>0</v>
      </c>
      <c r="KJ100" s="110">
        <f t="shared" si="671"/>
        <v>0</v>
      </c>
      <c r="KK100" s="110">
        <f t="shared" si="672"/>
        <v>0</v>
      </c>
      <c r="KL100" s="110">
        <f t="shared" si="673"/>
        <v>0</v>
      </c>
      <c r="KM100" s="110">
        <f t="shared" si="674"/>
        <v>0</v>
      </c>
      <c r="KN100" s="110">
        <f t="shared" si="675"/>
        <v>0</v>
      </c>
      <c r="KO100" s="110">
        <f t="shared" si="676"/>
        <v>0</v>
      </c>
      <c r="KP100" s="110">
        <f t="shared" si="677"/>
        <v>0</v>
      </c>
      <c r="KQ100" s="110">
        <f t="shared" si="678"/>
        <v>0</v>
      </c>
      <c r="KR100" s="110">
        <f t="shared" si="679"/>
        <v>0</v>
      </c>
      <c r="KS100" s="110">
        <f t="shared" si="680"/>
        <v>0</v>
      </c>
      <c r="KT100" s="110">
        <f t="shared" si="681"/>
        <v>0</v>
      </c>
      <c r="KV100" s="111">
        <f t="shared" si="682"/>
        <v>0</v>
      </c>
      <c r="KW100" s="110">
        <f t="shared" si="683"/>
        <v>0</v>
      </c>
      <c r="KX100" s="110">
        <f t="shared" si="684"/>
        <v>0</v>
      </c>
      <c r="KY100" s="110">
        <f t="shared" si="685"/>
        <v>0</v>
      </c>
      <c r="KZ100" s="110">
        <f t="shared" si="686"/>
        <v>0</v>
      </c>
      <c r="LA100" s="110">
        <f t="shared" si="687"/>
        <v>0</v>
      </c>
      <c r="LB100" s="110">
        <f t="shared" si="688"/>
        <v>0</v>
      </c>
      <c r="LC100" s="110">
        <f t="shared" si="689"/>
        <v>0</v>
      </c>
      <c r="LD100" s="110">
        <f t="shared" si="690"/>
        <v>0</v>
      </c>
      <c r="LE100" s="110">
        <f t="shared" si="691"/>
        <v>0</v>
      </c>
      <c r="LF100" s="110">
        <f t="shared" si="692"/>
        <v>0</v>
      </c>
      <c r="LG100" s="110">
        <f t="shared" si="693"/>
        <v>0</v>
      </c>
      <c r="LH100" s="110">
        <f t="shared" si="694"/>
        <v>0</v>
      </c>
      <c r="LI100" s="110">
        <f t="shared" si="695"/>
        <v>0</v>
      </c>
      <c r="LJ100" s="110">
        <f t="shared" si="696"/>
        <v>0</v>
      </c>
      <c r="LK100" s="110">
        <f t="shared" si="697"/>
        <v>0</v>
      </c>
      <c r="LL100" s="110">
        <f t="shared" si="698"/>
        <v>0</v>
      </c>
      <c r="LM100" s="110">
        <f t="shared" si="699"/>
        <v>0</v>
      </c>
      <c r="LN100" s="110">
        <f t="shared" si="700"/>
        <v>0</v>
      </c>
      <c r="LO100" s="110">
        <f t="shared" si="701"/>
        <v>0</v>
      </c>
      <c r="LP100" s="110">
        <f t="shared" si="702"/>
        <v>0</v>
      </c>
      <c r="LQ100" s="110">
        <f t="shared" si="703"/>
        <v>0</v>
      </c>
      <c r="LR100" s="110">
        <f t="shared" si="704"/>
        <v>0</v>
      </c>
      <c r="LS100" s="110">
        <f t="shared" si="705"/>
        <v>0</v>
      </c>
      <c r="LT100" s="110">
        <f t="shared" si="706"/>
        <v>0</v>
      </c>
      <c r="LV100" s="111"/>
      <c r="LW100" s="110">
        <f t="shared" si="707"/>
        <v>0</v>
      </c>
      <c r="LX100" s="110">
        <f t="shared" si="708"/>
        <v>0</v>
      </c>
      <c r="LY100" s="110">
        <f t="shared" si="709"/>
        <v>0</v>
      </c>
      <c r="LZ100" s="110">
        <f t="shared" si="710"/>
        <v>0</v>
      </c>
      <c r="MA100" s="110">
        <f t="shared" si="711"/>
        <v>0</v>
      </c>
      <c r="MB100" s="110">
        <f t="shared" si="712"/>
        <v>0</v>
      </c>
      <c r="MC100" s="110">
        <f t="shared" si="713"/>
        <v>0</v>
      </c>
      <c r="MD100" s="110">
        <f t="shared" si="714"/>
        <v>0</v>
      </c>
      <c r="ME100" s="110">
        <f t="shared" si="715"/>
        <v>0</v>
      </c>
      <c r="MF100" s="110">
        <f t="shared" si="716"/>
        <v>0</v>
      </c>
      <c r="MG100" s="110">
        <f t="shared" si="717"/>
        <v>0</v>
      </c>
      <c r="MH100" s="110">
        <f t="shared" si="718"/>
        <v>0</v>
      </c>
      <c r="MI100" s="110">
        <f t="shared" si="719"/>
        <v>0</v>
      </c>
      <c r="MJ100" s="110">
        <f t="shared" si="720"/>
        <v>0</v>
      </c>
      <c r="MK100" s="110">
        <f t="shared" si="721"/>
        <v>0</v>
      </c>
      <c r="ML100" s="110">
        <f t="shared" si="722"/>
        <v>0</v>
      </c>
      <c r="MM100" s="110">
        <f t="shared" si="723"/>
        <v>0</v>
      </c>
      <c r="MN100" s="110">
        <f t="shared" si="724"/>
        <v>0</v>
      </c>
      <c r="MO100" s="110">
        <f t="shared" si="725"/>
        <v>0</v>
      </c>
      <c r="MP100" s="110">
        <f t="shared" si="726"/>
        <v>0</v>
      </c>
      <c r="MQ100" s="110">
        <f t="shared" si="727"/>
        <v>0</v>
      </c>
      <c r="MR100" s="110">
        <f t="shared" si="728"/>
        <v>0</v>
      </c>
      <c r="MS100" s="110">
        <f t="shared" si="729"/>
        <v>0</v>
      </c>
      <c r="MT100" s="110">
        <f t="shared" si="730"/>
        <v>0</v>
      </c>
      <c r="MV100" s="114">
        <v>0</v>
      </c>
      <c r="MW100" s="114">
        <v>0</v>
      </c>
      <c r="MX100" s="114">
        <v>0</v>
      </c>
      <c r="MY100" s="114">
        <v>0</v>
      </c>
      <c r="MZ100" s="114">
        <v>0</v>
      </c>
      <c r="NB100" s="115" t="str">
        <v>N/A</v>
      </c>
      <c r="NC100" s="115" t="str">
        <v>N/A</v>
      </c>
      <c r="ND100" s="115" t="str">
        <v>N/A</v>
      </c>
      <c r="NE100" s="115" t="str">
        <v>N/A</v>
      </c>
      <c r="NF100" s="115" t="str">
        <v>N/A</v>
      </c>
    </row>
    <row r="101" spans="2:370" ht="13.5" x14ac:dyDescent="0.25">
      <c r="B101" s="8">
        <f t="shared" si="731"/>
        <v>98</v>
      </c>
      <c r="C101" s="7">
        <v>299</v>
      </c>
      <c r="D101" s="7">
        <v>299</v>
      </c>
      <c r="E101" s="7">
        <v>299</v>
      </c>
      <c r="F101" s="7">
        <v>299</v>
      </c>
      <c r="G101" s="7">
        <v>299</v>
      </c>
      <c r="H101" s="7">
        <v>299</v>
      </c>
      <c r="I101" s="7">
        <v>299</v>
      </c>
      <c r="J101" s="7">
        <v>74.75</v>
      </c>
      <c r="K101" s="7">
        <v>0</v>
      </c>
      <c r="L101" s="7">
        <v>0</v>
      </c>
      <c r="M101" s="7">
        <v>0</v>
      </c>
      <c r="N101" s="7">
        <v>0</v>
      </c>
      <c r="O101" s="7">
        <v>0</v>
      </c>
      <c r="P101" s="7">
        <v>0</v>
      </c>
      <c r="Q101" s="7">
        <v>0</v>
      </c>
      <c r="R101" s="7">
        <v>0</v>
      </c>
      <c r="S101" s="7">
        <v>0</v>
      </c>
      <c r="T101" s="7">
        <v>0</v>
      </c>
      <c r="U101" s="7">
        <v>0</v>
      </c>
      <c r="V101" s="7">
        <v>0</v>
      </c>
      <c r="W101" s="7">
        <v>0</v>
      </c>
      <c r="X101" s="7">
        <v>0</v>
      </c>
      <c r="Y101" s="7">
        <v>0</v>
      </c>
      <c r="Z101" s="7">
        <v>0</v>
      </c>
      <c r="AA101" s="7">
        <v>0</v>
      </c>
      <c r="AB101" s="7">
        <v>0</v>
      </c>
      <c r="AC101" s="7">
        <v>0</v>
      </c>
      <c r="AD101" s="7">
        <v>0</v>
      </c>
      <c r="AE101" s="7">
        <v>0</v>
      </c>
      <c r="AF101" s="7">
        <v>0</v>
      </c>
      <c r="AG101" s="7">
        <v>0</v>
      </c>
      <c r="AH101" s="7">
        <v>0</v>
      </c>
      <c r="AI101" s="7">
        <v>0</v>
      </c>
      <c r="AJ101" s="7">
        <v>0</v>
      </c>
      <c r="AK101" s="7">
        <v>0</v>
      </c>
      <c r="AL101" s="7">
        <v>0</v>
      </c>
      <c r="AM101" s="7">
        <v>0</v>
      </c>
      <c r="AN101" s="27">
        <v>98</v>
      </c>
      <c r="AP101" s="111"/>
      <c r="AQ101" s="110">
        <f t="shared" si="492"/>
        <v>0</v>
      </c>
      <c r="AR101" s="110">
        <f t="shared" si="493"/>
        <v>0</v>
      </c>
      <c r="AS101" s="110">
        <f t="shared" si="494"/>
        <v>-299</v>
      </c>
      <c r="AT101" s="110">
        <f t="shared" si="495"/>
        <v>0</v>
      </c>
      <c r="AU101" s="110">
        <f t="shared" si="496"/>
        <v>0</v>
      </c>
      <c r="AV101" s="110">
        <f t="shared" si="497"/>
        <v>0</v>
      </c>
      <c r="AW101" s="110">
        <f t="shared" si="498"/>
        <v>0</v>
      </c>
      <c r="AX101" s="110">
        <f t="shared" si="499"/>
        <v>0</v>
      </c>
      <c r="AY101" s="110">
        <f t="shared" si="500"/>
        <v>0</v>
      </c>
      <c r="AZ101" s="110">
        <f t="shared" si="501"/>
        <v>0</v>
      </c>
      <c r="BA101" s="110">
        <f t="shared" si="502"/>
        <v>0</v>
      </c>
      <c r="BB101" s="110">
        <f t="shared" si="503"/>
        <v>0</v>
      </c>
      <c r="BD101" s="109" cm="1">
        <f t="array" ref="BD101">+IFERROR(INDEX($C$3:$AM$3,MATCH(TRUE,INDEX($C101:$AM101&lt;&gt;0,0),0)),"N/A")</f>
        <v>44926</v>
      </c>
      <c r="BE101" s="112"/>
      <c r="BF101" s="1" t="str" cm="1">
        <f t="array" ref="BF101">+_xlfn.IFS(BT101&lt;&gt;0,BT$2,CH101&lt;&gt;0,CH$2,CV101&lt;&gt;0,CV$2,DJ101&lt;&gt;0,DJ$2,TRUE,"")</f>
        <v/>
      </c>
      <c r="BG101" s="1" t="str" cm="1">
        <f t="array" ref="BG101">+_xlfn.IFS(BU101&lt;&gt;0,BU$2,CI101&lt;&gt;0,CI$2,CW101&lt;&gt;0,CW$2,DK101&lt;&gt;0,DK$2,TRUE,"")</f>
        <v/>
      </c>
      <c r="BH101" s="1" t="str" cm="1">
        <f t="array" ref="BH101">+_xlfn.IFS(BV101&lt;&gt;0,BV$2,CJ101&lt;&gt;0,CJ$2,CX101&lt;&gt;0,CX$2,DL101&lt;&gt;0,DL$2,TRUE,"")</f>
        <v>Churn</v>
      </c>
      <c r="BI101" s="1" t="str" cm="1">
        <f t="array" ref="BI101">+_xlfn.IFS(BW101&lt;&gt;0,BW$2,CK101&lt;&gt;0,CK$2,CY101&lt;&gt;0,CY$2,DM101&lt;&gt;0,DM$2,TRUE,"")</f>
        <v/>
      </c>
      <c r="BJ101" s="1" t="str" cm="1">
        <f t="array" ref="BJ101">+_xlfn.IFS(BX101&lt;&gt;0,BX$2,CL101&lt;&gt;0,CL$2,CZ101&lt;&gt;0,CZ$2,DN101&lt;&gt;0,DN$2,TRUE,"")</f>
        <v/>
      </c>
      <c r="BK101" s="1" t="str" cm="1">
        <f t="array" ref="BK101">+_xlfn.IFS(BY101&lt;&gt;0,BY$2,CM101&lt;&gt;0,CM$2,DA101&lt;&gt;0,DA$2,DO101&lt;&gt;0,DO$2,TRUE,"")</f>
        <v/>
      </c>
      <c r="BL101" s="1" t="str" cm="1">
        <f t="array" ref="BL101">+_xlfn.IFS(BZ101&lt;&gt;0,BZ$2,CN101&lt;&gt;0,CN$2,DB101&lt;&gt;0,DB$2,DP101&lt;&gt;0,DP$2,TRUE,"")</f>
        <v/>
      </c>
      <c r="BM101" s="1" t="str" cm="1">
        <f t="array" ref="BM101">+_xlfn.IFS(CA101&lt;&gt;0,CA$2,CO101&lt;&gt;0,CO$2,DC101&lt;&gt;0,DC$2,DQ101&lt;&gt;0,DQ$2,TRUE,"")</f>
        <v/>
      </c>
      <c r="BN101" s="1" t="str" cm="1">
        <f t="array" ref="BN101">+_xlfn.IFS(CB101&lt;&gt;0,CB$2,CP101&lt;&gt;0,CP$2,DD101&lt;&gt;0,DD$2,DR101&lt;&gt;0,DR$2,TRUE,"")</f>
        <v/>
      </c>
      <c r="BO101" s="1" t="str" cm="1">
        <f t="array" ref="BO101">+_xlfn.IFS(CC101&lt;&gt;0,CC$2,CQ101&lt;&gt;0,CQ$2,DE101&lt;&gt;0,DE$2,DS101&lt;&gt;0,DS$2,TRUE,"")</f>
        <v/>
      </c>
      <c r="BP101" s="1" t="str" cm="1">
        <f t="array" ref="BP101">+_xlfn.IFS(CD101&lt;&gt;0,CD$2,CR101&lt;&gt;0,CR$2,DF101&lt;&gt;0,DF$2,DT101&lt;&gt;0,DT$2,TRUE,"")</f>
        <v/>
      </c>
      <c r="BQ101" s="1" t="str" cm="1">
        <f t="array" ref="BQ101">+_xlfn.IFS(CE101&lt;&gt;0,CE$2,CS101&lt;&gt;0,CS$2,DG101&lt;&gt;0,DG$2,DU101&lt;&gt;0,DU$2,TRUE,"")</f>
        <v/>
      </c>
      <c r="BS101" s="111"/>
      <c r="BT101" s="110">
        <f t="shared" si="504"/>
        <v>0</v>
      </c>
      <c r="BU101" s="110">
        <f t="shared" si="505"/>
        <v>0</v>
      </c>
      <c r="BV101" s="110">
        <f t="shared" si="506"/>
        <v>0</v>
      </c>
      <c r="BW101" s="110">
        <f t="shared" si="507"/>
        <v>0</v>
      </c>
      <c r="BX101" s="110">
        <f t="shared" si="508"/>
        <v>0</v>
      </c>
      <c r="BY101" s="110">
        <f t="shared" si="509"/>
        <v>0</v>
      </c>
      <c r="BZ101" s="110">
        <f t="shared" si="510"/>
        <v>0</v>
      </c>
      <c r="CA101" s="110">
        <f t="shared" si="511"/>
        <v>0</v>
      </c>
      <c r="CB101" s="110">
        <f t="shared" si="512"/>
        <v>0</v>
      </c>
      <c r="CC101" s="110">
        <f t="shared" si="513"/>
        <v>0</v>
      </c>
      <c r="CD101" s="110">
        <f t="shared" si="514"/>
        <v>0</v>
      </c>
      <c r="CE101" s="110">
        <f t="shared" si="515"/>
        <v>0</v>
      </c>
      <c r="CG101" s="111"/>
      <c r="CH101" s="110">
        <f t="shared" si="516"/>
        <v>0</v>
      </c>
      <c r="CI101" s="110">
        <f t="shared" si="517"/>
        <v>0</v>
      </c>
      <c r="CJ101" s="110">
        <f t="shared" si="518"/>
        <v>-299</v>
      </c>
      <c r="CK101" s="110">
        <f t="shared" si="519"/>
        <v>0</v>
      </c>
      <c r="CL101" s="110">
        <f t="shared" si="520"/>
        <v>0</v>
      </c>
      <c r="CM101" s="110">
        <f t="shared" si="521"/>
        <v>0</v>
      </c>
      <c r="CN101" s="110">
        <f t="shared" si="522"/>
        <v>0</v>
      </c>
      <c r="CO101" s="110">
        <f t="shared" si="523"/>
        <v>0</v>
      </c>
      <c r="CP101" s="110">
        <f t="shared" si="524"/>
        <v>0</v>
      </c>
      <c r="CQ101" s="110">
        <f t="shared" si="525"/>
        <v>0</v>
      </c>
      <c r="CR101" s="110">
        <f t="shared" si="526"/>
        <v>0</v>
      </c>
      <c r="CS101" s="110">
        <f t="shared" si="527"/>
        <v>0</v>
      </c>
      <c r="CU101" s="111"/>
      <c r="CV101" s="110">
        <f t="shared" si="528"/>
        <v>0</v>
      </c>
      <c r="CW101" s="110">
        <f t="shared" si="529"/>
        <v>0</v>
      </c>
      <c r="CX101" s="110">
        <f t="shared" si="530"/>
        <v>0</v>
      </c>
      <c r="CY101" s="110">
        <f t="shared" si="531"/>
        <v>0</v>
      </c>
      <c r="CZ101" s="110">
        <f t="shared" si="532"/>
        <v>0</v>
      </c>
      <c r="DA101" s="110">
        <f t="shared" si="533"/>
        <v>0</v>
      </c>
      <c r="DB101" s="110">
        <f t="shared" si="534"/>
        <v>0</v>
      </c>
      <c r="DC101" s="110">
        <f t="shared" si="535"/>
        <v>0</v>
      </c>
      <c r="DD101" s="110">
        <f t="shared" si="536"/>
        <v>0</v>
      </c>
      <c r="DE101" s="110">
        <f t="shared" si="537"/>
        <v>0</v>
      </c>
      <c r="DF101" s="110">
        <f t="shared" si="538"/>
        <v>0</v>
      </c>
      <c r="DG101" s="110">
        <f t="shared" si="539"/>
        <v>0</v>
      </c>
      <c r="DI101" s="111"/>
      <c r="DJ101" s="110">
        <f t="shared" si="540"/>
        <v>0</v>
      </c>
      <c r="DK101" s="110">
        <f t="shared" si="541"/>
        <v>0</v>
      </c>
      <c r="DL101" s="110">
        <f t="shared" si="542"/>
        <v>0</v>
      </c>
      <c r="DM101" s="110">
        <f t="shared" si="543"/>
        <v>0</v>
      </c>
      <c r="DN101" s="110">
        <f t="shared" si="544"/>
        <v>0</v>
      </c>
      <c r="DO101" s="110">
        <f t="shared" si="545"/>
        <v>0</v>
      </c>
      <c r="DP101" s="110">
        <f t="shared" si="546"/>
        <v>0</v>
      </c>
      <c r="DQ101" s="110">
        <f t="shared" si="547"/>
        <v>0</v>
      </c>
      <c r="DR101" s="110">
        <f t="shared" si="548"/>
        <v>0</v>
      </c>
      <c r="DS101" s="110">
        <f t="shared" si="549"/>
        <v>0</v>
      </c>
      <c r="DT101" s="110">
        <f t="shared" si="550"/>
        <v>0</v>
      </c>
      <c r="DU101" s="110">
        <f t="shared" si="551"/>
        <v>0</v>
      </c>
      <c r="DW101" s="111"/>
      <c r="DX101" s="110">
        <f t="shared" si="552"/>
        <v>0</v>
      </c>
      <c r="DY101" s="110">
        <f t="shared" si="553"/>
        <v>0</v>
      </c>
      <c r="DZ101" s="110">
        <f t="shared" si="554"/>
        <v>0</v>
      </c>
      <c r="EA101" s="110">
        <f t="shared" si="555"/>
        <v>0</v>
      </c>
      <c r="EB101" s="110">
        <f t="shared" si="556"/>
        <v>0</v>
      </c>
      <c r="EC101" s="110">
        <f t="shared" si="557"/>
        <v>0</v>
      </c>
      <c r="ED101" s="110">
        <f t="shared" si="558"/>
        <v>0</v>
      </c>
      <c r="EE101" s="110">
        <f t="shared" si="559"/>
        <v>0</v>
      </c>
      <c r="EF101" s="110">
        <f t="shared" si="560"/>
        <v>0</v>
      </c>
      <c r="EG101" s="110">
        <f t="shared" si="561"/>
        <v>0</v>
      </c>
      <c r="EH101" s="110">
        <f t="shared" si="562"/>
        <v>0</v>
      </c>
      <c r="EI101" s="110">
        <f t="shared" si="563"/>
        <v>0</v>
      </c>
      <c r="EK101" s="111"/>
      <c r="EL101" s="110">
        <f t="shared" si="564"/>
        <v>-299</v>
      </c>
      <c r="EM101" s="110">
        <f t="shared" si="565"/>
        <v>0</v>
      </c>
      <c r="EN101" s="110">
        <f t="shared" si="566"/>
        <v>0</v>
      </c>
      <c r="EP101" s="109" cm="1">
        <f t="array" ref="EP101">+IFERROR(INDEX($C$3:$AM$3,MATCH(TRUE,INDEX($C101:$AM101&lt;&gt;0,0),0)),"N/A")</f>
        <v>44926</v>
      </c>
      <c r="EQ101" s="112"/>
      <c r="ER101" s="1" t="str" cm="1">
        <f t="array" ref="ER101">+_xlfn.IFS(EW101&lt;&gt;0,EW$2,FB101&lt;&gt;0,FB$2,FG101&lt;&gt;0,FG$2,FL101&lt;&gt;0,FL$2,TRUE,"")</f>
        <v>Churn</v>
      </c>
      <c r="ES101" s="1" t="str" cm="1">
        <f t="array" ref="ES101">+_xlfn.IFS(EX101&lt;&gt;0,EX$2,FC101&lt;&gt;0,FC$2,FH101&lt;&gt;0,FH$2,FM101&lt;&gt;0,FM$2,TRUE,"")</f>
        <v/>
      </c>
      <c r="ET101" s="1" t="str" cm="1">
        <f t="array" ref="ET101">+_xlfn.IFS(EY101&lt;&gt;0,EY$2,FD101&lt;&gt;0,FD$2,FI101&lt;&gt;0,FI$2,FN101&lt;&gt;0,FN$2,TRUE,"")</f>
        <v/>
      </c>
      <c r="EV101" s="111"/>
      <c r="EW101" s="110">
        <f t="shared" si="567"/>
        <v>0</v>
      </c>
      <c r="EX101" s="110">
        <f t="shared" si="568"/>
        <v>0</v>
      </c>
      <c r="EY101" s="110">
        <f t="shared" si="569"/>
        <v>0</v>
      </c>
      <c r="FA101" s="111"/>
      <c r="FB101" s="110">
        <f t="shared" si="570"/>
        <v>-299</v>
      </c>
      <c r="FC101" s="110">
        <f t="shared" si="571"/>
        <v>0</v>
      </c>
      <c r="FD101" s="110">
        <f t="shared" si="572"/>
        <v>0</v>
      </c>
      <c r="FF101" s="111"/>
      <c r="FG101" s="110">
        <f t="shared" si="573"/>
        <v>0</v>
      </c>
      <c r="FH101" s="110">
        <f t="shared" si="574"/>
        <v>0</v>
      </c>
      <c r="FI101" s="110">
        <f t="shared" si="575"/>
        <v>0</v>
      </c>
      <c r="FK101" s="111"/>
      <c r="FL101" s="110">
        <f t="shared" si="576"/>
        <v>0</v>
      </c>
      <c r="FM101" s="110">
        <f t="shared" si="577"/>
        <v>0</v>
      </c>
      <c r="FN101" s="110">
        <f t="shared" si="578"/>
        <v>0</v>
      </c>
      <c r="FP101" s="111"/>
      <c r="FQ101" s="110">
        <f t="shared" si="579"/>
        <v>0</v>
      </c>
      <c r="FR101" s="110">
        <f t="shared" si="580"/>
        <v>0</v>
      </c>
      <c r="FS101" s="110">
        <f t="shared" si="581"/>
        <v>0</v>
      </c>
      <c r="FU101" s="111">
        <f t="shared" si="582"/>
        <v>-299</v>
      </c>
      <c r="FV101" s="110">
        <f t="shared" si="583"/>
        <v>-299</v>
      </c>
      <c r="FW101" s="110">
        <f t="shared" si="584"/>
        <v>-299</v>
      </c>
      <c r="FX101" s="110">
        <f t="shared" si="585"/>
        <v>-299</v>
      </c>
      <c r="FY101" s="110">
        <f t="shared" si="586"/>
        <v>-299</v>
      </c>
      <c r="FZ101" s="110">
        <f t="shared" si="587"/>
        <v>-299</v>
      </c>
      <c r="GA101" s="110">
        <f t="shared" si="588"/>
        <v>-299</v>
      </c>
      <c r="GB101" s="110">
        <f t="shared" si="589"/>
        <v>-74.75</v>
      </c>
      <c r="GC101" s="110">
        <f t="shared" si="590"/>
        <v>0</v>
      </c>
      <c r="GD101" s="110">
        <f t="shared" si="591"/>
        <v>0</v>
      </c>
      <c r="GE101" s="110">
        <f t="shared" si="592"/>
        <v>0</v>
      </c>
      <c r="GF101" s="110">
        <f t="shared" si="593"/>
        <v>0</v>
      </c>
      <c r="GG101" s="110">
        <f t="shared" si="594"/>
        <v>0</v>
      </c>
      <c r="GH101" s="110">
        <f t="shared" si="595"/>
        <v>0</v>
      </c>
      <c r="GI101" s="110">
        <f t="shared" si="596"/>
        <v>0</v>
      </c>
      <c r="GJ101" s="110">
        <f t="shared" si="597"/>
        <v>0</v>
      </c>
      <c r="GK101" s="110">
        <f t="shared" si="598"/>
        <v>0</v>
      </c>
      <c r="GL101" s="110">
        <f t="shared" si="599"/>
        <v>0</v>
      </c>
      <c r="GM101" s="110">
        <f t="shared" si="600"/>
        <v>0</v>
      </c>
      <c r="GN101" s="110">
        <f t="shared" si="601"/>
        <v>0</v>
      </c>
      <c r="GO101" s="110">
        <f t="shared" si="602"/>
        <v>0</v>
      </c>
      <c r="GP101" s="110">
        <f t="shared" si="603"/>
        <v>0</v>
      </c>
      <c r="GQ101" s="110">
        <f t="shared" si="604"/>
        <v>0</v>
      </c>
      <c r="GR101" s="110">
        <f t="shared" si="605"/>
        <v>0</v>
      </c>
      <c r="GS101" s="110">
        <f t="shared" si="606"/>
        <v>0</v>
      </c>
      <c r="GU101" s="109" cm="1">
        <f t="array" ref="GU101">+IFERROR(INDEX($C$3:$AM$3,MATCH(TRUE,INDEX($C101:$AM101&lt;&gt;0,0),0)),"N/A")</f>
        <v>44926</v>
      </c>
      <c r="GV101" s="112" t="str" cm="1">
        <f t="array" ref="GV101">+_xlfn.IFS(HV101&lt;&gt;0,HV$2,IV101&lt;&gt;0,IV$2,JV101&lt;&gt;0,JV$2,KV101&lt;&gt;0,KV$2,TRUE,"")</f>
        <v>Churn</v>
      </c>
      <c r="GW101" s="1" t="str" cm="1">
        <f t="array" ref="GW101">+_xlfn.IFS(HW101&lt;&gt;0,HW$2,IW101&lt;&gt;0,IW$2,JW101&lt;&gt;0,JW$2,KW101&lt;&gt;0,KW$2,TRUE,"")</f>
        <v>Churn</v>
      </c>
      <c r="GX101" s="1" t="str" cm="1">
        <f t="array" ref="GX101">+_xlfn.IFS(HX101&lt;&gt;0,HX$2,IX101&lt;&gt;0,IX$2,JX101&lt;&gt;0,JX$2,KX101&lt;&gt;0,KX$2,TRUE,"")</f>
        <v>Churn</v>
      </c>
      <c r="GY101" s="1" t="str" cm="1">
        <f t="array" ref="GY101">+_xlfn.IFS(HY101&lt;&gt;0,HY$2,IY101&lt;&gt;0,IY$2,JY101&lt;&gt;0,JY$2,KY101&lt;&gt;0,KY$2,TRUE,"")</f>
        <v>Churn</v>
      </c>
      <c r="GZ101" s="1" t="str" cm="1">
        <f t="array" ref="GZ101">+_xlfn.IFS(HZ101&lt;&gt;0,HZ$2,IZ101&lt;&gt;0,IZ$2,JZ101&lt;&gt;0,JZ$2,KZ101&lt;&gt;0,KZ$2,TRUE,"")</f>
        <v>Churn</v>
      </c>
      <c r="HA101" s="1" t="str" cm="1">
        <f t="array" ref="HA101">+_xlfn.IFS(IA101&lt;&gt;0,IA$2,JA101&lt;&gt;0,JA$2,KA101&lt;&gt;0,KA$2,LA101&lt;&gt;0,LA$2,TRUE,"")</f>
        <v>Churn</v>
      </c>
      <c r="HB101" s="1" t="str" cm="1">
        <f t="array" ref="HB101">+_xlfn.IFS(IB101&lt;&gt;0,IB$2,JB101&lt;&gt;0,JB$2,KB101&lt;&gt;0,KB$2,LB101&lt;&gt;0,LB$2,TRUE,"")</f>
        <v>Churn</v>
      </c>
      <c r="HC101" s="1" t="str" cm="1">
        <f t="array" ref="HC101">+_xlfn.IFS(IC101&lt;&gt;0,IC$2,JC101&lt;&gt;0,JC$2,KC101&lt;&gt;0,KC$2,LC101&lt;&gt;0,LC$2,TRUE,"")</f>
        <v>Churn</v>
      </c>
      <c r="HD101" s="1" t="str" cm="1">
        <f t="array" ref="HD101">+_xlfn.IFS(ID101&lt;&gt;0,ID$2,JD101&lt;&gt;0,JD$2,KD101&lt;&gt;0,KD$2,LD101&lt;&gt;0,LD$2,TRUE,"")</f>
        <v/>
      </c>
      <c r="HE101" s="1" t="str" cm="1">
        <f t="array" ref="HE101">+_xlfn.IFS(IE101&lt;&gt;0,IE$2,JE101&lt;&gt;0,JE$2,KE101&lt;&gt;0,KE$2,LE101&lt;&gt;0,LE$2,TRUE,"")</f>
        <v/>
      </c>
      <c r="HF101" s="1" t="str" cm="1">
        <f t="array" ref="HF101">+_xlfn.IFS(IF101&lt;&gt;0,IF$2,JF101&lt;&gt;0,JF$2,KF101&lt;&gt;0,KF$2,LF101&lt;&gt;0,LF$2,TRUE,"")</f>
        <v/>
      </c>
      <c r="HG101" s="1" t="str" cm="1">
        <f t="array" ref="HG101">+_xlfn.IFS(IG101&lt;&gt;0,IG$2,JG101&lt;&gt;0,JG$2,KG101&lt;&gt;0,KG$2,LG101&lt;&gt;0,LG$2,TRUE,"")</f>
        <v/>
      </c>
      <c r="HH101" s="1" t="str" cm="1">
        <f t="array" ref="HH101">+_xlfn.IFS(IH101&lt;&gt;0,IH$2,JH101&lt;&gt;0,JH$2,KH101&lt;&gt;0,KH$2,LH101&lt;&gt;0,LH$2,TRUE,"")</f>
        <v/>
      </c>
      <c r="HI101" s="1" t="str" cm="1">
        <f t="array" ref="HI101">+_xlfn.IFS(II101&lt;&gt;0,II$2,JI101&lt;&gt;0,JI$2,KI101&lt;&gt;0,KI$2,LI101&lt;&gt;0,LI$2,TRUE,"")</f>
        <v/>
      </c>
      <c r="HJ101" s="1" t="str" cm="1">
        <f t="array" ref="HJ101">+_xlfn.IFS(IJ101&lt;&gt;0,IJ$2,JJ101&lt;&gt;0,JJ$2,KJ101&lt;&gt;0,KJ$2,LJ101&lt;&gt;0,LJ$2,TRUE,"")</f>
        <v/>
      </c>
      <c r="HK101" s="1" t="str" cm="1">
        <f t="array" ref="HK101">+_xlfn.IFS(IK101&lt;&gt;0,IK$2,JK101&lt;&gt;0,JK$2,KK101&lt;&gt;0,KK$2,LK101&lt;&gt;0,LK$2,TRUE,"")</f>
        <v/>
      </c>
      <c r="HL101" s="1" t="str" cm="1">
        <f t="array" ref="HL101">+_xlfn.IFS(IL101&lt;&gt;0,IL$2,JL101&lt;&gt;0,JL$2,KL101&lt;&gt;0,KL$2,LL101&lt;&gt;0,LL$2,TRUE,"")</f>
        <v/>
      </c>
      <c r="HM101" s="1" t="str" cm="1">
        <f t="array" ref="HM101">+_xlfn.IFS(IM101&lt;&gt;0,IM$2,JM101&lt;&gt;0,JM$2,KM101&lt;&gt;0,KM$2,LM101&lt;&gt;0,LM$2,TRUE,"")</f>
        <v/>
      </c>
      <c r="HN101" s="1" t="str" cm="1">
        <f t="array" ref="HN101">+_xlfn.IFS(IN101&lt;&gt;0,IN$2,JN101&lt;&gt;0,JN$2,KN101&lt;&gt;0,KN$2,LN101&lt;&gt;0,LN$2,TRUE,"")</f>
        <v/>
      </c>
      <c r="HO101" s="1" t="str" cm="1">
        <f t="array" ref="HO101">+_xlfn.IFS(IO101&lt;&gt;0,IO$2,JO101&lt;&gt;0,JO$2,KO101&lt;&gt;0,KO$2,LO101&lt;&gt;0,LO$2,TRUE,"")</f>
        <v/>
      </c>
      <c r="HP101" s="1" t="str" cm="1">
        <f t="array" ref="HP101">+_xlfn.IFS(IP101&lt;&gt;0,IP$2,JP101&lt;&gt;0,JP$2,KP101&lt;&gt;0,KP$2,LP101&lt;&gt;0,LP$2,TRUE,"")</f>
        <v/>
      </c>
      <c r="HQ101" s="1" t="str" cm="1">
        <f t="array" ref="HQ101">+_xlfn.IFS(IQ101&lt;&gt;0,IQ$2,JQ101&lt;&gt;0,JQ$2,KQ101&lt;&gt;0,KQ$2,LQ101&lt;&gt;0,LQ$2,TRUE,"")</f>
        <v/>
      </c>
      <c r="HR101" s="1" t="str" cm="1">
        <f t="array" ref="HR101">+_xlfn.IFS(IR101&lt;&gt;0,IR$2,JR101&lt;&gt;0,JR$2,KR101&lt;&gt;0,KR$2,LR101&lt;&gt;0,LR$2,TRUE,"")</f>
        <v/>
      </c>
      <c r="HS101" s="1" t="str" cm="1">
        <f t="array" ref="HS101">+_xlfn.IFS(IS101&lt;&gt;0,IS$2,JS101&lt;&gt;0,JS$2,KS101&lt;&gt;0,KS$2,LS101&lt;&gt;0,LS$2,TRUE,"")</f>
        <v/>
      </c>
      <c r="HT101" s="1" t="str" cm="1">
        <f t="array" ref="HT101">+_xlfn.IFS(IT101&lt;&gt;0,IT$2,JT101&lt;&gt;0,JT$2,KT101&lt;&gt;0,KT$2,LT101&lt;&gt;0,LT$2,TRUE,"")</f>
        <v/>
      </c>
      <c r="HV101" s="111">
        <f t="shared" si="607"/>
        <v>0</v>
      </c>
      <c r="HW101" s="110">
        <f t="shared" si="608"/>
        <v>0</v>
      </c>
      <c r="HX101" s="110">
        <f t="shared" si="609"/>
        <v>0</v>
      </c>
      <c r="HY101" s="110">
        <f t="shared" si="610"/>
        <v>0</v>
      </c>
      <c r="HZ101" s="110">
        <f t="shared" si="611"/>
        <v>0</v>
      </c>
      <c r="IA101" s="110">
        <f t="shared" si="612"/>
        <v>0</v>
      </c>
      <c r="IB101" s="110">
        <f t="shared" si="613"/>
        <v>0</v>
      </c>
      <c r="IC101" s="110">
        <f t="shared" si="614"/>
        <v>0</v>
      </c>
      <c r="ID101" s="110">
        <f t="shared" si="615"/>
        <v>0</v>
      </c>
      <c r="IE101" s="110">
        <f t="shared" si="616"/>
        <v>0</v>
      </c>
      <c r="IF101" s="110">
        <f t="shared" si="617"/>
        <v>0</v>
      </c>
      <c r="IG101" s="110">
        <f t="shared" si="618"/>
        <v>0</v>
      </c>
      <c r="IH101" s="110">
        <f t="shared" si="619"/>
        <v>0</v>
      </c>
      <c r="II101" s="110">
        <f t="shared" si="620"/>
        <v>0</v>
      </c>
      <c r="IJ101" s="110">
        <f t="shared" si="621"/>
        <v>0</v>
      </c>
      <c r="IK101" s="110">
        <f t="shared" si="622"/>
        <v>0</v>
      </c>
      <c r="IL101" s="110">
        <f t="shared" si="623"/>
        <v>0</v>
      </c>
      <c r="IM101" s="110">
        <f t="shared" si="624"/>
        <v>0</v>
      </c>
      <c r="IN101" s="110">
        <f t="shared" si="625"/>
        <v>0</v>
      </c>
      <c r="IO101" s="110">
        <f t="shared" si="626"/>
        <v>0</v>
      </c>
      <c r="IP101" s="110">
        <f t="shared" si="627"/>
        <v>0</v>
      </c>
      <c r="IQ101" s="110">
        <f t="shared" si="628"/>
        <v>0</v>
      </c>
      <c r="IR101" s="110">
        <f t="shared" si="629"/>
        <v>0</v>
      </c>
      <c r="IS101" s="110">
        <f t="shared" si="630"/>
        <v>0</v>
      </c>
      <c r="IT101" s="110">
        <f t="shared" si="631"/>
        <v>0</v>
      </c>
      <c r="IV101" s="111">
        <f t="shared" si="632"/>
        <v>-299</v>
      </c>
      <c r="IW101" s="110">
        <f t="shared" si="633"/>
        <v>-299</v>
      </c>
      <c r="IX101" s="110">
        <f t="shared" si="634"/>
        <v>-299</v>
      </c>
      <c r="IY101" s="110">
        <f t="shared" si="635"/>
        <v>-299</v>
      </c>
      <c r="IZ101" s="110">
        <f t="shared" si="636"/>
        <v>-299</v>
      </c>
      <c r="JA101" s="110">
        <f t="shared" si="637"/>
        <v>-299</v>
      </c>
      <c r="JB101" s="110">
        <f t="shared" si="638"/>
        <v>-299</v>
      </c>
      <c r="JC101" s="110">
        <f t="shared" si="639"/>
        <v>-74.75</v>
      </c>
      <c r="JD101" s="110">
        <f t="shared" si="640"/>
        <v>0</v>
      </c>
      <c r="JE101" s="110">
        <f t="shared" si="641"/>
        <v>0</v>
      </c>
      <c r="JF101" s="110">
        <f t="shared" si="642"/>
        <v>0</v>
      </c>
      <c r="JG101" s="110">
        <f t="shared" si="643"/>
        <v>0</v>
      </c>
      <c r="JH101" s="110">
        <f t="shared" si="644"/>
        <v>0</v>
      </c>
      <c r="JI101" s="110">
        <f t="shared" si="645"/>
        <v>0</v>
      </c>
      <c r="JJ101" s="110">
        <f t="shared" si="646"/>
        <v>0</v>
      </c>
      <c r="JK101" s="110">
        <f t="shared" si="647"/>
        <v>0</v>
      </c>
      <c r="JL101" s="110">
        <f t="shared" si="648"/>
        <v>0</v>
      </c>
      <c r="JM101" s="110">
        <f t="shared" si="649"/>
        <v>0</v>
      </c>
      <c r="JN101" s="110">
        <f t="shared" si="650"/>
        <v>0</v>
      </c>
      <c r="JO101" s="110">
        <f t="shared" si="651"/>
        <v>0</v>
      </c>
      <c r="JP101" s="110">
        <f t="shared" si="652"/>
        <v>0</v>
      </c>
      <c r="JQ101" s="110">
        <f t="shared" si="653"/>
        <v>0</v>
      </c>
      <c r="JR101" s="110">
        <f t="shared" si="654"/>
        <v>0</v>
      </c>
      <c r="JS101" s="110">
        <f t="shared" si="655"/>
        <v>0</v>
      </c>
      <c r="JT101" s="110">
        <f t="shared" si="656"/>
        <v>0</v>
      </c>
      <c r="JV101" s="111">
        <f t="shared" si="657"/>
        <v>0</v>
      </c>
      <c r="JW101" s="110">
        <f t="shared" si="658"/>
        <v>0</v>
      </c>
      <c r="JX101" s="110">
        <f t="shared" si="659"/>
        <v>0</v>
      </c>
      <c r="JY101" s="110">
        <f t="shared" si="660"/>
        <v>0</v>
      </c>
      <c r="JZ101" s="110">
        <f t="shared" si="661"/>
        <v>0</v>
      </c>
      <c r="KA101" s="110">
        <f t="shared" si="662"/>
        <v>0</v>
      </c>
      <c r="KB101" s="110">
        <f t="shared" si="663"/>
        <v>0</v>
      </c>
      <c r="KC101" s="110">
        <f t="shared" si="664"/>
        <v>0</v>
      </c>
      <c r="KD101" s="110">
        <f t="shared" si="665"/>
        <v>0</v>
      </c>
      <c r="KE101" s="110">
        <f t="shared" si="666"/>
        <v>0</v>
      </c>
      <c r="KF101" s="110">
        <f t="shared" si="667"/>
        <v>0</v>
      </c>
      <c r="KG101" s="110">
        <f t="shared" si="668"/>
        <v>0</v>
      </c>
      <c r="KH101" s="110">
        <f t="shared" si="669"/>
        <v>0</v>
      </c>
      <c r="KI101" s="110">
        <f t="shared" si="670"/>
        <v>0</v>
      </c>
      <c r="KJ101" s="110">
        <f t="shared" si="671"/>
        <v>0</v>
      </c>
      <c r="KK101" s="110">
        <f t="shared" si="672"/>
        <v>0</v>
      </c>
      <c r="KL101" s="110">
        <f t="shared" si="673"/>
        <v>0</v>
      </c>
      <c r="KM101" s="110">
        <f t="shared" si="674"/>
        <v>0</v>
      </c>
      <c r="KN101" s="110">
        <f t="shared" si="675"/>
        <v>0</v>
      </c>
      <c r="KO101" s="110">
        <f t="shared" si="676"/>
        <v>0</v>
      </c>
      <c r="KP101" s="110">
        <f t="shared" si="677"/>
        <v>0</v>
      </c>
      <c r="KQ101" s="110">
        <f t="shared" si="678"/>
        <v>0</v>
      </c>
      <c r="KR101" s="110">
        <f t="shared" si="679"/>
        <v>0</v>
      </c>
      <c r="KS101" s="110">
        <f t="shared" si="680"/>
        <v>0</v>
      </c>
      <c r="KT101" s="110">
        <f t="shared" si="681"/>
        <v>0</v>
      </c>
      <c r="KV101" s="111">
        <f t="shared" si="682"/>
        <v>0</v>
      </c>
      <c r="KW101" s="110">
        <f t="shared" si="683"/>
        <v>0</v>
      </c>
      <c r="KX101" s="110">
        <f t="shared" si="684"/>
        <v>0</v>
      </c>
      <c r="KY101" s="110">
        <f t="shared" si="685"/>
        <v>0</v>
      </c>
      <c r="KZ101" s="110">
        <f t="shared" si="686"/>
        <v>0</v>
      </c>
      <c r="LA101" s="110">
        <f t="shared" si="687"/>
        <v>0</v>
      </c>
      <c r="LB101" s="110">
        <f t="shared" si="688"/>
        <v>0</v>
      </c>
      <c r="LC101" s="110">
        <f t="shared" si="689"/>
        <v>0</v>
      </c>
      <c r="LD101" s="110">
        <f t="shared" si="690"/>
        <v>0</v>
      </c>
      <c r="LE101" s="110">
        <f t="shared" si="691"/>
        <v>0</v>
      </c>
      <c r="LF101" s="110">
        <f t="shared" si="692"/>
        <v>0</v>
      </c>
      <c r="LG101" s="110">
        <f t="shared" si="693"/>
        <v>0</v>
      </c>
      <c r="LH101" s="110">
        <f t="shared" si="694"/>
        <v>0</v>
      </c>
      <c r="LI101" s="110">
        <f t="shared" si="695"/>
        <v>0</v>
      </c>
      <c r="LJ101" s="110">
        <f t="shared" si="696"/>
        <v>0</v>
      </c>
      <c r="LK101" s="110">
        <f t="shared" si="697"/>
        <v>0</v>
      </c>
      <c r="LL101" s="110">
        <f t="shared" si="698"/>
        <v>0</v>
      </c>
      <c r="LM101" s="110">
        <f t="shared" si="699"/>
        <v>0</v>
      </c>
      <c r="LN101" s="110">
        <f t="shared" si="700"/>
        <v>0</v>
      </c>
      <c r="LO101" s="110">
        <f t="shared" si="701"/>
        <v>0</v>
      </c>
      <c r="LP101" s="110">
        <f t="shared" si="702"/>
        <v>0</v>
      </c>
      <c r="LQ101" s="110">
        <f t="shared" si="703"/>
        <v>0</v>
      </c>
      <c r="LR101" s="110">
        <f t="shared" si="704"/>
        <v>0</v>
      </c>
      <c r="LS101" s="110">
        <f t="shared" si="705"/>
        <v>0</v>
      </c>
      <c r="LT101" s="110">
        <f t="shared" si="706"/>
        <v>0</v>
      </c>
      <c r="LV101" s="111"/>
      <c r="LW101" s="110">
        <f t="shared" si="707"/>
        <v>0</v>
      </c>
      <c r="LX101" s="110">
        <f t="shared" si="708"/>
        <v>0</v>
      </c>
      <c r="LY101" s="110">
        <f t="shared" si="709"/>
        <v>0</v>
      </c>
      <c r="LZ101" s="110">
        <f t="shared" si="710"/>
        <v>0</v>
      </c>
      <c r="MA101" s="110">
        <f t="shared" si="711"/>
        <v>0</v>
      </c>
      <c r="MB101" s="110">
        <f t="shared" si="712"/>
        <v>0</v>
      </c>
      <c r="MC101" s="110">
        <f t="shared" si="713"/>
        <v>0</v>
      </c>
      <c r="MD101" s="110">
        <f t="shared" si="714"/>
        <v>0</v>
      </c>
      <c r="ME101" s="110">
        <f t="shared" si="715"/>
        <v>0</v>
      </c>
      <c r="MF101" s="110">
        <f t="shared" si="716"/>
        <v>0</v>
      </c>
      <c r="MG101" s="110">
        <f t="shared" si="717"/>
        <v>0</v>
      </c>
      <c r="MH101" s="110">
        <f t="shared" si="718"/>
        <v>0</v>
      </c>
      <c r="MI101" s="110">
        <f t="shared" si="719"/>
        <v>0</v>
      </c>
      <c r="MJ101" s="110">
        <f t="shared" si="720"/>
        <v>0</v>
      </c>
      <c r="MK101" s="110">
        <f t="shared" si="721"/>
        <v>0</v>
      </c>
      <c r="ML101" s="110">
        <f t="shared" si="722"/>
        <v>0</v>
      </c>
      <c r="MM101" s="110">
        <f t="shared" si="723"/>
        <v>0</v>
      </c>
      <c r="MN101" s="110">
        <f t="shared" si="724"/>
        <v>0</v>
      </c>
      <c r="MO101" s="110">
        <f t="shared" si="725"/>
        <v>0</v>
      </c>
      <c r="MP101" s="110">
        <f t="shared" si="726"/>
        <v>0</v>
      </c>
      <c r="MQ101" s="110">
        <f t="shared" si="727"/>
        <v>0</v>
      </c>
      <c r="MR101" s="110">
        <f t="shared" si="728"/>
        <v>0</v>
      </c>
      <c r="MS101" s="110">
        <f t="shared" si="729"/>
        <v>0</v>
      </c>
      <c r="MT101" s="110">
        <f t="shared" si="730"/>
        <v>0</v>
      </c>
      <c r="MV101" s="114">
        <v>0</v>
      </c>
      <c r="MW101" s="114">
        <v>0</v>
      </c>
      <c r="MX101" s="114">
        <v>0</v>
      </c>
      <c r="MY101" s="114">
        <v>0</v>
      </c>
      <c r="MZ101" s="114">
        <v>0</v>
      </c>
      <c r="NB101" s="115" t="str">
        <v>N/A</v>
      </c>
      <c r="NC101" s="115" t="str">
        <v>N/A</v>
      </c>
      <c r="ND101" s="115" t="str">
        <v>N/A</v>
      </c>
      <c r="NE101" s="115" t="str">
        <v>N/A</v>
      </c>
      <c r="NF101" s="115" t="str">
        <v>N/A</v>
      </c>
    </row>
    <row r="102" spans="2:370" ht="13.5" x14ac:dyDescent="0.25">
      <c r="B102" s="8">
        <f t="shared" si="731"/>
        <v>99</v>
      </c>
      <c r="C102" s="7">
        <v>195.11</v>
      </c>
      <c r="D102" s="7">
        <v>195.11</v>
      </c>
      <c r="E102" s="7">
        <v>195.11</v>
      </c>
      <c r="F102" s="7">
        <v>195.11</v>
      </c>
      <c r="G102" s="7">
        <v>195.11</v>
      </c>
      <c r="H102" s="7">
        <v>195.11</v>
      </c>
      <c r="I102" s="7">
        <v>195.11</v>
      </c>
      <c r="J102" s="7">
        <v>195.11</v>
      </c>
      <c r="K102" s="7">
        <v>195.11</v>
      </c>
      <c r="L102" s="7">
        <v>195.11</v>
      </c>
      <c r="M102" s="7">
        <v>195.11</v>
      </c>
      <c r="N102" s="7">
        <v>195.11</v>
      </c>
      <c r="O102" s="7">
        <v>195.11</v>
      </c>
      <c r="P102" s="7">
        <v>195.11</v>
      </c>
      <c r="Q102" s="7">
        <v>195.11</v>
      </c>
      <c r="R102" s="7">
        <v>195.11</v>
      </c>
      <c r="S102" s="7">
        <v>195.11</v>
      </c>
      <c r="T102" s="7">
        <v>195.11</v>
      </c>
      <c r="U102" s="7">
        <v>195.11</v>
      </c>
      <c r="V102" s="7">
        <v>195.11</v>
      </c>
      <c r="W102" s="7">
        <v>195.11</v>
      </c>
      <c r="X102" s="7">
        <v>195.11</v>
      </c>
      <c r="Y102" s="7">
        <v>195.11</v>
      </c>
      <c r="Z102" s="7">
        <v>195.11</v>
      </c>
      <c r="AA102" s="7">
        <v>195.11</v>
      </c>
      <c r="AB102" s="7">
        <v>195.11</v>
      </c>
      <c r="AC102" s="7">
        <v>195.11</v>
      </c>
      <c r="AD102" s="7">
        <v>201.94</v>
      </c>
      <c r="AE102" s="7">
        <v>201.94</v>
      </c>
      <c r="AF102" s="7">
        <v>201.94</v>
      </c>
      <c r="AG102" s="7">
        <v>201.94</v>
      </c>
      <c r="AH102" s="7">
        <v>201.94</v>
      </c>
      <c r="AI102" s="7">
        <v>201.94</v>
      </c>
      <c r="AJ102" s="7">
        <v>201.94</v>
      </c>
      <c r="AK102" s="7">
        <v>201.94</v>
      </c>
      <c r="AL102" s="7">
        <v>201.94</v>
      </c>
      <c r="AM102" s="7">
        <v>201.94</v>
      </c>
      <c r="AN102" s="27">
        <v>99</v>
      </c>
      <c r="AP102" s="111"/>
      <c r="AQ102" s="110">
        <f t="shared" si="492"/>
        <v>0</v>
      </c>
      <c r="AR102" s="110">
        <f t="shared" si="493"/>
        <v>0</v>
      </c>
      <c r="AS102" s="110">
        <f t="shared" si="494"/>
        <v>0</v>
      </c>
      <c r="AT102" s="110">
        <f t="shared" si="495"/>
        <v>0</v>
      </c>
      <c r="AU102" s="110">
        <f t="shared" si="496"/>
        <v>0</v>
      </c>
      <c r="AV102" s="110">
        <f t="shared" si="497"/>
        <v>0</v>
      </c>
      <c r="AW102" s="110">
        <f t="shared" si="498"/>
        <v>0</v>
      </c>
      <c r="AX102" s="110">
        <f t="shared" si="499"/>
        <v>0</v>
      </c>
      <c r="AY102" s="110">
        <f t="shared" si="500"/>
        <v>6.8299999999999841</v>
      </c>
      <c r="AZ102" s="110">
        <f t="shared" si="501"/>
        <v>0</v>
      </c>
      <c r="BA102" s="110">
        <f t="shared" si="502"/>
        <v>0</v>
      </c>
      <c r="BB102" s="110">
        <f t="shared" si="503"/>
        <v>0</v>
      </c>
      <c r="BD102" s="109" cm="1">
        <f t="array" ref="BD102">+IFERROR(INDEX($C$3:$AM$3,MATCH(TRUE,INDEX($C102:$AM102&lt;&gt;0,0),0)),"N/A")</f>
        <v>44926</v>
      </c>
      <c r="BE102" s="112"/>
      <c r="BF102" s="1" t="str" cm="1">
        <f t="array" ref="BF102">+_xlfn.IFS(BT102&lt;&gt;0,BT$2,CH102&lt;&gt;0,CH$2,CV102&lt;&gt;0,CV$2,DJ102&lt;&gt;0,DJ$2,TRUE,"")</f>
        <v/>
      </c>
      <c r="BG102" s="1" t="str" cm="1">
        <f t="array" ref="BG102">+_xlfn.IFS(BU102&lt;&gt;0,BU$2,CI102&lt;&gt;0,CI$2,CW102&lt;&gt;0,CW$2,DK102&lt;&gt;0,DK$2,TRUE,"")</f>
        <v/>
      </c>
      <c r="BH102" s="1" t="str" cm="1">
        <f t="array" ref="BH102">+_xlfn.IFS(BV102&lt;&gt;0,BV$2,CJ102&lt;&gt;0,CJ$2,CX102&lt;&gt;0,CX$2,DL102&lt;&gt;0,DL$2,TRUE,"")</f>
        <v/>
      </c>
      <c r="BI102" s="1" t="str" cm="1">
        <f t="array" ref="BI102">+_xlfn.IFS(BW102&lt;&gt;0,BW$2,CK102&lt;&gt;0,CK$2,CY102&lt;&gt;0,CY$2,DM102&lt;&gt;0,DM$2,TRUE,"")</f>
        <v/>
      </c>
      <c r="BJ102" s="1" t="str" cm="1">
        <f t="array" ref="BJ102">+_xlfn.IFS(BX102&lt;&gt;0,BX$2,CL102&lt;&gt;0,CL$2,CZ102&lt;&gt;0,CZ$2,DN102&lt;&gt;0,DN$2,TRUE,"")</f>
        <v/>
      </c>
      <c r="BK102" s="1" t="str" cm="1">
        <f t="array" ref="BK102">+_xlfn.IFS(BY102&lt;&gt;0,BY$2,CM102&lt;&gt;0,CM$2,DA102&lt;&gt;0,DA$2,DO102&lt;&gt;0,DO$2,TRUE,"")</f>
        <v/>
      </c>
      <c r="BL102" s="1" t="str" cm="1">
        <f t="array" ref="BL102">+_xlfn.IFS(BZ102&lt;&gt;0,BZ$2,CN102&lt;&gt;0,CN$2,DB102&lt;&gt;0,DB$2,DP102&lt;&gt;0,DP$2,TRUE,"")</f>
        <v/>
      </c>
      <c r="BM102" s="1" t="str" cm="1">
        <f t="array" ref="BM102">+_xlfn.IFS(CA102&lt;&gt;0,CA$2,CO102&lt;&gt;0,CO$2,DC102&lt;&gt;0,DC$2,DQ102&lt;&gt;0,DQ$2,TRUE,"")</f>
        <v/>
      </c>
      <c r="BN102" s="1" t="str" cm="1">
        <f t="array" ref="BN102">+_xlfn.IFS(CB102&lt;&gt;0,CB$2,CP102&lt;&gt;0,CP$2,DD102&lt;&gt;0,DD$2,DR102&lt;&gt;0,DR$2,TRUE,"")</f>
        <v>Upsell</v>
      </c>
      <c r="BO102" s="1" t="str" cm="1">
        <f t="array" ref="BO102">+_xlfn.IFS(CC102&lt;&gt;0,CC$2,CQ102&lt;&gt;0,CQ$2,DE102&lt;&gt;0,DE$2,DS102&lt;&gt;0,DS$2,TRUE,"")</f>
        <v/>
      </c>
      <c r="BP102" s="1" t="str" cm="1">
        <f t="array" ref="BP102">+_xlfn.IFS(CD102&lt;&gt;0,CD$2,CR102&lt;&gt;0,CR$2,DF102&lt;&gt;0,DF$2,DT102&lt;&gt;0,DT$2,TRUE,"")</f>
        <v/>
      </c>
      <c r="BQ102" s="1" t="str" cm="1">
        <f t="array" ref="BQ102">+_xlfn.IFS(CE102&lt;&gt;0,CE$2,CS102&lt;&gt;0,CS$2,DG102&lt;&gt;0,DG$2,DU102&lt;&gt;0,DU$2,TRUE,"")</f>
        <v/>
      </c>
      <c r="BS102" s="111"/>
      <c r="BT102" s="110">
        <f t="shared" si="504"/>
        <v>0</v>
      </c>
      <c r="BU102" s="110">
        <f t="shared" si="505"/>
        <v>0</v>
      </c>
      <c r="BV102" s="110">
        <f t="shared" si="506"/>
        <v>0</v>
      </c>
      <c r="BW102" s="110">
        <f t="shared" si="507"/>
        <v>0</v>
      </c>
      <c r="BX102" s="110">
        <f t="shared" si="508"/>
        <v>0</v>
      </c>
      <c r="BY102" s="110">
        <f t="shared" si="509"/>
        <v>0</v>
      </c>
      <c r="BZ102" s="110">
        <f t="shared" si="510"/>
        <v>0</v>
      </c>
      <c r="CA102" s="110">
        <f t="shared" si="511"/>
        <v>0</v>
      </c>
      <c r="CB102" s="110">
        <f t="shared" si="512"/>
        <v>0</v>
      </c>
      <c r="CC102" s="110">
        <f t="shared" si="513"/>
        <v>0</v>
      </c>
      <c r="CD102" s="110">
        <f t="shared" si="514"/>
        <v>0</v>
      </c>
      <c r="CE102" s="110">
        <f t="shared" si="515"/>
        <v>0</v>
      </c>
      <c r="CG102" s="111"/>
      <c r="CH102" s="110">
        <f t="shared" si="516"/>
        <v>0</v>
      </c>
      <c r="CI102" s="110">
        <f t="shared" si="517"/>
        <v>0</v>
      </c>
      <c r="CJ102" s="110">
        <f t="shared" si="518"/>
        <v>0</v>
      </c>
      <c r="CK102" s="110">
        <f t="shared" si="519"/>
        <v>0</v>
      </c>
      <c r="CL102" s="110">
        <f t="shared" si="520"/>
        <v>0</v>
      </c>
      <c r="CM102" s="110">
        <f t="shared" si="521"/>
        <v>0</v>
      </c>
      <c r="CN102" s="110">
        <f t="shared" si="522"/>
        <v>0</v>
      </c>
      <c r="CO102" s="110">
        <f t="shared" si="523"/>
        <v>0</v>
      </c>
      <c r="CP102" s="110">
        <f t="shared" si="524"/>
        <v>0</v>
      </c>
      <c r="CQ102" s="110">
        <f t="shared" si="525"/>
        <v>0</v>
      </c>
      <c r="CR102" s="110">
        <f t="shared" si="526"/>
        <v>0</v>
      </c>
      <c r="CS102" s="110">
        <f t="shared" si="527"/>
        <v>0</v>
      </c>
      <c r="CU102" s="111"/>
      <c r="CV102" s="110">
        <f t="shared" si="528"/>
        <v>0</v>
      </c>
      <c r="CW102" s="110">
        <f t="shared" si="529"/>
        <v>0</v>
      </c>
      <c r="CX102" s="110">
        <f t="shared" si="530"/>
        <v>0</v>
      </c>
      <c r="CY102" s="110">
        <f t="shared" si="531"/>
        <v>0</v>
      </c>
      <c r="CZ102" s="110">
        <f t="shared" si="532"/>
        <v>0</v>
      </c>
      <c r="DA102" s="110">
        <f t="shared" si="533"/>
        <v>0</v>
      </c>
      <c r="DB102" s="110">
        <f t="shared" si="534"/>
        <v>0</v>
      </c>
      <c r="DC102" s="110">
        <f t="shared" si="535"/>
        <v>0</v>
      </c>
      <c r="DD102" s="110">
        <f t="shared" si="536"/>
        <v>0</v>
      </c>
      <c r="DE102" s="110">
        <f t="shared" si="537"/>
        <v>0</v>
      </c>
      <c r="DF102" s="110">
        <f t="shared" si="538"/>
        <v>0</v>
      </c>
      <c r="DG102" s="110">
        <f t="shared" si="539"/>
        <v>0</v>
      </c>
      <c r="DI102" s="111"/>
      <c r="DJ102" s="110">
        <f t="shared" si="540"/>
        <v>0</v>
      </c>
      <c r="DK102" s="110">
        <f t="shared" si="541"/>
        <v>0</v>
      </c>
      <c r="DL102" s="110">
        <f t="shared" si="542"/>
        <v>0</v>
      </c>
      <c r="DM102" s="110">
        <f t="shared" si="543"/>
        <v>0</v>
      </c>
      <c r="DN102" s="110">
        <f t="shared" si="544"/>
        <v>0</v>
      </c>
      <c r="DO102" s="110">
        <f t="shared" si="545"/>
        <v>0</v>
      </c>
      <c r="DP102" s="110">
        <f t="shared" si="546"/>
        <v>0</v>
      </c>
      <c r="DQ102" s="110">
        <f t="shared" si="547"/>
        <v>0</v>
      </c>
      <c r="DR102" s="110">
        <f t="shared" si="548"/>
        <v>6.8299999999999841</v>
      </c>
      <c r="DS102" s="110">
        <f t="shared" si="549"/>
        <v>0</v>
      </c>
      <c r="DT102" s="110">
        <f t="shared" si="550"/>
        <v>0</v>
      </c>
      <c r="DU102" s="110">
        <f t="shared" si="551"/>
        <v>0</v>
      </c>
      <c r="DW102" s="111"/>
      <c r="DX102" s="110">
        <f t="shared" si="552"/>
        <v>0</v>
      </c>
      <c r="DY102" s="110">
        <f t="shared" si="553"/>
        <v>0</v>
      </c>
      <c r="DZ102" s="110">
        <f t="shared" si="554"/>
        <v>0</v>
      </c>
      <c r="EA102" s="110">
        <f t="shared" si="555"/>
        <v>0</v>
      </c>
      <c r="EB102" s="110">
        <f t="shared" si="556"/>
        <v>0</v>
      </c>
      <c r="EC102" s="110">
        <f t="shared" si="557"/>
        <v>0</v>
      </c>
      <c r="ED102" s="110">
        <f t="shared" si="558"/>
        <v>0</v>
      </c>
      <c r="EE102" s="110">
        <f t="shared" si="559"/>
        <v>0</v>
      </c>
      <c r="EF102" s="110">
        <f t="shared" si="560"/>
        <v>0</v>
      </c>
      <c r="EG102" s="110">
        <f t="shared" si="561"/>
        <v>0</v>
      </c>
      <c r="EH102" s="110">
        <f t="shared" si="562"/>
        <v>0</v>
      </c>
      <c r="EI102" s="110">
        <f t="shared" si="563"/>
        <v>0</v>
      </c>
      <c r="EK102" s="111"/>
      <c r="EL102" s="110">
        <f t="shared" si="564"/>
        <v>0</v>
      </c>
      <c r="EM102" s="110">
        <f t="shared" si="565"/>
        <v>0</v>
      </c>
      <c r="EN102" s="110">
        <f t="shared" si="566"/>
        <v>6.8299999999999841</v>
      </c>
      <c r="EP102" s="109" cm="1">
        <f t="array" ref="EP102">+IFERROR(INDEX($C$3:$AM$3,MATCH(TRUE,INDEX($C102:$AM102&lt;&gt;0,0),0)),"N/A")</f>
        <v>44926</v>
      </c>
      <c r="EQ102" s="112"/>
      <c r="ER102" s="1" t="str" cm="1">
        <f t="array" ref="ER102">+_xlfn.IFS(EW102&lt;&gt;0,EW$2,FB102&lt;&gt;0,FB$2,FG102&lt;&gt;0,FG$2,FL102&lt;&gt;0,FL$2,TRUE,"")</f>
        <v/>
      </c>
      <c r="ES102" s="1" t="str" cm="1">
        <f t="array" ref="ES102">+_xlfn.IFS(EX102&lt;&gt;0,EX$2,FC102&lt;&gt;0,FC$2,FH102&lt;&gt;0,FH$2,FM102&lt;&gt;0,FM$2,TRUE,"")</f>
        <v/>
      </c>
      <c r="ET102" s="1" t="str" cm="1">
        <f t="array" ref="ET102">+_xlfn.IFS(EY102&lt;&gt;0,EY$2,FD102&lt;&gt;0,FD$2,FI102&lt;&gt;0,FI$2,FN102&lt;&gt;0,FN$2,TRUE,"")</f>
        <v>Upsell</v>
      </c>
      <c r="EV102" s="111"/>
      <c r="EW102" s="110">
        <f t="shared" si="567"/>
        <v>0</v>
      </c>
      <c r="EX102" s="110">
        <f t="shared" si="568"/>
        <v>0</v>
      </c>
      <c r="EY102" s="110">
        <f t="shared" si="569"/>
        <v>0</v>
      </c>
      <c r="FA102" s="111"/>
      <c r="FB102" s="110">
        <f t="shared" si="570"/>
        <v>0</v>
      </c>
      <c r="FC102" s="110">
        <f t="shared" si="571"/>
        <v>0</v>
      </c>
      <c r="FD102" s="110">
        <f t="shared" si="572"/>
        <v>0</v>
      </c>
      <c r="FF102" s="111"/>
      <c r="FG102" s="110">
        <f t="shared" si="573"/>
        <v>0</v>
      </c>
      <c r="FH102" s="110">
        <f t="shared" si="574"/>
        <v>0</v>
      </c>
      <c r="FI102" s="110">
        <f t="shared" si="575"/>
        <v>0</v>
      </c>
      <c r="FK102" s="111"/>
      <c r="FL102" s="110">
        <f t="shared" si="576"/>
        <v>0</v>
      </c>
      <c r="FM102" s="110">
        <f t="shared" si="577"/>
        <v>0</v>
      </c>
      <c r="FN102" s="110">
        <f t="shared" si="578"/>
        <v>6.8299999999999841</v>
      </c>
      <c r="FP102" s="111"/>
      <c r="FQ102" s="110">
        <f t="shared" si="579"/>
        <v>0</v>
      </c>
      <c r="FR102" s="110">
        <f t="shared" si="580"/>
        <v>0</v>
      </c>
      <c r="FS102" s="110">
        <f t="shared" si="581"/>
        <v>0</v>
      </c>
      <c r="FU102" s="111">
        <f t="shared" si="582"/>
        <v>0</v>
      </c>
      <c r="FV102" s="110">
        <f t="shared" si="583"/>
        <v>0</v>
      </c>
      <c r="FW102" s="110">
        <f t="shared" si="584"/>
        <v>0</v>
      </c>
      <c r="FX102" s="110">
        <f t="shared" si="585"/>
        <v>0</v>
      </c>
      <c r="FY102" s="110">
        <f t="shared" si="586"/>
        <v>0</v>
      </c>
      <c r="FZ102" s="110">
        <f t="shared" si="587"/>
        <v>0</v>
      </c>
      <c r="GA102" s="110">
        <f t="shared" si="588"/>
        <v>0</v>
      </c>
      <c r="GB102" s="110">
        <f t="shared" si="589"/>
        <v>0</v>
      </c>
      <c r="GC102" s="110">
        <f t="shared" si="590"/>
        <v>0</v>
      </c>
      <c r="GD102" s="110">
        <f t="shared" si="591"/>
        <v>0</v>
      </c>
      <c r="GE102" s="110">
        <f t="shared" si="592"/>
        <v>0</v>
      </c>
      <c r="GF102" s="110">
        <f t="shared" si="593"/>
        <v>0</v>
      </c>
      <c r="GG102" s="110">
        <f t="shared" si="594"/>
        <v>0</v>
      </c>
      <c r="GH102" s="110">
        <f t="shared" si="595"/>
        <v>0</v>
      </c>
      <c r="GI102" s="110">
        <f t="shared" si="596"/>
        <v>0</v>
      </c>
      <c r="GJ102" s="110">
        <f t="shared" si="597"/>
        <v>6.8299999999999841</v>
      </c>
      <c r="GK102" s="110">
        <f t="shared" si="598"/>
        <v>6.8299999999999841</v>
      </c>
      <c r="GL102" s="110">
        <f t="shared" si="599"/>
        <v>6.8299999999999841</v>
      </c>
      <c r="GM102" s="110">
        <f t="shared" si="600"/>
        <v>6.8299999999999841</v>
      </c>
      <c r="GN102" s="110">
        <f t="shared" si="601"/>
        <v>6.8299999999999841</v>
      </c>
      <c r="GO102" s="110">
        <f t="shared" si="602"/>
        <v>6.8299999999999841</v>
      </c>
      <c r="GP102" s="110">
        <f t="shared" si="603"/>
        <v>6.8299999999999841</v>
      </c>
      <c r="GQ102" s="110">
        <f t="shared" si="604"/>
        <v>6.8299999999999841</v>
      </c>
      <c r="GR102" s="110">
        <f t="shared" si="605"/>
        <v>6.8299999999999841</v>
      </c>
      <c r="GS102" s="110">
        <f t="shared" si="606"/>
        <v>6.8299999999999841</v>
      </c>
      <c r="GU102" s="109" cm="1">
        <f t="array" ref="GU102">+IFERROR(INDEX($C$3:$AM$3,MATCH(TRUE,INDEX($C102:$AM102&lt;&gt;0,0),0)),"N/A")</f>
        <v>44926</v>
      </c>
      <c r="GV102" s="112" t="str" cm="1">
        <f t="array" ref="GV102">+_xlfn.IFS(HV102&lt;&gt;0,HV$2,IV102&lt;&gt;0,IV$2,JV102&lt;&gt;0,JV$2,KV102&lt;&gt;0,KV$2,TRUE,"")</f>
        <v/>
      </c>
      <c r="GW102" s="1" t="str" cm="1">
        <f t="array" ref="GW102">+_xlfn.IFS(HW102&lt;&gt;0,HW$2,IW102&lt;&gt;0,IW$2,JW102&lt;&gt;0,JW$2,KW102&lt;&gt;0,KW$2,TRUE,"")</f>
        <v/>
      </c>
      <c r="GX102" s="1" t="str" cm="1">
        <f t="array" ref="GX102">+_xlfn.IFS(HX102&lt;&gt;0,HX$2,IX102&lt;&gt;0,IX$2,JX102&lt;&gt;0,JX$2,KX102&lt;&gt;0,KX$2,TRUE,"")</f>
        <v/>
      </c>
      <c r="GY102" s="1" t="str" cm="1">
        <f t="array" ref="GY102">+_xlfn.IFS(HY102&lt;&gt;0,HY$2,IY102&lt;&gt;0,IY$2,JY102&lt;&gt;0,JY$2,KY102&lt;&gt;0,KY$2,TRUE,"")</f>
        <v/>
      </c>
      <c r="GZ102" s="1" t="str" cm="1">
        <f t="array" ref="GZ102">+_xlfn.IFS(HZ102&lt;&gt;0,HZ$2,IZ102&lt;&gt;0,IZ$2,JZ102&lt;&gt;0,JZ$2,KZ102&lt;&gt;0,KZ$2,TRUE,"")</f>
        <v/>
      </c>
      <c r="HA102" s="1" t="str" cm="1">
        <f t="array" ref="HA102">+_xlfn.IFS(IA102&lt;&gt;0,IA$2,JA102&lt;&gt;0,JA$2,KA102&lt;&gt;0,KA$2,LA102&lt;&gt;0,LA$2,TRUE,"")</f>
        <v/>
      </c>
      <c r="HB102" s="1" t="str" cm="1">
        <f t="array" ref="HB102">+_xlfn.IFS(IB102&lt;&gt;0,IB$2,JB102&lt;&gt;0,JB$2,KB102&lt;&gt;0,KB$2,LB102&lt;&gt;0,LB$2,TRUE,"")</f>
        <v/>
      </c>
      <c r="HC102" s="1" t="str" cm="1">
        <f t="array" ref="HC102">+_xlfn.IFS(IC102&lt;&gt;0,IC$2,JC102&lt;&gt;0,JC$2,KC102&lt;&gt;0,KC$2,LC102&lt;&gt;0,LC$2,TRUE,"")</f>
        <v/>
      </c>
      <c r="HD102" s="1" t="str" cm="1">
        <f t="array" ref="HD102">+_xlfn.IFS(ID102&lt;&gt;0,ID$2,JD102&lt;&gt;0,JD$2,KD102&lt;&gt;0,KD$2,LD102&lt;&gt;0,LD$2,TRUE,"")</f>
        <v/>
      </c>
      <c r="HE102" s="1" t="str" cm="1">
        <f t="array" ref="HE102">+_xlfn.IFS(IE102&lt;&gt;0,IE$2,JE102&lt;&gt;0,JE$2,KE102&lt;&gt;0,KE$2,LE102&lt;&gt;0,LE$2,TRUE,"")</f>
        <v/>
      </c>
      <c r="HF102" s="1" t="str" cm="1">
        <f t="array" ref="HF102">+_xlfn.IFS(IF102&lt;&gt;0,IF$2,JF102&lt;&gt;0,JF$2,KF102&lt;&gt;0,KF$2,LF102&lt;&gt;0,LF$2,TRUE,"")</f>
        <v/>
      </c>
      <c r="HG102" s="1" t="str" cm="1">
        <f t="array" ref="HG102">+_xlfn.IFS(IG102&lt;&gt;0,IG$2,JG102&lt;&gt;0,JG$2,KG102&lt;&gt;0,KG$2,LG102&lt;&gt;0,LG$2,TRUE,"")</f>
        <v/>
      </c>
      <c r="HH102" s="1" t="str" cm="1">
        <f t="array" ref="HH102">+_xlfn.IFS(IH102&lt;&gt;0,IH$2,JH102&lt;&gt;0,JH$2,KH102&lt;&gt;0,KH$2,LH102&lt;&gt;0,LH$2,TRUE,"")</f>
        <v/>
      </c>
      <c r="HI102" s="1" t="str" cm="1">
        <f t="array" ref="HI102">+_xlfn.IFS(II102&lt;&gt;0,II$2,JI102&lt;&gt;0,JI$2,KI102&lt;&gt;0,KI$2,LI102&lt;&gt;0,LI$2,TRUE,"")</f>
        <v/>
      </c>
      <c r="HJ102" s="1" t="str" cm="1">
        <f t="array" ref="HJ102">+_xlfn.IFS(IJ102&lt;&gt;0,IJ$2,JJ102&lt;&gt;0,JJ$2,KJ102&lt;&gt;0,KJ$2,LJ102&lt;&gt;0,LJ$2,TRUE,"")</f>
        <v/>
      </c>
      <c r="HK102" s="1" t="str" cm="1">
        <f t="array" ref="HK102">+_xlfn.IFS(IK102&lt;&gt;0,IK$2,JK102&lt;&gt;0,JK$2,KK102&lt;&gt;0,KK$2,LK102&lt;&gt;0,LK$2,TRUE,"")</f>
        <v>Upsell</v>
      </c>
      <c r="HL102" s="1" t="str" cm="1">
        <f t="array" ref="HL102">+_xlfn.IFS(IL102&lt;&gt;0,IL$2,JL102&lt;&gt;0,JL$2,KL102&lt;&gt;0,KL$2,LL102&lt;&gt;0,LL$2,TRUE,"")</f>
        <v>Upsell</v>
      </c>
      <c r="HM102" s="1" t="str" cm="1">
        <f t="array" ref="HM102">+_xlfn.IFS(IM102&lt;&gt;0,IM$2,JM102&lt;&gt;0,JM$2,KM102&lt;&gt;0,KM$2,LM102&lt;&gt;0,LM$2,TRUE,"")</f>
        <v>Upsell</v>
      </c>
      <c r="HN102" s="1" t="str" cm="1">
        <f t="array" ref="HN102">+_xlfn.IFS(IN102&lt;&gt;0,IN$2,JN102&lt;&gt;0,JN$2,KN102&lt;&gt;0,KN$2,LN102&lt;&gt;0,LN$2,TRUE,"")</f>
        <v>Upsell</v>
      </c>
      <c r="HO102" s="1" t="str" cm="1">
        <f t="array" ref="HO102">+_xlfn.IFS(IO102&lt;&gt;0,IO$2,JO102&lt;&gt;0,JO$2,KO102&lt;&gt;0,KO$2,LO102&lt;&gt;0,LO$2,TRUE,"")</f>
        <v>Upsell</v>
      </c>
      <c r="HP102" s="1" t="str" cm="1">
        <f t="array" ref="HP102">+_xlfn.IFS(IP102&lt;&gt;0,IP$2,JP102&lt;&gt;0,JP$2,KP102&lt;&gt;0,KP$2,LP102&lt;&gt;0,LP$2,TRUE,"")</f>
        <v>Upsell</v>
      </c>
      <c r="HQ102" s="1" t="str" cm="1">
        <f t="array" ref="HQ102">+_xlfn.IFS(IQ102&lt;&gt;0,IQ$2,JQ102&lt;&gt;0,JQ$2,KQ102&lt;&gt;0,KQ$2,LQ102&lt;&gt;0,LQ$2,TRUE,"")</f>
        <v>Upsell</v>
      </c>
      <c r="HR102" s="1" t="str" cm="1">
        <f t="array" ref="HR102">+_xlfn.IFS(IR102&lt;&gt;0,IR$2,JR102&lt;&gt;0,JR$2,KR102&lt;&gt;0,KR$2,LR102&lt;&gt;0,LR$2,TRUE,"")</f>
        <v>Upsell</v>
      </c>
      <c r="HS102" s="1" t="str" cm="1">
        <f t="array" ref="HS102">+_xlfn.IFS(IS102&lt;&gt;0,IS$2,JS102&lt;&gt;0,JS$2,KS102&lt;&gt;0,KS$2,LS102&lt;&gt;0,LS$2,TRUE,"")</f>
        <v>Upsell</v>
      </c>
      <c r="HT102" s="1" t="str" cm="1">
        <f t="array" ref="HT102">+_xlfn.IFS(IT102&lt;&gt;0,IT$2,JT102&lt;&gt;0,JT$2,KT102&lt;&gt;0,KT$2,LT102&lt;&gt;0,LT$2,TRUE,"")</f>
        <v>Upsell</v>
      </c>
      <c r="HV102" s="111">
        <f t="shared" si="607"/>
        <v>0</v>
      </c>
      <c r="HW102" s="110">
        <f t="shared" si="608"/>
        <v>0</v>
      </c>
      <c r="HX102" s="110">
        <f t="shared" si="609"/>
        <v>0</v>
      </c>
      <c r="HY102" s="110">
        <f t="shared" si="610"/>
        <v>0</v>
      </c>
      <c r="HZ102" s="110">
        <f t="shared" si="611"/>
        <v>0</v>
      </c>
      <c r="IA102" s="110">
        <f t="shared" si="612"/>
        <v>0</v>
      </c>
      <c r="IB102" s="110">
        <f t="shared" si="613"/>
        <v>0</v>
      </c>
      <c r="IC102" s="110">
        <f t="shared" si="614"/>
        <v>0</v>
      </c>
      <c r="ID102" s="110">
        <f t="shared" si="615"/>
        <v>0</v>
      </c>
      <c r="IE102" s="110">
        <f t="shared" si="616"/>
        <v>0</v>
      </c>
      <c r="IF102" s="110">
        <f t="shared" si="617"/>
        <v>0</v>
      </c>
      <c r="IG102" s="110">
        <f t="shared" si="618"/>
        <v>0</v>
      </c>
      <c r="IH102" s="110">
        <f t="shared" si="619"/>
        <v>0</v>
      </c>
      <c r="II102" s="110">
        <f t="shared" si="620"/>
        <v>0</v>
      </c>
      <c r="IJ102" s="110">
        <f t="shared" si="621"/>
        <v>0</v>
      </c>
      <c r="IK102" s="110">
        <f t="shared" si="622"/>
        <v>0</v>
      </c>
      <c r="IL102" s="110">
        <f t="shared" si="623"/>
        <v>0</v>
      </c>
      <c r="IM102" s="110">
        <f t="shared" si="624"/>
        <v>0</v>
      </c>
      <c r="IN102" s="110">
        <f t="shared" si="625"/>
        <v>0</v>
      </c>
      <c r="IO102" s="110">
        <f t="shared" si="626"/>
        <v>0</v>
      </c>
      <c r="IP102" s="110">
        <f t="shared" si="627"/>
        <v>0</v>
      </c>
      <c r="IQ102" s="110">
        <f t="shared" si="628"/>
        <v>0</v>
      </c>
      <c r="IR102" s="110">
        <f t="shared" si="629"/>
        <v>0</v>
      </c>
      <c r="IS102" s="110">
        <f t="shared" si="630"/>
        <v>0</v>
      </c>
      <c r="IT102" s="110">
        <f t="shared" si="631"/>
        <v>0</v>
      </c>
      <c r="IV102" s="111">
        <f t="shared" si="632"/>
        <v>0</v>
      </c>
      <c r="IW102" s="110">
        <f t="shared" si="633"/>
        <v>0</v>
      </c>
      <c r="IX102" s="110">
        <f t="shared" si="634"/>
        <v>0</v>
      </c>
      <c r="IY102" s="110">
        <f t="shared" si="635"/>
        <v>0</v>
      </c>
      <c r="IZ102" s="110">
        <f t="shared" si="636"/>
        <v>0</v>
      </c>
      <c r="JA102" s="110">
        <f t="shared" si="637"/>
        <v>0</v>
      </c>
      <c r="JB102" s="110">
        <f t="shared" si="638"/>
        <v>0</v>
      </c>
      <c r="JC102" s="110">
        <f t="shared" si="639"/>
        <v>0</v>
      </c>
      <c r="JD102" s="110">
        <f t="shared" si="640"/>
        <v>0</v>
      </c>
      <c r="JE102" s="110">
        <f t="shared" si="641"/>
        <v>0</v>
      </c>
      <c r="JF102" s="110">
        <f t="shared" si="642"/>
        <v>0</v>
      </c>
      <c r="JG102" s="110">
        <f t="shared" si="643"/>
        <v>0</v>
      </c>
      <c r="JH102" s="110">
        <f t="shared" si="644"/>
        <v>0</v>
      </c>
      <c r="JI102" s="110">
        <f t="shared" si="645"/>
        <v>0</v>
      </c>
      <c r="JJ102" s="110">
        <f t="shared" si="646"/>
        <v>0</v>
      </c>
      <c r="JK102" s="110">
        <f t="shared" si="647"/>
        <v>0</v>
      </c>
      <c r="JL102" s="110">
        <f t="shared" si="648"/>
        <v>0</v>
      </c>
      <c r="JM102" s="110">
        <f t="shared" si="649"/>
        <v>0</v>
      </c>
      <c r="JN102" s="110">
        <f t="shared" si="650"/>
        <v>0</v>
      </c>
      <c r="JO102" s="110">
        <f t="shared" si="651"/>
        <v>0</v>
      </c>
      <c r="JP102" s="110">
        <f t="shared" si="652"/>
        <v>0</v>
      </c>
      <c r="JQ102" s="110">
        <f t="shared" si="653"/>
        <v>0</v>
      </c>
      <c r="JR102" s="110">
        <f t="shared" si="654"/>
        <v>0</v>
      </c>
      <c r="JS102" s="110">
        <f t="shared" si="655"/>
        <v>0</v>
      </c>
      <c r="JT102" s="110">
        <f t="shared" si="656"/>
        <v>0</v>
      </c>
      <c r="JV102" s="111">
        <f t="shared" si="657"/>
        <v>0</v>
      </c>
      <c r="JW102" s="110">
        <f t="shared" si="658"/>
        <v>0</v>
      </c>
      <c r="JX102" s="110">
        <f t="shared" si="659"/>
        <v>0</v>
      </c>
      <c r="JY102" s="110">
        <f t="shared" si="660"/>
        <v>0</v>
      </c>
      <c r="JZ102" s="110">
        <f t="shared" si="661"/>
        <v>0</v>
      </c>
      <c r="KA102" s="110">
        <f t="shared" si="662"/>
        <v>0</v>
      </c>
      <c r="KB102" s="110">
        <f t="shared" si="663"/>
        <v>0</v>
      </c>
      <c r="KC102" s="110">
        <f t="shared" si="664"/>
        <v>0</v>
      </c>
      <c r="KD102" s="110">
        <f t="shared" si="665"/>
        <v>0</v>
      </c>
      <c r="KE102" s="110">
        <f t="shared" si="666"/>
        <v>0</v>
      </c>
      <c r="KF102" s="110">
        <f t="shared" si="667"/>
        <v>0</v>
      </c>
      <c r="KG102" s="110">
        <f t="shared" si="668"/>
        <v>0</v>
      </c>
      <c r="KH102" s="110">
        <f t="shared" si="669"/>
        <v>0</v>
      </c>
      <c r="KI102" s="110">
        <f t="shared" si="670"/>
        <v>0</v>
      </c>
      <c r="KJ102" s="110">
        <f t="shared" si="671"/>
        <v>0</v>
      </c>
      <c r="KK102" s="110">
        <f t="shared" si="672"/>
        <v>0</v>
      </c>
      <c r="KL102" s="110">
        <f t="shared" si="673"/>
        <v>0</v>
      </c>
      <c r="KM102" s="110">
        <f t="shared" si="674"/>
        <v>0</v>
      </c>
      <c r="KN102" s="110">
        <f t="shared" si="675"/>
        <v>0</v>
      </c>
      <c r="KO102" s="110">
        <f t="shared" si="676"/>
        <v>0</v>
      </c>
      <c r="KP102" s="110">
        <f t="shared" si="677"/>
        <v>0</v>
      </c>
      <c r="KQ102" s="110">
        <f t="shared" si="678"/>
        <v>0</v>
      </c>
      <c r="KR102" s="110">
        <f t="shared" si="679"/>
        <v>0</v>
      </c>
      <c r="KS102" s="110">
        <f t="shared" si="680"/>
        <v>0</v>
      </c>
      <c r="KT102" s="110">
        <f t="shared" si="681"/>
        <v>0</v>
      </c>
      <c r="KV102" s="111">
        <f t="shared" si="682"/>
        <v>0</v>
      </c>
      <c r="KW102" s="110">
        <f t="shared" si="683"/>
        <v>0</v>
      </c>
      <c r="KX102" s="110">
        <f t="shared" si="684"/>
        <v>0</v>
      </c>
      <c r="KY102" s="110">
        <f t="shared" si="685"/>
        <v>0</v>
      </c>
      <c r="KZ102" s="110">
        <f t="shared" si="686"/>
        <v>0</v>
      </c>
      <c r="LA102" s="110">
        <f t="shared" si="687"/>
        <v>0</v>
      </c>
      <c r="LB102" s="110">
        <f t="shared" si="688"/>
        <v>0</v>
      </c>
      <c r="LC102" s="110">
        <f t="shared" si="689"/>
        <v>0</v>
      </c>
      <c r="LD102" s="110">
        <f t="shared" si="690"/>
        <v>0</v>
      </c>
      <c r="LE102" s="110">
        <f t="shared" si="691"/>
        <v>0</v>
      </c>
      <c r="LF102" s="110">
        <f t="shared" si="692"/>
        <v>0</v>
      </c>
      <c r="LG102" s="110">
        <f t="shared" si="693"/>
        <v>0</v>
      </c>
      <c r="LH102" s="110">
        <f t="shared" si="694"/>
        <v>0</v>
      </c>
      <c r="LI102" s="110">
        <f t="shared" si="695"/>
        <v>0</v>
      </c>
      <c r="LJ102" s="110">
        <f t="shared" si="696"/>
        <v>0</v>
      </c>
      <c r="LK102" s="110">
        <f t="shared" si="697"/>
        <v>6.8299999999999841</v>
      </c>
      <c r="LL102" s="110">
        <f t="shared" si="698"/>
        <v>6.8299999999999841</v>
      </c>
      <c r="LM102" s="110">
        <f t="shared" si="699"/>
        <v>6.8299999999999841</v>
      </c>
      <c r="LN102" s="110">
        <f t="shared" si="700"/>
        <v>6.8299999999999841</v>
      </c>
      <c r="LO102" s="110">
        <f t="shared" si="701"/>
        <v>6.8299999999999841</v>
      </c>
      <c r="LP102" s="110">
        <f t="shared" si="702"/>
        <v>6.8299999999999841</v>
      </c>
      <c r="LQ102" s="110">
        <f t="shared" si="703"/>
        <v>6.8299999999999841</v>
      </c>
      <c r="LR102" s="110">
        <f t="shared" si="704"/>
        <v>6.8299999999999841</v>
      </c>
      <c r="LS102" s="110">
        <f t="shared" si="705"/>
        <v>6.8299999999999841</v>
      </c>
      <c r="LT102" s="110">
        <f t="shared" si="706"/>
        <v>6.8299999999999841</v>
      </c>
      <c r="LV102" s="111"/>
      <c r="LW102" s="110">
        <f t="shared" si="707"/>
        <v>0</v>
      </c>
      <c r="LX102" s="110">
        <f t="shared" si="708"/>
        <v>0</v>
      </c>
      <c r="LY102" s="110">
        <f t="shared" si="709"/>
        <v>0</v>
      </c>
      <c r="LZ102" s="110">
        <f t="shared" si="710"/>
        <v>0</v>
      </c>
      <c r="MA102" s="110">
        <f t="shared" si="711"/>
        <v>0</v>
      </c>
      <c r="MB102" s="110">
        <f t="shared" si="712"/>
        <v>0</v>
      </c>
      <c r="MC102" s="110">
        <f t="shared" si="713"/>
        <v>0</v>
      </c>
      <c r="MD102" s="110">
        <f t="shared" si="714"/>
        <v>0</v>
      </c>
      <c r="ME102" s="110">
        <f t="shared" si="715"/>
        <v>0</v>
      </c>
      <c r="MF102" s="110">
        <f t="shared" si="716"/>
        <v>0</v>
      </c>
      <c r="MG102" s="110">
        <f t="shared" si="717"/>
        <v>0</v>
      </c>
      <c r="MH102" s="110">
        <f t="shared" si="718"/>
        <v>0</v>
      </c>
      <c r="MI102" s="110">
        <f t="shared" si="719"/>
        <v>0</v>
      </c>
      <c r="MJ102" s="110">
        <f t="shared" si="720"/>
        <v>0</v>
      </c>
      <c r="MK102" s="110">
        <f t="shared" si="721"/>
        <v>0</v>
      </c>
      <c r="ML102" s="110">
        <f t="shared" si="722"/>
        <v>0</v>
      </c>
      <c r="MM102" s="110">
        <f t="shared" si="723"/>
        <v>0</v>
      </c>
      <c r="MN102" s="110">
        <f t="shared" si="724"/>
        <v>0</v>
      </c>
      <c r="MO102" s="110">
        <f t="shared" si="725"/>
        <v>0</v>
      </c>
      <c r="MP102" s="110">
        <f t="shared" si="726"/>
        <v>0</v>
      </c>
      <c r="MQ102" s="110">
        <f t="shared" si="727"/>
        <v>0</v>
      </c>
      <c r="MR102" s="110">
        <f t="shared" si="728"/>
        <v>0</v>
      </c>
      <c r="MS102" s="110">
        <f t="shared" si="729"/>
        <v>0</v>
      </c>
      <c r="MT102" s="110">
        <f t="shared" si="730"/>
        <v>0</v>
      </c>
      <c r="MV102" s="114">
        <v>201.94</v>
      </c>
      <c r="MW102" s="114">
        <v>0</v>
      </c>
      <c r="MX102" s="114">
        <v>6.8299999999999841</v>
      </c>
      <c r="MY102" s="114">
        <v>0</v>
      </c>
      <c r="MZ102" s="114">
        <v>0</v>
      </c>
      <c r="NB102" s="115">
        <v>50</v>
      </c>
      <c r="NC102" s="115" t="str">
        <v>N/A</v>
      </c>
      <c r="ND102" s="115">
        <v>35</v>
      </c>
      <c r="NE102" s="115" t="str">
        <v>N/A</v>
      </c>
      <c r="NF102" s="115" t="str">
        <v>N/A</v>
      </c>
    </row>
    <row r="103" spans="2:370" ht="13.5" x14ac:dyDescent="0.25">
      <c r="B103" s="8">
        <f t="shared" si="731"/>
        <v>100</v>
      </c>
      <c r="C103" s="7">
        <v>259</v>
      </c>
      <c r="D103" s="7">
        <v>259</v>
      </c>
      <c r="E103" s="7">
        <v>259</v>
      </c>
      <c r="F103" s="7">
        <v>259</v>
      </c>
      <c r="G103" s="7">
        <v>259</v>
      </c>
      <c r="H103" s="7">
        <v>259</v>
      </c>
      <c r="I103" s="7">
        <v>259</v>
      </c>
      <c r="J103" s="7">
        <v>259</v>
      </c>
      <c r="K103" s="7">
        <v>259</v>
      </c>
      <c r="L103" s="7">
        <v>259</v>
      </c>
      <c r="M103" s="7">
        <v>259</v>
      </c>
      <c r="N103" s="7">
        <v>259</v>
      </c>
      <c r="O103" s="7">
        <v>259</v>
      </c>
      <c r="P103" s="7">
        <v>259</v>
      </c>
      <c r="Q103" s="7">
        <v>259</v>
      </c>
      <c r="R103" s="7">
        <v>259</v>
      </c>
      <c r="S103" s="7">
        <v>259</v>
      </c>
      <c r="T103" s="7">
        <v>259</v>
      </c>
      <c r="U103" s="7">
        <v>259</v>
      </c>
      <c r="V103" s="7">
        <v>259</v>
      </c>
      <c r="W103" s="7">
        <v>259</v>
      </c>
      <c r="X103" s="7">
        <v>279</v>
      </c>
      <c r="Y103" s="7">
        <v>279</v>
      </c>
      <c r="Z103" s="7">
        <v>279</v>
      </c>
      <c r="AA103" s="7">
        <v>279</v>
      </c>
      <c r="AB103" s="7">
        <v>0</v>
      </c>
      <c r="AC103" s="7">
        <v>0</v>
      </c>
      <c r="AD103" s="7">
        <v>0</v>
      </c>
      <c r="AE103" s="7">
        <v>0</v>
      </c>
      <c r="AF103" s="7">
        <v>0</v>
      </c>
      <c r="AG103" s="7">
        <v>0</v>
      </c>
      <c r="AH103" s="7">
        <v>0</v>
      </c>
      <c r="AI103" s="7">
        <v>0</v>
      </c>
      <c r="AJ103" s="7">
        <v>0</v>
      </c>
      <c r="AK103" s="7">
        <v>0</v>
      </c>
      <c r="AL103" s="7">
        <v>0</v>
      </c>
      <c r="AM103" s="7">
        <v>0</v>
      </c>
      <c r="AN103" s="27">
        <v>100</v>
      </c>
      <c r="AP103" s="111"/>
      <c r="AQ103" s="110">
        <f t="shared" si="492"/>
        <v>0</v>
      </c>
      <c r="AR103" s="110">
        <f t="shared" si="493"/>
        <v>0</v>
      </c>
      <c r="AS103" s="110">
        <f t="shared" si="494"/>
        <v>0</v>
      </c>
      <c r="AT103" s="110">
        <f t="shared" si="495"/>
        <v>0</v>
      </c>
      <c r="AU103" s="110">
        <f t="shared" si="496"/>
        <v>0</v>
      </c>
      <c r="AV103" s="110">
        <f t="shared" si="497"/>
        <v>0</v>
      </c>
      <c r="AW103" s="110">
        <f t="shared" si="498"/>
        <v>20</v>
      </c>
      <c r="AX103" s="110">
        <f t="shared" si="499"/>
        <v>0</v>
      </c>
      <c r="AY103" s="110">
        <f t="shared" si="500"/>
        <v>-279</v>
      </c>
      <c r="AZ103" s="110">
        <f t="shared" si="501"/>
        <v>0</v>
      </c>
      <c r="BA103" s="110">
        <f t="shared" si="502"/>
        <v>0</v>
      </c>
      <c r="BB103" s="110">
        <f t="shared" si="503"/>
        <v>0</v>
      </c>
      <c r="BD103" s="109" cm="1">
        <f t="array" ref="BD103">+IFERROR(INDEX($C$3:$AM$3,MATCH(TRUE,INDEX($C103:$AM103&lt;&gt;0,0),0)),"N/A")</f>
        <v>44926</v>
      </c>
      <c r="BE103" s="112"/>
      <c r="BF103" s="1" t="str" cm="1">
        <f t="array" ref="BF103">+_xlfn.IFS(BT103&lt;&gt;0,BT$2,CH103&lt;&gt;0,CH$2,CV103&lt;&gt;0,CV$2,DJ103&lt;&gt;0,DJ$2,TRUE,"")</f>
        <v/>
      </c>
      <c r="BG103" s="1" t="str" cm="1">
        <f t="array" ref="BG103">+_xlfn.IFS(BU103&lt;&gt;0,BU$2,CI103&lt;&gt;0,CI$2,CW103&lt;&gt;0,CW$2,DK103&lt;&gt;0,DK$2,TRUE,"")</f>
        <v/>
      </c>
      <c r="BH103" s="1" t="str" cm="1">
        <f t="array" ref="BH103">+_xlfn.IFS(BV103&lt;&gt;0,BV$2,CJ103&lt;&gt;0,CJ$2,CX103&lt;&gt;0,CX$2,DL103&lt;&gt;0,DL$2,TRUE,"")</f>
        <v/>
      </c>
      <c r="BI103" s="1" t="str" cm="1">
        <f t="array" ref="BI103">+_xlfn.IFS(BW103&lt;&gt;0,BW$2,CK103&lt;&gt;0,CK$2,CY103&lt;&gt;0,CY$2,DM103&lt;&gt;0,DM$2,TRUE,"")</f>
        <v/>
      </c>
      <c r="BJ103" s="1" t="str" cm="1">
        <f t="array" ref="BJ103">+_xlfn.IFS(BX103&lt;&gt;0,BX$2,CL103&lt;&gt;0,CL$2,CZ103&lt;&gt;0,CZ$2,DN103&lt;&gt;0,DN$2,TRUE,"")</f>
        <v/>
      </c>
      <c r="BK103" s="1" t="str" cm="1">
        <f t="array" ref="BK103">+_xlfn.IFS(BY103&lt;&gt;0,BY$2,CM103&lt;&gt;0,CM$2,DA103&lt;&gt;0,DA$2,DO103&lt;&gt;0,DO$2,TRUE,"")</f>
        <v/>
      </c>
      <c r="BL103" s="1" t="str" cm="1">
        <f t="array" ref="BL103">+_xlfn.IFS(BZ103&lt;&gt;0,BZ$2,CN103&lt;&gt;0,CN$2,DB103&lt;&gt;0,DB$2,DP103&lt;&gt;0,DP$2,TRUE,"")</f>
        <v>Upsell</v>
      </c>
      <c r="BM103" s="1" t="str" cm="1">
        <f t="array" ref="BM103">+_xlfn.IFS(CA103&lt;&gt;0,CA$2,CO103&lt;&gt;0,CO$2,DC103&lt;&gt;0,DC$2,DQ103&lt;&gt;0,DQ$2,TRUE,"")</f>
        <v/>
      </c>
      <c r="BN103" s="1" t="str" cm="1">
        <f t="array" ref="BN103">+_xlfn.IFS(CB103&lt;&gt;0,CB$2,CP103&lt;&gt;0,CP$2,DD103&lt;&gt;0,DD$2,DR103&lt;&gt;0,DR$2,TRUE,"")</f>
        <v>Churn</v>
      </c>
      <c r="BO103" s="1" t="str" cm="1">
        <f t="array" ref="BO103">+_xlfn.IFS(CC103&lt;&gt;0,CC$2,CQ103&lt;&gt;0,CQ$2,DE103&lt;&gt;0,DE$2,DS103&lt;&gt;0,DS$2,TRUE,"")</f>
        <v/>
      </c>
      <c r="BP103" s="1" t="str" cm="1">
        <f t="array" ref="BP103">+_xlfn.IFS(CD103&lt;&gt;0,CD$2,CR103&lt;&gt;0,CR$2,DF103&lt;&gt;0,DF$2,DT103&lt;&gt;0,DT$2,TRUE,"")</f>
        <v/>
      </c>
      <c r="BQ103" s="1" t="str" cm="1">
        <f t="array" ref="BQ103">+_xlfn.IFS(CE103&lt;&gt;0,CE$2,CS103&lt;&gt;0,CS$2,DG103&lt;&gt;0,DG$2,DU103&lt;&gt;0,DU$2,TRUE,"")</f>
        <v/>
      </c>
      <c r="BS103" s="111"/>
      <c r="BT103" s="110">
        <f t="shared" si="504"/>
        <v>0</v>
      </c>
      <c r="BU103" s="110">
        <f t="shared" si="505"/>
        <v>0</v>
      </c>
      <c r="BV103" s="110">
        <f t="shared" si="506"/>
        <v>0</v>
      </c>
      <c r="BW103" s="110">
        <f t="shared" si="507"/>
        <v>0</v>
      </c>
      <c r="BX103" s="110">
        <f t="shared" si="508"/>
        <v>0</v>
      </c>
      <c r="BY103" s="110">
        <f t="shared" si="509"/>
        <v>0</v>
      </c>
      <c r="BZ103" s="110">
        <f t="shared" si="510"/>
        <v>0</v>
      </c>
      <c r="CA103" s="110">
        <f t="shared" si="511"/>
        <v>0</v>
      </c>
      <c r="CB103" s="110">
        <f t="shared" si="512"/>
        <v>0</v>
      </c>
      <c r="CC103" s="110">
        <f t="shared" si="513"/>
        <v>0</v>
      </c>
      <c r="CD103" s="110">
        <f t="shared" si="514"/>
        <v>0</v>
      </c>
      <c r="CE103" s="110">
        <f t="shared" si="515"/>
        <v>0</v>
      </c>
      <c r="CG103" s="111"/>
      <c r="CH103" s="110">
        <f t="shared" si="516"/>
        <v>0</v>
      </c>
      <c r="CI103" s="110">
        <f t="shared" si="517"/>
        <v>0</v>
      </c>
      <c r="CJ103" s="110">
        <f t="shared" si="518"/>
        <v>0</v>
      </c>
      <c r="CK103" s="110">
        <f t="shared" si="519"/>
        <v>0</v>
      </c>
      <c r="CL103" s="110">
        <f t="shared" si="520"/>
        <v>0</v>
      </c>
      <c r="CM103" s="110">
        <f t="shared" si="521"/>
        <v>0</v>
      </c>
      <c r="CN103" s="110">
        <f t="shared" si="522"/>
        <v>0</v>
      </c>
      <c r="CO103" s="110">
        <f t="shared" si="523"/>
        <v>0</v>
      </c>
      <c r="CP103" s="110">
        <f t="shared" si="524"/>
        <v>-279</v>
      </c>
      <c r="CQ103" s="110">
        <f t="shared" si="525"/>
        <v>0</v>
      </c>
      <c r="CR103" s="110">
        <f t="shared" si="526"/>
        <v>0</v>
      </c>
      <c r="CS103" s="110">
        <f t="shared" si="527"/>
        <v>0</v>
      </c>
      <c r="CU103" s="111"/>
      <c r="CV103" s="110">
        <f t="shared" si="528"/>
        <v>0</v>
      </c>
      <c r="CW103" s="110">
        <f t="shared" si="529"/>
        <v>0</v>
      </c>
      <c r="CX103" s="110">
        <f t="shared" si="530"/>
        <v>0</v>
      </c>
      <c r="CY103" s="110">
        <f t="shared" si="531"/>
        <v>0</v>
      </c>
      <c r="CZ103" s="110">
        <f t="shared" si="532"/>
        <v>0</v>
      </c>
      <c r="DA103" s="110">
        <f t="shared" si="533"/>
        <v>0</v>
      </c>
      <c r="DB103" s="110">
        <f t="shared" si="534"/>
        <v>0</v>
      </c>
      <c r="DC103" s="110">
        <f t="shared" si="535"/>
        <v>0</v>
      </c>
      <c r="DD103" s="110">
        <f t="shared" si="536"/>
        <v>0</v>
      </c>
      <c r="DE103" s="110">
        <f t="shared" si="537"/>
        <v>0</v>
      </c>
      <c r="DF103" s="110">
        <f t="shared" si="538"/>
        <v>0</v>
      </c>
      <c r="DG103" s="110">
        <f t="shared" si="539"/>
        <v>0</v>
      </c>
      <c r="DI103" s="111"/>
      <c r="DJ103" s="110">
        <f t="shared" si="540"/>
        <v>0</v>
      </c>
      <c r="DK103" s="110">
        <f t="shared" si="541"/>
        <v>0</v>
      </c>
      <c r="DL103" s="110">
        <f t="shared" si="542"/>
        <v>0</v>
      </c>
      <c r="DM103" s="110">
        <f t="shared" si="543"/>
        <v>0</v>
      </c>
      <c r="DN103" s="110">
        <f t="shared" si="544"/>
        <v>0</v>
      </c>
      <c r="DO103" s="110">
        <f t="shared" si="545"/>
        <v>0</v>
      </c>
      <c r="DP103" s="110">
        <f t="shared" si="546"/>
        <v>20</v>
      </c>
      <c r="DQ103" s="110">
        <f t="shared" si="547"/>
        <v>0</v>
      </c>
      <c r="DR103" s="110">
        <f t="shared" si="548"/>
        <v>0</v>
      </c>
      <c r="DS103" s="110">
        <f t="shared" si="549"/>
        <v>0</v>
      </c>
      <c r="DT103" s="110">
        <f t="shared" si="550"/>
        <v>0</v>
      </c>
      <c r="DU103" s="110">
        <f t="shared" si="551"/>
        <v>0</v>
      </c>
      <c r="DW103" s="111"/>
      <c r="DX103" s="110">
        <f t="shared" si="552"/>
        <v>0</v>
      </c>
      <c r="DY103" s="110">
        <f t="shared" si="553"/>
        <v>0</v>
      </c>
      <c r="DZ103" s="110">
        <f t="shared" si="554"/>
        <v>0</v>
      </c>
      <c r="EA103" s="110">
        <f t="shared" si="555"/>
        <v>0</v>
      </c>
      <c r="EB103" s="110">
        <f t="shared" si="556"/>
        <v>0</v>
      </c>
      <c r="EC103" s="110">
        <f t="shared" si="557"/>
        <v>0</v>
      </c>
      <c r="ED103" s="110">
        <f t="shared" si="558"/>
        <v>0</v>
      </c>
      <c r="EE103" s="110">
        <f t="shared" si="559"/>
        <v>0</v>
      </c>
      <c r="EF103" s="110">
        <f t="shared" si="560"/>
        <v>0</v>
      </c>
      <c r="EG103" s="110">
        <f t="shared" si="561"/>
        <v>0</v>
      </c>
      <c r="EH103" s="110">
        <f t="shared" si="562"/>
        <v>0</v>
      </c>
      <c r="EI103" s="110">
        <f t="shared" si="563"/>
        <v>0</v>
      </c>
      <c r="EK103" s="111"/>
      <c r="EL103" s="110">
        <f t="shared" si="564"/>
        <v>0</v>
      </c>
      <c r="EM103" s="110">
        <f t="shared" si="565"/>
        <v>20</v>
      </c>
      <c r="EN103" s="110">
        <f t="shared" si="566"/>
        <v>-279</v>
      </c>
      <c r="EP103" s="109" cm="1">
        <f t="array" ref="EP103">+IFERROR(INDEX($C$3:$AM$3,MATCH(TRUE,INDEX($C103:$AM103&lt;&gt;0,0),0)),"N/A")</f>
        <v>44926</v>
      </c>
      <c r="EQ103" s="112"/>
      <c r="ER103" s="1" t="str" cm="1">
        <f t="array" ref="ER103">+_xlfn.IFS(EW103&lt;&gt;0,EW$2,FB103&lt;&gt;0,FB$2,FG103&lt;&gt;0,FG$2,FL103&lt;&gt;0,FL$2,TRUE,"")</f>
        <v/>
      </c>
      <c r="ES103" s="1" t="str" cm="1">
        <f t="array" ref="ES103">+_xlfn.IFS(EX103&lt;&gt;0,EX$2,FC103&lt;&gt;0,FC$2,FH103&lt;&gt;0,FH$2,FM103&lt;&gt;0,FM$2,TRUE,"")</f>
        <v>Upsell</v>
      </c>
      <c r="ET103" s="1" t="str" cm="1">
        <f t="array" ref="ET103">+_xlfn.IFS(EY103&lt;&gt;0,EY$2,FD103&lt;&gt;0,FD$2,FI103&lt;&gt;0,FI$2,FN103&lt;&gt;0,FN$2,TRUE,"")</f>
        <v>Churn</v>
      </c>
      <c r="EV103" s="111"/>
      <c r="EW103" s="110">
        <f t="shared" si="567"/>
        <v>0</v>
      </c>
      <c r="EX103" s="110">
        <f t="shared" si="568"/>
        <v>0</v>
      </c>
      <c r="EY103" s="110">
        <f t="shared" si="569"/>
        <v>0</v>
      </c>
      <c r="FA103" s="111"/>
      <c r="FB103" s="110">
        <f t="shared" si="570"/>
        <v>0</v>
      </c>
      <c r="FC103" s="110">
        <f t="shared" si="571"/>
        <v>0</v>
      </c>
      <c r="FD103" s="110">
        <f t="shared" si="572"/>
        <v>-279</v>
      </c>
      <c r="FF103" s="111"/>
      <c r="FG103" s="110">
        <f t="shared" si="573"/>
        <v>0</v>
      </c>
      <c r="FH103" s="110">
        <f t="shared" si="574"/>
        <v>0</v>
      </c>
      <c r="FI103" s="110">
        <f t="shared" si="575"/>
        <v>0</v>
      </c>
      <c r="FK103" s="111"/>
      <c r="FL103" s="110">
        <f t="shared" si="576"/>
        <v>0</v>
      </c>
      <c r="FM103" s="110">
        <f t="shared" si="577"/>
        <v>20</v>
      </c>
      <c r="FN103" s="110">
        <f t="shared" si="578"/>
        <v>0</v>
      </c>
      <c r="FP103" s="111"/>
      <c r="FQ103" s="110">
        <f t="shared" si="579"/>
        <v>0</v>
      </c>
      <c r="FR103" s="110">
        <f t="shared" si="580"/>
        <v>0</v>
      </c>
      <c r="FS103" s="110">
        <f t="shared" si="581"/>
        <v>0</v>
      </c>
      <c r="FU103" s="111">
        <f t="shared" si="582"/>
        <v>0</v>
      </c>
      <c r="FV103" s="110">
        <f t="shared" si="583"/>
        <v>0</v>
      </c>
      <c r="FW103" s="110">
        <f t="shared" si="584"/>
        <v>0</v>
      </c>
      <c r="FX103" s="110">
        <f t="shared" si="585"/>
        <v>0</v>
      </c>
      <c r="FY103" s="110">
        <f t="shared" si="586"/>
        <v>0</v>
      </c>
      <c r="FZ103" s="110">
        <f t="shared" si="587"/>
        <v>0</v>
      </c>
      <c r="GA103" s="110">
        <f t="shared" si="588"/>
        <v>0</v>
      </c>
      <c r="GB103" s="110">
        <f t="shared" si="589"/>
        <v>0</v>
      </c>
      <c r="GC103" s="110">
        <f t="shared" si="590"/>
        <v>0</v>
      </c>
      <c r="GD103" s="110">
        <f t="shared" si="591"/>
        <v>20</v>
      </c>
      <c r="GE103" s="110">
        <f t="shared" si="592"/>
        <v>20</v>
      </c>
      <c r="GF103" s="110">
        <f t="shared" si="593"/>
        <v>20</v>
      </c>
      <c r="GG103" s="110">
        <f t="shared" si="594"/>
        <v>20</v>
      </c>
      <c r="GH103" s="110">
        <f t="shared" si="595"/>
        <v>-259</v>
      </c>
      <c r="GI103" s="110">
        <f t="shared" si="596"/>
        <v>-259</v>
      </c>
      <c r="GJ103" s="110">
        <f t="shared" si="597"/>
        <v>-259</v>
      </c>
      <c r="GK103" s="110">
        <f t="shared" si="598"/>
        <v>-259</v>
      </c>
      <c r="GL103" s="110">
        <f t="shared" si="599"/>
        <v>-259</v>
      </c>
      <c r="GM103" s="110">
        <f t="shared" si="600"/>
        <v>-259</v>
      </c>
      <c r="GN103" s="110">
        <f t="shared" si="601"/>
        <v>-259</v>
      </c>
      <c r="GO103" s="110">
        <f t="shared" si="602"/>
        <v>-259</v>
      </c>
      <c r="GP103" s="110">
        <f t="shared" si="603"/>
        <v>-279</v>
      </c>
      <c r="GQ103" s="110">
        <f t="shared" si="604"/>
        <v>-279</v>
      </c>
      <c r="GR103" s="110">
        <f t="shared" si="605"/>
        <v>-279</v>
      </c>
      <c r="GS103" s="110">
        <f t="shared" si="606"/>
        <v>-279</v>
      </c>
      <c r="GU103" s="109" cm="1">
        <f t="array" ref="GU103">+IFERROR(INDEX($C$3:$AM$3,MATCH(TRUE,INDEX($C103:$AM103&lt;&gt;0,0),0)),"N/A")</f>
        <v>44926</v>
      </c>
      <c r="GV103" s="112" t="str" cm="1">
        <f t="array" ref="GV103">+_xlfn.IFS(HV103&lt;&gt;0,HV$2,IV103&lt;&gt;0,IV$2,JV103&lt;&gt;0,JV$2,KV103&lt;&gt;0,KV$2,TRUE,"")</f>
        <v/>
      </c>
      <c r="GW103" s="1" t="str" cm="1">
        <f t="array" ref="GW103">+_xlfn.IFS(HW103&lt;&gt;0,HW$2,IW103&lt;&gt;0,IW$2,JW103&lt;&gt;0,JW$2,KW103&lt;&gt;0,KW$2,TRUE,"")</f>
        <v/>
      </c>
      <c r="GX103" s="1" t="str" cm="1">
        <f t="array" ref="GX103">+_xlfn.IFS(HX103&lt;&gt;0,HX$2,IX103&lt;&gt;0,IX$2,JX103&lt;&gt;0,JX$2,KX103&lt;&gt;0,KX$2,TRUE,"")</f>
        <v/>
      </c>
      <c r="GY103" s="1" t="str" cm="1">
        <f t="array" ref="GY103">+_xlfn.IFS(HY103&lt;&gt;0,HY$2,IY103&lt;&gt;0,IY$2,JY103&lt;&gt;0,JY$2,KY103&lt;&gt;0,KY$2,TRUE,"")</f>
        <v/>
      </c>
      <c r="GZ103" s="1" t="str" cm="1">
        <f t="array" ref="GZ103">+_xlfn.IFS(HZ103&lt;&gt;0,HZ$2,IZ103&lt;&gt;0,IZ$2,JZ103&lt;&gt;0,JZ$2,KZ103&lt;&gt;0,KZ$2,TRUE,"")</f>
        <v/>
      </c>
      <c r="HA103" s="1" t="str" cm="1">
        <f t="array" ref="HA103">+_xlfn.IFS(IA103&lt;&gt;0,IA$2,JA103&lt;&gt;0,JA$2,KA103&lt;&gt;0,KA$2,LA103&lt;&gt;0,LA$2,TRUE,"")</f>
        <v/>
      </c>
      <c r="HB103" s="1" t="str" cm="1">
        <f t="array" ref="HB103">+_xlfn.IFS(IB103&lt;&gt;0,IB$2,JB103&lt;&gt;0,JB$2,KB103&lt;&gt;0,KB$2,LB103&lt;&gt;0,LB$2,TRUE,"")</f>
        <v/>
      </c>
      <c r="HC103" s="1" t="str" cm="1">
        <f t="array" ref="HC103">+_xlfn.IFS(IC103&lt;&gt;0,IC$2,JC103&lt;&gt;0,JC$2,KC103&lt;&gt;0,KC$2,LC103&lt;&gt;0,LC$2,TRUE,"")</f>
        <v/>
      </c>
      <c r="HD103" s="1" t="str" cm="1">
        <f t="array" ref="HD103">+_xlfn.IFS(ID103&lt;&gt;0,ID$2,JD103&lt;&gt;0,JD$2,KD103&lt;&gt;0,KD$2,LD103&lt;&gt;0,LD$2,TRUE,"")</f>
        <v/>
      </c>
      <c r="HE103" s="1" t="str" cm="1">
        <f t="array" ref="HE103">+_xlfn.IFS(IE103&lt;&gt;0,IE$2,JE103&lt;&gt;0,JE$2,KE103&lt;&gt;0,KE$2,LE103&lt;&gt;0,LE$2,TRUE,"")</f>
        <v>Upsell</v>
      </c>
      <c r="HF103" s="1" t="str" cm="1">
        <f t="array" ref="HF103">+_xlfn.IFS(IF103&lt;&gt;0,IF$2,JF103&lt;&gt;0,JF$2,KF103&lt;&gt;0,KF$2,LF103&lt;&gt;0,LF$2,TRUE,"")</f>
        <v>Upsell</v>
      </c>
      <c r="HG103" s="1" t="str" cm="1">
        <f t="array" ref="HG103">+_xlfn.IFS(IG103&lt;&gt;0,IG$2,JG103&lt;&gt;0,JG$2,KG103&lt;&gt;0,KG$2,LG103&lt;&gt;0,LG$2,TRUE,"")</f>
        <v>Upsell</v>
      </c>
      <c r="HH103" s="1" t="str" cm="1">
        <f t="array" ref="HH103">+_xlfn.IFS(IH103&lt;&gt;0,IH$2,JH103&lt;&gt;0,JH$2,KH103&lt;&gt;0,KH$2,LH103&lt;&gt;0,LH$2,TRUE,"")</f>
        <v>Upsell</v>
      </c>
      <c r="HI103" s="1" t="str" cm="1">
        <f t="array" ref="HI103">+_xlfn.IFS(II103&lt;&gt;0,II$2,JI103&lt;&gt;0,JI$2,KI103&lt;&gt;0,KI$2,LI103&lt;&gt;0,LI$2,TRUE,"")</f>
        <v>Churn</v>
      </c>
      <c r="HJ103" s="1" t="str" cm="1">
        <f t="array" ref="HJ103">+_xlfn.IFS(IJ103&lt;&gt;0,IJ$2,JJ103&lt;&gt;0,JJ$2,KJ103&lt;&gt;0,KJ$2,LJ103&lt;&gt;0,LJ$2,TRUE,"")</f>
        <v>Churn</v>
      </c>
      <c r="HK103" s="1" t="str" cm="1">
        <f t="array" ref="HK103">+_xlfn.IFS(IK103&lt;&gt;0,IK$2,JK103&lt;&gt;0,JK$2,KK103&lt;&gt;0,KK$2,LK103&lt;&gt;0,LK$2,TRUE,"")</f>
        <v>Churn</v>
      </c>
      <c r="HL103" s="1" t="str" cm="1">
        <f t="array" ref="HL103">+_xlfn.IFS(IL103&lt;&gt;0,IL$2,JL103&lt;&gt;0,JL$2,KL103&lt;&gt;0,KL$2,LL103&lt;&gt;0,LL$2,TRUE,"")</f>
        <v>Churn</v>
      </c>
      <c r="HM103" s="1" t="str" cm="1">
        <f t="array" ref="HM103">+_xlfn.IFS(IM103&lt;&gt;0,IM$2,JM103&lt;&gt;0,JM$2,KM103&lt;&gt;0,KM$2,LM103&lt;&gt;0,LM$2,TRUE,"")</f>
        <v>Churn</v>
      </c>
      <c r="HN103" s="1" t="str" cm="1">
        <f t="array" ref="HN103">+_xlfn.IFS(IN103&lt;&gt;0,IN$2,JN103&lt;&gt;0,JN$2,KN103&lt;&gt;0,KN$2,LN103&lt;&gt;0,LN$2,TRUE,"")</f>
        <v>Churn</v>
      </c>
      <c r="HO103" s="1" t="str" cm="1">
        <f t="array" ref="HO103">+_xlfn.IFS(IO103&lt;&gt;0,IO$2,JO103&lt;&gt;0,JO$2,KO103&lt;&gt;0,KO$2,LO103&lt;&gt;0,LO$2,TRUE,"")</f>
        <v>Churn</v>
      </c>
      <c r="HP103" s="1" t="str" cm="1">
        <f t="array" ref="HP103">+_xlfn.IFS(IP103&lt;&gt;0,IP$2,JP103&lt;&gt;0,JP$2,KP103&lt;&gt;0,KP$2,LP103&lt;&gt;0,LP$2,TRUE,"")</f>
        <v>Churn</v>
      </c>
      <c r="HQ103" s="1" t="str" cm="1">
        <f t="array" ref="HQ103">+_xlfn.IFS(IQ103&lt;&gt;0,IQ$2,JQ103&lt;&gt;0,JQ$2,KQ103&lt;&gt;0,KQ$2,LQ103&lt;&gt;0,LQ$2,TRUE,"")</f>
        <v>Churn</v>
      </c>
      <c r="HR103" s="1" t="str" cm="1">
        <f t="array" ref="HR103">+_xlfn.IFS(IR103&lt;&gt;0,IR$2,JR103&lt;&gt;0,JR$2,KR103&lt;&gt;0,KR$2,LR103&lt;&gt;0,LR$2,TRUE,"")</f>
        <v>Churn</v>
      </c>
      <c r="HS103" s="1" t="str" cm="1">
        <f t="array" ref="HS103">+_xlfn.IFS(IS103&lt;&gt;0,IS$2,JS103&lt;&gt;0,JS$2,KS103&lt;&gt;0,KS$2,LS103&lt;&gt;0,LS$2,TRUE,"")</f>
        <v>Churn</v>
      </c>
      <c r="HT103" s="1" t="str" cm="1">
        <f t="array" ref="HT103">+_xlfn.IFS(IT103&lt;&gt;0,IT$2,JT103&lt;&gt;0,JT$2,KT103&lt;&gt;0,KT$2,LT103&lt;&gt;0,LT$2,TRUE,"")</f>
        <v>Churn</v>
      </c>
      <c r="HV103" s="111">
        <f t="shared" si="607"/>
        <v>0</v>
      </c>
      <c r="HW103" s="110">
        <f t="shared" si="608"/>
        <v>0</v>
      </c>
      <c r="HX103" s="110">
        <f t="shared" si="609"/>
        <v>0</v>
      </c>
      <c r="HY103" s="110">
        <f t="shared" si="610"/>
        <v>0</v>
      </c>
      <c r="HZ103" s="110">
        <f t="shared" si="611"/>
        <v>0</v>
      </c>
      <c r="IA103" s="110">
        <f t="shared" si="612"/>
        <v>0</v>
      </c>
      <c r="IB103" s="110">
        <f t="shared" si="613"/>
        <v>0</v>
      </c>
      <c r="IC103" s="110">
        <f t="shared" si="614"/>
        <v>0</v>
      </c>
      <c r="ID103" s="110">
        <f t="shared" si="615"/>
        <v>0</v>
      </c>
      <c r="IE103" s="110">
        <f t="shared" si="616"/>
        <v>0</v>
      </c>
      <c r="IF103" s="110">
        <f t="shared" si="617"/>
        <v>0</v>
      </c>
      <c r="IG103" s="110">
        <f t="shared" si="618"/>
        <v>0</v>
      </c>
      <c r="IH103" s="110">
        <f t="shared" si="619"/>
        <v>0</v>
      </c>
      <c r="II103" s="110">
        <f t="shared" si="620"/>
        <v>0</v>
      </c>
      <c r="IJ103" s="110">
        <f t="shared" si="621"/>
        <v>0</v>
      </c>
      <c r="IK103" s="110">
        <f t="shared" si="622"/>
        <v>0</v>
      </c>
      <c r="IL103" s="110">
        <f t="shared" si="623"/>
        <v>0</v>
      </c>
      <c r="IM103" s="110">
        <f t="shared" si="624"/>
        <v>0</v>
      </c>
      <c r="IN103" s="110">
        <f t="shared" si="625"/>
        <v>0</v>
      </c>
      <c r="IO103" s="110">
        <f t="shared" si="626"/>
        <v>0</v>
      </c>
      <c r="IP103" s="110">
        <f t="shared" si="627"/>
        <v>0</v>
      </c>
      <c r="IQ103" s="110">
        <f t="shared" si="628"/>
        <v>0</v>
      </c>
      <c r="IR103" s="110">
        <f t="shared" si="629"/>
        <v>0</v>
      </c>
      <c r="IS103" s="110">
        <f t="shared" si="630"/>
        <v>0</v>
      </c>
      <c r="IT103" s="110">
        <f t="shared" si="631"/>
        <v>0</v>
      </c>
      <c r="IV103" s="111">
        <f t="shared" si="632"/>
        <v>0</v>
      </c>
      <c r="IW103" s="110">
        <f t="shared" si="633"/>
        <v>0</v>
      </c>
      <c r="IX103" s="110">
        <f t="shared" si="634"/>
        <v>0</v>
      </c>
      <c r="IY103" s="110">
        <f t="shared" si="635"/>
        <v>0</v>
      </c>
      <c r="IZ103" s="110">
        <f t="shared" si="636"/>
        <v>0</v>
      </c>
      <c r="JA103" s="110">
        <f t="shared" si="637"/>
        <v>0</v>
      </c>
      <c r="JB103" s="110">
        <f t="shared" si="638"/>
        <v>0</v>
      </c>
      <c r="JC103" s="110">
        <f t="shared" si="639"/>
        <v>0</v>
      </c>
      <c r="JD103" s="110">
        <f t="shared" si="640"/>
        <v>0</v>
      </c>
      <c r="JE103" s="110">
        <f t="shared" si="641"/>
        <v>0</v>
      </c>
      <c r="JF103" s="110">
        <f t="shared" si="642"/>
        <v>0</v>
      </c>
      <c r="JG103" s="110">
        <f t="shared" si="643"/>
        <v>0</v>
      </c>
      <c r="JH103" s="110">
        <f t="shared" si="644"/>
        <v>0</v>
      </c>
      <c r="JI103" s="110">
        <f t="shared" si="645"/>
        <v>-259</v>
      </c>
      <c r="JJ103" s="110">
        <f t="shared" si="646"/>
        <v>-259</v>
      </c>
      <c r="JK103" s="110">
        <f t="shared" si="647"/>
        <v>-259</v>
      </c>
      <c r="JL103" s="110">
        <f t="shared" si="648"/>
        <v>-259</v>
      </c>
      <c r="JM103" s="110">
        <f t="shared" si="649"/>
        <v>-259</v>
      </c>
      <c r="JN103" s="110">
        <f t="shared" si="650"/>
        <v>-259</v>
      </c>
      <c r="JO103" s="110">
        <f t="shared" si="651"/>
        <v>-259</v>
      </c>
      <c r="JP103" s="110">
        <f t="shared" si="652"/>
        <v>-259</v>
      </c>
      <c r="JQ103" s="110">
        <f t="shared" si="653"/>
        <v>-279</v>
      </c>
      <c r="JR103" s="110">
        <f t="shared" si="654"/>
        <v>-279</v>
      </c>
      <c r="JS103" s="110">
        <f t="shared" si="655"/>
        <v>-279</v>
      </c>
      <c r="JT103" s="110">
        <f t="shared" si="656"/>
        <v>-279</v>
      </c>
      <c r="JV103" s="111">
        <f t="shared" si="657"/>
        <v>0</v>
      </c>
      <c r="JW103" s="110">
        <f t="shared" si="658"/>
        <v>0</v>
      </c>
      <c r="JX103" s="110">
        <f t="shared" si="659"/>
        <v>0</v>
      </c>
      <c r="JY103" s="110">
        <f t="shared" si="660"/>
        <v>0</v>
      </c>
      <c r="JZ103" s="110">
        <f t="shared" si="661"/>
        <v>0</v>
      </c>
      <c r="KA103" s="110">
        <f t="shared" si="662"/>
        <v>0</v>
      </c>
      <c r="KB103" s="110">
        <f t="shared" si="663"/>
        <v>0</v>
      </c>
      <c r="KC103" s="110">
        <f t="shared" si="664"/>
        <v>0</v>
      </c>
      <c r="KD103" s="110">
        <f t="shared" si="665"/>
        <v>0</v>
      </c>
      <c r="KE103" s="110">
        <f t="shared" si="666"/>
        <v>0</v>
      </c>
      <c r="KF103" s="110">
        <f t="shared" si="667"/>
        <v>0</v>
      </c>
      <c r="KG103" s="110">
        <f t="shared" si="668"/>
        <v>0</v>
      </c>
      <c r="KH103" s="110">
        <f t="shared" si="669"/>
        <v>0</v>
      </c>
      <c r="KI103" s="110">
        <f t="shared" si="670"/>
        <v>0</v>
      </c>
      <c r="KJ103" s="110">
        <f t="shared" si="671"/>
        <v>0</v>
      </c>
      <c r="KK103" s="110">
        <f t="shared" si="672"/>
        <v>0</v>
      </c>
      <c r="KL103" s="110">
        <f t="shared" si="673"/>
        <v>0</v>
      </c>
      <c r="KM103" s="110">
        <f t="shared" si="674"/>
        <v>0</v>
      </c>
      <c r="KN103" s="110">
        <f t="shared" si="675"/>
        <v>0</v>
      </c>
      <c r="KO103" s="110">
        <f t="shared" si="676"/>
        <v>0</v>
      </c>
      <c r="KP103" s="110">
        <f t="shared" si="677"/>
        <v>0</v>
      </c>
      <c r="KQ103" s="110">
        <f t="shared" si="678"/>
        <v>0</v>
      </c>
      <c r="KR103" s="110">
        <f t="shared" si="679"/>
        <v>0</v>
      </c>
      <c r="KS103" s="110">
        <f t="shared" si="680"/>
        <v>0</v>
      </c>
      <c r="KT103" s="110">
        <f t="shared" si="681"/>
        <v>0</v>
      </c>
      <c r="KV103" s="111">
        <f t="shared" si="682"/>
        <v>0</v>
      </c>
      <c r="KW103" s="110">
        <f t="shared" si="683"/>
        <v>0</v>
      </c>
      <c r="KX103" s="110">
        <f t="shared" si="684"/>
        <v>0</v>
      </c>
      <c r="KY103" s="110">
        <f t="shared" si="685"/>
        <v>0</v>
      </c>
      <c r="KZ103" s="110">
        <f t="shared" si="686"/>
        <v>0</v>
      </c>
      <c r="LA103" s="110">
        <f t="shared" si="687"/>
        <v>0</v>
      </c>
      <c r="LB103" s="110">
        <f t="shared" si="688"/>
        <v>0</v>
      </c>
      <c r="LC103" s="110">
        <f t="shared" si="689"/>
        <v>0</v>
      </c>
      <c r="LD103" s="110">
        <f t="shared" si="690"/>
        <v>0</v>
      </c>
      <c r="LE103" s="110">
        <f t="shared" si="691"/>
        <v>20</v>
      </c>
      <c r="LF103" s="110">
        <f t="shared" si="692"/>
        <v>20</v>
      </c>
      <c r="LG103" s="110">
        <f t="shared" si="693"/>
        <v>20</v>
      </c>
      <c r="LH103" s="110">
        <f t="shared" si="694"/>
        <v>20</v>
      </c>
      <c r="LI103" s="110">
        <f t="shared" si="695"/>
        <v>0</v>
      </c>
      <c r="LJ103" s="110">
        <f t="shared" si="696"/>
        <v>0</v>
      </c>
      <c r="LK103" s="110">
        <f t="shared" si="697"/>
        <v>0</v>
      </c>
      <c r="LL103" s="110">
        <f t="shared" si="698"/>
        <v>0</v>
      </c>
      <c r="LM103" s="110">
        <f t="shared" si="699"/>
        <v>0</v>
      </c>
      <c r="LN103" s="110">
        <f t="shared" si="700"/>
        <v>0</v>
      </c>
      <c r="LO103" s="110">
        <f t="shared" si="701"/>
        <v>0</v>
      </c>
      <c r="LP103" s="110">
        <f t="shared" si="702"/>
        <v>0</v>
      </c>
      <c r="LQ103" s="110">
        <f t="shared" si="703"/>
        <v>0</v>
      </c>
      <c r="LR103" s="110">
        <f t="shared" si="704"/>
        <v>0</v>
      </c>
      <c r="LS103" s="110">
        <f t="shared" si="705"/>
        <v>0</v>
      </c>
      <c r="LT103" s="110">
        <f t="shared" si="706"/>
        <v>0</v>
      </c>
      <c r="LV103" s="111"/>
      <c r="LW103" s="110">
        <f t="shared" si="707"/>
        <v>0</v>
      </c>
      <c r="LX103" s="110">
        <f t="shared" si="708"/>
        <v>0</v>
      </c>
      <c r="LY103" s="110">
        <f t="shared" si="709"/>
        <v>0</v>
      </c>
      <c r="LZ103" s="110">
        <f t="shared" si="710"/>
        <v>0</v>
      </c>
      <c r="MA103" s="110">
        <f t="shared" si="711"/>
        <v>0</v>
      </c>
      <c r="MB103" s="110">
        <f t="shared" si="712"/>
        <v>0</v>
      </c>
      <c r="MC103" s="110">
        <f t="shared" si="713"/>
        <v>0</v>
      </c>
      <c r="MD103" s="110">
        <f t="shared" si="714"/>
        <v>0</v>
      </c>
      <c r="ME103" s="110">
        <f t="shared" si="715"/>
        <v>0</v>
      </c>
      <c r="MF103" s="110">
        <f t="shared" si="716"/>
        <v>0</v>
      </c>
      <c r="MG103" s="110">
        <f t="shared" si="717"/>
        <v>0</v>
      </c>
      <c r="MH103" s="110">
        <f t="shared" si="718"/>
        <v>0</v>
      </c>
      <c r="MI103" s="110">
        <f t="shared" si="719"/>
        <v>0</v>
      </c>
      <c r="MJ103" s="110">
        <f t="shared" si="720"/>
        <v>0</v>
      </c>
      <c r="MK103" s="110">
        <f t="shared" si="721"/>
        <v>0</v>
      </c>
      <c r="ML103" s="110">
        <f t="shared" si="722"/>
        <v>0</v>
      </c>
      <c r="MM103" s="110">
        <f t="shared" si="723"/>
        <v>0</v>
      </c>
      <c r="MN103" s="110">
        <f t="shared" si="724"/>
        <v>0</v>
      </c>
      <c r="MO103" s="110">
        <f t="shared" si="725"/>
        <v>0</v>
      </c>
      <c r="MP103" s="110">
        <f t="shared" si="726"/>
        <v>0</v>
      </c>
      <c r="MQ103" s="110">
        <f t="shared" si="727"/>
        <v>0</v>
      </c>
      <c r="MR103" s="110">
        <f t="shared" si="728"/>
        <v>0</v>
      </c>
      <c r="MS103" s="110">
        <f t="shared" si="729"/>
        <v>0</v>
      </c>
      <c r="MT103" s="110">
        <f t="shared" si="730"/>
        <v>0</v>
      </c>
      <c r="MV103" s="114">
        <v>0</v>
      </c>
      <c r="MW103" s="114">
        <v>0</v>
      </c>
      <c r="MX103" s="114">
        <v>0</v>
      </c>
      <c r="MY103" s="114">
        <v>0</v>
      </c>
      <c r="MZ103" s="114">
        <v>-279</v>
      </c>
      <c r="NB103" s="115" t="str">
        <v>N/A</v>
      </c>
      <c r="NC103" s="115" t="str">
        <v>N/A</v>
      </c>
      <c r="ND103" s="115" t="str">
        <v>N/A</v>
      </c>
      <c r="NE103" s="115" t="str">
        <v>N/A</v>
      </c>
      <c r="NF103" s="115">
        <v>1</v>
      </c>
    </row>
    <row r="105" spans="2:370" x14ac:dyDescent="0.2">
      <c r="MU105" s="28" t="s">
        <v>139</v>
      </c>
      <c r="MV105" s="118">
        <f>ROUND(SUM($C$106:$AM$106),4)</f>
        <v>0</v>
      </c>
      <c r="MW105" s="118">
        <f>ROUND(SUM($C$107:$AM$107),4)</f>
        <v>0</v>
      </c>
      <c r="MX105" s="118">
        <f>ROUND(SUM($C$108:$AM$108),4)</f>
        <v>0</v>
      </c>
      <c r="MY105" s="118">
        <f>ROUND(SUM($C$109:$AM$109),4)</f>
        <v>0</v>
      </c>
      <c r="MZ105" s="118">
        <f>ROUND(SUM($C$110:$AM$110),4)</f>
        <v>0</v>
      </c>
    </row>
    <row r="106" spans="2:370" x14ac:dyDescent="0.2">
      <c r="C106" s="110">
        <f>+IF(C$4='Top Customers'!$C$3,IFERROR(ROUND(ABS((SUM(INDEX($C$4:$AM$103,0,MATCH(C$4,$C$4:$AM$4,0))))-(SUM($MV$4:$MV$103))),4),1),0)</f>
        <v>0</v>
      </c>
      <c r="D106" s="110">
        <f>+IF(D$4='Top Customers'!$C$3,IFERROR(ROUND(ABS((SUM(INDEX($C$4:$AM$103,0,MATCH(D$4,$C$4:$AM$4,0))))-(SUM($MV$4:$MV$103))),4),1),0)</f>
        <v>0</v>
      </c>
      <c r="E106" s="110">
        <f>+IF(E$4='Top Customers'!$C$3,IFERROR(ROUND(ABS((SUM(INDEX($C$4:$AM$103,0,MATCH(E$4,$C$4:$AM$4,0))))-(SUM($MV$4:$MV$103))),4),1),0)</f>
        <v>0</v>
      </c>
      <c r="F106" s="110">
        <f>+IF(F$4='Top Customers'!$C$3,IFERROR(ROUND(ABS((SUM(INDEX($C$4:$AM$103,0,MATCH(F$4,$C$4:$AM$4,0))))-(SUM($MV$4:$MV$103))),4),1),0)</f>
        <v>0</v>
      </c>
      <c r="G106" s="110">
        <f>+IF(G$4='Top Customers'!$C$3,IFERROR(ROUND(ABS((SUM(INDEX($C$4:$AM$103,0,MATCH(G$4,$C$4:$AM$4,0))))-(SUM($MV$4:$MV$103))),4),1),0)</f>
        <v>0</v>
      </c>
      <c r="H106" s="110">
        <f>+IF(H$4='Top Customers'!$C$3,IFERROR(ROUND(ABS((SUM(INDEX($C$4:$AM$103,0,MATCH(H$4,$C$4:$AM$4,0))))-(SUM($MV$4:$MV$103))),4),1),0)</f>
        <v>0</v>
      </c>
      <c r="I106" s="110">
        <f>+IF(I$4='Top Customers'!$C$3,IFERROR(ROUND(ABS((SUM(INDEX($C$4:$AM$103,0,MATCH(I$4,$C$4:$AM$4,0))))-(SUM($MV$4:$MV$103))),4),1),0)</f>
        <v>0</v>
      </c>
      <c r="J106" s="110">
        <f>+IF(J$4='Top Customers'!$C$3,IFERROR(ROUND(ABS((SUM(INDEX($C$4:$AM$103,0,MATCH(J$4,$C$4:$AM$4,0))))-(SUM($MV$4:$MV$103))),4),1),0)</f>
        <v>0</v>
      </c>
      <c r="K106" s="110">
        <f>+IF(K$4='Top Customers'!$C$3,IFERROR(ROUND(ABS((SUM(INDEX($C$4:$AM$103,0,MATCH(K$4,$C$4:$AM$4,0))))-(SUM($MV$4:$MV$103))),4),1),0)</f>
        <v>0</v>
      </c>
      <c r="L106" s="110">
        <f>+IF(L$4='Top Customers'!$C$3,IFERROR(ROUND(ABS((SUM(INDEX($C$4:$AM$103,0,MATCH(L$4,$C$4:$AM$4,0))))-(SUM($MV$4:$MV$103))),4),1),0)</f>
        <v>0</v>
      </c>
      <c r="M106" s="110">
        <f>+IF(M$4='Top Customers'!$C$3,IFERROR(ROUND(ABS((SUM(INDEX($C$4:$AM$103,0,MATCH(M$4,$C$4:$AM$4,0))))-(SUM($MV$4:$MV$103))),4),1),0)</f>
        <v>0</v>
      </c>
      <c r="N106" s="110">
        <f>+IF(N$4='Top Customers'!$C$3,IFERROR(ROUND(ABS((SUM(INDEX($C$4:$AM$103,0,MATCH(N$4,$C$4:$AM$4,0))))-(SUM($MV$4:$MV$103))),4),1),0)</f>
        <v>0</v>
      </c>
      <c r="O106" s="110">
        <f>+IF(O$4='Top Customers'!$C$3,IFERROR(ROUND(ABS((SUM(INDEX($C$4:$AM$103,0,MATCH(O$4,$C$4:$AM$4,0))))-(SUM($MV$4:$MV$103))),4),1),0)</f>
        <v>0</v>
      </c>
      <c r="P106" s="110">
        <f>+IF(P$4='Top Customers'!$C$3,IFERROR(ROUND(ABS((SUM(INDEX($C$4:$AM$103,0,MATCH(P$4,$C$4:$AM$4,0))))-(SUM($MV$4:$MV$103))),4),1),0)</f>
        <v>0</v>
      </c>
      <c r="Q106" s="110">
        <f>+IF(Q$4='Top Customers'!$C$3,IFERROR(ROUND(ABS((SUM(INDEX($C$4:$AM$103,0,MATCH(Q$4,$C$4:$AM$4,0))))-(SUM($MV$4:$MV$103))),4),1),0)</f>
        <v>0</v>
      </c>
      <c r="R106" s="110">
        <f>+IF(R$4='Top Customers'!$C$3,IFERROR(ROUND(ABS((SUM(INDEX($C$4:$AM$103,0,MATCH(R$4,$C$4:$AM$4,0))))-(SUM($MV$4:$MV$103))),4),1),0)</f>
        <v>0</v>
      </c>
      <c r="S106" s="110">
        <f>+IF(S$4='Top Customers'!$C$3,IFERROR(ROUND(ABS((SUM(INDEX($C$4:$AM$103,0,MATCH(S$4,$C$4:$AM$4,0))))-(SUM($MV$4:$MV$103))),4),1),0)</f>
        <v>0</v>
      </c>
      <c r="T106" s="110">
        <f>+IF(T$4='Top Customers'!$C$3,IFERROR(ROUND(ABS((SUM(INDEX($C$4:$AM$103,0,MATCH(T$4,$C$4:$AM$4,0))))-(SUM($MV$4:$MV$103))),4),1),0)</f>
        <v>0</v>
      </c>
      <c r="U106" s="110">
        <f>+IF(U$4='Top Customers'!$C$3,IFERROR(ROUND(ABS((SUM(INDEX($C$4:$AM$103,0,MATCH(U$4,$C$4:$AM$4,0))))-(SUM($MV$4:$MV$103))),4),1),0)</f>
        <v>0</v>
      </c>
      <c r="V106" s="110">
        <f>+IF(V$4='Top Customers'!$C$3,IFERROR(ROUND(ABS((SUM(INDEX($C$4:$AM$103,0,MATCH(V$4,$C$4:$AM$4,0))))-(SUM($MV$4:$MV$103))),4),1),0)</f>
        <v>0</v>
      </c>
      <c r="W106" s="110">
        <f>+IF(W$4='Top Customers'!$C$3,IFERROR(ROUND(ABS((SUM(INDEX($C$4:$AM$103,0,MATCH(W$4,$C$4:$AM$4,0))))-(SUM($MV$4:$MV$103))),4),1),0)</f>
        <v>0</v>
      </c>
      <c r="X106" s="110">
        <f>+IF(X$4='Top Customers'!$C$3,IFERROR(ROUND(ABS((SUM(INDEX($C$4:$AM$103,0,MATCH(X$4,$C$4:$AM$4,0))))-(SUM($MV$4:$MV$103))),4),1),0)</f>
        <v>0</v>
      </c>
      <c r="Y106" s="110">
        <f>+IF(Y$4='Top Customers'!$C$3,IFERROR(ROUND(ABS((SUM(INDEX($C$4:$AM$103,0,MATCH(Y$4,$C$4:$AM$4,0))))-(SUM($MV$4:$MV$103))),4),1),0)</f>
        <v>0</v>
      </c>
      <c r="Z106" s="110">
        <f>+IF(Z$4='Top Customers'!$C$3,IFERROR(ROUND(ABS((SUM(INDEX($C$4:$AM$103,0,MATCH(Z$4,$C$4:$AM$4,0))))-(SUM($MV$4:$MV$103))),4),1),0)</f>
        <v>0</v>
      </c>
      <c r="AA106" s="110">
        <f>+IF(AA$4='Top Customers'!$C$3,IFERROR(ROUND(ABS((SUM(INDEX($C$4:$AM$103,0,MATCH(AA$4,$C$4:$AM$4,0))))-(SUM($MV$4:$MV$103))),4),1),0)</f>
        <v>0</v>
      </c>
      <c r="AB106" s="110">
        <f>+IF(AB$4='Top Customers'!$C$3,IFERROR(ROUND(ABS((SUM(INDEX($C$4:$AM$103,0,MATCH(AB$4,$C$4:$AM$4,0))))-(SUM($MV$4:$MV$103))),4),1),0)</f>
        <v>0</v>
      </c>
      <c r="AC106" s="110">
        <f>+IF(AC$4='Top Customers'!$C$3,IFERROR(ROUND(ABS((SUM(INDEX($C$4:$AM$103,0,MATCH(AC$4,$C$4:$AM$4,0))))-(SUM($MV$4:$MV$103))),4),1),0)</f>
        <v>0</v>
      </c>
      <c r="AD106" s="110">
        <f>+IF(AD$4='Top Customers'!$C$3,IFERROR(ROUND(ABS((SUM(INDEX($C$4:$AM$103,0,MATCH(AD$4,$C$4:$AM$4,0))))-(SUM($MV$4:$MV$103))),4),1),0)</f>
        <v>0</v>
      </c>
      <c r="AE106" s="110">
        <f>+IF(AE$4='Top Customers'!$C$3,IFERROR(ROUND(ABS((SUM(INDEX($C$4:$AM$103,0,MATCH(AE$4,$C$4:$AM$4,0))))-(SUM($MV$4:$MV$103))),4),1),0)</f>
        <v>0</v>
      </c>
      <c r="AF106" s="110">
        <f>+IF(AF$4='Top Customers'!$C$3,IFERROR(ROUND(ABS((SUM(INDEX($C$4:$AM$103,0,MATCH(AF$4,$C$4:$AM$4,0))))-(SUM($MV$4:$MV$103))),4),1),0)</f>
        <v>0</v>
      </c>
      <c r="AG106" s="110">
        <f>+IF(AG$4='Top Customers'!$C$3,IFERROR(ROUND(ABS((SUM(INDEX($C$4:$AM$103,0,MATCH(AG$4,$C$4:$AM$4,0))))-(SUM($MV$4:$MV$103))),4),1),0)</f>
        <v>0</v>
      </c>
      <c r="AH106" s="110">
        <f>+IF(AH$4='Top Customers'!$C$3,IFERROR(ROUND(ABS((SUM(INDEX($C$4:$AM$103,0,MATCH(AH$4,$C$4:$AM$4,0))))-(SUM($MV$4:$MV$103))),4),1),0)</f>
        <v>0</v>
      </c>
      <c r="AI106" s="110">
        <f>+IF(AI$4='Top Customers'!$C$3,IFERROR(ROUND(ABS((SUM(INDEX($C$4:$AM$103,0,MATCH(AI$4,$C$4:$AM$4,0))))-(SUM($MV$4:$MV$103))),4),1),0)</f>
        <v>0</v>
      </c>
      <c r="AJ106" s="110">
        <f>+IF(AJ$4='Top Customers'!$C$3,IFERROR(ROUND(ABS((SUM(INDEX($C$4:$AM$103,0,MATCH(AJ$4,$C$4:$AM$4,0))))-(SUM($MV$4:$MV$103))),4),1),0)</f>
        <v>0</v>
      </c>
      <c r="AK106" s="110">
        <f>+IF(AK$4='Top Customers'!$C$3,IFERROR(ROUND(ABS((SUM(INDEX($C$4:$AM$103,0,MATCH(AK$4,$C$4:$AM$4,0))))-(SUM($MV$4:$MV$103))),4),1),0)</f>
        <v>0</v>
      </c>
      <c r="AL106" s="110">
        <f>+IF(AL$4='Top Customers'!$C$3,IFERROR(ROUND(ABS((SUM(INDEX($C$4:$AM$103,0,MATCH(AL$4,$C$4:$AM$4,0))))-(SUM($MV$4:$MV$103))),4),1),0)</f>
        <v>0</v>
      </c>
      <c r="AM106" s="110">
        <f>+IF(AM$4='Top Customers'!$C$3,IFERROR(ROUND(ABS((SUM(INDEX($C$4:$AM$103,0,MATCH(AM$4,$C$4:$AM$4,0))))-(SUM($MV$4:$MV$103))),4),1),0)</f>
        <v>0</v>
      </c>
      <c r="MU106" s="117" t="s">
        <v>140</v>
      </c>
    </row>
    <row r="107" spans="2:370" x14ac:dyDescent="0.2">
      <c r="C107" s="110">
        <f>+IF(C$4='Top Customers'!$C$3,IFERROR(ROUND(ABS((SUM(INDEX($EV$4:$EY$103,0,MATCH(C$4,$EV$4:$EY$4,0))))-(SUM($MW$4:$MW$103))),4),1),0)</f>
        <v>0</v>
      </c>
      <c r="D107" s="110">
        <f>+IF(D$4='Top Customers'!$C$3,IFERROR(ROUND(ABS((SUM(INDEX($EV$4:$EY$103,0,MATCH(D$4,$EV$4:$EY$4,0))))-(SUM($MW$4:$MW$103))),4),1),0)</f>
        <v>0</v>
      </c>
      <c r="E107" s="110">
        <f>+IF(E$4='Top Customers'!$C$3,IFERROR(ROUND(ABS((SUM(INDEX($EV$4:$EY$103,0,MATCH(E$4,$EV$4:$EY$4,0))))-(SUM($MW$4:$MW$103))),4),1),0)</f>
        <v>0</v>
      </c>
      <c r="F107" s="110">
        <f>+IF(F$4='Top Customers'!$C$3,IFERROR(ROUND(ABS((SUM(INDEX($EV$4:$EY$103,0,MATCH(F$4,$EV$4:$EY$4,0))))-(SUM($MW$4:$MW$103))),4),1),0)</f>
        <v>0</v>
      </c>
      <c r="G107" s="110">
        <f>+IF(G$4='Top Customers'!$C$3,IFERROR(ROUND(ABS((SUM(INDEX($EV$4:$EY$103,0,MATCH(G$4,$EV$4:$EY$4,0))))-(SUM($MW$4:$MW$103))),4),1),0)</f>
        <v>0</v>
      </c>
      <c r="H107" s="110">
        <f>+IF(H$4='Top Customers'!$C$3,IFERROR(ROUND(ABS((SUM(INDEX($EV$4:$EY$103,0,MATCH(H$4,$EV$4:$EY$4,0))))-(SUM($MW$4:$MW$103))),4),1),0)</f>
        <v>0</v>
      </c>
      <c r="I107" s="110">
        <f>+IF(I$4='Top Customers'!$C$3,IFERROR(ROUND(ABS((SUM(INDEX($EV$4:$EY$103,0,MATCH(I$4,$EV$4:$EY$4,0))))-(SUM($MW$4:$MW$103))),4),1),0)</f>
        <v>0</v>
      </c>
      <c r="J107" s="110">
        <f>+IF(J$4='Top Customers'!$C$3,IFERROR(ROUND(ABS((SUM(INDEX($EV$4:$EY$103,0,MATCH(J$4,$EV$4:$EY$4,0))))-(SUM($MW$4:$MW$103))),4),1),0)</f>
        <v>0</v>
      </c>
      <c r="K107" s="110">
        <f>+IF(K$4='Top Customers'!$C$3,IFERROR(ROUND(ABS((SUM(INDEX($EV$4:$EY$103,0,MATCH(K$4,$EV$4:$EY$4,0))))-(SUM($MW$4:$MW$103))),4),1),0)</f>
        <v>0</v>
      </c>
      <c r="L107" s="110">
        <f>+IF(L$4='Top Customers'!$C$3,IFERROR(ROUND(ABS((SUM(INDEX($EV$4:$EY$103,0,MATCH(L$4,$EV$4:$EY$4,0))))-(SUM($MW$4:$MW$103))),4),1),0)</f>
        <v>0</v>
      </c>
      <c r="M107" s="110">
        <f>+IF(M$4='Top Customers'!$C$3,IFERROR(ROUND(ABS((SUM(INDEX($EV$4:$EY$103,0,MATCH(M$4,$EV$4:$EY$4,0))))-(SUM($MW$4:$MW$103))),4),1),0)</f>
        <v>0</v>
      </c>
      <c r="N107" s="110">
        <f>+IF(N$4='Top Customers'!$C$3,IFERROR(ROUND(ABS((SUM(INDEX($EV$4:$EY$103,0,MATCH(N$4,$EV$4:$EY$4,0))))-(SUM($MW$4:$MW$103))),4),1),0)</f>
        <v>0</v>
      </c>
      <c r="O107" s="110">
        <f>+IF(O$4='Top Customers'!$C$3,IFERROR(ROUND(ABS((SUM(INDEX($EV$4:$EY$103,0,MATCH(O$4,$EV$4:$EY$4,0))))-(SUM($MW$4:$MW$103))),4),1),0)</f>
        <v>0</v>
      </c>
      <c r="P107" s="110">
        <f>+IF(P$4='Top Customers'!$C$3,IFERROR(ROUND(ABS((SUM(INDEX($EV$4:$EY$103,0,MATCH(P$4,$EV$4:$EY$4,0))))-(SUM($MW$4:$MW$103))),4),1),0)</f>
        <v>0</v>
      </c>
      <c r="Q107" s="110">
        <f>+IF(Q$4='Top Customers'!$C$3,IFERROR(ROUND(ABS((SUM(INDEX($EV$4:$EY$103,0,MATCH(Q$4,$EV$4:$EY$4,0))))-(SUM($MW$4:$MW$103))),4),1),0)</f>
        <v>0</v>
      </c>
      <c r="R107" s="110">
        <f>+IF(R$4='Top Customers'!$C$3,IFERROR(ROUND(ABS((SUM(INDEX($EV$4:$EY$103,0,MATCH(R$4,$EV$4:$EY$4,0))))-(SUM($MW$4:$MW$103))),4),1),0)</f>
        <v>0</v>
      </c>
      <c r="S107" s="110">
        <f>+IF(S$4='Top Customers'!$C$3,IFERROR(ROUND(ABS((SUM(INDEX($EV$4:$EY$103,0,MATCH(S$4,$EV$4:$EY$4,0))))-(SUM($MW$4:$MW$103))),4),1),0)</f>
        <v>0</v>
      </c>
      <c r="T107" s="110">
        <f>+IF(T$4='Top Customers'!$C$3,IFERROR(ROUND(ABS((SUM(INDEX($EV$4:$EY$103,0,MATCH(T$4,$EV$4:$EY$4,0))))-(SUM($MW$4:$MW$103))),4),1),0)</f>
        <v>0</v>
      </c>
      <c r="U107" s="110">
        <f>+IF(U$4='Top Customers'!$C$3,IFERROR(ROUND(ABS((SUM(INDEX($EV$4:$EY$103,0,MATCH(U$4,$EV$4:$EY$4,0))))-(SUM($MW$4:$MW$103))),4),1),0)</f>
        <v>0</v>
      </c>
      <c r="V107" s="110">
        <f>+IF(V$4='Top Customers'!$C$3,IFERROR(ROUND(ABS((SUM(INDEX($EV$4:$EY$103,0,MATCH(V$4,$EV$4:$EY$4,0))))-(SUM($MW$4:$MW$103))),4),1),0)</f>
        <v>0</v>
      </c>
      <c r="W107" s="110">
        <f>+IF(W$4='Top Customers'!$C$3,IFERROR(ROUND(ABS((SUM(INDEX($EV$4:$EY$103,0,MATCH(W$4,$EV$4:$EY$4,0))))-(SUM($MW$4:$MW$103))),4),1),0)</f>
        <v>0</v>
      </c>
      <c r="X107" s="110">
        <f>+IF(X$4='Top Customers'!$C$3,IFERROR(ROUND(ABS((SUM(INDEX($EV$4:$EY$103,0,MATCH(X$4,$EV$4:$EY$4,0))))-(SUM($MW$4:$MW$103))),4),1),0)</f>
        <v>0</v>
      </c>
      <c r="Y107" s="110">
        <f>+IF(Y$4='Top Customers'!$C$3,IFERROR(ROUND(ABS((SUM(INDEX($EV$4:$EY$103,0,MATCH(Y$4,$EV$4:$EY$4,0))))-(SUM($MW$4:$MW$103))),4),1),0)</f>
        <v>0</v>
      </c>
      <c r="Z107" s="110">
        <f>+IF(Z$4='Top Customers'!$C$3,IFERROR(ROUND(ABS((SUM(INDEX($EV$4:$EY$103,0,MATCH(Z$4,$EV$4:$EY$4,0))))-(SUM($MW$4:$MW$103))),4),1),0)</f>
        <v>0</v>
      </c>
      <c r="AA107" s="110">
        <f>+IF(AA$4='Top Customers'!$C$3,IFERROR(ROUND(ABS((SUM(INDEX($EV$4:$EY$103,0,MATCH(AA$4,$EV$4:$EY$4,0))))-(SUM($MW$4:$MW$103))),4),1),0)</f>
        <v>0</v>
      </c>
      <c r="AB107" s="110">
        <f>+IF(AB$4='Top Customers'!$C$3,IFERROR(ROUND(ABS((SUM(INDEX($EV$4:$EY$103,0,MATCH(AB$4,$EV$4:$EY$4,0))))-(SUM($MW$4:$MW$103))),4),1),0)</f>
        <v>0</v>
      </c>
      <c r="AC107" s="110">
        <f>+IF(AC$4='Top Customers'!$C$3,IFERROR(ROUND(ABS((SUM(INDEX($EV$4:$EY$103,0,MATCH(AC$4,$EV$4:$EY$4,0))))-(SUM($MW$4:$MW$103))),4),1),0)</f>
        <v>0</v>
      </c>
      <c r="AD107" s="110">
        <f>+IF(AD$4='Top Customers'!$C$3,IFERROR(ROUND(ABS((SUM(INDEX($EV$4:$EY$103,0,MATCH(AD$4,$EV$4:$EY$4,0))))-(SUM($MW$4:$MW$103))),4),1),0)</f>
        <v>0</v>
      </c>
      <c r="AE107" s="110">
        <f>+IF(AE$4='Top Customers'!$C$3,IFERROR(ROUND(ABS((SUM(INDEX($EV$4:$EY$103,0,MATCH(AE$4,$EV$4:$EY$4,0))))-(SUM($MW$4:$MW$103))),4),1),0)</f>
        <v>0</v>
      </c>
      <c r="AF107" s="110">
        <f>+IF(AF$4='Top Customers'!$C$3,IFERROR(ROUND(ABS((SUM(INDEX($EV$4:$EY$103,0,MATCH(AF$4,$EV$4:$EY$4,0))))-(SUM($MW$4:$MW$103))),4),1),0)</f>
        <v>0</v>
      </c>
      <c r="AG107" s="110">
        <f>+IF(AG$4='Top Customers'!$C$3,IFERROR(ROUND(ABS((SUM(INDEX($EV$4:$EY$103,0,MATCH(AG$4,$EV$4:$EY$4,0))))-(SUM($MW$4:$MW$103))),4),1),0)</f>
        <v>0</v>
      </c>
      <c r="AH107" s="110">
        <f>+IF(AH$4='Top Customers'!$C$3,IFERROR(ROUND(ABS((SUM(INDEX($EV$4:$EY$103,0,MATCH(AH$4,$EV$4:$EY$4,0))))-(SUM($MW$4:$MW$103))),4),1),0)</f>
        <v>0</v>
      </c>
      <c r="AI107" s="110">
        <f>+IF(AI$4='Top Customers'!$C$3,IFERROR(ROUND(ABS((SUM(INDEX($EV$4:$EY$103,0,MATCH(AI$4,$EV$4:$EY$4,0))))-(SUM($MW$4:$MW$103))),4),1),0)</f>
        <v>0</v>
      </c>
      <c r="AJ107" s="110">
        <f>+IF(AJ$4='Top Customers'!$C$3,IFERROR(ROUND(ABS((SUM(INDEX($EV$4:$EY$103,0,MATCH(AJ$4,$EV$4:$EY$4,0))))-(SUM($MW$4:$MW$103))),4),1),0)</f>
        <v>0</v>
      </c>
      <c r="AK107" s="110">
        <f>+IF(AK$4='Top Customers'!$C$3,IFERROR(ROUND(ABS((SUM(INDEX($EV$4:$EY$103,0,MATCH(AK$4,$EV$4:$EY$4,0))))-(SUM($MW$4:$MW$103))),4),1),0)</f>
        <v>0</v>
      </c>
      <c r="AL107" s="110">
        <f>+IF(AL$4='Top Customers'!$C$3,IFERROR(ROUND(ABS((SUM(INDEX($EV$4:$EY$103,0,MATCH(AL$4,$EV$4:$EY$4,0))))-(SUM($MW$4:$MW$103))),4),1),0)</f>
        <v>0</v>
      </c>
      <c r="AM107" s="110">
        <f>+IF(AM$4='Top Customers'!$C$3,IFERROR(ROUND(ABS((SUM(INDEX($EV$4:$EY$103,0,MATCH(AM$4,$EV$4:$EY$4,0))))-(SUM($MW$4:$MW$103))),4),1),0)</f>
        <v>0</v>
      </c>
      <c r="MU107" s="117" t="s">
        <v>141</v>
      </c>
    </row>
    <row r="108" spans="2:370" x14ac:dyDescent="0.2">
      <c r="C108" s="110">
        <f>+IF(C$4='Top Customers'!$C$3,IFERROR(ROUND(ABS((SUM(INDEX($FK$4:$FN$103,0,MATCH(C$4,$FK$4:$FN$4,0))))-(SUM($MX$4:$MX$103))),4),1),0)</f>
        <v>0</v>
      </c>
      <c r="D108" s="110">
        <f>+IF(D$4='Top Customers'!$C$3,IFERROR(ROUND(ABS((SUM(INDEX($FK$4:$FN$103,0,MATCH(D$4,$FK$4:$FN$4,0))))-(SUM($MX$4:$MX$103))),4),1),0)</f>
        <v>0</v>
      </c>
      <c r="E108" s="110">
        <f>+IF(E$4='Top Customers'!$C$3,IFERROR(ROUND(ABS((SUM(INDEX($FK$4:$FN$103,0,MATCH(E$4,$FK$4:$FN$4,0))))-(SUM($MX$4:$MX$103))),4),1),0)</f>
        <v>0</v>
      </c>
      <c r="F108" s="110">
        <f>+IF(F$4='Top Customers'!$C$3,IFERROR(ROUND(ABS((SUM(INDEX($FK$4:$FN$103,0,MATCH(F$4,$FK$4:$FN$4,0))))-(SUM($MX$4:$MX$103))),4),1),0)</f>
        <v>0</v>
      </c>
      <c r="G108" s="110">
        <f>+IF(G$4='Top Customers'!$C$3,IFERROR(ROUND(ABS((SUM(INDEX($FK$4:$FN$103,0,MATCH(G$4,$FK$4:$FN$4,0))))-(SUM($MX$4:$MX$103))),4),1),0)</f>
        <v>0</v>
      </c>
      <c r="H108" s="110">
        <f>+IF(H$4='Top Customers'!$C$3,IFERROR(ROUND(ABS((SUM(INDEX($FK$4:$FN$103,0,MATCH(H$4,$FK$4:$FN$4,0))))-(SUM($MX$4:$MX$103))),4),1),0)</f>
        <v>0</v>
      </c>
      <c r="I108" s="110">
        <f>+IF(I$4='Top Customers'!$C$3,IFERROR(ROUND(ABS((SUM(INDEX($FK$4:$FN$103,0,MATCH(I$4,$FK$4:$FN$4,0))))-(SUM($MX$4:$MX$103))),4),1),0)</f>
        <v>0</v>
      </c>
      <c r="J108" s="110">
        <f>+IF(J$4='Top Customers'!$C$3,IFERROR(ROUND(ABS((SUM(INDEX($FK$4:$FN$103,0,MATCH(J$4,$FK$4:$FN$4,0))))-(SUM($MX$4:$MX$103))),4),1),0)</f>
        <v>0</v>
      </c>
      <c r="K108" s="110">
        <f>+IF(K$4='Top Customers'!$C$3,IFERROR(ROUND(ABS((SUM(INDEX($FK$4:$FN$103,0,MATCH(K$4,$FK$4:$FN$4,0))))-(SUM($MX$4:$MX$103))),4),1),0)</f>
        <v>0</v>
      </c>
      <c r="L108" s="110">
        <f>+IF(L$4='Top Customers'!$C$3,IFERROR(ROUND(ABS((SUM(INDEX($FK$4:$FN$103,0,MATCH(L$4,$FK$4:$FN$4,0))))-(SUM($MX$4:$MX$103))),4),1),0)</f>
        <v>0</v>
      </c>
      <c r="M108" s="110">
        <f>+IF(M$4='Top Customers'!$C$3,IFERROR(ROUND(ABS((SUM(INDEX($FK$4:$FN$103,0,MATCH(M$4,$FK$4:$FN$4,0))))-(SUM($MX$4:$MX$103))),4),1),0)</f>
        <v>0</v>
      </c>
      <c r="N108" s="110">
        <f>+IF(N$4='Top Customers'!$C$3,IFERROR(ROUND(ABS((SUM(INDEX($FK$4:$FN$103,0,MATCH(N$4,$FK$4:$FN$4,0))))-(SUM($MX$4:$MX$103))),4),1),0)</f>
        <v>0</v>
      </c>
      <c r="O108" s="110">
        <f>+IF(O$4='Top Customers'!$C$3,IFERROR(ROUND(ABS((SUM(INDEX($FK$4:$FN$103,0,MATCH(O$4,$FK$4:$FN$4,0))))-(SUM($MX$4:$MX$103))),4),1),0)</f>
        <v>0</v>
      </c>
      <c r="P108" s="110">
        <f>+IF(P$4='Top Customers'!$C$3,IFERROR(ROUND(ABS((SUM(INDEX($FK$4:$FN$103,0,MATCH(P$4,$FK$4:$FN$4,0))))-(SUM($MX$4:$MX$103))),4),1),0)</f>
        <v>0</v>
      </c>
      <c r="Q108" s="110">
        <f>+IF(Q$4='Top Customers'!$C$3,IFERROR(ROUND(ABS((SUM(INDEX($FK$4:$FN$103,0,MATCH(Q$4,$FK$4:$FN$4,0))))-(SUM($MX$4:$MX$103))),4),1),0)</f>
        <v>0</v>
      </c>
      <c r="R108" s="110">
        <f>+IF(R$4='Top Customers'!$C$3,IFERROR(ROUND(ABS((SUM(INDEX($FK$4:$FN$103,0,MATCH(R$4,$FK$4:$FN$4,0))))-(SUM($MX$4:$MX$103))),4),1),0)</f>
        <v>0</v>
      </c>
      <c r="S108" s="110">
        <f>+IF(S$4='Top Customers'!$C$3,IFERROR(ROUND(ABS((SUM(INDEX($FK$4:$FN$103,0,MATCH(S$4,$FK$4:$FN$4,0))))-(SUM($MX$4:$MX$103))),4),1),0)</f>
        <v>0</v>
      </c>
      <c r="T108" s="110">
        <f>+IF(T$4='Top Customers'!$C$3,IFERROR(ROUND(ABS((SUM(INDEX($FK$4:$FN$103,0,MATCH(T$4,$FK$4:$FN$4,0))))-(SUM($MX$4:$MX$103))),4),1),0)</f>
        <v>0</v>
      </c>
      <c r="U108" s="110">
        <f>+IF(U$4='Top Customers'!$C$3,IFERROR(ROUND(ABS((SUM(INDEX($FK$4:$FN$103,0,MATCH(U$4,$FK$4:$FN$4,0))))-(SUM($MX$4:$MX$103))),4),1),0)</f>
        <v>0</v>
      </c>
      <c r="V108" s="110">
        <f>+IF(V$4='Top Customers'!$C$3,IFERROR(ROUND(ABS((SUM(INDEX($FK$4:$FN$103,0,MATCH(V$4,$FK$4:$FN$4,0))))-(SUM($MX$4:$MX$103))),4),1),0)</f>
        <v>0</v>
      </c>
      <c r="W108" s="110">
        <f>+IF(W$4='Top Customers'!$C$3,IFERROR(ROUND(ABS((SUM(INDEX($FK$4:$FN$103,0,MATCH(W$4,$FK$4:$FN$4,0))))-(SUM($MX$4:$MX$103))),4),1),0)</f>
        <v>0</v>
      </c>
      <c r="X108" s="110">
        <f>+IF(X$4='Top Customers'!$C$3,IFERROR(ROUND(ABS((SUM(INDEX($FK$4:$FN$103,0,MATCH(X$4,$FK$4:$FN$4,0))))-(SUM($MX$4:$MX$103))),4),1),0)</f>
        <v>0</v>
      </c>
      <c r="Y108" s="110">
        <f>+IF(Y$4='Top Customers'!$C$3,IFERROR(ROUND(ABS((SUM(INDEX($FK$4:$FN$103,0,MATCH(Y$4,$FK$4:$FN$4,0))))-(SUM($MX$4:$MX$103))),4),1),0)</f>
        <v>0</v>
      </c>
      <c r="Z108" s="110">
        <f>+IF(Z$4='Top Customers'!$C$3,IFERROR(ROUND(ABS((SUM(INDEX($FK$4:$FN$103,0,MATCH(Z$4,$FK$4:$FN$4,0))))-(SUM($MX$4:$MX$103))),4),1),0)</f>
        <v>0</v>
      </c>
      <c r="AA108" s="110">
        <f>+IF(AA$4='Top Customers'!$C$3,IFERROR(ROUND(ABS((SUM(INDEX($FK$4:$FN$103,0,MATCH(AA$4,$FK$4:$FN$4,0))))-(SUM($MX$4:$MX$103))),4),1),0)</f>
        <v>0</v>
      </c>
      <c r="AB108" s="110">
        <f>+IF(AB$4='Top Customers'!$C$3,IFERROR(ROUND(ABS((SUM(INDEX($FK$4:$FN$103,0,MATCH(AB$4,$FK$4:$FN$4,0))))-(SUM($MX$4:$MX$103))),4),1),0)</f>
        <v>0</v>
      </c>
      <c r="AC108" s="110">
        <f>+IF(AC$4='Top Customers'!$C$3,IFERROR(ROUND(ABS((SUM(INDEX($FK$4:$FN$103,0,MATCH(AC$4,$FK$4:$FN$4,0))))-(SUM($MX$4:$MX$103))),4),1),0)</f>
        <v>0</v>
      </c>
      <c r="AD108" s="110">
        <f>+IF(AD$4='Top Customers'!$C$3,IFERROR(ROUND(ABS((SUM(INDEX($FK$4:$FN$103,0,MATCH(AD$4,$FK$4:$FN$4,0))))-(SUM($MX$4:$MX$103))),4),1),0)</f>
        <v>0</v>
      </c>
      <c r="AE108" s="110">
        <f>+IF(AE$4='Top Customers'!$C$3,IFERROR(ROUND(ABS((SUM(INDEX($FK$4:$FN$103,0,MATCH(AE$4,$FK$4:$FN$4,0))))-(SUM($MX$4:$MX$103))),4),1),0)</f>
        <v>0</v>
      </c>
      <c r="AF108" s="110">
        <f>+IF(AF$4='Top Customers'!$C$3,IFERROR(ROUND(ABS((SUM(INDEX($FK$4:$FN$103,0,MATCH(AF$4,$FK$4:$FN$4,0))))-(SUM($MX$4:$MX$103))),4),1),0)</f>
        <v>0</v>
      </c>
      <c r="AG108" s="110">
        <f>+IF(AG$4='Top Customers'!$C$3,IFERROR(ROUND(ABS((SUM(INDEX($FK$4:$FN$103,0,MATCH(AG$4,$FK$4:$FN$4,0))))-(SUM($MX$4:$MX$103))),4),1),0)</f>
        <v>0</v>
      </c>
      <c r="AH108" s="110">
        <f>+IF(AH$4='Top Customers'!$C$3,IFERROR(ROUND(ABS((SUM(INDEX($FK$4:$FN$103,0,MATCH(AH$4,$FK$4:$FN$4,0))))-(SUM($MX$4:$MX$103))),4),1),0)</f>
        <v>0</v>
      </c>
      <c r="AI108" s="110">
        <f>+IF(AI$4='Top Customers'!$C$3,IFERROR(ROUND(ABS((SUM(INDEX($FK$4:$FN$103,0,MATCH(AI$4,$FK$4:$FN$4,0))))-(SUM($MX$4:$MX$103))),4),1),0)</f>
        <v>0</v>
      </c>
      <c r="AJ108" s="110">
        <f>+IF(AJ$4='Top Customers'!$C$3,IFERROR(ROUND(ABS((SUM(INDEX($FK$4:$FN$103,0,MATCH(AJ$4,$FK$4:$FN$4,0))))-(SUM($MX$4:$MX$103))),4),1),0)</f>
        <v>0</v>
      </c>
      <c r="AK108" s="110">
        <f>+IF(AK$4='Top Customers'!$C$3,IFERROR(ROUND(ABS((SUM(INDEX($FK$4:$FN$103,0,MATCH(AK$4,$FK$4:$FN$4,0))))-(SUM($MX$4:$MX$103))),4),1),0)</f>
        <v>0</v>
      </c>
      <c r="AL108" s="110">
        <f>+IF(AL$4='Top Customers'!$C$3,IFERROR(ROUND(ABS((SUM(INDEX($FK$4:$FN$103,0,MATCH(AL$4,$FK$4:$FN$4,0))))-(SUM($MX$4:$MX$103))),4),1),0)</f>
        <v>0</v>
      </c>
      <c r="AM108" s="110">
        <f>+IF(AM$4='Top Customers'!$C$3,IFERROR(ROUND(ABS((SUM(INDEX($FK$4:$FN$103,0,MATCH(AM$4,$FK$4:$FN$4,0))))-(SUM($MX$4:$MX$103))),4),1),0)</f>
        <v>0</v>
      </c>
      <c r="MU108" s="117" t="s">
        <v>142</v>
      </c>
    </row>
    <row r="109" spans="2:370" x14ac:dyDescent="0.2">
      <c r="C109" s="110">
        <f>+IF(C$4='Top Customers'!$C$3,IFERROR(ROUND(ABS((SUM(INDEX($FF$4:$FI$103,0,MATCH(C$4,$FF$4:$FI$4,0))))-(SUM($MY$4:$MY$103))),4),1),0)</f>
        <v>0</v>
      </c>
      <c r="D109" s="110">
        <f>+IF(D$4='Top Customers'!$C$3,IFERROR(ROUND(ABS((SUM(INDEX($FF$4:$FI$103,0,MATCH(D$4,$FF$4:$FI$4,0))))-(SUM($MY$4:$MY$103))),4),1),0)</f>
        <v>0</v>
      </c>
      <c r="E109" s="110">
        <f>+IF(E$4='Top Customers'!$C$3,IFERROR(ROUND(ABS((SUM(INDEX($FF$4:$FI$103,0,MATCH(E$4,$FF$4:$FI$4,0))))-(SUM($MY$4:$MY$103))),4),1),0)</f>
        <v>0</v>
      </c>
      <c r="F109" s="110">
        <f>+IF(F$4='Top Customers'!$C$3,IFERROR(ROUND(ABS((SUM(INDEX($FF$4:$FI$103,0,MATCH(F$4,$FF$4:$FI$4,0))))-(SUM($MY$4:$MY$103))),4),1),0)</f>
        <v>0</v>
      </c>
      <c r="G109" s="110">
        <f>+IF(G$4='Top Customers'!$C$3,IFERROR(ROUND(ABS((SUM(INDEX($FF$4:$FI$103,0,MATCH(G$4,$FF$4:$FI$4,0))))-(SUM($MY$4:$MY$103))),4),1),0)</f>
        <v>0</v>
      </c>
      <c r="H109" s="110">
        <f>+IF(H$4='Top Customers'!$C$3,IFERROR(ROUND(ABS((SUM(INDEX($FF$4:$FI$103,0,MATCH(H$4,$FF$4:$FI$4,0))))-(SUM($MY$4:$MY$103))),4),1),0)</f>
        <v>0</v>
      </c>
      <c r="I109" s="110">
        <f>+IF(I$4='Top Customers'!$C$3,IFERROR(ROUND(ABS((SUM(INDEX($FF$4:$FI$103,0,MATCH(I$4,$FF$4:$FI$4,0))))-(SUM($MY$4:$MY$103))),4),1),0)</f>
        <v>0</v>
      </c>
      <c r="J109" s="110">
        <f>+IF(J$4='Top Customers'!$C$3,IFERROR(ROUND(ABS((SUM(INDEX($FF$4:$FI$103,0,MATCH(J$4,$FF$4:$FI$4,0))))-(SUM($MY$4:$MY$103))),4),1),0)</f>
        <v>0</v>
      </c>
      <c r="K109" s="110">
        <f>+IF(K$4='Top Customers'!$C$3,IFERROR(ROUND(ABS((SUM(INDEX($FF$4:$FI$103,0,MATCH(K$4,$FF$4:$FI$4,0))))-(SUM($MY$4:$MY$103))),4),1),0)</f>
        <v>0</v>
      </c>
      <c r="L109" s="110">
        <f>+IF(L$4='Top Customers'!$C$3,IFERROR(ROUND(ABS((SUM(INDEX($FF$4:$FI$103,0,MATCH(L$4,$FF$4:$FI$4,0))))-(SUM($MY$4:$MY$103))),4),1),0)</f>
        <v>0</v>
      </c>
      <c r="M109" s="110">
        <f>+IF(M$4='Top Customers'!$C$3,IFERROR(ROUND(ABS((SUM(INDEX($FF$4:$FI$103,0,MATCH(M$4,$FF$4:$FI$4,0))))-(SUM($MY$4:$MY$103))),4),1),0)</f>
        <v>0</v>
      </c>
      <c r="N109" s="110">
        <f>+IF(N$4='Top Customers'!$C$3,IFERROR(ROUND(ABS((SUM(INDEX($FF$4:$FI$103,0,MATCH(N$4,$FF$4:$FI$4,0))))-(SUM($MY$4:$MY$103))),4),1),0)</f>
        <v>0</v>
      </c>
      <c r="O109" s="110">
        <f>+IF(O$4='Top Customers'!$C$3,IFERROR(ROUND(ABS((SUM(INDEX($FF$4:$FI$103,0,MATCH(O$4,$FF$4:$FI$4,0))))-(SUM($MY$4:$MY$103))),4),1),0)</f>
        <v>0</v>
      </c>
      <c r="P109" s="110">
        <f>+IF(P$4='Top Customers'!$C$3,IFERROR(ROUND(ABS((SUM(INDEX($FF$4:$FI$103,0,MATCH(P$4,$FF$4:$FI$4,0))))-(SUM($MY$4:$MY$103))),4),1),0)</f>
        <v>0</v>
      </c>
      <c r="Q109" s="110">
        <f>+IF(Q$4='Top Customers'!$C$3,IFERROR(ROUND(ABS((SUM(INDEX($FF$4:$FI$103,0,MATCH(Q$4,$FF$4:$FI$4,0))))-(SUM($MY$4:$MY$103))),4),1),0)</f>
        <v>0</v>
      </c>
      <c r="R109" s="110">
        <f>+IF(R$4='Top Customers'!$C$3,IFERROR(ROUND(ABS((SUM(INDEX($FF$4:$FI$103,0,MATCH(R$4,$FF$4:$FI$4,0))))-(SUM($MY$4:$MY$103))),4),1),0)</f>
        <v>0</v>
      </c>
      <c r="S109" s="110">
        <f>+IF(S$4='Top Customers'!$C$3,IFERROR(ROUND(ABS((SUM(INDEX($FF$4:$FI$103,0,MATCH(S$4,$FF$4:$FI$4,0))))-(SUM($MY$4:$MY$103))),4),1),0)</f>
        <v>0</v>
      </c>
      <c r="T109" s="110">
        <f>+IF(T$4='Top Customers'!$C$3,IFERROR(ROUND(ABS((SUM(INDEX($FF$4:$FI$103,0,MATCH(T$4,$FF$4:$FI$4,0))))-(SUM($MY$4:$MY$103))),4),1),0)</f>
        <v>0</v>
      </c>
      <c r="U109" s="110">
        <f>+IF(U$4='Top Customers'!$C$3,IFERROR(ROUND(ABS((SUM(INDEX($FF$4:$FI$103,0,MATCH(U$4,$FF$4:$FI$4,0))))-(SUM($MY$4:$MY$103))),4),1),0)</f>
        <v>0</v>
      </c>
      <c r="V109" s="110">
        <f>+IF(V$4='Top Customers'!$C$3,IFERROR(ROUND(ABS((SUM(INDEX($FF$4:$FI$103,0,MATCH(V$4,$FF$4:$FI$4,0))))-(SUM($MY$4:$MY$103))),4),1),0)</f>
        <v>0</v>
      </c>
      <c r="W109" s="110">
        <f>+IF(W$4='Top Customers'!$C$3,IFERROR(ROUND(ABS((SUM(INDEX($FF$4:$FI$103,0,MATCH(W$4,$FF$4:$FI$4,0))))-(SUM($MY$4:$MY$103))),4),1),0)</f>
        <v>0</v>
      </c>
      <c r="X109" s="110">
        <f>+IF(X$4='Top Customers'!$C$3,IFERROR(ROUND(ABS((SUM(INDEX($FF$4:$FI$103,0,MATCH(X$4,$FF$4:$FI$4,0))))-(SUM($MY$4:$MY$103))),4),1),0)</f>
        <v>0</v>
      </c>
      <c r="Y109" s="110">
        <f>+IF(Y$4='Top Customers'!$C$3,IFERROR(ROUND(ABS((SUM(INDEX($FF$4:$FI$103,0,MATCH(Y$4,$FF$4:$FI$4,0))))-(SUM($MY$4:$MY$103))),4),1),0)</f>
        <v>0</v>
      </c>
      <c r="Z109" s="110">
        <f>+IF(Z$4='Top Customers'!$C$3,IFERROR(ROUND(ABS((SUM(INDEX($FF$4:$FI$103,0,MATCH(Z$4,$FF$4:$FI$4,0))))-(SUM($MY$4:$MY$103))),4),1),0)</f>
        <v>0</v>
      </c>
      <c r="AA109" s="110">
        <f>+IF(AA$4='Top Customers'!$C$3,IFERROR(ROUND(ABS((SUM(INDEX($FF$4:$FI$103,0,MATCH(AA$4,$FF$4:$FI$4,0))))-(SUM($MY$4:$MY$103))),4),1),0)</f>
        <v>0</v>
      </c>
      <c r="AB109" s="110">
        <f>+IF(AB$4='Top Customers'!$C$3,IFERROR(ROUND(ABS((SUM(INDEX($FF$4:$FI$103,0,MATCH(AB$4,$FF$4:$FI$4,0))))-(SUM($MY$4:$MY$103))),4),1),0)</f>
        <v>0</v>
      </c>
      <c r="AC109" s="110">
        <f>+IF(AC$4='Top Customers'!$C$3,IFERROR(ROUND(ABS((SUM(INDEX($FF$4:$FI$103,0,MATCH(AC$4,$FF$4:$FI$4,0))))-(SUM($MY$4:$MY$103))),4),1),0)</f>
        <v>0</v>
      </c>
      <c r="AD109" s="110">
        <f>+IF(AD$4='Top Customers'!$C$3,IFERROR(ROUND(ABS((SUM(INDEX($FF$4:$FI$103,0,MATCH(AD$4,$FF$4:$FI$4,0))))-(SUM($MY$4:$MY$103))),4),1),0)</f>
        <v>0</v>
      </c>
      <c r="AE109" s="110">
        <f>+IF(AE$4='Top Customers'!$C$3,IFERROR(ROUND(ABS((SUM(INDEX($FF$4:$FI$103,0,MATCH(AE$4,$FF$4:$FI$4,0))))-(SUM($MY$4:$MY$103))),4),1),0)</f>
        <v>0</v>
      </c>
      <c r="AF109" s="110">
        <f>+IF(AF$4='Top Customers'!$C$3,IFERROR(ROUND(ABS((SUM(INDEX($FF$4:$FI$103,0,MATCH(AF$4,$FF$4:$FI$4,0))))-(SUM($MY$4:$MY$103))),4),1),0)</f>
        <v>0</v>
      </c>
      <c r="AG109" s="110">
        <f>+IF(AG$4='Top Customers'!$C$3,IFERROR(ROUND(ABS((SUM(INDEX($FF$4:$FI$103,0,MATCH(AG$4,$FF$4:$FI$4,0))))-(SUM($MY$4:$MY$103))),4),1),0)</f>
        <v>0</v>
      </c>
      <c r="AH109" s="110">
        <f>+IF(AH$4='Top Customers'!$C$3,IFERROR(ROUND(ABS((SUM(INDEX($FF$4:$FI$103,0,MATCH(AH$4,$FF$4:$FI$4,0))))-(SUM($MY$4:$MY$103))),4),1),0)</f>
        <v>0</v>
      </c>
      <c r="AI109" s="110">
        <f>+IF(AI$4='Top Customers'!$C$3,IFERROR(ROUND(ABS((SUM(INDEX($FF$4:$FI$103,0,MATCH(AI$4,$FF$4:$FI$4,0))))-(SUM($MY$4:$MY$103))),4),1),0)</f>
        <v>0</v>
      </c>
      <c r="AJ109" s="110">
        <f>+IF(AJ$4='Top Customers'!$C$3,IFERROR(ROUND(ABS((SUM(INDEX($FF$4:$FI$103,0,MATCH(AJ$4,$FF$4:$FI$4,0))))-(SUM($MY$4:$MY$103))),4),1),0)</f>
        <v>0</v>
      </c>
      <c r="AK109" s="110">
        <f>+IF(AK$4='Top Customers'!$C$3,IFERROR(ROUND(ABS((SUM(INDEX($FF$4:$FI$103,0,MATCH(AK$4,$FF$4:$FI$4,0))))-(SUM($MY$4:$MY$103))),4),1),0)</f>
        <v>0</v>
      </c>
      <c r="AL109" s="110">
        <f>+IF(AL$4='Top Customers'!$C$3,IFERROR(ROUND(ABS((SUM(INDEX($FF$4:$FI$103,0,MATCH(AL$4,$FF$4:$FI$4,0))))-(SUM($MY$4:$MY$103))),4),1),0)</f>
        <v>0</v>
      </c>
      <c r="AM109" s="110">
        <f>+IF(AM$4='Top Customers'!$C$3,IFERROR(ROUND(ABS((SUM(INDEX($FF$4:$FI$103,0,MATCH(AM$4,$FF$4:$FI$4,0))))-(SUM($MY$4:$MY$103))),4),1),0)</f>
        <v>0</v>
      </c>
      <c r="MU109" s="117" t="s">
        <v>143</v>
      </c>
    </row>
    <row r="110" spans="2:370" x14ac:dyDescent="0.2">
      <c r="C110" s="110">
        <f>+IF(C$4='Top Customers'!$C$3,IFERROR(ROUND(ABS((SUM(INDEX($FA$4:$FD$103,0,MATCH(C$4,$FA$4:$FD$4,0))))-(SUM($MZ$4:$MZ$103))),4),1),0)</f>
        <v>0</v>
      </c>
      <c r="D110" s="110">
        <f>+IF(D$4='Top Customers'!$C$3,IFERROR(ROUND(ABS((SUM(INDEX($FA$4:$FD$103,0,MATCH(D$4,$FA$4:$FD$4,0))))-(SUM($MZ$4:$MZ$103))),4),1),0)</f>
        <v>0</v>
      </c>
      <c r="E110" s="110">
        <f>+IF(E$4='Top Customers'!$C$3,IFERROR(ROUND(ABS((SUM(INDEX($FA$4:$FD$103,0,MATCH(E$4,$FA$4:$FD$4,0))))-(SUM($MZ$4:$MZ$103))),4),1),0)</f>
        <v>0</v>
      </c>
      <c r="F110" s="110">
        <f>+IF(F$4='Top Customers'!$C$3,IFERROR(ROUND(ABS((SUM(INDEX($FA$4:$FD$103,0,MATCH(F$4,$FA$4:$FD$4,0))))-(SUM($MZ$4:$MZ$103))),4),1),0)</f>
        <v>0</v>
      </c>
      <c r="G110" s="110">
        <f>+IF(G$4='Top Customers'!$C$3,IFERROR(ROUND(ABS((SUM(INDEX($FA$4:$FD$103,0,MATCH(G$4,$FA$4:$FD$4,0))))-(SUM($MZ$4:$MZ$103))),4),1),0)</f>
        <v>0</v>
      </c>
      <c r="H110" s="110">
        <f>+IF(H$4='Top Customers'!$C$3,IFERROR(ROUND(ABS((SUM(INDEX($FA$4:$FD$103,0,MATCH(H$4,$FA$4:$FD$4,0))))-(SUM($MZ$4:$MZ$103))),4),1),0)</f>
        <v>0</v>
      </c>
      <c r="I110" s="110">
        <f>+IF(I$4='Top Customers'!$C$3,IFERROR(ROUND(ABS((SUM(INDEX($FA$4:$FD$103,0,MATCH(I$4,$FA$4:$FD$4,0))))-(SUM($MZ$4:$MZ$103))),4),1),0)</f>
        <v>0</v>
      </c>
      <c r="J110" s="110">
        <f>+IF(J$4='Top Customers'!$C$3,IFERROR(ROUND(ABS((SUM(INDEX($FA$4:$FD$103,0,MATCH(J$4,$FA$4:$FD$4,0))))-(SUM($MZ$4:$MZ$103))),4),1),0)</f>
        <v>0</v>
      </c>
      <c r="K110" s="110">
        <f>+IF(K$4='Top Customers'!$C$3,IFERROR(ROUND(ABS((SUM(INDEX($FA$4:$FD$103,0,MATCH(K$4,$FA$4:$FD$4,0))))-(SUM($MZ$4:$MZ$103))),4),1),0)</f>
        <v>0</v>
      </c>
      <c r="L110" s="110">
        <f>+IF(L$4='Top Customers'!$C$3,IFERROR(ROUND(ABS((SUM(INDEX($FA$4:$FD$103,0,MATCH(L$4,$FA$4:$FD$4,0))))-(SUM($MZ$4:$MZ$103))),4),1),0)</f>
        <v>0</v>
      </c>
      <c r="M110" s="110">
        <f>+IF(M$4='Top Customers'!$C$3,IFERROR(ROUND(ABS((SUM(INDEX($FA$4:$FD$103,0,MATCH(M$4,$FA$4:$FD$4,0))))-(SUM($MZ$4:$MZ$103))),4),1),0)</f>
        <v>0</v>
      </c>
      <c r="N110" s="110">
        <f>+IF(N$4='Top Customers'!$C$3,IFERROR(ROUND(ABS((SUM(INDEX($FA$4:$FD$103,0,MATCH(N$4,$FA$4:$FD$4,0))))-(SUM($MZ$4:$MZ$103))),4),1),0)</f>
        <v>0</v>
      </c>
      <c r="O110" s="110">
        <f>+IF(O$4='Top Customers'!$C$3,IFERROR(ROUND(ABS((SUM(INDEX($FA$4:$FD$103,0,MATCH(O$4,$FA$4:$FD$4,0))))-(SUM($MZ$4:$MZ$103))),4),1),0)</f>
        <v>0</v>
      </c>
      <c r="P110" s="110">
        <f>+IF(P$4='Top Customers'!$C$3,IFERROR(ROUND(ABS((SUM(INDEX($FA$4:$FD$103,0,MATCH(P$4,$FA$4:$FD$4,0))))-(SUM($MZ$4:$MZ$103))),4),1),0)</f>
        <v>0</v>
      </c>
      <c r="Q110" s="110">
        <f>+IF(Q$4='Top Customers'!$C$3,IFERROR(ROUND(ABS((SUM(INDEX($FA$4:$FD$103,0,MATCH(Q$4,$FA$4:$FD$4,0))))-(SUM($MZ$4:$MZ$103))),4),1),0)</f>
        <v>0</v>
      </c>
      <c r="R110" s="110">
        <f>+IF(R$4='Top Customers'!$C$3,IFERROR(ROUND(ABS((SUM(INDEX($FA$4:$FD$103,0,MATCH(R$4,$FA$4:$FD$4,0))))-(SUM($MZ$4:$MZ$103))),4),1),0)</f>
        <v>0</v>
      </c>
      <c r="S110" s="110">
        <f>+IF(S$4='Top Customers'!$C$3,IFERROR(ROUND(ABS((SUM(INDEX($FA$4:$FD$103,0,MATCH(S$4,$FA$4:$FD$4,0))))-(SUM($MZ$4:$MZ$103))),4),1),0)</f>
        <v>0</v>
      </c>
      <c r="T110" s="110">
        <f>+IF(T$4='Top Customers'!$C$3,IFERROR(ROUND(ABS((SUM(INDEX($FA$4:$FD$103,0,MATCH(T$4,$FA$4:$FD$4,0))))-(SUM($MZ$4:$MZ$103))),4),1),0)</f>
        <v>0</v>
      </c>
      <c r="U110" s="110">
        <f>+IF(U$4='Top Customers'!$C$3,IFERROR(ROUND(ABS((SUM(INDEX($FA$4:$FD$103,0,MATCH(U$4,$FA$4:$FD$4,0))))-(SUM($MZ$4:$MZ$103))),4),1),0)</f>
        <v>0</v>
      </c>
      <c r="V110" s="110">
        <f>+IF(V$4='Top Customers'!$C$3,IFERROR(ROUND(ABS((SUM(INDEX($FA$4:$FD$103,0,MATCH(V$4,$FA$4:$FD$4,0))))-(SUM($MZ$4:$MZ$103))),4),1),0)</f>
        <v>0</v>
      </c>
      <c r="W110" s="110">
        <f>+IF(W$4='Top Customers'!$C$3,IFERROR(ROUND(ABS((SUM(INDEX($FA$4:$FD$103,0,MATCH(W$4,$FA$4:$FD$4,0))))-(SUM($MZ$4:$MZ$103))),4),1),0)</f>
        <v>0</v>
      </c>
      <c r="X110" s="110">
        <f>+IF(X$4='Top Customers'!$C$3,IFERROR(ROUND(ABS((SUM(INDEX($FA$4:$FD$103,0,MATCH(X$4,$FA$4:$FD$4,0))))-(SUM($MZ$4:$MZ$103))),4),1),0)</f>
        <v>0</v>
      </c>
      <c r="Y110" s="110">
        <f>+IF(Y$4='Top Customers'!$C$3,IFERROR(ROUND(ABS((SUM(INDEX($FA$4:$FD$103,0,MATCH(Y$4,$FA$4:$FD$4,0))))-(SUM($MZ$4:$MZ$103))),4),1),0)</f>
        <v>0</v>
      </c>
      <c r="Z110" s="110">
        <f>+IF(Z$4='Top Customers'!$C$3,IFERROR(ROUND(ABS((SUM(INDEX($FA$4:$FD$103,0,MATCH(Z$4,$FA$4:$FD$4,0))))-(SUM($MZ$4:$MZ$103))),4),1),0)</f>
        <v>0</v>
      </c>
      <c r="AA110" s="110">
        <f>+IF(AA$4='Top Customers'!$C$3,IFERROR(ROUND(ABS((SUM(INDEX($FA$4:$FD$103,0,MATCH(AA$4,$FA$4:$FD$4,0))))-(SUM($MZ$4:$MZ$103))),4),1),0)</f>
        <v>0</v>
      </c>
      <c r="AB110" s="110">
        <f>+IF(AB$4='Top Customers'!$C$3,IFERROR(ROUND(ABS((SUM(INDEX($FA$4:$FD$103,0,MATCH(AB$4,$FA$4:$FD$4,0))))-(SUM($MZ$4:$MZ$103))),4),1),0)</f>
        <v>0</v>
      </c>
      <c r="AC110" s="110">
        <f>+IF(AC$4='Top Customers'!$C$3,IFERROR(ROUND(ABS((SUM(INDEX($FA$4:$FD$103,0,MATCH(AC$4,$FA$4:$FD$4,0))))-(SUM($MZ$4:$MZ$103))),4),1),0)</f>
        <v>0</v>
      </c>
      <c r="AD110" s="110">
        <f>+IF(AD$4='Top Customers'!$C$3,IFERROR(ROUND(ABS((SUM(INDEX($FA$4:$FD$103,0,MATCH(AD$4,$FA$4:$FD$4,0))))-(SUM($MZ$4:$MZ$103))),4),1),0)</f>
        <v>0</v>
      </c>
      <c r="AE110" s="110">
        <f>+IF(AE$4='Top Customers'!$C$3,IFERROR(ROUND(ABS((SUM(INDEX($FA$4:$FD$103,0,MATCH(AE$4,$FA$4:$FD$4,0))))-(SUM($MZ$4:$MZ$103))),4),1),0)</f>
        <v>0</v>
      </c>
      <c r="AF110" s="110">
        <f>+IF(AF$4='Top Customers'!$C$3,IFERROR(ROUND(ABS((SUM(INDEX($FA$4:$FD$103,0,MATCH(AF$4,$FA$4:$FD$4,0))))-(SUM($MZ$4:$MZ$103))),4),1),0)</f>
        <v>0</v>
      </c>
      <c r="AG110" s="110">
        <f>+IF(AG$4='Top Customers'!$C$3,IFERROR(ROUND(ABS((SUM(INDEX($FA$4:$FD$103,0,MATCH(AG$4,$FA$4:$FD$4,0))))-(SUM($MZ$4:$MZ$103))),4),1),0)</f>
        <v>0</v>
      </c>
      <c r="AH110" s="110">
        <f>+IF(AH$4='Top Customers'!$C$3,IFERROR(ROUND(ABS((SUM(INDEX($FA$4:$FD$103,0,MATCH(AH$4,$FA$4:$FD$4,0))))-(SUM($MZ$4:$MZ$103))),4),1),0)</f>
        <v>0</v>
      </c>
      <c r="AI110" s="110">
        <f>+IF(AI$4='Top Customers'!$C$3,IFERROR(ROUND(ABS((SUM(INDEX($FA$4:$FD$103,0,MATCH(AI$4,$FA$4:$FD$4,0))))-(SUM($MZ$4:$MZ$103))),4),1),0)</f>
        <v>0</v>
      </c>
      <c r="AJ110" s="110">
        <f>+IF(AJ$4='Top Customers'!$C$3,IFERROR(ROUND(ABS((SUM(INDEX($FA$4:$FD$103,0,MATCH(AJ$4,$FA$4:$FD$4,0))))-(SUM($MZ$4:$MZ$103))),4),1),0)</f>
        <v>0</v>
      </c>
      <c r="AK110" s="110">
        <f>+IF(AK$4='Top Customers'!$C$3,IFERROR(ROUND(ABS((SUM(INDEX($FA$4:$FD$103,0,MATCH(AK$4,$FA$4:$FD$4,0))))-(SUM($MZ$4:$MZ$103))),4),1),0)</f>
        <v>0</v>
      </c>
      <c r="AL110" s="110">
        <f>+IF(AL$4='Top Customers'!$C$3,IFERROR(ROUND(ABS((SUM(INDEX($FA$4:$FD$103,0,MATCH(AL$4,$FA$4:$FD$4,0))))-(SUM($MZ$4:$MZ$103))),4),1),0)</f>
        <v>0</v>
      </c>
      <c r="AM110" s="110">
        <f>+IF(AM$4='Top Customers'!$C$3,IFERROR(ROUND(ABS((SUM(INDEX($FA$4:$FD$103,0,MATCH(AM$4,$FA$4:$FD$4,0))))-(SUM($MZ$4:$MZ$103))),4),1),0)</f>
        <v>0</v>
      </c>
      <c r="MU110" s="117" t="s">
        <v>144</v>
      </c>
    </row>
  </sheetData>
  <autoFilter ref="B3:AK103" xr:uid="{83D2AE4D-B6D1-4F99-98ED-9AFC2BF0E716}"/>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04160F-CA7E-46B7-896C-1456054E5884}">
  <dimension ref="A1:AM110"/>
  <sheetViews>
    <sheetView showGridLines="0" workbookViewId="0">
      <pane xSplit="2" ySplit="3" topLeftCell="C4" activePane="bottomRight" state="frozen"/>
      <selection pane="topRight" activeCell="C1" sqref="C1"/>
      <selection pane="bottomLeft" activeCell="A3" sqref="A3"/>
      <selection pane="bottomRight"/>
    </sheetView>
  </sheetViews>
  <sheetFormatPr defaultColWidth="13.85546875" defaultRowHeight="11.25" x14ac:dyDescent="0.2"/>
  <cols>
    <col min="1" max="1" width="3.42578125" style="1" customWidth="1"/>
    <col min="2" max="2" width="25.85546875" style="1" customWidth="1"/>
    <col min="3" max="12" width="13.7109375" style="1" customWidth="1"/>
    <col min="13" max="14" width="14.5703125" style="1" customWidth="1"/>
    <col min="15" max="15" width="14.5703125" style="1" bestFit="1" customWidth="1"/>
    <col min="16" max="24" width="13.7109375" style="1" customWidth="1"/>
    <col min="25" max="26" width="14.5703125" style="1" customWidth="1"/>
    <col min="27" max="27" width="14.5703125" style="1" bestFit="1" customWidth="1"/>
    <col min="28" max="36" width="13.7109375" style="1" customWidth="1"/>
    <col min="37" max="39" width="14.5703125" style="1" bestFit="1" customWidth="1"/>
    <col min="40" max="16384" width="13.85546875" style="1"/>
  </cols>
  <sheetData>
    <row r="1" spans="2:39" x14ac:dyDescent="0.2">
      <c r="C1" s="2"/>
      <c r="D1" s="2"/>
    </row>
    <row r="2" spans="2:39" x14ac:dyDescent="0.2">
      <c r="C2" s="2"/>
      <c r="D2" s="2"/>
    </row>
    <row r="3" spans="2:39" x14ac:dyDescent="0.2">
      <c r="B3" s="3" t="s">
        <v>0</v>
      </c>
      <c r="C3" s="4">
        <v>44926</v>
      </c>
      <c r="D3" s="5">
        <f>EOMONTH(C3,1)</f>
        <v>44957</v>
      </c>
      <c r="E3" s="5">
        <f t="shared" ref="E3:AM3" si="0">EOMONTH(D3,1)</f>
        <v>44985</v>
      </c>
      <c r="F3" s="5">
        <f t="shared" si="0"/>
        <v>45016</v>
      </c>
      <c r="G3" s="5">
        <f t="shared" si="0"/>
        <v>45046</v>
      </c>
      <c r="H3" s="5">
        <f t="shared" si="0"/>
        <v>45077</v>
      </c>
      <c r="I3" s="5">
        <f t="shared" si="0"/>
        <v>45107</v>
      </c>
      <c r="J3" s="5">
        <f t="shared" si="0"/>
        <v>45138</v>
      </c>
      <c r="K3" s="5">
        <f t="shared" si="0"/>
        <v>45169</v>
      </c>
      <c r="L3" s="5">
        <f t="shared" si="0"/>
        <v>45199</v>
      </c>
      <c r="M3" s="5">
        <f t="shared" si="0"/>
        <v>45230</v>
      </c>
      <c r="N3" s="5">
        <f t="shared" si="0"/>
        <v>45260</v>
      </c>
      <c r="O3" s="5">
        <f t="shared" si="0"/>
        <v>45291</v>
      </c>
      <c r="P3" s="5">
        <f t="shared" si="0"/>
        <v>45322</v>
      </c>
      <c r="Q3" s="5">
        <f t="shared" si="0"/>
        <v>45351</v>
      </c>
      <c r="R3" s="5">
        <f t="shared" si="0"/>
        <v>45382</v>
      </c>
      <c r="S3" s="5">
        <f t="shared" si="0"/>
        <v>45412</v>
      </c>
      <c r="T3" s="5">
        <f t="shared" si="0"/>
        <v>45443</v>
      </c>
      <c r="U3" s="5">
        <f t="shared" si="0"/>
        <v>45473</v>
      </c>
      <c r="V3" s="5">
        <f t="shared" si="0"/>
        <v>45504</v>
      </c>
      <c r="W3" s="5">
        <f t="shared" si="0"/>
        <v>45535</v>
      </c>
      <c r="X3" s="5">
        <f t="shared" si="0"/>
        <v>45565</v>
      </c>
      <c r="Y3" s="5">
        <f t="shared" si="0"/>
        <v>45596</v>
      </c>
      <c r="Z3" s="5">
        <f t="shared" si="0"/>
        <v>45626</v>
      </c>
      <c r="AA3" s="5">
        <f t="shared" si="0"/>
        <v>45657</v>
      </c>
      <c r="AB3" s="5">
        <f t="shared" si="0"/>
        <v>45688</v>
      </c>
      <c r="AC3" s="5">
        <f t="shared" si="0"/>
        <v>45716</v>
      </c>
      <c r="AD3" s="5">
        <f t="shared" si="0"/>
        <v>45747</v>
      </c>
      <c r="AE3" s="5">
        <f t="shared" si="0"/>
        <v>45777</v>
      </c>
      <c r="AF3" s="5">
        <f t="shared" si="0"/>
        <v>45808</v>
      </c>
      <c r="AG3" s="5">
        <f t="shared" si="0"/>
        <v>45838</v>
      </c>
      <c r="AH3" s="5">
        <f t="shared" si="0"/>
        <v>45869</v>
      </c>
      <c r="AI3" s="5">
        <f t="shared" si="0"/>
        <v>45900</v>
      </c>
      <c r="AJ3" s="5">
        <f t="shared" si="0"/>
        <v>45930</v>
      </c>
      <c r="AK3" s="5">
        <f t="shared" si="0"/>
        <v>45961</v>
      </c>
      <c r="AL3" s="5">
        <f t="shared" si="0"/>
        <v>45991</v>
      </c>
      <c r="AM3" s="5">
        <f t="shared" si="0"/>
        <v>46022</v>
      </c>
    </row>
    <row r="4" spans="2:39" x14ac:dyDescent="0.2">
      <c r="B4" s="6">
        <v>1</v>
      </c>
      <c r="C4" s="7">
        <v>179</v>
      </c>
      <c r="D4" s="7">
        <v>179</v>
      </c>
      <c r="E4" s="7">
        <v>179</v>
      </c>
      <c r="F4" s="7">
        <v>179</v>
      </c>
      <c r="G4" s="7">
        <v>179</v>
      </c>
      <c r="H4" s="7">
        <v>179</v>
      </c>
      <c r="I4" s="7">
        <v>179</v>
      </c>
      <c r="J4" s="7">
        <v>179</v>
      </c>
      <c r="K4" s="7">
        <v>179</v>
      </c>
      <c r="L4" s="7">
        <v>179</v>
      </c>
      <c r="M4" s="7">
        <v>179</v>
      </c>
      <c r="N4" s="7">
        <v>179</v>
      </c>
      <c r="O4" s="7">
        <v>179</v>
      </c>
      <c r="P4" s="7">
        <v>179</v>
      </c>
      <c r="Q4" s="7">
        <v>179</v>
      </c>
      <c r="R4" s="7">
        <v>179</v>
      </c>
      <c r="S4" s="7">
        <v>179</v>
      </c>
      <c r="T4" s="7">
        <v>179</v>
      </c>
      <c r="U4" s="7">
        <v>179</v>
      </c>
      <c r="V4" s="7">
        <v>179</v>
      </c>
      <c r="W4" s="7">
        <v>179</v>
      </c>
      <c r="X4" s="7">
        <v>179</v>
      </c>
      <c r="Y4" s="7">
        <v>179</v>
      </c>
      <c r="Z4" s="7">
        <v>179</v>
      </c>
      <c r="AA4" s="7">
        <v>185.27</v>
      </c>
      <c r="AB4" s="7">
        <v>185.27</v>
      </c>
      <c r="AC4" s="7">
        <v>185.27</v>
      </c>
      <c r="AD4" s="7">
        <v>185.27</v>
      </c>
      <c r="AE4" s="7">
        <v>185.27</v>
      </c>
      <c r="AF4" s="7">
        <v>185.27</v>
      </c>
      <c r="AG4" s="7">
        <v>185.27</v>
      </c>
      <c r="AH4" s="7">
        <v>185.27</v>
      </c>
      <c r="AI4" s="7">
        <v>185.27</v>
      </c>
      <c r="AJ4" s="7">
        <v>185.27</v>
      </c>
      <c r="AK4" s="7">
        <v>185.27</v>
      </c>
      <c r="AL4" s="7">
        <v>185.27</v>
      </c>
      <c r="AM4" s="7">
        <v>185.27</v>
      </c>
    </row>
    <row r="5" spans="2:39" x14ac:dyDescent="0.2">
      <c r="B5" s="8">
        <f>B4+1</f>
        <v>2</v>
      </c>
      <c r="C5" s="7">
        <v>362.15</v>
      </c>
      <c r="D5" s="7">
        <v>362.15</v>
      </c>
      <c r="E5" s="7">
        <v>359</v>
      </c>
      <c r="F5" s="7">
        <v>359</v>
      </c>
      <c r="G5" s="7">
        <v>359</v>
      </c>
      <c r="H5" s="7">
        <v>359</v>
      </c>
      <c r="I5" s="7">
        <v>359.3</v>
      </c>
      <c r="J5" s="7">
        <v>359</v>
      </c>
      <c r="K5" s="7">
        <v>359</v>
      </c>
      <c r="L5" s="7">
        <v>359</v>
      </c>
      <c r="M5" s="7">
        <v>359</v>
      </c>
      <c r="N5" s="7">
        <v>359</v>
      </c>
      <c r="O5" s="7">
        <v>359</v>
      </c>
      <c r="P5" s="7">
        <v>359</v>
      </c>
      <c r="Q5" s="7">
        <v>359</v>
      </c>
      <c r="R5" s="7">
        <v>359</v>
      </c>
      <c r="S5" s="7">
        <v>359</v>
      </c>
      <c r="T5" s="7">
        <v>359</v>
      </c>
      <c r="U5" s="7">
        <v>359</v>
      </c>
      <c r="V5" s="7">
        <v>359</v>
      </c>
      <c r="W5" s="7">
        <v>359</v>
      </c>
      <c r="X5" s="7">
        <v>359</v>
      </c>
      <c r="Y5" s="7">
        <v>359</v>
      </c>
      <c r="Z5" s="7">
        <v>359</v>
      </c>
      <c r="AA5" s="7">
        <v>359</v>
      </c>
      <c r="AB5" s="7">
        <v>399</v>
      </c>
      <c r="AC5" s="7">
        <v>399</v>
      </c>
      <c r="AD5" s="7">
        <v>399</v>
      </c>
      <c r="AE5" s="7">
        <v>399</v>
      </c>
      <c r="AF5" s="7">
        <v>399</v>
      </c>
      <c r="AG5" s="7">
        <v>399</v>
      </c>
      <c r="AH5" s="7">
        <v>399</v>
      </c>
      <c r="AI5" s="7">
        <v>399</v>
      </c>
      <c r="AJ5" s="7">
        <v>399</v>
      </c>
      <c r="AK5" s="7">
        <v>399</v>
      </c>
      <c r="AL5" s="7">
        <v>399</v>
      </c>
      <c r="AM5" s="7">
        <v>399</v>
      </c>
    </row>
    <row r="6" spans="2:39" x14ac:dyDescent="0.2">
      <c r="B6" s="8">
        <f t="shared" ref="B6:B69" si="1">B5+1</f>
        <v>3</v>
      </c>
      <c r="C6" s="7">
        <v>296.10000000000002</v>
      </c>
      <c r="D6" s="7">
        <v>296.10000000000002</v>
      </c>
      <c r="E6" s="7">
        <v>296.10000000000002</v>
      </c>
      <c r="F6" s="7">
        <v>296.10000000000002</v>
      </c>
      <c r="G6" s="7">
        <v>296.10000000000002</v>
      </c>
      <c r="H6" s="7">
        <v>296.10000000000002</v>
      </c>
      <c r="I6" s="7">
        <v>296.10000000000002</v>
      </c>
      <c r="J6" s="7">
        <v>296.10000000000002</v>
      </c>
      <c r="K6" s="7">
        <v>296.10000000000002</v>
      </c>
      <c r="L6" s="7">
        <v>296.10000000000002</v>
      </c>
      <c r="M6" s="7">
        <v>296.10000000000002</v>
      </c>
      <c r="N6" s="7">
        <v>296.10000000000002</v>
      </c>
      <c r="O6" s="7">
        <v>296.10000000000002</v>
      </c>
      <c r="P6" s="7">
        <v>296.10000000000002</v>
      </c>
      <c r="Q6" s="7">
        <v>296.10000000000002</v>
      </c>
      <c r="R6" s="7">
        <v>296.10000000000002</v>
      </c>
      <c r="S6" s="7">
        <v>296.10000000000002</v>
      </c>
      <c r="T6" s="7">
        <v>296.10000000000002</v>
      </c>
      <c r="U6" s="7">
        <v>296.10000000000002</v>
      </c>
      <c r="V6" s="7">
        <v>296.10000000000002</v>
      </c>
      <c r="W6" s="7">
        <v>296.10000000000002</v>
      </c>
      <c r="X6" s="7">
        <v>296.10000000000002</v>
      </c>
      <c r="Y6" s="7">
        <v>296.10000000000002</v>
      </c>
      <c r="Z6" s="7">
        <v>296.10000000000002</v>
      </c>
      <c r="AA6" s="7">
        <v>296.10000000000002</v>
      </c>
      <c r="AB6" s="7">
        <v>296.10000000000002</v>
      </c>
      <c r="AC6" s="7">
        <v>296.10000000000002</v>
      </c>
      <c r="AD6" s="7">
        <v>296.10000000000002</v>
      </c>
      <c r="AE6" s="7">
        <v>306.45999999999998</v>
      </c>
      <c r="AF6" s="7">
        <v>306.45999999999998</v>
      </c>
      <c r="AG6" s="7">
        <v>306.45999999999998</v>
      </c>
      <c r="AH6" s="7">
        <v>306.45999999999998</v>
      </c>
      <c r="AI6" s="7">
        <v>306.45999999999998</v>
      </c>
      <c r="AJ6" s="7">
        <v>306.45999999999998</v>
      </c>
      <c r="AK6" s="7">
        <v>306.45999999999998</v>
      </c>
      <c r="AL6" s="7">
        <v>306.45999999999998</v>
      </c>
      <c r="AM6" s="7">
        <v>306.45999999999998</v>
      </c>
    </row>
    <row r="7" spans="2:39" x14ac:dyDescent="0.2">
      <c r="B7" s="8">
        <f t="shared" si="1"/>
        <v>4</v>
      </c>
      <c r="C7" s="7">
        <v>289</v>
      </c>
      <c r="D7" s="7">
        <v>289</v>
      </c>
      <c r="E7" s="7">
        <v>289</v>
      </c>
      <c r="F7" s="7">
        <v>289</v>
      </c>
      <c r="G7" s="7">
        <v>289</v>
      </c>
      <c r="H7" s="7">
        <v>289</v>
      </c>
      <c r="I7" s="7">
        <v>289</v>
      </c>
      <c r="J7" s="7">
        <v>289</v>
      </c>
      <c r="K7" s="7">
        <v>289</v>
      </c>
      <c r="L7" s="7">
        <v>289</v>
      </c>
      <c r="M7" s="7">
        <v>289</v>
      </c>
      <c r="N7" s="7">
        <v>289</v>
      </c>
      <c r="O7" s="7">
        <v>289</v>
      </c>
      <c r="P7" s="7">
        <v>289</v>
      </c>
      <c r="Q7" s="7">
        <v>289</v>
      </c>
      <c r="R7" s="7">
        <v>289</v>
      </c>
      <c r="S7" s="7">
        <v>289</v>
      </c>
      <c r="T7" s="7">
        <v>289</v>
      </c>
      <c r="U7" s="7">
        <v>289</v>
      </c>
      <c r="V7" s="7">
        <v>289</v>
      </c>
      <c r="W7" s="7">
        <v>289</v>
      </c>
      <c r="X7" s="7">
        <v>289</v>
      </c>
      <c r="Y7" s="7">
        <v>289</v>
      </c>
      <c r="Z7" s="7">
        <v>289</v>
      </c>
      <c r="AA7" s="7">
        <v>289</v>
      </c>
      <c r="AB7" s="7">
        <v>289</v>
      </c>
      <c r="AC7" s="7">
        <v>289</v>
      </c>
      <c r="AD7" s="7">
        <v>289</v>
      </c>
      <c r="AE7" s="7">
        <v>289</v>
      </c>
      <c r="AF7" s="7">
        <v>289</v>
      </c>
      <c r="AG7" s="7">
        <v>289</v>
      </c>
      <c r="AH7" s="7">
        <v>289</v>
      </c>
      <c r="AI7" s="7">
        <v>289</v>
      </c>
      <c r="AJ7" s="7">
        <v>289</v>
      </c>
      <c r="AK7" s="7">
        <v>289</v>
      </c>
      <c r="AL7" s="7">
        <v>289</v>
      </c>
      <c r="AM7" s="7">
        <v>289</v>
      </c>
    </row>
    <row r="8" spans="2:39" x14ac:dyDescent="0.2">
      <c r="B8" s="8">
        <f t="shared" si="1"/>
        <v>5</v>
      </c>
      <c r="C8" s="7">
        <v>223</v>
      </c>
      <c r="D8" s="7">
        <v>223</v>
      </c>
      <c r="E8" s="7">
        <v>223</v>
      </c>
      <c r="F8" s="7">
        <v>223</v>
      </c>
      <c r="G8" s="7">
        <v>223</v>
      </c>
      <c r="H8" s="7">
        <v>223</v>
      </c>
      <c r="I8" s="7">
        <v>223</v>
      </c>
      <c r="J8" s="7">
        <v>223</v>
      </c>
      <c r="K8" s="7">
        <v>234.15</v>
      </c>
      <c r="L8" s="7">
        <v>234.15</v>
      </c>
      <c r="M8" s="7">
        <v>210.74</v>
      </c>
      <c r="N8" s="7">
        <v>210.74</v>
      </c>
      <c r="O8" s="7">
        <v>210.74</v>
      </c>
      <c r="P8" s="7">
        <v>210.74</v>
      </c>
      <c r="Q8" s="7">
        <v>210.74</v>
      </c>
      <c r="R8" s="7">
        <v>210.74</v>
      </c>
      <c r="S8" s="7">
        <v>210.74</v>
      </c>
      <c r="T8" s="7">
        <v>210.74</v>
      </c>
      <c r="U8" s="7">
        <v>210.74</v>
      </c>
      <c r="V8" s="7">
        <v>210.74</v>
      </c>
      <c r="W8" s="7">
        <v>218.12</v>
      </c>
      <c r="X8" s="7">
        <v>218.12</v>
      </c>
      <c r="Y8" s="7">
        <v>218.12</v>
      </c>
      <c r="Z8" s="7">
        <v>218.12</v>
      </c>
      <c r="AA8" s="7">
        <v>218.12</v>
      </c>
      <c r="AB8" s="7">
        <v>218.12</v>
      </c>
      <c r="AC8" s="7">
        <v>218.12</v>
      </c>
      <c r="AD8" s="7">
        <v>218.12</v>
      </c>
      <c r="AE8" s="7">
        <v>218.12</v>
      </c>
      <c r="AF8" s="7">
        <v>218.12</v>
      </c>
      <c r="AG8" s="7">
        <v>218.12</v>
      </c>
      <c r="AH8" s="7">
        <v>218.12</v>
      </c>
      <c r="AI8" s="7">
        <v>218.12</v>
      </c>
      <c r="AJ8" s="7">
        <v>225.75</v>
      </c>
      <c r="AK8" s="7">
        <v>225.75</v>
      </c>
      <c r="AL8" s="7">
        <v>225.75</v>
      </c>
      <c r="AM8" s="7">
        <v>225.75</v>
      </c>
    </row>
    <row r="9" spans="2:39" x14ac:dyDescent="0.2">
      <c r="B9" s="8">
        <f t="shared" si="1"/>
        <v>6</v>
      </c>
      <c r="C9" s="7">
        <v>279</v>
      </c>
      <c r="D9" s="7">
        <v>279</v>
      </c>
      <c r="E9" s="7">
        <v>279</v>
      </c>
      <c r="F9" s="7">
        <v>279</v>
      </c>
      <c r="G9" s="7">
        <v>279</v>
      </c>
      <c r="H9" s="7">
        <v>378</v>
      </c>
      <c r="I9" s="7">
        <v>279</v>
      </c>
      <c r="J9" s="7">
        <v>279</v>
      </c>
      <c r="K9" s="7">
        <v>279</v>
      </c>
      <c r="L9" s="7">
        <v>279</v>
      </c>
      <c r="M9" s="7">
        <v>279</v>
      </c>
      <c r="N9" s="7">
        <v>279</v>
      </c>
      <c r="O9" s="7">
        <v>279</v>
      </c>
      <c r="P9" s="7">
        <v>279</v>
      </c>
      <c r="Q9" s="7">
        <v>279</v>
      </c>
      <c r="R9" s="7">
        <v>279</v>
      </c>
      <c r="S9" s="7">
        <v>279</v>
      </c>
      <c r="T9" s="7">
        <v>279</v>
      </c>
      <c r="U9" s="7">
        <v>279</v>
      </c>
      <c r="V9" s="7">
        <v>279</v>
      </c>
      <c r="W9" s="7">
        <v>279</v>
      </c>
      <c r="X9" s="7">
        <v>279</v>
      </c>
      <c r="Y9" s="7">
        <v>279</v>
      </c>
      <c r="Z9" s="7">
        <v>279</v>
      </c>
      <c r="AA9" s="7">
        <v>279</v>
      </c>
      <c r="AB9" s="7">
        <v>279</v>
      </c>
      <c r="AC9" s="7">
        <v>279</v>
      </c>
      <c r="AD9" s="7">
        <v>279</v>
      </c>
      <c r="AE9" s="7">
        <v>279</v>
      </c>
      <c r="AF9" s="7">
        <v>288.77</v>
      </c>
      <c r="AG9" s="7">
        <v>288.77</v>
      </c>
      <c r="AH9" s="7">
        <v>288.77</v>
      </c>
      <c r="AI9" s="7">
        <v>288.77</v>
      </c>
      <c r="AJ9" s="7">
        <v>288.77</v>
      </c>
      <c r="AK9" s="7">
        <v>288.77</v>
      </c>
      <c r="AL9" s="7">
        <v>288.77</v>
      </c>
      <c r="AM9" s="7">
        <v>288.77</v>
      </c>
    </row>
    <row r="10" spans="2:39" x14ac:dyDescent="0.2">
      <c r="B10" s="8">
        <f t="shared" si="1"/>
        <v>7</v>
      </c>
      <c r="C10" s="7">
        <v>170.05</v>
      </c>
      <c r="D10" s="7">
        <v>170.05</v>
      </c>
      <c r="E10" s="7">
        <v>170.05</v>
      </c>
      <c r="F10" s="7">
        <v>170.05</v>
      </c>
      <c r="G10" s="7">
        <v>170.05</v>
      </c>
      <c r="H10" s="7">
        <v>170.05</v>
      </c>
      <c r="I10" s="7">
        <v>170.05</v>
      </c>
      <c r="J10" s="7">
        <v>170.05</v>
      </c>
      <c r="K10" s="7">
        <v>170.05</v>
      </c>
      <c r="L10" s="7">
        <v>170.05</v>
      </c>
      <c r="M10" s="7">
        <v>179</v>
      </c>
      <c r="N10" s="7">
        <v>179</v>
      </c>
      <c r="O10" s="7">
        <v>179</v>
      </c>
      <c r="P10" s="7">
        <v>179</v>
      </c>
      <c r="Q10" s="7">
        <v>179</v>
      </c>
      <c r="R10" s="7">
        <v>179</v>
      </c>
      <c r="S10" s="7">
        <v>179</v>
      </c>
      <c r="T10" s="7">
        <v>179</v>
      </c>
      <c r="U10" s="7">
        <v>179</v>
      </c>
      <c r="V10" s="7">
        <v>179</v>
      </c>
      <c r="W10" s="7">
        <v>179</v>
      </c>
      <c r="X10" s="7">
        <v>179</v>
      </c>
      <c r="Y10" s="7">
        <v>179</v>
      </c>
      <c r="Z10" s="7">
        <v>179</v>
      </c>
      <c r="AA10" s="7">
        <v>179</v>
      </c>
      <c r="AB10" s="7">
        <v>179</v>
      </c>
      <c r="AC10" s="7">
        <v>179</v>
      </c>
      <c r="AD10" s="7">
        <v>179</v>
      </c>
      <c r="AE10" s="7">
        <v>179</v>
      </c>
      <c r="AF10" s="7">
        <v>185.27</v>
      </c>
      <c r="AG10" s="7">
        <v>185.27</v>
      </c>
      <c r="AH10" s="7">
        <v>185.27</v>
      </c>
      <c r="AI10" s="7">
        <v>185.27</v>
      </c>
      <c r="AJ10" s="7">
        <v>185.27</v>
      </c>
      <c r="AK10" s="7">
        <v>185.27</v>
      </c>
      <c r="AL10" s="7">
        <v>185.27</v>
      </c>
      <c r="AM10" s="7">
        <v>185.27</v>
      </c>
    </row>
    <row r="11" spans="2:39" x14ac:dyDescent="0.2">
      <c r="B11" s="8">
        <f t="shared" si="1"/>
        <v>8</v>
      </c>
      <c r="C11" s="7">
        <v>99</v>
      </c>
      <c r="D11" s="7">
        <v>99</v>
      </c>
      <c r="E11" s="7">
        <v>99</v>
      </c>
      <c r="F11" s="7">
        <v>99</v>
      </c>
      <c r="G11" s="7">
        <v>99</v>
      </c>
      <c r="H11" s="7">
        <v>99</v>
      </c>
      <c r="I11" s="7">
        <v>99</v>
      </c>
      <c r="J11" s="7">
        <v>99</v>
      </c>
      <c r="K11" s="7">
        <v>99</v>
      </c>
      <c r="L11" s="7">
        <v>99</v>
      </c>
      <c r="M11" s="7">
        <v>99</v>
      </c>
      <c r="N11" s="7">
        <v>99</v>
      </c>
      <c r="O11" s="7">
        <v>99</v>
      </c>
      <c r="P11" s="7">
        <v>28.71</v>
      </c>
      <c r="Q11" s="7">
        <v>0</v>
      </c>
      <c r="R11" s="7">
        <v>0</v>
      </c>
      <c r="S11" s="7">
        <v>0</v>
      </c>
      <c r="T11" s="7">
        <v>0</v>
      </c>
      <c r="U11" s="7">
        <v>0</v>
      </c>
      <c r="V11" s="7">
        <v>0</v>
      </c>
      <c r="W11" s="7">
        <v>0</v>
      </c>
      <c r="X11" s="7">
        <v>0</v>
      </c>
      <c r="Y11" s="7">
        <v>0</v>
      </c>
      <c r="Z11" s="7">
        <v>0</v>
      </c>
      <c r="AA11" s="7">
        <v>0</v>
      </c>
      <c r="AB11" s="7">
        <v>0</v>
      </c>
      <c r="AC11" s="7">
        <v>0</v>
      </c>
      <c r="AD11" s="7">
        <v>0</v>
      </c>
      <c r="AE11" s="7">
        <v>0</v>
      </c>
      <c r="AF11" s="7">
        <v>0</v>
      </c>
      <c r="AG11" s="7">
        <v>0</v>
      </c>
      <c r="AH11" s="7">
        <v>0</v>
      </c>
      <c r="AI11" s="7">
        <v>0</v>
      </c>
      <c r="AJ11" s="7">
        <v>0</v>
      </c>
      <c r="AK11" s="7">
        <v>0</v>
      </c>
      <c r="AL11" s="7">
        <v>0</v>
      </c>
      <c r="AM11" s="7">
        <v>0</v>
      </c>
    </row>
    <row r="12" spans="2:39" x14ac:dyDescent="0.2">
      <c r="B12" s="8">
        <f t="shared" si="1"/>
        <v>9</v>
      </c>
      <c r="C12" s="7">
        <v>229</v>
      </c>
      <c r="D12" s="7">
        <v>229</v>
      </c>
      <c r="E12" s="7">
        <v>229</v>
      </c>
      <c r="F12" s="7">
        <v>229</v>
      </c>
      <c r="G12" s="7">
        <v>229</v>
      </c>
      <c r="H12" s="7">
        <v>229</v>
      </c>
      <c r="I12" s="7">
        <v>229</v>
      </c>
      <c r="J12" s="7">
        <v>229</v>
      </c>
      <c r="K12" s="7">
        <v>229</v>
      </c>
      <c r="L12" s="7">
        <v>229</v>
      </c>
      <c r="M12" s="7">
        <v>229</v>
      </c>
      <c r="N12" s="7">
        <v>229</v>
      </c>
      <c r="O12" s="7">
        <v>229</v>
      </c>
      <c r="P12" s="7">
        <v>229</v>
      </c>
      <c r="Q12" s="7">
        <v>229</v>
      </c>
      <c r="R12" s="7">
        <v>229</v>
      </c>
      <c r="S12" s="7">
        <v>229</v>
      </c>
      <c r="T12" s="7">
        <v>229</v>
      </c>
      <c r="U12" s="7">
        <v>229</v>
      </c>
      <c r="V12" s="7">
        <v>229</v>
      </c>
      <c r="W12" s="7">
        <v>229</v>
      </c>
      <c r="X12" s="7">
        <v>229</v>
      </c>
      <c r="Y12" s="7">
        <v>229</v>
      </c>
      <c r="Z12" s="7">
        <v>229</v>
      </c>
      <c r="AA12" s="7">
        <v>229</v>
      </c>
      <c r="AB12" s="7">
        <v>229</v>
      </c>
      <c r="AC12" s="7">
        <v>229</v>
      </c>
      <c r="AD12" s="7">
        <v>229</v>
      </c>
      <c r="AE12" s="7">
        <v>229</v>
      </c>
      <c r="AF12" s="7">
        <v>229</v>
      </c>
      <c r="AG12" s="7">
        <v>229</v>
      </c>
      <c r="AH12" s="7">
        <v>229</v>
      </c>
      <c r="AI12" s="7">
        <v>237.02</v>
      </c>
      <c r="AJ12" s="7">
        <v>237.02</v>
      </c>
      <c r="AK12" s="7">
        <v>237.02</v>
      </c>
      <c r="AL12" s="7">
        <v>237.02</v>
      </c>
      <c r="AM12" s="7">
        <v>237.02</v>
      </c>
    </row>
    <row r="13" spans="2:39" x14ac:dyDescent="0.2">
      <c r="B13" s="8">
        <f t="shared" si="1"/>
        <v>10</v>
      </c>
      <c r="C13" s="7">
        <v>279</v>
      </c>
      <c r="D13" s="7">
        <v>279</v>
      </c>
      <c r="E13" s="7">
        <v>279</v>
      </c>
      <c r="F13" s="7">
        <v>279</v>
      </c>
      <c r="G13" s="7">
        <v>279</v>
      </c>
      <c r="H13" s="7">
        <v>279</v>
      </c>
      <c r="I13" s="7">
        <v>179</v>
      </c>
      <c r="J13" s="7">
        <v>179</v>
      </c>
      <c r="K13" s="7">
        <v>179</v>
      </c>
      <c r="L13" s="7">
        <v>179</v>
      </c>
      <c r="M13" s="7">
        <v>179</v>
      </c>
      <c r="N13" s="7">
        <v>179</v>
      </c>
      <c r="O13" s="7">
        <v>179</v>
      </c>
      <c r="P13" s="7">
        <v>179</v>
      </c>
      <c r="Q13" s="7">
        <v>179</v>
      </c>
      <c r="R13" s="7">
        <v>179</v>
      </c>
      <c r="S13" s="7">
        <v>179</v>
      </c>
      <c r="T13" s="7">
        <v>179</v>
      </c>
      <c r="U13" s="7">
        <v>179</v>
      </c>
      <c r="V13" s="7">
        <v>179</v>
      </c>
      <c r="W13" s="7">
        <v>179</v>
      </c>
      <c r="X13" s="7">
        <v>179</v>
      </c>
      <c r="Y13" s="7">
        <v>179</v>
      </c>
      <c r="Z13" s="7">
        <v>179</v>
      </c>
      <c r="AA13" s="7">
        <v>179</v>
      </c>
      <c r="AB13" s="7">
        <v>179</v>
      </c>
      <c r="AC13" s="7">
        <v>179</v>
      </c>
      <c r="AD13" s="7">
        <v>179</v>
      </c>
      <c r="AE13" s="7">
        <v>179</v>
      </c>
      <c r="AF13" s="7">
        <v>179</v>
      </c>
      <c r="AG13" s="7">
        <v>179</v>
      </c>
      <c r="AH13" s="7">
        <v>179</v>
      </c>
      <c r="AI13" s="7">
        <v>179</v>
      </c>
      <c r="AJ13" s="7">
        <v>185.27</v>
      </c>
      <c r="AK13" s="7">
        <v>185.27</v>
      </c>
      <c r="AL13" s="7">
        <v>185.27</v>
      </c>
      <c r="AM13" s="7">
        <v>185.27</v>
      </c>
    </row>
    <row r="14" spans="2:39" x14ac:dyDescent="0.2">
      <c r="B14" s="8">
        <f t="shared" si="1"/>
        <v>11</v>
      </c>
      <c r="C14" s="7">
        <v>170.05</v>
      </c>
      <c r="D14" s="7">
        <v>170.05</v>
      </c>
      <c r="E14" s="7">
        <v>170.05</v>
      </c>
      <c r="F14" s="7">
        <v>170.05</v>
      </c>
      <c r="G14" s="7">
        <v>170.05</v>
      </c>
      <c r="H14" s="7">
        <v>170.05</v>
      </c>
      <c r="I14" s="7">
        <v>170.05</v>
      </c>
      <c r="J14" s="7">
        <v>170.05</v>
      </c>
      <c r="K14" s="7">
        <v>170.05</v>
      </c>
      <c r="L14" s="7">
        <v>170.05</v>
      </c>
      <c r="M14" s="7">
        <v>179</v>
      </c>
      <c r="N14" s="7">
        <v>179</v>
      </c>
      <c r="O14" s="7">
        <v>179</v>
      </c>
      <c r="P14" s="7">
        <v>179</v>
      </c>
      <c r="Q14" s="7">
        <v>179</v>
      </c>
      <c r="R14" s="7">
        <v>179</v>
      </c>
      <c r="S14" s="7">
        <v>179</v>
      </c>
      <c r="T14" s="7">
        <v>179</v>
      </c>
      <c r="U14" s="7">
        <v>179</v>
      </c>
      <c r="V14" s="7">
        <v>179</v>
      </c>
      <c r="W14" s="7">
        <v>179</v>
      </c>
      <c r="X14" s="7">
        <v>179</v>
      </c>
      <c r="Y14" s="7">
        <v>179</v>
      </c>
      <c r="Z14" s="7">
        <v>179</v>
      </c>
      <c r="AA14" s="7">
        <v>179</v>
      </c>
      <c r="AB14" s="7">
        <v>179</v>
      </c>
      <c r="AC14" s="7">
        <v>179</v>
      </c>
      <c r="AD14" s="7">
        <v>179</v>
      </c>
      <c r="AE14" s="7">
        <v>179</v>
      </c>
      <c r="AF14" s="7">
        <v>179</v>
      </c>
      <c r="AG14" s="7">
        <v>179</v>
      </c>
      <c r="AH14" s="7">
        <v>179</v>
      </c>
      <c r="AI14" s="7">
        <v>179</v>
      </c>
      <c r="AJ14" s="7">
        <v>179</v>
      </c>
      <c r="AK14" s="7">
        <v>179</v>
      </c>
      <c r="AL14" s="7">
        <v>179</v>
      </c>
      <c r="AM14" s="7">
        <v>179</v>
      </c>
    </row>
    <row r="15" spans="2:39" x14ac:dyDescent="0.2">
      <c r="B15" s="8">
        <f t="shared" si="1"/>
        <v>12</v>
      </c>
      <c r="C15" s="7">
        <v>284.05</v>
      </c>
      <c r="D15" s="7">
        <v>284.05</v>
      </c>
      <c r="E15" s="7">
        <v>284.05</v>
      </c>
      <c r="F15" s="7">
        <v>284.05</v>
      </c>
      <c r="G15" s="7">
        <v>284.05</v>
      </c>
      <c r="H15" s="7">
        <v>284.05</v>
      </c>
      <c r="I15" s="7">
        <v>290.02999999999997</v>
      </c>
      <c r="J15" s="7">
        <v>290.02999999999997</v>
      </c>
      <c r="K15" s="7">
        <v>290.02999999999997</v>
      </c>
      <c r="L15" s="7">
        <v>290.02999999999997</v>
      </c>
      <c r="M15" s="7">
        <v>281.33</v>
      </c>
      <c r="N15" s="7">
        <v>281.33</v>
      </c>
      <c r="O15" s="7">
        <v>281.33</v>
      </c>
      <c r="P15" s="7">
        <v>281.33</v>
      </c>
      <c r="Q15" s="7">
        <v>281.33</v>
      </c>
      <c r="R15" s="7">
        <v>281.33</v>
      </c>
      <c r="S15" s="7">
        <v>281.33</v>
      </c>
      <c r="T15" s="7">
        <v>290.02999999999997</v>
      </c>
      <c r="U15" s="7">
        <v>290.02999999999997</v>
      </c>
      <c r="V15" s="7">
        <v>290.02999999999997</v>
      </c>
      <c r="W15" s="7">
        <v>290.02999999999997</v>
      </c>
      <c r="X15" s="7">
        <v>290.02999999999997</v>
      </c>
      <c r="Y15" s="7">
        <v>290.02999999999997</v>
      </c>
      <c r="Z15" s="7">
        <v>300.19</v>
      </c>
      <c r="AA15" s="7">
        <v>300.19</v>
      </c>
      <c r="AB15" s="7">
        <v>300.19</v>
      </c>
      <c r="AC15" s="7">
        <v>300.19</v>
      </c>
      <c r="AD15" s="7">
        <v>300.19</v>
      </c>
      <c r="AE15" s="7">
        <v>294</v>
      </c>
      <c r="AF15" s="7">
        <v>294</v>
      </c>
      <c r="AG15" s="7">
        <v>294</v>
      </c>
      <c r="AH15" s="7">
        <v>294</v>
      </c>
      <c r="AI15" s="7">
        <v>294</v>
      </c>
      <c r="AJ15" s="7">
        <v>294</v>
      </c>
      <c r="AK15" s="7">
        <v>294</v>
      </c>
      <c r="AL15" s="7">
        <v>294</v>
      </c>
      <c r="AM15" s="7">
        <v>294</v>
      </c>
    </row>
    <row r="16" spans="2:39" x14ac:dyDescent="0.2">
      <c r="B16" s="8">
        <f t="shared" si="1"/>
        <v>13</v>
      </c>
      <c r="C16" s="7">
        <v>369</v>
      </c>
      <c r="D16" s="7">
        <v>369</v>
      </c>
      <c r="E16" s="7">
        <v>369</v>
      </c>
      <c r="F16" s="7">
        <v>369</v>
      </c>
      <c r="G16" s="7">
        <v>369</v>
      </c>
      <c r="H16" s="7">
        <v>369</v>
      </c>
      <c r="I16" s="7">
        <v>369</v>
      </c>
      <c r="J16" s="7">
        <v>369</v>
      </c>
      <c r="K16" s="7">
        <v>369</v>
      </c>
      <c r="L16" s="7">
        <v>369</v>
      </c>
      <c r="M16" s="7">
        <v>369</v>
      </c>
      <c r="N16" s="7">
        <v>369</v>
      </c>
      <c r="O16" s="7">
        <v>369</v>
      </c>
      <c r="P16" s="7">
        <v>369</v>
      </c>
      <c r="Q16" s="7">
        <v>369</v>
      </c>
      <c r="R16" s="7">
        <v>369</v>
      </c>
      <c r="S16" s="7">
        <v>369</v>
      </c>
      <c r="T16" s="7">
        <v>369</v>
      </c>
      <c r="U16" s="7">
        <v>369</v>
      </c>
      <c r="V16" s="7">
        <v>369</v>
      </c>
      <c r="W16" s="7">
        <v>369</v>
      </c>
      <c r="X16" s="7">
        <v>369</v>
      </c>
      <c r="Y16" s="7">
        <v>369</v>
      </c>
      <c r="Z16" s="7">
        <v>369</v>
      </c>
      <c r="AA16" s="7">
        <v>381.92</v>
      </c>
      <c r="AB16" s="7">
        <v>381.92</v>
      </c>
      <c r="AC16" s="7">
        <v>381.92</v>
      </c>
      <c r="AD16" s="7">
        <v>381.92</v>
      </c>
      <c r="AE16" s="7">
        <v>381.92</v>
      </c>
      <c r="AF16" s="7">
        <v>381.92</v>
      </c>
      <c r="AG16" s="7">
        <v>381.92</v>
      </c>
      <c r="AH16" s="7">
        <v>381.92</v>
      </c>
      <c r="AI16" s="7">
        <v>381.92</v>
      </c>
      <c r="AJ16" s="7">
        <v>381.92</v>
      </c>
      <c r="AK16" s="7">
        <v>381.92</v>
      </c>
      <c r="AL16" s="7">
        <v>381.92</v>
      </c>
      <c r="AM16" s="7">
        <v>381.92</v>
      </c>
    </row>
    <row r="17" spans="1:39" x14ac:dyDescent="0.2">
      <c r="B17" s="8">
        <f t="shared" si="1"/>
        <v>14</v>
      </c>
      <c r="C17" s="7">
        <v>279</v>
      </c>
      <c r="D17" s="7">
        <v>279</v>
      </c>
      <c r="E17" s="7">
        <v>279</v>
      </c>
      <c r="F17" s="7">
        <v>279</v>
      </c>
      <c r="G17" s="7">
        <v>279</v>
      </c>
      <c r="H17" s="7">
        <v>279</v>
      </c>
      <c r="I17" s="7">
        <v>279</v>
      </c>
      <c r="J17" s="7">
        <v>279</v>
      </c>
      <c r="K17" s="7">
        <v>279</v>
      </c>
      <c r="L17" s="7">
        <v>279</v>
      </c>
      <c r="M17" s="7">
        <v>279</v>
      </c>
      <c r="N17" s="7">
        <v>279</v>
      </c>
      <c r="O17" s="7">
        <v>279</v>
      </c>
      <c r="P17" s="7">
        <v>279</v>
      </c>
      <c r="Q17" s="7">
        <v>279</v>
      </c>
      <c r="R17" s="7">
        <v>279</v>
      </c>
      <c r="S17" s="7">
        <v>279</v>
      </c>
      <c r="T17" s="7">
        <v>279</v>
      </c>
      <c r="U17" s="7">
        <v>279</v>
      </c>
      <c r="V17" s="7">
        <v>279</v>
      </c>
      <c r="W17" s="7">
        <v>279</v>
      </c>
      <c r="X17" s="7">
        <v>279</v>
      </c>
      <c r="Y17" s="7">
        <v>279</v>
      </c>
      <c r="Z17" s="7">
        <v>279</v>
      </c>
      <c r="AA17" s="7">
        <v>279</v>
      </c>
      <c r="AB17" s="7">
        <v>279</v>
      </c>
      <c r="AC17" s="7">
        <v>279</v>
      </c>
      <c r="AD17" s="7">
        <v>288.77</v>
      </c>
      <c r="AE17" s="7">
        <v>288.77</v>
      </c>
      <c r="AF17" s="7">
        <v>288.77</v>
      </c>
      <c r="AG17" s="7">
        <v>288.77</v>
      </c>
      <c r="AH17" s="7">
        <v>288.77</v>
      </c>
      <c r="AI17" s="7">
        <v>288.77</v>
      </c>
      <c r="AJ17" s="7">
        <v>288.77</v>
      </c>
      <c r="AK17" s="7">
        <v>288.77</v>
      </c>
      <c r="AL17" s="7">
        <v>288.77</v>
      </c>
      <c r="AM17" s="7">
        <v>288.77</v>
      </c>
    </row>
    <row r="18" spans="1:39" x14ac:dyDescent="0.2">
      <c r="B18" s="8">
        <f t="shared" si="1"/>
        <v>15</v>
      </c>
      <c r="C18" s="7">
        <v>179</v>
      </c>
      <c r="D18" s="7">
        <v>179</v>
      </c>
      <c r="E18" s="7">
        <v>179</v>
      </c>
      <c r="F18" s="7">
        <v>179</v>
      </c>
      <c r="G18" s="7">
        <v>179</v>
      </c>
      <c r="H18" s="7">
        <v>179</v>
      </c>
      <c r="I18" s="7">
        <v>179</v>
      </c>
      <c r="J18" s="7">
        <v>179</v>
      </c>
      <c r="K18" s="7">
        <v>179</v>
      </c>
      <c r="L18" s="7">
        <v>179</v>
      </c>
      <c r="M18" s="7">
        <v>179</v>
      </c>
      <c r="N18" s="7">
        <v>179</v>
      </c>
      <c r="O18" s="7">
        <v>179</v>
      </c>
      <c r="P18" s="7">
        <v>179</v>
      </c>
      <c r="Q18" s="7">
        <v>179</v>
      </c>
      <c r="R18" s="7">
        <v>179</v>
      </c>
      <c r="S18" s="7">
        <v>179</v>
      </c>
      <c r="T18" s="7">
        <v>179</v>
      </c>
      <c r="U18" s="7">
        <v>179</v>
      </c>
      <c r="V18" s="7">
        <v>179</v>
      </c>
      <c r="W18" s="7">
        <v>179</v>
      </c>
      <c r="X18" s="7">
        <v>179</v>
      </c>
      <c r="Y18" s="7">
        <v>179</v>
      </c>
      <c r="Z18" s="7">
        <v>179</v>
      </c>
      <c r="AA18" s="7">
        <v>179</v>
      </c>
      <c r="AB18" s="7">
        <v>179</v>
      </c>
      <c r="AC18" s="7">
        <v>179</v>
      </c>
      <c r="AD18" s="7">
        <v>185.27</v>
      </c>
      <c r="AE18" s="7">
        <v>185.27</v>
      </c>
      <c r="AF18" s="7">
        <v>185.27</v>
      </c>
      <c r="AG18" s="7">
        <v>179</v>
      </c>
      <c r="AH18" s="7">
        <v>179</v>
      </c>
      <c r="AI18" s="7">
        <v>179</v>
      </c>
      <c r="AJ18" s="7">
        <v>179</v>
      </c>
      <c r="AK18" s="7">
        <v>179</v>
      </c>
      <c r="AL18" s="7">
        <v>179</v>
      </c>
      <c r="AM18" s="7">
        <v>179</v>
      </c>
    </row>
    <row r="19" spans="1:39" x14ac:dyDescent="0.2">
      <c r="B19" s="8">
        <f t="shared" si="1"/>
        <v>16</v>
      </c>
      <c r="C19" s="7">
        <v>128</v>
      </c>
      <c r="D19" s="7">
        <v>128</v>
      </c>
      <c r="E19" s="7">
        <v>128</v>
      </c>
      <c r="F19" s="7">
        <v>128</v>
      </c>
      <c r="G19" s="7">
        <v>128</v>
      </c>
      <c r="H19" s="7">
        <v>128</v>
      </c>
      <c r="I19" s="7">
        <v>128</v>
      </c>
      <c r="J19" s="7">
        <v>128</v>
      </c>
      <c r="K19" s="7">
        <v>128</v>
      </c>
      <c r="L19" s="7">
        <v>128</v>
      </c>
      <c r="M19" s="7">
        <v>128</v>
      </c>
      <c r="N19" s="7">
        <v>128</v>
      </c>
      <c r="O19" s="7">
        <v>128</v>
      </c>
      <c r="P19" s="7">
        <v>128</v>
      </c>
      <c r="Q19" s="7">
        <v>128</v>
      </c>
      <c r="R19" s="7">
        <v>0</v>
      </c>
      <c r="S19" s="7">
        <v>0</v>
      </c>
      <c r="T19" s="7">
        <v>0</v>
      </c>
      <c r="U19" s="7">
        <v>0</v>
      </c>
      <c r="V19" s="7">
        <v>0</v>
      </c>
      <c r="W19" s="7">
        <v>0</v>
      </c>
      <c r="X19" s="7">
        <v>0</v>
      </c>
      <c r="Y19" s="7">
        <v>0</v>
      </c>
      <c r="Z19" s="7">
        <v>0</v>
      </c>
      <c r="AA19" s="7">
        <v>0</v>
      </c>
      <c r="AB19" s="7">
        <v>0</v>
      </c>
      <c r="AC19" s="7">
        <v>0</v>
      </c>
      <c r="AD19" s="7">
        <v>0</v>
      </c>
      <c r="AE19" s="7">
        <v>0</v>
      </c>
      <c r="AF19" s="7">
        <v>0</v>
      </c>
      <c r="AG19" s="7">
        <v>0</v>
      </c>
      <c r="AH19" s="7">
        <v>0</v>
      </c>
      <c r="AI19" s="7">
        <v>0</v>
      </c>
      <c r="AJ19" s="7">
        <v>0</v>
      </c>
      <c r="AK19" s="7">
        <v>0</v>
      </c>
      <c r="AL19" s="7">
        <v>0</v>
      </c>
      <c r="AM19" s="7">
        <v>0</v>
      </c>
    </row>
    <row r="20" spans="1:39" x14ac:dyDescent="0.2">
      <c r="B20" s="8">
        <f t="shared" si="1"/>
        <v>17</v>
      </c>
      <c r="C20" s="7">
        <v>279</v>
      </c>
      <c r="D20" s="7">
        <v>279</v>
      </c>
      <c r="E20" s="7">
        <v>279</v>
      </c>
      <c r="F20" s="7">
        <v>279</v>
      </c>
      <c r="G20" s="7">
        <v>279</v>
      </c>
      <c r="H20" s="7">
        <v>279</v>
      </c>
      <c r="I20" s="7">
        <v>279</v>
      </c>
      <c r="J20" s="7">
        <v>279</v>
      </c>
      <c r="K20" s="7">
        <v>279</v>
      </c>
      <c r="L20" s="7">
        <v>279</v>
      </c>
      <c r="M20" s="7">
        <v>279</v>
      </c>
      <c r="N20" s="7">
        <v>279</v>
      </c>
      <c r="O20" s="7">
        <v>279</v>
      </c>
      <c r="P20" s="7">
        <v>279</v>
      </c>
      <c r="Q20" s="7">
        <v>279</v>
      </c>
      <c r="R20" s="7">
        <v>279</v>
      </c>
      <c r="S20" s="7">
        <v>279</v>
      </c>
      <c r="T20" s="7">
        <v>279</v>
      </c>
      <c r="U20" s="7">
        <v>279</v>
      </c>
      <c r="V20" s="7">
        <v>279</v>
      </c>
      <c r="W20" s="7">
        <v>279</v>
      </c>
      <c r="X20" s="7">
        <v>279</v>
      </c>
      <c r="Y20" s="7">
        <v>279</v>
      </c>
      <c r="Z20" s="7">
        <v>279</v>
      </c>
      <c r="AA20" s="7">
        <v>279</v>
      </c>
      <c r="AB20" s="7">
        <v>279</v>
      </c>
      <c r="AC20" s="7">
        <v>279</v>
      </c>
      <c r="AD20" s="7">
        <v>279</v>
      </c>
      <c r="AE20" s="7">
        <v>288.77</v>
      </c>
      <c r="AF20" s="7">
        <v>288.77</v>
      </c>
      <c r="AG20" s="7">
        <v>288.77</v>
      </c>
      <c r="AH20" s="7">
        <v>288.77</v>
      </c>
      <c r="AI20" s="7">
        <v>288.77</v>
      </c>
      <c r="AJ20" s="7">
        <v>288.77</v>
      </c>
      <c r="AK20" s="7">
        <v>288.77</v>
      </c>
      <c r="AL20" s="7">
        <v>288.77</v>
      </c>
      <c r="AM20" s="7">
        <v>288.77</v>
      </c>
    </row>
    <row r="21" spans="1:39" x14ac:dyDescent="0.2">
      <c r="B21" s="8">
        <f t="shared" si="1"/>
        <v>18</v>
      </c>
      <c r="C21" s="7">
        <v>245.65</v>
      </c>
      <c r="D21" s="7">
        <v>245.65</v>
      </c>
      <c r="E21" s="7">
        <v>245.65</v>
      </c>
      <c r="F21" s="7">
        <v>245.65</v>
      </c>
      <c r="G21" s="7">
        <v>245.65</v>
      </c>
      <c r="H21" s="7">
        <v>245.65</v>
      </c>
      <c r="I21" s="7">
        <v>245.65</v>
      </c>
      <c r="J21" s="7">
        <v>245.65</v>
      </c>
      <c r="K21" s="7">
        <v>245.65</v>
      </c>
      <c r="L21" s="7">
        <v>245.65</v>
      </c>
      <c r="M21" s="7">
        <v>245.65</v>
      </c>
      <c r="N21" s="7">
        <v>245.65</v>
      </c>
      <c r="O21" s="7">
        <v>245.65</v>
      </c>
      <c r="P21" s="7">
        <v>245.65</v>
      </c>
      <c r="Q21" s="7">
        <v>245.65</v>
      </c>
      <c r="R21" s="7">
        <v>245.65</v>
      </c>
      <c r="S21" s="7">
        <v>245.65</v>
      </c>
      <c r="T21" s="7">
        <v>245.65</v>
      </c>
      <c r="U21" s="7">
        <v>245.65</v>
      </c>
      <c r="V21" s="7">
        <v>245.65</v>
      </c>
      <c r="W21" s="7">
        <v>245.65</v>
      </c>
      <c r="X21" s="7">
        <v>245.65</v>
      </c>
      <c r="Y21" s="7">
        <v>245.65</v>
      </c>
      <c r="Z21" s="7">
        <v>245.65</v>
      </c>
      <c r="AA21" s="7">
        <v>245.65</v>
      </c>
      <c r="AB21" s="7">
        <v>245.65</v>
      </c>
      <c r="AC21" s="7">
        <v>245.65</v>
      </c>
      <c r="AD21" s="7">
        <v>254.25</v>
      </c>
      <c r="AE21" s="7">
        <v>254.25</v>
      </c>
      <c r="AF21" s="7">
        <v>254.25</v>
      </c>
      <c r="AG21" s="7">
        <v>254.25</v>
      </c>
      <c r="AH21" s="7">
        <v>254.25</v>
      </c>
      <c r="AI21" s="7">
        <v>254.25</v>
      </c>
      <c r="AJ21" s="7">
        <v>254.25</v>
      </c>
      <c r="AK21" s="7">
        <v>254.25</v>
      </c>
      <c r="AL21" s="7">
        <v>254.25</v>
      </c>
      <c r="AM21" s="7">
        <v>254.25</v>
      </c>
    </row>
    <row r="22" spans="1:39" x14ac:dyDescent="0.2">
      <c r="B22" s="8">
        <f t="shared" si="1"/>
        <v>19</v>
      </c>
      <c r="C22" s="7">
        <v>116</v>
      </c>
      <c r="D22" s="7">
        <v>116</v>
      </c>
      <c r="E22" s="7">
        <v>116</v>
      </c>
      <c r="F22" s="7">
        <v>116</v>
      </c>
      <c r="G22" s="7">
        <v>116</v>
      </c>
      <c r="H22" s="7">
        <v>116</v>
      </c>
      <c r="I22" s="7">
        <v>116</v>
      </c>
      <c r="J22" s="7">
        <v>116</v>
      </c>
      <c r="K22" s="7">
        <v>116</v>
      </c>
      <c r="L22" s="7">
        <v>116</v>
      </c>
      <c r="M22" s="7">
        <v>116</v>
      </c>
      <c r="N22" s="7">
        <v>116</v>
      </c>
      <c r="O22" s="7">
        <v>116</v>
      </c>
      <c r="P22" s="7">
        <v>116</v>
      </c>
      <c r="Q22" s="7">
        <v>116</v>
      </c>
      <c r="R22" s="7">
        <v>116</v>
      </c>
      <c r="S22" s="7">
        <v>116</v>
      </c>
      <c r="T22" s="7">
        <v>116</v>
      </c>
      <c r="U22" s="7">
        <v>116</v>
      </c>
      <c r="V22" s="7">
        <v>116</v>
      </c>
      <c r="W22" s="7">
        <v>116</v>
      </c>
      <c r="X22" s="7">
        <v>116</v>
      </c>
      <c r="Y22" s="7">
        <v>116</v>
      </c>
      <c r="Z22" s="7">
        <v>116</v>
      </c>
      <c r="AA22" s="7">
        <v>116</v>
      </c>
      <c r="AB22" s="7">
        <v>116</v>
      </c>
      <c r="AC22" s="7">
        <v>116</v>
      </c>
      <c r="AD22" s="7">
        <v>116</v>
      </c>
      <c r="AE22" s="7">
        <v>116</v>
      </c>
      <c r="AF22" s="7">
        <v>116</v>
      </c>
      <c r="AG22" s="7">
        <v>116</v>
      </c>
      <c r="AH22" s="7">
        <v>116</v>
      </c>
      <c r="AI22" s="7">
        <v>116</v>
      </c>
      <c r="AJ22" s="7">
        <v>116</v>
      </c>
      <c r="AK22" s="7">
        <v>116</v>
      </c>
      <c r="AL22" s="7">
        <v>116</v>
      </c>
      <c r="AM22" s="7">
        <v>116</v>
      </c>
    </row>
    <row r="23" spans="1:39" x14ac:dyDescent="0.2">
      <c r="B23" s="8">
        <f t="shared" si="1"/>
        <v>20</v>
      </c>
      <c r="C23" s="7">
        <v>170.05</v>
      </c>
      <c r="D23" s="7">
        <v>170.05</v>
      </c>
      <c r="E23" s="7">
        <v>170.05</v>
      </c>
      <c r="F23" s="7">
        <v>170.05</v>
      </c>
      <c r="G23" s="7">
        <v>170.05</v>
      </c>
      <c r="H23" s="7">
        <v>170.05</v>
      </c>
      <c r="I23" s="7">
        <v>170.05</v>
      </c>
      <c r="J23" s="7">
        <v>170.05</v>
      </c>
      <c r="K23" s="7">
        <v>170.05</v>
      </c>
      <c r="L23" s="7">
        <v>170.05</v>
      </c>
      <c r="M23" s="7">
        <v>179</v>
      </c>
      <c r="N23" s="7">
        <v>179</v>
      </c>
      <c r="O23" s="7">
        <v>179</v>
      </c>
      <c r="P23" s="7">
        <v>179</v>
      </c>
      <c r="Q23" s="7">
        <v>179</v>
      </c>
      <c r="R23" s="7">
        <v>179</v>
      </c>
      <c r="S23" s="7">
        <v>179</v>
      </c>
      <c r="T23" s="7">
        <v>179</v>
      </c>
      <c r="U23" s="7">
        <v>179</v>
      </c>
      <c r="V23" s="7">
        <v>179</v>
      </c>
      <c r="W23" s="7">
        <v>179</v>
      </c>
      <c r="X23" s="7">
        <v>179</v>
      </c>
      <c r="Y23" s="7">
        <v>179</v>
      </c>
      <c r="Z23" s="7">
        <v>179</v>
      </c>
      <c r="AA23" s="7">
        <v>179</v>
      </c>
      <c r="AB23" s="7">
        <v>179</v>
      </c>
      <c r="AC23" s="7">
        <v>179</v>
      </c>
      <c r="AD23" s="7">
        <v>179</v>
      </c>
      <c r="AE23" s="7">
        <v>179</v>
      </c>
      <c r="AF23" s="7">
        <v>179</v>
      </c>
      <c r="AG23" s="7">
        <v>185.27</v>
      </c>
      <c r="AH23" s="7">
        <v>185.27</v>
      </c>
      <c r="AI23" s="7">
        <v>185.27</v>
      </c>
      <c r="AJ23" s="7">
        <v>185.27</v>
      </c>
      <c r="AK23" s="7">
        <v>185.27</v>
      </c>
      <c r="AL23" s="7">
        <v>185.27</v>
      </c>
      <c r="AM23" s="7">
        <v>185.27</v>
      </c>
    </row>
    <row r="24" spans="1:39" x14ac:dyDescent="0.2">
      <c r="B24" s="8">
        <f t="shared" si="1"/>
        <v>21</v>
      </c>
      <c r="C24" s="7">
        <v>279</v>
      </c>
      <c r="D24" s="7">
        <v>279</v>
      </c>
      <c r="E24" s="7">
        <v>279</v>
      </c>
      <c r="F24" s="7">
        <v>279</v>
      </c>
      <c r="G24" s="7">
        <v>279</v>
      </c>
      <c r="H24" s="7">
        <v>279</v>
      </c>
      <c r="I24" s="7">
        <v>279</v>
      </c>
      <c r="J24" s="7">
        <v>279</v>
      </c>
      <c r="K24" s="7">
        <v>279</v>
      </c>
      <c r="L24" s="7">
        <v>279</v>
      </c>
      <c r="M24" s="7">
        <v>279</v>
      </c>
      <c r="N24" s="7">
        <v>279</v>
      </c>
      <c r="O24" s="7">
        <v>279</v>
      </c>
      <c r="P24" s="7">
        <v>279</v>
      </c>
      <c r="Q24" s="7">
        <v>279</v>
      </c>
      <c r="R24" s="7">
        <v>279</v>
      </c>
      <c r="S24" s="7">
        <v>279</v>
      </c>
      <c r="T24" s="7">
        <v>279</v>
      </c>
      <c r="U24" s="7">
        <v>279</v>
      </c>
      <c r="V24" s="7">
        <v>279</v>
      </c>
      <c r="W24" s="7">
        <v>279</v>
      </c>
      <c r="X24" s="7">
        <v>279</v>
      </c>
      <c r="Y24" s="7">
        <v>279</v>
      </c>
      <c r="Z24" s="7">
        <v>279</v>
      </c>
      <c r="AA24" s="7">
        <v>279</v>
      </c>
      <c r="AB24" s="7">
        <v>279</v>
      </c>
      <c r="AC24" s="7">
        <v>279</v>
      </c>
      <c r="AD24" s="7">
        <v>279</v>
      </c>
      <c r="AE24" s="7">
        <v>279</v>
      </c>
      <c r="AF24" s="7">
        <v>279</v>
      </c>
      <c r="AG24" s="7">
        <v>288.77</v>
      </c>
      <c r="AH24" s="7">
        <v>288.77</v>
      </c>
      <c r="AI24" s="7">
        <v>288.77</v>
      </c>
      <c r="AJ24" s="7">
        <v>288.77</v>
      </c>
      <c r="AK24" s="7">
        <v>288.77</v>
      </c>
      <c r="AL24" s="7">
        <v>288.77</v>
      </c>
      <c r="AM24" s="7">
        <v>288.77</v>
      </c>
    </row>
    <row r="25" spans="1:39" x14ac:dyDescent="0.2">
      <c r="B25" s="8">
        <f t="shared" si="1"/>
        <v>22</v>
      </c>
      <c r="C25" s="7">
        <v>299</v>
      </c>
      <c r="D25" s="7">
        <v>299</v>
      </c>
      <c r="E25" s="7">
        <v>299</v>
      </c>
      <c r="F25" s="7">
        <v>299</v>
      </c>
      <c r="G25" s="7">
        <v>299</v>
      </c>
      <c r="H25" s="7">
        <v>299</v>
      </c>
      <c r="I25" s="7">
        <v>299</v>
      </c>
      <c r="J25" s="7">
        <v>299</v>
      </c>
      <c r="K25" s="7">
        <v>299</v>
      </c>
      <c r="L25" s="7">
        <v>299</v>
      </c>
      <c r="M25" s="7">
        <v>299</v>
      </c>
      <c r="N25" s="7">
        <v>299</v>
      </c>
      <c r="O25" s="7">
        <v>299</v>
      </c>
      <c r="P25" s="7">
        <v>299</v>
      </c>
      <c r="Q25" s="7">
        <v>299</v>
      </c>
      <c r="R25" s="7">
        <v>299</v>
      </c>
      <c r="S25" s="7">
        <v>299</v>
      </c>
      <c r="T25" s="7">
        <v>299</v>
      </c>
      <c r="U25" s="7">
        <v>299</v>
      </c>
      <c r="V25" s="7">
        <v>299</v>
      </c>
      <c r="W25" s="7">
        <v>299</v>
      </c>
      <c r="X25" s="7">
        <v>299</v>
      </c>
      <c r="Y25" s="7">
        <v>299</v>
      </c>
      <c r="Z25" s="7">
        <v>299</v>
      </c>
      <c r="AA25" s="7">
        <v>299</v>
      </c>
      <c r="AB25" s="7">
        <v>299</v>
      </c>
      <c r="AC25" s="7">
        <v>299</v>
      </c>
      <c r="AD25" s="7">
        <v>299</v>
      </c>
      <c r="AE25" s="7">
        <v>299</v>
      </c>
      <c r="AF25" s="7">
        <v>299</v>
      </c>
      <c r="AG25" s="7">
        <v>309.47000000000003</v>
      </c>
      <c r="AH25" s="7">
        <v>309.47000000000003</v>
      </c>
      <c r="AI25" s="7">
        <v>309.47000000000003</v>
      </c>
      <c r="AJ25" s="7">
        <v>309.47000000000003</v>
      </c>
      <c r="AK25" s="7">
        <v>309.47000000000003</v>
      </c>
      <c r="AL25" s="7">
        <v>309.47000000000003</v>
      </c>
      <c r="AM25" s="7">
        <v>309.47000000000003</v>
      </c>
    </row>
    <row r="26" spans="1:39" x14ac:dyDescent="0.2">
      <c r="B26" s="8">
        <f t="shared" si="1"/>
        <v>23</v>
      </c>
      <c r="C26" s="7">
        <v>287.10000000000002</v>
      </c>
      <c r="D26" s="7">
        <v>287.10000000000002</v>
      </c>
      <c r="E26" s="7">
        <v>287.10000000000002</v>
      </c>
      <c r="F26" s="7">
        <v>287.10000000000002</v>
      </c>
      <c r="G26" s="7">
        <v>287.10000000000002</v>
      </c>
      <c r="H26" s="7">
        <v>287.10000000000002</v>
      </c>
      <c r="I26" s="7">
        <v>287.10000000000002</v>
      </c>
      <c r="J26" s="7">
        <v>287.10000000000002</v>
      </c>
      <c r="K26" s="7">
        <v>287.10000000000002</v>
      </c>
      <c r="L26" s="7">
        <v>287.10000000000002</v>
      </c>
      <c r="M26" s="7">
        <v>287.10000000000002</v>
      </c>
      <c r="N26" s="7">
        <v>287.10000000000002</v>
      </c>
      <c r="O26" s="7">
        <v>287.10000000000002</v>
      </c>
      <c r="P26" s="7">
        <v>287.10000000000002</v>
      </c>
      <c r="Q26" s="7">
        <v>287.10000000000002</v>
      </c>
      <c r="R26" s="7">
        <v>287.10000000000002</v>
      </c>
      <c r="S26" s="7">
        <v>287.10000000000002</v>
      </c>
      <c r="T26" s="7">
        <v>287.10000000000002</v>
      </c>
      <c r="U26" s="7">
        <v>287.10000000000002</v>
      </c>
      <c r="V26" s="7">
        <v>287.10000000000002</v>
      </c>
      <c r="W26" s="7">
        <v>287.10000000000002</v>
      </c>
      <c r="X26" s="7">
        <v>287.10000000000002</v>
      </c>
      <c r="Y26" s="7">
        <v>287.10000000000002</v>
      </c>
      <c r="Z26" s="7">
        <v>287.10000000000002</v>
      </c>
      <c r="AA26" s="7">
        <v>287.10000000000002</v>
      </c>
      <c r="AB26" s="7">
        <v>287.10000000000002</v>
      </c>
      <c r="AC26" s="7">
        <v>287.10000000000002</v>
      </c>
      <c r="AD26" s="7">
        <v>287.10000000000002</v>
      </c>
      <c r="AE26" s="7">
        <v>287.10000000000002</v>
      </c>
      <c r="AF26" s="7">
        <v>287.10000000000002</v>
      </c>
      <c r="AG26" s="7">
        <v>287.10000000000002</v>
      </c>
      <c r="AH26" s="7">
        <v>297.14999999999998</v>
      </c>
      <c r="AI26" s="7">
        <v>297.14999999999998</v>
      </c>
      <c r="AJ26" s="7">
        <v>297.14999999999998</v>
      </c>
      <c r="AK26" s="7">
        <v>297.14999999999998</v>
      </c>
      <c r="AL26" s="7">
        <v>297.14999999999998</v>
      </c>
      <c r="AM26" s="7">
        <v>297.14999999999998</v>
      </c>
    </row>
    <row r="27" spans="1:39" x14ac:dyDescent="0.2">
      <c r="B27" s="8">
        <f t="shared" si="1"/>
        <v>24</v>
      </c>
      <c r="C27" s="7">
        <v>329</v>
      </c>
      <c r="D27" s="7">
        <v>329</v>
      </c>
      <c r="E27" s="7">
        <v>329</v>
      </c>
      <c r="F27" s="7">
        <v>329</v>
      </c>
      <c r="G27" s="7">
        <v>329</v>
      </c>
      <c r="H27" s="7">
        <v>329</v>
      </c>
      <c r="I27" s="7">
        <v>329</v>
      </c>
      <c r="J27" s="7">
        <v>329</v>
      </c>
      <c r="K27" s="7">
        <v>329</v>
      </c>
      <c r="L27" s="7">
        <v>329</v>
      </c>
      <c r="M27" s="7">
        <v>329</v>
      </c>
      <c r="N27" s="7">
        <v>329</v>
      </c>
      <c r="O27" s="7">
        <v>329</v>
      </c>
      <c r="P27" s="7">
        <v>329</v>
      </c>
      <c r="Q27" s="7">
        <v>329</v>
      </c>
      <c r="R27" s="7">
        <v>329</v>
      </c>
      <c r="S27" s="7">
        <v>329</v>
      </c>
      <c r="T27" s="7">
        <v>329</v>
      </c>
      <c r="U27" s="7">
        <v>329</v>
      </c>
      <c r="V27" s="7">
        <v>329</v>
      </c>
      <c r="W27" s="7">
        <v>329</v>
      </c>
      <c r="X27" s="7">
        <v>329</v>
      </c>
      <c r="Y27" s="7">
        <v>346.15</v>
      </c>
      <c r="Z27" s="7">
        <v>340.52</v>
      </c>
      <c r="AA27" s="7">
        <v>340.52</v>
      </c>
      <c r="AB27" s="7">
        <v>340.52</v>
      </c>
      <c r="AC27" s="7">
        <v>340.52</v>
      </c>
      <c r="AD27" s="7">
        <v>340.52</v>
      </c>
      <c r="AE27" s="7">
        <v>340.52</v>
      </c>
      <c r="AF27" s="7">
        <v>340.52</v>
      </c>
      <c r="AG27" s="7">
        <v>340.52</v>
      </c>
      <c r="AH27" s="7">
        <v>340.52</v>
      </c>
      <c r="AI27" s="7">
        <v>340.52</v>
      </c>
      <c r="AJ27" s="7">
        <v>352.44</v>
      </c>
      <c r="AK27" s="7">
        <v>352.44</v>
      </c>
      <c r="AL27" s="7">
        <v>352.44</v>
      </c>
      <c r="AM27" s="7">
        <v>352.44</v>
      </c>
    </row>
    <row r="28" spans="1:39" x14ac:dyDescent="0.2">
      <c r="A28" s="9"/>
      <c r="B28" s="8">
        <f t="shared" si="1"/>
        <v>25</v>
      </c>
      <c r="C28" s="7">
        <v>161.1</v>
      </c>
      <c r="D28" s="7">
        <v>161.1</v>
      </c>
      <c r="E28" s="7">
        <v>161.1</v>
      </c>
      <c r="F28" s="7">
        <v>161.1</v>
      </c>
      <c r="G28" s="7">
        <v>161.1</v>
      </c>
      <c r="H28" s="7">
        <v>161.1</v>
      </c>
      <c r="I28" s="7">
        <v>161.1</v>
      </c>
      <c r="J28" s="7">
        <v>161.1</v>
      </c>
      <c r="K28" s="7">
        <v>161.1</v>
      </c>
      <c r="L28" s="7">
        <v>161.07</v>
      </c>
      <c r="M28" s="7">
        <v>161.07</v>
      </c>
      <c r="N28" s="7">
        <v>161.07</v>
      </c>
      <c r="O28" s="7">
        <v>161.07</v>
      </c>
      <c r="P28" s="7">
        <v>161.07</v>
      </c>
      <c r="Q28" s="7">
        <v>169.55</v>
      </c>
      <c r="R28" s="7">
        <v>169.55</v>
      </c>
      <c r="S28" s="7">
        <v>169.55</v>
      </c>
      <c r="T28" s="7">
        <v>169.55</v>
      </c>
      <c r="U28" s="7">
        <v>169.55</v>
      </c>
      <c r="V28" s="7">
        <v>169.55</v>
      </c>
      <c r="W28" s="7">
        <v>169.55</v>
      </c>
      <c r="X28" s="7">
        <v>169.55</v>
      </c>
      <c r="Y28" s="7">
        <v>180.05</v>
      </c>
      <c r="Z28" s="7">
        <v>175.48</v>
      </c>
      <c r="AA28" s="7">
        <v>175.48</v>
      </c>
      <c r="AB28" s="7">
        <v>175.48</v>
      </c>
      <c r="AC28" s="7">
        <v>175.48</v>
      </c>
      <c r="AD28" s="7">
        <v>175.48</v>
      </c>
      <c r="AE28" s="7">
        <v>175.48</v>
      </c>
      <c r="AF28" s="7">
        <v>175.48</v>
      </c>
      <c r="AG28" s="7">
        <v>175.48</v>
      </c>
      <c r="AH28" s="7">
        <v>175.48</v>
      </c>
      <c r="AI28" s="7">
        <v>175.48</v>
      </c>
      <c r="AJ28" s="7">
        <v>181.62</v>
      </c>
      <c r="AK28" s="7">
        <v>181.62</v>
      </c>
      <c r="AL28" s="7">
        <v>181.62</v>
      </c>
      <c r="AM28" s="7">
        <v>181.62</v>
      </c>
    </row>
    <row r="29" spans="1:39" x14ac:dyDescent="0.2">
      <c r="B29" s="8">
        <f t="shared" si="1"/>
        <v>26</v>
      </c>
      <c r="C29" s="7">
        <v>0</v>
      </c>
      <c r="D29" s="7">
        <v>0</v>
      </c>
      <c r="E29" s="7">
        <v>0</v>
      </c>
      <c r="F29" s="7">
        <v>170.05</v>
      </c>
      <c r="G29" s="7">
        <v>170.05</v>
      </c>
      <c r="H29" s="7">
        <v>170.05</v>
      </c>
      <c r="I29" s="7">
        <v>170.05</v>
      </c>
      <c r="J29" s="7">
        <v>170.05</v>
      </c>
      <c r="K29" s="7">
        <v>170.05</v>
      </c>
      <c r="L29" s="7">
        <v>170.05</v>
      </c>
      <c r="M29" s="7">
        <v>179</v>
      </c>
      <c r="N29" s="7">
        <v>179</v>
      </c>
      <c r="O29" s="7">
        <v>179</v>
      </c>
      <c r="P29" s="7">
        <v>179</v>
      </c>
      <c r="Q29" s="7">
        <v>179</v>
      </c>
      <c r="R29" s="7">
        <v>179</v>
      </c>
      <c r="S29" s="7">
        <v>179</v>
      </c>
      <c r="T29" s="7">
        <v>179</v>
      </c>
      <c r="U29" s="7">
        <v>179</v>
      </c>
      <c r="V29" s="7">
        <v>179</v>
      </c>
      <c r="W29" s="7">
        <v>179</v>
      </c>
      <c r="X29" s="7">
        <v>179</v>
      </c>
      <c r="Y29" s="7">
        <v>189.5</v>
      </c>
      <c r="Z29" s="7">
        <v>185.27</v>
      </c>
      <c r="AA29" s="7">
        <v>185.27</v>
      </c>
      <c r="AB29" s="7">
        <v>185.27</v>
      </c>
      <c r="AC29" s="7">
        <v>185.27</v>
      </c>
      <c r="AD29" s="7">
        <v>185.27</v>
      </c>
      <c r="AE29" s="7">
        <v>185.27</v>
      </c>
      <c r="AF29" s="7">
        <v>185.27</v>
      </c>
      <c r="AG29" s="7">
        <v>185.27</v>
      </c>
      <c r="AH29" s="7">
        <v>185.27</v>
      </c>
      <c r="AI29" s="7">
        <v>185.27</v>
      </c>
      <c r="AJ29" s="7">
        <v>191.75</v>
      </c>
      <c r="AK29" s="7">
        <v>191.75</v>
      </c>
      <c r="AL29" s="7">
        <v>191.75</v>
      </c>
      <c r="AM29" s="7">
        <v>191.75</v>
      </c>
    </row>
    <row r="30" spans="1:39" x14ac:dyDescent="0.2">
      <c r="B30" s="8">
        <f t="shared" si="1"/>
        <v>27</v>
      </c>
      <c r="C30" s="7">
        <v>0</v>
      </c>
      <c r="D30" s="7">
        <v>0</v>
      </c>
      <c r="E30" s="7">
        <v>0</v>
      </c>
      <c r="F30" s="7">
        <v>245.65</v>
      </c>
      <c r="G30" s="7">
        <v>245.65</v>
      </c>
      <c r="H30" s="7">
        <v>245.65</v>
      </c>
      <c r="I30" s="7">
        <v>245.65</v>
      </c>
      <c r="J30" s="7">
        <v>245.65</v>
      </c>
      <c r="K30" s="7">
        <v>245.65</v>
      </c>
      <c r="L30" s="7">
        <v>245.65</v>
      </c>
      <c r="M30" s="7">
        <v>245.65</v>
      </c>
      <c r="N30" s="7">
        <v>245.65</v>
      </c>
      <c r="O30" s="7">
        <v>245.65</v>
      </c>
      <c r="P30" s="7">
        <v>245.65</v>
      </c>
      <c r="Q30" s="7">
        <v>245.65</v>
      </c>
      <c r="R30" s="7">
        <v>245.65</v>
      </c>
      <c r="S30" s="7">
        <v>245.65</v>
      </c>
      <c r="T30" s="7">
        <v>245.65</v>
      </c>
      <c r="U30" s="7">
        <v>245.65</v>
      </c>
      <c r="V30" s="7">
        <v>245.65</v>
      </c>
      <c r="W30" s="7">
        <v>245.65</v>
      </c>
      <c r="X30" s="7">
        <v>245.65</v>
      </c>
      <c r="Y30" s="7">
        <v>257.29000000000002</v>
      </c>
      <c r="Z30" s="7">
        <v>254.25</v>
      </c>
      <c r="AA30" s="7">
        <v>254.25</v>
      </c>
      <c r="AB30" s="7">
        <v>254.25</v>
      </c>
      <c r="AC30" s="7">
        <v>254.25</v>
      </c>
      <c r="AD30" s="7">
        <v>254.25</v>
      </c>
      <c r="AE30" s="7">
        <v>254.25</v>
      </c>
      <c r="AF30" s="7">
        <v>254.25</v>
      </c>
      <c r="AG30" s="7">
        <v>254.25</v>
      </c>
      <c r="AH30" s="7">
        <v>254.25</v>
      </c>
      <c r="AI30" s="7">
        <v>254.25</v>
      </c>
      <c r="AJ30" s="7">
        <v>254.25</v>
      </c>
      <c r="AK30" s="7">
        <v>254.25</v>
      </c>
      <c r="AL30" s="7">
        <v>254.25</v>
      </c>
      <c r="AM30" s="7">
        <v>254.25</v>
      </c>
    </row>
    <row r="31" spans="1:39" x14ac:dyDescent="0.2">
      <c r="B31" s="8">
        <f t="shared" si="1"/>
        <v>28</v>
      </c>
      <c r="C31" s="7">
        <v>0</v>
      </c>
      <c r="D31" s="7">
        <v>0</v>
      </c>
      <c r="E31" s="7">
        <v>0</v>
      </c>
      <c r="F31" s="7">
        <v>53.54</v>
      </c>
      <c r="G31" s="7">
        <v>54.32</v>
      </c>
      <c r="H31" s="7">
        <v>51.46</v>
      </c>
      <c r="I31" s="7">
        <v>51.96</v>
      </c>
      <c r="J31" s="7">
        <v>49</v>
      </c>
      <c r="K31" s="7">
        <v>49</v>
      </c>
      <c r="L31" s="7">
        <v>49</v>
      </c>
      <c r="M31" s="7">
        <v>49</v>
      </c>
      <c r="N31" s="7">
        <v>0</v>
      </c>
      <c r="O31" s="7">
        <v>0</v>
      </c>
      <c r="P31" s="7">
        <v>0</v>
      </c>
      <c r="Q31" s="7">
        <v>0</v>
      </c>
      <c r="R31" s="7">
        <v>0</v>
      </c>
      <c r="S31" s="7">
        <v>0</v>
      </c>
      <c r="T31" s="7">
        <v>0</v>
      </c>
      <c r="U31" s="7">
        <v>0</v>
      </c>
      <c r="V31" s="7">
        <v>0</v>
      </c>
      <c r="W31" s="7">
        <v>0</v>
      </c>
      <c r="X31" s="7">
        <v>0</v>
      </c>
      <c r="Y31" s="7">
        <v>0</v>
      </c>
      <c r="Z31" s="7">
        <v>0</v>
      </c>
      <c r="AA31" s="7">
        <v>0</v>
      </c>
      <c r="AB31" s="7">
        <v>0</v>
      </c>
      <c r="AC31" s="7">
        <v>0</v>
      </c>
      <c r="AD31" s="7">
        <v>0</v>
      </c>
      <c r="AE31" s="7">
        <v>0</v>
      </c>
      <c r="AF31" s="7">
        <v>0</v>
      </c>
      <c r="AG31" s="7">
        <v>0</v>
      </c>
      <c r="AH31" s="7">
        <v>0</v>
      </c>
      <c r="AI31" s="7">
        <v>0</v>
      </c>
      <c r="AJ31" s="7">
        <v>0</v>
      </c>
      <c r="AK31" s="7">
        <v>0</v>
      </c>
      <c r="AL31" s="7">
        <v>0</v>
      </c>
      <c r="AM31" s="7">
        <v>0</v>
      </c>
    </row>
    <row r="32" spans="1:39" x14ac:dyDescent="0.2">
      <c r="B32" s="8">
        <f t="shared" si="1"/>
        <v>29</v>
      </c>
      <c r="C32" s="7">
        <v>0</v>
      </c>
      <c r="D32" s="7">
        <v>0</v>
      </c>
      <c r="E32" s="7">
        <v>0</v>
      </c>
      <c r="F32" s="7">
        <v>87.99</v>
      </c>
      <c r="G32" s="7">
        <v>87.99</v>
      </c>
      <c r="H32" s="7">
        <v>87.99</v>
      </c>
      <c r="I32" s="7">
        <v>87.99</v>
      </c>
      <c r="J32" s="7">
        <v>87.99</v>
      </c>
      <c r="K32" s="7">
        <v>87.99</v>
      </c>
      <c r="L32" s="7">
        <v>87.99</v>
      </c>
      <c r="M32" s="7">
        <v>87.99</v>
      </c>
      <c r="N32" s="7">
        <v>87.99</v>
      </c>
      <c r="O32" s="7">
        <v>87.99</v>
      </c>
      <c r="P32" s="7">
        <v>87.99</v>
      </c>
      <c r="Q32" s="7">
        <v>87.99</v>
      </c>
      <c r="R32" s="7">
        <v>87.99</v>
      </c>
      <c r="S32" s="7">
        <v>87.99</v>
      </c>
      <c r="T32" s="7">
        <v>87.99</v>
      </c>
      <c r="U32" s="7">
        <v>87.99</v>
      </c>
      <c r="V32" s="7">
        <v>87.99</v>
      </c>
      <c r="W32" s="7">
        <v>87.99</v>
      </c>
      <c r="X32" s="7">
        <v>87.99</v>
      </c>
      <c r="Y32" s="7">
        <v>87.99</v>
      </c>
      <c r="Z32" s="7">
        <v>87.99</v>
      </c>
      <c r="AA32" s="7">
        <v>87.99</v>
      </c>
      <c r="AB32" s="7">
        <v>87.99</v>
      </c>
      <c r="AC32" s="7">
        <v>87.99</v>
      </c>
      <c r="AD32" s="7">
        <v>87.99</v>
      </c>
      <c r="AE32" s="7">
        <v>87.99</v>
      </c>
      <c r="AF32" s="7">
        <v>87.99</v>
      </c>
      <c r="AG32" s="7">
        <v>87.99</v>
      </c>
      <c r="AH32" s="7">
        <v>87.99</v>
      </c>
      <c r="AI32" s="7">
        <v>87.99</v>
      </c>
      <c r="AJ32" s="7">
        <v>87.99</v>
      </c>
      <c r="AK32" s="7">
        <v>87.99</v>
      </c>
      <c r="AL32" s="7">
        <v>87.99</v>
      </c>
      <c r="AM32" s="7">
        <v>87.99</v>
      </c>
    </row>
    <row r="33" spans="2:39" x14ac:dyDescent="0.2">
      <c r="B33" s="8">
        <f t="shared" si="1"/>
        <v>30</v>
      </c>
      <c r="C33" s="7">
        <v>0</v>
      </c>
      <c r="D33" s="7">
        <v>0</v>
      </c>
      <c r="E33" s="7">
        <v>0</v>
      </c>
      <c r="F33" s="7">
        <v>98.25</v>
      </c>
      <c r="G33" s="7">
        <v>107.25</v>
      </c>
      <c r="H33" s="7">
        <v>97.609999999999985</v>
      </c>
      <c r="I33" s="7">
        <v>128.60999999999999</v>
      </c>
      <c r="J33" s="7">
        <v>87.99</v>
      </c>
      <c r="K33" s="7">
        <v>87.99</v>
      </c>
      <c r="L33" s="7">
        <v>87.99</v>
      </c>
      <c r="M33" s="7">
        <v>87.99</v>
      </c>
      <c r="N33" s="7">
        <v>87.99</v>
      </c>
      <c r="O33" s="7">
        <v>87.99</v>
      </c>
      <c r="P33" s="7">
        <v>87.99</v>
      </c>
      <c r="Q33" s="7">
        <v>87.99</v>
      </c>
      <c r="R33" s="7">
        <v>87.99</v>
      </c>
      <c r="S33" s="7">
        <v>87.99</v>
      </c>
      <c r="T33" s="7">
        <v>87.99</v>
      </c>
      <c r="U33" s="7">
        <v>87.99</v>
      </c>
      <c r="V33" s="7">
        <v>87.99</v>
      </c>
      <c r="W33" s="7">
        <v>87.99</v>
      </c>
      <c r="X33" s="7">
        <v>87.99</v>
      </c>
      <c r="Y33" s="7">
        <v>87.99</v>
      </c>
      <c r="Z33" s="7">
        <v>87.99</v>
      </c>
      <c r="AA33" s="7">
        <v>87.99</v>
      </c>
      <c r="AB33" s="7">
        <v>87.99</v>
      </c>
      <c r="AC33" s="7">
        <v>87.99</v>
      </c>
      <c r="AD33" s="7">
        <v>87.99</v>
      </c>
      <c r="AE33" s="7">
        <v>87.99</v>
      </c>
      <c r="AF33" s="7">
        <v>87.99</v>
      </c>
      <c r="AG33" s="7">
        <v>87.99</v>
      </c>
      <c r="AH33" s="7">
        <v>87.99</v>
      </c>
      <c r="AI33" s="7">
        <v>87.99</v>
      </c>
      <c r="AJ33" s="7">
        <v>87.99</v>
      </c>
      <c r="AK33" s="7">
        <v>87.99</v>
      </c>
      <c r="AL33" s="7">
        <v>87.99</v>
      </c>
      <c r="AM33" s="7">
        <v>87.99</v>
      </c>
    </row>
    <row r="34" spans="2:39" x14ac:dyDescent="0.2">
      <c r="B34" s="8">
        <f t="shared" si="1"/>
        <v>31</v>
      </c>
      <c r="C34" s="7">
        <v>0</v>
      </c>
      <c r="D34" s="7">
        <v>0</v>
      </c>
      <c r="E34" s="7">
        <v>0</v>
      </c>
      <c r="F34" s="7">
        <v>350.2</v>
      </c>
      <c r="G34" s="7">
        <v>350.2</v>
      </c>
      <c r="H34" s="7">
        <v>350.2</v>
      </c>
      <c r="I34" s="7">
        <v>350.2</v>
      </c>
      <c r="J34" s="7">
        <v>350.2</v>
      </c>
      <c r="K34" s="7">
        <v>350.2</v>
      </c>
      <c r="L34" s="7">
        <v>350.2</v>
      </c>
      <c r="M34" s="7">
        <v>350.2</v>
      </c>
      <c r="N34" s="7">
        <v>350.2</v>
      </c>
      <c r="O34" s="7">
        <v>350.2</v>
      </c>
      <c r="P34" s="7">
        <v>350.2</v>
      </c>
      <c r="Q34" s="7">
        <v>350.2</v>
      </c>
      <c r="R34" s="7">
        <v>350.2</v>
      </c>
      <c r="S34" s="7">
        <v>350.2</v>
      </c>
      <c r="T34" s="7">
        <v>350.2</v>
      </c>
      <c r="U34" s="7">
        <v>350.2</v>
      </c>
      <c r="V34" s="7">
        <v>350.2</v>
      </c>
      <c r="W34" s="7">
        <v>350.2</v>
      </c>
      <c r="X34" s="7">
        <v>350.2</v>
      </c>
      <c r="Y34" s="7">
        <v>350.2</v>
      </c>
      <c r="Z34" s="7">
        <v>361.79</v>
      </c>
      <c r="AA34" s="7">
        <v>361.79</v>
      </c>
      <c r="AB34" s="7">
        <v>361.79</v>
      </c>
      <c r="AC34" s="7">
        <v>361.79</v>
      </c>
      <c r="AD34" s="7">
        <v>361.79</v>
      </c>
      <c r="AE34" s="7">
        <v>361.79</v>
      </c>
      <c r="AF34" s="7">
        <v>361.79</v>
      </c>
      <c r="AG34" s="7">
        <v>361.79</v>
      </c>
      <c r="AH34" s="7">
        <v>361.79</v>
      </c>
      <c r="AI34" s="7">
        <v>361.79</v>
      </c>
      <c r="AJ34" s="7">
        <v>361.79</v>
      </c>
      <c r="AK34" s="7">
        <v>361.79</v>
      </c>
      <c r="AL34" s="7">
        <v>361.79</v>
      </c>
      <c r="AM34" s="7">
        <v>361.79</v>
      </c>
    </row>
    <row r="35" spans="2:39" x14ac:dyDescent="0.2">
      <c r="B35" s="8">
        <f t="shared" si="1"/>
        <v>32</v>
      </c>
      <c r="C35" s="7">
        <v>0</v>
      </c>
      <c r="D35" s="7">
        <v>0</v>
      </c>
      <c r="E35" s="7">
        <v>0</v>
      </c>
      <c r="F35" s="7">
        <v>296.64999999999998</v>
      </c>
      <c r="G35" s="7">
        <v>296.64999999999998</v>
      </c>
      <c r="H35" s="7">
        <v>296.64999999999998</v>
      </c>
      <c r="I35" s="7">
        <v>296.64999999999998</v>
      </c>
      <c r="J35" s="7">
        <v>296.64999999999998</v>
      </c>
      <c r="K35" s="7">
        <v>296.64999999999998</v>
      </c>
      <c r="L35" s="7">
        <v>296.64999999999998</v>
      </c>
      <c r="M35" s="7">
        <v>296.64999999999998</v>
      </c>
      <c r="N35" s="7">
        <v>296.64999999999998</v>
      </c>
      <c r="O35" s="7">
        <v>296.64999999999998</v>
      </c>
      <c r="P35" s="7">
        <v>296.64999999999998</v>
      </c>
      <c r="Q35" s="7">
        <v>296.64999999999998</v>
      </c>
      <c r="R35" s="7">
        <v>296.64999999999998</v>
      </c>
      <c r="S35" s="7">
        <v>296.64999999999998</v>
      </c>
      <c r="T35" s="7">
        <v>296.64999999999998</v>
      </c>
      <c r="U35" s="7">
        <v>296.64999999999998</v>
      </c>
      <c r="V35" s="7">
        <v>296.64999999999998</v>
      </c>
      <c r="W35" s="7">
        <v>296.64999999999998</v>
      </c>
      <c r="X35" s="7">
        <v>296.64999999999998</v>
      </c>
      <c r="Y35" s="7">
        <v>296.64999999999998</v>
      </c>
      <c r="Z35" s="7">
        <v>307.04000000000002</v>
      </c>
      <c r="AA35" s="7">
        <v>307.04000000000002</v>
      </c>
      <c r="AB35" s="7">
        <v>307.04000000000002</v>
      </c>
      <c r="AC35" s="7">
        <v>307.04000000000002</v>
      </c>
      <c r="AD35" s="7">
        <v>307.04000000000002</v>
      </c>
      <c r="AE35" s="7">
        <v>307.04000000000002</v>
      </c>
      <c r="AF35" s="7">
        <v>307.04000000000002</v>
      </c>
      <c r="AG35" s="7">
        <v>307.04000000000002</v>
      </c>
      <c r="AH35" s="7">
        <v>307.04000000000002</v>
      </c>
      <c r="AI35" s="7">
        <v>307.04000000000002</v>
      </c>
      <c r="AJ35" s="7">
        <v>307.04000000000002</v>
      </c>
      <c r="AK35" s="7">
        <v>307.04000000000002</v>
      </c>
      <c r="AL35" s="7">
        <v>307.04000000000002</v>
      </c>
      <c r="AM35" s="7">
        <v>307.04000000000002</v>
      </c>
    </row>
    <row r="36" spans="2:39" x14ac:dyDescent="0.2">
      <c r="B36" s="8">
        <f t="shared" si="1"/>
        <v>33</v>
      </c>
      <c r="C36" s="7">
        <v>99.33</v>
      </c>
      <c r="D36" s="7">
        <v>99.33</v>
      </c>
      <c r="E36" s="7">
        <v>99</v>
      </c>
      <c r="F36" s="7">
        <v>99.460000000000008</v>
      </c>
      <c r="G36" s="7">
        <v>99.15</v>
      </c>
      <c r="H36" s="7">
        <v>100.8</v>
      </c>
      <c r="I36" s="7">
        <v>99.74</v>
      </c>
      <c r="J36" s="7">
        <v>99</v>
      </c>
      <c r="K36" s="7">
        <v>99</v>
      </c>
      <c r="L36" s="7">
        <v>99</v>
      </c>
      <c r="M36" s="7">
        <v>99</v>
      </c>
      <c r="N36" s="7">
        <v>99</v>
      </c>
      <c r="O36" s="7">
        <v>99</v>
      </c>
      <c r="P36" s="7">
        <v>99</v>
      </c>
      <c r="Q36" s="7">
        <v>99</v>
      </c>
      <c r="R36" s="7">
        <v>99</v>
      </c>
      <c r="S36" s="7">
        <v>99</v>
      </c>
      <c r="T36" s="7">
        <v>99</v>
      </c>
      <c r="U36" s="7">
        <v>99</v>
      </c>
      <c r="V36" s="7">
        <v>99</v>
      </c>
      <c r="W36" s="7">
        <v>99</v>
      </c>
      <c r="X36" s="7">
        <v>99</v>
      </c>
      <c r="Y36" s="7">
        <v>99</v>
      </c>
      <c r="Z36" s="7">
        <v>99</v>
      </c>
      <c r="AA36" s="7">
        <v>99</v>
      </c>
      <c r="AB36" s="7">
        <v>28.71</v>
      </c>
      <c r="AC36" s="7">
        <v>0</v>
      </c>
      <c r="AD36" s="7">
        <v>0</v>
      </c>
      <c r="AE36" s="7">
        <v>0</v>
      </c>
      <c r="AF36" s="7">
        <v>0</v>
      </c>
      <c r="AG36" s="7">
        <v>0</v>
      </c>
      <c r="AH36" s="7">
        <v>0</v>
      </c>
      <c r="AI36" s="7">
        <v>0</v>
      </c>
      <c r="AJ36" s="7">
        <v>0</v>
      </c>
      <c r="AK36" s="7">
        <v>0</v>
      </c>
      <c r="AL36" s="7">
        <v>0</v>
      </c>
      <c r="AM36" s="7">
        <v>0</v>
      </c>
    </row>
    <row r="37" spans="2:39" x14ac:dyDescent="0.2">
      <c r="B37" s="8">
        <f t="shared" si="1"/>
        <v>34</v>
      </c>
      <c r="C37" s="7">
        <v>239</v>
      </c>
      <c r="D37" s="7">
        <v>239</v>
      </c>
      <c r="E37" s="7">
        <v>239</v>
      </c>
      <c r="F37" s="7">
        <v>239</v>
      </c>
      <c r="G37" s="7">
        <v>239</v>
      </c>
      <c r="H37" s="7">
        <v>239</v>
      </c>
      <c r="I37" s="7">
        <v>239</v>
      </c>
      <c r="J37" s="7">
        <v>239</v>
      </c>
      <c r="K37" s="7">
        <v>239</v>
      </c>
      <c r="L37" s="7">
        <v>239</v>
      </c>
      <c r="M37" s="7">
        <v>239</v>
      </c>
      <c r="N37" s="7">
        <v>239</v>
      </c>
      <c r="O37" s="7">
        <v>239</v>
      </c>
      <c r="P37" s="7">
        <v>239</v>
      </c>
      <c r="Q37" s="7">
        <v>239</v>
      </c>
      <c r="R37" s="7">
        <v>239</v>
      </c>
      <c r="S37" s="7">
        <v>239</v>
      </c>
      <c r="T37" s="7">
        <v>239</v>
      </c>
      <c r="U37" s="7">
        <v>239</v>
      </c>
      <c r="V37" s="7">
        <v>239</v>
      </c>
      <c r="W37" s="7">
        <v>239</v>
      </c>
      <c r="X37" s="7">
        <v>239</v>
      </c>
      <c r="Y37" s="7">
        <v>239</v>
      </c>
      <c r="Z37" s="7">
        <v>247.37</v>
      </c>
      <c r="AA37" s="7">
        <v>247.37</v>
      </c>
      <c r="AB37" s="7">
        <v>247.37</v>
      </c>
      <c r="AC37" s="7">
        <v>247.37</v>
      </c>
      <c r="AD37" s="7">
        <v>247.37</v>
      </c>
      <c r="AE37" s="7">
        <v>247.37</v>
      </c>
      <c r="AF37" s="7">
        <v>247.37</v>
      </c>
      <c r="AG37" s="7">
        <v>247.37</v>
      </c>
      <c r="AH37" s="7">
        <v>247.37</v>
      </c>
      <c r="AI37" s="7">
        <v>247.37</v>
      </c>
      <c r="AJ37" s="7">
        <v>247.37</v>
      </c>
      <c r="AK37" s="7">
        <v>247.37</v>
      </c>
      <c r="AL37" s="7">
        <v>247.37</v>
      </c>
      <c r="AM37" s="7">
        <v>247.37</v>
      </c>
    </row>
    <row r="38" spans="2:39" x14ac:dyDescent="0.2">
      <c r="B38" s="8">
        <f t="shared" si="1"/>
        <v>35</v>
      </c>
      <c r="C38" s="7">
        <v>269</v>
      </c>
      <c r="D38" s="7">
        <v>269</v>
      </c>
      <c r="E38" s="7">
        <v>269</v>
      </c>
      <c r="F38" s="7">
        <v>269</v>
      </c>
      <c r="G38" s="7">
        <v>269</v>
      </c>
      <c r="H38" s="7">
        <v>269</v>
      </c>
      <c r="I38" s="7">
        <v>269</v>
      </c>
      <c r="J38" s="7">
        <v>261.73</v>
      </c>
      <c r="K38" s="7">
        <v>261.73</v>
      </c>
      <c r="L38" s="7">
        <v>269.10000000000002</v>
      </c>
      <c r="M38" s="7">
        <v>269.10000000000002</v>
      </c>
      <c r="N38" s="7">
        <v>269.10000000000002</v>
      </c>
      <c r="O38" s="7">
        <v>269.10000000000002</v>
      </c>
      <c r="P38" s="7">
        <v>269.10000000000002</v>
      </c>
      <c r="Q38" s="7">
        <v>269.10000000000002</v>
      </c>
      <c r="R38" s="7">
        <v>269.10000000000002</v>
      </c>
      <c r="S38" s="7">
        <v>269.10000000000002</v>
      </c>
      <c r="T38" s="7">
        <v>269.10000000000002</v>
      </c>
      <c r="U38" s="7">
        <v>269.10000000000002</v>
      </c>
      <c r="V38" s="7">
        <v>254.15</v>
      </c>
      <c r="W38" s="7">
        <v>254.15</v>
      </c>
      <c r="X38" s="7">
        <v>254.15</v>
      </c>
      <c r="Y38" s="7">
        <v>254.15</v>
      </c>
      <c r="Z38" s="7">
        <v>254.15</v>
      </c>
      <c r="AA38" s="7">
        <v>263.05</v>
      </c>
      <c r="AB38" s="7">
        <v>287.81</v>
      </c>
      <c r="AC38" s="7">
        <v>287.81</v>
      </c>
      <c r="AD38" s="7">
        <v>296.67</v>
      </c>
      <c r="AE38" s="7">
        <v>287.10000000000002</v>
      </c>
      <c r="AF38" s="7">
        <v>287.10000000000002</v>
      </c>
      <c r="AG38" s="7">
        <v>287.10000000000002</v>
      </c>
      <c r="AH38" s="7">
        <v>287.10000000000002</v>
      </c>
      <c r="AI38" s="7">
        <v>287.10000000000002</v>
      </c>
      <c r="AJ38" s="7">
        <v>287.10000000000002</v>
      </c>
      <c r="AK38" s="7">
        <v>287.10000000000002</v>
      </c>
      <c r="AL38" s="7">
        <v>287.10000000000002</v>
      </c>
      <c r="AM38" s="7">
        <v>287.10000000000002</v>
      </c>
    </row>
    <row r="39" spans="2:39" x14ac:dyDescent="0.2">
      <c r="B39" s="8">
        <f t="shared" si="1"/>
        <v>36</v>
      </c>
      <c r="C39" s="7">
        <v>219</v>
      </c>
      <c r="D39" s="7">
        <v>219</v>
      </c>
      <c r="E39" s="7">
        <v>219</v>
      </c>
      <c r="F39" s="7">
        <v>219</v>
      </c>
      <c r="G39" s="7">
        <v>219</v>
      </c>
      <c r="H39" s="7">
        <v>219</v>
      </c>
      <c r="I39" s="7">
        <v>219</v>
      </c>
      <c r="J39" s="7">
        <v>219</v>
      </c>
      <c r="K39" s="7">
        <v>219</v>
      </c>
      <c r="L39" s="7">
        <v>0</v>
      </c>
      <c r="M39" s="7">
        <v>0</v>
      </c>
      <c r="N39" s="7">
        <v>0</v>
      </c>
      <c r="O39" s="7">
        <v>0</v>
      </c>
      <c r="P39" s="7">
        <v>0</v>
      </c>
      <c r="Q39" s="7">
        <v>0</v>
      </c>
      <c r="R39" s="7">
        <v>0</v>
      </c>
      <c r="S39" s="7">
        <v>0</v>
      </c>
      <c r="T39" s="7">
        <v>0</v>
      </c>
      <c r="U39" s="7">
        <v>0</v>
      </c>
      <c r="V39" s="7">
        <v>0</v>
      </c>
      <c r="W39" s="7">
        <v>0</v>
      </c>
      <c r="X39" s="7">
        <v>0</v>
      </c>
      <c r="Y39" s="7">
        <v>0</v>
      </c>
      <c r="Z39" s="7">
        <v>0</v>
      </c>
      <c r="AA39" s="7">
        <v>0</v>
      </c>
      <c r="AB39" s="7">
        <v>0</v>
      </c>
      <c r="AC39" s="7">
        <v>0</v>
      </c>
      <c r="AD39" s="7">
        <v>0</v>
      </c>
      <c r="AE39" s="7">
        <v>0</v>
      </c>
      <c r="AF39" s="7">
        <v>0</v>
      </c>
      <c r="AG39" s="7">
        <v>0</v>
      </c>
      <c r="AH39" s="7">
        <v>0</v>
      </c>
      <c r="AI39" s="7">
        <v>0</v>
      </c>
      <c r="AJ39" s="7">
        <v>0</v>
      </c>
      <c r="AK39" s="7">
        <v>0</v>
      </c>
      <c r="AL39" s="7">
        <v>0</v>
      </c>
      <c r="AM39" s="7">
        <v>0</v>
      </c>
    </row>
    <row r="40" spans="2:39" x14ac:dyDescent="0.2">
      <c r="B40" s="8">
        <f t="shared" si="1"/>
        <v>37</v>
      </c>
      <c r="C40" s="7">
        <v>245.65</v>
      </c>
      <c r="D40" s="7">
        <v>245.65</v>
      </c>
      <c r="E40" s="7">
        <v>245.65</v>
      </c>
      <c r="F40" s="7">
        <v>245.65</v>
      </c>
      <c r="G40" s="7">
        <v>245.65</v>
      </c>
      <c r="H40" s="7">
        <v>245.65</v>
      </c>
      <c r="I40" s="7">
        <v>245.65</v>
      </c>
      <c r="J40" s="7">
        <v>245.65</v>
      </c>
      <c r="K40" s="7">
        <v>245.65</v>
      </c>
      <c r="L40" s="7">
        <v>245.65</v>
      </c>
      <c r="M40" s="7">
        <v>245.65</v>
      </c>
      <c r="N40" s="7">
        <v>245.65</v>
      </c>
      <c r="O40" s="7">
        <v>245.65</v>
      </c>
      <c r="P40" s="7">
        <v>245.65</v>
      </c>
      <c r="Q40" s="7">
        <v>245.65</v>
      </c>
      <c r="R40" s="7">
        <v>245.65</v>
      </c>
      <c r="S40" s="7">
        <v>245.65</v>
      </c>
      <c r="T40" s="7">
        <v>245.65</v>
      </c>
      <c r="U40" s="7">
        <v>245.65</v>
      </c>
      <c r="V40" s="7">
        <v>245.65</v>
      </c>
      <c r="W40" s="7">
        <v>245.65</v>
      </c>
      <c r="X40" s="7">
        <v>245.65</v>
      </c>
      <c r="Y40" s="7">
        <v>245.65</v>
      </c>
      <c r="Z40" s="7">
        <v>245.65</v>
      </c>
      <c r="AA40" s="7">
        <v>254.25</v>
      </c>
      <c r="AB40" s="7">
        <v>254.25</v>
      </c>
      <c r="AC40" s="7">
        <v>254.25</v>
      </c>
      <c r="AD40" s="7">
        <v>106.25</v>
      </c>
      <c r="AE40" s="7">
        <v>106.25</v>
      </c>
      <c r="AF40" s="7">
        <v>106.25</v>
      </c>
      <c r="AG40" s="7">
        <v>106.25</v>
      </c>
      <c r="AH40" s="7">
        <v>106.25</v>
      </c>
      <c r="AI40" s="7">
        <v>106.25</v>
      </c>
      <c r="AJ40" s="7">
        <v>106.25</v>
      </c>
      <c r="AK40" s="7">
        <v>106.25</v>
      </c>
      <c r="AL40" s="7">
        <v>106.25</v>
      </c>
      <c r="AM40" s="7">
        <v>106.25</v>
      </c>
    </row>
    <row r="41" spans="2:39" x14ac:dyDescent="0.2">
      <c r="B41" s="8">
        <f t="shared" si="1"/>
        <v>38</v>
      </c>
      <c r="C41" s="7">
        <v>0</v>
      </c>
      <c r="D41" s="7">
        <v>0</v>
      </c>
      <c r="E41" s="7">
        <v>0</v>
      </c>
      <c r="F41" s="7">
        <v>0</v>
      </c>
      <c r="G41" s="7">
        <v>0</v>
      </c>
      <c r="H41" s="7">
        <v>0</v>
      </c>
      <c r="I41" s="7">
        <v>0</v>
      </c>
      <c r="J41" s="7">
        <v>0</v>
      </c>
      <c r="K41" s="7">
        <v>0</v>
      </c>
      <c r="L41" s="7">
        <v>0</v>
      </c>
      <c r="M41" s="7">
        <v>0</v>
      </c>
      <c r="N41" s="7">
        <v>0</v>
      </c>
      <c r="O41" s="7">
        <v>0</v>
      </c>
      <c r="P41" s="7">
        <v>0</v>
      </c>
      <c r="Q41" s="7">
        <v>0</v>
      </c>
      <c r="R41" s="7">
        <v>0</v>
      </c>
      <c r="S41" s="7">
        <v>0</v>
      </c>
      <c r="T41" s="7">
        <v>0</v>
      </c>
      <c r="U41" s="7">
        <v>0</v>
      </c>
      <c r="V41" s="7">
        <v>219</v>
      </c>
      <c r="W41" s="7">
        <v>219</v>
      </c>
      <c r="X41" s="7">
        <v>219</v>
      </c>
      <c r="Y41" s="7">
        <v>219</v>
      </c>
      <c r="Z41" s="7">
        <v>219</v>
      </c>
      <c r="AA41" s="7">
        <v>219</v>
      </c>
      <c r="AB41" s="7">
        <v>219</v>
      </c>
      <c r="AC41" s="7">
        <v>219</v>
      </c>
      <c r="AD41" s="7">
        <v>226.67</v>
      </c>
      <c r="AE41" s="7">
        <v>226.67</v>
      </c>
      <c r="AF41" s="7">
        <v>226.67</v>
      </c>
      <c r="AG41" s="7">
        <v>226.67</v>
      </c>
      <c r="AH41" s="7">
        <v>226.67</v>
      </c>
      <c r="AI41" s="7">
        <v>226.67</v>
      </c>
      <c r="AJ41" s="7">
        <v>226.67</v>
      </c>
      <c r="AK41" s="7">
        <v>226.67</v>
      </c>
      <c r="AL41" s="7">
        <v>226.67</v>
      </c>
      <c r="AM41" s="7">
        <v>226.67</v>
      </c>
    </row>
    <row r="42" spans="2:39" x14ac:dyDescent="0.2">
      <c r="B42" s="8">
        <f t="shared" si="1"/>
        <v>39</v>
      </c>
      <c r="C42" s="7">
        <v>0</v>
      </c>
      <c r="D42" s="7">
        <v>0</v>
      </c>
      <c r="E42" s="7">
        <v>0</v>
      </c>
      <c r="F42" s="7">
        <v>0</v>
      </c>
      <c r="G42" s="7">
        <v>0</v>
      </c>
      <c r="H42" s="7">
        <v>0</v>
      </c>
      <c r="I42" s="7">
        <v>0</v>
      </c>
      <c r="J42" s="7">
        <v>0</v>
      </c>
      <c r="K42" s="7">
        <v>0</v>
      </c>
      <c r="L42" s="7">
        <v>0</v>
      </c>
      <c r="M42" s="7">
        <v>0</v>
      </c>
      <c r="N42" s="7">
        <v>0</v>
      </c>
      <c r="O42" s="7">
        <v>0</v>
      </c>
      <c r="P42" s="7">
        <v>0</v>
      </c>
      <c r="Q42" s="7">
        <v>0</v>
      </c>
      <c r="R42" s="7">
        <v>0</v>
      </c>
      <c r="S42" s="7">
        <v>0</v>
      </c>
      <c r="T42" s="7">
        <v>0</v>
      </c>
      <c r="U42" s="7">
        <v>0</v>
      </c>
      <c r="V42" s="7">
        <v>296.10000000000002</v>
      </c>
      <c r="W42" s="7">
        <v>296.10000000000002</v>
      </c>
      <c r="X42" s="7">
        <v>296.10000000000002</v>
      </c>
      <c r="Y42" s="7">
        <v>296.10000000000002</v>
      </c>
      <c r="Z42" s="7">
        <v>296.10000000000002</v>
      </c>
      <c r="AA42" s="7">
        <v>296.10000000000002</v>
      </c>
      <c r="AB42" s="7">
        <v>296.10000000000002</v>
      </c>
      <c r="AC42" s="7">
        <v>296.10000000000002</v>
      </c>
      <c r="AD42" s="7">
        <v>306.45999999999998</v>
      </c>
      <c r="AE42" s="7">
        <v>306.45999999999998</v>
      </c>
      <c r="AF42" s="7">
        <v>306.45999999999998</v>
      </c>
      <c r="AG42" s="7">
        <v>306.45999999999998</v>
      </c>
      <c r="AH42" s="7">
        <v>306.45999999999998</v>
      </c>
      <c r="AI42" s="7">
        <v>306.45999999999998</v>
      </c>
      <c r="AJ42" s="7">
        <v>306.45999999999998</v>
      </c>
      <c r="AK42" s="7">
        <v>306.45999999999998</v>
      </c>
      <c r="AL42" s="7">
        <v>306.45999999999998</v>
      </c>
      <c r="AM42" s="7">
        <v>306.45999999999998</v>
      </c>
    </row>
    <row r="43" spans="2:39" x14ac:dyDescent="0.2">
      <c r="B43" s="8">
        <f t="shared" si="1"/>
        <v>40</v>
      </c>
      <c r="C43" s="7">
        <v>0</v>
      </c>
      <c r="D43" s="7">
        <v>0</v>
      </c>
      <c r="E43" s="7">
        <v>0</v>
      </c>
      <c r="F43" s="7">
        <v>0</v>
      </c>
      <c r="G43" s="7">
        <v>0</v>
      </c>
      <c r="H43" s="7">
        <v>0</v>
      </c>
      <c r="I43" s="7">
        <v>0</v>
      </c>
      <c r="J43" s="7">
        <v>0</v>
      </c>
      <c r="K43" s="7">
        <v>0</v>
      </c>
      <c r="L43" s="7">
        <v>0</v>
      </c>
      <c r="M43" s="7">
        <v>0</v>
      </c>
      <c r="N43" s="7">
        <v>0</v>
      </c>
      <c r="O43" s="7">
        <v>0</v>
      </c>
      <c r="P43" s="7">
        <v>0</v>
      </c>
      <c r="Q43" s="7">
        <v>0</v>
      </c>
      <c r="R43" s="7">
        <v>0</v>
      </c>
      <c r="S43" s="7">
        <v>0</v>
      </c>
      <c r="T43" s="7">
        <v>0</v>
      </c>
      <c r="U43" s="7">
        <v>0</v>
      </c>
      <c r="V43" s="7">
        <v>239</v>
      </c>
      <c r="W43" s="7">
        <v>239</v>
      </c>
      <c r="X43" s="7">
        <v>239</v>
      </c>
      <c r="Y43" s="7">
        <v>239</v>
      </c>
      <c r="Z43" s="7">
        <v>239</v>
      </c>
      <c r="AA43" s="7">
        <v>239</v>
      </c>
      <c r="AB43" s="7">
        <v>239</v>
      </c>
      <c r="AC43" s="7">
        <v>239</v>
      </c>
      <c r="AD43" s="7">
        <v>247.37</v>
      </c>
      <c r="AE43" s="7">
        <v>247.37</v>
      </c>
      <c r="AF43" s="7">
        <v>247.37</v>
      </c>
      <c r="AG43" s="7">
        <v>247.37</v>
      </c>
      <c r="AH43" s="7">
        <v>247.37</v>
      </c>
      <c r="AI43" s="7">
        <v>247.37</v>
      </c>
      <c r="AJ43" s="7">
        <v>247.37</v>
      </c>
      <c r="AK43" s="7">
        <v>247.37</v>
      </c>
      <c r="AL43" s="7">
        <v>247.37</v>
      </c>
      <c r="AM43" s="7">
        <v>247.37</v>
      </c>
    </row>
    <row r="44" spans="2:39" x14ac:dyDescent="0.2">
      <c r="B44" s="8">
        <f t="shared" si="1"/>
        <v>41</v>
      </c>
      <c r="C44" s="7">
        <v>0</v>
      </c>
      <c r="D44" s="7">
        <v>0</v>
      </c>
      <c r="E44" s="7">
        <v>0</v>
      </c>
      <c r="F44" s="7">
        <v>0</v>
      </c>
      <c r="G44" s="7">
        <v>0</v>
      </c>
      <c r="H44" s="7">
        <v>0</v>
      </c>
      <c r="I44" s="7">
        <v>0</v>
      </c>
      <c r="J44" s="7">
        <v>0</v>
      </c>
      <c r="K44" s="7">
        <v>0</v>
      </c>
      <c r="L44" s="7">
        <v>0</v>
      </c>
      <c r="M44" s="7">
        <v>0</v>
      </c>
      <c r="N44" s="7">
        <v>0</v>
      </c>
      <c r="O44" s="7">
        <v>0</v>
      </c>
      <c r="P44" s="7">
        <v>0</v>
      </c>
      <c r="Q44" s="7">
        <v>0</v>
      </c>
      <c r="R44" s="7">
        <v>0</v>
      </c>
      <c r="S44" s="7">
        <v>0</v>
      </c>
      <c r="T44" s="7">
        <v>0</v>
      </c>
      <c r="U44" s="7">
        <v>0</v>
      </c>
      <c r="V44" s="7">
        <v>229</v>
      </c>
      <c r="W44" s="7">
        <v>229</v>
      </c>
      <c r="X44" s="7">
        <v>229</v>
      </c>
      <c r="Y44" s="7">
        <v>229</v>
      </c>
      <c r="Z44" s="7">
        <v>229</v>
      </c>
      <c r="AA44" s="7">
        <v>229</v>
      </c>
      <c r="AB44" s="7">
        <v>229</v>
      </c>
      <c r="AC44" s="7">
        <v>229</v>
      </c>
      <c r="AD44" s="7">
        <v>237.02</v>
      </c>
      <c r="AE44" s="7">
        <v>237.02</v>
      </c>
      <c r="AF44" s="7">
        <v>237.02</v>
      </c>
      <c r="AG44" s="7">
        <v>237.02</v>
      </c>
      <c r="AH44" s="7">
        <v>237.02</v>
      </c>
      <c r="AI44" s="7">
        <v>237.02</v>
      </c>
      <c r="AJ44" s="7">
        <v>237.02</v>
      </c>
      <c r="AK44" s="7">
        <v>237.02</v>
      </c>
      <c r="AL44" s="7">
        <v>237.02</v>
      </c>
      <c r="AM44" s="7">
        <v>237.02</v>
      </c>
    </row>
    <row r="45" spans="2:39" x14ac:dyDescent="0.2">
      <c r="B45" s="8">
        <f t="shared" si="1"/>
        <v>42</v>
      </c>
      <c r="C45" s="7">
        <v>0</v>
      </c>
      <c r="D45" s="7">
        <v>0</v>
      </c>
      <c r="E45" s="7">
        <v>0</v>
      </c>
      <c r="F45" s="7">
        <v>0</v>
      </c>
      <c r="G45" s="7">
        <v>0</v>
      </c>
      <c r="H45" s="7">
        <v>0</v>
      </c>
      <c r="I45" s="7">
        <v>0</v>
      </c>
      <c r="J45" s="7">
        <v>0</v>
      </c>
      <c r="K45" s="7">
        <v>0</v>
      </c>
      <c r="L45" s="7">
        <v>0</v>
      </c>
      <c r="M45" s="7">
        <v>0</v>
      </c>
      <c r="N45" s="7">
        <v>0</v>
      </c>
      <c r="O45" s="7">
        <v>0</v>
      </c>
      <c r="P45" s="7">
        <v>0</v>
      </c>
      <c r="Q45" s="7">
        <v>0</v>
      </c>
      <c r="R45" s="7">
        <v>0</v>
      </c>
      <c r="S45" s="7">
        <v>0</v>
      </c>
      <c r="T45" s="7">
        <v>0</v>
      </c>
      <c r="U45" s="7">
        <v>0</v>
      </c>
      <c r="V45" s="7">
        <v>69</v>
      </c>
      <c r="W45" s="7">
        <v>69</v>
      </c>
      <c r="X45" s="7">
        <v>69</v>
      </c>
      <c r="Y45" s="7">
        <v>69</v>
      </c>
      <c r="Z45" s="7">
        <v>69</v>
      </c>
      <c r="AA45" s="7">
        <v>69</v>
      </c>
      <c r="AB45" s="7">
        <v>69</v>
      </c>
      <c r="AC45" s="7">
        <v>69</v>
      </c>
      <c r="AD45" s="7">
        <v>69</v>
      </c>
      <c r="AE45" s="7">
        <v>69</v>
      </c>
      <c r="AF45" s="7">
        <v>69</v>
      </c>
      <c r="AG45" s="7">
        <v>69</v>
      </c>
      <c r="AH45" s="7">
        <v>69</v>
      </c>
      <c r="AI45" s="7">
        <v>69</v>
      </c>
      <c r="AJ45" s="7">
        <v>69</v>
      </c>
      <c r="AK45" s="7">
        <v>69</v>
      </c>
      <c r="AL45" s="7">
        <v>69</v>
      </c>
      <c r="AM45" s="7">
        <v>69</v>
      </c>
    </row>
    <row r="46" spans="2:39" x14ac:dyDescent="0.2">
      <c r="B46" s="8">
        <f t="shared" si="1"/>
        <v>43</v>
      </c>
      <c r="C46" s="7">
        <v>69</v>
      </c>
      <c r="D46" s="7">
        <v>69</v>
      </c>
      <c r="E46" s="7">
        <v>69</v>
      </c>
      <c r="F46" s="7">
        <v>69</v>
      </c>
      <c r="G46" s="7">
        <v>69</v>
      </c>
      <c r="H46" s="7">
        <v>69</v>
      </c>
      <c r="I46" s="7">
        <v>69</v>
      </c>
      <c r="J46" s="7">
        <v>69</v>
      </c>
      <c r="K46" s="7">
        <v>69</v>
      </c>
      <c r="L46" s="7">
        <v>69</v>
      </c>
      <c r="M46" s="7">
        <v>69</v>
      </c>
      <c r="N46" s="7">
        <v>69</v>
      </c>
      <c r="O46" s="7">
        <v>69</v>
      </c>
      <c r="P46" s="7">
        <v>69</v>
      </c>
      <c r="Q46" s="7">
        <v>69</v>
      </c>
      <c r="R46" s="7">
        <v>69</v>
      </c>
      <c r="S46" s="7">
        <v>69</v>
      </c>
      <c r="T46" s="7">
        <v>69</v>
      </c>
      <c r="U46" s="7">
        <v>69</v>
      </c>
      <c r="V46" s="7">
        <v>69</v>
      </c>
      <c r="W46" s="7">
        <v>69</v>
      </c>
      <c r="X46" s="7">
        <v>69</v>
      </c>
      <c r="Y46" s="7">
        <v>69</v>
      </c>
      <c r="Z46" s="7">
        <v>69</v>
      </c>
      <c r="AA46" s="7">
        <v>69</v>
      </c>
      <c r="AB46" s="7">
        <v>69</v>
      </c>
      <c r="AC46" s="7">
        <v>69</v>
      </c>
      <c r="AD46" s="7">
        <v>69</v>
      </c>
      <c r="AE46" s="7">
        <v>69</v>
      </c>
      <c r="AF46" s="7">
        <v>69</v>
      </c>
      <c r="AG46" s="7">
        <v>69</v>
      </c>
      <c r="AH46" s="7">
        <v>69</v>
      </c>
      <c r="AI46" s="7">
        <v>69</v>
      </c>
      <c r="AJ46" s="7">
        <v>69</v>
      </c>
      <c r="AK46" s="7">
        <v>69</v>
      </c>
      <c r="AL46" s="7">
        <v>69</v>
      </c>
      <c r="AM46" s="7">
        <v>69</v>
      </c>
    </row>
    <row r="47" spans="2:39" x14ac:dyDescent="0.2">
      <c r="B47" s="8">
        <f t="shared" si="1"/>
        <v>44</v>
      </c>
      <c r="C47" s="7">
        <v>69</v>
      </c>
      <c r="D47" s="7">
        <v>69</v>
      </c>
      <c r="E47" s="7">
        <v>69</v>
      </c>
      <c r="F47" s="7">
        <v>69</v>
      </c>
      <c r="G47" s="7">
        <v>69</v>
      </c>
      <c r="H47" s="7">
        <v>69</v>
      </c>
      <c r="I47" s="7">
        <v>69</v>
      </c>
      <c r="J47" s="7">
        <v>69</v>
      </c>
      <c r="K47" s="7">
        <v>69</v>
      </c>
      <c r="L47" s="7">
        <v>69</v>
      </c>
      <c r="M47" s="7">
        <v>69</v>
      </c>
      <c r="N47" s="7">
        <v>69</v>
      </c>
      <c r="O47" s="7">
        <v>69</v>
      </c>
      <c r="P47" s="7">
        <v>69</v>
      </c>
      <c r="Q47" s="7">
        <v>69</v>
      </c>
      <c r="R47" s="7">
        <v>69</v>
      </c>
      <c r="S47" s="7">
        <v>69</v>
      </c>
      <c r="T47" s="7">
        <v>69</v>
      </c>
      <c r="U47" s="7">
        <v>69</v>
      </c>
      <c r="V47" s="7">
        <v>69</v>
      </c>
      <c r="W47" s="7">
        <v>69</v>
      </c>
      <c r="X47" s="7">
        <v>69</v>
      </c>
      <c r="Y47" s="7">
        <v>69</v>
      </c>
      <c r="Z47" s="7">
        <v>69</v>
      </c>
      <c r="AA47" s="7">
        <v>69</v>
      </c>
      <c r="AB47" s="7">
        <v>69</v>
      </c>
      <c r="AC47" s="7">
        <v>69</v>
      </c>
      <c r="AD47" s="7">
        <v>69</v>
      </c>
      <c r="AE47" s="7">
        <v>69</v>
      </c>
      <c r="AF47" s="7">
        <v>69</v>
      </c>
      <c r="AG47" s="7">
        <v>69</v>
      </c>
      <c r="AH47" s="7">
        <v>69</v>
      </c>
      <c r="AI47" s="7">
        <v>69</v>
      </c>
      <c r="AJ47" s="7">
        <v>69</v>
      </c>
      <c r="AK47" s="7">
        <v>69</v>
      </c>
      <c r="AL47" s="7">
        <v>69</v>
      </c>
      <c r="AM47" s="7">
        <v>69</v>
      </c>
    </row>
    <row r="48" spans="2:39" x14ac:dyDescent="0.2">
      <c r="B48" s="8">
        <f t="shared" si="1"/>
        <v>45</v>
      </c>
      <c r="C48" s="7">
        <v>333.1</v>
      </c>
      <c r="D48" s="7">
        <v>333.1</v>
      </c>
      <c r="E48" s="7">
        <v>333.1</v>
      </c>
      <c r="F48" s="7">
        <v>333.1</v>
      </c>
      <c r="G48" s="7">
        <v>333.1</v>
      </c>
      <c r="H48" s="7">
        <v>333.1</v>
      </c>
      <c r="I48" s="7">
        <v>333.1</v>
      </c>
      <c r="J48" s="7">
        <v>333.1</v>
      </c>
      <c r="K48" s="7">
        <v>333.1</v>
      </c>
      <c r="L48" s="7">
        <v>333.1</v>
      </c>
      <c r="M48" s="7">
        <v>333.1</v>
      </c>
      <c r="N48" s="7">
        <v>333.1</v>
      </c>
      <c r="O48" s="7">
        <v>333.1</v>
      </c>
      <c r="P48" s="7">
        <v>333.1</v>
      </c>
      <c r="Q48" s="7">
        <v>333.1</v>
      </c>
      <c r="R48" s="7">
        <v>333.1</v>
      </c>
      <c r="S48" s="7">
        <v>333.1</v>
      </c>
      <c r="T48" s="7">
        <v>333.1</v>
      </c>
      <c r="U48" s="7">
        <v>333.1</v>
      </c>
      <c r="V48" s="7">
        <v>333.1</v>
      </c>
      <c r="W48" s="7">
        <v>333.1</v>
      </c>
      <c r="X48" s="7">
        <v>333.1</v>
      </c>
      <c r="Y48" s="7">
        <v>333.1</v>
      </c>
      <c r="Z48" s="7">
        <v>333.1</v>
      </c>
      <c r="AA48" s="7">
        <v>333.1</v>
      </c>
      <c r="AB48" s="7">
        <v>333.1</v>
      </c>
      <c r="AC48" s="7">
        <v>333.1</v>
      </c>
      <c r="AD48" s="7">
        <v>344.09</v>
      </c>
      <c r="AE48" s="7">
        <v>344.09</v>
      </c>
      <c r="AF48" s="7">
        <v>344.09</v>
      </c>
      <c r="AG48" s="7">
        <v>344.09</v>
      </c>
      <c r="AH48" s="7">
        <v>344.09</v>
      </c>
      <c r="AI48" s="7">
        <v>344.09</v>
      </c>
      <c r="AJ48" s="7">
        <v>344.09</v>
      </c>
      <c r="AK48" s="7">
        <v>344.09</v>
      </c>
      <c r="AL48" s="7">
        <v>344.09</v>
      </c>
      <c r="AM48" s="7">
        <v>344.09</v>
      </c>
    </row>
    <row r="49" spans="2:39" x14ac:dyDescent="0.2">
      <c r="B49" s="8">
        <f t="shared" si="1"/>
        <v>46</v>
      </c>
      <c r="C49" s="7">
        <v>225.82</v>
      </c>
      <c r="D49" s="7">
        <v>225.82</v>
      </c>
      <c r="E49" s="7">
        <v>229.9</v>
      </c>
      <c r="F49" s="7">
        <v>225.16</v>
      </c>
      <c r="G49" s="7">
        <v>233.9</v>
      </c>
      <c r="H49" s="7">
        <v>234.32</v>
      </c>
      <c r="I49" s="7">
        <v>230.1</v>
      </c>
      <c r="J49" s="7">
        <v>219</v>
      </c>
      <c r="K49" s="7">
        <v>219</v>
      </c>
      <c r="L49" s="7">
        <v>219</v>
      </c>
      <c r="M49" s="7">
        <v>219</v>
      </c>
      <c r="N49" s="7">
        <v>219</v>
      </c>
      <c r="O49" s="7">
        <v>219</v>
      </c>
      <c r="P49" s="7">
        <v>219</v>
      </c>
      <c r="Q49" s="7">
        <v>219</v>
      </c>
      <c r="R49" s="7">
        <v>219</v>
      </c>
      <c r="S49" s="7">
        <v>219</v>
      </c>
      <c r="T49" s="7">
        <v>219</v>
      </c>
      <c r="U49" s="7">
        <v>219</v>
      </c>
      <c r="V49" s="7">
        <v>219</v>
      </c>
      <c r="W49" s="7">
        <v>219</v>
      </c>
      <c r="X49" s="7">
        <v>219</v>
      </c>
      <c r="Y49" s="7">
        <v>219</v>
      </c>
      <c r="Z49" s="7">
        <v>219</v>
      </c>
      <c r="AA49" s="7">
        <v>219</v>
      </c>
      <c r="AB49" s="7">
        <v>219</v>
      </c>
      <c r="AC49" s="7">
        <v>219</v>
      </c>
      <c r="AD49" s="7">
        <v>226.67</v>
      </c>
      <c r="AE49" s="7">
        <v>226.67</v>
      </c>
      <c r="AF49" s="7">
        <v>226.67</v>
      </c>
      <c r="AG49" s="7">
        <v>226.67</v>
      </c>
      <c r="AH49" s="7">
        <v>226.67</v>
      </c>
      <c r="AI49" s="7">
        <v>226.67</v>
      </c>
      <c r="AJ49" s="7">
        <v>226.67</v>
      </c>
      <c r="AK49" s="7">
        <v>226.67</v>
      </c>
      <c r="AL49" s="7">
        <v>226.67</v>
      </c>
      <c r="AM49" s="7">
        <v>226.67</v>
      </c>
    </row>
    <row r="50" spans="2:39" x14ac:dyDescent="0.2">
      <c r="B50" s="8">
        <f t="shared" si="1"/>
        <v>47</v>
      </c>
      <c r="C50" s="7">
        <v>169</v>
      </c>
      <c r="D50" s="7">
        <v>169</v>
      </c>
      <c r="E50" s="7">
        <v>169</v>
      </c>
      <c r="F50" s="7">
        <v>169</v>
      </c>
      <c r="G50" s="7">
        <v>169</v>
      </c>
      <c r="H50" s="7">
        <v>169</v>
      </c>
      <c r="I50" s="7">
        <v>169</v>
      </c>
      <c r="J50" s="7">
        <v>169</v>
      </c>
      <c r="K50" s="7">
        <v>169</v>
      </c>
      <c r="L50" s="7">
        <v>169</v>
      </c>
      <c r="M50" s="7">
        <v>169</v>
      </c>
      <c r="N50" s="7">
        <v>169</v>
      </c>
      <c r="O50" s="7">
        <v>169</v>
      </c>
      <c r="P50" s="7">
        <v>169</v>
      </c>
      <c r="Q50" s="7">
        <v>179</v>
      </c>
      <c r="R50" s="7">
        <v>179</v>
      </c>
      <c r="S50" s="7">
        <v>179</v>
      </c>
      <c r="T50" s="7">
        <v>179</v>
      </c>
      <c r="U50" s="7">
        <v>179</v>
      </c>
      <c r="V50" s="7">
        <v>179</v>
      </c>
      <c r="W50" s="7">
        <v>179</v>
      </c>
      <c r="X50" s="7">
        <v>179</v>
      </c>
      <c r="Y50" s="7">
        <v>179</v>
      </c>
      <c r="Z50" s="7">
        <v>179</v>
      </c>
      <c r="AA50" s="7">
        <v>179</v>
      </c>
      <c r="AB50" s="7">
        <v>179</v>
      </c>
      <c r="AC50" s="7">
        <v>179</v>
      </c>
      <c r="AD50" s="7">
        <v>185.27</v>
      </c>
      <c r="AE50" s="7">
        <v>185.27</v>
      </c>
      <c r="AF50" s="7">
        <v>185.27</v>
      </c>
      <c r="AG50" s="7">
        <v>185.27</v>
      </c>
      <c r="AH50" s="7">
        <v>185.27</v>
      </c>
      <c r="AI50" s="7">
        <v>185.27</v>
      </c>
      <c r="AJ50" s="7">
        <v>185.27</v>
      </c>
      <c r="AK50" s="7">
        <v>185.27</v>
      </c>
      <c r="AL50" s="7">
        <v>185.27</v>
      </c>
      <c r="AM50" s="7">
        <v>185.27</v>
      </c>
    </row>
    <row r="51" spans="2:39" x14ac:dyDescent="0.2">
      <c r="B51" s="8">
        <f t="shared" si="1"/>
        <v>48</v>
      </c>
      <c r="C51" s="7">
        <v>199</v>
      </c>
      <c r="D51" s="7">
        <v>199</v>
      </c>
      <c r="E51" s="7">
        <v>199</v>
      </c>
      <c r="F51" s="7">
        <v>199</v>
      </c>
      <c r="G51" s="7">
        <v>199</v>
      </c>
      <c r="H51" s="7">
        <v>199</v>
      </c>
      <c r="I51" s="7">
        <v>199</v>
      </c>
      <c r="J51" s="7">
        <v>169.15</v>
      </c>
      <c r="K51" s="7">
        <v>169.15</v>
      </c>
      <c r="L51" s="7">
        <v>245.65</v>
      </c>
      <c r="M51" s="7">
        <v>245.65</v>
      </c>
      <c r="N51" s="7">
        <v>289</v>
      </c>
      <c r="O51" s="7">
        <v>289</v>
      </c>
      <c r="P51" s="7">
        <v>289</v>
      </c>
      <c r="Q51" s="7">
        <v>289</v>
      </c>
      <c r="R51" s="7">
        <v>289</v>
      </c>
      <c r="S51" s="7">
        <v>289</v>
      </c>
      <c r="T51" s="7">
        <v>289</v>
      </c>
      <c r="U51" s="7">
        <v>289</v>
      </c>
      <c r="V51" s="7">
        <v>289</v>
      </c>
      <c r="W51" s="7">
        <v>289</v>
      </c>
      <c r="X51" s="7">
        <v>289</v>
      </c>
      <c r="Y51" s="7">
        <v>289</v>
      </c>
      <c r="Z51" s="7">
        <v>289</v>
      </c>
      <c r="AA51" s="7">
        <v>289</v>
      </c>
      <c r="AB51" s="7">
        <v>289</v>
      </c>
      <c r="AC51" s="7">
        <v>289</v>
      </c>
      <c r="AD51" s="7">
        <v>299.12</v>
      </c>
      <c r="AE51" s="7">
        <v>299.12</v>
      </c>
      <c r="AF51" s="7">
        <v>299.12</v>
      </c>
      <c r="AG51" s="7">
        <v>299.12</v>
      </c>
      <c r="AH51" s="7">
        <v>299.12</v>
      </c>
      <c r="AI51" s="7">
        <v>299.12</v>
      </c>
      <c r="AJ51" s="7">
        <v>299.12</v>
      </c>
      <c r="AK51" s="7">
        <v>299.12</v>
      </c>
      <c r="AL51" s="7">
        <v>299.12</v>
      </c>
      <c r="AM51" s="7">
        <v>299.12</v>
      </c>
    </row>
    <row r="52" spans="2:39" x14ac:dyDescent="0.2">
      <c r="B52" s="8">
        <f t="shared" si="1"/>
        <v>49</v>
      </c>
      <c r="C52" s="7">
        <v>299</v>
      </c>
      <c r="D52" s="7">
        <v>299</v>
      </c>
      <c r="E52" s="7">
        <v>299</v>
      </c>
      <c r="F52" s="7">
        <v>299</v>
      </c>
      <c r="G52" s="7">
        <v>284.05</v>
      </c>
      <c r="H52" s="7">
        <v>284.05</v>
      </c>
      <c r="I52" s="7">
        <v>284.05</v>
      </c>
      <c r="J52" s="7">
        <v>284.05</v>
      </c>
      <c r="K52" s="7">
        <v>284.05</v>
      </c>
      <c r="L52" s="7">
        <v>284.05</v>
      </c>
      <c r="M52" s="7">
        <v>284.05</v>
      </c>
      <c r="N52" s="7">
        <v>284.05</v>
      </c>
      <c r="O52" s="7">
        <v>284.05</v>
      </c>
      <c r="P52" s="7">
        <v>284.05</v>
      </c>
      <c r="Q52" s="7">
        <v>284.05</v>
      </c>
      <c r="R52" s="7">
        <v>284.05</v>
      </c>
      <c r="S52" s="7">
        <v>284.05</v>
      </c>
      <c r="T52" s="7">
        <v>284.05</v>
      </c>
      <c r="U52" s="7">
        <v>284.05</v>
      </c>
      <c r="V52" s="7">
        <v>284.05</v>
      </c>
      <c r="W52" s="7">
        <v>284.05</v>
      </c>
      <c r="X52" s="7">
        <v>284.05</v>
      </c>
      <c r="Y52" s="7">
        <v>284.05</v>
      </c>
      <c r="Z52" s="7">
        <v>284.05</v>
      </c>
      <c r="AA52" s="7">
        <v>284.05</v>
      </c>
      <c r="AB52" s="7">
        <v>284.05</v>
      </c>
      <c r="AC52" s="7">
        <v>284.05</v>
      </c>
      <c r="AD52" s="7">
        <v>294</v>
      </c>
      <c r="AE52" s="7">
        <v>294</v>
      </c>
      <c r="AF52" s="7">
        <v>294</v>
      </c>
      <c r="AG52" s="7">
        <v>294</v>
      </c>
      <c r="AH52" s="7">
        <v>294</v>
      </c>
      <c r="AI52" s="7">
        <v>294</v>
      </c>
      <c r="AJ52" s="7">
        <v>294</v>
      </c>
      <c r="AK52" s="7">
        <v>294</v>
      </c>
      <c r="AL52" s="7">
        <v>294</v>
      </c>
      <c r="AM52" s="7">
        <v>294</v>
      </c>
    </row>
    <row r="53" spans="2:39" x14ac:dyDescent="0.2">
      <c r="B53" s="8">
        <f t="shared" si="1"/>
        <v>50</v>
      </c>
      <c r="C53" s="7">
        <v>279.2</v>
      </c>
      <c r="D53" s="7">
        <v>279.2</v>
      </c>
      <c r="E53" s="7">
        <v>279.2</v>
      </c>
      <c r="F53" s="7">
        <v>279.2</v>
      </c>
      <c r="G53" s="7">
        <v>279.2</v>
      </c>
      <c r="H53" s="7">
        <v>279.2</v>
      </c>
      <c r="I53" s="7">
        <v>279.2</v>
      </c>
      <c r="J53" s="7">
        <v>279.2</v>
      </c>
      <c r="K53" s="7">
        <v>279.2</v>
      </c>
      <c r="L53" s="7">
        <v>279.16000000000003</v>
      </c>
      <c r="M53" s="7">
        <v>279.16000000000003</v>
      </c>
      <c r="N53" s="7">
        <v>279.16000000000003</v>
      </c>
      <c r="O53" s="7">
        <v>279.16000000000003</v>
      </c>
      <c r="P53" s="7">
        <v>279.16000000000003</v>
      </c>
      <c r="Q53" s="7">
        <v>279.16000000000003</v>
      </c>
      <c r="R53" s="7">
        <v>279.16000000000003</v>
      </c>
      <c r="S53" s="7">
        <v>279.16000000000003</v>
      </c>
      <c r="T53" s="7">
        <v>279.16000000000003</v>
      </c>
      <c r="U53" s="7">
        <v>279.16000000000003</v>
      </c>
      <c r="V53" s="7">
        <v>279.16000000000003</v>
      </c>
      <c r="W53" s="7">
        <v>279.16000000000003</v>
      </c>
      <c r="X53" s="7">
        <v>279.16000000000003</v>
      </c>
      <c r="Y53" s="7">
        <v>279.16000000000003</v>
      </c>
      <c r="Z53" s="7">
        <v>279.16000000000003</v>
      </c>
      <c r="AA53" s="7">
        <v>279.16000000000003</v>
      </c>
      <c r="AB53" s="7">
        <v>279.16000000000003</v>
      </c>
      <c r="AC53" s="7">
        <v>279.16000000000003</v>
      </c>
      <c r="AD53" s="7">
        <v>279.16000000000003</v>
      </c>
      <c r="AE53" s="7">
        <v>279.16000000000003</v>
      </c>
      <c r="AF53" s="7">
        <v>279.16000000000003</v>
      </c>
      <c r="AG53" s="7">
        <v>279.16000000000003</v>
      </c>
      <c r="AH53" s="7">
        <v>279.16000000000003</v>
      </c>
      <c r="AI53" s="7">
        <v>279.16000000000003</v>
      </c>
      <c r="AJ53" s="7">
        <v>279.16000000000003</v>
      </c>
      <c r="AK53" s="7">
        <v>279.16000000000003</v>
      </c>
      <c r="AL53" s="7">
        <v>279.16000000000003</v>
      </c>
      <c r="AM53" s="7">
        <v>279.16000000000003</v>
      </c>
    </row>
    <row r="54" spans="2:39" x14ac:dyDescent="0.2">
      <c r="B54" s="8">
        <f t="shared" si="1"/>
        <v>51</v>
      </c>
      <c r="C54" s="7">
        <v>349</v>
      </c>
      <c r="D54" s="7">
        <v>349</v>
      </c>
      <c r="E54" s="7">
        <v>349</v>
      </c>
      <c r="F54" s="7">
        <v>349</v>
      </c>
      <c r="G54" s="7">
        <v>349</v>
      </c>
      <c r="H54" s="7">
        <v>349</v>
      </c>
      <c r="I54" s="7">
        <v>349</v>
      </c>
      <c r="J54" s="7">
        <v>349</v>
      </c>
      <c r="K54" s="7">
        <v>349</v>
      </c>
      <c r="L54" s="7">
        <v>349</v>
      </c>
      <c r="M54" s="7">
        <v>349</v>
      </c>
      <c r="N54" s="7">
        <v>349</v>
      </c>
      <c r="O54" s="7">
        <v>349</v>
      </c>
      <c r="P54" s="7">
        <v>349</v>
      </c>
      <c r="Q54" s="7">
        <v>349</v>
      </c>
      <c r="R54" s="7">
        <v>349</v>
      </c>
      <c r="S54" s="7">
        <v>349</v>
      </c>
      <c r="T54" s="7">
        <v>349</v>
      </c>
      <c r="U54" s="7">
        <v>349</v>
      </c>
      <c r="V54" s="7">
        <v>349</v>
      </c>
      <c r="W54" s="7">
        <v>349</v>
      </c>
      <c r="X54" s="7">
        <v>349</v>
      </c>
      <c r="Y54" s="7">
        <v>349</v>
      </c>
      <c r="Z54" s="7">
        <v>349</v>
      </c>
      <c r="AA54" s="7">
        <v>349</v>
      </c>
      <c r="AB54" s="7">
        <v>349</v>
      </c>
      <c r="AC54" s="7">
        <v>349</v>
      </c>
      <c r="AD54" s="7">
        <v>361.22</v>
      </c>
      <c r="AE54" s="7">
        <v>361.22</v>
      </c>
      <c r="AF54" s="7">
        <v>361.22</v>
      </c>
      <c r="AG54" s="7">
        <v>361.22</v>
      </c>
      <c r="AH54" s="7">
        <v>361.22</v>
      </c>
      <c r="AI54" s="7">
        <v>361.22</v>
      </c>
      <c r="AJ54" s="7">
        <v>361.22</v>
      </c>
      <c r="AK54" s="7">
        <v>361.22</v>
      </c>
      <c r="AL54" s="7">
        <v>361.22</v>
      </c>
      <c r="AM54" s="7">
        <v>361.22</v>
      </c>
    </row>
    <row r="55" spans="2:39" x14ac:dyDescent="0.2">
      <c r="B55" s="8">
        <f t="shared" si="1"/>
        <v>52</v>
      </c>
      <c r="C55" s="7">
        <v>289</v>
      </c>
      <c r="D55" s="7">
        <v>289</v>
      </c>
      <c r="E55" s="7">
        <v>289</v>
      </c>
      <c r="F55" s="7">
        <v>289</v>
      </c>
      <c r="G55" s="7">
        <v>289</v>
      </c>
      <c r="H55" s="7">
        <v>289</v>
      </c>
      <c r="I55" s="7">
        <v>289</v>
      </c>
      <c r="J55" s="7">
        <v>289</v>
      </c>
      <c r="K55" s="7">
        <v>289</v>
      </c>
      <c r="L55" s="7">
        <v>289</v>
      </c>
      <c r="M55" s="7">
        <v>289</v>
      </c>
      <c r="N55" s="7">
        <v>289</v>
      </c>
      <c r="O55" s="7">
        <v>289</v>
      </c>
      <c r="P55" s="7">
        <v>289</v>
      </c>
      <c r="Q55" s="7">
        <v>289</v>
      </c>
      <c r="R55" s="7">
        <v>289</v>
      </c>
      <c r="S55" s="7">
        <v>289</v>
      </c>
      <c r="T55" s="7">
        <v>289</v>
      </c>
      <c r="U55" s="7">
        <v>289</v>
      </c>
      <c r="V55" s="7">
        <v>289</v>
      </c>
      <c r="W55" s="7">
        <v>289</v>
      </c>
      <c r="X55" s="7">
        <v>289</v>
      </c>
      <c r="Y55" s="7">
        <v>289</v>
      </c>
      <c r="Z55" s="7">
        <v>289</v>
      </c>
      <c r="AA55" s="7">
        <v>289</v>
      </c>
      <c r="AB55" s="7">
        <v>289</v>
      </c>
      <c r="AC55" s="7">
        <v>289</v>
      </c>
      <c r="AD55" s="7">
        <v>299.12</v>
      </c>
      <c r="AE55" s="7">
        <v>299.12</v>
      </c>
      <c r="AF55" s="7">
        <v>299.12</v>
      </c>
      <c r="AG55" s="7">
        <v>299.12</v>
      </c>
      <c r="AH55" s="7">
        <v>299.12</v>
      </c>
      <c r="AI55" s="7">
        <v>299.12</v>
      </c>
      <c r="AJ55" s="7">
        <v>299.12</v>
      </c>
      <c r="AK55" s="7">
        <v>299.12</v>
      </c>
      <c r="AL55" s="7">
        <v>299.12</v>
      </c>
      <c r="AM55" s="7">
        <v>299.12</v>
      </c>
    </row>
    <row r="56" spans="2:39" x14ac:dyDescent="0.2">
      <c r="B56" s="8">
        <f t="shared" si="1"/>
        <v>53</v>
      </c>
      <c r="C56" s="7">
        <v>219</v>
      </c>
      <c r="D56" s="7">
        <v>219</v>
      </c>
      <c r="E56" s="7">
        <v>219</v>
      </c>
      <c r="F56" s="7">
        <v>219</v>
      </c>
      <c r="G56" s="7">
        <v>219</v>
      </c>
      <c r="H56" s="7">
        <v>219</v>
      </c>
      <c r="I56" s="7">
        <v>219</v>
      </c>
      <c r="J56" s="7">
        <v>219</v>
      </c>
      <c r="K56" s="7">
        <v>219</v>
      </c>
      <c r="L56" s="7">
        <v>219</v>
      </c>
      <c r="M56" s="7">
        <v>219</v>
      </c>
      <c r="N56" s="7">
        <v>199</v>
      </c>
      <c r="O56" s="7">
        <v>219</v>
      </c>
      <c r="P56" s="7">
        <v>369</v>
      </c>
      <c r="Q56" s="7">
        <v>369</v>
      </c>
      <c r="R56" s="7">
        <v>369</v>
      </c>
      <c r="S56" s="7">
        <v>369</v>
      </c>
      <c r="T56" s="7">
        <v>369</v>
      </c>
      <c r="U56" s="7">
        <v>369</v>
      </c>
      <c r="V56" s="7">
        <v>369</v>
      </c>
      <c r="W56" s="7">
        <v>369</v>
      </c>
      <c r="X56" s="7">
        <v>369</v>
      </c>
      <c r="Y56" s="7">
        <v>369</v>
      </c>
      <c r="Z56" s="7">
        <v>369</v>
      </c>
      <c r="AA56" s="7">
        <v>369</v>
      </c>
      <c r="AB56" s="7">
        <v>369</v>
      </c>
      <c r="AC56" s="7">
        <v>369</v>
      </c>
      <c r="AD56" s="7">
        <v>381.22</v>
      </c>
      <c r="AE56" s="7">
        <v>381.22</v>
      </c>
      <c r="AF56" s="7">
        <v>381.22</v>
      </c>
      <c r="AG56" s="7">
        <v>381.22</v>
      </c>
      <c r="AH56" s="7">
        <v>381.22</v>
      </c>
      <c r="AI56" s="7">
        <v>381.22</v>
      </c>
      <c r="AJ56" s="7">
        <v>381.22</v>
      </c>
      <c r="AK56" s="7">
        <v>381.22</v>
      </c>
      <c r="AL56" s="7">
        <v>381.22</v>
      </c>
      <c r="AM56" s="7">
        <v>381.22</v>
      </c>
    </row>
    <row r="57" spans="2:39" x14ac:dyDescent="0.2">
      <c r="B57" s="8">
        <f t="shared" si="1"/>
        <v>54</v>
      </c>
      <c r="C57" s="7">
        <v>179</v>
      </c>
      <c r="D57" s="7">
        <v>179</v>
      </c>
      <c r="E57" s="7">
        <v>179</v>
      </c>
      <c r="F57" s="7">
        <v>179</v>
      </c>
      <c r="G57" s="7">
        <v>179</v>
      </c>
      <c r="H57" s="7">
        <v>179</v>
      </c>
      <c r="I57" s="7">
        <v>179</v>
      </c>
      <c r="J57" s="7">
        <v>179</v>
      </c>
      <c r="K57" s="7">
        <v>179</v>
      </c>
      <c r="L57" s="7">
        <v>179</v>
      </c>
      <c r="M57" s="7">
        <v>179</v>
      </c>
      <c r="N57" s="7">
        <v>179</v>
      </c>
      <c r="O57" s="7">
        <v>179</v>
      </c>
      <c r="P57" s="7">
        <v>179</v>
      </c>
      <c r="Q57" s="7">
        <v>179</v>
      </c>
      <c r="R57" s="7">
        <v>179</v>
      </c>
      <c r="S57" s="7">
        <v>179</v>
      </c>
      <c r="T57" s="7">
        <v>179</v>
      </c>
      <c r="U57" s="7">
        <v>179</v>
      </c>
      <c r="V57" s="7">
        <v>179</v>
      </c>
      <c r="W57" s="7">
        <v>179</v>
      </c>
      <c r="X57" s="7">
        <v>179</v>
      </c>
      <c r="Y57" s="7">
        <v>179</v>
      </c>
      <c r="Z57" s="7">
        <v>179</v>
      </c>
      <c r="AA57" s="7">
        <v>179</v>
      </c>
      <c r="AB57" s="7">
        <v>179</v>
      </c>
      <c r="AC57" s="7">
        <v>179</v>
      </c>
      <c r="AD57" s="7">
        <v>179</v>
      </c>
      <c r="AE57" s="7">
        <v>179</v>
      </c>
      <c r="AF57" s="7">
        <v>179</v>
      </c>
      <c r="AG57" s="7">
        <v>179</v>
      </c>
      <c r="AH57" s="7">
        <v>179</v>
      </c>
      <c r="AI57" s="7">
        <v>179</v>
      </c>
      <c r="AJ57" s="7">
        <v>179</v>
      </c>
      <c r="AK57" s="7">
        <v>179</v>
      </c>
      <c r="AL57" s="7">
        <v>179</v>
      </c>
      <c r="AM57" s="7">
        <v>179</v>
      </c>
    </row>
    <row r="58" spans="2:39" x14ac:dyDescent="0.2">
      <c r="B58" s="8">
        <f t="shared" si="1"/>
        <v>55</v>
      </c>
      <c r="C58" s="7">
        <v>101.85</v>
      </c>
      <c r="D58" s="7">
        <v>101.85</v>
      </c>
      <c r="E58" s="7">
        <v>99.51</v>
      </c>
      <c r="F58" s="7">
        <v>99.6</v>
      </c>
      <c r="G58" s="7">
        <v>100.35</v>
      </c>
      <c r="H58" s="7">
        <v>100.14</v>
      </c>
      <c r="I58" s="7">
        <v>100.2</v>
      </c>
      <c r="J58" s="7">
        <v>99</v>
      </c>
      <c r="K58" s="7">
        <v>99</v>
      </c>
      <c r="L58" s="7">
        <v>99</v>
      </c>
      <c r="M58" s="7">
        <v>99</v>
      </c>
      <c r="N58" s="7">
        <v>99</v>
      </c>
      <c r="O58" s="7">
        <v>99</v>
      </c>
      <c r="P58" s="7">
        <v>99</v>
      </c>
      <c r="Q58" s="7">
        <v>99</v>
      </c>
      <c r="R58" s="7">
        <v>99</v>
      </c>
      <c r="S58" s="7">
        <v>99</v>
      </c>
      <c r="T58" s="7">
        <v>99</v>
      </c>
      <c r="U58" s="7">
        <v>99</v>
      </c>
      <c r="V58" s="7">
        <v>99</v>
      </c>
      <c r="W58" s="7">
        <v>99</v>
      </c>
      <c r="X58" s="7">
        <v>99</v>
      </c>
      <c r="Y58" s="7">
        <v>99</v>
      </c>
      <c r="Z58" s="7">
        <v>99</v>
      </c>
      <c r="AA58" s="7">
        <v>99</v>
      </c>
      <c r="AB58" s="7">
        <v>99</v>
      </c>
      <c r="AC58" s="7">
        <v>99</v>
      </c>
      <c r="AD58" s="7">
        <v>99</v>
      </c>
      <c r="AE58" s="7">
        <v>99</v>
      </c>
      <c r="AF58" s="7">
        <v>99</v>
      </c>
      <c r="AG58" s="7">
        <v>99</v>
      </c>
      <c r="AH58" s="7">
        <v>99</v>
      </c>
      <c r="AI58" s="7">
        <v>99</v>
      </c>
      <c r="AJ58" s="7">
        <v>99</v>
      </c>
      <c r="AK58" s="7">
        <v>99</v>
      </c>
      <c r="AL58" s="7">
        <v>99</v>
      </c>
      <c r="AM58" s="7">
        <v>99</v>
      </c>
    </row>
    <row r="59" spans="2:39" x14ac:dyDescent="0.2">
      <c r="B59" s="8">
        <f t="shared" si="1"/>
        <v>56</v>
      </c>
      <c r="C59" s="7">
        <v>269.10000000000002</v>
      </c>
      <c r="D59" s="7">
        <v>269.10000000000002</v>
      </c>
      <c r="E59" s="7">
        <v>269.10000000000002</v>
      </c>
      <c r="F59" s="7">
        <v>269.10000000000002</v>
      </c>
      <c r="G59" s="7">
        <v>269.10000000000002</v>
      </c>
      <c r="H59" s="7">
        <v>269.10000000000002</v>
      </c>
      <c r="I59" s="7">
        <v>269.10000000000002</v>
      </c>
      <c r="J59" s="7">
        <v>269.10000000000002</v>
      </c>
      <c r="K59" s="7">
        <v>269.10000000000002</v>
      </c>
      <c r="L59" s="7">
        <v>269.08999999999997</v>
      </c>
      <c r="M59" s="7">
        <v>269.08999999999997</v>
      </c>
      <c r="N59" s="7">
        <v>269.08999999999997</v>
      </c>
      <c r="O59" s="7">
        <v>269.08999999999997</v>
      </c>
      <c r="P59" s="7">
        <v>269.08999999999997</v>
      </c>
      <c r="Q59" s="7">
        <v>269.08999999999997</v>
      </c>
      <c r="R59" s="7">
        <v>269.08999999999997</v>
      </c>
      <c r="S59" s="7">
        <v>269.08999999999997</v>
      </c>
      <c r="T59" s="7">
        <v>269.08999999999997</v>
      </c>
      <c r="U59" s="7">
        <v>269.08999999999997</v>
      </c>
      <c r="V59" s="7">
        <v>269.08999999999997</v>
      </c>
      <c r="W59" s="7">
        <v>269.08999999999997</v>
      </c>
      <c r="X59" s="7">
        <v>269.08999999999997</v>
      </c>
      <c r="Y59" s="7">
        <v>269.08999999999997</v>
      </c>
      <c r="Z59" s="7">
        <v>269.08999999999997</v>
      </c>
      <c r="AA59" s="7">
        <v>269.08999999999997</v>
      </c>
      <c r="AB59" s="7">
        <v>269.08999999999997</v>
      </c>
      <c r="AC59" s="7">
        <v>269.08999999999997</v>
      </c>
      <c r="AD59" s="7">
        <v>278.5</v>
      </c>
      <c r="AE59" s="7">
        <v>278.5</v>
      </c>
      <c r="AF59" s="7">
        <v>278.5</v>
      </c>
      <c r="AG59" s="7">
        <v>278.5</v>
      </c>
      <c r="AH59" s="7">
        <v>278.5</v>
      </c>
      <c r="AI59" s="7">
        <v>278.5</v>
      </c>
      <c r="AJ59" s="7">
        <v>278.5</v>
      </c>
      <c r="AK59" s="7">
        <v>278.5</v>
      </c>
      <c r="AL59" s="7">
        <v>278.5</v>
      </c>
      <c r="AM59" s="7">
        <v>278.5</v>
      </c>
    </row>
    <row r="60" spans="2:39" x14ac:dyDescent="0.2">
      <c r="B60" s="8">
        <f t="shared" si="1"/>
        <v>57</v>
      </c>
      <c r="C60" s="7">
        <v>109.3</v>
      </c>
      <c r="D60" s="7">
        <v>109.3</v>
      </c>
      <c r="E60" s="7">
        <v>109</v>
      </c>
      <c r="F60" s="7">
        <v>109</v>
      </c>
      <c r="G60" s="7">
        <v>109</v>
      </c>
      <c r="H60" s="7">
        <v>109</v>
      </c>
      <c r="I60" s="7">
        <v>109</v>
      </c>
      <c r="J60" s="7">
        <v>109</v>
      </c>
      <c r="K60" s="7">
        <v>0</v>
      </c>
      <c r="L60" s="7">
        <v>0</v>
      </c>
      <c r="M60" s="7">
        <v>0</v>
      </c>
      <c r="N60" s="7">
        <v>0</v>
      </c>
      <c r="O60" s="7">
        <v>0</v>
      </c>
      <c r="P60" s="7">
        <v>0</v>
      </c>
      <c r="Q60" s="7">
        <v>0</v>
      </c>
      <c r="R60" s="7">
        <v>0</v>
      </c>
      <c r="S60" s="7">
        <v>0</v>
      </c>
      <c r="T60" s="7">
        <v>0</v>
      </c>
      <c r="U60" s="7">
        <v>0</v>
      </c>
      <c r="V60" s="7">
        <v>0</v>
      </c>
      <c r="W60" s="7">
        <v>0</v>
      </c>
      <c r="X60" s="7">
        <v>0</v>
      </c>
      <c r="Y60" s="7">
        <v>0</v>
      </c>
      <c r="Z60" s="7">
        <v>0</v>
      </c>
      <c r="AA60" s="7">
        <v>0</v>
      </c>
      <c r="AB60" s="7">
        <v>0</v>
      </c>
      <c r="AC60" s="7">
        <v>0</v>
      </c>
      <c r="AD60" s="7">
        <v>0</v>
      </c>
      <c r="AE60" s="7">
        <v>0</v>
      </c>
      <c r="AF60" s="7">
        <v>0</v>
      </c>
      <c r="AG60" s="7">
        <v>0</v>
      </c>
      <c r="AH60" s="7">
        <v>0</v>
      </c>
      <c r="AI60" s="7">
        <v>0</v>
      </c>
      <c r="AJ60" s="7">
        <v>0</v>
      </c>
      <c r="AK60" s="7">
        <v>0</v>
      </c>
      <c r="AL60" s="7">
        <v>0</v>
      </c>
      <c r="AM60" s="7">
        <v>0</v>
      </c>
    </row>
    <row r="61" spans="2:39" x14ac:dyDescent="0.2">
      <c r="B61" s="8">
        <f t="shared" si="1"/>
        <v>58</v>
      </c>
      <c r="C61" s="7">
        <v>120.59</v>
      </c>
      <c r="D61" s="7">
        <v>120.59</v>
      </c>
      <c r="E61" s="7">
        <v>122.15</v>
      </c>
      <c r="F61" s="7">
        <v>118.59</v>
      </c>
      <c r="G61" s="7">
        <v>118.04</v>
      </c>
      <c r="H61" s="7">
        <v>113.34</v>
      </c>
      <c r="I61" s="7">
        <v>115.67</v>
      </c>
      <c r="J61" s="7">
        <v>109</v>
      </c>
      <c r="K61" s="7">
        <v>109</v>
      </c>
      <c r="L61" s="7">
        <v>109</v>
      </c>
      <c r="M61" s="7">
        <v>109</v>
      </c>
      <c r="N61" s="7">
        <v>109</v>
      </c>
      <c r="O61" s="7">
        <v>109</v>
      </c>
      <c r="P61" s="7">
        <v>109</v>
      </c>
      <c r="Q61" s="7">
        <v>109</v>
      </c>
      <c r="R61" s="7">
        <v>109</v>
      </c>
      <c r="S61" s="7">
        <v>109</v>
      </c>
      <c r="T61" s="7">
        <v>109</v>
      </c>
      <c r="U61" s="7">
        <v>109</v>
      </c>
      <c r="V61" s="7">
        <v>109</v>
      </c>
      <c r="W61" s="7">
        <v>109</v>
      </c>
      <c r="X61" s="7">
        <v>109</v>
      </c>
      <c r="Y61" s="7">
        <v>109</v>
      </c>
      <c r="Z61" s="7">
        <v>109</v>
      </c>
      <c r="AA61" s="7">
        <v>109</v>
      </c>
      <c r="AB61" s="7">
        <v>109</v>
      </c>
      <c r="AC61" s="7">
        <v>109</v>
      </c>
      <c r="AD61" s="7">
        <v>109</v>
      </c>
      <c r="AE61" s="7">
        <v>109</v>
      </c>
      <c r="AF61" s="7">
        <v>109</v>
      </c>
      <c r="AG61" s="7">
        <v>109</v>
      </c>
      <c r="AH61" s="7">
        <v>109</v>
      </c>
      <c r="AI61" s="7">
        <v>109</v>
      </c>
      <c r="AJ61" s="7">
        <v>109</v>
      </c>
      <c r="AK61" s="7">
        <v>109</v>
      </c>
      <c r="AL61" s="7">
        <v>109</v>
      </c>
      <c r="AM61" s="7">
        <v>109</v>
      </c>
    </row>
    <row r="62" spans="2:39" x14ac:dyDescent="0.2">
      <c r="B62" s="8">
        <f t="shared" si="1"/>
        <v>59</v>
      </c>
      <c r="C62" s="7">
        <v>179</v>
      </c>
      <c r="D62" s="7">
        <v>179</v>
      </c>
      <c r="E62" s="7">
        <v>179</v>
      </c>
      <c r="F62" s="7">
        <v>179</v>
      </c>
      <c r="G62" s="7">
        <v>179</v>
      </c>
      <c r="H62" s="7">
        <v>179</v>
      </c>
      <c r="I62" s="7">
        <v>179</v>
      </c>
      <c r="J62" s="7">
        <v>179</v>
      </c>
      <c r="K62" s="7">
        <v>179</v>
      </c>
      <c r="L62" s="7">
        <v>179</v>
      </c>
      <c r="M62" s="7">
        <v>179</v>
      </c>
      <c r="N62" s="7">
        <v>179</v>
      </c>
      <c r="O62" s="7">
        <v>179</v>
      </c>
      <c r="P62" s="7">
        <v>179</v>
      </c>
      <c r="Q62" s="7">
        <v>179</v>
      </c>
      <c r="R62" s="7">
        <v>179</v>
      </c>
      <c r="S62" s="7">
        <v>179</v>
      </c>
      <c r="T62" s="7">
        <v>179</v>
      </c>
      <c r="U62" s="7">
        <v>179</v>
      </c>
      <c r="V62" s="7">
        <v>179</v>
      </c>
      <c r="W62" s="7">
        <v>179</v>
      </c>
      <c r="X62" s="7">
        <v>179</v>
      </c>
      <c r="Y62" s="7">
        <v>179</v>
      </c>
      <c r="Z62" s="7">
        <v>179</v>
      </c>
      <c r="AA62" s="7">
        <v>179</v>
      </c>
      <c r="AB62" s="7">
        <v>179</v>
      </c>
      <c r="AC62" s="7">
        <v>179</v>
      </c>
      <c r="AD62" s="7">
        <v>179</v>
      </c>
      <c r="AE62" s="7">
        <v>185.27</v>
      </c>
      <c r="AF62" s="7">
        <v>185.27</v>
      </c>
      <c r="AG62" s="7">
        <v>185.27</v>
      </c>
      <c r="AH62" s="7">
        <v>185.27</v>
      </c>
      <c r="AI62" s="7">
        <v>185.27</v>
      </c>
      <c r="AJ62" s="7">
        <v>185.27</v>
      </c>
      <c r="AK62" s="7">
        <v>185.27</v>
      </c>
      <c r="AL62" s="7">
        <v>185.27</v>
      </c>
      <c r="AM62" s="7">
        <v>185.27</v>
      </c>
    </row>
    <row r="63" spans="2:39" x14ac:dyDescent="0.2">
      <c r="B63" s="8">
        <f t="shared" si="1"/>
        <v>60</v>
      </c>
      <c r="C63" s="7">
        <v>179</v>
      </c>
      <c r="D63" s="7">
        <v>179</v>
      </c>
      <c r="E63" s="7">
        <v>179</v>
      </c>
      <c r="F63" s="7">
        <v>179</v>
      </c>
      <c r="G63" s="7">
        <v>179</v>
      </c>
      <c r="H63" s="7">
        <v>179</v>
      </c>
      <c r="I63" s="7">
        <v>179</v>
      </c>
      <c r="J63" s="7">
        <v>179</v>
      </c>
      <c r="K63" s="7">
        <v>179</v>
      </c>
      <c r="L63" s="7">
        <v>179</v>
      </c>
      <c r="M63" s="7">
        <v>179</v>
      </c>
      <c r="N63" s="7">
        <v>179</v>
      </c>
      <c r="O63" s="7">
        <v>179</v>
      </c>
      <c r="P63" s="7">
        <v>179</v>
      </c>
      <c r="Q63" s="7">
        <v>179</v>
      </c>
      <c r="R63" s="7">
        <v>179</v>
      </c>
      <c r="S63" s="7">
        <v>179</v>
      </c>
      <c r="T63" s="7">
        <v>179</v>
      </c>
      <c r="U63" s="7">
        <v>179</v>
      </c>
      <c r="V63" s="7">
        <v>179</v>
      </c>
      <c r="W63" s="7">
        <v>179</v>
      </c>
      <c r="X63" s="7">
        <v>179</v>
      </c>
      <c r="Y63" s="7">
        <v>179</v>
      </c>
      <c r="Z63" s="7">
        <v>179</v>
      </c>
      <c r="AA63" s="7">
        <v>179</v>
      </c>
      <c r="AB63" s="7">
        <v>179</v>
      </c>
      <c r="AC63" s="7">
        <v>199</v>
      </c>
      <c r="AD63" s="7">
        <v>199</v>
      </c>
      <c r="AE63" s="7">
        <v>199</v>
      </c>
      <c r="AF63" s="7">
        <v>199</v>
      </c>
      <c r="AG63" s="7">
        <v>199</v>
      </c>
      <c r="AH63" s="7">
        <v>199</v>
      </c>
      <c r="AI63" s="7">
        <v>199</v>
      </c>
      <c r="AJ63" s="7">
        <v>199</v>
      </c>
      <c r="AK63" s="7">
        <v>199</v>
      </c>
      <c r="AL63" s="7">
        <v>199</v>
      </c>
      <c r="AM63" s="7">
        <v>199</v>
      </c>
    </row>
    <row r="64" spans="2:39" x14ac:dyDescent="0.2">
      <c r="B64" s="8">
        <f t="shared" si="1"/>
        <v>61</v>
      </c>
      <c r="C64" s="7">
        <v>387</v>
      </c>
      <c r="D64" s="7">
        <v>387</v>
      </c>
      <c r="E64" s="7">
        <v>387</v>
      </c>
      <c r="F64" s="7">
        <v>387</v>
      </c>
      <c r="G64" s="7">
        <v>387</v>
      </c>
      <c r="H64" s="7">
        <v>387</v>
      </c>
      <c r="I64" s="7">
        <v>387</v>
      </c>
      <c r="J64" s="7">
        <v>387</v>
      </c>
      <c r="K64" s="7">
        <v>387</v>
      </c>
      <c r="L64" s="7">
        <v>387</v>
      </c>
      <c r="M64" s="7">
        <v>387</v>
      </c>
      <c r="N64" s="7">
        <v>387</v>
      </c>
      <c r="O64" s="7">
        <v>387</v>
      </c>
      <c r="P64" s="7">
        <v>387</v>
      </c>
      <c r="Q64" s="7">
        <v>387</v>
      </c>
      <c r="R64" s="7">
        <v>387</v>
      </c>
      <c r="S64" s="7">
        <v>387</v>
      </c>
      <c r="T64" s="7">
        <v>387</v>
      </c>
      <c r="U64" s="7">
        <v>387</v>
      </c>
      <c r="V64" s="7">
        <v>387</v>
      </c>
      <c r="W64" s="7">
        <v>387</v>
      </c>
      <c r="X64" s="7">
        <v>387</v>
      </c>
      <c r="Y64" s="7">
        <v>387</v>
      </c>
      <c r="Z64" s="7">
        <v>387</v>
      </c>
      <c r="AA64" s="7">
        <v>387</v>
      </c>
      <c r="AB64" s="7">
        <v>387</v>
      </c>
      <c r="AC64" s="7">
        <v>387</v>
      </c>
      <c r="AD64" s="7">
        <v>387</v>
      </c>
      <c r="AE64" s="7">
        <v>399.88</v>
      </c>
      <c r="AF64" s="7">
        <v>399.88</v>
      </c>
      <c r="AG64" s="7">
        <v>399.88</v>
      </c>
      <c r="AH64" s="7">
        <v>399.88</v>
      </c>
      <c r="AI64" s="7">
        <v>399.88</v>
      </c>
      <c r="AJ64" s="7">
        <v>399.88</v>
      </c>
      <c r="AK64" s="7">
        <v>399.88</v>
      </c>
      <c r="AL64" s="7">
        <v>399.88</v>
      </c>
      <c r="AM64" s="7">
        <v>399.88</v>
      </c>
    </row>
    <row r="65" spans="2:39" x14ac:dyDescent="0.2">
      <c r="B65" s="8">
        <f t="shared" si="1"/>
        <v>62</v>
      </c>
      <c r="C65" s="7">
        <v>0</v>
      </c>
      <c r="D65" s="7">
        <v>0</v>
      </c>
      <c r="E65" s="7">
        <v>0</v>
      </c>
      <c r="F65" s="7">
        <v>0</v>
      </c>
      <c r="G65" s="7">
        <v>0</v>
      </c>
      <c r="H65" s="7">
        <v>0</v>
      </c>
      <c r="I65" s="7">
        <v>0</v>
      </c>
      <c r="J65" s="7">
        <v>0</v>
      </c>
      <c r="K65" s="7">
        <v>0</v>
      </c>
      <c r="L65" s="7">
        <v>0</v>
      </c>
      <c r="M65" s="7">
        <v>0</v>
      </c>
      <c r="N65" s="7">
        <v>0</v>
      </c>
      <c r="O65" s="7">
        <v>0</v>
      </c>
      <c r="P65" s="7">
        <v>0</v>
      </c>
      <c r="Q65" s="7">
        <v>0</v>
      </c>
      <c r="R65" s="7">
        <v>0</v>
      </c>
      <c r="S65" s="7">
        <v>0</v>
      </c>
      <c r="T65" s="7">
        <v>0</v>
      </c>
      <c r="U65" s="7">
        <v>0</v>
      </c>
      <c r="V65" s="7">
        <v>0</v>
      </c>
      <c r="W65" s="7">
        <v>0</v>
      </c>
      <c r="X65" s="7">
        <v>0</v>
      </c>
      <c r="Y65" s="7">
        <v>0</v>
      </c>
      <c r="Z65" s="7">
        <v>0</v>
      </c>
      <c r="AA65" s="7">
        <v>0</v>
      </c>
      <c r="AB65" s="7">
        <v>0</v>
      </c>
      <c r="AC65" s="7">
        <v>0</v>
      </c>
      <c r="AD65" s="7">
        <v>0</v>
      </c>
      <c r="AE65" s="7">
        <v>0</v>
      </c>
      <c r="AF65" s="7">
        <v>0</v>
      </c>
      <c r="AG65" s="7">
        <v>361.22</v>
      </c>
      <c r="AH65" s="7">
        <v>361.22</v>
      </c>
      <c r="AI65" s="7">
        <v>361.22</v>
      </c>
      <c r="AJ65" s="7">
        <v>361.22</v>
      </c>
      <c r="AK65" s="7">
        <v>361.22</v>
      </c>
      <c r="AL65" s="7">
        <v>361.22</v>
      </c>
      <c r="AM65" s="7">
        <v>361.22</v>
      </c>
    </row>
    <row r="66" spans="2:39" x14ac:dyDescent="0.2">
      <c r="B66" s="8">
        <f t="shared" si="1"/>
        <v>63</v>
      </c>
      <c r="C66" s="7">
        <v>0</v>
      </c>
      <c r="D66" s="7">
        <v>0</v>
      </c>
      <c r="E66" s="7">
        <v>0</v>
      </c>
      <c r="F66" s="7">
        <v>0</v>
      </c>
      <c r="G66" s="7">
        <v>0</v>
      </c>
      <c r="H66" s="7">
        <v>0</v>
      </c>
      <c r="I66" s="7">
        <v>0</v>
      </c>
      <c r="J66" s="7">
        <v>0</v>
      </c>
      <c r="K66" s="7">
        <v>0</v>
      </c>
      <c r="L66" s="7">
        <v>0</v>
      </c>
      <c r="M66" s="7">
        <v>0</v>
      </c>
      <c r="N66" s="7">
        <v>0</v>
      </c>
      <c r="O66" s="7">
        <v>0</v>
      </c>
      <c r="P66" s="7">
        <v>0</v>
      </c>
      <c r="Q66" s="7">
        <v>0</v>
      </c>
      <c r="R66" s="7">
        <v>0</v>
      </c>
      <c r="S66" s="7">
        <v>0</v>
      </c>
      <c r="T66" s="7">
        <v>0</v>
      </c>
      <c r="U66" s="7">
        <v>0</v>
      </c>
      <c r="V66" s="7">
        <v>0</v>
      </c>
      <c r="W66" s="7">
        <v>0</v>
      </c>
      <c r="X66" s="7">
        <v>0</v>
      </c>
      <c r="Y66" s="7">
        <v>0</v>
      </c>
      <c r="Z66" s="7">
        <v>0</v>
      </c>
      <c r="AA66" s="7">
        <v>0</v>
      </c>
      <c r="AB66" s="7">
        <v>0</v>
      </c>
      <c r="AC66" s="7">
        <v>0</v>
      </c>
      <c r="AD66" s="7">
        <v>0</v>
      </c>
      <c r="AE66" s="7">
        <v>0</v>
      </c>
      <c r="AF66" s="7">
        <v>0</v>
      </c>
      <c r="AG66" s="7">
        <v>309.47000000000003</v>
      </c>
      <c r="AH66" s="7">
        <v>309.47000000000003</v>
      </c>
      <c r="AI66" s="7">
        <v>309.47000000000003</v>
      </c>
      <c r="AJ66" s="7">
        <v>309.47000000000003</v>
      </c>
      <c r="AK66" s="7">
        <v>309.47000000000003</v>
      </c>
      <c r="AL66" s="7">
        <v>309.47000000000003</v>
      </c>
      <c r="AM66" s="7">
        <v>309.47000000000003</v>
      </c>
    </row>
    <row r="67" spans="2:39" x14ac:dyDescent="0.2">
      <c r="B67" s="8">
        <f t="shared" si="1"/>
        <v>64</v>
      </c>
      <c r="C67" s="7">
        <v>0</v>
      </c>
      <c r="D67" s="7">
        <v>0</v>
      </c>
      <c r="E67" s="7">
        <v>0</v>
      </c>
      <c r="F67" s="7">
        <v>0</v>
      </c>
      <c r="G67" s="7">
        <v>0</v>
      </c>
      <c r="H67" s="7">
        <v>0</v>
      </c>
      <c r="I67" s="7">
        <v>0</v>
      </c>
      <c r="J67" s="7">
        <v>0</v>
      </c>
      <c r="K67" s="7">
        <v>0</v>
      </c>
      <c r="L67" s="7">
        <v>0</v>
      </c>
      <c r="M67" s="7">
        <v>0</v>
      </c>
      <c r="N67" s="7">
        <v>0</v>
      </c>
      <c r="O67" s="7">
        <v>0</v>
      </c>
      <c r="P67" s="7">
        <v>0</v>
      </c>
      <c r="Q67" s="7">
        <v>0</v>
      </c>
      <c r="R67" s="7">
        <v>0</v>
      </c>
      <c r="S67" s="7">
        <v>0</v>
      </c>
      <c r="T67" s="7">
        <v>0</v>
      </c>
      <c r="U67" s="7">
        <v>0</v>
      </c>
      <c r="V67" s="7">
        <v>0</v>
      </c>
      <c r="W67" s="7">
        <v>0</v>
      </c>
      <c r="X67" s="7">
        <v>0</v>
      </c>
      <c r="Y67" s="7">
        <v>0</v>
      </c>
      <c r="Z67" s="7">
        <v>0</v>
      </c>
      <c r="AA67" s="7">
        <v>0</v>
      </c>
      <c r="AB67" s="7">
        <v>0</v>
      </c>
      <c r="AC67" s="7">
        <v>0</v>
      </c>
      <c r="AD67" s="7">
        <v>0</v>
      </c>
      <c r="AE67" s="7">
        <v>0</v>
      </c>
      <c r="AF67" s="7">
        <v>0</v>
      </c>
      <c r="AG67" s="7">
        <v>309.47000000000003</v>
      </c>
      <c r="AH67" s="7">
        <v>309.47000000000003</v>
      </c>
      <c r="AI67" s="7">
        <v>309.47000000000003</v>
      </c>
      <c r="AJ67" s="7">
        <v>309.47000000000003</v>
      </c>
      <c r="AK67" s="7">
        <v>309.47000000000003</v>
      </c>
      <c r="AL67" s="7">
        <v>309.47000000000003</v>
      </c>
      <c r="AM67" s="7">
        <v>309.47000000000003</v>
      </c>
    </row>
    <row r="68" spans="2:39" x14ac:dyDescent="0.2">
      <c r="B68" s="8">
        <f t="shared" si="1"/>
        <v>65</v>
      </c>
      <c r="C68" s="7">
        <v>0</v>
      </c>
      <c r="D68" s="7">
        <v>0</v>
      </c>
      <c r="E68" s="7">
        <v>0</v>
      </c>
      <c r="F68" s="7">
        <v>0</v>
      </c>
      <c r="G68" s="7">
        <v>0</v>
      </c>
      <c r="H68" s="7">
        <v>0</v>
      </c>
      <c r="I68" s="7">
        <v>0</v>
      </c>
      <c r="J68" s="7">
        <v>0</v>
      </c>
      <c r="K68" s="7">
        <v>0</v>
      </c>
      <c r="L68" s="7">
        <v>0</v>
      </c>
      <c r="M68" s="7">
        <v>0</v>
      </c>
      <c r="N68" s="7">
        <v>0</v>
      </c>
      <c r="O68" s="7">
        <v>0</v>
      </c>
      <c r="P68" s="7">
        <v>0</v>
      </c>
      <c r="Q68" s="7">
        <v>0</v>
      </c>
      <c r="R68" s="7">
        <v>0</v>
      </c>
      <c r="S68" s="7">
        <v>0</v>
      </c>
      <c r="T68" s="7">
        <v>0</v>
      </c>
      <c r="U68" s="7">
        <v>0</v>
      </c>
      <c r="V68" s="7">
        <v>0</v>
      </c>
      <c r="W68" s="7">
        <v>0</v>
      </c>
      <c r="X68" s="7">
        <v>0</v>
      </c>
      <c r="Y68" s="7">
        <v>0</v>
      </c>
      <c r="Z68" s="7">
        <v>0</v>
      </c>
      <c r="AA68" s="7">
        <v>0</v>
      </c>
      <c r="AB68" s="7">
        <v>0</v>
      </c>
      <c r="AC68" s="7">
        <v>0</v>
      </c>
      <c r="AD68" s="7">
        <v>0</v>
      </c>
      <c r="AE68" s="7">
        <v>0</v>
      </c>
      <c r="AF68" s="7">
        <v>0</v>
      </c>
      <c r="AG68" s="7">
        <v>185.27</v>
      </c>
      <c r="AH68" s="7">
        <v>185.27</v>
      </c>
      <c r="AI68" s="7">
        <v>185.27</v>
      </c>
      <c r="AJ68" s="7">
        <v>185.27</v>
      </c>
      <c r="AK68" s="7">
        <v>185.27</v>
      </c>
      <c r="AL68" s="7">
        <v>185.27</v>
      </c>
      <c r="AM68" s="7">
        <v>185.27</v>
      </c>
    </row>
    <row r="69" spans="2:39" x14ac:dyDescent="0.2">
      <c r="B69" s="8">
        <f t="shared" si="1"/>
        <v>66</v>
      </c>
      <c r="C69" s="7">
        <v>0</v>
      </c>
      <c r="D69" s="7">
        <v>0</v>
      </c>
      <c r="E69" s="7">
        <v>0</v>
      </c>
      <c r="F69" s="7">
        <v>0</v>
      </c>
      <c r="G69" s="7">
        <v>0</v>
      </c>
      <c r="H69" s="7">
        <v>0</v>
      </c>
      <c r="I69" s="7">
        <v>0</v>
      </c>
      <c r="J69" s="7">
        <v>0</v>
      </c>
      <c r="K69" s="7">
        <v>0</v>
      </c>
      <c r="L69" s="7">
        <v>0</v>
      </c>
      <c r="M69" s="7">
        <v>0</v>
      </c>
      <c r="N69" s="7">
        <v>0</v>
      </c>
      <c r="O69" s="7">
        <v>0</v>
      </c>
      <c r="P69" s="7">
        <v>0</v>
      </c>
      <c r="Q69" s="7">
        <v>0</v>
      </c>
      <c r="R69" s="7">
        <v>0</v>
      </c>
      <c r="S69" s="7">
        <v>0</v>
      </c>
      <c r="T69" s="7">
        <v>0</v>
      </c>
      <c r="U69" s="7">
        <v>0</v>
      </c>
      <c r="V69" s="7">
        <v>0</v>
      </c>
      <c r="W69" s="7">
        <v>0</v>
      </c>
      <c r="X69" s="7">
        <v>0</v>
      </c>
      <c r="Y69" s="7">
        <v>0</v>
      </c>
      <c r="Z69" s="7">
        <v>0</v>
      </c>
      <c r="AA69" s="7">
        <v>0</v>
      </c>
      <c r="AB69" s="7">
        <v>0</v>
      </c>
      <c r="AC69" s="7">
        <v>0</v>
      </c>
      <c r="AD69" s="7">
        <v>0</v>
      </c>
      <c r="AE69" s="7">
        <v>0</v>
      </c>
      <c r="AF69" s="7">
        <v>0</v>
      </c>
      <c r="AG69" s="7">
        <v>0</v>
      </c>
      <c r="AH69" s="7">
        <v>0</v>
      </c>
      <c r="AI69" s="7">
        <v>0</v>
      </c>
      <c r="AJ69" s="7">
        <v>0</v>
      </c>
      <c r="AK69" s="7">
        <v>0</v>
      </c>
      <c r="AL69" s="7">
        <v>0</v>
      </c>
      <c r="AM69" s="7">
        <v>0</v>
      </c>
    </row>
    <row r="70" spans="2:39" x14ac:dyDescent="0.2">
      <c r="B70" s="8">
        <f t="shared" ref="B70:B103" si="2">B69+1</f>
        <v>67</v>
      </c>
      <c r="C70" s="7">
        <v>0</v>
      </c>
      <c r="D70" s="7">
        <v>0</v>
      </c>
      <c r="E70" s="7">
        <v>0</v>
      </c>
      <c r="F70" s="7">
        <v>0</v>
      </c>
      <c r="G70" s="7">
        <v>0</v>
      </c>
      <c r="H70" s="7">
        <v>0</v>
      </c>
      <c r="I70" s="7">
        <v>0</v>
      </c>
      <c r="J70" s="7">
        <v>0</v>
      </c>
      <c r="K70" s="7">
        <v>0</v>
      </c>
      <c r="L70" s="7">
        <v>0</v>
      </c>
      <c r="M70" s="7">
        <v>0</v>
      </c>
      <c r="N70" s="7">
        <v>0</v>
      </c>
      <c r="O70" s="7">
        <v>0</v>
      </c>
      <c r="P70" s="7">
        <v>0</v>
      </c>
      <c r="Q70" s="7">
        <v>0</v>
      </c>
      <c r="R70" s="7">
        <v>0</v>
      </c>
      <c r="S70" s="7">
        <v>0</v>
      </c>
      <c r="T70" s="7">
        <v>0</v>
      </c>
      <c r="U70" s="7">
        <v>0</v>
      </c>
      <c r="V70" s="7">
        <v>0</v>
      </c>
      <c r="W70" s="7">
        <v>0</v>
      </c>
      <c r="X70" s="7">
        <v>0</v>
      </c>
      <c r="Y70" s="7">
        <v>0</v>
      </c>
      <c r="Z70" s="7">
        <v>0</v>
      </c>
      <c r="AA70" s="7">
        <v>0</v>
      </c>
      <c r="AB70" s="7">
        <v>0</v>
      </c>
      <c r="AC70" s="7">
        <v>0</v>
      </c>
      <c r="AD70" s="7">
        <v>0</v>
      </c>
      <c r="AE70" s="7">
        <v>0</v>
      </c>
      <c r="AF70" s="7">
        <v>0</v>
      </c>
      <c r="AG70" s="7">
        <v>257.72000000000003</v>
      </c>
      <c r="AH70" s="7">
        <v>257.72000000000003</v>
      </c>
      <c r="AI70" s="7">
        <v>257.72000000000003</v>
      </c>
      <c r="AJ70" s="7">
        <v>257.72000000000003</v>
      </c>
      <c r="AK70" s="7">
        <v>257.72000000000003</v>
      </c>
      <c r="AL70" s="7">
        <v>257.72000000000003</v>
      </c>
      <c r="AM70" s="7">
        <v>257.72000000000003</v>
      </c>
    </row>
    <row r="71" spans="2:39" x14ac:dyDescent="0.2">
      <c r="B71" s="8">
        <f t="shared" si="2"/>
        <v>68</v>
      </c>
      <c r="C71" s="7">
        <v>0</v>
      </c>
      <c r="D71" s="7">
        <v>0</v>
      </c>
      <c r="E71" s="7">
        <v>0</v>
      </c>
      <c r="F71" s="7">
        <v>0</v>
      </c>
      <c r="G71" s="7">
        <v>0</v>
      </c>
      <c r="H71" s="7">
        <v>0</v>
      </c>
      <c r="I71" s="7">
        <v>0</v>
      </c>
      <c r="J71" s="7">
        <v>0</v>
      </c>
      <c r="K71" s="7">
        <v>0</v>
      </c>
      <c r="L71" s="7">
        <v>0</v>
      </c>
      <c r="M71" s="7">
        <v>0</v>
      </c>
      <c r="N71" s="7">
        <v>0</v>
      </c>
      <c r="O71" s="7">
        <v>0</v>
      </c>
      <c r="P71" s="7">
        <v>0</v>
      </c>
      <c r="Q71" s="7">
        <v>0</v>
      </c>
      <c r="R71" s="7">
        <v>0</v>
      </c>
      <c r="S71" s="7">
        <v>0</v>
      </c>
      <c r="T71" s="7">
        <v>0</v>
      </c>
      <c r="U71" s="7">
        <v>0</v>
      </c>
      <c r="V71" s="7">
        <v>0</v>
      </c>
      <c r="W71" s="7">
        <v>0</v>
      </c>
      <c r="X71" s="7">
        <v>0</v>
      </c>
      <c r="Y71" s="7">
        <v>0</v>
      </c>
      <c r="Z71" s="7">
        <v>0</v>
      </c>
      <c r="AA71" s="7">
        <v>0</v>
      </c>
      <c r="AB71" s="7">
        <v>0</v>
      </c>
      <c r="AC71" s="7">
        <v>0</v>
      </c>
      <c r="AD71" s="7">
        <v>0</v>
      </c>
      <c r="AE71" s="7">
        <v>0</v>
      </c>
      <c r="AF71" s="7">
        <v>0</v>
      </c>
      <c r="AG71" s="7">
        <v>361.22</v>
      </c>
      <c r="AH71" s="7">
        <v>361.22</v>
      </c>
      <c r="AI71" s="7">
        <v>361.22</v>
      </c>
      <c r="AJ71" s="7">
        <v>361.22</v>
      </c>
      <c r="AK71" s="7">
        <v>361.22</v>
      </c>
      <c r="AL71" s="7">
        <v>361.22</v>
      </c>
      <c r="AM71" s="7">
        <v>361.22</v>
      </c>
    </row>
    <row r="72" spans="2:39" x14ac:dyDescent="0.2">
      <c r="B72" s="8">
        <f t="shared" si="2"/>
        <v>69</v>
      </c>
      <c r="C72" s="7">
        <v>0</v>
      </c>
      <c r="D72" s="7">
        <v>0</v>
      </c>
      <c r="E72" s="7">
        <v>0</v>
      </c>
      <c r="F72" s="7">
        <v>0</v>
      </c>
      <c r="G72" s="7">
        <v>0</v>
      </c>
      <c r="H72" s="7">
        <v>0</v>
      </c>
      <c r="I72" s="7">
        <v>0</v>
      </c>
      <c r="J72" s="7">
        <v>0</v>
      </c>
      <c r="K72" s="7">
        <v>0</v>
      </c>
      <c r="L72" s="7">
        <v>0</v>
      </c>
      <c r="M72" s="7">
        <v>0</v>
      </c>
      <c r="N72" s="7">
        <v>0</v>
      </c>
      <c r="O72" s="7">
        <v>0</v>
      </c>
      <c r="P72" s="7">
        <v>0</v>
      </c>
      <c r="Q72" s="7">
        <v>0</v>
      </c>
      <c r="R72" s="7">
        <v>0</v>
      </c>
      <c r="S72" s="7">
        <v>0</v>
      </c>
      <c r="T72" s="7">
        <v>0</v>
      </c>
      <c r="U72" s="7">
        <v>0</v>
      </c>
      <c r="V72" s="7">
        <v>0</v>
      </c>
      <c r="W72" s="7">
        <v>0</v>
      </c>
      <c r="X72" s="7">
        <v>0</v>
      </c>
      <c r="Y72" s="7">
        <v>0</v>
      </c>
      <c r="Z72" s="7">
        <v>0</v>
      </c>
      <c r="AA72" s="7">
        <v>0</v>
      </c>
      <c r="AB72" s="7">
        <v>0</v>
      </c>
      <c r="AC72" s="7">
        <v>0</v>
      </c>
      <c r="AD72" s="7">
        <v>0</v>
      </c>
      <c r="AE72" s="7">
        <v>0</v>
      </c>
      <c r="AF72" s="7">
        <v>0</v>
      </c>
      <c r="AG72" s="7">
        <v>0</v>
      </c>
      <c r="AH72" s="7">
        <v>0</v>
      </c>
      <c r="AI72" s="7">
        <v>0</v>
      </c>
      <c r="AJ72" s="7">
        <v>0</v>
      </c>
      <c r="AK72" s="7">
        <v>0</v>
      </c>
      <c r="AL72" s="7">
        <v>0</v>
      </c>
      <c r="AM72" s="7">
        <v>0</v>
      </c>
    </row>
    <row r="73" spans="2:39" x14ac:dyDescent="0.2">
      <c r="B73" s="8">
        <f t="shared" si="2"/>
        <v>70</v>
      </c>
      <c r="C73" s="7">
        <v>0</v>
      </c>
      <c r="D73" s="7">
        <v>0</v>
      </c>
      <c r="E73" s="7">
        <v>0</v>
      </c>
      <c r="F73" s="7">
        <v>0</v>
      </c>
      <c r="G73" s="7">
        <v>0</v>
      </c>
      <c r="H73" s="7">
        <v>0</v>
      </c>
      <c r="I73" s="7">
        <v>0</v>
      </c>
      <c r="J73" s="7">
        <v>0</v>
      </c>
      <c r="K73" s="7">
        <v>0</v>
      </c>
      <c r="L73" s="7">
        <v>0</v>
      </c>
      <c r="M73" s="7">
        <v>0</v>
      </c>
      <c r="N73" s="7">
        <v>0</v>
      </c>
      <c r="O73" s="7">
        <v>0</v>
      </c>
      <c r="P73" s="7">
        <v>0</v>
      </c>
      <c r="Q73" s="7">
        <v>0</v>
      </c>
      <c r="R73" s="7">
        <v>0</v>
      </c>
      <c r="S73" s="7">
        <v>0</v>
      </c>
      <c r="T73" s="7">
        <v>0</v>
      </c>
      <c r="U73" s="7">
        <v>0</v>
      </c>
      <c r="V73" s="7">
        <v>0</v>
      </c>
      <c r="W73" s="7">
        <v>0</v>
      </c>
      <c r="X73" s="7">
        <v>0</v>
      </c>
      <c r="Y73" s="7">
        <v>0</v>
      </c>
      <c r="Z73" s="7">
        <v>0</v>
      </c>
      <c r="AA73" s="7">
        <v>0</v>
      </c>
      <c r="AB73" s="7">
        <v>0</v>
      </c>
      <c r="AC73" s="7">
        <v>0</v>
      </c>
      <c r="AD73" s="7">
        <v>0</v>
      </c>
      <c r="AE73" s="7">
        <v>0</v>
      </c>
      <c r="AF73" s="7">
        <v>0</v>
      </c>
      <c r="AG73" s="7">
        <v>185.27</v>
      </c>
      <c r="AH73" s="7">
        <v>185.27</v>
      </c>
      <c r="AI73" s="7">
        <v>185.27</v>
      </c>
      <c r="AJ73" s="7">
        <v>185.27</v>
      </c>
      <c r="AK73" s="7">
        <v>185.27</v>
      </c>
      <c r="AL73" s="7">
        <v>185.27</v>
      </c>
      <c r="AM73" s="7">
        <v>185.27</v>
      </c>
    </row>
    <row r="74" spans="2:39" x14ac:dyDescent="0.2">
      <c r="B74" s="8">
        <f t="shared" si="2"/>
        <v>71</v>
      </c>
      <c r="C74" s="7">
        <v>299</v>
      </c>
      <c r="D74" s="7">
        <v>299</v>
      </c>
      <c r="E74" s="7">
        <v>299</v>
      </c>
      <c r="F74" s="7">
        <v>299</v>
      </c>
      <c r="G74" s="7">
        <v>299</v>
      </c>
      <c r="H74" s="7">
        <v>299</v>
      </c>
      <c r="I74" s="7">
        <v>299</v>
      </c>
      <c r="J74" s="7">
        <v>299</v>
      </c>
      <c r="K74" s="7">
        <v>299</v>
      </c>
      <c r="L74" s="7">
        <v>299</v>
      </c>
      <c r="M74" s="7">
        <v>299</v>
      </c>
      <c r="N74" s="7">
        <v>0</v>
      </c>
      <c r="O74" s="7">
        <v>0</v>
      </c>
      <c r="P74" s="7">
        <v>0</v>
      </c>
      <c r="Q74" s="7">
        <v>0</v>
      </c>
      <c r="R74" s="7">
        <v>0</v>
      </c>
      <c r="S74" s="7">
        <v>0</v>
      </c>
      <c r="T74" s="7">
        <v>0</v>
      </c>
      <c r="U74" s="7">
        <v>0</v>
      </c>
      <c r="V74" s="7">
        <v>0</v>
      </c>
      <c r="W74" s="7">
        <v>0</v>
      </c>
      <c r="X74" s="7">
        <v>0</v>
      </c>
      <c r="Y74" s="7">
        <v>0</v>
      </c>
      <c r="Z74" s="7">
        <v>0</v>
      </c>
      <c r="AA74" s="7">
        <v>0</v>
      </c>
      <c r="AB74" s="7">
        <v>0</v>
      </c>
      <c r="AC74" s="7">
        <v>0</v>
      </c>
      <c r="AD74" s="7">
        <v>0</v>
      </c>
      <c r="AE74" s="7">
        <v>0</v>
      </c>
      <c r="AF74" s="7">
        <v>0</v>
      </c>
      <c r="AG74" s="7">
        <v>0</v>
      </c>
      <c r="AH74" s="7">
        <v>0</v>
      </c>
      <c r="AI74" s="7">
        <v>0</v>
      </c>
      <c r="AJ74" s="7">
        <v>0</v>
      </c>
      <c r="AK74" s="7">
        <v>0</v>
      </c>
      <c r="AL74" s="7">
        <v>0</v>
      </c>
      <c r="AM74" s="7">
        <v>0</v>
      </c>
    </row>
    <row r="75" spans="2:39" x14ac:dyDescent="0.2">
      <c r="B75" s="8">
        <f t="shared" si="2"/>
        <v>72</v>
      </c>
      <c r="C75" s="7">
        <v>288.14999999999998</v>
      </c>
      <c r="D75" s="7">
        <v>288.14999999999998</v>
      </c>
      <c r="E75" s="7">
        <v>288.14999999999998</v>
      </c>
      <c r="F75" s="7">
        <v>288.14999999999998</v>
      </c>
      <c r="G75" s="7">
        <v>288.14999999999998</v>
      </c>
      <c r="H75" s="7">
        <v>288.14999999999998</v>
      </c>
      <c r="I75" s="7">
        <v>288.14999999999998</v>
      </c>
      <c r="J75" s="7">
        <v>288.14999999999998</v>
      </c>
      <c r="K75" s="7">
        <v>288.14999999999998</v>
      </c>
      <c r="L75" s="7">
        <v>288.14999999999998</v>
      </c>
      <c r="M75" s="7">
        <v>288.14999999999998</v>
      </c>
      <c r="N75" s="7">
        <v>288.14999999999998</v>
      </c>
      <c r="O75" s="7">
        <v>288.14999999999998</v>
      </c>
      <c r="P75" s="7">
        <v>288.14999999999998</v>
      </c>
      <c r="Q75" s="7">
        <v>288.14999999999998</v>
      </c>
      <c r="R75" s="7">
        <v>288.14999999999998</v>
      </c>
      <c r="S75" s="7">
        <v>288.14999999999998</v>
      </c>
      <c r="T75" s="7">
        <v>288.14999999999998</v>
      </c>
      <c r="U75" s="7">
        <v>288.14999999999998</v>
      </c>
      <c r="V75" s="7">
        <v>288.14999999999998</v>
      </c>
      <c r="W75" s="7">
        <v>288.14999999999998</v>
      </c>
      <c r="X75" s="7">
        <v>288.14999999999998</v>
      </c>
      <c r="Y75" s="7">
        <v>288.14999999999998</v>
      </c>
      <c r="Z75" s="7">
        <v>288.14999999999998</v>
      </c>
      <c r="AA75" s="7">
        <v>288.14999999999998</v>
      </c>
      <c r="AB75" s="7">
        <v>288.14999999999998</v>
      </c>
      <c r="AC75" s="7">
        <v>288.14999999999998</v>
      </c>
      <c r="AD75" s="7">
        <v>288.14999999999998</v>
      </c>
      <c r="AE75" s="7">
        <v>288.14999999999998</v>
      </c>
      <c r="AF75" s="7">
        <v>288.14999999999998</v>
      </c>
      <c r="AG75" s="7">
        <v>288.14999999999998</v>
      </c>
      <c r="AH75" s="7">
        <v>288.14999999999998</v>
      </c>
      <c r="AI75" s="7">
        <v>288.14999999999998</v>
      </c>
      <c r="AJ75" s="7">
        <v>288.14999999999998</v>
      </c>
      <c r="AK75" s="7">
        <v>288.14999999999998</v>
      </c>
      <c r="AL75" s="7">
        <v>288.14999999999998</v>
      </c>
      <c r="AM75" s="7">
        <v>288.14999999999998</v>
      </c>
    </row>
    <row r="76" spans="2:39" x14ac:dyDescent="0.2">
      <c r="B76" s="8">
        <f t="shared" si="2"/>
        <v>73</v>
      </c>
      <c r="C76" s="7">
        <v>195.67</v>
      </c>
      <c r="D76" s="7">
        <v>195.67</v>
      </c>
      <c r="E76" s="7">
        <v>195.67</v>
      </c>
      <c r="F76" s="7">
        <v>195.67</v>
      </c>
      <c r="G76" s="7">
        <v>195.67</v>
      </c>
      <c r="H76" s="7">
        <v>195.67</v>
      </c>
      <c r="I76" s="7">
        <v>195.67</v>
      </c>
      <c r="J76" s="7">
        <v>195.67</v>
      </c>
      <c r="K76" s="7">
        <v>195.67</v>
      </c>
      <c r="L76" s="7">
        <v>331.55</v>
      </c>
      <c r="M76" s="7">
        <v>331.55</v>
      </c>
      <c r="N76" s="7">
        <v>331.55</v>
      </c>
      <c r="O76" s="7">
        <v>331.55</v>
      </c>
      <c r="P76" s="7">
        <v>331.55</v>
      </c>
      <c r="Q76" s="7">
        <v>331.55</v>
      </c>
      <c r="R76" s="7">
        <v>331.55</v>
      </c>
      <c r="S76" s="7">
        <v>331.55</v>
      </c>
      <c r="T76" s="7">
        <v>331.55</v>
      </c>
      <c r="U76" s="7">
        <v>331.55</v>
      </c>
      <c r="V76" s="7">
        <v>331.55</v>
      </c>
      <c r="W76" s="7">
        <v>331.55</v>
      </c>
      <c r="X76" s="7">
        <v>331.55</v>
      </c>
      <c r="Y76" s="7">
        <v>331.55</v>
      </c>
      <c r="Z76" s="7">
        <v>331.55</v>
      </c>
      <c r="AA76" s="7">
        <v>331.55</v>
      </c>
      <c r="AB76" s="7">
        <v>331.55</v>
      </c>
      <c r="AC76" s="7">
        <v>331.55</v>
      </c>
      <c r="AD76" s="7">
        <v>331.55</v>
      </c>
      <c r="AE76" s="7">
        <v>331.55</v>
      </c>
      <c r="AF76" s="7">
        <v>331.55</v>
      </c>
      <c r="AG76" s="7">
        <v>343.16</v>
      </c>
      <c r="AH76" s="7">
        <v>343.16</v>
      </c>
      <c r="AI76" s="7">
        <v>343.16</v>
      </c>
      <c r="AJ76" s="7">
        <v>343.16</v>
      </c>
      <c r="AK76" s="7">
        <v>343.16</v>
      </c>
      <c r="AL76" s="7">
        <v>343.16</v>
      </c>
      <c r="AM76" s="7">
        <v>343.16</v>
      </c>
    </row>
    <row r="77" spans="2:39" x14ac:dyDescent="0.2">
      <c r="B77" s="8">
        <f t="shared" si="2"/>
        <v>74</v>
      </c>
      <c r="C77" s="7">
        <v>111.61</v>
      </c>
      <c r="D77" s="7">
        <v>111.61</v>
      </c>
      <c r="E77" s="7">
        <v>112.81</v>
      </c>
      <c r="F77" s="7">
        <v>116.08</v>
      </c>
      <c r="G77" s="7">
        <v>115.18</v>
      </c>
      <c r="H77" s="7">
        <v>134.98000000000002</v>
      </c>
      <c r="I77" s="7">
        <v>135</v>
      </c>
      <c r="J77" s="7">
        <v>129</v>
      </c>
      <c r="K77" s="7">
        <v>129</v>
      </c>
      <c r="L77" s="7">
        <v>129</v>
      </c>
      <c r="M77" s="7">
        <v>129</v>
      </c>
      <c r="N77" s="7">
        <v>129</v>
      </c>
      <c r="O77" s="7">
        <v>129</v>
      </c>
      <c r="P77" s="7">
        <v>129</v>
      </c>
      <c r="Q77" s="7">
        <v>129</v>
      </c>
      <c r="R77" s="7">
        <v>129</v>
      </c>
      <c r="S77" s="7">
        <v>103.2</v>
      </c>
      <c r="T77" s="7">
        <v>0</v>
      </c>
      <c r="U77" s="7">
        <v>0</v>
      </c>
      <c r="V77" s="7">
        <v>0</v>
      </c>
      <c r="W77" s="7">
        <v>0</v>
      </c>
      <c r="X77" s="7">
        <v>0</v>
      </c>
      <c r="Y77" s="7">
        <v>0</v>
      </c>
      <c r="Z77" s="7">
        <v>0</v>
      </c>
      <c r="AA77" s="7">
        <v>0</v>
      </c>
      <c r="AB77" s="7">
        <v>0</v>
      </c>
      <c r="AC77" s="7">
        <v>0</v>
      </c>
      <c r="AD77" s="7">
        <v>0</v>
      </c>
      <c r="AE77" s="7">
        <v>0</v>
      </c>
      <c r="AF77" s="7">
        <v>0</v>
      </c>
      <c r="AG77" s="7">
        <v>0</v>
      </c>
      <c r="AH77" s="7">
        <v>0</v>
      </c>
      <c r="AI77" s="7">
        <v>0</v>
      </c>
      <c r="AJ77" s="7">
        <v>0</v>
      </c>
      <c r="AK77" s="7">
        <v>0</v>
      </c>
      <c r="AL77" s="7">
        <v>0</v>
      </c>
      <c r="AM77" s="7">
        <v>0</v>
      </c>
    </row>
    <row r="78" spans="2:39" x14ac:dyDescent="0.2">
      <c r="B78" s="8">
        <f t="shared" si="2"/>
        <v>75</v>
      </c>
      <c r="C78" s="7">
        <v>179</v>
      </c>
      <c r="D78" s="7">
        <v>179</v>
      </c>
      <c r="E78" s="7">
        <v>179</v>
      </c>
      <c r="F78" s="7">
        <v>179</v>
      </c>
      <c r="G78" s="7">
        <v>179</v>
      </c>
      <c r="H78" s="7">
        <v>179</v>
      </c>
      <c r="I78" s="7">
        <v>179</v>
      </c>
      <c r="J78" s="7">
        <v>179</v>
      </c>
      <c r="K78" s="7">
        <v>179</v>
      </c>
      <c r="L78" s="7">
        <v>179</v>
      </c>
      <c r="M78" s="7">
        <v>179</v>
      </c>
      <c r="N78" s="7">
        <v>179</v>
      </c>
      <c r="O78" s="7">
        <v>179</v>
      </c>
      <c r="P78" s="7">
        <v>179</v>
      </c>
      <c r="Q78" s="7">
        <v>179</v>
      </c>
      <c r="R78" s="7">
        <v>179</v>
      </c>
      <c r="S78" s="7">
        <v>179</v>
      </c>
      <c r="T78" s="7">
        <v>179</v>
      </c>
      <c r="U78" s="7">
        <v>179</v>
      </c>
      <c r="V78" s="7">
        <v>179</v>
      </c>
      <c r="W78" s="7">
        <v>179</v>
      </c>
      <c r="X78" s="7">
        <v>179</v>
      </c>
      <c r="Y78" s="7">
        <v>179</v>
      </c>
      <c r="Z78" s="7">
        <v>179</v>
      </c>
      <c r="AA78" s="7">
        <v>179</v>
      </c>
      <c r="AB78" s="7">
        <v>179</v>
      </c>
      <c r="AC78" s="7">
        <v>179</v>
      </c>
      <c r="AD78" s="7">
        <v>179</v>
      </c>
      <c r="AE78" s="7">
        <v>179</v>
      </c>
      <c r="AF78" s="7">
        <v>185.27</v>
      </c>
      <c r="AG78" s="7">
        <v>185.27</v>
      </c>
      <c r="AH78" s="7">
        <v>185.27</v>
      </c>
      <c r="AI78" s="7">
        <v>185.27</v>
      </c>
      <c r="AJ78" s="7">
        <v>185.27</v>
      </c>
      <c r="AK78" s="7">
        <v>185.27</v>
      </c>
      <c r="AL78" s="7">
        <v>185.27</v>
      </c>
      <c r="AM78" s="7">
        <v>185.27</v>
      </c>
    </row>
    <row r="79" spans="2:39" x14ac:dyDescent="0.2">
      <c r="B79" s="8">
        <f t="shared" si="2"/>
        <v>76</v>
      </c>
      <c r="C79" s="7">
        <v>323.10000000000002</v>
      </c>
      <c r="D79" s="7">
        <v>323.10000000000002</v>
      </c>
      <c r="E79" s="7">
        <v>323.10000000000002</v>
      </c>
      <c r="F79" s="7">
        <v>323.10000000000002</v>
      </c>
      <c r="G79" s="7">
        <v>352.18</v>
      </c>
      <c r="H79" s="7">
        <v>294.02</v>
      </c>
      <c r="I79" s="7">
        <v>323.10000000000002</v>
      </c>
      <c r="J79" s="7">
        <v>323.10000000000002</v>
      </c>
      <c r="K79" s="7">
        <v>323.10000000000002</v>
      </c>
      <c r="L79" s="7">
        <v>323.10000000000002</v>
      </c>
      <c r="M79" s="7">
        <v>326.69</v>
      </c>
      <c r="N79" s="7">
        <v>326.69</v>
      </c>
      <c r="O79" s="7">
        <v>326.69</v>
      </c>
      <c r="P79" s="7">
        <v>326.69</v>
      </c>
      <c r="Q79" s="7">
        <v>337.46</v>
      </c>
      <c r="R79" s="7">
        <v>337.46</v>
      </c>
      <c r="S79" s="7">
        <v>337.46</v>
      </c>
      <c r="T79" s="7">
        <v>337.46</v>
      </c>
      <c r="U79" s="7">
        <v>337.46</v>
      </c>
      <c r="V79" s="7">
        <v>337.46</v>
      </c>
      <c r="W79" s="7">
        <v>337.46</v>
      </c>
      <c r="X79" s="7">
        <v>337.46</v>
      </c>
      <c r="Y79" s="7">
        <v>337.46</v>
      </c>
      <c r="Z79" s="7">
        <v>337.46</v>
      </c>
      <c r="AA79" s="7">
        <v>337.46</v>
      </c>
      <c r="AB79" s="7">
        <v>337.46</v>
      </c>
      <c r="AC79" s="7">
        <v>337.46</v>
      </c>
      <c r="AD79" s="7">
        <v>337.46</v>
      </c>
      <c r="AE79" s="7">
        <v>337.46</v>
      </c>
      <c r="AF79" s="7">
        <v>349.28</v>
      </c>
      <c r="AG79" s="7">
        <v>349.28</v>
      </c>
      <c r="AH79" s="7">
        <v>349.28</v>
      </c>
      <c r="AI79" s="7">
        <v>349.28</v>
      </c>
      <c r="AJ79" s="7">
        <v>349.28</v>
      </c>
      <c r="AK79" s="7">
        <v>349.28</v>
      </c>
      <c r="AL79" s="7">
        <v>349.28</v>
      </c>
      <c r="AM79" s="7">
        <v>349.28</v>
      </c>
    </row>
    <row r="80" spans="2:39" x14ac:dyDescent="0.2">
      <c r="B80" s="8">
        <f t="shared" si="2"/>
        <v>77</v>
      </c>
      <c r="C80" s="7">
        <v>288.14999999999998</v>
      </c>
      <c r="D80" s="7">
        <v>288.14999999999998</v>
      </c>
      <c r="E80" s="7">
        <v>288.14999999999998</v>
      </c>
      <c r="F80" s="7">
        <v>288.14999999999998</v>
      </c>
      <c r="G80" s="7">
        <v>288.14999999999998</v>
      </c>
      <c r="H80" s="7">
        <v>288.14999999999998</v>
      </c>
      <c r="I80" s="7">
        <v>288.14999999999998</v>
      </c>
      <c r="J80" s="7">
        <v>288.14999999999998</v>
      </c>
      <c r="K80" s="7">
        <v>288.14999999999998</v>
      </c>
      <c r="L80" s="7">
        <v>288.14999999999998</v>
      </c>
      <c r="M80" s="7">
        <v>288.14999999999998</v>
      </c>
      <c r="N80" s="7">
        <v>288.14999999999998</v>
      </c>
      <c r="O80" s="7">
        <v>288.14999999999998</v>
      </c>
      <c r="P80" s="7">
        <v>288.14999999999998</v>
      </c>
      <c r="Q80" s="7">
        <v>288.14999999999998</v>
      </c>
      <c r="R80" s="7">
        <v>288.14999999999998</v>
      </c>
      <c r="S80" s="7">
        <v>288.14999999999998</v>
      </c>
      <c r="T80" s="7">
        <v>288.14999999999998</v>
      </c>
      <c r="U80" s="7">
        <v>288.14999999999998</v>
      </c>
      <c r="V80" s="7">
        <v>288.14999999999998</v>
      </c>
      <c r="W80" s="7">
        <v>288.14999999999998</v>
      </c>
      <c r="X80" s="7">
        <v>288.14999999999998</v>
      </c>
      <c r="Y80" s="7">
        <v>288.14999999999998</v>
      </c>
      <c r="Z80" s="7">
        <v>288.14999999999998</v>
      </c>
      <c r="AA80" s="7">
        <v>288.14999999999998</v>
      </c>
      <c r="AB80" s="7">
        <v>288.14999999999998</v>
      </c>
      <c r="AC80" s="7">
        <v>288.14999999999998</v>
      </c>
      <c r="AD80" s="7">
        <v>288.14999999999998</v>
      </c>
      <c r="AE80" s="7">
        <v>288.14999999999998</v>
      </c>
      <c r="AF80" s="7">
        <v>288.14999999999998</v>
      </c>
      <c r="AG80" s="7">
        <v>288.14999999999998</v>
      </c>
      <c r="AH80" s="7">
        <v>288.14999999999998</v>
      </c>
      <c r="AI80" s="7">
        <v>288.14999999999998</v>
      </c>
      <c r="AJ80" s="7">
        <v>288.14999999999998</v>
      </c>
      <c r="AK80" s="7">
        <v>288.14999999999998</v>
      </c>
      <c r="AL80" s="7">
        <v>288.14999999999998</v>
      </c>
      <c r="AM80" s="7">
        <v>288.14999999999998</v>
      </c>
    </row>
    <row r="81" spans="2:39" x14ac:dyDescent="0.2">
      <c r="B81" s="8">
        <f t="shared" si="2"/>
        <v>78</v>
      </c>
      <c r="C81" s="7">
        <v>219</v>
      </c>
      <c r="D81" s="7">
        <v>219</v>
      </c>
      <c r="E81" s="7">
        <v>219</v>
      </c>
      <c r="F81" s="7">
        <v>219</v>
      </c>
      <c r="G81" s="7">
        <v>219</v>
      </c>
      <c r="H81" s="7">
        <v>219</v>
      </c>
      <c r="I81" s="7">
        <v>219</v>
      </c>
      <c r="J81" s="7">
        <v>219</v>
      </c>
      <c r="K81" s="7">
        <v>219</v>
      </c>
      <c r="L81" s="7">
        <v>219</v>
      </c>
      <c r="M81" s="7">
        <v>219</v>
      </c>
      <c r="N81" s="7">
        <v>219</v>
      </c>
      <c r="O81" s="7">
        <v>219</v>
      </c>
      <c r="P81" s="7">
        <v>219</v>
      </c>
      <c r="Q81" s="7">
        <v>219</v>
      </c>
      <c r="R81" s="7">
        <v>179</v>
      </c>
      <c r="S81" s="7">
        <v>179</v>
      </c>
      <c r="T81" s="7">
        <v>179</v>
      </c>
      <c r="U81" s="7">
        <v>179</v>
      </c>
      <c r="V81" s="7">
        <v>179</v>
      </c>
      <c r="W81" s="7">
        <v>179</v>
      </c>
      <c r="X81" s="7">
        <v>179</v>
      </c>
      <c r="Y81" s="7">
        <v>179</v>
      </c>
      <c r="Z81" s="7">
        <v>179</v>
      </c>
      <c r="AA81" s="7">
        <v>179</v>
      </c>
      <c r="AB81" s="7">
        <v>179</v>
      </c>
      <c r="AC81" s="7">
        <v>179</v>
      </c>
      <c r="AD81" s="7">
        <v>179</v>
      </c>
      <c r="AE81" s="7">
        <v>179</v>
      </c>
      <c r="AF81" s="7">
        <v>185.27</v>
      </c>
      <c r="AG81" s="7">
        <v>185.27</v>
      </c>
      <c r="AH81" s="7">
        <v>185.27</v>
      </c>
      <c r="AI81" s="7">
        <v>185.27</v>
      </c>
      <c r="AJ81" s="7">
        <v>185.27</v>
      </c>
      <c r="AK81" s="7">
        <v>185.27</v>
      </c>
      <c r="AL81" s="7">
        <v>185.27</v>
      </c>
      <c r="AM81" s="7">
        <v>185.27</v>
      </c>
    </row>
    <row r="82" spans="2:39" x14ac:dyDescent="0.2">
      <c r="B82" s="8">
        <f t="shared" si="2"/>
        <v>79</v>
      </c>
      <c r="C82" s="7">
        <v>254.15</v>
      </c>
      <c r="D82" s="7">
        <v>254.15</v>
      </c>
      <c r="E82" s="7">
        <v>254.15</v>
      </c>
      <c r="F82" s="7">
        <v>254.15</v>
      </c>
      <c r="G82" s="7">
        <v>254.15</v>
      </c>
      <c r="H82" s="7">
        <v>254.15</v>
      </c>
      <c r="I82" s="7">
        <v>254.15</v>
      </c>
      <c r="J82" s="7">
        <v>254.15</v>
      </c>
      <c r="K82" s="7">
        <v>254.15</v>
      </c>
      <c r="L82" s="7">
        <v>254.15</v>
      </c>
      <c r="M82" s="7">
        <v>254.15</v>
      </c>
      <c r="N82" s="7">
        <v>254.15</v>
      </c>
      <c r="O82" s="7">
        <v>254.15</v>
      </c>
      <c r="P82" s="7">
        <v>254.15</v>
      </c>
      <c r="Q82" s="7">
        <v>254.15</v>
      </c>
      <c r="R82" s="7">
        <v>254.15</v>
      </c>
      <c r="S82" s="7">
        <v>254.15</v>
      </c>
      <c r="T82" s="7">
        <v>254.15</v>
      </c>
      <c r="U82" s="7">
        <v>254.15</v>
      </c>
      <c r="V82" s="7">
        <v>254.15</v>
      </c>
      <c r="W82" s="7">
        <v>254.15</v>
      </c>
      <c r="X82" s="7">
        <v>254.15</v>
      </c>
      <c r="Y82" s="7">
        <v>254.15</v>
      </c>
      <c r="Z82" s="7">
        <v>254.15</v>
      </c>
      <c r="AA82" s="7">
        <v>254.15</v>
      </c>
      <c r="AB82" s="7">
        <v>254.15</v>
      </c>
      <c r="AC82" s="7">
        <v>254.15</v>
      </c>
      <c r="AD82" s="7">
        <v>254.15</v>
      </c>
      <c r="AE82" s="7">
        <v>254.15</v>
      </c>
      <c r="AF82" s="7">
        <v>254.15</v>
      </c>
      <c r="AG82" s="7">
        <v>254.15</v>
      </c>
      <c r="AH82" s="7">
        <v>254.15</v>
      </c>
      <c r="AI82" s="7">
        <v>254.15</v>
      </c>
      <c r="AJ82" s="7">
        <v>254.15</v>
      </c>
      <c r="AK82" s="7">
        <v>254.15</v>
      </c>
      <c r="AL82" s="7">
        <v>254.15</v>
      </c>
      <c r="AM82" s="7">
        <v>254.15</v>
      </c>
    </row>
    <row r="83" spans="2:39" x14ac:dyDescent="0.2">
      <c r="B83" s="8">
        <f t="shared" si="2"/>
        <v>80</v>
      </c>
      <c r="C83" s="7">
        <v>179</v>
      </c>
      <c r="D83" s="7">
        <v>179</v>
      </c>
      <c r="E83" s="7">
        <v>179</v>
      </c>
      <c r="F83" s="7">
        <v>179</v>
      </c>
      <c r="G83" s="7">
        <v>179</v>
      </c>
      <c r="H83" s="7">
        <v>179</v>
      </c>
      <c r="I83" s="7">
        <v>179</v>
      </c>
      <c r="J83" s="7">
        <v>179</v>
      </c>
      <c r="K83" s="7">
        <v>179</v>
      </c>
      <c r="L83" s="7">
        <v>179</v>
      </c>
      <c r="M83" s="7">
        <v>179</v>
      </c>
      <c r="N83" s="7">
        <v>179</v>
      </c>
      <c r="O83" s="7">
        <v>179</v>
      </c>
      <c r="P83" s="7">
        <v>179</v>
      </c>
      <c r="Q83" s="7">
        <v>179</v>
      </c>
      <c r="R83" s="7">
        <v>179</v>
      </c>
      <c r="S83" s="7">
        <v>179</v>
      </c>
      <c r="T83" s="7">
        <v>179</v>
      </c>
      <c r="U83" s="7">
        <v>179</v>
      </c>
      <c r="V83" s="7">
        <v>179</v>
      </c>
      <c r="W83" s="7">
        <v>179</v>
      </c>
      <c r="X83" s="7">
        <v>179</v>
      </c>
      <c r="Y83" s="7">
        <v>199.55</v>
      </c>
      <c r="Z83" s="7">
        <v>185.27</v>
      </c>
      <c r="AA83" s="7">
        <v>185.27</v>
      </c>
      <c r="AB83" s="7">
        <v>185.27</v>
      </c>
      <c r="AC83" s="7">
        <v>185.27</v>
      </c>
      <c r="AD83" s="7">
        <v>185.27</v>
      </c>
      <c r="AE83" s="7">
        <v>185.27</v>
      </c>
      <c r="AF83" s="7">
        <v>185.27</v>
      </c>
      <c r="AG83" s="7">
        <v>185.27</v>
      </c>
      <c r="AH83" s="7">
        <v>185.27</v>
      </c>
      <c r="AI83" s="7">
        <v>185.27</v>
      </c>
      <c r="AJ83" s="7">
        <v>191.75</v>
      </c>
      <c r="AK83" s="7">
        <v>191.75</v>
      </c>
      <c r="AL83" s="7">
        <v>191.75</v>
      </c>
      <c r="AM83" s="7">
        <v>191.75</v>
      </c>
    </row>
    <row r="84" spans="2:39" x14ac:dyDescent="0.2">
      <c r="B84" s="8">
        <f t="shared" si="2"/>
        <v>81</v>
      </c>
      <c r="C84" s="7">
        <v>199</v>
      </c>
      <c r="D84" s="7">
        <v>199</v>
      </c>
      <c r="E84" s="7">
        <v>149</v>
      </c>
      <c r="F84" s="7">
        <v>149</v>
      </c>
      <c r="G84" s="7">
        <v>149</v>
      </c>
      <c r="H84" s="7">
        <v>149</v>
      </c>
      <c r="I84" s="7">
        <v>149</v>
      </c>
      <c r="J84" s="7">
        <v>149</v>
      </c>
      <c r="K84" s="7">
        <v>149</v>
      </c>
      <c r="L84" s="7">
        <v>149</v>
      </c>
      <c r="M84" s="7">
        <v>149</v>
      </c>
      <c r="N84" s="7">
        <v>149</v>
      </c>
      <c r="O84" s="7">
        <v>149</v>
      </c>
      <c r="P84" s="7">
        <v>149</v>
      </c>
      <c r="Q84" s="7">
        <v>149</v>
      </c>
      <c r="R84" s="7">
        <v>149</v>
      </c>
      <c r="S84" s="7">
        <v>149</v>
      </c>
      <c r="T84" s="7">
        <v>149</v>
      </c>
      <c r="U84" s="7">
        <v>149</v>
      </c>
      <c r="V84" s="7">
        <v>149</v>
      </c>
      <c r="W84" s="7">
        <v>149</v>
      </c>
      <c r="X84" s="7">
        <v>149</v>
      </c>
      <c r="Y84" s="7">
        <v>149</v>
      </c>
      <c r="Z84" s="7">
        <v>149</v>
      </c>
      <c r="AA84" s="7">
        <v>149</v>
      </c>
      <c r="AB84" s="7">
        <v>149</v>
      </c>
      <c r="AC84" s="7">
        <v>149</v>
      </c>
      <c r="AD84" s="7">
        <v>149</v>
      </c>
      <c r="AE84" s="7">
        <v>149</v>
      </c>
      <c r="AF84" s="7">
        <v>149</v>
      </c>
      <c r="AG84" s="7">
        <v>154.22</v>
      </c>
      <c r="AH84" s="7">
        <v>154.22</v>
      </c>
      <c r="AI84" s="7">
        <v>154.22</v>
      </c>
      <c r="AJ84" s="7">
        <v>154.22</v>
      </c>
      <c r="AK84" s="7">
        <v>154.22</v>
      </c>
      <c r="AL84" s="7">
        <v>154.22</v>
      </c>
      <c r="AM84" s="7">
        <v>154.22</v>
      </c>
    </row>
    <row r="85" spans="2:39" x14ac:dyDescent="0.2">
      <c r="B85" s="8">
        <f t="shared" si="2"/>
        <v>82</v>
      </c>
      <c r="C85" s="7">
        <v>279</v>
      </c>
      <c r="D85" s="7">
        <v>279</v>
      </c>
      <c r="E85" s="7">
        <v>279</v>
      </c>
      <c r="F85" s="7">
        <v>279</v>
      </c>
      <c r="G85" s="7">
        <v>279</v>
      </c>
      <c r="H85" s="7">
        <v>279</v>
      </c>
      <c r="I85" s="7">
        <v>279</v>
      </c>
      <c r="J85" s="7">
        <v>279</v>
      </c>
      <c r="K85" s="7">
        <v>279</v>
      </c>
      <c r="L85" s="7">
        <v>279</v>
      </c>
      <c r="M85" s="7">
        <v>279</v>
      </c>
      <c r="N85" s="7">
        <v>279</v>
      </c>
      <c r="O85" s="7">
        <v>279</v>
      </c>
      <c r="P85" s="7">
        <v>279</v>
      </c>
      <c r="Q85" s="7">
        <v>279</v>
      </c>
      <c r="R85" s="7">
        <v>279</v>
      </c>
      <c r="S85" s="7">
        <v>279</v>
      </c>
      <c r="T85" s="7">
        <v>279</v>
      </c>
      <c r="U85" s="7">
        <v>279</v>
      </c>
      <c r="V85" s="7">
        <v>279</v>
      </c>
      <c r="W85" s="7">
        <v>279</v>
      </c>
      <c r="X85" s="7">
        <v>279</v>
      </c>
      <c r="Y85" s="7">
        <v>279</v>
      </c>
      <c r="Z85" s="7">
        <v>279</v>
      </c>
      <c r="AA85" s="7">
        <v>279</v>
      </c>
      <c r="AB85" s="7">
        <v>279</v>
      </c>
      <c r="AC85" s="7">
        <v>279</v>
      </c>
      <c r="AD85" s="7">
        <v>279</v>
      </c>
      <c r="AE85" s="7">
        <v>279</v>
      </c>
      <c r="AF85" s="7">
        <v>279</v>
      </c>
      <c r="AG85" s="7">
        <v>288.77</v>
      </c>
      <c r="AH85" s="7">
        <v>288.77</v>
      </c>
      <c r="AI85" s="7">
        <v>288.77</v>
      </c>
      <c r="AJ85" s="7">
        <v>288.77</v>
      </c>
      <c r="AK85" s="7">
        <v>288.77</v>
      </c>
      <c r="AL85" s="7">
        <v>288.77</v>
      </c>
      <c r="AM85" s="7">
        <v>288.77</v>
      </c>
    </row>
    <row r="86" spans="2:39" x14ac:dyDescent="0.2">
      <c r="B86" s="8">
        <f t="shared" si="2"/>
        <v>83</v>
      </c>
      <c r="C86" s="7">
        <v>132.87</v>
      </c>
      <c r="D86" s="7">
        <v>132.87</v>
      </c>
      <c r="E86" s="7">
        <v>138.31</v>
      </c>
      <c r="F86" s="7">
        <v>141.71</v>
      </c>
      <c r="G86" s="7">
        <v>139.16</v>
      </c>
      <c r="H86" s="7">
        <v>131.49</v>
      </c>
      <c r="I86" s="7">
        <v>140.32999999999998</v>
      </c>
      <c r="J86" s="7">
        <v>119</v>
      </c>
      <c r="K86" s="7">
        <v>119</v>
      </c>
      <c r="L86" s="7">
        <v>119</v>
      </c>
      <c r="M86" s="7">
        <v>119</v>
      </c>
      <c r="N86" s="7">
        <v>119</v>
      </c>
      <c r="O86" s="7">
        <v>119</v>
      </c>
      <c r="P86" s="7">
        <v>119</v>
      </c>
      <c r="Q86" s="7">
        <v>119</v>
      </c>
      <c r="R86" s="7">
        <v>119</v>
      </c>
      <c r="S86" s="7">
        <v>119</v>
      </c>
      <c r="T86" s="7">
        <v>119</v>
      </c>
      <c r="U86" s="7">
        <v>119</v>
      </c>
      <c r="V86" s="7">
        <v>119</v>
      </c>
      <c r="W86" s="7">
        <v>119</v>
      </c>
      <c r="X86" s="7">
        <v>119</v>
      </c>
      <c r="Y86" s="7">
        <v>119</v>
      </c>
      <c r="Z86" s="7">
        <v>119</v>
      </c>
      <c r="AA86" s="7">
        <v>119</v>
      </c>
      <c r="AB86" s="7">
        <v>119</v>
      </c>
      <c r="AC86" s="7">
        <v>119</v>
      </c>
      <c r="AD86" s="7">
        <v>119</v>
      </c>
      <c r="AE86" s="7">
        <v>119</v>
      </c>
      <c r="AF86" s="7">
        <v>119</v>
      </c>
      <c r="AG86" s="7">
        <v>119</v>
      </c>
      <c r="AH86" s="7">
        <v>119</v>
      </c>
      <c r="AI86" s="7">
        <v>119</v>
      </c>
      <c r="AJ86" s="7">
        <v>119</v>
      </c>
      <c r="AK86" s="7">
        <v>119</v>
      </c>
      <c r="AL86" s="7">
        <v>119</v>
      </c>
      <c r="AM86" s="7">
        <v>119</v>
      </c>
    </row>
    <row r="87" spans="2:39" x14ac:dyDescent="0.2">
      <c r="B87" s="8">
        <f t="shared" si="2"/>
        <v>84</v>
      </c>
      <c r="C87" s="7">
        <v>118.11999999999999</v>
      </c>
      <c r="D87" s="7">
        <v>118.11999999999999</v>
      </c>
      <c r="E87" s="7">
        <v>116.22</v>
      </c>
      <c r="F87" s="7">
        <v>113.52</v>
      </c>
      <c r="G87" s="7">
        <v>120.01</v>
      </c>
      <c r="H87" s="7">
        <v>117.67</v>
      </c>
      <c r="I87" s="7">
        <v>115.78999999999999</v>
      </c>
      <c r="J87" s="7">
        <v>109</v>
      </c>
      <c r="K87" s="7">
        <v>109</v>
      </c>
      <c r="L87" s="7">
        <v>109</v>
      </c>
      <c r="M87" s="7">
        <v>109</v>
      </c>
      <c r="N87" s="7">
        <v>109</v>
      </c>
      <c r="O87" s="7">
        <v>109</v>
      </c>
      <c r="P87" s="7">
        <v>109</v>
      </c>
      <c r="Q87" s="7">
        <v>109</v>
      </c>
      <c r="R87" s="7">
        <v>109</v>
      </c>
      <c r="S87" s="7">
        <v>109</v>
      </c>
      <c r="T87" s="7">
        <v>109</v>
      </c>
      <c r="U87" s="7">
        <v>109</v>
      </c>
      <c r="V87" s="7">
        <v>109</v>
      </c>
      <c r="W87" s="7">
        <v>109</v>
      </c>
      <c r="X87" s="7">
        <v>109</v>
      </c>
      <c r="Y87" s="7">
        <v>109</v>
      </c>
      <c r="Z87" s="7">
        <v>109</v>
      </c>
      <c r="AA87" s="7">
        <v>109</v>
      </c>
      <c r="AB87" s="7">
        <v>109</v>
      </c>
      <c r="AC87" s="7">
        <v>109</v>
      </c>
      <c r="AD87" s="7">
        <v>109</v>
      </c>
      <c r="AE87" s="7">
        <v>109</v>
      </c>
      <c r="AF87" s="7">
        <v>109</v>
      </c>
      <c r="AG87" s="7">
        <v>109</v>
      </c>
      <c r="AH87" s="7">
        <v>109</v>
      </c>
      <c r="AI87" s="7">
        <v>109</v>
      </c>
      <c r="AJ87" s="7">
        <v>109</v>
      </c>
      <c r="AK87" s="7">
        <v>109</v>
      </c>
      <c r="AL87" s="7">
        <v>109</v>
      </c>
      <c r="AM87" s="7">
        <v>109</v>
      </c>
    </row>
    <row r="88" spans="2:39" x14ac:dyDescent="0.2">
      <c r="B88" s="8">
        <f t="shared" si="2"/>
        <v>85</v>
      </c>
      <c r="C88" s="7">
        <v>299</v>
      </c>
      <c r="D88" s="7">
        <v>299</v>
      </c>
      <c r="E88" s="7">
        <v>299</v>
      </c>
      <c r="F88" s="7">
        <v>299</v>
      </c>
      <c r="G88" s="7">
        <v>299</v>
      </c>
      <c r="H88" s="7">
        <v>299</v>
      </c>
      <c r="I88" s="7">
        <v>299</v>
      </c>
      <c r="J88" s="7">
        <v>299</v>
      </c>
      <c r="K88" s="7">
        <v>299</v>
      </c>
      <c r="L88" s="7">
        <v>299</v>
      </c>
      <c r="M88" s="7">
        <v>299</v>
      </c>
      <c r="N88" s="7">
        <v>299</v>
      </c>
      <c r="O88" s="7">
        <v>299</v>
      </c>
      <c r="P88" s="7">
        <v>299</v>
      </c>
      <c r="Q88" s="7">
        <v>299</v>
      </c>
      <c r="R88" s="7">
        <v>299</v>
      </c>
      <c r="S88" s="7">
        <v>299</v>
      </c>
      <c r="T88" s="7">
        <v>299</v>
      </c>
      <c r="U88" s="7">
        <v>299</v>
      </c>
      <c r="V88" s="7">
        <v>299</v>
      </c>
      <c r="W88" s="7">
        <v>299</v>
      </c>
      <c r="X88" s="7">
        <v>299</v>
      </c>
      <c r="Y88" s="7">
        <v>299</v>
      </c>
      <c r="Z88" s="7">
        <v>299</v>
      </c>
      <c r="AA88" s="7">
        <v>299</v>
      </c>
      <c r="AB88" s="7">
        <v>299</v>
      </c>
      <c r="AC88" s="7">
        <v>299</v>
      </c>
      <c r="AD88" s="7">
        <v>299</v>
      </c>
      <c r="AE88" s="7">
        <v>299</v>
      </c>
      <c r="AF88" s="7">
        <v>299</v>
      </c>
      <c r="AG88" s="7">
        <v>309.47000000000003</v>
      </c>
      <c r="AH88" s="7">
        <v>309.47000000000003</v>
      </c>
      <c r="AI88" s="7">
        <v>309.47000000000003</v>
      </c>
      <c r="AJ88" s="7">
        <v>309.47000000000003</v>
      </c>
      <c r="AK88" s="7">
        <v>309.47000000000003</v>
      </c>
      <c r="AL88" s="7">
        <v>309.47000000000003</v>
      </c>
      <c r="AM88" s="7">
        <v>309.47000000000003</v>
      </c>
    </row>
    <row r="89" spans="2:39" x14ac:dyDescent="0.2">
      <c r="B89" s="8">
        <f t="shared" si="2"/>
        <v>86</v>
      </c>
      <c r="C89" s="7">
        <v>179</v>
      </c>
      <c r="D89" s="7">
        <v>179</v>
      </c>
      <c r="E89" s="7">
        <v>179</v>
      </c>
      <c r="F89" s="7">
        <v>179</v>
      </c>
      <c r="G89" s="7">
        <v>179</v>
      </c>
      <c r="H89" s="7">
        <v>179</v>
      </c>
      <c r="I89" s="7">
        <v>179</v>
      </c>
      <c r="J89" s="7">
        <v>179</v>
      </c>
      <c r="K89" s="7">
        <v>179</v>
      </c>
      <c r="L89" s="7">
        <v>179</v>
      </c>
      <c r="M89" s="7">
        <v>179</v>
      </c>
      <c r="N89" s="7">
        <v>179</v>
      </c>
      <c r="O89" s="7">
        <v>179</v>
      </c>
      <c r="P89" s="7">
        <v>179</v>
      </c>
      <c r="Q89" s="7">
        <v>179</v>
      </c>
      <c r="R89" s="7">
        <v>179</v>
      </c>
      <c r="S89" s="7">
        <v>179</v>
      </c>
      <c r="T89" s="7">
        <v>179</v>
      </c>
      <c r="U89" s="7">
        <v>179</v>
      </c>
      <c r="V89" s="7">
        <v>179</v>
      </c>
      <c r="W89" s="7">
        <v>179</v>
      </c>
      <c r="X89" s="7">
        <v>179</v>
      </c>
      <c r="Y89" s="7">
        <v>179</v>
      </c>
      <c r="Z89" s="7">
        <v>179</v>
      </c>
      <c r="AA89" s="7">
        <v>179</v>
      </c>
      <c r="AB89" s="7">
        <v>179</v>
      </c>
      <c r="AC89" s="7">
        <v>179</v>
      </c>
      <c r="AD89" s="7">
        <v>179</v>
      </c>
      <c r="AE89" s="7">
        <v>179</v>
      </c>
      <c r="AF89" s="7">
        <v>100</v>
      </c>
      <c r="AG89" s="7">
        <v>100</v>
      </c>
      <c r="AH89" s="7">
        <v>100</v>
      </c>
      <c r="AI89" s="7">
        <v>100</v>
      </c>
      <c r="AJ89" s="7">
        <v>100</v>
      </c>
      <c r="AK89" s="7">
        <v>100</v>
      </c>
      <c r="AL89" s="7">
        <v>100</v>
      </c>
      <c r="AM89" s="7">
        <v>100</v>
      </c>
    </row>
    <row r="90" spans="2:39" x14ac:dyDescent="0.2">
      <c r="B90" s="8">
        <f t="shared" si="2"/>
        <v>87</v>
      </c>
      <c r="C90" s="7">
        <v>179</v>
      </c>
      <c r="D90" s="7">
        <v>179</v>
      </c>
      <c r="E90" s="7">
        <v>179</v>
      </c>
      <c r="F90" s="7">
        <v>179</v>
      </c>
      <c r="G90" s="7">
        <v>179</v>
      </c>
      <c r="H90" s="7">
        <v>179</v>
      </c>
      <c r="I90" s="7">
        <v>179</v>
      </c>
      <c r="J90" s="7">
        <v>179</v>
      </c>
      <c r="K90" s="7">
        <v>179</v>
      </c>
      <c r="L90" s="7">
        <v>179</v>
      </c>
      <c r="M90" s="7">
        <v>179</v>
      </c>
      <c r="N90" s="7">
        <v>179</v>
      </c>
      <c r="O90" s="7">
        <v>179</v>
      </c>
      <c r="P90" s="7">
        <v>179</v>
      </c>
      <c r="Q90" s="7">
        <v>179</v>
      </c>
      <c r="R90" s="7">
        <v>179</v>
      </c>
      <c r="S90" s="7">
        <v>179</v>
      </c>
      <c r="T90" s="7">
        <v>179</v>
      </c>
      <c r="U90" s="7">
        <v>179</v>
      </c>
      <c r="V90" s="7">
        <v>179</v>
      </c>
      <c r="W90" s="7">
        <v>179</v>
      </c>
      <c r="X90" s="7">
        <v>179</v>
      </c>
      <c r="Y90" s="7">
        <v>179</v>
      </c>
      <c r="Z90" s="7">
        <v>179</v>
      </c>
      <c r="AA90" s="7">
        <v>179</v>
      </c>
      <c r="AB90" s="7">
        <v>179</v>
      </c>
      <c r="AC90" s="7">
        <v>179</v>
      </c>
      <c r="AD90" s="7">
        <v>179</v>
      </c>
      <c r="AE90" s="7">
        <v>179</v>
      </c>
      <c r="AF90" s="7">
        <v>179</v>
      </c>
      <c r="AG90" s="7">
        <v>179</v>
      </c>
      <c r="AH90" s="7">
        <v>185.27</v>
      </c>
      <c r="AI90" s="7">
        <v>185.27</v>
      </c>
      <c r="AJ90" s="7">
        <v>185.27</v>
      </c>
      <c r="AK90" s="7">
        <v>185.27</v>
      </c>
      <c r="AL90" s="7">
        <v>185.27</v>
      </c>
      <c r="AM90" s="7">
        <v>185.27</v>
      </c>
    </row>
    <row r="91" spans="2:39" x14ac:dyDescent="0.2">
      <c r="B91" s="8">
        <f t="shared" si="2"/>
        <v>88</v>
      </c>
      <c r="C91" s="7">
        <v>205.31</v>
      </c>
      <c r="D91" s="7">
        <v>205.31</v>
      </c>
      <c r="E91" s="7">
        <v>209.57</v>
      </c>
      <c r="F91" s="7">
        <v>232.46</v>
      </c>
      <c r="G91" s="7">
        <v>214.64000000000001</v>
      </c>
      <c r="H91" s="7">
        <v>204.10999999999999</v>
      </c>
      <c r="I91" s="7">
        <v>212.6</v>
      </c>
      <c r="J91" s="7">
        <v>179</v>
      </c>
      <c r="K91" s="7">
        <v>656.93000000000006</v>
      </c>
      <c r="L91" s="7">
        <v>0</v>
      </c>
      <c r="M91" s="7">
        <v>0</v>
      </c>
      <c r="N91" s="7">
        <v>0</v>
      </c>
      <c r="O91" s="7">
        <v>0</v>
      </c>
      <c r="P91" s="7">
        <v>0</v>
      </c>
      <c r="Q91" s="7">
        <v>0</v>
      </c>
      <c r="R91" s="7">
        <v>0</v>
      </c>
      <c r="S91" s="7">
        <v>0</v>
      </c>
      <c r="T91" s="7">
        <v>0</v>
      </c>
      <c r="U91" s="7">
        <v>0</v>
      </c>
      <c r="V91" s="7">
        <v>0</v>
      </c>
      <c r="W91" s="7">
        <v>0</v>
      </c>
      <c r="X91" s="7">
        <v>0</v>
      </c>
      <c r="Y91" s="7">
        <v>0</v>
      </c>
      <c r="Z91" s="7">
        <v>0</v>
      </c>
      <c r="AA91" s="7">
        <v>0</v>
      </c>
      <c r="AB91" s="7">
        <v>0</v>
      </c>
      <c r="AC91" s="7">
        <v>0</v>
      </c>
      <c r="AD91" s="7">
        <v>0</v>
      </c>
      <c r="AE91" s="7">
        <v>0</v>
      </c>
      <c r="AF91" s="7">
        <v>0</v>
      </c>
      <c r="AG91" s="7">
        <v>0</v>
      </c>
      <c r="AH91" s="7">
        <v>0</v>
      </c>
      <c r="AI91" s="7">
        <v>0</v>
      </c>
      <c r="AJ91" s="7">
        <v>0</v>
      </c>
      <c r="AK91" s="7">
        <v>0</v>
      </c>
      <c r="AL91" s="7">
        <v>0</v>
      </c>
      <c r="AM91" s="7">
        <v>0</v>
      </c>
    </row>
    <row r="92" spans="2:39" x14ac:dyDescent="0.2">
      <c r="B92" s="8">
        <f t="shared" si="2"/>
        <v>89</v>
      </c>
      <c r="C92" s="7">
        <v>191.72</v>
      </c>
      <c r="D92" s="7">
        <v>191.72</v>
      </c>
      <c r="E92" s="7">
        <v>188.69</v>
      </c>
      <c r="F92" s="7">
        <v>195.56</v>
      </c>
      <c r="G92" s="7">
        <v>190.19</v>
      </c>
      <c r="H92" s="7">
        <v>187.19</v>
      </c>
      <c r="I92" s="7">
        <v>196.48999999999998</v>
      </c>
      <c r="J92" s="7">
        <v>179</v>
      </c>
      <c r="K92" s="7">
        <v>656.93000000000006</v>
      </c>
      <c r="L92" s="7">
        <v>0</v>
      </c>
      <c r="M92" s="7">
        <v>0</v>
      </c>
      <c r="N92" s="7">
        <v>0</v>
      </c>
      <c r="O92" s="7">
        <v>0</v>
      </c>
      <c r="P92" s="7">
        <v>0</v>
      </c>
      <c r="Q92" s="7">
        <v>0</v>
      </c>
      <c r="R92" s="7">
        <v>0</v>
      </c>
      <c r="S92" s="7">
        <v>0</v>
      </c>
      <c r="T92" s="7">
        <v>0</v>
      </c>
      <c r="U92" s="7">
        <v>0</v>
      </c>
      <c r="V92" s="7">
        <v>0</v>
      </c>
      <c r="W92" s="7">
        <v>0</v>
      </c>
      <c r="X92" s="7">
        <v>0</v>
      </c>
      <c r="Y92" s="7">
        <v>0</v>
      </c>
      <c r="Z92" s="7">
        <v>0</v>
      </c>
      <c r="AA92" s="7">
        <v>0</v>
      </c>
      <c r="AB92" s="7">
        <v>0</v>
      </c>
      <c r="AC92" s="7">
        <v>0</v>
      </c>
      <c r="AD92" s="7">
        <v>0</v>
      </c>
      <c r="AE92" s="7">
        <v>0</v>
      </c>
      <c r="AF92" s="7">
        <v>0</v>
      </c>
      <c r="AG92" s="7">
        <v>0</v>
      </c>
      <c r="AH92" s="7">
        <v>0</v>
      </c>
      <c r="AI92" s="7">
        <v>0</v>
      </c>
      <c r="AJ92" s="7">
        <v>0</v>
      </c>
      <c r="AK92" s="7">
        <v>0</v>
      </c>
      <c r="AL92" s="7">
        <v>0</v>
      </c>
      <c r="AM92" s="7">
        <v>0</v>
      </c>
    </row>
    <row r="93" spans="2:39" x14ac:dyDescent="0.2">
      <c r="B93" s="8">
        <f t="shared" si="2"/>
        <v>90</v>
      </c>
      <c r="C93" s="7">
        <v>170.05</v>
      </c>
      <c r="D93" s="7">
        <v>170.05</v>
      </c>
      <c r="E93" s="7">
        <v>170.05</v>
      </c>
      <c r="F93" s="7">
        <v>170.05</v>
      </c>
      <c r="G93" s="7">
        <v>170.05</v>
      </c>
      <c r="H93" s="7">
        <v>170.05</v>
      </c>
      <c r="I93" s="7">
        <v>170.05</v>
      </c>
      <c r="J93" s="7">
        <v>170.05</v>
      </c>
      <c r="K93" s="7">
        <v>170.05</v>
      </c>
      <c r="L93" s="7">
        <v>170.05</v>
      </c>
      <c r="M93" s="7">
        <v>179</v>
      </c>
      <c r="N93" s="7">
        <v>179</v>
      </c>
      <c r="O93" s="7">
        <v>179</v>
      </c>
      <c r="P93" s="7">
        <v>179</v>
      </c>
      <c r="Q93" s="7">
        <v>179</v>
      </c>
      <c r="R93" s="7">
        <v>179</v>
      </c>
      <c r="S93" s="7">
        <v>179</v>
      </c>
      <c r="T93" s="7">
        <v>179</v>
      </c>
      <c r="U93" s="7">
        <v>179</v>
      </c>
      <c r="V93" s="7">
        <v>179</v>
      </c>
      <c r="W93" s="7">
        <v>179</v>
      </c>
      <c r="X93" s="7">
        <v>179</v>
      </c>
      <c r="Y93" s="7">
        <v>179</v>
      </c>
      <c r="Z93" s="7">
        <v>179</v>
      </c>
      <c r="AA93" s="7">
        <v>179</v>
      </c>
      <c r="AB93" s="7">
        <v>179</v>
      </c>
      <c r="AC93" s="7">
        <v>179</v>
      </c>
      <c r="AD93" s="7">
        <v>185.27</v>
      </c>
      <c r="AE93" s="7">
        <v>185.27</v>
      </c>
      <c r="AF93" s="7">
        <v>185.27</v>
      </c>
      <c r="AG93" s="7">
        <v>185.27</v>
      </c>
      <c r="AH93" s="7">
        <v>185.27</v>
      </c>
      <c r="AI93" s="7">
        <v>185.27</v>
      </c>
      <c r="AJ93" s="7">
        <v>185.27</v>
      </c>
      <c r="AK93" s="7">
        <v>191.75</v>
      </c>
      <c r="AL93" s="7">
        <v>191.75</v>
      </c>
      <c r="AM93" s="7">
        <v>191.75</v>
      </c>
    </row>
    <row r="94" spans="2:39" x14ac:dyDescent="0.2">
      <c r="B94" s="8">
        <f t="shared" si="2"/>
        <v>91</v>
      </c>
      <c r="C94" s="7">
        <v>349</v>
      </c>
      <c r="D94" s="7">
        <v>349</v>
      </c>
      <c r="E94" s="7">
        <v>349</v>
      </c>
      <c r="F94" s="7">
        <v>349</v>
      </c>
      <c r="G94" s="7">
        <v>349</v>
      </c>
      <c r="H94" s="7">
        <v>349</v>
      </c>
      <c r="I94" s="7">
        <v>349</v>
      </c>
      <c r="J94" s="7">
        <v>349</v>
      </c>
      <c r="K94" s="7">
        <v>349</v>
      </c>
      <c r="L94" s="7">
        <v>349</v>
      </c>
      <c r="M94" s="7">
        <v>349</v>
      </c>
      <c r="N94" s="7">
        <v>349</v>
      </c>
      <c r="O94" s="7">
        <v>349</v>
      </c>
      <c r="P94" s="7">
        <v>349</v>
      </c>
      <c r="Q94" s="7">
        <v>349</v>
      </c>
      <c r="R94" s="7">
        <v>349</v>
      </c>
      <c r="S94" s="7">
        <v>349</v>
      </c>
      <c r="T94" s="7">
        <v>349</v>
      </c>
      <c r="U94" s="7">
        <v>349</v>
      </c>
      <c r="V94" s="7">
        <v>349</v>
      </c>
      <c r="W94" s="7">
        <v>349</v>
      </c>
      <c r="X94" s="7">
        <v>349</v>
      </c>
      <c r="Y94" s="7">
        <v>349</v>
      </c>
      <c r="Z94" s="7">
        <v>349</v>
      </c>
      <c r="AA94" s="7">
        <v>349</v>
      </c>
      <c r="AB94" s="7">
        <v>349</v>
      </c>
      <c r="AC94" s="7">
        <v>349</v>
      </c>
      <c r="AD94" s="7">
        <v>349</v>
      </c>
      <c r="AE94" s="7">
        <v>349</v>
      </c>
      <c r="AF94" s="7">
        <v>349</v>
      </c>
      <c r="AG94" s="7">
        <v>361.22</v>
      </c>
      <c r="AH94" s="7">
        <v>361.22</v>
      </c>
      <c r="AI94" s="7">
        <v>361.22</v>
      </c>
      <c r="AJ94" s="7">
        <v>361.22</v>
      </c>
      <c r="AK94" s="7">
        <v>361.22</v>
      </c>
      <c r="AL94" s="7">
        <v>361.22</v>
      </c>
      <c r="AM94" s="7">
        <v>361.22</v>
      </c>
    </row>
    <row r="95" spans="2:39" x14ac:dyDescent="0.2">
      <c r="B95" s="8">
        <f t="shared" si="2"/>
        <v>92</v>
      </c>
      <c r="C95" s="7">
        <v>146.5</v>
      </c>
      <c r="D95" s="7">
        <v>146.5</v>
      </c>
      <c r="E95" s="7">
        <v>146.5</v>
      </c>
      <c r="F95" s="7">
        <v>146.5</v>
      </c>
      <c r="G95" s="7">
        <v>146.5</v>
      </c>
      <c r="H95" s="7">
        <v>146.5</v>
      </c>
      <c r="I95" s="7">
        <v>146.5</v>
      </c>
      <c r="J95" s="7">
        <v>146.5</v>
      </c>
      <c r="K95" s="7">
        <v>146.5</v>
      </c>
      <c r="L95" s="7">
        <v>227.05</v>
      </c>
      <c r="M95" s="7">
        <v>227.05</v>
      </c>
      <c r="N95" s="7">
        <v>227.05</v>
      </c>
      <c r="O95" s="7">
        <v>227.05</v>
      </c>
      <c r="P95" s="7">
        <v>227.05</v>
      </c>
      <c r="Q95" s="7">
        <v>227.05</v>
      </c>
      <c r="R95" s="7">
        <v>227.05</v>
      </c>
      <c r="S95" s="7">
        <v>227.05</v>
      </c>
      <c r="T95" s="7">
        <v>227.05</v>
      </c>
      <c r="U95" s="7">
        <v>227.05</v>
      </c>
      <c r="V95" s="7">
        <v>227.05</v>
      </c>
      <c r="W95" s="7">
        <v>227.05</v>
      </c>
      <c r="X95" s="7">
        <v>227.05</v>
      </c>
      <c r="Y95" s="7">
        <v>227.05</v>
      </c>
      <c r="Z95" s="7">
        <v>227.05</v>
      </c>
      <c r="AA95" s="7">
        <v>227.05</v>
      </c>
      <c r="AB95" s="7">
        <v>170.05</v>
      </c>
      <c r="AC95" s="7">
        <v>170.05</v>
      </c>
      <c r="AD95" s="7">
        <v>170.05</v>
      </c>
      <c r="AE95" s="7">
        <v>170.05</v>
      </c>
      <c r="AF95" s="7">
        <v>170.05</v>
      </c>
      <c r="AG95" s="7">
        <v>170.05</v>
      </c>
      <c r="AH95" s="7">
        <v>170.05</v>
      </c>
      <c r="AI95" s="7">
        <v>170.05</v>
      </c>
      <c r="AJ95" s="7">
        <v>170.05</v>
      </c>
      <c r="AK95" s="7">
        <v>170.05</v>
      </c>
      <c r="AL95" s="7">
        <v>170.05</v>
      </c>
      <c r="AM95" s="7">
        <v>170.05</v>
      </c>
    </row>
    <row r="96" spans="2:39" x14ac:dyDescent="0.2">
      <c r="B96" s="8">
        <f t="shared" si="2"/>
        <v>93</v>
      </c>
      <c r="C96" s="7">
        <v>305.10000000000002</v>
      </c>
      <c r="D96" s="7">
        <v>305.10000000000002</v>
      </c>
      <c r="E96" s="7">
        <v>179</v>
      </c>
      <c r="F96" s="7">
        <v>179</v>
      </c>
      <c r="G96" s="7">
        <v>179</v>
      </c>
      <c r="H96" s="7">
        <v>179</v>
      </c>
      <c r="I96" s="7">
        <v>179</v>
      </c>
      <c r="J96" s="7">
        <v>179</v>
      </c>
      <c r="K96" s="7">
        <v>179</v>
      </c>
      <c r="L96" s="7">
        <v>179</v>
      </c>
      <c r="M96" s="7">
        <v>179</v>
      </c>
      <c r="N96" s="7">
        <v>179</v>
      </c>
      <c r="O96" s="7">
        <v>179</v>
      </c>
      <c r="P96" s="7">
        <v>179</v>
      </c>
      <c r="Q96" s="7">
        <v>179</v>
      </c>
      <c r="R96" s="7">
        <v>179</v>
      </c>
      <c r="S96" s="7">
        <v>179</v>
      </c>
      <c r="T96" s="7">
        <v>179</v>
      </c>
      <c r="U96" s="7">
        <v>179</v>
      </c>
      <c r="V96" s="7">
        <v>179</v>
      </c>
      <c r="W96" s="7">
        <v>179</v>
      </c>
      <c r="X96" s="7">
        <v>179</v>
      </c>
      <c r="Y96" s="7">
        <v>179</v>
      </c>
      <c r="Z96" s="7">
        <v>179</v>
      </c>
      <c r="AA96" s="7">
        <v>179</v>
      </c>
      <c r="AB96" s="7">
        <v>179</v>
      </c>
      <c r="AC96" s="7">
        <v>179</v>
      </c>
      <c r="AD96" s="7">
        <v>179</v>
      </c>
      <c r="AE96" s="7">
        <v>179</v>
      </c>
      <c r="AF96" s="7">
        <v>179</v>
      </c>
      <c r="AG96" s="7">
        <v>179</v>
      </c>
      <c r="AH96" s="7">
        <v>185.27</v>
      </c>
      <c r="AI96" s="7">
        <v>185.27</v>
      </c>
      <c r="AJ96" s="7">
        <v>185.27</v>
      </c>
      <c r="AK96" s="7">
        <v>185.27</v>
      </c>
      <c r="AL96" s="7">
        <v>185.27</v>
      </c>
      <c r="AM96" s="7">
        <v>185.27</v>
      </c>
    </row>
    <row r="97" spans="2:39" x14ac:dyDescent="0.2">
      <c r="B97" s="8">
        <f t="shared" si="2"/>
        <v>94</v>
      </c>
      <c r="C97" s="7">
        <v>349</v>
      </c>
      <c r="D97" s="7">
        <v>349</v>
      </c>
      <c r="E97" s="7">
        <v>349</v>
      </c>
      <c r="F97" s="7">
        <v>349</v>
      </c>
      <c r="G97" s="7">
        <v>349</v>
      </c>
      <c r="H97" s="7">
        <v>349</v>
      </c>
      <c r="I97" s="7">
        <v>349</v>
      </c>
      <c r="J97" s="7">
        <v>349</v>
      </c>
      <c r="K97" s="7">
        <v>349</v>
      </c>
      <c r="L97" s="7">
        <v>349</v>
      </c>
      <c r="M97" s="7">
        <v>349</v>
      </c>
      <c r="N97" s="7">
        <v>349</v>
      </c>
      <c r="O97" s="7">
        <v>349</v>
      </c>
      <c r="P97" s="7">
        <v>349</v>
      </c>
      <c r="Q97" s="7">
        <v>349</v>
      </c>
      <c r="R97" s="7">
        <v>349</v>
      </c>
      <c r="S97" s="7">
        <v>349</v>
      </c>
      <c r="T97" s="7">
        <v>349</v>
      </c>
      <c r="U97" s="7">
        <v>349</v>
      </c>
      <c r="V97" s="7">
        <v>349</v>
      </c>
      <c r="W97" s="7">
        <v>349</v>
      </c>
      <c r="X97" s="7">
        <v>349</v>
      </c>
      <c r="Y97" s="7">
        <v>364.75</v>
      </c>
      <c r="Z97" s="7">
        <v>361.22</v>
      </c>
      <c r="AA97" s="7">
        <v>361.22</v>
      </c>
      <c r="AB97" s="7">
        <v>361.22</v>
      </c>
      <c r="AC97" s="7">
        <v>361.22</v>
      </c>
      <c r="AD97" s="7">
        <v>361.22</v>
      </c>
      <c r="AE97" s="7">
        <v>361.22</v>
      </c>
      <c r="AF97" s="7">
        <v>361.22</v>
      </c>
      <c r="AG97" s="7">
        <v>361.22</v>
      </c>
      <c r="AH97" s="7">
        <v>361.22</v>
      </c>
      <c r="AI97" s="7">
        <v>361.22</v>
      </c>
      <c r="AJ97" s="7">
        <v>373.86</v>
      </c>
      <c r="AK97" s="7">
        <v>373.86</v>
      </c>
      <c r="AL97" s="7">
        <v>373.86</v>
      </c>
      <c r="AM97" s="7">
        <v>373.86</v>
      </c>
    </row>
    <row r="98" spans="2:39" x14ac:dyDescent="0.2">
      <c r="B98" s="8">
        <f t="shared" si="2"/>
        <v>95</v>
      </c>
      <c r="C98" s="7">
        <v>129</v>
      </c>
      <c r="D98" s="7">
        <v>129</v>
      </c>
      <c r="E98" s="7">
        <v>129</v>
      </c>
      <c r="F98" s="7">
        <v>129</v>
      </c>
      <c r="G98" s="7">
        <v>129</v>
      </c>
      <c r="H98" s="7">
        <v>129</v>
      </c>
      <c r="I98" s="7">
        <v>129</v>
      </c>
      <c r="J98" s="7">
        <v>129</v>
      </c>
      <c r="K98" s="7">
        <v>129</v>
      </c>
      <c r="L98" s="7">
        <v>129</v>
      </c>
      <c r="M98" s="7">
        <v>129</v>
      </c>
      <c r="N98" s="7">
        <v>129</v>
      </c>
      <c r="O98" s="7">
        <v>129</v>
      </c>
      <c r="P98" s="7">
        <v>129</v>
      </c>
      <c r="Q98" s="7">
        <v>129</v>
      </c>
      <c r="R98" s="7">
        <v>129</v>
      </c>
      <c r="S98" s="7">
        <v>129</v>
      </c>
      <c r="T98" s="7">
        <v>129</v>
      </c>
      <c r="U98" s="7">
        <v>129</v>
      </c>
      <c r="V98" s="7">
        <v>129</v>
      </c>
      <c r="W98" s="7">
        <v>129</v>
      </c>
      <c r="X98" s="7">
        <v>129</v>
      </c>
      <c r="Y98" s="7">
        <v>129</v>
      </c>
      <c r="Z98" s="7">
        <v>129</v>
      </c>
      <c r="AA98" s="7">
        <v>129</v>
      </c>
      <c r="AB98" s="7">
        <v>129</v>
      </c>
      <c r="AC98" s="7">
        <v>129</v>
      </c>
      <c r="AD98" s="7">
        <v>129</v>
      </c>
      <c r="AE98" s="7">
        <v>129</v>
      </c>
      <c r="AF98" s="7">
        <v>129</v>
      </c>
      <c r="AG98" s="7">
        <v>129</v>
      </c>
      <c r="AH98" s="7">
        <v>129</v>
      </c>
      <c r="AI98" s="7">
        <v>129</v>
      </c>
      <c r="AJ98" s="7">
        <v>129</v>
      </c>
      <c r="AK98" s="7">
        <v>129</v>
      </c>
      <c r="AL98" s="7">
        <v>129</v>
      </c>
      <c r="AM98" s="7">
        <v>129</v>
      </c>
    </row>
    <row r="99" spans="2:39" x14ac:dyDescent="0.2">
      <c r="B99" s="8">
        <f t="shared" si="2"/>
        <v>96</v>
      </c>
      <c r="C99" s="7">
        <v>284.05</v>
      </c>
      <c r="D99" s="7">
        <v>284.05</v>
      </c>
      <c r="E99" s="7">
        <v>284.05</v>
      </c>
      <c r="F99" s="7">
        <v>284.05</v>
      </c>
      <c r="G99" s="7">
        <v>284.05</v>
      </c>
      <c r="H99" s="7">
        <v>284.05</v>
      </c>
      <c r="I99" s="7">
        <v>290.02999999999997</v>
      </c>
      <c r="J99" s="7">
        <v>290.02999999999997</v>
      </c>
      <c r="K99" s="7">
        <v>290.02999999999997</v>
      </c>
      <c r="L99" s="7">
        <v>290.02999999999997</v>
      </c>
      <c r="M99" s="7">
        <v>281.33</v>
      </c>
      <c r="N99" s="7">
        <v>281.33</v>
      </c>
      <c r="O99" s="7">
        <v>281.33</v>
      </c>
      <c r="P99" s="7">
        <v>281.33</v>
      </c>
      <c r="Q99" s="7">
        <v>281.33</v>
      </c>
      <c r="R99" s="7">
        <v>281.33</v>
      </c>
      <c r="S99" s="7">
        <v>281.33</v>
      </c>
      <c r="T99" s="7">
        <v>290.02999999999997</v>
      </c>
      <c r="U99" s="7">
        <v>290.02999999999997</v>
      </c>
      <c r="V99" s="7">
        <v>290.02999999999997</v>
      </c>
      <c r="W99" s="7">
        <v>290.02999999999997</v>
      </c>
      <c r="X99" s="7">
        <v>290.02999999999997</v>
      </c>
      <c r="Y99" s="7">
        <v>290.02999999999997</v>
      </c>
      <c r="Z99" s="7">
        <v>290.02999999999997</v>
      </c>
      <c r="AA99" s="7">
        <v>290.02999999999997</v>
      </c>
      <c r="AB99" s="7">
        <v>290.02999999999997</v>
      </c>
      <c r="AC99" s="7">
        <v>290.02999999999997</v>
      </c>
      <c r="AD99" s="7">
        <v>290.02999999999997</v>
      </c>
      <c r="AE99" s="7">
        <v>284.05</v>
      </c>
      <c r="AF99" s="7">
        <v>284.05</v>
      </c>
      <c r="AG99" s="7">
        <v>284.05</v>
      </c>
      <c r="AH99" s="7">
        <v>294</v>
      </c>
      <c r="AI99" s="7">
        <v>294</v>
      </c>
      <c r="AJ99" s="7">
        <v>294</v>
      </c>
      <c r="AK99" s="7">
        <v>294</v>
      </c>
      <c r="AL99" s="7">
        <v>294</v>
      </c>
      <c r="AM99" s="7">
        <v>294</v>
      </c>
    </row>
    <row r="100" spans="2:39" x14ac:dyDescent="0.2">
      <c r="B100" s="8">
        <f t="shared" si="2"/>
        <v>97</v>
      </c>
      <c r="C100" s="7">
        <v>319</v>
      </c>
      <c r="D100" s="7">
        <v>319</v>
      </c>
      <c r="E100" s="7">
        <v>319</v>
      </c>
      <c r="F100" s="7">
        <v>319</v>
      </c>
      <c r="G100" s="7">
        <v>319</v>
      </c>
      <c r="H100" s="7">
        <v>319</v>
      </c>
      <c r="I100" s="7">
        <v>378</v>
      </c>
      <c r="J100" s="7">
        <v>279</v>
      </c>
      <c r="K100" s="7">
        <v>279</v>
      </c>
      <c r="L100" s="7">
        <v>279</v>
      </c>
      <c r="M100" s="7">
        <v>279</v>
      </c>
      <c r="N100" s="7">
        <v>279</v>
      </c>
      <c r="O100" s="7">
        <v>279</v>
      </c>
      <c r="P100" s="7">
        <v>279</v>
      </c>
      <c r="Q100" s="7">
        <v>279</v>
      </c>
      <c r="R100" s="7">
        <v>279</v>
      </c>
      <c r="S100" s="7">
        <v>279</v>
      </c>
      <c r="T100" s="7">
        <v>279</v>
      </c>
      <c r="U100" s="7">
        <v>279</v>
      </c>
      <c r="V100" s="7">
        <v>0</v>
      </c>
      <c r="W100" s="7">
        <v>0</v>
      </c>
      <c r="X100" s="7">
        <v>0</v>
      </c>
      <c r="Y100" s="7">
        <v>0</v>
      </c>
      <c r="Z100" s="7">
        <v>0</v>
      </c>
      <c r="AA100" s="7">
        <v>0</v>
      </c>
      <c r="AB100" s="7">
        <v>0</v>
      </c>
      <c r="AC100" s="7">
        <v>0</v>
      </c>
      <c r="AD100" s="7">
        <v>0</v>
      </c>
      <c r="AE100" s="7">
        <v>0</v>
      </c>
      <c r="AF100" s="7">
        <v>0</v>
      </c>
      <c r="AG100" s="7">
        <v>0</v>
      </c>
      <c r="AH100" s="7">
        <v>0</v>
      </c>
      <c r="AI100" s="7">
        <v>0</v>
      </c>
      <c r="AJ100" s="7">
        <v>0</v>
      </c>
      <c r="AK100" s="7">
        <v>0</v>
      </c>
      <c r="AL100" s="7">
        <v>0</v>
      </c>
      <c r="AM100" s="7">
        <v>0</v>
      </c>
    </row>
    <row r="101" spans="2:39" x14ac:dyDescent="0.2">
      <c r="B101" s="8">
        <f t="shared" si="2"/>
        <v>98</v>
      </c>
      <c r="C101" s="7">
        <v>299</v>
      </c>
      <c r="D101" s="7">
        <v>299</v>
      </c>
      <c r="E101" s="7">
        <v>299</v>
      </c>
      <c r="F101" s="7">
        <v>299</v>
      </c>
      <c r="G101" s="7">
        <v>299</v>
      </c>
      <c r="H101" s="7">
        <v>299</v>
      </c>
      <c r="I101" s="7">
        <v>299</v>
      </c>
      <c r="J101" s="7">
        <v>74.75</v>
      </c>
      <c r="K101" s="7">
        <v>0</v>
      </c>
      <c r="L101" s="7">
        <v>0</v>
      </c>
      <c r="M101" s="7">
        <v>0</v>
      </c>
      <c r="N101" s="7">
        <v>0</v>
      </c>
      <c r="O101" s="7">
        <v>0</v>
      </c>
      <c r="P101" s="7">
        <v>0</v>
      </c>
      <c r="Q101" s="7">
        <v>0</v>
      </c>
      <c r="R101" s="7">
        <v>0</v>
      </c>
      <c r="S101" s="7">
        <v>0</v>
      </c>
      <c r="T101" s="7">
        <v>0</v>
      </c>
      <c r="U101" s="7">
        <v>0</v>
      </c>
      <c r="V101" s="7">
        <v>0</v>
      </c>
      <c r="W101" s="7">
        <v>0</v>
      </c>
      <c r="X101" s="7">
        <v>0</v>
      </c>
      <c r="Y101" s="7">
        <v>0</v>
      </c>
      <c r="Z101" s="7">
        <v>0</v>
      </c>
      <c r="AA101" s="7">
        <v>0</v>
      </c>
      <c r="AB101" s="7">
        <v>0</v>
      </c>
      <c r="AC101" s="7">
        <v>0</v>
      </c>
      <c r="AD101" s="7">
        <v>0</v>
      </c>
      <c r="AE101" s="7">
        <v>0</v>
      </c>
      <c r="AF101" s="7">
        <v>0</v>
      </c>
      <c r="AG101" s="7">
        <v>0</v>
      </c>
      <c r="AH101" s="7">
        <v>0</v>
      </c>
      <c r="AI101" s="7">
        <v>0</v>
      </c>
      <c r="AJ101" s="7">
        <v>0</v>
      </c>
      <c r="AK101" s="7">
        <v>0</v>
      </c>
      <c r="AL101" s="7">
        <v>0</v>
      </c>
      <c r="AM101" s="7">
        <v>0</v>
      </c>
    </row>
    <row r="102" spans="2:39" x14ac:dyDescent="0.2">
      <c r="B102" s="8">
        <f t="shared" si="2"/>
        <v>99</v>
      </c>
      <c r="C102" s="7">
        <v>195.11</v>
      </c>
      <c r="D102" s="7">
        <v>195.11</v>
      </c>
      <c r="E102" s="7">
        <v>195.11</v>
      </c>
      <c r="F102" s="7">
        <v>195.11</v>
      </c>
      <c r="G102" s="7">
        <v>195.11</v>
      </c>
      <c r="H102" s="7">
        <v>195.11</v>
      </c>
      <c r="I102" s="7">
        <v>195.11</v>
      </c>
      <c r="J102" s="7">
        <v>195.11</v>
      </c>
      <c r="K102" s="7">
        <v>195.11</v>
      </c>
      <c r="L102" s="7">
        <v>195.11</v>
      </c>
      <c r="M102" s="7">
        <v>195.11</v>
      </c>
      <c r="N102" s="7">
        <v>195.11</v>
      </c>
      <c r="O102" s="7">
        <v>195.11</v>
      </c>
      <c r="P102" s="7">
        <v>195.11</v>
      </c>
      <c r="Q102" s="7">
        <v>195.11</v>
      </c>
      <c r="R102" s="7">
        <v>195.11</v>
      </c>
      <c r="S102" s="7">
        <v>195.11</v>
      </c>
      <c r="T102" s="7">
        <v>195.11</v>
      </c>
      <c r="U102" s="7">
        <v>195.11</v>
      </c>
      <c r="V102" s="7">
        <v>195.11</v>
      </c>
      <c r="W102" s="7">
        <v>195.11</v>
      </c>
      <c r="X102" s="7">
        <v>195.11</v>
      </c>
      <c r="Y102" s="7">
        <v>195.11</v>
      </c>
      <c r="Z102" s="7">
        <v>195.11</v>
      </c>
      <c r="AA102" s="7">
        <v>195.11</v>
      </c>
      <c r="AB102" s="7">
        <v>195.11</v>
      </c>
      <c r="AC102" s="7">
        <v>195.11</v>
      </c>
      <c r="AD102" s="7">
        <v>201.94</v>
      </c>
      <c r="AE102" s="7">
        <v>201.94</v>
      </c>
      <c r="AF102" s="7">
        <v>201.94</v>
      </c>
      <c r="AG102" s="7">
        <v>201.94</v>
      </c>
      <c r="AH102" s="7">
        <v>201.94</v>
      </c>
      <c r="AI102" s="7">
        <v>201.94</v>
      </c>
      <c r="AJ102" s="7">
        <v>201.94</v>
      </c>
      <c r="AK102" s="7">
        <v>201.94</v>
      </c>
      <c r="AL102" s="7">
        <v>201.94</v>
      </c>
      <c r="AM102" s="7">
        <v>201.94</v>
      </c>
    </row>
    <row r="103" spans="2:39" x14ac:dyDescent="0.2">
      <c r="B103" s="8">
        <f t="shared" si="2"/>
        <v>100</v>
      </c>
      <c r="C103" s="7">
        <v>259</v>
      </c>
      <c r="D103" s="7">
        <v>259</v>
      </c>
      <c r="E103" s="7">
        <v>259</v>
      </c>
      <c r="F103" s="7">
        <v>259</v>
      </c>
      <c r="G103" s="7">
        <v>259</v>
      </c>
      <c r="H103" s="7">
        <v>259</v>
      </c>
      <c r="I103" s="7">
        <v>259</v>
      </c>
      <c r="J103" s="7">
        <v>259</v>
      </c>
      <c r="K103" s="7">
        <v>259</v>
      </c>
      <c r="L103" s="7">
        <v>259</v>
      </c>
      <c r="M103" s="7">
        <v>259</v>
      </c>
      <c r="N103" s="7">
        <v>259</v>
      </c>
      <c r="O103" s="7">
        <v>259</v>
      </c>
      <c r="P103" s="7">
        <v>259</v>
      </c>
      <c r="Q103" s="7">
        <v>259</v>
      </c>
      <c r="R103" s="7">
        <v>259</v>
      </c>
      <c r="S103" s="7">
        <v>259</v>
      </c>
      <c r="T103" s="7">
        <v>259</v>
      </c>
      <c r="U103" s="7">
        <v>259</v>
      </c>
      <c r="V103" s="7">
        <v>259</v>
      </c>
      <c r="W103" s="7">
        <v>259</v>
      </c>
      <c r="X103" s="7">
        <v>279</v>
      </c>
      <c r="Y103" s="7">
        <v>279</v>
      </c>
      <c r="Z103" s="7">
        <v>279</v>
      </c>
      <c r="AA103" s="7">
        <v>279</v>
      </c>
      <c r="AB103" s="7">
        <v>0</v>
      </c>
      <c r="AC103" s="7">
        <v>0</v>
      </c>
      <c r="AD103" s="7">
        <v>0</v>
      </c>
      <c r="AE103" s="7">
        <v>0</v>
      </c>
      <c r="AF103" s="7">
        <v>0</v>
      </c>
      <c r="AG103" s="7">
        <v>0</v>
      </c>
      <c r="AH103" s="7">
        <v>0</v>
      </c>
      <c r="AI103" s="7">
        <v>0</v>
      </c>
      <c r="AJ103" s="7">
        <v>0</v>
      </c>
      <c r="AK103" s="7">
        <v>0</v>
      </c>
      <c r="AL103" s="7">
        <v>0</v>
      </c>
      <c r="AM103" s="7">
        <v>0</v>
      </c>
    </row>
    <row r="106" spans="2:39" x14ac:dyDescent="0.2">
      <c r="C106" s="110">
        <f>+IF(C$4='Top Customers'!$C$3,IFERROR(ROUND(ABS((SUM(INDEX($C$4:$AM$103,0,MATCH(C$4,$C$4:$AM$4,0))))-(SUM(#REF!))),4),1),0)</f>
        <v>0</v>
      </c>
      <c r="D106" s="110">
        <f>+IF(D$4='Top Customers'!$C$3,IFERROR(ROUND(ABS((SUM(INDEX($C$4:$AM$103,0,MATCH(D$4,$C$4:$AM$4,0))))-(SUM(#REF!))),4),1),0)</f>
        <v>0</v>
      </c>
      <c r="E106" s="110">
        <f>+IF(E$4='Top Customers'!$C$3,IFERROR(ROUND(ABS((SUM(INDEX($C$4:$AM$103,0,MATCH(E$4,$C$4:$AM$4,0))))-(SUM(#REF!))),4),1),0)</f>
        <v>0</v>
      </c>
      <c r="F106" s="110">
        <f>+IF(F$4='Top Customers'!$C$3,IFERROR(ROUND(ABS((SUM(INDEX($C$4:$AM$103,0,MATCH(F$4,$C$4:$AM$4,0))))-(SUM(#REF!))),4),1),0)</f>
        <v>0</v>
      </c>
      <c r="G106" s="110">
        <f>+IF(G$4='Top Customers'!$C$3,IFERROR(ROUND(ABS((SUM(INDEX($C$4:$AM$103,0,MATCH(G$4,$C$4:$AM$4,0))))-(SUM(#REF!))),4),1),0)</f>
        <v>0</v>
      </c>
      <c r="H106" s="110">
        <f>+IF(H$4='Top Customers'!$C$3,IFERROR(ROUND(ABS((SUM(INDEX($C$4:$AM$103,0,MATCH(H$4,$C$4:$AM$4,0))))-(SUM(#REF!))),4),1),0)</f>
        <v>0</v>
      </c>
      <c r="I106" s="110">
        <f>+IF(I$4='Top Customers'!$C$3,IFERROR(ROUND(ABS((SUM(INDEX($C$4:$AM$103,0,MATCH(I$4,$C$4:$AM$4,0))))-(SUM(#REF!))),4),1),0)</f>
        <v>0</v>
      </c>
      <c r="J106" s="110">
        <f>+IF(J$4='Top Customers'!$C$3,IFERROR(ROUND(ABS((SUM(INDEX($C$4:$AM$103,0,MATCH(J$4,$C$4:$AM$4,0))))-(SUM(#REF!))),4),1),0)</f>
        <v>0</v>
      </c>
      <c r="K106" s="110">
        <f>+IF(K$4='Top Customers'!$C$3,IFERROR(ROUND(ABS((SUM(INDEX($C$4:$AM$103,0,MATCH(K$4,$C$4:$AM$4,0))))-(SUM(#REF!))),4),1),0)</f>
        <v>0</v>
      </c>
      <c r="L106" s="110">
        <f>+IF(L$4='Top Customers'!$C$3,IFERROR(ROUND(ABS((SUM(INDEX($C$4:$AM$103,0,MATCH(L$4,$C$4:$AM$4,0))))-(SUM(#REF!))),4),1),0)</f>
        <v>0</v>
      </c>
      <c r="M106" s="110">
        <f>+IF(M$4='Top Customers'!$C$3,IFERROR(ROUND(ABS((SUM(INDEX($C$4:$AM$103,0,MATCH(M$4,$C$4:$AM$4,0))))-(SUM(#REF!))),4),1),0)</f>
        <v>0</v>
      </c>
      <c r="N106" s="110">
        <f>+IF(N$4='Top Customers'!$C$3,IFERROR(ROUND(ABS((SUM(INDEX($C$4:$AM$103,0,MATCH(N$4,$C$4:$AM$4,0))))-(SUM(#REF!))),4),1),0)</f>
        <v>0</v>
      </c>
      <c r="O106" s="110">
        <f>+IF(O$4='Top Customers'!$C$3,IFERROR(ROUND(ABS((SUM(INDEX($C$4:$AM$103,0,MATCH(O$4,$C$4:$AM$4,0))))-(SUM(#REF!))),4),1),0)</f>
        <v>0</v>
      </c>
      <c r="P106" s="110">
        <f>+IF(P$4='Top Customers'!$C$3,IFERROR(ROUND(ABS((SUM(INDEX($C$4:$AM$103,0,MATCH(P$4,$C$4:$AM$4,0))))-(SUM(#REF!))),4),1),0)</f>
        <v>0</v>
      </c>
      <c r="Q106" s="110">
        <f>+IF(Q$4='Top Customers'!$C$3,IFERROR(ROUND(ABS((SUM(INDEX($C$4:$AM$103,0,MATCH(Q$4,$C$4:$AM$4,0))))-(SUM(#REF!))),4),1),0)</f>
        <v>0</v>
      </c>
      <c r="R106" s="110">
        <f>+IF(R$4='Top Customers'!$C$3,IFERROR(ROUND(ABS((SUM(INDEX($C$4:$AM$103,0,MATCH(R$4,$C$4:$AM$4,0))))-(SUM(#REF!))),4),1),0)</f>
        <v>0</v>
      </c>
      <c r="S106" s="110">
        <f>+IF(S$4='Top Customers'!$C$3,IFERROR(ROUND(ABS((SUM(INDEX($C$4:$AM$103,0,MATCH(S$4,$C$4:$AM$4,0))))-(SUM(#REF!))),4),1),0)</f>
        <v>0</v>
      </c>
      <c r="T106" s="110">
        <f>+IF(T$4='Top Customers'!$C$3,IFERROR(ROUND(ABS((SUM(INDEX($C$4:$AM$103,0,MATCH(T$4,$C$4:$AM$4,0))))-(SUM(#REF!))),4),1),0)</f>
        <v>0</v>
      </c>
      <c r="U106" s="110">
        <f>+IF(U$4='Top Customers'!$C$3,IFERROR(ROUND(ABS((SUM(INDEX($C$4:$AM$103,0,MATCH(U$4,$C$4:$AM$4,0))))-(SUM(#REF!))),4),1),0)</f>
        <v>0</v>
      </c>
      <c r="V106" s="110">
        <f>+IF(V$4='Top Customers'!$C$3,IFERROR(ROUND(ABS((SUM(INDEX($C$4:$AM$103,0,MATCH(V$4,$C$4:$AM$4,0))))-(SUM(#REF!))),4),1),0)</f>
        <v>0</v>
      </c>
      <c r="W106" s="110">
        <f>+IF(W$4='Top Customers'!$C$3,IFERROR(ROUND(ABS((SUM(INDEX($C$4:$AM$103,0,MATCH(W$4,$C$4:$AM$4,0))))-(SUM(#REF!))),4),1),0)</f>
        <v>0</v>
      </c>
      <c r="X106" s="110">
        <f>+IF(X$4='Top Customers'!$C$3,IFERROR(ROUND(ABS((SUM(INDEX($C$4:$AM$103,0,MATCH(X$4,$C$4:$AM$4,0))))-(SUM(#REF!))),4),1),0)</f>
        <v>0</v>
      </c>
      <c r="Y106" s="110">
        <f>+IF(Y$4='Top Customers'!$C$3,IFERROR(ROUND(ABS((SUM(INDEX($C$4:$AM$103,0,MATCH(Y$4,$C$4:$AM$4,0))))-(SUM(#REF!))),4),1),0)</f>
        <v>0</v>
      </c>
      <c r="Z106" s="110">
        <f>+IF(Z$4='Top Customers'!$C$3,IFERROR(ROUND(ABS((SUM(INDEX($C$4:$AM$103,0,MATCH(Z$4,$C$4:$AM$4,0))))-(SUM(#REF!))),4),1),0)</f>
        <v>0</v>
      </c>
      <c r="AA106" s="110">
        <f>+IF(AA$4='Top Customers'!$C$3,IFERROR(ROUND(ABS((SUM(INDEX($C$4:$AM$103,0,MATCH(AA$4,$C$4:$AM$4,0))))-(SUM(#REF!))),4),1),0)</f>
        <v>0</v>
      </c>
      <c r="AB106" s="110">
        <f>+IF(AB$4='Top Customers'!$C$3,IFERROR(ROUND(ABS((SUM(INDEX($C$4:$AM$103,0,MATCH(AB$4,$C$4:$AM$4,0))))-(SUM(#REF!))),4),1),0)</f>
        <v>0</v>
      </c>
      <c r="AC106" s="110">
        <f>+IF(AC$4='Top Customers'!$C$3,IFERROR(ROUND(ABS((SUM(INDEX($C$4:$AM$103,0,MATCH(AC$4,$C$4:$AM$4,0))))-(SUM(#REF!))),4),1),0)</f>
        <v>0</v>
      </c>
      <c r="AD106" s="110">
        <f>+IF(AD$4='Top Customers'!$C$3,IFERROR(ROUND(ABS((SUM(INDEX($C$4:$AM$103,0,MATCH(AD$4,$C$4:$AM$4,0))))-(SUM(#REF!))),4),1),0)</f>
        <v>0</v>
      </c>
      <c r="AE106" s="110">
        <f>+IF(AE$4='Top Customers'!$C$3,IFERROR(ROUND(ABS((SUM(INDEX($C$4:$AM$103,0,MATCH(AE$4,$C$4:$AM$4,0))))-(SUM(#REF!))),4),1),0)</f>
        <v>0</v>
      </c>
      <c r="AF106" s="110">
        <f>+IF(AF$4='Top Customers'!$C$3,IFERROR(ROUND(ABS((SUM(INDEX($C$4:$AM$103,0,MATCH(AF$4,$C$4:$AM$4,0))))-(SUM(#REF!))),4),1),0)</f>
        <v>0</v>
      </c>
      <c r="AG106" s="110">
        <f>+IF(AG$4='Top Customers'!$C$3,IFERROR(ROUND(ABS((SUM(INDEX($C$4:$AM$103,0,MATCH(AG$4,$C$4:$AM$4,0))))-(SUM(#REF!))),4),1),0)</f>
        <v>0</v>
      </c>
      <c r="AH106" s="110">
        <f>+IF(AH$4='Top Customers'!$C$3,IFERROR(ROUND(ABS((SUM(INDEX($C$4:$AM$103,0,MATCH(AH$4,$C$4:$AM$4,0))))-(SUM(#REF!))),4),1),0)</f>
        <v>0</v>
      </c>
      <c r="AI106" s="110">
        <f>+IF(AI$4='Top Customers'!$C$3,IFERROR(ROUND(ABS((SUM(INDEX($C$4:$AM$103,0,MATCH(AI$4,$C$4:$AM$4,0))))-(SUM(#REF!))),4),1),0)</f>
        <v>0</v>
      </c>
      <c r="AJ106" s="110">
        <f>+IF(AJ$4='Top Customers'!$C$3,IFERROR(ROUND(ABS((SUM(INDEX($C$4:$AM$103,0,MATCH(AJ$4,$C$4:$AM$4,0))))-(SUM(#REF!))),4),1),0)</f>
        <v>0</v>
      </c>
      <c r="AK106" s="110">
        <f>+IF(AK$4='Top Customers'!$C$3,IFERROR(ROUND(ABS((SUM(INDEX($C$4:$AM$103,0,MATCH(AK$4,$C$4:$AM$4,0))))-(SUM(#REF!))),4),1),0)</f>
        <v>0</v>
      </c>
      <c r="AL106" s="110">
        <f>+IF(AL$4='Top Customers'!$C$3,IFERROR(ROUND(ABS((SUM(INDEX($C$4:$AM$103,0,MATCH(AL$4,$C$4:$AM$4,0))))-(SUM(#REF!))),4),1),0)</f>
        <v>0</v>
      </c>
      <c r="AM106" s="110">
        <f>+IF(AM$4='Top Customers'!$C$3,IFERROR(ROUND(ABS((SUM(INDEX($C$4:$AM$103,0,MATCH(AM$4,$C$4:$AM$4,0))))-(SUM(#REF!))),4),1),0)</f>
        <v>0</v>
      </c>
    </row>
    <row r="107" spans="2:39" x14ac:dyDescent="0.2">
      <c r="C107" s="110">
        <f>+IF(C$4='Top Customers'!$C$3,IFERROR(ROUND(ABS((SUM(INDEX(#REF!,0,MATCH(C$4,#REF!,0))))-(SUM(#REF!))),4),1),0)</f>
        <v>0</v>
      </c>
      <c r="D107" s="110">
        <f>+IF(D$4='Top Customers'!$C$3,IFERROR(ROUND(ABS((SUM(INDEX(#REF!,0,MATCH(D$4,#REF!,0))))-(SUM(#REF!))),4),1),0)</f>
        <v>0</v>
      </c>
      <c r="E107" s="110">
        <f>+IF(E$4='Top Customers'!$C$3,IFERROR(ROUND(ABS((SUM(INDEX(#REF!,0,MATCH(E$4,#REF!,0))))-(SUM(#REF!))),4),1),0)</f>
        <v>0</v>
      </c>
      <c r="F107" s="110">
        <f>+IF(F$4='Top Customers'!$C$3,IFERROR(ROUND(ABS((SUM(INDEX(#REF!,0,MATCH(F$4,#REF!,0))))-(SUM(#REF!))),4),1),0)</f>
        <v>0</v>
      </c>
      <c r="G107" s="110">
        <f>+IF(G$4='Top Customers'!$C$3,IFERROR(ROUND(ABS((SUM(INDEX(#REF!,0,MATCH(G$4,#REF!,0))))-(SUM(#REF!))),4),1),0)</f>
        <v>0</v>
      </c>
      <c r="H107" s="110">
        <f>+IF(H$4='Top Customers'!$C$3,IFERROR(ROUND(ABS((SUM(INDEX(#REF!,0,MATCH(H$4,#REF!,0))))-(SUM(#REF!))),4),1),0)</f>
        <v>0</v>
      </c>
      <c r="I107" s="110">
        <f>+IF(I$4='Top Customers'!$C$3,IFERROR(ROUND(ABS((SUM(INDEX(#REF!,0,MATCH(I$4,#REF!,0))))-(SUM(#REF!))),4),1),0)</f>
        <v>0</v>
      </c>
      <c r="J107" s="110">
        <f>+IF(J$4='Top Customers'!$C$3,IFERROR(ROUND(ABS((SUM(INDEX(#REF!,0,MATCH(J$4,#REF!,0))))-(SUM(#REF!))),4),1),0)</f>
        <v>0</v>
      </c>
      <c r="K107" s="110">
        <f>+IF(K$4='Top Customers'!$C$3,IFERROR(ROUND(ABS((SUM(INDEX(#REF!,0,MATCH(K$4,#REF!,0))))-(SUM(#REF!))),4),1),0)</f>
        <v>0</v>
      </c>
      <c r="L107" s="110">
        <f>+IF(L$4='Top Customers'!$C$3,IFERROR(ROUND(ABS((SUM(INDEX(#REF!,0,MATCH(L$4,#REF!,0))))-(SUM(#REF!))),4),1),0)</f>
        <v>0</v>
      </c>
      <c r="M107" s="110">
        <f>+IF(M$4='Top Customers'!$C$3,IFERROR(ROUND(ABS((SUM(INDEX(#REF!,0,MATCH(M$4,#REF!,0))))-(SUM(#REF!))),4),1),0)</f>
        <v>0</v>
      </c>
      <c r="N107" s="110">
        <f>+IF(N$4='Top Customers'!$C$3,IFERROR(ROUND(ABS((SUM(INDEX(#REF!,0,MATCH(N$4,#REF!,0))))-(SUM(#REF!))),4),1),0)</f>
        <v>0</v>
      </c>
      <c r="O107" s="110">
        <f>+IF(O$4='Top Customers'!$C$3,IFERROR(ROUND(ABS((SUM(INDEX(#REF!,0,MATCH(O$4,#REF!,0))))-(SUM(#REF!))),4),1),0)</f>
        <v>0</v>
      </c>
      <c r="P107" s="110">
        <f>+IF(P$4='Top Customers'!$C$3,IFERROR(ROUND(ABS((SUM(INDEX(#REF!,0,MATCH(P$4,#REF!,0))))-(SUM(#REF!))),4),1),0)</f>
        <v>0</v>
      </c>
      <c r="Q107" s="110">
        <f>+IF(Q$4='Top Customers'!$C$3,IFERROR(ROUND(ABS((SUM(INDEX(#REF!,0,MATCH(Q$4,#REF!,0))))-(SUM(#REF!))),4),1),0)</f>
        <v>0</v>
      </c>
      <c r="R107" s="110">
        <f>+IF(R$4='Top Customers'!$C$3,IFERROR(ROUND(ABS((SUM(INDEX(#REF!,0,MATCH(R$4,#REF!,0))))-(SUM(#REF!))),4),1),0)</f>
        <v>0</v>
      </c>
      <c r="S107" s="110">
        <f>+IF(S$4='Top Customers'!$C$3,IFERROR(ROUND(ABS((SUM(INDEX(#REF!,0,MATCH(S$4,#REF!,0))))-(SUM(#REF!))),4),1),0)</f>
        <v>0</v>
      </c>
      <c r="T107" s="110">
        <f>+IF(T$4='Top Customers'!$C$3,IFERROR(ROUND(ABS((SUM(INDEX(#REF!,0,MATCH(T$4,#REF!,0))))-(SUM(#REF!))),4),1),0)</f>
        <v>0</v>
      </c>
      <c r="U107" s="110">
        <f>+IF(U$4='Top Customers'!$C$3,IFERROR(ROUND(ABS((SUM(INDEX(#REF!,0,MATCH(U$4,#REF!,0))))-(SUM(#REF!))),4),1),0)</f>
        <v>0</v>
      </c>
      <c r="V107" s="110">
        <f>+IF(V$4='Top Customers'!$C$3,IFERROR(ROUND(ABS((SUM(INDEX(#REF!,0,MATCH(V$4,#REF!,0))))-(SUM(#REF!))),4),1),0)</f>
        <v>0</v>
      </c>
      <c r="W107" s="110">
        <f>+IF(W$4='Top Customers'!$C$3,IFERROR(ROUND(ABS((SUM(INDEX(#REF!,0,MATCH(W$4,#REF!,0))))-(SUM(#REF!))),4),1),0)</f>
        <v>0</v>
      </c>
      <c r="X107" s="110">
        <f>+IF(X$4='Top Customers'!$C$3,IFERROR(ROUND(ABS((SUM(INDEX(#REF!,0,MATCH(X$4,#REF!,0))))-(SUM(#REF!))),4),1),0)</f>
        <v>0</v>
      </c>
      <c r="Y107" s="110">
        <f>+IF(Y$4='Top Customers'!$C$3,IFERROR(ROUND(ABS((SUM(INDEX(#REF!,0,MATCH(Y$4,#REF!,0))))-(SUM(#REF!))),4),1),0)</f>
        <v>0</v>
      </c>
      <c r="Z107" s="110">
        <f>+IF(Z$4='Top Customers'!$C$3,IFERROR(ROUND(ABS((SUM(INDEX(#REF!,0,MATCH(Z$4,#REF!,0))))-(SUM(#REF!))),4),1),0)</f>
        <v>0</v>
      </c>
      <c r="AA107" s="110">
        <f>+IF(AA$4='Top Customers'!$C$3,IFERROR(ROUND(ABS((SUM(INDEX(#REF!,0,MATCH(AA$4,#REF!,0))))-(SUM(#REF!))),4),1),0)</f>
        <v>0</v>
      </c>
      <c r="AB107" s="110">
        <f>+IF(AB$4='Top Customers'!$C$3,IFERROR(ROUND(ABS((SUM(INDEX(#REF!,0,MATCH(AB$4,#REF!,0))))-(SUM(#REF!))),4),1),0)</f>
        <v>0</v>
      </c>
      <c r="AC107" s="110">
        <f>+IF(AC$4='Top Customers'!$C$3,IFERROR(ROUND(ABS((SUM(INDEX(#REF!,0,MATCH(AC$4,#REF!,0))))-(SUM(#REF!))),4),1),0)</f>
        <v>0</v>
      </c>
      <c r="AD107" s="110">
        <f>+IF(AD$4='Top Customers'!$C$3,IFERROR(ROUND(ABS((SUM(INDEX(#REF!,0,MATCH(AD$4,#REF!,0))))-(SUM(#REF!))),4),1),0)</f>
        <v>0</v>
      </c>
      <c r="AE107" s="110">
        <f>+IF(AE$4='Top Customers'!$C$3,IFERROR(ROUND(ABS((SUM(INDEX(#REF!,0,MATCH(AE$4,#REF!,0))))-(SUM(#REF!))),4),1),0)</f>
        <v>0</v>
      </c>
      <c r="AF107" s="110">
        <f>+IF(AF$4='Top Customers'!$C$3,IFERROR(ROUND(ABS((SUM(INDEX(#REF!,0,MATCH(AF$4,#REF!,0))))-(SUM(#REF!))),4),1),0)</f>
        <v>0</v>
      </c>
      <c r="AG107" s="110">
        <f>+IF(AG$4='Top Customers'!$C$3,IFERROR(ROUND(ABS((SUM(INDEX(#REF!,0,MATCH(AG$4,#REF!,0))))-(SUM(#REF!))),4),1),0)</f>
        <v>0</v>
      </c>
      <c r="AH107" s="110">
        <f>+IF(AH$4='Top Customers'!$C$3,IFERROR(ROUND(ABS((SUM(INDEX(#REF!,0,MATCH(AH$4,#REF!,0))))-(SUM(#REF!))),4),1),0)</f>
        <v>0</v>
      </c>
      <c r="AI107" s="110">
        <f>+IF(AI$4='Top Customers'!$C$3,IFERROR(ROUND(ABS((SUM(INDEX(#REF!,0,MATCH(AI$4,#REF!,0))))-(SUM(#REF!))),4),1),0)</f>
        <v>0</v>
      </c>
      <c r="AJ107" s="110">
        <f>+IF(AJ$4='Top Customers'!$C$3,IFERROR(ROUND(ABS((SUM(INDEX(#REF!,0,MATCH(AJ$4,#REF!,0))))-(SUM(#REF!))),4),1),0)</f>
        <v>0</v>
      </c>
      <c r="AK107" s="110">
        <f>+IF(AK$4='Top Customers'!$C$3,IFERROR(ROUND(ABS((SUM(INDEX(#REF!,0,MATCH(AK$4,#REF!,0))))-(SUM(#REF!))),4),1),0)</f>
        <v>0</v>
      </c>
      <c r="AL107" s="110">
        <f>+IF(AL$4='Top Customers'!$C$3,IFERROR(ROUND(ABS((SUM(INDEX(#REF!,0,MATCH(AL$4,#REF!,0))))-(SUM(#REF!))),4),1),0)</f>
        <v>0</v>
      </c>
      <c r="AM107" s="110">
        <f>+IF(AM$4='Top Customers'!$C$3,IFERROR(ROUND(ABS((SUM(INDEX(#REF!,0,MATCH(AM$4,#REF!,0))))-(SUM(#REF!))),4),1),0)</f>
        <v>0</v>
      </c>
    </row>
    <row r="108" spans="2:39" x14ac:dyDescent="0.2">
      <c r="C108" s="110">
        <f>+IF(C$4='Top Customers'!$C$3,IFERROR(ROUND(ABS((SUM(INDEX(#REF!,0,MATCH(C$4,#REF!,0))))-(SUM(#REF!))),4),1),0)</f>
        <v>0</v>
      </c>
      <c r="D108" s="110">
        <f>+IF(D$4='Top Customers'!$C$3,IFERROR(ROUND(ABS((SUM(INDEX(#REF!,0,MATCH(D$4,#REF!,0))))-(SUM(#REF!))),4),1),0)</f>
        <v>0</v>
      </c>
      <c r="E108" s="110">
        <f>+IF(E$4='Top Customers'!$C$3,IFERROR(ROUND(ABS((SUM(INDEX(#REF!,0,MATCH(E$4,#REF!,0))))-(SUM(#REF!))),4),1),0)</f>
        <v>0</v>
      </c>
      <c r="F108" s="110">
        <f>+IF(F$4='Top Customers'!$C$3,IFERROR(ROUND(ABS((SUM(INDEX(#REF!,0,MATCH(F$4,#REF!,0))))-(SUM(#REF!))),4),1),0)</f>
        <v>0</v>
      </c>
      <c r="G108" s="110">
        <f>+IF(G$4='Top Customers'!$C$3,IFERROR(ROUND(ABS((SUM(INDEX(#REF!,0,MATCH(G$4,#REF!,0))))-(SUM(#REF!))),4),1),0)</f>
        <v>0</v>
      </c>
      <c r="H108" s="110">
        <f>+IF(H$4='Top Customers'!$C$3,IFERROR(ROUND(ABS((SUM(INDEX(#REF!,0,MATCH(H$4,#REF!,0))))-(SUM(#REF!))),4),1),0)</f>
        <v>0</v>
      </c>
      <c r="I108" s="110">
        <f>+IF(I$4='Top Customers'!$C$3,IFERROR(ROUND(ABS((SUM(INDEX(#REF!,0,MATCH(I$4,#REF!,0))))-(SUM(#REF!))),4),1),0)</f>
        <v>0</v>
      </c>
      <c r="J108" s="110">
        <f>+IF(J$4='Top Customers'!$C$3,IFERROR(ROUND(ABS((SUM(INDEX(#REF!,0,MATCH(J$4,#REF!,0))))-(SUM(#REF!))),4),1),0)</f>
        <v>0</v>
      </c>
      <c r="K108" s="110">
        <f>+IF(K$4='Top Customers'!$C$3,IFERROR(ROUND(ABS((SUM(INDEX(#REF!,0,MATCH(K$4,#REF!,0))))-(SUM(#REF!))),4),1),0)</f>
        <v>0</v>
      </c>
      <c r="L108" s="110">
        <f>+IF(L$4='Top Customers'!$C$3,IFERROR(ROUND(ABS((SUM(INDEX(#REF!,0,MATCH(L$4,#REF!,0))))-(SUM(#REF!))),4),1),0)</f>
        <v>0</v>
      </c>
      <c r="M108" s="110">
        <f>+IF(M$4='Top Customers'!$C$3,IFERROR(ROUND(ABS((SUM(INDEX(#REF!,0,MATCH(M$4,#REF!,0))))-(SUM(#REF!))),4),1),0)</f>
        <v>0</v>
      </c>
      <c r="N108" s="110">
        <f>+IF(N$4='Top Customers'!$C$3,IFERROR(ROUND(ABS((SUM(INDEX(#REF!,0,MATCH(N$4,#REF!,0))))-(SUM(#REF!))),4),1),0)</f>
        <v>0</v>
      </c>
      <c r="O108" s="110">
        <f>+IF(O$4='Top Customers'!$C$3,IFERROR(ROUND(ABS((SUM(INDEX(#REF!,0,MATCH(O$4,#REF!,0))))-(SUM(#REF!))),4),1),0)</f>
        <v>0</v>
      </c>
      <c r="P108" s="110">
        <f>+IF(P$4='Top Customers'!$C$3,IFERROR(ROUND(ABS((SUM(INDEX(#REF!,0,MATCH(P$4,#REF!,0))))-(SUM(#REF!))),4),1),0)</f>
        <v>0</v>
      </c>
      <c r="Q108" s="110">
        <f>+IF(Q$4='Top Customers'!$C$3,IFERROR(ROUND(ABS((SUM(INDEX(#REF!,0,MATCH(Q$4,#REF!,0))))-(SUM(#REF!))),4),1),0)</f>
        <v>0</v>
      </c>
      <c r="R108" s="110">
        <f>+IF(R$4='Top Customers'!$C$3,IFERROR(ROUND(ABS((SUM(INDEX(#REF!,0,MATCH(R$4,#REF!,0))))-(SUM(#REF!))),4),1),0)</f>
        <v>0</v>
      </c>
      <c r="S108" s="110">
        <f>+IF(S$4='Top Customers'!$C$3,IFERROR(ROUND(ABS((SUM(INDEX(#REF!,0,MATCH(S$4,#REF!,0))))-(SUM(#REF!))),4),1),0)</f>
        <v>0</v>
      </c>
      <c r="T108" s="110">
        <f>+IF(T$4='Top Customers'!$C$3,IFERROR(ROUND(ABS((SUM(INDEX(#REF!,0,MATCH(T$4,#REF!,0))))-(SUM(#REF!))),4),1),0)</f>
        <v>0</v>
      </c>
      <c r="U108" s="110">
        <f>+IF(U$4='Top Customers'!$C$3,IFERROR(ROUND(ABS((SUM(INDEX(#REF!,0,MATCH(U$4,#REF!,0))))-(SUM(#REF!))),4),1),0)</f>
        <v>0</v>
      </c>
      <c r="V108" s="110">
        <f>+IF(V$4='Top Customers'!$C$3,IFERROR(ROUND(ABS((SUM(INDEX(#REF!,0,MATCH(V$4,#REF!,0))))-(SUM(#REF!))),4),1),0)</f>
        <v>0</v>
      </c>
      <c r="W108" s="110">
        <f>+IF(W$4='Top Customers'!$C$3,IFERROR(ROUND(ABS((SUM(INDEX(#REF!,0,MATCH(W$4,#REF!,0))))-(SUM(#REF!))),4),1),0)</f>
        <v>0</v>
      </c>
      <c r="X108" s="110">
        <f>+IF(X$4='Top Customers'!$C$3,IFERROR(ROUND(ABS((SUM(INDEX(#REF!,0,MATCH(X$4,#REF!,0))))-(SUM(#REF!))),4),1),0)</f>
        <v>0</v>
      </c>
      <c r="Y108" s="110">
        <f>+IF(Y$4='Top Customers'!$C$3,IFERROR(ROUND(ABS((SUM(INDEX(#REF!,0,MATCH(Y$4,#REF!,0))))-(SUM(#REF!))),4),1),0)</f>
        <v>0</v>
      </c>
      <c r="Z108" s="110">
        <f>+IF(Z$4='Top Customers'!$C$3,IFERROR(ROUND(ABS((SUM(INDEX(#REF!,0,MATCH(Z$4,#REF!,0))))-(SUM(#REF!))),4),1),0)</f>
        <v>0</v>
      </c>
      <c r="AA108" s="110">
        <f>+IF(AA$4='Top Customers'!$C$3,IFERROR(ROUND(ABS((SUM(INDEX(#REF!,0,MATCH(AA$4,#REF!,0))))-(SUM(#REF!))),4),1),0)</f>
        <v>0</v>
      </c>
      <c r="AB108" s="110">
        <f>+IF(AB$4='Top Customers'!$C$3,IFERROR(ROUND(ABS((SUM(INDEX(#REF!,0,MATCH(AB$4,#REF!,0))))-(SUM(#REF!))),4),1),0)</f>
        <v>0</v>
      </c>
      <c r="AC108" s="110">
        <f>+IF(AC$4='Top Customers'!$C$3,IFERROR(ROUND(ABS((SUM(INDEX(#REF!,0,MATCH(AC$4,#REF!,0))))-(SUM(#REF!))),4),1),0)</f>
        <v>0</v>
      </c>
      <c r="AD108" s="110">
        <f>+IF(AD$4='Top Customers'!$C$3,IFERROR(ROUND(ABS((SUM(INDEX(#REF!,0,MATCH(AD$4,#REF!,0))))-(SUM(#REF!))),4),1),0)</f>
        <v>0</v>
      </c>
      <c r="AE108" s="110">
        <f>+IF(AE$4='Top Customers'!$C$3,IFERROR(ROUND(ABS((SUM(INDEX(#REF!,0,MATCH(AE$4,#REF!,0))))-(SUM(#REF!))),4),1),0)</f>
        <v>0</v>
      </c>
      <c r="AF108" s="110">
        <f>+IF(AF$4='Top Customers'!$C$3,IFERROR(ROUND(ABS((SUM(INDEX(#REF!,0,MATCH(AF$4,#REF!,0))))-(SUM(#REF!))),4),1),0)</f>
        <v>0</v>
      </c>
      <c r="AG108" s="110">
        <f>+IF(AG$4='Top Customers'!$C$3,IFERROR(ROUND(ABS((SUM(INDEX(#REF!,0,MATCH(AG$4,#REF!,0))))-(SUM(#REF!))),4),1),0)</f>
        <v>0</v>
      </c>
      <c r="AH108" s="110">
        <f>+IF(AH$4='Top Customers'!$C$3,IFERROR(ROUND(ABS((SUM(INDEX(#REF!,0,MATCH(AH$4,#REF!,0))))-(SUM(#REF!))),4),1),0)</f>
        <v>0</v>
      </c>
      <c r="AI108" s="110">
        <f>+IF(AI$4='Top Customers'!$C$3,IFERROR(ROUND(ABS((SUM(INDEX(#REF!,0,MATCH(AI$4,#REF!,0))))-(SUM(#REF!))),4),1),0)</f>
        <v>0</v>
      </c>
      <c r="AJ108" s="110">
        <f>+IF(AJ$4='Top Customers'!$C$3,IFERROR(ROUND(ABS((SUM(INDEX(#REF!,0,MATCH(AJ$4,#REF!,0))))-(SUM(#REF!))),4),1),0)</f>
        <v>0</v>
      </c>
      <c r="AK108" s="110">
        <f>+IF(AK$4='Top Customers'!$C$3,IFERROR(ROUND(ABS((SUM(INDEX(#REF!,0,MATCH(AK$4,#REF!,0))))-(SUM(#REF!))),4),1),0)</f>
        <v>0</v>
      </c>
      <c r="AL108" s="110">
        <f>+IF(AL$4='Top Customers'!$C$3,IFERROR(ROUND(ABS((SUM(INDEX(#REF!,0,MATCH(AL$4,#REF!,0))))-(SUM(#REF!))),4),1),0)</f>
        <v>0</v>
      </c>
      <c r="AM108" s="110">
        <f>+IF(AM$4='Top Customers'!$C$3,IFERROR(ROUND(ABS((SUM(INDEX(#REF!,0,MATCH(AM$4,#REF!,0))))-(SUM(#REF!))),4),1),0)</f>
        <v>0</v>
      </c>
    </row>
    <row r="109" spans="2:39" x14ac:dyDescent="0.2">
      <c r="C109" s="110">
        <f>+IF(C$4='Top Customers'!$C$3,IFERROR(ROUND(ABS((SUM(INDEX(#REF!,0,MATCH(C$4,#REF!,0))))-(SUM(#REF!))),4),1),0)</f>
        <v>0</v>
      </c>
      <c r="D109" s="110">
        <f>+IF(D$4='Top Customers'!$C$3,IFERROR(ROUND(ABS((SUM(INDEX(#REF!,0,MATCH(D$4,#REF!,0))))-(SUM(#REF!))),4),1),0)</f>
        <v>0</v>
      </c>
      <c r="E109" s="110">
        <f>+IF(E$4='Top Customers'!$C$3,IFERROR(ROUND(ABS((SUM(INDEX(#REF!,0,MATCH(E$4,#REF!,0))))-(SUM(#REF!))),4),1),0)</f>
        <v>0</v>
      </c>
      <c r="F109" s="110">
        <f>+IF(F$4='Top Customers'!$C$3,IFERROR(ROUND(ABS((SUM(INDEX(#REF!,0,MATCH(F$4,#REF!,0))))-(SUM(#REF!))),4),1),0)</f>
        <v>0</v>
      </c>
      <c r="G109" s="110">
        <f>+IF(G$4='Top Customers'!$C$3,IFERROR(ROUND(ABS((SUM(INDEX(#REF!,0,MATCH(G$4,#REF!,0))))-(SUM(#REF!))),4),1),0)</f>
        <v>0</v>
      </c>
      <c r="H109" s="110">
        <f>+IF(H$4='Top Customers'!$C$3,IFERROR(ROUND(ABS((SUM(INDEX(#REF!,0,MATCH(H$4,#REF!,0))))-(SUM(#REF!))),4),1),0)</f>
        <v>0</v>
      </c>
      <c r="I109" s="110">
        <f>+IF(I$4='Top Customers'!$C$3,IFERROR(ROUND(ABS((SUM(INDEX(#REF!,0,MATCH(I$4,#REF!,0))))-(SUM(#REF!))),4),1),0)</f>
        <v>0</v>
      </c>
      <c r="J109" s="110">
        <f>+IF(J$4='Top Customers'!$C$3,IFERROR(ROUND(ABS((SUM(INDEX(#REF!,0,MATCH(J$4,#REF!,0))))-(SUM(#REF!))),4),1),0)</f>
        <v>0</v>
      </c>
      <c r="K109" s="110">
        <f>+IF(K$4='Top Customers'!$C$3,IFERROR(ROUND(ABS((SUM(INDEX(#REF!,0,MATCH(K$4,#REF!,0))))-(SUM(#REF!))),4),1),0)</f>
        <v>0</v>
      </c>
      <c r="L109" s="110">
        <f>+IF(L$4='Top Customers'!$C$3,IFERROR(ROUND(ABS((SUM(INDEX(#REF!,0,MATCH(L$4,#REF!,0))))-(SUM(#REF!))),4),1),0)</f>
        <v>0</v>
      </c>
      <c r="M109" s="110">
        <f>+IF(M$4='Top Customers'!$C$3,IFERROR(ROUND(ABS((SUM(INDEX(#REF!,0,MATCH(M$4,#REF!,0))))-(SUM(#REF!))),4),1),0)</f>
        <v>0</v>
      </c>
      <c r="N109" s="110">
        <f>+IF(N$4='Top Customers'!$C$3,IFERROR(ROUND(ABS((SUM(INDEX(#REF!,0,MATCH(N$4,#REF!,0))))-(SUM(#REF!))),4),1),0)</f>
        <v>0</v>
      </c>
      <c r="O109" s="110">
        <f>+IF(O$4='Top Customers'!$C$3,IFERROR(ROUND(ABS((SUM(INDEX(#REF!,0,MATCH(O$4,#REF!,0))))-(SUM(#REF!))),4),1),0)</f>
        <v>0</v>
      </c>
      <c r="P109" s="110">
        <f>+IF(P$4='Top Customers'!$C$3,IFERROR(ROUND(ABS((SUM(INDEX(#REF!,0,MATCH(P$4,#REF!,0))))-(SUM(#REF!))),4),1),0)</f>
        <v>0</v>
      </c>
      <c r="Q109" s="110">
        <f>+IF(Q$4='Top Customers'!$C$3,IFERROR(ROUND(ABS((SUM(INDEX(#REF!,0,MATCH(Q$4,#REF!,0))))-(SUM(#REF!))),4),1),0)</f>
        <v>0</v>
      </c>
      <c r="R109" s="110">
        <f>+IF(R$4='Top Customers'!$C$3,IFERROR(ROUND(ABS((SUM(INDEX(#REF!,0,MATCH(R$4,#REF!,0))))-(SUM(#REF!))),4),1),0)</f>
        <v>0</v>
      </c>
      <c r="S109" s="110">
        <f>+IF(S$4='Top Customers'!$C$3,IFERROR(ROUND(ABS((SUM(INDEX(#REF!,0,MATCH(S$4,#REF!,0))))-(SUM(#REF!))),4),1),0)</f>
        <v>0</v>
      </c>
      <c r="T109" s="110">
        <f>+IF(T$4='Top Customers'!$C$3,IFERROR(ROUND(ABS((SUM(INDEX(#REF!,0,MATCH(T$4,#REF!,0))))-(SUM(#REF!))),4),1),0)</f>
        <v>0</v>
      </c>
      <c r="U109" s="110">
        <f>+IF(U$4='Top Customers'!$C$3,IFERROR(ROUND(ABS((SUM(INDEX(#REF!,0,MATCH(U$4,#REF!,0))))-(SUM(#REF!))),4),1),0)</f>
        <v>0</v>
      </c>
      <c r="V109" s="110">
        <f>+IF(V$4='Top Customers'!$C$3,IFERROR(ROUND(ABS((SUM(INDEX(#REF!,0,MATCH(V$4,#REF!,0))))-(SUM(#REF!))),4),1),0)</f>
        <v>0</v>
      </c>
      <c r="W109" s="110">
        <f>+IF(W$4='Top Customers'!$C$3,IFERROR(ROUND(ABS((SUM(INDEX(#REF!,0,MATCH(W$4,#REF!,0))))-(SUM(#REF!))),4),1),0)</f>
        <v>0</v>
      </c>
      <c r="X109" s="110">
        <f>+IF(X$4='Top Customers'!$C$3,IFERROR(ROUND(ABS((SUM(INDEX(#REF!,0,MATCH(X$4,#REF!,0))))-(SUM(#REF!))),4),1),0)</f>
        <v>0</v>
      </c>
      <c r="Y109" s="110">
        <f>+IF(Y$4='Top Customers'!$C$3,IFERROR(ROUND(ABS((SUM(INDEX(#REF!,0,MATCH(Y$4,#REF!,0))))-(SUM(#REF!))),4),1),0)</f>
        <v>0</v>
      </c>
      <c r="Z109" s="110">
        <f>+IF(Z$4='Top Customers'!$C$3,IFERROR(ROUND(ABS((SUM(INDEX(#REF!,0,MATCH(Z$4,#REF!,0))))-(SUM(#REF!))),4),1),0)</f>
        <v>0</v>
      </c>
      <c r="AA109" s="110">
        <f>+IF(AA$4='Top Customers'!$C$3,IFERROR(ROUND(ABS((SUM(INDEX(#REF!,0,MATCH(AA$4,#REF!,0))))-(SUM(#REF!))),4),1),0)</f>
        <v>0</v>
      </c>
      <c r="AB109" s="110">
        <f>+IF(AB$4='Top Customers'!$C$3,IFERROR(ROUND(ABS((SUM(INDEX(#REF!,0,MATCH(AB$4,#REF!,0))))-(SUM(#REF!))),4),1),0)</f>
        <v>0</v>
      </c>
      <c r="AC109" s="110">
        <f>+IF(AC$4='Top Customers'!$C$3,IFERROR(ROUND(ABS((SUM(INDEX(#REF!,0,MATCH(AC$4,#REF!,0))))-(SUM(#REF!))),4),1),0)</f>
        <v>0</v>
      </c>
      <c r="AD109" s="110">
        <f>+IF(AD$4='Top Customers'!$C$3,IFERROR(ROUND(ABS((SUM(INDEX(#REF!,0,MATCH(AD$4,#REF!,0))))-(SUM(#REF!))),4),1),0)</f>
        <v>0</v>
      </c>
      <c r="AE109" s="110">
        <f>+IF(AE$4='Top Customers'!$C$3,IFERROR(ROUND(ABS((SUM(INDEX(#REF!,0,MATCH(AE$4,#REF!,0))))-(SUM(#REF!))),4),1),0)</f>
        <v>0</v>
      </c>
      <c r="AF109" s="110">
        <f>+IF(AF$4='Top Customers'!$C$3,IFERROR(ROUND(ABS((SUM(INDEX(#REF!,0,MATCH(AF$4,#REF!,0))))-(SUM(#REF!))),4),1),0)</f>
        <v>0</v>
      </c>
      <c r="AG109" s="110">
        <f>+IF(AG$4='Top Customers'!$C$3,IFERROR(ROUND(ABS((SUM(INDEX(#REF!,0,MATCH(AG$4,#REF!,0))))-(SUM(#REF!))),4),1),0)</f>
        <v>0</v>
      </c>
      <c r="AH109" s="110">
        <f>+IF(AH$4='Top Customers'!$C$3,IFERROR(ROUND(ABS((SUM(INDEX(#REF!,0,MATCH(AH$4,#REF!,0))))-(SUM(#REF!))),4),1),0)</f>
        <v>0</v>
      </c>
      <c r="AI109" s="110">
        <f>+IF(AI$4='Top Customers'!$C$3,IFERROR(ROUND(ABS((SUM(INDEX(#REF!,0,MATCH(AI$4,#REF!,0))))-(SUM(#REF!))),4),1),0)</f>
        <v>0</v>
      </c>
      <c r="AJ109" s="110">
        <f>+IF(AJ$4='Top Customers'!$C$3,IFERROR(ROUND(ABS((SUM(INDEX(#REF!,0,MATCH(AJ$4,#REF!,0))))-(SUM(#REF!))),4),1),0)</f>
        <v>0</v>
      </c>
      <c r="AK109" s="110">
        <f>+IF(AK$4='Top Customers'!$C$3,IFERROR(ROUND(ABS((SUM(INDEX(#REF!,0,MATCH(AK$4,#REF!,0))))-(SUM(#REF!))),4),1),0)</f>
        <v>0</v>
      </c>
      <c r="AL109" s="110">
        <f>+IF(AL$4='Top Customers'!$C$3,IFERROR(ROUND(ABS((SUM(INDEX(#REF!,0,MATCH(AL$4,#REF!,0))))-(SUM(#REF!))),4),1),0)</f>
        <v>0</v>
      </c>
      <c r="AM109" s="110">
        <f>+IF(AM$4='Top Customers'!$C$3,IFERROR(ROUND(ABS((SUM(INDEX(#REF!,0,MATCH(AM$4,#REF!,0))))-(SUM(#REF!))),4),1),0)</f>
        <v>0</v>
      </c>
    </row>
    <row r="110" spans="2:39" x14ac:dyDescent="0.2">
      <c r="C110" s="110">
        <f>+IF(C$4='Top Customers'!$C$3,IFERROR(ROUND(ABS((SUM(INDEX(#REF!,0,MATCH(C$4,#REF!,0))))-(SUM(#REF!))),4),1),0)</f>
        <v>0</v>
      </c>
      <c r="D110" s="110">
        <f>+IF(D$4='Top Customers'!$C$3,IFERROR(ROUND(ABS((SUM(INDEX(#REF!,0,MATCH(D$4,#REF!,0))))-(SUM(#REF!))),4),1),0)</f>
        <v>0</v>
      </c>
      <c r="E110" s="110">
        <f>+IF(E$4='Top Customers'!$C$3,IFERROR(ROUND(ABS((SUM(INDEX(#REF!,0,MATCH(E$4,#REF!,0))))-(SUM(#REF!))),4),1),0)</f>
        <v>0</v>
      </c>
      <c r="F110" s="110">
        <f>+IF(F$4='Top Customers'!$C$3,IFERROR(ROUND(ABS((SUM(INDEX(#REF!,0,MATCH(F$4,#REF!,0))))-(SUM(#REF!))),4),1),0)</f>
        <v>0</v>
      </c>
      <c r="G110" s="110">
        <f>+IF(G$4='Top Customers'!$C$3,IFERROR(ROUND(ABS((SUM(INDEX(#REF!,0,MATCH(G$4,#REF!,0))))-(SUM(#REF!))),4),1),0)</f>
        <v>0</v>
      </c>
      <c r="H110" s="110">
        <f>+IF(H$4='Top Customers'!$C$3,IFERROR(ROUND(ABS((SUM(INDEX(#REF!,0,MATCH(H$4,#REF!,0))))-(SUM(#REF!))),4),1),0)</f>
        <v>0</v>
      </c>
      <c r="I110" s="110">
        <f>+IF(I$4='Top Customers'!$C$3,IFERROR(ROUND(ABS((SUM(INDEX(#REF!,0,MATCH(I$4,#REF!,0))))-(SUM(#REF!))),4),1),0)</f>
        <v>0</v>
      </c>
      <c r="J110" s="110">
        <f>+IF(J$4='Top Customers'!$C$3,IFERROR(ROUND(ABS((SUM(INDEX(#REF!,0,MATCH(J$4,#REF!,0))))-(SUM(#REF!))),4),1),0)</f>
        <v>0</v>
      </c>
      <c r="K110" s="110">
        <f>+IF(K$4='Top Customers'!$C$3,IFERROR(ROUND(ABS((SUM(INDEX(#REF!,0,MATCH(K$4,#REF!,0))))-(SUM(#REF!))),4),1),0)</f>
        <v>0</v>
      </c>
      <c r="L110" s="110">
        <f>+IF(L$4='Top Customers'!$C$3,IFERROR(ROUND(ABS((SUM(INDEX(#REF!,0,MATCH(L$4,#REF!,0))))-(SUM(#REF!))),4),1),0)</f>
        <v>0</v>
      </c>
      <c r="M110" s="110">
        <f>+IF(M$4='Top Customers'!$C$3,IFERROR(ROUND(ABS((SUM(INDEX(#REF!,0,MATCH(M$4,#REF!,0))))-(SUM(#REF!))),4),1),0)</f>
        <v>0</v>
      </c>
      <c r="N110" s="110">
        <f>+IF(N$4='Top Customers'!$C$3,IFERROR(ROUND(ABS((SUM(INDEX(#REF!,0,MATCH(N$4,#REF!,0))))-(SUM(#REF!))),4),1),0)</f>
        <v>0</v>
      </c>
      <c r="O110" s="110">
        <f>+IF(O$4='Top Customers'!$C$3,IFERROR(ROUND(ABS((SUM(INDEX(#REF!,0,MATCH(O$4,#REF!,0))))-(SUM(#REF!))),4),1),0)</f>
        <v>0</v>
      </c>
      <c r="P110" s="110">
        <f>+IF(P$4='Top Customers'!$C$3,IFERROR(ROUND(ABS((SUM(INDEX(#REF!,0,MATCH(P$4,#REF!,0))))-(SUM(#REF!))),4),1),0)</f>
        <v>0</v>
      </c>
      <c r="Q110" s="110">
        <f>+IF(Q$4='Top Customers'!$C$3,IFERROR(ROUND(ABS((SUM(INDEX(#REF!,0,MATCH(Q$4,#REF!,0))))-(SUM(#REF!))),4),1),0)</f>
        <v>0</v>
      </c>
      <c r="R110" s="110">
        <f>+IF(R$4='Top Customers'!$C$3,IFERROR(ROUND(ABS((SUM(INDEX(#REF!,0,MATCH(R$4,#REF!,0))))-(SUM(#REF!))),4),1),0)</f>
        <v>0</v>
      </c>
      <c r="S110" s="110">
        <f>+IF(S$4='Top Customers'!$C$3,IFERROR(ROUND(ABS((SUM(INDEX(#REF!,0,MATCH(S$4,#REF!,0))))-(SUM(#REF!))),4),1),0)</f>
        <v>0</v>
      </c>
      <c r="T110" s="110">
        <f>+IF(T$4='Top Customers'!$C$3,IFERROR(ROUND(ABS((SUM(INDEX(#REF!,0,MATCH(T$4,#REF!,0))))-(SUM(#REF!))),4),1),0)</f>
        <v>0</v>
      </c>
      <c r="U110" s="110">
        <f>+IF(U$4='Top Customers'!$C$3,IFERROR(ROUND(ABS((SUM(INDEX(#REF!,0,MATCH(U$4,#REF!,0))))-(SUM(#REF!))),4),1),0)</f>
        <v>0</v>
      </c>
      <c r="V110" s="110">
        <f>+IF(V$4='Top Customers'!$C$3,IFERROR(ROUND(ABS((SUM(INDEX(#REF!,0,MATCH(V$4,#REF!,0))))-(SUM(#REF!))),4),1),0)</f>
        <v>0</v>
      </c>
      <c r="W110" s="110">
        <f>+IF(W$4='Top Customers'!$C$3,IFERROR(ROUND(ABS((SUM(INDEX(#REF!,0,MATCH(W$4,#REF!,0))))-(SUM(#REF!))),4),1),0)</f>
        <v>0</v>
      </c>
      <c r="X110" s="110">
        <f>+IF(X$4='Top Customers'!$C$3,IFERROR(ROUND(ABS((SUM(INDEX(#REF!,0,MATCH(X$4,#REF!,0))))-(SUM(#REF!))),4),1),0)</f>
        <v>0</v>
      </c>
      <c r="Y110" s="110">
        <f>+IF(Y$4='Top Customers'!$C$3,IFERROR(ROUND(ABS((SUM(INDEX(#REF!,0,MATCH(Y$4,#REF!,0))))-(SUM(#REF!))),4),1),0)</f>
        <v>0</v>
      </c>
      <c r="Z110" s="110">
        <f>+IF(Z$4='Top Customers'!$C$3,IFERROR(ROUND(ABS((SUM(INDEX(#REF!,0,MATCH(Z$4,#REF!,0))))-(SUM(#REF!))),4),1),0)</f>
        <v>0</v>
      </c>
      <c r="AA110" s="110">
        <f>+IF(AA$4='Top Customers'!$C$3,IFERROR(ROUND(ABS((SUM(INDEX(#REF!,0,MATCH(AA$4,#REF!,0))))-(SUM(#REF!))),4),1),0)</f>
        <v>0</v>
      </c>
      <c r="AB110" s="110">
        <f>+IF(AB$4='Top Customers'!$C$3,IFERROR(ROUND(ABS((SUM(INDEX(#REF!,0,MATCH(AB$4,#REF!,0))))-(SUM(#REF!))),4),1),0)</f>
        <v>0</v>
      </c>
      <c r="AC110" s="110">
        <f>+IF(AC$4='Top Customers'!$C$3,IFERROR(ROUND(ABS((SUM(INDEX(#REF!,0,MATCH(AC$4,#REF!,0))))-(SUM(#REF!))),4),1),0)</f>
        <v>0</v>
      </c>
      <c r="AD110" s="110">
        <f>+IF(AD$4='Top Customers'!$C$3,IFERROR(ROUND(ABS((SUM(INDEX(#REF!,0,MATCH(AD$4,#REF!,0))))-(SUM(#REF!))),4),1),0)</f>
        <v>0</v>
      </c>
      <c r="AE110" s="110">
        <f>+IF(AE$4='Top Customers'!$C$3,IFERROR(ROUND(ABS((SUM(INDEX(#REF!,0,MATCH(AE$4,#REF!,0))))-(SUM(#REF!))),4),1),0)</f>
        <v>0</v>
      </c>
      <c r="AF110" s="110">
        <f>+IF(AF$4='Top Customers'!$C$3,IFERROR(ROUND(ABS((SUM(INDEX(#REF!,0,MATCH(AF$4,#REF!,0))))-(SUM(#REF!))),4),1),0)</f>
        <v>0</v>
      </c>
      <c r="AG110" s="110">
        <f>+IF(AG$4='Top Customers'!$C$3,IFERROR(ROUND(ABS((SUM(INDEX(#REF!,0,MATCH(AG$4,#REF!,0))))-(SUM(#REF!))),4),1),0)</f>
        <v>0</v>
      </c>
      <c r="AH110" s="110">
        <f>+IF(AH$4='Top Customers'!$C$3,IFERROR(ROUND(ABS((SUM(INDEX(#REF!,0,MATCH(AH$4,#REF!,0))))-(SUM(#REF!))),4),1),0)</f>
        <v>0</v>
      </c>
      <c r="AI110" s="110">
        <f>+IF(AI$4='Top Customers'!$C$3,IFERROR(ROUND(ABS((SUM(INDEX(#REF!,0,MATCH(AI$4,#REF!,0))))-(SUM(#REF!))),4),1),0)</f>
        <v>0</v>
      </c>
      <c r="AJ110" s="110">
        <f>+IF(AJ$4='Top Customers'!$C$3,IFERROR(ROUND(ABS((SUM(INDEX(#REF!,0,MATCH(AJ$4,#REF!,0))))-(SUM(#REF!))),4),1),0)</f>
        <v>0</v>
      </c>
      <c r="AK110" s="110">
        <f>+IF(AK$4='Top Customers'!$C$3,IFERROR(ROUND(ABS((SUM(INDEX(#REF!,0,MATCH(AK$4,#REF!,0))))-(SUM(#REF!))),4),1),0)</f>
        <v>0</v>
      </c>
      <c r="AL110" s="110">
        <f>+IF(AL$4='Top Customers'!$C$3,IFERROR(ROUND(ABS((SUM(INDEX(#REF!,0,MATCH(AL$4,#REF!,0))))-(SUM(#REF!))),4),1),0)</f>
        <v>0</v>
      </c>
      <c r="AM110" s="110">
        <f>+IF(AM$4='Top Customers'!$C$3,IFERROR(ROUND(ABS((SUM(INDEX(#REF!,0,MATCH(AM$4,#REF!,0))))-(SUM(#REF!))),4),1),0)</f>
        <v>0</v>
      </c>
    </row>
  </sheetData>
  <autoFilter ref="B3:AK103" xr:uid="{83D2AE4D-B6D1-4F99-98ED-9AFC2BF0E716}"/>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q:properties xmlns:q="http://schemas.quikirr.com/excel/properties">
  <q:property>
    <q:key>QuikirrAnalysisId</q:key>
    <q:value>131815</q:value>
  </q:property>
  <q:property>
    <q:key>QuikirrDataCubeRequestId</q:key>
    <q:value>c493594d-78f4-4a0e-934b-682ec31124b3</q:value>
  </q:property>
  <q:property>
    <q:key>QuikirrAnalysisComplete</q:key>
    <q:value>true</q:value>
  </q:property>
</q:properties>
</file>

<file path=customXml/itemProps1.xml><?xml version="1.0" encoding="utf-8"?>
<ds:datastoreItem xmlns:ds="http://schemas.openxmlformats.org/officeDocument/2006/customXml" ds:itemID="{A1FE7119-6372-48E8-AC56-9955C7A5EDC6}">
  <ds:schemaRefs>
    <ds:schemaRef ds:uri="http://schemas.quikirr.com/excel/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5</vt:i4>
      </vt:variant>
    </vt:vector>
  </HeadingPairs>
  <TitlesOfParts>
    <vt:vector size="15" baseType="lpstr">
      <vt:lpstr>ToC</vt:lpstr>
      <vt:lpstr>Waterfalls &gt;</vt:lpstr>
      <vt:lpstr>Annual Waterfall</vt:lpstr>
      <vt:lpstr>Quarterly Waterfall</vt:lpstr>
      <vt:lpstr>LTM Waterfall</vt:lpstr>
      <vt:lpstr>Customers &gt;</vt:lpstr>
      <vt:lpstr>Top Customers</vt:lpstr>
      <vt:lpstr>Data Foundation &gt;</vt:lpstr>
      <vt:lpstr>Quikirr Data</vt:lpstr>
      <vt:lpstr>Source Data</vt:lpstr>
      <vt:lpstr>'Annual Waterfall'!Print_Area</vt:lpstr>
      <vt:lpstr>'LTM Waterfall'!Print_Area</vt:lpstr>
      <vt:lpstr>'Quarterly Waterfall'!Print_Area</vt:lpstr>
      <vt:lpstr>ToC!Print_Area</vt:lpstr>
      <vt:lpstr>'Top Customers'!Print_Area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Azamat Gasanov</dc:creator>
  <cp:lastModifiedBy>Zavalny, Igor</cp:lastModifiedBy>
  <dcterms:created xsi:type="dcterms:W3CDTF">2026-03-17T05:23:56Z</dcterms:created>
  <dcterms:modified xsi:type="dcterms:W3CDTF">2026-03-29T22:44:13Z</dcterms:modified>
</cp:coreProperties>
</file>