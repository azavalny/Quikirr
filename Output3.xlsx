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Waterfall" sheetId="1" state="visible" r:id="rId1"/>
    <sheet name="Quarterly Waterfall" sheetId="2" state="visible" r:id="rId2"/>
    <sheet name="Top Customers" sheetId="3" state="visible" r:id="rId3"/>
    <sheet name="Origina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(&quot;$&quot;* #,##0_);_(&quot;$&quot;* (#,##0);_(&quot;$&quot;* &quot;-&quot;??_);_(@_)"/>
    <numFmt numFmtId="165" formatCode="0%_);(0%);&quot; - &quot;"/>
    <numFmt numFmtId="166" formatCode="_(* #,##0_);_(* (#,##0);_(* &quot; - &quot;?_);_(@_)"/>
    <numFmt numFmtId="167" formatCode="(#,##0);(#,##0);&quot; - &quot;"/>
    <numFmt numFmtId="168" formatCode="0.0&quot;x&quot;_);(0.0&quot;x&quot;);&quot; - &quot;"/>
    <numFmt numFmtId="169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lightDown">
        <fgColor rgb="00D9D9D9"/>
        <bgColor rgb="00F2F2F2"/>
      </patternFill>
    </fill>
    <fill>
      <patternFill patternType="solid">
        <fgColor rgb="00F2E4D8"/>
      </patternFill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1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164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" fillId="4" borderId="0" applyAlignment="1" pivotButton="0" quotePrefix="0" xfId="0">
      <alignment horizontal="left"/>
    </xf>
    <xf numFmtId="0" fontId="2" fillId="4" borderId="0" pivotButton="0" quotePrefix="0" xfId="0"/>
    <xf numFmtId="165" fontId="2" fillId="4" borderId="0" applyAlignment="1" pivotButton="0" quotePrefix="0" xfId="0">
      <alignment horizontal="right"/>
    </xf>
    <xf numFmtId="0" fontId="1" fillId="2" borderId="0" pivotButton="0" quotePrefix="0" xfId="0"/>
    <xf numFmtId="166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left"/>
    </xf>
    <xf numFmtId="165" fontId="0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8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6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Annual Waterfall</t>
        </is>
      </c>
    </row>
    <row r="2">
      <c r="A2" s="2" t="n"/>
      <c r="B2" s="3" t="inlineStr">
        <is>
          <t>Dec-22</t>
        </is>
      </c>
      <c r="C2" s="3" t="inlineStr">
        <is>
          <t>Dec-23</t>
        </is>
      </c>
      <c r="D2" s="3" t="inlineStr">
        <is>
          <t>Dec-24</t>
        </is>
      </c>
      <c r="E2" s="3" t="inlineStr">
        <is>
          <t>Dec-25</t>
        </is>
      </c>
    </row>
    <row r="3">
      <c r="A3" s="4" t="inlineStr">
        <is>
          <t>BoP ARR</t>
        </is>
      </c>
      <c r="B3" s="5" t="n"/>
      <c r="C3" s="6">
        <f>SUM('Original Data'!$C$4:$C$103)*12</f>
        <v/>
      </c>
      <c r="D3" s="6">
        <f>SUM('Original Data'!$O$4:$O$103)*12</f>
        <v/>
      </c>
      <c r="E3" s="6">
        <f>SUM('Original Data'!$AA$4:$AA$103)*12</f>
        <v/>
      </c>
    </row>
    <row r="4">
      <c r="A4" s="4" t="inlineStr">
        <is>
          <t>New</t>
        </is>
      </c>
      <c r="B4" s="5" t="n"/>
      <c r="C4" s="6">
        <f>SUMPRODUCT(('Original Data'!$C$4:$C$103&lt;=0)*('Original Data'!$O$4:$O$103&gt;0)*'Original Data'!$O$4:$O$103)*12</f>
        <v/>
      </c>
      <c r="D4" s="6">
        <f>SUMPRODUCT(('Original Data'!$O$4:$O$103&lt;=0)*('Original Data'!$AA$4:$AA$103&gt;0)*'Original Data'!$AA$4:$AA$103)*12</f>
        <v/>
      </c>
      <c r="E4" s="6">
        <f>SUMPRODUCT(('Original Data'!$AA$4:$AA$103&lt;=0)*('Original Data'!$AM$4:$AM$103&gt;0)*'Original Data'!$AM$4:$AM$103)*12</f>
        <v/>
      </c>
    </row>
    <row r="5">
      <c r="A5" s="4" t="inlineStr">
        <is>
          <t>Upsell</t>
        </is>
      </c>
      <c r="B5" s="5" t="n"/>
      <c r="C5" s="6">
        <f>SUMPRODUCT(('Original Data'!$C$4:$C$103&gt;0)*('Original Data'!$O$4:$O$103&gt;0)*('Original Data'!$O$4:$O$103&gt;'Original Data'!$C$4:$C$103)*('Original Data'!$O$4:$O$103-'Original Data'!$C$4:$C$103))*12</f>
        <v/>
      </c>
      <c r="D5" s="6">
        <f>SUMPRODUCT(('Original Data'!$O$4:$O$103&gt;0)*('Original Data'!$AA$4:$AA$103&gt;0)*('Original Data'!$AA$4:$AA$103&gt;'Original Data'!$O$4:$O$103)*('Original Data'!$AA$4:$AA$103-'Original Data'!$O$4:$O$103))*12</f>
        <v/>
      </c>
      <c r="E5" s="6">
        <f>SUMPRODUCT(('Original Data'!$AA$4:$AA$103&gt;0)*('Original Data'!$AM$4:$AM$103&gt;0)*('Original Data'!$AM$4:$AM$103&gt;'Original Data'!$AA$4:$AA$103)*('Original Data'!$AM$4:$AM$103-'Original Data'!$AA$4:$AA$103))*12</f>
        <v/>
      </c>
    </row>
    <row r="6">
      <c r="A6" s="4" t="inlineStr">
        <is>
          <t>(Downsell)</t>
        </is>
      </c>
      <c r="B6" s="5" t="n"/>
      <c r="C6" s="6">
        <f>SUMPRODUCT(('Original Data'!$C$4:$C$103&gt;0)*('Original Data'!$O$4:$O$103&gt;0)*('Original Data'!$O$4:$O$103&lt;'Original Data'!$C$4:$C$103)*('Original Data'!$O$4:$O$103-'Original Data'!$C$4:$C$103))*12</f>
        <v/>
      </c>
      <c r="D6" s="6">
        <f>SUMPRODUCT(('Original Data'!$O$4:$O$103&gt;0)*('Original Data'!$AA$4:$AA$103&gt;0)*('Original Data'!$AA$4:$AA$103&lt;'Original Data'!$O$4:$O$103)*('Original Data'!$AA$4:$AA$103-'Original Data'!$O$4:$O$103))*12</f>
        <v/>
      </c>
      <c r="E6" s="6">
        <f>SUMPRODUCT(('Original Data'!$AA$4:$AA$103&gt;0)*('Original Data'!$AM$4:$AM$103&gt;0)*('Original Data'!$AM$4:$AM$103&lt;'Original Data'!$AA$4:$AA$103)*('Original Data'!$AM$4:$AM$103-'Original Data'!$AA$4:$AA$103))*12</f>
        <v/>
      </c>
    </row>
    <row r="7">
      <c r="A7" s="4" t="inlineStr">
        <is>
          <t>(Churn)</t>
        </is>
      </c>
      <c r="B7" s="5" t="n"/>
      <c r="C7" s="6">
        <f>-SUMPRODUCT(('Original Data'!$C$4:$C$103&gt;0)*('Original Data'!$O$4:$O$103&lt;=0)*'Original Data'!$C$4:$C$103)*12</f>
        <v/>
      </c>
      <c r="D7" s="6">
        <f>-SUMPRODUCT(('Original Data'!$O$4:$O$103&gt;0)*('Original Data'!$AA$4:$AA$103&lt;=0)*'Original Data'!$O$4:$O$103)*12</f>
        <v/>
      </c>
      <c r="E7" s="6">
        <f>-SUMPRODUCT(('Original Data'!$AA$4:$AA$103&gt;0)*('Original Data'!$AM$4:$AM$103&lt;=0)*'Original Data'!$AA$4:$AA$103)*12</f>
        <v/>
      </c>
    </row>
    <row r="8">
      <c r="A8" s="7" t="inlineStr">
        <is>
          <t>EoP ARR</t>
        </is>
      </c>
      <c r="B8" s="8">
        <f>SUM('Original Data'!$C$4:$C$103)*12</f>
        <v/>
      </c>
      <c r="C8" s="8">
        <f>SUM('Original Data'!$O$4:$O$103)*12</f>
        <v/>
      </c>
      <c r="D8" s="8">
        <f>SUM('Original Data'!$AA$4:$AA$103)*12</f>
        <v/>
      </c>
      <c r="E8" s="8">
        <f>SUM('Original Data'!$AM$4:$AM$103)*12</f>
        <v/>
      </c>
    </row>
    <row r="9">
      <c r="A9" s="9" t="inlineStr">
        <is>
          <t>% Growth</t>
        </is>
      </c>
      <c r="B9" s="5" t="n"/>
      <c r="C9" s="10">
        <f>IF(C3=0,0,C8/C3-1)</f>
        <v/>
      </c>
      <c r="D9" s="10">
        <f>IF(D3=0,0,D8/D3-1)</f>
        <v/>
      </c>
      <c r="E9" s="10">
        <f>IF(E3=0,0,E8/E3-1)</f>
        <v/>
      </c>
    </row>
    <row r="10">
      <c r="A10" s="9" t="inlineStr">
        <is>
          <t>Net New ARR</t>
        </is>
      </c>
      <c r="B10" s="5" t="n"/>
      <c r="C10" s="11">
        <f>C8-C3</f>
        <v/>
      </c>
      <c r="D10" s="11">
        <f>D8-D3</f>
        <v/>
      </c>
      <c r="E10" s="11">
        <f>E8-E3</f>
        <v/>
      </c>
    </row>
    <row r="11">
      <c r="A11" s="9" t="inlineStr">
        <is>
          <t>New + Upsell</t>
        </is>
      </c>
      <c r="B11" s="5" t="n"/>
      <c r="C11" s="11">
        <f>C4+C5</f>
        <v/>
      </c>
      <c r="D11" s="11">
        <f>D4+D5</f>
        <v/>
      </c>
      <c r="E11" s="11">
        <f>E4+E5</f>
        <v/>
      </c>
    </row>
    <row r="12">
      <c r="A12" s="9" t="inlineStr">
        <is>
          <t>Downsell + Churn</t>
        </is>
      </c>
      <c r="B12" s="5" t="n"/>
      <c r="C12" s="11">
        <f>C6+C7</f>
        <v/>
      </c>
      <c r="D12" s="11">
        <f>D6+D7</f>
        <v/>
      </c>
      <c r="E12" s="11">
        <f>E6+E7</f>
        <v/>
      </c>
    </row>
    <row r="13">
      <c r="A13" s="12" t="inlineStr">
        <is>
          <t>Gross Retention %</t>
        </is>
      </c>
      <c r="B13" s="13" t="n"/>
      <c r="C13" s="14">
        <f>IF(C3=0,0,(C3+C6+C7)/C3)</f>
        <v/>
      </c>
      <c r="D13" s="14">
        <f>IF(D3=0,0,(D3+D6+D7)/D3)</f>
        <v/>
      </c>
      <c r="E13" s="14">
        <f>IF(E3=0,0,(E3+E6+E7)/E3)</f>
        <v/>
      </c>
    </row>
    <row r="14">
      <c r="A14" s="12" t="inlineStr">
        <is>
          <t>Loss-Only Retention %</t>
        </is>
      </c>
      <c r="B14" s="13" t="n"/>
      <c r="C14" s="14">
        <f>IF(C3=0,0,(C3+C7)/C3)</f>
        <v/>
      </c>
      <c r="D14" s="14">
        <f>IF(D3=0,0,(D3+D7)/D3)</f>
        <v/>
      </c>
      <c r="E14" s="14">
        <f>IF(E3=0,0,(E3+E7)/E3)</f>
        <v/>
      </c>
    </row>
    <row r="15">
      <c r="A15" s="12" t="inlineStr">
        <is>
          <t>Net Retention %</t>
        </is>
      </c>
      <c r="B15" s="13" t="n"/>
      <c r="C15" s="14">
        <f>IF(C3=0,0,(C3+C5+C6+C7)/C3)</f>
        <v/>
      </c>
      <c r="D15" s="14">
        <f>IF(D3=0,0,(D3+D5+D6+D7)/D3)</f>
        <v/>
      </c>
      <c r="E15" s="14">
        <f>IF(E3=0,0,(E3+E5+E6+E7)/E3)</f>
        <v/>
      </c>
    </row>
    <row r="16">
      <c r="A16" s="15" t="inlineStr">
        <is>
          <t>Customer Waterfall</t>
        </is>
      </c>
      <c r="B16" s="2" t="n"/>
      <c r="C16" s="2" t="n"/>
      <c r="D16" s="2" t="n"/>
      <c r="E16" s="2" t="n"/>
    </row>
    <row r="17">
      <c r="A17" s="4" t="inlineStr">
        <is>
          <t>BoP Customers</t>
        </is>
      </c>
      <c r="B17" s="5" t="n"/>
      <c r="C17" s="16">
        <f>COUNTIF('Original Data'!$C$4:$C$103,"&gt;0")</f>
        <v/>
      </c>
      <c r="D17" s="16">
        <f>COUNTIF('Original Data'!$O$4:$O$103,"&gt;0")</f>
        <v/>
      </c>
      <c r="E17" s="16">
        <f>COUNTIF('Original Data'!$AA$4:$AA$103,"&gt;0")</f>
        <v/>
      </c>
    </row>
    <row r="18">
      <c r="A18" s="4" t="inlineStr">
        <is>
          <t>New</t>
        </is>
      </c>
      <c r="B18" s="5" t="n"/>
      <c r="C18" s="16">
        <f>SUMPRODUCT(('Original Data'!$C$4:$C$103&lt;=0)*('Original Data'!$O$4:$O$103&gt;0)*1)</f>
        <v/>
      </c>
      <c r="D18" s="16">
        <f>SUMPRODUCT(('Original Data'!$O$4:$O$103&lt;=0)*('Original Data'!$AA$4:$AA$103&gt;0)*1)</f>
        <v/>
      </c>
      <c r="E18" s="16">
        <f>SUMPRODUCT(('Original Data'!$AA$4:$AA$103&lt;=0)*('Original Data'!$AM$4:$AM$103&gt;0)*1)</f>
        <v/>
      </c>
    </row>
    <row r="19">
      <c r="A19" s="4" t="inlineStr">
        <is>
          <t>(Churn)</t>
        </is>
      </c>
      <c r="B19" s="5" t="n"/>
      <c r="C19" s="17">
        <f>SUMPRODUCT(('Original Data'!$C$4:$C$103&gt;0)*('Original Data'!$O$4:$O$103&lt;=0)*1)</f>
        <v/>
      </c>
      <c r="D19" s="17">
        <f>SUMPRODUCT(('Original Data'!$O$4:$O$103&gt;0)*('Original Data'!$AA$4:$AA$103&lt;=0)*1)</f>
        <v/>
      </c>
      <c r="E19" s="17">
        <f>SUMPRODUCT(('Original Data'!$AA$4:$AA$103&gt;0)*('Original Data'!$AM$4:$AM$103&lt;=0)*1)</f>
        <v/>
      </c>
    </row>
    <row r="20">
      <c r="A20" s="7" t="inlineStr">
        <is>
          <t>EoP Customers</t>
        </is>
      </c>
      <c r="B20" s="18">
        <f>COUNTIF('Original Data'!$C$4:$C$103,"&gt;0")</f>
        <v/>
      </c>
      <c r="C20" s="18">
        <f>COUNTIF('Original Data'!$O$4:$O$103,"&gt;0")</f>
        <v/>
      </c>
      <c r="D20" s="18">
        <f>COUNTIF('Original Data'!$AA$4:$AA$103,"&gt;0")</f>
        <v/>
      </c>
      <c r="E20" s="18">
        <f>COUNTIF('Original Data'!$AM$4:$AM$103,"&gt;0")</f>
        <v/>
      </c>
    </row>
    <row r="21">
      <c r="A21" s="9" t="inlineStr">
        <is>
          <t>Net Logos Added</t>
        </is>
      </c>
      <c r="B21" s="5" t="n"/>
      <c r="C21" s="19">
        <f>C18-C19</f>
        <v/>
      </c>
      <c r="D21" s="19">
        <f>D18-D19</f>
        <v/>
      </c>
      <c r="E21" s="19">
        <f>E18-E19</f>
        <v/>
      </c>
    </row>
    <row r="22">
      <c r="A22" s="9" t="inlineStr">
        <is>
          <t>Logo % Growth</t>
        </is>
      </c>
      <c r="B22" s="5" t="n"/>
      <c r="C22" s="10">
        <f>IF(C17=0,0,C20/C17-1)</f>
        <v/>
      </c>
      <c r="D22" s="10">
        <f>IF(D17=0,0,D20/D17-1)</f>
        <v/>
      </c>
      <c r="E22" s="10">
        <f>IF(E17=0,0,E20/E17-1)</f>
        <v/>
      </c>
    </row>
    <row r="23">
      <c r="A23" s="12" t="inlineStr">
        <is>
          <t>Gross Logo Retention %</t>
        </is>
      </c>
      <c r="B23" s="13" t="n"/>
      <c r="C23" s="14">
        <f>IF(C17=0,0,(C17-C19)/C17)</f>
        <v/>
      </c>
      <c r="D23" s="14">
        <f>IF(D17=0,0,(D17-D19)/D17)</f>
        <v/>
      </c>
      <c r="E23" s="14">
        <f>IF(E17=0,0,(E17-E19)/E17)</f>
        <v/>
      </c>
    </row>
    <row r="24">
      <c r="A24" s="4" t="inlineStr">
        <is>
          <t>Avg. Logo Size ($ Actuals)</t>
        </is>
      </c>
      <c r="B24" s="5" t="n"/>
      <c r="C24" s="6">
        <f>IF(C20=0,0,C8/C20)</f>
        <v/>
      </c>
      <c r="D24" s="6">
        <f>IF(D20=0,0,D8/D20)</f>
        <v/>
      </c>
      <c r="E24" s="6">
        <f>IF(E20=0,0,E8/E20)</f>
        <v/>
      </c>
    </row>
    <row r="25">
      <c r="A25" s="9" t="inlineStr">
        <is>
          <t>Avg Logo Size YoY Growth</t>
        </is>
      </c>
      <c r="D25" s="10">
        <f>IF(C24=0,0,D24/C24-1)</f>
        <v/>
      </c>
      <c r="E25" s="10">
        <f>IF(D24=0,0,E24/D24-1)</f>
        <v/>
      </c>
    </row>
    <row r="26">
      <c r="A26" s="4" t="inlineStr">
        <is>
          <t>Avg. New Logo Size ($ Actuals)</t>
        </is>
      </c>
      <c r="B26" s="5" t="n"/>
      <c r="C26" s="6">
        <f>IF(C18=0,0,C4/C18)</f>
        <v/>
      </c>
      <c r="D26" s="6">
        <f>IF(D18=0,0,D4/D18)</f>
        <v/>
      </c>
      <c r="E26" s="6">
        <f>IF(E18=0,0,E4/E18)</f>
        <v/>
      </c>
    </row>
    <row r="27">
      <c r="A27" s="9" t="inlineStr">
        <is>
          <t>Avg New Logo Size YoY Growth</t>
        </is>
      </c>
      <c r="D27" s="10">
        <f>IF(C26=0,0,D26/C26-1)</f>
        <v/>
      </c>
      <c r="E27" s="10">
        <f>IF(D26=0,0,E26/D26-1)</f>
        <v/>
      </c>
    </row>
    <row r="28">
      <c r="A28" s="4" t="inlineStr">
        <is>
          <t>Avg. Churned Logo Size ($ Actuals)</t>
        </is>
      </c>
      <c r="B28" s="5" t="n"/>
      <c r="C28" s="6">
        <f>IF(C19=0,0,-C7/C19)</f>
        <v/>
      </c>
      <c r="D28" s="6">
        <f>IF(D19=0,0,-D7/D19)</f>
        <v/>
      </c>
      <c r="E28" s="6">
        <f>IF(E19=0,0,-E7/E19)</f>
        <v/>
      </c>
    </row>
    <row r="29">
      <c r="A29" s="9" t="inlineStr">
        <is>
          <t>Avg Churned Logo Size YoY Growth</t>
        </is>
      </c>
      <c r="D29" s="10">
        <f>IF(C28=0,0,D28/C28-1)</f>
        <v/>
      </c>
      <c r="E29" s="10">
        <f>IF(D28=0,0,E28/D28-1)</f>
        <v/>
      </c>
    </row>
  </sheetData>
  <mergeCells count="2">
    <mergeCell ref="A16:E1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Quarterly Waterfall</t>
        </is>
      </c>
    </row>
    <row r="2">
      <c r="A2" s="2" t="n"/>
      <c r="B2" s="3" t="inlineStr">
        <is>
          <t>Q4-22</t>
        </is>
      </c>
      <c r="C2" s="3" t="inlineStr">
        <is>
          <t>Q1-23</t>
        </is>
      </c>
      <c r="D2" s="3" t="inlineStr">
        <is>
          <t>Q2-23</t>
        </is>
      </c>
      <c r="E2" s="3" t="inlineStr">
        <is>
          <t>Q3-23</t>
        </is>
      </c>
      <c r="F2" s="3" t="inlineStr">
        <is>
          <t>Q4-23</t>
        </is>
      </c>
      <c r="G2" s="3" t="inlineStr">
        <is>
          <t>Q1-24</t>
        </is>
      </c>
      <c r="H2" s="3" t="inlineStr">
        <is>
          <t>Q2-24</t>
        </is>
      </c>
      <c r="I2" s="3" t="inlineStr">
        <is>
          <t>Q3-24</t>
        </is>
      </c>
      <c r="J2" s="3" t="inlineStr">
        <is>
          <t>Q4-24</t>
        </is>
      </c>
      <c r="K2" s="3" t="inlineStr">
        <is>
          <t>Q1-25</t>
        </is>
      </c>
      <c r="L2" s="3" t="inlineStr">
        <is>
          <t>Q2-25</t>
        </is>
      </c>
      <c r="M2" s="3" t="inlineStr">
        <is>
          <t>Q3-25</t>
        </is>
      </c>
      <c r="N2" s="3" t="inlineStr">
        <is>
          <t>Q4-25</t>
        </is>
      </c>
    </row>
    <row r="3">
      <c r="A3" s="4" t="inlineStr">
        <is>
          <t>BoP ARR</t>
        </is>
      </c>
      <c r="B3" s="5" t="n"/>
      <c r="C3" s="6">
        <f>SUM('Original Data'!$C$4:$C$103)*12</f>
        <v/>
      </c>
      <c r="D3" s="6">
        <f>SUM('Original Data'!$F$4:$F$103)*12</f>
        <v/>
      </c>
      <c r="E3" s="6">
        <f>SUM('Original Data'!$I$4:$I$103)*12</f>
        <v/>
      </c>
      <c r="F3" s="6">
        <f>SUM('Original Data'!$L$4:$L$103)*12</f>
        <v/>
      </c>
      <c r="G3" s="6">
        <f>SUM('Original Data'!$O$4:$O$103)*12</f>
        <v/>
      </c>
      <c r="H3" s="6">
        <f>SUM('Original Data'!$R$4:$R$103)*12</f>
        <v/>
      </c>
      <c r="I3" s="6">
        <f>SUM('Original Data'!$U$4:$U$103)*12</f>
        <v/>
      </c>
      <c r="J3" s="6">
        <f>SUM('Original Data'!$X$4:$X$103)*12</f>
        <v/>
      </c>
      <c r="K3" s="6">
        <f>SUM('Original Data'!$AA$4:$AA$103)*12</f>
        <v/>
      </c>
      <c r="L3" s="6">
        <f>SUM('Original Data'!$AD$4:$AD$103)*12</f>
        <v/>
      </c>
      <c r="M3" s="6">
        <f>SUM('Original Data'!$AG$4:$AG$103)*12</f>
        <v/>
      </c>
      <c r="N3" s="6">
        <f>SUM('Original Data'!$AJ$4:$AJ$103)*12</f>
        <v/>
      </c>
    </row>
    <row r="4">
      <c r="A4" s="4" t="inlineStr">
        <is>
          <t>New</t>
        </is>
      </c>
      <c r="B4" s="5" t="n"/>
      <c r="C4" s="6">
        <f>SUMPRODUCT(('Original Data'!$C$4:$C$103&lt;=0)*('Original Data'!$F$4:$F$103&gt;0)*'Original Data'!$F$4:$F$103)*12</f>
        <v/>
      </c>
      <c r="D4" s="6">
        <f>SUMPRODUCT(('Original Data'!$F$4:$F$103&lt;=0)*('Original Data'!$I$4:$I$103&gt;0)*'Original Data'!$I$4:$I$103)*12</f>
        <v/>
      </c>
      <c r="E4" s="6">
        <f>SUMPRODUCT(('Original Data'!$I$4:$I$103&lt;=0)*('Original Data'!$L$4:$L$103&gt;0)*'Original Data'!$L$4:$L$103)*12</f>
        <v/>
      </c>
      <c r="F4" s="6">
        <f>SUMPRODUCT(('Original Data'!$L$4:$L$103&lt;=0)*('Original Data'!$O$4:$O$103&gt;0)*'Original Data'!$O$4:$O$103)*12</f>
        <v/>
      </c>
      <c r="G4" s="6">
        <f>SUMPRODUCT(('Original Data'!$O$4:$O$103&lt;=0)*('Original Data'!$R$4:$R$103&gt;0)*'Original Data'!$R$4:$R$103)*12</f>
        <v/>
      </c>
      <c r="H4" s="6">
        <f>SUMPRODUCT(('Original Data'!$R$4:$R$103&lt;=0)*('Original Data'!$U$4:$U$103&gt;0)*'Original Data'!$U$4:$U$103)*12</f>
        <v/>
      </c>
      <c r="I4" s="6">
        <f>SUMPRODUCT(('Original Data'!$U$4:$U$103&lt;=0)*('Original Data'!$X$4:$X$103&gt;0)*'Original Data'!$X$4:$X$103)*12</f>
        <v/>
      </c>
      <c r="J4" s="6">
        <f>SUMPRODUCT(('Original Data'!$X$4:$X$103&lt;=0)*('Original Data'!$AA$4:$AA$103&gt;0)*'Original Data'!$AA$4:$AA$103)*12</f>
        <v/>
      </c>
      <c r="K4" s="6">
        <f>SUMPRODUCT(('Original Data'!$AA$4:$AA$103&lt;=0)*('Original Data'!$AD$4:$AD$103&gt;0)*'Original Data'!$AD$4:$AD$103)*12</f>
        <v/>
      </c>
      <c r="L4" s="6">
        <f>SUMPRODUCT(('Original Data'!$AD$4:$AD$103&lt;=0)*('Original Data'!$AG$4:$AG$103&gt;0)*'Original Data'!$AG$4:$AG$103)*12</f>
        <v/>
      </c>
      <c r="M4" s="6">
        <f>SUMPRODUCT(('Original Data'!$AG$4:$AG$103&lt;=0)*('Original Data'!$AJ$4:$AJ$103&gt;0)*'Original Data'!$AJ$4:$AJ$103)*12</f>
        <v/>
      </c>
      <c r="N4" s="6">
        <f>SUMPRODUCT(('Original Data'!$AJ$4:$AJ$103&lt;=0)*('Original Data'!$AM$4:$AM$103&gt;0)*'Original Data'!$AM$4:$AM$103)*12</f>
        <v/>
      </c>
    </row>
    <row r="5">
      <c r="A5" s="4" t="inlineStr">
        <is>
          <t>Upsell</t>
        </is>
      </c>
      <c r="B5" s="5" t="n"/>
      <c r="C5" s="6">
        <f>SUMPRODUCT(('Original Data'!$C$4:$C$103&gt;0)*('Original Data'!$F$4:$F$103&gt;0)*('Original Data'!$F$4:$F$103&gt;'Original Data'!$C$4:$C$103)*('Original Data'!$F$4:$F$103-'Original Data'!$C$4:$C$103))*12</f>
        <v/>
      </c>
      <c r="D5" s="6">
        <f>SUMPRODUCT(('Original Data'!$F$4:$F$103&gt;0)*('Original Data'!$I$4:$I$103&gt;0)*('Original Data'!$I$4:$I$103&gt;'Original Data'!$F$4:$F$103)*('Original Data'!$I$4:$I$103-'Original Data'!$F$4:$F$103))*12</f>
        <v/>
      </c>
      <c r="E5" s="6">
        <f>SUMPRODUCT(('Original Data'!$I$4:$I$103&gt;0)*('Original Data'!$L$4:$L$103&gt;0)*('Original Data'!$L$4:$L$103&gt;'Original Data'!$I$4:$I$103)*('Original Data'!$L$4:$L$103-'Original Data'!$I$4:$I$103))*12</f>
        <v/>
      </c>
      <c r="F5" s="6">
        <f>SUMPRODUCT(('Original Data'!$L$4:$L$103&gt;0)*('Original Data'!$O$4:$O$103&gt;0)*('Original Data'!$O$4:$O$103&gt;'Original Data'!$L$4:$L$103)*('Original Data'!$O$4:$O$103-'Original Data'!$L$4:$L$103))*12</f>
        <v/>
      </c>
      <c r="G5" s="6">
        <f>SUMPRODUCT(('Original Data'!$O$4:$O$103&gt;0)*('Original Data'!$R$4:$R$103&gt;0)*('Original Data'!$R$4:$R$103&gt;'Original Data'!$O$4:$O$103)*('Original Data'!$R$4:$R$103-'Original Data'!$O$4:$O$103))*12</f>
        <v/>
      </c>
      <c r="H5" s="6">
        <f>SUMPRODUCT(('Original Data'!$R$4:$R$103&gt;0)*('Original Data'!$U$4:$U$103&gt;0)*('Original Data'!$U$4:$U$103&gt;'Original Data'!$R$4:$R$103)*('Original Data'!$U$4:$U$103-'Original Data'!$R$4:$R$103))*12</f>
        <v/>
      </c>
      <c r="I5" s="6">
        <f>SUMPRODUCT(('Original Data'!$U$4:$U$103&gt;0)*('Original Data'!$X$4:$X$103&gt;0)*('Original Data'!$X$4:$X$103&gt;'Original Data'!$U$4:$U$103)*('Original Data'!$X$4:$X$103-'Original Data'!$U$4:$U$103))*12</f>
        <v/>
      </c>
      <c r="J5" s="6">
        <f>SUMPRODUCT(('Original Data'!$X$4:$X$103&gt;0)*('Original Data'!$AA$4:$AA$103&gt;0)*('Original Data'!$AA$4:$AA$103&gt;'Original Data'!$X$4:$X$103)*('Original Data'!$AA$4:$AA$103-'Original Data'!$X$4:$X$103))*12</f>
        <v/>
      </c>
      <c r="K5" s="6">
        <f>SUMPRODUCT(('Original Data'!$AA$4:$AA$103&gt;0)*('Original Data'!$AD$4:$AD$103&gt;0)*('Original Data'!$AD$4:$AD$103&gt;'Original Data'!$AA$4:$AA$103)*('Original Data'!$AD$4:$AD$103-'Original Data'!$AA$4:$AA$103))*12</f>
        <v/>
      </c>
      <c r="L5" s="6">
        <f>SUMPRODUCT(('Original Data'!$AD$4:$AD$103&gt;0)*('Original Data'!$AG$4:$AG$103&gt;0)*('Original Data'!$AG$4:$AG$103&gt;'Original Data'!$AD$4:$AD$103)*('Original Data'!$AG$4:$AG$103-'Original Data'!$AD$4:$AD$103))*12</f>
        <v/>
      </c>
      <c r="M5" s="6">
        <f>SUMPRODUCT(('Original Data'!$AG$4:$AG$103&gt;0)*('Original Data'!$AJ$4:$AJ$103&gt;0)*('Original Data'!$AJ$4:$AJ$103&gt;'Original Data'!$AG$4:$AG$103)*('Original Data'!$AJ$4:$AJ$103-'Original Data'!$AG$4:$AG$103))*12</f>
        <v/>
      </c>
      <c r="N5" s="6">
        <f>SUMPRODUCT(('Original Data'!$AJ$4:$AJ$103&gt;0)*('Original Data'!$AM$4:$AM$103&gt;0)*('Original Data'!$AM$4:$AM$103&gt;'Original Data'!$AJ$4:$AJ$103)*('Original Data'!$AM$4:$AM$103-'Original Data'!$AJ$4:$AJ$103))*12</f>
        <v/>
      </c>
    </row>
    <row r="6">
      <c r="A6" s="4" t="inlineStr">
        <is>
          <t>(Downsell)</t>
        </is>
      </c>
      <c r="B6" s="5" t="n"/>
      <c r="C6" s="6">
        <f>SUMPRODUCT(('Original Data'!$C$4:$C$103&gt;0)*('Original Data'!$F$4:$F$103&gt;0)*('Original Data'!$F$4:$F$103&lt;'Original Data'!$C$4:$C$103)*('Original Data'!$F$4:$F$103-'Original Data'!$C$4:$C$103))*12</f>
        <v/>
      </c>
      <c r="D6" s="6">
        <f>SUMPRODUCT(('Original Data'!$F$4:$F$103&gt;0)*('Original Data'!$I$4:$I$103&gt;0)*('Original Data'!$I$4:$I$103&lt;'Original Data'!$F$4:$F$103)*('Original Data'!$I$4:$I$103-'Original Data'!$F$4:$F$103))*12</f>
        <v/>
      </c>
      <c r="E6" s="6">
        <f>SUMPRODUCT(('Original Data'!$I$4:$I$103&gt;0)*('Original Data'!$L$4:$L$103&gt;0)*('Original Data'!$L$4:$L$103&lt;'Original Data'!$I$4:$I$103)*('Original Data'!$L$4:$L$103-'Original Data'!$I$4:$I$103))*12</f>
        <v/>
      </c>
      <c r="F6" s="6">
        <f>SUMPRODUCT(('Original Data'!$L$4:$L$103&gt;0)*('Original Data'!$O$4:$O$103&gt;0)*('Original Data'!$O$4:$O$103&lt;'Original Data'!$L$4:$L$103)*('Original Data'!$O$4:$O$103-'Original Data'!$L$4:$L$103))*12</f>
        <v/>
      </c>
      <c r="G6" s="6">
        <f>SUMPRODUCT(('Original Data'!$O$4:$O$103&gt;0)*('Original Data'!$R$4:$R$103&gt;0)*('Original Data'!$R$4:$R$103&lt;'Original Data'!$O$4:$O$103)*('Original Data'!$R$4:$R$103-'Original Data'!$O$4:$O$103))*12</f>
        <v/>
      </c>
      <c r="H6" s="6">
        <f>SUMPRODUCT(('Original Data'!$R$4:$R$103&gt;0)*('Original Data'!$U$4:$U$103&gt;0)*('Original Data'!$U$4:$U$103&lt;'Original Data'!$R$4:$R$103)*('Original Data'!$U$4:$U$103-'Original Data'!$R$4:$R$103))*12</f>
        <v/>
      </c>
      <c r="I6" s="6">
        <f>SUMPRODUCT(('Original Data'!$U$4:$U$103&gt;0)*('Original Data'!$X$4:$X$103&gt;0)*('Original Data'!$X$4:$X$103&lt;'Original Data'!$U$4:$U$103)*('Original Data'!$X$4:$X$103-'Original Data'!$U$4:$U$103))*12</f>
        <v/>
      </c>
      <c r="J6" s="6">
        <f>SUMPRODUCT(('Original Data'!$X$4:$X$103&gt;0)*('Original Data'!$AA$4:$AA$103&gt;0)*('Original Data'!$AA$4:$AA$103&lt;'Original Data'!$X$4:$X$103)*('Original Data'!$AA$4:$AA$103-'Original Data'!$X$4:$X$103))*12</f>
        <v/>
      </c>
      <c r="K6" s="6">
        <f>SUMPRODUCT(('Original Data'!$AA$4:$AA$103&gt;0)*('Original Data'!$AD$4:$AD$103&gt;0)*('Original Data'!$AD$4:$AD$103&lt;'Original Data'!$AA$4:$AA$103)*('Original Data'!$AD$4:$AD$103-'Original Data'!$AA$4:$AA$103))*12</f>
        <v/>
      </c>
      <c r="L6" s="6">
        <f>SUMPRODUCT(('Original Data'!$AD$4:$AD$103&gt;0)*('Original Data'!$AG$4:$AG$103&gt;0)*('Original Data'!$AG$4:$AG$103&lt;'Original Data'!$AD$4:$AD$103)*('Original Data'!$AG$4:$AG$103-'Original Data'!$AD$4:$AD$103))*12</f>
        <v/>
      </c>
      <c r="M6" s="6">
        <f>SUMPRODUCT(('Original Data'!$AG$4:$AG$103&gt;0)*('Original Data'!$AJ$4:$AJ$103&gt;0)*('Original Data'!$AJ$4:$AJ$103&lt;'Original Data'!$AG$4:$AG$103)*('Original Data'!$AJ$4:$AJ$103-'Original Data'!$AG$4:$AG$103))*12</f>
        <v/>
      </c>
      <c r="N6" s="6">
        <f>SUMPRODUCT(('Original Data'!$AJ$4:$AJ$103&gt;0)*('Original Data'!$AM$4:$AM$103&gt;0)*('Original Data'!$AM$4:$AM$103&lt;'Original Data'!$AJ$4:$AJ$103)*('Original Data'!$AM$4:$AM$103-'Original Data'!$AJ$4:$AJ$103))*12</f>
        <v/>
      </c>
    </row>
    <row r="7">
      <c r="A7" s="4" t="inlineStr">
        <is>
          <t>(Churn)</t>
        </is>
      </c>
      <c r="B7" s="5" t="n"/>
      <c r="C7" s="6">
        <f>-SUMPRODUCT(('Original Data'!$C$4:$C$103&gt;0)*('Original Data'!$F$4:$F$103&lt;=0)*'Original Data'!$C$4:$C$103)*12</f>
        <v/>
      </c>
      <c r="D7" s="6">
        <f>-SUMPRODUCT(('Original Data'!$F$4:$F$103&gt;0)*('Original Data'!$I$4:$I$103&lt;=0)*'Original Data'!$F$4:$F$103)*12</f>
        <v/>
      </c>
      <c r="E7" s="6">
        <f>-SUMPRODUCT(('Original Data'!$I$4:$I$103&gt;0)*('Original Data'!$L$4:$L$103&lt;=0)*'Original Data'!$I$4:$I$103)*12</f>
        <v/>
      </c>
      <c r="F7" s="6">
        <f>-SUMPRODUCT(('Original Data'!$L$4:$L$103&gt;0)*('Original Data'!$O$4:$O$103&lt;=0)*'Original Data'!$L$4:$L$103)*12</f>
        <v/>
      </c>
      <c r="G7" s="6">
        <f>-SUMPRODUCT(('Original Data'!$O$4:$O$103&gt;0)*('Original Data'!$R$4:$R$103&lt;=0)*'Original Data'!$O$4:$O$103)*12</f>
        <v/>
      </c>
      <c r="H7" s="6">
        <f>-SUMPRODUCT(('Original Data'!$R$4:$R$103&gt;0)*('Original Data'!$U$4:$U$103&lt;=0)*'Original Data'!$R$4:$R$103)*12</f>
        <v/>
      </c>
      <c r="I7" s="6">
        <f>-SUMPRODUCT(('Original Data'!$U$4:$U$103&gt;0)*('Original Data'!$X$4:$X$103&lt;=0)*'Original Data'!$U$4:$U$103)*12</f>
        <v/>
      </c>
      <c r="J7" s="6">
        <f>-SUMPRODUCT(('Original Data'!$X$4:$X$103&gt;0)*('Original Data'!$AA$4:$AA$103&lt;=0)*'Original Data'!$X$4:$X$103)*12</f>
        <v/>
      </c>
      <c r="K7" s="6">
        <f>-SUMPRODUCT(('Original Data'!$AA$4:$AA$103&gt;0)*('Original Data'!$AD$4:$AD$103&lt;=0)*'Original Data'!$AA$4:$AA$103)*12</f>
        <v/>
      </c>
      <c r="L7" s="6">
        <f>-SUMPRODUCT(('Original Data'!$AD$4:$AD$103&gt;0)*('Original Data'!$AG$4:$AG$103&lt;=0)*'Original Data'!$AD$4:$AD$103)*12</f>
        <v/>
      </c>
      <c r="M7" s="6">
        <f>-SUMPRODUCT(('Original Data'!$AG$4:$AG$103&gt;0)*('Original Data'!$AJ$4:$AJ$103&lt;=0)*'Original Data'!$AG$4:$AG$103)*12</f>
        <v/>
      </c>
      <c r="N7" s="6">
        <f>-SUMPRODUCT(('Original Data'!$AJ$4:$AJ$103&gt;0)*('Original Data'!$AM$4:$AM$103&lt;=0)*'Original Data'!$AJ$4:$AJ$103)*12</f>
        <v/>
      </c>
    </row>
    <row r="8">
      <c r="A8" s="7" t="inlineStr">
        <is>
          <t>EoP ARR</t>
        </is>
      </c>
      <c r="B8" s="8">
        <f>SUM('Original Data'!$C$4:$C$103)*12</f>
        <v/>
      </c>
      <c r="C8" s="8">
        <f>SUM('Original Data'!$F$4:$F$103)*12</f>
        <v/>
      </c>
      <c r="D8" s="8">
        <f>SUM('Original Data'!$I$4:$I$103)*12</f>
        <v/>
      </c>
      <c r="E8" s="8">
        <f>SUM('Original Data'!$L$4:$L$103)*12</f>
        <v/>
      </c>
      <c r="F8" s="8">
        <f>SUM('Original Data'!$O$4:$O$103)*12</f>
        <v/>
      </c>
      <c r="G8" s="8">
        <f>SUM('Original Data'!$R$4:$R$103)*12</f>
        <v/>
      </c>
      <c r="H8" s="8">
        <f>SUM('Original Data'!$U$4:$U$103)*12</f>
        <v/>
      </c>
      <c r="I8" s="8">
        <f>SUM('Original Data'!$X$4:$X$103)*12</f>
        <v/>
      </c>
      <c r="J8" s="8">
        <f>SUM('Original Data'!$AA$4:$AA$103)*12</f>
        <v/>
      </c>
      <c r="K8" s="8">
        <f>SUM('Original Data'!$AD$4:$AD$103)*12</f>
        <v/>
      </c>
      <c r="L8" s="8">
        <f>SUM('Original Data'!$AG$4:$AG$103)*12</f>
        <v/>
      </c>
      <c r="M8" s="8">
        <f>SUM('Original Data'!$AJ$4:$AJ$103)*12</f>
        <v/>
      </c>
      <c r="N8" s="8">
        <f>SUM('Original Data'!$AM$4:$AM$103)*12</f>
        <v/>
      </c>
    </row>
    <row r="9">
      <c r="A9" s="9" t="inlineStr">
        <is>
          <t>% Growth QoQ Annualized</t>
        </is>
      </c>
      <c r="B9" s="5" t="n"/>
      <c r="C9" s="10">
        <f>IF(C3=0,0,(C8/C3)^4-1)</f>
        <v/>
      </c>
      <c r="D9" s="10">
        <f>IF(D3=0,0,(D8/D3)^4-1)</f>
        <v/>
      </c>
      <c r="E9" s="10">
        <f>IF(E3=0,0,(E8/E3)^4-1)</f>
        <v/>
      </c>
      <c r="F9" s="10">
        <f>IF(F3=0,0,(F8/F3)^4-1)</f>
        <v/>
      </c>
      <c r="G9" s="10">
        <f>IF(G3=0,0,(G8/G3)^4-1)</f>
        <v/>
      </c>
      <c r="H9" s="10">
        <f>IF(H3=0,0,(H8/H3)^4-1)</f>
        <v/>
      </c>
      <c r="I9" s="10">
        <f>IF(I3=0,0,(I8/I3)^4-1)</f>
        <v/>
      </c>
      <c r="J9" s="10">
        <f>IF(J3=0,0,(J8/J3)^4-1)</f>
        <v/>
      </c>
      <c r="K9" s="10">
        <f>IF(K3=0,0,(K8/K3)^4-1)</f>
        <v/>
      </c>
      <c r="L9" s="10">
        <f>IF(L3=0,0,(L8/L3)^4-1)</f>
        <v/>
      </c>
      <c r="M9" s="10">
        <f>IF(M3=0,0,(M8/M3)^4-1)</f>
        <v/>
      </c>
      <c r="N9" s="10">
        <f>IF(N3=0,0,(N8/N3)^4-1)</f>
        <v/>
      </c>
    </row>
    <row r="10">
      <c r="A10" s="9" t="inlineStr">
        <is>
          <t>% Growth QoQ</t>
        </is>
      </c>
      <c r="B10" s="5" t="n"/>
      <c r="C10" s="10">
        <f>IF(C3=0,0,C8/C3-1)</f>
        <v/>
      </c>
      <c r="D10" s="10">
        <f>IF(D3=0,0,D8/D3-1)</f>
        <v/>
      </c>
      <c r="E10" s="10">
        <f>IF(E3=0,0,E8/E3-1)</f>
        <v/>
      </c>
      <c r="F10" s="10">
        <f>IF(F3=0,0,F8/F3-1)</f>
        <v/>
      </c>
      <c r="G10" s="10">
        <f>IF(G3=0,0,G8/G3-1)</f>
        <v/>
      </c>
      <c r="H10" s="10">
        <f>IF(H3=0,0,H8/H3-1)</f>
        <v/>
      </c>
      <c r="I10" s="10">
        <f>IF(I3=0,0,I8/I3-1)</f>
        <v/>
      </c>
      <c r="J10" s="10">
        <f>IF(J3=0,0,J8/J3-1)</f>
        <v/>
      </c>
      <c r="K10" s="10">
        <f>IF(K3=0,0,K8/K3-1)</f>
        <v/>
      </c>
      <c r="L10" s="10">
        <f>IF(L3=0,0,L8/L3-1)</f>
        <v/>
      </c>
      <c r="M10" s="10">
        <f>IF(M3=0,0,M8/M3-1)</f>
        <v/>
      </c>
      <c r="N10" s="10">
        <f>IF(N3=0,0,N8/N3-1)</f>
        <v/>
      </c>
    </row>
    <row r="11">
      <c r="A11" s="9" t="inlineStr">
        <is>
          <t>% Growth YoY</t>
        </is>
      </c>
      <c r="B11" s="5" t="n"/>
      <c r="C11" s="5" t="n"/>
      <c r="D11" s="5" t="n"/>
      <c r="E11" s="5" t="n"/>
      <c r="F11" s="10">
        <f>IF(B8=0,0,F8/B8-1)</f>
        <v/>
      </c>
      <c r="G11" s="10">
        <f>IF(C8=0,0,G8/C8-1)</f>
        <v/>
      </c>
      <c r="H11" s="10">
        <f>IF(D8=0,0,H8/D8-1)</f>
        <v/>
      </c>
      <c r="I11" s="10">
        <f>IF(E8=0,0,I8/E8-1)</f>
        <v/>
      </c>
      <c r="J11" s="10">
        <f>IF(F8=0,0,J8/F8-1)</f>
        <v/>
      </c>
      <c r="K11" s="10">
        <f>IF(G8=0,0,K8/G8-1)</f>
        <v/>
      </c>
      <c r="L11" s="10">
        <f>IF(H8=0,0,L8/H8-1)</f>
        <v/>
      </c>
      <c r="M11" s="10">
        <f>IF(I8=0,0,M8/I8-1)</f>
        <v/>
      </c>
      <c r="N11" s="10">
        <f>IF(J8=0,0,N8/J8-1)</f>
        <v/>
      </c>
    </row>
    <row r="12">
      <c r="A12" s="9" t="inlineStr">
        <is>
          <t>Net New ARR QoQ</t>
        </is>
      </c>
      <c r="B12" s="5" t="n"/>
      <c r="C12" s="11">
        <f>C8-C3</f>
        <v/>
      </c>
      <c r="D12" s="11">
        <f>D8-D3</f>
        <v/>
      </c>
      <c r="E12" s="11">
        <f>E8-E3</f>
        <v/>
      </c>
      <c r="F12" s="11">
        <f>F8-F3</f>
        <v/>
      </c>
      <c r="G12" s="11">
        <f>G8-G3</f>
        <v/>
      </c>
      <c r="H12" s="11">
        <f>H8-H3</f>
        <v/>
      </c>
      <c r="I12" s="11">
        <f>I8-I3</f>
        <v/>
      </c>
      <c r="J12" s="11">
        <f>J8-J3</f>
        <v/>
      </c>
      <c r="K12" s="11">
        <f>K8-K3</f>
        <v/>
      </c>
      <c r="L12" s="11">
        <f>L8-L3</f>
        <v/>
      </c>
      <c r="M12" s="11">
        <f>M8-M3</f>
        <v/>
      </c>
      <c r="N12" s="11">
        <f>N8-N3</f>
        <v/>
      </c>
    </row>
    <row r="13">
      <c r="A13" s="9" t="inlineStr">
        <is>
          <t>New + Upsell QoQ</t>
        </is>
      </c>
      <c r="B13" s="5" t="n"/>
      <c r="C13" s="11">
        <f>C4+C5</f>
        <v/>
      </c>
      <c r="D13" s="11">
        <f>D4+D5</f>
        <v/>
      </c>
      <c r="E13" s="11">
        <f>E4+E5</f>
        <v/>
      </c>
      <c r="F13" s="11">
        <f>F4+F5</f>
        <v/>
      </c>
      <c r="G13" s="11">
        <f>G4+G5</f>
        <v/>
      </c>
      <c r="H13" s="11">
        <f>H4+H5</f>
        <v/>
      </c>
      <c r="I13" s="11">
        <f>I4+I5</f>
        <v/>
      </c>
      <c r="J13" s="11">
        <f>J4+J5</f>
        <v/>
      </c>
      <c r="K13" s="11">
        <f>K4+K5</f>
        <v/>
      </c>
      <c r="L13" s="11">
        <f>L4+L5</f>
        <v/>
      </c>
      <c r="M13" s="11">
        <f>M4+M5</f>
        <v/>
      </c>
      <c r="N13" s="11">
        <f>N4+N5</f>
        <v/>
      </c>
    </row>
    <row r="14">
      <c r="A14" s="9" t="inlineStr">
        <is>
          <t>Downsell + Churn QoQ</t>
        </is>
      </c>
      <c r="B14" s="5" t="n"/>
      <c r="C14" s="11">
        <f>C6+C7</f>
        <v/>
      </c>
      <c r="D14" s="11">
        <f>D6+D7</f>
        <v/>
      </c>
      <c r="E14" s="11">
        <f>E6+E7</f>
        <v/>
      </c>
      <c r="F14" s="11">
        <f>F6+F7</f>
        <v/>
      </c>
      <c r="G14" s="11">
        <f>G6+G7</f>
        <v/>
      </c>
      <c r="H14" s="11">
        <f>H6+H7</f>
        <v/>
      </c>
      <c r="I14" s="11">
        <f>I6+I7</f>
        <v/>
      </c>
      <c r="J14" s="11">
        <f>J6+J7</f>
        <v/>
      </c>
      <c r="K14" s="11">
        <f>K6+K7</f>
        <v/>
      </c>
      <c r="L14" s="11">
        <f>L6+L7</f>
        <v/>
      </c>
      <c r="M14" s="11">
        <f>M6+M7</f>
        <v/>
      </c>
      <c r="N14" s="11">
        <f>N6+N7</f>
        <v/>
      </c>
    </row>
    <row r="15">
      <c r="A15" s="12" t="inlineStr">
        <is>
          <t>Gross Retention (QoQ Annualized)</t>
        </is>
      </c>
      <c r="B15" s="13" t="n"/>
      <c r="C15" s="14">
        <f>IF(C3=0,0,((C3+C6+C7)/C3)^4)</f>
        <v/>
      </c>
      <c r="D15" s="14">
        <f>IF(D3=0,0,((D3+D6+D7)/D3)^4)</f>
        <v/>
      </c>
      <c r="E15" s="14">
        <f>IF(E3=0,0,((E3+E6+E7)/E3)^4)</f>
        <v/>
      </c>
      <c r="F15" s="14">
        <f>IF(F3=0,0,((F3+F6+F7)/F3)^4)</f>
        <v/>
      </c>
      <c r="G15" s="14">
        <f>IF(G3=0,0,((G3+G6+G7)/G3)^4)</f>
        <v/>
      </c>
      <c r="H15" s="14">
        <f>IF(H3=0,0,((H3+H6+H7)/H3)^4)</f>
        <v/>
      </c>
      <c r="I15" s="14">
        <f>IF(I3=0,0,((I3+I6+I7)/I3)^4)</f>
        <v/>
      </c>
      <c r="J15" s="14">
        <f>IF(J3=0,0,((J3+J6+J7)/J3)^4)</f>
        <v/>
      </c>
      <c r="K15" s="14">
        <f>IF(K3=0,0,((K3+K6+K7)/K3)^4)</f>
        <v/>
      </c>
      <c r="L15" s="14">
        <f>IF(L3=0,0,((L3+L6+L7)/L3)^4)</f>
        <v/>
      </c>
      <c r="M15" s="14">
        <f>IF(M3=0,0,((M3+M6+M7)/M3)^4)</f>
        <v/>
      </c>
      <c r="N15" s="14">
        <f>IF(N3=0,0,((N3+N6+N7)/N3)^4)</f>
        <v/>
      </c>
    </row>
    <row r="16">
      <c r="A16" s="12" t="inlineStr">
        <is>
          <t>Loss-Only Retention (QoQ Annualized)</t>
        </is>
      </c>
      <c r="B16" s="13" t="n"/>
      <c r="C16" s="14">
        <f>IF(C3=0,0,((C3+C7)/C3)^4)</f>
        <v/>
      </c>
      <c r="D16" s="14">
        <f>IF(D3=0,0,((D3+D7)/D3)^4)</f>
        <v/>
      </c>
      <c r="E16" s="14">
        <f>IF(E3=0,0,((E3+E7)/E3)^4)</f>
        <v/>
      </c>
      <c r="F16" s="14">
        <f>IF(F3=0,0,((F3+F7)/F3)^4)</f>
        <v/>
      </c>
      <c r="G16" s="14">
        <f>IF(G3=0,0,((G3+G7)/G3)^4)</f>
        <v/>
      </c>
      <c r="H16" s="14">
        <f>IF(H3=0,0,((H3+H7)/H3)^4)</f>
        <v/>
      </c>
      <c r="I16" s="14">
        <f>IF(I3=0,0,((I3+I7)/I3)^4)</f>
        <v/>
      </c>
      <c r="J16" s="14">
        <f>IF(J3=0,0,((J3+J7)/J3)^4)</f>
        <v/>
      </c>
      <c r="K16" s="14">
        <f>IF(K3=0,0,((K3+K7)/K3)^4)</f>
        <v/>
      </c>
      <c r="L16" s="14">
        <f>IF(L3=0,0,((L3+L7)/L3)^4)</f>
        <v/>
      </c>
      <c r="M16" s="14">
        <f>IF(M3=0,0,((M3+M7)/M3)^4)</f>
        <v/>
      </c>
      <c r="N16" s="14">
        <f>IF(N3=0,0,((N3+N7)/N3)^4)</f>
        <v/>
      </c>
    </row>
    <row r="17">
      <c r="A17" s="12" t="inlineStr">
        <is>
          <t>Net Retention (QoQ Annualized)</t>
        </is>
      </c>
      <c r="B17" s="13" t="n"/>
      <c r="C17" s="14">
        <f>IF(C3=0,0,((C3+C5+C6+C7)/C3)^4)</f>
        <v/>
      </c>
      <c r="D17" s="14">
        <f>IF(D3=0,0,((D3+D5+D6+D7)/D3)^4)</f>
        <v/>
      </c>
      <c r="E17" s="14">
        <f>IF(E3=0,0,((E3+E5+E6+E7)/E3)^4)</f>
        <v/>
      </c>
      <c r="F17" s="14">
        <f>IF(F3=0,0,((F3+F5+F6+F7)/F3)^4)</f>
        <v/>
      </c>
      <c r="G17" s="14">
        <f>IF(G3=0,0,((G3+G5+G6+G7)/G3)^4)</f>
        <v/>
      </c>
      <c r="H17" s="14">
        <f>IF(H3=0,0,((H3+H5+H6+H7)/H3)^4)</f>
        <v/>
      </c>
      <c r="I17" s="14">
        <f>IF(I3=0,0,((I3+I5+I6+I7)/I3)^4)</f>
        <v/>
      </c>
      <c r="J17" s="14">
        <f>IF(J3=0,0,((J3+J5+J6+J7)/J3)^4)</f>
        <v/>
      </c>
      <c r="K17" s="14">
        <f>IF(K3=0,0,((K3+K5+K6+K7)/K3)^4)</f>
        <v/>
      </c>
      <c r="L17" s="14">
        <f>IF(L3=0,0,((L3+L5+L6+L7)/L3)^4)</f>
        <v/>
      </c>
      <c r="M17" s="14">
        <f>IF(M3=0,0,((M3+M5+M6+M7)/M3)^4)</f>
        <v/>
      </c>
      <c r="N17" s="14">
        <f>IF(N3=0,0,((N3+N5+N6+N7)/N3)^4)</f>
        <v/>
      </c>
    </row>
    <row r="18">
      <c r="A18" s="12" t="inlineStr">
        <is>
          <t>Gross Retention (LTM)</t>
        </is>
      </c>
      <c r="B18" s="13" t="n"/>
      <c r="C18" s="13" t="n"/>
      <c r="D18" s="13" t="n"/>
      <c r="E18" s="13" t="n"/>
      <c r="F18" s="14">
        <f>IF(C3=0,0,(C3+SUM(C6:F6)+SUM(C7:F7))/C3)</f>
        <v/>
      </c>
      <c r="G18" s="14">
        <f>IF(D3=0,0,(D3+SUM(D6:G6)+SUM(D7:G7))/D3)</f>
        <v/>
      </c>
      <c r="H18" s="14">
        <f>IF(E3=0,0,(E3+SUM(E6:H6)+SUM(E7:H7))/E3)</f>
        <v/>
      </c>
      <c r="I18" s="14">
        <f>IF(F3=0,0,(F3+SUM(F6:I6)+SUM(F7:I7))/F3)</f>
        <v/>
      </c>
      <c r="J18" s="14">
        <f>IF(G3=0,0,(G3+SUM(G6:J6)+SUM(G7:J7))/G3)</f>
        <v/>
      </c>
      <c r="K18" s="14">
        <f>IF(H3=0,0,(H3+SUM(H6:K6)+SUM(H7:K7))/H3)</f>
        <v/>
      </c>
      <c r="L18" s="14">
        <f>IF(I3=0,0,(I3+SUM(I6:L6)+SUM(I7:L7))/I3)</f>
        <v/>
      </c>
      <c r="M18" s="14">
        <f>IF(J3=0,0,(J3+SUM(J6:M6)+SUM(J7:M7))/J3)</f>
        <v/>
      </c>
      <c r="N18" s="14">
        <f>IF(K3=0,0,(K3+SUM(K6:N6)+SUM(K7:N7))/K3)</f>
        <v/>
      </c>
    </row>
    <row r="19">
      <c r="A19" s="12" t="inlineStr">
        <is>
          <t>Loss-Only Retention (LTM)</t>
        </is>
      </c>
      <c r="B19" s="13" t="n"/>
      <c r="C19" s="13" t="n"/>
      <c r="D19" s="13" t="n"/>
      <c r="E19" s="13" t="n"/>
      <c r="F19" s="14">
        <f>IF(C3=0,0,(C3+SUM(C7:F7))/C3)</f>
        <v/>
      </c>
      <c r="G19" s="14">
        <f>IF(D3=0,0,(D3+SUM(D7:G7))/D3)</f>
        <v/>
      </c>
      <c r="H19" s="14">
        <f>IF(E3=0,0,(E3+SUM(E7:H7))/E3)</f>
        <v/>
      </c>
      <c r="I19" s="14">
        <f>IF(F3=0,0,(F3+SUM(F7:I7))/F3)</f>
        <v/>
      </c>
      <c r="J19" s="14">
        <f>IF(G3=0,0,(G3+SUM(G7:J7))/G3)</f>
        <v/>
      </c>
      <c r="K19" s="14">
        <f>IF(H3=0,0,(H3+SUM(H7:K7))/H3)</f>
        <v/>
      </c>
      <c r="L19" s="14">
        <f>IF(I3=0,0,(I3+SUM(I7:L7))/I3)</f>
        <v/>
      </c>
      <c r="M19" s="14">
        <f>IF(J3=0,0,(J3+SUM(J7:M7))/J3)</f>
        <v/>
      </c>
      <c r="N19" s="14">
        <f>IF(K3=0,0,(K3+SUM(K7:N7))/K3)</f>
        <v/>
      </c>
    </row>
    <row r="20">
      <c r="A20" s="12" t="inlineStr">
        <is>
          <t>Net Retention (LTM)</t>
        </is>
      </c>
      <c r="B20" s="13" t="n"/>
      <c r="C20" s="13" t="n"/>
      <c r="D20" s="13" t="n"/>
      <c r="E20" s="13" t="n"/>
      <c r="F20" s="14">
        <f>IF(C3=0,0,(C3+SUM(C5:F5)+SUM(C6:F6)+SUM(C7:F7))/C3)</f>
        <v/>
      </c>
      <c r="G20" s="14">
        <f>IF(D3=0,0,(D3+SUM(D5:G5)+SUM(D6:G6)+SUM(D7:G7))/D3)</f>
        <v/>
      </c>
      <c r="H20" s="14">
        <f>IF(E3=0,0,(E3+SUM(E5:H5)+SUM(E6:H6)+SUM(E7:H7))/E3)</f>
        <v/>
      </c>
      <c r="I20" s="14">
        <f>IF(F3=0,0,(F3+SUM(F5:I5)+SUM(F6:I6)+SUM(F7:I7))/F3)</f>
        <v/>
      </c>
      <c r="J20" s="14">
        <f>IF(G3=0,0,(G3+SUM(G5:J5)+SUM(G6:J6)+SUM(G7:J7))/G3)</f>
        <v/>
      </c>
      <c r="K20" s="14">
        <f>IF(H3=0,0,(H3+SUM(H5:K5)+SUM(H6:K6)+SUM(H7:K7))/H3)</f>
        <v/>
      </c>
      <c r="L20" s="14">
        <f>IF(I3=0,0,(I3+SUM(I5:L5)+SUM(I6:L6)+SUM(I7:L7))/I3)</f>
        <v/>
      </c>
      <c r="M20" s="14">
        <f>IF(J3=0,0,(J3+SUM(J5:M5)+SUM(J6:M6)+SUM(J7:M7))/J3)</f>
        <v/>
      </c>
      <c r="N20" s="14">
        <f>IF(K3=0,0,(K3+SUM(K5:N5)+SUM(K6:N6)+SUM(K7:N7))/K3)</f>
        <v/>
      </c>
    </row>
    <row r="21">
      <c r="A21" s="15" t="inlineStr">
        <is>
          <t>Customer Waterfall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4" t="inlineStr">
        <is>
          <t>BoP Customers</t>
        </is>
      </c>
      <c r="B22" s="5" t="n"/>
      <c r="C22" s="16">
        <f>COUNTIF('Original Data'!$C$4:$C$103,"&gt;0")</f>
        <v/>
      </c>
      <c r="D22" s="16">
        <f>COUNTIF('Original Data'!$F$4:$F$103,"&gt;0")</f>
        <v/>
      </c>
      <c r="E22" s="16">
        <f>COUNTIF('Original Data'!$I$4:$I$103,"&gt;0")</f>
        <v/>
      </c>
      <c r="F22" s="16">
        <f>COUNTIF('Original Data'!$L$4:$L$103,"&gt;0")</f>
        <v/>
      </c>
      <c r="G22" s="16">
        <f>COUNTIF('Original Data'!$O$4:$O$103,"&gt;0")</f>
        <v/>
      </c>
      <c r="H22" s="16">
        <f>COUNTIF('Original Data'!$R$4:$R$103,"&gt;0")</f>
        <v/>
      </c>
      <c r="I22" s="16">
        <f>COUNTIF('Original Data'!$U$4:$U$103,"&gt;0")</f>
        <v/>
      </c>
      <c r="J22" s="16">
        <f>COUNTIF('Original Data'!$X$4:$X$103,"&gt;0")</f>
        <v/>
      </c>
      <c r="K22" s="16">
        <f>COUNTIF('Original Data'!$AA$4:$AA$103,"&gt;0")</f>
        <v/>
      </c>
      <c r="L22" s="16">
        <f>COUNTIF('Original Data'!$AD$4:$AD$103,"&gt;0")</f>
        <v/>
      </c>
      <c r="M22" s="16">
        <f>COUNTIF('Original Data'!$AG$4:$AG$103,"&gt;0")</f>
        <v/>
      </c>
      <c r="N22" s="16">
        <f>COUNTIF('Original Data'!$AJ$4:$AJ$103,"&gt;0")</f>
        <v/>
      </c>
    </row>
    <row r="23">
      <c r="A23" s="4" t="inlineStr">
        <is>
          <t>New</t>
        </is>
      </c>
      <c r="B23" s="5" t="n"/>
      <c r="C23" s="16">
        <f>SUMPRODUCT(('Original Data'!$C$4:$C$103&lt;=0)*('Original Data'!$F$4:$F$103&gt;0)*1)</f>
        <v/>
      </c>
      <c r="D23" s="16">
        <f>SUMPRODUCT(('Original Data'!$F$4:$F$103&lt;=0)*('Original Data'!$I$4:$I$103&gt;0)*1)</f>
        <v/>
      </c>
      <c r="E23" s="16">
        <f>SUMPRODUCT(('Original Data'!$I$4:$I$103&lt;=0)*('Original Data'!$L$4:$L$103&gt;0)*1)</f>
        <v/>
      </c>
      <c r="F23" s="16">
        <f>SUMPRODUCT(('Original Data'!$L$4:$L$103&lt;=0)*('Original Data'!$O$4:$O$103&gt;0)*1)</f>
        <v/>
      </c>
      <c r="G23" s="16">
        <f>SUMPRODUCT(('Original Data'!$O$4:$O$103&lt;=0)*('Original Data'!$R$4:$R$103&gt;0)*1)</f>
        <v/>
      </c>
      <c r="H23" s="16">
        <f>SUMPRODUCT(('Original Data'!$R$4:$R$103&lt;=0)*('Original Data'!$U$4:$U$103&gt;0)*1)</f>
        <v/>
      </c>
      <c r="I23" s="16">
        <f>SUMPRODUCT(('Original Data'!$U$4:$U$103&lt;=0)*('Original Data'!$X$4:$X$103&gt;0)*1)</f>
        <v/>
      </c>
      <c r="J23" s="16">
        <f>SUMPRODUCT(('Original Data'!$X$4:$X$103&lt;=0)*('Original Data'!$AA$4:$AA$103&gt;0)*1)</f>
        <v/>
      </c>
      <c r="K23" s="16">
        <f>SUMPRODUCT(('Original Data'!$AA$4:$AA$103&lt;=0)*('Original Data'!$AD$4:$AD$103&gt;0)*1)</f>
        <v/>
      </c>
      <c r="L23" s="16">
        <f>SUMPRODUCT(('Original Data'!$AD$4:$AD$103&lt;=0)*('Original Data'!$AG$4:$AG$103&gt;0)*1)</f>
        <v/>
      </c>
      <c r="M23" s="16">
        <f>SUMPRODUCT(('Original Data'!$AG$4:$AG$103&lt;=0)*('Original Data'!$AJ$4:$AJ$103&gt;0)*1)</f>
        <v/>
      </c>
      <c r="N23" s="16">
        <f>SUMPRODUCT(('Original Data'!$AJ$4:$AJ$103&lt;=0)*('Original Data'!$AM$4:$AM$103&gt;0)*1)</f>
        <v/>
      </c>
    </row>
    <row r="24">
      <c r="A24" s="4" t="inlineStr">
        <is>
          <t>(Churn)</t>
        </is>
      </c>
      <c r="B24" s="5" t="n"/>
      <c r="C24" s="17">
        <f>SUMPRODUCT(('Original Data'!$C$4:$C$103&gt;0)*('Original Data'!$F$4:$F$103&lt;=0)*1)</f>
        <v/>
      </c>
      <c r="D24" s="17">
        <f>SUMPRODUCT(('Original Data'!$F$4:$F$103&gt;0)*('Original Data'!$I$4:$I$103&lt;=0)*1)</f>
        <v/>
      </c>
      <c r="E24" s="17">
        <f>SUMPRODUCT(('Original Data'!$I$4:$I$103&gt;0)*('Original Data'!$L$4:$L$103&lt;=0)*1)</f>
        <v/>
      </c>
      <c r="F24" s="17">
        <f>SUMPRODUCT(('Original Data'!$L$4:$L$103&gt;0)*('Original Data'!$O$4:$O$103&lt;=0)*1)</f>
        <v/>
      </c>
      <c r="G24" s="17">
        <f>SUMPRODUCT(('Original Data'!$O$4:$O$103&gt;0)*('Original Data'!$R$4:$R$103&lt;=0)*1)</f>
        <v/>
      </c>
      <c r="H24" s="17">
        <f>SUMPRODUCT(('Original Data'!$R$4:$R$103&gt;0)*('Original Data'!$U$4:$U$103&lt;=0)*1)</f>
        <v/>
      </c>
      <c r="I24" s="17">
        <f>SUMPRODUCT(('Original Data'!$U$4:$U$103&gt;0)*('Original Data'!$X$4:$X$103&lt;=0)*1)</f>
        <v/>
      </c>
      <c r="J24" s="17">
        <f>SUMPRODUCT(('Original Data'!$X$4:$X$103&gt;0)*('Original Data'!$AA$4:$AA$103&lt;=0)*1)</f>
        <v/>
      </c>
      <c r="K24" s="17">
        <f>SUMPRODUCT(('Original Data'!$AA$4:$AA$103&gt;0)*('Original Data'!$AD$4:$AD$103&lt;=0)*1)</f>
        <v/>
      </c>
      <c r="L24" s="17">
        <f>SUMPRODUCT(('Original Data'!$AD$4:$AD$103&gt;0)*('Original Data'!$AG$4:$AG$103&lt;=0)*1)</f>
        <v/>
      </c>
      <c r="M24" s="17">
        <f>SUMPRODUCT(('Original Data'!$AG$4:$AG$103&gt;0)*('Original Data'!$AJ$4:$AJ$103&lt;=0)*1)</f>
        <v/>
      </c>
      <c r="N24" s="17">
        <f>SUMPRODUCT(('Original Data'!$AJ$4:$AJ$103&gt;0)*('Original Data'!$AM$4:$AM$103&lt;=0)*1)</f>
        <v/>
      </c>
    </row>
    <row r="25">
      <c r="A25" s="7" t="inlineStr">
        <is>
          <t>EoP Customers</t>
        </is>
      </c>
      <c r="B25" s="18">
        <f>COUNTIF('Original Data'!$C$4:$C$103,"&gt;0")</f>
        <v/>
      </c>
      <c r="C25" s="18">
        <f>COUNTIF('Original Data'!$F$4:$F$103,"&gt;0")</f>
        <v/>
      </c>
      <c r="D25" s="18">
        <f>COUNTIF('Original Data'!$I$4:$I$103,"&gt;0")</f>
        <v/>
      </c>
      <c r="E25" s="18">
        <f>COUNTIF('Original Data'!$L$4:$L$103,"&gt;0")</f>
        <v/>
      </c>
      <c r="F25" s="18">
        <f>COUNTIF('Original Data'!$O$4:$O$103,"&gt;0")</f>
        <v/>
      </c>
      <c r="G25" s="18">
        <f>COUNTIF('Original Data'!$R$4:$R$103,"&gt;0")</f>
        <v/>
      </c>
      <c r="H25" s="18">
        <f>COUNTIF('Original Data'!$U$4:$U$103,"&gt;0")</f>
        <v/>
      </c>
      <c r="I25" s="18">
        <f>COUNTIF('Original Data'!$X$4:$X$103,"&gt;0")</f>
        <v/>
      </c>
      <c r="J25" s="18">
        <f>COUNTIF('Original Data'!$AA$4:$AA$103,"&gt;0")</f>
        <v/>
      </c>
      <c r="K25" s="18">
        <f>COUNTIF('Original Data'!$AD$4:$AD$103,"&gt;0")</f>
        <v/>
      </c>
      <c r="L25" s="18">
        <f>COUNTIF('Original Data'!$AG$4:$AG$103,"&gt;0")</f>
        <v/>
      </c>
      <c r="M25" s="18">
        <f>COUNTIF('Original Data'!$AJ$4:$AJ$103,"&gt;0")</f>
        <v/>
      </c>
      <c r="N25" s="18">
        <f>COUNTIF('Original Data'!$AM$4:$AM$103,"&gt;0")</f>
        <v/>
      </c>
    </row>
    <row r="26">
      <c r="A26" s="9" t="inlineStr">
        <is>
          <t>Net Logos Added</t>
        </is>
      </c>
      <c r="B26" s="5" t="n"/>
      <c r="C26" s="19">
        <f>C23-C24</f>
        <v/>
      </c>
      <c r="D26" s="19">
        <f>D23-D24</f>
        <v/>
      </c>
      <c r="E26" s="19">
        <f>E23-E24</f>
        <v/>
      </c>
      <c r="F26" s="19">
        <f>F23-F24</f>
        <v/>
      </c>
      <c r="G26" s="19">
        <f>G23-G24</f>
        <v/>
      </c>
      <c r="H26" s="19">
        <f>H23-H24</f>
        <v/>
      </c>
      <c r="I26" s="19">
        <f>I23-I24</f>
        <v/>
      </c>
      <c r="J26" s="19">
        <f>J23-J24</f>
        <v/>
      </c>
      <c r="K26" s="19">
        <f>K23-K24</f>
        <v/>
      </c>
      <c r="L26" s="19">
        <f>L23-L24</f>
        <v/>
      </c>
      <c r="M26" s="19">
        <f>M23-M24</f>
        <v/>
      </c>
      <c r="N26" s="19">
        <f>N23-N24</f>
        <v/>
      </c>
    </row>
    <row r="27">
      <c r="A27" s="9" t="inlineStr">
        <is>
          <t>Logo % Growth</t>
        </is>
      </c>
      <c r="B27" s="5" t="n"/>
      <c r="C27" s="10">
        <f>IF(C22=0,0,C25/C22-1)</f>
        <v/>
      </c>
      <c r="D27" s="10">
        <f>IF(D22=0,0,D25/D22-1)</f>
        <v/>
      </c>
      <c r="E27" s="10">
        <f>IF(E22=0,0,E25/E22-1)</f>
        <v/>
      </c>
      <c r="F27" s="10">
        <f>IF(F22=0,0,F25/F22-1)</f>
        <v/>
      </c>
      <c r="G27" s="10">
        <f>IF(G22=0,0,G25/G22-1)</f>
        <v/>
      </c>
      <c r="H27" s="10">
        <f>IF(H22=0,0,H25/H22-1)</f>
        <v/>
      </c>
      <c r="I27" s="10">
        <f>IF(I22=0,0,I25/I22-1)</f>
        <v/>
      </c>
      <c r="J27" s="10">
        <f>IF(J22=0,0,J25/J22-1)</f>
        <v/>
      </c>
      <c r="K27" s="10">
        <f>IF(K22=0,0,K25/K22-1)</f>
        <v/>
      </c>
      <c r="L27" s="10">
        <f>IF(L22=0,0,L25/L22-1)</f>
        <v/>
      </c>
      <c r="M27" s="10">
        <f>IF(M22=0,0,M25/M22-1)</f>
        <v/>
      </c>
      <c r="N27" s="10">
        <f>IF(N22=0,0,N25/N22-1)</f>
        <v/>
      </c>
    </row>
    <row r="28">
      <c r="A28" s="9" t="inlineStr">
        <is>
          <t>Logo % Growth (YoY)</t>
        </is>
      </c>
      <c r="B28" s="5" t="n"/>
      <c r="C28" s="5" t="n"/>
      <c r="D28" s="5" t="n"/>
      <c r="E28" s="5" t="n"/>
      <c r="F28" s="10">
        <f>IF(B25=0,0,F25/B25-1)</f>
        <v/>
      </c>
      <c r="G28" s="10">
        <f>IF(C25=0,0,G25/C25-1)</f>
        <v/>
      </c>
      <c r="H28" s="10">
        <f>IF(D25=0,0,H25/D25-1)</f>
        <v/>
      </c>
      <c r="I28" s="10">
        <f>IF(E25=0,0,I25/E25-1)</f>
        <v/>
      </c>
      <c r="J28" s="10">
        <f>IF(F25=0,0,J25/F25-1)</f>
        <v/>
      </c>
      <c r="K28" s="10">
        <f>IF(G25=0,0,K25/G25-1)</f>
        <v/>
      </c>
      <c r="L28" s="10">
        <f>IF(H25=0,0,L25/H25-1)</f>
        <v/>
      </c>
      <c r="M28" s="10">
        <f>IF(I25=0,0,M25/I25-1)</f>
        <v/>
      </c>
      <c r="N28" s="10">
        <f>IF(J25=0,0,N25/J25-1)</f>
        <v/>
      </c>
    </row>
    <row r="29">
      <c r="A29" s="12" t="inlineStr">
        <is>
          <t>Gross Logo Retention (QoQ Annualized)</t>
        </is>
      </c>
      <c r="B29" s="13" t="n"/>
      <c r="C29" s="14">
        <f>IF(C22=0,0,((C22-C24)/C22)^4)</f>
        <v/>
      </c>
      <c r="D29" s="14">
        <f>IF(D22=0,0,((D22-D24)/D22)^4)</f>
        <v/>
      </c>
      <c r="E29" s="14">
        <f>IF(E22=0,0,((E22-E24)/E22)^4)</f>
        <v/>
      </c>
      <c r="F29" s="14">
        <f>IF(F22=0,0,((F22-F24)/F22)^4)</f>
        <v/>
      </c>
      <c r="G29" s="14">
        <f>IF(G22=0,0,((G22-G24)/G22)^4)</f>
        <v/>
      </c>
      <c r="H29" s="14">
        <f>IF(H22=0,0,((H22-H24)/H22)^4)</f>
        <v/>
      </c>
      <c r="I29" s="14">
        <f>IF(I22=0,0,((I22-I24)/I22)^4)</f>
        <v/>
      </c>
      <c r="J29" s="14">
        <f>IF(J22=0,0,((J22-J24)/J22)^4)</f>
        <v/>
      </c>
      <c r="K29" s="14">
        <f>IF(K22=0,0,((K22-K24)/K22)^4)</f>
        <v/>
      </c>
      <c r="L29" s="14">
        <f>IF(L22=0,0,((L22-L24)/L22)^4)</f>
        <v/>
      </c>
      <c r="M29" s="14">
        <f>IF(M22=0,0,((M22-M24)/M22)^4)</f>
        <v/>
      </c>
      <c r="N29" s="14">
        <f>IF(N22=0,0,((N22-N24)/N22)^4)</f>
        <v/>
      </c>
    </row>
    <row r="30">
      <c r="A30" s="12" t="inlineStr">
        <is>
          <t>Gross Logo Retention (YoY)</t>
        </is>
      </c>
      <c r="B30" s="13" t="n"/>
      <c r="C30" s="13" t="n"/>
      <c r="D30" s="13" t="n"/>
      <c r="E30" s="13" t="n"/>
      <c r="F30" s="14">
        <f>IF(C22=0,0,(C22-SUM(C24:F24))/C22)</f>
        <v/>
      </c>
      <c r="G30" s="14">
        <f>IF(D22=0,0,(D22-SUM(D24:G24))/D22)</f>
        <v/>
      </c>
      <c r="H30" s="14">
        <f>IF(E22=0,0,(E22-SUM(E24:H24))/E22)</f>
        <v/>
      </c>
      <c r="I30" s="14">
        <f>IF(F22=0,0,(F22-SUM(F24:I24))/F22)</f>
        <v/>
      </c>
      <c r="J30" s="14">
        <f>IF(G22=0,0,(G22-SUM(G24:J24))/G22)</f>
        <v/>
      </c>
      <c r="K30" s="14">
        <f>IF(H22=0,0,(H22-SUM(H24:K24))/H22)</f>
        <v/>
      </c>
      <c r="L30" s="14">
        <f>IF(I22=0,0,(I22-SUM(I24:L24))/I22)</f>
        <v/>
      </c>
      <c r="M30" s="14">
        <f>IF(J22=0,0,(J22-SUM(J24:M24))/J22)</f>
        <v/>
      </c>
      <c r="N30" s="14">
        <f>IF(K22=0,0,(K22-SUM(K24:N24))/K22)</f>
        <v/>
      </c>
    </row>
    <row r="31">
      <c r="A31" s="4" t="inlineStr">
        <is>
          <t>Avg. Logo Size ($ Actuals)</t>
        </is>
      </c>
      <c r="B31" s="5" t="n"/>
      <c r="C31" s="6">
        <f>IF(C25=0,0,C8/C25)</f>
        <v/>
      </c>
      <c r="D31" s="6">
        <f>IF(D25=0,0,D8/D25)</f>
        <v/>
      </c>
      <c r="E31" s="6">
        <f>IF(E25=0,0,E8/E25)</f>
        <v/>
      </c>
      <c r="F31" s="6">
        <f>IF(F25=0,0,F8/F25)</f>
        <v/>
      </c>
      <c r="G31" s="6">
        <f>IF(G25=0,0,G8/G25)</f>
        <v/>
      </c>
      <c r="H31" s="6">
        <f>IF(H25=0,0,H8/H25)</f>
        <v/>
      </c>
      <c r="I31" s="6">
        <f>IF(I25=0,0,I8/I25)</f>
        <v/>
      </c>
      <c r="J31" s="6">
        <f>IF(J25=0,0,J8/J25)</f>
        <v/>
      </c>
      <c r="K31" s="6">
        <f>IF(K25=0,0,K8/K25)</f>
        <v/>
      </c>
      <c r="L31" s="6">
        <f>IF(L25=0,0,L8/L25)</f>
        <v/>
      </c>
      <c r="M31" s="6">
        <f>IF(M25=0,0,M8/M25)</f>
        <v/>
      </c>
      <c r="N31" s="6">
        <f>IF(N25=0,0,N8/N25)</f>
        <v/>
      </c>
    </row>
    <row r="32">
      <c r="A32" s="9" t="inlineStr">
        <is>
          <t>Avg Logo Size QoQ Growth</t>
        </is>
      </c>
      <c r="B32" s="5" t="n"/>
      <c r="C32" s="5" t="n"/>
      <c r="D32" s="10">
        <f>IF(C31=0,0,D31/C31-1)</f>
        <v/>
      </c>
      <c r="E32" s="10">
        <f>IF(D31=0,0,E31/D31-1)</f>
        <v/>
      </c>
      <c r="F32" s="10">
        <f>IF(E31=0,0,F31/E31-1)</f>
        <v/>
      </c>
      <c r="G32" s="10">
        <f>IF(F31=0,0,G31/F31-1)</f>
        <v/>
      </c>
      <c r="H32" s="10">
        <f>IF(G31=0,0,H31/G31-1)</f>
        <v/>
      </c>
      <c r="I32" s="10">
        <f>IF(H31=0,0,I31/H31-1)</f>
        <v/>
      </c>
      <c r="J32" s="10">
        <f>IF(I31=0,0,J31/I31-1)</f>
        <v/>
      </c>
      <c r="K32" s="10">
        <f>IF(J31=0,0,K31/J31-1)</f>
        <v/>
      </c>
      <c r="L32" s="10">
        <f>IF(K31=0,0,L31/K31-1)</f>
        <v/>
      </c>
      <c r="M32" s="10">
        <f>IF(L31=0,0,M31/L31-1)</f>
        <v/>
      </c>
      <c r="N32" s="10">
        <f>IF(M31=0,0,N31/M31-1)</f>
        <v/>
      </c>
    </row>
    <row r="33">
      <c r="A33" s="4" t="inlineStr">
        <is>
          <t>Avg. New Logo Size ($ Actuals)</t>
        </is>
      </c>
      <c r="B33" s="5" t="n"/>
      <c r="C33" s="6">
        <f>IF(OR(C23=0,C4=0),0,C4/C23)</f>
        <v/>
      </c>
      <c r="D33" s="6">
        <f>IF(OR(D23=0,D4=0),0,D4/D23)</f>
        <v/>
      </c>
      <c r="E33" s="6">
        <f>IF(OR(E23=0,E4=0),0,E4/E23)</f>
        <v/>
      </c>
      <c r="F33" s="6">
        <f>IF(OR(F23=0,F4=0),0,F4/F23)</f>
        <v/>
      </c>
      <c r="G33" s="6">
        <f>IF(OR(G23=0,G4=0),0,G4/G23)</f>
        <v/>
      </c>
      <c r="H33" s="6">
        <f>IF(OR(H23=0,H4=0),0,H4/H23)</f>
        <v/>
      </c>
      <c r="I33" s="6">
        <f>IF(OR(I23=0,I4=0),0,I4/I23)</f>
        <v/>
      </c>
      <c r="J33" s="6">
        <f>IF(OR(J23=0,J4=0),0,J4/J23)</f>
        <v/>
      </c>
      <c r="K33" s="6">
        <f>IF(OR(K23=0,K4=0),0,K4/K23)</f>
        <v/>
      </c>
      <c r="L33" s="6">
        <f>IF(OR(L23=0,L4=0),0,L4/L23)</f>
        <v/>
      </c>
      <c r="M33" s="6">
        <f>IF(OR(M23=0,M4=0),0,M4/M23)</f>
        <v/>
      </c>
      <c r="N33" s="6">
        <f>IF(OR(N23=0,N4=0),0,N4/N23)</f>
        <v/>
      </c>
    </row>
    <row r="34">
      <c r="A34" s="9" t="inlineStr">
        <is>
          <t>Avg New Logo Size QoQ Growth</t>
        </is>
      </c>
      <c r="B34" s="5" t="n"/>
      <c r="C34" s="5" t="n"/>
      <c r="D34" s="10">
        <f>IF(C33=0,0,D33/C33-1)</f>
        <v/>
      </c>
      <c r="E34" s="10">
        <f>IF(D33=0,0,E33/D33-1)</f>
        <v/>
      </c>
      <c r="F34" s="10">
        <f>IF(E33=0,0,F33/E33-1)</f>
        <v/>
      </c>
      <c r="G34" s="10">
        <f>IF(F33=0,0,G33/F33-1)</f>
        <v/>
      </c>
      <c r="H34" s="10">
        <f>IF(G33=0,0,H33/G33-1)</f>
        <v/>
      </c>
      <c r="I34" s="10">
        <f>IF(H33=0,0,I33/H33-1)</f>
        <v/>
      </c>
      <c r="J34" s="10">
        <f>IF(I33=0,0,J33/I33-1)</f>
        <v/>
      </c>
      <c r="K34" s="10">
        <f>IF(J33=0,0,K33/J33-1)</f>
        <v/>
      </c>
      <c r="L34" s="10">
        <f>IF(K33=0,0,L33/K33-1)</f>
        <v/>
      </c>
      <c r="M34" s="10">
        <f>IF(L33=0,0,M33/L33-1)</f>
        <v/>
      </c>
      <c r="N34" s="10">
        <f>IF(M33=0,0,N33/M33-1)</f>
        <v/>
      </c>
    </row>
    <row r="35">
      <c r="A35" s="4" t="inlineStr">
        <is>
          <t>Avg. Churned Logo Size ($ Actuals)</t>
        </is>
      </c>
      <c r="B35" s="5" t="n"/>
      <c r="C35" s="6">
        <f>IF(OR(C24=0,C7=0),0,-C7/C24)</f>
        <v/>
      </c>
      <c r="D35" s="6">
        <f>IF(OR(D24=0,D7=0),0,-D7/D24)</f>
        <v/>
      </c>
      <c r="E35" s="6">
        <f>IF(OR(E24=0,E7=0),0,-E7/E24)</f>
        <v/>
      </c>
      <c r="F35" s="6">
        <f>IF(OR(F24=0,F7=0),0,-F7/F24)</f>
        <v/>
      </c>
      <c r="G35" s="6">
        <f>IF(OR(G24=0,G7=0),0,-G7/G24)</f>
        <v/>
      </c>
      <c r="H35" s="6">
        <f>IF(OR(H24=0,H7=0),0,-H7/H24)</f>
        <v/>
      </c>
      <c r="I35" s="6">
        <f>IF(OR(I24=0,I7=0),0,-I7/I24)</f>
        <v/>
      </c>
      <c r="J35" s="6">
        <f>IF(OR(J24=0,J7=0),0,-J7/J24)</f>
        <v/>
      </c>
      <c r="K35" s="6">
        <f>IF(OR(K24=0,K7=0),0,-K7/K24)</f>
        <v/>
      </c>
      <c r="L35" s="6">
        <f>IF(OR(L24=0,L7=0),0,-L7/L24)</f>
        <v/>
      </c>
      <c r="M35" s="6">
        <f>IF(OR(M24=0,M7=0),0,-M7/M24)</f>
        <v/>
      </c>
      <c r="N35" s="6">
        <f>IF(OR(N24=0,N7=0),0,-N7/N24)</f>
        <v/>
      </c>
    </row>
    <row r="36">
      <c r="A36" s="9" t="inlineStr">
        <is>
          <t>Avg Churned Logo Size QoQ Growth</t>
        </is>
      </c>
      <c r="B36" s="5" t="n"/>
      <c r="C36" s="5" t="n"/>
      <c r="D36" s="10">
        <f>IF(C35=0,0,D35/C35-1)</f>
        <v/>
      </c>
      <c r="E36" s="10">
        <f>IF(D35=0,0,E35/D35-1)</f>
        <v/>
      </c>
      <c r="F36" s="10">
        <f>IF(E35=0,0,F35/E35-1)</f>
        <v/>
      </c>
      <c r="G36" s="10">
        <f>IF(F35=0,0,G35/F35-1)</f>
        <v/>
      </c>
      <c r="H36" s="10">
        <f>IF(G35=0,0,H35/G35-1)</f>
        <v/>
      </c>
      <c r="I36" s="10">
        <f>IF(H35=0,0,I35/H35-1)</f>
        <v/>
      </c>
      <c r="J36" s="10">
        <f>IF(I35=0,0,J35/I35-1)</f>
        <v/>
      </c>
      <c r="K36" s="10">
        <f>IF(J35=0,0,K35/J35-1)</f>
        <v/>
      </c>
      <c r="L36" s="10">
        <f>IF(K35=0,0,L35/K35-1)</f>
        <v/>
      </c>
      <c r="M36" s="10">
        <f>IF(L35=0,0,M35/L35-1)</f>
        <v/>
      </c>
      <c r="N36" s="10">
        <f>IF(M35=0,0,N35/M35-1)</f>
        <v/>
      </c>
    </row>
  </sheetData>
  <mergeCells count="2">
    <mergeCell ref="A21:N21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Top Customers as of Dec-25</t>
        </is>
      </c>
    </row>
    <row r="2">
      <c r="A2" s="20" t="inlineStr">
        <is>
          <t>($ Actuals)</t>
        </is>
      </c>
      <c r="B2" s="15" t="n"/>
      <c r="C2" s="1" t="inlineStr">
        <is>
          <t>ARR</t>
        </is>
      </c>
      <c r="J2" s="1" t="inlineStr">
        <is>
          <t>$ Growth</t>
        </is>
      </c>
      <c r="O2" s="1" t="inlineStr">
        <is>
          <t>% Growth</t>
        </is>
      </c>
      <c r="R2" s="15" t="inlineStr"/>
    </row>
    <row r="3">
      <c r="A3" s="15" t="inlineStr">
        <is>
          <t>Rank</t>
        </is>
      </c>
      <c r="B3" s="15" t="inlineStr">
        <is>
          <t>Customer</t>
        </is>
      </c>
      <c r="C3" s="3" t="inlineStr">
        <is>
          <t>Dec-22</t>
        </is>
      </c>
      <c r="D3" s="3" t="inlineStr">
        <is>
          <t>Dec-23</t>
        </is>
      </c>
      <c r="E3" s="3" t="inlineStr">
        <is>
          <t>Dec-24</t>
        </is>
      </c>
      <c r="F3" s="3" t="inlineStr">
        <is>
          <t>Dec-25</t>
        </is>
      </c>
      <c r="G3" s="3" t="inlineStr">
        <is>
          <t>Dec-22 - Dec-25 CAGR</t>
        </is>
      </c>
      <c r="H3" s="3" t="inlineStr">
        <is>
          <t>% of Dec-25 ARR</t>
        </is>
      </c>
      <c r="I3" s="3" t="inlineStr">
        <is>
          <t>% Total Cum.</t>
        </is>
      </c>
      <c r="J3" s="3" t="inlineStr">
        <is>
          <t>Dec-22 - Dec-23</t>
        </is>
      </c>
      <c r="K3" s="3" t="inlineStr">
        <is>
          <t>Dec-23 - Dec-24</t>
        </is>
      </c>
      <c r="L3" s="3" t="inlineStr">
        <is>
          <t>Dec-24 - Dec-25</t>
        </is>
      </c>
      <c r="M3" s="3" t="inlineStr">
        <is>
          <t>% of Dec-24 - Dec-25 Growth</t>
        </is>
      </c>
      <c r="N3" s="3" t="inlineStr">
        <is>
          <t>Mult. of Initial</t>
        </is>
      </c>
      <c r="O3" s="3" t="inlineStr">
        <is>
          <t>Dec-22 - Dec-23</t>
        </is>
      </c>
      <c r="P3" s="3" t="inlineStr">
        <is>
          <t>Dec-23 - Dec-24</t>
        </is>
      </c>
      <c r="Q3" s="3" t="inlineStr">
        <is>
          <t>Dec-24 - Dec-25</t>
        </is>
      </c>
      <c r="R3" s="3" t="inlineStr">
        <is>
          <t>Customer Since</t>
        </is>
      </c>
    </row>
    <row r="4">
      <c r="A4" s="4" t="n">
        <v>1</v>
      </c>
      <c r="B4" s="4" t="inlineStr">
        <is>
          <t>61</t>
        </is>
      </c>
      <c r="C4" s="6">
        <f>'Original Data'!$C$64*12</f>
        <v/>
      </c>
      <c r="D4" s="6">
        <f>'Original Data'!$O$64*12</f>
        <v/>
      </c>
      <c r="E4" s="6">
        <f>'Original Data'!$AA$64*12</f>
        <v/>
      </c>
      <c r="F4" s="6">
        <f>'Original Data'!$AM$64*12</f>
        <v/>
      </c>
      <c r="G4" s="21">
        <f>IF(C4=0,0,(F4/C4)^(1/3)-1)</f>
        <v/>
      </c>
      <c r="H4" s="21">
        <f>IF(F17=0,0,F4/F17)</f>
        <v/>
      </c>
      <c r="I4" s="21">
        <f>SUM(H$4:H4)</f>
        <v/>
      </c>
      <c r="J4" s="6">
        <f>D4-C4</f>
        <v/>
      </c>
      <c r="K4" s="6">
        <f>E4-D4</f>
        <v/>
      </c>
      <c r="L4" s="6">
        <f>F4-E4</f>
        <v/>
      </c>
      <c r="M4" s="21">
        <f>IF(L17=0,0,L4/L17)</f>
        <v/>
      </c>
      <c r="N4" s="22">
        <f>IF(C4=0,0,F4/C4)</f>
        <v/>
      </c>
      <c r="O4" s="21">
        <f>IF(C4=0,0,D4/C4-1)</f>
        <v/>
      </c>
      <c r="P4" s="21">
        <f>IF(D4=0,0,E4/D4-1)</f>
        <v/>
      </c>
      <c r="Q4" s="21">
        <f>IF(E4=0,0,F4/E4-1)</f>
        <v/>
      </c>
      <c r="R4" s="23" t="inlineStr">
        <is>
          <t>Dec-22</t>
        </is>
      </c>
    </row>
    <row r="5">
      <c r="A5" s="4" t="n">
        <v>2</v>
      </c>
      <c r="B5" s="4" t="inlineStr">
        <is>
          <t>2</t>
        </is>
      </c>
      <c r="C5" s="6">
        <f>'Original Data'!$C$5*12</f>
        <v/>
      </c>
      <c r="D5" s="6">
        <f>'Original Data'!$O$5*12</f>
        <v/>
      </c>
      <c r="E5" s="6">
        <f>'Original Data'!$AA$5*12</f>
        <v/>
      </c>
      <c r="F5" s="6">
        <f>'Original Data'!$AM$5*12</f>
        <v/>
      </c>
      <c r="G5" s="21">
        <f>IF(C5=0,0,(F5/C5)^(1/3)-1)</f>
        <v/>
      </c>
      <c r="H5" s="21">
        <f>IF(F17=0,0,F5/F17)</f>
        <v/>
      </c>
      <c r="I5" s="21">
        <f>SUM(H$4:H5)</f>
        <v/>
      </c>
      <c r="J5" s="6">
        <f>D5-C5</f>
        <v/>
      </c>
      <c r="K5" s="6">
        <f>E5-D5</f>
        <v/>
      </c>
      <c r="L5" s="6">
        <f>F5-E5</f>
        <v/>
      </c>
      <c r="M5" s="21">
        <f>IF(L17=0,0,L5/L17)</f>
        <v/>
      </c>
      <c r="N5" s="22">
        <f>IF(C5=0,0,F5/C5)</f>
        <v/>
      </c>
      <c r="O5" s="21">
        <f>IF(C5=0,0,D5/C5-1)</f>
        <v/>
      </c>
      <c r="P5" s="21">
        <f>IF(D5=0,0,E5/D5-1)</f>
        <v/>
      </c>
      <c r="Q5" s="21">
        <f>IF(E5=0,0,F5/E5-1)</f>
        <v/>
      </c>
      <c r="R5" s="23" t="inlineStr">
        <is>
          <t>Dec-22</t>
        </is>
      </c>
    </row>
    <row r="6">
      <c r="A6" s="4" t="n">
        <v>3</v>
      </c>
      <c r="B6" s="4" t="inlineStr">
        <is>
          <t>13</t>
        </is>
      </c>
      <c r="C6" s="6">
        <f>'Original Data'!$C$16*12</f>
        <v/>
      </c>
      <c r="D6" s="6">
        <f>'Original Data'!$O$16*12</f>
        <v/>
      </c>
      <c r="E6" s="6">
        <f>'Original Data'!$AA$16*12</f>
        <v/>
      </c>
      <c r="F6" s="6">
        <f>'Original Data'!$AM$16*12</f>
        <v/>
      </c>
      <c r="G6" s="21">
        <f>IF(C6=0,0,(F6/C6)^(1/3)-1)</f>
        <v/>
      </c>
      <c r="H6" s="21">
        <f>IF(F17=0,0,F6/F17)</f>
        <v/>
      </c>
      <c r="I6" s="21">
        <f>SUM(H$4:H6)</f>
        <v/>
      </c>
      <c r="J6" s="6">
        <f>D6-C6</f>
        <v/>
      </c>
      <c r="K6" s="6">
        <f>E6-D6</f>
        <v/>
      </c>
      <c r="L6" s="6">
        <f>F6-E6</f>
        <v/>
      </c>
      <c r="M6" s="21">
        <f>IF(L17=0,0,L6/L17)</f>
        <v/>
      </c>
      <c r="N6" s="22">
        <f>IF(C6=0,0,F6/C6)</f>
        <v/>
      </c>
      <c r="O6" s="21">
        <f>IF(C6=0,0,D6/C6-1)</f>
        <v/>
      </c>
      <c r="P6" s="21">
        <f>IF(D6=0,0,E6/D6-1)</f>
        <v/>
      </c>
      <c r="Q6" s="21">
        <f>IF(E6=0,0,F6/E6-1)</f>
        <v/>
      </c>
      <c r="R6" s="23" t="inlineStr">
        <is>
          <t>Dec-22</t>
        </is>
      </c>
    </row>
    <row r="7">
      <c r="A7" s="4" t="n">
        <v>4</v>
      </c>
      <c r="B7" s="4" t="inlineStr">
        <is>
          <t>53</t>
        </is>
      </c>
      <c r="C7" s="6">
        <f>'Original Data'!$C$56*12</f>
        <v/>
      </c>
      <c r="D7" s="6">
        <f>'Original Data'!$O$56*12</f>
        <v/>
      </c>
      <c r="E7" s="6">
        <f>'Original Data'!$AA$56*12</f>
        <v/>
      </c>
      <c r="F7" s="6">
        <f>'Original Data'!$AM$56*12</f>
        <v/>
      </c>
      <c r="G7" s="21">
        <f>IF(C7=0,0,(F7/C7)^(1/3)-1)</f>
        <v/>
      </c>
      <c r="H7" s="21">
        <f>IF(F17=0,0,F7/F17)</f>
        <v/>
      </c>
      <c r="I7" s="21">
        <f>SUM(H$4:H7)</f>
        <v/>
      </c>
      <c r="J7" s="6">
        <f>D7-C7</f>
        <v/>
      </c>
      <c r="K7" s="6">
        <f>E7-D7</f>
        <v/>
      </c>
      <c r="L7" s="6">
        <f>F7-E7</f>
        <v/>
      </c>
      <c r="M7" s="21">
        <f>IF(L17=0,0,L7/L17)</f>
        <v/>
      </c>
      <c r="N7" s="22">
        <f>IF(C7=0,0,F7/C7)</f>
        <v/>
      </c>
      <c r="O7" s="21">
        <f>IF(C7=0,0,D7/C7-1)</f>
        <v/>
      </c>
      <c r="P7" s="21">
        <f>IF(D7=0,0,E7/D7-1)</f>
        <v/>
      </c>
      <c r="Q7" s="21">
        <f>IF(E7=0,0,F7/E7-1)</f>
        <v/>
      </c>
      <c r="R7" s="23" t="inlineStr">
        <is>
          <t>Dec-22</t>
        </is>
      </c>
    </row>
    <row r="8">
      <c r="A8" s="4" t="n">
        <v>5</v>
      </c>
      <c r="B8" s="4" t="inlineStr">
        <is>
          <t>94</t>
        </is>
      </c>
      <c r="C8" s="6">
        <f>'Original Data'!$C$97*12</f>
        <v/>
      </c>
      <c r="D8" s="6">
        <f>'Original Data'!$O$97*12</f>
        <v/>
      </c>
      <c r="E8" s="6">
        <f>'Original Data'!$AA$97*12</f>
        <v/>
      </c>
      <c r="F8" s="6">
        <f>'Original Data'!$AM$97*12</f>
        <v/>
      </c>
      <c r="G8" s="21">
        <f>IF(C8=0,0,(F8/C8)^(1/3)-1)</f>
        <v/>
      </c>
      <c r="H8" s="21">
        <f>IF(F17=0,0,F8/F17)</f>
        <v/>
      </c>
      <c r="I8" s="21">
        <f>SUM(H$4:H8)</f>
        <v/>
      </c>
      <c r="J8" s="6">
        <f>D8-C8</f>
        <v/>
      </c>
      <c r="K8" s="6">
        <f>E8-D8</f>
        <v/>
      </c>
      <c r="L8" s="6">
        <f>F8-E8</f>
        <v/>
      </c>
      <c r="M8" s="21">
        <f>IF(L17=0,0,L8/L17)</f>
        <v/>
      </c>
      <c r="N8" s="22">
        <f>IF(C8=0,0,F8/C8)</f>
        <v/>
      </c>
      <c r="O8" s="21">
        <f>IF(C8=0,0,D8/C8-1)</f>
        <v/>
      </c>
      <c r="P8" s="21">
        <f>IF(D8=0,0,E8/D8-1)</f>
        <v/>
      </c>
      <c r="Q8" s="21">
        <f>IF(E8=0,0,F8/E8-1)</f>
        <v/>
      </c>
      <c r="R8" s="23" t="inlineStr">
        <is>
          <t>Dec-22</t>
        </is>
      </c>
    </row>
    <row r="9">
      <c r="A9" s="4" t="n">
        <v>6</v>
      </c>
      <c r="B9" s="4" t="inlineStr">
        <is>
          <t>31</t>
        </is>
      </c>
      <c r="C9" s="6">
        <f>'Original Data'!$C$34*12</f>
        <v/>
      </c>
      <c r="D9" s="6">
        <f>'Original Data'!$O$34*12</f>
        <v/>
      </c>
      <c r="E9" s="6">
        <f>'Original Data'!$AA$34*12</f>
        <v/>
      </c>
      <c r="F9" s="6">
        <f>'Original Data'!$AM$34*12</f>
        <v/>
      </c>
      <c r="G9" s="21">
        <f>IF(C9=0,0,(F9/C9)^(1/3)-1)</f>
        <v/>
      </c>
      <c r="H9" s="21">
        <f>IF(F17=0,0,F9/F17)</f>
        <v/>
      </c>
      <c r="I9" s="21">
        <f>SUM(H$4:H9)</f>
        <v/>
      </c>
      <c r="J9" s="6">
        <f>D9-C9</f>
        <v/>
      </c>
      <c r="K9" s="6">
        <f>E9-D9</f>
        <v/>
      </c>
      <c r="L9" s="6">
        <f>F9-E9</f>
        <v/>
      </c>
      <c r="M9" s="21">
        <f>IF(L17=0,0,L9/L17)</f>
        <v/>
      </c>
      <c r="N9" s="22">
        <f>IF(C9=0,0,F9/C9)</f>
        <v/>
      </c>
      <c r="O9" s="21">
        <f>IF(C9=0,0,D9/C9-1)</f>
        <v/>
      </c>
      <c r="P9" s="21">
        <f>IF(D9=0,0,E9/D9-1)</f>
        <v/>
      </c>
      <c r="Q9" s="21">
        <f>IF(E9=0,0,F9/E9-1)</f>
        <v/>
      </c>
      <c r="R9" s="23" t="inlineStr">
        <is>
          <t>Mar-23</t>
        </is>
      </c>
    </row>
    <row r="10">
      <c r="A10" s="4" t="n">
        <v>7</v>
      </c>
      <c r="B10" s="4" t="inlineStr">
        <is>
          <t>51</t>
        </is>
      </c>
      <c r="C10" s="6">
        <f>'Original Data'!$C$54*12</f>
        <v/>
      </c>
      <c r="D10" s="6">
        <f>'Original Data'!$O$54*12</f>
        <v/>
      </c>
      <c r="E10" s="6">
        <f>'Original Data'!$AA$54*12</f>
        <v/>
      </c>
      <c r="F10" s="6">
        <f>'Original Data'!$AM$54*12</f>
        <v/>
      </c>
      <c r="G10" s="21">
        <f>IF(C10=0,0,(F10/C10)^(1/3)-1)</f>
        <v/>
      </c>
      <c r="H10" s="21">
        <f>IF(F17=0,0,F10/F17)</f>
        <v/>
      </c>
      <c r="I10" s="21">
        <f>SUM(H$4:H10)</f>
        <v/>
      </c>
      <c r="J10" s="6">
        <f>D10-C10</f>
        <v/>
      </c>
      <c r="K10" s="6">
        <f>E10-D10</f>
        <v/>
      </c>
      <c r="L10" s="6">
        <f>F10-E10</f>
        <v/>
      </c>
      <c r="M10" s="21">
        <f>IF(L17=0,0,L10/L17)</f>
        <v/>
      </c>
      <c r="N10" s="22">
        <f>IF(C10=0,0,F10/C10)</f>
        <v/>
      </c>
      <c r="O10" s="21">
        <f>IF(C10=0,0,D10/C10-1)</f>
        <v/>
      </c>
      <c r="P10" s="21">
        <f>IF(D10=0,0,E10/D10-1)</f>
        <v/>
      </c>
      <c r="Q10" s="21">
        <f>IF(E10=0,0,F10/E10-1)</f>
        <v/>
      </c>
      <c r="R10" s="23" t="inlineStr">
        <is>
          <t>Dec-22</t>
        </is>
      </c>
    </row>
    <row r="11">
      <c r="A11" s="4" t="n">
        <v>8</v>
      </c>
      <c r="B11" s="4" t="inlineStr">
        <is>
          <t>62</t>
        </is>
      </c>
      <c r="C11" s="6">
        <f>'Original Data'!$C$65*12</f>
        <v/>
      </c>
      <c r="D11" s="6">
        <f>'Original Data'!$O$65*12</f>
        <v/>
      </c>
      <c r="E11" s="6">
        <f>'Original Data'!$AA$65*12</f>
        <v/>
      </c>
      <c r="F11" s="6">
        <f>'Original Data'!$AM$65*12</f>
        <v/>
      </c>
      <c r="G11" s="21">
        <f>IF(C11=0,0,(F11/C11)^(1/3)-1)</f>
        <v/>
      </c>
      <c r="H11" s="21">
        <f>IF(F17=0,0,F11/F17)</f>
        <v/>
      </c>
      <c r="I11" s="21">
        <f>SUM(H$4:H11)</f>
        <v/>
      </c>
      <c r="J11" s="6">
        <f>D11-C11</f>
        <v/>
      </c>
      <c r="K11" s="6">
        <f>E11-D11</f>
        <v/>
      </c>
      <c r="L11" s="6">
        <f>F11-E11</f>
        <v/>
      </c>
      <c r="M11" s="21">
        <f>IF(L17=0,0,L11/L17)</f>
        <v/>
      </c>
      <c r="N11" s="22">
        <f>IF(C11=0,0,F11/C11)</f>
        <v/>
      </c>
      <c r="O11" s="21">
        <f>IF(C11=0,0,D11/C11-1)</f>
        <v/>
      </c>
      <c r="P11" s="21">
        <f>IF(D11=0,0,E11/D11-1)</f>
        <v/>
      </c>
      <c r="Q11" s="21">
        <f>IF(E11=0,0,F11/E11-1)</f>
        <v/>
      </c>
      <c r="R11" s="23" t="inlineStr">
        <is>
          <t>Jun-25</t>
        </is>
      </c>
    </row>
    <row r="12">
      <c r="A12" s="4" t="n">
        <v>9</v>
      </c>
      <c r="B12" s="4" t="inlineStr">
        <is>
          <t>68</t>
        </is>
      </c>
      <c r="C12" s="6">
        <f>'Original Data'!$C$71*12</f>
        <v/>
      </c>
      <c r="D12" s="6">
        <f>'Original Data'!$O$71*12</f>
        <v/>
      </c>
      <c r="E12" s="6">
        <f>'Original Data'!$AA$71*12</f>
        <v/>
      </c>
      <c r="F12" s="6">
        <f>'Original Data'!$AM$71*12</f>
        <v/>
      </c>
      <c r="G12" s="21">
        <f>IF(C12=0,0,(F12/C12)^(1/3)-1)</f>
        <v/>
      </c>
      <c r="H12" s="21">
        <f>IF(F17=0,0,F12/F17)</f>
        <v/>
      </c>
      <c r="I12" s="21">
        <f>SUM(H$4:H12)</f>
        <v/>
      </c>
      <c r="J12" s="6">
        <f>D12-C12</f>
        <v/>
      </c>
      <c r="K12" s="6">
        <f>E12-D12</f>
        <v/>
      </c>
      <c r="L12" s="6">
        <f>F12-E12</f>
        <v/>
      </c>
      <c r="M12" s="21">
        <f>IF(L17=0,0,L12/L17)</f>
        <v/>
      </c>
      <c r="N12" s="22">
        <f>IF(C12=0,0,F12/C12)</f>
        <v/>
      </c>
      <c r="O12" s="21">
        <f>IF(C12=0,0,D12/C12-1)</f>
        <v/>
      </c>
      <c r="P12" s="21">
        <f>IF(D12=0,0,E12/D12-1)</f>
        <v/>
      </c>
      <c r="Q12" s="21">
        <f>IF(E12=0,0,F12/E12-1)</f>
        <v/>
      </c>
      <c r="R12" s="23" t="inlineStr">
        <is>
          <t>Jun-25</t>
        </is>
      </c>
    </row>
    <row r="13">
      <c r="A13" s="4" t="n">
        <v>10</v>
      </c>
      <c r="B13" s="4" t="inlineStr">
        <is>
          <t>91</t>
        </is>
      </c>
      <c r="C13" s="6">
        <f>'Original Data'!$C$94*12</f>
        <v/>
      </c>
      <c r="D13" s="6">
        <f>'Original Data'!$O$94*12</f>
        <v/>
      </c>
      <c r="E13" s="6">
        <f>'Original Data'!$AA$94*12</f>
        <v/>
      </c>
      <c r="F13" s="6">
        <f>'Original Data'!$AM$94*12</f>
        <v/>
      </c>
      <c r="G13" s="21">
        <f>IF(C13=0,0,(F13/C13)^(1/3)-1)</f>
        <v/>
      </c>
      <c r="H13" s="21">
        <f>IF(F17=0,0,F13/F17)</f>
        <v/>
      </c>
      <c r="I13" s="21">
        <f>SUM(H$4:H13)</f>
        <v/>
      </c>
      <c r="J13" s="6">
        <f>D13-C13</f>
        <v/>
      </c>
      <c r="K13" s="6">
        <f>E13-D13</f>
        <v/>
      </c>
      <c r="L13" s="6">
        <f>F13-E13</f>
        <v/>
      </c>
      <c r="M13" s="21">
        <f>IF(L17=0,0,L13/L17)</f>
        <v/>
      </c>
      <c r="N13" s="22">
        <f>IF(C13=0,0,F13/C13)</f>
        <v/>
      </c>
      <c r="O13" s="21">
        <f>IF(C13=0,0,D13/C13-1)</f>
        <v/>
      </c>
      <c r="P13" s="21">
        <f>IF(D13=0,0,E13/D13-1)</f>
        <v/>
      </c>
      <c r="Q13" s="21">
        <f>IF(E13=0,0,F13/E13-1)</f>
        <v/>
      </c>
      <c r="R13" s="23" t="inlineStr">
        <is>
          <t>Dec-22</t>
        </is>
      </c>
    </row>
    <row r="14">
      <c r="A14" s="7" t="n"/>
      <c r="B14" s="7" t="inlineStr">
        <is>
          <t>Total Top 10</t>
        </is>
      </c>
      <c r="C14" s="8">
        <f>SUM(C4:C13)</f>
        <v/>
      </c>
      <c r="D14" s="8">
        <f>SUM(D4:D13)</f>
        <v/>
      </c>
      <c r="E14" s="8">
        <f>SUM(E4:E13)</f>
        <v/>
      </c>
      <c r="F14" s="8">
        <f>SUM(F4:F13)</f>
        <v/>
      </c>
      <c r="G14" s="24">
        <f>IF(C14=0,0,(F14/C14)^(1/3)-1)</f>
        <v/>
      </c>
      <c r="H14" s="24">
        <f>IF(F17=0,0,F14/F17)</f>
        <v/>
      </c>
      <c r="I14" s="24">
        <f>SUM(H4:H13)</f>
        <v/>
      </c>
      <c r="J14" s="8">
        <f>SUM(J4:J13)</f>
        <v/>
      </c>
      <c r="K14" s="8">
        <f>SUM(K4:K13)</f>
        <v/>
      </c>
      <c r="L14" s="8">
        <f>SUM(L4:L13)</f>
        <v/>
      </c>
      <c r="M14" s="24">
        <f>IF(L17=0,0,L14/L17)</f>
        <v/>
      </c>
      <c r="N14" s="25">
        <f>IF(C14=0,0,F14/C14)</f>
        <v/>
      </c>
      <c r="O14" s="24">
        <f>IF(C14=0,0,D14/C14-1)</f>
        <v/>
      </c>
      <c r="P14" s="24">
        <f>IF(D14=0,0,E14/D14-1)</f>
        <v/>
      </c>
      <c r="Q14" s="24">
        <f>IF(E14=0,0,F14/E14-1)</f>
        <v/>
      </c>
      <c r="R14" s="26" t="n"/>
    </row>
    <row r="16">
      <c r="A16" s="4" t="n"/>
      <c r="B16" s="4" t="inlineStr">
        <is>
          <t>Other (90 Customers)</t>
        </is>
      </c>
      <c r="C16" s="6">
        <f>C17-C14</f>
        <v/>
      </c>
      <c r="D16" s="6">
        <f>D17-D14</f>
        <v/>
      </c>
      <c r="E16" s="6">
        <f>E17-E14</f>
        <v/>
      </c>
      <c r="F16" s="6">
        <f>F17-F14</f>
        <v/>
      </c>
      <c r="G16" s="21">
        <f>IF(C16=0,0,(F16/C16)^(1/3)-1)</f>
        <v/>
      </c>
      <c r="H16" s="21">
        <f>IF(F17=0,0,F16/F17)</f>
        <v/>
      </c>
      <c r="I16" s="21" t="inlineStr"/>
      <c r="J16" s="6">
        <f>J17-J14</f>
        <v/>
      </c>
      <c r="K16" s="6">
        <f>K17-K14</f>
        <v/>
      </c>
      <c r="L16" s="6">
        <f>L17-L14</f>
        <v/>
      </c>
      <c r="M16" s="21">
        <f>IF(L17=0,0,L16/L17)</f>
        <v/>
      </c>
      <c r="N16" s="22">
        <f>IF(C16=0,0,F16/C16)</f>
        <v/>
      </c>
      <c r="O16" s="21">
        <f>IF(C16=0,0,D16/C16-1)</f>
        <v/>
      </c>
      <c r="P16" s="21">
        <f>IF(D16=0,0,E16/D16-1)</f>
        <v/>
      </c>
      <c r="Q16" s="21">
        <f>IF(E16=0,0,F16/E16-1)</f>
        <v/>
      </c>
      <c r="R16" s="23" t="n"/>
    </row>
    <row r="17">
      <c r="A17" s="7" t="n"/>
      <c r="B17" s="7" t="inlineStr">
        <is>
          <t>Total Customers</t>
        </is>
      </c>
      <c r="C17" s="8">
        <f>SUM('Original Data'!$C$4:$C$103)*12</f>
        <v/>
      </c>
      <c r="D17" s="8">
        <f>SUM('Original Data'!$O$4:$O$103)*12</f>
        <v/>
      </c>
      <c r="E17" s="8">
        <f>SUM('Original Data'!$AA$4:$AA$103)*12</f>
        <v/>
      </c>
      <c r="F17" s="8">
        <f>SUM('Original Data'!$AM$4:$AM$103)*12</f>
        <v/>
      </c>
      <c r="G17" s="24">
        <f>IF(C17=0,0,(F17/C17)^(1/3)-1)</f>
        <v/>
      </c>
      <c r="H17" s="24">
        <f>IF(F17=0,0,F17/F17)</f>
        <v/>
      </c>
      <c r="I17" s="24">
        <f>IF(F17=0,0,F17/F17)</f>
        <v/>
      </c>
      <c r="J17" s="8">
        <f>D17-C17</f>
        <v/>
      </c>
      <c r="K17" s="8">
        <f>E17-D17</f>
        <v/>
      </c>
      <c r="L17" s="8">
        <f>F17-E17</f>
        <v/>
      </c>
      <c r="M17" s="24">
        <f>IF(L17=0,0,L17/L17)</f>
        <v/>
      </c>
      <c r="N17" s="25">
        <f>IF(C17=0,0,F17/C17)</f>
        <v/>
      </c>
      <c r="O17" s="24">
        <f>IF(C17=0,0,D17/C17-1)</f>
        <v/>
      </c>
      <c r="P17" s="24">
        <f>IF(D17=0,0,E17/D17-1)</f>
        <v/>
      </c>
      <c r="Q17" s="24">
        <f>IF(E17=0,0,F17/E17-1)</f>
        <v/>
      </c>
      <c r="R17" s="26" t="n"/>
    </row>
    <row r="19">
      <c r="A19" s="4" t="n"/>
      <c r="B19" s="4" t="inlineStr">
        <is>
          <t>Total Top 5</t>
        </is>
      </c>
      <c r="C19" s="6">
        <f>SUM(C4:C8)</f>
        <v/>
      </c>
      <c r="D19" s="6">
        <f>SUM(D4:D8)</f>
        <v/>
      </c>
      <c r="E19" s="6">
        <f>SUM(E4:E8)</f>
        <v/>
      </c>
      <c r="F19" s="6">
        <f>SUM(F4:F8)</f>
        <v/>
      </c>
      <c r="G19" s="21">
        <f>IF(C19=0,0,(F19/C19)^(1/3)-1)</f>
        <v/>
      </c>
      <c r="H19" s="21">
        <f>IF(F17=0,0,F19/F17)</f>
        <v/>
      </c>
      <c r="I19" s="21">
        <f>SUM(H4:H8)</f>
        <v/>
      </c>
      <c r="J19" s="6">
        <f>SUM(J4:J8)</f>
        <v/>
      </c>
      <c r="K19" s="6">
        <f>SUM(K4:K8)</f>
        <v/>
      </c>
      <c r="L19" s="6">
        <f>SUM(L4:L8)</f>
        <v/>
      </c>
      <c r="M19" s="21">
        <f>IF(L17=0,0,L19/L17)</f>
        <v/>
      </c>
      <c r="N19" s="22">
        <f>IF(C19=0,0,F19/C19)</f>
        <v/>
      </c>
      <c r="O19" s="21">
        <f>IF(C19=0,0,D19/C19-1)</f>
        <v/>
      </c>
      <c r="P19" s="21">
        <f>IF(D19=0,0,E19/D19-1)</f>
        <v/>
      </c>
      <c r="Q19" s="21">
        <f>IF(E19=0,0,F19/E19-1)</f>
        <v/>
      </c>
      <c r="R19" s="23" t="n"/>
    </row>
    <row r="20">
      <c r="A20" s="4" t="n"/>
      <c r="B20" s="4" t="inlineStr">
        <is>
          <t>Total Top 10</t>
        </is>
      </c>
      <c r="C20" s="6">
        <f>SUM(C4:C13)</f>
        <v/>
      </c>
      <c r="D20" s="6">
        <f>SUM(D4:D13)</f>
        <v/>
      </c>
      <c r="E20" s="6">
        <f>SUM(E4:E13)</f>
        <v/>
      </c>
      <c r="F20" s="6">
        <f>SUM(F4:F13)</f>
        <v/>
      </c>
      <c r="G20" s="21">
        <f>IF(C20=0,0,(F20/C20)^(1/3)-1)</f>
        <v/>
      </c>
      <c r="H20" s="21">
        <f>IF(F17=0,0,F20/F17)</f>
        <v/>
      </c>
      <c r="I20" s="21">
        <f>SUM(H4:H13)</f>
        <v/>
      </c>
      <c r="J20" s="6">
        <f>SUM(J4:J13)</f>
        <v/>
      </c>
      <c r="K20" s="6">
        <f>SUM(K4:K13)</f>
        <v/>
      </c>
      <c r="L20" s="6">
        <f>SUM(L4:L13)</f>
        <v/>
      </c>
      <c r="M20" s="21">
        <f>IF(L17=0,0,L20/L17)</f>
        <v/>
      </c>
      <c r="N20" s="22">
        <f>IF(C20=0,0,F20/C20)</f>
        <v/>
      </c>
      <c r="O20" s="21">
        <f>IF(C20=0,0,D20/C20-1)</f>
        <v/>
      </c>
      <c r="P20" s="21">
        <f>IF(D20=0,0,E20/D20-1)</f>
        <v/>
      </c>
      <c r="Q20" s="21">
        <f>IF(E20=0,0,F20/E20-1)</f>
        <v/>
      </c>
      <c r="R20" s="23" t="n"/>
    </row>
  </sheetData>
  <mergeCells count="4">
    <mergeCell ref="O2:Q2"/>
    <mergeCell ref="A1:R1"/>
    <mergeCell ref="C2:I2"/>
    <mergeCell ref="J2:N2"/>
  </mergeCells>
  <conditionalFormatting sqref="J4:J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4:K2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L4:L20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10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Customers</t>
        </is>
      </c>
      <c r="C3" s="27" t="n">
        <v>44926</v>
      </c>
      <c r="D3" s="27" t="n">
        <v>44957</v>
      </c>
      <c r="E3" s="27" t="n">
        <v>44985</v>
      </c>
      <c r="F3" s="27" t="n">
        <v>45016</v>
      </c>
      <c r="G3" s="27" t="n">
        <v>45046</v>
      </c>
      <c r="H3" s="27" t="n">
        <v>45077</v>
      </c>
      <c r="I3" s="27" t="n">
        <v>45107</v>
      </c>
      <c r="J3" s="27" t="n">
        <v>45138</v>
      </c>
      <c r="K3" s="27" t="n">
        <v>45169</v>
      </c>
      <c r="L3" s="27" t="n">
        <v>45199</v>
      </c>
      <c r="M3" s="27" t="n">
        <v>45230</v>
      </c>
      <c r="N3" s="27" t="n">
        <v>45260</v>
      </c>
      <c r="O3" s="27" t="n">
        <v>45291</v>
      </c>
      <c r="P3" s="27" t="n">
        <v>45322</v>
      </c>
      <c r="Q3" s="27" t="n">
        <v>45351</v>
      </c>
      <c r="R3" s="27" t="n">
        <v>45382</v>
      </c>
      <c r="S3" s="27" t="n">
        <v>45412</v>
      </c>
      <c r="T3" s="27" t="n">
        <v>45443</v>
      </c>
      <c r="U3" s="27" t="n">
        <v>45473</v>
      </c>
      <c r="V3" s="27" t="n">
        <v>45504</v>
      </c>
      <c r="W3" s="27" t="n">
        <v>45535</v>
      </c>
      <c r="X3" s="27" t="n">
        <v>45565</v>
      </c>
      <c r="Y3" s="27" t="n">
        <v>45596</v>
      </c>
      <c r="Z3" s="27" t="n">
        <v>45626</v>
      </c>
      <c r="AA3" s="27" t="n">
        <v>45657</v>
      </c>
      <c r="AB3" s="27" t="n">
        <v>45688</v>
      </c>
      <c r="AC3" s="27" t="n">
        <v>45716</v>
      </c>
      <c r="AD3" s="27" t="n">
        <v>45747</v>
      </c>
      <c r="AE3" s="27" t="n">
        <v>45777</v>
      </c>
      <c r="AF3" s="27" t="n">
        <v>45808</v>
      </c>
      <c r="AG3" s="27" t="n">
        <v>45838</v>
      </c>
      <c r="AH3" s="27" t="n">
        <v>45869</v>
      </c>
      <c r="AI3" s="27" t="n">
        <v>45900</v>
      </c>
      <c r="AJ3" s="27" t="n">
        <v>45930</v>
      </c>
      <c r="AK3" s="27" t="n">
        <v>45961</v>
      </c>
      <c r="AL3" s="27" t="n">
        <v>45991</v>
      </c>
      <c r="AM3" s="27" t="n">
        <v>46022</v>
      </c>
    </row>
    <row r="4">
      <c r="B4" t="n">
        <v>1</v>
      </c>
      <c r="C4" t="n">
        <v>179</v>
      </c>
      <c r="D4" t="n">
        <v>179</v>
      </c>
      <c r="E4" t="n">
        <v>179</v>
      </c>
      <c r="F4" t="n">
        <v>179</v>
      </c>
      <c r="G4" t="n">
        <v>179</v>
      </c>
      <c r="H4" t="n">
        <v>179</v>
      </c>
      <c r="I4" t="n">
        <v>179</v>
      </c>
      <c r="J4" t="n">
        <v>179</v>
      </c>
      <c r="K4" t="n">
        <v>179</v>
      </c>
      <c r="L4" t="n">
        <v>179</v>
      </c>
      <c r="M4" t="n">
        <v>179</v>
      </c>
      <c r="N4" t="n">
        <v>179</v>
      </c>
      <c r="O4" t="n">
        <v>179</v>
      </c>
      <c r="P4" t="n">
        <v>179</v>
      </c>
      <c r="Q4" t="n">
        <v>179</v>
      </c>
      <c r="R4" t="n">
        <v>179</v>
      </c>
      <c r="S4" t="n">
        <v>179</v>
      </c>
      <c r="T4" t="n">
        <v>179</v>
      </c>
      <c r="U4" t="n">
        <v>179</v>
      </c>
      <c r="V4" t="n">
        <v>179</v>
      </c>
      <c r="W4" t="n">
        <v>179</v>
      </c>
      <c r="X4" t="n">
        <v>179</v>
      </c>
      <c r="Y4" t="n">
        <v>179</v>
      </c>
      <c r="Z4" t="n">
        <v>179</v>
      </c>
      <c r="AA4" t="n">
        <v>185.27</v>
      </c>
      <c r="AB4" t="n">
        <v>185.27</v>
      </c>
      <c r="AC4" t="n">
        <v>185.27</v>
      </c>
      <c r="AD4" t="n">
        <v>185.27</v>
      </c>
      <c r="AE4" t="n">
        <v>185.27</v>
      </c>
      <c r="AF4" t="n">
        <v>185.27</v>
      </c>
      <c r="AG4" t="n">
        <v>185.27</v>
      </c>
      <c r="AH4" t="n">
        <v>185.27</v>
      </c>
      <c r="AI4" t="n">
        <v>185.27</v>
      </c>
      <c r="AJ4" t="n">
        <v>185.27</v>
      </c>
      <c r="AK4" t="n">
        <v>185.27</v>
      </c>
      <c r="AL4" t="n">
        <v>185.27</v>
      </c>
      <c r="AM4" t="n">
        <v>185.27</v>
      </c>
    </row>
    <row r="5">
      <c r="B5" t="n">
        <v>2</v>
      </c>
      <c r="C5" t="n">
        <v>362.15</v>
      </c>
      <c r="D5" t="n">
        <v>362.15</v>
      </c>
      <c r="E5" t="n">
        <v>359</v>
      </c>
      <c r="F5" t="n">
        <v>359</v>
      </c>
      <c r="G5" t="n">
        <v>359</v>
      </c>
      <c r="H5" t="n">
        <v>359</v>
      </c>
      <c r="I5" t="n">
        <v>359.3</v>
      </c>
      <c r="J5" t="n">
        <v>359</v>
      </c>
      <c r="K5" t="n">
        <v>359</v>
      </c>
      <c r="L5" t="n">
        <v>359</v>
      </c>
      <c r="M5" t="n">
        <v>359</v>
      </c>
      <c r="N5" t="n">
        <v>359</v>
      </c>
      <c r="O5" t="n">
        <v>359</v>
      </c>
      <c r="P5" t="n">
        <v>359</v>
      </c>
      <c r="Q5" t="n">
        <v>359</v>
      </c>
      <c r="R5" t="n">
        <v>359</v>
      </c>
      <c r="S5" t="n">
        <v>359</v>
      </c>
      <c r="T5" t="n">
        <v>359</v>
      </c>
      <c r="U5" t="n">
        <v>359</v>
      </c>
      <c r="V5" t="n">
        <v>359</v>
      </c>
      <c r="W5" t="n">
        <v>359</v>
      </c>
      <c r="X5" t="n">
        <v>359</v>
      </c>
      <c r="Y5" t="n">
        <v>359</v>
      </c>
      <c r="Z5" t="n">
        <v>359</v>
      </c>
      <c r="AA5" t="n">
        <v>359</v>
      </c>
      <c r="AB5" t="n">
        <v>399</v>
      </c>
      <c r="AC5" t="n">
        <v>399</v>
      </c>
      <c r="AD5" t="n">
        <v>399</v>
      </c>
      <c r="AE5" t="n">
        <v>399</v>
      </c>
      <c r="AF5" t="n">
        <v>399</v>
      </c>
      <c r="AG5" t="n">
        <v>399</v>
      </c>
      <c r="AH5" t="n">
        <v>399</v>
      </c>
      <c r="AI5" t="n">
        <v>399</v>
      </c>
      <c r="AJ5" t="n">
        <v>399</v>
      </c>
      <c r="AK5" t="n">
        <v>399</v>
      </c>
      <c r="AL5" t="n">
        <v>399</v>
      </c>
      <c r="AM5" t="n">
        <v>399</v>
      </c>
    </row>
    <row r="6">
      <c r="B6" t="n">
        <v>3</v>
      </c>
      <c r="C6" t="n">
        <v>296.1</v>
      </c>
      <c r="D6" t="n">
        <v>296.1</v>
      </c>
      <c r="E6" t="n">
        <v>296.1</v>
      </c>
      <c r="F6" t="n">
        <v>296.1</v>
      </c>
      <c r="G6" t="n">
        <v>296.1</v>
      </c>
      <c r="H6" t="n">
        <v>296.1</v>
      </c>
      <c r="I6" t="n">
        <v>296.1</v>
      </c>
      <c r="J6" t="n">
        <v>296.1</v>
      </c>
      <c r="K6" t="n">
        <v>296.1</v>
      </c>
      <c r="L6" t="n">
        <v>296.1</v>
      </c>
      <c r="M6" t="n">
        <v>296.1</v>
      </c>
      <c r="N6" t="n">
        <v>296.1</v>
      </c>
      <c r="O6" t="n">
        <v>296.1</v>
      </c>
      <c r="P6" t="n">
        <v>296.1</v>
      </c>
      <c r="Q6" t="n">
        <v>296.1</v>
      </c>
      <c r="R6" t="n">
        <v>296.1</v>
      </c>
      <c r="S6" t="n">
        <v>296.1</v>
      </c>
      <c r="T6" t="n">
        <v>296.1</v>
      </c>
      <c r="U6" t="n">
        <v>296.1</v>
      </c>
      <c r="V6" t="n">
        <v>296.1</v>
      </c>
      <c r="W6" t="n">
        <v>296.1</v>
      </c>
      <c r="X6" t="n">
        <v>296.1</v>
      </c>
      <c r="Y6" t="n">
        <v>296.1</v>
      </c>
      <c r="Z6" t="n">
        <v>296.1</v>
      </c>
      <c r="AA6" t="n">
        <v>296.1</v>
      </c>
      <c r="AB6" t="n">
        <v>296.1</v>
      </c>
      <c r="AC6" t="n">
        <v>296.1</v>
      </c>
      <c r="AD6" t="n">
        <v>296.1</v>
      </c>
      <c r="AE6" t="n">
        <v>306.46</v>
      </c>
      <c r="AF6" t="n">
        <v>306.46</v>
      </c>
      <c r="AG6" t="n">
        <v>306.46</v>
      </c>
      <c r="AH6" t="n">
        <v>306.46</v>
      </c>
      <c r="AI6" t="n">
        <v>306.46</v>
      </c>
      <c r="AJ6" t="n">
        <v>306.46</v>
      </c>
      <c r="AK6" t="n">
        <v>306.46</v>
      </c>
      <c r="AL6" t="n">
        <v>306.46</v>
      </c>
      <c r="AM6" t="n">
        <v>306.46</v>
      </c>
    </row>
    <row r="7">
      <c r="B7" t="n">
        <v>4</v>
      </c>
      <c r="C7" t="n">
        <v>289</v>
      </c>
      <c r="D7" t="n">
        <v>289</v>
      </c>
      <c r="E7" t="n">
        <v>289</v>
      </c>
      <c r="F7" t="n">
        <v>289</v>
      </c>
      <c r="G7" t="n">
        <v>289</v>
      </c>
      <c r="H7" t="n">
        <v>289</v>
      </c>
      <c r="I7" t="n">
        <v>289</v>
      </c>
      <c r="J7" t="n">
        <v>289</v>
      </c>
      <c r="K7" t="n">
        <v>289</v>
      </c>
      <c r="L7" t="n">
        <v>289</v>
      </c>
      <c r="M7" t="n">
        <v>289</v>
      </c>
      <c r="N7" t="n">
        <v>289</v>
      </c>
      <c r="O7" t="n">
        <v>289</v>
      </c>
      <c r="P7" t="n">
        <v>289</v>
      </c>
      <c r="Q7" t="n">
        <v>289</v>
      </c>
      <c r="R7" t="n">
        <v>289</v>
      </c>
      <c r="S7" t="n">
        <v>289</v>
      </c>
      <c r="T7" t="n">
        <v>289</v>
      </c>
      <c r="U7" t="n">
        <v>289</v>
      </c>
      <c r="V7" t="n">
        <v>289</v>
      </c>
      <c r="W7" t="n">
        <v>289</v>
      </c>
      <c r="X7" t="n">
        <v>289</v>
      </c>
      <c r="Y7" t="n">
        <v>289</v>
      </c>
      <c r="Z7" t="n">
        <v>289</v>
      </c>
      <c r="AA7" t="n">
        <v>289</v>
      </c>
      <c r="AB7" t="n">
        <v>289</v>
      </c>
      <c r="AC7" t="n">
        <v>289</v>
      </c>
      <c r="AD7" t="n">
        <v>289</v>
      </c>
      <c r="AE7" t="n">
        <v>289</v>
      </c>
      <c r="AF7" t="n">
        <v>289</v>
      </c>
      <c r="AG7" t="n">
        <v>289</v>
      </c>
      <c r="AH7" t="n">
        <v>289</v>
      </c>
      <c r="AI7" t="n">
        <v>289</v>
      </c>
      <c r="AJ7" t="n">
        <v>289</v>
      </c>
      <c r="AK7" t="n">
        <v>289</v>
      </c>
      <c r="AL7" t="n">
        <v>289</v>
      </c>
      <c r="AM7" t="n">
        <v>289</v>
      </c>
    </row>
    <row r="8">
      <c r="B8" t="n">
        <v>5</v>
      </c>
      <c r="C8" t="n">
        <v>223</v>
      </c>
      <c r="D8" t="n">
        <v>223</v>
      </c>
      <c r="E8" t="n">
        <v>223</v>
      </c>
      <c r="F8" t="n">
        <v>223</v>
      </c>
      <c r="G8" t="n">
        <v>223</v>
      </c>
      <c r="H8" t="n">
        <v>223</v>
      </c>
      <c r="I8" t="n">
        <v>223</v>
      </c>
      <c r="J8" t="n">
        <v>223</v>
      </c>
      <c r="K8" t="n">
        <v>234.15</v>
      </c>
      <c r="L8" t="n">
        <v>234.15</v>
      </c>
      <c r="M8" t="n">
        <v>210.74</v>
      </c>
      <c r="N8" t="n">
        <v>210.74</v>
      </c>
      <c r="O8" t="n">
        <v>210.74</v>
      </c>
      <c r="P8" t="n">
        <v>210.74</v>
      </c>
      <c r="Q8" t="n">
        <v>210.74</v>
      </c>
      <c r="R8" t="n">
        <v>210.74</v>
      </c>
      <c r="S8" t="n">
        <v>210.74</v>
      </c>
      <c r="T8" t="n">
        <v>210.74</v>
      </c>
      <c r="U8" t="n">
        <v>210.74</v>
      </c>
      <c r="V8" t="n">
        <v>210.74</v>
      </c>
      <c r="W8" t="n">
        <v>218.12</v>
      </c>
      <c r="X8" t="n">
        <v>218.12</v>
      </c>
      <c r="Y8" t="n">
        <v>218.12</v>
      </c>
      <c r="Z8" t="n">
        <v>218.12</v>
      </c>
      <c r="AA8" t="n">
        <v>218.12</v>
      </c>
      <c r="AB8" t="n">
        <v>218.12</v>
      </c>
      <c r="AC8" t="n">
        <v>218.12</v>
      </c>
      <c r="AD8" t="n">
        <v>218.12</v>
      </c>
      <c r="AE8" t="n">
        <v>218.12</v>
      </c>
      <c r="AF8" t="n">
        <v>218.12</v>
      </c>
      <c r="AG8" t="n">
        <v>218.12</v>
      </c>
      <c r="AH8" t="n">
        <v>218.12</v>
      </c>
      <c r="AI8" t="n">
        <v>218.12</v>
      </c>
      <c r="AJ8" t="n">
        <v>225.75</v>
      </c>
      <c r="AK8" t="n">
        <v>225.75</v>
      </c>
      <c r="AL8" t="n">
        <v>225.75</v>
      </c>
      <c r="AM8" t="n">
        <v>225.75</v>
      </c>
    </row>
    <row r="9">
      <c r="B9" t="n">
        <v>6</v>
      </c>
      <c r="C9" t="n">
        <v>279</v>
      </c>
      <c r="D9" t="n">
        <v>279</v>
      </c>
      <c r="E9" t="n">
        <v>279</v>
      </c>
      <c r="F9" t="n">
        <v>279</v>
      </c>
      <c r="G9" t="n">
        <v>279</v>
      </c>
      <c r="H9" t="n">
        <v>378</v>
      </c>
      <c r="I9" t="n">
        <v>279</v>
      </c>
      <c r="J9" t="n">
        <v>279</v>
      </c>
      <c r="K9" t="n">
        <v>279</v>
      </c>
      <c r="L9" t="n">
        <v>279</v>
      </c>
      <c r="M9" t="n">
        <v>279</v>
      </c>
      <c r="N9" t="n">
        <v>279</v>
      </c>
      <c r="O9" t="n">
        <v>279</v>
      </c>
      <c r="P9" t="n">
        <v>279</v>
      </c>
      <c r="Q9" t="n">
        <v>279</v>
      </c>
      <c r="R9" t="n">
        <v>279</v>
      </c>
      <c r="S9" t="n">
        <v>279</v>
      </c>
      <c r="T9" t="n">
        <v>279</v>
      </c>
      <c r="U9" t="n">
        <v>279</v>
      </c>
      <c r="V9" t="n">
        <v>279</v>
      </c>
      <c r="W9" t="n">
        <v>279</v>
      </c>
      <c r="X9" t="n">
        <v>279</v>
      </c>
      <c r="Y9" t="n">
        <v>279</v>
      </c>
      <c r="Z9" t="n">
        <v>279</v>
      </c>
      <c r="AA9" t="n">
        <v>279</v>
      </c>
      <c r="AB9" t="n">
        <v>279</v>
      </c>
      <c r="AC9" t="n">
        <v>279</v>
      </c>
      <c r="AD9" t="n">
        <v>279</v>
      </c>
      <c r="AE9" t="n">
        <v>279</v>
      </c>
      <c r="AF9" t="n">
        <v>288.77</v>
      </c>
      <c r="AG9" t="n">
        <v>288.77</v>
      </c>
      <c r="AH9" t="n">
        <v>288.77</v>
      </c>
      <c r="AI9" t="n">
        <v>288.77</v>
      </c>
      <c r="AJ9" t="n">
        <v>288.77</v>
      </c>
      <c r="AK9" t="n">
        <v>288.77</v>
      </c>
      <c r="AL9" t="n">
        <v>288.77</v>
      </c>
      <c r="AM9" t="n">
        <v>288.77</v>
      </c>
    </row>
    <row r="10">
      <c r="B10" t="n">
        <v>7</v>
      </c>
      <c r="C10" t="n">
        <v>170.05</v>
      </c>
      <c r="D10" t="n">
        <v>170.05</v>
      </c>
      <c r="E10" t="n">
        <v>170.05</v>
      </c>
      <c r="F10" t="n">
        <v>170.05</v>
      </c>
      <c r="G10" t="n">
        <v>170.05</v>
      </c>
      <c r="H10" t="n">
        <v>170.05</v>
      </c>
      <c r="I10" t="n">
        <v>170.05</v>
      </c>
      <c r="J10" t="n">
        <v>170.05</v>
      </c>
      <c r="K10" t="n">
        <v>170.05</v>
      </c>
      <c r="L10" t="n">
        <v>170.05</v>
      </c>
      <c r="M10" t="n">
        <v>179</v>
      </c>
      <c r="N10" t="n">
        <v>179</v>
      </c>
      <c r="O10" t="n">
        <v>179</v>
      </c>
      <c r="P10" t="n">
        <v>179</v>
      </c>
      <c r="Q10" t="n">
        <v>179</v>
      </c>
      <c r="R10" t="n">
        <v>179</v>
      </c>
      <c r="S10" t="n">
        <v>179</v>
      </c>
      <c r="T10" t="n">
        <v>179</v>
      </c>
      <c r="U10" t="n">
        <v>179</v>
      </c>
      <c r="V10" t="n">
        <v>179</v>
      </c>
      <c r="W10" t="n">
        <v>179</v>
      </c>
      <c r="X10" t="n">
        <v>179</v>
      </c>
      <c r="Y10" t="n">
        <v>179</v>
      </c>
      <c r="Z10" t="n">
        <v>179</v>
      </c>
      <c r="AA10" t="n">
        <v>179</v>
      </c>
      <c r="AB10" t="n">
        <v>179</v>
      </c>
      <c r="AC10" t="n">
        <v>179</v>
      </c>
      <c r="AD10" t="n">
        <v>179</v>
      </c>
      <c r="AE10" t="n">
        <v>179</v>
      </c>
      <c r="AF10" t="n">
        <v>185.27</v>
      </c>
      <c r="AG10" t="n">
        <v>185.27</v>
      </c>
      <c r="AH10" t="n">
        <v>185.27</v>
      </c>
      <c r="AI10" t="n">
        <v>185.27</v>
      </c>
      <c r="AJ10" t="n">
        <v>185.27</v>
      </c>
      <c r="AK10" t="n">
        <v>185.27</v>
      </c>
      <c r="AL10" t="n">
        <v>185.27</v>
      </c>
      <c r="AM10" t="n">
        <v>185.27</v>
      </c>
    </row>
    <row r="11">
      <c r="B11" t="n">
        <v>8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99</v>
      </c>
      <c r="K11" t="n">
        <v>99</v>
      </c>
      <c r="L11" t="n">
        <v>99</v>
      </c>
      <c r="M11" t="n">
        <v>99</v>
      </c>
      <c r="N11" t="n">
        <v>99</v>
      </c>
      <c r="O11" t="n">
        <v>99</v>
      </c>
      <c r="P11" t="n">
        <v>28.71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B12" t="n">
        <v>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229</v>
      </c>
      <c r="J12" t="n">
        <v>229</v>
      </c>
      <c r="K12" t="n">
        <v>229</v>
      </c>
      <c r="L12" t="n">
        <v>229</v>
      </c>
      <c r="M12" t="n">
        <v>229</v>
      </c>
      <c r="N12" t="n">
        <v>229</v>
      </c>
      <c r="O12" t="n">
        <v>229</v>
      </c>
      <c r="P12" t="n">
        <v>229</v>
      </c>
      <c r="Q12" t="n">
        <v>229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  <c r="Z12" t="n">
        <v>229</v>
      </c>
      <c r="AA12" t="n">
        <v>229</v>
      </c>
      <c r="AB12" t="n">
        <v>229</v>
      </c>
      <c r="AC12" t="n">
        <v>229</v>
      </c>
      <c r="AD12" t="n">
        <v>229</v>
      </c>
      <c r="AE12" t="n">
        <v>229</v>
      </c>
      <c r="AF12" t="n">
        <v>229</v>
      </c>
      <c r="AG12" t="n">
        <v>229</v>
      </c>
      <c r="AH12" t="n">
        <v>229</v>
      </c>
      <c r="AI12" t="n">
        <v>237.02</v>
      </c>
      <c r="AJ12" t="n">
        <v>237.02</v>
      </c>
      <c r="AK12" t="n">
        <v>237.02</v>
      </c>
      <c r="AL12" t="n">
        <v>237.02</v>
      </c>
      <c r="AM12" t="n">
        <v>237.02</v>
      </c>
    </row>
    <row r="13">
      <c r="B13" t="n">
        <v>10</v>
      </c>
      <c r="C13" t="n">
        <v>279</v>
      </c>
      <c r="D13" t="n">
        <v>279</v>
      </c>
      <c r="E13" t="n">
        <v>279</v>
      </c>
      <c r="F13" t="n">
        <v>279</v>
      </c>
      <c r="G13" t="n">
        <v>279</v>
      </c>
      <c r="H13" t="n">
        <v>279</v>
      </c>
      <c r="I13" t="n">
        <v>179</v>
      </c>
      <c r="J13" t="n">
        <v>179</v>
      </c>
      <c r="K13" t="n">
        <v>179</v>
      </c>
      <c r="L13" t="n">
        <v>179</v>
      </c>
      <c r="M13" t="n">
        <v>179</v>
      </c>
      <c r="N13" t="n">
        <v>179</v>
      </c>
      <c r="O13" t="n">
        <v>179</v>
      </c>
      <c r="P13" t="n">
        <v>179</v>
      </c>
      <c r="Q13" t="n">
        <v>179</v>
      </c>
      <c r="R13" t="n">
        <v>179</v>
      </c>
      <c r="S13" t="n">
        <v>179</v>
      </c>
      <c r="T13" t="n">
        <v>179</v>
      </c>
      <c r="U13" t="n">
        <v>179</v>
      </c>
      <c r="V13" t="n">
        <v>179</v>
      </c>
      <c r="W13" t="n">
        <v>179</v>
      </c>
      <c r="X13" t="n">
        <v>179</v>
      </c>
      <c r="Y13" t="n">
        <v>179</v>
      </c>
      <c r="Z13" t="n">
        <v>179</v>
      </c>
      <c r="AA13" t="n">
        <v>179</v>
      </c>
      <c r="AB13" t="n">
        <v>179</v>
      </c>
      <c r="AC13" t="n">
        <v>179</v>
      </c>
      <c r="AD13" t="n">
        <v>179</v>
      </c>
      <c r="AE13" t="n">
        <v>179</v>
      </c>
      <c r="AF13" t="n">
        <v>179</v>
      </c>
      <c r="AG13" t="n">
        <v>179</v>
      </c>
      <c r="AH13" t="n">
        <v>179</v>
      </c>
      <c r="AI13" t="n">
        <v>179</v>
      </c>
      <c r="AJ13" t="n">
        <v>185.27</v>
      </c>
      <c r="AK13" t="n">
        <v>185.27</v>
      </c>
      <c r="AL13" t="n">
        <v>185.27</v>
      </c>
      <c r="AM13" t="n">
        <v>185.27</v>
      </c>
    </row>
    <row r="14">
      <c r="B14" t="n">
        <v>11</v>
      </c>
      <c r="C14" t="n">
        <v>170.05</v>
      </c>
      <c r="D14" t="n">
        <v>170.05</v>
      </c>
      <c r="E14" t="n">
        <v>170.05</v>
      </c>
      <c r="F14" t="n">
        <v>170.05</v>
      </c>
      <c r="G14" t="n">
        <v>170.05</v>
      </c>
      <c r="H14" t="n">
        <v>170.05</v>
      </c>
      <c r="I14" t="n">
        <v>170.05</v>
      </c>
      <c r="J14" t="n">
        <v>170.05</v>
      </c>
      <c r="K14" t="n">
        <v>170.05</v>
      </c>
      <c r="L14" t="n">
        <v>170.05</v>
      </c>
      <c r="M14" t="n">
        <v>179</v>
      </c>
      <c r="N14" t="n">
        <v>179</v>
      </c>
      <c r="O14" t="n">
        <v>179</v>
      </c>
      <c r="P14" t="n">
        <v>179</v>
      </c>
      <c r="Q14" t="n">
        <v>179</v>
      </c>
      <c r="R14" t="n">
        <v>179</v>
      </c>
      <c r="S14" t="n">
        <v>179</v>
      </c>
      <c r="T14" t="n">
        <v>179</v>
      </c>
      <c r="U14" t="n">
        <v>179</v>
      </c>
      <c r="V14" t="n">
        <v>179</v>
      </c>
      <c r="W14" t="n">
        <v>179</v>
      </c>
      <c r="X14" t="n">
        <v>179</v>
      </c>
      <c r="Y14" t="n">
        <v>179</v>
      </c>
      <c r="Z14" t="n">
        <v>179</v>
      </c>
      <c r="AA14" t="n">
        <v>179</v>
      </c>
      <c r="AB14" t="n">
        <v>179</v>
      </c>
      <c r="AC14" t="n">
        <v>179</v>
      </c>
      <c r="AD14" t="n">
        <v>179</v>
      </c>
      <c r="AE14" t="n">
        <v>179</v>
      </c>
      <c r="AF14" t="n">
        <v>179</v>
      </c>
      <c r="AG14" t="n">
        <v>179</v>
      </c>
      <c r="AH14" t="n">
        <v>179</v>
      </c>
      <c r="AI14" t="n">
        <v>179</v>
      </c>
      <c r="AJ14" t="n">
        <v>179</v>
      </c>
      <c r="AK14" t="n">
        <v>179</v>
      </c>
      <c r="AL14" t="n">
        <v>179</v>
      </c>
      <c r="AM14" t="n">
        <v>179</v>
      </c>
    </row>
    <row r="15">
      <c r="B15" t="n">
        <v>12</v>
      </c>
      <c r="C15" t="n">
        <v>284.05</v>
      </c>
      <c r="D15" t="n">
        <v>284.05</v>
      </c>
      <c r="E15" t="n">
        <v>284.05</v>
      </c>
      <c r="F15" t="n">
        <v>284.05</v>
      </c>
      <c r="G15" t="n">
        <v>284.05</v>
      </c>
      <c r="H15" t="n">
        <v>284.05</v>
      </c>
      <c r="I15" t="n">
        <v>290.03</v>
      </c>
      <c r="J15" t="n">
        <v>290.03</v>
      </c>
      <c r="K15" t="n">
        <v>290.03</v>
      </c>
      <c r="L15" t="n">
        <v>290.03</v>
      </c>
      <c r="M15" t="n">
        <v>281.33</v>
      </c>
      <c r="N15" t="n">
        <v>281.33</v>
      </c>
      <c r="O15" t="n">
        <v>281.33</v>
      </c>
      <c r="P15" t="n">
        <v>281.33</v>
      </c>
      <c r="Q15" t="n">
        <v>281.33</v>
      </c>
      <c r="R15" t="n">
        <v>281.33</v>
      </c>
      <c r="S15" t="n">
        <v>281.33</v>
      </c>
      <c r="T15" t="n">
        <v>290.03</v>
      </c>
      <c r="U15" t="n">
        <v>290.03</v>
      </c>
      <c r="V15" t="n">
        <v>290.03</v>
      </c>
      <c r="W15" t="n">
        <v>290.03</v>
      </c>
      <c r="X15" t="n">
        <v>290.03</v>
      </c>
      <c r="Y15" t="n">
        <v>290.03</v>
      </c>
      <c r="Z15" t="n">
        <v>300.19</v>
      </c>
      <c r="AA15" t="n">
        <v>300.19</v>
      </c>
      <c r="AB15" t="n">
        <v>300.19</v>
      </c>
      <c r="AC15" t="n">
        <v>300.19</v>
      </c>
      <c r="AD15" t="n">
        <v>300.19</v>
      </c>
      <c r="AE15" t="n">
        <v>294</v>
      </c>
      <c r="AF15" t="n">
        <v>294</v>
      </c>
      <c r="AG15" t="n">
        <v>294</v>
      </c>
      <c r="AH15" t="n">
        <v>294</v>
      </c>
      <c r="AI15" t="n">
        <v>294</v>
      </c>
      <c r="AJ15" t="n">
        <v>294</v>
      </c>
      <c r="AK15" t="n">
        <v>294</v>
      </c>
      <c r="AL15" t="n">
        <v>294</v>
      </c>
      <c r="AM15" t="n">
        <v>294</v>
      </c>
    </row>
    <row r="16">
      <c r="B16" t="n">
        <v>13</v>
      </c>
      <c r="C16" t="n">
        <v>369</v>
      </c>
      <c r="D16" t="n">
        <v>369</v>
      </c>
      <c r="E16" t="n">
        <v>369</v>
      </c>
      <c r="F16" t="n">
        <v>369</v>
      </c>
      <c r="G16" t="n">
        <v>369</v>
      </c>
      <c r="H16" t="n">
        <v>369</v>
      </c>
      <c r="I16" t="n">
        <v>369</v>
      </c>
      <c r="J16" t="n">
        <v>369</v>
      </c>
      <c r="K16" t="n">
        <v>369</v>
      </c>
      <c r="L16" t="n">
        <v>369</v>
      </c>
      <c r="M16" t="n">
        <v>369</v>
      </c>
      <c r="N16" t="n">
        <v>369</v>
      </c>
      <c r="O16" t="n">
        <v>369</v>
      </c>
      <c r="P16" t="n">
        <v>369</v>
      </c>
      <c r="Q16" t="n">
        <v>369</v>
      </c>
      <c r="R16" t="n">
        <v>369</v>
      </c>
      <c r="S16" t="n">
        <v>369</v>
      </c>
      <c r="T16" t="n">
        <v>369</v>
      </c>
      <c r="U16" t="n">
        <v>369</v>
      </c>
      <c r="V16" t="n">
        <v>369</v>
      </c>
      <c r="W16" t="n">
        <v>369</v>
      </c>
      <c r="X16" t="n">
        <v>369</v>
      </c>
      <c r="Y16" t="n">
        <v>369</v>
      </c>
      <c r="Z16" t="n">
        <v>369</v>
      </c>
      <c r="AA16" t="n">
        <v>381.92</v>
      </c>
      <c r="AB16" t="n">
        <v>381.92</v>
      </c>
      <c r="AC16" t="n">
        <v>381.92</v>
      </c>
      <c r="AD16" t="n">
        <v>381.92</v>
      </c>
      <c r="AE16" t="n">
        <v>381.92</v>
      </c>
      <c r="AF16" t="n">
        <v>381.92</v>
      </c>
      <c r="AG16" t="n">
        <v>381.92</v>
      </c>
      <c r="AH16" t="n">
        <v>381.92</v>
      </c>
      <c r="AI16" t="n">
        <v>381.92</v>
      </c>
      <c r="AJ16" t="n">
        <v>381.92</v>
      </c>
      <c r="AK16" t="n">
        <v>381.92</v>
      </c>
      <c r="AL16" t="n">
        <v>381.92</v>
      </c>
      <c r="AM16" t="n">
        <v>381.92</v>
      </c>
    </row>
    <row r="17">
      <c r="B17" t="n">
        <v>14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279</v>
      </c>
      <c r="J17" t="n">
        <v>279</v>
      </c>
      <c r="K17" t="n">
        <v>279</v>
      </c>
      <c r="L17" t="n">
        <v>279</v>
      </c>
      <c r="M17" t="n">
        <v>279</v>
      </c>
      <c r="N17" t="n">
        <v>279</v>
      </c>
      <c r="O17" t="n">
        <v>279</v>
      </c>
      <c r="P17" t="n">
        <v>279</v>
      </c>
      <c r="Q17" t="n">
        <v>279</v>
      </c>
      <c r="R17" t="n">
        <v>279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  <c r="Z17" t="n">
        <v>279</v>
      </c>
      <c r="AA17" t="n">
        <v>279</v>
      </c>
      <c r="AB17" t="n">
        <v>279</v>
      </c>
      <c r="AC17" t="n">
        <v>279</v>
      </c>
      <c r="AD17" t="n">
        <v>288.77</v>
      </c>
      <c r="AE17" t="n">
        <v>288.77</v>
      </c>
      <c r="AF17" t="n">
        <v>288.77</v>
      </c>
      <c r="AG17" t="n">
        <v>288.77</v>
      </c>
      <c r="AH17" t="n">
        <v>288.77</v>
      </c>
      <c r="AI17" t="n">
        <v>288.77</v>
      </c>
      <c r="AJ17" t="n">
        <v>288.77</v>
      </c>
      <c r="AK17" t="n">
        <v>288.77</v>
      </c>
      <c r="AL17" t="n">
        <v>288.77</v>
      </c>
      <c r="AM17" t="n">
        <v>288.77</v>
      </c>
    </row>
    <row r="18">
      <c r="B18" t="n">
        <v>15</v>
      </c>
      <c r="C18" t="n">
        <v>179</v>
      </c>
      <c r="D18" t="n">
        <v>179</v>
      </c>
      <c r="E18" t="n">
        <v>179</v>
      </c>
      <c r="F18" t="n">
        <v>179</v>
      </c>
      <c r="G18" t="n">
        <v>179</v>
      </c>
      <c r="H18" t="n">
        <v>179</v>
      </c>
      <c r="I18" t="n">
        <v>179</v>
      </c>
      <c r="J18" t="n">
        <v>179</v>
      </c>
      <c r="K18" t="n">
        <v>179</v>
      </c>
      <c r="L18" t="n">
        <v>179</v>
      </c>
      <c r="M18" t="n">
        <v>179</v>
      </c>
      <c r="N18" t="n">
        <v>179</v>
      </c>
      <c r="O18" t="n">
        <v>179</v>
      </c>
      <c r="P18" t="n">
        <v>179</v>
      </c>
      <c r="Q18" t="n">
        <v>179</v>
      </c>
      <c r="R18" t="n">
        <v>179</v>
      </c>
      <c r="S18" t="n">
        <v>179</v>
      </c>
      <c r="T18" t="n">
        <v>179</v>
      </c>
      <c r="U18" t="n">
        <v>179</v>
      </c>
      <c r="V18" t="n">
        <v>179</v>
      </c>
      <c r="W18" t="n">
        <v>179</v>
      </c>
      <c r="X18" t="n">
        <v>179</v>
      </c>
      <c r="Y18" t="n">
        <v>179</v>
      </c>
      <c r="Z18" t="n">
        <v>179</v>
      </c>
      <c r="AA18" t="n">
        <v>179</v>
      </c>
      <c r="AB18" t="n">
        <v>179</v>
      </c>
      <c r="AC18" t="n">
        <v>179</v>
      </c>
      <c r="AD18" t="n">
        <v>185.27</v>
      </c>
      <c r="AE18" t="n">
        <v>185.27</v>
      </c>
      <c r="AF18" t="n">
        <v>185.27</v>
      </c>
      <c r="AG18" t="n">
        <v>179</v>
      </c>
      <c r="AH18" t="n">
        <v>179</v>
      </c>
      <c r="AI18" t="n">
        <v>179</v>
      </c>
      <c r="AJ18" t="n">
        <v>179</v>
      </c>
      <c r="AK18" t="n">
        <v>179</v>
      </c>
      <c r="AL18" t="n">
        <v>179</v>
      </c>
      <c r="AM18" t="n">
        <v>179</v>
      </c>
    </row>
    <row r="19">
      <c r="B19" t="n">
        <v>16</v>
      </c>
      <c r="C19" t="n">
        <v>128</v>
      </c>
      <c r="D19" t="n">
        <v>128</v>
      </c>
      <c r="E19" t="n">
        <v>128</v>
      </c>
      <c r="F19" t="n">
        <v>128</v>
      </c>
      <c r="G19" t="n">
        <v>128</v>
      </c>
      <c r="H19" t="n">
        <v>128</v>
      </c>
      <c r="I19" t="n">
        <v>128</v>
      </c>
      <c r="J19" t="n">
        <v>128</v>
      </c>
      <c r="K19" t="n">
        <v>128</v>
      </c>
      <c r="L19" t="n">
        <v>128</v>
      </c>
      <c r="M19" t="n">
        <v>128</v>
      </c>
      <c r="N19" t="n">
        <v>128</v>
      </c>
      <c r="O19" t="n">
        <v>128</v>
      </c>
      <c r="P19" t="n">
        <v>128</v>
      </c>
      <c r="Q19" t="n">
        <v>128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B20" t="n">
        <v>17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279</v>
      </c>
      <c r="J20" t="n">
        <v>279</v>
      </c>
      <c r="K20" t="n">
        <v>279</v>
      </c>
      <c r="L20" t="n">
        <v>279</v>
      </c>
      <c r="M20" t="n">
        <v>279</v>
      </c>
      <c r="N20" t="n">
        <v>279</v>
      </c>
      <c r="O20" t="n">
        <v>279</v>
      </c>
      <c r="P20" t="n">
        <v>279</v>
      </c>
      <c r="Q20" t="n">
        <v>279</v>
      </c>
      <c r="R20" t="n">
        <v>279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  <c r="Z20" t="n">
        <v>279</v>
      </c>
      <c r="AA20" t="n">
        <v>279</v>
      </c>
      <c r="AB20" t="n">
        <v>279</v>
      </c>
      <c r="AC20" t="n">
        <v>279</v>
      </c>
      <c r="AD20" t="n">
        <v>279</v>
      </c>
      <c r="AE20" t="n">
        <v>288.77</v>
      </c>
      <c r="AF20" t="n">
        <v>288.77</v>
      </c>
      <c r="AG20" t="n">
        <v>288.77</v>
      </c>
      <c r="AH20" t="n">
        <v>288.77</v>
      </c>
      <c r="AI20" t="n">
        <v>288.77</v>
      </c>
      <c r="AJ20" t="n">
        <v>288.77</v>
      </c>
      <c r="AK20" t="n">
        <v>288.77</v>
      </c>
      <c r="AL20" t="n">
        <v>288.77</v>
      </c>
      <c r="AM20" t="n">
        <v>288.77</v>
      </c>
    </row>
    <row r="21">
      <c r="B21" t="n">
        <v>18</v>
      </c>
      <c r="C21" t="n">
        <v>245.65</v>
      </c>
      <c r="D21" t="n">
        <v>245.65</v>
      </c>
      <c r="E21" t="n">
        <v>245.65</v>
      </c>
      <c r="F21" t="n">
        <v>245.65</v>
      </c>
      <c r="G21" t="n">
        <v>245.65</v>
      </c>
      <c r="H21" t="n">
        <v>245.65</v>
      </c>
      <c r="I21" t="n">
        <v>245.65</v>
      </c>
      <c r="J21" t="n">
        <v>245.65</v>
      </c>
      <c r="K21" t="n">
        <v>245.65</v>
      </c>
      <c r="L21" t="n">
        <v>245.65</v>
      </c>
      <c r="M21" t="n">
        <v>245.65</v>
      </c>
      <c r="N21" t="n">
        <v>245.65</v>
      </c>
      <c r="O21" t="n">
        <v>245.65</v>
      </c>
      <c r="P21" t="n">
        <v>245.65</v>
      </c>
      <c r="Q21" t="n">
        <v>245.65</v>
      </c>
      <c r="R21" t="n">
        <v>245.65</v>
      </c>
      <c r="S21" t="n">
        <v>245.65</v>
      </c>
      <c r="T21" t="n">
        <v>245.65</v>
      </c>
      <c r="U21" t="n">
        <v>245.65</v>
      </c>
      <c r="V21" t="n">
        <v>245.65</v>
      </c>
      <c r="W21" t="n">
        <v>245.65</v>
      </c>
      <c r="X21" t="n">
        <v>245.65</v>
      </c>
      <c r="Y21" t="n">
        <v>245.65</v>
      </c>
      <c r="Z21" t="n">
        <v>245.65</v>
      </c>
      <c r="AA21" t="n">
        <v>245.65</v>
      </c>
      <c r="AB21" t="n">
        <v>245.65</v>
      </c>
      <c r="AC21" t="n">
        <v>245.65</v>
      </c>
      <c r="AD21" t="n">
        <v>254.25</v>
      </c>
      <c r="AE21" t="n">
        <v>254.25</v>
      </c>
      <c r="AF21" t="n">
        <v>254.25</v>
      </c>
      <c r="AG21" t="n">
        <v>254.25</v>
      </c>
      <c r="AH21" t="n">
        <v>254.25</v>
      </c>
      <c r="AI21" t="n">
        <v>254.25</v>
      </c>
      <c r="AJ21" t="n">
        <v>254.25</v>
      </c>
      <c r="AK21" t="n">
        <v>254.25</v>
      </c>
      <c r="AL21" t="n">
        <v>254.25</v>
      </c>
      <c r="AM21" t="n">
        <v>254.25</v>
      </c>
    </row>
    <row r="22">
      <c r="B22" t="n">
        <v>19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  <c r="Z22" t="n">
        <v>116</v>
      </c>
      <c r="AA22" t="n">
        <v>116</v>
      </c>
      <c r="AB22" t="n">
        <v>116</v>
      </c>
      <c r="AC22" t="n">
        <v>116</v>
      </c>
      <c r="AD22" t="n">
        <v>116</v>
      </c>
      <c r="AE22" t="n">
        <v>116</v>
      </c>
      <c r="AF22" t="n">
        <v>116</v>
      </c>
      <c r="AG22" t="n">
        <v>116</v>
      </c>
      <c r="AH22" t="n">
        <v>116</v>
      </c>
      <c r="AI22" t="n">
        <v>116</v>
      </c>
      <c r="AJ22" t="n">
        <v>116</v>
      </c>
      <c r="AK22" t="n">
        <v>116</v>
      </c>
      <c r="AL22" t="n">
        <v>116</v>
      </c>
      <c r="AM22" t="n">
        <v>116</v>
      </c>
    </row>
    <row r="23">
      <c r="B23" t="n">
        <v>20</v>
      </c>
      <c r="C23" t="n">
        <v>170.05</v>
      </c>
      <c r="D23" t="n">
        <v>170.05</v>
      </c>
      <c r="E23" t="n">
        <v>170.05</v>
      </c>
      <c r="F23" t="n">
        <v>170.05</v>
      </c>
      <c r="G23" t="n">
        <v>170.05</v>
      </c>
      <c r="H23" t="n">
        <v>170.05</v>
      </c>
      <c r="I23" t="n">
        <v>170.05</v>
      </c>
      <c r="J23" t="n">
        <v>170.05</v>
      </c>
      <c r="K23" t="n">
        <v>170.05</v>
      </c>
      <c r="L23" t="n">
        <v>170.05</v>
      </c>
      <c r="M23" t="n">
        <v>179</v>
      </c>
      <c r="N23" t="n">
        <v>179</v>
      </c>
      <c r="O23" t="n">
        <v>179</v>
      </c>
      <c r="P23" t="n">
        <v>179</v>
      </c>
      <c r="Q23" t="n">
        <v>179</v>
      </c>
      <c r="R23" t="n">
        <v>179</v>
      </c>
      <c r="S23" t="n">
        <v>179</v>
      </c>
      <c r="T23" t="n">
        <v>179</v>
      </c>
      <c r="U23" t="n">
        <v>179</v>
      </c>
      <c r="V23" t="n">
        <v>179</v>
      </c>
      <c r="W23" t="n">
        <v>179</v>
      </c>
      <c r="X23" t="n">
        <v>179</v>
      </c>
      <c r="Y23" t="n">
        <v>179</v>
      </c>
      <c r="Z23" t="n">
        <v>179</v>
      </c>
      <c r="AA23" t="n">
        <v>179</v>
      </c>
      <c r="AB23" t="n">
        <v>179</v>
      </c>
      <c r="AC23" t="n">
        <v>179</v>
      </c>
      <c r="AD23" t="n">
        <v>179</v>
      </c>
      <c r="AE23" t="n">
        <v>179</v>
      </c>
      <c r="AF23" t="n">
        <v>179</v>
      </c>
      <c r="AG23" t="n">
        <v>185.27</v>
      </c>
      <c r="AH23" t="n">
        <v>185.27</v>
      </c>
      <c r="AI23" t="n">
        <v>185.27</v>
      </c>
      <c r="AJ23" t="n">
        <v>185.27</v>
      </c>
      <c r="AK23" t="n">
        <v>185.27</v>
      </c>
      <c r="AL23" t="n">
        <v>185.27</v>
      </c>
      <c r="AM23" t="n">
        <v>185.27</v>
      </c>
    </row>
    <row r="24">
      <c r="B24" t="n">
        <v>21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279</v>
      </c>
      <c r="L24" t="n">
        <v>279</v>
      </c>
      <c r="M24" t="n">
        <v>279</v>
      </c>
      <c r="N24" t="n">
        <v>279</v>
      </c>
      <c r="O24" t="n">
        <v>279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  <c r="Z24" t="n">
        <v>279</v>
      </c>
      <c r="AA24" t="n">
        <v>279</v>
      </c>
      <c r="AB24" t="n">
        <v>279</v>
      </c>
      <c r="AC24" t="n">
        <v>279</v>
      </c>
      <c r="AD24" t="n">
        <v>279</v>
      </c>
      <c r="AE24" t="n">
        <v>279</v>
      </c>
      <c r="AF24" t="n">
        <v>279</v>
      </c>
      <c r="AG24" t="n">
        <v>288.77</v>
      </c>
      <c r="AH24" t="n">
        <v>288.77</v>
      </c>
      <c r="AI24" t="n">
        <v>288.77</v>
      </c>
      <c r="AJ24" t="n">
        <v>288.77</v>
      </c>
      <c r="AK24" t="n">
        <v>288.77</v>
      </c>
      <c r="AL24" t="n">
        <v>288.77</v>
      </c>
      <c r="AM24" t="n">
        <v>288.77</v>
      </c>
    </row>
    <row r="25">
      <c r="B25" t="n">
        <v>22</v>
      </c>
      <c r="C25" t="n">
        <v>299</v>
      </c>
      <c r="D25" t="n">
        <v>299</v>
      </c>
      <c r="E25" t="n">
        <v>299</v>
      </c>
      <c r="F25" t="n">
        <v>299</v>
      </c>
      <c r="G25" t="n">
        <v>299</v>
      </c>
      <c r="H25" t="n">
        <v>299</v>
      </c>
      <c r="I25" t="n">
        <v>299</v>
      </c>
      <c r="J25" t="n">
        <v>299</v>
      </c>
      <c r="K25" t="n">
        <v>299</v>
      </c>
      <c r="L25" t="n">
        <v>299</v>
      </c>
      <c r="M25" t="n">
        <v>299</v>
      </c>
      <c r="N25" t="n">
        <v>299</v>
      </c>
      <c r="O25" t="n">
        <v>299</v>
      </c>
      <c r="P25" t="n">
        <v>299</v>
      </c>
      <c r="Q25" t="n">
        <v>299</v>
      </c>
      <c r="R25" t="n">
        <v>299</v>
      </c>
      <c r="S25" t="n">
        <v>299</v>
      </c>
      <c r="T25" t="n">
        <v>299</v>
      </c>
      <c r="U25" t="n">
        <v>299</v>
      </c>
      <c r="V25" t="n">
        <v>299</v>
      </c>
      <c r="W25" t="n">
        <v>299</v>
      </c>
      <c r="X25" t="n">
        <v>299</v>
      </c>
      <c r="Y25" t="n">
        <v>299</v>
      </c>
      <c r="Z25" t="n">
        <v>299</v>
      </c>
      <c r="AA25" t="n">
        <v>299</v>
      </c>
      <c r="AB25" t="n">
        <v>299</v>
      </c>
      <c r="AC25" t="n">
        <v>299</v>
      </c>
      <c r="AD25" t="n">
        <v>299</v>
      </c>
      <c r="AE25" t="n">
        <v>299</v>
      </c>
      <c r="AF25" t="n">
        <v>299</v>
      </c>
      <c r="AG25" t="n">
        <v>309.47</v>
      </c>
      <c r="AH25" t="n">
        <v>309.47</v>
      </c>
      <c r="AI25" t="n">
        <v>309.47</v>
      </c>
      <c r="AJ25" t="n">
        <v>309.47</v>
      </c>
      <c r="AK25" t="n">
        <v>309.47</v>
      </c>
      <c r="AL25" t="n">
        <v>309.47</v>
      </c>
      <c r="AM25" t="n">
        <v>309.47</v>
      </c>
    </row>
    <row r="26">
      <c r="B26" t="n">
        <v>23</v>
      </c>
      <c r="C26" t="n">
        <v>287.1</v>
      </c>
      <c r="D26" t="n">
        <v>287.1</v>
      </c>
      <c r="E26" t="n">
        <v>287.1</v>
      </c>
      <c r="F26" t="n">
        <v>287.1</v>
      </c>
      <c r="G26" t="n">
        <v>287.1</v>
      </c>
      <c r="H26" t="n">
        <v>287.1</v>
      </c>
      <c r="I26" t="n">
        <v>287.1</v>
      </c>
      <c r="J26" t="n">
        <v>287.1</v>
      </c>
      <c r="K26" t="n">
        <v>287.1</v>
      </c>
      <c r="L26" t="n">
        <v>287.1</v>
      </c>
      <c r="M26" t="n">
        <v>287.1</v>
      </c>
      <c r="N26" t="n">
        <v>287.1</v>
      </c>
      <c r="O26" t="n">
        <v>287.1</v>
      </c>
      <c r="P26" t="n">
        <v>287.1</v>
      </c>
      <c r="Q26" t="n">
        <v>287.1</v>
      </c>
      <c r="R26" t="n">
        <v>287.1</v>
      </c>
      <c r="S26" t="n">
        <v>287.1</v>
      </c>
      <c r="T26" t="n">
        <v>287.1</v>
      </c>
      <c r="U26" t="n">
        <v>287.1</v>
      </c>
      <c r="V26" t="n">
        <v>287.1</v>
      </c>
      <c r="W26" t="n">
        <v>287.1</v>
      </c>
      <c r="X26" t="n">
        <v>287.1</v>
      </c>
      <c r="Y26" t="n">
        <v>287.1</v>
      </c>
      <c r="Z26" t="n">
        <v>287.1</v>
      </c>
      <c r="AA26" t="n">
        <v>287.1</v>
      </c>
      <c r="AB26" t="n">
        <v>287.1</v>
      </c>
      <c r="AC26" t="n">
        <v>287.1</v>
      </c>
      <c r="AD26" t="n">
        <v>287.1</v>
      </c>
      <c r="AE26" t="n">
        <v>287.1</v>
      </c>
      <c r="AF26" t="n">
        <v>287.1</v>
      </c>
      <c r="AG26" t="n">
        <v>287.1</v>
      </c>
      <c r="AH26" t="n">
        <v>297.15</v>
      </c>
      <c r="AI26" t="n">
        <v>297.15</v>
      </c>
      <c r="AJ26" t="n">
        <v>297.15</v>
      </c>
      <c r="AK26" t="n">
        <v>297.15</v>
      </c>
      <c r="AL26" t="n">
        <v>297.15</v>
      </c>
      <c r="AM26" t="n">
        <v>297.15</v>
      </c>
    </row>
    <row r="27">
      <c r="B27" t="n">
        <v>24</v>
      </c>
      <c r="C27" t="n">
        <v>329</v>
      </c>
      <c r="D27" t="n">
        <v>329</v>
      </c>
      <c r="E27" t="n">
        <v>329</v>
      </c>
      <c r="F27" t="n">
        <v>329</v>
      </c>
      <c r="G27" t="n">
        <v>329</v>
      </c>
      <c r="H27" t="n">
        <v>329</v>
      </c>
      <c r="I27" t="n">
        <v>329</v>
      </c>
      <c r="J27" t="n">
        <v>329</v>
      </c>
      <c r="K27" t="n">
        <v>329</v>
      </c>
      <c r="L27" t="n">
        <v>329</v>
      </c>
      <c r="M27" t="n">
        <v>329</v>
      </c>
      <c r="N27" t="n">
        <v>329</v>
      </c>
      <c r="O27" t="n">
        <v>329</v>
      </c>
      <c r="P27" t="n">
        <v>329</v>
      </c>
      <c r="Q27" t="n">
        <v>329</v>
      </c>
      <c r="R27" t="n">
        <v>329</v>
      </c>
      <c r="S27" t="n">
        <v>329</v>
      </c>
      <c r="T27" t="n">
        <v>329</v>
      </c>
      <c r="U27" t="n">
        <v>329</v>
      </c>
      <c r="V27" t="n">
        <v>329</v>
      </c>
      <c r="W27" t="n">
        <v>329</v>
      </c>
      <c r="X27" t="n">
        <v>329</v>
      </c>
      <c r="Y27" t="n">
        <v>346.15</v>
      </c>
      <c r="Z27" t="n">
        <v>340.52</v>
      </c>
      <c r="AA27" t="n">
        <v>340.52</v>
      </c>
      <c r="AB27" t="n">
        <v>340.52</v>
      </c>
      <c r="AC27" t="n">
        <v>340.52</v>
      </c>
      <c r="AD27" t="n">
        <v>340.52</v>
      </c>
      <c r="AE27" t="n">
        <v>340.52</v>
      </c>
      <c r="AF27" t="n">
        <v>340.52</v>
      </c>
      <c r="AG27" t="n">
        <v>340.52</v>
      </c>
      <c r="AH27" t="n">
        <v>340.52</v>
      </c>
      <c r="AI27" t="n">
        <v>340.52</v>
      </c>
      <c r="AJ27" t="n">
        <v>352.44</v>
      </c>
      <c r="AK27" t="n">
        <v>352.44</v>
      </c>
      <c r="AL27" t="n">
        <v>352.44</v>
      </c>
      <c r="AM27" t="n">
        <v>352.44</v>
      </c>
    </row>
    <row r="28">
      <c r="B28" t="n">
        <v>25</v>
      </c>
      <c r="C28" t="n">
        <v>161.1</v>
      </c>
      <c r="D28" t="n">
        <v>161.1</v>
      </c>
      <c r="E28" t="n">
        <v>161.1</v>
      </c>
      <c r="F28" t="n">
        <v>161.1</v>
      </c>
      <c r="G28" t="n">
        <v>161.1</v>
      </c>
      <c r="H28" t="n">
        <v>161.1</v>
      </c>
      <c r="I28" t="n">
        <v>161.1</v>
      </c>
      <c r="J28" t="n">
        <v>161.1</v>
      </c>
      <c r="K28" t="n">
        <v>161.1</v>
      </c>
      <c r="L28" t="n">
        <v>161.07</v>
      </c>
      <c r="M28" t="n">
        <v>161.07</v>
      </c>
      <c r="N28" t="n">
        <v>161.07</v>
      </c>
      <c r="O28" t="n">
        <v>161.07</v>
      </c>
      <c r="P28" t="n">
        <v>161.07</v>
      </c>
      <c r="Q28" t="n">
        <v>169.55</v>
      </c>
      <c r="R28" t="n">
        <v>169.55</v>
      </c>
      <c r="S28" t="n">
        <v>169.55</v>
      </c>
      <c r="T28" t="n">
        <v>169.55</v>
      </c>
      <c r="U28" t="n">
        <v>169.55</v>
      </c>
      <c r="V28" t="n">
        <v>169.55</v>
      </c>
      <c r="W28" t="n">
        <v>169.55</v>
      </c>
      <c r="X28" t="n">
        <v>169.55</v>
      </c>
      <c r="Y28" t="n">
        <v>180.05</v>
      </c>
      <c r="Z28" t="n">
        <v>175.48</v>
      </c>
      <c r="AA28" t="n">
        <v>175.48</v>
      </c>
      <c r="AB28" t="n">
        <v>175.48</v>
      </c>
      <c r="AC28" t="n">
        <v>175.48</v>
      </c>
      <c r="AD28" t="n">
        <v>175.48</v>
      </c>
      <c r="AE28" t="n">
        <v>175.48</v>
      </c>
      <c r="AF28" t="n">
        <v>175.48</v>
      </c>
      <c r="AG28" t="n">
        <v>175.48</v>
      </c>
      <c r="AH28" t="n">
        <v>175.48</v>
      </c>
      <c r="AI28" t="n">
        <v>175.48</v>
      </c>
      <c r="AJ28" t="n">
        <v>181.62</v>
      </c>
      <c r="AK28" t="n">
        <v>181.62</v>
      </c>
      <c r="AL28" t="n">
        <v>181.62</v>
      </c>
      <c r="AM28" t="n">
        <v>181.62</v>
      </c>
    </row>
    <row r="29">
      <c r="B29" t="n">
        <v>26</v>
      </c>
      <c r="C29" t="n">
        <v>0</v>
      </c>
      <c r="D29" t="n">
        <v>0</v>
      </c>
      <c r="E29" t="n">
        <v>0</v>
      </c>
      <c r="F29" t="n">
        <v>170.05</v>
      </c>
      <c r="G29" t="n">
        <v>170.05</v>
      </c>
      <c r="H29" t="n">
        <v>170.05</v>
      </c>
      <c r="I29" t="n">
        <v>170.05</v>
      </c>
      <c r="J29" t="n">
        <v>170.05</v>
      </c>
      <c r="K29" t="n">
        <v>170.05</v>
      </c>
      <c r="L29" t="n">
        <v>170.05</v>
      </c>
      <c r="M29" t="n">
        <v>179</v>
      </c>
      <c r="N29" t="n">
        <v>179</v>
      </c>
      <c r="O29" t="n">
        <v>179</v>
      </c>
      <c r="P29" t="n">
        <v>179</v>
      </c>
      <c r="Q29" t="n">
        <v>179</v>
      </c>
      <c r="R29" t="n">
        <v>179</v>
      </c>
      <c r="S29" t="n">
        <v>179</v>
      </c>
      <c r="T29" t="n">
        <v>179</v>
      </c>
      <c r="U29" t="n">
        <v>179</v>
      </c>
      <c r="V29" t="n">
        <v>179</v>
      </c>
      <c r="W29" t="n">
        <v>179</v>
      </c>
      <c r="X29" t="n">
        <v>179</v>
      </c>
      <c r="Y29" t="n">
        <v>189.5</v>
      </c>
      <c r="Z29" t="n">
        <v>185.27</v>
      </c>
      <c r="AA29" t="n">
        <v>185.27</v>
      </c>
      <c r="AB29" t="n">
        <v>185.27</v>
      </c>
      <c r="AC29" t="n">
        <v>185.27</v>
      </c>
      <c r="AD29" t="n">
        <v>185.27</v>
      </c>
      <c r="AE29" t="n">
        <v>185.27</v>
      </c>
      <c r="AF29" t="n">
        <v>185.27</v>
      </c>
      <c r="AG29" t="n">
        <v>185.27</v>
      </c>
      <c r="AH29" t="n">
        <v>185.27</v>
      </c>
      <c r="AI29" t="n">
        <v>185.27</v>
      </c>
      <c r="AJ29" t="n">
        <v>191.75</v>
      </c>
      <c r="AK29" t="n">
        <v>191.75</v>
      </c>
      <c r="AL29" t="n">
        <v>191.75</v>
      </c>
      <c r="AM29" t="n">
        <v>191.75</v>
      </c>
    </row>
    <row r="30">
      <c r="B30" t="n">
        <v>27</v>
      </c>
      <c r="C30" t="n">
        <v>0</v>
      </c>
      <c r="D30" t="n">
        <v>0</v>
      </c>
      <c r="E30" t="n">
        <v>0</v>
      </c>
      <c r="F30" t="n">
        <v>245.65</v>
      </c>
      <c r="G30" t="n">
        <v>245.65</v>
      </c>
      <c r="H30" t="n">
        <v>245.65</v>
      </c>
      <c r="I30" t="n">
        <v>245.65</v>
      </c>
      <c r="J30" t="n">
        <v>245.65</v>
      </c>
      <c r="K30" t="n">
        <v>245.65</v>
      </c>
      <c r="L30" t="n">
        <v>245.65</v>
      </c>
      <c r="M30" t="n">
        <v>245.65</v>
      </c>
      <c r="N30" t="n">
        <v>245.65</v>
      </c>
      <c r="O30" t="n">
        <v>245.65</v>
      </c>
      <c r="P30" t="n">
        <v>245.65</v>
      </c>
      <c r="Q30" t="n">
        <v>245.65</v>
      </c>
      <c r="R30" t="n">
        <v>245.65</v>
      </c>
      <c r="S30" t="n">
        <v>245.65</v>
      </c>
      <c r="T30" t="n">
        <v>245.65</v>
      </c>
      <c r="U30" t="n">
        <v>245.65</v>
      </c>
      <c r="V30" t="n">
        <v>245.65</v>
      </c>
      <c r="W30" t="n">
        <v>245.65</v>
      </c>
      <c r="X30" t="n">
        <v>245.65</v>
      </c>
      <c r="Y30" t="n">
        <v>257.29</v>
      </c>
      <c r="Z30" t="n">
        <v>254.25</v>
      </c>
      <c r="AA30" t="n">
        <v>254.25</v>
      </c>
      <c r="AB30" t="n">
        <v>254.25</v>
      </c>
      <c r="AC30" t="n">
        <v>254.25</v>
      </c>
      <c r="AD30" t="n">
        <v>254.25</v>
      </c>
      <c r="AE30" t="n">
        <v>254.25</v>
      </c>
      <c r="AF30" t="n">
        <v>254.25</v>
      </c>
      <c r="AG30" t="n">
        <v>254.25</v>
      </c>
      <c r="AH30" t="n">
        <v>254.25</v>
      </c>
      <c r="AI30" t="n">
        <v>254.25</v>
      </c>
      <c r="AJ30" t="n">
        <v>254.25</v>
      </c>
      <c r="AK30" t="n">
        <v>254.25</v>
      </c>
      <c r="AL30" t="n">
        <v>254.25</v>
      </c>
      <c r="AM30" t="n">
        <v>254.25</v>
      </c>
    </row>
    <row r="31">
      <c r="B31" t="n">
        <v>28</v>
      </c>
      <c r="C31" t="n">
        <v>0</v>
      </c>
      <c r="D31" t="n">
        <v>0</v>
      </c>
      <c r="E31" t="n">
        <v>0</v>
      </c>
      <c r="F31" t="n">
        <v>53.54</v>
      </c>
      <c r="G31" t="n">
        <v>54.32</v>
      </c>
      <c r="H31" t="n">
        <v>51.46</v>
      </c>
      <c r="I31" t="n">
        <v>51.96</v>
      </c>
      <c r="J31" t="n">
        <v>49</v>
      </c>
      <c r="K31" t="n">
        <v>49</v>
      </c>
      <c r="L31" t="n">
        <v>49</v>
      </c>
      <c r="M31" t="n">
        <v>49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B32" t="n">
        <v>29</v>
      </c>
      <c r="C32" t="n">
        <v>0</v>
      </c>
      <c r="D32" t="n">
        <v>0</v>
      </c>
      <c r="E32" t="n">
        <v>0</v>
      </c>
      <c r="F32" t="n">
        <v>87.98999999999999</v>
      </c>
      <c r="G32" t="n">
        <v>87.98999999999999</v>
      </c>
      <c r="H32" t="n">
        <v>87.98999999999999</v>
      </c>
      <c r="I32" t="n">
        <v>87.98999999999999</v>
      </c>
      <c r="J32" t="n">
        <v>87.98999999999999</v>
      </c>
      <c r="K32" t="n">
        <v>87.98999999999999</v>
      </c>
      <c r="L32" t="n">
        <v>87.98999999999999</v>
      </c>
      <c r="M32" t="n">
        <v>87.98999999999999</v>
      </c>
      <c r="N32" t="n">
        <v>87.98999999999999</v>
      </c>
      <c r="O32" t="n">
        <v>87.98999999999999</v>
      </c>
      <c r="P32" t="n">
        <v>87.98999999999999</v>
      </c>
      <c r="Q32" t="n">
        <v>87.98999999999999</v>
      </c>
      <c r="R32" t="n">
        <v>87.98999999999999</v>
      </c>
      <c r="S32" t="n">
        <v>87.98999999999999</v>
      </c>
      <c r="T32" t="n">
        <v>87.98999999999999</v>
      </c>
      <c r="U32" t="n">
        <v>87.98999999999999</v>
      </c>
      <c r="V32" t="n">
        <v>87.98999999999999</v>
      </c>
      <c r="W32" t="n">
        <v>87.98999999999999</v>
      </c>
      <c r="X32" t="n">
        <v>87.98999999999999</v>
      </c>
      <c r="Y32" t="n">
        <v>87.98999999999999</v>
      </c>
      <c r="Z32" t="n">
        <v>87.98999999999999</v>
      </c>
      <c r="AA32" t="n">
        <v>87.98999999999999</v>
      </c>
      <c r="AB32" t="n">
        <v>87.98999999999999</v>
      </c>
      <c r="AC32" t="n">
        <v>87.98999999999999</v>
      </c>
      <c r="AD32" t="n">
        <v>87.98999999999999</v>
      </c>
      <c r="AE32" t="n">
        <v>87.98999999999999</v>
      </c>
      <c r="AF32" t="n">
        <v>87.98999999999999</v>
      </c>
      <c r="AG32" t="n">
        <v>87.98999999999999</v>
      </c>
      <c r="AH32" t="n">
        <v>87.98999999999999</v>
      </c>
      <c r="AI32" t="n">
        <v>87.98999999999999</v>
      </c>
      <c r="AJ32" t="n">
        <v>87.98999999999999</v>
      </c>
      <c r="AK32" t="n">
        <v>87.98999999999999</v>
      </c>
      <c r="AL32" t="n">
        <v>87.98999999999999</v>
      </c>
      <c r="AM32" t="n">
        <v>87.98999999999999</v>
      </c>
    </row>
    <row r="33">
      <c r="B33" t="n">
        <v>30</v>
      </c>
      <c r="C33" t="n">
        <v>0</v>
      </c>
      <c r="D33" t="n">
        <v>0</v>
      </c>
      <c r="E33" t="n">
        <v>0</v>
      </c>
      <c r="F33" t="n">
        <v>98.25</v>
      </c>
      <c r="G33" t="n">
        <v>107.25</v>
      </c>
      <c r="H33" t="n">
        <v>97.60999999999999</v>
      </c>
      <c r="I33" t="n">
        <v>128.61</v>
      </c>
      <c r="J33" t="n">
        <v>87.98999999999999</v>
      </c>
      <c r="K33" t="n">
        <v>87.98999999999999</v>
      </c>
      <c r="L33" t="n">
        <v>87.98999999999999</v>
      </c>
      <c r="M33" t="n">
        <v>87.98999999999999</v>
      </c>
      <c r="N33" t="n">
        <v>87.98999999999999</v>
      </c>
      <c r="O33" t="n">
        <v>87.98999999999999</v>
      </c>
      <c r="P33" t="n">
        <v>87.98999999999999</v>
      </c>
      <c r="Q33" t="n">
        <v>87.98999999999999</v>
      </c>
      <c r="R33" t="n">
        <v>87.98999999999999</v>
      </c>
      <c r="S33" t="n">
        <v>87.98999999999999</v>
      </c>
      <c r="T33" t="n">
        <v>87.98999999999999</v>
      </c>
      <c r="U33" t="n">
        <v>87.98999999999999</v>
      </c>
      <c r="V33" t="n">
        <v>87.98999999999999</v>
      </c>
      <c r="W33" t="n">
        <v>87.98999999999999</v>
      </c>
      <c r="X33" t="n">
        <v>87.98999999999999</v>
      </c>
      <c r="Y33" t="n">
        <v>87.98999999999999</v>
      </c>
      <c r="Z33" t="n">
        <v>87.98999999999999</v>
      </c>
      <c r="AA33" t="n">
        <v>87.98999999999999</v>
      </c>
      <c r="AB33" t="n">
        <v>87.98999999999999</v>
      </c>
      <c r="AC33" t="n">
        <v>87.98999999999999</v>
      </c>
      <c r="AD33" t="n">
        <v>87.98999999999999</v>
      </c>
      <c r="AE33" t="n">
        <v>87.98999999999999</v>
      </c>
      <c r="AF33" t="n">
        <v>87.98999999999999</v>
      </c>
      <c r="AG33" t="n">
        <v>87.98999999999999</v>
      </c>
      <c r="AH33" t="n">
        <v>87.98999999999999</v>
      </c>
      <c r="AI33" t="n">
        <v>87.98999999999999</v>
      </c>
      <c r="AJ33" t="n">
        <v>87.98999999999999</v>
      </c>
      <c r="AK33" t="n">
        <v>87.98999999999999</v>
      </c>
      <c r="AL33" t="n">
        <v>87.98999999999999</v>
      </c>
      <c r="AM33" t="n">
        <v>87.98999999999999</v>
      </c>
    </row>
    <row r="34">
      <c r="B34" t="n">
        <v>31</v>
      </c>
      <c r="C34" t="n">
        <v>0</v>
      </c>
      <c r="D34" t="n">
        <v>0</v>
      </c>
      <c r="E34" t="n">
        <v>0</v>
      </c>
      <c r="F34" t="n">
        <v>350.2</v>
      </c>
      <c r="G34" t="n">
        <v>350.2</v>
      </c>
      <c r="H34" t="n">
        <v>350.2</v>
      </c>
      <c r="I34" t="n">
        <v>350.2</v>
      </c>
      <c r="J34" t="n">
        <v>350.2</v>
      </c>
      <c r="K34" t="n">
        <v>350.2</v>
      </c>
      <c r="L34" t="n">
        <v>350.2</v>
      </c>
      <c r="M34" t="n">
        <v>350.2</v>
      </c>
      <c r="N34" t="n">
        <v>350.2</v>
      </c>
      <c r="O34" t="n">
        <v>350.2</v>
      </c>
      <c r="P34" t="n">
        <v>350.2</v>
      </c>
      <c r="Q34" t="n">
        <v>350.2</v>
      </c>
      <c r="R34" t="n">
        <v>350.2</v>
      </c>
      <c r="S34" t="n">
        <v>350.2</v>
      </c>
      <c r="T34" t="n">
        <v>350.2</v>
      </c>
      <c r="U34" t="n">
        <v>350.2</v>
      </c>
      <c r="V34" t="n">
        <v>350.2</v>
      </c>
      <c r="W34" t="n">
        <v>350.2</v>
      </c>
      <c r="X34" t="n">
        <v>350.2</v>
      </c>
      <c r="Y34" t="n">
        <v>350.2</v>
      </c>
      <c r="Z34" t="n">
        <v>361.79</v>
      </c>
      <c r="AA34" t="n">
        <v>361.79</v>
      </c>
      <c r="AB34" t="n">
        <v>361.79</v>
      </c>
      <c r="AC34" t="n">
        <v>361.79</v>
      </c>
      <c r="AD34" t="n">
        <v>361.79</v>
      </c>
      <c r="AE34" t="n">
        <v>361.79</v>
      </c>
      <c r="AF34" t="n">
        <v>361.79</v>
      </c>
      <c r="AG34" t="n">
        <v>361.79</v>
      </c>
      <c r="AH34" t="n">
        <v>361.79</v>
      </c>
      <c r="AI34" t="n">
        <v>361.79</v>
      </c>
      <c r="AJ34" t="n">
        <v>361.79</v>
      </c>
      <c r="AK34" t="n">
        <v>361.79</v>
      </c>
      <c r="AL34" t="n">
        <v>361.79</v>
      </c>
      <c r="AM34" t="n">
        <v>361.79</v>
      </c>
    </row>
    <row r="35">
      <c r="B35" t="n">
        <v>32</v>
      </c>
      <c r="C35" t="n">
        <v>0</v>
      </c>
      <c r="D35" t="n">
        <v>0</v>
      </c>
      <c r="E35" t="n">
        <v>0</v>
      </c>
      <c r="F35" t="n">
        <v>296.65</v>
      </c>
      <c r="G35" t="n">
        <v>296.65</v>
      </c>
      <c r="H35" t="n">
        <v>296.65</v>
      </c>
      <c r="I35" t="n">
        <v>296.65</v>
      </c>
      <c r="J35" t="n">
        <v>296.65</v>
      </c>
      <c r="K35" t="n">
        <v>296.65</v>
      </c>
      <c r="L35" t="n">
        <v>296.65</v>
      </c>
      <c r="M35" t="n">
        <v>296.65</v>
      </c>
      <c r="N35" t="n">
        <v>296.65</v>
      </c>
      <c r="O35" t="n">
        <v>296.65</v>
      </c>
      <c r="P35" t="n">
        <v>296.65</v>
      </c>
      <c r="Q35" t="n">
        <v>296.65</v>
      </c>
      <c r="R35" t="n">
        <v>296.65</v>
      </c>
      <c r="S35" t="n">
        <v>296.65</v>
      </c>
      <c r="T35" t="n">
        <v>296.65</v>
      </c>
      <c r="U35" t="n">
        <v>296.65</v>
      </c>
      <c r="V35" t="n">
        <v>296.65</v>
      </c>
      <c r="W35" t="n">
        <v>296.65</v>
      </c>
      <c r="X35" t="n">
        <v>296.65</v>
      </c>
      <c r="Y35" t="n">
        <v>296.65</v>
      </c>
      <c r="Z35" t="n">
        <v>307.04</v>
      </c>
      <c r="AA35" t="n">
        <v>307.04</v>
      </c>
      <c r="AB35" t="n">
        <v>307.04</v>
      </c>
      <c r="AC35" t="n">
        <v>307.04</v>
      </c>
      <c r="AD35" t="n">
        <v>307.04</v>
      </c>
      <c r="AE35" t="n">
        <v>307.04</v>
      </c>
      <c r="AF35" t="n">
        <v>307.04</v>
      </c>
      <c r="AG35" t="n">
        <v>307.04</v>
      </c>
      <c r="AH35" t="n">
        <v>307.04</v>
      </c>
      <c r="AI35" t="n">
        <v>307.04</v>
      </c>
      <c r="AJ35" t="n">
        <v>307.04</v>
      </c>
      <c r="AK35" t="n">
        <v>307.04</v>
      </c>
      <c r="AL35" t="n">
        <v>307.04</v>
      </c>
      <c r="AM35" t="n">
        <v>307.04</v>
      </c>
    </row>
    <row r="36">
      <c r="B36" t="n">
        <v>33</v>
      </c>
      <c r="C36" t="n">
        <v>99.33</v>
      </c>
      <c r="D36" t="n">
        <v>99.33</v>
      </c>
      <c r="E36" t="n">
        <v>99</v>
      </c>
      <c r="F36" t="n">
        <v>99.46000000000001</v>
      </c>
      <c r="G36" t="n">
        <v>99.15000000000001</v>
      </c>
      <c r="H36" t="n">
        <v>100.8</v>
      </c>
      <c r="I36" t="n">
        <v>99.73999999999999</v>
      </c>
      <c r="J36" t="n">
        <v>99</v>
      </c>
      <c r="K36" t="n">
        <v>99</v>
      </c>
      <c r="L36" t="n">
        <v>99</v>
      </c>
      <c r="M36" t="n">
        <v>99</v>
      </c>
      <c r="N36" t="n">
        <v>99</v>
      </c>
      <c r="O36" t="n">
        <v>99</v>
      </c>
      <c r="P36" t="n">
        <v>99</v>
      </c>
      <c r="Q36" t="n">
        <v>99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  <c r="Z36" t="n">
        <v>99</v>
      </c>
      <c r="AA36" t="n">
        <v>99</v>
      </c>
      <c r="AB36" t="n">
        <v>28.71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B37" t="n">
        <v>34</v>
      </c>
      <c r="C37" t="n">
        <v>239</v>
      </c>
      <c r="D37" t="n">
        <v>239</v>
      </c>
      <c r="E37" t="n">
        <v>239</v>
      </c>
      <c r="F37" t="n">
        <v>239</v>
      </c>
      <c r="G37" t="n">
        <v>239</v>
      </c>
      <c r="H37" t="n">
        <v>239</v>
      </c>
      <c r="I37" t="n">
        <v>239</v>
      </c>
      <c r="J37" t="n">
        <v>239</v>
      </c>
      <c r="K37" t="n">
        <v>239</v>
      </c>
      <c r="L37" t="n">
        <v>239</v>
      </c>
      <c r="M37" t="n">
        <v>239</v>
      </c>
      <c r="N37" t="n">
        <v>239</v>
      </c>
      <c r="O37" t="n">
        <v>239</v>
      </c>
      <c r="P37" t="n">
        <v>239</v>
      </c>
      <c r="Q37" t="n">
        <v>239</v>
      </c>
      <c r="R37" t="n">
        <v>239</v>
      </c>
      <c r="S37" t="n">
        <v>239</v>
      </c>
      <c r="T37" t="n">
        <v>239</v>
      </c>
      <c r="U37" t="n">
        <v>239</v>
      </c>
      <c r="V37" t="n">
        <v>239</v>
      </c>
      <c r="W37" t="n">
        <v>239</v>
      </c>
      <c r="X37" t="n">
        <v>239</v>
      </c>
      <c r="Y37" t="n">
        <v>239</v>
      </c>
      <c r="Z37" t="n">
        <v>247.37</v>
      </c>
      <c r="AA37" t="n">
        <v>247.37</v>
      </c>
      <c r="AB37" t="n">
        <v>247.37</v>
      </c>
      <c r="AC37" t="n">
        <v>247.37</v>
      </c>
      <c r="AD37" t="n">
        <v>247.37</v>
      </c>
      <c r="AE37" t="n">
        <v>247.37</v>
      </c>
      <c r="AF37" t="n">
        <v>247.37</v>
      </c>
      <c r="AG37" t="n">
        <v>247.37</v>
      </c>
      <c r="AH37" t="n">
        <v>247.37</v>
      </c>
      <c r="AI37" t="n">
        <v>247.37</v>
      </c>
      <c r="AJ37" t="n">
        <v>247.37</v>
      </c>
      <c r="AK37" t="n">
        <v>247.37</v>
      </c>
      <c r="AL37" t="n">
        <v>247.37</v>
      </c>
      <c r="AM37" t="n">
        <v>247.37</v>
      </c>
    </row>
    <row r="38">
      <c r="B38" t="n">
        <v>35</v>
      </c>
      <c r="C38" t="n">
        <v>269</v>
      </c>
      <c r="D38" t="n">
        <v>269</v>
      </c>
      <c r="E38" t="n">
        <v>269</v>
      </c>
      <c r="F38" t="n">
        <v>269</v>
      </c>
      <c r="G38" t="n">
        <v>269</v>
      </c>
      <c r="H38" t="n">
        <v>269</v>
      </c>
      <c r="I38" t="n">
        <v>269</v>
      </c>
      <c r="J38" t="n">
        <v>261.73</v>
      </c>
      <c r="K38" t="n">
        <v>261.73</v>
      </c>
      <c r="L38" t="n">
        <v>269.1</v>
      </c>
      <c r="M38" t="n">
        <v>269.1</v>
      </c>
      <c r="N38" t="n">
        <v>269.1</v>
      </c>
      <c r="O38" t="n">
        <v>269.1</v>
      </c>
      <c r="P38" t="n">
        <v>269.1</v>
      </c>
      <c r="Q38" t="n">
        <v>269.1</v>
      </c>
      <c r="R38" t="n">
        <v>269.1</v>
      </c>
      <c r="S38" t="n">
        <v>269.1</v>
      </c>
      <c r="T38" t="n">
        <v>269.1</v>
      </c>
      <c r="U38" t="n">
        <v>269.1</v>
      </c>
      <c r="V38" t="n">
        <v>254.15</v>
      </c>
      <c r="W38" t="n">
        <v>254.15</v>
      </c>
      <c r="X38" t="n">
        <v>254.15</v>
      </c>
      <c r="Y38" t="n">
        <v>254.15</v>
      </c>
      <c r="Z38" t="n">
        <v>254.15</v>
      </c>
      <c r="AA38" t="n">
        <v>263.05</v>
      </c>
      <c r="AB38" t="n">
        <v>287.81</v>
      </c>
      <c r="AC38" t="n">
        <v>287.81</v>
      </c>
      <c r="AD38" t="n">
        <v>296.67</v>
      </c>
      <c r="AE38" t="n">
        <v>287.1</v>
      </c>
      <c r="AF38" t="n">
        <v>287.1</v>
      </c>
      <c r="AG38" t="n">
        <v>287.1</v>
      </c>
      <c r="AH38" t="n">
        <v>287.1</v>
      </c>
      <c r="AI38" t="n">
        <v>287.1</v>
      </c>
      <c r="AJ38" t="n">
        <v>287.1</v>
      </c>
      <c r="AK38" t="n">
        <v>287.1</v>
      </c>
      <c r="AL38" t="n">
        <v>287.1</v>
      </c>
      <c r="AM38" t="n">
        <v>287.1</v>
      </c>
    </row>
    <row r="39">
      <c r="B39" t="n">
        <v>36</v>
      </c>
      <c r="C39" t="n">
        <v>219</v>
      </c>
      <c r="D39" t="n">
        <v>219</v>
      </c>
      <c r="E39" t="n">
        <v>219</v>
      </c>
      <c r="F39" t="n">
        <v>219</v>
      </c>
      <c r="G39" t="n">
        <v>219</v>
      </c>
      <c r="H39" t="n">
        <v>219</v>
      </c>
      <c r="I39" t="n">
        <v>219</v>
      </c>
      <c r="J39" t="n">
        <v>219</v>
      </c>
      <c r="K39" t="n">
        <v>219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B40" t="n">
        <v>37</v>
      </c>
      <c r="C40" t="n">
        <v>245.65</v>
      </c>
      <c r="D40" t="n">
        <v>245.65</v>
      </c>
      <c r="E40" t="n">
        <v>245.65</v>
      </c>
      <c r="F40" t="n">
        <v>245.65</v>
      </c>
      <c r="G40" t="n">
        <v>245.65</v>
      </c>
      <c r="H40" t="n">
        <v>245.65</v>
      </c>
      <c r="I40" t="n">
        <v>245.65</v>
      </c>
      <c r="J40" t="n">
        <v>245.65</v>
      </c>
      <c r="K40" t="n">
        <v>245.65</v>
      </c>
      <c r="L40" t="n">
        <v>245.65</v>
      </c>
      <c r="M40" t="n">
        <v>245.65</v>
      </c>
      <c r="N40" t="n">
        <v>245.65</v>
      </c>
      <c r="O40" t="n">
        <v>245.65</v>
      </c>
      <c r="P40" t="n">
        <v>245.65</v>
      </c>
      <c r="Q40" t="n">
        <v>245.65</v>
      </c>
      <c r="R40" t="n">
        <v>245.65</v>
      </c>
      <c r="S40" t="n">
        <v>245.65</v>
      </c>
      <c r="T40" t="n">
        <v>245.65</v>
      </c>
      <c r="U40" t="n">
        <v>245.65</v>
      </c>
      <c r="V40" t="n">
        <v>245.65</v>
      </c>
      <c r="W40" t="n">
        <v>245.65</v>
      </c>
      <c r="X40" t="n">
        <v>245.65</v>
      </c>
      <c r="Y40" t="n">
        <v>245.65</v>
      </c>
      <c r="Z40" t="n">
        <v>245.65</v>
      </c>
      <c r="AA40" t="n">
        <v>254.25</v>
      </c>
      <c r="AB40" t="n">
        <v>254.25</v>
      </c>
      <c r="AC40" t="n">
        <v>254.25</v>
      </c>
      <c r="AD40" t="n">
        <v>106.25</v>
      </c>
      <c r="AE40" t="n">
        <v>106.25</v>
      </c>
      <c r="AF40" t="n">
        <v>106.25</v>
      </c>
      <c r="AG40" t="n">
        <v>106.25</v>
      </c>
      <c r="AH40" t="n">
        <v>106.25</v>
      </c>
      <c r="AI40" t="n">
        <v>106.25</v>
      </c>
      <c r="AJ40" t="n">
        <v>106.25</v>
      </c>
      <c r="AK40" t="n">
        <v>106.25</v>
      </c>
      <c r="AL40" t="n">
        <v>106.25</v>
      </c>
      <c r="AM40" t="n">
        <v>106.25</v>
      </c>
    </row>
    <row r="41">
      <c r="B41" t="n">
        <v>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219</v>
      </c>
      <c r="W41" t="n">
        <v>219</v>
      </c>
      <c r="X41" t="n">
        <v>219</v>
      </c>
      <c r="Y41" t="n">
        <v>219</v>
      </c>
      <c r="Z41" t="n">
        <v>219</v>
      </c>
      <c r="AA41" t="n">
        <v>219</v>
      </c>
      <c r="AB41" t="n">
        <v>219</v>
      </c>
      <c r="AC41" t="n">
        <v>219</v>
      </c>
      <c r="AD41" t="n">
        <v>226.67</v>
      </c>
      <c r="AE41" t="n">
        <v>226.67</v>
      </c>
      <c r="AF41" t="n">
        <v>226.67</v>
      </c>
      <c r="AG41" t="n">
        <v>226.67</v>
      </c>
      <c r="AH41" t="n">
        <v>226.67</v>
      </c>
      <c r="AI41" t="n">
        <v>226.67</v>
      </c>
      <c r="AJ41" t="n">
        <v>226.67</v>
      </c>
      <c r="AK41" t="n">
        <v>226.67</v>
      </c>
      <c r="AL41" t="n">
        <v>226.67</v>
      </c>
      <c r="AM41" t="n">
        <v>226.67</v>
      </c>
    </row>
    <row r="42">
      <c r="B42" t="n">
        <v>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296.1</v>
      </c>
      <c r="W42" t="n">
        <v>296.1</v>
      </c>
      <c r="X42" t="n">
        <v>296.1</v>
      </c>
      <c r="Y42" t="n">
        <v>296.1</v>
      </c>
      <c r="Z42" t="n">
        <v>296.1</v>
      </c>
      <c r="AA42" t="n">
        <v>296.1</v>
      </c>
      <c r="AB42" t="n">
        <v>296.1</v>
      </c>
      <c r="AC42" t="n">
        <v>296.1</v>
      </c>
      <c r="AD42" t="n">
        <v>306.46</v>
      </c>
      <c r="AE42" t="n">
        <v>306.46</v>
      </c>
      <c r="AF42" t="n">
        <v>306.46</v>
      </c>
      <c r="AG42" t="n">
        <v>306.46</v>
      </c>
      <c r="AH42" t="n">
        <v>306.46</v>
      </c>
      <c r="AI42" t="n">
        <v>306.46</v>
      </c>
      <c r="AJ42" t="n">
        <v>306.46</v>
      </c>
      <c r="AK42" t="n">
        <v>306.46</v>
      </c>
      <c r="AL42" t="n">
        <v>306.46</v>
      </c>
      <c r="AM42" t="n">
        <v>306.46</v>
      </c>
    </row>
    <row r="43">
      <c r="B43" t="n">
        <v>40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239</v>
      </c>
      <c r="W43" t="n">
        <v>239</v>
      </c>
      <c r="X43" t="n">
        <v>239</v>
      </c>
      <c r="Y43" t="n">
        <v>239</v>
      </c>
      <c r="Z43" t="n">
        <v>239</v>
      </c>
      <c r="AA43" t="n">
        <v>239</v>
      </c>
      <c r="AB43" t="n">
        <v>239</v>
      </c>
      <c r="AC43" t="n">
        <v>239</v>
      </c>
      <c r="AD43" t="n">
        <v>247.37</v>
      </c>
      <c r="AE43" t="n">
        <v>247.37</v>
      </c>
      <c r="AF43" t="n">
        <v>247.37</v>
      </c>
      <c r="AG43" t="n">
        <v>247.37</v>
      </c>
      <c r="AH43" t="n">
        <v>247.37</v>
      </c>
      <c r="AI43" t="n">
        <v>247.37</v>
      </c>
      <c r="AJ43" t="n">
        <v>247.37</v>
      </c>
      <c r="AK43" t="n">
        <v>247.37</v>
      </c>
      <c r="AL43" t="n">
        <v>247.37</v>
      </c>
      <c r="AM43" t="n">
        <v>247.37</v>
      </c>
    </row>
    <row r="44"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229</v>
      </c>
      <c r="W44" t="n">
        <v>229</v>
      </c>
      <c r="X44" t="n">
        <v>229</v>
      </c>
      <c r="Y44" t="n">
        <v>229</v>
      </c>
      <c r="Z44" t="n">
        <v>229</v>
      </c>
      <c r="AA44" t="n">
        <v>229</v>
      </c>
      <c r="AB44" t="n">
        <v>229</v>
      </c>
      <c r="AC44" t="n">
        <v>229</v>
      </c>
      <c r="AD44" t="n">
        <v>237.02</v>
      </c>
      <c r="AE44" t="n">
        <v>237.02</v>
      </c>
      <c r="AF44" t="n">
        <v>237.02</v>
      </c>
      <c r="AG44" t="n">
        <v>237.02</v>
      </c>
      <c r="AH44" t="n">
        <v>237.02</v>
      </c>
      <c r="AI44" t="n">
        <v>237.02</v>
      </c>
      <c r="AJ44" t="n">
        <v>237.02</v>
      </c>
      <c r="AK44" t="n">
        <v>237.02</v>
      </c>
      <c r="AL44" t="n">
        <v>237.02</v>
      </c>
      <c r="AM44" t="n">
        <v>237.02</v>
      </c>
    </row>
    <row r="45">
      <c r="B45" t="n">
        <v>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69</v>
      </c>
      <c r="X45" t="n">
        <v>69</v>
      </c>
      <c r="Y45" t="n">
        <v>69</v>
      </c>
      <c r="Z45" t="n">
        <v>69</v>
      </c>
      <c r="AA45" t="n">
        <v>69</v>
      </c>
      <c r="AB45" t="n">
        <v>69</v>
      </c>
      <c r="AC45" t="n">
        <v>69</v>
      </c>
      <c r="AD45" t="n">
        <v>69</v>
      </c>
      <c r="AE45" t="n">
        <v>69</v>
      </c>
      <c r="AF45" t="n">
        <v>69</v>
      </c>
      <c r="AG45" t="n">
        <v>69</v>
      </c>
      <c r="AH45" t="n">
        <v>69</v>
      </c>
      <c r="AI45" t="n">
        <v>69</v>
      </c>
      <c r="AJ45" t="n">
        <v>69</v>
      </c>
      <c r="AK45" t="n">
        <v>69</v>
      </c>
      <c r="AL45" t="n">
        <v>69</v>
      </c>
      <c r="AM45" t="n">
        <v>69</v>
      </c>
    </row>
    <row r="46">
      <c r="B46" t="n">
        <v>43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  <c r="Z46" t="n">
        <v>69</v>
      </c>
      <c r="AA46" t="n">
        <v>69</v>
      </c>
      <c r="AB46" t="n">
        <v>69</v>
      </c>
      <c r="AC46" t="n">
        <v>69</v>
      </c>
      <c r="AD46" t="n">
        <v>69</v>
      </c>
      <c r="AE46" t="n">
        <v>69</v>
      </c>
      <c r="AF46" t="n">
        <v>69</v>
      </c>
      <c r="AG46" t="n">
        <v>69</v>
      </c>
      <c r="AH46" t="n">
        <v>69</v>
      </c>
      <c r="AI46" t="n">
        <v>69</v>
      </c>
      <c r="AJ46" t="n">
        <v>69</v>
      </c>
      <c r="AK46" t="n">
        <v>69</v>
      </c>
      <c r="AL46" t="n">
        <v>69</v>
      </c>
      <c r="AM46" t="n">
        <v>69</v>
      </c>
    </row>
    <row r="47">
      <c r="B47" t="n">
        <v>44</v>
      </c>
      <c r="C47" t="n">
        <v>69</v>
      </c>
      <c r="D47" t="n">
        <v>69</v>
      </c>
      <c r="E47" t="n">
        <v>69</v>
      </c>
      <c r="F47" t="n">
        <v>69</v>
      </c>
      <c r="G47" t="n">
        <v>69</v>
      </c>
      <c r="H47" t="n">
        <v>69</v>
      </c>
      <c r="I47" t="n">
        <v>69</v>
      </c>
      <c r="J47" t="n">
        <v>69</v>
      </c>
      <c r="K47" t="n">
        <v>69</v>
      </c>
      <c r="L47" t="n">
        <v>69</v>
      </c>
      <c r="M47" t="n">
        <v>69</v>
      </c>
      <c r="N47" t="n">
        <v>69</v>
      </c>
      <c r="O47" t="n">
        <v>69</v>
      </c>
      <c r="P47" t="n">
        <v>69</v>
      </c>
      <c r="Q47" t="n">
        <v>69</v>
      </c>
      <c r="R47" t="n">
        <v>69</v>
      </c>
      <c r="S47" t="n">
        <v>69</v>
      </c>
      <c r="T47" t="n">
        <v>69</v>
      </c>
      <c r="U47" t="n">
        <v>69</v>
      </c>
      <c r="V47" t="n">
        <v>69</v>
      </c>
      <c r="W47" t="n">
        <v>69</v>
      </c>
      <c r="X47" t="n">
        <v>69</v>
      </c>
      <c r="Y47" t="n">
        <v>69</v>
      </c>
      <c r="Z47" t="n">
        <v>69</v>
      </c>
      <c r="AA47" t="n">
        <v>69</v>
      </c>
      <c r="AB47" t="n">
        <v>69</v>
      </c>
      <c r="AC47" t="n">
        <v>69</v>
      </c>
      <c r="AD47" t="n">
        <v>69</v>
      </c>
      <c r="AE47" t="n">
        <v>69</v>
      </c>
      <c r="AF47" t="n">
        <v>69</v>
      </c>
      <c r="AG47" t="n">
        <v>69</v>
      </c>
      <c r="AH47" t="n">
        <v>69</v>
      </c>
      <c r="AI47" t="n">
        <v>69</v>
      </c>
      <c r="AJ47" t="n">
        <v>69</v>
      </c>
      <c r="AK47" t="n">
        <v>69</v>
      </c>
      <c r="AL47" t="n">
        <v>69</v>
      </c>
      <c r="AM47" t="n">
        <v>69</v>
      </c>
    </row>
    <row r="48">
      <c r="B48" t="n">
        <v>45</v>
      </c>
      <c r="C48" t="n">
        <v>333.1</v>
      </c>
      <c r="D48" t="n">
        <v>333.1</v>
      </c>
      <c r="E48" t="n">
        <v>333.1</v>
      </c>
      <c r="F48" t="n">
        <v>333.1</v>
      </c>
      <c r="G48" t="n">
        <v>333.1</v>
      </c>
      <c r="H48" t="n">
        <v>333.1</v>
      </c>
      <c r="I48" t="n">
        <v>333.1</v>
      </c>
      <c r="J48" t="n">
        <v>333.1</v>
      </c>
      <c r="K48" t="n">
        <v>333.1</v>
      </c>
      <c r="L48" t="n">
        <v>333.1</v>
      </c>
      <c r="M48" t="n">
        <v>333.1</v>
      </c>
      <c r="N48" t="n">
        <v>333.1</v>
      </c>
      <c r="O48" t="n">
        <v>333.1</v>
      </c>
      <c r="P48" t="n">
        <v>333.1</v>
      </c>
      <c r="Q48" t="n">
        <v>333.1</v>
      </c>
      <c r="R48" t="n">
        <v>333.1</v>
      </c>
      <c r="S48" t="n">
        <v>333.1</v>
      </c>
      <c r="T48" t="n">
        <v>333.1</v>
      </c>
      <c r="U48" t="n">
        <v>333.1</v>
      </c>
      <c r="V48" t="n">
        <v>333.1</v>
      </c>
      <c r="W48" t="n">
        <v>333.1</v>
      </c>
      <c r="X48" t="n">
        <v>333.1</v>
      </c>
      <c r="Y48" t="n">
        <v>333.1</v>
      </c>
      <c r="Z48" t="n">
        <v>333.1</v>
      </c>
      <c r="AA48" t="n">
        <v>333.1</v>
      </c>
      <c r="AB48" t="n">
        <v>333.1</v>
      </c>
      <c r="AC48" t="n">
        <v>333.1</v>
      </c>
      <c r="AD48" t="n">
        <v>344.09</v>
      </c>
      <c r="AE48" t="n">
        <v>344.09</v>
      </c>
      <c r="AF48" t="n">
        <v>344.09</v>
      </c>
      <c r="AG48" t="n">
        <v>344.09</v>
      </c>
      <c r="AH48" t="n">
        <v>344.09</v>
      </c>
      <c r="AI48" t="n">
        <v>344.09</v>
      </c>
      <c r="AJ48" t="n">
        <v>344.09</v>
      </c>
      <c r="AK48" t="n">
        <v>344.09</v>
      </c>
      <c r="AL48" t="n">
        <v>344.09</v>
      </c>
      <c r="AM48" t="n">
        <v>344.09</v>
      </c>
    </row>
    <row r="49">
      <c r="B49" t="n">
        <v>46</v>
      </c>
      <c r="C49" t="n">
        <v>225.82</v>
      </c>
      <c r="D49" t="n">
        <v>225.82</v>
      </c>
      <c r="E49" t="n">
        <v>229.9</v>
      </c>
      <c r="F49" t="n">
        <v>225.16</v>
      </c>
      <c r="G49" t="n">
        <v>233.9</v>
      </c>
      <c r="H49" t="n">
        <v>234.32</v>
      </c>
      <c r="I49" t="n">
        <v>230.1</v>
      </c>
      <c r="J49" t="n">
        <v>219</v>
      </c>
      <c r="K49" t="n">
        <v>219</v>
      </c>
      <c r="L49" t="n">
        <v>219</v>
      </c>
      <c r="M49" t="n">
        <v>219</v>
      </c>
      <c r="N49" t="n">
        <v>219</v>
      </c>
      <c r="O49" t="n">
        <v>219</v>
      </c>
      <c r="P49" t="n">
        <v>219</v>
      </c>
      <c r="Q49" t="n">
        <v>219</v>
      </c>
      <c r="R49" t="n">
        <v>219</v>
      </c>
      <c r="S49" t="n">
        <v>219</v>
      </c>
      <c r="T49" t="n">
        <v>219</v>
      </c>
      <c r="U49" t="n">
        <v>219</v>
      </c>
      <c r="V49" t="n">
        <v>219</v>
      </c>
      <c r="W49" t="n">
        <v>219</v>
      </c>
      <c r="X49" t="n">
        <v>219</v>
      </c>
      <c r="Y49" t="n">
        <v>219</v>
      </c>
      <c r="Z49" t="n">
        <v>219</v>
      </c>
      <c r="AA49" t="n">
        <v>219</v>
      </c>
      <c r="AB49" t="n">
        <v>219</v>
      </c>
      <c r="AC49" t="n">
        <v>219</v>
      </c>
      <c r="AD49" t="n">
        <v>226.67</v>
      </c>
      <c r="AE49" t="n">
        <v>226.67</v>
      </c>
      <c r="AF49" t="n">
        <v>226.67</v>
      </c>
      <c r="AG49" t="n">
        <v>226.67</v>
      </c>
      <c r="AH49" t="n">
        <v>226.67</v>
      </c>
      <c r="AI49" t="n">
        <v>226.67</v>
      </c>
      <c r="AJ49" t="n">
        <v>226.67</v>
      </c>
      <c r="AK49" t="n">
        <v>226.67</v>
      </c>
      <c r="AL49" t="n">
        <v>226.67</v>
      </c>
      <c r="AM49" t="n">
        <v>226.67</v>
      </c>
    </row>
    <row r="50">
      <c r="B50" t="n">
        <v>47</v>
      </c>
      <c r="C50" t="n">
        <v>169</v>
      </c>
      <c r="D50" t="n">
        <v>169</v>
      </c>
      <c r="E50" t="n">
        <v>169</v>
      </c>
      <c r="F50" t="n">
        <v>169</v>
      </c>
      <c r="G50" t="n">
        <v>169</v>
      </c>
      <c r="H50" t="n">
        <v>169</v>
      </c>
      <c r="I50" t="n">
        <v>169</v>
      </c>
      <c r="J50" t="n">
        <v>169</v>
      </c>
      <c r="K50" t="n">
        <v>169</v>
      </c>
      <c r="L50" t="n">
        <v>169</v>
      </c>
      <c r="M50" t="n">
        <v>169</v>
      </c>
      <c r="N50" t="n">
        <v>169</v>
      </c>
      <c r="O50" t="n">
        <v>169</v>
      </c>
      <c r="P50" t="n">
        <v>169</v>
      </c>
      <c r="Q50" t="n">
        <v>179</v>
      </c>
      <c r="R50" t="n">
        <v>179</v>
      </c>
      <c r="S50" t="n">
        <v>179</v>
      </c>
      <c r="T50" t="n">
        <v>179</v>
      </c>
      <c r="U50" t="n">
        <v>179</v>
      </c>
      <c r="V50" t="n">
        <v>179</v>
      </c>
      <c r="W50" t="n">
        <v>179</v>
      </c>
      <c r="X50" t="n">
        <v>179</v>
      </c>
      <c r="Y50" t="n">
        <v>179</v>
      </c>
      <c r="Z50" t="n">
        <v>179</v>
      </c>
      <c r="AA50" t="n">
        <v>179</v>
      </c>
      <c r="AB50" t="n">
        <v>179</v>
      </c>
      <c r="AC50" t="n">
        <v>179</v>
      </c>
      <c r="AD50" t="n">
        <v>185.27</v>
      </c>
      <c r="AE50" t="n">
        <v>185.27</v>
      </c>
      <c r="AF50" t="n">
        <v>185.27</v>
      </c>
      <c r="AG50" t="n">
        <v>185.27</v>
      </c>
      <c r="AH50" t="n">
        <v>185.27</v>
      </c>
      <c r="AI50" t="n">
        <v>185.27</v>
      </c>
      <c r="AJ50" t="n">
        <v>185.27</v>
      </c>
      <c r="AK50" t="n">
        <v>185.27</v>
      </c>
      <c r="AL50" t="n">
        <v>185.27</v>
      </c>
      <c r="AM50" t="n">
        <v>185.27</v>
      </c>
    </row>
    <row r="51">
      <c r="B51" t="n">
        <v>48</v>
      </c>
      <c r="C51" t="n">
        <v>199</v>
      </c>
      <c r="D51" t="n">
        <v>199</v>
      </c>
      <c r="E51" t="n">
        <v>199</v>
      </c>
      <c r="F51" t="n">
        <v>199</v>
      </c>
      <c r="G51" t="n">
        <v>199</v>
      </c>
      <c r="H51" t="n">
        <v>199</v>
      </c>
      <c r="I51" t="n">
        <v>199</v>
      </c>
      <c r="J51" t="n">
        <v>169.15</v>
      </c>
      <c r="K51" t="n">
        <v>169.15</v>
      </c>
      <c r="L51" t="n">
        <v>245.65</v>
      </c>
      <c r="M51" t="n">
        <v>245.65</v>
      </c>
      <c r="N51" t="n">
        <v>289</v>
      </c>
      <c r="O51" t="n">
        <v>289</v>
      </c>
      <c r="P51" t="n">
        <v>289</v>
      </c>
      <c r="Q51" t="n">
        <v>289</v>
      </c>
      <c r="R51" t="n">
        <v>289</v>
      </c>
      <c r="S51" t="n">
        <v>289</v>
      </c>
      <c r="T51" t="n">
        <v>289</v>
      </c>
      <c r="U51" t="n">
        <v>289</v>
      </c>
      <c r="V51" t="n">
        <v>289</v>
      </c>
      <c r="W51" t="n">
        <v>289</v>
      </c>
      <c r="X51" t="n">
        <v>289</v>
      </c>
      <c r="Y51" t="n">
        <v>289</v>
      </c>
      <c r="Z51" t="n">
        <v>289</v>
      </c>
      <c r="AA51" t="n">
        <v>289</v>
      </c>
      <c r="AB51" t="n">
        <v>289</v>
      </c>
      <c r="AC51" t="n">
        <v>289</v>
      </c>
      <c r="AD51" t="n">
        <v>299.12</v>
      </c>
      <c r="AE51" t="n">
        <v>299.12</v>
      </c>
      <c r="AF51" t="n">
        <v>299.12</v>
      </c>
      <c r="AG51" t="n">
        <v>299.12</v>
      </c>
      <c r="AH51" t="n">
        <v>299.12</v>
      </c>
      <c r="AI51" t="n">
        <v>299.12</v>
      </c>
      <c r="AJ51" t="n">
        <v>299.12</v>
      </c>
      <c r="AK51" t="n">
        <v>299.12</v>
      </c>
      <c r="AL51" t="n">
        <v>299.12</v>
      </c>
      <c r="AM51" t="n">
        <v>299.12</v>
      </c>
    </row>
    <row r="52">
      <c r="B52" t="n">
        <v>49</v>
      </c>
      <c r="C52" t="n">
        <v>299</v>
      </c>
      <c r="D52" t="n">
        <v>299</v>
      </c>
      <c r="E52" t="n">
        <v>299</v>
      </c>
      <c r="F52" t="n">
        <v>299</v>
      </c>
      <c r="G52" t="n">
        <v>284.05</v>
      </c>
      <c r="H52" t="n">
        <v>284.05</v>
      </c>
      <c r="I52" t="n">
        <v>284.05</v>
      </c>
      <c r="J52" t="n">
        <v>284.05</v>
      </c>
      <c r="K52" t="n">
        <v>284.05</v>
      </c>
      <c r="L52" t="n">
        <v>284.05</v>
      </c>
      <c r="M52" t="n">
        <v>284.05</v>
      </c>
      <c r="N52" t="n">
        <v>284.05</v>
      </c>
      <c r="O52" t="n">
        <v>284.05</v>
      </c>
      <c r="P52" t="n">
        <v>284.05</v>
      </c>
      <c r="Q52" t="n">
        <v>284.05</v>
      </c>
      <c r="R52" t="n">
        <v>284.05</v>
      </c>
      <c r="S52" t="n">
        <v>284.05</v>
      </c>
      <c r="T52" t="n">
        <v>284.05</v>
      </c>
      <c r="U52" t="n">
        <v>284.05</v>
      </c>
      <c r="V52" t="n">
        <v>284.05</v>
      </c>
      <c r="W52" t="n">
        <v>284.05</v>
      </c>
      <c r="X52" t="n">
        <v>284.05</v>
      </c>
      <c r="Y52" t="n">
        <v>284.05</v>
      </c>
      <c r="Z52" t="n">
        <v>284.05</v>
      </c>
      <c r="AA52" t="n">
        <v>284.05</v>
      </c>
      <c r="AB52" t="n">
        <v>284.05</v>
      </c>
      <c r="AC52" t="n">
        <v>284.05</v>
      </c>
      <c r="AD52" t="n">
        <v>294</v>
      </c>
      <c r="AE52" t="n">
        <v>294</v>
      </c>
      <c r="AF52" t="n">
        <v>294</v>
      </c>
      <c r="AG52" t="n">
        <v>294</v>
      </c>
      <c r="AH52" t="n">
        <v>294</v>
      </c>
      <c r="AI52" t="n">
        <v>294</v>
      </c>
      <c r="AJ52" t="n">
        <v>294</v>
      </c>
      <c r="AK52" t="n">
        <v>294</v>
      </c>
      <c r="AL52" t="n">
        <v>294</v>
      </c>
      <c r="AM52" t="n">
        <v>294</v>
      </c>
    </row>
    <row r="53">
      <c r="B53" t="n">
        <v>50</v>
      </c>
      <c r="C53" t="n">
        <v>279.2</v>
      </c>
      <c r="D53" t="n">
        <v>279.2</v>
      </c>
      <c r="E53" t="n">
        <v>279.2</v>
      </c>
      <c r="F53" t="n">
        <v>279.2</v>
      </c>
      <c r="G53" t="n">
        <v>279.2</v>
      </c>
      <c r="H53" t="n">
        <v>279.2</v>
      </c>
      <c r="I53" t="n">
        <v>279.2</v>
      </c>
      <c r="J53" t="n">
        <v>279.2</v>
      </c>
      <c r="K53" t="n">
        <v>279.2</v>
      </c>
      <c r="L53" t="n">
        <v>279.16</v>
      </c>
      <c r="M53" t="n">
        <v>279.16</v>
      </c>
      <c r="N53" t="n">
        <v>279.16</v>
      </c>
      <c r="O53" t="n">
        <v>279.16</v>
      </c>
      <c r="P53" t="n">
        <v>279.16</v>
      </c>
      <c r="Q53" t="n">
        <v>279.16</v>
      </c>
      <c r="R53" t="n">
        <v>279.16</v>
      </c>
      <c r="S53" t="n">
        <v>279.16</v>
      </c>
      <c r="T53" t="n">
        <v>279.16</v>
      </c>
      <c r="U53" t="n">
        <v>279.16</v>
      </c>
      <c r="V53" t="n">
        <v>279.16</v>
      </c>
      <c r="W53" t="n">
        <v>279.16</v>
      </c>
      <c r="X53" t="n">
        <v>279.16</v>
      </c>
      <c r="Y53" t="n">
        <v>279.16</v>
      </c>
      <c r="Z53" t="n">
        <v>279.16</v>
      </c>
      <c r="AA53" t="n">
        <v>279.16</v>
      </c>
      <c r="AB53" t="n">
        <v>279.16</v>
      </c>
      <c r="AC53" t="n">
        <v>279.16</v>
      </c>
      <c r="AD53" t="n">
        <v>279.16</v>
      </c>
      <c r="AE53" t="n">
        <v>279.16</v>
      </c>
      <c r="AF53" t="n">
        <v>279.16</v>
      </c>
      <c r="AG53" t="n">
        <v>279.16</v>
      </c>
      <c r="AH53" t="n">
        <v>279.16</v>
      </c>
      <c r="AI53" t="n">
        <v>279.16</v>
      </c>
      <c r="AJ53" t="n">
        <v>279.16</v>
      </c>
      <c r="AK53" t="n">
        <v>279.16</v>
      </c>
      <c r="AL53" t="n">
        <v>279.16</v>
      </c>
      <c r="AM53" t="n">
        <v>279.16</v>
      </c>
    </row>
    <row r="54">
      <c r="B54" t="n">
        <v>51</v>
      </c>
      <c r="C54" t="n">
        <v>349</v>
      </c>
      <c r="D54" t="n">
        <v>349</v>
      </c>
      <c r="E54" t="n">
        <v>349</v>
      </c>
      <c r="F54" t="n">
        <v>349</v>
      </c>
      <c r="G54" t="n">
        <v>349</v>
      </c>
      <c r="H54" t="n">
        <v>349</v>
      </c>
      <c r="I54" t="n">
        <v>349</v>
      </c>
      <c r="J54" t="n">
        <v>349</v>
      </c>
      <c r="K54" t="n">
        <v>349</v>
      </c>
      <c r="L54" t="n">
        <v>349</v>
      </c>
      <c r="M54" t="n">
        <v>349</v>
      </c>
      <c r="N54" t="n">
        <v>349</v>
      </c>
      <c r="O54" t="n">
        <v>349</v>
      </c>
      <c r="P54" t="n">
        <v>349</v>
      </c>
      <c r="Q54" t="n">
        <v>349</v>
      </c>
      <c r="R54" t="n">
        <v>349</v>
      </c>
      <c r="S54" t="n">
        <v>349</v>
      </c>
      <c r="T54" t="n">
        <v>349</v>
      </c>
      <c r="U54" t="n">
        <v>349</v>
      </c>
      <c r="V54" t="n">
        <v>349</v>
      </c>
      <c r="W54" t="n">
        <v>349</v>
      </c>
      <c r="X54" t="n">
        <v>349</v>
      </c>
      <c r="Y54" t="n">
        <v>349</v>
      </c>
      <c r="Z54" t="n">
        <v>349</v>
      </c>
      <c r="AA54" t="n">
        <v>349</v>
      </c>
      <c r="AB54" t="n">
        <v>349</v>
      </c>
      <c r="AC54" t="n">
        <v>349</v>
      </c>
      <c r="AD54" t="n">
        <v>361.22</v>
      </c>
      <c r="AE54" t="n">
        <v>361.22</v>
      </c>
      <c r="AF54" t="n">
        <v>361.22</v>
      </c>
      <c r="AG54" t="n">
        <v>361.22</v>
      </c>
      <c r="AH54" t="n">
        <v>361.22</v>
      </c>
      <c r="AI54" t="n">
        <v>361.22</v>
      </c>
      <c r="AJ54" t="n">
        <v>361.22</v>
      </c>
      <c r="AK54" t="n">
        <v>361.22</v>
      </c>
      <c r="AL54" t="n">
        <v>361.22</v>
      </c>
      <c r="AM54" t="n">
        <v>361.22</v>
      </c>
    </row>
    <row r="55">
      <c r="B55" t="n">
        <v>52</v>
      </c>
      <c r="C55" t="n">
        <v>289</v>
      </c>
      <c r="D55" t="n">
        <v>289</v>
      </c>
      <c r="E55" t="n">
        <v>289</v>
      </c>
      <c r="F55" t="n">
        <v>289</v>
      </c>
      <c r="G55" t="n">
        <v>289</v>
      </c>
      <c r="H55" t="n">
        <v>289</v>
      </c>
      <c r="I55" t="n">
        <v>289</v>
      </c>
      <c r="J55" t="n">
        <v>289</v>
      </c>
      <c r="K55" t="n">
        <v>289</v>
      </c>
      <c r="L55" t="n">
        <v>289</v>
      </c>
      <c r="M55" t="n">
        <v>289</v>
      </c>
      <c r="N55" t="n">
        <v>289</v>
      </c>
      <c r="O55" t="n">
        <v>289</v>
      </c>
      <c r="P55" t="n">
        <v>289</v>
      </c>
      <c r="Q55" t="n">
        <v>289</v>
      </c>
      <c r="R55" t="n">
        <v>289</v>
      </c>
      <c r="S55" t="n">
        <v>289</v>
      </c>
      <c r="T55" t="n">
        <v>289</v>
      </c>
      <c r="U55" t="n">
        <v>289</v>
      </c>
      <c r="V55" t="n">
        <v>289</v>
      </c>
      <c r="W55" t="n">
        <v>289</v>
      </c>
      <c r="X55" t="n">
        <v>289</v>
      </c>
      <c r="Y55" t="n">
        <v>289</v>
      </c>
      <c r="Z55" t="n">
        <v>289</v>
      </c>
      <c r="AA55" t="n">
        <v>289</v>
      </c>
      <c r="AB55" t="n">
        <v>289</v>
      </c>
      <c r="AC55" t="n">
        <v>289</v>
      </c>
      <c r="AD55" t="n">
        <v>299.12</v>
      </c>
      <c r="AE55" t="n">
        <v>299.12</v>
      </c>
      <c r="AF55" t="n">
        <v>299.12</v>
      </c>
      <c r="AG55" t="n">
        <v>299.12</v>
      </c>
      <c r="AH55" t="n">
        <v>299.12</v>
      </c>
      <c r="AI55" t="n">
        <v>299.12</v>
      </c>
      <c r="AJ55" t="n">
        <v>299.12</v>
      </c>
      <c r="AK55" t="n">
        <v>299.12</v>
      </c>
      <c r="AL55" t="n">
        <v>299.12</v>
      </c>
      <c r="AM55" t="n">
        <v>299.12</v>
      </c>
    </row>
    <row r="56">
      <c r="B56" t="n">
        <v>53</v>
      </c>
      <c r="C56" t="n">
        <v>219</v>
      </c>
      <c r="D56" t="n">
        <v>219</v>
      </c>
      <c r="E56" t="n">
        <v>219</v>
      </c>
      <c r="F56" t="n">
        <v>219</v>
      </c>
      <c r="G56" t="n">
        <v>219</v>
      </c>
      <c r="H56" t="n">
        <v>219</v>
      </c>
      <c r="I56" t="n">
        <v>219</v>
      </c>
      <c r="J56" t="n">
        <v>219</v>
      </c>
      <c r="K56" t="n">
        <v>219</v>
      </c>
      <c r="L56" t="n">
        <v>219</v>
      </c>
      <c r="M56" t="n">
        <v>219</v>
      </c>
      <c r="N56" t="n">
        <v>199</v>
      </c>
      <c r="O56" t="n">
        <v>219</v>
      </c>
      <c r="P56" t="n">
        <v>369</v>
      </c>
      <c r="Q56" t="n">
        <v>369</v>
      </c>
      <c r="R56" t="n">
        <v>369</v>
      </c>
      <c r="S56" t="n">
        <v>369</v>
      </c>
      <c r="T56" t="n">
        <v>369</v>
      </c>
      <c r="U56" t="n">
        <v>369</v>
      </c>
      <c r="V56" t="n">
        <v>369</v>
      </c>
      <c r="W56" t="n">
        <v>369</v>
      </c>
      <c r="X56" t="n">
        <v>369</v>
      </c>
      <c r="Y56" t="n">
        <v>369</v>
      </c>
      <c r="Z56" t="n">
        <v>369</v>
      </c>
      <c r="AA56" t="n">
        <v>369</v>
      </c>
      <c r="AB56" t="n">
        <v>369</v>
      </c>
      <c r="AC56" t="n">
        <v>369</v>
      </c>
      <c r="AD56" t="n">
        <v>381.22</v>
      </c>
      <c r="AE56" t="n">
        <v>381.22</v>
      </c>
      <c r="AF56" t="n">
        <v>381.22</v>
      </c>
      <c r="AG56" t="n">
        <v>381.22</v>
      </c>
      <c r="AH56" t="n">
        <v>381.22</v>
      </c>
      <c r="AI56" t="n">
        <v>381.22</v>
      </c>
      <c r="AJ56" t="n">
        <v>381.22</v>
      </c>
      <c r="AK56" t="n">
        <v>381.22</v>
      </c>
      <c r="AL56" t="n">
        <v>381.22</v>
      </c>
      <c r="AM56" t="n">
        <v>381.22</v>
      </c>
    </row>
    <row r="57">
      <c r="B57" t="n">
        <v>54</v>
      </c>
      <c r="C57" t="n">
        <v>179</v>
      </c>
      <c r="D57" t="n">
        <v>179</v>
      </c>
      <c r="E57" t="n">
        <v>179</v>
      </c>
      <c r="F57" t="n">
        <v>179</v>
      </c>
      <c r="G57" t="n">
        <v>179</v>
      </c>
      <c r="H57" t="n">
        <v>179</v>
      </c>
      <c r="I57" t="n">
        <v>179</v>
      </c>
      <c r="J57" t="n">
        <v>179</v>
      </c>
      <c r="K57" t="n">
        <v>179</v>
      </c>
      <c r="L57" t="n">
        <v>179</v>
      </c>
      <c r="M57" t="n">
        <v>179</v>
      </c>
      <c r="N57" t="n">
        <v>179</v>
      </c>
      <c r="O57" t="n">
        <v>179</v>
      </c>
      <c r="P57" t="n">
        <v>179</v>
      </c>
      <c r="Q57" t="n">
        <v>179</v>
      </c>
      <c r="R57" t="n">
        <v>179</v>
      </c>
      <c r="S57" t="n">
        <v>179</v>
      </c>
      <c r="T57" t="n">
        <v>179</v>
      </c>
      <c r="U57" t="n">
        <v>179</v>
      </c>
      <c r="V57" t="n">
        <v>179</v>
      </c>
      <c r="W57" t="n">
        <v>179</v>
      </c>
      <c r="X57" t="n">
        <v>179</v>
      </c>
      <c r="Y57" t="n">
        <v>179</v>
      </c>
      <c r="Z57" t="n">
        <v>179</v>
      </c>
      <c r="AA57" t="n">
        <v>179</v>
      </c>
      <c r="AB57" t="n">
        <v>179</v>
      </c>
      <c r="AC57" t="n">
        <v>179</v>
      </c>
      <c r="AD57" t="n">
        <v>179</v>
      </c>
      <c r="AE57" t="n">
        <v>179</v>
      </c>
      <c r="AF57" t="n">
        <v>179</v>
      </c>
      <c r="AG57" t="n">
        <v>179</v>
      </c>
      <c r="AH57" t="n">
        <v>179</v>
      </c>
      <c r="AI57" t="n">
        <v>179</v>
      </c>
      <c r="AJ57" t="n">
        <v>179</v>
      </c>
      <c r="AK57" t="n">
        <v>179</v>
      </c>
      <c r="AL57" t="n">
        <v>179</v>
      </c>
      <c r="AM57" t="n">
        <v>179</v>
      </c>
    </row>
    <row r="58">
      <c r="B58" t="n">
        <v>55</v>
      </c>
      <c r="C58" t="n">
        <v>101.85</v>
      </c>
      <c r="D58" t="n">
        <v>101.85</v>
      </c>
      <c r="E58" t="n">
        <v>99.51000000000001</v>
      </c>
      <c r="F58" t="n">
        <v>99.59999999999999</v>
      </c>
      <c r="G58" t="n">
        <v>100.35</v>
      </c>
      <c r="H58" t="n">
        <v>100.14</v>
      </c>
      <c r="I58" t="n">
        <v>100.2</v>
      </c>
      <c r="J58" t="n">
        <v>99</v>
      </c>
      <c r="K58" t="n">
        <v>99</v>
      </c>
      <c r="L58" t="n">
        <v>99</v>
      </c>
      <c r="M58" t="n">
        <v>99</v>
      </c>
      <c r="N58" t="n">
        <v>99</v>
      </c>
      <c r="O58" t="n">
        <v>99</v>
      </c>
      <c r="P58" t="n">
        <v>99</v>
      </c>
      <c r="Q58" t="n">
        <v>99</v>
      </c>
      <c r="R58" t="n">
        <v>99</v>
      </c>
      <c r="S58" t="n">
        <v>99</v>
      </c>
      <c r="T58" t="n">
        <v>99</v>
      </c>
      <c r="U58" t="n">
        <v>99</v>
      </c>
      <c r="V58" t="n">
        <v>99</v>
      </c>
      <c r="W58" t="n">
        <v>99</v>
      </c>
      <c r="X58" t="n">
        <v>99</v>
      </c>
      <c r="Y58" t="n">
        <v>99</v>
      </c>
      <c r="Z58" t="n">
        <v>99</v>
      </c>
      <c r="AA58" t="n">
        <v>99</v>
      </c>
      <c r="AB58" t="n">
        <v>99</v>
      </c>
      <c r="AC58" t="n">
        <v>99</v>
      </c>
      <c r="AD58" t="n">
        <v>99</v>
      </c>
      <c r="AE58" t="n">
        <v>99</v>
      </c>
      <c r="AF58" t="n">
        <v>99</v>
      </c>
      <c r="AG58" t="n">
        <v>99</v>
      </c>
      <c r="AH58" t="n">
        <v>99</v>
      </c>
      <c r="AI58" t="n">
        <v>99</v>
      </c>
      <c r="AJ58" t="n">
        <v>99</v>
      </c>
      <c r="AK58" t="n">
        <v>99</v>
      </c>
      <c r="AL58" t="n">
        <v>99</v>
      </c>
      <c r="AM58" t="n">
        <v>99</v>
      </c>
    </row>
    <row r="59">
      <c r="B59" t="n">
        <v>56</v>
      </c>
      <c r="C59" t="n">
        <v>269.1</v>
      </c>
      <c r="D59" t="n">
        <v>269.1</v>
      </c>
      <c r="E59" t="n">
        <v>269.1</v>
      </c>
      <c r="F59" t="n">
        <v>269.1</v>
      </c>
      <c r="G59" t="n">
        <v>269.1</v>
      </c>
      <c r="H59" t="n">
        <v>269.1</v>
      </c>
      <c r="I59" t="n">
        <v>269.1</v>
      </c>
      <c r="J59" t="n">
        <v>269.1</v>
      </c>
      <c r="K59" t="n">
        <v>269.1</v>
      </c>
      <c r="L59" t="n">
        <v>269.09</v>
      </c>
      <c r="M59" t="n">
        <v>269.09</v>
      </c>
      <c r="N59" t="n">
        <v>269.09</v>
      </c>
      <c r="O59" t="n">
        <v>269.09</v>
      </c>
      <c r="P59" t="n">
        <v>269.09</v>
      </c>
      <c r="Q59" t="n">
        <v>269.09</v>
      </c>
      <c r="R59" t="n">
        <v>269.09</v>
      </c>
      <c r="S59" t="n">
        <v>269.09</v>
      </c>
      <c r="T59" t="n">
        <v>269.09</v>
      </c>
      <c r="U59" t="n">
        <v>269.09</v>
      </c>
      <c r="V59" t="n">
        <v>269.09</v>
      </c>
      <c r="W59" t="n">
        <v>269.09</v>
      </c>
      <c r="X59" t="n">
        <v>269.09</v>
      </c>
      <c r="Y59" t="n">
        <v>269.09</v>
      </c>
      <c r="Z59" t="n">
        <v>269.09</v>
      </c>
      <c r="AA59" t="n">
        <v>269.09</v>
      </c>
      <c r="AB59" t="n">
        <v>269.09</v>
      </c>
      <c r="AC59" t="n">
        <v>269.09</v>
      </c>
      <c r="AD59" t="n">
        <v>278.5</v>
      </c>
      <c r="AE59" t="n">
        <v>278.5</v>
      </c>
      <c r="AF59" t="n">
        <v>278.5</v>
      </c>
      <c r="AG59" t="n">
        <v>278.5</v>
      </c>
      <c r="AH59" t="n">
        <v>278.5</v>
      </c>
      <c r="AI59" t="n">
        <v>278.5</v>
      </c>
      <c r="AJ59" t="n">
        <v>278.5</v>
      </c>
      <c r="AK59" t="n">
        <v>278.5</v>
      </c>
      <c r="AL59" t="n">
        <v>278.5</v>
      </c>
      <c r="AM59" t="n">
        <v>278.5</v>
      </c>
    </row>
    <row r="60">
      <c r="B60" t="n">
        <v>57</v>
      </c>
      <c r="C60" t="n">
        <v>109.3</v>
      </c>
      <c r="D60" t="n">
        <v>109.3</v>
      </c>
      <c r="E60" t="n">
        <v>109</v>
      </c>
      <c r="F60" t="n">
        <v>109</v>
      </c>
      <c r="G60" t="n">
        <v>109</v>
      </c>
      <c r="H60" t="n">
        <v>109</v>
      </c>
      <c r="I60" t="n">
        <v>109</v>
      </c>
      <c r="J60" t="n">
        <v>109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B61" t="n">
        <v>58</v>
      </c>
      <c r="C61" t="n">
        <v>120.59</v>
      </c>
      <c r="D61" t="n">
        <v>120.59</v>
      </c>
      <c r="E61" t="n">
        <v>122.15</v>
      </c>
      <c r="F61" t="n">
        <v>118.59</v>
      </c>
      <c r="G61" t="n">
        <v>118.04</v>
      </c>
      <c r="H61" t="n">
        <v>113.34</v>
      </c>
      <c r="I61" t="n">
        <v>115.67</v>
      </c>
      <c r="J61" t="n">
        <v>109</v>
      </c>
      <c r="K61" t="n">
        <v>109</v>
      </c>
      <c r="L61" t="n">
        <v>109</v>
      </c>
      <c r="M61" t="n">
        <v>109</v>
      </c>
      <c r="N61" t="n">
        <v>109</v>
      </c>
      <c r="O61" t="n">
        <v>109</v>
      </c>
      <c r="P61" t="n">
        <v>109</v>
      </c>
      <c r="Q61" t="n">
        <v>109</v>
      </c>
      <c r="R61" t="n">
        <v>109</v>
      </c>
      <c r="S61" t="n">
        <v>109</v>
      </c>
      <c r="T61" t="n">
        <v>109</v>
      </c>
      <c r="U61" t="n">
        <v>109</v>
      </c>
      <c r="V61" t="n">
        <v>109</v>
      </c>
      <c r="W61" t="n">
        <v>109</v>
      </c>
      <c r="X61" t="n">
        <v>109</v>
      </c>
      <c r="Y61" t="n">
        <v>109</v>
      </c>
      <c r="Z61" t="n">
        <v>109</v>
      </c>
      <c r="AA61" t="n">
        <v>109</v>
      </c>
      <c r="AB61" t="n">
        <v>109</v>
      </c>
      <c r="AC61" t="n">
        <v>109</v>
      </c>
      <c r="AD61" t="n">
        <v>109</v>
      </c>
      <c r="AE61" t="n">
        <v>109</v>
      </c>
      <c r="AF61" t="n">
        <v>109</v>
      </c>
      <c r="AG61" t="n">
        <v>109</v>
      </c>
      <c r="AH61" t="n">
        <v>109</v>
      </c>
      <c r="AI61" t="n">
        <v>109</v>
      </c>
      <c r="AJ61" t="n">
        <v>109</v>
      </c>
      <c r="AK61" t="n">
        <v>109</v>
      </c>
      <c r="AL61" t="n">
        <v>109</v>
      </c>
      <c r="AM61" t="n">
        <v>109</v>
      </c>
    </row>
    <row r="62">
      <c r="B62" t="n">
        <v>59</v>
      </c>
      <c r="C62" t="n">
        <v>179</v>
      </c>
      <c r="D62" t="n">
        <v>179</v>
      </c>
      <c r="E62" t="n">
        <v>179</v>
      </c>
      <c r="F62" t="n">
        <v>179</v>
      </c>
      <c r="G62" t="n">
        <v>179</v>
      </c>
      <c r="H62" t="n">
        <v>179</v>
      </c>
      <c r="I62" t="n">
        <v>179</v>
      </c>
      <c r="J62" t="n">
        <v>179</v>
      </c>
      <c r="K62" t="n">
        <v>179</v>
      </c>
      <c r="L62" t="n">
        <v>179</v>
      </c>
      <c r="M62" t="n">
        <v>179</v>
      </c>
      <c r="N62" t="n">
        <v>179</v>
      </c>
      <c r="O62" t="n">
        <v>179</v>
      </c>
      <c r="P62" t="n">
        <v>179</v>
      </c>
      <c r="Q62" t="n">
        <v>179</v>
      </c>
      <c r="R62" t="n">
        <v>179</v>
      </c>
      <c r="S62" t="n">
        <v>179</v>
      </c>
      <c r="T62" t="n">
        <v>179</v>
      </c>
      <c r="U62" t="n">
        <v>179</v>
      </c>
      <c r="V62" t="n">
        <v>179</v>
      </c>
      <c r="W62" t="n">
        <v>179</v>
      </c>
      <c r="X62" t="n">
        <v>179</v>
      </c>
      <c r="Y62" t="n">
        <v>179</v>
      </c>
      <c r="Z62" t="n">
        <v>179</v>
      </c>
      <c r="AA62" t="n">
        <v>179</v>
      </c>
      <c r="AB62" t="n">
        <v>179</v>
      </c>
      <c r="AC62" t="n">
        <v>179</v>
      </c>
      <c r="AD62" t="n">
        <v>179</v>
      </c>
      <c r="AE62" t="n">
        <v>185.27</v>
      </c>
      <c r="AF62" t="n">
        <v>185.27</v>
      </c>
      <c r="AG62" t="n">
        <v>185.27</v>
      </c>
      <c r="AH62" t="n">
        <v>185.27</v>
      </c>
      <c r="AI62" t="n">
        <v>185.27</v>
      </c>
      <c r="AJ62" t="n">
        <v>185.27</v>
      </c>
      <c r="AK62" t="n">
        <v>185.27</v>
      </c>
      <c r="AL62" t="n">
        <v>185.27</v>
      </c>
      <c r="AM62" t="n">
        <v>185.27</v>
      </c>
    </row>
    <row r="63">
      <c r="B63" t="n">
        <v>60</v>
      </c>
      <c r="C63" t="n">
        <v>179</v>
      </c>
      <c r="D63" t="n">
        <v>179</v>
      </c>
      <c r="E63" t="n">
        <v>179</v>
      </c>
      <c r="F63" t="n">
        <v>179</v>
      </c>
      <c r="G63" t="n">
        <v>179</v>
      </c>
      <c r="H63" t="n">
        <v>179</v>
      </c>
      <c r="I63" t="n">
        <v>179</v>
      </c>
      <c r="J63" t="n">
        <v>179</v>
      </c>
      <c r="K63" t="n">
        <v>179</v>
      </c>
      <c r="L63" t="n">
        <v>179</v>
      </c>
      <c r="M63" t="n">
        <v>179</v>
      </c>
      <c r="N63" t="n">
        <v>179</v>
      </c>
      <c r="O63" t="n">
        <v>179</v>
      </c>
      <c r="P63" t="n">
        <v>179</v>
      </c>
      <c r="Q63" t="n">
        <v>179</v>
      </c>
      <c r="R63" t="n">
        <v>179</v>
      </c>
      <c r="S63" t="n">
        <v>179</v>
      </c>
      <c r="T63" t="n">
        <v>179</v>
      </c>
      <c r="U63" t="n">
        <v>179</v>
      </c>
      <c r="V63" t="n">
        <v>179</v>
      </c>
      <c r="W63" t="n">
        <v>179</v>
      </c>
      <c r="X63" t="n">
        <v>179</v>
      </c>
      <c r="Y63" t="n">
        <v>179</v>
      </c>
      <c r="Z63" t="n">
        <v>179</v>
      </c>
      <c r="AA63" t="n">
        <v>179</v>
      </c>
      <c r="AB63" t="n">
        <v>179</v>
      </c>
      <c r="AC63" t="n">
        <v>199</v>
      </c>
      <c r="AD63" t="n">
        <v>199</v>
      </c>
      <c r="AE63" t="n">
        <v>199</v>
      </c>
      <c r="AF63" t="n">
        <v>199</v>
      </c>
      <c r="AG63" t="n">
        <v>199</v>
      </c>
      <c r="AH63" t="n">
        <v>199</v>
      </c>
      <c r="AI63" t="n">
        <v>199</v>
      </c>
      <c r="AJ63" t="n">
        <v>199</v>
      </c>
      <c r="AK63" t="n">
        <v>199</v>
      </c>
      <c r="AL63" t="n">
        <v>199</v>
      </c>
      <c r="AM63" t="n">
        <v>199</v>
      </c>
    </row>
    <row r="64">
      <c r="B64" t="n">
        <v>61</v>
      </c>
      <c r="C64" t="n">
        <v>387</v>
      </c>
      <c r="D64" t="n">
        <v>387</v>
      </c>
      <c r="E64" t="n">
        <v>387</v>
      </c>
      <c r="F64" t="n">
        <v>387</v>
      </c>
      <c r="G64" t="n">
        <v>387</v>
      </c>
      <c r="H64" t="n">
        <v>387</v>
      </c>
      <c r="I64" t="n">
        <v>387</v>
      </c>
      <c r="J64" t="n">
        <v>387</v>
      </c>
      <c r="K64" t="n">
        <v>387</v>
      </c>
      <c r="L64" t="n">
        <v>387</v>
      </c>
      <c r="M64" t="n">
        <v>387</v>
      </c>
      <c r="N64" t="n">
        <v>387</v>
      </c>
      <c r="O64" t="n">
        <v>387</v>
      </c>
      <c r="P64" t="n">
        <v>387</v>
      </c>
      <c r="Q64" t="n">
        <v>387</v>
      </c>
      <c r="R64" t="n">
        <v>387</v>
      </c>
      <c r="S64" t="n">
        <v>387</v>
      </c>
      <c r="T64" t="n">
        <v>387</v>
      </c>
      <c r="U64" t="n">
        <v>387</v>
      </c>
      <c r="V64" t="n">
        <v>387</v>
      </c>
      <c r="W64" t="n">
        <v>387</v>
      </c>
      <c r="X64" t="n">
        <v>387</v>
      </c>
      <c r="Y64" t="n">
        <v>387</v>
      </c>
      <c r="Z64" t="n">
        <v>387</v>
      </c>
      <c r="AA64" t="n">
        <v>387</v>
      </c>
      <c r="AB64" t="n">
        <v>387</v>
      </c>
      <c r="AC64" t="n">
        <v>387</v>
      </c>
      <c r="AD64" t="n">
        <v>387</v>
      </c>
      <c r="AE64" t="n">
        <v>399.88</v>
      </c>
      <c r="AF64" t="n">
        <v>399.88</v>
      </c>
      <c r="AG64" t="n">
        <v>399.88</v>
      </c>
      <c r="AH64" t="n">
        <v>399.88</v>
      </c>
      <c r="AI64" t="n">
        <v>399.88</v>
      </c>
      <c r="AJ64" t="n">
        <v>399.88</v>
      </c>
      <c r="AK64" t="n">
        <v>399.88</v>
      </c>
      <c r="AL64" t="n">
        <v>399.88</v>
      </c>
      <c r="AM64" t="n">
        <v>399.88</v>
      </c>
    </row>
    <row r="65">
      <c r="B65" t="n">
        <v>62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361.22</v>
      </c>
      <c r="AH65" t="n">
        <v>361.22</v>
      </c>
      <c r="AI65" t="n">
        <v>361.22</v>
      </c>
      <c r="AJ65" t="n">
        <v>361.22</v>
      </c>
      <c r="AK65" t="n">
        <v>361.22</v>
      </c>
      <c r="AL65" t="n">
        <v>361.22</v>
      </c>
      <c r="AM65" t="n">
        <v>361.22</v>
      </c>
    </row>
    <row r="66">
      <c r="B66" t="n">
        <v>63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309.47</v>
      </c>
      <c r="AH66" t="n">
        <v>309.47</v>
      </c>
      <c r="AI66" t="n">
        <v>309.47</v>
      </c>
      <c r="AJ66" t="n">
        <v>309.47</v>
      </c>
      <c r="AK66" t="n">
        <v>309.47</v>
      </c>
      <c r="AL66" t="n">
        <v>309.47</v>
      </c>
      <c r="AM66" t="n">
        <v>309.47</v>
      </c>
    </row>
    <row r="67">
      <c r="B67" t="n">
        <v>64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309.47</v>
      </c>
      <c r="AH67" t="n">
        <v>309.47</v>
      </c>
      <c r="AI67" t="n">
        <v>309.47</v>
      </c>
      <c r="AJ67" t="n">
        <v>309.47</v>
      </c>
      <c r="AK67" t="n">
        <v>309.47</v>
      </c>
      <c r="AL67" t="n">
        <v>309.47</v>
      </c>
      <c r="AM67" t="n">
        <v>309.47</v>
      </c>
    </row>
    <row r="68">
      <c r="B68" t="n">
        <v>65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185.27</v>
      </c>
      <c r="AH68" t="n">
        <v>185.27</v>
      </c>
      <c r="AI68" t="n">
        <v>185.27</v>
      </c>
      <c r="AJ68" t="n">
        <v>185.27</v>
      </c>
      <c r="AK68" t="n">
        <v>185.27</v>
      </c>
      <c r="AL68" t="n">
        <v>185.27</v>
      </c>
      <c r="AM68" t="n">
        <v>185.27</v>
      </c>
    </row>
    <row r="69">
      <c r="B69" t="n">
        <v>66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B70" t="n">
        <v>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257.72</v>
      </c>
      <c r="AH70" t="n">
        <v>257.72</v>
      </c>
      <c r="AI70" t="n">
        <v>257.72</v>
      </c>
      <c r="AJ70" t="n">
        <v>257.72</v>
      </c>
      <c r="AK70" t="n">
        <v>257.72</v>
      </c>
      <c r="AL70" t="n">
        <v>257.72</v>
      </c>
      <c r="AM70" t="n">
        <v>257.72</v>
      </c>
    </row>
    <row r="71">
      <c r="B71" t="n">
        <v>68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361.22</v>
      </c>
      <c r="AH71" t="n">
        <v>361.22</v>
      </c>
      <c r="AI71" t="n">
        <v>361.22</v>
      </c>
      <c r="AJ71" t="n">
        <v>361.22</v>
      </c>
      <c r="AK71" t="n">
        <v>361.22</v>
      </c>
      <c r="AL71" t="n">
        <v>361.22</v>
      </c>
      <c r="AM71" t="n">
        <v>361.22</v>
      </c>
    </row>
    <row r="72">
      <c r="B72" t="n">
        <v>69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B73" t="n">
        <v>70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185.27</v>
      </c>
      <c r="AH73" t="n">
        <v>185.27</v>
      </c>
      <c r="AI73" t="n">
        <v>185.27</v>
      </c>
      <c r="AJ73" t="n">
        <v>185.27</v>
      </c>
      <c r="AK73" t="n">
        <v>185.27</v>
      </c>
      <c r="AL73" t="n">
        <v>185.27</v>
      </c>
      <c r="AM73" t="n">
        <v>185.27</v>
      </c>
    </row>
    <row r="74">
      <c r="B74" t="n">
        <v>71</v>
      </c>
      <c r="C74" t="n">
        <v>299</v>
      </c>
      <c r="D74" t="n">
        <v>299</v>
      </c>
      <c r="E74" t="n">
        <v>299</v>
      </c>
      <c r="F74" t="n">
        <v>299</v>
      </c>
      <c r="G74" t="n">
        <v>299</v>
      </c>
      <c r="H74" t="n">
        <v>299</v>
      </c>
      <c r="I74" t="n">
        <v>299</v>
      </c>
      <c r="J74" t="n">
        <v>299</v>
      </c>
      <c r="K74" t="n">
        <v>299</v>
      </c>
      <c r="L74" t="n">
        <v>299</v>
      </c>
      <c r="M74" t="n">
        <v>299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B75" t="n">
        <v>72</v>
      </c>
      <c r="C75" t="n">
        <v>288.15</v>
      </c>
      <c r="D75" t="n">
        <v>288.15</v>
      </c>
      <c r="E75" t="n">
        <v>288.15</v>
      </c>
      <c r="F75" t="n">
        <v>288.15</v>
      </c>
      <c r="G75" t="n">
        <v>288.15</v>
      </c>
      <c r="H75" t="n">
        <v>288.15</v>
      </c>
      <c r="I75" t="n">
        <v>288.15</v>
      </c>
      <c r="J75" t="n">
        <v>288.15</v>
      </c>
      <c r="K75" t="n">
        <v>288.15</v>
      </c>
      <c r="L75" t="n">
        <v>288.15</v>
      </c>
      <c r="M75" t="n">
        <v>288.15</v>
      </c>
      <c r="N75" t="n">
        <v>288.15</v>
      </c>
      <c r="O75" t="n">
        <v>288.15</v>
      </c>
      <c r="P75" t="n">
        <v>288.15</v>
      </c>
      <c r="Q75" t="n">
        <v>288.15</v>
      </c>
      <c r="R75" t="n">
        <v>288.15</v>
      </c>
      <c r="S75" t="n">
        <v>288.15</v>
      </c>
      <c r="T75" t="n">
        <v>288.15</v>
      </c>
      <c r="U75" t="n">
        <v>288.15</v>
      </c>
      <c r="V75" t="n">
        <v>288.15</v>
      </c>
      <c r="W75" t="n">
        <v>288.15</v>
      </c>
      <c r="X75" t="n">
        <v>288.15</v>
      </c>
      <c r="Y75" t="n">
        <v>288.15</v>
      </c>
      <c r="Z75" t="n">
        <v>288.15</v>
      </c>
      <c r="AA75" t="n">
        <v>288.15</v>
      </c>
      <c r="AB75" t="n">
        <v>288.15</v>
      </c>
      <c r="AC75" t="n">
        <v>288.15</v>
      </c>
      <c r="AD75" t="n">
        <v>288.15</v>
      </c>
      <c r="AE75" t="n">
        <v>288.15</v>
      </c>
      <c r="AF75" t="n">
        <v>288.15</v>
      </c>
      <c r="AG75" t="n">
        <v>288.15</v>
      </c>
      <c r="AH75" t="n">
        <v>288.15</v>
      </c>
      <c r="AI75" t="n">
        <v>288.15</v>
      </c>
      <c r="AJ75" t="n">
        <v>288.15</v>
      </c>
      <c r="AK75" t="n">
        <v>288.15</v>
      </c>
      <c r="AL75" t="n">
        <v>288.15</v>
      </c>
      <c r="AM75" t="n">
        <v>288.15</v>
      </c>
    </row>
    <row r="76">
      <c r="B76" t="n">
        <v>73</v>
      </c>
      <c r="C76" t="n">
        <v>195.67</v>
      </c>
      <c r="D76" t="n">
        <v>195.67</v>
      </c>
      <c r="E76" t="n">
        <v>195.67</v>
      </c>
      <c r="F76" t="n">
        <v>195.67</v>
      </c>
      <c r="G76" t="n">
        <v>195.67</v>
      </c>
      <c r="H76" t="n">
        <v>195.67</v>
      </c>
      <c r="I76" t="n">
        <v>195.67</v>
      </c>
      <c r="J76" t="n">
        <v>195.67</v>
      </c>
      <c r="K76" t="n">
        <v>195.67</v>
      </c>
      <c r="L76" t="n">
        <v>331.55</v>
      </c>
      <c r="M76" t="n">
        <v>331.55</v>
      </c>
      <c r="N76" t="n">
        <v>331.55</v>
      </c>
      <c r="O76" t="n">
        <v>331.55</v>
      </c>
      <c r="P76" t="n">
        <v>331.55</v>
      </c>
      <c r="Q76" t="n">
        <v>331.55</v>
      </c>
      <c r="R76" t="n">
        <v>331.55</v>
      </c>
      <c r="S76" t="n">
        <v>331.55</v>
      </c>
      <c r="T76" t="n">
        <v>331.55</v>
      </c>
      <c r="U76" t="n">
        <v>331.55</v>
      </c>
      <c r="V76" t="n">
        <v>331.55</v>
      </c>
      <c r="W76" t="n">
        <v>331.55</v>
      </c>
      <c r="X76" t="n">
        <v>331.55</v>
      </c>
      <c r="Y76" t="n">
        <v>331.55</v>
      </c>
      <c r="Z76" t="n">
        <v>331.55</v>
      </c>
      <c r="AA76" t="n">
        <v>331.55</v>
      </c>
      <c r="AB76" t="n">
        <v>331.55</v>
      </c>
      <c r="AC76" t="n">
        <v>331.55</v>
      </c>
      <c r="AD76" t="n">
        <v>331.55</v>
      </c>
      <c r="AE76" t="n">
        <v>331.55</v>
      </c>
      <c r="AF76" t="n">
        <v>331.55</v>
      </c>
      <c r="AG76" t="n">
        <v>343.16</v>
      </c>
      <c r="AH76" t="n">
        <v>343.16</v>
      </c>
      <c r="AI76" t="n">
        <v>343.16</v>
      </c>
      <c r="AJ76" t="n">
        <v>343.16</v>
      </c>
      <c r="AK76" t="n">
        <v>343.16</v>
      </c>
      <c r="AL76" t="n">
        <v>343.16</v>
      </c>
      <c r="AM76" t="n">
        <v>343.16</v>
      </c>
    </row>
    <row r="77">
      <c r="B77" t="n">
        <v>74</v>
      </c>
      <c r="C77" t="n">
        <v>111.61</v>
      </c>
      <c r="D77" t="n">
        <v>111.61</v>
      </c>
      <c r="E77" t="n">
        <v>112.81</v>
      </c>
      <c r="F77" t="n">
        <v>116.08</v>
      </c>
      <c r="G77" t="n">
        <v>115.18</v>
      </c>
      <c r="H77" t="n">
        <v>134.98</v>
      </c>
      <c r="I77" t="n">
        <v>135</v>
      </c>
      <c r="J77" t="n">
        <v>129</v>
      </c>
      <c r="K77" t="n">
        <v>129</v>
      </c>
      <c r="L77" t="n">
        <v>129</v>
      </c>
      <c r="M77" t="n">
        <v>129</v>
      </c>
      <c r="N77" t="n">
        <v>129</v>
      </c>
      <c r="O77" t="n">
        <v>129</v>
      </c>
      <c r="P77" t="n">
        <v>129</v>
      </c>
      <c r="Q77" t="n">
        <v>129</v>
      </c>
      <c r="R77" t="n">
        <v>129</v>
      </c>
      <c r="S77" t="n">
        <v>103.2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B78" t="n">
        <v>75</v>
      </c>
      <c r="C78" t="n">
        <v>179</v>
      </c>
      <c r="D78" t="n">
        <v>179</v>
      </c>
      <c r="E78" t="n">
        <v>179</v>
      </c>
      <c r="F78" t="n">
        <v>179</v>
      </c>
      <c r="G78" t="n">
        <v>179</v>
      </c>
      <c r="H78" t="n">
        <v>179</v>
      </c>
      <c r="I78" t="n">
        <v>179</v>
      </c>
      <c r="J78" t="n">
        <v>179</v>
      </c>
      <c r="K78" t="n">
        <v>179</v>
      </c>
      <c r="L78" t="n">
        <v>179</v>
      </c>
      <c r="M78" t="n">
        <v>179</v>
      </c>
      <c r="N78" t="n">
        <v>179</v>
      </c>
      <c r="O78" t="n">
        <v>179</v>
      </c>
      <c r="P78" t="n">
        <v>179</v>
      </c>
      <c r="Q78" t="n">
        <v>179</v>
      </c>
      <c r="R78" t="n">
        <v>179</v>
      </c>
      <c r="S78" t="n">
        <v>179</v>
      </c>
      <c r="T78" t="n">
        <v>179</v>
      </c>
      <c r="U78" t="n">
        <v>179</v>
      </c>
      <c r="V78" t="n">
        <v>179</v>
      </c>
      <c r="W78" t="n">
        <v>179</v>
      </c>
      <c r="X78" t="n">
        <v>179</v>
      </c>
      <c r="Y78" t="n">
        <v>179</v>
      </c>
      <c r="Z78" t="n">
        <v>179</v>
      </c>
      <c r="AA78" t="n">
        <v>179</v>
      </c>
      <c r="AB78" t="n">
        <v>179</v>
      </c>
      <c r="AC78" t="n">
        <v>179</v>
      </c>
      <c r="AD78" t="n">
        <v>179</v>
      </c>
      <c r="AE78" t="n">
        <v>179</v>
      </c>
      <c r="AF78" t="n">
        <v>185.27</v>
      </c>
      <c r="AG78" t="n">
        <v>185.27</v>
      </c>
      <c r="AH78" t="n">
        <v>185.27</v>
      </c>
      <c r="AI78" t="n">
        <v>185.27</v>
      </c>
      <c r="AJ78" t="n">
        <v>185.27</v>
      </c>
      <c r="AK78" t="n">
        <v>185.27</v>
      </c>
      <c r="AL78" t="n">
        <v>185.27</v>
      </c>
      <c r="AM78" t="n">
        <v>185.27</v>
      </c>
    </row>
    <row r="79">
      <c r="B79" t="n">
        <v>76</v>
      </c>
      <c r="C79" t="n">
        <v>323.1</v>
      </c>
      <c r="D79" t="n">
        <v>323.1</v>
      </c>
      <c r="E79" t="n">
        <v>323.1</v>
      </c>
      <c r="F79" t="n">
        <v>323.1</v>
      </c>
      <c r="G79" t="n">
        <v>352.18</v>
      </c>
      <c r="H79" t="n">
        <v>294.02</v>
      </c>
      <c r="I79" t="n">
        <v>323.1</v>
      </c>
      <c r="J79" t="n">
        <v>323.1</v>
      </c>
      <c r="K79" t="n">
        <v>323.1</v>
      </c>
      <c r="L79" t="n">
        <v>323.1</v>
      </c>
      <c r="M79" t="n">
        <v>326.69</v>
      </c>
      <c r="N79" t="n">
        <v>326.69</v>
      </c>
      <c r="O79" t="n">
        <v>326.69</v>
      </c>
      <c r="P79" t="n">
        <v>326.69</v>
      </c>
      <c r="Q79" t="n">
        <v>337.46</v>
      </c>
      <c r="R79" t="n">
        <v>337.46</v>
      </c>
      <c r="S79" t="n">
        <v>337.46</v>
      </c>
      <c r="T79" t="n">
        <v>337.46</v>
      </c>
      <c r="U79" t="n">
        <v>337.46</v>
      </c>
      <c r="V79" t="n">
        <v>337.46</v>
      </c>
      <c r="W79" t="n">
        <v>337.46</v>
      </c>
      <c r="X79" t="n">
        <v>337.46</v>
      </c>
      <c r="Y79" t="n">
        <v>337.46</v>
      </c>
      <c r="Z79" t="n">
        <v>337.46</v>
      </c>
      <c r="AA79" t="n">
        <v>337.46</v>
      </c>
      <c r="AB79" t="n">
        <v>337.46</v>
      </c>
      <c r="AC79" t="n">
        <v>337.46</v>
      </c>
      <c r="AD79" t="n">
        <v>337.46</v>
      </c>
      <c r="AE79" t="n">
        <v>337.46</v>
      </c>
      <c r="AF79" t="n">
        <v>349.28</v>
      </c>
      <c r="AG79" t="n">
        <v>349.28</v>
      </c>
      <c r="AH79" t="n">
        <v>349.28</v>
      </c>
      <c r="AI79" t="n">
        <v>349.28</v>
      </c>
      <c r="AJ79" t="n">
        <v>349.28</v>
      </c>
      <c r="AK79" t="n">
        <v>349.28</v>
      </c>
      <c r="AL79" t="n">
        <v>349.28</v>
      </c>
      <c r="AM79" t="n">
        <v>349.28</v>
      </c>
    </row>
    <row r="80">
      <c r="B80" t="n">
        <v>77</v>
      </c>
      <c r="C80" t="n">
        <v>288.15</v>
      </c>
      <c r="D80" t="n">
        <v>288.15</v>
      </c>
      <c r="E80" t="n">
        <v>288.15</v>
      </c>
      <c r="F80" t="n">
        <v>288.15</v>
      </c>
      <c r="G80" t="n">
        <v>288.15</v>
      </c>
      <c r="H80" t="n">
        <v>288.15</v>
      </c>
      <c r="I80" t="n">
        <v>288.15</v>
      </c>
      <c r="J80" t="n">
        <v>288.15</v>
      </c>
      <c r="K80" t="n">
        <v>288.15</v>
      </c>
      <c r="L80" t="n">
        <v>288.15</v>
      </c>
      <c r="M80" t="n">
        <v>288.15</v>
      </c>
      <c r="N80" t="n">
        <v>288.15</v>
      </c>
      <c r="O80" t="n">
        <v>288.15</v>
      </c>
      <c r="P80" t="n">
        <v>288.15</v>
      </c>
      <c r="Q80" t="n">
        <v>288.15</v>
      </c>
      <c r="R80" t="n">
        <v>288.15</v>
      </c>
      <c r="S80" t="n">
        <v>288.15</v>
      </c>
      <c r="T80" t="n">
        <v>288.15</v>
      </c>
      <c r="U80" t="n">
        <v>288.15</v>
      </c>
      <c r="V80" t="n">
        <v>288.15</v>
      </c>
      <c r="W80" t="n">
        <v>288.15</v>
      </c>
      <c r="X80" t="n">
        <v>288.15</v>
      </c>
      <c r="Y80" t="n">
        <v>288.15</v>
      </c>
      <c r="Z80" t="n">
        <v>288.15</v>
      </c>
      <c r="AA80" t="n">
        <v>288.15</v>
      </c>
      <c r="AB80" t="n">
        <v>288.15</v>
      </c>
      <c r="AC80" t="n">
        <v>288.15</v>
      </c>
      <c r="AD80" t="n">
        <v>288.15</v>
      </c>
      <c r="AE80" t="n">
        <v>288.15</v>
      </c>
      <c r="AF80" t="n">
        <v>288.15</v>
      </c>
      <c r="AG80" t="n">
        <v>288.15</v>
      </c>
      <c r="AH80" t="n">
        <v>288.15</v>
      </c>
      <c r="AI80" t="n">
        <v>288.15</v>
      </c>
      <c r="AJ80" t="n">
        <v>288.15</v>
      </c>
      <c r="AK80" t="n">
        <v>288.15</v>
      </c>
      <c r="AL80" t="n">
        <v>288.15</v>
      </c>
      <c r="AM80" t="n">
        <v>288.15</v>
      </c>
    </row>
    <row r="81">
      <c r="B81" t="n">
        <v>78</v>
      </c>
      <c r="C81" t="n">
        <v>219</v>
      </c>
      <c r="D81" t="n">
        <v>219</v>
      </c>
      <c r="E81" t="n">
        <v>219</v>
      </c>
      <c r="F81" t="n">
        <v>219</v>
      </c>
      <c r="G81" t="n">
        <v>219</v>
      </c>
      <c r="H81" t="n">
        <v>219</v>
      </c>
      <c r="I81" t="n">
        <v>219</v>
      </c>
      <c r="J81" t="n">
        <v>219</v>
      </c>
      <c r="K81" t="n">
        <v>219</v>
      </c>
      <c r="L81" t="n">
        <v>219</v>
      </c>
      <c r="M81" t="n">
        <v>219</v>
      </c>
      <c r="N81" t="n">
        <v>219</v>
      </c>
      <c r="O81" t="n">
        <v>219</v>
      </c>
      <c r="P81" t="n">
        <v>219</v>
      </c>
      <c r="Q81" t="n">
        <v>219</v>
      </c>
      <c r="R81" t="n">
        <v>179</v>
      </c>
      <c r="S81" t="n">
        <v>179</v>
      </c>
      <c r="T81" t="n">
        <v>179</v>
      </c>
      <c r="U81" t="n">
        <v>179</v>
      </c>
      <c r="V81" t="n">
        <v>179</v>
      </c>
      <c r="W81" t="n">
        <v>179</v>
      </c>
      <c r="X81" t="n">
        <v>179</v>
      </c>
      <c r="Y81" t="n">
        <v>179</v>
      </c>
      <c r="Z81" t="n">
        <v>179</v>
      </c>
      <c r="AA81" t="n">
        <v>179</v>
      </c>
      <c r="AB81" t="n">
        <v>179</v>
      </c>
      <c r="AC81" t="n">
        <v>179</v>
      </c>
      <c r="AD81" t="n">
        <v>179</v>
      </c>
      <c r="AE81" t="n">
        <v>179</v>
      </c>
      <c r="AF81" t="n">
        <v>185.27</v>
      </c>
      <c r="AG81" t="n">
        <v>185.27</v>
      </c>
      <c r="AH81" t="n">
        <v>185.27</v>
      </c>
      <c r="AI81" t="n">
        <v>185.27</v>
      </c>
      <c r="AJ81" t="n">
        <v>185.27</v>
      </c>
      <c r="AK81" t="n">
        <v>185.27</v>
      </c>
      <c r="AL81" t="n">
        <v>185.27</v>
      </c>
      <c r="AM81" t="n">
        <v>185.27</v>
      </c>
    </row>
    <row r="82">
      <c r="B82" t="n">
        <v>79</v>
      </c>
      <c r="C82" t="n">
        <v>254.15</v>
      </c>
      <c r="D82" t="n">
        <v>254.15</v>
      </c>
      <c r="E82" t="n">
        <v>254.15</v>
      </c>
      <c r="F82" t="n">
        <v>254.15</v>
      </c>
      <c r="G82" t="n">
        <v>254.15</v>
      </c>
      <c r="H82" t="n">
        <v>254.15</v>
      </c>
      <c r="I82" t="n">
        <v>254.15</v>
      </c>
      <c r="J82" t="n">
        <v>254.15</v>
      </c>
      <c r="K82" t="n">
        <v>254.15</v>
      </c>
      <c r="L82" t="n">
        <v>254.15</v>
      </c>
      <c r="M82" t="n">
        <v>254.15</v>
      </c>
      <c r="N82" t="n">
        <v>254.15</v>
      </c>
      <c r="O82" t="n">
        <v>254.15</v>
      </c>
      <c r="P82" t="n">
        <v>254.15</v>
      </c>
      <c r="Q82" t="n">
        <v>254.15</v>
      </c>
      <c r="R82" t="n">
        <v>254.15</v>
      </c>
      <c r="S82" t="n">
        <v>254.15</v>
      </c>
      <c r="T82" t="n">
        <v>254.15</v>
      </c>
      <c r="U82" t="n">
        <v>254.15</v>
      </c>
      <c r="V82" t="n">
        <v>254.15</v>
      </c>
      <c r="W82" t="n">
        <v>254.15</v>
      </c>
      <c r="X82" t="n">
        <v>254.15</v>
      </c>
      <c r="Y82" t="n">
        <v>254.15</v>
      </c>
      <c r="Z82" t="n">
        <v>254.15</v>
      </c>
      <c r="AA82" t="n">
        <v>254.15</v>
      </c>
      <c r="AB82" t="n">
        <v>254.15</v>
      </c>
      <c r="AC82" t="n">
        <v>254.15</v>
      </c>
      <c r="AD82" t="n">
        <v>254.15</v>
      </c>
      <c r="AE82" t="n">
        <v>254.15</v>
      </c>
      <c r="AF82" t="n">
        <v>254.15</v>
      </c>
      <c r="AG82" t="n">
        <v>254.15</v>
      </c>
      <c r="AH82" t="n">
        <v>254.15</v>
      </c>
      <c r="AI82" t="n">
        <v>254.15</v>
      </c>
      <c r="AJ82" t="n">
        <v>254.15</v>
      </c>
      <c r="AK82" t="n">
        <v>254.15</v>
      </c>
      <c r="AL82" t="n">
        <v>254.15</v>
      </c>
      <c r="AM82" t="n">
        <v>254.15</v>
      </c>
    </row>
    <row r="83">
      <c r="B83" t="n">
        <v>80</v>
      </c>
      <c r="C83" t="n">
        <v>179</v>
      </c>
      <c r="D83" t="n">
        <v>179</v>
      </c>
      <c r="E83" t="n">
        <v>179</v>
      </c>
      <c r="F83" t="n">
        <v>179</v>
      </c>
      <c r="G83" t="n">
        <v>179</v>
      </c>
      <c r="H83" t="n">
        <v>179</v>
      </c>
      <c r="I83" t="n">
        <v>179</v>
      </c>
      <c r="J83" t="n">
        <v>179</v>
      </c>
      <c r="K83" t="n">
        <v>179</v>
      </c>
      <c r="L83" t="n">
        <v>179</v>
      </c>
      <c r="M83" t="n">
        <v>179</v>
      </c>
      <c r="N83" t="n">
        <v>179</v>
      </c>
      <c r="O83" t="n">
        <v>179</v>
      </c>
      <c r="P83" t="n">
        <v>179</v>
      </c>
      <c r="Q83" t="n">
        <v>179</v>
      </c>
      <c r="R83" t="n">
        <v>179</v>
      </c>
      <c r="S83" t="n">
        <v>179</v>
      </c>
      <c r="T83" t="n">
        <v>179</v>
      </c>
      <c r="U83" t="n">
        <v>179</v>
      </c>
      <c r="V83" t="n">
        <v>179</v>
      </c>
      <c r="W83" t="n">
        <v>179</v>
      </c>
      <c r="X83" t="n">
        <v>179</v>
      </c>
      <c r="Y83" t="n">
        <v>199.55</v>
      </c>
      <c r="Z83" t="n">
        <v>185.27</v>
      </c>
      <c r="AA83" t="n">
        <v>185.27</v>
      </c>
      <c r="AB83" t="n">
        <v>185.27</v>
      </c>
      <c r="AC83" t="n">
        <v>185.27</v>
      </c>
      <c r="AD83" t="n">
        <v>185.27</v>
      </c>
      <c r="AE83" t="n">
        <v>185.27</v>
      </c>
      <c r="AF83" t="n">
        <v>185.27</v>
      </c>
      <c r="AG83" t="n">
        <v>185.27</v>
      </c>
      <c r="AH83" t="n">
        <v>185.27</v>
      </c>
      <c r="AI83" t="n">
        <v>185.27</v>
      </c>
      <c r="AJ83" t="n">
        <v>191.75</v>
      </c>
      <c r="AK83" t="n">
        <v>191.75</v>
      </c>
      <c r="AL83" t="n">
        <v>191.75</v>
      </c>
      <c r="AM83" t="n">
        <v>191.75</v>
      </c>
    </row>
    <row r="84">
      <c r="B84" t="n">
        <v>81</v>
      </c>
      <c r="C84" t="n">
        <v>199</v>
      </c>
      <c r="D84" t="n">
        <v>199</v>
      </c>
      <c r="E84" t="n">
        <v>149</v>
      </c>
      <c r="F84" t="n">
        <v>149</v>
      </c>
      <c r="G84" t="n">
        <v>149</v>
      </c>
      <c r="H84" t="n">
        <v>149</v>
      </c>
      <c r="I84" t="n">
        <v>149</v>
      </c>
      <c r="J84" t="n">
        <v>149</v>
      </c>
      <c r="K84" t="n">
        <v>149</v>
      </c>
      <c r="L84" t="n">
        <v>149</v>
      </c>
      <c r="M84" t="n">
        <v>149</v>
      </c>
      <c r="N84" t="n">
        <v>149</v>
      </c>
      <c r="O84" t="n">
        <v>149</v>
      </c>
      <c r="P84" t="n">
        <v>149</v>
      </c>
      <c r="Q84" t="n">
        <v>149</v>
      </c>
      <c r="R84" t="n">
        <v>149</v>
      </c>
      <c r="S84" t="n">
        <v>149</v>
      </c>
      <c r="T84" t="n">
        <v>149</v>
      </c>
      <c r="U84" t="n">
        <v>149</v>
      </c>
      <c r="V84" t="n">
        <v>149</v>
      </c>
      <c r="W84" t="n">
        <v>149</v>
      </c>
      <c r="X84" t="n">
        <v>149</v>
      </c>
      <c r="Y84" t="n">
        <v>149</v>
      </c>
      <c r="Z84" t="n">
        <v>149</v>
      </c>
      <c r="AA84" t="n">
        <v>149</v>
      </c>
      <c r="AB84" t="n">
        <v>149</v>
      </c>
      <c r="AC84" t="n">
        <v>149</v>
      </c>
      <c r="AD84" t="n">
        <v>149</v>
      </c>
      <c r="AE84" t="n">
        <v>149</v>
      </c>
      <c r="AF84" t="n">
        <v>149</v>
      </c>
      <c r="AG84" t="n">
        <v>154.22</v>
      </c>
      <c r="AH84" t="n">
        <v>154.22</v>
      </c>
      <c r="AI84" t="n">
        <v>154.22</v>
      </c>
      <c r="AJ84" t="n">
        <v>154.22</v>
      </c>
      <c r="AK84" t="n">
        <v>154.22</v>
      </c>
      <c r="AL84" t="n">
        <v>154.22</v>
      </c>
      <c r="AM84" t="n">
        <v>154.22</v>
      </c>
    </row>
    <row r="85">
      <c r="B85" t="n">
        <v>82</v>
      </c>
      <c r="C85" t="n">
        <v>279</v>
      </c>
      <c r="D85" t="n">
        <v>279</v>
      </c>
      <c r="E85" t="n">
        <v>279</v>
      </c>
      <c r="F85" t="n">
        <v>279</v>
      </c>
      <c r="G85" t="n">
        <v>279</v>
      </c>
      <c r="H85" t="n">
        <v>279</v>
      </c>
      <c r="I85" t="n">
        <v>279</v>
      </c>
      <c r="J85" t="n">
        <v>279</v>
      </c>
      <c r="K85" t="n">
        <v>279</v>
      </c>
      <c r="L85" t="n">
        <v>279</v>
      </c>
      <c r="M85" t="n">
        <v>279</v>
      </c>
      <c r="N85" t="n">
        <v>279</v>
      </c>
      <c r="O85" t="n">
        <v>279</v>
      </c>
      <c r="P85" t="n">
        <v>279</v>
      </c>
      <c r="Q85" t="n">
        <v>279</v>
      </c>
      <c r="R85" t="n">
        <v>279</v>
      </c>
      <c r="S85" t="n">
        <v>279</v>
      </c>
      <c r="T85" t="n">
        <v>279</v>
      </c>
      <c r="U85" t="n">
        <v>279</v>
      </c>
      <c r="V85" t="n">
        <v>279</v>
      </c>
      <c r="W85" t="n">
        <v>279</v>
      </c>
      <c r="X85" t="n">
        <v>279</v>
      </c>
      <c r="Y85" t="n">
        <v>279</v>
      </c>
      <c r="Z85" t="n">
        <v>279</v>
      </c>
      <c r="AA85" t="n">
        <v>279</v>
      </c>
      <c r="AB85" t="n">
        <v>279</v>
      </c>
      <c r="AC85" t="n">
        <v>279</v>
      </c>
      <c r="AD85" t="n">
        <v>279</v>
      </c>
      <c r="AE85" t="n">
        <v>279</v>
      </c>
      <c r="AF85" t="n">
        <v>279</v>
      </c>
      <c r="AG85" t="n">
        <v>288.77</v>
      </c>
      <c r="AH85" t="n">
        <v>288.77</v>
      </c>
      <c r="AI85" t="n">
        <v>288.77</v>
      </c>
      <c r="AJ85" t="n">
        <v>288.77</v>
      </c>
      <c r="AK85" t="n">
        <v>288.77</v>
      </c>
      <c r="AL85" t="n">
        <v>288.77</v>
      </c>
      <c r="AM85" t="n">
        <v>288.77</v>
      </c>
    </row>
    <row r="86">
      <c r="B86" t="n">
        <v>83</v>
      </c>
      <c r="C86" t="n">
        <v>132.87</v>
      </c>
      <c r="D86" t="n">
        <v>132.87</v>
      </c>
      <c r="E86" t="n">
        <v>138.31</v>
      </c>
      <c r="F86" t="n">
        <v>141.71</v>
      </c>
      <c r="G86" t="n">
        <v>139.16</v>
      </c>
      <c r="H86" t="n">
        <v>131.49</v>
      </c>
      <c r="I86" t="n">
        <v>140.33</v>
      </c>
      <c r="J86" t="n">
        <v>119</v>
      </c>
      <c r="K86" t="n">
        <v>119</v>
      </c>
      <c r="L86" t="n">
        <v>119</v>
      </c>
      <c r="M86" t="n">
        <v>119</v>
      </c>
      <c r="N86" t="n">
        <v>119</v>
      </c>
      <c r="O86" t="n">
        <v>119</v>
      </c>
      <c r="P86" t="n">
        <v>119</v>
      </c>
      <c r="Q86" t="n">
        <v>119</v>
      </c>
      <c r="R86" t="n">
        <v>119</v>
      </c>
      <c r="S86" t="n">
        <v>119</v>
      </c>
      <c r="T86" t="n">
        <v>119</v>
      </c>
      <c r="U86" t="n">
        <v>119</v>
      </c>
      <c r="V86" t="n">
        <v>119</v>
      </c>
      <c r="W86" t="n">
        <v>119</v>
      </c>
      <c r="X86" t="n">
        <v>119</v>
      </c>
      <c r="Y86" t="n">
        <v>119</v>
      </c>
      <c r="Z86" t="n">
        <v>119</v>
      </c>
      <c r="AA86" t="n">
        <v>119</v>
      </c>
      <c r="AB86" t="n">
        <v>119</v>
      </c>
      <c r="AC86" t="n">
        <v>119</v>
      </c>
      <c r="AD86" t="n">
        <v>119</v>
      </c>
      <c r="AE86" t="n">
        <v>119</v>
      </c>
      <c r="AF86" t="n">
        <v>119</v>
      </c>
      <c r="AG86" t="n">
        <v>119</v>
      </c>
      <c r="AH86" t="n">
        <v>119</v>
      </c>
      <c r="AI86" t="n">
        <v>119</v>
      </c>
      <c r="AJ86" t="n">
        <v>119</v>
      </c>
      <c r="AK86" t="n">
        <v>119</v>
      </c>
      <c r="AL86" t="n">
        <v>119</v>
      </c>
      <c r="AM86" t="n">
        <v>119</v>
      </c>
    </row>
    <row r="87">
      <c r="B87" t="n">
        <v>84</v>
      </c>
      <c r="C87" t="n">
        <v>118.12</v>
      </c>
      <c r="D87" t="n">
        <v>118.12</v>
      </c>
      <c r="E87" t="n">
        <v>116.22</v>
      </c>
      <c r="F87" t="n">
        <v>113.52</v>
      </c>
      <c r="G87" t="n">
        <v>120.01</v>
      </c>
      <c r="H87" t="n">
        <v>117.67</v>
      </c>
      <c r="I87" t="n">
        <v>115.79</v>
      </c>
      <c r="J87" t="n">
        <v>109</v>
      </c>
      <c r="K87" t="n">
        <v>109</v>
      </c>
      <c r="L87" t="n">
        <v>109</v>
      </c>
      <c r="M87" t="n">
        <v>109</v>
      </c>
      <c r="N87" t="n">
        <v>109</v>
      </c>
      <c r="O87" t="n">
        <v>109</v>
      </c>
      <c r="P87" t="n">
        <v>109</v>
      </c>
      <c r="Q87" t="n">
        <v>109</v>
      </c>
      <c r="R87" t="n">
        <v>109</v>
      </c>
      <c r="S87" t="n">
        <v>109</v>
      </c>
      <c r="T87" t="n">
        <v>109</v>
      </c>
      <c r="U87" t="n">
        <v>109</v>
      </c>
      <c r="V87" t="n">
        <v>109</v>
      </c>
      <c r="W87" t="n">
        <v>109</v>
      </c>
      <c r="X87" t="n">
        <v>109</v>
      </c>
      <c r="Y87" t="n">
        <v>109</v>
      </c>
      <c r="Z87" t="n">
        <v>109</v>
      </c>
      <c r="AA87" t="n">
        <v>109</v>
      </c>
      <c r="AB87" t="n">
        <v>109</v>
      </c>
      <c r="AC87" t="n">
        <v>109</v>
      </c>
      <c r="AD87" t="n">
        <v>109</v>
      </c>
      <c r="AE87" t="n">
        <v>109</v>
      </c>
      <c r="AF87" t="n">
        <v>109</v>
      </c>
      <c r="AG87" t="n">
        <v>109</v>
      </c>
      <c r="AH87" t="n">
        <v>109</v>
      </c>
      <c r="AI87" t="n">
        <v>109</v>
      </c>
      <c r="AJ87" t="n">
        <v>109</v>
      </c>
      <c r="AK87" t="n">
        <v>109</v>
      </c>
      <c r="AL87" t="n">
        <v>109</v>
      </c>
      <c r="AM87" t="n">
        <v>109</v>
      </c>
    </row>
    <row r="88">
      <c r="B88" t="n">
        <v>85</v>
      </c>
      <c r="C88" t="n">
        <v>299</v>
      </c>
      <c r="D88" t="n">
        <v>299</v>
      </c>
      <c r="E88" t="n">
        <v>299</v>
      </c>
      <c r="F88" t="n">
        <v>299</v>
      </c>
      <c r="G88" t="n">
        <v>299</v>
      </c>
      <c r="H88" t="n">
        <v>299</v>
      </c>
      <c r="I88" t="n">
        <v>299</v>
      </c>
      <c r="J88" t="n">
        <v>299</v>
      </c>
      <c r="K88" t="n">
        <v>299</v>
      </c>
      <c r="L88" t="n">
        <v>299</v>
      </c>
      <c r="M88" t="n">
        <v>299</v>
      </c>
      <c r="N88" t="n">
        <v>299</v>
      </c>
      <c r="O88" t="n">
        <v>299</v>
      </c>
      <c r="P88" t="n">
        <v>299</v>
      </c>
      <c r="Q88" t="n">
        <v>299</v>
      </c>
      <c r="R88" t="n">
        <v>299</v>
      </c>
      <c r="S88" t="n">
        <v>299</v>
      </c>
      <c r="T88" t="n">
        <v>299</v>
      </c>
      <c r="U88" t="n">
        <v>299</v>
      </c>
      <c r="V88" t="n">
        <v>299</v>
      </c>
      <c r="W88" t="n">
        <v>299</v>
      </c>
      <c r="X88" t="n">
        <v>299</v>
      </c>
      <c r="Y88" t="n">
        <v>299</v>
      </c>
      <c r="Z88" t="n">
        <v>299</v>
      </c>
      <c r="AA88" t="n">
        <v>299</v>
      </c>
      <c r="AB88" t="n">
        <v>299</v>
      </c>
      <c r="AC88" t="n">
        <v>299</v>
      </c>
      <c r="AD88" t="n">
        <v>299</v>
      </c>
      <c r="AE88" t="n">
        <v>299</v>
      </c>
      <c r="AF88" t="n">
        <v>299</v>
      </c>
      <c r="AG88" t="n">
        <v>309.47</v>
      </c>
      <c r="AH88" t="n">
        <v>309.47</v>
      </c>
      <c r="AI88" t="n">
        <v>309.47</v>
      </c>
      <c r="AJ88" t="n">
        <v>309.47</v>
      </c>
      <c r="AK88" t="n">
        <v>309.47</v>
      </c>
      <c r="AL88" t="n">
        <v>309.47</v>
      </c>
      <c r="AM88" t="n">
        <v>309.47</v>
      </c>
    </row>
    <row r="89">
      <c r="B89" t="n">
        <v>86</v>
      </c>
      <c r="C89" t="n">
        <v>179</v>
      </c>
      <c r="D89" t="n">
        <v>179</v>
      </c>
      <c r="E89" t="n">
        <v>179</v>
      </c>
      <c r="F89" t="n">
        <v>179</v>
      </c>
      <c r="G89" t="n">
        <v>179</v>
      </c>
      <c r="H89" t="n">
        <v>179</v>
      </c>
      <c r="I89" t="n">
        <v>179</v>
      </c>
      <c r="J89" t="n">
        <v>179</v>
      </c>
      <c r="K89" t="n">
        <v>179</v>
      </c>
      <c r="L89" t="n">
        <v>179</v>
      </c>
      <c r="M89" t="n">
        <v>179</v>
      </c>
      <c r="N89" t="n">
        <v>179</v>
      </c>
      <c r="O89" t="n">
        <v>179</v>
      </c>
      <c r="P89" t="n">
        <v>179</v>
      </c>
      <c r="Q89" t="n">
        <v>179</v>
      </c>
      <c r="R89" t="n">
        <v>179</v>
      </c>
      <c r="S89" t="n">
        <v>179</v>
      </c>
      <c r="T89" t="n">
        <v>179</v>
      </c>
      <c r="U89" t="n">
        <v>179</v>
      </c>
      <c r="V89" t="n">
        <v>179</v>
      </c>
      <c r="W89" t="n">
        <v>179</v>
      </c>
      <c r="X89" t="n">
        <v>179</v>
      </c>
      <c r="Y89" t="n">
        <v>179</v>
      </c>
      <c r="Z89" t="n">
        <v>179</v>
      </c>
      <c r="AA89" t="n">
        <v>179</v>
      </c>
      <c r="AB89" t="n">
        <v>179</v>
      </c>
      <c r="AC89" t="n">
        <v>179</v>
      </c>
      <c r="AD89" t="n">
        <v>179</v>
      </c>
      <c r="AE89" t="n">
        <v>179</v>
      </c>
      <c r="AF89" t="n">
        <v>100</v>
      </c>
      <c r="AG89" t="n">
        <v>100</v>
      </c>
      <c r="AH89" t="n">
        <v>100</v>
      </c>
      <c r="AI89" t="n">
        <v>100</v>
      </c>
      <c r="AJ89" t="n">
        <v>100</v>
      </c>
      <c r="AK89" t="n">
        <v>100</v>
      </c>
      <c r="AL89" t="n">
        <v>100</v>
      </c>
      <c r="AM89" t="n">
        <v>100</v>
      </c>
    </row>
    <row r="90">
      <c r="B90" t="n">
        <v>87</v>
      </c>
      <c r="C90" t="n">
        <v>179</v>
      </c>
      <c r="D90" t="n">
        <v>179</v>
      </c>
      <c r="E90" t="n">
        <v>179</v>
      </c>
      <c r="F90" t="n">
        <v>179</v>
      </c>
      <c r="G90" t="n">
        <v>179</v>
      </c>
      <c r="H90" t="n">
        <v>179</v>
      </c>
      <c r="I90" t="n">
        <v>179</v>
      </c>
      <c r="J90" t="n">
        <v>179</v>
      </c>
      <c r="K90" t="n">
        <v>179</v>
      </c>
      <c r="L90" t="n">
        <v>179</v>
      </c>
      <c r="M90" t="n">
        <v>179</v>
      </c>
      <c r="N90" t="n">
        <v>179</v>
      </c>
      <c r="O90" t="n">
        <v>179</v>
      </c>
      <c r="P90" t="n">
        <v>179</v>
      </c>
      <c r="Q90" t="n">
        <v>179</v>
      </c>
      <c r="R90" t="n">
        <v>179</v>
      </c>
      <c r="S90" t="n">
        <v>179</v>
      </c>
      <c r="T90" t="n">
        <v>179</v>
      </c>
      <c r="U90" t="n">
        <v>179</v>
      </c>
      <c r="V90" t="n">
        <v>179</v>
      </c>
      <c r="W90" t="n">
        <v>179</v>
      </c>
      <c r="X90" t="n">
        <v>179</v>
      </c>
      <c r="Y90" t="n">
        <v>179</v>
      </c>
      <c r="Z90" t="n">
        <v>179</v>
      </c>
      <c r="AA90" t="n">
        <v>179</v>
      </c>
      <c r="AB90" t="n">
        <v>179</v>
      </c>
      <c r="AC90" t="n">
        <v>179</v>
      </c>
      <c r="AD90" t="n">
        <v>179</v>
      </c>
      <c r="AE90" t="n">
        <v>179</v>
      </c>
      <c r="AF90" t="n">
        <v>179</v>
      </c>
      <c r="AG90" t="n">
        <v>179</v>
      </c>
      <c r="AH90" t="n">
        <v>185.27</v>
      </c>
      <c r="AI90" t="n">
        <v>185.27</v>
      </c>
      <c r="AJ90" t="n">
        <v>185.27</v>
      </c>
      <c r="AK90" t="n">
        <v>185.27</v>
      </c>
      <c r="AL90" t="n">
        <v>185.27</v>
      </c>
      <c r="AM90" t="n">
        <v>185.27</v>
      </c>
    </row>
    <row r="91">
      <c r="B91" t="n">
        <v>88</v>
      </c>
      <c r="C91" t="n">
        <v>205.31</v>
      </c>
      <c r="D91" t="n">
        <v>205.31</v>
      </c>
      <c r="E91" t="n">
        <v>209.57</v>
      </c>
      <c r="F91" t="n">
        <v>232.46</v>
      </c>
      <c r="G91" t="n">
        <v>214.64</v>
      </c>
      <c r="H91" t="n">
        <v>204.11</v>
      </c>
      <c r="I91" t="n">
        <v>212.6</v>
      </c>
      <c r="J91" t="n">
        <v>179</v>
      </c>
      <c r="K91" t="n">
        <v>656.9300000000001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B92" t="n">
        <v>89</v>
      </c>
      <c r="C92" t="n">
        <v>191.72</v>
      </c>
      <c r="D92" t="n">
        <v>191.72</v>
      </c>
      <c r="E92" t="n">
        <v>188.69</v>
      </c>
      <c r="F92" t="n">
        <v>195.56</v>
      </c>
      <c r="G92" t="n">
        <v>190.19</v>
      </c>
      <c r="H92" t="n">
        <v>187.19</v>
      </c>
      <c r="I92" t="n">
        <v>196.49</v>
      </c>
      <c r="J92" t="n">
        <v>179</v>
      </c>
      <c r="K92" t="n">
        <v>656.9300000000001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B93" t="n">
        <v>90</v>
      </c>
      <c r="C93" t="n">
        <v>170.05</v>
      </c>
      <c r="D93" t="n">
        <v>170.05</v>
      </c>
      <c r="E93" t="n">
        <v>170.05</v>
      </c>
      <c r="F93" t="n">
        <v>170.05</v>
      </c>
      <c r="G93" t="n">
        <v>170.05</v>
      </c>
      <c r="H93" t="n">
        <v>170.05</v>
      </c>
      <c r="I93" t="n">
        <v>170.05</v>
      </c>
      <c r="J93" t="n">
        <v>170.05</v>
      </c>
      <c r="K93" t="n">
        <v>170.05</v>
      </c>
      <c r="L93" t="n">
        <v>170.05</v>
      </c>
      <c r="M93" t="n">
        <v>179</v>
      </c>
      <c r="N93" t="n">
        <v>179</v>
      </c>
      <c r="O93" t="n">
        <v>179</v>
      </c>
      <c r="P93" t="n">
        <v>179</v>
      </c>
      <c r="Q93" t="n">
        <v>179</v>
      </c>
      <c r="R93" t="n">
        <v>179</v>
      </c>
      <c r="S93" t="n">
        <v>179</v>
      </c>
      <c r="T93" t="n">
        <v>179</v>
      </c>
      <c r="U93" t="n">
        <v>179</v>
      </c>
      <c r="V93" t="n">
        <v>179</v>
      </c>
      <c r="W93" t="n">
        <v>179</v>
      </c>
      <c r="X93" t="n">
        <v>179</v>
      </c>
      <c r="Y93" t="n">
        <v>179</v>
      </c>
      <c r="Z93" t="n">
        <v>179</v>
      </c>
      <c r="AA93" t="n">
        <v>179</v>
      </c>
      <c r="AB93" t="n">
        <v>179</v>
      </c>
      <c r="AC93" t="n">
        <v>179</v>
      </c>
      <c r="AD93" t="n">
        <v>185.27</v>
      </c>
      <c r="AE93" t="n">
        <v>185.27</v>
      </c>
      <c r="AF93" t="n">
        <v>185.27</v>
      </c>
      <c r="AG93" t="n">
        <v>185.27</v>
      </c>
      <c r="AH93" t="n">
        <v>185.27</v>
      </c>
      <c r="AI93" t="n">
        <v>185.27</v>
      </c>
      <c r="AJ93" t="n">
        <v>185.27</v>
      </c>
      <c r="AK93" t="n">
        <v>191.75</v>
      </c>
      <c r="AL93" t="n">
        <v>191.75</v>
      </c>
      <c r="AM93" t="n">
        <v>191.75</v>
      </c>
    </row>
    <row r="94">
      <c r="B94" t="n">
        <v>91</v>
      </c>
      <c r="C94" t="n">
        <v>349</v>
      </c>
      <c r="D94" t="n">
        <v>349</v>
      </c>
      <c r="E94" t="n">
        <v>349</v>
      </c>
      <c r="F94" t="n">
        <v>349</v>
      </c>
      <c r="G94" t="n">
        <v>349</v>
      </c>
      <c r="H94" t="n">
        <v>349</v>
      </c>
      <c r="I94" t="n">
        <v>349</v>
      </c>
      <c r="J94" t="n">
        <v>349</v>
      </c>
      <c r="K94" t="n">
        <v>349</v>
      </c>
      <c r="L94" t="n">
        <v>349</v>
      </c>
      <c r="M94" t="n">
        <v>349</v>
      </c>
      <c r="N94" t="n">
        <v>349</v>
      </c>
      <c r="O94" t="n">
        <v>349</v>
      </c>
      <c r="P94" t="n">
        <v>349</v>
      </c>
      <c r="Q94" t="n">
        <v>349</v>
      </c>
      <c r="R94" t="n">
        <v>349</v>
      </c>
      <c r="S94" t="n">
        <v>349</v>
      </c>
      <c r="T94" t="n">
        <v>349</v>
      </c>
      <c r="U94" t="n">
        <v>349</v>
      </c>
      <c r="V94" t="n">
        <v>349</v>
      </c>
      <c r="W94" t="n">
        <v>349</v>
      </c>
      <c r="X94" t="n">
        <v>349</v>
      </c>
      <c r="Y94" t="n">
        <v>349</v>
      </c>
      <c r="Z94" t="n">
        <v>349</v>
      </c>
      <c r="AA94" t="n">
        <v>349</v>
      </c>
      <c r="AB94" t="n">
        <v>349</v>
      </c>
      <c r="AC94" t="n">
        <v>349</v>
      </c>
      <c r="AD94" t="n">
        <v>349</v>
      </c>
      <c r="AE94" t="n">
        <v>349</v>
      </c>
      <c r="AF94" t="n">
        <v>349</v>
      </c>
      <c r="AG94" t="n">
        <v>361.22</v>
      </c>
      <c r="AH94" t="n">
        <v>361.22</v>
      </c>
      <c r="AI94" t="n">
        <v>361.22</v>
      </c>
      <c r="AJ94" t="n">
        <v>361.22</v>
      </c>
      <c r="AK94" t="n">
        <v>361.22</v>
      </c>
      <c r="AL94" t="n">
        <v>361.22</v>
      </c>
      <c r="AM94" t="n">
        <v>361.22</v>
      </c>
    </row>
    <row r="95">
      <c r="B95" t="n">
        <v>92</v>
      </c>
      <c r="C95" t="n">
        <v>146.5</v>
      </c>
      <c r="D95" t="n">
        <v>146.5</v>
      </c>
      <c r="E95" t="n">
        <v>146.5</v>
      </c>
      <c r="F95" t="n">
        <v>146.5</v>
      </c>
      <c r="G95" t="n">
        <v>146.5</v>
      </c>
      <c r="H95" t="n">
        <v>146.5</v>
      </c>
      <c r="I95" t="n">
        <v>146.5</v>
      </c>
      <c r="J95" t="n">
        <v>146.5</v>
      </c>
      <c r="K95" t="n">
        <v>146.5</v>
      </c>
      <c r="L95" t="n">
        <v>227.05</v>
      </c>
      <c r="M95" t="n">
        <v>227.05</v>
      </c>
      <c r="N95" t="n">
        <v>227.05</v>
      </c>
      <c r="O95" t="n">
        <v>227.05</v>
      </c>
      <c r="P95" t="n">
        <v>227.05</v>
      </c>
      <c r="Q95" t="n">
        <v>227.05</v>
      </c>
      <c r="R95" t="n">
        <v>227.05</v>
      </c>
      <c r="S95" t="n">
        <v>227.05</v>
      </c>
      <c r="T95" t="n">
        <v>227.05</v>
      </c>
      <c r="U95" t="n">
        <v>227.05</v>
      </c>
      <c r="V95" t="n">
        <v>227.05</v>
      </c>
      <c r="W95" t="n">
        <v>227.05</v>
      </c>
      <c r="X95" t="n">
        <v>227.05</v>
      </c>
      <c r="Y95" t="n">
        <v>227.05</v>
      </c>
      <c r="Z95" t="n">
        <v>227.05</v>
      </c>
      <c r="AA95" t="n">
        <v>227.05</v>
      </c>
      <c r="AB95" t="n">
        <v>170.05</v>
      </c>
      <c r="AC95" t="n">
        <v>170.05</v>
      </c>
      <c r="AD95" t="n">
        <v>170.05</v>
      </c>
      <c r="AE95" t="n">
        <v>170.05</v>
      </c>
      <c r="AF95" t="n">
        <v>170.05</v>
      </c>
      <c r="AG95" t="n">
        <v>170.05</v>
      </c>
      <c r="AH95" t="n">
        <v>170.05</v>
      </c>
      <c r="AI95" t="n">
        <v>170.05</v>
      </c>
      <c r="AJ95" t="n">
        <v>170.05</v>
      </c>
      <c r="AK95" t="n">
        <v>170.05</v>
      </c>
      <c r="AL95" t="n">
        <v>170.05</v>
      </c>
      <c r="AM95" t="n">
        <v>170.05</v>
      </c>
    </row>
    <row r="96">
      <c r="B96" t="n">
        <v>93</v>
      </c>
      <c r="C96" t="n">
        <v>305.1</v>
      </c>
      <c r="D96" t="n">
        <v>305.1</v>
      </c>
      <c r="E96" t="n">
        <v>179</v>
      </c>
      <c r="F96" t="n">
        <v>179</v>
      </c>
      <c r="G96" t="n">
        <v>179</v>
      </c>
      <c r="H96" t="n">
        <v>179</v>
      </c>
      <c r="I96" t="n">
        <v>179</v>
      </c>
      <c r="J96" t="n">
        <v>179</v>
      </c>
      <c r="K96" t="n">
        <v>179</v>
      </c>
      <c r="L96" t="n">
        <v>179</v>
      </c>
      <c r="M96" t="n">
        <v>179</v>
      </c>
      <c r="N96" t="n">
        <v>179</v>
      </c>
      <c r="O96" t="n">
        <v>179</v>
      </c>
      <c r="P96" t="n">
        <v>179</v>
      </c>
      <c r="Q96" t="n">
        <v>179</v>
      </c>
      <c r="R96" t="n">
        <v>179</v>
      </c>
      <c r="S96" t="n">
        <v>179</v>
      </c>
      <c r="T96" t="n">
        <v>179</v>
      </c>
      <c r="U96" t="n">
        <v>179</v>
      </c>
      <c r="V96" t="n">
        <v>179</v>
      </c>
      <c r="W96" t="n">
        <v>179</v>
      </c>
      <c r="X96" t="n">
        <v>179</v>
      </c>
      <c r="Y96" t="n">
        <v>179</v>
      </c>
      <c r="Z96" t="n">
        <v>179</v>
      </c>
      <c r="AA96" t="n">
        <v>179</v>
      </c>
      <c r="AB96" t="n">
        <v>179</v>
      </c>
      <c r="AC96" t="n">
        <v>179</v>
      </c>
      <c r="AD96" t="n">
        <v>179</v>
      </c>
      <c r="AE96" t="n">
        <v>179</v>
      </c>
      <c r="AF96" t="n">
        <v>179</v>
      </c>
      <c r="AG96" t="n">
        <v>179</v>
      </c>
      <c r="AH96" t="n">
        <v>185.27</v>
      </c>
      <c r="AI96" t="n">
        <v>185.27</v>
      </c>
      <c r="AJ96" t="n">
        <v>185.27</v>
      </c>
      <c r="AK96" t="n">
        <v>185.27</v>
      </c>
      <c r="AL96" t="n">
        <v>185.27</v>
      </c>
      <c r="AM96" t="n">
        <v>185.27</v>
      </c>
    </row>
    <row r="97">
      <c r="B97" t="n">
        <v>94</v>
      </c>
      <c r="C97" t="n">
        <v>349</v>
      </c>
      <c r="D97" t="n">
        <v>349</v>
      </c>
      <c r="E97" t="n">
        <v>349</v>
      </c>
      <c r="F97" t="n">
        <v>349</v>
      </c>
      <c r="G97" t="n">
        <v>349</v>
      </c>
      <c r="H97" t="n">
        <v>349</v>
      </c>
      <c r="I97" t="n">
        <v>349</v>
      </c>
      <c r="J97" t="n">
        <v>349</v>
      </c>
      <c r="K97" t="n">
        <v>349</v>
      </c>
      <c r="L97" t="n">
        <v>349</v>
      </c>
      <c r="M97" t="n">
        <v>349</v>
      </c>
      <c r="N97" t="n">
        <v>349</v>
      </c>
      <c r="O97" t="n">
        <v>349</v>
      </c>
      <c r="P97" t="n">
        <v>349</v>
      </c>
      <c r="Q97" t="n">
        <v>349</v>
      </c>
      <c r="R97" t="n">
        <v>349</v>
      </c>
      <c r="S97" t="n">
        <v>349</v>
      </c>
      <c r="T97" t="n">
        <v>349</v>
      </c>
      <c r="U97" t="n">
        <v>349</v>
      </c>
      <c r="V97" t="n">
        <v>349</v>
      </c>
      <c r="W97" t="n">
        <v>349</v>
      </c>
      <c r="X97" t="n">
        <v>349</v>
      </c>
      <c r="Y97" t="n">
        <v>364.75</v>
      </c>
      <c r="Z97" t="n">
        <v>361.22</v>
      </c>
      <c r="AA97" t="n">
        <v>361.22</v>
      </c>
      <c r="AB97" t="n">
        <v>361.22</v>
      </c>
      <c r="AC97" t="n">
        <v>361.22</v>
      </c>
      <c r="AD97" t="n">
        <v>361.22</v>
      </c>
      <c r="AE97" t="n">
        <v>361.22</v>
      </c>
      <c r="AF97" t="n">
        <v>361.22</v>
      </c>
      <c r="AG97" t="n">
        <v>361.22</v>
      </c>
      <c r="AH97" t="n">
        <v>361.22</v>
      </c>
      <c r="AI97" t="n">
        <v>361.22</v>
      </c>
      <c r="AJ97" t="n">
        <v>373.86</v>
      </c>
      <c r="AK97" t="n">
        <v>373.86</v>
      </c>
      <c r="AL97" t="n">
        <v>373.86</v>
      </c>
      <c r="AM97" t="n">
        <v>373.86</v>
      </c>
    </row>
    <row r="98">
      <c r="B98" t="n">
        <v>95</v>
      </c>
      <c r="C98" t="n">
        <v>129</v>
      </c>
      <c r="D98" t="n">
        <v>129</v>
      </c>
      <c r="E98" t="n">
        <v>129</v>
      </c>
      <c r="F98" t="n">
        <v>129</v>
      </c>
      <c r="G98" t="n">
        <v>129</v>
      </c>
      <c r="H98" t="n">
        <v>129</v>
      </c>
      <c r="I98" t="n">
        <v>129</v>
      </c>
      <c r="J98" t="n">
        <v>129</v>
      </c>
      <c r="K98" t="n">
        <v>129</v>
      </c>
      <c r="L98" t="n">
        <v>129</v>
      </c>
      <c r="M98" t="n">
        <v>129</v>
      </c>
      <c r="N98" t="n">
        <v>129</v>
      </c>
      <c r="O98" t="n">
        <v>129</v>
      </c>
      <c r="P98" t="n">
        <v>129</v>
      </c>
      <c r="Q98" t="n">
        <v>129</v>
      </c>
      <c r="R98" t="n">
        <v>129</v>
      </c>
      <c r="S98" t="n">
        <v>129</v>
      </c>
      <c r="T98" t="n">
        <v>129</v>
      </c>
      <c r="U98" t="n">
        <v>129</v>
      </c>
      <c r="V98" t="n">
        <v>129</v>
      </c>
      <c r="W98" t="n">
        <v>129</v>
      </c>
      <c r="X98" t="n">
        <v>129</v>
      </c>
      <c r="Y98" t="n">
        <v>129</v>
      </c>
      <c r="Z98" t="n">
        <v>129</v>
      </c>
      <c r="AA98" t="n">
        <v>129</v>
      </c>
      <c r="AB98" t="n">
        <v>129</v>
      </c>
      <c r="AC98" t="n">
        <v>129</v>
      </c>
      <c r="AD98" t="n">
        <v>129</v>
      </c>
      <c r="AE98" t="n">
        <v>129</v>
      </c>
      <c r="AF98" t="n">
        <v>129</v>
      </c>
      <c r="AG98" t="n">
        <v>129</v>
      </c>
      <c r="AH98" t="n">
        <v>129</v>
      </c>
      <c r="AI98" t="n">
        <v>129</v>
      </c>
      <c r="AJ98" t="n">
        <v>129</v>
      </c>
      <c r="AK98" t="n">
        <v>129</v>
      </c>
      <c r="AL98" t="n">
        <v>129</v>
      </c>
      <c r="AM98" t="n">
        <v>129</v>
      </c>
    </row>
    <row r="99">
      <c r="B99" t="n">
        <v>96</v>
      </c>
      <c r="C99" t="n">
        <v>284.05</v>
      </c>
      <c r="D99" t="n">
        <v>284.05</v>
      </c>
      <c r="E99" t="n">
        <v>284.05</v>
      </c>
      <c r="F99" t="n">
        <v>284.05</v>
      </c>
      <c r="G99" t="n">
        <v>284.05</v>
      </c>
      <c r="H99" t="n">
        <v>284.05</v>
      </c>
      <c r="I99" t="n">
        <v>290.03</v>
      </c>
      <c r="J99" t="n">
        <v>290.03</v>
      </c>
      <c r="K99" t="n">
        <v>290.03</v>
      </c>
      <c r="L99" t="n">
        <v>290.03</v>
      </c>
      <c r="M99" t="n">
        <v>281.33</v>
      </c>
      <c r="N99" t="n">
        <v>281.33</v>
      </c>
      <c r="O99" t="n">
        <v>281.33</v>
      </c>
      <c r="P99" t="n">
        <v>281.33</v>
      </c>
      <c r="Q99" t="n">
        <v>281.33</v>
      </c>
      <c r="R99" t="n">
        <v>281.33</v>
      </c>
      <c r="S99" t="n">
        <v>281.33</v>
      </c>
      <c r="T99" t="n">
        <v>290.03</v>
      </c>
      <c r="U99" t="n">
        <v>290.03</v>
      </c>
      <c r="V99" t="n">
        <v>290.03</v>
      </c>
      <c r="W99" t="n">
        <v>290.03</v>
      </c>
      <c r="X99" t="n">
        <v>290.03</v>
      </c>
      <c r="Y99" t="n">
        <v>290.03</v>
      </c>
      <c r="Z99" t="n">
        <v>290.03</v>
      </c>
      <c r="AA99" t="n">
        <v>290.03</v>
      </c>
      <c r="AB99" t="n">
        <v>290.03</v>
      </c>
      <c r="AC99" t="n">
        <v>290.03</v>
      </c>
      <c r="AD99" t="n">
        <v>290.03</v>
      </c>
      <c r="AE99" t="n">
        <v>284.05</v>
      </c>
      <c r="AF99" t="n">
        <v>284.05</v>
      </c>
      <c r="AG99" t="n">
        <v>284.05</v>
      </c>
      <c r="AH99" t="n">
        <v>294</v>
      </c>
      <c r="AI99" t="n">
        <v>294</v>
      </c>
      <c r="AJ99" t="n">
        <v>294</v>
      </c>
      <c r="AK99" t="n">
        <v>294</v>
      </c>
      <c r="AL99" t="n">
        <v>294</v>
      </c>
      <c r="AM99" t="n">
        <v>294</v>
      </c>
    </row>
    <row r="100">
      <c r="B100" t="n">
        <v>97</v>
      </c>
      <c r="C100" t="n">
        <v>319</v>
      </c>
      <c r="D100" t="n">
        <v>319</v>
      </c>
      <c r="E100" t="n">
        <v>319</v>
      </c>
      <c r="F100" t="n">
        <v>319</v>
      </c>
      <c r="G100" t="n">
        <v>319</v>
      </c>
      <c r="H100" t="n">
        <v>319</v>
      </c>
      <c r="I100" t="n">
        <v>378</v>
      </c>
      <c r="J100" t="n">
        <v>279</v>
      </c>
      <c r="K100" t="n">
        <v>279</v>
      </c>
      <c r="L100" t="n">
        <v>279</v>
      </c>
      <c r="M100" t="n">
        <v>279</v>
      </c>
      <c r="N100" t="n">
        <v>279</v>
      </c>
      <c r="O100" t="n">
        <v>279</v>
      </c>
      <c r="P100" t="n">
        <v>279</v>
      </c>
      <c r="Q100" t="n">
        <v>279</v>
      </c>
      <c r="R100" t="n">
        <v>279</v>
      </c>
      <c r="S100" t="n">
        <v>279</v>
      </c>
      <c r="T100" t="n">
        <v>279</v>
      </c>
      <c r="U100" t="n">
        <v>279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B101" t="n">
        <v>98</v>
      </c>
      <c r="C101" t="n">
        <v>299</v>
      </c>
      <c r="D101" t="n">
        <v>299</v>
      </c>
      <c r="E101" t="n">
        <v>299</v>
      </c>
      <c r="F101" t="n">
        <v>299</v>
      </c>
      <c r="G101" t="n">
        <v>299</v>
      </c>
      <c r="H101" t="n">
        <v>299</v>
      </c>
      <c r="I101" t="n">
        <v>299</v>
      </c>
      <c r="J101" t="n">
        <v>74.75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B102" t="n">
        <v>99</v>
      </c>
      <c r="C102" t="n">
        <v>195.11</v>
      </c>
      <c r="D102" t="n">
        <v>195.11</v>
      </c>
      <c r="E102" t="n">
        <v>195.11</v>
      </c>
      <c r="F102" t="n">
        <v>195.11</v>
      </c>
      <c r="G102" t="n">
        <v>195.11</v>
      </c>
      <c r="H102" t="n">
        <v>195.11</v>
      </c>
      <c r="I102" t="n">
        <v>195.11</v>
      </c>
      <c r="J102" t="n">
        <v>195.11</v>
      </c>
      <c r="K102" t="n">
        <v>195.11</v>
      </c>
      <c r="L102" t="n">
        <v>195.11</v>
      </c>
      <c r="M102" t="n">
        <v>195.11</v>
      </c>
      <c r="N102" t="n">
        <v>195.11</v>
      </c>
      <c r="O102" t="n">
        <v>195.11</v>
      </c>
      <c r="P102" t="n">
        <v>195.11</v>
      </c>
      <c r="Q102" t="n">
        <v>195.11</v>
      </c>
      <c r="R102" t="n">
        <v>195.11</v>
      </c>
      <c r="S102" t="n">
        <v>195.11</v>
      </c>
      <c r="T102" t="n">
        <v>195.11</v>
      </c>
      <c r="U102" t="n">
        <v>195.11</v>
      </c>
      <c r="V102" t="n">
        <v>195.11</v>
      </c>
      <c r="W102" t="n">
        <v>195.11</v>
      </c>
      <c r="X102" t="n">
        <v>195.11</v>
      </c>
      <c r="Y102" t="n">
        <v>195.11</v>
      </c>
      <c r="Z102" t="n">
        <v>195.11</v>
      </c>
      <c r="AA102" t="n">
        <v>195.11</v>
      </c>
      <c r="AB102" t="n">
        <v>195.11</v>
      </c>
      <c r="AC102" t="n">
        <v>195.11</v>
      </c>
      <c r="AD102" t="n">
        <v>201.94</v>
      </c>
      <c r="AE102" t="n">
        <v>201.94</v>
      </c>
      <c r="AF102" t="n">
        <v>201.94</v>
      </c>
      <c r="AG102" t="n">
        <v>201.94</v>
      </c>
      <c r="AH102" t="n">
        <v>201.94</v>
      </c>
      <c r="AI102" t="n">
        <v>201.94</v>
      </c>
      <c r="AJ102" t="n">
        <v>201.94</v>
      </c>
      <c r="AK102" t="n">
        <v>201.94</v>
      </c>
      <c r="AL102" t="n">
        <v>201.94</v>
      </c>
      <c r="AM102" t="n">
        <v>201.94</v>
      </c>
    </row>
    <row r="103">
      <c r="B103" t="n">
        <v>100</v>
      </c>
      <c r="C103" t="n">
        <v>259</v>
      </c>
      <c r="D103" t="n">
        <v>259</v>
      </c>
      <c r="E103" t="n">
        <v>259</v>
      </c>
      <c r="F103" t="n">
        <v>259</v>
      </c>
      <c r="G103" t="n">
        <v>259</v>
      </c>
      <c r="H103" t="n">
        <v>259</v>
      </c>
      <c r="I103" t="n">
        <v>259</v>
      </c>
      <c r="J103" t="n">
        <v>259</v>
      </c>
      <c r="K103" t="n">
        <v>259</v>
      </c>
      <c r="L103" t="n">
        <v>259</v>
      </c>
      <c r="M103" t="n">
        <v>259</v>
      </c>
      <c r="N103" t="n">
        <v>259</v>
      </c>
      <c r="O103" t="n">
        <v>259</v>
      </c>
      <c r="P103" t="n">
        <v>259</v>
      </c>
      <c r="Q103" t="n">
        <v>259</v>
      </c>
      <c r="R103" t="n">
        <v>259</v>
      </c>
      <c r="S103" t="n">
        <v>259</v>
      </c>
      <c r="T103" t="n">
        <v>259</v>
      </c>
      <c r="U103" t="n">
        <v>259</v>
      </c>
      <c r="V103" t="n">
        <v>259</v>
      </c>
      <c r="W103" t="n">
        <v>259</v>
      </c>
      <c r="X103" t="n">
        <v>279</v>
      </c>
      <c r="Y103" t="n">
        <v>279</v>
      </c>
      <c r="Z103" t="n">
        <v>279</v>
      </c>
      <c r="AA103" t="n">
        <v>279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/>
    <row r="105"/>
    <row r="106"/>
    <row r="107"/>
    <row r="108"/>
    <row r="109"/>
    <row r="1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2026-03-30T01:22:18Z</dcterms:created>
  <dcterms:modified xsi:type="dcterms:W3CDTF">2026-03-30T01:22:18Z</dcterms:modified>
</cp:coreProperties>
</file>