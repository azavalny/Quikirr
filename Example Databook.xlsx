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KPI Summary" sheetId="1" state="visible" r:id="rId1"/>
    <sheet name="ARR Bridge" sheetId="2" state="visible" r:id="rId2"/>
    <sheet name="Cohort Retention" sheetId="3" state="visible" r:id="rId3"/>
    <sheet name="P&amp;L" sheetId="4" state="visible" r:id="rId4"/>
    <sheet name="Customer &amp; Unit Economics" sheetId="5" state="visible" r:id="rId5"/>
    <sheet name="Source Data" sheetId="6" state="visible" r:id="rId6"/>
  </sheets>
  <definedNames>
    <definedName name="____________________________________________________ppp2" hidden="1">{"FCB_ALL",#N/A,FALSE,"FCB"}</definedName>
    <definedName name="_________________________________________________ppp2" hidden="1">{"FCB_ALL",#N/A,FALSE,"FCB"}</definedName>
    <definedName name="______________________________________________ppp2" hidden="1">{"FCB_ALL",#N/A,FALSE,"FCB"}</definedName>
    <definedName name="____________________________________________ppp2" hidden="1">{"FCB_ALL",#N/A,FALSE,"FCB"}</definedName>
    <definedName name="__________________________________________ppp2" hidden="1">{"FCB_ALL",#N/A,FALSE,"FCB"}</definedName>
    <definedName name="_______________________________________ppp2" hidden="1">{"FCB_ALL",#N/A,FALSE,"FCB"}</definedName>
    <definedName name="___________________________________ppp2" hidden="1">{"FCB_ALL",#N/A,FALSE,"FCB"}</definedName>
    <definedName name="________________________________ppp2" hidden="1">{"FCB_ALL",#N/A,FALSE,"FCB"}</definedName>
    <definedName name="______________________________ppp2" hidden="1">{"FCB_ALL",#N/A,FALSE,"FCB"}</definedName>
    <definedName name="___________________________ppp2" hidden="1">{"FCB_ALL",#N/A,FALSE,"FCB"}</definedName>
    <definedName name="________________________ppp2" hidden="1">{"FCB_ALL",#N/A,FALSE,"FCB"}</definedName>
    <definedName name="_____________________ppp2" hidden="1">{"FCB_ALL",#N/A,FALSE,"FCB"}</definedName>
    <definedName name="__________________ppp2" hidden="1">{"FCB_ALL",#N/A,FALSE,"FCB"}</definedName>
    <definedName name="_______________ppp2" hidden="1">{"FCB_ALL",#N/A,FALSE,"FCB"}</definedName>
    <definedName name="_____________ppp2" hidden="1">{"FCB_ALL",#N/A,FALSE,"FCB"}</definedName>
    <definedName name="___________ppp2" hidden="1">{"FCB_ALL",#N/A,FALSE,"FCB"}</definedName>
    <definedName name="________hhh9" hidden="1">{#N/A,#N/A,FALSE,"MAY";#N/A,#N/A,FALSE,"Q2";#N/A,#N/A,FALSE,"YTD"}</definedName>
    <definedName name="________ppp2" hidden="1">{"FCB_ALL",#N/A,FALSE,"FCB"}</definedName>
    <definedName name="________uuu11" hidden="1">{#N/A,#N/A,FALSE,"MAY";#N/A,#N/A,FALSE,"Q2";#N/A,#N/A,FALSE,"YTD"}</definedName>
    <definedName name="________WC1" hidden="1">#REF!</definedName>
    <definedName name="________WC2" hidden="1">#REF!</definedName>
    <definedName name="_______hhh9" hidden="1">{#N/A,#N/A,FALSE,"MAY";#N/A,#N/A,FALSE,"Q2";#N/A,#N/A,FALSE,"YTD"}</definedName>
    <definedName name="_______uuu11" hidden="1">{#N/A,#N/A,FALSE,"MAY";#N/A,#N/A,FALSE,"Q2";#N/A,#N/A,FALSE,"YTD"}</definedName>
    <definedName name="_______WC1" hidden="1">#REF!</definedName>
    <definedName name="_______WC2" hidden="1">#REF!</definedName>
    <definedName name="______hhh9" hidden="1">{#N/A,#N/A,FALSE,"MAY";#N/A,#N/A,FALSE,"Q2";#N/A,#N/A,FALSE,"YTD"}</definedName>
    <definedName name="______Key2" hidden="1">#REF!</definedName>
    <definedName name="______ppp2" hidden="1">{"FCB_ALL",#N/A,FALSE,"FCB"}</definedName>
    <definedName name="______uuu11" hidden="1">{#N/A,#N/A,FALSE,"MAY";#N/A,#N/A,FALSE,"Q2";#N/A,#N/A,FALSE,"YTD"}</definedName>
    <definedName name="______WC1" hidden="1">#REF!</definedName>
    <definedName name="______WC2" hidden="1">#REF!</definedName>
    <definedName name="_____hhh9" hidden="1">{#N/A,#N/A,FALSE,"MAY";#N/A,#N/A,FALSE,"Q2";#N/A,#N/A,FALSE,"YTD"}</definedName>
    <definedName name="_____Key2" hidden="1">#REF!</definedName>
    <definedName name="_____Key2a" hidden="1">#REF!</definedName>
    <definedName name="_____ppp2" hidden="1">{"FCB_ALL",#N/A,FALSE,"FCB"}</definedName>
    <definedName name="_____uuu11" hidden="1">{#N/A,#N/A,FALSE,"MAY";#N/A,#N/A,FALSE,"Q2";#N/A,#N/A,FALSE,"YTD"}</definedName>
    <definedName name="_____WC1" hidden="1">#REF!</definedName>
    <definedName name="_____WC2" hidden="1">#REF!</definedName>
    <definedName name="____hhh9" hidden="1">{#N/A,#N/A,FALSE,"MAY";#N/A,#N/A,FALSE,"Q2";#N/A,#N/A,FALSE,"YTD"}</definedName>
    <definedName name="____Key2" hidden="1">#REF!</definedName>
    <definedName name="____Key2a" hidden="1">#REF!</definedName>
    <definedName name="____ppp2" hidden="1">{"FCB_ALL",#N/A,FALSE,"FCB"}</definedName>
    <definedName name="____uuu11" hidden="1">{#N/A,#N/A,FALSE,"MAY";#N/A,#N/A,FALSE,"Q2";#N/A,#N/A,FALSE,"YTD"}</definedName>
    <definedName name="____WC1" hidden="1">#REF!</definedName>
    <definedName name="____WC2" hidden="1">#REF!</definedName>
    <definedName name="___hhh9" hidden="1">{#N/A,#N/A,FALSE,"MAY";#N/A,#N/A,FALSE,"Q2";#N/A,#N/A,FALSE,"YTD"}</definedName>
    <definedName name="___Key2" hidden="1">#REF!</definedName>
    <definedName name="_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r" hidden="1">{"consolidated",#N/A,FALSE,"Sheet1";"cms",#N/A,FALSE,"Sheet1";"fse",#N/A,FALSE,"Sheet1"}</definedName>
    <definedName name="___uuu11" hidden="1">{#N/A,#N/A,FALSE,"MAY";#N/A,#N/A,FALSE,"Q2";#N/A,#N/A,FALSE,"YTD"}</definedName>
    <definedName name="___WC1" hidden="1">#REF!</definedName>
    <definedName name="___WC2" hidden="1">#REF!</definedName>
    <definedName name="__123Graph_A" hidden="1">#N/A</definedName>
    <definedName name="__123Graph_AB06" hidden="1">#REF!</definedName>
    <definedName name="__123Graph_ABICBETA" hidden="1">#REF!</definedName>
    <definedName name="__123Graph_ABOOKBETA" hidden="1">#REF!</definedName>
    <definedName name="__123Graph_ACOAL" hidden="1">#REF!</definedName>
    <definedName name="__123Graph_ACURRENT" hidden="1">#N/A</definedName>
    <definedName name="__123Graph_ADA" hidden="1">#REF!</definedName>
    <definedName name="__123Graph_ADEPREC2" hidden="1">#REF!</definedName>
    <definedName name="__123Graph_AEBITDABETA" hidden="1">#REF!</definedName>
    <definedName name="__123Graph_AEMPBETA" hidden="1">#REF!</definedName>
    <definedName name="__123Graph_ALRN" hidden="1">#REF!</definedName>
    <definedName name="__123Graph_ALRNRATE" hidden="1">#REF!</definedName>
    <definedName name="__123Graph_AMVICBETA" hidden="1">#REF!</definedName>
    <definedName name="__123Graph_ANIBETA" hidden="1">#REF!</definedName>
    <definedName name="__123Graph_APROCEEDS" hidden="1">#REF!</definedName>
    <definedName name="__123Graph_ASALEBETA" hidden="1">#REF!</definedName>
    <definedName name="__123Graph_ATREND" hidden="1">#REF!</definedName>
    <definedName name="__123Graph_B" hidden="1">#N/A</definedName>
    <definedName name="__123Graph_BBICBETA" hidden="1">#REF!</definedName>
    <definedName name="__123Graph_BBOOKBETA" hidden="1">#REF!</definedName>
    <definedName name="__123Graph_BCOAL" hidden="1">#REF!</definedName>
    <definedName name="__123Graph_BCURRENT" hidden="1">#N/A</definedName>
    <definedName name="__123Graph_BLRN" hidden="1">#REF!</definedName>
    <definedName name="__123Graph_BLRNRATE" hidden="1">#REF!</definedName>
    <definedName name="__123Graph_BMKTVBETA" hidden="1">#REF!</definedName>
    <definedName name="__123Graph_BPROCEEDS" hidden="1">#REF!</definedName>
    <definedName name="__123Graph_BSALEBETA" hidden="1">#REF!</definedName>
    <definedName name="__123Graph_BTREND" hidden="1">#REF!</definedName>
    <definedName name="__123Graph_C" hidden="1">#REF!</definedName>
    <definedName name="__123Graph_CCOAL" hidden="1">#REF!</definedName>
    <definedName name="__123Graph_CLRN" hidden="1">#REF!</definedName>
    <definedName name="__123Graph_CLRNRATE" hidden="1">#REF!</definedName>
    <definedName name="__123Graph_CPROCEEDS" hidden="1">#REF!</definedName>
    <definedName name="__123Graph_CTREND" hidden="1">#REF!</definedName>
    <definedName name="__123Graph_D" hidden="1">#REF!</definedName>
    <definedName name="__123Graph_DCOAL" hidden="1">#REF!</definedName>
    <definedName name="__123Graph_E" hidden="1">#REF!</definedName>
    <definedName name="__123Graph_ECOAL" hidden="1">#REF!</definedName>
    <definedName name="__123Graph_F" hidden="1">#REF!</definedName>
    <definedName name="__123Graph_X" hidden="1">#N/A</definedName>
    <definedName name="__123Graph_XCOAL" hidden="1">#REF!</definedName>
    <definedName name="__123Graph_XCURRENT" hidden="1">#N/A</definedName>
    <definedName name="__123Graph_XLRN" hidden="1">#REF!</definedName>
    <definedName name="__123Graph_XLRNRATE" hidden="1">#REF!</definedName>
    <definedName name="__123Graph_XPROCEEDS" hidden="1">#REF!</definedName>
    <definedName name="__123Graph_XTREND" hidden="1">#REF!</definedName>
    <definedName name="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2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U4" hidden="1">{"Page 1",#N/A,TRUE,"Sheet1";"Page 2",#N/A,TRUE,"Sheet1"}</definedName>
    <definedName name="__BU4_1" hidden="1">{"Page 1",#N/A,TRUE,"Sheet1";"Page 2",#N/A,TRUE,"Sheet1"}</definedName>
    <definedName name="__FDS_HYPERLINK_TOGGLE_STATE__" hidden="1">"ON"</definedName>
    <definedName name="__FDS_UNIQUE_RANGE_ID_GENERATOR_COUNTER" hidden="1">118</definedName>
    <definedName name="__FDS2" hidden="1">{"bs",#N/A,FALSE,"SCF"}</definedName>
    <definedName name="__fy97" hidden="1">{#N/A,#N/A,FALSE,"FY97";#N/A,#N/A,FALSE,"FY98";#N/A,#N/A,FALSE,"FY99";#N/A,#N/A,FALSE,"FY00";#N/A,#N/A,FALSE,"FY01"}</definedName>
    <definedName name="__hhh9" hidden="1">{#N/A,#N/A,FALSE,"MAY";#N/A,#N/A,FALSE,"Q2";#N/A,#N/A,FALSE,"YTD"}</definedName>
    <definedName name="__IntlFixup" hidden="1">TRUE</definedName>
    <definedName name="__IntlFixupTable" hidden="1">#REF!</definedName>
    <definedName name="__Key2" hidden="1">#REF!</definedName>
    <definedName name="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a2" hidden="1">"100"</definedName>
    <definedName name="__na3" hidden="1">"50"</definedName>
    <definedName name="__na4" hidden="1">"IQ_LTM_DATE"</definedName>
    <definedName name="__ppp2" hidden="1">{"FCB_ALL",#N/A,FALSE,"FCB"}</definedName>
    <definedName name="__Q1" hidden="1">{"'Standalone List Price Trends'!$A$1:$X$56"}</definedName>
    <definedName name="__Q1_1" hidden="1">{"'Standalone List Price Trends'!$A$1:$X$56"}</definedName>
    <definedName name="__Q2" hidden="1">{"'Standalone List Price Trends'!$A$1:$X$56"}</definedName>
    <definedName name="__Q2_1" hidden="1">{"'Standalone List Price Trends'!$A$1:$X$56"}</definedName>
    <definedName name="__Q3" hidden="1">{"'Standalone List Price Trends'!$A$1:$X$56"}</definedName>
    <definedName name="__Q3_1" hidden="1">{"'Standalone List Price Trends'!$A$1:$X$56"}</definedName>
    <definedName name="__Q4" hidden="1">{"'Standalone List Price Trends'!$A$1:$X$56"}</definedName>
    <definedName name="__Q4_1" hidden="1">{"'Standalone List Price Trends'!$A$1:$X$56"}</definedName>
    <definedName name="__Q5" hidden="1">{"'Standalone List Price Trends'!$A$1:$X$56"}</definedName>
    <definedName name="__Q5_1" hidden="1">{"'Standalone List Price Trends'!$A$1:$X$56"}</definedName>
    <definedName name="__Q9" hidden="1">{"'Standalone List Price Trends'!$A$1:$X$56"}</definedName>
    <definedName name="__Q9_1" hidden="1">{"'Standalone List Price Trends'!$A$1:$X$56"}</definedName>
    <definedName name="__r" hidden="1">{"consolidated",#N/A,FALSE,"Sheet1";"cms",#N/A,FALSE,"Sheet1";"fse",#N/A,FALSE,"Sheet1"}</definedName>
    <definedName name="__rw1" hidden="1">{"'Standalone List Price Trends'!$A$1:$X$56"}</definedName>
    <definedName name="__rw1_1" hidden="1">{"'Standalone List Price Trends'!$A$1:$X$56"}</definedName>
    <definedName name="__rw2" hidden="1">{"'Standalone List Price Trends'!$A$1:$X$56"}</definedName>
    <definedName name="__rw2_1" hidden="1">{"'Standalone List Price Trends'!$A$1:$X$56"}</definedName>
    <definedName name="__rw3" hidden="1">{"'Standalone List Price Trends'!$A$1:$X$56"}</definedName>
    <definedName name="__rw3_1" hidden="1">{"'Standalone List Price Trends'!$A$1:$X$56"}</definedName>
    <definedName name="__rw4" hidden="1">{"'Standalone List Price Trends'!$A$1:$X$56"}</definedName>
    <definedName name="__rw4_1" hidden="1">{"'Standalone List Price Trends'!$A$1:$X$56"}</definedName>
    <definedName name="__uuu11" hidden="1">{#N/A,#N/A,FALSE,"MAY";#N/A,#N/A,FALSE,"Q2";#N/A,#N/A,FALSE,"YTD"}</definedName>
    <definedName name="__WC1" hidden="1">#REF!</definedName>
    <definedName name="__WC2" hidden="1">#REF!</definedName>
    <definedName name="__wrn1" hidden="1">{#N/A,#N/A,FALSE,"DCF";#N/A,#N/A,FALSE,"WACC";#N/A,#N/A,FALSE,"Sales_EBIT";#N/A,#N/A,FALSE,"Capex_Depreciation";#N/A,#N/A,FALSE,"WC";#N/A,#N/A,FALSE,"Interest";#N/A,#N/A,FALSE,"Assumptions"}</definedName>
    <definedName name="_1__123Graph_AChart_1" hidden="1">#REF!</definedName>
    <definedName name="_1__123Graph_BCHART_1" hidden="1">#REF!</definedName>
    <definedName name="_1__123Graph_BCHART_5" hidden="1">#N/A</definedName>
    <definedName name="_1__FDSAUDITLINK__" hidden="1">{"fdsup://directions/FAT Viewer?action=UPDATE&amp;creator=factset&amp;DYN_ARGS=TRUE&amp;DOC_NAME=FAT:FQL_AUDITING_CLIENT_TEMPLATE.FAT&amp;display_string=Audit&amp;VAR:KEY=CNUVKVKDCV&amp;VAR:QUERY=KChGRl9ORVRfSU5DKExUTSwwLCwsUkYsVVNEKUBGRl9ORVRfSU5DKExUTVNfU0VNSSwwLCwsUkYsVVNEKSlAR","kZfTkVUX0lOQyhBTk4sMCwsLFJGLFVTRCkp&amp;WINDOW=FIRST_POPUP&amp;HEIGHT=450&amp;WIDTH=450&amp;START_MAXIMIZED=FALSE&amp;VAR:CALENDAR=US&amp;VAR:INDEX=0"}</definedName>
    <definedName name="_1__FDSAUDITLINK___1" hidden="1">{"fdsup://IBCentral/FAT Viewer?action=UPDATE&amp;creator=factset&amp;DOC_NAME=fat:reuters_annual_shs_src_window.fat&amp;display_string=Audit&amp;DYN_ARGS=TRUE&amp;VAR:ID1=594327&amp;VAR:RCODE=FDSSHSOUTDEPS&amp;VAR:SDATE=20061299&amp;VAR:FREQ=Y&amp;VAR:RELITEM=RF&amp;VAR:CURRENCY=&amp;VAR:CURRSOURCE=E","XSHARE&amp;VAR:NATFREQ=ANNUAL&amp;VAR:RFIELD=FINALIZED&amp;VAR:DB_TYPE=&amp;VAR:UNITS=MONTHLY&amp;window=popup&amp;width=450&amp;height=300&amp;START_MAXIMIZED=FALSE"}</definedName>
    <definedName name="_1_0_Table2_" hidden="1">#REF!</definedName>
    <definedName name="_10__123Graph_AChart_5" hidden="1">#REF!</definedName>
    <definedName name="_10__123Graph_ADEPREC" hidden="1">#REF!</definedName>
    <definedName name="_10__123Graph_C_FABP_L.WK1_FAB" hidden="1">#REF!</definedName>
    <definedName name="_10__FDSAUDITLINK__" hidden="1">{"fdsup://directions/FAT Viewer?action=UPDATE&amp;creator=factset&amp;DYN_ARGS=TRUE&amp;DOC_NAME=FAT:FQL_AUDITING_CLIENT_TEMPLATE.FAT&amp;display_string=Audit&amp;VAR:KEY=ETWLIRSPYT&amp;VAR:QUERY=RkZfRVBTKExUTSwxMi8zMS8yMDA5LCwsUkYsVVNEKQ==&amp;WINDOW=FIRST_POPUP&amp;HEIGHT=450&amp;WIDTH=450&amp;","START_MAXIMIZED=FALSE&amp;VAR:CALENDAR=US&amp;VAR:SYMBOL=MIPS&amp;VAR:INDEX=0"}</definedName>
    <definedName name="_10__FDSAUDITLINK___1" hidden="1">{"fdsup://IBCentral/FAT Viewer?action=UPDATE&amp;creator=factset&amp;DOC_NAME=fat:reuters_annual_shs_src_window.fat&amp;display_string=Audit&amp;DYN_ARGS=TRUE&amp;VAR:ID1=04033V20&amp;VAR:RCODE=FDSSHSOUTDEPS&amp;VAR:SDATE=20070999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00__FDSAUDITLINK__" hidden="1">{"fdsup://directions/FAT Viewer?action=UPDATE&amp;creator=factset&amp;DYN_ARGS=TRUE&amp;DOC_NAME=FAT:FQL_AUDITING_CLIENT_TEMPLATE.FAT&amp;display_string=Audit&amp;VAR:KEY=EHCVULMLKL&amp;VAR:QUERY=KChGRl9FQklUREEoTFRNLDAsLCxSRixVU0QpQEZGX0VCSVREQShMVE1TX1NFTUksMCwsLFJGLFVTRCkpQEZGX","0VCSVREQShBTk4sMCwsLFJGLFVTRCkp&amp;WINDOW=FIRST_POPUP&amp;HEIGHT=450&amp;WIDTH=450&amp;START_MAXIMIZED=FALSE&amp;VAR:CALENDAR=US&amp;VAR:SYMBOL=PJC&amp;VAR:INDEX=0"}</definedName>
    <definedName name="_1000__FDSAUDITLINK__" hidden="1">{"fdsup://Directions/FactSet Auditing Viewer?action=AUDIT_VALUE&amp;DB=129&amp;ID1=B2PG34&amp;VALUEID=01001&amp;SDATE=2011&amp;PERIODTYPE=ANN_STD&amp;SCFT=3&amp;window=popup_no_bar&amp;width=385&amp;height=120&amp;START_MAXIMIZED=FALSE&amp;creator=factset&amp;display_string=Audit"}</definedName>
    <definedName name="_1001__FDSAUDITLINK__" hidden="1">{"fdsup://directions/FAT Viewer?action=UPDATE&amp;creator=factset&amp;DYN_ARGS=TRUE&amp;DOC_NAME=FAT:FQL_AUDITING_CLIENT_TEMPLATE.FAT&amp;display_string=Audit&amp;VAR:KEY=YHUHEJEDSJ&amp;VAR:QUERY=RkZfRU5UUlBSX1ZBTF9EQUlMWSgwLCwsLFVTRCwnRElMJyk=&amp;WINDOW=FIRST_POPUP&amp;HEIGHT=450&amp;WIDTH=","450&amp;START_MAXIMIZED=FALSE&amp;VAR:CALENDAR=FIVEDAY&amp;VAR:SYMBOL=2174&amp;VAR:INDEX=0"}</definedName>
    <definedName name="_101__FDSAUDITLINK__" hidden="1">{"fdsup://directions/FAT Viewer?action=UPDATE&amp;creator=factset&amp;DYN_ARGS=TRUE&amp;DOC_NAME=FAT:FQL_AUDITING_CLIENT_TEMPLATE.FAT&amp;display_string=Audit&amp;VAR:KEY=DGJQPQBCHY&amp;VAR:QUERY=KChGRl9FQklUREEoTFRNLDAsLCxSRixVU0QpQEZGX0VCSVREQShMVE1TX1NFTUksMCwsLFJGLFVTRCkpQEZGX","0VCSVREQShBTk4sMCwsLFJGLFVTRCkp&amp;WINDOW=FIRST_POPUP&amp;HEIGHT=450&amp;WIDTH=450&amp;START_MAXIMIZED=FALSE&amp;VAR:CALENDAR=US&amp;VAR:SYMBOL=ARMH&amp;VAR:INDEX=0"}</definedName>
    <definedName name="_102__FDSAUDITLINK__" hidden="1">{"fdsup://Directions/FactSet Auditing Viewer?action=AUDIT_VALUE&amp;DB=129&amp;ID1=72407810&amp;VALUEID=01001&amp;SDATE=200904&amp;PERIODTYPE=QTR_STD&amp;window=popup_no_bar&amp;width=385&amp;height=120&amp;START_MAXIMIZED=FALSE&amp;creator=factset&amp;display_string=Audit"}</definedName>
    <definedName name="_103__FDSAUDITLINK__" hidden="1">{"fdsup://Directions/FactSet Auditing Viewer?action=AUDIT_VALUE&amp;DB=129&amp;ID1=72407810&amp;VALUEID=01001&amp;SDATE=200901&amp;PERIODTYPE=QTR_STD&amp;window=popup_no_bar&amp;width=385&amp;height=120&amp;START_MAXIMIZED=FALSE&amp;creator=factset&amp;display_string=Audit"}</definedName>
    <definedName name="_104__FDSAUDITLINK__" hidden="1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105__FDSAUDITLINK__" hidden="1">{"fdsup://Directions/FactSet Auditing Viewer?action=AUDIT_VALUE&amp;DB=129&amp;ID1=G5405010&amp;VALUEID=01001&amp;SDATE=200904&amp;PERIODTYPE=QTR_STD&amp;window=popup_no_bar&amp;width=385&amp;height=120&amp;START_MAXIMIZED=FALSE&amp;creator=factset&amp;display_string=Audit"}</definedName>
    <definedName name="_106__FDSAUDITLINK__" hidden="1">{"fdsup://directions/FAT Viewer?action=UPDATE&amp;creator=factset&amp;DYN_ARGS=TRUE&amp;DOC_NAME=FAT:FQL_AUDITING_CLIENT_TEMPLATE.FAT&amp;display_string=Audit&amp;VAR:KEY=CJKBCVUHM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107__FDSAUDITLINK__" hidden="1">{"fdsup://Directions/FactSet Auditing Viewer?action=AUDIT_VALUE&amp;DB=129&amp;ID1=46629U10&amp;VALUEID=07011&amp;SDATE=2009&amp;PERIODTYPE=ANN_STD&amp;window=popup_no_bar&amp;width=385&amp;height=120&amp;START_MAXIMIZED=FALSE&amp;creator=factset&amp;display_string=Audit"}</definedName>
    <definedName name="_108__FDSAUDITLINK__" hidden="1">{"fdsup://Directions/FactSet Auditing Viewer?action=AUDIT_VALUE&amp;DB=129&amp;ID1=00388130&amp;VALUEID=01001&amp;SDATE=201101&amp;PERIODTYPE=QTR_STD&amp;SCFT=3&amp;window=popup_no_bar&amp;width=385&amp;height=120&amp;START_MAXIMIZED=FALSE&amp;creator=factset&amp;display_string=Audit"}</definedName>
    <definedName name="_109__FDSAUDITLINK__" hidden="1">{"fdsup://directions/FAT Viewer?action=UPDATE&amp;creator=factset&amp;DYN_ARGS=TRUE&amp;DOC_NAME=FAT:FQL_AUDITING_CLIENT_TEMPLATE.FAT&amp;display_string=Audit&amp;VAR:KEY=YVORGXIRG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11__123Graph_AChart_6" hidden="1">#REF!</definedName>
    <definedName name="_11__123Graph_X_FABP_L.WK1_FAB" hidden="1">#REF!</definedName>
    <definedName name="_11__FDSAUDITLINK__" hidden="1">{"fdsup://directions/FAT Viewer?action=UPDATE&amp;creator=factset&amp;DYN_ARGS=TRUE&amp;DOC_NAME=FAT:FQL_AUDITING_CLIENT_TEMPLATE.FAT&amp;display_string=Audit&amp;VAR:KEY=EZIRIZYNEV&amp;VAR:QUERY=RkZfU0FMRVMoTFRNLDEyLzMxLzIwMDksLCxSRixVU0Qp&amp;WINDOW=FIRST_POPUP&amp;HEIGHT=450&amp;WIDTH=450&amp;","START_MAXIMIZED=FALSE&amp;VAR:CALENDAR=US&amp;VAR:SYMBOL=MIPS&amp;VAR:INDEX=0"}</definedName>
    <definedName name="_11__FDSAUDITLINK___1" hidden="1">{"fdsup://IBCentral/FAT Viewer?action=UPDATE&amp;creator=factset&amp;DOC_NAME=fat:reuters_annual_shs_src_window.fat&amp;display_string=Audit&amp;DYN_ARGS=TRUE&amp;VAR:ID1=20670810&amp;VAR:RCODE=FDSSHSOUTDEPS&amp;VAR:SDATE=20070999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10__FDSAUDITLINK__" hidden="1">{"fdsup://directions/FAT Viewer?action=UPDATE&amp;creator=factset&amp;DYN_ARGS=TRUE&amp;DOC_NAME=FAT:FQL_AUDITING_CLIENT_TEMPLATE.FAT&amp;display_string=Audit&amp;VAR:KEY=AHWVYDSZK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111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112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113__FDSAUDITLINK__" hidden="1">{"fdsup://directions/FAT Viewer?action=UPDATE&amp;creator=factset&amp;DYN_ARGS=TRUE&amp;DOC_NAME=FAT:FQL_AUDITING_CLIENT_TEMPLATE.FAT&amp;display_string=Audit&amp;VAR:KEY=SVQZSZQFO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114__FDSAUDITLINK__" hidden="1">{"fdsup://Directions/FactSet Auditing Viewer?action=AUDIT_VALUE&amp;DB=129&amp;ID1=29977A10&amp;VALUEID=07011&amp;SDATE=2009&amp;PERIODTYPE=ANN_STD&amp;window=popup_no_bar&amp;width=385&amp;height=120&amp;START_MAXIMIZED=FALSE&amp;creator=factset&amp;display_string=Audit"}</definedName>
    <definedName name="_115__FDSAUDITLINK__" hidden="1">{"fdsup://directions/FAT Viewer?action=UPDATE&amp;creator=factset&amp;DYN_ARGS=TRUE&amp;DOC_NAME=FAT:FQL_AUDITING_CLIENT_TEMPLATE.FAT&amp;display_string=Audit&amp;VAR:KEY=RAHGNOFKTI&amp;VAR:QUERY=KEZGX0VCSVREQShMVE0sMTIvMzEvMjAwOSwsLFJGLFVTRClARkZfRUJJVERBX0lCKExUTSwxMi8zMS8yMDA5L","CwsUkYsVVNEKSk=&amp;WINDOW=FIRST_POPUP&amp;HEIGHT=450&amp;WIDTH=450&amp;START_MAXIMIZED=FALSE&amp;VAR:CALENDAR=US&amp;VAR:SYMBOL=ACTG&amp;VAR:INDEX=0"}</definedName>
    <definedName name="_116__FDSAUDITLINK__" hidden="1">{"fdsup://directions/FAT Viewer?action=UPDATE&amp;creator=factset&amp;DYN_ARGS=TRUE&amp;DOC_NAME=FAT:FQL_AUDITING_CLIENT_TEMPLATE.FAT&amp;display_string=Audit&amp;VAR:KEY=AVAZGTKDU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117__FDSAUDITLINK__" hidden="1">{"fdsup://Directions/FactSet Auditing Viewer?action=AUDIT_VALUE&amp;DB=129&amp;ID1=72407810&amp;VALUEID=07011&amp;SDATE=2009&amp;PERIODTYPE=ANN_STD&amp;window=popup_no_bar&amp;width=385&amp;height=120&amp;START_MAXIMIZED=FALSE&amp;creator=factset&amp;display_string=Audit"}</definedName>
    <definedName name="_118__FDSAUDITLINK__" hidden="1">{"fdsup://directions/FAT Viewer?action=UPDATE&amp;creator=factset&amp;DYN_ARGS=TRUE&amp;DOC_NAME=FAT:FQL_AUDITING_CLIENT_TEMPLATE.FAT&amp;display_string=Audit&amp;VAR:KEY=FWTAHAHIXS&amp;VAR:QUERY=KChGRl9ERUJUKFFUUiwwLCwsUkYsVVNEKUBGRl9ERUJUKFNFTUksMCwsLFJGLFVTRCkpQEZGX0RFQlQoQU5OL","DAsLCxSRixVU0QpKQ==&amp;WINDOW=FIRST_POPUP&amp;HEIGHT=450&amp;WIDTH=450&amp;START_MAXIMIZED=FALSE&amp;VAR:CALENDAR=US&amp;VAR:SYMBOL=093031&amp;VAR:INDEX=0"}</definedName>
    <definedName name="_119__FDSAUDITLINK__" hidden="1">{"fdsup://directions/FAT Viewer?action=UPDATE&amp;creator=factset&amp;DYN_ARGS=TRUE&amp;DOC_NAME=FAT:FQL_AUDITING_CLIENT_TEMPLATE.FAT&amp;display_string=Audit&amp;VAR:KEY=ALUPQXEJMD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588950&amp;VAR:INDEX=0"}</definedName>
    <definedName name="_12__123Graph_AChart_7" hidden="1">#REF!</definedName>
    <definedName name="_12__123Graph_B_FABP_L.WK1_FAB" hidden="1">#REF!</definedName>
    <definedName name="_12__FDSAUDITLINK__" hidden="1">{"fdsup://directions/FAT Viewer?action=UPDATE&amp;creator=factset&amp;DYN_ARGS=TRUE&amp;DOC_NAME=FAT:FQL_AUDITING_CLIENT_TEMPLATE.FAT&amp;display_string=Audit&amp;VAR:KEY=OVEZIZYPOL&amp;VAR:QUERY=RkZfRVBTKExUTSwxMi8zMS8yMDA4LCwsUkYsVVNEKQ==&amp;WINDOW=FIRST_POPUP&amp;HEIGHT=450&amp;WIDTH=450&amp;","START_MAXIMIZED=FALSE&amp;VAR:CALENDAR=US&amp;VAR:SYMBOL=MIPS&amp;VAR:INDEX=0"}</definedName>
    <definedName name="_12__FDSAUDITLINK___1" hidden="1">{"fdsup://IBCentral/FAT Viewer?action=UPDATE&amp;creator=factset&amp;DOC_NAME=fat:reuters_annual_shs_src_window.fat&amp;display_string=Audit&amp;DYN_ARGS=TRUE&amp;VAR:ID1=68212S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20__FDSAUDITLINK__" hidden="1">{"fdsup://Directions/FactSet Auditing Viewer?action=AUDIT_VALUE&amp;DB=129&amp;ID1=B505PN&amp;VALUEID=P05301&amp;SDATE=201201&amp;PERIODTYPE=QTR_STD&amp;SCFT=3&amp;window=popup_no_bar&amp;width=385&amp;height=120&amp;START_MAXIMIZED=FALSE&amp;creator=factset&amp;display_string=Audit"}</definedName>
    <definedName name="_121__FDSAUDITLINK__" hidden="1">{"fdsup://Directions/FactSet Auditing Viewer?action=AUDIT_VALUE&amp;DB=129&amp;ID1=588950&amp;VALUEID=P05301&amp;SDATE=201202&amp;PERIODTYPE=QTR_STD&amp;SCFT=3&amp;window=popup_no_bar&amp;width=385&amp;height=120&amp;START_MAXIMIZED=FALSE&amp;creator=factset&amp;display_string=Audit"}</definedName>
    <definedName name="_122__FDSAUDITLINK__" hidden="1">{"fdsup://directions/FAT Viewer?action=UPDATE&amp;creator=factset&amp;DYN_ARGS=TRUE&amp;DOC_NAME=FAT:FQL_AUDITING_CLIENT_TEMPLATE.FAT&amp;display_string=Audit&amp;VAR:KEY=HIXEXMVWVQ&amp;VAR:QUERY=KChGRl9FQklUKExUTSwwLCwsUkYsVVNEKUBGRl9FQklUKExUTVNfU0VNSSwwLCwsUkYsVVNEKSlARkZfRUJJV","ChBTk4sMCwsLFJGLFVTRCkp&amp;WINDOW=FIRST_POPUP&amp;HEIGHT=450&amp;WIDTH=450&amp;START_MAXIMIZED=FALSE&amp;VAR:CALENDAR=US&amp;VAR:SYMBOL=QCOM&amp;VAR:INDEX=0"}</definedName>
    <definedName name="_123__FDSAUDITLINK__" hidden="1">{"fdsup://Directions/FactSet Auditing Viewer?action=AUDIT_VALUE&amp;DB=129&amp;ID1=68218910&amp;VALUEID=P05301&amp;SDATE=201201&amp;PERIODTYPE=QTR_STD&amp;SCFT=3&amp;window=popup_no_bar&amp;width=385&amp;height=120&amp;START_MAXIMIZED=FALSE&amp;creator=factset&amp;display_string=Audit"}</definedName>
    <definedName name="_123Graph_X" hidden="1">#REF!</definedName>
    <definedName name="_124__FDSAUDITLINK__" hidden="1">{"fdsup://Directions/FactSet Auditing Viewer?action=AUDIT_VALUE&amp;DB=129&amp;ID1=68218910&amp;VALUEID=P05301&amp;SDATE=201201&amp;PERIODTYPE=QTR_STD&amp;SCFT=3&amp;window=popup_no_bar&amp;width=385&amp;height=120&amp;START_MAXIMIZED=FALSE&amp;creator=factset&amp;display_string=Audit"}</definedName>
    <definedName name="_124graph_BLRNRATE" hidden="1">#REF!</definedName>
    <definedName name="_124Graph_CLRN" hidden="1">#REF!</definedName>
    <definedName name="_124Graph_CLRNRATE" hidden="1">#REF!</definedName>
    <definedName name="_125__FDSAUDITLINK__" hidden="1">{"fdsup://directions/FAT Viewer?action=UPDATE&amp;creator=factset&amp;DYN_ARGS=TRUE&amp;DOC_NAME=FAT:FQL_AUDITING_CLIENT_TEMPLATE.FAT&amp;display_string=Audit&amp;VAR:KEY=MJKPEZQVYN&amp;VAR:QUERY=KEZGX0NPTV9TSFNfT1VUKE1PTiwwLCwsUkYsVVNEKUBQX0NPTV9TSFNfT1VUKDApKQ==&amp;WINDOW=FIRST_POP","UP&amp;HEIGHT=450&amp;WIDTH=450&amp;START_MAXIMIZED=FALSE&amp;VAR:CALENDAR=US&amp;VAR:INDEX=0"}</definedName>
    <definedName name="_126__FDSAUDITLINK__" hidden="1">{"fdsup://Directions/FactSet Auditing Viewer?action=AUDIT_VALUE&amp;DB=129&amp;ID1=60456710&amp;VALUEID=P05301&amp;SDATE=201203&amp;PERIODTYPE=QTR_STD&amp;SCFT=3&amp;window=popup_no_bar&amp;width=385&amp;height=120&amp;START_MAXIMIZED=FALSE&amp;creator=factset&amp;display_string=Audit"}</definedName>
    <definedName name="_127__FDSAUDITLINK__" hidden="1">{"fdsup://Directions/FactSet Auditing Viewer?action=AUDIT_VALUE&amp;DB=129&amp;ID1=60456710&amp;VALUEID=P05301&amp;SDATE=201203&amp;PERIODTYPE=QTR_STD&amp;SCFT=3&amp;window=popup_no_bar&amp;width=385&amp;height=120&amp;START_MAXIMIZED=FALSE&amp;creator=factset&amp;display_string=Audit"}</definedName>
    <definedName name="_128__FDSAUDITLINK__" hidden="1">{"fdsup://Directions/FactSet Auditing Viewer?action=AUDIT_VALUE&amp;DB=129&amp;ID1=15721010&amp;VALUEID=P05301&amp;SDATE=201201&amp;PERIODTYPE=QTR_STD&amp;SCFT=3&amp;window=popup_no_bar&amp;width=385&amp;height=120&amp;START_MAXIMIZED=FALSE&amp;creator=factset&amp;display_string=Audit"}</definedName>
    <definedName name="_129__FDSAUDITLINK__" hidden="1">{"fdsup://Directions/FactSet Auditing Viewer?action=AUDIT_VALUE&amp;DB=129&amp;ID1=15721010&amp;VALUEID=P05301&amp;SDATE=201201&amp;PERIODTYPE=QTR_STD&amp;SCFT=3&amp;window=popup_no_bar&amp;width=385&amp;height=120&amp;START_MAXIMIZED=FALSE&amp;creator=factset&amp;display_string=Audit"}</definedName>
    <definedName name="_13__123Graph_AChart_8" hidden="1">#REF!</definedName>
    <definedName name="_13__123Graph_BCHART_1" hidden="1">#REF!</definedName>
    <definedName name="_13__FDSAUDITLINK__" hidden="1">{"fdsup://directions/FAT Viewer?action=UPDATE&amp;creator=factset&amp;DYN_ARGS=TRUE&amp;DOC_NAME=FAT:FQL_AUDITING_CLIENT_TEMPLATE.FAT&amp;display_string=Audit&amp;VAR:KEY=UVCPYJSHGB&amp;VAR:QUERY=RkZfU0FMRVMoTFRNLDEyLzMxLzIwMDgsLCxSRixVU0Qp&amp;WINDOW=FIRST_POPUP&amp;HEIGHT=450&amp;WIDTH=450&amp;","START_MAXIMIZED=FALSE&amp;VAR:CALENDAR=US&amp;VAR:SYMBOL=MIPS&amp;VAR:INDEX=0"}</definedName>
    <definedName name="_13__FDSAUDITLINK___1" hidden="1">{"fdsup://IBCentral/FAT Viewer?action=UPDATE&amp;creator=factset&amp;DOC_NAME=fat:reuters_annual_shs_src_window.fat&amp;display_string=Audit&amp;DYN_ARGS=TRUE&amp;VAR:ID1=17737610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3_0_S" hidden="1">#REF!</definedName>
    <definedName name="_130__FDSAUDITLINK__" hidden="1">{"fdsup://Directions/FactSet Auditing Viewer?action=AUDIT_VALUE&amp;DB=129&amp;ID1=74752510&amp;VALUEID=P05301&amp;SDATE=201202&amp;PERIODTYPE=QTR_STD&amp;SCFT=3&amp;window=popup_no_bar&amp;width=385&amp;height=120&amp;START_MAXIMIZED=FALSE&amp;creator=factset&amp;display_string=Audit"}</definedName>
    <definedName name="_131__FDSAUDITLINK__" hidden="1">{"fdsup://Directions/FactSet Auditing Viewer?action=AUDIT_VALUE&amp;DB=129&amp;ID1=74752510&amp;VALUEID=P05301&amp;SDATE=201202&amp;PERIODTYPE=QTR_STD&amp;SCFT=3&amp;window=popup_no_bar&amp;width=385&amp;height=120&amp;START_MAXIMIZED=FALSE&amp;creator=factset&amp;display_string=Audit"}</definedName>
    <definedName name="_132__FDSAUDITLINK__" hidden="1">{"fdsup://Directions/FactSet Auditing Viewer?action=AUDIT_VALUE&amp;DB=129&amp;ID1=61971810&amp;VALUEID=P05301&amp;SDATE=201201&amp;PERIODTYPE=QTR_STD&amp;SCFT=3&amp;window=popup_no_bar&amp;width=385&amp;height=120&amp;START_MAXIMIZED=FALSE&amp;creator=factset&amp;display_string=Audit"}</definedName>
    <definedName name="_133__FDSAUDITLINK__" hidden="1">{"fdsup://Directions/FactSet Auditing Viewer?action=AUDIT_VALUE&amp;DB=129&amp;ID1=61971810&amp;VALUEID=P05301&amp;SDATE=201201&amp;PERIODTYPE=QTR_STD&amp;SCFT=3&amp;window=popup_no_bar&amp;width=385&amp;height=120&amp;START_MAXIMIZED=FALSE&amp;creator=factset&amp;display_string=Audit"}</definedName>
    <definedName name="_134__FDSAUDITLINK__" hidden="1">{"fdsup://Directions/FactSet Auditing Viewer?action=AUDIT_VALUE&amp;DB=129&amp;ID1=260509&amp;VALUEID=P05301&amp;SDATE=201102&amp;PERIODTYPE=QTR_STD&amp;SCFT=3&amp;window=popup_no_bar&amp;width=385&amp;height=120&amp;START_MAXIMIZED=FALSE&amp;creator=factset&amp;display_string=Audit"}</definedName>
    <definedName name="_135__FDSAUDITLINK__" hidden="1">{"fdsup://Directions/FactSet Auditing Viewer?action=AUDIT_VALUE&amp;DB=129&amp;ID1=260509&amp;VALUEID=P05301&amp;SDATE=201102&amp;PERIODTYPE=QTR_STD&amp;SCFT=3&amp;window=popup_no_bar&amp;width=385&amp;height=120&amp;START_MAXIMIZED=FALSE&amp;creator=factset&amp;display_string=Audit"}</definedName>
    <definedName name="_136__FDSAUDITLINK__" hidden="1">{"fdsup://Directions/FactSet Auditing Viewer?action=AUDIT_VALUE&amp;DB=129&amp;ID1=223093&amp;VALUEID=P05301&amp;SDATE=201201&amp;PERIODTYPE=QTR_STD&amp;SCFT=3&amp;window=popup_no_bar&amp;width=385&amp;height=120&amp;START_MAXIMIZED=FALSE&amp;creator=factset&amp;display_string=Audit"}</definedName>
    <definedName name="_137__FDSAUDITLINK__" hidden="1">{"fdsup://Directions/FactSet Auditing Viewer?action=AUDIT_VALUE&amp;DB=129&amp;ID1=223093&amp;VALUEID=P05301&amp;SDATE=201201&amp;PERIODTYPE=QTR_STD&amp;SCFT=3&amp;window=popup_no_bar&amp;width=385&amp;height=120&amp;START_MAXIMIZED=FALSE&amp;creator=factset&amp;display_string=Audit"}</definedName>
    <definedName name="_138__FDSAUDITLINK__" hidden="1">{"fdsup://Directions/FactSet Auditing Viewer?action=AUDIT_VALUE&amp;DB=129&amp;ID1=74972G10&amp;VALUEID=P05301&amp;SDATE=201201&amp;PERIODTYPE=QTR_STD&amp;SCFT=3&amp;window=popup_no_bar&amp;width=385&amp;height=120&amp;START_MAXIMIZED=FALSE&amp;creator=factset&amp;display_string=Audit"}</definedName>
    <definedName name="_139__FDSAUDITLINK__" hidden="1">{"fdsup://Directions/FactSet Auditing Viewer?action=AUDIT_VALUE&amp;DB=129&amp;ID1=74972G10&amp;VALUEID=P05301&amp;SDATE=201201&amp;PERIODTYPE=QTR_STD&amp;SCFT=3&amp;window=popup_no_bar&amp;width=385&amp;height=120&amp;START_MAXIMIZED=FALSE&amp;creator=factset&amp;display_string=Audit"}</definedName>
    <definedName name="_14__123Graph_AChart_9" hidden="1">#REF!</definedName>
    <definedName name="_14__123Graph_BCHART_3" hidden="1">#REF!</definedName>
    <definedName name="_14__123Graph_C_FABP_L.WK1_FAB" hidden="1">#REF!</definedName>
    <definedName name="_14__FDSAUDITLINK__" hidden="1">{"fdsup://directions/FAT Viewer?action=UPDATE&amp;creator=factset&amp;DYN_ARGS=TRUE&amp;DOC_NAME=FAT:FQL_AUDITING_CLIENT_TEMPLATE.FAT&amp;display_string=Audit&amp;VAR:KEY=QLQJSXOVAL&amp;VAR:QUERY=KEZGX0VCSVREQShMVE0sMTIvMzEvMSwsLFJGLFVTRClARkZfRUJJVERBX0lCKExUTSwxMi8zMS8xLCwsUkYsV","VNEKSk=&amp;WINDOW=FIRST_POPUP&amp;HEIGHT=450&amp;WIDTH=450&amp;START_MAXIMIZED=FALSE&amp;VAR:CALENDAR=US&amp;VAR:SYMBOL=MIPS&amp;VAR:INDEX=0"}</definedName>
    <definedName name="_14__FDSAUDITLINK___1" hidden="1">{"fdsup://IBCentral/FAT Viewer?action=UPDATE&amp;creator=factset&amp;DOC_NAME=fat:reuters_annual_shs_src_window.fat&amp;display_string=Audit&amp;DYN_ARGS=TRUE&amp;VAR:ID1=00971T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4_0_Table2_" hidden="1">#REF!</definedName>
    <definedName name="_140__FDSAUDITLINK__" hidden="1">{"fdsup://Directions/FactSet Auditing Viewer?action=AUDIT_VALUE&amp;DB=129&amp;ID1=00388130&amp;VALUEID=P05301&amp;SDATE=201201&amp;PERIODTYPE=QTR_STD&amp;SCFT=3&amp;window=popup_no_bar&amp;width=385&amp;height=120&amp;START_MAXIMIZED=FALSE&amp;creator=factset&amp;display_string=Audit"}</definedName>
    <definedName name="_141__FDSAUDITLINK__" hidden="1">{"fdsup://Directions/FactSet Auditing Viewer?action=AUDIT_VALUE&amp;DB=129&amp;ID1=00388130&amp;VALUEID=P05301&amp;SDATE=201201&amp;PERIODTYPE=QTR_STD&amp;SCFT=3&amp;window=popup_no_bar&amp;width=385&amp;height=120&amp;START_MAXIMIZED=FALSE&amp;creator=factset&amp;display_string=Audit"}</definedName>
    <definedName name="_142__FDSAUDITLINK__" hidden="1">{"fdsup://Directions/FactSet Auditing Viewer?action=AUDIT_VALUE&amp;DB=129&amp;ID1=G3727Q10&amp;VALUEID=P05301&amp;SDATE=201201&amp;PERIODTYPE=QTR_STD&amp;SCFT=3&amp;window=popup_no_bar&amp;width=385&amp;height=120&amp;START_MAXIMIZED=FALSE&amp;creator=factset&amp;display_string=Audit"}</definedName>
    <definedName name="_143__FDSAUDITLINK__" hidden="1">{"fdsup://Directions/FactSet Auditing Viewer?action=AUDIT_VALUE&amp;DB=129&amp;ID1=G3727Q10&amp;VALUEID=P05301&amp;SDATE=201201&amp;PERIODTYPE=QTR_STD&amp;SCFT=3&amp;window=popup_no_bar&amp;width=385&amp;height=120&amp;START_MAXIMIZED=FALSE&amp;creator=factset&amp;display_string=Audit"}</definedName>
    <definedName name="_144__FDSAUDITLINK__" hidden="1">{"fdsup://Directions/FactSet Auditing Viewer?action=AUDIT_VALUE&amp;DB=129&amp;ID1=663567&amp;VALUEID=P05301&amp;SDATE=201103&amp;PERIODTYPE=QTR_STD&amp;SCFT=3&amp;window=popup_no_bar&amp;width=385&amp;height=120&amp;START_MAXIMIZED=FALSE&amp;creator=factset&amp;display_string=Audit"}</definedName>
    <definedName name="_145__FDSAUDITLINK__" hidden="1">{"fdsup://Directions/FactSet Auditing Viewer?action=AUDIT_VALUE&amp;DB=129&amp;ID1=663567&amp;VALUEID=P05301&amp;SDATE=201103&amp;PERIODTYPE=QTR_STD&amp;SCFT=3&amp;window=popup_no_bar&amp;width=385&amp;height=120&amp;START_MAXIMIZED=FALSE&amp;creator=factset&amp;display_string=Audit"}</definedName>
    <definedName name="_146__FDSAUDITLINK__" hidden="1">{"fdsup://Directions/FactSet Auditing Viewer?action=AUDIT_VALUE&amp;DB=129&amp;ID1=00388130&amp;VALUEID=P05202&amp;SDATE=2009&amp;PERIODTYPE=ANN_STD&amp;SCFT=3&amp;window=popup_no_bar&amp;width=385&amp;height=120&amp;START_MAXIMIZED=FALSE&amp;creator=factset&amp;display_string=Audit"}</definedName>
    <definedName name="_147__FDSAUDITLINK__" hidden="1">{"fdsup://Directions/FactSet Auditing Viewer?action=AUDIT_VALUE&amp;DB=129&amp;ID1=00388130&amp;VALUEID=P05202&amp;SDATE=2008&amp;PERIODTYPE=ANN_STD&amp;SCFT=3&amp;window=popup_no_bar&amp;width=385&amp;height=120&amp;START_MAXIMIZED=FALSE&amp;creator=factset&amp;display_string=Audit"}</definedName>
    <definedName name="_148__FDSAUDITLINK__" hidden="1">{"fdsup://Directions/FactSet Auditing Viewer?action=AUDIT_VALUE&amp;DB=129&amp;ID1=00388130&amp;VALUEID=P05202&amp;SDATE=2007&amp;PERIODTYPE=ANN_STD&amp;SCFT=3&amp;window=popup_no_bar&amp;width=385&amp;height=120&amp;START_MAXIMIZED=FALSE&amp;creator=factset&amp;display_string=Audit"}</definedName>
    <definedName name="_149__FDSAUDITLINK__" hidden="1">{"fdsup://Directions/FactSet Auditing Viewer?action=AUDIT_VALUE&amp;DB=129&amp;ID1=00388130&amp;VALUEID=P05202&amp;SDATE=2006&amp;PERIODTYPE=ANN_STD&amp;SCFT=3&amp;window=popup_no_bar&amp;width=385&amp;height=120&amp;START_MAXIMIZED=FALSE&amp;creator=factset&amp;display_string=Audit"}</definedName>
    <definedName name="_15__123Graph_BChart_1" hidden="1">#REF!</definedName>
    <definedName name="_15__FDSAUDITLINK__" hidden="1">{"fdsup://directions/FAT Viewer?action=UPDATE&amp;creator=factset&amp;DYN_ARGS=TRUE&amp;DOC_NAME=FAT:FQL_AUDITING_CLIENT_TEMPLATE.FAT&amp;display_string=Audit&amp;VAR:KEY=IPELGNYTOH&amp;VAR:QUERY=RkZfRVBTKExUTSwxMi8zMS8xLCwsUkYsVVNEKQ==&amp;WINDOW=FIRST_POPUP&amp;HEIGHT=450&amp;WIDTH=450&amp;STAR","T_MAXIMIZED=FALSE&amp;VAR:CALENDAR=US&amp;VAR:SYMBOL=MIPS&amp;VAR:INDEX=0"}</definedName>
    <definedName name="_15__FDSAUDITLINK___1" hidden="1">{"fdsup://IBCentral/FAT Viewer?action=UPDATE&amp;creator=factset&amp;DOC_NAME=fat:reuters_annual_shs_src_window.fat&amp;display_string=Audit&amp;DYN_ARGS=TRUE&amp;VAR:ID1=79466L30&amp;VAR:RCODE=FDSSHSOUTDEPS&amp;VAR:SDATE=20080199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5_0_Table2_" hidden="1">#REF!</definedName>
    <definedName name="_150__FDSAUDITLINK__" hidden="1">{"fdsup://Directions/FactSet Auditing Viewer?action=AUDIT_VALUE&amp;DB=129&amp;ID1=00388130&amp;VALUEID=P05202&amp;SDATE=2005&amp;PERIODTYPE=ANN_STD&amp;SCFT=3&amp;window=popup_no_bar&amp;width=385&amp;height=120&amp;START_MAXIMIZED=FALSE&amp;creator=factset&amp;display_string=Audit"}</definedName>
    <definedName name="_151__FDSAUDITLINK__" hidden="1">{"fdsup://directions/FAT Viewer?action=UPDATE&amp;creator=factset&amp;DYN_ARGS=TRUE&amp;DOC_NAME=FAT:FQL_AUDITING_CLIENT_TEMPLATE.FAT&amp;display_string=Audit&amp;VAR:KEY=BUJGHULQNA&amp;VAR:QUERY=KChGRl9ERUJUKFFUUiwwLCwsUkYsVVNEKUBGRl9ERUJUKFNFTUksMCwsLFJGLFVTRCkpQEZGX0RFQlQoQU5OL","DAsLCxSRixVU0QpKQ==&amp;WINDOW=FIRST_POPUP&amp;HEIGHT=450&amp;WIDTH=450&amp;START_MAXIMIZED=FALSE&amp;VAR:CALENDAR=US&amp;VAR:SYMBOL=DLB&amp;VAR:INDEX=0"}</definedName>
    <definedName name="_152__FDSAUDITLINK__" hidden="1">{"fdsup://directions/FAT Viewer?action=UPDATE&amp;creator=factset&amp;DYN_ARGS=TRUE&amp;DOC_NAME=FAT:FQL_AUDITING_CLIENT_TEMPLATE.FAT&amp;display_string=Audit&amp;VAR:KEY=QTMNIPSTGJ&amp;VAR:QUERY=KChGRl9FQklUKExUTSwwLCwsUkYsVVNEKUBGRl9FQklUKExUTVNfU0VNSSwwLCwsUkYsVVNEKSlARkZfRUJJV","ChBTk4sMCwsLFJGLFVTRCkp&amp;WINDOW=FIRST_POPUP&amp;HEIGHT=450&amp;WIDTH=450&amp;START_MAXIMIZED=FALSE&amp;VAR:CALENDAR=US&amp;VAR:SYMBOL=CEVA&amp;VAR:INDEX=0"}</definedName>
    <definedName name="_153__FDSAUDITLINK__" hidden="1">{"fdsup://directions/FAT Viewer?action=UPDATE&amp;creator=factset&amp;DYN_ARGS=TRUE&amp;DOC_NAME=FAT:FQL_AUDITING_CLIENT_TEMPLATE.FAT&amp;display_string=Audit&amp;VAR:KEY=XUZCLOBGTQ&amp;VAR:QUERY=KEZGX0VCSVREQShMVE0sMTIvMzEvMjAwOCwsLFJGLFVTRClARkZfRUJJVERBX0lCKExUTSwxMi8zMS8yMDA4L","CwsUkYsVVNEKSk=&amp;WINDOW=FIRST_POPUP&amp;HEIGHT=450&amp;WIDTH=450&amp;START_MAXIMIZED=FALSE&amp;VAR:CALENDAR=US&amp;VAR:SYMBOL=ACTG&amp;VAR:INDEX=0"}</definedName>
    <definedName name="_154__FDSAUDITLINK__" hidden="1">{"fdsup://directions/FAT Viewer?action=UPDATE&amp;creator=factset&amp;DYN_ARGS=TRUE&amp;DOC_NAME=FAT:FQL_AUDITING_CLIENT_TEMPLATE.FAT&amp;display_string=Audit&amp;VAR:KEY=KRSHMXSTUH&amp;VAR:QUERY=KChGRl9FQklUKExUTSwwLCwsUkYsVVNEKUBGRl9FQklUKExUTVNfU0VNSSwwLCwsUkYsVVNEKSlARkZfRUJJV","ChBTk4sMCwsLFJGLFVTRCkp&amp;WINDOW=FIRST_POPUP&amp;HEIGHT=450&amp;WIDTH=450&amp;START_MAXIMIZED=FALSE&amp;VAR:CALENDAR=US&amp;VAR:SYMBOL=626418&amp;VAR:INDEX=0"}</definedName>
    <definedName name="_155__FDSAUDITLINK__" hidden="1">{"fdsup://Directions/FactSet Auditing Viewer?action=AUDIT_VALUE&amp;DB=129&amp;ID1=25659T10&amp;VALUEID=01001&amp;SDATE=2011&amp;PERIODTYPE=ANN_STD&amp;SCFT=3&amp;window=popup_no_bar&amp;width=385&amp;height=120&amp;START_MAXIMIZED=FALSE&amp;creator=factset&amp;display_string=Audit"}</definedName>
    <definedName name="_156__FDSAUDITLINK__" hidden="1">{"fdsup://directions/FAT Viewer?action=UPDATE&amp;creator=factset&amp;DYN_ARGS=TRUE&amp;DOC_NAME=FAT:FQL_AUDITING_CLIENT_TEMPLATE.FAT&amp;display_string=Audit&amp;VAR:KEY=MPYNAFAHQR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68218910&amp;VAR:INDEX=0"}</definedName>
    <definedName name="_157__FDSAUDITLINK__" hidden="1">{"fdsup://Directions/FactSet Auditing Viewer?action=AUDIT_VALUE&amp;DB=129&amp;ID1=25659T10&amp;VALUEID=01001&amp;SDATE=2011&amp;PERIODTYPE=ANN_STD&amp;SCFT=3&amp;window=popup_no_bar&amp;width=385&amp;height=120&amp;START_MAXIMIZED=FALSE&amp;creator=factset&amp;display_string=Audit"}</definedName>
    <definedName name="_158__FDSAUDITLINK__" hidden="1">{"fdsup://Directions/FactSet Auditing Viewer?action=AUDIT_VALUE&amp;DB=129&amp;ID1=25659T10&amp;VALUEID=01001&amp;SDATE=201202&amp;PERIODTYPE=QTR_STD&amp;SCFT=3&amp;window=popup_no_bar&amp;width=385&amp;height=120&amp;START_MAXIMIZED=FALSE&amp;creator=factset&amp;display_string=Audit"}</definedName>
    <definedName name="_159__FDSAUDITLINK__" hidden="1">{"fdsup://Directions/FactSet Auditing Viewer?action=AUDIT_VALUE&amp;DB=129&amp;ID1=68218910&amp;VALUEID=01001&amp;SDATE=201101&amp;PERIODTYPE=QTR_STD&amp;SCFT=3&amp;window=popup_no_bar&amp;width=385&amp;height=120&amp;START_MAXIMIZED=FALSE&amp;creator=factset&amp;display_string=Audit"}</definedName>
    <definedName name="_16__123Graph_BChart_12" hidden="1">#REF!</definedName>
    <definedName name="_16__123Graph_X_FABP_L.WK1_FAB" hidden="1">#REF!</definedName>
    <definedName name="_16__FDSAUDITLINK__" hidden="1">{"fdsup://directions/FAT Viewer?action=UPDATE&amp;creator=factset&amp;DYN_ARGS=TRUE&amp;DOC_NAME=FAT:FQL_AUDITING_CLIENT_TEMPLATE.FAT&amp;display_string=Audit&amp;VAR:KEY=JSTWFWDCFM&amp;VAR:QUERY=RkZfRVBTKExUTSwxMi8zMS8yMDA3LCwsUkYsVVNEKQ==&amp;WINDOW=FIRST_POPUP&amp;HEIGHT=450&amp;WIDTH=450&amp;","START_MAXIMIZED=FALSE&amp;VAR:CALENDAR=US&amp;VAR:SYMBOL=MIPS&amp;VAR:INDEX=0"}</definedName>
    <definedName name="_160__FDSAUDITLINK__" hidden="1">{"fdsup://directions/FAT Viewer?action=UPDATE&amp;creator=factset&amp;DYN_ARGS=TRUE&amp;DOC_NAME=FAT:FQL_AUDITING_CLIENT_TEMPLATE.FAT&amp;display_string=Audit&amp;VAR:KEY=SFCRSHGTEF&amp;VAR:QUERY=KChGRl9ORVRfSU5DKExUTSwwLCwsUkYsVVNEKUBGRl9ORVRfSU5DKExUTVNfU0VNSSwwLCwsUkYsVVNEKSlAR","kZfTkVUX0lOQyhBTk4sMCwsLFJGLFVTRCkp&amp;WINDOW=FIRST_POPUP&amp;HEIGHT=450&amp;WIDTH=450&amp;START_MAXIMIZED=FALSE&amp;VAR:CALENDAR=US&amp;VAR:SYMBOL=MIPS&amp;VAR:INDEX=0"}</definedName>
    <definedName name="_161__FDSAUDITLINK__" hidden="1">{"fdsup://directions/FAT Viewer?action=UPDATE&amp;creator=factset&amp;DYN_ARGS=TRUE&amp;DOC_NAME=FAT:FQL_AUDITING_CLIENT_TEMPLATE.FAT&amp;display_string=Audit&amp;VAR:KEY=MNENCFAPEX&amp;VAR:QUERY=KChGRl9FQklUREEoTFRNLDAsLCxSRixVU0QpQEZGX0VCSVREQShMVE1TX1NFTUksMCwsLFJGLFVTRCkpQEZGX","0VCSVREQShBTk4sMCwsLFJGLFVTRCkp&amp;WINDOW=FIRST_POPUP&amp;HEIGHT=450&amp;WIDTH=450&amp;START_MAXIMIZED=FALSE&amp;VAR:CALENDAR=US&amp;VAR:SYMBOL=630926&amp;VAR:INDEX=0"}</definedName>
    <definedName name="_162__FDSAUDITLINK__" hidden="1">{"fdsup://directions/FAT Viewer?action=UPDATE&amp;creator=factset&amp;DYN_ARGS=TRUE&amp;DOC_NAME=FAT:FQL_AUDITING_CLIENT_TEMPLATE.FAT&amp;display_string=Audit&amp;VAR:KEY=FMTERYFYFS&amp;VAR:QUERY=KChGRl9FQklUKExUTSwwLCwsUkYsVVNEKUBGRl9FQklUKExUTVNfU0VNSSwwLCwsUkYsVVNEKSlARkZfRUJJV","ChBTk4sMCwsLFJGLFVTRCkp&amp;WINDOW=FIRST_POPUP&amp;HEIGHT=450&amp;WIDTH=450&amp;START_MAXIMIZED=FALSE&amp;VAR:CALENDAR=US&amp;VAR:SYMBOL=MOSY&amp;VAR:INDEX=0"}</definedName>
    <definedName name="_163__FDSAUDITLINK__" hidden="1">{"fdsup://Directions/FactSet Auditing Viewer?action=AUDIT_VALUE&amp;DB=129&amp;ID1=588950&amp;VALUEID=02001&amp;SDATE=201202&amp;PERIODTYPE=QTR_STD&amp;SCFT=3&amp;window=popup_no_bar&amp;width=385&amp;height=120&amp;START_MAXIMIZED=FALSE&amp;creator=factset&amp;display_string=Audit"}</definedName>
    <definedName name="_164__FDSAUDITLINK__" hidden="1">{"fdsup://Directions/FactSet Auditing Viewer?action=AUDIT_VALUE&amp;DB=129&amp;ID1=B505PN&amp;VALUEID=02001&amp;SDATE=201201&amp;PERIODTYPE=QTR_STD&amp;SCFT=3&amp;window=popup_no_bar&amp;width=385&amp;height=120&amp;START_MAXIMIZED=FALSE&amp;creator=factset&amp;display_string=Audit"}</definedName>
    <definedName name="_165__FDSAUDITLINK__" hidden="1">{"fdsup://directions/FAT Viewer?action=UPDATE&amp;creator=factset&amp;DYN_ARGS=TRUE&amp;DOC_NAME=FAT:FQL_AUDITING_CLIENT_TEMPLATE.FAT&amp;display_string=Audit&amp;VAR:KEY=RWJILSFSPI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QCOM&amp;VAR:INDEX=0"}</definedName>
    <definedName name="_166__FDSAUDITLINK__" hidden="1">{"fdsup://directions/FAT Viewer?action=UPDATE&amp;creator=factset&amp;DYN_ARGS=TRUE&amp;DOC_NAME=FAT:FQL_AUDITING_CLIENT_TEMPLATE.FAT&amp;display_string=Audit&amp;VAR:KEY=IBSNSTEJIT&amp;VAR:QUERY=KChGRl9FQklUKExUTSwwLCwsUkYsVVNEKUBGRl9FQklUKExUTVNfU0VNSSwwLCwsUkYsVVNEKSlARkZfRUJJV","ChBTk4sMCwsLFJGLFVTRCkp&amp;WINDOW=FIRST_POPUP&amp;HEIGHT=450&amp;WIDTH=450&amp;START_MAXIMIZED=FALSE&amp;VAR:CALENDAR=US&amp;VAR:SYMBOL=GAME&amp;VAR:INDEX=0"}</definedName>
    <definedName name="_167__FDSAUDITLINK__" hidden="1">{"fdsup://directions/FAT Viewer?action=UPDATE&amp;creator=factset&amp;DYN_ARGS=TRUE&amp;DOC_NAME=FAT:FQL_AUDITING_CLIENT_TEMPLATE.FAT&amp;display_string=Audit&amp;VAR:KEY=BYVMNENMJS&amp;VAR:QUERY=KEZGX0VCSVREQShMVE0sMTIvMzEvMjAwNiwsLFJGLFVTRClARkZfRUJJVERBX0lCKExUTSwxMi8zMS8yMDA2L","CwsUkYsVVNEKSk=&amp;WINDOW=FIRST_POPUP&amp;HEIGHT=450&amp;WIDTH=450&amp;START_MAXIMIZED=FALSE&amp;VAR:CALENDAR=US&amp;VAR:SYMBOL=ACTG&amp;VAR:INDEX=0"}</definedName>
    <definedName name="_168__FDSAUDITLINK__" hidden="1">{"fdsup://directions/FAT Viewer?action=UPDATE&amp;creator=factset&amp;DYN_ARGS=TRUE&amp;DOC_NAME=FAT:FQL_AUDITING_CLIENT_TEMPLATE.FAT&amp;display_string=Audit&amp;VAR:KEY=FCXMXWVYLW&amp;VAR:QUERY=KChGRl9HUk9TU19JTkMoTFRNLDAsLCxSRixVU0QpQEZGX0dST1NTX0lOQyhMVE1TX1NFTUksMCwsLFJGLFVTR","CkpQEZGX1NBTEVTKEFOTiwwLCwsUkYsVVNEKSk=&amp;WINDOW=FIRST_POPUP&amp;HEIGHT=450&amp;WIDTH=450&amp;START_MAXIMIZED=FALSE&amp;VAR:CALENDAR=US&amp;VAR:SYMBOL=FSL&amp;VAR:INDEX=0"}</definedName>
    <definedName name="_169__FDSAUDITLINK__" hidden="1">{"fdsup://directions/FAT Viewer?action=UPDATE&amp;creator=factset&amp;DYN_ARGS=TRUE&amp;DOC_NAME=FAT:FQL_AUDITING_CLIENT_TEMPLATE.FAT&amp;display_string=Audit&amp;VAR:KEY=NORSVALQVO&amp;VAR:QUERY=KChGRl9FQklUKExUTSwwLCwsUkYsVVNEKUBGRl9FQklUKExUTVNfU0VNSSwwLCwsUkYsVVNEKSlARkZfRUJJV","ChBTk4sMCwsLFJGLFVTRCkp&amp;WINDOW=FIRST_POPUP&amp;HEIGHT=450&amp;WIDTH=450&amp;START_MAXIMIZED=FALSE&amp;VAR:CALENDAR=US&amp;VAR:SYMBOL=ACTG&amp;VAR:INDEX=0"}</definedName>
    <definedName name="_17__123Graph_BChart_13" hidden="1">#REF!</definedName>
    <definedName name="_17__FDSAUDITLINK__" hidden="1">{"fdsup://directions/FAT Viewer?action=UPDATE&amp;creator=factset&amp;DYN_ARGS=TRUE&amp;DOC_NAME=FAT:FQL_AUDITING_CLIENT_TEMPLATE.FAT&amp;display_string=Audit&amp;VAR:KEY=HQHCBURWBW&amp;VAR:QUERY=KChGRl9TQUxFUyhMVE0sMCwsLFJGLFVTRClARkZfU0FMRVMoTFRNU19TRU1JLDAsLCxSRixVU0QpKUBGRl9TQ","UxFUyhBTk4sMCwsLFJGLFVTRCkp&amp;WINDOW=FIRST_POPUP&amp;HEIGHT=450&amp;WIDTH=450&amp;START_MAXIMIZED=FALSE&amp;VAR:CALENDAR=US&amp;VAR:SYMBOL=TSRA&amp;VAR:INDEX=0"}</definedName>
    <definedName name="_170__FDSAUDITLINK__" hidden="1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171__FDSAUDITLINK__" hidden="1">{"fdsup://directions/FAT Viewer?action=UPDATE&amp;creator=factset&amp;DYN_ARGS=TRUE&amp;DOC_NAME=FAT:FQL_AUDITING_CLIENT_TEMPLATE.FAT&amp;display_string=Audit&amp;VAR:KEY=IVEPEVGBEJ&amp;VAR:QUERY=KChGRl9ORVRfSU5DKExUTSwwLCwsUkYsVVNEKUBGRl9ORVRfSU5DKExUTVNfU0VNSSwwLCwsUkYsVVNEKSlAR","kZfTkVUX0lOQyhBTk4sMCwsLFJGLFVTRCkp&amp;WINDOW=FIRST_POPUP&amp;HEIGHT=450&amp;WIDTH=450&amp;START_MAXIMIZED=FALSE&amp;VAR:CALENDAR=US&amp;VAR:SYMBOL=588950&amp;VAR:INDEX=0"}</definedName>
    <definedName name="_172__FDSAUDITLINK__" hidden="1">{"fdsup://directions/FAT Viewer?action=UPDATE&amp;creator=factset&amp;DYN_ARGS=TRUE&amp;DOC_NAME=FAT:FQL_AUDITING_CLIENT_TEMPLATE.FAT&amp;display_string=Audit&amp;VAR:KEY=BOVEXILYPW&amp;VAR:QUERY=KChGRl9ERUJUKFFUUiwwLCwsUkYsVVNEKUBGRl9ERUJUKFNFTUksMCwsLFJGLFVTRCkpQEZGX0RFQlQoQU5OL","DAsLCxSRixVU0QpKQ==&amp;WINDOW=FIRST_POPUP&amp;HEIGHT=450&amp;WIDTH=450&amp;START_MAXIMIZED=FALSE&amp;VAR:CALENDAR=US&amp;VAR:SYMBOL=RPXC&amp;VAR:INDEX=0"}</definedName>
    <definedName name="_173__FDSAUDITLINK__" hidden="1">{"fdsup://Directions/FactSet Auditing Viewer?action=AUDIT_VALUE&amp;DB=129&amp;ID1=588950&amp;VALUEID=01001&amp;SDATE=201202&amp;PERIODTYPE=QTR_STD&amp;SCFT=3&amp;window=popup_no_bar&amp;width=385&amp;height=120&amp;START_MAXIMIZED=FALSE&amp;creator=factset&amp;display_string=Audit"}</definedName>
    <definedName name="_174__FDSAUDITLINK__" hidden="1">{"fdsup://Directions/FactSet Auditing Viewer?action=AUDIT_VALUE&amp;DB=129&amp;ID1=B505PN&amp;VALUEID=01001&amp;SDATE=201101&amp;PERIODTYPE=QTR_STD&amp;SCFT=3&amp;window=popup_no_bar&amp;width=385&amp;height=120&amp;START_MAXIMIZED=FALSE&amp;creator=factset&amp;display_string=Audit"}</definedName>
    <definedName name="_175__FDSAUDITLINK__" hidden="1">{"fdsup://directions/FAT Viewer?action=UPDATE&amp;creator=factset&amp;DYN_ARGS=TRUE&amp;DOC_NAME=FAT:FQL_AUDITING_CLIENT_TEMPLATE.FAT&amp;display_string=Audit&amp;VAR:KEY=IVQVEXOVAX&amp;VAR:QUERY=KChGRl9FQklUREEoTFRNLDAsLCxSRixVU0QpQEZGX0VCSVREQShMVE1TX1NFTUksMCwsLFJGLFVTRCkpQEZGX","0VCSVREQShBTk4sMCwsLFJGLFVTRCkp&amp;WINDOW=FIRST_POPUP&amp;HEIGHT=450&amp;WIDTH=450&amp;START_MAXIMIZED=FALSE&amp;VAR:CALENDAR=US&amp;VAR:SYMBOL=MIPS&amp;VAR:INDEX=0"}</definedName>
    <definedName name="_176__FDSAUDITLINK__" hidden="1">{"fdsup://directions/FAT Viewer?action=UPDATE&amp;creator=factset&amp;DYN_ARGS=TRUE&amp;DOC_NAME=FAT:FQL_AUDITING_CLIENT_TEMPLATE.FAT&amp;display_string=Audit&amp;VAR:KEY=CTQBMLKXGT&amp;VAR:QUERY=KChGRl9FQklUKExUTSwwLCwsUkYsVVNEKUBGRl9FQklUKExUTVNfU0VNSSwwLCwsUkYsVVNEKSlARkZfRUJJV","ChBTk4sMCwsLFJGLFVTRCkp&amp;WINDOW=FIRST_POPUP&amp;HEIGHT=450&amp;WIDTH=450&amp;START_MAXIMIZED=FALSE&amp;VAR:CALENDAR=US&amp;VAR:SYMBOL=B0JDQD&amp;VAR:INDEX=0"}</definedName>
    <definedName name="_177__FDSAUDITLINK__" hidden="1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178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179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18__123Graph_BChart_14" hidden="1">#REF!</definedName>
    <definedName name="_18__123Graph_DCHART_1" hidden="1">#REF!</definedName>
    <definedName name="_18__FDSAUDITLINK__" hidden="1">{"fdsup://directions/FAT Viewer?action=UPDATE&amp;creator=factset&amp;DYN_ARGS=TRUE&amp;DOC_NAME=FAT:FQL_AUDITING_CLIENT_TEMPLATE.FAT&amp;display_string=Audit&amp;VAR:KEY=PGDONWDOVA&amp;VAR:QUERY=RkZfRVBTKExUTSwxMi8zMS8yMDA1LCwsUkYsVVNEKQ==&amp;WINDOW=FIRST_POPUP&amp;HEIGHT=450&amp;WIDTH=450&amp;","START_MAXIMIZED=FALSE&amp;VAR:CALENDAR=US&amp;VAR:SYMBOL=MIPS&amp;VAR:INDEX=0"}</definedName>
    <definedName name="_18_0_S" hidden="1">#REF!</definedName>
    <definedName name="_180__FDSAUDITLINK__" hidden="1">{"fdsup://directions/FAT Viewer?action=UPDATE&amp;creator=factset&amp;DYN_ARGS=TRUE&amp;DOC_NAME=FAT:FQL_AUDITING_CLIENT_TEMPLATE.FAT&amp;display_string=Audit&amp;VAR:KEY=AXYLKRAFQ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181__FDSAUDITLINK__" hidden="1">{"fdsup://Directions/FactSet Auditing Viewer?action=AUDIT_VALUE&amp;DB=129&amp;ID1=88448110&amp;VALUEID=02001&amp;SDATE=201001&amp;PERIODTYPE=QTR_STD&amp;window=popup_no_bar&amp;width=385&amp;height=120&amp;START_MAXIMIZED=FALSE&amp;creator=factset&amp;display_string=Audit"}</definedName>
    <definedName name="_182__FDSAUDITLINK__" hidden="1">{"fdsup://directions/FAT Viewer?action=UPDATE&amp;creator=factset&amp;DYN_ARGS=TRUE&amp;DOC_NAME=FAT:FQL_AUDITING_CLIENT_TEMPLATE.FAT&amp;display_string=Audit&amp;VAR:KEY=IVWBWXGPS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183__FDSAUDITLINK__" hidden="1">{"fdsup://Directions/FactSet Auditing Viewer?action=AUDIT_VALUE&amp;DB=129&amp;ID1=22362210&amp;VALUEID=02001&amp;SDATE=201003&amp;PERIODTYPE=QTR_STD&amp;window=popup_no_bar&amp;width=385&amp;height=120&amp;START_MAXIMIZED=FALSE&amp;creator=factset&amp;display_string=Audit"}</definedName>
    <definedName name="_184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185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186__FDSAUDITLINK__" hidden="1">{"fdsup://directions/FAT Viewer?action=UPDATE&amp;creator=factset&amp;DYN_ARGS=TRUE&amp;DOC_NAME=FAT:FQL_AUDITING_CLIENT_TEMPLATE.FAT&amp;display_string=Audit&amp;VAR:KEY=OBARCVEXY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187__FDSAUDITLINK__" hidden="1">{"fdsup://Directions/FactSet Auditing Viewer?action=AUDIT_VALUE&amp;DB=129&amp;ID1=B2PG34&amp;VALUEID=02001&amp;SDATE=201003&amp;PERIODTYPE=QTR_STD&amp;window=popup_no_bar&amp;width=385&amp;height=120&amp;START_MAXIMIZED=FALSE&amp;creator=factset&amp;display_string=Audit"}</definedName>
    <definedName name="_188__FDSAUDITLINK__" hidden="1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189__FDSAUDITLINK__" hidden="1">{"fdsup://directions/FAT Viewer?action=UPDATE&amp;creator=factset&amp;DYN_ARGS=TRUE&amp;DOC_NAME=FAT:FQL_AUDITING_CLIENT_TEMPLATE.FAT&amp;display_string=Audit&amp;VAR:KEY=ERINIRUNAB&amp;VAR:QUERY=KChGRl9TQUxFUyhMVE0sMCwsLFJGLFVTRClARkZfU0FMRVMoTFRNU19TRU1JLDAsLCxSRixVU0QpKUBGRl9TQ","UxFUyhBTk4sMCwsLFJGLFVTRCkp&amp;WINDOW=FIRST_POPUP&amp;HEIGHT=450&amp;WIDTH=450&amp;START_MAXIMIZED=FALSE&amp;VAR:CALENDAR=US&amp;VAR:SYMBOL=68218910&amp;VAR:INDEX=0"}</definedName>
    <definedName name="_19__123Graph_BChart_2" hidden="1">#REF!</definedName>
    <definedName name="_19__FDSAUDITLINK__" hidden="1">{"fdsup://directions/FAT Viewer?action=UPDATE&amp;creator=factset&amp;DYN_ARGS=TRUE&amp;DOC_NAME=FAT:FQL_AUDITING_CLIENT_TEMPLATE.FAT&amp;display_string=Audit&amp;VAR:KEY=TKNIBYDKHG&amp;VAR:QUERY=RkZfU0FMRVMoTFRNLDEyLzMxLzIwMDcsLCxSRixVU0Qp&amp;WINDOW=FIRST_POPUP&amp;HEIGHT=450&amp;WIDTH=450&amp;","START_MAXIMIZED=FALSE&amp;VAR:CALENDAR=US&amp;VAR:SYMBOL=MIPS&amp;VAR:INDEX=0"}</definedName>
    <definedName name="_19_0_Table2_" hidden="1">#REF!</definedName>
    <definedName name="_190__FDSAUDITLINK__" hidden="1">{"fdsup://Directions/FactSet Auditing Viewer?action=AUDIT_VALUE&amp;DB=129&amp;ID1=83408W10&amp;VALUEID=02001&amp;SDATE=201003&amp;PERIODTYPE=QTR_STD&amp;window=popup_no_bar&amp;width=385&amp;height=120&amp;START_MAXIMIZED=FALSE&amp;creator=factset&amp;display_string=Audit"}</definedName>
    <definedName name="_191__FDSAUDITLINK__" hidden="1">{"fdsup://directions/FAT Viewer?action=UPDATE&amp;creator=factset&amp;DYN_ARGS=TRUE&amp;DOC_NAME=FAT:FQL_AUDITING_CLIENT_TEMPLATE.FAT&amp;display_string=Audit&amp;VAR:KEY=SVKXCXCPYF&amp;VAR:QUERY=KChGRl9HUk9TU19JTkMoTFRNLDAsLCxSRixVU0QpQEZGX0dST1NTX0lOQyhMVE1TX1NFTUksMCwsLFJGLFVTR","CkpQEZGX1NBTEVTKEFOTiwwLCwsUkYsVVNEKSk=&amp;WINDOW=FIRST_POPUP&amp;HEIGHT=450&amp;WIDTH=450&amp;START_MAXIMIZED=FALSE&amp;VAR:CALENDAR=US&amp;VAR:SYMBOL=N6596X10&amp;VAR:INDEX=0"}</definedName>
    <definedName name="_192__FDSAUDITLINK__" hidden="1">{"fdsup://Directions/FactSet Auditing Viewer?action=AUDIT_VALUE&amp;DB=129&amp;ID1=74752510&amp;VALUEID=01001&amp;SDATE=201102&amp;PERIODTYPE=QTR_STD&amp;SCFT=3&amp;window=popup_no_bar&amp;width=385&amp;height=120&amp;START_MAXIMIZED=FALSE&amp;creator=factset&amp;display_string=Audit"}</definedName>
    <definedName name="_193__FDSAUDITLINK__" hidden="1">{"fdsup://directions/FAT Viewer?action=UPDATE&amp;creator=factset&amp;DYN_ARGS=TRUE&amp;DOC_NAME=FAT:FQL_AUDITING_CLIENT_TEMPLATE.FAT&amp;display_string=Audit&amp;VAR:KEY=VYJUTIHSPS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MIPS&amp;VAR:INDEX=0"}</definedName>
    <definedName name="_194__FDSAUDITLINK__" hidden="1">{"fdsup://directions/FAT Viewer?action=UPDATE&amp;creator=factset&amp;DYN_ARGS=TRUE&amp;DOC_NAME=FAT:FQL_AUDITING_CLIENT_TEMPLATE.FAT&amp;display_string=Audit&amp;VAR:KEY=HUBYDANUVM&amp;VAR:QUERY=KChGRl9FUFMoTFRNLDAsLCxSRixVU0QpQEZGX0VQUyhMVE1TX1NFTUksMCwsLFJGLFVTRCkpQEZGX0VQUyhBT","k4sMCwsLFJGLFVTRCkp&amp;WINDOW=FIRST_POPUP&amp;HEIGHT=450&amp;WIDTH=450&amp;START_MAXIMIZED=FALSE&amp;VAR:CALENDAR=US&amp;VAR:SYMBOL=093031&amp;VAR:INDEX=0"}</definedName>
    <definedName name="_195__FDSAUDITLINK__" hidden="1">{"fdsup://directions/FAT Viewer?action=UPDATE&amp;creator=factset&amp;DYN_ARGS=TRUE&amp;DOC_NAME=FAT:FQL_AUDITING_CLIENT_TEMPLATE.FAT&amp;display_string=Audit&amp;VAR:KEY=MBELQFAHUF&amp;VAR:QUERY=KChGRl9ORVRfSU5DKExUTSwwLCwsUkYsVVNEKUBGRl9ORVRfSU5DKExUTVNfU0VNSSwwLCwsUkYsVVNEKSlAR","kZfTkVUX0lOQyhBTk4sMCwsLFJGLFVTRCkp&amp;WINDOW=FIRST_POPUP&amp;HEIGHT=450&amp;WIDTH=450&amp;START_MAXIMIZED=FALSE&amp;VAR:CALENDAR=US&amp;VAR:SYMBOL=093031&amp;VAR:INDEX=0"}</definedName>
    <definedName name="_196__FDSAUDITLINK__" hidden="1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197__FDSAUDITLINK__" hidden="1">{"fdsup://directions/FAT Viewer?action=UPDATE&amp;creator=factset&amp;DYN_ARGS=TRUE&amp;DOC_NAME=FAT:FQL_AUDITING_CLIENT_TEMPLATE.FAT&amp;display_string=Audit&amp;VAR:KEY=PMZIFIPELE&amp;VAR:QUERY=KChGRl9HUk9TU19JTkMoTFRNLDAsLCxSRixVU0QpQEZGX0dST1NTX0lOQyhMVE1TX1NFTUksMCwsLFJGLFVTR","CkpQEZGX1NBTEVTKEFOTiwwLCwsUkYsVVNEKSk=&amp;WINDOW=FIRST_POPUP&amp;HEIGHT=450&amp;WIDTH=450&amp;START_MAXIMIZED=FALSE&amp;VAR:CALENDAR=US&amp;VAR:SYMBOL=68218910&amp;VAR:INDEX=0"}</definedName>
    <definedName name="_198__FDSAUDITLINK__" hidden="1">{"fdsup://Directions/FactSet Auditing Viewer?action=AUDIT_VALUE&amp;DB=129&amp;ID1=626418&amp;VALUEID=07011&amp;SDATE=2009&amp;PERIODTYPE=ANN_STD&amp;window=popup_no_bar&amp;width=385&amp;height=120&amp;START_MAXIMIZED=FALSE&amp;creator=factset&amp;display_string=Audit"}</definedName>
    <definedName name="_199__FDSAUDITLINK__" hidden="1">{"fdsup://Directions/FactSet Auditing Viewer?action=AUDIT_VALUE&amp;DB=129&amp;ID1=15721010&amp;VALUEID=01001&amp;SDATE=201201&amp;PERIODTYPE=QTR_STD&amp;SCFT=3&amp;window=popup_no_bar&amp;width=385&amp;height=120&amp;START_MAXIMIZED=FALSE&amp;creator=factset&amp;display_string=Audit"}</definedName>
    <definedName name="_2__123Graph_A_FABP_L.WK1_FAB" hidden="1">#REF!</definedName>
    <definedName name="_2__123Graph_AChart_10" hidden="1">#REF!</definedName>
    <definedName name="_2__123Graph_AChart_2" hidden="1">#REF!</definedName>
    <definedName name="_2__123Graph_BCHART_1" hidden="1">#REF!</definedName>
    <definedName name="_2__FDSAUDITLINK__" hidden="1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2__FDSAUDITLINK___1" hidden="1">{"fdsup://IBCentral/FAT Viewer?action=UPDATE&amp;creator=factset&amp;DOC_NAME=fat:reuters_annual_shs_src_window.fat&amp;display_string=Audit&amp;DYN_ARGS=TRUE&amp;VAR:ID1=76657R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2_0_0Cwvu.GREY_A" hidden="1">#REF!</definedName>
    <definedName name="_2_123Grap" hidden="1">#REF!</definedName>
    <definedName name="_20__123Graph_BChart_3" hidden="1">#REF!</definedName>
    <definedName name="_20__FDSAUDITLINK__" hidden="1">{"fdsup://directions/FAT Viewer?action=UPDATE&amp;creator=factset&amp;DYN_ARGS=TRUE&amp;DOC_NAME=FAT:FQL_AUDITING_CLIENT_TEMPLATE.FAT&amp;display_string=Audit&amp;VAR:KEY=LYVKFSXGXU&amp;VAR:QUERY=KChGRl9HUk9TU19JTkMoTFRNLDAsLCxSRixVU0QpQEZGX0dST1NTX0lOQyhMVE1TX1NFTUksMCwsLFJGLFVTR","CkpQEZGX1NBTEVTKEFOTiwwLCwsUkYsVVNEKSk=&amp;WINDOW=FIRST_POPUP&amp;HEIGHT=450&amp;WIDTH=450&amp;START_MAXIMIZED=FALSE&amp;VAR:CALENDAR=US&amp;VAR:SYMBOL=TSRA&amp;VAR:INDEX=0"}</definedName>
    <definedName name="_20_0_Table2_" hidden="1">#REF!</definedName>
    <definedName name="_200__FDSAUDITLINK__" hidden="1">{"fdsup://Directions/FactSet Auditing Viewer?action=AUDIT_VALUE&amp;DB=129&amp;ID1=626418&amp;VALUEID=02001&amp;SDATE=201003&amp;PERIODTYPE=QTR_STD&amp;window=popup_no_bar&amp;width=385&amp;height=120&amp;START_MAXIMIZED=FALSE&amp;creator=factset&amp;display_string=Audit"}</definedName>
    <definedName name="_201__FDSAUDITLINK__" hidden="1">{"fdsup://Directions/FactSet Auditing Viewer?action=AUDIT_VALUE&amp;DB=129&amp;ID1=88164L10&amp;VALUEID=07011&amp;SDATE=2011&amp;PERIODTYPE=ANN_STD&amp;SCFT=3&amp;window=popup_no_bar&amp;width=385&amp;height=120&amp;START_MAXIMIZED=FALSE&amp;creator=factset&amp;display_string=Audit"}</definedName>
    <definedName name="_202__FDSAUDITLINK__" hidden="1">{"fdsup://directions/FAT Viewer?action=UPDATE&amp;creator=factset&amp;DYN_ARGS=TRUE&amp;DOC_NAME=FAT:FQL_AUDITING_CLIENT_TEMPLATE.FAT&amp;display_string=Audit&amp;VAR:KEY=PQZKTMDARE&amp;VAR:QUERY=KChGRl9FQklUREEoTFRNLDAsLCxSRixVU0QpQEZGX0VCSVREQShMVE1TX1NFTUksMCwsLFJGLFVTRCkpQEZGX","0VCSVREQShBTk4sMCwsLFJGLFVTRCkp&amp;WINDOW=FIRST_POPUP&amp;HEIGHT=450&amp;WIDTH=450&amp;START_MAXIMIZED=FALSE&amp;VAR:CALENDAR=US&amp;VAR:SYMBOL=FSL&amp;VAR:INDEX=0"}</definedName>
    <definedName name="_203__FDSAUDITLINK__" hidden="1">{"fdsup://Directions/FactSet Auditing Viewer?action=AUDIT_VALUE&amp;DB=129&amp;ID1=588950&amp;VALUEID=01001&amp;SDATE=2011&amp;PERIODTYPE=ANN_STD&amp;SCFT=3&amp;window=popup_no_bar&amp;width=385&amp;height=120&amp;START_MAXIMIZED=FALSE&amp;creator=factset&amp;display_string=Audit"}</definedName>
    <definedName name="_204__FDSAUDITLINK__" hidden="1">{"fdsup://directions/FAT Viewer?action=UPDATE&amp;creator=factset&amp;DYN_ARGS=TRUE&amp;DOC_NAME=FAT:FQL_AUDITING_CLIENT_TEMPLATE.FAT&amp;display_string=Audit&amp;VAR:KEY=ODOVSHCHUH&amp;VAR:QUERY=KChGRl9FQklUKExUTSwwLCwsUkYsVVNEKUBGRl9FQklUKExUTVNfU0VNSSwwLCwsUkYsVVNEKSlARkZfRUJJV","ChBTk4sMCwsLFJGLFVTRCkp&amp;WINDOW=FIRST_POPUP&amp;HEIGHT=450&amp;WIDTH=450&amp;START_MAXIMIZED=FALSE&amp;VAR:CALENDAR=US&amp;VAR:SYMBOL=MIPS&amp;VAR:INDEX=0"}</definedName>
    <definedName name="_205__FDSAUDITLINK__" hidden="1">{"fdsup://directions/FAT Viewer?action=UPDATE&amp;creator=factset&amp;DYN_ARGS=TRUE&amp;DOC_NAME=FAT:FQL_AUDITING_CLIENT_TEMPLATE.FAT&amp;display_string=Audit&amp;VAR:KEY=RIHWNWTUDE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OSY&amp;VAR:INDEX=0"}</definedName>
    <definedName name="_206__FDSAUDITLINK__" hidden="1">{"fdsup://directions/FAT Viewer?action=UPDATE&amp;creator=factset&amp;DYN_ARGS=TRUE&amp;DOC_NAME=FAT:FQL_AUDITING_CLIENT_TEMPLATE.FAT&amp;display_string=Audit&amp;VAR:KEY=FQDSVODQRY&amp;VAR:QUERY=KChGRl9FQklUKExUTSwwLCwsUkYsVVNEKUBGRl9FQklUKExUTVNfU0VNSSwwLCwsUkYsVVNEKSlARkZfRUJJV","ChBTk4sMCwsLFJGLFVTRCkp&amp;WINDOW=FIRST_POPUP&amp;HEIGHT=450&amp;WIDTH=450&amp;START_MAXIMIZED=FALSE&amp;VAR:CALENDAR=US&amp;VAR:SYMBOL=ARMH&amp;VAR:INDEX=0"}</definedName>
    <definedName name="_20618__FDSAUDITLINK__" hidden="1">{"fdsup://directions/FAT Viewer?action=UPDATE&amp;creator=factset&amp;DYN_ARGS=TRUE&amp;DOC_NAME=FAT:FQL_AUDITING_CLIENT_TEMPLATE.FAT&amp;display_string=Audit&amp;VAR:KEY=FKBKXAVMNK&amp;VAR:QUERY=KChGRl9ERUJUKFFUUiw0MTE2NCwsLCxVU0QpQEZGX0RFQlQoU0VNSSw0MTE2NCwsLCxVU0QpKUBGRl9ERUJUK","EFOTiw0MTE2NCwsLCxVU0QpKQ==&amp;WINDOW=FIRST_POPUP&amp;HEIGHT=450&amp;WIDTH=450&amp;START_MAXIMIZED=FALSE&amp;VAR:CALENDAR=US&amp;VAR:SYMBOL=CSGP&amp;VAR:INDEX=0"}</definedName>
    <definedName name="_20633__FDSAUDITLINK__" hidden="1">{"fdsup://directions/FAT Viewer?action=UPDATE&amp;creator=factset&amp;DYN_ARGS=TRUE&amp;DOC_NAME=FAT:FQL_AUDITING_CLIENT_TEMPLATE.FAT&amp;display_string=Audit&amp;VAR:KEY=DMDATWRMBM&amp;VAR:QUERY=RkZfRUJJVERBKEFOTiwyMDEyLC0yQVksQ1ksLFVTRCk=&amp;WINDOW=FIRST_POPUP&amp;HEIGHT=450&amp;WIDTH=450&amp;","START_MAXIMIZED=FALSE&amp;VAR:CALENDAR=US&amp;VAR:SYMBOL=LSE:REL&amp;VAR:INDEX=0"}</definedName>
    <definedName name="_207__FDSAUDITLINK__" hidden="1">{"fdsup://Directions/FactSet Auditing Viewer?action=AUDIT_VALUE&amp;DB=129&amp;ID1=68218910&amp;VALUEID=07011&amp;SDATE=2011&amp;PERIODTYPE=ANN_STD&amp;SCFT=3&amp;window=popup_no_bar&amp;width=385&amp;height=120&amp;START_MAXIMIZED=FALSE&amp;creator=factset&amp;display_string=Audit"}</definedName>
    <definedName name="_208__FDSAUDITLINK__" hidden="1">{"fdsup://directions/FAT Viewer?action=UPDATE&amp;creator=factset&amp;DYN_ARGS=TRUE&amp;DOC_NAME=FAT:FQL_AUDITING_CLIENT_TEMPLATE.FAT&amp;display_string=Audit&amp;VAR:KEY=BCTCNKNQFA&amp;VAR:QUERY=KChGRl9FQklUKExUTSwwLCwsUkYsVVNEKUBGRl9FQklUKExUTVNfU0VNSSwwLCwsUkYsVVNEKSlARkZfRUJJV","ChBTk4sMCwsLFJGLFVTRCkp&amp;WINDOW=FIRST_POPUP&amp;HEIGHT=450&amp;WIDTH=450&amp;START_MAXIMIZED=FALSE&amp;VAR:CALENDAR=US&amp;VAR:SYMBOL=68218910&amp;VAR:INDEX=0"}</definedName>
    <definedName name="_209__FDSAUDITLINK__" hidden="1">{"fdsup://directions/FAT Viewer?action=UPDATE&amp;creator=factset&amp;DYN_ARGS=TRUE&amp;DOC_NAME=FAT:FQL_AUDITING_CLIENT_TEMPLATE.FAT&amp;display_string=Audit&amp;VAR:KEY=SXKRGJYHAP&amp;VAR:QUERY=KChGRl9ORVRfSU5DKExUTSwwLCwsUkYsVVNEKUBGRl9ORVRfSU5DKExUTVNfU0VNSSwwLCwsUkYsVVNEKSlAR","kZfTkVUX0lOQyhBTk4sMCwsLFJGLFVTRCkp&amp;WINDOW=FIRST_POPUP&amp;HEIGHT=450&amp;WIDTH=450&amp;START_MAXIMIZED=FALSE&amp;VAR:CALENDAR=US&amp;VAR:SYMBOL=JMP&amp;VAR:INDEX=0"}</definedName>
    <definedName name="_21__123Graph_BChart_4" hidden="1">#REF!</definedName>
    <definedName name="_21__FDSAUDITLINK__" hidden="1">{"fdsup://directions/FAT Viewer?action=UPDATE&amp;creator=factset&amp;DYN_ARGS=TRUE&amp;DOC_NAME=FAT:FQL_AUDITING_CLIENT_TEMPLATE.FAT&amp;display_string=Audit&amp;VAR:KEY=TWBGRMZUVM&amp;VAR:QUERY=RkZfU0FMRVMoTFRNLDEyLzMxLzIwMDUsLCxSRixVU0Qp&amp;WINDOW=FIRST_POPUP&amp;HEIGHT=450&amp;WIDTH=450&amp;","START_MAXIMIZED=FALSE&amp;VAR:CALENDAR=US&amp;VAR:SYMBOL=MIPS&amp;VAR:INDEX=0"}</definedName>
    <definedName name="_210__FDSAUDITLINK__" hidden="1">{"fdsup://directions/FAT Viewer?action=UPDATE&amp;creator=factset&amp;DYN_ARGS=TRUE&amp;DOC_NAME=FAT:FQL_AUDITING_CLIENT_TEMPLATE.FAT&amp;display_string=Audit&amp;VAR:KEY=MVMDGZULMT&amp;VAR:QUERY=KChGRl9FQklUKExUTSwwLCwsUkYsVVNEKUBGRl9FQklUKExUTVNfU0VNSSwwLCwsUkYsVVNEKSlARkZfRUJJV","ChBTk4sMCwsLFJGLFVTRCkp&amp;WINDOW=FIRST_POPUP&amp;HEIGHT=450&amp;WIDTH=450&amp;START_MAXIMIZED=FALSE&amp;VAR:CALENDAR=US&amp;VAR:SYMBOL=JMP&amp;VAR:INDEX=0"}</definedName>
    <definedName name="_211__FDSAUDITLINK__" hidden="1">{"fdsup://directions/FAT Viewer?action=UPDATE&amp;creator=factset&amp;DYN_ARGS=TRUE&amp;DOC_NAME=FAT:FQL_AUDITING_CLIENT_TEMPLATE.FAT&amp;display_string=Audit&amp;VAR:KEY=YLMXAVGBGN&amp;VAR:QUERY=KChGRl9FQklUREEoTFRNLDAsLCxSRixVU0QpQEZGX0VCSVREQShMVE1TX1NFTUksMCwsLFJGLFVTRCkpQEZGX","0VCSVREQShBTk4sMCwsLFJGLFVTRCkp&amp;WINDOW=FIRST_POPUP&amp;HEIGHT=450&amp;WIDTH=450&amp;START_MAXIMIZED=FALSE&amp;VAR:CALENDAR=US&amp;VAR:SYMBOL=JMP&amp;VAR:INDEX=0"}</definedName>
    <definedName name="_212__FDSAUDITLINK__" hidden="1">{"fdsup://Directions/FactSet Auditing Viewer?action=AUDIT_VALUE&amp;DB=129&amp;ID1=46629U10&amp;VALUEID=01001&amp;SDATE=201003&amp;PERIODTYPE=QTR_STD&amp;window=popup_no_bar&amp;width=385&amp;height=120&amp;START_MAXIMIZED=FALSE&amp;creator=factset&amp;display_string=Audit"}</definedName>
    <definedName name="_213__FDSAUDITLINK__" hidden="1">{"fdsup://directions/FAT Viewer?action=UPDATE&amp;creator=factset&amp;DYN_ARGS=TRUE&amp;DOC_NAME=FAT:FQL_AUDITING_CLIENT_TEMPLATE.FAT&amp;display_string=Audit&amp;VAR:KEY=ERUPGFARQB&amp;VAR:QUERY=KChGRl9ORVRfSU5DKExUTSwwLCwsUkYsVVNEKUBGRl9ORVRfSU5DKExUTVNfU0VNSSwwLCwsUkYsVVNEKSlAR","kZfTkVUX0lOQyhBTk4sMCwsLFJGLFVTRCkp&amp;WINDOW=FIRST_POPUP&amp;HEIGHT=450&amp;WIDTH=450&amp;START_MAXIMIZED=FALSE&amp;VAR:CALENDAR=US&amp;VAR:SYMBOL=TWPG&amp;VAR:INDEX=0"}</definedName>
    <definedName name="_214__FDSAUDITLINK__" hidden="1">{"fdsup://directions/FAT Viewer?action=UPDATE&amp;creator=factset&amp;DYN_ARGS=TRUE&amp;DOC_NAME=FAT:FQL_AUDITING_CLIENT_TEMPLATE.FAT&amp;display_string=Audit&amp;VAR:KEY=WBUZMPCJIF&amp;VAR:QUERY=KChGRl9FQklUKExUTSwwLCwsUkYsVVNEKUBGRl9FQklUKExUTVNfU0VNSSwwLCwsUkYsVVNEKSlARkZfRUJJV","ChBTk4sMCwsLFJGLFVTRCkp&amp;WINDOW=FIRST_POPUP&amp;HEIGHT=450&amp;WIDTH=450&amp;START_MAXIMIZED=FALSE&amp;VAR:CALENDAR=US&amp;VAR:SYMBOL=TWPG&amp;VAR:INDEX=0"}</definedName>
    <definedName name="_215__FDSAUDITLINK__" hidden="1">{"fdsup://directions/FAT Viewer?action=UPDATE&amp;creator=factset&amp;DYN_ARGS=TRUE&amp;DOC_NAME=FAT:FQL_AUDITING_CLIENT_TEMPLATE.FAT&amp;display_string=Audit&amp;VAR:KEY=CPWNIXYDEX&amp;VAR:QUERY=KChGRl9FQklUREEoTFRNLDAsLCxSRixVU0QpQEZGX0VCSVREQShMVE1TX1NFTUksMCwsLFJGLFVTRCkpQEZGX","0VCSVREQShBTk4sMCwsLFJGLFVTRCkp&amp;WINDOW=FIRST_POPUP&amp;HEIGHT=450&amp;WIDTH=450&amp;START_MAXIMIZED=FALSE&amp;VAR:CALENDAR=US&amp;VAR:SYMBOL=TWPG&amp;VAR:INDEX=0"}</definedName>
    <definedName name="_216__FDSAUDITLINK__" hidden="1">{"fdsup://Directions/FactSet Auditing Viewer?action=AUDIT_VALUE&amp;DB=129&amp;ID1=88448110&amp;VALUEID=01001&amp;SDATE=2009&amp;PERIODTYPE=ANN_STD&amp;window=popup_no_bar&amp;width=385&amp;height=120&amp;START_MAXIMIZED=FALSE&amp;creator=factset&amp;display_string=Audit"}</definedName>
    <definedName name="_217__FDSAUDITLINK__" hidden="1">{"fdsup://Directions/FactSet Auditing Viewer?action=AUDIT_VALUE&amp;DB=129&amp;ID1=88448110&amp;VALUEID=01001&amp;SDATE=201001&amp;PERIODTYPE=QTR_STD&amp;window=popup_no_bar&amp;width=385&amp;height=120&amp;START_MAXIMIZED=FALSE&amp;creator=factset&amp;display_string=Audit"}</definedName>
    <definedName name="_218__FDSAUDITLINK__" hidden="1">{"fdsup://Directions/FactSet Auditing Viewer?action=AUDIT_VALUE&amp;DB=129&amp;ID1=88448110&amp;VALUEID=01001&amp;SDATE=200901&amp;PERIODTYPE=QTR_STD&amp;window=popup_no_bar&amp;width=385&amp;height=120&amp;START_MAXIMIZED=FALSE&amp;creator=factset&amp;display_string=Audit"}</definedName>
    <definedName name="_219__FDSAUDITLINK__" hidden="1">{"fdsup://directions/FAT Viewer?action=UPDATE&amp;creator=factset&amp;DYN_ARGS=TRUE&amp;DOC_NAME=FAT:FQL_AUDITING_CLIENT_TEMPLATE.FAT&amp;display_string=Audit&amp;VAR:KEY=EXSPKBWZGN&amp;VAR:QUERY=KChGRl9ORVRfSU5DKExUTSwwLCwsUkYsVVNEKUBGRl9ORVRfSU5DKExUTVNfU0VNSSwwLCwsUkYsVVNEKSlAR","kZfTkVUX0lOQyhBTk4sMCwsLFJGLFVTRCkp&amp;WINDOW=FIRST_POPUP&amp;HEIGHT=450&amp;WIDTH=450&amp;START_MAXIMIZED=FALSE&amp;VAR:CALENDAR=US&amp;VAR:SYMBOL=COWN&amp;VAR:INDEX=0"}</definedName>
    <definedName name="_22__123Graph_BChart_5" hidden="1">#REF!</definedName>
    <definedName name="_22__123Graph_LBL_ACHART_1" hidden="1">#REF!</definedName>
    <definedName name="_22__FDSAUDITLINK__" hidden="1">{"fdsup://directions/FAT Viewer?action=UPDATE&amp;creator=factset&amp;DYN_ARGS=TRUE&amp;DOC_NAME=FAT:FQL_AUDITING_CLIENT_TEMPLATE.FAT&amp;display_string=Audit&amp;VAR:KEY=RQTSLGXMJO&amp;VAR:QUERY=KChGRl9ORVRfSU5DKExUTSwwLCwsUkYsVVNEKUBGRl9ORVRfSU5DKExUTVNfU0VNSSwwLCwsUkYsVVNEKSlAR","kZfTkVUX0lOQyhBTk4sMCwsLFJGLFVTRCkp&amp;WINDOW=FIRST_POPUP&amp;HEIGHT=450&amp;WIDTH=450&amp;START_MAXIMIZED=FALSE&amp;VAR:CALENDAR=US&amp;VAR:SYMBOL=QCOM&amp;VAR:INDEX=0"}</definedName>
    <definedName name="_220__FDSAUDITLINK__" hidden="1">{"fdsup://directions/FAT Viewer?action=UPDATE&amp;creator=factset&amp;DYN_ARGS=TRUE&amp;DOC_NAME=FAT:FQL_AUDITING_CLIENT_TEMPLATE.FAT&amp;display_string=Audit&amp;VAR:KEY=CFCFQNADUV&amp;VAR:QUERY=KChGRl9FQklUKExUTSwwLCwsUkYsVVNEKUBGRl9FQklUKExUTVNfU0VNSSwwLCwsUkYsVVNEKSlARkZfRUJJV","ChBTk4sMCwsLFJGLFVTRCkp&amp;WINDOW=FIRST_POPUP&amp;HEIGHT=450&amp;WIDTH=450&amp;START_MAXIMIZED=FALSE&amp;VAR:CALENDAR=US&amp;VAR:SYMBOL=COWN&amp;VAR:INDEX=0"}</definedName>
    <definedName name="_221__FDSAUDITLINK__" hidden="1">{"fdsup://directions/FAT Viewer?action=UPDATE&amp;creator=factset&amp;DYN_ARGS=TRUE&amp;DOC_NAME=FAT:FQL_AUDITING_CLIENT_TEMPLATE.FAT&amp;display_string=Audit&amp;VAR:KEY=MDINYTOTKR&amp;VAR:QUERY=KChGRl9FQklUREEoTFRNLDAsLCxSRixVU0QpQEZGX0VCSVREQShMVE1TX1NFTUksMCwsLFJGLFVTRCkpQEZGX","0VCSVREQShBTk4sMCwsLFJGLFVTRCkp&amp;WINDOW=FIRST_POPUP&amp;HEIGHT=450&amp;WIDTH=450&amp;START_MAXIMIZED=FALSE&amp;VAR:CALENDAR=US&amp;VAR:SYMBOL=COWN&amp;VAR:INDEX=0"}</definedName>
    <definedName name="_222__FDSAUDITLINK__" hidden="1">{"fdsup://Directions/FactSet Auditing Viewer?action=AUDIT_VALUE&amp;DB=129&amp;ID1=22362210&amp;VALUEID=01001&amp;SDATE=201003&amp;PERIODTYPE=QTR_STD&amp;window=popup_no_bar&amp;width=385&amp;height=120&amp;START_MAXIMIZED=FALSE&amp;creator=factset&amp;display_string=Audit"}</definedName>
    <definedName name="_223__FDSAUDITLINK__" hidden="1">{"fdsup://Directions/FactSet Auditing Viewer?action=AUDIT_VALUE&amp;DB=129&amp;ID1=22362210&amp;VALUEID=01001&amp;SDATE=200903&amp;PERIODTYPE=QTR_STD&amp;window=popup_no_bar&amp;width=385&amp;height=120&amp;START_MAXIMIZED=FALSE&amp;creator=factset&amp;display_string=Audit"}</definedName>
    <definedName name="_224__FDSAUDITLINK__" hidden="1">{"fdsup://Directions/FactSet Auditing Viewer?action=AUDIT_VALUE&amp;DB=129&amp;ID1=B2PG34&amp;VALUEID=01251&amp;SDATE=2009&amp;PERIODTYPE=ANN_STD&amp;window=popup_no_bar&amp;width=385&amp;height=120&amp;START_MAXIMIZED=FALSE&amp;creator=factset&amp;display_string=Audit"}</definedName>
    <definedName name="_225__FDSAUDITLINK__" hidden="1">{"fdsup://directions/FAT Viewer?action=UPDATE&amp;creator=factset&amp;DYN_ARGS=TRUE&amp;DOC_NAME=FAT:FQL_AUDITING_CLIENT_TEMPLATE.FAT&amp;display_string=Audit&amp;VAR:KEY=KZYLYNEBKJ&amp;VAR:QUERY=KChGRl9ORVRfSU5DKExUTSwwLCwsUkYsVVNEKUBGRl9ORVRfSU5DKExUTVNfU0VNSSwwLCwsUkYsVVNEKSlAR","kZfTkVUX0lOQyhBTk4sMCwsLFJGLFVTRCkp&amp;WINDOW=FIRST_POPUP&amp;HEIGHT=450&amp;WIDTH=450&amp;START_MAXIMIZED=FALSE&amp;VAR:CALENDAR=US&amp;VAR:SYMBOL=2174&amp;VAR:INDEX=0"}</definedName>
    <definedName name="_226__FDSAUDITLINK__" hidden="1">{"fdsup://directions/FAT Viewer?action=UPDATE&amp;creator=factset&amp;DYN_ARGS=TRUE&amp;DOC_NAME=FAT:FQL_AUDITING_CLIENT_TEMPLATE.FAT&amp;display_string=Audit&amp;VAR:KEY=QRANATSXCB&amp;VAR:QUERY=KChGRl9FQklUKExUTSwwLCwsUkYsVVNEKUBGRl9FQklUKExUTVNfU0VNSSwwLCwsUkYsVVNEKSlARkZfRUJJV","ChBTk4sMCwsLFJGLFVTRCkp&amp;WINDOW=FIRST_POPUP&amp;HEIGHT=450&amp;WIDTH=450&amp;START_MAXIMIZED=FALSE&amp;VAR:CALENDAR=US&amp;VAR:SYMBOL=2174&amp;VAR:INDEX=0"}</definedName>
    <definedName name="_227__FDSAUDITLINK__" hidden="1">{"fdsup://directions/FAT Viewer?action=UPDATE&amp;creator=factset&amp;DYN_ARGS=TRUE&amp;DOC_NAME=FAT:FQL_AUDITING_CLIENT_TEMPLATE.FAT&amp;display_string=Audit&amp;VAR:KEY=YFENCTATKT&amp;VAR:QUERY=KChGRl9FQklUREEoTFRNLDAsLCxSRixVU0QpQEZGX0VCSVREQShMVE1TX1NFTUksMCwsLFJGLFVTRCkpQEZGX","0VCSVREQShBTk4sMCwsLFJGLFVTRCkp&amp;WINDOW=FIRST_POPUP&amp;HEIGHT=450&amp;WIDTH=450&amp;START_MAXIMIZED=FALSE&amp;VAR:CALENDAR=US&amp;VAR:SYMBOL=2174&amp;VAR:INDEX=0"}</definedName>
    <definedName name="_228__FDSAUDITLINK__" hidden="1">{"fdsup://directions/FAT Viewer?action=UPDATE&amp;creator=factset&amp;DYN_ARGS=TRUE&amp;DOC_NAME=FAT:FQL_AUDITING_CLIENT_TEMPLATE.FAT&amp;display_string=Audit&amp;VAR:KEY=ULWVMXCHST&amp;VAR:QUERY=KChGRl9HUk9TU19JTkMoTFRNLDAsLCxSRixVU0QpQEZGX0dST1NTX0lOQyhMVE1TX1NFTUksMCwsLFJGLFVTR","CkpQEZGX1NBTEVTKEFOTiwwLCwsUkYsVVNEKSk=&amp;WINDOW=FIRST_POPUP&amp;HEIGHT=450&amp;WIDTH=450&amp;START_MAXIMIZED=FALSE&amp;VAR:CALENDAR=US&amp;VAR:SYMBOL=2174&amp;VAR:INDEX=0"}</definedName>
    <definedName name="_229__FDSAUDITLINK__" hidden="1">{"fdsup://Directions/FactSet Auditing Viewer?action=AUDIT_VALUE&amp;DB=129&amp;ID1=B2PG34&amp;VALUEID=01001&amp;SDATE=201003&amp;PERIODTYPE=QTR_STD&amp;window=popup_no_bar&amp;width=385&amp;height=120&amp;START_MAXIMIZED=FALSE&amp;creator=factset&amp;display_string=Audit"}</definedName>
    <definedName name="_23__123Graph_CChart_1" hidden="1">#REF!</definedName>
    <definedName name="_23__123Graph_LBL_ACHART_3" hidden="1">#REF!</definedName>
    <definedName name="_23__FDSAUDITLINK__" hidden="1">{"fdsup://directions/FAT Viewer?action=UPDATE&amp;creator=factset&amp;DYN_ARGS=TRUE&amp;DOC_NAME=FAT:FQL_AUDITING_CLIENT_TEMPLATE.FAT&amp;display_string=Audit&amp;VAR:KEY=MJKPEZQVYN&amp;VAR:QUERY=KEZGX0NPTV9TSFNfT1VUKE1PTiwwLCwsUkYsVVNEKUBQX0NPTV9TSFNfT1VUKDApKQ==&amp;WINDOW=FIRST_POP","UP&amp;HEIGHT=450&amp;WIDTH=450&amp;START_MAXIMIZED=FALSE&amp;VAR:CALENDAR=US&amp;VAR:INDEX=0"}</definedName>
    <definedName name="_230__FDSAUDITLINK__" hidden="1">{"fdsup://directions/FAT Viewer?action=UPDATE&amp;creator=factset&amp;DYN_ARGS=TRUE&amp;DOC_NAME=FAT:FQL_AUDITING_CLIENT_TEMPLATE.FAT&amp;display_string=Audit&amp;VAR:KEY=ENKXGLWDST&amp;VAR:QUERY=KChGRl9ORVRfSU5DKExUTSwwLCwsUkYsVVNEKUBGRl9ORVRfSU5DKExUTVNfU0VNSSwwLCwsUkYsVVNEKSlAR","kZfTkVUX0lOQyhBTk4sMCwsLFJGLFVTRCkp&amp;WINDOW=FIRST_POPUP&amp;HEIGHT=450&amp;WIDTH=450&amp;START_MAXIMIZED=FALSE&amp;VAR:CALENDAR=US&amp;VAR:SYMBOL=BPSG&amp;VAR:INDEX=0"}</definedName>
    <definedName name="_231__FDSAUDITLINK__" hidden="1">{"fdsup://directions/FAT Viewer?action=UPDATE&amp;creator=factset&amp;DYN_ARGS=TRUE&amp;DOC_NAME=FAT:FQL_AUDITING_CLIENT_TEMPLATE.FAT&amp;display_string=Audit&amp;VAR:KEY=GHMPYNILKV&amp;VAR:QUERY=KChGRl9FQklUKExUTSwwLCwsUkYsVVNEKUBGRl9FQklUKExUTVNfU0VNSSwwLCwsUkYsVVNEKSlARkZfRUJJV","ChBTk4sMCwsLFJGLFVTRCkp&amp;WINDOW=FIRST_POPUP&amp;HEIGHT=450&amp;WIDTH=450&amp;START_MAXIMIZED=FALSE&amp;VAR:CALENDAR=US&amp;VAR:SYMBOL=BPSG&amp;VAR:INDEX=0"}</definedName>
    <definedName name="_232__FDSAUDITLINK__" hidden="1">{"fdsup://directions/FAT Viewer?action=UPDATE&amp;creator=factset&amp;DYN_ARGS=TRUE&amp;DOC_NAME=FAT:FQL_AUDITING_CLIENT_TEMPLATE.FAT&amp;display_string=Audit&amp;VAR:KEY=STAJAFYDIN&amp;VAR:QUERY=KChGRl9FQklUREEoTFRNLDAsLCxSRixVU0QpQEZGX0VCSVREQShMVE1TX1NFTUksMCwsLFJGLFVTRCkpQEZGX","0VCSVREQShBTk4sMCwsLFJGLFVTRCkp&amp;WINDOW=FIRST_POPUP&amp;HEIGHT=450&amp;WIDTH=450&amp;START_MAXIMIZED=FALSE&amp;VAR:CALENDAR=US&amp;VAR:SYMBOL=BPSG&amp;VAR:INDEX=0"}</definedName>
    <definedName name="_233__FDSAUDITLINK__" hidden="1">{"fdsup://Directions/FactSet Auditing Viewer?action=AUDIT_VALUE&amp;DB=129&amp;ID1=37734110&amp;VALUEID=01001&amp;SDATE=2009&amp;PERIODTYPE=ANN_STD&amp;window=popup_no_bar&amp;width=385&amp;height=120&amp;START_MAXIMIZED=FALSE&amp;creator=factset&amp;display_string=Audit"}</definedName>
    <definedName name="_234__FDSAUDITLINK__" hidden="1">{"fdsup://Directions/FactSet Auditing Viewer?action=AUDIT_VALUE&amp;DB=129&amp;ID1=37734110&amp;VALUEID=01001&amp;SDATE=201003&amp;PERIODTYPE=QTR_STD&amp;window=popup_no_bar&amp;width=385&amp;height=120&amp;START_MAXIMIZED=FALSE&amp;creator=factset&amp;display_string=Audit"}</definedName>
    <definedName name="_235__FDSAUDITLINK__" hidden="1">{"fdsup://Directions/FactSet Auditing Viewer?action=AUDIT_VALUE&amp;DB=129&amp;ID1=37734110&amp;VALUEID=01001&amp;SDATE=200903&amp;PERIODTYPE=QTR_STD&amp;window=popup_no_bar&amp;width=385&amp;height=120&amp;START_MAXIMIZED=FALSE&amp;creator=factset&amp;display_string=Audit"}</definedName>
    <definedName name="_236__FDSAUDITLINK__" hidden="1">{"fdsup://directions/FAT Viewer?action=UPDATE&amp;creator=factset&amp;DYN_ARGS=TRUE&amp;DOC_NAME=FAT:FQL_AUDITING_CLIENT_TEMPLATE.FAT&amp;display_string=Audit&amp;VAR:KEY=IZAJWLYBMB&amp;VAR:QUERY=KChGRl9ORVRfSU5DKExUTSwwLCwsUkYsVVNEKUBGRl9ORVRfSU5DKExUTVNfU0VNSSwwLCwsUkYsVVNEKSlAR","kZfTkVUX0lOQyhBTk4sMCwsLFJGLFVTRCkp&amp;WINDOW=FIRST_POPUP&amp;HEIGHT=450&amp;WIDTH=450&amp;START_MAXIMIZED=FALSE&amp;VAR:CALENDAR=US&amp;VAR:SYMBOL=PJC&amp;VAR:INDEX=0"}</definedName>
    <definedName name="_237__FDSAUDITLINK__" hidden="1">{"fdsup://directions/FAT Viewer?action=UPDATE&amp;creator=factset&amp;DYN_ARGS=TRUE&amp;DOC_NAME=FAT:FQL_AUDITING_CLIENT_TEMPLATE.FAT&amp;display_string=Audit&amp;VAR:KEY=ATGTKPGRWP&amp;VAR:QUERY=KChGRl9FQklUKExUTSwwLCwsUkYsVVNEKUBGRl9FQklUKExUTVNfU0VNSSwwLCwsUkYsVVNEKSlARkZfRUJJV","ChBTk4sMCwsLFJGLFVTRCkp&amp;WINDOW=FIRST_POPUP&amp;HEIGHT=450&amp;WIDTH=450&amp;START_MAXIMIZED=FALSE&amp;VAR:CALENDAR=US&amp;VAR:SYMBOL=PJC&amp;VAR:INDEX=0"}</definedName>
    <definedName name="_23797__FDSAUDITLINK__" hidden="1">{"fdsup://Directions/FactSet Auditing Viewer?action=AUDIT_VALUE&amp;DB=129&amp;ID1=30208110&amp;VALUEID=18321_YTD&amp;SDATE=201202&amp;PERIODTYPE=QTR_STD&amp;SCFT=3&amp;window=popup_no_bar&amp;width=385&amp;height=120&amp;START_MAXIMIZED=FALSE&amp;creator=factset&amp;display_string=Audit"}</definedName>
    <definedName name="_238__FDSAUDITLINK__" hidden="1">{"fdsup://directions/FAT Viewer?action=UPDATE&amp;creator=factset&amp;DYN_ARGS=TRUE&amp;DOC_NAME=FAT:FQL_AUDITING_CLIENT_TEMPLATE.FAT&amp;display_string=Audit&amp;VAR:KEY=OXIJKFYRWT&amp;VAR:QUERY=KChGRl9FQklUREEoTFRNLDAsLCxSRixVU0QpQEZGX0VCSVREQShMVE1TX1NFTUksMCwsLFJGLFVTRCkpQEZGX","0VCSVREQShBTk4sMCwsLFJGLFVTRCkp&amp;WINDOW=FIRST_POPUP&amp;HEIGHT=450&amp;WIDTH=450&amp;START_MAXIMIZED=FALSE&amp;VAR:CALENDAR=US&amp;VAR:SYMBOL=PJC&amp;VAR:INDEX=0"}</definedName>
    <definedName name="_239__FDSAUDITLINK__" hidden="1">{"fdsup://Directions/FactSet Auditing Viewer?action=AUDIT_VALUE&amp;DB=129&amp;ID1=72407810&amp;VALUEID=01001&amp;SDATE=201003&amp;PERIODTYPE=QTR_STD&amp;window=popup_no_bar&amp;width=385&amp;height=120&amp;START_MAXIMIZED=FALSE&amp;creator=factset&amp;display_string=Audit"}</definedName>
    <definedName name="_24__123Graph_CChart_2" hidden="1">#REF!</definedName>
    <definedName name="_24__FDSAUDITLINK__" hidden="1">{"fdsup://directions/FAT Viewer?action=UPDATE&amp;creator=factset&amp;DYN_ARGS=TRUE&amp;DOC_NAME=FAT:FQL_AUDITING_CLIENT_TEMPLATE.FAT&amp;display_string=Audit&amp;VAR:KEY=MJKPEZQVYN&amp;VAR:QUERY=KEZGX0NPTV9TSFNfT1VUKE1PTiwwLCwsUkYsVVNEKUBQX0NPTV9TSFNfT1VUKDApKQ==&amp;WINDOW=FIRST_POP","UP&amp;HEIGHT=450&amp;WIDTH=450&amp;START_MAXIMIZED=FALSE&amp;VAR:CALENDAR=US&amp;VAR:INDEX=0"}</definedName>
    <definedName name="_240__FDSAUDITLINK__" hidden="1">{"fdsup://Directions/FactSet Auditing Viewer?action=AUDIT_VALUE&amp;DB=129&amp;ID1=72407810&amp;VALUEID=01001&amp;SDATE=200903&amp;PERIODTYPE=QTR_STD&amp;window=popup_no_bar&amp;width=385&amp;height=120&amp;START_MAXIMIZED=FALSE&amp;creator=factset&amp;display_string=Audit"}</definedName>
    <definedName name="_241__FDSAUDITLINK__" hidden="1">{"fdsup://directions/FAT Viewer?action=UPDATE&amp;creator=factset&amp;DYN_ARGS=TRUE&amp;DOC_NAME=FAT:FQL_AUDITING_CLIENT_TEMPLATE.FAT&amp;display_string=Audit&amp;VAR:KEY=ONKFAZSLMB&amp;VAR:QUERY=KChGRl9ORVRfSU5DKExUTSwwLCwsUkYsVVNEKUBGRl9ORVRfSU5DKExUTVNfU0VNSSwwLCwsUkYsVVNEKSlAR","kZfTkVUX0lOQyhBTk4sMCwsLFJGLFVTRCkp&amp;WINDOW=FIRST_POPUP&amp;HEIGHT=450&amp;WIDTH=450&amp;START_MAXIMIZED=FALSE&amp;VAR:CALENDAR=US&amp;VAR:SYMBOL=EVR&amp;VAR:INDEX=0"}</definedName>
    <definedName name="_242__FDSAUDITLINK__" hidden="1">{"fdsup://directions/FAT Viewer?action=UPDATE&amp;creator=factset&amp;DYN_ARGS=TRUE&amp;DOC_NAME=FAT:FQL_AUDITING_CLIENT_TEMPLATE.FAT&amp;display_string=Audit&amp;VAR:KEY=UXIJONORCZ&amp;VAR:QUERY=KChGRl9FQklUKExUTSwwLCwsUkYsVVNEKUBGRl9FQklUKExUTVNfU0VNSSwwLCwsUkYsVVNEKSlARkZfRUJJV","ChBTk4sMCwsLFJGLFVTRCkp&amp;WINDOW=FIRST_POPUP&amp;HEIGHT=450&amp;WIDTH=450&amp;START_MAXIMIZED=FALSE&amp;VAR:CALENDAR=US&amp;VAR:SYMBOL=EVR&amp;VAR:INDEX=0"}</definedName>
    <definedName name="_243__FDSAUDITLINK__" hidden="1">{"fdsup://directions/FAT Viewer?action=UPDATE&amp;creator=factset&amp;DYN_ARGS=TRUE&amp;DOC_NAME=FAT:FQL_AUDITING_CLIENT_TEMPLATE.FAT&amp;display_string=Audit&amp;VAR:KEY=SJAPMDGHAH&amp;VAR:QUERY=KChGRl9FQklUREEoTFRNLDAsLCxSRixVU0QpQEZGX0VCSVREQShMVE1TX1NFTUksMCwsLFJGLFVTRCkpQEZGX","0VCSVREQShBTk4sMCwsLFJGLFVTRCkp&amp;WINDOW=FIRST_POPUP&amp;HEIGHT=450&amp;WIDTH=450&amp;START_MAXIMIZED=FALSE&amp;VAR:CALENDAR=US&amp;VAR:SYMBOL=EVR&amp;VAR:INDEX=0"}</definedName>
    <definedName name="_244__FDSAUDITLINK__" hidden="1">{"fdsup://Directions/FactSet Auditing Viewer?action=AUDIT_VALUE&amp;DB=129&amp;ID1=29977A10&amp;VALUEID=01001&amp;SDATE=2009&amp;PERIODTYPE=ANN_STD&amp;window=popup_no_bar&amp;width=385&amp;height=120&amp;START_MAXIMIZED=FALSE&amp;creator=factset&amp;display_string=Audit"}</definedName>
    <definedName name="_245__FDSAUDITLINK__" hidden="1">{"fdsup://Directions/FactSet Auditing Viewer?action=AUDIT_VALUE&amp;DB=129&amp;ID1=29977A10&amp;VALUEID=01001&amp;SDATE=201003&amp;PERIODTYPE=QTR_STD&amp;window=popup_no_bar&amp;width=385&amp;height=120&amp;START_MAXIMIZED=FALSE&amp;creator=factset&amp;display_string=Audit"}</definedName>
    <definedName name="_246__FDSAUDITLINK__" hidden="1">{"fdsup://Directions/FactSet Auditing Viewer?action=AUDIT_VALUE&amp;DB=129&amp;ID1=29977A10&amp;VALUEID=01001&amp;SDATE=200903&amp;PERIODTYPE=QTR_STD&amp;window=popup_no_bar&amp;width=385&amp;height=120&amp;START_MAXIMIZED=FALSE&amp;creator=factset&amp;display_string=Audit"}</definedName>
    <definedName name="_247__FDSAUDITLINK__" hidden="1">{"fdsup://directions/FAT Viewer?action=UPDATE&amp;creator=factset&amp;DYN_ARGS=TRUE&amp;DOC_NAME=FAT:FQL_AUDITING_CLIENT_TEMPLATE.FAT&amp;display_string=Audit&amp;VAR:KEY=WLEBUFWFGR&amp;VAR:QUERY=KChGRl9ORVRfSU5DKExUTSwwLCwsUkYsVVNEKUBGRl9ORVRfSU5DKExUTVNfU0VNSSwwLCwsUkYsVVNEKSlAR","kZfTkVUX0lOQyhBTk4sMCwsLFJGLFVTRCkp&amp;WINDOW=FIRST_POPUP&amp;HEIGHT=450&amp;WIDTH=450&amp;START_MAXIMIZED=FALSE&amp;VAR:CALENDAR=US&amp;VAR:SYMBOL=GHL&amp;VAR:INDEX=0"}</definedName>
    <definedName name="_248__FDSAUDITLINK__" hidden="1">{"fdsup://directions/FAT Viewer?action=UPDATE&amp;creator=factset&amp;DYN_ARGS=TRUE&amp;DOC_NAME=FAT:FQL_AUDITING_CLIENT_TEMPLATE.FAT&amp;display_string=Audit&amp;VAR:KEY=SVQRKVSJQL&amp;VAR:QUERY=KChGRl9FQklUKExUTSwwLCwsUkYsVVNEKUBGRl9FQklUKExUTVNfU0VNSSwwLCwsUkYsVVNEKSlARkZfRUJJV","ChBTk4sMCwsLFJGLFVTRCkp&amp;WINDOW=FIRST_POPUP&amp;HEIGHT=450&amp;WIDTH=450&amp;START_MAXIMIZED=FALSE&amp;VAR:CALENDAR=US&amp;VAR:SYMBOL=GHL&amp;VAR:INDEX=0"}</definedName>
    <definedName name="_249__FDSAUDITLINK__" hidden="1">{"fdsup://directions/FAT Viewer?action=UPDATE&amp;creator=factset&amp;DYN_ARGS=TRUE&amp;DOC_NAME=FAT:FQL_AUDITING_CLIENT_TEMPLATE.FAT&amp;display_string=Audit&amp;VAR:KEY=SJGBGHINMH&amp;VAR:QUERY=KChGRl9FQklUREEoTFRNLDAsLCxSRixVU0QpQEZGX0VCSVREQShMVE1TX1NFTUksMCwsLFJGLFVTRCkpQEZGX","0VCSVREQShBTk4sMCwsLFJGLFVTRCkp&amp;WINDOW=FIRST_POPUP&amp;HEIGHT=450&amp;WIDTH=450&amp;START_MAXIMIZED=FALSE&amp;VAR:CALENDAR=US&amp;VAR:SYMBOL=GHL&amp;VAR:INDEX=0"}</definedName>
    <definedName name="_25__123Graph_CChart_3" hidden="1">#REF!</definedName>
    <definedName name="_25__FDSAUDITLINK__" hidden="1">{"fdsup://directions/FAT Viewer?action=UPDATE&amp;creator=factset&amp;DYN_ARGS=TRUE&amp;DOC_NAME=FAT:FQL_AUDITING_CLIENT_TEMPLATE.FAT&amp;display_string=Audit&amp;VAR:KEY=ALYRYJKXSV&amp;VAR:QUERY=KChGRl9FUFMoTFRNLDAsLCxSRixVU0QpQEZGX0VQUyhMVE1TX1NFTUksMCwsLFJGLFVTRCkpQEZGX0VQUyhBT","k4sMCwsLFJGLFVTRCkp&amp;WINDOW=FIRST_POPUP&amp;HEIGHT=450&amp;WIDTH=450&amp;START_MAXIMIZED=FALSE&amp;VAR:CALENDAR=US&amp;VAR:SYMBOL=MIPS&amp;VAR:INDEX=0"}</definedName>
    <definedName name="_250__FDSAUDITLINK__" hidden="1">{"fdsup://Directions/FactSet Auditing Viewer?action=AUDIT_VALUE&amp;DB=129&amp;ID1=39525910&amp;VALUEID=01001&amp;SDATE=2009&amp;PERIODTYPE=ANN_STD&amp;window=popup_no_bar&amp;width=385&amp;height=120&amp;START_MAXIMIZED=FALSE&amp;creator=factset&amp;display_string=Audit"}</definedName>
    <definedName name="_251__FDSAUDITLINK__" hidden="1">{"fdsup://Directions/FactSet Auditing Viewer?action=AUDIT_VALUE&amp;DB=129&amp;ID1=39525910&amp;VALUEID=01001&amp;SDATE=201003&amp;PERIODTYPE=QTR_STD&amp;window=popup_no_bar&amp;width=385&amp;height=120&amp;START_MAXIMIZED=FALSE&amp;creator=factset&amp;display_string=Audit"}</definedName>
    <definedName name="_252__FDSAUDITLINK__" hidden="1">{"fdsup://Directions/FactSet Auditing Viewer?action=AUDIT_VALUE&amp;DB=129&amp;ID1=39525910&amp;VALUEID=01001&amp;SDATE=200903&amp;PERIODTYPE=QTR_STD&amp;window=popup_no_bar&amp;width=385&amp;height=120&amp;START_MAXIMIZED=FALSE&amp;creator=factset&amp;display_string=Audit"}</definedName>
    <definedName name="_253__FDSAUDITLINK__" hidden="1">{"fdsup://directions/FAT Viewer?action=UPDATE&amp;creator=factset&amp;DYN_ARGS=TRUE&amp;DOC_NAME=FAT:FQL_AUDITING_CLIENT_TEMPLATE.FAT&amp;display_string=Audit&amp;VAR:KEY=OFWXQBQVQV&amp;VAR:QUERY=KChGRl9ORVRfSU5DKExUTSwwLCwsUkYsVVNEKUBGRl9ORVRfSU5DKExUTVNfU0VNSSwwLCwsUkYsVVNEKSlAR","kZfTkVUX0lOQyhBTk4sMCwsLFJGLFVTRCkp&amp;WINDOW=FIRST_POPUP&amp;HEIGHT=450&amp;WIDTH=450&amp;START_MAXIMIZED=FALSE&amp;VAR:CALENDAR=US&amp;VAR:SYMBOL=LAZ&amp;VAR:INDEX=0"}</definedName>
    <definedName name="_254__FDSAUDITLINK__" hidden="1">{"fdsup://directions/FAT Viewer?action=UPDATE&amp;creator=factset&amp;DYN_ARGS=TRUE&amp;DOC_NAME=FAT:FQL_AUDITING_CLIENT_TEMPLATE.FAT&amp;display_string=Audit&amp;VAR:KEY=EZSHSFSFMD&amp;VAR:QUERY=KChGRl9FQklUKExUTSwwLCwsUkYsVVNEKUBGRl9FQklUKExUTVNfU0VNSSwwLCwsUkYsVVNEKSlARkZfRUJJV","ChBTk4sMCwsLFJGLFVTRCkp&amp;WINDOW=FIRST_POPUP&amp;HEIGHT=450&amp;WIDTH=450&amp;START_MAXIMIZED=FALSE&amp;VAR:CALENDAR=US&amp;VAR:SYMBOL=LAZ&amp;VAR:INDEX=0"}</definedName>
    <definedName name="_255__FDSAUDITLINK__" hidden="1">{"fdsup://directions/FAT Viewer?action=UPDATE&amp;creator=factset&amp;DYN_ARGS=TRUE&amp;DOC_NAME=FAT:FQL_AUDITING_CLIENT_TEMPLATE.FAT&amp;display_string=Audit&amp;VAR:KEY=EDMZEJMJCD&amp;VAR:QUERY=KChGRl9FQklUREEoTFRNLDAsLCxSRixVU0QpQEZGX0VCSVREQShMVE1TX1NFTUksMCwsLFJGLFVTRCkpQEZGX","0VCSVREQShBTk4sMCwsLFJGLFVTRCkp&amp;WINDOW=FIRST_POPUP&amp;HEIGHT=450&amp;WIDTH=450&amp;START_MAXIMIZED=FALSE&amp;VAR:CALENDAR=US&amp;VAR:SYMBOL=LAZ&amp;VAR:INDEX=0"}</definedName>
    <definedName name="_256__FDSAUDITLINK__" hidden="1">{"fdsup://Directions/FactSet Auditing Viewer?action=AUDIT_VALUE&amp;DB=129&amp;ID1=G5405010&amp;VALUEID=01001&amp;SDATE=201003&amp;PERIODTYPE=QTR_STD&amp;window=popup_no_bar&amp;width=385&amp;height=120&amp;START_MAXIMIZED=FALSE&amp;creator=factset&amp;display_string=Audit"}</definedName>
    <definedName name="_257__FDSAUDITLINK__" hidden="1">{"fdsup://Directions/FactSet Auditing Viewer?action=AUDIT_VALUE&amp;DB=129&amp;ID1=G5405010&amp;VALUEID=01001&amp;SDATE=200903&amp;PERIODTYPE=QTR_STD&amp;window=popup_no_bar&amp;width=385&amp;height=120&amp;START_MAXIMIZED=FALSE&amp;creator=factset&amp;display_string=Audit"}</definedName>
    <definedName name="_258__FDSAUDITLINK__" hidden="1">{"fdsup://directions/FAT Viewer?action=UPDATE&amp;creator=factset&amp;DYN_ARGS=TRUE&amp;DOC_NAME=FAT:FQL_AUDITING_CLIENT_TEMPLATE.FAT&amp;display_string=Audit&amp;VAR:KEY=SLYNEPWJON&amp;VAR:QUERY=KChGRl9ORVRfSU5DKExUTSwwLCwsUkYsVVNEKUBGRl9ORVRfSU5DKExUTVNfU0VNSSwwLCwsUkYsVVNEKSlAR","kZfTkVUX0lOQyhBTk4sMCwsLFJGLFVTRCkp&amp;WINDOW=FIRST_POPUP&amp;HEIGHT=450&amp;WIDTH=450&amp;START_MAXIMIZED=FALSE&amp;VAR:CALENDAR=US&amp;VAR:SYMBOL=JEF&amp;VAR:INDEX=0"}</definedName>
    <definedName name="_259__FDSAUDITLINK__" hidden="1">{"fdsup://directions/FAT Viewer?action=UPDATE&amp;creator=factset&amp;DYN_ARGS=TRUE&amp;DOC_NAME=FAT:FQL_AUDITING_CLIENT_TEMPLATE.FAT&amp;display_string=Audit&amp;VAR:KEY=YDOTKXSBQV&amp;VAR:QUERY=KChGRl9FQklUKExUTSwwLCwsUkYsVVNEKUBGRl9FQklUKExUTVNfU0VNSSwwLCwsUkYsVVNEKSlARkZfRUJJV","ChBTk4sMCwsLFJGLFVTRCkp&amp;WINDOW=FIRST_POPUP&amp;HEIGHT=450&amp;WIDTH=450&amp;START_MAXIMIZED=FALSE&amp;VAR:CALENDAR=US&amp;VAR:SYMBOL=JEF&amp;VAR:INDEX=0"}</definedName>
    <definedName name="_26__123Graph_XChart_10" hidden="1">#REF!</definedName>
    <definedName name="_26__FDSAUDITLINK__" hidden="1">{"fdsup://directions/FAT Viewer?action=UPDATE&amp;creator=factset&amp;DYN_ARGS=TRUE&amp;DOC_NAME=FAT:FQL_AUDITING_CLIENT_TEMPLATE.FAT&amp;display_string=Audit&amp;VAR:KEY=MHWDIPAJMZ&amp;VAR:QUERY=KChGRl9FUFMoTFRNLDAsLCxSRixVU0QpQEZGX0VQUyhMVE1TX1NFTUksMCwsLFJGLFVTRCkpQEZGX0VQUyhBT","k4sMCwsLFJGLFVTRCkp&amp;WINDOW=FIRST_POPUP&amp;HEIGHT=450&amp;WIDTH=450&amp;START_MAXIMIZED=FALSE&amp;VAR:CALENDAR=US&amp;VAR:SYMBOL=CEVA&amp;VAR:INDEX=0"}</definedName>
    <definedName name="_260__FDSAUDITLINK__" hidden="1">{"fdsup://directions/FAT Viewer?action=UPDATE&amp;creator=factset&amp;DYN_ARGS=TRUE&amp;DOC_NAME=FAT:FQL_AUDITING_CLIENT_TEMPLATE.FAT&amp;display_string=Audit&amp;VAR:KEY=ARQNSXWRIV&amp;VAR:QUERY=KChGRl9FQklUREEoTFRNLDAsLCxSRixVU0QpQEZGX0VCSVREQShMVE1TX1NFTUksMCwsLFJGLFVTRCkpQEZGX","0VCSVREQShBTk4sMCwsLFJGLFVTRCkp&amp;WINDOW=FIRST_POPUP&amp;HEIGHT=450&amp;WIDTH=450&amp;START_MAXIMIZED=FALSE&amp;VAR:CALENDAR=US&amp;VAR:SYMBOL=JEF&amp;VAR:INDEX=0"}</definedName>
    <definedName name="_261__FDSAUDITLINK__" hidden="1">{"fdsup://Directions/FactSet Auditing Viewer?action=AUDIT_VALUE&amp;DB=129&amp;ID1=47231910&amp;VALUEID=01001&amp;SDATE=201003&amp;PERIODTYPE=QTR_STD&amp;window=popup_no_bar&amp;width=385&amp;height=120&amp;START_MAXIMIZED=FALSE&amp;creator=factset&amp;display_string=Audit"}</definedName>
    <definedName name="_262__FDSAUDITLINK__" hidden="1">{"fdsup://Directions/FactSet Auditing Viewer?action=AUDIT_VALUE&amp;DB=129&amp;ID1=47231910&amp;VALUEID=01001&amp;SDATE=200904&amp;PERIODTYPE=QTR_STD&amp;window=popup_no_bar&amp;width=385&amp;height=120&amp;START_MAXIMIZED=FALSE&amp;creator=factset&amp;display_string=Audit"}</definedName>
    <definedName name="_263__FDSAUDITLINK__" hidden="1">{"fdsup://directions/FAT Viewer?action=UPDATE&amp;creator=factset&amp;DYN_ARGS=TRUE&amp;DOC_NAME=FAT:FQL_AUDITING_CLIENT_TEMPLATE.FAT&amp;display_string=Audit&amp;VAR:KEY=UDGNQJOJMP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264__FDSAUDITLINK__" hidden="1">{"fdsup://Directions/FactSet Auditing Viewer?action=AUDIT_VALUE&amp;DB=129&amp;ID1=46629U10&amp;VALUEID=02001&amp;SDATE=201003&amp;PERIODTYPE=QTR_STD&amp;window=popup_no_bar&amp;width=385&amp;height=120&amp;START_MAXIMIZED=FALSE&amp;creator=factset&amp;display_string=Audit"}</definedName>
    <definedName name="_265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266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267__FDSAUDITLINK__" hidden="1">{"fdsup://directions/FAT Viewer?action=UPDATE&amp;creator=factset&amp;DYN_ARGS=TRUE&amp;DOC_NAME=FAT:FQL_AUDITING_CLIENT_TEMPLATE.FAT&amp;display_string=Audit&amp;VAR:KEY=AXYLKRAFQ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268__FDSAUDITLINK__" hidden="1">{"fdsup://Directions/FactSet Auditing Viewer?action=AUDIT_VALUE&amp;DB=129&amp;ID1=88448110&amp;VALUEID=02001&amp;SDATE=201001&amp;PERIODTYPE=QTR_STD&amp;window=popup_no_bar&amp;width=385&amp;height=120&amp;START_MAXIMIZED=FALSE&amp;creator=factset&amp;display_string=Audit"}</definedName>
    <definedName name="_269__FDSAUDITLINK__" hidden="1">{"fdsup://directions/FAT Viewer?action=UPDATE&amp;creator=factset&amp;DYN_ARGS=TRUE&amp;DOC_NAME=FAT:FQL_AUDITING_CLIENT_TEMPLATE.FAT&amp;display_string=Audit&amp;VAR:KEY=IVWBWXGPS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27__123Graph_LBL_DCHART_1" hidden="1">#REF!</definedName>
    <definedName name="_27__123Graph_XChart_11" hidden="1">#REF!</definedName>
    <definedName name="_27__FDSAUDITLINK__" hidden="1">{"fdsup://directions/FAT Viewer?action=UPDATE&amp;creator=factset&amp;DYN_ARGS=TRUE&amp;DOC_NAME=FAT:FQL_AUDITING_CLIENT_TEMPLATE.FAT&amp;display_string=Audit&amp;VAR:KEY=FEPAHMJORU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TSRA&amp;VAR:INDEX=0"}</definedName>
    <definedName name="_270__FDSAUDITLINK__" hidden="1">{"fdsup://Directions/FactSet Auditing Viewer?action=AUDIT_VALUE&amp;DB=129&amp;ID1=22362210&amp;VALUEID=02001&amp;SDATE=201003&amp;PERIODTYPE=QTR_STD&amp;window=popup_no_bar&amp;width=385&amp;height=120&amp;START_MAXIMIZED=FALSE&amp;creator=factset&amp;display_string=Audit"}</definedName>
    <definedName name="_271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272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273__FDSAUDITLINK__" hidden="1">{"fdsup://directions/FAT Viewer?action=UPDATE&amp;creator=factset&amp;DYN_ARGS=TRUE&amp;DOC_NAME=FAT:FQL_AUDITING_CLIENT_TEMPLATE.FAT&amp;display_string=Audit&amp;VAR:KEY=OBARCVEXY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274__FDSAUDITLINK__" hidden="1">{"fdsup://Directions/FactSet Auditing Viewer?action=AUDIT_VALUE&amp;DB=129&amp;ID1=B2PG34&amp;VALUEID=02001&amp;SDATE=201003&amp;PERIODTYPE=QTR_STD&amp;window=popup_no_bar&amp;width=385&amp;height=120&amp;START_MAXIMIZED=FALSE&amp;creator=factset&amp;display_string=Audit"}</definedName>
    <definedName name="_275__FDSAUDITLINK__" hidden="1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276__FDSAUDITLINK__" hidden="1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277__FDSAUDITLINK__" hidden="1">{"fdsup://directions/FAT Viewer?action=UPDATE&amp;creator=factset&amp;DYN_ARGS=TRUE&amp;DOC_NAME=FAT:FQL_AUDITING_CLIENT_TEMPLATE.FAT&amp;display_string=Audit&amp;VAR:KEY=QJGHETADEP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PSG&amp;VAR:INDEX=0"}</definedName>
    <definedName name="_278__FDSAUDITLINK__" hidden="1">{"fdsup://Directions/FactSet Auditing Viewer?action=AUDIT_VALUE&amp;DB=129&amp;ID1=37734110&amp;VALUEID=02001&amp;SDATE=201003&amp;PERIODTYPE=QTR_STD&amp;window=popup_no_bar&amp;width=385&amp;height=120&amp;START_MAXIMIZED=FALSE&amp;creator=factset&amp;display_string=Audit"}</definedName>
    <definedName name="_27856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57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58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59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60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61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62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63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64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65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66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67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68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69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70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71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72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73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74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75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76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77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78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79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80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81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82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83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84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85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86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87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88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89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90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91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92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93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94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95__FDSAUDITLINK__" hidden="1">{"fdsup://directions/FAT Viewer?action=UPDATE&amp;creator=factset&amp;DYN_ARGS=TRUE&amp;DOC_NAME=FAT:FQL_AUDITING_CLIENT_TEMPLATE.FAT&amp;display_string=Audit&amp;VAR:KEY=MVQVQLGRWF&amp;VAR:QUERY=KEZGX05FVF9JTkMoWVRELDQwOTA4IC0gMUFZLCwsLFVTRClARkZfTkVUX0lOQyhZVERfU0VNSSw0MDkwOCAtI","DFBWSwsLCxVU0QpKQ==&amp;WINDOW=FIRST_POPUP&amp;HEIGHT=450&amp;WIDTH=450&amp;START_MAXIMIZED=FALSE&amp;VAR:CALENDAR=US&amp;VAR:SYMBOL=B2B0DG&amp;VAR:INDEX=0"}</definedName>
    <definedName name="_27896__FDSAUDITLINK__" hidden="1">{"fdsup://directions/FAT Viewer?action=UPDATE&amp;creator=factset&amp;DYN_ARGS=TRUE&amp;DOC_NAME=FAT:FQL_AUDITING_CLIENT_TEMPLATE.FAT&amp;display_string=Audit&amp;VAR:KEY=UDAPKVCLQX&amp;VAR:QUERY=KEZGX05FVF9JTkMoWVRELDQxMDkwIC0gMUFZLCwsLFVTRClARkZfTkVUX0lOQyhZVERfU0VNSSw0MTA5MCAtI","DFBWSwsLCxVU0QpKQ==&amp;WINDOW=FIRST_POPUP&amp;HEIGHT=450&amp;WIDTH=450&amp;START_MAXIMIZED=FALSE&amp;VAR:CALENDAR=US&amp;VAR:SYMBOL=WNS&amp;VAR:INDEX=0"}</definedName>
    <definedName name="_27897__FDSAUDITLINK__" hidden="1">{"fdsup://directions/FAT Viewer?action=UPDATE&amp;creator=factset&amp;DYN_ARGS=TRUE&amp;DOC_NAME=FAT:FQL_AUDITING_CLIENT_TEMPLATE.FAT&amp;display_string=Audit&amp;VAR:KEY=HSROFWFETA&amp;VAR:QUERY=KEZGX0VCSVQoWVRELDQxMDkwIC0gMUFZLCwsLFVTRClARkZfRUJJVChZVERfU0VNSSw0MTA5MCAtIDFBWSwsL","CxVU0QpKQ==&amp;WINDOW=FIRST_POPUP&amp;HEIGHT=450&amp;WIDTH=450&amp;START_MAXIMIZED=FALSE&amp;VAR:CALENDAR=US&amp;VAR:SYMBOL=WNS&amp;VAR:INDEX=0"}</definedName>
    <definedName name="_27898__FDSAUDITLINK__" hidden="1">{"fdsup://directions/FAT Viewer?action=UPDATE&amp;creator=factset&amp;DYN_ARGS=TRUE&amp;DOC_NAME=FAT:FQL_AUDITING_CLIENT_TEMPLATE.FAT&amp;display_string=Audit&amp;VAR:KEY=UDAPKVCLQX&amp;VAR:QUERY=KEZGX05FVF9JTkMoWVRELDQxMDkwIC0gMUFZLCwsLFVTRClARkZfTkVUX0lOQyhZVERfU0VNSSw0MTA5MCAtI","DFBWSwsLCxVU0QpKQ==&amp;WINDOW=FIRST_POPUP&amp;HEIGHT=450&amp;WIDTH=450&amp;START_MAXIMIZED=FALSE&amp;VAR:CALENDAR=US&amp;VAR:SYMBOL=WNS&amp;VAR:INDEX=0"}</definedName>
    <definedName name="_27899__FDSAUDITLINK__" hidden="1">{"fdsup://directions/FAT Viewer?action=UPDATE&amp;creator=factset&amp;DYN_ARGS=TRUE&amp;DOC_NAME=FAT:FQL_AUDITING_CLIENT_TEMPLATE.FAT&amp;display_string=Audit&amp;VAR:KEY=HSROFWFETA&amp;VAR:QUERY=KEZGX0VCSVQoWVRELDQxMDkwIC0gMUFZLCwsLFVTRClARkZfRUJJVChZVERfU0VNSSw0MTA5MCAtIDFBWSwsL","CxVU0QpKQ==&amp;WINDOW=FIRST_POPUP&amp;HEIGHT=450&amp;WIDTH=450&amp;START_MAXIMIZED=FALSE&amp;VAR:CALENDAR=US&amp;VAR:SYMBOL=WNS&amp;VAR:INDEX=0"}</definedName>
    <definedName name="_279__FDSAUDITLINK__" hidden="1">{"fdsup://directions/FAT Viewer?action=UPDATE&amp;creator=factset&amp;DYN_ARGS=TRUE&amp;DOC_NAME=FAT:FQL_AUDITING_CLIENT_TEMPLATE.FAT&amp;display_string=Audit&amp;VAR:KEY=QDQRELUBW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PJC&amp;VAR:INDEX=0"}</definedName>
    <definedName name="_28__123Graph_XChart_12" hidden="1">#REF!</definedName>
    <definedName name="_28__FDSAUDITLINK__" hidden="1">{"fdsup://directions/FAT Viewer?action=UPDATE&amp;creator=factset&amp;DYN_ARGS=TRUE&amp;DOC_NAME=FAT:FQL_AUDITING_CLIENT_TEMPLATE.FAT&amp;display_string=Audit&amp;VAR:KEY=CHCLWBWXGL&amp;VAR:QUERY=KEZGX0NPTV9TSFNfT1VUKFFUUiwwLCwsUkYsVVNEKUBQX0NPTV9TSFNfT1VUKDApKQ==&amp;WINDOW=FIRST_POP","UP&amp;HEIGHT=450&amp;WIDTH=450&amp;START_MAXIMIZED=FALSE&amp;VAR:CALENDAR=US&amp;VAR:SYMBOL=093031&amp;VAR:INDEX=0"}</definedName>
    <definedName name="_280__FDSAUDITLINK__" hidden="1">{"fdsup://Directions/FactSet Auditing Viewer?action=AUDIT_VALUE&amp;DB=129&amp;ID1=72407810&amp;VALUEID=02001&amp;SDATE=201003&amp;PERIODTYPE=QTR_STD&amp;window=popup_no_bar&amp;width=385&amp;height=120&amp;START_MAXIMIZED=FALSE&amp;creator=factset&amp;display_string=Audit"}</definedName>
    <definedName name="_281__FDSAUDITLINK__" hidden="1">{"fdsup://directions/FAT Viewer?action=UPDATE&amp;creator=factset&amp;DYN_ARGS=TRUE&amp;DOC_NAME=FAT:FQL_AUDITING_CLIENT_TEMPLATE.FAT&amp;display_string=Audit&amp;VAR:KEY=IFUTUXUDCL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282__FDSAUDITLINK__" hidden="1">{"fdsup://Directions/FactSet Auditing Viewer?action=AUDIT_VALUE&amp;DB=129&amp;ID1=29977A10&amp;VALUEID=02001&amp;SDATE=201003&amp;PERIODTYPE=QTR_STD&amp;window=popup_no_bar&amp;width=385&amp;height=120&amp;START_MAXIMIZED=FALSE&amp;creator=factset&amp;display_string=Audit"}</definedName>
    <definedName name="_28281__FDSAUDITLINK__" hidden="1">{"fdsup://directions/FAT Viewer?action=UPDATE&amp;creator=factset&amp;DYN_ARGS=TRUE&amp;DOC_NAME=FAT:FQL_AUDITING_CLIENT_TEMPLATE.FAT&amp;display_string=Audit&amp;VAR:KEY=FOBGZADUTO&amp;VAR:QUERY=RkZfRUJJVERBKEFOTiwyMDEyLC0yQVksQ1ksLFVTRCk=&amp;WINDOW=FIRST_POPUP&amp;HEIGHT=450&amp;WIDTH=450&amp;","START_MAXIMIZED=FALSE&amp;VAR:CALENDAR=US&amp;VAR:SYMBOL=ENXTAM:REN&amp;VAR:INDEX=0"}</definedName>
    <definedName name="_28282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83__FDSAUDITLINK__" hidden="1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284__FDSAUDITLINK__" hidden="1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285__FDSAUDITLINK__" hidden="1">{"fdsup://directions/FAT Viewer?action=UPDATE&amp;creator=factset&amp;DYN_ARGS=TRUE&amp;DOC_NAME=FAT:FQL_AUDITING_CLIENT_TEMPLATE.FAT&amp;display_string=Audit&amp;VAR:KEY=UJGHMTEDS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GHL&amp;VAR:INDEX=0"}</definedName>
    <definedName name="_286__FDSAUDITLINK__" hidden="1">{"fdsup://Directions/FactSet Auditing Viewer?action=AUDIT_VALUE&amp;DB=129&amp;ID1=39525910&amp;VALUEID=02001&amp;SDATE=201003&amp;PERIODTYPE=QTR_STD&amp;window=popup_no_bar&amp;width=385&amp;height=120&amp;START_MAXIMIZED=FALSE&amp;creator=factset&amp;display_string=Audit"}</definedName>
    <definedName name="_287__FDSAUDITLINK__" hidden="1">{"fdsup://Directions/FactSet Auditing Viewer?action=AUDIT_VALUE&amp;DB=129&amp;ID1=G5405010&amp;VALUEID=07011&amp;SDATE=2009&amp;PERIODTYPE=ANN_STD&amp;window=popup_no_bar&amp;width=385&amp;height=120&amp;START_MAXIMIZED=FALSE&amp;creator=factset&amp;display_string=Audit"}</definedName>
    <definedName name="_288__FDSAUDITLINK__" hidden="1">{"fdsup://Directions/FactSet Auditing Viewer?action=AUDIT_VALUE&amp;DB=129&amp;ID1=G5405010&amp;VALUEID=07011&amp;SDATE=2009&amp;PERIODTYPE=ANN_STD&amp;window=popup_no_bar&amp;width=385&amp;height=120&amp;START_MAXIMIZED=FALSE&amp;creator=factset&amp;display_string=Audit"}</definedName>
    <definedName name="_289__FDSAUDITLINK__" hidden="1">{"fdsup://directions/FAT Viewer?action=UPDATE&amp;creator=factset&amp;DYN_ARGS=TRUE&amp;DOC_NAME=FAT:FQL_AUDITING_CLIENT_TEMPLATE.FAT&amp;display_string=Audit&amp;VAR:KEY=OJMZGXMNM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LAZ&amp;VAR:INDEX=0"}</definedName>
    <definedName name="_29__123Graph_XChart_13" hidden="1">#REF!</definedName>
    <definedName name="_29__FDSAUDITLINK__" hidden="1">{"fdsup://directions/FAT Viewer?action=UPDATE&amp;creator=factset&amp;DYN_ARGS=TRUE&amp;DOC_NAME=FAT:FQL_AUDITING_CLIENT_TEMPLATE.FAT&amp;display_string=Audit&amp;VAR:KEY=TOBQNOLYBI&amp;VAR:QUERY=KEZGX0NPTV9TSFNfT1VUKFFUUiwwLCwsUkYsVVNEKUBQX0NPTV9TSFNfT1VUKDApKQ==&amp;WINDOW=FIRST_POP","UP&amp;HEIGHT=450&amp;WIDTH=450&amp;START_MAXIMIZED=FALSE&amp;VAR:CALENDAR=US&amp;VAR:SYMBOL=093031&amp;VAR:INDEX=0"}</definedName>
    <definedName name="_290__FDSAUDITLINK__" hidden="1">{"fdsup://Directions/FactSet Auditing Viewer?action=AUDIT_VALUE&amp;DB=129&amp;ID1=G5405010&amp;VALUEID=02001&amp;SDATE=201003&amp;PERIODTYPE=QTR_STD&amp;window=popup_no_bar&amp;width=385&amp;height=120&amp;START_MAXIMIZED=FALSE&amp;creator=factset&amp;display_string=Audit"}</definedName>
    <definedName name="_291__FDSAUDITLINK__" hidden="1">{"fdsup://directions/FAT Viewer?action=UPDATE&amp;creator=factset&amp;DYN_ARGS=TRUE&amp;DOC_NAME=FAT:FQL_AUDITING_CLIENT_TEMPLATE.FAT&amp;display_string=Audit&amp;VAR:KEY=GJUXSLKRC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EF&amp;VAR:INDEX=0"}</definedName>
    <definedName name="_292__FDSAUDITLINK__" hidden="1">{"fdsup://Directions/FactSet Auditing Viewer?action=AUDIT_VALUE&amp;DB=129&amp;ID1=47231910&amp;VALUEID=02001&amp;SDATE=201003&amp;PERIODTYPE=QTR_STD&amp;window=popup_no_bar&amp;width=385&amp;height=120&amp;START_MAXIMIZED=FALSE&amp;creator=factset&amp;display_string=Audit"}</definedName>
    <definedName name="_293__FDSAUDITLINK__" hidden="1">{"fdsup://Directions/FactSet Auditing Viewer?action=AUDIT_VALUE&amp;DB=129&amp;ID1=39525910&amp;VALUEID=03451&amp;SDATE=201003&amp;PERIODTYPE=QTR_STD&amp;window=popup_no_bar&amp;width=385&amp;height=120&amp;START_MAXIMIZED=FALSE&amp;creator=factset&amp;display_string=Audit"}</definedName>
    <definedName name="_294__FDSAUDITLINK__" hidden="1">{"fdsup://Directions/FactSet Auditing Viewer?action=AUDIT_VALUE&amp;DB=129&amp;ID1=29977A10&amp;VALUEID=P05301&amp;SDATE=201003&amp;PERIODTYPE=QTR_STD&amp;window=popup_no_bar&amp;width=385&amp;height=120&amp;START_MAXIMIZED=FALSE&amp;creator=factset&amp;display_string=Audit"}</definedName>
    <definedName name="_295__FDSAUDITLINK__" hidden="1">{"fdsup://Directions/FactSet Auditing Viewer?action=AUDIT_VALUE&amp;DB=129&amp;ID1=29977A10&amp;VALUEID=P05301&amp;SDATE=201003&amp;PERIODTYPE=QTR_STD&amp;window=popup_no_bar&amp;width=385&amp;height=120&amp;START_MAXIMIZED=FALSE&amp;creator=factset&amp;display_string=Audit"}</definedName>
    <definedName name="_296__FDSAUDITLINK__" hidden="1">{"fdsup://Directions/FactSet Auditing Viewer?action=AUDIT_VALUE&amp;DB=129&amp;ID1=39525910&amp;VALUEID=P05301&amp;SDATE=201003&amp;PERIODTYPE=QTR_STD&amp;window=popup_no_bar&amp;width=385&amp;height=120&amp;START_MAXIMIZED=FALSE&amp;creator=factset&amp;display_string=Audit"}</definedName>
    <definedName name="_297__FDSAUDITLINK__" hidden="1">{"fdsup://Directions/FactSet Auditing Viewer?action=AUDIT_VALUE&amp;DB=129&amp;ID1=39525910&amp;VALUEID=P05301&amp;SDATE=201003&amp;PERIODTYPE=QTR_STD&amp;window=popup_no_bar&amp;width=385&amp;height=120&amp;START_MAXIMIZED=FALSE&amp;creator=factset&amp;display_string=Audit"}</definedName>
    <definedName name="_298__FDSAUDITLINK__" hidden="1">{"fdsup://Directions/FactSet Auditing Viewer?action=AUDIT_VALUE&amp;DB=129&amp;ID1=61971810&amp;VALUEID=02001&amp;SDATE=201201&amp;PERIODTYPE=QTR_STD&amp;SCFT=3&amp;window=popup_no_bar&amp;width=385&amp;height=120&amp;START_MAXIMIZED=FALSE&amp;creator=factset&amp;display_string=Audit"}</definedName>
    <definedName name="_299__FDSAUDITLINK__" hidden="1">{"fdsup://Directions/FactSet Auditing Viewer?action=AUDIT_VALUE&amp;DB=129&amp;ID1=15721010&amp;VALUEID=07011&amp;SDATE=2011&amp;PERIODTYPE=ANN_STD&amp;SCFT=3&amp;window=popup_no_bar&amp;width=385&amp;height=120&amp;START_MAXIMIZED=FALSE&amp;creator=factset&amp;display_string=Audit"}</definedName>
    <definedName name="_2Dist_Val" hidden="1">#REF!</definedName>
    <definedName name="_2solver_rh¤" hidden="1">4</definedName>
    <definedName name="_3__123Graph_AChart_11" hidden="1">#REF!</definedName>
    <definedName name="_3__123Graph_AChart_3" hidden="1">#REF!</definedName>
    <definedName name="_3__123Graph_ADEPREC" hidden="1">#REF!</definedName>
    <definedName name="_3__FDSAUDITLINK__" hidden="1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3__FDSAUDITLINK___1" hidden="1">{"fdsup://IBCentral/FAT Viewer?action=UPDATE&amp;creator=factset&amp;DOC_NAME=fat:reuters_annual_shs_src_window.fat&amp;display_string=Audit&amp;DYN_ARGS=TRUE&amp;VAR:ID1=591344&amp;VAR:RCODE=FDSSHSOUTDEPS&amp;VAR:SDATE=20071299&amp;VAR:FREQ=Y&amp;VAR:RELITEM=RF&amp;VAR:CURRENCY=&amp;VAR:CURRSOURCE=E","XSHARE&amp;VAR:NATFREQ=ANNUAL&amp;VAR:RFIELD=FINALIZED&amp;VAR:DB_TYPE=&amp;VAR:UNITS=MONTHLY&amp;window=popup&amp;width=450&amp;height=300&amp;START_MAXIMIZED=FALSE"}</definedName>
    <definedName name="_3_0_0Cwvu.GREY_A" hidden="1">#REF!</definedName>
    <definedName name="_3_0_Dist_Val" hidden="1">#REF!</definedName>
    <definedName name="_3_123Grap" hidden="1">#REF!</definedName>
    <definedName name="_30__123Graph_XChart_14" hidden="1">#REF!</definedName>
    <definedName name="_30__FDSAUDITLINK__" hidden="1">{"fdsup://directions/FAT Viewer?action=UPDATE&amp;creator=factset&amp;DYN_ARGS=TRUE&amp;DOC_NAME=FAT:FQL_AUDITING_CLIENT_TEMPLATE.FAT&amp;display_string=Audit&amp;VAR:KEY=ZWREJITUZA&amp;VAR:QUERY=KChGRl9FUFMoTFRNLDAsLCxSRixVU0QpQEZGX0VQUyhMVE1TX1NFTUksMCwsLFJGLFVTRCkpQEZGX0VQUyhBT","k4sMCwsLFJGLFVTRCkp&amp;WINDOW=FIRST_POPUP&amp;HEIGHT=450&amp;WIDTH=450&amp;START_MAXIMIZED=FALSE&amp;VAR:CALENDAR=US&amp;VAR:SYMBOL=RPXC&amp;VAR:INDEX=0"}</definedName>
    <definedName name="_300__FDSAUDITLINK__" hidden="1">{"fdsup://Directions/FactSet Auditing Viewer?action=AUDIT_VALUE&amp;DB=129&amp;ID1=86063010&amp;VALUEID=07011&amp;SDATE=2010&amp;PERIODTYPE=ANN_STD&amp;window=popup_no_bar&amp;width=385&amp;height=120&amp;START_MAXIMIZED=FALSE&amp;creator=factset&amp;display_string=Audit"}</definedName>
    <definedName name="_301__FDSAUDITLINK__" hidden="1">{"fdsup://directions/FAT Viewer?action=UPDATE&amp;creator=factset&amp;DYN_ARGS=TRUE&amp;DOC_NAME=FAT:FQL_AUDITING_CLIENT_TEMPLATE.FAT&amp;display_string=Audit&amp;VAR:KEY=PSFAJSFABA&amp;VAR:QUERY=KChGRl9ERUJUKFFUUiwwLCwsUkYsVVNEKUBGRl9ERUJUKFNFTUksMCwsLFJGLFVTRCkpQEZGX0RFQlQoQU5OL","DAsLCxSRixVU0QpKQ==&amp;WINDOW=FIRST_POPUP&amp;HEIGHT=450&amp;WIDTH=450&amp;START_MAXIMIZED=FALSE&amp;VAR:CALENDAR=US&amp;VAR:SYMBOL=260509&amp;VAR:INDEX=0"}</definedName>
    <definedName name="_302__FDSAUDITLINK__" hidden="1">{"fdsup://directions/FAT Viewer?action=UPDATE&amp;creator=factset&amp;DYN_ARGS=TRUE&amp;DOC_NAME=FAT:FQL_AUDITING_CLIENT_TEMPLATE.FAT&amp;display_string=Audit&amp;VAR:KEY=DEHYLSTETS&amp;VAR:QUERY=KChGRl9TQUxFUyhMVE0sMCwsLFJGLFVTRClARkZfU0FMRVMoTFRNU19TRU1JLDAsLCxSRixVU0QpKUBGRl9TQ","UxFUyhBTk4sMCwsLFJGLFVTRCkp&amp;WINDOW=FIRST_POPUP&amp;HEIGHT=450&amp;WIDTH=450&amp;START_MAXIMIZED=FALSE&amp;VAR:CALENDAR=US&amp;VAR:SYMBOL=MAN&amp;VAR:INDEX=0"}</definedName>
    <definedName name="_303__FDSAUDITLINK__" hidden="1">{"fdsup://Directions/FactSet Auditing Viewer?action=AUDIT_VALUE&amp;DB=129&amp;ID1=G3727Q10&amp;VALUEID=07011&amp;SDATE=2011&amp;PERIODTYPE=ANN_STD&amp;SCFT=3&amp;window=popup_no_bar&amp;width=385&amp;height=120&amp;START_MAXIMIZED=FALSE&amp;creator=factset&amp;display_string=Audit"}</definedName>
    <definedName name="_304__FDSAUDITLINK__" hidden="1">{"fdsup://Directions/FactSet Auditing Viewer?action=AUDIT_VALUE&amp;DB=129&amp;ID1=G3727Q10&amp;VALUEID=01001&amp;SDATE=201101&amp;PERIODTYPE=QTR_STD&amp;SCFT=3&amp;window=popup_no_bar&amp;width=385&amp;height=120&amp;START_MAXIMIZED=FALSE&amp;creator=factset&amp;display_string=Audit"}</definedName>
    <definedName name="_305__FDSAUDITLINK__" hidden="1">{"fdsup://Directions/FactSet Auditing Viewer?action=AUDIT_VALUE&amp;DB=129&amp;ID1=625102&amp;VALUEID=01001&amp;SDATE=201002&amp;PERIODTYPE=QTR_STD&amp;SCFT=3&amp;window=popup_no_bar&amp;width=385&amp;height=120&amp;START_MAXIMIZED=FALSE&amp;creator=factset&amp;display_string=Audit"}</definedName>
    <definedName name="_306__FDSAUDITLINK__" hidden="1">{"fdsup://directions/FAT Viewer?action=UPDATE&amp;creator=factset&amp;DYN_ARGS=TRUE&amp;DOC_NAME=FAT:FQL_AUDITING_CLIENT_TEMPLATE.FAT&amp;display_string=Audit&amp;VAR:KEY=BGJYTIFMPY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RMBS&amp;VAR:INDEX=0"}</definedName>
    <definedName name="_307__FDSAUDITLINK__" hidden="1">{"fdsup://directions/FAT Viewer?action=UPDATE&amp;creator=factset&amp;DYN_ARGS=TRUE&amp;DOC_NAME=FAT:FQL_AUDITING_CLIENT_TEMPLATE.FAT&amp;display_string=Audit&amp;VAR:KEY=HYPKNQTIDU&amp;VAR:QUERY=KChGRl9TQUxFUyhMVE0sMCwsLFJGLFVTRClARkZfU0FMRVMoTFRNU19TRU1JLDAsLCxSRixVU0QpKUBGRl9TQ","UxFUyhBTk4sMCwsLFJGLFVTRCkp&amp;WINDOW=FIRST_POPUP&amp;HEIGHT=450&amp;WIDTH=450&amp;START_MAXIMIZED=FALSE&amp;VAR:CALENDAR=US&amp;VAR:SYMBOL=FSL&amp;VAR:INDEX=0"}</definedName>
    <definedName name="_308__FDSAUDITLINK__" hidden="1">{"fdsup://directions/FAT Viewer?action=UPDATE&amp;creator=factset&amp;DYN_ARGS=TRUE&amp;DOC_NAME=FAT:FQL_AUDITING_CLIENT_TEMPLATE.FAT&amp;display_string=Audit&amp;VAR:KEY=ROBWJIFYHW&amp;VAR:QUERY=KChGRl9ERUJUKFFUUiwwLCwsUkYsVVNEKUBGRl9ERUJUKFNFTUksMCwsLFJGLFVTRCkpQEZGX0RFQlQoQU5OL","DAsLCxSRixVU0QpKQ==&amp;WINDOW=FIRST_POPUP&amp;HEIGHT=450&amp;WIDTH=450&amp;START_MAXIMIZED=FALSE&amp;VAR:CALENDAR=US&amp;VAR:SYMBOL=TSRA&amp;VAR:INDEX=0"}</definedName>
    <definedName name="_309__FDSAUDITLINK__" hidden="1">{"fdsup://directions/FAT Viewer?action=UPDATE&amp;creator=factset&amp;DYN_ARGS=TRUE&amp;DOC_NAME=FAT:FQL_AUDITING_CLIENT_TEMPLATE.FAT&amp;display_string=Audit&amp;VAR:KEY=PWJABWJIFE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RMBS&amp;VAR:INDEX=0"}</definedName>
    <definedName name="_31__123Graph_XChart_4" hidden="1">#REF!</definedName>
    <definedName name="_31__FDSAUDITLINK__" hidden="1">{"fdsup://Directions/FactSet Auditing Viewer?action=AUDIT_VALUE&amp;DB=129&amp;ID1=74972G10&amp;VALUEID=01001&amp;SDATE=201101&amp;PERIODTYPE=QTR_STD&amp;SCFT=3&amp;window=popup_no_bar&amp;width=385&amp;height=120&amp;START_MAXIMIZED=FALSE&amp;creator=factset&amp;display_string=Audit"}</definedName>
    <definedName name="_310__FDSAUDITLINK__" hidden="1">{"fdsup://Directions/FactSet Auditing Viewer?action=AUDIT_VALUE&amp;DB=129&amp;ID1=74752510&amp;VALUEID=02001&amp;SDATE=201202&amp;PERIODTYPE=QTR_STD&amp;SCFT=3&amp;window=popup_no_bar&amp;width=385&amp;height=120&amp;START_MAXIMIZED=FALSE&amp;creator=factset&amp;display_string=Audit"}</definedName>
    <definedName name="_311__FDSAUDITLINK__" hidden="1">{"fdsup://directions/FAT Viewer?action=UPDATE&amp;creator=factset&amp;DYN_ARGS=TRUE&amp;DOC_NAME=FAT:FQL_AUDITING_CLIENT_TEMPLATE.FAT&amp;display_string=Audit&amp;VAR:KEY=CDSZIXIFYD&amp;VAR:QUERY=KChGRl9ORVRfSU5DKExUTSwwLCwsUkYsVVNEKUBGRl9ORVRfSU5DKExUTVNfU0VNSSwwLCwsUkYsVVNEKSlAR","kZfTkVUX0lOQyhBTk4sMCwsLFJGLFVTRCkp&amp;WINDOW=FIRST_POPUP&amp;HEIGHT=450&amp;WIDTH=450&amp;START_MAXIMIZED=FALSE&amp;VAR:CALENDAR=US&amp;VAR:SYMBOL=625102&amp;VAR:INDEX=0"}</definedName>
    <definedName name="_312__FDSAUDITLINK__" hidden="1">{"fdsup://Directions/FactSet Auditing Viewer?action=AUDIT_VALUE&amp;DB=129&amp;ID1=223093&amp;VALUEID=02001&amp;SDATE=201201&amp;PERIODTYPE=QTR_STD&amp;SCFT=3&amp;window=popup_no_bar&amp;width=385&amp;height=120&amp;START_MAXIMIZED=FALSE&amp;creator=factset&amp;display_string=Audit"}</definedName>
    <definedName name="_313__FDSAUDITLINK__" hidden="1">{"fdsup://Directions/FactSet Auditing Viewer?action=AUDIT_VALUE&amp;DB=129&amp;ID1=74972G10&amp;VALUEID=02001&amp;SDATE=201201&amp;PERIODTYPE=QTR_STD&amp;SCFT=3&amp;window=popup_no_bar&amp;width=385&amp;height=120&amp;START_MAXIMIZED=FALSE&amp;creator=factset&amp;display_string=Audit"}</definedName>
    <definedName name="_314__FDSAUDITLINK__" hidden="1">{"fdsup://Directions/FactSet Auditing Viewer?action=AUDIT_VALUE&amp;DB=129&amp;ID1=75091710&amp;VALUEID=07011&amp;SDATE=2011&amp;PERIODTYPE=ANN_STD&amp;SCFT=3&amp;window=popup_no_bar&amp;width=385&amp;height=120&amp;START_MAXIMIZED=FALSE&amp;creator=factset&amp;display_string=Audit"}</definedName>
    <definedName name="_315__FDSAUDITLINK__" hidden="1">{"fdsup://Directions/FactSet Auditing Viewer?action=AUDIT_VALUE&amp;DB=129&amp;ID1=75091710&amp;VALUEID=01001&amp;SDATE=201101&amp;PERIODTYPE=QTR_STD&amp;SCFT=3&amp;window=popup_no_bar&amp;width=385&amp;height=120&amp;START_MAXIMIZED=FALSE&amp;creator=factset&amp;display_string=Audit"}</definedName>
    <definedName name="_316__FDSAUDITLINK__" hidden="1">{"fdsup://Directions/FactSet Auditing Viewer?action=AUDIT_VALUE&amp;DB=129&amp;ID1=88164L10&amp;VALUEID=01001&amp;SDATE=201201&amp;PERIODTYPE=QTR_STD&amp;SCFT=3&amp;window=popup_no_bar&amp;width=385&amp;height=120&amp;START_MAXIMIZED=FALSE&amp;creator=factset&amp;display_string=Audit"}</definedName>
    <definedName name="_317__FDSAUDITLINK__" hidden="1">{"fdsup://directions/FAT Viewer?action=UPDATE&amp;creator=factset&amp;DYN_ARGS=TRUE&amp;DOC_NAME=FAT:FQL_AUDITING_CLIENT_TEMPLATE.FAT&amp;display_string=Audit&amp;VAR:KEY=CNUVKVKDCV&amp;VAR:QUERY=KChGRl9ORVRfSU5DKExUTSwwLCwsUkYsVVNEKUBGRl9ORVRfSU5DKExUTVNfU0VNSSwwLCwsUkYsVVNEKSlAR","kZfTkVUX0lOQyhBTk4sMCwsLFJGLFVTRCkp&amp;WINDOW=FIRST_POPUP&amp;HEIGHT=450&amp;WIDTH=450&amp;START_MAXIMIZED=FALSE&amp;VAR:CALENDAR=US&amp;VAR:INDEX=0"}</definedName>
    <definedName name="_318__FDSAUDITLINK__" hidden="1">{"fdsup://directions/FAT Viewer?action=UPDATE&amp;creator=factset&amp;DYN_ARGS=TRUE&amp;DOC_NAME=FAT:FQL_AUDITING_CLIENT_TEMPLATE.FAT&amp;display_string=Audit&amp;VAR:KEY=HKZEFGZAHI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MOSY&amp;VAR:INDEX=0"}</definedName>
    <definedName name="_319__FDSAUDITLINK__" hidden="1">{"fdsup://directions/FAT Viewer?action=UPDATE&amp;creator=factset&amp;DYN_ARGS=TRUE&amp;DOC_NAME=FAT:FQL_AUDITING_CLIENT_TEMPLATE.FAT&amp;display_string=Audit&amp;VAR:KEY=SRSRUTAJYT&amp;VAR:QUERY=RkZfU0FMRVMoTFRNLDEyLzMxLzIwMDcsLCxSRixVU0Qp&amp;WINDOW=FIRST_POPUP&amp;HEIGHT=450&amp;WIDTH=450&amp;","START_MAXIMIZED=FALSE&amp;VAR:CALENDAR=US&amp;VAR:SYMBOL=MIPS&amp;VAR:INDEX=0"}</definedName>
    <definedName name="_32__123Graph_XChart_5" hidden="1">#REF!</definedName>
    <definedName name="_32__FDSAUDITLINK__" hidden="1">{"fdsup://directions/FAT Viewer?action=UPDATE&amp;creator=factset&amp;DYN_ARGS=TRUE&amp;DOC_NAME=FAT:FQL_AUDITING_CLIENT_TEMPLATE.FAT&amp;display_string=Audit&amp;VAR:KEY=LMTYLWJQZO&amp;VAR:QUERY=KEZGX0NPTV9TSFNfT1VUKE1PTiwwLCwsUkYsVVNEKUBQX0NPTV9TSFNfT1VUKDApKQ==&amp;WINDOW=FIRST_POP","UP&amp;HEIGHT=450&amp;WIDTH=450&amp;START_MAXIMIZED=FALSE&amp;VAR:CALENDAR=US&amp;VAR:SYMBOL=260509&amp;VAR:INDEX=0"}</definedName>
    <definedName name="_320__FDSAUDITLINK__" hidden="1">{"fdsup://directions/FAT Viewer?action=UPDATE&amp;creator=factset&amp;DYN_ARGS=TRUE&amp;DOC_NAME=FAT:FQL_AUDITING_CLIENT_TEMPLATE.FAT&amp;display_string=Audit&amp;VAR:KEY=NGFCTEJMZW&amp;VAR:QUERY=KChGRl9ERUJUKFFUUiwwLCwsUkYsVVNEKUBGRl9ERUJUKFNFTUksMCwsLFJGLFVTRCkpQEZGX0RFQlQoQU5OL","DAsLCxSRixVU0QpKQ==&amp;WINDOW=FIRST_POPUP&amp;HEIGHT=450&amp;WIDTH=450&amp;START_MAXIMIZED=FALSE&amp;VAR:CALENDAR=US&amp;VAR:SYMBOL=ACTG&amp;VAR:INDEX=0"}</definedName>
    <definedName name="_321__FDSAUDITLINK__" hidden="1">{"fdsup://Directions/FactSet Auditing Viewer?action=AUDIT_VALUE&amp;DB=129&amp;ID1=88164L10&amp;VALUEID=01001&amp;SDATE=201101&amp;PERIODTYPE=QTR_STD&amp;SCFT=3&amp;window=popup_no_bar&amp;width=385&amp;height=120&amp;START_MAXIMIZED=FALSE&amp;creator=factset&amp;display_string=Audit"}</definedName>
    <definedName name="_322__FDSAUDITLINK__" hidden="1">{"fdsup://directions/FAT Viewer?action=UPDATE&amp;creator=factset&amp;DYN_ARGS=TRUE&amp;DOC_NAME=FAT:FQL_AUDITING_CLIENT_TEMPLATE.FAT&amp;display_string=Audit&amp;VAR:KEY=BQRKRWJARK&amp;VAR:QUERY=KChGRl9ERUJUKFFUUiwwLCwsUkYsVVNEKUBGRl9ERUJUKFNFTUksMCwsLFJGLFVTRCkpQEZGX0RFQlQoQU5OL","DAsLCxSRixVU0QpKQ==&amp;WINDOW=FIRST_POPUP&amp;HEIGHT=450&amp;WIDTH=450&amp;START_MAXIMIZED=FALSE&amp;VAR:CALENDAR=US&amp;VAR:INDEX=0"}</definedName>
    <definedName name="_323__FDSAUDITLINK__" hidden="1">{"fdsup://directions/FAT Viewer?action=UPDATE&amp;creator=factset&amp;DYN_ARGS=TRUE&amp;DOC_NAME=FAT:FQL_AUDITING_CLIENT_TEMPLATE.FAT&amp;display_string=Audit&amp;VAR:KEY=KDWPOXONCT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093031&amp;VAR:INDEX=0"}</definedName>
    <definedName name="_324__FDSAUDITLINK__" hidden="1">{"fdsup://directions/FAT Viewer?action=UPDATE&amp;creator=factset&amp;DYN_ARGS=TRUE&amp;DOC_NAME=FAT:FQL_AUDITING_CLIENT_TEMPLATE.FAT&amp;display_string=Audit&amp;VAR:KEY=TGRSTYLEXW&amp;VAR:QUERY=KChGRl9FQklUREEoTFRNLDAsLCxSRixVU0QpQEZGX0VCSVREQShMVE1TX1NFTUksMCwsLFJGLFVTRCkpQEZGX","0VCSVREQShBTk4sMCwsLFJGLFVTRCkp&amp;WINDOW=FIRST_POPUP&amp;HEIGHT=450&amp;WIDTH=450&amp;START_MAXIMIZED=FALSE&amp;VAR:CALENDAR=US&amp;VAR:SYMBOL=QCOM&amp;VAR:INDEX=0"}</definedName>
    <definedName name="_325__FDSAUDITLINK__" hidden="1">{"fdsup://Directions/FactSet Auditing Viewer?action=AUDIT_VALUE&amp;DB=129&amp;ID1=61971810&amp;VALUEID=07011&amp;SDATE=2011&amp;PERIODTYPE=ANN_STD&amp;SCFT=3&amp;window=popup_no_bar&amp;width=385&amp;height=120&amp;START_MAXIMIZED=FALSE&amp;creator=factset&amp;display_string=Audit"}</definedName>
    <definedName name="_326__FDSAUDITLINK__" hidden="1">{"fdsup://directions/FAT Viewer?action=UPDATE&amp;creator=factset&amp;DYN_ARGS=TRUE&amp;DOC_NAME=FAT:FQL_AUDITING_CLIENT_TEMPLATE.FAT&amp;display_string=Audit&amp;VAR:KEY=FUDANMLKLU&amp;VAR:QUERY=KChGRl9HUk9TU19JTkMoTFRNLDAsLCxSRixVU0QpQEZGX0dST1NTX0lOQyhMVE1TX1NFTUksMCwsLFJGLFVTR","CkpQEZGX1NBTEVTKEFOTiwwLCwsUkYsVVNEKSk=&amp;WINDOW=FIRST_POPUP&amp;HEIGHT=450&amp;WIDTH=450&amp;START_MAXIMIZED=FALSE&amp;VAR:CALENDAR=US&amp;VAR:SYMBOL=QCOM&amp;VAR:INDEX=0"}</definedName>
    <definedName name="_327__FDSAUDITLINK__" hidden="1">{"fdsup://directions/FAT Viewer?action=UPDATE&amp;creator=factset&amp;DYN_ARGS=TRUE&amp;DOC_NAME=FAT:FQL_AUDITING_CLIENT_TEMPLATE.FAT&amp;display_string=Audit&amp;VAR:KEY=YPADYVUXQJ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260509&amp;VAR:INDEX=0"}</definedName>
    <definedName name="_328__FDSAUDITLINK__" hidden="1">{"fdsup://directions/FAT Viewer?action=UPDATE&amp;creator=factset&amp;DYN_ARGS=TRUE&amp;DOC_NAME=FAT:FQL_AUDITING_CLIENT_TEMPLATE.FAT&amp;display_string=Audit&amp;VAR:KEY=PEDMNGVOLW&amp;VAR:QUERY=KChGRl9TQUxFUyhMVE0sMCwsLFJGLFVTRClARkZfU0FMRVMoTFRNU19TRU1JLDAsLCxSRixVU0QpKUBGRl9TQ","UxFUyhBTk4sMCwsLFJGLFVTRCkp&amp;WINDOW=FIRST_POPUP&amp;HEIGHT=450&amp;WIDTH=450&amp;START_MAXIMIZED=FALSE&amp;VAR:CALENDAR=US&amp;VAR:SYMBOL=QCOM&amp;VAR:INDEX=0"}</definedName>
    <definedName name="_329__FDSAUDITLINK__" hidden="1">{"fdsup://directions/FAT Viewer?action=UPDATE&amp;creator=factset&amp;DYN_ARGS=TRUE&amp;DOC_NAME=FAT:FQL_AUDITING_CLIENT_TEMPLATE.FAT&amp;display_string=Audit&amp;VAR:KEY=HYDMFUFUZW&amp;VAR:QUERY=KEZGX0VCSVREQShMVE0sMTIvMzEvMjAxMCwsLFJGLFVTRClARkZfRUJJVERBX0lCKExUTSwxMi8zMS8yMDEwL","CwsUkYsVVNEKSk=&amp;WINDOW=FIRST_POPUP&amp;HEIGHT=450&amp;WIDTH=450&amp;START_MAXIMIZED=FALSE&amp;VAR:CALENDAR=US&amp;VAR:SYMBOL=ACTG&amp;VAR:INDEX=0"}</definedName>
    <definedName name="_32solver_rh¤" hidden="1">4</definedName>
    <definedName name="_33__123Graph_XChart_6" hidden="1">#REF!</definedName>
    <definedName name="_33__FDSAUDITLINK__" hidden="1">{"fdsup://directions/FAT Viewer?action=UPDATE&amp;creator=factset&amp;DYN_ARGS=TRUE&amp;DOC_NAME=FAT:FQL_AUDITING_CLIENT_TEMPLATE.FAT&amp;display_string=Audit&amp;VAR:KEY=VAFWXKVSN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6723&amp;VAR:INDEX=0"}</definedName>
    <definedName name="_330__FDSAUDITLINK__" hidden="1">{"fdsup://directions/FAT Viewer?action=UPDATE&amp;creator=factset&amp;DYN_ARGS=TRUE&amp;DOC_NAME=FAT:FQL_AUDITING_CLIENT_TEMPLATE.FAT&amp;display_string=Audit&amp;VAR:KEY=HALILIJQBE&amp;VAR:QUERY=KChGRl9ERUJUKFFUUiwwLCwsUkYsVVNEKUBGRl9ERUJUKFNFTUksMCwsLFJGLFVTRCkpQEZGX0RFQlQoQU5OL","DAsLCxSRixVU0QpKQ==&amp;WINDOW=FIRST_POPUP&amp;HEIGHT=450&amp;WIDTH=450&amp;START_MAXIMIZED=FALSE&amp;VAR:CALENDAR=US&amp;VAR:SYMBOL=FSL&amp;VAR:INDEX=0"}</definedName>
    <definedName name="_331__FDSAUDITLINK__" hidden="1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332__FDSAUDITLINK__" hidden="1">{"fdsup://Directions/FactSet Auditing Viewer?action=AUDIT_VALUE&amp;DB=129&amp;ID1=G3727Q10&amp;VALUEID=02001&amp;SDATE=201201&amp;PERIODTYPE=QTR_STD&amp;SCFT=3&amp;window=popup_no_bar&amp;width=385&amp;height=120&amp;START_MAXIMIZED=FALSE&amp;creator=factset&amp;display_string=Audit"}</definedName>
    <definedName name="_333__FDSAUDITLINK__" hidden="1">{"fdsup://Directions/FactSet Auditing Viewer?action=AUDIT_VALUE&amp;DB=129&amp;ID1=25659T10&amp;VALUEID=01001&amp;SDATE=201102&amp;PERIODTYPE=QTR_STD&amp;SCFT=3&amp;window=popup_no_bar&amp;width=385&amp;height=120&amp;START_MAXIMIZED=FALSE&amp;creator=factset&amp;display_string=Audit"}</definedName>
    <definedName name="_334__FDSAUDITLINK__" hidden="1">{"fdsup://Directions/FactSet Auditing Viewer?action=AUDIT_VALUE&amp;DB=129&amp;ID1=093031&amp;VALUEID=07011&amp;SDATE=2010&amp;PERIODTYPE=ANN_STD&amp;SCFT=3&amp;window=popup_no_bar&amp;width=385&amp;height=120&amp;START_MAXIMIZED=FALSE&amp;creator=factset&amp;display_string=Audit"}</definedName>
    <definedName name="_335__FDSAUDITLINK__" hidden="1">{"fdsup://directions/FAT Viewer?action=UPDATE&amp;creator=factset&amp;DYN_ARGS=TRUE&amp;DOC_NAME=FAT:FQL_AUDITING_CLIENT_TEMPLATE.FAT&amp;display_string=Audit&amp;VAR:KEY=AVKLAHGVUB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223093&amp;VAR:INDEX=0"}</definedName>
    <definedName name="_336__FDSAUDITLINK__" hidden="1">{"fdsup://Directions/FactSet Auditing Viewer?action=AUDIT_VALUE&amp;DB=129&amp;ID1=60456710&amp;VALUEID=02001&amp;SDATE=201203&amp;PERIODTYPE=QTR_STD&amp;SCFT=3&amp;window=popup_no_bar&amp;width=385&amp;height=120&amp;START_MAXIMIZED=FALSE&amp;creator=factset&amp;display_string=Audit"}</definedName>
    <definedName name="_337__FDSAUDITLINK__" hidden="1">{"fdsup://directions/FAT Viewer?action=UPDATE&amp;creator=factset&amp;DYN_ARGS=TRUE&amp;DOC_NAME=FAT:FQL_AUDITING_CLIENT_TEMPLATE.FAT&amp;display_string=Audit&amp;VAR:KEY=LGPUBWVYTS&amp;VAR:QUERY=KChGRl9HUk9TU19JTkMoTFRNLDAsLCxSRixVU0QpQEZGX0dST1NTX0lOQyhMVE1TX1NFTUksMCwsLFJGLFVTR","CkpQEZGX1NBTEVTKEFOTiwwLCwsUkYsVVNEKSk=&amp;WINDOW=FIRST_POPUP&amp;HEIGHT=450&amp;WIDTH=450&amp;START_MAXIMIZED=FALSE&amp;VAR:CALENDAR=US&amp;VAR:SYMBOL=RPXC&amp;VAR:INDEX=0"}</definedName>
    <definedName name="_338__FDSAUDITLINK__" hidden="1">{"fdsup://directions/FAT Viewer?action=UPDATE&amp;creator=factset&amp;DYN_ARGS=TRUE&amp;DOC_NAME=FAT:FQL_AUDITING_CLIENT_TEMPLATE.FAT&amp;display_string=Audit&amp;VAR:KEY=FYRITORQJW&amp;VAR:QUERY=KChGRl9TQUxFUyhMVE0sMCwsLFJGLFVTRClARkZfU0FMRVMoTFRNU19TRU1JLDAsLCxSRixVU0QpKUBGRl9TQ","UxFUyhBTk4sMCwsLFJGLFVTRCkp&amp;WINDOW=FIRST_POPUP&amp;HEIGHT=450&amp;WIDTH=450&amp;START_MAXIMIZED=FALSE&amp;VAR:CALENDAR=US&amp;VAR:SYMBOL=RMBS&amp;VAR:INDEX=0"}</definedName>
    <definedName name="_339__FDSAUDITLINK__" hidden="1">{"fdsup://Directions/FactSet Auditing Viewer?action=AUDIT_VALUE&amp;DB=129&amp;ID1=223093&amp;VALUEID=01001&amp;SDATE=201101&amp;PERIODTYPE=QTR_STD&amp;SCFT=3&amp;window=popup_no_bar&amp;width=385&amp;height=120&amp;START_MAXIMIZED=FALSE&amp;creator=factset&amp;display_string=Audit"}</definedName>
    <definedName name="_33solver_va" hidden="1">27</definedName>
    <definedName name="_34__123Graph_XChart_7" hidden="1">#REF!</definedName>
    <definedName name="_34__FDSAUDITLINK__" hidden="1">{"fdsup://directions/FAT Viewer?action=UPDATE&amp;creator=factset&amp;DYN_ARGS=TRUE&amp;DOC_NAME=FAT:FQL_AUDITING_CLIENT_TEMPLATE.FAT&amp;display_string=Audit&amp;VAR:KEY=TQZIHUXSLS&amp;VAR:QUERY=KChGRl9FUFMoTFRNLDAsLCxSRixVU0QpQEZGX0VQUyhMVE1TX1NFTUksMCwsLFJGLFVTRCkpQEZGX0VQUyhBT","k4sMCwsLFJGLFVTRCkp&amp;WINDOW=FIRST_POPUP&amp;HEIGHT=450&amp;WIDTH=450&amp;START_MAXIMIZED=FALSE&amp;VAR:CALENDAR=US&amp;VAR:SYMBOL=6723&amp;VAR:INDEX=0"}</definedName>
    <definedName name="_340__FDSAUDITLINK__" hidden="1">{"fdsup://Directions/FactSet Auditing Viewer?action=AUDIT_VALUE&amp;DB=129&amp;ID1=260509&amp;VALUEID=02001&amp;SDATE=201102&amp;PERIODTYPE=QTR_STD&amp;SCFT=3&amp;window=popup_no_bar&amp;width=385&amp;height=120&amp;START_MAXIMIZED=FALSE&amp;creator=factset&amp;display_string=Audit"}</definedName>
    <definedName name="_341__FDSAUDITLINK__" hidden="1">{"fdsup://directions/FAT Viewer?action=UPDATE&amp;creator=factset&amp;DYN_ARGS=TRUE&amp;DOC_NAME=FAT:FQL_AUDITING_CLIENT_TEMPLATE.FAT&amp;display_string=Audit&amp;VAR:KEY=FOTYFYREPO&amp;VAR:QUERY=KChGRl9ERUJUKFFUUiwwLCwsUkYsVVNEKUBGRl9ERUJUKFNFTUksMCwsLFJGLFVTRCkpQEZGX0RFQlQoQU5OL","DAsLCxSRixVU0QpKQ==&amp;WINDOW=FIRST_POPUP&amp;HEIGHT=450&amp;WIDTH=450&amp;START_MAXIMIZED=FALSE&amp;VAR:CALENDAR=US&amp;VAR:SYMBOL=MOSY&amp;VAR:INDEX=0"}</definedName>
    <definedName name="_342__FDSAUDITLINK__" hidden="1">{"fdsup://directions/FAT Viewer?action=UPDATE&amp;creator=factset&amp;DYN_ARGS=TRUE&amp;DOC_NAME=FAT:FQL_AUDITING_CLIENT_TEMPLATE.FAT&amp;display_string=Audit&amp;VAR:KEY=XQBYPWNETG&amp;VAR:QUERY=KChGRl9ORVRfSU5DKExUTSwwLCwsUkYsVVNEKUBGRl9ORVRfSU5DKExUTVNfU0VNSSwwLCwsUkYsVVNEKSlAR","kZfTkVUX0lOQyhBTk4sMCwsLFJGLFVTRCkp&amp;WINDOW=FIRST_POPUP&amp;HEIGHT=450&amp;WIDTH=450&amp;START_MAXIMIZED=FALSE&amp;VAR:CALENDAR=US&amp;VAR:SYMBOL=RPXC&amp;VAR:INDEX=0"}</definedName>
    <definedName name="_343__FDSAUDITLINK__" hidden="1">{"fdsup://Directions/FactSet Auditing Viewer?action=AUDIT_VALUE&amp;DB=129&amp;ID1=260509&amp;VALUEID=01001&amp;SDATE=201002&amp;PERIODTYPE=QTR_STD&amp;SCFT=3&amp;window=popup_no_bar&amp;width=385&amp;height=120&amp;START_MAXIMIZED=FALSE&amp;creator=factset&amp;display_string=Audit"}</definedName>
    <definedName name="_344__FDSAUDITLINK__" hidden="1">{"fdsup://directions/FAT Viewer?action=UPDATE&amp;creator=factset&amp;DYN_ARGS=TRUE&amp;DOC_NAME=FAT:FQL_AUDITING_CLIENT_TEMPLATE.FAT&amp;display_string=Audit&amp;VAR:KEY=JAXWRCTYPG&amp;VAR:QUERY=KChGRl9FQklUKExUTSwwLCwsUkYsVVNEKUBGRl9FQklUKExUTVNfU0VNSSwwLCwsUkYsVVNEKSlARkZfRUJJV","ChBTk4sMCwsLFJGLFVTRCkp&amp;WINDOW=FIRST_POPUP&amp;HEIGHT=450&amp;WIDTH=450&amp;START_MAXIMIZED=FALSE&amp;VAR:CALENDAR=US&amp;VAR:SYMBOL=RPXC&amp;VAR:INDEX=0"}</definedName>
    <definedName name="_345__FDSAUDITLINK__" hidden="1">{"fdsup://directions/FAT Viewer?action=UPDATE&amp;creator=factset&amp;DYN_ARGS=TRUE&amp;DOC_NAME=FAT:FQL_AUDITING_CLIENT_TEMPLATE.FAT&amp;display_string=Audit&amp;VAR:KEY=FCBCDSREXU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ACTG&amp;VAR:INDEX=0"}</definedName>
    <definedName name="_346__FDSAUDITLINK__" hidden="1">{"fdsup://directions/FAT Viewer?action=UPDATE&amp;creator=factset&amp;DYN_ARGS=TRUE&amp;DOC_NAME=FAT:FQL_AUDITING_CLIENT_TEMPLATE.FAT&amp;display_string=Audit&amp;VAR:KEY=BENGFGHIJU&amp;VAR:QUERY=KChGRl9FQklUREEoTFRNLDAsLCxSRixVU0QpQEZGX0VCSVREQShMVE1TX1NFTUksMCwsLFJGLFVTRCkpQEZGX","0VCSVREQShBTk4sMCwsLFJGLFVTRCkp&amp;WINDOW=FIRST_POPUP&amp;HEIGHT=450&amp;WIDTH=450&amp;START_MAXIMIZED=FALSE&amp;VAR:CALENDAR=US&amp;VAR:SYMBOL=RPXC&amp;VAR:INDEX=0"}</definedName>
    <definedName name="_347__FDSAUDITLINK__" hidden="1">{"fdsup://Directions/FactSet Auditing Viewer?action=AUDIT_VALUE&amp;DB=129&amp;ID1=74972G10&amp;VALUEID=01001&amp;SDATE=201201&amp;PERIODTYPE=QTR_STD&amp;SCFT=3&amp;window=popup_no_bar&amp;width=385&amp;height=120&amp;START_MAXIMIZED=FALSE&amp;creator=factset&amp;display_string=Audit"}</definedName>
    <definedName name="_348__FDSAUDITLINK__" hidden="1">{"fdsup://directions/FAT Viewer?action=UPDATE&amp;creator=factset&amp;DYN_ARGS=TRUE&amp;DOC_NAME=FAT:FQL_AUDITING_CLIENT_TEMPLATE.FAT&amp;display_string=Audit&amp;VAR:KEY=MZITYDCJSX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223093&amp;VAR:INDEX=0"}</definedName>
    <definedName name="_349__FDSAUDITLINK__" hidden="1">{"fdsup://directions/FAT Viewer?action=UPDATE&amp;creator=factset&amp;DYN_ARGS=TRUE&amp;DOC_NAME=FAT:FQL_AUDITING_CLIENT_TEMPLATE.FAT&amp;display_string=Audit&amp;VAR:KEY=GBGVWLQZQX&amp;VAR:QUERY=KChGRl9ERUJUKFFUUiwwLCwsUkYsVVNEKUBGRl9ERUJUKFNFTUksMCwsLFJGLFVTRCkpQEZGX0RFQlQoQU5OL","DAsLCxSRixVU0QpKQ==&amp;WINDOW=FIRST_POPUP&amp;HEIGHT=450&amp;WIDTH=450&amp;START_MAXIMIZED=FALSE&amp;VAR:CALENDAR=US&amp;VAR:INDEX=0"}</definedName>
    <definedName name="_35__123Graph_XChart_8" hidden="1">#REF!</definedName>
    <definedName name="_35__FDSAUDITLINK__" hidden="1">{"fdsup://directions/FAT Viewer?action=UPDATE&amp;creator=factset&amp;DYN_ARGS=TRUE&amp;DOC_NAME=FAT:FQL_AUDITING_CLIENT_TEMPLATE.FAT&amp;display_string=Audit&amp;VAR:KEY=XGNCDKPKRC&amp;VAR:QUERY=KChGRl9ORVRfSU5DKExUTSwwLCwsUkYsVVNEKUBGRl9ORVRfSU5DKExUTVNfU0VNSSwwLCwsUkYsVVNEKSlAR","kZfTkVUX0lOQyhBTk4sMCwsLFJGLFVTRCkp&amp;WINDOW=FIRST_POPUP&amp;HEIGHT=450&amp;WIDTH=450&amp;START_MAXIMIZED=FALSE&amp;VAR:CALENDAR=US&amp;VAR:SYMBOL=6723&amp;VAR:INDEX=0"}</definedName>
    <definedName name="_350__FDSAUDITLINK__" hidden="1">{"fdsup://Directions/FactSet Auditing Viewer?action=AUDIT_VALUE&amp;DB=129&amp;ID1=093031&amp;VALUEID=02001&amp;SDATE=201101&amp;PERIODTYPE=SEMI_STD&amp;SCFT=3&amp;window=popup_no_bar&amp;width=385&amp;height=120&amp;START_MAXIMIZED=FALSE&amp;creator=factset&amp;display_string=Audit"}</definedName>
    <definedName name="_351__FDSAUDITLINK__" hidden="1">{"fdsup://directions/FAT Viewer?action=UPDATE&amp;creator=factset&amp;DYN_ARGS=TRUE&amp;DOC_NAME=FAT:FQL_AUDITING_CLIENT_TEMPLATE.FAT&amp;display_string=Audit&amp;VAR:KEY=KVEZYRSBCJ&amp;VAR:QUERY=KChGRl9FQklUREEoTFRNLDAsLCxSRixVU0QpQEZGX0VCSVREQShMVE1TX1NFTUksMCwsLFJGLFVTRCkpQEZGX","0VCSVREQShBTk4sMCwsLFJGLFVTRCkp&amp;WINDOW=FIRST_POPUP&amp;HEIGHT=450&amp;WIDTH=450&amp;START_MAXIMIZED=FALSE&amp;VAR:CALENDAR=US&amp;VAR:SYMBOL=093031&amp;VAR:INDEX=0"}</definedName>
    <definedName name="_352__FDSAUDITLINK__" hidden="1">{"fdsup://directions/FAT Viewer?action=UPDATE&amp;creator=factset&amp;DYN_ARGS=TRUE&amp;DOC_NAME=FAT:FQL_AUDITING_CLIENT_TEMPLATE.FAT&amp;display_string=Audit&amp;VAR:KEY=KBKLEZWDSX&amp;VAR:QUERY=KChGRl9FQklUREEoTFRNLDAsLCxSRixVU0QpQEZGX0VCSVREQShMVE1TX1NFTUksMCwsLFJGLFVTRCkpQEZGX","0VCSVREQShBTk4sMCwsLFJGLFVTRCkp&amp;WINDOW=FIRST_POPUP&amp;HEIGHT=450&amp;WIDTH=450&amp;START_MAXIMIZED=FALSE&amp;VAR:CALENDAR=US&amp;VAR:SYMBOL=223093&amp;VAR:INDEX=0"}</definedName>
    <definedName name="_353__FDSAUDITLINK__" hidden="1">{"fdsup://directions/FAT Viewer?action=UPDATE&amp;creator=factset&amp;DYN_ARGS=TRUE&amp;DOC_NAME=FAT:FQL_AUDITING_CLIENT_TEMPLATE.FAT&amp;display_string=Audit&amp;VAR:KEY=ZEFQPCDQBY&amp;VAR:QUERY=KChGRl9HUk9TU19JTkMoTFRNLDAsLCxSRixVU0QpQEZGX0dST1NTX0lOQyhMVE1TX1NFTUksMCwsLFJGLFVTR","CkpQEZGX1NBTEVTKEFOTiwwLCwsUkYsVVNEKSk=&amp;WINDOW=FIRST_POPUP&amp;HEIGHT=450&amp;WIDTH=450&amp;START_MAXIMIZED=FALSE&amp;VAR:CALENDAR=US&amp;VAR:SYMBOL=223093&amp;VAR:INDEX=0"}</definedName>
    <definedName name="_354__FDSAUDITLINK__" hidden="1">{"fdsup://Directions/FactSet Auditing Viewer?action=AUDIT_VALUE&amp;DB=129&amp;ID1=25659T10&amp;VALUEID=07011&amp;SDATE=2011&amp;PERIODTYPE=ANN_STD&amp;SCFT=3&amp;window=popup_no_bar&amp;width=385&amp;height=120&amp;START_MAXIMIZED=FALSE&amp;creator=factset&amp;display_string=Audit"}</definedName>
    <definedName name="_355__FDSAUDITLINK__" hidden="1">{"fdsup://directions/FAT Viewer?action=UPDATE&amp;creator=factset&amp;DYN_ARGS=TRUE&amp;DOC_NAME=FAT:FQL_AUDITING_CLIENT_TEMPLATE.FAT&amp;display_string=Audit&amp;VAR:KEY=YPSHADOJYL&amp;VAR:QUERY=KChGRl9TQUxFUyhMVE0sMCwsLFJGLFVTRClARkZfU0FMRVMoTFRNU19TRU1JLDAsLCxSRixVU0QpKUBGRl9TQ","UxFUyhBTk4sMCwsLFJGLFVTRCkp&amp;WINDOW=FIRST_POPUP&amp;HEIGHT=450&amp;WIDTH=450&amp;START_MAXIMIZED=FALSE&amp;VAR:CALENDAR=US&amp;VAR:SYMBOL=093031&amp;VAR:INDEX=0"}</definedName>
    <definedName name="_356__FDSAUDITLINK__" hidden="1">{"fdsup://directions/FAT Viewer?action=UPDATE&amp;creator=factset&amp;DYN_ARGS=TRUE&amp;DOC_NAME=FAT:FQL_AUDITING_CLIENT_TEMPLATE.FAT&amp;display_string=Audit&amp;VAR:KEY=XWHOHYJUHI&amp;VAR:QUERY=KChGRl9FQklUREEoTFRNLDAsLCxSRixVU0QpQEZGX0VCSVREQShMVE1TX1NFTUksMCwsLFJGLFVTRCkpQEZGX","0VCSVREQShBTk4sMCwsLFJGLFVTRCkp&amp;WINDOW=FIRST_POPUP&amp;HEIGHT=450&amp;WIDTH=450&amp;START_MAXIMIZED=FALSE&amp;VAR:CALENDAR=US&amp;VAR:SYMBOL=MOSY&amp;VAR:INDEX=0"}</definedName>
    <definedName name="_357__FDSAUDITLINK__" hidden="1">{"fdsup://directions/FAT Viewer?action=UPDATE&amp;creator=factset&amp;DYN_ARGS=TRUE&amp;DOC_NAME=FAT:FQL_AUDITING_CLIENT_TEMPLATE.FAT&amp;display_string=Audit&amp;VAR:KEY=HOFIVQJUDG&amp;VAR:QUERY=KChGRl9ERUJUKFFUUiwwLCwsUkYsVVNEKUBGRl9ERUJUKFNFTUksMCwsLFJGLFVTRCkpQEZGX0RFQlQoQU5OL","DAsLCxSRixVU0QpKQ==&amp;WINDOW=FIRST_POPUP&amp;HEIGHT=450&amp;WIDTH=450&amp;START_MAXIMIZED=FALSE&amp;VAR:CALENDAR=US&amp;VAR:SYMBOL=QCOM&amp;VAR:INDEX=0"}</definedName>
    <definedName name="_358__FDSAUDITLINK__" hidden="1">{"fdsup://Directions/FactSet Auditing Viewer?action=AUDIT_VALUE&amp;DB=129&amp;ID1=60456710&amp;VALUEID=07011&amp;SDATE=2011&amp;PERIODTYPE=ANN_STD&amp;SCFT=3&amp;window=popup_no_bar&amp;width=385&amp;height=120&amp;START_MAXIMIZED=FALSE&amp;creator=factset&amp;display_string=Audit"}</definedName>
    <definedName name="_359__FDSAUDITLINK__" hidden="1">{"fdsup://Directions/FactSet Auditing Viewer?action=AUDIT_VALUE&amp;DB=129&amp;ID1=74752510&amp;VALUEID=07011&amp;SDATE=2011&amp;PERIODTYPE=ANN_STD&amp;SCFT=3&amp;window=popup_no_bar&amp;width=385&amp;height=120&amp;START_MAXIMIZED=FALSE&amp;creator=factset&amp;display_string=Audit"}</definedName>
    <definedName name="_36__123Graph_XChart_9" hidden="1">#REF!</definedName>
    <definedName name="_36__FDSAUDITLINK__" hidden="1">{"fdsup://directions/FAT Viewer?action=UPDATE&amp;creator=factset&amp;DYN_ARGS=TRUE&amp;DOC_NAME=FAT:FQL_AUDITING_CLIENT_TEMPLATE.FAT&amp;display_string=Audit&amp;VAR:KEY=HOZUJOBKRC&amp;VAR:QUERY=KChGRl9FQklUKExUTSwwLCwsUkYsVVNEKUBGRl9FQklUKExUTVNfU0VNSSwwLCwsUkYsVVNEKSlARkZfRUJJV","ChBTk4sMCwsLFJGLFVTRCkp&amp;WINDOW=FIRST_POPUP&amp;HEIGHT=450&amp;WIDTH=450&amp;START_MAXIMIZED=FALSE&amp;VAR:CALENDAR=US&amp;VAR:SYMBOL=6723&amp;VAR:INDEX=0"}</definedName>
    <definedName name="_360__FDSAUDITLINK__" hidden="1">{"fdsup://directions/FAT Viewer?action=UPDATE&amp;creator=factset&amp;DYN_ARGS=TRUE&amp;DOC_NAME=FAT:FQL_AUDITING_CLIENT_TEMPLATE.FAT&amp;display_string=Audit&amp;VAR:KEY=XGRWPSXMPS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CEVA&amp;VAR:INDEX=0"}</definedName>
    <definedName name="_361__FDSAUDITLINK__" hidden="1">{"fdsup://Directions/FactSet Auditing Viewer?action=AUDIT_VALUE&amp;DB=129&amp;ID1=42823610&amp;VALUEID=07011&amp;SDATE=2010&amp;PERIODTYPE=ANN_STD&amp;window=popup_no_bar&amp;width=385&amp;height=120&amp;START_MAXIMIZED=FALSE&amp;creator=factset&amp;display_string=Audit"}</definedName>
    <definedName name="_362__FDSAUDITLINK__" hidden="1">{"fdsup://directions/FAT Viewer?action=UPDATE&amp;creator=factset&amp;DYN_ARGS=TRUE&amp;DOC_NAME=FAT:FQL_AUDITING_CLIENT_TEMPLATE.FAT&amp;display_string=Audit&amp;VAR:KEY=ZQDGTQTODW&amp;VAR:QUERY=KChGRl9ERUJUKFFUUiwwLCwsUkYsVVNEKUBGRl9ERUJUKFNFTUksMCwsLFJGLFVTRCkpQEZGX0RFQlQoQU5OL","DAsLCxSRixVU0QpKQ==&amp;WINDOW=FIRST_POPUP&amp;HEIGHT=450&amp;WIDTH=450&amp;START_MAXIMIZED=FALSE&amp;VAR:CALENDAR=US&amp;VAR:SYMBOL=RMBS&amp;VAR:INDEX=0"}</definedName>
    <definedName name="_363__FDSAUDITLINK__" hidden="1">{"fdsup://directions/FAT Viewer?action=UPDATE&amp;creator=factset&amp;DYN_ARGS=TRUE&amp;DOC_NAME=FAT:FQL_AUDITING_CLIENT_TEMPLATE.FAT&amp;display_string=Audit&amp;VAR:KEY=NMTIVCLUHK&amp;VAR:QUERY=KChGRl9ERUJUKFFUUiwwLCwsUkYsVVNEKUBGRl9ERUJUKFNFTUksMCwsLFJGLFVTRCkpQEZGX0RFQlQoQU5OL","DAsLCxSRixVU0QpKQ==&amp;WINDOW=FIRST_POPUP&amp;HEIGHT=450&amp;WIDTH=450&amp;START_MAXIMIZED=FALSE&amp;VAR:CALENDAR=US&amp;VAR:SYMBOL=CEVA&amp;VAR:INDEX=0"}</definedName>
    <definedName name="_364__FDSAUDITLINK__" hidden="1">{"fdsup://Directions/FactSet Auditing Viewer?action=AUDIT_VALUE&amp;DB=129&amp;ID1=15721010&amp;VALUEID=02001&amp;SDATE=201201&amp;PERIODTYPE=QTR_STD&amp;SCFT=3&amp;window=popup_no_bar&amp;width=385&amp;height=120&amp;START_MAXIMIZED=FALSE&amp;creator=factset&amp;display_string=Audit"}</definedName>
    <definedName name="_365__FDSAUDITLINK__" hidden="1">{"fdsup://Directions/FactSet Auditing Viewer?action=AUDIT_VALUE&amp;DB=129&amp;ID1=45814010&amp;VALUEID=07011&amp;SDATE=2009&amp;PERIODTYPE=ANN_STD&amp;window=popup_no_bar&amp;width=385&amp;height=120&amp;START_MAXIMIZED=FALSE&amp;creator=factset&amp;display_string=Audit"}</definedName>
    <definedName name="_366__FDSAUDITLINK__" hidden="1">{"fdsup://directions/FAT Viewer?action=UPDATE&amp;creator=factset&amp;DYN_ARGS=TRUE&amp;DOC_NAME=FAT:FQL_AUDITING_CLIENT_TEMPLATE.FAT&amp;display_string=Audit&amp;VAR:KEY=NEDMJKBELU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RPXC&amp;VAR:INDEX=0"}</definedName>
    <definedName name="_367__FDSAUDITLINK__" hidden="1">{"fdsup://directions/FAT Viewer?action=UPDATE&amp;creator=factset&amp;DYN_ARGS=TRUE&amp;DOC_NAME=FAT:FQL_AUDITING_CLIENT_TEMPLATE.FAT&amp;display_string=Audit&amp;VAR:KEY=KZEZOVKBID&amp;VAR:QUERY=KChGRl9FQklUKExUTSwwLCwsUkYsVVNEKUBGRl9FQklUKExUTVNfU0VNSSwwLCwsUkYsVVNEKSlARkZfRUJJV","ChBTk4sMCwsLFJGLFVTRCkp&amp;WINDOW=FIRST_POPUP&amp;HEIGHT=450&amp;WIDTH=450&amp;START_MAXIMIZED=FALSE&amp;VAR:CALENDAR=US&amp;VAR:SYMBOL=260509&amp;VAR:INDEX=0"}</definedName>
    <definedName name="_368__FDSAUDITLINK__" hidden="1">{"fdsup://directions/FAT Viewer?action=UPDATE&amp;creator=factset&amp;DYN_ARGS=TRUE&amp;DOC_NAME=FAT:FQL_AUDITING_CLIENT_TEMPLATE.FAT&amp;display_string=Audit&amp;VAR:KEY=LELYHEBMBM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ARMH&amp;VAR:INDEX=0"}</definedName>
    <definedName name="_369__FDSAUDITLINK__" hidden="1">{"fdsup://Directions/FactSet Auditing Viewer?action=AUDIT_VALUE&amp;DB=129&amp;ID1=26864810&amp;VALUEID=07011&amp;SDATE=2009&amp;PERIODTYPE=ANN_STD&amp;window=popup_no_bar&amp;width=385&amp;height=120&amp;START_MAXIMIZED=FALSE&amp;creator=factset&amp;display_string=Audit"}</definedName>
    <definedName name="_37__FDSAUDITLINK__" hidden="1">{"fdsup://directions/FAT Viewer?action=UPDATE&amp;creator=factset&amp;DYN_ARGS=TRUE&amp;DOC_NAME=FAT:FQL_AUDITING_CLIENT_TEMPLATE.FAT&amp;display_string=Audit&amp;VAR:KEY=LMTQPYTMTG&amp;VAR:QUERY=KChGRl9FQklUREEoTFRNLDAsLCxSRixVU0QpQEZGX0VCSVREQShMVE1TX1NFTUksMCwsLFJGLFVTRCkpQEZGX","0VCSVREQShBTk4sMCwsLFJGLFVTRCkp&amp;WINDOW=FIRST_POPUP&amp;HEIGHT=450&amp;WIDTH=450&amp;START_MAXIMIZED=FALSE&amp;VAR:CALENDAR=US&amp;VAR:SYMBOL=6723&amp;VAR:INDEX=0"}</definedName>
    <definedName name="_370__FDSAUDITLINK__" hidden="1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71__FDSAUDITLINK__" hidden="1">{"fdsup://directions/FAT Viewer?action=UPDATE&amp;creator=factset&amp;DYN_ARGS=TRUE&amp;DOC_NAME=FAT:FQL_AUDITING_CLIENT_TEMPLATE.FAT&amp;display_string=Audit&amp;VAR:KEY=TGNYRQRKXM&amp;VAR:QUERY=KChGRl9FQklUREEoTFRNLDAsLCxSRixVU0QpQEZGX0VCSVREQShMVE1TX1NFTUksMCwsLFJGLFVTRCkpQEZGX","0VCSVREQShBTk4sMCwsLFJGLFVTRCkp&amp;WINDOW=FIRST_POPUP&amp;HEIGHT=450&amp;WIDTH=450&amp;START_MAXIMIZED=FALSE&amp;VAR:CALENDAR=US&amp;VAR:SYMBOL=260509&amp;VAR:INDEX=0"}</definedName>
    <definedName name="_372__FDSAUDITLINK__" hidden="1">{"fdsup://Directions/FactSet Auditing Viewer?action=AUDIT_VALUE&amp;DB=129&amp;ID1=260509&amp;VALUEID=01001&amp;SDATE=2010&amp;PERIODTYPE=ANN_STD&amp;SCFT=3&amp;window=popup_no_bar&amp;width=385&amp;height=120&amp;START_MAXIMIZED=FALSE&amp;creator=factset&amp;display_string=Audit"}</definedName>
    <definedName name="_373__FDSAUDITLINK__" hidden="1">{"fdsup://Directions/FactSet Auditing Viewer?action=AUDIT_VALUE&amp;DB=129&amp;ID1=92856340&amp;VALUEID=07011&amp;SDATE=2009&amp;PERIODTYPE=ANN_STD&amp;window=popup_no_bar&amp;width=385&amp;height=120&amp;START_MAXIMIZED=FALSE&amp;creator=factset&amp;display_string=Audit"}</definedName>
    <definedName name="_374__FDSAUDITLINK__" hidden="1">{"fdsup://directions/FAT Viewer?action=UPDATE&amp;creator=factset&amp;DYN_ARGS=TRUE&amp;DOC_NAME=FAT:FQL_AUDITING_CLIENT_TEMPLATE.FAT&amp;display_string=Audit&amp;VAR:KEY=SZQJMHMPQN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IPS&amp;VAR:INDEX=0"}</definedName>
    <definedName name="_375__FDSAUDITLINK__" hidden="1">{"fdsup://directions/FAT Viewer?action=UPDATE&amp;creator=factset&amp;DYN_ARGS=TRUE&amp;DOC_NAME=FAT:FQL_AUDITING_CLIENT_TEMPLATE.FAT&amp;display_string=Audit&amp;VAR:KEY=LONQRUPYVU&amp;VAR:QUERY=KChGRl9ERUJUKFFUUiwwLCwsUkYsVVNEKUBGRl9ERUJUKFNFTUksMCwsLFJGLFVTRCkpQEZGX0RFQlQoQU5OL","DAsLCxSRixVU0QpKQ==&amp;WINDOW=FIRST_POPUP&amp;HEIGHT=450&amp;WIDTH=450&amp;START_MAXIMIZED=FALSE&amp;VAR:CALENDAR=US&amp;VAR:SYMBOL=MIPS&amp;VAR:INDEX=0"}</definedName>
    <definedName name="_376__FDSAUDITLINK__" hidden="1">{"fdsup://directions/FAT Viewer?action=UPDATE&amp;creator=factset&amp;DYN_ARGS=TRUE&amp;DOC_NAME=FAT:FQL_AUDITING_CLIENT_TEMPLATE.FAT&amp;display_string=Audit&amp;VAR:KEY=DUDADIPCVA&amp;VAR:QUERY=KChGRl9FQklUKExUTSwwLCwsUkYsVVNEKUBGRl9FQklUKExUTVNfU0VNSSwwLCwsUkYsVVNEKSlARkZfRUJJV","ChBTk4sMCwsLFJGLFVTRCkp&amp;WINDOW=FIRST_POPUP&amp;HEIGHT=450&amp;WIDTH=450&amp;START_MAXIMIZED=FALSE&amp;VAR:CALENDAR=US&amp;VAR:SYMBOL=ASGN&amp;VAR:INDEX=0"}</definedName>
    <definedName name="_377__FDSAUDITLINK__" hidden="1">{"fdsup://Directions/FactSet Auditing Viewer?action=AUDIT_VALUE&amp;DB=129&amp;ID1=68389X10&amp;VALUEID=07011&amp;SDATE=2009&amp;PERIODTYPE=ANN_STD&amp;window=popup_no_bar&amp;width=385&amp;height=120&amp;START_MAXIMIZED=FALSE&amp;creator=factset&amp;display_string=Audit"}</definedName>
    <definedName name="_378__FDSAUDITLINK__" hidden="1">{"fdsup://Directions/FactSet Auditing Viewer?action=AUDIT_VALUE&amp;DB=129&amp;ID1=00388130&amp;VALUEID=07011&amp;SDATE=2011&amp;PERIODTYPE=ANN_STD&amp;SCFT=3&amp;window=popup_no_bar&amp;width=385&amp;height=120&amp;START_MAXIMIZED=FALSE&amp;creator=factset&amp;display_string=Audit"}</definedName>
    <definedName name="_379__FDSAUDITLINK__" hidden="1">{"fdsup://Directions/FactSet Auditing Viewer?action=AUDIT_VALUE&amp;DB=129&amp;ID1=260509&amp;VALUEID=01001&amp;SDATE=2010&amp;PERIODTYPE=ANN_STD&amp;SCFT=3&amp;window=popup_no_bar&amp;width=385&amp;height=120&amp;START_MAXIMIZED=FALSE&amp;creator=factset&amp;display_string=Audit"}</definedName>
    <definedName name="_38__FDSAUDITLINK__" hidden="1">{"fdsup://directions/FAT Viewer?action=UPDATE&amp;creator=factset&amp;DYN_ARGS=TRUE&amp;DOC_NAME=FAT:FQL_AUDITING_CLIENT_TEMPLATE.FAT&amp;display_string=Audit&amp;VAR:KEY=VOLCLYVSNU&amp;VAR:QUERY=KChGRl9HUk9TU19JTkMoTFRNLDAsLCxSRixVU0QpQEZGX0dST1NTX0lOQyhMVE1TX1NFTUksMCwsLFJGLFVTR","CkpQEZGX1NBTEVTKEFOTiwwLCwsUkYsVVNEKSk=&amp;WINDOW=FIRST_POPUP&amp;HEIGHT=450&amp;WIDTH=450&amp;START_MAXIMIZED=FALSE&amp;VAR:CALENDAR=US&amp;VAR:SYMBOL=6723&amp;VAR:INDEX=0"}</definedName>
    <definedName name="_380__FDSAUDITLINK__" hidden="1">{"fdsup://directions/FAT Viewer?action=UPDATE&amp;creator=factset&amp;DYN_ARGS=TRUE&amp;DOC_NAME=FAT:FQL_AUDITING_CLIENT_TEMPLATE.FAT&amp;display_string=Audit&amp;VAR:KEY=NYLSRELIDO&amp;VAR:QUERY=KEZGX0VCSVREQShMVE0sMTIvMzEvMjAwNSwsLFJGLFVTRClARkZfRUJJVERBX0lCKExUTSwxMi8zMS8yMDA1L","CwsUkYsVVNEKSk=&amp;WINDOW=FIRST_POPUP&amp;HEIGHT=450&amp;WIDTH=450&amp;START_MAXIMIZED=FALSE&amp;VAR:CALENDAR=US&amp;VAR:SYMBOL=ACTG&amp;VAR:INDEX=0"}</definedName>
    <definedName name="_381__FDSAUDITLINK__" hidden="1">{"fdsup://Directions/FactSet Auditing Viewer?action=AUDIT_VALUE&amp;DB=129&amp;ID1=45920010&amp;VALUEID=07011&amp;SDATE=2009&amp;PERIODTYPE=ANN_STD&amp;window=popup_no_bar&amp;width=385&amp;height=120&amp;START_MAXIMIZED=FALSE&amp;creator=factset&amp;display_string=Audit"}</definedName>
    <definedName name="_382__FDSAUDITLINK__" hidden="1">{"fdsup://directions/FAT Viewer?action=UPDATE&amp;creator=factset&amp;DYN_ARGS=TRUE&amp;DOC_NAME=FAT:FQL_AUDITING_CLIENT_TEMPLATE.FAT&amp;display_string=Audit&amp;VAR:KEY=MZIRGRQDQT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83__FDSAUDITLINK__" hidden="1">{"fdsup://directions/FAT Viewer?action=UPDATE&amp;creator=factset&amp;DYN_ARGS=TRUE&amp;DOC_NAME=FAT:FQL_AUDITING_CLIENT_TEMPLATE.FAT&amp;display_string=Audit&amp;VAR:KEY=PEXODSFGVG&amp;VAR:QUERY=KChGRl9FQklUKExUTSwwLCwsUkYsVVNEKUBGRl9FQklUKExUTVNfU0VNSSwwLCwsUkYsVVNEKSlARkZfRUJJV","ChBTk4sMCwsLFJGLFVTRCkp&amp;WINDOW=FIRST_POPUP&amp;HEIGHT=450&amp;WIDTH=450&amp;START_MAXIMIZED=FALSE&amp;VAR:CALENDAR=US&amp;VAR:SYMBOL=223093&amp;VAR:INDEX=0"}</definedName>
    <definedName name="_384__FDSAUDITLINK__" hidden="1">{"fdsup://Directions/FactSet Auditing Viewer?action=AUDIT_VALUE&amp;DB=129&amp;ID1=68218910&amp;VALUEID=02001&amp;SDATE=201201&amp;PERIODTYPE=QTR_STD&amp;SCFT=3&amp;window=popup_no_bar&amp;width=385&amp;height=120&amp;START_MAXIMIZED=FALSE&amp;creator=factset&amp;display_string=Audit"}</definedName>
    <definedName name="_385__FDSAUDITLINK__" hidden="1">{"fdsup://Directions/FactSet Auditing Viewer?action=AUDIT_VALUE&amp;DB=129&amp;ID1=79466L30&amp;VALUEID=07011&amp;SDATE=2009&amp;PERIODTYPE=ANN_STD&amp;window=popup_no_bar&amp;width=385&amp;height=120&amp;START_MAXIMIZED=FALSE&amp;creator=factset&amp;display_string=Audit"}</definedName>
    <definedName name="_386__FDSAUDITLINK__" hidden="1">{"fdsup://directions/FAT Viewer?action=UPDATE&amp;creator=factset&amp;DYN_ARGS=TRUE&amp;DOC_NAME=FAT:FQL_AUDITING_CLIENT_TEMPLATE.FAT&amp;display_string=Audit&amp;VAR:KEY=VUNQFAHYFW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RPXC&amp;VAR:INDEX=0"}</definedName>
    <definedName name="_387__FDSAUDITLINK__" hidden="1">{"fdsup://Directions/FactSet Auditing Viewer?action=AUDIT_VALUE&amp;DB=129&amp;ID1=00388130&amp;VALUEID=01001&amp;SDATE=2011&amp;PERIODTYPE=ANN_STD&amp;SCFT=3&amp;window=popup_no_bar&amp;width=385&amp;height=120&amp;START_MAXIMIZED=FALSE&amp;creator=factset&amp;display_string=Audit"}</definedName>
    <definedName name="_388__FDSAUDITLINK__" hidden="1">{"fdsup://directions/FAT Viewer?action=UPDATE&amp;creator=factset&amp;DYN_ARGS=TRUE&amp;DOC_NAME=FAT:FQL_AUDITING_CLIENT_TEMPLATE.FAT&amp;display_string=Audit&amp;VAR:KEY=RURKVABUJW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FSL&amp;VAR:INDEX=0"}</definedName>
    <definedName name="_389__FDSAUDITLINK__" hidden="1">{"fdsup://Directions/FactSet Auditing Viewer?action=AUDIT_VALUE&amp;DB=129&amp;ID1=59491810&amp;VALUEID=07011&amp;SDATE=2010&amp;PERIODTYPE=ANN_STD&amp;window=popup_no_bar&amp;width=385&amp;height=120&amp;START_MAXIMIZED=FALSE&amp;creator=factset&amp;display_string=Audit"}</definedName>
    <definedName name="_39__FDSAUDITLINK__" hidden="1">{"fdsup://directions/FAT Viewer?action=UPDATE&amp;creator=factset&amp;DYN_ARGS=TRUE&amp;DOC_NAME=FAT:FQL_AUDITING_CLIENT_TEMPLATE.FAT&amp;display_string=Audit&amp;VAR:KEY=NKZOJOZUDE&amp;VAR:QUERY=KChGRl9TQUxFUyhMVE0sMCwsLFJGLFVTRClARkZfU0FMRVMoTFRNU19TRU1JLDAsLCxSRixVU0QpKUBGRl9TQ","UxFUyhBTk4sMCwsLFJGLFVTRCkp&amp;WINDOW=FIRST_POPUP&amp;HEIGHT=450&amp;WIDTH=450&amp;START_MAXIMIZED=FALSE&amp;VAR:CALENDAR=US&amp;VAR:SYMBOL=6723&amp;VAR:INDEX=0"}</definedName>
    <definedName name="_390__FDSAUDITLINK__" hidden="1">{"fdsup://directions/FAT Viewer?action=UPDATE&amp;creator=factset&amp;DYN_ARGS=TRUE&amp;DOC_NAME=FAT:FQL_AUDITING_CLIENT_TEMPLATE.FAT&amp;display_string=Audit&amp;VAR:KEY=DGDANARSRO&amp;VAR:QUERY=KChGRl9TQUxFUyhMVE0sMCwsLFJGLFVTRClARkZfU0FMRVMoTFRNU19TRU1JLDAsLCxSRixVU0QpKUBGRl9TQ","UxFUyhBTk4sMCwsLFJGLFVTRCkp&amp;WINDOW=FIRST_POPUP&amp;HEIGHT=450&amp;WIDTH=450&amp;START_MAXIMIZED=FALSE&amp;VAR:CALENDAR=US&amp;VAR:SYMBOL=RPXC&amp;VAR:INDEX=0"}</definedName>
    <definedName name="_391__FDSAUDITLINK__" hidden="1">{"fdsup://directions/FAT Viewer?action=UPDATE&amp;creator=factset&amp;DYN_ARGS=TRUE&amp;DOC_NAME=FAT:FQL_AUDITING_CLIENT_TEMPLATE.FAT&amp;display_string=Audit&amp;VAR:KEY=ZAXUNEJQXQ&amp;VAR:QUERY=KChGRl9TQUxFUyhMVE0sMCwsLFJGLFVTRClARkZfU0FMRVMoTFRNU19TRU1JLDAsLCxSRixVU0QpKUBGRl9TQ","UxFUyhBTk4sMCwsLFJGLFVTRCkp&amp;WINDOW=FIRST_POPUP&amp;HEIGHT=450&amp;WIDTH=450&amp;START_MAXIMIZED=FALSE&amp;VAR:CALENDAR=US&amp;VAR:SYMBOL=ACTG&amp;VAR:INDEX=0"}</definedName>
    <definedName name="_392__FDSAUDITLINK__" hidden="1">{"fdsup://directions/FAT Viewer?action=UPDATE&amp;creator=factset&amp;DYN_ARGS=TRUE&amp;DOC_NAME=FAT:FQL_AUDITING_CLIENT_TEMPLATE.FAT&amp;display_string=Audit&amp;VAR:KEY=FERMLYZADA&amp;VAR:QUERY=KChGRl9FQklUKExUTSwwLCwsUkYsVVNEKUBGRl9FQklUKExUTVNfU0VNSSwwLCwsUkYsVVNEKSlARkZfRUJJV","ChBTk4sMCwsLFJGLFVTRCkp&amp;WINDOW=FIRST_POPUP&amp;HEIGHT=450&amp;WIDTH=450&amp;START_MAXIMIZED=FALSE&amp;VAR:CALENDAR=US&amp;VAR:SYMBOL=FSL&amp;VAR:INDEX=0"}</definedName>
    <definedName name="_393__FDSAUDITLINK__" hidden="1">{"fdsup://Directions/FactSet Auditing Viewer?action=AUDIT_VALUE&amp;DB=129&amp;ID1=38259P50&amp;VALUEID=07011&amp;SDATE=2009&amp;PERIODTYPE=ANN_STD&amp;window=popup_no_bar&amp;width=385&amp;height=120&amp;START_MAXIMIZED=FALSE&amp;creator=factset&amp;display_string=Audit"}</definedName>
    <definedName name="_394__FDSAUDITLINK__" hidden="1">{"fdsup://directions/FAT Viewer?action=UPDATE&amp;creator=factset&amp;DYN_ARGS=TRUE&amp;DOC_NAME=FAT:FQL_AUDITING_CLIENT_TEMPLATE.FAT&amp;display_string=Audit&amp;VAR:KEY=VOJMVUHSVQ&amp;VAR:QUERY=KChGRl9HUk9TU19JTkMoTFRNLDAsLCxSRixVU0QpQEZGX0dST1NTX0lOQyhMVE1TX1NFTUksMCwsLFJGLFVTR","CkpQEZGX1NBTEVTKEFOTiwwLCwsUkYsVVNEKSk=&amp;WINDOW=FIRST_POPUP&amp;HEIGHT=450&amp;WIDTH=450&amp;START_MAXIMIZED=FALSE&amp;VAR:CALENDAR=US&amp;VAR:SYMBOL=MOSY&amp;VAR:INDEX=0"}</definedName>
    <definedName name="_395__FDSAUDITLINK__" hidden="1">{"fdsup://directions/FAT Viewer?action=UPDATE&amp;creator=factset&amp;DYN_ARGS=TRUE&amp;DOC_NAME=FAT:FQL_AUDITING_CLIENT_TEMPLATE.FAT&amp;display_string=Audit&amp;VAR:KEY=UHMBONIDOV&amp;VAR:QUERY=KChGRl9TQUxFUyhMVE0sMCwsLFJGLFVTRClARkZfU0FMRVMoTFRNU19TRU1JLDAsLCxSRixVU0QpKUBGRl9TQ","UxFUyhBTk4sMCwsLFJGLFVTRCkp&amp;WINDOW=FIRST_POPUP&amp;HEIGHT=450&amp;WIDTH=450&amp;START_MAXIMIZED=FALSE&amp;VAR:CALENDAR=US&amp;VAR:SYMBOL=223093&amp;VAR:INDEX=0"}</definedName>
    <definedName name="_396__FDSAUDITLINK__" hidden="1">{"fdsup://Directions/FactSet Auditing Viewer?action=AUDIT_VALUE&amp;DB=129&amp;ID1=61971810&amp;VALUEID=01001&amp;SDATE=201101&amp;PERIODTYPE=QTR_STD&amp;SCFT=3&amp;window=popup_no_bar&amp;width=385&amp;height=120&amp;START_MAXIMIZED=FALSE&amp;creator=factset&amp;display_string=Audit"}</definedName>
    <definedName name="_397__FDSAUDITLINK__" hidden="1">{"fdsup://Directions/FactSet Auditing Viewer?action=AUDIT_VALUE&amp;DB=129&amp;ID1=03783310&amp;VALUEID=07011&amp;SDATE=2010&amp;PERIODTYPE=ANN_STD&amp;window=popup_no_bar&amp;width=385&amp;height=120&amp;START_MAXIMIZED=FALSE&amp;creator=factset&amp;display_string=Audit"}</definedName>
    <definedName name="_398__FDSAUDITLINK__" hidden="1">{"fdsup://Directions/FactSet Auditing Viewer?action=AUDIT_VALUE&amp;DB=129&amp;ID1=00388130&amp;VALUEID=02001&amp;SDATE=201201&amp;PERIODTYPE=QTR_STD&amp;SCFT=3&amp;window=popup_no_bar&amp;width=385&amp;height=120&amp;START_MAXIMIZED=FALSE&amp;creator=factset&amp;display_string=Audit"}</definedName>
    <definedName name="_399__FDSAUDITLINK__" hidden="1">{"fdsup://Directions/FactSet Auditing Viewer?action=AUDIT_VALUE&amp;DB=129&amp;ID1=25659T10&amp;VALUEID=P05202&amp;SDATE=2011&amp;PERIODTYPE=ANN_STD&amp;SCFT=3&amp;window=popup_no_bar&amp;width=385&amp;height=120&amp;START_MAXIMIZED=FALSE&amp;creator=factset&amp;display_string=Audit"}</definedName>
    <definedName name="_3solver_va" hidden="1">27</definedName>
    <definedName name="_4__123Graph_AChart_12" hidden="1">#REF!</definedName>
    <definedName name="_4__123Graph_AChart_4" hidden="1">#REF!</definedName>
    <definedName name="_4__123Graph_B_FABP_L.WK1_FAB" hidden="1">#REF!</definedName>
    <definedName name="_4__FDSAUDITLINK__" hidden="1">{"fdsup://directions/FAT Viewer?action=UPDATE&amp;creator=factset&amp;DYN_ARGS=TRUE&amp;DOC_NAME=FAT:FQL_AUDITING_CLIENT_TEMPLATE.FAT&amp;display_string=Audit&amp;VAR:KEY=LMLSRIDMDY&amp;VAR:QUERY=KChGRl9ORVRfSU5DKExUTSwwLCwsUkYsVVNEKUBGRl9ORVRfSU5DKExUTVNfU0VNSSwwLCwsUkYsVVNEKSlAR","kZfTkVUX0lOQyhBTk4sMCwsLFJGLFVTRCkp&amp;WINDOW=FIRST_POPUP&amp;HEIGHT=450&amp;WIDTH=450&amp;START_MAXIMIZED=FALSE&amp;VAR:CALENDAR=US&amp;VAR:SYMBOL=TSRA&amp;VAR:INDEX=0"}</definedName>
    <definedName name="_4__FDSAUDITLINK___1" hidden="1">{"fdsup://IBCentral/FAT Viewer?action=UPDATE&amp;creator=factset&amp;DOC_NAME=fat:reuters_annual_shs_src_window.fat&amp;display_string=Audit&amp;DYN_ARGS=TRUE&amp;VAR:ID1=64118Q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40__FDSAUDITLINK__" hidden="1">{"fdsup://Directions/FactSet Auditing Viewer?action=AUDIT_VALUE&amp;DB=129&amp;ID1=663567&amp;VALUEID=01001&amp;SDATE=201103&amp;PERIODTYPE=QTR_STD&amp;SCFT=3&amp;window=popup_no_bar&amp;width=385&amp;height=120&amp;START_MAXIMIZED=FALSE&amp;creator=factset&amp;display_string=Audit"}</definedName>
    <definedName name="_400__FDSAUDITLINK__" hidden="1">{"fdsup://directions/FAT Viewer?action=UPDATE&amp;creator=factset&amp;DYN_ARGS=TRUE&amp;DOC_NAME=FAT:FQL_AUDITING_CLIENT_TEMPLATE.FAT&amp;display_string=Audit&amp;VAR:KEY=JQRWJSLUX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ACTG&amp;VAR:INDEX=0"}</definedName>
    <definedName name="_401__FDSAUDITLINK__" hidden="1">{"fdsup://directions/FAT Viewer?action=UPDATE&amp;creator=factset&amp;DYN_ARGS=TRUE&amp;DOC_NAME=FAT:FQL_AUDITING_CLIENT_TEMPLATE.FAT&amp;display_string=Audit&amp;VAR:KEY=HOZSRYBUZ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FSL&amp;VAR:INDEX=0"}</definedName>
    <definedName name="_402__FDSAUDITLINK__" hidden="1">{"fdsup://directions/FAT Viewer?action=UPDATE&amp;creator=factset&amp;DYN_ARGS=TRUE&amp;DOC_NAME=FAT:FQL_AUDITING_CLIENT_TEMPLATE.FAT&amp;display_string=Audit&amp;VAR:KEY=JYZKRIDCFI&amp;VAR:QUERY=KChGRl9FQklUREEoTFRNLDAsLCxSRixVU0QpQEZGX0VCSVREQShMVE1TX1NFTUksMCwsLFJGLFVTRCkpQEZGX","0VCSVREQShBTk4sMCwsLFJGLFVTRCkp&amp;WINDOW=FIRST_POPUP&amp;HEIGHT=450&amp;WIDTH=450&amp;START_MAXIMIZED=FALSE&amp;VAR:CALENDAR=US&amp;VAR:SYMBOL=ACTG&amp;VAR:INDEX=0"}</definedName>
    <definedName name="_403__FDSAUDITLINK__" hidden="1">{"fdsup://directions/FAT Viewer?action=UPDATE&amp;creator=factset&amp;DYN_ARGS=TRUE&amp;DOC_NAME=FAT:FQL_AUDITING_CLIENT_TEMPLATE.FAT&amp;display_string=Audit&amp;VAR:KEY=BWZURWBIXW&amp;VAR:QUERY=KChGRl9FQklUREEoTFRNLDAsLCxSRixVU0QpQEZGX0VCSVREQShMVE1TX1NFTUksMCwsLFJGLFVTRCkpQEZGX","0VCSVREQShBTk4sMCwsLFJGLFVTRCkp&amp;WINDOW=FIRST_POPUP&amp;HEIGHT=450&amp;WIDTH=450&amp;START_MAXIMIZED=FALSE&amp;VAR:CALENDAR=US&amp;VAR:SYMBOL=DLB&amp;VAR:INDEX=0"}</definedName>
    <definedName name="_404__FDSAUDITLINK__" hidden="1">{"fdsup://directions/FAT Viewer?action=UPDATE&amp;creator=factset&amp;DYN_ARGS=TRUE&amp;DOC_NAME=FAT:FQL_AUDITING_CLIENT_TEMPLATE.FAT&amp;display_string=Audit&amp;VAR:KEY=HYXGTYFUNY&amp;VAR:QUERY=KChGRl9FUFMoTFRNLDAsLCxSRixVU0QpQEZGX0VQUyhMVE1TX1NFTUksMCwsLFJGLFVTRCkpQEZGX0VQUyhBT","k4sMCwsLFJGLFVTRCkp&amp;WINDOW=FIRST_POPUP&amp;HEIGHT=450&amp;WIDTH=450&amp;START_MAXIMIZED=FALSE&amp;VAR:CALENDAR=US&amp;VAR:SYMBOL=TSRA&amp;VAR:INDEX=0"}</definedName>
    <definedName name="_405__FDSAUDITLINK__" hidden="1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06__FDSAUDITLINK__" hidden="1">{"fdsup://directions/FAT Viewer?action=UPDATE&amp;creator=factset&amp;DYN_ARGS=TRUE&amp;DOC_NAME=FAT:FQL_AUDITING_CLIENT_TEMPLATE.FAT&amp;display_string=Audit&amp;VAR:KEY=BQRKRWJARK&amp;VAR:QUERY=KChGRl9ERUJUKFFUUiwwLCwsUkYsVVNEKUBGRl9ERUJUKFNFTUksMCwsLFJGLFVTRCkpQEZGX0RFQlQoQU5OL","DAsLCxSRixVU0QpKQ==&amp;WINDOW=FIRST_POPUP&amp;HEIGHT=450&amp;WIDTH=450&amp;START_MAXIMIZED=FALSE&amp;VAR:CALENDAR=US&amp;VAR:INDEX=0"}</definedName>
    <definedName name="_407__FDSAUDITLINK__" hidden="1">{"fdsup://Directions/FactSet Auditing Viewer?action=AUDIT_VALUE&amp;DB=129&amp;ID1=88164L10&amp;VALUEID=02001&amp;SDATE=201201&amp;PERIODTYPE=QTR_STD&amp;SCFT=3&amp;window=popup_no_bar&amp;width=385&amp;height=120&amp;START_MAXIMIZED=FALSE&amp;creator=factset&amp;display_string=Audit"}</definedName>
    <definedName name="_408__FDSAUDITLINK__" hidden="1">{"fdsup://Directions/FactSet Auditing Viewer?action=AUDIT_VALUE&amp;DB=129&amp;ID1=588950&amp;VALUEID=01001&amp;SDATE=201102&amp;PERIODTYPE=QTR_STD&amp;SCFT=3&amp;window=popup_no_bar&amp;width=385&amp;height=120&amp;START_MAXIMIZED=FALSE&amp;creator=factset&amp;display_string=Audit"}</definedName>
    <definedName name="_409__FDSAUDITLINK__" hidden="1">{"fdsup://directions/FAT Viewer?action=UPDATE&amp;creator=factset&amp;DYN_ARGS=TRUE&amp;DOC_NAME=FAT:FQL_AUDITING_CLIENT_TEMPLATE.FAT&amp;display_string=Audit&amp;VAR:KEY=UXENOBYXEP&amp;VAR:QUERY=KChGRl9FQklUKExUTSwwLCwsUkYsVVNEKUBGRl9FQklUKExUTVNfU0VNSSwwLCwsUkYsVVNEKSlARkZfRUJJV","ChBTk4sMCwsLFJGLFVTRCkp&amp;WINDOW=FIRST_POPUP&amp;HEIGHT=450&amp;WIDTH=450&amp;START_MAXIMIZED=FALSE&amp;VAR:CALENDAR=US&amp;VAR:SYMBOL=N6596X10&amp;VAR:INDEX=0"}</definedName>
    <definedName name="_41__FDSAUDITLINK__" hidden="1">{"fdsup://Directions/FactSet Auditing Viewer?action=AUDIT_VALUE&amp;DB=129&amp;ID1=663567&amp;VALUEID=01001&amp;SDATE=201004&amp;PERIODTYPE=QTR_STD&amp;SCFT=3&amp;window=popup_no_bar&amp;width=385&amp;height=120&amp;START_MAXIMIZED=FALSE&amp;creator=factset&amp;display_string=Audit"}</definedName>
    <definedName name="_410__FDSAUDITLINK__" hidden="1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11__FDSAUDITLINK__" hidden="1">{"fdsup://Directions/FactSet Auditing Viewer?action=AUDIT_VALUE&amp;DB=129&amp;ID1=88164L10&amp;VALUEID=P05301&amp;SDATE=201201&amp;PERIODTYPE=QTR_STD&amp;SCFT=3&amp;window=popup_no_bar&amp;width=385&amp;height=120&amp;START_MAXIMIZED=FALSE&amp;creator=factset&amp;display_string=Audit"}</definedName>
    <definedName name="_412__FDSAUDITLINK__" hidden="1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413__FDSAUDITLINK__" hidden="1">{"fdsup://directions/FAT Viewer?action=UPDATE&amp;creator=factset&amp;DYN_ARGS=TRUE&amp;DOC_NAME=FAT:FQL_AUDITING_CLIENT_TEMPLATE.FAT&amp;display_string=Audit&amp;VAR:KEY=LCDCTENSDE&amp;VAR:QUERY=KChGRl9FUFMoTFRNLDAsLCxSRixVU0QpQEZGX0VQUyhMVE1TX1NFTUksMCwsLFJGLFVTRCkpQEZGX0VQUyhBT","k4sMCwsLFJGLFVTRCkp&amp;WINDOW=FIRST_POPUP&amp;HEIGHT=450&amp;WIDTH=450&amp;START_MAXIMIZED=FALSE&amp;VAR:CALENDAR=US&amp;VAR:SYMBOL=KFRC&amp;VAR:INDEX=0"}</definedName>
    <definedName name="_414__FDSAUDITLINK__" hidden="1">{"fdsup://directions/FAT Viewer?action=UPDATE&amp;creator=factset&amp;DYN_ARGS=TRUE&amp;DOC_NAME=FAT:FQL_AUDITING_CLIENT_TEMPLATE.FAT&amp;display_string=Audit&amp;VAR:KEY=OHUVMREJCB&amp;VAR:QUERY=KEZGX0NPTV9TSFNfT1VUKFFUUiwwLCwsUkYsVVNEKUBQX0NPTV9TSFNfT1VUKDApKQ==&amp;WINDOW=FIRST_POP","UP&amp;HEIGHT=450&amp;WIDTH=450&amp;START_MAXIMIZED=FALSE&amp;VAR:CALENDAR=US&amp;VAR:INDEX=0"}</definedName>
    <definedName name="_415__FDSAUDITLINK__" hidden="1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416__FDSAUDITLINK__" hidden="1">{"fdsup://directions/FAT Viewer?action=UPDATE&amp;creator=factset&amp;DYN_ARGS=TRUE&amp;DOC_NAME=FAT:FQL_AUDITING_CLIENT_TEMPLATE.FAT&amp;display_string=Audit&amp;VAR:KEY=YHYFIJGVUB&amp;VAR:QUERY=KChGRl9HUk9TU19JTkMoTFRNLDAsLCxSRixVU0QpQEZGX0dST1NTX0lOQyhMVE1TX1NFTUksMCwsLFJGLFVTR","CkpQEZGX1NBTEVTKEFOTiwwLCwsUkYsVVNEKSk=&amp;WINDOW=FIRST_POPUP&amp;HEIGHT=450&amp;WIDTH=450&amp;START_MAXIMIZED=FALSE&amp;VAR:CALENDAR=US&amp;VAR:SYMBOL=MIPS&amp;VAR:INDEX=0"}</definedName>
    <definedName name="_417__FDSAUDITLINK__" hidden="1">{"fdsup://directions/FAT Viewer?action=UPDATE&amp;creator=factset&amp;DYN_ARGS=TRUE&amp;DOC_NAME=FAT:FQL_AUDITING_CLIENT_TEMPLATE.FAT&amp;display_string=Audit&amp;VAR:KEY=OVKZMLIDUJ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093031&amp;VAR:INDEX=0"}</definedName>
    <definedName name="_418__FDSAUDITLINK__" hidden="1">{"fdsup://directions/FAT Viewer?action=UPDATE&amp;creator=factset&amp;DYN_ARGS=TRUE&amp;DOC_NAME=FAT:FQL_AUDITING_CLIENT_TEMPLATE.FAT&amp;display_string=Audit&amp;VAR:KEY=WZSPYFWTCD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N6596X10&amp;VAR:INDEX=0"}</definedName>
    <definedName name="_419__FDSAUDITLINK__" hidden="1">{"fdsup://directions/FAT Viewer?action=UPDATE&amp;creator=factset&amp;DYN_ARGS=TRUE&amp;DOC_NAME=FAT:FQL_AUDITING_CLIENT_TEMPLATE.FAT&amp;display_string=Audit&amp;VAR:KEY=LYTWNGLMHC&amp;VAR:QUERY=KChGRl9ERUJUKFFUUiwwLCwsUkYsVVNEKUBGRl9ERUJUKFNFTUksMCwsLFJGLFVTRCkpQEZGX0RFQlQoQU5OL","DAsLCxSRixVU0QpKQ==&amp;WINDOW=FIRST_POPUP&amp;HEIGHT=450&amp;WIDTH=450&amp;START_MAXIMIZED=FALSE&amp;VAR:CALENDAR=US&amp;VAR:SYMBOL=223093&amp;VAR:INDEX=0"}</definedName>
    <definedName name="_42__FDSAUDITLINK__" hidden="1">{"fdsup://Directions/FactSet Auditing Viewer?action=AUDIT_VALUE&amp;DB=129&amp;ID1=663567&amp;VALUEID=07011&amp;SDATE=2010&amp;PERIODTYPE=ANN_STD&amp;SCFT=3&amp;window=popup_no_bar&amp;width=385&amp;height=120&amp;START_MAXIMIZED=FALSE&amp;creator=factset&amp;display_string=Audit"}</definedName>
    <definedName name="_420__FDSAUDITLINK__" hidden="1">{"fdsup://directions/FAT Viewer?action=UPDATE&amp;creator=factset&amp;DYN_ARGS=TRUE&amp;DOC_NAME=FAT:FQL_AUDITING_CLIENT_TEMPLATE.FAT&amp;display_string=Audit&amp;VAR:KEY=WLOVUDSXEX&amp;VAR:QUERY=KChGRl9FQklUREEoTFRNLDAsLCxSRixVU0QpQEZGX0VCSVREQShMVE1TX1NFTUksMCwsLFJGLFVTRCkpQEZGX","0VCSVREQShBTk4sMCwsLFJGLFVTRCkp&amp;WINDOW=FIRST_POPUP&amp;HEIGHT=450&amp;WIDTH=450&amp;START_MAXIMIZED=FALSE&amp;VAR:CALENDAR=US&amp;VAR:SYMBOL=588950&amp;VAR:INDEX=0"}</definedName>
    <definedName name="_421__FDSAUDITLINK__" hidden="1">{"fdsup://Directions/FactSet Auditing Viewer?action=AUDIT_VALUE&amp;DB=129&amp;ID1=68218910&amp;VALUEID=01001&amp;SDATE=201201&amp;PERIODTYPE=QTR_STD&amp;SCFT=3&amp;window=popup_no_bar&amp;width=385&amp;height=120&amp;START_MAXIMIZED=FALSE&amp;creator=factset&amp;display_string=Audit"}</definedName>
    <definedName name="_422__FDSAUDITLINK__" hidden="1">{"fdsup://directions/FAT Viewer?action=UPDATE&amp;creator=factset&amp;DYN_ARGS=TRUE&amp;DOC_NAME=FAT:FQL_AUDITING_CLIENT_TEMPLATE.FAT&amp;display_string=Audit&amp;VAR:KEY=TUVGDCJOBI&amp;VAR:QUERY=KChGRl9HUk9TU19JTkMoTFRNLDAsLCxSRixVU0QpQEZGX0dST1NTX0lOQyhMVE1TX1NFTUksMCwsLFJGLFVTR","CkpQEZGX1NBTEVTKEFOTiwwLCwsUkYsVVNEKSk=&amp;WINDOW=FIRST_POPUP&amp;HEIGHT=450&amp;WIDTH=450&amp;START_MAXIMIZED=FALSE&amp;VAR:CALENDAR=US&amp;VAR:SYMBOL=RMBS&amp;VAR:INDEX=0"}</definedName>
    <definedName name="_423__FDSAUDITLINK__" hidden="1">{"fdsup://directions/FAT Viewer?action=UPDATE&amp;creator=factset&amp;DYN_ARGS=TRUE&amp;DOC_NAME=FAT:FQL_AUDITING_CLIENT_TEMPLATE.FAT&amp;display_string=Audit&amp;VAR:KEY=OHUVMREJCB&amp;VAR:QUERY=KEZGX0NPTV9TSFNfT1VUKFFUUiwwLCwsUkYsVVNEKUBQX0NPTV9TSFNfT1VUKDApKQ==&amp;WINDOW=FIRST_POP","UP&amp;HEIGHT=450&amp;WIDTH=450&amp;START_MAXIMIZED=FALSE&amp;VAR:CALENDAR=US&amp;VAR:INDEX=0"}</definedName>
    <definedName name="_424__FDSAUDITLINK__" hidden="1">{"fdsup://Directions/FactSet Auditing Viewer?action=AUDIT_VALUE&amp;DB=129&amp;ID1=88164L10&amp;VALUEID=P05301&amp;SDATE=201201&amp;PERIODTYPE=QTR_STD&amp;SCFT=3&amp;window=popup_no_bar&amp;width=385&amp;height=120&amp;START_MAXIMIZED=FALSE&amp;creator=factset&amp;display_string=Audit"}</definedName>
    <definedName name="_425__FDSAUDITLINK__" hidden="1">{"fdsup://Directions/FactSet Auditing Viewer?action=AUDIT_VALUE&amp;DB=129&amp;ID1=588950&amp;VALUEID=P05202&amp;SDATE=2011&amp;PERIODTYPE=ANN_STD&amp;SCFT=3&amp;window=popup_no_bar&amp;width=385&amp;height=120&amp;START_MAXIMIZED=FALSE&amp;creator=factset&amp;display_string=Audit"}</definedName>
    <definedName name="_426__FDSAUDITLINK__" hidden="1">{"fdsup://Directions/FactSet Auditing Viewer?action=AUDIT_VALUE&amp;DB=129&amp;ID1=588950&amp;VALUEID=01251&amp;SDATE=2011&amp;PERIODTYPE=ANN_STD&amp;SCFT=3&amp;window=popup_no_bar&amp;width=385&amp;height=120&amp;START_MAXIMIZED=FALSE&amp;creator=factset&amp;display_string=Audit"}</definedName>
    <definedName name="_427__FDSAUDITLINK__" hidden="1">{"fdsup://Directions/FactSet Auditing Viewer?action=AUDIT_VALUE&amp;DB=129&amp;ID1=00388130&amp;VALUEID=07011&amp;SDATE=2011&amp;PERIODTYPE=ANN_STD&amp;SCFT=3&amp;window=popup_no_bar&amp;width=385&amp;height=120&amp;START_MAXIMIZED=FALSE&amp;creator=factset&amp;display_string=Audit"}</definedName>
    <definedName name="_428__FDSAUDITLINK__" hidden="1">{"fdsup://directions/FAT Viewer?action=UPDATE&amp;creator=factset&amp;DYN_ARGS=TRUE&amp;DOC_NAME=FAT:FQL_AUDITING_CLIENT_TEMPLATE.FAT&amp;display_string=Audit&amp;VAR:KEY=UPIBKTKJQL&amp;VAR:QUERY=KChGRl9FUFMoTFRNLDAsLCxSRixVU0QpQEZGX0VQUyhMVE1TX1NFTUksMCwsLFJGLFVTRCkpQEZGX0VQUyhBT","k4sMCwsLFJGLFVTRCkp&amp;WINDOW=FIRST_POPUP&amp;HEIGHT=450&amp;WIDTH=450&amp;START_MAXIMIZED=FALSE&amp;VAR:CALENDAR=US&amp;VAR:SYMBOL=N6596X10&amp;VAR:INDEX=0"}</definedName>
    <definedName name="_429__FDSAUDITLINK__" hidden="1">{"fdsup://directions/FAT Viewer?action=UPDATE&amp;creator=factset&amp;DYN_ARGS=TRUE&amp;DOC_NAME=FAT:FQL_AUDITING_CLIENT_TEMPLATE.FAT&amp;display_string=Audit&amp;VAR:KEY=RIRSLIFWLE&amp;VAR:QUERY=KChGRl9ORVRfSU5DKExUTSwwLCwsUkYsVVNEKUBGRl9ORVRfSU5DKExUTVNfU0VNSSwwLCwsUkYsVVNEKSlAR","kZfTkVUX0lOQyhBTk4sMCwsLFJGLFVTRCkp&amp;WINDOW=FIRST_POPUP&amp;HEIGHT=450&amp;WIDTH=450&amp;START_MAXIMIZED=FALSE&amp;VAR:CALENDAR=US&amp;VAR:SYMBOL=N6596X10&amp;VAR:INDEX=0"}</definedName>
    <definedName name="_43__FDSAUDITLINK__" hidden="1">{"fdsup://directions/FAT Viewer?action=UPDATE&amp;creator=factset&amp;DYN_ARGS=TRUE&amp;DOC_NAME=FAT:FQL_AUDITING_CLIENT_TEMPLATE.FAT&amp;display_string=Audit&amp;VAR:KEY=TKZMRQNAXW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6723&amp;VAR:INDEX=0"}</definedName>
    <definedName name="_430__FDSAUDITLINK__" hidden="1">{"fdsup://directions/FAT Viewer?action=UPDATE&amp;creator=factset&amp;DYN_ARGS=TRUE&amp;DOC_NAME=FAT:FQL_AUDITING_CLIENT_TEMPLATE.FAT&amp;display_string=Audit&amp;VAR:KEY=MRODWHQBQD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68218910&amp;VAR:INDEX=0"}</definedName>
    <definedName name="_431__FDSAUDITLINK__" hidden="1">{"fdsup://Directions/FactSet Auditing Viewer?action=AUDIT_VALUE&amp;DB=129&amp;ID1=B505PN&amp;VALUEID=01001&amp;SDATE=201201&amp;PERIODTYPE=QTR_STD&amp;SCFT=3&amp;window=popup_no_bar&amp;width=385&amp;height=120&amp;START_MAXIMIZED=FALSE&amp;creator=factset&amp;display_string=Audit"}</definedName>
    <definedName name="_432__FDSAUDITLINK__" hidden="1">{"fdsup://directions/FAT Viewer?action=UPDATE&amp;creator=factset&amp;DYN_ARGS=TRUE&amp;DOC_NAME=FAT:FQL_AUDITING_CLIENT_TEMPLATE.FAT&amp;display_string=Audit&amp;VAR:KEY=VKPWLABCZC&amp;VAR:QUERY=KChGRl9FUFMoTFRNLDAsLCxSRixVU0QpQEZGX0VQUyhMVE1TX1NFTUksMCwsLFJGLFVTRCkpQEZGX0VQUyhBT","k4sMCwsLFJGLFVTRCkp&amp;WINDOW=FIRST_POPUP&amp;HEIGHT=450&amp;WIDTH=450&amp;START_MAXIMIZED=FALSE&amp;VAR:CALENDAR=US&amp;VAR:SYMBOL=68218910&amp;VAR:INDEX=0"}</definedName>
    <definedName name="_433__FDSAUDITLINK__" hidden="1">{"fdsup://directions/FAT Viewer?action=UPDATE&amp;creator=factset&amp;DYN_ARGS=TRUE&amp;DOC_NAME=FAT:FQL_AUDITING_CLIENT_TEMPLATE.FAT&amp;display_string=Audit&amp;VAR:KEY=ANUPSXSLCD&amp;VAR:QUERY=KChGRl9ORVRfSU5DKExUTSwwLCwsUkYsVVNEKUBGRl9ORVRfSU5DKExUTVNfU0VNSSwwLCwsUkYsVVNEKSlAR","kZfTkVUX0lOQyhBTk4sMCwsLFJGLFVTRCkp&amp;WINDOW=FIRST_POPUP&amp;HEIGHT=450&amp;WIDTH=450&amp;START_MAXIMIZED=FALSE&amp;VAR:CALENDAR=US&amp;VAR:SYMBOL=68218910&amp;VAR:INDEX=0"}</definedName>
    <definedName name="_434__FDSAUDITLINK__" hidden="1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35__FDSAUDITLINK__" hidden="1">{"fdsup://Directions/FactSet Auditing Viewer?action=AUDIT_VALUE&amp;DB=129&amp;ID1=588950&amp;VALUEID=07011&amp;SDATE=2011&amp;PERIODTYPE=ANN_STD&amp;SCFT=3&amp;window=popup_no_bar&amp;width=385&amp;height=120&amp;START_MAXIMIZED=FALSE&amp;creator=factset&amp;display_string=Audit"}</definedName>
    <definedName name="_436__FDSAUDITLINK__" hidden="1">{"fdsup://directions/FAT Viewer?action=UPDATE&amp;creator=factset&amp;DYN_ARGS=TRUE&amp;DOC_NAME=FAT:FQL_AUDITING_CLIENT_TEMPLATE.FAT&amp;display_string=Audit&amp;VAR:KEY=LEPIRIVQXM&amp;VAR:QUERY=KChGRl9ERUJUKFFUUiwwLCwsUkYsVVNEKUBGRl9ERUJUKFNFTUksMCwsLFJGLFVTRCkpQEZGX0RFQlQoQU5OL","DAsLCxSRixVU0QpKQ==&amp;WINDOW=FIRST_POPUP&amp;HEIGHT=450&amp;WIDTH=450&amp;START_MAXIMIZED=FALSE&amp;VAR:CALENDAR=US&amp;VAR:SYMBOL=588950&amp;VAR:INDEX=0"}</definedName>
    <definedName name="_437__FDSAUDITLINK__" hidden="1">{"fdsup://Directions/FactSet Auditing Viewer?action=AUDIT_VALUE&amp;DB=129&amp;ID1=588950&amp;VALUEID=01001&amp;SDATE=2011&amp;PERIODTYPE=ANN_STD&amp;SCFT=3&amp;window=popup_no_bar&amp;width=385&amp;height=120&amp;START_MAXIMIZED=FALSE&amp;creator=factset&amp;display_string=Audit"}</definedName>
    <definedName name="_438__FDSAUDITLINK__" hidden="1">{"fdsup://Directions/FactSet Auditing Viewer?action=AUDIT_VALUE&amp;DB=129&amp;ID1=00174410&amp;VALUEID=07011&amp;SDATE=2010&amp;PERIODTYPE=ANN_STD&amp;SCFT=3&amp;window=popup_no_bar&amp;width=385&amp;height=120&amp;START_MAXIMIZED=FALSE&amp;creator=factset&amp;display_string=Audit"}</definedName>
    <definedName name="_439__FDSAUDITLINK__" hidden="1">{"fdsup://Directions/FactSet Auditing Viewer?action=AUDIT_VALUE&amp;DB=129&amp;ID1=60456710&amp;VALUEID=01001&amp;SDATE=201103&amp;PERIODTYPE=QTR_STD&amp;SCFT=3&amp;window=popup_no_bar&amp;width=385&amp;height=120&amp;START_MAXIMIZED=FALSE&amp;creator=factset&amp;display_string=Audit"}</definedName>
    <definedName name="_44__FDSAUDITLINK__" hidden="1">{"fdsup://directions/FAT Viewer?action=UPDATE&amp;creator=factset&amp;DYN_ARGS=TRUE&amp;DOC_NAME=FAT:FQL_AUDITING_CLIENT_TEMPLATE.FAT&amp;display_string=Audit&amp;VAR:KEY=VIFYBIRQDW&amp;VAR:QUERY=KChGRl9ERUJUKFFUUiwwLCwsUkYsVVNEKUBGRl9ERUJUKFNFTUksMCwsLFJGLFVTRCkpQEZGX0RFQlQoQU5OL","DAsLCxSRixVU0QpKQ==&amp;WINDOW=FIRST_POPUP&amp;HEIGHT=450&amp;WIDTH=450&amp;START_MAXIMIZED=FALSE&amp;VAR:CALENDAR=US&amp;VAR:SYMBOL=6723&amp;VAR:INDEX=0"}</definedName>
    <definedName name="_440__FDSAUDITLINK__" hidden="1">{"fdsup://directions/FAT Viewer?action=UPDATE&amp;creator=factset&amp;DYN_ARGS=TRUE&amp;DOC_NAME=FAT:FQL_AUDITING_CLIENT_TEMPLATE.FAT&amp;display_string=Audit&amp;VAR:KEY=YRUHATAFYD&amp;VAR:QUERY=KChGRl9FQklUREEoTFRNLDAsLCxSRixVU0QpQEZGX0VCSVREQShMVE1TX1NFTUksMCwsLFJGLFVTRCkpQEZGX","0VCSVREQShBTk4sMCwsLFJGLFVTRCkp&amp;WINDOW=FIRST_POPUP&amp;HEIGHT=450&amp;WIDTH=450&amp;START_MAXIMIZED=FALSE&amp;VAR:CALENDAR=US&amp;VAR:SYMBOL=CEVA&amp;VAR:INDEX=0"}</definedName>
    <definedName name="_441__FDSAUDITLINK__" hidden="1">{"fdsup://Directions/FactSet Auditing Viewer?action=AUDIT_VALUE&amp;DB=129&amp;ID1=15721010&amp;VALUEID=01001&amp;SDATE=201101&amp;PERIODTYPE=QTR_STD&amp;SCFT=3&amp;window=popup_no_bar&amp;width=385&amp;height=120&amp;START_MAXIMIZED=FALSE&amp;creator=factset&amp;display_string=Audit"}</definedName>
    <definedName name="_442__FDSAUDITLINK__" hidden="1">{"fdsup://directions/FAT Viewer?action=UPDATE&amp;creator=factset&amp;DYN_ARGS=TRUE&amp;DOC_NAME=FAT:FQL_AUDITING_CLIENT_TEMPLATE.FAT&amp;display_string=Audit&amp;VAR:KEY=FKZSJAFYNW&amp;VAR:QUERY=KChGRl9FQklUKExUTSwwLCwsUkYsVVNEKUBGRl9FQklUKExUTVNfU0VNSSwwLCwsUkYsVVNEKSlARkZfRUJJV","ChBTk4sMCwsLFJGLFVTRCkp&amp;WINDOW=FIRST_POPUP&amp;HEIGHT=450&amp;WIDTH=450&amp;START_MAXIMIZED=FALSE&amp;VAR:CALENDAR=US&amp;VAR:SYMBOL=093031&amp;VAR:INDEX=0"}</definedName>
    <definedName name="_443__FDSAUDITLINK__" hidden="1">{"fdsup://directions/FAT Viewer?action=UPDATE&amp;creator=factset&amp;DYN_ARGS=TRUE&amp;DOC_NAME=FAT:FQL_AUDITING_CLIENT_TEMPLATE.FAT&amp;display_string=Audit&amp;VAR:KEY=BAXYPITYDK&amp;VAR:QUERY=KChGRl9ORVRfSU5DKExUTSwwLCwsUkYsVVNEKUBGRl9ORVRfSU5DKExUTVNfU0VNSSwwLCwsUkYsVVNEKSlAR","kZfTkVUX0lOQyhBTk4sMCwsLFJGLFVTRCkp&amp;WINDOW=FIRST_POPUP&amp;HEIGHT=450&amp;WIDTH=450&amp;START_MAXIMIZED=FALSE&amp;VAR:CALENDAR=US&amp;VAR:SYMBOL=DLB&amp;VAR:INDEX=0"}</definedName>
    <definedName name="_444__FDSAUDITLINK__" hidden="1">{"fdsup://directions/FAT Viewer?action=UPDATE&amp;creator=factset&amp;DYN_ARGS=TRUE&amp;DOC_NAME=FAT:FQL_AUDITING_CLIENT_TEMPLATE.FAT&amp;display_string=Audit&amp;VAR:KEY=EVCDYDGNQB&amp;VAR:QUERY=RkZfRVBTKExUTSwxMi8zMS8yMDA3LCwsUkYsVVNEKQ==&amp;WINDOW=FIRST_POPUP&amp;HEIGHT=450&amp;WIDTH=450&amp;","START_MAXIMIZED=FALSE&amp;VAR:CALENDAR=US&amp;VAR:SYMBOL=MIPS&amp;VAR:INDEX=0"}</definedName>
    <definedName name="_445__FDSAUDITLINK__" hidden="1">{"fdsup://directions/FAT Viewer?action=UPDATE&amp;creator=factset&amp;DYN_ARGS=TRUE&amp;DOC_NAME=FAT:FQL_AUDITING_CLIENT_TEMPLATE.FAT&amp;display_string=Audit&amp;VAR:KEY=BALWTCPYZO&amp;VAR:QUERY=KChGRl9FQklUKExUTSwwLCwsUkYsVVNEKUBGRl9FQklUKExUTVNfU0VNSSwwLCwsUkYsVVNEKSlARkZfRUJJV","ChBTk4sMCwsLFJGLFVTRCkp&amp;WINDOW=FIRST_POPUP&amp;HEIGHT=450&amp;WIDTH=450&amp;START_MAXIMIZED=FALSE&amp;VAR:CALENDAR=US&amp;VAR:SYMBOL=DLB&amp;VAR:INDEX=0"}</definedName>
    <definedName name="_446__FDSAUDITLINK__" hidden="1">{"fdsup://directions/FAT Viewer?action=UPDATE&amp;creator=factset&amp;DYN_ARGS=TRUE&amp;DOC_NAME=FAT:FQL_AUDITING_CLIENT_TEMPLATE.FAT&amp;display_string=Audit&amp;VAR:KEY=POTOHAVQLG&amp;VAR:QUERY=KEZGX0VCSVREQShMVE0sMTIvMzEvMjAwNywsLFJGLFVTRClARkZfRUJJVERBX0lCKExUTSwxMi8zMS8yMDA3L","CwsUkYsVVNEKSk=&amp;WINDOW=FIRST_POPUP&amp;HEIGHT=450&amp;WIDTH=450&amp;START_MAXIMIZED=FALSE&amp;VAR:CALENDAR=US&amp;VAR:SYMBOL=ACTG&amp;VAR:INDEX=0"}</definedName>
    <definedName name="_447__FDSAUDITLINK__" hidden="1">{"fdsup://directions/FAT Viewer?action=UPDATE&amp;creator=factset&amp;DYN_ARGS=TRUE&amp;DOC_NAME=FAT:FQL_AUDITING_CLIENT_TEMPLATE.FAT&amp;display_string=Audit&amp;VAR:KEY=RINEDKRITI&amp;VAR:QUERY=KChGRl9ORVRfSU5DKExUTSwwLCwsUkYsVVNEKUBGRl9ORVRfSU5DKExUTVNfU0VNSSwwLCwsUkYsVVNEKSlAR","kZfTkVUX0lOQyhBTk4sMCwsLFJGLFVTRCkp&amp;WINDOW=FIRST_POPUP&amp;HEIGHT=450&amp;WIDTH=450&amp;START_MAXIMIZED=FALSE&amp;VAR:CALENDAR=US&amp;VAR:SYMBOL=ARMH&amp;VAR:INDEX=0"}</definedName>
    <definedName name="_448__FDSAUDITLINK__" hidden="1">{"fdsup://directions/FAT Viewer?action=UPDATE&amp;creator=factset&amp;DYN_ARGS=TRUE&amp;DOC_NAME=FAT:FQL_AUDITING_CLIENT_TEMPLATE.FAT&amp;display_string=Audit&amp;VAR:KEY=DCFUPSXSP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QCOM&amp;VAR:INDEX=0"}</definedName>
    <definedName name="_449__FDSAUDITLINK__" hidden="1">{"fdsup://directions/FAT Viewer?action=UPDATE&amp;creator=factset&amp;DYN_ARGS=TRUE&amp;DOC_NAME=FAT:FQL_AUDITING_CLIENT_TEMPLATE.FAT&amp;display_string=Audit&amp;VAR:KEY=ZMDWNIHGBG&amp;VAR:QUERY=KChGRl9ORVRfSU5DKExUTSwwLCwsUkYsVVNEKUBGRl9ORVRfSU5DKExUTVNfU0VNSSwwLCwsUkYsVVNEKSlAR","kZfTkVUX0lOQyhBTk4sMCwsLFJGLFVTRCkp&amp;WINDOW=FIRST_POPUP&amp;HEIGHT=450&amp;WIDTH=450&amp;START_MAXIMIZED=FALSE&amp;VAR:CALENDAR=US&amp;VAR:SYMBOL=QCOM&amp;VAR:INDEX=0"}</definedName>
    <definedName name="_45__FDSAUDITLINK__" hidden="1">{"fdsup://Directions/FactSet Auditing Viewer?action=AUDIT_VALUE&amp;DB=129&amp;ID1=663567&amp;VALUEID=02001&amp;SDATE=201103&amp;PERIODTYPE=QTR_STD&amp;SCFT=3&amp;window=popup_no_bar&amp;width=385&amp;height=120&amp;START_MAXIMIZED=FALSE&amp;creator=factset&amp;display_string=Audit"}</definedName>
    <definedName name="_450__FDSAUDITLINK__" hidden="1">{"fdsup://directions/FAT Viewer?action=UPDATE&amp;creator=factset&amp;DYN_ARGS=TRUE&amp;DOC_NAME=FAT:FQL_AUDITING_CLIENT_TEMPLATE.FAT&amp;display_string=Audit&amp;VAR:KEY=EZGXUXSXAB&amp;VAR:QUERY=KEZGX0VCSVREQShMVE0sMTIvMzEvMjAwNywsLFJGLFVTRClARkZfRUJJVERBX0lCKExUTSwxMi8zMS8yMDA3L","CwsUkYsVVNEKSk=&amp;WINDOW=FIRST_POPUP&amp;HEIGHT=450&amp;WIDTH=450&amp;START_MAXIMIZED=FALSE&amp;VAR:CALENDAR=US&amp;VAR:SYMBOL=MIPS&amp;VAR:INDEX=0"}</definedName>
    <definedName name="_451__FDSAUDITLINK__" hidden="1">{"fdsup://Directions/FactSet Auditing Viewer?action=AUDIT_VALUE&amp;DB=129&amp;ID1=74752510&amp;VALUEID=01001&amp;SDATE=201202&amp;PERIODTYPE=QTR_STD&amp;SCFT=3&amp;window=popup_no_bar&amp;width=385&amp;height=120&amp;START_MAXIMIZED=FALSE&amp;creator=factset&amp;display_string=Audit"}</definedName>
    <definedName name="_452__FDSAUDITLINK__" hidden="1">{"fdsup://directions/FAT Viewer?action=UPDATE&amp;creator=factset&amp;DYN_ARGS=TRUE&amp;DOC_NAME=FAT:FQL_AUDITING_CLIENT_TEMPLATE.FAT&amp;display_string=Audit&amp;VAR:KEY=TITIBMBGNG&amp;VAR:QUERY=KChGRl9FUFMoTFRNLDAsLCxSRixVU0QpQEZGX0VQUyhMVE1TX1NFTUksMCwsLFJGLFVTRCkpQEZGX0VQUyhBT","k4sMCwsLFJGLFVTRCkp&amp;WINDOW=FIRST_POPUP&amp;HEIGHT=450&amp;WIDTH=450&amp;START_MAXIMIZED=FALSE&amp;VAR:CALENDAR=US&amp;VAR:SYMBOL=MOSY&amp;VAR:INDEX=0"}</definedName>
    <definedName name="_453__FDSAUDITLINK__" hidden="1">{"fdsup://directions/FAT Viewer?action=UPDATE&amp;creator=factset&amp;DYN_ARGS=TRUE&amp;DOC_NAME=FAT:FQL_AUDITING_CLIENT_TEMPLATE.FAT&amp;display_string=Audit&amp;VAR:KEY=XKHCPWTINI&amp;VAR:QUERY=KChGRl9ORVRfSU5DKExUTSwwLCwsUkYsVVNEKUBGRl9ORVRfSU5DKExUTVNfU0VNSSwwLCwsUkYsVVNEKSlAR","kZfTkVUX0lOQyhBTk4sMCwsLFJGLFVTRCkp&amp;WINDOW=FIRST_POPUP&amp;HEIGHT=450&amp;WIDTH=450&amp;START_MAXIMIZED=FALSE&amp;VAR:CALENDAR=US&amp;VAR:SYMBOL=MOSY&amp;VAR:INDEX=0"}</definedName>
    <definedName name="_454__FDSAUDITLINK__" hidden="1">{"fdsup://Directions/FactSet Auditing Viewer?action=AUDIT_VALUE&amp;DB=129&amp;ID1=61971810&amp;VALUEID=01001&amp;SDATE=201201&amp;PERIODTYPE=QTR_STD&amp;SCFT=3&amp;window=popup_no_bar&amp;width=385&amp;height=120&amp;START_MAXIMIZED=FALSE&amp;creator=factset&amp;display_string=Audit"}</definedName>
    <definedName name="_455__FDSAUDITLINK__" hidden="1">{"fdsup://Directions/FactSet Auditing Viewer?action=AUDIT_VALUE&amp;DB=129&amp;ID1=260509&amp;VALUEID=P05202&amp;SDATE=2010&amp;PERIODTYPE=ANN_STD&amp;SCFT=3&amp;window=popup_no_bar&amp;width=385&amp;height=120&amp;START_MAXIMIZED=FALSE&amp;creator=factset&amp;display_string=Audit"}</definedName>
    <definedName name="_456__FDSAUDITLINK__" hidden="1">{"fdsup://directions/FAT Viewer?action=UPDATE&amp;creator=factset&amp;DYN_ARGS=TRUE&amp;DOC_NAME=FAT:FQL_AUDITING_CLIENT_TEMPLATE.FAT&amp;display_string=Audit&amp;VAR:KEY=VEVKPWLUFS&amp;VAR:QUERY=KChGRl9ORVRfSU5DKExUTSwwLCwsUkYsVVNEKUBGRl9ORVRfSU5DKExUTVNfU0VNSSwwLCwsUkYsVVNEKSlAR","kZfTkVUX0lOQyhBTk4sMCwsLFJGLFVTRCkp&amp;WINDOW=FIRST_POPUP&amp;HEIGHT=450&amp;WIDTH=450&amp;START_MAXIMIZED=FALSE&amp;VAR:CALENDAR=US&amp;VAR:SYMBOL=260509&amp;VAR:INDEX=0"}</definedName>
    <definedName name="_457__FDSAUDITLINK__" hidden="1">{"fdsup://Directions/FactSet Auditing Viewer?action=AUDIT_VALUE&amp;DB=129&amp;ID1=260509&amp;VALUEID=01001&amp;SDATE=201102&amp;PERIODTYPE=QTR_STD&amp;SCFT=3&amp;window=popup_no_bar&amp;width=385&amp;height=120&amp;START_MAXIMIZED=FALSE&amp;creator=factset&amp;display_string=Audit"}</definedName>
    <definedName name="_458__FDSAUDITLINK__" hidden="1">{"fdsup://directions/FAT Viewer?action=UPDATE&amp;creator=factset&amp;DYN_ARGS=TRUE&amp;DOC_NAME=FAT:FQL_AUDITING_CLIENT_TEMPLATE.FAT&amp;display_string=Audit&amp;VAR:KEY=FALIDSFYNO&amp;VAR:QUERY=KChGRl9FUFMoTFRNLDAsLCxSRixVU0QpQEZGX0VQUyhMVE1TX1NFTUksMCwsLFJGLFVTRCkpQEZGX0VQUyhBT","k4sMCwsLFJGLFVTRCkp&amp;WINDOW=FIRST_POPUP&amp;HEIGHT=450&amp;WIDTH=450&amp;START_MAXIMIZED=FALSE&amp;VAR:CALENDAR=US&amp;VAR:SYMBOL=223093&amp;VAR:INDEX=0"}</definedName>
    <definedName name="_459__FDSAUDITLINK__" hidden="1">{"fdsup://directions/FAT Viewer?action=UPDATE&amp;creator=factset&amp;DYN_ARGS=TRUE&amp;DOC_NAME=FAT:FQL_AUDITING_CLIENT_TEMPLATE.FAT&amp;display_string=Audit&amp;VAR:KEY=WXGBAPADKH&amp;VAR:QUERY=KChGRl9ORVRfSU5DKExUTSwwLCwsUkYsVVNEKUBGRl9ORVRfSU5DKExUTVNfU0VNSSwwLCwsUkYsVVNEKSlAR","kZfTkVUX0lOQyhBTk4sMCwsLFJGLFVTRCkp&amp;WINDOW=FIRST_POPUP&amp;HEIGHT=450&amp;WIDTH=450&amp;START_MAXIMIZED=FALSE&amp;VAR:CALENDAR=US&amp;VAR:SYMBOL=223093&amp;VAR:INDEX=0"}</definedName>
    <definedName name="_46__FDSAUDITLINK__" hidden="1">{"fdsup://directions/FAT Viewer?action=UPDATE&amp;creator=factset&amp;DYN_ARGS=TRUE&amp;DOC_NAME=FAT:FQL_AUDITING_CLIENT_TEMPLATE.FAT&amp;display_string=Audit&amp;VAR:KEY=YPKPMVUHWT&amp;VAR:QUERY=KChGRl9ORVRfSU5DKExUTSwwLCwsUkYsVVNEKUBGRl9ORVRfSU5DKExUTVNfU0VNSSwwLCwsUkYsVVNEKSlAR","kZfTkVUX0lOQyhBTk4sMCwsLFJGLFVTRCkp&amp;WINDOW=FIRST_POPUP&amp;HEIGHT=450&amp;WIDTH=450&amp;START_MAXIMIZED=FALSE&amp;VAR:CALENDAR=US&amp;VAR:SYMBOL=JEF&amp;VAR:INDEX=0"}</definedName>
    <definedName name="_460__FDSAUDITLINK__" hidden="1">{"fdsup://Directions/FactSet Auditing Viewer?action=AUDIT_VALUE&amp;DB=129&amp;ID1=223093&amp;VALUEID=01001&amp;SDATE=201201&amp;PERIODTYPE=QTR_STD&amp;SCFT=3&amp;window=popup_no_bar&amp;width=385&amp;height=120&amp;START_MAXIMIZED=FALSE&amp;creator=factset&amp;display_string=Audit"}</definedName>
    <definedName name="_461__FDSAUDITLINK__" hidden="1">{"fdsup://directions/FAT Viewer?action=UPDATE&amp;creator=factset&amp;DYN_ARGS=TRUE&amp;DOC_NAME=FAT:FQL_AUDITING_CLIENT_TEMPLATE.FAT&amp;display_string=Audit&amp;VAR:KEY=JQREVAPKFQ&amp;VAR:QUERY=KChGRl9FUFMoTFRNLDAsLCxSRixVU0QpQEZGX0VQUyhMVE1TX1NFTUksMCwsLFJGLFVTRCkpQEZGX0VQUyhBT","k4sMCwsLFJGLFVTRCkp&amp;WINDOW=FIRST_POPUP&amp;HEIGHT=450&amp;WIDTH=450&amp;START_MAXIMIZED=FALSE&amp;VAR:CALENDAR=US&amp;VAR:SYMBOL=ACTG&amp;VAR:INDEX=0"}</definedName>
    <definedName name="_462__FDSAUDITLINK__" hidden="1">{"fdsup://directions/FAT Viewer?action=UPDATE&amp;creator=factset&amp;DYN_ARGS=TRUE&amp;DOC_NAME=FAT:FQL_AUDITING_CLIENT_TEMPLATE.FAT&amp;display_string=Audit&amp;VAR:KEY=DORGRGZWXE&amp;VAR:QUERY=KChGRl9ORVRfSU5DKExUTSwwLCwsUkYsVVNEKUBGRl9ORVRfSU5DKExUTVNfU0VNSSwwLCwsUkYsVVNEKSlAR","kZfTkVUX0lOQyhBTk4sMCwsLFJGLFVTRCkp&amp;WINDOW=FIRST_POPUP&amp;HEIGHT=450&amp;WIDTH=450&amp;START_MAXIMIZED=FALSE&amp;VAR:CALENDAR=US&amp;VAR:SYMBOL=ACTG&amp;VAR:INDEX=0"}</definedName>
    <definedName name="_463__FDSAUDITLINK__" hidden="1">{"fdsup://Directions/FactSet Auditing Viewer?action=AUDIT_VALUE&amp;DB=129&amp;ID1=00388130&amp;VALUEID=01001&amp;SDATE=201201&amp;PERIODTYPE=QTR_STD&amp;SCFT=3&amp;window=popup_no_bar&amp;width=385&amp;height=120&amp;START_MAXIMIZED=FALSE&amp;creator=factset&amp;display_string=Audit"}</definedName>
    <definedName name="_464__FDSAUDITLINK__" hidden="1">{"fdsup://directions/FAT Viewer?action=UPDATE&amp;creator=factset&amp;DYN_ARGS=TRUE&amp;DOC_NAME=FAT:FQL_AUDITING_CLIENT_TEMPLATE.FAT&amp;display_string=Audit&amp;VAR:KEY=JCFIBIVGRC&amp;VAR:QUERY=KChGRl9FUFMoTFRNLDAsLCxSRixVU0QpQEZGX0VQUyhMVE1TX1NFTUksMCwsLFJGLFVTRCkpQEZGX0VQUyhBT","k4sMCwsLFJGLFVTRCkp&amp;WINDOW=FIRST_POPUP&amp;HEIGHT=450&amp;WIDTH=450&amp;START_MAXIMIZED=FALSE&amp;VAR:CALENDAR=US&amp;VAR:SYMBOL=FSL&amp;VAR:INDEX=0"}</definedName>
    <definedName name="_465__FDSAUDITLINK__" hidden="1">{"fdsup://directions/FAT Viewer?action=UPDATE&amp;creator=factset&amp;DYN_ARGS=TRUE&amp;DOC_NAME=FAT:FQL_AUDITING_CLIENT_TEMPLATE.FAT&amp;display_string=Audit&amp;VAR:KEY=VCXGFULOLS&amp;VAR:QUERY=KChGRl9ORVRfSU5DKExUTSwwLCwsUkYsVVNEKUBGRl9ORVRfSU5DKExUTVNfU0VNSSwwLCwsUkYsVVNEKSlAR","kZfTkVUX0lOQyhBTk4sMCwsLFJGLFVTRCkp&amp;WINDOW=FIRST_POPUP&amp;HEIGHT=450&amp;WIDTH=450&amp;START_MAXIMIZED=FALSE&amp;VAR:CALENDAR=US&amp;VAR:SYMBOL=FSL&amp;VAR:INDEX=0"}</definedName>
    <definedName name="_466__FDSAUDITLINK__" hidden="1">{"fdsup://Directions/FactSet Auditing Viewer?action=AUDIT_VALUE&amp;DB=129&amp;ID1=G3727Q10&amp;VALUEID=01001&amp;SDATE=201201&amp;PERIODTYPE=QTR_STD&amp;SCFT=3&amp;window=popup_no_bar&amp;width=385&amp;height=120&amp;START_MAXIMIZED=FALSE&amp;creator=factset&amp;display_string=Audit"}</definedName>
    <definedName name="_467__FDSAUDITLINK__" hidden="1">{"fdsup://directions/FAT Viewer?action=UPDATE&amp;creator=factset&amp;DYN_ARGS=TRUE&amp;DOC_NAME=FAT:FQL_AUDITING_CLIENT_TEMPLATE.FAT&amp;display_string=Audit&amp;VAR:KEY=TAHITQVWJE&amp;VAR:QUERY=KChGRl9FUFMoTFRNLDAsLCxSRixVU0QpQEZGX0VQUyhMVE1TX1NFTUksMCwsLFJGLFVTRCkpQEZGX0VQUyhBT","k4sMCwsLFJGLFVTRCkp&amp;WINDOW=FIRST_POPUP&amp;HEIGHT=450&amp;WIDTH=450&amp;START_MAXIMIZED=FALSE&amp;VAR:CALENDAR=US&amp;VAR:SYMBOL=RMBS&amp;VAR:INDEX=0"}</definedName>
    <definedName name="_468__FDSAUDITLINK__" hidden="1">{"fdsup://directions/FAT Viewer?action=UPDATE&amp;creator=factset&amp;DYN_ARGS=TRUE&amp;DOC_NAME=FAT:FQL_AUDITING_CLIENT_TEMPLATE.FAT&amp;display_string=Audit&amp;VAR:KEY=TEZANCPYZU&amp;VAR:QUERY=KChGRl9ORVRfSU5DKExUTSwwLCwsUkYsVVNEKUBGRl9ORVRfSU5DKExUTVNfU0VNSSwwLCwsUkYsVVNEKSlAR","kZfTkVUX0lOQyhBTk4sMCwsLFJGLFVTRCkp&amp;WINDOW=FIRST_POPUP&amp;HEIGHT=450&amp;WIDTH=450&amp;START_MAXIMIZED=FALSE&amp;VAR:CALENDAR=US&amp;VAR:SYMBOL=RMBS&amp;VAR:INDEX=0"}</definedName>
    <definedName name="_469__FDSAUDITLINK__" hidden="1">{"fdsup://Directions/FactSet Auditing Viewer?action=AUDIT_VALUE&amp;DB=129&amp;ID1=75091710&amp;VALUEID=01001&amp;SDATE=201201&amp;PERIODTYPE=QTR_STD&amp;SCFT=3&amp;window=popup_no_bar&amp;width=385&amp;height=120&amp;START_MAXIMIZED=FALSE&amp;creator=factset&amp;display_string=Audit"}</definedName>
    <definedName name="_47__FDSAUDITLINK__" hidden="1">{"fdsup://directions/FAT Viewer?action=UPDATE&amp;creator=factset&amp;DYN_ARGS=TRUE&amp;DOC_NAME=FAT:FQL_AUDITING_CLIENT_TEMPLATE.FAT&amp;display_string=Audit&amp;VAR:KEY=KXGVYZEBKR&amp;VAR:QUERY=KChGRl9FQklUKExUTSwwLCwsUkYsVVNEKUBGRl9FQklUKExUTVNfU0VNSSwwLCwsUkYsVVNEKSlARkZfRUJJV","ChBTk4sMCwsLFJGLFVTRCkp&amp;WINDOW=FIRST_POPUP&amp;HEIGHT=450&amp;WIDTH=450&amp;START_MAXIMIZED=FALSE&amp;VAR:CALENDAR=US&amp;VAR:SYMBOL=JEF&amp;VAR:INDEX=0"}</definedName>
    <definedName name="_470__FDSAUDITLINK__" hidden="1">{"fdsup://Directions/FactSet Auditing Viewer?action=AUDIT_VALUE&amp;DB=129&amp;ID1=B0ZC74&amp;VALUEID=07011&amp;SDATE=2010&amp;PERIODTYPE=ANN_STD&amp;SCFT=3&amp;window=popup_no_bar&amp;width=385&amp;height=120&amp;START_MAXIMIZED=FALSE&amp;creator=factset&amp;display_string=Audit"}</definedName>
    <definedName name="_471__FDSAUDITLINK__" hidden="1">{"fdsup://Directions/FactSet Auditing Viewer?action=AUDIT_VALUE&amp;DB=129&amp;ID1=B44JTH&amp;VALUEID=02001&amp;SDATE=201002&amp;PERIODTYPE=SEMI_STD&amp;SCFT=3&amp;window=popup_no_bar&amp;width=385&amp;height=120&amp;START_MAXIMIZED=FALSE&amp;creator=factset&amp;display_string=Audit"}</definedName>
    <definedName name="_472__FDSAUDITLINK__" hidden="1">{"fdsup://Directions/FactSet Auditing Viewer?action=AUDIT_VALUE&amp;DB=129&amp;ID1=B53TNH&amp;VALUEID=07011&amp;SDATE=2010&amp;PERIODTYPE=ANN_STD&amp;SCFT=3&amp;window=popup_no_bar&amp;width=385&amp;height=120&amp;START_MAXIMIZED=FALSE&amp;creator=factset&amp;display_string=Audit"}</definedName>
    <definedName name="_473__FDSAUDITLINK__" hidden="1">{"fdsup://Directions/FactSet Auditing Viewer?action=AUDIT_VALUE&amp;DB=129&amp;ID1=B53TNH&amp;VALUEID=02001&amp;SDATE=201101&amp;PERIODTYPE=SEMI_STD&amp;SCFT=3&amp;window=popup_no_bar&amp;width=385&amp;height=120&amp;START_MAXIMIZED=FALSE&amp;creator=factset&amp;display_string=Audit"}</definedName>
    <definedName name="_474__FDSAUDITLINK__" hidden="1">{"fdsup://Directions/FactSet Auditing Viewer?action=AUDIT_VALUE&amp;DB=129&amp;ID1=B0ZSH6&amp;VALUEID=07011&amp;SDATE=2010&amp;PERIODTYPE=ANN_STD&amp;SCFT=3&amp;window=popup_no_bar&amp;width=385&amp;height=120&amp;START_MAXIMIZED=FALSE&amp;creator=factset&amp;display_string=Audit"}</definedName>
    <definedName name="_475__FDSAUDITLINK__" hidden="1">{"fdsup://directions/FAT Viewer?action=UPDATE&amp;creator=factset&amp;DYN_ARGS=TRUE&amp;DOC_NAME=FAT:FQL_AUDITING_CLIENT_TEMPLATE.FAT&amp;display_string=Audit&amp;VAR:KEY=HMFMFIPUXY&amp;VAR:QUERY=KChGRl9ERUJUKFFUUiwwLCwsUkYsVVNEKUBGRl9ERUJUKFNFTUksMCwsLFJGLFVTRCkpQEZGX0RFQlQoQU5OL","DAsLCxSRixVU0QpKQ==&amp;WINDOW=FIRST_POPUP&amp;HEIGHT=450&amp;WIDTH=450&amp;START_MAXIMIZED=FALSE&amp;VAR:CALENDAR=US&amp;VAR:SYMBOL=B0ZSH6&amp;VAR:INDEX=0"}</definedName>
    <definedName name="_476__FDSAUDITLINK__" hidden="1">{"fdsup://Directions/FactSet Auditing Viewer?action=AUDIT_VALUE&amp;DB=129&amp;ID1=B0ZSH6&amp;VALUEID=02001&amp;SDATE=201101&amp;PERIODTYPE=SEMI_STD&amp;SCFT=3&amp;window=popup_no_bar&amp;width=385&amp;height=120&amp;START_MAXIMIZED=FALSE&amp;creator=factset&amp;display_string=Audit"}</definedName>
    <definedName name="_477__FDSAUDITLINK__" hidden="1">{"fdsup://Directions/FactSet Auditing Viewer?action=AUDIT_VALUE&amp;DB=129&amp;ID1=482897&amp;VALUEID=02001&amp;SDATE=201101&amp;PERIODTYPE=SEMI_STD&amp;SCFT=3&amp;window=popup_no_bar&amp;width=385&amp;height=120&amp;START_MAXIMIZED=FALSE&amp;creator=factset&amp;display_string=Audit"}</definedName>
    <definedName name="_478__FDSAUDITLINK__" hidden="1">{"fdsup://Directions/FactSet Auditing Viewer?action=AUDIT_VALUE&amp;DB=129&amp;ID1=B0V3WR&amp;VALUEID=07011&amp;SDATE=2010&amp;PERIODTYPE=ANN_STD&amp;SCFT=3&amp;window=popup_no_bar&amp;width=385&amp;height=120&amp;START_MAXIMIZED=FALSE&amp;creator=factset&amp;display_string=Audit"}</definedName>
    <definedName name="_479__FDSAUDITLINK__" hidden="1">{"fdsup://Directions/FactSet Auditing Viewer?action=AUDIT_VALUE&amp;DB=129&amp;ID1=B0V3WR&amp;VALUEID=02001&amp;SDATE=201102&amp;PERIODTYPE=QTR_STD&amp;SCFT=3&amp;window=popup_no_bar&amp;width=385&amp;height=120&amp;START_MAXIMIZED=FALSE&amp;creator=factset&amp;display_string=Audit"}</definedName>
    <definedName name="_48__FDSAUDITLINK__" hidden="1">{"fdsup://directions/FAT Viewer?action=UPDATE&amp;creator=factset&amp;DYN_ARGS=TRUE&amp;DOC_NAME=FAT:FQL_AUDITING_CLIENT_TEMPLATE.FAT&amp;display_string=Audit&amp;VAR:KEY=CVYBULMFAL&amp;VAR:QUERY=KChGRl9FQklUREEoTFRNLDAsLCxSRixVU0QpQEZGX0VCSVREQShMVE1TX1NFTUksMCwsLFJGLFVTRCkpQEZGX","0VCSVREQShBTk4sMCwsLFJGLFVTRCkp&amp;WINDOW=FIRST_POPUP&amp;HEIGHT=450&amp;WIDTH=450&amp;START_MAXIMIZED=FALSE&amp;VAR:CALENDAR=US&amp;VAR:SYMBOL=JEF&amp;VAR:INDEX=0"}</definedName>
    <definedName name="_480__FDSAUDITLINK__" hidden="1">{"fdsup://directions/FAT Viewer?action=UPDATE&amp;creator=factset&amp;DYN_ARGS=TRUE&amp;DOC_NAME=FAT:FQL_AUDITING_CLIENT_TEMPLATE.FAT&amp;display_string=Audit&amp;VAR:KEY=TKDSZEBQDI&amp;VAR:QUERY=KChGRl9ORVRfSU5DKExUTSwwLCwsUkYsVVNEKUBGRl9ORVRfSU5DKExUTVNfU0VNSSwwLCwsUkYsVVNEKSlAR","kZfTkVUX0lOQyhBTk4sMCwsLFJGLFVTRCkp&amp;WINDOW=FIRST_POPUP&amp;HEIGHT=450&amp;WIDTH=450&amp;START_MAXIMIZED=FALSE&amp;VAR:CALENDAR=US&amp;VAR:SYMBOL=PNK&amp;VAR:INDEX=0"}</definedName>
    <definedName name="_481__FDSAUDITLINK__" hidden="1">{"fdsup://directions/FAT Viewer?action=UPDATE&amp;creator=factset&amp;DYN_ARGS=TRUE&amp;DOC_NAME=FAT:FQL_AUDITING_CLIENT_TEMPLATE.FAT&amp;display_string=Audit&amp;VAR:KEY=BWPIHIDIXS&amp;VAR:QUERY=KChGRl9FQklUKExUTSwwLCwsUkYsVVNEKUBGRl9FQklUKExUTVNfU0VNSSwwLCwsUkYsVVNEKSlARkZfRUJJV","ChBTk4sMCwsLFJGLFVTRCkp&amp;WINDOW=FIRST_POPUP&amp;HEIGHT=450&amp;WIDTH=450&amp;START_MAXIMIZED=FALSE&amp;VAR:CALENDAR=US&amp;VAR:SYMBOL=PNK&amp;VAR:INDEX=0"}</definedName>
    <definedName name="_482__FDSAUDITLINK__" hidden="1">{"fdsup://directions/FAT Viewer?action=UPDATE&amp;creator=factset&amp;DYN_ARGS=TRUE&amp;DOC_NAME=FAT:FQL_AUDITING_CLIENT_TEMPLATE.FAT&amp;display_string=Audit&amp;VAR:KEY=DIBKXOPIJ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BYD&amp;VAR:INDEX=0"}</definedName>
    <definedName name="_483__FDSAUDITLINK__" hidden="1">{"fdsup://directions/FAT Viewer?action=UPDATE&amp;creator=factset&amp;DYN_ARGS=TRUE&amp;DOC_NAME=FAT:FQL_AUDITING_CLIENT_TEMPLATE.FAT&amp;display_string=Audit&amp;VAR:KEY=JIRWXUFYDQ&amp;VAR:QUERY=KChGRl9ERUJUKFFUUiwwLCwsUkYsVVNEKUBGRl9ERUJUKFNFTUksMCwsLFJGLFVTRCkpQEZGX0RFQlQoQU5OL","DAsLCxSRixVU0QpKQ==&amp;WINDOW=FIRST_POPUP&amp;HEIGHT=450&amp;WIDTH=450&amp;START_MAXIMIZED=FALSE&amp;VAR:CALENDAR=US&amp;VAR:SYMBOL=BYD&amp;VAR:INDEX=0"}</definedName>
    <definedName name="_484__FDSAUDITLINK__" hidden="1">{"fdsup://directions/FAT Viewer?action=UPDATE&amp;creator=factset&amp;DYN_ARGS=TRUE&amp;DOC_NAME=FAT:FQL_AUDITING_CLIENT_TEMPLATE.FAT&amp;display_string=Audit&amp;VAR:KEY=XOBYNUTMRO&amp;VAR:QUERY=KChGRl9FQklUREEoTFRNLDAsLCxSRixVU0QpQEZGX0VCSVREQShMVE1TX1NFTUksMCwsLFJGLFVTRCkpQEZGX","0VCSVREQShBTk4sMCwsLFJGLFVTRCkp&amp;WINDOW=FIRST_POPUP&amp;HEIGHT=450&amp;WIDTH=450&amp;START_MAXIMIZED=FALSE&amp;VAR:CALENDAR=US&amp;VAR:SYMBOL=579928&amp;VAR:INDEX=0"}</definedName>
    <definedName name="_485__FDSAUDITLINK__" hidden="1">{"fdsup://directions/FAT Viewer?action=UPDATE&amp;creator=factset&amp;DYN_ARGS=TRUE&amp;DOC_NAME=FAT:FQL_AUDITING_CLIENT_TEMPLATE.FAT&amp;display_string=Audit&amp;VAR:KEY=JSTWVEFYNS&amp;VAR:QUERY=KChGRl9HUk9TU19JTkMoTFRNLDAsLCxSRixVU0QpQEZGX0dST1NTX0lOQyhMVE1TX1NFTUksMCwsLFJGLFVTR","CkpQEZGX1NBTEVTKEFOTiwwLCwsUkYsVVNEKSk=&amp;WINDOW=FIRST_POPUP&amp;HEIGHT=450&amp;WIDTH=450&amp;START_MAXIMIZED=FALSE&amp;VAR:CALENDAR=US&amp;VAR:SYMBOL=579928&amp;VAR:INDEX=0"}</definedName>
    <definedName name="_486__FDSAUDITLINK__" hidden="1">{"fdsup://directions/FAT Viewer?action=UPDATE&amp;creator=factset&amp;DYN_ARGS=TRUE&amp;DOC_NAME=FAT:FQL_AUDITING_CLIENT_TEMPLATE.FAT&amp;display_string=Audit&amp;VAR:KEY=HOHEXWLIJU&amp;VAR:QUERY=KChGRl9TQUxFUyhMVE0sMCwsLFJGLFVTRClARkZfU0FMRVMoTFRNU19TRU1JLDAsLCxSRixVU0QpKUBGRl9TQ","UxFUyhBTk4sMCwsLFJGLFVTRCkp&amp;WINDOW=FIRST_POPUP&amp;HEIGHT=450&amp;WIDTH=450&amp;START_MAXIMIZED=FALSE&amp;VAR:CALENDAR=US&amp;VAR:SYMBOL=579928&amp;VAR:INDEX=0"}</definedName>
    <definedName name="_487__FDSAUDITLINK__" hidden="1">{"fdsup://Directions/FactSet Auditing Viewer?action=AUDIT_VALUE&amp;DB=129&amp;ID1=579928&amp;VALUEID=01001&amp;SDATE=201102&amp;PERIODTYPE=QTR_STD&amp;SCFT=3&amp;window=popup_no_bar&amp;width=385&amp;height=120&amp;START_MAXIMIZED=FALSE&amp;creator=factset&amp;display_string=Audit"}</definedName>
    <definedName name="_488__FDSAUDITLINK__" hidden="1">{"fdsup://directions/FAT Viewer?action=UPDATE&amp;creator=factset&amp;DYN_ARGS=TRUE&amp;DOC_NAME=FAT:FQL_AUDITING_CLIENT_TEMPLATE.FAT&amp;display_string=Audit&amp;VAR:KEY=RSDEBAXYTQ&amp;VAR:QUERY=KChGRl9FQklUKExUTSwwLCwsUkYsVVNEKUBGRl9FQklUKExUTVNfU0VNSSwwLCwsUkYsVVNEKSlARkZfRUJJV","ChBTk4sMCwsLFJGLFVTRCkp&amp;WINDOW=FIRST_POPUP&amp;HEIGHT=450&amp;WIDTH=450&amp;START_MAXIMIZED=FALSE&amp;VAR:CALENDAR=US&amp;VAR:SYMBOL=B28ZPV&amp;VAR:INDEX=0"}</definedName>
    <definedName name="_489__FDSAUDITLINK__" hidden="1">{"fdsup://directions/FAT Viewer?action=UPDATE&amp;creator=factset&amp;DYN_ARGS=TRUE&amp;DOC_NAME=FAT:FQL_AUDITING_CLIENT_TEMPLATE.FAT&amp;display_string=Audit&amp;VAR:KEY=PCZOJUNYLM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482897&amp;VAR:INDEX=0"}</definedName>
    <definedName name="_49__FDSAUDITLINK__" hidden="1">{"fdsup://Directions/FactSet Auditing Viewer?action=AUDIT_VALUE&amp;DB=129&amp;ID1=60456710&amp;VALUEID=01001&amp;SDATE=201203&amp;PERIODTYPE=QTR_STD&amp;SCFT=3&amp;window=popup_no_bar&amp;width=385&amp;height=120&amp;START_MAXIMIZED=FALSE&amp;creator=factset&amp;display_string=Audit"}</definedName>
    <definedName name="_490__FDSAUDITLINK__" hidden="1">{"fdsup://directions/FAT Viewer?action=UPDATE&amp;creator=factset&amp;DYN_ARGS=TRUE&amp;DOC_NAME=FAT:FQL_AUDITING_CLIENT_TEMPLATE.FAT&amp;display_string=Audit&amp;VAR:KEY=LSZOPYHGHA&amp;VAR:QUERY=KChGRl9FUFMoTFRNLDAsLCxSRixVU0QpQEZGX0VQUyhMVE1TX1NFTUksMCwsLFJGLFVTRCkpQEZGX0VQUyhBT","k4sMCwsLFJGLFVTRCkp&amp;WINDOW=FIRST_POPUP&amp;HEIGHT=450&amp;WIDTH=450&amp;START_MAXIMIZED=FALSE&amp;VAR:CALENDAR=US&amp;VAR:SYMBOL=482897&amp;VAR:INDEX=0"}</definedName>
    <definedName name="_491__FDSAUDITLINK__" hidden="1">{"fdsup://directions/FAT Viewer?action=UPDATE&amp;creator=factset&amp;DYN_ARGS=TRUE&amp;DOC_NAME=FAT:FQL_AUDITING_CLIENT_TEMPLATE.FAT&amp;display_string=Audit&amp;VAR:KEY=FOVKDSPWLY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750892&amp;VAR:INDEX=0"}</definedName>
    <definedName name="_492__FDSAUDITLINK__" hidden="1">{"fdsup://directions/FAT Viewer?action=UPDATE&amp;creator=factset&amp;DYN_ARGS=TRUE&amp;DOC_NAME=FAT:FQL_AUDITING_CLIENT_TEMPLATE.FAT&amp;display_string=Audit&amp;VAR:KEY=HKFURIBMNW&amp;VAR:QUERY=KChGRl9FUFMoTFRNLDAsLCxSRixVU0QpQEZGX0VQUyhMVE1TX1NFTUksMCwsLFJGLFVTRCkpQEZGX0VQUyhBT","k4sMCwsLFJGLFVTRCkp&amp;WINDOW=FIRST_POPUP&amp;HEIGHT=450&amp;WIDTH=450&amp;START_MAXIMIZED=FALSE&amp;VAR:CALENDAR=US&amp;VAR:SYMBOL=750892&amp;VAR:INDEX=0"}</definedName>
    <definedName name="_493__FDSAUDITLINK__" hidden="1">{"fdsup://directions/FAT Viewer?action=UPDATE&amp;creator=factset&amp;DYN_ARGS=TRUE&amp;DOC_NAME=FAT:FQL_AUDITING_CLIENT_TEMPLATE.FAT&amp;display_string=Audit&amp;VAR:KEY=TQXCTCVMZQ&amp;VAR:QUERY=KChGRl9HUk9TU19JTkMoTFRNLDAsLCxSRixVU0QpQEZGX0dST1NTX0lOQyhMVE1TX1NFTUksMCwsLFJGLFVTR","CkpQEZGX1NBTEVTKEFOTiwwLCwsUkYsVVNEKSk=&amp;WINDOW=FIRST_POPUP&amp;HEIGHT=450&amp;WIDTH=450&amp;START_MAXIMIZED=FALSE&amp;VAR:CALENDAR=US&amp;VAR:SYMBOL=750892&amp;VAR:INDEX=0"}</definedName>
    <definedName name="_494__FDSAUDITLINK__" hidden="1">{"fdsup://directions/FAT Viewer?action=UPDATE&amp;creator=factset&amp;DYN_ARGS=TRUE&amp;DOC_NAME=FAT:FQL_AUDITING_CLIENT_TEMPLATE.FAT&amp;display_string=Audit&amp;VAR:KEY=NOXWPKLEPK&amp;VAR:QUERY=KChGRl9TQUxFUyhMVE0sMCwsLFJGLFVTRClARkZfU0FMRVMoTFRNU19TRU1JLDAsLCxSRixVU0QpKUBGRl9TQ","UxFUyhBTk4sMCwsLFJGLFVTRCkp&amp;WINDOW=FIRST_POPUP&amp;HEIGHT=450&amp;WIDTH=450&amp;START_MAXIMIZED=FALSE&amp;VAR:CALENDAR=US&amp;VAR:SYMBOL=750892&amp;VAR:INDEX=0"}</definedName>
    <definedName name="_495__FDSAUDITLINK__" hidden="1">{"fdsup://Directions/FactSet Auditing Viewer?action=AUDIT_VALUE&amp;DB=129&amp;ID1=750892&amp;VALUEID=01001&amp;SDATE=201102&amp;PERIODTYPE=QTR_STD&amp;SCFT=3&amp;window=popup_no_bar&amp;width=385&amp;height=120&amp;START_MAXIMIZED=FALSE&amp;creator=factset&amp;display_string=Audit"}</definedName>
    <definedName name="_496__FDSAUDITLINK__" hidden="1">{"fdsup://Directions/FactSet Auditing Viewer?action=AUDIT_VALUE&amp;DB=129&amp;ID1=750892&amp;VALUEID=01001&amp;SDATE=201003&amp;PERIODTYPE=QTR_STD&amp;SCFT=3&amp;window=popup_no_bar&amp;width=385&amp;height=120&amp;START_MAXIMIZED=FALSE&amp;creator=factset&amp;display_string=Audit"}</definedName>
    <definedName name="_497__FDSAUDITLINK__" hidden="1">{"fdsup://directions/FAT Viewer?action=UPDATE&amp;creator=factset&amp;DYN_ARGS=TRUE&amp;DOC_NAME=FAT:FQL_AUDITING_CLIENT_TEMPLATE.FAT&amp;display_string=Audit&amp;VAR:KEY=FMBUXWPWHK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B0L4LM&amp;VAR:INDEX=0"}</definedName>
    <definedName name="_498__FDSAUDITLINK__" hidden="1">{"fdsup://directions/FAT Viewer?action=UPDATE&amp;creator=factset&amp;DYN_ARGS=TRUE&amp;DOC_NAME=FAT:FQL_AUDITING_CLIENT_TEMPLATE.FAT&amp;display_string=Audit&amp;VAR:KEY=RGDUHAPCFK&amp;VAR:QUERY=KChGRl9FUFMoTFRNLDAsLCxSRixVU0QpQEZGX0VQUyhMVE1TX1NFTUksMCwsLFJGLFVTRCkpQEZGX0VQUyhBT","k4sMCwsLFJGLFVTRCkp&amp;WINDOW=FIRST_POPUP&amp;HEIGHT=450&amp;WIDTH=450&amp;START_MAXIMIZED=FALSE&amp;VAR:CALENDAR=US&amp;VAR:SYMBOL=B0L4LM&amp;VAR:INDEX=0"}</definedName>
    <definedName name="_499__FDSAUDITLINK__" hidden="1">{"fdsup://Directions/FactSet Auditing Viewer?action=AUDIT_VALUE&amp;DB=129&amp;ID1=B0L4LM&amp;VALUEID=01001&amp;SDATE=2010&amp;PERIODTYPE=ANN_STD&amp;SCFT=3&amp;window=popup_no_bar&amp;width=385&amp;height=120&amp;START_MAXIMIZED=FALSE&amp;creator=factset&amp;display_string=Audit"}</definedName>
    <definedName name="_5__123Graph_AChart_13" hidden="1">#REF!</definedName>
    <definedName name="_5__123Graph_BChart_3" hidden="1">#REF!</definedName>
    <definedName name="_5__123Graph_C_FABP_L.WK1_FAB" hidden="1">#REF!</definedName>
    <definedName name="_5__FDSAUDITLINK__" hidden="1">{"fdsup://directions/FAT Viewer?action=UPDATE&amp;creator=factset&amp;DYN_ARGS=TRUE&amp;DOC_NAME=FAT:FQL_AUDITING_CLIENT_TEMPLATE.FAT&amp;display_string=Audit&amp;VAR:KEY=NKRWXCNGVW&amp;VAR:QUERY=KChGRl9FQklUKExUTSwwLCwsUkYsVVNEKUBGRl9FQklUKExUTVNfU0VNSSwwLCwsUkYsVVNEKSlARkZfRUJJV","ChBTk4sMCwsLFJGLFVTRCkp&amp;WINDOW=FIRST_POPUP&amp;HEIGHT=450&amp;WIDTH=450&amp;START_MAXIMIZED=FALSE&amp;VAR:CALENDAR=US&amp;VAR:SYMBOL=TSRA&amp;VAR:INDEX=0"}</definedName>
    <definedName name="_5__FDSAUDITLINK___1" hidden="1">{"fdsup://IBCentral/FAT Viewer?action=UPDATE&amp;creator=factset&amp;DOC_NAME=fat:reuters_annual_shs_src_window.fat&amp;display_string=Audit&amp;DYN_ARGS=TRUE&amp;VAR:ID1=580878&amp;VAR:RCODE=FDSSHSOUTDEPS&amp;VAR:SDATE=20071299&amp;VAR:FREQ=Y&amp;VAR:RELITEM=RF&amp;VAR:CURRENCY=&amp;VAR:CURRSOURCE=E","XSHARE&amp;VAR:NATFREQ=ANNUAL&amp;VAR:RFIELD=FINALIZED&amp;VAR:DB_TYPE=&amp;VAR:UNITS=MONTHLY&amp;window=popup&amp;width=450&amp;height=300&amp;START_MAXIMIZED=FALSE"}</definedName>
    <definedName name="_50__FDSAUDITLINK__" hidden="1">{"fdsup://Directions/FactSet Auditing Viewer?action=AUDIT_VALUE&amp;DB=129&amp;ID1=47231910&amp;VALUEID=01001&amp;SDATE=200904&amp;PERIODTYPE=QTR_STD&amp;window=popup_no_bar&amp;width=385&amp;height=120&amp;START_MAXIMIZED=FALSE&amp;creator=factset&amp;display_string=Audit"}</definedName>
    <definedName name="_500__FDSAUDITLINK__" hidden="1">{"fdsup://directions/FAT Viewer?action=UPDATE&amp;creator=factset&amp;DYN_ARGS=TRUE&amp;DOC_NAME=FAT:FQL_AUDITING_CLIENT_TEMPLATE.FAT&amp;display_string=Audit&amp;VAR:KEY=RIJMXWVKBA&amp;VAR:QUERY=KChGRl9TQUxFUyhMVE0sMCwsLFJGLFVTRClARkZfU0FMRVMoTFRNU19TRU1JLDAsLCxSRixVU0QpKUBGRl9TQ","UxFUyhBTk4sMCwsLFJGLFVTRCkp&amp;WINDOW=FIRST_POPUP&amp;HEIGHT=450&amp;WIDTH=450&amp;START_MAXIMIZED=FALSE&amp;VAR:CALENDAR=US&amp;VAR:SYMBOL=B0L4LM&amp;VAR:INDEX=0"}</definedName>
    <definedName name="_501__FDSAUDITLINK__" hidden="1">{"fdsup://directions/FAT Viewer?action=UPDATE&amp;creator=factset&amp;DYN_ARGS=TRUE&amp;DOC_NAME=FAT:FQL_AUDITING_CLIENT_TEMPLATE.FAT&amp;display_string=Audit&amp;VAR:KEY=TQHCVUZOVW&amp;VAR:QUERY=KChGRl9FUFMoTFRNLDAsLCxSRixVU0QpQEZGX0VQUyhMVE1TX1NFTUksMCwsLFJGLFVTRCkpQEZGX0VQUyhBT","k4sMCwsLFJGLFVTRCkp&amp;WINDOW=FIRST_POPUP&amp;HEIGHT=450&amp;WIDTH=450&amp;START_MAXIMIZED=FALSE&amp;VAR:CALENDAR=US&amp;VAR:SYMBOL=WYNN&amp;VAR:INDEX=0"}</definedName>
    <definedName name="_502__FDSAUDITLINK__" hidden="1">{"fdsup://directions/FAT Viewer?action=UPDATE&amp;creator=factset&amp;DYN_ARGS=TRUE&amp;DOC_NAME=FAT:FQL_AUDITING_CLIENT_TEMPLATE.FAT&amp;display_string=Audit&amp;VAR:KEY=BCXSLAPCTK&amp;VAR:QUERY=KChGRl9ORVRfSU5DKExUTSwwLCwsUkYsVVNEKUBGRl9ORVRfSU5DKExUTVNfU0VNSSwwLCwsUkYsVVNEKSlAR","kZfTkVUX0lOQyhBTk4sMCwsLFJGLFVTRCkp&amp;WINDOW=FIRST_POPUP&amp;HEIGHT=450&amp;WIDTH=450&amp;START_MAXIMIZED=FALSE&amp;VAR:CALENDAR=US&amp;VAR:SYMBOL=WYNN&amp;VAR:INDEX=0"}</definedName>
    <definedName name="_503__FDSAUDITLINK__" hidden="1">{"fdsup://Directions/FactSet Auditing Viewer?action=AUDIT_VALUE&amp;DB=129&amp;ID1=579928&amp;VALUEID=01001&amp;SDATE=201002&amp;PERIODTYPE=QTR_STD&amp;SCFT=3&amp;window=popup_no_bar&amp;width=385&amp;height=120&amp;START_MAXIMIZED=FALSE&amp;creator=factset&amp;display_string=Audit"}</definedName>
    <definedName name="_504__FDSAUDITLINK__" hidden="1">{"fdsup://directions/FAT Viewer?action=UPDATE&amp;creator=factset&amp;DYN_ARGS=TRUE&amp;DOC_NAME=FAT:FQL_AUDITING_CLIENT_TEMPLATE.FAT&amp;display_string=Audit&amp;VAR:KEY=PCZOJUNYLM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482897&amp;VAR:INDEX=0"}</definedName>
    <definedName name="_505__FDSAUDITLINK__" hidden="1">{"fdsup://directions/FAT Viewer?action=UPDATE&amp;creator=factset&amp;DYN_ARGS=TRUE&amp;DOC_NAME=FAT:FQL_AUDITING_CLIENT_TEMPLATE.FAT&amp;display_string=Audit&amp;VAR:KEY=TAJEBEFOPY&amp;VAR:QUERY=KChGRl9FQklUREEoTFRNLDAsLCxSRixVU0QpQEZGX0VCSVREQShMVE1TX1NFTUksMCwsLFJGLFVTRCkpQEZGX","0VCSVREQShBTk4sMCwsLFJGLFVTRCkp&amp;WINDOW=FIRST_POPUP&amp;HEIGHT=450&amp;WIDTH=450&amp;START_MAXIMIZED=FALSE&amp;VAR:CALENDAR=US&amp;VAR:SYMBOL=482897&amp;VAR:INDEX=0"}</definedName>
    <definedName name="_506__FDSAUDITLINK__" hidden="1">{"fdsup://directions/FAT Viewer?action=UPDATE&amp;creator=factset&amp;DYN_ARGS=TRUE&amp;DOC_NAME=FAT:FQL_AUDITING_CLIENT_TEMPLATE.FAT&amp;display_string=Audit&amp;VAR:KEY=FSXEXQLIXC&amp;VAR:QUERY=KChGRl9HUk9TU19JTkMoTFRNLDAsLCxSRixVU0QpQEZGX0dST1NTX0lOQyhMVE1TX1NFTUksMCwsLFJGLFVTR","CkpQEZGX1NBTEVTKEFOTiwwLCwsUkYsVVNEKSk=&amp;WINDOW=FIRST_POPUP&amp;HEIGHT=450&amp;WIDTH=450&amp;START_MAXIMIZED=FALSE&amp;VAR:CALENDAR=US&amp;VAR:SYMBOL=482897&amp;VAR:INDEX=0"}</definedName>
    <definedName name="_507__FDSAUDITLINK__" hidden="1">{"fdsup://directions/FAT Viewer?action=UPDATE&amp;creator=factset&amp;DYN_ARGS=TRUE&amp;DOC_NAME=FAT:FQL_AUDITING_CLIENT_TEMPLATE.FAT&amp;display_string=Audit&amp;VAR:KEY=JMZAJSLYRW&amp;VAR:QUERY=KChGRl9TQUxFUyhMVE0sMCwsLFJGLFVTRClARkZfU0FMRVMoTFRNU19TRU1JLDAsLCxSRixVU0QpKUBGRl9TQ","UxFUyhBTk4sMCwsLFJGLFVTRCkp&amp;WINDOW=FIRST_POPUP&amp;HEIGHT=450&amp;WIDTH=450&amp;START_MAXIMIZED=FALSE&amp;VAR:CALENDAR=US&amp;VAR:SYMBOL=095162&amp;VAR:INDEX=0"}</definedName>
    <definedName name="_508__FDSAUDITLINK__" hidden="1">{"fdsup://directions/FAT Viewer?action=UPDATE&amp;creator=factset&amp;DYN_ARGS=TRUE&amp;DOC_NAME=FAT:FQL_AUDITING_CLIENT_TEMPLATE.FAT&amp;display_string=Audit&amp;VAR:KEY=HWTYXETMDO&amp;VAR:QUERY=KChGRl9FUFMoTFRNLDAsLCxSRixVU0QpQEZGX0VQUyhMVE1TX1NFTUksMCwsLFJGLFVTRCkpQEZGX0VQUyhBT","k4sMCwsLFJGLFVTRCkp&amp;WINDOW=FIRST_POPUP&amp;HEIGHT=450&amp;WIDTH=450&amp;START_MAXIMIZED=FALSE&amp;VAR:CALENDAR=US&amp;VAR:SYMBOL=B28ZPV&amp;VAR:INDEX=0"}</definedName>
    <definedName name="_509__FDSAUDITLINK__" hidden="1">{"fdsup://directions/FAT Viewer?action=UPDATE&amp;creator=factset&amp;DYN_ARGS=TRUE&amp;DOC_NAME=FAT:FQL_AUDITING_CLIENT_TEMPLATE.FAT&amp;display_string=Audit&amp;VAR:KEY=NWHYVQRAJY&amp;VAR:QUERY=KChGRl9ORVRfSU5DKExUTSwwLCwsUkYsVVNEKUBGRl9ORVRfSU5DKExUTVNfU0VNSSwwLCwsUkYsVVNEKSlAR","kZfTkVUX0lOQyhBTk4sMCwsLFJGLFVTRCkp&amp;WINDOW=FIRST_POPUP&amp;HEIGHT=450&amp;WIDTH=450&amp;START_MAXIMIZED=FALSE&amp;VAR:CALENDAR=US&amp;VAR:SYMBOL=B28ZPV&amp;VAR:INDEX=0"}</definedName>
    <definedName name="_51__FDSAUDITLINK__" hidden="1">{"fdsup://Directions/FactSet Auditing Viewer?action=AUDIT_VALUE&amp;DB=129&amp;ID1=47231910&amp;VALUEID=01001&amp;SDATE=200901&amp;PERIODTYPE=QTR_STD&amp;window=popup_no_bar&amp;width=385&amp;height=120&amp;START_MAXIMIZED=FALSE&amp;creator=factset&amp;display_string=Audit"}</definedName>
    <definedName name="_510__FDSAUDITLINK__" hidden="1">{"fdsup://Directions/FactSet Auditing Viewer?action=AUDIT_VALUE&amp;DB=129&amp;ID1=Y2711Y10&amp;VALUEID=07011&amp;SDATE=2010&amp;PERIODTYPE=ANN_STD&amp;SCFT=3&amp;window=popup_no_bar&amp;width=385&amp;height=120&amp;START_MAXIMIZED=FALSE&amp;creator=factset&amp;display_string=Audit"}</definedName>
    <definedName name="_511__FDSAUDITLINK__" hidden="1">{"fdsup://Directions/FactSet Auditing Viewer?action=AUDIT_VALUE&amp;DB=129&amp;ID1=Y2711Y10&amp;VALUEID=02001&amp;SDATE=201102&amp;PERIODTYPE=QTR_STD&amp;SCFT=3&amp;window=popup_no_bar&amp;width=385&amp;height=120&amp;START_MAXIMIZED=FALSE&amp;creator=factset&amp;display_string=Audit"}</definedName>
    <definedName name="_512__FDSAUDITLINK__" hidden="1">{"fdsup://Directions/FactSet Auditing Viewer?action=AUDIT_VALUE&amp;DB=129&amp;ID1=B28ZPV&amp;VALUEID=07011&amp;SDATE=2010&amp;PERIODTYPE=ANN_STD&amp;SCFT=3&amp;window=popup_no_bar&amp;width=385&amp;height=120&amp;START_MAXIMIZED=FALSE&amp;creator=factset&amp;display_string=Audit"}</definedName>
    <definedName name="_513__FDSAUDITLINK__" hidden="1">{"fdsup://Directions/FactSet Auditing Viewer?action=AUDIT_VALUE&amp;DB=129&amp;ID1=B28ZPV&amp;VALUEID=02001&amp;SDATE=201101&amp;PERIODTYPE=SEMI_STD&amp;SCFT=3&amp;window=popup_no_bar&amp;width=385&amp;height=120&amp;START_MAXIMIZED=FALSE&amp;creator=factset&amp;display_string=Audit"}</definedName>
    <definedName name="_514__FDSAUDITLINK__" hidden="1">{"fdsup://Directions/FactSet Auditing Viewer?action=AUDIT_VALUE&amp;DB=129&amp;ID1=750892&amp;VALUEID=07011&amp;SDATE=2010&amp;PERIODTYPE=ANN_STD&amp;SCFT=3&amp;window=popup_no_bar&amp;width=385&amp;height=120&amp;START_MAXIMIZED=FALSE&amp;creator=factset&amp;display_string=Audit"}</definedName>
    <definedName name="_515__FDSAUDITLINK__" hidden="1">{"fdsup://Directions/FactSet Auditing Viewer?action=AUDIT_VALUE&amp;DB=129&amp;ID1=750892&amp;VALUEID=02001&amp;SDATE=201102&amp;PERIODTYPE=QTR_STD&amp;SCFT=3&amp;window=popup_no_bar&amp;width=385&amp;height=120&amp;START_MAXIMIZED=FALSE&amp;creator=factset&amp;display_string=Audit"}</definedName>
    <definedName name="_516__FDSAUDITLINK__" hidden="1">{"fdsup://Directions/FactSet Auditing Viewer?action=AUDIT_VALUE&amp;DB=129&amp;ID1=B0L4LM&amp;VALUEID=07011&amp;SDATE=2010&amp;PERIODTYPE=ANN_STD&amp;SCFT=3&amp;window=popup_no_bar&amp;width=385&amp;height=120&amp;START_MAXIMIZED=FALSE&amp;creator=factset&amp;display_string=Audit"}</definedName>
    <definedName name="_517__FDSAUDITLINK__" hidden="1">{"fdsup://Directions/FactSet Auditing Viewer?action=AUDIT_VALUE&amp;DB=129&amp;ID1=B0L4LM&amp;VALUEID=02001&amp;SDATE=201101&amp;PERIODTYPE=SEMI_STD&amp;SCFT=3&amp;window=popup_no_bar&amp;width=385&amp;height=120&amp;START_MAXIMIZED=FALSE&amp;creator=factset&amp;display_string=Audit"}</definedName>
    <definedName name="_518__FDSAUDITLINK__" hidden="1">{"fdsup://Directions/FactSet Auditing Viewer?action=AUDIT_VALUE&amp;DB=129&amp;ID1=579928&amp;VALUEID=07011&amp;SDATE=2010&amp;PERIODTYPE=ANN_STD&amp;SCFT=3&amp;window=popup_no_bar&amp;width=385&amp;height=120&amp;START_MAXIMIZED=FALSE&amp;creator=factset&amp;display_string=Audit"}</definedName>
    <definedName name="_519__FDSAUDITLINK__" hidden="1">{"fdsup://Directions/FactSet Auditing Viewer?action=AUDIT_VALUE&amp;DB=129&amp;ID1=579928&amp;VALUEID=02001&amp;SDATE=201102&amp;PERIODTYPE=QTR_STD&amp;SCFT=3&amp;window=popup_no_bar&amp;width=385&amp;height=120&amp;START_MAXIMIZED=FALSE&amp;creator=factset&amp;display_string=Audit"}</definedName>
    <definedName name="_52__FDSAUDITLINK__" hidden="1">{"fdsup://directions/FAT Viewer?action=UPDATE&amp;creator=factset&amp;DYN_ARGS=TRUE&amp;DOC_NAME=FAT:FQL_AUDITING_CLIENT_TEMPLATE.FAT&amp;display_string=Audit&amp;VAR:KEY=CJKBCVUHM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520__FDSAUDITLINK__" hidden="1">{"fdsup://Directions/FactSet Auditing Viewer?action=AUDIT_VALUE&amp;DB=129&amp;ID1=095162&amp;VALUEID=07011&amp;SDATE=2010&amp;PERIODTYPE=ANN_STD&amp;SCFT=3&amp;window=popup_no_bar&amp;width=385&amp;height=120&amp;START_MAXIMIZED=FALSE&amp;creator=factset&amp;display_string=Audit"}</definedName>
    <definedName name="_521__FDSAUDITLINK__" hidden="1">{"fdsup://Directions/FactSet Auditing Viewer?action=AUDIT_VALUE&amp;DB=129&amp;ID1=095162&amp;VALUEID=02001&amp;SDATE=201103&amp;PERIODTYPE=QTR_STD&amp;SCFT=3&amp;window=popup_no_bar&amp;width=385&amp;height=120&amp;START_MAXIMIZED=FALSE&amp;creator=factset&amp;display_string=Audit"}</definedName>
    <definedName name="_522__FDSAUDITLINK__" hidden="1">{"fdsup://directions/FAT Viewer?action=UPDATE&amp;creator=factset&amp;DYN_ARGS=TRUE&amp;DOC_NAME=FAT:FQL_AUDITING_CLIENT_TEMPLATE.FAT&amp;display_string=Audit&amp;VAR:KEY=JOZUPMTQRG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B1YBFQ&amp;VAR:INDEX=0"}</definedName>
    <definedName name="_523__FDSAUDITLINK__" hidden="1">{"fdsup://directions/FAT Viewer?action=UPDATE&amp;creator=factset&amp;DYN_ARGS=TRUE&amp;DOC_NAME=FAT:FQL_AUDITING_CLIENT_TEMPLATE.FAT&amp;display_string=Audit&amp;VAR:KEY=BEFQBOXQDI&amp;VAR:QUERY=KChGRl9FUFMoTFRNLDAsLCxSRixVU0QpQEZGX0VQUyhMVE1TX1NFTUksMCwsLFJGLFVTRCkpQEZGX0VQUyhBT","k4sMCwsLFJGLFVTRCkp&amp;WINDOW=FIRST_POPUP&amp;HEIGHT=450&amp;WIDTH=450&amp;START_MAXIMIZED=FALSE&amp;VAR:CALENDAR=US&amp;VAR:SYMBOL=B1YBFQ&amp;VAR:INDEX=0"}</definedName>
    <definedName name="_524__FDSAUDITLINK__" hidden="1">{"fdsup://directions/FAT Viewer?action=UPDATE&amp;creator=factset&amp;DYN_ARGS=TRUE&amp;DOC_NAME=FAT:FQL_AUDITING_CLIENT_TEMPLATE.FAT&amp;display_string=Audit&amp;VAR:KEY=FYNKXARYJY&amp;VAR:QUERY=KChGRl9HUk9TU19JTkMoTFRNLDAsLCxSRixVU0QpQEZGX0dST1NTX0lOQyhMVE1TX1NFTUksMCwsLFJGLFVTR","CkpQEZGX1NBTEVTKEFOTiwwLCwsUkYsVVNEKSk=&amp;WINDOW=FIRST_POPUP&amp;HEIGHT=450&amp;WIDTH=450&amp;START_MAXIMIZED=FALSE&amp;VAR:CALENDAR=US&amp;VAR:SYMBOL=B1YBFQ&amp;VAR:INDEX=0"}</definedName>
    <definedName name="_525__FDSAUDITLINK__" hidden="1">{"fdsup://directions/FAT Viewer?action=UPDATE&amp;creator=factset&amp;DYN_ARGS=TRUE&amp;DOC_NAME=FAT:FQL_AUDITING_CLIENT_TEMPLATE.FAT&amp;display_string=Audit&amp;VAR:KEY=HYHQXSLOZI&amp;VAR:QUERY=KChGRl9TQUxFUyhMVE0sMCwsLFJGLFVTRClARkZfU0FMRVMoTFRNU19TRU1JLDAsLCxSRixVU0QpKUBGRl9TQ","UxFUyhBTk4sMCwsLFJGLFVTRCkp&amp;WINDOW=FIRST_POPUP&amp;HEIGHT=450&amp;WIDTH=450&amp;START_MAXIMIZED=FALSE&amp;VAR:CALENDAR=US&amp;VAR:SYMBOL=B1YBFQ&amp;VAR:INDEX=0"}</definedName>
    <definedName name="_526__FDSAUDITLINK__" hidden="1">{"fdsup://Directions/FactSet Auditing Viewer?action=AUDIT_VALUE&amp;DB=129&amp;ID1=B1YBFQ&amp;VALUEID=01001&amp;SDATE=201102&amp;PERIODTYPE=QTR_STD&amp;SCFT=3&amp;window=popup_no_bar&amp;width=385&amp;height=120&amp;START_MAXIMIZED=FALSE&amp;creator=factset&amp;display_string=Audit"}</definedName>
    <definedName name="_527__FDSAUDITLINK__" hidden="1">{"fdsup://Directions/FactSet Auditing Viewer?action=AUDIT_VALUE&amp;DB=129&amp;ID1=B1YBFQ&amp;VALUEID=01001&amp;SDATE=201002&amp;PERIODTYPE=QTR_STD&amp;SCFT=3&amp;window=popup_no_bar&amp;width=385&amp;height=120&amp;START_MAXIMIZED=FALSE&amp;creator=factset&amp;display_string=Audit"}</definedName>
    <definedName name="_528__FDSAUDITLINK__" hidden="1">{"fdsup://directions/FAT Viewer?action=UPDATE&amp;creator=factset&amp;DYN_ARGS=TRUE&amp;DOC_NAME=FAT:FQL_AUDITING_CLIENT_TEMPLATE.FAT&amp;display_string=Audit&amp;VAR:KEY=RIJMXWVKBA&amp;VAR:QUERY=KChGRl9TQUxFUyhMVE0sMCwsLFJGLFVTRClARkZfU0FMRVMoTFRNU19TRU1JLDAsLCxSRixVU0QpKUBGRl9TQ","UxFUyhBTk4sMCwsLFJGLFVTRCkp&amp;WINDOW=FIRST_POPUP&amp;HEIGHT=450&amp;WIDTH=450&amp;START_MAXIMIZED=FALSE&amp;VAR:CALENDAR=US&amp;VAR:SYMBOL=B0L4LM&amp;VAR:INDEX=0"}</definedName>
    <definedName name="_529__FDSAUDITLINK__" hidden="1">{"fdsup://directions/FAT Viewer?action=UPDATE&amp;creator=factset&amp;DYN_ARGS=TRUE&amp;DOC_NAME=FAT:FQL_AUDITING_CLIENT_TEMPLATE.FAT&amp;display_string=Audit&amp;VAR:KEY=DCPOHQTCFY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316988&amp;VAR:INDEX=0"}</definedName>
    <definedName name="_53__FDSAUDITLINK__" hidden="1">{"fdsup://Directions/FactSet Auditing Viewer?action=AUDIT_VALUE&amp;DB=129&amp;ID1=46629U10&amp;VALUEID=07011&amp;SDATE=2009&amp;PERIODTYPE=ANN_STD&amp;window=popup_no_bar&amp;width=385&amp;height=120&amp;START_MAXIMIZED=FALSE&amp;creator=factset&amp;display_string=Audit"}</definedName>
    <definedName name="_530__FDSAUDITLINK__" hidden="1">{"fdsup://directions/FAT Viewer?action=UPDATE&amp;creator=factset&amp;DYN_ARGS=TRUE&amp;DOC_NAME=FAT:FQL_AUDITING_CLIENT_TEMPLATE.FAT&amp;display_string=Audit&amp;VAR:KEY=FQVETYROVW&amp;VAR:QUERY=KChGRl9FQklUREEoTFRNLDAsLCxSRixVU0QpQEZGX0VCSVREQShMVE1TX1NFTUksMCwsLFJGLFVTRCkpQEZGX","0VCSVREQShBTk4sMCwsLFJGLFVTRCkp&amp;WINDOW=FIRST_POPUP&amp;HEIGHT=450&amp;WIDTH=450&amp;START_MAXIMIZED=FALSE&amp;VAR:CALENDAR=US&amp;VAR:SYMBOL=316988&amp;VAR:INDEX=0"}</definedName>
    <definedName name="_531__FDSAUDITLINK__" hidden="1">{"fdsup://directions/FAT Viewer?action=UPDATE&amp;creator=factset&amp;DYN_ARGS=TRUE&amp;DOC_NAME=FAT:FQL_AUDITING_CLIENT_TEMPLATE.FAT&amp;display_string=Audit&amp;VAR:KEY=RQBAXEZYBI&amp;VAR:QUERY=KChGRl9HUk9TU19JTkMoTFRNLDAsLCxSRixVU0QpQEZGX0dST1NTX0lOQyhMVE1TX1NFTUksMCwsLFJGLFVTR","CkpQEZGX1NBTEVTKEFOTiwwLCwsUkYsVVNEKSk=&amp;WINDOW=FIRST_POPUP&amp;HEIGHT=450&amp;WIDTH=450&amp;START_MAXIMIZED=FALSE&amp;VAR:CALENDAR=US&amp;VAR:SYMBOL=316988&amp;VAR:INDEX=0"}</definedName>
    <definedName name="_532__FDSAUDITLINK__" hidden="1">{"fdsup://directions/FAT Viewer?action=UPDATE&amp;creator=factset&amp;DYN_ARGS=TRUE&amp;DOC_NAME=FAT:FQL_AUDITING_CLIENT_TEMPLATE.FAT&amp;display_string=Audit&amp;VAR:KEY=XKFSLSPARM&amp;VAR:QUERY=KChGRl9FQklUREEoTFRNLDAsLCxSRixVU0QpQEZGX0VCSVREQShMVE1TX1NFTUksMCwsLFJGLFVTRCkpQEZGX","0VCSVREQShBTk4sMCwsLFJGLFVTRCkp&amp;WINDOW=FIRST_POPUP&amp;HEIGHT=450&amp;WIDTH=450&amp;START_MAXIMIZED=FALSE&amp;VAR:CALENDAR=US&amp;VAR:SYMBOL=BYD&amp;VAR:INDEX=0"}</definedName>
    <definedName name="_533__FDSAUDITLINK__" hidden="1">{"fdsup://directions/FAT Viewer?action=UPDATE&amp;creator=factset&amp;DYN_ARGS=TRUE&amp;DOC_NAME=FAT:FQL_AUDITING_CLIENT_TEMPLATE.FAT&amp;display_string=Audit&amp;VAR:KEY=ZQPKFOLAXO&amp;VAR:QUERY=KChGRl9HUk9TU19JTkMoTFRNLDAsLCxSRixVU0QpQEZGX0dST1NTX0lOQyhMVE1TX1NFTUksMCwsLFJGLFVTR","CkpQEZGX1NBTEVTKEFOTiwwLCwsUkYsVVNEKSk=&amp;WINDOW=FIRST_POPUP&amp;HEIGHT=450&amp;WIDTH=450&amp;START_MAXIMIZED=FALSE&amp;VAR:CALENDAR=US&amp;VAR:SYMBOL=BYD&amp;VAR:INDEX=0"}</definedName>
    <definedName name="_534__FDSAUDITLINK__" hidden="1">{"fdsup://Directions/FactSet Auditing Viewer?action=AUDIT_VALUE&amp;DB=129&amp;ID1=B1YBFQ&amp;VALUEID=02001&amp;SDATE=201102&amp;PERIODTYPE=QTR_STD&amp;SCFT=3&amp;window=popup_no_bar&amp;width=385&amp;height=120&amp;START_MAXIMIZED=FALSE&amp;creator=factset&amp;display_string=Audit"}</definedName>
    <definedName name="_535__FDSAUDITLINK__" hidden="1">{"fdsup://Directions/FactSet Auditing Viewer?action=AUDIT_VALUE&amp;DB=129&amp;ID1=B0L4LM&amp;VALUEID=07011&amp;SDATE=2010&amp;PERIODTYPE=ANN_STD&amp;SCFT=3&amp;window=popup_no_bar&amp;width=385&amp;height=120&amp;START_MAXIMIZED=FALSE&amp;creator=factset&amp;display_string=Audit"}</definedName>
    <definedName name="_536__FDSAUDITLINK__" hidden="1">{"fdsup://Directions/FactSet Auditing Viewer?action=AUDIT_VALUE&amp;DB=129&amp;ID1=B0L4LM&amp;VALUEID=02001&amp;SDATE=201101&amp;PERIODTYPE=SEMI_STD&amp;SCFT=3&amp;window=popup_no_bar&amp;width=385&amp;height=120&amp;START_MAXIMIZED=FALSE&amp;creator=factset&amp;display_string=Audit"}</definedName>
    <definedName name="_537__FDSAUDITLINK__" hidden="1">{"fdsup://directions/FAT Viewer?action=UPDATE&amp;creator=factset&amp;DYN_ARGS=TRUE&amp;DOC_NAME=FAT:FQL_AUDITING_CLIENT_TEMPLATE.FAT&amp;display_string=Audit&amp;VAR:KEY=PKZGVQFKBQ&amp;VAR:QUERY=KChGRl9FQklUKExUTSwwLCwsUkYsVVNEKUBGRl9FQklUKExUTVNfU0VNSSwwLCwsUkYsVVNEKSlARkZfRUJJV","ChBTk4sMCwsLFJGLFVTRCkp&amp;WINDOW=FIRST_POPUP&amp;HEIGHT=450&amp;WIDTH=450&amp;START_MAXIMIZED=FALSE&amp;VAR:CALENDAR=US&amp;VAR:SYMBOL=WYNN&amp;VAR:INDEX=0"}</definedName>
    <definedName name="_538__FDSAUDITLINK__" hidden="1">{"fdsup://directions/FAT Viewer?action=UPDATE&amp;creator=factset&amp;DYN_ARGS=TRUE&amp;DOC_NAME=FAT:FQL_AUDITING_CLIENT_TEMPLATE.FAT&amp;display_string=Audit&amp;VAR:KEY=FEFIZUZMVY&amp;VAR:QUERY=KChGRl9FQklUREEoTFRNLDAsLCxSRixVU0QpQEZGX0VCSVREQShMVE1TX1NFTUksMCwsLFJGLFVTRCkpQEZGX","0VCSVREQShBTk4sMCwsLFJGLFVTRCkp&amp;WINDOW=FIRST_POPUP&amp;HEIGHT=450&amp;WIDTH=450&amp;START_MAXIMIZED=FALSE&amp;VAR:CALENDAR=US&amp;VAR:SYMBOL=WYNN&amp;VAR:INDEX=0"}</definedName>
    <definedName name="_539__FDSAUDITLINK__" hidden="1">{"fdsup://directions/FAT Viewer?action=UPDATE&amp;creator=factset&amp;DYN_ARGS=TRUE&amp;DOC_NAME=FAT:FQL_AUDITING_CLIENT_TEMPLATE.FAT&amp;display_string=Audit&amp;VAR:KEY=PILQFKVOVI&amp;VAR:QUERY=KChGRl9HUk9TU19JTkMoTFRNLDAsLCxSRixVU0QpQEZGX0dST1NTX0lOQyhMVE1TX1NFTUksMCwsLFJGLFVTR","CkpQEZGX1NBTEVTKEFOTiwwLCwsUkYsVVNEKSk=&amp;WINDOW=FIRST_POPUP&amp;HEIGHT=450&amp;WIDTH=450&amp;START_MAXIMIZED=FALSE&amp;VAR:CALENDAR=US&amp;VAR:SYMBOL=WYNN&amp;VAR:INDEX=0"}</definedName>
    <definedName name="_54__FDSAUDITLINK__" hidden="1">{"fdsup://Directions/FactSet Auditing Viewer?action=AUDIT_VALUE&amp;DB=129&amp;ID1=46629U10&amp;VALUEID=07011&amp;SDATE=2009&amp;PERIODTYPE=ANN_STD&amp;window=popup_no_bar&amp;width=385&amp;height=120&amp;START_MAXIMIZED=FALSE&amp;creator=factset&amp;display_string=Audit"}</definedName>
    <definedName name="_540__FDSAUDITLINK__" hidden="1">{"fdsup://directions/FAT Viewer?action=UPDATE&amp;creator=factset&amp;DYN_ARGS=TRUE&amp;DOC_NAME=FAT:FQL_AUDITING_CLIENT_TEMPLATE.FAT&amp;display_string=Audit&amp;VAR:KEY=REPAZITER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GM&amp;VAR:INDEX=0"}</definedName>
    <definedName name="_541__FDSAUDITLINK__" hidden="1">{"fdsup://directions/FAT Viewer?action=UPDATE&amp;creator=factset&amp;DYN_ARGS=TRUE&amp;DOC_NAME=FAT:FQL_AUDITING_CLIENT_TEMPLATE.FAT&amp;display_string=Audit&amp;VAR:KEY=HKRGNUXMVG&amp;VAR:QUERY=KChGRl9FUFMoTFRNLDAsLCxSRixVU0QpQEZGX0VQUyhMVE1TX1NFTUksMCwsLFJGLFVTRCkpQEZGX0VQUyhBT","k4sMCwsLFJGLFVTRCkp&amp;WINDOW=FIRST_POPUP&amp;HEIGHT=450&amp;WIDTH=450&amp;START_MAXIMIZED=FALSE&amp;VAR:CALENDAR=US&amp;VAR:SYMBOL=MGM&amp;VAR:INDEX=0"}</definedName>
    <definedName name="_542__FDSAUDITLINK__" hidden="1">{"fdsup://directions/FAT Viewer?action=UPDATE&amp;creator=factset&amp;DYN_ARGS=TRUE&amp;DOC_NAME=FAT:FQL_AUDITING_CLIENT_TEMPLATE.FAT&amp;display_string=Audit&amp;VAR:KEY=TQLYDOZUFY&amp;VAR:QUERY=KChGRl9ORVRfSU5DKExUTSwwLCwsUkYsVVNEKUBGRl9ORVRfSU5DKExUTVNfU0VNSSwwLCwsUkYsVVNEKSlAR","kZfTkVUX0lOQyhBTk4sMCwsLFJGLFVTRCkp&amp;WINDOW=FIRST_POPUP&amp;HEIGHT=450&amp;WIDTH=450&amp;START_MAXIMIZED=FALSE&amp;VAR:CALENDAR=US&amp;VAR:SYMBOL=MGM&amp;VAR:INDEX=0"}</definedName>
    <definedName name="_543__FDSAUDITLINK__" hidden="1">{"fdsup://directions/FAT Viewer?action=UPDATE&amp;creator=factset&amp;DYN_ARGS=TRUE&amp;DOC_NAME=FAT:FQL_AUDITING_CLIENT_TEMPLATE.FAT&amp;display_string=Audit&amp;VAR:KEY=NKNAZSPMLO&amp;VAR:QUERY=KChGRl9FQklUKExUTSwwLCwsUkYsVVNEKUBGRl9FQklUKExUTVNfU0VNSSwwLCwsUkYsVVNEKSlARkZfRUJJV","ChBTk4sMCwsLFJGLFVTRCkp&amp;WINDOW=FIRST_POPUP&amp;HEIGHT=450&amp;WIDTH=450&amp;START_MAXIMIZED=FALSE&amp;VAR:CALENDAR=US&amp;VAR:SYMBOL=MGM&amp;VAR:INDEX=0"}</definedName>
    <definedName name="_544__FDSAUDITLINK__" hidden="1">{"fdsup://directions/FAT Viewer?action=UPDATE&amp;creator=factset&amp;DYN_ARGS=TRUE&amp;DOC_NAME=FAT:FQL_AUDITING_CLIENT_TEMPLATE.FAT&amp;display_string=Audit&amp;VAR:KEY=RKDYHKZUZE&amp;VAR:QUERY=KChGRl9ERUJUKFFUUiwwLCwsUkYsVVNEKUBGRl9ERUJUKFNFTUksMCwsLFJGLFVTRCkpQEZGX0RFQlQoQU5OL","DAsLCxSRixVU0QpKQ==&amp;WINDOW=FIRST_POPUP&amp;HEIGHT=450&amp;WIDTH=450&amp;START_MAXIMIZED=FALSE&amp;VAR:CALENDAR=US&amp;VAR:SYMBOL=MGM&amp;VAR:INDEX=0"}</definedName>
    <definedName name="_545__FDSAUDITLINK__" hidden="1">{"fdsup://Directions/FactSet Auditing Viewer?action=AUDIT_VALUE&amp;DB=129&amp;ID1=51783410&amp;VALUEID=02001&amp;SDATE=201103&amp;PERIODTYPE=QTR_STD&amp;SCFT=3&amp;window=popup_no_bar&amp;width=385&amp;height=120&amp;START_MAXIMIZED=FALSE&amp;creator=factset&amp;display_string=Audit"}</definedName>
    <definedName name="_546__FDSAUDITLINK__" hidden="1">{"fdsup://Directions/FactSet Auditing Viewer?action=AUDIT_VALUE&amp;DB=129&amp;ID1=710725&amp;VALUEID=01001&amp;SDATE=201002&amp;PERIODTYPE=QTR_STD&amp;SCFT=3&amp;window=popup_no_bar&amp;width=385&amp;height=120&amp;START_MAXIMIZED=FALSE&amp;creator=factset&amp;display_string=Audit"}</definedName>
    <definedName name="_547__FDSAUDITLINK__" hidden="1">{"fdsup://Directions/FactSet Auditing Viewer?action=AUDIT_VALUE&amp;DB=129&amp;ID1=B0V3WR&amp;VALUEID=01001&amp;SDATE=201102&amp;PERIODTYPE=QTR_STD&amp;SCFT=3&amp;window=popup_no_bar&amp;width=385&amp;height=120&amp;START_MAXIMIZED=FALSE&amp;creator=factset&amp;display_string=Audit"}</definedName>
    <definedName name="_548__FDSAUDITLINK__" hidden="1">{"fdsup://Directions/FactSet Auditing Viewer?action=AUDIT_VALUE&amp;DB=129&amp;ID1=B0V3WR&amp;VALUEID=01001&amp;SDATE=201003&amp;PERIODTYPE=QTR_STD&amp;SCFT=3&amp;window=popup_no_bar&amp;width=385&amp;height=120&amp;START_MAXIMIZED=FALSE&amp;creator=factset&amp;display_string=Audit"}</definedName>
    <definedName name="_549__FDSAUDITLINK__" hidden="1">{"fdsup://Directions/FactSet Auditing Viewer?action=AUDIT_VALUE&amp;DB=129&amp;ID1=Y2711Y10&amp;VALUEID=03451&amp;SDATE=201102&amp;PERIODTYPE=QTR_STD&amp;SCFT=3&amp;window=popup_no_bar&amp;width=385&amp;height=120&amp;START_MAXIMIZED=FALSE&amp;creator=factset&amp;display_string=Audit"}</definedName>
    <definedName name="_55__FDSAUDITLINK__" hidden="1">{"fdsup://directions/FAT Viewer?action=UPDATE&amp;creator=factset&amp;DYN_ARGS=TRUE&amp;DOC_NAME=FAT:FQL_AUDITING_CLIENT_TEMPLATE.FAT&amp;display_string=Audit&amp;VAR:KEY=YVORGXIRG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550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51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5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5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5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5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5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57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558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5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6__FDSAUDITLINK__" hidden="1">{"fdsup://directions/FAT Viewer?action=UPDATE&amp;creator=factset&amp;DYN_ARGS=TRUE&amp;DOC_NAME=FAT:FQL_AUDITING_CLIENT_TEMPLATE.FAT&amp;display_string=Audit&amp;VAR:KEY=AHWVYDSZK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560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61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62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63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64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65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566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67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68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69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7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570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71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7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8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587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59__FDSAUDITLINK__" hidden="1">{"fdsup://directions/FAT Viewer?action=UPDATE&amp;creator=factset&amp;DYN_ARGS=TRUE&amp;DOC_NAME=FAT:FQL_AUDITING_CLIENT_TEMPLATE.FAT&amp;display_string=Audit&amp;VAR:KEY=SVQZSZQFO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593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59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96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97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98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99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__123Graph_AChart_14" hidden="1">#REF!</definedName>
    <definedName name="_6__123Graph_BChart_4" hidden="1">#REF!</definedName>
    <definedName name="_6__123Graph_X_FABP_L.WK1_FAB" hidden="1">#REF!</definedName>
    <definedName name="_6__FDSAUDITLINK__" hidden="1">{"fdsup://directions/FAT Viewer?action=UPDATE&amp;creator=factset&amp;DYN_ARGS=TRUE&amp;DOC_NAME=FAT:FQL_AUDITING_CLIENT_TEMPLATE.FAT&amp;display_string=Audit&amp;VAR:KEY=JQXSDWPQJS&amp;VAR:QUERY=KChGRl9FQklUREEoTFRNLDAsLCxSRixVU0QpQEZGX0VCSVREQShMVE1TX1NFTUksMCwsLFJGLFVTRCkpQEZGX","0VCSVREQShBTk4sMCwsLFJGLFVTRCkp&amp;WINDOW=FIRST_POPUP&amp;HEIGHT=450&amp;WIDTH=450&amp;START_MAXIMIZED=FALSE&amp;VAR:CALENDAR=US&amp;VAR:SYMBOL=TSRA&amp;VAR:INDEX=0"}</definedName>
    <definedName name="_6__FDSAUDITLINK___1" hidden="1">{"fdsup://IBCentral/FAT Viewer?action=UPDATE&amp;creator=factset&amp;DOC_NAME=fat:reuters_annual_shs_src_window.fat&amp;display_string=Audit&amp;DYN_ARGS=TRUE&amp;VAR:ID1=48887910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6_0_Table2_" hidden="1">#REF!</definedName>
    <definedName name="_60__FDSAUDITLINK__" hidden="1">{"fdsup://Directions/FactSet Auditing Viewer?action=AUDIT_VALUE&amp;DB=129&amp;ID1=11134A10&amp;VALUEID=07011&amp;SDATE=2009&amp;PERIODTYPE=ANN_STD&amp;window=popup_no_bar&amp;width=385&amp;height=120&amp;START_MAXIMIZED=FALSE&amp;creator=factset&amp;display_string=Audit"}</definedName>
    <definedName name="_600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01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0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0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04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05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606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607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0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1__FDSAUDITLINK__" hidden="1">{"fdsup://Directions/FactSet Auditing Viewer?action=AUDIT_VALUE&amp;DB=129&amp;ID1=11134A10&amp;VALUEID=07011&amp;SDATE=2009&amp;PERIODTYPE=ANN_STD&amp;window=popup_no_bar&amp;width=385&amp;height=120&amp;START_MAXIMIZED=FALSE&amp;creator=factset&amp;display_string=Audit"}</definedName>
    <definedName name="_610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11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1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13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14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15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16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17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18__FDSAUDITLINK__" hidden="1">{"fdsup://directions/FAT Viewer?action=UPDATE&amp;creator=factset&amp;DYN_ARGS=TRUE&amp;DOC_NAME=FAT:FQL_AUDITING_CLIENT_TEMPLATE.FAT&amp;display_string=Audit&amp;VAR:KEY=UFCFQZIZUP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2174&amp;VAR:INDEX=0"}</definedName>
    <definedName name="_619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2__FDSAUDITLINK__" hidden="1">{"fdsup://directions/FAT Viewer?action=UPDATE&amp;creator=factset&amp;DYN_ARGS=TRUE&amp;DOC_NAME=FAT:FQL_AUDITING_CLIENT_TEMPLATE.FAT&amp;display_string=Audit&amp;VAR:KEY=KZIDOPCPIV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PSG&amp;VAR:INDEX=0"}</definedName>
    <definedName name="_620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22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2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2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2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2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27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28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2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3__FDSAUDITLINK__" hidden="1">{"fdsup://Directions/FactSet Auditing Viewer?action=AUDIT_VALUE&amp;DB=129&amp;ID1=29977A10&amp;VALUEID=07011&amp;SDATE=2009&amp;PERIODTYPE=ANN_STD&amp;window=popup_no_bar&amp;width=385&amp;height=120&amp;START_MAXIMIZED=FALSE&amp;creator=factset&amp;display_string=Audit"}</definedName>
    <definedName name="_630__FDSAUDITLINK__" hidden="1">{"fdsup://directions/FAT Viewer?action=UPDATE&amp;creator=factset&amp;DYN_ARGS=TRUE&amp;DOC_NAME=FAT:FQL_AUDITING_CLIENT_TEMPLATE.FAT&amp;display_string=Audit&amp;VAR:KEY=MHWFUNGPGT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2174&amp;VAR:INDEX=0"}</definedName>
    <definedName name="_631__FDSAUDITLINK__" hidden="1">{"fdsup://directions/FAT Viewer?action=UPDATE&amp;creator=factset&amp;DYN_ARGS=TRUE&amp;DOC_NAME=FAT:FQL_AUDITING_CLIENT_TEMPLATE.FAT&amp;display_string=Audit&amp;VAR:KEY=CNINOFSVIX&amp;VAR:QUERY=RkZfRU5UUlBSX1ZBTF9EQUlMWSgwLCwsLFVTRCwnRElMJykgLyBGRl9FQklUX09QRVIoTU9OLDAsLCwsVVNEK","Q==&amp;WINDOW=FIRST_POPUP&amp;HEIGHT=450&amp;WIDTH=450&amp;START_MAXIMIZED=FALSE&amp;VAR:CALENDAR=FIVEDAY&amp;VAR:SYMBOL=2174&amp;VAR:INDEX=0"}</definedName>
    <definedName name="_632__FDSAUDITLINK__" hidden="1">{"fdsup://directions/FAT Viewer?action=UPDATE&amp;creator=factset&amp;DYN_ARGS=TRUE&amp;DOC_NAME=FAT:FQL_AUDITING_CLIENT_TEMPLATE.FAT&amp;display_string=Audit&amp;VAR:KEY=EFUNIVYXMT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2174&amp;VAR:INDEX=0"}</definedName>
    <definedName name="_635__FDSAUDITLINK__" hidden="1">{"fdsup://directions/FAT Viewer?action=UPDATE&amp;creator=factset&amp;DYN_ARGS=TRUE&amp;DOC_NAME=FAT:FQL_AUDITING_CLIENT_TEMPLATE.FAT&amp;display_string=Audit&amp;VAR:KEY=ERAZOLINWR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2174&amp;VAR:INDEX=0"}</definedName>
    <definedName name="_636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37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38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39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4__FDSAUDITLINK__" hidden="1">{"fdsup://Directions/FactSet Auditing Viewer?action=AUDIT_VALUE&amp;DB=129&amp;ID1=29977A10&amp;VALUEID=07011&amp;SDATE=2009&amp;PERIODTYPE=ANN_STD&amp;window=popup_no_bar&amp;width=385&amp;height=120&amp;START_MAXIMIZED=FALSE&amp;creator=factset&amp;display_string=Audit"}</definedName>
    <definedName name="_640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41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42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43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644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645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647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648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49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5__FDSAUDITLINK__" hidden="1">{"fdsup://directions/FAT Viewer?action=UPDATE&amp;creator=factset&amp;DYN_ARGS=TRUE&amp;DOC_NAME=FAT:FQL_AUDITING_CLIENT_TEMPLATE.FAT&amp;display_string=Audit&amp;VAR:KEY=AVAZGTKDU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650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51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52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53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54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58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66__FDSAUDITLINK__" hidden="1">{"fdsup://Directions/FactSet Auditing Viewer?action=AUDIT_VALUE&amp;DB=129&amp;ID1=72407810&amp;VALUEID=07011&amp;SDATE=2009&amp;PERIODTYPE=ANN_STD&amp;window=popup_no_bar&amp;width=385&amp;height=120&amp;START_MAXIMIZED=FALSE&amp;creator=factset&amp;display_string=Audit"}</definedName>
    <definedName name="_660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661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62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63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64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65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66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67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7__FDSAUDITLINK__" hidden="1">{"fdsup://Directions/FactSet Auditing Viewer?action=AUDIT_VALUE&amp;DB=129&amp;ID1=72407810&amp;VALUEID=07011&amp;SDATE=2009&amp;PERIODTYPE=ANN_STD&amp;window=popup_no_bar&amp;width=385&amp;height=120&amp;START_MAXIMIZED=FALSE&amp;creator=factset&amp;display_string=Audit"}</definedName>
    <definedName name="_671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67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74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75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76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77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78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79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8__FDSAUDITLINK__" hidden="1">{"fdsup://directions/FAT Viewer?action=UPDATE&amp;creator=factset&amp;DYN_ARGS=TRUE&amp;DOC_NAME=FAT:FQL_AUDITING_CLIENT_TEMPLATE.FAT&amp;display_string=Audit&amp;VAR:KEY=ERYXCVKHI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PJC&amp;VAR:INDEX=0"}</definedName>
    <definedName name="_680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83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685__FDSAUDITLINK__" hidden="1">{"fdsup://directions/FAT Viewer?action=UPDATE&amp;creator=factset&amp;DYN_ARGS=TRUE&amp;DOC_NAME=FAT:FQL_AUDITING_CLIENT_TEMPLATE.FAT&amp;display_string=Audit&amp;VAR:KEY=EVABOBQJEJ&amp;VAR:QUERY=RkZfRU5UUlBSX1ZBTF9EQUlMWSgwLCwsLFVTRCwnRElMJykgLyBGRl9FQklUREFfT1BFUihNT04sMCwsLCxVU","0Qp&amp;WINDOW=FIRST_POPUP&amp;HEIGHT=450&amp;WIDTH=450&amp;START_MAXIMIZED=FALSE&amp;VAR:CALENDAR=FIVEDAY&amp;VAR:SYMBOL=2174&amp;VAR:INDEX=0"}</definedName>
    <definedName name="_68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87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89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9__FDSAUDITLINK__" hidden="1">{"fdsup://directions/FAT Viewer?action=UPDATE&amp;creator=factset&amp;DYN_ARGS=TRUE&amp;DOC_NAME=FAT:FQL_AUDITING_CLIENT_TEMPLATE.FAT&amp;display_string=Audit&amp;VAR:KEY=UBSVUFUDY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GHL&amp;VAR:INDEX=0"}</definedName>
    <definedName name="_690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91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92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9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699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7__123Graph_A_FABP_L.WK1_FAB" hidden="1">#REF!</definedName>
    <definedName name="_7__123Graph_AChart_2" hidden="1">#REF!</definedName>
    <definedName name="_7__123Graph_XChart_2" hidden="1">#REF!</definedName>
    <definedName name="_7__FDSAUDITLINK__" hidden="1">{"fdsup://Directions/FactSet Auditing Viewer?action=AUDIT_VALUE&amp;DB=129&amp;ID1=03783310&amp;VALUEID=07011&amp;SDATE=2010&amp;PERIODTYPE=ANN_STD&amp;window=popup_no_bar&amp;width=385&amp;height=120&amp;START_MAXIMIZED=FALSE&amp;creator=factset&amp;display_string=Audit"}</definedName>
    <definedName name="_7__FDSAUDITLINK___1" hidden="1">{"fdsup://IBCentral/FAT Viewer?action=UPDATE&amp;creator=factset&amp;DOC_NAME=fat:reuters_annual_shs_src_window.fat&amp;display_string=Audit&amp;DYN_ARGS=TRUE&amp;VAR:ID1=90385D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7_0_S" hidden="1">#REF!</definedName>
    <definedName name="_70__FDSAUDITLINK__" hidden="1">{"fdsup://directions/FAT Viewer?action=UPDATE&amp;creator=factset&amp;DYN_ARGS=TRUE&amp;DOC_NAME=FAT:FQL_AUDITING_CLIENT_TEMPLATE.FAT&amp;display_string=Audit&amp;VAR:KEY=YDUTQHKZM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LAZ&amp;VAR:INDEX=0"}</definedName>
    <definedName name="_700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70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703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704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705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71__FDSAUDITLINK__" hidden="1">{"fdsup://Directions/FactSet Auditing Viewer?action=AUDIT_VALUE&amp;DB=129&amp;ID1=47231910&amp;VALUEID=07011&amp;SDATE=2009&amp;PERIODTYPE=ANN_STD&amp;window=popup_no_bar&amp;width=385&amp;height=120&amp;START_MAXIMIZED=FALSE&amp;creator=factset&amp;display_string=Audit"}</definedName>
    <definedName name="_711__FDSAUDITLINK__" hidden="1">{"fdsup://directions/FAT Viewer?action=UPDATE&amp;creator=factset&amp;DYN_ARGS=TRUE&amp;DOC_NAME=FAT:FQL_AUDITING_CLIENT_TEMPLATE.FAT&amp;display_string=Audit&amp;VAR:KEY=FGRGROBALC&amp;VAR:QUERY=RkZfREVCVChBTk4sMCwsLCxVU0Qp&amp;WINDOW=FIRST_POPUP&amp;HEIGHT=450&amp;WIDTH=450&amp;START_MAXIMIZED=","FALSE&amp;VAR:CALENDAR=FIVEDAY&amp;VAR:INDEX=0"}</definedName>
    <definedName name="_71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71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1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71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71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718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72__FDSAUDITLINK__" hidden="1">{"fdsup://directions/FAT Viewer?action=UPDATE&amp;creator=factset&amp;DYN_ARGS=TRUE&amp;DOC_NAME=FAT:FQL_AUDITING_CLIENT_TEMPLATE.FAT&amp;display_string=Audit&amp;VAR:KEY=KHYFUZWBKT&amp;VAR:QUERY=KChGRl9ORVRfSU5DKExUTSwwLCwsUkYsVVNEKUBGRl9ORVRfSU5DKExUTVNfU0VNSSwwLCwsUkYsVVNEKSlAR","kZfTkVUX0lOQyhBTk4sMCwsLFJGLFVTRCkp&amp;WINDOW=FIRST_POPUP&amp;HEIGHT=450&amp;WIDTH=450&amp;START_MAXIMIZED=FALSE&amp;VAR:CALENDAR=US&amp;VAR:SYMBOL=B0ZSH6&amp;VAR:INDEX=0"}</definedName>
    <definedName name="_722__FDSAUDITLINK__" hidden="1">{"fdsup://directions/FAT Viewer?action=UPDATE&amp;creator=factset&amp;DYN_ARGS=TRUE&amp;DOC_NAME=FAT:FQL_AUDITING_CLIENT_TEMPLATE.FAT&amp;display_string=Audit&amp;VAR:KEY=VMROBMFQHS&amp;VAR:QUERY=RkZfRUJJVERBX09QRVIoQU5OLDAsLCwsVVNEKQ==&amp;WINDOW=FIRST_POPUP&amp;HEIGHT=450&amp;WIDTH=450&amp;STAR","T_MAXIMIZED=FALSE&amp;VAR:CALENDAR=FIVEDAY&amp;VAR:INDEX=0"}</definedName>
    <definedName name="_724__FDSAUDITLINK__" hidden="1">{"fdsup://directions/FAT Viewer?action=UPDATE&amp;creator=factset&amp;DYN_ARGS=TRUE&amp;DOC_NAME=FAT:FQL_AUDITING_CLIENT_TEMPLATE.FAT&amp;display_string=Audit&amp;VAR:KEY=FCLWRIZAVK&amp;VAR:QUERY=RkZfRUJJVERBX09QRVIoQU5OLC0xRlksLCwsVVNEKQ==&amp;WINDOW=FIRST_POPUP&amp;HEIGHT=450&amp;WIDTH=450&amp;","START_MAXIMIZED=FALSE&amp;VAR:CALENDAR=FIVEDAY&amp;VAR:INDEX=0"}</definedName>
    <definedName name="_725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726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27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73__FDSAUDITLINK__" hidden="1">{"fdsup://directions/FAT Viewer?action=UPDATE&amp;creator=factset&amp;DYN_ARGS=TRUE&amp;DOC_NAME=FAT:FQL_AUDITING_CLIENT_TEMPLATE.FAT&amp;display_string=Audit&amp;VAR:KEY=KJWJQPURWT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EF&amp;VAR:INDEX=0"}</definedName>
    <definedName name="_730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735__FDSAUDITLINK__" hidden="1">{"fdsup://directions/FAT Viewer?action=UPDATE&amp;creator=factset&amp;DYN_ARGS=TRUE&amp;DOC_NAME=FAT:FQL_AUDITING_CLIENT_TEMPLATE.FAT&amp;display_string=Audit&amp;VAR:KEY=NALOPQFQHA&amp;VAR:QUERY=RkZfRUJJVERBX09QRVIoQU5OLC0yRlksLCwsVVNEKQ==&amp;WINDOW=FIRST_POPUP&amp;HEIGHT=450&amp;WIDTH=450&amp;","START_MAXIMIZED=FALSE&amp;VAR:CALENDAR=FIVEDAY&amp;VAR:INDEX=0"}</definedName>
    <definedName name="_737__FDSAUDITLINK__" hidden="1">{"fdsup://directions/FAT Viewer?action=UPDATE&amp;creator=factset&amp;DYN_ARGS=TRUE&amp;DOC_NAME=FAT:FQL_AUDITING_CLIENT_TEMPLATE.FAT&amp;display_string=Audit&amp;VAR:KEY=FYHKLYZQFU&amp;VAR:QUERY=RkZfTkVUX0lOQyhBTk4sMCwsLCxVU0Qp&amp;WINDOW=FIRST_POPUP&amp;HEIGHT=450&amp;WIDTH=450&amp;START_MAXIMI","ZED=FALSE&amp;VAR:CALENDAR=FIVEDAY&amp;VAR:INDEX=0"}</definedName>
    <definedName name="_74__FDSAUDITLINK__" hidden="1">{"fdsup://directions/FAT Viewer?action=UPDATE&amp;creator=factset&amp;DYN_ARGS=TRUE&amp;DOC_NAME=FAT:FQL_AUDITING_CLIENT_TEMPLATE.FAT&amp;display_string=Audit&amp;VAR:KEY=GNUDEFAXMF&amp;VAR:QUERY=KChGRl9ORVRfSU5DKExUTSwwLCwsUkYsVVNEKUBGRl9ORVRfSU5DKExUTVNfU0VNSSwwLCwsUkYsVVNEKSlAR","kZfTkVUX0lOQyhBTk4sMCwsLFJGLFVTRCkp&amp;WINDOW=FIRST_POPUP&amp;HEIGHT=450&amp;WIDTH=450&amp;START_MAXIMIZED=FALSE&amp;VAR:CALENDAR=US&amp;VAR:SYMBOL=TWPG&amp;VAR:INDEX=0"}</definedName>
    <definedName name="_745__FDSAUDITLINK__" hidden="1">{"fdsup://directions/FAT Viewer?action=UPDATE&amp;creator=factset&amp;DYN_ARGS=TRUE&amp;DOC_NAME=FAT:FQL_AUDITING_CLIENT_TEMPLATE.FAT&amp;display_string=Audit&amp;VAR:KEY=LODYLSFITO&amp;VAR:QUERY=RkZfRU5UUlBSX1ZBTF9EQUlMWSgwLCwsLFVTRCwnRElMJyk=&amp;WINDOW=FIRST_POPUP&amp;HEIGHT=450&amp;WIDTH=","450&amp;START_MAXIMIZED=FALSE&amp;VAR:CALENDAR=FIVEDAY&amp;VAR:INDEX=0"}</definedName>
    <definedName name="_746__FDSAUDITLINK__" hidden="1">{"fdsup://directions/FAT Viewer?action=UPDATE&amp;creator=factset&amp;DYN_ARGS=TRUE&amp;DOC_NAME=FAT:FQL_AUDITING_CLIENT_TEMPLATE.FAT&amp;display_string=Audit&amp;VAR:KEY=NUFAFUPWRM&amp;VAR:QUERY=RkZfTkVUX0lOQyhBTk4sLTJGWSwsLCxVU0Qp&amp;WINDOW=FIRST_POPUP&amp;HEIGHT=450&amp;WIDTH=450&amp;START_MA","XIMIZED=FALSE&amp;VAR:CALENDAR=FIVEDAY&amp;VAR:INDEX=0"}</definedName>
    <definedName name="_747__FDSAUDITLINK__" hidden="1">{"fdsup://directions/FAT Viewer?action=UPDATE&amp;creator=factset&amp;DYN_ARGS=TRUE&amp;DOC_NAME=FAT:FQL_AUDITING_CLIENT_TEMPLATE.FAT&amp;display_string=Audit&amp;VAR:KEY=ZQLYXCHMBO&amp;VAR:QUERY=RkZfTkVUX0lOQyhBTk4sLTFGWSwsLCxVU0Qp&amp;WINDOW=FIRST_POPUP&amp;HEIGHT=450&amp;WIDTH=450&amp;START_MA","XIMIZED=FALSE&amp;VAR:CALENDAR=FIVEDAY&amp;VAR:INDEX=0"}</definedName>
    <definedName name="_748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49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5__FDSAUDITLINK__" hidden="1">{"fdsup://directions/FAT Viewer?action=UPDATE&amp;creator=factset&amp;DYN_ARGS=TRUE&amp;DOC_NAME=FAT:FQL_AUDITING_CLIENT_TEMPLATE.FAT&amp;display_string=Audit&amp;VAR:KEY=URYXUZQROR&amp;VAR:QUERY=KChGRl9FQklUKExUTSwwLCwsUkYsVVNEKUBGRl9FQklUKExUTVNfU0VNSSwwLCwsUkYsVVNEKSlARkZfRUJJV","ChBTk4sMCwsLFJGLFVTRCkp&amp;WINDOW=FIRST_POPUP&amp;HEIGHT=450&amp;WIDTH=450&amp;START_MAXIMIZED=FALSE&amp;VAR:CALENDAR=US&amp;VAR:SYMBOL=TWPG&amp;VAR:INDEX=0"}</definedName>
    <definedName name="_750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51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752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5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754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55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56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757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58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59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6__FDSAUDITLINK__" hidden="1">{"fdsup://directions/FAT Viewer?action=UPDATE&amp;creator=factset&amp;DYN_ARGS=TRUE&amp;DOC_NAME=FAT:FQL_AUDITING_CLIENT_TEMPLATE.FAT&amp;display_string=Audit&amp;VAR:KEY=UZQJGDMNEZ&amp;VAR:QUERY=KChGRl9FQklUREEoTFRNLDAsLCxSRixVU0QpQEZGX0VCSVREQShMVE1TX1NFTUksMCwsLFJGLFVTRCkpQEZGX","0VCSVREQShBTk4sMCwsLFJGLFVTRCkp&amp;WINDOW=FIRST_POPUP&amp;HEIGHT=450&amp;WIDTH=450&amp;START_MAXIMIZED=FALSE&amp;VAR:CALENDAR=US&amp;VAR:SYMBOL=TWPG&amp;VAR:INDEX=0"}</definedName>
    <definedName name="_760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761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62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763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764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65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766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67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68__FDSAUDITLINK__" hidden="1">{"fdsup://directions/FAT Viewer?action=UPDATE&amp;creator=factset&amp;DYN_ARGS=TRUE&amp;DOC_NAME=FAT:FQL_AUDITING_CLIENT_TEMPLATE.FAT&amp;display_string=Audit&amp;VAR:KEY=YDSVEFGVIL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2174&amp;VAR:INDEX=0"}</definedName>
    <definedName name="_769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7__FDSAUDITLINK__" hidden="1">{"fdsup://directions/FAT Viewer?action=UPDATE&amp;creator=factset&amp;DYN_ARGS=TRUE&amp;DOC_NAME=FAT:FQL_AUDITING_CLIENT_TEMPLATE.FAT&amp;display_string=Audit&amp;VAR:KEY=IFGLEBSLWL&amp;VAR:QUERY=KChGRl9ORVRfSU5DKExUTSwwLCwsUkYsVVNEKUBGRl9ORVRfSU5DKExUTVNfU0VNSSwwLCwsUkYsVVNEKSlAR","kZfTkVUX0lOQyhBTk4sMCwsLFJGLFVTRCkp&amp;WINDOW=FIRST_POPUP&amp;HEIGHT=450&amp;WIDTH=450&amp;START_MAXIMIZED=FALSE&amp;VAR:CALENDAR=US&amp;VAR:SYMBOL=JMP&amp;VAR:INDEX=0"}</definedName>
    <definedName name="_770__FDSAUDITLINK__" hidden="1">{"fdsup://Directions/FactSet Auditing Viewer?action=AUDIT_VALUE&amp;DB=129&amp;ID1=610483&amp;VALUEID=01001&amp;SDATE=2010&amp;PERIODTYPE=ANN_STD&amp;SCFT=3&amp;window=popup_no_bar&amp;width=385&amp;height=120&amp;START_MAXIMIZED=FALSE&amp;creator=factset&amp;display_string=Audit"}</definedName>
    <definedName name="_771__FDSAUDITLINK__" hidden="1">{"fdsup://Directions/FactSet Auditing Viewer?action=AUDIT_VALUE&amp;DB=129&amp;ID1=B03GD6&amp;VALUEID=01001&amp;SDATE=2010&amp;PERIODTYPE=ANN_STD&amp;SCFT=3&amp;window=popup_no_bar&amp;width=385&amp;height=120&amp;START_MAXIMIZED=FALSE&amp;creator=factset&amp;display_string=Audit"}</definedName>
    <definedName name="_772__FDSAUDITLINK__" hidden="1">{"fdsup://Directions/FactSet Auditing Viewer?action=AUDIT_VALUE&amp;DB=129&amp;ID1=B05JSD&amp;VALUEID=01001&amp;SDATE=2011&amp;PERIODTYPE=ANN_STD&amp;SCFT=3&amp;window=popup_no_bar&amp;width=385&amp;height=120&amp;START_MAXIMIZED=FALSE&amp;creator=factset&amp;display_string=Audit"}</definedName>
    <definedName name="_773__FDSAUDITLINK__" hidden="1">{"fdsup://Directions/FactSet Auditing Viewer?action=AUDIT_VALUE&amp;DB=129&amp;ID1=B0BVB9&amp;VALUEID=01001&amp;SDATE=2010&amp;PERIODTYPE=ANN_STD&amp;SCFT=3&amp;window=popup_no_bar&amp;width=385&amp;height=120&amp;START_MAXIMIZED=FALSE&amp;creator=factset&amp;display_string=Audit"}</definedName>
    <definedName name="_774__FDSAUDITLINK__" hidden="1">{"fdsup://Directions/FactSet Auditing Viewer?action=AUDIT_VALUE&amp;DB=129&amp;ID1=630898&amp;VALUEID=01001&amp;SDATE=2010&amp;PERIODTYPE=ANN_STD&amp;SCFT=3&amp;window=popup_no_bar&amp;width=385&amp;height=120&amp;START_MAXIMIZED=FALSE&amp;creator=factset&amp;display_string=Audit"}</definedName>
    <definedName name="_775__FDSAUDITLINK__" hidden="1">{"fdsup://Directions/FactSet Auditing Viewer?action=AUDIT_VALUE&amp;DB=129&amp;ID1=B1VJ4Z&amp;VALUEID=01001&amp;SDATE=2011&amp;PERIODTYPE=ANN_STD&amp;SCFT=3&amp;window=popup_no_bar&amp;width=385&amp;height=120&amp;START_MAXIMIZED=FALSE&amp;creator=factset&amp;display_string=Audit"}</definedName>
    <definedName name="_776__FDSAUDITLINK__" hidden="1">{"fdsup://Directions/FactSet Auditing Viewer?action=AUDIT_VALUE&amp;DB=129&amp;ID1=614261&amp;VALUEID=01001&amp;SDATE=2011&amp;PERIODTYPE=ANN_STD&amp;SCFT=3&amp;window=popup_no_bar&amp;width=385&amp;height=120&amp;START_MAXIMIZED=FALSE&amp;creator=factset&amp;display_string=Audit"}</definedName>
    <definedName name="_777__FDSAUDITLINK__" hidden="1">{"fdsup://Directions/FactSet Auditing Viewer?action=AUDIT_VALUE&amp;DB=129&amp;ID1=B0BQQX&amp;VALUEID=01001&amp;SDATE=2010&amp;PERIODTYPE=ANN_STD&amp;SCFT=3&amp;window=popup_no_bar&amp;width=385&amp;height=120&amp;START_MAXIMIZED=FALSE&amp;creator=factset&amp;display_string=Audit"}</definedName>
    <definedName name="_778__FDSAUDITLINK__" hidden="1">{"fdsup://Directions/FactSet Auditing Viewer?action=AUDIT_VALUE&amp;DB=129&amp;ID1=B3XNKM&amp;VALUEID=01001&amp;SDATE=2010&amp;PERIODTYPE=ANN_STD&amp;SCFT=3&amp;window=popup_no_bar&amp;width=385&amp;height=120&amp;START_MAXIMIZED=FALSE&amp;creator=factset&amp;display_string=Audit"}</definedName>
    <definedName name="_779__FDSAUDITLINK__" hidden="1">{"fdsup://Directions/FactSet Auditing Viewer?action=AUDIT_VALUE&amp;DB=129&amp;ID1=641903&amp;VALUEID=01001&amp;SDATE=2010&amp;PERIODTYPE=ANN_STD&amp;SCFT=3&amp;window=popup_no_bar&amp;width=385&amp;height=120&amp;START_MAXIMIZED=FALSE&amp;creator=factset&amp;display_string=Audit"}</definedName>
    <definedName name="_78__FDSAUDITLINK__" hidden="1">{"fdsup://directions/FAT Viewer?action=UPDATE&amp;creator=factset&amp;DYN_ARGS=TRUE&amp;DOC_NAME=FAT:FQL_AUDITING_CLIENT_TEMPLATE.FAT&amp;display_string=Audit&amp;VAR:KEY=SZUPOFCRSL&amp;VAR:QUERY=KChGRl9FQklUKExUTSwwLCwsUkYsVVNEKUBGRl9FQklUKExUTVNfU0VNSSwwLCwsUkYsVVNEKSlARkZfRUJJV","ChBTk4sMCwsLFJGLFVTRCkp&amp;WINDOW=FIRST_POPUP&amp;HEIGHT=450&amp;WIDTH=450&amp;START_MAXIMIZED=FALSE&amp;VAR:CALENDAR=US&amp;VAR:SYMBOL=JMP&amp;VAR:INDEX=0"}</definedName>
    <definedName name="_780__FDSAUDITLINK__" hidden="1">{"fdsup://Directions/FactSet Auditing Viewer?action=AUDIT_VALUE&amp;DB=129&amp;ID1=B43G3B&amp;VALUEID=01001&amp;SDATE=2010&amp;PERIODTYPE=ANN_STD&amp;SCFT=3&amp;window=popup_no_bar&amp;width=385&amp;height=120&amp;START_MAXIMIZED=FALSE&amp;creator=factset&amp;display_string=Audit"}</definedName>
    <definedName name="_781__FDSAUDITLINK__" hidden="1">{"fdsup://Directions/FactSet Auditing Viewer?action=AUDIT_VALUE&amp;DB=129&amp;ID1=680084&amp;VALUEID=01001&amp;SDATE=2010&amp;PERIODTYPE=ANN_STD&amp;SCFT=3&amp;window=popup_no_bar&amp;width=385&amp;height=120&amp;START_MAXIMIZED=FALSE&amp;creator=factset&amp;display_string=Audit"}</definedName>
    <definedName name="_782__FDSAUDITLINK__" hidden="1">{"fdsup://Directions/FactSet Auditing Viewer?action=AUDIT_VALUE&amp;DB=129&amp;ID1=B0LLBY&amp;VALUEID=01001&amp;SDATE=2010&amp;PERIODTYPE=ANN_STD&amp;SCFT=3&amp;window=popup_no_bar&amp;width=385&amp;height=120&amp;START_MAXIMIZED=FALSE&amp;creator=factset&amp;display_string=Audit"}</definedName>
    <definedName name="_783__FDSAUDITLINK__" hidden="1">{"fdsup://Directions/FactSet Auditing Viewer?action=AUDIT_VALUE&amp;DB=129&amp;ID1=642439&amp;VALUEID=01001&amp;SDATE=2010&amp;PERIODTYPE=ANN_STD&amp;SCFT=3&amp;window=popup_no_bar&amp;width=385&amp;height=120&amp;START_MAXIMIZED=FALSE&amp;creator=factset&amp;display_string=Audit"}</definedName>
    <definedName name="_784__FDSAUDITLINK__" hidden="1">{"fdsup://Directions/FactSet Auditing Viewer?action=AUDIT_VALUE&amp;DB=129&amp;ID1=B0G7FW&amp;VALUEID=01001&amp;SDATE=2010&amp;PERIODTYPE=ANN_STD&amp;SCFT=3&amp;window=popup_no_bar&amp;width=385&amp;height=120&amp;START_MAXIMIZED=FALSE&amp;creator=factset&amp;display_string=Audit"}</definedName>
    <definedName name="_785__FDSAUDITLINK__" hidden="1">{"fdsup://Directions/FactSet Auditing Viewer?action=AUDIT_VALUE&amp;DB=129&amp;ID1=B6VLQS&amp;VALUEID=01001&amp;SDATE=2010&amp;PERIODTYPE=ANN_STD&amp;SCFT=3&amp;window=popup_no_bar&amp;width=385&amp;height=120&amp;START_MAXIMIZED=FALSE&amp;creator=factset&amp;display_string=Audit"}</definedName>
    <definedName name="_786__FDSAUDITLINK__" hidden="1">{"fdsup://Directions/FactSet Auditing Viewer?action=AUDIT_VALUE&amp;DB=129&amp;ID1=673525&amp;VALUEID=01001&amp;SDATE=2010&amp;PERIODTYPE=ANN_STD&amp;SCFT=3&amp;window=popup_no_bar&amp;width=385&amp;height=120&amp;START_MAXIMIZED=FALSE&amp;creator=factset&amp;display_string=Audit"}</definedName>
    <definedName name="_787__FDSAUDITLINK__" hidden="1">{"fdsup://Directions/FactSet Auditing Viewer?action=AUDIT_VALUE&amp;DB=129&amp;ID1=B058J5&amp;VALUEID=01001&amp;SDATE=2011&amp;PERIODTYPE=ANN_STD&amp;SCFT=3&amp;window=popup_no_bar&amp;width=385&amp;height=120&amp;START_MAXIMIZED=FALSE&amp;creator=factset&amp;display_string=Audit"}</definedName>
    <definedName name="_788__FDSAUDITLINK__" hidden="1">{"fdsup://Directions/FactSet Auditing Viewer?action=AUDIT_VALUE&amp;DB=129&amp;ID1=637227&amp;VALUEID=01001&amp;SDATE=2010&amp;PERIODTYPE=ANN_STD&amp;SCFT=3&amp;window=popup_no_bar&amp;width=385&amp;height=120&amp;START_MAXIMIZED=FALSE&amp;creator=factset&amp;display_string=Audit"}</definedName>
    <definedName name="_789__FDSAUDITLINK__" hidden="1">{"fdsup://Directions/FactSet Auditing Viewer?action=AUDIT_VALUE&amp;DB=129&amp;ID1=637494&amp;VALUEID=01001&amp;SDATE=2011&amp;PERIODTYPE=ANN_STD&amp;SCFT=3&amp;window=popup_no_bar&amp;width=385&amp;height=120&amp;START_MAXIMIZED=FALSE&amp;creator=factset&amp;display_string=Audit"}</definedName>
    <definedName name="_79__FDSAUDITLINK__" hidden="1">{"fdsup://directions/FAT Viewer?action=UPDATE&amp;creator=factset&amp;DYN_ARGS=TRUE&amp;DOC_NAME=FAT:FQL_AUDITING_CLIENT_TEMPLATE.FAT&amp;display_string=Audit&amp;VAR:KEY=MVYNGXYRYJ&amp;VAR:QUERY=KChGRl9FQklUREEoTFRNLDAsLCxSRixVU0QpQEZGX0VCSVREQShMVE1TX1NFTUksMCwsLFJGLFVTRCkpQEZGX","0VCSVREQShBTk4sMCwsLFJGLFVTRCkp&amp;WINDOW=FIRST_POPUP&amp;HEIGHT=450&amp;WIDTH=450&amp;START_MAXIMIZED=FALSE&amp;VAR:CALENDAR=US&amp;VAR:SYMBOL=JMP&amp;VAR:INDEX=0"}</definedName>
    <definedName name="_790__FDSAUDITLINK__" hidden="1">{"fdsup://Directions/FactSet Auditing Viewer?action=AUDIT_VALUE&amp;DB=129&amp;ID1=B0LWM4&amp;VALUEID=01001&amp;SDATE=2010&amp;PERIODTYPE=ANN_STD&amp;SCFT=3&amp;window=popup_no_bar&amp;width=385&amp;height=120&amp;START_MAXIMIZED=FALSE&amp;creator=factset&amp;display_string=Audit"}</definedName>
    <definedName name="_791__FDSAUDITLINK__" hidden="1">{"fdsup://Directions/FactSet Auditing Viewer?action=AUDIT_VALUE&amp;DB=129&amp;ID1=669811&amp;VALUEID=01001&amp;SDATE=2011&amp;PERIODTYPE=ANN_STD&amp;SCFT=3&amp;window=popup_no_bar&amp;width=385&amp;height=120&amp;START_MAXIMIZED=FALSE&amp;creator=factset&amp;display_string=Audit"}</definedName>
    <definedName name="_792__FDSAUDITLINK__" hidden="1">{"fdsup://Directions/FactSet Auditing Viewer?action=AUDIT_VALUE&amp;DB=129&amp;ID1=669811&amp;VALUEID=01001&amp;SDATE=2011&amp;PERIODTYPE=ANN_STD&amp;SCFT=3&amp;window=popup_no_bar&amp;width=385&amp;height=120&amp;START_MAXIMIZED=FALSE&amp;creator=factset&amp;display_string=Audit"}</definedName>
    <definedName name="_793__FDSAUDITLINK__" hidden="1">{"fdsup://Directions/FactSet Auditing Viewer?action=AUDIT_VALUE&amp;DB=129&amp;ID1=B0LWM4&amp;VALUEID=01001&amp;SDATE=2010&amp;PERIODTYPE=ANN_STD&amp;SCFT=3&amp;window=popup_no_bar&amp;width=385&amp;height=120&amp;START_MAXIMIZED=FALSE&amp;creator=factset&amp;display_string=Audit"}</definedName>
    <definedName name="_794__FDSAUDITLINK__" hidden="1">{"fdsup://Directions/FactSet Auditing Viewer?action=AUDIT_VALUE&amp;DB=129&amp;ID1=637494&amp;VALUEID=01001&amp;SDATE=2011&amp;PERIODTYPE=ANN_STD&amp;SCFT=3&amp;window=popup_no_bar&amp;width=385&amp;height=120&amp;START_MAXIMIZED=FALSE&amp;creator=factset&amp;display_string=Audit"}</definedName>
    <definedName name="_795__FDSAUDITLINK__" hidden="1">{"fdsup://Directions/FactSet Auditing Viewer?action=AUDIT_VALUE&amp;DB=129&amp;ID1=637227&amp;VALUEID=01001&amp;SDATE=2010&amp;PERIODTYPE=ANN_STD&amp;SCFT=3&amp;window=popup_no_bar&amp;width=385&amp;height=120&amp;START_MAXIMIZED=FALSE&amp;creator=factset&amp;display_string=Audit"}</definedName>
    <definedName name="_796__FDSAUDITLINK__" hidden="1">{"fdsup://Directions/FactSet Auditing Viewer?action=AUDIT_VALUE&amp;DB=129&amp;ID1=B058J5&amp;VALUEID=01001&amp;SDATE=2011&amp;PERIODTYPE=ANN_STD&amp;SCFT=3&amp;window=popup_no_bar&amp;width=385&amp;height=120&amp;START_MAXIMIZED=FALSE&amp;creator=factset&amp;display_string=Audit"}</definedName>
    <definedName name="_797__FDSAUDITLINK__" hidden="1">{"fdsup://Directions/FactSet Auditing Viewer?action=AUDIT_VALUE&amp;DB=129&amp;ID1=673525&amp;VALUEID=01001&amp;SDATE=2010&amp;PERIODTYPE=ANN_STD&amp;SCFT=3&amp;window=popup_no_bar&amp;width=385&amp;height=120&amp;START_MAXIMIZED=FALSE&amp;creator=factset&amp;display_string=Audit"}</definedName>
    <definedName name="_798__FDSAUDITLINK__" hidden="1">{"fdsup://Directions/FactSet Auditing Viewer?action=AUDIT_VALUE&amp;DB=129&amp;ID1=B6VLQS&amp;VALUEID=01001&amp;SDATE=2010&amp;PERIODTYPE=ANN_STD&amp;SCFT=3&amp;window=popup_no_bar&amp;width=385&amp;height=120&amp;START_MAXIMIZED=FALSE&amp;creator=factset&amp;display_string=Audit"}</definedName>
    <definedName name="_799__FDSAUDITLINK__" hidden="1">{"fdsup://Directions/FactSet Auditing Viewer?action=AUDIT_VALUE&amp;DB=129&amp;ID1=B0G7FW&amp;VALUEID=01001&amp;SDATE=2010&amp;PERIODTYPE=ANN_STD&amp;SCFT=3&amp;window=popup_no_bar&amp;width=385&amp;height=120&amp;START_MAXIMIZED=FALSE&amp;creator=factset&amp;display_string=Audit"}</definedName>
    <definedName name="_8__123Graph_A_FABP_L.WK1_FAB" hidden="1">#REF!</definedName>
    <definedName name="_8__123Graph_ACHART_1" hidden="1">#REF!</definedName>
    <definedName name="_8__123Graph_AChart_3" hidden="1">#REF!</definedName>
    <definedName name="_8__123Graph_ADEPREC" hidden="1">#REF!</definedName>
    <definedName name="_8__123Graph_XChart_3" hidden="1">#REF!</definedName>
    <definedName name="_8__FDSAUDITLINK__" hidden="1">{"fdsup://directions/FAT Viewer?action=UPDATE&amp;creator=factset&amp;DYN_ARGS=TRUE&amp;DOC_NAME=FAT:FQL_AUDITING_CLIENT_TEMPLATE.FAT&amp;display_string=Audit&amp;VAR:KEY=SLMNKJIRGJ&amp;VAR:QUERY=KEZGX0VCSVREQShMVE0sMTIvMzEvMjAwOSwsLFJGLFVTRClARkZfRUJJVERBX0lCKExUTSwxMi8zMS8yMDA5L","CwsUkYsVVNEKSk=&amp;WINDOW=FIRST_POPUP&amp;HEIGHT=450&amp;WIDTH=450&amp;START_MAXIMIZED=FALSE&amp;VAR:CALENDAR=US&amp;VAR:SYMBOL=MIPS&amp;VAR:INDEX=0"}</definedName>
    <definedName name="_8__FDSAUDITLINK___1" hidden="1">{"fdsup://IBCentral/FAT Viewer?action=UPDATE&amp;creator=factset&amp;DOC_NAME=fat:reuters_annual_shs_src_window.fat&amp;display_string=Audit&amp;DYN_ARGS=TRUE&amp;VAR:ID1=580685&amp;VAR:RCODE=FDSSHSOUTDEPS&amp;VAR:SDATE=20071299&amp;VAR:FREQ=Y&amp;VAR:RELITEM=RF&amp;VAR:CURRENCY=&amp;VAR:CURRSOURCE=E","XSHARE&amp;VAR:NATFREQ=ANNUAL&amp;VAR:RFIELD=FINALIZED&amp;VAR:DB_TYPE=&amp;VAR:UNITS=MONTHLY&amp;window=popup&amp;width=450&amp;height=300&amp;START_MAXIMIZED=FALSE"}</definedName>
    <definedName name="_8_0_Table2_" hidden="1">#REF!</definedName>
    <definedName name="_80__FDSAUDITLINK__" hidden="1">{"fdsup://Directions/FactSet Auditing Viewer?action=AUDIT_VALUE&amp;DB=129&amp;ID1=Y9369110&amp;VALUEID=07011&amp;SDATE=2009&amp;PERIODTYPE=ANN_STD&amp;window=popup_no_bar&amp;width=385&amp;height=120&amp;START_MAXIMIZED=FALSE&amp;creator=factset&amp;display_string=Audit"}</definedName>
    <definedName name="_800__FDSAUDITLINK__" hidden="1">{"fdsup://Directions/FactSet Auditing Viewer?action=AUDIT_VALUE&amp;DB=129&amp;ID1=642439&amp;VALUEID=01001&amp;SDATE=2010&amp;PERIODTYPE=ANN_STD&amp;SCFT=3&amp;window=popup_no_bar&amp;width=385&amp;height=120&amp;START_MAXIMIZED=FALSE&amp;creator=factset&amp;display_string=Audit"}</definedName>
    <definedName name="_801__FDSAUDITLINK__" hidden="1">{"fdsup://Directions/FactSet Auditing Viewer?action=AUDIT_VALUE&amp;DB=129&amp;ID1=B0LLBY&amp;VALUEID=01001&amp;SDATE=2010&amp;PERIODTYPE=ANN_STD&amp;SCFT=3&amp;window=popup_no_bar&amp;width=385&amp;height=120&amp;START_MAXIMIZED=FALSE&amp;creator=factset&amp;display_string=Audit"}</definedName>
    <definedName name="_802__FDSAUDITLINK__" hidden="1">{"fdsup://Directions/FactSet Auditing Viewer?action=AUDIT_VALUE&amp;DB=129&amp;ID1=680084&amp;VALUEID=01001&amp;SDATE=2010&amp;PERIODTYPE=ANN_STD&amp;SCFT=3&amp;window=popup_no_bar&amp;width=385&amp;height=120&amp;START_MAXIMIZED=FALSE&amp;creator=factset&amp;display_string=Audit"}</definedName>
    <definedName name="_803__FDSAUDITLINK__" hidden="1">{"fdsup://Directions/FactSet Auditing Viewer?action=AUDIT_VALUE&amp;DB=129&amp;ID1=B43G3B&amp;VALUEID=01001&amp;SDATE=2010&amp;PERIODTYPE=ANN_STD&amp;SCFT=3&amp;window=popup_no_bar&amp;width=385&amp;height=120&amp;START_MAXIMIZED=FALSE&amp;creator=factset&amp;display_string=Audit"}</definedName>
    <definedName name="_804__FDSAUDITLINK__" hidden="1">{"fdsup://Directions/FactSet Auditing Viewer?action=AUDIT_VALUE&amp;DB=129&amp;ID1=641903&amp;VALUEID=01001&amp;SDATE=2010&amp;PERIODTYPE=ANN_STD&amp;SCFT=3&amp;window=popup_no_bar&amp;width=385&amp;height=120&amp;START_MAXIMIZED=FALSE&amp;creator=factset&amp;display_string=Audit"}</definedName>
    <definedName name="_805__FDSAUDITLINK__" hidden="1">{"fdsup://Directions/FactSet Auditing Viewer?action=AUDIT_VALUE&amp;DB=129&amp;ID1=B3XNKM&amp;VALUEID=01001&amp;SDATE=2010&amp;PERIODTYPE=ANN_STD&amp;SCFT=3&amp;window=popup_no_bar&amp;width=385&amp;height=120&amp;START_MAXIMIZED=FALSE&amp;creator=factset&amp;display_string=Audit"}</definedName>
    <definedName name="_806__FDSAUDITLINK__" hidden="1">{"fdsup://Directions/FactSet Auditing Viewer?action=AUDIT_VALUE&amp;DB=129&amp;ID1=B0BQQX&amp;VALUEID=01001&amp;SDATE=2010&amp;PERIODTYPE=ANN_STD&amp;SCFT=3&amp;window=popup_no_bar&amp;width=385&amp;height=120&amp;START_MAXIMIZED=FALSE&amp;creator=factset&amp;display_string=Audit"}</definedName>
    <definedName name="_807__FDSAUDITLINK__" hidden="1">{"fdsup://Directions/FactSet Auditing Viewer?action=AUDIT_VALUE&amp;DB=129&amp;ID1=614261&amp;VALUEID=01001&amp;SDATE=2011&amp;PERIODTYPE=ANN_STD&amp;SCFT=3&amp;window=popup_no_bar&amp;width=385&amp;height=120&amp;START_MAXIMIZED=FALSE&amp;creator=factset&amp;display_string=Audit"}</definedName>
    <definedName name="_808__FDSAUDITLINK__" hidden="1">{"fdsup://Directions/FactSet Auditing Viewer?action=AUDIT_VALUE&amp;DB=129&amp;ID1=B1VJ4Z&amp;VALUEID=01001&amp;SDATE=2011&amp;PERIODTYPE=ANN_STD&amp;SCFT=3&amp;window=popup_no_bar&amp;width=385&amp;height=120&amp;START_MAXIMIZED=FALSE&amp;creator=factset&amp;display_string=Audit"}</definedName>
    <definedName name="_809__FDSAUDITLINK__" hidden="1">{"fdsup://Directions/FactSet Auditing Viewer?action=AUDIT_VALUE&amp;DB=129&amp;ID1=630898&amp;VALUEID=01001&amp;SDATE=2010&amp;PERIODTYPE=ANN_STD&amp;SCFT=3&amp;window=popup_no_bar&amp;width=385&amp;height=120&amp;START_MAXIMIZED=FALSE&amp;creator=factset&amp;display_string=Audit"}</definedName>
    <definedName name="_81__FDSAUDITLINK__" hidden="1">{"fdsup://Directions/FactSet Auditing Viewer?action=AUDIT_VALUE&amp;DB=129&amp;ID1=46629U10&amp;VALUEID=01001&amp;SDATE=200904&amp;PERIODTYPE=QTR_STD&amp;window=popup_no_bar&amp;width=385&amp;height=120&amp;START_MAXIMIZED=FALSE&amp;creator=factset&amp;display_string=Audit"}</definedName>
    <definedName name="_810__FDSAUDITLINK__" hidden="1">{"fdsup://Directions/FactSet Auditing Viewer?action=AUDIT_VALUE&amp;DB=129&amp;ID1=B0BVB9&amp;VALUEID=01001&amp;SDATE=2010&amp;PERIODTYPE=ANN_STD&amp;SCFT=3&amp;window=popup_no_bar&amp;width=385&amp;height=120&amp;START_MAXIMIZED=FALSE&amp;creator=factset&amp;display_string=Audit"}</definedName>
    <definedName name="_811__FDSAUDITLINK__" hidden="1">{"fdsup://Directions/FactSet Auditing Viewer?action=AUDIT_VALUE&amp;DB=129&amp;ID1=B05JSD&amp;VALUEID=01001&amp;SDATE=2011&amp;PERIODTYPE=ANN_STD&amp;SCFT=3&amp;window=popup_no_bar&amp;width=385&amp;height=120&amp;START_MAXIMIZED=FALSE&amp;creator=factset&amp;display_string=Audit"}</definedName>
    <definedName name="_812__FDSAUDITLINK__" hidden="1">{"fdsup://Directions/FactSet Auditing Viewer?action=AUDIT_VALUE&amp;DB=129&amp;ID1=B03GD6&amp;VALUEID=01001&amp;SDATE=2010&amp;PERIODTYPE=ANN_STD&amp;SCFT=3&amp;window=popup_no_bar&amp;width=385&amp;height=120&amp;START_MAXIMIZED=FALSE&amp;creator=factset&amp;display_string=Audit"}</definedName>
    <definedName name="_813__FDSAUDITLINK__" hidden="1">{"fdsup://Directions/FactSet Auditing Viewer?action=AUDIT_VALUE&amp;DB=129&amp;ID1=610483&amp;VALUEID=01001&amp;SDATE=2010&amp;PERIODTYPE=ANN_STD&amp;SCFT=3&amp;window=popup_no_bar&amp;width=385&amp;height=120&amp;START_MAXIMIZED=FALSE&amp;creator=factset&amp;display_string=Audit"}</definedName>
    <definedName name="_814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15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16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17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18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19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2__FDSAUDITLINK__" hidden="1">{"fdsup://Directions/FactSet Auditing Viewer?action=AUDIT_VALUE&amp;DB=129&amp;ID1=46629U10&amp;VALUEID=01001&amp;SDATE=200901&amp;PERIODTYPE=QTR_STD&amp;window=popup_no_bar&amp;width=385&amp;height=120&amp;START_MAXIMIZED=FALSE&amp;creator=factset&amp;display_string=Audit"}</definedName>
    <definedName name="_820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21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22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2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24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25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826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827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828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829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3__FDSAUDITLINK__" hidden="1">{"fdsup://directions/FAT Viewer?action=UPDATE&amp;creator=factset&amp;DYN_ARGS=TRUE&amp;DOC_NAME=FAT:FQL_AUDITING_CLIENT_TEMPLATE.FAT&amp;display_string=Audit&amp;VAR:KEY=ONOJEJCLGB&amp;VAR:QUERY=KChGRl9ORVRfSU5DKExUTSwwLCwsUkYsVVNEKUBGRl9ORVRfSU5DKExUTVNfU0VNSSwwLCwsUkYsVVNEKSlAR","kZfTkVUX0lOQyhBTk4sMCwsLFJGLFVTRCkp&amp;WINDOW=FIRST_POPUP&amp;HEIGHT=450&amp;WIDTH=450&amp;START_MAXIMIZED=FALSE&amp;VAR:CALENDAR=US&amp;VAR:SYMBOL=2174&amp;VAR:INDEX=0"}</definedName>
    <definedName name="_830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31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32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33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34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835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36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37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38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39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4__FDSAUDITLINK__" hidden="1">{"fdsup://directions/FAT Viewer?action=UPDATE&amp;creator=factset&amp;DYN_ARGS=TRUE&amp;DOC_NAME=FAT:FQL_AUDITING_CLIENT_TEMPLATE.FAT&amp;display_string=Audit&amp;VAR:KEY=MZKDKNKHEP&amp;VAR:QUERY=KChGRl9FQklUKExUTSwwLCwsUkYsVVNEKUBGRl9FQklUKExUTVNfU0VNSSwwLCwsUkYsVVNEKSlARkZfRUJJV","ChBTk4sMCwsLFJGLFVTRCkp&amp;WINDOW=FIRST_POPUP&amp;HEIGHT=450&amp;WIDTH=450&amp;START_MAXIMIZED=FALSE&amp;VAR:CALENDAR=US&amp;VAR:SYMBOL=2174&amp;VAR:INDEX=0"}</definedName>
    <definedName name="_840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41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42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43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44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45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46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47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48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49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5__FDSAUDITLINK__" hidden="1">{"fdsup://directions/FAT Viewer?action=UPDATE&amp;creator=factset&amp;DYN_ARGS=TRUE&amp;DOC_NAME=FAT:FQL_AUDITING_CLIENT_TEMPLATE.FAT&amp;display_string=Audit&amp;VAR:KEY=QHANKRAVAB&amp;VAR:QUERY=KChGRl9FQklUREEoTFRNLDAsLCxSRixVU0QpQEZGX0VCSVREQShMVE1TX1NFTUksMCwsLFJGLFVTRCkpQEZGX","0VCSVREQShBTk4sMCwsLFJGLFVTRCkp&amp;WINDOW=FIRST_POPUP&amp;HEIGHT=450&amp;WIDTH=450&amp;START_MAXIMIZED=FALSE&amp;VAR:CALENDAR=US&amp;VAR:SYMBOL=2174&amp;VAR:INDEX=0"}</definedName>
    <definedName name="_850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51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52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53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54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55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56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57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58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59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6__FDSAUDITLINK__" hidden="1">{"fdsup://Directions/FactSet Auditing Viewer?action=AUDIT_VALUE&amp;DB=129&amp;ID1=22362210&amp;VALUEID=01251&amp;SDATE=2009&amp;PERIODTYPE=ANN_STD&amp;window=popup_no_bar&amp;width=385&amp;height=120&amp;START_MAXIMIZED=FALSE&amp;creator=factset&amp;display_string=Audit"}</definedName>
    <definedName name="_860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61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62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6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64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65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66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67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68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69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7__FDSAUDITLINK__" hidden="1">{"fdsup://directions/FAT Viewer?action=UPDATE&amp;creator=factset&amp;DYN_ARGS=TRUE&amp;DOC_NAME=FAT:FQL_AUDITING_CLIENT_TEMPLATE.FAT&amp;display_string=Audit&amp;VAR:KEY=ULOPQJWPAF&amp;VAR:QUERY=KChGRl9ORVRfSU5DKExUTSwwLCwsUkYsVVNEKUBGRl9ORVRfSU5DKExUTVNfU0VNSSwwLCwsUkYsVVNEKSlAR","kZfTkVUX0lOQyhBTk4sMCwsLFJGLFVTRCkp&amp;WINDOW=FIRST_POPUP&amp;HEIGHT=450&amp;WIDTH=450&amp;START_MAXIMIZED=FALSE&amp;VAR:CALENDAR=US&amp;VAR:SYMBOL=COWN&amp;VAR:INDEX=0"}</definedName>
    <definedName name="_870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71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72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73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874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75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7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77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878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79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8__FDSAUDITLINK__" hidden="1">{"fdsup://directions/FAT Viewer?action=UPDATE&amp;creator=factset&amp;DYN_ARGS=TRUE&amp;DOC_NAME=FAT:FQL_AUDITING_CLIENT_TEMPLATE.FAT&amp;display_string=Audit&amp;VAR:KEY=UXELWXUDQH&amp;VAR:QUERY=KChGRl9FQklUKExUTSwwLCwsUkYsVVNEKUBGRl9FQklUKExUTVNfU0VNSSwwLCwsUkYsVVNEKSlARkZfRUJJV","ChBTk4sMCwsLFJGLFVTRCkp&amp;WINDOW=FIRST_POPUP&amp;HEIGHT=450&amp;WIDTH=450&amp;START_MAXIMIZED=FALSE&amp;VAR:CALENDAR=US&amp;VAR:SYMBOL=COWN&amp;VAR:INDEX=0"}</definedName>
    <definedName name="_880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81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82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83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84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85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86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87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88__FDSAUDITLINK__" hidden="1">{"fdsup://Directions/FactSet Auditing Viewer?action=AUDIT_VALUE&amp;DB=129&amp;ID1=B2PG34&amp;VALUEID=01001&amp;SDATE=2011&amp;PERIODTYPE=ANN_STD&amp;SCFT=3&amp;window=popup_no_bar&amp;width=385&amp;height=120&amp;START_MAXIMIZED=FALSE&amp;creator=factset&amp;display_string=Audit"}</definedName>
    <definedName name="_889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9__FDSAUDITLINK__" hidden="1">{"fdsup://directions/FAT Viewer?action=UPDATE&amp;creator=factset&amp;DYN_ARGS=TRUE&amp;DOC_NAME=FAT:FQL_AUDITING_CLIENT_TEMPLATE.FAT&amp;display_string=Audit&amp;VAR:KEY=ADITWPGNED&amp;VAR:QUERY=KChGRl9FQklUREEoTFRNLDAsLCxSRixVU0QpQEZGX0VCSVREQShMVE1TX1NFTUksMCwsLFJGLFVTRCkpQEZGX","0VCSVREQShBTk4sMCwsLFJGLFVTRCkp&amp;WINDOW=FIRST_POPUP&amp;HEIGHT=450&amp;WIDTH=450&amp;START_MAXIMIZED=FALSE&amp;VAR:CALENDAR=US&amp;VAR:SYMBOL=COWN&amp;VAR:INDEX=0"}</definedName>
    <definedName name="_890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91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92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93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94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95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9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97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98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99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__123Graph_ACHART_3" hidden="1">#REF!</definedName>
    <definedName name="_9__123Graph_AChart_4" hidden="1">#REF!</definedName>
    <definedName name="_9__123Graph_B_FABP_L.WK1_FAB" hidden="1">#REF!</definedName>
    <definedName name="_9__123Graph_XChart_4" hidden="1">#REF!</definedName>
    <definedName name="_9__FDSAUDITLINK__" hidden="1">{"fdsup://Directions/FactSet Auditing Viewer?action=AUDIT_VALUE&amp;DB=129&amp;ID1=60456710&amp;VALUEID=07011&amp;SDATE=2011&amp;PERIODTYPE=ANN_STD&amp;SCFT=3&amp;window=popup_no_bar&amp;width=385&amp;height=120&amp;START_MAXIMIZED=FALSE&amp;creator=factset&amp;display_string=Audit"}</definedName>
    <definedName name="_9__FDSAUDITLINK___1" hidden="1">{"fdsup://IBCentral/FAT Viewer?action=UPDATE&amp;creator=factset&amp;DOC_NAME=fat:reuters_annual_shs_src_window.fat&amp;display_string=Audit&amp;DYN_ARGS=TRUE&amp;VAR:ID1=87424N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9_0_Table2_" hidden="1">#REF!</definedName>
    <definedName name="_90__FDSAUDITLINK__" hidden="1">{"fdsup://Directions/FactSet Auditing Viewer?action=AUDIT_VALUE&amp;DB=129&amp;ID1=22362210&amp;VALUEID=01001&amp;SDATE=2009&amp;PERIODTYPE=ANN_STD&amp;window=popup_no_bar&amp;width=385&amp;height=120&amp;START_MAXIMIZED=FALSE&amp;creator=factset&amp;display_string=Audit"}</definedName>
    <definedName name="_900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01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02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03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04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05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0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07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08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09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1__FDSAUDITLINK__" hidden="1">{"fdsup://Directions/FactSet Auditing Viewer?action=AUDIT_VALUE&amp;DB=129&amp;ID1=22362210&amp;VALUEID=01001&amp;SDATE=2009&amp;PERIODTYPE=ANN_STD&amp;window=popup_no_bar&amp;width=385&amp;height=120&amp;START_MAXIMIZED=FALSE&amp;creator=factset&amp;display_string=Audit"}</definedName>
    <definedName name="_910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1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12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13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14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15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16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17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8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9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2__FDSAUDITLINK__" hidden="1">{"fdsup://Directions/FactSet Auditing Viewer?action=AUDIT_VALUE&amp;DB=129&amp;ID1=22362210&amp;VALUEID=01001&amp;SDATE=200904&amp;PERIODTYPE=QTR_STD&amp;window=popup_no_bar&amp;width=385&amp;height=120&amp;START_MAXIMIZED=FALSE&amp;creator=factset&amp;display_string=Audit"}</definedName>
    <definedName name="_920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21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22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23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24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25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26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27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28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29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3__FDSAUDITLINK__" hidden="1">{"fdsup://directions/FAT Viewer?action=UPDATE&amp;creator=factset&amp;DYN_ARGS=TRUE&amp;DOC_NAME=FAT:FQL_AUDITING_CLIENT_TEMPLATE.FAT&amp;display_string=Audit&amp;VAR:KEY=WJABELWZQR&amp;VAR:QUERY=KChGRl9ORVRfSU5DKExUTSwwLCwsUkYsVVNEKUBGRl9ORVRfSU5DKExUTVNfU0VNSSwwLCwsUkYsVVNEKSlAR","kZfTkVUX0lOQyhBTk4sMCwsLFJGLFVTRCkp&amp;WINDOW=FIRST_POPUP&amp;HEIGHT=450&amp;WIDTH=450&amp;START_MAXIMIZED=FALSE&amp;VAR:CALENDAR=US&amp;VAR:SYMBOL=EVR&amp;VAR:INDEX=0"}</definedName>
    <definedName name="_930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31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32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33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34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35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36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37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38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39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4__FDSAUDITLINK__" hidden="1">{"fdsup://directions/FAT Viewer?action=UPDATE&amp;creator=factset&amp;DYN_ARGS=TRUE&amp;DOC_NAME=FAT:FQL_AUDITING_CLIENT_TEMPLATE.FAT&amp;display_string=Audit&amp;VAR:KEY=GLEHSPOFWT&amp;VAR:QUERY=KChGRl9FQklUKExUTSwwLCwsUkYsVVNEKUBGRl9FQklUKExUTVNfU0VNSSwwLCwsUkYsVVNEKSlARkZfRUJJV","ChBTk4sMCwsLFJGLFVTRCkp&amp;WINDOW=FIRST_POPUP&amp;HEIGHT=450&amp;WIDTH=450&amp;START_MAXIMIZED=FALSE&amp;VAR:CALENDAR=US&amp;VAR:SYMBOL=EVR&amp;VAR:INDEX=0"}</definedName>
    <definedName name="_940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41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42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43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44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45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46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47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48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49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5__FDSAUDITLINK__" hidden="1">{"fdsup://directions/FAT Viewer?action=UPDATE&amp;creator=factset&amp;DYN_ARGS=TRUE&amp;DOC_NAME=FAT:FQL_AUDITING_CLIENT_TEMPLATE.FAT&amp;display_string=Audit&amp;VAR:KEY=YLADYZWDAZ&amp;VAR:QUERY=KChGRl9FQklUREEoTFRNLDAsLCxSRixVU0QpQEZGX0VCSVREQShMVE1TX1NFTUksMCwsLFJGLFVTRCkpQEZGX","0VCSVREQShBTk4sMCwsLFJGLFVTRCkp&amp;WINDOW=FIRST_POPUP&amp;HEIGHT=450&amp;WIDTH=450&amp;START_MAXIMIZED=FALSE&amp;VAR:CALENDAR=US&amp;VAR:SYMBOL=EVR&amp;VAR:INDEX=0"}</definedName>
    <definedName name="_950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51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5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53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54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55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56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57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58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59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6__FDSAUDITLINK__" hidden="1">{"fdsup://Directions/FactSet Auditing Viewer?action=AUDIT_VALUE&amp;DB=129&amp;ID1=29977A10&amp;VALUEID=01001&amp;SDATE=200904&amp;PERIODTYPE=QTR_STD&amp;window=popup_no_bar&amp;width=385&amp;height=120&amp;START_MAXIMIZED=FALSE&amp;creator=factset&amp;display_string=Audit"}</definedName>
    <definedName name="_960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61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62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63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64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65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66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67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68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69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7__FDSAUDITLINK__" hidden="1">{"fdsup://Directions/FactSet Auditing Viewer?action=AUDIT_VALUE&amp;DB=129&amp;ID1=29977A10&amp;VALUEID=01001&amp;SDATE=200901&amp;PERIODTYPE=QTR_STD&amp;window=popup_no_bar&amp;width=385&amp;height=120&amp;START_MAXIMIZED=FALSE&amp;creator=factset&amp;display_string=Audit"}</definedName>
    <definedName name="_970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71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7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7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7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7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7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77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78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7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8__FDSAUDITLINK__" hidden="1">{"fdsup://directions/FAT Viewer?action=UPDATE&amp;creator=factset&amp;DYN_ARGS=TRUE&amp;DOC_NAME=FAT:FQL_AUDITING_CLIENT_TEMPLATE.FAT&amp;display_string=Audit&amp;VAR:KEY=SVOZWLATYF&amp;VAR:QUERY=KChGRl9ORVRfSU5DKExUTSwwLCwsUkYsVVNEKUBGRl9ORVRfSU5DKExUTVNfU0VNSSwwLCwsUkYsVVNEKSlAR","kZfTkVUX0lOQyhBTk4sMCwsLFJGLFVTRCkp&amp;WINDOW=FIRST_POPUP&amp;HEIGHT=450&amp;WIDTH=450&amp;START_MAXIMIZED=FALSE&amp;VAR:CALENDAR=US&amp;VAR:SYMBOL=PJC&amp;VAR:INDEX=0"}</definedName>
    <definedName name="_980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81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82__FDSAUDITLINK__" hidden="1">{"fdsup://Directions/FactSet Auditing Viewer?action=AUDIT_VALUE&amp;DB=129&amp;ID1=B2PG34&amp;VALUEID=02999&amp;SDATE=2011&amp;PERIODTYPE=ANN_STD&amp;SCFT=3&amp;window=popup_no_bar&amp;width=385&amp;height=120&amp;START_MAXIMIZED=FALSE&amp;creator=factset&amp;display_string=Audit"}</definedName>
    <definedName name="_983__FDSAUDITLINK__" hidden="1">{"fdsup://directions/FAT Viewer?action=UPDATE&amp;creator=factset&amp;DYN_ARGS=TRUE&amp;DOC_NAME=FAT:FQL_AUDITING_CLIENT_TEMPLATE.FAT&amp;display_string=Audit&amp;VAR:KEY=SZIPSDMHIZ&amp;VAR:QUERY=RkZfREVCVChBTk4sMCwsLCxVU0Qp&amp;WINDOW=FIRST_POPUP&amp;HEIGHT=450&amp;WIDTH=450&amp;START_MAXIMIZED=","FALSE&amp;VAR:CALENDAR=FIVEDAY&amp;VAR:SYMBOL=2174&amp;VAR:INDEX=0"}</definedName>
    <definedName name="_984__FDSAUDITLINK__" hidden="1">{"fdsup://Directions/FactSet Auditing Viewer?action=AUDIT_VALUE&amp;DB=129&amp;ID1=B2PG34&amp;VALUEID=02001&amp;SDATE=2011&amp;PERIODTYPE=ANN_STD&amp;SCFT=3&amp;window=popup_no_bar&amp;width=385&amp;height=120&amp;START_MAXIMIZED=FALSE&amp;creator=factset&amp;display_string=Audit"}</definedName>
    <definedName name="_985__FDSAUDITLINK__" hidden="1">{"fdsup://directions/FAT Viewer?action=UPDATE&amp;creator=factset&amp;DYN_ARGS=TRUE&amp;DOC_NAME=FAT:FQL_AUDITING_CLIENT_TEMPLATE.FAT&amp;display_string=Audit&amp;VAR:KEY=ADKFAVKFAZ&amp;VAR:QUERY=RkZfTkVUX0lOQyhBTk4sLTJGWSwsLCxVU0Qp&amp;WINDOW=FIRST_POPUP&amp;HEIGHT=450&amp;WIDTH=450&amp;START_MA","XIMIZED=FALSE&amp;VAR:CALENDAR=FIVEDAY&amp;VAR:SYMBOL=2174&amp;VAR:INDEX=0"}</definedName>
    <definedName name="_986__FDSAUDITLINK__" hidden="1">{"fdsup://directions/FAT Viewer?action=UPDATE&amp;creator=factset&amp;DYN_ARGS=TRUE&amp;DOC_NAME=FAT:FQL_AUDITING_CLIENT_TEMPLATE.FAT&amp;display_string=Audit&amp;VAR:KEY=QZCDQXIVOZ&amp;VAR:QUERY=RkZfTkVUX0lOQyhBTk4sLTFGWSwsLCxVU0Qp&amp;WINDOW=FIRST_POPUP&amp;HEIGHT=450&amp;WIDTH=450&amp;START_MA","XIMIZED=FALSE&amp;VAR:CALENDAR=FIVEDAY&amp;VAR:SYMBOL=2174&amp;VAR:INDEX=0"}</definedName>
    <definedName name="_987__FDSAUDITLINK__" hidden="1">{"fdsup://directions/FAT Viewer?action=UPDATE&amp;creator=factset&amp;DYN_ARGS=TRUE&amp;DOC_NAME=FAT:FQL_AUDITING_CLIENT_TEMPLATE.FAT&amp;display_string=Audit&amp;VAR:KEY=CVEBMDSRGF&amp;VAR:QUERY=RkZfTkVUX0lOQyhBTk4sMCwsLCxVU0Qp&amp;WINDOW=FIRST_POPUP&amp;HEIGHT=450&amp;WIDTH=450&amp;START_MAXIMI","ZED=FALSE&amp;VAR:CALENDAR=FIVEDAY&amp;VAR:SYMBOL=2174&amp;VAR:INDEX=0"}</definedName>
    <definedName name="_988__FDSAUDITLINK__" hidden="1">{"fdsup://directions/FAT Viewer?action=UPDATE&amp;creator=factset&amp;DYN_ARGS=TRUE&amp;DOC_NAME=FAT:FQL_AUDITING_CLIENT_TEMPLATE.FAT&amp;display_string=Audit&amp;VAR:KEY=AZUNEPIBGV&amp;VAR:QUERY=RkZfRUJJVERBX09QRVIoQU5OLC0yRlksLCwsVVNEKQ==&amp;WINDOW=FIRST_POPUP&amp;HEIGHT=450&amp;WIDTH=450&amp;","START_MAXIMIZED=FALSE&amp;VAR:CALENDAR=FIVEDAY&amp;VAR:SYMBOL=2174&amp;VAR:INDEX=0"}</definedName>
    <definedName name="_989__FDSAUDITLINK__" hidden="1">{"fdsup://directions/FAT Viewer?action=UPDATE&amp;creator=factset&amp;DYN_ARGS=TRUE&amp;DOC_NAME=FAT:FQL_AUDITING_CLIENT_TEMPLATE.FAT&amp;display_string=Audit&amp;VAR:KEY=WNSNGZQFIR&amp;VAR:QUERY=RkZfRUJJVERBX09QRVIoQU5OLC0xRlksLCwsVVNEKQ==&amp;WINDOW=FIRST_POPUP&amp;HEIGHT=450&amp;WIDTH=450&amp;","START_MAXIMIZED=FALSE&amp;VAR:CALENDAR=FIVEDAY&amp;VAR:SYMBOL=2174&amp;VAR:INDEX=0"}</definedName>
    <definedName name="_99__FDSAUDITLINK__" hidden="1">{"fdsup://directions/FAT Viewer?action=UPDATE&amp;creator=factset&amp;DYN_ARGS=TRUE&amp;DOC_NAME=FAT:FQL_AUDITING_CLIENT_TEMPLATE.FAT&amp;display_string=Audit&amp;VAR:KEY=ODMJIXAJEB&amp;VAR:QUERY=KChGRl9FQklUKExUTSwwLCwsUkYsVVNEKUBGRl9FQklUKExUTVNfU0VNSSwwLCwsUkYsVVNEKSlARkZfRUJJV","ChBTk4sMCwsLFJGLFVTRCkp&amp;WINDOW=FIRST_POPUP&amp;HEIGHT=450&amp;WIDTH=450&amp;START_MAXIMIZED=FALSE&amp;VAR:CALENDAR=US&amp;VAR:SYMBOL=PJC&amp;VAR:INDEX=0"}</definedName>
    <definedName name="_990__FDSAUDITLINK__" hidden="1">{"fdsup://directions/FAT Viewer?action=UPDATE&amp;creator=factset&amp;DYN_ARGS=TRUE&amp;DOC_NAME=FAT:FQL_AUDITING_CLIENT_TEMPLATE.FAT&amp;display_string=Audit&amp;VAR:KEY=IHQBSLSBSP&amp;VAR:QUERY=RkZfRUJJVERBX09QRVIoQU5OLDAsLCwsVVNEKQ==&amp;WINDOW=FIRST_POPUP&amp;HEIGHT=450&amp;WIDTH=450&amp;STAR","T_MAXIMIZED=FALSE&amp;VAR:CALENDAR=FIVEDAY&amp;VAR:SYMBOL=2174&amp;VAR:INDEX=0"}</definedName>
    <definedName name="_991__FDSAUDITLINK__" hidden="1">{"fdsup://Directions/FactSet Auditing Viewer?action=AUDIT_VALUE&amp;DB=129&amp;ID1=B2PG34&amp;VALUEID=01001&amp;SDATE=2009&amp;PERIODTYPE=ANN_STD&amp;SCFT=3&amp;window=popup_no_bar&amp;width=385&amp;height=120&amp;START_MAXIMIZED=FALSE&amp;creator=factset&amp;display_string=Audit"}</definedName>
    <definedName name="_993__FDSAUDITLINK__" hidden="1">{"fdsup://Directions/FactSet Auditing Viewer?action=AUDIT_VALUE&amp;DB=129&amp;ID1=B2PG34&amp;VALUEID=01001&amp;SDATE=2010&amp;PERIODTYPE=ANN_STD&amp;SCFT=3&amp;window=popup_no_bar&amp;width=385&amp;height=120&amp;START_MAXIMIZED=FALSE&amp;creator=factset&amp;display_string=Audit"}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3" hidden="1">{#N/A,#N/A,FALSE,"Sheet1"}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ctual_for_2004_Measure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w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_bdm.000EB8A6D93C413992A5B12EB87DD958.edm" hidden="1">#REF!</definedName>
    <definedName name="_bdm.001AF53F2E7741A19120274B8F1121CF.edm" hidden="1">#REF!</definedName>
    <definedName name="_bdm.003747B3A6F2452A9A17EE3841D6925D.edm" hidden="1">#REF!</definedName>
    <definedName name="_bdm.006ED034A1E84C349E2BF0C9122BCE91.edm" hidden="1">#REF!</definedName>
    <definedName name="_bdm.008864E27FC645EC9C1D49192538ABF2.edm" hidden="1">#REF!</definedName>
    <definedName name="_bdm.011B25FD58584BE49FAA9104A27FA026.edm" hidden="1">#REF!</definedName>
    <definedName name="_bdm.0135F38942EA415ABA1242F8D19BB820.edm" hidden="1">#REF!</definedName>
    <definedName name="_bdm.013D9AB206134AF984FD35E16971DB10.edm" hidden="1">#REF!</definedName>
    <definedName name="_bdm.013E29D54A5C4663BD09DCEEE90F9C63.edm" hidden="1">#REF!</definedName>
    <definedName name="_bdm.01708757A0FF42108D15A53E93D08A8C.edm" hidden="1">#REF!</definedName>
    <definedName name="_bdm.01842824C2CD4995876376D33DC15FC8.edm" hidden="1">#REF!</definedName>
    <definedName name="_bdm.0197487E6BAE4012A2DB58A15F11BFDA.edm" hidden="1">#REF!</definedName>
    <definedName name="_bdm.01A48356CA614AA2A018EF00080BE07C.edm" hidden="1">#REF!</definedName>
    <definedName name="_bdm.01C4E48B12144E81AFE723339F66CEE6.edm" hidden="1">#REF!</definedName>
    <definedName name="_bdm.0212DFFC1A0C410AB03B85791489E314.edm" hidden="1">#REF!</definedName>
    <definedName name="_bdm.022CF86BF987483BB10AAFB5B1C91F77.edm" hidden="1">#REF!</definedName>
    <definedName name="_bdm.028FCD3144FB491CB0F8D104ABDA8359.edm" hidden="1">#REF!</definedName>
    <definedName name="_bdm.02dbe91adec246f19994e3c64f55d121.edm" hidden="1">#REF!</definedName>
    <definedName name="_bdm.02FBCE4E66684356B566C1E93F04980A.edm" hidden="1">#REF!</definedName>
    <definedName name="_bdm.039319CF694C4C5584D048AE4C04DDB6.edm" hidden="1">#REF!</definedName>
    <definedName name="_bdm.03B85F4EE48C47768F05B07356E641ED.edm" hidden="1">#REF!</definedName>
    <definedName name="_bdm.041EF8E06C6C43299CFE6274C0DC24E8.edm" hidden="1">#REF!</definedName>
    <definedName name="_bdm.0433F916AB6E45968DAD6DBD16813C8D.edm" hidden="1">#REF!</definedName>
    <definedName name="_bdm.0437DC906FA14A30B2AE847EFAB08E1D.edm" hidden="1">#REF!</definedName>
    <definedName name="_bdm.058CA692969840C6B39FD589C8EC69F8.edm" hidden="1">#REF!</definedName>
    <definedName name="_bdm.065831D98AF74CAB8829D9C0F2B2668C.edm" hidden="1">#REF!</definedName>
    <definedName name="_bdm.0678489278AD43B5891B56F5BC2BD612.edm" hidden="1">#REF!</definedName>
    <definedName name="_bdm.06B3C8551A534DBD93C454DEF0ED0D51.edm" hidden="1">#REF!</definedName>
    <definedName name="_bdm.06E875BD8DED42C6A982E0DF01444CB4.edm" hidden="1">#REF!</definedName>
    <definedName name="_bdm.0709937E180F4D929D03BD378E15836C.edm" hidden="1">#REF!</definedName>
    <definedName name="_bdm.0727FB01840844D786CB71C844C9EB4C.edm" hidden="1">#REF!</definedName>
    <definedName name="_bdm.07372F83DCFB4F69958B8EA64C8056B6.edm" hidden="1">#REF!</definedName>
    <definedName name="_bdm.07770C4610E5438D97E300C16D056E98.edm" hidden="1">#REF!</definedName>
    <definedName name="_bdm.0790C24348414BF1A79950F6A42EC814.edm" hidden="1">#REF!</definedName>
    <definedName name="_bdm.07A525EC1B204C5F981D196664998D39.edm" hidden="1">#REF!</definedName>
    <definedName name="_bdm.07C6157034BF4310B391D979A3F43018.edm" hidden="1">#REF!</definedName>
    <definedName name="_bdm.0856444A9BB54767BA2B5B0042696B59.edm" hidden="1">#REF!</definedName>
    <definedName name="_bdm.08A21430E19247319541FB48B7F96B3B.edm" hidden="1">#REF!</definedName>
    <definedName name="_bdm.08e6cfbcec224a1ebd4746541cfa3cac.edm" hidden="1">#REF!</definedName>
    <definedName name="_bdm.08E8494C642149E2BAA440AC4598F75C.edm" hidden="1">#REF!</definedName>
    <definedName name="_bdm.08E906A3B032434B809DF8092B86D2B7.edm" hidden="1">#REF!</definedName>
    <definedName name="_bdm.0912BFB2E1F947198DD0A3C49AD33809.edm" hidden="1">#REF!</definedName>
    <definedName name="_bdm.092CEBFB196B4EF4B15692A7302FE797.edm" hidden="1">#REF!</definedName>
    <definedName name="_bdm.0937F7D5D75D47909A107C4153EF30C5.edm" hidden="1">#REF!</definedName>
    <definedName name="_bdm.09AFAB3DD45C40259D0D661C70D88F63.edm" hidden="1">#REF!</definedName>
    <definedName name="_bdm.09C3225684E349BEB89F2E58043DB05E.edm" hidden="1">#REF!</definedName>
    <definedName name="_bdm.09D6CDB831CF4F4A9FA7FA3F64E57896.edm" hidden="1">#REF!</definedName>
    <definedName name="_bdm.0A04109F4DE642828211F8E5FFD2E8BC.edm" hidden="1">#REF!</definedName>
    <definedName name="_bdm.0A2F43ABE2D04B9F9FD289DB08A58AD3.edm" hidden="1">#REF!</definedName>
    <definedName name="_bdm.0A7798EECA3D4C6F924BC65BF9B248C5.edm" hidden="1">#REF!</definedName>
    <definedName name="_bdm.0AC199B2BFCB425890520B873A3C5640.edm" hidden="1">#REF!</definedName>
    <definedName name="_bdm.0B76EE16113A4227B46300A4E53E823A.edm" hidden="1">#REF!</definedName>
    <definedName name="_bdm.0b9b8a24f3a5432ba0d34c62d7daa2ca.edm" hidden="1">#REF!</definedName>
    <definedName name="_bdm.0C3E5CF43C2D474FA7BDC729CF976626.edm" hidden="1">#REF!</definedName>
    <definedName name="_bdm.0C69F422CAD94383AE899860DA775AE7.edm" hidden="1">#REF!</definedName>
    <definedName name="_bdm.0CCF402554B047B89758A622C678946A.edm" hidden="1">#REF!</definedName>
    <definedName name="_bdm.0D25F30EA56E41E79E9E0990DF106014.edm" hidden="1">#REF!</definedName>
    <definedName name="_bdm.0D4CEDC083BA43AC9CBE3B19BB267CC8.edm" hidden="1">#REF!</definedName>
    <definedName name="_bdm.0D66F2102DA9453796575F3EF733FD97.edm" hidden="1">#REF!</definedName>
    <definedName name="_bdm.0D71F6FDA79149FA8C2D2979B25A5B47.edm" hidden="1">#REF!</definedName>
    <definedName name="_bdm.0D7D0A2FF0C84D239C7EA05F0A554C60.edm" hidden="1">#REF!</definedName>
    <definedName name="_bdm.0D85BEC366274B1098DE770C99D18955.edm" hidden="1">#REF!</definedName>
    <definedName name="_bdm.0DCDCCC1E4A34B12855B401E53BD857C.edm" hidden="1">#REF!</definedName>
    <definedName name="_bdm.0E2265CB85284910B3F24AA4CFF74CE8.edm" hidden="1">#REF!</definedName>
    <definedName name="_bdm.0E57AFED54194B4AB10554B9FD6F997C.edm" hidden="1">#REF!</definedName>
    <definedName name="_bdm.0E57DDE48F394EB2B947D10612C8E4C3.edm" hidden="1">#REF!</definedName>
    <definedName name="_bdm.0E619AD851C544279B34512FAE41A17E.edm" hidden="1">#REF!</definedName>
    <definedName name="_bdm.0ED7044BEB924B1FAB3CDF9911304ADE.edm" hidden="1">#REF!</definedName>
    <definedName name="_bdm.0F362917160D47D9A41FA3818D32F960.edm" hidden="1">#REF!</definedName>
    <definedName name="_bdm.0F64D64A02C448C48F32AAE2E66C5ACD.edm" hidden="1">#REF!</definedName>
    <definedName name="_bdm.0F9E4A75A8084A4EAC9D233E819CA240.edm" hidden="1">#REF!</definedName>
    <definedName name="_bdm.0FA0190C04FD4CC38DF90FD3F44F85BF.edm" hidden="1">#REF!</definedName>
    <definedName name="_bdm.10A16FCF34A04B028F591584679F9F8F.edm" hidden="1">#REF!</definedName>
    <definedName name="_bdm.1158CBDD464747C4BE48E55469ADAB34.edm" hidden="1">#REF!</definedName>
    <definedName name="_bdm.11719CF8A9514B50A87E4CC2323DE06F.edm" hidden="1">#REF!</definedName>
    <definedName name="_bdm.11F0CB25C5EB436487D4840A44CDDCFA.edm" hidden="1">#REF!</definedName>
    <definedName name="_bdm.1207F06A4CAE4314B21AC3610F28A8A7.edm" hidden="1">#REF!</definedName>
    <definedName name="_bdm.125357CAB9954C50A5BD65384B3014C7.edm" hidden="1">#REF!</definedName>
    <definedName name="_bdm.126DB9BBC03144B79056BB8BE2CECCDF.edm" hidden="1">#REF!</definedName>
    <definedName name="_bdm.12949C6AD7164DEA9E2FD3E74D86A366.edm" hidden="1">#REF!</definedName>
    <definedName name="_bdm.130517D5DFA3488882A6990A36700E2F.edm" hidden="1">#REF!</definedName>
    <definedName name="_bdm.1338F8100D5E4355B0159C839D447E11.edm" hidden="1">#REF!</definedName>
    <definedName name="_bdm.13D95984D0CF4647A0CC3A50460D6D6A.edm" hidden="1">#REF!</definedName>
    <definedName name="_bdm.13F072D832924B0C92666390467079A3.edm" hidden="1">#REF!</definedName>
    <definedName name="_bdm.142211909C59468685464AE535817CCC.edm" hidden="1">#REF!</definedName>
    <definedName name="_bdm.14242E807BA2453F9DBDEA6DF4858FE8.edm" hidden="1">#REF!</definedName>
    <definedName name="_bdm.145263BE62B047C0BA8DAAEB322DF029.edm" hidden="1">#REF!</definedName>
    <definedName name="_bdm.145E335457CF49589ADFD6587FCEEB0C.edm" hidden="1">#REF!</definedName>
    <definedName name="_bdm.1531FBC4C1A0444D9B850D503047D493.edm" hidden="1">#REF!</definedName>
    <definedName name="_bdm.1537b45e435b44c9ac2e67217bd8b611.edm" hidden="1">#REF!</definedName>
    <definedName name="_bdm.154A0EEDC2C1429CAB787754D44BC151.edm" hidden="1">#REF!</definedName>
    <definedName name="_bdm.155c66bd8ec242f68e70e027a4270924.edm" hidden="1">#REF!</definedName>
    <definedName name="_bdm.159A40241D984E22B6E755BD37282CB3.edm" hidden="1">#REF!</definedName>
    <definedName name="_bdm.15A1AF27FB224EB893236CB9E053131E.edm" hidden="1">#REF!</definedName>
    <definedName name="_bdm.15E83807182E469E9DFA0964047E9888.edm" hidden="1">#REF!</definedName>
    <definedName name="_bdm.15EA24CEEF264530945DC97086B11C80.edm" hidden="1">#REF!</definedName>
    <definedName name="_bdm.162A900B45F64BF7822CAE79CB10BA5E.edm" hidden="1">#REF!</definedName>
    <definedName name="_bdm.1667D34F451B47A291E6F994C4DCF306.edm" hidden="1">#REF!</definedName>
    <definedName name="_bdm.16811257DCDE44DDB81A76A61F6B7F7E.edm" hidden="1">#REF!</definedName>
    <definedName name="_bdm.1695E429EEF54FE1BAF2E4011702C2CA.edm" hidden="1">#REF!</definedName>
    <definedName name="_bdm.16D55D9972914991B64D39AEB296CB0C.edm" hidden="1">#REF!</definedName>
    <definedName name="_bdm.17A0F3974A5A43768101F4374AE1B16D.edm" hidden="1">#REF!</definedName>
    <definedName name="_bdm.17BE326EA6EB4DB091110CF05D75516B.edm" hidden="1">#REF!</definedName>
    <definedName name="_bdm.182A9FBA83B8432D9BDB413817C02B72.edm" hidden="1">#REF!</definedName>
    <definedName name="_bdm.1887192C25D1488D8AAB32CF3883BFF9.edm" hidden="1">#REF!</definedName>
    <definedName name="_bdm.192BE9AC5AF24C509A211230C2240CA9.edm" hidden="1">#REF!</definedName>
    <definedName name="_bdm.1955A69578F44A839B502BCC8124577D.edm" hidden="1">#REF!</definedName>
    <definedName name="_bdm.195E47E570BE45F8A2EB7AF40512102C.edm" hidden="1">#REF!</definedName>
    <definedName name="_bdm.1979A3BD57A74BA2A0DBA381D942F7A1.edm" hidden="1">#REF!</definedName>
    <definedName name="_bdm.199EC7D8A8DC4405B9B299CC3C65C379.edm" hidden="1">#REF!</definedName>
    <definedName name="_bdm.19AD5D6414E749F79A80465322737660.edm" hidden="1">#REF!</definedName>
    <definedName name="_bdm.19DFC8088FAA449B830F76E630D45546.edm" hidden="1">#REF!</definedName>
    <definedName name="_bdm.1A14860B82AD489986628B131292500F.edm" hidden="1">#REF!</definedName>
    <definedName name="_bdm.1A87FBAB81144725BFC4BF8D1862C389.edm" hidden="1">#REF!</definedName>
    <definedName name="_bdm.1ACC49982289490CB47D76BD3C6B2696.edm" hidden="1">#REF!</definedName>
    <definedName name="_bdm.1AE501503E404302AB7FFDA533A1BA2B.edm" hidden="1">#REF!</definedName>
    <definedName name="_bdm.1B0AC81D6080410395D414073E96136E.edm" hidden="1">#REF!</definedName>
    <definedName name="_bdm.1B0E323094674DB9ABED807C5644A4DC.edm" hidden="1">#REF!</definedName>
    <definedName name="_bdm.1B9ED7B7CF634121AC757081B0DD7D5E.edm" hidden="1">#REF!</definedName>
    <definedName name="_bdm.1BA9313F7F7B4EF1A70633AC07832EE6.edm" hidden="1">#REF!</definedName>
    <definedName name="_bdm.1bc2ff79d23844259e7a826f4f5fbe6e.edm" hidden="1">#REF!</definedName>
    <definedName name="_bdm.1BCAC811DDCB47EAA6BF9A137C1C416D.edm" hidden="1">#REF!</definedName>
    <definedName name="_bdm.1BF7A9DEA97342338735D8879A4A34CF.edm" hidden="1">#REF!</definedName>
    <definedName name="_bdm.1C18C33FEA9E4275A82D5BBD43F81EDE.edm" hidden="1">#REF!</definedName>
    <definedName name="_bdm.1C1E3A23B50046EC8F9EED91DF3CD787.edm" hidden="1">#REF!</definedName>
    <definedName name="_bdm.1c9401d0e92643738847071ccf5086ee.edm" hidden="1">#REF!</definedName>
    <definedName name="_bdm.1cb7e6dc996b4b998459c51f3fe60121.edm" hidden="1">#REF!</definedName>
    <definedName name="_bdm.1CDC573934724E70B2A5C1F7CF45E60E.edm" hidden="1">#REF!</definedName>
    <definedName name="_bdm.1CDE706ABE974904AB10D5BEDFF51CF1.edm" hidden="1">#REF!</definedName>
    <definedName name="_bdm.1CECFA91417F4009B2FDA72450A5F8C3.edm" hidden="1">#REF!</definedName>
    <definedName name="_bdm.1D12670863CD4A9EAA7BB07D1DC279EA.edm" hidden="1">#REF!</definedName>
    <definedName name="_bdm.1D31ADDD89E94A38B7BE8F46C37088B8.edm" hidden="1">#REF!</definedName>
    <definedName name="_bdm.1D52F36C41324EF4B068BE9A17809F46.edm" hidden="1">#REF!</definedName>
    <definedName name="_bdm.1D568C423E98429BA50CE4A5BAE58185.edm" hidden="1">#REF!</definedName>
    <definedName name="_bdm.1DB0ADB97D0742ABAEA2D7376DC21402.edm" hidden="1">#REF!</definedName>
    <definedName name="_bdm.1DB35B0ACFD44B3FB77F2F83EEA498E0.edm" hidden="1">#REF!</definedName>
    <definedName name="_bdm.1DD18287B58D428BA7FE8D45A5E25034.edm" hidden="1">#REF!</definedName>
    <definedName name="_bdm.1E250A9BBD0C4AD693576C2B2FF4F068.edm" hidden="1">#REF!</definedName>
    <definedName name="_bdm.1EA526B8C5E34CB28AA8EA1D2F45E8B8.edm" hidden="1">#REF!</definedName>
    <definedName name="_bdm.1F5003A0871A40B2BA29C920FD199116.edm" hidden="1">#REF!</definedName>
    <definedName name="_bdm.1F8BC3D6609C4B51B2A5DEAC429FC129.edm" hidden="1">#REF!</definedName>
    <definedName name="_bdm.1F9C91E94CE14B24B0069000F5CDCBF8.edm" hidden="1">#REF!</definedName>
    <definedName name="_bdm.1FA54639BEE54EB59134EE16B377A8E4.edm" hidden="1">#REF!</definedName>
    <definedName name="_bdm.20311D687E1A431B9FAC57B210E2C282.edm" hidden="1">#REF!</definedName>
    <definedName name="_bdm.203A700151E74AC194E303E69BA9C259.edm" hidden="1">#REF!</definedName>
    <definedName name="_bdm.2042429E53AA4C08AC9E617404CB7153.edm" hidden="1">#REF!</definedName>
    <definedName name="_bdm.20D1717E1E1E47928AB731E30DB9947C.edm" hidden="1">#REF!</definedName>
    <definedName name="_bdm.20FCD0CCBF15413696E662EF72288202.edm" hidden="1">#REF!</definedName>
    <definedName name="_bdm.2146F47469374C119AAD2030C068F203.edm" hidden="1">#REF!</definedName>
    <definedName name="_bdm.216732AF4C6F4D62986B44EFA0222B3E.edm" hidden="1">#REF!</definedName>
    <definedName name="_bdm.220BF2124E2349CCAE98AD60CF444845.edm" hidden="1">#REF!</definedName>
    <definedName name="_bdm.221A9393172942218BF4C88122E45E37.edm" hidden="1">#REF!</definedName>
    <definedName name="_bdm.2241BA10D26F4C11ACE5C55EE1145E07.edm" hidden="1">#REF!</definedName>
    <definedName name="_bdm.22580D505BB142AE89184E80A3C603F1.edm" hidden="1">#REF!</definedName>
    <definedName name="_bdm.22D130A03AB9421CA1FCB40CD2D46030.edm" hidden="1">#REF!</definedName>
    <definedName name="_bdm.23056F044CE54F1EAE02244737BEB950.edm" hidden="1">#REF!</definedName>
    <definedName name="_bdm.2354D5B7850B47EAB812611EF94F3CBD.edm" hidden="1">#REF!</definedName>
    <definedName name="_bdm.2369D5E6E96E4F578EDFD21B3D32D27A.edm" hidden="1">#REF!</definedName>
    <definedName name="_bdm.236C22246BBA4C3EA017A5454CFE263C.edm" hidden="1">#REF!</definedName>
    <definedName name="_bdm.23E6040EB1D940BDAC5668A82F403360.edm" hidden="1">#REF!</definedName>
    <definedName name="_bdm.243033C870B1496C99352D2CA046D777.edm" hidden="1">#REF!</definedName>
    <definedName name="_bdm.24439DF47D0E407FB0E10FB0C97E3593.edm" hidden="1">#REF!</definedName>
    <definedName name="_bdm.244A633BE51C4BE6B52308EE3028EE18.edm" hidden="1">#REF!</definedName>
    <definedName name="_bdm.24653E169C004075BC082966F7F64907.edm" hidden="1">#REF!</definedName>
    <definedName name="_bdm.24B1F2DA7EB7430AACEDDDC204D78793.edm" hidden="1">#REF!</definedName>
    <definedName name="_bdm.255680A2BE3648E1B7BD7122DD345919.edm" hidden="1">#REF!</definedName>
    <definedName name="_bdm.27D8EF2E9E6F414DA976AD0C5088E800.edm" hidden="1">#REF!</definedName>
    <definedName name="_bdm.283E599F1CAC49599565AB148FCCFEC2.edm" hidden="1">#REF!</definedName>
    <definedName name="_bdm.2888b3eab89a43ad8eefb1052df74095.edm" hidden="1">#REF!</definedName>
    <definedName name="_bdm.28CA7875302E480899C83C4C746AC2F9.edm" hidden="1">#REF!</definedName>
    <definedName name="_bdm.28CC8624E0B34500BA82B7F28B86AA75.edm" hidden="1">#REF!</definedName>
    <definedName name="_bdm.28EE8743507B426FA4B33569964B820D.edm" hidden="1">#REF!</definedName>
    <definedName name="_bdm.290BD3F17F46471DBEB7F26906C89E5B.edm" hidden="1">#REF!</definedName>
    <definedName name="_bdm.2931D0A87E59489D8A3D02CDFF8B24A1.edm" hidden="1">#REF!</definedName>
    <definedName name="_bdm.297F424C2D004837B7123A2638F14DFC.edm" hidden="1">#REF!</definedName>
    <definedName name="_bdm.297FC9D4E51A4B0E8E20DB007AD1E0E9.edm" hidden="1">#REF!</definedName>
    <definedName name="_bdm.29A8DCA729B0480692191BBA1ECB364B.edm" hidden="1">#REF!</definedName>
    <definedName name="_bdm.29D2BFE68E4B4D4FB1F4DF43010F7A1D.edm" hidden="1">#REF!</definedName>
    <definedName name="_bdm.2A4E451E80F6415691B1E1070ED5601D.edm" hidden="1">#REF!</definedName>
    <definedName name="_bdm.2A6BF6DD8E584605BFD2E8ED1A2EE461.edm" hidden="1">#REF!</definedName>
    <definedName name="_bdm.2AD9591EB5324E1881983F904BB8556B.edm" hidden="1">#REF!</definedName>
    <definedName name="_bdm.2AF2C812D99445A3BE058A5036406E7C.edm" hidden="1">#REF!</definedName>
    <definedName name="_bdm.2B53328A111A4766BFF6B3964F856064.edm" hidden="1">#REF!</definedName>
    <definedName name="_bdm.2B8B33E735974D8BA19CDDBFDA10BED0.edm" hidden="1">#REF!</definedName>
    <definedName name="_bdm.2C129A74F01D4339AE5BBFA3E6C802F2.edm" hidden="1">#REF!</definedName>
    <definedName name="_bdm.2C962C94BB624EE49E36D5F241F8F320.edm" hidden="1">#REF!</definedName>
    <definedName name="_bdm.2CDB4FAF449542D697F9D6D12C2EC8F7.edm" hidden="1">#REF!</definedName>
    <definedName name="_bdm.2CFBB96DCC934281B58C1FC3E874DB82.edm" hidden="1">#REF!</definedName>
    <definedName name="_bdm.2D5A6F2FF9894B1799FB50C94E31CCD0.edm" hidden="1">#REF!</definedName>
    <definedName name="_bdm.2D5DF318909F47B480C5E9C85BF924A8.edm" hidden="1">#REF!</definedName>
    <definedName name="_bdm.2D7A91730F9842D98F6308186687B43B.edm" hidden="1">#REF!</definedName>
    <definedName name="_bdm.2E1C7F0C1962444AA8095EC6F2E1E2FF.edm" hidden="1">#REF!</definedName>
    <definedName name="_bdm.2EE9F91D5241460AAC5150A0A8DD30FF.edm" hidden="1">#REF!</definedName>
    <definedName name="_bdm.2F24A8BD52384E19A7A637CDC5866186.edm" hidden="1">#REF!</definedName>
    <definedName name="_bdm.2F3014E1336748ACBFF127711BF518B2.edm" hidden="1">#REF!</definedName>
    <definedName name="_bdm.2FB3830FED5E424F8026724EF15EEF7F.edm" hidden="1">#REF!</definedName>
    <definedName name="_bdm.2FCA1F3D04DA47F398AB6557BE3FF8EB.edm" hidden="1">#REF!</definedName>
    <definedName name="_bdm.3013634DB3174C49BABD6DF26D10BA26.edm" hidden="1">#REF!</definedName>
    <definedName name="_bdm.3092689E7F68403C9292BEBC403D2B15.edm" hidden="1">#REF!</definedName>
    <definedName name="_bdm.30A52CDB53DF446BAFD2608C82CBBFBB.edm" hidden="1">#REF!</definedName>
    <definedName name="_bdm.314BBCC8E133420F829BD730B4381557.edm" hidden="1">#REF!</definedName>
    <definedName name="_bdm.314C85E17B5E42D6A4C2682712442560.edm" hidden="1">#REF!</definedName>
    <definedName name="_bdm.31B6306E8C7A4EAF81733B5AA24BFCBF.edm" hidden="1">#REF!</definedName>
    <definedName name="_bdm.31C8B970845647EDB873D792EF7B5E79.edm" hidden="1">#REF!</definedName>
    <definedName name="_bdm.31CB3BA853174858A4C4025B64B4F379.edm" hidden="1">#REF!</definedName>
    <definedName name="_bdm.31e6e666f01d491d9e6a48d724eeaa43.edm" hidden="1">#REF!</definedName>
    <definedName name="_bdm.3233C7588C1749BD8058EE5AB4019F01.edm" hidden="1">#REF!</definedName>
    <definedName name="_bdm.32BCB63BF3684EFC95D579D4E9F5942A.edm" hidden="1">#REF!</definedName>
    <definedName name="_bdm.32F194AB526A44D9A8C9B1AC67B969D8.edm" hidden="1">#REF!</definedName>
    <definedName name="_bdm.337AD6D1572C4F9F85EBEA75803B9C15.edm" hidden="1">#REF!</definedName>
    <definedName name="_bdm.3398062E473B4B32AFF075C67EE2C160.edm" hidden="1">#REF!</definedName>
    <definedName name="_bdm.33986131B98D4251964CED25651EB644.edm" hidden="1">#REF!</definedName>
    <definedName name="_bdm.33DE38A7759D4118B521D651D0CFFC66.edm" hidden="1">#REF!</definedName>
    <definedName name="_bdm.34435927B8D14248B0C154993B72DEB3.edm" hidden="1">#REF!</definedName>
    <definedName name="_bdm.34CBC8E3193247218D22E454CC03207C.edm" hidden="1">#REF!</definedName>
    <definedName name="_bdm.35407A2B587E4D00AC28E15112A7D1EF.edm" hidden="1">#REF!</definedName>
    <definedName name="_bdm.35AECC5D2E9F4E508DDE563733B25B07.edm" hidden="1">#REF!</definedName>
    <definedName name="_bdm.35B7F02BF059416ABF74CE2648BCC59C.edm" hidden="1">#REF!</definedName>
    <definedName name="_bdm.35E62A4D6D1742CDBE37807FC20D0FB9.edm" hidden="1">#REF!</definedName>
    <definedName name="_bdm.36567611414E4F8FAA2D0AFB6001D1ED.edm" hidden="1">#REF!</definedName>
    <definedName name="_bdm.367985CB18ED464082C32C8004AF3DBB.edm" hidden="1">#REF!</definedName>
    <definedName name="_bdm.36C0086C3BD4411FB5AE346B62201E00.edm" hidden="1">#REF!</definedName>
    <definedName name="_bdm.36CBBEFFDC2848E1A8129A5BD9AEA2E9.edm" hidden="1">#REF!</definedName>
    <definedName name="_bdm.36CBE75C6D9745BFB4392A73393E2875.edm" hidden="1">#REF!</definedName>
    <definedName name="_bdm.36EED78BCF6A4F329A6F03710E956449.edm" hidden="1">#REF!</definedName>
    <definedName name="_bdm.37185768DF3E4C10AB9A458860AA499E.edm" hidden="1">#REF!</definedName>
    <definedName name="_bdm.376319E5335E41348647B98BBBF61682.edm" hidden="1">#REF!</definedName>
    <definedName name="_bdm.3799E9FB8BEF4A6893F43F27EC95C8AA.edm" hidden="1">#REF!</definedName>
    <definedName name="_bdm.37F4C6C134A044238455E969E28AD670.edm" hidden="1">#REF!</definedName>
    <definedName name="_bdm.380420F5EFE0498488EF5E95BA68D1CA.edm" hidden="1">#REF!</definedName>
    <definedName name="_bdm.381FD6B3BF33438385FE6CCE4608869C.edm" hidden="1">#REF!</definedName>
    <definedName name="_bdm.38B7258F5EFB4986A43819115B206DB2.edm" hidden="1">#REF!</definedName>
    <definedName name="_bdm.38F9B1050E204BAA8E4CC25AB0668D64.edm" hidden="1">#REF!</definedName>
    <definedName name="_bdm.390076B2B1724DC282FEE00A112E92A1.edm" hidden="1">#REF!</definedName>
    <definedName name="_bdm.398E21BD26974E99B0C3E226AAC64DAC.edm" hidden="1">#REF!</definedName>
    <definedName name="_bdm.399A38FA5E494B158020B00731123182.edm" hidden="1">#REF!</definedName>
    <definedName name="_bdm.39BC9C346A6F4E11BB0CE8B8F8392C19.edm" hidden="1">#REF!</definedName>
    <definedName name="_bdm.39C46D7FA8694EF0AC24C6E14F02EE2D.edm" hidden="1">#REF!</definedName>
    <definedName name="_bdm.3A4AF8DBFC4D4164BC2010E4235A20E8.edm" hidden="1">#REF!</definedName>
    <definedName name="_bdm.3B8522F3ED7A4BCCB773D1FE69842F9E.edm" hidden="1">#REF!</definedName>
    <definedName name="_bdm.3B8E7A0EA01041C391BA21BC930D1529.edm" hidden="1">#REF!</definedName>
    <definedName name="_bdm.3B97C2AD00364D37BCD479E7216675C2.edm" hidden="1">#REF!</definedName>
    <definedName name="_bdm.3BB95F4C655048B89B8364D7B960F54B.edm" hidden="1">#REF!</definedName>
    <definedName name="_bdm.3BD8C7410460442D94800BA334361DD4.edm" hidden="1">#REF!</definedName>
    <definedName name="_bdm.3C0E1C95B7A243FA991988B5F87495BA.edm" hidden="1">#REF!</definedName>
    <definedName name="_bdm.3C31C06D23424B0F9BBDD31A60FAFE51.edm" hidden="1">#REF!</definedName>
    <definedName name="_bdm.3C6262B1B9C140AB8A295AD5117BBFC0.edm" hidden="1">#REF!</definedName>
    <definedName name="_bdm.3C79A173CCCA4761A6BA250D471EF165.edm" hidden="1">#REF!</definedName>
    <definedName name="_bdm.3D4818FE98214A0DA4DD456BC95C9182.edm" hidden="1">#REF!</definedName>
    <definedName name="_bdm.3D67E5DD898C480593F246A4FB5AC379.edm" hidden="1">#REF!</definedName>
    <definedName name="_bdm.3DBA5000F1F44B01A8013D8A2776F93B.edm" hidden="1">#REF!</definedName>
    <definedName name="_bdm.3DCDA2F122984E918C3632823ABDEE7E.edm" hidden="1">#REF!</definedName>
    <definedName name="_bdm.3E1FAD2C99594B8BB40F6E5DF68A9C8D.edm" hidden="1">#REF!</definedName>
    <definedName name="_bdm.3E254AD5EF174F4BBF2A52E6DC592586.edm" hidden="1">#REF!</definedName>
    <definedName name="_bdm.3E4995F3DEB84497B30812B36492435D.edm" hidden="1">#REF!</definedName>
    <definedName name="_bdm.3E57427E33094E3C860DC6DE6540CD25.edm" hidden="1">#REF!</definedName>
    <definedName name="_bdm.3E8EC4CECED840DCB546D616AFBF28DB.edm" hidden="1">#REF!</definedName>
    <definedName name="_bdm.3F406A1BAFBA406884390E04219232B2.edm" hidden="1">#REF!</definedName>
    <definedName name="_bdm.3FA0034DC994420E9AF906A97C0E681E.edm" hidden="1">#REF!</definedName>
    <definedName name="_bdm.3FF64950CD6C47A7A397499F026F3C39.edm" hidden="1">#REF!</definedName>
    <definedName name="_bdm.40112559D5E4466E884D3B1F8FCDDD12.edm" hidden="1">#REF!</definedName>
    <definedName name="_bdm.405AFCC67CCF49BF97536EC8B68EFBC7.edm" hidden="1">#REF!</definedName>
    <definedName name="_bdm.40A391CBA1DF473DA629EA7DF58FFA62.edm" hidden="1">#REF!</definedName>
    <definedName name="_bdm.40EBF2FE6C974EB8935CFA36A4C326D4.edm" hidden="1">#REF!</definedName>
    <definedName name="_bdm.40F8836405664838BFF062ACDB223116.edm" hidden="1">#REF!</definedName>
    <definedName name="_bdm.417FF8FC3C0D41B198142AB1F592CA8C.edm" hidden="1">#REF!</definedName>
    <definedName name="_bdm.41DC81018F2F407CA5527E0CB57460F2.edm" hidden="1">#REF!</definedName>
    <definedName name="_bdm.41E65365630F492CB20D46D6918D1F18.edm" hidden="1">#REF!</definedName>
    <definedName name="_bdm.41F33DEBB3734931A66992C1AAB6A031.edm" hidden="1">#REF!</definedName>
    <definedName name="_bdm.42076A77A6D742958F98CD63B1A53089.edm" hidden="1">#REF!</definedName>
    <definedName name="_bdm.421BA818E9094C49B7FFE188E59680DB.edm" hidden="1">#REF!</definedName>
    <definedName name="_bdm.42796A2C5BC143D8BD1787A88E3A655D.edm" hidden="1">#REF!</definedName>
    <definedName name="_bdm.42812B22AD0A41A2923066B8C187E9EE.edm" hidden="1">#REF!</definedName>
    <definedName name="_bdm.4345BC61883A467DAD689B143D4E7C97.edm" hidden="1">#REF!</definedName>
    <definedName name="_bdm.436A5B2A89364957861D771BE99A9506.edm" hidden="1">#REF!</definedName>
    <definedName name="_bdm.43970535467C4553B38D31CF93689521.edm" hidden="1">#REF!</definedName>
    <definedName name="_bdm.4403443089104777A1B4ABBD4F0ACFAB.edm" hidden="1">#REF!</definedName>
    <definedName name="_bdm.4475071FF37F4A048AAEEC13BD8E4700.edm" hidden="1">#REF!</definedName>
    <definedName name="_bdm.449E70B7B28C49D39D798E9B25B13B75.edm" hidden="1">#REF!</definedName>
    <definedName name="_bdm.44B860AABB0841F99DC42A7A4CECFB43.edm" hidden="1">#REF!</definedName>
    <definedName name="_bdm.44CEB15CC0D04D63AE9B575CD8B5E892.edm" hidden="1">#REF!</definedName>
    <definedName name="_bdm.44DA4D25D50C4DF2A22F7E9F1E64C82A.edm" hidden="1">#REF!</definedName>
    <definedName name="_bdm.45096BB25DB244BBB3D1C693DF142CC0.edm" hidden="1">#REF!</definedName>
    <definedName name="_bdm.4525BDD717B545F7B28B2C7BA7720B2A.edm" hidden="1">#REF!</definedName>
    <definedName name="_bdm.4532287E2BF345DE96143190B56A981D.edm" hidden="1">#REF!</definedName>
    <definedName name="_bdm.45AEAF6B19414AD4BEF6F29E647A87CA.edm" hidden="1">#REF!</definedName>
    <definedName name="_bdm.45C1B34078194882A5A60EAAC24A0223.edm" hidden="1">#REF!</definedName>
    <definedName name="_bdm.4603CDE236824AAC8FC9AD5FF4C418D2.edm" hidden="1">#REF!</definedName>
    <definedName name="_bdm.469A7F3F71F04EC497598BFA373B0209.edm" hidden="1">#REF!</definedName>
    <definedName name="_bdm.46BC919F4EC44D91B7266304BFFC61A4.edm" hidden="1">#REF!</definedName>
    <definedName name="_bdm.46CA101F12174A36A8CCE14751A20B7D.edm" hidden="1">#REF!</definedName>
    <definedName name="_bdm.470206EF5F7844478D4BCDDE32346CC0.edm" hidden="1">#REF!</definedName>
    <definedName name="_bdm.4745397FA48C4A34B881ED85BB504E5A.edm" hidden="1">#REF!</definedName>
    <definedName name="_bdm.4745FD3F262747C2BD5A42CC2A8544A6.edm" hidden="1">#REF!</definedName>
    <definedName name="_bdm.47532CA1B0964B6BA65DD3B6D8AF607D.edm" hidden="1">#REF!</definedName>
    <definedName name="_bdm.47A7B870E4C649B5ACD2C11BB8045AD8.edm" hidden="1">#REF!</definedName>
    <definedName name="_bdm.47CEDC8A53E74E568210DBBAB6265D2E.edm" hidden="1">#REF!</definedName>
    <definedName name="_bdm.47F6196DA00C4CD0AC70EF2DF9331ED4.edm" hidden="1">#REF!</definedName>
    <definedName name="_bdm.4859319D4AC945D884100E3027944EEF.edm" hidden="1">#REF!</definedName>
    <definedName name="_bdm.48682481CC204A2F8C4C77978F03C19B.edm" hidden="1">#REF!</definedName>
    <definedName name="_bdm.488DBA8CF2BB42D2B34411D4D056C112.edm" hidden="1">#REF!</definedName>
    <definedName name="_bdm.488E237133064EFDBAAAB5617C1FB2F7.edm" hidden="1">#REF!</definedName>
    <definedName name="_bdm.48BAD1CB1A254419A166CF08AF09B145.edm" hidden="1">#REF!</definedName>
    <definedName name="_bdm.490301242B7149EEBCA315C7E022E293.edm" hidden="1">#REF!</definedName>
    <definedName name="_bdm.4916C99812684171BD1277B70572E4DE.edm" hidden="1">#REF!</definedName>
    <definedName name="_bdm.492D8A5184EB4813849156403900D6EA.edm" hidden="1">#REF!</definedName>
    <definedName name="_bdm.4932211FBF85435C95A64195D96775FD.edm" hidden="1">#REF!</definedName>
    <definedName name="_bdm.496EC2F381D5411992B05B40C46838E1.edm" hidden="1">#REF!</definedName>
    <definedName name="_bdm.4A606C0EC578442084D602B1DD3B0DF8.edm" hidden="1">#REF!</definedName>
    <definedName name="_bdm.4A72692E881F47FC8DF63BE843DCCE99.edm" hidden="1">#REF!</definedName>
    <definedName name="_bdm.4A783F7B38A041C398FB4289780089BB.edm" hidden="1">#REF!</definedName>
    <definedName name="_bdm.4A8087F5E768429C9C2D6188D3DE2F92.edm" hidden="1">#REF!</definedName>
    <definedName name="_bdm.4ADFE6E8E29D4F799D5F784A962DE0B4.edm" hidden="1">#REF!</definedName>
    <definedName name="_bdm.4B00E8BB533D4516AE51D9D3ABF57AAD.edm" hidden="1">#REF!</definedName>
    <definedName name="_bdm.4B076FF6777C48058DB9E99021E44192.edm" hidden="1">#REF!</definedName>
    <definedName name="_bdm.4B533623101E4741AB0D037BFE985F4B.edm" hidden="1">#REF!</definedName>
    <definedName name="_bdm.4B612965AA2C4F409D48BD9E97026198.edm" hidden="1">#REF!</definedName>
    <definedName name="_bdm.4B6B2ADC3C344C2883A5BF9646E357EA.edm" hidden="1">#REF!</definedName>
    <definedName name="_bdm.4B6C46E59B454A699514A08F9C129618.edm" hidden="1">#REF!</definedName>
    <definedName name="_bdm.4BA88AF9071C434EB75CA3D111800785.edm" hidden="1">#REF!</definedName>
    <definedName name="_bdm.4BC2715A04894F539C9A840AD7C6E1F3.edm" hidden="1">#REF!</definedName>
    <definedName name="_bdm.4C1A311D94D54388BC346092426EBC85.edm" hidden="1">#REF!</definedName>
    <definedName name="_bdm.4C2081DDA1A44BB899E804A8F87F6BE6.edm" hidden="1">#REF!</definedName>
    <definedName name="_bdm.4C4CA548823941D0979C9AD4CADB1483.edm" hidden="1">#REF!</definedName>
    <definedName name="_bdm.4C8543E50909469B854A222A74EC0920.edm" hidden="1">#REF!</definedName>
    <definedName name="_bdm.4CCB1CCC25C4472D8D2F479631AE5C74.edm" hidden="1">#REF!</definedName>
    <definedName name="_bdm.4CDA3DE0CF3B4F0A9D29A0950667235B.edm" hidden="1">#REF!</definedName>
    <definedName name="_bdm.4CFB2746B53D488A91399EB4B0CB849C.edm" hidden="1">#REF!</definedName>
    <definedName name="_bdm.4D647EB3DEC74F4784C742F079ED2D1E.edm" hidden="1">#REF!</definedName>
    <definedName name="_bdm.4D77F958FD5C4724AEC7A4633ABA40D0.edm" hidden="1">#REF!</definedName>
    <definedName name="_bdm.4D8A60806CD0446E82655AD6EB899F07.edm" hidden="1">#REF!</definedName>
    <definedName name="_bdm.4DD714AD356144A3A44876024E769B9E.edm" hidden="1">#REF!</definedName>
    <definedName name="_bdm.4E2D78F033E2441D989566786572A130.edm" hidden="1">#REF!</definedName>
    <definedName name="_bdm.4E316E87D53041F2AF3532629B1596B9.edm" hidden="1">#REF!</definedName>
    <definedName name="_bdm.4E37CB62D75D4FD1B85C191F26BDFD3A.edm" hidden="1">#REF!</definedName>
    <definedName name="_bdm.4E77908CBC1A4F388B871FC250BFCE36.edm" hidden="1">#REF!</definedName>
    <definedName name="_bdm.4EE3828522224C68814290C88B70563A.edm" hidden="1">#REF!</definedName>
    <definedName name="_bdm.4EEC9DC396F346D381ABA3FF33125413.edm" hidden="1">#REF!</definedName>
    <definedName name="_bdm.4F833764966A4C349F79524486F08B93.edm" hidden="1">#REF!</definedName>
    <definedName name="_bdm.4FBC9B6DB5CC4C1DA264DD9BC8D9BECC.edm" hidden="1">#REF!</definedName>
    <definedName name="_bdm.4FC8C391D8854E0E98C969AAE2A3D36E.edm" hidden="1">#REF!</definedName>
    <definedName name="_bdm.4FF61B99AD7B47ACA93E8EC86F8592D5.edm" hidden="1">#REF!</definedName>
    <definedName name="_bdm.5014FA65B2824A279B1E0373193E433C.edm" hidden="1">#REF!</definedName>
    <definedName name="_bdm.50363F92D3A24194AE175164F602BAEE.edm" hidden="1">#REF!</definedName>
    <definedName name="_bdm.50812AE82AB74A268901B4115199C717.edm" hidden="1">#REF!</definedName>
    <definedName name="_bdm.50B0187CEB404A68BF4C1219050ADA96.edm" hidden="1">#REF!</definedName>
    <definedName name="_bdm.50B9C55EE23B46768A54107065AED371.edm" hidden="1">#REF!</definedName>
    <definedName name="_bdm.50ED1A40F9EE49E8B1D577557493701F.edm" hidden="1">#REF!</definedName>
    <definedName name="_bdm.513B86FAEF234EBB9F06FBC32C900D9C.edm" hidden="1">#REF!</definedName>
    <definedName name="_bdm.514E4BF9373940C0ABF3DDBC268D2AB1.edm" hidden="1">#REF!</definedName>
    <definedName name="_bdm.51BA7DB25EBE448ABBFEDB9BB5640A41.edm" hidden="1">#REF!</definedName>
    <definedName name="_bdm.51ED47706F7F41F0979B7DC45C3F4DF3.edm" hidden="1">#REF!</definedName>
    <definedName name="_bdm.52269580E6B84785A4CDA16DA08414CF.edm" hidden="1">#REF!</definedName>
    <definedName name="_bdm.525B180BDD28450DB933B8D8D0545D48.edm" hidden="1">#REF!</definedName>
    <definedName name="_bdm.531299A9D81F4C2C93934AA4114AC560.edm" hidden="1">#REF!</definedName>
    <definedName name="_bdm.53472CAC8AEB44209D9A2CAA9F7BEB88.edm" hidden="1">#REF!</definedName>
    <definedName name="_bdm.534DA17E266744D78FA3BEAD10F2C738.edm" hidden="1">#REF!</definedName>
    <definedName name="_bdm.535FFFAE74274E1C8B1F485F05A6A303.edm" hidden="1">#REF!</definedName>
    <definedName name="_bdm.53B84E3D34E84ED79FAC4D2978EA7DAC.edm" hidden="1">#REF!</definedName>
    <definedName name="_bdm.55535C651C84456796B61515CFAD5C9D.edm" hidden="1">#REF!</definedName>
    <definedName name="_bdm.5554B1BA80034FB38ED63014FCA2F283.edm" hidden="1">#REF!</definedName>
    <definedName name="_bdm.55728FB90CFA4BA4B42E718850D41ACF.edm" hidden="1">#REF!</definedName>
    <definedName name="_bdm.565A9E7B49DB4C5780DCBA06446B44E1.edm" hidden="1">#REF!</definedName>
    <definedName name="_bdm.566650B74F284A04980CAF017A8DA27E.edm" hidden="1">#REF!</definedName>
    <definedName name="_bdm.56B9D25CFD854D67876863F44B4EDAB3.edm" hidden="1">#REF!</definedName>
    <definedName name="_bdm.574F044D02C84D2AA26205001596D2EC.edm" hidden="1">#REF!</definedName>
    <definedName name="_bdm.576F5B2AE1FD4769A74F5A100DDFCE3A.edm" hidden="1">#REF!</definedName>
    <definedName name="_bdm.579C23B4A21C4D8499B175914E722010.edm" hidden="1">#REF!</definedName>
    <definedName name="_bdm.57A0784D146543B6B34C86A7D11FFF51.edm" hidden="1">#REF!</definedName>
    <definedName name="_bdm.57B0C259739E4F99B36381332C57D30B.edm" hidden="1">#REF!</definedName>
    <definedName name="_bdm.57B2DEE8B5D745FF8CDEBB5C2A13DC54.edm" hidden="1">#REF!</definedName>
    <definedName name="_bdm.57D94A0EDD504B1BB6B01D06372D916F.edm" hidden="1">#REF!</definedName>
    <definedName name="_bdm.57DEA67A166A4B81A12F7571D3497B0D.edm" hidden="1">#REF!</definedName>
    <definedName name="_bdm.58195DC6A7414A37BF2595979B2C9CB2.edm" hidden="1">#REF!</definedName>
    <definedName name="_bdm.58AD3DD795F14DC6A2A5E4805392625E.edm" hidden="1">#REF!</definedName>
    <definedName name="_bdm.594A5507A05C48968D525721C3670FF0.edm" hidden="1">#REF!</definedName>
    <definedName name="_bdm.599CC5D95B6447BD961CF0BBFC70EB51.edm" hidden="1">#REF!</definedName>
    <definedName name="_bdm.59A8C4A4FC084119AD23E55381E0ABBA.edm" hidden="1">#REF!</definedName>
    <definedName name="_bdm.59ADD7F14F86475992826D69A91733ED.edm" hidden="1">#REF!</definedName>
    <definedName name="_bdm.5AD5193A591B443A91382D0AC3748949.edm" hidden="1">#REF!</definedName>
    <definedName name="_bdm.5B43395BFC6141A2ACDFE9353D43FCC9.edm" hidden="1">#REF!</definedName>
    <definedName name="_bdm.5B5E7F13594244308FB90F30FAC070AF.edm" hidden="1">#REF!</definedName>
    <definedName name="_bdm.5B67ACBAD14E4510AAA380B097ACD9FE.edm" hidden="1">#REF!</definedName>
    <definedName name="_bdm.5B73EEA478664A0EAF6ACFE5F354659D.edm" hidden="1">#REF!</definedName>
    <definedName name="_bdm.5B74DF75EA074C5B9D8471E9E865E07F.edm" hidden="1">#REF!</definedName>
    <definedName name="_bdm.5BC01332605A416DACCC87C99C93D14C.edm" hidden="1">#REF!</definedName>
    <definedName name="_bdm.5BE99EDC21BF49D1AEBF1CD9E483DBD8.edm" hidden="1">#REF!</definedName>
    <definedName name="_bdm.5BF922A505904465958AE5007E273679.edm" hidden="1">#REF!</definedName>
    <definedName name="_bdm.5C2C294AED2E4CCD9F49A93AEF9057CD.edm" hidden="1">#REF!</definedName>
    <definedName name="_bdm.5C5386C5A18048C78D1B60D9C7CDADA4.edm" hidden="1">#REF!</definedName>
    <definedName name="_bdm.5C775E3798A2425EB40B07112C580DAB.edm" hidden="1">#REF!</definedName>
    <definedName name="_bdm.5CB3E7386A3B446797319EC35B6F3662.edm" hidden="1">#REF!</definedName>
    <definedName name="_bdm.5CDFFBA1D93C47A593D321BC335B82DD.edm" hidden="1">#REF!</definedName>
    <definedName name="_bdm.5CE2137A24CF466996ACEA3893488722.edm" hidden="1">#REF!</definedName>
    <definedName name="_bdm.5cea7bdb11fc4da5ad17b05f709baa1a.edm" hidden="1">#REF!</definedName>
    <definedName name="_bdm.5D1FC9886D044B90A825BE2ABFCA8F94.edm" hidden="1">#REF!</definedName>
    <definedName name="_bdm.5D8553A07A1E4AA0A9EAE5902CF1FD1E.edm" hidden="1">#REF!</definedName>
    <definedName name="_bdm.5DB7A4C9C62C47538C6C5E3D29C1FF2A.edm" hidden="1">#REF!</definedName>
    <definedName name="_bdm.5DE15D5236534969B7A62D4909CA4DA8.edm" hidden="1">#REF!</definedName>
    <definedName name="_bdm.5DFC73F990E4481599AA49889538BDDD.edm" hidden="1">#REF!</definedName>
    <definedName name="_bdm.5E2314137FF6470AA748AD5DE881E368.edm" hidden="1">#REF!</definedName>
    <definedName name="_bdm.5E6BFC95C5654F05B703A36680725732.edm" hidden="1">#REF!</definedName>
    <definedName name="_bdm.5EF48EA95F9142C4BBEADAF17A039319.edm" hidden="1">#REF!</definedName>
    <definedName name="_bdm.5F6410A3D60549D6B03C98204BEF3473.edm" hidden="1">#REF!</definedName>
    <definedName name="_bdm.5F76D1A87FB347F2A19B9966A0E3AB7B.edm" hidden="1">#REF!</definedName>
    <definedName name="_bdm.5FB0077B0D12404E9547C2EFB3C2CA3B.edm" hidden="1">#REF!</definedName>
    <definedName name="_bdm.600B0C2BFB904EFEA1CAF1E07149BB3C.edm" hidden="1">#REF!</definedName>
    <definedName name="_bdm.6020D2B665E8423FABAC4549F09DFF90.edm" hidden="1">#REF!</definedName>
    <definedName name="_bdm.604600B0F9C147AD8A00D9693D4E2A70.edm" hidden="1">#REF!</definedName>
    <definedName name="_bdm.60B0E14EDE144D25A47E87DC4C1A97AE.edm" hidden="1">#REF!</definedName>
    <definedName name="_bdm.60BC93D516F14BDEB07C25BF279C46D6.edm" hidden="1">#REF!</definedName>
    <definedName name="_bdm.60CC501887F44DF0ABB28E1DF2DD8C2B.edm" hidden="1">#REF!</definedName>
    <definedName name="_bdm.60F4385113E940D6B9753F567368D8F8.edm" hidden="1">#REF!</definedName>
    <definedName name="_bdm.612C272EE1CD4083966D60153EC1C0A5.edm" hidden="1">#REF!</definedName>
    <definedName name="_bdm.61339B68388D43708B18CE714EDF1949.edm" hidden="1">#REF!</definedName>
    <definedName name="_bdm.620DA7BECEC3407AA327D2D103124C67.edm" hidden="1">#REF!</definedName>
    <definedName name="_bdm.6290728516F8480BBE311F5A8D2E3158.edm" hidden="1">#REF!</definedName>
    <definedName name="_bdm.633CFB0137554FD39CC29FCD767876AC.edm" hidden="1">#REF!</definedName>
    <definedName name="_bdm.635D1119572E44B9B4177E655C8BCF65.edm" hidden="1">#REF!</definedName>
    <definedName name="_bdm.63CE42EEC6CF4F4CABCC008BDED4C4D4.edm" hidden="1">#REF!</definedName>
    <definedName name="_bdm.63CF90EB5C7148C38DF9F74DE1AA60F5.edm" hidden="1">#REF!</definedName>
    <definedName name="_bdm.6406C354857549378E285E77D03213D9.edm" hidden="1">#REF!</definedName>
    <definedName name="_bdm.64169669F2834794A8325515EAFF013E.edm" hidden="1">#REF!</definedName>
    <definedName name="_bdm.6446DC99222449E4AFF20CC77D4B13F1.edm" hidden="1">#REF!</definedName>
    <definedName name="_bdm.6451671546AF4D309E4BA77B2F28964A.edm" hidden="1">#REF!</definedName>
    <definedName name="_bdm.647953bac24841eba69dc210cb82f208.edm" hidden="1">#REF!</definedName>
    <definedName name="_bdm.64C24747F3554B7DBF029B9A5E8ADD55.edm" hidden="1">#REF!</definedName>
    <definedName name="_bdm.65183E14530440BDAD6CD5AE54BE67F2.edm" hidden="1">#REF!</definedName>
    <definedName name="_bdm.652770F060594AFFA2E8CBC29AAA3DAD.edm" hidden="1">#REF!</definedName>
    <definedName name="_bdm.65516BF838624D69AB9E981E986F2999.edm" hidden="1">#REF!</definedName>
    <definedName name="_bdm.6570DC6AE1D84AB08363D7841ECDB9B4.edm" hidden="1">#REF!</definedName>
    <definedName name="_bdm.65A4690C04B2493EAFBF41B8D83EC55F.edm" hidden="1">#REF!</definedName>
    <definedName name="_bdm.65A714D0B09148ECA96844DFB9C4B62F.edm" hidden="1">#REF!</definedName>
    <definedName name="_bdm.65CCAA1ECA1445588E4DD3781FD8C204.edm" hidden="1">#REF!</definedName>
    <definedName name="_bdm.65E2D6A39B69480DB4BCAEA50A096C49.edm" hidden="1">#REF!</definedName>
    <definedName name="_bdm.65E7C903CF4C418698F9B8CA92F860FF.edm" hidden="1">#REF!</definedName>
    <definedName name="_bdm.6615C7F19C8D442186AE6E09EF77236E.edm" hidden="1">#REF!</definedName>
    <definedName name="_bdm.661EA362D27444EDBC99E1244FBE17DB.edm" hidden="1">#REF!</definedName>
    <definedName name="_bdm.6636C83B3FFC446092EF3E999791D177.edm" hidden="1">#REF!</definedName>
    <definedName name="_bdm.66377CBEF0FA4DE38BBE20C21EE658B6.edm" hidden="1">#REF!</definedName>
    <definedName name="_bdm.6657E4DA471B436D8241282C5C4D2221.edm" hidden="1">#REF!</definedName>
    <definedName name="_bdm.6662A4D0A81D4AFC91DD99A0D0602B1A.edm" hidden="1">#REF!</definedName>
    <definedName name="_bdm.66CE8F8472584C03A22DED7BC8430F6A.edm" hidden="1">#REF!</definedName>
    <definedName name="_bdm.66E5337022A64798B3F06A50AED0A825.edm" hidden="1">#REF!</definedName>
    <definedName name="_bdm.6744804FD7074843815764A01D65BEDC.edm" hidden="1">#REF!</definedName>
    <definedName name="_bdm.67552A077D06470F878707D0138DCB70.edm" hidden="1">#REF!</definedName>
    <definedName name="_bdm.6755B5D1A2EA4D1D8103281B30A03993.edm" hidden="1">#REF!</definedName>
    <definedName name="_bdm.678A7A7C9E084C68A08CC1E990135B54.edm" hidden="1">#REF!</definedName>
    <definedName name="_bdm.67D24E4D48274633BE27D876F806788D.edm" hidden="1">#REF!</definedName>
    <definedName name="_bdm.68184134FC2F454FB974F218DC00E7D6.edm" hidden="1">#REF!</definedName>
    <definedName name="_bdm.681EFA119DB9406F9DF1ED78EAAC84A1.edm" hidden="1">#REF!</definedName>
    <definedName name="_bdm.684F0A64B586481ABC1F19988AF56735.edm" hidden="1">#REF!</definedName>
    <definedName name="_bdm.686BA4B0EE0F4A2B8C1DF0AB3048169A.edm" hidden="1">#REF!</definedName>
    <definedName name="_bdm.689BB5FDBF2F4B5B99CC8F0BF35C6461.edm" hidden="1">#REF!</definedName>
    <definedName name="_bdm.68CAC98C93F548739294D47AF955A8EA.edm" hidden="1">#REF!</definedName>
    <definedName name="_bdm.68CB43D4B24E4ED2AD158214E5E6B2B9.edm" hidden="1">#REF!</definedName>
    <definedName name="_bdm.68D736440C4D4F37A86628213703287E.edm" hidden="1">#REF!</definedName>
    <definedName name="_bdm.68EF90E974924946A34FD26880BB5537.edm" hidden="1">#REF!</definedName>
    <definedName name="_bdm.6936904F447D4EC68E7EF173D0C5D062.edm" hidden="1">#REF!</definedName>
    <definedName name="_bdm.6A52AD2AE3AF421D94E31E092ADDAE99.edm" hidden="1">#REF!</definedName>
    <definedName name="_bdm.6A5ED2555E5C4BB4ABCE79B8EDE944FB.edm" hidden="1">#REF!</definedName>
    <definedName name="_bdm.6A873B2BCB804EAFBC2B77456972A3B7.edm" hidden="1">#REF!</definedName>
    <definedName name="_bdm.6AFFAA2B35274E798FAC9C31D8065D54.edm" hidden="1">#REF!</definedName>
    <definedName name="_bdm.6B51F5C481B544A9BD8A725432C96AC5.edm" hidden="1">#REF!</definedName>
    <definedName name="_bdm.6C3C21AC95604C08847848B124ADF48C.edm" hidden="1">#REF!</definedName>
    <definedName name="_bdm.6C41853A3BA84340A90E32104EB4AB01.edm" hidden="1">#REF!</definedName>
    <definedName name="_bdm.6C545A5672834C759EB8220799CC8363.edm" hidden="1">#REF!</definedName>
    <definedName name="_bdm.6C85ACB8704442A7A04045A2521265B4.edm" hidden="1">#REF!</definedName>
    <definedName name="_bdm.6CF69594D8AD440EBCBDFCBD28712674.edm" hidden="1">#REF!</definedName>
    <definedName name="_bdm.6D37F9B911524C0F8520EF90ED32DB2C.edm" hidden="1">#REF!</definedName>
    <definedName name="_bdm.6D80109B25D5424383004604AEA9BDF5.edm" hidden="1">#REF!</definedName>
    <definedName name="_bdm.6DF3EF3ACED94101B5BCBF6E5B3D6F4C.edm" hidden="1">#REF!</definedName>
    <definedName name="_bdm.6E2F057B730B4657AF2CF08815C87FFF.edm" hidden="1">#REF!</definedName>
    <definedName name="_bdm.6E847D97942440FE804E4EB0802EFAAE.edm" hidden="1">#REF!</definedName>
    <definedName name="_bdm.6EF7119EAD6340CD92B03399ECEA8E2B.edm" hidden="1">#REF!</definedName>
    <definedName name="_bdm.6F0C6B8291EA46E0AD8496FF3F626799.edm" hidden="1">#REF!</definedName>
    <definedName name="_bdm.6F2AEF76A618474F82A9CEBB24EE1F6D.edm" hidden="1">#REF!</definedName>
    <definedName name="_bdm.6F619F8CD06943BDAECED3953268AF65.edm" hidden="1">#REF!</definedName>
    <definedName name="_bdm.6fa2726c8e074c1b86238493dc2c29e9.edm" hidden="1">#REF!</definedName>
    <definedName name="_bdm.6FAEE423EE824B2FBD0CF679DDF4C711.edm" hidden="1">#REF!</definedName>
    <definedName name="_bdm.6FD44E0A6565403489DC6D1D1B3FF914.edm" hidden="1">#REF!</definedName>
    <definedName name="_bdm.70048BDD4A7E4929A406D066035DB80F.edm" hidden="1">#REF!</definedName>
    <definedName name="_bdm.701D6A5DFFE241CFBCFCDEEEFF7B9BCF.edm" hidden="1">#REF!</definedName>
    <definedName name="_bdm.706b133c985b4292916aec40de98dd04.edm" hidden="1">#REF!</definedName>
    <definedName name="_bdm.707f3bfa678d4ed4a3aefc9b9d5c8dfc.edm" hidden="1">#REF!</definedName>
    <definedName name="_bdm.712D82233F5943DB93E4B654F22BD97B.edm" hidden="1">#REF!</definedName>
    <definedName name="_bdm.713FEA2C2E5A491BBD7190A42191AE79.edm" hidden="1">#REF!</definedName>
    <definedName name="_bdm.716B89077B64499C9E1BCE3DA49ADB3F.edm" hidden="1">#REF!</definedName>
    <definedName name="_bdm.718780569997471EB4F1ADF965C79E67.edm" hidden="1">#REF!</definedName>
    <definedName name="_bdm.718C8DEDE2974B66AB1835C3FB3900B5.edm" hidden="1">#REF!</definedName>
    <definedName name="_bdm.71A863AD5E9E4CB3AA4EF0A9091A93C4.edm" hidden="1">#REF!</definedName>
    <definedName name="_bdm.71C1FEC549104A54AB83A17A7B38F132.edm" hidden="1">#REF!</definedName>
    <definedName name="_bdm.71CF3BAE909942D79F8A55676ED3E4FF.edm" hidden="1">#REF!</definedName>
    <definedName name="_bdm.71F7ABF3C603452486B9BCA03F52BCED.edm" hidden="1">#REF!</definedName>
    <definedName name="_bdm.71F975E341104B55BC3D4CFEDA7A213B.edm" hidden="1">#REF!</definedName>
    <definedName name="_bdm.7241906BBC9A475EA726FA52210E5CEA.edm" hidden="1">#REF!</definedName>
    <definedName name="_bdm.72704a4132cf4d26b6c32d6b5514ec73.edm" hidden="1">#REF!</definedName>
    <definedName name="_bdm.7287AD3211274B9B8E5B1CC0A7D3CD4F.edm" hidden="1">#REF!</definedName>
    <definedName name="_bdm.7295872893D34B8E8474F3A43581A390.edm" hidden="1">#REF!</definedName>
    <definedName name="_bdm.72B7FF1692DC40DCAEC82CB7DB4AC2A4.edm" hidden="1">#REF!</definedName>
    <definedName name="_bdm.72E2E89D1BCD40BDA21D5C0C6CDCEC91.edm" hidden="1">#REF!</definedName>
    <definedName name="_bdm.7317FA0965BB429EA337AD9E02AC0386.edm" hidden="1">#REF!</definedName>
    <definedName name="_bdm.73792C09BA20415894D1776E2333B30D.edm" hidden="1">#REF!</definedName>
    <definedName name="_bdm.7386361E77F5404AA8E68C49E609D83F.edm" hidden="1">#REF!</definedName>
    <definedName name="_bdm.73D953FDB78449C7A47A7DEFA6D8509D.edm" hidden="1">#REF!</definedName>
    <definedName name="_bdm.73E4C56E04A8434685AC6E318E4DB50A.edm" hidden="1">#REF!</definedName>
    <definedName name="_bdm.73E995FADFF04E8E83E4998F03AED0FD.edm" hidden="1">#REF!</definedName>
    <definedName name="_bdm.73F36604F28945798910A8125A790330.edm" hidden="1">#REF!</definedName>
    <definedName name="_bdm.74046AA8A4F84BD3888B1D29A8D95BB5.edm" hidden="1">#REF!</definedName>
    <definedName name="_bdm.74077A4FE54F4520BDE062E7FF3C173B.edm" hidden="1">#REF!</definedName>
    <definedName name="_bdm.742B0E1ACE094AC795FF145F1ABA8553.edm" hidden="1">#REF!</definedName>
    <definedName name="_bdm.744D31944E284D8F801779872D883368.edm" hidden="1">#REF!</definedName>
    <definedName name="_bdm.746978C3B6A94892BED7C3DE3AED904B.edm" hidden="1">#REF!</definedName>
    <definedName name="_bdm.749B6C801E93432A9612E032C7C1C449.edm" hidden="1">#REF!</definedName>
    <definedName name="_bdm.74A3A24E66774DB89BB86CE353661400.edm" hidden="1">#REF!</definedName>
    <definedName name="_bdm.74AE004EEF4546E39FAD1A98FF3967AB.edm" hidden="1">#REF!</definedName>
    <definedName name="_bdm.755FD9437A7448B3B0E7713393ECCB48.edm" hidden="1">#REF!</definedName>
    <definedName name="_bdm.7584F6B47FB04649910D785BED6CC6AE.edm" hidden="1">#REF!</definedName>
    <definedName name="_bdm.759218C157294636A70227DA7847E6A0.edm" hidden="1">#REF!</definedName>
    <definedName name="_bdm.75AF7B9E7CDE4E1DA5F61F72D3EE1CAE.edm" hidden="1">#REF!</definedName>
    <definedName name="_bdm.75DCB153729047F4870BA8829C0A795E.edm" hidden="1">#REF!</definedName>
    <definedName name="_bdm.760CE3760193415BB5391E7718FEF8FC.edm" hidden="1">#REF!</definedName>
    <definedName name="_bdm.76186E45501C4A5598A4719D7F5450E0.edm" hidden="1">#REF!</definedName>
    <definedName name="_bdm.7667606FD1BF4E08B50F274015DB683F.edm" hidden="1">#REF!</definedName>
    <definedName name="_bdm.7671C9F3365348DFB0D3C25E5D7E2BCB.edm" hidden="1">#REF!</definedName>
    <definedName name="_bdm.76AD57D1CB1D43FB8FF4D680B78F4B3B.edm" hidden="1">#REF!</definedName>
    <definedName name="_bdm.77CE98ECBAC441CEB11324F14E7312BE.edm" hidden="1">#REF!</definedName>
    <definedName name="_bdm.780863854BC84162B3E94176CBE37B54.edm" hidden="1">#REF!</definedName>
    <definedName name="_bdm.780A6FF00EB049D4B61E603ED518279E.edm" hidden="1">#REF!</definedName>
    <definedName name="_bdm.780D61CE51A5410A8360A1D7F58CC6A7.edm" hidden="1">#REF!</definedName>
    <definedName name="_bdm.786C2A0C73D947259D5C03F48925E7B8.edm" hidden="1">#REF!</definedName>
    <definedName name="_bdm.78A6ED1C6A0144AFBDECACE988503CF0.edm" hidden="1">#REF!</definedName>
    <definedName name="_bdm.78BEAB894A6C4A638D5F70065B582E43.edm" hidden="1">#REF!</definedName>
    <definedName name="_bdm.78CDA029750F4AEAA94BB3CA2BE97774.edm" hidden="1">#REF!</definedName>
    <definedName name="_bdm.78DEE23FC09B4E25A5BDF1AFE1555CA7.edm" hidden="1">#REF!</definedName>
    <definedName name="_bdm.79048CB2734E42A1813A19AF346D6F3B.edm" hidden="1">#REF!</definedName>
    <definedName name="_bdm.795463DE7F094799B0FBCAD462703F08.edm" hidden="1">#REF!</definedName>
    <definedName name="_bdm.795C457511284B6088F0E06FFFA7DF21.edm" hidden="1">#REF!</definedName>
    <definedName name="_bdm.79871DB83CB640A0B693F749114558D1.edm" hidden="1">#REF!</definedName>
    <definedName name="_bdm.79FD3F90A6C949168DC4029894E336FD.edm" hidden="1">#REF!</definedName>
    <definedName name="_bdm.7A0A95368E734241A0FD4133ADA36873.edm" hidden="1">#REF!</definedName>
    <definedName name="_bdm.7A43279EF73C4531ABB73A70F7FFA370.edm" hidden="1">#REF!</definedName>
    <definedName name="_bdm.7A518FAA38604780A25DF4686F0D0CBE.edm" hidden="1">#REF!</definedName>
    <definedName name="_bdm.7A8577E910904AA098FE5C16F9781F61.edm" hidden="1">#REF!</definedName>
    <definedName name="_bdm.7A877A8A3FDE4630B8CFA589622EFA32.edm" hidden="1">#REF!</definedName>
    <definedName name="_bdm.7B005105DA744F0F9A0D93E4F632545C.edm" hidden="1">#REF!</definedName>
    <definedName name="_bdm.7B9D069494B84730AA08A5F27AA59E79.edm" hidden="1">#REF!</definedName>
    <definedName name="_bdm.7BBE5682BF5349FE814DB1C67C412D1A.edm" hidden="1">#REF!</definedName>
    <definedName name="_bdm.7C037EAA3A9B46E1866CA044CB2C4455.edm" hidden="1">#REF!</definedName>
    <definedName name="_bdm.7C1331A7138B4FE19901194A5770BB43.edm" hidden="1">#REF!</definedName>
    <definedName name="_bdm.7C22218B99E7475A8E8311BCBDB6E2FC.edm" hidden="1">#REF!</definedName>
    <definedName name="_bdm.7C34919F0F2F4FC08546460F84CA54C2.edm" hidden="1">#REF!</definedName>
    <definedName name="_bdm.7CFB3C7A53C14AD6AF8A33D3A7D69CAF.edm" hidden="1">#REF!</definedName>
    <definedName name="_bdm.7DC0FF1008B949E4ACD637C545B2DEC5.edm" hidden="1">#REF!</definedName>
    <definedName name="_bdm.7DD7298AEF9E4FD19848028C570F8E1B.edm" hidden="1">#REF!</definedName>
    <definedName name="_bdm.7E949A478C5C4E8EA81F6B538A05C3B2.edm" hidden="1">#REF!</definedName>
    <definedName name="_bdm.7EE7DAB411954D89A86BAAA8589DB4EB.edm" hidden="1">#REF!</definedName>
    <definedName name="_bdm.7F32FCF6E2A64C5384BD39EF67796556.edm" hidden="1">#REF!</definedName>
    <definedName name="_bdm.7F68B67DC19F4EDF8DE59A0DE9040A3C.edm" hidden="1">#REF!</definedName>
    <definedName name="_bdm.7F6B191219C7413A9C9BD20F10A73E9F.edm" hidden="1">#REF!</definedName>
    <definedName name="_bdm.7FB2D5CB000D457097C2125A23ABD8A3.edm" hidden="1">#REF!</definedName>
    <definedName name="_bdm.7FE57F8331F24393BAF982653AAA215F.edm" hidden="1">#REF!</definedName>
    <definedName name="_bdm.8000D0ED14F143D7BF3B830D04AC70A5.edm" hidden="1">#REF!</definedName>
    <definedName name="_bdm.8046897D72AB4E13A26DADC7F932EADC.edm" hidden="1">#REF!</definedName>
    <definedName name="_bdm.807AD1B4903D4C29B197D3AB40C2E14D.edm" hidden="1">#REF!</definedName>
    <definedName name="_bdm.80B72B4CC7864BB786C9377070B58484.edm" hidden="1">#REF!</definedName>
    <definedName name="_bdm.80DEAC0476F04910A7FDC59A2672A0C5.edm" hidden="1">#REF!</definedName>
    <definedName name="_bdm.81272063F9DF4246A3802FA6269CDABC.edm" hidden="1">#REF!</definedName>
    <definedName name="_bdm.8140B3C71E3743CE9E0E685B348B0AAF.edm" hidden="1">#REF!</definedName>
    <definedName name="_bdm.8160F5180AA2414F85BBC64FFC15533A.edm" hidden="1">#REF!</definedName>
    <definedName name="_bdm.8161011CCB9B42DEB9D7FDDFA0418443.edm" hidden="1">#REF!</definedName>
    <definedName name="_bdm.819C8A9889DC4125A766BBEBDBEA5B74.edm" hidden="1">#REF!</definedName>
    <definedName name="_bdm.81ACE81BBA164E598B7D514CD4E45E03.edm" hidden="1">#REF!</definedName>
    <definedName name="_bdm.81CE6D9341AC430CA15D9013A9109D94.edm" hidden="1">#REF!</definedName>
    <definedName name="_bdm.82233BB6D04D4B1BA1907C25E722DE73.edm" hidden="1">#REF!</definedName>
    <definedName name="_bdm.8249142CB5874BF5947E26128AE2C536.edm" hidden="1">#REF!</definedName>
    <definedName name="_bdm.825093C866094DA18554A9A1EDB45C8E.edm" hidden="1">#REF!</definedName>
    <definedName name="_bdm.827CE9CBE1A5419EA323BA343A7F3281.edm" hidden="1">#REF!</definedName>
    <definedName name="_bdm.834773793C014201BDD4E468FE590ABF.edm" hidden="1">#REF!</definedName>
    <definedName name="_bdm.8364506A8F67436AB4C2D4EA73F22E60.edm" hidden="1">#REF!</definedName>
    <definedName name="_bdm.838B0FCDD7B049979F00837C0F84FC52.edm" hidden="1">#REF!</definedName>
    <definedName name="_bdm.83AAA1C402B7473D8D9212209B6D47DC.edm" hidden="1">#REF!</definedName>
    <definedName name="_bdm.83AE7C906A23448AB8FFA6E88E903D8E.edm" hidden="1">#REF!</definedName>
    <definedName name="_bdm.83B61F7F15D74DEF81EC79A0EE6FEAB8.edm" hidden="1">#REF!</definedName>
    <definedName name="_bdm.83D7DDB91E0E4A50AE907BCF05E74CA7.edm" hidden="1">#REF!</definedName>
    <definedName name="_bdm.84051D4190F8449CB0BF1132905819D9.edm" hidden="1">#REF!</definedName>
    <definedName name="_bdm.8487AE5D8AE54BD790AD4F5C2B99FBFF.edm" hidden="1">#REF!</definedName>
    <definedName name="_bdm.848E4AC1402F4D02B9044804BF0B5C89.edm" hidden="1">#REF!</definedName>
    <definedName name="_bdm.84C040F25399428B89F1A1EA545B1BBF.edm" hidden="1">#REF!</definedName>
    <definedName name="_bdm.84DE8D4E81164E479C7007B370CD10F4.edm" hidden="1">#REF!</definedName>
    <definedName name="_bdm.8526E4E157E94271B230FBE469CCE094.edm" hidden="1">#REF!</definedName>
    <definedName name="_bdm.85856CB199BE415FA9C6118E45F4A29C.edm" hidden="1">#REF!</definedName>
    <definedName name="_bdm.858C8CF3CE7441899FDDA9B6C57E6C65.edm" hidden="1">#REF!</definedName>
    <definedName name="_bdm.858E6CCDF89A4FB88D717E14CB51B701.edm" hidden="1">#REF!</definedName>
    <definedName name="_bdm.85BB5722EE86428896EC5BEE8B117527.edm" hidden="1">#REF!</definedName>
    <definedName name="_bdm.861CC7F4F1994F79B904080564E78D73.edm" hidden="1">#REF!</definedName>
    <definedName name="_bdm.862A5E6516DA4B6A817DD26657CCDCEA.edm" hidden="1">#REF!</definedName>
    <definedName name="_bdm.866D5A88DDF044E999C29D3885CA52D9.edm" hidden="1">#REF!</definedName>
    <definedName name="_bdm.86B9E838DDE2464AB661049C0722626C.edm" hidden="1">#REF!</definedName>
    <definedName name="_bdm.8726070A89AB4B3882A9D33302DE411C.edm" hidden="1">#REF!</definedName>
    <definedName name="_bdm.880149438B4E40769C513F230A62AADB.edm" hidden="1">#REF!</definedName>
    <definedName name="_bdm.88175DFAB5D642E59B28E5A5E2A9E7D9.edm" hidden="1">#REF!</definedName>
    <definedName name="_bdm.885D4051384C4401875164F2A1B9CC7B.edm" hidden="1">#REF!</definedName>
    <definedName name="_bdm.8860d0adebed45c9866869622610af93.edm" hidden="1">#REF!</definedName>
    <definedName name="_bdm.8863207985944CDC9477BE90EAFB154A.edm" hidden="1">#REF!</definedName>
    <definedName name="_bdm.887B2159D64B4777B0B66B0BCEB7A045.edm" hidden="1">#REF!</definedName>
    <definedName name="_bdm.888A658DFF374BE6A511AD3B013100E0.edm" hidden="1">#REF!</definedName>
    <definedName name="_bdm.889BDA1E0994448EB1CFE7A9081E6BFA.edm" hidden="1">#REF!</definedName>
    <definedName name="_bdm.88CA575C8E4447C184EF246F886F95BD.edm" hidden="1">#REF!</definedName>
    <definedName name="_bdm.88DED8903826409DB598C5E7D2F75047.edm" hidden="1">#REF!</definedName>
    <definedName name="_bdm.8914963490F74F339E93019DC422D36D.edm" hidden="1">#REF!</definedName>
    <definedName name="_bdm.89466E0617564FA8A23EC92260226AA6.edm" hidden="1">#REF!</definedName>
    <definedName name="_bdm.895EE46A61C74F33A2EEBF94F805BE04.edm" hidden="1">#REF!</definedName>
    <definedName name="_bdm.899b2c04b8e54c39bf2c3820af7b4e78.edm" hidden="1">#REF!</definedName>
    <definedName name="_bdm.89E64871580A42708DA6F5B8074CE3A1.edm" hidden="1">#REF!</definedName>
    <definedName name="_bdm.8A3190BD38CB4DD8BA49200CB4D0DF46.edm" hidden="1">#REF!</definedName>
    <definedName name="_bdm.8A3CB704298D40188F7F699D8EA472A8.edm" hidden="1">#REF!</definedName>
    <definedName name="_bdm.8A492CD34E3144BCAC0DC9E20684BF8F.edm" hidden="1">#REF!</definedName>
    <definedName name="_bdm.8A815BA55AC94E268F12479D3C4056A2.edm" hidden="1">#REF!</definedName>
    <definedName name="_bdm.8A91DB1644E0456B8D29BE9D4BBDEAD2.edm" hidden="1">#REF!</definedName>
    <definedName name="_bdm.8aa1fb62e6f942f68613c6446ff523c4.edm" hidden="1">#REF!</definedName>
    <definedName name="_bdm.8AE8558948E54DBD8CC0EEFA5B387EB3.edm" hidden="1">#REF!</definedName>
    <definedName name="_bdm.8B322929D53F443C944656E333FA6096.edm" hidden="1">#REF!</definedName>
    <definedName name="_bdm.8B64E737F231433C8F1CDC360F025319.edm" hidden="1">#REF!</definedName>
    <definedName name="_bdm.8B78A2AB957747F6B93B8D303C35F585.edm" hidden="1">#REF!</definedName>
    <definedName name="_bdm.8B85DC90E26746F0A653A77A132FF6E5.edm" hidden="1">#REF!</definedName>
    <definedName name="_bdm.8BA3D1CFAAC54559BBDD5D7796041B60.edm" hidden="1">#REF!</definedName>
    <definedName name="_bdm.8C06422A01984EF683A5110143C46D79.edm" hidden="1">#REF!</definedName>
    <definedName name="_bdm.8C41B65CE6E94B249D7FAF1E8C329E6B.edm" hidden="1">#REF!</definedName>
    <definedName name="_bdm.8C64B8EF40FF4BF3A2F282273731F3E6.edm" hidden="1">#REF!</definedName>
    <definedName name="_bdm.8C9301FA29A0429E98EDA65CE0602697.edm" hidden="1">#REF!</definedName>
    <definedName name="_bdm.8C935CDBF11F49B69508354DFC780C29.edm" hidden="1">#REF!</definedName>
    <definedName name="_bdm.8CD6E93CB59D414FAD0F42463A07BB7B.edm" hidden="1">#REF!</definedName>
    <definedName name="_bdm.8CF22BC186664377B11799448A626E8F.edm" hidden="1">#REF!</definedName>
    <definedName name="_bdm.8D086B5E3D0C46E0BD024DAEC7F24AD4.edm" hidden="1">#REF!</definedName>
    <definedName name="_bdm.8D3EC86C52BA4606BD1A5A5867FE3C64.edm" hidden="1">#REF!</definedName>
    <definedName name="_bdm.8D54297434454447AAF435693D46CD7F.edm" hidden="1">#REF!</definedName>
    <definedName name="_bdm.8D6D486671AC47318BC62B7346A075C2.edm" hidden="1">#REF!</definedName>
    <definedName name="_bdm.8D6DA4D1A93E4F0BAB3F6088BCBE409B.edm" hidden="1">#REF!</definedName>
    <definedName name="_bdm.8D79F59BC35F4AAD9A236AE9A431062D.edm" hidden="1">#REF!</definedName>
    <definedName name="_bdm.8D7CD62906BC499D9EEDADA70CFC7B26.edm" hidden="1">#REF!</definedName>
    <definedName name="_bdm.8D82C8C99D7046CF9CAD1659795D3182.edm" hidden="1">#REF!</definedName>
    <definedName name="_bdm.8D9BAA080EDB4388AA8280AA410B5073.edm" hidden="1">#REF!</definedName>
    <definedName name="_bdm.8DB979EE16B945ADB35E53BB54F0CC81.edm" hidden="1">#REF!</definedName>
    <definedName name="_bdm.8E4F78A3EED34ED19509EF5F4BB4333A.edm" hidden="1">#REF!</definedName>
    <definedName name="_bdm.8EA0C54DC51D461B9CA3B97B1AC16C3C.edm" hidden="1">#REF!</definedName>
    <definedName name="_bdm.8EFE2922B3F64A25B03888194D6F1B9C.edm" hidden="1">#REF!</definedName>
    <definedName name="_bdm.8FA0DB3B47234E3CA0A745517A50C55B.edm" hidden="1">#REF!</definedName>
    <definedName name="_bdm.8FB1CF2FD37F44B88AD2697E483BF623.edm" hidden="1">#REF!</definedName>
    <definedName name="_bdm.900FE6B511334CE09799E7B869B786E3.edm" hidden="1">#REF!</definedName>
    <definedName name="_bdm.903570DDD20F48FFB40AF6926CFD0838.edm" hidden="1">#REF!</definedName>
    <definedName name="_bdm.90643D70A19C47A1BB75DF1835CC9670.edm" hidden="1">#REF!</definedName>
    <definedName name="_bdm.908AA8A95AEB4324B10B20CCB383E800.edm" hidden="1">#REF!</definedName>
    <definedName name="_bdm.90A3C6ACD4684869B959CD791EC1F91A.edm" hidden="1">#REF!</definedName>
    <definedName name="_bdm.90C8215E5BD54A7A9E22328502F19FF8.edm" hidden="1">#REF!</definedName>
    <definedName name="_bdm.90DFE3A60CA249D5A87DD9C00562D2B4.edm" hidden="1">#REF!</definedName>
    <definedName name="_bdm.90FCFFCEC10B4A6A9F688105027C04FA.edm" hidden="1">#REF!</definedName>
    <definedName name="_bdm.912D8FA1135E4F16845D504BD8610070.edm" hidden="1">#REF!</definedName>
    <definedName name="_bdm.91C9B260BC2A41E9B16ACBDEFA19A73B.edm" hidden="1">#REF!</definedName>
    <definedName name="_bdm.920A0F51D0DD4FB1951996C84984715E.edm" hidden="1">#REF!</definedName>
    <definedName name="_bdm.9224D39E8B534D3086640BADA8FF9D22.edm" hidden="1">#REF!</definedName>
    <definedName name="_bdm.924FB4728A8E459691A8321945A588BD.edm" hidden="1">#REF!</definedName>
    <definedName name="_bdm.92AF9E69A1E24937B6AFB393E6895FE6.edm" hidden="1">#REF!</definedName>
    <definedName name="_bdm.930AF6CA95CB425B966A9C7517AD43C0.edm" hidden="1">#REF!</definedName>
    <definedName name="_bdm.9338BE5A60D24EBEAB6CB5E2FBC186C4.edm" hidden="1">#REF!</definedName>
    <definedName name="_bdm.940268481BCF4EBFB96B40804C898A69.edm" hidden="1">#REF!</definedName>
    <definedName name="_bdm.94796D4DB1624C1883FC44C0A6137965.edm" hidden="1">#REF!</definedName>
    <definedName name="_bdm.9485A1B057CC47ADB12AA58182F67FC1.edm" hidden="1">#REF!</definedName>
    <definedName name="_bdm.950F999350D2402F8F9CD252B846448F.edm" hidden="1">#REF!</definedName>
    <definedName name="_bdm.952D6C3494F740B9B6AB89B5B627F0AF.edm" hidden="1">#REF!</definedName>
    <definedName name="_bdm.954BEEC1583F4F45B57AF4FCFC591302.edm" hidden="1">#REF!</definedName>
    <definedName name="_bdm.955A87A0840C45B680A1C5A9848C8488.edm" hidden="1">#REF!</definedName>
    <definedName name="_bdm.9560ED134D5240719CDF5E8305669B28.edm" hidden="1">#REF!</definedName>
    <definedName name="_bdm.9569A4D6F29F4A2E9633FD1EFF5FD642.edm" hidden="1">#REF!</definedName>
    <definedName name="_bdm.956EB32E4CE04D8090AC2BCFB0A5E944.edm" hidden="1">#REF!</definedName>
    <definedName name="_bdm.9599E71E069D4694A4308F9390EACE0C.edm" hidden="1">#REF!</definedName>
    <definedName name="_bdm.96066A119F654AD985813B6E79D70A8E.edm" hidden="1">#REF!</definedName>
    <definedName name="_bdm.96929BF5864F482BAACC43FED8AC120B.edm" hidden="1">#REF!</definedName>
    <definedName name="_bdm.97562BC7360A4C108A81BA96A6152153.edm" hidden="1">#REF!</definedName>
    <definedName name="_bdm.97C831ED83734796B9DBC83751131384.edm" hidden="1">#REF!</definedName>
    <definedName name="_bdm.9891137968384BC3BC258754113F7FB4.edm" hidden="1">#REF!</definedName>
    <definedName name="_bdm.989C2D6780374A03933687BB00F7403B.edm" hidden="1">#REF!</definedName>
    <definedName name="_bdm.98EDE5664877452D9564E502C4E78EB9.edm" hidden="1">#REF!</definedName>
    <definedName name="_bdm.99854DD3891E445A9498DDEDFC86191B.edm" hidden="1">#REF!</definedName>
    <definedName name="_bdm.999BD36007574D72976FC3CD5BE51769.edm" hidden="1">#REF!</definedName>
    <definedName name="_bdm.9A51C4E9834C499C8E127D72F95222C1.edm" hidden="1">#REF!</definedName>
    <definedName name="_bdm.9ACF978DB46D4B27A791244E02C39383.edm" hidden="1">#REF!</definedName>
    <definedName name="_bdm.9ba439b558534e2ea4403faee3fdb105.edm" hidden="1">#REF!</definedName>
    <definedName name="_bdm.9BED4F0D3104470DA59089488DE3A451.edm" hidden="1">#REF!</definedName>
    <definedName name="_bdm.9C26B01883584D23A0EEEB2B79EB3397.edm" hidden="1">#REF!</definedName>
    <definedName name="_bdm.9C832138E8AE4DC1834BCCD06A2E088B.edm" hidden="1">#REF!</definedName>
    <definedName name="_bdm.9cd45dd0122e46928babaeea36f5fe6c.edm" hidden="1">#REF!</definedName>
    <definedName name="_bdm.9CF58387819B44E3BAC94551365B35BD.edm" hidden="1">#REF!</definedName>
    <definedName name="_bdm.9D04F99DB13548A6AF4DD844CAA56568.edm" hidden="1">#REF!</definedName>
    <definedName name="_bdm.9D43E943417445ED85D6A7102E3E8315.edm" hidden="1">#REF!</definedName>
    <definedName name="_bdm.9D675A1A8AD745BA903962E0018363F9.edm" hidden="1">#REF!</definedName>
    <definedName name="_bdm.9DCF4C7295FC494A827327367CB77234.edm" hidden="1">#REF!</definedName>
    <definedName name="_bdm.9DDD9E78E9C44739A5B0B053C9889667.edm" hidden="1">#REF!</definedName>
    <definedName name="_bdm.9E3B072569F0481BB44A4F19123CED1A.edm" hidden="1">#REF!</definedName>
    <definedName name="_bdm.9E5358047E13482682441224B2BD8CEA.edm" hidden="1">#REF!</definedName>
    <definedName name="_bdm.9E839F28785248C394335CEBA9C58DA5.edm" hidden="1">#REF!</definedName>
    <definedName name="_bdm.9EA663208E51497F97D7992EA0000F50.edm" hidden="1">#REF!</definedName>
    <definedName name="_bdm.9EBD318991AF430E9C76993D4BD37CE6.edm" hidden="1">#REF!</definedName>
    <definedName name="_bdm.9EF28BA5C76746829186982B47CFE18F.edm" hidden="1">#REF!</definedName>
    <definedName name="_bdm.9F41FEF3B94343C3BA70C9DFB1EC00F8.edm" hidden="1">#REF!</definedName>
    <definedName name="_bdm.9F624989C7F74AE8BC7E695101E00664.edm" hidden="1">#REF!</definedName>
    <definedName name="_bdm.9F62F88DCFFF4F52A1D29D4A6698DE0E.edm" hidden="1">#REF!</definedName>
    <definedName name="_bdm.9f6ceee203e94c719ef79fb8e6ac6dc6.edm" hidden="1">#REF!</definedName>
    <definedName name="_bdm.A02FA8A70F0E408D94269B1F484E34DB.edm" hidden="1">#REF!</definedName>
    <definedName name="_bdm.A041BB2A7CD8408887C53C0D3EBE40E8.edm" hidden="1">#REF!</definedName>
    <definedName name="_bdm.A08384FC0EF44C50AD60DE29A72BE425.edm" hidden="1">#REF!</definedName>
    <definedName name="_bdm.A08404B942744738AD935BC650A3E542.edm" hidden="1">#REF!</definedName>
    <definedName name="_bdm.A0DD5211C89A4AE68A1ECFCB64FE2D26.edm" hidden="1">#REF!</definedName>
    <definedName name="_bdm.A12E83E16E76498BB90075A3B5C34A88.edm" hidden="1">#REF!</definedName>
    <definedName name="_bdm.A1433DFE1DAF4ACCA11FFC4F5F28D1AA.edm" hidden="1">#REF!</definedName>
    <definedName name="_bdm.A18132FC3F3342DABB10D4CCD727BA67.edm" hidden="1">#REF!</definedName>
    <definedName name="_bdm.A1F2B6409CD7425CAC798AB6C5F6FB5B.edm" hidden="1">#REF!</definedName>
    <definedName name="_bdm.A202E4ACBDA44B45A85F8FA1DCC66E11.edm" hidden="1">#REF!</definedName>
    <definedName name="_bdm.a253d84fd03245f8bdadcfd3a20d93bc.edm" hidden="1">#REF!</definedName>
    <definedName name="_bdm.A28D4ED714CD4CA88C11F0CBE470935E.edm" hidden="1">#REF!</definedName>
    <definedName name="_bdm.A2A0ED8BC65C45379A530AAFE4617CD9.edm" hidden="1">#REF!</definedName>
    <definedName name="_bdm.A2AAB5BBD7944F0BB788A2CE413088D3.edm" hidden="1">#REF!</definedName>
    <definedName name="_bdm.A2BFF84F4CC34774AD625B6D399473E4.edm" hidden="1">#REF!</definedName>
    <definedName name="_bdm.A2F754B116544C0DA3777EE4283473FC.edm" hidden="1">#REF!</definedName>
    <definedName name="_bdm.A348F4BEB7CE41BAA0221950FBEBC966.edm" hidden="1">#REF!</definedName>
    <definedName name="_bdm.A3729AD8894D417EBF0E35167E7CD68C.edm" hidden="1">#REF!</definedName>
    <definedName name="_bdm.A3FDC1E4164A45E485196544B4D5B590.edm" hidden="1">#REF!</definedName>
    <definedName name="_bdm.A4037FE5EC384836AFE1552295245158.edm" hidden="1">#REF!</definedName>
    <definedName name="_bdm.A43DACD74AFF4D2781689B61C2333422.edm" hidden="1">#REF!</definedName>
    <definedName name="_bdm.A467139AD39640AF97B8603B0977AE86.edm" hidden="1">#REF!</definedName>
    <definedName name="_bdm.A470B3CFDA3F4FD0BF1EEB8D71A2623B.edm" hidden="1">#REF!</definedName>
    <definedName name="_bdm.A470CA5FED6041FEBC1EC37E28EC7DC3.edm" hidden="1">#REF!</definedName>
    <definedName name="_bdm.A49562D9699A4FE883B9C74A9E113FBF.edm" hidden="1">#REF!</definedName>
    <definedName name="_bdm.A69272A4F82344B18E6F35C4FEE5CB00.edm" hidden="1">#REF!</definedName>
    <definedName name="_bdm.A6942078050042589889DC168F92BA2F.edm" hidden="1">#REF!</definedName>
    <definedName name="_bdm.A6D5D5BE9B8D4572B4B65EF9B8B3B53B.edm" hidden="1">#REF!</definedName>
    <definedName name="_bdm.A6D7EA25277D45AC8C2C60CB5F178778.edm" hidden="1">#REF!</definedName>
    <definedName name="_bdm.A6F4359E09FC417E948172BF7206CEBE.edm" hidden="1">#REF!</definedName>
    <definedName name="_bdm.A73046639537422192DDAB0E7BF0413E.edm" hidden="1">#REF!</definedName>
    <definedName name="_bdm.A733E4DF48214AD0A52C890E108341C6.edm" hidden="1">#REF!</definedName>
    <definedName name="_bdm.A737E2BEAD62480D9DE24F3DD76B5A8E.edm" hidden="1">#REF!</definedName>
    <definedName name="_bdm.A769E45D9E584B0482F38385330F766E.edm" hidden="1">#REF!</definedName>
    <definedName name="_bdm.A77FC71116174A3A8A3D66F06CAD732E.edm" hidden="1">#REF!</definedName>
    <definedName name="_bdm.A7AF57688F77444AA4C86EF55DE0BBB1.edm" hidden="1">#REF!</definedName>
    <definedName name="_bdm.A7BD44AC7F5B4CA5AD390385662D8838.edm" hidden="1">#REF!</definedName>
    <definedName name="_bdm.A80901631C3A404FBDF06DB8D4F3015F.edm" hidden="1">#REF!</definedName>
    <definedName name="_bdm.A8220C2919D74971A28135A436A10E76.edm" hidden="1">#REF!</definedName>
    <definedName name="_bdm.A83E7B5A3A22489186EB3D1CE0D186CE.edm" hidden="1">#REF!</definedName>
    <definedName name="_bdm.A83F9BFDA26C4DF5A331E3769725D794.edm" hidden="1">#REF!</definedName>
    <definedName name="_bdm.A85486B322794D77BF1C6A81AEAFE488.edm" hidden="1">#REF!</definedName>
    <definedName name="_bdm.A87F0343816C4B00A848C30B70BF8C91.edm" hidden="1">#REF!</definedName>
    <definedName name="_bdm.A99695FDF8F841E58E288B1972E913B0.edm" hidden="1">#REF!</definedName>
    <definedName name="_bdm.A9E3240BA7B34DDDAFEFBD34858D688B.edm" hidden="1">#REF!</definedName>
    <definedName name="_bdm.AA39163E72BA4A799CE9B20C0420E566.edm" hidden="1">#REF!</definedName>
    <definedName name="_bdm.AA3B00CA538B4170BC9172D90C4D0D61.edm" hidden="1">#REF!</definedName>
    <definedName name="_bdm.AA4C35EDCCD9419C8CE0457C53D7E50B.edm" hidden="1">#REF!</definedName>
    <definedName name="_bdm.AA6615E7803C492AB2D71656A0DBD240.edm" hidden="1">#REF!</definedName>
    <definedName name="_bdm.AA86395705C64E8880689B68D0DFC2DF.edm" hidden="1">#REF!</definedName>
    <definedName name="_bdm.AAE17AE71F9E4D63814858A316658595.edm" hidden="1">#REF!</definedName>
    <definedName name="_bdm.AAF5CE366D08433B852FFB2FE6BEE7BD.edm" hidden="1">#REF!</definedName>
    <definedName name="_bdm.AB09FA4C44D64A40BCFB545C08BAFD93.edm" hidden="1">#REF!</definedName>
    <definedName name="_bdm.AB14D56BE77C4B9B9DA2E8184A1DF436.edm" hidden="1">#REF!</definedName>
    <definedName name="_bdm.AB3019983F6B4316835E1967524648FC.edm" hidden="1">#REF!</definedName>
    <definedName name="_bdm.ab5bd070bbf84f7e9fb40a409af0ff41.edm" hidden="1">#REF!</definedName>
    <definedName name="_bdm.AB9C13836CED4567B53E9B582B0342DF.edm" hidden="1">#REF!</definedName>
    <definedName name="_bdm.ABAC954A098E4356906F14FDAF2954C0.edm" hidden="1">#REF!</definedName>
    <definedName name="_bdm.AC3CFCBD64AF4465A21B16462691640B.edm" hidden="1">#REF!</definedName>
    <definedName name="_bdm.AC6640CEDCE441578FAA92381559EE63.edm" hidden="1">#REF!</definedName>
    <definedName name="_bdm.AC817B8114854C9AA1C3BBD614D5DC16.edm" hidden="1">#REF!</definedName>
    <definedName name="_bdm.AD4475C6049D4AFD8060E9A1FC6E4A4D.edm" hidden="1">#REF!</definedName>
    <definedName name="_bdm.AD6C4367A22644B6B29B4934EDB7648D.edm" hidden="1">#REF!</definedName>
    <definedName name="_bdm.AD76BB8F7E66408C980C2B593D8176F0.edm" hidden="1">#REF!</definedName>
    <definedName name="_bdm.ADB3C30D7DA74741A8E764413E501F32.edm" hidden="1">#REF!</definedName>
    <definedName name="_bdm.ADBBC52509E84A8AB4591CE7B43ED9D2.edm" hidden="1">#REF!</definedName>
    <definedName name="_bdm.ADC9AFA37B1C41BE9D28617CD60766CB.edm" hidden="1">#REF!</definedName>
    <definedName name="_bdm.AE27A77C217245259E0259A13819A9F6.edm" hidden="1">#REF!</definedName>
    <definedName name="_bdm.AE324C0EFF074C0197C95B1FB405D773.edm" hidden="1">#REF!</definedName>
    <definedName name="_bdm.AE5ADE38CD254C8CA25AF7947556E0C5.edm" hidden="1">#REF!</definedName>
    <definedName name="_bdm.AE5EFC8A440F4DAEA4675884E7FC20A6.edm" hidden="1">#REF!</definedName>
    <definedName name="_bdm.AE6936B336C044B1BBBD12FCF4CD0028.edm" hidden="1">#REF!</definedName>
    <definedName name="_bdm.AE6FCA00EA8F4D7FAB4F82446B6941CF.edm" hidden="1">#REF!</definedName>
    <definedName name="_bdm.AF1844E2732B44F79A2F43077BF709AF.edm" hidden="1">#REF!</definedName>
    <definedName name="_bdm.AF35239CE0974434AC10DACCD1E36B59.edm" hidden="1">#REF!</definedName>
    <definedName name="_bdm.af6c8941be5840cb9c166e91b7e5b198.edm" hidden="1">#REF!</definedName>
    <definedName name="_bdm.AFCF23D83892422FAC7545C43EA58DB6.edm" hidden="1">#REF!</definedName>
    <definedName name="_bdm.B04649C3967146F79FEDA4226837A011.edm" hidden="1">#REF!</definedName>
    <definedName name="_bdm.B05868D7CFB5427BA7667BFE5523A38C.edm" hidden="1">#REF!</definedName>
    <definedName name="_bdm.B08D9B2E1E5C467FAD84153C4F8C218F.edm" hidden="1">#REF!</definedName>
    <definedName name="_bdm.B11A7C87792B41DD911022A159DA9FA1.edm" hidden="1">#REF!</definedName>
    <definedName name="_bdm.b122d6565e71431abfd7aeb9b109ca8b.edm" hidden="1">#REF!</definedName>
    <definedName name="_bdm.B160ACD87BBE404295D6E718C7EEE8BD.edm" hidden="1">#REF!</definedName>
    <definedName name="_bdm.B17C0AFAB1004D9DBFF2C69FB42EB4DA.edm" hidden="1">#REF!</definedName>
    <definedName name="_bdm.B1820589BF7D48F08786D8D56A4DDDFC.edm" hidden="1">#REF!</definedName>
    <definedName name="_bdm.B1D13CA3107D4038A214A3833A2E2EAB.edm" hidden="1">#REF!</definedName>
    <definedName name="_bdm.B1F42FE6D8604637BBC6CC64E835F4AD.edm" hidden="1">#REF!</definedName>
    <definedName name="_bdm.B21787D56AC441A79E3AD13FD19B6441.edm" hidden="1">#REF!</definedName>
    <definedName name="_bdm.B26F9BEC34194C2C88A5750A643D43D7.edm" hidden="1">#REF!</definedName>
    <definedName name="_bdm.B2FCEC92C0464D9F82B354EDE35E6654.edm" hidden="1">#REF!</definedName>
    <definedName name="_bdm.B340EEAFA4054E38829CC9CFF2A07E42.edm" hidden="1">#REF!</definedName>
    <definedName name="_bdm.B35B97B8793B4C7A9FA22AC0F0AED334.edm" hidden="1">#REF!</definedName>
    <definedName name="_bdm.B3A75AE6B43D4F35A3BBAADA036DBFDE.edm" hidden="1">#REF!</definedName>
    <definedName name="_bdm.B41AAE715AFA4D149E59AC3EBCFABA59.edm" hidden="1">#REF!</definedName>
    <definedName name="_bdm.B42573B5D56F41359F8626B7EC000C2F.edm" hidden="1">#REF!</definedName>
    <definedName name="_bdm.B4C84D0CC9FF4A328B976BB13E1D7CA0.edm" hidden="1">#REF!</definedName>
    <definedName name="_bdm.B4F9C0FC434644B2A901DD43ADE90E65.edm" hidden="1">#REF!</definedName>
    <definedName name="_bdm.B50C4A5A74A0427EAF61F18779F02C15.edm" hidden="1">#REF!</definedName>
    <definedName name="_bdm.B51D87D353C24686B87B194FFC020F76.edm" hidden="1">#REF!</definedName>
    <definedName name="_bdm.B52F8392671A43959D4291658FD25D97.edm" hidden="1">#REF!</definedName>
    <definedName name="_bdm.B5A393A56AE24866AE28D251FD9C58AF.edm" hidden="1">#REF!</definedName>
    <definedName name="_bdm.B5BBB5108E1A44E797E876894F01B919.edm" hidden="1">#REF!</definedName>
    <definedName name="_bdm.B5D0B6F2DA3044C2B0160E4D2F3D091A.edm" hidden="1">#REF!</definedName>
    <definedName name="_bdm.B5E6FE458A3848568DAD2D671EED324E.edm" hidden="1">#REF!</definedName>
    <definedName name="_bdm.B667E4AA4A2F4F7BA5DCB3D3FFD10BE3.edm" hidden="1">#REF!</definedName>
    <definedName name="_bdm.B6848C371F2D4907A8B604A77C6BFF15.edm" hidden="1">#REF!</definedName>
    <definedName name="_bdm.B6918BA8F55F4441BB1C89457A7D9BD7.edm" hidden="1">#REF!</definedName>
    <definedName name="_bdm.B6AD30C905F443A29824E83F7AF67D8E.edm" hidden="1">#REF!</definedName>
    <definedName name="_bdm.B6E8FCE40ACF4A369ADD07DFFAA098D8.edm" hidden="1">#REF!</definedName>
    <definedName name="_bdm.B72666BF7A2A42C0B1A8CA63EEC84EB1.edm" hidden="1">#REF!</definedName>
    <definedName name="_bdm.B72D4353FA7D4459BE39FD30AB111512.edm" hidden="1">#REF!</definedName>
    <definedName name="_bdm.b7fbb8aee57d418fba5e8f32b93364c8.edm" hidden="1">#REF!</definedName>
    <definedName name="_bdm.B8A08A536E5D40019F51EB28AD395DB9.edm" hidden="1">#REF!</definedName>
    <definedName name="_bdm.B8E60192F21F41268115BB3CF01A44E8.edm" hidden="1">#REF!</definedName>
    <definedName name="_bdm.B930E6AA513A448BAF08C508A591FE1F.edm" hidden="1">#REF!</definedName>
    <definedName name="_bdm.B957D0EEA3EC4B44A0CB099FE0F61F87.edm" hidden="1">#REF!</definedName>
    <definedName name="_bdm.B97327BFC9C149229E236CEDFEEE11BE.edm" hidden="1">#REF!</definedName>
    <definedName name="_bdm.B992F56BF2DC4355A52C48814710CF28.edm" hidden="1">#REF!</definedName>
    <definedName name="_bdm.B9CBB87A735C4C95A58B1150932B604B.edm" hidden="1">#REF!</definedName>
    <definedName name="_bdm.ba34f719a1f44480916be4d78bbd0d3f.edm" hidden="1">#REF!</definedName>
    <definedName name="_bdm.BA4DA65D5FE94BADBB08B5C69CD6662C.edm" hidden="1">#REF!</definedName>
    <definedName name="_bdm.BA6009C5D5C8466A94DB9823E0AEF783.edm" hidden="1">#REF!</definedName>
    <definedName name="_bdm.BA69D08144F645039A6944B51E997904.edm" hidden="1">#REF!</definedName>
    <definedName name="_bdm.bad4116376ae4f18b391637944a19259.edm" hidden="1">#REF!</definedName>
    <definedName name="_bdm.BB376D15F8814C8C9DBF8D7331DE1F95.edm" hidden="1">#REF!</definedName>
    <definedName name="_bdm.BB44247E72E44F4BB75FDA227048693A.edm" hidden="1">#REF!</definedName>
    <definedName name="_bdm.BB7F212D0D9D4770BC65A1D31FBC12B3.edm" hidden="1">#REF!</definedName>
    <definedName name="_bdm.BBB17F076952403A9C3D323588726E58.edm" hidden="1">#REF!</definedName>
    <definedName name="_bdm.BBBB2C3757F94880AF280F98089F55D5.edm" hidden="1">#REF!</definedName>
    <definedName name="_bdm.BBF206CFCD144A1D8BC9A2D302F48F91.edm" hidden="1">#REF!</definedName>
    <definedName name="_bdm.BC8B9711970B42E6BDF9945D6D0C97B7.edm" hidden="1">#REF!</definedName>
    <definedName name="_bdm.BD2B0605A30441DAADCC93A7AFAE5BA4.edm" hidden="1">#REF!</definedName>
    <definedName name="_bdm.BD79EBD31D534FC6A991C730014C32B1.edm" hidden="1">#REF!</definedName>
    <definedName name="_bdm.BDA21382DABB4DE3923CD8FAA3C4062C.edm" hidden="1">#REF!</definedName>
    <definedName name="_bdm.BDE71E8F074A405AACA36B13074DDC36.edm" hidden="1">#REF!</definedName>
    <definedName name="_bdm.BE1BB69FA2BA44669F5A0F18B84E1F3F.edm" hidden="1">#REF!</definedName>
    <definedName name="_bdm.BE6013984A2248778FF9FC5A515FFEAF.edm" hidden="1">#REF!</definedName>
    <definedName name="_bdm.BE642C5827FD477B8DBA7A7C7151B188.edm" hidden="1">#REF!</definedName>
    <definedName name="_bdm.BEDC30F690D4470691CE72B7C8CA4B71.edm" hidden="1">#REF!</definedName>
    <definedName name="_bdm.BF091548045D4966A16362B2F34CF198.edm" hidden="1">#REF!</definedName>
    <definedName name="_bdm.BF165F6F2EBE483D922CCB5C733CC7BC.edm" hidden="1">#REF!</definedName>
    <definedName name="_bdm.BFA65FFBF4244EFA8704668DCE55A7E5.edm" hidden="1">#REF!</definedName>
    <definedName name="_bdm.BFB2303463084596B58FFD9A36A7F01F.edm" hidden="1">#REF!</definedName>
    <definedName name="_bdm.BFEDE1F28A8B4C878F6790D9E0BEAB64.edm" hidden="1">#REF!</definedName>
    <definedName name="_bdm.C01B95EC0F294CC1BE98174EAA81581A.edm" hidden="1">#REF!</definedName>
    <definedName name="_bdm.C06CC84222DC412F998A7908A094E905.edm" hidden="1">#REF!</definedName>
    <definedName name="_bdm.C0A73CF047C64ADAB1A9E7FBD763925D.edm" hidden="1">#REF!</definedName>
    <definedName name="_bdm.C0CAD2B5D919416EBBE50902B6A16285.edm" hidden="1">#REF!</definedName>
    <definedName name="_bdm.C0DFBF2BDBE747F29A6DD5CCB710B849.edm" hidden="1">#REF!</definedName>
    <definedName name="_bdm.C131632933F543CCBC37431F5FE1F95F.edm" hidden="1">#REF!</definedName>
    <definedName name="_bdm.C16FA342A5BD40A9BB2F9D1DF3AB2129.edm" hidden="1">#REF!</definedName>
    <definedName name="_bdm.C1893DAF126E4BCD85598CDB9915B843.edm" hidden="1">#REF!</definedName>
    <definedName name="_bdm.C1D8BC6B942A4BF9A068DB14E033D2D6.edm" hidden="1">#REF!</definedName>
    <definedName name="_bdm.C22F3F6982324D4F918B253D5338696E.edm" hidden="1">#REF!</definedName>
    <definedName name="_bdm.C263C78EEBAE4B97916A80C4EB27E9BE.edm" hidden="1">#REF!</definedName>
    <definedName name="_bdm.C276E50163FA4084A43CF2DA3EFD3A6C.edm" hidden="1">#REF!</definedName>
    <definedName name="_bdm.C27A87D5C52041419DB4810D2A1FF5BE.edm" hidden="1">#REF!</definedName>
    <definedName name="_bdm.C2DFDDF38EE7498EA476890EDAD5621B.edm" hidden="1">#REF!</definedName>
    <definedName name="_bdm.C2F7F084DF914959AEF6BBB275B1C040.edm" hidden="1">#REF!</definedName>
    <definedName name="_bdm.C31B2E6C795D42CCB8796DBC9F4302D9.edm" hidden="1">#REF!</definedName>
    <definedName name="_bdm.C38062192C134E98889D70A2588A02EC.edm" hidden="1">#REF!</definedName>
    <definedName name="_bdm.C3A6BE3B66B548529D5D28F13533F0FC.edm" hidden="1">#REF!</definedName>
    <definedName name="_bdm.C4283B0B4A09400D8C5F79954248E122.edm" hidden="1">#REF!</definedName>
    <definedName name="_bdm.C451FA52C8D243D5B6AF2B6C9406EBDE.edm" hidden="1">#REF!</definedName>
    <definedName name="_bdm.C4CA81947B4048D3B27E40102905D7F3.edm" hidden="1">#REF!</definedName>
    <definedName name="_bdm.C511CF254C39486D8522728B099B2A34.edm" hidden="1">#REF!</definedName>
    <definedName name="_bdm.C527CBBDFD9E491BA6048BB6B2EB83A7.edm" hidden="1">#REF!</definedName>
    <definedName name="_bdm.c554f2aa9f154419b4050bfd5e1f49ca.edm" hidden="1">#REF!</definedName>
    <definedName name="_bdm.C56C159226A745BD8A9ACDBE0FD6FE34.edm" hidden="1">#REF!</definedName>
    <definedName name="_bdm.C58884F297EF400CA5ADDC7DED4D5FA7.edm" hidden="1">#REF!</definedName>
    <definedName name="_bdm.C599B1F55D5040CCBE60A30CCFB53B7A.edm" hidden="1">#REF!</definedName>
    <definedName name="_bdm.C5A626AF13F0405689CF4992811055E6.edm" hidden="1">#REF!</definedName>
    <definedName name="_bdm.C5CFB6182CAA45F48D61301027F8123B.edm" hidden="1">#REF!</definedName>
    <definedName name="_bdm.C5E2B70B72F54CEF8A85015551655625.edm" hidden="1">#REF!</definedName>
    <definedName name="_bdm.C62162FBF2C441D3AA0C8DD946DB3C02.edm" hidden="1">#REF!</definedName>
    <definedName name="_bdm.C6A174C8495D47FA89E3B2974B68AA91.edm" hidden="1">#REF!</definedName>
    <definedName name="_bdm.C6B6E12D6B4B40988C69E24586644996.edm" hidden="1">#REF!</definedName>
    <definedName name="_bdm.C6C2EED50D3D4836A46A7D127FE1B9D4.edm" hidden="1">#REF!</definedName>
    <definedName name="_bdm.C73E0BD8BF49436394DA9783869E5106.edm" hidden="1">#REF!</definedName>
    <definedName name="_bdm.C751294F3E3745E39B1035DA3AD3D189.edm" hidden="1">#REF!</definedName>
    <definedName name="_bdm.C822102D5D234B6788508000638E7485.edm" hidden="1">#REF!</definedName>
    <definedName name="_bdm.C866AE97B20049FFA67898E653032648.edm" hidden="1">#REF!</definedName>
    <definedName name="_bdm.C8D19485751B42F2A9D992CEFE6EE597.edm" hidden="1">#REF!</definedName>
    <definedName name="_bdm.C97D6C5198A6412386769BEF9031BC10.edm" hidden="1">#REF!</definedName>
    <definedName name="_bdm.C9D3523830F04159A144C3E5F3CBC66D.edm" hidden="1">#REF!</definedName>
    <definedName name="_bdm.c9fd7ccd27154215a6dc71ee0bc95a8d.edm" hidden="1">#REF!</definedName>
    <definedName name="_bdm.CB3A517CD4E94A889ACE29D3AE21ADEF.edm" hidden="1">#REF!</definedName>
    <definedName name="_bdm.CC88EE5264074A36B58B8991303D85D8.edm" hidden="1">#REF!</definedName>
    <definedName name="_bdm.CCFDF2CAF2404B3BAF4FF45ACA161506.edm" hidden="1">#REF!</definedName>
    <definedName name="_bdm.CD256FB3A6D34235BD8974448FE21836.edm" hidden="1">#REF!</definedName>
    <definedName name="_bdm.CD5CE1F6B9EB4B7EACA98755E12B69BA.edm" hidden="1">#REF!</definedName>
    <definedName name="_bdm.CD9E64009C8A4D1CA0158F883F95B3EC.edm" hidden="1">#REF!</definedName>
    <definedName name="_bdm.CDD4446DCE2C4BC1AD2DD61525198CC2.edm" hidden="1">#REF!</definedName>
    <definedName name="_bdm.CE59A3F2F7494C1BA80D5B2C09D5F8EF.edm" hidden="1">#REF!</definedName>
    <definedName name="_bdm.CE98884435BC45229A56427221417663.edm" hidden="1">#REF!</definedName>
    <definedName name="_bdm.CEA1646E71ED40FC935DFE9B38B85AE6.edm" hidden="1">#REF!</definedName>
    <definedName name="_bdm.CECDD7CB7A09430EA1F498A5A3993152.edm" hidden="1">#REF!</definedName>
    <definedName name="_bdm.CEF145C36DC24CBE9C5CE450517F92A7.edm" hidden="1">#REF!</definedName>
    <definedName name="_bdm.D027076B2085414B8BC8536060E0DD1C.edm" hidden="1">#REF!</definedName>
    <definedName name="_bdm.D0321F1B3D9B488D8FF95D2AD486658E.edm" hidden="1">#REF!</definedName>
    <definedName name="_bdm.D0B2D36CE3BE4320A3A70B3F2B343754.edm" hidden="1">#REF!</definedName>
    <definedName name="_bdm.D0F7BA3EF3C44CA2AF2AE844614A90AF.edm" hidden="1">#REF!</definedName>
    <definedName name="_bdm.D155FEEBAAEC4D168A4B7A2FC6236F70.edm" hidden="1">#REF!</definedName>
    <definedName name="_bdm.D16A2F0F7C7342DB95CF66EF75698CC2.edm" hidden="1">#REF!</definedName>
    <definedName name="_bdm.D17EA099031C443B89E6C979CDDF3D48.edm" hidden="1">#REF!</definedName>
    <definedName name="_bdm.D1DD91327B0043D78FDB63F681987851.edm" hidden="1">#REF!</definedName>
    <definedName name="_bdm.D21064A94142442EB09311F714A732FB.edm" hidden="1">#REF!</definedName>
    <definedName name="_bdm.D25BB3AE46BB43C3A640E80FD58ECC84.edm" hidden="1">#REF!</definedName>
    <definedName name="_bdm.D27162F00AD24DA6AE74573FE9582BDC.edm" hidden="1">#REF!</definedName>
    <definedName name="_bdm.D297ABA4790F4C89A7C91B74C327B473.edm" hidden="1">#REF!</definedName>
    <definedName name="_bdm.D2BA4D66AD8540E686618FA2C71939EC.edm" hidden="1">#REF!</definedName>
    <definedName name="_bdm.D2FD496CF6844CDA93D3B6803DF1D95D.edm" hidden="1">#REF!</definedName>
    <definedName name="_bdm.D35BA7B5A28A40D18F8F6A0281EC44B5.edm" hidden="1">#REF!</definedName>
    <definedName name="_bdm.D37DB5D007B04D399DB4FF8B8EA3BB3A.edm" hidden="1">#REF!</definedName>
    <definedName name="_bdm.D39ED324460A4919983487645D644B9D.edm" hidden="1">#REF!</definedName>
    <definedName name="_bdm.D3D488B9C4AE4EEE8141F2A5A00B080A.edm" hidden="1">#REF!</definedName>
    <definedName name="_bdm.D3DE07BBD27B43DAB99B676DA04F8FCC.edm" hidden="1">#REF!</definedName>
    <definedName name="_bdm.D3E72E1F7E634302BBBB99361751B510.edm" hidden="1">#REF!</definedName>
    <definedName name="_bdm.D401571F8DF74258A826BA602D5B6F68.edm" hidden="1">#REF!</definedName>
    <definedName name="_bdm.D40B4FCD95CD499E95F86C53242327CA.edm" hidden="1">#REF!</definedName>
    <definedName name="_bdm.D4115EB10D0C4D27B47147A611642AEE.edm" hidden="1">#REF!</definedName>
    <definedName name="_bdm.D42AA0C9CEAA43B9B3C7F0F0A7500C7B.edm" hidden="1">#REF!</definedName>
    <definedName name="_bdm.D42B16D4F2024A34B54BD2B88A2F1DDD.edm" hidden="1">#REF!</definedName>
    <definedName name="_bdm.D4335BB8375C4B738DD69C65D8B6FE1D.edm" hidden="1">#REF!</definedName>
    <definedName name="_bdm.D43D51E1DD4945BEB6844D478A7A6C11.edm" hidden="1">#REF!</definedName>
    <definedName name="_bdm.d45e0402a4154e419f21f910b7b81b04.edm" hidden="1">#REF!</definedName>
    <definedName name="_bdm.D4AE4867DDC441BAB2EFFEC140D0E4AB.edm" hidden="1">#REF!</definedName>
    <definedName name="_bdm.D53013194EEE472984E11A2191F9C465.edm" hidden="1">#REF!</definedName>
    <definedName name="_bdm.d5806332f74d4bc09e92e9c8c420173b.edm" hidden="1">#REF!</definedName>
    <definedName name="_bdm.D580BFFFE56D40BFA4B4D2B065D9B257.edm" hidden="1">#REF!</definedName>
    <definedName name="_bdm.D59247841D9A449CBE11D3D5833DBA19.edm" hidden="1">#REF!</definedName>
    <definedName name="_bdm.D5950E145566437BB267826165CD29DD.edm" hidden="1">#REF!</definedName>
    <definedName name="_bdm.D5A19310B66D4F12A556C4E4AF381F6E.edm" hidden="1">#REF!</definedName>
    <definedName name="_bdm.D5B47DCCB1F94C51BE3B8A4294227781.edm" hidden="1">#REF!</definedName>
    <definedName name="_bdm.D5D30A58A64741778F2E632D1BB4764F.edm" hidden="1">#REF!</definedName>
    <definedName name="_bdm.d62dc1f42d2944df9a4b2031e908740f.edm" hidden="1">#REF!</definedName>
    <definedName name="_bdm.D631DD5BE09A4807A8A8E65DE6AE66CB.edm" hidden="1">#REF!</definedName>
    <definedName name="_bdm.D63FC568F55445DBBD443BBC3E736A03.edm" hidden="1">#REF!</definedName>
    <definedName name="_bdm.D66126F9F13746FCAAE1B1BF1D368A59.edm" hidden="1">#REF!</definedName>
    <definedName name="_bdm.D6841C1B90F64F53B60436C6CA93A93D.edm" hidden="1">#REF!</definedName>
    <definedName name="_bdm.D6AEF052E2F64B2AA6535DE5DF547824.edm" hidden="1">#REF!</definedName>
    <definedName name="_bdm.D6BC5CB448134D179642494E6CE87220.edm" hidden="1">#REF!</definedName>
    <definedName name="_bdm.D6F6254AC58F480289A93C8A878362E5.edm" hidden="1">#REF!</definedName>
    <definedName name="_bdm.D7BAB6E5D03B4311A32AF5D025046CD7.edm" hidden="1">#REF!</definedName>
    <definedName name="_bdm.D7E4E6417C7C493D9BD427D9C93E8A2B.edm" hidden="1">#REF!</definedName>
    <definedName name="_bdm.D82187C5AFD14C4388D8673A5CAB8581.edm" hidden="1">#REF!</definedName>
    <definedName name="_bdm.D891502F1CE947059D4E2BAFEEF5227C.edm" hidden="1">#REF!</definedName>
    <definedName name="_bdm.D8D335F2F5564CE1AA2412C4ACD8C31C.edm" hidden="1">#REF!</definedName>
    <definedName name="_bdm.D908BEEA633A497BB67D0D9030D6214B.edm" hidden="1">#REF!</definedName>
    <definedName name="_bdm.D96858F302744E2CBA10106AED3868AC.edm" hidden="1">#REF!</definedName>
    <definedName name="_bdm.D999EE2259B0442CA65B91399F082094.edm" hidden="1">#REF!</definedName>
    <definedName name="_bdm.D9A21B4534BF46839A4552C038097465.edm" hidden="1">#REF!</definedName>
    <definedName name="_bdm.DA10C2E927D44DDBB755C9E813384DDA.edm" hidden="1">#REF!</definedName>
    <definedName name="_bdm.DA201FDCCE4741E7A225E8C4126DD92A.edm" hidden="1">#REF!</definedName>
    <definedName name="_bdm.DA71774CDF574275B148970715375176.edm" hidden="1">#REF!</definedName>
    <definedName name="_bdm.DA79F75D425943CEA46AADB2DC016F3C.edm" hidden="1">#REF!</definedName>
    <definedName name="_bdm.DB2D644ADC70448396208B405CB5F146.edm" hidden="1">#REF!</definedName>
    <definedName name="_bdm.DB53A85BF34A463B9C010C901272581F.edm" hidden="1">#REF!</definedName>
    <definedName name="_bdm.DB66B8725661431495E52B8CE87BDDB9.edm" hidden="1">#REF!</definedName>
    <definedName name="_bdm.DB8AE6D04DA04EDE88FB80ECBBE7FE6C.edm" hidden="1">#REF!</definedName>
    <definedName name="_bdm.DB9E7A4A0B3947EAB515C0C1BCCD5F5B.edm" hidden="1">#REF!</definedName>
    <definedName name="_bdm.dba771b5cbd8426aa06f5bc9927423e5.edm" hidden="1">#REF!</definedName>
    <definedName name="_bdm.DC57267F5489490990322A9A1AFDFC99.edm" hidden="1">#REF!</definedName>
    <definedName name="_bdm.dca66f0ff62a42e39911ab1639e8c80a.edm" hidden="1">#REF!</definedName>
    <definedName name="_bdm.DCC8E8B0942A40F7BE683E58AC6744D9.edm" hidden="1">#REF!</definedName>
    <definedName name="_bdm.DCCC5070D94F4512AAF01DC2E23F7446.edm" hidden="1">#REF!</definedName>
    <definedName name="_bdm.DCE2774AF8414DC8B11D30B538070F7F.edm" hidden="1">#REF!</definedName>
    <definedName name="_bdm.DCFC403C39504305ACC7BA56E2A57132.edm" hidden="1">#REF!</definedName>
    <definedName name="_bdm.DD3B5AB4BAD34A689C8D08D71A8ED5A2.edm" hidden="1">#REF!</definedName>
    <definedName name="_bdm.DDA539D54BC4420FA98482FCAFEE5F9F.edm" hidden="1">#REF!</definedName>
    <definedName name="_bdm.DE0B31E1EABB4A489B1DACB278079834.edm" hidden="1">#REF!</definedName>
    <definedName name="_bdm.DE183DD6C6794E4EACA8AE98049C1D22.edm" hidden="1">#REF!</definedName>
    <definedName name="_bdm.DF32BE435E244264AAD9AAAD9EB02DEB.edm" hidden="1">#REF!</definedName>
    <definedName name="_bdm.DF78B6BDEB5D44A1AC2247A8F5092767.edm" hidden="1">#REF!</definedName>
    <definedName name="_bdm.DFBC40C8675F445ABC47FA26CDBE7F4F.edm" hidden="1">#REF!</definedName>
    <definedName name="_bdm.DFD611F4F355448A96F8D55F215A6ADD.edm" hidden="1">#REF!</definedName>
    <definedName name="_bdm.DFE90002F50142A98BEC5F1D9C338EBF.edm" hidden="1">#REF!</definedName>
    <definedName name="_bdm.E028B48D31604241B42AC6A2844A4DA0.edm" hidden="1">#REF!</definedName>
    <definedName name="_bdm.E04C85454F1A4B449AF46A08DBE619E6.edm" hidden="1">#REF!</definedName>
    <definedName name="_bdm.E118A6D115EB4C7B9BEF5B1865D5AA5F.edm" hidden="1">#REF!</definedName>
    <definedName name="_bdm.E1D70BA8D99C495985827D589EDF11DF.edm" hidden="1">#REF!</definedName>
    <definedName name="_bdm.E1EDD6D855274908BCDC4BBA9B68665C.edm" hidden="1">#REF!</definedName>
    <definedName name="_bdm.E23D8BC5FFC6463B94B1D5476C2EF53E.edm" hidden="1">#REF!</definedName>
    <definedName name="_bdm.E28163042B8C471EAFF1F043C4135388.edm" hidden="1">#REF!</definedName>
    <definedName name="_bdm.E284BF7CFDBD4A49A58E10AD6EE416C3.edm" hidden="1">#REF!</definedName>
    <definedName name="_bdm.E2B252D29EC04F59805B4C4299407C0F.edm" hidden="1">#REF!</definedName>
    <definedName name="_bdm.E2DE704F545044DBA1F220584FF0BA6E.edm" hidden="1">#REF!</definedName>
    <definedName name="_bdm.E2FC0A7853D04B9AB690D96034C5154F.edm" hidden="1">#REF!</definedName>
    <definedName name="_bdm.E357983EE1B74EF3870B0997595273BA.edm" hidden="1">#REF!</definedName>
    <definedName name="_bdm.E403A19F53664871B571AF94FB669636.edm" hidden="1">#REF!</definedName>
    <definedName name="_bdm.E411C9728CF5460C84BD3D3928A363D7.edm" hidden="1">#REF!</definedName>
    <definedName name="_bdm.E41C36DB303D4B9E97FDEDC8EA02AAE5.edm" hidden="1">#REF!</definedName>
    <definedName name="_bdm.E45E1A48A136431FBBE5BDBF86D0C8AE.edm" hidden="1">#REF!</definedName>
    <definedName name="_bdm.E4B73A551D7445CEBAAB88DE8BAACFD4.edm" hidden="1">#REF!</definedName>
    <definedName name="_bdm.E574D70C055F4DA48CE80EB9BA147783.edm" hidden="1">#REF!</definedName>
    <definedName name="_bdm.E58B265B75644100999DB9B8E0E68996.edm" hidden="1">#REF!</definedName>
    <definedName name="_bdm.E6664B42ED854979B8D834A79C2D05E3.edm" hidden="1">#REF!</definedName>
    <definedName name="_bdm.E6984919A30549B7BC354B0D04E843C0.edm" hidden="1">#REF!</definedName>
    <definedName name="_bdm.E6FBC101DE6347A3924980E92436B441.edm" hidden="1">#REF!</definedName>
    <definedName name="_bdm.E73EAB3F96444EC09E5825660D93721F.edm" hidden="1">#REF!</definedName>
    <definedName name="_bdm.E75986E5579B42F9B922EB49C4703761.edm" hidden="1">#REF!</definedName>
    <definedName name="_bdm.E76160DC0C8A4DAC9052DC8BAE074BF8.edm" hidden="1">#REF!</definedName>
    <definedName name="_bdm.E7AFABBE969A43619FE177C5AC9A9D54.edm" hidden="1">#REF!</definedName>
    <definedName name="_bdm.E7EAA75348294060BB65C555268EC0C8.edm" hidden="1">#REF!</definedName>
    <definedName name="_bdm.E7F6B4F71F824C5DA6343DA2352C05CC.edm" hidden="1">#REF!</definedName>
    <definedName name="_bdm.E832E2D642C14799A91A166C2EA22AAC.edm" hidden="1">#REF!</definedName>
    <definedName name="_bdm.E85A93C9AF814008BF02B2BDF5D6D5C3.edm" hidden="1">#REF!</definedName>
    <definedName name="_bdm.E868D69FC5754C27A7B4C6899D771A00.edm" hidden="1">#REF!</definedName>
    <definedName name="_bdm.E879C0607BA54B8F96210EBC5B2DDE5F.edm" hidden="1">#REF!</definedName>
    <definedName name="_bdm.E88AE0735B52432BB9CCC143CDD56DB4.edm" hidden="1">#REF!</definedName>
    <definedName name="_bdm.E93BF2A299C046398159787F639505A6.edm" hidden="1">#REF!</definedName>
    <definedName name="_bdm.E94554C319164AF3815AE5E431EDBBEA.edm" hidden="1">#REF!</definedName>
    <definedName name="_bdm.E98C0DAA445A43A182B012254DDE3CF6.edm" hidden="1">#REF!</definedName>
    <definedName name="_bdm.E98D7DFA4242402497CC3114C67BDAAC.edm" hidden="1">#REF!</definedName>
    <definedName name="_bdm.E9D1D6F0D15A48E0A7C10FEB13081CE7.edm" hidden="1">#REF!</definedName>
    <definedName name="_bdm.E9F20B094B5C432380706435C3F317BD.edm" hidden="1">#REF!</definedName>
    <definedName name="_bdm.E9F8AEB141E34F22BBAB0026028FC02A.edm" hidden="1">#REF!</definedName>
    <definedName name="_bdm.EA0D314FEA784B95BE19CDF05E581AEF.edm" hidden="1">#REF!</definedName>
    <definedName name="_bdm.EA870B5264F94FBE89EA90292A61304E.edm" hidden="1">#REF!</definedName>
    <definedName name="_bdm.EA8D92CD5749475AAB4CB1D95407E4D0.edm" hidden="1">#REF!</definedName>
    <definedName name="_bdm.EA94C88A0D92442ABA7C3677163BA6A1.edm" hidden="1">#REF!</definedName>
    <definedName name="_bdm.ea9904b369d1417b8b5a0e9279085dad.edm" hidden="1">#REF!</definedName>
    <definedName name="_bdm.eac8abb662b748bd9d362dff24116530.edm" hidden="1">#REF!</definedName>
    <definedName name="_bdm.EB1B353BCC0743B1B44CAA389DC3A584.edm" hidden="1">#REF!</definedName>
    <definedName name="_bdm.EB45FEEA39604EB581500F0EE3AA719C.edm" hidden="1">#REF!</definedName>
    <definedName name="_bdm.EBA6E98EB67E43A3A560B5913B7A5032.edm" hidden="1">#REF!</definedName>
    <definedName name="_bdm.EC267DBA491E4E61B136F8772F8997C0.edm" hidden="1">#REF!</definedName>
    <definedName name="_bdm.EC49F682B95F4BDA9DC6E46756FA457E.edm" hidden="1">#REF!</definedName>
    <definedName name="_bdm.EC53756BE00946249E28765BD5E5A4FD.edm" hidden="1">#REF!</definedName>
    <definedName name="_bdm.EC59170C0DF241C1911D47A7B61D75CB.edm" hidden="1">#REF!</definedName>
    <definedName name="_bdm.EC78C3BE8E2E436B85012F1FCED2ED2E.edm" hidden="1">#REF!</definedName>
    <definedName name="_bdm.EC81793859F44A638EF74C4C46B60FB8.edm" hidden="1">#REF!</definedName>
    <definedName name="_bdm.ECDC76C0A83E4079A09DFCFC1B77430F.edm" hidden="1">#REF!</definedName>
    <definedName name="_bdm.ECE1BD4B7EED42AF861DDAF249045ED5.edm" hidden="1">#REF!</definedName>
    <definedName name="_bdm.ED970816244548B3989059C13225BC5D.edm" hidden="1">#REF!</definedName>
    <definedName name="_bdm.EDD8B7E1343E408D9C910F3436BBE75A.edm" hidden="1">#REF!</definedName>
    <definedName name="_bdm.EDDDE303DB6042A7A2AFAF04708371B2.edm" hidden="1">#REF!</definedName>
    <definedName name="_bdm.EDF33FCCB18245C88517589764F77652.edm" hidden="1">#REF!</definedName>
    <definedName name="_bdm.EE13DCC22CAC48468BB0E24E81BE39C3.edm" hidden="1">#REF!</definedName>
    <definedName name="_bdm.EE360EE5B7EA439695A1E6AF24B552F5.edm" hidden="1">#REF!</definedName>
    <definedName name="_bdm.EE3B3D901A0F409F814580EB3D0D7AA0.edm" hidden="1">#REF!</definedName>
    <definedName name="_bdm.EE4206FFE34F4B62B3377CA510232BBF.edm" hidden="1">#REF!</definedName>
    <definedName name="_bdm.EEC53E7A416E4D68AEF0EC2828ED94B1.edm" hidden="1">#REF!</definedName>
    <definedName name="_bdm.EECBC88E226247BFBA94E4B2638CD7FF.edm" hidden="1">#REF!</definedName>
    <definedName name="_bdm.EED323D9E95442EFBF03752D5FBBDEFB.edm" hidden="1">#REF!</definedName>
    <definedName name="_bdm.EF45A31579874FA5ABBA17DEB1E64D35.edm" hidden="1">#REF!</definedName>
    <definedName name="_bdm.EF6677EE4C964AA1A772DC20421CAC95.edm" hidden="1">#REF!</definedName>
    <definedName name="_bdm.EFF559F3358F4846BCDC9C36DE177D5D.edm" hidden="1">#REF!</definedName>
    <definedName name="_bdm.F03E6CAAB37C451CB5302B53AC572E19.edm" hidden="1">#REF!</definedName>
    <definedName name="_bdm.F06DA6F224994F9AA3DAE45AD22E1A7A.edm" hidden="1">#REF!</definedName>
    <definedName name="_bdm.F0C3E00596B449858FAC795932AAD7EA.edm" hidden="1">#REF!</definedName>
    <definedName name="_bdm.F0FF8073F0064485A64767D29A9B903B.edm" hidden="1">#REF!</definedName>
    <definedName name="_bdm.F13E0FF669784140A6E7E5C9128239E2.edm" hidden="1">#REF!</definedName>
    <definedName name="_bdm.F17CC758ADBC4F7AB39097771E7085F1.edm" hidden="1">#REF!</definedName>
    <definedName name="_bdm.F1904A2A9F9A4DA6B72749FDDCFFC0B0.edm" hidden="1">#REF!</definedName>
    <definedName name="_bdm.F1DB2FAF1F4E4EB4AC0EEF2A70171938.edm" hidden="1">#REF!</definedName>
    <definedName name="_bdm.F22615A9607B43D29D6BC2BB252E6B66.edm" hidden="1">#REF!</definedName>
    <definedName name="_bdm.F28B331B28254A8F91BD4C03659CAA27.edm" hidden="1">#REF!</definedName>
    <definedName name="_bdm.F2FFEFD62E934BF48F4731DB2B4F3D73.edm" hidden="1">#REF!</definedName>
    <definedName name="_bdm.F32B9BD2D3144EE3A771C6147F79802F.edm" hidden="1">#REF!</definedName>
    <definedName name="_bdm.f35dbae3b3a047959866929816db77a3.edm" hidden="1">#REF!</definedName>
    <definedName name="_bdm.F3B78B44895F4C448875FD9FAB3BED6E.edm" hidden="1">#REF!</definedName>
    <definedName name="_bdm.F3B792F2E9754D63B378A60D1176658F.edm" hidden="1">#REF!</definedName>
    <definedName name="_bdm.F406CD2448304ACDB628F5E7FA0DA402.edm" hidden="1">#REF!</definedName>
    <definedName name="_bdm.F437639C1E074D999624A4BEDC5B695D.edm" hidden="1">#REF!</definedName>
    <definedName name="_bdm.F45BF7C88B014D68810F8BEB82A7A143.edm" hidden="1">#REF!</definedName>
    <definedName name="_bdm.f4aa0ea49b0c448692ff3ae646e5e19d.edm" hidden="1">#REF!</definedName>
    <definedName name="_bdm.F4F8E05495EC4D0D8C58BF7E390C95AF.edm" hidden="1">#REF!</definedName>
    <definedName name="_bdm.F5362034A7FF4E05AB1D55F0839B8F90.edm" hidden="1">#REF!</definedName>
    <definedName name="_bdm.F5381A4563D54AB3ADB5AB3336923A4B.edm" hidden="1">#REF!</definedName>
    <definedName name="_bdm.F599D268B4BF4204B79A060D65774DC0.edm" hidden="1">#REF!</definedName>
    <definedName name="_bdm.F6129BE6EE4049A1AAD6432FE027A139.edm" hidden="1">#REF!</definedName>
    <definedName name="_bdm.F65B7D67BC5A4D1AA51A9A708F4AAEC6.edm" hidden="1">#REF!</definedName>
    <definedName name="_bdm.F794A2460E56406C91EB88EF4FC75B85.edm" hidden="1">#REF!</definedName>
    <definedName name="_bdm.F801C78F06134DBDA3240FC7D7B01019.edm" hidden="1">#REF!</definedName>
    <definedName name="_bdm.F8560F8767984BDB9E26EDCB9CAA2AFE.edm" hidden="1">#REF!</definedName>
    <definedName name="_bdm.F94070689B644784B8948F63FE73BF62.edm" hidden="1">#REF!</definedName>
    <definedName name="_bdm.F9C5C6F8F39E47FABE65D2F9B40626CE.edm" hidden="1">#REF!</definedName>
    <definedName name="_bdm.F9EC7E79547042CCB070BC576E71C55A.edm" hidden="1">#REF!</definedName>
    <definedName name="_bdm.F9FA563285F2469FB2853A898E4F2BD4.edm" hidden="1">#REF!</definedName>
    <definedName name="_bdm.FA4C9F7AF701406F960F707797553641.edm" hidden="1">#REF!</definedName>
    <definedName name="_bdm.FastTrackBookmark.6_24_2014_10_15_03_PM.edm" hidden="1">#REF!</definedName>
    <definedName name="_bdm.FB19CF19E51847FDBE7D69736C466CBF.edm" hidden="1">#REF!</definedName>
    <definedName name="_bdm.fb61f3fdb7bd4326b3c077afcaead454.edm" hidden="1">#REF!</definedName>
    <definedName name="_bdm.FBA683D87C95472781CEB7E3DCDB1102.edm" hidden="1">#REF!</definedName>
    <definedName name="_bdm.FBB70F9536454F6EA652914D5D8E6589.edm" hidden="1">#REF!</definedName>
    <definedName name="_bdm.FBE6282C852A4553A9B4F4EB1A597086.edm" hidden="1">#REF!</definedName>
    <definedName name="_bdm.FBF7032BE1C44DB28FDE4A5B7BACC1B6.edm" hidden="1">#REF!</definedName>
    <definedName name="_bdm.FC09F6A5EAAE47BA827CC5F356D747CD.edm" hidden="1">#REF!</definedName>
    <definedName name="_bdm.FC2E461E4B3D40879F42A682D6F29111.edm" hidden="1">#REF!</definedName>
    <definedName name="_bdm.FC99FDD05DF440A6AFA648B0340404A6.edm" hidden="1">#REF!</definedName>
    <definedName name="_bdm.FCA01AEA2E904961A8EDF2EB3200E612.edm" hidden="1">#REF!</definedName>
    <definedName name="_bdm.FCDA184D4AEC4499B828C8E29A1BFA12.edm" hidden="1">#REF!</definedName>
    <definedName name="_bdm.FCEC2FA5E45F4EAE9E94F102BDC2444C.edm" hidden="1">#REF!</definedName>
    <definedName name="_bdm.FCF1CA7542BF42A8BB2DB5A647A292ED.edm" hidden="1">#REF!</definedName>
    <definedName name="_bdm.FD0E18A117614C858F482A39221A50FE.edm" hidden="1">#REF!</definedName>
    <definedName name="_bdm.FD3D6D5790E04EC18254B4845416333A.edm" hidden="1">#REF!</definedName>
    <definedName name="_bdm.FD729976145343E38DFCF4DC1A6B0EC8.edm" hidden="1">#REF!</definedName>
    <definedName name="_bdm.FDD229C295FA48D38D00D70815347D86.edm" hidden="1">#REF!</definedName>
    <definedName name="_bdm.FDE08839AD134B66A6A7F8F6F2C7949D.edm" hidden="1">#REF!</definedName>
    <definedName name="_bdm.FE2B4AE843F449EFA50529C37B884731.edm" hidden="1">#REF!</definedName>
    <definedName name="_bdm.FE617C93C384410184937574688E6C1C.edm" hidden="1">#REF!</definedName>
    <definedName name="_bdm.fed0b74aab944dd4a92309bf2c107c86.edm" hidden="1">#REF!</definedName>
    <definedName name="_bdm.FED4E1BEEB844C92BA127D0D8B447707.edm" hidden="1">#REF!</definedName>
    <definedName name="_bdm.FF6F0035140E4E78A41392A1EE19F293.edm" hidden="1">#REF!</definedName>
    <definedName name="_bdm.FF8D3213E2C94E8B9CCBE6174F1EAEC3.edm" hidden="1">#REF!</definedName>
    <definedName name="_bdm.FF93C03CF020466BA58E5A1F02051D8E.edm" hidden="1">#REF!</definedName>
    <definedName name="_bdm.FF9B9B16E58040FFBCDDCA833BA66A07.edm" hidden="1">#REF!</definedName>
    <definedName name="_bdm.FF9FA4672CC04E1790FFFBBF31765C92.edm" hidden="1">#REF!</definedName>
    <definedName name="_bdm.FFC760F7CE064EB18B3869ACF83FAAF5.edm" hidden="1">#REF!</definedName>
    <definedName name="_bdm.ffefd07e58244223bcf623f65729ae4c.edm" hidden="1">#REF!</definedName>
    <definedName name="_bdm.ToolkitBookmark.6_17_2004_9_35_05_AM.edm" hidden="1">#REF!</definedName>
    <definedName name="_bdm.ToolkitBookmark.9_29_2003_10_30_55_AM.edm" hidden="1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2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U4" hidden="1">{"Page 1",#N/A,TRUE,"Sheet1";"Page 2",#N/A,TRUE,"Sheet1"}</definedName>
    <definedName name="_BU4_1" hidden="1">{"Page 1",#N/A,TRUE,"Sheet1";"Page 2",#N/A,TRUE,"Sheet1"}</definedName>
    <definedName name="_Budget_for_Measure" hidden="1">#REF!</definedName>
    <definedName name="_CashFlow1" hidden="1">#REF!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Dist_Values" hidden="1">#REF!</definedName>
    <definedName name="_FDS2" hidden="1">{"bs",#N/A,FALSE,"SCF"}</definedName>
    <definedName name="_Fill" hidden="1">#REF!</definedName>
    <definedName name="_for_YTD_Year" hidden="1">#REF!</definedName>
    <definedName name="_fy97" hidden="1">{#N/A,#N/A,FALSE,"FY97";#N/A,#N/A,FALSE,"FY98";#N/A,#N/A,FALSE,"FY99";#N/A,#N/A,FALSE,"FY00";#N/A,#N/A,FALSE,"FY01"}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SRATES_1" hidden="1">"CT300001Latest          "</definedName>
    <definedName name="_GSRATES_COUNT" hidden="1">1</definedName>
    <definedName name="_GSRATESR_1" hidden="1">#N/A</definedName>
    <definedName name="_hhh9" hidden="1">{#N/A,#N/A,FALSE,"MAY";#N/A,#N/A,FALSE,"Q2";#N/A,#N/A,FALSE,"YTD"}</definedName>
    <definedName name="_Key1" hidden="1">#REF!</definedName>
    <definedName name="_Key2" hidden="1">#REF!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a2" hidden="1">"100"</definedName>
    <definedName name="_na3" hidden="1">"50"</definedName>
    <definedName name="_na4" hidden="1">"IQ_LTM_DATE"</definedName>
    <definedName name="_ok2" hidden="1">{"Capex by project",#N/A,FALSE,"Capex by Project"}</definedName>
    <definedName name="_ok3" hidden="1">{"MESROS",#N/A,FALSE,"ROS";"MESOFF",#N/A,FALSE,"OFF";"MESBEA",#N/A,FALSE,"BEA";"MESCOF",#N/A,FALSE,"COF";"MESTEL",#N/A,FALSE,"TEL";"MESCON",#N/A,FALSE,"CON";"MESINT",#N/A,FALSE,"INT"}</definedName>
    <definedName name="_Order1" hidden="1">0</definedName>
    <definedName name="_Order2" hidden="1">255</definedName>
    <definedName name="_P00comps1" hidden="1">#REF!</definedName>
    <definedName name="_P00comps2" hidden="1">#REF!</definedName>
    <definedName name="_P00DCF_Summary" hidden="1">#REF!</definedName>
    <definedName name="_Parse" hidden="1">#REF!</definedName>
    <definedName name="_Parse_In" hidden="1">#REF!</definedName>
    <definedName name="_Parse_Out" hidden="1">#REF!</definedName>
    <definedName name="_ppp2" hidden="1">{"FCB_ALL",#N/A,FALSE,"FCB"}</definedName>
    <definedName name="_Q1" hidden="1">{"'Standalone List Price Trends'!$A$1:$X$56"}</definedName>
    <definedName name="_Q1_1" hidden="1">{"'Standalone List Price Trends'!$A$1:$X$56"}</definedName>
    <definedName name="_Q2" hidden="1">{"'Standalone List Price Trends'!$A$1:$X$56"}</definedName>
    <definedName name="_Q2_1" hidden="1">{"'Standalone List Price Trends'!$A$1:$X$56"}</definedName>
    <definedName name="_Q3" hidden="1">{"'Standalone List Price Trends'!$A$1:$X$56"}</definedName>
    <definedName name="_Q3_1" hidden="1">{"'Standalone List Price Trends'!$A$1:$X$56"}</definedName>
    <definedName name="_Q4" hidden="1">{"'Standalone List Price Trends'!$A$1:$X$56"}</definedName>
    <definedName name="_Q4_1" hidden="1">{"'Standalone List Price Trends'!$A$1:$X$56"}</definedName>
    <definedName name="_Q5" hidden="1">{"'Standalone List Price Trends'!$A$1:$X$56"}</definedName>
    <definedName name="_Q5_1" hidden="1">{"'Standalone List Price Trends'!$A$1:$X$56"}</definedName>
    <definedName name="_Q9" hidden="1">{"'Standalone List Price Trends'!$A$1:$X$56"}</definedName>
    <definedName name="_Q9_1" hidden="1">{"'Standalone List Price Trends'!$A$1:$X$56"}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f_Feb_Act_for_YTD" hidden="1">#REF!</definedName>
    <definedName name="_Rf_Oct_Act_for_2003_YTD" hidden="1">#REF!</definedName>
    <definedName name="_rw1" hidden="1">{"'Standalone List Price Trends'!$A$1:$X$56"}</definedName>
    <definedName name="_rw1_1" hidden="1">{"'Standalone List Price Trends'!$A$1:$X$56"}</definedName>
    <definedName name="_rw2" hidden="1">{"'Standalone List Price Trends'!$A$1:$X$56"}</definedName>
    <definedName name="_rw2_1" hidden="1">{"'Standalone List Price Trends'!$A$1:$X$56"}</definedName>
    <definedName name="_rw3" hidden="1">{"'Standalone List Price Trends'!$A$1:$X$56"}</definedName>
    <definedName name="_rw3_1" hidden="1">{"'Standalone List Price Trends'!$A$1:$X$56"}</definedName>
    <definedName name="_rw4" hidden="1">{"'Standalone List Price Trends'!$A$1:$X$56"}</definedName>
    <definedName name="_rw4_1" hidden="1">{"'Standalone List Price Trends'!$A$1:$X$56"}</definedName>
    <definedName name="_scenchg_count" hidden="1">1</definedName>
    <definedName name="_Sort" hidden="1">#REF!</definedName>
    <definedName name="_Sort2" hidden="1">#REF!</definedName>
    <definedName name="_Table1_In1" hidden="1">#REF!</definedName>
    <definedName name="_Table1_Out" hidden="1">#N/A</definedName>
    <definedName name="_Table2_In1" hidden="1">#N/A</definedName>
    <definedName name="_Table2_In2" hidden="1">#REF!</definedName>
    <definedName name="_Table2_Out" hidden="1">#N/A</definedName>
    <definedName name="_Table3_In2" hidden="1">#REF!</definedName>
    <definedName name="_test1" hidden="1">#REF!</definedName>
    <definedName name="_uuu11" hidden="1">{#N/A,#N/A,FALSE,"MAY";#N/A,#N/A,FALSE,"Q2";#N/A,#N/A,FALSE,"YTD"}</definedName>
    <definedName name="_WC1" hidden="1">#REF!</definedName>
    <definedName name="_WC2" hidden="1">#REF!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Zbalance_sheet_2" hidden="1">{0,0,0,0,1,-4105,70.8661417322835,53.8582677165354,70.8661417322835,70.8661417322835,2,FALSE,FALSE,FALSE,FALSE,FALSE,#N/A,1,112,1,1,"","","","","","",FALSE}</definedName>
    <definedName name="_ZDCF_Summary" hidden="1">{0,0,0,0,1,-4105,41.04,53.8582677165354,64.08,51.84,2,FALSE,FALSE,FALSE,FALSE,FALSE,#N/A,1,65,1,1,"","","","","","",FALSE}</definedName>
    <definedName name="_Zdrivers_quarterly" hidden="1">{0,0,0,0,1,-4105,59.76,25.5118110236221,69.12,70.8661417322835,2,FALSE,FALSE,FALSE,FALSE,FALSE,#N/A,1,63,1,1,"","","","","","",FALSE}</definedName>
    <definedName name="_Zfinacials_quarterly_nots" hidden="1">{0,0,0,0,1,-4105,70.8661417322835,53.8582677165354,70.8661417322835,70.8661417322835,2,FALSE,FALSE,FALSE,FALSE,FALSE,#N/A,1,55,1,1,"","","","","","",FALSE}</definedName>
    <definedName name="_Zfinancials_quarterly" hidden="1">{0,0,0,0,1,-4105,70.8661417322835,53.8582677165354,70.8661417322835,70.8661417322835,2,FALSE,FALSE,FALSE,FALSE,FALSE,#N/A,1,55,1,1,"","","","","","",FALSE}</definedName>
    <definedName name="_Zyearly" hidden="1">{0,0,0,0,1,-4105,14.1732283464567,53.8582677165354,70.8661417322835,70.8661417322835,2,FALSE,FALSE,FALSE,FALSE,FALSE,#N/A,1,75,1,1,"","","","","","",FALSE}</definedName>
    <definedName name="_Zyearly2" hidden="1">{0,0,0,0,1,-4105,70.8661417322835,53.8582677165354,70.8661417322835,70.8661417322835,2,FALSE,FALSE,FALSE,FALSE,FALSE,#N/A,1,75,1,1,"","","","","","",FALSE}</definedName>
    <definedName name="a" hidden="1">{#N/A,#N/A,FALSE,"REV 110 PRNE (Bureau-Frankfurt)";#N/A,#N/A,FALSE,"REV 120 PRNE (Bureau - Paris)"}</definedName>
    <definedName name="aa" hidden="1">{#N/A,#N/A,FALSE,"Sheet1"}</definedName>
    <definedName name="AA.Report.Files" hidden="1">#REF!</definedName>
    <definedName name="AA.Reports.Available" hidden="1">#REF!</definedName>
    <definedName name="aaa" hidden="1">{#N/A,#N/A,FALSE,"Model";#N/A,#N/A,FALSE,"Division"}</definedName>
    <definedName name="AAA_DOCTOPS" hidden="1">"AAA_SET"</definedName>
    <definedName name="AAA_duser" hidden="1">"OFF"</definedName>
    <definedName name="aaaaa" hidden="1">{"COMPCFT",#N/A,FALSE,"CFT";"COMPAPP",#N/A,FALSE,"APP";"COMPJEW",#N/A,FALSE,"JEW";"COMPHOM",#N/A,FALSE,"HOM";"COMPCOL",#N/A,FALSE,"COL"}</definedName>
    <definedName name="aaaaaaaaaaaaa" hidden="1">{"'Standalone List Price Trends'!$A$1:$X$56"}</definedName>
    <definedName name="aaaaaaaaaaaaa_1" hidden="1">{"'Standalone List Price Trends'!$A$1:$X$56"}</definedName>
    <definedName name="aab" hidden="1">{#N/A,#N/A,FALSE,"sum (2)";#N/A,#N/A,FALSE,"bs";#N/A,#N/A,FALSE,"is";#N/A,#N/A,FALSE,"cf";#N/A,#N/A,FALSE,"ltd";#N/A,#N/A,FALSE,"irr (2)"}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hidden="1">#REF!</definedName>
    <definedName name="abc" hidden="1">{"histincome",#N/A,FALSE,"hyfins";"closing balance",#N/A,FALSE,"hyfins"}</definedName>
    <definedName name="abc_1" hidden="1">{"histincome",#N/A,FALSE,"hyfins";"closing balance",#N/A,FALSE,"hyfins"}</definedName>
    <definedName name="Access_Button" hidden="1">"CONSOL_SIM_List"</definedName>
    <definedName name="AccessDatabase" hidden="1">"I:\DEPT8900\OEL\FY01\Reports\Budget Comparison\Comparitive Budget TEST.mdb"</definedName>
    <definedName name="Acquistions" hidden="1">39723.3704050926</definedName>
    <definedName name="actual" hidden="1">#REF!</definedName>
    <definedName name="ACwvu.BS." hidden="1">#N/A</definedName>
    <definedName name="aDfa" hidden="1">{#N/A,#N/A,FALSE,"Aging Summary";#N/A,#N/A,FALSE,"Ratio Analysis";#N/A,#N/A,FALSE,"Test 120 Day Accts";#N/A,#N/A,FALSE,"Tickmarks"}</definedName>
    <definedName name="adfadf" hidden="1">{"'Sheet1'!$A$1:$J$121"}</definedName>
    <definedName name="adsada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dsf" hidden="1">{#N/A,#N/A,FALSE,"Job Sched"}</definedName>
    <definedName name="advancedSettingsInput" hidden="1">#REF!</definedName>
    <definedName name="advancedSettingsInputFA" hidden="1">#REF!</definedName>
    <definedName name="advancedSettingsInputMC" hidden="1">#REF!</definedName>
    <definedName name="ajhwuy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lchemy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_______hhh9" hidden="1">{#N/A,#N/A,FALSE,"MAY";#N/A,#N/A,FALSE,"Q2";#N/A,#N/A,FALSE,"YTD"}</definedName>
    <definedName name="Alchemy_______uuu111" hidden="1">{#N/A,#N/A,FALSE,"MAY";#N/A,#N/A,FALSE,"Q2";#N/A,#N/A,FALSE,"YTD"}</definedName>
    <definedName name="Alchemy____hhh9" hidden="1">{#N/A,#N/A,FALSE,"MAY";#N/A,#N/A,FALSE,"Q2";#N/A,#N/A,FALSE,"YTD"}</definedName>
    <definedName name="Alchemy____uuu11" hidden="1">{#N/A,#N/A,FALSE,"MAY";#N/A,#N/A,FALSE,"Q2";#N/A,#N/A,FALSE,"YTD"}</definedName>
    <definedName name="Alchemy___hhh9" hidden="1">{#N/A,#N/A,FALSE,"MAY";#N/A,#N/A,FALSE,"Q2";#N/A,#N/A,FALSE,"YTD"}</definedName>
    <definedName name="Alchemy___uuu11" hidden="1">{#N/A,#N/A,FALSE,"MAY";#N/A,#N/A,FALSE,"Q2";#N/A,#N/A,FALSE,"YTD"}</definedName>
    <definedName name="Alchemy__hhh9" hidden="1">{#N/A,#N/A,FALSE,"MAY";#N/A,#N/A,FALSE,"Q2";#N/A,#N/A,FALSE,"YTD"}</definedName>
    <definedName name="Alchemy__uuu11" hidden="1">{#N/A,#N/A,FALSE,"MAY";#N/A,#N/A,FALSE,"Q2";#N/A,#N/A,FALSE,"YTD"}</definedName>
    <definedName name="Alchemy_hhh9" hidden="1">{#N/A,#N/A,FALSE,"MAY";#N/A,#N/A,FALSE,"Q2";#N/A,#N/A,FALSE,"YTD"}</definedName>
    <definedName name="Alchemy_uuu11" hidden="1">{#N/A,#N/A,FALSE,"MAY";#N/A,#N/A,FALSE,"Q2";#N/A,#N/A,FALSE,"YTD"}</definedName>
    <definedName name="Alchemy0" hidden="1">{#N/A,#N/A,FALSE,"New Depr Sch-150% DB";#N/A,#N/A,FALSE,"Cash Flows RLP";#N/A,#N/A,FALSE,"IRR";#N/A,#N/A,FALSE,"Proforma IS";#N/A,#N/A,FALSE,"Assumptions"}</definedName>
    <definedName name="Alchemycommonstart" hidden="1">#REF!</definedName>
    <definedName name="AlchemyDATA_01" hidden="1">#REF!</definedName>
    <definedName name="Alchemyddd" hidden="1">{"histincome",#N/A,FALSE,"hyfins";"closing balance",#N/A,FALSE,"hyfins"}</definedName>
    <definedName name="Alchemydsfadsf" hidden="1">{"histincome",#N/A,FALSE,"hyfins";"closing balance",#N/A,FALSE,"hyfins"}</definedName>
    <definedName name="AlchemyHemorrhage" hidden="1">{"mgmt forecast",#N/A,FALSE,"Mgmt Forecast";"dcf table",#N/A,FALSE,"Mgmt Forecast";"sensitivity",#N/A,FALSE,"Mgmt Forecast";"table inputs",#N/A,FALSE,"Mgmt Forecast";"calculations",#N/A,FALSE,"Mgmt Forecast"}</definedName>
    <definedName name="Alchemyhhh1" hidden="1">{#N/A,#N/A,FALSE,"MAY";#N/A,#N/A,FALSE,"Q2";#N/A,#N/A,FALSE,"YTD"}</definedName>
    <definedName name="Alchemyhhh9" hidden="1">{#N/A,#N/A,FALSE,"MAY";#N/A,#N/A,FALSE,"Q2";#N/A,#N/A,FALSE,"YTD"}</definedName>
    <definedName name="Alchemyhhhh" hidden="1">{#N/A,#N/A,FALSE,"MAY";#N/A,#N/A,FALSE,"Q2";#N/A,#N/A,FALSE,"YTD"}</definedName>
    <definedName name="Alchemyhhhh7000" hidden="1">{#N/A,#N/A,FALSE,"MAY";#N/A,#N/A,FALSE,"Q2";#N/A,#N/A,FALSE,"YTD"}</definedName>
    <definedName name="AlchemyHTML_Control" hidden="1">{"'Sheet1'!$A$1:$L$21"}</definedName>
    <definedName name="Alchemyklk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lkjlkj" hidden="1">{"Final",#N/A,FALSE,"Feb-96"}</definedName>
    <definedName name="Alchemynewname7000" hidden="1">{#N/A,#N/A,FALSE,"MAY";#N/A,#N/A,FALSE,"Q2";#N/A,#N/A,FALSE,"YTD"}</definedName>
    <definedName name="Alchemynewname9" hidden="1">{#N/A,#N/A,FALSE,"MAY";#N/A,#N/A,FALSE,"Q2";#N/A,#N/A,FALSE,"YTD"}</definedName>
    <definedName name="Alchemy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uuu11" hidden="1">{#N/A,#N/A,FALSE,"MAY";#N/A,#N/A,FALSE,"Q2";#N/A,#N/A,FALSE,"YTD"}</definedName>
    <definedName name="Alchemyuuuu" hidden="1">{#N/A,#N/A,FALSE,"MAY";#N/A,#N/A,FALSE,"Q2";#N/A,#N/A,FALSE,"YTD"}</definedName>
    <definedName name="Alchemyuuuu9" hidden="1">{#N/A,#N/A,FALSE,"MAY";#N/A,#N/A,FALSE,"Q2";#N/A,#N/A,FALSE,"YTD"}</definedName>
    <definedName name="Alchemyuuuuu1" hidden="1">{#N/A,#N/A,FALSE,"MAY";#N/A,#N/A,FALSE,"Q2";#N/A,#N/A,FALSE,"YTD"}</definedName>
    <definedName name="Alchemywhat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rn.Aging._.and_.Trend._.Analysis." hidden="1">{#N/A,#N/A,FALSE,"Aging Summary";#N/A,#N/A,FALSE,"Ratio Analysis";#N/A,#N/A,FALSE,"Test 120 Day Accts";#N/A,#N/A,FALSE,"Tickmarks"}</definedName>
    <definedName name="Alchemywrn.Basic._.Report" hidden="1">{#N/A,#N/A,FALSE,"New Depr Sch-150% DB";#N/A,#N/A,FALSE,"Cash Flows RLP";#N/A,#N/A,FALSE,"IRR";#N/A,#N/A,FALSE,"Proforma IS";#N/A,#N/A,FALSE,"Assumptions"}</definedName>
    <definedName name="Alchemy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lchemy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Complete._.Report." hidden="1">{#N/A,#N/A,FALSE,"Assumptions";#N/A,#N/A,FALSE,"Proforma IS";#N/A,#N/A,FALSE,"Cash Flows RLP";#N/A,#N/A,FALSE,"IRR";#N/A,#N/A,FALSE,"New Depr Sch-150% DB";#N/A,#N/A,FALSE,"Comments"}</definedName>
    <definedName name="Alchemywrn.consolidated." hidden="1">{"IS_planvsActual",#N/A,FALSE,"IS_Plan-Act";"IS_curr&amp;YTD",#N/A,FALSE,"IS";"BS_curr&amp;lastmo",#N/A,FALSE,"BS";"bs 4 qtrs",#N/A,FALSE,"BS";"cf",#N/A,FALSE,"CF"}</definedName>
    <definedName name="Alchemywrn.dcf." hidden="1">{"mgmt forecast",#N/A,FALSE,"Mgmt Forecast";"dcf table",#N/A,FALSE,"Mgmt Forecast";"sensitivity",#N/A,FALSE,"Mgmt Forecast";"table inputs",#N/A,FALSE,"Mgmt Forecast";"calculations",#N/A,FALSE,"Mgmt Forecast"}</definedName>
    <definedName name="Alchemywrn.dcf2." hidden="1">{"mgmt forecast",#N/A,FALSE,"Mgmt Forecast";"dcf table",#N/A,FALSE,"Mgmt Forecast";"sensitivity",#N/A,FALSE,"Mgmt Forecast";"table inputs",#N/A,FALSE,"Mgmt Forecast";"calculations",#N/A,FALSE,"Mgmt Forecast"}</definedName>
    <definedName name="Alchemywrn.Draft." hidden="1">{"Draft",#N/A,FALSE,"Feb-96"}</definedName>
    <definedName name="Alchemy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Alchemywrn.Final." hidden="1">{"Final",#N/A,FALSE,"Feb-96"}</definedName>
    <definedName name="Alchemy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Alchemywrn.FY97SBP." hidden="1">{#N/A,#N/A,FALSE,"FY97";#N/A,#N/A,FALSE,"FY98";#N/A,#N/A,FALSE,"FY99";#N/A,#N/A,FALSE,"FY00";#N/A,#N/A,FALSE,"FY01"}</definedName>
    <definedName name="Alchemywrn.MAY95." hidden="1">{#N/A,#N/A,FALSE,"MAY";#N/A,#N/A,FALSE,"Q2";#N/A,#N/A,FALSE,"YTD"}</definedName>
    <definedName name="Alchemywrn.may959" hidden="1">{#N/A,#N/A,FALSE,"MAY";#N/A,#N/A,FALSE,"Q2";#N/A,#N/A,FALSE,"YTD"}</definedName>
    <definedName name="Alchemy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Projections." hidden="1">{"Volume",#N/A,FALSE,"volume";"revenue",#N/A,FALSE,"revenue"}</definedName>
    <definedName name="Alchemy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rn.report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Alchemywrn.Revs." hidden="1">{"Base_rev",#N/A,FALSE,"Proj_IS_Base";"Projrev",#N/A,FALSE,"Proj_IS_wOTLC";"Delta",#N/A,FALSE,"Delta Rev_PV"}</definedName>
    <definedName name="Alchemywrn.sum." hidden="1">{"Opsys",#N/A,FALSE,"NPV_OPsys";"NT",#N/A,FALSE,"NPV_NT";"DevP",#N/A,FALSE,"NPV_DevPdt";"Office",#N/A,FALSE,"NPV_Office"}</definedName>
    <definedName name="Alchemywrn.upstairs." hidden="1">{"histincome",#N/A,FALSE,"hyfins";"closing balance",#N/A,FALSE,"hyfins"}</definedName>
    <definedName name="Alchemy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x" hidden="1">{#N/A,#N/A,FALSE,"FY97";#N/A,#N/A,FALSE,"FY98";#N/A,#N/A,FALSE,"FY99";#N/A,#N/A,FALSE,"FY00";#N/A,#N/A,FALSE,"FY01"}</definedName>
    <definedName name="Alchemy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nscount" hidden="1">1</definedName>
    <definedName name="arsdf" hidden="1">{#N/A,#N/A,FALSE,"Aging Summary";#N/A,#N/A,FALSE,"Ratio Analysis";#N/A,#N/A,FALSE,"Test 120 Day Accts";#N/A,#N/A,FALSE,"Tickmarks"}</definedName>
    <definedName name="as" hidden="1">{"FCB_ALL",#N/A,FALSE,"FCB"}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afa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f" hidden="1">{"'Standalone List Price Trends'!$A$1:$X$56"}</definedName>
    <definedName name="asdf_1" hidden="1">{"'Standalone List Price Trends'!$A$1:$X$56"}</definedName>
    <definedName name="asdf2" hidden="1">{"COMPCFT",#N/A,FALSE,"CFT";"COMPAPP",#N/A,FALSE,"APP";"COMPJEW",#N/A,FALSE,"JEW";"COMPHOM",#N/A,FALSE,"HOM";"COMPCOL",#N/A,FALSE,"COL"}</definedName>
    <definedName name="asdfadsf" hidden="1">{"'Sheet1'!$A$1:$J$121"}</definedName>
    <definedName name="asdfasf" hidden="1">38939.6653819444</definedName>
    <definedName name="asdtf" hidden="1">{"'Standalone List Price Trends'!$A$1:$X$56"}</definedName>
    <definedName name="asdtf_1" hidden="1">{"'Standalone List Price Trends'!$A$1:$X$56"}</definedName>
    <definedName name="asfd" hidden="1">#REF!</definedName>
    <definedName name="asggdasgasdg" hidden="1">{"'Standalone List Price Trends'!$A$1:$X$56"}</definedName>
    <definedName name="asggdasgasdg_1" hidden="1">{"'Standalone List Price Trends'!$A$1:$X$56"}</definedName>
    <definedName name="AUto1" hidden="1">{#N/A,#N/A,FALSE,"Sheet1"}</definedName>
    <definedName name="AUto2" hidden="1">{#N/A,#N/A,FALSE,"Sheet1"}</definedName>
    <definedName name="avegmultiple" hidden="1">#REF!</definedName>
    <definedName name="aw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b" hidden="1">{#N/A,#N/A,FALSE,"REV 110 PRNE (Bureau-Frankfurt)";#N/A,#N/A,FALSE,"REV 120 PRNE (Bureau - Paris)"}</definedName>
    <definedName name="ba" hidden="1">{#N/A,#N/A,FALSE,"Budget96 Revised"}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d" hidden="1">#N/A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lnew" hidden="1">{"IS",#N/A,FALSE,"IS";"RPTIS",#N/A,FALSE,"RPTIS";"STATS",#N/A,FALSE,"STATS";"CELL",#N/A,FALSE,"CELL";"BS",#N/A,FALSE,"BS"}</definedName>
    <definedName name="bg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_Del" hidden="1">15</definedName>
    <definedName name="BG_Ins" hidden="1">4</definedName>
    <definedName name="BG_Mod" hidden="1">6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ill" hidden="1">{"PAGE 1",#N/A,FALSE,"WEST_OT"}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rev2" hidden="1">{"PAGE 1",#N/A,FALSE,"WEST_OT"}</definedName>
    <definedName name="BLPH1" hidden="1">#REF!</definedName>
    <definedName name="BLPH10" hidden="1">#REF!</definedName>
    <definedName name="BLPH1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nnn" hidden="1">{"consolidated",#N/A,FALSE,"Sheet1";"cms",#N/A,FALSE,"Sheet1";"fse",#N/A,FALSE,"Sheet1"}</definedName>
    <definedName name="bs" hidden="1">{#N/A,#N/A,FALSE,"Job Sched"}</definedName>
    <definedName name="but" hidden="1">{"page1",#N/A,FALSE,"GIRLBO";"page2",#N/A,FALSE,"GIRLBO";"page3",#N/A,FALSE,"GIRLBO";"page4",#N/A,FALSE,"GIRLBO";"page5",#N/A,FALSE,"GIRLBO"}</definedName>
    <definedName name="bye" hidden="1">{#N/A,#N/A,FALSE,"Aging Summary";#N/A,#N/A,FALSE,"Ratio Analysis";#N/A,#N/A,FALSE,"Test 120 Day Accts";#N/A,#N/A,FALSE,"Tickmarks"}</definedName>
    <definedName name="cagla1293" hidden="1">{"MESROS",#N/A,FALSE,"ROS";"MESOFF",#N/A,FALSE,"OFF";"MESBEA",#N/A,FALSE,"BEA";"MESCOF",#N/A,FALSE,"COF";"MESTEL",#N/A,FALSE,"TEL";"MESCON",#N/A,FALSE,"CON";"MESINT",#N/A,FALSE,"INT"}</definedName>
    <definedName name="cancel" hidden="1">{"PARTNERS CAPITAL STMT",#N/A,FALSE,"Partners Capital"}</definedName>
    <definedName name="cancel2" hidden="1">{"PNLProjDL",#N/A,FALSE,"PROJCO";"PNLParDL",#N/A,FALSE,"Parent"}</definedName>
    <definedName name="cancel3" hidden="1">{"Summary",#N/A,FALSE,"MICMULT";"Income Statement",#N/A,FALSE,"MICMULT";"Cash Flows",#N/A,FALSE,"MICMULT"}</definedName>
    <definedName name="cb_Chart_1" hidden="1">#REF!</definedName>
    <definedName name="cb_Chart_1_opts" hidden="1">"1, 5, 1, False, 2, True, False, , 0, False, False, 1, 1"</definedName>
    <definedName name="cb_Chart_2_opts" hidden="1">"1, 1, 1, False, 2, False, False, , 0, False, False, 1, 1"</definedName>
    <definedName name="cb_Chart_3_opts" hidden="1">"1, 1, 1, False, 2, False, False, , 0, False, False,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WorkbookPriority" hidden="1">-1100774622</definedName>
    <definedName name="çç" hidden="1">{"Informes",#N/A,FALSE,"CA";"Informes",#N/A,FALSE,"CN";"Informes",#N/A,FALSE,"INVERSIONES";"Informes",#N/A,FALSE,"CN Oficial";"Informes",#N/A,FALSE,"CA Oficial";"Informes",#N/A,FALSE,"Res Datos Areas"}</definedName>
    <definedName name="ccc" hidden="1">{#N/A,#N/A,FALSE,"Calc";#N/A,#N/A,FALSE,"Sensitivity";#N/A,#N/A,FALSE,"LT Earn.Dil.";#N/A,#N/A,FALSE,"Dil. AVP"}</definedName>
    <definedName name="ccccc" hidden="1">{"10yp key data",#N/A,FALSE,"Market Data"}</definedName>
    <definedName name="cd0" hidden="1">{#N/A,#N/A,FALSE,"Job Sched"}</definedName>
    <definedName name="CDW" hidden="1">{#N/A,#N/A,FALSE,"Job Sched"}</definedName>
    <definedName name="ChangeRange" hidden="1">#REF!</definedName>
    <definedName name="Chicago_Summary_4" hidden="1">{#N/A,#N/A,FALSE,"Additional ARPU"}</definedName>
    <definedName name="CIQANR_067f37da007e40d58d76f1d5dbcf1ff1" hidden="1">#REF!</definedName>
    <definedName name="CIQANR_0aa7c5a9df1b4329b73c6ce74cc9abe3" hidden="1">#REF!</definedName>
    <definedName name="CIQANR_1980d3da487e4459a34a020e1091f666" hidden="1">#REF!</definedName>
    <definedName name="CIQANR_2412609fe8254087973519efd5daecaa" hidden="1">#REF!</definedName>
    <definedName name="CIQANR_36dba8b571de4586863f6dddfeee83e8" hidden="1">#REF!</definedName>
    <definedName name="CIQANR_525783645b91456ea17aeb39e238a497" hidden="1">#REF!</definedName>
    <definedName name="CIQANR_565993cf588b4a9cb8493ab3b833c4a1" hidden="1">#REF!</definedName>
    <definedName name="CIQANR_6ad90bf9783a4800ad2004a3c97a8521" hidden="1">#REF!</definedName>
    <definedName name="CIQANR_719fb227f1534f5099c4a4e24285d0a8" hidden="1">#REF!</definedName>
    <definedName name="CIQANR_761f469826b4491baf7584746dfb7103" hidden="1">#REF!</definedName>
    <definedName name="CIQANR_77a05fcee280427fa0357dcf128fad9e" hidden="1">#REF!</definedName>
    <definedName name="CIQANR_81efb3fdced145138ba9f3f4509b4de8" hidden="1">#REF!</definedName>
    <definedName name="CIQANR_96a8f218001d4f7f8921d7f9d58659bf" hidden="1">#REF!</definedName>
    <definedName name="CIQANR_af11a26019d149ad85c5850222fdad78" hidden="1">#REF!</definedName>
    <definedName name="CIQANR_b674fba9c22f4bb48030d5d733c55f22" hidden="1">#REF!</definedName>
    <definedName name="CIQANR_bbf8af690a174e3ea80dd9e90680c5be" hidden="1">#REF!</definedName>
    <definedName name="CIQANR_cebc30798dcf49f2acdc556a8986f165" hidden="1">#REF!</definedName>
    <definedName name="CIQANR_d2c7beadd8784d81baa516c468004024" hidden="1">#REF!</definedName>
    <definedName name="CIQANR_d65a0285a50940769c89dff0aa0269a3" hidden="1">#REF!</definedName>
    <definedName name="CIQANR_f114291ca0e14bbd9e7ee3ba562021b4" hidden="1">#REF!</definedName>
    <definedName name="CIQWBGuid" hidden="1">"Employee Information.xlsx"</definedName>
    <definedName name="CIQWBGuid_1" hidden="1">"fb1cfeb4-1712-4812-8186-2d2e951af60b"</definedName>
    <definedName name="Code" hidden="1">#REF!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onstart" hidden="1">#REF!</definedName>
    <definedName name="commrev2" hidden="1">{"PAGE 1",#N/A,FALSE,"WEST_OT"}</definedName>
    <definedName name="Comp" hidden="1">#REF!</definedName>
    <definedName name="comp1" hidden="1">{#N/A,#N/A,FALSE,"Sheet1"}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7" hidden="1">{#N/A,#N/A,FALSE,"Sheet1"}</definedName>
    <definedName name="comp9" hidden="1">{#N/A,#N/A,FALSE,"Sheet1"}</definedName>
    <definedName name="comparisonTypeCurrent" hidden="1">#REF!</definedName>
    <definedName name="comparisonTypeCurrentAC" hidden="1">#REF!</definedName>
    <definedName name="comparisonTypeCurrentAW" hidden="1">#REF!</definedName>
    <definedName name="compnam" hidden="1">#REF!</definedName>
    <definedName name="comps" hidden="1">#REF!</definedName>
    <definedName name="ContentsHelp" hidden="1">#REF!</definedName>
    <definedName name="Covenants" hidden="1">{#N/A,#N/A,FALSE,"MAY";#N/A,#N/A,FALSE,"Q2";#N/A,#N/A,FALSE,"YTD"}</definedName>
    <definedName name="CreateTable" hidden="1">#REF!</definedName>
    <definedName name="cu102.ShareScalingFactor" hidden="1">1000000</definedName>
    <definedName name="cu103.EmployeeScalingFactor" hidden="1">1000</definedName>
    <definedName name="cu107.DPSSymbol" hidden="1">"p"</definedName>
    <definedName name="cu107.EPSSymbol" hidden="1">"p"</definedName>
    <definedName name="cu71.ScalingFactor" hidden="1">1000000</definedName>
    <definedName name="Current_Period" hidden="1">#REF!</definedName>
    <definedName name="curse" hidden="1">#REF!</definedName>
    <definedName name="Cwvu.ALL." hidden="1">#REF!,#REF!</definedName>
    <definedName name="Cwvu.all.2" hidden="1">#REF!,#REF!</definedName>
    <definedName name="Cwvu.GREY_ALL." hidden="1">#REF!</definedName>
    <definedName name="Cwvu.PRT." hidden="1">#REF!,#REF!,#REF!,#REF!,#REF!</definedName>
    <definedName name="Cwvu.prt.2" hidden="1">#REF!,#REF!,#REF!,#REF!,#REF!</definedName>
    <definedName name="cxdd" hidden="1">{#N/A,#N/A,TRUE,"Summary";#N/A,#N/A,TRUE,"Financials"}</definedName>
    <definedName name="d" hidden="1">{"'Standalone List Price Trends'!$A$1:$X$56"}</definedName>
    <definedName name="d_1" hidden="1">{"'Standalone List Price Trends'!$A$1:$X$56"}</definedName>
    <definedName name="Data.Dump" hidden="1">OFFSET(#REF!,1,0)</definedName>
    <definedName name="DATA_01" hidden="1">#REF!</definedName>
    <definedName name="DATA_06" hidden="1">#REF!</definedName>
    <definedName name="data1" hidden="1">#REF!</definedName>
    <definedName name="data2" hidden="1">#REF!</definedName>
    <definedName name="data3" hidden="1">#REF!</definedName>
    <definedName name="Database.File" hidden="1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d" hidden="1">{"Historical and Estimates",#N/A,FALSE,"DCF";"Notes",#N/A,FALSE,"DCF";"Discounted DFCF Analysis",#N/A,FALSE,"DCF";"Debt Table",#N/A,FALSE,"DCF";"Misc.",#N/A,FALSE,"DCF"}</definedName>
    <definedName name="ddddd" hidden="1">{"10yp tariffs",#N/A,FALSE,"Celtel alternative 6"}</definedName>
    <definedName name="dddddd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ddde" hidden="1">#REF!</definedName>
    <definedName name="Dec95JobSched" hidden="1">{#N/A,#N/A,FALSE,"Job Sched"}</definedName>
    <definedName name="def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delete" hidden="1">{"STMT OF CASH FLOWS",#N/A,FALSE,"Cash Flows Indirect"}</definedName>
    <definedName name="delete2" hidden="1">{"BALANCE SHEET ACCTS",#N/A,TRUE,"Working Trial Balance";"INCOME STMT ACCTS",#N/A,TRUE,"Working Trial Balance"}</definedName>
    <definedName name="DeleteRange" hidden="1">#REF!</definedName>
    <definedName name="DeleteTable" hidden="1">#REF!</definedName>
    <definedName name="dev_tech" hidden="1">#REF!</definedName>
    <definedName name="dfa" hidden="1">{#N/A,#N/A,FALSE,"Additional ARPU"}</definedName>
    <definedName name="dfadf" hidden="1">{#N/A,#N/A,FALSE,"Additional ARPU"}</definedName>
    <definedName name="dfd" hidden="1">{"FCB_ALL",#N/A,FALSE,"FCB";"GREY_ALL",#N/A,FALSE,"GREY"}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sa" hidden="1">#REF!</definedName>
    <definedName name="dfsafdsa" hidden="1">#REF!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imensionsAC" hidden="1">#REF!</definedName>
    <definedName name="dimensionsAW" hidden="1">#REF!</definedName>
    <definedName name="Discount" hidden="1">#REF!</definedName>
    <definedName name="display_area_2" hidden="1">#REF!</definedName>
    <definedName name="dkdkdk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dkdkdk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DME_BeforeCloseCompleted" hidden="1">"True"</definedName>
    <definedName name="DME_Dirty" hidden="1">"False"</definedName>
    <definedName name="dsfadsf" hidden="1">{"histincome",#N/A,FALSE,"hyfins";"closing balance",#N/A,FALSE,"hyfins"}</definedName>
    <definedName name="dsg" hidden="1">{#N/A,#N/A,FALSE,"Calc";#N/A,#N/A,FALSE,"Sensitivity";#N/A,#N/A,FALSE,"LT Earn.Dil.";#N/A,#N/A,FALSE,"Dil. AVP"}</definedName>
    <definedName name="dyfhn" hidden="1">{#N/A,#N/A,FALSE,"Aging Summary";#N/A,#N/A,FALSE,"Ratio Analysis";#N/A,#N/A,FALSE,"Test 120 Day Accts";#N/A,#N/A,FALSE,"Tickmarks"}</definedName>
    <definedName name="e" hidden="1">{#N/A,#N/A,FALSE,"WIRE-XXX";#N/A,#N/A,FALSE,"WIRE-COR";#N/A,#N/A,FALSE,"WIRE-SAT";#N/A,#N/A,FALSE,"WIRE-ATP";#N/A,#N/A,FALSE,"WIRE-DEN";#N/A,#N/A,FALSE,"WIRE-STV";#N/A,#N/A,FALSE,"WIRE-ATL";#N/A,#N/A,FALSE,"WIRE-CAR";#N/A,#N/A,FALSE,"WIRE-NVN";#N/A,#N/A,FALSE,"WIRE-RED";#N/A,#N/A,FALSE,"WIRE-SPE"}</definedName>
    <definedName name="e_1" hidden="1">{#N/A,#N/A,FALSE,"WIRE-XXX";#N/A,#N/A,FALSE,"WIRE-COR";#N/A,#N/A,FALSE,"WIRE-SAT";#N/A,#N/A,FALSE,"WIRE-ATP";#N/A,#N/A,FALSE,"WIRE-DEN";#N/A,#N/A,FALSE,"WIRE-STV";#N/A,#N/A,FALSE,"WIRE-ATL";#N/A,#N/A,FALSE,"WIRE-CAR";#N/A,#N/A,FALSE,"WIRE-NVN";#N/A,#N/A,FALSE,"WIRE-RED";#N/A,#N/A,FALSE,"WIRE-SPE"}</definedName>
    <definedName name="earn1" hidden="1">#REF!</definedName>
    <definedName name="eeeee" hidden="1">{"budget992000 tariff and usage",#N/A,FALSE,"Celtel alternative 6"}</definedName>
    <definedName name="eeeeeee" hidden="1">4</definedName>
    <definedName name="eeeeeeeeeee" hidden="1">27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odd" hidden="1">{"'Standalone List Price Trends'!$A$1:$X$56"}</definedName>
    <definedName name="effodd_1" hidden="1">{"'Standalone List Price Trends'!$A$1:$X$56"}</definedName>
    <definedName name="Electrolytic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emily" hidden="1">{#N/A,#N/A,FALSE,"Calc";#N/A,#N/A,FALSE,"Sensitivity";#N/A,#N/A,FALSE,"LT Earn.Dil.";#N/A,#N/A,FALSE,"Dil. AVP"}</definedName>
    <definedName name="endDateComparison" hidden="1">#REF!</definedName>
    <definedName name="endDateComparisonAC" hidden="1">#REF!</definedName>
    <definedName name="endDateComparisonAW" hidden="1">#REF!</definedName>
    <definedName name="Eng" hidden="1">{"PAGE 1",#N/A,FALSE,"WEST_OT"}</definedName>
    <definedName name="ENG_BI_EXE_NAME" hidden="1">"BICORE.EXE"</definedName>
    <definedName name="ENG_BI_EXEC_CMD_ARGS" hidden="1">"03304607809710411410511904104507305405005205304905905405006205604904804104605812808208309207707409207506209611711611306711511411210611712209305509206811610911610211013008206809713012409212011511307211111811909811013009404709606711511411210611912107707"</definedName>
    <definedName name="ENG_BI_EXEC_CMD_ARGS_10" hidden="1">"06007111611011310111012507806804109309810812610206203907707508703404105606203601506104808710111912010512011706301006908509812010706601506009310611511107806903309009711212210107004105004805804905105404805205305004304104706603701106105108410112010707101"</definedName>
    <definedName name="ENG_BI_EXEC_CMD_ARGS_11" hidden="1">"7061047078111119110114115115109110119116066130124080086068073087069077087066082074078084066049129"</definedName>
    <definedName name="ENG_BI_EXEC_CMD_ARGS_2" hidden="1">"30940620430770750870391340390460741320850700830650820890950760880680730660841221191161051141150411181030320741101021191051031021251320770660880940810700650531291280951211211061181061171020730660870740820950780820650820810680860770720910491341300961121"</definedName>
    <definedName name="ENG_BI_EXEC_CMD_ARGS_3" hidden="1">"23106119102116105073066076074084069081080072065109101120053057055096097121113126128095116119105127106116105073067086087069086066097109116106110134124096117117102113105108085065082076068080072069065106110134130096112126099109110099071084077089074078093"</definedName>
    <definedName name="ENG_BI_EXEC_CMD_ARGS_4" hidden="1">"08306607807306108712611512510811011504111210303706511310611411410809712912809611312109811211009907609208308207807906809406108908806813413209511612209910910909907407807809807606608209208506608708407207008407807004805303707509811411710111912104105704904"</definedName>
    <definedName name="ENG_BI_EXEC_CMD_ARGS_5" hidden="1">"90651261241001121211031081141080700770830900700690820730830680770720850690700520500370681051041011181071011180370510490530561291280951211240991081141000710780780930740650910780780720660510490530561291280951211240991081141000710780780930740650910920840"</definedName>
    <definedName name="ENG_BI_EXEC_CMD_ARGS_6" hidden="1">"69087085062054048053061125132102113117107109106104067089087082086088078088077070079072068069089069070058050032083098111122097118126032059057049060130124096116117102113105108074086082091078080083084076088084074091084072070085070065048053037074106117118"</definedName>
    <definedName name="ENG_BI_EXEC_CMD_ARGS_7" hidden="1">"09712312203305504805306112513210411211811011909812010108107008307608607807707407906908906909208906106907811012211011511211410910511511607101706108311011611611011111406701006909411510511906301106408511910611408207503308610610911810606103810210011811411"</definedName>
    <definedName name="ENG_BI_EXEC_CMD_ARGS_8" hidden="1">"00380520630110640691141041141301191170801061161161241111181050320951061081211060620350881141211060340560690110600890981161201191151191000410950971121221020620380340510670100690911151171241171021050671151151101101081161091161110330900971121221010700410"</definedName>
    <definedName name="ENG_BI_EXEC_CMD_ARGS_9" hidden="1">"71097117116102039032051067010069056085119106115063014060087086076092108115118110115079102109105037086106117117105066035078084067086082068095056035032056063011065068070083097118110032090102109118105061038114097124060049048104098113117034036052062041019"</definedName>
    <definedName name="ENG_BI_GEN_LIC" hidden="1">"0"</definedName>
    <definedName name="ENG_BI_GEN_LIC_WS" hidden="1">"True"</definedName>
    <definedName name="ENG_BI_LBI" hidden="1">"ZWO2WPZ6UU"</definedName>
    <definedName name="ENG_BI_PROFILE_PATH" hidden="1">"C:\ProgramData\Alchemex\AlchemexSmartReporting\MetaData\MAS\Report Designer Add-In S500 Demo 1-0-2\BICORE_profiler_20130111_145418.csv"</definedName>
    <definedName name="ENG_BI_REPOS_FILE" hidden="1">"\\MPCRMDV1\Sage\SMI\alchemex.svd"</definedName>
    <definedName name="ENG_BI_REPOS_PATH" hidden="1">"\\MPCRMDV1\Sage\SMI"</definedName>
    <definedName name="ENG_BI_TLA" hidden="1">"85;74;60;19;171;241;189;183;200;182;157;252;231;116;97;269;260;59;254;102;172;41;274;49;182;161;181;129;254;229;208;128"</definedName>
    <definedName name="equity2row" hidden="1">#REF!</definedName>
    <definedName name="equityrow" hidden="1">#REF!</definedName>
    <definedName name="EraseMe" hidden="1">{#N/A,#N/A,FALSE,"Job Sched"}</definedName>
    <definedName name="essbase12month" hidden="1">{"balsheet",#N/A,FALSE,"A"}</definedName>
    <definedName name="essbase12month_1" hidden="1">{"balsheet",#N/A,FALSE,"A"}</definedName>
    <definedName name="est_mvic" hidden="1">#REF!</definedName>
    <definedName name="etet" hidden="1">{#N/A,#N/A,FALSE,"Calc";#N/A,#N/A,FALSE,"Sensitivity";#N/A,#N/A,FALSE,"LT Earn.Dil.";#N/A,#N/A,FALSE,"Dil. AVP"}</definedName>
    <definedName name="ev.Calculation" hidden="1">-4105</definedName>
    <definedName name="ev.Initialized" hidden="1">FALSE</definedName>
    <definedName name="EV__CVPARAMS__" hidden="1">"Trend!$B$17:$C$38;"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41702.4316666667</definedName>
    <definedName name="EV__LOCKEDCVW__FINANCE" hidden="1">"INCOME_STATEMENT,ACTUAL,TOTWITHALLOC,Madras_Chem_BU,All_Interco,USD,2012.MAR,ALL_VENDORS,PERIODIC,"</definedName>
    <definedName name="EV__LOCKEDCVW__PERFORMANCE" hidden="1">"INCOME_STATEMENT,ACTUAL,Tot_Rpt,WLOO,All_InterCo,USD,2008.SEP,PERIODIC,"</definedName>
    <definedName name="EV__LOCKEDCVW__RATE" hidden="1">"ACTUAL,USD,RateInput,2001.TOTAL,1100,PERIODIC,"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134217728</definedName>
    <definedName name="EV__WBVERSION__" hidden="1">0</definedName>
    <definedName name="EV_LASTREFTIME" hidden="1">38943.6463310185</definedName>
    <definedName name="ewfsd" hidden="1">#REF!</definedName>
    <definedName name="ExbMult_Total" hidden="1">#REF!</definedName>
    <definedName name="exbnumlist" hidden="1">#REF!</definedName>
    <definedName name="fa" hidden="1">{#N/A,#N/A,FALSE,"Income";#N/A,#N/A,FALSE,"Cost of Goods Sold";#N/A,#N/A,FALSE,"Other Costs";#N/A,#N/A,FALSE,"Other Income";#N/A,#N/A,FALSE,"Taxes";#N/A,#N/A,FALSE,"Other Deductions";#N/A,#N/A,FALSE,"Compensation of Officers"}</definedName>
    <definedName name="FCode" hidden="1">#REF!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S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Srv" hidden="1">#REF!</definedName>
    <definedName name="FDP_151_1_aUrv" hidden="1">#REF!</definedName>
    <definedName name="FDP_152_1_aSrv" hidden="1">#REF!</definedName>
    <definedName name="FDP_153_1_aUrv" hidden="1">#REF!</definedName>
    <definedName name="FDP_154_1_aSrv" hidden="1">#REF!</definedName>
    <definedName name="FDP_155_1_aUrv" hidden="1">#REF!</definedName>
    <definedName name="FDP_156_1_aSrv" hidden="1">#REF!</definedName>
    <definedName name="FDP_157_1_aUrv" hidden="1">#REF!</definedName>
    <definedName name="FDP_158_1_aSrv" hidden="1">#REF!</definedName>
    <definedName name="FDP_158_1_aUrv" hidden="1">#REF!</definedName>
    <definedName name="FDP_159_1_aUrv" hidden="1">#REF!</definedName>
    <definedName name="FDP_16_1_aUrv" hidden="1">#REF!</definedName>
    <definedName name="FDP_160_1_aSrv" hidden="1">#REF!</definedName>
    <definedName name="FDP_160_1_aUrv" hidden="1">#REF!</definedName>
    <definedName name="FDP_161_1_aDrv" hidden="1">#REF!</definedName>
    <definedName name="FDP_161_1_aUrv" hidden="1">#REF!</definedName>
    <definedName name="FDP_162_1_aDrv" hidden="1">#REF!</definedName>
    <definedName name="FDP_163_1_aDrv" hidden="1">#REF!</definedName>
    <definedName name="FDP_164_1_aDrv" hidden="1">#REF!</definedName>
    <definedName name="FDP_165_1_aD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Urv" hidden="1">#REF!</definedName>
    <definedName name="FDP_169_1_aDrv" hidden="1">#REF!</definedName>
    <definedName name="FDP_17_1_aUrv" hidden="1">#REF!</definedName>
    <definedName name="FDP_170_1_aDrv" hidden="1">#REF!</definedName>
    <definedName name="FDP_170_1_aUrv" hidden="1">#REF!</definedName>
    <definedName name="FDP_171_1_aD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Urv" hidden="1">#REF!</definedName>
    <definedName name="FDP_175_1_aUrv" hidden="1">#REF!</definedName>
    <definedName name="FDP_176_1_aUrv" hidden="1">#REF!</definedName>
    <definedName name="FDP_177_1_aUrv" hidden="1">#REF!</definedName>
    <definedName name="FDP_178_1_aUrv" hidden="1">#REF!</definedName>
    <definedName name="FDP_179_1_aUrv" hidden="1">#REF!</definedName>
    <definedName name="FDP_18_1_aUrv" hidden="1">#REF!</definedName>
    <definedName name="FDP_180_1_aUdv" hidden="1">#REF!</definedName>
    <definedName name="FDP_180_1_aUrv" hidden="1">#REF!</definedName>
    <definedName name="FDP_181_1_aUdv" hidden="1">#REF!</definedName>
    <definedName name="FDP_181_1_aUrv" hidden="1">#REF!</definedName>
    <definedName name="FDP_182_1_aUdv" hidden="1">#REF!</definedName>
    <definedName name="FDP_183_1_aUdv" hidden="1">#REF!</definedName>
    <definedName name="FDP_184_1_aUd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_1_aUr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6_1aUdv1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Drv" hidden="1">#REF!</definedName>
    <definedName name="FDP_23_1_aU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9_1_aDrv" hidden="1">#REF!</definedName>
    <definedName name="FDP_29_1_aUrv" hidden="1">#REF!</definedName>
    <definedName name="FDP_3_1_aUrv" hidden="1">#REF!</definedName>
    <definedName name="FDP_30_1_aDrv" hidden="1">#REF!</definedName>
    <definedName name="FDP_30_1_aUrv" hidden="1">#REF!</definedName>
    <definedName name="FDP_31_1_aDrv" hidden="1">#REF!</definedName>
    <definedName name="FDP_31_1_aUrv" hidden="1">#REF!</definedName>
    <definedName name="FDP_32_1_aUrv" hidden="1">#REF!</definedName>
    <definedName name="FDP_33_1_aUrv" hidden="1">#REF!</definedName>
    <definedName name="FDP_34_1_aUrv" hidden="1">#REF!</definedName>
    <definedName name="FDP_35_1_aSrv" hidden="1">#REF!</definedName>
    <definedName name="FDP_35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Srv" hidden="1">#REF!</definedName>
    <definedName name="FDP_42_1_aDrv" hidden="1">#REF!</definedName>
    <definedName name="FDP_42_1_aSrv" hidden="1">#REF!</definedName>
    <definedName name="FDP_43_1_aDrv" hidden="1">#REF!</definedName>
    <definedName name="FDP_43_1_aUrv" hidden="1">#REF!</definedName>
    <definedName name="FDP_44_1_aDrv" hidden="1">#REF!</definedName>
    <definedName name="FDP_44_1_aUrv" hidden="1">#REF!</definedName>
    <definedName name="FDP_45_1_aDrv" hidden="1">#REF!</definedName>
    <definedName name="FDP_45_1_aUrv" hidden="1">#REF!</definedName>
    <definedName name="FDP_46_1_aDrv" hidden="1">#REF!</definedName>
    <definedName name="FDP_46_1_aUrv" hidden="1">#REF!</definedName>
    <definedName name="FDP_47_1_aDrv" hidden="1">#REF!</definedName>
    <definedName name="FDP_47_1_aUrv" hidden="1">#REF!</definedName>
    <definedName name="FDP_48_1_aDrv" hidden="1">#REF!</definedName>
    <definedName name="FDP_48_1_aSrv" hidden="1">#REF!</definedName>
    <definedName name="FDP_49_1_aDrv" hidden="1">#REF!</definedName>
    <definedName name="FDP_49_1_aUrv" hidden="1">#REF!</definedName>
    <definedName name="FDP_5_1_aUrv" hidden="1">#REF!</definedName>
    <definedName name="FDP_50_1_aDrv" hidden="1">#REF!</definedName>
    <definedName name="FDP_50_1_aUrv" hidden="1">#REF!</definedName>
    <definedName name="FDP_51_1_aDrv" hidden="1">#REF!</definedName>
    <definedName name="FDP_51_1_aUrv" hidden="1">#REF!</definedName>
    <definedName name="FDP_52_1_aDrv" hidden="1">#REF!</definedName>
    <definedName name="FDP_52_1_aUrv" hidden="1">#REF!</definedName>
    <definedName name="FDP_53_1_aDrv" hidden="1">#REF!</definedName>
    <definedName name="FDP_53_1_aUr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Srv" hidden="1">#REF!</definedName>
    <definedName name="FDP_61_1_aUrv" hidden="1">#REF!</definedName>
    <definedName name="FDP_62_1_aSrv" hidden="1">#REF!</definedName>
    <definedName name="FDP_62_1_aUrv" hidden="1">#REF!</definedName>
    <definedName name="FDP_63_1_aUrv" hidden="1">#REF!</definedName>
    <definedName name="FDP_64_1_aSrv" hidden="1">#REF!</definedName>
    <definedName name="FDP_64_1_aUrv" hidden="1">#REF!</definedName>
    <definedName name="FDP_65_1_aSrv" hidden="1">#REF!</definedName>
    <definedName name="FDP_65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Drv" hidden="1">#REF!</definedName>
    <definedName name="FDP_70_1_aUrv" hidden="1">#REF!</definedName>
    <definedName name="FDP_71_1_aUrv" hidden="1">#REF!</definedName>
    <definedName name="FDP_72_1_aDrv" hidden="1">#REF!</definedName>
    <definedName name="FDP_72_1_aUrv" hidden="1">#REF!</definedName>
    <definedName name="FDP_73_1_aUrv" hidden="1">#REF!</definedName>
    <definedName name="FDP_74_1_aDdv" hidden="1">#REF!</definedName>
    <definedName name="FDP_74_1_aUrv" hidden="1">#REF!</definedName>
    <definedName name="FDP_75_1_aSrv" hidden="1">#REF!</definedName>
    <definedName name="FDP_75_1_aUrv" hidden="1">#REF!</definedName>
    <definedName name="FDP_76_1_aUrv" hidden="1">#REF!</definedName>
    <definedName name="FDP_77_1_aUrv" hidden="1">#REF!</definedName>
    <definedName name="FDP_78_1_aUrv" hidden="1">#REF!</definedName>
    <definedName name="FDP_79_1_aUrv" hidden="1">#REF!</definedName>
    <definedName name="FDP_8_1_aDrv" hidden="1">#REF!</definedName>
    <definedName name="FDP_80_1_aUrv" hidden="1">#REF!</definedName>
    <definedName name="FDP_81_1_aSrv" hidden="1">#REF!</definedName>
    <definedName name="FDP_82_1_aUrv" hidden="1">#REF!</definedName>
    <definedName name="FDP_83_1_aSrv" hidden="1">#REF!</definedName>
    <definedName name="FDP_84_1_aUrv" hidden="1">#REF!</definedName>
    <definedName name="FDP_85_1_aUrv" hidden="1">#REF!</definedName>
    <definedName name="FDP_86_1_aUrv" hidden="1">#REF!</definedName>
    <definedName name="FDP_87_1_aSrv" hidden="1">#REF!</definedName>
    <definedName name="FDP_87_1_aUrv" hidden="1">#REF!</definedName>
    <definedName name="FDP_87_1_rUrv" hidden="1">#REF!</definedName>
    <definedName name="FDP_88_1_aUrv" hidden="1">#REF!</definedName>
    <definedName name="FDP_89_1_aSrv" hidden="1">#REF!</definedName>
    <definedName name="FDP_89_1_aUrv" hidden="1">#REF!</definedName>
    <definedName name="FDP_9_1_aDrv" hidden="1">#REF!</definedName>
    <definedName name="FDP_90_1_aUrv" hidden="1">#REF!</definedName>
    <definedName name="FDP_91_1_aUrv" hidden="1">#REF!</definedName>
    <definedName name="FDP_92_1_aSrv" hidden="1">#REF!</definedName>
    <definedName name="FDP_93_1_aD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S" hidden="1">{"bs",#N/A,FALSE,"SCF"}</definedName>
    <definedName name="fdsa" hidden="1">{"'Standalone List Price Trends'!$A$1:$X$56"}</definedName>
    <definedName name="fdsa_1" hidden="1">{"'Standalone List Price Trends'!$A$1:$X$56"}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 hidden="1">{#N/A,#N/A,FALSE,"2003 Est";#N/A,#N/A,FALSE,"2003 Pr";#N/A,#N/A,FALSE,"2003 Plan"}</definedName>
    <definedName name="ffff" hidden="1">{"bs",#N/A,FALSE,"SCF"}</definedName>
    <definedName name="ffffff" hidden="1">{"budget992000 capex",#N/A,FALSE,"Celtel alternative 6"}</definedName>
    <definedName name="fffffffffff" hidden="1">{"'Standalone List Price Trends'!$A$1:$X$56"}</definedName>
    <definedName name="fffffffffff_1" hidden="1">{"'Standalone List Price Trends'!$A$1:$X$56"}</definedName>
    <definedName name="fg" hidden="1">{#N/A,#N/A,FALSE,"Aging Summary";#N/A,#N/A,FALSE,"Ratio Analysis";#N/A,#N/A,FALSE,"Test 120 Day Accts";#N/A,#N/A,FALSE,"Tickmarks"}</definedName>
    <definedName name="fgsg" hidden="1">{"consolidated",#N/A,FALSE,"Sheet1";"cms",#N/A,FALSE,"Sheet1";"fse",#N/A,FALSE,"Sheet1"}</definedName>
    <definedName name="FIELD6" hidden="1">{"MESROS",#N/A,FALSE,"ROS";"MESOFF",#N/A,FALSE,"OFF";"MESBEA",#N/A,FALSE,"BEA";"MESCOF",#N/A,FALSE,"COF";"MESTEL",#N/A,FALSE,"TEL";"MESCON",#N/A,FALSE,"CON";"MESINT",#N/A,FALSE,"INT"}</definedName>
    <definedName name="FIELD6A" hidden="1">{"MESROS",#N/A,FALSE,"ROS";"MESOFF",#N/A,FALSE,"OFF";"MESBEA",#N/A,FALSE,"BEA";"MESCOF",#N/A,FALSE,"COF";"MESTEL",#N/A,FALSE,"TEL";"MESCON",#N/A,FALSE,"CON";"MESINT",#N/A,FALSE,"INT"}</definedName>
    <definedName name="File.Type" hidden="1">#REF!</definedName>
    <definedName name="Fill2" hidden="1">#REF!</definedName>
    <definedName name="financials" hidden="1">{"PAGE1",#N/A,FALSE,"BID (3)";"PAGE2",#N/A,FALSE,"BID (3)"}</definedName>
    <definedName name="finres" hidden="1">#REF!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ootnoteDefaults" hidden="1">{1;TRUE;5;"Times New Roman";FALSE;FALSE;TRUE;18;8;-4.5;-4;1;2;2;1;TRUE;5}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XDCF" hidden="1">{#N/A,#N/A,FALSE,"Sheet1"}</definedName>
    <definedName name="FP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P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sd" hidden="1">#REF!</definedName>
    <definedName name="fsfs" hidden="1">{#N/A,#N/A,FALSE,"Calc";#N/A,#N/A,FALSE,"Sensitivity";#N/A,#N/A,FALSE,"LT Earn.Dil.";#N/A,#N/A,FALSE,"Dil. AVP"}</definedName>
    <definedName name="fssdf" hidden="1">REPT(#REF!,4)&amp;#REF!&amp;REPT(#REF!,2)&amp;#REF!&amp;REPT(#REF!,2)&amp;" "&amp;REPT(#REF!,2)&amp;#REF!&amp;REPT(#REF!,2)&amp;#REF!&amp;REPT(#REF!,2)</definedName>
    <definedName name="fuelco_wrn.test1." hidden="1">{"Income Statement",#N/A,FALSE,"CFMODEL";"Balance Sheet",#N/A,FALSE,"CFMODEL"}</definedName>
    <definedName name="fuelco_wrn.test2." hidden="1">{"SourcesUses",#N/A,TRUE,"CFMODEL";"TransOverview",#N/A,TRUE,"CFMODEL"}</definedName>
    <definedName name="fuelco_wrn.test3." hidden="1">{"SourcesUses",#N/A,TRUE,#N/A;"TransOverview",#N/A,TRUE,"CFMODEL"}</definedName>
    <definedName name="fuelco_wrn.test4." hidden="1">{"SourcesUses",#N/A,TRUE,"FundsFlow";"TransOverview",#N/A,TRUE,"FundsFlow"}</definedName>
    <definedName name="fxgn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G_F0" hidden="1">#REF!</definedName>
    <definedName name="GA" hidden="1">{#N/A,#N/A,FALSE,"Job Sched"}</definedName>
    <definedName name="genco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genco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ggg" hidden="1">{#N/A,#N/A,FALSE,"A"}</definedName>
    <definedName name="ggggg" hidden="1">{"budget992000_customers",#N/A,FALSE,"Celtel alternative 6"}</definedName>
    <definedName name="ggggggg" hidden="1">{"budget992000 profit and loss",#N/A,FALSE,"Celtel alternative 6"}</definedName>
    <definedName name="ghi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gilb.wrn.test2." hidden="1">{"SourcesUses",#N/A,TRUE,"CFMODEL";"TransOverview",#N/A,TRUE,"CFMODEL"}</definedName>
    <definedName name="gilb.wrn.test3." hidden="1">{"SourcesUses",#N/A,TRUE,#N/A;"TransOverview",#N/A,TRUE,"CFMODEL"}</definedName>
    <definedName name="gilb.wrn.test4." hidden="1">{"SourcesUses",#N/A,TRUE,"FundsFlow";"TransOverview",#N/A,TRUE,"FundsFlow"}</definedName>
    <definedName name="gilb_wrn.test1" hidden="1">{"Income Statement",#N/A,FALSE,"CFMODEL";"Balance Sheet",#N/A,FALSE,"CFMODEL"}</definedName>
    <definedName name="gjhfg" hidden="1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rossnetdebt" hidden="1">#REF!</definedName>
    <definedName name="h" hidden="1">{"'Standalone List Price Trends'!$A$1:$X$56"}</definedName>
    <definedName name="h_1" hidden="1">{"'Standalone List Price Trends'!$A$1:$X$56"}</definedName>
    <definedName name="ha" hidden="1">{#N/A,#N/A,FALSE,"Budget96 Revised"}</definedName>
    <definedName name="help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help1" hidden="1">{"Capex by project",#N/A,FALSE,"Capex by Project"}</definedName>
    <definedName name="help2" hidden="1">{"Capex by project",#N/A,FALSE,"Capex by Project"}</definedName>
    <definedName name="help3" hidden="1">{"Capex by project",#N/A,FALSE,"Capex by Project"}</definedName>
    <definedName name="help9999" hidden="1">{"Capex by project",#N/A,FALSE,"Capex by Project"}</definedName>
    <definedName name="helpcagla" hidden="1">{"Capex by project",#N/A,FALSE,"Capex by Project"}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h" hidden="1">{#N/A,#N/A,FALSE,"TOTAL mtd";#N/A,#N/A,FALSE,"BSE mtd";#N/A,#N/A,FALSE,"BSS mtd";#N/A,#N/A,FALSE,"TDE mtd";#N/A,#N/A,FALSE,"TDS mtd";#N/A,#N/A,FALSE,"FA mtd";#N/A,#N/A,FALSE,"TIS mtd";#N/A,#N/A,FALSE,"SEC mtd";#N/A,#N/A,FALSE,"SND mtd";#N/A,#N/A,FALSE,"NC mtd";#N/A,#N/A,FALSE,"MT&amp;C BS mtd";#N/A,#N/A,FALSE,"OT BS mtd";#N/A,#N/A,FALSE,"EM mtd";#N/A,#N/A,FALSE,"WI mtd";#N/A,#N/A,FALSE,"MT&amp;C TD mtd";#N/A,#N/A,FALSE,"OT TD mtd";#N/A,#N/A,FALSE,"Sales mtd";#N/A,#N/A,FALSE,"Orders mtd"}</definedName>
    <definedName name="hhh" hidden="1">#REF!</definedName>
    <definedName name="hhhh" hidden="1">{#N/A,#N/A,FALSE,"MAY";#N/A,#N/A,FALSE,"Q2";#N/A,#N/A,FALSE,"YTD"}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iddenRows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RolledForward" hidden="1">FALSE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dePage" hidden="1">1252</definedName>
    <definedName name="HTML_Control" hidden="1">{"'Standalone List Price Trends'!$A$1:$X$56"}</definedName>
    <definedName name="HTML_Control2" hidden="1">{"'action plan'!$D$13"}</definedName>
    <definedName name="HTML_Description" hidden="1">""</definedName>
    <definedName name="HTML_Email" hidden="1">""</definedName>
    <definedName name="HTML_Header" hidden="1">"Standalone List Price Trends"</definedName>
    <definedName name="HTML_LastUpdate" hidden="1">"3/5/98"</definedName>
    <definedName name="HTML_LineAfter" hidden="1">FALSE</definedName>
    <definedName name="HTML_LineBefore" hidden="1">FALSE</definedName>
    <definedName name="HTML_Name" hidden="1">"Kevin Mitchell"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"C:\Kevin's Data\SW$\SW$SVC HTML\Strends.htm"</definedName>
    <definedName name="HTML_PathFileMac" hidden="1">"Macintosh HD:Web Site “~adamodar”:pc:datasets:MyHTML.html"</definedName>
    <definedName name="HTML_PathTemplate" hidden="1">"H:\Intranet\exchrate.htm"</definedName>
    <definedName name="HTML_Title" hidden="1">"Switch Prices 03-98 xl97"</definedName>
    <definedName name="HTML1_1" hidden="1">"'[CHARTBK.XLS]OH Summary'!$A$10:$I$34"</definedName>
    <definedName name="HTML1_10" hidden="1">""</definedName>
    <definedName name="HTML1_11" hidden="1">1</definedName>
    <definedName name="HTML1_12" hidden="1">"C:\EXCELDTA\OEL\FY97 Expense Actuals\MyHTML.htm"</definedName>
    <definedName name="HTML1_2" hidden="1">1</definedName>
    <definedName name="HTML1_5" hidden="1">""</definedName>
    <definedName name="HTML1_6" hidden="1">-4146</definedName>
    <definedName name="HTML1_7" hidden="1">-4146</definedName>
    <definedName name="HTML1_8" hidden="1">"12/11/96"</definedName>
    <definedName name="HTMLCount" hidden="1">1</definedName>
    <definedName name="HUh" hidden="1">{"'Standalone List Price Trends'!$A$1:$X$56"}</definedName>
    <definedName name="HUh_1" hidden="1">{"'Standalone List Price Trends'!$A$1:$X$56"}</definedName>
    <definedName name="ii" hidden="1">#REF!</definedName>
    <definedName name="iiiii" hidden="1">{#N/A,#N/A,FALSE,"Calc";#N/A,#N/A,FALSE,"Sensitivity";#N/A,#N/A,FALSE,"LT Earn.Dil.";#N/A,#N/A,FALSE,"Dil. AVP"}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"MGR New Detailed Rolling IncStmt_20180117_12_00_36_000.xls"</definedName>
    <definedName name="INFO_REPORT_CODE" hidden="1">"S500-AI01-1-2"</definedName>
    <definedName name="INFO_REPORT_ID" hidden="1">"9"</definedName>
    <definedName name="INFO_REPORT_NAME" hidden="1">"MGR New Detailed Rolling IncStmt"</definedName>
    <definedName name="INFO_RUN_USER" hidden="1">""</definedName>
    <definedName name="INFO_RUN_WORKSTATION" hidden="1">"MPCRMDV1"</definedName>
    <definedName name="Intang.Lead" hidden="1">{#N/A,#N/A,FALSE,"Income";#N/A,#N/A,FALSE,"Cost of Goods Sold";#N/A,#N/A,FALSE,"Other Costs";#N/A,#N/A,FALSE,"Other Income";#N/A,#N/A,FALSE,"Taxes";#N/A,#N/A,FALSE,"Other Deductions";#N/A,#N/A,FALSE,"Compensation of Officers"}</definedName>
    <definedName name="IntangLead" hidden="1">{#N/A,#N/A,FALSE,"Income";#N/A,#N/A,FALSE,"Cost of Goods Sold";#N/A,#N/A,FALSE,"Other Costs";#N/A,#N/A,FALSE,"Other Income";#N/A,#N/A,FALSE,"Taxes";#N/A,#N/A,FALSE,"Other Deductions";#N/A,#N/A,FALSE,"Compensation of Officers"}</definedName>
    <definedName name="Interco2" hidden="1">{#N/A,#N/A,FALSE,"Job Sched"}</definedName>
    <definedName name="IntroPrintArea" hidden="1">#REF!</definedName>
    <definedName name="invcap" hidden="1">#REF!</definedName>
    <definedName name="invcap2" hidden="1">#REF!</definedName>
    <definedName name="ip" hidden="1">{"'Standalone List Price Trends'!$A$1:$X$56"}</definedName>
    <definedName name="ip_1" hidden="1">{"'Standalone List Price Trends'!$A$1:$X$56"}</definedName>
    <definedName name="ipcc" hidden="1">{"'Standalone List Price Trends'!$A$1:$X$56"}</definedName>
    <definedName name="ipcc_1" hidden="1">{"'Standalone List Price Trends'!$A$1:$X$56"}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ING_STANDARD_CIQ_COL" hidden="1">"c11739"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"c2108"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CM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BANK_OVER_TOTAL" hidden="1">"c24684"</definedName>
    <definedName name="IQ_AGG_BANK_SHARES" hidden="1">"c24686"</definedName>
    <definedName name="IQ_AGG_BANK_VALUE" hidden="1">"c24685"</definedName>
    <definedName name="IQ_AGG_COMPANY_FOUNDATION_OVER_TOTAL" hidden="1">"c13769"</definedName>
    <definedName name="IQ_AGG_COMPANY_FOUNDATION_SHARES" hidden="1">"c13783"</definedName>
    <definedName name="IQ_AGG_COMPANY_FOUNDATION_VALUE" hidden="1">"c13776"</definedName>
    <definedName name="IQ_AGG_CORPORATE_OVER_TOTAL" hidden="1">"c13767"</definedName>
    <definedName name="IQ_AGG_CORPORATE_SHARES" hidden="1">"c13781"</definedName>
    <definedName name="IQ_AGG_CORPORATE_VALUE" hidden="1">"c13774"</definedName>
    <definedName name="IQ_AGG_ENDOWMENT_OVER_TOTAL" hidden="1">"c24678"</definedName>
    <definedName name="IQ_AGG_ENDOWMENT_SHARES" hidden="1">"c24680"</definedName>
    <definedName name="IQ_AGG_ENDOWMENT_VALUE" hidden="1">"c24679"</definedName>
    <definedName name="IQ_AGG_ESOP_OVER_TOTAL" hidden="1">"c13768"</definedName>
    <definedName name="IQ_AGG_ESOP_SHARES" hidden="1">"c13782"</definedName>
    <definedName name="IQ_AGG_ESOP_VALUE" hidden="1">"c13775"</definedName>
    <definedName name="IQ_AGG_FAMILY_OVER_TOTAL" hidden="1">"c24687"</definedName>
    <definedName name="IQ_AGG_FAMILY_SHARES" hidden="1">"c24689"</definedName>
    <definedName name="IQ_AGG_FAMILY_VALUE" hidden="1">"c24688"</definedName>
    <definedName name="IQ_AGG_FOUNDATION_SHARES" hidden="1">"c13783"</definedName>
    <definedName name="IQ_AGG_FOUNDATION_VALUE" hidden="1">"c13776"</definedName>
    <definedName name="IQ_AGG_HEDGEFUND_OVER_TOTAL" hidden="1">"c13771"</definedName>
    <definedName name="IQ_AGG_HEDGEFUND_SHARES" hidden="1">"c13785"</definedName>
    <definedName name="IQ_AGG_HEDGEFUND_VALUE" hidden="1">"c13778"</definedName>
    <definedName name="IQ_AGG_INSIDER_OVER_TOTAL" hidden="1">"c1581"</definedName>
    <definedName name="IQ_AGG_INSIDER_SHARES" hidden="1">"c13780"</definedName>
    <definedName name="IQ_AGG_INSIDER_VALUE" hidden="1">"c13773"</definedName>
    <definedName name="IQ_AGG_INSTITUTION_HEDGEFUND_OVER_TOTAL" hidden="1">"c24711"</definedName>
    <definedName name="IQ_AGG_INSTITUTION_HEDGEFUND_SHARES" hidden="1">"c24713"</definedName>
    <definedName name="IQ_AGG_INSTITUTION_HEDGEFUND_VALUE" hidden="1">"c24712"</definedName>
    <definedName name="IQ_AGG_INSTITUTION_SOVEREIGN_OVER_TOTAL" hidden="1">"c24717"</definedName>
    <definedName name="IQ_AGG_INSTITUTION_SOVEREIGN_SHARES" hidden="1">"c24719"</definedName>
    <definedName name="IQ_AGG_INSTITUTION_SOVEREIGN_VALUE" hidden="1">"c24718"</definedName>
    <definedName name="IQ_AGG_INSTITUTION_UNCLASSIFIED_OVER_TOTAL" hidden="1">"c24696"</definedName>
    <definedName name="IQ_AGG_INSTITUTION_UNCLASSIFIED_SHARES" hidden="1">"c24698"</definedName>
    <definedName name="IQ_AGG_INSTITUTION_UNCLASSIFIED_VALUE" hidden="1">"c24697"</definedName>
    <definedName name="IQ_AGG_INSTITUTION_VC_PE_OVER_TOTAL" hidden="1">"c24714"</definedName>
    <definedName name="IQ_AGG_INSTITUTION_VC_PE_SHARES" hidden="1">"c24716"</definedName>
    <definedName name="IQ_AGG_INSTITUTION_VC_PE_VALUE" hidden="1">"c24715"</definedName>
    <definedName name="IQ_AGG_INSTITUTIONAL_OVER_TOTAL" hidden="1">"c1580"</definedName>
    <definedName name="IQ_AGG_INSTITUTIONAL_SHARES" hidden="1">"c13779"</definedName>
    <definedName name="IQ_AGG_INSTITUTIONAL_VALUE" hidden="1">"c13772"</definedName>
    <definedName name="IQ_AGG_INSURANCE_OVER_TOTAL" hidden="1">"c24681"</definedName>
    <definedName name="IQ_AGG_INSURANCE_SHARES" hidden="1">"c24683"</definedName>
    <definedName name="IQ_AGG_INSURANCE_VALUE" hidden="1">"c24682"</definedName>
    <definedName name="IQ_AGG_MONEY_MANAGERS_OVER_TOTAL" hidden="1">"c24669"</definedName>
    <definedName name="IQ_AGG_MONEY_MANAGERS_SHARES" hidden="1">"c24671"</definedName>
    <definedName name="IQ_AGG_MONEY_MANAGERS_VALUE" hidden="1">"c24670"</definedName>
    <definedName name="IQ_AGG_OTHER_OVER_TOTAL" hidden="1">"c13770"</definedName>
    <definedName name="IQ_AGG_OTHER_SHARES" hidden="1">"c13784"</definedName>
    <definedName name="IQ_AGG_OTHER_VALUE" hidden="1">"c13777"</definedName>
    <definedName name="IQ_AGG_PENSION_OVER_TOTAL" hidden="1">"c24675"</definedName>
    <definedName name="IQ_AGG_PENSION_SHARES" hidden="1">"c24677"</definedName>
    <definedName name="IQ_AGG_PENSION_VALUE" hidden="1">"c24676"</definedName>
    <definedName name="IQ_AGG_SOVEREIGN_OVER_TOTAL" hidden="1">"c24690"</definedName>
    <definedName name="IQ_AGG_SOVEREIGN_SHARES" hidden="1">"c24692"</definedName>
    <definedName name="IQ_AGG_SOVEREIGN_VALUE" hidden="1">"c24691"</definedName>
    <definedName name="IQ_AGG_STATE_OVER_TOTAL" hidden="1">"c24705"</definedName>
    <definedName name="IQ_AGG_STATE_SHARES" hidden="1">"c24707"</definedName>
    <definedName name="IQ_AGG_STATE_VALUE" hidden="1">"c24706"</definedName>
    <definedName name="IQ_AGG_STRATEGIC_CORP_PRIVATE_OVER_TOTAL" hidden="1">"c24702"</definedName>
    <definedName name="IQ_AGG_STRATEGIC_CORP_PRIVATE_SHARES" hidden="1">"c24704"</definedName>
    <definedName name="IQ_AGG_STRATEGIC_CORP_PRIVATE_VALUE" hidden="1">"c24703"</definedName>
    <definedName name="IQ_AGG_STRATEGIC_CORP_PUBLIC_OVER_TOTAL" hidden="1">"c24699"</definedName>
    <definedName name="IQ_AGG_STRATEGIC_CORP_PUBLIC_SHARES" hidden="1">"c24701"</definedName>
    <definedName name="IQ_AGG_STRATEGIC_CORP_PUBLIC_VALUE" hidden="1">"c24700"</definedName>
    <definedName name="IQ_AGG_STRATEGIC_HEDGEFUND_OVER_TOTAL" hidden="1">"c24726"</definedName>
    <definedName name="IQ_AGG_STRATEGIC_HEDGEFUND_SHARES" hidden="1">"c24728"</definedName>
    <definedName name="IQ_AGG_STRATEGIC_HEDGEFUND_VALUE" hidden="1">"c24727"</definedName>
    <definedName name="IQ_AGG_STRATEGIC_OVER_TOTAL" hidden="1">"c24708"</definedName>
    <definedName name="IQ_AGG_STRATEGIC_SHARES" hidden="1">"c24710"</definedName>
    <definedName name="IQ_AGG_STRATEGIC_SWF_OVER_TOTAL" hidden="1">"c24723"</definedName>
    <definedName name="IQ_AGG_STRATEGIC_SWF_SHARES" hidden="1">"c24725"</definedName>
    <definedName name="IQ_AGG_STRATEGIC_SWF_VALUE" hidden="1">"c24724"</definedName>
    <definedName name="IQ_AGG_STRATEGIC_VALUE" hidden="1">"c24709"</definedName>
    <definedName name="IQ_AGG_STRATEGIC_VC_PE_OVER_TOTAL" hidden="1">"c24720"</definedName>
    <definedName name="IQ_AGG_STRATEGIC_VC_PE_SHARES" hidden="1">"c24722"</definedName>
    <definedName name="IQ_AGG_STRATEGIC_VC_PE_VALUE" hidden="1">"c24721"</definedName>
    <definedName name="IQ_AGG_VC_PE_OVER_TOTAL" hidden="1">"c24672"</definedName>
    <definedName name="IQ_AGG_VC_PE_SHARES" hidden="1">"c24674"</definedName>
    <definedName name="IQ_AGG_VC_PE_VALUE" hidden="1">"c24673"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IRCRAFT_RENT" hidden="1">"c17872"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CM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CM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CM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CM" hidden="1">"c50"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" hidden="1">"c4983"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"IQ_BOOK_VALUE"</definedName>
    <definedName name="IQ_BOP" hidden="1">"c20560"</definedName>
    <definedName name="IQ_BOP_BALANCE_ON_CURRENT_ACCOUNT" hidden="1">"c20561"</definedName>
    <definedName name="IQ_BOP_BALANCE_ON_GOODS" hidden="1">"c20562"</definedName>
    <definedName name="IQ_BOP_BALANCE_ON_GOODS_SERVICES" hidden="1">"c20563"</definedName>
    <definedName name="IQ_BOP_BALANCE_ON_INCOME" hidden="1">"c20564"</definedName>
    <definedName name="IQ_BOP_BALANCE_ON_SERVICES" hidden="1">"c20565"</definedName>
    <definedName name="IQ_BOP_CAPITAL_TRANSACTION_NET" hidden="1">"c20566"</definedName>
    <definedName name="IQ_BOP_CURRENT_TRANSFER_GOVERNMENT_GRANTS" hidden="1">"c20567"</definedName>
    <definedName name="IQ_BOP_CURRENT_TRANSFER_GOVERNMENT_PENSIONS" hidden="1">"c20568"</definedName>
    <definedName name="IQ_BOP_CURRENT_TRANSFER_NET" hidden="1">"c20569"</definedName>
    <definedName name="IQ_BOP_CURRENT_TRANSFER_PRIVATE_TRANSFER" hidden="1">"c20570"</definedName>
    <definedName name="IQ_BOP_EXPORTS_AND_RECEIPTS" hidden="1">"c20571"</definedName>
    <definedName name="IQ_BOP_EXPORTS_GOODS" hidden="1">"c20572"</definedName>
    <definedName name="IQ_BOP_EXPORTS_GOODS_SERVICES" hidden="1">"c20573"</definedName>
    <definedName name="IQ_BOP_EXPORTS_SERVICES" hidden="1">"c20574"</definedName>
    <definedName name="IQ_BOP_EXPORTS_SERVICES_FARES" hidden="1">"c20575"</definedName>
    <definedName name="IQ_BOP_EXPORTS_SERVICES_GOVERNMENT_MISC" hidden="1">"c20576"</definedName>
    <definedName name="IQ_BOP_EXPORTS_SERVICES_MILITARY_SALES_CONTRACTS" hidden="1">"c20577"</definedName>
    <definedName name="IQ_BOP_EXPORTS_SERVICES_OTHER" hidden="1">"c20578"</definedName>
    <definedName name="IQ_BOP_EXPORTS_SERVICES_ROYALTIES" hidden="1">"c20579"</definedName>
    <definedName name="IQ_BOP_EXPORTS_SERVICES_TRANSPORTATION" hidden="1">"c20580"</definedName>
    <definedName name="IQ_BOP_EXPORTS_SERVICES_TRAVEL" hidden="1">"c20581"</definedName>
    <definedName name="IQ_BOP_FOREIGN_ASSETS" hidden="1">"c20582"</definedName>
    <definedName name="IQ_BOP_FOREIGN_ASSETS_OFFICIAL" hidden="1">"c20583"</definedName>
    <definedName name="IQ_BOP_FOREIGN_ASSETS_OFFICIAL_BANK_LIABILITIES" hidden="1">"c20584"</definedName>
    <definedName name="IQ_BOP_FOREIGN_ASSETS_OFFICIAL_GOVT_LIABILITIES" hidden="1">"c20585"</definedName>
    <definedName name="IQ_BOP_FOREIGN_ASSETS_OFFICIAL_GOVT_SECURITIES" hidden="1">"c20586"</definedName>
    <definedName name="IQ_BOP_FOREIGN_ASSETS_OFFICIAL_GOVT_SECURITIES_OTHER" hidden="1">"c20587"</definedName>
    <definedName name="IQ_BOP_FOREIGN_ASSETS_OFFICIAL_OTHER" hidden="1">"c20588"</definedName>
    <definedName name="IQ_BOP_FOREIGN_ASSETS_OFFICIAL_TREASURIES" hidden="1">"c20589"</definedName>
    <definedName name="IQ_BOP_FOREIGN_ASSETS_OTHER" hidden="1">"c20590"</definedName>
    <definedName name="IQ_BOP_FOREIGN_ASSETS_OTHER_BANK_LIABILITIES" hidden="1">"c20591"</definedName>
    <definedName name="IQ_BOP_FOREIGN_ASSETS_OTHER_CURRENCY" hidden="1">"c20592"</definedName>
    <definedName name="IQ_BOP_FOREIGN_ASSETS_OTHER_DIRECT_INVEST" hidden="1">"c20593"</definedName>
    <definedName name="IQ_BOP_FOREIGN_ASSETS_OTHER_LIABILITIES_TO_FOREIGNERS" hidden="1">"c20594"</definedName>
    <definedName name="IQ_BOP_FOREIGN_ASSETS_OTHER_SECURITIES" hidden="1">"c20595"</definedName>
    <definedName name="IQ_BOP_FOREIGN_ASSETS_OTHER_TREASURIES" hidden="1">"c20596"</definedName>
    <definedName name="IQ_BOP_IMPORTS_AND_PAYMENTS" hidden="1">"c20597"</definedName>
    <definedName name="IQ_BOP_IMPORTS_GOODS" hidden="1">"c20598"</definedName>
    <definedName name="IQ_BOP_IMPORTS_GOODS_SERVICES" hidden="1">"c20599"</definedName>
    <definedName name="IQ_BOP_IMPORTS_SERVICES" hidden="1">"c20600"</definedName>
    <definedName name="IQ_BOP_IMPORTS_SERVICES_DEF_EXPENDITURES" hidden="1">"c20601"</definedName>
    <definedName name="IQ_BOP_IMPORTS_SERVICES_FARES" hidden="1">"c20602"</definedName>
    <definedName name="IQ_BOP_IMPORTS_SERVICES_GOVERNMENT_MISC" hidden="1">"c20603"</definedName>
    <definedName name="IQ_BOP_IMPORTS_SERVICES_OTHER" hidden="1">"c20604"</definedName>
    <definedName name="IQ_BOP_IMPORTS_SERVICES_ROYALTIES" hidden="1">"c20605"</definedName>
    <definedName name="IQ_BOP_IMPORTS_SERVICES_TRANSPORTATION" hidden="1">"c20606"</definedName>
    <definedName name="IQ_BOP_IMPORTS_SERVICES_TRAVEL" hidden="1">"c20607"</definedName>
    <definedName name="IQ_BOP_PAYMENTS" hidden="1">"c20608"</definedName>
    <definedName name="IQ_BOP_PAYMENTS_DIRECT_INVEST" hidden="1">"c20609"</definedName>
    <definedName name="IQ_BOP_PAYMENTS_EMPLOYEE_COMPENSATION" hidden="1">"c20610"</definedName>
    <definedName name="IQ_BOP_PAYMENTS_FOREGN_OWNED_ASSETS" hidden="1">"c20611"</definedName>
    <definedName name="IQ_BOP_PAYMENTS_GOVT" hidden="1">"c20612"</definedName>
    <definedName name="IQ_BOP_PAYMENTS_OTHER" hidden="1">"c20613"</definedName>
    <definedName name="IQ_BOP_RECEIPTS" hidden="1">"c20614"</definedName>
    <definedName name="IQ_BOP_RECEIPTS_DIRECT_INVEST" hidden="1">"c20615"</definedName>
    <definedName name="IQ_BOP_RECEIPTS_EMPLOYEE_COMPENSATION" hidden="1">"c20616"</definedName>
    <definedName name="IQ_BOP_RECEIPTS_GOVT" hidden="1">"c20617"</definedName>
    <definedName name="IQ_BOP_RECEIPTS_OTHER" hidden="1">"c20618"</definedName>
    <definedName name="IQ_BOP_RECEIPTS_US_ASSETS_ABROAD" hidden="1">"c20619"</definedName>
    <definedName name="IQ_BOP_STATISTICAL_DISCREPANCY" hidden="1">"c20620"</definedName>
    <definedName name="IQ_BOP_US_ASSETS_ABROAD" hidden="1">"c20621"</definedName>
    <definedName name="IQ_BOP_US_GOVT_ASSETS" hidden="1">"c20622"</definedName>
    <definedName name="IQ_BOP_US_GOVT_ASSETS_FX" hidden="1">"c20623"</definedName>
    <definedName name="IQ_BOP_US_GOVT_ASSETS_US_CREDITS" hidden="1">"c20624"</definedName>
    <definedName name="IQ_BOP_US_GOVT_ASSETS_US_CREDITS_REPAYMENTS" hidden="1">"c20625"</definedName>
    <definedName name="IQ_BOP_US_PRIVATE_ASSETS" hidden="1">"c20626"</definedName>
    <definedName name="IQ_BOP_US_PRIVATE_ASSETS_CLAIMS_BANKS_BROKERS" hidden="1">"c20627"</definedName>
    <definedName name="IQ_BOP_US_PRIVATE_ASSETS_CLAIMS_ON_FOREIGNERS" hidden="1">"c20628"</definedName>
    <definedName name="IQ_BOP_US_PRIVATE_ASSETS_DIRECT_INVEST" hidden="1">"c20629"</definedName>
    <definedName name="IQ_BOP_US_PRIVATE_ASSETS_FOREIGN_SECURITIES" hidden="1">"c20630"</definedName>
    <definedName name="IQ_BOP_US_RESERVE_ASSETS" hidden="1">"c20631"</definedName>
    <definedName name="IQ_BOP_US_RESERVE_ASSETS_DRAWING_RIGHTS" hidden="1">"c20632"</definedName>
    <definedName name="IQ_BOP_US_RESERVE_ASSETS_FX" hidden="1">"c20633"</definedName>
    <definedName name="IQ_BOP_US_RESERVE_ASSETS_GOLD" hidden="1">"c20634"</definedName>
    <definedName name="IQ_BOP_US_RESERVE_ASSETS_IMF_RESERVES" hidden="1">"c20635"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CM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CM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CM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CM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CM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CM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CM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CM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" hidden="1">"c20636"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FTER_TAXES" hidden="1">"c20637"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TAXES" hidden="1">"c20638"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PI_YOY_PCT" hidden="1">"c20639"</definedName>
    <definedName name="IQ_CPI_YOY_PCT_FC" hidden="1">"c20640"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" hidden="1">"c20641"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GDP" hidden="1">"c20642"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CM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CM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CM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CM" hidden="1">"c248"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CM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CM" hidden="1">"c260"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CM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CM" hidden="1">"c288"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CM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CM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CM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"c147"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_CURRENT" hidden="1">"c17873"</definedName>
    <definedName name="IQ_DERIVATIVE_LIAB_NON_CURRENT" hidden="1">"c17874"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_TRADING_ASSETS" hidden="1">"c17875"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PAYMENT_TYPE" hidden="1">"c12752"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CIQ" hidden="1">"c12030"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" hidden="1">"c4831"</definedName>
    <definedName name="IQ_EBIT_GW_ACT_OR_EST_CIQ_COL" hidden="1">"c11478"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"c360"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hidden="1">"c368"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"c373"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CM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CM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MPLOYMENT_YOY" hidden="1">"c20643"</definedName>
    <definedName name="IQ_ENERGY_CRUDE_STOCK" hidden="1">"c20644"</definedName>
    <definedName name="IQ_ENERGY_FUEL_OIL_STOCK" hidden="1">"c20645"</definedName>
    <definedName name="IQ_ENERGY_GASOLINE_AVERAGE" hidden="1">"c20646"</definedName>
    <definedName name="IQ_ENERGY_GASOLINE_STOCK" hidden="1">"c20647"</definedName>
    <definedName name="IQ_ENERGY_PROPANE_STOCK" hidden="1">"c20648"</definedName>
    <definedName name="IQ_ENERGY_WTI_SPOT" hidden="1">"c20649"</definedName>
    <definedName name="IQ_ENTERPRISE_VALUE" hidden="1">"c84"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_CURRENCY_THOM" hidden="1">"c12484"</definedName>
    <definedName name="IQ_EPS_DET_EST_DATE_THOM" hidden="1">"c12235"</definedName>
    <definedName name="IQ_EPS_DET_EST_INCL_THOM" hidden="1">"c12367"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GUIDANCE" hidden="1">"c13495"</definedName>
    <definedName name="IQ_EPS_GROWTH_GUIDANCE_CIQ" hidden="1">"c32283"</definedName>
    <definedName name="IQ_EPS_GROWTH_GUIDANCE_CIQ_COL" hidden="1">"c32286"</definedName>
    <definedName name="IQ_EPS_GROWTH_HIGH_GUIDANCE" hidden="1">"c13496"</definedName>
    <definedName name="IQ_EPS_GROWTH_HIGH_GUIDANCE_CIQ" hidden="1">"c32284"</definedName>
    <definedName name="IQ_EPS_GROWTH_HIGH_GUIDANCE_CIQ_COL" hidden="1">"c32287"</definedName>
    <definedName name="IQ_EPS_GROWTH_LOW_GUIDANCE" hidden="1">"c13497"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"c12607"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CIQ_COL" hidden="1">"c11568"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"c4932"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CIQ" hidden="1">"c3674"</definedName>
    <definedName name="IQ_EST_ACT_FFO_SHARE_SHARE_REUT" hidden="1">"c3843"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CIQ" hidden="1">"c12016"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DIFF_CIQ_COL" hidden="1">"c11213"</definedName>
    <definedName name="IQ_EST_CASH_FLOW_SURPRISE_PERCENT" hidden="1">"c4161"</definedName>
    <definedName name="IQ_EST_CASH_FLOW_SURPRISE_PERCENT_CIQ" hidden="1">"c4573"</definedName>
    <definedName name="IQ_EST_CASH_FLOW_SURPRISE_PERCENT_CIQ_COL" hidden="1">"c11222"</definedName>
    <definedName name="IQ_EST_CASH_OPER_DIFF" hidden="1">"c4162"</definedName>
    <definedName name="IQ_EST_CASH_OPER_DIFF_CIQ" hidden="1">"c4574"</definedName>
    <definedName name="IQ_EST_CASH_OPER_DIFF_CIQ_COL" hidden="1">"c11223"</definedName>
    <definedName name="IQ_EST_CASH_OPER_SURPRISE_PERCENT" hidden="1">"c4248"</definedName>
    <definedName name="IQ_EST_CASH_OPER_SURPRISE_PERCENT_CIQ" hidden="1">"c4774"</definedName>
    <definedName name="IQ_EST_CASH_OPER_SURPRISE_PERCENT_CIQ_COL" hidden="1">"c11421"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DIFF_CIQ_COL" hidden="1">"c11448"</definedName>
    <definedName name="IQ_EST_DISTRIBUTABLE_CASH_GROWTH_1YR" hidden="1">"c4413"</definedName>
    <definedName name="IQ_EST_DISTRIBUTABLE_CASH_GROWTH_1YR_CIQ" hidden="1">"c4938"</definedName>
    <definedName name="IQ_EST_DISTRIBUTABLE_CASH_GROWTH_1YR_CIQ_COL" hidden="1">"c11585"</definedName>
    <definedName name="IQ_EST_DISTRIBUTABLE_CASH_GROWTH_2YR" hidden="1">"c4414"</definedName>
    <definedName name="IQ_EST_DISTRIBUTABLE_CASH_GROWTH_2YR_CIQ" hidden="1">"c4939"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" hidden="1">"c4940"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" hidden="1">"c4941"</definedName>
    <definedName name="IQ_EST_DISTRIBUTABLE_CASH_SEQ_GROWTH_Q_CIQ_COL" hidden="1">"c11588"</definedName>
    <definedName name="IQ_EST_DISTRIBUTABLE_CASH_SHARE_DIFF" hidden="1">"c4284"</definedName>
    <definedName name="IQ_EST_DISTRIBUTABLE_CASH_SHARE_DIFF_CIQ" hidden="1">"c4809"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" hidden="1">"c4944"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" hidden="1">"c4820"</definedName>
    <definedName name="IQ_EST_DISTRIBUTABLE_CASH_SURPRISE_PERCENT_CIQ_COL" hidden="1">"c11467"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DIFF_CIQ_COL" hidden="1">"c11476"</definedName>
    <definedName name="IQ_EST_EBIT_GW_SURPRISE_PERCENT" hidden="1">"c4313"</definedName>
    <definedName name="IQ_EST_EBIT_GW_SURPRISE_PERCENT_CIQ" hidden="1">"c4838"</definedName>
    <definedName name="IQ_EST_EBIT_GW_SURPRISE_PERCENT_CIQ_COL" hidden="1">"c11485"</definedName>
    <definedName name="IQ_EST_EBIT_SBC_DIFF" hidden="1">"c4314"</definedName>
    <definedName name="IQ_EST_EBIT_SBC_DIFF_CIQ" hidden="1">"c4839"</definedName>
    <definedName name="IQ_EST_EBIT_SBC_DIFF_CIQ_COL" hidden="1">"c11486"</definedName>
    <definedName name="IQ_EST_EBIT_SBC_GW_DIFF" hidden="1">"c4318"</definedName>
    <definedName name="IQ_EST_EBIT_SBC_GW_DIFF_CIQ" hidden="1">"c4843"</definedName>
    <definedName name="IQ_EST_EBIT_SBC_GW_DIFF_CIQ_COL" hidden="1">"c11490"</definedName>
    <definedName name="IQ_EST_EBIT_SBC_GW_SURPRISE_PERCENT" hidden="1">"c4327"</definedName>
    <definedName name="IQ_EST_EBIT_SBC_GW_SURPRISE_PERCENT_CIQ" hidden="1">"c4852"</definedName>
    <definedName name="IQ_EST_EBIT_SBC_GW_SURPRISE_PERCENT_CIQ_COL" hidden="1">"c11499"</definedName>
    <definedName name="IQ_EST_EBIT_SBC_SURPRISE_PERCENT" hidden="1">"c4333"</definedName>
    <definedName name="IQ_EST_EBIT_SBC_SURPRISE_PERCENT_CIQ" hidden="1">"c4858"</definedName>
    <definedName name="IQ_EST_EBIT_SBC_SURPRISE_PERCENT_CIQ_COL" hidden="1">"c11505"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DIFF_CIQ_COL" hidden="1">"c11507"</definedName>
    <definedName name="IQ_EST_EBITDA_SBC_SURPRISE_PERCENT" hidden="1">"c4344"</definedName>
    <definedName name="IQ_EST_EBITDA_SBC_SURPRISE_PERCENT_CIQ" hidden="1">"c4869"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DIFF_CIQ_COL" hidden="1">"c11520"</definedName>
    <definedName name="IQ_EST_EBT_SBC_GW_DIFF" hidden="1">"c4352"</definedName>
    <definedName name="IQ_EST_EBT_SBC_GW_DIFF_CIQ" hidden="1">"c4877"</definedName>
    <definedName name="IQ_EST_EBT_SBC_GW_DIFF_CIQ_COL" hidden="1">"c11524"</definedName>
    <definedName name="IQ_EST_EBT_SBC_GW_SURPRISE_PERCENT" hidden="1">"c4361"</definedName>
    <definedName name="IQ_EST_EBT_SBC_GW_SURPRISE_PERCENT_CIQ" hidden="1">"c4886"</definedName>
    <definedName name="IQ_EST_EBT_SBC_GW_SURPRISE_PERCENT_CIQ_COL" hidden="1">"c11533"</definedName>
    <definedName name="IQ_EST_EBT_SBC_SURPRISE_PERCENT" hidden="1">"c4367"</definedName>
    <definedName name="IQ_EST_EBT_SBC_SURPRISE_PERCENT_CIQ" hidden="1">"c4892"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DIFF_CIQ_COL" hidden="1">"c11546"</definedName>
    <definedName name="IQ_EST_EPS_SBC_GW_DIFF" hidden="1">"c4378"</definedName>
    <definedName name="IQ_EST_EPS_SBC_GW_DIFF_CIQ" hidden="1">"c4903"</definedName>
    <definedName name="IQ_EST_EPS_SBC_GW_DIFF_CIQ_COL" hidden="1">"c11550"</definedName>
    <definedName name="IQ_EST_EPS_SBC_GW_SURPRISE_PERCENT" hidden="1">"c4387"</definedName>
    <definedName name="IQ_EST_EPS_SBC_GW_SURPRISE_PERCENT_CIQ" hidden="1">"c4912"</definedName>
    <definedName name="IQ_EST_EPS_SBC_GW_SURPRISE_PERCENT_CIQ_COL" hidden="1">"c11559"</definedName>
    <definedName name="IQ_EST_EPS_SBC_SURPRISE_PERCENT" hidden="1">"c4393"</definedName>
    <definedName name="IQ_EST_EPS_SBC_SURPRISE_PERCENT_CIQ" hidden="1">"c4918"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DIFF_CIQ_COL" hidden="1">"c11605"</definedName>
    <definedName name="IQ_EST_FFO_ADJ_GROWTH_1YR" hidden="1">"c4421"</definedName>
    <definedName name="IQ_EST_FFO_ADJ_GROWTH_1YR_CIQ" hidden="1">"c4946"</definedName>
    <definedName name="IQ_EST_FFO_ADJ_GROWTH_1YR_CIQ_COL" hidden="1">"c11593"</definedName>
    <definedName name="IQ_EST_FFO_ADJ_GROWTH_2YR" hidden="1">"c4422"</definedName>
    <definedName name="IQ_EST_FFO_ADJ_GROWTH_2YR_CIQ" hidden="1">"c4947"</definedName>
    <definedName name="IQ_EST_FFO_ADJ_GROWTH_2YR_CIQ_COL" hidden="1">"c11594"</definedName>
    <definedName name="IQ_EST_FFO_ADJ_GROWTH_Q_1YR" hidden="1">"c4423"</definedName>
    <definedName name="IQ_EST_FFO_ADJ_GROWTH_Q_1YR_CIQ" hidden="1">"c4948"</definedName>
    <definedName name="IQ_EST_FFO_ADJ_GROWTH_Q_1YR_CIQ_COL" hidden="1">"c11595"</definedName>
    <definedName name="IQ_EST_FFO_ADJ_SEQ_GROWTH_Q" hidden="1">"c4424"</definedName>
    <definedName name="IQ_EST_FFO_ADJ_SEQ_GROWTH_Q_CIQ" hidden="1">"c4949"</definedName>
    <definedName name="IQ_EST_FFO_ADJ_SEQ_GROWTH_Q_CIQ_COL" hidden="1">"c11596"</definedName>
    <definedName name="IQ_EST_FFO_ADJ_SURPRISE_PERCENT" hidden="1">"c4442"</definedName>
    <definedName name="IQ_EST_FFO_ADJ_SURPRISE_PERCENT_CIQ" hidden="1">"c4967"</definedName>
    <definedName name="IQ_EST_FFO_ADJ_SURPRISE_PERCENT_CIQ_COL" hidden="1">"c11614"</definedName>
    <definedName name="IQ_EST_FFO_DIFF" hidden="1">"c1869"</definedName>
    <definedName name="IQ_EST_FFO_DIFF_CIQ" hidden="1">"c4969"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"c4950"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"c4951"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"c4952"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"c4953"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"c3721"</definedName>
    <definedName name="IQ_EST_FFO_SHARE_GROWTH_1YR" hidden="1">"c4425"</definedName>
    <definedName name="IQ_EST_FFO_SHARE_GROWTH_1YR_CIQ" hidden="1">"c3705"</definedName>
    <definedName name="IQ_EST_FFO_SHARE_GROWTH_2YR" hidden="1">"c4426"</definedName>
    <definedName name="IQ_EST_FFO_SHARE_GROWTH_2YR_CIQ" hidden="1">"c3706"</definedName>
    <definedName name="IQ_EST_FFO_SHARE_GROWTH_Q_1YR" hidden="1">"c4427"</definedName>
    <definedName name="IQ_EST_FFO_SHARE_GROWTH_Q_1YR_CIQ" hidden="1">"c3707"</definedName>
    <definedName name="IQ_EST_FFO_SHARE_SEQ_GROWTH_Q" hidden="1">"c4428"</definedName>
    <definedName name="IQ_EST_FFO_SHARE_SEQ_GROWTH_Q_CIQ" hidden="1">"c3708"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HARE_SURPRISE_PERCENT_CIQ" hidden="1">"c3722"</definedName>
    <definedName name="IQ_EST_FFO_SURPRISE_PERCENT" hidden="1">"c1870"</definedName>
    <definedName name="IQ_EST_FFO_SURPRISE_PERCENT_CIQ" hidden="1">"c4982"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DIFF_CIQ_COL" hidden="1">"c11632"</definedName>
    <definedName name="IQ_EST_MAINT_CAPEX_GROWTH_1YR" hidden="1">"c4429"</definedName>
    <definedName name="IQ_EST_MAINT_CAPEX_GROWTH_1YR_CIQ" hidden="1">"c4954"</definedName>
    <definedName name="IQ_EST_MAINT_CAPEX_GROWTH_1YR_CIQ_COL" hidden="1">"c11601"</definedName>
    <definedName name="IQ_EST_MAINT_CAPEX_GROWTH_2YR" hidden="1">"c4430"</definedName>
    <definedName name="IQ_EST_MAINT_CAPEX_GROWTH_2YR_CIQ" hidden="1">"c4955"</definedName>
    <definedName name="IQ_EST_MAINT_CAPEX_GROWTH_2YR_CIQ_COL" hidden="1">"c11602"</definedName>
    <definedName name="IQ_EST_MAINT_CAPEX_GROWTH_Q_1YR" hidden="1">"c4431"</definedName>
    <definedName name="IQ_EST_MAINT_CAPEX_GROWTH_Q_1YR_CIQ" hidden="1">"c4956"</definedName>
    <definedName name="IQ_EST_MAINT_CAPEX_GROWTH_Q_1YR_CIQ_COL" hidden="1">"c11603"</definedName>
    <definedName name="IQ_EST_MAINT_CAPEX_SEQ_GROWTH_Q" hidden="1">"c4432"</definedName>
    <definedName name="IQ_EST_MAINT_CAPEX_SEQ_GROWTH_Q_CIQ" hidden="1">"c4957"</definedName>
    <definedName name="IQ_EST_MAINT_CAPEX_SEQ_GROWTH_Q_CIQ_COL" hidden="1">"c11604"</definedName>
    <definedName name="IQ_EST_MAINT_CAPEX_SURPRISE_PERCENT" hidden="1">"c4465"</definedName>
    <definedName name="IQ_EST_MAINT_CAPEX_SURPRISE_PERCENT_CIQ" hidden="1">"c5003"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DIFF_CIQ_COL" hidden="1">"c11657"</definedName>
    <definedName name="IQ_EST_NI_SBC_GW_DIFF" hidden="1">"c4476"</definedName>
    <definedName name="IQ_EST_NI_SBC_GW_DIFF_CIQ" hidden="1">"c5014"</definedName>
    <definedName name="IQ_EST_NI_SBC_GW_DIFF_CIQ_COL" hidden="1">"c11661"</definedName>
    <definedName name="IQ_EST_NI_SBC_GW_SURPRISE_PERCENT" hidden="1">"c4485"</definedName>
    <definedName name="IQ_EST_NI_SBC_GW_SURPRISE_PERCENT_CIQ" hidden="1">"c5023"</definedName>
    <definedName name="IQ_EST_NI_SBC_GW_SURPRISE_PERCENT_CIQ_COL" hidden="1">"c11670"</definedName>
    <definedName name="IQ_EST_NI_SBC_SURPRISE_PERCENT" hidden="1">"c4491"</definedName>
    <definedName name="IQ_EST_NI_SBC_SURPRISE_PERCENT_CIQ" hidden="1">"c5029"</definedName>
    <definedName name="IQ_EST_NI_SBC_SURPRISE_PERCENT_CIQ_COL" hidden="1">"c11676"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CIQ" hidden="1">"c12017"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CIQ" hidden="1">"c12018"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" hidden="1">"c5053"</definedName>
    <definedName name="IQ_EST_RECURRING_PROFIT_SHARE_SURPRISE_PERCENT_CIQ_COL" hidden="1">"c11700"</definedName>
    <definedName name="IQ_EST_REUT_ACT_CAPEX" hidden="1">"c3975"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IMBURSE_RENTAL_REVENUE" hidden="1">"c16064"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"Bigdog"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_USD" hidden="1">"c20650"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ATEMS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CM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_INFLOWS" hidden="1">"c20651"</definedName>
    <definedName name="IQ_FDI_NET" hidden="1">"c20652"</definedName>
    <definedName name="IQ_FDI_OUTFLOWS" hidden="1">"c20653"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"c3668"</definedName>
    <definedName name="IQ_FFO_EST_CIQ_COL" hidden="1">"c11617"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"c3670"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" hidden="1">"c3671"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"c3669"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"c3672"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CIQ" hidden="1">"c3668"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"c4448"</definedName>
    <definedName name="IQ_FFO_SHARE_HIGH_EST_CIQ" hidden="1">"c3670"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"c4449"</definedName>
    <definedName name="IQ_FFO_SHARE_LOW_EST_CIQ" hidden="1">"c3671"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"c4450"</definedName>
    <definedName name="IQ_FFO_SHARE_MEDIAN_EST_CIQ" hidden="1">"c3669"</definedName>
    <definedName name="IQ_FFO_SHARE_NUM_EST" hidden="1">"c4451"</definedName>
    <definedName name="IQ_FFO_SHARE_NUM_EST_CIQ" hidden="1">"c3672"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HARE_STDDEV_EST_CIQ" hidden="1">"c3673"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BALANCE_PCT_GDP" hidden="1">"c20654"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IXED_RATE_DEBT" hidden="1">"c17894"</definedName>
    <definedName name="IQ_FIXED_RATE_DEBT_PCT" hidden="1">"c18008"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REE_OPERATING_CASH_FLOW_DEBT_CSD" hidden="1">"c27718"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X_RATE" hidden="1">"c20655"</definedName>
    <definedName name="IQ_FX_RATE_FC" hidden="1">"c20656"</definedName>
    <definedName name="IQ_FX_RESERVES" hidden="1">"c20657"</definedName>
    <definedName name="IQ_FX_RESERVES_PCT_GDP" hidden="1">"c20658"</definedName>
    <definedName name="IQ_FX_RESERVES_PCT_GDP_FC" hidden="1">"c20659"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CM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CM" hidden="1">"c454"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CM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CM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CM" hidden="1">"c1464"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CM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CAPITAL_TRANSFER_PAYMENTS" hidden="1">"c20660"</definedName>
    <definedName name="IQ_GOVT_CAPITAL_TRANSFER_RECEIPTS" hidden="1">"c20661"</definedName>
    <definedName name="IQ_GOVT_CONSUM_FIXED_CAPITAL" hidden="1">"c20663"</definedName>
    <definedName name="IQ_GOVT_CONTRIBUTIONS_SOCIAL_INSURANCE" hidden="1">"c20664"</definedName>
    <definedName name="IQ_GOVT_CURRENT_EXPENDITURES" hidden="1">"c20665"</definedName>
    <definedName name="IQ_GOVT_CURRENT_RECEIPTS" hidden="1">"c20666"</definedName>
    <definedName name="IQ_GOVT_ENTERPRISE_SURPLUS" hidden="1">"c20667"</definedName>
    <definedName name="IQ_GOVT_EXPENDITURES" hidden="1">"c20668"</definedName>
    <definedName name="IQ_GOVT_EXPENDITURES_FEDERAL" hidden="1">"c20669"</definedName>
    <definedName name="IQ_GOVT_GROSS_INVEST" hidden="1">"c20673"</definedName>
    <definedName name="IQ_GOVT_GROSS_INVEST_EQUIP" hidden="1">"c20674"</definedName>
    <definedName name="IQ_GOVT_GROSS_INVEST_FEDERAL" hidden="1">"c20676"</definedName>
    <definedName name="IQ_GOVT_GROSS_INVEST_FEDERAL_DEF_EQUIP" hidden="1">"c20679"</definedName>
    <definedName name="IQ_GOVT_GROSS_INVEST_FEDERAL_DEFENSE_STRUCTURES" hidden="1">"c20677"</definedName>
    <definedName name="IQ_GOVT_GROSS_INVEST_FEDERAL_EQUIP" hidden="1">"c20680"</definedName>
    <definedName name="IQ_GOVT_GROSS_INVEST_FEDERAL_NONDEF_EQUIP" hidden="1">"c20682"</definedName>
    <definedName name="IQ_GOVT_GROSS_INVEST_FEDERAL_NONDEFENSE_STRUCTURES" hidden="1">"c24741"</definedName>
    <definedName name="IQ_GOVT_GROSS_INVEST_FEDERAL_STRUCTURES" hidden="1">"c20683"</definedName>
    <definedName name="IQ_GOVT_GROSS_INVEST_STATE_LOCAL_EQUIP" hidden="1">"c20685"</definedName>
    <definedName name="IQ_GOVT_GROSS_INVEST_STATE_LOCAL_STRUCTURES" hidden="1">"c20686"</definedName>
    <definedName name="IQ_GOVT_GROSS_INVEST_STRUCTURES" hidden="1">"c20687"</definedName>
    <definedName name="IQ_GOVT_INTEREST_PAYMENTS" hidden="1">"c20688"</definedName>
    <definedName name="IQ_GOVT_INTEREST_PAYMENTS_PERSON" hidden="1">"c20689"</definedName>
    <definedName name="IQ_GOVT_INTEREST_PAYMENTS_WORLD" hidden="1">"c20690"</definedName>
    <definedName name="IQ_GOVT_NET_BORROWING" hidden="1">"c20691"</definedName>
    <definedName name="IQ_GOVT_NET_PURCHASE_NONPRODUCED_ASSETS" hidden="1">"c20692"</definedName>
    <definedName name="IQ_GOVT_NET_SAVING" hidden="1">"c20693"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AL_EXPENDITURES" hidden="1">"c20694"</definedName>
    <definedName name="IQ_GOVT_REAL_EXPENDITURES_FEDERAL" hidden="1">"c20695"</definedName>
    <definedName name="IQ_GOVT_REAL_GROSS_INVEST" hidden="1">"c20699"</definedName>
    <definedName name="IQ_GOVT_REAL_GROSS_INVEST_EQUIP" hidden="1">"c20700"</definedName>
    <definedName name="IQ_GOVT_REAL_GROSS_INVEST_FEDERAL" hidden="1">"c20701"</definedName>
    <definedName name="IQ_GOVT_REAL_GROSS_INVEST_FEDERAL_DEF_EQUIP" hidden="1">"c20704"</definedName>
    <definedName name="IQ_GOVT_REAL_GROSS_INVEST_FEDERAL_DEFENSE_STRUCTURES" hidden="1">"c20702"</definedName>
    <definedName name="IQ_GOVT_REAL_GROSS_INVEST_FEDERAL_EQUIP" hidden="1">"c20705"</definedName>
    <definedName name="IQ_GOVT_REAL_GROSS_INVEST_FEDERAL_NONDEF_EQUIP" hidden="1">"c20707"</definedName>
    <definedName name="IQ_GOVT_REAL_GROSS_INVEST_FEDERAL_NONDEFENSE_STRUCTURES" hidden="1">"c24742"</definedName>
    <definedName name="IQ_GOVT_REAL_GROSS_INVEST_FEDERAL_STRUCTURES" hidden="1">"c20708"</definedName>
    <definedName name="IQ_GOVT_REAL_GROSS_INVEST_STATE_LOCAL_EQUIP" hidden="1">"c20710"</definedName>
    <definedName name="IQ_GOVT_REAL_GROSS_INVEST_STATE_LOCAL_STRUCTURES" hidden="1">"c20711"</definedName>
    <definedName name="IQ_GOVT_REAL_GROSS_INVEST_STRUCTURES" hidden="1">"c20712"</definedName>
    <definedName name="IQ_GOVT_REAL_RECEIPTS_CONSUM_INVEST_RESIDUAL" hidden="1">"c20717"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ASSETS" hidden="1">"c20719"</definedName>
    <definedName name="IQ_GOVT_RECEIPTS_ASSETS_DIVIDENDS" hidden="1">"c20720"</definedName>
    <definedName name="IQ_GOVT_RECEIPTS_ASSETS_INTEREST" hidden="1">"c20721"</definedName>
    <definedName name="IQ_GOVT_RECEIPTS_ASSETS_RENT" hidden="1">"c20722"</definedName>
    <definedName name="IQ_GOVT_RECEIPTS_EXPENSITURES_OTHER" hidden="1">"c20728"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TRANSFER" hidden="1">"c20729"</definedName>
    <definedName name="IQ_GOVT_RECEIPTS_TRANSFER_BUSINESS" hidden="1">"c20730"</definedName>
    <definedName name="IQ_GOVT_RECEIPTS_TRANSFER_PERSONAL" hidden="1">"c20731"</definedName>
    <definedName name="IQ_GOVT_RECEIPTS_YOY" hidden="1">"c7317"</definedName>
    <definedName name="IQ_GOVT_RECEIPTS_YOY_FC" hidden="1">"c8197"</definedName>
    <definedName name="IQ_GOVT_SOCIAL_BENEFITS" hidden="1">"c20732"</definedName>
    <definedName name="IQ_GOVT_SOCIAL_BENEFITS_PERSONS" hidden="1">"c20733"</definedName>
    <definedName name="IQ_GOVT_SOCIAL_BENEFITS_WORLD" hidden="1">"c20734"</definedName>
    <definedName name="IQ_GOVT_SOCIAL_INSURANCE_FUNDS" hidden="1">"c20735"</definedName>
    <definedName name="IQ_GOVT_SUBSIDIES" hidden="1">"c20736"</definedName>
    <definedName name="IQ_GOVT_TAX_RECEIPTS" hidden="1">"c20737"</definedName>
    <definedName name="IQ_GOVT_TAX_RECEIPTS_CORPORATE" hidden="1">"c20738"</definedName>
    <definedName name="IQ_GOVT_TAX_RECEIPTS_CORPORATE_FED_RESERVE" hidden="1">"c20739"</definedName>
    <definedName name="IQ_GOVT_TAX_RECEIPTS_CORPORATE_OTHER" hidden="1">"c20740"</definedName>
    <definedName name="IQ_GOVT_TAX_RECEIPTS_CUSTOMS" hidden="1">"c20741"</definedName>
    <definedName name="IQ_GOVT_TAX_RECEIPTS_EXCISE" hidden="1">"c20742"</definedName>
    <definedName name="IQ_GOVT_TAX_RECEIPTS_PERSONAL" hidden="1">"c20743"</definedName>
    <definedName name="IQ_GOVT_TAX_RECEIPTS_PRODUCTION_IMPORTS" hidden="1">"c20744"</definedName>
    <definedName name="IQ_GOVT_TAX_RECEIPTS_WORLD" hidden="1">"c20745"</definedName>
    <definedName name="IQ_GOVT_TOTAL_EXPENDITURES" hidden="1">"c20746"</definedName>
    <definedName name="IQ_GOVT_TOTAL_RECEIPTS" hidden="1">"c20747"</definedName>
    <definedName name="IQ_GOVT_TRANSFER_PAYMENTS" hidden="1">"c20748"</definedName>
    <definedName name="IQ_GOVT_TRANSFER_PAYMENTS_OTHER" hidden="1">"c20749"</definedName>
    <definedName name="IQ_GOVT_TRANSFER_PAYMENTS_OTHER_STATE_LOCAL" hidden="1">"c20750"</definedName>
    <definedName name="IQ_GOVT_TRANSFER_PAYMENTS_OTHER_WORLD" hidden="1">"c20751"</definedName>
    <definedName name="IQ_GOVT_WAGE_ACCRUAL" hidden="1">"c20752"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CM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CM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CM" hidden="1">"c1470"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DGING_ACTIVITIES" hidden="1">"c17899"</definedName>
    <definedName name="IQ_HEDGING_ACTIVITIES_PCT" hidden="1">"c18013"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30YR_MORTGAGE" hidden="1">"c20753"</definedName>
    <definedName name="IQ_HOUSING_COMPLETION" hidden="1">"c20754"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CONSTRUCTION_PERMITS" hidden="1">"c20755"</definedName>
    <definedName name="IQ_HOUSING_CONSTRUCTION_PRIVATE" hidden="1">"c20756"</definedName>
    <definedName name="IQ_HOUSING_EXISTING_HOME_SALES" hidden="1">"c20757"</definedName>
    <definedName name="IQ_HOUSING_HOMEOWNER_VACANCY" hidden="1">"c20758"</definedName>
    <definedName name="IQ_HOUSING_HOMEOWNERSHIP_RATE" hidden="1">"c20759"</definedName>
    <definedName name="IQ_HOUSING_MEDIAN_SALES_PRICE" hidden="1">"c20760"</definedName>
    <definedName name="IQ_HOUSING_NEW_HOME_SALES" hidden="1">"c20761"</definedName>
    <definedName name="IQ_HOUSING_PENDING_HOME_SALE_INDEX" hidden="1">"c20762"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RENTAL_VACANCY" hidden="1">"c20763"</definedName>
    <definedName name="IQ_HOUSING_START" hidden="1">"c20764"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ORTS_USD" hidden="1">"c20765"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CM" hidden="1">"c550"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_PROD_INDEX_GROWTH" hidden="1">"c20766"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AUTO_SALES_DOMESTIC" hidden="1">"c20767"</definedName>
    <definedName name="IQ_INDUSTRIAL_AUTO_SALES_FOREIGN" hidden="1">"c20768"</definedName>
    <definedName name="IQ_INDUSTRIAL_AUTO_SALES_TOTAL" hidden="1">"c20769"</definedName>
    <definedName name="IQ_INDUSTRIAL_CAPACITY_UTILIZATION" hidden="1">"c20770"</definedName>
    <definedName name="IQ_INDUSTRIAL_IPI" hidden="1">"c20771"</definedName>
    <definedName name="IQ_INDUSTRIAL_MV_ASSEMBLIES_AUTO" hidden="1">"c20772"</definedName>
    <definedName name="IQ_INDUSTRIAL_MV_ASSEMBLIES_TOTAL" hidden="1">"c20773"</definedName>
    <definedName name="IQ_INDUSTRIAL_MV_ASSEMBLIES_TRUCKS" hidden="1">"c20774"</definedName>
    <definedName name="IQ_INDUSTRIAL_MV_ASSEMBLIES_TRUCKS_HEAVY" hidden="1">"c20775"</definedName>
    <definedName name="IQ_INDUSTRIAL_MV_ASSEMBLIES_TRUCKS_LIGHT" hidden="1">"c20776"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CPI_APPAREL" hidden="1">"c20777"</definedName>
    <definedName name="IQ_INFLATION_CPI_EDUCATION" hidden="1">"c20778"</definedName>
    <definedName name="IQ_INFLATION_CPI_FOOD" hidden="1">"c20779"</definedName>
    <definedName name="IQ_INFLATION_CPI_HOUSING" hidden="1">"c20780"</definedName>
    <definedName name="IQ_INFLATION_CPI_MEDICAL" hidden="1">"c20781"</definedName>
    <definedName name="IQ_INFLATION_CPI_OTHER" hidden="1">"c20782"</definedName>
    <definedName name="IQ_INFLATION_CPI_RECREATION" hidden="1">"c20783"</definedName>
    <definedName name="IQ_INFLATION_CPI_TRANSPORTATION" hidden="1">"c20784"</definedName>
    <definedName name="IQ_INFLATION_CPI_TRANSPORTATION_PUBLIC" hidden="1">"c20785"</definedName>
    <definedName name="IQ_INFLATION_CPI_URBAN_ALL" hidden="1">"c20786"</definedName>
    <definedName name="IQ_INFLATION_PPI_FINISHED_GOODS" hidden="1">"c20787"</definedName>
    <definedName name="IQ_INFLATION_PPI_FINISHED_GOODS_EX_FOOD_ENERGY" hidden="1">"c20788"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CM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_TYPE" hidden="1">"c24730"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M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CM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"c907"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CM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CM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BOR_BENEFITS_CIVILIANS" hidden="1">"c20789"</definedName>
    <definedName name="IQ_LABOR_BENEFITS_GOVT" hidden="1">"c20790"</definedName>
    <definedName name="IQ_LABOR_BENEFITS_PRIVATE_INDUSTRY" hidden="1">"c20791"</definedName>
    <definedName name="IQ_LABOR_COMP_CIVILIANS" hidden="1">"c20792"</definedName>
    <definedName name="IQ_LABOR_COMP_GOVT" hidden="1">"c20793"</definedName>
    <definedName name="IQ_LABOR_COMP_PRIVATE_INDUSTRY" hidden="1">"c20794"</definedName>
    <definedName name="IQ_LABOR_NONFARM_PAYROLL" hidden="1">"c20795"</definedName>
    <definedName name="IQ_LABOR_UNEMPLOYMENT_CLAIMS" hidden="1">"c20796"</definedName>
    <definedName name="IQ_LABOR_UNEMPLOYMENT_CLAIMS_4WEEK" hidden="1">"c20797"</definedName>
    <definedName name="IQ_LABOR_UNEMPLOYMENT_RATE" hidden="1">"c20798"</definedName>
    <definedName name="IQ_LABOR_UNEMPLOYMENT_RATE_PCT_INSURED" hidden="1">"c20799"</definedName>
    <definedName name="IQ_LABOR_WAGES_CIVILIANS" hidden="1">"c20800"</definedName>
    <definedName name="IQ_LABOR_WAGES_GOVT" hidden="1">"c20801"</definedName>
    <definedName name="IQ_LABOR_WAGES_PRIVATE_INDUSTRY" hidden="1">"c20802"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CM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ME_INVENTORY" hidden="1">"c24740"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CM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M" hidden="1">"c676"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M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CM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CM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BUSINESS_BAROMETER" hidden="1">"c20803"</definedName>
    <definedName name="IQ_MACRO_SURVEY_BUSINESS_CONDITION" hidden="1">"c20804"</definedName>
    <definedName name="IQ_MACRO_SURVEY_BUSINESS_CONDITIONS" hidden="1">"c20805"</definedName>
    <definedName name="IQ_MACRO_SURVEY_CONSUMER_COMFORT" hidden="1">"c20806"</definedName>
    <definedName name="IQ_MACRO_SURVEY_CONSUMER_CONFIDENCE" hidden="1">"c20807"</definedName>
    <definedName name="IQ_MACRO_SURVEY_CONSUMER_SENTIMENT" hidden="1">"c20808"</definedName>
    <definedName name="IQ_MACRO_SURVEY_ISM_NONMANUFACTURING" hidden="1">"c20809"</definedName>
    <definedName name="IQ_MACRO_SURVEY_ISM_PMI" hidden="1">"c20810"</definedName>
    <definedName name="IQ_MACRO_SURVEY_LEADING_INDICATOR" hidden="1">"c20811"</definedName>
    <definedName name="IQ_MACRO_SURVEY_PMAC_DIFFUSION" hidden="1">"c20812"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UFACTURING_INV_APPAREL" hidden="1">"c20813"</definedName>
    <definedName name="IQ_MANUFACTURING_INV_BEVERAGE" hidden="1">"c20814"</definedName>
    <definedName name="IQ_MANUFACTURING_INV_CHEMICALS" hidden="1">"c20815"</definedName>
    <definedName name="IQ_MANUFACTURING_INV_COMPUTER" hidden="1">"c20816"</definedName>
    <definedName name="IQ_MANUFACTURING_INV_DUR" hidden="1">"c20817"</definedName>
    <definedName name="IQ_MANUFACTURING_INV_DUR_MISC" hidden="1">"c20818"</definedName>
    <definedName name="IQ_MANUFACTURING_INV_ELECTRIC" hidden="1">"c20819"</definedName>
    <definedName name="IQ_MANUFACTURING_INV_FAB_METALS" hidden="1">"c20820"</definedName>
    <definedName name="IQ_MANUFACTURING_INV_FOOD" hidden="1">"c20821"</definedName>
    <definedName name="IQ_MANUFACTURING_INV_FURNITURE" hidden="1">"c20822"</definedName>
    <definedName name="IQ_MANUFACTURING_INV_LEATHER" hidden="1">"c20823"</definedName>
    <definedName name="IQ_MANUFACTURING_INV_MACHINERY" hidden="1">"c20824"</definedName>
    <definedName name="IQ_MANUFACTURING_INV_MINERAL" hidden="1">"c20825"</definedName>
    <definedName name="IQ_MANUFACTURING_INV_NONDUR" hidden="1">"c20826"</definedName>
    <definedName name="IQ_MANUFACTURING_INV_PAPER" hidden="1">"c20827"</definedName>
    <definedName name="IQ_MANUFACTURING_INV_PETROLEUM" hidden="1">"c20828"</definedName>
    <definedName name="IQ_MANUFACTURING_INV_PLASTICS" hidden="1">"c20829"</definedName>
    <definedName name="IQ_MANUFACTURING_INV_PRIMARY_METALS" hidden="1">"c20830"</definedName>
    <definedName name="IQ_MANUFACTURING_INV_PRINTING" hidden="1">"c20831"</definedName>
    <definedName name="IQ_MANUFACTURING_INV_SALES_RATIO" hidden="1">"c20832"</definedName>
    <definedName name="IQ_MANUFACTURING_INV_TEXTILE_MILLS" hidden="1">"c20833"</definedName>
    <definedName name="IQ_MANUFACTURING_INV_TEXTILE_PRODUCTS" hidden="1">"c20834"</definedName>
    <definedName name="IQ_MANUFACTURING_INV_TOTAL" hidden="1">"c20835"</definedName>
    <definedName name="IQ_MANUFACTURING_INV_TRANSPORTATION" hidden="1">"c20836"</definedName>
    <definedName name="IQ_MANUFACTURING_INV_WOOD" hidden="1">"c20837"</definedName>
    <definedName name="IQ_MANUFACTURING_NEW_ORDERS" hidden="1">"c20838"</definedName>
    <definedName name="IQ_MANUFACTURING_NEW_ORDERS_COMPUTERS" hidden="1">"c20839"</definedName>
    <definedName name="IQ_MANUFACTURING_NEW_ORDERS_DUR" hidden="1">"c20840"</definedName>
    <definedName name="IQ_MANUFACTURING_NEW_ORDERS_ELECTRIC" hidden="1">"c20841"</definedName>
    <definedName name="IQ_MANUFACTURING_NEW_ORDERS_FAB_METALS" hidden="1">"c20842"</definedName>
    <definedName name="IQ_MANUFACTURING_NEW_ORDERS_FURNITURE" hidden="1">"c20843"</definedName>
    <definedName name="IQ_MANUFACTURING_NEW_ORDERS_MACHINERY" hidden="1">"c20844"</definedName>
    <definedName name="IQ_MANUFACTURING_NEW_ORDERS_METALS" hidden="1">"c20845"</definedName>
    <definedName name="IQ_MANUFACTURING_NEW_ORDERS_NONDUR" hidden="1">"c20846"</definedName>
    <definedName name="IQ_MANUFACTURING_NEW_ORDERS_TRANSPORTATION" hidden="1">"c20847"</definedName>
    <definedName name="IQ_MANUFACTURING_SHIPMENTS_APPAREL" hidden="1">"c20848"</definedName>
    <definedName name="IQ_MANUFACTURING_SHIPMENTS_BEVERAGE" hidden="1">"c20849"</definedName>
    <definedName name="IQ_MANUFACTURING_SHIPMENTS_CHEMICALS" hidden="1">"c20850"</definedName>
    <definedName name="IQ_MANUFACTURING_SHIPMENTS_DUR" hidden="1">"c20851"</definedName>
    <definedName name="IQ_MANUFACTURING_SHIPMENTS_DUR_COMPUTER" hidden="1">"c20852"</definedName>
    <definedName name="IQ_MANUFACTURING_SHIPMENTS_DUR_ELECTRIC" hidden="1">"c20853"</definedName>
    <definedName name="IQ_MANUFACTURING_SHIPMENTS_DUR_FAB_METALS" hidden="1">"c20854"</definedName>
    <definedName name="IQ_MANUFACTURING_SHIPMENTS_DUR_FURNITURE" hidden="1">"c20855"</definedName>
    <definedName name="IQ_MANUFACTURING_SHIPMENTS_DUR_MACHINERY" hidden="1">"c20856"</definedName>
    <definedName name="IQ_MANUFACTURING_SHIPMENTS_DUR_MINERALS" hidden="1">"c20857"</definedName>
    <definedName name="IQ_MANUFACTURING_SHIPMENTS_DUR_MISC" hidden="1">"c20858"</definedName>
    <definedName name="IQ_MANUFACTURING_SHIPMENTS_DUR_PRIM_METALS" hidden="1">"c20859"</definedName>
    <definedName name="IQ_MANUFACTURING_SHIPMENTS_DUR_TRANSPORTATION" hidden="1">"c20860"</definedName>
    <definedName name="IQ_MANUFACTURING_SHIPMENTS_DUR_WOOD" hidden="1">"c20861"</definedName>
    <definedName name="IQ_MANUFACTURING_SHIPMENTS_FOOD" hidden="1">"c20862"</definedName>
    <definedName name="IQ_MANUFACTURING_SHIPMENTS_LEATHER" hidden="1">"c20863"</definedName>
    <definedName name="IQ_MANUFACTURING_SHIPMENTS_NONDUR" hidden="1">"c20864"</definedName>
    <definedName name="IQ_MANUFACTURING_SHIPMENTS_PAPER" hidden="1">"c20865"</definedName>
    <definedName name="IQ_MANUFACTURING_SHIPMENTS_PETROLEUM" hidden="1">"c20866"</definedName>
    <definedName name="IQ_MANUFACTURING_SHIPMENTS_PLASTICS" hidden="1">"c20867"</definedName>
    <definedName name="IQ_MANUFACTURING_SHIPMENTS_PRINTING" hidden="1">"c20868"</definedName>
    <definedName name="IQ_MANUFACTURING_SHIPMENTS_TEXTILE_MILLS" hidden="1">"c20869"</definedName>
    <definedName name="IQ_MANUFACTURING_SHIPMENTS_TEXTILE_PRODUCTS" hidden="1">"c20870"</definedName>
    <definedName name="IQ_MANUFACTURING_SHIPMENTS_TOTAL" hidden="1">"c20871"</definedName>
    <definedName name="IQ_MANUFACTURING_UNFILLED_ORDERS" hidden="1">"c20872"</definedName>
    <definedName name="IQ_MANUFACTURING_UNFILLED_ORDERS_COMPUTERS" hidden="1">"c20873"</definedName>
    <definedName name="IQ_MANUFACTURING_UNFILLED_ORDERS_DUR" hidden="1">"c20874"</definedName>
    <definedName name="IQ_MANUFACTURING_UNFILLED_ORDERS_ELECTRIC" hidden="1">"c20875"</definedName>
    <definedName name="IQ_MANUFACTURING_UNFILLED_ORDERS_FAB_METALS" hidden="1">"c20876"</definedName>
    <definedName name="IQ_MANUFACTURING_UNFILLED_ORDERS_FURNITURE" hidden="1">"c20877"</definedName>
    <definedName name="IQ_MANUFACTURING_UNFILLED_ORDERS_MACHINERY" hidden="1">"c20878"</definedName>
    <definedName name="IQ_MANUFACTURING_UNFILLED_ORDERS_METALS" hidden="1">"c20879"</definedName>
    <definedName name="IQ_MANUFACTURING_UNFILLED_ORDERS_TRANSPORTATION" hidden="1">"c20880"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CM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CM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M" hidden="1">"c729"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EY_SUPPLY_M1" hidden="1">"c20881"</definedName>
    <definedName name="IQ_MONEY_SUPPLY_M2" hidden="1">"c20882"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UTLOOK" hidden="1">"c5678"</definedName>
    <definedName name="IQ_MOODYS_OUTLOOK_DATE" hidden="1">"c5677"</definedName>
    <definedName name="IQ_MOODYS_ST" hidden="1">"c5664"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LIST" hidden="1">"c19092"</definedName>
    <definedName name="IQ_NAMES_REVISION_DATE_" hidden="1">41379.6952199074</definedName>
    <definedName name="IQ_NAMES_REVISION_DATE__1" hidden="1">42067.9334606481</definedName>
    <definedName name="IQ_NAMES_REVISION_DATE__1_1" hidden="1">41449.4017592593</definedName>
    <definedName name="IQ_NAMES_REVISION_DATE__2" hidden="1">41449.4017592593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"c2225"</definedName>
    <definedName name="IQ_NAV_SHARE_ACT_OR_EST_CIQ" hidden="1">"c12038"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CIQ" hidden="1">"c12032"</definedName>
    <definedName name="IQ_NAV_SHARE_EST_REUT" hidden="1">"c5617"</definedName>
    <definedName name="IQ_NAV_SHARE_HIGH_EST" hidden="1">"c5612"</definedName>
    <definedName name="IQ_NAV_SHARE_HIGH_EST_CIQ" hidden="1">"c12035"</definedName>
    <definedName name="IQ_NAV_SHARE_HIGH_EST_REUT" hidden="1">"c5620"</definedName>
    <definedName name="IQ_NAV_SHARE_LOW_EST" hidden="1">"c5613"</definedName>
    <definedName name="IQ_NAV_SHARE_LOW_EST_CIQ" hidden="1">"c12036"</definedName>
    <definedName name="IQ_NAV_SHARE_LOW_EST_REUT" hidden="1">"c5621"</definedName>
    <definedName name="IQ_NAV_SHARE_MEDIAN_EST" hidden="1">"c5610"</definedName>
    <definedName name="IQ_NAV_SHARE_MEDIAN_EST_CIQ" hidden="1">"c12033"</definedName>
    <definedName name="IQ_NAV_SHARE_MEDIAN_EST_REUT" hidden="1">"c5618"</definedName>
    <definedName name="IQ_NAV_SHARE_NUM_EST" hidden="1">"c5614"</definedName>
    <definedName name="IQ_NAV_SHARE_NUM_EST_CIQ" hidden="1">"c12037"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CIQ" hidden="1">"c12034"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CM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"c158"</definedName>
    <definedName name="IQ_NET_INC_GROWTH_2" hidden="1">"c162"</definedName>
    <definedName name="IQ_NET_INC_MARGIN" hidden="1">"c794"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CM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CIQ" hidden="1">"c4709"</definedName>
    <definedName name="IQ_NI_GW_EST_REUT" hidden="1">"c5375"</definedName>
    <definedName name="IQ_NI_GW_EST_THOM" hidden="1">"c5133"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EST_THOM" hidden="1">"c5135"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EST_THOM" hidden="1">"c5136"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CIQ" hidden="1">"c4713"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M_DOMESTIC_PURCHASES" hidden="1">"c20883"</definedName>
    <definedName name="IQ_NOM_EXPORT" hidden="1">"c20884"</definedName>
    <definedName name="IQ_NOM_EXPORT_GOODS" hidden="1">"c20885"</definedName>
    <definedName name="IQ_NOM_EXPORT_INCOME" hidden="1">"c20886"</definedName>
    <definedName name="IQ_NOM_EXPORT_SERVICES" hidden="1">"c20887"</definedName>
    <definedName name="IQ_NOM_GDP" hidden="1">"c20888"</definedName>
    <definedName name="IQ_NOM_GDP_RESIDUAL" hidden="1">"c20889"</definedName>
    <definedName name="IQ_NOM_GNP" hidden="1">"c20890"</definedName>
    <definedName name="IQ_NOM_GOVT_CONSUM_INVEST" hidden="1">"c20891"</definedName>
    <definedName name="IQ_NOM_GOVT_CONSUM_INVEST_DEF" hidden="1">"c20892"</definedName>
    <definedName name="IQ_NOM_GOVT_CONSUM_INVEST_DEF_CONSUM" hidden="1">"c20893"</definedName>
    <definedName name="IQ_NOM_GOVT_CONSUM_INVEST_DEF_INVEST" hidden="1">"c20894"</definedName>
    <definedName name="IQ_NOM_GOVT_CONSUM_INVEST_FEDERAL" hidden="1">"c20895"</definedName>
    <definedName name="IQ_NOM_GOVT_CONSUM_INVEST_NONDEF" hidden="1">"c20896"</definedName>
    <definedName name="IQ_NOM_GOVT_CONSUM_INVEST_NONDEF_CONSUM" hidden="1">"c20897"</definedName>
    <definedName name="IQ_NOM_GOVT_CONSUM_INVEST_NONDEF_INVEST" hidden="1">"c20898"</definedName>
    <definedName name="IQ_NOM_GOVT_CONSUM_INVEST_STATE_LOCAL" hidden="1">"c20899"</definedName>
    <definedName name="IQ_NOM_GOVT_CONSUM_INVEST_STATE_LOCAL_CONSUM" hidden="1">"c20900"</definedName>
    <definedName name="IQ_NOM_GOVT_CONSUM_INVEST_STATE_LOCAL_INVEST" hidden="1">"c20901"</definedName>
    <definedName name="IQ_NOM_IMPORT" hidden="1">"c20902"</definedName>
    <definedName name="IQ_NOM_IMPORT_GOODS" hidden="1">"c20903"</definedName>
    <definedName name="IQ_NOM_IMPORT_INCOME" hidden="1">"c20904"</definedName>
    <definedName name="IQ_NOM_IMPORT_SERVICES" hidden="1">"c20905"</definedName>
    <definedName name="IQ_NOM_NET_DOMESTIC_PRODUCTION" hidden="1">"c20906"</definedName>
    <definedName name="IQ_NOM_NET_EXPORT" hidden="1">"c20907"</definedName>
    <definedName name="IQ_NOM_PCE" hidden="1">"c20908"</definedName>
    <definedName name="IQ_NOM_PCE_CLOTHING" hidden="1">"c20909"</definedName>
    <definedName name="IQ_NOM_PCE_DUR_GOODS" hidden="1">"c20910"</definedName>
    <definedName name="IQ_NOM_PCE_DUR_GOODS_OTHER" hidden="1">"c20911"</definedName>
    <definedName name="IQ_NOM_PCE_FINANCIAL" hidden="1">"c20912"</definedName>
    <definedName name="IQ_NOM_PCE_FOOD_ACCOMADATIONS" hidden="1">"c20913"</definedName>
    <definedName name="IQ_NOM_PCE_FOOD_BEVERAGE" hidden="1">"c20914"</definedName>
    <definedName name="IQ_NOM_PCE_FURNISHINGS" hidden="1">"c20915"</definedName>
    <definedName name="IQ_NOM_PCE_GAS" hidden="1">"c20916"</definedName>
    <definedName name="IQ_NOM_PCE_GOOD" hidden="1">"c20917"</definedName>
    <definedName name="IQ_NOM_PCE_HEALTH_CARE" hidden="1">"c20918"</definedName>
    <definedName name="IQ_NOM_PCE_HOUSEHOLD_CONSUM" hidden="1">"c20919"</definedName>
    <definedName name="IQ_NOM_PCE_HOUSEHOLD_CONSUM_OTHER" hidden="1">"c20920"</definedName>
    <definedName name="IQ_NOM_PCE_HOUSING" hidden="1">"c20921"</definedName>
    <definedName name="IQ_NOM_PCE_MOTOR_VEHICLE" hidden="1">"c20922"</definedName>
    <definedName name="IQ_NOM_PCE_NONDUR_GOODS" hidden="1">"c20923"</definedName>
    <definedName name="IQ_NOM_PCE_NONDUR_GOODS_OTHER" hidden="1">"c20924"</definedName>
    <definedName name="IQ_NOM_PCE_NONPROFIT_CONSUM" hidden="1">"c20925"</definedName>
    <definedName name="IQ_NOM_PCE_NONPROFIT_OUTPUT" hidden="1">"c20926"</definedName>
    <definedName name="IQ_NOM_PCE_NONPROFIT_RECEIPTS" hidden="1">"c20927"</definedName>
    <definedName name="IQ_NOM_PCE_RECREATION_GOODS" hidden="1">"c20928"</definedName>
    <definedName name="IQ_NOM_PCE_RECREATION_SERVICES" hidden="1">"c20929"</definedName>
    <definedName name="IQ_NOM_PCE_SERVICES" hidden="1">"c20930"</definedName>
    <definedName name="IQ_NOM_PCE_TRANSPORTATION" hidden="1">"c20931"</definedName>
    <definedName name="IQ_NOM_PRIVATE_INVEST" hidden="1">"c20932"</definedName>
    <definedName name="IQ_NOM_PRIVATE_INVEST_EQUIP" hidden="1">"c20933"</definedName>
    <definedName name="IQ_NOM_PRIVATE_INVEST_EQUIP_OTHER" hidden="1">"c20934"</definedName>
    <definedName name="IQ_NOM_PRIVATE_INVEST_FIXED" hidden="1">"c20935"</definedName>
    <definedName name="IQ_NOM_PRIVATE_INVEST_INDUSTRIAL_EQUIP" hidden="1">"c20936"</definedName>
    <definedName name="IQ_NOM_PRIVATE_INVEST_INFO_EQUIP" hidden="1">"c20937"</definedName>
    <definedName name="IQ_NOM_PRIVATE_INVEST_INFO_EQUIP_COMPUTERS" hidden="1">"c20938"</definedName>
    <definedName name="IQ_NOM_PRIVATE_INVEST_INFO_EQUIP_OTHER" hidden="1">"c20939"</definedName>
    <definedName name="IQ_NOM_PRIVATE_INVEST_INFO_EQUIP_SOFTWARE" hidden="1">"c20940"</definedName>
    <definedName name="IQ_NOM_PRIVATE_INVEST_NONRES" hidden="1">"c20941"</definedName>
    <definedName name="IQ_NOM_PRIVATE_INVEST_PRIVATE_INV_CHANGE" hidden="1">"c20942"</definedName>
    <definedName name="IQ_NOM_PRIVATE_INVEST_PRIVATE_INV_FARMS" hidden="1">"c20943"</definedName>
    <definedName name="IQ_NOM_PRIVATE_INVEST_PRIVATE_INV_NONFARMS" hidden="1">"c20944"</definedName>
    <definedName name="IQ_NOM_PRIVATE_INVEST_RES" hidden="1">"c20945"</definedName>
    <definedName name="IQ_NOM_PRIVATE_INVEST_STRUCTURES" hidden="1">"c20946"</definedName>
    <definedName name="IQ_NOM_PRIVATE_INVEST_TRANSPORTATION_EQUIP" hidden="1">"c20947"</definedName>
    <definedName name="IQ_NOM_SALES_TO_DOMESTIC_PURCHASES" hidden="1">"c20948"</definedName>
    <definedName name="IQ_NOMINAL_GDP" hidden="1">"c20949"</definedName>
    <definedName name="IQ_NOMINAL_GDP_FC" hidden="1">"c20950"</definedName>
    <definedName name="IQ_NOMINAL_GDP_PER_CAPITA" hidden="1">"c20951"</definedName>
    <definedName name="IQ_NOMINAL_GDP_PER_CAPITA_FC" hidden="1">"c20952"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ECD_LEAD_INDICATOR" hidden="1">"c20953"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CM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CIQ" hidden="1">"c12010"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LOW_EST_REUT" hidden="1">"c5343"</definedName>
    <definedName name="IQ_OPER_INC_LOW_EST_THOM" hidden="1">"c5115"</definedName>
    <definedName name="IQ_OPER_INC_MARGIN" hidden="1">"c362"</definedName>
    <definedName name="IQ_OPER_INC_MEDIAN_EST" hidden="1">"c1689"</definedName>
    <definedName name="IQ_OPER_INC_MEDIAN_EST_CIQ" hidden="1">"c12011"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CIQ" hidden="1">"c12014"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CM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CM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CM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CM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CM" hidden="1">"c888"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CM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CM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CM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CM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CM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CM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CM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CM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CM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CM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CM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CM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CM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CM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CM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CM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CM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CM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CIQ" hidden="1">"c3769"</definedName>
    <definedName name="IQ_PERCENT_CHANGE_EST_FFO_SHARE_18MONTHS" hidden="1">"c1829"</definedName>
    <definedName name="IQ_PERCENT_CHANGE_EST_FFO_SHARE_18MONTHS_CIQ" hidden="1">"c3770"</definedName>
    <definedName name="IQ_PERCENT_CHANGE_EST_FFO_SHARE_3MONTHS" hidden="1">"c1825"</definedName>
    <definedName name="IQ_PERCENT_CHANGE_EST_FFO_SHARE_3MONTHS_CIQ" hidden="1">"c3766"</definedName>
    <definedName name="IQ_PERCENT_CHANGE_EST_FFO_SHARE_6MONTHS" hidden="1">"c1826"</definedName>
    <definedName name="IQ_PERCENT_CHANGE_EST_FFO_SHARE_6MONTHS_CIQ" hidden="1">"c3767"</definedName>
    <definedName name="IQ_PERCENT_CHANGE_EST_FFO_SHARE_9MONTHS" hidden="1">"c1827"</definedName>
    <definedName name="IQ_PERCENT_CHANGE_EST_FFO_SHARE_9MONTHS_CIQ" hidden="1">"c3768"</definedName>
    <definedName name="IQ_PERCENT_CHANGE_EST_FFO_SHARE_DAY" hidden="1">"c1822"</definedName>
    <definedName name="IQ_PERCENT_CHANGE_EST_FFO_SHARE_DAY_CIQ" hidden="1">"c3764"</definedName>
    <definedName name="IQ_PERCENT_CHANGE_EST_FFO_SHARE_MONTH" hidden="1">"c1824"</definedName>
    <definedName name="IQ_PERCENT_CHANGE_EST_FFO_SHARE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WEEK" hidden="1">"c1823"</definedName>
    <definedName name="IQ_PERCENT_CHANGE_EST_FFO_SHARE_WEEK_CIQ" hidden="1">"c3795"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_INCOME" hidden="1">"c20954"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CURRENT_TAXES" hidden="1">"c20956"</definedName>
    <definedName name="IQ_PERSONAL_DISPOSABLE_INCOME" hidden="1">"c20957"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ASSETS" hidden="1">"c20958"</definedName>
    <definedName name="IQ_PERSONAL_INCOME_ASSETS_DIVIDEND" hidden="1">"c20959"</definedName>
    <definedName name="IQ_PERSONAL_INCOME_ASSETS_INTEREST" hidden="1">"c20960"</definedName>
    <definedName name="IQ_PERSONAL_INCOME_CHAINED_DOLLARS" hidden="1">"c20961"</definedName>
    <definedName name="IQ_PERSONAL_INCOME_COMPENSATION" hidden="1">"c20962"</definedName>
    <definedName name="IQ_PERSONAL_INCOME_EMPLOYER_GOVT_INSURANCE_CONTRIBUTION" hidden="1">"c20963"</definedName>
    <definedName name="IQ_PERSONAL_INCOME_EMPLOYER_PENSION_CONTRIBUTION" hidden="1">"c20964"</definedName>
    <definedName name="IQ_PERSONAL_INCOME_EX_TRANSFER_RECEIPTS" hidden="1">"c20965"</definedName>
    <definedName name="IQ_PERSONAL_INCOME_FC" hidden="1">"c7823"</definedName>
    <definedName name="IQ_PERSONAL_INCOME_GOVT_CONTRIBUTION_SOCIAL_INS" hidden="1">"c20966"</definedName>
    <definedName name="IQ_PERSONAL_INCOME_GOVT_SOCIAL_BENEFITS" hidden="1">"c20967"</definedName>
    <definedName name="IQ_PERSONAL_INCOME_GOVT_SOCIAL_BENEFITS_FAMILY" hidden="1">"c20968"</definedName>
    <definedName name="IQ_PERSONAL_INCOME_GOVT_SOCIAL_BENEFITS_OTHER" hidden="1">"c20969"</definedName>
    <definedName name="IQ_PERSONAL_INCOME_GOVT_SOCIAL_BENEFITS_UNEMPLOYMENT" hidden="1">"c20970"</definedName>
    <definedName name="IQ_PERSONAL_INCOME_GOVT_SOCIAL_BENEFITS_VETERANS" hidden="1">"c20971"</definedName>
    <definedName name="IQ_PERSONAL_INCOME_GOVT_SOCIAL_BENEFITS_WELFARE" hidden="1">"c20972"</definedName>
    <definedName name="IQ_PERSONAL_INCOME_PCT_CHANGE" hidden="1">"c20973"</definedName>
    <definedName name="IQ_PERSONAL_INCOME_PCT_CHANGE_CHAINED_DOLLARS" hidden="1">"c20974"</definedName>
    <definedName name="IQ_PERSONAL_INCOME_PER_CAPITA" hidden="1">"c20975"</definedName>
    <definedName name="IQ_PERSONAL_INCOME_PER_CAPITA_CHAINED_DOLLARS" hidden="1">"c20976"</definedName>
    <definedName name="IQ_PERSONAL_INCOME_POP" hidden="1">"c7163"</definedName>
    <definedName name="IQ_PERSONAL_INCOME_POP_FC" hidden="1">"c8043"</definedName>
    <definedName name="IQ_PERSONAL_INCOME_PROPIETOR" hidden="1">"c20977"</definedName>
    <definedName name="IQ_PERSONAL_INCOME_PROPIETOR_FARM" hidden="1">"c20978"</definedName>
    <definedName name="IQ_PERSONAL_INCOME_PROPIETOR_NONFARM" hidden="1">"c20979"</definedName>
    <definedName name="IQ_PERSONAL_INCOME_RENTAL" hidden="1">"c20980"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TRANSFER_RECEIPTS" hidden="1">"c20981"</definedName>
    <definedName name="IQ_PERSONAL_INCOME_TRANSFER_RECEIPTS_OTHER" hidden="1">"c20982"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WAGE_SUPPLEMENTS" hidden="1">"c20983"</definedName>
    <definedName name="IQ_PERSONAL_INCOME_WAGES" hidden="1">"c20984"</definedName>
    <definedName name="IQ_PERSONAL_INCOME_WAGES_GOVT" hidden="1">"c20985"</definedName>
    <definedName name="IQ_PERSONAL_INCOME_WAGES_PRIVATE_INDUSTRY" hidden="1">"c20986"</definedName>
    <definedName name="IQ_PERSONAL_INCOME_YOY" hidden="1">"c7383"</definedName>
    <definedName name="IQ_PERSONAL_INCOME_YOY_FC" hidden="1">"c8263"</definedName>
    <definedName name="IQ_PERSONAL_INTEREST_PAYMENTS" hidden="1">"c20987"</definedName>
    <definedName name="IQ_PERSONAL_OUTLAYS" hidden="1">"c20988"</definedName>
    <definedName name="IQ_PERSONAL_SAVINGS" hidden="1">"c20989"</definedName>
    <definedName name="IQ_PERSONAL_SAVINGS_PCT_INCOME" hidden="1">"c20990"</definedName>
    <definedName name="IQ_PERSONAL_TRANSFER_PAYMENTS" hidden="1">"c20991"</definedName>
    <definedName name="IQ_PERSONAL_TRANSFER_PAYMENTS_GOVT" hidden="1">"c20992"</definedName>
    <definedName name="IQ_PERSONAL_TRANSFER_PAYMENTS_WORLD" hidden="1">"c20993"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EDGED_SECURITIES_FFIEC" hidden="1">"c24743"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PULATION" hidden="1">"c20994"</definedName>
    <definedName name="IQ_POPULATION_FC" hidden="1">"c20995"</definedName>
    <definedName name="IQ_PORTFOLIO_INVESTMENT_NET" hidden="1">"c20996"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CM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CM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CM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OVER_BVPS" hidden="1">"c1026"</definedName>
    <definedName name="IQ_PRICE_OVER_EPS_EST" hidden="1">"c174"</definedName>
    <definedName name="IQ_PRICE_OVER_EPS_EST_1" hidden="1">"c175"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" hidden="1">"c5030"</definedName>
    <definedName name="IQ_PRICE_VOLATILITY_EST_CIQ_COL" hidden="1">"c11677"</definedName>
    <definedName name="IQ_PRICE_VOLATILITY_HIGH" hidden="1">"c4493"</definedName>
    <definedName name="IQ_PRICE_VOLATILITY_HIGH_CIQ" hidden="1">"c5031"</definedName>
    <definedName name="IQ_PRICE_VOLATILITY_HIGH_CIQ_COL" hidden="1">"c11678"</definedName>
    <definedName name="IQ_PRICE_VOLATILITY_LOW" hidden="1">"c4494"</definedName>
    <definedName name="IQ_PRICE_VOLATILITY_LOW_CIQ" hidden="1">"c5032"</definedName>
    <definedName name="IQ_PRICE_VOLATILITY_LOW_CIQ_COL" hidden="1">"c11679"</definedName>
    <definedName name="IQ_PRICE_VOLATILITY_MEDIAN" hidden="1">"c4495"</definedName>
    <definedName name="IQ_PRICE_VOLATILITY_MEDIAN_CIQ" hidden="1">"c5033"</definedName>
    <definedName name="IQ_PRICE_VOLATILITY_MEDIAN_CIQ_COL" hidden="1">"c11680"</definedName>
    <definedName name="IQ_PRICE_VOLATILITY_NUM" hidden="1">"c4496"</definedName>
    <definedName name="IQ_PRICE_VOLATILITY_NUM_CIQ" hidden="1">"c5034"</definedName>
    <definedName name="IQ_PRICE_VOLATILITY_NUM_CIQ_COL" hidden="1">"c11681"</definedName>
    <definedName name="IQ_PRICE_VOLATILITY_STDDEV" hidden="1">"c4497"</definedName>
    <definedName name="IQ_PRICE_VOLATILITY_STDDEV_CIQ" hidden="1">"c5035"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DOMESTIC_PURCHASES" hidden="1">"c20997"</definedName>
    <definedName name="IQ_REAL_ESTATE" hidden="1">"c1093"</definedName>
    <definedName name="IQ_REAL_ESTATE_ASSETS" hidden="1">"c1094"</definedName>
    <definedName name="IQ_REAL_EXPORT" hidden="1">"c20998"</definedName>
    <definedName name="IQ_REAL_EXPORT_GOODS" hidden="1">"c20999"</definedName>
    <definedName name="IQ_REAL_EXPORT_INCOME" hidden="1">"c21000"</definedName>
    <definedName name="IQ_REAL_EXPORT_SERVICES" hidden="1">"c21001"</definedName>
    <definedName name="IQ_REAL_FIXED_INVESTMENT" hidden="1">"c21002"</definedName>
    <definedName name="IQ_REAL_GDP" hidden="1">"c21003"</definedName>
    <definedName name="IQ_REAL_GDP_FC" hidden="1">"c21004"</definedName>
    <definedName name="IQ_REAL_GDP_GROWTH" hidden="1">"c21005"</definedName>
    <definedName name="IQ_REAL_GDP_GROWTH_FC" hidden="1">"c21006"</definedName>
    <definedName name="IQ_REAL_GDP_USD" hidden="1">"c21007"</definedName>
    <definedName name="IQ_REAL_GDP_USD_FC" hidden="1">"c21008"</definedName>
    <definedName name="IQ_REAL_GNP" hidden="1">"c21009"</definedName>
    <definedName name="IQ_REAL_GOVT_CONSUM_INVEST" hidden="1">"c21010"</definedName>
    <definedName name="IQ_REAL_GOVT_CONSUM_INVEST_DEF" hidden="1">"c21011"</definedName>
    <definedName name="IQ_REAL_GOVT_CONSUM_INVEST_DEF_CONSUM" hidden="1">"c21012"</definedName>
    <definedName name="IQ_REAL_GOVT_CONSUM_INVEST_DEF_INVEST" hidden="1">"c21013"</definedName>
    <definedName name="IQ_REAL_GOVT_CONSUM_INVEST_FEDERAL" hidden="1">"c21014"</definedName>
    <definedName name="IQ_REAL_GOVT_CONSUM_INVEST_NONDEF" hidden="1">"c21015"</definedName>
    <definedName name="IQ_REAL_GOVT_CONSUM_INVEST_NONDEF_CONSUM" hidden="1">"c21016"</definedName>
    <definedName name="IQ_REAL_GOVT_CONSUM_INVEST_NONDEF_INVEST" hidden="1">"c21017"</definedName>
    <definedName name="IQ_REAL_GOVT_CONSUM_INVEST_STATE_LOCAL" hidden="1">"c21018"</definedName>
    <definedName name="IQ_REAL_GOVT_CONSUM_INVEST_STATE_LOCAL_CONSUM" hidden="1">"c21019"</definedName>
    <definedName name="IQ_REAL_GOVT_CONSUM_INVEST_STATE_LOCAL_INVEST" hidden="1">"c21020"</definedName>
    <definedName name="IQ_REAL_IMPORT" hidden="1">"c21021"</definedName>
    <definedName name="IQ_REAL_IMPORT_GOODS" hidden="1">"c21022"</definedName>
    <definedName name="IQ_REAL_IMPORT_INCOME" hidden="1">"c21023"</definedName>
    <definedName name="IQ_REAL_IMPORT_SERVICES" hidden="1">"c21024"</definedName>
    <definedName name="IQ_REAL_NET_DOMESTIC_PRODUCTION" hidden="1">"c21025"</definedName>
    <definedName name="IQ_REAL_NET_EXPORT" hidden="1">"c21026"</definedName>
    <definedName name="IQ_REAL_PCE" hidden="1">"c21027"</definedName>
    <definedName name="IQ_REAL_PCE_CLOTHING" hidden="1">"c21028"</definedName>
    <definedName name="IQ_REAL_PCE_DUR_GOODS" hidden="1">"c21029"</definedName>
    <definedName name="IQ_REAL_PCE_DUR_GOODS_OTHER" hidden="1">"c21030"</definedName>
    <definedName name="IQ_REAL_PCE_FINANCIAL" hidden="1">"c21031"</definedName>
    <definedName name="IQ_REAL_PCE_FOOD_ACCOMADATIONS" hidden="1">"c21032"</definedName>
    <definedName name="IQ_REAL_PCE_FOOD_BEVERAGE" hidden="1">"c21033"</definedName>
    <definedName name="IQ_REAL_PCE_FURNISHINGS" hidden="1">"c21034"</definedName>
    <definedName name="IQ_REAL_PCE_GAS" hidden="1">"c21035"</definedName>
    <definedName name="IQ_REAL_PCE_GOOD" hidden="1">"c21036"</definedName>
    <definedName name="IQ_REAL_PCE_HEALTH_CARE" hidden="1">"c21037"</definedName>
    <definedName name="IQ_REAL_PCE_HOUSEHOLD_CONSUM" hidden="1">"c21038"</definedName>
    <definedName name="IQ_REAL_PCE_HOUSEHOLD_CONSUM_OTHER" hidden="1">"c21039"</definedName>
    <definedName name="IQ_REAL_PCE_HOUSING" hidden="1">"c21040"</definedName>
    <definedName name="IQ_REAL_PCE_MOTOR_VEHICLE" hidden="1">"c21041"</definedName>
    <definedName name="IQ_REAL_PCE_NONDUR_GOODS" hidden="1">"c21042"</definedName>
    <definedName name="IQ_REAL_PCE_NONDUR_GOODS_OTHER" hidden="1">"c21043"</definedName>
    <definedName name="IQ_REAL_PCE_NONPROFIT_CONSUM" hidden="1">"c21044"</definedName>
    <definedName name="IQ_REAL_PCE_NONPROFIT_OUTPUT" hidden="1">"c21045"</definedName>
    <definedName name="IQ_REAL_PCE_NONPROFIT_RECEIPTS" hidden="1">"c21046"</definedName>
    <definedName name="IQ_REAL_PCE_RECREATION_GOODS" hidden="1">"c21047"</definedName>
    <definedName name="IQ_REAL_PCE_RECREATION_SERVICES" hidden="1">"c21048"</definedName>
    <definedName name="IQ_REAL_PCE_SERVICES" hidden="1">"c21049"</definedName>
    <definedName name="IQ_REAL_PCE_TRANSPORTATION" hidden="1">"c21050"</definedName>
    <definedName name="IQ_REAL_PRIVATE_CONSUM_GROWTH" hidden="1">"c21051"</definedName>
    <definedName name="IQ_REAL_PRIVATE_INVEST" hidden="1">"c21052"</definedName>
    <definedName name="IQ_REAL_PRIVATE_INVEST_EQUIP" hidden="1">"c21053"</definedName>
    <definedName name="IQ_REAL_PRIVATE_INVEST_EQUIP_OTHER" hidden="1">"c21054"</definedName>
    <definedName name="IQ_REAL_PRIVATE_INVEST_FIXED" hidden="1">"c21055"</definedName>
    <definedName name="IQ_REAL_PRIVATE_INVEST_INDUSTRIAL_EQUIP" hidden="1">"c21056"</definedName>
    <definedName name="IQ_REAL_PRIVATE_INVEST_INFO_EQUIP" hidden="1">"c21057"</definedName>
    <definedName name="IQ_REAL_PRIVATE_INVEST_INFO_EQUIP_COMPUTERS" hidden="1">"c21058"</definedName>
    <definedName name="IQ_REAL_PRIVATE_INVEST_INFO_EQUIP_OTHER" hidden="1">"c21059"</definedName>
    <definedName name="IQ_REAL_PRIVATE_INVEST_INFO_EQUIP_SOFTWARE" hidden="1">"c21060"</definedName>
    <definedName name="IQ_REAL_PRIVATE_INVEST_NONRES" hidden="1">"c21061"</definedName>
    <definedName name="IQ_REAL_PRIVATE_INVEST_PRIVATE_INV_CHANGE" hidden="1">"c21062"</definedName>
    <definedName name="IQ_REAL_PRIVATE_INVEST_PRIVATE_INV_FARMS" hidden="1">"c21063"</definedName>
    <definedName name="IQ_REAL_PRIVATE_INVEST_PRIVATE_INV_NONFARMS" hidden="1">"c21064"</definedName>
    <definedName name="IQ_REAL_PRIVATE_INVEST_RES" hidden="1">"c21065"</definedName>
    <definedName name="IQ_REAL_PRIVATE_INVEST_STRUCTURES" hidden="1">"c21066"</definedName>
    <definedName name="IQ_REAL_PRIVATE_INVEST_TRANSPORTATION_EQUIP" hidden="1">"c21067"</definedName>
    <definedName name="IQ_REAL_SALES_TO_DOMESTIC_PURCHASES" hidden="1">"c21068"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"c1059"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CM" hidden="1">"c1106"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NV_BUILDING_MATERIAL" hidden="1">"c21069"</definedName>
    <definedName name="IQ_RETAIL_INV_CLOTHING" hidden="1">"c21070"</definedName>
    <definedName name="IQ_RETAIL_INV_DEPT_STORE" hidden="1">"c21071"</definedName>
    <definedName name="IQ_RETAIL_INV_FOOD" hidden="1">"c21072"</definedName>
    <definedName name="IQ_RETAIL_INV_FURNITURE" hidden="1">"c21073"</definedName>
    <definedName name="IQ_RETAIL_INV_GENERAL" hidden="1">"c21074"</definedName>
    <definedName name="IQ_RETAIL_INV_MOTOR_VEHICLE" hidden="1">"c21075"</definedName>
    <definedName name="IQ_RETAIL_INV_SALES_RATIO_BUILDING" hidden="1">"c21076"</definedName>
    <definedName name="IQ_RETAIL_INV_SALES_RATIO_CLOTHING" hidden="1">"c21077"</definedName>
    <definedName name="IQ_RETAIL_INV_SALES_RATIO_DEPT_STORE" hidden="1">"c21078"</definedName>
    <definedName name="IQ_RETAIL_INV_SALES_RATIO_FOOD" hidden="1">"c21079"</definedName>
    <definedName name="IQ_RETAIL_INV_SALES_RATIO_FURNITURE" hidden="1">"c21080"</definedName>
    <definedName name="IQ_RETAIL_INV_SALES_RATIO_GENERAL" hidden="1">"c21081"</definedName>
    <definedName name="IQ_RETAIL_INV_SALES_RATIO_MV" hidden="1">"c21082"</definedName>
    <definedName name="IQ_RETAIL_INV_SALES_RATIO_TOTAL" hidden="1">"c21083"</definedName>
    <definedName name="IQ_RETAIL_INV_SALES_RATIO_TOTAL_EX_MV" hidden="1">"c21084"</definedName>
    <definedName name="IQ_RETAIL_INV_TOTAL" hidden="1">"c21085"</definedName>
    <definedName name="IQ_RETAIL_INV_TOTAL_EX_MOTOR_VEHICLE" hidden="1">"c21086"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BUILDING_MATERIAL" hidden="1">"c21087"</definedName>
    <definedName name="IQ_RETAIL_SALES_CATALOG" hidden="1">"c9903"</definedName>
    <definedName name="IQ_RETAIL_SALES_CLOTHING" hidden="1">"c21088"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FOODSTUFF" hidden="1">"c21089"</definedName>
    <definedName name="IQ_RETAIL_SALES_FURNITURE" hidden="1">"c21090"</definedName>
    <definedName name="IQ_RETAIL_SALES_GAS" hidden="1">"c21091"</definedName>
    <definedName name="IQ_RETAIL_SALES_GENERAL" hidden="1">"c21092"</definedName>
    <definedName name="IQ_RETAIL_SALES_HEALTH" hidden="1">"c21093"</definedName>
    <definedName name="IQ_RETAIL_SALES_MISC" hidden="1">"c21094"</definedName>
    <definedName name="IQ_RETAIL_SALES_MOTOR_VEHICLE" hidden="1">"c21095"</definedName>
    <definedName name="IQ_RETAIL_SALES_NONSTORES" hidden="1">"c21096"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PORTING_GOODS" hidden="1">"c21097"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TOTAL" hidden="1">"c21098"</definedName>
    <definedName name="IQ_RETAIL_SALES_TOTAL_EX_MOTOR_VEHICLE" hidden="1">"c21099"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LES_YOY_PCT" hidden="1">"c21100"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CM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CM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" hidden="1">39211.8153356481</definedName>
    <definedName name="IQ_REVISION_DATE_" hidden="1">38971.8579513889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CM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CM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CM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OND_LIEN_BONDS_NOTES" hidden="1">"c17893"</definedName>
    <definedName name="IQ_SECOND_LIEN_BONDS_NOTES_PCT" hidden="1">"c18007"</definedName>
    <definedName name="IQ_SECOND_LIEN_DEBT" hidden="1">"c17898"</definedName>
    <definedName name="IQ_SECOND_LIEN_DEBT_PCT" hidden="1">"c18012"</definedName>
    <definedName name="IQ_SECOND_LIEN_LOANS" hidden="1">"c17892"</definedName>
    <definedName name="IQ_SECOND_LIEN_LOANS_PCT" hidden="1">"c18006"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IZED_DEBT" hidden="1">"c17897"</definedName>
    <definedName name="IQ_SECURITIZED_DEBT_PCT" hidden="1">"c18011"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"c83"</definedName>
    <definedName name="IQ_SHAREOUTSTANDING_1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BUSINESS_DESCRIPTION" hidden="1">"c24668"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CM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ECURED_BONDS_NOTES" hidden="1">"c17889"</definedName>
    <definedName name="IQ_SR_SECURED_BONDS_NOTES_PCT" hidden="1">"c18003"</definedName>
    <definedName name="IQ_SR_SECURED_LOANS" hidden="1">"c17888"</definedName>
    <definedName name="IQ_SR_SECURED_LOANS_PCT" hidden="1">"c18002"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R_UNSECURED_BONDS_NOTES" hidden="1">"c17891"</definedName>
    <definedName name="IQ_SR_UNSECURED_BONDS_NOTES_PCT" hidden="1">"c18005"</definedName>
    <definedName name="IQ_ST_DEBT" hidden="1">"c1176"</definedName>
    <definedName name="IQ_ST_DEBT_BNK" hidden="1">"c1177"</definedName>
    <definedName name="IQ_ST_DEBT_BR" hidden="1">"c1178"</definedName>
    <definedName name="IQ_ST_DEBT_CM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CM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CM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"c1204"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MARKET_INDEX" hidden="1">"c21101"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RP_INIT_INVEST_AMT" hidden="1">"c17863"</definedName>
    <definedName name="IQ_TARP_INIT_INVEST_DATE_ANN" hidden="1">"c17861"</definedName>
    <definedName name="IQ_TARP_INIT_INVEST_DATE_CLOSED" hidden="1">"c17862"</definedName>
    <definedName name="IQ_TARP_INVESTOR_STATUS" hidden="1">"c17865"</definedName>
    <definedName name="IQ_TARP_REMAINING_AMT" hidden="1">"c17869"</definedName>
    <definedName name="IQ_TARP_REMAINING_SEC_DES" hidden="1">"c17870"</definedName>
    <definedName name="IQ_TARP_REPAYMENT_DISP" hidden="1">"c17866"</definedName>
    <definedName name="IQ_TARP_REPAYMENT_DISP_AMT" hidden="1">"c17868"</definedName>
    <definedName name="IQ_TARP_REPAYMENT_DISP_DATE" hidden="1">"c17867"</definedName>
    <definedName name="IQ_TARP_ROUND" hidden="1">"c17859"</definedName>
    <definedName name="IQ_TARP_STATUS" hidden="1">"c17864"</definedName>
    <definedName name="IQ_TARP_TR_AMT" hidden="1">"c17857"</definedName>
    <definedName name="IQ_TARP_TR_DATE" hidden="1">"c17856"</definedName>
    <definedName name="IQ_TARP_TR_TYPE" hidden="1">"c17858"</definedName>
    <definedName name="IQ_TARP_TRANSACTION_ID" hidden="1">"c17871"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CM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CM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CM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CM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CM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ERVES" hidden="1">"c21102"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CM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R_SECURED" hidden="1">"c17890"</definedName>
    <definedName name="IQ_TOTAL_SR_SECURED_EBITDA" hidden="1">"c17901"</definedName>
    <definedName name="IQ_TOTAL_SR_SECURED_EBITDA_CAPEX" hidden="1">"c17902"</definedName>
    <definedName name="IQ_TOTAL_SR_SECURED_PCT" hidden="1">"c18004"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CM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_FWD" hidden="1">"c17878"</definedName>
    <definedName name="IQ_TR_IMPLIED_EV_EBITDA" hidden="1">"c2303"</definedName>
    <definedName name="IQ_TR_IMPLIED_EV_EBITDA_FINAL" hidden="1">"c16251"</definedName>
    <definedName name="IQ_TR_IMPLIED_EV_EBITDA_FWD" hidden="1">"c17877"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MPLIED_EV_REV_FWD" hidden="1">"c17876"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FFER_PRICE_BV_FWD" hidden="1">"c17880"</definedName>
    <definedName name="IQ_TR_OFFER_PRICE_EARNINGS_FWD" hidden="1">"c17879"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DILUT_EPS_EXCL" hidden="1">"c17703"</definedName>
    <definedName name="IQ_TR_SELLER_EARNING_CO" hidden="1">"c17702"</definedName>
    <definedName name="IQ_TR_SELLER_EBIT" hidden="1">"c17700"</definedName>
    <definedName name="IQ_TR_SELLER_EBITDA" hidden="1">"c17699"</definedName>
    <definedName name="IQ_TR_SELLER_ID" hidden="1">"c2406"</definedName>
    <definedName name="IQ_TR_SELLER_MIN_INT" hidden="1">"c17707"</definedName>
    <definedName name="IQ_TR_SELLER_NET_DEBT" hidden="1">"c17709"</definedName>
    <definedName name="IQ_TR_SELLER_NI" hidden="1">"c17701"</definedName>
    <definedName name="IQ_TR_SELLER_TOTAL_ASSETS" hidden="1">"c17710"</definedName>
    <definedName name="IQ_TR_SELLER_TOTAL_CASH_ST_INVEST" hidden="1">"c17708"</definedName>
    <definedName name="IQ_TR_SELLER_TOTAL_COMMON_EQ" hidden="1">"c17704"</definedName>
    <definedName name="IQ_TR_SELLER_TOTAL_DEBT" hidden="1">"c17705"</definedName>
    <definedName name="IQ_TR_SELLER_TOTAL_PREF" hidden="1">"c17706"</definedName>
    <definedName name="IQ_TR_SELLER_TOTAL_REV" hidden="1">"c17698"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PIN_DEF_AGRMT_DATE" hidden="1">"c17696"</definedName>
    <definedName name="IQ_TR_SPIN_DIST_RATIO_FINAL" hidden="1">"c17734"</definedName>
    <definedName name="IQ_TR_SPIN_DIST_RATIO_OFFER" hidden="1">"c17728"</definedName>
    <definedName name="IQ_TR_SPIN_DIST_SHARES_FINAL" hidden="1">"c17852"</definedName>
    <definedName name="IQ_TR_SPIN_DIST_SHARES_OFFER" hidden="1">"c17729"</definedName>
    <definedName name="IQ_TR_SPIN_DIST_VALUE" hidden="1">"c17711"</definedName>
    <definedName name="IQ_TR_SPIN_DIST_VALUE_FINAL" hidden="1">"c17722"</definedName>
    <definedName name="IQ_TR_SPIN_DIST_VALUE_OFFER" hidden="1">"c17712"</definedName>
    <definedName name="IQ_TR_SPIN_IMPLIED_EQ_BV_OFFER" hidden="1">"c17721"</definedName>
    <definedName name="IQ_TR_SPIN_IMPLIED_EQ_NI_LTM_OFFER" hidden="1">"c17720"</definedName>
    <definedName name="IQ_TR_SPIN_IMPLIED_EQ_OFFER" hidden="1">"c17714"</definedName>
    <definedName name="IQ_TR_SPIN_IMPLIED_EV_EBIT_OFFER" hidden="1">"c17719"</definedName>
    <definedName name="IQ_TR_SPIN_IMPLIED_EV_EBITDA_OFFER" hidden="1">"c17718"</definedName>
    <definedName name="IQ_TR_SPIN_IMPLIED_EV_OFFER" hidden="1">"c17716"</definedName>
    <definedName name="IQ_TR_SPIN_IMPLIED_EV_REV_OFFER" hidden="1">"c17717"</definedName>
    <definedName name="IQ_TR_SPIN_NET_ASSUM_LIAB_OFFER" hidden="1">"c17715"</definedName>
    <definedName name="IQ_TR_SPIN_PARENT_SHARES_OUT_FINAL" hidden="1">"c17733"</definedName>
    <definedName name="IQ_TR_SPIN_PARENT_SHARES_OUT_OFFER" hidden="1">"c17727"</definedName>
    <definedName name="IQ_TR_SPIN_PCT_DIST_FINAL" hidden="1">"c17723"</definedName>
    <definedName name="IQ_TR_SPIN_PCT_DIST_OFFER" hidden="1">"c17713"</definedName>
    <definedName name="IQ_TR_SPIN_RECORD_DATE" hidden="1">"c17697"</definedName>
    <definedName name="IQ_TR_SPIN_SECURITY_CIQID" hidden="1">"c17724"</definedName>
    <definedName name="IQ_TR_SPIN_SECURITY_PCT_DIST_FINAL" hidden="1">"c17732"</definedName>
    <definedName name="IQ_TR_SPIN_SECURITY_PCT_DIST_OFFER" hidden="1">"c17726"</definedName>
    <definedName name="IQ_TR_SPIN_SECURITY_PRICE_FINAL" hidden="1">"c17731"</definedName>
    <definedName name="IQ_TR_SPIN_SECURITY_PRICE_OFFER" hidden="1">"c17725"</definedName>
    <definedName name="IQ_TR_SPIN_VALUE_CONSID_FINAL" hidden="1">"c17853"</definedName>
    <definedName name="IQ_TR_SPIN_VALUE_CONSID_OFFER" hidden="1">"c17730"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BV_SHARE_EST" hidden="1">"c17885"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_EST" hidden="1">"c17883"</definedName>
    <definedName name="IQ_TR_TARGET_EBITDA" hidden="1">"c2334"</definedName>
    <definedName name="IQ_TR_TARGET_EBITDA_EQ_INC" hidden="1">"c3608"</definedName>
    <definedName name="IQ_TR_TARGET_EBITDA_EST" hidden="1">"c17882"</definedName>
    <definedName name="IQ_TR_TARGET_EPS_EST" hidden="1">"c17884"</definedName>
    <definedName name="IQ_TR_TARGET_EST_CURRENCY" hidden="1">"c17886"</definedName>
    <definedName name="IQ_TR_TARGET_EST_DATE" hidden="1">"c17887"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REVENUE_EST" hidden="1">"c17881"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BALANCE_USD" hidden="1">"c21103"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CM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SECURITIZED" hidden="1">"c17900"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CM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_RATE" hidden="1">"c21104"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"c18"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DEBT" hidden="1">"c17895"</definedName>
    <definedName name="IQ_VARIABLE_RATE_DEBT_PCT" hidden="1">"c18009"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_ALCOHOL" hidden="1">"c21105"</definedName>
    <definedName name="IQ_WHOLESALE_INV_APPAREL" hidden="1">"c21106"</definedName>
    <definedName name="IQ_WHOLESALE_INV_CHEMICALS" hidden="1">"c21107"</definedName>
    <definedName name="IQ_WHOLESALE_INV_COMPUTER" hidden="1">"c21108"</definedName>
    <definedName name="IQ_WHOLESALE_INV_DRUGS" hidden="1">"c21109"</definedName>
    <definedName name="IQ_WHOLESALE_INV_DUR" hidden="1">"c21110"</definedName>
    <definedName name="IQ_WHOLESALE_INV_DUR_MISC" hidden="1">"c21111"</definedName>
    <definedName name="IQ_WHOLESALE_INV_ELECTRIC" hidden="1">"c21112"</definedName>
    <definedName name="IQ_WHOLESALE_INV_EQUIP" hidden="1">"c21113"</definedName>
    <definedName name="IQ_WHOLESALE_INV_FARM_PRODUCT" hidden="1">"c21114"</definedName>
    <definedName name="IQ_WHOLESALE_INV_FURNITURE" hidden="1">"c21115"</definedName>
    <definedName name="IQ_WHOLESALE_INV_GROCERIES" hidden="1">"c21116"</definedName>
    <definedName name="IQ_WHOLESALE_INV_HARDWARE" hidden="1">"c21117"</definedName>
    <definedName name="IQ_WHOLESALE_INV_LUMBER" hidden="1">"c21118"</definedName>
    <definedName name="IQ_WHOLESALE_INV_MACHINERY" hidden="1">"c21119"</definedName>
    <definedName name="IQ_WHOLESALE_INV_METALS_MINERALS" hidden="1">"c21120"</definedName>
    <definedName name="IQ_WHOLESALE_INV_MOTOR_VEHICLE" hidden="1">"c21121"</definedName>
    <definedName name="IQ_WHOLESALE_INV_NONDUR" hidden="1">"c21122"</definedName>
    <definedName name="IQ_WHOLESALE_INV_NONDUR_MISC" hidden="1">"c21123"</definedName>
    <definedName name="IQ_WHOLESALE_INV_PAPER" hidden="1">"c21124"</definedName>
    <definedName name="IQ_WHOLESALE_INV_PETROLEUM" hidden="1">"c21125"</definedName>
    <definedName name="IQ_WHOLESALE_INV_SALES_RATIO_ALCOHOL" hidden="1">"c21126"</definedName>
    <definedName name="IQ_WHOLESALE_INV_SALES_RATIO_APPAREL" hidden="1">"c21127"</definedName>
    <definedName name="IQ_WHOLESALE_INV_SALES_RATIO_CHEMICALS" hidden="1">"c21128"</definedName>
    <definedName name="IQ_WHOLESALE_INV_SALES_RATIO_COMPUTER" hidden="1">"c21129"</definedName>
    <definedName name="IQ_WHOLESALE_INV_SALES_RATIO_DRUGS" hidden="1">"c21130"</definedName>
    <definedName name="IQ_WHOLESALE_INV_SALES_RATIO_DUR" hidden="1">"c21131"</definedName>
    <definedName name="IQ_WHOLESALE_INV_SALES_RATIO_DUR_MISC" hidden="1">"c21132"</definedName>
    <definedName name="IQ_WHOLESALE_INV_SALES_RATIO_ELECTRIC" hidden="1">"c21133"</definedName>
    <definedName name="IQ_WHOLESALE_INV_SALES_RATIO_EQUIP" hidden="1">"c21134"</definedName>
    <definedName name="IQ_WHOLESALE_INV_SALES_RATIO_FARM_PRODUCT" hidden="1">"c21135"</definedName>
    <definedName name="IQ_WHOLESALE_INV_SALES_RATIO_FURNITURE" hidden="1">"c21136"</definedName>
    <definedName name="IQ_WHOLESALE_INV_SALES_RATIO_GROCERIES" hidden="1">"c21137"</definedName>
    <definedName name="IQ_WHOLESALE_INV_SALES_RATIO_HARDWARE" hidden="1">"c21138"</definedName>
    <definedName name="IQ_WHOLESALE_INV_SALES_RATIO_LUMBER" hidden="1">"c21139"</definedName>
    <definedName name="IQ_WHOLESALE_INV_SALES_RATIO_MACHINERY" hidden="1">"c21140"</definedName>
    <definedName name="IQ_WHOLESALE_INV_SALES_RATIO_METALS_MINERALS" hidden="1">"c21141"</definedName>
    <definedName name="IQ_WHOLESALE_INV_SALES_RATIO_MOTOR_VEHICLE" hidden="1">"c21142"</definedName>
    <definedName name="IQ_WHOLESALE_INV_SALES_RATIO_NONDUR" hidden="1">"c21143"</definedName>
    <definedName name="IQ_WHOLESALE_INV_SALES_RATIO_NONDUR_MISC" hidden="1">"c21144"</definedName>
    <definedName name="IQ_WHOLESALE_INV_SALES_RATIO_PAPER" hidden="1">"c21145"</definedName>
    <definedName name="IQ_WHOLESALE_INV_SALES_RATIO_PETROLEUM" hidden="1">"c21146"</definedName>
    <definedName name="IQ_WHOLESALE_INV_SALES_RATIO_TOTAL" hidden="1">"c21147"</definedName>
    <definedName name="IQ_WHOLESALE_INV_TOTAL" hidden="1">"c21148"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LCOHOL" hidden="1">"c21149"</definedName>
    <definedName name="IQ_WHOLESALE_SALES_APPAREL" hidden="1">"c21150"</definedName>
    <definedName name="IQ_WHOLESALE_SALES_APR" hidden="1">"c7688"</definedName>
    <definedName name="IQ_WHOLESALE_SALES_APR_FC" hidden="1">"c8568"</definedName>
    <definedName name="IQ_WHOLESALE_SALES_CHEMICALS" hidden="1">"c21151"</definedName>
    <definedName name="IQ_WHOLESALE_SALES_COMPUTER" hidden="1">"c21152"</definedName>
    <definedName name="IQ_WHOLESALE_SALES_DRUGS" hidden="1">"c21153"</definedName>
    <definedName name="IQ_WHOLESALE_SALES_DUR" hidden="1">"c21154"</definedName>
    <definedName name="IQ_WHOLESALE_SALES_DUR_MISC" hidden="1">"c21155"</definedName>
    <definedName name="IQ_WHOLESALE_SALES_ELECTRIC" hidden="1">"c21156"</definedName>
    <definedName name="IQ_WHOLESALE_SALES_EQUIP" hidden="1">"c21157"</definedName>
    <definedName name="IQ_WHOLESALE_SALES_FARM_PRODUCT" hidden="1">"c21158"</definedName>
    <definedName name="IQ_WHOLESALE_SALES_FC" hidden="1">"c7908"</definedName>
    <definedName name="IQ_WHOLESALE_SALES_FURNITURE" hidden="1">"c21159"</definedName>
    <definedName name="IQ_WHOLESALE_SALES_GROCERIES" hidden="1">"c21160"</definedName>
    <definedName name="IQ_WHOLESALE_SALES_HARDWARE" hidden="1">"c21161"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LUMBER" hidden="1">"c21162"</definedName>
    <definedName name="IQ_WHOLESALE_SALES_MACHINERY" hidden="1">"c21163"</definedName>
    <definedName name="IQ_WHOLESALE_SALES_METALS_MINERALS" hidden="1">"c21164"</definedName>
    <definedName name="IQ_WHOLESALE_SALES_MOTOR_VEHICLE" hidden="1">"c21165"</definedName>
    <definedName name="IQ_WHOLESALE_SALES_NONDUR" hidden="1">"c21166"</definedName>
    <definedName name="IQ_WHOLESALE_SALES_NONDUR_MISC" hidden="1">"c21167"</definedName>
    <definedName name="IQ_WHOLESALE_SALES_PAPER" hidden="1">"c21168"</definedName>
    <definedName name="IQ_WHOLESALE_SALES_PETROLEUM" hidden="1">"c21169"</definedName>
    <definedName name="IQ_WHOLESALE_SALES_POP" hidden="1">"c7248"</definedName>
    <definedName name="IQ_WHOLESALE_SALES_POP_FC" hidden="1">"c8128"</definedName>
    <definedName name="IQ_WHOLESALE_SALES_TOTAL" hidden="1">"c21170"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_ZERO_COUPON_DEBT" hidden="1">"c17896"</definedName>
    <definedName name="IQ_ZERO_COUPON_DEBT_PCT" hidden="1">"c18010"</definedName>
    <definedName name="IQB_BOOKMARK_COUNT" hidden="1">1</definedName>
    <definedName name="IQB_BOOKMARK_LOCATION_0" hidden="1">#REF!</definedName>
    <definedName name="IQB_CURRENT_BOOKMARK" hidden="1">0</definedName>
    <definedName name="IQNAMESREVISIONDATE3xMerge" hidden="1">40814.8169212962</definedName>
    <definedName name="IQNamesRevisionDateEP" hidden="1">40814.8169212962</definedName>
    <definedName name="IQRA11" hidden="1">"$A$12:$A$517"</definedName>
    <definedName name="IQRA13" hidden="1">"$A$14:$A$265"</definedName>
    <definedName name="IQRA14" hidden="1">"$A$15:$A$520"</definedName>
    <definedName name="IQRA2" hidden="1">"$A$3:$A$45"</definedName>
    <definedName name="IQRA3" hidden="1">"$A$4:$A$509"</definedName>
    <definedName name="IQRA8" hidden="1">"$A$9:$A$964"</definedName>
    <definedName name="IQRAA12" hidden="1">"$AA$13"</definedName>
    <definedName name="IQRAA13" hidden="1">"$AA$14"</definedName>
    <definedName name="IQRAB12" hidden="1">"$AB$13"</definedName>
    <definedName name="IQRAcquisitionsAA3" hidden="1">#REF!</definedName>
    <definedName name="IQRAcquisitionsAB3" hidden="1">#REF!</definedName>
    <definedName name="IQRAcquisitionsAC3" hidden="1">#REF!</definedName>
    <definedName name="IQRAcquisitionsB3" hidden="1">#REF!</definedName>
    <definedName name="IQRAcquisitionsC3" hidden="1">#REF!</definedName>
    <definedName name="IQRAcquisitionsD3" hidden="1">#REF!</definedName>
    <definedName name="IQRAcquisitionsE3" hidden="1">#REF!</definedName>
    <definedName name="IQRAcquisitionsF3" hidden="1">#REF!</definedName>
    <definedName name="IQRAcquisitionsG3" hidden="1">#REF!</definedName>
    <definedName name="IQRAcquisitionsH3" hidden="1">#REF!</definedName>
    <definedName name="IQRAcquisitionsI3" hidden="1">#REF!</definedName>
    <definedName name="IQRAcquisitionsJ3" hidden="1">#REF!</definedName>
    <definedName name="IQRAcquisitionsK3" hidden="1">#REF!</definedName>
    <definedName name="IQRAcquisitionsL3" hidden="1">#REF!</definedName>
    <definedName name="IQRAcquisitionsM3" hidden="1">#REF!</definedName>
    <definedName name="IQRAcquisitionsN3" hidden="1">#REF!</definedName>
    <definedName name="IQRAcquisitionsO3" hidden="1">#REF!</definedName>
    <definedName name="IQRAcquisitionsP3" hidden="1">#REF!</definedName>
    <definedName name="IQRAcquisitionsQ3" hidden="1">#REF!</definedName>
    <definedName name="IQRAcquisitionsR3" hidden="1">#REF!</definedName>
    <definedName name="IQRAcquisitionsS3" hidden="1">#REF!</definedName>
    <definedName name="IQRAcquisitionsT3" hidden="1">#REF!</definedName>
    <definedName name="IQRAcquisitionsU3" hidden="1">#REF!</definedName>
    <definedName name="IQRAcquisitionsV3" hidden="1">#REF!</definedName>
    <definedName name="IQRAcquisitionsW3" hidden="1">#REF!</definedName>
    <definedName name="IQRAcquisitionsY3" hidden="1">#REF!</definedName>
    <definedName name="IQRAcquisitionsZ3" hidden="1">#REF!</definedName>
    <definedName name="IQRAM13" hidden="1">"$AM$14:$AM$18"</definedName>
    <definedName name="IQRAN114" hidden="1">"$AN$115:$AN$134"</definedName>
    <definedName name="IQRAQ5" hidden="1">"$AQ$6"</definedName>
    <definedName name="IQRAR36" hidden="1">"$AR$37:$AR$67"</definedName>
    <definedName name="IQRAR6" hidden="1">"$AR$7:$AR$24"</definedName>
    <definedName name="IQRAR7" hidden="1">"$AR$8:$AR$16"</definedName>
    <definedName name="IQRAR8" hidden="1">"$AR$9:$AR$15"</definedName>
    <definedName name="IQRAR9" hidden="1">"$AR$10:$AR$23"</definedName>
    <definedName name="IQRB11" hidden="1">"$B$12:$B$16"</definedName>
    <definedName name="IQRB13" hidden="1">"$B$14:$B$270"</definedName>
    <definedName name="IQRB14" hidden="1">"$B$15:$B$267"</definedName>
    <definedName name="IQRB15" hidden="1">"$B$16:$B$268"</definedName>
    <definedName name="IQRB16" hidden="1">"$B$17:$B$269"</definedName>
    <definedName name="IQRB17" hidden="1">"$B$18:$B$270"</definedName>
    <definedName name="IQRB18" hidden="1">"$B$19:$B$271"</definedName>
    <definedName name="IQRB2" hidden="1">"$B$3:$B$45"</definedName>
    <definedName name="IQRB23" hidden="1">"$B$24:$B$276"</definedName>
    <definedName name="IQRB27" hidden="1">"$B$28:$B$280"</definedName>
    <definedName name="IQRB29" hidden="1">"$B$30:$B$282"</definedName>
    <definedName name="IQRB3" hidden="1">"$B$4:$B$256"</definedName>
    <definedName name="IQRB30" hidden="1">"$B$31:$B$283"</definedName>
    <definedName name="IQRB31" hidden="1">"$B$32:$B$284"</definedName>
    <definedName name="IQRB32" hidden="1">"$B$33:$B$285"</definedName>
    <definedName name="IQRB33" hidden="1">"$B$34:$B$286"</definedName>
    <definedName name="IQRB4" hidden="1">"$B$5:$B$256"</definedName>
    <definedName name="IQRB8" hidden="1">"$B$9:$B$964"</definedName>
    <definedName name="IQRBackupD5" hidden="1">#REF!</definedName>
    <definedName name="IQRBB40" hidden="1">"$BB$41:$BB$45"</definedName>
    <definedName name="IQRBSCashA2" hidden="1">#REF!</definedName>
    <definedName name="IQRBSCashB2" hidden="1">#REF!</definedName>
    <definedName name="IQRC10" hidden="1">"$C$11:$C$263"</definedName>
    <definedName name="IQRC11" hidden="1">"$C$12:$C$967"</definedName>
    <definedName name="IQRC12" hidden="1">"$C$13"</definedName>
    <definedName name="IQRC13" hidden="1">"$C$14:$C$265"</definedName>
    <definedName name="IQRC14" hidden="1">"$C$15:$C$267"</definedName>
    <definedName name="IQRC15" hidden="1">"$C$16:$C$268"</definedName>
    <definedName name="IQRC16" hidden="1">"$C$17:$C$269"</definedName>
    <definedName name="IQRC17" hidden="1">"$C$18:$C$270"</definedName>
    <definedName name="IQRC18" hidden="1">"$C$19:$C$271"</definedName>
    <definedName name="IQRC23" hidden="1">"$C$24:$C$276"</definedName>
    <definedName name="IQRC27" hidden="1">"$C$28:$C$280"</definedName>
    <definedName name="IQRC29" hidden="1">"$C$30:$C$282"</definedName>
    <definedName name="IQRC3" hidden="1">"$C$4:$C$65"</definedName>
    <definedName name="IQRC30" hidden="1">"$C$31:$C$283"</definedName>
    <definedName name="IQRC31" hidden="1">"$C$32:$C$284"</definedName>
    <definedName name="IQRC32" hidden="1">"$C$33:$C$285"</definedName>
    <definedName name="IQRC33" hidden="1">"$C$34:$C$286"</definedName>
    <definedName name="IQRC4" hidden="1">"$C$5:$C$175"</definedName>
    <definedName name="IQRC8" hidden="1">"$C$9:$C$964"</definedName>
    <definedName name="IQRCompaniesCIQOutputH12" hidden="1">#REF!</definedName>
    <definedName name="IQRCompaniesCIQOutputH13" hidden="1">#REF!</definedName>
    <definedName name="IQRCompaniesCIQOutputH14" hidden="1">#REF!</definedName>
    <definedName name="IQRCompaniesCIQOutputH15" hidden="1">#REF!</definedName>
    <definedName name="IQRCompaniesCIQOutputH16" hidden="1">#REF!</definedName>
    <definedName name="IQRCompaniesCIQOutputH17" hidden="1">#REF!</definedName>
    <definedName name="IQRCompaniesCIQOutputH18" hidden="1">#REF!</definedName>
    <definedName name="IQRCompaniesCIQOutputH19" hidden="1">#REF!</definedName>
    <definedName name="IQRCompaniesCIQOutputH20" hidden="1">#REF!</definedName>
    <definedName name="IQRCompaniesCIQOutputH21" hidden="1">#REF!</definedName>
    <definedName name="IQRCompaniesCIQOutputH22" hidden="1">#REF!</definedName>
    <definedName name="IQRCompaniesCIQOutputH23" hidden="1">#REF!</definedName>
    <definedName name="IQRCompaniesCIQOutputH24" hidden="1">#REF!</definedName>
    <definedName name="IQRCompaniesCIQOutputH25" hidden="1">#REF!</definedName>
    <definedName name="IQRCompaniesCIQOutputH26" hidden="1">#REF!</definedName>
    <definedName name="IQRCompaniesCIQOutputH27" hidden="1">#REF!</definedName>
    <definedName name="IQRCompaniesCIQOutputH28" hidden="1">#REF!</definedName>
    <definedName name="IQRCompaniesCIQOutputH29" hidden="1">#REF!</definedName>
    <definedName name="IQRCompaniesCIQOutputH30" hidden="1">#REF!</definedName>
    <definedName name="IQRCompaniesCIQOutputH31" hidden="1">#REF!</definedName>
    <definedName name="IQRCompaniesCIQOutputH32" hidden="1">#REF!</definedName>
    <definedName name="IQRCompaniesCIQOutputH33" hidden="1">#REF!</definedName>
    <definedName name="IQRCompaniesCIQOutputH34" hidden="1">#REF!</definedName>
    <definedName name="IQRCompaniesCIQOutputH35" hidden="1">#REF!</definedName>
    <definedName name="IQRCompaniesCIQOutputH36" hidden="1">#REF!</definedName>
    <definedName name="IQRCompaniesCIQOutputH37" hidden="1">#REF!</definedName>
    <definedName name="IQRCompaniesCIQOutputH38" hidden="1">#REF!</definedName>
    <definedName name="IQRCompaniesCIQOutputH39" hidden="1">#REF!</definedName>
    <definedName name="IQRCompaniesCIQOutputH40" hidden="1">#REF!</definedName>
    <definedName name="IQRCompaniesCIQOutputH41" hidden="1">#REF!</definedName>
    <definedName name="IQRCompaniesCIQOutputH42" hidden="1">#REF!</definedName>
    <definedName name="IQRCompaniesCIQOutputH43" hidden="1">#REF!</definedName>
    <definedName name="IQRCompaniesCIQOutputN12" hidden="1">#REF!</definedName>
    <definedName name="IQRCompaniesCIQOutputN13" hidden="1">#REF!</definedName>
    <definedName name="IQRCompaniesCIQOutputN14" hidden="1">#REF!</definedName>
    <definedName name="IQRCompaniesCIQOutputN15" hidden="1">#REF!</definedName>
    <definedName name="IQRCompaniesCIQOutputN16" hidden="1">#REF!</definedName>
    <definedName name="IQRCompaniesCIQOutputN17" hidden="1">#REF!</definedName>
    <definedName name="IQRCompaniesCIQOutputN18" hidden="1">#REF!</definedName>
    <definedName name="IQRCompaniesCIQOutputN19" hidden="1">#REF!</definedName>
    <definedName name="IQRCompaniesCIQOutputN20" hidden="1">#REF!</definedName>
    <definedName name="IQRCompaniesCIQOutputN21" hidden="1">#REF!</definedName>
    <definedName name="IQRCompaniesCIQOutputN22" hidden="1">#REF!</definedName>
    <definedName name="IQRCompaniesCIQOutputN23" hidden="1">#REF!</definedName>
    <definedName name="IQRCompaniesCIQOutputN24" hidden="1">#REF!</definedName>
    <definedName name="IQRCompaniesCIQOutputN25" hidden="1">#REF!</definedName>
    <definedName name="IQRCompaniesCIQOutputN26" hidden="1">#REF!</definedName>
    <definedName name="IQRCompaniesCIQOutputN27" hidden="1">#REF!</definedName>
    <definedName name="IQRCompaniesCIQOutputN28" hidden="1">#REF!</definedName>
    <definedName name="IQRCompaniesCIQOutputN29" hidden="1">#REF!</definedName>
    <definedName name="IQRCompaniesCIQOutputN30" hidden="1">#REF!</definedName>
    <definedName name="IQRCompaniesCIQOutputN31" hidden="1">#REF!</definedName>
    <definedName name="IQRCompaniesCIQOutputN32" hidden="1">#REF!</definedName>
    <definedName name="IQRCompaniesCIQOutputN33" hidden="1">#REF!</definedName>
    <definedName name="IQRCompaniesCIQOutputN34" hidden="1">#REF!</definedName>
    <definedName name="IQRCompaniesCIQOutputN35" hidden="1">#REF!</definedName>
    <definedName name="IQRCompaniesCIQOutputN36" hidden="1">#REF!</definedName>
    <definedName name="IQRCompaniesCIQOutputN37" hidden="1">#REF!</definedName>
    <definedName name="IQRCompaniesCIQOutputN38" hidden="1">#REF!</definedName>
    <definedName name="IQRCompaniesCIQOutputN39" hidden="1">#REF!</definedName>
    <definedName name="IQRCompaniesCIQOutputN40" hidden="1">#REF!</definedName>
    <definedName name="IQRCompaniesCIQOutputN41" hidden="1">#REF!</definedName>
    <definedName name="IQRCompaniesCIQOutputN42" hidden="1">#REF!</definedName>
    <definedName name="IQRCompaniesCIQOutputN43" hidden="1">#REF!</definedName>
    <definedName name="IQRCompaniesH102" hidden="1">#REF!</definedName>
    <definedName name="IQRCompaniesH103" hidden="1">#REF!</definedName>
    <definedName name="IQRCompaniesH105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4" hidden="1">#REF!</definedName>
    <definedName name="IQRCompaniesH115" hidden="1">#REF!</definedName>
    <definedName name="IQRCompaniesH116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1" hidden="1">#REF!</definedName>
    <definedName name="IQRCompaniesH123" hidden="1">#REF!</definedName>
    <definedName name="IQRCompaniesH124" hidden="1">#REF!</definedName>
    <definedName name="IQRCompaniesH129" hidden="1">#REF!</definedName>
    <definedName name="IQRCompaniesH13" hidden="1">#REF!</definedName>
    <definedName name="IQRCompaniesH133" hidden="1">#REF!</definedName>
    <definedName name="IQRCompaniesH135" hidden="1">#REF!</definedName>
    <definedName name="IQRCompaniesH136" hidden="1">#REF!</definedName>
    <definedName name="IQRCompaniesH138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3" hidden="1">#REF!</definedName>
    <definedName name="IQRCompaniesH147" hidden="1">#REF!</definedName>
    <definedName name="IQRCompaniesH148" hidden="1">#REF!</definedName>
    <definedName name="IQRCompaniesH15" hidden="1">#REF!</definedName>
    <definedName name="IQRCompaniesH152" hidden="1">#REF!</definedName>
    <definedName name="IQRCompaniesH154" hidden="1">#REF!</definedName>
    <definedName name="IQRCompaniesH155" hidden="1">#REF!</definedName>
    <definedName name="IQRCompaniesH158" hidden="1">#REF!</definedName>
    <definedName name="IQRCompaniesH16" hidden="1">#REF!</definedName>
    <definedName name="IQRCompaniesH17" hidden="1">#REF!</definedName>
    <definedName name="IQRCompaniesH18" hidden="1">#REF!</definedName>
    <definedName name="IQRCompaniesH19" hidden="1">#REF!</definedName>
    <definedName name="IQRCompaniesH20" hidden="1">#REF!</definedName>
    <definedName name="IQRCompaniesH21" hidden="1">#REF!</definedName>
    <definedName name="IQRCompaniesH22" hidden="1">#REF!</definedName>
    <definedName name="IQRCompaniesH23" hidden="1">#REF!</definedName>
    <definedName name="IQRCompaniesH24" hidden="1">#REF!</definedName>
    <definedName name="IQRCompaniesH25" hidden="1">#REF!</definedName>
    <definedName name="IQRCompaniesH26" hidden="1">#REF!</definedName>
    <definedName name="IQRCompaniesH27" hidden="1">#REF!</definedName>
    <definedName name="IQRCompaniesH28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0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8" hidden="1">#REF!</definedName>
    <definedName name="IQRCompaniesH91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9" hidden="1">#REF!</definedName>
    <definedName name="IQRCompaniesN102" hidden="1">#REF!</definedName>
    <definedName name="IQRCompaniesN103" hidden="1">#REF!</definedName>
    <definedName name="IQRCompaniesN105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4" hidden="1">#REF!</definedName>
    <definedName name="IQRCompaniesN115" hidden="1">#REF!</definedName>
    <definedName name="IQRCompaniesN116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1" hidden="1">#REF!</definedName>
    <definedName name="IQRCompaniesN123" hidden="1">#REF!</definedName>
    <definedName name="IQRCompaniesN124" hidden="1">#REF!</definedName>
    <definedName name="IQRCompaniesN129" hidden="1">#REF!</definedName>
    <definedName name="IQRCompaniesN13" hidden="1">#REF!</definedName>
    <definedName name="IQRCompaniesN133" hidden="1">#REF!</definedName>
    <definedName name="IQRCompaniesN135" hidden="1">#REF!</definedName>
    <definedName name="IQRCompaniesN136" hidden="1">#REF!</definedName>
    <definedName name="IQRCompaniesN138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3" hidden="1">#REF!</definedName>
    <definedName name="IQRCompaniesN147" hidden="1">#REF!</definedName>
    <definedName name="IQRCompaniesN148" hidden="1">#REF!</definedName>
    <definedName name="IQRCompaniesN15" hidden="1">#REF!</definedName>
    <definedName name="IQRCompaniesN152" hidden="1">#REF!</definedName>
    <definedName name="IQRCompaniesN154" hidden="1">#REF!</definedName>
    <definedName name="IQRCompaniesN155" hidden="1">#REF!</definedName>
    <definedName name="IQRCompaniesN158" hidden="1">#REF!</definedName>
    <definedName name="IQRCompaniesN16" hidden="1">#REF!</definedName>
    <definedName name="IQRCompaniesN17" hidden="1">#REF!</definedName>
    <definedName name="IQRCompaniesN18" hidden="1">#REF!</definedName>
    <definedName name="IQRCompaniesN19" hidden="1">#REF!</definedName>
    <definedName name="IQRCompaniesN20" hidden="1">#REF!</definedName>
    <definedName name="IQRCompaniesN21" hidden="1">#REF!</definedName>
    <definedName name="IQRCompaniesN22" hidden="1">#REF!</definedName>
    <definedName name="IQRCompaniesN23" hidden="1">#REF!</definedName>
    <definedName name="IQRCompaniesN24" hidden="1">#REF!</definedName>
    <definedName name="IQRCompaniesN25" hidden="1">#REF!</definedName>
    <definedName name="IQRCompaniesN26" hidden="1">#REF!</definedName>
    <definedName name="IQRCompaniesN27" hidden="1">#REF!</definedName>
    <definedName name="IQRCompaniesN28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0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8" hidden="1">#REF!</definedName>
    <definedName name="IQRCompaniesN91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9" hidden="1">#REF!</definedName>
    <definedName name="IQRCompanyProfilerAE54" hidden="1">#REF!</definedName>
    <definedName name="IQRCompanyProfilerF101" hidden="1">#REF!</definedName>
    <definedName name="IQRCompanyProfilerI54" hidden="1">#REF!</definedName>
    <definedName name="IQRCompsTableCJ15" hidden="1">#REF!</definedName>
    <definedName name="IQRD11" hidden="1">"$D$12:$D$967"</definedName>
    <definedName name="IQRD14" hidden="1">"$D$15:$D$267"</definedName>
    <definedName name="IQRD15" hidden="1">"$D$16:$D$268"</definedName>
    <definedName name="IQRD16" hidden="1">"$D$17:$D$269"</definedName>
    <definedName name="IQRD17" hidden="1">"$D$18:$D$270"</definedName>
    <definedName name="IQRD18" hidden="1">"$D$19:$D$271"</definedName>
    <definedName name="IQRD19" hidden="1">"$D$20:$D$24"</definedName>
    <definedName name="IQRD23" hidden="1">"$D$24:$D$276"</definedName>
    <definedName name="IQRD27" hidden="1">"$D$28:$D$280"</definedName>
    <definedName name="IQRD29" hidden="1">"$D$30:$D$282"</definedName>
    <definedName name="IQRD30" hidden="1">"$D$31:$D$283"</definedName>
    <definedName name="IQRD31" hidden="1">"$D$32:$D$284"</definedName>
    <definedName name="IQRD32" hidden="1">"$D$33:$D$285"</definedName>
    <definedName name="IQRD33" hidden="1">"$D$34:$D$286"</definedName>
    <definedName name="IQRD5" hidden="1">"$D$6:$D$426"</definedName>
    <definedName name="IQRD8" hidden="1">"$D$9:$D$964"</definedName>
    <definedName name="IQRE13" hidden="1">"$E$14"</definedName>
    <definedName name="IQRE14" hidden="1">"$E$15:$E$267"</definedName>
    <definedName name="IQRE15" hidden="1">"$E$16:$E$268"</definedName>
    <definedName name="IQRE16" hidden="1">"$E$17:$E$269"</definedName>
    <definedName name="IQRE17" hidden="1">"$E$18:$E$270"</definedName>
    <definedName name="IQRE18" hidden="1">"$E$19:$E$271"</definedName>
    <definedName name="IQRE23" hidden="1">"$E$24:$E$276"</definedName>
    <definedName name="IQRE27" hidden="1">"$E$28:$E$280"</definedName>
    <definedName name="IQRE29" hidden="1">"$E$30:$E$282"</definedName>
    <definedName name="IQRE30" hidden="1">"$E$31:$E$283"</definedName>
    <definedName name="IQRE31" hidden="1">"$E$32:$E$284"</definedName>
    <definedName name="IQRE32" hidden="1">"$E$33:$E$285"</definedName>
    <definedName name="IQRE33" hidden="1">"$E$34:$E$286"</definedName>
    <definedName name="IQRE5" hidden="1">"$E$6:$E$9"</definedName>
    <definedName name="IQRE8" hidden="1">"$E$9:$E$964"</definedName>
    <definedName name="IQRExchangeRatioGraphC13" hidden="1">#REF!</definedName>
    <definedName name="IQRF12" hidden="1">"$F$13"</definedName>
    <definedName name="IQRF13" hidden="1">"$F$14"</definedName>
    <definedName name="IQRF14" hidden="1">"$F$15"</definedName>
    <definedName name="IQRF33" hidden="1">"$F$34:$F$286"</definedName>
    <definedName name="IQRF7" hidden="1">"$F$8:$F$50"</definedName>
    <definedName name="IQRFactSetPricesG14" hidden="1">#REF!</definedName>
    <definedName name="IQRFactSetPricesJ14" hidden="1">#REF!</definedName>
    <definedName name="IQRFactSetPricesP14" hidden="1">#REF!</definedName>
    <definedName name="IQRFactSetPricesS14" hidden="1">#REF!</definedName>
    <definedName name="IQRFundingAmountD10" hidden="1">#REF!</definedName>
    <definedName name="IQRFundingAmountD12" hidden="1">#REF!</definedName>
    <definedName name="IQRFundingAmountD13" hidden="1">#REF!</definedName>
    <definedName name="IQRFundingAmountD14" hidden="1">#REF!</definedName>
    <definedName name="IQRFundingAmountD17" hidden="1">#REF!</definedName>
    <definedName name="IQRFundingAmountD18" hidden="1">#REF!</definedName>
    <definedName name="IQRFundingAmountD19" hidden="1">#REF!</definedName>
    <definedName name="IQRFundingAmountD20" hidden="1">#REF!</definedName>
    <definedName name="IQRFundingAmountD21" hidden="1">#REF!</definedName>
    <definedName name="IQRFundingAmountD22" hidden="1">#REF!</definedName>
    <definedName name="IQRFundingAmountD23" hidden="1">#REF!</definedName>
    <definedName name="IQRFundingAmountD24" hidden="1">#REF!</definedName>
    <definedName name="IQRFundingAmountD25" hidden="1">#REF!</definedName>
    <definedName name="IQRFundingAmountD26" hidden="1">#REF!</definedName>
    <definedName name="IQRFundingAmountD27" hidden="1">#REF!</definedName>
    <definedName name="IQRFundingAmountD28" hidden="1">#REF!</definedName>
    <definedName name="IQRFundingAmountD29" hidden="1">#REF!</definedName>
    <definedName name="IQRFundingAmountD30" hidden="1">#REF!</definedName>
    <definedName name="IQRFundingAmountD31" hidden="1">#REF!</definedName>
    <definedName name="IQRFundingAmountD32" hidden="1">#REF!</definedName>
    <definedName name="IQRFundingAmountD33" hidden="1">#REF!</definedName>
    <definedName name="IQRFundingAmountD34" hidden="1">#REF!</definedName>
    <definedName name="IQRFundingAmountD36" hidden="1">#REF!</definedName>
    <definedName name="IQRFundingAmountD5" hidden="1">#REF!</definedName>
    <definedName name="IQRFundingAmountD6" hidden="1">#REF!</definedName>
    <definedName name="IQRFundingAmountD7" hidden="1">#REF!</definedName>
    <definedName name="IQRFundingAmountD8" hidden="1">#REF!</definedName>
    <definedName name="IQRFundingAmountD9" hidden="1">#REF!</definedName>
    <definedName name="IQRG12" hidden="1">"$H$12:$L$12"</definedName>
    <definedName name="IQRG14" hidden="1">"$G$15:$G$267"</definedName>
    <definedName name="IQRG15" hidden="1">"$G$16:$G$268"</definedName>
    <definedName name="IQRG16" hidden="1">"$G$17:$G$269"</definedName>
    <definedName name="IQRG17" hidden="1">"$G$18:$G$270"</definedName>
    <definedName name="IQRG18" hidden="1">"$G$19:$G$271"</definedName>
    <definedName name="IQRG23" hidden="1">"$G$24:$G$276"</definedName>
    <definedName name="IQRG27" hidden="1">"$G$28:$G$280"</definedName>
    <definedName name="IQRG29" hidden="1">"$G$30:$G$282"</definedName>
    <definedName name="IQRG30" hidden="1">"$G$31:$G$283"</definedName>
    <definedName name="IQRG31" hidden="1">"$G$32:$G$284"</definedName>
    <definedName name="IQRG32" hidden="1">"$G$33:$G$285"</definedName>
    <definedName name="IQRG33" hidden="1">"$G$34:$G$286"</definedName>
    <definedName name="IQRGraphsZ13" hidden="1">#REF!</definedName>
    <definedName name="IQRH12" hidden="1">"$I$12:$M$12"</definedName>
    <definedName name="IQRH13" hidden="1">"$I$13"</definedName>
    <definedName name="IQRH14" hidden="1">"$H$15:$H$267"</definedName>
    <definedName name="IQRH15" hidden="1">"$H$16:$H$268"</definedName>
    <definedName name="IQRH16" hidden="1">"$H$17:$H$269"</definedName>
    <definedName name="IQRH17" hidden="1">"$H$18:$H$270"</definedName>
    <definedName name="IQRH18" hidden="1">"$H$19:$H$271"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"$H$24:$H$276"</definedName>
    <definedName name="IQRH24" hidden="1">"$I$24"</definedName>
    <definedName name="IQRH25" hidden="1">"$I$25"</definedName>
    <definedName name="IQRH26" hidden="1">"$I$26"</definedName>
    <definedName name="IQRH27" hidden="1">"$H$28:$H$280"</definedName>
    <definedName name="IQRH28" hidden="1">"$I$28"</definedName>
    <definedName name="IQRH29" hidden="1">"$H$30:$H$282"</definedName>
    <definedName name="IQRH30" hidden="1">"$H$31:$H$283"</definedName>
    <definedName name="IQRH31" hidden="1">"$H$32:$H$284"</definedName>
    <definedName name="IQRH32" hidden="1">"$H$33:$H$285"</definedName>
    <definedName name="IQRH33" hidden="1">"$H$34:$H$286"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47" hidden="1">"$I$47"</definedName>
    <definedName name="IQRH48" hidden="1">"$I$48"</definedName>
    <definedName name="IQRH49" hidden="1">"$I$49"</definedName>
    <definedName name="IQRH50" hidden="1">"$I$50"</definedName>
    <definedName name="IQRH51" hidden="1">"$I$51"</definedName>
    <definedName name="IQRI10" hidden="1">"$I$11:$I$388"</definedName>
    <definedName name="IQRI12" hidden="1">"$I$13"</definedName>
    <definedName name="IQRI13" hidden="1">"$I$14"</definedName>
    <definedName name="IQRI14" hidden="1">"$I$15:$I$267"</definedName>
    <definedName name="IQRI15" hidden="1">"$I$16:$I$268"</definedName>
    <definedName name="IQRI16" hidden="1">"$I$17:$I$269"</definedName>
    <definedName name="IQRI17" hidden="1">"$I$18:$I$270"</definedName>
    <definedName name="IQRI18" hidden="1">"$I$19:$I$271"</definedName>
    <definedName name="IQRI23" hidden="1">"$I$24:$I$276"</definedName>
    <definedName name="IQRI27" hidden="1">"$I$28:$I$280"</definedName>
    <definedName name="IQRI29" hidden="1">"$I$30:$I$282"</definedName>
    <definedName name="IQRI30" hidden="1">"$I$31:$I$283"</definedName>
    <definedName name="IQRI31" hidden="1">"$I$32:$I$284"</definedName>
    <definedName name="IQRI32" hidden="1">"$I$33:$I$285"</definedName>
    <definedName name="IQRI33" hidden="1">"$I$34:$I$286"</definedName>
    <definedName name="IQRIndexChartC13" hidden="1">#REF!</definedName>
    <definedName name="IQRJ12" hidden="1">"$J$13"</definedName>
    <definedName name="IQRJ33" hidden="1">"$J$34:$J$286"</definedName>
    <definedName name="IQRK12" hidden="1">"$K$13"</definedName>
    <definedName name="IQRK13" hidden="1">"$K$14:$K$34"</definedName>
    <definedName name="IQRL12" hidden="1">"$L$13:$L$34"</definedName>
    <definedName name="IQRL13" hidden="1">"$L$14:$L$34"</definedName>
    <definedName name="IQRM12" hidden="1">"$N$12:$R$12"</definedName>
    <definedName name="IQRM13" hidden="1">"$M$14:$M$34"</definedName>
    <definedName name="IQRN12" hidden="1">"$O$12:$S$12"</definedName>
    <definedName name="IQRN13" hidden="1">"$O$13"</definedName>
    <definedName name="IQRN14" hidden="1">"$O$14"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N29" hidden="1">"$O$29:$S$29"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 hidden="1">"$O$38:$S$38"</definedName>
    <definedName name="IQRN39" hidden="1">"$O$39"</definedName>
    <definedName name="IQRN40" hidden="1">"$O$40"</definedName>
    <definedName name="IQRN41" hidden="1">"$O$41"</definedName>
    <definedName name="IQRN42" hidden="1">"$O$42"</definedName>
    <definedName name="IQRN43" hidden="1">"$O$43"</definedName>
    <definedName name="IQRN44" hidden="1">"$O$44"</definedName>
    <definedName name="IQRN45" hidden="1">"$O$45"</definedName>
    <definedName name="IQRN46" hidden="1">"$O$46"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6" hidden="1">"$N$7"</definedName>
    <definedName name="IQRO12" hidden="1">"$O$13"</definedName>
    <definedName name="IQRO13" hidden="1">"$O$14"</definedName>
    <definedName name="IQRP12" hidden="1">"$P$13"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Q12" hidden="1">"$Q$13"</definedName>
    <definedName name="IQRQ13" hidden="1">"$Q$14"</definedName>
    <definedName name="IQRR12" hidden="1">"$R$13"</definedName>
    <definedName name="IQRR13" hidden="1">"$R$14"</definedName>
    <definedName name="IQRS12" hidden="1">"$S$13"</definedName>
    <definedName name="IQRS13" hidden="1">"$S$14"</definedName>
    <definedName name="IQRSheet1C3" hidden="1">#REF!</definedName>
    <definedName name="IQRSheet1H12" hidden="1">#REF!</definedName>
    <definedName name="IQRSheet1H13" hidden="1">#REF!</definedName>
    <definedName name="IQRSheet1H14" hidden="1">#REF!</definedName>
    <definedName name="IQRSheet1H15" hidden="1">#REF!</definedName>
    <definedName name="IQRSheet1H16" hidden="1">#REF!</definedName>
    <definedName name="IQRSheet1H17" hidden="1">#REF!</definedName>
    <definedName name="IQRSheet1H18" hidden="1">#REF!</definedName>
    <definedName name="IQRSheet1H19" hidden="1">#REF!</definedName>
    <definedName name="IQRSheet1H20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0" hidden="1">#REF!</definedName>
    <definedName name="IQRSheet3C10" hidden="1">#REF!</definedName>
    <definedName name="IQRSheet3C11" hidden="1">#REF!</definedName>
    <definedName name="IQRSheet3C13" hidden="1">#REF!</definedName>
    <definedName name="IQRSheet3C15" hidden="1">#REF!</definedName>
    <definedName name="IQRSheet3C16" hidden="1">#REF!</definedName>
    <definedName name="IQRSheet3C17" hidden="1">#REF!</definedName>
    <definedName name="IQRSheet3C19" hidden="1">#REF!</definedName>
    <definedName name="IQRSheet3C20" hidden="1">#REF!</definedName>
    <definedName name="IQRSheet3C21" hidden="1">#REF!</definedName>
    <definedName name="IQRSheet3C22" hidden="1">#REF!</definedName>
    <definedName name="IQRSheet3C23" hidden="1">#REF!</definedName>
    <definedName name="IQRSheet3C24" hidden="1">#REF!</definedName>
    <definedName name="IQRSheet3C27" hidden="1">#REF!</definedName>
    <definedName name="IQRSheet3C28" hidden="1">#REF!</definedName>
    <definedName name="IQRSheet3C29" hidden="1">#REF!</definedName>
    <definedName name="IQRSheet3C30" hidden="1">#REF!</definedName>
    <definedName name="IQRSheet3C4" hidden="1">#REF!</definedName>
    <definedName name="IQRSheet3C6" hidden="1">#REF!</definedName>
    <definedName name="IQRSheet3C7" hidden="1">#REF!</definedName>
    <definedName name="IQRSheet3C8" hidden="1">#REF!</definedName>
    <definedName name="IQRSheet3C9" hidden="1">#REF!</definedName>
    <definedName name="IQRT12" hidden="1">"$T$13"</definedName>
    <definedName name="IQRT13" hidden="1">"$T$14"</definedName>
    <definedName name="IQRT38" hidden="1">"$T$39:$T$291"</definedName>
    <definedName name="IQRU12" hidden="1">"$U$13"</definedName>
    <definedName name="IQRU13" hidden="1">"$U$14"</definedName>
    <definedName name="IQRU14" hidden="1">"$U$15:$U$19"</definedName>
    <definedName name="IQRV12" hidden="1">"$V$13"</definedName>
    <definedName name="IQRV13" hidden="1">"$V$14"</definedName>
    <definedName name="IQRW12" hidden="1">"$W$13"</definedName>
    <definedName name="IQRW13" hidden="1">"$W$14"</definedName>
    <definedName name="IQRX12" hidden="1">"$X$13"</definedName>
    <definedName name="IQRX13" hidden="1">"$X$14"</definedName>
    <definedName name="IQRY12" hidden="1">"$Y$13"</definedName>
    <definedName name="IQRY13" hidden="1">"$Y$14"</definedName>
    <definedName name="IQRZ12" hidden="1">"$Z$13"</definedName>
    <definedName name="IQRZ13" hidden="1">"$Z$14"</definedName>
    <definedName name="IQRZ38" hidden="1">"$Z$39:$Z$43"</definedName>
    <definedName name="IQSFINListB13" hidden="1">"$B$14:$B$1369"</definedName>
    <definedName name="IQSFINListB15" hidden="1">"$B$16:$B$443"</definedName>
    <definedName name="iQShowHideColumns" hidden="1">"iQShowAnnual"</definedName>
    <definedName name="IQSInputsB8" hidden="1">"$B$9:$B$135"</definedName>
    <definedName name="IQSInputsC51" hidden="1">"$C$52:$C$140"</definedName>
    <definedName name="IQSListB262" hidden="1">"$B$263:$B$350"</definedName>
    <definedName name="IQSListB85" hidden="1">"$B$86:$B$308"</definedName>
    <definedName name="IQSListC329" hidden="1">"$C$330:$C$384"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ITW" hidden="1">{"bs",#N/A,FALSE,"SCF"}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j" hidden="1">{"Page 1",#N/A,FALSE,"Sheet1";"Page 2",#N/A,FALSE,"Sheet1"}</definedName>
    <definedName name="jj_1" hidden="1">{"Page 1",#N/A,FALSE,"Sheet1";"Page 2",#N/A,FALSE,"Sheet1"}</definedName>
    <definedName name="jk" hidden="1">{#N/A,#N/A,FALSE,"FY97";#N/A,#N/A,FALSE,"FY98";#N/A,#N/A,FALSE,"FY99";#N/A,#N/A,FALSE,"FY00";#N/A,#N/A,FALSE,"FY01"}</definedName>
    <definedName name="k" hidden="1">{"'Standalone List Price Trends'!$A$1:$X$56"}</definedName>
    <definedName name="k_1" hidden="1">{"'Standalone List Price Trends'!$A$1:$X$56"}</definedName>
    <definedName name="K2_WBEVMODE" hidden="1">-1</definedName>
    <definedName name="Key1a" hidden="1">#REF!</definedName>
    <definedName name="Key2a" hidden="1">#REF!</definedName>
    <definedName name="kl" hidden="1">{#N/A,#N/A,FALSE,"FY97";#N/A,#N/A,FALSE,"FY98";#N/A,#N/A,FALSE,"FY99";#N/A,#N/A,FALSE,"FY00";#N/A,#N/A,FALSE,"FY01"}</definedName>
    <definedName name="klk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last" hidden="1">#REF!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imcount" hidden="1">1</definedName>
    <definedName name="ListOffset" hidden="1">1</definedName>
    <definedName name="lkjlkj" hidden="1">{"Final",#N/A,FALSE,"Feb-96"}</definedName>
    <definedName name="lklkl" hidden="1">{"consolidated",#N/A,FALSE,"Sheet1";"cms",#N/A,FALSE,"Sheet1";"fse",#N/A,FALSE,"Sheet1"}</definedName>
    <definedName name="ll" hidden="1">{#N/A,#N/A,FALSE,"Aging Summary";#N/A,#N/A,FALSE,"Ratio Analysis";#N/A,#N/A,FALSE,"Test 120 Day Accts";#N/A,#N/A,FALSE,"Tickmarks"}</definedName>
    <definedName name="ll_1" hidden="1">{#N/A,#N/A,FALSE,"Aging Summary";#N/A,#N/A,FALSE,"Ratio Analysis";#N/A,#N/A,FALSE,"Test 120 Day Accts";#N/A,#N/A,FALSE,"Tickmarks"}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llll" hidden="1">{"MESROS",#N/A,FALSE,"ROS";"MESOFF",#N/A,FALSE,"OFF";"MESBEA",#N/A,FALSE,"BEA";"MESCOF",#N/A,FALSE,"COF";"MESTEL",#N/A,FALSE,"TEL";"MESCON",#N/A,FALSE,"CON";"MESINT",#N/A,FALSE,"INT"}</definedName>
    <definedName name="lnk_CoName" hidden="1">#REF!</definedName>
    <definedName name="lnk_countryID" hidden="1">#REF!</definedName>
    <definedName name="lnk_cpyID" hidden="1">#REF!</definedName>
    <definedName name="lnk_display_Currency" hidden="1">#REF!</definedName>
    <definedName name="lnk_drate_update" hidden="1">#REF!</definedName>
    <definedName name="lnk_IndustryType" hidden="1">#REF!</definedName>
    <definedName name="lnk_LastFiscalYear" hidden="1">#REF!</definedName>
    <definedName name="lnk_numForecastYears" hidden="1">#REF!</definedName>
    <definedName name="lnk_numHistoricalYears" hidden="1">#REF!</definedName>
    <definedName name="lnk_Print_Area" hidden="1">#REF!</definedName>
    <definedName name="lnk_rData_Start_Driver" hidden="1">#REF!</definedName>
    <definedName name="lnk_rData_Start_Result" hidden="1">#REF!</definedName>
    <definedName name="lnk_rDataStart" hidden="1">#REF!</definedName>
    <definedName name="lnk_rSourceFore" hidden="1">#REF!</definedName>
    <definedName name="lnk_rSourceFore1st" hidden="1">#REF!</definedName>
    <definedName name="lnk_rSourceHist" hidden="1">#REF!</definedName>
    <definedName name="lnk_rYearRow" hidden="1">#REF!</definedName>
    <definedName name="lnk_rYearRow_Driver" hidden="1">#REF!</definedName>
    <definedName name="lnk_rYearRow_Result" hidden="1">#REF!</definedName>
    <definedName name="lnk_ScenarioName" hidden="1">#REF!</definedName>
    <definedName name="lnk_TICK" hidden="1">#REF!</definedName>
    <definedName name="lnk_update" hidden="1">#REF!</definedName>
    <definedName name="lnk_version" hidden="1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tusGraphChart1" hidden="1">#N/A</definedName>
    <definedName name="lotusgraphchart1b" hidden="1">#N/A</definedName>
    <definedName name="lotusgraphchart1x" hidden="1">#N/A</definedName>
    <definedName name="ltmnonasset1" hidden="1">#REF!</definedName>
    <definedName name="ltmnonasset2" hidden="1">#REF!</definedName>
    <definedName name="ltmnonliab1" hidden="1">#REF!</definedName>
    <definedName name="ltmnonliab2" hidden="1">#REF!</definedName>
    <definedName name="Major_Accomp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ay1Forecast" hidden="1">{"Page 1",#N/A,FALSE,"Sheet1";"Page 2",#N/A,FALSE,"Sheet1"}</definedName>
    <definedName name="May1Forecast_1" hidden="1">{"Page 1",#N/A,FALSE,"Sheet1";"Page 2",#N/A,FALSE,"Sheet1"}</definedName>
    <definedName name="MayForecast" hidden="1">{"Page 1",#N/A,FALSE,"Sheet1";"Page 2",#N/A,FALSE,"Sheet1"}</definedName>
    <definedName name="MayForecast_1" hidden="1">{"Page 1",#N/A,FALSE,"Sheet1";"Page 2",#N/A,FALSE,"Sheet1"}</definedName>
    <definedName name="medmult" hidden="1">#REF!</definedName>
    <definedName name="Merge___hhh9" hidden="1">{#N/A,#N/A,FALSE,"MAY";#N/A,#N/A,FALSE,"Q2";#N/A,#N/A,FALSE,"YTD"}</definedName>
    <definedName name="Merge___uuu11" hidden="1">{#N/A,#N/A,FALSE,"MAY";#N/A,#N/A,FALSE,"Q2";#N/A,#N/A,FALSE,"YTD"}</definedName>
    <definedName name="Merge__hhh9" hidden="1">{#N/A,#N/A,FALSE,"MAY";#N/A,#N/A,FALSE,"Q2";#N/A,#N/A,FALSE,"YTD"}</definedName>
    <definedName name="Merge__uuu11" hidden="1">{#N/A,#N/A,FALSE,"MAY";#N/A,#N/A,FALSE,"Q2";#N/A,#N/A,FALSE,"YTD"}</definedName>
    <definedName name="Merge_hhh9" hidden="1">{#N/A,#N/A,FALSE,"MAY";#N/A,#N/A,FALSE,"Q2";#N/A,#N/A,FALSE,"YTD"}</definedName>
    <definedName name="Merge_uuu11" hidden="1">{#N/A,#N/A,FALSE,"MAY";#N/A,#N/A,FALSE,"Q2";#N/A,#N/A,FALSE,"YTD"}</definedName>
    <definedName name="Merge2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commonstart" hidden="1">#REF!</definedName>
    <definedName name="MergeDATA_01" hidden="1">#REF!</definedName>
    <definedName name="Mergeddd" hidden="1">{"histincome",#N/A,FALSE,"hyfins";"closing balance",#N/A,FALSE,"hyfins"}</definedName>
    <definedName name="Mergedsfadsf" hidden="1">{"histincome",#N/A,FALSE,"hyfins";"closing balance",#N/A,FALSE,"hyfins"}</definedName>
    <definedName name="MergeHemorrhage" hidden="1">{"mgmt forecast",#N/A,FALSE,"Mgmt Forecast";"dcf table",#N/A,FALSE,"Mgmt Forecast";"sensitivity",#N/A,FALSE,"Mgmt Forecast";"table inputs",#N/A,FALSE,"Mgmt Forecast";"calculations",#N/A,FALSE,"Mgmt Forecast"}</definedName>
    <definedName name="Mergehhh9" hidden="1">{#N/A,#N/A,FALSE,"MAY";#N/A,#N/A,FALSE,"Q2";#N/A,#N/A,FALSE,"YTD"}</definedName>
    <definedName name="Mergehhhh" hidden="1">{#N/A,#N/A,FALSE,"MAY";#N/A,#N/A,FALSE,"Q2";#N/A,#N/A,FALSE,"YTD"}</definedName>
    <definedName name="Mergehhhh1" hidden="1">{#N/A,#N/A,FALSE,"MAY";#N/A,#N/A,FALSE,"Q2";#N/A,#N/A,FALSE,"YTD"}</definedName>
    <definedName name="Mergehhhh7000" hidden="1">{#N/A,#N/A,FALSE,"MAY";#N/A,#N/A,FALSE,"Q2";#N/A,#N/A,FALSE,"YTD"}</definedName>
    <definedName name="MergeHTML_Control" hidden="1">{"'Sheet1'!$A$1:$L$21"}</definedName>
    <definedName name="Mergeklk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lkjkj" hidden="1">{"Final",#N/A,FALSE,"Feb-96"}</definedName>
    <definedName name="Mergenewname7000" hidden="1">{#N/A,#N/A,FALSE,"MAY";#N/A,#N/A,FALSE,"Q2";#N/A,#N/A,FALSE,"YTD"}</definedName>
    <definedName name="Mergenewname9" hidden="1">{#N/A,#N/A,FALSE,"MAY";#N/A,#N/A,FALSE,"Q2";#N/A,#N/A,FALSE,"YTD"}</definedName>
    <definedName name="Mergeo" hidden="1">{#N/A,#N/A,FALSE,"New Depr Sch-150% DB";#N/A,#N/A,FALSE,"Cash Flows RLP";#N/A,#N/A,FALSE,"IRR";#N/A,#N/A,FALSE,"Proforma IS";#N/A,#N/A,FALSE,"Assumptions"}</definedName>
    <definedName name="Merge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uuu11" hidden="1">{#N/A,#N/A,FALSE,"MAY";#N/A,#N/A,FALSE,"Q2";#N/A,#N/A,FALSE,"YTD"}</definedName>
    <definedName name="Mergeuuuu" hidden="1">{#N/A,#N/A,FALSE,"MAY";#N/A,#N/A,FALSE,"Q2";#N/A,#N/A,FALSE,"YTD"}</definedName>
    <definedName name="Mergeuuuu1" hidden="1">{#N/A,#N/A,FALSE,"MAY";#N/A,#N/A,FALSE,"Q2";#N/A,#N/A,FALSE,"YTD"}</definedName>
    <definedName name="Mergeuuuu9" hidden="1">{#N/A,#N/A,FALSE,"MAY";#N/A,#N/A,FALSE,"Q2";#N/A,#N/A,FALSE,"YTD"}</definedName>
    <definedName name="Mergewhat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rn.Aging._.and._.Trend._.Analysis" hidden="1">{#N/A,#N/A,FALSE,"Aging Summary";#N/A,#N/A,FALSE,"Ratio Analysis";#N/A,#N/A,FALSE,"Test 120 Day Accts";#N/A,#N/A,FALSE,"Tickmarks"}</definedName>
    <definedName name="Mergewrn.Basic.Report" hidden="1">{#N/A,#N/A,FALSE,"New Depr Sch-150% DB";#N/A,#N/A,FALSE,"Cash Flows RLP";#N/A,#N/A,FALSE,"IRR";#N/A,#N/A,FALSE,"Proforma IS";#N/A,#N/A,FALSE,"Assumptions"}</definedName>
    <definedName name="Merge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Merge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Complete._.Report." hidden="1">{#N/A,#N/A,FALSE,"Assumptions";#N/A,#N/A,FALSE,"Proforma IS";#N/A,#N/A,FALSE,"Cash Flows RLP";#N/A,#N/A,FALSE,"IRR";#N/A,#N/A,FALSE,"New Depr Sch-150% DB";#N/A,#N/A,FALSE,"Comments"}</definedName>
    <definedName name="Mergewrn.consolidated." hidden="1">{"IS_planvsActual",#N/A,FALSE,"IS_Plan-Act";"IS_curr&amp;YTD",#N/A,FALSE,"IS";"BS_curr&amp;lastmo",#N/A,FALSE,"BS";"bs 4 qtrs",#N/A,FALSE,"BS";"cf",#N/A,FALSE,"CF"}</definedName>
    <definedName name="Mergewrn.dcf." hidden="1">{"mgmt forecast",#N/A,FALSE,"Mgmt Forecast";"dcf table",#N/A,FALSE,"Mgmt Forecast";"sensitivity",#N/A,FALSE,"Mgmt Forecast";"table inputs",#N/A,FALSE,"Mgmt Forecast";"calculations",#N/A,FALSE,"Mgmt Forecast"}</definedName>
    <definedName name="Mergewrn.dcf2." hidden="1">{"mgmt forecast",#N/A,FALSE,"Mgmt Forecast";"dcf table",#N/A,FALSE,"Mgmt Forecast";"sensitivity",#N/A,FALSE,"Mgmt Forecast";"table inputs",#N/A,FALSE,"Mgmt Forecast";"calculations",#N/A,FALSE,"Mgmt Forecast"}</definedName>
    <definedName name="Mergewrn.Draft." hidden="1">{"Draft",#N/A,FALSE,"Feb-96"}</definedName>
    <definedName name="Merge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Mergewrn.Final." hidden="1">{"Final",#N/A,FALSE,"Feb-96"}</definedName>
    <definedName name="Merge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Mergewrn.FY97SBP." hidden="1">{#N/A,#N/A,FALSE,"FY97";#N/A,#N/A,FALSE,"FY98";#N/A,#N/A,FALSE,"FY99";#N/A,#N/A,FALSE,"FY00";#N/A,#N/A,FALSE,"FY01"}</definedName>
    <definedName name="Mergewrn.MAY95\" hidden="1">{#N/A,#N/A,FALSE,"MAY";#N/A,#N/A,FALSE,"Q2";#N/A,#N/A,FALSE,"YTD"}</definedName>
    <definedName name="Mergewrn.may959" hidden="1">{#N/A,#N/A,FALSE,"MAY";#N/A,#N/A,FALSE,"Q2";#N/A,#N/A,FALSE,"YTD"}</definedName>
    <definedName name="Merge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print." hidden="1">{#N/A,#N/A,FALSE,"Japan 2003";#N/A,#N/A,FALSE,"Sheet2"}</definedName>
    <definedName name="Mergewrn.Projections." hidden="1">{"Volume",#N/A,FALSE,"volume";"revenue",#N/A,FALSE,"revenue"}</definedName>
    <definedName name="Mergewrn.Relevan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Mergewrn.Revs." hidden="1">{"Base_rev",#N/A,FALSE,"Proj_IS_Base";"Projrev",#N/A,FALSE,"Proj_IS_wOTLC";"Delta",#N/A,FALSE,"Delta Rev_PV"}</definedName>
    <definedName name="Mergewrn.sum." hidden="1">{"Opsys",#N/A,FALSE,"NPV_OPsys";"NT",#N/A,FALSE,"NPV_NT";"DevP",#N/A,FALSE,"NPV_DevPdt";"Office",#N/A,FALSE,"NPV_Office"}</definedName>
    <definedName name="Mergewrn.test." hidden="1">{#N/A,#N/A,TRUE,"stops- rsrvs";#N/A,#N/A,TRUE,"P&amp;L phoenix";#N/A,#N/A,TRUE,"BS phoenix";#N/A,#N/A,TRUE,"P&amp;L columbus";#N/A,#N/A,TRUE,"BS columbus"}</definedName>
    <definedName name="Mergewrn.upstairs." hidden="1">{"histincome",#N/A,FALSE,"hyfins";"closing balance",#N/A,FALSE,"hyfins"}</definedName>
    <definedName name="Merge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x" hidden="1">{#N/A,#N/A,FALSE,"FY97";#N/A,#N/A,FALSE,"FY98";#N/A,#N/A,FALSE,"FY99";#N/A,#N/A,FALSE,"FY00";#N/A,#N/A,FALSE,"FY01"}</definedName>
    <definedName name="Merge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rillPrintIt" hidden="1">#REF!</definedName>
    <definedName name="metricsAC" hidden="1">#REF!</definedName>
    <definedName name="MEWarning" hidden="1">1</definedName>
    <definedName name="mfgr" hidden="1">{"PAGE 1",#N/A,FALSE,"WEST_OT"}</definedName>
    <definedName name="mfgtest" hidden="1">{"PAGE 1",#N/A,FALSE,"WEST_OT"}</definedName>
    <definedName name="mike" hidden="1">#REF!</definedName>
    <definedName name="minadj" hidden="1">#REF!</definedName>
    <definedName name="minadj2" hidden="1">#REF!</definedName>
    <definedName name="minorityintyes" hidden="1">#REF!</definedName>
    <definedName name="mj" hidden="1">{#N/A,#N/A,FALSE,"FY97";#N/A,#N/A,FALSE,"FY98";#N/A,#N/A,FALSE,"FY99";#N/A,#N/A,FALSE,"FY00";#N/A,#N/A,FALSE,"FY01"}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LNK4275a95188254e84bb6fa67e8d448542" hidden="1">#REF!</definedName>
    <definedName name="MLNK4882720d8ef24141b9c34ca6788eef0a" hidden="1">#REF!</definedName>
    <definedName name="MLNK6fd12fca9ae8482ab83a3cf6ae752f02" hidden="1">#REF!</definedName>
    <definedName name="MLNK7e0cedd28c844bc581b12910e04c0fed" hidden="1">#REF!</definedName>
    <definedName name="MLNK897a7af0891a4d0abe552087984b801f" hidden="1">#REF!</definedName>
    <definedName name="MLNK9134e4e7f6b74402890ce2693aa14962" hidden="1">#REF!</definedName>
    <definedName name="MLNKa586bbe6525d4ab5a85dc6f1f14f767a" hidden="1">#REF!</definedName>
    <definedName name="MLNKb1ca5a94587140b9bc58b3a9325b0176" hidden="1">#REF!</definedName>
    <definedName name="MLNKe27ca76487794cc6b21cbf8af6cd842f" hidden="1">#REF!</definedName>
    <definedName name="MLNKe3963c1b00c14c589e25861aefaeccce" hidden="1">#REF!</definedName>
    <definedName name="MLNKfb2bf3fbed654fadaaa68ed01f0b18d9" hidden="1">#REF!</definedName>
    <definedName name="MLNKfb968a3dcbba410cbd2bbc4cc47ba24a" hidden="1">#REF!</definedName>
    <definedName name="mmmmm" hidden="1">{#N/A,#N/A,FALSE,"Calc";#N/A,#N/A,FALSE,"Sensitivity";#N/A,#N/A,FALSE,"LT Earn.Dil.";#N/A,#N/A,FALSE,"Dil. AVP"}</definedName>
    <definedName name="monthly" hidden="1">{"Monthly",#N/A,FALSE,"1.2"}</definedName>
    <definedName name="monthly_1" hidden="1">{"Monthly",#N/A,FALSE,"1.2"}</definedName>
    <definedName name="multcash2" hidden="1">#REF!</definedName>
    <definedName name="multformrow" hidden="1">#REF!</definedName>
    <definedName name="multformrow2" hidden="1">#REF!</definedName>
    <definedName name="multtable" hidden="1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{#N/A,#N/A,FALSE,"Job Sched"}</definedName>
    <definedName name="n" hidden="1">{"Page 1",#N/A,FALSE,"Sheet1";"Page 2",#N/A,FALSE,"Sheet1"}</definedName>
    <definedName name="n_1" hidden="1">{"Page 1",#N/A,FALSE,"Sheet1";"Page 2",#N/A,FALSE,"Sheet1"}</definedName>
    <definedName name="na" hidden="1">"IQ_FY_DATE"</definedName>
    <definedName name="Nada" hidden="1">{"'Printed'!$A$1:$Z$48","'Printed'!$A$1"}</definedName>
    <definedName name="new" hidden="1">"45W4K24XKT8NFPH9C57CG54AP"</definedName>
    <definedName name="new_1" hidden="1">{#N/A,#N/A,FALSE,"WIRE-XXX";#N/A,#N/A,FALSE,"WIRE-COR";#N/A,#N/A,FALSE,"WIRE-SAT";#N/A,#N/A,FALSE,"WIRE-ATP";#N/A,#N/A,FALSE,"WIRE-DEN";#N/A,#N/A,FALSE,"WIRE-STV";#N/A,#N/A,FALSE,"WIRE-ATL";#N/A,#N/A,FALSE,"WIRE-CAR";#N/A,#N/A,FALSE,"WIRE-NVN";#N/A,#N/A,FALSE,"WIRE-RED";#N/A,#N/A,FALSE,"WIRE-SPE"}</definedName>
    <definedName name="newbel" hidden="1">{"IS",#N/A,FALSE,"IS";"RPTIS",#N/A,FALSE,"RPTIS";"STATS",#N/A,FALSE,"STATS";"CELL",#N/A,FALSE,"CELL";"BS",#N/A,FALSE,"BS"}</definedName>
    <definedName name="newbp1" hidden="1">{#N/A,#N/A,FALSE,"ACQ_GRAPHS";#N/A,#N/A,FALSE,"T_1 GRAPHS";#N/A,#N/A,FALSE,"T_2 GRAPHS";#N/A,#N/A,FALSE,"COMB_GRAPHS"}</definedName>
    <definedName name="newbp1_1" hidden="1">{#N/A,#N/A,FALSE,"ACQ_GRAPHS";#N/A,#N/A,FALSE,"T_1 GRAPHS";#N/A,#N/A,FALSE,"T_2 GRAPHS";#N/A,#N/A,FALSE,"COMB_GRAPHS"}</definedName>
    <definedName name="newdata" hidden="1">{"PAGE 1",#N/A,FALSE,"WEST_OT"}</definedName>
    <definedName name="newdata2" hidden="1">{"PAGE 1",#N/A,FALSE,"WEST_OT"}</definedName>
    <definedName name="newer" hidden="1">#REF!</definedName>
    <definedName name="newname" hidden="1">#REF!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Range" hidden="1">#REF!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name" hidden="1">38743.7825231481</definedName>
    <definedName name="nnnn" hidden="1">{#N/A,#N/A,FALSE,"Job Sched"}</definedName>
    <definedName name="noidea" hidden="1">{#N/A,#N/A,FALSE,"Calc";#N/A,#N/A,FALSE,"Sensitivity";#N/A,#N/A,FALSE,"LT Earn.Dil.";#N/A,#N/A,FALSE,"Dil. AVP"}</definedName>
    <definedName name="NoteTextNames" hidden="1">{"Text 9";"Text 10";"Text 11";"Text 12"}</definedName>
    <definedName name="november" hidden="1">{"bs",#N/A,FALSE,"SCF"}</definedName>
    <definedName name="o" hidden="1">{#N/A,#N/A,FALSE,"New Depr Sch-150% DB";#N/A,#N/A,FALSE,"Cash Flows RLP";#N/A,#N/A,FALSE,"IRR";#N/A,#N/A,FALSE,"Proforma IS";#N/A,#N/A,FALSE,"Assumptions"}</definedName>
    <definedName name="OCTBS" hidden="1">{#N/A,#N/A,FALSE,"Assump2";#N/A,#N/A,FALSE,"Income2";#N/A,#N/A,FALSE,"Balance2";#N/A,#N/A,FALSE,"DCF Filter";#N/A,#N/A,FALSE,"Trans Assump2";#N/A,#N/A,FALSE,"Combined Income2";#N/A,#N/A,FALSE,"Combined Balance2"}</definedName>
    <definedName name="old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_Dashboard_1" hidden="1">39632.4085763889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oooo" hidden="1">{#N/A,#N/A,FALSE,"Calc";#N/A,#N/A,FALSE,"Sensitivity";#N/A,#N/A,FALSE,"LT Earn.Dil.";#N/A,#N/A,FALSE,"Dil. AVP"}</definedName>
    <definedName name="oooooo" hidden="1">{"COMPROS",#N/A,FALSE,"ROS";"COMPOFF",#N/A,FALSE,"OFF";"COMPBEA",#N/A,FALSE,"BEA";"COMPCOF",#N/A,FALSE,"COF";"COMPTEL",#N/A,FALSE,"TEL";"COMPCON",#N/A,FALSE,"CON";"COMPINT",#N/A,FALSE,"INT"}</definedName>
    <definedName name="Opportunities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rder__1" hidden="1">0</definedName>
    <definedName name="OrderTable" hidden="1">#REF!</definedName>
    <definedName name="Ownership" hidden="1">OFFSET(#REF!,1,0)</definedName>
    <definedName name="p_1" hidden="1">{"Page 1",#N/A,FALSE,"Sheet1";"Page 2",#N/A,FALSE,"Sheet1"}</definedName>
    <definedName name="panther_wrn.test1." hidden="1">{"Income Statement",#N/A,FALSE,"CFMODEL";"Balance Sheet",#N/A,FALSE,"CFMODEL"}</definedName>
    <definedName name="panther_wrn.test2." hidden="1">{"SourcesUses",#N/A,TRUE,"CFMODEL";"TransOverview",#N/A,TRUE,"CFMODEL"}</definedName>
    <definedName name="panther_wrn.test3." hidden="1">{"SourcesUses",#N/A,TRUE,#N/A;"TransOverview",#N/A,TRUE,"CFMODEL"}</definedName>
    <definedName name="panther_wrn.test4." hidden="1">{"SourcesUses",#N/A,TRUE,"FundsFlow";"TransOverview",#N/A,TRUE,"FundsFlow"}</definedName>
    <definedName name="patty" hidden="1">{"PAGE 1",#N/A,FALSE,"WEST_OT"}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LAYCORP" hidden="1">{"tot_bow",#N/A,FALSE,"AMF"}</definedName>
    <definedName name="poso_wrn.test1." hidden="1">{"Income Statement",#N/A,FALSE,"CFMODEL";"Balance Sheet",#N/A,FALSE,"CFMODEL"}</definedName>
    <definedName name="poso_wrn.test2." hidden="1">{"SourcesUses",#N/A,TRUE,"CFMODEL";"TransOverview",#N/A,TRUE,"CFMODEL"}</definedName>
    <definedName name="poso_wrn.test3." hidden="1">{"SourcesUses",#N/A,TRUE,#N/A;"TransOverview",#N/A,TRUE,"CFMODEL"}</definedName>
    <definedName name="poso_wrn.test4." hidden="1">{"SourcesUses",#N/A,TRUE,"FundsFlow";"TransOverview",#N/A,TRUE,"FundsFlow"}</definedName>
    <definedName name="pp" hidden="1">{#N/A,#N/A,FALSE,"Calc";#N/A,#N/A,FALSE,"Sensitivity";#N/A,#N/A,FALSE,"LT Earn.Dil.";#N/A,#N/A,FALSE,"Dil. AVP"}</definedName>
    <definedName name="ppp" hidden="1">{"'Exchange Rates'!$A$1:$Q$33","'Exchange Rates'!$A$35:$Q$46"}</definedName>
    <definedName name="pppp" hidden="1">{#N/A,#N/A,FALSE,"REV 110 PRNE (Bureau-Frankfurt)";#N/A,#N/A,FALSE,"REV 120 PRNE (Bureau - Paris)"}</definedName>
    <definedName name="ppppp" hidden="1">{#N/A,#N/A,FALSE,"REV 110 PRNE (Bureau-Frankfurt)";#N/A,#N/A,FALSE,"REV 120 PRNE (Bureau - Paris)"}</definedName>
    <definedName name="pppppp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pr" hidden="1">27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book_col" hidden="1">#REF!</definedName>
    <definedName name="priceearnings_col" hidden="1">#REF!</definedName>
    <definedName name="Print.All.SPF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odForm" hidden="1">#REF!</definedName>
    <definedName name="Product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ormrow" hidden="1">#REF!</definedName>
    <definedName name="projdepamort" hidden="1">#REF!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UB_FileID" hidden="1">"L10003649.xls"</definedName>
    <definedName name="PUB_UserID" hidden="1">"MAYERX"</definedName>
    <definedName name="qqqqqqqqqq" hidden="1">{"'12690-8951'!$A$1:$L$58"}</definedName>
    <definedName name="rap" hidden="1">{"Page 1",#N/A,FALSE,"Sheet1";"Page 2",#N/A,FALSE,"Sheet1"}</definedName>
    <definedName name="rap_1" hidden="1">{"Page 1",#N/A,FALSE,"Sheet1";"Page 2",#N/A,FALSE,"Sheet1"}</definedName>
    <definedName name="RCArea" hidden="1">#REF!</definedName>
    <definedName name="RDArea" hidden="1">#REF!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o_1" hidden="1">{#N/A,#N/A,FALSE,"ACQ_GRAPHS";#N/A,#N/A,FALSE,"T_1 GRAPHS";#N/A,#N/A,FALSE,"T_2 GRAPHS";#N/A,#N/A,FALSE,"COMB_GRAPHS"}</definedName>
    <definedName name="regmult" hidden="1">#REF!</definedName>
    <definedName name="Regression" hidden="1">#REF!</definedName>
    <definedName name="RegY" hidden="1">#REF!</definedName>
    <definedName name="Related" hidden="1">{#N/A,#N/A,FALSE,"Job Sched"}</definedName>
    <definedName name="rich" hidden="1">{"Capital Plan CA Schedule",#N/A,TRUE,"Capital Plan";"Capital Plan Summary",#N/A,TRUE,"Capital Plan"}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rrename" hidden="1">{#N/A,#N/A,FALSE,"Budget96 Revised"}</definedName>
    <definedName name="rlrrename1" hidden="1">{#N/A,#N/A,FALSE,"Budget96 Revised"}</definedName>
    <definedName name="rngCopyFormulasSource" hidden="1">#REF!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2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ckwell_1" hidden="1">{"LBO Summary",#N/A,FALSE,"Summary"}</definedName>
    <definedName name="rowLimitDDvalues" hidden="1">#REF!</definedName>
    <definedName name="rrrrrr" hidden="1">{"cash plan",#N/A,FALSE,"fccashflow"}</definedName>
    <definedName name="rw" hidden="1">{"'Standalone List Price Trends'!$A$1:$X$56"}</definedName>
    <definedName name="rw_1" hidden="1">{"'Standalone List Price Trends'!$A$1:$X$56"}</definedName>
    <definedName name="rwrwr" hidden="1">{"'Standalone List Price Trends'!$A$1:$X$56"}</definedName>
    <definedName name="rwrwr_1" hidden="1">{"'Standalone List Price Trends'!$A$1:$X$56"}</definedName>
    <definedName name="rwrwrwrwr" hidden="1">{"'Standalone List Price Trends'!$A$1:$X$56"}</definedName>
    <definedName name="rwrwrwrwr_1" hidden="1">{"'Standalone List Price Trends'!$A$1:$X$56"}</definedName>
    <definedName name="Rwvu.PRT." hidden="1">#REF!,#REF!</definedName>
    <definedName name="Rwvu.Prt.2" hidden="1">#REF!,#REF!</definedName>
    <definedName name="rwwr" hidden="1">{"'Standalone List Price Trends'!$A$1:$X$56"}</definedName>
    <definedName name="rwwr_1" hidden="1">{"'Standalone List Price Trends'!$A$1:$X$56"}</definedName>
    <definedName name="sadf" hidden="1">{#N/A,#N/A,TRUE,"Summary";#N/A,#N/A,TRUE,"Financials"}</definedName>
    <definedName name="sandy2" hidden="1">#REF!</definedName>
    <definedName name="SAPBEXrevision" hidden="1">6</definedName>
    <definedName name="SAPBEXsysID" hidden="1">"BWP"</definedName>
    <definedName name="SAPBEXwbID" hidden="1">"45NNECFYCVYICHS3WUSAZ7LS1"</definedName>
    <definedName name="SAPFuncF4Help" hidden="1">#N/A</definedName>
    <definedName name="sc" hidden="1">{"Page 1",#N/A,FALSE,"Sheet1";"Page 2",#N/A,FALSE,"Sheet1"}</definedName>
    <definedName name="sc_1" hidden="1">{"Page 1",#N/A,FALSE,"Sheet1";"Page 2",#N/A,FALSE,"Sheet1"}</definedName>
    <definedName name="scen_date1" hidden="1">34437.7679166667</definedName>
    <definedName name="scen_name1" hidden="1">"kredi"</definedName>
    <definedName name="scen_num" hidden="1">1</definedName>
    <definedName name="scen_user1" hidden="1">"ECZACIBAŞI - AVON KOZMETİK"</definedName>
    <definedName name="scen_value1" hidden="1">5920234.68567012</definedName>
    <definedName name="sddddd" hidden="1">{#N/A,#N/A,FALSE,"IB Totgeo Q1-Q4 ";#N/A,#N/A,FALSE,"IB AEME";#N/A,#N/A,FALSE,"IB West";#N/A,#N/A,FALSE,"IB Central";#N/A,#N/A,FALSE,"IB South ";#N/A,#N/A,FALSE,"IB North";#N/A,#N/A,FALSE,"IB Reg Tot ";#N/A,#N/A,FALSE,"IB Reg Tot graph"}</definedName>
    <definedName name="sdfas" hidden="1">#REF!</definedName>
    <definedName name="sdfasdf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dfasgqearg" hidden="1">{"Capex by project",#N/A,FALSE,"Capex by Project"}</definedName>
    <definedName name="sdfd" hidden="1">{#N/A,#N/A,FALSE,"AR Summ.";#N/A,#N/A,FALSE,"Dec top 5 collects";#N/A,#N/A,FALSE,"Top 5 AR";#N/A,#N/A,FALSE,"Top 5&gt;90";#N/A,#N/A,FALSE,"AR Flow by Region";#N/A,#N/A,FALSE,"PrePays";#N/A,#N/A,FALSE,"Op&amp;Risk"}</definedName>
    <definedName name="sdfds" hidden="1">{"'Standalone List Price Trends'!$A$1:$X$56"}</definedName>
    <definedName name="sdfds_1" hidden="1">{"'Standalone List Price Trends'!$A$1:$X$56"}</definedName>
    <definedName name="sdfg" hidden="1">{#N/A,#N/A,FALSE,"Sheet1"}</definedName>
    <definedName name="sdfgs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ecretArchiveNumber" hidden="1">1</definedName>
    <definedName name="Seg_LBO_Summ" hidden="1">{"LBO Summary",#N/A,FALSE,"Summary"}</definedName>
    <definedName name="Seg_LBO_Summ_1" hidden="1">{"LBO Summary",#N/A,FALSE,"Summary"}</definedName>
    <definedName name="segmentSelectionCodes" hidden="1">#REF!</definedName>
    <definedName name="segmentSelectionNames" hidden="1">#REF!</definedName>
    <definedName name="sencount" hidden="1">1</definedName>
    <definedName name="sfgv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sx" hidden="1">{"consolidated",#N/A,FALSE,"Sheet1";"cms",#N/A,FALSE,"Sheet1";"fse",#N/A,FALSE,"Sheet1"}</definedName>
    <definedName name="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SHOO" hidden="1">{#N/A,#N/A,FALSE,"Sheet1"}</definedName>
    <definedName name="Show.Acct.Update.Warning" hidden="1">#REF!</definedName>
    <definedName name="Show.MDB.Update.Warning" hidden="1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2</definedName>
    <definedName name="solver_rh" hidden="1">4</definedName>
    <definedName name="solver_rhs1" hidden="1">1542801</definedName>
    <definedName name="solver_scl" hidden="1">2</definedName>
    <definedName name="solver_sho" hidden="1">2</definedName>
    <definedName name="solver_tim" hidden="1">100</definedName>
    <definedName name="solver_tm?" hidden="1">0</definedName>
    <definedName name="solver_tmE" hidden="1">0</definedName>
    <definedName name="solver_tmÊ" hidden="1">0</definedName>
    <definedName name="solver_tmp" hidden="1">1542801</definedName>
    <definedName name="solver_tmК" hidden="1">0</definedName>
    <definedName name="solver_tol" hidden="1">0.05</definedName>
    <definedName name="solver_ty?" hidden="1">3</definedName>
    <definedName name="solver_tyð" hidden="1">3</definedName>
    <definedName name="solver_typ" hidden="1">3</definedName>
    <definedName name="solver_tyр" hidden="1">3</definedName>
    <definedName name="solver_va" hidden="1">27</definedName>
    <definedName name="solver_val" hidden="1">0.6</definedName>
    <definedName name="Sort1" hidden="1">#REF!</definedName>
    <definedName name="Sort2" hidden="1">#REF!</definedName>
    <definedName name="SpecialPrice" hidden="1">#REF!</definedName>
    <definedName name="spoc" hidden="1">{"Page 1",#N/A,FALSE,"Sheet1";"Page 2",#N/A,FALSE,"Sheet1"}</definedName>
    <definedName name="spoc_1" hidden="1">{"Page 1",#N/A,FALSE,"Sheet1";"Page 2",#N/A,FALSE,"Sheet1"}</definedName>
    <definedName name="SS" hidden="1">{"'Exchange Rates'!$A$1:$Q$33","'Exchange Rates'!$A$35:$Q$46"}</definedName>
    <definedName name="sssss" hidden="1">{#N/A,#N/A,FALSE,"Calc";#N/A,#N/A,FALSE,"Sensitivity";#N/A,#N/A,FALSE,"LT Earn.Dil.";#N/A,#N/A,FALSE,"Dil. AVP"}</definedName>
    <definedName name="startDateComparison" hidden="1">#REF!</definedName>
    <definedName name="startDateComparisonAC" hidden="1">#REF!</definedName>
    <definedName name="startDateComparisonAW" hidden="1">#REF!</definedName>
    <definedName name="STRADA" hidden="1">{"'Printed'!$A$1:$Z$48","'Printed'!$A$1"}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uff" hidden="1">#REF!</definedName>
    <definedName name="subj_EBITDA" hidden="1">#REF!</definedName>
    <definedName name="SUMMARY_BOOK" hidden="1">{"page1",#N/A,FALSE,"GIRLBO";"page2",#N/A,FALSE,"GIRLBO";"page3",#N/A,FALSE,"GIRLBO";"page4",#N/A,FALSE,"GIRLBO";"page5",#N/A,FALSE,"GIRLBO"}</definedName>
    <definedName name="SV_ENCPT_LOGON_PWD" hidden="1">"078104085088070118116120102"</definedName>
    <definedName name="SV_ENCPT_LOGON_USER" hidden="1">"095094088070084103101110107110"</definedName>
    <definedName name="Swvu.BS." hidden="1">#N/A</definedName>
    <definedName name="t" hidden="1">{"'Sheet1'!$A$1:$H$96"}</definedName>
    <definedName name="t_1" hidden="1">{"'Sheet1'!$A$1:$H$96"}</definedName>
    <definedName name="Table2Out" hidden="1">#REF!</definedName>
    <definedName name="Table3" hidden="1">#REF!</definedName>
    <definedName name="TargetDCF2" hidden="1">{#N/A,#N/A,FALSE,"Sheet1"}</definedName>
    <definedName name="tbl_ProdInfo" hidden="1">#REF!</definedName>
    <definedName name="TEMP" hidden="1">{"PAGE 1",#N/A,FALSE,"WEST_OT"}</definedName>
    <definedName name="temp1" hidden="1">{"PAGE 1",#N/A,FALSE,"WEST_OT"}</definedName>
    <definedName name="temp2" hidden="1">{"PAGE 1",#N/A,FALSE,"WEST_OT"}</definedName>
    <definedName name="temp3" hidden="1">{"PAGE 1",#N/A,FALSE,"WEST_OT"}</definedName>
    <definedName name="tempxxx" hidden="1">0</definedName>
    <definedName name="tesg4" hidden="1">{"PAGE 1",#N/A,FALSE,"WEST_OT"}</definedName>
    <definedName name="test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1" hidden="1">{"Page 1",#N/A,FALSE,"Sheet1";"Page 2",#N/A,FALSE,"Sheet1"}</definedName>
    <definedName name="test1_1" hidden="1">{"Page 1",#N/A,FALSE,"Sheet1";"Page 2",#N/A,FALSE,"Sheet1"}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232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4567" hidden="1">{#N/A,#N/A,FALSE,"Aging Summary";#N/A,#N/A,FALSE,"Ratio Analysis";#N/A,#N/A,FALSE,"Test 120 Day Accts";#N/A,#N/A,FALSE,"Tickmarks"}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{"Page 1",#N/A,FALSE,"Sheet1";"Page 2",#N/A,FALSE,"Sheet1"}</definedName>
    <definedName name="test2_1" hidden="1">{"Page 1",#N/A,FALSE,"Sheet1";"Page 2",#N/A,FALSE,"Sheet1"}</definedName>
    <definedName name="test20" hidden="1">{"PAGE 1",#N/A,FALSE,"WEST_OT"}</definedName>
    <definedName name="test21" hidden="1">{"PAGE 1",#N/A,FALSE,"WEST_OT"}</definedName>
    <definedName name="test22" hidden="1">{"PAGE 1",#N/A,FALSE,"WEST_OT"}</definedName>
    <definedName name="test23" hidden="1">{"PAGE 1",#N/A,FALSE,"WEST_OT"}</definedName>
    <definedName name="test2343543w" hidden="1">{"'Bellville Acetylene'!$A$1:$L$99"}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{"PAGE 1",#N/A,FALSE,"WEST_OT"}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3" hidden="1">{"PAGE 1",#N/A,FALSE,"WEST_OT"}</definedName>
    <definedName name="test34" hidden="1">{"PAGE 1",#N/A,FALSE,"WEST_OT"}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{"PAGE 1",#N/A,FALSE,"WEST_OT"}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5" hidden="1">{"PAGE 1",#N/A,FALSE,"WEST_OT"}</definedName>
    <definedName name="test546667" hidden="1">{#N/A,#N/A,TRUE,"Summary";#N/A,#N/A,TRUE,"Financials"}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page" hidden="1">{"Page 1",#N/A,FALSE,"Sheet1";"Page 2",#N/A,FALSE,"Sheet1"}</definedName>
    <definedName name="testpage_1" hidden="1">{"Page 1",#N/A,FALSE,"Sheet1";"Page 2",#N/A,FALSE,"Sheet1"}</definedName>
    <definedName name="TestyDeleteMe" hidden="1">#REF!</definedName>
    <definedName name="TextRefCopyRangeCount" hidden="1">6</definedName>
    <definedName name="thth" hidden="1">{#N/A,#N/A,FALSE,"Calc";#N/A,#N/A,FALSE,"Sensitivity";#N/A,#N/A,FALSE,"LT Earn.Dil.";#N/A,#N/A,FALSE,"Dil. AVP"}</definedName>
    <definedName name="TOTAL_IN" hidden="1">{"Informes",#N/A,FALSE,"CA";"Informes",#N/A,FALSE,"CN";"Informes",#N/A,FALSE,"INVERSIONES";"Informes",#N/A,FALSE,"CN Oficial";"Informes",#N/A,FALSE,"CA Oficial";"Informes",#N/A,FALSE,"Res Datos Areas"}</definedName>
    <definedName name="TOTAL_INFORMES" hidden="1">{"Informes",#N/A,FALSE,"CA";"Informes",#N/A,FALSE,"CN";"Informes",#N/A,FALSE,"INVERSIONES";"Informes",#N/A,FALSE,"CN Oficial";"Informes",#N/A,FALSE,"CA Oficial";"Informes",#N/A,FALSE,"Res Datos Areas"}</definedName>
    <definedName name="totcap" hidden="1">#REF!,#REF!,#REF!,#REF!</definedName>
    <definedName name="trend" hidden="1">{#N/A,#N/A,FALSE,"Aging Summary";#N/A,#N/A,FALSE,"Ratio Analysis";#N/A,#N/A,FALSE,"Test 120 Day Accts";#N/A,#N/A,FALSE,"Tickmarks"}</definedName>
    <definedName name="trend_1" hidden="1">{#N/A,#N/A,FALSE,"Aging Summary";#N/A,#N/A,FALSE,"Ratio Analysis";#N/A,#N/A,FALSE,"Test 120 Day Accts";#N/A,#N/A,FALSE,"Tickmarks"}</definedName>
    <definedName name="ttt" hidden="1">{"PAGE 1",#N/A,FALSE,"WEST_OT"}</definedName>
    <definedName name="TTTT" hidden="1">{"PAGE 1",#N/A,FALSE,"WEST_OT"}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u" hidden="1">{#N/A,#N/A,FALSE,"Aging Summary";#N/A,#N/A,FALSE,"Ratio Analysis";#N/A,#N/A,FALSE,"Test 120 Day Accts";#N/A,#N/A,FALSE,"Tickmarks"}</definedName>
    <definedName name="uu" hidden="1">{"'Exchange Rates'!$A$1:$Q$33","'Exchange Rates'!$A$35:$Q$46"}</definedName>
    <definedName name="uuuu9" hidden="1">{#N/A,#N/A,FALSE,"MAY";#N/A,#N/A,FALSE,"Q2";#N/A,#N/A,FALSE,"YTD"}</definedName>
    <definedName name="uuuuu" hidden="1">{#N/A,#N/A,FALSE,"MAY";#N/A,#N/A,FALSE,"Q2";#N/A,#N/A,FALSE,"YTD"}</definedName>
    <definedName name="uuuuu1" hidden="1">{#N/A,#N/A,FALSE,"MAY";#N/A,#N/A,FALSE,"Q2";#N/A,#N/A,FALSE,"YTD"}</definedName>
    <definedName name="uuuuuuuuuuuuuuuuuuuu" hidden="1">{"COMPCFT",#N/A,FALSE,"CFT";"COMPAPP",#N/A,FALSE,"APP";"COMPJEW",#N/A,FALSE,"JEW";"COMPHOM",#N/A,FALSE,"HOM";"COMPCOL",#N/A,FALSE,"COL"}</definedName>
    <definedName name="uyhihkjhkjh" hidden="1">{"COMPROS",#N/A,FALSE,"ROS";"COMPOFF",#N/A,FALSE,"OFF";"COMPBEA",#N/A,FALSE,"BEA";"COMPCOF",#N/A,FALSE,"COF";"COMPTEL",#N/A,FALSE,"TEL";"COMPCON",#N/A,FALSE,"CON";"COMPINT",#N/A,FALSE,"INT"}</definedName>
    <definedName name="V_F0" hidden="1">#REF!</definedName>
    <definedName name="V_F1" hidden="1">#REF!</definedName>
    <definedName name="V_F10" hidden="1">#REF!</definedName>
    <definedName name="V_F11" hidden="1">#REF!</definedName>
    <definedName name="V_F12" hidden="1">#REF!</definedName>
    <definedName name="V_F13" hidden="1">#REF!</definedName>
    <definedName name="V_F2" hidden="1">#REF!</definedName>
    <definedName name="V_F3" hidden="1">#REF!</definedName>
    <definedName name="V_F4" hidden="1">#REF!</definedName>
    <definedName name="V_F5" hidden="1">#REF!</definedName>
    <definedName name="V_F6" hidden="1">#REF!</definedName>
    <definedName name="V_F7" hidden="1">#REF!</definedName>
    <definedName name="V_F8" hidden="1">#REF!</definedName>
    <definedName name="V_F9" hidden="1">#REF!</definedName>
    <definedName name="vf" hidden="1">{#N/A,#N/A,FALSE,"Budget96 Revised"}</definedName>
    <definedName name="victor" hidden="1">{"multiple",#N/A,FALSE,"client";"margins",#N/A,FALSE,"client";"data",#N/A,FALSE,"client"}</definedName>
    <definedName name="vo" hidden="1">{"consolidated",#N/A,FALSE,"Sheet1";"cms",#N/A,FALSE,"Sheet1";"fse",#N/A,FALSE,"Sheet1"}</definedName>
    <definedName name="w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C" hidden="1">#REF!</definedName>
    <definedName name="what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HO" hidden="1">{"'12690-8951'!$A$1:$L$58"}</definedName>
    <definedName name="wlkednjfc" hidden="1">{#N/A,#N/A,FALSE,"Aging Summary";#N/A,#N/A,FALSE,"Ratio Analysis";#N/A,#N/A,FALSE,"Test 120 Day Accts";#N/A,#N/A,FALSE,"Tickmarks"}</definedName>
    <definedName name="word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QWQ" hidden="1">{"adm_pl",#N/A,FALSE,"PL"}</definedName>
    <definedName name="wrd.2._.pagers.3" hidden="1">{"Cover",#N/A,FALSE,"Cover";"Summary",#N/A,FALSE,"Summarpage"}</definedName>
    <definedName name="wrn.1.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9._.Corporate." hidden="1">{"1999Corporate",#N/A,FALSE,"Corporate"}</definedName>
    <definedName name="wrn.1999._.Funding." hidden="1">{"1999Funding",#N/A,FALSE,"Funding"}</definedName>
    <definedName name="wrn.1999._.Grp._.Adjustments." hidden="1">{"1999GrpAdj",#N/A,FALSE,"Grp Adj"}</definedName>
    <definedName name="wrn.1999._.Grp._.Consol." hidden="1">{"1999GrpConsol",#N/A,FALSE,"Grp Consol"}</definedName>
    <definedName name="wrn.1999._.HTUK." hidden="1">{"1999HTUK",#N/A,FALSE,"HTUK"}</definedName>
    <definedName name="wrn.1999._.International." hidden="1">{"1999International",#N/A,FALSE,"International"}</definedName>
    <definedName name="wrn.1999._.OIDL." hidden="1">{"1999OIDL",#N/A,FALSE,"OIDL"}</definedName>
    <definedName name="wrn.1999._.Trust." hidden="1">{"1999Trust",#N/A,FALSE,"Trust"}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._.Corporate." hidden="1">{"2000Corporate",#N/A,FALSE,"Corporate"}</definedName>
    <definedName name="wrn.2000._.Funding." hidden="1">{"2000Funding",#N/A,FALSE,"Funding"}</definedName>
    <definedName name="wrn.2000._.Grp._.Adjustments." hidden="1">{"2000GrpAdj",#N/A,FALSE,"Grp Adj"}</definedName>
    <definedName name="wrn.2000._.Grp._.Consol." hidden="1">{"2000GrpConsol",#N/A,FALSE,"Grp Consol"}</definedName>
    <definedName name="wrn.2000._.HTUK." hidden="1">{"2000HTUK",#N/A,FALSE,"HTUK"}</definedName>
    <definedName name="wrn.2000._.International." hidden="1">{"2000International",#N/A,FALSE,"International"}</definedName>
    <definedName name="wrn.2000._.OIDL." hidden="1">{"2000OIDL",#N/A,FALSE,"OIDL"}</definedName>
    <definedName name="wrn.2000._.Trust." hidden="1">{"2000Trust",#N/A,FALSE,"Trust"}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4PV." hidden="1">{"Page1",#N/A,FALSE,"94PV";"Page2",#N/A,FALSE,"94PV"}</definedName>
    <definedName name="wrn.96._.Plan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cretion._1" hidden="1">{"Accretion",#N/A,FALSE,"Assum"}</definedName>
    <definedName name="wrn.AcqState.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b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a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 hidden="1">{#N/A,#N/A,FALSE,"Acq-Val";#N/A,#N/A,FALSE,"Acq-Mult Val"}</definedName>
    <definedName name="wrn.AcqVal._2" hidden="1">{#N/A,#N/A,FALSE,"Acq-Val";#N/A,#N/A,FALSE,"Acq-Mult Val"}</definedName>
    <definedName name="wrn.AcqVal._22" hidden="1">{#N/A,#N/A,FALSE,"Acq-Val";#N/A,#N/A,FALSE,"Acq-Mult Val"}</definedName>
    <definedName name="wrn.AcqVal.2" hidden="1">{#N/A,#N/A,FALSE,"Acq-Val";#N/A,#N/A,FALSE,"Acq-Mult Val"}</definedName>
    <definedName name="wrn.adj95." hidden="1">{"adj95mult",#N/A,FALSE,"COMPCO";"adj95est",#N/A,FALSE,"COMPCO"}</definedName>
    <definedName name="wrn.adm_pl." hidden="1">{"adm_pl",#N/A,FALSE,"PL"}</definedName>
    <definedName name="wrn.adm_rtp." hidden="1">{"adm_rtp",#N/A,FALSE,"PQ"}</definedName>
    <definedName name="wrn.AFPONLY." hidden="1">{"dols",#N/A,FALSE,"G&amp;A_ORAC";"DOLS",#N/A,FALSE,"G&amp;A_TOT";"DOLS",#N/A,FALSE,"G&amp;A_HR";"DOLS",#N/A,FALSE,"G&amp;A_FAC";"DOLS",#N/A,FALSE,"G&amp;A_SLGH";"dols",#N/A,FALSE,"G&amp;A_PDELT";"DOLS",#N/A,FALSE,"G&amp;A_FIN";"dols",#N/A,FALSE,"G&amp;A_CRPSV";"DOLS",#N/A,FALSE,"G&amp;A_OPN";"DOLS",#N/A,FALSE,"G&amp;A_BLB";"DOLS",#N/A,FALSE,"G&amp;A_SSC";"DOLS",#N/A,FALSE,"G&amp;A_LE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ATEMENTS." hidden="1">{"BALANCE SHEET",#N/A,FALSE,"Balance Sheet";"INCOME STATEMENT",#N/A,FALSE,"Income Statement";"STMT OF CASH FLOWS",#N/A,FALSE,"Cash Flows Indirect";"PARTNERS CAPITAL STMT",#N/A,FALSE,"Partners Capital"}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b" hidden="1">{"Historical and Estimates",#N/A,FALSE,"DCF";"Notes",#N/A,FALSE,"DCF";"Discounted DFCF Analysis",#N/A,FALSE,"DCF";"Debt Table",#N/A,FALSE,"DCF";"Misc.",#N/A,FALSE,"DCF"}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ericas." hidden="1">{#N/A,#N/A,FALSE,"Americas"}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ortization._1" hidden="1">{"Exist Debt Amort",#N/A,TRUE,"Financials";"Intangible Amort",#N/A,TRUE,"Financials";"Proj Debt Amort",#N/A,TRUE,"Financials";"Proj Pfd Amort",#N/A,TRUE,"Financials"}</definedName>
    <definedName name="wrn.argentina." hidden="1">{"argentina",#N/A,FALSE,"PL"}</definedName>
    <definedName name="wrn.ARPU._.composition." hidden="1">{#N/A,#N/A,FALSE,"Additional ARPU"}</definedName>
    <definedName name="wrn.asg." hidden="1">{#N/A,#N/A,FALSE,"Exh 1";#N/A,#N/A,FALSE,"Exh 2";#N/A,#N/A,FALSE,"Exh 2a";#N/A,#N/A,FALSE,"Exh 3";#N/A,#N/A,FALSE,"Exhib 4";#N/A,#N/A,FALSE,"eh 5";#N/A,#N/A,FALSE,"Exh 6"}</definedName>
    <definedName name="wrn.asg._1" hidden="1">{#N/A,#N/A,FALSE,"Exh 1";#N/A,#N/A,FALSE,"Exh 2";#N/A,#N/A,FALSE,"Exh 2a";#N/A,#N/A,FALSE,"Exh 3";#N/A,#N/A,FALSE,"Exhib 4";#N/A,#N/A,FALSE,"eh 5";#N/A,#N/A,FALSE,"Exh 6"}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{"Assumptions",#N/A,FALSE,"Assum"}</definedName>
    <definedName name="wrn.Assumptions._1" hidden="1">{"Assumptions",#N/A,FALSE,"Assum"}</definedName>
    <definedName name="wrn.Auto._.Comp." hidden="1">{#N/A,#N/A,FALSE,"Sheet1"}</definedName>
    <definedName name="wrn.BALANCE._.SHEET." hidden="1">{"BALANCE SHEET",#N/A,FALSE,"Balance Sheet"}</definedName>
    <definedName name="wrn.balsheet." hidden="1">{"balsheet",#N/A,FALSE,"A"}</definedName>
    <definedName name="wrn.balsheet._1" hidden="1">{"balsheet",#N/A,FALSE,"A"}</definedName>
    <definedName name="wrn.Bank._.of._.America." hidden="1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sic." hidden="1">{#N/A,#N/A,FALSE,"e-Svc Level";#N/A,#N/A,FALSE,"e-Hosted";#N/A,#N/A,FALSE,"e-Licensed";#N/A,#N/A,FALSE,"Assumptions"}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1" hidden="1">{#N/A,#N/A,FALSE,"e-Svc Level";#N/A,#N/A,FALSE,"e-Hosted";#N/A,#N/A,FALSE,"e-Licensed";#N/A,#N/A,FALSE,"Assumptions"}</definedName>
    <definedName name="wrn.basics." hidden="1">{#N/A,#N/A,FALSE,"TSUM";#N/A,#N/A,FALSE,"shares";#N/A,#N/A,FALSE,"earnout";#N/A,#N/A,FALSE,"Heaty";#N/A,#N/A,FALSE,"self-tend";#N/A,#N/A,FALSE,"self-sum"}</definedName>
    <definedName name="wrn.BEL." hidden="1">{"IS",#N/A,FALSE,"IS";"RPTIS",#N/A,FALSE,"RPTIS";"STATS",#N/A,FALSE,"STATS";"CELL",#N/A,FALSE,"CELL";"BS",#N/A,FALSE,"BS"}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dCo." hidden="1">{#N/A,#N/A,FALSE,"BidCo Assumptions";#N/A,#N/A,FALSE,"Credit Stats";#N/A,#N/A,FALSE,"Bidco Summary";#N/A,#N/A,FALSE,"BIDCO Consolidated"}</definedName>
    <definedName name="wrn.BKD." hidden="1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stonMkt." hidden="1">{#N/A,#N/A,FALSE,"Summary";#N/A,#N/A,FALSE,"7oz";#N/A,#N/A,FALSE,"16oz"}</definedName>
    <definedName name="wrn.BOTH." hidden="1">{"DOLS",#N/A,FALSE,"G&amp;A_TOT";"PDS",#N/A,FALSE,"G&amp;A_TOT"}</definedName>
    <definedName name="wrn.bow_argentina." hidden="1">{"bow_argentina",#N/A,FALSE,"AMF"}</definedName>
    <definedName name="wrn.bow_brasil." hidden="1">{"bow_brasil",#N/A,FALSE,"AMF"}</definedName>
    <definedName name="wrn.BPlan." hidden="1">{#N/A,#N/A,FALSE,"F_Plan";#N/A,#N/A,FALSE,"Parameter"}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t." hidden="1">{"Notes 29&amp;30",#N/A,FALSE,"Notes 28-30"}</definedName>
    <definedName name="wrn.Budget." hidden="1">{#N/A,#N/A,FALSE,"QSum";#N/A,#N/A,FALSE,"1Q";#N/A,#N/A,FALSE,"2Q";#N/A,#N/A,FALSE,"3Q";#N/A,#N/A,FALSE,"4Q";#N/A,#N/A,FALSE,"Mthly";#N/A,#N/A,FALSE,"Cur.vs.Prior"}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G._1" hidden="1">{#N/A,#N/A,FALSE,"CAG"}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P." hidden="1">{"CAP",#N/A,FALSE,"CAP"}</definedName>
    <definedName name="wrn.CAP._.NO._.ADJ." hidden="1">{"CAP NO ADJ",#N/A,FALSE,"CAP"}</definedName>
    <definedName name="wrn.Capital._.Plan._.Report." hidden="1">{"Capital Plan CA Schedule",#N/A,TRUE,"Capital Plan";"Capital Plan Summary",#N/A,TRUE,"Capital Plan"}</definedName>
    <definedName name="wrn.CASE._.STUDY." hidden="1">{#N/A,#N/A,TRUE,"Cover";#N/A,#N/A,TRUE,"financial_model";#N/A,#N/A,TRUE,"cover_lbo";#N/A,#N/A,TRUE,"mini_lbo";#N/A,#N/A,TRUE,"IPO";#N/A,#N/A,TRUE,"WACC"}</definedName>
    <definedName name="wrn.Cash._.Plan." hidden="1">{"cash plan",#N/A,FALSE,"fccashflow"}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2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ergy." hidden="1">{#N/A,#N/A,FALSE,"CINERGY"}</definedName>
    <definedName name="wrn.cinergy._1" hidden="1">{#N/A,#N/A,FALSE,"CINERGY"}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ED._1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parativo._.Anual." hidden="1">{"COMPROS",#N/A,FALSE,"ROS";"COMPOFF",#N/A,FALSE,"OFF";"COMPBEA",#N/A,FALSE,"BEA";"COMPCOF",#N/A,FALSE,"COF";"COMPTEL",#N/A,FALSE,"TEL";"COMPCON",#N/A,FALSE,"CON";"COMPINT",#N/A,FALSE,"INT"}</definedName>
    <definedName name="wrn.Comparativo._.Mes." hidden="1">{"MESROS",#N/A,FALSE,"ROS";"MESOFF",#N/A,FALSE,"OFF";"MESBEA",#N/A,FALSE,"BEA";"MESCOF",#N/A,FALSE,"COF";"MESTEL",#N/A,FALSE,"TEL";"MESCON",#N/A,FALSE,"CON";"MESINT",#N/A,FALSE,"INT"}</definedName>
    <definedName name="wrn.COMPCO." hidden="1">{"Page1",#N/A,FALSE,"CompCo";"Page2",#N/A,FALSE,"CompCo"}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OLIDADO." hidden="1">{"CONSOLIDADO",#N/A,FALSE,"TOT"}</definedName>
    <definedName name="wrn.consolidated." hidden="1">{"IS_planvsActual",#N/A,FALSE,"IS_Plan-Act";"IS_curr&amp;YTD",#N/A,FALSE,"IS";"BS_curr&amp;lastmo",#N/A,FALSE,"BS";"bs 4 qtrs",#N/A,FALSE,"BS";"cf",#N/A,FALSE,"CF"}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st._.Center._.Opex.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PB." hidden="1">{#N/A,#N/A,FALSE,"CPB"}</definedName>
    <definedName name="wrn.CPB._1" hidden="1">{#N/A,#N/A,FALSE,"CPB"}</definedName>
    <definedName name="wrn.Credit._.Summary." hidden="1">{#N/A,#N/A,FALSE,"Credit Summary"}</definedName>
    <definedName name="wrn.Credit._.Summary._1" hidden="1">{#N/A,#N/A,FALSE,"Credit Summary"}</definedName>
    <definedName name="wrn.crossroads." hidden="1">{#N/A,#N/A,FALSE,"RENT ROLL";#N/A,#N/A,FALSE,"CAM";#N/A,#N/A,FALSE,"TAXES";#N/A,#N/A,FALSE,"INSURANCE";#N/A,#N/A,FALSE,"HVAC";#N/A,#N/A,FALSE,"MARKETING"}</definedName>
    <definedName name="wrn.crossroads._1" hidden="1">{#N/A,#N/A,FALSE,"RENT ROLL";#N/A,#N/A,FALSE,"CAM";#N/A,#N/A,FALSE,"TAXES";#N/A,#N/A,FALSE,"INSURANCE";#N/A,#N/A,FALSE,"HVAC";#N/A,#N/A,FALSE,"MARKETING"}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c." hidden="1">{"orixcsc",#N/A,FALSE,"ORIX CSC";"orixcsc2",#N/A,FALSE,"ORIX CSC"}</definedName>
    <definedName name="wrn.csc2." hidden="1">{#N/A,#N/A,FALSE,"ORIX CSC"}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t." hidden="1">{"debt summary",#N/A,FALSE,"Debt";"loan details",#N/A,FALSE,"Debt"}</definedName>
    <definedName name="wrn.Depreciation." hidden="1">{"GAAP Deprec",#N/A,TRUE,"Financials";"Tax Deprec",#N/A,TRUE,"Financials"}</definedName>
    <definedName name="wrn.Depreciation._1" hidden="1">{"GAAP Deprec",#N/A,TRUE,"Financials";"Tax Deprec",#N/A,TRUE,"Financials"}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ackage.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rofit._.and._.Loss." hidden="1">{#N/A,#N/A,FALSE,"P&amp;L CONSOLIDATED";#N/A,#N/A,FALSE,"Cyperus";#N/A,#N/A,FALSE,"ANP";#N/A,#N/A,FALSE,"PRNE CORE"}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evelopment._.Hours._1" hidden="1">{#N/A,#N/A,FALSE,"July 95";#N/A,#N/A,FALSE,"Aug 95";#N/A,#N/A,FALSE,"Sep 95";#N/A,#N/A,FALSE,"October 95"}</definedName>
    <definedName name="wrn.div_bow." hidden="1">{"div_bow",#N/A,FALSE,"AMF"}</definedName>
    <definedName name="wrn.div_pls." hidden="1">{"div_pls",#N/A,FALSE,"PL"}</definedName>
    <definedName name="wrn.div_rtp." hidden="1">{"div_rtp",#N/A,FALSE,"PQ"}</definedName>
    <definedName name="wrn.divisões." hidden="1">{"divisões",#N/A,FALSE,"TOT"}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hidden="1">{"consolidated",#N/A,FALSE,"Sheet1";"cms",#N/A,FALSE,"Sheet1";"fse",#N/A,FALSE,"Sheet1"}</definedName>
    <definedName name="wrn.DOLS." hidden="1">{"PDS",#N/A,FALSE,"G&amp;A_TOT"}</definedName>
    <definedName name="wrn.DPI._.Summary." hidden="1">{#N/A,#N/A,TRUE,"Summary";#N/A,#N/A,TRUE,"Financials"}</definedName>
    <definedName name="wrn.Draft." hidden="1">{"Draft",#N/A,FALSE,"Feb-96"}</definedName>
    <definedName name="wrn.EAC._.Reports.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bitda." hidden="1">{#N/A,#N/A,FALSE,"2003_Input - P&amp;L"}</definedName>
    <definedName name="wrn.ebitda2" hidden="1">{#N/A,#N/A,FALSE,"2003_Input - P&amp;L"}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mea." hidden="1">{#N/A,#N/A,FALSE,"AR Summ.";#N/A,#N/A,FALSE,"Dec top 5 collects";#N/A,#N/A,FALSE,"Top 5 AR";#N/A,#N/A,FALSE,"Top 5&gt;90";#N/A,#N/A,FALSE,"AR Flow by Region";#N/A,#N/A,FALSE,"PrePays";#N/A,#N/A,FALSE,"Op&amp;Risk"}</definedName>
    <definedName name="wrn.Employee._.Efficiency." hidden="1">{"Employee Efficiency",#N/A,FALSE,"Benchmarking"}</definedName>
    <definedName name="wrn.Entire._.Model.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.._.A." hidden="1">{"Page 1",#N/A,TRUE,"Sheet1";"Page 2",#N/A,TRUE,"Sheet1"}</definedName>
    <definedName name="wrn.Ex.._.A._1" hidden="1">{"Page 1",#N/A,TRUE,"Sheet1";"Page 2",#N/A,TRUE,"Sheet1"}</definedName>
    <definedName name="wrn.exhibits." hidden="1">{#N/A,#N/A,FALSE,"Base";#N/A,#N/A,FALSE,"TAC";#N/A,#N/A,FALSE,"TDC";#N/A,#N/A,FALSE,"Base (2)";#N/A,#N/A,FALSE,"T-Bonus";#N/A,#N/A,FALSE,"T-Bonus (2)"}</definedName>
    <definedName name="wrn.FCB." hidden="1">{"FCB_ALL",#N/A,FALSE,"FCB"}</definedName>
    <definedName name="wrn.FCB._1" hidden="1">{"FCB_ALL",#N/A,FALSE,"FCB"}</definedName>
    <definedName name="wrn.fcb2" hidden="1">{"FCB_ALL",#N/A,FALSE,"FCB"}</definedName>
    <definedName name="wrn.fcb2_1" hidden="1">{"FCB_ALL",#N/A,FALSE,"FCB"}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97." hidden="1">{#N/A,#N/A,FALSE,"FIN97 DETAIL"}</definedName>
    <definedName name="wrn.Final." hidden="1">{"Final",#N/A,FALSE,"Feb-96"}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.all._.detail.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nancials._1" hidden="1">{"Inc Stmt",#N/A,TRUE,"Financials";"Common Size",#N/A,TRUE,"Financials";"BS Assets",#N/A,TRUE,"Financials";"BS Liabilities",#N/A,TRUE,"Financials";"Cash Flow Stmt",#N/A,TRUE,"Financials";"DCF",#N/A,TRUE,"Financials"}</definedName>
    <definedName name="wrn.FINAUTOREPS." hidden="1">{#N/A,#N/A,FALSE,"5100";#N/A,#N/A,FALSE,"5115";#N/A,#N/A,FALSE,"5121";#N/A,#N/A,FALSE,"GPHM";#N/A,#N/A,FALSE,"GPHY"}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ecast." hidden="1">{#N/A,#N/A,FALSE,"model"}</definedName>
    <definedName name="wrn.forecast2" hidden="1">{#N/A,#N/A,FALSE,"model"}</definedName>
    <definedName name="wrn.forecast2qf." hidden="1">{#N/A,#N/A,FALSE,"REV 110 PRNE (Bureau-Frankfurt)";#N/A,#N/A,FALSE,"REV 120 PRNE (Bureau - Paris)"}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ull.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_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IS." hidden="1">{#N/A,#N/A,FALSE,"GIS"}</definedName>
    <definedName name="wrn.GIS._1" hidden="1">{#N/A,#N/A,FALSE,"GIS"}</definedName>
    <definedName name="wrn.GRAPHS." hidden="1">{#N/A,#N/A,FALSE,"ACQ_GRAPHS";#N/A,#N/A,FALSE,"T_1 GRAPHS";#N/A,#N/A,FALSE,"T_2 GRAPHS";#N/A,#N/A,FALSE,"COMB_GRAPHS"}</definedName>
    <definedName name="wrn.GRAPHS._1" hidden="1">{#N/A,#N/A,FALSE,"ACQ_GRAPHS";#N/A,#N/A,FALSE,"T_1 GRAPHS";#N/A,#N/A,FALSE,"T_2 GRAPHS";#N/A,#N/A,FALSE,"COMB_GRAPHS"}</definedName>
    <definedName name="wrn.HEAT." hidden="1">{#N/A,#N/A,FALSE,"Heat";#N/A,#N/A,FALSE,"DCF";#N/A,#N/A,FALSE,"LBO";#N/A,#N/A,FALSE,"A";#N/A,#N/A,FALSE,"C";#N/A,#N/A,FALSE,"impd";#N/A,#N/A,FALSE,"Accr-Dilu"}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NZ." hidden="1">{#N/A,#N/A,FALSE,"HNZ"}</definedName>
    <definedName name="wrn.HNZ._1" hidden="1">{#N/A,#N/A,FALSE,"HNZ"}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." hidden="1">{#N/A,#N/A,FALSE,"IB Totgeo Q1-Q4 ";#N/A,#N/A,FALSE,"IB AEME";#N/A,#N/A,FALSE,"IB West";#N/A,#N/A,FALSE,"IB Central";#N/A,#N/A,FALSE,"IB South ";#N/A,#N/A,FALSE,"IB North";#N/A,#N/A,FALSE,"IB Reg Tot ";#N/A,#N/A,FALSE,"IB Reg Tot graph"}</definedName>
    <definedName name="wrn.IDPH." hidden="1">{"Rituxan Revenues",#N/A,FALSE,"B cell Revenues";"QEarn1",#N/A,FALSE,"Qearn";"QEarn2",#N/A,FALSE,"Qearn";"QMargin",#N/A,FALSE,"qmargin";"Cashflow",#N/A,FALSE,"cashflow";"Product Pipeline",#N/A,FALSE,"Product Pipeline"}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ya." hidden="1">{#N/A,#N/A,TRUE,"Staff cost as % of revenue";#N/A,#N/A,TRUE,"Depreciation as % of sales";#N/A,#N/A,TRUE,"Employee cost";#N/A,#N/A,TRUE,"Traffic per line";#N/A,#N/A,TRUE,"Lines per employee"}</definedName>
    <definedName name="wrn.ilya1." hidden="1">{#N/A,#N/A,TRUE,"Staff cost as % of revenue";#N/A,#N/A,TRUE,"Depreciation as % of sales";#N/A,#N/A,TRUE,"Employee cost";#N/A,#N/A,TRUE,"Traffic per line";#N/A,#N/A,TRUE,"Lines per employee"}</definedName>
    <definedName name="wrn.Import._.figures." hidden="1">{"reports",#N/A,FALSE,"Balance Sheet"}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{"INCOME STATEMENT",#N/A,FALSE,"Income Statement"}</definedName>
    <definedName name="wrn.Informes." hidden="1">{#N/A,#N/A,FALSE,"CN Oficial RESUMIDA EXCanon";#N/A,#N/A,FALSE,"CN Oficial";#N/A,#N/A,FALSE,"CA Oficial";#N/A,#N/A,FALSE,"PLANTILLA";#N/A,#N/A,FALSE,"BAL";#N/A,#N/A,FALSE,"PT_Finanzas";#N/A,#N/A,FALSE,"INVERSIONES BIEN"}</definedName>
    <definedName name="wrn.ING." hidden="1">{"bs-ING",#N/A,FALSE,"ING Reports";"soo-ING",#N/A,FALSE,"ING Reports";"socf-ING",#N/A,FALSE,"ING Reports"}</definedName>
    <definedName name="wrn.Input._.Print._.Area." hidden="1">{#N/A,#N/A,FALSE,"inputs";#N/A,#N/A,FALSE,"inputs"}</definedName>
    <definedName name="wrn.Inputs." hidden="1">{#N/A,#N/A,FALSE,"Inputs";#N/A,#N/A,FALSE,"Mkt";#N/A,#N/A,FALSE,"Rev";#N/A,#N/A,FALSE,"Costs"}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PO._.Valuation." hidden="1">{"assumptions",#N/A,FALSE,"Scenario 1";"valuation",#N/A,FALSE,"Scenario 1"}</definedName>
    <definedName name="wrn.IPO._.Valuation._1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jerrys_copy." hidden="1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K." hidden="1">{#N/A,#N/A,FALSE,"K"}</definedName>
    <definedName name="wrn.K._1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BO._.Summary._1" hidden="1">{"LBO Summary",#N/A,FALSE,"Summary"}</definedName>
    <definedName name="wrn.legal." hidden="1">{"long",#N/A,FALSE,"ESC"}</definedName>
    <definedName name="wrn.Line._.Efficiency." hidden="1">{"Line Efficiency",#N/A,FALSE,"Benchmarking"}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RK." hidden="1">{#N/A,#N/A,FALSE,"MCCRK"}</definedName>
    <definedName name="wrn.MCCRK._1" hidden="1">{#N/A,#N/A,FALSE,"MCCRK"}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rge." hidden="1">{#N/A,#N/A,FALSE,"IPO";#N/A,#N/A,FALSE,"DCF";#N/A,#N/A,FALSE,"LBO";#N/A,#N/A,FALSE,"MULT_VAL";#N/A,#N/A,FALSE,"Status Quo";#N/A,#N/A,FALSE,"Recap"}</definedName>
    <definedName name="wrn.MergerModel." hidden="1">{"Deal",#N/A,FALSE,"Deal";"acquiror",#N/A,FALSE,"Acquiror";"Target",#N/A,FALSE,"Target"}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kes_copy." hidden="1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odel." hidden="1">{"page1",#N/A,FALSE,"GIRLBO";"page2",#N/A,FALSE,"GIRLBO";"page3",#N/A,FALSE,"GIRLBO";"page4",#N/A,FALSE,"GIRLBO";"page5",#N/A,FALSE,"GIRLBO"}</definedName>
    <definedName name="wrn.Monthly._.Act._.P_L." hidden="1">{"Monthly",#N/A,FALSE,"1.2"}</definedName>
    <definedName name="wrn.Monthly._.Act._.P_L._1" hidden="1">{"Monthly",#N/A,FALSE,"1.2"}</definedName>
    <definedName name="wrn.Mor._.Pack._.January.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or._.Pack._.January._1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pc._.Actual._.por._.Mes." hidden="1">{"MPCROS",#N/A,FALSE,"ROS";"MPCOFF",#N/A,FALSE,"OFF";"MPCBEA",#N/A,FALSE,"BEA";"MPCCOF",#N/A,FALSE,"COF";"MPCTEL",#N/A,FALSE,"TEL";"MPCCON",#N/A,FALSE,"CON";"MPCINT",#N/A,FALSE,"INT"}</definedName>
    <definedName name="wrn.MRP._.Pack._.excl._.cash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ash._1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ommentary.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excl._.commentary._1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inc._.commentary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MRP._.Pack._.inc._.commentary._1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NA." hidden="1">{#N/A,#N/A,FALSE,"NA"}</definedName>
    <definedName name="wrn.NA._1" hidden="1">{#N/A,#N/A,FALSE,"NA"}</definedName>
    <definedName name="wrn.newest." hidden="1">{#N/A,#N/A,TRUE,"TS";#N/A,#N/A,TRUE,"Combo";#N/A,#N/A,TRUE,"FAIR";#N/A,#N/A,TRUE,"RBC";#N/A,#N/A,TRUE,"xxxx"}</definedName>
    <definedName name="wrn.Nico." hidden="1">{#N/A,#N/A,TRUE,"Cover";#N/A,#N/A,TRUE,"Transaction Summary";#N/A,#N/A,TRUE,"Earnings Impact";#N/A,#N/A,TRUE,"accretion dilution"}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OCONLY." hidden="1">{"OOCDOLS",#N/A,FALSE,"G&amp;A_CRPSV";"OOCDOL",#N/A,FALSE,"G&amp;A_FAC"}</definedName>
    <definedName name="wrn.Opportunity._.Assessment." hidden="1">{#N/A,#N/A,TRUE,"Summary";#N/A,#N/A,TRUE,"Assumptions";#N/A,#N/A,TRUE,"Comparison";#N/A,#N/A,TRUE,"Financials";#N/A,#N/A,TRUE,"Plan v. Act"}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hd." hidden="1">{#N/A,#N/A,FALSE,"OVHDSUM"}</definedName>
    <definedName name="wrn.ovhd1." hidden="1">{#N/A,#N/A,FALSE,"OVHDSUM"}</definedName>
    <definedName name="wrn.P_and_L." hidden="1">{#N/A,#N/A,FALSE,"RMS Base (allocated)";#N/A,#N/A,FALSE,"Humana";#N/A,#N/A,FALSE,"NJRM";#N/A,#N/A,FALSE,"GSNS";#N/A,#N/A,FALSE,"Total"}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._.1." hidden="1">{"Page 1",#N/A,FALSE,"Sheet1";"Page 2",#N/A,FALSE,"Sheet1"}</definedName>
    <definedName name="wrn.Page._.1._1" hidden="1">{"Page 1",#N/A,FALSE,"Sheet1";"Page 2",#N/A,FALSE,"Sheet1"}</definedName>
    <definedName name="wrn.PAGE._.2." hidden="1">{"PAGE 2",#N/A,FALSE,"WEST_OT"}</definedName>
    <definedName name="wrn.PAGE._.3." hidden="1">{"PAGE 2",#N/A,FALSE,"WEST_OT"}</definedName>
    <definedName name="wrn.PandL_Summary." hidden="1">{#N/A,#N/A,FALSE,"Summary"}</definedName>
    <definedName name="wrn.Part._.1.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Statement";#N/A,#N/A,FALSE,"Variance analysis";#N/A,#N/A,FALSE,"Mntly Income";#N/A,#N/A,FALSE,"Variance analysis";#N/A,#N/A,FALSE,"Cur Mnth Cash";#N/A,#N/A,FALSE,"Current Qtr Cash";#N/A,#N/A,FALSE,"Qtrly Cashflow";#N/A,#N/A,FALSE,"Mnthly Cashflow";#N/A,#N/A,FALSE,"Accts. Rec.";#N/A,#N/A,FALSE,"Headcnt Det";#N/A,#N/A,FALSE,"Gross Headcount";#N/A,#N/A,FALSE,"Management Summary [2]";#N/A,#N/A,FALSE,"Major Project [2]";#N/A,#N/A,FALSE,"Variance analysis"}</definedName>
    <definedName name="wrn.Part._.2.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NERS._.CAPITAL._.STMT." hidden="1">{"PARTNERS CAPITAL STMT",#N/A,FALSE,"Partners Capital"}</definedName>
    <definedName name="wrn.PDS." hidden="1">{"PDS",#N/A,FALSE,"G&amp;A_TOT"}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l_brasil." hidden="1">{"PL_Brasil",#N/A,FALSE,"PL"}</definedName>
    <definedName name="wrn.plbscf." hidden="1">{"p_l",#N/A,FALSE,"Summary Accounts"}</definedName>
    <definedName name="wrn.portugal." hidden="1">{"portugal",#N/A,FALSE,"PL"}</definedName>
    <definedName name="wrn.pq_dr." hidden="1">{"pq_dr",#N/A,FALSE,"PQ"}</definedName>
    <definedName name="wrn.pq_pe." hidden="1">{"pq_pe",#N/A,FALSE,"PQ"}</definedName>
    <definedName name="wrn.pq_sp." hidden="1">{"pq_sp",#N/A,FALSE,"PQ"}</definedName>
    <definedName name="wrn.PRES_OUT." hidden="1">{"page1",#N/A,FALSE,"PRESENTATION";"page2",#N/A,FALSE,"PRESENTATION";#N/A,#N/A,FALSE,"Valuation Summary"}</definedName>
    <definedName name="wrn.PrimeCo." hidden="1">{"print 1",#N/A,FALSE,"PrimeCo PCS";"print 2",#N/A,FALSE,"PrimeCo PCS";"valuation",#N/A,FALSE,"PrimeCo PCS"}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{"vi1",#N/A,FALSE,"Financial Statements";"vi2",#N/A,FALSE,"Financial Statements";#N/A,#N/A,FALSE,"DCF"}</definedName>
    <definedName name="wrn.PRINT._.ALL." hidden="1">{#N/A,#N/A,FALSE,"COVER";#N/A,#N/A,FALSE,"T of C";#N/A,#N/A,FALSE,"Balance Sheet";#N/A,#N/A,FALSE,"Consolidated";#N/A,#N/A,FALSE,"Cash Flows";#N/A,#N/A,FALSE,"Sales";#N/A,#N/A,FALSE,"1998";#N/A,#N/A,FALSE,"1999";#N/A,#N/A,FALSE,"2000";#N/A,#N/A,FALSE,"2001";#N/A,#N/A,FALSE,"2003";#N/A,#N/A,FALSE,"Hotel";#N/A,#N/A,FALSE,"Mfg";#N/A,#N/A,FALSE,"Balance Sheet"}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PNL._.Download." hidden="1">{"PNLProjDL",#N/A,FALSE,"PROJCO";"PNLParDL",#N/A,FALSE,"Parent"}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eport." hidden="1">{#N/A,#N/A,TRUE,"Title";#N/A,#N/A,TRUE,"Consol";#N/A,#N/A,TRUE,"DCF";#N/A,#N/A,TRUE,"Oroweat";#N/A,#N/A,TRUE,"Entenmann's";#N/A,#N/A,TRUE,"Thomas";#N/A,#N/A,TRUE,"Boboli";#N/A,#N/A,TRUE,"Lender's";#N/A,#N/A,TRUE,"Section";#N/A,#N/A,TRUE,"Acc-dil";#N/A,#N/A,TRUE,"Acquiror";#N/A,#N/A,TRUE,"Target";#N/A,#N/A,TRUE,"Sosa";#N/A,#N/A,TRUE,"Truman";#N/A,#N/A,TRUE,"Bimbo";#N/A,#N/A,TRUE,"Camden"}</definedName>
    <definedName name="wrn.print._.standalone." hidden="1">{"standalone1",#N/A,FALSE,"DCFBase";"standalone2",#N/A,FALSE,"DCFBase"}</definedName>
    <definedName name="wrn.print._.standalone._1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summary._.sheets.2_1" hidden="1">{"summary1",#N/A,TRUE,"Comps";"summary2",#N/A,TRUE,"Comps";"summary3",#N/A,TRUE,"Comps"}</definedName>
    <definedName name="wrn.Print._1" hidden="1">{"vi1",#N/A,FALSE,"Financial Statements";"vi2",#N/A,FALSE,"Financial Statements";#N/A,#N/A,FALSE,"DCF"}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 hidden="1">{"var_page",#N/A,FALSE,"template"}</definedName>
    <definedName name="wrn.print_variance." hidden="1">{"var_report",#N/A,FALSE,"template"}</definedName>
    <definedName name="wrn.Print_Variance_Page." hidden="1">{"variance_page",#N/A,FALSE,"template"}</definedName>
    <definedName name="wrn.Print1.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All." hidden="1">{"PA1",#N/A,TRUE,"BORDMW";"pa2",#N/A,TRUE,"BORDMW";"PA3",#N/A,TRUE,"BORDMW";"PA4",#N/A,TRUE,"BORDMW"}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hidden="1">{"PRINTREP",#N/A,FALSE,"Sheet1"}</definedName>
    <definedName name="wrn.PRNE._.Profit._.and._.Loss._.detail." hidden="1">{#N/A,#N/A,TRUE,"PRNE CORE";#N/A,#N/A,TRUE,"Targeting";#N/A,#N/A,TRUE,"Distribution";#N/A,#N/A,TRUE,"Measurement"}</definedName>
    <definedName name="wrn.Project._.Summary." hidden="1">{"Summary",#N/A,FALSE,"MICMULT";"Income Statement",#N/A,FALSE,"MICMULT";"Cash Flows",#N/A,FALSE,"MICMULT"}</definedName>
    <definedName name="wrn.Projections." hidden="1">{"Volume",#N/A,FALSE,"volume";"revenue",#N/A,FALSE,"revenue"}</definedName>
    <definedName name="wrn.PSHIP._.SCH._.B." hidden="1">{"PSHIP",#N/A,FALSE,"PSHP"}</definedName>
    <definedName name="wrn.PSHIP._.SCH._.B._.NO._.ADJ." hidden="1">{"PSHIP NO ADJ",#N/A,FALSE,"PSHP"}</definedName>
    <definedName name="wrn.PSHIP._.SCHED._.A." hidden="1">{"PSHIP COMMITS",#N/A,FALSE,"PSHP"}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rtly._.Grp._.Consol." hidden="1">{"QTRLYGrpConsol",#N/A,FALSE,"Grp Consol"}</definedName>
    <definedName name="wrn.Qrtly._.International." hidden="1">{"QTRLYInternational",#N/A,FALSE,"International"}</definedName>
    <definedName name="wrn.Qtrly._.Corporate." hidden="1">{"QTRLYCorporate",#N/A,FALSE,"Corporate"}</definedName>
    <definedName name="wrn.Qtrly._.Funding." hidden="1">{"QTRLYFunding",#N/A,FALSE,"Funding"}</definedName>
    <definedName name="wrn.Qtrly._.Grp._.Adjustments." hidden="1">{"QTRLYGrpAdj",#N/A,FALSE,"Grp Adj"}</definedName>
    <definedName name="wrn.Qtrly._.HTUK." hidden="1">{"QTRLYHTUK",#N/A,FALSE,"HTUK"}</definedName>
    <definedName name="wrn.Qtrly._.OIDL." hidden="1">{"QTRLYOIDL",#N/A,FALSE,"OIDL"}</definedName>
    <definedName name="wrn.Qtrly._.Trust." hidden="1">{"QTRLYTrust",#N/A,FALSE,"Trust"}</definedName>
    <definedName name="wrn.Qtrs_PL." hidden="1">{"Quarters",#N/A,FALSE,"1.2"}</definedName>
    <definedName name="wrn.Qtrs_PL._1" hidden="1">{"Quarters",#N/A,FALSE,"1.2"}</definedName>
    <definedName name="wrn.quartly1." hidden="1">{#N/A,#N/A,FALSE,"Budget96 Revised"}</definedName>
    <definedName name="wrn.ratios." hidden="1">{"ratios",#N/A,FALSE,"Summary Accounts"}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wrn.Report._.7." hidden="1">{"Header",#N/A,FALSE,"Header";"Index",#N/A,FALSE,"Index";"Confirmation",#N/A,FALSE,"Audit Confirmation";"Rec",#N/A,FALSE,"Rec to mgmt acs";"P&amp;L A/C",#N/A,FALSE,"P&amp;L Account";"BS",#N/A,FALSE,"Balance Sheet";"Note 1",#N/A,FALSE,"P&amp;L Account Notes (1-7)";"Note 1a",#N/A,FALSE,"P&amp;L Account Notes (1-7)";"Note 1b",#N/A,FALSE,"P&amp;L Account Notes (1-7)";"Note 2",#N/A,FALSE,"P&amp;L Account Notes (1-7)";"Note 3",#N/A,FALSE,"P&amp;L Account Notes (1-7)";"Note 4",#N/A,FALSE,"P&amp;L Account Notes (1-7)";"Note 4a",#N/A,FALSE,"P&amp;L Account Notes (1-7)";"Note 5",#N/A,FALSE,"P&amp;L Account Notes (1-7)";"Note 6",#N/A,FALSE,"P&amp;L Account Notes (1-7)";"Note 7",#N/A,FALSE,"P&amp;L Account Notes (1-7)";"Note 8",#N/A,FALSE,"P&amp;L Account Notes (8-15)";"Note 9",#N/A,FALSE,"P&amp;L Account Notes (8-15)";"Note 10",#N/A,FALSE,"P&amp;L Account Notes (8-15)";"Note 11",#N/A,FALSE,"P&amp;L Account Notes (8-15)";"Note 12",#N/A,FALSE,"P&amp;L Account Notes (8-15)";"Note 13",#N/A,FALSE,"P&amp;L Account Notes (8-15)";"Note 14",#N/A,FALSE,"P&amp;L Account Notes (8-15)";"Note 15",#N/A,FALSE,"P&amp;L Account Notes (8-15)";"Note 16",#N/A,FALSE,"P&amp;L Account Notes (8-15)";"TFA-Cost",#N/A,FALSE,"TFA";"TFA-Depn",#N/A,FALSE,"TFA";"Note 17a",#N/A,FALSE,"TFA";"Note 17b",#N/A,FALSE,"BS Notes (17(b) - 28)";"Note 18(1)",#N/A,FALSE,"BS Notes (17(b) - 28)";"Note 18 2&amp;3",#N/A,FALSE,"BS Notes (17(b) - 28)";"Note 18(3)",#N/A,FALSE,"BS Notes (17(b) - 28)";"Note 19",#N/A,FALSE,"BS Notes (17(b) - 28)";"Notes 20&amp;21",#N/A,FALSE,"BS Notes (17(b) - 28)";"Note 22",#N/A,FALSE,"BS Notes (17(b) - 28)";"Note 22(a)",#N/A,FALSE,"BS Notes (17(b) - 28)";"Note 23",#N/A,FALSE,"BS Notes (17(b) - 28)";"Note 24",#N/A,FALSE,"BS Notes (17(b) - 28)";"Note 25",#N/A,FALSE,"BS Notes (17(b) - 28)";"Note 26",#N/A,FALSE,"BS Notes (17(b) - 28)";"Note 27",#N/A,FALSE,"BS Notes (17(b) - 28)";"Note 28-Drs",#N/A,FALSE,"BS Notes (17(b) - 28)";"Note 28-Crs",#N/A,FALSE,"BS Notes (17(b) - 28)";"Note 29",#N/A,FALSE,"Notes 29-31";"Note 29(b)",#N/A,FALSE,"Notes 29-31";"Note 30",#N/A,FALSE,"Notes 29-31";"Note 31",#N/A,FALSE,"Notes 29-31";"Note 32a",#N/A,FALSE,"CF Notes 32-33";"Note 32b",#N/A,FALSE,"CF Notes 32-33";"Note 33",#N/A,FALSE,"CF Notes 32-33";"Notes 34&amp;35",#N/A,FALSE,"CF Notes 34-36";"Note 36",#N/A,FALSE,"CF Notes 34-36";"Notes 37&amp;38",#N/A,FALSE,"CF Notes 37-43";"Note 39",#N/A,FALSE,"CF Notes 37-43";"Notes 40&amp;41",#N/A,FALSE,"CF Notes 37-43";"Notes 42&amp;43",#N/A,FALSE,"CF Notes 37-43";"BS",#N/A,FALSE,"Balance Sheet"}</definedName>
    <definedName name="wrn.Report1.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port1._1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view." hidden="1">{"review",#N/A,FALSE,"FACTSHT"}</definedName>
    <definedName name="wrn.review1." hidden="1">{"review",#N/A,FALSE,"FACTSHT"}</definedName>
    <definedName name="wrn.Revs." hidden="1">{"Base_rev",#N/A,FALSE,"Proj_IS_Base";"Projrev",#N/A,FALSE,"Proj_IS_wOTLC";"Delta",#N/A,FALSE,"Delta Rev_PV"}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rpts._1" hidden="1">{#N/A,#N/A,TRUE,"Services";#N/A,#N/A,TRUE,"Sales - QM";#N/A,#N/A,TRUE,"Sales - HC";#N/A,#N/A,TRUE,"Int'l";#N/A,#N/A,TRUE,"PW Institute";#N/A,#N/A,TRUE,"Mktg Dept";#N/A,#N/A,TRUE,"R&amp;D";#N/A,#N/A,TRUE,"G&amp;A"}</definedName>
    <definedName name="wrn.sales." hidden="1">{"sales",#N/A,FALSE,"Sales";"sales existing",#N/A,FALSE,"Sales";"sales rd1",#N/A,FALSE,"Sales";"sales rd2",#N/A,FALSE,"Sales"}</definedName>
    <definedName name="wrn.Sales._.and._.LFL._.assumptions." hidden="1">{#N/A,#N/A,FALSE,"H1H2";"Sales by division",#N/A,FALSE,"H1H2";"LFL assumptions",#N/A,FALSE,"H1H2"}</definedName>
    <definedName name="wrn.Scripts." hidden="1">{"ENBREL",#N/A,FALSE,"Sheet1";"RenaGel",#N/A,FALSE,"Sheet1";"HIV PI",#N/A,FALSE,"Sheet1";"MS",#N/A,FALSE,"Sheet1"}</definedName>
    <definedName name="wrn.sensitivity." hidden="1">{"sensitivity",#N/A,FALSE,"Sensitivity"}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even._.Page._1" hidden="1">{"Income",#N/A,FALSE,"income";"Sales",#N/A,FALSE,"income";"Critical",#N/A,FALSE,"income";"Market",#N/A,FALSE,"Market";"Returns",#N/A,FALSE,"returns";"Balance",#N/A,FALSE,"balance";"Cash Flow",#N/A,FALSE,"balance"}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._.Page._1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ixpage._1" hidden="1">{"Income",#N/A,FALSE,"income";"Critical",#N/A,FALSE,"income";"Balance",#N/A,FALSE,"Balance";"Cash Flow",#N/A,FALSE,"Balance";"Returns",#N/A,FALSE,"Returns";"Market",#N/A,FALSE,"Market"}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ociedades." hidden="1">{"sociedades",#N/A,FALSE,"PL"}</definedName>
    <definedName name="wrn.SPINS." hidden="1">{#N/A,#N/A,FALSE,"9504"}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 hidden="1">{"FCB_ALL",#N/A,FALSE,"FCB";"GREY_ALL",#N/A,FALSE,"GREY"}</definedName>
    <definedName name="wrn.STAND_ALONE_BOTH._1" hidden="1">{"FCB_ALL",#N/A,FALSE,"FCB";"GREY_ALL",#N/A,FALSE,"GREY"}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1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atus.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MT._.OF._.CASH._.FLOWS." hidden="1">{"STMT OF CASH FLOWS",#N/A,FALSE,"Cash Flows Indirect"}</definedName>
    <definedName name="wrn.Subscriptions._.Inputs.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m." hidden="1">{"Opsys",#N/A,FALSE,"NPV_OPsys";"NT",#N/A,FALSE,"NPV_NT";"DevP",#N/A,FALSE,"NPV_DevPdt";"Office",#N/A,FALSE,"NPV_Office"}</definedName>
    <definedName name="wrn.SUMM." hidden="1">{"SUMM",#N/A,FALSE,"SUMM"}</definedName>
    <definedName name="wrn.SUMM._.NO._.ADJ." hidden="1">{"SUMM NO ADJ",#N/A,FALSE,"SUMM"}</definedName>
    <definedName name="wrn.summ4." hidden="1">{#N/A,#N/A,FALSE,"summ";#N/A,#N/A,FALSE,"q1";#N/A,#N/A,FALSE,"summ_alt";#N/A,#N/A,FALSE,"stock_nozero";#N/A,#N/A,FALSE,"1995"}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_.Package.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axes." hidden="1">{"Def Tax Long",#N/A,TRUE,"Financials";"Def Tax Short",#N/A,TRUE,"Financials";"Cons Tax Sched",#N/A,TRUE,"Financials"}</definedName>
    <definedName name="wrn.Taxes._1" hidden="1">{"Def Tax Long",#N/A,TRUE,"Financials";"Def Tax Short",#N/A,TRUE,"Financials";"Cons Tax Sched",#N/A,TRUE,"Financials"}</definedName>
    <definedName name="wrn.TB._.ALL._.ACCTS." hidden="1">{"BALANCE SHEET ACCTS",#N/A,TRUE,"Working Trial Balance";"INCOME STMT ACCTS",#N/A,TRUE,"Working Trial Balance"}</definedName>
    <definedName name="wrn.TB._.BALANCE._.SHEET." hidden="1">{"BALANCE SHEET ACCTS",#N/A,FALSE,"Working Trial Balance"}</definedName>
    <definedName name="wrn.TB._.EXPLANATIONS." hidden="1">{"EXPLANATIONS",#N/A,FALSE,"Working Trial Balance"}</definedName>
    <definedName name="wrn.TB._.INCOME._.STMT." hidden="1">{"INCOME STMT ACCTS",#N/A,FALSE,"Working Trial Balance"}</definedName>
    <definedName name="wrn.test." hidden="1">{#N/A,#N/A,TRUE,"stops- rsrvs";#N/A,#N/A,TRUE,"P&amp;L phoenix";#N/A,#N/A,TRUE,"BS phoenix";#N/A,#N/A,TRUE,"P&amp;L columbus";#N/A,#N/A,TRUE,"BS columbus"}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_bow." hidden="1">{"tot_bow",#N/A,FALSE,"AMF"}</definedName>
    <definedName name="wrn.TOT_DIVISÕES." hidden="1">{"TOT_DIVISÕES",#N/A,FALSE,"TOT"}</definedName>
    <definedName name="wrn.tot_pls." hidden="1">{"tot_pls",#N/A,FALSE,"PL"}</definedName>
    <definedName name="wrn.tot_pqs." hidden="1">{"tot_pqs",#N/A,FALSE,"PQ"}</definedName>
    <definedName name="wrn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.year." hidden="1">{#N/A,#N/A,FALSE,"2003_Input - P&amp;L"}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rading._.Summary." hidden="1">{#N/A,#N/A,FALSE,"Trading Summary"}</definedName>
    <definedName name="wrn.Trading._.Summary._1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weety." hidden="1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UK._.GAAP._.BS." hidden="1">{"UKGAAP balance sheet",#N/A,FALSE,"Balance Sheet"}</definedName>
    <definedName name="wrn.UK._.Retail._.PLs." hidden="1">{"Clothing PL",#N/A,FALSE,"H1H2";"Food PL",#N/A,FALSE,"H1H2";"Group PL",#N/A,FALSE,"H1H2";"Home Furnishings PL",#N/A,FALSE,"H1H2"}</definedName>
    <definedName name="wrn.Umsatz." hidden="1">{#N/A,#N/A,FALSE,"Umsatz";#N/A,#N/A,FALSE,"Base V.02";#N/A,#N/A,FALSE,"Charts"}</definedName>
    <definedName name="wrn.UNISER." hidden="1">{"UNISER",#N/A,FALSE,"TOT"}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A._.Consolidated._.Report." hidden="1">{#N/A,#N/A,TRUE,"Consolidated B Sheet";#N/A,#N/A,TRUE,"Consolidated Cashflow";#N/A,#N/A,TRUE,"P&amp;L CONSOLIDATED"}</definedName>
    <definedName name="wrn.USW." hidden="1">{"IS",#N/A,FALSE,"IS";"RPTIS",#N/A,FALSE,"RPTIS";"STATS",#N/A,FALSE,"STATS";"BS",#N/A,FALSE,"BS"}</definedName>
    <definedName name="wrn.UTL._.Position." hidden="1">{"UTL effect",#N/A,FALSE,"Sensitivity"}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1" hidden="1">{#N/A,#N/A,FALSE,"Valuation Assumptions";#N/A,#N/A,FALSE,"Summary";#N/A,#N/A,FALSE,"DCF";#N/A,#N/A,FALSE,"Valuation";#N/A,#N/A,FALSE,"WACC";#N/A,#N/A,FALSE,"UBVH";#N/A,#N/A,FALSE,"Free Cash Flow"}</definedName>
    <definedName name="wrn.Variance._.REports." hidden="1">{#N/A,#N/A,FALSE,"Summary";#N/A,#N/A,FALSE,"04E Summ";#N/A,#N/A,FALSE,"04Pvs03E Summ";#N/A,#N/A,FALSE,"03E Summ"}</definedName>
    <definedName name="wrn.VENT." hidden="1">{"VENT",#N/A,FALSE,"VENT"}</definedName>
    <definedName name="wrn.VENT._.NO._.ADJ." hidden="1">{"VENT NO ADJ",#N/A,FALSE,"VENT"}</definedName>
    <definedName name="wrn.VGI._.EXT." hidden="1">{"VGI EXT",#N/A,FALSE,"VGEX"}</definedName>
    <definedName name="wrn.VGI._.EXT._.NO._.ADJ." hidden="1">{"VGI EXT NO ADJ",#N/A,FALSE,"VGEX"}</definedName>
    <definedName name="wrn.VGI._.INT." hidden="1">{"VGI INT",#N/A,FALSE,"VGIN"}</definedName>
    <definedName name="wrn.VGI._.INT._.NO._.ADJ." hidden="1">{"VGI INT NO ADJ",#N/A,FALSE,"VGIN"}</definedName>
    <definedName name="wrn.Vodafone._.printout." hidden="1">{"Groupannual",#N/A,FALSE,"Groupannual";"VodMann",#N/A,FALSE,"VodMann";"Data",#N/A,FALSE,"Data";"Group International",#N/A,FALSE,"Group International";"BellAir",#N/A,FALSE,"BellAir";"DCF sum of parts",#N/A,FALSE,"DCF sum of parts";"licences",#N/A,FALSE,"licences"}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acc." hidden="1">{"Area1",#N/A,FALSE,"OREWACC";"Area2",#N/A,FALSE,"OREWACC"}</definedName>
    <definedName name="wrn.Warrant._.analysis." hidden="1">{#N/A,#N/A,FALSE,"sum (2)";#N/A,#N/A,FALSE,"bs";#N/A,#N/A,FALSE,"is";#N/A,#N/A,FALSE,"cf";#N/A,#N/A,FALSE,"ltd";#N/A,#N/A,FALSE,"irr (2)"}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STS._.Trade._.Statistics." hidden="1">{#N/A,#N/A,FALSE,"Table of Contents";#N/A,#N/A,FALSE,"Overview";#N/A,#N/A,FALSE,"Data"}</definedName>
    <definedName name="wrn.WSTS._.Trade._.Statistics._1" hidden="1">{#N/A,#N/A,FALSE,"Table of Contents";#N/A,#N/A,FALSE,"Overview";#N/A,#N/A,FALSE,"Data"}</definedName>
    <definedName name="wrn.WWY." hidden="1">{#N/A,#N/A,FALSE,"WWY"}</definedName>
    <definedName name="wrn.WWY._1" hidden="1">{#N/A,#N/A,FALSE,"WWY"}</definedName>
    <definedName name="wrn.YTD_ROY_PL." hidden="1">{"ROY_YTD",#N/A,FALSE,"1.2"}</definedName>
    <definedName name="wrn.YTD_ROY_PL._1" hidden="1">{"ROY_YTD",#N/A,FALSE,"1.2"}</definedName>
    <definedName name="wrn1.history" hidden="1">{#N/A,#N/A,FALSE,"model"}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Basic._1" hidden="1">{#N/A,#N/A,FALSE,"e-Svc Level";#N/A,#N/A,FALSE,"e-Hosted";#N/A,#N/A,FALSE,"e-Licensed";#N/A,#N/A,FALSE,"Assumptions"}</definedName>
    <definedName name="wrn2.Basic_1" hidden="1">{#N/A,#N/A,FALSE,"e-Svc Level";#N/A,#N/A,FALSE,"e-Hosted";#N/A,#N/A,FALSE,"e-Licensed";#N/A,#N/A,FALSE,"Assumptions"}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fy97" hidden="1">{#N/A,#N/A,FALSE,"FY97";#N/A,#N/A,FALSE,"FY98";#N/A,#N/A,FALSE,"FY99";#N/A,#N/A,FALSE,"FY00";#N/A,#N/A,FALSE,"FY01"}</definedName>
    <definedName name="wrnt.dcf" hidden="1">{"mgmt forecast",#N/A,FALSE,"Mgmt Forecast";"dcf table",#N/A,FALSE,"Mgmt Forecast";"sensitivity",#N/A,FALSE,"Mgmt Forecast";"table inputs",#N/A,FALSE,"Mgmt Forecast";"calculations",#N/A,FALSE,"Mgmt Forecast"}</definedName>
    <definedName name="wt" hidden="1">{#N/A,#N/A,FALSE,"FY97";#N/A,#N/A,FALSE,"FY98";#N/A,#N/A,FALSE,"FY99";#N/A,#N/A,FALSE,"FY00";#N/A,#N/A,FALSE,"FY01"}</definedName>
    <definedName name="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BS." hidden="1">{TRUE,FALSE,-2.6,-18.8,621.6,367.2,FALSE,FALSE,TRUE,TRUE,0,1,61,1,6,1,5,4,TRUE,TRUE,3,TRUE,1,TRUE,100,"Swvu.BS.","ACwvu.BS.",#N/A,FALSE,FALSE,0.5,0.5,0.5,0.5,2,"","",FALSE,FALSE,FALSE,FALSE,1,#N/A,1,1,"=R1C1:R27C73",FALSE,FALSE,FALSE,FALSE,FALSE,FALSE,1,#N/A,#N/A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ESENTATION.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ww" hidden="1">{"'xls'!$A$71:$A$78","'xls'!$A$1:$J$77"}</definedName>
    <definedName name="X" hidden="1">#REF!</definedName>
    <definedName name="x_1" hidden="1">{"'Standalone List Price Trends'!$A$1:$X$56"}</definedName>
    <definedName name="xaw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xbelnew" hidden="1">{"IS",#N/A,FALSE,"IS";"RPTIS",#N/A,FALSE,"RPTIS";"STATS",#N/A,FALSE,"STATS";"CELL",#N/A,FALSE,"CELL";"BS",#N/A,FALSE,"BS"}</definedName>
    <definedName name="xChicago_Summary_4" hidden="1">{#N/A,#N/A,FALSE,"Additional ARPU"}</definedName>
    <definedName name="xdfa" hidden="1">{#N/A,#N/A,FALSE,"Additional ARPU"}</definedName>
    <definedName name="xdfadf" hidden="1">{#N/A,#N/A,FALSE,"Additional ARPU"}</definedName>
    <definedName name="xjazz" hidden="1">{#N/A,#N/A,FALSE,"Spain MKT";#N/A,#N/A,FALSE,"Assumptions";#N/A,#N/A,FALSE,"Adve";#N/A,#N/A,FALSE,"E-Commerce";#N/A,#N/A,FALSE,"Opex";#N/A,#N/A,FALSE,"P&amp;L";#N/A,#N/A,FALSE,"FCF &amp; DCF"}</definedName>
    <definedName name="xjazz2" hidden="1">{#N/A,#N/A,FALSE,"Spain MKT";#N/A,#N/A,FALSE,"Assumptions";#N/A,#N/A,FALSE,"Adve";#N/A,#N/A,FALSE,"E-Commerce";#N/A,#N/A,FALSE,"Opex";#N/A,#N/A,FALSE,"P&amp;L";#N/A,#N/A,FALSE,"FCF &amp; DCF"}</definedName>
    <definedName name="xnewbel" hidden="1">{"IS",#N/A,FALSE,"IS";"RPTIS",#N/A,FALSE,"RPTIS";"STATS",#N/A,FALSE,"STATS";"CELL",#N/A,FALSE,"CELL";"BS",#N/A,FALSE,"BS"}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4</definedName>
    <definedName name="XRefCopy1Row" hidden="1">#REF!</definedName>
    <definedName name="XRefCopy2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RangeCount" hidden="1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S" hidden="1">{#N/A,#N/A,FALSE,"REV 110 PRNE (Bureau-Frankfurt)";#N/A,#N/A,FALSE,"REV 120 PRNE (Bureau - Paris)"}</definedName>
    <definedName name="xwrn.All" hidden="1">{#N/A,#N/A,TRUE,"Main";#N/A,#N/A,TRUE,"Valuation";#N/A,#N/A,TRUE,"Valuation (2)"}</definedName>
    <definedName name="x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xxx" hidden="1">#REF!</definedName>
    <definedName name="XXXX" hidden="1">#REF!</definedName>
    <definedName name="xxxxx" hidden="1">{#N/A,#N/A,FALSE,"Calc";#N/A,#N/A,FALSE,"Sensitivity";#N/A,#N/A,FALSE,"LT Earn.Dil.";#N/A,#N/A,FALSE,"Dil. AVP"}</definedName>
    <definedName name="xxxxxx" hidden="1">{"10yp graphs",#N/A,FALSE,"Market Data"}</definedName>
    <definedName name="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yz" hidden="1">{"histincome",#N/A,FALSE,"hyfins";"closing balance",#N/A,FALSE,"hyfins"}</definedName>
    <definedName name="xyz_1" hidden="1">{"histincome",#N/A,FALSE,"hyfins";"closing balance",#N/A,FALSE,"hyfins"}</definedName>
    <definedName name="y" hidden="1">{#N/A,#N/A,FALSE,"FIN97 DETAIL"}</definedName>
    <definedName name="yes" hidden="1">{"PAGE 1",#N/A,FALSE,"WEST_OT"}</definedName>
    <definedName name="yrd" hidden="1">{"PAGE 1",#N/A,FALSE,"WEST_OT"}</definedName>
    <definedName name="yrto" hidden="1">#N/A</definedName>
    <definedName name="yuuuuuuu" hidden="1">{"ratios",#N/A,FALSE,"Summary Accounts"}</definedName>
    <definedName name="yy" hidden="1">{"consolidated",#N/A,FALSE,"Sheet1";"cms",#N/A,FALSE,"Sheet1";"fse",#N/A,FALSE,"Sheet1"}</definedName>
    <definedName name="yyyy" hidden="1">{"MESROS",#N/A,FALSE,"ROS";"MESOFF",#N/A,FALSE,"OFF";"MESBEA",#N/A,FALSE,"BEA";"MESCOF",#N/A,FALSE,"COF";"MESTEL",#N/A,FALSE,"TEL";"MESCON",#N/A,FALSE,"CON";"MESINT",#N/A,FALSE,"INT"}</definedName>
    <definedName name="yyyyyy" hidden="1">{"p_l",#N/A,FALSE,"Summary Accounts"}</definedName>
    <definedName name="yyyyyyyyyy" hidden="1">{"COMPCFT",#N/A,FALSE,"CFT";"COMPAPP",#N/A,FALSE,"APP";"COMPJEW",#N/A,FALSE,"JEW";"COMPHOM",#N/A,FALSE,"HOM";"COMPCOL",#N/A,FALSE,"COL"}</definedName>
    <definedName name="z" hidden="1">{#N/A,#N/A,FALSE,"e-Svc Level";#N/A,#N/A,FALSE,"e-Hosted";#N/A,#N/A,FALSE,"e-Licensed";#N/A,#N/A,FALSE,"Assumptions"}</definedName>
    <definedName name="Z_035E25D4_205E_4647_B464_38A725102510_.wvu.Rows" hidden="1">#REF!</definedName>
    <definedName name="Z_06AC9F35_FA76_11D3_94DD_00C04FA0B046_.wvu.PrintArea" hidden="1">#N/A</definedName>
    <definedName name="Z_06AF62AE_3F63_11D3_8C95_000000000000_.wvu.PrintArea" hidden="1">#N/A</definedName>
    <definedName name="Z_0B432A8C_F278_11D2_9169_0060B01A6EB2_.wvu.PrintArea" hidden="1">#N/A</definedName>
    <definedName name="Z_0B432DE3_F278_11D2_9169_0060B01A6EB2_.wvu.PrintArea" hidden="1">#N/A</definedName>
    <definedName name="Z_0B432F66_F278_11D2_9169_0060B01A6EB2_.wvu.PrintArea" hidden="1">#N/A</definedName>
    <definedName name="Z_0E86059D_B79D_11D3_94E0_00C04F602AEF_.wvu.PrintArea" hidden="1">#N/A</definedName>
    <definedName name="Z_0EF37FB7_DAF6_11D3_94D7_00C04FA0B046_.wvu.PrintArea" hidden="1">#N/A</definedName>
    <definedName name="z_1" hidden="1">{#N/A,#N/A,FALSE,"e-Svc Level";#N/A,#N/A,FALSE,"e-Hosted";#N/A,#N/A,FALSE,"e-Licensed";#N/A,#N/A,FALSE,"Assumptions"}</definedName>
    <definedName name="Z_138E77AE_F8DF_11D3_94E9_00C04F612D61_.wvu.PrintArea" hidden="1">#N/A</definedName>
    <definedName name="Z_138E77CA_F8DF_11D3_94E9_00C04F612D61_.wvu.PrintArea" hidden="1">#N/A</definedName>
    <definedName name="Z_138E7870_F8DF_11D3_94E9_00C04F612D61_.wvu.PrintArea" hidden="1">#N/A</definedName>
    <definedName name="Z_138E7890_F8DF_11D3_94E9_00C04F612D61_.wvu.PrintArea" hidden="1">#N/A</definedName>
    <definedName name="Z_14CF0AE7_82DD_11D2_8012_0060B01A6EB2_.wvu.PrintArea" hidden="1">#N/A</definedName>
    <definedName name="Z_1ACDB192_F033_11D3_94F1_00C04F602AEF_.wvu.PrintArea" hidden="1">#N/A</definedName>
    <definedName name="Z_1CCDDD74_3AAE_11D3_8C8A_000000000000_.wvu.PrintArea" hidden="1">#N/A</definedName>
    <definedName name="Z_336250C7_C772_11D3_94E8_00C04F602AEF_.wvu.PrintArea" hidden="1">#N/A</definedName>
    <definedName name="Z_3374E370_4024_11D3_8C96_000000000000_.wvu.PrintArea" hidden="1">#N/A</definedName>
    <definedName name="Z_35EE6504_DE6F_4E57_9C0F_322110BA2375_.wvu.Cols" hidden="1">#REF!</definedName>
    <definedName name="Z_35EE6504_DE6F_4E57_9C0F_322110BA2375_.wvu.PrintTitles" hidden="1">#REF!,#REF!</definedName>
    <definedName name="Z_36C1D6DA_94EC_11D2_801D_0060B01A6EB2_.wvu.PrintArea" hidden="1">#N/A</definedName>
    <definedName name="Z_38F40303_FE58_11D3_94DE_00C04FA0B046_.wvu.PrintArea" hidden="1">#N/A</definedName>
    <definedName name="Z_390E4561_86E6_11D3_94D7_00C04F612D61_.wvu.PrintArea" hidden="1">#N/A</definedName>
    <definedName name="Z_3EE9B1F1_964A_11D3_94D2_00C04F602AEF_.wvu.PrintArea" hidden="1">#N/A</definedName>
    <definedName name="Z_3EE9B283_964A_11D3_94D2_00C04F602AEF_.wvu.PrintArea" hidden="1">#N/A</definedName>
    <definedName name="Z_3EE9B315_964A_11D3_94D2_00C04F602AEF_.wvu.PrintArea" hidden="1">#N/A</definedName>
    <definedName name="Z_3FA1C490_192D_11D3_802B_0060B01A6EB2_.wvu.PrintArea" hidden="1">#N/A</definedName>
    <definedName name="Z_3FA1C663_192D_11D3_802B_0060B01A6EB2_.wvu.PrintArea" hidden="1">#N/A</definedName>
    <definedName name="Z_45C4ADC6_6DE9_11D3_8CD4_006097940621_.wvu.PrintArea" hidden="1">#N/A</definedName>
    <definedName name="Z_4980F475_BD39_11D3_8C84_000000000000_.wvu.PrintArea" hidden="1">#N/A</definedName>
    <definedName name="Z_4B4009D6_E3A8_11D3_94EE_00C04F602AEF_.wvu.PrintArea" hidden="1">#N/A</definedName>
    <definedName name="Z_4C6401EE_68F1_11D2_800E_0060B01A6EB2_.wvu.PrintArea" hidden="1">#N/A</definedName>
    <definedName name="Z_526D3161_71B2_11D3_94D5_00C04F612D61_.wvu.PrintArea" hidden="1">#N/A</definedName>
    <definedName name="Z_55752DE4_DAF1_11D2_8029_0060B01A6EB2_.wvu.PrintArea" hidden="1">#N/A</definedName>
    <definedName name="Z_55752FF6_DAF1_11D2_8029_0060B01A6EB2_.wvu.PrintArea" hidden="1">#N/A</definedName>
    <definedName name="Z_59DC2A9C_3DF3_11D3_8C92_000000000000_.wvu.PrintArea" hidden="1">#N/A</definedName>
    <definedName name="Z_5C712547_8854_11D2_8012_0060B01A6EB2_.wvu.PrintArea" hidden="1">#N/A</definedName>
    <definedName name="Z_630A7C8D_C852_11D3_94E8_00C04F602AEF_.wvu.PrintArea" hidden="1">#N/A</definedName>
    <definedName name="Z_6F2D40DB_9E62_11D2_801D_0060B01A6EB2_.wvu.PrintArea" hidden="1">#N/A</definedName>
    <definedName name="Z_70D354D2_2FAA_11D3_8C7E_000000000000_.wvu.PrintArea" hidden="1">#N/A</definedName>
    <definedName name="Z_722C8872_BC62_11D3_94DF_00C04F612D61_.wvu.PrintArea" hidden="1">#N/A</definedName>
    <definedName name="Z_722C8A68_BC62_11D3_94DF_00C04F612D61_.wvu.PrintArea" hidden="1">#N/A</definedName>
    <definedName name="Z_722C8C5E_BC62_11D3_94DF_00C04F612D61_.wvu.PrintArea" hidden="1">#N/A</definedName>
    <definedName name="Z_722C8CF0_BC62_11D3_94DF_00C04F612D61_.wvu.PrintArea" hidden="1">#N/A</definedName>
    <definedName name="Z_722C8D93_BC62_11D3_94DF_00C04F612D61_.wvu.PrintArea" hidden="1">#N/A</definedName>
    <definedName name="Z_722C8E2B_BC62_11D3_94DF_00C04F612D61_.wvu.PrintArea" hidden="1">#N/A</definedName>
    <definedName name="Z_722C92F7_BC62_11D3_94DF_00C04F612D61_.wvu.PrintArea" hidden="1">#N/A</definedName>
    <definedName name="Z_75B9147C_00F9_45A1_96FE_F85762BF4AE3_.wvu.Cols" hidden="1">#REF!,#REF!,#REF!</definedName>
    <definedName name="Z_75B9147C_00F9_45A1_96FE_F85762BF4AE3_.wvu.PrintTitles" hidden="1">#REF!,#REF!</definedName>
    <definedName name="Z_76742491_FDD2_4B17_B0B9_84CA8DFDF75F_.wvu.PrintArea" hidden="1">#REF!</definedName>
    <definedName name="Z_781D38AD_00AD_11D3_916C_0060B01A6EB2_.wvu.PrintArea" hidden="1">#N/A</definedName>
    <definedName name="Z_781D3F23_00AD_11D3_916C_0060B01A6EB2_.wvu.PrintArea" hidden="1">#N/A</definedName>
    <definedName name="Z_795B27E2_B3C0_11D2_801F_0060B01A6EB2_.wvu.PrintArea" hidden="1">#N/A</definedName>
    <definedName name="Z_795B28D1_B3C0_11D2_801F_0060B01A6EB2_.wvu.PrintArea" hidden="1">#N/A</definedName>
    <definedName name="Z_795B2974_B3C0_11D2_801F_0060B01A6EB2_.wvu.PrintArea" hidden="1">#N/A</definedName>
    <definedName name="Z_795B2A17_B3C0_11D2_801F_0060B01A6EB2_.wvu.PrintArea" hidden="1">#N/A</definedName>
    <definedName name="Z_7A2F654B_040B_4CA4_A0BD_513F12FBEB45_.wvu.PrintTitles" hidden="1">#REF!,#REF!</definedName>
    <definedName name="Z_875F1EBE_BC71_11D3_8C83_000000000000_.wvu.PrintArea" hidden="1">#N/A</definedName>
    <definedName name="Z_88CF5AE2_9425_11D2_801C_0060B01A6EB2_.wvu.PrintArea" hidden="1">#N/A</definedName>
    <definedName name="Z_89196099_EBAD_11D3_94DA_00C04FA0B046_.wvu.PrintArea" hidden="1">#N/A</definedName>
    <definedName name="Z_89481651_D00D_11D3_94E3_00C04F612D61_.wvu.PrintArea" hidden="1">#N/A</definedName>
    <definedName name="Z_89A6267D_7FD1_11D2_8012_0060B01A6EB2_.wvu.PrintArea" hidden="1">#N/A</definedName>
    <definedName name="Z_8A9C8C59_0D13_11D3_8026_0060B01A6EB2_.wvu.PrintArea" hidden="1">#N/A</definedName>
    <definedName name="Z_8A9C8F32_0D13_11D3_8026_0060B01A6EB2_.wvu.PrintArea" hidden="1">#N/A</definedName>
    <definedName name="Z_8DE117E5_DE02_11D2_8029_0060B01A6EB2_.wvu.PrintArea" hidden="1">#N/A</definedName>
    <definedName name="Z_9B6F4435_ABB4_11D2_801F_0060B01A6EB2_.wvu.PrintArea" hidden="1">#N/A</definedName>
    <definedName name="Z_9BE98507_F126_11D3_94E7_00C04F612D61_.wvu.PrintArea" hidden="1">#N/A</definedName>
    <definedName name="Z_A06D4791_FE5D_11D3_94EA_00C04F612D61_.wvu.PrintArea" hidden="1">#N/A</definedName>
    <definedName name="Z_A06D480D_FE5D_11D3_94EA_00C04F612D61_.wvu.PrintArea" hidden="1">#N/A</definedName>
    <definedName name="Z_A06D49B4_FE5D_11D3_94EA_00C04F612D61_.wvu.PrintArea" hidden="1">#N/A</definedName>
    <definedName name="Z_A06D49D0_FE5D_11D3_94EA_00C04F612D61_.wvu.PrintArea" hidden="1">#N/A</definedName>
    <definedName name="Z_A18F811F_B263_11D3_94DE_00C04F602AEF_.wvu.PrintArea" hidden="1">#N/A</definedName>
    <definedName name="Z_A18F8547_B263_11D3_94DE_00C04F602AEF_.wvu.PrintArea" hidden="1">#N/A</definedName>
    <definedName name="Z_A1CC2EEB_9D38_11D3_94D4_00C04F602AEF_.wvu.PrintArea" hidden="1">#N/A</definedName>
    <definedName name="Z_A2860F0F_949B_11D3_94D2_00C04F602AEF_.wvu.PrintArea" hidden="1">#N/A</definedName>
    <definedName name="Z_A2860FA1_949B_11D3_94D2_00C04F602AEF_.wvu.PrintArea" hidden="1">#N/A</definedName>
    <definedName name="Z_AEFAD2E8_D55C_11D2_8027_0060B01A6EB2_.wvu.PrintArea" hidden="1">#N/A</definedName>
    <definedName name="Z_AEFAD4A3_D55C_11D2_8027_0060B01A6EB2_.wvu.PrintArea" hidden="1">#N/A</definedName>
    <definedName name="Z_B4680705_EDD3_11D3_94DB_00C04FA0B046_.wvu.PrintArea" hidden="1">#N/A</definedName>
    <definedName name="Z_B468079E_EDD3_11D3_94DB_00C04FA0B046_.wvu.PrintArea" hidden="1">#N/A</definedName>
    <definedName name="Z_B49E3C17_C2B6_11D3_94E0_00C04F612D61_.wvu.PrintArea" hidden="1">#N/A</definedName>
    <definedName name="Z_B6336CF9_9221_4D20_9BCC_AC01EA989C5C_.wvu.Cols" hidden="1">#REF!,#REF!,#REF!</definedName>
    <definedName name="Z_B6336CF9_9221_4D20_9BCC_AC01EA989C5C_.wvu.PrintTitles" hidden="1">#REF!,#REF!</definedName>
    <definedName name="Z_B7EF290F_8BB6_4090_9A9A_66648A3F7039_.wvu.PrintTitles" hidden="1">#REF!,#REF!</definedName>
    <definedName name="Z_B8DFAC8E_92C4_11D3_94D1_00C04F602AEF_.wvu.PrintArea" hidden="1">#N/A</definedName>
    <definedName name="Z_BB3B8A5D_F8E8_11D3_94DC_00C04FA0B046_.wvu.PrintArea" hidden="1">#N/A</definedName>
    <definedName name="Z_C4E24F0A_F692_11D3_94DB_00C04FA0B046_.wvu.PrintArea" hidden="1">#N/A</definedName>
    <definedName name="Z_CA9BF89C_7273_11D3_94D6_00C04F612D61_.wvu.PrintArea" hidden="1">#N/A</definedName>
    <definedName name="Z_CAFB083F_9067_11D3_94D0_00C04F602AEF_.wvu.PrintArea" hidden="1">#N/A</definedName>
    <definedName name="Z_CAFB08CF_9067_11D3_94D0_00C04F602AEF_.wvu.PrintArea" hidden="1">#N/A</definedName>
    <definedName name="Z_CAFB0A43_9067_11D3_94D0_00C04F602AEF_.wvu.PrintArea" hidden="1">#N/A</definedName>
    <definedName name="Z_CB4A1139_66F6_11D3_B998_00104BDED9CF_.wvu.Cols" hidden="1">#REF!</definedName>
    <definedName name="Z_CB4A1139_66F6_11D3_B998_00104BDED9CF_.wvu.PrintTitles" hidden="1">#REF!</definedName>
    <definedName name="Z_CCECFA64_4AD5_11D3_B9F1_00104BF7D823_.wvu.Cols" hidden="1">#REF!</definedName>
    <definedName name="Z_CCECFA64_4AD5_11D3_B9F1_00104BF7D823_.wvu.PrintTitles" hidden="1">#REF!</definedName>
    <definedName name="Z_D74243C8_6E24_43D1_AFD0_BBACF366C3BD_.wvu.Cols" hidden="1">#REF!</definedName>
    <definedName name="Z_D74C6D72_E604_11D3_94E6_00C04F612D61_.wvu.PrintArea" hidden="1">#N/A</definedName>
    <definedName name="Z_D74C6F25_E604_11D3_94E6_00C04F612D61_.wvu.PrintArea" hidden="1">#N/A</definedName>
    <definedName name="Z_D74C736A_E604_11D3_94E6_00C04F612D61_.wvu.PrintArea" hidden="1">#N/A</definedName>
    <definedName name="Z_D74C7645_E604_11D3_94E6_00C04F612D61_.wvu.PrintArea" hidden="1">#N/A</definedName>
    <definedName name="Z_D74C777D_E604_11D3_94E6_00C04F612D61_.wvu.PrintArea" hidden="1">#N/A</definedName>
    <definedName name="Z_D74C787B_E604_11D3_94E6_00C04F612D61_.wvu.PrintArea" hidden="1">#N/A</definedName>
    <definedName name="Z_D74C790F_E604_11D3_94E6_00C04F612D61_.wvu.PrintArea" hidden="1">#N/A</definedName>
    <definedName name="Z_D74C7ACD_E604_11D3_94E6_00C04F612D61_.wvu.PrintArea" hidden="1">#N/A</definedName>
    <definedName name="Z_DB425CD1_773A_11D3_94D6_00C04F612D61_.wvu.PrintArea" hidden="1">#N/A</definedName>
    <definedName name="Z_DD27408C_6785_11D2_800D_0060B01A6EB2_.wvu.PrintArea" hidden="1">#N/A</definedName>
    <definedName name="Z_E10DD71A_42CC_11D3_8C99_000000000000_.wvu.PrintArea" hidden="1">#N/A</definedName>
    <definedName name="Z_E2E5C84D_0317_4C6A_9480_DE153328A143_.wvu.PrintTitles" hidden="1">#REF!,#REF!</definedName>
    <definedName name="Z_E3359E54_F4E5_11D3_94DB_00C04FA0B046_.wvu.PrintArea" hidden="1">#N/A</definedName>
    <definedName name="Z_E499C1FA_EA01_11D3_94D9_00C04FA0B046_.wvu.PrintArea" hidden="1">#N/A</definedName>
    <definedName name="Z_E8179140_DD91_11D3_94ED_00C04F602AEF_.wvu.PrintArea" hidden="1">#N/A</definedName>
    <definedName name="Z_EEDCBCAC_8399_11D2_8016_0060B01AC4B2_.wvu.PrintArea" hidden="1">#N/A</definedName>
    <definedName name="Z_F1837C9B_7BC5_48F9_A11C_077C0094B52B_.wvu.Cols" hidden="1">#REF!</definedName>
    <definedName name="Z_F2884976_0A0D_11D3_916D_0060B01A6EB2_.wvu.PrintArea" hidden="1">#N/A</definedName>
    <definedName name="Z_FB37AAA2_E08C_11D2_8029_0060B01A6EB2_.wvu.PrintArea" hidden="1">#N/A</definedName>
    <definedName name="Z_FB37B214_E08C_11D2_8029_0060B01A6EB2_.wvu.PrintArea" hidden="1">#N/A</definedName>
    <definedName name="Z_FC0AB258_AC5F_11D3_94DB_00C04F602AEF_.wvu.PrintArea" hidden="1">#N/A</definedName>
    <definedName name="Z_FC0AB2EA_AC5F_11D3_94DB_00C04F602AEF_.wvu.PrintArea" hidden="1">#N/A</definedName>
    <definedName name="zaq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z" hidden="1">#REF!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олд" hidden="1">27</definedName>
    <definedName name="про" hidden="1">4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dfasdf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_FilterDatabase" localSheetId="5" hidden="1">'Source Data'!$B$3:$AK$103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&quot;$&quot;#,##0"/>
    <numFmt numFmtId="165" formatCode="&quot;Customer &quot;0"/>
    <numFmt numFmtId="166" formatCode="&quot;$&quot;#,##0.00"/>
    <numFmt numFmtId="167" formatCode="_(\ #,##0_);_(* \(#,##0\);_(* &quot; - &quot;?_);_(@_)"/>
    <numFmt numFmtId="168" formatCode="_(&quot;$&quot;* #,##0_);_(&quot;$&quot;* (#,##0);_(&quot;$&quot;* &quot;-&quot;??_);_(@_)"/>
    <numFmt numFmtId="169" formatCode="0%_);(0%);&quot; - &quot;"/>
    <numFmt numFmtId="170" formatCode="_(* #,##0_);_(* (#,##0);_(* &quot; - &quot;?_);_(@_)"/>
    <numFmt numFmtId="171" formatCode="0.0&quot; mo&quot;"/>
    <numFmt numFmtId="172" formatCode="0.0&quot;x&quot;_);(0.0&quot;x&quot;);&quot; - &quot;"/>
    <numFmt numFmtId="173" formatCode="m/d/yyyy"/>
  </numFmts>
  <fonts count="11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Arial"/>
      <family val="2"/>
      <color rgb="FF0000FF"/>
      <sz val="8"/>
    </font>
    <font>
      <name val="Arial"/>
      <family val="2"/>
      <color indexed="8"/>
      <sz val="8"/>
    </font>
    <font>
      <name val="Arial"/>
      <family val="2"/>
      <b val="1"/>
      <color indexed="8"/>
      <sz val="8"/>
    </font>
    <font>
      <name val="Arial"/>
      <family val="2"/>
      <b val="1"/>
      <color rgb="FF0000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b val="1"/>
      <color rgb="00FFFFFF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1" fillId="0" borderId="0"/>
  </cellStyleXfs>
  <cellXfs count="28">
    <xf numFmtId="0" fontId="0" fillId="0" borderId="0" pivotButton="0" quotePrefix="0" xfId="0"/>
    <xf numFmtId="164" fontId="2" fillId="0" borderId="0" pivotButton="0" quotePrefix="0" xfId="1"/>
    <xf numFmtId="0" fontId="3" fillId="0" borderId="0" pivotButton="0" quotePrefix="0" xfId="1"/>
    <xf numFmtId="164" fontId="3" fillId="0" borderId="0" pivotButton="0" quotePrefix="0" xfId="1"/>
    <xf numFmtId="0" fontId="4" fillId="0" borderId="1" pivotButton="0" quotePrefix="0" xfId="1"/>
    <xf numFmtId="14" fontId="5" fillId="0" borderId="2" applyAlignment="1" pivotButton="0" quotePrefix="0" xfId="1">
      <alignment horizontal="center"/>
    </xf>
    <xf numFmtId="14" fontId="6" fillId="0" borderId="2" applyAlignment="1" pivotButton="0" quotePrefix="0" xfId="1">
      <alignment horizontal="center"/>
    </xf>
    <xf numFmtId="165" fontId="2" fillId="0" borderId="0" applyAlignment="1" pivotButton="0" quotePrefix="0" xfId="1">
      <alignment horizontal="left"/>
    </xf>
    <xf numFmtId="165" fontId="7" fillId="0" borderId="0" applyAlignment="1" pivotButton="0" quotePrefix="0" xfId="1">
      <alignment horizontal="left"/>
    </xf>
    <xf numFmtId="166" fontId="3" fillId="0" borderId="0" pivotButton="0" quotePrefix="0" xfId="1"/>
    <xf numFmtId="167" fontId="3" fillId="0" borderId="0" pivotButton="0" quotePrefix="0" xfId="1"/>
    <xf numFmtId="0" fontId="8" fillId="2" borderId="0" applyAlignment="1" pivotButton="0" quotePrefix="0" xfId="0">
      <alignment horizontal="left"/>
    </xf>
    <xf numFmtId="0" fontId="0" fillId="2" borderId="0" pivotButton="0" quotePrefix="0" xfId="0"/>
    <xf numFmtId="0" fontId="9" fillId="0" borderId="0" pivotButton="0" quotePrefix="0" xfId="0"/>
    <xf numFmtId="0" fontId="8" fillId="2" borderId="0" pivotButton="0" quotePrefix="0" xfId="0"/>
    <xf numFmtId="0" fontId="8" fillId="2" borderId="0" applyAlignment="1" pivotButton="0" quotePrefix="0" xfId="0">
      <alignment horizontal="right"/>
    </xf>
    <xf numFmtId="0" fontId="10" fillId="0" borderId="0" pivotButton="0" quotePrefix="0" xfId="0"/>
    <xf numFmtId="0" fontId="0" fillId="0" borderId="0" applyAlignment="1" pivotButton="0" quotePrefix="0" xfId="0">
      <alignment indent="1"/>
    </xf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0" fillId="0" borderId="3" pivotButton="0" quotePrefix="0" xfId="0"/>
    <xf numFmtId="168" fontId="0" fillId="0" borderId="3" pivotButton="0" quotePrefix="0" xfId="0"/>
    <xf numFmtId="170" fontId="0" fillId="0" borderId="3" pivotButton="0" quotePrefix="0" xfId="0"/>
    <xf numFmtId="173" fontId="5" fillId="0" borderId="2" applyAlignment="1" pivotButton="0" quotePrefix="0" xfId="1">
      <alignment horizontal="center"/>
    </xf>
    <xf numFmtId="173" fontId="6" fillId="0" borderId="2" applyAlignment="1" pivotButton="0" quotePrefix="0" xfId="1">
      <alignment horizontal="center"/>
    </xf>
  </cellXfs>
  <cellStyles count="2">
    <cellStyle name="Normal" xfId="0" builtinId="0"/>
    <cellStyle name="Normal 2 4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1" t="inlineStr">
        <is>
          <t>Project Atlas - KPI Summary</t>
        </is>
      </c>
      <c r="B1" s="12" t="n"/>
      <c r="C1" s="12" t="n"/>
      <c r="D1" s="12" t="n"/>
      <c r="E1" s="12" t="n"/>
    </row>
    <row r="2">
      <c r="A2" s="13" t="inlineStr">
        <is>
          <t>($ in actuals)</t>
        </is>
      </c>
    </row>
    <row r="3">
      <c r="A3" s="14" t="n"/>
      <c r="B3" s="15" t="inlineStr">
        <is>
          <t>FY2022</t>
        </is>
      </c>
      <c r="C3" s="15" t="inlineStr">
        <is>
          <t>FY2023</t>
        </is>
      </c>
      <c r="D3" s="15" t="inlineStr">
        <is>
          <t>FY2024</t>
        </is>
      </c>
      <c r="E3" s="15" t="inlineStr">
        <is>
          <t>FY2025</t>
        </is>
      </c>
    </row>
    <row r="4">
      <c r="A4" s="16" t="inlineStr">
        <is>
          <t>Growth</t>
        </is>
      </c>
    </row>
    <row r="5">
      <c r="A5" s="17" t="inlineStr">
        <is>
          <t>Ending ARR</t>
        </is>
      </c>
      <c r="B5" s="18">
        <f>'ARR Bridge'!B9</f>
        <v/>
      </c>
      <c r="C5" s="18">
        <f>'ARR Bridge'!C9</f>
        <v/>
      </c>
      <c r="D5" s="18">
        <f>'ARR Bridge'!D9</f>
        <v/>
      </c>
      <c r="E5" s="18">
        <f>'ARR Bridge'!E9</f>
        <v/>
      </c>
    </row>
    <row r="6">
      <c r="A6" s="17" t="inlineStr">
        <is>
          <t>YoY ARR growth %</t>
        </is>
      </c>
      <c r="B6" s="19">
        <f>'ARR Bridge'!B13</f>
        <v/>
      </c>
      <c r="C6" s="19">
        <f>'ARR Bridge'!C13</f>
        <v/>
      </c>
      <c r="D6" s="19">
        <f>'ARR Bridge'!D13</f>
        <v/>
      </c>
      <c r="E6" s="19">
        <f>'ARR Bridge'!E13</f>
        <v/>
      </c>
    </row>
    <row r="7">
      <c r="A7" s="17" t="inlineStr">
        <is>
          <t>Net $ retention</t>
        </is>
      </c>
      <c r="B7" s="19">
        <f>'ARR Bridge'!B12</f>
        <v/>
      </c>
      <c r="C7" s="19">
        <f>'ARR Bridge'!C12</f>
        <v/>
      </c>
      <c r="D7" s="19">
        <f>'ARR Bridge'!D12</f>
        <v/>
      </c>
      <c r="E7" s="19">
        <f>'ARR Bridge'!E12</f>
        <v/>
      </c>
    </row>
    <row r="8">
      <c r="A8" s="17" t="inlineStr">
        <is>
          <t>Gross $ retention</t>
        </is>
      </c>
      <c r="B8" s="19">
        <f>'ARR Bridge'!B11</f>
        <v/>
      </c>
      <c r="C8" s="19">
        <f>'ARR Bridge'!C11</f>
        <v/>
      </c>
      <c r="D8" s="19">
        <f>'ARR Bridge'!D11</f>
        <v/>
      </c>
      <c r="E8" s="19">
        <f>'ARR Bridge'!E11</f>
        <v/>
      </c>
    </row>
    <row r="9">
      <c r="A9" s="16" t="inlineStr">
        <is>
          <t>Customers &amp; Logos</t>
        </is>
      </c>
    </row>
    <row r="10">
      <c r="A10" s="17" t="inlineStr">
        <is>
          <t>Ending customers</t>
        </is>
      </c>
      <c r="B10" s="20">
        <f>'Customer &amp; Unit Economics'!B7</f>
        <v/>
      </c>
      <c r="C10" s="20">
        <f>'Customer &amp; Unit Economics'!C7</f>
        <v/>
      </c>
      <c r="D10" s="20">
        <f>'Customer &amp; Unit Economics'!D7</f>
        <v/>
      </c>
      <c r="E10" s="20">
        <f>'Customer &amp; Unit Economics'!E7</f>
        <v/>
      </c>
    </row>
    <row r="11">
      <c r="A11" s="17" t="inlineStr">
        <is>
          <t>New customers</t>
        </is>
      </c>
      <c r="B11" s="20">
        <f>'Customer &amp; Unit Economics'!B5</f>
        <v/>
      </c>
      <c r="C11" s="20">
        <f>'Customer &amp; Unit Economics'!C5</f>
        <v/>
      </c>
      <c r="D11" s="20">
        <f>'Customer &amp; Unit Economics'!D5</f>
        <v/>
      </c>
      <c r="E11" s="20">
        <f>'Customer &amp; Unit Economics'!E5</f>
        <v/>
      </c>
    </row>
    <row r="12">
      <c r="A12" s="17" t="inlineStr">
        <is>
          <t>Churned customers</t>
        </is>
      </c>
      <c r="B12" s="20">
        <f>'Customer &amp; Unit Economics'!B6</f>
        <v/>
      </c>
      <c r="C12" s="20">
        <f>'Customer &amp; Unit Economics'!C6</f>
        <v/>
      </c>
      <c r="D12" s="20">
        <f>'Customer &amp; Unit Economics'!D6</f>
        <v/>
      </c>
      <c r="E12" s="20">
        <f>'Customer &amp; Unit Economics'!E6</f>
        <v/>
      </c>
    </row>
    <row r="13">
      <c r="A13" s="17" t="inlineStr">
        <is>
          <t>Logo churn %</t>
        </is>
      </c>
      <c r="B13" s="19">
        <f>'Customer &amp; Unit Economics'!B8</f>
        <v/>
      </c>
      <c r="C13" s="19">
        <f>'Customer &amp; Unit Economics'!C8</f>
        <v/>
      </c>
      <c r="D13" s="19">
        <f>'Customer &amp; Unit Economics'!D8</f>
        <v/>
      </c>
      <c r="E13" s="19">
        <f>'Customer &amp; Unit Economics'!E8</f>
        <v/>
      </c>
    </row>
    <row r="14">
      <c r="A14" s="17" t="inlineStr">
        <is>
          <t>Average ACV</t>
        </is>
      </c>
      <c r="B14" s="18">
        <f>'Customer &amp; Unit Economics'!B10</f>
        <v/>
      </c>
      <c r="C14" s="18">
        <f>'Customer &amp; Unit Economics'!C10</f>
        <v/>
      </c>
      <c r="D14" s="18">
        <f>'Customer &amp; Unit Economics'!D10</f>
        <v/>
      </c>
      <c r="E14" s="18">
        <f>'Customer &amp; Unit Economics'!E10</f>
        <v/>
      </c>
    </row>
    <row r="15">
      <c r="A15" s="16" t="inlineStr">
        <is>
          <t>Financials</t>
        </is>
      </c>
    </row>
    <row r="16">
      <c r="A16" s="17" t="inlineStr">
        <is>
          <t>Total revenue</t>
        </is>
      </c>
      <c r="B16" s="18">
        <f>'P&amp;L'!B6</f>
        <v/>
      </c>
      <c r="C16" s="18">
        <f>'P&amp;L'!C6</f>
        <v/>
      </c>
      <c r="D16" s="18">
        <f>'P&amp;L'!D6</f>
        <v/>
      </c>
      <c r="E16" s="18">
        <f>'P&amp;L'!E6</f>
        <v/>
      </c>
    </row>
    <row r="17">
      <c r="A17" s="17" t="inlineStr">
        <is>
          <t>Gross margin %</t>
        </is>
      </c>
      <c r="B17" s="19">
        <f>'P&amp;L'!B9</f>
        <v/>
      </c>
      <c r="C17" s="19">
        <f>'P&amp;L'!C9</f>
        <v/>
      </c>
      <c r="D17" s="19">
        <f>'P&amp;L'!D9</f>
        <v/>
      </c>
      <c r="E17" s="19">
        <f>'P&amp;L'!E9</f>
        <v/>
      </c>
    </row>
    <row r="18">
      <c r="A18" s="17" t="inlineStr">
        <is>
          <t>EBITDA</t>
        </is>
      </c>
      <c r="B18" s="18">
        <f>'P&amp;L'!B15</f>
        <v/>
      </c>
      <c r="C18" s="18">
        <f>'P&amp;L'!C15</f>
        <v/>
      </c>
      <c r="D18" s="18">
        <f>'P&amp;L'!D15</f>
        <v/>
      </c>
      <c r="E18" s="18">
        <f>'P&amp;L'!E15</f>
        <v/>
      </c>
    </row>
    <row r="19">
      <c r="A19" s="17" t="inlineStr">
        <is>
          <t>EBITDA margin %</t>
        </is>
      </c>
      <c r="B19" s="19">
        <f>'P&amp;L'!B16</f>
        <v/>
      </c>
      <c r="C19" s="19">
        <f>'P&amp;L'!C16</f>
        <v/>
      </c>
      <c r="D19" s="19">
        <f>'P&amp;L'!D16</f>
        <v/>
      </c>
      <c r="E19" s="19">
        <f>'P&amp;L'!E16</f>
        <v/>
      </c>
    </row>
    <row r="20">
      <c r="A20" s="17" t="inlineStr">
        <is>
          <t>Rule of 40</t>
        </is>
      </c>
      <c r="B20" s="19">
        <f>'ARR Bridge'!B13+'P&amp;L'!B16</f>
        <v/>
      </c>
      <c r="C20" s="19">
        <f>'ARR Bridge'!C13+'P&amp;L'!C16</f>
        <v/>
      </c>
      <c r="D20" s="19">
        <f>'ARR Bridge'!D13+'P&amp;L'!D16</f>
        <v/>
      </c>
      <c r="E20" s="19">
        <f>'ARR Bridge'!E13+'P&amp;L'!E16</f>
        <v/>
      </c>
    </row>
    <row r="21">
      <c r="A21" s="16" t="inlineStr">
        <is>
          <t>Unit Economics</t>
        </is>
      </c>
    </row>
    <row r="22">
      <c r="A22" s="17" t="inlineStr">
        <is>
          <t>CAC (per new logo)</t>
        </is>
      </c>
      <c r="B22" s="18">
        <f>'Customer &amp; Unit Economics'!B14</f>
        <v/>
      </c>
      <c r="C22" s="18">
        <f>'Customer &amp; Unit Economics'!C14</f>
        <v/>
      </c>
      <c r="D22" s="18">
        <f>'Customer &amp; Unit Economics'!D14</f>
        <v/>
      </c>
      <c r="E22" s="18">
        <f>'Customer &amp; Unit Economics'!E14</f>
        <v/>
      </c>
    </row>
    <row r="23">
      <c r="A23" s="17" t="inlineStr">
        <is>
          <t>CAC payback (months)</t>
        </is>
      </c>
      <c r="B23" s="21">
        <f>'Customer &amp; Unit Economics'!B15</f>
        <v/>
      </c>
      <c r="C23" s="21">
        <f>'Customer &amp; Unit Economics'!C15</f>
        <v/>
      </c>
      <c r="D23" s="21">
        <f>'Customer &amp; Unit Economics'!D15</f>
        <v/>
      </c>
      <c r="E23" s="21">
        <f>'Customer &amp; Unit Economics'!E15</f>
        <v/>
      </c>
    </row>
    <row r="24">
      <c r="A24" s="17" t="inlineStr">
        <is>
          <t>LTV / CAC</t>
        </is>
      </c>
      <c r="B24" s="22">
        <f>'Customer &amp; Unit Economics'!B17</f>
        <v/>
      </c>
      <c r="C24" s="22">
        <f>'Customer &amp; Unit Economics'!C17</f>
        <v/>
      </c>
      <c r="D24" s="22">
        <f>'Customer &amp; Unit Economics'!D17</f>
        <v/>
      </c>
      <c r="E24" s="22">
        <f>'Customer &amp; Unit Economics'!E17</f>
        <v/>
      </c>
    </row>
    <row r="25">
      <c r="A25" s="17" t="inlineStr">
        <is>
          <t>Magic number</t>
        </is>
      </c>
      <c r="B25" s="22">
        <f>'Customer &amp; Unit Economics'!B18</f>
        <v/>
      </c>
      <c r="C25" s="22">
        <f>'Customer &amp; Unit Economics'!C18</f>
        <v/>
      </c>
      <c r="D25" s="22">
        <f>'Customer &amp; Unit Economics'!D18</f>
        <v/>
      </c>
      <c r="E25" s="22">
        <f>'Customer &amp; Unit Economics'!E18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1" t="inlineStr">
        <is>
          <t>Project Atlas - ARR Bridge</t>
        </is>
      </c>
      <c r="B1" s="12" t="n"/>
      <c r="C1" s="12" t="n"/>
      <c r="D1" s="12" t="n"/>
      <c r="E1" s="12" t="n"/>
    </row>
    <row r="2">
      <c r="A2" s="13" t="inlineStr">
        <is>
          <t>($ in actuals)</t>
        </is>
      </c>
    </row>
    <row r="3">
      <c r="A3" s="14" t="n"/>
      <c r="B3" s="15" t="inlineStr">
        <is>
          <t>FY2022</t>
        </is>
      </c>
      <c r="C3" s="15" t="inlineStr">
        <is>
          <t>FY2023</t>
        </is>
      </c>
      <c r="D3" s="15" t="inlineStr">
        <is>
          <t>FY2024</t>
        </is>
      </c>
      <c r="E3" s="15" t="inlineStr">
        <is>
          <t>FY2025</t>
        </is>
      </c>
    </row>
    <row r="4">
      <c r="A4" t="inlineStr">
        <is>
          <t>Beginning ARR</t>
        </is>
      </c>
      <c r="B4" s="18" t="n"/>
      <c r="C4" s="18" t="n">
        <v>216022.8</v>
      </c>
      <c r="D4" s="18" t="n">
        <v>214713.6</v>
      </c>
      <c r="E4" s="18" t="n">
        <v>223283.88</v>
      </c>
    </row>
    <row r="5">
      <c r="A5" s="17" t="inlineStr">
        <is>
          <t>(+) New</t>
        </is>
      </c>
      <c r="B5" s="18" t="n"/>
      <c r="C5" s="18" t="n">
        <v>14969.76</v>
      </c>
      <c r="D5" s="18" t="n">
        <v>12625.2</v>
      </c>
      <c r="E5" s="18" t="n">
        <v>23635.68</v>
      </c>
    </row>
    <row r="6">
      <c r="A6" s="17" t="inlineStr">
        <is>
          <t>(+) Expansion</t>
        </is>
      </c>
      <c r="B6" s="18" t="n"/>
      <c r="C6" s="18" t="n">
        <v>4359.72</v>
      </c>
      <c r="D6" s="18" t="n">
        <v>4117.68</v>
      </c>
      <c r="E6" s="18" t="n">
        <v>5916.119999999999</v>
      </c>
    </row>
    <row r="7">
      <c r="A7" s="17" t="inlineStr">
        <is>
          <t>(-) Contraction</t>
        </is>
      </c>
      <c r="B7" s="18" t="n"/>
      <c r="C7" s="18" t="n">
        <v>-4758.72</v>
      </c>
      <c r="D7" s="18" t="n">
        <v>-552.5999999999999</v>
      </c>
      <c r="E7" s="18" t="n">
        <v>-3482.28</v>
      </c>
    </row>
    <row r="8">
      <c r="A8" s="17" t="inlineStr">
        <is>
          <t>(-) Churn</t>
        </is>
      </c>
      <c r="B8" s="18" t="n"/>
      <c r="C8" s="18" t="n">
        <v>-15879.96</v>
      </c>
      <c r="D8" s="18" t="n">
        <v>-7620</v>
      </c>
      <c r="E8" s="18" t="n">
        <v>-4536</v>
      </c>
    </row>
    <row r="9">
      <c r="A9" s="23" t="inlineStr">
        <is>
          <t>Ending ARR</t>
        </is>
      </c>
      <c r="B9" s="24" t="n">
        <v>216022.8</v>
      </c>
      <c r="C9" s="24">
        <f>C4+C5+C6+C7+C8</f>
        <v/>
      </c>
      <c r="D9" s="24">
        <f>D4+D5+D6+D7+D8</f>
        <v/>
      </c>
      <c r="E9" s="24">
        <f>E4+E5+E6+E7+E8</f>
        <v/>
      </c>
    </row>
    <row r="11">
      <c r="A11" t="inlineStr">
        <is>
          <t>Gross $ Retention</t>
        </is>
      </c>
      <c r="B11" s="19" t="n"/>
      <c r="C11" s="19">
        <f>(C4+C7+C8)/C4</f>
        <v/>
      </c>
      <c r="D11" s="19">
        <f>(D4+D7+D8)/D4</f>
        <v/>
      </c>
      <c r="E11" s="19">
        <f>(E4+E7+E8)/E4</f>
        <v/>
      </c>
    </row>
    <row r="12">
      <c r="A12" t="inlineStr">
        <is>
          <t>Net $ Retention</t>
        </is>
      </c>
      <c r="B12" s="19" t="n"/>
      <c r="C12" s="19">
        <f>(C4+C6+C7+C8)/C4</f>
        <v/>
      </c>
      <c r="D12" s="19">
        <f>(D4+D6+D7+D8)/D4</f>
        <v/>
      </c>
      <c r="E12" s="19">
        <f>(E4+E6+E7+E8)/E4</f>
        <v/>
      </c>
    </row>
    <row r="13">
      <c r="A13" t="inlineStr">
        <is>
          <t>YoY ARR Growth</t>
        </is>
      </c>
      <c r="B13" s="19" t="n"/>
      <c r="C13" s="19">
        <f>C9/B9-1</f>
        <v/>
      </c>
      <c r="D13" s="19">
        <f>D9/C9-1</f>
        <v/>
      </c>
      <c r="E13" s="19">
        <f>E9/D9-1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1" t="inlineStr">
        <is>
          <t>Project Atlas - Net Dollar Retention by Cohort</t>
        </is>
      </c>
      <c r="B1" s="12" t="n"/>
      <c r="C1" s="12" t="n"/>
      <c r="D1" s="12" t="n"/>
      <c r="E1" s="12" t="n"/>
      <c r="F1" s="12" t="n"/>
      <c r="G1" s="12" t="n"/>
    </row>
    <row r="2">
      <c r="A2" s="13" t="inlineStr">
        <is>
          <t>($ in actuals)</t>
        </is>
      </c>
    </row>
    <row r="3">
      <c r="A3" s="11" t="inlineStr">
        <is>
          <t>Acquisition Cohort</t>
        </is>
      </c>
      <c r="B3" s="15" t="inlineStr">
        <is>
          <t>Logos</t>
        </is>
      </c>
      <c r="C3" s="15" t="inlineStr">
        <is>
          <t>Initial ARR</t>
        </is>
      </c>
      <c r="D3" s="15" t="inlineStr">
        <is>
          <t>FY2022</t>
        </is>
      </c>
      <c r="E3" s="15" t="inlineStr">
        <is>
          <t>FY2023</t>
        </is>
      </c>
      <c r="F3" s="15" t="inlineStr">
        <is>
          <t>FY2024</t>
        </is>
      </c>
      <c r="G3" s="15" t="inlineStr">
        <is>
          <t>FY2025</t>
        </is>
      </c>
    </row>
    <row r="4">
      <c r="A4" t="inlineStr">
        <is>
          <t>FY2022 &amp; Prior</t>
        </is>
      </c>
      <c r="B4" s="20" t="n">
        <v>79</v>
      </c>
      <c r="C4" s="18" t="n">
        <v>216022.8</v>
      </c>
      <c r="D4" s="19" t="n">
        <v>1</v>
      </c>
      <c r="E4" s="19" t="n">
        <v>0.9246423988578983</v>
      </c>
      <c r="F4" s="19" t="n">
        <v>0.9038245962926136</v>
      </c>
      <c r="G4" s="19" t="n">
        <v>0.8918214188502326</v>
      </c>
    </row>
    <row r="5">
      <c r="A5" t="inlineStr">
        <is>
          <t>FY2023</t>
        </is>
      </c>
      <c r="B5" s="20" t="n">
        <v>7</v>
      </c>
      <c r="C5" s="18" t="n">
        <v>14969.76</v>
      </c>
      <c r="E5" s="19" t="n">
        <v>1</v>
      </c>
      <c r="F5" s="19" t="n">
        <v>1.029539551736301</v>
      </c>
      <c r="G5" s="19" t="n">
        <v>1.034734023791965</v>
      </c>
    </row>
    <row r="6">
      <c r="A6" t="inlineStr">
        <is>
          <t>FY2024</t>
        </is>
      </c>
      <c r="B6" s="20" t="n">
        <v>5</v>
      </c>
      <c r="C6" s="18" t="n">
        <v>12625.2</v>
      </c>
      <c r="F6" s="19" t="n">
        <v>1</v>
      </c>
      <c r="G6" s="19" t="n">
        <v>1.032715521338276</v>
      </c>
    </row>
    <row r="7">
      <c r="A7" t="inlineStr">
        <is>
          <t>FY2025</t>
        </is>
      </c>
      <c r="B7" s="20" t="n">
        <v>7</v>
      </c>
      <c r="C7" s="18" t="n">
        <v>23635.68</v>
      </c>
      <c r="G7" s="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1" t="inlineStr">
        <is>
          <t>Project Atlas - Income Statement</t>
        </is>
      </c>
      <c r="B1" s="12" t="n"/>
      <c r="C1" s="12" t="n"/>
      <c r="D1" s="12" t="n"/>
      <c r="E1" s="12" t="n"/>
    </row>
    <row r="2">
      <c r="A2" s="13" t="inlineStr">
        <is>
          <t>($ in actuals)</t>
        </is>
      </c>
    </row>
    <row r="3">
      <c r="A3" s="14" t="n"/>
      <c r="B3" s="15" t="inlineStr">
        <is>
          <t>FY2022</t>
        </is>
      </c>
      <c r="C3" s="15" t="inlineStr">
        <is>
          <t>FY2023</t>
        </is>
      </c>
      <c r="D3" s="15" t="inlineStr">
        <is>
          <t>FY2024</t>
        </is>
      </c>
      <c r="E3" s="15" t="inlineStr">
        <is>
          <t>FY2025</t>
        </is>
      </c>
    </row>
    <row r="4">
      <c r="A4" s="17" t="inlineStr">
        <is>
          <t>Subscription revenue</t>
        </is>
      </c>
      <c r="B4" s="18" t="n">
        <v>216022.8</v>
      </c>
      <c r="C4" s="18" t="n">
        <v>222721.83</v>
      </c>
      <c r="D4" s="18" t="n">
        <v>218048.68</v>
      </c>
      <c r="E4" s="18" t="n">
        <v>233917.8800000001</v>
      </c>
    </row>
    <row r="5">
      <c r="A5" s="17" t="inlineStr">
        <is>
          <t>Services revenue</t>
        </is>
      </c>
      <c r="B5" s="18" t="n">
        <v>17281.824</v>
      </c>
      <c r="C5" s="18" t="n">
        <v>17817.7464</v>
      </c>
      <c r="D5" s="18" t="n">
        <v>17443.8944</v>
      </c>
      <c r="E5" s="18" t="n">
        <v>18713.43040000001</v>
      </c>
    </row>
    <row r="6">
      <c r="A6" s="23" t="inlineStr">
        <is>
          <t>Total Revenue</t>
        </is>
      </c>
      <c r="B6" s="24">
        <f>B4+B5</f>
        <v/>
      </c>
      <c r="C6" s="24">
        <f>C4+C5</f>
        <v/>
      </c>
      <c r="D6" s="24">
        <f>D4+D5</f>
        <v/>
      </c>
      <c r="E6" s="24">
        <f>E4+E5</f>
        <v/>
      </c>
    </row>
    <row r="7">
      <c r="A7" s="17" t="inlineStr">
        <is>
          <t>Cost of revenue</t>
        </is>
      </c>
      <c r="B7" s="18">
        <f>-B6*0.27</f>
        <v/>
      </c>
      <c r="C7" s="18">
        <f>-C6*0.25</f>
        <v/>
      </c>
      <c r="D7" s="18">
        <f>-D6*0.23</f>
        <v/>
      </c>
      <c r="E7" s="18">
        <f>-E6*0.21</f>
        <v/>
      </c>
    </row>
    <row r="8">
      <c r="A8" s="23" t="inlineStr">
        <is>
          <t>Gross Profit</t>
        </is>
      </c>
      <c r="B8" s="24">
        <f>B6+B7</f>
        <v/>
      </c>
      <c r="C8" s="24">
        <f>C6+C7</f>
        <v/>
      </c>
      <c r="D8" s="24">
        <f>D6+D7</f>
        <v/>
      </c>
      <c r="E8" s="24">
        <f>E6+E7</f>
        <v/>
      </c>
    </row>
    <row r="9">
      <c r="A9" t="inlineStr">
        <is>
          <t>Gross Margin %</t>
        </is>
      </c>
      <c r="B9" s="19">
        <f>B8/B6</f>
        <v/>
      </c>
      <c r="C9" s="19">
        <f>C8/C6</f>
        <v/>
      </c>
      <c r="D9" s="19">
        <f>D8/D6</f>
        <v/>
      </c>
      <c r="E9" s="19">
        <f>E8/E6</f>
        <v/>
      </c>
    </row>
    <row r="10">
      <c r="A10" s="16" t="inlineStr">
        <is>
          <t>Operating expenses</t>
        </is>
      </c>
    </row>
    <row r="11">
      <c r="A11" s="17" t="inlineStr">
        <is>
          <t>Sales &amp; marketing</t>
        </is>
      </c>
      <c r="B11" s="18">
        <f>-B6*0.45</f>
        <v/>
      </c>
      <c r="C11" s="18">
        <f>-C6*0.42</f>
        <v/>
      </c>
      <c r="D11" s="18">
        <f>-D6*0.39</f>
        <v/>
      </c>
      <c r="E11" s="18">
        <f>-E6*0.37</f>
        <v/>
      </c>
    </row>
    <row r="12">
      <c r="A12" s="17" t="inlineStr">
        <is>
          <t>Research &amp; development</t>
        </is>
      </c>
      <c r="B12" s="18">
        <f>-B6*0.22</f>
        <v/>
      </c>
      <c r="C12" s="18">
        <f>-C6*0.21</f>
        <v/>
      </c>
      <c r="D12" s="18">
        <f>-D6*0.2</f>
        <v/>
      </c>
      <c r="E12" s="18">
        <f>-E6*0.19</f>
        <v/>
      </c>
    </row>
    <row r="13">
      <c r="A13" s="17" t="inlineStr">
        <is>
          <t>General &amp; administrative</t>
        </is>
      </c>
      <c r="B13" s="18">
        <f>-B6*0.15</f>
        <v/>
      </c>
      <c r="C13" s="18">
        <f>-C6*0.14</f>
        <v/>
      </c>
      <c r="D13" s="18">
        <f>-D6*0.13</f>
        <v/>
      </c>
      <c r="E13" s="18">
        <f>-E6*0.12</f>
        <v/>
      </c>
    </row>
    <row r="14">
      <c r="A14" s="16" t="inlineStr">
        <is>
          <t>Total Operating Expenses</t>
        </is>
      </c>
      <c r="B14" s="18">
        <f>B11+B12+B13</f>
        <v/>
      </c>
      <c r="C14" s="18">
        <f>C11+C12+C13</f>
        <v/>
      </c>
      <c r="D14" s="18">
        <f>D11+D12+D13</f>
        <v/>
      </c>
      <c r="E14" s="18">
        <f>E11+E12+E13</f>
        <v/>
      </c>
    </row>
    <row r="15">
      <c r="A15" s="23" t="inlineStr">
        <is>
          <t>EBITDA</t>
        </is>
      </c>
      <c r="B15" s="24">
        <f>B8+B14</f>
        <v/>
      </c>
      <c r="C15" s="24">
        <f>C8+C14</f>
        <v/>
      </c>
      <c r="D15" s="24">
        <f>D8+D14</f>
        <v/>
      </c>
      <c r="E15" s="24">
        <f>E8+E14</f>
        <v/>
      </c>
    </row>
    <row r="16">
      <c r="A16" t="inlineStr">
        <is>
          <t>EBITDA Margin %</t>
        </is>
      </c>
      <c r="B16" s="19">
        <f>B15/B6</f>
        <v/>
      </c>
      <c r="C16" s="19">
        <f>C15/C6</f>
        <v/>
      </c>
      <c r="D16" s="19">
        <f>D15/D6</f>
        <v/>
      </c>
      <c r="E16" s="19">
        <f>E15/E6</f>
        <v/>
      </c>
    </row>
    <row r="17">
      <c r="A17" s="17" t="inlineStr">
        <is>
          <t>Depreciation &amp; amortization</t>
        </is>
      </c>
      <c r="B17" s="18">
        <f>-B6*0.03</f>
        <v/>
      </c>
      <c r="C17" s="18">
        <f>-C6*0.03</f>
        <v/>
      </c>
      <c r="D17" s="18">
        <f>-D6*0.03</f>
        <v/>
      </c>
      <c r="E17" s="18">
        <f>-E6*0.03</f>
        <v/>
      </c>
    </row>
    <row r="18">
      <c r="A18" s="16" t="inlineStr">
        <is>
          <t>EBIT</t>
        </is>
      </c>
      <c r="B18" s="18">
        <f>B15+B17</f>
        <v/>
      </c>
      <c r="C18" s="18">
        <f>C15+C17</f>
        <v/>
      </c>
      <c r="D18" s="18">
        <f>D15+D17</f>
        <v/>
      </c>
      <c r="E18" s="18">
        <f>E15+E17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1" t="inlineStr">
        <is>
          <t>Project Atlas - Customer &amp; Unit Economics</t>
        </is>
      </c>
      <c r="B1" s="12" t="n"/>
      <c r="C1" s="12" t="n"/>
      <c r="D1" s="12" t="n"/>
      <c r="E1" s="12" t="n"/>
    </row>
    <row r="2">
      <c r="A2" s="13" t="inlineStr">
        <is>
          <t>($ in actuals)</t>
        </is>
      </c>
    </row>
    <row r="3">
      <c r="A3" s="14" t="n"/>
      <c r="B3" s="15" t="inlineStr">
        <is>
          <t>FY2022</t>
        </is>
      </c>
      <c r="C3" s="15" t="inlineStr">
        <is>
          <t>FY2023</t>
        </is>
      </c>
      <c r="D3" s="15" t="inlineStr">
        <is>
          <t>FY2024</t>
        </is>
      </c>
      <c r="E3" s="15" t="inlineStr">
        <is>
          <t>FY2025</t>
        </is>
      </c>
    </row>
    <row r="4">
      <c r="A4" t="inlineStr">
        <is>
          <t>Beginning customers</t>
        </is>
      </c>
      <c r="B4" s="20" t="n"/>
      <c r="C4" s="20" t="n">
        <v>79</v>
      </c>
      <c r="D4" s="20" t="n">
        <v>79</v>
      </c>
      <c r="E4" s="20" t="n">
        <v>80</v>
      </c>
    </row>
    <row r="5">
      <c r="A5" s="17" t="inlineStr">
        <is>
          <t>(+) New customers</t>
        </is>
      </c>
      <c r="B5" s="20" t="n"/>
      <c r="C5" s="20" t="n">
        <v>6</v>
      </c>
      <c r="D5" s="20" t="n">
        <v>5</v>
      </c>
      <c r="E5" s="20" t="n">
        <v>7</v>
      </c>
    </row>
    <row r="6">
      <c r="A6" s="17" t="inlineStr">
        <is>
          <t>(-) Churned customers</t>
        </is>
      </c>
      <c r="B6" s="20" t="n"/>
      <c r="C6" s="20" t="n">
        <v>6</v>
      </c>
      <c r="D6" s="20" t="n">
        <v>4</v>
      </c>
      <c r="E6" s="20" t="n">
        <v>2</v>
      </c>
    </row>
    <row r="7">
      <c r="A7" s="23" t="inlineStr">
        <is>
          <t>Ending customers</t>
        </is>
      </c>
      <c r="B7" s="25" t="n">
        <v>79</v>
      </c>
      <c r="C7" s="25">
        <f>C4+C5-C6</f>
        <v/>
      </c>
      <c r="D7" s="25">
        <f>D4+D5-D6</f>
        <v/>
      </c>
      <c r="E7" s="25">
        <f>E4+E5-E6</f>
        <v/>
      </c>
    </row>
    <row r="8">
      <c r="A8" t="inlineStr">
        <is>
          <t>Logo churn %</t>
        </is>
      </c>
      <c r="B8" s="19" t="n"/>
      <c r="C8" s="19">
        <f>C6/C4</f>
        <v/>
      </c>
      <c r="D8" s="19">
        <f>D6/D4</f>
        <v/>
      </c>
      <c r="E8" s="19">
        <f>E6/E4</f>
        <v/>
      </c>
    </row>
    <row r="10">
      <c r="A10" t="inlineStr">
        <is>
          <t>Average ACV</t>
        </is>
      </c>
      <c r="B10" s="18">
        <f>'ARR Bridge'!B9/B7</f>
        <v/>
      </c>
      <c r="C10" s="18">
        <f>'ARR Bridge'!C9/C7</f>
        <v/>
      </c>
      <c r="D10" s="18">
        <f>'ARR Bridge'!D9/D7</f>
        <v/>
      </c>
      <c r="E10" s="18">
        <f>'ARR Bridge'!E9/E7</f>
        <v/>
      </c>
    </row>
    <row r="11">
      <c r="A11" t="inlineStr">
        <is>
          <t>Gross $ Retention</t>
        </is>
      </c>
      <c r="B11" s="19">
        <f>'ARR Bridge'!B11</f>
        <v/>
      </c>
      <c r="C11" s="19">
        <f>'ARR Bridge'!C11</f>
        <v/>
      </c>
      <c r="D11" s="19">
        <f>'ARR Bridge'!D11</f>
        <v/>
      </c>
      <c r="E11" s="19">
        <f>'ARR Bridge'!E11</f>
        <v/>
      </c>
    </row>
    <row r="12">
      <c r="A12" t="inlineStr">
        <is>
          <t>Net $ Retention</t>
        </is>
      </c>
      <c r="B12" s="19">
        <f>'ARR Bridge'!B12</f>
        <v/>
      </c>
      <c r="C12" s="19">
        <f>'ARR Bridge'!C12</f>
        <v/>
      </c>
      <c r="D12" s="19">
        <f>'ARR Bridge'!D12</f>
        <v/>
      </c>
      <c r="E12" s="19">
        <f>'ARR Bridge'!E12</f>
        <v/>
      </c>
    </row>
    <row r="14">
      <c r="A14" t="inlineStr">
        <is>
          <t>CAC (per new logo)</t>
        </is>
      </c>
      <c r="B14" s="18" t="n"/>
      <c r="C14" s="18">
        <f>-'P&amp;L'!C11/C5</f>
        <v/>
      </c>
      <c r="D14" s="18">
        <f>-'P&amp;L'!D11/D5</f>
        <v/>
      </c>
      <c r="E14" s="18">
        <f>-'P&amp;L'!E11/E5</f>
        <v/>
      </c>
    </row>
    <row r="15">
      <c r="A15" t="inlineStr">
        <is>
          <t>CAC payback (months)</t>
        </is>
      </c>
      <c r="B15" s="21" t="n"/>
      <c r="C15" s="21">
        <f>C14/(('ARR Bridge'!C5/C5)*'P&amp;L'!C9)*12</f>
        <v/>
      </c>
      <c r="D15" s="21">
        <f>D14/(('ARR Bridge'!D5/D5)*'P&amp;L'!D9)*12</f>
        <v/>
      </c>
      <c r="E15" s="21">
        <f>E14/(('ARR Bridge'!E5/E5)*'P&amp;L'!E9)*12</f>
        <v/>
      </c>
    </row>
    <row r="16">
      <c r="A16" t="inlineStr">
        <is>
          <t>LTV</t>
        </is>
      </c>
      <c r="B16" s="18" t="n"/>
      <c r="C16" s="18">
        <f>C10*'P&amp;L'!C9/C8</f>
        <v/>
      </c>
      <c r="D16" s="18">
        <f>D10*'P&amp;L'!D9/D8</f>
        <v/>
      </c>
      <c r="E16" s="18">
        <f>E10*'P&amp;L'!E9/E8</f>
        <v/>
      </c>
    </row>
    <row r="17">
      <c r="A17" t="inlineStr">
        <is>
          <t>LTV / CAC</t>
        </is>
      </c>
      <c r="B17" s="22" t="n"/>
      <c r="C17" s="22">
        <f>C16/C14</f>
        <v/>
      </c>
      <c r="D17" s="22">
        <f>D16/D14</f>
        <v/>
      </c>
      <c r="E17" s="22">
        <f>E16/E14</f>
        <v/>
      </c>
    </row>
    <row r="18">
      <c r="A18" t="inlineStr">
        <is>
          <t>Magic number</t>
        </is>
      </c>
      <c r="B18" s="22" t="n"/>
      <c r="C18" s="22">
        <f>('ARR Bridge'!C9-'ARR Bridge'!B9)/-'P&amp;L'!B11</f>
        <v/>
      </c>
      <c r="D18" s="22">
        <f>('ARR Bridge'!D9-'ARR Bridge'!C9)/-'P&amp;L'!C11</f>
        <v/>
      </c>
      <c r="E18" s="22">
        <f>('ARR Bridge'!E9-'ARR Bridge'!D9)/-'P&amp;L'!D11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0"/>
  <sheetViews>
    <sheetView showGridLines="0"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I114" sqref="I114"/>
    </sheetView>
  </sheetViews>
  <sheetFormatPr baseColWidth="8" defaultColWidth="13.85546875" defaultRowHeight="11.25"/>
  <cols>
    <col width="3.42578125" customWidth="1" style="2" min="1" max="1"/>
    <col width="25.85546875" customWidth="1" style="2" min="2" max="2"/>
    <col width="13.7109375" customWidth="1" style="2" min="3" max="12"/>
    <col width="14.5703125" customWidth="1" style="2" min="13" max="14"/>
    <col width="14.5703125" bestFit="1" customWidth="1" style="2" min="15" max="15"/>
    <col width="13.7109375" customWidth="1" style="2" min="16" max="24"/>
    <col width="14.5703125" customWidth="1" style="2" min="25" max="26"/>
    <col width="14.5703125" bestFit="1" customWidth="1" style="2" min="27" max="27"/>
    <col width="13.7109375" customWidth="1" style="2" min="28" max="36"/>
    <col width="14.5703125" bestFit="1" customWidth="1" style="2" min="37" max="39"/>
    <col width="13.85546875" customWidth="1" style="2" min="40" max="16384"/>
  </cols>
  <sheetData>
    <row r="1">
      <c r="C1" s="3" t="n"/>
      <c r="D1" s="3" t="n"/>
    </row>
    <row r="2">
      <c r="C2" s="3" t="n"/>
      <c r="D2" s="3" t="n"/>
    </row>
    <row r="3">
      <c r="B3" s="4" t="inlineStr">
        <is>
          <t>Customers</t>
        </is>
      </c>
      <c r="C3" s="26" t="n">
        <v>44926</v>
      </c>
      <c r="D3" s="27" t="n">
        <v>44957</v>
      </c>
      <c r="E3" s="27" t="n">
        <v>44985</v>
      </c>
      <c r="F3" s="27" t="n">
        <v>45016</v>
      </c>
      <c r="G3" s="27" t="n">
        <v>45046</v>
      </c>
      <c r="H3" s="27" t="n">
        <v>45077</v>
      </c>
      <c r="I3" s="27" t="n">
        <v>45107</v>
      </c>
      <c r="J3" s="27" t="n">
        <v>45138</v>
      </c>
      <c r="K3" s="27" t="n">
        <v>45169</v>
      </c>
      <c r="L3" s="27" t="n">
        <v>45199</v>
      </c>
      <c r="M3" s="27" t="n">
        <v>45230</v>
      </c>
      <c r="N3" s="27" t="n">
        <v>45260</v>
      </c>
      <c r="O3" s="27" t="n">
        <v>45291</v>
      </c>
      <c r="P3" s="27" t="n">
        <v>45322</v>
      </c>
      <c r="Q3" s="27" t="n">
        <v>45351</v>
      </c>
      <c r="R3" s="27" t="n">
        <v>45382</v>
      </c>
      <c r="S3" s="27" t="n">
        <v>45412</v>
      </c>
      <c r="T3" s="27" t="n">
        <v>45443</v>
      </c>
      <c r="U3" s="27" t="n">
        <v>45473</v>
      </c>
      <c r="V3" s="27" t="n">
        <v>45504</v>
      </c>
      <c r="W3" s="27" t="n">
        <v>45535</v>
      </c>
      <c r="X3" s="27" t="n">
        <v>45565</v>
      </c>
      <c r="Y3" s="27" t="n">
        <v>45596</v>
      </c>
      <c r="Z3" s="27" t="n">
        <v>45626</v>
      </c>
      <c r="AA3" s="27" t="n">
        <v>45657</v>
      </c>
      <c r="AB3" s="27" t="n">
        <v>45688</v>
      </c>
      <c r="AC3" s="27" t="n">
        <v>45716</v>
      </c>
      <c r="AD3" s="27" t="n">
        <v>45747</v>
      </c>
      <c r="AE3" s="27" t="n">
        <v>45777</v>
      </c>
      <c r="AF3" s="27" t="n">
        <v>45808</v>
      </c>
      <c r="AG3" s="27" t="n">
        <v>45838</v>
      </c>
      <c r="AH3" s="27" t="n">
        <v>45869</v>
      </c>
      <c r="AI3" s="27" t="n">
        <v>45900</v>
      </c>
      <c r="AJ3" s="27" t="n">
        <v>45930</v>
      </c>
      <c r="AK3" s="27" t="n">
        <v>45961</v>
      </c>
      <c r="AL3" s="27" t="n">
        <v>45991</v>
      </c>
      <c r="AM3" s="27" t="n">
        <v>46022</v>
      </c>
    </row>
    <row r="4">
      <c r="B4" s="7" t="n">
        <v>1</v>
      </c>
      <c r="C4" s="1" t="n">
        <v>179</v>
      </c>
      <c r="D4" s="1" t="n">
        <v>179</v>
      </c>
      <c r="E4" s="1" t="n">
        <v>179</v>
      </c>
      <c r="F4" s="1" t="n">
        <v>179</v>
      </c>
      <c r="G4" s="1" t="n">
        <v>179</v>
      </c>
      <c r="H4" s="1" t="n">
        <v>179</v>
      </c>
      <c r="I4" s="1" t="n">
        <v>179</v>
      </c>
      <c r="J4" s="1" t="n">
        <v>179</v>
      </c>
      <c r="K4" s="1" t="n">
        <v>179</v>
      </c>
      <c r="L4" s="1" t="n">
        <v>179</v>
      </c>
      <c r="M4" s="1" t="n">
        <v>179</v>
      </c>
      <c r="N4" s="1" t="n">
        <v>179</v>
      </c>
      <c r="O4" s="1" t="n">
        <v>179</v>
      </c>
      <c r="P4" s="1" t="n">
        <v>179</v>
      </c>
      <c r="Q4" s="1" t="n">
        <v>179</v>
      </c>
      <c r="R4" s="1" t="n">
        <v>179</v>
      </c>
      <c r="S4" s="1" t="n">
        <v>179</v>
      </c>
      <c r="T4" s="1" t="n">
        <v>179</v>
      </c>
      <c r="U4" s="1" t="n">
        <v>179</v>
      </c>
      <c r="V4" s="1" t="n">
        <v>179</v>
      </c>
      <c r="W4" s="1" t="n">
        <v>179</v>
      </c>
      <c r="X4" s="1" t="n">
        <v>179</v>
      </c>
      <c r="Y4" s="1" t="n">
        <v>179</v>
      </c>
      <c r="Z4" s="1" t="n">
        <v>179</v>
      </c>
      <c r="AA4" s="1" t="n">
        <v>185.27</v>
      </c>
      <c r="AB4" s="1" t="n">
        <v>185.27</v>
      </c>
      <c r="AC4" s="1" t="n">
        <v>185.27</v>
      </c>
      <c r="AD4" s="1" t="n">
        <v>185.27</v>
      </c>
      <c r="AE4" s="1" t="n">
        <v>185.27</v>
      </c>
      <c r="AF4" s="1" t="n">
        <v>185.27</v>
      </c>
      <c r="AG4" s="1" t="n">
        <v>185.27</v>
      </c>
      <c r="AH4" s="1" t="n">
        <v>185.27</v>
      </c>
      <c r="AI4" s="1" t="n">
        <v>185.27</v>
      </c>
      <c r="AJ4" s="1" t="n">
        <v>185.27</v>
      </c>
      <c r="AK4" s="1" t="n">
        <v>185.27</v>
      </c>
      <c r="AL4" s="1" t="n">
        <v>185.27</v>
      </c>
      <c r="AM4" s="1" t="n">
        <v>185.27</v>
      </c>
    </row>
    <row r="5">
      <c r="B5" s="8" t="n">
        <v>2</v>
      </c>
      <c r="C5" s="1" t="n">
        <v>362.15</v>
      </c>
      <c r="D5" s="1" t="n">
        <v>362.15</v>
      </c>
      <c r="E5" s="1" t="n">
        <v>359</v>
      </c>
      <c r="F5" s="1" t="n">
        <v>359</v>
      </c>
      <c r="G5" s="1" t="n">
        <v>359</v>
      </c>
      <c r="H5" s="1" t="n">
        <v>359</v>
      </c>
      <c r="I5" s="1" t="n">
        <v>359.3</v>
      </c>
      <c r="J5" s="1" t="n">
        <v>359</v>
      </c>
      <c r="K5" s="1" t="n">
        <v>359</v>
      </c>
      <c r="L5" s="1" t="n">
        <v>359</v>
      </c>
      <c r="M5" s="1" t="n">
        <v>359</v>
      </c>
      <c r="N5" s="1" t="n">
        <v>359</v>
      </c>
      <c r="O5" s="1" t="n">
        <v>359</v>
      </c>
      <c r="P5" s="1" t="n">
        <v>359</v>
      </c>
      <c r="Q5" s="1" t="n">
        <v>359</v>
      </c>
      <c r="R5" s="1" t="n">
        <v>359</v>
      </c>
      <c r="S5" s="1" t="n">
        <v>359</v>
      </c>
      <c r="T5" s="1" t="n">
        <v>359</v>
      </c>
      <c r="U5" s="1" t="n">
        <v>359</v>
      </c>
      <c r="V5" s="1" t="n">
        <v>359</v>
      </c>
      <c r="W5" s="1" t="n">
        <v>359</v>
      </c>
      <c r="X5" s="1" t="n">
        <v>359</v>
      </c>
      <c r="Y5" s="1" t="n">
        <v>359</v>
      </c>
      <c r="Z5" s="1" t="n">
        <v>359</v>
      </c>
      <c r="AA5" s="1" t="n">
        <v>359</v>
      </c>
      <c r="AB5" s="1" t="n">
        <v>399</v>
      </c>
      <c r="AC5" s="1" t="n">
        <v>399</v>
      </c>
      <c r="AD5" s="1" t="n">
        <v>399</v>
      </c>
      <c r="AE5" s="1" t="n">
        <v>399</v>
      </c>
      <c r="AF5" s="1" t="n">
        <v>399</v>
      </c>
      <c r="AG5" s="1" t="n">
        <v>399</v>
      </c>
      <c r="AH5" s="1" t="n">
        <v>399</v>
      </c>
      <c r="AI5" s="1" t="n">
        <v>399</v>
      </c>
      <c r="AJ5" s="1" t="n">
        <v>399</v>
      </c>
      <c r="AK5" s="1" t="n">
        <v>399</v>
      </c>
      <c r="AL5" s="1" t="n">
        <v>399</v>
      </c>
      <c r="AM5" s="1" t="n">
        <v>399</v>
      </c>
    </row>
    <row r="6">
      <c r="B6" s="8" t="n">
        <v>3</v>
      </c>
      <c r="C6" s="1" t="n">
        <v>296.1</v>
      </c>
      <c r="D6" s="1" t="n">
        <v>296.1</v>
      </c>
      <c r="E6" s="1" t="n">
        <v>296.1</v>
      </c>
      <c r="F6" s="1" t="n">
        <v>296.1</v>
      </c>
      <c r="G6" s="1" t="n">
        <v>296.1</v>
      </c>
      <c r="H6" s="1" t="n">
        <v>296.1</v>
      </c>
      <c r="I6" s="1" t="n">
        <v>296.1</v>
      </c>
      <c r="J6" s="1" t="n">
        <v>296.1</v>
      </c>
      <c r="K6" s="1" t="n">
        <v>296.1</v>
      </c>
      <c r="L6" s="1" t="n">
        <v>296.1</v>
      </c>
      <c r="M6" s="1" t="n">
        <v>296.1</v>
      </c>
      <c r="N6" s="1" t="n">
        <v>296.1</v>
      </c>
      <c r="O6" s="1" t="n">
        <v>296.1</v>
      </c>
      <c r="P6" s="1" t="n">
        <v>296.1</v>
      </c>
      <c r="Q6" s="1" t="n">
        <v>296.1</v>
      </c>
      <c r="R6" s="1" t="n">
        <v>296.1</v>
      </c>
      <c r="S6" s="1" t="n">
        <v>296.1</v>
      </c>
      <c r="T6" s="1" t="n">
        <v>296.1</v>
      </c>
      <c r="U6" s="1" t="n">
        <v>296.1</v>
      </c>
      <c r="V6" s="1" t="n">
        <v>296.1</v>
      </c>
      <c r="W6" s="1" t="n">
        <v>296.1</v>
      </c>
      <c r="X6" s="1" t="n">
        <v>296.1</v>
      </c>
      <c r="Y6" s="1" t="n">
        <v>296.1</v>
      </c>
      <c r="Z6" s="1" t="n">
        <v>296.1</v>
      </c>
      <c r="AA6" s="1" t="n">
        <v>296.1</v>
      </c>
      <c r="AB6" s="1" t="n">
        <v>296.1</v>
      </c>
      <c r="AC6" s="1" t="n">
        <v>296.1</v>
      </c>
      <c r="AD6" s="1" t="n">
        <v>296.1</v>
      </c>
      <c r="AE6" s="1" t="n">
        <v>306.46</v>
      </c>
      <c r="AF6" s="1" t="n">
        <v>306.46</v>
      </c>
      <c r="AG6" s="1" t="n">
        <v>306.46</v>
      </c>
      <c r="AH6" s="1" t="n">
        <v>306.46</v>
      </c>
      <c r="AI6" s="1" t="n">
        <v>306.46</v>
      </c>
      <c r="AJ6" s="1" t="n">
        <v>306.46</v>
      </c>
      <c r="AK6" s="1" t="n">
        <v>306.46</v>
      </c>
      <c r="AL6" s="1" t="n">
        <v>306.46</v>
      </c>
      <c r="AM6" s="1" t="n">
        <v>306.46</v>
      </c>
    </row>
    <row r="7">
      <c r="B7" s="8" t="n">
        <v>4</v>
      </c>
      <c r="C7" s="1" t="n">
        <v>289</v>
      </c>
      <c r="D7" s="1" t="n">
        <v>289</v>
      </c>
      <c r="E7" s="1" t="n">
        <v>289</v>
      </c>
      <c r="F7" s="1" t="n">
        <v>289</v>
      </c>
      <c r="G7" s="1" t="n">
        <v>289</v>
      </c>
      <c r="H7" s="1" t="n">
        <v>289</v>
      </c>
      <c r="I7" s="1" t="n">
        <v>289</v>
      </c>
      <c r="J7" s="1" t="n">
        <v>289</v>
      </c>
      <c r="K7" s="1" t="n">
        <v>289</v>
      </c>
      <c r="L7" s="1" t="n">
        <v>289</v>
      </c>
      <c r="M7" s="1" t="n">
        <v>289</v>
      </c>
      <c r="N7" s="1" t="n">
        <v>289</v>
      </c>
      <c r="O7" s="1" t="n">
        <v>289</v>
      </c>
      <c r="P7" s="1" t="n">
        <v>289</v>
      </c>
      <c r="Q7" s="1" t="n">
        <v>289</v>
      </c>
      <c r="R7" s="1" t="n">
        <v>289</v>
      </c>
      <c r="S7" s="1" t="n">
        <v>289</v>
      </c>
      <c r="T7" s="1" t="n">
        <v>289</v>
      </c>
      <c r="U7" s="1" t="n">
        <v>289</v>
      </c>
      <c r="V7" s="1" t="n">
        <v>289</v>
      </c>
      <c r="W7" s="1" t="n">
        <v>289</v>
      </c>
      <c r="X7" s="1" t="n">
        <v>289</v>
      </c>
      <c r="Y7" s="1" t="n">
        <v>289</v>
      </c>
      <c r="Z7" s="1" t="n">
        <v>289</v>
      </c>
      <c r="AA7" s="1" t="n">
        <v>289</v>
      </c>
      <c r="AB7" s="1" t="n">
        <v>289</v>
      </c>
      <c r="AC7" s="1" t="n">
        <v>289</v>
      </c>
      <c r="AD7" s="1" t="n">
        <v>289</v>
      </c>
      <c r="AE7" s="1" t="n">
        <v>289</v>
      </c>
      <c r="AF7" s="1" t="n">
        <v>289</v>
      </c>
      <c r="AG7" s="1" t="n">
        <v>289</v>
      </c>
      <c r="AH7" s="1" t="n">
        <v>289</v>
      </c>
      <c r="AI7" s="1" t="n">
        <v>289</v>
      </c>
      <c r="AJ7" s="1" t="n">
        <v>289</v>
      </c>
      <c r="AK7" s="1" t="n">
        <v>289</v>
      </c>
      <c r="AL7" s="1" t="n">
        <v>289</v>
      </c>
      <c r="AM7" s="1" t="n">
        <v>289</v>
      </c>
    </row>
    <row r="8">
      <c r="B8" s="8" t="n">
        <v>5</v>
      </c>
      <c r="C8" s="1" t="n">
        <v>223</v>
      </c>
      <c r="D8" s="1" t="n">
        <v>223</v>
      </c>
      <c r="E8" s="1" t="n">
        <v>223</v>
      </c>
      <c r="F8" s="1" t="n">
        <v>223</v>
      </c>
      <c r="G8" s="1" t="n">
        <v>223</v>
      </c>
      <c r="H8" s="1" t="n">
        <v>223</v>
      </c>
      <c r="I8" s="1" t="n">
        <v>223</v>
      </c>
      <c r="J8" s="1" t="n">
        <v>223</v>
      </c>
      <c r="K8" s="1" t="n">
        <v>234.15</v>
      </c>
      <c r="L8" s="1" t="n">
        <v>234.15</v>
      </c>
      <c r="M8" s="1" t="n">
        <v>210.74</v>
      </c>
      <c r="N8" s="1" t="n">
        <v>210.74</v>
      </c>
      <c r="O8" s="1" t="n">
        <v>210.74</v>
      </c>
      <c r="P8" s="1" t="n">
        <v>210.74</v>
      </c>
      <c r="Q8" s="1" t="n">
        <v>210.74</v>
      </c>
      <c r="R8" s="1" t="n">
        <v>210.74</v>
      </c>
      <c r="S8" s="1" t="n">
        <v>210.74</v>
      </c>
      <c r="T8" s="1" t="n">
        <v>210.74</v>
      </c>
      <c r="U8" s="1" t="n">
        <v>210.74</v>
      </c>
      <c r="V8" s="1" t="n">
        <v>210.74</v>
      </c>
      <c r="W8" s="1" t="n">
        <v>218.12</v>
      </c>
      <c r="X8" s="1" t="n">
        <v>218.12</v>
      </c>
      <c r="Y8" s="1" t="n">
        <v>218.12</v>
      </c>
      <c r="Z8" s="1" t="n">
        <v>218.12</v>
      </c>
      <c r="AA8" s="1" t="n">
        <v>218.12</v>
      </c>
      <c r="AB8" s="1" t="n">
        <v>218.12</v>
      </c>
      <c r="AC8" s="1" t="n">
        <v>218.12</v>
      </c>
      <c r="AD8" s="1" t="n">
        <v>218.12</v>
      </c>
      <c r="AE8" s="1" t="n">
        <v>218.12</v>
      </c>
      <c r="AF8" s="1" t="n">
        <v>218.12</v>
      </c>
      <c r="AG8" s="1" t="n">
        <v>218.12</v>
      </c>
      <c r="AH8" s="1" t="n">
        <v>218.12</v>
      </c>
      <c r="AI8" s="1" t="n">
        <v>218.12</v>
      </c>
      <c r="AJ8" s="1" t="n">
        <v>225.75</v>
      </c>
      <c r="AK8" s="1" t="n">
        <v>225.75</v>
      </c>
      <c r="AL8" s="1" t="n">
        <v>225.75</v>
      </c>
      <c r="AM8" s="1" t="n">
        <v>225.75</v>
      </c>
    </row>
    <row r="9">
      <c r="B9" s="8" t="n">
        <v>6</v>
      </c>
      <c r="C9" s="1" t="n">
        <v>279</v>
      </c>
      <c r="D9" s="1" t="n">
        <v>279</v>
      </c>
      <c r="E9" s="1" t="n">
        <v>279</v>
      </c>
      <c r="F9" s="1" t="n">
        <v>279</v>
      </c>
      <c r="G9" s="1" t="n">
        <v>279</v>
      </c>
      <c r="H9" s="1" t="n">
        <v>378</v>
      </c>
      <c r="I9" s="1" t="n">
        <v>279</v>
      </c>
      <c r="J9" s="1" t="n">
        <v>279</v>
      </c>
      <c r="K9" s="1" t="n">
        <v>279</v>
      </c>
      <c r="L9" s="1" t="n">
        <v>279</v>
      </c>
      <c r="M9" s="1" t="n">
        <v>279</v>
      </c>
      <c r="N9" s="1" t="n">
        <v>279</v>
      </c>
      <c r="O9" s="1" t="n">
        <v>279</v>
      </c>
      <c r="P9" s="1" t="n">
        <v>279</v>
      </c>
      <c r="Q9" s="1" t="n">
        <v>279</v>
      </c>
      <c r="R9" s="1" t="n">
        <v>279</v>
      </c>
      <c r="S9" s="1" t="n">
        <v>279</v>
      </c>
      <c r="T9" s="1" t="n">
        <v>279</v>
      </c>
      <c r="U9" s="1" t="n">
        <v>279</v>
      </c>
      <c r="V9" s="1" t="n">
        <v>279</v>
      </c>
      <c r="W9" s="1" t="n">
        <v>279</v>
      </c>
      <c r="X9" s="1" t="n">
        <v>279</v>
      </c>
      <c r="Y9" s="1" t="n">
        <v>279</v>
      </c>
      <c r="Z9" s="1" t="n">
        <v>279</v>
      </c>
      <c r="AA9" s="1" t="n">
        <v>279</v>
      </c>
      <c r="AB9" s="1" t="n">
        <v>279</v>
      </c>
      <c r="AC9" s="1" t="n">
        <v>279</v>
      </c>
      <c r="AD9" s="1" t="n">
        <v>279</v>
      </c>
      <c r="AE9" s="1" t="n">
        <v>279</v>
      </c>
      <c r="AF9" s="1" t="n">
        <v>288.77</v>
      </c>
      <c r="AG9" s="1" t="n">
        <v>288.77</v>
      </c>
      <c r="AH9" s="1" t="n">
        <v>288.77</v>
      </c>
      <c r="AI9" s="1" t="n">
        <v>288.77</v>
      </c>
      <c r="AJ9" s="1" t="n">
        <v>288.77</v>
      </c>
      <c r="AK9" s="1" t="n">
        <v>288.77</v>
      </c>
      <c r="AL9" s="1" t="n">
        <v>288.77</v>
      </c>
      <c r="AM9" s="1" t="n">
        <v>288.77</v>
      </c>
    </row>
    <row r="10">
      <c r="B10" s="8" t="n">
        <v>7</v>
      </c>
      <c r="C10" s="1" t="n">
        <v>170.05</v>
      </c>
      <c r="D10" s="1" t="n">
        <v>170.05</v>
      </c>
      <c r="E10" s="1" t="n">
        <v>170.05</v>
      </c>
      <c r="F10" s="1" t="n">
        <v>170.05</v>
      </c>
      <c r="G10" s="1" t="n">
        <v>170.05</v>
      </c>
      <c r="H10" s="1" t="n">
        <v>170.05</v>
      </c>
      <c r="I10" s="1" t="n">
        <v>170.05</v>
      </c>
      <c r="J10" s="1" t="n">
        <v>170.05</v>
      </c>
      <c r="K10" s="1" t="n">
        <v>170.05</v>
      </c>
      <c r="L10" s="1" t="n">
        <v>170.05</v>
      </c>
      <c r="M10" s="1" t="n">
        <v>179</v>
      </c>
      <c r="N10" s="1" t="n">
        <v>179</v>
      </c>
      <c r="O10" s="1" t="n">
        <v>179</v>
      </c>
      <c r="P10" s="1" t="n">
        <v>179</v>
      </c>
      <c r="Q10" s="1" t="n">
        <v>179</v>
      </c>
      <c r="R10" s="1" t="n">
        <v>179</v>
      </c>
      <c r="S10" s="1" t="n">
        <v>179</v>
      </c>
      <c r="T10" s="1" t="n">
        <v>179</v>
      </c>
      <c r="U10" s="1" t="n">
        <v>179</v>
      </c>
      <c r="V10" s="1" t="n">
        <v>179</v>
      </c>
      <c r="W10" s="1" t="n">
        <v>179</v>
      </c>
      <c r="X10" s="1" t="n">
        <v>179</v>
      </c>
      <c r="Y10" s="1" t="n">
        <v>179</v>
      </c>
      <c r="Z10" s="1" t="n">
        <v>179</v>
      </c>
      <c r="AA10" s="1" t="n">
        <v>179</v>
      </c>
      <c r="AB10" s="1" t="n">
        <v>179</v>
      </c>
      <c r="AC10" s="1" t="n">
        <v>179</v>
      </c>
      <c r="AD10" s="1" t="n">
        <v>179</v>
      </c>
      <c r="AE10" s="1" t="n">
        <v>179</v>
      </c>
      <c r="AF10" s="1" t="n">
        <v>185.27</v>
      </c>
      <c r="AG10" s="1" t="n">
        <v>185.27</v>
      </c>
      <c r="AH10" s="1" t="n">
        <v>185.27</v>
      </c>
      <c r="AI10" s="1" t="n">
        <v>185.27</v>
      </c>
      <c r="AJ10" s="1" t="n">
        <v>185.27</v>
      </c>
      <c r="AK10" s="1" t="n">
        <v>185.27</v>
      </c>
      <c r="AL10" s="1" t="n">
        <v>185.27</v>
      </c>
      <c r="AM10" s="1" t="n">
        <v>185.27</v>
      </c>
    </row>
    <row r="11">
      <c r="B11" s="8" t="n">
        <v>8</v>
      </c>
      <c r="C11" s="1" t="n">
        <v>99</v>
      </c>
      <c r="D11" s="1" t="n">
        <v>99</v>
      </c>
      <c r="E11" s="1" t="n">
        <v>99</v>
      </c>
      <c r="F11" s="1" t="n">
        <v>99</v>
      </c>
      <c r="G11" s="1" t="n">
        <v>99</v>
      </c>
      <c r="H11" s="1" t="n">
        <v>99</v>
      </c>
      <c r="I11" s="1" t="n">
        <v>99</v>
      </c>
      <c r="J11" s="1" t="n">
        <v>99</v>
      </c>
      <c r="K11" s="1" t="n">
        <v>99</v>
      </c>
      <c r="L11" s="1" t="n">
        <v>99</v>
      </c>
      <c r="M11" s="1" t="n">
        <v>99</v>
      </c>
      <c r="N11" s="1" t="n">
        <v>99</v>
      </c>
      <c r="O11" s="1" t="n">
        <v>99</v>
      </c>
      <c r="P11" s="1" t="n">
        <v>28.71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</row>
    <row r="12">
      <c r="B12" s="8" t="n">
        <v>9</v>
      </c>
      <c r="C12" s="1" t="n">
        <v>229</v>
      </c>
      <c r="D12" s="1" t="n">
        <v>229</v>
      </c>
      <c r="E12" s="1" t="n">
        <v>229</v>
      </c>
      <c r="F12" s="1" t="n">
        <v>229</v>
      </c>
      <c r="G12" s="1" t="n">
        <v>229</v>
      </c>
      <c r="H12" s="1" t="n">
        <v>229</v>
      </c>
      <c r="I12" s="1" t="n">
        <v>229</v>
      </c>
      <c r="J12" s="1" t="n">
        <v>229</v>
      </c>
      <c r="K12" s="1" t="n">
        <v>229</v>
      </c>
      <c r="L12" s="1" t="n">
        <v>229</v>
      </c>
      <c r="M12" s="1" t="n">
        <v>229</v>
      </c>
      <c r="N12" s="1" t="n">
        <v>229</v>
      </c>
      <c r="O12" s="1" t="n">
        <v>229</v>
      </c>
      <c r="P12" s="1" t="n">
        <v>229</v>
      </c>
      <c r="Q12" s="1" t="n">
        <v>229</v>
      </c>
      <c r="R12" s="1" t="n">
        <v>229</v>
      </c>
      <c r="S12" s="1" t="n">
        <v>229</v>
      </c>
      <c r="T12" s="1" t="n">
        <v>229</v>
      </c>
      <c r="U12" s="1" t="n">
        <v>229</v>
      </c>
      <c r="V12" s="1" t="n">
        <v>229</v>
      </c>
      <c r="W12" s="1" t="n">
        <v>229</v>
      </c>
      <c r="X12" s="1" t="n">
        <v>229</v>
      </c>
      <c r="Y12" s="1" t="n">
        <v>229</v>
      </c>
      <c r="Z12" s="1" t="n">
        <v>229</v>
      </c>
      <c r="AA12" s="1" t="n">
        <v>229</v>
      </c>
      <c r="AB12" s="1" t="n">
        <v>229</v>
      </c>
      <c r="AC12" s="1" t="n">
        <v>229</v>
      </c>
      <c r="AD12" s="1" t="n">
        <v>229</v>
      </c>
      <c r="AE12" s="1" t="n">
        <v>229</v>
      </c>
      <c r="AF12" s="1" t="n">
        <v>229</v>
      </c>
      <c r="AG12" s="1" t="n">
        <v>229</v>
      </c>
      <c r="AH12" s="1" t="n">
        <v>229</v>
      </c>
      <c r="AI12" s="1" t="n">
        <v>237.02</v>
      </c>
      <c r="AJ12" s="1" t="n">
        <v>237.02</v>
      </c>
      <c r="AK12" s="1" t="n">
        <v>237.02</v>
      </c>
      <c r="AL12" s="1" t="n">
        <v>237.02</v>
      </c>
      <c r="AM12" s="1" t="n">
        <v>237.02</v>
      </c>
    </row>
    <row r="13">
      <c r="B13" s="8" t="n">
        <v>10</v>
      </c>
      <c r="C13" s="1" t="n">
        <v>279</v>
      </c>
      <c r="D13" s="1" t="n">
        <v>279</v>
      </c>
      <c r="E13" s="1" t="n">
        <v>279</v>
      </c>
      <c r="F13" s="1" t="n">
        <v>279</v>
      </c>
      <c r="G13" s="1" t="n">
        <v>279</v>
      </c>
      <c r="H13" s="1" t="n">
        <v>279</v>
      </c>
      <c r="I13" s="1" t="n">
        <v>179</v>
      </c>
      <c r="J13" s="1" t="n">
        <v>179</v>
      </c>
      <c r="K13" s="1" t="n">
        <v>179</v>
      </c>
      <c r="L13" s="1" t="n">
        <v>179</v>
      </c>
      <c r="M13" s="1" t="n">
        <v>179</v>
      </c>
      <c r="N13" s="1" t="n">
        <v>179</v>
      </c>
      <c r="O13" s="1" t="n">
        <v>179</v>
      </c>
      <c r="P13" s="1" t="n">
        <v>179</v>
      </c>
      <c r="Q13" s="1" t="n">
        <v>179</v>
      </c>
      <c r="R13" s="1" t="n">
        <v>179</v>
      </c>
      <c r="S13" s="1" t="n">
        <v>179</v>
      </c>
      <c r="T13" s="1" t="n">
        <v>179</v>
      </c>
      <c r="U13" s="1" t="n">
        <v>179</v>
      </c>
      <c r="V13" s="1" t="n">
        <v>179</v>
      </c>
      <c r="W13" s="1" t="n">
        <v>179</v>
      </c>
      <c r="X13" s="1" t="n">
        <v>179</v>
      </c>
      <c r="Y13" s="1" t="n">
        <v>179</v>
      </c>
      <c r="Z13" s="1" t="n">
        <v>179</v>
      </c>
      <c r="AA13" s="1" t="n">
        <v>179</v>
      </c>
      <c r="AB13" s="1" t="n">
        <v>179</v>
      </c>
      <c r="AC13" s="1" t="n">
        <v>179</v>
      </c>
      <c r="AD13" s="1" t="n">
        <v>179</v>
      </c>
      <c r="AE13" s="1" t="n">
        <v>179</v>
      </c>
      <c r="AF13" s="1" t="n">
        <v>179</v>
      </c>
      <c r="AG13" s="1" t="n">
        <v>179</v>
      </c>
      <c r="AH13" s="1" t="n">
        <v>179</v>
      </c>
      <c r="AI13" s="1" t="n">
        <v>179</v>
      </c>
      <c r="AJ13" s="1" t="n">
        <v>185.27</v>
      </c>
      <c r="AK13" s="1" t="n">
        <v>185.27</v>
      </c>
      <c r="AL13" s="1" t="n">
        <v>185.27</v>
      </c>
      <c r="AM13" s="1" t="n">
        <v>185.27</v>
      </c>
    </row>
    <row r="14">
      <c r="B14" s="8" t="n">
        <v>11</v>
      </c>
      <c r="C14" s="1" t="n">
        <v>170.05</v>
      </c>
      <c r="D14" s="1" t="n">
        <v>170.05</v>
      </c>
      <c r="E14" s="1" t="n">
        <v>170.05</v>
      </c>
      <c r="F14" s="1" t="n">
        <v>170.05</v>
      </c>
      <c r="G14" s="1" t="n">
        <v>170.05</v>
      </c>
      <c r="H14" s="1" t="n">
        <v>170.05</v>
      </c>
      <c r="I14" s="1" t="n">
        <v>170.05</v>
      </c>
      <c r="J14" s="1" t="n">
        <v>170.05</v>
      </c>
      <c r="K14" s="1" t="n">
        <v>170.05</v>
      </c>
      <c r="L14" s="1" t="n">
        <v>170.05</v>
      </c>
      <c r="M14" s="1" t="n">
        <v>179</v>
      </c>
      <c r="N14" s="1" t="n">
        <v>179</v>
      </c>
      <c r="O14" s="1" t="n">
        <v>179</v>
      </c>
      <c r="P14" s="1" t="n">
        <v>179</v>
      </c>
      <c r="Q14" s="1" t="n">
        <v>179</v>
      </c>
      <c r="R14" s="1" t="n">
        <v>179</v>
      </c>
      <c r="S14" s="1" t="n">
        <v>179</v>
      </c>
      <c r="T14" s="1" t="n">
        <v>179</v>
      </c>
      <c r="U14" s="1" t="n">
        <v>179</v>
      </c>
      <c r="V14" s="1" t="n">
        <v>179</v>
      </c>
      <c r="W14" s="1" t="n">
        <v>179</v>
      </c>
      <c r="X14" s="1" t="n">
        <v>179</v>
      </c>
      <c r="Y14" s="1" t="n">
        <v>179</v>
      </c>
      <c r="Z14" s="1" t="n">
        <v>179</v>
      </c>
      <c r="AA14" s="1" t="n">
        <v>179</v>
      </c>
      <c r="AB14" s="1" t="n">
        <v>179</v>
      </c>
      <c r="AC14" s="1" t="n">
        <v>179</v>
      </c>
      <c r="AD14" s="1" t="n">
        <v>179</v>
      </c>
      <c r="AE14" s="1" t="n">
        <v>179</v>
      </c>
      <c r="AF14" s="1" t="n">
        <v>179</v>
      </c>
      <c r="AG14" s="1" t="n">
        <v>179</v>
      </c>
      <c r="AH14" s="1" t="n">
        <v>179</v>
      </c>
      <c r="AI14" s="1" t="n">
        <v>179</v>
      </c>
      <c r="AJ14" s="1" t="n">
        <v>179</v>
      </c>
      <c r="AK14" s="1" t="n">
        <v>179</v>
      </c>
      <c r="AL14" s="1" t="n">
        <v>179</v>
      </c>
      <c r="AM14" s="1" t="n">
        <v>179</v>
      </c>
    </row>
    <row r="15">
      <c r="B15" s="8" t="n">
        <v>12</v>
      </c>
      <c r="C15" s="1" t="n">
        <v>284.05</v>
      </c>
      <c r="D15" s="1" t="n">
        <v>284.05</v>
      </c>
      <c r="E15" s="1" t="n">
        <v>284.05</v>
      </c>
      <c r="F15" s="1" t="n">
        <v>284.05</v>
      </c>
      <c r="G15" s="1" t="n">
        <v>284.05</v>
      </c>
      <c r="H15" s="1" t="n">
        <v>284.05</v>
      </c>
      <c r="I15" s="1" t="n">
        <v>290.03</v>
      </c>
      <c r="J15" s="1" t="n">
        <v>290.03</v>
      </c>
      <c r="K15" s="1" t="n">
        <v>290.03</v>
      </c>
      <c r="L15" s="1" t="n">
        <v>290.03</v>
      </c>
      <c r="M15" s="1" t="n">
        <v>281.33</v>
      </c>
      <c r="N15" s="1" t="n">
        <v>281.33</v>
      </c>
      <c r="O15" s="1" t="n">
        <v>281.33</v>
      </c>
      <c r="P15" s="1" t="n">
        <v>281.33</v>
      </c>
      <c r="Q15" s="1" t="n">
        <v>281.33</v>
      </c>
      <c r="R15" s="1" t="n">
        <v>281.33</v>
      </c>
      <c r="S15" s="1" t="n">
        <v>281.33</v>
      </c>
      <c r="T15" s="1" t="n">
        <v>290.03</v>
      </c>
      <c r="U15" s="1" t="n">
        <v>290.03</v>
      </c>
      <c r="V15" s="1" t="n">
        <v>290.03</v>
      </c>
      <c r="W15" s="1" t="n">
        <v>290.03</v>
      </c>
      <c r="X15" s="1" t="n">
        <v>290.03</v>
      </c>
      <c r="Y15" s="1" t="n">
        <v>290.03</v>
      </c>
      <c r="Z15" s="1" t="n">
        <v>300.19</v>
      </c>
      <c r="AA15" s="1" t="n">
        <v>300.19</v>
      </c>
      <c r="AB15" s="1" t="n">
        <v>300.19</v>
      </c>
      <c r="AC15" s="1" t="n">
        <v>300.19</v>
      </c>
      <c r="AD15" s="1" t="n">
        <v>300.19</v>
      </c>
      <c r="AE15" s="1" t="n">
        <v>294</v>
      </c>
      <c r="AF15" s="1" t="n">
        <v>294</v>
      </c>
      <c r="AG15" s="1" t="n">
        <v>294</v>
      </c>
      <c r="AH15" s="1" t="n">
        <v>294</v>
      </c>
      <c r="AI15" s="1" t="n">
        <v>294</v>
      </c>
      <c r="AJ15" s="1" t="n">
        <v>294</v>
      </c>
      <c r="AK15" s="1" t="n">
        <v>294</v>
      </c>
      <c r="AL15" s="1" t="n">
        <v>294</v>
      </c>
      <c r="AM15" s="1" t="n">
        <v>294</v>
      </c>
    </row>
    <row r="16">
      <c r="B16" s="8" t="n">
        <v>13</v>
      </c>
      <c r="C16" s="1" t="n">
        <v>369</v>
      </c>
      <c r="D16" s="1" t="n">
        <v>369</v>
      </c>
      <c r="E16" s="1" t="n">
        <v>369</v>
      </c>
      <c r="F16" s="1" t="n">
        <v>369</v>
      </c>
      <c r="G16" s="1" t="n">
        <v>369</v>
      </c>
      <c r="H16" s="1" t="n">
        <v>369</v>
      </c>
      <c r="I16" s="1" t="n">
        <v>369</v>
      </c>
      <c r="J16" s="1" t="n">
        <v>369</v>
      </c>
      <c r="K16" s="1" t="n">
        <v>369</v>
      </c>
      <c r="L16" s="1" t="n">
        <v>369</v>
      </c>
      <c r="M16" s="1" t="n">
        <v>369</v>
      </c>
      <c r="N16" s="1" t="n">
        <v>369</v>
      </c>
      <c r="O16" s="1" t="n">
        <v>369</v>
      </c>
      <c r="P16" s="1" t="n">
        <v>369</v>
      </c>
      <c r="Q16" s="1" t="n">
        <v>369</v>
      </c>
      <c r="R16" s="1" t="n">
        <v>369</v>
      </c>
      <c r="S16" s="1" t="n">
        <v>369</v>
      </c>
      <c r="T16" s="1" t="n">
        <v>369</v>
      </c>
      <c r="U16" s="1" t="n">
        <v>369</v>
      </c>
      <c r="V16" s="1" t="n">
        <v>369</v>
      </c>
      <c r="W16" s="1" t="n">
        <v>369</v>
      </c>
      <c r="X16" s="1" t="n">
        <v>369</v>
      </c>
      <c r="Y16" s="1" t="n">
        <v>369</v>
      </c>
      <c r="Z16" s="1" t="n">
        <v>369</v>
      </c>
      <c r="AA16" s="1" t="n">
        <v>381.92</v>
      </c>
      <c r="AB16" s="1" t="n">
        <v>381.92</v>
      </c>
      <c r="AC16" s="1" t="n">
        <v>381.92</v>
      </c>
      <c r="AD16" s="1" t="n">
        <v>381.92</v>
      </c>
      <c r="AE16" s="1" t="n">
        <v>381.92</v>
      </c>
      <c r="AF16" s="1" t="n">
        <v>381.92</v>
      </c>
      <c r="AG16" s="1" t="n">
        <v>381.92</v>
      </c>
      <c r="AH16" s="1" t="n">
        <v>381.92</v>
      </c>
      <c r="AI16" s="1" t="n">
        <v>381.92</v>
      </c>
      <c r="AJ16" s="1" t="n">
        <v>381.92</v>
      </c>
      <c r="AK16" s="1" t="n">
        <v>381.92</v>
      </c>
      <c r="AL16" s="1" t="n">
        <v>381.92</v>
      </c>
      <c r="AM16" s="1" t="n">
        <v>381.92</v>
      </c>
    </row>
    <row r="17">
      <c r="B17" s="8" t="n">
        <v>14</v>
      </c>
      <c r="C17" s="1" t="n">
        <v>279</v>
      </c>
      <c r="D17" s="1" t="n">
        <v>279</v>
      </c>
      <c r="E17" s="1" t="n">
        <v>279</v>
      </c>
      <c r="F17" s="1" t="n">
        <v>279</v>
      </c>
      <c r="G17" s="1" t="n">
        <v>279</v>
      </c>
      <c r="H17" s="1" t="n">
        <v>279</v>
      </c>
      <c r="I17" s="1" t="n">
        <v>279</v>
      </c>
      <c r="J17" s="1" t="n">
        <v>279</v>
      </c>
      <c r="K17" s="1" t="n">
        <v>279</v>
      </c>
      <c r="L17" s="1" t="n">
        <v>279</v>
      </c>
      <c r="M17" s="1" t="n">
        <v>279</v>
      </c>
      <c r="N17" s="1" t="n">
        <v>279</v>
      </c>
      <c r="O17" s="1" t="n">
        <v>279</v>
      </c>
      <c r="P17" s="1" t="n">
        <v>279</v>
      </c>
      <c r="Q17" s="1" t="n">
        <v>279</v>
      </c>
      <c r="R17" s="1" t="n">
        <v>279</v>
      </c>
      <c r="S17" s="1" t="n">
        <v>279</v>
      </c>
      <c r="T17" s="1" t="n">
        <v>279</v>
      </c>
      <c r="U17" s="1" t="n">
        <v>279</v>
      </c>
      <c r="V17" s="1" t="n">
        <v>279</v>
      </c>
      <c r="W17" s="1" t="n">
        <v>279</v>
      </c>
      <c r="X17" s="1" t="n">
        <v>279</v>
      </c>
      <c r="Y17" s="1" t="n">
        <v>279</v>
      </c>
      <c r="Z17" s="1" t="n">
        <v>279</v>
      </c>
      <c r="AA17" s="1" t="n">
        <v>279</v>
      </c>
      <c r="AB17" s="1" t="n">
        <v>279</v>
      </c>
      <c r="AC17" s="1" t="n">
        <v>279</v>
      </c>
      <c r="AD17" s="1" t="n">
        <v>288.77</v>
      </c>
      <c r="AE17" s="1" t="n">
        <v>288.77</v>
      </c>
      <c r="AF17" s="1" t="n">
        <v>288.77</v>
      </c>
      <c r="AG17" s="1" t="n">
        <v>288.77</v>
      </c>
      <c r="AH17" s="1" t="n">
        <v>288.77</v>
      </c>
      <c r="AI17" s="1" t="n">
        <v>288.77</v>
      </c>
      <c r="AJ17" s="1" t="n">
        <v>288.77</v>
      </c>
      <c r="AK17" s="1" t="n">
        <v>288.77</v>
      </c>
      <c r="AL17" s="1" t="n">
        <v>288.77</v>
      </c>
      <c r="AM17" s="1" t="n">
        <v>288.77</v>
      </c>
    </row>
    <row r="18">
      <c r="B18" s="8" t="n">
        <v>15</v>
      </c>
      <c r="C18" s="1" t="n">
        <v>179</v>
      </c>
      <c r="D18" s="1" t="n">
        <v>179</v>
      </c>
      <c r="E18" s="1" t="n">
        <v>179</v>
      </c>
      <c r="F18" s="1" t="n">
        <v>179</v>
      </c>
      <c r="G18" s="1" t="n">
        <v>179</v>
      </c>
      <c r="H18" s="1" t="n">
        <v>179</v>
      </c>
      <c r="I18" s="1" t="n">
        <v>179</v>
      </c>
      <c r="J18" s="1" t="n">
        <v>179</v>
      </c>
      <c r="K18" s="1" t="n">
        <v>179</v>
      </c>
      <c r="L18" s="1" t="n">
        <v>179</v>
      </c>
      <c r="M18" s="1" t="n">
        <v>179</v>
      </c>
      <c r="N18" s="1" t="n">
        <v>179</v>
      </c>
      <c r="O18" s="1" t="n">
        <v>179</v>
      </c>
      <c r="P18" s="1" t="n">
        <v>179</v>
      </c>
      <c r="Q18" s="1" t="n">
        <v>179</v>
      </c>
      <c r="R18" s="1" t="n">
        <v>179</v>
      </c>
      <c r="S18" s="1" t="n">
        <v>179</v>
      </c>
      <c r="T18" s="1" t="n">
        <v>179</v>
      </c>
      <c r="U18" s="1" t="n">
        <v>179</v>
      </c>
      <c r="V18" s="1" t="n">
        <v>179</v>
      </c>
      <c r="W18" s="1" t="n">
        <v>179</v>
      </c>
      <c r="X18" s="1" t="n">
        <v>179</v>
      </c>
      <c r="Y18" s="1" t="n">
        <v>179</v>
      </c>
      <c r="Z18" s="1" t="n">
        <v>179</v>
      </c>
      <c r="AA18" s="1" t="n">
        <v>179</v>
      </c>
      <c r="AB18" s="1" t="n">
        <v>179</v>
      </c>
      <c r="AC18" s="1" t="n">
        <v>179</v>
      </c>
      <c r="AD18" s="1" t="n">
        <v>185.27</v>
      </c>
      <c r="AE18" s="1" t="n">
        <v>185.27</v>
      </c>
      <c r="AF18" s="1" t="n">
        <v>185.27</v>
      </c>
      <c r="AG18" s="1" t="n">
        <v>179</v>
      </c>
      <c r="AH18" s="1" t="n">
        <v>179</v>
      </c>
      <c r="AI18" s="1" t="n">
        <v>179</v>
      </c>
      <c r="AJ18" s="1" t="n">
        <v>179</v>
      </c>
      <c r="AK18" s="1" t="n">
        <v>179</v>
      </c>
      <c r="AL18" s="1" t="n">
        <v>179</v>
      </c>
      <c r="AM18" s="1" t="n">
        <v>179</v>
      </c>
    </row>
    <row r="19">
      <c r="B19" s="8" t="n">
        <v>16</v>
      </c>
      <c r="C19" s="1" t="n">
        <v>128</v>
      </c>
      <c r="D19" s="1" t="n">
        <v>128</v>
      </c>
      <c r="E19" s="1" t="n">
        <v>128</v>
      </c>
      <c r="F19" s="1" t="n">
        <v>128</v>
      </c>
      <c r="G19" s="1" t="n">
        <v>128</v>
      </c>
      <c r="H19" s="1" t="n">
        <v>128</v>
      </c>
      <c r="I19" s="1" t="n">
        <v>128</v>
      </c>
      <c r="J19" s="1" t="n">
        <v>128</v>
      </c>
      <c r="K19" s="1" t="n">
        <v>128</v>
      </c>
      <c r="L19" s="1" t="n">
        <v>128</v>
      </c>
      <c r="M19" s="1" t="n">
        <v>128</v>
      </c>
      <c r="N19" s="1" t="n">
        <v>128</v>
      </c>
      <c r="O19" s="1" t="n">
        <v>128</v>
      </c>
      <c r="P19" s="1" t="n">
        <v>128</v>
      </c>
      <c r="Q19" s="1" t="n">
        <v>128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</row>
    <row r="20">
      <c r="B20" s="8" t="n">
        <v>17</v>
      </c>
      <c r="C20" s="1" t="n">
        <v>279</v>
      </c>
      <c r="D20" s="1" t="n">
        <v>279</v>
      </c>
      <c r="E20" s="1" t="n">
        <v>279</v>
      </c>
      <c r="F20" s="1" t="n">
        <v>279</v>
      </c>
      <c r="G20" s="1" t="n">
        <v>279</v>
      </c>
      <c r="H20" s="1" t="n">
        <v>279</v>
      </c>
      <c r="I20" s="1" t="n">
        <v>279</v>
      </c>
      <c r="J20" s="1" t="n">
        <v>279</v>
      </c>
      <c r="K20" s="1" t="n">
        <v>279</v>
      </c>
      <c r="L20" s="1" t="n">
        <v>279</v>
      </c>
      <c r="M20" s="1" t="n">
        <v>279</v>
      </c>
      <c r="N20" s="1" t="n">
        <v>279</v>
      </c>
      <c r="O20" s="1" t="n">
        <v>279</v>
      </c>
      <c r="P20" s="1" t="n">
        <v>279</v>
      </c>
      <c r="Q20" s="1" t="n">
        <v>279</v>
      </c>
      <c r="R20" s="1" t="n">
        <v>279</v>
      </c>
      <c r="S20" s="1" t="n">
        <v>279</v>
      </c>
      <c r="T20" s="1" t="n">
        <v>279</v>
      </c>
      <c r="U20" s="1" t="n">
        <v>279</v>
      </c>
      <c r="V20" s="1" t="n">
        <v>279</v>
      </c>
      <c r="W20" s="1" t="n">
        <v>279</v>
      </c>
      <c r="X20" s="1" t="n">
        <v>279</v>
      </c>
      <c r="Y20" s="1" t="n">
        <v>279</v>
      </c>
      <c r="Z20" s="1" t="n">
        <v>279</v>
      </c>
      <c r="AA20" s="1" t="n">
        <v>279</v>
      </c>
      <c r="AB20" s="1" t="n">
        <v>279</v>
      </c>
      <c r="AC20" s="1" t="n">
        <v>279</v>
      </c>
      <c r="AD20" s="1" t="n">
        <v>279</v>
      </c>
      <c r="AE20" s="1" t="n">
        <v>288.77</v>
      </c>
      <c r="AF20" s="1" t="n">
        <v>288.77</v>
      </c>
      <c r="AG20" s="1" t="n">
        <v>288.77</v>
      </c>
      <c r="AH20" s="1" t="n">
        <v>288.77</v>
      </c>
      <c r="AI20" s="1" t="n">
        <v>288.77</v>
      </c>
      <c r="AJ20" s="1" t="n">
        <v>288.77</v>
      </c>
      <c r="AK20" s="1" t="n">
        <v>288.77</v>
      </c>
      <c r="AL20" s="1" t="n">
        <v>288.77</v>
      </c>
      <c r="AM20" s="1" t="n">
        <v>288.77</v>
      </c>
    </row>
    <row r="21">
      <c r="B21" s="8" t="n">
        <v>18</v>
      </c>
      <c r="C21" s="1" t="n">
        <v>245.65</v>
      </c>
      <c r="D21" s="1" t="n">
        <v>245.65</v>
      </c>
      <c r="E21" s="1" t="n">
        <v>245.65</v>
      </c>
      <c r="F21" s="1" t="n">
        <v>245.65</v>
      </c>
      <c r="G21" s="1" t="n">
        <v>245.65</v>
      </c>
      <c r="H21" s="1" t="n">
        <v>245.65</v>
      </c>
      <c r="I21" s="1" t="n">
        <v>245.65</v>
      </c>
      <c r="J21" s="1" t="n">
        <v>245.65</v>
      </c>
      <c r="K21" s="1" t="n">
        <v>245.65</v>
      </c>
      <c r="L21" s="1" t="n">
        <v>245.65</v>
      </c>
      <c r="M21" s="1" t="n">
        <v>245.65</v>
      </c>
      <c r="N21" s="1" t="n">
        <v>245.65</v>
      </c>
      <c r="O21" s="1" t="n">
        <v>245.65</v>
      </c>
      <c r="P21" s="1" t="n">
        <v>245.65</v>
      </c>
      <c r="Q21" s="1" t="n">
        <v>245.65</v>
      </c>
      <c r="R21" s="1" t="n">
        <v>245.65</v>
      </c>
      <c r="S21" s="1" t="n">
        <v>245.65</v>
      </c>
      <c r="T21" s="1" t="n">
        <v>245.65</v>
      </c>
      <c r="U21" s="1" t="n">
        <v>245.65</v>
      </c>
      <c r="V21" s="1" t="n">
        <v>245.65</v>
      </c>
      <c r="W21" s="1" t="n">
        <v>245.65</v>
      </c>
      <c r="X21" s="1" t="n">
        <v>245.65</v>
      </c>
      <c r="Y21" s="1" t="n">
        <v>245.65</v>
      </c>
      <c r="Z21" s="1" t="n">
        <v>245.65</v>
      </c>
      <c r="AA21" s="1" t="n">
        <v>245.65</v>
      </c>
      <c r="AB21" s="1" t="n">
        <v>245.65</v>
      </c>
      <c r="AC21" s="1" t="n">
        <v>245.65</v>
      </c>
      <c r="AD21" s="1" t="n">
        <v>254.25</v>
      </c>
      <c r="AE21" s="1" t="n">
        <v>254.25</v>
      </c>
      <c r="AF21" s="1" t="n">
        <v>254.25</v>
      </c>
      <c r="AG21" s="1" t="n">
        <v>254.25</v>
      </c>
      <c r="AH21" s="1" t="n">
        <v>254.25</v>
      </c>
      <c r="AI21" s="1" t="n">
        <v>254.25</v>
      </c>
      <c r="AJ21" s="1" t="n">
        <v>254.25</v>
      </c>
      <c r="AK21" s="1" t="n">
        <v>254.25</v>
      </c>
      <c r="AL21" s="1" t="n">
        <v>254.25</v>
      </c>
      <c r="AM21" s="1" t="n">
        <v>254.25</v>
      </c>
    </row>
    <row r="22">
      <c r="B22" s="8" t="n">
        <v>19</v>
      </c>
      <c r="C22" s="1" t="n">
        <v>116</v>
      </c>
      <c r="D22" s="1" t="n">
        <v>116</v>
      </c>
      <c r="E22" s="1" t="n">
        <v>116</v>
      </c>
      <c r="F22" s="1" t="n">
        <v>116</v>
      </c>
      <c r="G22" s="1" t="n">
        <v>116</v>
      </c>
      <c r="H22" s="1" t="n">
        <v>116</v>
      </c>
      <c r="I22" s="1" t="n">
        <v>116</v>
      </c>
      <c r="J22" s="1" t="n">
        <v>116</v>
      </c>
      <c r="K22" s="1" t="n">
        <v>116</v>
      </c>
      <c r="L22" s="1" t="n">
        <v>116</v>
      </c>
      <c r="M22" s="1" t="n">
        <v>116</v>
      </c>
      <c r="N22" s="1" t="n">
        <v>116</v>
      </c>
      <c r="O22" s="1" t="n">
        <v>116</v>
      </c>
      <c r="P22" s="1" t="n">
        <v>116</v>
      </c>
      <c r="Q22" s="1" t="n">
        <v>116</v>
      </c>
      <c r="R22" s="1" t="n">
        <v>116</v>
      </c>
      <c r="S22" s="1" t="n">
        <v>116</v>
      </c>
      <c r="T22" s="1" t="n">
        <v>116</v>
      </c>
      <c r="U22" s="1" t="n">
        <v>116</v>
      </c>
      <c r="V22" s="1" t="n">
        <v>116</v>
      </c>
      <c r="W22" s="1" t="n">
        <v>116</v>
      </c>
      <c r="X22" s="1" t="n">
        <v>116</v>
      </c>
      <c r="Y22" s="1" t="n">
        <v>116</v>
      </c>
      <c r="Z22" s="1" t="n">
        <v>116</v>
      </c>
      <c r="AA22" s="1" t="n">
        <v>116</v>
      </c>
      <c r="AB22" s="1" t="n">
        <v>116</v>
      </c>
      <c r="AC22" s="1" t="n">
        <v>116</v>
      </c>
      <c r="AD22" s="1" t="n">
        <v>116</v>
      </c>
      <c r="AE22" s="1" t="n">
        <v>116</v>
      </c>
      <c r="AF22" s="1" t="n">
        <v>116</v>
      </c>
      <c r="AG22" s="1" t="n">
        <v>116</v>
      </c>
      <c r="AH22" s="1" t="n">
        <v>116</v>
      </c>
      <c r="AI22" s="1" t="n">
        <v>116</v>
      </c>
      <c r="AJ22" s="1" t="n">
        <v>116</v>
      </c>
      <c r="AK22" s="1" t="n">
        <v>116</v>
      </c>
      <c r="AL22" s="1" t="n">
        <v>116</v>
      </c>
      <c r="AM22" s="1" t="n">
        <v>116</v>
      </c>
    </row>
    <row r="23">
      <c r="B23" s="8" t="n">
        <v>20</v>
      </c>
      <c r="C23" s="1" t="n">
        <v>170.05</v>
      </c>
      <c r="D23" s="1" t="n">
        <v>170.05</v>
      </c>
      <c r="E23" s="1" t="n">
        <v>170.05</v>
      </c>
      <c r="F23" s="1" t="n">
        <v>170.05</v>
      </c>
      <c r="G23" s="1" t="n">
        <v>170.05</v>
      </c>
      <c r="H23" s="1" t="n">
        <v>170.05</v>
      </c>
      <c r="I23" s="1" t="n">
        <v>170.05</v>
      </c>
      <c r="J23" s="1" t="n">
        <v>170.05</v>
      </c>
      <c r="K23" s="1" t="n">
        <v>170.05</v>
      </c>
      <c r="L23" s="1" t="n">
        <v>170.05</v>
      </c>
      <c r="M23" s="1" t="n">
        <v>179</v>
      </c>
      <c r="N23" s="1" t="n">
        <v>179</v>
      </c>
      <c r="O23" s="1" t="n">
        <v>179</v>
      </c>
      <c r="P23" s="1" t="n">
        <v>179</v>
      </c>
      <c r="Q23" s="1" t="n">
        <v>179</v>
      </c>
      <c r="R23" s="1" t="n">
        <v>179</v>
      </c>
      <c r="S23" s="1" t="n">
        <v>179</v>
      </c>
      <c r="T23" s="1" t="n">
        <v>179</v>
      </c>
      <c r="U23" s="1" t="n">
        <v>179</v>
      </c>
      <c r="V23" s="1" t="n">
        <v>179</v>
      </c>
      <c r="W23" s="1" t="n">
        <v>179</v>
      </c>
      <c r="X23" s="1" t="n">
        <v>179</v>
      </c>
      <c r="Y23" s="1" t="n">
        <v>179</v>
      </c>
      <c r="Z23" s="1" t="n">
        <v>179</v>
      </c>
      <c r="AA23" s="1" t="n">
        <v>179</v>
      </c>
      <c r="AB23" s="1" t="n">
        <v>179</v>
      </c>
      <c r="AC23" s="1" t="n">
        <v>179</v>
      </c>
      <c r="AD23" s="1" t="n">
        <v>179</v>
      </c>
      <c r="AE23" s="1" t="n">
        <v>179</v>
      </c>
      <c r="AF23" s="1" t="n">
        <v>179</v>
      </c>
      <c r="AG23" s="1" t="n">
        <v>185.27</v>
      </c>
      <c r="AH23" s="1" t="n">
        <v>185.27</v>
      </c>
      <c r="AI23" s="1" t="n">
        <v>185.27</v>
      </c>
      <c r="AJ23" s="1" t="n">
        <v>185.27</v>
      </c>
      <c r="AK23" s="1" t="n">
        <v>185.27</v>
      </c>
      <c r="AL23" s="1" t="n">
        <v>185.27</v>
      </c>
      <c r="AM23" s="1" t="n">
        <v>185.27</v>
      </c>
    </row>
    <row r="24">
      <c r="B24" s="8" t="n">
        <v>21</v>
      </c>
      <c r="C24" s="1" t="n">
        <v>279</v>
      </c>
      <c r="D24" s="1" t="n">
        <v>279</v>
      </c>
      <c r="E24" s="1" t="n">
        <v>279</v>
      </c>
      <c r="F24" s="1" t="n">
        <v>279</v>
      </c>
      <c r="G24" s="1" t="n">
        <v>279</v>
      </c>
      <c r="H24" s="1" t="n">
        <v>279</v>
      </c>
      <c r="I24" s="1" t="n">
        <v>279</v>
      </c>
      <c r="J24" s="1" t="n">
        <v>279</v>
      </c>
      <c r="K24" s="1" t="n">
        <v>279</v>
      </c>
      <c r="L24" s="1" t="n">
        <v>279</v>
      </c>
      <c r="M24" s="1" t="n">
        <v>279</v>
      </c>
      <c r="N24" s="1" t="n">
        <v>279</v>
      </c>
      <c r="O24" s="1" t="n">
        <v>279</v>
      </c>
      <c r="P24" s="1" t="n">
        <v>279</v>
      </c>
      <c r="Q24" s="1" t="n">
        <v>279</v>
      </c>
      <c r="R24" s="1" t="n">
        <v>279</v>
      </c>
      <c r="S24" s="1" t="n">
        <v>279</v>
      </c>
      <c r="T24" s="1" t="n">
        <v>279</v>
      </c>
      <c r="U24" s="1" t="n">
        <v>279</v>
      </c>
      <c r="V24" s="1" t="n">
        <v>279</v>
      </c>
      <c r="W24" s="1" t="n">
        <v>279</v>
      </c>
      <c r="X24" s="1" t="n">
        <v>279</v>
      </c>
      <c r="Y24" s="1" t="n">
        <v>279</v>
      </c>
      <c r="Z24" s="1" t="n">
        <v>279</v>
      </c>
      <c r="AA24" s="1" t="n">
        <v>279</v>
      </c>
      <c r="AB24" s="1" t="n">
        <v>279</v>
      </c>
      <c r="AC24" s="1" t="n">
        <v>279</v>
      </c>
      <c r="AD24" s="1" t="n">
        <v>279</v>
      </c>
      <c r="AE24" s="1" t="n">
        <v>279</v>
      </c>
      <c r="AF24" s="1" t="n">
        <v>279</v>
      </c>
      <c r="AG24" s="1" t="n">
        <v>288.77</v>
      </c>
      <c r="AH24" s="1" t="n">
        <v>288.77</v>
      </c>
      <c r="AI24" s="1" t="n">
        <v>288.77</v>
      </c>
      <c r="AJ24" s="1" t="n">
        <v>288.77</v>
      </c>
      <c r="AK24" s="1" t="n">
        <v>288.77</v>
      </c>
      <c r="AL24" s="1" t="n">
        <v>288.77</v>
      </c>
      <c r="AM24" s="1" t="n">
        <v>288.77</v>
      </c>
    </row>
    <row r="25">
      <c r="B25" s="8" t="n">
        <v>22</v>
      </c>
      <c r="C25" s="1" t="n">
        <v>299</v>
      </c>
      <c r="D25" s="1" t="n">
        <v>299</v>
      </c>
      <c r="E25" s="1" t="n">
        <v>299</v>
      </c>
      <c r="F25" s="1" t="n">
        <v>299</v>
      </c>
      <c r="G25" s="1" t="n">
        <v>299</v>
      </c>
      <c r="H25" s="1" t="n">
        <v>299</v>
      </c>
      <c r="I25" s="1" t="n">
        <v>299</v>
      </c>
      <c r="J25" s="1" t="n">
        <v>299</v>
      </c>
      <c r="K25" s="1" t="n">
        <v>299</v>
      </c>
      <c r="L25" s="1" t="n">
        <v>299</v>
      </c>
      <c r="M25" s="1" t="n">
        <v>299</v>
      </c>
      <c r="N25" s="1" t="n">
        <v>299</v>
      </c>
      <c r="O25" s="1" t="n">
        <v>299</v>
      </c>
      <c r="P25" s="1" t="n">
        <v>299</v>
      </c>
      <c r="Q25" s="1" t="n">
        <v>299</v>
      </c>
      <c r="R25" s="1" t="n">
        <v>299</v>
      </c>
      <c r="S25" s="1" t="n">
        <v>299</v>
      </c>
      <c r="T25" s="1" t="n">
        <v>299</v>
      </c>
      <c r="U25" s="1" t="n">
        <v>299</v>
      </c>
      <c r="V25" s="1" t="n">
        <v>299</v>
      </c>
      <c r="W25" s="1" t="n">
        <v>299</v>
      </c>
      <c r="X25" s="1" t="n">
        <v>299</v>
      </c>
      <c r="Y25" s="1" t="n">
        <v>299</v>
      </c>
      <c r="Z25" s="1" t="n">
        <v>299</v>
      </c>
      <c r="AA25" s="1" t="n">
        <v>299</v>
      </c>
      <c r="AB25" s="1" t="n">
        <v>299</v>
      </c>
      <c r="AC25" s="1" t="n">
        <v>299</v>
      </c>
      <c r="AD25" s="1" t="n">
        <v>299</v>
      </c>
      <c r="AE25" s="1" t="n">
        <v>299</v>
      </c>
      <c r="AF25" s="1" t="n">
        <v>299</v>
      </c>
      <c r="AG25" s="1" t="n">
        <v>309.47</v>
      </c>
      <c r="AH25" s="1" t="n">
        <v>309.47</v>
      </c>
      <c r="AI25" s="1" t="n">
        <v>309.47</v>
      </c>
      <c r="AJ25" s="1" t="n">
        <v>309.47</v>
      </c>
      <c r="AK25" s="1" t="n">
        <v>309.47</v>
      </c>
      <c r="AL25" s="1" t="n">
        <v>309.47</v>
      </c>
      <c r="AM25" s="1" t="n">
        <v>309.47</v>
      </c>
    </row>
    <row r="26">
      <c r="B26" s="8" t="n">
        <v>23</v>
      </c>
      <c r="C26" s="1" t="n">
        <v>287.1</v>
      </c>
      <c r="D26" s="1" t="n">
        <v>287.1</v>
      </c>
      <c r="E26" s="1" t="n">
        <v>287.1</v>
      </c>
      <c r="F26" s="1" t="n">
        <v>287.1</v>
      </c>
      <c r="G26" s="1" t="n">
        <v>287.1</v>
      </c>
      <c r="H26" s="1" t="n">
        <v>287.1</v>
      </c>
      <c r="I26" s="1" t="n">
        <v>287.1</v>
      </c>
      <c r="J26" s="1" t="n">
        <v>287.1</v>
      </c>
      <c r="K26" s="1" t="n">
        <v>287.1</v>
      </c>
      <c r="L26" s="1" t="n">
        <v>287.1</v>
      </c>
      <c r="M26" s="1" t="n">
        <v>287.1</v>
      </c>
      <c r="N26" s="1" t="n">
        <v>287.1</v>
      </c>
      <c r="O26" s="1" t="n">
        <v>287.1</v>
      </c>
      <c r="P26" s="1" t="n">
        <v>287.1</v>
      </c>
      <c r="Q26" s="1" t="n">
        <v>287.1</v>
      </c>
      <c r="R26" s="1" t="n">
        <v>287.1</v>
      </c>
      <c r="S26" s="1" t="n">
        <v>287.1</v>
      </c>
      <c r="T26" s="1" t="n">
        <v>287.1</v>
      </c>
      <c r="U26" s="1" t="n">
        <v>287.1</v>
      </c>
      <c r="V26" s="1" t="n">
        <v>287.1</v>
      </c>
      <c r="W26" s="1" t="n">
        <v>287.1</v>
      </c>
      <c r="X26" s="1" t="n">
        <v>287.1</v>
      </c>
      <c r="Y26" s="1" t="n">
        <v>287.1</v>
      </c>
      <c r="Z26" s="1" t="n">
        <v>287.1</v>
      </c>
      <c r="AA26" s="1" t="n">
        <v>287.1</v>
      </c>
      <c r="AB26" s="1" t="n">
        <v>287.1</v>
      </c>
      <c r="AC26" s="1" t="n">
        <v>287.1</v>
      </c>
      <c r="AD26" s="1" t="n">
        <v>287.1</v>
      </c>
      <c r="AE26" s="1" t="n">
        <v>287.1</v>
      </c>
      <c r="AF26" s="1" t="n">
        <v>287.1</v>
      </c>
      <c r="AG26" s="1" t="n">
        <v>287.1</v>
      </c>
      <c r="AH26" s="1" t="n">
        <v>297.15</v>
      </c>
      <c r="AI26" s="1" t="n">
        <v>297.15</v>
      </c>
      <c r="AJ26" s="1" t="n">
        <v>297.15</v>
      </c>
      <c r="AK26" s="1" t="n">
        <v>297.15</v>
      </c>
      <c r="AL26" s="1" t="n">
        <v>297.15</v>
      </c>
      <c r="AM26" s="1" t="n">
        <v>297.15</v>
      </c>
    </row>
    <row r="27">
      <c r="B27" s="8" t="n">
        <v>24</v>
      </c>
      <c r="C27" s="1" t="n">
        <v>329</v>
      </c>
      <c r="D27" s="1" t="n">
        <v>329</v>
      </c>
      <c r="E27" s="1" t="n">
        <v>329</v>
      </c>
      <c r="F27" s="1" t="n">
        <v>329</v>
      </c>
      <c r="G27" s="1" t="n">
        <v>329</v>
      </c>
      <c r="H27" s="1" t="n">
        <v>329</v>
      </c>
      <c r="I27" s="1" t="n">
        <v>329</v>
      </c>
      <c r="J27" s="1" t="n">
        <v>329</v>
      </c>
      <c r="K27" s="1" t="n">
        <v>329</v>
      </c>
      <c r="L27" s="1" t="n">
        <v>329</v>
      </c>
      <c r="M27" s="1" t="n">
        <v>329</v>
      </c>
      <c r="N27" s="1" t="n">
        <v>329</v>
      </c>
      <c r="O27" s="1" t="n">
        <v>329</v>
      </c>
      <c r="P27" s="1" t="n">
        <v>329</v>
      </c>
      <c r="Q27" s="1" t="n">
        <v>329</v>
      </c>
      <c r="R27" s="1" t="n">
        <v>329</v>
      </c>
      <c r="S27" s="1" t="n">
        <v>329</v>
      </c>
      <c r="T27" s="1" t="n">
        <v>329</v>
      </c>
      <c r="U27" s="1" t="n">
        <v>329</v>
      </c>
      <c r="V27" s="1" t="n">
        <v>329</v>
      </c>
      <c r="W27" s="1" t="n">
        <v>329</v>
      </c>
      <c r="X27" s="1" t="n">
        <v>329</v>
      </c>
      <c r="Y27" s="1" t="n">
        <v>346.15</v>
      </c>
      <c r="Z27" s="1" t="n">
        <v>340.52</v>
      </c>
      <c r="AA27" s="1" t="n">
        <v>340.52</v>
      </c>
      <c r="AB27" s="1" t="n">
        <v>340.52</v>
      </c>
      <c r="AC27" s="1" t="n">
        <v>340.52</v>
      </c>
      <c r="AD27" s="1" t="n">
        <v>340.52</v>
      </c>
      <c r="AE27" s="1" t="n">
        <v>340.52</v>
      </c>
      <c r="AF27" s="1" t="n">
        <v>340.52</v>
      </c>
      <c r="AG27" s="1" t="n">
        <v>340.52</v>
      </c>
      <c r="AH27" s="1" t="n">
        <v>340.52</v>
      </c>
      <c r="AI27" s="1" t="n">
        <v>340.52</v>
      </c>
      <c r="AJ27" s="1" t="n">
        <v>352.44</v>
      </c>
      <c r="AK27" s="1" t="n">
        <v>352.44</v>
      </c>
      <c r="AL27" s="1" t="n">
        <v>352.44</v>
      </c>
      <c r="AM27" s="1" t="n">
        <v>352.44</v>
      </c>
    </row>
    <row r="28">
      <c r="A28" s="9" t="n"/>
      <c r="B28" s="8" t="n">
        <v>25</v>
      </c>
      <c r="C28" s="1" t="n">
        <v>161.1</v>
      </c>
      <c r="D28" s="1" t="n">
        <v>161.1</v>
      </c>
      <c r="E28" s="1" t="n">
        <v>161.1</v>
      </c>
      <c r="F28" s="1" t="n">
        <v>161.1</v>
      </c>
      <c r="G28" s="1" t="n">
        <v>161.1</v>
      </c>
      <c r="H28" s="1" t="n">
        <v>161.1</v>
      </c>
      <c r="I28" s="1" t="n">
        <v>161.1</v>
      </c>
      <c r="J28" s="1" t="n">
        <v>161.1</v>
      </c>
      <c r="K28" s="1" t="n">
        <v>161.1</v>
      </c>
      <c r="L28" s="1" t="n">
        <v>161.07</v>
      </c>
      <c r="M28" s="1" t="n">
        <v>161.07</v>
      </c>
      <c r="N28" s="1" t="n">
        <v>161.07</v>
      </c>
      <c r="O28" s="1" t="n">
        <v>161.07</v>
      </c>
      <c r="P28" s="1" t="n">
        <v>161.07</v>
      </c>
      <c r="Q28" s="1" t="n">
        <v>169.55</v>
      </c>
      <c r="R28" s="1" t="n">
        <v>169.55</v>
      </c>
      <c r="S28" s="1" t="n">
        <v>169.55</v>
      </c>
      <c r="T28" s="1" t="n">
        <v>169.55</v>
      </c>
      <c r="U28" s="1" t="n">
        <v>169.55</v>
      </c>
      <c r="V28" s="1" t="n">
        <v>169.55</v>
      </c>
      <c r="W28" s="1" t="n">
        <v>169.55</v>
      </c>
      <c r="X28" s="1" t="n">
        <v>169.55</v>
      </c>
      <c r="Y28" s="1" t="n">
        <v>180.05</v>
      </c>
      <c r="Z28" s="1" t="n">
        <v>175.48</v>
      </c>
      <c r="AA28" s="1" t="n">
        <v>175.48</v>
      </c>
      <c r="AB28" s="1" t="n">
        <v>175.48</v>
      </c>
      <c r="AC28" s="1" t="n">
        <v>175.48</v>
      </c>
      <c r="AD28" s="1" t="n">
        <v>175.48</v>
      </c>
      <c r="AE28" s="1" t="n">
        <v>175.48</v>
      </c>
      <c r="AF28" s="1" t="n">
        <v>175.48</v>
      </c>
      <c r="AG28" s="1" t="n">
        <v>175.48</v>
      </c>
      <c r="AH28" s="1" t="n">
        <v>175.48</v>
      </c>
      <c r="AI28" s="1" t="n">
        <v>175.48</v>
      </c>
      <c r="AJ28" s="1" t="n">
        <v>181.62</v>
      </c>
      <c r="AK28" s="1" t="n">
        <v>181.62</v>
      </c>
      <c r="AL28" s="1" t="n">
        <v>181.62</v>
      </c>
      <c r="AM28" s="1" t="n">
        <v>181.62</v>
      </c>
    </row>
    <row r="29">
      <c r="B29" s="8" t="n">
        <v>26</v>
      </c>
      <c r="C29" s="1" t="n">
        <v>0</v>
      </c>
      <c r="D29" s="1" t="n">
        <v>0</v>
      </c>
      <c r="E29" s="1" t="n">
        <v>0</v>
      </c>
      <c r="F29" s="1" t="n">
        <v>170.05</v>
      </c>
      <c r="G29" s="1" t="n">
        <v>170.05</v>
      </c>
      <c r="H29" s="1" t="n">
        <v>170.05</v>
      </c>
      <c r="I29" s="1" t="n">
        <v>170.05</v>
      </c>
      <c r="J29" s="1" t="n">
        <v>170.05</v>
      </c>
      <c r="K29" s="1" t="n">
        <v>170.05</v>
      </c>
      <c r="L29" s="1" t="n">
        <v>170.05</v>
      </c>
      <c r="M29" s="1" t="n">
        <v>179</v>
      </c>
      <c r="N29" s="1" t="n">
        <v>179</v>
      </c>
      <c r="O29" s="1" t="n">
        <v>179</v>
      </c>
      <c r="P29" s="1" t="n">
        <v>179</v>
      </c>
      <c r="Q29" s="1" t="n">
        <v>179</v>
      </c>
      <c r="R29" s="1" t="n">
        <v>179</v>
      </c>
      <c r="S29" s="1" t="n">
        <v>179</v>
      </c>
      <c r="T29" s="1" t="n">
        <v>179</v>
      </c>
      <c r="U29" s="1" t="n">
        <v>179</v>
      </c>
      <c r="V29" s="1" t="n">
        <v>179</v>
      </c>
      <c r="W29" s="1" t="n">
        <v>179</v>
      </c>
      <c r="X29" s="1" t="n">
        <v>179</v>
      </c>
      <c r="Y29" s="1" t="n">
        <v>189.5</v>
      </c>
      <c r="Z29" s="1" t="n">
        <v>185.27</v>
      </c>
      <c r="AA29" s="1" t="n">
        <v>185.27</v>
      </c>
      <c r="AB29" s="1" t="n">
        <v>185.27</v>
      </c>
      <c r="AC29" s="1" t="n">
        <v>185.27</v>
      </c>
      <c r="AD29" s="1" t="n">
        <v>185.27</v>
      </c>
      <c r="AE29" s="1" t="n">
        <v>185.27</v>
      </c>
      <c r="AF29" s="1" t="n">
        <v>185.27</v>
      </c>
      <c r="AG29" s="1" t="n">
        <v>185.27</v>
      </c>
      <c r="AH29" s="1" t="n">
        <v>185.27</v>
      </c>
      <c r="AI29" s="1" t="n">
        <v>185.27</v>
      </c>
      <c r="AJ29" s="1" t="n">
        <v>191.75</v>
      </c>
      <c r="AK29" s="1" t="n">
        <v>191.75</v>
      </c>
      <c r="AL29" s="1" t="n">
        <v>191.75</v>
      </c>
      <c r="AM29" s="1" t="n">
        <v>191.75</v>
      </c>
    </row>
    <row r="30">
      <c r="B30" s="8" t="n">
        <v>27</v>
      </c>
      <c r="C30" s="1" t="n">
        <v>0</v>
      </c>
      <c r="D30" s="1" t="n">
        <v>0</v>
      </c>
      <c r="E30" s="1" t="n">
        <v>0</v>
      </c>
      <c r="F30" s="1" t="n">
        <v>245.65</v>
      </c>
      <c r="G30" s="1" t="n">
        <v>245.65</v>
      </c>
      <c r="H30" s="1" t="n">
        <v>245.65</v>
      </c>
      <c r="I30" s="1" t="n">
        <v>245.65</v>
      </c>
      <c r="J30" s="1" t="n">
        <v>245.65</v>
      </c>
      <c r="K30" s="1" t="n">
        <v>245.65</v>
      </c>
      <c r="L30" s="1" t="n">
        <v>245.65</v>
      </c>
      <c r="M30" s="1" t="n">
        <v>245.65</v>
      </c>
      <c r="N30" s="1" t="n">
        <v>245.65</v>
      </c>
      <c r="O30" s="1" t="n">
        <v>245.65</v>
      </c>
      <c r="P30" s="1" t="n">
        <v>245.65</v>
      </c>
      <c r="Q30" s="1" t="n">
        <v>245.65</v>
      </c>
      <c r="R30" s="1" t="n">
        <v>245.65</v>
      </c>
      <c r="S30" s="1" t="n">
        <v>245.65</v>
      </c>
      <c r="T30" s="1" t="n">
        <v>245.65</v>
      </c>
      <c r="U30" s="1" t="n">
        <v>245.65</v>
      </c>
      <c r="V30" s="1" t="n">
        <v>245.65</v>
      </c>
      <c r="W30" s="1" t="n">
        <v>245.65</v>
      </c>
      <c r="X30" s="1" t="n">
        <v>245.65</v>
      </c>
      <c r="Y30" s="1" t="n">
        <v>257.29</v>
      </c>
      <c r="Z30" s="1" t="n">
        <v>254.25</v>
      </c>
      <c r="AA30" s="1" t="n">
        <v>254.25</v>
      </c>
      <c r="AB30" s="1" t="n">
        <v>254.25</v>
      </c>
      <c r="AC30" s="1" t="n">
        <v>254.25</v>
      </c>
      <c r="AD30" s="1" t="n">
        <v>254.25</v>
      </c>
      <c r="AE30" s="1" t="n">
        <v>254.25</v>
      </c>
      <c r="AF30" s="1" t="n">
        <v>254.25</v>
      </c>
      <c r="AG30" s="1" t="n">
        <v>254.25</v>
      </c>
      <c r="AH30" s="1" t="n">
        <v>254.25</v>
      </c>
      <c r="AI30" s="1" t="n">
        <v>254.25</v>
      </c>
      <c r="AJ30" s="1" t="n">
        <v>254.25</v>
      </c>
      <c r="AK30" s="1" t="n">
        <v>254.25</v>
      </c>
      <c r="AL30" s="1" t="n">
        <v>254.25</v>
      </c>
      <c r="AM30" s="1" t="n">
        <v>254.25</v>
      </c>
    </row>
    <row r="31">
      <c r="B31" s="8" t="n">
        <v>28</v>
      </c>
      <c r="C31" s="1" t="n">
        <v>0</v>
      </c>
      <c r="D31" s="1" t="n">
        <v>0</v>
      </c>
      <c r="E31" s="1" t="n">
        <v>0</v>
      </c>
      <c r="F31" s="1" t="n">
        <v>53.54</v>
      </c>
      <c r="G31" s="1" t="n">
        <v>54.32</v>
      </c>
      <c r="H31" s="1" t="n">
        <v>51.46</v>
      </c>
      <c r="I31" s="1" t="n">
        <v>51.96</v>
      </c>
      <c r="J31" s="1" t="n">
        <v>49</v>
      </c>
      <c r="K31" s="1" t="n">
        <v>49</v>
      </c>
      <c r="L31" s="1" t="n">
        <v>49</v>
      </c>
      <c r="M31" s="1" t="n">
        <v>49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</row>
    <row r="32">
      <c r="B32" s="8" t="n">
        <v>29</v>
      </c>
      <c r="C32" s="1" t="n">
        <v>0</v>
      </c>
      <c r="D32" s="1" t="n">
        <v>0</v>
      </c>
      <c r="E32" s="1" t="n">
        <v>0</v>
      </c>
      <c r="F32" s="1" t="n">
        <v>87.98999999999999</v>
      </c>
      <c r="G32" s="1" t="n">
        <v>87.98999999999999</v>
      </c>
      <c r="H32" s="1" t="n">
        <v>87.98999999999999</v>
      </c>
      <c r="I32" s="1" t="n">
        <v>87.98999999999999</v>
      </c>
      <c r="J32" s="1" t="n">
        <v>87.98999999999999</v>
      </c>
      <c r="K32" s="1" t="n">
        <v>87.98999999999999</v>
      </c>
      <c r="L32" s="1" t="n">
        <v>87.98999999999999</v>
      </c>
      <c r="M32" s="1" t="n">
        <v>87.98999999999999</v>
      </c>
      <c r="N32" s="1" t="n">
        <v>87.98999999999999</v>
      </c>
      <c r="O32" s="1" t="n">
        <v>87.98999999999999</v>
      </c>
      <c r="P32" s="1" t="n">
        <v>87.98999999999999</v>
      </c>
      <c r="Q32" s="1" t="n">
        <v>87.98999999999999</v>
      </c>
      <c r="R32" s="1" t="n">
        <v>87.98999999999999</v>
      </c>
      <c r="S32" s="1" t="n">
        <v>87.98999999999999</v>
      </c>
      <c r="T32" s="1" t="n">
        <v>87.98999999999999</v>
      </c>
      <c r="U32" s="1" t="n">
        <v>87.98999999999999</v>
      </c>
      <c r="V32" s="1" t="n">
        <v>87.98999999999999</v>
      </c>
      <c r="W32" s="1" t="n">
        <v>87.98999999999999</v>
      </c>
      <c r="X32" s="1" t="n">
        <v>87.98999999999999</v>
      </c>
      <c r="Y32" s="1" t="n">
        <v>87.98999999999999</v>
      </c>
      <c r="Z32" s="1" t="n">
        <v>87.98999999999999</v>
      </c>
      <c r="AA32" s="1" t="n">
        <v>87.98999999999999</v>
      </c>
      <c r="AB32" s="1" t="n">
        <v>87.98999999999999</v>
      </c>
      <c r="AC32" s="1" t="n">
        <v>87.98999999999999</v>
      </c>
      <c r="AD32" s="1" t="n">
        <v>87.98999999999999</v>
      </c>
      <c r="AE32" s="1" t="n">
        <v>87.98999999999999</v>
      </c>
      <c r="AF32" s="1" t="n">
        <v>87.98999999999999</v>
      </c>
      <c r="AG32" s="1" t="n">
        <v>87.98999999999999</v>
      </c>
      <c r="AH32" s="1" t="n">
        <v>87.98999999999999</v>
      </c>
      <c r="AI32" s="1" t="n">
        <v>87.98999999999999</v>
      </c>
      <c r="AJ32" s="1" t="n">
        <v>87.98999999999999</v>
      </c>
      <c r="AK32" s="1" t="n">
        <v>87.98999999999999</v>
      </c>
      <c r="AL32" s="1" t="n">
        <v>87.98999999999999</v>
      </c>
      <c r="AM32" s="1" t="n">
        <v>87.98999999999999</v>
      </c>
    </row>
    <row r="33">
      <c r="B33" s="8" t="n">
        <v>30</v>
      </c>
      <c r="C33" s="1" t="n">
        <v>0</v>
      </c>
      <c r="D33" s="1" t="n">
        <v>0</v>
      </c>
      <c r="E33" s="1" t="n">
        <v>0</v>
      </c>
      <c r="F33" s="1" t="n">
        <v>98.25</v>
      </c>
      <c r="G33" s="1" t="n">
        <v>107.25</v>
      </c>
      <c r="H33" s="1" t="n">
        <v>97.60999999999999</v>
      </c>
      <c r="I33" s="1" t="n">
        <v>128.61</v>
      </c>
      <c r="J33" s="1" t="n">
        <v>87.98999999999999</v>
      </c>
      <c r="K33" s="1" t="n">
        <v>87.98999999999999</v>
      </c>
      <c r="L33" s="1" t="n">
        <v>87.98999999999999</v>
      </c>
      <c r="M33" s="1" t="n">
        <v>87.98999999999999</v>
      </c>
      <c r="N33" s="1" t="n">
        <v>87.98999999999999</v>
      </c>
      <c r="O33" s="1" t="n">
        <v>87.98999999999999</v>
      </c>
      <c r="P33" s="1" t="n">
        <v>87.98999999999999</v>
      </c>
      <c r="Q33" s="1" t="n">
        <v>87.98999999999999</v>
      </c>
      <c r="R33" s="1" t="n">
        <v>87.98999999999999</v>
      </c>
      <c r="S33" s="1" t="n">
        <v>87.98999999999999</v>
      </c>
      <c r="T33" s="1" t="n">
        <v>87.98999999999999</v>
      </c>
      <c r="U33" s="1" t="n">
        <v>87.98999999999999</v>
      </c>
      <c r="V33" s="1" t="n">
        <v>87.98999999999999</v>
      </c>
      <c r="W33" s="1" t="n">
        <v>87.98999999999999</v>
      </c>
      <c r="X33" s="1" t="n">
        <v>87.98999999999999</v>
      </c>
      <c r="Y33" s="1" t="n">
        <v>87.98999999999999</v>
      </c>
      <c r="Z33" s="1" t="n">
        <v>87.98999999999999</v>
      </c>
      <c r="AA33" s="1" t="n">
        <v>87.98999999999999</v>
      </c>
      <c r="AB33" s="1" t="n">
        <v>87.98999999999999</v>
      </c>
      <c r="AC33" s="1" t="n">
        <v>87.98999999999999</v>
      </c>
      <c r="AD33" s="1" t="n">
        <v>87.98999999999999</v>
      </c>
      <c r="AE33" s="1" t="n">
        <v>87.98999999999999</v>
      </c>
      <c r="AF33" s="1" t="n">
        <v>87.98999999999999</v>
      </c>
      <c r="AG33" s="1" t="n">
        <v>87.98999999999999</v>
      </c>
      <c r="AH33" s="1" t="n">
        <v>87.98999999999999</v>
      </c>
      <c r="AI33" s="1" t="n">
        <v>87.98999999999999</v>
      </c>
      <c r="AJ33" s="1" t="n">
        <v>87.98999999999999</v>
      </c>
      <c r="AK33" s="1" t="n">
        <v>87.98999999999999</v>
      </c>
      <c r="AL33" s="1" t="n">
        <v>87.98999999999999</v>
      </c>
      <c r="AM33" s="1" t="n">
        <v>87.98999999999999</v>
      </c>
    </row>
    <row r="34">
      <c r="B34" s="8" t="n">
        <v>31</v>
      </c>
      <c r="C34" s="1" t="n">
        <v>0</v>
      </c>
      <c r="D34" s="1" t="n">
        <v>0</v>
      </c>
      <c r="E34" s="1" t="n">
        <v>0</v>
      </c>
      <c r="F34" s="1" t="n">
        <v>350.2</v>
      </c>
      <c r="G34" s="1" t="n">
        <v>350.2</v>
      </c>
      <c r="H34" s="1" t="n">
        <v>350.2</v>
      </c>
      <c r="I34" s="1" t="n">
        <v>350.2</v>
      </c>
      <c r="J34" s="1" t="n">
        <v>350.2</v>
      </c>
      <c r="K34" s="1" t="n">
        <v>350.2</v>
      </c>
      <c r="L34" s="1" t="n">
        <v>350.2</v>
      </c>
      <c r="M34" s="1" t="n">
        <v>350.2</v>
      </c>
      <c r="N34" s="1" t="n">
        <v>350.2</v>
      </c>
      <c r="O34" s="1" t="n">
        <v>350.2</v>
      </c>
      <c r="P34" s="1" t="n">
        <v>350.2</v>
      </c>
      <c r="Q34" s="1" t="n">
        <v>350.2</v>
      </c>
      <c r="R34" s="1" t="n">
        <v>350.2</v>
      </c>
      <c r="S34" s="1" t="n">
        <v>350.2</v>
      </c>
      <c r="T34" s="1" t="n">
        <v>350.2</v>
      </c>
      <c r="U34" s="1" t="n">
        <v>350.2</v>
      </c>
      <c r="V34" s="1" t="n">
        <v>350.2</v>
      </c>
      <c r="W34" s="1" t="n">
        <v>350.2</v>
      </c>
      <c r="X34" s="1" t="n">
        <v>350.2</v>
      </c>
      <c r="Y34" s="1" t="n">
        <v>350.2</v>
      </c>
      <c r="Z34" s="1" t="n">
        <v>361.79</v>
      </c>
      <c r="AA34" s="1" t="n">
        <v>361.79</v>
      </c>
      <c r="AB34" s="1" t="n">
        <v>361.79</v>
      </c>
      <c r="AC34" s="1" t="n">
        <v>361.79</v>
      </c>
      <c r="AD34" s="1" t="n">
        <v>361.79</v>
      </c>
      <c r="AE34" s="1" t="n">
        <v>361.79</v>
      </c>
      <c r="AF34" s="1" t="n">
        <v>361.79</v>
      </c>
      <c r="AG34" s="1" t="n">
        <v>361.79</v>
      </c>
      <c r="AH34" s="1" t="n">
        <v>361.79</v>
      </c>
      <c r="AI34" s="1" t="n">
        <v>361.79</v>
      </c>
      <c r="AJ34" s="1" t="n">
        <v>361.79</v>
      </c>
      <c r="AK34" s="1" t="n">
        <v>361.79</v>
      </c>
      <c r="AL34" s="1" t="n">
        <v>361.79</v>
      </c>
      <c r="AM34" s="1" t="n">
        <v>361.79</v>
      </c>
    </row>
    <row r="35">
      <c r="B35" s="8" t="n">
        <v>32</v>
      </c>
      <c r="C35" s="1" t="n">
        <v>0</v>
      </c>
      <c r="D35" s="1" t="n">
        <v>0</v>
      </c>
      <c r="E35" s="1" t="n">
        <v>0</v>
      </c>
      <c r="F35" s="1" t="n">
        <v>296.65</v>
      </c>
      <c r="G35" s="1" t="n">
        <v>296.65</v>
      </c>
      <c r="H35" s="1" t="n">
        <v>296.65</v>
      </c>
      <c r="I35" s="1" t="n">
        <v>296.65</v>
      </c>
      <c r="J35" s="1" t="n">
        <v>296.65</v>
      </c>
      <c r="K35" s="1" t="n">
        <v>296.65</v>
      </c>
      <c r="L35" s="1" t="n">
        <v>296.65</v>
      </c>
      <c r="M35" s="1" t="n">
        <v>296.65</v>
      </c>
      <c r="N35" s="1" t="n">
        <v>296.65</v>
      </c>
      <c r="O35" s="1" t="n">
        <v>296.65</v>
      </c>
      <c r="P35" s="1" t="n">
        <v>296.65</v>
      </c>
      <c r="Q35" s="1" t="n">
        <v>296.65</v>
      </c>
      <c r="R35" s="1" t="n">
        <v>296.65</v>
      </c>
      <c r="S35" s="1" t="n">
        <v>296.65</v>
      </c>
      <c r="T35" s="1" t="n">
        <v>296.65</v>
      </c>
      <c r="U35" s="1" t="n">
        <v>296.65</v>
      </c>
      <c r="V35" s="1" t="n">
        <v>296.65</v>
      </c>
      <c r="W35" s="1" t="n">
        <v>296.65</v>
      </c>
      <c r="X35" s="1" t="n">
        <v>296.65</v>
      </c>
      <c r="Y35" s="1" t="n">
        <v>296.65</v>
      </c>
      <c r="Z35" s="1" t="n">
        <v>307.04</v>
      </c>
      <c r="AA35" s="1" t="n">
        <v>307.04</v>
      </c>
      <c r="AB35" s="1" t="n">
        <v>307.04</v>
      </c>
      <c r="AC35" s="1" t="n">
        <v>307.04</v>
      </c>
      <c r="AD35" s="1" t="n">
        <v>307.04</v>
      </c>
      <c r="AE35" s="1" t="n">
        <v>307.04</v>
      </c>
      <c r="AF35" s="1" t="n">
        <v>307.04</v>
      </c>
      <c r="AG35" s="1" t="n">
        <v>307.04</v>
      </c>
      <c r="AH35" s="1" t="n">
        <v>307.04</v>
      </c>
      <c r="AI35" s="1" t="n">
        <v>307.04</v>
      </c>
      <c r="AJ35" s="1" t="n">
        <v>307.04</v>
      </c>
      <c r="AK35" s="1" t="n">
        <v>307.04</v>
      </c>
      <c r="AL35" s="1" t="n">
        <v>307.04</v>
      </c>
      <c r="AM35" s="1" t="n">
        <v>307.04</v>
      </c>
    </row>
    <row r="36">
      <c r="B36" s="8" t="n">
        <v>33</v>
      </c>
      <c r="C36" s="1" t="n">
        <v>99.33</v>
      </c>
      <c r="D36" s="1" t="n">
        <v>99.33</v>
      </c>
      <c r="E36" s="1" t="n">
        <v>99</v>
      </c>
      <c r="F36" s="1" t="n">
        <v>99.46000000000001</v>
      </c>
      <c r="G36" s="1" t="n">
        <v>99.15000000000001</v>
      </c>
      <c r="H36" s="1" t="n">
        <v>100.8</v>
      </c>
      <c r="I36" s="1" t="n">
        <v>99.73999999999999</v>
      </c>
      <c r="J36" s="1" t="n">
        <v>99</v>
      </c>
      <c r="K36" s="1" t="n">
        <v>99</v>
      </c>
      <c r="L36" s="1" t="n">
        <v>99</v>
      </c>
      <c r="M36" s="1" t="n">
        <v>99</v>
      </c>
      <c r="N36" s="1" t="n">
        <v>99</v>
      </c>
      <c r="O36" s="1" t="n">
        <v>99</v>
      </c>
      <c r="P36" s="1" t="n">
        <v>99</v>
      </c>
      <c r="Q36" s="1" t="n">
        <v>99</v>
      </c>
      <c r="R36" s="1" t="n">
        <v>99</v>
      </c>
      <c r="S36" s="1" t="n">
        <v>99</v>
      </c>
      <c r="T36" s="1" t="n">
        <v>99</v>
      </c>
      <c r="U36" s="1" t="n">
        <v>99</v>
      </c>
      <c r="V36" s="1" t="n">
        <v>99</v>
      </c>
      <c r="W36" s="1" t="n">
        <v>99</v>
      </c>
      <c r="X36" s="1" t="n">
        <v>99</v>
      </c>
      <c r="Y36" s="1" t="n">
        <v>99</v>
      </c>
      <c r="Z36" s="1" t="n">
        <v>99</v>
      </c>
      <c r="AA36" s="1" t="n">
        <v>99</v>
      </c>
      <c r="AB36" s="1" t="n">
        <v>28.71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</row>
    <row r="37">
      <c r="B37" s="8" t="n">
        <v>34</v>
      </c>
      <c r="C37" s="1" t="n">
        <v>239</v>
      </c>
      <c r="D37" s="1" t="n">
        <v>239</v>
      </c>
      <c r="E37" s="1" t="n">
        <v>239</v>
      </c>
      <c r="F37" s="1" t="n">
        <v>239</v>
      </c>
      <c r="G37" s="1" t="n">
        <v>239</v>
      </c>
      <c r="H37" s="1" t="n">
        <v>239</v>
      </c>
      <c r="I37" s="1" t="n">
        <v>239</v>
      </c>
      <c r="J37" s="1" t="n">
        <v>239</v>
      </c>
      <c r="K37" s="1" t="n">
        <v>239</v>
      </c>
      <c r="L37" s="1" t="n">
        <v>239</v>
      </c>
      <c r="M37" s="1" t="n">
        <v>239</v>
      </c>
      <c r="N37" s="1" t="n">
        <v>239</v>
      </c>
      <c r="O37" s="1" t="n">
        <v>239</v>
      </c>
      <c r="P37" s="1" t="n">
        <v>239</v>
      </c>
      <c r="Q37" s="1" t="n">
        <v>239</v>
      </c>
      <c r="R37" s="1" t="n">
        <v>239</v>
      </c>
      <c r="S37" s="1" t="n">
        <v>239</v>
      </c>
      <c r="T37" s="1" t="n">
        <v>239</v>
      </c>
      <c r="U37" s="1" t="n">
        <v>239</v>
      </c>
      <c r="V37" s="1" t="n">
        <v>239</v>
      </c>
      <c r="W37" s="1" t="n">
        <v>239</v>
      </c>
      <c r="X37" s="1" t="n">
        <v>239</v>
      </c>
      <c r="Y37" s="1" t="n">
        <v>239</v>
      </c>
      <c r="Z37" s="1" t="n">
        <v>247.37</v>
      </c>
      <c r="AA37" s="1" t="n">
        <v>247.37</v>
      </c>
      <c r="AB37" s="1" t="n">
        <v>247.37</v>
      </c>
      <c r="AC37" s="1" t="n">
        <v>247.37</v>
      </c>
      <c r="AD37" s="1" t="n">
        <v>247.37</v>
      </c>
      <c r="AE37" s="1" t="n">
        <v>247.37</v>
      </c>
      <c r="AF37" s="1" t="n">
        <v>247.37</v>
      </c>
      <c r="AG37" s="1" t="n">
        <v>247.37</v>
      </c>
      <c r="AH37" s="1" t="n">
        <v>247.37</v>
      </c>
      <c r="AI37" s="1" t="n">
        <v>247.37</v>
      </c>
      <c r="AJ37" s="1" t="n">
        <v>247.37</v>
      </c>
      <c r="AK37" s="1" t="n">
        <v>247.37</v>
      </c>
      <c r="AL37" s="1" t="n">
        <v>247.37</v>
      </c>
      <c r="AM37" s="1" t="n">
        <v>247.37</v>
      </c>
    </row>
    <row r="38">
      <c r="B38" s="8" t="n">
        <v>35</v>
      </c>
      <c r="C38" s="1" t="n">
        <v>269</v>
      </c>
      <c r="D38" s="1" t="n">
        <v>269</v>
      </c>
      <c r="E38" s="1" t="n">
        <v>269</v>
      </c>
      <c r="F38" s="1" t="n">
        <v>269</v>
      </c>
      <c r="G38" s="1" t="n">
        <v>269</v>
      </c>
      <c r="H38" s="1" t="n">
        <v>269</v>
      </c>
      <c r="I38" s="1" t="n">
        <v>269</v>
      </c>
      <c r="J38" s="1" t="n">
        <v>261.73</v>
      </c>
      <c r="K38" s="1" t="n">
        <v>261.73</v>
      </c>
      <c r="L38" s="1" t="n">
        <v>269.1</v>
      </c>
      <c r="M38" s="1" t="n">
        <v>269.1</v>
      </c>
      <c r="N38" s="1" t="n">
        <v>269.1</v>
      </c>
      <c r="O38" s="1" t="n">
        <v>269.1</v>
      </c>
      <c r="P38" s="1" t="n">
        <v>269.1</v>
      </c>
      <c r="Q38" s="1" t="n">
        <v>269.1</v>
      </c>
      <c r="R38" s="1" t="n">
        <v>269.1</v>
      </c>
      <c r="S38" s="1" t="n">
        <v>269.1</v>
      </c>
      <c r="T38" s="1" t="n">
        <v>269.1</v>
      </c>
      <c r="U38" s="1" t="n">
        <v>269.1</v>
      </c>
      <c r="V38" s="1" t="n">
        <v>254.15</v>
      </c>
      <c r="W38" s="1" t="n">
        <v>254.15</v>
      </c>
      <c r="X38" s="1" t="n">
        <v>254.15</v>
      </c>
      <c r="Y38" s="1" t="n">
        <v>254.15</v>
      </c>
      <c r="Z38" s="1" t="n">
        <v>254.15</v>
      </c>
      <c r="AA38" s="1" t="n">
        <v>263.05</v>
      </c>
      <c r="AB38" s="1" t="n">
        <v>287.81</v>
      </c>
      <c r="AC38" s="1" t="n">
        <v>287.81</v>
      </c>
      <c r="AD38" s="1" t="n">
        <v>296.67</v>
      </c>
      <c r="AE38" s="1" t="n">
        <v>287.1</v>
      </c>
      <c r="AF38" s="1" t="n">
        <v>287.1</v>
      </c>
      <c r="AG38" s="1" t="n">
        <v>287.1</v>
      </c>
      <c r="AH38" s="1" t="n">
        <v>287.1</v>
      </c>
      <c r="AI38" s="1" t="n">
        <v>287.1</v>
      </c>
      <c r="AJ38" s="1" t="n">
        <v>287.1</v>
      </c>
      <c r="AK38" s="1" t="n">
        <v>287.1</v>
      </c>
      <c r="AL38" s="1" t="n">
        <v>287.1</v>
      </c>
      <c r="AM38" s="1" t="n">
        <v>287.1</v>
      </c>
    </row>
    <row r="39">
      <c r="B39" s="8" t="n">
        <v>36</v>
      </c>
      <c r="C39" s="1" t="n">
        <v>219</v>
      </c>
      <c r="D39" s="1" t="n">
        <v>219</v>
      </c>
      <c r="E39" s="1" t="n">
        <v>219</v>
      </c>
      <c r="F39" s="1" t="n">
        <v>219</v>
      </c>
      <c r="G39" s="1" t="n">
        <v>219</v>
      </c>
      <c r="H39" s="1" t="n">
        <v>219</v>
      </c>
      <c r="I39" s="1" t="n">
        <v>219</v>
      </c>
      <c r="J39" s="1" t="n">
        <v>219</v>
      </c>
      <c r="K39" s="1" t="n">
        <v>219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</row>
    <row r="40">
      <c r="B40" s="8" t="n">
        <v>37</v>
      </c>
      <c r="C40" s="1" t="n">
        <v>245.65</v>
      </c>
      <c r="D40" s="1" t="n">
        <v>245.65</v>
      </c>
      <c r="E40" s="1" t="n">
        <v>245.65</v>
      </c>
      <c r="F40" s="1" t="n">
        <v>245.65</v>
      </c>
      <c r="G40" s="1" t="n">
        <v>245.65</v>
      </c>
      <c r="H40" s="1" t="n">
        <v>245.65</v>
      </c>
      <c r="I40" s="1" t="n">
        <v>245.65</v>
      </c>
      <c r="J40" s="1" t="n">
        <v>245.65</v>
      </c>
      <c r="K40" s="1" t="n">
        <v>245.65</v>
      </c>
      <c r="L40" s="1" t="n">
        <v>245.65</v>
      </c>
      <c r="M40" s="1" t="n">
        <v>245.65</v>
      </c>
      <c r="N40" s="1" t="n">
        <v>245.65</v>
      </c>
      <c r="O40" s="1" t="n">
        <v>245.65</v>
      </c>
      <c r="P40" s="1" t="n">
        <v>245.65</v>
      </c>
      <c r="Q40" s="1" t="n">
        <v>245.65</v>
      </c>
      <c r="R40" s="1" t="n">
        <v>245.65</v>
      </c>
      <c r="S40" s="1" t="n">
        <v>245.65</v>
      </c>
      <c r="T40" s="1" t="n">
        <v>245.65</v>
      </c>
      <c r="U40" s="1" t="n">
        <v>245.65</v>
      </c>
      <c r="V40" s="1" t="n">
        <v>245.65</v>
      </c>
      <c r="W40" s="1" t="n">
        <v>245.65</v>
      </c>
      <c r="X40" s="1" t="n">
        <v>245.65</v>
      </c>
      <c r="Y40" s="1" t="n">
        <v>245.65</v>
      </c>
      <c r="Z40" s="1" t="n">
        <v>245.65</v>
      </c>
      <c r="AA40" s="1" t="n">
        <v>254.25</v>
      </c>
      <c r="AB40" s="1" t="n">
        <v>254.25</v>
      </c>
      <c r="AC40" s="1" t="n">
        <v>254.25</v>
      </c>
      <c r="AD40" s="1" t="n">
        <v>106.25</v>
      </c>
      <c r="AE40" s="1" t="n">
        <v>106.25</v>
      </c>
      <c r="AF40" s="1" t="n">
        <v>106.25</v>
      </c>
      <c r="AG40" s="1" t="n">
        <v>106.25</v>
      </c>
      <c r="AH40" s="1" t="n">
        <v>106.25</v>
      </c>
      <c r="AI40" s="1" t="n">
        <v>106.25</v>
      </c>
      <c r="AJ40" s="1" t="n">
        <v>106.25</v>
      </c>
      <c r="AK40" s="1" t="n">
        <v>106.25</v>
      </c>
      <c r="AL40" s="1" t="n">
        <v>106.25</v>
      </c>
      <c r="AM40" s="1" t="n">
        <v>106.25</v>
      </c>
    </row>
    <row r="41">
      <c r="B41" s="8" t="n">
        <v>38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219</v>
      </c>
      <c r="W41" s="1" t="n">
        <v>219</v>
      </c>
      <c r="X41" s="1" t="n">
        <v>219</v>
      </c>
      <c r="Y41" s="1" t="n">
        <v>219</v>
      </c>
      <c r="Z41" s="1" t="n">
        <v>219</v>
      </c>
      <c r="AA41" s="1" t="n">
        <v>219</v>
      </c>
      <c r="AB41" s="1" t="n">
        <v>219</v>
      </c>
      <c r="AC41" s="1" t="n">
        <v>219</v>
      </c>
      <c r="AD41" s="1" t="n">
        <v>226.67</v>
      </c>
      <c r="AE41" s="1" t="n">
        <v>226.67</v>
      </c>
      <c r="AF41" s="1" t="n">
        <v>226.67</v>
      </c>
      <c r="AG41" s="1" t="n">
        <v>226.67</v>
      </c>
      <c r="AH41" s="1" t="n">
        <v>226.67</v>
      </c>
      <c r="AI41" s="1" t="n">
        <v>226.67</v>
      </c>
      <c r="AJ41" s="1" t="n">
        <v>226.67</v>
      </c>
      <c r="AK41" s="1" t="n">
        <v>226.67</v>
      </c>
      <c r="AL41" s="1" t="n">
        <v>226.67</v>
      </c>
      <c r="AM41" s="1" t="n">
        <v>226.67</v>
      </c>
    </row>
    <row r="42">
      <c r="B42" s="8" t="n">
        <v>39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296.1</v>
      </c>
      <c r="W42" s="1" t="n">
        <v>296.1</v>
      </c>
      <c r="X42" s="1" t="n">
        <v>296.1</v>
      </c>
      <c r="Y42" s="1" t="n">
        <v>296.1</v>
      </c>
      <c r="Z42" s="1" t="n">
        <v>296.1</v>
      </c>
      <c r="AA42" s="1" t="n">
        <v>296.1</v>
      </c>
      <c r="AB42" s="1" t="n">
        <v>296.1</v>
      </c>
      <c r="AC42" s="1" t="n">
        <v>296.1</v>
      </c>
      <c r="AD42" s="1" t="n">
        <v>306.46</v>
      </c>
      <c r="AE42" s="1" t="n">
        <v>306.46</v>
      </c>
      <c r="AF42" s="1" t="n">
        <v>306.46</v>
      </c>
      <c r="AG42" s="1" t="n">
        <v>306.46</v>
      </c>
      <c r="AH42" s="1" t="n">
        <v>306.46</v>
      </c>
      <c r="AI42" s="1" t="n">
        <v>306.46</v>
      </c>
      <c r="AJ42" s="1" t="n">
        <v>306.46</v>
      </c>
      <c r="AK42" s="1" t="n">
        <v>306.46</v>
      </c>
      <c r="AL42" s="1" t="n">
        <v>306.46</v>
      </c>
      <c r="AM42" s="1" t="n">
        <v>306.46</v>
      </c>
    </row>
    <row r="43">
      <c r="B43" s="8" t="n">
        <v>40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239</v>
      </c>
      <c r="W43" s="1" t="n">
        <v>239</v>
      </c>
      <c r="X43" s="1" t="n">
        <v>239</v>
      </c>
      <c r="Y43" s="1" t="n">
        <v>239</v>
      </c>
      <c r="Z43" s="1" t="n">
        <v>239</v>
      </c>
      <c r="AA43" s="1" t="n">
        <v>239</v>
      </c>
      <c r="AB43" s="1" t="n">
        <v>239</v>
      </c>
      <c r="AC43" s="1" t="n">
        <v>239</v>
      </c>
      <c r="AD43" s="1" t="n">
        <v>247.37</v>
      </c>
      <c r="AE43" s="1" t="n">
        <v>247.37</v>
      </c>
      <c r="AF43" s="1" t="n">
        <v>247.37</v>
      </c>
      <c r="AG43" s="1" t="n">
        <v>247.37</v>
      </c>
      <c r="AH43" s="1" t="n">
        <v>247.37</v>
      </c>
      <c r="AI43" s="1" t="n">
        <v>247.37</v>
      </c>
      <c r="AJ43" s="1" t="n">
        <v>247.37</v>
      </c>
      <c r="AK43" s="1" t="n">
        <v>247.37</v>
      </c>
      <c r="AL43" s="1" t="n">
        <v>247.37</v>
      </c>
      <c r="AM43" s="1" t="n">
        <v>247.37</v>
      </c>
    </row>
    <row r="44">
      <c r="B44" s="8" t="n">
        <v>41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229</v>
      </c>
      <c r="W44" s="1" t="n">
        <v>229</v>
      </c>
      <c r="X44" s="1" t="n">
        <v>229</v>
      </c>
      <c r="Y44" s="1" t="n">
        <v>229</v>
      </c>
      <c r="Z44" s="1" t="n">
        <v>229</v>
      </c>
      <c r="AA44" s="1" t="n">
        <v>229</v>
      </c>
      <c r="AB44" s="1" t="n">
        <v>229</v>
      </c>
      <c r="AC44" s="1" t="n">
        <v>229</v>
      </c>
      <c r="AD44" s="1" t="n">
        <v>237.02</v>
      </c>
      <c r="AE44" s="1" t="n">
        <v>237.02</v>
      </c>
      <c r="AF44" s="1" t="n">
        <v>237.02</v>
      </c>
      <c r="AG44" s="1" t="n">
        <v>237.02</v>
      </c>
      <c r="AH44" s="1" t="n">
        <v>237.02</v>
      </c>
      <c r="AI44" s="1" t="n">
        <v>237.02</v>
      </c>
      <c r="AJ44" s="1" t="n">
        <v>237.02</v>
      </c>
      <c r="AK44" s="1" t="n">
        <v>237.02</v>
      </c>
      <c r="AL44" s="1" t="n">
        <v>237.02</v>
      </c>
      <c r="AM44" s="1" t="n">
        <v>237.02</v>
      </c>
    </row>
    <row r="45">
      <c r="B45" s="8" t="n">
        <v>42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69</v>
      </c>
      <c r="W45" s="1" t="n">
        <v>69</v>
      </c>
      <c r="X45" s="1" t="n">
        <v>69</v>
      </c>
      <c r="Y45" s="1" t="n">
        <v>69</v>
      </c>
      <c r="Z45" s="1" t="n">
        <v>69</v>
      </c>
      <c r="AA45" s="1" t="n">
        <v>69</v>
      </c>
      <c r="AB45" s="1" t="n">
        <v>69</v>
      </c>
      <c r="AC45" s="1" t="n">
        <v>69</v>
      </c>
      <c r="AD45" s="1" t="n">
        <v>69</v>
      </c>
      <c r="AE45" s="1" t="n">
        <v>69</v>
      </c>
      <c r="AF45" s="1" t="n">
        <v>69</v>
      </c>
      <c r="AG45" s="1" t="n">
        <v>69</v>
      </c>
      <c r="AH45" s="1" t="n">
        <v>69</v>
      </c>
      <c r="AI45" s="1" t="n">
        <v>69</v>
      </c>
      <c r="AJ45" s="1" t="n">
        <v>69</v>
      </c>
      <c r="AK45" s="1" t="n">
        <v>69</v>
      </c>
      <c r="AL45" s="1" t="n">
        <v>69</v>
      </c>
      <c r="AM45" s="1" t="n">
        <v>69</v>
      </c>
    </row>
    <row r="46">
      <c r="B46" s="8" t="n">
        <v>43</v>
      </c>
      <c r="C46" s="1" t="n">
        <v>69</v>
      </c>
      <c r="D46" s="1" t="n">
        <v>69</v>
      </c>
      <c r="E46" s="1" t="n">
        <v>69</v>
      </c>
      <c r="F46" s="1" t="n">
        <v>69</v>
      </c>
      <c r="G46" s="1" t="n">
        <v>69</v>
      </c>
      <c r="H46" s="1" t="n">
        <v>69</v>
      </c>
      <c r="I46" s="1" t="n">
        <v>69</v>
      </c>
      <c r="J46" s="1" t="n">
        <v>69</v>
      </c>
      <c r="K46" s="1" t="n">
        <v>69</v>
      </c>
      <c r="L46" s="1" t="n">
        <v>69</v>
      </c>
      <c r="M46" s="1" t="n">
        <v>69</v>
      </c>
      <c r="N46" s="1" t="n">
        <v>69</v>
      </c>
      <c r="O46" s="1" t="n">
        <v>69</v>
      </c>
      <c r="P46" s="1" t="n">
        <v>69</v>
      </c>
      <c r="Q46" s="1" t="n">
        <v>69</v>
      </c>
      <c r="R46" s="1" t="n">
        <v>69</v>
      </c>
      <c r="S46" s="1" t="n">
        <v>69</v>
      </c>
      <c r="T46" s="1" t="n">
        <v>69</v>
      </c>
      <c r="U46" s="1" t="n">
        <v>69</v>
      </c>
      <c r="V46" s="1" t="n">
        <v>69</v>
      </c>
      <c r="W46" s="1" t="n">
        <v>69</v>
      </c>
      <c r="X46" s="1" t="n">
        <v>69</v>
      </c>
      <c r="Y46" s="1" t="n">
        <v>69</v>
      </c>
      <c r="Z46" s="1" t="n">
        <v>69</v>
      </c>
      <c r="AA46" s="1" t="n">
        <v>69</v>
      </c>
      <c r="AB46" s="1" t="n">
        <v>69</v>
      </c>
      <c r="AC46" s="1" t="n">
        <v>69</v>
      </c>
      <c r="AD46" s="1" t="n">
        <v>69</v>
      </c>
      <c r="AE46" s="1" t="n">
        <v>69</v>
      </c>
      <c r="AF46" s="1" t="n">
        <v>69</v>
      </c>
      <c r="AG46" s="1" t="n">
        <v>69</v>
      </c>
      <c r="AH46" s="1" t="n">
        <v>69</v>
      </c>
      <c r="AI46" s="1" t="n">
        <v>69</v>
      </c>
      <c r="AJ46" s="1" t="n">
        <v>69</v>
      </c>
      <c r="AK46" s="1" t="n">
        <v>69</v>
      </c>
      <c r="AL46" s="1" t="n">
        <v>69</v>
      </c>
      <c r="AM46" s="1" t="n">
        <v>69</v>
      </c>
    </row>
    <row r="47">
      <c r="B47" s="8" t="n">
        <v>44</v>
      </c>
      <c r="C47" s="1" t="n">
        <v>69</v>
      </c>
      <c r="D47" s="1" t="n">
        <v>69</v>
      </c>
      <c r="E47" s="1" t="n">
        <v>69</v>
      </c>
      <c r="F47" s="1" t="n">
        <v>69</v>
      </c>
      <c r="G47" s="1" t="n">
        <v>69</v>
      </c>
      <c r="H47" s="1" t="n">
        <v>69</v>
      </c>
      <c r="I47" s="1" t="n">
        <v>69</v>
      </c>
      <c r="J47" s="1" t="n">
        <v>69</v>
      </c>
      <c r="K47" s="1" t="n">
        <v>69</v>
      </c>
      <c r="L47" s="1" t="n">
        <v>69</v>
      </c>
      <c r="M47" s="1" t="n">
        <v>69</v>
      </c>
      <c r="N47" s="1" t="n">
        <v>69</v>
      </c>
      <c r="O47" s="1" t="n">
        <v>69</v>
      </c>
      <c r="P47" s="1" t="n">
        <v>69</v>
      </c>
      <c r="Q47" s="1" t="n">
        <v>69</v>
      </c>
      <c r="R47" s="1" t="n">
        <v>69</v>
      </c>
      <c r="S47" s="1" t="n">
        <v>69</v>
      </c>
      <c r="T47" s="1" t="n">
        <v>69</v>
      </c>
      <c r="U47" s="1" t="n">
        <v>69</v>
      </c>
      <c r="V47" s="1" t="n">
        <v>69</v>
      </c>
      <c r="W47" s="1" t="n">
        <v>69</v>
      </c>
      <c r="X47" s="1" t="n">
        <v>69</v>
      </c>
      <c r="Y47" s="1" t="n">
        <v>69</v>
      </c>
      <c r="Z47" s="1" t="n">
        <v>69</v>
      </c>
      <c r="AA47" s="1" t="n">
        <v>69</v>
      </c>
      <c r="AB47" s="1" t="n">
        <v>69</v>
      </c>
      <c r="AC47" s="1" t="n">
        <v>69</v>
      </c>
      <c r="AD47" s="1" t="n">
        <v>69</v>
      </c>
      <c r="AE47" s="1" t="n">
        <v>69</v>
      </c>
      <c r="AF47" s="1" t="n">
        <v>69</v>
      </c>
      <c r="AG47" s="1" t="n">
        <v>69</v>
      </c>
      <c r="AH47" s="1" t="n">
        <v>69</v>
      </c>
      <c r="AI47" s="1" t="n">
        <v>69</v>
      </c>
      <c r="AJ47" s="1" t="n">
        <v>69</v>
      </c>
      <c r="AK47" s="1" t="n">
        <v>69</v>
      </c>
      <c r="AL47" s="1" t="n">
        <v>69</v>
      </c>
      <c r="AM47" s="1" t="n">
        <v>69</v>
      </c>
    </row>
    <row r="48">
      <c r="B48" s="8" t="n">
        <v>45</v>
      </c>
      <c r="C48" s="1" t="n">
        <v>333.1</v>
      </c>
      <c r="D48" s="1" t="n">
        <v>333.1</v>
      </c>
      <c r="E48" s="1" t="n">
        <v>333.1</v>
      </c>
      <c r="F48" s="1" t="n">
        <v>333.1</v>
      </c>
      <c r="G48" s="1" t="n">
        <v>333.1</v>
      </c>
      <c r="H48" s="1" t="n">
        <v>333.1</v>
      </c>
      <c r="I48" s="1" t="n">
        <v>333.1</v>
      </c>
      <c r="J48" s="1" t="n">
        <v>333.1</v>
      </c>
      <c r="K48" s="1" t="n">
        <v>333.1</v>
      </c>
      <c r="L48" s="1" t="n">
        <v>333.1</v>
      </c>
      <c r="M48" s="1" t="n">
        <v>333.1</v>
      </c>
      <c r="N48" s="1" t="n">
        <v>333.1</v>
      </c>
      <c r="O48" s="1" t="n">
        <v>333.1</v>
      </c>
      <c r="P48" s="1" t="n">
        <v>333.1</v>
      </c>
      <c r="Q48" s="1" t="n">
        <v>333.1</v>
      </c>
      <c r="R48" s="1" t="n">
        <v>333.1</v>
      </c>
      <c r="S48" s="1" t="n">
        <v>333.1</v>
      </c>
      <c r="T48" s="1" t="n">
        <v>333.1</v>
      </c>
      <c r="U48" s="1" t="n">
        <v>333.1</v>
      </c>
      <c r="V48" s="1" t="n">
        <v>333.1</v>
      </c>
      <c r="W48" s="1" t="n">
        <v>333.1</v>
      </c>
      <c r="X48" s="1" t="n">
        <v>333.1</v>
      </c>
      <c r="Y48" s="1" t="n">
        <v>333.1</v>
      </c>
      <c r="Z48" s="1" t="n">
        <v>333.1</v>
      </c>
      <c r="AA48" s="1" t="n">
        <v>333.1</v>
      </c>
      <c r="AB48" s="1" t="n">
        <v>333.1</v>
      </c>
      <c r="AC48" s="1" t="n">
        <v>333.1</v>
      </c>
      <c r="AD48" s="1" t="n">
        <v>344.09</v>
      </c>
      <c r="AE48" s="1" t="n">
        <v>344.09</v>
      </c>
      <c r="AF48" s="1" t="n">
        <v>344.09</v>
      </c>
      <c r="AG48" s="1" t="n">
        <v>344.09</v>
      </c>
      <c r="AH48" s="1" t="n">
        <v>344.09</v>
      </c>
      <c r="AI48" s="1" t="n">
        <v>344.09</v>
      </c>
      <c r="AJ48" s="1" t="n">
        <v>344.09</v>
      </c>
      <c r="AK48" s="1" t="n">
        <v>344.09</v>
      </c>
      <c r="AL48" s="1" t="n">
        <v>344.09</v>
      </c>
      <c r="AM48" s="1" t="n">
        <v>344.09</v>
      </c>
    </row>
    <row r="49">
      <c r="B49" s="8" t="n">
        <v>46</v>
      </c>
      <c r="C49" s="1" t="n">
        <v>225.82</v>
      </c>
      <c r="D49" s="1" t="n">
        <v>225.82</v>
      </c>
      <c r="E49" s="1" t="n">
        <v>229.9</v>
      </c>
      <c r="F49" s="1" t="n">
        <v>225.16</v>
      </c>
      <c r="G49" s="1" t="n">
        <v>233.9</v>
      </c>
      <c r="H49" s="1" t="n">
        <v>234.32</v>
      </c>
      <c r="I49" s="1" t="n">
        <v>230.1</v>
      </c>
      <c r="J49" s="1" t="n">
        <v>219</v>
      </c>
      <c r="K49" s="1" t="n">
        <v>219</v>
      </c>
      <c r="L49" s="1" t="n">
        <v>219</v>
      </c>
      <c r="M49" s="1" t="n">
        <v>219</v>
      </c>
      <c r="N49" s="1" t="n">
        <v>219</v>
      </c>
      <c r="O49" s="1" t="n">
        <v>219</v>
      </c>
      <c r="P49" s="1" t="n">
        <v>219</v>
      </c>
      <c r="Q49" s="1" t="n">
        <v>219</v>
      </c>
      <c r="R49" s="1" t="n">
        <v>219</v>
      </c>
      <c r="S49" s="1" t="n">
        <v>219</v>
      </c>
      <c r="T49" s="1" t="n">
        <v>219</v>
      </c>
      <c r="U49" s="1" t="n">
        <v>219</v>
      </c>
      <c r="V49" s="1" t="n">
        <v>219</v>
      </c>
      <c r="W49" s="1" t="n">
        <v>219</v>
      </c>
      <c r="X49" s="1" t="n">
        <v>219</v>
      </c>
      <c r="Y49" s="1" t="n">
        <v>219</v>
      </c>
      <c r="Z49" s="1" t="n">
        <v>219</v>
      </c>
      <c r="AA49" s="1" t="n">
        <v>219</v>
      </c>
      <c r="AB49" s="1" t="n">
        <v>219</v>
      </c>
      <c r="AC49" s="1" t="n">
        <v>219</v>
      </c>
      <c r="AD49" s="1" t="n">
        <v>226.67</v>
      </c>
      <c r="AE49" s="1" t="n">
        <v>226.67</v>
      </c>
      <c r="AF49" s="1" t="n">
        <v>226.67</v>
      </c>
      <c r="AG49" s="1" t="n">
        <v>226.67</v>
      </c>
      <c r="AH49" s="1" t="n">
        <v>226.67</v>
      </c>
      <c r="AI49" s="1" t="n">
        <v>226.67</v>
      </c>
      <c r="AJ49" s="1" t="n">
        <v>226.67</v>
      </c>
      <c r="AK49" s="1" t="n">
        <v>226.67</v>
      </c>
      <c r="AL49" s="1" t="n">
        <v>226.67</v>
      </c>
      <c r="AM49" s="1" t="n">
        <v>226.67</v>
      </c>
    </row>
    <row r="50">
      <c r="B50" s="8" t="n">
        <v>47</v>
      </c>
      <c r="C50" s="1" t="n">
        <v>169</v>
      </c>
      <c r="D50" s="1" t="n">
        <v>169</v>
      </c>
      <c r="E50" s="1" t="n">
        <v>169</v>
      </c>
      <c r="F50" s="1" t="n">
        <v>169</v>
      </c>
      <c r="G50" s="1" t="n">
        <v>169</v>
      </c>
      <c r="H50" s="1" t="n">
        <v>169</v>
      </c>
      <c r="I50" s="1" t="n">
        <v>169</v>
      </c>
      <c r="J50" s="1" t="n">
        <v>169</v>
      </c>
      <c r="K50" s="1" t="n">
        <v>169</v>
      </c>
      <c r="L50" s="1" t="n">
        <v>169</v>
      </c>
      <c r="M50" s="1" t="n">
        <v>169</v>
      </c>
      <c r="N50" s="1" t="n">
        <v>169</v>
      </c>
      <c r="O50" s="1" t="n">
        <v>169</v>
      </c>
      <c r="P50" s="1" t="n">
        <v>169</v>
      </c>
      <c r="Q50" s="1" t="n">
        <v>179</v>
      </c>
      <c r="R50" s="1" t="n">
        <v>179</v>
      </c>
      <c r="S50" s="1" t="n">
        <v>179</v>
      </c>
      <c r="T50" s="1" t="n">
        <v>179</v>
      </c>
      <c r="U50" s="1" t="n">
        <v>179</v>
      </c>
      <c r="V50" s="1" t="n">
        <v>179</v>
      </c>
      <c r="W50" s="1" t="n">
        <v>179</v>
      </c>
      <c r="X50" s="1" t="n">
        <v>179</v>
      </c>
      <c r="Y50" s="1" t="n">
        <v>179</v>
      </c>
      <c r="Z50" s="1" t="n">
        <v>179</v>
      </c>
      <c r="AA50" s="1" t="n">
        <v>179</v>
      </c>
      <c r="AB50" s="1" t="n">
        <v>179</v>
      </c>
      <c r="AC50" s="1" t="n">
        <v>179</v>
      </c>
      <c r="AD50" s="1" t="n">
        <v>185.27</v>
      </c>
      <c r="AE50" s="1" t="n">
        <v>185.27</v>
      </c>
      <c r="AF50" s="1" t="n">
        <v>185.27</v>
      </c>
      <c r="AG50" s="1" t="n">
        <v>185.27</v>
      </c>
      <c r="AH50" s="1" t="n">
        <v>185.27</v>
      </c>
      <c r="AI50" s="1" t="n">
        <v>185.27</v>
      </c>
      <c r="AJ50" s="1" t="n">
        <v>185.27</v>
      </c>
      <c r="AK50" s="1" t="n">
        <v>185.27</v>
      </c>
      <c r="AL50" s="1" t="n">
        <v>185.27</v>
      </c>
      <c r="AM50" s="1" t="n">
        <v>185.27</v>
      </c>
    </row>
    <row r="51">
      <c r="B51" s="8" t="n">
        <v>48</v>
      </c>
      <c r="C51" s="1" t="n">
        <v>199</v>
      </c>
      <c r="D51" s="1" t="n">
        <v>199</v>
      </c>
      <c r="E51" s="1" t="n">
        <v>199</v>
      </c>
      <c r="F51" s="1" t="n">
        <v>199</v>
      </c>
      <c r="G51" s="1" t="n">
        <v>199</v>
      </c>
      <c r="H51" s="1" t="n">
        <v>199</v>
      </c>
      <c r="I51" s="1" t="n">
        <v>199</v>
      </c>
      <c r="J51" s="1" t="n">
        <v>169.15</v>
      </c>
      <c r="K51" s="1" t="n">
        <v>169.15</v>
      </c>
      <c r="L51" s="1" t="n">
        <v>245.65</v>
      </c>
      <c r="M51" s="1" t="n">
        <v>245.65</v>
      </c>
      <c r="N51" s="1" t="n">
        <v>289</v>
      </c>
      <c r="O51" s="1" t="n">
        <v>289</v>
      </c>
      <c r="P51" s="1" t="n">
        <v>289</v>
      </c>
      <c r="Q51" s="1" t="n">
        <v>289</v>
      </c>
      <c r="R51" s="1" t="n">
        <v>289</v>
      </c>
      <c r="S51" s="1" t="n">
        <v>289</v>
      </c>
      <c r="T51" s="1" t="n">
        <v>289</v>
      </c>
      <c r="U51" s="1" t="n">
        <v>289</v>
      </c>
      <c r="V51" s="1" t="n">
        <v>289</v>
      </c>
      <c r="W51" s="1" t="n">
        <v>289</v>
      </c>
      <c r="X51" s="1" t="n">
        <v>289</v>
      </c>
      <c r="Y51" s="1" t="n">
        <v>289</v>
      </c>
      <c r="Z51" s="1" t="n">
        <v>289</v>
      </c>
      <c r="AA51" s="1" t="n">
        <v>289</v>
      </c>
      <c r="AB51" s="1" t="n">
        <v>289</v>
      </c>
      <c r="AC51" s="1" t="n">
        <v>289</v>
      </c>
      <c r="AD51" s="1" t="n">
        <v>299.12</v>
      </c>
      <c r="AE51" s="1" t="n">
        <v>299.12</v>
      </c>
      <c r="AF51" s="1" t="n">
        <v>299.12</v>
      </c>
      <c r="AG51" s="1" t="n">
        <v>299.12</v>
      </c>
      <c r="AH51" s="1" t="n">
        <v>299.12</v>
      </c>
      <c r="AI51" s="1" t="n">
        <v>299.12</v>
      </c>
      <c r="AJ51" s="1" t="n">
        <v>299.12</v>
      </c>
      <c r="AK51" s="1" t="n">
        <v>299.12</v>
      </c>
      <c r="AL51" s="1" t="n">
        <v>299.12</v>
      </c>
      <c r="AM51" s="1" t="n">
        <v>299.12</v>
      </c>
    </row>
    <row r="52">
      <c r="B52" s="8" t="n">
        <v>49</v>
      </c>
      <c r="C52" s="1" t="n">
        <v>299</v>
      </c>
      <c r="D52" s="1" t="n">
        <v>299</v>
      </c>
      <c r="E52" s="1" t="n">
        <v>299</v>
      </c>
      <c r="F52" s="1" t="n">
        <v>299</v>
      </c>
      <c r="G52" s="1" t="n">
        <v>284.05</v>
      </c>
      <c r="H52" s="1" t="n">
        <v>284.05</v>
      </c>
      <c r="I52" s="1" t="n">
        <v>284.05</v>
      </c>
      <c r="J52" s="1" t="n">
        <v>284.05</v>
      </c>
      <c r="K52" s="1" t="n">
        <v>284.05</v>
      </c>
      <c r="L52" s="1" t="n">
        <v>284.05</v>
      </c>
      <c r="M52" s="1" t="n">
        <v>284.05</v>
      </c>
      <c r="N52" s="1" t="n">
        <v>284.05</v>
      </c>
      <c r="O52" s="1" t="n">
        <v>284.05</v>
      </c>
      <c r="P52" s="1" t="n">
        <v>284.05</v>
      </c>
      <c r="Q52" s="1" t="n">
        <v>284.05</v>
      </c>
      <c r="R52" s="1" t="n">
        <v>284.05</v>
      </c>
      <c r="S52" s="1" t="n">
        <v>284.05</v>
      </c>
      <c r="T52" s="1" t="n">
        <v>284.05</v>
      </c>
      <c r="U52" s="1" t="n">
        <v>284.05</v>
      </c>
      <c r="V52" s="1" t="n">
        <v>284.05</v>
      </c>
      <c r="W52" s="1" t="n">
        <v>284.05</v>
      </c>
      <c r="X52" s="1" t="n">
        <v>284.05</v>
      </c>
      <c r="Y52" s="1" t="n">
        <v>284.05</v>
      </c>
      <c r="Z52" s="1" t="n">
        <v>284.05</v>
      </c>
      <c r="AA52" s="1" t="n">
        <v>284.05</v>
      </c>
      <c r="AB52" s="1" t="n">
        <v>284.05</v>
      </c>
      <c r="AC52" s="1" t="n">
        <v>284.05</v>
      </c>
      <c r="AD52" s="1" t="n">
        <v>294</v>
      </c>
      <c r="AE52" s="1" t="n">
        <v>294</v>
      </c>
      <c r="AF52" s="1" t="n">
        <v>294</v>
      </c>
      <c r="AG52" s="1" t="n">
        <v>294</v>
      </c>
      <c r="AH52" s="1" t="n">
        <v>294</v>
      </c>
      <c r="AI52" s="1" t="n">
        <v>294</v>
      </c>
      <c r="AJ52" s="1" t="n">
        <v>294</v>
      </c>
      <c r="AK52" s="1" t="n">
        <v>294</v>
      </c>
      <c r="AL52" s="1" t="n">
        <v>294</v>
      </c>
      <c r="AM52" s="1" t="n">
        <v>294</v>
      </c>
    </row>
    <row r="53">
      <c r="B53" s="8" t="n">
        <v>50</v>
      </c>
      <c r="C53" s="1" t="n">
        <v>279.2</v>
      </c>
      <c r="D53" s="1" t="n">
        <v>279.2</v>
      </c>
      <c r="E53" s="1" t="n">
        <v>279.2</v>
      </c>
      <c r="F53" s="1" t="n">
        <v>279.2</v>
      </c>
      <c r="G53" s="1" t="n">
        <v>279.2</v>
      </c>
      <c r="H53" s="1" t="n">
        <v>279.2</v>
      </c>
      <c r="I53" s="1" t="n">
        <v>279.2</v>
      </c>
      <c r="J53" s="1" t="n">
        <v>279.2</v>
      </c>
      <c r="K53" s="1" t="n">
        <v>279.2</v>
      </c>
      <c r="L53" s="1" t="n">
        <v>279.16</v>
      </c>
      <c r="M53" s="1" t="n">
        <v>279.16</v>
      </c>
      <c r="N53" s="1" t="n">
        <v>279.16</v>
      </c>
      <c r="O53" s="1" t="n">
        <v>279.16</v>
      </c>
      <c r="P53" s="1" t="n">
        <v>279.16</v>
      </c>
      <c r="Q53" s="1" t="n">
        <v>279.16</v>
      </c>
      <c r="R53" s="1" t="n">
        <v>279.16</v>
      </c>
      <c r="S53" s="1" t="n">
        <v>279.16</v>
      </c>
      <c r="T53" s="1" t="n">
        <v>279.16</v>
      </c>
      <c r="U53" s="1" t="n">
        <v>279.16</v>
      </c>
      <c r="V53" s="1" t="n">
        <v>279.16</v>
      </c>
      <c r="W53" s="1" t="n">
        <v>279.16</v>
      </c>
      <c r="X53" s="1" t="n">
        <v>279.16</v>
      </c>
      <c r="Y53" s="1" t="n">
        <v>279.16</v>
      </c>
      <c r="Z53" s="1" t="n">
        <v>279.16</v>
      </c>
      <c r="AA53" s="1" t="n">
        <v>279.16</v>
      </c>
      <c r="AB53" s="1" t="n">
        <v>279.16</v>
      </c>
      <c r="AC53" s="1" t="n">
        <v>279.16</v>
      </c>
      <c r="AD53" s="1" t="n">
        <v>279.16</v>
      </c>
      <c r="AE53" s="1" t="n">
        <v>279.16</v>
      </c>
      <c r="AF53" s="1" t="n">
        <v>279.16</v>
      </c>
      <c r="AG53" s="1" t="n">
        <v>279.16</v>
      </c>
      <c r="AH53" s="1" t="n">
        <v>279.16</v>
      </c>
      <c r="AI53" s="1" t="n">
        <v>279.16</v>
      </c>
      <c r="AJ53" s="1" t="n">
        <v>279.16</v>
      </c>
      <c r="AK53" s="1" t="n">
        <v>279.16</v>
      </c>
      <c r="AL53" s="1" t="n">
        <v>279.16</v>
      </c>
      <c r="AM53" s="1" t="n">
        <v>279.16</v>
      </c>
    </row>
    <row r="54">
      <c r="B54" s="8" t="n">
        <v>51</v>
      </c>
      <c r="C54" s="1" t="n">
        <v>349</v>
      </c>
      <c r="D54" s="1" t="n">
        <v>349</v>
      </c>
      <c r="E54" s="1" t="n">
        <v>349</v>
      </c>
      <c r="F54" s="1" t="n">
        <v>349</v>
      </c>
      <c r="G54" s="1" t="n">
        <v>349</v>
      </c>
      <c r="H54" s="1" t="n">
        <v>349</v>
      </c>
      <c r="I54" s="1" t="n">
        <v>349</v>
      </c>
      <c r="J54" s="1" t="n">
        <v>349</v>
      </c>
      <c r="K54" s="1" t="n">
        <v>349</v>
      </c>
      <c r="L54" s="1" t="n">
        <v>349</v>
      </c>
      <c r="M54" s="1" t="n">
        <v>349</v>
      </c>
      <c r="N54" s="1" t="n">
        <v>349</v>
      </c>
      <c r="O54" s="1" t="n">
        <v>349</v>
      </c>
      <c r="P54" s="1" t="n">
        <v>349</v>
      </c>
      <c r="Q54" s="1" t="n">
        <v>349</v>
      </c>
      <c r="R54" s="1" t="n">
        <v>349</v>
      </c>
      <c r="S54" s="1" t="n">
        <v>349</v>
      </c>
      <c r="T54" s="1" t="n">
        <v>349</v>
      </c>
      <c r="U54" s="1" t="n">
        <v>349</v>
      </c>
      <c r="V54" s="1" t="n">
        <v>349</v>
      </c>
      <c r="W54" s="1" t="n">
        <v>349</v>
      </c>
      <c r="X54" s="1" t="n">
        <v>349</v>
      </c>
      <c r="Y54" s="1" t="n">
        <v>349</v>
      </c>
      <c r="Z54" s="1" t="n">
        <v>349</v>
      </c>
      <c r="AA54" s="1" t="n">
        <v>349</v>
      </c>
      <c r="AB54" s="1" t="n">
        <v>349</v>
      </c>
      <c r="AC54" s="1" t="n">
        <v>349</v>
      </c>
      <c r="AD54" s="1" t="n">
        <v>361.22</v>
      </c>
      <c r="AE54" s="1" t="n">
        <v>361.22</v>
      </c>
      <c r="AF54" s="1" t="n">
        <v>361.22</v>
      </c>
      <c r="AG54" s="1" t="n">
        <v>361.22</v>
      </c>
      <c r="AH54" s="1" t="n">
        <v>361.22</v>
      </c>
      <c r="AI54" s="1" t="n">
        <v>361.22</v>
      </c>
      <c r="AJ54" s="1" t="n">
        <v>361.22</v>
      </c>
      <c r="AK54" s="1" t="n">
        <v>361.22</v>
      </c>
      <c r="AL54" s="1" t="n">
        <v>361.22</v>
      </c>
      <c r="AM54" s="1" t="n">
        <v>361.22</v>
      </c>
    </row>
    <row r="55">
      <c r="B55" s="8" t="n">
        <v>52</v>
      </c>
      <c r="C55" s="1" t="n">
        <v>289</v>
      </c>
      <c r="D55" s="1" t="n">
        <v>289</v>
      </c>
      <c r="E55" s="1" t="n">
        <v>289</v>
      </c>
      <c r="F55" s="1" t="n">
        <v>289</v>
      </c>
      <c r="G55" s="1" t="n">
        <v>289</v>
      </c>
      <c r="H55" s="1" t="n">
        <v>289</v>
      </c>
      <c r="I55" s="1" t="n">
        <v>289</v>
      </c>
      <c r="J55" s="1" t="n">
        <v>289</v>
      </c>
      <c r="K55" s="1" t="n">
        <v>289</v>
      </c>
      <c r="L55" s="1" t="n">
        <v>289</v>
      </c>
      <c r="M55" s="1" t="n">
        <v>289</v>
      </c>
      <c r="N55" s="1" t="n">
        <v>289</v>
      </c>
      <c r="O55" s="1" t="n">
        <v>289</v>
      </c>
      <c r="P55" s="1" t="n">
        <v>289</v>
      </c>
      <c r="Q55" s="1" t="n">
        <v>289</v>
      </c>
      <c r="R55" s="1" t="n">
        <v>289</v>
      </c>
      <c r="S55" s="1" t="n">
        <v>289</v>
      </c>
      <c r="T55" s="1" t="n">
        <v>289</v>
      </c>
      <c r="U55" s="1" t="n">
        <v>289</v>
      </c>
      <c r="V55" s="1" t="n">
        <v>289</v>
      </c>
      <c r="W55" s="1" t="n">
        <v>289</v>
      </c>
      <c r="X55" s="1" t="n">
        <v>289</v>
      </c>
      <c r="Y55" s="1" t="n">
        <v>289</v>
      </c>
      <c r="Z55" s="1" t="n">
        <v>289</v>
      </c>
      <c r="AA55" s="1" t="n">
        <v>289</v>
      </c>
      <c r="AB55" s="1" t="n">
        <v>289</v>
      </c>
      <c r="AC55" s="1" t="n">
        <v>289</v>
      </c>
      <c r="AD55" s="1" t="n">
        <v>299.12</v>
      </c>
      <c r="AE55" s="1" t="n">
        <v>299.12</v>
      </c>
      <c r="AF55" s="1" t="n">
        <v>299.12</v>
      </c>
      <c r="AG55" s="1" t="n">
        <v>299.12</v>
      </c>
      <c r="AH55" s="1" t="n">
        <v>299.12</v>
      </c>
      <c r="AI55" s="1" t="n">
        <v>299.12</v>
      </c>
      <c r="AJ55" s="1" t="n">
        <v>299.12</v>
      </c>
      <c r="AK55" s="1" t="n">
        <v>299.12</v>
      </c>
      <c r="AL55" s="1" t="n">
        <v>299.12</v>
      </c>
      <c r="AM55" s="1" t="n">
        <v>299.12</v>
      </c>
    </row>
    <row r="56">
      <c r="B56" s="8" t="n">
        <v>53</v>
      </c>
      <c r="C56" s="1" t="n">
        <v>219</v>
      </c>
      <c r="D56" s="1" t="n">
        <v>219</v>
      </c>
      <c r="E56" s="1" t="n">
        <v>219</v>
      </c>
      <c r="F56" s="1" t="n">
        <v>219</v>
      </c>
      <c r="G56" s="1" t="n">
        <v>219</v>
      </c>
      <c r="H56" s="1" t="n">
        <v>219</v>
      </c>
      <c r="I56" s="1" t="n">
        <v>219</v>
      </c>
      <c r="J56" s="1" t="n">
        <v>219</v>
      </c>
      <c r="K56" s="1" t="n">
        <v>219</v>
      </c>
      <c r="L56" s="1" t="n">
        <v>219</v>
      </c>
      <c r="M56" s="1" t="n">
        <v>219</v>
      </c>
      <c r="N56" s="1" t="n">
        <v>199</v>
      </c>
      <c r="O56" s="1" t="n">
        <v>219</v>
      </c>
      <c r="P56" s="1" t="n">
        <v>369</v>
      </c>
      <c r="Q56" s="1" t="n">
        <v>369</v>
      </c>
      <c r="R56" s="1" t="n">
        <v>369</v>
      </c>
      <c r="S56" s="1" t="n">
        <v>369</v>
      </c>
      <c r="T56" s="1" t="n">
        <v>369</v>
      </c>
      <c r="U56" s="1" t="n">
        <v>369</v>
      </c>
      <c r="V56" s="1" t="n">
        <v>369</v>
      </c>
      <c r="W56" s="1" t="n">
        <v>369</v>
      </c>
      <c r="X56" s="1" t="n">
        <v>369</v>
      </c>
      <c r="Y56" s="1" t="n">
        <v>369</v>
      </c>
      <c r="Z56" s="1" t="n">
        <v>369</v>
      </c>
      <c r="AA56" s="1" t="n">
        <v>369</v>
      </c>
      <c r="AB56" s="1" t="n">
        <v>369</v>
      </c>
      <c r="AC56" s="1" t="n">
        <v>369</v>
      </c>
      <c r="AD56" s="1" t="n">
        <v>381.22</v>
      </c>
      <c r="AE56" s="1" t="n">
        <v>381.22</v>
      </c>
      <c r="AF56" s="1" t="n">
        <v>381.22</v>
      </c>
      <c r="AG56" s="1" t="n">
        <v>381.22</v>
      </c>
      <c r="AH56" s="1" t="n">
        <v>381.22</v>
      </c>
      <c r="AI56" s="1" t="n">
        <v>381.22</v>
      </c>
      <c r="AJ56" s="1" t="n">
        <v>381.22</v>
      </c>
      <c r="AK56" s="1" t="n">
        <v>381.22</v>
      </c>
      <c r="AL56" s="1" t="n">
        <v>381.22</v>
      </c>
      <c r="AM56" s="1" t="n">
        <v>381.22</v>
      </c>
    </row>
    <row r="57">
      <c r="B57" s="8" t="n">
        <v>54</v>
      </c>
      <c r="C57" s="1" t="n">
        <v>179</v>
      </c>
      <c r="D57" s="1" t="n">
        <v>179</v>
      </c>
      <c r="E57" s="1" t="n">
        <v>179</v>
      </c>
      <c r="F57" s="1" t="n">
        <v>179</v>
      </c>
      <c r="G57" s="1" t="n">
        <v>179</v>
      </c>
      <c r="H57" s="1" t="n">
        <v>179</v>
      </c>
      <c r="I57" s="1" t="n">
        <v>179</v>
      </c>
      <c r="J57" s="1" t="n">
        <v>179</v>
      </c>
      <c r="K57" s="1" t="n">
        <v>179</v>
      </c>
      <c r="L57" s="1" t="n">
        <v>179</v>
      </c>
      <c r="M57" s="1" t="n">
        <v>179</v>
      </c>
      <c r="N57" s="1" t="n">
        <v>179</v>
      </c>
      <c r="O57" s="1" t="n">
        <v>179</v>
      </c>
      <c r="P57" s="1" t="n">
        <v>179</v>
      </c>
      <c r="Q57" s="1" t="n">
        <v>179</v>
      </c>
      <c r="R57" s="1" t="n">
        <v>179</v>
      </c>
      <c r="S57" s="1" t="n">
        <v>179</v>
      </c>
      <c r="T57" s="1" t="n">
        <v>179</v>
      </c>
      <c r="U57" s="1" t="n">
        <v>179</v>
      </c>
      <c r="V57" s="1" t="n">
        <v>179</v>
      </c>
      <c r="W57" s="1" t="n">
        <v>179</v>
      </c>
      <c r="X57" s="1" t="n">
        <v>179</v>
      </c>
      <c r="Y57" s="1" t="n">
        <v>179</v>
      </c>
      <c r="Z57" s="1" t="n">
        <v>179</v>
      </c>
      <c r="AA57" s="1" t="n">
        <v>179</v>
      </c>
      <c r="AB57" s="1" t="n">
        <v>179</v>
      </c>
      <c r="AC57" s="1" t="n">
        <v>179</v>
      </c>
      <c r="AD57" s="1" t="n">
        <v>179</v>
      </c>
      <c r="AE57" s="1" t="n">
        <v>179</v>
      </c>
      <c r="AF57" s="1" t="n">
        <v>179</v>
      </c>
      <c r="AG57" s="1" t="n">
        <v>179</v>
      </c>
      <c r="AH57" s="1" t="n">
        <v>179</v>
      </c>
      <c r="AI57" s="1" t="n">
        <v>179</v>
      </c>
      <c r="AJ57" s="1" t="n">
        <v>179</v>
      </c>
      <c r="AK57" s="1" t="n">
        <v>179</v>
      </c>
      <c r="AL57" s="1" t="n">
        <v>179</v>
      </c>
      <c r="AM57" s="1" t="n">
        <v>179</v>
      </c>
    </row>
    <row r="58">
      <c r="B58" s="8" t="n">
        <v>55</v>
      </c>
      <c r="C58" s="1" t="n">
        <v>101.85</v>
      </c>
      <c r="D58" s="1" t="n">
        <v>101.85</v>
      </c>
      <c r="E58" s="1" t="n">
        <v>99.51000000000001</v>
      </c>
      <c r="F58" s="1" t="n">
        <v>99.59999999999999</v>
      </c>
      <c r="G58" s="1" t="n">
        <v>100.35</v>
      </c>
      <c r="H58" s="1" t="n">
        <v>100.14</v>
      </c>
      <c r="I58" s="1" t="n">
        <v>100.2</v>
      </c>
      <c r="J58" s="1" t="n">
        <v>99</v>
      </c>
      <c r="K58" s="1" t="n">
        <v>99</v>
      </c>
      <c r="L58" s="1" t="n">
        <v>99</v>
      </c>
      <c r="M58" s="1" t="n">
        <v>99</v>
      </c>
      <c r="N58" s="1" t="n">
        <v>99</v>
      </c>
      <c r="O58" s="1" t="n">
        <v>99</v>
      </c>
      <c r="P58" s="1" t="n">
        <v>99</v>
      </c>
      <c r="Q58" s="1" t="n">
        <v>99</v>
      </c>
      <c r="R58" s="1" t="n">
        <v>99</v>
      </c>
      <c r="S58" s="1" t="n">
        <v>99</v>
      </c>
      <c r="T58" s="1" t="n">
        <v>99</v>
      </c>
      <c r="U58" s="1" t="n">
        <v>99</v>
      </c>
      <c r="V58" s="1" t="n">
        <v>99</v>
      </c>
      <c r="W58" s="1" t="n">
        <v>99</v>
      </c>
      <c r="X58" s="1" t="n">
        <v>99</v>
      </c>
      <c r="Y58" s="1" t="n">
        <v>99</v>
      </c>
      <c r="Z58" s="1" t="n">
        <v>99</v>
      </c>
      <c r="AA58" s="1" t="n">
        <v>99</v>
      </c>
      <c r="AB58" s="1" t="n">
        <v>99</v>
      </c>
      <c r="AC58" s="1" t="n">
        <v>99</v>
      </c>
      <c r="AD58" s="1" t="n">
        <v>99</v>
      </c>
      <c r="AE58" s="1" t="n">
        <v>99</v>
      </c>
      <c r="AF58" s="1" t="n">
        <v>99</v>
      </c>
      <c r="AG58" s="1" t="n">
        <v>99</v>
      </c>
      <c r="AH58" s="1" t="n">
        <v>99</v>
      </c>
      <c r="AI58" s="1" t="n">
        <v>99</v>
      </c>
      <c r="AJ58" s="1" t="n">
        <v>99</v>
      </c>
      <c r="AK58" s="1" t="n">
        <v>99</v>
      </c>
      <c r="AL58" s="1" t="n">
        <v>99</v>
      </c>
      <c r="AM58" s="1" t="n">
        <v>99</v>
      </c>
    </row>
    <row r="59">
      <c r="B59" s="8" t="n">
        <v>56</v>
      </c>
      <c r="C59" s="1" t="n">
        <v>269.1</v>
      </c>
      <c r="D59" s="1" t="n">
        <v>269.1</v>
      </c>
      <c r="E59" s="1" t="n">
        <v>269.1</v>
      </c>
      <c r="F59" s="1" t="n">
        <v>269.1</v>
      </c>
      <c r="G59" s="1" t="n">
        <v>269.1</v>
      </c>
      <c r="H59" s="1" t="n">
        <v>269.1</v>
      </c>
      <c r="I59" s="1" t="n">
        <v>269.1</v>
      </c>
      <c r="J59" s="1" t="n">
        <v>269.1</v>
      </c>
      <c r="K59" s="1" t="n">
        <v>269.1</v>
      </c>
      <c r="L59" s="1" t="n">
        <v>269.09</v>
      </c>
      <c r="M59" s="1" t="n">
        <v>269.09</v>
      </c>
      <c r="N59" s="1" t="n">
        <v>269.09</v>
      </c>
      <c r="O59" s="1" t="n">
        <v>269.09</v>
      </c>
      <c r="P59" s="1" t="n">
        <v>269.09</v>
      </c>
      <c r="Q59" s="1" t="n">
        <v>269.09</v>
      </c>
      <c r="R59" s="1" t="n">
        <v>269.09</v>
      </c>
      <c r="S59" s="1" t="n">
        <v>269.09</v>
      </c>
      <c r="T59" s="1" t="n">
        <v>269.09</v>
      </c>
      <c r="U59" s="1" t="n">
        <v>269.09</v>
      </c>
      <c r="V59" s="1" t="n">
        <v>269.09</v>
      </c>
      <c r="W59" s="1" t="n">
        <v>269.09</v>
      </c>
      <c r="X59" s="1" t="n">
        <v>269.09</v>
      </c>
      <c r="Y59" s="1" t="n">
        <v>269.09</v>
      </c>
      <c r="Z59" s="1" t="n">
        <v>269.09</v>
      </c>
      <c r="AA59" s="1" t="n">
        <v>269.09</v>
      </c>
      <c r="AB59" s="1" t="n">
        <v>269.09</v>
      </c>
      <c r="AC59" s="1" t="n">
        <v>269.09</v>
      </c>
      <c r="AD59" s="1" t="n">
        <v>278.5</v>
      </c>
      <c r="AE59" s="1" t="n">
        <v>278.5</v>
      </c>
      <c r="AF59" s="1" t="n">
        <v>278.5</v>
      </c>
      <c r="AG59" s="1" t="n">
        <v>278.5</v>
      </c>
      <c r="AH59" s="1" t="n">
        <v>278.5</v>
      </c>
      <c r="AI59" s="1" t="n">
        <v>278.5</v>
      </c>
      <c r="AJ59" s="1" t="n">
        <v>278.5</v>
      </c>
      <c r="AK59" s="1" t="n">
        <v>278.5</v>
      </c>
      <c r="AL59" s="1" t="n">
        <v>278.5</v>
      </c>
      <c r="AM59" s="1" t="n">
        <v>278.5</v>
      </c>
    </row>
    <row r="60">
      <c r="B60" s="8" t="n">
        <v>57</v>
      </c>
      <c r="C60" s="1" t="n">
        <v>109.3</v>
      </c>
      <c r="D60" s="1" t="n">
        <v>109.3</v>
      </c>
      <c r="E60" s="1" t="n">
        <v>109</v>
      </c>
      <c r="F60" s="1" t="n">
        <v>109</v>
      </c>
      <c r="G60" s="1" t="n">
        <v>109</v>
      </c>
      <c r="H60" s="1" t="n">
        <v>109</v>
      </c>
      <c r="I60" s="1" t="n">
        <v>109</v>
      </c>
      <c r="J60" s="1" t="n">
        <v>109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</row>
    <row r="61">
      <c r="B61" s="8" t="n">
        <v>58</v>
      </c>
      <c r="C61" s="1" t="n">
        <v>120.59</v>
      </c>
      <c r="D61" s="1" t="n">
        <v>120.59</v>
      </c>
      <c r="E61" s="1" t="n">
        <v>122.15</v>
      </c>
      <c r="F61" s="1" t="n">
        <v>118.59</v>
      </c>
      <c r="G61" s="1" t="n">
        <v>118.04</v>
      </c>
      <c r="H61" s="1" t="n">
        <v>113.34</v>
      </c>
      <c r="I61" s="1" t="n">
        <v>115.67</v>
      </c>
      <c r="J61" s="1" t="n">
        <v>109</v>
      </c>
      <c r="K61" s="1" t="n">
        <v>109</v>
      </c>
      <c r="L61" s="1" t="n">
        <v>109</v>
      </c>
      <c r="M61" s="1" t="n">
        <v>109</v>
      </c>
      <c r="N61" s="1" t="n">
        <v>109</v>
      </c>
      <c r="O61" s="1" t="n">
        <v>109</v>
      </c>
      <c r="P61" s="1" t="n">
        <v>109</v>
      </c>
      <c r="Q61" s="1" t="n">
        <v>109</v>
      </c>
      <c r="R61" s="1" t="n">
        <v>109</v>
      </c>
      <c r="S61" s="1" t="n">
        <v>109</v>
      </c>
      <c r="T61" s="1" t="n">
        <v>109</v>
      </c>
      <c r="U61" s="1" t="n">
        <v>109</v>
      </c>
      <c r="V61" s="1" t="n">
        <v>109</v>
      </c>
      <c r="W61" s="1" t="n">
        <v>109</v>
      </c>
      <c r="X61" s="1" t="n">
        <v>109</v>
      </c>
      <c r="Y61" s="1" t="n">
        <v>109</v>
      </c>
      <c r="Z61" s="1" t="n">
        <v>109</v>
      </c>
      <c r="AA61" s="1" t="n">
        <v>109</v>
      </c>
      <c r="AB61" s="1" t="n">
        <v>109</v>
      </c>
      <c r="AC61" s="1" t="n">
        <v>109</v>
      </c>
      <c r="AD61" s="1" t="n">
        <v>109</v>
      </c>
      <c r="AE61" s="1" t="n">
        <v>109</v>
      </c>
      <c r="AF61" s="1" t="n">
        <v>109</v>
      </c>
      <c r="AG61" s="1" t="n">
        <v>109</v>
      </c>
      <c r="AH61" s="1" t="n">
        <v>109</v>
      </c>
      <c r="AI61" s="1" t="n">
        <v>109</v>
      </c>
      <c r="AJ61" s="1" t="n">
        <v>109</v>
      </c>
      <c r="AK61" s="1" t="n">
        <v>109</v>
      </c>
      <c r="AL61" s="1" t="n">
        <v>109</v>
      </c>
      <c r="AM61" s="1" t="n">
        <v>109</v>
      </c>
    </row>
    <row r="62">
      <c r="B62" s="8" t="n">
        <v>59</v>
      </c>
      <c r="C62" s="1" t="n">
        <v>179</v>
      </c>
      <c r="D62" s="1" t="n">
        <v>179</v>
      </c>
      <c r="E62" s="1" t="n">
        <v>179</v>
      </c>
      <c r="F62" s="1" t="n">
        <v>179</v>
      </c>
      <c r="G62" s="1" t="n">
        <v>179</v>
      </c>
      <c r="H62" s="1" t="n">
        <v>179</v>
      </c>
      <c r="I62" s="1" t="n">
        <v>179</v>
      </c>
      <c r="J62" s="1" t="n">
        <v>179</v>
      </c>
      <c r="K62" s="1" t="n">
        <v>179</v>
      </c>
      <c r="L62" s="1" t="n">
        <v>179</v>
      </c>
      <c r="M62" s="1" t="n">
        <v>179</v>
      </c>
      <c r="N62" s="1" t="n">
        <v>179</v>
      </c>
      <c r="O62" s="1" t="n">
        <v>179</v>
      </c>
      <c r="P62" s="1" t="n">
        <v>179</v>
      </c>
      <c r="Q62" s="1" t="n">
        <v>179</v>
      </c>
      <c r="R62" s="1" t="n">
        <v>179</v>
      </c>
      <c r="S62" s="1" t="n">
        <v>179</v>
      </c>
      <c r="T62" s="1" t="n">
        <v>179</v>
      </c>
      <c r="U62" s="1" t="n">
        <v>179</v>
      </c>
      <c r="V62" s="1" t="n">
        <v>179</v>
      </c>
      <c r="W62" s="1" t="n">
        <v>179</v>
      </c>
      <c r="X62" s="1" t="n">
        <v>179</v>
      </c>
      <c r="Y62" s="1" t="n">
        <v>179</v>
      </c>
      <c r="Z62" s="1" t="n">
        <v>179</v>
      </c>
      <c r="AA62" s="1" t="n">
        <v>179</v>
      </c>
      <c r="AB62" s="1" t="n">
        <v>179</v>
      </c>
      <c r="AC62" s="1" t="n">
        <v>179</v>
      </c>
      <c r="AD62" s="1" t="n">
        <v>179</v>
      </c>
      <c r="AE62" s="1" t="n">
        <v>185.27</v>
      </c>
      <c r="AF62" s="1" t="n">
        <v>185.27</v>
      </c>
      <c r="AG62" s="1" t="n">
        <v>185.27</v>
      </c>
      <c r="AH62" s="1" t="n">
        <v>185.27</v>
      </c>
      <c r="AI62" s="1" t="n">
        <v>185.27</v>
      </c>
      <c r="AJ62" s="1" t="n">
        <v>185.27</v>
      </c>
      <c r="AK62" s="1" t="n">
        <v>185.27</v>
      </c>
      <c r="AL62" s="1" t="n">
        <v>185.27</v>
      </c>
      <c r="AM62" s="1" t="n">
        <v>185.27</v>
      </c>
    </row>
    <row r="63">
      <c r="B63" s="8" t="n">
        <v>60</v>
      </c>
      <c r="C63" s="1" t="n">
        <v>179</v>
      </c>
      <c r="D63" s="1" t="n">
        <v>179</v>
      </c>
      <c r="E63" s="1" t="n">
        <v>179</v>
      </c>
      <c r="F63" s="1" t="n">
        <v>179</v>
      </c>
      <c r="G63" s="1" t="n">
        <v>179</v>
      </c>
      <c r="H63" s="1" t="n">
        <v>179</v>
      </c>
      <c r="I63" s="1" t="n">
        <v>179</v>
      </c>
      <c r="J63" s="1" t="n">
        <v>179</v>
      </c>
      <c r="K63" s="1" t="n">
        <v>179</v>
      </c>
      <c r="L63" s="1" t="n">
        <v>179</v>
      </c>
      <c r="M63" s="1" t="n">
        <v>179</v>
      </c>
      <c r="N63" s="1" t="n">
        <v>179</v>
      </c>
      <c r="O63" s="1" t="n">
        <v>179</v>
      </c>
      <c r="P63" s="1" t="n">
        <v>179</v>
      </c>
      <c r="Q63" s="1" t="n">
        <v>179</v>
      </c>
      <c r="R63" s="1" t="n">
        <v>179</v>
      </c>
      <c r="S63" s="1" t="n">
        <v>179</v>
      </c>
      <c r="T63" s="1" t="n">
        <v>179</v>
      </c>
      <c r="U63" s="1" t="n">
        <v>179</v>
      </c>
      <c r="V63" s="1" t="n">
        <v>179</v>
      </c>
      <c r="W63" s="1" t="n">
        <v>179</v>
      </c>
      <c r="X63" s="1" t="n">
        <v>179</v>
      </c>
      <c r="Y63" s="1" t="n">
        <v>179</v>
      </c>
      <c r="Z63" s="1" t="n">
        <v>179</v>
      </c>
      <c r="AA63" s="1" t="n">
        <v>179</v>
      </c>
      <c r="AB63" s="1" t="n">
        <v>179</v>
      </c>
      <c r="AC63" s="1" t="n">
        <v>199</v>
      </c>
      <c r="AD63" s="1" t="n">
        <v>199</v>
      </c>
      <c r="AE63" s="1" t="n">
        <v>199</v>
      </c>
      <c r="AF63" s="1" t="n">
        <v>199</v>
      </c>
      <c r="AG63" s="1" t="n">
        <v>199</v>
      </c>
      <c r="AH63" s="1" t="n">
        <v>199</v>
      </c>
      <c r="AI63" s="1" t="n">
        <v>199</v>
      </c>
      <c r="AJ63" s="1" t="n">
        <v>199</v>
      </c>
      <c r="AK63" s="1" t="n">
        <v>199</v>
      </c>
      <c r="AL63" s="1" t="n">
        <v>199</v>
      </c>
      <c r="AM63" s="1" t="n">
        <v>199</v>
      </c>
    </row>
    <row r="64">
      <c r="B64" s="8" t="n">
        <v>61</v>
      </c>
      <c r="C64" s="1" t="n">
        <v>387</v>
      </c>
      <c r="D64" s="1" t="n">
        <v>387</v>
      </c>
      <c r="E64" s="1" t="n">
        <v>387</v>
      </c>
      <c r="F64" s="1" t="n">
        <v>387</v>
      </c>
      <c r="G64" s="1" t="n">
        <v>387</v>
      </c>
      <c r="H64" s="1" t="n">
        <v>387</v>
      </c>
      <c r="I64" s="1" t="n">
        <v>387</v>
      </c>
      <c r="J64" s="1" t="n">
        <v>387</v>
      </c>
      <c r="K64" s="1" t="n">
        <v>387</v>
      </c>
      <c r="L64" s="1" t="n">
        <v>387</v>
      </c>
      <c r="M64" s="1" t="n">
        <v>387</v>
      </c>
      <c r="N64" s="1" t="n">
        <v>387</v>
      </c>
      <c r="O64" s="1" t="n">
        <v>387</v>
      </c>
      <c r="P64" s="1" t="n">
        <v>387</v>
      </c>
      <c r="Q64" s="1" t="n">
        <v>387</v>
      </c>
      <c r="R64" s="1" t="n">
        <v>387</v>
      </c>
      <c r="S64" s="1" t="n">
        <v>387</v>
      </c>
      <c r="T64" s="1" t="n">
        <v>387</v>
      </c>
      <c r="U64" s="1" t="n">
        <v>387</v>
      </c>
      <c r="V64" s="1" t="n">
        <v>387</v>
      </c>
      <c r="W64" s="1" t="n">
        <v>387</v>
      </c>
      <c r="X64" s="1" t="n">
        <v>387</v>
      </c>
      <c r="Y64" s="1" t="n">
        <v>387</v>
      </c>
      <c r="Z64" s="1" t="n">
        <v>387</v>
      </c>
      <c r="AA64" s="1" t="n">
        <v>387</v>
      </c>
      <c r="AB64" s="1" t="n">
        <v>387</v>
      </c>
      <c r="AC64" s="1" t="n">
        <v>387</v>
      </c>
      <c r="AD64" s="1" t="n">
        <v>387</v>
      </c>
      <c r="AE64" s="1" t="n">
        <v>399.88</v>
      </c>
      <c r="AF64" s="1" t="n">
        <v>399.88</v>
      </c>
      <c r="AG64" s="1" t="n">
        <v>399.88</v>
      </c>
      <c r="AH64" s="1" t="n">
        <v>399.88</v>
      </c>
      <c r="AI64" s="1" t="n">
        <v>399.88</v>
      </c>
      <c r="AJ64" s="1" t="n">
        <v>399.88</v>
      </c>
      <c r="AK64" s="1" t="n">
        <v>399.88</v>
      </c>
      <c r="AL64" s="1" t="n">
        <v>399.88</v>
      </c>
      <c r="AM64" s="1" t="n">
        <v>399.88</v>
      </c>
    </row>
    <row r="65">
      <c r="B65" s="8" t="n">
        <v>62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361.22</v>
      </c>
      <c r="AH65" s="1" t="n">
        <v>361.22</v>
      </c>
      <c r="AI65" s="1" t="n">
        <v>361.22</v>
      </c>
      <c r="AJ65" s="1" t="n">
        <v>361.22</v>
      </c>
      <c r="AK65" s="1" t="n">
        <v>361.22</v>
      </c>
      <c r="AL65" s="1" t="n">
        <v>361.22</v>
      </c>
      <c r="AM65" s="1" t="n">
        <v>361.22</v>
      </c>
    </row>
    <row r="66">
      <c r="B66" s="8" t="n">
        <v>63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309.47</v>
      </c>
      <c r="AH66" s="1" t="n">
        <v>309.47</v>
      </c>
      <c r="AI66" s="1" t="n">
        <v>309.47</v>
      </c>
      <c r="AJ66" s="1" t="n">
        <v>309.47</v>
      </c>
      <c r="AK66" s="1" t="n">
        <v>309.47</v>
      </c>
      <c r="AL66" s="1" t="n">
        <v>309.47</v>
      </c>
      <c r="AM66" s="1" t="n">
        <v>309.47</v>
      </c>
    </row>
    <row r="67">
      <c r="B67" s="8" t="n">
        <v>64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309.47</v>
      </c>
      <c r="AH67" s="1" t="n">
        <v>309.47</v>
      </c>
      <c r="AI67" s="1" t="n">
        <v>309.47</v>
      </c>
      <c r="AJ67" s="1" t="n">
        <v>309.47</v>
      </c>
      <c r="AK67" s="1" t="n">
        <v>309.47</v>
      </c>
      <c r="AL67" s="1" t="n">
        <v>309.47</v>
      </c>
      <c r="AM67" s="1" t="n">
        <v>309.47</v>
      </c>
    </row>
    <row r="68">
      <c r="B68" s="8" t="n">
        <v>65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185.27</v>
      </c>
      <c r="AH68" s="1" t="n">
        <v>185.27</v>
      </c>
      <c r="AI68" s="1" t="n">
        <v>185.27</v>
      </c>
      <c r="AJ68" s="1" t="n">
        <v>185.27</v>
      </c>
      <c r="AK68" s="1" t="n">
        <v>185.27</v>
      </c>
      <c r="AL68" s="1" t="n">
        <v>185.27</v>
      </c>
      <c r="AM68" s="1" t="n">
        <v>185.27</v>
      </c>
    </row>
    <row r="69">
      <c r="B69" s="8" t="n">
        <v>66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</row>
    <row r="70">
      <c r="B70" s="8" t="n">
        <v>67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257.72</v>
      </c>
      <c r="AH70" s="1" t="n">
        <v>257.72</v>
      </c>
      <c r="AI70" s="1" t="n">
        <v>257.72</v>
      </c>
      <c r="AJ70" s="1" t="n">
        <v>257.72</v>
      </c>
      <c r="AK70" s="1" t="n">
        <v>257.72</v>
      </c>
      <c r="AL70" s="1" t="n">
        <v>257.72</v>
      </c>
      <c r="AM70" s="1" t="n">
        <v>257.72</v>
      </c>
    </row>
    <row r="71">
      <c r="B71" s="8" t="n">
        <v>68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361.22</v>
      </c>
      <c r="AH71" s="1" t="n">
        <v>361.22</v>
      </c>
      <c r="AI71" s="1" t="n">
        <v>361.22</v>
      </c>
      <c r="AJ71" s="1" t="n">
        <v>361.22</v>
      </c>
      <c r="AK71" s="1" t="n">
        <v>361.22</v>
      </c>
      <c r="AL71" s="1" t="n">
        <v>361.22</v>
      </c>
      <c r="AM71" s="1" t="n">
        <v>361.22</v>
      </c>
    </row>
    <row r="72">
      <c r="B72" s="8" t="n">
        <v>69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</row>
    <row r="73">
      <c r="B73" s="8" t="n">
        <v>70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185.27</v>
      </c>
      <c r="AH73" s="1" t="n">
        <v>185.27</v>
      </c>
      <c r="AI73" s="1" t="n">
        <v>185.27</v>
      </c>
      <c r="AJ73" s="1" t="n">
        <v>185.27</v>
      </c>
      <c r="AK73" s="1" t="n">
        <v>185.27</v>
      </c>
      <c r="AL73" s="1" t="n">
        <v>185.27</v>
      </c>
      <c r="AM73" s="1" t="n">
        <v>185.27</v>
      </c>
    </row>
    <row r="74">
      <c r="B74" s="8" t="n">
        <v>71</v>
      </c>
      <c r="C74" s="1" t="n">
        <v>299</v>
      </c>
      <c r="D74" s="1" t="n">
        <v>299</v>
      </c>
      <c r="E74" s="1" t="n">
        <v>299</v>
      </c>
      <c r="F74" s="1" t="n">
        <v>299</v>
      </c>
      <c r="G74" s="1" t="n">
        <v>299</v>
      </c>
      <c r="H74" s="1" t="n">
        <v>299</v>
      </c>
      <c r="I74" s="1" t="n">
        <v>299</v>
      </c>
      <c r="J74" s="1" t="n">
        <v>299</v>
      </c>
      <c r="K74" s="1" t="n">
        <v>299</v>
      </c>
      <c r="L74" s="1" t="n">
        <v>299</v>
      </c>
      <c r="M74" s="1" t="n">
        <v>299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</row>
    <row r="75">
      <c r="B75" s="8" t="n">
        <v>72</v>
      </c>
      <c r="C75" s="1" t="n">
        <v>288.15</v>
      </c>
      <c r="D75" s="1" t="n">
        <v>288.15</v>
      </c>
      <c r="E75" s="1" t="n">
        <v>288.15</v>
      </c>
      <c r="F75" s="1" t="n">
        <v>288.15</v>
      </c>
      <c r="G75" s="1" t="n">
        <v>288.15</v>
      </c>
      <c r="H75" s="1" t="n">
        <v>288.15</v>
      </c>
      <c r="I75" s="1" t="n">
        <v>288.15</v>
      </c>
      <c r="J75" s="1" t="n">
        <v>288.15</v>
      </c>
      <c r="K75" s="1" t="n">
        <v>288.15</v>
      </c>
      <c r="L75" s="1" t="n">
        <v>288.15</v>
      </c>
      <c r="M75" s="1" t="n">
        <v>288.15</v>
      </c>
      <c r="N75" s="1" t="n">
        <v>288.15</v>
      </c>
      <c r="O75" s="1" t="n">
        <v>288.15</v>
      </c>
      <c r="P75" s="1" t="n">
        <v>288.15</v>
      </c>
      <c r="Q75" s="1" t="n">
        <v>288.15</v>
      </c>
      <c r="R75" s="1" t="n">
        <v>288.15</v>
      </c>
      <c r="S75" s="1" t="n">
        <v>288.15</v>
      </c>
      <c r="T75" s="1" t="n">
        <v>288.15</v>
      </c>
      <c r="U75" s="1" t="n">
        <v>288.15</v>
      </c>
      <c r="V75" s="1" t="n">
        <v>288.15</v>
      </c>
      <c r="W75" s="1" t="n">
        <v>288.15</v>
      </c>
      <c r="X75" s="1" t="n">
        <v>288.15</v>
      </c>
      <c r="Y75" s="1" t="n">
        <v>288.15</v>
      </c>
      <c r="Z75" s="1" t="n">
        <v>288.15</v>
      </c>
      <c r="AA75" s="1" t="n">
        <v>288.15</v>
      </c>
      <c r="AB75" s="1" t="n">
        <v>288.15</v>
      </c>
      <c r="AC75" s="1" t="n">
        <v>288.15</v>
      </c>
      <c r="AD75" s="1" t="n">
        <v>288.15</v>
      </c>
      <c r="AE75" s="1" t="n">
        <v>288.15</v>
      </c>
      <c r="AF75" s="1" t="n">
        <v>288.15</v>
      </c>
      <c r="AG75" s="1" t="n">
        <v>288.15</v>
      </c>
      <c r="AH75" s="1" t="n">
        <v>288.15</v>
      </c>
      <c r="AI75" s="1" t="n">
        <v>288.15</v>
      </c>
      <c r="AJ75" s="1" t="n">
        <v>288.15</v>
      </c>
      <c r="AK75" s="1" t="n">
        <v>288.15</v>
      </c>
      <c r="AL75" s="1" t="n">
        <v>288.15</v>
      </c>
      <c r="AM75" s="1" t="n">
        <v>288.15</v>
      </c>
    </row>
    <row r="76">
      <c r="B76" s="8" t="n">
        <v>73</v>
      </c>
      <c r="C76" s="1" t="n">
        <v>195.67</v>
      </c>
      <c r="D76" s="1" t="n">
        <v>195.67</v>
      </c>
      <c r="E76" s="1" t="n">
        <v>195.67</v>
      </c>
      <c r="F76" s="1" t="n">
        <v>195.67</v>
      </c>
      <c r="G76" s="1" t="n">
        <v>195.67</v>
      </c>
      <c r="H76" s="1" t="n">
        <v>195.67</v>
      </c>
      <c r="I76" s="1" t="n">
        <v>195.67</v>
      </c>
      <c r="J76" s="1" t="n">
        <v>195.67</v>
      </c>
      <c r="K76" s="1" t="n">
        <v>195.67</v>
      </c>
      <c r="L76" s="1" t="n">
        <v>331.55</v>
      </c>
      <c r="M76" s="1" t="n">
        <v>331.55</v>
      </c>
      <c r="N76" s="1" t="n">
        <v>331.55</v>
      </c>
      <c r="O76" s="1" t="n">
        <v>331.55</v>
      </c>
      <c r="P76" s="1" t="n">
        <v>331.55</v>
      </c>
      <c r="Q76" s="1" t="n">
        <v>331.55</v>
      </c>
      <c r="R76" s="1" t="n">
        <v>331.55</v>
      </c>
      <c r="S76" s="1" t="n">
        <v>331.55</v>
      </c>
      <c r="T76" s="1" t="n">
        <v>331.55</v>
      </c>
      <c r="U76" s="1" t="n">
        <v>331.55</v>
      </c>
      <c r="V76" s="1" t="n">
        <v>331.55</v>
      </c>
      <c r="W76" s="1" t="n">
        <v>331.55</v>
      </c>
      <c r="X76" s="1" t="n">
        <v>331.55</v>
      </c>
      <c r="Y76" s="1" t="n">
        <v>331.55</v>
      </c>
      <c r="Z76" s="1" t="n">
        <v>331.55</v>
      </c>
      <c r="AA76" s="1" t="n">
        <v>331.55</v>
      </c>
      <c r="AB76" s="1" t="n">
        <v>331.55</v>
      </c>
      <c r="AC76" s="1" t="n">
        <v>331.55</v>
      </c>
      <c r="AD76" s="1" t="n">
        <v>331.55</v>
      </c>
      <c r="AE76" s="1" t="n">
        <v>331.55</v>
      </c>
      <c r="AF76" s="1" t="n">
        <v>331.55</v>
      </c>
      <c r="AG76" s="1" t="n">
        <v>343.16</v>
      </c>
      <c r="AH76" s="1" t="n">
        <v>343.16</v>
      </c>
      <c r="AI76" s="1" t="n">
        <v>343.16</v>
      </c>
      <c r="AJ76" s="1" t="n">
        <v>343.16</v>
      </c>
      <c r="AK76" s="1" t="n">
        <v>343.16</v>
      </c>
      <c r="AL76" s="1" t="n">
        <v>343.16</v>
      </c>
      <c r="AM76" s="1" t="n">
        <v>343.16</v>
      </c>
    </row>
    <row r="77">
      <c r="B77" s="8" t="n">
        <v>74</v>
      </c>
      <c r="C77" s="1" t="n">
        <v>111.61</v>
      </c>
      <c r="D77" s="1" t="n">
        <v>111.61</v>
      </c>
      <c r="E77" s="1" t="n">
        <v>112.81</v>
      </c>
      <c r="F77" s="1" t="n">
        <v>116.08</v>
      </c>
      <c r="G77" s="1" t="n">
        <v>115.18</v>
      </c>
      <c r="H77" s="1" t="n">
        <v>134.98</v>
      </c>
      <c r="I77" s="1" t="n">
        <v>135</v>
      </c>
      <c r="J77" s="1" t="n">
        <v>129</v>
      </c>
      <c r="K77" s="1" t="n">
        <v>129</v>
      </c>
      <c r="L77" s="1" t="n">
        <v>129</v>
      </c>
      <c r="M77" s="1" t="n">
        <v>129</v>
      </c>
      <c r="N77" s="1" t="n">
        <v>129</v>
      </c>
      <c r="O77" s="1" t="n">
        <v>129</v>
      </c>
      <c r="P77" s="1" t="n">
        <v>129</v>
      </c>
      <c r="Q77" s="1" t="n">
        <v>129</v>
      </c>
      <c r="R77" s="1" t="n">
        <v>129</v>
      </c>
      <c r="S77" s="1" t="n">
        <v>103.2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</row>
    <row r="78">
      <c r="B78" s="8" t="n">
        <v>75</v>
      </c>
      <c r="C78" s="1" t="n">
        <v>179</v>
      </c>
      <c r="D78" s="1" t="n">
        <v>179</v>
      </c>
      <c r="E78" s="1" t="n">
        <v>179</v>
      </c>
      <c r="F78" s="1" t="n">
        <v>179</v>
      </c>
      <c r="G78" s="1" t="n">
        <v>179</v>
      </c>
      <c r="H78" s="1" t="n">
        <v>179</v>
      </c>
      <c r="I78" s="1" t="n">
        <v>179</v>
      </c>
      <c r="J78" s="1" t="n">
        <v>179</v>
      </c>
      <c r="K78" s="1" t="n">
        <v>179</v>
      </c>
      <c r="L78" s="1" t="n">
        <v>179</v>
      </c>
      <c r="M78" s="1" t="n">
        <v>179</v>
      </c>
      <c r="N78" s="1" t="n">
        <v>179</v>
      </c>
      <c r="O78" s="1" t="n">
        <v>179</v>
      </c>
      <c r="P78" s="1" t="n">
        <v>179</v>
      </c>
      <c r="Q78" s="1" t="n">
        <v>179</v>
      </c>
      <c r="R78" s="1" t="n">
        <v>179</v>
      </c>
      <c r="S78" s="1" t="n">
        <v>179</v>
      </c>
      <c r="T78" s="1" t="n">
        <v>179</v>
      </c>
      <c r="U78" s="1" t="n">
        <v>179</v>
      </c>
      <c r="V78" s="1" t="n">
        <v>179</v>
      </c>
      <c r="W78" s="1" t="n">
        <v>179</v>
      </c>
      <c r="X78" s="1" t="n">
        <v>179</v>
      </c>
      <c r="Y78" s="1" t="n">
        <v>179</v>
      </c>
      <c r="Z78" s="1" t="n">
        <v>179</v>
      </c>
      <c r="AA78" s="1" t="n">
        <v>179</v>
      </c>
      <c r="AB78" s="1" t="n">
        <v>179</v>
      </c>
      <c r="AC78" s="1" t="n">
        <v>179</v>
      </c>
      <c r="AD78" s="1" t="n">
        <v>179</v>
      </c>
      <c r="AE78" s="1" t="n">
        <v>179</v>
      </c>
      <c r="AF78" s="1" t="n">
        <v>185.27</v>
      </c>
      <c r="AG78" s="1" t="n">
        <v>185.27</v>
      </c>
      <c r="AH78" s="1" t="n">
        <v>185.27</v>
      </c>
      <c r="AI78" s="1" t="n">
        <v>185.27</v>
      </c>
      <c r="AJ78" s="1" t="n">
        <v>185.27</v>
      </c>
      <c r="AK78" s="1" t="n">
        <v>185.27</v>
      </c>
      <c r="AL78" s="1" t="n">
        <v>185.27</v>
      </c>
      <c r="AM78" s="1" t="n">
        <v>185.27</v>
      </c>
    </row>
    <row r="79">
      <c r="B79" s="8" t="n">
        <v>76</v>
      </c>
      <c r="C79" s="1" t="n">
        <v>323.1</v>
      </c>
      <c r="D79" s="1" t="n">
        <v>323.1</v>
      </c>
      <c r="E79" s="1" t="n">
        <v>323.1</v>
      </c>
      <c r="F79" s="1" t="n">
        <v>323.1</v>
      </c>
      <c r="G79" s="1" t="n">
        <v>352.18</v>
      </c>
      <c r="H79" s="1" t="n">
        <v>294.02</v>
      </c>
      <c r="I79" s="1" t="n">
        <v>323.1</v>
      </c>
      <c r="J79" s="1" t="n">
        <v>323.1</v>
      </c>
      <c r="K79" s="1" t="n">
        <v>323.1</v>
      </c>
      <c r="L79" s="1" t="n">
        <v>323.1</v>
      </c>
      <c r="M79" s="1" t="n">
        <v>326.69</v>
      </c>
      <c r="N79" s="1" t="n">
        <v>326.69</v>
      </c>
      <c r="O79" s="1" t="n">
        <v>326.69</v>
      </c>
      <c r="P79" s="1" t="n">
        <v>326.69</v>
      </c>
      <c r="Q79" s="1" t="n">
        <v>337.46</v>
      </c>
      <c r="R79" s="1" t="n">
        <v>337.46</v>
      </c>
      <c r="S79" s="1" t="n">
        <v>337.46</v>
      </c>
      <c r="T79" s="1" t="n">
        <v>337.46</v>
      </c>
      <c r="U79" s="1" t="n">
        <v>337.46</v>
      </c>
      <c r="V79" s="1" t="n">
        <v>337.46</v>
      </c>
      <c r="W79" s="1" t="n">
        <v>337.46</v>
      </c>
      <c r="X79" s="1" t="n">
        <v>337.46</v>
      </c>
      <c r="Y79" s="1" t="n">
        <v>337.46</v>
      </c>
      <c r="Z79" s="1" t="n">
        <v>337.46</v>
      </c>
      <c r="AA79" s="1" t="n">
        <v>337.46</v>
      </c>
      <c r="AB79" s="1" t="n">
        <v>337.46</v>
      </c>
      <c r="AC79" s="1" t="n">
        <v>337.46</v>
      </c>
      <c r="AD79" s="1" t="n">
        <v>337.46</v>
      </c>
      <c r="AE79" s="1" t="n">
        <v>337.46</v>
      </c>
      <c r="AF79" s="1" t="n">
        <v>349.28</v>
      </c>
      <c r="AG79" s="1" t="n">
        <v>349.28</v>
      </c>
      <c r="AH79" s="1" t="n">
        <v>349.28</v>
      </c>
      <c r="AI79" s="1" t="n">
        <v>349.28</v>
      </c>
      <c r="AJ79" s="1" t="n">
        <v>349.28</v>
      </c>
      <c r="AK79" s="1" t="n">
        <v>349.28</v>
      </c>
      <c r="AL79" s="1" t="n">
        <v>349.28</v>
      </c>
      <c r="AM79" s="1" t="n">
        <v>349.28</v>
      </c>
    </row>
    <row r="80">
      <c r="B80" s="8" t="n">
        <v>77</v>
      </c>
      <c r="C80" s="1" t="n">
        <v>288.15</v>
      </c>
      <c r="D80" s="1" t="n">
        <v>288.15</v>
      </c>
      <c r="E80" s="1" t="n">
        <v>288.15</v>
      </c>
      <c r="F80" s="1" t="n">
        <v>288.15</v>
      </c>
      <c r="G80" s="1" t="n">
        <v>288.15</v>
      </c>
      <c r="H80" s="1" t="n">
        <v>288.15</v>
      </c>
      <c r="I80" s="1" t="n">
        <v>288.15</v>
      </c>
      <c r="J80" s="1" t="n">
        <v>288.15</v>
      </c>
      <c r="K80" s="1" t="n">
        <v>288.15</v>
      </c>
      <c r="L80" s="1" t="n">
        <v>288.15</v>
      </c>
      <c r="M80" s="1" t="n">
        <v>288.15</v>
      </c>
      <c r="N80" s="1" t="n">
        <v>288.15</v>
      </c>
      <c r="O80" s="1" t="n">
        <v>288.15</v>
      </c>
      <c r="P80" s="1" t="n">
        <v>288.15</v>
      </c>
      <c r="Q80" s="1" t="n">
        <v>288.15</v>
      </c>
      <c r="R80" s="1" t="n">
        <v>288.15</v>
      </c>
      <c r="S80" s="1" t="n">
        <v>288.15</v>
      </c>
      <c r="T80" s="1" t="n">
        <v>288.15</v>
      </c>
      <c r="U80" s="1" t="n">
        <v>288.15</v>
      </c>
      <c r="V80" s="1" t="n">
        <v>288.15</v>
      </c>
      <c r="W80" s="1" t="n">
        <v>288.15</v>
      </c>
      <c r="X80" s="1" t="n">
        <v>288.15</v>
      </c>
      <c r="Y80" s="1" t="n">
        <v>288.15</v>
      </c>
      <c r="Z80" s="1" t="n">
        <v>288.15</v>
      </c>
      <c r="AA80" s="1" t="n">
        <v>288.15</v>
      </c>
      <c r="AB80" s="1" t="n">
        <v>288.15</v>
      </c>
      <c r="AC80" s="1" t="n">
        <v>288.15</v>
      </c>
      <c r="AD80" s="1" t="n">
        <v>288.15</v>
      </c>
      <c r="AE80" s="1" t="n">
        <v>288.15</v>
      </c>
      <c r="AF80" s="1" t="n">
        <v>288.15</v>
      </c>
      <c r="AG80" s="1" t="n">
        <v>288.15</v>
      </c>
      <c r="AH80" s="1" t="n">
        <v>288.15</v>
      </c>
      <c r="AI80" s="1" t="n">
        <v>288.15</v>
      </c>
      <c r="AJ80" s="1" t="n">
        <v>288.15</v>
      </c>
      <c r="AK80" s="1" t="n">
        <v>288.15</v>
      </c>
      <c r="AL80" s="1" t="n">
        <v>288.15</v>
      </c>
      <c r="AM80" s="1" t="n">
        <v>288.15</v>
      </c>
    </row>
    <row r="81">
      <c r="B81" s="8" t="n">
        <v>78</v>
      </c>
      <c r="C81" s="1" t="n">
        <v>219</v>
      </c>
      <c r="D81" s="1" t="n">
        <v>219</v>
      </c>
      <c r="E81" s="1" t="n">
        <v>219</v>
      </c>
      <c r="F81" s="1" t="n">
        <v>219</v>
      </c>
      <c r="G81" s="1" t="n">
        <v>219</v>
      </c>
      <c r="H81" s="1" t="n">
        <v>219</v>
      </c>
      <c r="I81" s="1" t="n">
        <v>219</v>
      </c>
      <c r="J81" s="1" t="n">
        <v>219</v>
      </c>
      <c r="K81" s="1" t="n">
        <v>219</v>
      </c>
      <c r="L81" s="1" t="n">
        <v>219</v>
      </c>
      <c r="M81" s="1" t="n">
        <v>219</v>
      </c>
      <c r="N81" s="1" t="n">
        <v>219</v>
      </c>
      <c r="O81" s="1" t="n">
        <v>219</v>
      </c>
      <c r="P81" s="1" t="n">
        <v>219</v>
      </c>
      <c r="Q81" s="1" t="n">
        <v>219</v>
      </c>
      <c r="R81" s="1" t="n">
        <v>179</v>
      </c>
      <c r="S81" s="1" t="n">
        <v>179</v>
      </c>
      <c r="T81" s="1" t="n">
        <v>179</v>
      </c>
      <c r="U81" s="1" t="n">
        <v>179</v>
      </c>
      <c r="V81" s="1" t="n">
        <v>179</v>
      </c>
      <c r="W81" s="1" t="n">
        <v>179</v>
      </c>
      <c r="X81" s="1" t="n">
        <v>179</v>
      </c>
      <c r="Y81" s="1" t="n">
        <v>179</v>
      </c>
      <c r="Z81" s="1" t="n">
        <v>179</v>
      </c>
      <c r="AA81" s="1" t="n">
        <v>179</v>
      </c>
      <c r="AB81" s="1" t="n">
        <v>179</v>
      </c>
      <c r="AC81" s="1" t="n">
        <v>179</v>
      </c>
      <c r="AD81" s="1" t="n">
        <v>179</v>
      </c>
      <c r="AE81" s="1" t="n">
        <v>179</v>
      </c>
      <c r="AF81" s="1" t="n">
        <v>185.27</v>
      </c>
      <c r="AG81" s="1" t="n">
        <v>185.27</v>
      </c>
      <c r="AH81" s="1" t="n">
        <v>185.27</v>
      </c>
      <c r="AI81" s="1" t="n">
        <v>185.27</v>
      </c>
      <c r="AJ81" s="1" t="n">
        <v>185.27</v>
      </c>
      <c r="AK81" s="1" t="n">
        <v>185.27</v>
      </c>
      <c r="AL81" s="1" t="n">
        <v>185.27</v>
      </c>
      <c r="AM81" s="1" t="n">
        <v>185.27</v>
      </c>
    </row>
    <row r="82">
      <c r="B82" s="8" t="n">
        <v>79</v>
      </c>
      <c r="C82" s="1" t="n">
        <v>254.15</v>
      </c>
      <c r="D82" s="1" t="n">
        <v>254.15</v>
      </c>
      <c r="E82" s="1" t="n">
        <v>254.15</v>
      </c>
      <c r="F82" s="1" t="n">
        <v>254.15</v>
      </c>
      <c r="G82" s="1" t="n">
        <v>254.15</v>
      </c>
      <c r="H82" s="1" t="n">
        <v>254.15</v>
      </c>
      <c r="I82" s="1" t="n">
        <v>254.15</v>
      </c>
      <c r="J82" s="1" t="n">
        <v>254.15</v>
      </c>
      <c r="K82" s="1" t="n">
        <v>254.15</v>
      </c>
      <c r="L82" s="1" t="n">
        <v>254.15</v>
      </c>
      <c r="M82" s="1" t="n">
        <v>254.15</v>
      </c>
      <c r="N82" s="1" t="n">
        <v>254.15</v>
      </c>
      <c r="O82" s="1" t="n">
        <v>254.15</v>
      </c>
      <c r="P82" s="1" t="n">
        <v>254.15</v>
      </c>
      <c r="Q82" s="1" t="n">
        <v>254.15</v>
      </c>
      <c r="R82" s="1" t="n">
        <v>254.15</v>
      </c>
      <c r="S82" s="1" t="n">
        <v>254.15</v>
      </c>
      <c r="T82" s="1" t="n">
        <v>254.15</v>
      </c>
      <c r="U82" s="1" t="n">
        <v>254.15</v>
      </c>
      <c r="V82" s="1" t="n">
        <v>254.15</v>
      </c>
      <c r="W82" s="1" t="n">
        <v>254.15</v>
      </c>
      <c r="X82" s="1" t="n">
        <v>254.15</v>
      </c>
      <c r="Y82" s="1" t="n">
        <v>254.15</v>
      </c>
      <c r="Z82" s="1" t="n">
        <v>254.15</v>
      </c>
      <c r="AA82" s="1" t="n">
        <v>254.15</v>
      </c>
      <c r="AB82" s="1" t="n">
        <v>254.15</v>
      </c>
      <c r="AC82" s="1" t="n">
        <v>254.15</v>
      </c>
      <c r="AD82" s="1" t="n">
        <v>254.15</v>
      </c>
      <c r="AE82" s="1" t="n">
        <v>254.15</v>
      </c>
      <c r="AF82" s="1" t="n">
        <v>254.15</v>
      </c>
      <c r="AG82" s="1" t="n">
        <v>254.15</v>
      </c>
      <c r="AH82" s="1" t="n">
        <v>254.15</v>
      </c>
      <c r="AI82" s="1" t="n">
        <v>254.15</v>
      </c>
      <c r="AJ82" s="1" t="n">
        <v>254.15</v>
      </c>
      <c r="AK82" s="1" t="n">
        <v>254.15</v>
      </c>
      <c r="AL82" s="1" t="n">
        <v>254.15</v>
      </c>
      <c r="AM82" s="1" t="n">
        <v>254.15</v>
      </c>
    </row>
    <row r="83">
      <c r="B83" s="8" t="n">
        <v>80</v>
      </c>
      <c r="C83" s="1" t="n">
        <v>179</v>
      </c>
      <c r="D83" s="1" t="n">
        <v>179</v>
      </c>
      <c r="E83" s="1" t="n">
        <v>179</v>
      </c>
      <c r="F83" s="1" t="n">
        <v>179</v>
      </c>
      <c r="G83" s="1" t="n">
        <v>179</v>
      </c>
      <c r="H83" s="1" t="n">
        <v>179</v>
      </c>
      <c r="I83" s="1" t="n">
        <v>179</v>
      </c>
      <c r="J83" s="1" t="n">
        <v>179</v>
      </c>
      <c r="K83" s="1" t="n">
        <v>179</v>
      </c>
      <c r="L83" s="1" t="n">
        <v>179</v>
      </c>
      <c r="M83" s="1" t="n">
        <v>179</v>
      </c>
      <c r="N83" s="1" t="n">
        <v>179</v>
      </c>
      <c r="O83" s="1" t="n">
        <v>179</v>
      </c>
      <c r="P83" s="1" t="n">
        <v>179</v>
      </c>
      <c r="Q83" s="1" t="n">
        <v>179</v>
      </c>
      <c r="R83" s="1" t="n">
        <v>179</v>
      </c>
      <c r="S83" s="1" t="n">
        <v>179</v>
      </c>
      <c r="T83" s="1" t="n">
        <v>179</v>
      </c>
      <c r="U83" s="1" t="n">
        <v>179</v>
      </c>
      <c r="V83" s="1" t="n">
        <v>179</v>
      </c>
      <c r="W83" s="1" t="n">
        <v>179</v>
      </c>
      <c r="X83" s="1" t="n">
        <v>179</v>
      </c>
      <c r="Y83" s="1" t="n">
        <v>199.55</v>
      </c>
      <c r="Z83" s="1" t="n">
        <v>185.27</v>
      </c>
      <c r="AA83" s="1" t="n">
        <v>185.27</v>
      </c>
      <c r="AB83" s="1" t="n">
        <v>185.27</v>
      </c>
      <c r="AC83" s="1" t="n">
        <v>185.27</v>
      </c>
      <c r="AD83" s="1" t="n">
        <v>185.27</v>
      </c>
      <c r="AE83" s="1" t="n">
        <v>185.27</v>
      </c>
      <c r="AF83" s="1" t="n">
        <v>185.27</v>
      </c>
      <c r="AG83" s="1" t="n">
        <v>185.27</v>
      </c>
      <c r="AH83" s="1" t="n">
        <v>185.27</v>
      </c>
      <c r="AI83" s="1" t="n">
        <v>185.27</v>
      </c>
      <c r="AJ83" s="1" t="n">
        <v>191.75</v>
      </c>
      <c r="AK83" s="1" t="n">
        <v>191.75</v>
      </c>
      <c r="AL83" s="1" t="n">
        <v>191.75</v>
      </c>
      <c r="AM83" s="1" t="n">
        <v>191.75</v>
      </c>
    </row>
    <row r="84">
      <c r="B84" s="8" t="n">
        <v>81</v>
      </c>
      <c r="C84" s="1" t="n">
        <v>199</v>
      </c>
      <c r="D84" s="1" t="n">
        <v>199</v>
      </c>
      <c r="E84" s="1" t="n">
        <v>149</v>
      </c>
      <c r="F84" s="1" t="n">
        <v>149</v>
      </c>
      <c r="G84" s="1" t="n">
        <v>149</v>
      </c>
      <c r="H84" s="1" t="n">
        <v>149</v>
      </c>
      <c r="I84" s="1" t="n">
        <v>149</v>
      </c>
      <c r="J84" s="1" t="n">
        <v>149</v>
      </c>
      <c r="K84" s="1" t="n">
        <v>149</v>
      </c>
      <c r="L84" s="1" t="n">
        <v>149</v>
      </c>
      <c r="M84" s="1" t="n">
        <v>149</v>
      </c>
      <c r="N84" s="1" t="n">
        <v>149</v>
      </c>
      <c r="O84" s="1" t="n">
        <v>149</v>
      </c>
      <c r="P84" s="1" t="n">
        <v>149</v>
      </c>
      <c r="Q84" s="1" t="n">
        <v>149</v>
      </c>
      <c r="R84" s="1" t="n">
        <v>149</v>
      </c>
      <c r="S84" s="1" t="n">
        <v>149</v>
      </c>
      <c r="T84" s="1" t="n">
        <v>149</v>
      </c>
      <c r="U84" s="1" t="n">
        <v>149</v>
      </c>
      <c r="V84" s="1" t="n">
        <v>149</v>
      </c>
      <c r="W84" s="1" t="n">
        <v>149</v>
      </c>
      <c r="X84" s="1" t="n">
        <v>149</v>
      </c>
      <c r="Y84" s="1" t="n">
        <v>149</v>
      </c>
      <c r="Z84" s="1" t="n">
        <v>149</v>
      </c>
      <c r="AA84" s="1" t="n">
        <v>149</v>
      </c>
      <c r="AB84" s="1" t="n">
        <v>149</v>
      </c>
      <c r="AC84" s="1" t="n">
        <v>149</v>
      </c>
      <c r="AD84" s="1" t="n">
        <v>149</v>
      </c>
      <c r="AE84" s="1" t="n">
        <v>149</v>
      </c>
      <c r="AF84" s="1" t="n">
        <v>149</v>
      </c>
      <c r="AG84" s="1" t="n">
        <v>154.22</v>
      </c>
      <c r="AH84" s="1" t="n">
        <v>154.22</v>
      </c>
      <c r="AI84" s="1" t="n">
        <v>154.22</v>
      </c>
      <c r="AJ84" s="1" t="n">
        <v>154.22</v>
      </c>
      <c r="AK84" s="1" t="n">
        <v>154.22</v>
      </c>
      <c r="AL84" s="1" t="n">
        <v>154.22</v>
      </c>
      <c r="AM84" s="1" t="n">
        <v>154.22</v>
      </c>
    </row>
    <row r="85">
      <c r="B85" s="8" t="n">
        <v>82</v>
      </c>
      <c r="C85" s="1" t="n">
        <v>279</v>
      </c>
      <c r="D85" s="1" t="n">
        <v>279</v>
      </c>
      <c r="E85" s="1" t="n">
        <v>279</v>
      </c>
      <c r="F85" s="1" t="n">
        <v>279</v>
      </c>
      <c r="G85" s="1" t="n">
        <v>279</v>
      </c>
      <c r="H85" s="1" t="n">
        <v>279</v>
      </c>
      <c r="I85" s="1" t="n">
        <v>279</v>
      </c>
      <c r="J85" s="1" t="n">
        <v>279</v>
      </c>
      <c r="K85" s="1" t="n">
        <v>279</v>
      </c>
      <c r="L85" s="1" t="n">
        <v>279</v>
      </c>
      <c r="M85" s="1" t="n">
        <v>279</v>
      </c>
      <c r="N85" s="1" t="n">
        <v>279</v>
      </c>
      <c r="O85" s="1" t="n">
        <v>279</v>
      </c>
      <c r="P85" s="1" t="n">
        <v>279</v>
      </c>
      <c r="Q85" s="1" t="n">
        <v>279</v>
      </c>
      <c r="R85" s="1" t="n">
        <v>279</v>
      </c>
      <c r="S85" s="1" t="n">
        <v>279</v>
      </c>
      <c r="T85" s="1" t="n">
        <v>279</v>
      </c>
      <c r="U85" s="1" t="n">
        <v>279</v>
      </c>
      <c r="V85" s="1" t="n">
        <v>279</v>
      </c>
      <c r="W85" s="1" t="n">
        <v>279</v>
      </c>
      <c r="X85" s="1" t="n">
        <v>279</v>
      </c>
      <c r="Y85" s="1" t="n">
        <v>279</v>
      </c>
      <c r="Z85" s="1" t="n">
        <v>279</v>
      </c>
      <c r="AA85" s="1" t="n">
        <v>279</v>
      </c>
      <c r="AB85" s="1" t="n">
        <v>279</v>
      </c>
      <c r="AC85" s="1" t="n">
        <v>279</v>
      </c>
      <c r="AD85" s="1" t="n">
        <v>279</v>
      </c>
      <c r="AE85" s="1" t="n">
        <v>279</v>
      </c>
      <c r="AF85" s="1" t="n">
        <v>279</v>
      </c>
      <c r="AG85" s="1" t="n">
        <v>288.77</v>
      </c>
      <c r="AH85" s="1" t="n">
        <v>288.77</v>
      </c>
      <c r="AI85" s="1" t="n">
        <v>288.77</v>
      </c>
      <c r="AJ85" s="1" t="n">
        <v>288.77</v>
      </c>
      <c r="AK85" s="1" t="n">
        <v>288.77</v>
      </c>
      <c r="AL85" s="1" t="n">
        <v>288.77</v>
      </c>
      <c r="AM85" s="1" t="n">
        <v>288.77</v>
      </c>
    </row>
    <row r="86">
      <c r="B86" s="8" t="n">
        <v>83</v>
      </c>
      <c r="C86" s="1" t="n">
        <v>132.87</v>
      </c>
      <c r="D86" s="1" t="n">
        <v>132.87</v>
      </c>
      <c r="E86" s="1" t="n">
        <v>138.31</v>
      </c>
      <c r="F86" s="1" t="n">
        <v>141.71</v>
      </c>
      <c r="G86" s="1" t="n">
        <v>139.16</v>
      </c>
      <c r="H86" s="1" t="n">
        <v>131.49</v>
      </c>
      <c r="I86" s="1" t="n">
        <v>140.33</v>
      </c>
      <c r="J86" s="1" t="n">
        <v>119</v>
      </c>
      <c r="K86" s="1" t="n">
        <v>119</v>
      </c>
      <c r="L86" s="1" t="n">
        <v>119</v>
      </c>
      <c r="M86" s="1" t="n">
        <v>119</v>
      </c>
      <c r="N86" s="1" t="n">
        <v>119</v>
      </c>
      <c r="O86" s="1" t="n">
        <v>119</v>
      </c>
      <c r="P86" s="1" t="n">
        <v>119</v>
      </c>
      <c r="Q86" s="1" t="n">
        <v>119</v>
      </c>
      <c r="R86" s="1" t="n">
        <v>119</v>
      </c>
      <c r="S86" s="1" t="n">
        <v>119</v>
      </c>
      <c r="T86" s="1" t="n">
        <v>119</v>
      </c>
      <c r="U86" s="1" t="n">
        <v>119</v>
      </c>
      <c r="V86" s="1" t="n">
        <v>119</v>
      </c>
      <c r="W86" s="1" t="n">
        <v>119</v>
      </c>
      <c r="X86" s="1" t="n">
        <v>119</v>
      </c>
      <c r="Y86" s="1" t="n">
        <v>119</v>
      </c>
      <c r="Z86" s="1" t="n">
        <v>119</v>
      </c>
      <c r="AA86" s="1" t="n">
        <v>119</v>
      </c>
      <c r="AB86" s="1" t="n">
        <v>119</v>
      </c>
      <c r="AC86" s="1" t="n">
        <v>119</v>
      </c>
      <c r="AD86" s="1" t="n">
        <v>119</v>
      </c>
      <c r="AE86" s="1" t="n">
        <v>119</v>
      </c>
      <c r="AF86" s="1" t="n">
        <v>119</v>
      </c>
      <c r="AG86" s="1" t="n">
        <v>119</v>
      </c>
      <c r="AH86" s="1" t="n">
        <v>119</v>
      </c>
      <c r="AI86" s="1" t="n">
        <v>119</v>
      </c>
      <c r="AJ86" s="1" t="n">
        <v>119</v>
      </c>
      <c r="AK86" s="1" t="n">
        <v>119</v>
      </c>
      <c r="AL86" s="1" t="n">
        <v>119</v>
      </c>
      <c r="AM86" s="1" t="n">
        <v>119</v>
      </c>
    </row>
    <row r="87">
      <c r="B87" s="8" t="n">
        <v>84</v>
      </c>
      <c r="C87" s="1" t="n">
        <v>118.12</v>
      </c>
      <c r="D87" s="1" t="n">
        <v>118.12</v>
      </c>
      <c r="E87" s="1" t="n">
        <v>116.22</v>
      </c>
      <c r="F87" s="1" t="n">
        <v>113.52</v>
      </c>
      <c r="G87" s="1" t="n">
        <v>120.01</v>
      </c>
      <c r="H87" s="1" t="n">
        <v>117.67</v>
      </c>
      <c r="I87" s="1" t="n">
        <v>115.79</v>
      </c>
      <c r="J87" s="1" t="n">
        <v>109</v>
      </c>
      <c r="K87" s="1" t="n">
        <v>109</v>
      </c>
      <c r="L87" s="1" t="n">
        <v>109</v>
      </c>
      <c r="M87" s="1" t="n">
        <v>109</v>
      </c>
      <c r="N87" s="1" t="n">
        <v>109</v>
      </c>
      <c r="O87" s="1" t="n">
        <v>109</v>
      </c>
      <c r="P87" s="1" t="n">
        <v>109</v>
      </c>
      <c r="Q87" s="1" t="n">
        <v>109</v>
      </c>
      <c r="R87" s="1" t="n">
        <v>109</v>
      </c>
      <c r="S87" s="1" t="n">
        <v>109</v>
      </c>
      <c r="T87" s="1" t="n">
        <v>109</v>
      </c>
      <c r="U87" s="1" t="n">
        <v>109</v>
      </c>
      <c r="V87" s="1" t="n">
        <v>109</v>
      </c>
      <c r="W87" s="1" t="n">
        <v>109</v>
      </c>
      <c r="X87" s="1" t="n">
        <v>109</v>
      </c>
      <c r="Y87" s="1" t="n">
        <v>109</v>
      </c>
      <c r="Z87" s="1" t="n">
        <v>109</v>
      </c>
      <c r="AA87" s="1" t="n">
        <v>109</v>
      </c>
      <c r="AB87" s="1" t="n">
        <v>109</v>
      </c>
      <c r="AC87" s="1" t="n">
        <v>109</v>
      </c>
      <c r="AD87" s="1" t="n">
        <v>109</v>
      </c>
      <c r="AE87" s="1" t="n">
        <v>109</v>
      </c>
      <c r="AF87" s="1" t="n">
        <v>109</v>
      </c>
      <c r="AG87" s="1" t="n">
        <v>109</v>
      </c>
      <c r="AH87" s="1" t="n">
        <v>109</v>
      </c>
      <c r="AI87" s="1" t="n">
        <v>109</v>
      </c>
      <c r="AJ87" s="1" t="n">
        <v>109</v>
      </c>
      <c r="AK87" s="1" t="n">
        <v>109</v>
      </c>
      <c r="AL87" s="1" t="n">
        <v>109</v>
      </c>
      <c r="AM87" s="1" t="n">
        <v>109</v>
      </c>
    </row>
    <row r="88">
      <c r="B88" s="8" t="n">
        <v>85</v>
      </c>
      <c r="C88" s="1" t="n">
        <v>299</v>
      </c>
      <c r="D88" s="1" t="n">
        <v>299</v>
      </c>
      <c r="E88" s="1" t="n">
        <v>299</v>
      </c>
      <c r="F88" s="1" t="n">
        <v>299</v>
      </c>
      <c r="G88" s="1" t="n">
        <v>299</v>
      </c>
      <c r="H88" s="1" t="n">
        <v>299</v>
      </c>
      <c r="I88" s="1" t="n">
        <v>299</v>
      </c>
      <c r="J88" s="1" t="n">
        <v>299</v>
      </c>
      <c r="K88" s="1" t="n">
        <v>299</v>
      </c>
      <c r="L88" s="1" t="n">
        <v>299</v>
      </c>
      <c r="M88" s="1" t="n">
        <v>299</v>
      </c>
      <c r="N88" s="1" t="n">
        <v>299</v>
      </c>
      <c r="O88" s="1" t="n">
        <v>299</v>
      </c>
      <c r="P88" s="1" t="n">
        <v>299</v>
      </c>
      <c r="Q88" s="1" t="n">
        <v>299</v>
      </c>
      <c r="R88" s="1" t="n">
        <v>299</v>
      </c>
      <c r="S88" s="1" t="n">
        <v>299</v>
      </c>
      <c r="T88" s="1" t="n">
        <v>299</v>
      </c>
      <c r="U88" s="1" t="n">
        <v>299</v>
      </c>
      <c r="V88" s="1" t="n">
        <v>299</v>
      </c>
      <c r="W88" s="1" t="n">
        <v>299</v>
      </c>
      <c r="X88" s="1" t="n">
        <v>299</v>
      </c>
      <c r="Y88" s="1" t="n">
        <v>299</v>
      </c>
      <c r="Z88" s="1" t="n">
        <v>299</v>
      </c>
      <c r="AA88" s="1" t="n">
        <v>299</v>
      </c>
      <c r="AB88" s="1" t="n">
        <v>299</v>
      </c>
      <c r="AC88" s="1" t="n">
        <v>299</v>
      </c>
      <c r="AD88" s="1" t="n">
        <v>299</v>
      </c>
      <c r="AE88" s="1" t="n">
        <v>299</v>
      </c>
      <c r="AF88" s="1" t="n">
        <v>299</v>
      </c>
      <c r="AG88" s="1" t="n">
        <v>309.47</v>
      </c>
      <c r="AH88" s="1" t="n">
        <v>309.47</v>
      </c>
      <c r="AI88" s="1" t="n">
        <v>309.47</v>
      </c>
      <c r="AJ88" s="1" t="n">
        <v>309.47</v>
      </c>
      <c r="AK88" s="1" t="n">
        <v>309.47</v>
      </c>
      <c r="AL88" s="1" t="n">
        <v>309.47</v>
      </c>
      <c r="AM88" s="1" t="n">
        <v>309.47</v>
      </c>
    </row>
    <row r="89">
      <c r="B89" s="8" t="n">
        <v>86</v>
      </c>
      <c r="C89" s="1" t="n">
        <v>179</v>
      </c>
      <c r="D89" s="1" t="n">
        <v>179</v>
      </c>
      <c r="E89" s="1" t="n">
        <v>179</v>
      </c>
      <c r="F89" s="1" t="n">
        <v>179</v>
      </c>
      <c r="G89" s="1" t="n">
        <v>179</v>
      </c>
      <c r="H89" s="1" t="n">
        <v>179</v>
      </c>
      <c r="I89" s="1" t="n">
        <v>179</v>
      </c>
      <c r="J89" s="1" t="n">
        <v>179</v>
      </c>
      <c r="K89" s="1" t="n">
        <v>179</v>
      </c>
      <c r="L89" s="1" t="n">
        <v>179</v>
      </c>
      <c r="M89" s="1" t="n">
        <v>179</v>
      </c>
      <c r="N89" s="1" t="n">
        <v>179</v>
      </c>
      <c r="O89" s="1" t="n">
        <v>179</v>
      </c>
      <c r="P89" s="1" t="n">
        <v>179</v>
      </c>
      <c r="Q89" s="1" t="n">
        <v>179</v>
      </c>
      <c r="R89" s="1" t="n">
        <v>179</v>
      </c>
      <c r="S89" s="1" t="n">
        <v>179</v>
      </c>
      <c r="T89" s="1" t="n">
        <v>179</v>
      </c>
      <c r="U89" s="1" t="n">
        <v>179</v>
      </c>
      <c r="V89" s="1" t="n">
        <v>179</v>
      </c>
      <c r="W89" s="1" t="n">
        <v>179</v>
      </c>
      <c r="X89" s="1" t="n">
        <v>179</v>
      </c>
      <c r="Y89" s="1" t="n">
        <v>179</v>
      </c>
      <c r="Z89" s="1" t="n">
        <v>179</v>
      </c>
      <c r="AA89" s="1" t="n">
        <v>179</v>
      </c>
      <c r="AB89" s="1" t="n">
        <v>179</v>
      </c>
      <c r="AC89" s="1" t="n">
        <v>179</v>
      </c>
      <c r="AD89" s="1" t="n">
        <v>179</v>
      </c>
      <c r="AE89" s="1" t="n">
        <v>179</v>
      </c>
      <c r="AF89" s="1" t="n">
        <v>100</v>
      </c>
      <c r="AG89" s="1" t="n">
        <v>100</v>
      </c>
      <c r="AH89" s="1" t="n">
        <v>100</v>
      </c>
      <c r="AI89" s="1" t="n">
        <v>100</v>
      </c>
      <c r="AJ89" s="1" t="n">
        <v>100</v>
      </c>
      <c r="AK89" s="1" t="n">
        <v>100</v>
      </c>
      <c r="AL89" s="1" t="n">
        <v>100</v>
      </c>
      <c r="AM89" s="1" t="n">
        <v>100</v>
      </c>
    </row>
    <row r="90">
      <c r="B90" s="8" t="n">
        <v>87</v>
      </c>
      <c r="C90" s="1" t="n">
        <v>179</v>
      </c>
      <c r="D90" s="1" t="n">
        <v>179</v>
      </c>
      <c r="E90" s="1" t="n">
        <v>179</v>
      </c>
      <c r="F90" s="1" t="n">
        <v>179</v>
      </c>
      <c r="G90" s="1" t="n">
        <v>179</v>
      </c>
      <c r="H90" s="1" t="n">
        <v>179</v>
      </c>
      <c r="I90" s="1" t="n">
        <v>179</v>
      </c>
      <c r="J90" s="1" t="n">
        <v>179</v>
      </c>
      <c r="K90" s="1" t="n">
        <v>179</v>
      </c>
      <c r="L90" s="1" t="n">
        <v>179</v>
      </c>
      <c r="M90" s="1" t="n">
        <v>179</v>
      </c>
      <c r="N90" s="1" t="n">
        <v>179</v>
      </c>
      <c r="O90" s="1" t="n">
        <v>179</v>
      </c>
      <c r="P90" s="1" t="n">
        <v>179</v>
      </c>
      <c r="Q90" s="1" t="n">
        <v>179</v>
      </c>
      <c r="R90" s="1" t="n">
        <v>179</v>
      </c>
      <c r="S90" s="1" t="n">
        <v>179</v>
      </c>
      <c r="T90" s="1" t="n">
        <v>179</v>
      </c>
      <c r="U90" s="1" t="n">
        <v>179</v>
      </c>
      <c r="V90" s="1" t="n">
        <v>179</v>
      </c>
      <c r="W90" s="1" t="n">
        <v>179</v>
      </c>
      <c r="X90" s="1" t="n">
        <v>179</v>
      </c>
      <c r="Y90" s="1" t="n">
        <v>179</v>
      </c>
      <c r="Z90" s="1" t="n">
        <v>179</v>
      </c>
      <c r="AA90" s="1" t="n">
        <v>179</v>
      </c>
      <c r="AB90" s="1" t="n">
        <v>179</v>
      </c>
      <c r="AC90" s="1" t="n">
        <v>179</v>
      </c>
      <c r="AD90" s="1" t="n">
        <v>179</v>
      </c>
      <c r="AE90" s="1" t="n">
        <v>179</v>
      </c>
      <c r="AF90" s="1" t="n">
        <v>179</v>
      </c>
      <c r="AG90" s="1" t="n">
        <v>179</v>
      </c>
      <c r="AH90" s="1" t="n">
        <v>185.27</v>
      </c>
      <c r="AI90" s="1" t="n">
        <v>185.27</v>
      </c>
      <c r="AJ90" s="1" t="n">
        <v>185.27</v>
      </c>
      <c r="AK90" s="1" t="n">
        <v>185.27</v>
      </c>
      <c r="AL90" s="1" t="n">
        <v>185.27</v>
      </c>
      <c r="AM90" s="1" t="n">
        <v>185.27</v>
      </c>
    </row>
    <row r="91">
      <c r="B91" s="8" t="n">
        <v>88</v>
      </c>
      <c r="C91" s="1" t="n">
        <v>205.31</v>
      </c>
      <c r="D91" s="1" t="n">
        <v>205.31</v>
      </c>
      <c r="E91" s="1" t="n">
        <v>209.57</v>
      </c>
      <c r="F91" s="1" t="n">
        <v>232.46</v>
      </c>
      <c r="G91" s="1" t="n">
        <v>214.64</v>
      </c>
      <c r="H91" s="1" t="n">
        <v>204.11</v>
      </c>
      <c r="I91" s="1" t="n">
        <v>212.6</v>
      </c>
      <c r="J91" s="1" t="n">
        <v>179</v>
      </c>
      <c r="K91" s="1" t="n">
        <v>656.9300000000001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</row>
    <row r="92">
      <c r="B92" s="8" t="n">
        <v>89</v>
      </c>
      <c r="C92" s="1" t="n">
        <v>191.72</v>
      </c>
      <c r="D92" s="1" t="n">
        <v>191.72</v>
      </c>
      <c r="E92" s="1" t="n">
        <v>188.69</v>
      </c>
      <c r="F92" s="1" t="n">
        <v>195.56</v>
      </c>
      <c r="G92" s="1" t="n">
        <v>190.19</v>
      </c>
      <c r="H92" s="1" t="n">
        <v>187.19</v>
      </c>
      <c r="I92" s="1" t="n">
        <v>196.49</v>
      </c>
      <c r="J92" s="1" t="n">
        <v>179</v>
      </c>
      <c r="K92" s="1" t="n">
        <v>656.9300000000001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</row>
    <row r="93">
      <c r="B93" s="8" t="n">
        <v>90</v>
      </c>
      <c r="C93" s="1" t="n">
        <v>170.05</v>
      </c>
      <c r="D93" s="1" t="n">
        <v>170.05</v>
      </c>
      <c r="E93" s="1" t="n">
        <v>170.05</v>
      </c>
      <c r="F93" s="1" t="n">
        <v>170.05</v>
      </c>
      <c r="G93" s="1" t="n">
        <v>170.05</v>
      </c>
      <c r="H93" s="1" t="n">
        <v>170.05</v>
      </c>
      <c r="I93" s="1" t="n">
        <v>170.05</v>
      </c>
      <c r="J93" s="1" t="n">
        <v>170.05</v>
      </c>
      <c r="K93" s="1" t="n">
        <v>170.05</v>
      </c>
      <c r="L93" s="1" t="n">
        <v>170.05</v>
      </c>
      <c r="M93" s="1" t="n">
        <v>179</v>
      </c>
      <c r="N93" s="1" t="n">
        <v>179</v>
      </c>
      <c r="O93" s="1" t="n">
        <v>179</v>
      </c>
      <c r="P93" s="1" t="n">
        <v>179</v>
      </c>
      <c r="Q93" s="1" t="n">
        <v>179</v>
      </c>
      <c r="R93" s="1" t="n">
        <v>179</v>
      </c>
      <c r="S93" s="1" t="n">
        <v>179</v>
      </c>
      <c r="T93" s="1" t="n">
        <v>179</v>
      </c>
      <c r="U93" s="1" t="n">
        <v>179</v>
      </c>
      <c r="V93" s="1" t="n">
        <v>179</v>
      </c>
      <c r="W93" s="1" t="n">
        <v>179</v>
      </c>
      <c r="X93" s="1" t="n">
        <v>179</v>
      </c>
      <c r="Y93" s="1" t="n">
        <v>179</v>
      </c>
      <c r="Z93" s="1" t="n">
        <v>179</v>
      </c>
      <c r="AA93" s="1" t="n">
        <v>179</v>
      </c>
      <c r="AB93" s="1" t="n">
        <v>179</v>
      </c>
      <c r="AC93" s="1" t="n">
        <v>179</v>
      </c>
      <c r="AD93" s="1" t="n">
        <v>185.27</v>
      </c>
      <c r="AE93" s="1" t="n">
        <v>185.27</v>
      </c>
      <c r="AF93" s="1" t="n">
        <v>185.27</v>
      </c>
      <c r="AG93" s="1" t="n">
        <v>185.27</v>
      </c>
      <c r="AH93" s="1" t="n">
        <v>185.27</v>
      </c>
      <c r="AI93" s="1" t="n">
        <v>185.27</v>
      </c>
      <c r="AJ93" s="1" t="n">
        <v>185.27</v>
      </c>
      <c r="AK93" s="1" t="n">
        <v>191.75</v>
      </c>
      <c r="AL93" s="1" t="n">
        <v>191.75</v>
      </c>
      <c r="AM93" s="1" t="n">
        <v>191.75</v>
      </c>
    </row>
    <row r="94">
      <c r="B94" s="8" t="n">
        <v>91</v>
      </c>
      <c r="C94" s="1" t="n">
        <v>349</v>
      </c>
      <c r="D94" s="1" t="n">
        <v>349</v>
      </c>
      <c r="E94" s="1" t="n">
        <v>349</v>
      </c>
      <c r="F94" s="1" t="n">
        <v>349</v>
      </c>
      <c r="G94" s="1" t="n">
        <v>349</v>
      </c>
      <c r="H94" s="1" t="n">
        <v>349</v>
      </c>
      <c r="I94" s="1" t="n">
        <v>349</v>
      </c>
      <c r="J94" s="1" t="n">
        <v>349</v>
      </c>
      <c r="K94" s="1" t="n">
        <v>349</v>
      </c>
      <c r="L94" s="1" t="n">
        <v>349</v>
      </c>
      <c r="M94" s="1" t="n">
        <v>349</v>
      </c>
      <c r="N94" s="1" t="n">
        <v>349</v>
      </c>
      <c r="O94" s="1" t="n">
        <v>349</v>
      </c>
      <c r="P94" s="1" t="n">
        <v>349</v>
      </c>
      <c r="Q94" s="1" t="n">
        <v>349</v>
      </c>
      <c r="R94" s="1" t="n">
        <v>349</v>
      </c>
      <c r="S94" s="1" t="n">
        <v>349</v>
      </c>
      <c r="T94" s="1" t="n">
        <v>349</v>
      </c>
      <c r="U94" s="1" t="n">
        <v>349</v>
      </c>
      <c r="V94" s="1" t="n">
        <v>349</v>
      </c>
      <c r="W94" s="1" t="n">
        <v>349</v>
      </c>
      <c r="X94" s="1" t="n">
        <v>349</v>
      </c>
      <c r="Y94" s="1" t="n">
        <v>349</v>
      </c>
      <c r="Z94" s="1" t="n">
        <v>349</v>
      </c>
      <c r="AA94" s="1" t="n">
        <v>349</v>
      </c>
      <c r="AB94" s="1" t="n">
        <v>349</v>
      </c>
      <c r="AC94" s="1" t="n">
        <v>349</v>
      </c>
      <c r="AD94" s="1" t="n">
        <v>349</v>
      </c>
      <c r="AE94" s="1" t="n">
        <v>349</v>
      </c>
      <c r="AF94" s="1" t="n">
        <v>349</v>
      </c>
      <c r="AG94" s="1" t="n">
        <v>361.22</v>
      </c>
      <c r="AH94" s="1" t="n">
        <v>361.22</v>
      </c>
      <c r="AI94" s="1" t="n">
        <v>361.22</v>
      </c>
      <c r="AJ94" s="1" t="n">
        <v>361.22</v>
      </c>
      <c r="AK94" s="1" t="n">
        <v>361.22</v>
      </c>
      <c r="AL94" s="1" t="n">
        <v>361.22</v>
      </c>
      <c r="AM94" s="1" t="n">
        <v>361.22</v>
      </c>
    </row>
    <row r="95">
      <c r="B95" s="8" t="n">
        <v>92</v>
      </c>
      <c r="C95" s="1" t="n">
        <v>146.5</v>
      </c>
      <c r="D95" s="1" t="n">
        <v>146.5</v>
      </c>
      <c r="E95" s="1" t="n">
        <v>146.5</v>
      </c>
      <c r="F95" s="1" t="n">
        <v>146.5</v>
      </c>
      <c r="G95" s="1" t="n">
        <v>146.5</v>
      </c>
      <c r="H95" s="1" t="n">
        <v>146.5</v>
      </c>
      <c r="I95" s="1" t="n">
        <v>146.5</v>
      </c>
      <c r="J95" s="1" t="n">
        <v>146.5</v>
      </c>
      <c r="K95" s="1" t="n">
        <v>146.5</v>
      </c>
      <c r="L95" s="1" t="n">
        <v>227.05</v>
      </c>
      <c r="M95" s="1" t="n">
        <v>227.05</v>
      </c>
      <c r="N95" s="1" t="n">
        <v>227.05</v>
      </c>
      <c r="O95" s="1" t="n">
        <v>227.05</v>
      </c>
      <c r="P95" s="1" t="n">
        <v>227.05</v>
      </c>
      <c r="Q95" s="1" t="n">
        <v>227.05</v>
      </c>
      <c r="R95" s="1" t="n">
        <v>227.05</v>
      </c>
      <c r="S95" s="1" t="n">
        <v>227.05</v>
      </c>
      <c r="T95" s="1" t="n">
        <v>227.05</v>
      </c>
      <c r="U95" s="1" t="n">
        <v>227.05</v>
      </c>
      <c r="V95" s="1" t="n">
        <v>227.05</v>
      </c>
      <c r="W95" s="1" t="n">
        <v>227.05</v>
      </c>
      <c r="X95" s="1" t="n">
        <v>227.05</v>
      </c>
      <c r="Y95" s="1" t="n">
        <v>227.05</v>
      </c>
      <c r="Z95" s="1" t="n">
        <v>227.05</v>
      </c>
      <c r="AA95" s="1" t="n">
        <v>227.05</v>
      </c>
      <c r="AB95" s="1" t="n">
        <v>170.05</v>
      </c>
      <c r="AC95" s="1" t="n">
        <v>170.05</v>
      </c>
      <c r="AD95" s="1" t="n">
        <v>170.05</v>
      </c>
      <c r="AE95" s="1" t="n">
        <v>170.05</v>
      </c>
      <c r="AF95" s="1" t="n">
        <v>170.05</v>
      </c>
      <c r="AG95" s="1" t="n">
        <v>170.05</v>
      </c>
      <c r="AH95" s="1" t="n">
        <v>170.05</v>
      </c>
      <c r="AI95" s="1" t="n">
        <v>170.05</v>
      </c>
      <c r="AJ95" s="1" t="n">
        <v>170.05</v>
      </c>
      <c r="AK95" s="1" t="n">
        <v>170.05</v>
      </c>
      <c r="AL95" s="1" t="n">
        <v>170.05</v>
      </c>
      <c r="AM95" s="1" t="n">
        <v>170.05</v>
      </c>
    </row>
    <row r="96">
      <c r="B96" s="8" t="n">
        <v>93</v>
      </c>
      <c r="C96" s="1" t="n">
        <v>305.1</v>
      </c>
      <c r="D96" s="1" t="n">
        <v>305.1</v>
      </c>
      <c r="E96" s="1" t="n">
        <v>179</v>
      </c>
      <c r="F96" s="1" t="n">
        <v>179</v>
      </c>
      <c r="G96" s="1" t="n">
        <v>179</v>
      </c>
      <c r="H96" s="1" t="n">
        <v>179</v>
      </c>
      <c r="I96" s="1" t="n">
        <v>179</v>
      </c>
      <c r="J96" s="1" t="n">
        <v>179</v>
      </c>
      <c r="K96" s="1" t="n">
        <v>179</v>
      </c>
      <c r="L96" s="1" t="n">
        <v>179</v>
      </c>
      <c r="M96" s="1" t="n">
        <v>179</v>
      </c>
      <c r="N96" s="1" t="n">
        <v>179</v>
      </c>
      <c r="O96" s="1" t="n">
        <v>179</v>
      </c>
      <c r="P96" s="1" t="n">
        <v>179</v>
      </c>
      <c r="Q96" s="1" t="n">
        <v>179</v>
      </c>
      <c r="R96" s="1" t="n">
        <v>179</v>
      </c>
      <c r="S96" s="1" t="n">
        <v>179</v>
      </c>
      <c r="T96" s="1" t="n">
        <v>179</v>
      </c>
      <c r="U96" s="1" t="n">
        <v>179</v>
      </c>
      <c r="V96" s="1" t="n">
        <v>179</v>
      </c>
      <c r="W96" s="1" t="n">
        <v>179</v>
      </c>
      <c r="X96" s="1" t="n">
        <v>179</v>
      </c>
      <c r="Y96" s="1" t="n">
        <v>179</v>
      </c>
      <c r="Z96" s="1" t="n">
        <v>179</v>
      </c>
      <c r="AA96" s="1" t="n">
        <v>179</v>
      </c>
      <c r="AB96" s="1" t="n">
        <v>179</v>
      </c>
      <c r="AC96" s="1" t="n">
        <v>179</v>
      </c>
      <c r="AD96" s="1" t="n">
        <v>179</v>
      </c>
      <c r="AE96" s="1" t="n">
        <v>179</v>
      </c>
      <c r="AF96" s="1" t="n">
        <v>179</v>
      </c>
      <c r="AG96" s="1" t="n">
        <v>179</v>
      </c>
      <c r="AH96" s="1" t="n">
        <v>185.27</v>
      </c>
      <c r="AI96" s="1" t="n">
        <v>185.27</v>
      </c>
      <c r="AJ96" s="1" t="n">
        <v>185.27</v>
      </c>
      <c r="AK96" s="1" t="n">
        <v>185.27</v>
      </c>
      <c r="AL96" s="1" t="n">
        <v>185.27</v>
      </c>
      <c r="AM96" s="1" t="n">
        <v>185.27</v>
      </c>
    </row>
    <row r="97">
      <c r="B97" s="8" t="n">
        <v>94</v>
      </c>
      <c r="C97" s="1" t="n">
        <v>349</v>
      </c>
      <c r="D97" s="1" t="n">
        <v>349</v>
      </c>
      <c r="E97" s="1" t="n">
        <v>349</v>
      </c>
      <c r="F97" s="1" t="n">
        <v>349</v>
      </c>
      <c r="G97" s="1" t="n">
        <v>349</v>
      </c>
      <c r="H97" s="1" t="n">
        <v>349</v>
      </c>
      <c r="I97" s="1" t="n">
        <v>349</v>
      </c>
      <c r="J97" s="1" t="n">
        <v>349</v>
      </c>
      <c r="K97" s="1" t="n">
        <v>349</v>
      </c>
      <c r="L97" s="1" t="n">
        <v>349</v>
      </c>
      <c r="M97" s="1" t="n">
        <v>349</v>
      </c>
      <c r="N97" s="1" t="n">
        <v>349</v>
      </c>
      <c r="O97" s="1" t="n">
        <v>349</v>
      </c>
      <c r="P97" s="1" t="n">
        <v>349</v>
      </c>
      <c r="Q97" s="1" t="n">
        <v>349</v>
      </c>
      <c r="R97" s="1" t="n">
        <v>349</v>
      </c>
      <c r="S97" s="1" t="n">
        <v>349</v>
      </c>
      <c r="T97" s="1" t="n">
        <v>349</v>
      </c>
      <c r="U97" s="1" t="n">
        <v>349</v>
      </c>
      <c r="V97" s="1" t="n">
        <v>349</v>
      </c>
      <c r="W97" s="1" t="n">
        <v>349</v>
      </c>
      <c r="X97" s="1" t="n">
        <v>349</v>
      </c>
      <c r="Y97" s="1" t="n">
        <v>364.75</v>
      </c>
      <c r="Z97" s="1" t="n">
        <v>361.22</v>
      </c>
      <c r="AA97" s="1" t="n">
        <v>361.22</v>
      </c>
      <c r="AB97" s="1" t="n">
        <v>361.22</v>
      </c>
      <c r="AC97" s="1" t="n">
        <v>361.22</v>
      </c>
      <c r="AD97" s="1" t="n">
        <v>361.22</v>
      </c>
      <c r="AE97" s="1" t="n">
        <v>361.22</v>
      </c>
      <c r="AF97" s="1" t="n">
        <v>361.22</v>
      </c>
      <c r="AG97" s="1" t="n">
        <v>361.22</v>
      </c>
      <c r="AH97" s="1" t="n">
        <v>361.22</v>
      </c>
      <c r="AI97" s="1" t="n">
        <v>361.22</v>
      </c>
      <c r="AJ97" s="1" t="n">
        <v>373.86</v>
      </c>
      <c r="AK97" s="1" t="n">
        <v>373.86</v>
      </c>
      <c r="AL97" s="1" t="n">
        <v>373.86</v>
      </c>
      <c r="AM97" s="1" t="n">
        <v>373.86</v>
      </c>
    </row>
    <row r="98">
      <c r="B98" s="8" t="n">
        <v>95</v>
      </c>
      <c r="C98" s="1" t="n">
        <v>129</v>
      </c>
      <c r="D98" s="1" t="n">
        <v>129</v>
      </c>
      <c r="E98" s="1" t="n">
        <v>129</v>
      </c>
      <c r="F98" s="1" t="n">
        <v>129</v>
      </c>
      <c r="G98" s="1" t="n">
        <v>129</v>
      </c>
      <c r="H98" s="1" t="n">
        <v>129</v>
      </c>
      <c r="I98" s="1" t="n">
        <v>129</v>
      </c>
      <c r="J98" s="1" t="n">
        <v>129</v>
      </c>
      <c r="K98" s="1" t="n">
        <v>129</v>
      </c>
      <c r="L98" s="1" t="n">
        <v>129</v>
      </c>
      <c r="M98" s="1" t="n">
        <v>129</v>
      </c>
      <c r="N98" s="1" t="n">
        <v>129</v>
      </c>
      <c r="O98" s="1" t="n">
        <v>129</v>
      </c>
      <c r="P98" s="1" t="n">
        <v>129</v>
      </c>
      <c r="Q98" s="1" t="n">
        <v>129</v>
      </c>
      <c r="R98" s="1" t="n">
        <v>129</v>
      </c>
      <c r="S98" s="1" t="n">
        <v>129</v>
      </c>
      <c r="T98" s="1" t="n">
        <v>129</v>
      </c>
      <c r="U98" s="1" t="n">
        <v>129</v>
      </c>
      <c r="V98" s="1" t="n">
        <v>129</v>
      </c>
      <c r="W98" s="1" t="n">
        <v>129</v>
      </c>
      <c r="X98" s="1" t="n">
        <v>129</v>
      </c>
      <c r="Y98" s="1" t="n">
        <v>129</v>
      </c>
      <c r="Z98" s="1" t="n">
        <v>129</v>
      </c>
      <c r="AA98" s="1" t="n">
        <v>129</v>
      </c>
      <c r="AB98" s="1" t="n">
        <v>129</v>
      </c>
      <c r="AC98" s="1" t="n">
        <v>129</v>
      </c>
      <c r="AD98" s="1" t="n">
        <v>129</v>
      </c>
      <c r="AE98" s="1" t="n">
        <v>129</v>
      </c>
      <c r="AF98" s="1" t="n">
        <v>129</v>
      </c>
      <c r="AG98" s="1" t="n">
        <v>129</v>
      </c>
      <c r="AH98" s="1" t="n">
        <v>129</v>
      </c>
      <c r="AI98" s="1" t="n">
        <v>129</v>
      </c>
      <c r="AJ98" s="1" t="n">
        <v>129</v>
      </c>
      <c r="AK98" s="1" t="n">
        <v>129</v>
      </c>
      <c r="AL98" s="1" t="n">
        <v>129</v>
      </c>
      <c r="AM98" s="1" t="n">
        <v>129</v>
      </c>
    </row>
    <row r="99">
      <c r="B99" s="8" t="n">
        <v>96</v>
      </c>
      <c r="C99" s="1" t="n">
        <v>284.05</v>
      </c>
      <c r="D99" s="1" t="n">
        <v>284.05</v>
      </c>
      <c r="E99" s="1" t="n">
        <v>284.05</v>
      </c>
      <c r="F99" s="1" t="n">
        <v>284.05</v>
      </c>
      <c r="G99" s="1" t="n">
        <v>284.05</v>
      </c>
      <c r="H99" s="1" t="n">
        <v>284.05</v>
      </c>
      <c r="I99" s="1" t="n">
        <v>290.03</v>
      </c>
      <c r="J99" s="1" t="n">
        <v>290.03</v>
      </c>
      <c r="K99" s="1" t="n">
        <v>290.03</v>
      </c>
      <c r="L99" s="1" t="n">
        <v>290.03</v>
      </c>
      <c r="M99" s="1" t="n">
        <v>281.33</v>
      </c>
      <c r="N99" s="1" t="n">
        <v>281.33</v>
      </c>
      <c r="O99" s="1" t="n">
        <v>281.33</v>
      </c>
      <c r="P99" s="1" t="n">
        <v>281.33</v>
      </c>
      <c r="Q99" s="1" t="n">
        <v>281.33</v>
      </c>
      <c r="R99" s="1" t="n">
        <v>281.33</v>
      </c>
      <c r="S99" s="1" t="n">
        <v>281.33</v>
      </c>
      <c r="T99" s="1" t="n">
        <v>290.03</v>
      </c>
      <c r="U99" s="1" t="n">
        <v>290.03</v>
      </c>
      <c r="V99" s="1" t="n">
        <v>290.03</v>
      </c>
      <c r="W99" s="1" t="n">
        <v>290.03</v>
      </c>
      <c r="X99" s="1" t="n">
        <v>290.03</v>
      </c>
      <c r="Y99" s="1" t="n">
        <v>290.03</v>
      </c>
      <c r="Z99" s="1" t="n">
        <v>290.03</v>
      </c>
      <c r="AA99" s="1" t="n">
        <v>290.03</v>
      </c>
      <c r="AB99" s="1" t="n">
        <v>290.03</v>
      </c>
      <c r="AC99" s="1" t="n">
        <v>290.03</v>
      </c>
      <c r="AD99" s="1" t="n">
        <v>290.03</v>
      </c>
      <c r="AE99" s="1" t="n">
        <v>284.05</v>
      </c>
      <c r="AF99" s="1" t="n">
        <v>284.05</v>
      </c>
      <c r="AG99" s="1" t="n">
        <v>284.05</v>
      </c>
      <c r="AH99" s="1" t="n">
        <v>294</v>
      </c>
      <c r="AI99" s="1" t="n">
        <v>294</v>
      </c>
      <c r="AJ99" s="1" t="n">
        <v>294</v>
      </c>
      <c r="AK99" s="1" t="n">
        <v>294</v>
      </c>
      <c r="AL99" s="1" t="n">
        <v>294</v>
      </c>
      <c r="AM99" s="1" t="n">
        <v>294</v>
      </c>
    </row>
    <row r="100">
      <c r="B100" s="8" t="n">
        <v>97</v>
      </c>
      <c r="C100" s="1" t="n">
        <v>319</v>
      </c>
      <c r="D100" s="1" t="n">
        <v>319</v>
      </c>
      <c r="E100" s="1" t="n">
        <v>319</v>
      </c>
      <c r="F100" s="1" t="n">
        <v>319</v>
      </c>
      <c r="G100" s="1" t="n">
        <v>319</v>
      </c>
      <c r="H100" s="1" t="n">
        <v>319</v>
      </c>
      <c r="I100" s="1" t="n">
        <v>378</v>
      </c>
      <c r="J100" s="1" t="n">
        <v>279</v>
      </c>
      <c r="K100" s="1" t="n">
        <v>279</v>
      </c>
      <c r="L100" s="1" t="n">
        <v>279</v>
      </c>
      <c r="M100" s="1" t="n">
        <v>279</v>
      </c>
      <c r="N100" s="1" t="n">
        <v>279</v>
      </c>
      <c r="O100" s="1" t="n">
        <v>279</v>
      </c>
      <c r="P100" s="1" t="n">
        <v>279</v>
      </c>
      <c r="Q100" s="1" t="n">
        <v>279</v>
      </c>
      <c r="R100" s="1" t="n">
        <v>279</v>
      </c>
      <c r="S100" s="1" t="n">
        <v>279</v>
      </c>
      <c r="T100" s="1" t="n">
        <v>279</v>
      </c>
      <c r="U100" s="1" t="n">
        <v>279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</row>
    <row r="101">
      <c r="B101" s="8" t="n">
        <v>98</v>
      </c>
      <c r="C101" s="1" t="n">
        <v>299</v>
      </c>
      <c r="D101" s="1" t="n">
        <v>299</v>
      </c>
      <c r="E101" s="1" t="n">
        <v>299</v>
      </c>
      <c r="F101" s="1" t="n">
        <v>299</v>
      </c>
      <c r="G101" s="1" t="n">
        <v>299</v>
      </c>
      <c r="H101" s="1" t="n">
        <v>299</v>
      </c>
      <c r="I101" s="1" t="n">
        <v>299</v>
      </c>
      <c r="J101" s="1" t="n">
        <v>74.75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</row>
    <row r="102">
      <c r="B102" s="8" t="n">
        <v>99</v>
      </c>
      <c r="C102" s="1" t="n">
        <v>195.11</v>
      </c>
      <c r="D102" s="1" t="n">
        <v>195.11</v>
      </c>
      <c r="E102" s="1" t="n">
        <v>195.11</v>
      </c>
      <c r="F102" s="1" t="n">
        <v>195.11</v>
      </c>
      <c r="G102" s="1" t="n">
        <v>195.11</v>
      </c>
      <c r="H102" s="1" t="n">
        <v>195.11</v>
      </c>
      <c r="I102" s="1" t="n">
        <v>195.11</v>
      </c>
      <c r="J102" s="1" t="n">
        <v>195.11</v>
      </c>
      <c r="K102" s="1" t="n">
        <v>195.11</v>
      </c>
      <c r="L102" s="1" t="n">
        <v>195.11</v>
      </c>
      <c r="M102" s="1" t="n">
        <v>195.11</v>
      </c>
      <c r="N102" s="1" t="n">
        <v>195.11</v>
      </c>
      <c r="O102" s="1" t="n">
        <v>195.11</v>
      </c>
      <c r="P102" s="1" t="n">
        <v>195.11</v>
      </c>
      <c r="Q102" s="1" t="n">
        <v>195.11</v>
      </c>
      <c r="R102" s="1" t="n">
        <v>195.11</v>
      </c>
      <c r="S102" s="1" t="n">
        <v>195.11</v>
      </c>
      <c r="T102" s="1" t="n">
        <v>195.11</v>
      </c>
      <c r="U102" s="1" t="n">
        <v>195.11</v>
      </c>
      <c r="V102" s="1" t="n">
        <v>195.11</v>
      </c>
      <c r="W102" s="1" t="n">
        <v>195.11</v>
      </c>
      <c r="X102" s="1" t="n">
        <v>195.11</v>
      </c>
      <c r="Y102" s="1" t="n">
        <v>195.11</v>
      </c>
      <c r="Z102" s="1" t="n">
        <v>195.11</v>
      </c>
      <c r="AA102" s="1" t="n">
        <v>195.11</v>
      </c>
      <c r="AB102" s="1" t="n">
        <v>195.11</v>
      </c>
      <c r="AC102" s="1" t="n">
        <v>195.11</v>
      </c>
      <c r="AD102" s="1" t="n">
        <v>201.94</v>
      </c>
      <c r="AE102" s="1" t="n">
        <v>201.94</v>
      </c>
      <c r="AF102" s="1" t="n">
        <v>201.94</v>
      </c>
      <c r="AG102" s="1" t="n">
        <v>201.94</v>
      </c>
      <c r="AH102" s="1" t="n">
        <v>201.94</v>
      </c>
      <c r="AI102" s="1" t="n">
        <v>201.94</v>
      </c>
      <c r="AJ102" s="1" t="n">
        <v>201.94</v>
      </c>
      <c r="AK102" s="1" t="n">
        <v>201.94</v>
      </c>
      <c r="AL102" s="1" t="n">
        <v>201.94</v>
      </c>
      <c r="AM102" s="1" t="n">
        <v>201.94</v>
      </c>
    </row>
    <row r="103">
      <c r="B103" s="8" t="n">
        <v>100</v>
      </c>
      <c r="C103" s="1" t="n">
        <v>259</v>
      </c>
      <c r="D103" s="1" t="n">
        <v>259</v>
      </c>
      <c r="E103" s="1" t="n">
        <v>259</v>
      </c>
      <c r="F103" s="1" t="n">
        <v>259</v>
      </c>
      <c r="G103" s="1" t="n">
        <v>259</v>
      </c>
      <c r="H103" s="1" t="n">
        <v>259</v>
      </c>
      <c r="I103" s="1" t="n">
        <v>259</v>
      </c>
      <c r="J103" s="1" t="n">
        <v>259</v>
      </c>
      <c r="K103" s="1" t="n">
        <v>259</v>
      </c>
      <c r="L103" s="1" t="n">
        <v>259</v>
      </c>
      <c r="M103" s="1" t="n">
        <v>259</v>
      </c>
      <c r="N103" s="1" t="n">
        <v>259</v>
      </c>
      <c r="O103" s="1" t="n">
        <v>259</v>
      </c>
      <c r="P103" s="1" t="n">
        <v>259</v>
      </c>
      <c r="Q103" s="1" t="n">
        <v>259</v>
      </c>
      <c r="R103" s="1" t="n">
        <v>259</v>
      </c>
      <c r="S103" s="1" t="n">
        <v>259</v>
      </c>
      <c r="T103" s="1" t="n">
        <v>259</v>
      </c>
      <c r="U103" s="1" t="n">
        <v>259</v>
      </c>
      <c r="V103" s="1" t="n">
        <v>259</v>
      </c>
      <c r="W103" s="1" t="n">
        <v>259</v>
      </c>
      <c r="X103" s="1" t="n">
        <v>279</v>
      </c>
      <c r="Y103" s="1" t="n">
        <v>279</v>
      </c>
      <c r="Z103" s="1" t="n">
        <v>279</v>
      </c>
      <c r="AA103" s="1" t="n">
        <v>279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</row>
    <row r="104"/>
    <row r="105"/>
    <row r="106"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</row>
    <row r="107"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</row>
    <row r="108"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</row>
    <row r="109"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</row>
    <row r="110"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</row>
  </sheetData>
  <autoFilter ref="B3:AK10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</dc:creator>
  <dcterms:created xsi:type="dcterms:W3CDTF">2015-06-05T18:17:20Z</dcterms:created>
  <dcterms:modified xsi:type="dcterms:W3CDTF">2026-06-07T02:33:47Z</dcterms:modified>
  <cp:lastModifiedBy>Zavalny, Igor</cp:lastModifiedBy>
</cp:coreProperties>
</file>