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Quikirr\"/>
    </mc:Choice>
  </mc:AlternateContent>
  <xr:revisionPtr revIDLastSave="0" documentId="13_ncr:1_{650AA06B-0D5A-46BA-829A-A0A84411759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Annual Waterfall" sheetId="1" r:id="rId1"/>
    <sheet name="Quarterly Waterfall" sheetId="2" r:id="rId2"/>
    <sheet name="Top Customers" sheetId="3" r:id="rId3"/>
    <sheet name="Intermediate Calcs" sheetId="4" r:id="rId4"/>
    <sheet name="Original Data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8" i="4" l="1"/>
  <c r="M128" i="4"/>
  <c r="L128" i="4"/>
  <c r="K128" i="4"/>
  <c r="J128" i="4"/>
  <c r="I128" i="4"/>
  <c r="H128" i="4"/>
  <c r="G128" i="4"/>
  <c r="F128" i="4"/>
  <c r="E128" i="4"/>
  <c r="D128" i="4"/>
  <c r="C128" i="4"/>
  <c r="C25" i="2" s="1"/>
  <c r="B128" i="4"/>
  <c r="B25" i="2" s="1"/>
  <c r="N127" i="4"/>
  <c r="N24" i="2" s="1"/>
  <c r="N35" i="2" s="1"/>
  <c r="M127" i="4"/>
  <c r="L127" i="4"/>
  <c r="K127" i="4"/>
  <c r="K24" i="2" s="1"/>
  <c r="J127" i="4"/>
  <c r="J24" i="2" s="1"/>
  <c r="I127" i="4"/>
  <c r="H127" i="4"/>
  <c r="H24" i="2" s="1"/>
  <c r="G127" i="4"/>
  <c r="F127" i="4"/>
  <c r="E127" i="4"/>
  <c r="D127" i="4"/>
  <c r="C127" i="4"/>
  <c r="N126" i="4"/>
  <c r="M126" i="4"/>
  <c r="L126" i="4"/>
  <c r="K126" i="4"/>
  <c r="J126" i="4"/>
  <c r="I126" i="4"/>
  <c r="H126" i="4"/>
  <c r="G126" i="4"/>
  <c r="F126" i="4"/>
  <c r="E126" i="4"/>
  <c r="D126" i="4"/>
  <c r="C126" i="4"/>
  <c r="N125" i="4"/>
  <c r="M125" i="4"/>
  <c r="L125" i="4"/>
  <c r="L22" i="2" s="1"/>
  <c r="L29" i="2" s="1"/>
  <c r="K125" i="4"/>
  <c r="K22" i="2" s="1"/>
  <c r="J125" i="4"/>
  <c r="J22" i="2" s="1"/>
  <c r="J27" i="2" s="1"/>
  <c r="I125" i="4"/>
  <c r="H125" i="4"/>
  <c r="G125" i="4"/>
  <c r="G22" i="2" s="1"/>
  <c r="F125" i="4"/>
  <c r="F22" i="2" s="1"/>
  <c r="E125" i="4"/>
  <c r="D125" i="4"/>
  <c r="D22" i="2" s="1"/>
  <c r="C125" i="4"/>
  <c r="N123" i="4"/>
  <c r="M123" i="4"/>
  <c r="L123" i="4"/>
  <c r="K123" i="4"/>
  <c r="J123" i="4"/>
  <c r="I123" i="4"/>
  <c r="H123" i="4"/>
  <c r="G123" i="4"/>
  <c r="F123" i="4"/>
  <c r="E123" i="4"/>
  <c r="D123" i="4"/>
  <c r="C123" i="4"/>
  <c r="B123" i="4"/>
  <c r="N122" i="4"/>
  <c r="M122" i="4"/>
  <c r="L122" i="4"/>
  <c r="K122" i="4"/>
  <c r="J122" i="4"/>
  <c r="I122" i="4"/>
  <c r="H122" i="4"/>
  <c r="H7" i="2" s="1"/>
  <c r="K19" i="2" s="1"/>
  <c r="G122" i="4"/>
  <c r="G7" i="2" s="1"/>
  <c r="I19" i="2" s="1"/>
  <c r="F122" i="4"/>
  <c r="E122" i="4"/>
  <c r="D122" i="4"/>
  <c r="D7" i="2" s="1"/>
  <c r="D14" i="2" s="1"/>
  <c r="C122" i="4"/>
  <c r="C7" i="2" s="1"/>
  <c r="C14" i="2" s="1"/>
  <c r="N121" i="4"/>
  <c r="M121" i="4"/>
  <c r="M6" i="2" s="1"/>
  <c r="L121" i="4"/>
  <c r="K121" i="4"/>
  <c r="J121" i="4"/>
  <c r="I121" i="4"/>
  <c r="H121" i="4"/>
  <c r="G121" i="4"/>
  <c r="F121" i="4"/>
  <c r="E121" i="4"/>
  <c r="D121" i="4"/>
  <c r="C121" i="4"/>
  <c r="N120" i="4"/>
  <c r="M120" i="4"/>
  <c r="L120" i="4"/>
  <c r="K120" i="4"/>
  <c r="J120" i="4"/>
  <c r="I120" i="4"/>
  <c r="H120" i="4"/>
  <c r="G120" i="4"/>
  <c r="F120" i="4"/>
  <c r="E120" i="4"/>
  <c r="D120" i="4"/>
  <c r="D5" i="2" s="1"/>
  <c r="C120" i="4"/>
  <c r="C5" i="2" s="1"/>
  <c r="N119" i="4"/>
  <c r="M119" i="4"/>
  <c r="L119" i="4"/>
  <c r="L4" i="2" s="1"/>
  <c r="L13" i="2" s="1"/>
  <c r="K119" i="4"/>
  <c r="K4" i="2" s="1"/>
  <c r="J119" i="4"/>
  <c r="I119" i="4"/>
  <c r="I4" i="2" s="1"/>
  <c r="I13" i="2" s="1"/>
  <c r="H119" i="4"/>
  <c r="H4" i="2" s="1"/>
  <c r="H13" i="2" s="1"/>
  <c r="G119" i="4"/>
  <c r="F119" i="4"/>
  <c r="E119" i="4"/>
  <c r="D119" i="4"/>
  <c r="C119" i="4"/>
  <c r="N118" i="4"/>
  <c r="M118" i="4"/>
  <c r="L118" i="4"/>
  <c r="K118" i="4"/>
  <c r="J118" i="4"/>
  <c r="I118" i="4"/>
  <c r="H118" i="4"/>
  <c r="G118" i="4"/>
  <c r="F118" i="4"/>
  <c r="E118" i="4"/>
  <c r="D118" i="4"/>
  <c r="C118" i="4"/>
  <c r="C3" i="2" s="1"/>
  <c r="M102" i="4"/>
  <c r="L102" i="4"/>
  <c r="K102" i="4"/>
  <c r="I102" i="4"/>
  <c r="J102" i="4" s="1"/>
  <c r="E102" i="4"/>
  <c r="D102" i="4"/>
  <c r="C102" i="4"/>
  <c r="B102" i="4"/>
  <c r="A102" i="4"/>
  <c r="N101" i="4"/>
  <c r="M101" i="4"/>
  <c r="K101" i="4"/>
  <c r="L101" i="4" s="1"/>
  <c r="I101" i="4"/>
  <c r="H101" i="4"/>
  <c r="G101" i="4"/>
  <c r="E101" i="4"/>
  <c r="D101" i="4"/>
  <c r="C101" i="4"/>
  <c r="B101" i="4"/>
  <c r="A101" i="4"/>
  <c r="K100" i="4"/>
  <c r="L100" i="4" s="1"/>
  <c r="E100" i="4"/>
  <c r="D100" i="4"/>
  <c r="C100" i="4"/>
  <c r="B100" i="4"/>
  <c r="A100" i="4"/>
  <c r="M99" i="4"/>
  <c r="N99" i="4" s="1"/>
  <c r="I99" i="4"/>
  <c r="J99" i="4" s="1"/>
  <c r="G99" i="4"/>
  <c r="H99" i="4" s="1"/>
  <c r="F99" i="4"/>
  <c r="E99" i="4"/>
  <c r="K99" i="4" s="1"/>
  <c r="L99" i="4" s="1"/>
  <c r="D99" i="4"/>
  <c r="C99" i="4"/>
  <c r="B99" i="4"/>
  <c r="A99" i="4"/>
  <c r="E98" i="4"/>
  <c r="D98" i="4"/>
  <c r="C98" i="4"/>
  <c r="B98" i="4"/>
  <c r="A98" i="4"/>
  <c r="M97" i="4"/>
  <c r="N97" i="4" s="1"/>
  <c r="G97" i="4"/>
  <c r="H97" i="4" s="1"/>
  <c r="E97" i="4"/>
  <c r="K97" i="4" s="1"/>
  <c r="L97" i="4" s="1"/>
  <c r="D97" i="4"/>
  <c r="I97" i="4" s="1"/>
  <c r="J97" i="4" s="1"/>
  <c r="C97" i="4"/>
  <c r="B97" i="4"/>
  <c r="A97" i="4"/>
  <c r="E96" i="4"/>
  <c r="D96" i="4"/>
  <c r="C96" i="4"/>
  <c r="B96" i="4"/>
  <c r="A96" i="4"/>
  <c r="K95" i="4"/>
  <c r="L95" i="4" s="1"/>
  <c r="I95" i="4"/>
  <c r="E95" i="4"/>
  <c r="D95" i="4"/>
  <c r="C95" i="4"/>
  <c r="B95" i="4"/>
  <c r="A95" i="4"/>
  <c r="E94" i="4"/>
  <c r="D94" i="4"/>
  <c r="C94" i="4"/>
  <c r="B94" i="4"/>
  <c r="A94" i="4"/>
  <c r="M93" i="4"/>
  <c r="N93" i="4" s="1"/>
  <c r="I93" i="4"/>
  <c r="G93" i="4"/>
  <c r="H93" i="4" s="1"/>
  <c r="E93" i="4"/>
  <c r="D93" i="4"/>
  <c r="K93" i="4" s="1"/>
  <c r="L93" i="4" s="1"/>
  <c r="C93" i="4"/>
  <c r="B93" i="4"/>
  <c r="A93" i="4"/>
  <c r="N92" i="4"/>
  <c r="M92" i="4"/>
  <c r="E92" i="4"/>
  <c r="D92" i="4"/>
  <c r="C92" i="4"/>
  <c r="B92" i="4"/>
  <c r="A92" i="4"/>
  <c r="N91" i="4"/>
  <c r="M91" i="4"/>
  <c r="E91" i="4"/>
  <c r="F91" i="4" s="1"/>
  <c r="D91" i="4"/>
  <c r="C91" i="4"/>
  <c r="B91" i="4"/>
  <c r="A91" i="4"/>
  <c r="M90" i="4"/>
  <c r="N90" i="4" s="1"/>
  <c r="L90" i="4"/>
  <c r="K90" i="4"/>
  <c r="I90" i="4"/>
  <c r="J90" i="4" s="1"/>
  <c r="E90" i="4"/>
  <c r="D90" i="4"/>
  <c r="C90" i="4"/>
  <c r="B90" i="4"/>
  <c r="A90" i="4"/>
  <c r="M89" i="4"/>
  <c r="N89" i="4" s="1"/>
  <c r="I89" i="4"/>
  <c r="E89" i="4"/>
  <c r="D89" i="4"/>
  <c r="C89" i="4"/>
  <c r="B89" i="4"/>
  <c r="A89" i="4"/>
  <c r="M88" i="4"/>
  <c r="N88" i="4" s="1"/>
  <c r="K88" i="4"/>
  <c r="J88" i="4"/>
  <c r="I88" i="4"/>
  <c r="E88" i="4"/>
  <c r="D88" i="4"/>
  <c r="C88" i="4"/>
  <c r="B88" i="4"/>
  <c r="A88" i="4"/>
  <c r="K87" i="4"/>
  <c r="L87" i="4" s="1"/>
  <c r="I87" i="4"/>
  <c r="G87" i="4"/>
  <c r="H87" i="4" s="1"/>
  <c r="E87" i="4"/>
  <c r="D87" i="4"/>
  <c r="M87" i="4" s="1"/>
  <c r="N87" i="4" s="1"/>
  <c r="C87" i="4"/>
  <c r="B87" i="4"/>
  <c r="A87" i="4"/>
  <c r="K86" i="4"/>
  <c r="L86" i="4" s="1"/>
  <c r="I86" i="4"/>
  <c r="J86" i="4" s="1"/>
  <c r="E86" i="4"/>
  <c r="D86" i="4"/>
  <c r="C86" i="4"/>
  <c r="B86" i="4"/>
  <c r="A86" i="4"/>
  <c r="I85" i="4"/>
  <c r="J85" i="4" s="1"/>
  <c r="H85" i="4"/>
  <c r="G85" i="4"/>
  <c r="E85" i="4"/>
  <c r="D85" i="4"/>
  <c r="C85" i="4"/>
  <c r="B85" i="4"/>
  <c r="A85" i="4"/>
  <c r="E84" i="4"/>
  <c r="D84" i="4"/>
  <c r="C84" i="4"/>
  <c r="B84" i="4"/>
  <c r="A84" i="4"/>
  <c r="E83" i="4"/>
  <c r="I83" i="4" s="1"/>
  <c r="D83" i="4"/>
  <c r="C83" i="4"/>
  <c r="B83" i="4"/>
  <c r="A83" i="4"/>
  <c r="E82" i="4"/>
  <c r="D82" i="4"/>
  <c r="C82" i="4"/>
  <c r="B82" i="4"/>
  <c r="A82" i="4"/>
  <c r="E81" i="4"/>
  <c r="D81" i="4"/>
  <c r="C81" i="4"/>
  <c r="B81" i="4"/>
  <c r="A81" i="4"/>
  <c r="K80" i="4"/>
  <c r="L80" i="4" s="1"/>
  <c r="I80" i="4"/>
  <c r="E80" i="4"/>
  <c r="D80" i="4"/>
  <c r="C80" i="4"/>
  <c r="B80" i="4"/>
  <c r="A80" i="4"/>
  <c r="E79" i="4"/>
  <c r="D79" i="4"/>
  <c r="K79" i="4" s="1"/>
  <c r="L79" i="4" s="1"/>
  <c r="C79" i="4"/>
  <c r="B79" i="4"/>
  <c r="A79" i="4"/>
  <c r="E78" i="4"/>
  <c r="M78" i="4" s="1"/>
  <c r="N78" i="4" s="1"/>
  <c r="D78" i="4"/>
  <c r="C78" i="4"/>
  <c r="B78" i="4"/>
  <c r="A78" i="4"/>
  <c r="N77" i="4"/>
  <c r="M77" i="4"/>
  <c r="L77" i="4"/>
  <c r="K77" i="4"/>
  <c r="E77" i="4"/>
  <c r="D77" i="4"/>
  <c r="I77" i="4" s="1"/>
  <c r="C77" i="4"/>
  <c r="B77" i="4"/>
  <c r="A77" i="4"/>
  <c r="K76" i="4"/>
  <c r="L76" i="4" s="1"/>
  <c r="E76" i="4"/>
  <c r="D76" i="4"/>
  <c r="C76" i="4"/>
  <c r="B76" i="4"/>
  <c r="A76" i="4"/>
  <c r="M75" i="4"/>
  <c r="N75" i="4" s="1"/>
  <c r="L75" i="4"/>
  <c r="K75" i="4"/>
  <c r="I75" i="4"/>
  <c r="E75" i="4"/>
  <c r="D75" i="4"/>
  <c r="G75" i="4" s="1"/>
  <c r="H75" i="4" s="1"/>
  <c r="C75" i="4"/>
  <c r="B75" i="4"/>
  <c r="A75" i="4"/>
  <c r="M74" i="4"/>
  <c r="N74" i="4" s="1"/>
  <c r="L74" i="4"/>
  <c r="K74" i="4"/>
  <c r="I74" i="4"/>
  <c r="J74" i="4" s="1"/>
  <c r="E74" i="4"/>
  <c r="D74" i="4"/>
  <c r="C74" i="4"/>
  <c r="B74" i="4"/>
  <c r="A74" i="4"/>
  <c r="N73" i="4"/>
  <c r="M73" i="4"/>
  <c r="K73" i="4"/>
  <c r="L73" i="4" s="1"/>
  <c r="I73" i="4"/>
  <c r="J73" i="4" s="1"/>
  <c r="H73" i="4"/>
  <c r="G73" i="4"/>
  <c r="E73" i="4"/>
  <c r="F73" i="4" s="1"/>
  <c r="D73" i="4"/>
  <c r="C73" i="4"/>
  <c r="B73" i="4"/>
  <c r="A73" i="4"/>
  <c r="I72" i="4"/>
  <c r="J72" i="4" s="1"/>
  <c r="E72" i="4"/>
  <c r="D72" i="4"/>
  <c r="C72" i="4"/>
  <c r="B72" i="4"/>
  <c r="A72" i="4"/>
  <c r="M71" i="4"/>
  <c r="N71" i="4" s="1"/>
  <c r="L71" i="4"/>
  <c r="I71" i="4"/>
  <c r="J71" i="4" s="1"/>
  <c r="G71" i="4"/>
  <c r="H71" i="4" s="1"/>
  <c r="F71" i="4"/>
  <c r="E71" i="4"/>
  <c r="K71" i="4" s="1"/>
  <c r="D71" i="4"/>
  <c r="C71" i="4"/>
  <c r="B71" i="4"/>
  <c r="A71" i="4"/>
  <c r="E70" i="4"/>
  <c r="D70" i="4"/>
  <c r="C70" i="4"/>
  <c r="B70" i="4"/>
  <c r="A70" i="4"/>
  <c r="K69" i="4"/>
  <c r="L69" i="4" s="1"/>
  <c r="E69" i="4"/>
  <c r="M69" i="4" s="1"/>
  <c r="N69" i="4" s="1"/>
  <c r="D69" i="4"/>
  <c r="I69" i="4" s="1"/>
  <c r="J69" i="4" s="1"/>
  <c r="C69" i="4"/>
  <c r="B69" i="4"/>
  <c r="A69" i="4"/>
  <c r="E68" i="4"/>
  <c r="B16" i="3" s="1"/>
  <c r="D68" i="4"/>
  <c r="C68" i="4"/>
  <c r="B68" i="4"/>
  <c r="A68" i="4"/>
  <c r="E67" i="4"/>
  <c r="D67" i="4"/>
  <c r="C67" i="4"/>
  <c r="B67" i="4"/>
  <c r="A67" i="4"/>
  <c r="E66" i="4"/>
  <c r="D66" i="4"/>
  <c r="C66" i="4"/>
  <c r="B66" i="4"/>
  <c r="A66" i="4"/>
  <c r="E65" i="4"/>
  <c r="D65" i="4"/>
  <c r="C65" i="4"/>
  <c r="D17" i="3" s="1"/>
  <c r="B65" i="4"/>
  <c r="A65" i="4"/>
  <c r="E64" i="4"/>
  <c r="D64" i="4"/>
  <c r="C64" i="4"/>
  <c r="B64" i="4"/>
  <c r="A64" i="4"/>
  <c r="M63" i="4"/>
  <c r="N63" i="4" s="1"/>
  <c r="I63" i="4"/>
  <c r="G63" i="4"/>
  <c r="H63" i="4" s="1"/>
  <c r="E63" i="4"/>
  <c r="D63" i="4"/>
  <c r="K63" i="4" s="1"/>
  <c r="L63" i="4" s="1"/>
  <c r="C63" i="4"/>
  <c r="B63" i="4"/>
  <c r="A63" i="4"/>
  <c r="N62" i="4"/>
  <c r="M62" i="4"/>
  <c r="E62" i="4"/>
  <c r="D62" i="4"/>
  <c r="C62" i="4"/>
  <c r="B62" i="4"/>
  <c r="A62" i="4"/>
  <c r="E61" i="4"/>
  <c r="F61" i="4" s="1"/>
  <c r="D61" i="4"/>
  <c r="C61" i="4"/>
  <c r="B61" i="4"/>
  <c r="A61" i="4"/>
  <c r="N60" i="4"/>
  <c r="M60" i="4"/>
  <c r="E60" i="4"/>
  <c r="D60" i="4"/>
  <c r="C60" i="4"/>
  <c r="B60" i="4"/>
  <c r="A60" i="4"/>
  <c r="E59" i="4"/>
  <c r="F59" i="4" s="1"/>
  <c r="D59" i="4"/>
  <c r="C59" i="4"/>
  <c r="B59" i="4"/>
  <c r="A59" i="4"/>
  <c r="M58" i="4"/>
  <c r="N58" i="4" s="1"/>
  <c r="L58" i="4"/>
  <c r="K58" i="4"/>
  <c r="E58" i="4"/>
  <c r="D58" i="4"/>
  <c r="C58" i="4"/>
  <c r="B58" i="4"/>
  <c r="A58" i="4"/>
  <c r="M57" i="4"/>
  <c r="N57" i="4" s="1"/>
  <c r="E57" i="4"/>
  <c r="D57" i="4"/>
  <c r="C57" i="4"/>
  <c r="B57" i="4"/>
  <c r="A57" i="4"/>
  <c r="M56" i="4"/>
  <c r="N56" i="4" s="1"/>
  <c r="L56" i="4"/>
  <c r="K56" i="4"/>
  <c r="J56" i="4"/>
  <c r="I56" i="4"/>
  <c r="E56" i="4"/>
  <c r="D56" i="4"/>
  <c r="C56" i="4"/>
  <c r="B56" i="4"/>
  <c r="A56" i="4"/>
  <c r="M55" i="4"/>
  <c r="N55" i="4" s="1"/>
  <c r="I55" i="4"/>
  <c r="E55" i="4"/>
  <c r="D55" i="4"/>
  <c r="C55" i="4"/>
  <c r="B55" i="4"/>
  <c r="A55" i="4"/>
  <c r="M54" i="4"/>
  <c r="N54" i="4" s="1"/>
  <c r="L54" i="4"/>
  <c r="K54" i="4"/>
  <c r="I54" i="4"/>
  <c r="G54" i="4"/>
  <c r="H54" i="4" s="1"/>
  <c r="E54" i="4"/>
  <c r="D54" i="4"/>
  <c r="C54" i="4"/>
  <c r="B54" i="4"/>
  <c r="A54" i="4"/>
  <c r="E53" i="4"/>
  <c r="D53" i="4"/>
  <c r="C53" i="4"/>
  <c r="B53" i="4"/>
  <c r="A53" i="4"/>
  <c r="M52" i="4"/>
  <c r="N52" i="4" s="1"/>
  <c r="K52" i="4"/>
  <c r="L52" i="4" s="1"/>
  <c r="J52" i="4"/>
  <c r="I52" i="4"/>
  <c r="E52" i="4"/>
  <c r="D52" i="4"/>
  <c r="C52" i="4"/>
  <c r="B52" i="4"/>
  <c r="A52" i="4"/>
  <c r="K51" i="4"/>
  <c r="L51" i="4" s="1"/>
  <c r="I51" i="4"/>
  <c r="G51" i="4"/>
  <c r="H51" i="4" s="1"/>
  <c r="E51" i="4"/>
  <c r="D51" i="4"/>
  <c r="M51" i="4" s="1"/>
  <c r="N51" i="4" s="1"/>
  <c r="C51" i="4"/>
  <c r="B51" i="4"/>
  <c r="A51" i="4"/>
  <c r="N50" i="4"/>
  <c r="M50" i="4"/>
  <c r="K50" i="4"/>
  <c r="L50" i="4" s="1"/>
  <c r="I50" i="4"/>
  <c r="H50" i="4"/>
  <c r="G50" i="4"/>
  <c r="E50" i="4"/>
  <c r="D50" i="4"/>
  <c r="C50" i="4"/>
  <c r="B50" i="4"/>
  <c r="A50" i="4"/>
  <c r="M49" i="4"/>
  <c r="N49" i="4" s="1"/>
  <c r="K49" i="4"/>
  <c r="L49" i="4" s="1"/>
  <c r="I49" i="4"/>
  <c r="H49" i="4"/>
  <c r="G49" i="4"/>
  <c r="F49" i="4"/>
  <c r="E49" i="4"/>
  <c r="D49" i="4"/>
  <c r="C49" i="4"/>
  <c r="B49" i="4"/>
  <c r="A49" i="4"/>
  <c r="M48" i="4"/>
  <c r="N48" i="4" s="1"/>
  <c r="K48" i="4"/>
  <c r="L48" i="4" s="1"/>
  <c r="I48" i="4"/>
  <c r="H48" i="4"/>
  <c r="G48" i="4"/>
  <c r="E48" i="4"/>
  <c r="D48" i="4"/>
  <c r="C48" i="4"/>
  <c r="B48" i="4"/>
  <c r="A48" i="4"/>
  <c r="E47" i="4"/>
  <c r="D47" i="4"/>
  <c r="C47" i="4"/>
  <c r="B47" i="4"/>
  <c r="A47" i="4"/>
  <c r="M46" i="4"/>
  <c r="N46" i="4" s="1"/>
  <c r="I46" i="4"/>
  <c r="J46" i="4" s="1"/>
  <c r="H46" i="4"/>
  <c r="G46" i="4"/>
  <c r="E46" i="4"/>
  <c r="D46" i="4"/>
  <c r="C46" i="4"/>
  <c r="B46" i="4"/>
  <c r="A46" i="4"/>
  <c r="E45" i="4"/>
  <c r="D45" i="4"/>
  <c r="C45" i="4"/>
  <c r="B45" i="4"/>
  <c r="A45" i="4"/>
  <c r="E44" i="4"/>
  <c r="D44" i="4"/>
  <c r="C44" i="4"/>
  <c r="B44" i="4"/>
  <c r="A44" i="4"/>
  <c r="G43" i="4"/>
  <c r="H43" i="4" s="1"/>
  <c r="F43" i="4"/>
  <c r="E43" i="4"/>
  <c r="I43" i="4" s="1"/>
  <c r="D43" i="4"/>
  <c r="C43" i="4"/>
  <c r="B43" i="4"/>
  <c r="A43" i="4"/>
  <c r="G42" i="4"/>
  <c r="H42" i="4" s="1"/>
  <c r="E42" i="4"/>
  <c r="D42" i="4"/>
  <c r="C42" i="4"/>
  <c r="B42" i="4"/>
  <c r="A42" i="4"/>
  <c r="E41" i="4"/>
  <c r="F41" i="4" s="1"/>
  <c r="D41" i="4"/>
  <c r="C41" i="4"/>
  <c r="B41" i="4"/>
  <c r="A41" i="4"/>
  <c r="I40" i="4"/>
  <c r="E40" i="4"/>
  <c r="D40" i="4"/>
  <c r="C40" i="4"/>
  <c r="B40" i="4"/>
  <c r="A40" i="4"/>
  <c r="E39" i="4"/>
  <c r="D39" i="4"/>
  <c r="C39" i="4"/>
  <c r="B39" i="4"/>
  <c r="A39" i="4"/>
  <c r="E38" i="4"/>
  <c r="D38" i="4"/>
  <c r="C38" i="4"/>
  <c r="B38" i="4"/>
  <c r="A38" i="4"/>
  <c r="E37" i="4"/>
  <c r="D37" i="4"/>
  <c r="C37" i="4"/>
  <c r="B37" i="4"/>
  <c r="C17" i="3" s="1"/>
  <c r="A37" i="4"/>
  <c r="K36" i="4"/>
  <c r="L36" i="4" s="1"/>
  <c r="H36" i="4"/>
  <c r="G36" i="4"/>
  <c r="E36" i="4"/>
  <c r="D36" i="4"/>
  <c r="C36" i="4"/>
  <c r="B36" i="4"/>
  <c r="A36" i="4"/>
  <c r="E35" i="4"/>
  <c r="F35" i="4" s="1"/>
  <c r="D35" i="4"/>
  <c r="K35" i="4" s="1"/>
  <c r="L35" i="4" s="1"/>
  <c r="C35" i="4"/>
  <c r="B35" i="4"/>
  <c r="A35" i="4"/>
  <c r="G34" i="4"/>
  <c r="H34" i="4" s="1"/>
  <c r="E34" i="4"/>
  <c r="D34" i="4"/>
  <c r="C34" i="4"/>
  <c r="B34" i="4"/>
  <c r="A34" i="4"/>
  <c r="N33" i="4"/>
  <c r="M33" i="4"/>
  <c r="E33" i="4"/>
  <c r="D33" i="4"/>
  <c r="K33" i="4" s="1"/>
  <c r="L33" i="4" s="1"/>
  <c r="C33" i="4"/>
  <c r="B33" i="4"/>
  <c r="A33" i="4"/>
  <c r="E32" i="4"/>
  <c r="D32" i="4"/>
  <c r="C32" i="4"/>
  <c r="B32" i="4"/>
  <c r="A32" i="4"/>
  <c r="M31" i="4"/>
  <c r="N31" i="4" s="1"/>
  <c r="L31" i="4"/>
  <c r="K31" i="4"/>
  <c r="E31" i="4"/>
  <c r="D31" i="4"/>
  <c r="I31" i="4" s="1"/>
  <c r="J31" i="4" s="1"/>
  <c r="C31" i="4"/>
  <c r="B31" i="4"/>
  <c r="A31" i="4"/>
  <c r="N30" i="4"/>
  <c r="M30" i="4"/>
  <c r="K30" i="4"/>
  <c r="L30" i="4" s="1"/>
  <c r="I30" i="4"/>
  <c r="J30" i="4" s="1"/>
  <c r="G30" i="4"/>
  <c r="H30" i="4" s="1"/>
  <c r="E30" i="4"/>
  <c r="F30" i="4" s="1"/>
  <c r="D30" i="4"/>
  <c r="C30" i="4"/>
  <c r="B30" i="4"/>
  <c r="A30" i="4"/>
  <c r="N29" i="4"/>
  <c r="M29" i="4"/>
  <c r="L29" i="4"/>
  <c r="K29" i="4"/>
  <c r="E29" i="4"/>
  <c r="D29" i="4"/>
  <c r="I29" i="4" s="1"/>
  <c r="J29" i="4" s="1"/>
  <c r="C29" i="4"/>
  <c r="B29" i="4"/>
  <c r="A29" i="4"/>
  <c r="M28" i="4"/>
  <c r="N28" i="4" s="1"/>
  <c r="E28" i="4"/>
  <c r="D28" i="4"/>
  <c r="C28" i="4"/>
  <c r="B28" i="4"/>
  <c r="A28" i="4"/>
  <c r="N27" i="4"/>
  <c r="M27" i="4"/>
  <c r="K27" i="4"/>
  <c r="L27" i="4" s="1"/>
  <c r="I27" i="4"/>
  <c r="E27" i="4"/>
  <c r="D27" i="4"/>
  <c r="G27" i="4" s="1"/>
  <c r="H27" i="4" s="1"/>
  <c r="C27" i="4"/>
  <c r="B27" i="4"/>
  <c r="A27" i="4"/>
  <c r="M26" i="4"/>
  <c r="N26" i="4" s="1"/>
  <c r="K26" i="4"/>
  <c r="L26" i="4" s="1"/>
  <c r="I26" i="4"/>
  <c r="E26" i="4"/>
  <c r="D26" i="4"/>
  <c r="C26" i="4"/>
  <c r="B26" i="4"/>
  <c r="A26" i="4"/>
  <c r="M25" i="4"/>
  <c r="N25" i="4" s="1"/>
  <c r="L25" i="4"/>
  <c r="K25" i="4"/>
  <c r="I25" i="4"/>
  <c r="H25" i="4"/>
  <c r="G25" i="4"/>
  <c r="E25" i="4"/>
  <c r="D25" i="4"/>
  <c r="C25" i="4"/>
  <c r="B25" i="4"/>
  <c r="A25" i="4"/>
  <c r="M24" i="4"/>
  <c r="N24" i="4" s="1"/>
  <c r="K24" i="4"/>
  <c r="L24" i="4" s="1"/>
  <c r="I24" i="4"/>
  <c r="E24" i="4"/>
  <c r="D24" i="4"/>
  <c r="C24" i="4"/>
  <c r="B24" i="4"/>
  <c r="A24" i="4"/>
  <c r="N23" i="4"/>
  <c r="M23" i="4"/>
  <c r="L23" i="4"/>
  <c r="K23" i="4"/>
  <c r="I23" i="4"/>
  <c r="H23" i="4"/>
  <c r="G23" i="4"/>
  <c r="E23" i="4"/>
  <c r="D23" i="4"/>
  <c r="C23" i="4"/>
  <c r="B23" i="4"/>
  <c r="A23" i="4"/>
  <c r="M22" i="4"/>
  <c r="N22" i="4" s="1"/>
  <c r="K22" i="4"/>
  <c r="L22" i="4" s="1"/>
  <c r="I22" i="4"/>
  <c r="G22" i="4"/>
  <c r="H22" i="4" s="1"/>
  <c r="E22" i="4"/>
  <c r="D22" i="4"/>
  <c r="C22" i="4"/>
  <c r="B22" i="4"/>
  <c r="A22" i="4"/>
  <c r="M21" i="4"/>
  <c r="N21" i="4" s="1"/>
  <c r="K21" i="4"/>
  <c r="L21" i="4" s="1"/>
  <c r="J21" i="4"/>
  <c r="I21" i="4"/>
  <c r="H21" i="4"/>
  <c r="G21" i="4"/>
  <c r="E21" i="4"/>
  <c r="D21" i="4"/>
  <c r="C21" i="4"/>
  <c r="B21" i="4"/>
  <c r="A21" i="4"/>
  <c r="E20" i="4"/>
  <c r="D20" i="4"/>
  <c r="C20" i="4"/>
  <c r="B20" i="4"/>
  <c r="A20" i="4"/>
  <c r="M19" i="4"/>
  <c r="N19" i="4" s="1"/>
  <c r="I19" i="4"/>
  <c r="G19" i="4"/>
  <c r="H19" i="4" s="1"/>
  <c r="E19" i="4"/>
  <c r="K19" i="4" s="1"/>
  <c r="L19" i="4" s="1"/>
  <c r="D19" i="4"/>
  <c r="C19" i="4"/>
  <c r="B19" i="4"/>
  <c r="A19" i="4"/>
  <c r="K18" i="4"/>
  <c r="L18" i="4" s="1"/>
  <c r="I18" i="4"/>
  <c r="J18" i="4" s="1"/>
  <c r="G18" i="4"/>
  <c r="H18" i="4" s="1"/>
  <c r="E18" i="4"/>
  <c r="F18" i="4" s="1"/>
  <c r="D18" i="4"/>
  <c r="C18" i="4"/>
  <c r="B18" i="4"/>
  <c r="A18" i="4"/>
  <c r="K17" i="4"/>
  <c r="L17" i="4" s="1"/>
  <c r="I17" i="4"/>
  <c r="J17" i="4" s="1"/>
  <c r="G17" i="4"/>
  <c r="H17" i="4" s="1"/>
  <c r="E17" i="4"/>
  <c r="D17" i="4"/>
  <c r="M17" i="4" s="1"/>
  <c r="N17" i="4" s="1"/>
  <c r="C17" i="4"/>
  <c r="B17" i="4"/>
  <c r="A17" i="4"/>
  <c r="E16" i="4"/>
  <c r="D16" i="4"/>
  <c r="C16" i="4"/>
  <c r="B16" i="4"/>
  <c r="A16" i="4"/>
  <c r="M15" i="4"/>
  <c r="N15" i="4" s="1"/>
  <c r="K15" i="4"/>
  <c r="L15" i="4" s="1"/>
  <c r="G15" i="4"/>
  <c r="H15" i="4" s="1"/>
  <c r="E15" i="4"/>
  <c r="D15" i="4"/>
  <c r="C15" i="4"/>
  <c r="B15" i="4"/>
  <c r="A15" i="4"/>
  <c r="E14" i="4"/>
  <c r="D14" i="4"/>
  <c r="C14" i="4"/>
  <c r="B14" i="4"/>
  <c r="A14" i="4"/>
  <c r="E13" i="4"/>
  <c r="F13" i="4" s="1"/>
  <c r="D13" i="4"/>
  <c r="C13" i="4"/>
  <c r="B13" i="4"/>
  <c r="A13" i="4"/>
  <c r="E12" i="4"/>
  <c r="D12" i="4"/>
  <c r="C12" i="4"/>
  <c r="B12" i="4"/>
  <c r="A12" i="4"/>
  <c r="K11" i="4"/>
  <c r="L11" i="4" s="1"/>
  <c r="I11" i="4"/>
  <c r="E11" i="4"/>
  <c r="F11" i="4" s="1"/>
  <c r="D11" i="4"/>
  <c r="C11" i="4"/>
  <c r="B11" i="4"/>
  <c r="A11" i="4"/>
  <c r="E10" i="4"/>
  <c r="F10" i="4" s="1"/>
  <c r="D10" i="4"/>
  <c r="C10" i="4"/>
  <c r="B10" i="4"/>
  <c r="A10" i="4"/>
  <c r="E9" i="4"/>
  <c r="D9" i="4"/>
  <c r="C9" i="4"/>
  <c r="B9" i="4"/>
  <c r="A9" i="4"/>
  <c r="E8" i="4"/>
  <c r="D8" i="4"/>
  <c r="C8" i="4"/>
  <c r="B8" i="4"/>
  <c r="A8" i="4"/>
  <c r="M7" i="4"/>
  <c r="N7" i="4" s="1"/>
  <c r="I7" i="4"/>
  <c r="E7" i="4"/>
  <c r="D7" i="4"/>
  <c r="K7" i="4" s="1"/>
  <c r="L7" i="4" s="1"/>
  <c r="C7" i="4"/>
  <c r="B7" i="4"/>
  <c r="A7" i="4"/>
  <c r="N6" i="4"/>
  <c r="M6" i="4"/>
  <c r="E6" i="4"/>
  <c r="D6" i="4"/>
  <c r="C6" i="4"/>
  <c r="B6" i="4"/>
  <c r="A6" i="4"/>
  <c r="E5" i="4"/>
  <c r="F15" i="4" s="1"/>
  <c r="D5" i="4"/>
  <c r="K5" i="4" s="1"/>
  <c r="L5" i="4" s="1"/>
  <c r="C5" i="4"/>
  <c r="B5" i="4"/>
  <c r="B115" i="4" s="1"/>
  <c r="B20" i="1" s="1"/>
  <c r="A5" i="4"/>
  <c r="N4" i="4"/>
  <c r="M4" i="4"/>
  <c r="E4" i="4"/>
  <c r="D4" i="4"/>
  <c r="C4" i="4"/>
  <c r="B4" i="4"/>
  <c r="A4" i="4"/>
  <c r="E3" i="4"/>
  <c r="D3" i="4"/>
  <c r="D115" i="4" s="1"/>
  <c r="D20" i="1" s="1"/>
  <c r="C3" i="4"/>
  <c r="B3" i="4"/>
  <c r="C113" i="4" s="1"/>
  <c r="C18" i="1" s="1"/>
  <c r="A3" i="4"/>
  <c r="A76" i="3"/>
  <c r="A61" i="3"/>
  <c r="A40" i="3"/>
  <c r="A22" i="3"/>
  <c r="F35" i="2"/>
  <c r="D35" i="2"/>
  <c r="E36" i="2" s="1"/>
  <c r="N33" i="2"/>
  <c r="L33" i="2"/>
  <c r="J31" i="2"/>
  <c r="I31" i="2"/>
  <c r="J32" i="2" s="1"/>
  <c r="D31" i="2"/>
  <c r="C31" i="2"/>
  <c r="D32" i="2" s="1"/>
  <c r="N30" i="2"/>
  <c r="C29" i="2"/>
  <c r="M27" i="2"/>
  <c r="M26" i="2"/>
  <c r="K26" i="2"/>
  <c r="I26" i="2"/>
  <c r="H26" i="2"/>
  <c r="F26" i="2"/>
  <c r="N25" i="2"/>
  <c r="M25" i="2"/>
  <c r="L25" i="2"/>
  <c r="L31" i="2" s="1"/>
  <c r="K25" i="2"/>
  <c r="K31" i="2" s="1"/>
  <c r="J25" i="2"/>
  <c r="N28" i="2" s="1"/>
  <c r="I25" i="2"/>
  <c r="M28" i="2" s="1"/>
  <c r="H25" i="2"/>
  <c r="G25" i="2"/>
  <c r="K28" i="2" s="1"/>
  <c r="F25" i="2"/>
  <c r="J28" i="2" s="1"/>
  <c r="E25" i="2"/>
  <c r="E27" i="2" s="1"/>
  <c r="D25" i="2"/>
  <c r="M24" i="2"/>
  <c r="L24" i="2"/>
  <c r="I24" i="2"/>
  <c r="G24" i="2"/>
  <c r="F24" i="2"/>
  <c r="E24" i="2"/>
  <c r="D24" i="2"/>
  <c r="C24" i="2"/>
  <c r="N23" i="2"/>
  <c r="M23" i="2"/>
  <c r="L23" i="2"/>
  <c r="L26" i="2" s="1"/>
  <c r="K23" i="2"/>
  <c r="J23" i="2"/>
  <c r="J26" i="2" s="1"/>
  <c r="I23" i="2"/>
  <c r="H23" i="2"/>
  <c r="G23" i="2"/>
  <c r="F23" i="2"/>
  <c r="F33" i="2" s="1"/>
  <c r="G34" i="2" s="1"/>
  <c r="E23" i="2"/>
  <c r="D23" i="2"/>
  <c r="C23" i="2"/>
  <c r="N22" i="2"/>
  <c r="N29" i="2" s="1"/>
  <c r="M22" i="2"/>
  <c r="M29" i="2" s="1"/>
  <c r="I22" i="2"/>
  <c r="I29" i="2" s="1"/>
  <c r="H22" i="2"/>
  <c r="E22" i="2"/>
  <c r="C22" i="2"/>
  <c r="F30" i="2" s="1"/>
  <c r="H17" i="2"/>
  <c r="F17" i="2"/>
  <c r="N16" i="2"/>
  <c r="I16" i="2"/>
  <c r="H16" i="2"/>
  <c r="G16" i="2"/>
  <c r="F16" i="2"/>
  <c r="D15" i="2"/>
  <c r="N14" i="2"/>
  <c r="L14" i="2"/>
  <c r="H14" i="2"/>
  <c r="F14" i="2"/>
  <c r="N13" i="2"/>
  <c r="K12" i="2"/>
  <c r="J12" i="2"/>
  <c r="I12" i="2"/>
  <c r="H12" i="2"/>
  <c r="G12" i="2"/>
  <c r="J11" i="2"/>
  <c r="I11" i="2"/>
  <c r="H11" i="2"/>
  <c r="G11" i="2"/>
  <c r="D10" i="2"/>
  <c r="L9" i="2"/>
  <c r="I9" i="2"/>
  <c r="H9" i="2"/>
  <c r="F9" i="2"/>
  <c r="E9" i="2"/>
  <c r="N8" i="2"/>
  <c r="M8" i="2"/>
  <c r="L8" i="2"/>
  <c r="L12" i="2" s="1"/>
  <c r="K8" i="2"/>
  <c r="K10" i="2" s="1"/>
  <c r="J8" i="2"/>
  <c r="J9" i="2" s="1"/>
  <c r="I8" i="2"/>
  <c r="H8" i="2"/>
  <c r="G8" i="2"/>
  <c r="F8" i="2"/>
  <c r="E8" i="2"/>
  <c r="D8" i="2"/>
  <c r="C8" i="2"/>
  <c r="B8" i="2"/>
  <c r="F11" i="2" s="1"/>
  <c r="N7" i="2"/>
  <c r="M7" i="2"/>
  <c r="L7" i="2"/>
  <c r="L16" i="2" s="1"/>
  <c r="K7" i="2"/>
  <c r="N19" i="2" s="1"/>
  <c r="J7" i="2"/>
  <c r="I7" i="2"/>
  <c r="I35" i="2" s="1"/>
  <c r="F7" i="2"/>
  <c r="E7" i="2"/>
  <c r="E35" i="2" s="1"/>
  <c r="F36" i="2" s="1"/>
  <c r="N6" i="2"/>
  <c r="N17" i="2" s="1"/>
  <c r="L6" i="2"/>
  <c r="L17" i="2" s="1"/>
  <c r="K6" i="2"/>
  <c r="J6" i="2"/>
  <c r="M20" i="2" s="1"/>
  <c r="I6" i="2"/>
  <c r="I14" i="2" s="1"/>
  <c r="H6" i="2"/>
  <c r="G6" i="2"/>
  <c r="G14" i="2" s="1"/>
  <c r="F6" i="2"/>
  <c r="E6" i="2"/>
  <c r="D6" i="2"/>
  <c r="C6" i="2"/>
  <c r="N5" i="2"/>
  <c r="M5" i="2"/>
  <c r="L5" i="2"/>
  <c r="K5" i="2"/>
  <c r="J5" i="2"/>
  <c r="I5" i="2"/>
  <c r="L20" i="2" s="1"/>
  <c r="H5" i="2"/>
  <c r="K20" i="2" s="1"/>
  <c r="G5" i="2"/>
  <c r="I20" i="2" s="1"/>
  <c r="F5" i="2"/>
  <c r="E5" i="2"/>
  <c r="N4" i="2"/>
  <c r="M4" i="2"/>
  <c r="M33" i="2" s="1"/>
  <c r="N34" i="2" s="1"/>
  <c r="J4" i="2"/>
  <c r="J13" i="2" s="1"/>
  <c r="G4" i="2"/>
  <c r="G13" i="2" s="1"/>
  <c r="F4" i="2"/>
  <c r="F13" i="2" s="1"/>
  <c r="E4" i="2"/>
  <c r="E13" i="2" s="1"/>
  <c r="D4" i="2"/>
  <c r="D13" i="2" s="1"/>
  <c r="C4" i="2"/>
  <c r="C13" i="2" s="1"/>
  <c r="N3" i="2"/>
  <c r="M3" i="2"/>
  <c r="L3" i="2"/>
  <c r="K3" i="2"/>
  <c r="J3" i="2"/>
  <c r="J15" i="2" s="1"/>
  <c r="I3" i="2"/>
  <c r="H3" i="2"/>
  <c r="G3" i="2"/>
  <c r="F3" i="2"/>
  <c r="F12" i="2" s="1"/>
  <c r="E3" i="2"/>
  <c r="D3" i="2"/>
  <c r="O17" i="3" l="1"/>
  <c r="J17" i="3"/>
  <c r="K13" i="2"/>
  <c r="K33" i="2"/>
  <c r="L34" i="2" s="1"/>
  <c r="C16" i="2"/>
  <c r="F18" i="2"/>
  <c r="F20" i="2"/>
  <c r="C17" i="2"/>
  <c r="F19" i="2"/>
  <c r="C12" i="2"/>
  <c r="C10" i="2"/>
  <c r="C15" i="2"/>
  <c r="C9" i="2"/>
  <c r="C26" i="1"/>
  <c r="D24" i="1"/>
  <c r="L18" i="2"/>
  <c r="E14" i="2"/>
  <c r="M12" i="2"/>
  <c r="M9" i="2"/>
  <c r="N12" i="2"/>
  <c r="N10" i="2"/>
  <c r="E32" i="2"/>
  <c r="G82" i="4"/>
  <c r="H82" i="4" s="1"/>
  <c r="F82" i="4"/>
  <c r="I82" i="4"/>
  <c r="H27" i="2"/>
  <c r="L28" i="2"/>
  <c r="H31" i="2"/>
  <c r="I32" i="2" s="1"/>
  <c r="F31" i="2"/>
  <c r="G32" i="2" s="1"/>
  <c r="F29" i="4"/>
  <c r="F32" i="4"/>
  <c r="M32" i="4"/>
  <c r="N32" i="4" s="1"/>
  <c r="K32" i="4"/>
  <c r="L32" i="4" s="1"/>
  <c r="I32" i="4"/>
  <c r="J32" i="4" s="1"/>
  <c r="G32" i="4"/>
  <c r="H32" i="4" s="1"/>
  <c r="F40" i="4"/>
  <c r="M40" i="4"/>
  <c r="N40" i="4" s="1"/>
  <c r="K40" i="4"/>
  <c r="L40" i="4" s="1"/>
  <c r="M10" i="2"/>
  <c r="G31" i="2"/>
  <c r="G40" i="4"/>
  <c r="H40" i="4" s="1"/>
  <c r="K61" i="4"/>
  <c r="L61" i="4" s="1"/>
  <c r="K82" i="4"/>
  <c r="L82" i="4" s="1"/>
  <c r="J14" i="2"/>
  <c r="M18" i="2"/>
  <c r="M82" i="4"/>
  <c r="N82" i="4" s="1"/>
  <c r="K15" i="2"/>
  <c r="N20" i="2"/>
  <c r="K17" i="2"/>
  <c r="K14" i="2"/>
  <c r="N18" i="2"/>
  <c r="L32" i="2"/>
  <c r="K32" i="2"/>
  <c r="F12" i="4"/>
  <c r="M12" i="4"/>
  <c r="N12" i="4" s="1"/>
  <c r="K12" i="4"/>
  <c r="L12" i="4" s="1"/>
  <c r="I12" i="4"/>
  <c r="G12" i="4"/>
  <c r="H12" i="4" s="1"/>
  <c r="G55" i="4"/>
  <c r="H55" i="4" s="1"/>
  <c r="F55" i="4"/>
  <c r="M65" i="4"/>
  <c r="N65" i="4" s="1"/>
  <c r="K65" i="4"/>
  <c r="L65" i="4" s="1"/>
  <c r="I65" i="4"/>
  <c r="J65" i="4" s="1"/>
  <c r="G72" i="4"/>
  <c r="F72" i="4"/>
  <c r="M72" i="4"/>
  <c r="N72" i="4" s="1"/>
  <c r="I78" i="4"/>
  <c r="G89" i="4"/>
  <c r="H89" i="4" s="1"/>
  <c r="F89" i="4"/>
  <c r="C33" i="2"/>
  <c r="C26" i="2"/>
  <c r="C115" i="4"/>
  <c r="C20" i="1" s="1"/>
  <c r="F44" i="4"/>
  <c r="M44" i="4"/>
  <c r="N44" i="4" s="1"/>
  <c r="F65" i="4"/>
  <c r="F69" i="4"/>
  <c r="F75" i="4"/>
  <c r="G96" i="4"/>
  <c r="H96" i="4" s="1"/>
  <c r="F96" i="4"/>
  <c r="M96" i="4"/>
  <c r="N96" i="4" s="1"/>
  <c r="K96" i="4"/>
  <c r="L96" i="4" s="1"/>
  <c r="I96" i="4"/>
  <c r="D33" i="2"/>
  <c r="E34" i="2" s="1"/>
  <c r="D26" i="2"/>
  <c r="G44" i="4"/>
  <c r="H44" i="4" s="1"/>
  <c r="M47" i="4"/>
  <c r="N47" i="4" s="1"/>
  <c r="K47" i="4"/>
  <c r="L47" i="4" s="1"/>
  <c r="F47" i="4"/>
  <c r="K55" i="4"/>
  <c r="L55" i="4" s="1"/>
  <c r="G65" i="4"/>
  <c r="G69" i="4"/>
  <c r="K89" i="4"/>
  <c r="L89" i="4" s="1"/>
  <c r="M17" i="2"/>
  <c r="M14" i="2"/>
  <c r="G30" i="2"/>
  <c r="D27" i="2"/>
  <c r="D29" i="2"/>
  <c r="H35" i="2"/>
  <c r="I36" i="2" s="1"/>
  <c r="K30" i="2"/>
  <c r="G78" i="4"/>
  <c r="H78" i="4" s="1"/>
  <c r="F78" i="4"/>
  <c r="K78" i="4"/>
  <c r="L78" i="4" s="1"/>
  <c r="N9" i="2"/>
  <c r="E33" i="2"/>
  <c r="F34" i="2" s="1"/>
  <c r="E26" i="2"/>
  <c r="N31" i="2"/>
  <c r="M5" i="4"/>
  <c r="N5" i="4" s="1"/>
  <c r="I5" i="4"/>
  <c r="G47" i="4"/>
  <c r="H47" i="4" s="1"/>
  <c r="K72" i="4"/>
  <c r="L72" i="4" s="1"/>
  <c r="M83" i="4"/>
  <c r="N83" i="4" s="1"/>
  <c r="D108" i="4"/>
  <c r="D6" i="1" s="1"/>
  <c r="D12" i="1" s="1"/>
  <c r="F5" i="4"/>
  <c r="M9" i="4"/>
  <c r="N9" i="4" s="1"/>
  <c r="K9" i="4"/>
  <c r="L9" i="4" s="1"/>
  <c r="I9" i="4"/>
  <c r="M13" i="4"/>
  <c r="N13" i="4" s="1"/>
  <c r="K13" i="4"/>
  <c r="L13" i="4" s="1"/>
  <c r="F16" i="4"/>
  <c r="M16" i="4"/>
  <c r="N16" i="4" s="1"/>
  <c r="K16" i="4"/>
  <c r="L16" i="4" s="1"/>
  <c r="I16" i="4"/>
  <c r="I44" i="4"/>
  <c r="J44" i="4" s="1"/>
  <c r="E108" i="4"/>
  <c r="E6" i="1" s="1"/>
  <c r="F29" i="2"/>
  <c r="I30" i="2"/>
  <c r="F27" i="2"/>
  <c r="J35" i="2"/>
  <c r="K36" i="2" s="1"/>
  <c r="L30" i="2"/>
  <c r="K16" i="2"/>
  <c r="G26" i="2"/>
  <c r="G33" i="2"/>
  <c r="H34" i="2" s="1"/>
  <c r="I33" i="2"/>
  <c r="J34" i="2" s="1"/>
  <c r="F9" i="4"/>
  <c r="G16" i="4"/>
  <c r="H16" i="4" s="1"/>
  <c r="F33" i="4"/>
  <c r="M41" i="4"/>
  <c r="N41" i="4" s="1"/>
  <c r="K41" i="4"/>
  <c r="L41" i="4" s="1"/>
  <c r="I41" i="4"/>
  <c r="G41" i="4"/>
  <c r="H41" i="4" s="1"/>
  <c r="K44" i="4"/>
  <c r="L44" i="4" s="1"/>
  <c r="I47" i="4"/>
  <c r="F83" i="4"/>
  <c r="C109" i="4"/>
  <c r="C7" i="1" s="1"/>
  <c r="K35" i="2"/>
  <c r="H33" i="2"/>
  <c r="I34" i="2" s="1"/>
  <c r="J33" i="2"/>
  <c r="K34" i="2" s="1"/>
  <c r="G9" i="4"/>
  <c r="H9" i="4" s="1"/>
  <c r="F27" i="4"/>
  <c r="M37" i="4"/>
  <c r="N37" i="4" s="1"/>
  <c r="K37" i="4"/>
  <c r="L37" i="4" s="1"/>
  <c r="I37" i="4"/>
  <c r="G37" i="4"/>
  <c r="H37" i="4" s="1"/>
  <c r="F79" i="4"/>
  <c r="G83" i="4"/>
  <c r="H83" i="4" s="1"/>
  <c r="G100" i="4"/>
  <c r="H100" i="4" s="1"/>
  <c r="F100" i="4"/>
  <c r="M100" i="4"/>
  <c r="N100" i="4" s="1"/>
  <c r="E112" i="4"/>
  <c r="E17" i="1" s="1"/>
  <c r="M19" i="2"/>
  <c r="G13" i="4"/>
  <c r="H13" i="4" s="1"/>
  <c r="F37" i="4"/>
  <c r="F97" i="4"/>
  <c r="I100" i="4"/>
  <c r="J100" i="4" s="1"/>
  <c r="M34" i="2"/>
  <c r="I13" i="4"/>
  <c r="J13" i="4" s="1"/>
  <c r="M53" i="4"/>
  <c r="N53" i="4" s="1"/>
  <c r="I53" i="4"/>
  <c r="G53" i="4"/>
  <c r="H53" i="4" s="1"/>
  <c r="F93" i="4"/>
  <c r="E113" i="4"/>
  <c r="E18" i="1" s="1"/>
  <c r="F53" i="4"/>
  <c r="F87" i="4"/>
  <c r="K29" i="2"/>
  <c r="K27" i="2"/>
  <c r="M61" i="4"/>
  <c r="N61" i="4" s="1"/>
  <c r="I61" i="4"/>
  <c r="M35" i="2"/>
  <c r="N36" i="2" s="1"/>
  <c r="M16" i="2"/>
  <c r="L11" i="2"/>
  <c r="I17" i="2"/>
  <c r="L27" i="2"/>
  <c r="I59" i="4"/>
  <c r="J59" i="4" s="1"/>
  <c r="G70" i="4"/>
  <c r="F70" i="4"/>
  <c r="M70" i="4"/>
  <c r="N70" i="4" s="1"/>
  <c r="K70" i="4"/>
  <c r="L70" i="4" s="1"/>
  <c r="G76" i="4"/>
  <c r="H76" i="4" s="1"/>
  <c r="F76" i="4"/>
  <c r="I76" i="4"/>
  <c r="J76" i="4" s="1"/>
  <c r="G28" i="2"/>
  <c r="M11" i="2"/>
  <c r="J17" i="2"/>
  <c r="M45" i="4"/>
  <c r="N45" i="4" s="1"/>
  <c r="K45" i="4"/>
  <c r="L45" i="4" s="1"/>
  <c r="I45" i="4"/>
  <c r="J45" i="4" s="1"/>
  <c r="G84" i="4"/>
  <c r="H84" i="4" s="1"/>
  <c r="F84" i="4"/>
  <c r="K84" i="4"/>
  <c r="L84" i="4" s="1"/>
  <c r="E115" i="4"/>
  <c r="E20" i="1" s="1"/>
  <c r="N26" i="2"/>
  <c r="N27" i="2"/>
  <c r="C112" i="4"/>
  <c r="C17" i="1" s="1"/>
  <c r="B110" i="4"/>
  <c r="B8" i="1" s="1"/>
  <c r="C107" i="4"/>
  <c r="C5" i="1" s="1"/>
  <c r="C106" i="4"/>
  <c r="C4" i="1" s="1"/>
  <c r="C11" i="1" s="1"/>
  <c r="C105" i="4"/>
  <c r="C3" i="1" s="1"/>
  <c r="C114" i="4"/>
  <c r="C19" i="1" s="1"/>
  <c r="C21" i="1" s="1"/>
  <c r="C108" i="4"/>
  <c r="C6" i="1" s="1"/>
  <c r="C12" i="1" s="1"/>
  <c r="F17" i="4"/>
  <c r="F34" i="4"/>
  <c r="K34" i="4"/>
  <c r="L34" i="4" s="1"/>
  <c r="F38" i="4"/>
  <c r="M38" i="4"/>
  <c r="N38" i="4" s="1"/>
  <c r="G38" i="4"/>
  <c r="H38" i="4" s="1"/>
  <c r="F42" i="4"/>
  <c r="I42" i="4"/>
  <c r="K53" i="4"/>
  <c r="L53" i="4" s="1"/>
  <c r="G59" i="4"/>
  <c r="H59" i="4" s="1"/>
  <c r="I70" i="4"/>
  <c r="J70" i="4" s="1"/>
  <c r="M76" i="4"/>
  <c r="N76" i="4" s="1"/>
  <c r="G19" i="2"/>
  <c r="C35" i="2"/>
  <c r="D36" i="2" s="1"/>
  <c r="F28" i="2"/>
  <c r="F45" i="4"/>
  <c r="K59" i="4"/>
  <c r="L59" i="4" s="1"/>
  <c r="I84" i="4"/>
  <c r="H19" i="2"/>
  <c r="H28" i="2"/>
  <c r="D110" i="4"/>
  <c r="D8" i="1" s="1"/>
  <c r="E105" i="4"/>
  <c r="E3" i="1" s="1"/>
  <c r="E114" i="4"/>
  <c r="E19" i="1" s="1"/>
  <c r="I3" i="4"/>
  <c r="J83" i="4" s="1"/>
  <c r="E17" i="3"/>
  <c r="D109" i="4"/>
  <c r="D7" i="1" s="1"/>
  <c r="E107" i="4"/>
  <c r="E5" i="1" s="1"/>
  <c r="I34" i="4"/>
  <c r="J34" i="4" s="1"/>
  <c r="I38" i="4"/>
  <c r="J38" i="4" s="1"/>
  <c r="G45" i="4"/>
  <c r="H45" i="4" s="1"/>
  <c r="M59" i="4"/>
  <c r="N59" i="4" s="1"/>
  <c r="M67" i="4"/>
  <c r="N67" i="4" s="1"/>
  <c r="G67" i="4"/>
  <c r="F101" i="4"/>
  <c r="H30" i="2"/>
  <c r="I28" i="2"/>
  <c r="E109" i="4"/>
  <c r="E7" i="1" s="1"/>
  <c r="F17" i="3"/>
  <c r="F25" i="4"/>
  <c r="E106" i="4"/>
  <c r="E4" i="1" s="1"/>
  <c r="E11" i="1" s="1"/>
  <c r="F3" i="4"/>
  <c r="E110" i="4"/>
  <c r="E8" i="1" s="1"/>
  <c r="E10" i="1" s="1"/>
  <c r="F19" i="4"/>
  <c r="F21" i="4"/>
  <c r="F14" i="4"/>
  <c r="M14" i="4"/>
  <c r="N14" i="4" s="1"/>
  <c r="K14" i="4"/>
  <c r="I14" i="4"/>
  <c r="J14" i="4" s="1"/>
  <c r="F20" i="4"/>
  <c r="M20" i="4"/>
  <c r="N20" i="4" s="1"/>
  <c r="K20" i="4"/>
  <c r="L20" i="4" s="1"/>
  <c r="G20" i="4"/>
  <c r="H20" i="4" s="1"/>
  <c r="M34" i="4"/>
  <c r="N34" i="4" s="1"/>
  <c r="K38" i="4"/>
  <c r="L38" i="4" s="1"/>
  <c r="F67" i="4"/>
  <c r="M84" i="4"/>
  <c r="N84" i="4" s="1"/>
  <c r="G68" i="4"/>
  <c r="H68" i="4" s="1"/>
  <c r="F68" i="4"/>
  <c r="M68" i="4"/>
  <c r="N68" i="4" s="1"/>
  <c r="K68" i="4"/>
  <c r="L68" i="4" s="1"/>
  <c r="I68" i="4"/>
  <c r="J68" i="4" s="1"/>
  <c r="G3" i="4"/>
  <c r="G14" i="4"/>
  <c r="H14" i="4" s="1"/>
  <c r="F28" i="4"/>
  <c r="K28" i="4"/>
  <c r="L28" i="4" s="1"/>
  <c r="I28" i="4"/>
  <c r="G28" i="4"/>
  <c r="H28" i="4" s="1"/>
  <c r="F31" i="4"/>
  <c r="K42" i="4"/>
  <c r="L42" i="4" s="1"/>
  <c r="F63" i="4"/>
  <c r="G98" i="4"/>
  <c r="H98" i="4" s="1"/>
  <c r="F98" i="4"/>
  <c r="M98" i="4"/>
  <c r="N98" i="4" s="1"/>
  <c r="K98" i="4"/>
  <c r="L98" i="4" s="1"/>
  <c r="G18" i="2"/>
  <c r="G20" i="2"/>
  <c r="D17" i="2"/>
  <c r="D12" i="2"/>
  <c r="D9" i="2"/>
  <c r="D16" i="2"/>
  <c r="L19" i="2"/>
  <c r="G35" i="2"/>
  <c r="G36" i="2" s="1"/>
  <c r="K3" i="4"/>
  <c r="I20" i="4"/>
  <c r="F23" i="4"/>
  <c r="M42" i="4"/>
  <c r="N42" i="4" s="1"/>
  <c r="I67" i="4"/>
  <c r="J67" i="4" s="1"/>
  <c r="H18" i="2"/>
  <c r="E15" i="2"/>
  <c r="E10" i="2"/>
  <c r="H20" i="2"/>
  <c r="E17" i="2"/>
  <c r="E12" i="2"/>
  <c r="E16" i="2"/>
  <c r="E29" i="2"/>
  <c r="M3" i="4"/>
  <c r="M11" i="4"/>
  <c r="N11" i="4" s="1"/>
  <c r="G11" i="4"/>
  <c r="H11" i="4" s="1"/>
  <c r="F51" i="4"/>
  <c r="K67" i="4"/>
  <c r="L67" i="4" s="1"/>
  <c r="F77" i="4"/>
  <c r="M81" i="4"/>
  <c r="N81" i="4" s="1"/>
  <c r="K81" i="4"/>
  <c r="L81" i="4" s="1"/>
  <c r="I81" i="4"/>
  <c r="J81" i="4" s="1"/>
  <c r="G81" i="4"/>
  <c r="H81" i="4" s="1"/>
  <c r="I91" i="4"/>
  <c r="J91" i="4" s="1"/>
  <c r="I98" i="4"/>
  <c r="M13" i="2"/>
  <c r="L35" i="2"/>
  <c r="M36" i="2" s="1"/>
  <c r="H29" i="2"/>
  <c r="M39" i="4"/>
  <c r="N39" i="4" s="1"/>
  <c r="K39" i="4"/>
  <c r="I39" i="4"/>
  <c r="J39" i="4" s="1"/>
  <c r="G39" i="4"/>
  <c r="H39" i="4" s="1"/>
  <c r="K57" i="4"/>
  <c r="L57" i="4" s="1"/>
  <c r="I57" i="4"/>
  <c r="J57" i="4" s="1"/>
  <c r="G57" i="4"/>
  <c r="H57" i="4" s="1"/>
  <c r="F81" i="4"/>
  <c r="J18" i="2"/>
  <c r="J29" i="2"/>
  <c r="F7" i="4"/>
  <c r="I15" i="4"/>
  <c r="J15" i="4" s="1"/>
  <c r="F39" i="4"/>
  <c r="M85" i="4"/>
  <c r="N85" i="4" s="1"/>
  <c r="K85" i="4"/>
  <c r="L85" i="4" s="1"/>
  <c r="F85" i="4"/>
  <c r="G91" i="4"/>
  <c r="H91" i="4" s="1"/>
  <c r="M95" i="4"/>
  <c r="N95" i="4" s="1"/>
  <c r="G95" i="4"/>
  <c r="H95" i="4" s="1"/>
  <c r="K18" i="2"/>
  <c r="M30" i="2"/>
  <c r="G7" i="4"/>
  <c r="H7" i="4" s="1"/>
  <c r="M43" i="4"/>
  <c r="N43" i="4" s="1"/>
  <c r="F57" i="4"/>
  <c r="K91" i="4"/>
  <c r="L91" i="4" s="1"/>
  <c r="F95" i="4"/>
  <c r="M35" i="4"/>
  <c r="F48" i="4"/>
  <c r="M79" i="4"/>
  <c r="N79" i="4" s="1"/>
  <c r="G86" i="4"/>
  <c r="H86" i="4" s="1"/>
  <c r="F86" i="4"/>
  <c r="F46" i="4"/>
  <c r="K11" i="2"/>
  <c r="J16" i="2"/>
  <c r="J19" i="2"/>
  <c r="E31" i="2"/>
  <c r="D112" i="4"/>
  <c r="D17" i="1" s="1"/>
  <c r="C110" i="4"/>
  <c r="C8" i="1" s="1"/>
  <c r="C10" i="1" s="1"/>
  <c r="F36" i="4"/>
  <c r="K46" i="4"/>
  <c r="L46" i="4" s="1"/>
  <c r="G80" i="4"/>
  <c r="H80" i="4" s="1"/>
  <c r="F80" i="4"/>
  <c r="M86" i="4"/>
  <c r="N86" i="4" s="1"/>
  <c r="G9" i="2"/>
  <c r="N11" i="2"/>
  <c r="M31" i="2"/>
  <c r="M32" i="2" s="1"/>
  <c r="G5" i="4"/>
  <c r="H5" i="4" s="1"/>
  <c r="I36" i="4"/>
  <c r="J36" i="4" s="1"/>
  <c r="G61" i="4"/>
  <c r="H61" i="4" s="1"/>
  <c r="D113" i="4"/>
  <c r="D18" i="1" s="1"/>
  <c r="F26" i="4"/>
  <c r="G29" i="2"/>
  <c r="F24" i="4"/>
  <c r="G26" i="4"/>
  <c r="H26" i="4" s="1"/>
  <c r="G74" i="4"/>
  <c r="H74" i="4" s="1"/>
  <c r="F74" i="4"/>
  <c r="M80" i="4"/>
  <c r="N80" i="4" s="1"/>
  <c r="G102" i="4"/>
  <c r="H102" i="4" s="1"/>
  <c r="F102" i="4"/>
  <c r="D114" i="4"/>
  <c r="D19" i="1" s="1"/>
  <c r="K9" i="2"/>
  <c r="F22" i="4"/>
  <c r="G24" i="4"/>
  <c r="H24" i="4" s="1"/>
  <c r="M36" i="4"/>
  <c r="N36" i="4" s="1"/>
  <c r="G17" i="2"/>
  <c r="J20" i="2"/>
  <c r="I18" i="2"/>
  <c r="F66" i="4"/>
  <c r="F10" i="2"/>
  <c r="F15" i="2"/>
  <c r="F8" i="4"/>
  <c r="G10" i="4"/>
  <c r="H10" i="4" s="1"/>
  <c r="F64" i="4"/>
  <c r="G66" i="4"/>
  <c r="G94" i="4"/>
  <c r="H94" i="4" s="1"/>
  <c r="F94" i="4"/>
  <c r="G10" i="2"/>
  <c r="G15" i="2"/>
  <c r="C27" i="2"/>
  <c r="F6" i="4"/>
  <c r="G8" i="4"/>
  <c r="H8" i="4" s="1"/>
  <c r="F62" i="4"/>
  <c r="G64" i="4"/>
  <c r="D105" i="4"/>
  <c r="D3" i="1" s="1"/>
  <c r="H10" i="2"/>
  <c r="H15" i="2"/>
  <c r="F4" i="4"/>
  <c r="G6" i="4"/>
  <c r="H6" i="4" s="1"/>
  <c r="I10" i="4"/>
  <c r="J10" i="4" s="1"/>
  <c r="M18" i="4"/>
  <c r="N18" i="4" s="1"/>
  <c r="G35" i="4"/>
  <c r="H35" i="4" s="1"/>
  <c r="K43" i="4"/>
  <c r="L43" i="4" s="1"/>
  <c r="F60" i="4"/>
  <c r="G62" i="4"/>
  <c r="H62" i="4" s="1"/>
  <c r="I66" i="4"/>
  <c r="J66" i="4" s="1"/>
  <c r="G79" i="4"/>
  <c r="H79" i="4" s="1"/>
  <c r="K83" i="4"/>
  <c r="L83" i="4" s="1"/>
  <c r="G92" i="4"/>
  <c r="H92" i="4" s="1"/>
  <c r="F92" i="4"/>
  <c r="I94" i="4"/>
  <c r="J94" i="4" s="1"/>
  <c r="I10" i="2"/>
  <c r="I15" i="2"/>
  <c r="G4" i="4"/>
  <c r="H4" i="4" s="1"/>
  <c r="I8" i="4"/>
  <c r="G33" i="4"/>
  <c r="H33" i="4" s="1"/>
  <c r="F58" i="4"/>
  <c r="G60" i="4"/>
  <c r="H60" i="4" s="1"/>
  <c r="I64" i="4"/>
  <c r="J64" i="4" s="1"/>
  <c r="J10" i="2"/>
  <c r="I6" i="4"/>
  <c r="J6" i="4" s="1"/>
  <c r="K10" i="4"/>
  <c r="L10" i="4" s="1"/>
  <c r="G31" i="4"/>
  <c r="H31" i="4" s="1"/>
  <c r="I35" i="4"/>
  <c r="J35" i="4" s="1"/>
  <c r="F56" i="4"/>
  <c r="G58" i="4"/>
  <c r="H58" i="4" s="1"/>
  <c r="I62" i="4"/>
  <c r="K66" i="4"/>
  <c r="L66" i="4" s="1"/>
  <c r="G77" i="4"/>
  <c r="H77" i="4" s="1"/>
  <c r="I79" i="4"/>
  <c r="J79" i="4" s="1"/>
  <c r="G90" i="4"/>
  <c r="H90" i="4" s="1"/>
  <c r="F90" i="4"/>
  <c r="I92" i="4"/>
  <c r="K94" i="4"/>
  <c r="D106" i="4"/>
  <c r="D4" i="1" s="1"/>
  <c r="D11" i="1" s="1"/>
  <c r="L15" i="2"/>
  <c r="G27" i="2"/>
  <c r="I4" i="4"/>
  <c r="K8" i="4"/>
  <c r="L8" i="4" s="1"/>
  <c r="G29" i="4"/>
  <c r="H29" i="4" s="1"/>
  <c r="I33" i="4"/>
  <c r="J33" i="4" s="1"/>
  <c r="F54" i="4"/>
  <c r="G56" i="4"/>
  <c r="H56" i="4" s="1"/>
  <c r="I60" i="4"/>
  <c r="J60" i="4" s="1"/>
  <c r="K64" i="4"/>
  <c r="L64" i="4" s="1"/>
  <c r="L10" i="2"/>
  <c r="M15" i="2"/>
  <c r="K6" i="4"/>
  <c r="L6" i="4" s="1"/>
  <c r="M10" i="4"/>
  <c r="N10" i="4" s="1"/>
  <c r="F52" i="4"/>
  <c r="I58" i="4"/>
  <c r="K62" i="4"/>
  <c r="L62" i="4" s="1"/>
  <c r="M66" i="4"/>
  <c r="N66" i="4" s="1"/>
  <c r="G88" i="4"/>
  <c r="H88" i="4" s="1"/>
  <c r="F88" i="4"/>
  <c r="K92" i="4"/>
  <c r="L92" i="4" s="1"/>
  <c r="M94" i="4"/>
  <c r="N94" i="4" s="1"/>
  <c r="N15" i="2"/>
  <c r="I27" i="2"/>
  <c r="J30" i="2"/>
  <c r="K4" i="4"/>
  <c r="L4" i="4" s="1"/>
  <c r="M8" i="4"/>
  <c r="N8" i="4" s="1"/>
  <c r="F50" i="4"/>
  <c r="G52" i="4"/>
  <c r="H52" i="4" s="1"/>
  <c r="K60" i="4"/>
  <c r="L60" i="4" s="1"/>
  <c r="M64" i="4"/>
  <c r="N64" i="4" s="1"/>
  <c r="D107" i="4"/>
  <c r="D5" i="1" s="1"/>
  <c r="J63" i="4" l="1"/>
  <c r="J80" i="4"/>
  <c r="H69" i="4"/>
  <c r="J40" i="4"/>
  <c r="J9" i="4"/>
  <c r="H65" i="4"/>
  <c r="J48" i="4"/>
  <c r="J4" i="4"/>
  <c r="J47" i="4"/>
  <c r="H72" i="4"/>
  <c r="J41" i="4"/>
  <c r="E21" i="1"/>
  <c r="E26" i="1"/>
  <c r="D27" i="1"/>
  <c r="F84" i="3"/>
  <c r="E84" i="3"/>
  <c r="D84" i="3"/>
  <c r="C84" i="3"/>
  <c r="B83" i="3"/>
  <c r="N3" i="4"/>
  <c r="D11" i="3"/>
  <c r="D4" i="3"/>
  <c r="B11" i="3"/>
  <c r="F9" i="3"/>
  <c r="L9" i="3" s="1"/>
  <c r="B4" i="3"/>
  <c r="D9" i="3"/>
  <c r="C9" i="3"/>
  <c r="F7" i="3"/>
  <c r="F5" i="3"/>
  <c r="E7" i="3"/>
  <c r="E5" i="3"/>
  <c r="D7" i="3"/>
  <c r="D5" i="3"/>
  <c r="E9" i="3"/>
  <c r="C7" i="3"/>
  <c r="C5" i="3"/>
  <c r="F13" i="3"/>
  <c r="L13" i="3" s="1"/>
  <c r="F11" i="3"/>
  <c r="B9" i="3"/>
  <c r="B7" i="3"/>
  <c r="B5" i="3"/>
  <c r="E13" i="3"/>
  <c r="E11" i="3"/>
  <c r="D13" i="3"/>
  <c r="C11" i="3"/>
  <c r="C13" i="3"/>
  <c r="E12" i="3"/>
  <c r="E10" i="3"/>
  <c r="E8" i="3"/>
  <c r="E6" i="3"/>
  <c r="E4" i="3"/>
  <c r="B12" i="3"/>
  <c r="B10" i="3"/>
  <c r="B8" i="3"/>
  <c r="B6" i="3"/>
  <c r="C4" i="3"/>
  <c r="F10" i="3"/>
  <c r="F8" i="3"/>
  <c r="D8" i="3"/>
  <c r="B13" i="3"/>
  <c r="C8" i="3"/>
  <c r="F12" i="3"/>
  <c r="D12" i="3"/>
  <c r="C12" i="3"/>
  <c r="F6" i="3"/>
  <c r="D6" i="3"/>
  <c r="C6" i="3"/>
  <c r="D10" i="3"/>
  <c r="C10" i="3"/>
  <c r="F4" i="3"/>
  <c r="J53" i="4"/>
  <c r="L94" i="4"/>
  <c r="F32" i="2"/>
  <c r="J93" i="4"/>
  <c r="J5" i="4"/>
  <c r="J96" i="4"/>
  <c r="J12" i="4"/>
  <c r="J42" i="4"/>
  <c r="B34" i="3"/>
  <c r="F35" i="3"/>
  <c r="E35" i="3"/>
  <c r="D35" i="3"/>
  <c r="H3" i="4"/>
  <c r="C35" i="3"/>
  <c r="H67" i="4"/>
  <c r="J92" i="4"/>
  <c r="J62" i="4"/>
  <c r="D28" i="1"/>
  <c r="J77" i="4"/>
  <c r="E22" i="1"/>
  <c r="E23" i="1"/>
  <c r="J89" i="4"/>
  <c r="J82" i="4"/>
  <c r="J87" i="4"/>
  <c r="L39" i="4"/>
  <c r="J50" i="4"/>
  <c r="H70" i="4"/>
  <c r="J23" i="4"/>
  <c r="J58" i="4"/>
  <c r="D13" i="1"/>
  <c r="D9" i="1"/>
  <c r="D15" i="1"/>
  <c r="D14" i="1"/>
  <c r="J20" i="4"/>
  <c r="J28" i="4"/>
  <c r="H64" i="4"/>
  <c r="N35" i="4"/>
  <c r="E71" i="3"/>
  <c r="D71" i="3"/>
  <c r="C71" i="3"/>
  <c r="F71" i="3"/>
  <c r="L3" i="4"/>
  <c r="B70" i="3"/>
  <c r="L88" i="4"/>
  <c r="J95" i="4"/>
  <c r="J55" i="4"/>
  <c r="I17" i="3"/>
  <c r="H7" i="3"/>
  <c r="H13" i="3"/>
  <c r="H11" i="3"/>
  <c r="H12" i="3"/>
  <c r="H10" i="3"/>
  <c r="H8" i="3"/>
  <c r="H6" i="3"/>
  <c r="H4" i="3"/>
  <c r="L17" i="3"/>
  <c r="H5" i="3"/>
  <c r="H17" i="3"/>
  <c r="H36" i="2"/>
  <c r="C28" i="1"/>
  <c r="D29" i="1" s="1"/>
  <c r="J98" i="4"/>
  <c r="K17" i="3"/>
  <c r="Q17" i="3"/>
  <c r="C13" i="1"/>
  <c r="C14" i="1"/>
  <c r="C9" i="1"/>
  <c r="C15" i="1"/>
  <c r="J37" i="4"/>
  <c r="E12" i="1"/>
  <c r="C24" i="1"/>
  <c r="D25" i="1" s="1"/>
  <c r="P17" i="3"/>
  <c r="E56" i="3"/>
  <c r="D56" i="3"/>
  <c r="C56" i="3"/>
  <c r="J3" i="4"/>
  <c r="J75" i="4"/>
  <c r="J54" i="4"/>
  <c r="J27" i="4"/>
  <c r="J51" i="4"/>
  <c r="B55" i="3"/>
  <c r="J101" i="4"/>
  <c r="J25" i="4"/>
  <c r="J19" i="4"/>
  <c r="J24" i="4"/>
  <c r="F56" i="3"/>
  <c r="J49" i="4"/>
  <c r="E28" i="1"/>
  <c r="J43" i="4"/>
  <c r="D21" i="1"/>
  <c r="D26" i="1"/>
  <c r="E15" i="1"/>
  <c r="E13" i="1"/>
  <c r="E14" i="1"/>
  <c r="E9" i="1"/>
  <c r="J61" i="4"/>
  <c r="J16" i="4"/>
  <c r="J11" i="4"/>
  <c r="D10" i="1"/>
  <c r="C23" i="1"/>
  <c r="C22" i="1"/>
  <c r="D34" i="2"/>
  <c r="J7" i="4"/>
  <c r="N17" i="3"/>
  <c r="D23" i="1"/>
  <c r="D22" i="1"/>
  <c r="J8" i="4"/>
  <c r="L14" i="4"/>
  <c r="N102" i="4"/>
  <c r="J26" i="4"/>
  <c r="G17" i="3"/>
  <c r="H66" i="4"/>
  <c r="N32" i="2"/>
  <c r="J84" i="4"/>
  <c r="E24" i="1"/>
  <c r="E25" i="1" s="1"/>
  <c r="L36" i="2"/>
  <c r="J78" i="4"/>
  <c r="H32" i="2"/>
  <c r="J36" i="2"/>
  <c r="J22" i="4"/>
  <c r="L71" i="3" l="1"/>
  <c r="I71" i="3"/>
  <c r="H71" i="3"/>
  <c r="H67" i="3"/>
  <c r="D26" i="3"/>
  <c r="F31" i="3"/>
  <c r="L31" i="3" s="1"/>
  <c r="B26" i="3"/>
  <c r="E31" i="3"/>
  <c r="D31" i="3"/>
  <c r="C31" i="3"/>
  <c r="F28" i="3"/>
  <c r="H28" i="3" s="1"/>
  <c r="E26" i="3"/>
  <c r="F30" i="3"/>
  <c r="L30" i="3" s="1"/>
  <c r="E28" i="3"/>
  <c r="C26" i="3"/>
  <c r="E30" i="3"/>
  <c r="D28" i="3"/>
  <c r="D30" i="3"/>
  <c r="C28" i="3"/>
  <c r="C30" i="3"/>
  <c r="B28" i="3"/>
  <c r="B30" i="3"/>
  <c r="F29" i="3"/>
  <c r="E27" i="3"/>
  <c r="D25" i="3"/>
  <c r="D29" i="3"/>
  <c r="C27" i="3"/>
  <c r="B25" i="3"/>
  <c r="C29" i="3"/>
  <c r="B27" i="3"/>
  <c r="B29" i="3"/>
  <c r="F26" i="3"/>
  <c r="B31" i="3"/>
  <c r="F25" i="3"/>
  <c r="H25" i="3" s="1"/>
  <c r="E25" i="3"/>
  <c r="C25" i="3"/>
  <c r="E29" i="3"/>
  <c r="F27" i="3"/>
  <c r="L27" i="3" s="1"/>
  <c r="D27" i="3"/>
  <c r="G9" i="3"/>
  <c r="N9" i="3"/>
  <c r="O9" i="3"/>
  <c r="K71" i="3"/>
  <c r="Q71" i="3"/>
  <c r="H31" i="3"/>
  <c r="H29" i="3"/>
  <c r="L35" i="3"/>
  <c r="I35" i="3"/>
  <c r="H35" i="3"/>
  <c r="H26" i="3"/>
  <c r="J71" i="3"/>
  <c r="P71" i="3"/>
  <c r="H44" i="3"/>
  <c r="L56" i="3"/>
  <c r="I56" i="3"/>
  <c r="H48" i="3"/>
  <c r="H50" i="3"/>
  <c r="H52" i="3"/>
  <c r="H49" i="3"/>
  <c r="H47" i="3"/>
  <c r="H56" i="3"/>
  <c r="E20" i="3"/>
  <c r="Q20" i="3" s="1"/>
  <c r="Q4" i="3"/>
  <c r="K4" i="3"/>
  <c r="E14" i="3"/>
  <c r="E19" i="3"/>
  <c r="P35" i="3"/>
  <c r="J35" i="3"/>
  <c r="Q6" i="3"/>
  <c r="K6" i="3"/>
  <c r="D20" i="3"/>
  <c r="P4" i="3"/>
  <c r="D14" i="3"/>
  <c r="D19" i="3"/>
  <c r="P19" i="3" s="1"/>
  <c r="J4" i="3"/>
  <c r="Q8" i="3"/>
  <c r="K8" i="3"/>
  <c r="J11" i="3"/>
  <c r="P11" i="3"/>
  <c r="M13" i="3"/>
  <c r="M9" i="3"/>
  <c r="M17" i="3"/>
  <c r="K12" i="3"/>
  <c r="Q12" i="3"/>
  <c r="J9" i="3"/>
  <c r="P9" i="3"/>
  <c r="Q10" i="3"/>
  <c r="K10" i="3"/>
  <c r="J84" i="3"/>
  <c r="P84" i="3"/>
  <c r="I84" i="3"/>
  <c r="H84" i="3"/>
  <c r="H81" i="3"/>
  <c r="H87" i="3"/>
  <c r="H86" i="3"/>
  <c r="L84" i="3"/>
  <c r="H80" i="3"/>
  <c r="H79" i="3"/>
  <c r="H83" i="3"/>
  <c r="G71" i="3"/>
  <c r="N71" i="3"/>
  <c r="O71" i="3"/>
  <c r="J13" i="3"/>
  <c r="P13" i="3"/>
  <c r="F20" i="3"/>
  <c r="H20" i="3" s="1"/>
  <c r="F14" i="3"/>
  <c r="F19" i="3"/>
  <c r="H19" i="3" s="1"/>
  <c r="L4" i="3"/>
  <c r="M4" i="3" s="1"/>
  <c r="K13" i="3"/>
  <c r="Q13" i="3"/>
  <c r="G84" i="3"/>
  <c r="O84" i="3"/>
  <c r="N84" i="3"/>
  <c r="K11" i="3"/>
  <c r="Q11" i="3"/>
  <c r="G56" i="3"/>
  <c r="O56" i="3"/>
  <c r="N56" i="3"/>
  <c r="P10" i="3"/>
  <c r="J10" i="3"/>
  <c r="P56" i="3"/>
  <c r="J56" i="3"/>
  <c r="O6" i="3"/>
  <c r="G6" i="3"/>
  <c r="N6" i="3"/>
  <c r="Q56" i="3"/>
  <c r="K56" i="3"/>
  <c r="P6" i="3"/>
  <c r="J6" i="3"/>
  <c r="L11" i="3"/>
  <c r="M11" i="3" s="1"/>
  <c r="Q35" i="3"/>
  <c r="K35" i="3"/>
  <c r="D48" i="3"/>
  <c r="B48" i="3"/>
  <c r="F46" i="3"/>
  <c r="H46" i="3" s="1"/>
  <c r="E46" i="3"/>
  <c r="D46" i="3"/>
  <c r="C46" i="3"/>
  <c r="F49" i="3"/>
  <c r="E47" i="3"/>
  <c r="D45" i="3"/>
  <c r="C43" i="3"/>
  <c r="F51" i="3"/>
  <c r="L51" i="3" s="1"/>
  <c r="E49" i="3"/>
  <c r="D47" i="3"/>
  <c r="C45" i="3"/>
  <c r="B43" i="3"/>
  <c r="E51" i="3"/>
  <c r="D49" i="3"/>
  <c r="C47" i="3"/>
  <c r="B45" i="3"/>
  <c r="D51" i="3"/>
  <c r="C49" i="3"/>
  <c r="B47" i="3"/>
  <c r="C51" i="3"/>
  <c r="B49" i="3"/>
  <c r="B51" i="3"/>
  <c r="C44" i="3"/>
  <c r="B46" i="3"/>
  <c r="F48" i="3"/>
  <c r="F52" i="3"/>
  <c r="E50" i="3"/>
  <c r="C48" i="3"/>
  <c r="C52" i="3"/>
  <c r="B50" i="3"/>
  <c r="F45" i="3"/>
  <c r="E43" i="3"/>
  <c r="F47" i="3"/>
  <c r="L47" i="3" s="1"/>
  <c r="E45" i="3"/>
  <c r="D43" i="3"/>
  <c r="E48" i="3"/>
  <c r="F43" i="3"/>
  <c r="E52" i="3"/>
  <c r="D52" i="3"/>
  <c r="B52" i="3"/>
  <c r="F50" i="3"/>
  <c r="D50" i="3"/>
  <c r="F44" i="3"/>
  <c r="C50" i="3"/>
  <c r="E44" i="3"/>
  <c r="D44" i="3"/>
  <c r="B44" i="3"/>
  <c r="P12" i="3"/>
  <c r="J12" i="3"/>
  <c r="G7" i="3"/>
  <c r="O7" i="3"/>
  <c r="N7" i="3"/>
  <c r="L12" i="3"/>
  <c r="M12" i="3" s="1"/>
  <c r="K9" i="3"/>
  <c r="Q9" i="3"/>
  <c r="E80" i="3"/>
  <c r="C80" i="3"/>
  <c r="B80" i="3"/>
  <c r="B79" i="3"/>
  <c r="F80" i="3"/>
  <c r="L80" i="3" s="1"/>
  <c r="D80" i="3"/>
  <c r="F79" i="3"/>
  <c r="E79" i="3"/>
  <c r="D79" i="3"/>
  <c r="C79" i="3"/>
  <c r="I20" i="3"/>
  <c r="I7" i="3"/>
  <c r="I19" i="3"/>
  <c r="I8" i="3"/>
  <c r="I6" i="3"/>
  <c r="I4" i="3"/>
  <c r="I5" i="3"/>
  <c r="H9" i="3"/>
  <c r="I14" i="3" s="1"/>
  <c r="O8" i="3"/>
  <c r="G8" i="3"/>
  <c r="N8" i="3"/>
  <c r="P5" i="3"/>
  <c r="J5" i="3"/>
  <c r="E29" i="1"/>
  <c r="J7" i="3"/>
  <c r="P7" i="3"/>
  <c r="K84" i="3"/>
  <c r="Q84" i="3"/>
  <c r="O10" i="3"/>
  <c r="G10" i="3"/>
  <c r="N10" i="3"/>
  <c r="P8" i="3"/>
  <c r="J8" i="3"/>
  <c r="K5" i="3"/>
  <c r="Q5" i="3"/>
  <c r="G13" i="3"/>
  <c r="O13" i="3"/>
  <c r="N13" i="3"/>
  <c r="G11" i="3"/>
  <c r="O11" i="3"/>
  <c r="N11" i="3"/>
  <c r="N5" i="3"/>
  <c r="G5" i="3"/>
  <c r="O5" i="3"/>
  <c r="L8" i="3"/>
  <c r="M8" i="3" s="1"/>
  <c r="K7" i="3"/>
  <c r="Q7" i="3"/>
  <c r="L6" i="3"/>
  <c r="M6" i="3" s="1"/>
  <c r="L10" i="3"/>
  <c r="M10" i="3" s="1"/>
  <c r="L5" i="3"/>
  <c r="M5" i="3" s="1"/>
  <c r="N12" i="3"/>
  <c r="G12" i="3"/>
  <c r="O12" i="3"/>
  <c r="E27" i="1"/>
  <c r="D66" i="3"/>
  <c r="C64" i="3"/>
  <c r="C66" i="3"/>
  <c r="B64" i="3"/>
  <c r="B66" i="3"/>
  <c r="F65" i="3"/>
  <c r="L65" i="3" s="1"/>
  <c r="F67" i="3"/>
  <c r="E65" i="3"/>
  <c r="E67" i="3"/>
  <c r="D65" i="3"/>
  <c r="C67" i="3"/>
  <c r="B65" i="3"/>
  <c r="F66" i="3"/>
  <c r="E64" i="3"/>
  <c r="E66" i="3"/>
  <c r="D64" i="3"/>
  <c r="C65" i="3"/>
  <c r="F64" i="3"/>
  <c r="D67" i="3"/>
  <c r="B67" i="3"/>
  <c r="O35" i="3"/>
  <c r="N35" i="3"/>
  <c r="G35" i="3"/>
  <c r="O4" i="3"/>
  <c r="C19" i="3"/>
  <c r="G4" i="3"/>
  <c r="C14" i="3"/>
  <c r="C20" i="3"/>
  <c r="N4" i="3"/>
  <c r="L7" i="3"/>
  <c r="M7" i="3" s="1"/>
  <c r="I25" i="3" l="1"/>
  <c r="I37" i="3"/>
  <c r="I28" i="3"/>
  <c r="I26" i="3"/>
  <c r="M27" i="3"/>
  <c r="M25" i="3"/>
  <c r="M35" i="3"/>
  <c r="M30" i="3"/>
  <c r="M26" i="3"/>
  <c r="M31" i="3"/>
  <c r="G30" i="3"/>
  <c r="N30" i="3"/>
  <c r="O30" i="3"/>
  <c r="G28" i="3"/>
  <c r="N28" i="3"/>
  <c r="O28" i="3"/>
  <c r="E87" i="3"/>
  <c r="K79" i="3"/>
  <c r="Q79" i="3"/>
  <c r="E86" i="3"/>
  <c r="E81" i="3"/>
  <c r="D53" i="3"/>
  <c r="D59" i="3"/>
  <c r="P43" i="3"/>
  <c r="J43" i="3"/>
  <c r="D58" i="3"/>
  <c r="C59" i="3"/>
  <c r="C53" i="3"/>
  <c r="O43" i="3"/>
  <c r="C58" i="3"/>
  <c r="N43" i="3"/>
  <c r="G43" i="3"/>
  <c r="P28" i="3"/>
  <c r="J28" i="3"/>
  <c r="P45" i="3"/>
  <c r="J45" i="3"/>
  <c r="Q30" i="3"/>
  <c r="K30" i="3"/>
  <c r="O26" i="3"/>
  <c r="G26" i="3"/>
  <c r="N26" i="3"/>
  <c r="P47" i="3"/>
  <c r="J47" i="3"/>
  <c r="O48" i="3"/>
  <c r="N48" i="3"/>
  <c r="G48" i="3"/>
  <c r="Q52" i="3"/>
  <c r="K52" i="3"/>
  <c r="L45" i="3"/>
  <c r="Q46" i="3"/>
  <c r="K46" i="3"/>
  <c r="Q80" i="3"/>
  <c r="K80" i="3"/>
  <c r="H51" i="3"/>
  <c r="P31" i="3"/>
  <c r="J31" i="3"/>
  <c r="L52" i="3"/>
  <c r="P48" i="3"/>
  <c r="J48" i="3"/>
  <c r="P20" i="3"/>
  <c r="O25" i="3"/>
  <c r="N25" i="3"/>
  <c r="C32" i="3"/>
  <c r="C38" i="3"/>
  <c r="C37" i="3"/>
  <c r="G25" i="3"/>
  <c r="Q31" i="3"/>
  <c r="K31" i="3"/>
  <c r="N79" i="3"/>
  <c r="C87" i="3"/>
  <c r="G79" i="3"/>
  <c r="C81" i="3"/>
  <c r="O79" i="3"/>
  <c r="C86" i="3"/>
  <c r="K49" i="3"/>
  <c r="Q49" i="3"/>
  <c r="F53" i="3"/>
  <c r="F59" i="3"/>
  <c r="H59" i="3" s="1"/>
  <c r="F58" i="3"/>
  <c r="H58" i="3" s="1"/>
  <c r="L43" i="3"/>
  <c r="L49" i="3"/>
  <c r="P46" i="3"/>
  <c r="J46" i="3"/>
  <c r="M49" i="3"/>
  <c r="M56" i="3"/>
  <c r="M44" i="3"/>
  <c r="M43" i="3"/>
  <c r="M51" i="3"/>
  <c r="M47" i="3"/>
  <c r="M52" i="3"/>
  <c r="M45" i="3"/>
  <c r="M50" i="3"/>
  <c r="P14" i="3"/>
  <c r="D16" i="3"/>
  <c r="P67" i="3"/>
  <c r="J67" i="3"/>
  <c r="F68" i="3"/>
  <c r="L64" i="3"/>
  <c r="F73" i="3"/>
  <c r="H73" i="3" s="1"/>
  <c r="F74" i="3"/>
  <c r="H74" i="3" s="1"/>
  <c r="H14" i="3"/>
  <c r="F16" i="3"/>
  <c r="H16" i="3" s="1"/>
  <c r="L26" i="3"/>
  <c r="G66" i="3"/>
  <c r="O66" i="3"/>
  <c r="N66" i="3"/>
  <c r="Q47" i="3"/>
  <c r="K47" i="3"/>
  <c r="E59" i="3"/>
  <c r="Q59" i="3" s="1"/>
  <c r="E53" i="3"/>
  <c r="Q43" i="3"/>
  <c r="E58" i="3"/>
  <c r="Q58" i="3" s="1"/>
  <c r="K43" i="3"/>
  <c r="O46" i="3"/>
  <c r="N46" i="3"/>
  <c r="G46" i="3"/>
  <c r="P27" i="3"/>
  <c r="J27" i="3"/>
  <c r="O65" i="3"/>
  <c r="N65" i="3"/>
  <c r="G65" i="3"/>
  <c r="H27" i="3"/>
  <c r="I29" i="3" s="1"/>
  <c r="P30" i="3"/>
  <c r="J30" i="3"/>
  <c r="J66" i="3"/>
  <c r="P66" i="3"/>
  <c r="P26" i="3"/>
  <c r="J26" i="3"/>
  <c r="P64" i="3"/>
  <c r="D68" i="3"/>
  <c r="D74" i="3"/>
  <c r="P74" i="3" s="1"/>
  <c r="J64" i="3"/>
  <c r="D73" i="3"/>
  <c r="P73" i="3" s="1"/>
  <c r="G51" i="3"/>
  <c r="N51" i="3"/>
  <c r="O51" i="3"/>
  <c r="Q19" i="3"/>
  <c r="O19" i="3"/>
  <c r="N19" i="3"/>
  <c r="G19" i="3"/>
  <c r="O52" i="3"/>
  <c r="N52" i="3"/>
  <c r="G52" i="3"/>
  <c r="J51" i="3"/>
  <c r="P51" i="3"/>
  <c r="N27" i="3"/>
  <c r="O27" i="3"/>
  <c r="G27" i="3"/>
  <c r="J29" i="3"/>
  <c r="P29" i="3"/>
  <c r="H65" i="3"/>
  <c r="M80" i="3"/>
  <c r="M84" i="3"/>
  <c r="Q48" i="3"/>
  <c r="K48" i="3"/>
  <c r="Q45" i="3"/>
  <c r="K45" i="3"/>
  <c r="N14" i="3"/>
  <c r="G14" i="3"/>
  <c r="O14" i="3"/>
  <c r="C16" i="3"/>
  <c r="J19" i="3"/>
  <c r="J14" i="3"/>
  <c r="J16" i="3" s="1"/>
  <c r="J20" i="3"/>
  <c r="Q50" i="3"/>
  <c r="K50" i="3"/>
  <c r="G44" i="3"/>
  <c r="O44" i="3"/>
  <c r="N44" i="3"/>
  <c r="Q14" i="3"/>
  <c r="E16" i="3"/>
  <c r="I10" i="3"/>
  <c r="I12" i="3"/>
  <c r="O67" i="3"/>
  <c r="N67" i="3"/>
  <c r="G67" i="3"/>
  <c r="I9" i="3"/>
  <c r="L44" i="3"/>
  <c r="O47" i="3"/>
  <c r="G47" i="3"/>
  <c r="N47" i="3"/>
  <c r="H43" i="3"/>
  <c r="D37" i="3"/>
  <c r="P37" i="3" s="1"/>
  <c r="P25" i="3"/>
  <c r="D32" i="3"/>
  <c r="J25" i="3"/>
  <c r="D38" i="3"/>
  <c r="P38" i="3" s="1"/>
  <c r="C74" i="3"/>
  <c r="N64" i="3"/>
  <c r="C68" i="3"/>
  <c r="C73" i="3"/>
  <c r="O64" i="3"/>
  <c r="G64" i="3"/>
  <c r="G20" i="3"/>
  <c r="O20" i="3"/>
  <c r="N20" i="3"/>
  <c r="L19" i="3"/>
  <c r="M19" i="3" s="1"/>
  <c r="L14" i="3"/>
  <c r="L20" i="3"/>
  <c r="M20" i="3" s="1"/>
  <c r="P49" i="3"/>
  <c r="J49" i="3"/>
  <c r="K27" i="3"/>
  <c r="Q27" i="3"/>
  <c r="P79" i="3"/>
  <c r="D87" i="3"/>
  <c r="P87" i="3" s="1"/>
  <c r="J79" i="3"/>
  <c r="D81" i="3"/>
  <c r="D86" i="3"/>
  <c r="P86" i="3" s="1"/>
  <c r="F87" i="3"/>
  <c r="L79" i="3"/>
  <c r="F81" i="3"/>
  <c r="F83" i="3" s="1"/>
  <c r="F86" i="3"/>
  <c r="Q28" i="3"/>
  <c r="K28" i="3"/>
  <c r="O80" i="3"/>
  <c r="N80" i="3"/>
  <c r="G80" i="3"/>
  <c r="L46" i="3"/>
  <c r="M46" i="3" s="1"/>
  <c r="Q25" i="3"/>
  <c r="E32" i="3"/>
  <c r="K25" i="3"/>
  <c r="E38" i="3"/>
  <c r="Q38" i="3" s="1"/>
  <c r="E37" i="3"/>
  <c r="Q37" i="3" s="1"/>
  <c r="Q66" i="3"/>
  <c r="K66" i="3"/>
  <c r="J44" i="3"/>
  <c r="P44" i="3"/>
  <c r="H30" i="3"/>
  <c r="I31" i="3" s="1"/>
  <c r="Q44" i="3"/>
  <c r="K44" i="3"/>
  <c r="O50" i="3"/>
  <c r="G50" i="3"/>
  <c r="N50" i="3"/>
  <c r="Q67" i="3"/>
  <c r="K67" i="3"/>
  <c r="I13" i="3"/>
  <c r="K51" i="3"/>
  <c r="Q51" i="3"/>
  <c r="L29" i="3"/>
  <c r="M29" i="3" s="1"/>
  <c r="P80" i="3"/>
  <c r="J80" i="3"/>
  <c r="Q26" i="3"/>
  <c r="K26" i="3"/>
  <c r="G31" i="3"/>
  <c r="O31" i="3"/>
  <c r="N31" i="3"/>
  <c r="L48" i="3"/>
  <c r="M48" i="3" s="1"/>
  <c r="K14" i="3"/>
  <c r="K16" i="3" s="1"/>
  <c r="K19" i="3"/>
  <c r="K20" i="3"/>
  <c r="L66" i="3"/>
  <c r="P50" i="3"/>
  <c r="J50" i="3"/>
  <c r="Q65" i="3"/>
  <c r="K65" i="3"/>
  <c r="I87" i="3"/>
  <c r="I81" i="3"/>
  <c r="I80" i="3"/>
  <c r="I86" i="3"/>
  <c r="I79" i="3"/>
  <c r="H45" i="3"/>
  <c r="M64" i="3"/>
  <c r="M71" i="3"/>
  <c r="M65" i="3"/>
  <c r="M66" i="3"/>
  <c r="L28" i="3"/>
  <c r="M28" i="3" s="1"/>
  <c r="Q29" i="3"/>
  <c r="K29" i="3"/>
  <c r="F32" i="3"/>
  <c r="L25" i="3"/>
  <c r="F38" i="3"/>
  <c r="H38" i="3" s="1"/>
  <c r="F37" i="3"/>
  <c r="H37" i="3" s="1"/>
  <c r="G29" i="3"/>
  <c r="O29" i="3"/>
  <c r="N29" i="3"/>
  <c r="E74" i="3"/>
  <c r="E68" i="3"/>
  <c r="K64" i="3"/>
  <c r="Q64" i="3"/>
  <c r="E73" i="3"/>
  <c r="Q73" i="3" s="1"/>
  <c r="N49" i="3"/>
  <c r="G49" i="3"/>
  <c r="O49" i="3"/>
  <c r="H64" i="3"/>
  <c r="P65" i="3"/>
  <c r="J65" i="3"/>
  <c r="I11" i="3"/>
  <c r="L50" i="3"/>
  <c r="L67" i="3"/>
  <c r="M67" i="3" s="1"/>
  <c r="P52" i="3"/>
  <c r="J52" i="3"/>
  <c r="N45" i="3"/>
  <c r="O45" i="3"/>
  <c r="G45" i="3"/>
  <c r="H66" i="3"/>
  <c r="G87" i="3" l="1"/>
  <c r="O87" i="3"/>
  <c r="N87" i="3"/>
  <c r="O38" i="3"/>
  <c r="N38" i="3"/>
  <c r="G38" i="3"/>
  <c r="O37" i="3"/>
  <c r="N37" i="3"/>
  <c r="G37" i="3"/>
  <c r="I53" i="3"/>
  <c r="I51" i="3"/>
  <c r="I44" i="3"/>
  <c r="I46" i="3"/>
  <c r="I50" i="3"/>
  <c r="I52" i="3"/>
  <c r="I58" i="3"/>
  <c r="I47" i="3"/>
  <c r="I59" i="3"/>
  <c r="I45" i="3"/>
  <c r="I49" i="3"/>
  <c r="I43" i="3"/>
  <c r="I48" i="3"/>
  <c r="J38" i="3"/>
  <c r="J32" i="3"/>
  <c r="J34" i="3" s="1"/>
  <c r="J37" i="3"/>
  <c r="P32" i="3"/>
  <c r="D34" i="3"/>
  <c r="P34" i="3" s="1"/>
  <c r="O73" i="3"/>
  <c r="N73" i="3"/>
  <c r="G73" i="3"/>
  <c r="P58" i="3"/>
  <c r="O59" i="3"/>
  <c r="N59" i="3"/>
  <c r="G59" i="3"/>
  <c r="L53" i="3"/>
  <c r="L59" i="3"/>
  <c r="M59" i="3" s="1"/>
  <c r="L58" i="3"/>
  <c r="M58" i="3" s="1"/>
  <c r="J53" i="3"/>
  <c r="J55" i="3" s="1"/>
  <c r="J59" i="3"/>
  <c r="J58" i="3"/>
  <c r="G68" i="3"/>
  <c r="O68" i="3"/>
  <c r="N68" i="3"/>
  <c r="C70" i="3"/>
  <c r="G16" i="3"/>
  <c r="O16" i="3"/>
  <c r="N16" i="3"/>
  <c r="O74" i="3"/>
  <c r="N74" i="3"/>
  <c r="G74" i="3"/>
  <c r="J68" i="3"/>
  <c r="J70" i="3" s="1"/>
  <c r="J74" i="3"/>
  <c r="J73" i="3"/>
  <c r="P59" i="3"/>
  <c r="I30" i="3"/>
  <c r="Q32" i="3"/>
  <c r="E34" i="3"/>
  <c r="Q34" i="3" s="1"/>
  <c r="I68" i="3"/>
  <c r="I66" i="3"/>
  <c r="I74" i="3"/>
  <c r="I67" i="3"/>
  <c r="I73" i="3"/>
  <c r="I64" i="3"/>
  <c r="I65" i="3"/>
  <c r="P68" i="3"/>
  <c r="D70" i="3"/>
  <c r="P70" i="3" s="1"/>
  <c r="P53" i="3"/>
  <c r="D55" i="3"/>
  <c r="P55" i="3" s="1"/>
  <c r="L87" i="3"/>
  <c r="M87" i="3" s="1"/>
  <c r="L81" i="3"/>
  <c r="L86" i="3"/>
  <c r="M86" i="3" s="1"/>
  <c r="Q68" i="3"/>
  <c r="E70" i="3"/>
  <c r="Q70" i="3" s="1"/>
  <c r="F55" i="3"/>
  <c r="H55" i="3" s="1"/>
  <c r="H53" i="3"/>
  <c r="Q16" i="3"/>
  <c r="Q86" i="3"/>
  <c r="I27" i="3"/>
  <c r="G32" i="3"/>
  <c r="O32" i="3"/>
  <c r="N32" i="3"/>
  <c r="C34" i="3"/>
  <c r="O58" i="3"/>
  <c r="N58" i="3"/>
  <c r="G58" i="3"/>
  <c r="P81" i="3"/>
  <c r="D83" i="3"/>
  <c r="P83" i="3" s="1"/>
  <c r="K68" i="3"/>
  <c r="K70" i="3" s="1"/>
  <c r="K74" i="3"/>
  <c r="K73" i="3"/>
  <c r="O86" i="3"/>
  <c r="G86" i="3"/>
  <c r="N86" i="3"/>
  <c r="J81" i="3"/>
  <c r="J83" i="3" s="1"/>
  <c r="J87" i="3"/>
  <c r="J86" i="3"/>
  <c r="Q74" i="3"/>
  <c r="L16" i="3"/>
  <c r="M16" i="3" s="1"/>
  <c r="M14" i="3"/>
  <c r="I38" i="3"/>
  <c r="K53" i="3"/>
  <c r="K55" i="3" s="1"/>
  <c r="K59" i="3"/>
  <c r="K58" i="3"/>
  <c r="M79" i="3"/>
  <c r="F70" i="3"/>
  <c r="H70" i="3" s="1"/>
  <c r="H68" i="3"/>
  <c r="Q81" i="3"/>
  <c r="E83" i="3"/>
  <c r="Q83" i="3" s="1"/>
  <c r="P16" i="3"/>
  <c r="K81" i="3"/>
  <c r="K83" i="3" s="1"/>
  <c r="K87" i="3"/>
  <c r="K86" i="3"/>
  <c r="L38" i="3"/>
  <c r="M38" i="3" s="1"/>
  <c r="L37" i="3"/>
  <c r="M37" i="3" s="1"/>
  <c r="L32" i="3"/>
  <c r="N81" i="3"/>
  <c r="O81" i="3"/>
  <c r="G81" i="3"/>
  <c r="C83" i="3"/>
  <c r="Q87" i="3"/>
  <c r="I32" i="3"/>
  <c r="Q53" i="3"/>
  <c r="E55" i="3"/>
  <c r="G53" i="3"/>
  <c r="N53" i="3"/>
  <c r="O53" i="3"/>
  <c r="C55" i="3"/>
  <c r="L74" i="3"/>
  <c r="M74" i="3" s="1"/>
  <c r="L73" i="3"/>
  <c r="M73" i="3" s="1"/>
  <c r="L68" i="3"/>
  <c r="H32" i="3"/>
  <c r="F34" i="3"/>
  <c r="H34" i="3" s="1"/>
  <c r="K38" i="3"/>
  <c r="K32" i="3"/>
  <c r="K34" i="3" s="1"/>
  <c r="K37" i="3"/>
  <c r="O55" i="3" l="1"/>
  <c r="N55" i="3"/>
  <c r="G55" i="3"/>
  <c r="Q55" i="3"/>
  <c r="O34" i="3"/>
  <c r="N34" i="3"/>
  <c r="G34" i="3"/>
  <c r="L70" i="3"/>
  <c r="M70" i="3" s="1"/>
  <c r="M68" i="3"/>
  <c r="G70" i="3"/>
  <c r="O70" i="3"/>
  <c r="N70" i="3"/>
  <c r="L34" i="3"/>
  <c r="M34" i="3" s="1"/>
  <c r="M32" i="3"/>
  <c r="M81" i="3"/>
  <c r="L83" i="3"/>
  <c r="M83" i="3" s="1"/>
  <c r="M53" i="3"/>
  <c r="L55" i="3"/>
  <c r="M55" i="3" s="1"/>
  <c r="O83" i="3"/>
  <c r="N83" i="3"/>
  <c r="G83" i="3"/>
</calcChain>
</file>

<file path=xl/sharedStrings.xml><?xml version="1.0" encoding="utf-8"?>
<sst xmlns="http://schemas.openxmlformats.org/spreadsheetml/2006/main" count="299" uniqueCount="102">
  <si>
    <t>Annual Waterfall</t>
  </si>
  <si>
    <t>Dec-22</t>
  </si>
  <si>
    <t>Dec-23</t>
  </si>
  <si>
    <t>Dec-24</t>
  </si>
  <si>
    <t>Dec-25</t>
  </si>
  <si>
    <t>BoP ARR</t>
  </si>
  <si>
    <t>New</t>
  </si>
  <si>
    <t>Upsell</t>
  </si>
  <si>
    <t>(Downsell)</t>
  </si>
  <si>
    <t>(Churn)</t>
  </si>
  <si>
    <t>EoP ARR</t>
  </si>
  <si>
    <t>% Growth</t>
  </si>
  <si>
    <t>Net New ARR</t>
  </si>
  <si>
    <t>New + Upsell</t>
  </si>
  <si>
    <t>Downsell + Churn</t>
  </si>
  <si>
    <t>Gross Retention %</t>
  </si>
  <si>
    <t>Loss-Only Retention %</t>
  </si>
  <si>
    <t>Net Retention %</t>
  </si>
  <si>
    <t>Customer Waterfall</t>
  </si>
  <si>
    <t>BoP Customers</t>
  </si>
  <si>
    <t>EoP Customers</t>
  </si>
  <si>
    <t>Net Logos Added</t>
  </si>
  <si>
    <t>Logo % Growth</t>
  </si>
  <si>
    <t>Gross Logo Retention %</t>
  </si>
  <si>
    <t>Avg. Logo Size ($ Actuals)</t>
  </si>
  <si>
    <t>Avg Logo Size YoY Growth</t>
  </si>
  <si>
    <t>Avg. New Logo Size ($ Actuals)</t>
  </si>
  <si>
    <t>Avg New Logo Size YoY Growth</t>
  </si>
  <si>
    <t>Avg. Churned Logo Size ($ Actuals)</t>
  </si>
  <si>
    <t>Avg Churned Logo Size YoY Growth</t>
  </si>
  <si>
    <t>Quarterly Waterfall</t>
  </si>
  <si>
    <t>Q4-22</t>
  </si>
  <si>
    <t>Q1-23</t>
  </si>
  <si>
    <t>Q2-23</t>
  </si>
  <si>
    <t>Q3-23</t>
  </si>
  <si>
    <t>Q4-23</t>
  </si>
  <si>
    <t>Q1-24</t>
  </si>
  <si>
    <t>Q2-24</t>
  </si>
  <si>
    <t>Q3-24</t>
  </si>
  <si>
    <t>Q4-24</t>
  </si>
  <si>
    <t>Q1-25</t>
  </si>
  <si>
    <t>Q2-25</t>
  </si>
  <si>
    <t>Q3-25</t>
  </si>
  <si>
    <t>Q4-25</t>
  </si>
  <si>
    <t>% Growth QoQ Annualized</t>
  </si>
  <si>
    <t>% Growth QoQ</t>
  </si>
  <si>
    <t>% Growth YoY</t>
  </si>
  <si>
    <t>Net New ARR QoQ</t>
  </si>
  <si>
    <t>New + Upsell QoQ</t>
  </si>
  <si>
    <t>Downsell + Churn QoQ</t>
  </si>
  <si>
    <t>Gross Retention (QoQ Annualized)</t>
  </si>
  <si>
    <t>Loss-Only Retention (QoQ Annualized)</t>
  </si>
  <si>
    <t>Net Retention (QoQ Annualized)</t>
  </si>
  <si>
    <t>Gross Retention (LTM)</t>
  </si>
  <si>
    <t>Loss-Only Retention (LTM)</t>
  </si>
  <si>
    <t>Net Retention (LTM)</t>
  </si>
  <si>
    <t>Logo % Growth (YoY)</t>
  </si>
  <si>
    <t>Gross Logo Retention (QoQ Annualized)</t>
  </si>
  <si>
    <t>Gross Logo Retention (YoY)</t>
  </si>
  <si>
    <t>Avg Logo Size QoQ Growth</t>
  </si>
  <si>
    <t>Avg New Logo Size QoQ Growth</t>
  </si>
  <si>
    <t>Avg Churned Logo Size QoQ Growth</t>
  </si>
  <si>
    <t>Top Customers as of Dec-25</t>
  </si>
  <si>
    <t>($ Actuals)</t>
  </si>
  <si>
    <t>ARR</t>
  </si>
  <si>
    <t>$ Growth</t>
  </si>
  <si>
    <t>Rank</t>
  </si>
  <si>
    <t>Customer</t>
  </si>
  <si>
    <t>Dec-22 - Dec-25 CAGR</t>
  </si>
  <si>
    <t>% of Dec-25 ARR</t>
  </si>
  <si>
    <t>% Total Cum.</t>
  </si>
  <si>
    <t>Dec-22 - Dec-23</t>
  </si>
  <si>
    <t>Dec-23 - Dec-24</t>
  </si>
  <si>
    <t>Dec-24 - Dec-25</t>
  </si>
  <si>
    <t>% of Dec-24 - Dec-25 Growth</t>
  </si>
  <si>
    <t>Mult. of Initial</t>
  </si>
  <si>
    <t>Customer Since</t>
  </si>
  <si>
    <t>Mar-23</t>
  </si>
  <si>
    <t>Jun-25</t>
  </si>
  <si>
    <t>Total Top 10</t>
  </si>
  <si>
    <t>Total Customers</t>
  </si>
  <si>
    <t>Total Top 5</t>
  </si>
  <si>
    <t>% of New Dec-24 - Dec-25</t>
  </si>
  <si>
    <t>Total New Customers</t>
  </si>
  <si>
    <t>% of Upsell Dec-24 - Dec-25</t>
  </si>
  <si>
    <t>Total Upsell Customers</t>
  </si>
  <si>
    <t>% of Downsell Dec-24 - Dec-25</t>
  </si>
  <si>
    <t>Total Downsell Customers</t>
  </si>
  <si>
    <t>% of Churn Dec-24 - Dec-25</t>
  </si>
  <si>
    <t>Total Churn Customers</t>
  </si>
  <si>
    <t>Intermediate Calculations</t>
  </si>
  <si>
    <t>YoY New $</t>
  </si>
  <si>
    <t>Rnk New</t>
  </si>
  <si>
    <t>YoY Upsell $</t>
  </si>
  <si>
    <t>Rnk Up</t>
  </si>
  <si>
    <t>YoY Down $</t>
  </si>
  <si>
    <t>Rnk Dn</t>
  </si>
  <si>
    <t>YoY Churn $</t>
  </si>
  <si>
    <t>Rnk Ch</t>
  </si>
  <si>
    <t>Annual Waterfall Aggregates</t>
  </si>
  <si>
    <t>Quarterly Waterfall Aggregates</t>
  </si>
  <si>
    <t>Customers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</si>
</sst>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&quot;$&quot;* #,##0_);_(&quot;$&quot;* \(#,##0\);_(&quot;$&quot;* &quot;-&quot;??_);_(@_)"/>
    <numFmt numFmtId="165" formatCode="0%_);\(0%\);&quot; - &quot;"/>
    <numFmt numFmtId="166" formatCode="_(* #,##0_);_(* \(#,##0\);_(* &quot; - &quot;?_);_(@_)"/>
    <numFmt numFmtId="167" formatCode="\(#,##0\);\(#,##0\);&quot; - &quot;"/>
    <numFmt numFmtId="168" formatCode="yyyy\-mm\-dd\ h:mm:ss"/>
    <numFmt numFmtId="169" formatCode="0.0&quot;x&quot;_);\(0.0&quot;x&quot;\);&quot; - &quot;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i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lightDown">
        <fgColor rgb="FFD9D9D9"/>
        <bgColor rgb="FFF2F2F2"/>
      </patternFill>
    </fill>
    <fill>
      <patternFill patternType="solid">
        <fgColor rgb="FFF2E4D8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 applyAlignment="1">
      <alignment horizontal="center"/>
    </xf>
    <xf numFmtId="0" fontId="0" fillId="2" borderId="0" xfId="0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left"/>
    </xf>
    <xf numFmtId="0" fontId="0" fillId="3" borderId="0" xfId="0" applyFill="1"/>
    <xf numFmtId="164" fontId="0" fillId="0" borderId="0" xfId="0" applyNumberFormat="1" applyAlignment="1">
      <alignment horizontal="right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 applyAlignment="1">
      <alignment horizontal="right"/>
    </xf>
    <xf numFmtId="0" fontId="3" fillId="0" borderId="0" xfId="0" applyFont="1" applyAlignment="1">
      <alignment horizontal="left"/>
    </xf>
    <xf numFmtId="165" fontId="3" fillId="0" borderId="0" xfId="0" applyNumberFormat="1" applyFont="1" applyAlignment="1">
      <alignment horizontal="right"/>
    </xf>
    <xf numFmtId="164" fontId="3" fillId="0" borderId="0" xfId="0" applyNumberFormat="1" applyFont="1" applyAlignment="1">
      <alignment horizontal="right"/>
    </xf>
    <xf numFmtId="0" fontId="2" fillId="4" borderId="0" xfId="0" applyFont="1" applyFill="1" applyAlignment="1">
      <alignment horizontal="left"/>
    </xf>
    <xf numFmtId="0" fontId="2" fillId="4" borderId="0" xfId="0" applyFont="1" applyFill="1"/>
    <xf numFmtId="165" fontId="2" fillId="4" borderId="0" xfId="0" applyNumberFormat="1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1" fillId="2" borderId="0" xfId="0" applyFont="1" applyFill="1"/>
    <xf numFmtId="166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/>
    </xf>
    <xf numFmtId="166" fontId="2" fillId="0" borderId="1" xfId="0" applyNumberFormat="1" applyFont="1" applyBorder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 applyAlignment="1">
      <alignment horizontal="right"/>
    </xf>
    <xf numFmtId="16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165" fontId="2" fillId="0" borderId="1" xfId="0" applyNumberFormat="1" applyFont="1" applyBorder="1" applyAlignment="1">
      <alignment horizontal="right"/>
    </xf>
    <xf numFmtId="169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10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workbookViewId="0"/>
  </sheetViews>
  <sheetFormatPr defaultRowHeight="15" x14ac:dyDescent="0.25"/>
  <cols>
    <col min="1" max="1" width="36" customWidth="1"/>
    <col min="2" max="5" width="14" customWidth="1"/>
  </cols>
  <sheetData>
    <row r="1" spans="1:5" x14ac:dyDescent="0.25">
      <c r="A1" s="1" t="s">
        <v>0</v>
      </c>
      <c r="B1" s="2"/>
      <c r="C1" s="2"/>
      <c r="D1" s="2"/>
      <c r="E1" s="2"/>
    </row>
    <row r="2" spans="1:5" x14ac:dyDescent="0.25">
      <c r="A2" s="2"/>
      <c r="B2" s="3" t="s">
        <v>1</v>
      </c>
      <c r="C2" s="3" t="s">
        <v>2</v>
      </c>
      <c r="D2" s="3" t="s">
        <v>3</v>
      </c>
      <c r="E2" s="3" t="s">
        <v>4</v>
      </c>
    </row>
    <row r="3" spans="1:5" x14ac:dyDescent="0.25">
      <c r="A3" s="4" t="s">
        <v>5</v>
      </c>
      <c r="B3" s="5"/>
      <c r="C3" s="6">
        <f>'Intermediate Calcs'!$C$105</f>
        <v>216022.80000000005</v>
      </c>
      <c r="D3" s="6">
        <f>'Intermediate Calcs'!$D$105</f>
        <v>214713.59999999998</v>
      </c>
      <c r="E3" s="6">
        <f>'Intermediate Calcs'!$E$105</f>
        <v>223283.87999999995</v>
      </c>
    </row>
    <row r="4" spans="1:5" x14ac:dyDescent="0.25">
      <c r="A4" s="4" t="s">
        <v>6</v>
      </c>
      <c r="B4" s="5"/>
      <c r="C4" s="6">
        <f>'Intermediate Calcs'!$C$106</f>
        <v>14969.759999999998</v>
      </c>
      <c r="D4" s="6">
        <f>'Intermediate Calcs'!$D$106</f>
        <v>12625.2</v>
      </c>
      <c r="E4" s="6">
        <f>'Intermediate Calcs'!$E$106</f>
        <v>23635.680000000004</v>
      </c>
    </row>
    <row r="5" spans="1:5" x14ac:dyDescent="0.25">
      <c r="A5" s="4" t="s">
        <v>7</v>
      </c>
      <c r="B5" s="5"/>
      <c r="C5" s="6">
        <f>'Intermediate Calcs'!$C$107</f>
        <v>4359.72</v>
      </c>
      <c r="D5" s="6">
        <f>'Intermediate Calcs'!$D$107</f>
        <v>4117.68</v>
      </c>
      <c r="E5" s="6">
        <f>'Intermediate Calcs'!$E$107</f>
        <v>5916.119999999999</v>
      </c>
    </row>
    <row r="6" spans="1:5" x14ac:dyDescent="0.25">
      <c r="A6" s="4" t="s">
        <v>8</v>
      </c>
      <c r="B6" s="5"/>
      <c r="C6" s="6">
        <f>'Intermediate Calcs'!$C$108</f>
        <v>-4758.72</v>
      </c>
      <c r="D6" s="6">
        <f>'Intermediate Calcs'!$D$108</f>
        <v>-552.59999999999991</v>
      </c>
      <c r="E6" s="6">
        <f>'Intermediate Calcs'!$E$108</f>
        <v>-3482.2799999999997</v>
      </c>
    </row>
    <row r="7" spans="1:5" x14ac:dyDescent="0.25">
      <c r="A7" s="4" t="s">
        <v>9</v>
      </c>
      <c r="B7" s="5"/>
      <c r="C7" s="6">
        <f>'Intermediate Calcs'!$C$109</f>
        <v>-15879.96</v>
      </c>
      <c r="D7" s="6">
        <f>'Intermediate Calcs'!$D$109</f>
        <v>-7620</v>
      </c>
      <c r="E7" s="6">
        <f>'Intermediate Calcs'!$E$109</f>
        <v>-4536</v>
      </c>
    </row>
    <row r="8" spans="1:5" x14ac:dyDescent="0.25">
      <c r="A8" s="7" t="s">
        <v>10</v>
      </c>
      <c r="B8" s="8">
        <f>'Intermediate Calcs'!$B$110</f>
        <v>216022.80000000005</v>
      </c>
      <c r="C8" s="8">
        <f>'Intermediate Calcs'!$C$110</f>
        <v>214713.59999999998</v>
      </c>
      <c r="D8" s="8">
        <f>'Intermediate Calcs'!$D$110</f>
        <v>223283.87999999995</v>
      </c>
      <c r="E8" s="8">
        <f>'Intermediate Calcs'!$E$110</f>
        <v>244817.40000000005</v>
      </c>
    </row>
    <row r="9" spans="1:5" x14ac:dyDescent="0.25">
      <c r="A9" s="9" t="s">
        <v>11</v>
      </c>
      <c r="B9" s="5"/>
      <c r="C9" s="10">
        <f>IF(C3=0,0,C8/C3-1)</f>
        <v>-6.0604713946864619E-3</v>
      </c>
      <c r="D9" s="10">
        <f>IF(D3=0,0,D8/D3-1)</f>
        <v>3.9914937852096877E-2</v>
      </c>
      <c r="E9" s="10">
        <f>IF(E3=0,0,E8/E3-1)</f>
        <v>9.644010127376923E-2</v>
      </c>
    </row>
    <row r="10" spans="1:5" x14ac:dyDescent="0.25">
      <c r="A10" s="9" t="s">
        <v>12</v>
      </c>
      <c r="B10" s="5"/>
      <c r="C10" s="11">
        <f>C8-C3</f>
        <v>-1309.2000000000698</v>
      </c>
      <c r="D10" s="11">
        <f>D8-D3</f>
        <v>8570.2799999999697</v>
      </c>
      <c r="E10" s="11">
        <f>E8-E3</f>
        <v>21533.520000000106</v>
      </c>
    </row>
    <row r="11" spans="1:5" x14ac:dyDescent="0.25">
      <c r="A11" s="9" t="s">
        <v>13</v>
      </c>
      <c r="B11" s="5"/>
      <c r="C11" s="11">
        <f>C4+C5</f>
        <v>19329.48</v>
      </c>
      <c r="D11" s="11">
        <f>D4+D5</f>
        <v>16742.88</v>
      </c>
      <c r="E11" s="11">
        <f>E4+E5</f>
        <v>29551.800000000003</v>
      </c>
    </row>
    <row r="12" spans="1:5" x14ac:dyDescent="0.25">
      <c r="A12" s="9" t="s">
        <v>14</v>
      </c>
      <c r="B12" s="5"/>
      <c r="C12" s="11">
        <f>C6+C7</f>
        <v>-20638.68</v>
      </c>
      <c r="D12" s="11">
        <f>D6+D7</f>
        <v>-8172.6</v>
      </c>
      <c r="E12" s="11">
        <f>E6+E7</f>
        <v>-8018.28</v>
      </c>
    </row>
    <row r="13" spans="1:5" x14ac:dyDescent="0.25">
      <c r="A13" s="12" t="s">
        <v>15</v>
      </c>
      <c r="B13" s="13"/>
      <c r="C13" s="14">
        <f>IF(C3=0,0,(C3+C6+C7)/C3)</f>
        <v>0.90446064026574979</v>
      </c>
      <c r="D13" s="14">
        <f>IF(D3=0,0,(D3+D6+D7)/D3)</f>
        <v>0.96193720379146919</v>
      </c>
      <c r="E13" s="14">
        <f>IF(E3=0,0,(E3+E6+E7)/E3)</f>
        <v>0.96408930192363196</v>
      </c>
    </row>
    <row r="14" spans="1:5" x14ac:dyDescent="0.25">
      <c r="A14" s="12" t="s">
        <v>16</v>
      </c>
      <c r="B14" s="13"/>
      <c r="C14" s="14">
        <f>IF(C3=0,0,(C3+C7)/C3)</f>
        <v>0.92648942611613228</v>
      </c>
      <c r="D14" s="14">
        <f>IF(D3=0,0,(D3+D7)/D3)</f>
        <v>0.9645108647053563</v>
      </c>
      <c r="E14" s="14">
        <f>IF(E3=0,0,(E3+E7)/E3)</f>
        <v>0.9796850538426688</v>
      </c>
    </row>
    <row r="15" spans="1:5" x14ac:dyDescent="0.25">
      <c r="A15" s="12" t="s">
        <v>17</v>
      </c>
      <c r="B15" s="13"/>
      <c r="C15" s="14">
        <f>IF(C3=0,0,(C3+C5+C6+C7)/C3)</f>
        <v>0.92464239885789834</v>
      </c>
      <c r="D15" s="14">
        <f>IF(D3=0,0,(D3+D5+D6+D7)/D3)</f>
        <v>0.98111475006706605</v>
      </c>
      <c r="E15" s="14">
        <f>IF(E3=0,0,(E3+E5+E6+E7)/E3)</f>
        <v>0.99058525855068447</v>
      </c>
    </row>
    <row r="16" spans="1:5" x14ac:dyDescent="0.25">
      <c r="A16" s="15" t="s">
        <v>18</v>
      </c>
      <c r="B16" s="16"/>
      <c r="C16" s="16"/>
      <c r="D16" s="16"/>
      <c r="E16" s="16"/>
    </row>
    <row r="17" spans="1:5" x14ac:dyDescent="0.25">
      <c r="A17" s="4" t="s">
        <v>19</v>
      </c>
      <c r="B17" s="5"/>
      <c r="C17" s="17">
        <f>'Intermediate Calcs'!$C$112</f>
        <v>79</v>
      </c>
      <c r="D17" s="17">
        <f>'Intermediate Calcs'!$D$112</f>
        <v>79</v>
      </c>
      <c r="E17" s="17">
        <f>'Intermediate Calcs'!$E$112</f>
        <v>80</v>
      </c>
    </row>
    <row r="18" spans="1:5" x14ac:dyDescent="0.25">
      <c r="A18" s="4" t="s">
        <v>6</v>
      </c>
      <c r="B18" s="5"/>
      <c r="C18" s="17">
        <f>'Intermediate Calcs'!$C$113</f>
        <v>6</v>
      </c>
      <c r="D18" s="17">
        <f>'Intermediate Calcs'!$D$113</f>
        <v>5</v>
      </c>
      <c r="E18" s="17">
        <f>'Intermediate Calcs'!$E$113</f>
        <v>7</v>
      </c>
    </row>
    <row r="19" spans="1:5" x14ac:dyDescent="0.25">
      <c r="A19" s="4" t="s">
        <v>9</v>
      </c>
      <c r="B19" s="5"/>
      <c r="C19" s="18">
        <f>'Intermediate Calcs'!$C$114</f>
        <v>6</v>
      </c>
      <c r="D19" s="18">
        <f>'Intermediate Calcs'!$D$114</f>
        <v>4</v>
      </c>
      <c r="E19" s="18">
        <f>'Intermediate Calcs'!$E$114</f>
        <v>2</v>
      </c>
    </row>
    <row r="20" spans="1:5" x14ac:dyDescent="0.25">
      <c r="A20" s="7" t="s">
        <v>20</v>
      </c>
      <c r="B20" s="19">
        <f>'Intermediate Calcs'!$B$115</f>
        <v>79</v>
      </c>
      <c r="C20" s="19">
        <f>'Intermediate Calcs'!$C$115</f>
        <v>79</v>
      </c>
      <c r="D20" s="19">
        <f>'Intermediate Calcs'!$D$115</f>
        <v>80</v>
      </c>
      <c r="E20" s="19">
        <f>'Intermediate Calcs'!$E$115</f>
        <v>85</v>
      </c>
    </row>
    <row r="21" spans="1:5" x14ac:dyDescent="0.25">
      <c r="A21" s="9" t="s">
        <v>21</v>
      </c>
      <c r="B21" s="5"/>
      <c r="C21" s="20">
        <f>C18-C19</f>
        <v>0</v>
      </c>
      <c r="D21" s="20">
        <f>D18-D19</f>
        <v>1</v>
      </c>
      <c r="E21" s="20">
        <f>E18-E19</f>
        <v>5</v>
      </c>
    </row>
    <row r="22" spans="1:5" x14ac:dyDescent="0.25">
      <c r="A22" s="9" t="s">
        <v>22</v>
      </c>
      <c r="B22" s="5"/>
      <c r="C22" s="10">
        <f>IF(C17=0,0,C20/C17-1)</f>
        <v>0</v>
      </c>
      <c r="D22" s="10">
        <f>IF(D17=0,0,D20/D17-1)</f>
        <v>1.2658227848101333E-2</v>
      </c>
      <c r="E22" s="10">
        <f>IF(E17=0,0,E20/E17-1)</f>
        <v>6.25E-2</v>
      </c>
    </row>
    <row r="23" spans="1:5" x14ac:dyDescent="0.25">
      <c r="A23" s="12" t="s">
        <v>23</v>
      </c>
      <c r="B23" s="13"/>
      <c r="C23" s="14">
        <f>IF(C17=0,0,(C17-C19)/C17)</f>
        <v>0.92405063291139244</v>
      </c>
      <c r="D23" s="14">
        <f>IF(D17=0,0,(D17-D19)/D17)</f>
        <v>0.94936708860759489</v>
      </c>
      <c r="E23" s="14">
        <f>IF(E17=0,0,(E17-E19)/E17)</f>
        <v>0.97499999999999998</v>
      </c>
    </row>
    <row r="24" spans="1:5" x14ac:dyDescent="0.25">
      <c r="A24" s="4" t="s">
        <v>24</v>
      </c>
      <c r="B24" s="5"/>
      <c r="C24" s="6">
        <f>IF(C20=0,0,C8/C20)</f>
        <v>2717.8936708860756</v>
      </c>
      <c r="D24" s="6">
        <f>IF(D20=0,0,D8/D20)</f>
        <v>2791.0484999999994</v>
      </c>
      <c r="E24" s="6">
        <f>IF(E20=0,0,E8/E20)</f>
        <v>2880.2047058823537</v>
      </c>
    </row>
    <row r="25" spans="1:5" x14ac:dyDescent="0.25">
      <c r="A25" s="9" t="s">
        <v>25</v>
      </c>
      <c r="D25" s="10">
        <f>IF(C24=0,0,D24/C24-1)</f>
        <v>2.6916001128945544E-2</v>
      </c>
      <c r="E25" s="10">
        <f>IF(D24=0,0,E24/D24-1)</f>
        <v>3.1943624728253184E-2</v>
      </c>
    </row>
    <row r="26" spans="1:5" x14ac:dyDescent="0.25">
      <c r="A26" s="4" t="s">
        <v>26</v>
      </c>
      <c r="B26" s="5"/>
      <c r="C26" s="6">
        <f>IF(C18=0,0,C4/C18)</f>
        <v>2494.9599999999996</v>
      </c>
      <c r="D26" s="6">
        <f>IF(D18=0,0,D4/D18)</f>
        <v>2525.04</v>
      </c>
      <c r="E26" s="6">
        <f>IF(E18=0,0,E4/E18)</f>
        <v>3376.5257142857149</v>
      </c>
    </row>
    <row r="27" spans="1:5" x14ac:dyDescent="0.25">
      <c r="A27" s="9" t="s">
        <v>27</v>
      </c>
      <c r="D27" s="10">
        <f>IF(C26=0,0,D26/C26-1)</f>
        <v>1.205630551191228E-2</v>
      </c>
      <c r="E27" s="10">
        <f>IF(D26=0,0,E26/D26-1)</f>
        <v>0.33721672301655214</v>
      </c>
    </row>
    <row r="28" spans="1:5" x14ac:dyDescent="0.25">
      <c r="A28" s="4" t="s">
        <v>28</v>
      </c>
      <c r="B28" s="5"/>
      <c r="C28" s="6">
        <f>IF(C19=0,0,-C7/C19)</f>
        <v>2646.66</v>
      </c>
      <c r="D28" s="6">
        <f>IF(D19=0,0,-D7/D19)</f>
        <v>1905</v>
      </c>
      <c r="E28" s="6">
        <f>IF(E19=0,0,-E7/E19)</f>
        <v>2268</v>
      </c>
    </row>
    <row r="29" spans="1:5" x14ac:dyDescent="0.25">
      <c r="A29" s="9" t="s">
        <v>29</v>
      </c>
      <c r="D29" s="10">
        <f>IF(C28=0,0,D28/C28-1)</f>
        <v>-0.28022488721634053</v>
      </c>
      <c r="E29" s="10">
        <f>IF(D28=0,0,E28/D28-1)</f>
        <v>0.19055118110236213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6"/>
  <sheetViews>
    <sheetView workbookViewId="0"/>
  </sheetViews>
  <sheetFormatPr defaultRowHeight="15" x14ac:dyDescent="0.25"/>
  <cols>
    <col min="1" max="1" width="36" customWidth="1"/>
    <col min="2" max="14" width="14" customWidth="1"/>
  </cols>
  <sheetData>
    <row r="1" spans="1:14" x14ac:dyDescent="0.25">
      <c r="A1" s="1" t="s">
        <v>30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2"/>
      <c r="B2" s="3" t="s">
        <v>31</v>
      </c>
      <c r="C2" s="3" t="s">
        <v>32</v>
      </c>
      <c r="D2" s="3" t="s">
        <v>33</v>
      </c>
      <c r="E2" s="3" t="s">
        <v>34</v>
      </c>
      <c r="F2" s="3" t="s">
        <v>35</v>
      </c>
      <c r="G2" s="3" t="s">
        <v>36</v>
      </c>
      <c r="H2" s="3" t="s">
        <v>37</v>
      </c>
      <c r="I2" s="3" t="s">
        <v>38</v>
      </c>
      <c r="J2" s="3" t="s">
        <v>39</v>
      </c>
      <c r="K2" s="3" t="s">
        <v>40</v>
      </c>
      <c r="L2" s="3" t="s">
        <v>41</v>
      </c>
      <c r="M2" s="3" t="s">
        <v>42</v>
      </c>
      <c r="N2" s="3" t="s">
        <v>43</v>
      </c>
    </row>
    <row r="3" spans="1:14" x14ac:dyDescent="0.25">
      <c r="A3" s="4" t="s">
        <v>5</v>
      </c>
      <c r="B3" s="5"/>
      <c r="C3" s="6">
        <f>'Intermediate Calcs'!$C$118</f>
        <v>216022.80000000002</v>
      </c>
      <c r="D3" s="6">
        <f>'Intermediate Calcs'!$D$118</f>
        <v>229915.19999999998</v>
      </c>
      <c r="E3" s="6">
        <f>'Intermediate Calcs'!$E$118</f>
        <v>229781.64</v>
      </c>
      <c r="F3" s="6">
        <f>'Intermediate Calcs'!$F$118</f>
        <v>218279.03999999992</v>
      </c>
      <c r="G3" s="6">
        <f>'Intermediate Calcs'!$G$118</f>
        <v>214713.59999999995</v>
      </c>
      <c r="H3" s="6">
        <f>'Intermediate Calcs'!$H$118</f>
        <v>213660.59999999995</v>
      </c>
      <c r="I3" s="6">
        <f>'Intermediate Calcs'!$I$118</f>
        <v>212321.39999999997</v>
      </c>
      <c r="J3" s="6">
        <f>'Intermediate Calcs'!$J$118</f>
        <v>221747.75999999989</v>
      </c>
      <c r="K3" s="6">
        <f>'Intermediate Calcs'!$K$118</f>
        <v>223283.87999999998</v>
      </c>
      <c r="L3" s="6">
        <f>'Intermediate Calcs'!$L$118</f>
        <v>219344.87999999998</v>
      </c>
      <c r="M3" s="6">
        <f>'Intermediate Calcs'!$M$118</f>
        <v>243562.20000000007</v>
      </c>
      <c r="N3" s="6">
        <f>'Intermediate Calcs'!$N$118</f>
        <v>244739.64000000007</v>
      </c>
    </row>
    <row r="4" spans="1:14" x14ac:dyDescent="0.25">
      <c r="A4" s="4" t="s">
        <v>6</v>
      </c>
      <c r="B4" s="5"/>
      <c r="C4" s="6">
        <f>'Intermediate Calcs'!$C$119</f>
        <v>15627.96</v>
      </c>
      <c r="D4" s="6">
        <f>'Intermediate Calcs'!$D$119</f>
        <v>0</v>
      </c>
      <c r="E4" s="6">
        <f>'Intermediate Calcs'!$E$119</f>
        <v>0</v>
      </c>
      <c r="F4" s="6">
        <f>'Intermediate Calcs'!$F$119</f>
        <v>0</v>
      </c>
      <c r="G4" s="6">
        <f>'Intermediate Calcs'!$G$119</f>
        <v>0</v>
      </c>
      <c r="H4" s="6">
        <f>'Intermediate Calcs'!$H$119</f>
        <v>0</v>
      </c>
      <c r="I4" s="6">
        <f>'Intermediate Calcs'!$I$119</f>
        <v>12625.199999999999</v>
      </c>
      <c r="J4" s="6">
        <f>'Intermediate Calcs'!$J$119</f>
        <v>0</v>
      </c>
      <c r="K4" s="6">
        <f>'Intermediate Calcs'!$K$119</f>
        <v>0</v>
      </c>
      <c r="L4" s="6">
        <f>'Intermediate Calcs'!$L$119</f>
        <v>23635.68</v>
      </c>
      <c r="M4" s="6">
        <f>'Intermediate Calcs'!$M$119</f>
        <v>0</v>
      </c>
      <c r="N4" s="6">
        <f>'Intermediate Calcs'!$N$119</f>
        <v>0</v>
      </c>
    </row>
    <row r="5" spans="1:14" x14ac:dyDescent="0.25">
      <c r="A5" s="4" t="s">
        <v>7</v>
      </c>
      <c r="B5" s="5"/>
      <c r="C5" s="6">
        <f>'Intermediate Calcs'!$C$120</f>
        <v>533.16000000000031</v>
      </c>
      <c r="D5" s="6">
        <f>'Intermediate Calcs'!$D$120</f>
        <v>1554.7199999999993</v>
      </c>
      <c r="E5" s="6">
        <f>'Intermediate Calcs'!$E$120</f>
        <v>3291.9600000000005</v>
      </c>
      <c r="F5" s="6">
        <f>'Intermediate Calcs'!$F$120</f>
        <v>1100.2799999999988</v>
      </c>
      <c r="G5" s="6">
        <f>'Intermediate Calcs'!$G$120</f>
        <v>2151</v>
      </c>
      <c r="H5" s="6">
        <f>'Intermediate Calcs'!$H$120</f>
        <v>208.79999999999973</v>
      </c>
      <c r="I5" s="6">
        <f>'Intermediate Calcs'!$I$120</f>
        <v>328.55999999999995</v>
      </c>
      <c r="J5" s="6">
        <f>'Intermediate Calcs'!$J$120</f>
        <v>1536.1200000000017</v>
      </c>
      <c r="K5" s="6">
        <f>'Intermediate Calcs'!$K$120</f>
        <v>3056.9999999999995</v>
      </c>
      <c r="L5" s="6">
        <f>'Intermediate Calcs'!$L$120</f>
        <v>1865.7600000000002</v>
      </c>
      <c r="M5" s="6">
        <f>'Intermediate Calcs'!$M$120</f>
        <v>1177.4399999999996</v>
      </c>
      <c r="N5" s="6">
        <f>'Intermediate Calcs'!$N$120</f>
        <v>77.759999999999877</v>
      </c>
    </row>
    <row r="6" spans="1:14" x14ac:dyDescent="0.25">
      <c r="A6" s="4" t="s">
        <v>8</v>
      </c>
      <c r="B6" s="5"/>
      <c r="C6" s="6">
        <f>'Intermediate Calcs'!$C$121</f>
        <v>-2268.7200000000003</v>
      </c>
      <c r="D6" s="6">
        <f>'Intermediate Calcs'!$D$121</f>
        <v>-1688.28</v>
      </c>
      <c r="E6" s="6">
        <f>'Intermediate Calcs'!$E$121</f>
        <v>-2361.4800000000009</v>
      </c>
      <c r="F6" s="6">
        <f>'Intermediate Calcs'!$F$121</f>
        <v>-489.71999999999969</v>
      </c>
      <c r="G6" s="6">
        <f>'Intermediate Calcs'!$G$121</f>
        <v>-480</v>
      </c>
      <c r="H6" s="6">
        <f>'Intermediate Calcs'!$H$121</f>
        <v>0</v>
      </c>
      <c r="I6" s="6">
        <f>'Intermediate Calcs'!$I$121</f>
        <v>-179.4000000000002</v>
      </c>
      <c r="J6" s="6">
        <f>'Intermediate Calcs'!$J$121</f>
        <v>0</v>
      </c>
      <c r="K6" s="6">
        <f>'Intermediate Calcs'!$K$121</f>
        <v>-2460</v>
      </c>
      <c r="L6" s="6">
        <f>'Intermediate Calcs'!$L$121</f>
        <v>-1284.1199999999994</v>
      </c>
      <c r="M6" s="6">
        <f>'Intermediate Calcs'!$M$121</f>
        <v>0</v>
      </c>
      <c r="N6" s="6">
        <f>'Intermediate Calcs'!$N$121</f>
        <v>0</v>
      </c>
    </row>
    <row r="7" spans="1:14" x14ac:dyDescent="0.25">
      <c r="A7" s="4" t="s">
        <v>9</v>
      </c>
      <c r="B7" s="5"/>
      <c r="C7" s="6">
        <f>'Intermediate Calcs'!$C$122</f>
        <v>0</v>
      </c>
      <c r="D7" s="6">
        <f>'Intermediate Calcs'!$D$122</f>
        <v>0</v>
      </c>
      <c r="E7" s="6">
        <f>'Intermediate Calcs'!$E$122</f>
        <v>-12433.080000000002</v>
      </c>
      <c r="F7" s="6">
        <f>'Intermediate Calcs'!$F$122</f>
        <v>-4176</v>
      </c>
      <c r="G7" s="6">
        <f>'Intermediate Calcs'!$G$122</f>
        <v>-2724</v>
      </c>
      <c r="H7" s="6">
        <f>'Intermediate Calcs'!$H$122</f>
        <v>-1548</v>
      </c>
      <c r="I7" s="6">
        <f>'Intermediate Calcs'!$I$122</f>
        <v>-3348</v>
      </c>
      <c r="J7" s="6">
        <f>'Intermediate Calcs'!$J$122</f>
        <v>0</v>
      </c>
      <c r="K7" s="6">
        <f>'Intermediate Calcs'!$K$122</f>
        <v>-4536</v>
      </c>
      <c r="L7" s="6">
        <f>'Intermediate Calcs'!$L$122</f>
        <v>0</v>
      </c>
      <c r="M7" s="6">
        <f>'Intermediate Calcs'!$M$122</f>
        <v>0</v>
      </c>
      <c r="N7" s="6">
        <f>'Intermediate Calcs'!$N$122</f>
        <v>0</v>
      </c>
    </row>
    <row r="8" spans="1:14" x14ac:dyDescent="0.25">
      <c r="A8" s="7" t="s">
        <v>10</v>
      </c>
      <c r="B8" s="8">
        <f>'Intermediate Calcs'!$B$123</f>
        <v>216022.80000000002</v>
      </c>
      <c r="C8" s="8">
        <f>'Intermediate Calcs'!$C$123</f>
        <v>229915.19999999998</v>
      </c>
      <c r="D8" s="8">
        <f>'Intermediate Calcs'!$D$123</f>
        <v>229781.64</v>
      </c>
      <c r="E8" s="8">
        <f>'Intermediate Calcs'!$E$123</f>
        <v>218279.03999999992</v>
      </c>
      <c r="F8" s="8">
        <f>'Intermediate Calcs'!$F$123</f>
        <v>214713.59999999995</v>
      </c>
      <c r="G8" s="8">
        <f>'Intermediate Calcs'!$G$123</f>
        <v>213660.59999999995</v>
      </c>
      <c r="H8" s="8">
        <f>'Intermediate Calcs'!$H$123</f>
        <v>212321.39999999997</v>
      </c>
      <c r="I8" s="8">
        <f>'Intermediate Calcs'!$I$123</f>
        <v>221747.75999999989</v>
      </c>
      <c r="J8" s="8">
        <f>'Intermediate Calcs'!$J$123</f>
        <v>223283.87999999998</v>
      </c>
      <c r="K8" s="8">
        <f>'Intermediate Calcs'!$K$123</f>
        <v>219344.87999999998</v>
      </c>
      <c r="L8" s="8">
        <f>'Intermediate Calcs'!$L$123</f>
        <v>243562.20000000007</v>
      </c>
      <c r="M8" s="8">
        <f>'Intermediate Calcs'!$M$123</f>
        <v>244739.64000000007</v>
      </c>
      <c r="N8" s="8">
        <f>'Intermediate Calcs'!$N$123</f>
        <v>244817.40000000005</v>
      </c>
    </row>
    <row r="9" spans="1:14" x14ac:dyDescent="0.25">
      <c r="A9" s="9" t="s">
        <v>44</v>
      </c>
      <c r="B9" s="5"/>
      <c r="C9" s="10">
        <f t="shared" ref="C9:N9" si="0">IF(C3=0,0,(C8/C3)^4-1)</f>
        <v>0.28313506189088322</v>
      </c>
      <c r="D9" s="10">
        <f t="shared" si="0"/>
        <v>-2.3216153710328147E-3</v>
      </c>
      <c r="E9" s="10">
        <f t="shared" si="0"/>
        <v>-0.18569548794059876</v>
      </c>
      <c r="F9" s="10">
        <f t="shared" si="0"/>
        <v>-6.3753786824010672E-2</v>
      </c>
      <c r="G9" s="10">
        <f t="shared" si="0"/>
        <v>-1.9472992852194948E-2</v>
      </c>
      <c r="H9" s="10">
        <f t="shared" si="0"/>
        <v>-2.4836803849550892E-2</v>
      </c>
      <c r="I9" s="10">
        <f t="shared" si="0"/>
        <v>0.18976691853412686</v>
      </c>
      <c r="J9" s="10">
        <f t="shared" si="0"/>
        <v>2.7998581072784967E-2</v>
      </c>
      <c r="K9" s="10">
        <f t="shared" si="0"/>
        <v>-6.871946712974808E-2</v>
      </c>
      <c r="L9" s="10">
        <f t="shared" si="0"/>
        <v>0.52030088044770717</v>
      </c>
      <c r="M9" s="10">
        <f t="shared" si="0"/>
        <v>1.9477662869702206E-2</v>
      </c>
      <c r="N9" s="10">
        <f t="shared" si="0"/>
        <v>1.2715074246418823E-3</v>
      </c>
    </row>
    <row r="10" spans="1:14" x14ac:dyDescent="0.25">
      <c r="A10" s="9" t="s">
        <v>45</v>
      </c>
      <c r="B10" s="5"/>
      <c r="C10" s="10">
        <f t="shared" ref="C10:N10" si="1">IF(C3=0,0,C8/C3-1)</f>
        <v>6.4309878401724196E-2</v>
      </c>
      <c r="D10" s="10">
        <f t="shared" si="1"/>
        <v>-5.8090983110281602E-4</v>
      </c>
      <c r="E10" s="10">
        <f t="shared" si="1"/>
        <v>-5.0058829765511681E-2</v>
      </c>
      <c r="F10" s="10">
        <f t="shared" si="1"/>
        <v>-1.6334321426372256E-2</v>
      </c>
      <c r="G10" s="10">
        <f t="shared" si="1"/>
        <v>-4.9042072789055036E-3</v>
      </c>
      <c r="H10" s="10">
        <f t="shared" si="1"/>
        <v>-6.2678846731685223E-3</v>
      </c>
      <c r="I10" s="10">
        <f t="shared" si="1"/>
        <v>4.4396655259431927E-2</v>
      </c>
      <c r="J10" s="10">
        <f t="shared" si="1"/>
        <v>6.9273304046006956E-3</v>
      </c>
      <c r="K10" s="10">
        <f t="shared" si="1"/>
        <v>-1.764121977815869E-2</v>
      </c>
      <c r="L10" s="10">
        <f t="shared" si="1"/>
        <v>0.11040750073582806</v>
      </c>
      <c r="M10" s="10">
        <f t="shared" si="1"/>
        <v>4.8342476788270083E-3</v>
      </c>
      <c r="N10" s="10">
        <f t="shared" si="1"/>
        <v>3.1772539993912829E-4</v>
      </c>
    </row>
    <row r="11" spans="1:14" x14ac:dyDescent="0.25">
      <c r="A11" s="9" t="s">
        <v>46</v>
      </c>
      <c r="B11" s="5"/>
      <c r="C11" s="5"/>
      <c r="D11" s="5"/>
      <c r="E11" s="5"/>
      <c r="F11" s="10">
        <f t="shared" ref="F11:N11" si="2">IF(B8=0,0,F8/B8-1)</f>
        <v>-6.0604713946864619E-3</v>
      </c>
      <c r="G11" s="10">
        <f t="shared" si="2"/>
        <v>-7.0698240046765171E-2</v>
      </c>
      <c r="H11" s="10">
        <f t="shared" si="2"/>
        <v>-7.5986227620274849E-2</v>
      </c>
      <c r="I11" s="10">
        <f t="shared" si="2"/>
        <v>1.589121887287015E-2</v>
      </c>
      <c r="J11" s="10">
        <f t="shared" si="2"/>
        <v>3.9914937852097099E-2</v>
      </c>
      <c r="K11" s="10">
        <f t="shared" si="2"/>
        <v>2.6604249917860479E-2</v>
      </c>
      <c r="L11" s="10">
        <f t="shared" si="2"/>
        <v>0.14713919557802524</v>
      </c>
      <c r="M11" s="10">
        <f t="shared" si="2"/>
        <v>0.1036848354184059</v>
      </c>
      <c r="N11" s="10">
        <f t="shared" si="2"/>
        <v>9.6440101273769008E-2</v>
      </c>
    </row>
    <row r="12" spans="1:14" x14ac:dyDescent="0.25">
      <c r="A12" s="9" t="s">
        <v>47</v>
      </c>
      <c r="B12" s="5"/>
      <c r="C12" s="11">
        <f t="shared" ref="C12:N12" si="3">C8-C3</f>
        <v>13892.399999999965</v>
      </c>
      <c r="D12" s="11">
        <f t="shared" si="3"/>
        <v>-133.55999999996857</v>
      </c>
      <c r="E12" s="11">
        <f t="shared" si="3"/>
        <v>-11502.600000000093</v>
      </c>
      <c r="F12" s="11">
        <f t="shared" si="3"/>
        <v>-3565.4399999999732</v>
      </c>
      <c r="G12" s="11">
        <f t="shared" si="3"/>
        <v>-1053</v>
      </c>
      <c r="H12" s="11">
        <f t="shared" si="3"/>
        <v>-1339.1999999999825</v>
      </c>
      <c r="I12" s="11">
        <f t="shared" si="3"/>
        <v>9426.3599999999278</v>
      </c>
      <c r="J12" s="11">
        <f t="shared" si="3"/>
        <v>1536.1200000000827</v>
      </c>
      <c r="K12" s="11">
        <f t="shared" si="3"/>
        <v>-3939</v>
      </c>
      <c r="L12" s="11">
        <f t="shared" si="3"/>
        <v>24217.320000000094</v>
      </c>
      <c r="M12" s="11">
        <f t="shared" si="3"/>
        <v>1177.4400000000023</v>
      </c>
      <c r="N12" s="11">
        <f t="shared" si="3"/>
        <v>77.759999999980209</v>
      </c>
    </row>
    <row r="13" spans="1:14" x14ac:dyDescent="0.25">
      <c r="A13" s="9" t="s">
        <v>48</v>
      </c>
      <c r="B13" s="5"/>
      <c r="C13" s="11">
        <f t="shared" ref="C13:N13" si="4">C4+C5</f>
        <v>16161.119999999999</v>
      </c>
      <c r="D13" s="11">
        <f t="shared" si="4"/>
        <v>1554.7199999999993</v>
      </c>
      <c r="E13" s="11">
        <f t="shared" si="4"/>
        <v>3291.9600000000005</v>
      </c>
      <c r="F13" s="11">
        <f t="shared" si="4"/>
        <v>1100.2799999999988</v>
      </c>
      <c r="G13" s="11">
        <f t="shared" si="4"/>
        <v>2151</v>
      </c>
      <c r="H13" s="11">
        <f t="shared" si="4"/>
        <v>208.79999999999973</v>
      </c>
      <c r="I13" s="11">
        <f t="shared" si="4"/>
        <v>12953.759999999998</v>
      </c>
      <c r="J13" s="11">
        <f t="shared" si="4"/>
        <v>1536.1200000000017</v>
      </c>
      <c r="K13" s="11">
        <f t="shared" si="4"/>
        <v>3056.9999999999995</v>
      </c>
      <c r="L13" s="11">
        <f t="shared" si="4"/>
        <v>25501.440000000002</v>
      </c>
      <c r="M13" s="11">
        <f t="shared" si="4"/>
        <v>1177.4399999999996</v>
      </c>
      <c r="N13" s="11">
        <f t="shared" si="4"/>
        <v>77.759999999999877</v>
      </c>
    </row>
    <row r="14" spans="1:14" x14ac:dyDescent="0.25">
      <c r="A14" s="9" t="s">
        <v>49</v>
      </c>
      <c r="B14" s="5"/>
      <c r="C14" s="11">
        <f t="shared" ref="C14:N14" si="5">C6+C7</f>
        <v>-2268.7200000000003</v>
      </c>
      <c r="D14" s="11">
        <f t="shared" si="5"/>
        <v>-1688.28</v>
      </c>
      <c r="E14" s="11">
        <f t="shared" si="5"/>
        <v>-14794.560000000003</v>
      </c>
      <c r="F14" s="11">
        <f t="shared" si="5"/>
        <v>-4665.7199999999993</v>
      </c>
      <c r="G14" s="11">
        <f t="shared" si="5"/>
        <v>-3204</v>
      </c>
      <c r="H14" s="11">
        <f t="shared" si="5"/>
        <v>-1548</v>
      </c>
      <c r="I14" s="11">
        <f t="shared" si="5"/>
        <v>-3527.4</v>
      </c>
      <c r="J14" s="11">
        <f t="shared" si="5"/>
        <v>0</v>
      </c>
      <c r="K14" s="11">
        <f t="shared" si="5"/>
        <v>-6996</v>
      </c>
      <c r="L14" s="11">
        <f t="shared" si="5"/>
        <v>-1284.1199999999994</v>
      </c>
      <c r="M14" s="11">
        <f t="shared" si="5"/>
        <v>0</v>
      </c>
      <c r="N14" s="11">
        <f t="shared" si="5"/>
        <v>0</v>
      </c>
    </row>
    <row r="15" spans="1:14" x14ac:dyDescent="0.25">
      <c r="A15" s="12" t="s">
        <v>50</v>
      </c>
      <c r="B15" s="13"/>
      <c r="C15" s="14">
        <f t="shared" ref="C15:N15" si="6">IF(C3=0,0,((C3+C6+C7)/C3)^4)</f>
        <v>0.95864826001083292</v>
      </c>
      <c r="D15" s="14">
        <f t="shared" si="6"/>
        <v>0.97094972118549894</v>
      </c>
      <c r="E15" s="14">
        <f t="shared" si="6"/>
        <v>0.7662811550410159</v>
      </c>
      <c r="F15" s="14">
        <f t="shared" si="6"/>
        <v>0.91720239354458111</v>
      </c>
      <c r="G15" s="14">
        <f t="shared" si="6"/>
        <v>0.94163397808477856</v>
      </c>
      <c r="H15" s="14">
        <f t="shared" si="6"/>
        <v>0.97133289140318668</v>
      </c>
      <c r="I15" s="14">
        <f t="shared" si="6"/>
        <v>0.93518381290052843</v>
      </c>
      <c r="J15" s="14">
        <f t="shared" si="6"/>
        <v>1</v>
      </c>
      <c r="K15" s="14">
        <f t="shared" si="6"/>
        <v>0.88043896410250189</v>
      </c>
      <c r="L15" s="14">
        <f t="shared" si="6"/>
        <v>0.97678746949231832</v>
      </c>
      <c r="M15" s="14">
        <f t="shared" si="6"/>
        <v>1</v>
      </c>
      <c r="N15" s="14">
        <f t="shared" si="6"/>
        <v>1</v>
      </c>
    </row>
    <row r="16" spans="1:14" x14ac:dyDescent="0.25">
      <c r="A16" s="12" t="s">
        <v>51</v>
      </c>
      <c r="B16" s="13"/>
      <c r="C16" s="14">
        <f t="shared" ref="C16:N16" si="7">IF(C3=0,0,((C3+C7)/C3)^4)</f>
        <v>1</v>
      </c>
      <c r="D16" s="14">
        <f t="shared" si="7"/>
        <v>1</v>
      </c>
      <c r="E16" s="14">
        <f t="shared" si="7"/>
        <v>0.80050817195851154</v>
      </c>
      <c r="F16" s="14">
        <f t="shared" si="7"/>
        <v>0.92564230442427553</v>
      </c>
      <c r="G16" s="14">
        <f t="shared" si="7"/>
        <v>0.95021089825774352</v>
      </c>
      <c r="H16" s="14">
        <f t="shared" si="7"/>
        <v>0.97133289140318668</v>
      </c>
      <c r="I16" s="14">
        <f t="shared" si="7"/>
        <v>0.93840207261104369</v>
      </c>
      <c r="J16" s="14">
        <f t="shared" si="7"/>
        <v>1</v>
      </c>
      <c r="K16" s="14">
        <f t="shared" si="7"/>
        <v>0.92118303224139708</v>
      </c>
      <c r="L16" s="14">
        <f t="shared" si="7"/>
        <v>1</v>
      </c>
      <c r="M16" s="14">
        <f t="shared" si="7"/>
        <v>1</v>
      </c>
      <c r="N16" s="14">
        <f t="shared" si="7"/>
        <v>1</v>
      </c>
    </row>
    <row r="17" spans="1:14" x14ac:dyDescent="0.25">
      <c r="A17" s="12" t="s">
        <v>52</v>
      </c>
      <c r="B17" s="13"/>
      <c r="C17" s="14">
        <f t="shared" ref="C17:N17" si="8">IF(C3=0,0,((C3+C5+C6+C7)/C3)^4)</f>
        <v>0.96824860760844988</v>
      </c>
      <c r="D17" s="14">
        <f t="shared" si="8"/>
        <v>0.99767838462896674</v>
      </c>
      <c r="E17" s="14">
        <f t="shared" si="8"/>
        <v>0.81430451205940202</v>
      </c>
      <c r="F17" s="14">
        <f t="shared" si="8"/>
        <v>0.93624621317598855</v>
      </c>
      <c r="G17" s="14">
        <f t="shared" si="8"/>
        <v>0.98052700714780505</v>
      </c>
      <c r="H17" s="14">
        <f t="shared" si="8"/>
        <v>0.97516319615044866</v>
      </c>
      <c r="I17" s="14">
        <f t="shared" si="8"/>
        <v>0.94108417449224868</v>
      </c>
      <c r="J17" s="14">
        <f t="shared" si="8"/>
        <v>1.0279985810727832</v>
      </c>
      <c r="K17" s="14">
        <f t="shared" si="8"/>
        <v>0.93128053287025192</v>
      </c>
      <c r="L17" s="14">
        <f t="shared" si="8"/>
        <v>1.0106491221933722</v>
      </c>
      <c r="M17" s="14">
        <f t="shared" si="8"/>
        <v>1.0194776628697022</v>
      </c>
      <c r="N17" s="14">
        <f t="shared" si="8"/>
        <v>1.0012715074246428</v>
      </c>
    </row>
    <row r="18" spans="1:14" x14ac:dyDescent="0.25">
      <c r="A18" s="12" t="s">
        <v>53</v>
      </c>
      <c r="B18" s="13"/>
      <c r="C18" s="13"/>
      <c r="D18" s="13"/>
      <c r="E18" s="13"/>
      <c r="F18" s="14">
        <f t="shared" ref="F18:N18" si="9">IF(C3=0,0,(C3+SUM(C6:F6)+SUM(C7:F7))/C3)</f>
        <v>0.89159810908848514</v>
      </c>
      <c r="G18" s="14">
        <f t="shared" si="9"/>
        <v>0.89408025219733178</v>
      </c>
      <c r="H18" s="14">
        <f t="shared" si="9"/>
        <v>0.89462917925035257</v>
      </c>
      <c r="I18" s="14">
        <f t="shared" si="9"/>
        <v>0.94069462647444302</v>
      </c>
      <c r="J18" s="14">
        <f t="shared" si="9"/>
        <v>0.96143979701332383</v>
      </c>
      <c r="K18" s="14">
        <f t="shared" si="9"/>
        <v>0.94350198398768892</v>
      </c>
      <c r="L18" s="14">
        <f t="shared" si="9"/>
        <v>0.94438846013637823</v>
      </c>
      <c r="M18" s="14">
        <f t="shared" si="9"/>
        <v>0.96265973554817419</v>
      </c>
      <c r="N18" s="14">
        <f t="shared" si="9"/>
        <v>0.96291662434386216</v>
      </c>
    </row>
    <row r="19" spans="1:14" x14ac:dyDescent="0.25">
      <c r="A19" s="12" t="s">
        <v>54</v>
      </c>
      <c r="B19" s="13"/>
      <c r="C19" s="13"/>
      <c r="D19" s="13"/>
      <c r="E19" s="13"/>
      <c r="F19" s="14">
        <f t="shared" ref="F19:N19" si="10">IF(C3=0,0,(C3+SUM(C7:F7))/C3)</f>
        <v>0.92311422683161226</v>
      </c>
      <c r="G19" s="14">
        <f t="shared" si="10"/>
        <v>0.91591212760182894</v>
      </c>
      <c r="H19" s="14">
        <f t="shared" si="10"/>
        <v>0.9091264210665394</v>
      </c>
      <c r="I19" s="14">
        <f t="shared" si="10"/>
        <v>0.94595908063366962</v>
      </c>
      <c r="J19" s="14">
        <f t="shared" si="10"/>
        <v>0.9645108647053563</v>
      </c>
      <c r="K19" s="14">
        <f t="shared" si="10"/>
        <v>0.95585522085026442</v>
      </c>
      <c r="L19" s="14">
        <f t="shared" si="10"/>
        <v>0.96286761485182371</v>
      </c>
      <c r="M19" s="14">
        <f t="shared" si="10"/>
        <v>0.97954432549848525</v>
      </c>
      <c r="N19" s="14">
        <f t="shared" si="10"/>
        <v>0.9796850538426688</v>
      </c>
    </row>
    <row r="20" spans="1:14" x14ac:dyDescent="0.25">
      <c r="A20" s="12" t="s">
        <v>55</v>
      </c>
      <c r="B20" s="13"/>
      <c r="C20" s="13"/>
      <c r="D20" s="13"/>
      <c r="E20" s="13"/>
      <c r="F20" s="14">
        <f t="shared" ref="F20:N20" si="11">IF(C3=0,0,(C3+SUM(C5:F5)+SUM(C6:F6)+SUM(C7:F7))/C3)</f>
        <v>0.92159549825296216</v>
      </c>
      <c r="G20" s="14">
        <f t="shared" si="11"/>
        <v>0.92930175995323494</v>
      </c>
      <c r="H20" s="14">
        <f t="shared" si="11"/>
        <v>0.92401377237972537</v>
      </c>
      <c r="I20" s="14">
        <f t="shared" si="11"/>
        <v>0.95805149225505104</v>
      </c>
      <c r="J20" s="14">
        <f t="shared" si="11"/>
        <v>0.98111475006706617</v>
      </c>
      <c r="K20" s="14">
        <f t="shared" si="11"/>
        <v>0.96751427263613421</v>
      </c>
      <c r="L20" s="14">
        <f t="shared" si="11"/>
        <v>0.97635622221782647</v>
      </c>
      <c r="M20" s="14">
        <f t="shared" si="11"/>
        <v>0.99709670122485117</v>
      </c>
      <c r="N20" s="14">
        <f t="shared" si="11"/>
        <v>0.99058525855068447</v>
      </c>
    </row>
    <row r="21" spans="1:14" x14ac:dyDescent="0.25">
      <c r="A21" s="15" t="s">
        <v>18</v>
      </c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</row>
    <row r="22" spans="1:14" x14ac:dyDescent="0.25">
      <c r="A22" s="4" t="s">
        <v>19</v>
      </c>
      <c r="B22" s="5"/>
      <c r="C22" s="17">
        <f>'Intermediate Calcs'!$C$125</f>
        <v>79</v>
      </c>
      <c r="D22" s="17">
        <f>'Intermediate Calcs'!$D$125</f>
        <v>86</v>
      </c>
      <c r="E22" s="17">
        <f>'Intermediate Calcs'!$E$125</f>
        <v>86</v>
      </c>
      <c r="F22" s="17">
        <f>'Intermediate Calcs'!$F$125</f>
        <v>81</v>
      </c>
      <c r="G22" s="17">
        <f>'Intermediate Calcs'!$G$125</f>
        <v>79</v>
      </c>
      <c r="H22" s="17">
        <f>'Intermediate Calcs'!$H$125</f>
        <v>77</v>
      </c>
      <c r="I22" s="17">
        <f>'Intermediate Calcs'!$I$125</f>
        <v>76</v>
      </c>
      <c r="J22" s="17">
        <f>'Intermediate Calcs'!$J$125</f>
        <v>80</v>
      </c>
      <c r="K22" s="17">
        <f>'Intermediate Calcs'!$K$125</f>
        <v>80</v>
      </c>
      <c r="L22" s="17">
        <f>'Intermediate Calcs'!$L$125</f>
        <v>78</v>
      </c>
      <c r="M22" s="17">
        <f>'Intermediate Calcs'!$M$125</f>
        <v>85</v>
      </c>
      <c r="N22" s="17">
        <f>'Intermediate Calcs'!$N$125</f>
        <v>85</v>
      </c>
    </row>
    <row r="23" spans="1:14" x14ac:dyDescent="0.25">
      <c r="A23" s="4" t="s">
        <v>6</v>
      </c>
      <c r="B23" s="5"/>
      <c r="C23" s="17">
        <f>'Intermediate Calcs'!$C$126</f>
        <v>7</v>
      </c>
      <c r="D23" s="17">
        <f>'Intermediate Calcs'!$D$126</f>
        <v>0</v>
      </c>
      <c r="E23" s="17">
        <f>'Intermediate Calcs'!$E$126</f>
        <v>0</v>
      </c>
      <c r="F23" s="17">
        <f>'Intermediate Calcs'!$F$126</f>
        <v>0</v>
      </c>
      <c r="G23" s="17">
        <f>'Intermediate Calcs'!$G$126</f>
        <v>0</v>
      </c>
      <c r="H23" s="17">
        <f>'Intermediate Calcs'!$H$126</f>
        <v>0</v>
      </c>
      <c r="I23" s="17">
        <f>'Intermediate Calcs'!$I$126</f>
        <v>5</v>
      </c>
      <c r="J23" s="17">
        <f>'Intermediate Calcs'!$J$126</f>
        <v>0</v>
      </c>
      <c r="K23" s="17">
        <f>'Intermediate Calcs'!$K$126</f>
        <v>0</v>
      </c>
      <c r="L23" s="17">
        <f>'Intermediate Calcs'!$L$126</f>
        <v>7</v>
      </c>
      <c r="M23" s="17">
        <f>'Intermediate Calcs'!$M$126</f>
        <v>0</v>
      </c>
      <c r="N23" s="17">
        <f>'Intermediate Calcs'!$N$126</f>
        <v>0</v>
      </c>
    </row>
    <row r="24" spans="1:14" x14ac:dyDescent="0.25">
      <c r="A24" s="4" t="s">
        <v>9</v>
      </c>
      <c r="B24" s="5"/>
      <c r="C24" s="18">
        <f>'Intermediate Calcs'!$C$127</f>
        <v>0</v>
      </c>
      <c r="D24" s="18">
        <f>'Intermediate Calcs'!$D$127</f>
        <v>0</v>
      </c>
      <c r="E24" s="18">
        <f>'Intermediate Calcs'!$E$127</f>
        <v>5</v>
      </c>
      <c r="F24" s="18">
        <f>'Intermediate Calcs'!$F$127</f>
        <v>2</v>
      </c>
      <c r="G24" s="18">
        <f>'Intermediate Calcs'!$G$127</f>
        <v>2</v>
      </c>
      <c r="H24" s="18">
        <f>'Intermediate Calcs'!$H$127</f>
        <v>1</v>
      </c>
      <c r="I24" s="18">
        <f>'Intermediate Calcs'!$I$127</f>
        <v>1</v>
      </c>
      <c r="J24" s="18">
        <f>'Intermediate Calcs'!$J$127</f>
        <v>0</v>
      </c>
      <c r="K24" s="18">
        <f>'Intermediate Calcs'!$K$127</f>
        <v>2</v>
      </c>
      <c r="L24" s="18">
        <f>'Intermediate Calcs'!$L$127</f>
        <v>0</v>
      </c>
      <c r="M24" s="18">
        <f>'Intermediate Calcs'!$M$127</f>
        <v>0</v>
      </c>
      <c r="N24" s="18">
        <f>'Intermediate Calcs'!$N$127</f>
        <v>0</v>
      </c>
    </row>
    <row r="25" spans="1:14" x14ac:dyDescent="0.25">
      <c r="A25" s="7" t="s">
        <v>20</v>
      </c>
      <c r="B25" s="19">
        <f>'Intermediate Calcs'!$B$128</f>
        <v>79</v>
      </c>
      <c r="C25" s="19">
        <f>'Intermediate Calcs'!$C$128</f>
        <v>86</v>
      </c>
      <c r="D25" s="19">
        <f>'Intermediate Calcs'!$D$128</f>
        <v>86</v>
      </c>
      <c r="E25" s="19">
        <f>'Intermediate Calcs'!$E$128</f>
        <v>81</v>
      </c>
      <c r="F25" s="19">
        <f>'Intermediate Calcs'!$F$128</f>
        <v>79</v>
      </c>
      <c r="G25" s="19">
        <f>'Intermediate Calcs'!$G$128</f>
        <v>77</v>
      </c>
      <c r="H25" s="19">
        <f>'Intermediate Calcs'!$H$128</f>
        <v>76</v>
      </c>
      <c r="I25" s="19">
        <f>'Intermediate Calcs'!$I$128</f>
        <v>80</v>
      </c>
      <c r="J25" s="19">
        <f>'Intermediate Calcs'!$J$128</f>
        <v>80</v>
      </c>
      <c r="K25" s="19">
        <f>'Intermediate Calcs'!$K$128</f>
        <v>78</v>
      </c>
      <c r="L25" s="19">
        <f>'Intermediate Calcs'!$L$128</f>
        <v>85</v>
      </c>
      <c r="M25" s="19">
        <f>'Intermediate Calcs'!$M$128</f>
        <v>85</v>
      </c>
      <c r="N25" s="19">
        <f>'Intermediate Calcs'!$N$128</f>
        <v>85</v>
      </c>
    </row>
    <row r="26" spans="1:14" x14ac:dyDescent="0.25">
      <c r="A26" s="9" t="s">
        <v>21</v>
      </c>
      <c r="B26" s="5"/>
      <c r="C26" s="20">
        <f t="shared" ref="C26:N26" si="12">C23-C24</f>
        <v>7</v>
      </c>
      <c r="D26" s="20">
        <f t="shared" si="12"/>
        <v>0</v>
      </c>
      <c r="E26" s="20">
        <f t="shared" si="12"/>
        <v>-5</v>
      </c>
      <c r="F26" s="20">
        <f t="shared" si="12"/>
        <v>-2</v>
      </c>
      <c r="G26" s="20">
        <f t="shared" si="12"/>
        <v>-2</v>
      </c>
      <c r="H26" s="20">
        <f t="shared" si="12"/>
        <v>-1</v>
      </c>
      <c r="I26" s="20">
        <f t="shared" si="12"/>
        <v>4</v>
      </c>
      <c r="J26" s="20">
        <f t="shared" si="12"/>
        <v>0</v>
      </c>
      <c r="K26" s="20">
        <f t="shared" si="12"/>
        <v>-2</v>
      </c>
      <c r="L26" s="20">
        <f t="shared" si="12"/>
        <v>7</v>
      </c>
      <c r="M26" s="20">
        <f t="shared" si="12"/>
        <v>0</v>
      </c>
      <c r="N26" s="20">
        <f t="shared" si="12"/>
        <v>0</v>
      </c>
    </row>
    <row r="27" spans="1:14" x14ac:dyDescent="0.25">
      <c r="A27" s="9" t="s">
        <v>22</v>
      </c>
      <c r="B27" s="5"/>
      <c r="C27" s="10">
        <f t="shared" ref="C27:N27" si="13">IF(C22=0,0,C25/C22-1)</f>
        <v>8.8607594936708889E-2</v>
      </c>
      <c r="D27" s="10">
        <f t="shared" si="13"/>
        <v>0</v>
      </c>
      <c r="E27" s="10">
        <f t="shared" si="13"/>
        <v>-5.8139534883720922E-2</v>
      </c>
      <c r="F27" s="10">
        <f t="shared" si="13"/>
        <v>-2.4691358024691357E-2</v>
      </c>
      <c r="G27" s="10">
        <f t="shared" si="13"/>
        <v>-2.5316455696202556E-2</v>
      </c>
      <c r="H27" s="10">
        <f t="shared" si="13"/>
        <v>-1.2987012987012991E-2</v>
      </c>
      <c r="I27" s="10">
        <f t="shared" si="13"/>
        <v>5.2631578947368363E-2</v>
      </c>
      <c r="J27" s="10">
        <f t="shared" si="13"/>
        <v>0</v>
      </c>
      <c r="K27" s="10">
        <f t="shared" si="13"/>
        <v>-2.5000000000000022E-2</v>
      </c>
      <c r="L27" s="10">
        <f t="shared" si="13"/>
        <v>8.9743589743589647E-2</v>
      </c>
      <c r="M27" s="10">
        <f t="shared" si="13"/>
        <v>0</v>
      </c>
      <c r="N27" s="10">
        <f t="shared" si="13"/>
        <v>0</v>
      </c>
    </row>
    <row r="28" spans="1:14" x14ac:dyDescent="0.25">
      <c r="A28" s="9" t="s">
        <v>56</v>
      </c>
      <c r="B28" s="5"/>
      <c r="C28" s="5"/>
      <c r="D28" s="5"/>
      <c r="E28" s="5"/>
      <c r="F28" s="10">
        <f t="shared" ref="F28:N28" si="14">IF(B25=0,0,F25/B25-1)</f>
        <v>0</v>
      </c>
      <c r="G28" s="10">
        <f t="shared" si="14"/>
        <v>-0.10465116279069764</v>
      </c>
      <c r="H28" s="10">
        <f t="shared" si="14"/>
        <v>-0.11627906976744184</v>
      </c>
      <c r="I28" s="10">
        <f t="shared" si="14"/>
        <v>-1.2345679012345734E-2</v>
      </c>
      <c r="J28" s="10">
        <f t="shared" si="14"/>
        <v>1.2658227848101333E-2</v>
      </c>
      <c r="K28" s="10">
        <f t="shared" si="14"/>
        <v>1.298701298701288E-2</v>
      </c>
      <c r="L28" s="10">
        <f t="shared" si="14"/>
        <v>0.11842105263157898</v>
      </c>
      <c r="M28" s="10">
        <f t="shared" si="14"/>
        <v>6.25E-2</v>
      </c>
      <c r="N28" s="10">
        <f t="shared" si="14"/>
        <v>6.25E-2</v>
      </c>
    </row>
    <row r="29" spans="1:14" x14ac:dyDescent="0.25">
      <c r="A29" s="12" t="s">
        <v>57</v>
      </c>
      <c r="B29" s="13"/>
      <c r="C29" s="14">
        <f t="shared" ref="C29:N29" si="15">IF(C22=0,0,((C22-C24)/C22)^4)</f>
        <v>1</v>
      </c>
      <c r="D29" s="14">
        <f t="shared" si="15"/>
        <v>1</v>
      </c>
      <c r="E29" s="14">
        <f t="shared" si="15"/>
        <v>0.78694842504726081</v>
      </c>
      <c r="F29" s="14">
        <f t="shared" si="15"/>
        <v>0.90483270491148438</v>
      </c>
      <c r="G29" s="14">
        <f t="shared" si="15"/>
        <v>0.90251522198374867</v>
      </c>
      <c r="H29" s="14">
        <f t="shared" si="15"/>
        <v>0.94905518984829795</v>
      </c>
      <c r="I29" s="14">
        <f t="shared" si="15"/>
        <v>0.94839812007466173</v>
      </c>
      <c r="J29" s="14">
        <f t="shared" si="15"/>
        <v>1</v>
      </c>
      <c r="K29" s="14">
        <f t="shared" si="15"/>
        <v>0.90368789062499988</v>
      </c>
      <c r="L29" s="14">
        <f t="shared" si="15"/>
        <v>1</v>
      </c>
      <c r="M29" s="14">
        <f t="shared" si="15"/>
        <v>1</v>
      </c>
      <c r="N29" s="14">
        <f t="shared" si="15"/>
        <v>1</v>
      </c>
    </row>
    <row r="30" spans="1:14" x14ac:dyDescent="0.25">
      <c r="A30" s="12" t="s">
        <v>58</v>
      </c>
      <c r="B30" s="13"/>
      <c r="C30" s="13"/>
      <c r="D30" s="13"/>
      <c r="E30" s="13"/>
      <c r="F30" s="14">
        <f t="shared" ref="F30:N30" si="16">IF(C22=0,0,(C22-SUM(C24:F24))/C22)</f>
        <v>0.91139240506329111</v>
      </c>
      <c r="G30" s="14">
        <f t="shared" si="16"/>
        <v>0.89534883720930236</v>
      </c>
      <c r="H30" s="14">
        <f t="shared" si="16"/>
        <v>0.88372093023255816</v>
      </c>
      <c r="I30" s="14">
        <f t="shared" si="16"/>
        <v>0.92592592592592593</v>
      </c>
      <c r="J30" s="14">
        <f t="shared" si="16"/>
        <v>0.94936708860759489</v>
      </c>
      <c r="K30" s="14">
        <f t="shared" si="16"/>
        <v>0.94805194805194803</v>
      </c>
      <c r="L30" s="14">
        <f t="shared" si="16"/>
        <v>0.96052631578947367</v>
      </c>
      <c r="M30" s="14">
        <f t="shared" si="16"/>
        <v>0.97499999999999998</v>
      </c>
      <c r="N30" s="14">
        <f t="shared" si="16"/>
        <v>0.97499999999999998</v>
      </c>
    </row>
    <row r="31" spans="1:14" x14ac:dyDescent="0.25">
      <c r="A31" s="4" t="s">
        <v>24</v>
      </c>
      <c r="B31" s="5"/>
      <c r="C31" s="6">
        <f t="shared" ref="C31:N31" si="17">IF(C25=0,0,C8/C25)</f>
        <v>2673.4325581395346</v>
      </c>
      <c r="D31" s="6">
        <f t="shared" si="17"/>
        <v>2671.8795348837211</v>
      </c>
      <c r="E31" s="6">
        <f t="shared" si="17"/>
        <v>2694.8029629629618</v>
      </c>
      <c r="F31" s="6">
        <f t="shared" si="17"/>
        <v>2717.8936708860751</v>
      </c>
      <c r="G31" s="6">
        <f t="shared" si="17"/>
        <v>2774.8129870129865</v>
      </c>
      <c r="H31" s="6">
        <f t="shared" si="17"/>
        <v>2793.7026315789467</v>
      </c>
      <c r="I31" s="6">
        <f t="shared" si="17"/>
        <v>2771.8469999999988</v>
      </c>
      <c r="J31" s="6">
        <f t="shared" si="17"/>
        <v>2791.0484999999999</v>
      </c>
      <c r="K31" s="6">
        <f t="shared" si="17"/>
        <v>2812.1138461538458</v>
      </c>
      <c r="L31" s="6">
        <f t="shared" si="17"/>
        <v>2865.4376470588245</v>
      </c>
      <c r="M31" s="6">
        <f t="shared" si="17"/>
        <v>2879.2898823529422</v>
      </c>
      <c r="N31" s="6">
        <f t="shared" si="17"/>
        <v>2880.2047058823537</v>
      </c>
    </row>
    <row r="32" spans="1:14" x14ac:dyDescent="0.25">
      <c r="A32" s="9" t="s">
        <v>59</v>
      </c>
      <c r="B32" s="5"/>
      <c r="C32" s="5"/>
      <c r="D32" s="10">
        <f t="shared" ref="D32:N32" si="18">IF(C31=0,0,D31/C31-1)</f>
        <v>-5.8090983110281602E-4</v>
      </c>
      <c r="E32" s="10">
        <f t="shared" si="18"/>
        <v>8.5795140761233402E-3</v>
      </c>
      <c r="F32" s="10">
        <f t="shared" si="18"/>
        <v>8.5686071451118728E-3</v>
      </c>
      <c r="G32" s="10">
        <f t="shared" si="18"/>
        <v>2.094243668787632E-2</v>
      </c>
      <c r="H32" s="10">
        <f t="shared" si="18"/>
        <v>6.8075378969212341E-3</v>
      </c>
      <c r="I32" s="10">
        <f t="shared" si="18"/>
        <v>-7.8231775035396689E-3</v>
      </c>
      <c r="J32" s="10">
        <f t="shared" si="18"/>
        <v>6.9273304046006956E-3</v>
      </c>
      <c r="K32" s="10">
        <f t="shared" si="18"/>
        <v>7.5474668941961642E-3</v>
      </c>
      <c r="L32" s="10">
        <f t="shared" si="18"/>
        <v>1.8962177145818604E-2</v>
      </c>
      <c r="M32" s="10">
        <f t="shared" si="18"/>
        <v>4.8342476788270083E-3</v>
      </c>
      <c r="N32" s="10">
        <f t="shared" si="18"/>
        <v>3.1772539993912829E-4</v>
      </c>
    </row>
    <row r="33" spans="1:14" x14ac:dyDescent="0.25">
      <c r="A33" s="4" t="s">
        <v>26</v>
      </c>
      <c r="B33" s="5"/>
      <c r="C33" s="6">
        <f t="shared" ref="C33:N33" si="19">IF(OR(C23=0,C4=0),0,C4/C23)</f>
        <v>2232.565714285714</v>
      </c>
      <c r="D33" s="6">
        <f t="shared" si="19"/>
        <v>0</v>
      </c>
      <c r="E33" s="6">
        <f t="shared" si="19"/>
        <v>0</v>
      </c>
      <c r="F33" s="6">
        <f t="shared" si="19"/>
        <v>0</v>
      </c>
      <c r="G33" s="6">
        <f t="shared" si="19"/>
        <v>0</v>
      </c>
      <c r="H33" s="6">
        <f t="shared" si="19"/>
        <v>0</v>
      </c>
      <c r="I33" s="6">
        <f t="shared" si="19"/>
        <v>2525.04</v>
      </c>
      <c r="J33" s="6">
        <f t="shared" si="19"/>
        <v>0</v>
      </c>
      <c r="K33" s="6">
        <f t="shared" si="19"/>
        <v>0</v>
      </c>
      <c r="L33" s="6">
        <f t="shared" si="19"/>
        <v>3376.5257142857145</v>
      </c>
      <c r="M33" s="6">
        <f t="shared" si="19"/>
        <v>0</v>
      </c>
      <c r="N33" s="6">
        <f t="shared" si="19"/>
        <v>0</v>
      </c>
    </row>
    <row r="34" spans="1:14" x14ac:dyDescent="0.25">
      <c r="A34" s="9" t="s">
        <v>60</v>
      </c>
      <c r="B34" s="5"/>
      <c r="C34" s="5"/>
      <c r="D34" s="10">
        <f t="shared" ref="D34:N34" si="20">IF(C33=0,0,D33/C33-1)</f>
        <v>-1</v>
      </c>
      <c r="E34" s="10">
        <f t="shared" si="20"/>
        <v>0</v>
      </c>
      <c r="F34" s="10">
        <f t="shared" si="20"/>
        <v>0</v>
      </c>
      <c r="G34" s="10">
        <f t="shared" si="20"/>
        <v>0</v>
      </c>
      <c r="H34" s="10">
        <f t="shared" si="20"/>
        <v>0</v>
      </c>
      <c r="I34" s="10">
        <f t="shared" si="20"/>
        <v>0</v>
      </c>
      <c r="J34" s="10">
        <f t="shared" si="20"/>
        <v>-1</v>
      </c>
      <c r="K34" s="10">
        <f t="shared" si="20"/>
        <v>0</v>
      </c>
      <c r="L34" s="10">
        <f t="shared" si="20"/>
        <v>0</v>
      </c>
      <c r="M34" s="10">
        <f t="shared" si="20"/>
        <v>-1</v>
      </c>
      <c r="N34" s="10">
        <f t="shared" si="20"/>
        <v>0</v>
      </c>
    </row>
    <row r="35" spans="1:14" x14ac:dyDescent="0.25">
      <c r="A35" s="4" t="s">
        <v>28</v>
      </c>
      <c r="B35" s="5"/>
      <c r="C35" s="6">
        <f t="shared" ref="C35:N35" si="21">IF(OR(C24=0,C7=0),0,-C7/C24)</f>
        <v>0</v>
      </c>
      <c r="D35" s="6">
        <f t="shared" si="21"/>
        <v>0</v>
      </c>
      <c r="E35" s="6">
        <f t="shared" si="21"/>
        <v>2486.6160000000004</v>
      </c>
      <c r="F35" s="6">
        <f t="shared" si="21"/>
        <v>2088</v>
      </c>
      <c r="G35" s="6">
        <f t="shared" si="21"/>
        <v>1362</v>
      </c>
      <c r="H35" s="6">
        <f t="shared" si="21"/>
        <v>1548</v>
      </c>
      <c r="I35" s="6">
        <f t="shared" si="21"/>
        <v>3348</v>
      </c>
      <c r="J35" s="6">
        <f t="shared" si="21"/>
        <v>0</v>
      </c>
      <c r="K35" s="6">
        <f t="shared" si="21"/>
        <v>2268</v>
      </c>
      <c r="L35" s="6">
        <f t="shared" si="21"/>
        <v>0</v>
      </c>
      <c r="M35" s="6">
        <f t="shared" si="21"/>
        <v>0</v>
      </c>
      <c r="N35" s="6">
        <f t="shared" si="21"/>
        <v>0</v>
      </c>
    </row>
    <row r="36" spans="1:14" x14ac:dyDescent="0.25">
      <c r="A36" s="9" t="s">
        <v>61</v>
      </c>
      <c r="B36" s="5"/>
      <c r="C36" s="5"/>
      <c r="D36" s="10">
        <f t="shared" ref="D36:N36" si="22">IF(C35=0,0,D35/C35-1)</f>
        <v>0</v>
      </c>
      <c r="E36" s="10">
        <f t="shared" si="22"/>
        <v>0</v>
      </c>
      <c r="F36" s="10">
        <f t="shared" si="22"/>
        <v>-0.16030460674265767</v>
      </c>
      <c r="G36" s="10">
        <f t="shared" si="22"/>
        <v>-0.3477011494252874</v>
      </c>
      <c r="H36" s="10">
        <f t="shared" si="22"/>
        <v>0.13656387665198233</v>
      </c>
      <c r="I36" s="10">
        <f t="shared" si="22"/>
        <v>1.1627906976744184</v>
      </c>
      <c r="J36" s="10">
        <f t="shared" si="22"/>
        <v>-1</v>
      </c>
      <c r="K36" s="10">
        <f t="shared" si="22"/>
        <v>0</v>
      </c>
      <c r="L36" s="10">
        <f t="shared" si="22"/>
        <v>-1</v>
      </c>
      <c r="M36" s="10">
        <f t="shared" si="22"/>
        <v>0</v>
      </c>
      <c r="N36" s="10">
        <f t="shared" si="22"/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87"/>
  <sheetViews>
    <sheetView tabSelected="1" topLeftCell="A55" workbookViewId="0">
      <selection activeCell="K41" sqref="K41"/>
    </sheetView>
  </sheetViews>
  <sheetFormatPr defaultRowHeight="15" x14ac:dyDescent="0.25"/>
  <cols>
    <col min="1" max="1" width="34.7109375" bestFit="1" customWidth="1"/>
    <col min="2" max="2" width="18" customWidth="1"/>
    <col min="3" max="18" width="14" customWidth="1"/>
  </cols>
  <sheetData>
    <row r="1" spans="1:18" x14ac:dyDescent="0.25">
      <c r="A1" s="1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</row>
    <row r="2" spans="1:18" x14ac:dyDescent="0.25">
      <c r="A2" s="15" t="s">
        <v>63</v>
      </c>
      <c r="B2" s="16"/>
      <c r="C2" s="1" t="s">
        <v>64</v>
      </c>
      <c r="D2" s="16"/>
      <c r="E2" s="16"/>
      <c r="F2" s="16"/>
      <c r="G2" s="16"/>
      <c r="H2" s="16"/>
      <c r="I2" s="16"/>
      <c r="J2" s="1" t="s">
        <v>65</v>
      </c>
      <c r="K2" s="16"/>
      <c r="L2" s="16"/>
      <c r="M2" s="16"/>
      <c r="N2" s="16"/>
      <c r="O2" s="1" t="s">
        <v>11</v>
      </c>
      <c r="P2" s="16"/>
      <c r="Q2" s="16"/>
      <c r="R2" s="16"/>
    </row>
    <row r="3" spans="1:18" x14ac:dyDescent="0.25">
      <c r="A3" s="16" t="s">
        <v>66</v>
      </c>
      <c r="B3" s="16" t="s">
        <v>67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68</v>
      </c>
      <c r="H3" s="3" t="s">
        <v>69</v>
      </c>
      <c r="I3" s="3" t="s">
        <v>70</v>
      </c>
      <c r="J3" s="3" t="s">
        <v>71</v>
      </c>
      <c r="K3" s="3" t="s">
        <v>72</v>
      </c>
      <c r="L3" s="3" t="s">
        <v>73</v>
      </c>
      <c r="M3" s="3" t="s">
        <v>74</v>
      </c>
      <c r="N3" s="3" t="s">
        <v>75</v>
      </c>
      <c r="O3" s="3" t="s">
        <v>71</v>
      </c>
      <c r="P3" s="3" t="s">
        <v>72</v>
      </c>
      <c r="Q3" s="3" t="s">
        <v>73</v>
      </c>
      <c r="R3" s="3" t="s">
        <v>76</v>
      </c>
    </row>
    <row r="4" spans="1:18" x14ac:dyDescent="0.25">
      <c r="A4" s="4">
        <v>1</v>
      </c>
      <c r="B4" s="4">
        <f>IFERROR(INDEX('Intermediate Calcs'!$A$3:$A$102,MATCH($A4,'Intermediate Calcs'!$F$3:$F$102,0),1),"")</f>
        <v>61</v>
      </c>
      <c r="C4" s="6">
        <f>IFERROR(INDEX('Intermediate Calcs'!$B$3:$B$102,MATCH($A4,'Intermediate Calcs'!$F$3:$F$102,0),1),0)</f>
        <v>4644</v>
      </c>
      <c r="D4" s="6">
        <f>IFERROR(INDEX('Intermediate Calcs'!$C$3:$C$102,MATCH($A4,'Intermediate Calcs'!$F$3:$F$102,0),1),0)</f>
        <v>4644</v>
      </c>
      <c r="E4" s="6">
        <f>IFERROR(INDEX('Intermediate Calcs'!$D$3:$D$102,MATCH($A4,'Intermediate Calcs'!$F$3:$F$102,0),1),0)</f>
        <v>4644</v>
      </c>
      <c r="F4" s="6">
        <f>IFERROR(INDEX('Intermediate Calcs'!$E$3:$E$102,MATCH($A4,'Intermediate Calcs'!$F$3:$F$102,0),1),0)</f>
        <v>4798.5599999999995</v>
      </c>
      <c r="G4" s="21">
        <f t="shared" ref="G4:G14" si="0">IF(C4=0,0,(F4/C4)^(1/3)-1)</f>
        <v>1.0973036637126343E-2</v>
      </c>
      <c r="H4" s="21">
        <f>IF(F17=0,0,F4/F17)</f>
        <v>1.9600567606714223E-2</v>
      </c>
      <c r="I4" s="21">
        <f>SUM(H$4:H4)</f>
        <v>1.9600567606714223E-2</v>
      </c>
      <c r="J4" s="6">
        <f t="shared" ref="J4:J13" si="1">D4-C4</f>
        <v>0</v>
      </c>
      <c r="K4" s="6">
        <f t="shared" ref="K4:K13" si="2">E4-D4</f>
        <v>0</v>
      </c>
      <c r="L4" s="6">
        <f t="shared" ref="L4:L13" si="3">F4-E4</f>
        <v>154.55999999999949</v>
      </c>
      <c r="M4" s="21">
        <f>IF(L17=0,0,L4/L17)</f>
        <v>7.1776467572416741E-3</v>
      </c>
      <c r="N4" s="22">
        <f t="shared" ref="N4:N14" si="4">IF(C4=0,0,F4/C4)</f>
        <v>1.0332816537467699</v>
      </c>
      <c r="O4" s="21">
        <f t="shared" ref="O4:O14" si="5">IF(C4=0,0,D4/C4-1)</f>
        <v>0</v>
      </c>
      <c r="P4" s="21">
        <f t="shared" ref="P4:P14" si="6">IF(D4=0,0,E4/D4-1)</f>
        <v>0</v>
      </c>
      <c r="Q4" s="21">
        <f t="shared" ref="Q4:Q14" si="7">IF(E4=0,0,F4/E4-1)</f>
        <v>3.3281653746769946E-2</v>
      </c>
      <c r="R4" s="23" t="s">
        <v>1</v>
      </c>
    </row>
    <row r="5" spans="1:18" x14ac:dyDescent="0.25">
      <c r="A5" s="4">
        <v>2</v>
      </c>
      <c r="B5" s="4">
        <f>IFERROR(INDEX('Intermediate Calcs'!$A$3:$A$102,MATCH($A5,'Intermediate Calcs'!$F$3:$F$102,0),1),"")</f>
        <v>2</v>
      </c>
      <c r="C5" s="6">
        <f>IFERROR(INDEX('Intermediate Calcs'!$B$3:$B$102,MATCH($A5,'Intermediate Calcs'!$F$3:$F$102,0),1),0)</f>
        <v>4345.7999999999993</v>
      </c>
      <c r="D5" s="6">
        <f>IFERROR(INDEX('Intermediate Calcs'!$C$3:$C$102,MATCH($A5,'Intermediate Calcs'!$F$3:$F$102,0),1),0)</f>
        <v>4308</v>
      </c>
      <c r="E5" s="6">
        <f>IFERROR(INDEX('Intermediate Calcs'!$D$3:$D$102,MATCH($A5,'Intermediate Calcs'!$F$3:$F$102,0),1),0)</f>
        <v>4308</v>
      </c>
      <c r="F5" s="6">
        <f>IFERROR(INDEX('Intermediate Calcs'!$E$3:$E$102,MATCH($A5,'Intermediate Calcs'!$F$3:$F$102,0),1),0)</f>
        <v>4788</v>
      </c>
      <c r="G5" s="21">
        <f t="shared" si="0"/>
        <v>3.2828314461598174E-2</v>
      </c>
      <c r="H5" s="21">
        <f>IF(F17=0,0,F5/F17)</f>
        <v>1.9557433417722755E-2</v>
      </c>
      <c r="I5" s="21">
        <f>SUM(H$4:H5)</f>
        <v>3.9158001024436978E-2</v>
      </c>
      <c r="J5" s="6">
        <f t="shared" si="1"/>
        <v>-37.799999999999272</v>
      </c>
      <c r="K5" s="6">
        <f t="shared" si="2"/>
        <v>0</v>
      </c>
      <c r="L5" s="6">
        <f t="shared" si="3"/>
        <v>480</v>
      </c>
      <c r="M5" s="21">
        <f>IF(L17=0,0,L5/L17)</f>
        <v>2.2290828438638811E-2</v>
      </c>
      <c r="N5" s="22">
        <f t="shared" si="4"/>
        <v>1.1017534170923653</v>
      </c>
      <c r="O5" s="21">
        <f t="shared" si="5"/>
        <v>-8.6980532928342402E-3</v>
      </c>
      <c r="P5" s="21">
        <f t="shared" si="6"/>
        <v>0</v>
      </c>
      <c r="Q5" s="21">
        <f t="shared" si="7"/>
        <v>0.11142061281337057</v>
      </c>
      <c r="R5" s="23" t="s">
        <v>1</v>
      </c>
    </row>
    <row r="6" spans="1:18" x14ac:dyDescent="0.25">
      <c r="A6" s="4">
        <v>3</v>
      </c>
      <c r="B6" s="4">
        <f>IFERROR(INDEX('Intermediate Calcs'!$A$3:$A$102,MATCH($A6,'Intermediate Calcs'!$F$3:$F$102,0),1),"")</f>
        <v>13</v>
      </c>
      <c r="C6" s="6">
        <f>IFERROR(INDEX('Intermediate Calcs'!$B$3:$B$102,MATCH($A6,'Intermediate Calcs'!$F$3:$F$102,0),1),0)</f>
        <v>4428</v>
      </c>
      <c r="D6" s="6">
        <f>IFERROR(INDEX('Intermediate Calcs'!$C$3:$C$102,MATCH($A6,'Intermediate Calcs'!$F$3:$F$102,0),1),0)</f>
        <v>4428</v>
      </c>
      <c r="E6" s="6">
        <f>IFERROR(INDEX('Intermediate Calcs'!$D$3:$D$102,MATCH($A6,'Intermediate Calcs'!$F$3:$F$102,0),1),0)</f>
        <v>4583.04</v>
      </c>
      <c r="F6" s="6">
        <f>IFERROR(INDEX('Intermediate Calcs'!$E$3:$E$102,MATCH($A6,'Intermediate Calcs'!$F$3:$F$102,0),1),0)</f>
        <v>4583.04</v>
      </c>
      <c r="G6" s="21">
        <f t="shared" si="0"/>
        <v>1.1537556233281121E-2</v>
      </c>
      <c r="H6" s="21">
        <f>IF(F17=0,0,F6/F17)</f>
        <v>1.8720238022297431E-2</v>
      </c>
      <c r="I6" s="21">
        <f>SUM(H$4:H6)</f>
        <v>5.7878239046734406E-2</v>
      </c>
      <c r="J6" s="6">
        <f t="shared" si="1"/>
        <v>0</v>
      </c>
      <c r="K6" s="6">
        <f t="shared" si="2"/>
        <v>155.03999999999996</v>
      </c>
      <c r="L6" s="6">
        <f t="shared" si="3"/>
        <v>0</v>
      </c>
      <c r="M6" s="21">
        <f>IF(L17=0,0,L6/L17)</f>
        <v>0</v>
      </c>
      <c r="N6" s="22">
        <f t="shared" si="4"/>
        <v>1.0350135501355013</v>
      </c>
      <c r="O6" s="21">
        <f t="shared" si="5"/>
        <v>0</v>
      </c>
      <c r="P6" s="21">
        <f t="shared" si="6"/>
        <v>3.5013550135501337E-2</v>
      </c>
      <c r="Q6" s="21">
        <f t="shared" si="7"/>
        <v>0</v>
      </c>
      <c r="R6" s="23" t="s">
        <v>1</v>
      </c>
    </row>
    <row r="7" spans="1:18" x14ac:dyDescent="0.25">
      <c r="A7" s="4">
        <v>4</v>
      </c>
      <c r="B7" s="4">
        <f>IFERROR(INDEX('Intermediate Calcs'!$A$3:$A$102,MATCH($A7,'Intermediate Calcs'!$F$3:$F$102,0),1),"")</f>
        <v>53</v>
      </c>
      <c r="C7" s="6">
        <f>IFERROR(INDEX('Intermediate Calcs'!$B$3:$B$102,MATCH($A7,'Intermediate Calcs'!$F$3:$F$102,0),1),0)</f>
        <v>2628</v>
      </c>
      <c r="D7" s="6">
        <f>IFERROR(INDEX('Intermediate Calcs'!$C$3:$C$102,MATCH($A7,'Intermediate Calcs'!$F$3:$F$102,0),1),0)</f>
        <v>2628</v>
      </c>
      <c r="E7" s="6">
        <f>IFERROR(INDEX('Intermediate Calcs'!$D$3:$D$102,MATCH($A7,'Intermediate Calcs'!$F$3:$F$102,0),1),0)</f>
        <v>4428</v>
      </c>
      <c r="F7" s="6">
        <f>IFERROR(INDEX('Intermediate Calcs'!$E$3:$E$102,MATCH($A7,'Intermediate Calcs'!$F$3:$F$102,0),1),0)</f>
        <v>4574.6400000000003</v>
      </c>
      <c r="G7" s="21">
        <f t="shared" si="0"/>
        <v>0.20293968931007278</v>
      </c>
      <c r="H7" s="21">
        <f>IF(F17=0,0,F7/F17)</f>
        <v>1.8685926735599673E-2</v>
      </c>
      <c r="I7" s="21">
        <f>SUM(H$4:H7)</f>
        <v>7.6564165782334076E-2</v>
      </c>
      <c r="J7" s="6">
        <f t="shared" si="1"/>
        <v>0</v>
      </c>
      <c r="K7" s="6">
        <f t="shared" si="2"/>
        <v>1800</v>
      </c>
      <c r="L7" s="6">
        <f t="shared" si="3"/>
        <v>146.64000000000033</v>
      </c>
      <c r="M7" s="21">
        <f>IF(L17=0,0,L7/L17)</f>
        <v>6.8098480880041719E-3</v>
      </c>
      <c r="N7" s="22">
        <f t="shared" si="4"/>
        <v>1.7407305936073061</v>
      </c>
      <c r="O7" s="21">
        <f t="shared" si="5"/>
        <v>0</v>
      </c>
      <c r="P7" s="21">
        <f t="shared" si="6"/>
        <v>0.68493150684931514</v>
      </c>
      <c r="Q7" s="21">
        <f t="shared" si="7"/>
        <v>3.3116531165311658E-2</v>
      </c>
      <c r="R7" s="23" t="s">
        <v>1</v>
      </c>
    </row>
    <row r="8" spans="1:18" x14ac:dyDescent="0.25">
      <c r="A8" s="4">
        <v>5</v>
      </c>
      <c r="B8" s="4">
        <f>IFERROR(INDEX('Intermediate Calcs'!$A$3:$A$102,MATCH($A8,'Intermediate Calcs'!$F$3:$F$102,0),1),"")</f>
        <v>94</v>
      </c>
      <c r="C8" s="6">
        <f>IFERROR(INDEX('Intermediate Calcs'!$B$3:$B$102,MATCH($A8,'Intermediate Calcs'!$F$3:$F$102,0),1),0)</f>
        <v>4188</v>
      </c>
      <c r="D8" s="6">
        <f>IFERROR(INDEX('Intermediate Calcs'!$C$3:$C$102,MATCH($A8,'Intermediate Calcs'!$F$3:$F$102,0),1),0)</f>
        <v>4188</v>
      </c>
      <c r="E8" s="6">
        <f>IFERROR(INDEX('Intermediate Calcs'!$D$3:$D$102,MATCH($A8,'Intermediate Calcs'!$F$3:$F$102,0),1),0)</f>
        <v>4334.6400000000003</v>
      </c>
      <c r="F8" s="6">
        <f>IFERROR(INDEX('Intermediate Calcs'!$E$3:$E$102,MATCH($A8,'Intermediate Calcs'!$F$3:$F$102,0),1),0)</f>
        <v>4486.32</v>
      </c>
      <c r="G8" s="21">
        <f t="shared" si="0"/>
        <v>2.3201555174550581E-2</v>
      </c>
      <c r="H8" s="21">
        <f>IF(F17=0,0,F8/F17)</f>
        <v>1.8325168064034659E-2</v>
      </c>
      <c r="I8" s="21">
        <f>SUM(H$4:H8)</f>
        <v>9.4889333846368731E-2</v>
      </c>
      <c r="J8" s="6">
        <f t="shared" si="1"/>
        <v>0</v>
      </c>
      <c r="K8" s="6">
        <f t="shared" si="2"/>
        <v>146.64000000000033</v>
      </c>
      <c r="L8" s="6">
        <f t="shared" si="3"/>
        <v>151.67999999999938</v>
      </c>
      <c r="M8" s="21">
        <f>IF(L17=0,0,L8/L17)</f>
        <v>7.0439017866098363E-3</v>
      </c>
      <c r="N8" s="22">
        <f t="shared" si="4"/>
        <v>1.0712320916905445</v>
      </c>
      <c r="O8" s="21">
        <f t="shared" si="5"/>
        <v>0</v>
      </c>
      <c r="P8" s="21">
        <f t="shared" si="6"/>
        <v>3.5014326647564653E-2</v>
      </c>
      <c r="Q8" s="21">
        <f t="shared" si="7"/>
        <v>3.4992525330823199E-2</v>
      </c>
      <c r="R8" s="23" t="s">
        <v>1</v>
      </c>
    </row>
    <row r="9" spans="1:18" x14ac:dyDescent="0.25">
      <c r="A9" s="4">
        <v>6</v>
      </c>
      <c r="B9" s="4">
        <f>IFERROR(INDEX('Intermediate Calcs'!$A$3:$A$102,MATCH($A9,'Intermediate Calcs'!$F$3:$F$102,0),1),"")</f>
        <v>31</v>
      </c>
      <c r="C9" s="6">
        <f>IFERROR(INDEX('Intermediate Calcs'!$B$3:$B$102,MATCH($A9,'Intermediate Calcs'!$F$3:$F$102,0),1),0)</f>
        <v>0</v>
      </c>
      <c r="D9" s="6">
        <f>IFERROR(INDEX('Intermediate Calcs'!$C$3:$C$102,MATCH($A9,'Intermediate Calcs'!$F$3:$F$102,0),1),0)</f>
        <v>4202.3999999999996</v>
      </c>
      <c r="E9" s="6">
        <f>IFERROR(INDEX('Intermediate Calcs'!$D$3:$D$102,MATCH($A9,'Intermediate Calcs'!$F$3:$F$102,0),1),0)</f>
        <v>4341.4800000000005</v>
      </c>
      <c r="F9" s="6">
        <f>IFERROR(INDEX('Intermediate Calcs'!$E$3:$E$102,MATCH($A9,'Intermediate Calcs'!$F$3:$F$102,0),1),0)</f>
        <v>4341.4800000000005</v>
      </c>
      <c r="G9" s="21">
        <f t="shared" si="0"/>
        <v>0</v>
      </c>
      <c r="H9" s="21">
        <f>IF(F17=0,0,F9/F17)</f>
        <v>1.7733543449117584E-2</v>
      </c>
      <c r="I9" s="21">
        <f>SUM(H$4:H9)</f>
        <v>0.11262287729548631</v>
      </c>
      <c r="J9" s="6">
        <f t="shared" si="1"/>
        <v>4202.3999999999996</v>
      </c>
      <c r="K9" s="6">
        <f t="shared" si="2"/>
        <v>139.08000000000084</v>
      </c>
      <c r="L9" s="6">
        <f t="shared" si="3"/>
        <v>0</v>
      </c>
      <c r="M9" s="21">
        <f>IF(L17=0,0,L9/L17)</f>
        <v>0</v>
      </c>
      <c r="N9" s="22">
        <f t="shared" si="4"/>
        <v>0</v>
      </c>
      <c r="O9" s="21">
        <f t="shared" si="5"/>
        <v>0</v>
      </c>
      <c r="P9" s="21">
        <f t="shared" si="6"/>
        <v>3.3095374071959061E-2</v>
      </c>
      <c r="Q9" s="21">
        <f t="shared" si="7"/>
        <v>0</v>
      </c>
      <c r="R9" s="23" t="s">
        <v>77</v>
      </c>
    </row>
    <row r="10" spans="1:18" x14ac:dyDescent="0.25">
      <c r="A10" s="4">
        <v>7</v>
      </c>
      <c r="B10" s="4">
        <f>IFERROR(INDEX('Intermediate Calcs'!$A$3:$A$102,MATCH($A10,'Intermediate Calcs'!$F$3:$F$102,0),1),"")</f>
        <v>51</v>
      </c>
      <c r="C10" s="6">
        <f>IFERROR(INDEX('Intermediate Calcs'!$B$3:$B$102,MATCH($A10,'Intermediate Calcs'!$F$3:$F$102,0),1),0)</f>
        <v>4188</v>
      </c>
      <c r="D10" s="6">
        <f>IFERROR(INDEX('Intermediate Calcs'!$C$3:$C$102,MATCH($A10,'Intermediate Calcs'!$F$3:$F$102,0),1),0)</f>
        <v>4188</v>
      </c>
      <c r="E10" s="6">
        <f>IFERROR(INDEX('Intermediate Calcs'!$D$3:$D$102,MATCH($A10,'Intermediate Calcs'!$F$3:$F$102,0),1),0)</f>
        <v>4188</v>
      </c>
      <c r="F10" s="6">
        <f>IFERROR(INDEX('Intermediate Calcs'!$E$3:$E$102,MATCH($A10,'Intermediate Calcs'!$F$3:$F$102,0),1),0)</f>
        <v>4334.6400000000003</v>
      </c>
      <c r="G10" s="21">
        <f t="shared" si="0"/>
        <v>1.153780919966918E-2</v>
      </c>
      <c r="H10" s="21">
        <f>IF(F17=0,0,F10/F17)</f>
        <v>1.7705604258520836E-2</v>
      </c>
      <c r="I10" s="21">
        <f>SUM(H$4:H10)</f>
        <v>0.13032848155400714</v>
      </c>
      <c r="J10" s="6">
        <f t="shared" si="1"/>
        <v>0</v>
      </c>
      <c r="K10" s="6">
        <f t="shared" si="2"/>
        <v>0</v>
      </c>
      <c r="L10" s="6">
        <f t="shared" si="3"/>
        <v>146.64000000000033</v>
      </c>
      <c r="M10" s="21">
        <f>IF(L17=0,0,L10/L17)</f>
        <v>6.8098480880041719E-3</v>
      </c>
      <c r="N10" s="22">
        <f t="shared" si="4"/>
        <v>1.0350143266475647</v>
      </c>
      <c r="O10" s="21">
        <f t="shared" si="5"/>
        <v>0</v>
      </c>
      <c r="P10" s="21">
        <f t="shared" si="6"/>
        <v>0</v>
      </c>
      <c r="Q10" s="21">
        <f t="shared" si="7"/>
        <v>3.5014326647564653E-2</v>
      </c>
      <c r="R10" s="23" t="s">
        <v>1</v>
      </c>
    </row>
    <row r="11" spans="1:18" x14ac:dyDescent="0.25">
      <c r="A11" s="4">
        <v>8</v>
      </c>
      <c r="B11" s="4">
        <f>IFERROR(INDEX('Intermediate Calcs'!$A$3:$A$102,MATCH($A11,'Intermediate Calcs'!$F$3:$F$102,0),1),"")</f>
        <v>62</v>
      </c>
      <c r="C11" s="6">
        <f>IFERROR(INDEX('Intermediate Calcs'!$B$3:$B$102,MATCH($A11,'Intermediate Calcs'!$F$3:$F$102,0),1),0)</f>
        <v>0</v>
      </c>
      <c r="D11" s="6">
        <f>IFERROR(INDEX('Intermediate Calcs'!$C$3:$C$102,MATCH($A11,'Intermediate Calcs'!$F$3:$F$102,0),1),0)</f>
        <v>0</v>
      </c>
      <c r="E11" s="6">
        <f>IFERROR(INDEX('Intermediate Calcs'!$D$3:$D$102,MATCH($A11,'Intermediate Calcs'!$F$3:$F$102,0),1),0)</f>
        <v>0</v>
      </c>
      <c r="F11" s="6">
        <f>IFERROR(INDEX('Intermediate Calcs'!$E$3:$E$102,MATCH($A11,'Intermediate Calcs'!$F$3:$F$102,0),1),0)</f>
        <v>4334.6400000000003</v>
      </c>
      <c r="G11" s="21">
        <f t="shared" si="0"/>
        <v>0</v>
      </c>
      <c r="H11" s="21">
        <f>IF(F17=0,0,F11/F17)</f>
        <v>1.7705604258520836E-2</v>
      </c>
      <c r="I11" s="21">
        <f>SUM(H$4:H11)</f>
        <v>0.14803408581252797</v>
      </c>
      <c r="J11" s="6">
        <f t="shared" si="1"/>
        <v>0</v>
      </c>
      <c r="K11" s="6">
        <f t="shared" si="2"/>
        <v>0</v>
      </c>
      <c r="L11" s="6">
        <f t="shared" si="3"/>
        <v>4334.6400000000003</v>
      </c>
      <c r="M11" s="21">
        <f>IF(L17=0,0,L11/L17)</f>
        <v>0.2012973262151278</v>
      </c>
      <c r="N11" s="22">
        <f t="shared" si="4"/>
        <v>0</v>
      </c>
      <c r="O11" s="21">
        <f t="shared" si="5"/>
        <v>0</v>
      </c>
      <c r="P11" s="21">
        <f t="shared" si="6"/>
        <v>0</v>
      </c>
      <c r="Q11" s="21">
        <f t="shared" si="7"/>
        <v>0</v>
      </c>
      <c r="R11" s="23" t="s">
        <v>78</v>
      </c>
    </row>
    <row r="12" spans="1:18" x14ac:dyDescent="0.25">
      <c r="A12" s="4">
        <v>9</v>
      </c>
      <c r="B12" s="4">
        <f>IFERROR(INDEX('Intermediate Calcs'!$A$3:$A$102,MATCH($A12,'Intermediate Calcs'!$F$3:$F$102,0),1),"")</f>
        <v>68</v>
      </c>
      <c r="C12" s="6">
        <f>IFERROR(INDEX('Intermediate Calcs'!$B$3:$B$102,MATCH($A12,'Intermediate Calcs'!$F$3:$F$102,0),1),0)</f>
        <v>0</v>
      </c>
      <c r="D12" s="6">
        <f>IFERROR(INDEX('Intermediate Calcs'!$C$3:$C$102,MATCH($A12,'Intermediate Calcs'!$F$3:$F$102,0),1),0)</f>
        <v>0</v>
      </c>
      <c r="E12" s="6">
        <f>IFERROR(INDEX('Intermediate Calcs'!$D$3:$D$102,MATCH($A12,'Intermediate Calcs'!$F$3:$F$102,0),1),0)</f>
        <v>0</v>
      </c>
      <c r="F12" s="6">
        <f>IFERROR(INDEX('Intermediate Calcs'!$E$3:$E$102,MATCH($A12,'Intermediate Calcs'!$F$3:$F$102,0),1),0)</f>
        <v>4334.6400000000003</v>
      </c>
      <c r="G12" s="21">
        <f t="shared" si="0"/>
        <v>0</v>
      </c>
      <c r="H12" s="21">
        <f>IF(F17=0,0,F12/F17)</f>
        <v>1.7705604258520836E-2</v>
      </c>
      <c r="I12" s="21">
        <f>SUM(H$4:H12)</f>
        <v>0.1657396900710488</v>
      </c>
      <c r="J12" s="6">
        <f t="shared" si="1"/>
        <v>0</v>
      </c>
      <c r="K12" s="6">
        <f t="shared" si="2"/>
        <v>0</v>
      </c>
      <c r="L12" s="6">
        <f t="shared" si="3"/>
        <v>4334.6400000000003</v>
      </c>
      <c r="M12" s="21">
        <f>IF(L17=0,0,L12/L17)</f>
        <v>0.2012973262151278</v>
      </c>
      <c r="N12" s="22">
        <f t="shared" si="4"/>
        <v>0</v>
      </c>
      <c r="O12" s="21">
        <f t="shared" si="5"/>
        <v>0</v>
      </c>
      <c r="P12" s="21">
        <f t="shared" si="6"/>
        <v>0</v>
      </c>
      <c r="Q12" s="21">
        <f t="shared" si="7"/>
        <v>0</v>
      </c>
      <c r="R12" s="23" t="s">
        <v>78</v>
      </c>
    </row>
    <row r="13" spans="1:18" x14ac:dyDescent="0.25">
      <c r="A13" s="4">
        <v>10</v>
      </c>
      <c r="B13" s="4">
        <f>IFERROR(INDEX('Intermediate Calcs'!$A$3:$A$102,MATCH($A13,'Intermediate Calcs'!$F$3:$F$102,0),1),"")</f>
        <v>91</v>
      </c>
      <c r="C13" s="6">
        <f>IFERROR(INDEX('Intermediate Calcs'!$B$3:$B$102,MATCH($A13,'Intermediate Calcs'!$F$3:$F$102,0),1),0)</f>
        <v>4188</v>
      </c>
      <c r="D13" s="6">
        <f>IFERROR(INDEX('Intermediate Calcs'!$C$3:$C$102,MATCH($A13,'Intermediate Calcs'!$F$3:$F$102,0),1),0)</f>
        <v>4188</v>
      </c>
      <c r="E13" s="6">
        <f>IFERROR(INDEX('Intermediate Calcs'!$D$3:$D$102,MATCH($A13,'Intermediate Calcs'!$F$3:$F$102,0),1),0)</f>
        <v>4188</v>
      </c>
      <c r="F13" s="6">
        <f>IFERROR(INDEX('Intermediate Calcs'!$E$3:$E$102,MATCH($A13,'Intermediate Calcs'!$F$3:$F$102,0),1),0)</f>
        <v>4334.6400000000003</v>
      </c>
      <c r="G13" s="21">
        <f t="shared" si="0"/>
        <v>1.153780919966918E-2</v>
      </c>
      <c r="H13" s="21">
        <f>IF(F17=0,0,F13/F17)</f>
        <v>1.7705604258520836E-2</v>
      </c>
      <c r="I13" s="21">
        <f>SUM(H$4:H13)</f>
        <v>0.18344529432956963</v>
      </c>
      <c r="J13" s="6">
        <f t="shared" si="1"/>
        <v>0</v>
      </c>
      <c r="K13" s="6">
        <f t="shared" si="2"/>
        <v>0</v>
      </c>
      <c r="L13" s="6">
        <f t="shared" si="3"/>
        <v>146.64000000000033</v>
      </c>
      <c r="M13" s="21">
        <f>IF(L17=0,0,L13/L17)</f>
        <v>6.8098480880041719E-3</v>
      </c>
      <c r="N13" s="22">
        <f t="shared" si="4"/>
        <v>1.0350143266475647</v>
      </c>
      <c r="O13" s="21">
        <f t="shared" si="5"/>
        <v>0</v>
      </c>
      <c r="P13" s="21">
        <f t="shared" si="6"/>
        <v>0</v>
      </c>
      <c r="Q13" s="21">
        <f t="shared" si="7"/>
        <v>3.5014326647564653E-2</v>
      </c>
      <c r="R13" s="23" t="s">
        <v>1</v>
      </c>
    </row>
    <row r="14" spans="1:18" x14ac:dyDescent="0.25">
      <c r="A14" s="7"/>
      <c r="B14" s="7" t="s">
        <v>79</v>
      </c>
      <c r="C14" s="8">
        <f>SUM(C4:C13)</f>
        <v>28609.8</v>
      </c>
      <c r="D14" s="8">
        <f>SUM(D4:D13)</f>
        <v>32774.400000000001</v>
      </c>
      <c r="E14" s="8">
        <f>SUM(E4:E13)</f>
        <v>35015.160000000003</v>
      </c>
      <c r="F14" s="8">
        <f>SUM(F4:F13)</f>
        <v>44910.6</v>
      </c>
      <c r="G14" s="24">
        <f t="shared" si="0"/>
        <v>0.16219234833762974</v>
      </c>
      <c r="H14" s="24">
        <f>IF(F17=0,0,F14/F17)</f>
        <v>0.18344529432956966</v>
      </c>
      <c r="I14" s="24">
        <f>SUM(H4:H13)</f>
        <v>0.18344529432956963</v>
      </c>
      <c r="J14" s="8">
        <f>SUM(J4:J13)</f>
        <v>4164.6000000000004</v>
      </c>
      <c r="K14" s="8">
        <f>SUM(K4:K13)</f>
        <v>2240.7600000000011</v>
      </c>
      <c r="L14" s="8">
        <f>SUM(L4:L13)</f>
        <v>9895.4399999999987</v>
      </c>
      <c r="M14" s="24">
        <f>IF(L17=0,0,L14/L17)</f>
        <v>0.45953657367675838</v>
      </c>
      <c r="N14" s="25">
        <f t="shared" si="4"/>
        <v>1.5697628085481199</v>
      </c>
      <c r="O14" s="24">
        <f t="shared" si="5"/>
        <v>0.1455655055260785</v>
      </c>
      <c r="P14" s="24">
        <f t="shared" si="6"/>
        <v>6.8369214997070937E-2</v>
      </c>
      <c r="Q14" s="24">
        <f t="shared" si="7"/>
        <v>0.28260444904435666</v>
      </c>
      <c r="R14" s="26"/>
    </row>
    <row r="16" spans="1:18" x14ac:dyDescent="0.25">
      <c r="A16" s="4"/>
      <c r="B16" s="4" t="str">
        <f>"Other ("&amp;COUNTIFS('Intermediate Calcs'!$E$3:$E$102,"&gt;"&amp;10)-10&amp;" Customers)"</f>
        <v>Other (75 Customers)</v>
      </c>
      <c r="C16" s="6">
        <f>C17-C14</f>
        <v>187413.00000000006</v>
      </c>
      <c r="D16" s="6">
        <f>D17-D14</f>
        <v>181939.19999999998</v>
      </c>
      <c r="E16" s="6">
        <f>E17-E14</f>
        <v>188268.71999999994</v>
      </c>
      <c r="F16" s="6">
        <f>F17-F14</f>
        <v>199906.80000000005</v>
      </c>
      <c r="G16" s="21">
        <f>IF(C16=0,0,(F16/C16)^(1/3)-1)</f>
        <v>2.1745228377469505E-2</v>
      </c>
      <c r="H16" s="21">
        <f>IF(F17=0,0,F16/F17)</f>
        <v>0.81655470567043031</v>
      </c>
      <c r="I16" s="21"/>
      <c r="J16" s="6">
        <f>J17-J14</f>
        <v>-5473.8000000000702</v>
      </c>
      <c r="K16" s="6">
        <f>K17-K14</f>
        <v>6329.5199999999686</v>
      </c>
      <c r="L16" s="6">
        <f>L17-L14</f>
        <v>11638.080000000107</v>
      </c>
      <c r="M16" s="21">
        <f>IF(L17=0,0,L16/L17)</f>
        <v>0.54046342632324162</v>
      </c>
      <c r="N16" s="22">
        <f>IF(C16=0,0,F16/C16)</f>
        <v>1.0666645323430071</v>
      </c>
      <c r="O16" s="21">
        <f t="shared" ref="O16:Q17" si="8">IF(C16=0,0,D16/C16-1)</f>
        <v>-2.9207152118583379E-2</v>
      </c>
      <c r="P16" s="21">
        <f t="shared" si="8"/>
        <v>3.4789204305613941E-2</v>
      </c>
      <c r="Q16" s="21">
        <f t="shared" si="8"/>
        <v>6.1816322966449899E-2</v>
      </c>
      <c r="R16" s="23"/>
    </row>
    <row r="17" spans="1:18" x14ac:dyDescent="0.25">
      <c r="A17" s="7"/>
      <c r="B17" s="7" t="s">
        <v>80</v>
      </c>
      <c r="C17" s="8">
        <f>SUM('Intermediate Calcs'!$B$3:$B$102)</f>
        <v>216022.80000000005</v>
      </c>
      <c r="D17" s="8">
        <f>SUM('Intermediate Calcs'!$C$3:$C$102)</f>
        <v>214713.59999999998</v>
      </c>
      <c r="E17" s="8">
        <f>SUM('Intermediate Calcs'!$D$3:$D$102)</f>
        <v>223283.87999999995</v>
      </c>
      <c r="F17" s="8">
        <f>SUM('Intermediate Calcs'!$E$3:$E$102)</f>
        <v>244817.40000000005</v>
      </c>
      <c r="G17" s="24">
        <f>IF(C17=0,0,(F17/C17)^(1/3)-1)</f>
        <v>4.2591620594521151E-2</v>
      </c>
      <c r="H17" s="24">
        <f>IF(F17=0,0,F17/F17)</f>
        <v>1</v>
      </c>
      <c r="I17" s="24">
        <f>IF(F17=0,0,F17/F17)</f>
        <v>1</v>
      </c>
      <c r="J17" s="8">
        <f>D17-C17</f>
        <v>-1309.2000000000698</v>
      </c>
      <c r="K17" s="8">
        <f>E17-D17</f>
        <v>8570.2799999999697</v>
      </c>
      <c r="L17" s="8">
        <f>F17-E17</f>
        <v>21533.520000000106</v>
      </c>
      <c r="M17" s="24">
        <f>IF(L17=0,0,L17/L17)</f>
        <v>1</v>
      </c>
      <c r="N17" s="25">
        <f>IF(C17=0,0,F17/C17)</f>
        <v>1.1332942633833096</v>
      </c>
      <c r="O17" s="24">
        <f t="shared" si="8"/>
        <v>-6.0604713946864619E-3</v>
      </c>
      <c r="P17" s="24">
        <f t="shared" si="8"/>
        <v>3.9914937852096877E-2</v>
      </c>
      <c r="Q17" s="24">
        <f t="shared" si="8"/>
        <v>9.644010127376923E-2</v>
      </c>
      <c r="R17" s="26"/>
    </row>
    <row r="19" spans="1:18" x14ac:dyDescent="0.25">
      <c r="A19" s="4"/>
      <c r="B19" s="4" t="s">
        <v>81</v>
      </c>
      <c r="C19" s="6">
        <f>SUM(C4:C8)</f>
        <v>20233.8</v>
      </c>
      <c r="D19" s="6">
        <f>SUM(D4:D8)</f>
        <v>20196</v>
      </c>
      <c r="E19" s="6">
        <f>SUM(E4:E8)</f>
        <v>22297.68</v>
      </c>
      <c r="F19" s="6">
        <f>SUM(F4:F8)</f>
        <v>23230.559999999998</v>
      </c>
      <c r="G19" s="21">
        <f>IF(C19=0,0,(F19/C19)^(1/3)-1)</f>
        <v>4.7114263321498262E-2</v>
      </c>
      <c r="H19" s="21">
        <f>IF(F17=0,0,F19/F17)</f>
        <v>9.4889333846368731E-2</v>
      </c>
      <c r="I19" s="21">
        <f>SUM(H4:H8)</f>
        <v>9.4889333846368731E-2</v>
      </c>
      <c r="J19" s="6">
        <f>SUM(J4:J8)</f>
        <v>-37.799999999999272</v>
      </c>
      <c r="K19" s="6">
        <f>SUM(K4:K8)</f>
        <v>2101.6800000000003</v>
      </c>
      <c r="L19" s="6">
        <f>SUM(L4:L8)</f>
        <v>932.8799999999992</v>
      </c>
      <c r="M19" s="21">
        <f>IF(L17=0,0,L19/L17)</f>
        <v>4.3322225070494498E-2</v>
      </c>
      <c r="N19" s="22">
        <f>IF(C19=0,0,F19/C19)</f>
        <v>1.1481066334549119</v>
      </c>
      <c r="O19" s="21">
        <f t="shared" ref="O19:Q20" si="9">IF(C19=0,0,D19/C19-1)</f>
        <v>-1.8681611956231636E-3</v>
      </c>
      <c r="P19" s="21">
        <f t="shared" si="9"/>
        <v>0.1040641711229946</v>
      </c>
      <c r="Q19" s="21">
        <f t="shared" si="9"/>
        <v>4.183753646119226E-2</v>
      </c>
      <c r="R19" s="23"/>
    </row>
    <row r="20" spans="1:18" x14ac:dyDescent="0.25">
      <c r="A20" s="4"/>
      <c r="B20" s="4" t="s">
        <v>79</v>
      </c>
      <c r="C20" s="6">
        <f>SUM(C4:C13)</f>
        <v>28609.8</v>
      </c>
      <c r="D20" s="6">
        <f>SUM(D4:D13)</f>
        <v>32774.400000000001</v>
      </c>
      <c r="E20" s="6">
        <f>SUM(E4:E13)</f>
        <v>35015.160000000003</v>
      </c>
      <c r="F20" s="6">
        <f>SUM(F4:F13)</f>
        <v>44910.6</v>
      </c>
      <c r="G20" s="21">
        <f>IF(C20=0,0,(F20/C20)^(1/3)-1)</f>
        <v>0.16219234833762974</v>
      </c>
      <c r="H20" s="21">
        <f>IF(F17=0,0,F20/F17)</f>
        <v>0.18344529432956966</v>
      </c>
      <c r="I20" s="21">
        <f>SUM(H4:H13)</f>
        <v>0.18344529432956963</v>
      </c>
      <c r="J20" s="6">
        <f>SUM(J4:J13)</f>
        <v>4164.6000000000004</v>
      </c>
      <c r="K20" s="6">
        <f>SUM(K4:K13)</f>
        <v>2240.7600000000011</v>
      </c>
      <c r="L20" s="6">
        <f>SUM(L4:L13)</f>
        <v>9895.4399999999987</v>
      </c>
      <c r="M20" s="21">
        <f>IF(L17=0,0,L20/L17)</f>
        <v>0.45953657367675838</v>
      </c>
      <c r="N20" s="22">
        <f>IF(C20=0,0,F20/C20)</f>
        <v>1.5697628085481199</v>
      </c>
      <c r="O20" s="21">
        <f t="shared" si="9"/>
        <v>0.1455655055260785</v>
      </c>
      <c r="P20" s="21">
        <f t="shared" si="9"/>
        <v>6.8369214997070937E-2</v>
      </c>
      <c r="Q20" s="21">
        <f t="shared" si="9"/>
        <v>0.28260444904435666</v>
      </c>
      <c r="R20" s="23"/>
    </row>
    <row r="22" spans="1:18" x14ac:dyDescent="0.25">
      <c r="A22" s="1" t="str">
        <f>"Top New Customers as of " &amp; TEXT(F3,"mmm-yy")</f>
        <v>Top New Customers as of Dec-26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</row>
    <row r="23" spans="1:18" x14ac:dyDescent="0.25">
      <c r="A23" s="15" t="s">
        <v>63</v>
      </c>
      <c r="B23" s="16"/>
      <c r="C23" s="1" t="s">
        <v>64</v>
      </c>
      <c r="D23" s="16"/>
      <c r="E23" s="16"/>
      <c r="F23" s="16"/>
      <c r="G23" s="16"/>
      <c r="H23" s="16"/>
      <c r="I23" s="16"/>
      <c r="J23" s="1" t="s">
        <v>65</v>
      </c>
      <c r="K23" s="16"/>
      <c r="L23" s="16"/>
      <c r="M23" s="16"/>
      <c r="N23" s="16"/>
      <c r="O23" s="1" t="s">
        <v>11</v>
      </c>
      <c r="P23" s="16"/>
      <c r="Q23" s="16"/>
      <c r="R23" s="16"/>
    </row>
    <row r="24" spans="1:18" x14ac:dyDescent="0.25">
      <c r="A24" s="16" t="s">
        <v>66</v>
      </c>
      <c r="B24" s="16" t="s">
        <v>67</v>
      </c>
      <c r="C24" s="3" t="s">
        <v>1</v>
      </c>
      <c r="D24" s="3" t="s">
        <v>2</v>
      </c>
      <c r="E24" s="3" t="s">
        <v>3</v>
      </c>
      <c r="F24" s="3" t="s">
        <v>4</v>
      </c>
      <c r="G24" s="3" t="s">
        <v>68</v>
      </c>
      <c r="H24" s="3" t="s">
        <v>82</v>
      </c>
      <c r="I24" s="3" t="s">
        <v>70</v>
      </c>
      <c r="J24" s="3" t="s">
        <v>71</v>
      </c>
      <c r="K24" s="3" t="s">
        <v>72</v>
      </c>
      <c r="L24" s="3" t="s">
        <v>73</v>
      </c>
      <c r="M24" s="3" t="s">
        <v>74</v>
      </c>
      <c r="N24" s="3" t="s">
        <v>75</v>
      </c>
      <c r="O24" s="3" t="s">
        <v>71</v>
      </c>
      <c r="P24" s="3" t="s">
        <v>72</v>
      </c>
      <c r="Q24" s="3" t="s">
        <v>73</v>
      </c>
      <c r="R24" s="3" t="s">
        <v>76</v>
      </c>
    </row>
    <row r="25" spans="1:18" x14ac:dyDescent="0.25">
      <c r="A25" s="4">
        <v>1</v>
      </c>
      <c r="B25" s="4">
        <f>IFERROR(INDEX('Intermediate Calcs'!$A$3:$A$102,MATCH($A25,'Intermediate Calcs'!$H$3:$H$102,0),1),"")</f>
        <v>62</v>
      </c>
      <c r="C25" s="6">
        <f>IFERROR(INDEX('Intermediate Calcs'!$B$3:$B$102,MATCH($A25,'Intermediate Calcs'!$H$3:$H$102,0),1),0)</f>
        <v>0</v>
      </c>
      <c r="D25" s="6">
        <f>IFERROR(INDEX('Intermediate Calcs'!$C$3:$C$102,MATCH($A25,'Intermediate Calcs'!$H$3:$H$102,0),1),0)</f>
        <v>0</v>
      </c>
      <c r="E25" s="6">
        <f>IFERROR(INDEX('Intermediate Calcs'!$D$3:$D$102,MATCH($A25,'Intermediate Calcs'!$H$3:$H$102,0),1),0)</f>
        <v>0</v>
      </c>
      <c r="F25" s="6">
        <f>IFERROR(INDEX('Intermediate Calcs'!$E$3:$E$102,MATCH($A25,'Intermediate Calcs'!$H$3:$H$102,0),1),0)</f>
        <v>4334.6400000000003</v>
      </c>
      <c r="G25" s="21">
        <f t="shared" ref="G25:G32" si="10">IF(C25=0,0,(F25/C25)^(1/3)-1)</f>
        <v>0</v>
      </c>
      <c r="H25" s="21">
        <f>IF(F35=0,0,F25/F35)</f>
        <v>0.18339391970106211</v>
      </c>
      <c r="I25" s="21">
        <f>SUM(H$25:H25)</f>
        <v>0.18339391970106211</v>
      </c>
      <c r="J25" s="6">
        <f t="shared" ref="J25:L31" si="11">D25-C25</f>
        <v>0</v>
      </c>
      <c r="K25" s="6">
        <f t="shared" si="11"/>
        <v>0</v>
      </c>
      <c r="L25" s="6">
        <f t="shared" si="11"/>
        <v>4334.6400000000003</v>
      </c>
      <c r="M25" s="21">
        <f>IF(L35=0,0,L25/L35)</f>
        <v>0.18339391970106211</v>
      </c>
      <c r="N25" s="22">
        <f t="shared" ref="N25:N32" si="12">IF(C25=0,0,F25/C25)</f>
        <v>0</v>
      </c>
      <c r="O25" s="21">
        <f t="shared" ref="O25:Q32" si="13">IF(C25=0,0,D25/C25-1)</f>
        <v>0</v>
      </c>
      <c r="P25" s="21">
        <f t="shared" si="13"/>
        <v>0</v>
      </c>
      <c r="Q25" s="21">
        <f t="shared" si="13"/>
        <v>0</v>
      </c>
      <c r="R25" s="23" t="s">
        <v>78</v>
      </c>
    </row>
    <row r="26" spans="1:18" x14ac:dyDescent="0.25">
      <c r="A26" s="4">
        <v>2</v>
      </c>
      <c r="B26" s="4">
        <f>IFERROR(INDEX('Intermediate Calcs'!$A$3:$A$102,MATCH($A26,'Intermediate Calcs'!$H$3:$H$102,0),1),"")</f>
        <v>68</v>
      </c>
      <c r="C26" s="6">
        <f>IFERROR(INDEX('Intermediate Calcs'!$B$3:$B$102,MATCH($A26,'Intermediate Calcs'!$H$3:$H$102,0),1),0)</f>
        <v>0</v>
      </c>
      <c r="D26" s="6">
        <f>IFERROR(INDEX('Intermediate Calcs'!$C$3:$C$102,MATCH($A26,'Intermediate Calcs'!$H$3:$H$102,0),1),0)</f>
        <v>0</v>
      </c>
      <c r="E26" s="6">
        <f>IFERROR(INDEX('Intermediate Calcs'!$D$3:$D$102,MATCH($A26,'Intermediate Calcs'!$H$3:$H$102,0),1),0)</f>
        <v>0</v>
      </c>
      <c r="F26" s="6">
        <f>IFERROR(INDEX('Intermediate Calcs'!$E$3:$E$102,MATCH($A26,'Intermediate Calcs'!$H$3:$H$102,0),1),0)</f>
        <v>4334.6400000000003</v>
      </c>
      <c r="G26" s="21">
        <f t="shared" si="10"/>
        <v>0</v>
      </c>
      <c r="H26" s="21">
        <f>IF(F35=0,0,F26/F35)</f>
        <v>0.18339391970106211</v>
      </c>
      <c r="I26" s="21">
        <f>SUM(H$25:H26)</f>
        <v>0.36678783940212423</v>
      </c>
      <c r="J26" s="6">
        <f t="shared" si="11"/>
        <v>0</v>
      </c>
      <c r="K26" s="6">
        <f t="shared" si="11"/>
        <v>0</v>
      </c>
      <c r="L26" s="6">
        <f t="shared" si="11"/>
        <v>4334.6400000000003</v>
      </c>
      <c r="M26" s="21">
        <f>IF(L35=0,0,L26/L35)</f>
        <v>0.18339391970106211</v>
      </c>
      <c r="N26" s="22">
        <f t="shared" si="12"/>
        <v>0</v>
      </c>
      <c r="O26" s="21">
        <f t="shared" si="13"/>
        <v>0</v>
      </c>
      <c r="P26" s="21">
        <f t="shared" si="13"/>
        <v>0</v>
      </c>
      <c r="Q26" s="21">
        <f t="shared" si="13"/>
        <v>0</v>
      </c>
      <c r="R26" s="23" t="s">
        <v>78</v>
      </c>
    </row>
    <row r="27" spans="1:18" x14ac:dyDescent="0.25">
      <c r="A27" s="4">
        <v>3</v>
      </c>
      <c r="B27" s="4">
        <f>IFERROR(INDEX('Intermediate Calcs'!$A$3:$A$102,MATCH($A27,'Intermediate Calcs'!$H$3:$H$102,0),1),"")</f>
        <v>63</v>
      </c>
      <c r="C27" s="6">
        <f>IFERROR(INDEX('Intermediate Calcs'!$B$3:$B$102,MATCH($A27,'Intermediate Calcs'!$H$3:$H$102,0),1),0)</f>
        <v>0</v>
      </c>
      <c r="D27" s="6">
        <f>IFERROR(INDEX('Intermediate Calcs'!$C$3:$C$102,MATCH($A27,'Intermediate Calcs'!$H$3:$H$102,0),1),0)</f>
        <v>0</v>
      </c>
      <c r="E27" s="6">
        <f>IFERROR(INDEX('Intermediate Calcs'!$D$3:$D$102,MATCH($A27,'Intermediate Calcs'!$H$3:$H$102,0),1),0)</f>
        <v>0</v>
      </c>
      <c r="F27" s="6">
        <f>IFERROR(INDEX('Intermediate Calcs'!$E$3:$E$102,MATCH($A27,'Intermediate Calcs'!$H$3:$H$102,0),1),0)</f>
        <v>3713.6400000000003</v>
      </c>
      <c r="G27" s="21">
        <f t="shared" si="10"/>
        <v>0</v>
      </c>
      <c r="H27" s="21">
        <f>IF(F35=0,0,F27/F35)</f>
        <v>0.15712008285778112</v>
      </c>
      <c r="I27" s="21">
        <f>SUM(H$25:H27)</f>
        <v>0.52390792225990535</v>
      </c>
      <c r="J27" s="6">
        <f t="shared" si="11"/>
        <v>0</v>
      </c>
      <c r="K27" s="6">
        <f t="shared" si="11"/>
        <v>0</v>
      </c>
      <c r="L27" s="6">
        <f t="shared" si="11"/>
        <v>3713.6400000000003</v>
      </c>
      <c r="M27" s="21">
        <f>IF(L35=0,0,L27/L35)</f>
        <v>0.15712008285778112</v>
      </c>
      <c r="N27" s="22">
        <f t="shared" si="12"/>
        <v>0</v>
      </c>
      <c r="O27" s="21">
        <f t="shared" si="13"/>
        <v>0</v>
      </c>
      <c r="P27" s="21">
        <f t="shared" si="13"/>
        <v>0</v>
      </c>
      <c r="Q27" s="21">
        <f t="shared" si="13"/>
        <v>0</v>
      </c>
      <c r="R27" s="23" t="s">
        <v>78</v>
      </c>
    </row>
    <row r="28" spans="1:18" x14ac:dyDescent="0.25">
      <c r="A28" s="4">
        <v>4</v>
      </c>
      <c r="B28" s="4">
        <f>IFERROR(INDEX('Intermediate Calcs'!$A$3:$A$102,MATCH($A28,'Intermediate Calcs'!$H$3:$H$102,0),1),"")</f>
        <v>64</v>
      </c>
      <c r="C28" s="6">
        <f>IFERROR(INDEX('Intermediate Calcs'!$B$3:$B$102,MATCH($A28,'Intermediate Calcs'!$H$3:$H$102,0),1),0)</f>
        <v>0</v>
      </c>
      <c r="D28" s="6">
        <f>IFERROR(INDEX('Intermediate Calcs'!$C$3:$C$102,MATCH($A28,'Intermediate Calcs'!$H$3:$H$102,0),1),0)</f>
        <v>0</v>
      </c>
      <c r="E28" s="6">
        <f>IFERROR(INDEX('Intermediate Calcs'!$D$3:$D$102,MATCH($A28,'Intermediate Calcs'!$H$3:$H$102,0),1),0)</f>
        <v>0</v>
      </c>
      <c r="F28" s="6">
        <f>IFERROR(INDEX('Intermediate Calcs'!$E$3:$E$102,MATCH($A28,'Intermediate Calcs'!$H$3:$H$102,0),1),0)</f>
        <v>3713.6400000000003</v>
      </c>
      <c r="G28" s="21">
        <f t="shared" si="10"/>
        <v>0</v>
      </c>
      <c r="H28" s="21">
        <f>IF(F35=0,0,F28/F35)</f>
        <v>0.15712008285778112</v>
      </c>
      <c r="I28" s="21">
        <f>SUM(H$25:H28)</f>
        <v>0.68102800511768646</v>
      </c>
      <c r="J28" s="6">
        <f t="shared" si="11"/>
        <v>0</v>
      </c>
      <c r="K28" s="6">
        <f t="shared" si="11"/>
        <v>0</v>
      </c>
      <c r="L28" s="6">
        <f t="shared" si="11"/>
        <v>3713.6400000000003</v>
      </c>
      <c r="M28" s="21">
        <f>IF(L35=0,0,L28/L35)</f>
        <v>0.15712008285778112</v>
      </c>
      <c r="N28" s="22">
        <f t="shared" si="12"/>
        <v>0</v>
      </c>
      <c r="O28" s="21">
        <f t="shared" si="13"/>
        <v>0</v>
      </c>
      <c r="P28" s="21">
        <f t="shared" si="13"/>
        <v>0</v>
      </c>
      <c r="Q28" s="21">
        <f t="shared" si="13"/>
        <v>0</v>
      </c>
      <c r="R28" s="23" t="s">
        <v>78</v>
      </c>
    </row>
    <row r="29" spans="1:18" x14ac:dyDescent="0.25">
      <c r="A29" s="4">
        <v>5</v>
      </c>
      <c r="B29" s="4">
        <f>IFERROR(INDEX('Intermediate Calcs'!$A$3:$A$102,MATCH($A29,'Intermediate Calcs'!$H$3:$H$102,0),1),"")</f>
        <v>67</v>
      </c>
      <c r="C29" s="6">
        <f>IFERROR(INDEX('Intermediate Calcs'!$B$3:$B$102,MATCH($A29,'Intermediate Calcs'!$H$3:$H$102,0),1),0)</f>
        <v>0</v>
      </c>
      <c r="D29" s="6">
        <f>IFERROR(INDEX('Intermediate Calcs'!$C$3:$C$102,MATCH($A29,'Intermediate Calcs'!$H$3:$H$102,0),1),0)</f>
        <v>0</v>
      </c>
      <c r="E29" s="6">
        <f>IFERROR(INDEX('Intermediate Calcs'!$D$3:$D$102,MATCH($A29,'Intermediate Calcs'!$H$3:$H$102,0),1),0)</f>
        <v>0</v>
      </c>
      <c r="F29" s="6">
        <f>IFERROR(INDEX('Intermediate Calcs'!$E$3:$E$102,MATCH($A29,'Intermediate Calcs'!$H$3:$H$102,0),1),0)</f>
        <v>3092.6400000000003</v>
      </c>
      <c r="G29" s="21">
        <f t="shared" si="10"/>
        <v>0</v>
      </c>
      <c r="H29" s="21">
        <f>IF(F35=0,0,F29/F35)</f>
        <v>0.13084624601450009</v>
      </c>
      <c r="I29" s="21">
        <f>SUM(H$25:H29)</f>
        <v>0.81187425113218659</v>
      </c>
      <c r="J29" s="6">
        <f t="shared" si="11"/>
        <v>0</v>
      </c>
      <c r="K29" s="6">
        <f t="shared" si="11"/>
        <v>0</v>
      </c>
      <c r="L29" s="6">
        <f t="shared" si="11"/>
        <v>3092.6400000000003</v>
      </c>
      <c r="M29" s="21">
        <f>IF(L35=0,0,L29/L35)</f>
        <v>0.13084624601450009</v>
      </c>
      <c r="N29" s="22">
        <f t="shared" si="12"/>
        <v>0</v>
      </c>
      <c r="O29" s="21">
        <f t="shared" si="13"/>
        <v>0</v>
      </c>
      <c r="P29" s="21">
        <f t="shared" si="13"/>
        <v>0</v>
      </c>
      <c r="Q29" s="21">
        <f t="shared" si="13"/>
        <v>0</v>
      </c>
      <c r="R29" s="23" t="s">
        <v>78</v>
      </c>
    </row>
    <row r="30" spans="1:18" x14ac:dyDescent="0.25">
      <c r="A30" s="4">
        <v>6</v>
      </c>
      <c r="B30" s="4">
        <f>IFERROR(INDEX('Intermediate Calcs'!$A$3:$A$102,MATCH($A30,'Intermediate Calcs'!$H$3:$H$102,0),1),"")</f>
        <v>65</v>
      </c>
      <c r="C30" s="6">
        <f>IFERROR(INDEX('Intermediate Calcs'!$B$3:$B$102,MATCH($A30,'Intermediate Calcs'!$H$3:$H$102,0),1),0)</f>
        <v>0</v>
      </c>
      <c r="D30" s="6">
        <f>IFERROR(INDEX('Intermediate Calcs'!$C$3:$C$102,MATCH($A30,'Intermediate Calcs'!$H$3:$H$102,0),1),0)</f>
        <v>0</v>
      </c>
      <c r="E30" s="6">
        <f>IFERROR(INDEX('Intermediate Calcs'!$D$3:$D$102,MATCH($A30,'Intermediate Calcs'!$H$3:$H$102,0),1),0)</f>
        <v>0</v>
      </c>
      <c r="F30" s="6">
        <f>IFERROR(INDEX('Intermediate Calcs'!$E$3:$E$102,MATCH($A30,'Intermediate Calcs'!$H$3:$H$102,0),1),0)</f>
        <v>2223.2400000000002</v>
      </c>
      <c r="G30" s="21">
        <f t="shared" si="10"/>
        <v>0</v>
      </c>
      <c r="H30" s="21">
        <f>IF(F35=0,0,F30/F35)</f>
        <v>9.4062874433906693E-2</v>
      </c>
      <c r="I30" s="21">
        <f>SUM(H$25:H30)</f>
        <v>0.90593712556609329</v>
      </c>
      <c r="J30" s="6">
        <f t="shared" si="11"/>
        <v>0</v>
      </c>
      <c r="K30" s="6">
        <f t="shared" si="11"/>
        <v>0</v>
      </c>
      <c r="L30" s="6">
        <f t="shared" si="11"/>
        <v>2223.2400000000002</v>
      </c>
      <c r="M30" s="21">
        <f>IF(L35=0,0,L30/L35)</f>
        <v>9.4062874433906693E-2</v>
      </c>
      <c r="N30" s="22">
        <f t="shared" si="12"/>
        <v>0</v>
      </c>
      <c r="O30" s="21">
        <f t="shared" si="13"/>
        <v>0</v>
      </c>
      <c r="P30" s="21">
        <f t="shared" si="13"/>
        <v>0</v>
      </c>
      <c r="Q30" s="21">
        <f t="shared" si="13"/>
        <v>0</v>
      </c>
      <c r="R30" s="23" t="s">
        <v>78</v>
      </c>
    </row>
    <row r="31" spans="1:18" x14ac:dyDescent="0.25">
      <c r="A31" s="4">
        <v>7</v>
      </c>
      <c r="B31" s="4">
        <f>IFERROR(INDEX('Intermediate Calcs'!$A$3:$A$102,MATCH($A31,'Intermediate Calcs'!$H$3:$H$102,0),1),"")</f>
        <v>70</v>
      </c>
      <c r="C31" s="6">
        <f>IFERROR(INDEX('Intermediate Calcs'!$B$3:$B$102,MATCH($A31,'Intermediate Calcs'!$H$3:$H$102,0),1),0)</f>
        <v>0</v>
      </c>
      <c r="D31" s="6">
        <f>IFERROR(INDEX('Intermediate Calcs'!$C$3:$C$102,MATCH($A31,'Intermediate Calcs'!$H$3:$H$102,0),1),0)</f>
        <v>0</v>
      </c>
      <c r="E31" s="6">
        <f>IFERROR(INDEX('Intermediate Calcs'!$D$3:$D$102,MATCH($A31,'Intermediate Calcs'!$H$3:$H$102,0),1),0)</f>
        <v>0</v>
      </c>
      <c r="F31" s="6">
        <f>IFERROR(INDEX('Intermediate Calcs'!$E$3:$E$102,MATCH($A31,'Intermediate Calcs'!$H$3:$H$102,0),1),0)</f>
        <v>2223.2400000000002</v>
      </c>
      <c r="G31" s="21">
        <f t="shared" si="10"/>
        <v>0</v>
      </c>
      <c r="H31" s="21">
        <f>IF(F35=0,0,F31/F35)</f>
        <v>9.4062874433906693E-2</v>
      </c>
      <c r="I31" s="21">
        <f>SUM(H$25:H31)</f>
        <v>1</v>
      </c>
      <c r="J31" s="6">
        <f t="shared" si="11"/>
        <v>0</v>
      </c>
      <c r="K31" s="6">
        <f t="shared" si="11"/>
        <v>0</v>
      </c>
      <c r="L31" s="6">
        <f t="shared" si="11"/>
        <v>2223.2400000000002</v>
      </c>
      <c r="M31" s="21">
        <f>IF(L35=0,0,L31/L35)</f>
        <v>9.4062874433906693E-2</v>
      </c>
      <c r="N31" s="22">
        <f t="shared" si="12"/>
        <v>0</v>
      </c>
      <c r="O31" s="21">
        <f t="shared" si="13"/>
        <v>0</v>
      </c>
      <c r="P31" s="21">
        <f t="shared" si="13"/>
        <v>0</v>
      </c>
      <c r="Q31" s="21">
        <f t="shared" si="13"/>
        <v>0</v>
      </c>
      <c r="R31" s="23" t="s">
        <v>78</v>
      </c>
    </row>
    <row r="32" spans="1:18" x14ac:dyDescent="0.25">
      <c r="A32" s="7"/>
      <c r="B32" s="7" t="s">
        <v>79</v>
      </c>
      <c r="C32" s="8">
        <f>SUM(C25:C31)</f>
        <v>0</v>
      </c>
      <c r="D32" s="8">
        <f>SUM(D25:D31)</f>
        <v>0</v>
      </c>
      <c r="E32" s="8">
        <f>SUM(E25:E31)</f>
        <v>0</v>
      </c>
      <c r="F32" s="8">
        <f>SUM(F25:F31)</f>
        <v>23635.680000000004</v>
      </c>
      <c r="G32" s="24">
        <f t="shared" si="10"/>
        <v>0</v>
      </c>
      <c r="H32" s="24">
        <f>IF(F35=0,0,F32/F35)</f>
        <v>1</v>
      </c>
      <c r="I32" s="24">
        <f>SUM(H25:H31)</f>
        <v>1</v>
      </c>
      <c r="J32" s="8">
        <f>SUM(J25:J31)</f>
        <v>0</v>
      </c>
      <c r="K32" s="8">
        <f>SUM(K25:K31)</f>
        <v>0</v>
      </c>
      <c r="L32" s="8">
        <f>SUM(L25:L31)</f>
        <v>23635.680000000004</v>
      </c>
      <c r="M32" s="24">
        <f>IF(L35=0,0,L32/L35)</f>
        <v>1</v>
      </c>
      <c r="N32" s="25">
        <f t="shared" si="12"/>
        <v>0</v>
      </c>
      <c r="O32" s="24">
        <f t="shared" si="13"/>
        <v>0</v>
      </c>
      <c r="P32" s="24">
        <f t="shared" si="13"/>
        <v>0</v>
      </c>
      <c r="Q32" s="24">
        <f t="shared" si="13"/>
        <v>0</v>
      </c>
      <c r="R32" s="26"/>
    </row>
    <row r="34" spans="1:18" x14ac:dyDescent="0.25">
      <c r="A34" s="4"/>
      <c r="B34" s="4" t="str">
        <f>"Other New ("&amp;COUNTIF('Intermediate Calcs'!$G$3:$G$102,"&gt;=0")-7&amp;" Customers)"</f>
        <v>Other New (0 Customers)</v>
      </c>
      <c r="C34" s="6">
        <f>C35-C32</f>
        <v>0</v>
      </c>
      <c r="D34" s="6">
        <f>D35-D32</f>
        <v>0</v>
      </c>
      <c r="E34" s="6">
        <f>E35-E32</f>
        <v>0</v>
      </c>
      <c r="F34" s="6">
        <f>F35-F32</f>
        <v>0</v>
      </c>
      <c r="G34" s="21">
        <f>IF(C34=0,0,(F34/C34)^(1/3)-1)</f>
        <v>0</v>
      </c>
      <c r="H34" s="21">
        <f>IF(F35=0,0,F34/F35)</f>
        <v>0</v>
      </c>
      <c r="I34" s="21"/>
      <c r="J34" s="6">
        <f>J35-J32</f>
        <v>0</v>
      </c>
      <c r="K34" s="6">
        <f>K35-K32</f>
        <v>0</v>
      </c>
      <c r="L34" s="6">
        <f>L35-L32</f>
        <v>0</v>
      </c>
      <c r="M34" s="21">
        <f>IF(L35=0,0,L34/L35)</f>
        <v>0</v>
      </c>
      <c r="N34" s="22">
        <f>IF(C34=0,0,F34/C34)</f>
        <v>0</v>
      </c>
      <c r="O34" s="21">
        <f t="shared" ref="O34:Q35" si="14">IF(C34=0,0,D34/C34-1)</f>
        <v>0</v>
      </c>
      <c r="P34" s="21">
        <f t="shared" si="14"/>
        <v>0</v>
      </c>
      <c r="Q34" s="21">
        <f t="shared" si="14"/>
        <v>0</v>
      </c>
      <c r="R34" s="23"/>
    </row>
    <row r="35" spans="1:18" x14ac:dyDescent="0.25">
      <c r="A35" s="7"/>
      <c r="B35" s="7" t="s">
        <v>83</v>
      </c>
      <c r="C35" s="8">
        <f>SUMPRODUCT(('Intermediate Calcs'!$G$3:$G$102&gt;=0)*('Intermediate Calcs'!$B$3:$B$102))</f>
        <v>0</v>
      </c>
      <c r="D35" s="8">
        <f>SUMPRODUCT(('Intermediate Calcs'!$G$3:$G$102&gt;=0)*('Intermediate Calcs'!$C$3:$C$102))</f>
        <v>0</v>
      </c>
      <c r="E35" s="8">
        <f>SUMPRODUCT(('Intermediate Calcs'!$G$3:$G$102&gt;=0)*('Intermediate Calcs'!$D$3:$D$102))</f>
        <v>0</v>
      </c>
      <c r="F35" s="8">
        <f>SUMPRODUCT(('Intermediate Calcs'!$G$3:$G$102&gt;=0)*('Intermediate Calcs'!$E$3:$E$102))</f>
        <v>23635.680000000004</v>
      </c>
      <c r="G35" s="24">
        <f>IF(C35=0,0,(F35/C35)^(1/3)-1)</f>
        <v>0</v>
      </c>
      <c r="H35" s="24">
        <f>IF(F35=0,0,F35/F35)</f>
        <v>1</v>
      </c>
      <c r="I35" s="24">
        <f>IF(F35=0,0,F35/F35)</f>
        <v>1</v>
      </c>
      <c r="J35" s="8">
        <f>D35-C35</f>
        <v>0</v>
      </c>
      <c r="K35" s="8">
        <f>E35-D35</f>
        <v>0</v>
      </c>
      <c r="L35" s="8">
        <f>F35-E35</f>
        <v>23635.680000000004</v>
      </c>
      <c r="M35" s="24">
        <f>IF(L35=0,0,L35/L35)</f>
        <v>1</v>
      </c>
      <c r="N35" s="25">
        <f>IF(C35=0,0,F35/C35)</f>
        <v>0</v>
      </c>
      <c r="O35" s="24">
        <f t="shared" si="14"/>
        <v>0</v>
      </c>
      <c r="P35" s="24">
        <f t="shared" si="14"/>
        <v>0</v>
      </c>
      <c r="Q35" s="24">
        <f t="shared" si="14"/>
        <v>0</v>
      </c>
      <c r="R35" s="26"/>
    </row>
    <row r="37" spans="1:18" x14ac:dyDescent="0.25">
      <c r="A37" s="4"/>
      <c r="B37" s="4" t="s">
        <v>81</v>
      </c>
      <c r="C37" s="6">
        <f>SUM(C25:C29)</f>
        <v>0</v>
      </c>
      <c r="D37" s="6">
        <f>SUM(D25:D29)</f>
        <v>0</v>
      </c>
      <c r="E37" s="6">
        <f>SUM(E25:E29)</f>
        <v>0</v>
      </c>
      <c r="F37" s="6">
        <f>SUM(F25:F29)</f>
        <v>19189.2</v>
      </c>
      <c r="G37" s="21">
        <f>IF(C37=0,0,(F37/C37)^(1/3)-1)</f>
        <v>0</v>
      </c>
      <c r="H37" s="21">
        <f>IF(F35=0,0,F37/F35)</f>
        <v>0.81187425113218648</v>
      </c>
      <c r="I37" s="21">
        <f>SUM(H25:H29)</f>
        <v>0.81187425113218659</v>
      </c>
      <c r="J37" s="6">
        <f>SUM(J25:J29)</f>
        <v>0</v>
      </c>
      <c r="K37" s="6">
        <f>SUM(K25:K29)</f>
        <v>0</v>
      </c>
      <c r="L37" s="6">
        <f>SUM(L25:L29)</f>
        <v>19189.2</v>
      </c>
      <c r="M37" s="21">
        <f>IF(L35=0,0,L37/L35)</f>
        <v>0.81187425113218648</v>
      </c>
      <c r="N37" s="22">
        <f>IF(C37=0,0,F37/C37)</f>
        <v>0</v>
      </c>
      <c r="O37" s="21">
        <f t="shared" ref="O37:Q38" si="15">IF(C37=0,0,D37/C37-1)</f>
        <v>0</v>
      </c>
      <c r="P37" s="21">
        <f t="shared" si="15"/>
        <v>0</v>
      </c>
      <c r="Q37" s="21">
        <f t="shared" si="15"/>
        <v>0</v>
      </c>
      <c r="R37" s="23"/>
    </row>
    <row r="38" spans="1:18" x14ac:dyDescent="0.25">
      <c r="A38" s="4"/>
      <c r="B38" s="4" t="s">
        <v>79</v>
      </c>
      <c r="C38" s="6">
        <f>SUM(C25:C31)</f>
        <v>0</v>
      </c>
      <c r="D38" s="6">
        <f>SUM(D25:D31)</f>
        <v>0</v>
      </c>
      <c r="E38" s="6">
        <f>SUM(E25:E31)</f>
        <v>0</v>
      </c>
      <c r="F38" s="6">
        <f>SUM(F25:F31)</f>
        <v>23635.680000000004</v>
      </c>
      <c r="G38" s="21">
        <f>IF(C38=0,0,(F38/C38)^(1/3)-1)</f>
        <v>0</v>
      </c>
      <c r="H38" s="21">
        <f>IF(F35=0,0,F38/F35)</f>
        <v>1</v>
      </c>
      <c r="I38" s="21">
        <f>SUM(H25:H31)</f>
        <v>1</v>
      </c>
      <c r="J38" s="6">
        <f>SUM(J25:J31)</f>
        <v>0</v>
      </c>
      <c r="K38" s="6">
        <f>SUM(K25:K31)</f>
        <v>0</v>
      </c>
      <c r="L38" s="6">
        <f>SUM(L25:L31)</f>
        <v>23635.680000000004</v>
      </c>
      <c r="M38" s="21">
        <f>IF(L35=0,0,L38/L35)</f>
        <v>1</v>
      </c>
      <c r="N38" s="22">
        <f>IF(C38=0,0,F38/C38)</f>
        <v>0</v>
      </c>
      <c r="O38" s="21">
        <f t="shared" si="15"/>
        <v>0</v>
      </c>
      <c r="P38" s="21">
        <f t="shared" si="15"/>
        <v>0</v>
      </c>
      <c r="Q38" s="21">
        <f t="shared" si="15"/>
        <v>0</v>
      </c>
      <c r="R38" s="23"/>
    </row>
    <row r="40" spans="1:18" x14ac:dyDescent="0.25">
      <c r="A40" s="1" t="str">
        <f>"Top Upsell Customers as of " &amp; TEXT(F3,"mmm-yy")</f>
        <v>Top Upsell Customers as of Dec-26</v>
      </c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</row>
    <row r="41" spans="1:18" x14ac:dyDescent="0.25">
      <c r="A41" s="15" t="s">
        <v>63</v>
      </c>
      <c r="B41" s="16"/>
      <c r="C41" s="1" t="s">
        <v>64</v>
      </c>
      <c r="D41" s="16"/>
      <c r="E41" s="16"/>
      <c r="F41" s="16"/>
      <c r="G41" s="16"/>
      <c r="H41" s="16"/>
      <c r="I41" s="16"/>
      <c r="J41" s="1" t="s">
        <v>65</v>
      </c>
      <c r="K41" s="16"/>
      <c r="L41" s="16"/>
      <c r="M41" s="16"/>
      <c r="N41" s="16"/>
      <c r="O41" s="1" t="s">
        <v>11</v>
      </c>
      <c r="P41" s="16"/>
      <c r="Q41" s="16"/>
      <c r="R41" s="16"/>
    </row>
    <row r="42" spans="1:18" x14ac:dyDescent="0.25">
      <c r="A42" s="16" t="s">
        <v>66</v>
      </c>
      <c r="B42" s="16" t="s">
        <v>67</v>
      </c>
      <c r="C42" s="3" t="s">
        <v>1</v>
      </c>
      <c r="D42" s="3" t="s">
        <v>2</v>
      </c>
      <c r="E42" s="3" t="s">
        <v>3</v>
      </c>
      <c r="F42" s="3" t="s">
        <v>4</v>
      </c>
      <c r="G42" s="3" t="s">
        <v>68</v>
      </c>
      <c r="H42" s="3" t="s">
        <v>84</v>
      </c>
      <c r="I42" s="3" t="s">
        <v>70</v>
      </c>
      <c r="J42" s="3" t="s">
        <v>71</v>
      </c>
      <c r="K42" s="3" t="s">
        <v>72</v>
      </c>
      <c r="L42" s="3" t="s">
        <v>73</v>
      </c>
      <c r="M42" s="3" t="s">
        <v>74</v>
      </c>
      <c r="N42" s="3" t="s">
        <v>75</v>
      </c>
      <c r="O42" s="3" t="s">
        <v>71</v>
      </c>
      <c r="P42" s="3" t="s">
        <v>72</v>
      </c>
      <c r="Q42" s="3" t="s">
        <v>73</v>
      </c>
      <c r="R42" s="3" t="s">
        <v>76</v>
      </c>
    </row>
    <row r="43" spans="1:18" x14ac:dyDescent="0.25">
      <c r="A43" s="4">
        <v>1</v>
      </c>
      <c r="B43" s="4">
        <f>IFERROR(INDEX('Intermediate Calcs'!$A$3:$A$102,MATCH($A43,'Intermediate Calcs'!$J$3:$J$102,0),1),"")</f>
        <v>2</v>
      </c>
      <c r="C43" s="6">
        <f>IFERROR(INDEX('Intermediate Calcs'!$B$3:$B$102,MATCH($A43,'Intermediate Calcs'!$J$3:$J$102,0),1),0)</f>
        <v>4345.7999999999993</v>
      </c>
      <c r="D43" s="6">
        <f>IFERROR(INDEX('Intermediate Calcs'!$C$3:$C$102,MATCH($A43,'Intermediate Calcs'!$J$3:$J$102,0),1),0)</f>
        <v>4308</v>
      </c>
      <c r="E43" s="6">
        <f>IFERROR(INDEX('Intermediate Calcs'!$D$3:$D$102,MATCH($A43,'Intermediate Calcs'!$J$3:$J$102,0),1),0)</f>
        <v>4308</v>
      </c>
      <c r="F43" s="6">
        <f>IFERROR(INDEX('Intermediate Calcs'!$E$3:$E$102,MATCH($A43,'Intermediate Calcs'!$J$3:$J$102,0),1),0)</f>
        <v>4788</v>
      </c>
      <c r="G43" s="21">
        <f t="shared" ref="G43:G53" si="16">IF(C43=0,0,(F43/C43)^(1/3)-1)</f>
        <v>3.2828314461598174E-2</v>
      </c>
      <c r="H43" s="21">
        <f>IF(F56=0,0,F43/F56)</f>
        <v>3.0635090768933098E-2</v>
      </c>
      <c r="I43" s="21">
        <f>SUM(H$43:H43)</f>
        <v>3.0635090768933098E-2</v>
      </c>
      <c r="J43" s="6">
        <f t="shared" ref="J43:J52" si="17">D43-C43</f>
        <v>-37.799999999999272</v>
      </c>
      <c r="K43" s="6">
        <f t="shared" ref="K43:K52" si="18">E43-D43</f>
        <v>0</v>
      </c>
      <c r="L43" s="6">
        <f t="shared" ref="L43:L52" si="19">F43-E43</f>
        <v>480</v>
      </c>
      <c r="M43" s="21">
        <f>IF(L56=0,0,L43/L56)</f>
        <v>8.1134256911624569E-2</v>
      </c>
      <c r="N43" s="22">
        <f t="shared" ref="N43:N53" si="20">IF(C43=0,0,F43/C43)</f>
        <v>1.1017534170923653</v>
      </c>
      <c r="O43" s="21">
        <f t="shared" ref="O43:O53" si="21">IF(C43=0,0,D43/C43-1)</f>
        <v>-8.6980532928342402E-3</v>
      </c>
      <c r="P43" s="21">
        <f t="shared" ref="P43:P53" si="22">IF(D43=0,0,E43/D43-1)</f>
        <v>0</v>
      </c>
      <c r="Q43" s="21">
        <f t="shared" ref="Q43:Q53" si="23">IF(E43=0,0,F43/E43-1)</f>
        <v>0.11142061281337057</v>
      </c>
      <c r="R43" s="23" t="s">
        <v>1</v>
      </c>
    </row>
    <row r="44" spans="1:18" x14ac:dyDescent="0.25">
      <c r="A44" s="4">
        <v>2</v>
      </c>
      <c r="B44" s="4">
        <f>IFERROR(INDEX('Intermediate Calcs'!$A$3:$A$102,MATCH($A44,'Intermediate Calcs'!$J$3:$J$102,0),1),"")</f>
        <v>35</v>
      </c>
      <c r="C44" s="6">
        <f>IFERROR(INDEX('Intermediate Calcs'!$B$3:$B$102,MATCH($A44,'Intermediate Calcs'!$J$3:$J$102,0),1),0)</f>
        <v>3228</v>
      </c>
      <c r="D44" s="6">
        <f>IFERROR(INDEX('Intermediate Calcs'!$C$3:$C$102,MATCH($A44,'Intermediate Calcs'!$J$3:$J$102,0),1),0)</f>
        <v>3229.2000000000003</v>
      </c>
      <c r="E44" s="6">
        <f>IFERROR(INDEX('Intermediate Calcs'!$D$3:$D$102,MATCH($A44,'Intermediate Calcs'!$J$3:$J$102,0),1),0)</f>
        <v>3156.6000000000004</v>
      </c>
      <c r="F44" s="6">
        <f>IFERROR(INDEX('Intermediate Calcs'!$E$3:$E$102,MATCH($A44,'Intermediate Calcs'!$J$3:$J$102,0),1),0)</f>
        <v>3445.2000000000003</v>
      </c>
      <c r="G44" s="21">
        <f t="shared" si="16"/>
        <v>2.1943700313640457E-2</v>
      </c>
      <c r="H44" s="21">
        <f>IF(F56=0,0,F44/F56)</f>
        <v>2.2043445011931562E-2</v>
      </c>
      <c r="I44" s="21">
        <f>SUM(H$43:H44)</f>
        <v>5.2678535780864663E-2</v>
      </c>
      <c r="J44" s="6">
        <f t="shared" si="17"/>
        <v>1.2000000000002728</v>
      </c>
      <c r="K44" s="6">
        <f t="shared" si="18"/>
        <v>-72.599999999999909</v>
      </c>
      <c r="L44" s="6">
        <f t="shared" si="19"/>
        <v>288.59999999999991</v>
      </c>
      <c r="M44" s="21">
        <f>IF(L56=0,0,L44/L56)</f>
        <v>4.8781971968114263E-2</v>
      </c>
      <c r="N44" s="22">
        <f t="shared" si="20"/>
        <v>1.06728624535316</v>
      </c>
      <c r="O44" s="21">
        <f t="shared" si="21"/>
        <v>3.717472118960341E-4</v>
      </c>
      <c r="P44" s="21">
        <f t="shared" si="22"/>
        <v>-2.2482348569305088E-2</v>
      </c>
      <c r="Q44" s="21">
        <f t="shared" si="23"/>
        <v>9.1427485268960274E-2</v>
      </c>
      <c r="R44" s="23" t="s">
        <v>1</v>
      </c>
    </row>
    <row r="45" spans="1:18" x14ac:dyDescent="0.25">
      <c r="A45" s="4">
        <v>3</v>
      </c>
      <c r="B45" s="4">
        <f>IFERROR(INDEX('Intermediate Calcs'!$A$3:$A$102,MATCH($A45,'Intermediate Calcs'!$J$3:$J$102,0),1),"")</f>
        <v>60</v>
      </c>
      <c r="C45" s="6">
        <f>IFERROR(INDEX('Intermediate Calcs'!$B$3:$B$102,MATCH($A45,'Intermediate Calcs'!$J$3:$J$102,0),1),0)</f>
        <v>2148</v>
      </c>
      <c r="D45" s="6">
        <f>IFERROR(INDEX('Intermediate Calcs'!$C$3:$C$102,MATCH($A45,'Intermediate Calcs'!$J$3:$J$102,0),1),0)</f>
        <v>2148</v>
      </c>
      <c r="E45" s="6">
        <f>IFERROR(INDEX('Intermediate Calcs'!$D$3:$D$102,MATCH($A45,'Intermediate Calcs'!$J$3:$J$102,0),1),0)</f>
        <v>2148</v>
      </c>
      <c r="F45" s="6">
        <f>IFERROR(INDEX('Intermediate Calcs'!$E$3:$E$102,MATCH($A45,'Intermediate Calcs'!$J$3:$J$102,0),1),0)</f>
        <v>2388</v>
      </c>
      <c r="G45" s="21">
        <f t="shared" si="16"/>
        <v>3.5937008754169497E-2</v>
      </c>
      <c r="H45" s="21">
        <f>IF(F56=0,0,F45/F56)</f>
        <v>1.5279155546410241E-2</v>
      </c>
      <c r="I45" s="21">
        <f>SUM(H$43:H45)</f>
        <v>6.7957691327274902E-2</v>
      </c>
      <c r="J45" s="6">
        <f t="shared" si="17"/>
        <v>0</v>
      </c>
      <c r="K45" s="6">
        <f t="shared" si="18"/>
        <v>0</v>
      </c>
      <c r="L45" s="6">
        <f t="shared" si="19"/>
        <v>240</v>
      </c>
      <c r="M45" s="21">
        <f>IF(L56=0,0,L45/L56)</f>
        <v>4.0567128455812285E-2</v>
      </c>
      <c r="N45" s="22">
        <f t="shared" si="20"/>
        <v>1.1117318435754191</v>
      </c>
      <c r="O45" s="21">
        <f t="shared" si="21"/>
        <v>0</v>
      </c>
      <c r="P45" s="21">
        <f t="shared" si="22"/>
        <v>0</v>
      </c>
      <c r="Q45" s="21">
        <f t="shared" si="23"/>
        <v>0.1117318435754191</v>
      </c>
      <c r="R45" s="23" t="s">
        <v>1</v>
      </c>
    </row>
    <row r="46" spans="1:18" x14ac:dyDescent="0.25">
      <c r="A46" s="4">
        <v>4</v>
      </c>
      <c r="B46" s="4">
        <f>IFERROR(INDEX('Intermediate Calcs'!$A$3:$A$102,MATCH($A46,'Intermediate Calcs'!$J$3:$J$102,0),1),"")</f>
        <v>61</v>
      </c>
      <c r="C46" s="6">
        <f>IFERROR(INDEX('Intermediate Calcs'!$B$3:$B$102,MATCH($A46,'Intermediate Calcs'!$J$3:$J$102,0),1),0)</f>
        <v>4644</v>
      </c>
      <c r="D46" s="6">
        <f>IFERROR(INDEX('Intermediate Calcs'!$C$3:$C$102,MATCH($A46,'Intermediate Calcs'!$J$3:$J$102,0),1),0)</f>
        <v>4644</v>
      </c>
      <c r="E46" s="6">
        <f>IFERROR(INDEX('Intermediate Calcs'!$D$3:$D$102,MATCH($A46,'Intermediate Calcs'!$J$3:$J$102,0),1),0)</f>
        <v>4644</v>
      </c>
      <c r="F46" s="6">
        <f>IFERROR(INDEX('Intermediate Calcs'!$E$3:$E$102,MATCH($A46,'Intermediate Calcs'!$J$3:$J$102,0),1),0)</f>
        <v>4798.5599999999995</v>
      </c>
      <c r="G46" s="21">
        <f t="shared" si="16"/>
        <v>1.0973036637126343E-2</v>
      </c>
      <c r="H46" s="21">
        <f>IF(F56=0,0,F46/F56)</f>
        <v>3.0702656883912195E-2</v>
      </c>
      <c r="I46" s="21">
        <f>SUM(H$43:H46)</f>
        <v>9.8660348211187104E-2</v>
      </c>
      <c r="J46" s="6">
        <f t="shared" si="17"/>
        <v>0</v>
      </c>
      <c r="K46" s="6">
        <f t="shared" si="18"/>
        <v>0</v>
      </c>
      <c r="L46" s="6">
        <f t="shared" si="19"/>
        <v>154.55999999999949</v>
      </c>
      <c r="M46" s="21">
        <f>IF(L56=0,0,L46/L56)</f>
        <v>2.6125230725543028E-2</v>
      </c>
      <c r="N46" s="22">
        <f t="shared" si="20"/>
        <v>1.0332816537467699</v>
      </c>
      <c r="O46" s="21">
        <f t="shared" si="21"/>
        <v>0</v>
      </c>
      <c r="P46" s="21">
        <f t="shared" si="22"/>
        <v>0</v>
      </c>
      <c r="Q46" s="21">
        <f t="shared" si="23"/>
        <v>3.3281653746769946E-2</v>
      </c>
      <c r="R46" s="23" t="s">
        <v>1</v>
      </c>
    </row>
    <row r="47" spans="1:18" x14ac:dyDescent="0.25">
      <c r="A47" s="4">
        <v>5</v>
      </c>
      <c r="B47" s="4">
        <f>IFERROR(INDEX('Intermediate Calcs'!$A$3:$A$102,MATCH($A47,'Intermediate Calcs'!$J$3:$J$102,0),1),"")</f>
        <v>90</v>
      </c>
      <c r="C47" s="6">
        <f>IFERROR(INDEX('Intermediate Calcs'!$B$3:$B$102,MATCH($A47,'Intermediate Calcs'!$J$3:$J$102,0),1),0)</f>
        <v>2040.6000000000001</v>
      </c>
      <c r="D47" s="6">
        <f>IFERROR(INDEX('Intermediate Calcs'!$C$3:$C$102,MATCH($A47,'Intermediate Calcs'!$J$3:$J$102,0),1),0)</f>
        <v>2148</v>
      </c>
      <c r="E47" s="6">
        <f>IFERROR(INDEX('Intermediate Calcs'!$D$3:$D$102,MATCH($A47,'Intermediate Calcs'!$J$3:$J$102,0),1),0)</f>
        <v>2148</v>
      </c>
      <c r="F47" s="6">
        <f>IFERROR(INDEX('Intermediate Calcs'!$E$3:$E$102,MATCH($A47,'Intermediate Calcs'!$J$3:$J$102,0),1),0)</f>
        <v>2301</v>
      </c>
      <c r="G47" s="21">
        <f t="shared" si="16"/>
        <v>4.0845443758337874E-2</v>
      </c>
      <c r="H47" s="21">
        <f>IF(F56=0,0,F47/F56)</f>
        <v>1.4722502894593788E-2</v>
      </c>
      <c r="I47" s="21">
        <f>SUM(H$43:H47)</f>
        <v>0.11338285110578089</v>
      </c>
      <c r="J47" s="6">
        <f t="shared" si="17"/>
        <v>107.39999999999986</v>
      </c>
      <c r="K47" s="6">
        <f t="shared" si="18"/>
        <v>0</v>
      </c>
      <c r="L47" s="6">
        <f t="shared" si="19"/>
        <v>153</v>
      </c>
      <c r="M47" s="21">
        <f>IF(L56=0,0,L47/L56)</f>
        <v>2.5861544390580332E-2</v>
      </c>
      <c r="N47" s="22">
        <f t="shared" si="20"/>
        <v>1.1276095266098205</v>
      </c>
      <c r="O47" s="21">
        <f t="shared" si="21"/>
        <v>5.2631578947368363E-2</v>
      </c>
      <c r="P47" s="21">
        <f t="shared" si="22"/>
        <v>0</v>
      </c>
      <c r="Q47" s="21">
        <f t="shared" si="23"/>
        <v>7.1229050279329575E-2</v>
      </c>
      <c r="R47" s="23" t="s">
        <v>1</v>
      </c>
    </row>
    <row r="48" spans="1:18" x14ac:dyDescent="0.25">
      <c r="A48" s="4">
        <v>6</v>
      </c>
      <c r="B48" s="4">
        <f>IFERROR(INDEX('Intermediate Calcs'!$A$3:$A$102,MATCH($A48,'Intermediate Calcs'!$J$3:$J$102,0),1),"")</f>
        <v>94</v>
      </c>
      <c r="C48" s="6">
        <f>IFERROR(INDEX('Intermediate Calcs'!$B$3:$B$102,MATCH($A48,'Intermediate Calcs'!$J$3:$J$102,0),1),0)</f>
        <v>4188</v>
      </c>
      <c r="D48" s="6">
        <f>IFERROR(INDEX('Intermediate Calcs'!$C$3:$C$102,MATCH($A48,'Intermediate Calcs'!$J$3:$J$102,0),1),0)</f>
        <v>4188</v>
      </c>
      <c r="E48" s="6">
        <f>IFERROR(INDEX('Intermediate Calcs'!$D$3:$D$102,MATCH($A48,'Intermediate Calcs'!$J$3:$J$102,0),1),0)</f>
        <v>4334.6400000000003</v>
      </c>
      <c r="F48" s="6">
        <f>IFERROR(INDEX('Intermediate Calcs'!$E$3:$E$102,MATCH($A48,'Intermediate Calcs'!$J$3:$J$102,0),1),0)</f>
        <v>4486.32</v>
      </c>
      <c r="G48" s="21">
        <f t="shared" si="16"/>
        <v>2.3201555174550581E-2</v>
      </c>
      <c r="H48" s="21">
        <f>IF(F56=0,0,F48/F56)</f>
        <v>2.8704849711461974E-2</v>
      </c>
      <c r="I48" s="21">
        <f>SUM(H$43:H48)</f>
        <v>0.14208770081724287</v>
      </c>
      <c r="J48" s="6">
        <f t="shared" si="17"/>
        <v>0</v>
      </c>
      <c r="K48" s="6">
        <f t="shared" si="18"/>
        <v>146.64000000000033</v>
      </c>
      <c r="L48" s="6">
        <f t="shared" si="19"/>
        <v>151.67999999999938</v>
      </c>
      <c r="M48" s="21">
        <f>IF(L56=0,0,L48/L56)</f>
        <v>2.563842518407326E-2</v>
      </c>
      <c r="N48" s="22">
        <f t="shared" si="20"/>
        <v>1.0712320916905445</v>
      </c>
      <c r="O48" s="21">
        <f t="shared" si="21"/>
        <v>0</v>
      </c>
      <c r="P48" s="21">
        <f t="shared" si="22"/>
        <v>3.5014326647564653E-2</v>
      </c>
      <c r="Q48" s="21">
        <f t="shared" si="23"/>
        <v>3.4992525330823199E-2</v>
      </c>
      <c r="R48" s="23" t="s">
        <v>1</v>
      </c>
    </row>
    <row r="49" spans="1:18" x14ac:dyDescent="0.25">
      <c r="A49" s="4">
        <v>7</v>
      </c>
      <c r="B49" s="4">
        <f>IFERROR(INDEX('Intermediate Calcs'!$A$3:$A$102,MATCH($A49,'Intermediate Calcs'!$J$3:$J$102,0),1),"")</f>
        <v>51</v>
      </c>
      <c r="C49" s="6">
        <f>IFERROR(INDEX('Intermediate Calcs'!$B$3:$B$102,MATCH($A49,'Intermediate Calcs'!$J$3:$J$102,0),1),0)</f>
        <v>4188</v>
      </c>
      <c r="D49" s="6">
        <f>IFERROR(INDEX('Intermediate Calcs'!$C$3:$C$102,MATCH($A49,'Intermediate Calcs'!$J$3:$J$102,0),1),0)</f>
        <v>4188</v>
      </c>
      <c r="E49" s="6">
        <f>IFERROR(INDEX('Intermediate Calcs'!$D$3:$D$102,MATCH($A49,'Intermediate Calcs'!$J$3:$J$102,0),1),0)</f>
        <v>4188</v>
      </c>
      <c r="F49" s="6">
        <f>IFERROR(INDEX('Intermediate Calcs'!$E$3:$E$102,MATCH($A49,'Intermediate Calcs'!$J$3:$J$102,0),1),0)</f>
        <v>4334.6400000000003</v>
      </c>
      <c r="G49" s="21">
        <f t="shared" si="16"/>
        <v>1.153780919966918E-2</v>
      </c>
      <c r="H49" s="21">
        <f>IF(F56=0,0,F49/F56)</f>
        <v>2.7734354605398533E-2</v>
      </c>
      <c r="I49" s="21">
        <f>SUM(H$43:H49)</f>
        <v>0.16982205542264139</v>
      </c>
      <c r="J49" s="6">
        <f t="shared" si="17"/>
        <v>0</v>
      </c>
      <c r="K49" s="6">
        <f t="shared" si="18"/>
        <v>0</v>
      </c>
      <c r="L49" s="6">
        <f t="shared" si="19"/>
        <v>146.64000000000033</v>
      </c>
      <c r="M49" s="21">
        <f>IF(L56=0,0,L49/L56)</f>
        <v>2.4786515486501362E-2</v>
      </c>
      <c r="N49" s="22">
        <f t="shared" si="20"/>
        <v>1.0350143266475647</v>
      </c>
      <c r="O49" s="21">
        <f t="shared" si="21"/>
        <v>0</v>
      </c>
      <c r="P49" s="21">
        <f t="shared" si="22"/>
        <v>0</v>
      </c>
      <c r="Q49" s="21">
        <f t="shared" si="23"/>
        <v>3.5014326647564653E-2</v>
      </c>
      <c r="R49" s="23" t="s">
        <v>1</v>
      </c>
    </row>
    <row r="50" spans="1:18" x14ac:dyDescent="0.25">
      <c r="A50" s="4">
        <v>8</v>
      </c>
      <c r="B50" s="4">
        <f>IFERROR(INDEX('Intermediate Calcs'!$A$3:$A$102,MATCH($A50,'Intermediate Calcs'!$J$3:$J$102,0),1),"")</f>
        <v>53</v>
      </c>
      <c r="C50" s="6">
        <f>IFERROR(INDEX('Intermediate Calcs'!$B$3:$B$102,MATCH($A50,'Intermediate Calcs'!$J$3:$J$102,0),1),0)</f>
        <v>2628</v>
      </c>
      <c r="D50" s="6">
        <f>IFERROR(INDEX('Intermediate Calcs'!$C$3:$C$102,MATCH($A50,'Intermediate Calcs'!$J$3:$J$102,0),1),0)</f>
        <v>2628</v>
      </c>
      <c r="E50" s="6">
        <f>IFERROR(INDEX('Intermediate Calcs'!$D$3:$D$102,MATCH($A50,'Intermediate Calcs'!$J$3:$J$102,0),1),0)</f>
        <v>4428</v>
      </c>
      <c r="F50" s="6">
        <f>IFERROR(INDEX('Intermediate Calcs'!$E$3:$E$102,MATCH($A50,'Intermediate Calcs'!$J$3:$J$102,0),1),0)</f>
        <v>4574.6400000000003</v>
      </c>
      <c r="G50" s="21">
        <f t="shared" si="16"/>
        <v>0.20293968931007278</v>
      </c>
      <c r="H50" s="21">
        <f>IF(F56=0,0,F50/F56)</f>
        <v>2.9269948127650817E-2</v>
      </c>
      <c r="I50" s="21">
        <f>SUM(H$43:H50)</f>
        <v>0.19909200355029222</v>
      </c>
      <c r="J50" s="6">
        <f t="shared" si="17"/>
        <v>0</v>
      </c>
      <c r="K50" s="6">
        <f t="shared" si="18"/>
        <v>1800</v>
      </c>
      <c r="L50" s="6">
        <f t="shared" si="19"/>
        <v>146.64000000000033</v>
      </c>
      <c r="M50" s="21">
        <f>IF(L56=0,0,L50/L56)</f>
        <v>2.4786515486501362E-2</v>
      </c>
      <c r="N50" s="22">
        <f t="shared" si="20"/>
        <v>1.7407305936073061</v>
      </c>
      <c r="O50" s="21">
        <f t="shared" si="21"/>
        <v>0</v>
      </c>
      <c r="P50" s="21">
        <f t="shared" si="22"/>
        <v>0.68493150684931514</v>
      </c>
      <c r="Q50" s="21">
        <f t="shared" si="23"/>
        <v>3.3116531165311658E-2</v>
      </c>
      <c r="R50" s="23" t="s">
        <v>1</v>
      </c>
    </row>
    <row r="51" spans="1:18" x14ac:dyDescent="0.25">
      <c r="A51" s="4">
        <v>9</v>
      </c>
      <c r="B51" s="4">
        <f>IFERROR(INDEX('Intermediate Calcs'!$A$3:$A$102,MATCH($A51,'Intermediate Calcs'!$J$3:$J$102,0),1),"")</f>
        <v>91</v>
      </c>
      <c r="C51" s="6">
        <f>IFERROR(INDEX('Intermediate Calcs'!$B$3:$B$102,MATCH($A51,'Intermediate Calcs'!$J$3:$J$102,0),1),0)</f>
        <v>4188</v>
      </c>
      <c r="D51" s="6">
        <f>IFERROR(INDEX('Intermediate Calcs'!$C$3:$C$102,MATCH($A51,'Intermediate Calcs'!$J$3:$J$102,0),1),0)</f>
        <v>4188</v>
      </c>
      <c r="E51" s="6">
        <f>IFERROR(INDEX('Intermediate Calcs'!$D$3:$D$102,MATCH($A51,'Intermediate Calcs'!$J$3:$J$102,0),1),0)</f>
        <v>4188</v>
      </c>
      <c r="F51" s="6">
        <f>IFERROR(INDEX('Intermediate Calcs'!$E$3:$E$102,MATCH($A51,'Intermediate Calcs'!$J$3:$J$102,0),1),0)</f>
        <v>4334.6400000000003</v>
      </c>
      <c r="G51" s="21">
        <f t="shared" si="16"/>
        <v>1.153780919966918E-2</v>
      </c>
      <c r="H51" s="21">
        <f>IF(F56=0,0,F51/F56)</f>
        <v>2.7734354605398533E-2</v>
      </c>
      <c r="I51" s="21">
        <f>SUM(H$43:H51)</f>
        <v>0.22682635815569074</v>
      </c>
      <c r="J51" s="6">
        <f t="shared" si="17"/>
        <v>0</v>
      </c>
      <c r="K51" s="6">
        <f t="shared" si="18"/>
        <v>0</v>
      </c>
      <c r="L51" s="6">
        <f t="shared" si="19"/>
        <v>146.64000000000033</v>
      </c>
      <c r="M51" s="21">
        <f>IF(L56=0,0,L51/L56)</f>
        <v>2.4786515486501362E-2</v>
      </c>
      <c r="N51" s="22">
        <f t="shared" si="20"/>
        <v>1.0350143266475647</v>
      </c>
      <c r="O51" s="21">
        <f t="shared" si="21"/>
        <v>0</v>
      </c>
      <c r="P51" s="21">
        <f t="shared" si="22"/>
        <v>0</v>
      </c>
      <c r="Q51" s="21">
        <f t="shared" si="23"/>
        <v>3.5014326647564653E-2</v>
      </c>
      <c r="R51" s="23" t="s">
        <v>1</v>
      </c>
    </row>
    <row r="52" spans="1:18" x14ac:dyDescent="0.25">
      <c r="A52" s="4">
        <v>10</v>
      </c>
      <c r="B52" s="4">
        <f>IFERROR(INDEX('Intermediate Calcs'!$A$3:$A$102,MATCH($A52,'Intermediate Calcs'!$J$3:$J$102,0),1),"")</f>
        <v>24</v>
      </c>
      <c r="C52" s="6">
        <f>IFERROR(INDEX('Intermediate Calcs'!$B$3:$B$102,MATCH($A52,'Intermediate Calcs'!$J$3:$J$102,0),1),0)</f>
        <v>3948</v>
      </c>
      <c r="D52" s="6">
        <f>IFERROR(INDEX('Intermediate Calcs'!$C$3:$C$102,MATCH($A52,'Intermediate Calcs'!$J$3:$J$102,0),1),0)</f>
        <v>3948</v>
      </c>
      <c r="E52" s="6">
        <f>IFERROR(INDEX('Intermediate Calcs'!$D$3:$D$102,MATCH($A52,'Intermediate Calcs'!$J$3:$J$102,0),1),0)</f>
        <v>4086.24</v>
      </c>
      <c r="F52" s="6">
        <f>IFERROR(INDEX('Intermediate Calcs'!$E$3:$E$102,MATCH($A52,'Intermediate Calcs'!$J$3:$J$102,0),1),0)</f>
        <v>4229.28</v>
      </c>
      <c r="G52" s="21">
        <f t="shared" si="16"/>
        <v>2.3206047261409068E-2</v>
      </c>
      <c r="H52" s="21">
        <f>IF(F56=0,0,F52/F56)</f>
        <v>2.7060229049129775E-2</v>
      </c>
      <c r="I52" s="21">
        <f>SUM(H$43:H52)</f>
        <v>0.25388658720482049</v>
      </c>
      <c r="J52" s="6">
        <f t="shared" si="17"/>
        <v>0</v>
      </c>
      <c r="K52" s="6">
        <f t="shared" si="18"/>
        <v>138.23999999999978</v>
      </c>
      <c r="L52" s="6">
        <f t="shared" si="19"/>
        <v>143.03999999999996</v>
      </c>
      <c r="M52" s="21">
        <f>IF(L56=0,0,L52/L56)</f>
        <v>2.4178008559664118E-2</v>
      </c>
      <c r="N52" s="22">
        <f t="shared" si="20"/>
        <v>1.0712462006079027</v>
      </c>
      <c r="O52" s="21">
        <f t="shared" si="21"/>
        <v>0</v>
      </c>
      <c r="P52" s="21">
        <f t="shared" si="22"/>
        <v>3.5015197568389E-2</v>
      </c>
      <c r="Q52" s="21">
        <f t="shared" si="23"/>
        <v>3.5005286033125804E-2</v>
      </c>
      <c r="R52" s="23" t="s">
        <v>1</v>
      </c>
    </row>
    <row r="53" spans="1:18" x14ac:dyDescent="0.25">
      <c r="A53" s="7"/>
      <c r="B53" s="7" t="s">
        <v>79</v>
      </c>
      <c r="C53" s="8">
        <f>SUM(C43:C52)</f>
        <v>35546.399999999994</v>
      </c>
      <c r="D53" s="8">
        <f>SUM(D43:D52)</f>
        <v>35617.199999999997</v>
      </c>
      <c r="E53" s="8">
        <f>SUM(E43:E52)</f>
        <v>37629.479999999996</v>
      </c>
      <c r="F53" s="8">
        <f>SUM(F43:F52)</f>
        <v>39680.28</v>
      </c>
      <c r="G53" s="24">
        <f t="shared" si="16"/>
        <v>3.7352524385174224E-2</v>
      </c>
      <c r="H53" s="24">
        <f>IF(F56=0,0,F53/F56)</f>
        <v>0.25388658720482049</v>
      </c>
      <c r="I53" s="24">
        <f>SUM(H43:H52)</f>
        <v>0.25388658720482049</v>
      </c>
      <c r="J53" s="8">
        <f>SUM(J43:J52)</f>
        <v>70.800000000000864</v>
      </c>
      <c r="K53" s="8">
        <f>SUM(K43:K52)</f>
        <v>2012.2800000000002</v>
      </c>
      <c r="L53" s="8">
        <f>SUM(L43:L52)</f>
        <v>2050.7999999999997</v>
      </c>
      <c r="M53" s="24">
        <f>IF(L56=0,0,L53/L56)</f>
        <v>0.34664611265491596</v>
      </c>
      <c r="N53" s="25">
        <f t="shared" si="20"/>
        <v>1.1162953210451694</v>
      </c>
      <c r="O53" s="24">
        <f t="shared" si="21"/>
        <v>1.9917628789414277E-3</v>
      </c>
      <c r="P53" s="24">
        <f t="shared" si="22"/>
        <v>5.6497422593578372E-2</v>
      </c>
      <c r="Q53" s="24">
        <f t="shared" si="23"/>
        <v>5.449982301110734E-2</v>
      </c>
      <c r="R53" s="26"/>
    </row>
    <row r="55" spans="1:18" x14ac:dyDescent="0.25">
      <c r="A55" s="4"/>
      <c r="B55" s="4" t="str">
        <f>"Other Upsell ("&amp;COUNTIF('Intermediate Calcs'!$I$3:$I$102,"&gt;=0")-10&amp;" Customers)"</f>
        <v>Other Upsell (39 Customers)</v>
      </c>
      <c r="C55" s="6">
        <f>C56-C53</f>
        <v>99301.199999999983</v>
      </c>
      <c r="D55" s="6">
        <f>D56-D53</f>
        <v>100662.96</v>
      </c>
      <c r="E55" s="6">
        <f>E56-E53</f>
        <v>112745.76000000002</v>
      </c>
      <c r="F55" s="6">
        <f>F56-F53</f>
        <v>116611.08000000002</v>
      </c>
      <c r="G55" s="21">
        <f>IF(C55=0,0,(F55/C55)^(1/3)-1)</f>
        <v>5.5022626045647449E-2</v>
      </c>
      <c r="H55" s="21">
        <f>IF(F56=0,0,F55/F56)</f>
        <v>0.74611341279517951</v>
      </c>
      <c r="I55" s="21"/>
      <c r="J55" s="6">
        <f>J56-J53</f>
        <v>1361.7600000000259</v>
      </c>
      <c r="K55" s="6">
        <f>K56-K53</f>
        <v>12082.800000000016</v>
      </c>
      <c r="L55" s="6">
        <f>L56-L53</f>
        <v>3865.3199999999956</v>
      </c>
      <c r="M55" s="21">
        <f>IF(L56=0,0,L55/L56)</f>
        <v>0.65335388734508404</v>
      </c>
      <c r="N55" s="22">
        <f>IF(C55=0,0,F55/C55)</f>
        <v>1.1743169266836657</v>
      </c>
      <c r="O55" s="21">
        <f t="shared" ref="O55:Q56" si="24">IF(C55=0,0,D55/C55-1)</f>
        <v>1.3713429444961678E-2</v>
      </c>
      <c r="P55" s="21">
        <f t="shared" si="24"/>
        <v>0.12003223429948817</v>
      </c>
      <c r="Q55" s="21">
        <f t="shared" si="24"/>
        <v>3.4283506537185815E-2</v>
      </c>
      <c r="R55" s="23"/>
    </row>
    <row r="56" spans="1:18" x14ac:dyDescent="0.25">
      <c r="A56" s="7"/>
      <c r="B56" s="7" t="s">
        <v>85</v>
      </c>
      <c r="C56" s="8">
        <f>SUMPRODUCT(('Intermediate Calcs'!$I$3:$I$102&gt;=0)*('Intermediate Calcs'!$B$3:$B$102))</f>
        <v>134847.59999999998</v>
      </c>
      <c r="D56" s="8">
        <f>SUMPRODUCT(('Intermediate Calcs'!$I$3:$I$102&gt;=0)*('Intermediate Calcs'!$C$3:$C$102))</f>
        <v>136280.16</v>
      </c>
      <c r="E56" s="8">
        <f>SUMPRODUCT(('Intermediate Calcs'!$I$3:$I$102&gt;=0)*('Intermediate Calcs'!$D$3:$D$102))</f>
        <v>150375.24000000002</v>
      </c>
      <c r="F56" s="8">
        <f>SUMPRODUCT(('Intermediate Calcs'!$I$3:$I$102&gt;=0)*('Intermediate Calcs'!$E$3:$E$102))</f>
        <v>156291.36000000002</v>
      </c>
      <c r="G56" s="24">
        <f>IF(C56=0,0,(F56/C56)^(1/3)-1)</f>
        <v>5.0422259505495726E-2</v>
      </c>
      <c r="H56" s="24">
        <f>IF(F56=0,0,F56/F56)</f>
        <v>1</v>
      </c>
      <c r="I56" s="24">
        <f>IF(F56=0,0,F56/F56)</f>
        <v>1</v>
      </c>
      <c r="J56" s="8">
        <f>D56-C56</f>
        <v>1432.5600000000268</v>
      </c>
      <c r="K56" s="8">
        <f>E56-D56</f>
        <v>14095.080000000016</v>
      </c>
      <c r="L56" s="8">
        <f>F56-E56</f>
        <v>5916.1199999999953</v>
      </c>
      <c r="M56" s="24">
        <f>IF(L56=0,0,L56/L56)</f>
        <v>1</v>
      </c>
      <c r="N56" s="25">
        <f>IF(C56=0,0,F56/C56)</f>
        <v>1.1590221850444504</v>
      </c>
      <c r="O56" s="24">
        <f t="shared" si="24"/>
        <v>1.0623548361261337E-2</v>
      </c>
      <c r="P56" s="24">
        <f t="shared" si="24"/>
        <v>0.10342723401557508</v>
      </c>
      <c r="Q56" s="24">
        <f t="shared" si="24"/>
        <v>3.9342381099441548E-2</v>
      </c>
      <c r="R56" s="26"/>
    </row>
    <row r="58" spans="1:18" x14ac:dyDescent="0.25">
      <c r="A58" s="4"/>
      <c r="B58" s="4" t="s">
        <v>81</v>
      </c>
      <c r="C58" s="6">
        <f>SUM(C43:C47)</f>
        <v>16406.399999999998</v>
      </c>
      <c r="D58" s="6">
        <f>SUM(D43:D47)</f>
        <v>16477.2</v>
      </c>
      <c r="E58" s="6">
        <f>SUM(E43:E47)</f>
        <v>16404.599999999999</v>
      </c>
      <c r="F58" s="6">
        <f>SUM(F43:F47)</f>
        <v>17720.760000000002</v>
      </c>
      <c r="G58" s="21">
        <f>IF(C58=0,0,(F58/C58)^(1/3)-1)</f>
        <v>2.6021235271557197E-2</v>
      </c>
      <c r="H58" s="21">
        <f>IF(F56=0,0,F58/F56)</f>
        <v>0.11338285110578089</v>
      </c>
      <c r="I58" s="21">
        <f>SUM(H43:H47)</f>
        <v>0.11338285110578089</v>
      </c>
      <c r="J58" s="6">
        <f>SUM(J43:J47)</f>
        <v>70.800000000000864</v>
      </c>
      <c r="K58" s="6">
        <f>SUM(K43:K47)</f>
        <v>-72.599999999999909</v>
      </c>
      <c r="L58" s="6">
        <f>SUM(L43:L47)</f>
        <v>1316.1599999999994</v>
      </c>
      <c r="M58" s="21">
        <f>IF(L56=0,0,L58/L56)</f>
        <v>0.22247013245167449</v>
      </c>
      <c r="N58" s="22">
        <f>IF(C58=0,0,F58/C58)</f>
        <v>1.0801126389701583</v>
      </c>
      <c r="O58" s="21">
        <f t="shared" ref="O58:Q59" si="25">IF(C58=0,0,D58/C58-1)</f>
        <v>4.3153891164424696E-3</v>
      </c>
      <c r="P58" s="21">
        <f t="shared" si="25"/>
        <v>-4.4060884130799893E-3</v>
      </c>
      <c r="Q58" s="21">
        <f t="shared" si="25"/>
        <v>8.0231154676127625E-2</v>
      </c>
      <c r="R58" s="23"/>
    </row>
    <row r="59" spans="1:18" x14ac:dyDescent="0.25">
      <c r="A59" s="4"/>
      <c r="B59" s="4" t="s">
        <v>79</v>
      </c>
      <c r="C59" s="6">
        <f>SUM(C43:C52)</f>
        <v>35546.399999999994</v>
      </c>
      <c r="D59" s="6">
        <f>SUM(D43:D52)</f>
        <v>35617.199999999997</v>
      </c>
      <c r="E59" s="6">
        <f>SUM(E43:E52)</f>
        <v>37629.479999999996</v>
      </c>
      <c r="F59" s="6">
        <f>SUM(F43:F52)</f>
        <v>39680.28</v>
      </c>
      <c r="G59" s="21">
        <f>IF(C59=0,0,(F59/C59)^(1/3)-1)</f>
        <v>3.7352524385174224E-2</v>
      </c>
      <c r="H59" s="21">
        <f>IF(F56=0,0,F59/F56)</f>
        <v>0.25388658720482049</v>
      </c>
      <c r="I59" s="21">
        <f>SUM(H43:H52)</f>
        <v>0.25388658720482049</v>
      </c>
      <c r="J59" s="6">
        <f>SUM(J43:J52)</f>
        <v>70.800000000000864</v>
      </c>
      <c r="K59" s="6">
        <f>SUM(K43:K52)</f>
        <v>2012.2800000000002</v>
      </c>
      <c r="L59" s="6">
        <f>SUM(L43:L52)</f>
        <v>2050.7999999999997</v>
      </c>
      <c r="M59" s="21">
        <f>IF(L56=0,0,L59/L56)</f>
        <v>0.34664611265491596</v>
      </c>
      <c r="N59" s="22">
        <f>IF(C59=0,0,F59/C59)</f>
        <v>1.1162953210451694</v>
      </c>
      <c r="O59" s="21">
        <f t="shared" si="25"/>
        <v>1.9917628789414277E-3</v>
      </c>
      <c r="P59" s="21">
        <f t="shared" si="25"/>
        <v>5.6497422593578372E-2</v>
      </c>
      <c r="Q59" s="21">
        <f t="shared" si="25"/>
        <v>5.449982301110734E-2</v>
      </c>
      <c r="R59" s="23"/>
    </row>
    <row r="61" spans="1:18" x14ac:dyDescent="0.25">
      <c r="A61" s="1" t="str">
        <f>"Top Downsell Customers as of " &amp; TEXT(F3,"mmm-yy")</f>
        <v>Top Downsell Customers as of Dec-26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</row>
    <row r="62" spans="1:18" x14ac:dyDescent="0.25">
      <c r="A62" s="15" t="s">
        <v>63</v>
      </c>
      <c r="B62" s="16"/>
      <c r="C62" s="1" t="s">
        <v>64</v>
      </c>
      <c r="D62" s="16"/>
      <c r="E62" s="16"/>
      <c r="F62" s="16"/>
      <c r="G62" s="16"/>
      <c r="H62" s="16"/>
      <c r="I62" s="16"/>
      <c r="J62" s="1" t="s">
        <v>65</v>
      </c>
      <c r="K62" s="16"/>
      <c r="L62" s="16"/>
      <c r="M62" s="16"/>
      <c r="N62" s="16"/>
      <c r="O62" s="1" t="s">
        <v>11</v>
      </c>
      <c r="P62" s="16"/>
      <c r="Q62" s="16"/>
      <c r="R62" s="16"/>
    </row>
    <row r="63" spans="1:18" x14ac:dyDescent="0.25">
      <c r="A63" s="16" t="s">
        <v>66</v>
      </c>
      <c r="B63" s="16" t="s">
        <v>67</v>
      </c>
      <c r="C63" s="3" t="s">
        <v>1</v>
      </c>
      <c r="D63" s="3" t="s">
        <v>2</v>
      </c>
      <c r="E63" s="3" t="s">
        <v>3</v>
      </c>
      <c r="F63" s="3" t="s">
        <v>4</v>
      </c>
      <c r="G63" s="3" t="s">
        <v>68</v>
      </c>
      <c r="H63" s="3" t="s">
        <v>86</v>
      </c>
      <c r="I63" s="3" t="s">
        <v>70</v>
      </c>
      <c r="J63" s="3" t="s">
        <v>71</v>
      </c>
      <c r="K63" s="3" t="s">
        <v>72</v>
      </c>
      <c r="L63" s="3" t="s">
        <v>73</v>
      </c>
      <c r="M63" s="3" t="s">
        <v>74</v>
      </c>
      <c r="N63" s="3" t="s">
        <v>75</v>
      </c>
      <c r="O63" s="3" t="s">
        <v>71</v>
      </c>
      <c r="P63" s="3" t="s">
        <v>72</v>
      </c>
      <c r="Q63" s="3" t="s">
        <v>73</v>
      </c>
      <c r="R63" s="3" t="s">
        <v>76</v>
      </c>
    </row>
    <row r="64" spans="1:18" x14ac:dyDescent="0.25">
      <c r="A64" s="4">
        <v>1</v>
      </c>
      <c r="B64" s="4">
        <f>IFERROR(INDEX('Intermediate Calcs'!$A$3:$A$102,MATCH($A64,'Intermediate Calcs'!$L$3:$L$102,0),1),"")</f>
        <v>37</v>
      </c>
      <c r="C64" s="6">
        <f>IFERROR(INDEX('Intermediate Calcs'!$B$3:$B$102,MATCH($A64,'Intermediate Calcs'!$L$3:$L$102,0),1),0)</f>
        <v>2947.8</v>
      </c>
      <c r="D64" s="6">
        <f>IFERROR(INDEX('Intermediate Calcs'!$C$3:$C$102,MATCH($A64,'Intermediate Calcs'!$L$3:$L$102,0),1),0)</f>
        <v>2947.8</v>
      </c>
      <c r="E64" s="6">
        <f>IFERROR(INDEX('Intermediate Calcs'!$D$3:$D$102,MATCH($A64,'Intermediate Calcs'!$L$3:$L$102,0),1),0)</f>
        <v>3051</v>
      </c>
      <c r="F64" s="6">
        <f>IFERROR(INDEX('Intermediate Calcs'!$E$3:$E$102,MATCH($A64,'Intermediate Calcs'!$L$3:$L$102,0),1),0)</f>
        <v>1275</v>
      </c>
      <c r="G64" s="21">
        <f>IF(C64=0,0,(F64/C64)^(1/3)-1)</f>
        <v>-0.2437407086299308</v>
      </c>
      <c r="H64" s="21">
        <f>IF(F71=0,0,F64/F71)</f>
        <v>0.15851111442637625</v>
      </c>
      <c r="I64" s="21">
        <f>SUM(H$64:H64)</f>
        <v>0.15851111442637625</v>
      </c>
      <c r="J64" s="6">
        <f t="shared" ref="J64:L67" si="26">D64-C64</f>
        <v>0</v>
      </c>
      <c r="K64" s="6">
        <f t="shared" si="26"/>
        <v>103.19999999999982</v>
      </c>
      <c r="L64" s="6">
        <f t="shared" si="26"/>
        <v>-1776</v>
      </c>
      <c r="M64" s="21">
        <f>IF(L71=0,0,L64/L71)</f>
        <v>0.51001068265619098</v>
      </c>
      <c r="N64" s="22">
        <f>IF(C64=0,0,F64/C64)</f>
        <v>0.43252595155709339</v>
      </c>
      <c r="O64" s="21">
        <f t="shared" ref="O64:Q68" si="27">IF(C64=0,0,D64/C64-1)</f>
        <v>0</v>
      </c>
      <c r="P64" s="21">
        <f t="shared" si="27"/>
        <v>3.5009159373091681E-2</v>
      </c>
      <c r="Q64" s="21">
        <f t="shared" si="27"/>
        <v>-0.5821042281219273</v>
      </c>
      <c r="R64" s="23" t="s">
        <v>1</v>
      </c>
    </row>
    <row r="65" spans="1:18" x14ac:dyDescent="0.25">
      <c r="A65" s="4">
        <v>2</v>
      </c>
      <c r="B65" s="4">
        <f>IFERROR(INDEX('Intermediate Calcs'!$A$3:$A$102,MATCH($A65,'Intermediate Calcs'!$L$3:$L$102,0),1),"")</f>
        <v>86</v>
      </c>
      <c r="C65" s="6">
        <f>IFERROR(INDEX('Intermediate Calcs'!$B$3:$B$102,MATCH($A65,'Intermediate Calcs'!$L$3:$L$102,0),1),0)</f>
        <v>2148</v>
      </c>
      <c r="D65" s="6">
        <f>IFERROR(INDEX('Intermediate Calcs'!$C$3:$C$102,MATCH($A65,'Intermediate Calcs'!$L$3:$L$102,0),1),0)</f>
        <v>2148</v>
      </c>
      <c r="E65" s="6">
        <f>IFERROR(INDEX('Intermediate Calcs'!$D$3:$D$102,MATCH($A65,'Intermediate Calcs'!$L$3:$L$102,0),1),0)</f>
        <v>2148</v>
      </c>
      <c r="F65" s="6">
        <f>IFERROR(INDEX('Intermediate Calcs'!$E$3:$E$102,MATCH($A65,'Intermediate Calcs'!$L$3:$L$102,0),1),0)</f>
        <v>1200</v>
      </c>
      <c r="G65" s="21">
        <f>IF(C65=0,0,(F65/C65)^(1/3)-1)</f>
        <v>-0.17640129260271542</v>
      </c>
      <c r="H65" s="21">
        <f>IF(F71=0,0,F65/F71)</f>
        <v>0.14918693122482471</v>
      </c>
      <c r="I65" s="21">
        <f>SUM(H$64:H65)</f>
        <v>0.30769804565120096</v>
      </c>
      <c r="J65" s="6">
        <f t="shared" si="26"/>
        <v>0</v>
      </c>
      <c r="K65" s="6">
        <f t="shared" si="26"/>
        <v>0</v>
      </c>
      <c r="L65" s="6">
        <f t="shared" si="26"/>
        <v>-948</v>
      </c>
      <c r="M65" s="21">
        <f>IF(L71=0,0,L65/L71)</f>
        <v>0.27223543195837219</v>
      </c>
      <c r="N65" s="22">
        <f>IF(C65=0,0,F65/C65)</f>
        <v>0.55865921787709494</v>
      </c>
      <c r="O65" s="21">
        <f t="shared" si="27"/>
        <v>0</v>
      </c>
      <c r="P65" s="21">
        <f t="shared" si="27"/>
        <v>0</v>
      </c>
      <c r="Q65" s="21">
        <f t="shared" si="27"/>
        <v>-0.44134078212290506</v>
      </c>
      <c r="R65" s="23" t="s">
        <v>1</v>
      </c>
    </row>
    <row r="66" spans="1:18" x14ac:dyDescent="0.25">
      <c r="A66" s="4">
        <v>3</v>
      </c>
      <c r="B66" s="4">
        <f>IFERROR(INDEX('Intermediate Calcs'!$A$3:$A$102,MATCH($A66,'Intermediate Calcs'!$L$3:$L$102,0),1),"")</f>
        <v>92</v>
      </c>
      <c r="C66" s="6">
        <f>IFERROR(INDEX('Intermediate Calcs'!$B$3:$B$102,MATCH($A66,'Intermediate Calcs'!$L$3:$L$102,0),1),0)</f>
        <v>1758</v>
      </c>
      <c r="D66" s="6">
        <f>IFERROR(INDEX('Intermediate Calcs'!$C$3:$C$102,MATCH($A66,'Intermediate Calcs'!$L$3:$L$102,0),1),0)</f>
        <v>2724.6000000000004</v>
      </c>
      <c r="E66" s="6">
        <f>IFERROR(INDEX('Intermediate Calcs'!$D$3:$D$102,MATCH($A66,'Intermediate Calcs'!$L$3:$L$102,0),1),0)</f>
        <v>2724.6000000000004</v>
      </c>
      <c r="F66" s="6">
        <f>IFERROR(INDEX('Intermediate Calcs'!$E$3:$E$102,MATCH($A66,'Intermediate Calcs'!$L$3:$L$102,0),1),0)</f>
        <v>2040.6000000000001</v>
      </c>
      <c r="G66" s="21">
        <f>IF(C66=0,0,(F66/C66)^(1/3)-1)</f>
        <v>5.0944230974528049E-2</v>
      </c>
      <c r="H66" s="21">
        <f>IF(F71=0,0,F66/F71)</f>
        <v>0.2536923765478144</v>
      </c>
      <c r="I66" s="21">
        <f>SUM(H$64:H66)</f>
        <v>0.56139042219901536</v>
      </c>
      <c r="J66" s="6">
        <f t="shared" si="26"/>
        <v>966.60000000000036</v>
      </c>
      <c r="K66" s="6">
        <f t="shared" si="26"/>
        <v>0</v>
      </c>
      <c r="L66" s="6">
        <f t="shared" si="26"/>
        <v>-684.00000000000023</v>
      </c>
      <c r="M66" s="21">
        <f>IF(L71=0,0,L66/L71)</f>
        <v>0.19642303318515469</v>
      </c>
      <c r="N66" s="22">
        <f>IF(C66=0,0,F66/C66)</f>
        <v>1.160750853242321</v>
      </c>
      <c r="O66" s="21">
        <f t="shared" si="27"/>
        <v>0.54982935153583634</v>
      </c>
      <c r="P66" s="21">
        <f t="shared" si="27"/>
        <v>0</v>
      </c>
      <c r="Q66" s="21">
        <f t="shared" si="27"/>
        <v>-0.25104602510460261</v>
      </c>
      <c r="R66" s="23" t="s">
        <v>1</v>
      </c>
    </row>
    <row r="67" spans="1:18" x14ac:dyDescent="0.25">
      <c r="A67" s="4">
        <v>4</v>
      </c>
      <c r="B67" s="4">
        <f>IFERROR(INDEX('Intermediate Calcs'!$A$3:$A$102,MATCH($A67,'Intermediate Calcs'!$L$3:$L$102,0),1),"")</f>
        <v>12</v>
      </c>
      <c r="C67" s="6">
        <f>IFERROR(INDEX('Intermediate Calcs'!$B$3:$B$102,MATCH($A67,'Intermediate Calcs'!$L$3:$L$102,0),1),0)</f>
        <v>3408.6000000000004</v>
      </c>
      <c r="D67" s="6">
        <f>IFERROR(INDEX('Intermediate Calcs'!$C$3:$C$102,MATCH($A67,'Intermediate Calcs'!$L$3:$L$102,0),1),0)</f>
        <v>3375.96</v>
      </c>
      <c r="E67" s="6">
        <f>IFERROR(INDEX('Intermediate Calcs'!$D$3:$D$102,MATCH($A67,'Intermediate Calcs'!$L$3:$L$102,0),1),0)</f>
        <v>3602.2799999999997</v>
      </c>
      <c r="F67" s="6">
        <f>IFERROR(INDEX('Intermediate Calcs'!$E$3:$E$102,MATCH($A67,'Intermediate Calcs'!$L$3:$L$102,0),1),0)</f>
        <v>3528</v>
      </c>
      <c r="G67" s="21">
        <f>IF(C67=0,0,(F67/C67)^(1/3)-1)</f>
        <v>1.1542603745972935E-2</v>
      </c>
      <c r="H67" s="21">
        <f>IF(F71=0,0,F67/F71)</f>
        <v>0.43860957780098464</v>
      </c>
      <c r="I67" s="21">
        <f>SUM(H$64:H67)</f>
        <v>1</v>
      </c>
      <c r="J67" s="6">
        <f t="shared" si="26"/>
        <v>-32.640000000000327</v>
      </c>
      <c r="K67" s="6">
        <f t="shared" si="26"/>
        <v>226.31999999999971</v>
      </c>
      <c r="L67" s="6">
        <f t="shared" si="26"/>
        <v>-74.279999999999745</v>
      </c>
      <c r="M67" s="21">
        <f>IF(L71=0,0,L67/L71)</f>
        <v>2.1330852200282507E-2</v>
      </c>
      <c r="N67" s="22">
        <f>IF(C67=0,0,F67/C67)</f>
        <v>1.0350290441823622</v>
      </c>
      <c r="O67" s="21">
        <f t="shared" si="27"/>
        <v>-9.5757789121634351E-3</v>
      </c>
      <c r="P67" s="21">
        <f t="shared" si="27"/>
        <v>6.7038708989442863E-2</v>
      </c>
      <c r="Q67" s="21">
        <f t="shared" si="27"/>
        <v>-2.0620273826576385E-2</v>
      </c>
      <c r="R67" s="23" t="s">
        <v>1</v>
      </c>
    </row>
    <row r="68" spans="1:18" x14ac:dyDescent="0.25">
      <c r="A68" s="7"/>
      <c r="B68" s="7" t="s">
        <v>79</v>
      </c>
      <c r="C68" s="8">
        <f>SUM(C64:C67)</f>
        <v>10262.400000000001</v>
      </c>
      <c r="D68" s="8">
        <f>SUM(D64:D67)</f>
        <v>11196.36</v>
      </c>
      <c r="E68" s="8">
        <f>SUM(E64:E67)</f>
        <v>11525.880000000001</v>
      </c>
      <c r="F68" s="8">
        <f>SUM(F64:F67)</f>
        <v>8043.6</v>
      </c>
      <c r="G68" s="24">
        <f>IF(C68=0,0,(F68/C68)^(1/3)-1)</f>
        <v>-7.7993798014077687E-2</v>
      </c>
      <c r="H68" s="24">
        <f>IF(F71=0,0,F68/F71)</f>
        <v>1</v>
      </c>
      <c r="I68" s="24">
        <f>SUM(H64:H67)</f>
        <v>1</v>
      </c>
      <c r="J68" s="8">
        <f>SUM(J64:J67)</f>
        <v>933.96</v>
      </c>
      <c r="K68" s="8">
        <f>SUM(K64:K67)</f>
        <v>329.51999999999953</v>
      </c>
      <c r="L68" s="8">
        <f>SUM(L64:L67)</f>
        <v>-3482.2799999999997</v>
      </c>
      <c r="M68" s="24">
        <f>IF(L71=0,0,L68/L71)</f>
        <v>1.0000000000000002</v>
      </c>
      <c r="N68" s="25">
        <f>IF(C68=0,0,F68/C68)</f>
        <v>0.78379326473339561</v>
      </c>
      <c r="O68" s="24">
        <f t="shared" si="27"/>
        <v>9.1007951356407712E-2</v>
      </c>
      <c r="P68" s="24">
        <f t="shared" si="27"/>
        <v>2.9430993644363079E-2</v>
      </c>
      <c r="Q68" s="24">
        <f t="shared" si="27"/>
        <v>-0.30212703932367857</v>
      </c>
      <c r="R68" s="26"/>
    </row>
    <row r="70" spans="1:18" x14ac:dyDescent="0.25">
      <c r="A70" s="4"/>
      <c r="B70" s="4" t="str">
        <f>"Other Downsell ("&amp;COUNTIF('Intermediate Calcs'!$K$3:$K$102,"&gt;=0")-4&amp;" Customers)"</f>
        <v>Other Downsell (0 Customers)</v>
      </c>
      <c r="C70" s="6">
        <f>C71-C68</f>
        <v>0</v>
      </c>
      <c r="D70" s="6">
        <f>D71-D68</f>
        <v>0</v>
      </c>
      <c r="E70" s="6">
        <f>E71-E68</f>
        <v>0</v>
      </c>
      <c r="F70" s="6">
        <f>F71-F68</f>
        <v>0</v>
      </c>
      <c r="G70" s="21">
        <f>IF(C70=0,0,(F70/C70)^(1/3)-1)</f>
        <v>0</v>
      </c>
      <c r="H70" s="21">
        <f>IF(F71=0,0,F70/F71)</f>
        <v>0</v>
      </c>
      <c r="I70" s="21"/>
      <c r="J70" s="6">
        <f>J71-J68</f>
        <v>-9.0949470177292824E-13</v>
      </c>
      <c r="K70" s="6">
        <f>K71-K68</f>
        <v>-9.0949470177292824E-13</v>
      </c>
      <c r="L70" s="6">
        <f>L71-L68</f>
        <v>0</v>
      </c>
      <c r="M70" s="21">
        <f>IF(L71=0,0,L70/L71)</f>
        <v>0</v>
      </c>
      <c r="N70" s="22">
        <f>IF(C70=0,0,F70/C70)</f>
        <v>0</v>
      </c>
      <c r="O70" s="21">
        <f t="shared" ref="O70:Q71" si="28">IF(C70=0,0,D70/C70-1)</f>
        <v>0</v>
      </c>
      <c r="P70" s="21">
        <f t="shared" si="28"/>
        <v>0</v>
      </c>
      <c r="Q70" s="21">
        <f t="shared" si="28"/>
        <v>0</v>
      </c>
      <c r="R70" s="23"/>
    </row>
    <row r="71" spans="1:18" x14ac:dyDescent="0.25">
      <c r="A71" s="7"/>
      <c r="B71" s="7" t="s">
        <v>87</v>
      </c>
      <c r="C71" s="8">
        <f>SUMPRODUCT(('Intermediate Calcs'!$K$3:$K$102&gt;=0)*('Intermediate Calcs'!$B$3:$B$102))</f>
        <v>10262.400000000001</v>
      </c>
      <c r="D71" s="8">
        <f>SUMPRODUCT(('Intermediate Calcs'!$K$3:$K$102&gt;=0)*('Intermediate Calcs'!$C$3:$C$102))</f>
        <v>11196.36</v>
      </c>
      <c r="E71" s="8">
        <f>SUMPRODUCT(('Intermediate Calcs'!$K$3:$K$102&gt;=0)*('Intermediate Calcs'!$D$3:$D$102))</f>
        <v>11525.88</v>
      </c>
      <c r="F71" s="8">
        <f>SUMPRODUCT(('Intermediate Calcs'!$K$3:$K$102&gt;=0)*('Intermediate Calcs'!$E$3:$E$102))</f>
        <v>8043.6</v>
      </c>
      <c r="G71" s="24">
        <f>IF(C71=0,0,(F71/C71)^(1/3)-1)</f>
        <v>-7.7993798014077687E-2</v>
      </c>
      <c r="H71" s="24">
        <f>IF(F71=0,0,F71/F71)</f>
        <v>1</v>
      </c>
      <c r="I71" s="24">
        <f>IF(F71=0,0,F71/F71)</f>
        <v>1</v>
      </c>
      <c r="J71" s="8">
        <f>D71-C71</f>
        <v>933.95999999999913</v>
      </c>
      <c r="K71" s="8">
        <f>E71-D71</f>
        <v>329.51999999999862</v>
      </c>
      <c r="L71" s="8">
        <f>F71-E71</f>
        <v>-3482.2799999999988</v>
      </c>
      <c r="M71" s="24">
        <f>IF(L71=0,0,L71/L71)</f>
        <v>1</v>
      </c>
      <c r="N71" s="25">
        <f>IF(C71=0,0,F71/C71)</f>
        <v>0.78379326473339561</v>
      </c>
      <c r="O71" s="24">
        <f t="shared" si="28"/>
        <v>9.1007951356407712E-2</v>
      </c>
      <c r="P71" s="24">
        <f t="shared" si="28"/>
        <v>2.9430993644362857E-2</v>
      </c>
      <c r="Q71" s="24">
        <f t="shared" si="28"/>
        <v>-0.30212703932367846</v>
      </c>
      <c r="R71" s="26"/>
    </row>
    <row r="73" spans="1:18" x14ac:dyDescent="0.25">
      <c r="A73" s="4"/>
      <c r="B73" s="4" t="s">
        <v>81</v>
      </c>
      <c r="C73" s="6">
        <f>SUM(C64:C67)</f>
        <v>10262.400000000001</v>
      </c>
      <c r="D73" s="6">
        <f>SUM(D64:D67)</f>
        <v>11196.36</v>
      </c>
      <c r="E73" s="6">
        <f>SUM(E64:E67)</f>
        <v>11525.880000000001</v>
      </c>
      <c r="F73" s="6">
        <f>SUM(F64:F67)</f>
        <v>8043.6</v>
      </c>
      <c r="G73" s="21">
        <f>IF(C73=0,0,(F73/C73)^(1/3)-1)</f>
        <v>-7.7993798014077687E-2</v>
      </c>
      <c r="H73" s="21">
        <f>IF(F71=0,0,F73/F71)</f>
        <v>1</v>
      </c>
      <c r="I73" s="21">
        <f>SUM(H64:H67)</f>
        <v>1</v>
      </c>
      <c r="J73" s="6">
        <f>SUM(J64:J67)</f>
        <v>933.96</v>
      </c>
      <c r="K73" s="6">
        <f>SUM(K64:K67)</f>
        <v>329.51999999999953</v>
      </c>
      <c r="L73" s="6">
        <f>SUM(L64:L67)</f>
        <v>-3482.2799999999997</v>
      </c>
      <c r="M73" s="21">
        <f>IF(L71=0,0,L73/L71)</f>
        <v>1.0000000000000002</v>
      </c>
      <c r="N73" s="22">
        <f>IF(C73=0,0,F73/C73)</f>
        <v>0.78379326473339561</v>
      </c>
      <c r="O73" s="21">
        <f t="shared" ref="O73:Q74" si="29">IF(C73=0,0,D73/C73-1)</f>
        <v>9.1007951356407712E-2</v>
      </c>
      <c r="P73" s="21">
        <f t="shared" si="29"/>
        <v>2.9430993644363079E-2</v>
      </c>
      <c r="Q73" s="21">
        <f t="shared" si="29"/>
        <v>-0.30212703932367857</v>
      </c>
      <c r="R73" s="23"/>
    </row>
    <row r="74" spans="1:18" x14ac:dyDescent="0.25">
      <c r="A74" s="4"/>
      <c r="B74" s="4" t="s">
        <v>79</v>
      </c>
      <c r="C74" s="6">
        <f>SUM(C64:C67)</f>
        <v>10262.400000000001</v>
      </c>
      <c r="D74" s="6">
        <f>SUM(D64:D67)</f>
        <v>11196.36</v>
      </c>
      <c r="E74" s="6">
        <f>SUM(E64:E67)</f>
        <v>11525.880000000001</v>
      </c>
      <c r="F74" s="6">
        <f>SUM(F64:F67)</f>
        <v>8043.6</v>
      </c>
      <c r="G74" s="21">
        <f>IF(C74=0,0,(F74/C74)^(1/3)-1)</f>
        <v>-7.7993798014077687E-2</v>
      </c>
      <c r="H74" s="21">
        <f>IF(F71=0,0,F74/F71)</f>
        <v>1</v>
      </c>
      <c r="I74" s="21">
        <f>SUM(H64:H67)</f>
        <v>1</v>
      </c>
      <c r="J74" s="6">
        <f>SUM(J64:J67)</f>
        <v>933.96</v>
      </c>
      <c r="K74" s="6">
        <f>SUM(K64:K67)</f>
        <v>329.51999999999953</v>
      </c>
      <c r="L74" s="6">
        <f>SUM(L64:L67)</f>
        <v>-3482.2799999999997</v>
      </c>
      <c r="M74" s="21">
        <f>IF(L71=0,0,L74/L71)</f>
        <v>1.0000000000000002</v>
      </c>
      <c r="N74" s="22">
        <f>IF(C74=0,0,F74/C74)</f>
        <v>0.78379326473339561</v>
      </c>
      <c r="O74" s="21">
        <f t="shared" si="29"/>
        <v>9.1007951356407712E-2</v>
      </c>
      <c r="P74" s="21">
        <f t="shared" si="29"/>
        <v>2.9430993644363079E-2</v>
      </c>
      <c r="Q74" s="21">
        <f t="shared" si="29"/>
        <v>-0.30212703932367857</v>
      </c>
      <c r="R74" s="23"/>
    </row>
    <row r="76" spans="1:18" x14ac:dyDescent="0.25">
      <c r="A76" s="1" t="str">
        <f>"Top Churn Customers as of " &amp; TEXT(F3,"mmm-yy")</f>
        <v>Top Churn Customers as of Dec-26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</row>
    <row r="77" spans="1:18" x14ac:dyDescent="0.25">
      <c r="A77" s="15" t="s">
        <v>63</v>
      </c>
      <c r="B77" s="16"/>
      <c r="C77" s="1" t="s">
        <v>64</v>
      </c>
      <c r="D77" s="16"/>
      <c r="E77" s="16"/>
      <c r="F77" s="16"/>
      <c r="G77" s="16"/>
      <c r="H77" s="16"/>
      <c r="I77" s="16"/>
      <c r="J77" s="1" t="s">
        <v>65</v>
      </c>
      <c r="K77" s="16"/>
      <c r="L77" s="16"/>
      <c r="M77" s="16"/>
      <c r="N77" s="16"/>
      <c r="O77" s="1" t="s">
        <v>11</v>
      </c>
      <c r="P77" s="16"/>
      <c r="Q77" s="16"/>
      <c r="R77" s="16"/>
    </row>
    <row r="78" spans="1:18" x14ac:dyDescent="0.25">
      <c r="A78" s="16" t="s">
        <v>66</v>
      </c>
      <c r="B78" s="16" t="s">
        <v>67</v>
      </c>
      <c r="C78" s="3" t="s">
        <v>1</v>
      </c>
      <c r="D78" s="3" t="s">
        <v>2</v>
      </c>
      <c r="E78" s="3" t="s">
        <v>3</v>
      </c>
      <c r="F78" s="3" t="s">
        <v>4</v>
      </c>
      <c r="G78" s="3" t="s">
        <v>68</v>
      </c>
      <c r="H78" s="3" t="s">
        <v>88</v>
      </c>
      <c r="I78" s="3" t="s">
        <v>70</v>
      </c>
      <c r="J78" s="3" t="s">
        <v>71</v>
      </c>
      <c r="K78" s="3" t="s">
        <v>72</v>
      </c>
      <c r="L78" s="3" t="s">
        <v>73</v>
      </c>
      <c r="M78" s="3" t="s">
        <v>74</v>
      </c>
      <c r="N78" s="3" t="s">
        <v>75</v>
      </c>
      <c r="O78" s="3" t="s">
        <v>71</v>
      </c>
      <c r="P78" s="3" t="s">
        <v>72</v>
      </c>
      <c r="Q78" s="3" t="s">
        <v>73</v>
      </c>
      <c r="R78" s="3" t="s">
        <v>76</v>
      </c>
    </row>
    <row r="79" spans="1:18" x14ac:dyDescent="0.25">
      <c r="A79" s="4">
        <v>1</v>
      </c>
      <c r="B79" s="4">
        <f>IFERROR(INDEX('Intermediate Calcs'!$A$3:$A$102,MATCH($A79,'Intermediate Calcs'!$N$3:$N$102,0),1),"")</f>
        <v>100</v>
      </c>
      <c r="C79" s="6">
        <f>IFERROR(INDEX('Intermediate Calcs'!$B$3:$B$102,MATCH($A79,'Intermediate Calcs'!$N$3:$N$102,0),1),0)</f>
        <v>3108</v>
      </c>
      <c r="D79" s="6">
        <f>IFERROR(INDEX('Intermediate Calcs'!$C$3:$C$102,MATCH($A79,'Intermediate Calcs'!$N$3:$N$102,0),1),0)</f>
        <v>3108</v>
      </c>
      <c r="E79" s="6">
        <f>IFERROR(INDEX('Intermediate Calcs'!$D$3:$D$102,MATCH($A79,'Intermediate Calcs'!$N$3:$N$102,0),1),0)</f>
        <v>3348</v>
      </c>
      <c r="F79" s="6">
        <f>IFERROR(INDEX('Intermediate Calcs'!$E$3:$E$102,MATCH($A79,'Intermediate Calcs'!$N$3:$N$102,0),1),0)</f>
        <v>0</v>
      </c>
      <c r="G79" s="21">
        <f>IF(C79=0,0,(F79/C79)^(1/3)-1)</f>
        <v>-1</v>
      </c>
      <c r="H79" s="21">
        <f>IF(F84=0,0,F79/F84)</f>
        <v>0</v>
      </c>
      <c r="I79" s="21">
        <f>SUM(H$79:H79)</f>
        <v>0</v>
      </c>
      <c r="J79" s="6">
        <f t="shared" ref="J79:L80" si="30">D79-C79</f>
        <v>0</v>
      </c>
      <c r="K79" s="6">
        <f t="shared" si="30"/>
        <v>240</v>
      </c>
      <c r="L79" s="6">
        <f t="shared" si="30"/>
        <v>-3348</v>
      </c>
      <c r="M79" s="21">
        <f>IF(L84=0,0,L79/L84)</f>
        <v>0.73809523809523814</v>
      </c>
      <c r="N79" s="22">
        <f>IF(C79=0,0,F79/C79)</f>
        <v>0</v>
      </c>
      <c r="O79" s="21">
        <f t="shared" ref="O79:Q81" si="31">IF(C79=0,0,D79/C79-1)</f>
        <v>0</v>
      </c>
      <c r="P79" s="21">
        <f t="shared" si="31"/>
        <v>7.7220077220077288E-2</v>
      </c>
      <c r="Q79" s="21">
        <f t="shared" si="31"/>
        <v>-1</v>
      </c>
      <c r="R79" s="23" t="s">
        <v>1</v>
      </c>
    </row>
    <row r="80" spans="1:18" x14ac:dyDescent="0.25">
      <c r="A80" s="4">
        <v>2</v>
      </c>
      <c r="B80" s="4">
        <f>IFERROR(INDEX('Intermediate Calcs'!$A$3:$A$102,MATCH($A80,'Intermediate Calcs'!$N$3:$N$102,0),1),"")</f>
        <v>33</v>
      </c>
      <c r="C80" s="6">
        <f>IFERROR(INDEX('Intermediate Calcs'!$B$3:$B$102,MATCH($A80,'Intermediate Calcs'!$N$3:$N$102,0),1),0)</f>
        <v>1191.96</v>
      </c>
      <c r="D80" s="6">
        <f>IFERROR(INDEX('Intermediate Calcs'!$C$3:$C$102,MATCH($A80,'Intermediate Calcs'!$N$3:$N$102,0),1),0)</f>
        <v>1188</v>
      </c>
      <c r="E80" s="6">
        <f>IFERROR(INDEX('Intermediate Calcs'!$D$3:$D$102,MATCH($A80,'Intermediate Calcs'!$N$3:$N$102,0),1),0)</f>
        <v>1188</v>
      </c>
      <c r="F80" s="6">
        <f>IFERROR(INDEX('Intermediate Calcs'!$E$3:$E$102,MATCH($A80,'Intermediate Calcs'!$N$3:$N$102,0),1),0)</f>
        <v>0</v>
      </c>
      <c r="G80" s="21">
        <f>IF(C80=0,0,(F80/C80)^(1/3)-1)</f>
        <v>-1</v>
      </c>
      <c r="H80" s="21">
        <f>IF(F84=0,0,F80/F84)</f>
        <v>0</v>
      </c>
      <c r="I80" s="21">
        <f>SUM(H$79:H80)</f>
        <v>0</v>
      </c>
      <c r="J80" s="6">
        <f t="shared" si="30"/>
        <v>-3.9600000000000364</v>
      </c>
      <c r="K80" s="6">
        <f t="shared" si="30"/>
        <v>0</v>
      </c>
      <c r="L80" s="6">
        <f t="shared" si="30"/>
        <v>-1188</v>
      </c>
      <c r="M80" s="21">
        <f>IF(L84=0,0,L80/L84)</f>
        <v>0.26190476190476192</v>
      </c>
      <c r="N80" s="22">
        <f>IF(C80=0,0,F80/C80)</f>
        <v>0</v>
      </c>
      <c r="O80" s="21">
        <f t="shared" si="31"/>
        <v>-3.3222591362126463E-3</v>
      </c>
      <c r="P80" s="21">
        <f t="shared" si="31"/>
        <v>0</v>
      </c>
      <c r="Q80" s="21">
        <f t="shared" si="31"/>
        <v>-1</v>
      </c>
      <c r="R80" s="23" t="s">
        <v>1</v>
      </c>
    </row>
    <row r="81" spans="1:18" x14ac:dyDescent="0.25">
      <c r="A81" s="7"/>
      <c r="B81" s="7" t="s">
        <v>79</v>
      </c>
      <c r="C81" s="8">
        <f>SUM(C79:C80)</f>
        <v>4299.96</v>
      </c>
      <c r="D81" s="8">
        <f>SUM(D79:D80)</f>
        <v>4296</v>
      </c>
      <c r="E81" s="8">
        <f>SUM(E79:E80)</f>
        <v>4536</v>
      </c>
      <c r="F81" s="8">
        <f>SUM(F79:F80)</f>
        <v>0</v>
      </c>
      <c r="G81" s="24">
        <f>IF(C81=0,0,(F81/C81)^(1/3)-1)</f>
        <v>-1</v>
      </c>
      <c r="H81" s="24">
        <f>IF(F84=0,0,F81/F84)</f>
        <v>0</v>
      </c>
      <c r="I81" s="24">
        <f>SUM(H79:H80)</f>
        <v>0</v>
      </c>
      <c r="J81" s="8">
        <f>SUM(J79:J80)</f>
        <v>-3.9600000000000364</v>
      </c>
      <c r="K81" s="8">
        <f>SUM(K79:K80)</f>
        <v>240</v>
      </c>
      <c r="L81" s="8">
        <f>SUM(L79:L80)</f>
        <v>-4536</v>
      </c>
      <c r="M81" s="24">
        <f>IF(L84=0,0,L81/L84)</f>
        <v>1</v>
      </c>
      <c r="N81" s="25">
        <f>IF(C81=0,0,F81/C81)</f>
        <v>0</v>
      </c>
      <c r="O81" s="24">
        <f t="shared" si="31"/>
        <v>-9.2093879943067058E-4</v>
      </c>
      <c r="P81" s="24">
        <f t="shared" si="31"/>
        <v>5.5865921787709549E-2</v>
      </c>
      <c r="Q81" s="24">
        <f t="shared" si="31"/>
        <v>-1</v>
      </c>
      <c r="R81" s="26"/>
    </row>
    <row r="83" spans="1:18" x14ac:dyDescent="0.25">
      <c r="A83" s="4"/>
      <c r="B83" s="4" t="str">
        <f>"Other Churn ("&amp;COUNTIF('Intermediate Calcs'!$M$3:$M$102,"&gt;=0")-2&amp;" Customers)"</f>
        <v>Other Churn (0 Customers)</v>
      </c>
      <c r="C83" s="6">
        <f>C84-C81</f>
        <v>0</v>
      </c>
      <c r="D83" s="6">
        <f>D84-D81</f>
        <v>0</v>
      </c>
      <c r="E83" s="6">
        <f>E84-E81</f>
        <v>0</v>
      </c>
      <c r="F83" s="6">
        <f>F84-F81</f>
        <v>0</v>
      </c>
      <c r="G83" s="21">
        <f>IF(C83=0,0,(F83/C83)^(1/3)-1)</f>
        <v>0</v>
      </c>
      <c r="H83" s="21">
        <f>IF(F84=0,0,F83/F84)</f>
        <v>0</v>
      </c>
      <c r="I83" s="21"/>
      <c r="J83" s="6">
        <f>J84-J81</f>
        <v>0</v>
      </c>
      <c r="K83" s="6">
        <f>K84-K81</f>
        <v>0</v>
      </c>
      <c r="L83" s="6">
        <f>L84-L81</f>
        <v>0</v>
      </c>
      <c r="M83" s="21">
        <f>IF(L84=0,0,L83/L84)</f>
        <v>0</v>
      </c>
      <c r="N83" s="22">
        <f>IF(C83=0,0,F83/C83)</f>
        <v>0</v>
      </c>
      <c r="O83" s="21">
        <f t="shared" ref="O83:Q84" si="32">IF(C83=0,0,D83/C83-1)</f>
        <v>0</v>
      </c>
      <c r="P83" s="21">
        <f t="shared" si="32"/>
        <v>0</v>
      </c>
      <c r="Q83" s="21">
        <f t="shared" si="32"/>
        <v>0</v>
      </c>
      <c r="R83" s="23"/>
    </row>
    <row r="84" spans="1:18" x14ac:dyDescent="0.25">
      <c r="A84" s="7"/>
      <c r="B84" s="7" t="s">
        <v>89</v>
      </c>
      <c r="C84" s="8">
        <f>SUMPRODUCT(('Intermediate Calcs'!$M$3:$M$102&gt;=0)*('Intermediate Calcs'!$B$3:$B$102))</f>
        <v>4299.96</v>
      </c>
      <c r="D84" s="8">
        <f>SUMPRODUCT(('Intermediate Calcs'!$M$3:$M$102&gt;=0)*('Intermediate Calcs'!$C$3:$C$102))</f>
        <v>4296</v>
      </c>
      <c r="E84" s="8">
        <f>SUMPRODUCT(('Intermediate Calcs'!$M$3:$M$102&gt;=0)*('Intermediate Calcs'!$D$3:$D$102))</f>
        <v>4536</v>
      </c>
      <c r="F84" s="8">
        <f>SUMPRODUCT(('Intermediate Calcs'!$M$3:$M$102&gt;=0)*('Intermediate Calcs'!$E$3:$E$102))</f>
        <v>0</v>
      </c>
      <c r="G84" s="24">
        <f>IF(C84=0,0,(F84/C84)^(1/3)-1)</f>
        <v>-1</v>
      </c>
      <c r="H84" s="24">
        <f>IF(F84=0,0,F84/F84)</f>
        <v>0</v>
      </c>
      <c r="I84" s="24">
        <f>IF(F84=0,0,F84/F84)</f>
        <v>0</v>
      </c>
      <c r="J84" s="8">
        <f>D84-C84</f>
        <v>-3.9600000000000364</v>
      </c>
      <c r="K84" s="8">
        <f>E84-D84</f>
        <v>240</v>
      </c>
      <c r="L84" s="8">
        <f>F84-E84</f>
        <v>-4536</v>
      </c>
      <c r="M84" s="24">
        <f>IF(L84=0,0,L84/L84)</f>
        <v>1</v>
      </c>
      <c r="N84" s="25">
        <f>IF(C84=0,0,F84/C84)</f>
        <v>0</v>
      </c>
      <c r="O84" s="24">
        <f t="shared" si="32"/>
        <v>-9.2093879943067058E-4</v>
      </c>
      <c r="P84" s="24">
        <f t="shared" si="32"/>
        <v>5.5865921787709549E-2</v>
      </c>
      <c r="Q84" s="24">
        <f t="shared" si="32"/>
        <v>-1</v>
      </c>
      <c r="R84" s="26"/>
    </row>
    <row r="86" spans="1:18" x14ac:dyDescent="0.25">
      <c r="A86" s="4"/>
      <c r="B86" s="4" t="s">
        <v>81</v>
      </c>
      <c r="C86" s="6">
        <f>SUM(C79:C80)</f>
        <v>4299.96</v>
      </c>
      <c r="D86" s="6">
        <f>SUM(D79:D80)</f>
        <v>4296</v>
      </c>
      <c r="E86" s="6">
        <f>SUM(E79:E80)</f>
        <v>4536</v>
      </c>
      <c r="F86" s="6">
        <f>SUM(F79:F80)</f>
        <v>0</v>
      </c>
      <c r="G86" s="21">
        <f>IF(C86=0,0,(F86/C86)^(1/3)-1)</f>
        <v>-1</v>
      </c>
      <c r="H86" s="21">
        <f>IF(F84=0,0,F86/F84)</f>
        <v>0</v>
      </c>
      <c r="I86" s="21">
        <f>SUM(H79:H80)</f>
        <v>0</v>
      </c>
      <c r="J86" s="6">
        <f>SUM(J79:J80)</f>
        <v>-3.9600000000000364</v>
      </c>
      <c r="K86" s="6">
        <f>SUM(K79:K80)</f>
        <v>240</v>
      </c>
      <c r="L86" s="6">
        <f>SUM(L79:L80)</f>
        <v>-4536</v>
      </c>
      <c r="M86" s="21">
        <f>IF(L84=0,0,L86/L84)</f>
        <v>1</v>
      </c>
      <c r="N86" s="22">
        <f>IF(C86=0,0,F86/C86)</f>
        <v>0</v>
      </c>
      <c r="O86" s="21">
        <f t="shared" ref="O86:Q87" si="33">IF(C86=0,0,D86/C86-1)</f>
        <v>-9.2093879943067058E-4</v>
      </c>
      <c r="P86" s="21">
        <f t="shared" si="33"/>
        <v>5.5865921787709549E-2</v>
      </c>
      <c r="Q86" s="21">
        <f t="shared" si="33"/>
        <v>-1</v>
      </c>
      <c r="R86" s="23"/>
    </row>
    <row r="87" spans="1:18" x14ac:dyDescent="0.25">
      <c r="A87" s="4"/>
      <c r="B87" s="4" t="s">
        <v>79</v>
      </c>
      <c r="C87" s="6">
        <f>SUM(C79:C80)</f>
        <v>4299.96</v>
      </c>
      <c r="D87" s="6">
        <f>SUM(D79:D80)</f>
        <v>4296</v>
      </c>
      <c r="E87" s="6">
        <f>SUM(E79:E80)</f>
        <v>4536</v>
      </c>
      <c r="F87" s="6">
        <f>SUM(F79:F80)</f>
        <v>0</v>
      </c>
      <c r="G87" s="21">
        <f>IF(C87=0,0,(F87/C87)^(1/3)-1)</f>
        <v>-1</v>
      </c>
      <c r="H87" s="21">
        <f>IF(F84=0,0,F87/F84)</f>
        <v>0</v>
      </c>
      <c r="I87" s="21">
        <f>SUM(H79:H80)</f>
        <v>0</v>
      </c>
      <c r="J87" s="6">
        <f>SUM(J79:J80)</f>
        <v>-3.9600000000000364</v>
      </c>
      <c r="K87" s="6">
        <f>SUM(K79:K80)</f>
        <v>240</v>
      </c>
      <c r="L87" s="6">
        <f>SUM(L79:L80)</f>
        <v>-4536</v>
      </c>
      <c r="M87" s="21">
        <f>IF(L84=0,0,L87/L84)</f>
        <v>1</v>
      </c>
      <c r="N87" s="22">
        <f>IF(C87=0,0,F87/C87)</f>
        <v>0</v>
      </c>
      <c r="O87" s="21">
        <f t="shared" si="33"/>
        <v>-9.2093879943067058E-4</v>
      </c>
      <c r="P87" s="21">
        <f t="shared" si="33"/>
        <v>5.5865921787709549E-2</v>
      </c>
      <c r="Q87" s="21">
        <f t="shared" si="33"/>
        <v>-1</v>
      </c>
      <c r="R87" s="23"/>
    </row>
  </sheetData>
  <conditionalFormatting sqref="J4:L20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J25:L38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J43:L59">
    <cfRule type="cellIs" dxfId="5" priority="13" operator="greaterThan">
      <formula>0</formula>
    </cfRule>
    <cfRule type="cellIs" dxfId="4" priority="14" operator="lessThan">
      <formula>0</formula>
    </cfRule>
  </conditionalFormatting>
  <conditionalFormatting sqref="J64:L74">
    <cfRule type="cellIs" dxfId="3" priority="19" operator="greaterThan">
      <formula>0</formula>
    </cfRule>
    <cfRule type="cellIs" dxfId="2" priority="20" operator="lessThan">
      <formula>0</formula>
    </cfRule>
  </conditionalFormatting>
  <conditionalFormatting sqref="J79:L87">
    <cfRule type="cellIs" dxfId="1" priority="25" operator="greaterThan">
      <formula>0</formula>
    </cfRule>
    <cfRule type="cellIs" dxfId="0" priority="2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8"/>
  <sheetViews>
    <sheetView workbookViewId="0"/>
  </sheetViews>
  <sheetFormatPr defaultRowHeight="15" x14ac:dyDescent="0.25"/>
  <cols>
    <col min="1" max="1" width="36" customWidth="1"/>
    <col min="2" max="14" width="14" customWidth="1"/>
  </cols>
  <sheetData>
    <row r="1" spans="1:14" x14ac:dyDescent="0.25">
      <c r="A1" s="1" t="s">
        <v>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14" x14ac:dyDescent="0.25">
      <c r="A2" s="16" t="s">
        <v>67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66</v>
      </c>
      <c r="G2" s="3" t="s">
        <v>91</v>
      </c>
      <c r="H2" s="3" t="s">
        <v>92</v>
      </c>
      <c r="I2" s="3" t="s">
        <v>93</v>
      </c>
      <c r="J2" s="3" t="s">
        <v>94</v>
      </c>
      <c r="K2" s="3" t="s">
        <v>95</v>
      </c>
      <c r="L2" s="3" t="s">
        <v>96</v>
      </c>
      <c r="M2" s="3" t="s">
        <v>97</v>
      </c>
      <c r="N2" s="3" t="s">
        <v>98</v>
      </c>
    </row>
    <row r="3" spans="1:14" x14ac:dyDescent="0.25">
      <c r="A3">
        <f>'Original Data'!$B$4</f>
        <v>1</v>
      </c>
      <c r="B3" s="27">
        <f>'Original Data'!$C$4*12</f>
        <v>2148</v>
      </c>
      <c r="C3" s="27">
        <f>'Original Data'!$O$4*12</f>
        <v>2148</v>
      </c>
      <c r="D3" s="27">
        <f>'Original Data'!$AA$4*12</f>
        <v>2223.2400000000002</v>
      </c>
      <c r="E3" s="27">
        <f>'Original Data'!$AM$4*12</f>
        <v>2223.2400000000002</v>
      </c>
      <c r="F3">
        <f>IF($E3&gt;10,RANK($E3,$E$3:$E$102,0)+COUNTIF($E$3:$E3,$E3)-1,"N/A")</f>
        <v>55</v>
      </c>
      <c r="G3" s="27">
        <f t="shared" ref="G3:G34" si="0">IF(AND($D3&lt;=0,$E3&gt;0,$E3&gt;10),$E3,-1)</f>
        <v>-1</v>
      </c>
      <c r="H3" t="str">
        <f>IF($G3&lt;0,"N/A",RANK($G3,$G$3:$G$102,0)+COUNTIF($G$3:$G3,$G3)-1)</f>
        <v>N/A</v>
      </c>
      <c r="I3" s="27">
        <f t="shared" ref="I3:I34" si="1">IF(AND($D3&gt;0,$E3&gt;0,$E3&gt;$D3),$E3-$D3,-1)</f>
        <v>-1</v>
      </c>
      <c r="J3" t="str">
        <f>IF($I3&lt;0,"N/A",RANK($I3,$I$3:$I$102,0)+COUNTIF($I$3:$I3,$I3)-1)</f>
        <v>N/A</v>
      </c>
      <c r="K3" s="27">
        <f t="shared" ref="K3:K34" si="2">IF(AND($D3&gt;10,$E3&gt;0,$E3&lt;$D3),$D3-$E3,-1)</f>
        <v>-1</v>
      </c>
      <c r="L3" t="str">
        <f>IF($K3&lt;0,"N/A",RANK($K3,$K$3:$K$102,0)+COUNTIF($K$3:$K3,$K3)-1)</f>
        <v>N/A</v>
      </c>
      <c r="M3" s="27">
        <f t="shared" ref="M3:M34" si="3">IF(AND($D3&gt;0,$E3&lt;=0,$D3&gt;10),$D3,-1)</f>
        <v>-1</v>
      </c>
      <c r="N3" t="str">
        <f>IF($M3&lt;0,"N/A",RANK($M3,$M$3:$M$102,0)+COUNTIF($M$3:$M3,$M3)-1)</f>
        <v>N/A</v>
      </c>
    </row>
    <row r="4" spans="1:14" x14ac:dyDescent="0.25">
      <c r="A4">
        <f>'Original Data'!$B$5</f>
        <v>2</v>
      </c>
      <c r="B4" s="27">
        <f>'Original Data'!$C$5*12</f>
        <v>4345.7999999999993</v>
      </c>
      <c r="C4" s="27">
        <f>'Original Data'!$O$5*12</f>
        <v>4308</v>
      </c>
      <c r="D4" s="27">
        <f>'Original Data'!$AA$5*12</f>
        <v>4308</v>
      </c>
      <c r="E4" s="27">
        <f>'Original Data'!$AM$5*12</f>
        <v>4788</v>
      </c>
      <c r="F4">
        <f>IF($E4&gt;10,RANK($E4,$E$3:$E$102,0)+COUNTIF($E$3:$E4,$E4)-1,"N/A")</f>
        <v>2</v>
      </c>
      <c r="G4" s="27">
        <f t="shared" si="0"/>
        <v>-1</v>
      </c>
      <c r="H4" t="str">
        <f>IF($G4&lt;0,"N/A",RANK($G4,$G$3:$G$102,0)+COUNTIF($G$3:$G4,$G4)-1)</f>
        <v>N/A</v>
      </c>
      <c r="I4" s="27">
        <f t="shared" si="1"/>
        <v>480</v>
      </c>
      <c r="J4">
        <f>IF($I4&lt;0,"N/A",RANK($I4,$I$3:$I$102,0)+COUNTIF($I$3:$I4,$I4)-1)</f>
        <v>1</v>
      </c>
      <c r="K4" s="27">
        <f t="shared" si="2"/>
        <v>-1</v>
      </c>
      <c r="L4" t="str">
        <f>IF($K4&lt;0,"N/A",RANK($K4,$K$3:$K$102,0)+COUNTIF($K$3:$K4,$K4)-1)</f>
        <v>N/A</v>
      </c>
      <c r="M4" s="27">
        <f t="shared" si="3"/>
        <v>-1</v>
      </c>
      <c r="N4" t="str">
        <f>IF($M4&lt;0,"N/A",RANK($M4,$M$3:$M$102,0)+COUNTIF($M$3:$M4,$M4)-1)</f>
        <v>N/A</v>
      </c>
    </row>
    <row r="5" spans="1:14" x14ac:dyDescent="0.25">
      <c r="A5">
        <f>'Original Data'!$B$6</f>
        <v>3</v>
      </c>
      <c r="B5" s="27">
        <f>'Original Data'!$C$6*12</f>
        <v>3553.2000000000003</v>
      </c>
      <c r="C5" s="27">
        <f>'Original Data'!$O$6*12</f>
        <v>3553.2000000000003</v>
      </c>
      <c r="D5" s="27">
        <f>'Original Data'!$AA$6*12</f>
        <v>3553.2000000000003</v>
      </c>
      <c r="E5" s="27">
        <f>'Original Data'!$AM$6*12</f>
        <v>3677.5199999999995</v>
      </c>
      <c r="F5">
        <f>IF($E5&gt;10,RANK($E5,$E$3:$E$102,0)+COUNTIF($E$3:$E5,$E5)-1,"N/A")</f>
        <v>20</v>
      </c>
      <c r="G5" s="27">
        <f t="shared" si="0"/>
        <v>-1</v>
      </c>
      <c r="H5" t="str">
        <f>IF($G5&lt;0,"N/A",RANK($G5,$G$3:$G$102,0)+COUNTIF($G$3:$G5,$G5)-1)</f>
        <v>N/A</v>
      </c>
      <c r="I5" s="27">
        <f t="shared" si="1"/>
        <v>124.31999999999925</v>
      </c>
      <c r="J5">
        <f>IF($I5&lt;0,"N/A",RANK($I5,$I$3:$I$102,0)+COUNTIF($I$3:$I5,$I5)-1)</f>
        <v>16</v>
      </c>
      <c r="K5" s="27">
        <f t="shared" si="2"/>
        <v>-1</v>
      </c>
      <c r="L5" t="str">
        <f>IF($K5&lt;0,"N/A",RANK($K5,$K$3:$K$102,0)+COUNTIF($K$3:$K5,$K5)-1)</f>
        <v>N/A</v>
      </c>
      <c r="M5" s="27">
        <f t="shared" si="3"/>
        <v>-1</v>
      </c>
      <c r="N5" t="str">
        <f>IF($M5&lt;0,"N/A",RANK($M5,$M$3:$M$102,0)+COUNTIF($M$3:$M5,$M5)-1)</f>
        <v>N/A</v>
      </c>
    </row>
    <row r="6" spans="1:14" x14ac:dyDescent="0.25">
      <c r="A6">
        <f>'Original Data'!$B$7</f>
        <v>4</v>
      </c>
      <c r="B6" s="27">
        <f>'Original Data'!$C$7*12</f>
        <v>3468</v>
      </c>
      <c r="C6" s="27">
        <f>'Original Data'!$O$7*12</f>
        <v>3468</v>
      </c>
      <c r="D6" s="27">
        <f>'Original Data'!$AA$7*12</f>
        <v>3468</v>
      </c>
      <c r="E6" s="27">
        <f>'Original Data'!$AM$7*12</f>
        <v>3468</v>
      </c>
      <c r="F6">
        <f>IF($E6&gt;10,RANK($E6,$E$3:$E$102,0)+COUNTIF($E$3:$E6,$E6)-1,"N/A")</f>
        <v>28</v>
      </c>
      <c r="G6" s="27">
        <f t="shared" si="0"/>
        <v>-1</v>
      </c>
      <c r="H6" t="str">
        <f>IF($G6&lt;0,"N/A",RANK($G6,$G$3:$G$102,0)+COUNTIF($G$3:$G6,$G6)-1)</f>
        <v>N/A</v>
      </c>
      <c r="I6" s="27">
        <f t="shared" si="1"/>
        <v>-1</v>
      </c>
      <c r="J6" t="str">
        <f>IF($I6&lt;0,"N/A",RANK($I6,$I$3:$I$102,0)+COUNTIF($I$3:$I6,$I6)-1)</f>
        <v>N/A</v>
      </c>
      <c r="K6" s="27">
        <f t="shared" si="2"/>
        <v>-1</v>
      </c>
      <c r="L6" t="str">
        <f>IF($K6&lt;0,"N/A",RANK($K6,$K$3:$K$102,0)+COUNTIF($K$3:$K6,$K6)-1)</f>
        <v>N/A</v>
      </c>
      <c r="M6" s="27">
        <f t="shared" si="3"/>
        <v>-1</v>
      </c>
      <c r="N6" t="str">
        <f>IF($M6&lt;0,"N/A",RANK($M6,$M$3:$M$102,0)+COUNTIF($M$3:$M6,$M6)-1)</f>
        <v>N/A</v>
      </c>
    </row>
    <row r="7" spans="1:14" x14ac:dyDescent="0.25">
      <c r="A7">
        <f>'Original Data'!$B$8</f>
        <v>5</v>
      </c>
      <c r="B7" s="27">
        <f>'Original Data'!$C$8*12</f>
        <v>2676</v>
      </c>
      <c r="C7" s="27">
        <f>'Original Data'!$O$8*12</f>
        <v>2528.88</v>
      </c>
      <c r="D7" s="27">
        <f>'Original Data'!$AA$8*12</f>
        <v>2617.44</v>
      </c>
      <c r="E7" s="27">
        <f>'Original Data'!$AM$8*12</f>
        <v>2709</v>
      </c>
      <c r="F7">
        <f>IF($E7&gt;10,RANK($E7,$E$3:$E$102,0)+COUNTIF($E$3:$E7,$E7)-1,"N/A")</f>
        <v>49</v>
      </c>
      <c r="G7" s="27">
        <f t="shared" si="0"/>
        <v>-1</v>
      </c>
      <c r="H7" t="str">
        <f>IF($G7&lt;0,"N/A",RANK($G7,$G$3:$G$102,0)+COUNTIF($G$3:$G7,$G7)-1)</f>
        <v>N/A</v>
      </c>
      <c r="I7" s="27">
        <f t="shared" si="1"/>
        <v>91.559999999999945</v>
      </c>
      <c r="J7">
        <f>IF($I7&lt;0,"N/A",RANK($I7,$I$3:$I$102,0)+COUNTIF($I$3:$I7,$I7)-1)</f>
        <v>34</v>
      </c>
      <c r="K7" s="27">
        <f t="shared" si="2"/>
        <v>-1</v>
      </c>
      <c r="L7" t="str">
        <f>IF($K7&lt;0,"N/A",RANK($K7,$K$3:$K$102,0)+COUNTIF($K$3:$K7,$K7)-1)</f>
        <v>N/A</v>
      </c>
      <c r="M7" s="27">
        <f t="shared" si="3"/>
        <v>-1</v>
      </c>
      <c r="N7" t="str">
        <f>IF($M7&lt;0,"N/A",RANK($M7,$M$3:$M$102,0)+COUNTIF($M$3:$M7,$M7)-1)</f>
        <v>N/A</v>
      </c>
    </row>
    <row r="8" spans="1:14" x14ac:dyDescent="0.25">
      <c r="A8">
        <f>'Original Data'!$B$9</f>
        <v>6</v>
      </c>
      <c r="B8" s="27">
        <f>'Original Data'!$C$9*12</f>
        <v>3348</v>
      </c>
      <c r="C8" s="27">
        <f>'Original Data'!$O$9*12</f>
        <v>3348</v>
      </c>
      <c r="D8" s="27">
        <f>'Original Data'!$AA$9*12</f>
        <v>3348</v>
      </c>
      <c r="E8" s="27">
        <f>'Original Data'!$AM$9*12</f>
        <v>3465.24</v>
      </c>
      <c r="F8">
        <f>IF($E8&gt;10,RANK($E8,$E$3:$E$102,0)+COUNTIF($E$3:$E8,$E8)-1,"N/A")</f>
        <v>29</v>
      </c>
      <c r="G8" s="27">
        <f t="shared" si="0"/>
        <v>-1</v>
      </c>
      <c r="H8" t="str">
        <f>IF($G8&lt;0,"N/A",RANK($G8,$G$3:$G$102,0)+COUNTIF($G$3:$G8,$G8)-1)</f>
        <v>N/A</v>
      </c>
      <c r="I8" s="27">
        <f t="shared" si="1"/>
        <v>117.23999999999978</v>
      </c>
      <c r="J8">
        <f>IF($I8&lt;0,"N/A",RANK($I8,$I$3:$I$102,0)+COUNTIF($I$3:$I8,$I8)-1)</f>
        <v>22</v>
      </c>
      <c r="K8" s="27">
        <f t="shared" si="2"/>
        <v>-1</v>
      </c>
      <c r="L8" t="str">
        <f>IF($K8&lt;0,"N/A",RANK($K8,$K$3:$K$102,0)+COUNTIF($K$3:$K8,$K8)-1)</f>
        <v>N/A</v>
      </c>
      <c r="M8" s="27">
        <f t="shared" si="3"/>
        <v>-1</v>
      </c>
      <c r="N8" t="str">
        <f>IF($M8&lt;0,"N/A",RANK($M8,$M$3:$M$102,0)+COUNTIF($M$3:$M8,$M8)-1)</f>
        <v>N/A</v>
      </c>
    </row>
    <row r="9" spans="1:14" x14ac:dyDescent="0.25">
      <c r="A9">
        <f>'Original Data'!$B$10</f>
        <v>7</v>
      </c>
      <c r="B9" s="27">
        <f>'Original Data'!$C$10*12</f>
        <v>2040.6000000000001</v>
      </c>
      <c r="C9" s="27">
        <f>'Original Data'!$O$10*12</f>
        <v>2148</v>
      </c>
      <c r="D9" s="27">
        <f>'Original Data'!$AA$10*12</f>
        <v>2148</v>
      </c>
      <c r="E9" s="27">
        <f>'Original Data'!$AM$10*12</f>
        <v>2223.2400000000002</v>
      </c>
      <c r="F9">
        <f>IF($E9&gt;10,RANK($E9,$E$3:$E$102,0)+COUNTIF($E$3:$E9,$E9)-1,"N/A")</f>
        <v>56</v>
      </c>
      <c r="G9" s="27">
        <f t="shared" si="0"/>
        <v>-1</v>
      </c>
      <c r="H9" t="str">
        <f>IF($G9&lt;0,"N/A",RANK($G9,$G$3:$G$102,0)+COUNTIF($G$3:$G9,$G9)-1)</f>
        <v>N/A</v>
      </c>
      <c r="I9" s="27">
        <f t="shared" si="1"/>
        <v>75.240000000000236</v>
      </c>
      <c r="J9">
        <f>IF($I9&lt;0,"N/A",RANK($I9,$I$3:$I$102,0)+COUNTIF($I$3:$I9,$I9)-1)</f>
        <v>38</v>
      </c>
      <c r="K9" s="27">
        <f t="shared" si="2"/>
        <v>-1</v>
      </c>
      <c r="L9" t="str">
        <f>IF($K9&lt;0,"N/A",RANK($K9,$K$3:$K$102,0)+COUNTIF($K$3:$K9,$K9)-1)</f>
        <v>N/A</v>
      </c>
      <c r="M9" s="27">
        <f t="shared" si="3"/>
        <v>-1</v>
      </c>
      <c r="N9" t="str">
        <f>IF($M9&lt;0,"N/A",RANK($M9,$M$3:$M$102,0)+COUNTIF($M$3:$M9,$M9)-1)</f>
        <v>N/A</v>
      </c>
    </row>
    <row r="10" spans="1:14" x14ac:dyDescent="0.25">
      <c r="A10">
        <f>'Original Data'!$B$11</f>
        <v>8</v>
      </c>
      <c r="B10" s="27">
        <f>'Original Data'!$C$11*12</f>
        <v>1188</v>
      </c>
      <c r="C10" s="27">
        <f>'Original Data'!$O$11*12</f>
        <v>1188</v>
      </c>
      <c r="D10" s="27">
        <f>'Original Data'!$AA$11*12</f>
        <v>0</v>
      </c>
      <c r="E10" s="27">
        <f>'Original Data'!$AM$11*12</f>
        <v>0</v>
      </c>
      <c r="F10" t="str">
        <f>IF($E10&gt;10,RANK($E10,$E$3:$E$102,0)+COUNTIF($E$3:$E10,$E10)-1,"N/A")</f>
        <v>N/A</v>
      </c>
      <c r="G10" s="27">
        <f t="shared" si="0"/>
        <v>-1</v>
      </c>
      <c r="H10" t="str">
        <f>IF($G10&lt;0,"N/A",RANK($G10,$G$3:$G$102,0)+COUNTIF($G$3:$G10,$G10)-1)</f>
        <v>N/A</v>
      </c>
      <c r="I10" s="27">
        <f t="shared" si="1"/>
        <v>-1</v>
      </c>
      <c r="J10" t="str">
        <f>IF($I10&lt;0,"N/A",RANK($I10,$I$3:$I$102,0)+COUNTIF($I$3:$I10,$I10)-1)</f>
        <v>N/A</v>
      </c>
      <c r="K10" s="27">
        <f t="shared" si="2"/>
        <v>-1</v>
      </c>
      <c r="L10" t="str">
        <f>IF($K10&lt;0,"N/A",RANK($K10,$K$3:$K$102,0)+COUNTIF($K$3:$K10,$K10)-1)</f>
        <v>N/A</v>
      </c>
      <c r="M10" s="27">
        <f t="shared" si="3"/>
        <v>-1</v>
      </c>
      <c r="N10" t="str">
        <f>IF($M10&lt;0,"N/A",RANK($M10,$M$3:$M$102,0)+COUNTIF($M$3:$M10,$M10)-1)</f>
        <v>N/A</v>
      </c>
    </row>
    <row r="11" spans="1:14" x14ac:dyDescent="0.25">
      <c r="A11">
        <f>'Original Data'!$B$12</f>
        <v>9</v>
      </c>
      <c r="B11" s="27">
        <f>'Original Data'!$C$12*12</f>
        <v>2748</v>
      </c>
      <c r="C11" s="27">
        <f>'Original Data'!$O$12*12</f>
        <v>2748</v>
      </c>
      <c r="D11" s="27">
        <f>'Original Data'!$AA$12*12</f>
        <v>2748</v>
      </c>
      <c r="E11" s="27">
        <f>'Original Data'!$AM$12*12</f>
        <v>2844.2400000000002</v>
      </c>
      <c r="F11">
        <f>IF($E11&gt;10,RANK($E11,$E$3:$E$102,0)+COUNTIF($E$3:$E11,$E11)-1,"N/A")</f>
        <v>45</v>
      </c>
      <c r="G11" s="27">
        <f t="shared" si="0"/>
        <v>-1</v>
      </c>
      <c r="H11" t="str">
        <f>IF($G11&lt;0,"N/A",RANK($G11,$G$3:$G$102,0)+COUNTIF($G$3:$G11,$G11)-1)</f>
        <v>N/A</v>
      </c>
      <c r="I11" s="27">
        <f t="shared" si="1"/>
        <v>96.240000000000236</v>
      </c>
      <c r="J11">
        <f>IF($I11&lt;0,"N/A",RANK($I11,$I$3:$I$102,0)+COUNTIF($I$3:$I11,$I11)-1)</f>
        <v>30</v>
      </c>
      <c r="K11" s="27">
        <f t="shared" si="2"/>
        <v>-1</v>
      </c>
      <c r="L11" t="str">
        <f>IF($K11&lt;0,"N/A",RANK($K11,$K$3:$K$102,0)+COUNTIF($K$3:$K11,$K11)-1)</f>
        <v>N/A</v>
      </c>
      <c r="M11" s="27">
        <f t="shared" si="3"/>
        <v>-1</v>
      </c>
      <c r="N11" t="str">
        <f>IF($M11&lt;0,"N/A",RANK($M11,$M$3:$M$102,0)+COUNTIF($M$3:$M11,$M11)-1)</f>
        <v>N/A</v>
      </c>
    </row>
    <row r="12" spans="1:14" x14ac:dyDescent="0.25">
      <c r="A12">
        <f>'Original Data'!$B$13</f>
        <v>10</v>
      </c>
      <c r="B12" s="27">
        <f>'Original Data'!$C$13*12</f>
        <v>3348</v>
      </c>
      <c r="C12" s="27">
        <f>'Original Data'!$O$13*12</f>
        <v>2148</v>
      </c>
      <c r="D12" s="27">
        <f>'Original Data'!$AA$13*12</f>
        <v>2148</v>
      </c>
      <c r="E12" s="27">
        <f>'Original Data'!$AM$13*12</f>
        <v>2223.2400000000002</v>
      </c>
      <c r="F12">
        <f>IF($E12&gt;10,RANK($E12,$E$3:$E$102,0)+COUNTIF($E$3:$E12,$E12)-1,"N/A")</f>
        <v>57</v>
      </c>
      <c r="G12" s="27">
        <f t="shared" si="0"/>
        <v>-1</v>
      </c>
      <c r="H12" t="str">
        <f>IF($G12&lt;0,"N/A",RANK($G12,$G$3:$G$102,0)+COUNTIF($G$3:$G12,$G12)-1)</f>
        <v>N/A</v>
      </c>
      <c r="I12" s="27">
        <f t="shared" si="1"/>
        <v>75.240000000000236</v>
      </c>
      <c r="J12">
        <f>IF($I12&lt;0,"N/A",RANK($I12,$I$3:$I$102,0)+COUNTIF($I$3:$I12,$I12)-1)</f>
        <v>39</v>
      </c>
      <c r="K12" s="27">
        <f t="shared" si="2"/>
        <v>-1</v>
      </c>
      <c r="L12" t="str">
        <f>IF($K12&lt;0,"N/A",RANK($K12,$K$3:$K$102,0)+COUNTIF($K$3:$K12,$K12)-1)</f>
        <v>N/A</v>
      </c>
      <c r="M12" s="27">
        <f t="shared" si="3"/>
        <v>-1</v>
      </c>
      <c r="N12" t="str">
        <f>IF($M12&lt;0,"N/A",RANK($M12,$M$3:$M$102,0)+COUNTIF($M$3:$M12,$M12)-1)</f>
        <v>N/A</v>
      </c>
    </row>
    <row r="13" spans="1:14" x14ac:dyDescent="0.25">
      <c r="A13">
        <f>'Original Data'!$B$14</f>
        <v>11</v>
      </c>
      <c r="B13" s="27">
        <f>'Original Data'!$C$14*12</f>
        <v>2040.6000000000001</v>
      </c>
      <c r="C13" s="27">
        <f>'Original Data'!$O$14*12</f>
        <v>2148</v>
      </c>
      <c r="D13" s="27">
        <f>'Original Data'!$AA$14*12</f>
        <v>2148</v>
      </c>
      <c r="E13" s="27">
        <f>'Original Data'!$AM$14*12</f>
        <v>2148</v>
      </c>
      <c r="F13">
        <f>IF($E13&gt;10,RANK($E13,$E$3:$E$102,0)+COUNTIF($E$3:$E13,$E13)-1,"N/A")</f>
        <v>68</v>
      </c>
      <c r="G13" s="27">
        <f t="shared" si="0"/>
        <v>-1</v>
      </c>
      <c r="H13" t="str">
        <f>IF($G13&lt;0,"N/A",RANK($G13,$G$3:$G$102,0)+COUNTIF($G$3:$G13,$G13)-1)</f>
        <v>N/A</v>
      </c>
      <c r="I13" s="27">
        <f t="shared" si="1"/>
        <v>-1</v>
      </c>
      <c r="J13" t="str">
        <f>IF($I13&lt;0,"N/A",RANK($I13,$I$3:$I$102,0)+COUNTIF($I$3:$I13,$I13)-1)</f>
        <v>N/A</v>
      </c>
      <c r="K13" s="27">
        <f t="shared" si="2"/>
        <v>-1</v>
      </c>
      <c r="L13" t="str">
        <f>IF($K13&lt;0,"N/A",RANK($K13,$K$3:$K$102,0)+COUNTIF($K$3:$K13,$K13)-1)</f>
        <v>N/A</v>
      </c>
      <c r="M13" s="27">
        <f t="shared" si="3"/>
        <v>-1</v>
      </c>
      <c r="N13" t="str">
        <f>IF($M13&lt;0,"N/A",RANK($M13,$M$3:$M$102,0)+COUNTIF($M$3:$M13,$M13)-1)</f>
        <v>N/A</v>
      </c>
    </row>
    <row r="14" spans="1:14" x14ac:dyDescent="0.25">
      <c r="A14">
        <f>'Original Data'!$B$15</f>
        <v>12</v>
      </c>
      <c r="B14" s="27">
        <f>'Original Data'!$C$15*12</f>
        <v>3408.6000000000004</v>
      </c>
      <c r="C14" s="27">
        <f>'Original Data'!$O$15*12</f>
        <v>3375.96</v>
      </c>
      <c r="D14" s="27">
        <f>'Original Data'!$AA$15*12</f>
        <v>3602.2799999999997</v>
      </c>
      <c r="E14" s="27">
        <f>'Original Data'!$AM$15*12</f>
        <v>3528</v>
      </c>
      <c r="F14">
        <f>IF($E14&gt;10,RANK($E14,$E$3:$E$102,0)+COUNTIF($E$3:$E14,$E14)-1,"N/A")</f>
        <v>25</v>
      </c>
      <c r="G14" s="27">
        <f t="shared" si="0"/>
        <v>-1</v>
      </c>
      <c r="H14" t="str">
        <f>IF($G14&lt;0,"N/A",RANK($G14,$G$3:$G$102,0)+COUNTIF($G$3:$G14,$G14)-1)</f>
        <v>N/A</v>
      </c>
      <c r="I14" s="27">
        <f t="shared" si="1"/>
        <v>-1</v>
      </c>
      <c r="J14" t="str">
        <f>IF($I14&lt;0,"N/A",RANK($I14,$I$3:$I$102,0)+COUNTIF($I$3:$I14,$I14)-1)</f>
        <v>N/A</v>
      </c>
      <c r="K14" s="27">
        <f t="shared" si="2"/>
        <v>74.279999999999745</v>
      </c>
      <c r="L14">
        <f>IF($K14&lt;0,"N/A",RANK($K14,$K$3:$K$102,0)+COUNTIF($K$3:$K14,$K14)-1)</f>
        <v>4</v>
      </c>
      <c r="M14" s="27">
        <f t="shared" si="3"/>
        <v>-1</v>
      </c>
      <c r="N14" t="str">
        <f>IF($M14&lt;0,"N/A",RANK($M14,$M$3:$M$102,0)+COUNTIF($M$3:$M14,$M14)-1)</f>
        <v>N/A</v>
      </c>
    </row>
    <row r="15" spans="1:14" x14ac:dyDescent="0.25">
      <c r="A15">
        <f>'Original Data'!$B$16</f>
        <v>13</v>
      </c>
      <c r="B15" s="27">
        <f>'Original Data'!$C$16*12</f>
        <v>4428</v>
      </c>
      <c r="C15" s="27">
        <f>'Original Data'!$O$16*12</f>
        <v>4428</v>
      </c>
      <c r="D15" s="27">
        <f>'Original Data'!$AA$16*12</f>
        <v>4583.04</v>
      </c>
      <c r="E15" s="27">
        <f>'Original Data'!$AM$16*12</f>
        <v>4583.04</v>
      </c>
      <c r="F15">
        <f>IF($E15&gt;10,RANK($E15,$E$3:$E$102,0)+COUNTIF($E$3:$E15,$E15)-1,"N/A")</f>
        <v>3</v>
      </c>
      <c r="G15" s="27">
        <f t="shared" si="0"/>
        <v>-1</v>
      </c>
      <c r="H15" t="str">
        <f>IF($G15&lt;0,"N/A",RANK($G15,$G$3:$G$102,0)+COUNTIF($G$3:$G15,$G15)-1)</f>
        <v>N/A</v>
      </c>
      <c r="I15" s="27">
        <f t="shared" si="1"/>
        <v>-1</v>
      </c>
      <c r="J15" t="str">
        <f>IF($I15&lt;0,"N/A",RANK($I15,$I$3:$I$102,0)+COUNTIF($I$3:$I15,$I15)-1)</f>
        <v>N/A</v>
      </c>
      <c r="K15" s="27">
        <f t="shared" si="2"/>
        <v>-1</v>
      </c>
      <c r="L15" t="str">
        <f>IF($K15&lt;0,"N/A",RANK($K15,$K$3:$K$102,0)+COUNTIF($K$3:$K15,$K15)-1)</f>
        <v>N/A</v>
      </c>
      <c r="M15" s="27">
        <f t="shared" si="3"/>
        <v>-1</v>
      </c>
      <c r="N15" t="str">
        <f>IF($M15&lt;0,"N/A",RANK($M15,$M$3:$M$102,0)+COUNTIF($M$3:$M15,$M15)-1)</f>
        <v>N/A</v>
      </c>
    </row>
    <row r="16" spans="1:14" x14ac:dyDescent="0.25">
      <c r="A16">
        <f>'Original Data'!$B$17</f>
        <v>14</v>
      </c>
      <c r="B16" s="27">
        <f>'Original Data'!$C$17*12</f>
        <v>3348</v>
      </c>
      <c r="C16" s="27">
        <f>'Original Data'!$O$17*12</f>
        <v>3348</v>
      </c>
      <c r="D16" s="27">
        <f>'Original Data'!$AA$17*12</f>
        <v>3348</v>
      </c>
      <c r="E16" s="27">
        <f>'Original Data'!$AM$17*12</f>
        <v>3465.24</v>
      </c>
      <c r="F16">
        <f>IF($E16&gt;10,RANK($E16,$E$3:$E$102,0)+COUNTIF($E$3:$E16,$E16)-1,"N/A")</f>
        <v>30</v>
      </c>
      <c r="G16" s="27">
        <f t="shared" si="0"/>
        <v>-1</v>
      </c>
      <c r="H16" t="str">
        <f>IF($G16&lt;0,"N/A",RANK($G16,$G$3:$G$102,0)+COUNTIF($G$3:$G16,$G16)-1)</f>
        <v>N/A</v>
      </c>
      <c r="I16" s="27">
        <f t="shared" si="1"/>
        <v>117.23999999999978</v>
      </c>
      <c r="J16">
        <f>IF($I16&lt;0,"N/A",RANK($I16,$I$3:$I$102,0)+COUNTIF($I$3:$I16,$I16)-1)</f>
        <v>23</v>
      </c>
      <c r="K16" s="27">
        <f t="shared" si="2"/>
        <v>-1</v>
      </c>
      <c r="L16" t="str">
        <f>IF($K16&lt;0,"N/A",RANK($K16,$K$3:$K$102,0)+COUNTIF($K$3:$K16,$K16)-1)</f>
        <v>N/A</v>
      </c>
      <c r="M16" s="27">
        <f t="shared" si="3"/>
        <v>-1</v>
      </c>
      <c r="N16" t="str">
        <f>IF($M16&lt;0,"N/A",RANK($M16,$M$3:$M$102,0)+COUNTIF($M$3:$M16,$M16)-1)</f>
        <v>N/A</v>
      </c>
    </row>
    <row r="17" spans="1:14" x14ac:dyDescent="0.25">
      <c r="A17">
        <f>'Original Data'!$B$18</f>
        <v>15</v>
      </c>
      <c r="B17" s="27">
        <f>'Original Data'!$C$18*12</f>
        <v>2148</v>
      </c>
      <c r="C17" s="27">
        <f>'Original Data'!$O$18*12</f>
        <v>2148</v>
      </c>
      <c r="D17" s="27">
        <f>'Original Data'!$AA$18*12</f>
        <v>2148</v>
      </c>
      <c r="E17" s="27">
        <f>'Original Data'!$AM$18*12</f>
        <v>2148</v>
      </c>
      <c r="F17">
        <f>IF($E17&gt;10,RANK($E17,$E$3:$E$102,0)+COUNTIF($E$3:$E17,$E17)-1,"N/A")</f>
        <v>69</v>
      </c>
      <c r="G17" s="27">
        <f t="shared" si="0"/>
        <v>-1</v>
      </c>
      <c r="H17" t="str">
        <f>IF($G17&lt;0,"N/A",RANK($G17,$G$3:$G$102,0)+COUNTIF($G$3:$G17,$G17)-1)</f>
        <v>N/A</v>
      </c>
      <c r="I17" s="27">
        <f t="shared" si="1"/>
        <v>-1</v>
      </c>
      <c r="J17" t="str">
        <f>IF($I17&lt;0,"N/A",RANK($I17,$I$3:$I$102,0)+COUNTIF($I$3:$I17,$I17)-1)</f>
        <v>N/A</v>
      </c>
      <c r="K17" s="27">
        <f t="shared" si="2"/>
        <v>-1</v>
      </c>
      <c r="L17" t="str">
        <f>IF($K17&lt;0,"N/A",RANK($K17,$K$3:$K$102,0)+COUNTIF($K$3:$K17,$K17)-1)</f>
        <v>N/A</v>
      </c>
      <c r="M17" s="27">
        <f t="shared" si="3"/>
        <v>-1</v>
      </c>
      <c r="N17" t="str">
        <f>IF($M17&lt;0,"N/A",RANK($M17,$M$3:$M$102,0)+COUNTIF($M$3:$M17,$M17)-1)</f>
        <v>N/A</v>
      </c>
    </row>
    <row r="18" spans="1:14" x14ac:dyDescent="0.25">
      <c r="A18">
        <f>'Original Data'!$B$19</f>
        <v>16</v>
      </c>
      <c r="B18" s="27">
        <f>'Original Data'!$C$19*12</f>
        <v>1536</v>
      </c>
      <c r="C18" s="27">
        <f>'Original Data'!$O$19*12</f>
        <v>1536</v>
      </c>
      <c r="D18" s="27">
        <f>'Original Data'!$AA$19*12</f>
        <v>0</v>
      </c>
      <c r="E18" s="27">
        <f>'Original Data'!$AM$19*12</f>
        <v>0</v>
      </c>
      <c r="F18" t="str">
        <f>IF($E18&gt;10,RANK($E18,$E$3:$E$102,0)+COUNTIF($E$3:$E18,$E18)-1,"N/A")</f>
        <v>N/A</v>
      </c>
      <c r="G18" s="27">
        <f t="shared" si="0"/>
        <v>-1</v>
      </c>
      <c r="H18" t="str">
        <f>IF($G18&lt;0,"N/A",RANK($G18,$G$3:$G$102,0)+COUNTIF($G$3:$G18,$G18)-1)</f>
        <v>N/A</v>
      </c>
      <c r="I18" s="27">
        <f t="shared" si="1"/>
        <v>-1</v>
      </c>
      <c r="J18" t="str">
        <f>IF($I18&lt;0,"N/A",RANK($I18,$I$3:$I$102,0)+COUNTIF($I$3:$I18,$I18)-1)</f>
        <v>N/A</v>
      </c>
      <c r="K18" s="27">
        <f t="shared" si="2"/>
        <v>-1</v>
      </c>
      <c r="L18" t="str">
        <f>IF($K18&lt;0,"N/A",RANK($K18,$K$3:$K$102,0)+COUNTIF($K$3:$K18,$K18)-1)</f>
        <v>N/A</v>
      </c>
      <c r="M18" s="27">
        <f t="shared" si="3"/>
        <v>-1</v>
      </c>
      <c r="N18" t="str">
        <f>IF($M18&lt;0,"N/A",RANK($M18,$M$3:$M$102,0)+COUNTIF($M$3:$M18,$M18)-1)</f>
        <v>N/A</v>
      </c>
    </row>
    <row r="19" spans="1:14" x14ac:dyDescent="0.25">
      <c r="A19">
        <f>'Original Data'!$B$20</f>
        <v>17</v>
      </c>
      <c r="B19" s="27">
        <f>'Original Data'!$C$20*12</f>
        <v>3348</v>
      </c>
      <c r="C19" s="27">
        <f>'Original Data'!$O$20*12</f>
        <v>3348</v>
      </c>
      <c r="D19" s="27">
        <f>'Original Data'!$AA$20*12</f>
        <v>3348</v>
      </c>
      <c r="E19" s="27">
        <f>'Original Data'!$AM$20*12</f>
        <v>3465.24</v>
      </c>
      <c r="F19">
        <f>IF($E19&gt;10,RANK($E19,$E$3:$E$102,0)+COUNTIF($E$3:$E19,$E19)-1,"N/A")</f>
        <v>31</v>
      </c>
      <c r="G19" s="27">
        <f t="shared" si="0"/>
        <v>-1</v>
      </c>
      <c r="H19" t="str">
        <f>IF($G19&lt;0,"N/A",RANK($G19,$G$3:$G$102,0)+COUNTIF($G$3:$G19,$G19)-1)</f>
        <v>N/A</v>
      </c>
      <c r="I19" s="27">
        <f t="shared" si="1"/>
        <v>117.23999999999978</v>
      </c>
      <c r="J19">
        <f>IF($I19&lt;0,"N/A",RANK($I19,$I$3:$I$102,0)+COUNTIF($I$3:$I19,$I19)-1)</f>
        <v>24</v>
      </c>
      <c r="K19" s="27">
        <f t="shared" si="2"/>
        <v>-1</v>
      </c>
      <c r="L19" t="str">
        <f>IF($K19&lt;0,"N/A",RANK($K19,$K$3:$K$102,0)+COUNTIF($K$3:$K19,$K19)-1)</f>
        <v>N/A</v>
      </c>
      <c r="M19" s="27">
        <f t="shared" si="3"/>
        <v>-1</v>
      </c>
      <c r="N19" t="str">
        <f>IF($M19&lt;0,"N/A",RANK($M19,$M$3:$M$102,0)+COUNTIF($M$3:$M19,$M19)-1)</f>
        <v>N/A</v>
      </c>
    </row>
    <row r="20" spans="1:14" x14ac:dyDescent="0.25">
      <c r="A20">
        <f>'Original Data'!$B$21</f>
        <v>18</v>
      </c>
      <c r="B20" s="27">
        <f>'Original Data'!$C$21*12</f>
        <v>2947.8</v>
      </c>
      <c r="C20" s="27">
        <f>'Original Data'!$O$21*12</f>
        <v>2947.8</v>
      </c>
      <c r="D20" s="27">
        <f>'Original Data'!$AA$21*12</f>
        <v>2947.8</v>
      </c>
      <c r="E20" s="27">
        <f>'Original Data'!$AM$21*12</f>
        <v>3051</v>
      </c>
      <c r="F20">
        <f>IF($E20&gt;10,RANK($E20,$E$3:$E$102,0)+COUNTIF($E$3:$E20,$E20)-1,"N/A")</f>
        <v>40</v>
      </c>
      <c r="G20" s="27">
        <f t="shared" si="0"/>
        <v>-1</v>
      </c>
      <c r="H20" t="str">
        <f>IF($G20&lt;0,"N/A",RANK($G20,$G$3:$G$102,0)+COUNTIF($G$3:$G20,$G20)-1)</f>
        <v>N/A</v>
      </c>
      <c r="I20" s="27">
        <f t="shared" si="1"/>
        <v>103.19999999999982</v>
      </c>
      <c r="J20">
        <f>IF($I20&lt;0,"N/A",RANK($I20,$I$3:$I$102,0)+COUNTIF($I$3:$I20,$I20)-1)</f>
        <v>28</v>
      </c>
      <c r="K20" s="27">
        <f t="shared" si="2"/>
        <v>-1</v>
      </c>
      <c r="L20" t="str">
        <f>IF($K20&lt;0,"N/A",RANK($K20,$K$3:$K$102,0)+COUNTIF($K$3:$K20,$K20)-1)</f>
        <v>N/A</v>
      </c>
      <c r="M20" s="27">
        <f t="shared" si="3"/>
        <v>-1</v>
      </c>
      <c r="N20" t="str">
        <f>IF($M20&lt;0,"N/A",RANK($M20,$M$3:$M$102,0)+COUNTIF($M$3:$M20,$M20)-1)</f>
        <v>N/A</v>
      </c>
    </row>
    <row r="21" spans="1:14" x14ac:dyDescent="0.25">
      <c r="A21">
        <f>'Original Data'!$B$22</f>
        <v>19</v>
      </c>
      <c r="B21" s="27">
        <f>'Original Data'!$C$22*12</f>
        <v>1392</v>
      </c>
      <c r="C21" s="27">
        <f>'Original Data'!$O$22*12</f>
        <v>1392</v>
      </c>
      <c r="D21" s="27">
        <f>'Original Data'!$AA$22*12</f>
        <v>1392</v>
      </c>
      <c r="E21" s="27">
        <f>'Original Data'!$AM$22*12</f>
        <v>1392</v>
      </c>
      <c r="F21">
        <f>IF($E21&gt;10,RANK($E21,$E$3:$E$102,0)+COUNTIF($E$3:$E21,$E21)-1,"N/A")</f>
        <v>75</v>
      </c>
      <c r="G21" s="27">
        <f t="shared" si="0"/>
        <v>-1</v>
      </c>
      <c r="H21" t="str">
        <f>IF($G21&lt;0,"N/A",RANK($G21,$G$3:$G$102,0)+COUNTIF($G$3:$G21,$G21)-1)</f>
        <v>N/A</v>
      </c>
      <c r="I21" s="27">
        <f t="shared" si="1"/>
        <v>-1</v>
      </c>
      <c r="J21" t="str">
        <f>IF($I21&lt;0,"N/A",RANK($I21,$I$3:$I$102,0)+COUNTIF($I$3:$I21,$I21)-1)</f>
        <v>N/A</v>
      </c>
      <c r="K21" s="27">
        <f t="shared" si="2"/>
        <v>-1</v>
      </c>
      <c r="L21" t="str">
        <f>IF($K21&lt;0,"N/A",RANK($K21,$K$3:$K$102,0)+COUNTIF($K$3:$K21,$K21)-1)</f>
        <v>N/A</v>
      </c>
      <c r="M21" s="27">
        <f t="shared" si="3"/>
        <v>-1</v>
      </c>
      <c r="N21" t="str">
        <f>IF($M21&lt;0,"N/A",RANK($M21,$M$3:$M$102,0)+COUNTIF($M$3:$M21,$M21)-1)</f>
        <v>N/A</v>
      </c>
    </row>
    <row r="22" spans="1:14" x14ac:dyDescent="0.25">
      <c r="A22">
        <f>'Original Data'!$B$23</f>
        <v>20</v>
      </c>
      <c r="B22" s="27">
        <f>'Original Data'!$C$23*12</f>
        <v>2040.6000000000001</v>
      </c>
      <c r="C22" s="27">
        <f>'Original Data'!$O$23*12</f>
        <v>2148</v>
      </c>
      <c r="D22" s="27">
        <f>'Original Data'!$AA$23*12</f>
        <v>2148</v>
      </c>
      <c r="E22" s="27">
        <f>'Original Data'!$AM$23*12</f>
        <v>2223.2400000000002</v>
      </c>
      <c r="F22">
        <f>IF($E22&gt;10,RANK($E22,$E$3:$E$102,0)+COUNTIF($E$3:$E22,$E22)-1,"N/A")</f>
        <v>58</v>
      </c>
      <c r="G22" s="27">
        <f t="shared" si="0"/>
        <v>-1</v>
      </c>
      <c r="H22" t="str">
        <f>IF($G22&lt;0,"N/A",RANK($G22,$G$3:$G$102,0)+COUNTIF($G$3:$G22,$G22)-1)</f>
        <v>N/A</v>
      </c>
      <c r="I22" s="27">
        <f t="shared" si="1"/>
        <v>75.240000000000236</v>
      </c>
      <c r="J22">
        <f>IF($I22&lt;0,"N/A",RANK($I22,$I$3:$I$102,0)+COUNTIF($I$3:$I22,$I22)-1)</f>
        <v>40</v>
      </c>
      <c r="K22" s="27">
        <f t="shared" si="2"/>
        <v>-1</v>
      </c>
      <c r="L22" t="str">
        <f>IF($K22&lt;0,"N/A",RANK($K22,$K$3:$K$102,0)+COUNTIF($K$3:$K22,$K22)-1)</f>
        <v>N/A</v>
      </c>
      <c r="M22" s="27">
        <f t="shared" si="3"/>
        <v>-1</v>
      </c>
      <c r="N22" t="str">
        <f>IF($M22&lt;0,"N/A",RANK($M22,$M$3:$M$102,0)+COUNTIF($M$3:$M22,$M22)-1)</f>
        <v>N/A</v>
      </c>
    </row>
    <row r="23" spans="1:14" x14ac:dyDescent="0.25">
      <c r="A23">
        <f>'Original Data'!$B$24</f>
        <v>21</v>
      </c>
      <c r="B23" s="27">
        <f>'Original Data'!$C$24*12</f>
        <v>3348</v>
      </c>
      <c r="C23" s="27">
        <f>'Original Data'!$O$24*12</f>
        <v>3348</v>
      </c>
      <c r="D23" s="27">
        <f>'Original Data'!$AA$24*12</f>
        <v>3348</v>
      </c>
      <c r="E23" s="27">
        <f>'Original Data'!$AM$24*12</f>
        <v>3465.24</v>
      </c>
      <c r="F23">
        <f>IF($E23&gt;10,RANK($E23,$E$3:$E$102,0)+COUNTIF($E$3:$E23,$E23)-1,"N/A")</f>
        <v>32</v>
      </c>
      <c r="G23" s="27">
        <f t="shared" si="0"/>
        <v>-1</v>
      </c>
      <c r="H23" t="str">
        <f>IF($G23&lt;0,"N/A",RANK($G23,$G$3:$G$102,0)+COUNTIF($G$3:$G23,$G23)-1)</f>
        <v>N/A</v>
      </c>
      <c r="I23" s="27">
        <f t="shared" si="1"/>
        <v>117.23999999999978</v>
      </c>
      <c r="J23">
        <f>IF($I23&lt;0,"N/A",RANK($I23,$I$3:$I$102,0)+COUNTIF($I$3:$I23,$I23)-1)</f>
        <v>25</v>
      </c>
      <c r="K23" s="27">
        <f t="shared" si="2"/>
        <v>-1</v>
      </c>
      <c r="L23" t="str">
        <f>IF($K23&lt;0,"N/A",RANK($K23,$K$3:$K$102,0)+COUNTIF($K$3:$K23,$K23)-1)</f>
        <v>N/A</v>
      </c>
      <c r="M23" s="27">
        <f t="shared" si="3"/>
        <v>-1</v>
      </c>
      <c r="N23" t="str">
        <f>IF($M23&lt;0,"N/A",RANK($M23,$M$3:$M$102,0)+COUNTIF($M$3:$M23,$M23)-1)</f>
        <v>N/A</v>
      </c>
    </row>
    <row r="24" spans="1:14" x14ac:dyDescent="0.25">
      <c r="A24">
        <f>'Original Data'!$B$25</f>
        <v>22</v>
      </c>
      <c r="B24" s="27">
        <f>'Original Data'!$C$25*12</f>
        <v>3588</v>
      </c>
      <c r="C24" s="27">
        <f>'Original Data'!$O$25*12</f>
        <v>3588</v>
      </c>
      <c r="D24" s="27">
        <f>'Original Data'!$AA$25*12</f>
        <v>3588</v>
      </c>
      <c r="E24" s="27">
        <f>'Original Data'!$AM$25*12</f>
        <v>3713.6400000000003</v>
      </c>
      <c r="F24">
        <f>IF($E24&gt;10,RANK($E24,$E$3:$E$102,0)+COUNTIF($E$3:$E24,$E24)-1,"N/A")</f>
        <v>15</v>
      </c>
      <c r="G24" s="27">
        <f t="shared" si="0"/>
        <v>-1</v>
      </c>
      <c r="H24" t="str">
        <f>IF($G24&lt;0,"N/A",RANK($G24,$G$3:$G$102,0)+COUNTIF($G$3:$G24,$G24)-1)</f>
        <v>N/A</v>
      </c>
      <c r="I24" s="27">
        <f t="shared" si="1"/>
        <v>125.64000000000033</v>
      </c>
      <c r="J24">
        <f>IF($I24&lt;0,"N/A",RANK($I24,$I$3:$I$102,0)+COUNTIF($I$3:$I24,$I24)-1)</f>
        <v>14</v>
      </c>
      <c r="K24" s="27">
        <f t="shared" si="2"/>
        <v>-1</v>
      </c>
      <c r="L24" t="str">
        <f>IF($K24&lt;0,"N/A",RANK($K24,$K$3:$K$102,0)+COUNTIF($K$3:$K24,$K24)-1)</f>
        <v>N/A</v>
      </c>
      <c r="M24" s="27">
        <f t="shared" si="3"/>
        <v>-1</v>
      </c>
      <c r="N24" t="str">
        <f>IF($M24&lt;0,"N/A",RANK($M24,$M$3:$M$102,0)+COUNTIF($M$3:$M24,$M24)-1)</f>
        <v>N/A</v>
      </c>
    </row>
    <row r="25" spans="1:14" x14ac:dyDescent="0.25">
      <c r="A25">
        <f>'Original Data'!$B$26</f>
        <v>23</v>
      </c>
      <c r="B25" s="27">
        <f>'Original Data'!$C$26*12</f>
        <v>3445.2000000000003</v>
      </c>
      <c r="C25" s="27">
        <f>'Original Data'!$O$26*12</f>
        <v>3445.2000000000003</v>
      </c>
      <c r="D25" s="27">
        <f>'Original Data'!$AA$26*12</f>
        <v>3445.2000000000003</v>
      </c>
      <c r="E25" s="27">
        <f>'Original Data'!$AM$26*12</f>
        <v>3565.7999999999997</v>
      </c>
      <c r="F25">
        <f>IF($E25&gt;10,RANK($E25,$E$3:$E$102,0)+COUNTIF($E$3:$E25,$E25)-1,"N/A")</f>
        <v>24</v>
      </c>
      <c r="G25" s="27">
        <f t="shared" si="0"/>
        <v>-1</v>
      </c>
      <c r="H25" t="str">
        <f>IF($G25&lt;0,"N/A",RANK($G25,$G$3:$G$102,0)+COUNTIF($G$3:$G25,$G25)-1)</f>
        <v>N/A</v>
      </c>
      <c r="I25" s="27">
        <f t="shared" si="1"/>
        <v>120.59999999999945</v>
      </c>
      <c r="J25">
        <f>IF($I25&lt;0,"N/A",RANK($I25,$I$3:$I$102,0)+COUNTIF($I$3:$I25,$I25)-1)</f>
        <v>20</v>
      </c>
      <c r="K25" s="27">
        <f t="shared" si="2"/>
        <v>-1</v>
      </c>
      <c r="L25" t="str">
        <f>IF($K25&lt;0,"N/A",RANK($K25,$K$3:$K$102,0)+COUNTIF($K$3:$K25,$K25)-1)</f>
        <v>N/A</v>
      </c>
      <c r="M25" s="27">
        <f t="shared" si="3"/>
        <v>-1</v>
      </c>
      <c r="N25" t="str">
        <f>IF($M25&lt;0,"N/A",RANK($M25,$M$3:$M$102,0)+COUNTIF($M$3:$M25,$M25)-1)</f>
        <v>N/A</v>
      </c>
    </row>
    <row r="26" spans="1:14" x14ac:dyDescent="0.25">
      <c r="A26">
        <f>'Original Data'!$B$27</f>
        <v>24</v>
      </c>
      <c r="B26" s="27">
        <f>'Original Data'!$C$27*12</f>
        <v>3948</v>
      </c>
      <c r="C26" s="27">
        <f>'Original Data'!$O$27*12</f>
        <v>3948</v>
      </c>
      <c r="D26" s="27">
        <f>'Original Data'!$AA$27*12</f>
        <v>4086.24</v>
      </c>
      <c r="E26" s="27">
        <f>'Original Data'!$AM$27*12</f>
        <v>4229.28</v>
      </c>
      <c r="F26">
        <f>IF($E26&gt;10,RANK($E26,$E$3:$E$102,0)+COUNTIF($E$3:$E26,$E26)-1,"N/A")</f>
        <v>11</v>
      </c>
      <c r="G26" s="27">
        <f t="shared" si="0"/>
        <v>-1</v>
      </c>
      <c r="H26" t="str">
        <f>IF($G26&lt;0,"N/A",RANK($G26,$G$3:$G$102,0)+COUNTIF($G$3:$G26,$G26)-1)</f>
        <v>N/A</v>
      </c>
      <c r="I26" s="27">
        <f t="shared" si="1"/>
        <v>143.03999999999996</v>
      </c>
      <c r="J26">
        <f>IF($I26&lt;0,"N/A",RANK($I26,$I$3:$I$102,0)+COUNTIF($I$3:$I26,$I26)-1)</f>
        <v>10</v>
      </c>
      <c r="K26" s="27">
        <f t="shared" si="2"/>
        <v>-1</v>
      </c>
      <c r="L26" t="str">
        <f>IF($K26&lt;0,"N/A",RANK($K26,$K$3:$K$102,0)+COUNTIF($K$3:$K26,$K26)-1)</f>
        <v>N/A</v>
      </c>
      <c r="M26" s="27">
        <f t="shared" si="3"/>
        <v>-1</v>
      </c>
      <c r="N26" t="str">
        <f>IF($M26&lt;0,"N/A",RANK($M26,$M$3:$M$102,0)+COUNTIF($M$3:$M26,$M26)-1)</f>
        <v>N/A</v>
      </c>
    </row>
    <row r="27" spans="1:14" x14ac:dyDescent="0.25">
      <c r="A27">
        <f>'Original Data'!$B$28</f>
        <v>25</v>
      </c>
      <c r="B27" s="27">
        <f>'Original Data'!$C$28*12</f>
        <v>1933.1999999999998</v>
      </c>
      <c r="C27" s="27">
        <f>'Original Data'!$O$28*12</f>
        <v>1932.84</v>
      </c>
      <c r="D27" s="27">
        <f>'Original Data'!$AA$28*12</f>
        <v>2105.7599999999998</v>
      </c>
      <c r="E27" s="27">
        <f>'Original Data'!$AM$28*12</f>
        <v>2179.44</v>
      </c>
      <c r="F27">
        <f>IF($E27&gt;10,RANK($E27,$E$3:$E$102,0)+COUNTIF($E$3:$E27,$E27)-1,"N/A")</f>
        <v>67</v>
      </c>
      <c r="G27" s="27">
        <f t="shared" si="0"/>
        <v>-1</v>
      </c>
      <c r="H27" t="str">
        <f>IF($G27&lt;0,"N/A",RANK($G27,$G$3:$G$102,0)+COUNTIF($G$3:$G27,$G27)-1)</f>
        <v>N/A</v>
      </c>
      <c r="I27" s="27">
        <f t="shared" si="1"/>
        <v>73.680000000000291</v>
      </c>
      <c r="J27">
        <f>IF($I27&lt;0,"N/A",RANK($I27,$I$3:$I$102,0)+COUNTIF($I$3:$I27,$I27)-1)</f>
        <v>47</v>
      </c>
      <c r="K27" s="27">
        <f t="shared" si="2"/>
        <v>-1</v>
      </c>
      <c r="L27" t="str">
        <f>IF($K27&lt;0,"N/A",RANK($K27,$K$3:$K$102,0)+COUNTIF($K$3:$K27,$K27)-1)</f>
        <v>N/A</v>
      </c>
      <c r="M27" s="27">
        <f t="shared" si="3"/>
        <v>-1</v>
      </c>
      <c r="N27" t="str">
        <f>IF($M27&lt;0,"N/A",RANK($M27,$M$3:$M$102,0)+COUNTIF($M$3:$M27,$M27)-1)</f>
        <v>N/A</v>
      </c>
    </row>
    <row r="28" spans="1:14" x14ac:dyDescent="0.25">
      <c r="A28">
        <f>'Original Data'!$B$29</f>
        <v>26</v>
      </c>
      <c r="B28" s="27">
        <f>'Original Data'!$C$29*12</f>
        <v>0</v>
      </c>
      <c r="C28" s="27">
        <f>'Original Data'!$O$29*12</f>
        <v>2148</v>
      </c>
      <c r="D28" s="27">
        <f>'Original Data'!$AA$29*12</f>
        <v>2223.2400000000002</v>
      </c>
      <c r="E28" s="27">
        <f>'Original Data'!$AM$29*12</f>
        <v>2301</v>
      </c>
      <c r="F28">
        <f>IF($E28&gt;10,RANK($E28,$E$3:$E$102,0)+COUNTIF($E$3:$E28,$E28)-1,"N/A")</f>
        <v>52</v>
      </c>
      <c r="G28" s="27">
        <f t="shared" si="0"/>
        <v>-1</v>
      </c>
      <c r="H28" t="str">
        <f>IF($G28&lt;0,"N/A",RANK($G28,$G$3:$G$102,0)+COUNTIF($G$3:$G28,$G28)-1)</f>
        <v>N/A</v>
      </c>
      <c r="I28" s="27">
        <f t="shared" si="1"/>
        <v>77.759999999999764</v>
      </c>
      <c r="J28">
        <f>IF($I28&lt;0,"N/A",RANK($I28,$I$3:$I$102,0)+COUNTIF($I$3:$I28,$I28)-1)</f>
        <v>36</v>
      </c>
      <c r="K28" s="27">
        <f t="shared" si="2"/>
        <v>-1</v>
      </c>
      <c r="L28" t="str">
        <f>IF($K28&lt;0,"N/A",RANK($K28,$K$3:$K$102,0)+COUNTIF($K$3:$K28,$K28)-1)</f>
        <v>N/A</v>
      </c>
      <c r="M28" s="27">
        <f t="shared" si="3"/>
        <v>-1</v>
      </c>
      <c r="N28" t="str">
        <f>IF($M28&lt;0,"N/A",RANK($M28,$M$3:$M$102,0)+COUNTIF($M$3:$M28,$M28)-1)</f>
        <v>N/A</v>
      </c>
    </row>
    <row r="29" spans="1:14" x14ac:dyDescent="0.25">
      <c r="A29">
        <f>'Original Data'!$B$30</f>
        <v>27</v>
      </c>
      <c r="B29" s="27">
        <f>'Original Data'!$C$30*12</f>
        <v>0</v>
      </c>
      <c r="C29" s="27">
        <f>'Original Data'!$O$30*12</f>
        <v>2947.8</v>
      </c>
      <c r="D29" s="27">
        <f>'Original Data'!$AA$30*12</f>
        <v>3051</v>
      </c>
      <c r="E29" s="27">
        <f>'Original Data'!$AM$30*12</f>
        <v>3051</v>
      </c>
      <c r="F29">
        <f>IF($E29&gt;10,RANK($E29,$E$3:$E$102,0)+COUNTIF($E$3:$E29,$E29)-1,"N/A")</f>
        <v>41</v>
      </c>
      <c r="G29" s="27">
        <f t="shared" si="0"/>
        <v>-1</v>
      </c>
      <c r="H29" t="str">
        <f>IF($G29&lt;0,"N/A",RANK($G29,$G$3:$G$102,0)+COUNTIF($G$3:$G29,$G29)-1)</f>
        <v>N/A</v>
      </c>
      <c r="I29" s="27">
        <f t="shared" si="1"/>
        <v>-1</v>
      </c>
      <c r="J29" t="str">
        <f>IF($I29&lt;0,"N/A",RANK($I29,$I$3:$I$102,0)+COUNTIF($I$3:$I29,$I29)-1)</f>
        <v>N/A</v>
      </c>
      <c r="K29" s="27">
        <f t="shared" si="2"/>
        <v>-1</v>
      </c>
      <c r="L29" t="str">
        <f>IF($K29&lt;0,"N/A",RANK($K29,$K$3:$K$102,0)+COUNTIF($K$3:$K29,$K29)-1)</f>
        <v>N/A</v>
      </c>
      <c r="M29" s="27">
        <f t="shared" si="3"/>
        <v>-1</v>
      </c>
      <c r="N29" t="str">
        <f>IF($M29&lt;0,"N/A",RANK($M29,$M$3:$M$102,0)+COUNTIF($M$3:$M29,$M29)-1)</f>
        <v>N/A</v>
      </c>
    </row>
    <row r="30" spans="1:14" x14ac:dyDescent="0.25">
      <c r="A30">
        <f>'Original Data'!$B$31</f>
        <v>28</v>
      </c>
      <c r="B30" s="27">
        <f>'Original Data'!$C$31*12</f>
        <v>0</v>
      </c>
      <c r="C30" s="27">
        <f>'Original Data'!$O$31*12</f>
        <v>0</v>
      </c>
      <c r="D30" s="27">
        <f>'Original Data'!$AA$31*12</f>
        <v>0</v>
      </c>
      <c r="E30" s="27">
        <f>'Original Data'!$AM$31*12</f>
        <v>0</v>
      </c>
      <c r="F30" t="str">
        <f>IF($E30&gt;10,RANK($E30,$E$3:$E$102,0)+COUNTIF($E$3:$E30,$E30)-1,"N/A")</f>
        <v>N/A</v>
      </c>
      <c r="G30" s="27">
        <f t="shared" si="0"/>
        <v>-1</v>
      </c>
      <c r="H30" t="str">
        <f>IF($G30&lt;0,"N/A",RANK($G30,$G$3:$G$102,0)+COUNTIF($G$3:$G30,$G30)-1)</f>
        <v>N/A</v>
      </c>
      <c r="I30" s="27">
        <f t="shared" si="1"/>
        <v>-1</v>
      </c>
      <c r="J30" t="str">
        <f>IF($I30&lt;0,"N/A",RANK($I30,$I$3:$I$102,0)+COUNTIF($I$3:$I30,$I30)-1)</f>
        <v>N/A</v>
      </c>
      <c r="K30" s="27">
        <f t="shared" si="2"/>
        <v>-1</v>
      </c>
      <c r="L30" t="str">
        <f>IF($K30&lt;0,"N/A",RANK($K30,$K$3:$K$102,0)+COUNTIF($K$3:$K30,$K30)-1)</f>
        <v>N/A</v>
      </c>
      <c r="M30" s="27">
        <f t="shared" si="3"/>
        <v>-1</v>
      </c>
      <c r="N30" t="str">
        <f>IF($M30&lt;0,"N/A",RANK($M30,$M$3:$M$102,0)+COUNTIF($M$3:$M30,$M30)-1)</f>
        <v>N/A</v>
      </c>
    </row>
    <row r="31" spans="1:14" x14ac:dyDescent="0.25">
      <c r="A31">
        <f>'Original Data'!$B$32</f>
        <v>29</v>
      </c>
      <c r="B31" s="27">
        <f>'Original Data'!$C$32*12</f>
        <v>0</v>
      </c>
      <c r="C31" s="27">
        <f>'Original Data'!$O$32*12</f>
        <v>1055.8799999999999</v>
      </c>
      <c r="D31" s="27">
        <f>'Original Data'!$AA$32*12</f>
        <v>1055.8799999999999</v>
      </c>
      <c r="E31" s="27">
        <f>'Original Data'!$AM$32*12</f>
        <v>1055.8799999999999</v>
      </c>
      <c r="F31">
        <f>IF($E31&gt;10,RANK($E31,$E$3:$E$102,0)+COUNTIF($E$3:$E31,$E31)-1,"N/A")</f>
        <v>81</v>
      </c>
      <c r="G31" s="27">
        <f t="shared" si="0"/>
        <v>-1</v>
      </c>
      <c r="H31" t="str">
        <f>IF($G31&lt;0,"N/A",RANK($G31,$G$3:$G$102,0)+COUNTIF($G$3:$G31,$G31)-1)</f>
        <v>N/A</v>
      </c>
      <c r="I31" s="27">
        <f t="shared" si="1"/>
        <v>-1</v>
      </c>
      <c r="J31" t="str">
        <f>IF($I31&lt;0,"N/A",RANK($I31,$I$3:$I$102,0)+COUNTIF($I$3:$I31,$I31)-1)</f>
        <v>N/A</v>
      </c>
      <c r="K31" s="27">
        <f t="shared" si="2"/>
        <v>-1</v>
      </c>
      <c r="L31" t="str">
        <f>IF($K31&lt;0,"N/A",RANK($K31,$K$3:$K$102,0)+COUNTIF($K$3:$K31,$K31)-1)</f>
        <v>N/A</v>
      </c>
      <c r="M31" s="27">
        <f t="shared" si="3"/>
        <v>-1</v>
      </c>
      <c r="N31" t="str">
        <f>IF($M31&lt;0,"N/A",RANK($M31,$M$3:$M$102,0)+COUNTIF($M$3:$M31,$M31)-1)</f>
        <v>N/A</v>
      </c>
    </row>
    <row r="32" spans="1:14" x14ac:dyDescent="0.25">
      <c r="A32">
        <f>'Original Data'!$B$33</f>
        <v>30</v>
      </c>
      <c r="B32" s="27">
        <f>'Original Data'!$C$33*12</f>
        <v>0</v>
      </c>
      <c r="C32" s="27">
        <f>'Original Data'!$O$33*12</f>
        <v>1055.8799999999999</v>
      </c>
      <c r="D32" s="27">
        <f>'Original Data'!$AA$33*12</f>
        <v>1055.8799999999999</v>
      </c>
      <c r="E32" s="27">
        <f>'Original Data'!$AM$33*12</f>
        <v>1055.8799999999999</v>
      </c>
      <c r="F32">
        <f>IF($E32&gt;10,RANK($E32,$E$3:$E$102,0)+COUNTIF($E$3:$E32,$E32)-1,"N/A")</f>
        <v>82</v>
      </c>
      <c r="G32" s="27">
        <f t="shared" si="0"/>
        <v>-1</v>
      </c>
      <c r="H32" t="str">
        <f>IF($G32&lt;0,"N/A",RANK($G32,$G$3:$G$102,0)+COUNTIF($G$3:$G32,$G32)-1)</f>
        <v>N/A</v>
      </c>
      <c r="I32" s="27">
        <f t="shared" si="1"/>
        <v>-1</v>
      </c>
      <c r="J32" t="str">
        <f>IF($I32&lt;0,"N/A",RANK($I32,$I$3:$I$102,0)+COUNTIF($I$3:$I32,$I32)-1)</f>
        <v>N/A</v>
      </c>
      <c r="K32" s="27">
        <f t="shared" si="2"/>
        <v>-1</v>
      </c>
      <c r="L32" t="str">
        <f>IF($K32&lt;0,"N/A",RANK($K32,$K$3:$K$102,0)+COUNTIF($K$3:$K32,$K32)-1)</f>
        <v>N/A</v>
      </c>
      <c r="M32" s="27">
        <f t="shared" si="3"/>
        <v>-1</v>
      </c>
      <c r="N32" t="str">
        <f>IF($M32&lt;0,"N/A",RANK($M32,$M$3:$M$102,0)+COUNTIF($M$3:$M32,$M32)-1)</f>
        <v>N/A</v>
      </c>
    </row>
    <row r="33" spans="1:14" x14ac:dyDescent="0.25">
      <c r="A33">
        <f>'Original Data'!$B$34</f>
        <v>31</v>
      </c>
      <c r="B33" s="27">
        <f>'Original Data'!$C$34*12</f>
        <v>0</v>
      </c>
      <c r="C33" s="27">
        <f>'Original Data'!$O$34*12</f>
        <v>4202.3999999999996</v>
      </c>
      <c r="D33" s="27">
        <f>'Original Data'!$AA$34*12</f>
        <v>4341.4800000000005</v>
      </c>
      <c r="E33" s="27">
        <f>'Original Data'!$AM$34*12</f>
        <v>4341.4800000000005</v>
      </c>
      <c r="F33">
        <f>IF($E33&gt;10,RANK($E33,$E$3:$E$102,0)+COUNTIF($E$3:$E33,$E33)-1,"N/A")</f>
        <v>6</v>
      </c>
      <c r="G33" s="27">
        <f t="shared" si="0"/>
        <v>-1</v>
      </c>
      <c r="H33" t="str">
        <f>IF($G33&lt;0,"N/A",RANK($G33,$G$3:$G$102,0)+COUNTIF($G$3:$G33,$G33)-1)</f>
        <v>N/A</v>
      </c>
      <c r="I33" s="27">
        <f t="shared" si="1"/>
        <v>-1</v>
      </c>
      <c r="J33" t="str">
        <f>IF($I33&lt;0,"N/A",RANK($I33,$I$3:$I$102,0)+COUNTIF($I$3:$I33,$I33)-1)</f>
        <v>N/A</v>
      </c>
      <c r="K33" s="27">
        <f t="shared" si="2"/>
        <v>-1</v>
      </c>
      <c r="L33" t="str">
        <f>IF($K33&lt;0,"N/A",RANK($K33,$K$3:$K$102,0)+COUNTIF($K$3:$K33,$K33)-1)</f>
        <v>N/A</v>
      </c>
      <c r="M33" s="27">
        <f t="shared" si="3"/>
        <v>-1</v>
      </c>
      <c r="N33" t="str">
        <f>IF($M33&lt;0,"N/A",RANK($M33,$M$3:$M$102,0)+COUNTIF($M$3:$M33,$M33)-1)</f>
        <v>N/A</v>
      </c>
    </row>
    <row r="34" spans="1:14" x14ac:dyDescent="0.25">
      <c r="A34">
        <f>'Original Data'!$B$35</f>
        <v>32</v>
      </c>
      <c r="B34" s="27">
        <f>'Original Data'!$C$35*12</f>
        <v>0</v>
      </c>
      <c r="C34" s="27">
        <f>'Original Data'!$O$35*12</f>
        <v>3559.7999999999997</v>
      </c>
      <c r="D34" s="27">
        <f>'Original Data'!$AA$35*12</f>
        <v>3684.4800000000005</v>
      </c>
      <c r="E34" s="27">
        <f>'Original Data'!$AM$35*12</f>
        <v>3684.4800000000005</v>
      </c>
      <c r="F34">
        <f>IF($E34&gt;10,RANK($E34,$E$3:$E$102,0)+COUNTIF($E$3:$E34,$E34)-1,"N/A")</f>
        <v>19</v>
      </c>
      <c r="G34" s="27">
        <f t="shared" si="0"/>
        <v>-1</v>
      </c>
      <c r="H34" t="str">
        <f>IF($G34&lt;0,"N/A",RANK($G34,$G$3:$G$102,0)+COUNTIF($G$3:$G34,$G34)-1)</f>
        <v>N/A</v>
      </c>
      <c r="I34" s="27">
        <f t="shared" si="1"/>
        <v>-1</v>
      </c>
      <c r="J34" t="str">
        <f>IF($I34&lt;0,"N/A",RANK($I34,$I$3:$I$102,0)+COUNTIF($I$3:$I34,$I34)-1)</f>
        <v>N/A</v>
      </c>
      <c r="K34" s="27">
        <f t="shared" si="2"/>
        <v>-1</v>
      </c>
      <c r="L34" t="str">
        <f>IF($K34&lt;0,"N/A",RANK($K34,$K$3:$K$102,0)+COUNTIF($K$3:$K34,$K34)-1)</f>
        <v>N/A</v>
      </c>
      <c r="M34" s="27">
        <f t="shared" si="3"/>
        <v>-1</v>
      </c>
      <c r="N34" t="str">
        <f>IF($M34&lt;0,"N/A",RANK($M34,$M$3:$M$102,0)+COUNTIF($M$3:$M34,$M34)-1)</f>
        <v>N/A</v>
      </c>
    </row>
    <row r="35" spans="1:14" x14ac:dyDescent="0.25">
      <c r="A35">
        <f>'Original Data'!$B$36</f>
        <v>33</v>
      </c>
      <c r="B35" s="27">
        <f>'Original Data'!$C$36*12</f>
        <v>1191.96</v>
      </c>
      <c r="C35" s="27">
        <f>'Original Data'!$O$36*12</f>
        <v>1188</v>
      </c>
      <c r="D35" s="27">
        <f>'Original Data'!$AA$36*12</f>
        <v>1188</v>
      </c>
      <c r="E35" s="27">
        <f>'Original Data'!$AM$36*12</f>
        <v>0</v>
      </c>
      <c r="F35" t="str">
        <f>IF($E35&gt;10,RANK($E35,$E$3:$E$102,0)+COUNTIF($E$3:$E35,$E35)-1,"N/A")</f>
        <v>N/A</v>
      </c>
      <c r="G35" s="27">
        <f t="shared" ref="G35:G66" si="4">IF(AND($D35&lt;=0,$E35&gt;0,$E35&gt;10),$E35,-1)</f>
        <v>-1</v>
      </c>
      <c r="H35" t="str">
        <f>IF($G35&lt;0,"N/A",RANK($G35,$G$3:$G$102,0)+COUNTIF($G$3:$G35,$G35)-1)</f>
        <v>N/A</v>
      </c>
      <c r="I35" s="27">
        <f t="shared" ref="I35:I66" si="5">IF(AND($D35&gt;0,$E35&gt;0,$E35&gt;$D35),$E35-$D35,-1)</f>
        <v>-1</v>
      </c>
      <c r="J35" t="str">
        <f>IF($I35&lt;0,"N/A",RANK($I35,$I$3:$I$102,0)+COUNTIF($I$3:$I35,$I35)-1)</f>
        <v>N/A</v>
      </c>
      <c r="K35" s="27">
        <f t="shared" ref="K35:K66" si="6">IF(AND($D35&gt;10,$E35&gt;0,$E35&lt;$D35),$D35-$E35,-1)</f>
        <v>-1</v>
      </c>
      <c r="L35" t="str">
        <f>IF($K35&lt;0,"N/A",RANK($K35,$K$3:$K$102,0)+COUNTIF($K$3:$K35,$K35)-1)</f>
        <v>N/A</v>
      </c>
      <c r="M35" s="27">
        <f t="shared" ref="M35:M66" si="7">IF(AND($D35&gt;0,$E35&lt;=0,$D35&gt;10),$D35,-1)</f>
        <v>1188</v>
      </c>
      <c r="N35">
        <f>IF($M35&lt;0,"N/A",RANK($M35,$M$3:$M$102,0)+COUNTIF($M$3:$M35,$M35)-1)</f>
        <v>2</v>
      </c>
    </row>
    <row r="36" spans="1:14" x14ac:dyDescent="0.25">
      <c r="A36">
        <f>'Original Data'!$B$37</f>
        <v>34</v>
      </c>
      <c r="B36" s="27">
        <f>'Original Data'!$C$37*12</f>
        <v>2868</v>
      </c>
      <c r="C36" s="27">
        <f>'Original Data'!$O$37*12</f>
        <v>2868</v>
      </c>
      <c r="D36" s="27">
        <f>'Original Data'!$AA$37*12</f>
        <v>2968.44</v>
      </c>
      <c r="E36" s="27">
        <f>'Original Data'!$AM$37*12</f>
        <v>2968.44</v>
      </c>
      <c r="F36">
        <f>IF($E36&gt;10,RANK($E36,$E$3:$E$102,0)+COUNTIF($E$3:$E36,$E36)-1,"N/A")</f>
        <v>43</v>
      </c>
      <c r="G36" s="27">
        <f t="shared" si="4"/>
        <v>-1</v>
      </c>
      <c r="H36" t="str">
        <f>IF($G36&lt;0,"N/A",RANK($G36,$G$3:$G$102,0)+COUNTIF($G$3:$G36,$G36)-1)</f>
        <v>N/A</v>
      </c>
      <c r="I36" s="27">
        <f t="shared" si="5"/>
        <v>-1</v>
      </c>
      <c r="J36" t="str">
        <f>IF($I36&lt;0,"N/A",RANK($I36,$I$3:$I$102,0)+COUNTIF($I$3:$I36,$I36)-1)</f>
        <v>N/A</v>
      </c>
      <c r="K36" s="27">
        <f t="shared" si="6"/>
        <v>-1</v>
      </c>
      <c r="L36" t="str">
        <f>IF($K36&lt;0,"N/A",RANK($K36,$K$3:$K$102,0)+COUNTIF($K$3:$K36,$K36)-1)</f>
        <v>N/A</v>
      </c>
      <c r="M36" s="27">
        <f t="shared" si="7"/>
        <v>-1</v>
      </c>
      <c r="N36" t="str">
        <f>IF($M36&lt;0,"N/A",RANK($M36,$M$3:$M$102,0)+COUNTIF($M$3:$M36,$M36)-1)</f>
        <v>N/A</v>
      </c>
    </row>
    <row r="37" spans="1:14" x14ac:dyDescent="0.25">
      <c r="A37">
        <f>'Original Data'!$B$38</f>
        <v>35</v>
      </c>
      <c r="B37" s="27">
        <f>'Original Data'!$C$38*12</f>
        <v>3228</v>
      </c>
      <c r="C37" s="27">
        <f>'Original Data'!$O$38*12</f>
        <v>3229.2000000000003</v>
      </c>
      <c r="D37" s="27">
        <f>'Original Data'!$AA$38*12</f>
        <v>3156.6000000000004</v>
      </c>
      <c r="E37" s="27">
        <f>'Original Data'!$AM$38*12</f>
        <v>3445.2000000000003</v>
      </c>
      <c r="F37">
        <f>IF($E37&gt;10,RANK($E37,$E$3:$E$102,0)+COUNTIF($E$3:$E37,$E37)-1,"N/A")</f>
        <v>36</v>
      </c>
      <c r="G37" s="27">
        <f t="shared" si="4"/>
        <v>-1</v>
      </c>
      <c r="H37" t="str">
        <f>IF($G37&lt;0,"N/A",RANK($G37,$G$3:$G$102,0)+COUNTIF($G$3:$G37,$G37)-1)</f>
        <v>N/A</v>
      </c>
      <c r="I37" s="27">
        <f t="shared" si="5"/>
        <v>288.59999999999991</v>
      </c>
      <c r="J37">
        <f>IF($I37&lt;0,"N/A",RANK($I37,$I$3:$I$102,0)+COUNTIF($I$3:$I37,$I37)-1)</f>
        <v>2</v>
      </c>
      <c r="K37" s="27">
        <f t="shared" si="6"/>
        <v>-1</v>
      </c>
      <c r="L37" t="str">
        <f>IF($K37&lt;0,"N/A",RANK($K37,$K$3:$K$102,0)+COUNTIF($K$3:$K37,$K37)-1)</f>
        <v>N/A</v>
      </c>
      <c r="M37" s="27">
        <f t="shared" si="7"/>
        <v>-1</v>
      </c>
      <c r="N37" t="str">
        <f>IF($M37&lt;0,"N/A",RANK($M37,$M$3:$M$102,0)+COUNTIF($M$3:$M37,$M37)-1)</f>
        <v>N/A</v>
      </c>
    </row>
    <row r="38" spans="1:14" x14ac:dyDescent="0.25">
      <c r="A38">
        <f>'Original Data'!$B$39</f>
        <v>36</v>
      </c>
      <c r="B38" s="27">
        <f>'Original Data'!$C$39*12</f>
        <v>2628</v>
      </c>
      <c r="C38" s="27">
        <f>'Original Data'!$O$39*12</f>
        <v>0</v>
      </c>
      <c r="D38" s="27">
        <f>'Original Data'!$AA$39*12</f>
        <v>0</v>
      </c>
      <c r="E38" s="27">
        <f>'Original Data'!$AM$39*12</f>
        <v>0</v>
      </c>
      <c r="F38" t="str">
        <f>IF($E38&gt;10,RANK($E38,$E$3:$E$102,0)+COUNTIF($E$3:$E38,$E38)-1,"N/A")</f>
        <v>N/A</v>
      </c>
      <c r="G38" s="27">
        <f t="shared" si="4"/>
        <v>-1</v>
      </c>
      <c r="H38" t="str">
        <f>IF($G38&lt;0,"N/A",RANK($G38,$G$3:$G$102,0)+COUNTIF($G$3:$G38,$G38)-1)</f>
        <v>N/A</v>
      </c>
      <c r="I38" s="27">
        <f t="shared" si="5"/>
        <v>-1</v>
      </c>
      <c r="J38" t="str">
        <f>IF($I38&lt;0,"N/A",RANK($I38,$I$3:$I$102,0)+COUNTIF($I$3:$I38,$I38)-1)</f>
        <v>N/A</v>
      </c>
      <c r="K38" s="27">
        <f t="shared" si="6"/>
        <v>-1</v>
      </c>
      <c r="L38" t="str">
        <f>IF($K38&lt;0,"N/A",RANK($K38,$K$3:$K$102,0)+COUNTIF($K$3:$K38,$K38)-1)</f>
        <v>N/A</v>
      </c>
      <c r="M38" s="27">
        <f t="shared" si="7"/>
        <v>-1</v>
      </c>
      <c r="N38" t="str">
        <f>IF($M38&lt;0,"N/A",RANK($M38,$M$3:$M$102,0)+COUNTIF($M$3:$M38,$M38)-1)</f>
        <v>N/A</v>
      </c>
    </row>
    <row r="39" spans="1:14" x14ac:dyDescent="0.25">
      <c r="A39">
        <f>'Original Data'!$B$40</f>
        <v>37</v>
      </c>
      <c r="B39" s="27">
        <f>'Original Data'!$C$40*12</f>
        <v>2947.8</v>
      </c>
      <c r="C39" s="27">
        <f>'Original Data'!$O$40*12</f>
        <v>2947.8</v>
      </c>
      <c r="D39" s="27">
        <f>'Original Data'!$AA$40*12</f>
        <v>3051</v>
      </c>
      <c r="E39" s="27">
        <f>'Original Data'!$AM$40*12</f>
        <v>1275</v>
      </c>
      <c r="F39">
        <f>IF($E39&gt;10,RANK($E39,$E$3:$E$102,0)+COUNTIF($E$3:$E39,$E39)-1,"N/A")</f>
        <v>78</v>
      </c>
      <c r="G39" s="27">
        <f t="shared" si="4"/>
        <v>-1</v>
      </c>
      <c r="H39" t="str">
        <f>IF($G39&lt;0,"N/A",RANK($G39,$G$3:$G$102,0)+COUNTIF($G$3:$G39,$G39)-1)</f>
        <v>N/A</v>
      </c>
      <c r="I39" s="27">
        <f t="shared" si="5"/>
        <v>-1</v>
      </c>
      <c r="J39" t="str">
        <f>IF($I39&lt;0,"N/A",RANK($I39,$I$3:$I$102,0)+COUNTIF($I$3:$I39,$I39)-1)</f>
        <v>N/A</v>
      </c>
      <c r="K39" s="27">
        <f t="shared" si="6"/>
        <v>1776</v>
      </c>
      <c r="L39">
        <f>IF($K39&lt;0,"N/A",RANK($K39,$K$3:$K$102,0)+COUNTIF($K$3:$K39,$K39)-1)</f>
        <v>1</v>
      </c>
      <c r="M39" s="27">
        <f t="shared" si="7"/>
        <v>-1</v>
      </c>
      <c r="N39" t="str">
        <f>IF($M39&lt;0,"N/A",RANK($M39,$M$3:$M$102,0)+COUNTIF($M$3:$M39,$M39)-1)</f>
        <v>N/A</v>
      </c>
    </row>
    <row r="40" spans="1:14" x14ac:dyDescent="0.25">
      <c r="A40">
        <f>'Original Data'!$B$41</f>
        <v>38</v>
      </c>
      <c r="B40" s="27">
        <f>'Original Data'!$C$41*12</f>
        <v>0</v>
      </c>
      <c r="C40" s="27">
        <f>'Original Data'!$O$41*12</f>
        <v>0</v>
      </c>
      <c r="D40" s="27">
        <f>'Original Data'!$AA$41*12</f>
        <v>2628</v>
      </c>
      <c r="E40" s="27">
        <f>'Original Data'!$AM$41*12</f>
        <v>2720.04</v>
      </c>
      <c r="F40">
        <f>IF($E40&gt;10,RANK($E40,$E$3:$E$102,0)+COUNTIF($E$3:$E40,$E40)-1,"N/A")</f>
        <v>47</v>
      </c>
      <c r="G40" s="27">
        <f t="shared" si="4"/>
        <v>-1</v>
      </c>
      <c r="H40" t="str">
        <f>IF($G40&lt;0,"N/A",RANK($G40,$G$3:$G$102,0)+COUNTIF($G$3:$G40,$G40)-1)</f>
        <v>N/A</v>
      </c>
      <c r="I40" s="27">
        <f t="shared" si="5"/>
        <v>92.039999999999964</v>
      </c>
      <c r="J40">
        <f>IF($I40&lt;0,"N/A",RANK($I40,$I$3:$I$102,0)+COUNTIF($I$3:$I40,$I40)-1)</f>
        <v>32</v>
      </c>
      <c r="K40" s="27">
        <f t="shared" si="6"/>
        <v>-1</v>
      </c>
      <c r="L40" t="str">
        <f>IF($K40&lt;0,"N/A",RANK($K40,$K$3:$K$102,0)+COUNTIF($K$3:$K40,$K40)-1)</f>
        <v>N/A</v>
      </c>
      <c r="M40" s="27">
        <f t="shared" si="7"/>
        <v>-1</v>
      </c>
      <c r="N40" t="str">
        <f>IF($M40&lt;0,"N/A",RANK($M40,$M$3:$M$102,0)+COUNTIF($M$3:$M40,$M40)-1)</f>
        <v>N/A</v>
      </c>
    </row>
    <row r="41" spans="1:14" x14ac:dyDescent="0.25">
      <c r="A41">
        <f>'Original Data'!$B$42</f>
        <v>39</v>
      </c>
      <c r="B41" s="27">
        <f>'Original Data'!$C$42*12</f>
        <v>0</v>
      </c>
      <c r="C41" s="27">
        <f>'Original Data'!$O$42*12</f>
        <v>0</v>
      </c>
      <c r="D41" s="27">
        <f>'Original Data'!$AA$42*12</f>
        <v>3553.2000000000003</v>
      </c>
      <c r="E41" s="27">
        <f>'Original Data'!$AM$42*12</f>
        <v>3677.5199999999995</v>
      </c>
      <c r="F41">
        <f>IF($E41&gt;10,RANK($E41,$E$3:$E$102,0)+COUNTIF($E$3:$E41,$E41)-1,"N/A")</f>
        <v>21</v>
      </c>
      <c r="G41" s="27">
        <f t="shared" si="4"/>
        <v>-1</v>
      </c>
      <c r="H41" t="str">
        <f>IF($G41&lt;0,"N/A",RANK($G41,$G$3:$G$102,0)+COUNTIF($G$3:$G41,$G41)-1)</f>
        <v>N/A</v>
      </c>
      <c r="I41" s="27">
        <f t="shared" si="5"/>
        <v>124.31999999999925</v>
      </c>
      <c r="J41">
        <f>IF($I41&lt;0,"N/A",RANK($I41,$I$3:$I$102,0)+COUNTIF($I$3:$I41,$I41)-1)</f>
        <v>17</v>
      </c>
      <c r="K41" s="27">
        <f t="shared" si="6"/>
        <v>-1</v>
      </c>
      <c r="L41" t="str">
        <f>IF($K41&lt;0,"N/A",RANK($K41,$K$3:$K$102,0)+COUNTIF($K$3:$K41,$K41)-1)</f>
        <v>N/A</v>
      </c>
      <c r="M41" s="27">
        <f t="shared" si="7"/>
        <v>-1</v>
      </c>
      <c r="N41" t="str">
        <f>IF($M41&lt;0,"N/A",RANK($M41,$M$3:$M$102,0)+COUNTIF($M$3:$M41,$M41)-1)</f>
        <v>N/A</v>
      </c>
    </row>
    <row r="42" spans="1:14" x14ac:dyDescent="0.25">
      <c r="A42">
        <f>'Original Data'!$B$43</f>
        <v>40</v>
      </c>
      <c r="B42" s="27">
        <f>'Original Data'!$C$43*12</f>
        <v>0</v>
      </c>
      <c r="C42" s="27">
        <f>'Original Data'!$O$43*12</f>
        <v>0</v>
      </c>
      <c r="D42" s="27">
        <f>'Original Data'!$AA$43*12</f>
        <v>2868</v>
      </c>
      <c r="E42" s="27">
        <f>'Original Data'!$AM$43*12</f>
        <v>2968.44</v>
      </c>
      <c r="F42">
        <f>IF($E42&gt;10,RANK($E42,$E$3:$E$102,0)+COUNTIF($E$3:$E42,$E42)-1,"N/A")</f>
        <v>44</v>
      </c>
      <c r="G42" s="27">
        <f t="shared" si="4"/>
        <v>-1</v>
      </c>
      <c r="H42" t="str">
        <f>IF($G42&lt;0,"N/A",RANK($G42,$G$3:$G$102,0)+COUNTIF($G$3:$G42,$G42)-1)</f>
        <v>N/A</v>
      </c>
      <c r="I42" s="27">
        <f t="shared" si="5"/>
        <v>100.44000000000005</v>
      </c>
      <c r="J42">
        <f>IF($I42&lt;0,"N/A",RANK($I42,$I$3:$I$102,0)+COUNTIF($I$3:$I42,$I42)-1)</f>
        <v>29</v>
      </c>
      <c r="K42" s="27">
        <f t="shared" si="6"/>
        <v>-1</v>
      </c>
      <c r="L42" t="str">
        <f>IF($K42&lt;0,"N/A",RANK($K42,$K$3:$K$102,0)+COUNTIF($K$3:$K42,$K42)-1)</f>
        <v>N/A</v>
      </c>
      <c r="M42" s="27">
        <f t="shared" si="7"/>
        <v>-1</v>
      </c>
      <c r="N42" t="str">
        <f>IF($M42&lt;0,"N/A",RANK($M42,$M$3:$M$102,0)+COUNTIF($M$3:$M42,$M42)-1)</f>
        <v>N/A</v>
      </c>
    </row>
    <row r="43" spans="1:14" x14ac:dyDescent="0.25">
      <c r="A43">
        <f>'Original Data'!$B$44</f>
        <v>41</v>
      </c>
      <c r="B43" s="27">
        <f>'Original Data'!$C$44*12</f>
        <v>0</v>
      </c>
      <c r="C43" s="27">
        <f>'Original Data'!$O$44*12</f>
        <v>0</v>
      </c>
      <c r="D43" s="27">
        <f>'Original Data'!$AA$44*12</f>
        <v>2748</v>
      </c>
      <c r="E43" s="27">
        <f>'Original Data'!$AM$44*12</f>
        <v>2844.2400000000002</v>
      </c>
      <c r="F43">
        <f>IF($E43&gt;10,RANK($E43,$E$3:$E$102,0)+COUNTIF($E$3:$E43,$E43)-1,"N/A")</f>
        <v>46</v>
      </c>
      <c r="G43" s="27">
        <f t="shared" si="4"/>
        <v>-1</v>
      </c>
      <c r="H43" t="str">
        <f>IF($G43&lt;0,"N/A",RANK($G43,$G$3:$G$102,0)+COUNTIF($G$3:$G43,$G43)-1)</f>
        <v>N/A</v>
      </c>
      <c r="I43" s="27">
        <f t="shared" si="5"/>
        <v>96.240000000000236</v>
      </c>
      <c r="J43">
        <f>IF($I43&lt;0,"N/A",RANK($I43,$I$3:$I$102,0)+COUNTIF($I$3:$I43,$I43)-1)</f>
        <v>31</v>
      </c>
      <c r="K43" s="27">
        <f t="shared" si="6"/>
        <v>-1</v>
      </c>
      <c r="L43" t="str">
        <f>IF($K43&lt;0,"N/A",RANK($K43,$K$3:$K$102,0)+COUNTIF($K$3:$K43,$K43)-1)</f>
        <v>N/A</v>
      </c>
      <c r="M43" s="27">
        <f t="shared" si="7"/>
        <v>-1</v>
      </c>
      <c r="N43" t="str">
        <f>IF($M43&lt;0,"N/A",RANK($M43,$M$3:$M$102,0)+COUNTIF($M$3:$M43,$M43)-1)</f>
        <v>N/A</v>
      </c>
    </row>
    <row r="44" spans="1:14" x14ac:dyDescent="0.25">
      <c r="A44">
        <f>'Original Data'!$B$45</f>
        <v>42</v>
      </c>
      <c r="B44" s="27">
        <f>'Original Data'!$C$45*12</f>
        <v>0</v>
      </c>
      <c r="C44" s="27">
        <f>'Original Data'!$O$45*12</f>
        <v>0</v>
      </c>
      <c r="D44" s="27">
        <f>'Original Data'!$AA$45*12</f>
        <v>828</v>
      </c>
      <c r="E44" s="27">
        <f>'Original Data'!$AM$45*12</f>
        <v>828</v>
      </c>
      <c r="F44">
        <f>IF($E44&gt;10,RANK($E44,$E$3:$E$102,0)+COUNTIF($E$3:$E44,$E44)-1,"N/A")</f>
        <v>83</v>
      </c>
      <c r="G44" s="27">
        <f t="shared" si="4"/>
        <v>-1</v>
      </c>
      <c r="H44" t="str">
        <f>IF($G44&lt;0,"N/A",RANK($G44,$G$3:$G$102,0)+COUNTIF($G$3:$G44,$G44)-1)</f>
        <v>N/A</v>
      </c>
      <c r="I44" s="27">
        <f t="shared" si="5"/>
        <v>-1</v>
      </c>
      <c r="J44" t="str">
        <f>IF($I44&lt;0,"N/A",RANK($I44,$I$3:$I$102,0)+COUNTIF($I$3:$I44,$I44)-1)</f>
        <v>N/A</v>
      </c>
      <c r="K44" s="27">
        <f t="shared" si="6"/>
        <v>-1</v>
      </c>
      <c r="L44" t="str">
        <f>IF($K44&lt;0,"N/A",RANK($K44,$K$3:$K$102,0)+COUNTIF($K$3:$K44,$K44)-1)</f>
        <v>N/A</v>
      </c>
      <c r="M44" s="27">
        <f t="shared" si="7"/>
        <v>-1</v>
      </c>
      <c r="N44" t="str">
        <f>IF($M44&lt;0,"N/A",RANK($M44,$M$3:$M$102,0)+COUNTIF($M$3:$M44,$M44)-1)</f>
        <v>N/A</v>
      </c>
    </row>
    <row r="45" spans="1:14" x14ac:dyDescent="0.25">
      <c r="A45">
        <f>'Original Data'!$B$46</f>
        <v>43</v>
      </c>
      <c r="B45" s="27">
        <f>'Original Data'!$C$46*12</f>
        <v>828</v>
      </c>
      <c r="C45" s="27">
        <f>'Original Data'!$O$46*12</f>
        <v>828</v>
      </c>
      <c r="D45" s="27">
        <f>'Original Data'!$AA$46*12</f>
        <v>828</v>
      </c>
      <c r="E45" s="27">
        <f>'Original Data'!$AM$46*12</f>
        <v>828</v>
      </c>
      <c r="F45">
        <f>IF($E45&gt;10,RANK($E45,$E$3:$E$102,0)+COUNTIF($E$3:$E45,$E45)-1,"N/A")</f>
        <v>84</v>
      </c>
      <c r="G45" s="27">
        <f t="shared" si="4"/>
        <v>-1</v>
      </c>
      <c r="H45" t="str">
        <f>IF($G45&lt;0,"N/A",RANK($G45,$G$3:$G$102,0)+COUNTIF($G$3:$G45,$G45)-1)</f>
        <v>N/A</v>
      </c>
      <c r="I45" s="27">
        <f t="shared" si="5"/>
        <v>-1</v>
      </c>
      <c r="J45" t="str">
        <f>IF($I45&lt;0,"N/A",RANK($I45,$I$3:$I$102,0)+COUNTIF($I$3:$I45,$I45)-1)</f>
        <v>N/A</v>
      </c>
      <c r="K45" s="27">
        <f t="shared" si="6"/>
        <v>-1</v>
      </c>
      <c r="L45" t="str">
        <f>IF($K45&lt;0,"N/A",RANK($K45,$K$3:$K$102,0)+COUNTIF($K$3:$K45,$K45)-1)</f>
        <v>N/A</v>
      </c>
      <c r="M45" s="27">
        <f t="shared" si="7"/>
        <v>-1</v>
      </c>
      <c r="N45" t="str">
        <f>IF($M45&lt;0,"N/A",RANK($M45,$M$3:$M$102,0)+COUNTIF($M$3:$M45,$M45)-1)</f>
        <v>N/A</v>
      </c>
    </row>
    <row r="46" spans="1:14" x14ac:dyDescent="0.25">
      <c r="A46">
        <f>'Original Data'!$B$47</f>
        <v>44</v>
      </c>
      <c r="B46" s="27">
        <f>'Original Data'!$C$47*12</f>
        <v>828</v>
      </c>
      <c r="C46" s="27">
        <f>'Original Data'!$O$47*12</f>
        <v>828</v>
      </c>
      <c r="D46" s="27">
        <f>'Original Data'!$AA$47*12</f>
        <v>828</v>
      </c>
      <c r="E46" s="27">
        <f>'Original Data'!$AM$47*12</f>
        <v>828</v>
      </c>
      <c r="F46">
        <f>IF($E46&gt;10,RANK($E46,$E$3:$E$102,0)+COUNTIF($E$3:$E46,$E46)-1,"N/A")</f>
        <v>85</v>
      </c>
      <c r="G46" s="27">
        <f t="shared" si="4"/>
        <v>-1</v>
      </c>
      <c r="H46" t="str">
        <f>IF($G46&lt;0,"N/A",RANK($G46,$G$3:$G$102,0)+COUNTIF($G$3:$G46,$G46)-1)</f>
        <v>N/A</v>
      </c>
      <c r="I46" s="27">
        <f t="shared" si="5"/>
        <v>-1</v>
      </c>
      <c r="J46" t="str">
        <f>IF($I46&lt;0,"N/A",RANK($I46,$I$3:$I$102,0)+COUNTIF($I$3:$I46,$I46)-1)</f>
        <v>N/A</v>
      </c>
      <c r="K46" s="27">
        <f t="shared" si="6"/>
        <v>-1</v>
      </c>
      <c r="L46" t="str">
        <f>IF($K46&lt;0,"N/A",RANK($K46,$K$3:$K$102,0)+COUNTIF($K$3:$K46,$K46)-1)</f>
        <v>N/A</v>
      </c>
      <c r="M46" s="27">
        <f t="shared" si="7"/>
        <v>-1</v>
      </c>
      <c r="N46" t="str">
        <f>IF($M46&lt;0,"N/A",RANK($M46,$M$3:$M$102,0)+COUNTIF($M$3:$M46,$M46)-1)</f>
        <v>N/A</v>
      </c>
    </row>
    <row r="47" spans="1:14" x14ac:dyDescent="0.25">
      <c r="A47">
        <f>'Original Data'!$B$48</f>
        <v>45</v>
      </c>
      <c r="B47" s="27">
        <f>'Original Data'!$C$48*12</f>
        <v>3997.2000000000003</v>
      </c>
      <c r="C47" s="27">
        <f>'Original Data'!$O$48*12</f>
        <v>3997.2000000000003</v>
      </c>
      <c r="D47" s="27">
        <f>'Original Data'!$AA$48*12</f>
        <v>3997.2000000000003</v>
      </c>
      <c r="E47" s="27">
        <f>'Original Data'!$AM$48*12</f>
        <v>4129.08</v>
      </c>
      <c r="F47">
        <f>IF($E47&gt;10,RANK($E47,$E$3:$E$102,0)+COUNTIF($E$3:$E47,$E47)-1,"N/A")</f>
        <v>13</v>
      </c>
      <c r="G47" s="27">
        <f t="shared" si="4"/>
        <v>-1</v>
      </c>
      <c r="H47" t="str">
        <f>IF($G47&lt;0,"N/A",RANK($G47,$G$3:$G$102,0)+COUNTIF($G$3:$G47,$G47)-1)</f>
        <v>N/A</v>
      </c>
      <c r="I47" s="27">
        <f t="shared" si="5"/>
        <v>131.87999999999965</v>
      </c>
      <c r="J47">
        <f>IF($I47&lt;0,"N/A",RANK($I47,$I$3:$I$102,0)+COUNTIF($I$3:$I47,$I47)-1)</f>
        <v>13</v>
      </c>
      <c r="K47" s="27">
        <f t="shared" si="6"/>
        <v>-1</v>
      </c>
      <c r="L47" t="str">
        <f>IF($K47&lt;0,"N/A",RANK($K47,$K$3:$K$102,0)+COUNTIF($K$3:$K47,$K47)-1)</f>
        <v>N/A</v>
      </c>
      <c r="M47" s="27">
        <f t="shared" si="7"/>
        <v>-1</v>
      </c>
      <c r="N47" t="str">
        <f>IF($M47&lt;0,"N/A",RANK($M47,$M$3:$M$102,0)+COUNTIF($M$3:$M47,$M47)-1)</f>
        <v>N/A</v>
      </c>
    </row>
    <row r="48" spans="1:14" x14ac:dyDescent="0.25">
      <c r="A48">
        <f>'Original Data'!$B$49</f>
        <v>46</v>
      </c>
      <c r="B48" s="27">
        <f>'Original Data'!$C$49*12</f>
        <v>2709.84</v>
      </c>
      <c r="C48" s="27">
        <f>'Original Data'!$O$49*12</f>
        <v>2628</v>
      </c>
      <c r="D48" s="27">
        <f>'Original Data'!$AA$49*12</f>
        <v>2628</v>
      </c>
      <c r="E48" s="27">
        <f>'Original Data'!$AM$49*12</f>
        <v>2720.04</v>
      </c>
      <c r="F48">
        <f>IF($E48&gt;10,RANK($E48,$E$3:$E$102,0)+COUNTIF($E$3:$E48,$E48)-1,"N/A")</f>
        <v>48</v>
      </c>
      <c r="G48" s="27">
        <f t="shared" si="4"/>
        <v>-1</v>
      </c>
      <c r="H48" t="str">
        <f>IF($G48&lt;0,"N/A",RANK($G48,$G$3:$G$102,0)+COUNTIF($G$3:$G48,$G48)-1)</f>
        <v>N/A</v>
      </c>
      <c r="I48" s="27">
        <f t="shared" si="5"/>
        <v>92.039999999999964</v>
      </c>
      <c r="J48">
        <f>IF($I48&lt;0,"N/A",RANK($I48,$I$3:$I$102,0)+COUNTIF($I$3:$I48,$I48)-1)</f>
        <v>33</v>
      </c>
      <c r="K48" s="27">
        <f t="shared" si="6"/>
        <v>-1</v>
      </c>
      <c r="L48" t="str">
        <f>IF($K48&lt;0,"N/A",RANK($K48,$K$3:$K$102,0)+COUNTIF($K$3:$K48,$K48)-1)</f>
        <v>N/A</v>
      </c>
      <c r="M48" s="27">
        <f t="shared" si="7"/>
        <v>-1</v>
      </c>
      <c r="N48" t="str">
        <f>IF($M48&lt;0,"N/A",RANK($M48,$M$3:$M$102,0)+COUNTIF($M$3:$M48,$M48)-1)</f>
        <v>N/A</v>
      </c>
    </row>
    <row r="49" spans="1:14" x14ac:dyDescent="0.25">
      <c r="A49">
        <f>'Original Data'!$B$50</f>
        <v>47</v>
      </c>
      <c r="B49" s="27">
        <f>'Original Data'!$C$50*12</f>
        <v>2028</v>
      </c>
      <c r="C49" s="27">
        <f>'Original Data'!$O$50*12</f>
        <v>2028</v>
      </c>
      <c r="D49" s="27">
        <f>'Original Data'!$AA$50*12</f>
        <v>2148</v>
      </c>
      <c r="E49" s="27">
        <f>'Original Data'!$AM$50*12</f>
        <v>2223.2400000000002</v>
      </c>
      <c r="F49">
        <f>IF($E49&gt;10,RANK($E49,$E$3:$E$102,0)+COUNTIF($E$3:$E49,$E49)-1,"N/A")</f>
        <v>59</v>
      </c>
      <c r="G49" s="27">
        <f t="shared" si="4"/>
        <v>-1</v>
      </c>
      <c r="H49" t="str">
        <f>IF($G49&lt;0,"N/A",RANK($G49,$G$3:$G$102,0)+COUNTIF($G$3:$G49,$G49)-1)</f>
        <v>N/A</v>
      </c>
      <c r="I49" s="27">
        <f t="shared" si="5"/>
        <v>75.240000000000236</v>
      </c>
      <c r="J49">
        <f>IF($I49&lt;0,"N/A",RANK($I49,$I$3:$I$102,0)+COUNTIF($I$3:$I49,$I49)-1)</f>
        <v>41</v>
      </c>
      <c r="K49" s="27">
        <f t="shared" si="6"/>
        <v>-1</v>
      </c>
      <c r="L49" t="str">
        <f>IF($K49&lt;0,"N/A",RANK($K49,$K$3:$K$102,0)+COUNTIF($K$3:$K49,$K49)-1)</f>
        <v>N/A</v>
      </c>
      <c r="M49" s="27">
        <f t="shared" si="7"/>
        <v>-1</v>
      </c>
      <c r="N49" t="str">
        <f>IF($M49&lt;0,"N/A",RANK($M49,$M$3:$M$102,0)+COUNTIF($M$3:$M49,$M49)-1)</f>
        <v>N/A</v>
      </c>
    </row>
    <row r="50" spans="1:14" x14ac:dyDescent="0.25">
      <c r="A50">
        <f>'Original Data'!$B$51</f>
        <v>48</v>
      </c>
      <c r="B50" s="27">
        <f>'Original Data'!$C$51*12</f>
        <v>2388</v>
      </c>
      <c r="C50" s="27">
        <f>'Original Data'!$O$51*12</f>
        <v>3468</v>
      </c>
      <c r="D50" s="27">
        <f>'Original Data'!$AA$51*12</f>
        <v>3468</v>
      </c>
      <c r="E50" s="27">
        <f>'Original Data'!$AM$51*12</f>
        <v>3589.44</v>
      </c>
      <c r="F50">
        <f>IF($E50&gt;10,RANK($E50,$E$3:$E$102,0)+COUNTIF($E$3:$E50,$E50)-1,"N/A")</f>
        <v>22</v>
      </c>
      <c r="G50" s="27">
        <f t="shared" si="4"/>
        <v>-1</v>
      </c>
      <c r="H50" t="str">
        <f>IF($G50&lt;0,"N/A",RANK($G50,$G$3:$G$102,0)+COUNTIF($G$3:$G50,$G50)-1)</f>
        <v>N/A</v>
      </c>
      <c r="I50" s="27">
        <f t="shared" si="5"/>
        <v>121.44000000000005</v>
      </c>
      <c r="J50">
        <f>IF($I50&lt;0,"N/A",RANK($I50,$I$3:$I$102,0)+COUNTIF($I$3:$I50,$I50)-1)</f>
        <v>18</v>
      </c>
      <c r="K50" s="27">
        <f t="shared" si="6"/>
        <v>-1</v>
      </c>
      <c r="L50" t="str">
        <f>IF($K50&lt;0,"N/A",RANK($K50,$K$3:$K$102,0)+COUNTIF($K$3:$K50,$K50)-1)</f>
        <v>N/A</v>
      </c>
      <c r="M50" s="27">
        <f t="shared" si="7"/>
        <v>-1</v>
      </c>
      <c r="N50" t="str">
        <f>IF($M50&lt;0,"N/A",RANK($M50,$M$3:$M$102,0)+COUNTIF($M$3:$M50,$M50)-1)</f>
        <v>N/A</v>
      </c>
    </row>
    <row r="51" spans="1:14" x14ac:dyDescent="0.25">
      <c r="A51">
        <f>'Original Data'!$B$52</f>
        <v>49</v>
      </c>
      <c r="B51" s="27">
        <f>'Original Data'!$C$52*12</f>
        <v>3588</v>
      </c>
      <c r="C51" s="27">
        <f>'Original Data'!$O$52*12</f>
        <v>3408.6000000000004</v>
      </c>
      <c r="D51" s="27">
        <f>'Original Data'!$AA$52*12</f>
        <v>3408.6000000000004</v>
      </c>
      <c r="E51" s="27">
        <f>'Original Data'!$AM$52*12</f>
        <v>3528</v>
      </c>
      <c r="F51">
        <f>IF($E51&gt;10,RANK($E51,$E$3:$E$102,0)+COUNTIF($E$3:$E51,$E51)-1,"N/A")</f>
        <v>26</v>
      </c>
      <c r="G51" s="27">
        <f t="shared" si="4"/>
        <v>-1</v>
      </c>
      <c r="H51" t="str">
        <f>IF($G51&lt;0,"N/A",RANK($G51,$G$3:$G$102,0)+COUNTIF($G$3:$G51,$G51)-1)</f>
        <v>N/A</v>
      </c>
      <c r="I51" s="27">
        <f t="shared" si="5"/>
        <v>119.39999999999964</v>
      </c>
      <c r="J51">
        <f>IF($I51&lt;0,"N/A",RANK($I51,$I$3:$I$102,0)+COUNTIF($I$3:$I51,$I51)-1)</f>
        <v>21</v>
      </c>
      <c r="K51" s="27">
        <f t="shared" si="6"/>
        <v>-1</v>
      </c>
      <c r="L51" t="str">
        <f>IF($K51&lt;0,"N/A",RANK($K51,$K$3:$K$102,0)+COUNTIF($K$3:$K51,$K51)-1)</f>
        <v>N/A</v>
      </c>
      <c r="M51" s="27">
        <f t="shared" si="7"/>
        <v>-1</v>
      </c>
      <c r="N51" t="str">
        <f>IF($M51&lt;0,"N/A",RANK($M51,$M$3:$M$102,0)+COUNTIF($M$3:$M51,$M51)-1)</f>
        <v>N/A</v>
      </c>
    </row>
    <row r="52" spans="1:14" x14ac:dyDescent="0.25">
      <c r="A52">
        <f>'Original Data'!$B$53</f>
        <v>50</v>
      </c>
      <c r="B52" s="27">
        <f>'Original Data'!$C$53*12</f>
        <v>3350.3999999999996</v>
      </c>
      <c r="C52" s="27">
        <f>'Original Data'!$O$53*12</f>
        <v>3349.92</v>
      </c>
      <c r="D52" s="27">
        <f>'Original Data'!$AA$53*12</f>
        <v>3349.92</v>
      </c>
      <c r="E52" s="27">
        <f>'Original Data'!$AM$53*12</f>
        <v>3349.92</v>
      </c>
      <c r="F52">
        <f>IF($E52&gt;10,RANK($E52,$E$3:$E$102,0)+COUNTIF($E$3:$E52,$E52)-1,"N/A")</f>
        <v>37</v>
      </c>
      <c r="G52" s="27">
        <f t="shared" si="4"/>
        <v>-1</v>
      </c>
      <c r="H52" t="str">
        <f>IF($G52&lt;0,"N/A",RANK($G52,$G$3:$G$102,0)+COUNTIF($G$3:$G52,$G52)-1)</f>
        <v>N/A</v>
      </c>
      <c r="I52" s="27">
        <f t="shared" si="5"/>
        <v>-1</v>
      </c>
      <c r="J52" t="str">
        <f>IF($I52&lt;0,"N/A",RANK($I52,$I$3:$I$102,0)+COUNTIF($I$3:$I52,$I52)-1)</f>
        <v>N/A</v>
      </c>
      <c r="K52" s="27">
        <f t="shared" si="6"/>
        <v>-1</v>
      </c>
      <c r="L52" t="str">
        <f>IF($K52&lt;0,"N/A",RANK($K52,$K$3:$K$102,0)+COUNTIF($K$3:$K52,$K52)-1)</f>
        <v>N/A</v>
      </c>
      <c r="M52" s="27">
        <f t="shared" si="7"/>
        <v>-1</v>
      </c>
      <c r="N52" t="str">
        <f>IF($M52&lt;0,"N/A",RANK($M52,$M$3:$M$102,0)+COUNTIF($M$3:$M52,$M52)-1)</f>
        <v>N/A</v>
      </c>
    </row>
    <row r="53" spans="1:14" x14ac:dyDescent="0.25">
      <c r="A53">
        <f>'Original Data'!$B$54</f>
        <v>51</v>
      </c>
      <c r="B53" s="27">
        <f>'Original Data'!$C$54*12</f>
        <v>4188</v>
      </c>
      <c r="C53" s="27">
        <f>'Original Data'!$O$54*12</f>
        <v>4188</v>
      </c>
      <c r="D53" s="27">
        <f>'Original Data'!$AA$54*12</f>
        <v>4188</v>
      </c>
      <c r="E53" s="27">
        <f>'Original Data'!$AM$54*12</f>
        <v>4334.6400000000003</v>
      </c>
      <c r="F53">
        <f>IF($E53&gt;10,RANK($E53,$E$3:$E$102,0)+COUNTIF($E$3:$E53,$E53)-1,"N/A")</f>
        <v>7</v>
      </c>
      <c r="G53" s="27">
        <f t="shared" si="4"/>
        <v>-1</v>
      </c>
      <c r="H53" t="str">
        <f>IF($G53&lt;0,"N/A",RANK($G53,$G$3:$G$102,0)+COUNTIF($G$3:$G53,$G53)-1)</f>
        <v>N/A</v>
      </c>
      <c r="I53" s="27">
        <f t="shared" si="5"/>
        <v>146.64000000000033</v>
      </c>
      <c r="J53">
        <f>IF($I53&lt;0,"N/A",RANK($I53,$I$3:$I$102,0)+COUNTIF($I$3:$I53,$I53)-1)</f>
        <v>7</v>
      </c>
      <c r="K53" s="27">
        <f t="shared" si="6"/>
        <v>-1</v>
      </c>
      <c r="L53" t="str">
        <f>IF($K53&lt;0,"N/A",RANK($K53,$K$3:$K$102,0)+COUNTIF($K$3:$K53,$K53)-1)</f>
        <v>N/A</v>
      </c>
      <c r="M53" s="27">
        <f t="shared" si="7"/>
        <v>-1</v>
      </c>
      <c r="N53" t="str">
        <f>IF($M53&lt;0,"N/A",RANK($M53,$M$3:$M$102,0)+COUNTIF($M$3:$M53,$M53)-1)</f>
        <v>N/A</v>
      </c>
    </row>
    <row r="54" spans="1:14" x14ac:dyDescent="0.25">
      <c r="A54">
        <f>'Original Data'!$B$55</f>
        <v>52</v>
      </c>
      <c r="B54" s="27">
        <f>'Original Data'!$C$55*12</f>
        <v>3468</v>
      </c>
      <c r="C54" s="27">
        <f>'Original Data'!$O$55*12</f>
        <v>3468</v>
      </c>
      <c r="D54" s="27">
        <f>'Original Data'!$AA$55*12</f>
        <v>3468</v>
      </c>
      <c r="E54" s="27">
        <f>'Original Data'!$AM$55*12</f>
        <v>3589.44</v>
      </c>
      <c r="F54">
        <f>IF($E54&gt;10,RANK($E54,$E$3:$E$102,0)+COUNTIF($E$3:$E54,$E54)-1,"N/A")</f>
        <v>23</v>
      </c>
      <c r="G54" s="27">
        <f t="shared" si="4"/>
        <v>-1</v>
      </c>
      <c r="H54" t="str">
        <f>IF($G54&lt;0,"N/A",RANK($G54,$G$3:$G$102,0)+COUNTIF($G$3:$G54,$G54)-1)</f>
        <v>N/A</v>
      </c>
      <c r="I54" s="27">
        <f t="shared" si="5"/>
        <v>121.44000000000005</v>
      </c>
      <c r="J54">
        <f>IF($I54&lt;0,"N/A",RANK($I54,$I$3:$I$102,0)+COUNTIF($I$3:$I54,$I54)-1)</f>
        <v>19</v>
      </c>
      <c r="K54" s="27">
        <f t="shared" si="6"/>
        <v>-1</v>
      </c>
      <c r="L54" t="str">
        <f>IF($K54&lt;0,"N/A",RANK($K54,$K$3:$K$102,0)+COUNTIF($K$3:$K54,$K54)-1)</f>
        <v>N/A</v>
      </c>
      <c r="M54" s="27">
        <f t="shared" si="7"/>
        <v>-1</v>
      </c>
      <c r="N54" t="str">
        <f>IF($M54&lt;0,"N/A",RANK($M54,$M$3:$M$102,0)+COUNTIF($M$3:$M54,$M54)-1)</f>
        <v>N/A</v>
      </c>
    </row>
    <row r="55" spans="1:14" x14ac:dyDescent="0.25">
      <c r="A55">
        <f>'Original Data'!$B$56</f>
        <v>53</v>
      </c>
      <c r="B55" s="27">
        <f>'Original Data'!$C$56*12</f>
        <v>2628</v>
      </c>
      <c r="C55" s="27">
        <f>'Original Data'!$O$56*12</f>
        <v>2628</v>
      </c>
      <c r="D55" s="27">
        <f>'Original Data'!$AA$56*12</f>
        <v>4428</v>
      </c>
      <c r="E55" s="27">
        <f>'Original Data'!$AM$56*12</f>
        <v>4574.6400000000003</v>
      </c>
      <c r="F55">
        <f>IF($E55&gt;10,RANK($E55,$E$3:$E$102,0)+COUNTIF($E$3:$E55,$E55)-1,"N/A")</f>
        <v>4</v>
      </c>
      <c r="G55" s="27">
        <f t="shared" si="4"/>
        <v>-1</v>
      </c>
      <c r="H55" t="str">
        <f>IF($G55&lt;0,"N/A",RANK($G55,$G$3:$G$102,0)+COUNTIF($G$3:$G55,$G55)-1)</f>
        <v>N/A</v>
      </c>
      <c r="I55" s="27">
        <f t="shared" si="5"/>
        <v>146.64000000000033</v>
      </c>
      <c r="J55">
        <f>IF($I55&lt;0,"N/A",RANK($I55,$I$3:$I$102,0)+COUNTIF($I$3:$I55,$I55)-1)</f>
        <v>8</v>
      </c>
      <c r="K55" s="27">
        <f t="shared" si="6"/>
        <v>-1</v>
      </c>
      <c r="L55" t="str">
        <f>IF($K55&lt;0,"N/A",RANK($K55,$K$3:$K$102,0)+COUNTIF($K$3:$K55,$K55)-1)</f>
        <v>N/A</v>
      </c>
      <c r="M55" s="27">
        <f t="shared" si="7"/>
        <v>-1</v>
      </c>
      <c r="N55" t="str">
        <f>IF($M55&lt;0,"N/A",RANK($M55,$M$3:$M$102,0)+COUNTIF($M$3:$M55,$M55)-1)</f>
        <v>N/A</v>
      </c>
    </row>
    <row r="56" spans="1:14" x14ac:dyDescent="0.25">
      <c r="A56">
        <f>'Original Data'!$B$57</f>
        <v>54</v>
      </c>
      <c r="B56" s="27">
        <f>'Original Data'!$C$57*12</f>
        <v>2148</v>
      </c>
      <c r="C56" s="27">
        <f>'Original Data'!$O$57*12</f>
        <v>2148</v>
      </c>
      <c r="D56" s="27">
        <f>'Original Data'!$AA$57*12</f>
        <v>2148</v>
      </c>
      <c r="E56" s="27">
        <f>'Original Data'!$AM$57*12</f>
        <v>2148</v>
      </c>
      <c r="F56">
        <f>IF($E56&gt;10,RANK($E56,$E$3:$E$102,0)+COUNTIF($E$3:$E56,$E56)-1,"N/A")</f>
        <v>70</v>
      </c>
      <c r="G56" s="27">
        <f t="shared" si="4"/>
        <v>-1</v>
      </c>
      <c r="H56" t="str">
        <f>IF($G56&lt;0,"N/A",RANK($G56,$G$3:$G$102,0)+COUNTIF($G$3:$G56,$G56)-1)</f>
        <v>N/A</v>
      </c>
      <c r="I56" s="27">
        <f t="shared" si="5"/>
        <v>-1</v>
      </c>
      <c r="J56" t="str">
        <f>IF($I56&lt;0,"N/A",RANK($I56,$I$3:$I$102,0)+COUNTIF($I$3:$I56,$I56)-1)</f>
        <v>N/A</v>
      </c>
      <c r="K56" s="27">
        <f t="shared" si="6"/>
        <v>-1</v>
      </c>
      <c r="L56" t="str">
        <f>IF($K56&lt;0,"N/A",RANK($K56,$K$3:$K$102,0)+COUNTIF($K$3:$K56,$K56)-1)</f>
        <v>N/A</v>
      </c>
      <c r="M56" s="27">
        <f t="shared" si="7"/>
        <v>-1</v>
      </c>
      <c r="N56" t="str">
        <f>IF($M56&lt;0,"N/A",RANK($M56,$M$3:$M$102,0)+COUNTIF($M$3:$M56,$M56)-1)</f>
        <v>N/A</v>
      </c>
    </row>
    <row r="57" spans="1:14" x14ac:dyDescent="0.25">
      <c r="A57">
        <f>'Original Data'!$B$58</f>
        <v>55</v>
      </c>
      <c r="B57" s="27">
        <f>'Original Data'!$C$58*12</f>
        <v>1222.1999999999998</v>
      </c>
      <c r="C57" s="27">
        <f>'Original Data'!$O$58*12</f>
        <v>1188</v>
      </c>
      <c r="D57" s="27">
        <f>'Original Data'!$AA$58*12</f>
        <v>1188</v>
      </c>
      <c r="E57" s="27">
        <f>'Original Data'!$AM$58*12</f>
        <v>1188</v>
      </c>
      <c r="F57">
        <f>IF($E57&gt;10,RANK($E57,$E$3:$E$102,0)+COUNTIF($E$3:$E57,$E57)-1,"N/A")</f>
        <v>80</v>
      </c>
      <c r="G57" s="27">
        <f t="shared" si="4"/>
        <v>-1</v>
      </c>
      <c r="H57" t="str">
        <f>IF($G57&lt;0,"N/A",RANK($G57,$G$3:$G$102,0)+COUNTIF($G$3:$G57,$G57)-1)</f>
        <v>N/A</v>
      </c>
      <c r="I57" s="27">
        <f t="shared" si="5"/>
        <v>-1</v>
      </c>
      <c r="J57" t="str">
        <f>IF($I57&lt;0,"N/A",RANK($I57,$I$3:$I$102,0)+COUNTIF($I$3:$I57,$I57)-1)</f>
        <v>N/A</v>
      </c>
      <c r="K57" s="27">
        <f t="shared" si="6"/>
        <v>-1</v>
      </c>
      <c r="L57" t="str">
        <f>IF($K57&lt;0,"N/A",RANK($K57,$K$3:$K$102,0)+COUNTIF($K$3:$K57,$K57)-1)</f>
        <v>N/A</v>
      </c>
      <c r="M57" s="27">
        <f t="shared" si="7"/>
        <v>-1</v>
      </c>
      <c r="N57" t="str">
        <f>IF($M57&lt;0,"N/A",RANK($M57,$M$3:$M$102,0)+COUNTIF($M$3:$M57,$M57)-1)</f>
        <v>N/A</v>
      </c>
    </row>
    <row r="58" spans="1:14" x14ac:dyDescent="0.25">
      <c r="A58">
        <f>'Original Data'!$B$59</f>
        <v>56</v>
      </c>
      <c r="B58" s="27">
        <f>'Original Data'!$C$59*12</f>
        <v>3229.2000000000003</v>
      </c>
      <c r="C58" s="27">
        <f>'Original Data'!$O$59*12</f>
        <v>3229.08</v>
      </c>
      <c r="D58" s="27">
        <f>'Original Data'!$AA$59*12</f>
        <v>3229.08</v>
      </c>
      <c r="E58" s="27">
        <f>'Original Data'!$AM$59*12</f>
        <v>3342</v>
      </c>
      <c r="F58">
        <f>IF($E58&gt;10,RANK($E58,$E$3:$E$102,0)+COUNTIF($E$3:$E58,$E58)-1,"N/A")</f>
        <v>38</v>
      </c>
      <c r="G58" s="27">
        <f t="shared" si="4"/>
        <v>-1</v>
      </c>
      <c r="H58" t="str">
        <f>IF($G58&lt;0,"N/A",RANK($G58,$G$3:$G$102,0)+COUNTIF($G$3:$G58,$G58)-1)</f>
        <v>N/A</v>
      </c>
      <c r="I58" s="27">
        <f t="shared" si="5"/>
        <v>112.92000000000007</v>
      </c>
      <c r="J58">
        <f>IF($I58&lt;0,"N/A",RANK($I58,$I$3:$I$102,0)+COUNTIF($I$3:$I58,$I58)-1)</f>
        <v>27</v>
      </c>
      <c r="K58" s="27">
        <f t="shared" si="6"/>
        <v>-1</v>
      </c>
      <c r="L58" t="str">
        <f>IF($K58&lt;0,"N/A",RANK($K58,$K$3:$K$102,0)+COUNTIF($K$3:$K58,$K58)-1)</f>
        <v>N/A</v>
      </c>
      <c r="M58" s="27">
        <f t="shared" si="7"/>
        <v>-1</v>
      </c>
      <c r="N58" t="str">
        <f>IF($M58&lt;0,"N/A",RANK($M58,$M$3:$M$102,0)+COUNTIF($M$3:$M58,$M58)-1)</f>
        <v>N/A</v>
      </c>
    </row>
    <row r="59" spans="1:14" x14ac:dyDescent="0.25">
      <c r="A59">
        <f>'Original Data'!$B$60</f>
        <v>57</v>
      </c>
      <c r="B59" s="27">
        <f>'Original Data'!$C$60*12</f>
        <v>1311.6</v>
      </c>
      <c r="C59" s="27">
        <f>'Original Data'!$O$60*12</f>
        <v>0</v>
      </c>
      <c r="D59" s="27">
        <f>'Original Data'!$AA$60*12</f>
        <v>0</v>
      </c>
      <c r="E59" s="27">
        <f>'Original Data'!$AM$60*12</f>
        <v>0</v>
      </c>
      <c r="F59" t="str">
        <f>IF($E59&gt;10,RANK($E59,$E$3:$E$102,0)+COUNTIF($E$3:$E59,$E59)-1,"N/A")</f>
        <v>N/A</v>
      </c>
      <c r="G59" s="27">
        <f t="shared" si="4"/>
        <v>-1</v>
      </c>
      <c r="H59" t="str">
        <f>IF($G59&lt;0,"N/A",RANK($G59,$G$3:$G$102,0)+COUNTIF($G$3:$G59,$G59)-1)</f>
        <v>N/A</v>
      </c>
      <c r="I59" s="27">
        <f t="shared" si="5"/>
        <v>-1</v>
      </c>
      <c r="J59" t="str">
        <f>IF($I59&lt;0,"N/A",RANK($I59,$I$3:$I$102,0)+COUNTIF($I$3:$I59,$I59)-1)</f>
        <v>N/A</v>
      </c>
      <c r="K59" s="27">
        <f t="shared" si="6"/>
        <v>-1</v>
      </c>
      <c r="L59" t="str">
        <f>IF($K59&lt;0,"N/A",RANK($K59,$K$3:$K$102,0)+COUNTIF($K$3:$K59,$K59)-1)</f>
        <v>N/A</v>
      </c>
      <c r="M59" s="27">
        <f t="shared" si="7"/>
        <v>-1</v>
      </c>
      <c r="N59" t="str">
        <f>IF($M59&lt;0,"N/A",RANK($M59,$M$3:$M$102,0)+COUNTIF($M$3:$M59,$M59)-1)</f>
        <v>N/A</v>
      </c>
    </row>
    <row r="60" spans="1:14" x14ac:dyDescent="0.25">
      <c r="A60">
        <f>'Original Data'!$B$61</f>
        <v>58</v>
      </c>
      <c r="B60" s="27">
        <f>'Original Data'!$C$61*12</f>
        <v>1447.08</v>
      </c>
      <c r="C60" s="27">
        <f>'Original Data'!$O$61*12</f>
        <v>1308</v>
      </c>
      <c r="D60" s="27">
        <f>'Original Data'!$AA$61*12</f>
        <v>1308</v>
      </c>
      <c r="E60" s="27">
        <f>'Original Data'!$AM$61*12</f>
        <v>1308</v>
      </c>
      <c r="F60">
        <f>IF($E60&gt;10,RANK($E60,$E$3:$E$102,0)+COUNTIF($E$3:$E60,$E60)-1,"N/A")</f>
        <v>76</v>
      </c>
      <c r="G60" s="27">
        <f t="shared" si="4"/>
        <v>-1</v>
      </c>
      <c r="H60" t="str">
        <f>IF($G60&lt;0,"N/A",RANK($G60,$G$3:$G$102,0)+COUNTIF($G$3:$G60,$G60)-1)</f>
        <v>N/A</v>
      </c>
      <c r="I60" s="27">
        <f t="shared" si="5"/>
        <v>-1</v>
      </c>
      <c r="J60" t="str">
        <f>IF($I60&lt;0,"N/A",RANK($I60,$I$3:$I$102,0)+COUNTIF($I$3:$I60,$I60)-1)</f>
        <v>N/A</v>
      </c>
      <c r="K60" s="27">
        <f t="shared" si="6"/>
        <v>-1</v>
      </c>
      <c r="L60" t="str">
        <f>IF($K60&lt;0,"N/A",RANK($K60,$K$3:$K$102,0)+COUNTIF($K$3:$K60,$K60)-1)</f>
        <v>N/A</v>
      </c>
      <c r="M60" s="27">
        <f t="shared" si="7"/>
        <v>-1</v>
      </c>
      <c r="N60" t="str">
        <f>IF($M60&lt;0,"N/A",RANK($M60,$M$3:$M$102,0)+COUNTIF($M$3:$M60,$M60)-1)</f>
        <v>N/A</v>
      </c>
    </row>
    <row r="61" spans="1:14" x14ac:dyDescent="0.25">
      <c r="A61">
        <f>'Original Data'!$B$62</f>
        <v>59</v>
      </c>
      <c r="B61" s="27">
        <f>'Original Data'!$C$62*12</f>
        <v>2148</v>
      </c>
      <c r="C61" s="27">
        <f>'Original Data'!$O$62*12</f>
        <v>2148</v>
      </c>
      <c r="D61" s="27">
        <f>'Original Data'!$AA$62*12</f>
        <v>2148</v>
      </c>
      <c r="E61" s="27">
        <f>'Original Data'!$AM$62*12</f>
        <v>2223.2400000000002</v>
      </c>
      <c r="F61">
        <f>IF($E61&gt;10,RANK($E61,$E$3:$E$102,0)+COUNTIF($E$3:$E61,$E61)-1,"N/A")</f>
        <v>60</v>
      </c>
      <c r="G61" s="27">
        <f t="shared" si="4"/>
        <v>-1</v>
      </c>
      <c r="H61" t="str">
        <f>IF($G61&lt;0,"N/A",RANK($G61,$G$3:$G$102,0)+COUNTIF($G$3:$G61,$G61)-1)</f>
        <v>N/A</v>
      </c>
      <c r="I61" s="27">
        <f t="shared" si="5"/>
        <v>75.240000000000236</v>
      </c>
      <c r="J61">
        <f>IF($I61&lt;0,"N/A",RANK($I61,$I$3:$I$102,0)+COUNTIF($I$3:$I61,$I61)-1)</f>
        <v>42</v>
      </c>
      <c r="K61" s="27">
        <f t="shared" si="6"/>
        <v>-1</v>
      </c>
      <c r="L61" t="str">
        <f>IF($K61&lt;0,"N/A",RANK($K61,$K$3:$K$102,0)+COUNTIF($K$3:$K61,$K61)-1)</f>
        <v>N/A</v>
      </c>
      <c r="M61" s="27">
        <f t="shared" si="7"/>
        <v>-1</v>
      </c>
      <c r="N61" t="str">
        <f>IF($M61&lt;0,"N/A",RANK($M61,$M$3:$M$102,0)+COUNTIF($M$3:$M61,$M61)-1)</f>
        <v>N/A</v>
      </c>
    </row>
    <row r="62" spans="1:14" x14ac:dyDescent="0.25">
      <c r="A62">
        <f>'Original Data'!$B$63</f>
        <v>60</v>
      </c>
      <c r="B62" s="27">
        <f>'Original Data'!$C$63*12</f>
        <v>2148</v>
      </c>
      <c r="C62" s="27">
        <f>'Original Data'!$O$63*12</f>
        <v>2148</v>
      </c>
      <c r="D62" s="27">
        <f>'Original Data'!$AA$63*12</f>
        <v>2148</v>
      </c>
      <c r="E62" s="27">
        <f>'Original Data'!$AM$63*12</f>
        <v>2388</v>
      </c>
      <c r="F62">
        <f>IF($E62&gt;10,RANK($E62,$E$3:$E$102,0)+COUNTIF($E$3:$E62,$E62)-1,"N/A")</f>
        <v>51</v>
      </c>
      <c r="G62" s="27">
        <f t="shared" si="4"/>
        <v>-1</v>
      </c>
      <c r="H62" t="str">
        <f>IF($G62&lt;0,"N/A",RANK($G62,$G$3:$G$102,0)+COUNTIF($G$3:$G62,$G62)-1)</f>
        <v>N/A</v>
      </c>
      <c r="I62" s="27">
        <f t="shared" si="5"/>
        <v>240</v>
      </c>
      <c r="J62">
        <f>IF($I62&lt;0,"N/A",RANK($I62,$I$3:$I$102,0)+COUNTIF($I$3:$I62,$I62)-1)</f>
        <v>3</v>
      </c>
      <c r="K62" s="27">
        <f t="shared" si="6"/>
        <v>-1</v>
      </c>
      <c r="L62" t="str">
        <f>IF($K62&lt;0,"N/A",RANK($K62,$K$3:$K$102,0)+COUNTIF($K$3:$K62,$K62)-1)</f>
        <v>N/A</v>
      </c>
      <c r="M62" s="27">
        <f t="shared" si="7"/>
        <v>-1</v>
      </c>
      <c r="N62" t="str">
        <f>IF($M62&lt;0,"N/A",RANK($M62,$M$3:$M$102,0)+COUNTIF($M$3:$M62,$M62)-1)</f>
        <v>N/A</v>
      </c>
    </row>
    <row r="63" spans="1:14" x14ac:dyDescent="0.25">
      <c r="A63">
        <f>'Original Data'!$B$64</f>
        <v>61</v>
      </c>
      <c r="B63" s="27">
        <f>'Original Data'!$C$64*12</f>
        <v>4644</v>
      </c>
      <c r="C63" s="27">
        <f>'Original Data'!$O$64*12</f>
        <v>4644</v>
      </c>
      <c r="D63" s="27">
        <f>'Original Data'!$AA$64*12</f>
        <v>4644</v>
      </c>
      <c r="E63" s="27">
        <f>'Original Data'!$AM$64*12</f>
        <v>4798.5599999999995</v>
      </c>
      <c r="F63">
        <f>IF($E63&gt;10,RANK($E63,$E$3:$E$102,0)+COUNTIF($E$3:$E63,$E63)-1,"N/A")</f>
        <v>1</v>
      </c>
      <c r="G63" s="27">
        <f t="shared" si="4"/>
        <v>-1</v>
      </c>
      <c r="H63" t="str">
        <f>IF($G63&lt;0,"N/A",RANK($G63,$G$3:$G$102,0)+COUNTIF($G$3:$G63,$G63)-1)</f>
        <v>N/A</v>
      </c>
      <c r="I63" s="27">
        <f t="shared" si="5"/>
        <v>154.55999999999949</v>
      </c>
      <c r="J63">
        <f>IF($I63&lt;0,"N/A",RANK($I63,$I$3:$I$102,0)+COUNTIF($I$3:$I63,$I63)-1)</f>
        <v>4</v>
      </c>
      <c r="K63" s="27">
        <f t="shared" si="6"/>
        <v>-1</v>
      </c>
      <c r="L63" t="str">
        <f>IF($K63&lt;0,"N/A",RANK($K63,$K$3:$K$102,0)+COUNTIF($K$3:$K63,$K63)-1)</f>
        <v>N/A</v>
      </c>
      <c r="M63" s="27">
        <f t="shared" si="7"/>
        <v>-1</v>
      </c>
      <c r="N63" t="str">
        <f>IF($M63&lt;0,"N/A",RANK($M63,$M$3:$M$102,0)+COUNTIF($M$3:$M63,$M63)-1)</f>
        <v>N/A</v>
      </c>
    </row>
    <row r="64" spans="1:14" x14ac:dyDescent="0.25">
      <c r="A64">
        <f>'Original Data'!$B$65</f>
        <v>62</v>
      </c>
      <c r="B64" s="27">
        <f>'Original Data'!$C$65*12</f>
        <v>0</v>
      </c>
      <c r="C64" s="27">
        <f>'Original Data'!$O$65*12</f>
        <v>0</v>
      </c>
      <c r="D64" s="27">
        <f>'Original Data'!$AA$65*12</f>
        <v>0</v>
      </c>
      <c r="E64" s="27">
        <f>'Original Data'!$AM$65*12</f>
        <v>4334.6400000000003</v>
      </c>
      <c r="F64">
        <f>IF($E64&gt;10,RANK($E64,$E$3:$E$102,0)+COUNTIF($E$3:$E64,$E64)-1,"N/A")</f>
        <v>8</v>
      </c>
      <c r="G64" s="27">
        <f t="shared" si="4"/>
        <v>4334.6400000000003</v>
      </c>
      <c r="H64">
        <f>IF($G64&lt;0,"N/A",RANK($G64,$G$3:$G$102,0)+COUNTIF($G$3:$G64,$G64)-1)</f>
        <v>1</v>
      </c>
      <c r="I64" s="27">
        <f t="shared" si="5"/>
        <v>-1</v>
      </c>
      <c r="J64" t="str">
        <f>IF($I64&lt;0,"N/A",RANK($I64,$I$3:$I$102,0)+COUNTIF($I$3:$I64,$I64)-1)</f>
        <v>N/A</v>
      </c>
      <c r="K64" s="27">
        <f t="shared" si="6"/>
        <v>-1</v>
      </c>
      <c r="L64" t="str">
        <f>IF($K64&lt;0,"N/A",RANK($K64,$K$3:$K$102,0)+COUNTIF($K$3:$K64,$K64)-1)</f>
        <v>N/A</v>
      </c>
      <c r="M64" s="27">
        <f t="shared" si="7"/>
        <v>-1</v>
      </c>
      <c r="N64" t="str">
        <f>IF($M64&lt;0,"N/A",RANK($M64,$M$3:$M$102,0)+COUNTIF($M$3:$M64,$M64)-1)</f>
        <v>N/A</v>
      </c>
    </row>
    <row r="65" spans="1:14" x14ac:dyDescent="0.25">
      <c r="A65">
        <f>'Original Data'!$B$66</f>
        <v>63</v>
      </c>
      <c r="B65" s="27">
        <f>'Original Data'!$C$66*12</f>
        <v>0</v>
      </c>
      <c r="C65" s="27">
        <f>'Original Data'!$O$66*12</f>
        <v>0</v>
      </c>
      <c r="D65" s="27">
        <f>'Original Data'!$AA$66*12</f>
        <v>0</v>
      </c>
      <c r="E65" s="27">
        <f>'Original Data'!$AM$66*12</f>
        <v>3713.6400000000003</v>
      </c>
      <c r="F65">
        <f>IF($E65&gt;10,RANK($E65,$E$3:$E$102,0)+COUNTIF($E$3:$E65,$E65)-1,"N/A")</f>
        <v>16</v>
      </c>
      <c r="G65" s="27">
        <f t="shared" si="4"/>
        <v>3713.6400000000003</v>
      </c>
      <c r="H65">
        <f>IF($G65&lt;0,"N/A",RANK($G65,$G$3:$G$102,0)+COUNTIF($G$3:$G65,$G65)-1)</f>
        <v>3</v>
      </c>
      <c r="I65" s="27">
        <f t="shared" si="5"/>
        <v>-1</v>
      </c>
      <c r="J65" t="str">
        <f>IF($I65&lt;0,"N/A",RANK($I65,$I$3:$I$102,0)+COUNTIF($I$3:$I65,$I65)-1)</f>
        <v>N/A</v>
      </c>
      <c r="K65" s="27">
        <f t="shared" si="6"/>
        <v>-1</v>
      </c>
      <c r="L65" t="str">
        <f>IF($K65&lt;0,"N/A",RANK($K65,$K$3:$K$102,0)+COUNTIF($K$3:$K65,$K65)-1)</f>
        <v>N/A</v>
      </c>
      <c r="M65" s="27">
        <f t="shared" si="7"/>
        <v>-1</v>
      </c>
      <c r="N65" t="str">
        <f>IF($M65&lt;0,"N/A",RANK($M65,$M$3:$M$102,0)+COUNTIF($M$3:$M65,$M65)-1)</f>
        <v>N/A</v>
      </c>
    </row>
    <row r="66" spans="1:14" x14ac:dyDescent="0.25">
      <c r="A66">
        <f>'Original Data'!$B$67</f>
        <v>64</v>
      </c>
      <c r="B66" s="27">
        <f>'Original Data'!$C$67*12</f>
        <v>0</v>
      </c>
      <c r="C66" s="27">
        <f>'Original Data'!$O$67*12</f>
        <v>0</v>
      </c>
      <c r="D66" s="27">
        <f>'Original Data'!$AA$67*12</f>
        <v>0</v>
      </c>
      <c r="E66" s="27">
        <f>'Original Data'!$AM$67*12</f>
        <v>3713.6400000000003</v>
      </c>
      <c r="F66">
        <f>IF($E66&gt;10,RANK($E66,$E$3:$E$102,0)+COUNTIF($E$3:$E66,$E66)-1,"N/A")</f>
        <v>17</v>
      </c>
      <c r="G66" s="27">
        <f t="shared" si="4"/>
        <v>3713.6400000000003</v>
      </c>
      <c r="H66">
        <f>IF($G66&lt;0,"N/A",RANK($G66,$G$3:$G$102,0)+COUNTIF($G$3:$G66,$G66)-1)</f>
        <v>4</v>
      </c>
      <c r="I66" s="27">
        <f t="shared" si="5"/>
        <v>-1</v>
      </c>
      <c r="J66" t="str">
        <f>IF($I66&lt;0,"N/A",RANK($I66,$I$3:$I$102,0)+COUNTIF($I$3:$I66,$I66)-1)</f>
        <v>N/A</v>
      </c>
      <c r="K66" s="27">
        <f t="shared" si="6"/>
        <v>-1</v>
      </c>
      <c r="L66" t="str">
        <f>IF($K66&lt;0,"N/A",RANK($K66,$K$3:$K$102,0)+COUNTIF($K$3:$K66,$K66)-1)</f>
        <v>N/A</v>
      </c>
      <c r="M66" s="27">
        <f t="shared" si="7"/>
        <v>-1</v>
      </c>
      <c r="N66" t="str">
        <f>IF($M66&lt;0,"N/A",RANK($M66,$M$3:$M$102,0)+COUNTIF($M$3:$M66,$M66)-1)</f>
        <v>N/A</v>
      </c>
    </row>
    <row r="67" spans="1:14" x14ac:dyDescent="0.25">
      <c r="A67">
        <f>'Original Data'!$B$68</f>
        <v>65</v>
      </c>
      <c r="B67" s="27">
        <f>'Original Data'!$C$68*12</f>
        <v>0</v>
      </c>
      <c r="C67" s="27">
        <f>'Original Data'!$O$68*12</f>
        <v>0</v>
      </c>
      <c r="D67" s="27">
        <f>'Original Data'!$AA$68*12</f>
        <v>0</v>
      </c>
      <c r="E67" s="27">
        <f>'Original Data'!$AM$68*12</f>
        <v>2223.2400000000002</v>
      </c>
      <c r="F67">
        <f>IF($E67&gt;10,RANK($E67,$E$3:$E$102,0)+COUNTIF($E$3:$E67,$E67)-1,"N/A")</f>
        <v>61</v>
      </c>
      <c r="G67" s="27">
        <f t="shared" ref="G67:G102" si="8">IF(AND($D67&lt;=0,$E67&gt;0,$E67&gt;10),$E67,-1)</f>
        <v>2223.2400000000002</v>
      </c>
      <c r="H67">
        <f>IF($G67&lt;0,"N/A",RANK($G67,$G$3:$G$102,0)+COUNTIF($G$3:$G67,$G67)-1)</f>
        <v>6</v>
      </c>
      <c r="I67" s="27">
        <f t="shared" ref="I67:I102" si="9">IF(AND($D67&gt;0,$E67&gt;0,$E67&gt;$D67),$E67-$D67,-1)</f>
        <v>-1</v>
      </c>
      <c r="J67" t="str">
        <f>IF($I67&lt;0,"N/A",RANK($I67,$I$3:$I$102,0)+COUNTIF($I$3:$I67,$I67)-1)</f>
        <v>N/A</v>
      </c>
      <c r="K67" s="27">
        <f t="shared" ref="K67:K102" si="10">IF(AND($D67&gt;10,$E67&gt;0,$E67&lt;$D67),$D67-$E67,-1)</f>
        <v>-1</v>
      </c>
      <c r="L67" t="str">
        <f>IF($K67&lt;0,"N/A",RANK($K67,$K$3:$K$102,0)+COUNTIF($K$3:$K67,$K67)-1)</f>
        <v>N/A</v>
      </c>
      <c r="M67" s="27">
        <f t="shared" ref="M67:M102" si="11">IF(AND($D67&gt;0,$E67&lt;=0,$D67&gt;10),$D67,-1)</f>
        <v>-1</v>
      </c>
      <c r="N67" t="str">
        <f>IF($M67&lt;0,"N/A",RANK($M67,$M$3:$M$102,0)+COUNTIF($M$3:$M67,$M67)-1)</f>
        <v>N/A</v>
      </c>
    </row>
    <row r="68" spans="1:14" x14ac:dyDescent="0.25">
      <c r="A68">
        <f>'Original Data'!$B$69</f>
        <v>66</v>
      </c>
      <c r="B68" s="27">
        <f>'Original Data'!$C$69*12</f>
        <v>0</v>
      </c>
      <c r="C68" s="27">
        <f>'Original Data'!$O$69*12</f>
        <v>0</v>
      </c>
      <c r="D68" s="27">
        <f>'Original Data'!$AA$69*12</f>
        <v>0</v>
      </c>
      <c r="E68" s="27">
        <f>'Original Data'!$AM$69*12</f>
        <v>0</v>
      </c>
      <c r="F68" t="str">
        <f>IF($E68&gt;10,RANK($E68,$E$3:$E$102,0)+COUNTIF($E$3:$E68,$E68)-1,"N/A")</f>
        <v>N/A</v>
      </c>
      <c r="G68" s="27">
        <f t="shared" si="8"/>
        <v>-1</v>
      </c>
      <c r="H68" t="str">
        <f>IF($G68&lt;0,"N/A",RANK($G68,$G$3:$G$102,0)+COUNTIF($G$3:$G68,$G68)-1)</f>
        <v>N/A</v>
      </c>
      <c r="I68" s="27">
        <f t="shared" si="9"/>
        <v>-1</v>
      </c>
      <c r="J68" t="str">
        <f>IF($I68&lt;0,"N/A",RANK($I68,$I$3:$I$102,0)+COUNTIF($I$3:$I68,$I68)-1)</f>
        <v>N/A</v>
      </c>
      <c r="K68" s="27">
        <f t="shared" si="10"/>
        <v>-1</v>
      </c>
      <c r="L68" t="str">
        <f>IF($K68&lt;0,"N/A",RANK($K68,$K$3:$K$102,0)+COUNTIF($K$3:$K68,$K68)-1)</f>
        <v>N/A</v>
      </c>
      <c r="M68" s="27">
        <f t="shared" si="11"/>
        <v>-1</v>
      </c>
      <c r="N68" t="str">
        <f>IF($M68&lt;0,"N/A",RANK($M68,$M$3:$M$102,0)+COUNTIF($M$3:$M68,$M68)-1)</f>
        <v>N/A</v>
      </c>
    </row>
    <row r="69" spans="1:14" x14ac:dyDescent="0.25">
      <c r="A69">
        <f>'Original Data'!$B$70</f>
        <v>67</v>
      </c>
      <c r="B69" s="27">
        <f>'Original Data'!$C$70*12</f>
        <v>0</v>
      </c>
      <c r="C69" s="27">
        <f>'Original Data'!$O$70*12</f>
        <v>0</v>
      </c>
      <c r="D69" s="27">
        <f>'Original Data'!$AA$70*12</f>
        <v>0</v>
      </c>
      <c r="E69" s="27">
        <f>'Original Data'!$AM$70*12</f>
        <v>3092.6400000000003</v>
      </c>
      <c r="F69">
        <f>IF($E69&gt;10,RANK($E69,$E$3:$E$102,0)+COUNTIF($E$3:$E69,$E69)-1,"N/A")</f>
        <v>39</v>
      </c>
      <c r="G69" s="27">
        <f t="shared" si="8"/>
        <v>3092.6400000000003</v>
      </c>
      <c r="H69">
        <f>IF($G69&lt;0,"N/A",RANK($G69,$G$3:$G$102,0)+COUNTIF($G$3:$G69,$G69)-1)</f>
        <v>5</v>
      </c>
      <c r="I69" s="27">
        <f t="shared" si="9"/>
        <v>-1</v>
      </c>
      <c r="J69" t="str">
        <f>IF($I69&lt;0,"N/A",RANK($I69,$I$3:$I$102,0)+COUNTIF($I$3:$I69,$I69)-1)</f>
        <v>N/A</v>
      </c>
      <c r="K69" s="27">
        <f t="shared" si="10"/>
        <v>-1</v>
      </c>
      <c r="L69" t="str">
        <f>IF($K69&lt;0,"N/A",RANK($K69,$K$3:$K$102,0)+COUNTIF($K$3:$K69,$K69)-1)</f>
        <v>N/A</v>
      </c>
      <c r="M69" s="27">
        <f t="shared" si="11"/>
        <v>-1</v>
      </c>
      <c r="N69" t="str">
        <f>IF($M69&lt;0,"N/A",RANK($M69,$M$3:$M$102,0)+COUNTIF($M$3:$M69,$M69)-1)</f>
        <v>N/A</v>
      </c>
    </row>
    <row r="70" spans="1:14" x14ac:dyDescent="0.25">
      <c r="A70">
        <f>'Original Data'!$B$71</f>
        <v>68</v>
      </c>
      <c r="B70" s="27">
        <f>'Original Data'!$C$71*12</f>
        <v>0</v>
      </c>
      <c r="C70" s="27">
        <f>'Original Data'!$O$71*12</f>
        <v>0</v>
      </c>
      <c r="D70" s="27">
        <f>'Original Data'!$AA$71*12</f>
        <v>0</v>
      </c>
      <c r="E70" s="27">
        <f>'Original Data'!$AM$71*12</f>
        <v>4334.6400000000003</v>
      </c>
      <c r="F70">
        <f>IF($E70&gt;10,RANK($E70,$E$3:$E$102,0)+COUNTIF($E$3:$E70,$E70)-1,"N/A")</f>
        <v>9</v>
      </c>
      <c r="G70" s="27">
        <f t="shared" si="8"/>
        <v>4334.6400000000003</v>
      </c>
      <c r="H70">
        <f>IF($G70&lt;0,"N/A",RANK($G70,$G$3:$G$102,0)+COUNTIF($G$3:$G70,$G70)-1)</f>
        <v>2</v>
      </c>
      <c r="I70" s="27">
        <f t="shared" si="9"/>
        <v>-1</v>
      </c>
      <c r="J70" t="str">
        <f>IF($I70&lt;0,"N/A",RANK($I70,$I$3:$I$102,0)+COUNTIF($I$3:$I70,$I70)-1)</f>
        <v>N/A</v>
      </c>
      <c r="K70" s="27">
        <f t="shared" si="10"/>
        <v>-1</v>
      </c>
      <c r="L70" t="str">
        <f>IF($K70&lt;0,"N/A",RANK($K70,$K$3:$K$102,0)+COUNTIF($K$3:$K70,$K70)-1)</f>
        <v>N/A</v>
      </c>
      <c r="M70" s="27">
        <f t="shared" si="11"/>
        <v>-1</v>
      </c>
      <c r="N70" t="str">
        <f>IF($M70&lt;0,"N/A",RANK($M70,$M$3:$M$102,0)+COUNTIF($M$3:$M70,$M70)-1)</f>
        <v>N/A</v>
      </c>
    </row>
    <row r="71" spans="1:14" x14ac:dyDescent="0.25">
      <c r="A71">
        <f>'Original Data'!$B$72</f>
        <v>69</v>
      </c>
      <c r="B71" s="27">
        <f>'Original Data'!$C$72*12</f>
        <v>0</v>
      </c>
      <c r="C71" s="27">
        <f>'Original Data'!$O$72*12</f>
        <v>0</v>
      </c>
      <c r="D71" s="27">
        <f>'Original Data'!$AA$72*12</f>
        <v>0</v>
      </c>
      <c r="E71" s="27">
        <f>'Original Data'!$AM$72*12</f>
        <v>0</v>
      </c>
      <c r="F71" t="str">
        <f>IF($E71&gt;10,RANK($E71,$E$3:$E$102,0)+COUNTIF($E$3:$E71,$E71)-1,"N/A")</f>
        <v>N/A</v>
      </c>
      <c r="G71" s="27">
        <f t="shared" si="8"/>
        <v>-1</v>
      </c>
      <c r="H71" t="str">
        <f>IF($G71&lt;0,"N/A",RANK($G71,$G$3:$G$102,0)+COUNTIF($G$3:$G71,$G71)-1)</f>
        <v>N/A</v>
      </c>
      <c r="I71" s="27">
        <f t="shared" si="9"/>
        <v>-1</v>
      </c>
      <c r="J71" t="str">
        <f>IF($I71&lt;0,"N/A",RANK($I71,$I$3:$I$102,0)+COUNTIF($I$3:$I71,$I71)-1)</f>
        <v>N/A</v>
      </c>
      <c r="K71" s="27">
        <f t="shared" si="10"/>
        <v>-1</v>
      </c>
      <c r="L71" t="str">
        <f>IF($K71&lt;0,"N/A",RANK($K71,$K$3:$K$102,0)+COUNTIF($K$3:$K71,$K71)-1)</f>
        <v>N/A</v>
      </c>
      <c r="M71" s="27">
        <f t="shared" si="11"/>
        <v>-1</v>
      </c>
      <c r="N71" t="str">
        <f>IF($M71&lt;0,"N/A",RANK($M71,$M$3:$M$102,0)+COUNTIF($M$3:$M71,$M71)-1)</f>
        <v>N/A</v>
      </c>
    </row>
    <row r="72" spans="1:14" x14ac:dyDescent="0.25">
      <c r="A72">
        <f>'Original Data'!$B$73</f>
        <v>70</v>
      </c>
      <c r="B72" s="27">
        <f>'Original Data'!$C$73*12</f>
        <v>0</v>
      </c>
      <c r="C72" s="27">
        <f>'Original Data'!$O$73*12</f>
        <v>0</v>
      </c>
      <c r="D72" s="27">
        <f>'Original Data'!$AA$73*12</f>
        <v>0</v>
      </c>
      <c r="E72" s="27">
        <f>'Original Data'!$AM$73*12</f>
        <v>2223.2400000000002</v>
      </c>
      <c r="F72">
        <f>IF($E72&gt;10,RANK($E72,$E$3:$E$102,0)+COUNTIF($E$3:$E72,$E72)-1,"N/A")</f>
        <v>62</v>
      </c>
      <c r="G72" s="27">
        <f t="shared" si="8"/>
        <v>2223.2400000000002</v>
      </c>
      <c r="H72">
        <f>IF($G72&lt;0,"N/A",RANK($G72,$G$3:$G$102,0)+COUNTIF($G$3:$G72,$G72)-1)</f>
        <v>7</v>
      </c>
      <c r="I72" s="27">
        <f t="shared" si="9"/>
        <v>-1</v>
      </c>
      <c r="J72" t="str">
        <f>IF($I72&lt;0,"N/A",RANK($I72,$I$3:$I$102,0)+COUNTIF($I$3:$I72,$I72)-1)</f>
        <v>N/A</v>
      </c>
      <c r="K72" s="27">
        <f t="shared" si="10"/>
        <v>-1</v>
      </c>
      <c r="L72" t="str">
        <f>IF($K72&lt;0,"N/A",RANK($K72,$K$3:$K$102,0)+COUNTIF($K$3:$K72,$K72)-1)</f>
        <v>N/A</v>
      </c>
      <c r="M72" s="27">
        <f t="shared" si="11"/>
        <v>-1</v>
      </c>
      <c r="N72" t="str">
        <f>IF($M72&lt;0,"N/A",RANK($M72,$M$3:$M$102,0)+COUNTIF($M$3:$M72,$M72)-1)</f>
        <v>N/A</v>
      </c>
    </row>
    <row r="73" spans="1:14" x14ac:dyDescent="0.25">
      <c r="A73">
        <f>'Original Data'!$B$74</f>
        <v>71</v>
      </c>
      <c r="B73" s="27">
        <f>'Original Data'!$C$74*12</f>
        <v>3588</v>
      </c>
      <c r="C73" s="27">
        <f>'Original Data'!$O$74*12</f>
        <v>0</v>
      </c>
      <c r="D73" s="27">
        <f>'Original Data'!$AA$74*12</f>
        <v>0</v>
      </c>
      <c r="E73" s="27">
        <f>'Original Data'!$AM$74*12</f>
        <v>0</v>
      </c>
      <c r="F73" t="str">
        <f>IF($E73&gt;10,RANK($E73,$E$3:$E$102,0)+COUNTIF($E$3:$E73,$E73)-1,"N/A")</f>
        <v>N/A</v>
      </c>
      <c r="G73" s="27">
        <f t="shared" si="8"/>
        <v>-1</v>
      </c>
      <c r="H73" t="str">
        <f>IF($G73&lt;0,"N/A",RANK($G73,$G$3:$G$102,0)+COUNTIF($G$3:$G73,$G73)-1)</f>
        <v>N/A</v>
      </c>
      <c r="I73" s="27">
        <f t="shared" si="9"/>
        <v>-1</v>
      </c>
      <c r="J73" t="str">
        <f>IF($I73&lt;0,"N/A",RANK($I73,$I$3:$I$102,0)+COUNTIF($I$3:$I73,$I73)-1)</f>
        <v>N/A</v>
      </c>
      <c r="K73" s="27">
        <f t="shared" si="10"/>
        <v>-1</v>
      </c>
      <c r="L73" t="str">
        <f>IF($K73&lt;0,"N/A",RANK($K73,$K$3:$K$102,0)+COUNTIF($K$3:$K73,$K73)-1)</f>
        <v>N/A</v>
      </c>
      <c r="M73" s="27">
        <f t="shared" si="11"/>
        <v>-1</v>
      </c>
      <c r="N73" t="str">
        <f>IF($M73&lt;0,"N/A",RANK($M73,$M$3:$M$102,0)+COUNTIF($M$3:$M73,$M73)-1)</f>
        <v>N/A</v>
      </c>
    </row>
    <row r="74" spans="1:14" x14ac:dyDescent="0.25">
      <c r="A74">
        <f>'Original Data'!$B$75</f>
        <v>72</v>
      </c>
      <c r="B74" s="27">
        <f>'Original Data'!$C$75*12</f>
        <v>3457.7999999999997</v>
      </c>
      <c r="C74" s="27">
        <f>'Original Data'!$O$75*12</f>
        <v>3457.7999999999997</v>
      </c>
      <c r="D74" s="27">
        <f>'Original Data'!$AA$75*12</f>
        <v>3457.7999999999997</v>
      </c>
      <c r="E74" s="27">
        <f>'Original Data'!$AM$75*12</f>
        <v>3457.7999999999997</v>
      </c>
      <c r="F74">
        <f>IF($E74&gt;10,RANK($E74,$E$3:$E$102,0)+COUNTIF($E$3:$E74,$E74)-1,"N/A")</f>
        <v>34</v>
      </c>
      <c r="G74" s="27">
        <f t="shared" si="8"/>
        <v>-1</v>
      </c>
      <c r="H74" t="str">
        <f>IF($G74&lt;0,"N/A",RANK($G74,$G$3:$G$102,0)+COUNTIF($G$3:$G74,$G74)-1)</f>
        <v>N/A</v>
      </c>
      <c r="I74" s="27">
        <f t="shared" si="9"/>
        <v>-1</v>
      </c>
      <c r="J74" t="str">
        <f>IF($I74&lt;0,"N/A",RANK($I74,$I$3:$I$102,0)+COUNTIF($I$3:$I74,$I74)-1)</f>
        <v>N/A</v>
      </c>
      <c r="K74" s="27">
        <f t="shared" si="10"/>
        <v>-1</v>
      </c>
      <c r="L74" t="str">
        <f>IF($K74&lt;0,"N/A",RANK($K74,$K$3:$K$102,0)+COUNTIF($K$3:$K74,$K74)-1)</f>
        <v>N/A</v>
      </c>
      <c r="M74" s="27">
        <f t="shared" si="11"/>
        <v>-1</v>
      </c>
      <c r="N74" t="str">
        <f>IF($M74&lt;0,"N/A",RANK($M74,$M$3:$M$102,0)+COUNTIF($M$3:$M74,$M74)-1)</f>
        <v>N/A</v>
      </c>
    </row>
    <row r="75" spans="1:14" x14ac:dyDescent="0.25">
      <c r="A75">
        <f>'Original Data'!$B$76</f>
        <v>73</v>
      </c>
      <c r="B75" s="27">
        <f>'Original Data'!$C$76*12</f>
        <v>2348.04</v>
      </c>
      <c r="C75" s="27">
        <f>'Original Data'!$O$76*12</f>
        <v>3978.6000000000004</v>
      </c>
      <c r="D75" s="27">
        <f>'Original Data'!$AA$76*12</f>
        <v>3978.6000000000004</v>
      </c>
      <c r="E75" s="27">
        <f>'Original Data'!$AM$76*12</f>
        <v>4117.92</v>
      </c>
      <c r="F75">
        <f>IF($E75&gt;10,RANK($E75,$E$3:$E$102,0)+COUNTIF($E$3:$E75,$E75)-1,"N/A")</f>
        <v>14</v>
      </c>
      <c r="G75" s="27">
        <f t="shared" si="8"/>
        <v>-1</v>
      </c>
      <c r="H75" t="str">
        <f>IF($G75&lt;0,"N/A",RANK($G75,$G$3:$G$102,0)+COUNTIF($G$3:$G75,$G75)-1)</f>
        <v>N/A</v>
      </c>
      <c r="I75" s="27">
        <f t="shared" si="9"/>
        <v>139.31999999999971</v>
      </c>
      <c r="J75">
        <f>IF($I75&lt;0,"N/A",RANK($I75,$I$3:$I$102,0)+COUNTIF($I$3:$I75,$I75)-1)</f>
        <v>12</v>
      </c>
      <c r="K75" s="27">
        <f t="shared" si="10"/>
        <v>-1</v>
      </c>
      <c r="L75" t="str">
        <f>IF($K75&lt;0,"N/A",RANK($K75,$K$3:$K$102,0)+COUNTIF($K$3:$K75,$K75)-1)</f>
        <v>N/A</v>
      </c>
      <c r="M75" s="27">
        <f t="shared" si="11"/>
        <v>-1</v>
      </c>
      <c r="N75" t="str">
        <f>IF($M75&lt;0,"N/A",RANK($M75,$M$3:$M$102,0)+COUNTIF($M$3:$M75,$M75)-1)</f>
        <v>N/A</v>
      </c>
    </row>
    <row r="76" spans="1:14" x14ac:dyDescent="0.25">
      <c r="A76">
        <f>'Original Data'!$B$77</f>
        <v>74</v>
      </c>
      <c r="B76" s="27">
        <f>'Original Data'!$C$77*12</f>
        <v>1339.32</v>
      </c>
      <c r="C76" s="27">
        <f>'Original Data'!$O$77*12</f>
        <v>1548</v>
      </c>
      <c r="D76" s="27">
        <f>'Original Data'!$AA$77*12</f>
        <v>0</v>
      </c>
      <c r="E76" s="27">
        <f>'Original Data'!$AM$77*12</f>
        <v>0</v>
      </c>
      <c r="F76" t="str">
        <f>IF($E76&gt;10,RANK($E76,$E$3:$E$102,0)+COUNTIF($E$3:$E76,$E76)-1,"N/A")</f>
        <v>N/A</v>
      </c>
      <c r="G76" s="27">
        <f t="shared" si="8"/>
        <v>-1</v>
      </c>
      <c r="H76" t="str">
        <f>IF($G76&lt;0,"N/A",RANK($G76,$G$3:$G$102,0)+COUNTIF($G$3:$G76,$G76)-1)</f>
        <v>N/A</v>
      </c>
      <c r="I76" s="27">
        <f t="shared" si="9"/>
        <v>-1</v>
      </c>
      <c r="J76" t="str">
        <f>IF($I76&lt;0,"N/A",RANK($I76,$I$3:$I$102,0)+COUNTIF($I$3:$I76,$I76)-1)</f>
        <v>N/A</v>
      </c>
      <c r="K76" s="27">
        <f t="shared" si="10"/>
        <v>-1</v>
      </c>
      <c r="L76" t="str">
        <f>IF($K76&lt;0,"N/A",RANK($K76,$K$3:$K$102,0)+COUNTIF($K$3:$K76,$K76)-1)</f>
        <v>N/A</v>
      </c>
      <c r="M76" s="27">
        <f t="shared" si="11"/>
        <v>-1</v>
      </c>
      <c r="N76" t="str">
        <f>IF($M76&lt;0,"N/A",RANK($M76,$M$3:$M$102,0)+COUNTIF($M$3:$M76,$M76)-1)</f>
        <v>N/A</v>
      </c>
    </row>
    <row r="77" spans="1:14" x14ac:dyDescent="0.25">
      <c r="A77">
        <f>'Original Data'!$B$78</f>
        <v>75</v>
      </c>
      <c r="B77" s="27">
        <f>'Original Data'!$C$78*12</f>
        <v>2148</v>
      </c>
      <c r="C77" s="27">
        <f>'Original Data'!$O$78*12</f>
        <v>2148</v>
      </c>
      <c r="D77" s="27">
        <f>'Original Data'!$AA$78*12</f>
        <v>2148</v>
      </c>
      <c r="E77" s="27">
        <f>'Original Data'!$AM$78*12</f>
        <v>2223.2400000000002</v>
      </c>
      <c r="F77">
        <f>IF($E77&gt;10,RANK($E77,$E$3:$E$102,0)+COUNTIF($E$3:$E77,$E77)-1,"N/A")</f>
        <v>63</v>
      </c>
      <c r="G77" s="27">
        <f t="shared" si="8"/>
        <v>-1</v>
      </c>
      <c r="H77" t="str">
        <f>IF($G77&lt;0,"N/A",RANK($G77,$G$3:$G$102,0)+COUNTIF($G$3:$G77,$G77)-1)</f>
        <v>N/A</v>
      </c>
      <c r="I77" s="27">
        <f t="shared" si="9"/>
        <v>75.240000000000236</v>
      </c>
      <c r="J77">
        <f>IF($I77&lt;0,"N/A",RANK($I77,$I$3:$I$102,0)+COUNTIF($I$3:$I77,$I77)-1)</f>
        <v>43</v>
      </c>
      <c r="K77" s="27">
        <f t="shared" si="10"/>
        <v>-1</v>
      </c>
      <c r="L77" t="str">
        <f>IF($K77&lt;0,"N/A",RANK($K77,$K$3:$K$102,0)+COUNTIF($K$3:$K77,$K77)-1)</f>
        <v>N/A</v>
      </c>
      <c r="M77" s="27">
        <f t="shared" si="11"/>
        <v>-1</v>
      </c>
      <c r="N77" t="str">
        <f>IF($M77&lt;0,"N/A",RANK($M77,$M$3:$M$102,0)+COUNTIF($M$3:$M77,$M77)-1)</f>
        <v>N/A</v>
      </c>
    </row>
    <row r="78" spans="1:14" x14ac:dyDescent="0.25">
      <c r="A78">
        <f>'Original Data'!$B$79</f>
        <v>76</v>
      </c>
      <c r="B78" s="27">
        <f>'Original Data'!$C$79*12</f>
        <v>3877.2000000000003</v>
      </c>
      <c r="C78" s="27">
        <f>'Original Data'!$O$79*12</f>
        <v>3920.2799999999997</v>
      </c>
      <c r="D78" s="27">
        <f>'Original Data'!$AA$79*12</f>
        <v>4049.5199999999995</v>
      </c>
      <c r="E78" s="27">
        <f>'Original Data'!$AM$79*12</f>
        <v>4191.3599999999997</v>
      </c>
      <c r="F78">
        <f>IF($E78&gt;10,RANK($E78,$E$3:$E$102,0)+COUNTIF($E$3:$E78,$E78)-1,"N/A")</f>
        <v>12</v>
      </c>
      <c r="G78" s="27">
        <f t="shared" si="8"/>
        <v>-1</v>
      </c>
      <c r="H78" t="str">
        <f>IF($G78&lt;0,"N/A",RANK($G78,$G$3:$G$102,0)+COUNTIF($G$3:$G78,$G78)-1)</f>
        <v>N/A</v>
      </c>
      <c r="I78" s="27">
        <f t="shared" si="9"/>
        <v>141.84000000000015</v>
      </c>
      <c r="J78">
        <f>IF($I78&lt;0,"N/A",RANK($I78,$I$3:$I$102,0)+COUNTIF($I$3:$I78,$I78)-1)</f>
        <v>11</v>
      </c>
      <c r="K78" s="27">
        <f t="shared" si="10"/>
        <v>-1</v>
      </c>
      <c r="L78" t="str">
        <f>IF($K78&lt;0,"N/A",RANK($K78,$K$3:$K$102,0)+COUNTIF($K$3:$K78,$K78)-1)</f>
        <v>N/A</v>
      </c>
      <c r="M78" s="27">
        <f t="shared" si="11"/>
        <v>-1</v>
      </c>
      <c r="N78" t="str">
        <f>IF($M78&lt;0,"N/A",RANK($M78,$M$3:$M$102,0)+COUNTIF($M$3:$M78,$M78)-1)</f>
        <v>N/A</v>
      </c>
    </row>
    <row r="79" spans="1:14" x14ac:dyDescent="0.25">
      <c r="A79">
        <f>'Original Data'!$B$80</f>
        <v>77</v>
      </c>
      <c r="B79" s="27">
        <f>'Original Data'!$C$80*12</f>
        <v>3457.7999999999997</v>
      </c>
      <c r="C79" s="27">
        <f>'Original Data'!$O$80*12</f>
        <v>3457.7999999999997</v>
      </c>
      <c r="D79" s="27">
        <f>'Original Data'!$AA$80*12</f>
        <v>3457.7999999999997</v>
      </c>
      <c r="E79" s="27">
        <f>'Original Data'!$AM$80*12</f>
        <v>3457.7999999999997</v>
      </c>
      <c r="F79">
        <f>IF($E79&gt;10,RANK($E79,$E$3:$E$102,0)+COUNTIF($E$3:$E79,$E79)-1,"N/A")</f>
        <v>35</v>
      </c>
      <c r="G79" s="27">
        <f t="shared" si="8"/>
        <v>-1</v>
      </c>
      <c r="H79" t="str">
        <f>IF($G79&lt;0,"N/A",RANK($G79,$G$3:$G$102,0)+COUNTIF($G$3:$G79,$G79)-1)</f>
        <v>N/A</v>
      </c>
      <c r="I79" s="27">
        <f t="shared" si="9"/>
        <v>-1</v>
      </c>
      <c r="J79" t="str">
        <f>IF($I79&lt;0,"N/A",RANK($I79,$I$3:$I$102,0)+COUNTIF($I$3:$I79,$I79)-1)</f>
        <v>N/A</v>
      </c>
      <c r="K79" s="27">
        <f t="shared" si="10"/>
        <v>-1</v>
      </c>
      <c r="L79" t="str">
        <f>IF($K79&lt;0,"N/A",RANK($K79,$K$3:$K$102,0)+COUNTIF($K$3:$K79,$K79)-1)</f>
        <v>N/A</v>
      </c>
      <c r="M79" s="27">
        <f t="shared" si="11"/>
        <v>-1</v>
      </c>
      <c r="N79" t="str">
        <f>IF($M79&lt;0,"N/A",RANK($M79,$M$3:$M$102,0)+COUNTIF($M$3:$M79,$M79)-1)</f>
        <v>N/A</v>
      </c>
    </row>
    <row r="80" spans="1:14" x14ac:dyDescent="0.25">
      <c r="A80">
        <f>'Original Data'!$B$81</f>
        <v>78</v>
      </c>
      <c r="B80" s="27">
        <f>'Original Data'!$C$81*12</f>
        <v>2628</v>
      </c>
      <c r="C80" s="27">
        <f>'Original Data'!$O$81*12</f>
        <v>2628</v>
      </c>
      <c r="D80" s="27">
        <f>'Original Data'!$AA$81*12</f>
        <v>2148</v>
      </c>
      <c r="E80" s="27">
        <f>'Original Data'!$AM$81*12</f>
        <v>2223.2400000000002</v>
      </c>
      <c r="F80">
        <f>IF($E80&gt;10,RANK($E80,$E$3:$E$102,0)+COUNTIF($E$3:$E80,$E80)-1,"N/A")</f>
        <v>64</v>
      </c>
      <c r="G80" s="27">
        <f t="shared" si="8"/>
        <v>-1</v>
      </c>
      <c r="H80" t="str">
        <f>IF($G80&lt;0,"N/A",RANK($G80,$G$3:$G$102,0)+COUNTIF($G$3:$G80,$G80)-1)</f>
        <v>N/A</v>
      </c>
      <c r="I80" s="27">
        <f t="shared" si="9"/>
        <v>75.240000000000236</v>
      </c>
      <c r="J80">
        <f>IF($I80&lt;0,"N/A",RANK($I80,$I$3:$I$102,0)+COUNTIF($I$3:$I80,$I80)-1)</f>
        <v>44</v>
      </c>
      <c r="K80" s="27">
        <f t="shared" si="10"/>
        <v>-1</v>
      </c>
      <c r="L80" t="str">
        <f>IF($K80&lt;0,"N/A",RANK($K80,$K$3:$K$102,0)+COUNTIF($K$3:$K80,$K80)-1)</f>
        <v>N/A</v>
      </c>
      <c r="M80" s="27">
        <f t="shared" si="11"/>
        <v>-1</v>
      </c>
      <c r="N80" t="str">
        <f>IF($M80&lt;0,"N/A",RANK($M80,$M$3:$M$102,0)+COUNTIF($M$3:$M80,$M80)-1)</f>
        <v>N/A</v>
      </c>
    </row>
    <row r="81" spans="1:14" x14ac:dyDescent="0.25">
      <c r="A81">
        <f>'Original Data'!$B$82</f>
        <v>79</v>
      </c>
      <c r="B81" s="27">
        <f>'Original Data'!$C$82*12</f>
        <v>3049.8</v>
      </c>
      <c r="C81" s="27">
        <f>'Original Data'!$O$82*12</f>
        <v>3049.8</v>
      </c>
      <c r="D81" s="27">
        <f>'Original Data'!$AA$82*12</f>
        <v>3049.8</v>
      </c>
      <c r="E81" s="27">
        <f>'Original Data'!$AM$82*12</f>
        <v>3049.8</v>
      </c>
      <c r="F81">
        <f>IF($E81&gt;10,RANK($E81,$E$3:$E$102,0)+COUNTIF($E$3:$E81,$E81)-1,"N/A")</f>
        <v>42</v>
      </c>
      <c r="G81" s="27">
        <f t="shared" si="8"/>
        <v>-1</v>
      </c>
      <c r="H81" t="str">
        <f>IF($G81&lt;0,"N/A",RANK($G81,$G$3:$G$102,0)+COUNTIF($G$3:$G81,$G81)-1)</f>
        <v>N/A</v>
      </c>
      <c r="I81" s="27">
        <f t="shared" si="9"/>
        <v>-1</v>
      </c>
      <c r="J81" t="str">
        <f>IF($I81&lt;0,"N/A",RANK($I81,$I$3:$I$102,0)+COUNTIF($I$3:$I81,$I81)-1)</f>
        <v>N/A</v>
      </c>
      <c r="K81" s="27">
        <f t="shared" si="10"/>
        <v>-1</v>
      </c>
      <c r="L81" t="str">
        <f>IF($K81&lt;0,"N/A",RANK($K81,$K$3:$K$102,0)+COUNTIF($K$3:$K81,$K81)-1)</f>
        <v>N/A</v>
      </c>
      <c r="M81" s="27">
        <f t="shared" si="11"/>
        <v>-1</v>
      </c>
      <c r="N81" t="str">
        <f>IF($M81&lt;0,"N/A",RANK($M81,$M$3:$M$102,0)+COUNTIF($M$3:$M81,$M81)-1)</f>
        <v>N/A</v>
      </c>
    </row>
    <row r="82" spans="1:14" x14ac:dyDescent="0.25">
      <c r="A82">
        <f>'Original Data'!$B$83</f>
        <v>80</v>
      </c>
      <c r="B82" s="27">
        <f>'Original Data'!$C$83*12</f>
        <v>2148</v>
      </c>
      <c r="C82" s="27">
        <f>'Original Data'!$O$83*12</f>
        <v>2148</v>
      </c>
      <c r="D82" s="27">
        <f>'Original Data'!$AA$83*12</f>
        <v>2223.2400000000002</v>
      </c>
      <c r="E82" s="27">
        <f>'Original Data'!$AM$83*12</f>
        <v>2301</v>
      </c>
      <c r="F82">
        <f>IF($E82&gt;10,RANK($E82,$E$3:$E$102,0)+COUNTIF($E$3:$E82,$E82)-1,"N/A")</f>
        <v>53</v>
      </c>
      <c r="G82" s="27">
        <f t="shared" si="8"/>
        <v>-1</v>
      </c>
      <c r="H82" t="str">
        <f>IF($G82&lt;0,"N/A",RANK($G82,$G$3:$G$102,0)+COUNTIF($G$3:$G82,$G82)-1)</f>
        <v>N/A</v>
      </c>
      <c r="I82" s="27">
        <f t="shared" si="9"/>
        <v>77.759999999999764</v>
      </c>
      <c r="J82">
        <f>IF($I82&lt;0,"N/A",RANK($I82,$I$3:$I$102,0)+COUNTIF($I$3:$I82,$I82)-1)</f>
        <v>37</v>
      </c>
      <c r="K82" s="27">
        <f t="shared" si="10"/>
        <v>-1</v>
      </c>
      <c r="L82" t="str">
        <f>IF($K82&lt;0,"N/A",RANK($K82,$K$3:$K$102,0)+COUNTIF($K$3:$K82,$K82)-1)</f>
        <v>N/A</v>
      </c>
      <c r="M82" s="27">
        <f t="shared" si="11"/>
        <v>-1</v>
      </c>
      <c r="N82" t="str">
        <f>IF($M82&lt;0,"N/A",RANK($M82,$M$3:$M$102,0)+COUNTIF($M$3:$M82,$M82)-1)</f>
        <v>N/A</v>
      </c>
    </row>
    <row r="83" spans="1:14" x14ac:dyDescent="0.25">
      <c r="A83">
        <f>'Original Data'!$B$84</f>
        <v>81</v>
      </c>
      <c r="B83" s="27">
        <f>'Original Data'!$C$84*12</f>
        <v>2388</v>
      </c>
      <c r="C83" s="27">
        <f>'Original Data'!$O$84*12</f>
        <v>1788</v>
      </c>
      <c r="D83" s="27">
        <f>'Original Data'!$AA$84*12</f>
        <v>1788</v>
      </c>
      <c r="E83" s="27">
        <f>'Original Data'!$AM$84*12</f>
        <v>1850.6399999999999</v>
      </c>
      <c r="F83">
        <f>IF($E83&gt;10,RANK($E83,$E$3:$E$102,0)+COUNTIF($E$3:$E83,$E83)-1,"N/A")</f>
        <v>72</v>
      </c>
      <c r="G83" s="27">
        <f t="shared" si="8"/>
        <v>-1</v>
      </c>
      <c r="H83" t="str">
        <f>IF($G83&lt;0,"N/A",RANK($G83,$G$3:$G$102,0)+COUNTIF($G$3:$G83,$G83)-1)</f>
        <v>N/A</v>
      </c>
      <c r="I83" s="27">
        <f t="shared" si="9"/>
        <v>62.639999999999873</v>
      </c>
      <c r="J83">
        <f>IF($I83&lt;0,"N/A",RANK($I83,$I$3:$I$102,0)+COUNTIF($I$3:$I83,$I83)-1)</f>
        <v>48</v>
      </c>
      <c r="K83" s="27">
        <f t="shared" si="10"/>
        <v>-1</v>
      </c>
      <c r="L83" t="str">
        <f>IF($K83&lt;0,"N/A",RANK($K83,$K$3:$K$102,0)+COUNTIF($K$3:$K83,$K83)-1)</f>
        <v>N/A</v>
      </c>
      <c r="M83" s="27">
        <f t="shared" si="11"/>
        <v>-1</v>
      </c>
      <c r="N83" t="str">
        <f>IF($M83&lt;0,"N/A",RANK($M83,$M$3:$M$102,0)+COUNTIF($M$3:$M83,$M83)-1)</f>
        <v>N/A</v>
      </c>
    </row>
    <row r="84" spans="1:14" x14ac:dyDescent="0.25">
      <c r="A84">
        <f>'Original Data'!$B$85</f>
        <v>82</v>
      </c>
      <c r="B84" s="27">
        <f>'Original Data'!$C$85*12</f>
        <v>3348</v>
      </c>
      <c r="C84" s="27">
        <f>'Original Data'!$O$85*12</f>
        <v>3348</v>
      </c>
      <c r="D84" s="27">
        <f>'Original Data'!$AA$85*12</f>
        <v>3348</v>
      </c>
      <c r="E84" s="27">
        <f>'Original Data'!$AM$85*12</f>
        <v>3465.24</v>
      </c>
      <c r="F84">
        <f>IF($E84&gt;10,RANK($E84,$E$3:$E$102,0)+COUNTIF($E$3:$E84,$E84)-1,"N/A")</f>
        <v>33</v>
      </c>
      <c r="G84" s="27">
        <f t="shared" si="8"/>
        <v>-1</v>
      </c>
      <c r="H84" t="str">
        <f>IF($G84&lt;0,"N/A",RANK($G84,$G$3:$G$102,0)+COUNTIF($G$3:$G84,$G84)-1)</f>
        <v>N/A</v>
      </c>
      <c r="I84" s="27">
        <f t="shared" si="9"/>
        <v>117.23999999999978</v>
      </c>
      <c r="J84">
        <f>IF($I84&lt;0,"N/A",RANK($I84,$I$3:$I$102,0)+COUNTIF($I$3:$I84,$I84)-1)</f>
        <v>26</v>
      </c>
      <c r="K84" s="27">
        <f t="shared" si="10"/>
        <v>-1</v>
      </c>
      <c r="L84" t="str">
        <f>IF($K84&lt;0,"N/A",RANK($K84,$K$3:$K$102,0)+COUNTIF($K$3:$K84,$K84)-1)</f>
        <v>N/A</v>
      </c>
      <c r="M84" s="27">
        <f t="shared" si="11"/>
        <v>-1</v>
      </c>
      <c r="N84" t="str">
        <f>IF($M84&lt;0,"N/A",RANK($M84,$M$3:$M$102,0)+COUNTIF($M$3:$M84,$M84)-1)</f>
        <v>N/A</v>
      </c>
    </row>
    <row r="85" spans="1:14" x14ac:dyDescent="0.25">
      <c r="A85">
        <f>'Original Data'!$B$86</f>
        <v>83</v>
      </c>
      <c r="B85" s="27">
        <f>'Original Data'!$C$86*12</f>
        <v>1594.44</v>
      </c>
      <c r="C85" s="27">
        <f>'Original Data'!$O$86*12</f>
        <v>1428</v>
      </c>
      <c r="D85" s="27">
        <f>'Original Data'!$AA$86*12</f>
        <v>1428</v>
      </c>
      <c r="E85" s="27">
        <f>'Original Data'!$AM$86*12</f>
        <v>1428</v>
      </c>
      <c r="F85">
        <f>IF($E85&gt;10,RANK($E85,$E$3:$E$102,0)+COUNTIF($E$3:$E85,$E85)-1,"N/A")</f>
        <v>74</v>
      </c>
      <c r="G85" s="27">
        <f t="shared" si="8"/>
        <v>-1</v>
      </c>
      <c r="H85" t="str">
        <f>IF($G85&lt;0,"N/A",RANK($G85,$G$3:$G$102,0)+COUNTIF($G$3:$G85,$G85)-1)</f>
        <v>N/A</v>
      </c>
      <c r="I85" s="27">
        <f t="shared" si="9"/>
        <v>-1</v>
      </c>
      <c r="J85" t="str">
        <f>IF($I85&lt;0,"N/A",RANK($I85,$I$3:$I$102,0)+COUNTIF($I$3:$I85,$I85)-1)</f>
        <v>N/A</v>
      </c>
      <c r="K85" s="27">
        <f t="shared" si="10"/>
        <v>-1</v>
      </c>
      <c r="L85" t="str">
        <f>IF($K85&lt;0,"N/A",RANK($K85,$K$3:$K$102,0)+COUNTIF($K$3:$K85,$K85)-1)</f>
        <v>N/A</v>
      </c>
      <c r="M85" s="27">
        <f t="shared" si="11"/>
        <v>-1</v>
      </c>
      <c r="N85" t="str">
        <f>IF($M85&lt;0,"N/A",RANK($M85,$M$3:$M$102,0)+COUNTIF($M$3:$M85,$M85)-1)</f>
        <v>N/A</v>
      </c>
    </row>
    <row r="86" spans="1:14" x14ac:dyDescent="0.25">
      <c r="A86">
        <f>'Original Data'!$B$87</f>
        <v>84</v>
      </c>
      <c r="B86" s="27">
        <f>'Original Data'!$C$87*12</f>
        <v>1417.44</v>
      </c>
      <c r="C86" s="27">
        <f>'Original Data'!$O$87*12</f>
        <v>1308</v>
      </c>
      <c r="D86" s="27">
        <f>'Original Data'!$AA$87*12</f>
        <v>1308</v>
      </c>
      <c r="E86" s="27">
        <f>'Original Data'!$AM$87*12</f>
        <v>1308</v>
      </c>
      <c r="F86">
        <f>IF($E86&gt;10,RANK($E86,$E$3:$E$102,0)+COUNTIF($E$3:$E86,$E86)-1,"N/A")</f>
        <v>77</v>
      </c>
      <c r="G86" s="27">
        <f t="shared" si="8"/>
        <v>-1</v>
      </c>
      <c r="H86" t="str">
        <f>IF($G86&lt;0,"N/A",RANK($G86,$G$3:$G$102,0)+COUNTIF($G$3:$G86,$G86)-1)</f>
        <v>N/A</v>
      </c>
      <c r="I86" s="27">
        <f t="shared" si="9"/>
        <v>-1</v>
      </c>
      <c r="J86" t="str">
        <f>IF($I86&lt;0,"N/A",RANK($I86,$I$3:$I$102,0)+COUNTIF($I$3:$I86,$I86)-1)</f>
        <v>N/A</v>
      </c>
      <c r="K86" s="27">
        <f t="shared" si="10"/>
        <v>-1</v>
      </c>
      <c r="L86" t="str">
        <f>IF($K86&lt;0,"N/A",RANK($K86,$K$3:$K$102,0)+COUNTIF($K$3:$K86,$K86)-1)</f>
        <v>N/A</v>
      </c>
      <c r="M86" s="27">
        <f t="shared" si="11"/>
        <v>-1</v>
      </c>
      <c r="N86" t="str">
        <f>IF($M86&lt;0,"N/A",RANK($M86,$M$3:$M$102,0)+COUNTIF($M$3:$M86,$M86)-1)</f>
        <v>N/A</v>
      </c>
    </row>
    <row r="87" spans="1:14" x14ac:dyDescent="0.25">
      <c r="A87">
        <f>'Original Data'!$B$88</f>
        <v>85</v>
      </c>
      <c r="B87" s="27">
        <f>'Original Data'!$C$88*12</f>
        <v>3588</v>
      </c>
      <c r="C87" s="27">
        <f>'Original Data'!$O$88*12</f>
        <v>3588</v>
      </c>
      <c r="D87" s="27">
        <f>'Original Data'!$AA$88*12</f>
        <v>3588</v>
      </c>
      <c r="E87" s="27">
        <f>'Original Data'!$AM$88*12</f>
        <v>3713.6400000000003</v>
      </c>
      <c r="F87">
        <f>IF($E87&gt;10,RANK($E87,$E$3:$E$102,0)+COUNTIF($E$3:$E87,$E87)-1,"N/A")</f>
        <v>18</v>
      </c>
      <c r="G87" s="27">
        <f t="shared" si="8"/>
        <v>-1</v>
      </c>
      <c r="H87" t="str">
        <f>IF($G87&lt;0,"N/A",RANK($G87,$G$3:$G$102,0)+COUNTIF($G$3:$G87,$G87)-1)</f>
        <v>N/A</v>
      </c>
      <c r="I87" s="27">
        <f t="shared" si="9"/>
        <v>125.64000000000033</v>
      </c>
      <c r="J87">
        <f>IF($I87&lt;0,"N/A",RANK($I87,$I$3:$I$102,0)+COUNTIF($I$3:$I87,$I87)-1)</f>
        <v>15</v>
      </c>
      <c r="K87" s="27">
        <f t="shared" si="10"/>
        <v>-1</v>
      </c>
      <c r="L87" t="str">
        <f>IF($K87&lt;0,"N/A",RANK($K87,$K$3:$K$102,0)+COUNTIF($K$3:$K87,$K87)-1)</f>
        <v>N/A</v>
      </c>
      <c r="M87" s="27">
        <f t="shared" si="11"/>
        <v>-1</v>
      </c>
      <c r="N87" t="str">
        <f>IF($M87&lt;0,"N/A",RANK($M87,$M$3:$M$102,0)+COUNTIF($M$3:$M87,$M87)-1)</f>
        <v>N/A</v>
      </c>
    </row>
    <row r="88" spans="1:14" x14ac:dyDescent="0.25">
      <c r="A88">
        <f>'Original Data'!$B$89</f>
        <v>86</v>
      </c>
      <c r="B88" s="27">
        <f>'Original Data'!$C$89*12</f>
        <v>2148</v>
      </c>
      <c r="C88" s="27">
        <f>'Original Data'!$O$89*12</f>
        <v>2148</v>
      </c>
      <c r="D88" s="27">
        <f>'Original Data'!$AA$89*12</f>
        <v>2148</v>
      </c>
      <c r="E88" s="27">
        <f>'Original Data'!$AM$89*12</f>
        <v>1200</v>
      </c>
      <c r="F88">
        <f>IF($E88&gt;10,RANK($E88,$E$3:$E$102,0)+COUNTIF($E$3:$E88,$E88)-1,"N/A")</f>
        <v>79</v>
      </c>
      <c r="G88" s="27">
        <f t="shared" si="8"/>
        <v>-1</v>
      </c>
      <c r="H88" t="str">
        <f>IF($G88&lt;0,"N/A",RANK($G88,$G$3:$G$102,0)+COUNTIF($G$3:$G88,$G88)-1)</f>
        <v>N/A</v>
      </c>
      <c r="I88" s="27">
        <f t="shared" si="9"/>
        <v>-1</v>
      </c>
      <c r="J88" t="str">
        <f>IF($I88&lt;0,"N/A",RANK($I88,$I$3:$I$102,0)+COUNTIF($I$3:$I88,$I88)-1)</f>
        <v>N/A</v>
      </c>
      <c r="K88" s="27">
        <f t="shared" si="10"/>
        <v>948</v>
      </c>
      <c r="L88">
        <f>IF($K88&lt;0,"N/A",RANK($K88,$K$3:$K$102,0)+COUNTIF($K$3:$K88,$K88)-1)</f>
        <v>2</v>
      </c>
      <c r="M88" s="27">
        <f t="shared" si="11"/>
        <v>-1</v>
      </c>
      <c r="N88" t="str">
        <f>IF($M88&lt;0,"N/A",RANK($M88,$M$3:$M$102,0)+COUNTIF($M$3:$M88,$M88)-1)</f>
        <v>N/A</v>
      </c>
    </row>
    <row r="89" spans="1:14" x14ac:dyDescent="0.25">
      <c r="A89">
        <f>'Original Data'!$B$90</f>
        <v>87</v>
      </c>
      <c r="B89" s="27">
        <f>'Original Data'!$C$90*12</f>
        <v>2148</v>
      </c>
      <c r="C89" s="27">
        <f>'Original Data'!$O$90*12</f>
        <v>2148</v>
      </c>
      <c r="D89" s="27">
        <f>'Original Data'!$AA$90*12</f>
        <v>2148</v>
      </c>
      <c r="E89" s="27">
        <f>'Original Data'!$AM$90*12</f>
        <v>2223.2400000000002</v>
      </c>
      <c r="F89">
        <f>IF($E89&gt;10,RANK($E89,$E$3:$E$102,0)+COUNTIF($E$3:$E89,$E89)-1,"N/A")</f>
        <v>65</v>
      </c>
      <c r="G89" s="27">
        <f t="shared" si="8"/>
        <v>-1</v>
      </c>
      <c r="H89" t="str">
        <f>IF($G89&lt;0,"N/A",RANK($G89,$G$3:$G$102,0)+COUNTIF($G$3:$G89,$G89)-1)</f>
        <v>N/A</v>
      </c>
      <c r="I89" s="27">
        <f t="shared" si="9"/>
        <v>75.240000000000236</v>
      </c>
      <c r="J89">
        <f>IF($I89&lt;0,"N/A",RANK($I89,$I$3:$I$102,0)+COUNTIF($I$3:$I89,$I89)-1)</f>
        <v>45</v>
      </c>
      <c r="K89" s="27">
        <f t="shared" si="10"/>
        <v>-1</v>
      </c>
      <c r="L89" t="str">
        <f>IF($K89&lt;0,"N/A",RANK($K89,$K$3:$K$102,0)+COUNTIF($K$3:$K89,$K89)-1)</f>
        <v>N/A</v>
      </c>
      <c r="M89" s="27">
        <f t="shared" si="11"/>
        <v>-1</v>
      </c>
      <c r="N89" t="str">
        <f>IF($M89&lt;0,"N/A",RANK($M89,$M$3:$M$102,0)+COUNTIF($M$3:$M89,$M89)-1)</f>
        <v>N/A</v>
      </c>
    </row>
    <row r="90" spans="1:14" x14ac:dyDescent="0.25">
      <c r="A90">
        <f>'Original Data'!$B$91</f>
        <v>88</v>
      </c>
      <c r="B90" s="27">
        <f>'Original Data'!$C$91*12</f>
        <v>2463.7200000000003</v>
      </c>
      <c r="C90" s="27">
        <f>'Original Data'!$O$91*12</f>
        <v>0</v>
      </c>
      <c r="D90" s="27">
        <f>'Original Data'!$AA$91*12</f>
        <v>0</v>
      </c>
      <c r="E90" s="27">
        <f>'Original Data'!$AM$91*12</f>
        <v>0</v>
      </c>
      <c r="F90" t="str">
        <f>IF($E90&gt;10,RANK($E90,$E$3:$E$102,0)+COUNTIF($E$3:$E90,$E90)-1,"N/A")</f>
        <v>N/A</v>
      </c>
      <c r="G90" s="27">
        <f t="shared" si="8"/>
        <v>-1</v>
      </c>
      <c r="H90" t="str">
        <f>IF($G90&lt;0,"N/A",RANK($G90,$G$3:$G$102,0)+COUNTIF($G$3:$G90,$G90)-1)</f>
        <v>N/A</v>
      </c>
      <c r="I90" s="27">
        <f t="shared" si="9"/>
        <v>-1</v>
      </c>
      <c r="J90" t="str">
        <f>IF($I90&lt;0,"N/A",RANK($I90,$I$3:$I$102,0)+COUNTIF($I$3:$I90,$I90)-1)</f>
        <v>N/A</v>
      </c>
      <c r="K90" s="27">
        <f t="shared" si="10"/>
        <v>-1</v>
      </c>
      <c r="L90" t="str">
        <f>IF($K90&lt;0,"N/A",RANK($K90,$K$3:$K$102,0)+COUNTIF($K$3:$K90,$K90)-1)</f>
        <v>N/A</v>
      </c>
      <c r="M90" s="27">
        <f t="shared" si="11"/>
        <v>-1</v>
      </c>
      <c r="N90" t="str">
        <f>IF($M90&lt;0,"N/A",RANK($M90,$M$3:$M$102,0)+COUNTIF($M$3:$M90,$M90)-1)</f>
        <v>N/A</v>
      </c>
    </row>
    <row r="91" spans="1:14" x14ac:dyDescent="0.25">
      <c r="A91">
        <f>'Original Data'!$B$92</f>
        <v>89</v>
      </c>
      <c r="B91" s="27">
        <f>'Original Data'!$C$92*12</f>
        <v>2300.64</v>
      </c>
      <c r="C91" s="27">
        <f>'Original Data'!$O$92*12</f>
        <v>0</v>
      </c>
      <c r="D91" s="27">
        <f>'Original Data'!$AA$92*12</f>
        <v>0</v>
      </c>
      <c r="E91" s="27">
        <f>'Original Data'!$AM$92*12</f>
        <v>0</v>
      </c>
      <c r="F91" t="str">
        <f>IF($E91&gt;10,RANK($E91,$E$3:$E$102,0)+COUNTIF($E$3:$E91,$E91)-1,"N/A")</f>
        <v>N/A</v>
      </c>
      <c r="G91" s="27">
        <f t="shared" si="8"/>
        <v>-1</v>
      </c>
      <c r="H91" t="str">
        <f>IF($G91&lt;0,"N/A",RANK($G91,$G$3:$G$102,0)+COUNTIF($G$3:$G91,$G91)-1)</f>
        <v>N/A</v>
      </c>
      <c r="I91" s="27">
        <f t="shared" si="9"/>
        <v>-1</v>
      </c>
      <c r="J91" t="str">
        <f>IF($I91&lt;0,"N/A",RANK($I91,$I$3:$I$102,0)+COUNTIF($I$3:$I91,$I91)-1)</f>
        <v>N/A</v>
      </c>
      <c r="K91" s="27">
        <f t="shared" si="10"/>
        <v>-1</v>
      </c>
      <c r="L91" t="str">
        <f>IF($K91&lt;0,"N/A",RANK($K91,$K$3:$K$102,0)+COUNTIF($K$3:$K91,$K91)-1)</f>
        <v>N/A</v>
      </c>
      <c r="M91" s="27">
        <f t="shared" si="11"/>
        <v>-1</v>
      </c>
      <c r="N91" t="str">
        <f>IF($M91&lt;0,"N/A",RANK($M91,$M$3:$M$102,0)+COUNTIF($M$3:$M91,$M91)-1)</f>
        <v>N/A</v>
      </c>
    </row>
    <row r="92" spans="1:14" x14ac:dyDescent="0.25">
      <c r="A92">
        <f>'Original Data'!$B$93</f>
        <v>90</v>
      </c>
      <c r="B92" s="27">
        <f>'Original Data'!$C$93*12</f>
        <v>2040.6000000000001</v>
      </c>
      <c r="C92" s="27">
        <f>'Original Data'!$O$93*12</f>
        <v>2148</v>
      </c>
      <c r="D92" s="27">
        <f>'Original Data'!$AA$93*12</f>
        <v>2148</v>
      </c>
      <c r="E92" s="27">
        <f>'Original Data'!$AM$93*12</f>
        <v>2301</v>
      </c>
      <c r="F92">
        <f>IF($E92&gt;10,RANK($E92,$E$3:$E$102,0)+COUNTIF($E$3:$E92,$E92)-1,"N/A")</f>
        <v>54</v>
      </c>
      <c r="G92" s="27">
        <f t="shared" si="8"/>
        <v>-1</v>
      </c>
      <c r="H92" t="str">
        <f>IF($G92&lt;0,"N/A",RANK($G92,$G$3:$G$102,0)+COUNTIF($G$3:$G92,$G92)-1)</f>
        <v>N/A</v>
      </c>
      <c r="I92" s="27">
        <f t="shared" si="9"/>
        <v>153</v>
      </c>
      <c r="J92">
        <f>IF($I92&lt;0,"N/A",RANK($I92,$I$3:$I$102,0)+COUNTIF($I$3:$I92,$I92)-1)</f>
        <v>5</v>
      </c>
      <c r="K92" s="27">
        <f t="shared" si="10"/>
        <v>-1</v>
      </c>
      <c r="L92" t="str">
        <f>IF($K92&lt;0,"N/A",RANK($K92,$K$3:$K$102,0)+COUNTIF($K$3:$K92,$K92)-1)</f>
        <v>N/A</v>
      </c>
      <c r="M92" s="27">
        <f t="shared" si="11"/>
        <v>-1</v>
      </c>
      <c r="N92" t="str">
        <f>IF($M92&lt;0,"N/A",RANK($M92,$M$3:$M$102,0)+COUNTIF($M$3:$M92,$M92)-1)</f>
        <v>N/A</v>
      </c>
    </row>
    <row r="93" spans="1:14" x14ac:dyDescent="0.25">
      <c r="A93">
        <f>'Original Data'!$B$94</f>
        <v>91</v>
      </c>
      <c r="B93" s="27">
        <f>'Original Data'!$C$94*12</f>
        <v>4188</v>
      </c>
      <c r="C93" s="27">
        <f>'Original Data'!$O$94*12</f>
        <v>4188</v>
      </c>
      <c r="D93" s="27">
        <f>'Original Data'!$AA$94*12</f>
        <v>4188</v>
      </c>
      <c r="E93" s="27">
        <f>'Original Data'!$AM$94*12</f>
        <v>4334.6400000000003</v>
      </c>
      <c r="F93">
        <f>IF($E93&gt;10,RANK($E93,$E$3:$E$102,0)+COUNTIF($E$3:$E93,$E93)-1,"N/A")</f>
        <v>10</v>
      </c>
      <c r="G93" s="27">
        <f t="shared" si="8"/>
        <v>-1</v>
      </c>
      <c r="H93" t="str">
        <f>IF($G93&lt;0,"N/A",RANK($G93,$G$3:$G$102,0)+COUNTIF($G$3:$G93,$G93)-1)</f>
        <v>N/A</v>
      </c>
      <c r="I93" s="27">
        <f t="shared" si="9"/>
        <v>146.64000000000033</v>
      </c>
      <c r="J93">
        <f>IF($I93&lt;0,"N/A",RANK($I93,$I$3:$I$102,0)+COUNTIF($I$3:$I93,$I93)-1)</f>
        <v>9</v>
      </c>
      <c r="K93" s="27">
        <f t="shared" si="10"/>
        <v>-1</v>
      </c>
      <c r="L93" t="str">
        <f>IF($K93&lt;0,"N/A",RANK($K93,$K$3:$K$102,0)+COUNTIF($K$3:$K93,$K93)-1)</f>
        <v>N/A</v>
      </c>
      <c r="M93" s="27">
        <f t="shared" si="11"/>
        <v>-1</v>
      </c>
      <c r="N93" t="str">
        <f>IF($M93&lt;0,"N/A",RANK($M93,$M$3:$M$102,0)+COUNTIF($M$3:$M93,$M93)-1)</f>
        <v>N/A</v>
      </c>
    </row>
    <row r="94" spans="1:14" x14ac:dyDescent="0.25">
      <c r="A94">
        <f>'Original Data'!$B$95</f>
        <v>92</v>
      </c>
      <c r="B94" s="27">
        <f>'Original Data'!$C$95*12</f>
        <v>1758</v>
      </c>
      <c r="C94" s="27">
        <f>'Original Data'!$O$95*12</f>
        <v>2724.6000000000004</v>
      </c>
      <c r="D94" s="27">
        <f>'Original Data'!$AA$95*12</f>
        <v>2724.6000000000004</v>
      </c>
      <c r="E94" s="27">
        <f>'Original Data'!$AM$95*12</f>
        <v>2040.6000000000001</v>
      </c>
      <c r="F94">
        <f>IF($E94&gt;10,RANK($E94,$E$3:$E$102,0)+COUNTIF($E$3:$E94,$E94)-1,"N/A")</f>
        <v>71</v>
      </c>
      <c r="G94" s="27">
        <f t="shared" si="8"/>
        <v>-1</v>
      </c>
      <c r="H94" t="str">
        <f>IF($G94&lt;0,"N/A",RANK($G94,$G$3:$G$102,0)+COUNTIF($G$3:$G94,$G94)-1)</f>
        <v>N/A</v>
      </c>
      <c r="I94" s="27">
        <f t="shared" si="9"/>
        <v>-1</v>
      </c>
      <c r="J94" t="str">
        <f>IF($I94&lt;0,"N/A",RANK($I94,$I$3:$I$102,0)+COUNTIF($I$3:$I94,$I94)-1)</f>
        <v>N/A</v>
      </c>
      <c r="K94" s="27">
        <f t="shared" si="10"/>
        <v>684.00000000000023</v>
      </c>
      <c r="L94">
        <f>IF($K94&lt;0,"N/A",RANK($K94,$K$3:$K$102,0)+COUNTIF($K$3:$K94,$K94)-1)</f>
        <v>3</v>
      </c>
      <c r="M94" s="27">
        <f t="shared" si="11"/>
        <v>-1</v>
      </c>
      <c r="N94" t="str">
        <f>IF($M94&lt;0,"N/A",RANK($M94,$M$3:$M$102,0)+COUNTIF($M$3:$M94,$M94)-1)</f>
        <v>N/A</v>
      </c>
    </row>
    <row r="95" spans="1:14" x14ac:dyDescent="0.25">
      <c r="A95">
        <f>'Original Data'!$B$96</f>
        <v>93</v>
      </c>
      <c r="B95" s="27">
        <f>'Original Data'!$C$96*12</f>
        <v>3661.2000000000003</v>
      </c>
      <c r="C95" s="27">
        <f>'Original Data'!$O$96*12</f>
        <v>2148</v>
      </c>
      <c r="D95" s="27">
        <f>'Original Data'!$AA$96*12</f>
        <v>2148</v>
      </c>
      <c r="E95" s="27">
        <f>'Original Data'!$AM$96*12</f>
        <v>2223.2400000000002</v>
      </c>
      <c r="F95">
        <f>IF($E95&gt;10,RANK($E95,$E$3:$E$102,0)+COUNTIF($E$3:$E95,$E95)-1,"N/A")</f>
        <v>66</v>
      </c>
      <c r="G95" s="27">
        <f t="shared" si="8"/>
        <v>-1</v>
      </c>
      <c r="H95" t="str">
        <f>IF($G95&lt;0,"N/A",RANK($G95,$G$3:$G$102,0)+COUNTIF($G$3:$G95,$G95)-1)</f>
        <v>N/A</v>
      </c>
      <c r="I95" s="27">
        <f t="shared" si="9"/>
        <v>75.240000000000236</v>
      </c>
      <c r="J95">
        <f>IF($I95&lt;0,"N/A",RANK($I95,$I$3:$I$102,0)+COUNTIF($I$3:$I95,$I95)-1)</f>
        <v>46</v>
      </c>
      <c r="K95" s="27">
        <f t="shared" si="10"/>
        <v>-1</v>
      </c>
      <c r="L95" t="str">
        <f>IF($K95&lt;0,"N/A",RANK($K95,$K$3:$K$102,0)+COUNTIF($K$3:$K95,$K95)-1)</f>
        <v>N/A</v>
      </c>
      <c r="M95" s="27">
        <f t="shared" si="11"/>
        <v>-1</v>
      </c>
      <c r="N95" t="str">
        <f>IF($M95&lt;0,"N/A",RANK($M95,$M$3:$M$102,0)+COUNTIF($M$3:$M95,$M95)-1)</f>
        <v>N/A</v>
      </c>
    </row>
    <row r="96" spans="1:14" x14ac:dyDescent="0.25">
      <c r="A96">
        <f>'Original Data'!$B$97</f>
        <v>94</v>
      </c>
      <c r="B96" s="27">
        <f>'Original Data'!$C$97*12</f>
        <v>4188</v>
      </c>
      <c r="C96" s="27">
        <f>'Original Data'!$O$97*12</f>
        <v>4188</v>
      </c>
      <c r="D96" s="27">
        <f>'Original Data'!$AA$97*12</f>
        <v>4334.6400000000003</v>
      </c>
      <c r="E96" s="27">
        <f>'Original Data'!$AM$97*12</f>
        <v>4486.32</v>
      </c>
      <c r="F96">
        <f>IF($E96&gt;10,RANK($E96,$E$3:$E$102,0)+COUNTIF($E$3:$E96,$E96)-1,"N/A")</f>
        <v>5</v>
      </c>
      <c r="G96" s="27">
        <f t="shared" si="8"/>
        <v>-1</v>
      </c>
      <c r="H96" t="str">
        <f>IF($G96&lt;0,"N/A",RANK($G96,$G$3:$G$102,0)+COUNTIF($G$3:$G96,$G96)-1)</f>
        <v>N/A</v>
      </c>
      <c r="I96" s="27">
        <f t="shared" si="9"/>
        <v>151.67999999999938</v>
      </c>
      <c r="J96">
        <f>IF($I96&lt;0,"N/A",RANK($I96,$I$3:$I$102,0)+COUNTIF($I$3:$I96,$I96)-1)</f>
        <v>6</v>
      </c>
      <c r="K96" s="27">
        <f t="shared" si="10"/>
        <v>-1</v>
      </c>
      <c r="L96" t="str">
        <f>IF($K96&lt;0,"N/A",RANK($K96,$K$3:$K$102,0)+COUNTIF($K$3:$K96,$K96)-1)</f>
        <v>N/A</v>
      </c>
      <c r="M96" s="27">
        <f t="shared" si="11"/>
        <v>-1</v>
      </c>
      <c r="N96" t="str">
        <f>IF($M96&lt;0,"N/A",RANK($M96,$M$3:$M$102,0)+COUNTIF($M$3:$M96,$M96)-1)</f>
        <v>N/A</v>
      </c>
    </row>
    <row r="97" spans="1:14" x14ac:dyDescent="0.25">
      <c r="A97">
        <f>'Original Data'!$B$98</f>
        <v>95</v>
      </c>
      <c r="B97" s="27">
        <f>'Original Data'!$C$98*12</f>
        <v>1548</v>
      </c>
      <c r="C97" s="27">
        <f>'Original Data'!$O$98*12</f>
        <v>1548</v>
      </c>
      <c r="D97" s="27">
        <f>'Original Data'!$AA$98*12</f>
        <v>1548</v>
      </c>
      <c r="E97" s="27">
        <f>'Original Data'!$AM$98*12</f>
        <v>1548</v>
      </c>
      <c r="F97">
        <f>IF($E97&gt;10,RANK($E97,$E$3:$E$102,0)+COUNTIF($E$3:$E97,$E97)-1,"N/A")</f>
        <v>73</v>
      </c>
      <c r="G97" s="27">
        <f t="shared" si="8"/>
        <v>-1</v>
      </c>
      <c r="H97" t="str">
        <f>IF($G97&lt;0,"N/A",RANK($G97,$G$3:$G$102,0)+COUNTIF($G$3:$G97,$G97)-1)</f>
        <v>N/A</v>
      </c>
      <c r="I97" s="27">
        <f t="shared" si="9"/>
        <v>-1</v>
      </c>
      <c r="J97" t="str">
        <f>IF($I97&lt;0,"N/A",RANK($I97,$I$3:$I$102,0)+COUNTIF($I$3:$I97,$I97)-1)</f>
        <v>N/A</v>
      </c>
      <c r="K97" s="27">
        <f t="shared" si="10"/>
        <v>-1</v>
      </c>
      <c r="L97" t="str">
        <f>IF($K97&lt;0,"N/A",RANK($K97,$K$3:$K$102,0)+COUNTIF($K$3:$K97,$K97)-1)</f>
        <v>N/A</v>
      </c>
      <c r="M97" s="27">
        <f t="shared" si="11"/>
        <v>-1</v>
      </c>
      <c r="N97" t="str">
        <f>IF($M97&lt;0,"N/A",RANK($M97,$M$3:$M$102,0)+COUNTIF($M$3:$M97,$M97)-1)</f>
        <v>N/A</v>
      </c>
    </row>
    <row r="98" spans="1:14" x14ac:dyDescent="0.25">
      <c r="A98">
        <f>'Original Data'!$B$99</f>
        <v>96</v>
      </c>
      <c r="B98" s="27">
        <f>'Original Data'!$C$99*12</f>
        <v>3408.6000000000004</v>
      </c>
      <c r="C98" s="27">
        <f>'Original Data'!$O$99*12</f>
        <v>3375.96</v>
      </c>
      <c r="D98" s="27">
        <f>'Original Data'!$AA$99*12</f>
        <v>3480.3599999999997</v>
      </c>
      <c r="E98" s="27">
        <f>'Original Data'!$AM$99*12</f>
        <v>3528</v>
      </c>
      <c r="F98">
        <f>IF($E98&gt;10,RANK($E98,$E$3:$E$102,0)+COUNTIF($E$3:$E98,$E98)-1,"N/A")</f>
        <v>27</v>
      </c>
      <c r="G98" s="27">
        <f t="shared" si="8"/>
        <v>-1</v>
      </c>
      <c r="H98" t="str">
        <f>IF($G98&lt;0,"N/A",RANK($G98,$G$3:$G$102,0)+COUNTIF($G$3:$G98,$G98)-1)</f>
        <v>N/A</v>
      </c>
      <c r="I98" s="27">
        <f t="shared" si="9"/>
        <v>47.640000000000327</v>
      </c>
      <c r="J98">
        <f>IF($I98&lt;0,"N/A",RANK($I98,$I$3:$I$102,0)+COUNTIF($I$3:$I98,$I98)-1)</f>
        <v>49</v>
      </c>
      <c r="K98" s="27">
        <f t="shared" si="10"/>
        <v>-1</v>
      </c>
      <c r="L98" t="str">
        <f>IF($K98&lt;0,"N/A",RANK($K98,$K$3:$K$102,0)+COUNTIF($K$3:$K98,$K98)-1)</f>
        <v>N/A</v>
      </c>
      <c r="M98" s="27">
        <f t="shared" si="11"/>
        <v>-1</v>
      </c>
      <c r="N98" t="str">
        <f>IF($M98&lt;0,"N/A",RANK($M98,$M$3:$M$102,0)+COUNTIF($M$3:$M98,$M98)-1)</f>
        <v>N/A</v>
      </c>
    </row>
    <row r="99" spans="1:14" x14ac:dyDescent="0.25">
      <c r="A99">
        <f>'Original Data'!$B$100</f>
        <v>97</v>
      </c>
      <c r="B99" s="27">
        <f>'Original Data'!$C$100*12</f>
        <v>3828</v>
      </c>
      <c r="C99" s="27">
        <f>'Original Data'!$O$100*12</f>
        <v>3348</v>
      </c>
      <c r="D99" s="27">
        <f>'Original Data'!$AA$100*12</f>
        <v>0</v>
      </c>
      <c r="E99" s="27">
        <f>'Original Data'!$AM$100*12</f>
        <v>0</v>
      </c>
      <c r="F99" t="str">
        <f>IF($E99&gt;10,RANK($E99,$E$3:$E$102,0)+COUNTIF($E$3:$E99,$E99)-1,"N/A")</f>
        <v>N/A</v>
      </c>
      <c r="G99" s="27">
        <f t="shared" si="8"/>
        <v>-1</v>
      </c>
      <c r="H99" t="str">
        <f>IF($G99&lt;0,"N/A",RANK($G99,$G$3:$G$102,0)+COUNTIF($G$3:$G99,$G99)-1)</f>
        <v>N/A</v>
      </c>
      <c r="I99" s="27">
        <f t="shared" si="9"/>
        <v>-1</v>
      </c>
      <c r="J99" t="str">
        <f>IF($I99&lt;0,"N/A",RANK($I99,$I$3:$I$102,0)+COUNTIF($I$3:$I99,$I99)-1)</f>
        <v>N/A</v>
      </c>
      <c r="K99" s="27">
        <f t="shared" si="10"/>
        <v>-1</v>
      </c>
      <c r="L99" t="str">
        <f>IF($K99&lt;0,"N/A",RANK($K99,$K$3:$K$102,0)+COUNTIF($K$3:$K99,$K99)-1)</f>
        <v>N/A</v>
      </c>
      <c r="M99" s="27">
        <f t="shared" si="11"/>
        <v>-1</v>
      </c>
      <c r="N99" t="str">
        <f>IF($M99&lt;0,"N/A",RANK($M99,$M$3:$M$102,0)+COUNTIF($M$3:$M99,$M99)-1)</f>
        <v>N/A</v>
      </c>
    </row>
    <row r="100" spans="1:14" x14ac:dyDescent="0.25">
      <c r="A100">
        <f>'Original Data'!$B$101</f>
        <v>98</v>
      </c>
      <c r="B100" s="27">
        <f>'Original Data'!$C$101*12</f>
        <v>3588</v>
      </c>
      <c r="C100" s="27">
        <f>'Original Data'!$O$101*12</f>
        <v>0</v>
      </c>
      <c r="D100" s="27">
        <f>'Original Data'!$AA$101*12</f>
        <v>0</v>
      </c>
      <c r="E100" s="27">
        <f>'Original Data'!$AM$101*12</f>
        <v>0</v>
      </c>
      <c r="F100" t="str">
        <f>IF($E100&gt;10,RANK($E100,$E$3:$E$102,0)+COUNTIF($E$3:$E100,$E100)-1,"N/A")</f>
        <v>N/A</v>
      </c>
      <c r="G100" s="27">
        <f t="shared" si="8"/>
        <v>-1</v>
      </c>
      <c r="H100" t="str">
        <f>IF($G100&lt;0,"N/A",RANK($G100,$G$3:$G$102,0)+COUNTIF($G$3:$G100,$G100)-1)</f>
        <v>N/A</v>
      </c>
      <c r="I100" s="27">
        <f t="shared" si="9"/>
        <v>-1</v>
      </c>
      <c r="J100" t="str">
        <f>IF($I100&lt;0,"N/A",RANK($I100,$I$3:$I$102,0)+COUNTIF($I$3:$I100,$I100)-1)</f>
        <v>N/A</v>
      </c>
      <c r="K100" s="27">
        <f t="shared" si="10"/>
        <v>-1</v>
      </c>
      <c r="L100" t="str">
        <f>IF($K100&lt;0,"N/A",RANK($K100,$K$3:$K$102,0)+COUNTIF($K$3:$K100,$K100)-1)</f>
        <v>N/A</v>
      </c>
      <c r="M100" s="27">
        <f t="shared" si="11"/>
        <v>-1</v>
      </c>
      <c r="N100" t="str">
        <f>IF($M100&lt;0,"N/A",RANK($M100,$M$3:$M$102,0)+COUNTIF($M$3:$M100,$M100)-1)</f>
        <v>N/A</v>
      </c>
    </row>
    <row r="101" spans="1:14" x14ac:dyDescent="0.25">
      <c r="A101">
        <f>'Original Data'!$B$102</f>
        <v>99</v>
      </c>
      <c r="B101" s="27">
        <f>'Original Data'!$C$102*12</f>
        <v>2341.3200000000002</v>
      </c>
      <c r="C101" s="27">
        <f>'Original Data'!$O$102*12</f>
        <v>2341.3200000000002</v>
      </c>
      <c r="D101" s="27">
        <f>'Original Data'!$AA$102*12</f>
        <v>2341.3200000000002</v>
      </c>
      <c r="E101" s="27">
        <f>'Original Data'!$AM$102*12</f>
        <v>2423.2799999999997</v>
      </c>
      <c r="F101">
        <f>IF($E101&gt;10,RANK($E101,$E$3:$E$102,0)+COUNTIF($E$3:$E101,$E101)-1,"N/A")</f>
        <v>50</v>
      </c>
      <c r="G101" s="27">
        <f t="shared" si="8"/>
        <v>-1</v>
      </c>
      <c r="H101" t="str">
        <f>IF($G101&lt;0,"N/A",RANK($G101,$G$3:$G$102,0)+COUNTIF($G$3:$G101,$G101)-1)</f>
        <v>N/A</v>
      </c>
      <c r="I101" s="27">
        <f t="shared" si="9"/>
        <v>81.959999999999582</v>
      </c>
      <c r="J101">
        <f>IF($I101&lt;0,"N/A",RANK($I101,$I$3:$I$102,0)+COUNTIF($I$3:$I101,$I101)-1)</f>
        <v>35</v>
      </c>
      <c r="K101" s="27">
        <f t="shared" si="10"/>
        <v>-1</v>
      </c>
      <c r="L101" t="str">
        <f>IF($K101&lt;0,"N/A",RANK($K101,$K$3:$K$102,0)+COUNTIF($K$3:$K101,$K101)-1)</f>
        <v>N/A</v>
      </c>
      <c r="M101" s="27">
        <f t="shared" si="11"/>
        <v>-1</v>
      </c>
      <c r="N101" t="str">
        <f>IF($M101&lt;0,"N/A",RANK($M101,$M$3:$M$102,0)+COUNTIF($M$3:$M101,$M101)-1)</f>
        <v>N/A</v>
      </c>
    </row>
    <row r="102" spans="1:14" x14ac:dyDescent="0.25">
      <c r="A102">
        <f>'Original Data'!$B$103</f>
        <v>100</v>
      </c>
      <c r="B102" s="27">
        <f>'Original Data'!$C$103*12</f>
        <v>3108</v>
      </c>
      <c r="C102" s="27">
        <f>'Original Data'!$O$103*12</f>
        <v>3108</v>
      </c>
      <c r="D102" s="27">
        <f>'Original Data'!$AA$103*12</f>
        <v>3348</v>
      </c>
      <c r="E102" s="27">
        <f>'Original Data'!$AM$103*12</f>
        <v>0</v>
      </c>
      <c r="F102" t="str">
        <f>IF($E102&gt;10,RANK($E102,$E$3:$E$102,0)+COUNTIF($E$3:$E102,$E102)-1,"N/A")</f>
        <v>N/A</v>
      </c>
      <c r="G102" s="27">
        <f t="shared" si="8"/>
        <v>-1</v>
      </c>
      <c r="H102" t="str">
        <f>IF($G102&lt;0,"N/A",RANK($G102,$G$3:$G$102,0)+COUNTIF($G$3:$G102,$G102)-1)</f>
        <v>N/A</v>
      </c>
      <c r="I102" s="27">
        <f t="shared" si="9"/>
        <v>-1</v>
      </c>
      <c r="J102" t="str">
        <f>IF($I102&lt;0,"N/A",RANK($I102,$I$3:$I$102,0)+COUNTIF($I$3:$I102,$I102)-1)</f>
        <v>N/A</v>
      </c>
      <c r="K102" s="27">
        <f t="shared" si="10"/>
        <v>-1</v>
      </c>
      <c r="L102" t="str">
        <f>IF($K102&lt;0,"N/A",RANK($K102,$K$3:$K$102,0)+COUNTIF($K$3:$K102,$K102)-1)</f>
        <v>N/A</v>
      </c>
      <c r="M102" s="27">
        <f t="shared" si="11"/>
        <v>3348</v>
      </c>
      <c r="N102">
        <f>IF($M102&lt;0,"N/A",RANK($M102,$M$3:$M$102,0)+COUNTIF($M$3:$M102,$M102)-1)</f>
        <v>1</v>
      </c>
    </row>
    <row r="104" spans="1:14" x14ac:dyDescent="0.25">
      <c r="A104" s="16" t="s">
        <v>99</v>
      </c>
      <c r="B104" s="3" t="s">
        <v>1</v>
      </c>
      <c r="C104" s="3" t="s">
        <v>2</v>
      </c>
      <c r="D104" s="3" t="s">
        <v>3</v>
      </c>
      <c r="E104" s="3" t="s">
        <v>4</v>
      </c>
    </row>
    <row r="105" spans="1:14" x14ac:dyDescent="0.25">
      <c r="A105" t="s">
        <v>5</v>
      </c>
      <c r="B105" s="27"/>
      <c r="C105" s="27">
        <f>SUM($B$3:$B$102)</f>
        <v>216022.80000000005</v>
      </c>
      <c r="D105" s="27">
        <f>SUM($C$3:$C$102)</f>
        <v>214713.59999999998</v>
      </c>
      <c r="E105" s="27">
        <f>SUM($D$3:$D$102)</f>
        <v>223283.87999999995</v>
      </c>
    </row>
    <row r="106" spans="1:14" x14ac:dyDescent="0.25">
      <c r="A106" t="s">
        <v>6</v>
      </c>
      <c r="B106" s="27"/>
      <c r="C106" s="27">
        <f>SUMPRODUCT(($B$3:$B$102&lt;=0)*($C$3:$C$102&gt;0)*$C$3:$C$102)</f>
        <v>14969.759999999998</v>
      </c>
      <c r="D106" s="27">
        <f>SUMPRODUCT(($C$3:$C$102&lt;=0)*($D$3:$D$102&gt;0)*$D$3:$D$102)</f>
        <v>12625.2</v>
      </c>
      <c r="E106" s="27">
        <f>SUMPRODUCT(($D$3:$D$102&lt;=0)*($E$3:$E$102&gt;0)*$E$3:$E$102)</f>
        <v>23635.680000000004</v>
      </c>
    </row>
    <row r="107" spans="1:14" x14ac:dyDescent="0.25">
      <c r="A107" t="s">
        <v>7</v>
      </c>
      <c r="B107" s="27"/>
      <c r="C107" s="27">
        <f>SUMPRODUCT(($B$3:$B$102&gt;0)*($C$3:$C$102&gt;0)*($C$3:$C$102&gt;$B$3:$B$102)*($C$3:$C$102-$B$3:$B$102))</f>
        <v>4359.72</v>
      </c>
      <c r="D107" s="27">
        <f>SUMPRODUCT(($C$3:$C$102&gt;0)*($D$3:$D$102&gt;0)*($D$3:$D$102&gt;$C$3:$C$102)*($D$3:$D$102-$C$3:$C$102))</f>
        <v>4117.68</v>
      </c>
      <c r="E107" s="27">
        <f>SUMPRODUCT(($D$3:$D$102&gt;0)*($E$3:$E$102&gt;0)*($E$3:$E$102&gt;$D$3:$D$102)*($E$3:$E$102-$D$3:$D$102))</f>
        <v>5916.119999999999</v>
      </c>
    </row>
    <row r="108" spans="1:14" x14ac:dyDescent="0.25">
      <c r="A108" t="s">
        <v>8</v>
      </c>
      <c r="B108" s="27"/>
      <c r="C108" s="27">
        <f>SUMPRODUCT(($B$3:$B$102&gt;0)*($C$3:$C$102&gt;0)*($C$3:$C$102&lt;$B$3:$B$102)*($C$3:$C$102-$B$3:$B$102))</f>
        <v>-4758.72</v>
      </c>
      <c r="D108" s="27">
        <f>SUMPRODUCT(($C$3:$C$102&gt;0)*($D$3:$D$102&gt;0)*($D$3:$D$102&lt;$C$3:$C$102)*($D$3:$D$102-$C$3:$C$102))</f>
        <v>-552.59999999999991</v>
      </c>
      <c r="E108" s="27">
        <f>SUMPRODUCT(($D$3:$D$102&gt;0)*($E$3:$E$102&gt;0)*($E$3:$E$102&lt;$D$3:$D$102)*($E$3:$E$102-$D$3:$D$102))</f>
        <v>-3482.2799999999997</v>
      </c>
    </row>
    <row r="109" spans="1:14" x14ac:dyDescent="0.25">
      <c r="A109" t="s">
        <v>9</v>
      </c>
      <c r="B109" s="27"/>
      <c r="C109" s="27">
        <f>-SUMPRODUCT(($B$3:$B$102&gt;0)*($C$3:$C$102&lt;=0)*$B$3:$B$102)</f>
        <v>-15879.96</v>
      </c>
      <c r="D109" s="27">
        <f>-SUMPRODUCT(($C$3:$C$102&gt;0)*($D$3:$D$102&lt;=0)*$C$3:$C$102)</f>
        <v>-7620</v>
      </c>
      <c r="E109" s="27">
        <f>-SUMPRODUCT(($D$3:$D$102&gt;0)*($E$3:$E$102&lt;=0)*$D$3:$D$102)</f>
        <v>-4536</v>
      </c>
    </row>
    <row r="110" spans="1:14" x14ac:dyDescent="0.25">
      <c r="A110" t="s">
        <v>10</v>
      </c>
      <c r="B110" s="27">
        <f>SUM($B$3:$B$102)</f>
        <v>216022.80000000005</v>
      </c>
      <c r="C110" s="27">
        <f>SUM($C$3:$C$102)</f>
        <v>214713.59999999998</v>
      </c>
      <c r="D110" s="27">
        <f>SUM($D$3:$D$102)</f>
        <v>223283.87999999995</v>
      </c>
      <c r="E110" s="27">
        <f>SUM($E$3:$E$102)</f>
        <v>244817.40000000005</v>
      </c>
    </row>
    <row r="112" spans="1:14" x14ac:dyDescent="0.25">
      <c r="A112" t="s">
        <v>19</v>
      </c>
      <c r="C112">
        <f>COUNTIF($B$3:$B$102,"&gt;0")</f>
        <v>79</v>
      </c>
      <c r="D112">
        <f>COUNTIF($C$3:$C$102,"&gt;0")</f>
        <v>79</v>
      </c>
      <c r="E112">
        <f>COUNTIF($D$3:$D$102,"&gt;0")</f>
        <v>80</v>
      </c>
    </row>
    <row r="113" spans="1:14" x14ac:dyDescent="0.25">
      <c r="A113" t="s">
        <v>6</v>
      </c>
      <c r="C113">
        <f>SUMPRODUCT(($B$3:$B$102&lt;=0)*($C$3:$C$102&gt;0)*1)</f>
        <v>6</v>
      </c>
      <c r="D113">
        <f>SUMPRODUCT(($C$3:$C$102&lt;=0)*($D$3:$D$102&gt;0)*1)</f>
        <v>5</v>
      </c>
      <c r="E113">
        <f>SUMPRODUCT(($D$3:$D$102&lt;=0)*($E$3:$E$102&gt;0)*1)</f>
        <v>7</v>
      </c>
    </row>
    <row r="114" spans="1:14" x14ac:dyDescent="0.25">
      <c r="A114" t="s">
        <v>9</v>
      </c>
      <c r="C114">
        <f>SUMPRODUCT(($B$3:$B$102&gt;0)*($C$3:$C$102&lt;=0)*1)</f>
        <v>6</v>
      </c>
      <c r="D114">
        <f>SUMPRODUCT(($C$3:$C$102&gt;0)*($D$3:$D$102&lt;=0)*1)</f>
        <v>4</v>
      </c>
      <c r="E114">
        <f>SUMPRODUCT(($D$3:$D$102&gt;0)*($E$3:$E$102&lt;=0)*1)</f>
        <v>2</v>
      </c>
    </row>
    <row r="115" spans="1:14" x14ac:dyDescent="0.25">
      <c r="A115" t="s">
        <v>20</v>
      </c>
      <c r="B115">
        <f>COUNTIF($B$3:$B$102,"&gt;0")</f>
        <v>79</v>
      </c>
      <c r="C115">
        <f>COUNTIF($C$3:$C$102,"&gt;0")</f>
        <v>79</v>
      </c>
      <c r="D115">
        <f>COUNTIF($D$3:$D$102,"&gt;0")</f>
        <v>80</v>
      </c>
      <c r="E115">
        <f>COUNTIF($E$3:$E$102,"&gt;0")</f>
        <v>85</v>
      </c>
    </row>
    <row r="117" spans="1:14" x14ac:dyDescent="0.25">
      <c r="A117" s="16" t="s">
        <v>100</v>
      </c>
      <c r="B117" s="3" t="s">
        <v>31</v>
      </c>
      <c r="C117" s="3" t="s">
        <v>32</v>
      </c>
      <c r="D117" s="3" t="s">
        <v>33</v>
      </c>
      <c r="E117" s="3" t="s">
        <v>34</v>
      </c>
      <c r="F117" s="3" t="s">
        <v>35</v>
      </c>
      <c r="G117" s="3" t="s">
        <v>36</v>
      </c>
      <c r="H117" s="3" t="s">
        <v>37</v>
      </c>
      <c r="I117" s="3" t="s">
        <v>38</v>
      </c>
      <c r="J117" s="3" t="s">
        <v>39</v>
      </c>
      <c r="K117" s="3" t="s">
        <v>40</v>
      </c>
      <c r="L117" s="3" t="s">
        <v>41</v>
      </c>
      <c r="M117" s="3" t="s">
        <v>42</v>
      </c>
      <c r="N117" s="3" t="s">
        <v>43</v>
      </c>
    </row>
    <row r="118" spans="1:14" x14ac:dyDescent="0.25">
      <c r="A118" t="s">
        <v>5</v>
      </c>
      <c r="B118" s="27"/>
      <c r="C118" s="27">
        <f>SUM('Original Data'!$C$4:$C$103)*12</f>
        <v>216022.80000000002</v>
      </c>
      <c r="D118" s="27">
        <f>SUM('Original Data'!$F$4:$F$103)*12</f>
        <v>229915.19999999998</v>
      </c>
      <c r="E118" s="27">
        <f>SUM('Original Data'!$I$4:$I$103)*12</f>
        <v>229781.64</v>
      </c>
      <c r="F118" s="27">
        <f>SUM('Original Data'!$L$4:$L$103)*12</f>
        <v>218279.03999999992</v>
      </c>
      <c r="G118" s="27">
        <f>SUM('Original Data'!$O$4:$O$103)*12</f>
        <v>214713.59999999995</v>
      </c>
      <c r="H118" s="27">
        <f>SUM('Original Data'!$R$4:$R$103)*12</f>
        <v>213660.59999999995</v>
      </c>
      <c r="I118" s="27">
        <f>SUM('Original Data'!$U$4:$U$103)*12</f>
        <v>212321.39999999997</v>
      </c>
      <c r="J118" s="27">
        <f>SUM('Original Data'!$X$4:$X$103)*12</f>
        <v>221747.75999999989</v>
      </c>
      <c r="K118" s="27">
        <f>SUM('Original Data'!$AA$4:$AA$103)*12</f>
        <v>223283.87999999998</v>
      </c>
      <c r="L118" s="27">
        <f>SUM('Original Data'!$AD$4:$AD$103)*12</f>
        <v>219344.87999999998</v>
      </c>
      <c r="M118" s="27">
        <f>SUM('Original Data'!$AG$4:$AG$103)*12</f>
        <v>243562.20000000007</v>
      </c>
      <c r="N118" s="27">
        <f>SUM('Original Data'!$AJ$4:$AJ$103)*12</f>
        <v>244739.64000000007</v>
      </c>
    </row>
    <row r="119" spans="1:14" x14ac:dyDescent="0.25">
      <c r="A119" t="s">
        <v>6</v>
      </c>
      <c r="B119" s="27"/>
      <c r="C119" s="27">
        <f>SUMPRODUCT(('Original Data'!$C$4:$C$103&lt;=0)*('Original Data'!$F$4:$F$103&gt;0)*'Original Data'!$F$4:$F$103)*12</f>
        <v>15627.96</v>
      </c>
      <c r="D119" s="27">
        <f>SUMPRODUCT(('Original Data'!$F$4:$F$103&lt;=0)*('Original Data'!$I$4:$I$103&gt;0)*'Original Data'!$I$4:$I$103)*12</f>
        <v>0</v>
      </c>
      <c r="E119" s="27">
        <f>SUMPRODUCT(('Original Data'!$I$4:$I$103&lt;=0)*('Original Data'!$L$4:$L$103&gt;0)*'Original Data'!$L$4:$L$103)*12</f>
        <v>0</v>
      </c>
      <c r="F119" s="27">
        <f>SUMPRODUCT(('Original Data'!$L$4:$L$103&lt;=0)*('Original Data'!$O$4:$O$103&gt;0)*'Original Data'!$O$4:$O$103)*12</f>
        <v>0</v>
      </c>
      <c r="G119" s="27">
        <f>SUMPRODUCT(('Original Data'!$O$4:$O$103&lt;=0)*('Original Data'!$R$4:$R$103&gt;0)*'Original Data'!$R$4:$R$103)*12</f>
        <v>0</v>
      </c>
      <c r="H119" s="27">
        <f>SUMPRODUCT(('Original Data'!$R$4:$R$103&lt;=0)*('Original Data'!$U$4:$U$103&gt;0)*'Original Data'!$U$4:$U$103)*12</f>
        <v>0</v>
      </c>
      <c r="I119" s="27">
        <f>SUMPRODUCT(('Original Data'!$U$4:$U$103&lt;=0)*('Original Data'!$X$4:$X$103&gt;0)*'Original Data'!$X$4:$X$103)*12</f>
        <v>12625.199999999999</v>
      </c>
      <c r="J119" s="27">
        <f>SUMPRODUCT(('Original Data'!$X$4:$X$103&lt;=0)*('Original Data'!$AA$4:$AA$103&gt;0)*'Original Data'!$AA$4:$AA$103)*12</f>
        <v>0</v>
      </c>
      <c r="K119" s="27">
        <f>SUMPRODUCT(('Original Data'!$AA$4:$AA$103&lt;=0)*('Original Data'!$AD$4:$AD$103&gt;0)*'Original Data'!$AD$4:$AD$103)*12</f>
        <v>0</v>
      </c>
      <c r="L119" s="27">
        <f>SUMPRODUCT(('Original Data'!$AD$4:$AD$103&lt;=0)*('Original Data'!$AG$4:$AG$103&gt;0)*'Original Data'!$AG$4:$AG$103)*12</f>
        <v>23635.68</v>
      </c>
      <c r="M119" s="27">
        <f>SUMPRODUCT(('Original Data'!$AG$4:$AG$103&lt;=0)*('Original Data'!$AJ$4:$AJ$103&gt;0)*'Original Data'!$AJ$4:$AJ$103)*12</f>
        <v>0</v>
      </c>
      <c r="N119" s="27">
        <f>SUMPRODUCT(('Original Data'!$AJ$4:$AJ$103&lt;=0)*('Original Data'!$AM$4:$AM$103&gt;0)*'Original Data'!$AM$4:$AM$103)*12</f>
        <v>0</v>
      </c>
    </row>
    <row r="120" spans="1:14" x14ac:dyDescent="0.25">
      <c r="A120" t="s">
        <v>7</v>
      </c>
      <c r="B120" s="27"/>
      <c r="C120" s="27">
        <f>SUMPRODUCT(('Original Data'!$C$4:$C$103&gt;0)*('Original Data'!$F$4:$F$103&gt;0)*('Original Data'!$F$4:$F$103&gt;'Original Data'!$C$4:$C$103)*('Original Data'!$F$4:$F$103-'Original Data'!$C$4:$C$103))*12</f>
        <v>533.16000000000031</v>
      </c>
      <c r="D120" s="27">
        <f>SUMPRODUCT(('Original Data'!$F$4:$F$103&gt;0)*('Original Data'!$I$4:$I$103&gt;0)*('Original Data'!$I$4:$I$103&gt;'Original Data'!$F$4:$F$103)*('Original Data'!$I$4:$I$103-'Original Data'!$F$4:$F$103))*12</f>
        <v>1554.7199999999993</v>
      </c>
      <c r="E120" s="27">
        <f>SUMPRODUCT(('Original Data'!$I$4:$I$103&gt;0)*('Original Data'!$L$4:$L$103&gt;0)*('Original Data'!$L$4:$L$103&gt;'Original Data'!$I$4:$I$103)*('Original Data'!$L$4:$L$103-'Original Data'!$I$4:$I$103))*12</f>
        <v>3291.9600000000005</v>
      </c>
      <c r="F120" s="27">
        <f>SUMPRODUCT(('Original Data'!$L$4:$L$103&gt;0)*('Original Data'!$O$4:$O$103&gt;0)*('Original Data'!$O$4:$O$103&gt;'Original Data'!$L$4:$L$103)*('Original Data'!$O$4:$O$103-'Original Data'!$L$4:$L$103))*12</f>
        <v>1100.2799999999988</v>
      </c>
      <c r="G120" s="27">
        <f>SUMPRODUCT(('Original Data'!$O$4:$O$103&gt;0)*('Original Data'!$R$4:$R$103&gt;0)*('Original Data'!$R$4:$R$103&gt;'Original Data'!$O$4:$O$103)*('Original Data'!$R$4:$R$103-'Original Data'!$O$4:$O$103))*12</f>
        <v>2151</v>
      </c>
      <c r="H120" s="27">
        <f>SUMPRODUCT(('Original Data'!$R$4:$R$103&gt;0)*('Original Data'!$U$4:$U$103&gt;0)*('Original Data'!$U$4:$U$103&gt;'Original Data'!$R$4:$R$103)*('Original Data'!$U$4:$U$103-'Original Data'!$R$4:$R$103))*12</f>
        <v>208.79999999999973</v>
      </c>
      <c r="I120" s="27">
        <f>SUMPRODUCT(('Original Data'!$U$4:$U$103&gt;0)*('Original Data'!$X$4:$X$103&gt;0)*('Original Data'!$X$4:$X$103&gt;'Original Data'!$U$4:$U$103)*('Original Data'!$X$4:$X$103-'Original Data'!$U$4:$U$103))*12</f>
        <v>328.55999999999995</v>
      </c>
      <c r="J120" s="27">
        <f>SUMPRODUCT(('Original Data'!$X$4:$X$103&gt;0)*('Original Data'!$AA$4:$AA$103&gt;0)*('Original Data'!$AA$4:$AA$103&gt;'Original Data'!$X$4:$X$103)*('Original Data'!$AA$4:$AA$103-'Original Data'!$X$4:$X$103))*12</f>
        <v>1536.1200000000017</v>
      </c>
      <c r="K120" s="27">
        <f>SUMPRODUCT(('Original Data'!$AA$4:$AA$103&gt;0)*('Original Data'!$AD$4:$AD$103&gt;0)*('Original Data'!$AD$4:$AD$103&gt;'Original Data'!$AA$4:$AA$103)*('Original Data'!$AD$4:$AD$103-'Original Data'!$AA$4:$AA$103))*12</f>
        <v>3056.9999999999995</v>
      </c>
      <c r="L120" s="27">
        <f>SUMPRODUCT(('Original Data'!$AD$4:$AD$103&gt;0)*('Original Data'!$AG$4:$AG$103&gt;0)*('Original Data'!$AG$4:$AG$103&gt;'Original Data'!$AD$4:$AD$103)*('Original Data'!$AG$4:$AG$103-'Original Data'!$AD$4:$AD$103))*12</f>
        <v>1865.7600000000002</v>
      </c>
      <c r="M120" s="27">
        <f>SUMPRODUCT(('Original Data'!$AG$4:$AG$103&gt;0)*('Original Data'!$AJ$4:$AJ$103&gt;0)*('Original Data'!$AJ$4:$AJ$103&gt;'Original Data'!$AG$4:$AG$103)*('Original Data'!$AJ$4:$AJ$103-'Original Data'!$AG$4:$AG$103))*12</f>
        <v>1177.4399999999996</v>
      </c>
      <c r="N120" s="27">
        <f>SUMPRODUCT(('Original Data'!$AJ$4:$AJ$103&gt;0)*('Original Data'!$AM$4:$AM$103&gt;0)*('Original Data'!$AM$4:$AM$103&gt;'Original Data'!$AJ$4:$AJ$103)*('Original Data'!$AM$4:$AM$103-'Original Data'!$AJ$4:$AJ$103))*12</f>
        <v>77.759999999999877</v>
      </c>
    </row>
    <row r="121" spans="1:14" x14ac:dyDescent="0.25">
      <c r="A121" t="s">
        <v>8</v>
      </c>
      <c r="B121" s="27"/>
      <c r="C121" s="27">
        <f>SUMPRODUCT(('Original Data'!$C$4:$C$103&gt;0)*('Original Data'!$F$4:$F$103&gt;0)*('Original Data'!$F$4:$F$103&lt;'Original Data'!$C$4:$C$103)*('Original Data'!$F$4:$F$103-'Original Data'!$C$4:$C$103))*12</f>
        <v>-2268.7200000000003</v>
      </c>
      <c r="D121" s="27">
        <f>SUMPRODUCT(('Original Data'!$F$4:$F$103&gt;0)*('Original Data'!$I$4:$I$103&gt;0)*('Original Data'!$I$4:$I$103&lt;'Original Data'!$F$4:$F$103)*('Original Data'!$I$4:$I$103-'Original Data'!$F$4:$F$103))*12</f>
        <v>-1688.28</v>
      </c>
      <c r="E121" s="27">
        <f>SUMPRODUCT(('Original Data'!$I$4:$I$103&gt;0)*('Original Data'!$L$4:$L$103&gt;0)*('Original Data'!$L$4:$L$103&lt;'Original Data'!$I$4:$I$103)*('Original Data'!$L$4:$L$103-'Original Data'!$I$4:$I$103))*12</f>
        <v>-2361.4800000000009</v>
      </c>
      <c r="F121" s="27">
        <f>SUMPRODUCT(('Original Data'!$L$4:$L$103&gt;0)*('Original Data'!$O$4:$O$103&gt;0)*('Original Data'!$O$4:$O$103&lt;'Original Data'!$L$4:$L$103)*('Original Data'!$O$4:$O$103-'Original Data'!$L$4:$L$103))*12</f>
        <v>-489.71999999999969</v>
      </c>
      <c r="G121" s="27">
        <f>SUMPRODUCT(('Original Data'!$O$4:$O$103&gt;0)*('Original Data'!$R$4:$R$103&gt;0)*('Original Data'!$R$4:$R$103&lt;'Original Data'!$O$4:$O$103)*('Original Data'!$R$4:$R$103-'Original Data'!$O$4:$O$103))*12</f>
        <v>-480</v>
      </c>
      <c r="H121" s="27">
        <f>SUMPRODUCT(('Original Data'!$R$4:$R$103&gt;0)*('Original Data'!$U$4:$U$103&gt;0)*('Original Data'!$U$4:$U$103&lt;'Original Data'!$R$4:$R$103)*('Original Data'!$U$4:$U$103-'Original Data'!$R$4:$R$103))*12</f>
        <v>0</v>
      </c>
      <c r="I121" s="27">
        <f>SUMPRODUCT(('Original Data'!$U$4:$U$103&gt;0)*('Original Data'!$X$4:$X$103&gt;0)*('Original Data'!$X$4:$X$103&lt;'Original Data'!$U$4:$U$103)*('Original Data'!$X$4:$X$103-'Original Data'!$U$4:$U$103))*12</f>
        <v>-179.4000000000002</v>
      </c>
      <c r="J121" s="27">
        <f>SUMPRODUCT(('Original Data'!$X$4:$X$103&gt;0)*('Original Data'!$AA$4:$AA$103&gt;0)*('Original Data'!$AA$4:$AA$103&lt;'Original Data'!$X$4:$X$103)*('Original Data'!$AA$4:$AA$103-'Original Data'!$X$4:$X$103))*12</f>
        <v>0</v>
      </c>
      <c r="K121" s="27">
        <f>SUMPRODUCT(('Original Data'!$AA$4:$AA$103&gt;0)*('Original Data'!$AD$4:$AD$103&gt;0)*('Original Data'!$AD$4:$AD$103&lt;'Original Data'!$AA$4:$AA$103)*('Original Data'!$AD$4:$AD$103-'Original Data'!$AA$4:$AA$103))*12</f>
        <v>-2460</v>
      </c>
      <c r="L121" s="27">
        <f>SUMPRODUCT(('Original Data'!$AD$4:$AD$103&gt;0)*('Original Data'!$AG$4:$AG$103&gt;0)*('Original Data'!$AG$4:$AG$103&lt;'Original Data'!$AD$4:$AD$103)*('Original Data'!$AG$4:$AG$103-'Original Data'!$AD$4:$AD$103))*12</f>
        <v>-1284.1199999999994</v>
      </c>
      <c r="M121" s="27">
        <f>SUMPRODUCT(('Original Data'!$AG$4:$AG$103&gt;0)*('Original Data'!$AJ$4:$AJ$103&gt;0)*('Original Data'!$AJ$4:$AJ$103&lt;'Original Data'!$AG$4:$AG$103)*('Original Data'!$AJ$4:$AJ$103-'Original Data'!$AG$4:$AG$103))*12</f>
        <v>0</v>
      </c>
      <c r="N121" s="27">
        <f>SUMPRODUCT(('Original Data'!$AJ$4:$AJ$103&gt;0)*('Original Data'!$AM$4:$AM$103&gt;0)*('Original Data'!$AM$4:$AM$103&lt;'Original Data'!$AJ$4:$AJ$103)*('Original Data'!$AM$4:$AM$103-'Original Data'!$AJ$4:$AJ$103))*12</f>
        <v>0</v>
      </c>
    </row>
    <row r="122" spans="1:14" x14ac:dyDescent="0.25">
      <c r="A122" t="s">
        <v>9</v>
      </c>
      <c r="B122" s="27"/>
      <c r="C122" s="27">
        <f>-SUMPRODUCT(('Original Data'!$C$4:$C$103&gt;0)*('Original Data'!$F$4:$F$103&lt;=0)*'Original Data'!$C$4:$C$103)*12</f>
        <v>0</v>
      </c>
      <c r="D122" s="27">
        <f>-SUMPRODUCT(('Original Data'!$F$4:$F$103&gt;0)*('Original Data'!$I$4:$I$103&lt;=0)*'Original Data'!$F$4:$F$103)*12</f>
        <v>0</v>
      </c>
      <c r="E122" s="27">
        <f>-SUMPRODUCT(('Original Data'!$I$4:$I$103&gt;0)*('Original Data'!$L$4:$L$103&lt;=0)*'Original Data'!$I$4:$I$103)*12</f>
        <v>-12433.080000000002</v>
      </c>
      <c r="F122" s="27">
        <f>-SUMPRODUCT(('Original Data'!$L$4:$L$103&gt;0)*('Original Data'!$O$4:$O$103&lt;=0)*'Original Data'!$L$4:$L$103)*12</f>
        <v>-4176</v>
      </c>
      <c r="G122" s="27">
        <f>-SUMPRODUCT(('Original Data'!$O$4:$O$103&gt;0)*('Original Data'!$R$4:$R$103&lt;=0)*'Original Data'!$O$4:$O$103)*12</f>
        <v>-2724</v>
      </c>
      <c r="H122" s="27">
        <f>-SUMPRODUCT(('Original Data'!$R$4:$R$103&gt;0)*('Original Data'!$U$4:$U$103&lt;=0)*'Original Data'!$R$4:$R$103)*12</f>
        <v>-1548</v>
      </c>
      <c r="I122" s="27">
        <f>-SUMPRODUCT(('Original Data'!$U$4:$U$103&gt;0)*('Original Data'!$X$4:$X$103&lt;=0)*'Original Data'!$U$4:$U$103)*12</f>
        <v>-3348</v>
      </c>
      <c r="J122" s="27">
        <f>-SUMPRODUCT(('Original Data'!$X$4:$X$103&gt;0)*('Original Data'!$AA$4:$AA$103&lt;=0)*'Original Data'!$X$4:$X$103)*12</f>
        <v>0</v>
      </c>
      <c r="K122" s="27">
        <f>-SUMPRODUCT(('Original Data'!$AA$4:$AA$103&gt;0)*('Original Data'!$AD$4:$AD$103&lt;=0)*'Original Data'!$AA$4:$AA$103)*12</f>
        <v>-4536</v>
      </c>
      <c r="L122" s="27">
        <f>-SUMPRODUCT(('Original Data'!$AD$4:$AD$103&gt;0)*('Original Data'!$AG$4:$AG$103&lt;=0)*'Original Data'!$AD$4:$AD$103)*12</f>
        <v>0</v>
      </c>
      <c r="M122" s="27">
        <f>-SUMPRODUCT(('Original Data'!$AG$4:$AG$103&gt;0)*('Original Data'!$AJ$4:$AJ$103&lt;=0)*'Original Data'!$AG$4:$AG$103)*12</f>
        <v>0</v>
      </c>
      <c r="N122" s="27">
        <f>-SUMPRODUCT(('Original Data'!$AJ$4:$AJ$103&gt;0)*('Original Data'!$AM$4:$AM$103&lt;=0)*'Original Data'!$AJ$4:$AJ$103)*12</f>
        <v>0</v>
      </c>
    </row>
    <row r="123" spans="1:14" x14ac:dyDescent="0.25">
      <c r="A123" t="s">
        <v>10</v>
      </c>
      <c r="B123" s="27">
        <f>SUM('Original Data'!$C$4:$C$103)*12</f>
        <v>216022.80000000002</v>
      </c>
      <c r="C123" s="27">
        <f>SUM('Original Data'!$F$4:$F$103)*12</f>
        <v>229915.19999999998</v>
      </c>
      <c r="D123" s="27">
        <f>SUM('Original Data'!$I$4:$I$103)*12</f>
        <v>229781.64</v>
      </c>
      <c r="E123" s="27">
        <f>SUM('Original Data'!$L$4:$L$103)*12</f>
        <v>218279.03999999992</v>
      </c>
      <c r="F123" s="27">
        <f>SUM('Original Data'!$O$4:$O$103)*12</f>
        <v>214713.59999999995</v>
      </c>
      <c r="G123" s="27">
        <f>SUM('Original Data'!$R$4:$R$103)*12</f>
        <v>213660.59999999995</v>
      </c>
      <c r="H123" s="27">
        <f>SUM('Original Data'!$U$4:$U$103)*12</f>
        <v>212321.39999999997</v>
      </c>
      <c r="I123" s="27">
        <f>SUM('Original Data'!$X$4:$X$103)*12</f>
        <v>221747.75999999989</v>
      </c>
      <c r="J123" s="27">
        <f>SUM('Original Data'!$AA$4:$AA$103)*12</f>
        <v>223283.87999999998</v>
      </c>
      <c r="K123" s="27">
        <f>SUM('Original Data'!$AD$4:$AD$103)*12</f>
        <v>219344.87999999998</v>
      </c>
      <c r="L123" s="27">
        <f>SUM('Original Data'!$AG$4:$AG$103)*12</f>
        <v>243562.20000000007</v>
      </c>
      <c r="M123" s="27">
        <f>SUM('Original Data'!$AJ$4:$AJ$103)*12</f>
        <v>244739.64000000007</v>
      </c>
      <c r="N123" s="27">
        <f>SUM('Original Data'!$AM$4:$AM$103)*12</f>
        <v>244817.40000000005</v>
      </c>
    </row>
    <row r="125" spans="1:14" x14ac:dyDescent="0.25">
      <c r="A125" t="s">
        <v>19</v>
      </c>
      <c r="C125">
        <f>COUNTIF('Original Data'!$C$4:$C$103,"&gt;0")</f>
        <v>79</v>
      </c>
      <c r="D125">
        <f>COUNTIF('Original Data'!$F$4:$F$103,"&gt;0")</f>
        <v>86</v>
      </c>
      <c r="E125">
        <f>COUNTIF('Original Data'!$I$4:$I$103,"&gt;0")</f>
        <v>86</v>
      </c>
      <c r="F125">
        <f>COUNTIF('Original Data'!$L$4:$L$103,"&gt;0")</f>
        <v>81</v>
      </c>
      <c r="G125">
        <f>COUNTIF('Original Data'!$O$4:$O$103,"&gt;0")</f>
        <v>79</v>
      </c>
      <c r="H125">
        <f>COUNTIF('Original Data'!$R$4:$R$103,"&gt;0")</f>
        <v>77</v>
      </c>
      <c r="I125">
        <f>COUNTIF('Original Data'!$U$4:$U$103,"&gt;0")</f>
        <v>76</v>
      </c>
      <c r="J125">
        <f>COUNTIF('Original Data'!$X$4:$X$103,"&gt;0")</f>
        <v>80</v>
      </c>
      <c r="K125">
        <f>COUNTIF('Original Data'!$AA$4:$AA$103,"&gt;0")</f>
        <v>80</v>
      </c>
      <c r="L125">
        <f>COUNTIF('Original Data'!$AD$4:$AD$103,"&gt;0")</f>
        <v>78</v>
      </c>
      <c r="M125">
        <f>COUNTIF('Original Data'!$AG$4:$AG$103,"&gt;0")</f>
        <v>85</v>
      </c>
      <c r="N125">
        <f>COUNTIF('Original Data'!$AJ$4:$AJ$103,"&gt;0")</f>
        <v>85</v>
      </c>
    </row>
    <row r="126" spans="1:14" x14ac:dyDescent="0.25">
      <c r="A126" t="s">
        <v>6</v>
      </c>
      <c r="C126">
        <f>SUMPRODUCT(('Original Data'!$C$4:$C$103&lt;=0)*('Original Data'!$F$4:$F$103&gt;0)*1)</f>
        <v>7</v>
      </c>
      <c r="D126">
        <f>SUMPRODUCT(('Original Data'!$F$4:$F$103&lt;=0)*('Original Data'!$I$4:$I$103&gt;0)*1)</f>
        <v>0</v>
      </c>
      <c r="E126">
        <f>SUMPRODUCT(('Original Data'!$I$4:$I$103&lt;=0)*('Original Data'!$L$4:$L$103&gt;0)*1)</f>
        <v>0</v>
      </c>
      <c r="F126">
        <f>SUMPRODUCT(('Original Data'!$L$4:$L$103&lt;=0)*('Original Data'!$O$4:$O$103&gt;0)*1)</f>
        <v>0</v>
      </c>
      <c r="G126">
        <f>SUMPRODUCT(('Original Data'!$O$4:$O$103&lt;=0)*('Original Data'!$R$4:$R$103&gt;0)*1)</f>
        <v>0</v>
      </c>
      <c r="H126">
        <f>SUMPRODUCT(('Original Data'!$R$4:$R$103&lt;=0)*('Original Data'!$U$4:$U$103&gt;0)*1)</f>
        <v>0</v>
      </c>
      <c r="I126">
        <f>SUMPRODUCT(('Original Data'!$U$4:$U$103&lt;=0)*('Original Data'!$X$4:$X$103&gt;0)*1)</f>
        <v>5</v>
      </c>
      <c r="J126">
        <f>SUMPRODUCT(('Original Data'!$X$4:$X$103&lt;=0)*('Original Data'!$AA$4:$AA$103&gt;0)*1)</f>
        <v>0</v>
      </c>
      <c r="K126">
        <f>SUMPRODUCT(('Original Data'!$AA$4:$AA$103&lt;=0)*('Original Data'!$AD$4:$AD$103&gt;0)*1)</f>
        <v>0</v>
      </c>
      <c r="L126">
        <f>SUMPRODUCT(('Original Data'!$AD$4:$AD$103&lt;=0)*('Original Data'!$AG$4:$AG$103&gt;0)*1)</f>
        <v>7</v>
      </c>
      <c r="M126">
        <f>SUMPRODUCT(('Original Data'!$AG$4:$AG$103&lt;=0)*('Original Data'!$AJ$4:$AJ$103&gt;0)*1)</f>
        <v>0</v>
      </c>
      <c r="N126">
        <f>SUMPRODUCT(('Original Data'!$AJ$4:$AJ$103&lt;=0)*('Original Data'!$AM$4:$AM$103&gt;0)*1)</f>
        <v>0</v>
      </c>
    </row>
    <row r="127" spans="1:14" x14ac:dyDescent="0.25">
      <c r="A127" t="s">
        <v>9</v>
      </c>
      <c r="C127">
        <f>SUMPRODUCT(('Original Data'!$C$4:$C$103&gt;0)*('Original Data'!$F$4:$F$103&lt;=0)*1)</f>
        <v>0</v>
      </c>
      <c r="D127">
        <f>SUMPRODUCT(('Original Data'!$F$4:$F$103&gt;0)*('Original Data'!$I$4:$I$103&lt;=0)*1)</f>
        <v>0</v>
      </c>
      <c r="E127">
        <f>SUMPRODUCT(('Original Data'!$I$4:$I$103&gt;0)*('Original Data'!$L$4:$L$103&lt;=0)*1)</f>
        <v>5</v>
      </c>
      <c r="F127">
        <f>SUMPRODUCT(('Original Data'!$L$4:$L$103&gt;0)*('Original Data'!$O$4:$O$103&lt;=0)*1)</f>
        <v>2</v>
      </c>
      <c r="G127">
        <f>SUMPRODUCT(('Original Data'!$O$4:$O$103&gt;0)*('Original Data'!$R$4:$R$103&lt;=0)*1)</f>
        <v>2</v>
      </c>
      <c r="H127">
        <f>SUMPRODUCT(('Original Data'!$R$4:$R$103&gt;0)*('Original Data'!$U$4:$U$103&lt;=0)*1)</f>
        <v>1</v>
      </c>
      <c r="I127">
        <f>SUMPRODUCT(('Original Data'!$U$4:$U$103&gt;0)*('Original Data'!$X$4:$X$103&lt;=0)*1)</f>
        <v>1</v>
      </c>
      <c r="J127">
        <f>SUMPRODUCT(('Original Data'!$X$4:$X$103&gt;0)*('Original Data'!$AA$4:$AA$103&lt;=0)*1)</f>
        <v>0</v>
      </c>
      <c r="K127">
        <f>SUMPRODUCT(('Original Data'!$AA$4:$AA$103&gt;0)*('Original Data'!$AD$4:$AD$103&lt;=0)*1)</f>
        <v>2</v>
      </c>
      <c r="L127">
        <f>SUMPRODUCT(('Original Data'!$AD$4:$AD$103&gt;0)*('Original Data'!$AG$4:$AG$103&lt;=0)*1)</f>
        <v>0</v>
      </c>
      <c r="M127">
        <f>SUMPRODUCT(('Original Data'!$AG$4:$AG$103&gt;0)*('Original Data'!$AJ$4:$AJ$103&lt;=0)*1)</f>
        <v>0</v>
      </c>
      <c r="N127">
        <f>SUMPRODUCT(('Original Data'!$AJ$4:$AJ$103&gt;0)*('Original Data'!$AM$4:$AM$103&lt;=0)*1)</f>
        <v>0</v>
      </c>
    </row>
    <row r="128" spans="1:14" x14ac:dyDescent="0.25">
      <c r="A128" t="s">
        <v>20</v>
      </c>
      <c r="B128">
        <f>COUNTIF('Original Data'!$C$4:$C$103,"&gt;0")</f>
        <v>79</v>
      </c>
      <c r="C128">
        <f>COUNTIF('Original Data'!$F$4:$F$103,"&gt;0")</f>
        <v>86</v>
      </c>
      <c r="D128">
        <f>COUNTIF('Original Data'!$I$4:$I$103,"&gt;0")</f>
        <v>86</v>
      </c>
      <c r="E128">
        <f>COUNTIF('Original Data'!$L$4:$L$103,"&gt;0")</f>
        <v>81</v>
      </c>
      <c r="F128">
        <f>COUNTIF('Original Data'!$O$4:$O$103,"&gt;0")</f>
        <v>79</v>
      </c>
      <c r="G128">
        <f>COUNTIF('Original Data'!$R$4:$R$103,"&gt;0")</f>
        <v>77</v>
      </c>
      <c r="H128">
        <f>COUNTIF('Original Data'!$U$4:$U$103,"&gt;0")</f>
        <v>76</v>
      </c>
      <c r="I128">
        <f>COUNTIF('Original Data'!$X$4:$X$103,"&gt;0")</f>
        <v>80</v>
      </c>
      <c r="J128">
        <f>COUNTIF('Original Data'!$AA$4:$AA$103,"&gt;0")</f>
        <v>80</v>
      </c>
      <c r="K128">
        <f>COUNTIF('Original Data'!$AD$4:$AD$103,"&gt;0")</f>
        <v>78</v>
      </c>
      <c r="L128">
        <f>COUNTIF('Original Data'!$AG$4:$AG$103,"&gt;0")</f>
        <v>85</v>
      </c>
      <c r="M128">
        <f>COUNTIF('Original Data'!$AJ$4:$AJ$103,"&gt;0")</f>
        <v>85</v>
      </c>
      <c r="N128">
        <f>COUNTIF('Original Data'!$AM$4:$AM$103,"&gt;0")</f>
        <v>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AM103"/>
  <sheetViews>
    <sheetView workbookViewId="0"/>
  </sheetViews>
  <sheetFormatPr defaultRowHeight="15" x14ac:dyDescent="0.25"/>
  <sheetData>
    <row r="3" spans="2:39" x14ac:dyDescent="0.25">
      <c r="B3" t="s">
        <v>101</v>
      </c>
      <c r="C3" s="28">
        <v>44926</v>
      </c>
      <c r="D3" s="28">
        <v>44957</v>
      </c>
      <c r="E3" s="28">
        <v>44985</v>
      </c>
      <c r="F3" s="28">
        <v>45016</v>
      </c>
      <c r="G3" s="28">
        <v>45046</v>
      </c>
      <c r="H3" s="28">
        <v>45077</v>
      </c>
      <c r="I3" s="28">
        <v>45107</v>
      </c>
      <c r="J3" s="28">
        <v>45138</v>
      </c>
      <c r="K3" s="28">
        <v>45169</v>
      </c>
      <c r="L3" s="28">
        <v>45199</v>
      </c>
      <c r="M3" s="28">
        <v>45230</v>
      </c>
      <c r="N3" s="28">
        <v>45260</v>
      </c>
      <c r="O3" s="28">
        <v>45291</v>
      </c>
      <c r="P3" s="28">
        <v>45322</v>
      </c>
      <c r="Q3" s="28">
        <v>45351</v>
      </c>
      <c r="R3" s="28">
        <v>45382</v>
      </c>
      <c r="S3" s="28">
        <v>45412</v>
      </c>
      <c r="T3" s="28">
        <v>45443</v>
      </c>
      <c r="U3" s="28">
        <v>45473</v>
      </c>
      <c r="V3" s="28">
        <v>45504</v>
      </c>
      <c r="W3" s="28">
        <v>45535</v>
      </c>
      <c r="X3" s="28">
        <v>45565</v>
      </c>
      <c r="Y3" s="28">
        <v>45596</v>
      </c>
      <c r="Z3" s="28">
        <v>45626</v>
      </c>
      <c r="AA3" s="28">
        <v>45657</v>
      </c>
      <c r="AB3" s="28">
        <v>45688</v>
      </c>
      <c r="AC3" s="28">
        <v>45716</v>
      </c>
      <c r="AD3" s="28">
        <v>45747</v>
      </c>
      <c r="AE3" s="28">
        <v>45777</v>
      </c>
      <c r="AF3" s="28">
        <v>45808</v>
      </c>
      <c r="AG3" s="28">
        <v>45838</v>
      </c>
      <c r="AH3" s="28">
        <v>45869</v>
      </c>
      <c r="AI3" s="28">
        <v>45900</v>
      </c>
      <c r="AJ3" s="28">
        <v>45930</v>
      </c>
      <c r="AK3" s="28">
        <v>45961</v>
      </c>
      <c r="AL3" s="28">
        <v>45991</v>
      </c>
      <c r="AM3" s="28">
        <v>46022</v>
      </c>
    </row>
    <row r="4" spans="2:39" x14ac:dyDescent="0.25">
      <c r="B4">
        <v>1</v>
      </c>
      <c r="C4">
        <v>179</v>
      </c>
      <c r="D4">
        <v>179</v>
      </c>
      <c r="E4">
        <v>179</v>
      </c>
      <c r="F4">
        <v>179</v>
      </c>
      <c r="G4">
        <v>179</v>
      </c>
      <c r="H4">
        <v>179</v>
      </c>
      <c r="I4">
        <v>179</v>
      </c>
      <c r="J4">
        <v>179</v>
      </c>
      <c r="K4">
        <v>179</v>
      </c>
      <c r="L4">
        <v>179</v>
      </c>
      <c r="M4">
        <v>179</v>
      </c>
      <c r="N4">
        <v>179</v>
      </c>
      <c r="O4">
        <v>179</v>
      </c>
      <c r="P4">
        <v>179</v>
      </c>
      <c r="Q4">
        <v>179</v>
      </c>
      <c r="R4">
        <v>179</v>
      </c>
      <c r="S4">
        <v>179</v>
      </c>
      <c r="T4">
        <v>179</v>
      </c>
      <c r="U4">
        <v>179</v>
      </c>
      <c r="V4">
        <v>179</v>
      </c>
      <c r="W4">
        <v>179</v>
      </c>
      <c r="X4">
        <v>179</v>
      </c>
      <c r="Y4">
        <v>179</v>
      </c>
      <c r="Z4">
        <v>179</v>
      </c>
      <c r="AA4">
        <v>185.27</v>
      </c>
      <c r="AB4">
        <v>185.27</v>
      </c>
      <c r="AC4">
        <v>185.27</v>
      </c>
      <c r="AD4">
        <v>185.27</v>
      </c>
      <c r="AE4">
        <v>185.27</v>
      </c>
      <c r="AF4">
        <v>185.27</v>
      </c>
      <c r="AG4">
        <v>185.27</v>
      </c>
      <c r="AH4">
        <v>185.27</v>
      </c>
      <c r="AI4">
        <v>185.27</v>
      </c>
      <c r="AJ4">
        <v>185.27</v>
      </c>
      <c r="AK4">
        <v>185.27</v>
      </c>
      <c r="AL4">
        <v>185.27</v>
      </c>
      <c r="AM4">
        <v>185.27</v>
      </c>
    </row>
    <row r="5" spans="2:39" x14ac:dyDescent="0.25">
      <c r="B5">
        <v>2</v>
      </c>
      <c r="C5">
        <v>362.15</v>
      </c>
      <c r="D5">
        <v>362.15</v>
      </c>
      <c r="E5">
        <v>359</v>
      </c>
      <c r="F5">
        <v>359</v>
      </c>
      <c r="G5">
        <v>359</v>
      </c>
      <c r="H5">
        <v>359</v>
      </c>
      <c r="I5">
        <v>359.3</v>
      </c>
      <c r="J5">
        <v>359</v>
      </c>
      <c r="K5">
        <v>359</v>
      </c>
      <c r="L5">
        <v>359</v>
      </c>
      <c r="M5">
        <v>359</v>
      </c>
      <c r="N5">
        <v>359</v>
      </c>
      <c r="O5">
        <v>359</v>
      </c>
      <c r="P5">
        <v>359</v>
      </c>
      <c r="Q5">
        <v>359</v>
      </c>
      <c r="R5">
        <v>359</v>
      </c>
      <c r="S5">
        <v>359</v>
      </c>
      <c r="T5">
        <v>359</v>
      </c>
      <c r="U5">
        <v>359</v>
      </c>
      <c r="V5">
        <v>359</v>
      </c>
      <c r="W5">
        <v>359</v>
      </c>
      <c r="X5">
        <v>359</v>
      </c>
      <c r="Y5">
        <v>359</v>
      </c>
      <c r="Z5">
        <v>359</v>
      </c>
      <c r="AA5">
        <v>359</v>
      </c>
      <c r="AB5">
        <v>399</v>
      </c>
      <c r="AC5">
        <v>399</v>
      </c>
      <c r="AD5">
        <v>399</v>
      </c>
      <c r="AE5">
        <v>399</v>
      </c>
      <c r="AF5">
        <v>399</v>
      </c>
      <c r="AG5">
        <v>399</v>
      </c>
      <c r="AH5">
        <v>399</v>
      </c>
      <c r="AI5">
        <v>399</v>
      </c>
      <c r="AJ5">
        <v>399</v>
      </c>
      <c r="AK5">
        <v>399</v>
      </c>
      <c r="AL5">
        <v>399</v>
      </c>
      <c r="AM5">
        <v>399</v>
      </c>
    </row>
    <row r="6" spans="2:39" x14ac:dyDescent="0.25">
      <c r="B6">
        <v>3</v>
      </c>
      <c r="C6">
        <v>296.10000000000002</v>
      </c>
      <c r="D6">
        <v>296.10000000000002</v>
      </c>
      <c r="E6">
        <v>296.10000000000002</v>
      </c>
      <c r="F6">
        <v>296.10000000000002</v>
      </c>
      <c r="G6">
        <v>296.10000000000002</v>
      </c>
      <c r="H6">
        <v>296.10000000000002</v>
      </c>
      <c r="I6">
        <v>296.10000000000002</v>
      </c>
      <c r="J6">
        <v>296.10000000000002</v>
      </c>
      <c r="K6">
        <v>296.10000000000002</v>
      </c>
      <c r="L6">
        <v>296.10000000000002</v>
      </c>
      <c r="M6">
        <v>296.10000000000002</v>
      </c>
      <c r="N6">
        <v>296.10000000000002</v>
      </c>
      <c r="O6">
        <v>296.10000000000002</v>
      </c>
      <c r="P6">
        <v>296.10000000000002</v>
      </c>
      <c r="Q6">
        <v>296.10000000000002</v>
      </c>
      <c r="R6">
        <v>296.10000000000002</v>
      </c>
      <c r="S6">
        <v>296.10000000000002</v>
      </c>
      <c r="T6">
        <v>296.10000000000002</v>
      </c>
      <c r="U6">
        <v>296.10000000000002</v>
      </c>
      <c r="V6">
        <v>296.10000000000002</v>
      </c>
      <c r="W6">
        <v>296.10000000000002</v>
      </c>
      <c r="X6">
        <v>296.10000000000002</v>
      </c>
      <c r="Y6">
        <v>296.10000000000002</v>
      </c>
      <c r="Z6">
        <v>296.10000000000002</v>
      </c>
      <c r="AA6">
        <v>296.10000000000002</v>
      </c>
      <c r="AB6">
        <v>296.10000000000002</v>
      </c>
      <c r="AC6">
        <v>296.10000000000002</v>
      </c>
      <c r="AD6">
        <v>296.10000000000002</v>
      </c>
      <c r="AE6">
        <v>306.45999999999998</v>
      </c>
      <c r="AF6">
        <v>306.45999999999998</v>
      </c>
      <c r="AG6">
        <v>306.45999999999998</v>
      </c>
      <c r="AH6">
        <v>306.45999999999998</v>
      </c>
      <c r="AI6">
        <v>306.45999999999998</v>
      </c>
      <c r="AJ6">
        <v>306.45999999999998</v>
      </c>
      <c r="AK6">
        <v>306.45999999999998</v>
      </c>
      <c r="AL6">
        <v>306.45999999999998</v>
      </c>
      <c r="AM6">
        <v>306.45999999999998</v>
      </c>
    </row>
    <row r="7" spans="2:39" x14ac:dyDescent="0.25">
      <c r="B7">
        <v>4</v>
      </c>
      <c r="C7">
        <v>289</v>
      </c>
      <c r="D7">
        <v>289</v>
      </c>
      <c r="E7">
        <v>289</v>
      </c>
      <c r="F7">
        <v>289</v>
      </c>
      <c r="G7">
        <v>289</v>
      </c>
      <c r="H7">
        <v>289</v>
      </c>
      <c r="I7">
        <v>289</v>
      </c>
      <c r="J7">
        <v>289</v>
      </c>
      <c r="K7">
        <v>289</v>
      </c>
      <c r="L7">
        <v>289</v>
      </c>
      <c r="M7">
        <v>289</v>
      </c>
      <c r="N7">
        <v>289</v>
      </c>
      <c r="O7">
        <v>289</v>
      </c>
      <c r="P7">
        <v>289</v>
      </c>
      <c r="Q7">
        <v>289</v>
      </c>
      <c r="R7">
        <v>289</v>
      </c>
      <c r="S7">
        <v>289</v>
      </c>
      <c r="T7">
        <v>289</v>
      </c>
      <c r="U7">
        <v>289</v>
      </c>
      <c r="V7">
        <v>289</v>
      </c>
      <c r="W7">
        <v>289</v>
      </c>
      <c r="X7">
        <v>289</v>
      </c>
      <c r="Y7">
        <v>289</v>
      </c>
      <c r="Z7">
        <v>289</v>
      </c>
      <c r="AA7">
        <v>289</v>
      </c>
      <c r="AB7">
        <v>289</v>
      </c>
      <c r="AC7">
        <v>289</v>
      </c>
      <c r="AD7">
        <v>289</v>
      </c>
      <c r="AE7">
        <v>289</v>
      </c>
      <c r="AF7">
        <v>289</v>
      </c>
      <c r="AG7">
        <v>289</v>
      </c>
      <c r="AH7">
        <v>289</v>
      </c>
      <c r="AI7">
        <v>289</v>
      </c>
      <c r="AJ7">
        <v>289</v>
      </c>
      <c r="AK7">
        <v>289</v>
      </c>
      <c r="AL7">
        <v>289</v>
      </c>
      <c r="AM7">
        <v>289</v>
      </c>
    </row>
    <row r="8" spans="2:39" x14ac:dyDescent="0.25">
      <c r="B8">
        <v>5</v>
      </c>
      <c r="C8">
        <v>223</v>
      </c>
      <c r="D8">
        <v>223</v>
      </c>
      <c r="E8">
        <v>223</v>
      </c>
      <c r="F8">
        <v>223</v>
      </c>
      <c r="G8">
        <v>223</v>
      </c>
      <c r="H8">
        <v>223</v>
      </c>
      <c r="I8">
        <v>223</v>
      </c>
      <c r="J8">
        <v>223</v>
      </c>
      <c r="K8">
        <v>234.15</v>
      </c>
      <c r="L8">
        <v>234.15</v>
      </c>
      <c r="M8">
        <v>210.74</v>
      </c>
      <c r="N8">
        <v>210.74</v>
      </c>
      <c r="O8">
        <v>210.74</v>
      </c>
      <c r="P8">
        <v>210.74</v>
      </c>
      <c r="Q8">
        <v>210.74</v>
      </c>
      <c r="R8">
        <v>210.74</v>
      </c>
      <c r="S8">
        <v>210.74</v>
      </c>
      <c r="T8">
        <v>210.74</v>
      </c>
      <c r="U8">
        <v>210.74</v>
      </c>
      <c r="V8">
        <v>210.74</v>
      </c>
      <c r="W8">
        <v>218.12</v>
      </c>
      <c r="X8">
        <v>218.12</v>
      </c>
      <c r="Y8">
        <v>218.12</v>
      </c>
      <c r="Z8">
        <v>218.12</v>
      </c>
      <c r="AA8">
        <v>218.12</v>
      </c>
      <c r="AB8">
        <v>218.12</v>
      </c>
      <c r="AC8">
        <v>218.12</v>
      </c>
      <c r="AD8">
        <v>218.12</v>
      </c>
      <c r="AE8">
        <v>218.12</v>
      </c>
      <c r="AF8">
        <v>218.12</v>
      </c>
      <c r="AG8">
        <v>218.12</v>
      </c>
      <c r="AH8">
        <v>218.12</v>
      </c>
      <c r="AI8">
        <v>218.12</v>
      </c>
      <c r="AJ8">
        <v>225.75</v>
      </c>
      <c r="AK8">
        <v>225.75</v>
      </c>
      <c r="AL8">
        <v>225.75</v>
      </c>
      <c r="AM8">
        <v>225.75</v>
      </c>
    </row>
    <row r="9" spans="2:39" x14ac:dyDescent="0.25">
      <c r="B9">
        <v>6</v>
      </c>
      <c r="C9">
        <v>279</v>
      </c>
      <c r="D9">
        <v>279</v>
      </c>
      <c r="E9">
        <v>279</v>
      </c>
      <c r="F9">
        <v>279</v>
      </c>
      <c r="G9">
        <v>279</v>
      </c>
      <c r="H9">
        <v>378</v>
      </c>
      <c r="I9">
        <v>279</v>
      </c>
      <c r="J9">
        <v>279</v>
      </c>
      <c r="K9">
        <v>279</v>
      </c>
      <c r="L9">
        <v>279</v>
      </c>
      <c r="M9">
        <v>279</v>
      </c>
      <c r="N9">
        <v>279</v>
      </c>
      <c r="O9">
        <v>279</v>
      </c>
      <c r="P9">
        <v>279</v>
      </c>
      <c r="Q9">
        <v>279</v>
      </c>
      <c r="R9">
        <v>279</v>
      </c>
      <c r="S9">
        <v>279</v>
      </c>
      <c r="T9">
        <v>279</v>
      </c>
      <c r="U9">
        <v>279</v>
      </c>
      <c r="V9">
        <v>279</v>
      </c>
      <c r="W9">
        <v>279</v>
      </c>
      <c r="X9">
        <v>279</v>
      </c>
      <c r="Y9">
        <v>279</v>
      </c>
      <c r="Z9">
        <v>279</v>
      </c>
      <c r="AA9">
        <v>279</v>
      </c>
      <c r="AB9">
        <v>279</v>
      </c>
      <c r="AC9">
        <v>279</v>
      </c>
      <c r="AD9">
        <v>279</v>
      </c>
      <c r="AE9">
        <v>279</v>
      </c>
      <c r="AF9">
        <v>288.77</v>
      </c>
      <c r="AG9">
        <v>288.77</v>
      </c>
      <c r="AH9">
        <v>288.77</v>
      </c>
      <c r="AI9">
        <v>288.77</v>
      </c>
      <c r="AJ9">
        <v>288.77</v>
      </c>
      <c r="AK9">
        <v>288.77</v>
      </c>
      <c r="AL9">
        <v>288.77</v>
      </c>
      <c r="AM9">
        <v>288.77</v>
      </c>
    </row>
    <row r="10" spans="2:39" x14ac:dyDescent="0.25">
      <c r="B10">
        <v>7</v>
      </c>
      <c r="C10">
        <v>170.05</v>
      </c>
      <c r="D10">
        <v>170.05</v>
      </c>
      <c r="E10">
        <v>170.05</v>
      </c>
      <c r="F10">
        <v>170.05</v>
      </c>
      <c r="G10">
        <v>170.05</v>
      </c>
      <c r="H10">
        <v>170.05</v>
      </c>
      <c r="I10">
        <v>170.05</v>
      </c>
      <c r="J10">
        <v>170.05</v>
      </c>
      <c r="K10">
        <v>170.05</v>
      </c>
      <c r="L10">
        <v>170.05</v>
      </c>
      <c r="M10">
        <v>179</v>
      </c>
      <c r="N10">
        <v>179</v>
      </c>
      <c r="O10">
        <v>179</v>
      </c>
      <c r="P10">
        <v>179</v>
      </c>
      <c r="Q10">
        <v>179</v>
      </c>
      <c r="R10">
        <v>179</v>
      </c>
      <c r="S10">
        <v>179</v>
      </c>
      <c r="T10">
        <v>179</v>
      </c>
      <c r="U10">
        <v>179</v>
      </c>
      <c r="V10">
        <v>179</v>
      </c>
      <c r="W10">
        <v>179</v>
      </c>
      <c r="X10">
        <v>179</v>
      </c>
      <c r="Y10">
        <v>179</v>
      </c>
      <c r="Z10">
        <v>179</v>
      </c>
      <c r="AA10">
        <v>179</v>
      </c>
      <c r="AB10">
        <v>179</v>
      </c>
      <c r="AC10">
        <v>179</v>
      </c>
      <c r="AD10">
        <v>179</v>
      </c>
      <c r="AE10">
        <v>179</v>
      </c>
      <c r="AF10">
        <v>185.27</v>
      </c>
      <c r="AG10">
        <v>185.27</v>
      </c>
      <c r="AH10">
        <v>185.27</v>
      </c>
      <c r="AI10">
        <v>185.27</v>
      </c>
      <c r="AJ10">
        <v>185.27</v>
      </c>
      <c r="AK10">
        <v>185.27</v>
      </c>
      <c r="AL10">
        <v>185.27</v>
      </c>
      <c r="AM10">
        <v>185.27</v>
      </c>
    </row>
    <row r="11" spans="2:39" x14ac:dyDescent="0.25">
      <c r="B11">
        <v>8</v>
      </c>
      <c r="C11">
        <v>99</v>
      </c>
      <c r="D11">
        <v>99</v>
      </c>
      <c r="E11">
        <v>99</v>
      </c>
      <c r="F11">
        <v>99</v>
      </c>
      <c r="G11">
        <v>99</v>
      </c>
      <c r="H11">
        <v>99</v>
      </c>
      <c r="I11">
        <v>99</v>
      </c>
      <c r="J11">
        <v>99</v>
      </c>
      <c r="K11">
        <v>99</v>
      </c>
      <c r="L11">
        <v>99</v>
      </c>
      <c r="M11">
        <v>99</v>
      </c>
      <c r="N11">
        <v>99</v>
      </c>
      <c r="O11">
        <v>99</v>
      </c>
      <c r="P11">
        <v>28.71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</row>
    <row r="12" spans="2:39" x14ac:dyDescent="0.25">
      <c r="B12">
        <v>9</v>
      </c>
      <c r="C12">
        <v>229</v>
      </c>
      <c r="D12">
        <v>229</v>
      </c>
      <c r="E12">
        <v>229</v>
      </c>
      <c r="F12">
        <v>229</v>
      </c>
      <c r="G12">
        <v>229</v>
      </c>
      <c r="H12">
        <v>229</v>
      </c>
      <c r="I12">
        <v>229</v>
      </c>
      <c r="J12">
        <v>229</v>
      </c>
      <c r="K12">
        <v>229</v>
      </c>
      <c r="L12">
        <v>229</v>
      </c>
      <c r="M12">
        <v>229</v>
      </c>
      <c r="N12">
        <v>229</v>
      </c>
      <c r="O12">
        <v>229</v>
      </c>
      <c r="P12">
        <v>229</v>
      </c>
      <c r="Q12">
        <v>229</v>
      </c>
      <c r="R12">
        <v>229</v>
      </c>
      <c r="S12">
        <v>229</v>
      </c>
      <c r="T12">
        <v>229</v>
      </c>
      <c r="U12">
        <v>229</v>
      </c>
      <c r="V12">
        <v>229</v>
      </c>
      <c r="W12">
        <v>229</v>
      </c>
      <c r="X12">
        <v>229</v>
      </c>
      <c r="Y12">
        <v>229</v>
      </c>
      <c r="Z12">
        <v>229</v>
      </c>
      <c r="AA12">
        <v>229</v>
      </c>
      <c r="AB12">
        <v>229</v>
      </c>
      <c r="AC12">
        <v>229</v>
      </c>
      <c r="AD12">
        <v>229</v>
      </c>
      <c r="AE12">
        <v>229</v>
      </c>
      <c r="AF12">
        <v>229</v>
      </c>
      <c r="AG12">
        <v>229</v>
      </c>
      <c r="AH12">
        <v>229</v>
      </c>
      <c r="AI12">
        <v>237.02</v>
      </c>
      <c r="AJ12">
        <v>237.02</v>
      </c>
      <c r="AK12">
        <v>237.02</v>
      </c>
      <c r="AL12">
        <v>237.02</v>
      </c>
      <c r="AM12">
        <v>237.02</v>
      </c>
    </row>
    <row r="13" spans="2:39" x14ac:dyDescent="0.25">
      <c r="B13">
        <v>10</v>
      </c>
      <c r="C13">
        <v>279</v>
      </c>
      <c r="D13">
        <v>279</v>
      </c>
      <c r="E13">
        <v>279</v>
      </c>
      <c r="F13">
        <v>279</v>
      </c>
      <c r="G13">
        <v>279</v>
      </c>
      <c r="H13">
        <v>279</v>
      </c>
      <c r="I13">
        <v>179</v>
      </c>
      <c r="J13">
        <v>179</v>
      </c>
      <c r="K13">
        <v>179</v>
      </c>
      <c r="L13">
        <v>179</v>
      </c>
      <c r="M13">
        <v>179</v>
      </c>
      <c r="N13">
        <v>179</v>
      </c>
      <c r="O13">
        <v>179</v>
      </c>
      <c r="P13">
        <v>179</v>
      </c>
      <c r="Q13">
        <v>179</v>
      </c>
      <c r="R13">
        <v>179</v>
      </c>
      <c r="S13">
        <v>179</v>
      </c>
      <c r="T13">
        <v>179</v>
      </c>
      <c r="U13">
        <v>179</v>
      </c>
      <c r="V13">
        <v>179</v>
      </c>
      <c r="W13">
        <v>179</v>
      </c>
      <c r="X13">
        <v>179</v>
      </c>
      <c r="Y13">
        <v>179</v>
      </c>
      <c r="Z13">
        <v>179</v>
      </c>
      <c r="AA13">
        <v>179</v>
      </c>
      <c r="AB13">
        <v>179</v>
      </c>
      <c r="AC13">
        <v>179</v>
      </c>
      <c r="AD13">
        <v>179</v>
      </c>
      <c r="AE13">
        <v>179</v>
      </c>
      <c r="AF13">
        <v>179</v>
      </c>
      <c r="AG13">
        <v>179</v>
      </c>
      <c r="AH13">
        <v>179</v>
      </c>
      <c r="AI13">
        <v>179</v>
      </c>
      <c r="AJ13">
        <v>185.27</v>
      </c>
      <c r="AK13">
        <v>185.27</v>
      </c>
      <c r="AL13">
        <v>185.27</v>
      </c>
      <c r="AM13">
        <v>185.27</v>
      </c>
    </row>
    <row r="14" spans="2:39" x14ac:dyDescent="0.25">
      <c r="B14">
        <v>11</v>
      </c>
      <c r="C14">
        <v>170.05</v>
      </c>
      <c r="D14">
        <v>170.05</v>
      </c>
      <c r="E14">
        <v>170.05</v>
      </c>
      <c r="F14">
        <v>170.05</v>
      </c>
      <c r="G14">
        <v>170.05</v>
      </c>
      <c r="H14">
        <v>170.05</v>
      </c>
      <c r="I14">
        <v>170.05</v>
      </c>
      <c r="J14">
        <v>170.05</v>
      </c>
      <c r="K14">
        <v>170.05</v>
      </c>
      <c r="L14">
        <v>170.05</v>
      </c>
      <c r="M14">
        <v>179</v>
      </c>
      <c r="N14">
        <v>179</v>
      </c>
      <c r="O14">
        <v>179</v>
      </c>
      <c r="P14">
        <v>179</v>
      </c>
      <c r="Q14">
        <v>179</v>
      </c>
      <c r="R14">
        <v>179</v>
      </c>
      <c r="S14">
        <v>179</v>
      </c>
      <c r="T14">
        <v>179</v>
      </c>
      <c r="U14">
        <v>179</v>
      </c>
      <c r="V14">
        <v>179</v>
      </c>
      <c r="W14">
        <v>179</v>
      </c>
      <c r="X14">
        <v>179</v>
      </c>
      <c r="Y14">
        <v>179</v>
      </c>
      <c r="Z14">
        <v>179</v>
      </c>
      <c r="AA14">
        <v>179</v>
      </c>
      <c r="AB14">
        <v>179</v>
      </c>
      <c r="AC14">
        <v>179</v>
      </c>
      <c r="AD14">
        <v>179</v>
      </c>
      <c r="AE14">
        <v>179</v>
      </c>
      <c r="AF14">
        <v>179</v>
      </c>
      <c r="AG14">
        <v>179</v>
      </c>
      <c r="AH14">
        <v>179</v>
      </c>
      <c r="AI14">
        <v>179</v>
      </c>
      <c r="AJ14">
        <v>179</v>
      </c>
      <c r="AK14">
        <v>179</v>
      </c>
      <c r="AL14">
        <v>179</v>
      </c>
      <c r="AM14">
        <v>179</v>
      </c>
    </row>
    <row r="15" spans="2:39" x14ac:dyDescent="0.25">
      <c r="B15">
        <v>12</v>
      </c>
      <c r="C15">
        <v>284.05</v>
      </c>
      <c r="D15">
        <v>284.05</v>
      </c>
      <c r="E15">
        <v>284.05</v>
      </c>
      <c r="F15">
        <v>284.05</v>
      </c>
      <c r="G15">
        <v>284.05</v>
      </c>
      <c r="H15">
        <v>284.05</v>
      </c>
      <c r="I15">
        <v>290.02999999999997</v>
      </c>
      <c r="J15">
        <v>290.02999999999997</v>
      </c>
      <c r="K15">
        <v>290.02999999999997</v>
      </c>
      <c r="L15">
        <v>290.02999999999997</v>
      </c>
      <c r="M15">
        <v>281.33</v>
      </c>
      <c r="N15">
        <v>281.33</v>
      </c>
      <c r="O15">
        <v>281.33</v>
      </c>
      <c r="P15">
        <v>281.33</v>
      </c>
      <c r="Q15">
        <v>281.33</v>
      </c>
      <c r="R15">
        <v>281.33</v>
      </c>
      <c r="S15">
        <v>281.33</v>
      </c>
      <c r="T15">
        <v>290.02999999999997</v>
      </c>
      <c r="U15">
        <v>290.02999999999997</v>
      </c>
      <c r="V15">
        <v>290.02999999999997</v>
      </c>
      <c r="W15">
        <v>290.02999999999997</v>
      </c>
      <c r="X15">
        <v>290.02999999999997</v>
      </c>
      <c r="Y15">
        <v>290.02999999999997</v>
      </c>
      <c r="Z15">
        <v>300.19</v>
      </c>
      <c r="AA15">
        <v>300.19</v>
      </c>
      <c r="AB15">
        <v>300.19</v>
      </c>
      <c r="AC15">
        <v>300.19</v>
      </c>
      <c r="AD15">
        <v>300.19</v>
      </c>
      <c r="AE15">
        <v>294</v>
      </c>
      <c r="AF15">
        <v>294</v>
      </c>
      <c r="AG15">
        <v>294</v>
      </c>
      <c r="AH15">
        <v>294</v>
      </c>
      <c r="AI15">
        <v>294</v>
      </c>
      <c r="AJ15">
        <v>294</v>
      </c>
      <c r="AK15">
        <v>294</v>
      </c>
      <c r="AL15">
        <v>294</v>
      </c>
      <c r="AM15">
        <v>294</v>
      </c>
    </row>
    <row r="16" spans="2:39" x14ac:dyDescent="0.25">
      <c r="B16">
        <v>13</v>
      </c>
      <c r="C16">
        <v>369</v>
      </c>
      <c r="D16">
        <v>369</v>
      </c>
      <c r="E16">
        <v>369</v>
      </c>
      <c r="F16">
        <v>369</v>
      </c>
      <c r="G16">
        <v>369</v>
      </c>
      <c r="H16">
        <v>369</v>
      </c>
      <c r="I16">
        <v>369</v>
      </c>
      <c r="J16">
        <v>369</v>
      </c>
      <c r="K16">
        <v>369</v>
      </c>
      <c r="L16">
        <v>369</v>
      </c>
      <c r="M16">
        <v>369</v>
      </c>
      <c r="N16">
        <v>369</v>
      </c>
      <c r="O16">
        <v>369</v>
      </c>
      <c r="P16">
        <v>369</v>
      </c>
      <c r="Q16">
        <v>369</v>
      </c>
      <c r="R16">
        <v>369</v>
      </c>
      <c r="S16">
        <v>369</v>
      </c>
      <c r="T16">
        <v>369</v>
      </c>
      <c r="U16">
        <v>369</v>
      </c>
      <c r="V16">
        <v>369</v>
      </c>
      <c r="W16">
        <v>369</v>
      </c>
      <c r="X16">
        <v>369</v>
      </c>
      <c r="Y16">
        <v>369</v>
      </c>
      <c r="Z16">
        <v>369</v>
      </c>
      <c r="AA16">
        <v>381.92</v>
      </c>
      <c r="AB16">
        <v>381.92</v>
      </c>
      <c r="AC16">
        <v>381.92</v>
      </c>
      <c r="AD16">
        <v>381.92</v>
      </c>
      <c r="AE16">
        <v>381.92</v>
      </c>
      <c r="AF16">
        <v>381.92</v>
      </c>
      <c r="AG16">
        <v>381.92</v>
      </c>
      <c r="AH16">
        <v>381.92</v>
      </c>
      <c r="AI16">
        <v>381.92</v>
      </c>
      <c r="AJ16">
        <v>381.92</v>
      </c>
      <c r="AK16">
        <v>381.92</v>
      </c>
      <c r="AL16">
        <v>381.92</v>
      </c>
      <c r="AM16">
        <v>381.92</v>
      </c>
    </row>
    <row r="17" spans="2:39" x14ac:dyDescent="0.25">
      <c r="B17">
        <v>14</v>
      </c>
      <c r="C17">
        <v>279</v>
      </c>
      <c r="D17">
        <v>279</v>
      </c>
      <c r="E17">
        <v>279</v>
      </c>
      <c r="F17">
        <v>279</v>
      </c>
      <c r="G17">
        <v>279</v>
      </c>
      <c r="H17">
        <v>279</v>
      </c>
      <c r="I17">
        <v>279</v>
      </c>
      <c r="J17">
        <v>279</v>
      </c>
      <c r="K17">
        <v>279</v>
      </c>
      <c r="L17">
        <v>279</v>
      </c>
      <c r="M17">
        <v>279</v>
      </c>
      <c r="N17">
        <v>279</v>
      </c>
      <c r="O17">
        <v>279</v>
      </c>
      <c r="P17">
        <v>279</v>
      </c>
      <c r="Q17">
        <v>279</v>
      </c>
      <c r="R17">
        <v>279</v>
      </c>
      <c r="S17">
        <v>279</v>
      </c>
      <c r="T17">
        <v>279</v>
      </c>
      <c r="U17">
        <v>279</v>
      </c>
      <c r="V17">
        <v>279</v>
      </c>
      <c r="W17">
        <v>279</v>
      </c>
      <c r="X17">
        <v>279</v>
      </c>
      <c r="Y17">
        <v>279</v>
      </c>
      <c r="Z17">
        <v>279</v>
      </c>
      <c r="AA17">
        <v>279</v>
      </c>
      <c r="AB17">
        <v>279</v>
      </c>
      <c r="AC17">
        <v>279</v>
      </c>
      <c r="AD17">
        <v>288.77</v>
      </c>
      <c r="AE17">
        <v>288.77</v>
      </c>
      <c r="AF17">
        <v>288.77</v>
      </c>
      <c r="AG17">
        <v>288.77</v>
      </c>
      <c r="AH17">
        <v>288.77</v>
      </c>
      <c r="AI17">
        <v>288.77</v>
      </c>
      <c r="AJ17">
        <v>288.77</v>
      </c>
      <c r="AK17">
        <v>288.77</v>
      </c>
      <c r="AL17">
        <v>288.77</v>
      </c>
      <c r="AM17">
        <v>288.77</v>
      </c>
    </row>
    <row r="18" spans="2:39" x14ac:dyDescent="0.25">
      <c r="B18">
        <v>15</v>
      </c>
      <c r="C18">
        <v>179</v>
      </c>
      <c r="D18">
        <v>179</v>
      </c>
      <c r="E18">
        <v>179</v>
      </c>
      <c r="F18">
        <v>179</v>
      </c>
      <c r="G18">
        <v>179</v>
      </c>
      <c r="H18">
        <v>179</v>
      </c>
      <c r="I18">
        <v>179</v>
      </c>
      <c r="J18">
        <v>179</v>
      </c>
      <c r="K18">
        <v>179</v>
      </c>
      <c r="L18">
        <v>179</v>
      </c>
      <c r="M18">
        <v>179</v>
      </c>
      <c r="N18">
        <v>179</v>
      </c>
      <c r="O18">
        <v>179</v>
      </c>
      <c r="P18">
        <v>179</v>
      </c>
      <c r="Q18">
        <v>179</v>
      </c>
      <c r="R18">
        <v>179</v>
      </c>
      <c r="S18">
        <v>179</v>
      </c>
      <c r="T18">
        <v>179</v>
      </c>
      <c r="U18">
        <v>179</v>
      </c>
      <c r="V18">
        <v>179</v>
      </c>
      <c r="W18">
        <v>179</v>
      </c>
      <c r="X18">
        <v>179</v>
      </c>
      <c r="Y18">
        <v>179</v>
      </c>
      <c r="Z18">
        <v>179</v>
      </c>
      <c r="AA18">
        <v>179</v>
      </c>
      <c r="AB18">
        <v>179</v>
      </c>
      <c r="AC18">
        <v>179</v>
      </c>
      <c r="AD18">
        <v>185.27</v>
      </c>
      <c r="AE18">
        <v>185.27</v>
      </c>
      <c r="AF18">
        <v>185.27</v>
      </c>
      <c r="AG18">
        <v>179</v>
      </c>
      <c r="AH18">
        <v>179</v>
      </c>
      <c r="AI18">
        <v>179</v>
      </c>
      <c r="AJ18">
        <v>179</v>
      </c>
      <c r="AK18">
        <v>179</v>
      </c>
      <c r="AL18">
        <v>179</v>
      </c>
      <c r="AM18">
        <v>179</v>
      </c>
    </row>
    <row r="19" spans="2:39" x14ac:dyDescent="0.25">
      <c r="B19">
        <v>16</v>
      </c>
      <c r="C19">
        <v>128</v>
      </c>
      <c r="D19">
        <v>128</v>
      </c>
      <c r="E19">
        <v>128</v>
      </c>
      <c r="F19">
        <v>128</v>
      </c>
      <c r="G19">
        <v>128</v>
      </c>
      <c r="H19">
        <v>128</v>
      </c>
      <c r="I19">
        <v>128</v>
      </c>
      <c r="J19">
        <v>128</v>
      </c>
      <c r="K19">
        <v>128</v>
      </c>
      <c r="L19">
        <v>128</v>
      </c>
      <c r="M19">
        <v>128</v>
      </c>
      <c r="N19">
        <v>128</v>
      </c>
      <c r="O19">
        <v>128</v>
      </c>
      <c r="P19">
        <v>128</v>
      </c>
      <c r="Q19">
        <v>128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</row>
    <row r="20" spans="2:39" x14ac:dyDescent="0.25">
      <c r="B20">
        <v>17</v>
      </c>
      <c r="C20">
        <v>279</v>
      </c>
      <c r="D20">
        <v>279</v>
      </c>
      <c r="E20">
        <v>279</v>
      </c>
      <c r="F20">
        <v>279</v>
      </c>
      <c r="G20">
        <v>279</v>
      </c>
      <c r="H20">
        <v>279</v>
      </c>
      <c r="I20">
        <v>279</v>
      </c>
      <c r="J20">
        <v>279</v>
      </c>
      <c r="K20">
        <v>279</v>
      </c>
      <c r="L20">
        <v>279</v>
      </c>
      <c r="M20">
        <v>279</v>
      </c>
      <c r="N20">
        <v>279</v>
      </c>
      <c r="O20">
        <v>279</v>
      </c>
      <c r="P20">
        <v>279</v>
      </c>
      <c r="Q20">
        <v>279</v>
      </c>
      <c r="R20">
        <v>279</v>
      </c>
      <c r="S20">
        <v>279</v>
      </c>
      <c r="T20">
        <v>279</v>
      </c>
      <c r="U20">
        <v>279</v>
      </c>
      <c r="V20">
        <v>279</v>
      </c>
      <c r="W20">
        <v>279</v>
      </c>
      <c r="X20">
        <v>279</v>
      </c>
      <c r="Y20">
        <v>279</v>
      </c>
      <c r="Z20">
        <v>279</v>
      </c>
      <c r="AA20">
        <v>279</v>
      </c>
      <c r="AB20">
        <v>279</v>
      </c>
      <c r="AC20">
        <v>279</v>
      </c>
      <c r="AD20">
        <v>279</v>
      </c>
      <c r="AE20">
        <v>288.77</v>
      </c>
      <c r="AF20">
        <v>288.77</v>
      </c>
      <c r="AG20">
        <v>288.77</v>
      </c>
      <c r="AH20">
        <v>288.77</v>
      </c>
      <c r="AI20">
        <v>288.77</v>
      </c>
      <c r="AJ20">
        <v>288.77</v>
      </c>
      <c r="AK20">
        <v>288.77</v>
      </c>
      <c r="AL20">
        <v>288.77</v>
      </c>
      <c r="AM20">
        <v>288.77</v>
      </c>
    </row>
    <row r="21" spans="2:39" x14ac:dyDescent="0.25">
      <c r="B21">
        <v>18</v>
      </c>
      <c r="C21">
        <v>245.65</v>
      </c>
      <c r="D21">
        <v>245.65</v>
      </c>
      <c r="E21">
        <v>245.65</v>
      </c>
      <c r="F21">
        <v>245.65</v>
      </c>
      <c r="G21">
        <v>245.65</v>
      </c>
      <c r="H21">
        <v>245.65</v>
      </c>
      <c r="I21">
        <v>245.65</v>
      </c>
      <c r="J21">
        <v>245.65</v>
      </c>
      <c r="K21">
        <v>245.65</v>
      </c>
      <c r="L21">
        <v>245.65</v>
      </c>
      <c r="M21">
        <v>245.65</v>
      </c>
      <c r="N21">
        <v>245.65</v>
      </c>
      <c r="O21">
        <v>245.65</v>
      </c>
      <c r="P21">
        <v>245.65</v>
      </c>
      <c r="Q21">
        <v>245.65</v>
      </c>
      <c r="R21">
        <v>245.65</v>
      </c>
      <c r="S21">
        <v>245.65</v>
      </c>
      <c r="T21">
        <v>245.65</v>
      </c>
      <c r="U21">
        <v>245.65</v>
      </c>
      <c r="V21">
        <v>245.65</v>
      </c>
      <c r="W21">
        <v>245.65</v>
      </c>
      <c r="X21">
        <v>245.65</v>
      </c>
      <c r="Y21">
        <v>245.65</v>
      </c>
      <c r="Z21">
        <v>245.65</v>
      </c>
      <c r="AA21">
        <v>245.65</v>
      </c>
      <c r="AB21">
        <v>245.65</v>
      </c>
      <c r="AC21">
        <v>245.65</v>
      </c>
      <c r="AD21">
        <v>254.25</v>
      </c>
      <c r="AE21">
        <v>254.25</v>
      </c>
      <c r="AF21">
        <v>254.25</v>
      </c>
      <c r="AG21">
        <v>254.25</v>
      </c>
      <c r="AH21">
        <v>254.25</v>
      </c>
      <c r="AI21">
        <v>254.25</v>
      </c>
      <c r="AJ21">
        <v>254.25</v>
      </c>
      <c r="AK21">
        <v>254.25</v>
      </c>
      <c r="AL21">
        <v>254.25</v>
      </c>
      <c r="AM21">
        <v>254.25</v>
      </c>
    </row>
    <row r="22" spans="2:39" x14ac:dyDescent="0.25">
      <c r="B22">
        <v>19</v>
      </c>
      <c r="C22">
        <v>116</v>
      </c>
      <c r="D22">
        <v>116</v>
      </c>
      <c r="E22">
        <v>116</v>
      </c>
      <c r="F22">
        <v>116</v>
      </c>
      <c r="G22">
        <v>116</v>
      </c>
      <c r="H22">
        <v>116</v>
      </c>
      <c r="I22">
        <v>116</v>
      </c>
      <c r="J22">
        <v>116</v>
      </c>
      <c r="K22">
        <v>116</v>
      </c>
      <c r="L22">
        <v>116</v>
      </c>
      <c r="M22">
        <v>116</v>
      </c>
      <c r="N22">
        <v>116</v>
      </c>
      <c r="O22">
        <v>116</v>
      </c>
      <c r="P22">
        <v>116</v>
      </c>
      <c r="Q22">
        <v>116</v>
      </c>
      <c r="R22">
        <v>116</v>
      </c>
      <c r="S22">
        <v>116</v>
      </c>
      <c r="T22">
        <v>116</v>
      </c>
      <c r="U22">
        <v>116</v>
      </c>
      <c r="V22">
        <v>116</v>
      </c>
      <c r="W22">
        <v>116</v>
      </c>
      <c r="X22">
        <v>116</v>
      </c>
      <c r="Y22">
        <v>116</v>
      </c>
      <c r="Z22">
        <v>116</v>
      </c>
      <c r="AA22">
        <v>116</v>
      </c>
      <c r="AB22">
        <v>116</v>
      </c>
      <c r="AC22">
        <v>116</v>
      </c>
      <c r="AD22">
        <v>116</v>
      </c>
      <c r="AE22">
        <v>116</v>
      </c>
      <c r="AF22">
        <v>116</v>
      </c>
      <c r="AG22">
        <v>116</v>
      </c>
      <c r="AH22">
        <v>116</v>
      </c>
      <c r="AI22">
        <v>116</v>
      </c>
      <c r="AJ22">
        <v>116</v>
      </c>
      <c r="AK22">
        <v>116</v>
      </c>
      <c r="AL22">
        <v>116</v>
      </c>
      <c r="AM22">
        <v>116</v>
      </c>
    </row>
    <row r="23" spans="2:39" x14ac:dyDescent="0.25">
      <c r="B23">
        <v>20</v>
      </c>
      <c r="C23">
        <v>170.05</v>
      </c>
      <c r="D23">
        <v>170.05</v>
      </c>
      <c r="E23">
        <v>170.05</v>
      </c>
      <c r="F23">
        <v>170.05</v>
      </c>
      <c r="G23">
        <v>170.05</v>
      </c>
      <c r="H23">
        <v>170.05</v>
      </c>
      <c r="I23">
        <v>170.05</v>
      </c>
      <c r="J23">
        <v>170.05</v>
      </c>
      <c r="K23">
        <v>170.05</v>
      </c>
      <c r="L23">
        <v>170.05</v>
      </c>
      <c r="M23">
        <v>179</v>
      </c>
      <c r="N23">
        <v>179</v>
      </c>
      <c r="O23">
        <v>179</v>
      </c>
      <c r="P23">
        <v>179</v>
      </c>
      <c r="Q23">
        <v>179</v>
      </c>
      <c r="R23">
        <v>179</v>
      </c>
      <c r="S23">
        <v>179</v>
      </c>
      <c r="T23">
        <v>179</v>
      </c>
      <c r="U23">
        <v>179</v>
      </c>
      <c r="V23">
        <v>179</v>
      </c>
      <c r="W23">
        <v>179</v>
      </c>
      <c r="X23">
        <v>179</v>
      </c>
      <c r="Y23">
        <v>179</v>
      </c>
      <c r="Z23">
        <v>179</v>
      </c>
      <c r="AA23">
        <v>179</v>
      </c>
      <c r="AB23">
        <v>179</v>
      </c>
      <c r="AC23">
        <v>179</v>
      </c>
      <c r="AD23">
        <v>179</v>
      </c>
      <c r="AE23">
        <v>179</v>
      </c>
      <c r="AF23">
        <v>179</v>
      </c>
      <c r="AG23">
        <v>185.27</v>
      </c>
      <c r="AH23">
        <v>185.27</v>
      </c>
      <c r="AI23">
        <v>185.27</v>
      </c>
      <c r="AJ23">
        <v>185.27</v>
      </c>
      <c r="AK23">
        <v>185.27</v>
      </c>
      <c r="AL23">
        <v>185.27</v>
      </c>
      <c r="AM23">
        <v>185.27</v>
      </c>
    </row>
    <row r="24" spans="2:39" x14ac:dyDescent="0.25">
      <c r="B24">
        <v>21</v>
      </c>
      <c r="C24">
        <v>279</v>
      </c>
      <c r="D24">
        <v>279</v>
      </c>
      <c r="E24">
        <v>279</v>
      </c>
      <c r="F24">
        <v>279</v>
      </c>
      <c r="G24">
        <v>279</v>
      </c>
      <c r="H24">
        <v>279</v>
      </c>
      <c r="I24">
        <v>279</v>
      </c>
      <c r="J24">
        <v>279</v>
      </c>
      <c r="K24">
        <v>279</v>
      </c>
      <c r="L24">
        <v>279</v>
      </c>
      <c r="M24">
        <v>279</v>
      </c>
      <c r="N24">
        <v>279</v>
      </c>
      <c r="O24">
        <v>279</v>
      </c>
      <c r="P24">
        <v>279</v>
      </c>
      <c r="Q24">
        <v>279</v>
      </c>
      <c r="R24">
        <v>279</v>
      </c>
      <c r="S24">
        <v>279</v>
      </c>
      <c r="T24">
        <v>279</v>
      </c>
      <c r="U24">
        <v>279</v>
      </c>
      <c r="V24">
        <v>279</v>
      </c>
      <c r="W24">
        <v>279</v>
      </c>
      <c r="X24">
        <v>279</v>
      </c>
      <c r="Y24">
        <v>279</v>
      </c>
      <c r="Z24">
        <v>279</v>
      </c>
      <c r="AA24">
        <v>279</v>
      </c>
      <c r="AB24">
        <v>279</v>
      </c>
      <c r="AC24">
        <v>279</v>
      </c>
      <c r="AD24">
        <v>279</v>
      </c>
      <c r="AE24">
        <v>279</v>
      </c>
      <c r="AF24">
        <v>279</v>
      </c>
      <c r="AG24">
        <v>288.77</v>
      </c>
      <c r="AH24">
        <v>288.77</v>
      </c>
      <c r="AI24">
        <v>288.77</v>
      </c>
      <c r="AJ24">
        <v>288.77</v>
      </c>
      <c r="AK24">
        <v>288.77</v>
      </c>
      <c r="AL24">
        <v>288.77</v>
      </c>
      <c r="AM24">
        <v>288.77</v>
      </c>
    </row>
    <row r="25" spans="2:39" x14ac:dyDescent="0.25">
      <c r="B25">
        <v>22</v>
      </c>
      <c r="C25">
        <v>299</v>
      </c>
      <c r="D25">
        <v>299</v>
      </c>
      <c r="E25">
        <v>299</v>
      </c>
      <c r="F25">
        <v>299</v>
      </c>
      <c r="G25">
        <v>299</v>
      </c>
      <c r="H25">
        <v>299</v>
      </c>
      <c r="I25">
        <v>299</v>
      </c>
      <c r="J25">
        <v>299</v>
      </c>
      <c r="K25">
        <v>299</v>
      </c>
      <c r="L25">
        <v>299</v>
      </c>
      <c r="M25">
        <v>299</v>
      </c>
      <c r="N25">
        <v>299</v>
      </c>
      <c r="O25">
        <v>299</v>
      </c>
      <c r="P25">
        <v>299</v>
      </c>
      <c r="Q25">
        <v>299</v>
      </c>
      <c r="R25">
        <v>299</v>
      </c>
      <c r="S25">
        <v>299</v>
      </c>
      <c r="T25">
        <v>299</v>
      </c>
      <c r="U25">
        <v>299</v>
      </c>
      <c r="V25">
        <v>299</v>
      </c>
      <c r="W25">
        <v>299</v>
      </c>
      <c r="X25">
        <v>299</v>
      </c>
      <c r="Y25">
        <v>299</v>
      </c>
      <c r="Z25">
        <v>299</v>
      </c>
      <c r="AA25">
        <v>299</v>
      </c>
      <c r="AB25">
        <v>299</v>
      </c>
      <c r="AC25">
        <v>299</v>
      </c>
      <c r="AD25">
        <v>299</v>
      </c>
      <c r="AE25">
        <v>299</v>
      </c>
      <c r="AF25">
        <v>299</v>
      </c>
      <c r="AG25">
        <v>309.47000000000003</v>
      </c>
      <c r="AH25">
        <v>309.47000000000003</v>
      </c>
      <c r="AI25">
        <v>309.47000000000003</v>
      </c>
      <c r="AJ25">
        <v>309.47000000000003</v>
      </c>
      <c r="AK25">
        <v>309.47000000000003</v>
      </c>
      <c r="AL25">
        <v>309.47000000000003</v>
      </c>
      <c r="AM25">
        <v>309.47000000000003</v>
      </c>
    </row>
    <row r="26" spans="2:39" x14ac:dyDescent="0.25">
      <c r="B26">
        <v>23</v>
      </c>
      <c r="C26">
        <v>287.10000000000002</v>
      </c>
      <c r="D26">
        <v>287.10000000000002</v>
      </c>
      <c r="E26">
        <v>287.10000000000002</v>
      </c>
      <c r="F26">
        <v>287.10000000000002</v>
      </c>
      <c r="G26">
        <v>287.10000000000002</v>
      </c>
      <c r="H26">
        <v>287.10000000000002</v>
      </c>
      <c r="I26">
        <v>287.10000000000002</v>
      </c>
      <c r="J26">
        <v>287.10000000000002</v>
      </c>
      <c r="K26">
        <v>287.10000000000002</v>
      </c>
      <c r="L26">
        <v>287.10000000000002</v>
      </c>
      <c r="M26">
        <v>287.10000000000002</v>
      </c>
      <c r="N26">
        <v>287.10000000000002</v>
      </c>
      <c r="O26">
        <v>287.10000000000002</v>
      </c>
      <c r="P26">
        <v>287.10000000000002</v>
      </c>
      <c r="Q26">
        <v>287.10000000000002</v>
      </c>
      <c r="R26">
        <v>287.10000000000002</v>
      </c>
      <c r="S26">
        <v>287.10000000000002</v>
      </c>
      <c r="T26">
        <v>287.10000000000002</v>
      </c>
      <c r="U26">
        <v>287.10000000000002</v>
      </c>
      <c r="V26">
        <v>287.10000000000002</v>
      </c>
      <c r="W26">
        <v>287.10000000000002</v>
      </c>
      <c r="X26">
        <v>287.10000000000002</v>
      </c>
      <c r="Y26">
        <v>287.10000000000002</v>
      </c>
      <c r="Z26">
        <v>287.10000000000002</v>
      </c>
      <c r="AA26">
        <v>287.10000000000002</v>
      </c>
      <c r="AB26">
        <v>287.10000000000002</v>
      </c>
      <c r="AC26">
        <v>287.10000000000002</v>
      </c>
      <c r="AD26">
        <v>287.10000000000002</v>
      </c>
      <c r="AE26">
        <v>287.10000000000002</v>
      </c>
      <c r="AF26">
        <v>287.10000000000002</v>
      </c>
      <c r="AG26">
        <v>287.10000000000002</v>
      </c>
      <c r="AH26">
        <v>297.14999999999998</v>
      </c>
      <c r="AI26">
        <v>297.14999999999998</v>
      </c>
      <c r="AJ26">
        <v>297.14999999999998</v>
      </c>
      <c r="AK26">
        <v>297.14999999999998</v>
      </c>
      <c r="AL26">
        <v>297.14999999999998</v>
      </c>
      <c r="AM26">
        <v>297.14999999999998</v>
      </c>
    </row>
    <row r="27" spans="2:39" x14ac:dyDescent="0.25">
      <c r="B27">
        <v>24</v>
      </c>
      <c r="C27">
        <v>329</v>
      </c>
      <c r="D27">
        <v>329</v>
      </c>
      <c r="E27">
        <v>329</v>
      </c>
      <c r="F27">
        <v>329</v>
      </c>
      <c r="G27">
        <v>329</v>
      </c>
      <c r="H27">
        <v>329</v>
      </c>
      <c r="I27">
        <v>329</v>
      </c>
      <c r="J27">
        <v>329</v>
      </c>
      <c r="K27">
        <v>329</v>
      </c>
      <c r="L27">
        <v>329</v>
      </c>
      <c r="M27">
        <v>329</v>
      </c>
      <c r="N27">
        <v>329</v>
      </c>
      <c r="O27">
        <v>329</v>
      </c>
      <c r="P27">
        <v>329</v>
      </c>
      <c r="Q27">
        <v>329</v>
      </c>
      <c r="R27">
        <v>329</v>
      </c>
      <c r="S27">
        <v>329</v>
      </c>
      <c r="T27">
        <v>329</v>
      </c>
      <c r="U27">
        <v>329</v>
      </c>
      <c r="V27">
        <v>329</v>
      </c>
      <c r="W27">
        <v>329</v>
      </c>
      <c r="X27">
        <v>329</v>
      </c>
      <c r="Y27">
        <v>346.15</v>
      </c>
      <c r="Z27">
        <v>340.52</v>
      </c>
      <c r="AA27">
        <v>340.52</v>
      </c>
      <c r="AB27">
        <v>340.52</v>
      </c>
      <c r="AC27">
        <v>340.52</v>
      </c>
      <c r="AD27">
        <v>340.52</v>
      </c>
      <c r="AE27">
        <v>340.52</v>
      </c>
      <c r="AF27">
        <v>340.52</v>
      </c>
      <c r="AG27">
        <v>340.52</v>
      </c>
      <c r="AH27">
        <v>340.52</v>
      </c>
      <c r="AI27">
        <v>340.52</v>
      </c>
      <c r="AJ27">
        <v>352.44</v>
      </c>
      <c r="AK27">
        <v>352.44</v>
      </c>
      <c r="AL27">
        <v>352.44</v>
      </c>
      <c r="AM27">
        <v>352.44</v>
      </c>
    </row>
    <row r="28" spans="2:39" x14ac:dyDescent="0.25">
      <c r="B28">
        <v>25</v>
      </c>
      <c r="C28">
        <v>161.1</v>
      </c>
      <c r="D28">
        <v>161.1</v>
      </c>
      <c r="E28">
        <v>161.1</v>
      </c>
      <c r="F28">
        <v>161.1</v>
      </c>
      <c r="G28">
        <v>161.1</v>
      </c>
      <c r="H28">
        <v>161.1</v>
      </c>
      <c r="I28">
        <v>161.1</v>
      </c>
      <c r="J28">
        <v>161.1</v>
      </c>
      <c r="K28">
        <v>161.1</v>
      </c>
      <c r="L28">
        <v>161.07</v>
      </c>
      <c r="M28">
        <v>161.07</v>
      </c>
      <c r="N28">
        <v>161.07</v>
      </c>
      <c r="O28">
        <v>161.07</v>
      </c>
      <c r="P28">
        <v>161.07</v>
      </c>
      <c r="Q28">
        <v>169.55</v>
      </c>
      <c r="R28">
        <v>169.55</v>
      </c>
      <c r="S28">
        <v>169.55</v>
      </c>
      <c r="T28">
        <v>169.55</v>
      </c>
      <c r="U28">
        <v>169.55</v>
      </c>
      <c r="V28">
        <v>169.55</v>
      </c>
      <c r="W28">
        <v>169.55</v>
      </c>
      <c r="X28">
        <v>169.55</v>
      </c>
      <c r="Y28">
        <v>180.05</v>
      </c>
      <c r="Z28">
        <v>175.48</v>
      </c>
      <c r="AA28">
        <v>175.48</v>
      </c>
      <c r="AB28">
        <v>175.48</v>
      </c>
      <c r="AC28">
        <v>175.48</v>
      </c>
      <c r="AD28">
        <v>175.48</v>
      </c>
      <c r="AE28">
        <v>175.48</v>
      </c>
      <c r="AF28">
        <v>175.48</v>
      </c>
      <c r="AG28">
        <v>175.48</v>
      </c>
      <c r="AH28">
        <v>175.48</v>
      </c>
      <c r="AI28">
        <v>175.48</v>
      </c>
      <c r="AJ28">
        <v>181.62</v>
      </c>
      <c r="AK28">
        <v>181.62</v>
      </c>
      <c r="AL28">
        <v>181.62</v>
      </c>
      <c r="AM28">
        <v>181.62</v>
      </c>
    </row>
    <row r="29" spans="2:39" x14ac:dyDescent="0.25">
      <c r="B29">
        <v>26</v>
      </c>
      <c r="C29">
        <v>0</v>
      </c>
      <c r="D29">
        <v>0</v>
      </c>
      <c r="E29">
        <v>0</v>
      </c>
      <c r="F29">
        <v>170.05</v>
      </c>
      <c r="G29">
        <v>170.05</v>
      </c>
      <c r="H29">
        <v>170.05</v>
      </c>
      <c r="I29">
        <v>170.05</v>
      </c>
      <c r="J29">
        <v>170.05</v>
      </c>
      <c r="K29">
        <v>170.05</v>
      </c>
      <c r="L29">
        <v>170.05</v>
      </c>
      <c r="M29">
        <v>179</v>
      </c>
      <c r="N29">
        <v>179</v>
      </c>
      <c r="O29">
        <v>179</v>
      </c>
      <c r="P29">
        <v>179</v>
      </c>
      <c r="Q29">
        <v>179</v>
      </c>
      <c r="R29">
        <v>179</v>
      </c>
      <c r="S29">
        <v>179</v>
      </c>
      <c r="T29">
        <v>179</v>
      </c>
      <c r="U29">
        <v>179</v>
      </c>
      <c r="V29">
        <v>179</v>
      </c>
      <c r="W29">
        <v>179</v>
      </c>
      <c r="X29">
        <v>179</v>
      </c>
      <c r="Y29">
        <v>189.5</v>
      </c>
      <c r="Z29">
        <v>185.27</v>
      </c>
      <c r="AA29">
        <v>185.27</v>
      </c>
      <c r="AB29">
        <v>185.27</v>
      </c>
      <c r="AC29">
        <v>185.27</v>
      </c>
      <c r="AD29">
        <v>185.27</v>
      </c>
      <c r="AE29">
        <v>185.27</v>
      </c>
      <c r="AF29">
        <v>185.27</v>
      </c>
      <c r="AG29">
        <v>185.27</v>
      </c>
      <c r="AH29">
        <v>185.27</v>
      </c>
      <c r="AI29">
        <v>185.27</v>
      </c>
      <c r="AJ29">
        <v>191.75</v>
      </c>
      <c r="AK29">
        <v>191.75</v>
      </c>
      <c r="AL29">
        <v>191.75</v>
      </c>
      <c r="AM29">
        <v>191.75</v>
      </c>
    </row>
    <row r="30" spans="2:39" x14ac:dyDescent="0.25">
      <c r="B30">
        <v>27</v>
      </c>
      <c r="C30">
        <v>0</v>
      </c>
      <c r="D30">
        <v>0</v>
      </c>
      <c r="E30">
        <v>0</v>
      </c>
      <c r="F30">
        <v>245.65</v>
      </c>
      <c r="G30">
        <v>245.65</v>
      </c>
      <c r="H30">
        <v>245.65</v>
      </c>
      <c r="I30">
        <v>245.65</v>
      </c>
      <c r="J30">
        <v>245.65</v>
      </c>
      <c r="K30">
        <v>245.65</v>
      </c>
      <c r="L30">
        <v>245.65</v>
      </c>
      <c r="M30">
        <v>245.65</v>
      </c>
      <c r="N30">
        <v>245.65</v>
      </c>
      <c r="O30">
        <v>245.65</v>
      </c>
      <c r="P30">
        <v>245.65</v>
      </c>
      <c r="Q30">
        <v>245.65</v>
      </c>
      <c r="R30">
        <v>245.65</v>
      </c>
      <c r="S30">
        <v>245.65</v>
      </c>
      <c r="T30">
        <v>245.65</v>
      </c>
      <c r="U30">
        <v>245.65</v>
      </c>
      <c r="V30">
        <v>245.65</v>
      </c>
      <c r="W30">
        <v>245.65</v>
      </c>
      <c r="X30">
        <v>245.65</v>
      </c>
      <c r="Y30">
        <v>257.29000000000002</v>
      </c>
      <c r="Z30">
        <v>254.25</v>
      </c>
      <c r="AA30">
        <v>254.25</v>
      </c>
      <c r="AB30">
        <v>254.25</v>
      </c>
      <c r="AC30">
        <v>254.25</v>
      </c>
      <c r="AD30">
        <v>254.25</v>
      </c>
      <c r="AE30">
        <v>254.25</v>
      </c>
      <c r="AF30">
        <v>254.25</v>
      </c>
      <c r="AG30">
        <v>254.25</v>
      </c>
      <c r="AH30">
        <v>254.25</v>
      </c>
      <c r="AI30">
        <v>254.25</v>
      </c>
      <c r="AJ30">
        <v>254.25</v>
      </c>
      <c r="AK30">
        <v>254.25</v>
      </c>
      <c r="AL30">
        <v>254.25</v>
      </c>
      <c r="AM30">
        <v>254.25</v>
      </c>
    </row>
    <row r="31" spans="2:39" x14ac:dyDescent="0.25">
      <c r="B31">
        <v>28</v>
      </c>
      <c r="C31">
        <v>0</v>
      </c>
      <c r="D31">
        <v>0</v>
      </c>
      <c r="E31">
        <v>0</v>
      </c>
      <c r="F31">
        <v>53.54</v>
      </c>
      <c r="G31">
        <v>54.32</v>
      </c>
      <c r="H31">
        <v>51.46</v>
      </c>
      <c r="I31">
        <v>51.96</v>
      </c>
      <c r="J31">
        <v>49</v>
      </c>
      <c r="K31">
        <v>49</v>
      </c>
      <c r="L31">
        <v>49</v>
      </c>
      <c r="M31">
        <v>49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</row>
    <row r="32" spans="2:39" x14ac:dyDescent="0.25">
      <c r="B32">
        <v>29</v>
      </c>
      <c r="C32">
        <v>0</v>
      </c>
      <c r="D32">
        <v>0</v>
      </c>
      <c r="E32">
        <v>0</v>
      </c>
      <c r="F32">
        <v>87.99</v>
      </c>
      <c r="G32">
        <v>87.99</v>
      </c>
      <c r="H32">
        <v>87.99</v>
      </c>
      <c r="I32">
        <v>87.99</v>
      </c>
      <c r="J32">
        <v>87.99</v>
      </c>
      <c r="K32">
        <v>87.99</v>
      </c>
      <c r="L32">
        <v>87.99</v>
      </c>
      <c r="M32">
        <v>87.99</v>
      </c>
      <c r="N32">
        <v>87.99</v>
      </c>
      <c r="O32">
        <v>87.99</v>
      </c>
      <c r="P32">
        <v>87.99</v>
      </c>
      <c r="Q32">
        <v>87.99</v>
      </c>
      <c r="R32">
        <v>87.99</v>
      </c>
      <c r="S32">
        <v>87.99</v>
      </c>
      <c r="T32">
        <v>87.99</v>
      </c>
      <c r="U32">
        <v>87.99</v>
      </c>
      <c r="V32">
        <v>87.99</v>
      </c>
      <c r="W32">
        <v>87.99</v>
      </c>
      <c r="X32">
        <v>87.99</v>
      </c>
      <c r="Y32">
        <v>87.99</v>
      </c>
      <c r="Z32">
        <v>87.99</v>
      </c>
      <c r="AA32">
        <v>87.99</v>
      </c>
      <c r="AB32">
        <v>87.99</v>
      </c>
      <c r="AC32">
        <v>87.99</v>
      </c>
      <c r="AD32">
        <v>87.99</v>
      </c>
      <c r="AE32">
        <v>87.99</v>
      </c>
      <c r="AF32">
        <v>87.99</v>
      </c>
      <c r="AG32">
        <v>87.99</v>
      </c>
      <c r="AH32">
        <v>87.99</v>
      </c>
      <c r="AI32">
        <v>87.99</v>
      </c>
      <c r="AJ32">
        <v>87.99</v>
      </c>
      <c r="AK32">
        <v>87.99</v>
      </c>
      <c r="AL32">
        <v>87.99</v>
      </c>
      <c r="AM32">
        <v>87.99</v>
      </c>
    </row>
    <row r="33" spans="2:39" x14ac:dyDescent="0.25">
      <c r="B33">
        <v>30</v>
      </c>
      <c r="C33">
        <v>0</v>
      </c>
      <c r="D33">
        <v>0</v>
      </c>
      <c r="E33">
        <v>0</v>
      </c>
      <c r="F33">
        <v>98.25</v>
      </c>
      <c r="G33">
        <v>107.25</v>
      </c>
      <c r="H33">
        <v>97.609999999999985</v>
      </c>
      <c r="I33">
        <v>128.61000000000001</v>
      </c>
      <c r="J33">
        <v>87.99</v>
      </c>
      <c r="K33">
        <v>87.99</v>
      </c>
      <c r="L33">
        <v>87.99</v>
      </c>
      <c r="M33">
        <v>87.99</v>
      </c>
      <c r="N33">
        <v>87.99</v>
      </c>
      <c r="O33">
        <v>87.99</v>
      </c>
      <c r="P33">
        <v>87.99</v>
      </c>
      <c r="Q33">
        <v>87.99</v>
      </c>
      <c r="R33">
        <v>87.99</v>
      </c>
      <c r="S33">
        <v>87.99</v>
      </c>
      <c r="T33">
        <v>87.99</v>
      </c>
      <c r="U33">
        <v>87.99</v>
      </c>
      <c r="V33">
        <v>87.99</v>
      </c>
      <c r="W33">
        <v>87.99</v>
      </c>
      <c r="X33">
        <v>87.99</v>
      </c>
      <c r="Y33">
        <v>87.99</v>
      </c>
      <c r="Z33">
        <v>87.99</v>
      </c>
      <c r="AA33">
        <v>87.99</v>
      </c>
      <c r="AB33">
        <v>87.99</v>
      </c>
      <c r="AC33">
        <v>87.99</v>
      </c>
      <c r="AD33">
        <v>87.99</v>
      </c>
      <c r="AE33">
        <v>87.99</v>
      </c>
      <c r="AF33">
        <v>87.99</v>
      </c>
      <c r="AG33">
        <v>87.99</v>
      </c>
      <c r="AH33">
        <v>87.99</v>
      </c>
      <c r="AI33">
        <v>87.99</v>
      </c>
      <c r="AJ33">
        <v>87.99</v>
      </c>
      <c r="AK33">
        <v>87.99</v>
      </c>
      <c r="AL33">
        <v>87.99</v>
      </c>
      <c r="AM33">
        <v>87.99</v>
      </c>
    </row>
    <row r="34" spans="2:39" x14ac:dyDescent="0.25">
      <c r="B34">
        <v>31</v>
      </c>
      <c r="C34">
        <v>0</v>
      </c>
      <c r="D34">
        <v>0</v>
      </c>
      <c r="E34">
        <v>0</v>
      </c>
      <c r="F34">
        <v>350.2</v>
      </c>
      <c r="G34">
        <v>350.2</v>
      </c>
      <c r="H34">
        <v>350.2</v>
      </c>
      <c r="I34">
        <v>350.2</v>
      </c>
      <c r="J34">
        <v>350.2</v>
      </c>
      <c r="K34">
        <v>350.2</v>
      </c>
      <c r="L34">
        <v>350.2</v>
      </c>
      <c r="M34">
        <v>350.2</v>
      </c>
      <c r="N34">
        <v>350.2</v>
      </c>
      <c r="O34">
        <v>350.2</v>
      </c>
      <c r="P34">
        <v>350.2</v>
      </c>
      <c r="Q34">
        <v>350.2</v>
      </c>
      <c r="R34">
        <v>350.2</v>
      </c>
      <c r="S34">
        <v>350.2</v>
      </c>
      <c r="T34">
        <v>350.2</v>
      </c>
      <c r="U34">
        <v>350.2</v>
      </c>
      <c r="V34">
        <v>350.2</v>
      </c>
      <c r="W34">
        <v>350.2</v>
      </c>
      <c r="X34">
        <v>350.2</v>
      </c>
      <c r="Y34">
        <v>350.2</v>
      </c>
      <c r="Z34">
        <v>361.79</v>
      </c>
      <c r="AA34">
        <v>361.79</v>
      </c>
      <c r="AB34">
        <v>361.79</v>
      </c>
      <c r="AC34">
        <v>361.79</v>
      </c>
      <c r="AD34">
        <v>361.79</v>
      </c>
      <c r="AE34">
        <v>361.79</v>
      </c>
      <c r="AF34">
        <v>361.79</v>
      </c>
      <c r="AG34">
        <v>361.79</v>
      </c>
      <c r="AH34">
        <v>361.79</v>
      </c>
      <c r="AI34">
        <v>361.79</v>
      </c>
      <c r="AJ34">
        <v>361.79</v>
      </c>
      <c r="AK34">
        <v>361.79</v>
      </c>
      <c r="AL34">
        <v>361.79</v>
      </c>
      <c r="AM34">
        <v>361.79</v>
      </c>
    </row>
    <row r="35" spans="2:39" x14ac:dyDescent="0.25">
      <c r="B35">
        <v>32</v>
      </c>
      <c r="C35">
        <v>0</v>
      </c>
      <c r="D35">
        <v>0</v>
      </c>
      <c r="E35">
        <v>0</v>
      </c>
      <c r="F35">
        <v>296.64999999999998</v>
      </c>
      <c r="G35">
        <v>296.64999999999998</v>
      </c>
      <c r="H35">
        <v>296.64999999999998</v>
      </c>
      <c r="I35">
        <v>296.64999999999998</v>
      </c>
      <c r="J35">
        <v>296.64999999999998</v>
      </c>
      <c r="K35">
        <v>296.64999999999998</v>
      </c>
      <c r="L35">
        <v>296.64999999999998</v>
      </c>
      <c r="M35">
        <v>296.64999999999998</v>
      </c>
      <c r="N35">
        <v>296.64999999999998</v>
      </c>
      <c r="O35">
        <v>296.64999999999998</v>
      </c>
      <c r="P35">
        <v>296.64999999999998</v>
      </c>
      <c r="Q35">
        <v>296.64999999999998</v>
      </c>
      <c r="R35">
        <v>296.64999999999998</v>
      </c>
      <c r="S35">
        <v>296.64999999999998</v>
      </c>
      <c r="T35">
        <v>296.64999999999998</v>
      </c>
      <c r="U35">
        <v>296.64999999999998</v>
      </c>
      <c r="V35">
        <v>296.64999999999998</v>
      </c>
      <c r="W35">
        <v>296.64999999999998</v>
      </c>
      <c r="X35">
        <v>296.64999999999998</v>
      </c>
      <c r="Y35">
        <v>296.64999999999998</v>
      </c>
      <c r="Z35">
        <v>307.04000000000002</v>
      </c>
      <c r="AA35">
        <v>307.04000000000002</v>
      </c>
      <c r="AB35">
        <v>307.04000000000002</v>
      </c>
      <c r="AC35">
        <v>307.04000000000002</v>
      </c>
      <c r="AD35">
        <v>307.04000000000002</v>
      </c>
      <c r="AE35">
        <v>307.04000000000002</v>
      </c>
      <c r="AF35">
        <v>307.04000000000002</v>
      </c>
      <c r="AG35">
        <v>307.04000000000002</v>
      </c>
      <c r="AH35">
        <v>307.04000000000002</v>
      </c>
      <c r="AI35">
        <v>307.04000000000002</v>
      </c>
      <c r="AJ35">
        <v>307.04000000000002</v>
      </c>
      <c r="AK35">
        <v>307.04000000000002</v>
      </c>
      <c r="AL35">
        <v>307.04000000000002</v>
      </c>
      <c r="AM35">
        <v>307.04000000000002</v>
      </c>
    </row>
    <row r="36" spans="2:39" x14ac:dyDescent="0.25">
      <c r="B36">
        <v>33</v>
      </c>
      <c r="C36">
        <v>99.33</v>
      </c>
      <c r="D36">
        <v>99.33</v>
      </c>
      <c r="E36">
        <v>99</v>
      </c>
      <c r="F36">
        <v>99.460000000000008</v>
      </c>
      <c r="G36">
        <v>99.15</v>
      </c>
      <c r="H36">
        <v>100.8</v>
      </c>
      <c r="I36">
        <v>99.74</v>
      </c>
      <c r="J36">
        <v>99</v>
      </c>
      <c r="K36">
        <v>99</v>
      </c>
      <c r="L36">
        <v>99</v>
      </c>
      <c r="M36">
        <v>99</v>
      </c>
      <c r="N36">
        <v>99</v>
      </c>
      <c r="O36">
        <v>99</v>
      </c>
      <c r="P36">
        <v>99</v>
      </c>
      <c r="Q36">
        <v>99</v>
      </c>
      <c r="R36">
        <v>99</v>
      </c>
      <c r="S36">
        <v>99</v>
      </c>
      <c r="T36">
        <v>99</v>
      </c>
      <c r="U36">
        <v>99</v>
      </c>
      <c r="V36">
        <v>99</v>
      </c>
      <c r="W36">
        <v>99</v>
      </c>
      <c r="X36">
        <v>99</v>
      </c>
      <c r="Y36">
        <v>99</v>
      </c>
      <c r="Z36">
        <v>99</v>
      </c>
      <c r="AA36">
        <v>99</v>
      </c>
      <c r="AB36">
        <v>28.71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</row>
    <row r="37" spans="2:39" x14ac:dyDescent="0.25">
      <c r="B37">
        <v>34</v>
      </c>
      <c r="C37">
        <v>239</v>
      </c>
      <c r="D37">
        <v>239</v>
      </c>
      <c r="E37">
        <v>239</v>
      </c>
      <c r="F37">
        <v>239</v>
      </c>
      <c r="G37">
        <v>239</v>
      </c>
      <c r="H37">
        <v>239</v>
      </c>
      <c r="I37">
        <v>239</v>
      </c>
      <c r="J37">
        <v>239</v>
      </c>
      <c r="K37">
        <v>239</v>
      </c>
      <c r="L37">
        <v>239</v>
      </c>
      <c r="M37">
        <v>239</v>
      </c>
      <c r="N37">
        <v>239</v>
      </c>
      <c r="O37">
        <v>239</v>
      </c>
      <c r="P37">
        <v>239</v>
      </c>
      <c r="Q37">
        <v>239</v>
      </c>
      <c r="R37">
        <v>239</v>
      </c>
      <c r="S37">
        <v>239</v>
      </c>
      <c r="T37">
        <v>239</v>
      </c>
      <c r="U37">
        <v>239</v>
      </c>
      <c r="V37">
        <v>239</v>
      </c>
      <c r="W37">
        <v>239</v>
      </c>
      <c r="X37">
        <v>239</v>
      </c>
      <c r="Y37">
        <v>239</v>
      </c>
      <c r="Z37">
        <v>247.37</v>
      </c>
      <c r="AA37">
        <v>247.37</v>
      </c>
      <c r="AB37">
        <v>247.37</v>
      </c>
      <c r="AC37">
        <v>247.37</v>
      </c>
      <c r="AD37">
        <v>247.37</v>
      </c>
      <c r="AE37">
        <v>247.37</v>
      </c>
      <c r="AF37">
        <v>247.37</v>
      </c>
      <c r="AG37">
        <v>247.37</v>
      </c>
      <c r="AH37">
        <v>247.37</v>
      </c>
      <c r="AI37">
        <v>247.37</v>
      </c>
      <c r="AJ37">
        <v>247.37</v>
      </c>
      <c r="AK37">
        <v>247.37</v>
      </c>
      <c r="AL37">
        <v>247.37</v>
      </c>
      <c r="AM37">
        <v>247.37</v>
      </c>
    </row>
    <row r="38" spans="2:39" x14ac:dyDescent="0.25">
      <c r="B38">
        <v>35</v>
      </c>
      <c r="C38">
        <v>269</v>
      </c>
      <c r="D38">
        <v>269</v>
      </c>
      <c r="E38">
        <v>269</v>
      </c>
      <c r="F38">
        <v>269</v>
      </c>
      <c r="G38">
        <v>269</v>
      </c>
      <c r="H38">
        <v>269</v>
      </c>
      <c r="I38">
        <v>269</v>
      </c>
      <c r="J38">
        <v>261.73</v>
      </c>
      <c r="K38">
        <v>261.73</v>
      </c>
      <c r="L38">
        <v>269.10000000000002</v>
      </c>
      <c r="M38">
        <v>269.10000000000002</v>
      </c>
      <c r="N38">
        <v>269.10000000000002</v>
      </c>
      <c r="O38">
        <v>269.10000000000002</v>
      </c>
      <c r="P38">
        <v>269.10000000000002</v>
      </c>
      <c r="Q38">
        <v>269.10000000000002</v>
      </c>
      <c r="R38">
        <v>269.10000000000002</v>
      </c>
      <c r="S38">
        <v>269.10000000000002</v>
      </c>
      <c r="T38">
        <v>269.10000000000002</v>
      </c>
      <c r="U38">
        <v>269.10000000000002</v>
      </c>
      <c r="V38">
        <v>254.15</v>
      </c>
      <c r="W38">
        <v>254.15</v>
      </c>
      <c r="X38">
        <v>254.15</v>
      </c>
      <c r="Y38">
        <v>254.15</v>
      </c>
      <c r="Z38">
        <v>254.15</v>
      </c>
      <c r="AA38">
        <v>263.05</v>
      </c>
      <c r="AB38">
        <v>287.81</v>
      </c>
      <c r="AC38">
        <v>287.81</v>
      </c>
      <c r="AD38">
        <v>296.67</v>
      </c>
      <c r="AE38">
        <v>287.10000000000002</v>
      </c>
      <c r="AF38">
        <v>287.10000000000002</v>
      </c>
      <c r="AG38">
        <v>287.10000000000002</v>
      </c>
      <c r="AH38">
        <v>287.10000000000002</v>
      </c>
      <c r="AI38">
        <v>287.10000000000002</v>
      </c>
      <c r="AJ38">
        <v>287.10000000000002</v>
      </c>
      <c r="AK38">
        <v>287.10000000000002</v>
      </c>
      <c r="AL38">
        <v>287.10000000000002</v>
      </c>
      <c r="AM38">
        <v>287.10000000000002</v>
      </c>
    </row>
    <row r="39" spans="2:39" x14ac:dyDescent="0.25">
      <c r="B39">
        <v>36</v>
      </c>
      <c r="C39">
        <v>219</v>
      </c>
      <c r="D39">
        <v>219</v>
      </c>
      <c r="E39">
        <v>219</v>
      </c>
      <c r="F39">
        <v>219</v>
      </c>
      <c r="G39">
        <v>219</v>
      </c>
      <c r="H39">
        <v>219</v>
      </c>
      <c r="I39">
        <v>219</v>
      </c>
      <c r="J39">
        <v>219</v>
      </c>
      <c r="K39">
        <v>219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</row>
    <row r="40" spans="2:39" x14ac:dyDescent="0.25">
      <c r="B40">
        <v>37</v>
      </c>
      <c r="C40">
        <v>245.65</v>
      </c>
      <c r="D40">
        <v>245.65</v>
      </c>
      <c r="E40">
        <v>245.65</v>
      </c>
      <c r="F40">
        <v>245.65</v>
      </c>
      <c r="G40">
        <v>245.65</v>
      </c>
      <c r="H40">
        <v>245.65</v>
      </c>
      <c r="I40">
        <v>245.65</v>
      </c>
      <c r="J40">
        <v>245.65</v>
      </c>
      <c r="K40">
        <v>245.65</v>
      </c>
      <c r="L40">
        <v>245.65</v>
      </c>
      <c r="M40">
        <v>245.65</v>
      </c>
      <c r="N40">
        <v>245.65</v>
      </c>
      <c r="O40">
        <v>245.65</v>
      </c>
      <c r="P40">
        <v>245.65</v>
      </c>
      <c r="Q40">
        <v>245.65</v>
      </c>
      <c r="R40">
        <v>245.65</v>
      </c>
      <c r="S40">
        <v>245.65</v>
      </c>
      <c r="T40">
        <v>245.65</v>
      </c>
      <c r="U40">
        <v>245.65</v>
      </c>
      <c r="V40">
        <v>245.65</v>
      </c>
      <c r="W40">
        <v>245.65</v>
      </c>
      <c r="X40">
        <v>245.65</v>
      </c>
      <c r="Y40">
        <v>245.65</v>
      </c>
      <c r="Z40">
        <v>245.65</v>
      </c>
      <c r="AA40">
        <v>254.25</v>
      </c>
      <c r="AB40">
        <v>254.25</v>
      </c>
      <c r="AC40">
        <v>254.25</v>
      </c>
      <c r="AD40">
        <v>106.25</v>
      </c>
      <c r="AE40">
        <v>106.25</v>
      </c>
      <c r="AF40">
        <v>106.25</v>
      </c>
      <c r="AG40">
        <v>106.25</v>
      </c>
      <c r="AH40">
        <v>106.25</v>
      </c>
      <c r="AI40">
        <v>106.25</v>
      </c>
      <c r="AJ40">
        <v>106.25</v>
      </c>
      <c r="AK40">
        <v>106.25</v>
      </c>
      <c r="AL40">
        <v>106.25</v>
      </c>
      <c r="AM40">
        <v>106.25</v>
      </c>
    </row>
    <row r="41" spans="2:39" x14ac:dyDescent="0.25">
      <c r="B41">
        <v>38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219</v>
      </c>
      <c r="W41">
        <v>219</v>
      </c>
      <c r="X41">
        <v>219</v>
      </c>
      <c r="Y41">
        <v>219</v>
      </c>
      <c r="Z41">
        <v>219</v>
      </c>
      <c r="AA41">
        <v>219</v>
      </c>
      <c r="AB41">
        <v>219</v>
      </c>
      <c r="AC41">
        <v>219</v>
      </c>
      <c r="AD41">
        <v>226.67</v>
      </c>
      <c r="AE41">
        <v>226.67</v>
      </c>
      <c r="AF41">
        <v>226.67</v>
      </c>
      <c r="AG41">
        <v>226.67</v>
      </c>
      <c r="AH41">
        <v>226.67</v>
      </c>
      <c r="AI41">
        <v>226.67</v>
      </c>
      <c r="AJ41">
        <v>226.67</v>
      </c>
      <c r="AK41">
        <v>226.67</v>
      </c>
      <c r="AL41">
        <v>226.67</v>
      </c>
      <c r="AM41">
        <v>226.67</v>
      </c>
    </row>
    <row r="42" spans="2:39" x14ac:dyDescent="0.25">
      <c r="B42">
        <v>39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296.10000000000002</v>
      </c>
      <c r="W42">
        <v>296.10000000000002</v>
      </c>
      <c r="X42">
        <v>296.10000000000002</v>
      </c>
      <c r="Y42">
        <v>296.10000000000002</v>
      </c>
      <c r="Z42">
        <v>296.10000000000002</v>
      </c>
      <c r="AA42">
        <v>296.10000000000002</v>
      </c>
      <c r="AB42">
        <v>296.10000000000002</v>
      </c>
      <c r="AC42">
        <v>296.10000000000002</v>
      </c>
      <c r="AD42">
        <v>306.45999999999998</v>
      </c>
      <c r="AE42">
        <v>306.45999999999998</v>
      </c>
      <c r="AF42">
        <v>306.45999999999998</v>
      </c>
      <c r="AG42">
        <v>306.45999999999998</v>
      </c>
      <c r="AH42">
        <v>306.45999999999998</v>
      </c>
      <c r="AI42">
        <v>306.45999999999998</v>
      </c>
      <c r="AJ42">
        <v>306.45999999999998</v>
      </c>
      <c r="AK42">
        <v>306.45999999999998</v>
      </c>
      <c r="AL42">
        <v>306.45999999999998</v>
      </c>
      <c r="AM42">
        <v>306.45999999999998</v>
      </c>
    </row>
    <row r="43" spans="2:39" x14ac:dyDescent="0.25">
      <c r="B43">
        <v>40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239</v>
      </c>
      <c r="W43">
        <v>239</v>
      </c>
      <c r="X43">
        <v>239</v>
      </c>
      <c r="Y43">
        <v>239</v>
      </c>
      <c r="Z43">
        <v>239</v>
      </c>
      <c r="AA43">
        <v>239</v>
      </c>
      <c r="AB43">
        <v>239</v>
      </c>
      <c r="AC43">
        <v>239</v>
      </c>
      <c r="AD43">
        <v>247.37</v>
      </c>
      <c r="AE43">
        <v>247.37</v>
      </c>
      <c r="AF43">
        <v>247.37</v>
      </c>
      <c r="AG43">
        <v>247.37</v>
      </c>
      <c r="AH43">
        <v>247.37</v>
      </c>
      <c r="AI43">
        <v>247.37</v>
      </c>
      <c r="AJ43">
        <v>247.37</v>
      </c>
      <c r="AK43">
        <v>247.37</v>
      </c>
      <c r="AL43">
        <v>247.37</v>
      </c>
      <c r="AM43">
        <v>247.37</v>
      </c>
    </row>
    <row r="44" spans="2:39" x14ac:dyDescent="0.25">
      <c r="B44">
        <v>41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229</v>
      </c>
      <c r="W44">
        <v>229</v>
      </c>
      <c r="X44">
        <v>229</v>
      </c>
      <c r="Y44">
        <v>229</v>
      </c>
      <c r="Z44">
        <v>229</v>
      </c>
      <c r="AA44">
        <v>229</v>
      </c>
      <c r="AB44">
        <v>229</v>
      </c>
      <c r="AC44">
        <v>229</v>
      </c>
      <c r="AD44">
        <v>237.02</v>
      </c>
      <c r="AE44">
        <v>237.02</v>
      </c>
      <c r="AF44">
        <v>237.02</v>
      </c>
      <c r="AG44">
        <v>237.02</v>
      </c>
      <c r="AH44">
        <v>237.02</v>
      </c>
      <c r="AI44">
        <v>237.02</v>
      </c>
      <c r="AJ44">
        <v>237.02</v>
      </c>
      <c r="AK44">
        <v>237.02</v>
      </c>
      <c r="AL44">
        <v>237.02</v>
      </c>
      <c r="AM44">
        <v>237.02</v>
      </c>
    </row>
    <row r="45" spans="2:39" x14ac:dyDescent="0.25">
      <c r="B45">
        <v>42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69</v>
      </c>
      <c r="W45">
        <v>69</v>
      </c>
      <c r="X45">
        <v>69</v>
      </c>
      <c r="Y45">
        <v>69</v>
      </c>
      <c r="Z45">
        <v>69</v>
      </c>
      <c r="AA45">
        <v>69</v>
      </c>
      <c r="AB45">
        <v>69</v>
      </c>
      <c r="AC45">
        <v>69</v>
      </c>
      <c r="AD45">
        <v>69</v>
      </c>
      <c r="AE45">
        <v>69</v>
      </c>
      <c r="AF45">
        <v>69</v>
      </c>
      <c r="AG45">
        <v>69</v>
      </c>
      <c r="AH45">
        <v>69</v>
      </c>
      <c r="AI45">
        <v>69</v>
      </c>
      <c r="AJ45">
        <v>69</v>
      </c>
      <c r="AK45">
        <v>69</v>
      </c>
      <c r="AL45">
        <v>69</v>
      </c>
      <c r="AM45">
        <v>69</v>
      </c>
    </row>
    <row r="46" spans="2:39" x14ac:dyDescent="0.25">
      <c r="B46">
        <v>43</v>
      </c>
      <c r="C46">
        <v>69</v>
      </c>
      <c r="D46">
        <v>69</v>
      </c>
      <c r="E46">
        <v>69</v>
      </c>
      <c r="F46">
        <v>69</v>
      </c>
      <c r="G46">
        <v>69</v>
      </c>
      <c r="H46">
        <v>69</v>
      </c>
      <c r="I46">
        <v>69</v>
      </c>
      <c r="J46">
        <v>69</v>
      </c>
      <c r="K46">
        <v>69</v>
      </c>
      <c r="L46">
        <v>69</v>
      </c>
      <c r="M46">
        <v>69</v>
      </c>
      <c r="N46">
        <v>69</v>
      </c>
      <c r="O46">
        <v>69</v>
      </c>
      <c r="P46">
        <v>69</v>
      </c>
      <c r="Q46">
        <v>69</v>
      </c>
      <c r="R46">
        <v>69</v>
      </c>
      <c r="S46">
        <v>69</v>
      </c>
      <c r="T46">
        <v>69</v>
      </c>
      <c r="U46">
        <v>69</v>
      </c>
      <c r="V46">
        <v>69</v>
      </c>
      <c r="W46">
        <v>69</v>
      </c>
      <c r="X46">
        <v>69</v>
      </c>
      <c r="Y46">
        <v>69</v>
      </c>
      <c r="Z46">
        <v>69</v>
      </c>
      <c r="AA46">
        <v>69</v>
      </c>
      <c r="AB46">
        <v>69</v>
      </c>
      <c r="AC46">
        <v>69</v>
      </c>
      <c r="AD46">
        <v>69</v>
      </c>
      <c r="AE46">
        <v>69</v>
      </c>
      <c r="AF46">
        <v>69</v>
      </c>
      <c r="AG46">
        <v>69</v>
      </c>
      <c r="AH46">
        <v>69</v>
      </c>
      <c r="AI46">
        <v>69</v>
      </c>
      <c r="AJ46">
        <v>69</v>
      </c>
      <c r="AK46">
        <v>69</v>
      </c>
      <c r="AL46">
        <v>69</v>
      </c>
      <c r="AM46">
        <v>69</v>
      </c>
    </row>
    <row r="47" spans="2:39" x14ac:dyDescent="0.25">
      <c r="B47">
        <v>44</v>
      </c>
      <c r="C47">
        <v>69</v>
      </c>
      <c r="D47">
        <v>69</v>
      </c>
      <c r="E47">
        <v>69</v>
      </c>
      <c r="F47">
        <v>69</v>
      </c>
      <c r="G47">
        <v>69</v>
      </c>
      <c r="H47">
        <v>69</v>
      </c>
      <c r="I47">
        <v>69</v>
      </c>
      <c r="J47">
        <v>69</v>
      </c>
      <c r="K47">
        <v>69</v>
      </c>
      <c r="L47">
        <v>69</v>
      </c>
      <c r="M47">
        <v>69</v>
      </c>
      <c r="N47">
        <v>69</v>
      </c>
      <c r="O47">
        <v>69</v>
      </c>
      <c r="P47">
        <v>69</v>
      </c>
      <c r="Q47">
        <v>69</v>
      </c>
      <c r="R47">
        <v>69</v>
      </c>
      <c r="S47">
        <v>69</v>
      </c>
      <c r="T47">
        <v>69</v>
      </c>
      <c r="U47">
        <v>69</v>
      </c>
      <c r="V47">
        <v>69</v>
      </c>
      <c r="W47">
        <v>69</v>
      </c>
      <c r="X47">
        <v>69</v>
      </c>
      <c r="Y47">
        <v>69</v>
      </c>
      <c r="Z47">
        <v>69</v>
      </c>
      <c r="AA47">
        <v>69</v>
      </c>
      <c r="AB47">
        <v>69</v>
      </c>
      <c r="AC47">
        <v>69</v>
      </c>
      <c r="AD47">
        <v>69</v>
      </c>
      <c r="AE47">
        <v>69</v>
      </c>
      <c r="AF47">
        <v>69</v>
      </c>
      <c r="AG47">
        <v>69</v>
      </c>
      <c r="AH47">
        <v>69</v>
      </c>
      <c r="AI47">
        <v>69</v>
      </c>
      <c r="AJ47">
        <v>69</v>
      </c>
      <c r="AK47">
        <v>69</v>
      </c>
      <c r="AL47">
        <v>69</v>
      </c>
      <c r="AM47">
        <v>69</v>
      </c>
    </row>
    <row r="48" spans="2:39" x14ac:dyDescent="0.25">
      <c r="B48">
        <v>45</v>
      </c>
      <c r="C48">
        <v>333.1</v>
      </c>
      <c r="D48">
        <v>333.1</v>
      </c>
      <c r="E48">
        <v>333.1</v>
      </c>
      <c r="F48">
        <v>333.1</v>
      </c>
      <c r="G48">
        <v>333.1</v>
      </c>
      <c r="H48">
        <v>333.1</v>
      </c>
      <c r="I48">
        <v>333.1</v>
      </c>
      <c r="J48">
        <v>333.1</v>
      </c>
      <c r="K48">
        <v>333.1</v>
      </c>
      <c r="L48">
        <v>333.1</v>
      </c>
      <c r="M48">
        <v>333.1</v>
      </c>
      <c r="N48">
        <v>333.1</v>
      </c>
      <c r="O48">
        <v>333.1</v>
      </c>
      <c r="P48">
        <v>333.1</v>
      </c>
      <c r="Q48">
        <v>333.1</v>
      </c>
      <c r="R48">
        <v>333.1</v>
      </c>
      <c r="S48">
        <v>333.1</v>
      </c>
      <c r="T48">
        <v>333.1</v>
      </c>
      <c r="U48">
        <v>333.1</v>
      </c>
      <c r="V48">
        <v>333.1</v>
      </c>
      <c r="W48">
        <v>333.1</v>
      </c>
      <c r="X48">
        <v>333.1</v>
      </c>
      <c r="Y48">
        <v>333.1</v>
      </c>
      <c r="Z48">
        <v>333.1</v>
      </c>
      <c r="AA48">
        <v>333.1</v>
      </c>
      <c r="AB48">
        <v>333.1</v>
      </c>
      <c r="AC48">
        <v>333.1</v>
      </c>
      <c r="AD48">
        <v>344.09</v>
      </c>
      <c r="AE48">
        <v>344.09</v>
      </c>
      <c r="AF48">
        <v>344.09</v>
      </c>
      <c r="AG48">
        <v>344.09</v>
      </c>
      <c r="AH48">
        <v>344.09</v>
      </c>
      <c r="AI48">
        <v>344.09</v>
      </c>
      <c r="AJ48">
        <v>344.09</v>
      </c>
      <c r="AK48">
        <v>344.09</v>
      </c>
      <c r="AL48">
        <v>344.09</v>
      </c>
      <c r="AM48">
        <v>344.09</v>
      </c>
    </row>
    <row r="49" spans="2:39" x14ac:dyDescent="0.25">
      <c r="B49">
        <v>46</v>
      </c>
      <c r="C49">
        <v>225.82</v>
      </c>
      <c r="D49">
        <v>225.82</v>
      </c>
      <c r="E49">
        <v>229.9</v>
      </c>
      <c r="F49">
        <v>225.16</v>
      </c>
      <c r="G49">
        <v>233.9</v>
      </c>
      <c r="H49">
        <v>234.32</v>
      </c>
      <c r="I49">
        <v>230.1</v>
      </c>
      <c r="J49">
        <v>219</v>
      </c>
      <c r="K49">
        <v>219</v>
      </c>
      <c r="L49">
        <v>219</v>
      </c>
      <c r="M49">
        <v>219</v>
      </c>
      <c r="N49">
        <v>219</v>
      </c>
      <c r="O49">
        <v>219</v>
      </c>
      <c r="P49">
        <v>219</v>
      </c>
      <c r="Q49">
        <v>219</v>
      </c>
      <c r="R49">
        <v>219</v>
      </c>
      <c r="S49">
        <v>219</v>
      </c>
      <c r="T49">
        <v>219</v>
      </c>
      <c r="U49">
        <v>219</v>
      </c>
      <c r="V49">
        <v>219</v>
      </c>
      <c r="W49">
        <v>219</v>
      </c>
      <c r="X49">
        <v>219</v>
      </c>
      <c r="Y49">
        <v>219</v>
      </c>
      <c r="Z49">
        <v>219</v>
      </c>
      <c r="AA49">
        <v>219</v>
      </c>
      <c r="AB49">
        <v>219</v>
      </c>
      <c r="AC49">
        <v>219</v>
      </c>
      <c r="AD49">
        <v>226.67</v>
      </c>
      <c r="AE49">
        <v>226.67</v>
      </c>
      <c r="AF49">
        <v>226.67</v>
      </c>
      <c r="AG49">
        <v>226.67</v>
      </c>
      <c r="AH49">
        <v>226.67</v>
      </c>
      <c r="AI49">
        <v>226.67</v>
      </c>
      <c r="AJ49">
        <v>226.67</v>
      </c>
      <c r="AK49">
        <v>226.67</v>
      </c>
      <c r="AL49">
        <v>226.67</v>
      </c>
      <c r="AM49">
        <v>226.67</v>
      </c>
    </row>
    <row r="50" spans="2:39" x14ac:dyDescent="0.25">
      <c r="B50">
        <v>47</v>
      </c>
      <c r="C50">
        <v>169</v>
      </c>
      <c r="D50">
        <v>169</v>
      </c>
      <c r="E50">
        <v>169</v>
      </c>
      <c r="F50">
        <v>169</v>
      </c>
      <c r="G50">
        <v>169</v>
      </c>
      <c r="H50">
        <v>169</v>
      </c>
      <c r="I50">
        <v>169</v>
      </c>
      <c r="J50">
        <v>169</v>
      </c>
      <c r="K50">
        <v>169</v>
      </c>
      <c r="L50">
        <v>169</v>
      </c>
      <c r="M50">
        <v>169</v>
      </c>
      <c r="N50">
        <v>169</v>
      </c>
      <c r="O50">
        <v>169</v>
      </c>
      <c r="P50">
        <v>169</v>
      </c>
      <c r="Q50">
        <v>179</v>
      </c>
      <c r="R50">
        <v>179</v>
      </c>
      <c r="S50">
        <v>179</v>
      </c>
      <c r="T50">
        <v>179</v>
      </c>
      <c r="U50">
        <v>179</v>
      </c>
      <c r="V50">
        <v>179</v>
      </c>
      <c r="W50">
        <v>179</v>
      </c>
      <c r="X50">
        <v>179</v>
      </c>
      <c r="Y50">
        <v>179</v>
      </c>
      <c r="Z50">
        <v>179</v>
      </c>
      <c r="AA50">
        <v>179</v>
      </c>
      <c r="AB50">
        <v>179</v>
      </c>
      <c r="AC50">
        <v>179</v>
      </c>
      <c r="AD50">
        <v>185.27</v>
      </c>
      <c r="AE50">
        <v>185.27</v>
      </c>
      <c r="AF50">
        <v>185.27</v>
      </c>
      <c r="AG50">
        <v>185.27</v>
      </c>
      <c r="AH50">
        <v>185.27</v>
      </c>
      <c r="AI50">
        <v>185.27</v>
      </c>
      <c r="AJ50">
        <v>185.27</v>
      </c>
      <c r="AK50">
        <v>185.27</v>
      </c>
      <c r="AL50">
        <v>185.27</v>
      </c>
      <c r="AM50">
        <v>185.27</v>
      </c>
    </row>
    <row r="51" spans="2:39" x14ac:dyDescent="0.25">
      <c r="B51">
        <v>48</v>
      </c>
      <c r="C51">
        <v>199</v>
      </c>
      <c r="D51">
        <v>199</v>
      </c>
      <c r="E51">
        <v>199</v>
      </c>
      <c r="F51">
        <v>199</v>
      </c>
      <c r="G51">
        <v>199</v>
      </c>
      <c r="H51">
        <v>199</v>
      </c>
      <c r="I51">
        <v>199</v>
      </c>
      <c r="J51">
        <v>169.15</v>
      </c>
      <c r="K51">
        <v>169.15</v>
      </c>
      <c r="L51">
        <v>245.65</v>
      </c>
      <c r="M51">
        <v>245.65</v>
      </c>
      <c r="N51">
        <v>289</v>
      </c>
      <c r="O51">
        <v>289</v>
      </c>
      <c r="P51">
        <v>289</v>
      </c>
      <c r="Q51">
        <v>289</v>
      </c>
      <c r="R51">
        <v>289</v>
      </c>
      <c r="S51">
        <v>289</v>
      </c>
      <c r="T51">
        <v>289</v>
      </c>
      <c r="U51">
        <v>289</v>
      </c>
      <c r="V51">
        <v>289</v>
      </c>
      <c r="W51">
        <v>289</v>
      </c>
      <c r="X51">
        <v>289</v>
      </c>
      <c r="Y51">
        <v>289</v>
      </c>
      <c r="Z51">
        <v>289</v>
      </c>
      <c r="AA51">
        <v>289</v>
      </c>
      <c r="AB51">
        <v>289</v>
      </c>
      <c r="AC51">
        <v>289</v>
      </c>
      <c r="AD51">
        <v>299.12</v>
      </c>
      <c r="AE51">
        <v>299.12</v>
      </c>
      <c r="AF51">
        <v>299.12</v>
      </c>
      <c r="AG51">
        <v>299.12</v>
      </c>
      <c r="AH51">
        <v>299.12</v>
      </c>
      <c r="AI51">
        <v>299.12</v>
      </c>
      <c r="AJ51">
        <v>299.12</v>
      </c>
      <c r="AK51">
        <v>299.12</v>
      </c>
      <c r="AL51">
        <v>299.12</v>
      </c>
      <c r="AM51">
        <v>299.12</v>
      </c>
    </row>
    <row r="52" spans="2:39" x14ac:dyDescent="0.25">
      <c r="B52">
        <v>49</v>
      </c>
      <c r="C52">
        <v>299</v>
      </c>
      <c r="D52">
        <v>299</v>
      </c>
      <c r="E52">
        <v>299</v>
      </c>
      <c r="F52">
        <v>299</v>
      </c>
      <c r="G52">
        <v>284.05</v>
      </c>
      <c r="H52">
        <v>284.05</v>
      </c>
      <c r="I52">
        <v>284.05</v>
      </c>
      <c r="J52">
        <v>284.05</v>
      </c>
      <c r="K52">
        <v>284.05</v>
      </c>
      <c r="L52">
        <v>284.05</v>
      </c>
      <c r="M52">
        <v>284.05</v>
      </c>
      <c r="N52">
        <v>284.05</v>
      </c>
      <c r="O52">
        <v>284.05</v>
      </c>
      <c r="P52">
        <v>284.05</v>
      </c>
      <c r="Q52">
        <v>284.05</v>
      </c>
      <c r="R52">
        <v>284.05</v>
      </c>
      <c r="S52">
        <v>284.05</v>
      </c>
      <c r="T52">
        <v>284.05</v>
      </c>
      <c r="U52">
        <v>284.05</v>
      </c>
      <c r="V52">
        <v>284.05</v>
      </c>
      <c r="W52">
        <v>284.05</v>
      </c>
      <c r="X52">
        <v>284.05</v>
      </c>
      <c r="Y52">
        <v>284.05</v>
      </c>
      <c r="Z52">
        <v>284.05</v>
      </c>
      <c r="AA52">
        <v>284.05</v>
      </c>
      <c r="AB52">
        <v>284.05</v>
      </c>
      <c r="AC52">
        <v>284.05</v>
      </c>
      <c r="AD52">
        <v>294</v>
      </c>
      <c r="AE52">
        <v>294</v>
      </c>
      <c r="AF52">
        <v>294</v>
      </c>
      <c r="AG52">
        <v>294</v>
      </c>
      <c r="AH52">
        <v>294</v>
      </c>
      <c r="AI52">
        <v>294</v>
      </c>
      <c r="AJ52">
        <v>294</v>
      </c>
      <c r="AK52">
        <v>294</v>
      </c>
      <c r="AL52">
        <v>294</v>
      </c>
      <c r="AM52">
        <v>294</v>
      </c>
    </row>
    <row r="53" spans="2:39" x14ac:dyDescent="0.25">
      <c r="B53">
        <v>50</v>
      </c>
      <c r="C53">
        <v>279.2</v>
      </c>
      <c r="D53">
        <v>279.2</v>
      </c>
      <c r="E53">
        <v>279.2</v>
      </c>
      <c r="F53">
        <v>279.2</v>
      </c>
      <c r="G53">
        <v>279.2</v>
      </c>
      <c r="H53">
        <v>279.2</v>
      </c>
      <c r="I53">
        <v>279.2</v>
      </c>
      <c r="J53">
        <v>279.2</v>
      </c>
      <c r="K53">
        <v>279.2</v>
      </c>
      <c r="L53">
        <v>279.16000000000003</v>
      </c>
      <c r="M53">
        <v>279.16000000000003</v>
      </c>
      <c r="N53">
        <v>279.16000000000003</v>
      </c>
      <c r="O53">
        <v>279.16000000000003</v>
      </c>
      <c r="P53">
        <v>279.16000000000003</v>
      </c>
      <c r="Q53">
        <v>279.16000000000003</v>
      </c>
      <c r="R53">
        <v>279.16000000000003</v>
      </c>
      <c r="S53">
        <v>279.16000000000003</v>
      </c>
      <c r="T53">
        <v>279.16000000000003</v>
      </c>
      <c r="U53">
        <v>279.16000000000003</v>
      </c>
      <c r="V53">
        <v>279.16000000000003</v>
      </c>
      <c r="W53">
        <v>279.16000000000003</v>
      </c>
      <c r="X53">
        <v>279.16000000000003</v>
      </c>
      <c r="Y53">
        <v>279.16000000000003</v>
      </c>
      <c r="Z53">
        <v>279.16000000000003</v>
      </c>
      <c r="AA53">
        <v>279.16000000000003</v>
      </c>
      <c r="AB53">
        <v>279.16000000000003</v>
      </c>
      <c r="AC53">
        <v>279.16000000000003</v>
      </c>
      <c r="AD53">
        <v>279.16000000000003</v>
      </c>
      <c r="AE53">
        <v>279.16000000000003</v>
      </c>
      <c r="AF53">
        <v>279.16000000000003</v>
      </c>
      <c r="AG53">
        <v>279.16000000000003</v>
      </c>
      <c r="AH53">
        <v>279.16000000000003</v>
      </c>
      <c r="AI53">
        <v>279.16000000000003</v>
      </c>
      <c r="AJ53">
        <v>279.16000000000003</v>
      </c>
      <c r="AK53">
        <v>279.16000000000003</v>
      </c>
      <c r="AL53">
        <v>279.16000000000003</v>
      </c>
      <c r="AM53">
        <v>279.16000000000003</v>
      </c>
    </row>
    <row r="54" spans="2:39" x14ac:dyDescent="0.25">
      <c r="B54">
        <v>51</v>
      </c>
      <c r="C54">
        <v>349</v>
      </c>
      <c r="D54">
        <v>349</v>
      </c>
      <c r="E54">
        <v>349</v>
      </c>
      <c r="F54">
        <v>349</v>
      </c>
      <c r="G54">
        <v>349</v>
      </c>
      <c r="H54">
        <v>349</v>
      </c>
      <c r="I54">
        <v>349</v>
      </c>
      <c r="J54">
        <v>349</v>
      </c>
      <c r="K54">
        <v>349</v>
      </c>
      <c r="L54">
        <v>349</v>
      </c>
      <c r="M54">
        <v>349</v>
      </c>
      <c r="N54">
        <v>349</v>
      </c>
      <c r="O54">
        <v>349</v>
      </c>
      <c r="P54">
        <v>349</v>
      </c>
      <c r="Q54">
        <v>349</v>
      </c>
      <c r="R54">
        <v>349</v>
      </c>
      <c r="S54">
        <v>349</v>
      </c>
      <c r="T54">
        <v>349</v>
      </c>
      <c r="U54">
        <v>349</v>
      </c>
      <c r="V54">
        <v>349</v>
      </c>
      <c r="W54">
        <v>349</v>
      </c>
      <c r="X54">
        <v>349</v>
      </c>
      <c r="Y54">
        <v>349</v>
      </c>
      <c r="Z54">
        <v>349</v>
      </c>
      <c r="AA54">
        <v>349</v>
      </c>
      <c r="AB54">
        <v>349</v>
      </c>
      <c r="AC54">
        <v>349</v>
      </c>
      <c r="AD54">
        <v>361.22</v>
      </c>
      <c r="AE54">
        <v>361.22</v>
      </c>
      <c r="AF54">
        <v>361.22</v>
      </c>
      <c r="AG54">
        <v>361.22</v>
      </c>
      <c r="AH54">
        <v>361.22</v>
      </c>
      <c r="AI54">
        <v>361.22</v>
      </c>
      <c r="AJ54">
        <v>361.22</v>
      </c>
      <c r="AK54">
        <v>361.22</v>
      </c>
      <c r="AL54">
        <v>361.22</v>
      </c>
      <c r="AM54">
        <v>361.22</v>
      </c>
    </row>
    <row r="55" spans="2:39" x14ac:dyDescent="0.25">
      <c r="B55">
        <v>52</v>
      </c>
      <c r="C55">
        <v>289</v>
      </c>
      <c r="D55">
        <v>289</v>
      </c>
      <c r="E55">
        <v>289</v>
      </c>
      <c r="F55">
        <v>289</v>
      </c>
      <c r="G55">
        <v>289</v>
      </c>
      <c r="H55">
        <v>289</v>
      </c>
      <c r="I55">
        <v>289</v>
      </c>
      <c r="J55">
        <v>289</v>
      </c>
      <c r="K55">
        <v>289</v>
      </c>
      <c r="L55">
        <v>289</v>
      </c>
      <c r="M55">
        <v>289</v>
      </c>
      <c r="N55">
        <v>289</v>
      </c>
      <c r="O55">
        <v>289</v>
      </c>
      <c r="P55">
        <v>289</v>
      </c>
      <c r="Q55">
        <v>289</v>
      </c>
      <c r="R55">
        <v>289</v>
      </c>
      <c r="S55">
        <v>289</v>
      </c>
      <c r="T55">
        <v>289</v>
      </c>
      <c r="U55">
        <v>289</v>
      </c>
      <c r="V55">
        <v>289</v>
      </c>
      <c r="W55">
        <v>289</v>
      </c>
      <c r="X55">
        <v>289</v>
      </c>
      <c r="Y55">
        <v>289</v>
      </c>
      <c r="Z55">
        <v>289</v>
      </c>
      <c r="AA55">
        <v>289</v>
      </c>
      <c r="AB55">
        <v>289</v>
      </c>
      <c r="AC55">
        <v>289</v>
      </c>
      <c r="AD55">
        <v>299.12</v>
      </c>
      <c r="AE55">
        <v>299.12</v>
      </c>
      <c r="AF55">
        <v>299.12</v>
      </c>
      <c r="AG55">
        <v>299.12</v>
      </c>
      <c r="AH55">
        <v>299.12</v>
      </c>
      <c r="AI55">
        <v>299.12</v>
      </c>
      <c r="AJ55">
        <v>299.12</v>
      </c>
      <c r="AK55">
        <v>299.12</v>
      </c>
      <c r="AL55">
        <v>299.12</v>
      </c>
      <c r="AM55">
        <v>299.12</v>
      </c>
    </row>
    <row r="56" spans="2:39" x14ac:dyDescent="0.25">
      <c r="B56">
        <v>53</v>
      </c>
      <c r="C56">
        <v>219</v>
      </c>
      <c r="D56">
        <v>219</v>
      </c>
      <c r="E56">
        <v>219</v>
      </c>
      <c r="F56">
        <v>219</v>
      </c>
      <c r="G56">
        <v>219</v>
      </c>
      <c r="H56">
        <v>219</v>
      </c>
      <c r="I56">
        <v>219</v>
      </c>
      <c r="J56">
        <v>219</v>
      </c>
      <c r="K56">
        <v>219</v>
      </c>
      <c r="L56">
        <v>219</v>
      </c>
      <c r="M56">
        <v>219</v>
      </c>
      <c r="N56">
        <v>199</v>
      </c>
      <c r="O56">
        <v>219</v>
      </c>
      <c r="P56">
        <v>369</v>
      </c>
      <c r="Q56">
        <v>369</v>
      </c>
      <c r="R56">
        <v>369</v>
      </c>
      <c r="S56">
        <v>369</v>
      </c>
      <c r="T56">
        <v>369</v>
      </c>
      <c r="U56">
        <v>369</v>
      </c>
      <c r="V56">
        <v>369</v>
      </c>
      <c r="W56">
        <v>369</v>
      </c>
      <c r="X56">
        <v>369</v>
      </c>
      <c r="Y56">
        <v>369</v>
      </c>
      <c r="Z56">
        <v>369</v>
      </c>
      <c r="AA56">
        <v>369</v>
      </c>
      <c r="AB56">
        <v>369</v>
      </c>
      <c r="AC56">
        <v>369</v>
      </c>
      <c r="AD56">
        <v>381.22</v>
      </c>
      <c r="AE56">
        <v>381.22</v>
      </c>
      <c r="AF56">
        <v>381.22</v>
      </c>
      <c r="AG56">
        <v>381.22</v>
      </c>
      <c r="AH56">
        <v>381.22</v>
      </c>
      <c r="AI56">
        <v>381.22</v>
      </c>
      <c r="AJ56">
        <v>381.22</v>
      </c>
      <c r="AK56">
        <v>381.22</v>
      </c>
      <c r="AL56">
        <v>381.22</v>
      </c>
      <c r="AM56">
        <v>381.22</v>
      </c>
    </row>
    <row r="57" spans="2:39" x14ac:dyDescent="0.25">
      <c r="B57">
        <v>54</v>
      </c>
      <c r="C57">
        <v>179</v>
      </c>
      <c r="D57">
        <v>179</v>
      </c>
      <c r="E57">
        <v>179</v>
      </c>
      <c r="F57">
        <v>179</v>
      </c>
      <c r="G57">
        <v>179</v>
      </c>
      <c r="H57">
        <v>179</v>
      </c>
      <c r="I57">
        <v>179</v>
      </c>
      <c r="J57">
        <v>179</v>
      </c>
      <c r="K57">
        <v>179</v>
      </c>
      <c r="L57">
        <v>179</v>
      </c>
      <c r="M57">
        <v>179</v>
      </c>
      <c r="N57">
        <v>179</v>
      </c>
      <c r="O57">
        <v>179</v>
      </c>
      <c r="P57">
        <v>179</v>
      </c>
      <c r="Q57">
        <v>179</v>
      </c>
      <c r="R57">
        <v>179</v>
      </c>
      <c r="S57">
        <v>179</v>
      </c>
      <c r="T57">
        <v>179</v>
      </c>
      <c r="U57">
        <v>179</v>
      </c>
      <c r="V57">
        <v>179</v>
      </c>
      <c r="W57">
        <v>179</v>
      </c>
      <c r="X57">
        <v>179</v>
      </c>
      <c r="Y57">
        <v>179</v>
      </c>
      <c r="Z57">
        <v>179</v>
      </c>
      <c r="AA57">
        <v>179</v>
      </c>
      <c r="AB57">
        <v>179</v>
      </c>
      <c r="AC57">
        <v>179</v>
      </c>
      <c r="AD57">
        <v>179</v>
      </c>
      <c r="AE57">
        <v>179</v>
      </c>
      <c r="AF57">
        <v>179</v>
      </c>
      <c r="AG57">
        <v>179</v>
      </c>
      <c r="AH57">
        <v>179</v>
      </c>
      <c r="AI57">
        <v>179</v>
      </c>
      <c r="AJ57">
        <v>179</v>
      </c>
      <c r="AK57">
        <v>179</v>
      </c>
      <c r="AL57">
        <v>179</v>
      </c>
      <c r="AM57">
        <v>179</v>
      </c>
    </row>
    <row r="58" spans="2:39" x14ac:dyDescent="0.25">
      <c r="B58">
        <v>55</v>
      </c>
      <c r="C58">
        <v>101.85</v>
      </c>
      <c r="D58">
        <v>101.85</v>
      </c>
      <c r="E58">
        <v>99.51</v>
      </c>
      <c r="F58">
        <v>99.6</v>
      </c>
      <c r="G58">
        <v>100.35</v>
      </c>
      <c r="H58">
        <v>100.14</v>
      </c>
      <c r="I58">
        <v>100.2</v>
      </c>
      <c r="J58">
        <v>99</v>
      </c>
      <c r="K58">
        <v>99</v>
      </c>
      <c r="L58">
        <v>99</v>
      </c>
      <c r="M58">
        <v>99</v>
      </c>
      <c r="N58">
        <v>99</v>
      </c>
      <c r="O58">
        <v>99</v>
      </c>
      <c r="P58">
        <v>99</v>
      </c>
      <c r="Q58">
        <v>99</v>
      </c>
      <c r="R58">
        <v>99</v>
      </c>
      <c r="S58">
        <v>99</v>
      </c>
      <c r="T58">
        <v>99</v>
      </c>
      <c r="U58">
        <v>99</v>
      </c>
      <c r="V58">
        <v>99</v>
      </c>
      <c r="W58">
        <v>99</v>
      </c>
      <c r="X58">
        <v>99</v>
      </c>
      <c r="Y58">
        <v>99</v>
      </c>
      <c r="Z58">
        <v>99</v>
      </c>
      <c r="AA58">
        <v>99</v>
      </c>
      <c r="AB58">
        <v>99</v>
      </c>
      <c r="AC58">
        <v>99</v>
      </c>
      <c r="AD58">
        <v>99</v>
      </c>
      <c r="AE58">
        <v>99</v>
      </c>
      <c r="AF58">
        <v>99</v>
      </c>
      <c r="AG58">
        <v>99</v>
      </c>
      <c r="AH58">
        <v>99</v>
      </c>
      <c r="AI58">
        <v>99</v>
      </c>
      <c r="AJ58">
        <v>99</v>
      </c>
      <c r="AK58">
        <v>99</v>
      </c>
      <c r="AL58">
        <v>99</v>
      </c>
      <c r="AM58">
        <v>99</v>
      </c>
    </row>
    <row r="59" spans="2:39" x14ac:dyDescent="0.25">
      <c r="B59">
        <v>56</v>
      </c>
      <c r="C59">
        <v>269.10000000000002</v>
      </c>
      <c r="D59">
        <v>269.10000000000002</v>
      </c>
      <c r="E59">
        <v>269.10000000000002</v>
      </c>
      <c r="F59">
        <v>269.10000000000002</v>
      </c>
      <c r="G59">
        <v>269.10000000000002</v>
      </c>
      <c r="H59">
        <v>269.10000000000002</v>
      </c>
      <c r="I59">
        <v>269.10000000000002</v>
      </c>
      <c r="J59">
        <v>269.10000000000002</v>
      </c>
      <c r="K59">
        <v>269.10000000000002</v>
      </c>
      <c r="L59">
        <v>269.08999999999997</v>
      </c>
      <c r="M59">
        <v>269.08999999999997</v>
      </c>
      <c r="N59">
        <v>269.08999999999997</v>
      </c>
      <c r="O59">
        <v>269.08999999999997</v>
      </c>
      <c r="P59">
        <v>269.08999999999997</v>
      </c>
      <c r="Q59">
        <v>269.08999999999997</v>
      </c>
      <c r="R59">
        <v>269.08999999999997</v>
      </c>
      <c r="S59">
        <v>269.08999999999997</v>
      </c>
      <c r="T59">
        <v>269.08999999999997</v>
      </c>
      <c r="U59">
        <v>269.08999999999997</v>
      </c>
      <c r="V59">
        <v>269.08999999999997</v>
      </c>
      <c r="W59">
        <v>269.08999999999997</v>
      </c>
      <c r="X59">
        <v>269.08999999999997</v>
      </c>
      <c r="Y59">
        <v>269.08999999999997</v>
      </c>
      <c r="Z59">
        <v>269.08999999999997</v>
      </c>
      <c r="AA59">
        <v>269.08999999999997</v>
      </c>
      <c r="AB59">
        <v>269.08999999999997</v>
      </c>
      <c r="AC59">
        <v>269.08999999999997</v>
      </c>
      <c r="AD59">
        <v>278.5</v>
      </c>
      <c r="AE59">
        <v>278.5</v>
      </c>
      <c r="AF59">
        <v>278.5</v>
      </c>
      <c r="AG59">
        <v>278.5</v>
      </c>
      <c r="AH59">
        <v>278.5</v>
      </c>
      <c r="AI59">
        <v>278.5</v>
      </c>
      <c r="AJ59">
        <v>278.5</v>
      </c>
      <c r="AK59">
        <v>278.5</v>
      </c>
      <c r="AL59">
        <v>278.5</v>
      </c>
      <c r="AM59">
        <v>278.5</v>
      </c>
    </row>
    <row r="60" spans="2:39" x14ac:dyDescent="0.25">
      <c r="B60">
        <v>57</v>
      </c>
      <c r="C60">
        <v>109.3</v>
      </c>
      <c r="D60">
        <v>109.3</v>
      </c>
      <c r="E60">
        <v>109</v>
      </c>
      <c r="F60">
        <v>109</v>
      </c>
      <c r="G60">
        <v>109</v>
      </c>
      <c r="H60">
        <v>109</v>
      </c>
      <c r="I60">
        <v>109</v>
      </c>
      <c r="J60">
        <v>109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</row>
    <row r="61" spans="2:39" x14ac:dyDescent="0.25">
      <c r="B61">
        <v>58</v>
      </c>
      <c r="C61">
        <v>120.59</v>
      </c>
      <c r="D61">
        <v>120.59</v>
      </c>
      <c r="E61">
        <v>122.15</v>
      </c>
      <c r="F61">
        <v>118.59</v>
      </c>
      <c r="G61">
        <v>118.04</v>
      </c>
      <c r="H61">
        <v>113.34</v>
      </c>
      <c r="I61">
        <v>115.67</v>
      </c>
      <c r="J61">
        <v>109</v>
      </c>
      <c r="K61">
        <v>109</v>
      </c>
      <c r="L61">
        <v>109</v>
      </c>
      <c r="M61">
        <v>109</v>
      </c>
      <c r="N61">
        <v>109</v>
      </c>
      <c r="O61">
        <v>109</v>
      </c>
      <c r="P61">
        <v>109</v>
      </c>
      <c r="Q61">
        <v>109</v>
      </c>
      <c r="R61">
        <v>109</v>
      </c>
      <c r="S61">
        <v>109</v>
      </c>
      <c r="T61">
        <v>109</v>
      </c>
      <c r="U61">
        <v>109</v>
      </c>
      <c r="V61">
        <v>109</v>
      </c>
      <c r="W61">
        <v>109</v>
      </c>
      <c r="X61">
        <v>109</v>
      </c>
      <c r="Y61">
        <v>109</v>
      </c>
      <c r="Z61">
        <v>109</v>
      </c>
      <c r="AA61">
        <v>109</v>
      </c>
      <c r="AB61">
        <v>109</v>
      </c>
      <c r="AC61">
        <v>109</v>
      </c>
      <c r="AD61">
        <v>109</v>
      </c>
      <c r="AE61">
        <v>109</v>
      </c>
      <c r="AF61">
        <v>109</v>
      </c>
      <c r="AG61">
        <v>109</v>
      </c>
      <c r="AH61">
        <v>109</v>
      </c>
      <c r="AI61">
        <v>109</v>
      </c>
      <c r="AJ61">
        <v>109</v>
      </c>
      <c r="AK61">
        <v>109</v>
      </c>
      <c r="AL61">
        <v>109</v>
      </c>
      <c r="AM61">
        <v>109</v>
      </c>
    </row>
    <row r="62" spans="2:39" x14ac:dyDescent="0.25">
      <c r="B62">
        <v>59</v>
      </c>
      <c r="C62">
        <v>179</v>
      </c>
      <c r="D62">
        <v>179</v>
      </c>
      <c r="E62">
        <v>179</v>
      </c>
      <c r="F62">
        <v>179</v>
      </c>
      <c r="G62">
        <v>179</v>
      </c>
      <c r="H62">
        <v>179</v>
      </c>
      <c r="I62">
        <v>179</v>
      </c>
      <c r="J62">
        <v>179</v>
      </c>
      <c r="K62">
        <v>179</v>
      </c>
      <c r="L62">
        <v>179</v>
      </c>
      <c r="M62">
        <v>179</v>
      </c>
      <c r="N62">
        <v>179</v>
      </c>
      <c r="O62">
        <v>179</v>
      </c>
      <c r="P62">
        <v>179</v>
      </c>
      <c r="Q62">
        <v>179</v>
      </c>
      <c r="R62">
        <v>179</v>
      </c>
      <c r="S62">
        <v>179</v>
      </c>
      <c r="T62">
        <v>179</v>
      </c>
      <c r="U62">
        <v>179</v>
      </c>
      <c r="V62">
        <v>179</v>
      </c>
      <c r="W62">
        <v>179</v>
      </c>
      <c r="X62">
        <v>179</v>
      </c>
      <c r="Y62">
        <v>179</v>
      </c>
      <c r="Z62">
        <v>179</v>
      </c>
      <c r="AA62">
        <v>179</v>
      </c>
      <c r="AB62">
        <v>179</v>
      </c>
      <c r="AC62">
        <v>179</v>
      </c>
      <c r="AD62">
        <v>179</v>
      </c>
      <c r="AE62">
        <v>185.27</v>
      </c>
      <c r="AF62">
        <v>185.27</v>
      </c>
      <c r="AG62">
        <v>185.27</v>
      </c>
      <c r="AH62">
        <v>185.27</v>
      </c>
      <c r="AI62">
        <v>185.27</v>
      </c>
      <c r="AJ62">
        <v>185.27</v>
      </c>
      <c r="AK62">
        <v>185.27</v>
      </c>
      <c r="AL62">
        <v>185.27</v>
      </c>
      <c r="AM62">
        <v>185.27</v>
      </c>
    </row>
    <row r="63" spans="2:39" x14ac:dyDescent="0.25">
      <c r="B63">
        <v>60</v>
      </c>
      <c r="C63">
        <v>179</v>
      </c>
      <c r="D63">
        <v>179</v>
      </c>
      <c r="E63">
        <v>179</v>
      </c>
      <c r="F63">
        <v>179</v>
      </c>
      <c r="G63">
        <v>179</v>
      </c>
      <c r="H63">
        <v>179</v>
      </c>
      <c r="I63">
        <v>179</v>
      </c>
      <c r="J63">
        <v>179</v>
      </c>
      <c r="K63">
        <v>179</v>
      </c>
      <c r="L63">
        <v>179</v>
      </c>
      <c r="M63">
        <v>179</v>
      </c>
      <c r="N63">
        <v>179</v>
      </c>
      <c r="O63">
        <v>179</v>
      </c>
      <c r="P63">
        <v>179</v>
      </c>
      <c r="Q63">
        <v>179</v>
      </c>
      <c r="R63">
        <v>179</v>
      </c>
      <c r="S63">
        <v>179</v>
      </c>
      <c r="T63">
        <v>179</v>
      </c>
      <c r="U63">
        <v>179</v>
      </c>
      <c r="V63">
        <v>179</v>
      </c>
      <c r="W63">
        <v>179</v>
      </c>
      <c r="X63">
        <v>179</v>
      </c>
      <c r="Y63">
        <v>179</v>
      </c>
      <c r="Z63">
        <v>179</v>
      </c>
      <c r="AA63">
        <v>179</v>
      </c>
      <c r="AB63">
        <v>179</v>
      </c>
      <c r="AC63">
        <v>199</v>
      </c>
      <c r="AD63">
        <v>199</v>
      </c>
      <c r="AE63">
        <v>199</v>
      </c>
      <c r="AF63">
        <v>199</v>
      </c>
      <c r="AG63">
        <v>199</v>
      </c>
      <c r="AH63">
        <v>199</v>
      </c>
      <c r="AI63">
        <v>199</v>
      </c>
      <c r="AJ63">
        <v>199</v>
      </c>
      <c r="AK63">
        <v>199</v>
      </c>
      <c r="AL63">
        <v>199</v>
      </c>
      <c r="AM63">
        <v>199</v>
      </c>
    </row>
    <row r="64" spans="2:39" x14ac:dyDescent="0.25">
      <c r="B64">
        <v>61</v>
      </c>
      <c r="C64">
        <v>387</v>
      </c>
      <c r="D64">
        <v>387</v>
      </c>
      <c r="E64">
        <v>387</v>
      </c>
      <c r="F64">
        <v>387</v>
      </c>
      <c r="G64">
        <v>387</v>
      </c>
      <c r="H64">
        <v>387</v>
      </c>
      <c r="I64">
        <v>387</v>
      </c>
      <c r="J64">
        <v>387</v>
      </c>
      <c r="K64">
        <v>387</v>
      </c>
      <c r="L64">
        <v>387</v>
      </c>
      <c r="M64">
        <v>387</v>
      </c>
      <c r="N64">
        <v>387</v>
      </c>
      <c r="O64">
        <v>387</v>
      </c>
      <c r="P64">
        <v>387</v>
      </c>
      <c r="Q64">
        <v>387</v>
      </c>
      <c r="R64">
        <v>387</v>
      </c>
      <c r="S64">
        <v>387</v>
      </c>
      <c r="T64">
        <v>387</v>
      </c>
      <c r="U64">
        <v>387</v>
      </c>
      <c r="V64">
        <v>387</v>
      </c>
      <c r="W64">
        <v>387</v>
      </c>
      <c r="X64">
        <v>387</v>
      </c>
      <c r="Y64">
        <v>387</v>
      </c>
      <c r="Z64">
        <v>387</v>
      </c>
      <c r="AA64">
        <v>387</v>
      </c>
      <c r="AB64">
        <v>387</v>
      </c>
      <c r="AC64">
        <v>387</v>
      </c>
      <c r="AD64">
        <v>387</v>
      </c>
      <c r="AE64">
        <v>399.88</v>
      </c>
      <c r="AF64">
        <v>399.88</v>
      </c>
      <c r="AG64">
        <v>399.88</v>
      </c>
      <c r="AH64">
        <v>399.88</v>
      </c>
      <c r="AI64">
        <v>399.88</v>
      </c>
      <c r="AJ64">
        <v>399.88</v>
      </c>
      <c r="AK64">
        <v>399.88</v>
      </c>
      <c r="AL64">
        <v>399.88</v>
      </c>
      <c r="AM64">
        <v>399.88</v>
      </c>
    </row>
    <row r="65" spans="2:39" x14ac:dyDescent="0.25">
      <c r="B65">
        <v>62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361.22</v>
      </c>
      <c r="AH65">
        <v>361.22</v>
      </c>
      <c r="AI65">
        <v>361.22</v>
      </c>
      <c r="AJ65">
        <v>361.22</v>
      </c>
      <c r="AK65">
        <v>361.22</v>
      </c>
      <c r="AL65">
        <v>361.22</v>
      </c>
      <c r="AM65">
        <v>361.22</v>
      </c>
    </row>
    <row r="66" spans="2:39" x14ac:dyDescent="0.25">
      <c r="B66">
        <v>63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309.47000000000003</v>
      </c>
      <c r="AH66">
        <v>309.47000000000003</v>
      </c>
      <c r="AI66">
        <v>309.47000000000003</v>
      </c>
      <c r="AJ66">
        <v>309.47000000000003</v>
      </c>
      <c r="AK66">
        <v>309.47000000000003</v>
      </c>
      <c r="AL66">
        <v>309.47000000000003</v>
      </c>
      <c r="AM66">
        <v>309.47000000000003</v>
      </c>
    </row>
    <row r="67" spans="2:39" x14ac:dyDescent="0.25">
      <c r="B67">
        <v>64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309.47000000000003</v>
      </c>
      <c r="AH67">
        <v>309.47000000000003</v>
      </c>
      <c r="AI67">
        <v>309.47000000000003</v>
      </c>
      <c r="AJ67">
        <v>309.47000000000003</v>
      </c>
      <c r="AK67">
        <v>309.47000000000003</v>
      </c>
      <c r="AL67">
        <v>309.47000000000003</v>
      </c>
      <c r="AM67">
        <v>309.47000000000003</v>
      </c>
    </row>
    <row r="68" spans="2:39" x14ac:dyDescent="0.25">
      <c r="B68">
        <v>65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185.27</v>
      </c>
      <c r="AH68">
        <v>185.27</v>
      </c>
      <c r="AI68">
        <v>185.27</v>
      </c>
      <c r="AJ68">
        <v>185.27</v>
      </c>
      <c r="AK68">
        <v>185.27</v>
      </c>
      <c r="AL68">
        <v>185.27</v>
      </c>
      <c r="AM68">
        <v>185.27</v>
      </c>
    </row>
    <row r="69" spans="2:39" x14ac:dyDescent="0.25">
      <c r="B69">
        <v>66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</row>
    <row r="70" spans="2:39" x14ac:dyDescent="0.25">
      <c r="B70">
        <v>67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257.72000000000003</v>
      </c>
      <c r="AH70">
        <v>257.72000000000003</v>
      </c>
      <c r="AI70">
        <v>257.72000000000003</v>
      </c>
      <c r="AJ70">
        <v>257.72000000000003</v>
      </c>
      <c r="AK70">
        <v>257.72000000000003</v>
      </c>
      <c r="AL70">
        <v>257.72000000000003</v>
      </c>
      <c r="AM70">
        <v>257.72000000000003</v>
      </c>
    </row>
    <row r="71" spans="2:39" x14ac:dyDescent="0.25">
      <c r="B71">
        <v>68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361.22</v>
      </c>
      <c r="AH71">
        <v>361.22</v>
      </c>
      <c r="AI71">
        <v>361.22</v>
      </c>
      <c r="AJ71">
        <v>361.22</v>
      </c>
      <c r="AK71">
        <v>361.22</v>
      </c>
      <c r="AL71">
        <v>361.22</v>
      </c>
      <c r="AM71">
        <v>361.22</v>
      </c>
    </row>
    <row r="72" spans="2:39" x14ac:dyDescent="0.25">
      <c r="B72">
        <v>69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</row>
    <row r="73" spans="2:39" x14ac:dyDescent="0.25">
      <c r="B73">
        <v>70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185.27</v>
      </c>
      <c r="AH73">
        <v>185.27</v>
      </c>
      <c r="AI73">
        <v>185.27</v>
      </c>
      <c r="AJ73">
        <v>185.27</v>
      </c>
      <c r="AK73">
        <v>185.27</v>
      </c>
      <c r="AL73">
        <v>185.27</v>
      </c>
      <c r="AM73">
        <v>185.27</v>
      </c>
    </row>
    <row r="74" spans="2:39" x14ac:dyDescent="0.25">
      <c r="B74">
        <v>71</v>
      </c>
      <c r="C74">
        <v>299</v>
      </c>
      <c r="D74">
        <v>299</v>
      </c>
      <c r="E74">
        <v>299</v>
      </c>
      <c r="F74">
        <v>299</v>
      </c>
      <c r="G74">
        <v>299</v>
      </c>
      <c r="H74">
        <v>299</v>
      </c>
      <c r="I74">
        <v>299</v>
      </c>
      <c r="J74">
        <v>299</v>
      </c>
      <c r="K74">
        <v>299</v>
      </c>
      <c r="L74">
        <v>299</v>
      </c>
      <c r="M74">
        <v>299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0</v>
      </c>
      <c r="AM74">
        <v>0</v>
      </c>
    </row>
    <row r="75" spans="2:39" x14ac:dyDescent="0.25">
      <c r="B75">
        <v>72</v>
      </c>
      <c r="C75">
        <v>288.14999999999998</v>
      </c>
      <c r="D75">
        <v>288.14999999999998</v>
      </c>
      <c r="E75">
        <v>288.14999999999998</v>
      </c>
      <c r="F75">
        <v>288.14999999999998</v>
      </c>
      <c r="G75">
        <v>288.14999999999998</v>
      </c>
      <c r="H75">
        <v>288.14999999999998</v>
      </c>
      <c r="I75">
        <v>288.14999999999998</v>
      </c>
      <c r="J75">
        <v>288.14999999999998</v>
      </c>
      <c r="K75">
        <v>288.14999999999998</v>
      </c>
      <c r="L75">
        <v>288.14999999999998</v>
      </c>
      <c r="M75">
        <v>288.14999999999998</v>
      </c>
      <c r="N75">
        <v>288.14999999999998</v>
      </c>
      <c r="O75">
        <v>288.14999999999998</v>
      </c>
      <c r="P75">
        <v>288.14999999999998</v>
      </c>
      <c r="Q75">
        <v>288.14999999999998</v>
      </c>
      <c r="R75">
        <v>288.14999999999998</v>
      </c>
      <c r="S75">
        <v>288.14999999999998</v>
      </c>
      <c r="T75">
        <v>288.14999999999998</v>
      </c>
      <c r="U75">
        <v>288.14999999999998</v>
      </c>
      <c r="V75">
        <v>288.14999999999998</v>
      </c>
      <c r="W75">
        <v>288.14999999999998</v>
      </c>
      <c r="X75">
        <v>288.14999999999998</v>
      </c>
      <c r="Y75">
        <v>288.14999999999998</v>
      </c>
      <c r="Z75">
        <v>288.14999999999998</v>
      </c>
      <c r="AA75">
        <v>288.14999999999998</v>
      </c>
      <c r="AB75">
        <v>288.14999999999998</v>
      </c>
      <c r="AC75">
        <v>288.14999999999998</v>
      </c>
      <c r="AD75">
        <v>288.14999999999998</v>
      </c>
      <c r="AE75">
        <v>288.14999999999998</v>
      </c>
      <c r="AF75">
        <v>288.14999999999998</v>
      </c>
      <c r="AG75">
        <v>288.14999999999998</v>
      </c>
      <c r="AH75">
        <v>288.14999999999998</v>
      </c>
      <c r="AI75">
        <v>288.14999999999998</v>
      </c>
      <c r="AJ75">
        <v>288.14999999999998</v>
      </c>
      <c r="AK75">
        <v>288.14999999999998</v>
      </c>
      <c r="AL75">
        <v>288.14999999999998</v>
      </c>
      <c r="AM75">
        <v>288.14999999999998</v>
      </c>
    </row>
    <row r="76" spans="2:39" x14ac:dyDescent="0.25">
      <c r="B76">
        <v>73</v>
      </c>
      <c r="C76">
        <v>195.67</v>
      </c>
      <c r="D76">
        <v>195.67</v>
      </c>
      <c r="E76">
        <v>195.67</v>
      </c>
      <c r="F76">
        <v>195.67</v>
      </c>
      <c r="G76">
        <v>195.67</v>
      </c>
      <c r="H76">
        <v>195.67</v>
      </c>
      <c r="I76">
        <v>195.67</v>
      </c>
      <c r="J76">
        <v>195.67</v>
      </c>
      <c r="K76">
        <v>195.67</v>
      </c>
      <c r="L76">
        <v>331.55</v>
      </c>
      <c r="M76">
        <v>331.55</v>
      </c>
      <c r="N76">
        <v>331.55</v>
      </c>
      <c r="O76">
        <v>331.55</v>
      </c>
      <c r="P76">
        <v>331.55</v>
      </c>
      <c r="Q76">
        <v>331.55</v>
      </c>
      <c r="R76">
        <v>331.55</v>
      </c>
      <c r="S76">
        <v>331.55</v>
      </c>
      <c r="T76">
        <v>331.55</v>
      </c>
      <c r="U76">
        <v>331.55</v>
      </c>
      <c r="V76">
        <v>331.55</v>
      </c>
      <c r="W76">
        <v>331.55</v>
      </c>
      <c r="X76">
        <v>331.55</v>
      </c>
      <c r="Y76">
        <v>331.55</v>
      </c>
      <c r="Z76">
        <v>331.55</v>
      </c>
      <c r="AA76">
        <v>331.55</v>
      </c>
      <c r="AB76">
        <v>331.55</v>
      </c>
      <c r="AC76">
        <v>331.55</v>
      </c>
      <c r="AD76">
        <v>331.55</v>
      </c>
      <c r="AE76">
        <v>331.55</v>
      </c>
      <c r="AF76">
        <v>331.55</v>
      </c>
      <c r="AG76">
        <v>343.16</v>
      </c>
      <c r="AH76">
        <v>343.16</v>
      </c>
      <c r="AI76">
        <v>343.16</v>
      </c>
      <c r="AJ76">
        <v>343.16</v>
      </c>
      <c r="AK76">
        <v>343.16</v>
      </c>
      <c r="AL76">
        <v>343.16</v>
      </c>
      <c r="AM76">
        <v>343.16</v>
      </c>
    </row>
    <row r="77" spans="2:39" x14ac:dyDescent="0.25">
      <c r="B77">
        <v>74</v>
      </c>
      <c r="C77">
        <v>111.61</v>
      </c>
      <c r="D77">
        <v>111.61</v>
      </c>
      <c r="E77">
        <v>112.81</v>
      </c>
      <c r="F77">
        <v>116.08</v>
      </c>
      <c r="G77">
        <v>115.18</v>
      </c>
      <c r="H77">
        <v>134.97999999999999</v>
      </c>
      <c r="I77">
        <v>135</v>
      </c>
      <c r="J77">
        <v>129</v>
      </c>
      <c r="K77">
        <v>129</v>
      </c>
      <c r="L77">
        <v>129</v>
      </c>
      <c r="M77">
        <v>129</v>
      </c>
      <c r="N77">
        <v>129</v>
      </c>
      <c r="O77">
        <v>129</v>
      </c>
      <c r="P77">
        <v>129</v>
      </c>
      <c r="Q77">
        <v>129</v>
      </c>
      <c r="R77">
        <v>129</v>
      </c>
      <c r="S77">
        <v>103.2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</row>
    <row r="78" spans="2:39" x14ac:dyDescent="0.25">
      <c r="B78">
        <v>75</v>
      </c>
      <c r="C78">
        <v>179</v>
      </c>
      <c r="D78">
        <v>179</v>
      </c>
      <c r="E78">
        <v>179</v>
      </c>
      <c r="F78">
        <v>179</v>
      </c>
      <c r="G78">
        <v>179</v>
      </c>
      <c r="H78">
        <v>179</v>
      </c>
      <c r="I78">
        <v>179</v>
      </c>
      <c r="J78">
        <v>179</v>
      </c>
      <c r="K78">
        <v>179</v>
      </c>
      <c r="L78">
        <v>179</v>
      </c>
      <c r="M78">
        <v>179</v>
      </c>
      <c r="N78">
        <v>179</v>
      </c>
      <c r="O78">
        <v>179</v>
      </c>
      <c r="P78">
        <v>179</v>
      </c>
      <c r="Q78">
        <v>179</v>
      </c>
      <c r="R78">
        <v>179</v>
      </c>
      <c r="S78">
        <v>179</v>
      </c>
      <c r="T78">
        <v>179</v>
      </c>
      <c r="U78">
        <v>179</v>
      </c>
      <c r="V78">
        <v>179</v>
      </c>
      <c r="W78">
        <v>179</v>
      </c>
      <c r="X78">
        <v>179</v>
      </c>
      <c r="Y78">
        <v>179</v>
      </c>
      <c r="Z78">
        <v>179</v>
      </c>
      <c r="AA78">
        <v>179</v>
      </c>
      <c r="AB78">
        <v>179</v>
      </c>
      <c r="AC78">
        <v>179</v>
      </c>
      <c r="AD78">
        <v>179</v>
      </c>
      <c r="AE78">
        <v>179</v>
      </c>
      <c r="AF78">
        <v>185.27</v>
      </c>
      <c r="AG78">
        <v>185.27</v>
      </c>
      <c r="AH78">
        <v>185.27</v>
      </c>
      <c r="AI78">
        <v>185.27</v>
      </c>
      <c r="AJ78">
        <v>185.27</v>
      </c>
      <c r="AK78">
        <v>185.27</v>
      </c>
      <c r="AL78">
        <v>185.27</v>
      </c>
      <c r="AM78">
        <v>185.27</v>
      </c>
    </row>
    <row r="79" spans="2:39" x14ac:dyDescent="0.25">
      <c r="B79">
        <v>76</v>
      </c>
      <c r="C79">
        <v>323.10000000000002</v>
      </c>
      <c r="D79">
        <v>323.10000000000002</v>
      </c>
      <c r="E79">
        <v>323.10000000000002</v>
      </c>
      <c r="F79">
        <v>323.10000000000002</v>
      </c>
      <c r="G79">
        <v>352.18</v>
      </c>
      <c r="H79">
        <v>294.02</v>
      </c>
      <c r="I79">
        <v>323.10000000000002</v>
      </c>
      <c r="J79">
        <v>323.10000000000002</v>
      </c>
      <c r="K79">
        <v>323.10000000000002</v>
      </c>
      <c r="L79">
        <v>323.10000000000002</v>
      </c>
      <c r="M79">
        <v>326.69</v>
      </c>
      <c r="N79">
        <v>326.69</v>
      </c>
      <c r="O79">
        <v>326.69</v>
      </c>
      <c r="P79">
        <v>326.69</v>
      </c>
      <c r="Q79">
        <v>337.46</v>
      </c>
      <c r="R79">
        <v>337.46</v>
      </c>
      <c r="S79">
        <v>337.46</v>
      </c>
      <c r="T79">
        <v>337.46</v>
      </c>
      <c r="U79">
        <v>337.46</v>
      </c>
      <c r="V79">
        <v>337.46</v>
      </c>
      <c r="W79">
        <v>337.46</v>
      </c>
      <c r="X79">
        <v>337.46</v>
      </c>
      <c r="Y79">
        <v>337.46</v>
      </c>
      <c r="Z79">
        <v>337.46</v>
      </c>
      <c r="AA79">
        <v>337.46</v>
      </c>
      <c r="AB79">
        <v>337.46</v>
      </c>
      <c r="AC79">
        <v>337.46</v>
      </c>
      <c r="AD79">
        <v>337.46</v>
      </c>
      <c r="AE79">
        <v>337.46</v>
      </c>
      <c r="AF79">
        <v>349.28</v>
      </c>
      <c r="AG79">
        <v>349.28</v>
      </c>
      <c r="AH79">
        <v>349.28</v>
      </c>
      <c r="AI79">
        <v>349.28</v>
      </c>
      <c r="AJ79">
        <v>349.28</v>
      </c>
      <c r="AK79">
        <v>349.28</v>
      </c>
      <c r="AL79">
        <v>349.28</v>
      </c>
      <c r="AM79">
        <v>349.28</v>
      </c>
    </row>
    <row r="80" spans="2:39" x14ac:dyDescent="0.25">
      <c r="B80">
        <v>77</v>
      </c>
      <c r="C80">
        <v>288.14999999999998</v>
      </c>
      <c r="D80">
        <v>288.14999999999998</v>
      </c>
      <c r="E80">
        <v>288.14999999999998</v>
      </c>
      <c r="F80">
        <v>288.14999999999998</v>
      </c>
      <c r="G80">
        <v>288.14999999999998</v>
      </c>
      <c r="H80">
        <v>288.14999999999998</v>
      </c>
      <c r="I80">
        <v>288.14999999999998</v>
      </c>
      <c r="J80">
        <v>288.14999999999998</v>
      </c>
      <c r="K80">
        <v>288.14999999999998</v>
      </c>
      <c r="L80">
        <v>288.14999999999998</v>
      </c>
      <c r="M80">
        <v>288.14999999999998</v>
      </c>
      <c r="N80">
        <v>288.14999999999998</v>
      </c>
      <c r="O80">
        <v>288.14999999999998</v>
      </c>
      <c r="P80">
        <v>288.14999999999998</v>
      </c>
      <c r="Q80">
        <v>288.14999999999998</v>
      </c>
      <c r="R80">
        <v>288.14999999999998</v>
      </c>
      <c r="S80">
        <v>288.14999999999998</v>
      </c>
      <c r="T80">
        <v>288.14999999999998</v>
      </c>
      <c r="U80">
        <v>288.14999999999998</v>
      </c>
      <c r="V80">
        <v>288.14999999999998</v>
      </c>
      <c r="W80">
        <v>288.14999999999998</v>
      </c>
      <c r="X80">
        <v>288.14999999999998</v>
      </c>
      <c r="Y80">
        <v>288.14999999999998</v>
      </c>
      <c r="Z80">
        <v>288.14999999999998</v>
      </c>
      <c r="AA80">
        <v>288.14999999999998</v>
      </c>
      <c r="AB80">
        <v>288.14999999999998</v>
      </c>
      <c r="AC80">
        <v>288.14999999999998</v>
      </c>
      <c r="AD80">
        <v>288.14999999999998</v>
      </c>
      <c r="AE80">
        <v>288.14999999999998</v>
      </c>
      <c r="AF80">
        <v>288.14999999999998</v>
      </c>
      <c r="AG80">
        <v>288.14999999999998</v>
      </c>
      <c r="AH80">
        <v>288.14999999999998</v>
      </c>
      <c r="AI80">
        <v>288.14999999999998</v>
      </c>
      <c r="AJ80">
        <v>288.14999999999998</v>
      </c>
      <c r="AK80">
        <v>288.14999999999998</v>
      </c>
      <c r="AL80">
        <v>288.14999999999998</v>
      </c>
      <c r="AM80">
        <v>288.14999999999998</v>
      </c>
    </row>
    <row r="81" spans="2:39" x14ac:dyDescent="0.25">
      <c r="B81">
        <v>78</v>
      </c>
      <c r="C81">
        <v>219</v>
      </c>
      <c r="D81">
        <v>219</v>
      </c>
      <c r="E81">
        <v>219</v>
      </c>
      <c r="F81">
        <v>219</v>
      </c>
      <c r="G81">
        <v>219</v>
      </c>
      <c r="H81">
        <v>219</v>
      </c>
      <c r="I81">
        <v>219</v>
      </c>
      <c r="J81">
        <v>219</v>
      </c>
      <c r="K81">
        <v>219</v>
      </c>
      <c r="L81">
        <v>219</v>
      </c>
      <c r="M81">
        <v>219</v>
      </c>
      <c r="N81">
        <v>219</v>
      </c>
      <c r="O81">
        <v>219</v>
      </c>
      <c r="P81">
        <v>219</v>
      </c>
      <c r="Q81">
        <v>219</v>
      </c>
      <c r="R81">
        <v>179</v>
      </c>
      <c r="S81">
        <v>179</v>
      </c>
      <c r="T81">
        <v>179</v>
      </c>
      <c r="U81">
        <v>179</v>
      </c>
      <c r="V81">
        <v>179</v>
      </c>
      <c r="W81">
        <v>179</v>
      </c>
      <c r="X81">
        <v>179</v>
      </c>
      <c r="Y81">
        <v>179</v>
      </c>
      <c r="Z81">
        <v>179</v>
      </c>
      <c r="AA81">
        <v>179</v>
      </c>
      <c r="AB81">
        <v>179</v>
      </c>
      <c r="AC81">
        <v>179</v>
      </c>
      <c r="AD81">
        <v>179</v>
      </c>
      <c r="AE81">
        <v>179</v>
      </c>
      <c r="AF81">
        <v>185.27</v>
      </c>
      <c r="AG81">
        <v>185.27</v>
      </c>
      <c r="AH81">
        <v>185.27</v>
      </c>
      <c r="AI81">
        <v>185.27</v>
      </c>
      <c r="AJ81">
        <v>185.27</v>
      </c>
      <c r="AK81">
        <v>185.27</v>
      </c>
      <c r="AL81">
        <v>185.27</v>
      </c>
      <c r="AM81">
        <v>185.27</v>
      </c>
    </row>
    <row r="82" spans="2:39" x14ac:dyDescent="0.25">
      <c r="B82">
        <v>79</v>
      </c>
      <c r="C82">
        <v>254.15</v>
      </c>
      <c r="D82">
        <v>254.15</v>
      </c>
      <c r="E82">
        <v>254.15</v>
      </c>
      <c r="F82">
        <v>254.15</v>
      </c>
      <c r="G82">
        <v>254.15</v>
      </c>
      <c r="H82">
        <v>254.15</v>
      </c>
      <c r="I82">
        <v>254.15</v>
      </c>
      <c r="J82">
        <v>254.15</v>
      </c>
      <c r="K82">
        <v>254.15</v>
      </c>
      <c r="L82">
        <v>254.15</v>
      </c>
      <c r="M82">
        <v>254.15</v>
      </c>
      <c r="N82">
        <v>254.15</v>
      </c>
      <c r="O82">
        <v>254.15</v>
      </c>
      <c r="P82">
        <v>254.15</v>
      </c>
      <c r="Q82">
        <v>254.15</v>
      </c>
      <c r="R82">
        <v>254.15</v>
      </c>
      <c r="S82">
        <v>254.15</v>
      </c>
      <c r="T82">
        <v>254.15</v>
      </c>
      <c r="U82">
        <v>254.15</v>
      </c>
      <c r="V82">
        <v>254.15</v>
      </c>
      <c r="W82">
        <v>254.15</v>
      </c>
      <c r="X82">
        <v>254.15</v>
      </c>
      <c r="Y82">
        <v>254.15</v>
      </c>
      <c r="Z82">
        <v>254.15</v>
      </c>
      <c r="AA82">
        <v>254.15</v>
      </c>
      <c r="AB82">
        <v>254.15</v>
      </c>
      <c r="AC82">
        <v>254.15</v>
      </c>
      <c r="AD82">
        <v>254.15</v>
      </c>
      <c r="AE82">
        <v>254.15</v>
      </c>
      <c r="AF82">
        <v>254.15</v>
      </c>
      <c r="AG82">
        <v>254.15</v>
      </c>
      <c r="AH82">
        <v>254.15</v>
      </c>
      <c r="AI82">
        <v>254.15</v>
      </c>
      <c r="AJ82">
        <v>254.15</v>
      </c>
      <c r="AK82">
        <v>254.15</v>
      </c>
      <c r="AL82">
        <v>254.15</v>
      </c>
      <c r="AM82">
        <v>254.15</v>
      </c>
    </row>
    <row r="83" spans="2:39" x14ac:dyDescent="0.25">
      <c r="B83">
        <v>80</v>
      </c>
      <c r="C83">
        <v>179</v>
      </c>
      <c r="D83">
        <v>179</v>
      </c>
      <c r="E83">
        <v>179</v>
      </c>
      <c r="F83">
        <v>179</v>
      </c>
      <c r="G83">
        <v>179</v>
      </c>
      <c r="H83">
        <v>179</v>
      </c>
      <c r="I83">
        <v>179</v>
      </c>
      <c r="J83">
        <v>179</v>
      </c>
      <c r="K83">
        <v>179</v>
      </c>
      <c r="L83">
        <v>179</v>
      </c>
      <c r="M83">
        <v>179</v>
      </c>
      <c r="N83">
        <v>179</v>
      </c>
      <c r="O83">
        <v>179</v>
      </c>
      <c r="P83">
        <v>179</v>
      </c>
      <c r="Q83">
        <v>179</v>
      </c>
      <c r="R83">
        <v>179</v>
      </c>
      <c r="S83">
        <v>179</v>
      </c>
      <c r="T83">
        <v>179</v>
      </c>
      <c r="U83">
        <v>179</v>
      </c>
      <c r="V83">
        <v>179</v>
      </c>
      <c r="W83">
        <v>179</v>
      </c>
      <c r="X83">
        <v>179</v>
      </c>
      <c r="Y83">
        <v>199.55</v>
      </c>
      <c r="Z83">
        <v>185.27</v>
      </c>
      <c r="AA83">
        <v>185.27</v>
      </c>
      <c r="AB83">
        <v>185.27</v>
      </c>
      <c r="AC83">
        <v>185.27</v>
      </c>
      <c r="AD83">
        <v>185.27</v>
      </c>
      <c r="AE83">
        <v>185.27</v>
      </c>
      <c r="AF83">
        <v>185.27</v>
      </c>
      <c r="AG83">
        <v>185.27</v>
      </c>
      <c r="AH83">
        <v>185.27</v>
      </c>
      <c r="AI83">
        <v>185.27</v>
      </c>
      <c r="AJ83">
        <v>191.75</v>
      </c>
      <c r="AK83">
        <v>191.75</v>
      </c>
      <c r="AL83">
        <v>191.75</v>
      </c>
      <c r="AM83">
        <v>191.75</v>
      </c>
    </row>
    <row r="84" spans="2:39" x14ac:dyDescent="0.25">
      <c r="B84">
        <v>81</v>
      </c>
      <c r="C84">
        <v>199</v>
      </c>
      <c r="D84">
        <v>199</v>
      </c>
      <c r="E84">
        <v>149</v>
      </c>
      <c r="F84">
        <v>149</v>
      </c>
      <c r="G84">
        <v>149</v>
      </c>
      <c r="H84">
        <v>149</v>
      </c>
      <c r="I84">
        <v>149</v>
      </c>
      <c r="J84">
        <v>149</v>
      </c>
      <c r="K84">
        <v>149</v>
      </c>
      <c r="L84">
        <v>149</v>
      </c>
      <c r="M84">
        <v>149</v>
      </c>
      <c r="N84">
        <v>149</v>
      </c>
      <c r="O84">
        <v>149</v>
      </c>
      <c r="P84">
        <v>149</v>
      </c>
      <c r="Q84">
        <v>149</v>
      </c>
      <c r="R84">
        <v>149</v>
      </c>
      <c r="S84">
        <v>149</v>
      </c>
      <c r="T84">
        <v>149</v>
      </c>
      <c r="U84">
        <v>149</v>
      </c>
      <c r="V84">
        <v>149</v>
      </c>
      <c r="W84">
        <v>149</v>
      </c>
      <c r="X84">
        <v>149</v>
      </c>
      <c r="Y84">
        <v>149</v>
      </c>
      <c r="Z84">
        <v>149</v>
      </c>
      <c r="AA84">
        <v>149</v>
      </c>
      <c r="AB84">
        <v>149</v>
      </c>
      <c r="AC84">
        <v>149</v>
      </c>
      <c r="AD84">
        <v>149</v>
      </c>
      <c r="AE84">
        <v>149</v>
      </c>
      <c r="AF84">
        <v>149</v>
      </c>
      <c r="AG84">
        <v>154.22</v>
      </c>
      <c r="AH84">
        <v>154.22</v>
      </c>
      <c r="AI84">
        <v>154.22</v>
      </c>
      <c r="AJ84">
        <v>154.22</v>
      </c>
      <c r="AK84">
        <v>154.22</v>
      </c>
      <c r="AL84">
        <v>154.22</v>
      </c>
      <c r="AM84">
        <v>154.22</v>
      </c>
    </row>
    <row r="85" spans="2:39" x14ac:dyDescent="0.25">
      <c r="B85">
        <v>82</v>
      </c>
      <c r="C85">
        <v>279</v>
      </c>
      <c r="D85">
        <v>279</v>
      </c>
      <c r="E85">
        <v>279</v>
      </c>
      <c r="F85">
        <v>279</v>
      </c>
      <c r="G85">
        <v>279</v>
      </c>
      <c r="H85">
        <v>279</v>
      </c>
      <c r="I85">
        <v>279</v>
      </c>
      <c r="J85">
        <v>279</v>
      </c>
      <c r="K85">
        <v>279</v>
      </c>
      <c r="L85">
        <v>279</v>
      </c>
      <c r="M85">
        <v>279</v>
      </c>
      <c r="N85">
        <v>279</v>
      </c>
      <c r="O85">
        <v>279</v>
      </c>
      <c r="P85">
        <v>279</v>
      </c>
      <c r="Q85">
        <v>279</v>
      </c>
      <c r="R85">
        <v>279</v>
      </c>
      <c r="S85">
        <v>279</v>
      </c>
      <c r="T85">
        <v>279</v>
      </c>
      <c r="U85">
        <v>279</v>
      </c>
      <c r="V85">
        <v>279</v>
      </c>
      <c r="W85">
        <v>279</v>
      </c>
      <c r="X85">
        <v>279</v>
      </c>
      <c r="Y85">
        <v>279</v>
      </c>
      <c r="Z85">
        <v>279</v>
      </c>
      <c r="AA85">
        <v>279</v>
      </c>
      <c r="AB85">
        <v>279</v>
      </c>
      <c r="AC85">
        <v>279</v>
      </c>
      <c r="AD85">
        <v>279</v>
      </c>
      <c r="AE85">
        <v>279</v>
      </c>
      <c r="AF85">
        <v>279</v>
      </c>
      <c r="AG85">
        <v>288.77</v>
      </c>
      <c r="AH85">
        <v>288.77</v>
      </c>
      <c r="AI85">
        <v>288.77</v>
      </c>
      <c r="AJ85">
        <v>288.77</v>
      </c>
      <c r="AK85">
        <v>288.77</v>
      </c>
      <c r="AL85">
        <v>288.77</v>
      </c>
      <c r="AM85">
        <v>288.77</v>
      </c>
    </row>
    <row r="86" spans="2:39" x14ac:dyDescent="0.25">
      <c r="B86">
        <v>83</v>
      </c>
      <c r="C86">
        <v>132.87</v>
      </c>
      <c r="D86">
        <v>132.87</v>
      </c>
      <c r="E86">
        <v>138.31</v>
      </c>
      <c r="F86">
        <v>141.71</v>
      </c>
      <c r="G86">
        <v>139.16</v>
      </c>
      <c r="H86">
        <v>131.49</v>
      </c>
      <c r="I86">
        <v>140.33000000000001</v>
      </c>
      <c r="J86">
        <v>119</v>
      </c>
      <c r="K86">
        <v>119</v>
      </c>
      <c r="L86">
        <v>119</v>
      </c>
      <c r="M86">
        <v>119</v>
      </c>
      <c r="N86">
        <v>119</v>
      </c>
      <c r="O86">
        <v>119</v>
      </c>
      <c r="P86">
        <v>119</v>
      </c>
      <c r="Q86">
        <v>119</v>
      </c>
      <c r="R86">
        <v>119</v>
      </c>
      <c r="S86">
        <v>119</v>
      </c>
      <c r="T86">
        <v>119</v>
      </c>
      <c r="U86">
        <v>119</v>
      </c>
      <c r="V86">
        <v>119</v>
      </c>
      <c r="W86">
        <v>119</v>
      </c>
      <c r="X86">
        <v>119</v>
      </c>
      <c r="Y86">
        <v>119</v>
      </c>
      <c r="Z86">
        <v>119</v>
      </c>
      <c r="AA86">
        <v>119</v>
      </c>
      <c r="AB86">
        <v>119</v>
      </c>
      <c r="AC86">
        <v>119</v>
      </c>
      <c r="AD86">
        <v>119</v>
      </c>
      <c r="AE86">
        <v>119</v>
      </c>
      <c r="AF86">
        <v>119</v>
      </c>
      <c r="AG86">
        <v>119</v>
      </c>
      <c r="AH86">
        <v>119</v>
      </c>
      <c r="AI86">
        <v>119</v>
      </c>
      <c r="AJ86">
        <v>119</v>
      </c>
      <c r="AK86">
        <v>119</v>
      </c>
      <c r="AL86">
        <v>119</v>
      </c>
      <c r="AM86">
        <v>119</v>
      </c>
    </row>
    <row r="87" spans="2:39" x14ac:dyDescent="0.25">
      <c r="B87">
        <v>84</v>
      </c>
      <c r="C87">
        <v>118.12</v>
      </c>
      <c r="D87">
        <v>118.12</v>
      </c>
      <c r="E87">
        <v>116.22</v>
      </c>
      <c r="F87">
        <v>113.52</v>
      </c>
      <c r="G87">
        <v>120.01</v>
      </c>
      <c r="H87">
        <v>117.67</v>
      </c>
      <c r="I87">
        <v>115.79</v>
      </c>
      <c r="J87">
        <v>109</v>
      </c>
      <c r="K87">
        <v>109</v>
      </c>
      <c r="L87">
        <v>109</v>
      </c>
      <c r="M87">
        <v>109</v>
      </c>
      <c r="N87">
        <v>109</v>
      </c>
      <c r="O87">
        <v>109</v>
      </c>
      <c r="P87">
        <v>109</v>
      </c>
      <c r="Q87">
        <v>109</v>
      </c>
      <c r="R87">
        <v>109</v>
      </c>
      <c r="S87">
        <v>109</v>
      </c>
      <c r="T87">
        <v>109</v>
      </c>
      <c r="U87">
        <v>109</v>
      </c>
      <c r="V87">
        <v>109</v>
      </c>
      <c r="W87">
        <v>109</v>
      </c>
      <c r="X87">
        <v>109</v>
      </c>
      <c r="Y87">
        <v>109</v>
      </c>
      <c r="Z87">
        <v>109</v>
      </c>
      <c r="AA87">
        <v>109</v>
      </c>
      <c r="AB87">
        <v>109</v>
      </c>
      <c r="AC87">
        <v>109</v>
      </c>
      <c r="AD87">
        <v>109</v>
      </c>
      <c r="AE87">
        <v>109</v>
      </c>
      <c r="AF87">
        <v>109</v>
      </c>
      <c r="AG87">
        <v>109</v>
      </c>
      <c r="AH87">
        <v>109</v>
      </c>
      <c r="AI87">
        <v>109</v>
      </c>
      <c r="AJ87">
        <v>109</v>
      </c>
      <c r="AK87">
        <v>109</v>
      </c>
      <c r="AL87">
        <v>109</v>
      </c>
      <c r="AM87">
        <v>109</v>
      </c>
    </row>
    <row r="88" spans="2:39" x14ac:dyDescent="0.25">
      <c r="B88">
        <v>85</v>
      </c>
      <c r="C88">
        <v>299</v>
      </c>
      <c r="D88">
        <v>299</v>
      </c>
      <c r="E88">
        <v>299</v>
      </c>
      <c r="F88">
        <v>299</v>
      </c>
      <c r="G88">
        <v>299</v>
      </c>
      <c r="H88">
        <v>299</v>
      </c>
      <c r="I88">
        <v>299</v>
      </c>
      <c r="J88">
        <v>299</v>
      </c>
      <c r="K88">
        <v>299</v>
      </c>
      <c r="L88">
        <v>299</v>
      </c>
      <c r="M88">
        <v>299</v>
      </c>
      <c r="N88">
        <v>299</v>
      </c>
      <c r="O88">
        <v>299</v>
      </c>
      <c r="P88">
        <v>299</v>
      </c>
      <c r="Q88">
        <v>299</v>
      </c>
      <c r="R88">
        <v>299</v>
      </c>
      <c r="S88">
        <v>299</v>
      </c>
      <c r="T88">
        <v>299</v>
      </c>
      <c r="U88">
        <v>299</v>
      </c>
      <c r="V88">
        <v>299</v>
      </c>
      <c r="W88">
        <v>299</v>
      </c>
      <c r="X88">
        <v>299</v>
      </c>
      <c r="Y88">
        <v>299</v>
      </c>
      <c r="Z88">
        <v>299</v>
      </c>
      <c r="AA88">
        <v>299</v>
      </c>
      <c r="AB88">
        <v>299</v>
      </c>
      <c r="AC88">
        <v>299</v>
      </c>
      <c r="AD88">
        <v>299</v>
      </c>
      <c r="AE88">
        <v>299</v>
      </c>
      <c r="AF88">
        <v>299</v>
      </c>
      <c r="AG88">
        <v>309.47000000000003</v>
      </c>
      <c r="AH88">
        <v>309.47000000000003</v>
      </c>
      <c r="AI88">
        <v>309.47000000000003</v>
      </c>
      <c r="AJ88">
        <v>309.47000000000003</v>
      </c>
      <c r="AK88">
        <v>309.47000000000003</v>
      </c>
      <c r="AL88">
        <v>309.47000000000003</v>
      </c>
      <c r="AM88">
        <v>309.47000000000003</v>
      </c>
    </row>
    <row r="89" spans="2:39" x14ac:dyDescent="0.25">
      <c r="B89">
        <v>86</v>
      </c>
      <c r="C89">
        <v>179</v>
      </c>
      <c r="D89">
        <v>179</v>
      </c>
      <c r="E89">
        <v>179</v>
      </c>
      <c r="F89">
        <v>179</v>
      </c>
      <c r="G89">
        <v>179</v>
      </c>
      <c r="H89">
        <v>179</v>
      </c>
      <c r="I89">
        <v>179</v>
      </c>
      <c r="J89">
        <v>179</v>
      </c>
      <c r="K89">
        <v>179</v>
      </c>
      <c r="L89">
        <v>179</v>
      </c>
      <c r="M89">
        <v>179</v>
      </c>
      <c r="N89">
        <v>179</v>
      </c>
      <c r="O89">
        <v>179</v>
      </c>
      <c r="P89">
        <v>179</v>
      </c>
      <c r="Q89">
        <v>179</v>
      </c>
      <c r="R89">
        <v>179</v>
      </c>
      <c r="S89">
        <v>179</v>
      </c>
      <c r="T89">
        <v>179</v>
      </c>
      <c r="U89">
        <v>179</v>
      </c>
      <c r="V89">
        <v>179</v>
      </c>
      <c r="W89">
        <v>179</v>
      </c>
      <c r="X89">
        <v>179</v>
      </c>
      <c r="Y89">
        <v>179</v>
      </c>
      <c r="Z89">
        <v>179</v>
      </c>
      <c r="AA89">
        <v>179</v>
      </c>
      <c r="AB89">
        <v>179</v>
      </c>
      <c r="AC89">
        <v>179</v>
      </c>
      <c r="AD89">
        <v>179</v>
      </c>
      <c r="AE89">
        <v>179</v>
      </c>
      <c r="AF89">
        <v>100</v>
      </c>
      <c r="AG89">
        <v>100</v>
      </c>
      <c r="AH89">
        <v>100</v>
      </c>
      <c r="AI89">
        <v>100</v>
      </c>
      <c r="AJ89">
        <v>100</v>
      </c>
      <c r="AK89">
        <v>100</v>
      </c>
      <c r="AL89">
        <v>100</v>
      </c>
      <c r="AM89">
        <v>100</v>
      </c>
    </row>
    <row r="90" spans="2:39" x14ac:dyDescent="0.25">
      <c r="B90">
        <v>87</v>
      </c>
      <c r="C90">
        <v>179</v>
      </c>
      <c r="D90">
        <v>179</v>
      </c>
      <c r="E90">
        <v>179</v>
      </c>
      <c r="F90">
        <v>179</v>
      </c>
      <c r="G90">
        <v>179</v>
      </c>
      <c r="H90">
        <v>179</v>
      </c>
      <c r="I90">
        <v>179</v>
      </c>
      <c r="J90">
        <v>179</v>
      </c>
      <c r="K90">
        <v>179</v>
      </c>
      <c r="L90">
        <v>179</v>
      </c>
      <c r="M90">
        <v>179</v>
      </c>
      <c r="N90">
        <v>179</v>
      </c>
      <c r="O90">
        <v>179</v>
      </c>
      <c r="P90">
        <v>179</v>
      </c>
      <c r="Q90">
        <v>179</v>
      </c>
      <c r="R90">
        <v>179</v>
      </c>
      <c r="S90">
        <v>179</v>
      </c>
      <c r="T90">
        <v>179</v>
      </c>
      <c r="U90">
        <v>179</v>
      </c>
      <c r="V90">
        <v>179</v>
      </c>
      <c r="W90">
        <v>179</v>
      </c>
      <c r="X90">
        <v>179</v>
      </c>
      <c r="Y90">
        <v>179</v>
      </c>
      <c r="Z90">
        <v>179</v>
      </c>
      <c r="AA90">
        <v>179</v>
      </c>
      <c r="AB90">
        <v>179</v>
      </c>
      <c r="AC90">
        <v>179</v>
      </c>
      <c r="AD90">
        <v>179</v>
      </c>
      <c r="AE90">
        <v>179</v>
      </c>
      <c r="AF90">
        <v>179</v>
      </c>
      <c r="AG90">
        <v>179</v>
      </c>
      <c r="AH90">
        <v>185.27</v>
      </c>
      <c r="AI90">
        <v>185.27</v>
      </c>
      <c r="AJ90">
        <v>185.27</v>
      </c>
      <c r="AK90">
        <v>185.27</v>
      </c>
      <c r="AL90">
        <v>185.27</v>
      </c>
      <c r="AM90">
        <v>185.27</v>
      </c>
    </row>
    <row r="91" spans="2:39" x14ac:dyDescent="0.25">
      <c r="B91">
        <v>88</v>
      </c>
      <c r="C91">
        <v>205.31</v>
      </c>
      <c r="D91">
        <v>205.31</v>
      </c>
      <c r="E91">
        <v>209.57</v>
      </c>
      <c r="F91">
        <v>232.46</v>
      </c>
      <c r="G91">
        <v>214.64</v>
      </c>
      <c r="H91">
        <v>204.11</v>
      </c>
      <c r="I91">
        <v>212.6</v>
      </c>
      <c r="J91">
        <v>179</v>
      </c>
      <c r="K91">
        <v>656.93000000000006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</row>
    <row r="92" spans="2:39" x14ac:dyDescent="0.25">
      <c r="B92">
        <v>89</v>
      </c>
      <c r="C92">
        <v>191.72</v>
      </c>
      <c r="D92">
        <v>191.72</v>
      </c>
      <c r="E92">
        <v>188.69</v>
      </c>
      <c r="F92">
        <v>195.56</v>
      </c>
      <c r="G92">
        <v>190.19</v>
      </c>
      <c r="H92">
        <v>187.19</v>
      </c>
      <c r="I92">
        <v>196.49</v>
      </c>
      <c r="J92">
        <v>179</v>
      </c>
      <c r="K92">
        <v>656.93000000000006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</v>
      </c>
      <c r="AM92">
        <v>0</v>
      </c>
    </row>
    <row r="93" spans="2:39" x14ac:dyDescent="0.25">
      <c r="B93">
        <v>90</v>
      </c>
      <c r="C93">
        <v>170.05</v>
      </c>
      <c r="D93">
        <v>170.05</v>
      </c>
      <c r="E93">
        <v>170.05</v>
      </c>
      <c r="F93">
        <v>170.05</v>
      </c>
      <c r="G93">
        <v>170.05</v>
      </c>
      <c r="H93">
        <v>170.05</v>
      </c>
      <c r="I93">
        <v>170.05</v>
      </c>
      <c r="J93">
        <v>170.05</v>
      </c>
      <c r="K93">
        <v>170.05</v>
      </c>
      <c r="L93">
        <v>170.05</v>
      </c>
      <c r="M93">
        <v>179</v>
      </c>
      <c r="N93">
        <v>179</v>
      </c>
      <c r="O93">
        <v>179</v>
      </c>
      <c r="P93">
        <v>179</v>
      </c>
      <c r="Q93">
        <v>179</v>
      </c>
      <c r="R93">
        <v>179</v>
      </c>
      <c r="S93">
        <v>179</v>
      </c>
      <c r="T93">
        <v>179</v>
      </c>
      <c r="U93">
        <v>179</v>
      </c>
      <c r="V93">
        <v>179</v>
      </c>
      <c r="W93">
        <v>179</v>
      </c>
      <c r="X93">
        <v>179</v>
      </c>
      <c r="Y93">
        <v>179</v>
      </c>
      <c r="Z93">
        <v>179</v>
      </c>
      <c r="AA93">
        <v>179</v>
      </c>
      <c r="AB93">
        <v>179</v>
      </c>
      <c r="AC93">
        <v>179</v>
      </c>
      <c r="AD93">
        <v>185.27</v>
      </c>
      <c r="AE93">
        <v>185.27</v>
      </c>
      <c r="AF93">
        <v>185.27</v>
      </c>
      <c r="AG93">
        <v>185.27</v>
      </c>
      <c r="AH93">
        <v>185.27</v>
      </c>
      <c r="AI93">
        <v>185.27</v>
      </c>
      <c r="AJ93">
        <v>185.27</v>
      </c>
      <c r="AK93">
        <v>191.75</v>
      </c>
      <c r="AL93">
        <v>191.75</v>
      </c>
      <c r="AM93">
        <v>191.75</v>
      </c>
    </row>
    <row r="94" spans="2:39" x14ac:dyDescent="0.25">
      <c r="B94">
        <v>91</v>
      </c>
      <c r="C94">
        <v>349</v>
      </c>
      <c r="D94">
        <v>349</v>
      </c>
      <c r="E94">
        <v>349</v>
      </c>
      <c r="F94">
        <v>349</v>
      </c>
      <c r="G94">
        <v>349</v>
      </c>
      <c r="H94">
        <v>349</v>
      </c>
      <c r="I94">
        <v>349</v>
      </c>
      <c r="J94">
        <v>349</v>
      </c>
      <c r="K94">
        <v>349</v>
      </c>
      <c r="L94">
        <v>349</v>
      </c>
      <c r="M94">
        <v>349</v>
      </c>
      <c r="N94">
        <v>349</v>
      </c>
      <c r="O94">
        <v>349</v>
      </c>
      <c r="P94">
        <v>349</v>
      </c>
      <c r="Q94">
        <v>349</v>
      </c>
      <c r="R94">
        <v>349</v>
      </c>
      <c r="S94">
        <v>349</v>
      </c>
      <c r="T94">
        <v>349</v>
      </c>
      <c r="U94">
        <v>349</v>
      </c>
      <c r="V94">
        <v>349</v>
      </c>
      <c r="W94">
        <v>349</v>
      </c>
      <c r="X94">
        <v>349</v>
      </c>
      <c r="Y94">
        <v>349</v>
      </c>
      <c r="Z94">
        <v>349</v>
      </c>
      <c r="AA94">
        <v>349</v>
      </c>
      <c r="AB94">
        <v>349</v>
      </c>
      <c r="AC94">
        <v>349</v>
      </c>
      <c r="AD94">
        <v>349</v>
      </c>
      <c r="AE94">
        <v>349</v>
      </c>
      <c r="AF94">
        <v>349</v>
      </c>
      <c r="AG94">
        <v>361.22</v>
      </c>
      <c r="AH94">
        <v>361.22</v>
      </c>
      <c r="AI94">
        <v>361.22</v>
      </c>
      <c r="AJ94">
        <v>361.22</v>
      </c>
      <c r="AK94">
        <v>361.22</v>
      </c>
      <c r="AL94">
        <v>361.22</v>
      </c>
      <c r="AM94">
        <v>361.22</v>
      </c>
    </row>
    <row r="95" spans="2:39" x14ac:dyDescent="0.25">
      <c r="B95">
        <v>92</v>
      </c>
      <c r="C95">
        <v>146.5</v>
      </c>
      <c r="D95">
        <v>146.5</v>
      </c>
      <c r="E95">
        <v>146.5</v>
      </c>
      <c r="F95">
        <v>146.5</v>
      </c>
      <c r="G95">
        <v>146.5</v>
      </c>
      <c r="H95">
        <v>146.5</v>
      </c>
      <c r="I95">
        <v>146.5</v>
      </c>
      <c r="J95">
        <v>146.5</v>
      </c>
      <c r="K95">
        <v>146.5</v>
      </c>
      <c r="L95">
        <v>227.05</v>
      </c>
      <c r="M95">
        <v>227.05</v>
      </c>
      <c r="N95">
        <v>227.05</v>
      </c>
      <c r="O95">
        <v>227.05</v>
      </c>
      <c r="P95">
        <v>227.05</v>
      </c>
      <c r="Q95">
        <v>227.05</v>
      </c>
      <c r="R95">
        <v>227.05</v>
      </c>
      <c r="S95">
        <v>227.05</v>
      </c>
      <c r="T95">
        <v>227.05</v>
      </c>
      <c r="U95">
        <v>227.05</v>
      </c>
      <c r="V95">
        <v>227.05</v>
      </c>
      <c r="W95">
        <v>227.05</v>
      </c>
      <c r="X95">
        <v>227.05</v>
      </c>
      <c r="Y95">
        <v>227.05</v>
      </c>
      <c r="Z95">
        <v>227.05</v>
      </c>
      <c r="AA95">
        <v>227.05</v>
      </c>
      <c r="AB95">
        <v>170.05</v>
      </c>
      <c r="AC95">
        <v>170.05</v>
      </c>
      <c r="AD95">
        <v>170.05</v>
      </c>
      <c r="AE95">
        <v>170.05</v>
      </c>
      <c r="AF95">
        <v>170.05</v>
      </c>
      <c r="AG95">
        <v>170.05</v>
      </c>
      <c r="AH95">
        <v>170.05</v>
      </c>
      <c r="AI95">
        <v>170.05</v>
      </c>
      <c r="AJ95">
        <v>170.05</v>
      </c>
      <c r="AK95">
        <v>170.05</v>
      </c>
      <c r="AL95">
        <v>170.05</v>
      </c>
      <c r="AM95">
        <v>170.05</v>
      </c>
    </row>
    <row r="96" spans="2:39" x14ac:dyDescent="0.25">
      <c r="B96">
        <v>93</v>
      </c>
      <c r="C96">
        <v>305.10000000000002</v>
      </c>
      <c r="D96">
        <v>305.10000000000002</v>
      </c>
      <c r="E96">
        <v>179</v>
      </c>
      <c r="F96">
        <v>179</v>
      </c>
      <c r="G96">
        <v>179</v>
      </c>
      <c r="H96">
        <v>179</v>
      </c>
      <c r="I96">
        <v>179</v>
      </c>
      <c r="J96">
        <v>179</v>
      </c>
      <c r="K96">
        <v>179</v>
      </c>
      <c r="L96">
        <v>179</v>
      </c>
      <c r="M96">
        <v>179</v>
      </c>
      <c r="N96">
        <v>179</v>
      </c>
      <c r="O96">
        <v>179</v>
      </c>
      <c r="P96">
        <v>179</v>
      </c>
      <c r="Q96">
        <v>179</v>
      </c>
      <c r="R96">
        <v>179</v>
      </c>
      <c r="S96">
        <v>179</v>
      </c>
      <c r="T96">
        <v>179</v>
      </c>
      <c r="U96">
        <v>179</v>
      </c>
      <c r="V96">
        <v>179</v>
      </c>
      <c r="W96">
        <v>179</v>
      </c>
      <c r="X96">
        <v>179</v>
      </c>
      <c r="Y96">
        <v>179</v>
      </c>
      <c r="Z96">
        <v>179</v>
      </c>
      <c r="AA96">
        <v>179</v>
      </c>
      <c r="AB96">
        <v>179</v>
      </c>
      <c r="AC96">
        <v>179</v>
      </c>
      <c r="AD96">
        <v>179</v>
      </c>
      <c r="AE96">
        <v>179</v>
      </c>
      <c r="AF96">
        <v>179</v>
      </c>
      <c r="AG96">
        <v>179</v>
      </c>
      <c r="AH96">
        <v>185.27</v>
      </c>
      <c r="AI96">
        <v>185.27</v>
      </c>
      <c r="AJ96">
        <v>185.27</v>
      </c>
      <c r="AK96">
        <v>185.27</v>
      </c>
      <c r="AL96">
        <v>185.27</v>
      </c>
      <c r="AM96">
        <v>185.27</v>
      </c>
    </row>
    <row r="97" spans="2:39" x14ac:dyDescent="0.25">
      <c r="B97">
        <v>94</v>
      </c>
      <c r="C97">
        <v>349</v>
      </c>
      <c r="D97">
        <v>349</v>
      </c>
      <c r="E97">
        <v>349</v>
      </c>
      <c r="F97">
        <v>349</v>
      </c>
      <c r="G97">
        <v>349</v>
      </c>
      <c r="H97">
        <v>349</v>
      </c>
      <c r="I97">
        <v>349</v>
      </c>
      <c r="J97">
        <v>349</v>
      </c>
      <c r="K97">
        <v>349</v>
      </c>
      <c r="L97">
        <v>349</v>
      </c>
      <c r="M97">
        <v>349</v>
      </c>
      <c r="N97">
        <v>349</v>
      </c>
      <c r="O97">
        <v>349</v>
      </c>
      <c r="P97">
        <v>349</v>
      </c>
      <c r="Q97">
        <v>349</v>
      </c>
      <c r="R97">
        <v>349</v>
      </c>
      <c r="S97">
        <v>349</v>
      </c>
      <c r="T97">
        <v>349</v>
      </c>
      <c r="U97">
        <v>349</v>
      </c>
      <c r="V97">
        <v>349</v>
      </c>
      <c r="W97">
        <v>349</v>
      </c>
      <c r="X97">
        <v>349</v>
      </c>
      <c r="Y97">
        <v>364.75</v>
      </c>
      <c r="Z97">
        <v>361.22</v>
      </c>
      <c r="AA97">
        <v>361.22</v>
      </c>
      <c r="AB97">
        <v>361.22</v>
      </c>
      <c r="AC97">
        <v>361.22</v>
      </c>
      <c r="AD97">
        <v>361.22</v>
      </c>
      <c r="AE97">
        <v>361.22</v>
      </c>
      <c r="AF97">
        <v>361.22</v>
      </c>
      <c r="AG97">
        <v>361.22</v>
      </c>
      <c r="AH97">
        <v>361.22</v>
      </c>
      <c r="AI97">
        <v>361.22</v>
      </c>
      <c r="AJ97">
        <v>373.86</v>
      </c>
      <c r="AK97">
        <v>373.86</v>
      </c>
      <c r="AL97">
        <v>373.86</v>
      </c>
      <c r="AM97">
        <v>373.86</v>
      </c>
    </row>
    <row r="98" spans="2:39" x14ac:dyDescent="0.25">
      <c r="B98">
        <v>95</v>
      </c>
      <c r="C98">
        <v>129</v>
      </c>
      <c r="D98">
        <v>129</v>
      </c>
      <c r="E98">
        <v>129</v>
      </c>
      <c r="F98">
        <v>129</v>
      </c>
      <c r="G98">
        <v>129</v>
      </c>
      <c r="H98">
        <v>129</v>
      </c>
      <c r="I98">
        <v>129</v>
      </c>
      <c r="J98">
        <v>129</v>
      </c>
      <c r="K98">
        <v>129</v>
      </c>
      <c r="L98">
        <v>129</v>
      </c>
      <c r="M98">
        <v>129</v>
      </c>
      <c r="N98">
        <v>129</v>
      </c>
      <c r="O98">
        <v>129</v>
      </c>
      <c r="P98">
        <v>129</v>
      </c>
      <c r="Q98">
        <v>129</v>
      </c>
      <c r="R98">
        <v>129</v>
      </c>
      <c r="S98">
        <v>129</v>
      </c>
      <c r="T98">
        <v>129</v>
      </c>
      <c r="U98">
        <v>129</v>
      </c>
      <c r="V98">
        <v>129</v>
      </c>
      <c r="W98">
        <v>129</v>
      </c>
      <c r="X98">
        <v>129</v>
      </c>
      <c r="Y98">
        <v>129</v>
      </c>
      <c r="Z98">
        <v>129</v>
      </c>
      <c r="AA98">
        <v>129</v>
      </c>
      <c r="AB98">
        <v>129</v>
      </c>
      <c r="AC98">
        <v>129</v>
      </c>
      <c r="AD98">
        <v>129</v>
      </c>
      <c r="AE98">
        <v>129</v>
      </c>
      <c r="AF98">
        <v>129</v>
      </c>
      <c r="AG98">
        <v>129</v>
      </c>
      <c r="AH98">
        <v>129</v>
      </c>
      <c r="AI98">
        <v>129</v>
      </c>
      <c r="AJ98">
        <v>129</v>
      </c>
      <c r="AK98">
        <v>129</v>
      </c>
      <c r="AL98">
        <v>129</v>
      </c>
      <c r="AM98">
        <v>129</v>
      </c>
    </row>
    <row r="99" spans="2:39" x14ac:dyDescent="0.25">
      <c r="B99">
        <v>96</v>
      </c>
      <c r="C99">
        <v>284.05</v>
      </c>
      <c r="D99">
        <v>284.05</v>
      </c>
      <c r="E99">
        <v>284.05</v>
      </c>
      <c r="F99">
        <v>284.05</v>
      </c>
      <c r="G99">
        <v>284.05</v>
      </c>
      <c r="H99">
        <v>284.05</v>
      </c>
      <c r="I99">
        <v>290.02999999999997</v>
      </c>
      <c r="J99">
        <v>290.02999999999997</v>
      </c>
      <c r="K99">
        <v>290.02999999999997</v>
      </c>
      <c r="L99">
        <v>290.02999999999997</v>
      </c>
      <c r="M99">
        <v>281.33</v>
      </c>
      <c r="N99">
        <v>281.33</v>
      </c>
      <c r="O99">
        <v>281.33</v>
      </c>
      <c r="P99">
        <v>281.33</v>
      </c>
      <c r="Q99">
        <v>281.33</v>
      </c>
      <c r="R99">
        <v>281.33</v>
      </c>
      <c r="S99">
        <v>281.33</v>
      </c>
      <c r="T99">
        <v>290.02999999999997</v>
      </c>
      <c r="U99">
        <v>290.02999999999997</v>
      </c>
      <c r="V99">
        <v>290.02999999999997</v>
      </c>
      <c r="W99">
        <v>290.02999999999997</v>
      </c>
      <c r="X99">
        <v>290.02999999999997</v>
      </c>
      <c r="Y99">
        <v>290.02999999999997</v>
      </c>
      <c r="Z99">
        <v>290.02999999999997</v>
      </c>
      <c r="AA99">
        <v>290.02999999999997</v>
      </c>
      <c r="AB99">
        <v>290.02999999999997</v>
      </c>
      <c r="AC99">
        <v>290.02999999999997</v>
      </c>
      <c r="AD99">
        <v>290.02999999999997</v>
      </c>
      <c r="AE99">
        <v>284.05</v>
      </c>
      <c r="AF99">
        <v>284.05</v>
      </c>
      <c r="AG99">
        <v>284.05</v>
      </c>
      <c r="AH99">
        <v>294</v>
      </c>
      <c r="AI99">
        <v>294</v>
      </c>
      <c r="AJ99">
        <v>294</v>
      </c>
      <c r="AK99">
        <v>294</v>
      </c>
      <c r="AL99">
        <v>294</v>
      </c>
      <c r="AM99">
        <v>294</v>
      </c>
    </row>
    <row r="100" spans="2:39" x14ac:dyDescent="0.25">
      <c r="B100">
        <v>97</v>
      </c>
      <c r="C100">
        <v>319</v>
      </c>
      <c r="D100">
        <v>319</v>
      </c>
      <c r="E100">
        <v>319</v>
      </c>
      <c r="F100">
        <v>319</v>
      </c>
      <c r="G100">
        <v>319</v>
      </c>
      <c r="H100">
        <v>319</v>
      </c>
      <c r="I100">
        <v>378</v>
      </c>
      <c r="J100">
        <v>279</v>
      </c>
      <c r="K100">
        <v>279</v>
      </c>
      <c r="L100">
        <v>279</v>
      </c>
      <c r="M100">
        <v>279</v>
      </c>
      <c r="N100">
        <v>279</v>
      </c>
      <c r="O100">
        <v>279</v>
      </c>
      <c r="P100">
        <v>279</v>
      </c>
      <c r="Q100">
        <v>279</v>
      </c>
      <c r="R100">
        <v>279</v>
      </c>
      <c r="S100">
        <v>279</v>
      </c>
      <c r="T100">
        <v>279</v>
      </c>
      <c r="U100">
        <v>279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</row>
    <row r="101" spans="2:39" x14ac:dyDescent="0.25">
      <c r="B101">
        <v>98</v>
      </c>
      <c r="C101">
        <v>299</v>
      </c>
      <c r="D101">
        <v>299</v>
      </c>
      <c r="E101">
        <v>299</v>
      </c>
      <c r="F101">
        <v>299</v>
      </c>
      <c r="G101">
        <v>299</v>
      </c>
      <c r="H101">
        <v>299</v>
      </c>
      <c r="I101">
        <v>299</v>
      </c>
      <c r="J101">
        <v>74.75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</row>
    <row r="102" spans="2:39" x14ac:dyDescent="0.25">
      <c r="B102">
        <v>99</v>
      </c>
      <c r="C102">
        <v>195.11</v>
      </c>
      <c r="D102">
        <v>195.11</v>
      </c>
      <c r="E102">
        <v>195.11</v>
      </c>
      <c r="F102">
        <v>195.11</v>
      </c>
      <c r="G102">
        <v>195.11</v>
      </c>
      <c r="H102">
        <v>195.11</v>
      </c>
      <c r="I102">
        <v>195.11</v>
      </c>
      <c r="J102">
        <v>195.11</v>
      </c>
      <c r="K102">
        <v>195.11</v>
      </c>
      <c r="L102">
        <v>195.11</v>
      </c>
      <c r="M102">
        <v>195.11</v>
      </c>
      <c r="N102">
        <v>195.11</v>
      </c>
      <c r="O102">
        <v>195.11</v>
      </c>
      <c r="P102">
        <v>195.11</v>
      </c>
      <c r="Q102">
        <v>195.11</v>
      </c>
      <c r="R102">
        <v>195.11</v>
      </c>
      <c r="S102">
        <v>195.11</v>
      </c>
      <c r="T102">
        <v>195.11</v>
      </c>
      <c r="U102">
        <v>195.11</v>
      </c>
      <c r="V102">
        <v>195.11</v>
      </c>
      <c r="W102">
        <v>195.11</v>
      </c>
      <c r="X102">
        <v>195.11</v>
      </c>
      <c r="Y102">
        <v>195.11</v>
      </c>
      <c r="Z102">
        <v>195.11</v>
      </c>
      <c r="AA102">
        <v>195.11</v>
      </c>
      <c r="AB102">
        <v>195.11</v>
      </c>
      <c r="AC102">
        <v>195.11</v>
      </c>
      <c r="AD102">
        <v>201.94</v>
      </c>
      <c r="AE102">
        <v>201.94</v>
      </c>
      <c r="AF102">
        <v>201.94</v>
      </c>
      <c r="AG102">
        <v>201.94</v>
      </c>
      <c r="AH102">
        <v>201.94</v>
      </c>
      <c r="AI102">
        <v>201.94</v>
      </c>
      <c r="AJ102">
        <v>201.94</v>
      </c>
      <c r="AK102">
        <v>201.94</v>
      </c>
      <c r="AL102">
        <v>201.94</v>
      </c>
      <c r="AM102">
        <v>201.94</v>
      </c>
    </row>
    <row r="103" spans="2:39" x14ac:dyDescent="0.25">
      <c r="B103">
        <v>100</v>
      </c>
      <c r="C103">
        <v>259</v>
      </c>
      <c r="D103">
        <v>259</v>
      </c>
      <c r="E103">
        <v>259</v>
      </c>
      <c r="F103">
        <v>259</v>
      </c>
      <c r="G103">
        <v>259</v>
      </c>
      <c r="H103">
        <v>259</v>
      </c>
      <c r="I103">
        <v>259</v>
      </c>
      <c r="J103">
        <v>259</v>
      </c>
      <c r="K103">
        <v>259</v>
      </c>
      <c r="L103">
        <v>259</v>
      </c>
      <c r="M103">
        <v>259</v>
      </c>
      <c r="N103">
        <v>259</v>
      </c>
      <c r="O103">
        <v>259</v>
      </c>
      <c r="P103">
        <v>259</v>
      </c>
      <c r="Q103">
        <v>259</v>
      </c>
      <c r="R103">
        <v>259</v>
      </c>
      <c r="S103">
        <v>259</v>
      </c>
      <c r="T103">
        <v>259</v>
      </c>
      <c r="U103">
        <v>259</v>
      </c>
      <c r="V103">
        <v>259</v>
      </c>
      <c r="W103">
        <v>259</v>
      </c>
      <c r="X103">
        <v>279</v>
      </c>
      <c r="Y103">
        <v>279</v>
      </c>
      <c r="Z103">
        <v>279</v>
      </c>
      <c r="AA103">
        <v>279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Annual Waterfall</vt:lpstr>
      <vt:lpstr>Quarterly Waterfall</vt:lpstr>
      <vt:lpstr>Top Customers</vt:lpstr>
      <vt:lpstr>Intermediate Calcs</vt:lpstr>
      <vt:lpstr>Original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Zavalny, Igor</cp:lastModifiedBy>
  <dcterms:created xsi:type="dcterms:W3CDTF">2026-04-03T04:01:07Z</dcterms:created>
  <dcterms:modified xsi:type="dcterms:W3CDTF">2026-04-03T04:02:02Z</dcterms:modified>
</cp:coreProperties>
</file>