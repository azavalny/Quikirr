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ual Waterfall" sheetId="1" state="visible" r:id="rId1"/>
    <sheet name="Quarterly Waterfall" sheetId="2" state="visible" r:id="rId2"/>
    <sheet name="Top Customers" sheetId="3" state="visible" r:id="rId3"/>
    <sheet name="Original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_(&quot;$&quot;* #,##0_);_(&quot;$&quot;* (#,##0);_(&quot;$&quot;* &quot;-&quot;??_);_(@_)"/>
    <numFmt numFmtId="165" formatCode="0%_);(0%);&quot; - &quot;"/>
    <numFmt numFmtId="166" formatCode="_(* #,##0_);_(* (#,##0);_(* &quot; - &quot;?_);_(@_)"/>
    <numFmt numFmtId="167" formatCode="(#,##0);(#,##0);&quot; - &quot;"/>
    <numFmt numFmtId="168" formatCode="0.0&quot;x&quot;_);(0.0&quot;x&quot;);&quot; - &quot;"/>
    <numFmt numFmtId="169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lightDown">
        <fgColor rgb="00D9D9D9"/>
        <bgColor rgb="00F2F2F2"/>
      </patternFill>
    </fill>
    <fill>
      <patternFill patternType="solid">
        <fgColor rgb="00F2E4D8"/>
      </patternFill>
    </fill>
  </fills>
  <borders count="2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2" borderId="0" pivotButton="0" quotePrefix="0" xfId="0"/>
    <xf numFmtId="0" fontId="1" fillId="2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164" fontId="0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165" fontId="3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2" fillId="4" borderId="0" applyAlignment="1" pivotButton="0" quotePrefix="0" xfId="0">
      <alignment horizontal="left"/>
    </xf>
    <xf numFmtId="0" fontId="2" fillId="4" borderId="0" pivotButton="0" quotePrefix="0" xfId="0"/>
    <xf numFmtId="165" fontId="2" fillId="4" borderId="0" applyAlignment="1" pivotButton="0" quotePrefix="0" xfId="0">
      <alignment horizontal="right"/>
    </xf>
    <xf numFmtId="0" fontId="1" fillId="2" borderId="0" pivotButton="0" quotePrefix="0" xfId="0"/>
    <xf numFmtId="166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2" fillId="0" borderId="1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/>
    </xf>
    <xf numFmtId="165" fontId="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8" fontId="2" fillId="0" borderId="1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6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</cols>
  <sheetData>
    <row r="1">
      <c r="A1" s="1" t="inlineStr">
        <is>
          <t>Annual Waterfall</t>
        </is>
      </c>
    </row>
    <row r="2">
      <c r="A2" s="2" t="n"/>
      <c r="B2" s="3" t="inlineStr">
        <is>
          <t>Dec-22</t>
        </is>
      </c>
      <c r="C2" s="3" t="inlineStr">
        <is>
          <t>Dec-23</t>
        </is>
      </c>
    </row>
    <row r="3">
      <c r="A3" s="4" t="inlineStr">
        <is>
          <t>BoP ARR</t>
        </is>
      </c>
      <c r="B3" s="5" t="n"/>
      <c r="C3" s="6">
        <f>SUM('Original Data'!$C$4:$C$103)*12</f>
        <v/>
      </c>
    </row>
    <row r="4">
      <c r="A4" s="4" t="inlineStr">
        <is>
          <t>New</t>
        </is>
      </c>
      <c r="B4" s="5" t="n"/>
      <c r="C4" s="6">
        <f>SUMPRODUCT(('Original Data'!$C$4:$C$103&lt;=0)*('Original Data'!$O$4:$O$103&gt;0)*'Original Data'!$O$4:$O$103)*12</f>
        <v/>
      </c>
    </row>
    <row r="5">
      <c r="A5" s="4" t="inlineStr">
        <is>
          <t>Upsell</t>
        </is>
      </c>
      <c r="B5" s="5" t="n"/>
      <c r="C5" s="6">
        <f>SUMPRODUCT(('Original Data'!$C$4:$C$103&gt;0)*('Original Data'!$O$4:$O$103&gt;0)*('Original Data'!$O$4:$O$103&gt;'Original Data'!$C$4:$C$103)*('Original Data'!$O$4:$O$103-'Original Data'!$C$4:$C$103))*12</f>
        <v/>
      </c>
    </row>
    <row r="6">
      <c r="A6" s="4" t="inlineStr">
        <is>
          <t>(Downsell)</t>
        </is>
      </c>
      <c r="B6" s="5" t="n"/>
      <c r="C6" s="6">
        <f>SUMPRODUCT(('Original Data'!$C$4:$C$103&gt;0)*('Original Data'!$O$4:$O$103&gt;0)*('Original Data'!$O$4:$O$103&lt;'Original Data'!$C$4:$C$103)*('Original Data'!$O$4:$O$103-'Original Data'!$C$4:$C$103))*12</f>
        <v/>
      </c>
    </row>
    <row r="7">
      <c r="A7" s="4" t="inlineStr">
        <is>
          <t>(Churn)</t>
        </is>
      </c>
      <c r="B7" s="5" t="n"/>
      <c r="C7" s="6">
        <f>-SUMPRODUCT(('Original Data'!$C$4:$C$103&gt;0)*('Original Data'!$O$4:$O$103&lt;=0)*'Original Data'!$C$4:$C$103)*12</f>
        <v/>
      </c>
    </row>
    <row r="8">
      <c r="A8" s="7" t="inlineStr">
        <is>
          <t>EoP ARR</t>
        </is>
      </c>
      <c r="B8" s="8">
        <f>SUM('Original Data'!$C$4:$C$103)*12</f>
        <v/>
      </c>
      <c r="C8" s="8">
        <f>SUM('Original Data'!$O$4:$O$103)*12</f>
        <v/>
      </c>
    </row>
    <row r="9">
      <c r="A9" s="9" t="inlineStr">
        <is>
          <t>% Growth</t>
        </is>
      </c>
      <c r="B9" s="5" t="n"/>
      <c r="C9" s="10">
        <f>IF(C3=0,0,C8/C3-1)</f>
        <v/>
      </c>
    </row>
    <row r="10">
      <c r="A10" s="9" t="inlineStr">
        <is>
          <t>Net New ARR</t>
        </is>
      </c>
      <c r="B10" s="5" t="n"/>
      <c r="C10" s="11">
        <f>C8-C3</f>
        <v/>
      </c>
    </row>
    <row r="11">
      <c r="A11" s="9" t="inlineStr">
        <is>
          <t>New + Upsell</t>
        </is>
      </c>
      <c r="B11" s="5" t="n"/>
      <c r="C11" s="11">
        <f>C4+C5</f>
        <v/>
      </c>
    </row>
    <row r="12">
      <c r="A12" s="9" t="inlineStr">
        <is>
          <t>Downsell + Churn</t>
        </is>
      </c>
      <c r="B12" s="5" t="n"/>
      <c r="C12" s="11">
        <f>C6+C7</f>
        <v/>
      </c>
    </row>
    <row r="13">
      <c r="A13" s="12" t="inlineStr">
        <is>
          <t>Gross Retention %</t>
        </is>
      </c>
      <c r="B13" s="13" t="n"/>
      <c r="C13" s="14">
        <f>IF(C3=0,0,(C3+C6+C7)/C3)</f>
        <v/>
      </c>
    </row>
    <row r="14">
      <c r="A14" s="12" t="inlineStr">
        <is>
          <t>Loss-Only Retention %</t>
        </is>
      </c>
      <c r="B14" s="13" t="n"/>
      <c r="C14" s="14">
        <f>IF(C3=0,0,(C3+C7)/C3)</f>
        <v/>
      </c>
    </row>
    <row r="15">
      <c r="A15" s="12" t="inlineStr">
        <is>
          <t>Net Retention %</t>
        </is>
      </c>
      <c r="B15" s="13" t="n"/>
      <c r="C15" s="14">
        <f>IF(C3=0,0,(C3+C5+C6+C7)/C3)</f>
        <v/>
      </c>
    </row>
    <row r="16">
      <c r="A16" s="15" t="inlineStr">
        <is>
          <t>Customer Waterfall</t>
        </is>
      </c>
      <c r="B16" s="2" t="n"/>
      <c r="C16" s="2" t="n"/>
    </row>
    <row r="17">
      <c r="A17" s="4" t="inlineStr">
        <is>
          <t>BoP Customers</t>
        </is>
      </c>
      <c r="B17" s="5" t="n"/>
      <c r="C17" s="16">
        <f>COUNTIF('Original Data'!$C$4:$C$103,"&gt;0")</f>
        <v/>
      </c>
    </row>
    <row r="18">
      <c r="A18" s="4" t="inlineStr">
        <is>
          <t>New</t>
        </is>
      </c>
      <c r="B18" s="5" t="n"/>
      <c r="C18" s="16">
        <f>SUMPRODUCT(('Original Data'!$C$4:$C$103&lt;=0)*('Original Data'!$O$4:$O$103&gt;0)*1)</f>
        <v/>
      </c>
    </row>
    <row r="19">
      <c r="A19" s="4" t="inlineStr">
        <is>
          <t>(Churn)</t>
        </is>
      </c>
      <c r="B19" s="5" t="n"/>
      <c r="C19" s="17">
        <f>SUMPRODUCT(('Original Data'!$C$4:$C$103&gt;0)*('Original Data'!$O$4:$O$103&lt;=0)*1)</f>
        <v/>
      </c>
    </row>
    <row r="20">
      <c r="A20" s="7" t="inlineStr">
        <is>
          <t>EoP Customers</t>
        </is>
      </c>
      <c r="B20" s="18">
        <f>COUNTIF('Original Data'!$C$4:$C$103,"&gt;0")</f>
        <v/>
      </c>
      <c r="C20" s="18">
        <f>COUNTIF('Original Data'!$O$4:$O$103,"&gt;0")</f>
        <v/>
      </c>
    </row>
    <row r="21">
      <c r="A21" s="9" t="inlineStr">
        <is>
          <t>Net Logos Added</t>
        </is>
      </c>
      <c r="B21" s="5" t="n"/>
      <c r="C21" s="19">
        <f>C18-C19</f>
        <v/>
      </c>
    </row>
    <row r="22">
      <c r="A22" s="9" t="inlineStr">
        <is>
          <t>Logo % Growth</t>
        </is>
      </c>
      <c r="B22" s="5" t="n"/>
      <c r="C22" s="10">
        <f>IF(C17=0,0,C20/C17-1)</f>
        <v/>
      </c>
    </row>
    <row r="23">
      <c r="A23" s="12" t="inlineStr">
        <is>
          <t>Gross Logo Retention %</t>
        </is>
      </c>
      <c r="B23" s="13" t="n"/>
      <c r="C23" s="14">
        <f>IF(C17=0,0,(C17-C19)/C17)</f>
        <v/>
      </c>
    </row>
    <row r="24">
      <c r="A24" s="4" t="inlineStr">
        <is>
          <t>Avg. Logo Size ($ Actuals)</t>
        </is>
      </c>
      <c r="B24" s="5" t="n"/>
      <c r="C24" s="6">
        <f>IF(C20=0,0,C8/C20)</f>
        <v/>
      </c>
    </row>
    <row r="25">
      <c r="A25" s="9" t="inlineStr">
        <is>
          <t>Avg Logo Size YoY Growth</t>
        </is>
      </c>
    </row>
    <row r="26">
      <c r="A26" s="4" t="inlineStr">
        <is>
          <t>Avg. New Logo Size ($ Actuals)</t>
        </is>
      </c>
      <c r="B26" s="5" t="n"/>
      <c r="C26" s="6">
        <f>IF(C18=0,0,C4/C18)</f>
        <v/>
      </c>
    </row>
    <row r="27">
      <c r="A27" s="9" t="inlineStr">
        <is>
          <t>Avg New Logo Size YoY Growth</t>
        </is>
      </c>
    </row>
    <row r="28">
      <c r="A28" s="4" t="inlineStr">
        <is>
          <t>Avg. Churned Logo Size ($ Actuals)</t>
        </is>
      </c>
      <c r="B28" s="5" t="n"/>
      <c r="C28" s="6">
        <f>IF(C19=0,0,-C7/C19)</f>
        <v/>
      </c>
    </row>
    <row r="29">
      <c r="A29" s="9" t="inlineStr">
        <is>
          <t>Avg Churned Logo Size YoY Growth</t>
        </is>
      </c>
    </row>
  </sheetData>
  <mergeCells count="2">
    <mergeCell ref="A1:C1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Quarterly Waterfall</t>
        </is>
      </c>
    </row>
    <row r="2">
      <c r="A2" s="2" t="n"/>
      <c r="B2" s="3" t="inlineStr">
        <is>
          <t>Q4-22</t>
        </is>
      </c>
      <c r="C2" s="3" t="inlineStr">
        <is>
          <t>Q1-23</t>
        </is>
      </c>
      <c r="D2" s="3" t="inlineStr">
        <is>
          <t>Q2-23</t>
        </is>
      </c>
      <c r="E2" s="3" t="inlineStr">
        <is>
          <t>Q3-23</t>
        </is>
      </c>
      <c r="F2" s="3" t="inlineStr">
        <is>
          <t>Q4-23</t>
        </is>
      </c>
    </row>
    <row r="3">
      <c r="A3" s="4" t="inlineStr">
        <is>
          <t>BoP ARR</t>
        </is>
      </c>
      <c r="B3" s="5" t="n"/>
      <c r="C3" s="6">
        <f>SUM('Original Data'!$C$4:$C$103)*12</f>
        <v/>
      </c>
      <c r="D3" s="6">
        <f>SUM('Original Data'!$F$4:$F$103)*12</f>
        <v/>
      </c>
      <c r="E3" s="6">
        <f>SUM('Original Data'!$I$4:$I$103)*12</f>
        <v/>
      </c>
      <c r="F3" s="6">
        <f>SUM('Original Data'!$L$4:$L$103)*12</f>
        <v/>
      </c>
    </row>
    <row r="4">
      <c r="A4" s="4" t="inlineStr">
        <is>
          <t>New</t>
        </is>
      </c>
      <c r="B4" s="5" t="n"/>
      <c r="C4" s="6">
        <f>SUMPRODUCT(('Original Data'!$C$4:$C$103&lt;=0)*('Original Data'!$F$4:$F$103&gt;0)*'Original Data'!$F$4:$F$103)*12</f>
        <v/>
      </c>
      <c r="D4" s="6">
        <f>SUMPRODUCT(('Original Data'!$F$4:$F$103&lt;=0)*('Original Data'!$I$4:$I$103&gt;0)*'Original Data'!$I$4:$I$103)*12</f>
        <v/>
      </c>
      <c r="E4" s="6">
        <f>SUMPRODUCT(('Original Data'!$I$4:$I$103&lt;=0)*('Original Data'!$L$4:$L$103&gt;0)*'Original Data'!$L$4:$L$103)*12</f>
        <v/>
      </c>
      <c r="F4" s="6">
        <f>SUMPRODUCT(('Original Data'!$L$4:$L$103&lt;=0)*('Original Data'!$O$4:$O$103&gt;0)*'Original Data'!$O$4:$O$103)*12</f>
        <v/>
      </c>
    </row>
    <row r="5">
      <c r="A5" s="4" t="inlineStr">
        <is>
          <t>Upsell</t>
        </is>
      </c>
      <c r="B5" s="5" t="n"/>
      <c r="C5" s="6">
        <f>SUMPRODUCT(('Original Data'!$C$4:$C$103&gt;0)*('Original Data'!$F$4:$F$103&gt;0)*('Original Data'!$F$4:$F$103&gt;'Original Data'!$C$4:$C$103)*('Original Data'!$F$4:$F$103-'Original Data'!$C$4:$C$103))*12</f>
        <v/>
      </c>
      <c r="D5" s="6">
        <f>SUMPRODUCT(('Original Data'!$F$4:$F$103&gt;0)*('Original Data'!$I$4:$I$103&gt;0)*('Original Data'!$I$4:$I$103&gt;'Original Data'!$F$4:$F$103)*('Original Data'!$I$4:$I$103-'Original Data'!$F$4:$F$103))*12</f>
        <v/>
      </c>
      <c r="E5" s="6">
        <f>SUMPRODUCT(('Original Data'!$I$4:$I$103&gt;0)*('Original Data'!$L$4:$L$103&gt;0)*('Original Data'!$L$4:$L$103&gt;'Original Data'!$I$4:$I$103)*('Original Data'!$L$4:$L$103-'Original Data'!$I$4:$I$103))*12</f>
        <v/>
      </c>
      <c r="F5" s="6">
        <f>SUMPRODUCT(('Original Data'!$L$4:$L$103&gt;0)*('Original Data'!$O$4:$O$103&gt;0)*('Original Data'!$O$4:$O$103&gt;'Original Data'!$L$4:$L$103)*('Original Data'!$O$4:$O$103-'Original Data'!$L$4:$L$103))*12</f>
        <v/>
      </c>
    </row>
    <row r="6">
      <c r="A6" s="4" t="inlineStr">
        <is>
          <t>(Downsell)</t>
        </is>
      </c>
      <c r="B6" s="5" t="n"/>
      <c r="C6" s="6">
        <f>SUMPRODUCT(('Original Data'!$C$4:$C$103&gt;0)*('Original Data'!$F$4:$F$103&gt;0)*('Original Data'!$F$4:$F$103&lt;'Original Data'!$C$4:$C$103)*('Original Data'!$F$4:$F$103-'Original Data'!$C$4:$C$103))*12</f>
        <v/>
      </c>
      <c r="D6" s="6">
        <f>SUMPRODUCT(('Original Data'!$F$4:$F$103&gt;0)*('Original Data'!$I$4:$I$103&gt;0)*('Original Data'!$I$4:$I$103&lt;'Original Data'!$F$4:$F$103)*('Original Data'!$I$4:$I$103-'Original Data'!$F$4:$F$103))*12</f>
        <v/>
      </c>
      <c r="E6" s="6">
        <f>SUMPRODUCT(('Original Data'!$I$4:$I$103&gt;0)*('Original Data'!$L$4:$L$103&gt;0)*('Original Data'!$L$4:$L$103&lt;'Original Data'!$I$4:$I$103)*('Original Data'!$L$4:$L$103-'Original Data'!$I$4:$I$103))*12</f>
        <v/>
      </c>
      <c r="F6" s="6">
        <f>SUMPRODUCT(('Original Data'!$L$4:$L$103&gt;0)*('Original Data'!$O$4:$O$103&gt;0)*('Original Data'!$O$4:$O$103&lt;'Original Data'!$L$4:$L$103)*('Original Data'!$O$4:$O$103-'Original Data'!$L$4:$L$103))*12</f>
        <v/>
      </c>
    </row>
    <row r="7">
      <c r="A7" s="4" t="inlineStr">
        <is>
          <t>(Churn)</t>
        </is>
      </c>
      <c r="B7" s="5" t="n"/>
      <c r="C7" s="6">
        <f>-SUMPRODUCT(('Original Data'!$C$4:$C$103&gt;0)*('Original Data'!$F$4:$F$103&lt;=0)*'Original Data'!$C$4:$C$103)*12</f>
        <v/>
      </c>
      <c r="D7" s="6">
        <f>-SUMPRODUCT(('Original Data'!$F$4:$F$103&gt;0)*('Original Data'!$I$4:$I$103&lt;=0)*'Original Data'!$F$4:$F$103)*12</f>
        <v/>
      </c>
      <c r="E7" s="6">
        <f>-SUMPRODUCT(('Original Data'!$I$4:$I$103&gt;0)*('Original Data'!$L$4:$L$103&lt;=0)*'Original Data'!$I$4:$I$103)*12</f>
        <v/>
      </c>
      <c r="F7" s="6">
        <f>-SUMPRODUCT(('Original Data'!$L$4:$L$103&gt;0)*('Original Data'!$O$4:$O$103&lt;=0)*'Original Data'!$L$4:$L$103)*12</f>
        <v/>
      </c>
    </row>
    <row r="8">
      <c r="A8" s="7" t="inlineStr">
        <is>
          <t>EoP ARR</t>
        </is>
      </c>
      <c r="B8" s="8">
        <f>SUM('Original Data'!$C$4:$C$103)*12</f>
        <v/>
      </c>
      <c r="C8" s="8">
        <f>SUM('Original Data'!$F$4:$F$103)*12</f>
        <v/>
      </c>
      <c r="D8" s="8">
        <f>SUM('Original Data'!$I$4:$I$103)*12</f>
        <v/>
      </c>
      <c r="E8" s="8">
        <f>SUM('Original Data'!$L$4:$L$103)*12</f>
        <v/>
      </c>
      <c r="F8" s="8">
        <f>SUM('Original Data'!$O$4:$O$103)*12</f>
        <v/>
      </c>
    </row>
    <row r="9">
      <c r="A9" s="9" t="inlineStr">
        <is>
          <t>% Growth QoQ Annualized</t>
        </is>
      </c>
      <c r="B9" s="5" t="n"/>
      <c r="C9" s="10">
        <f>IF(C3=0,0,(C8/C3)^4-1)</f>
        <v/>
      </c>
      <c r="D9" s="10">
        <f>IF(D3=0,0,(D8/D3)^4-1)</f>
        <v/>
      </c>
      <c r="E9" s="10">
        <f>IF(E3=0,0,(E8/E3)^4-1)</f>
        <v/>
      </c>
      <c r="F9" s="10">
        <f>IF(F3=0,0,(F8/F3)^4-1)</f>
        <v/>
      </c>
    </row>
    <row r="10">
      <c r="A10" s="9" t="inlineStr">
        <is>
          <t>% Growth QoQ</t>
        </is>
      </c>
      <c r="B10" s="5" t="n"/>
      <c r="C10" s="10">
        <f>IF(C3=0,0,C8/C3-1)</f>
        <v/>
      </c>
      <c r="D10" s="10">
        <f>IF(D3=0,0,D8/D3-1)</f>
        <v/>
      </c>
      <c r="E10" s="10">
        <f>IF(E3=0,0,E8/E3-1)</f>
        <v/>
      </c>
      <c r="F10" s="10">
        <f>IF(F3=0,0,F8/F3-1)</f>
        <v/>
      </c>
    </row>
    <row r="11">
      <c r="A11" s="9" t="inlineStr">
        <is>
          <t>% Growth YoY</t>
        </is>
      </c>
      <c r="B11" s="5" t="n"/>
      <c r="C11" s="5" t="n"/>
      <c r="D11" s="5" t="n"/>
      <c r="E11" s="5" t="n"/>
      <c r="F11" s="10">
        <f>IF(B8=0,0,F8/B8-1)</f>
        <v/>
      </c>
    </row>
    <row r="12">
      <c r="A12" s="9" t="inlineStr">
        <is>
          <t>Net New ARR QoQ</t>
        </is>
      </c>
      <c r="B12" s="5" t="n"/>
      <c r="C12" s="11">
        <f>C8-C3</f>
        <v/>
      </c>
      <c r="D12" s="11">
        <f>D8-D3</f>
        <v/>
      </c>
      <c r="E12" s="11">
        <f>E8-E3</f>
        <v/>
      </c>
      <c r="F12" s="11">
        <f>F8-F3</f>
        <v/>
      </c>
    </row>
    <row r="13">
      <c r="A13" s="9" t="inlineStr">
        <is>
          <t>New + Upsell QoQ</t>
        </is>
      </c>
      <c r="B13" s="5" t="n"/>
      <c r="C13" s="11">
        <f>C4+C5</f>
        <v/>
      </c>
      <c r="D13" s="11">
        <f>D4+D5</f>
        <v/>
      </c>
      <c r="E13" s="11">
        <f>E4+E5</f>
        <v/>
      </c>
      <c r="F13" s="11">
        <f>F4+F5</f>
        <v/>
      </c>
    </row>
    <row r="14">
      <c r="A14" s="9" t="inlineStr">
        <is>
          <t>Downsell + Churn QoQ</t>
        </is>
      </c>
      <c r="B14" s="5" t="n"/>
      <c r="C14" s="11">
        <f>C6+C7</f>
        <v/>
      </c>
      <c r="D14" s="11">
        <f>D6+D7</f>
        <v/>
      </c>
      <c r="E14" s="11">
        <f>E6+E7</f>
        <v/>
      </c>
      <c r="F14" s="11">
        <f>F6+F7</f>
        <v/>
      </c>
    </row>
    <row r="15">
      <c r="A15" s="12" t="inlineStr">
        <is>
          <t>Gross Retention (QoQ Annualized)</t>
        </is>
      </c>
      <c r="B15" s="13" t="n"/>
      <c r="C15" s="14">
        <f>IF(C3=0,0,((C3+C6+C7)/C3)^4)</f>
        <v/>
      </c>
      <c r="D15" s="14">
        <f>IF(D3=0,0,((D3+D6+D7)/D3)^4)</f>
        <v/>
      </c>
      <c r="E15" s="14">
        <f>IF(E3=0,0,((E3+E6+E7)/E3)^4)</f>
        <v/>
      </c>
      <c r="F15" s="14">
        <f>IF(F3=0,0,((F3+F6+F7)/F3)^4)</f>
        <v/>
      </c>
    </row>
    <row r="16">
      <c r="A16" s="12" t="inlineStr">
        <is>
          <t>Loss-Only Retention (QoQ Annualized)</t>
        </is>
      </c>
      <c r="B16" s="13" t="n"/>
      <c r="C16" s="14">
        <f>IF(C3=0,0,((C3+C7)/C3)^4)</f>
        <v/>
      </c>
      <c r="D16" s="14">
        <f>IF(D3=0,0,((D3+D7)/D3)^4)</f>
        <v/>
      </c>
      <c r="E16" s="14">
        <f>IF(E3=0,0,((E3+E7)/E3)^4)</f>
        <v/>
      </c>
      <c r="F16" s="14">
        <f>IF(F3=0,0,((F3+F7)/F3)^4)</f>
        <v/>
      </c>
    </row>
    <row r="17">
      <c r="A17" s="12" t="inlineStr">
        <is>
          <t>Net Retention (QoQ Annualized)</t>
        </is>
      </c>
      <c r="B17" s="13" t="n"/>
      <c r="C17" s="14">
        <f>IF(C3=0,0,((C3+C5+C6+C7)/C3)^4)</f>
        <v/>
      </c>
      <c r="D17" s="14">
        <f>IF(D3=0,0,((D3+D5+D6+D7)/D3)^4)</f>
        <v/>
      </c>
      <c r="E17" s="14">
        <f>IF(E3=0,0,((E3+E5+E6+E7)/E3)^4)</f>
        <v/>
      </c>
      <c r="F17" s="14">
        <f>IF(F3=0,0,((F3+F5+F6+F7)/F3)^4)</f>
        <v/>
      </c>
    </row>
    <row r="18">
      <c r="A18" s="12" t="inlineStr">
        <is>
          <t>Gross Retention (LTM)</t>
        </is>
      </c>
      <c r="B18" s="13" t="n"/>
      <c r="C18" s="13" t="n"/>
      <c r="D18" s="13" t="n"/>
      <c r="E18" s="13" t="n"/>
      <c r="F18" s="14">
        <f>IF(C3=0,0,(C3+SUM(C6:F6)+SUM(C7:F7))/C3)</f>
        <v/>
      </c>
    </row>
    <row r="19">
      <c r="A19" s="12" t="inlineStr">
        <is>
          <t>Loss-Only Retention (LTM)</t>
        </is>
      </c>
      <c r="B19" s="13" t="n"/>
      <c r="C19" s="13" t="n"/>
      <c r="D19" s="13" t="n"/>
      <c r="E19" s="13" t="n"/>
      <c r="F19" s="14">
        <f>IF(C3=0,0,(C3+SUM(C7:F7))/C3)</f>
        <v/>
      </c>
    </row>
    <row r="20">
      <c r="A20" s="12" t="inlineStr">
        <is>
          <t>Net Retention (LTM)</t>
        </is>
      </c>
      <c r="B20" s="13" t="n"/>
      <c r="C20" s="13" t="n"/>
      <c r="D20" s="13" t="n"/>
      <c r="E20" s="13" t="n"/>
      <c r="F20" s="14">
        <f>IF(C3=0,0,(C3+SUM(C5:F5)+SUM(C6:F6)+SUM(C7:F7))/C3)</f>
        <v/>
      </c>
    </row>
    <row r="21">
      <c r="A21" s="15" t="inlineStr">
        <is>
          <t>Customer Waterfall</t>
        </is>
      </c>
      <c r="B21" s="2" t="n"/>
      <c r="C21" s="2" t="n"/>
      <c r="D21" s="2" t="n"/>
      <c r="E21" s="2" t="n"/>
      <c r="F21" s="2" t="n"/>
    </row>
    <row r="22">
      <c r="A22" s="4" t="inlineStr">
        <is>
          <t>BoP Customers</t>
        </is>
      </c>
      <c r="B22" s="5" t="n"/>
      <c r="C22" s="16">
        <f>COUNTIF('Original Data'!$C$4:$C$103,"&gt;0")</f>
        <v/>
      </c>
      <c r="D22" s="16">
        <f>COUNTIF('Original Data'!$F$4:$F$103,"&gt;0")</f>
        <v/>
      </c>
      <c r="E22" s="16">
        <f>COUNTIF('Original Data'!$I$4:$I$103,"&gt;0")</f>
        <v/>
      </c>
      <c r="F22" s="16">
        <f>COUNTIF('Original Data'!$L$4:$L$103,"&gt;0")</f>
        <v/>
      </c>
    </row>
    <row r="23">
      <c r="A23" s="4" t="inlineStr">
        <is>
          <t>New</t>
        </is>
      </c>
      <c r="B23" s="5" t="n"/>
      <c r="C23" s="16">
        <f>SUMPRODUCT(('Original Data'!$C$4:$C$103&lt;=0)*('Original Data'!$F$4:$F$103&gt;0)*1)</f>
        <v/>
      </c>
      <c r="D23" s="16">
        <f>SUMPRODUCT(('Original Data'!$F$4:$F$103&lt;=0)*('Original Data'!$I$4:$I$103&gt;0)*1)</f>
        <v/>
      </c>
      <c r="E23" s="16">
        <f>SUMPRODUCT(('Original Data'!$I$4:$I$103&lt;=0)*('Original Data'!$L$4:$L$103&gt;0)*1)</f>
        <v/>
      </c>
      <c r="F23" s="16">
        <f>SUMPRODUCT(('Original Data'!$L$4:$L$103&lt;=0)*('Original Data'!$O$4:$O$103&gt;0)*1)</f>
        <v/>
      </c>
    </row>
    <row r="24">
      <c r="A24" s="4" t="inlineStr">
        <is>
          <t>(Churn)</t>
        </is>
      </c>
      <c r="B24" s="5" t="n"/>
      <c r="C24" s="17">
        <f>SUMPRODUCT(('Original Data'!$C$4:$C$103&gt;0)*('Original Data'!$F$4:$F$103&lt;=0)*1)</f>
        <v/>
      </c>
      <c r="D24" s="17">
        <f>SUMPRODUCT(('Original Data'!$F$4:$F$103&gt;0)*('Original Data'!$I$4:$I$103&lt;=0)*1)</f>
        <v/>
      </c>
      <c r="E24" s="17">
        <f>SUMPRODUCT(('Original Data'!$I$4:$I$103&gt;0)*('Original Data'!$L$4:$L$103&lt;=0)*1)</f>
        <v/>
      </c>
      <c r="F24" s="17">
        <f>SUMPRODUCT(('Original Data'!$L$4:$L$103&gt;0)*('Original Data'!$O$4:$O$103&lt;=0)*1)</f>
        <v/>
      </c>
    </row>
    <row r="25">
      <c r="A25" s="7" t="inlineStr">
        <is>
          <t>EoP Customers</t>
        </is>
      </c>
      <c r="B25" s="18">
        <f>COUNTIF('Original Data'!$C$4:$C$103,"&gt;0")</f>
        <v/>
      </c>
      <c r="C25" s="18">
        <f>COUNTIF('Original Data'!$F$4:$F$103,"&gt;0")</f>
        <v/>
      </c>
      <c r="D25" s="18">
        <f>COUNTIF('Original Data'!$I$4:$I$103,"&gt;0")</f>
        <v/>
      </c>
      <c r="E25" s="18">
        <f>COUNTIF('Original Data'!$L$4:$L$103,"&gt;0")</f>
        <v/>
      </c>
      <c r="F25" s="18">
        <f>COUNTIF('Original Data'!$O$4:$O$103,"&gt;0")</f>
        <v/>
      </c>
    </row>
    <row r="26">
      <c r="A26" s="9" t="inlineStr">
        <is>
          <t>Net Logos Added</t>
        </is>
      </c>
      <c r="B26" s="5" t="n"/>
      <c r="C26" s="19">
        <f>C23-C24</f>
        <v/>
      </c>
      <c r="D26" s="19">
        <f>D23-D24</f>
        <v/>
      </c>
      <c r="E26" s="19">
        <f>E23-E24</f>
        <v/>
      </c>
      <c r="F26" s="19">
        <f>F23-F24</f>
        <v/>
      </c>
    </row>
    <row r="27">
      <c r="A27" s="9" t="inlineStr">
        <is>
          <t>Logo % Growth</t>
        </is>
      </c>
      <c r="B27" s="5" t="n"/>
      <c r="C27" s="10">
        <f>IF(C22=0,0,C25/C22-1)</f>
        <v/>
      </c>
      <c r="D27" s="10">
        <f>IF(D22=0,0,D25/D22-1)</f>
        <v/>
      </c>
      <c r="E27" s="10">
        <f>IF(E22=0,0,E25/E22-1)</f>
        <v/>
      </c>
      <c r="F27" s="10">
        <f>IF(F22=0,0,F25/F22-1)</f>
        <v/>
      </c>
    </row>
    <row r="28">
      <c r="A28" s="9" t="inlineStr">
        <is>
          <t>Logo % Growth (YoY)</t>
        </is>
      </c>
      <c r="B28" s="5" t="n"/>
      <c r="C28" s="5" t="n"/>
      <c r="D28" s="5" t="n"/>
      <c r="E28" s="5" t="n"/>
      <c r="F28" s="10">
        <f>IF(B25=0,0,F25/B25-1)</f>
        <v/>
      </c>
    </row>
    <row r="29">
      <c r="A29" s="12" t="inlineStr">
        <is>
          <t>Gross Logo Retention (QoQ Annualized)</t>
        </is>
      </c>
      <c r="B29" s="13" t="n"/>
      <c r="C29" s="14">
        <f>IF(C22=0,0,((C22-C24)/C22)^4)</f>
        <v/>
      </c>
      <c r="D29" s="14">
        <f>IF(D22=0,0,((D22-D24)/D22)^4)</f>
        <v/>
      </c>
      <c r="E29" s="14">
        <f>IF(E22=0,0,((E22-E24)/E22)^4)</f>
        <v/>
      </c>
      <c r="F29" s="14">
        <f>IF(F22=0,0,((F22-F24)/F22)^4)</f>
        <v/>
      </c>
    </row>
    <row r="30">
      <c r="A30" s="12" t="inlineStr">
        <is>
          <t>Gross Logo Retention (YoY)</t>
        </is>
      </c>
      <c r="B30" s="13" t="n"/>
      <c r="C30" s="13" t="n"/>
      <c r="D30" s="13" t="n"/>
      <c r="E30" s="13" t="n"/>
      <c r="F30" s="14">
        <f>IF(C22=0,0,(C22-SUM(C24:F24))/C22)</f>
        <v/>
      </c>
    </row>
    <row r="31">
      <c r="A31" s="4" t="inlineStr">
        <is>
          <t>Avg. Logo Size ($ Actuals)</t>
        </is>
      </c>
      <c r="B31" s="5" t="n"/>
      <c r="C31" s="6">
        <f>IF(C25=0,0,C8/C25)</f>
        <v/>
      </c>
      <c r="D31" s="6">
        <f>IF(D25=0,0,D8/D25)</f>
        <v/>
      </c>
      <c r="E31" s="6">
        <f>IF(E25=0,0,E8/E25)</f>
        <v/>
      </c>
      <c r="F31" s="6">
        <f>IF(F25=0,0,F8/F25)</f>
        <v/>
      </c>
    </row>
    <row r="32">
      <c r="A32" s="9" t="inlineStr">
        <is>
          <t>Avg Logo Size QoQ Growth</t>
        </is>
      </c>
      <c r="B32" s="5" t="n"/>
      <c r="C32" s="5" t="n"/>
      <c r="D32" s="10">
        <f>IF(C31=0,0,D31/C31-1)</f>
        <v/>
      </c>
      <c r="E32" s="10">
        <f>IF(D31=0,0,E31/D31-1)</f>
        <v/>
      </c>
      <c r="F32" s="10">
        <f>IF(E31=0,0,F31/E31-1)</f>
        <v/>
      </c>
    </row>
    <row r="33">
      <c r="A33" s="4" t="inlineStr">
        <is>
          <t>Avg. New Logo Size ($ Actuals)</t>
        </is>
      </c>
      <c r="B33" s="5" t="n"/>
      <c r="C33" s="6">
        <f>IF(OR(C23=0,C4=0),0,C4/C23)</f>
        <v/>
      </c>
      <c r="D33" s="6">
        <f>IF(OR(D23=0,D4=0),0,D4/D23)</f>
        <v/>
      </c>
      <c r="E33" s="6">
        <f>IF(OR(E23=0,E4=0),0,E4/E23)</f>
        <v/>
      </c>
      <c r="F33" s="6">
        <f>IF(OR(F23=0,F4=0),0,F4/F23)</f>
        <v/>
      </c>
    </row>
    <row r="34">
      <c r="A34" s="9" t="inlineStr">
        <is>
          <t>Avg New Logo Size QoQ Growth</t>
        </is>
      </c>
      <c r="B34" s="5" t="n"/>
      <c r="C34" s="5" t="n"/>
      <c r="D34" s="10">
        <f>IF(C33=0,0,D33/C33-1)</f>
        <v/>
      </c>
      <c r="E34" s="10">
        <f>IF(D33=0,0,E33/D33-1)</f>
        <v/>
      </c>
      <c r="F34" s="10">
        <f>IF(E33=0,0,F33/E33-1)</f>
        <v/>
      </c>
    </row>
    <row r="35">
      <c r="A35" s="4" t="inlineStr">
        <is>
          <t>Avg. Churned Logo Size ($ Actuals)</t>
        </is>
      </c>
      <c r="B35" s="5" t="n"/>
      <c r="C35" s="6">
        <f>IF(OR(C24=0,C7=0),0,-C7/C24)</f>
        <v/>
      </c>
      <c r="D35" s="6">
        <f>IF(OR(D24=0,D7=0),0,-D7/D24)</f>
        <v/>
      </c>
      <c r="E35" s="6">
        <f>IF(OR(E24=0,E7=0),0,-E7/E24)</f>
        <v/>
      </c>
      <c r="F35" s="6">
        <f>IF(OR(F24=0,F7=0),0,-F7/F24)</f>
        <v/>
      </c>
    </row>
    <row r="36">
      <c r="A36" s="9" t="inlineStr">
        <is>
          <t>Avg Churned Logo Size QoQ Growth</t>
        </is>
      </c>
      <c r="B36" s="5" t="n"/>
      <c r="C36" s="5" t="n"/>
      <c r="D36" s="10">
        <f>IF(C35=0,0,D35/C35-1)</f>
        <v/>
      </c>
      <c r="E36" s="10">
        <f>IF(D35=0,0,E35/D35-1)</f>
        <v/>
      </c>
      <c r="F36" s="10">
        <f>IF(E35=0,0,F35/E35-1)</f>
        <v/>
      </c>
    </row>
  </sheetData>
  <mergeCells count="2">
    <mergeCell ref="A21:F2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Top Customers as of Dec-23</t>
        </is>
      </c>
    </row>
    <row r="2">
      <c r="A2" s="20" t="inlineStr">
        <is>
          <t>($ Actuals)</t>
        </is>
      </c>
      <c r="B2" s="15" t="n"/>
      <c r="C2" s="1" t="inlineStr">
        <is>
          <t>ARR</t>
        </is>
      </c>
      <c r="H2" s="1" t="inlineStr">
        <is>
          <t>$ Growth</t>
        </is>
      </c>
      <c r="K2" s="1" t="inlineStr">
        <is>
          <t>% Growth</t>
        </is>
      </c>
      <c r="L2" s="15" t="inlineStr"/>
    </row>
    <row r="3">
      <c r="A3" s="15" t="inlineStr">
        <is>
          <t>Rank</t>
        </is>
      </c>
      <c r="B3" s="15" t="inlineStr">
        <is>
          <t>Customer</t>
        </is>
      </c>
      <c r="C3" s="3" t="inlineStr">
        <is>
          <t>Dec-22</t>
        </is>
      </c>
      <c r="D3" s="3" t="inlineStr">
        <is>
          <t>Dec-23</t>
        </is>
      </c>
      <c r="E3" s="3" t="inlineStr">
        <is>
          <t>Dec-22 - Dec-23 CAGR</t>
        </is>
      </c>
      <c r="F3" s="3" t="inlineStr">
        <is>
          <t>% of Dec-23 ARR</t>
        </is>
      </c>
      <c r="G3" s="3" t="inlineStr">
        <is>
          <t>% Total Cum.</t>
        </is>
      </c>
      <c r="H3" s="3" t="inlineStr">
        <is>
          <t>Dec-22 - Dec-23</t>
        </is>
      </c>
      <c r="I3" s="3" t="inlineStr">
        <is>
          <t>% of Dec-22 - Dec-23 Growth</t>
        </is>
      </c>
      <c r="J3" s="3" t="inlineStr">
        <is>
          <t>Mult. of Initial</t>
        </is>
      </c>
      <c r="K3" s="3" t="inlineStr">
        <is>
          <t>Dec-22 - Dec-23</t>
        </is>
      </c>
      <c r="L3" s="3" t="inlineStr">
        <is>
          <t>Customer Since</t>
        </is>
      </c>
    </row>
    <row r="4">
      <c r="A4" s="4" t="n">
        <v>1</v>
      </c>
      <c r="B4" s="4" t="inlineStr">
        <is>
          <t>61</t>
        </is>
      </c>
      <c r="C4" s="6">
        <f>'Original Data'!$C$64*12</f>
        <v/>
      </c>
      <c r="D4" s="6">
        <f>'Original Data'!$O$64*12</f>
        <v/>
      </c>
      <c r="E4" s="21">
        <f>IF(C4=0,0,(D4/C4)^(1/1)-1)</f>
        <v/>
      </c>
      <c r="F4" s="21">
        <f>IF(D17=0,0,D4/D17)</f>
        <v/>
      </c>
      <c r="G4" s="21">
        <f>SUM(F$4:F4)</f>
        <v/>
      </c>
      <c r="H4" s="6">
        <f>D4-C4</f>
        <v/>
      </c>
      <c r="I4" s="21">
        <f>IF(H17=0,0,H4/H17)</f>
        <v/>
      </c>
      <c r="J4" s="22">
        <f>IF(C4=0,0,D4/C4)</f>
        <v/>
      </c>
      <c r="K4" s="21">
        <f>IF(C4=0,0,D4/C4-1)</f>
        <v/>
      </c>
      <c r="L4" s="23" t="inlineStr">
        <is>
          <t>Dec-22</t>
        </is>
      </c>
    </row>
    <row r="5">
      <c r="A5" s="4" t="n">
        <v>2</v>
      </c>
      <c r="B5" s="4" t="inlineStr">
        <is>
          <t>13</t>
        </is>
      </c>
      <c r="C5" s="6">
        <f>'Original Data'!$C$16*12</f>
        <v/>
      </c>
      <c r="D5" s="6">
        <f>'Original Data'!$O$16*12</f>
        <v/>
      </c>
      <c r="E5" s="21">
        <f>IF(C5=0,0,(D5/C5)^(1/1)-1)</f>
        <v/>
      </c>
      <c r="F5" s="21">
        <f>IF(D17=0,0,D5/D17)</f>
        <v/>
      </c>
      <c r="G5" s="21">
        <f>SUM(F$4:F5)</f>
        <v/>
      </c>
      <c r="H5" s="6">
        <f>D5-C5</f>
        <v/>
      </c>
      <c r="I5" s="21">
        <f>IF(H17=0,0,H5/H17)</f>
        <v/>
      </c>
      <c r="J5" s="22">
        <f>IF(C5=0,0,D5/C5)</f>
        <v/>
      </c>
      <c r="K5" s="21">
        <f>IF(C5=0,0,D5/C5-1)</f>
        <v/>
      </c>
      <c r="L5" s="23" t="inlineStr">
        <is>
          <t>Dec-22</t>
        </is>
      </c>
    </row>
    <row r="6">
      <c r="A6" s="4" t="n">
        <v>3</v>
      </c>
      <c r="B6" s="4" t="inlineStr">
        <is>
          <t>2</t>
        </is>
      </c>
      <c r="C6" s="6">
        <f>'Original Data'!$C$5*12</f>
        <v/>
      </c>
      <c r="D6" s="6">
        <f>'Original Data'!$O$5*12</f>
        <v/>
      </c>
      <c r="E6" s="21">
        <f>IF(C6=0,0,(D6/C6)^(1/1)-1)</f>
        <v/>
      </c>
      <c r="F6" s="21">
        <f>IF(D17=0,0,D6/D17)</f>
        <v/>
      </c>
      <c r="G6" s="21">
        <f>SUM(F$4:F6)</f>
        <v/>
      </c>
      <c r="H6" s="6">
        <f>D6-C6</f>
        <v/>
      </c>
      <c r="I6" s="21">
        <f>IF(H17=0,0,H6/H17)</f>
        <v/>
      </c>
      <c r="J6" s="22">
        <f>IF(C6=0,0,D6/C6)</f>
        <v/>
      </c>
      <c r="K6" s="21">
        <f>IF(C6=0,0,D6/C6-1)</f>
        <v/>
      </c>
      <c r="L6" s="23" t="inlineStr">
        <is>
          <t>Dec-22</t>
        </is>
      </c>
    </row>
    <row r="7">
      <c r="A7" s="4" t="n">
        <v>4</v>
      </c>
      <c r="B7" s="4" t="inlineStr">
        <is>
          <t>31</t>
        </is>
      </c>
      <c r="C7" s="6">
        <f>'Original Data'!$C$34*12</f>
        <v/>
      </c>
      <c r="D7" s="6">
        <f>'Original Data'!$O$34*12</f>
        <v/>
      </c>
      <c r="E7" s="21">
        <f>IF(C7=0,0,(D7/C7)^(1/1)-1)</f>
        <v/>
      </c>
      <c r="F7" s="21">
        <f>IF(D17=0,0,D7/D17)</f>
        <v/>
      </c>
      <c r="G7" s="21">
        <f>SUM(F$4:F7)</f>
        <v/>
      </c>
      <c r="H7" s="6">
        <f>D7-C7</f>
        <v/>
      </c>
      <c r="I7" s="21">
        <f>IF(H17=0,0,H7/H17)</f>
        <v/>
      </c>
      <c r="J7" s="22">
        <f>IF(C7=0,0,D7/C7)</f>
        <v/>
      </c>
      <c r="K7" s="21">
        <f>IF(C7=0,0,D7/C7-1)</f>
        <v/>
      </c>
      <c r="L7" s="23" t="inlineStr">
        <is>
          <t>Mar-23</t>
        </is>
      </c>
    </row>
    <row r="8">
      <c r="A8" s="4" t="n">
        <v>5</v>
      </c>
      <c r="B8" s="4" t="inlineStr">
        <is>
          <t>51</t>
        </is>
      </c>
      <c r="C8" s="6">
        <f>'Original Data'!$C$54*12</f>
        <v/>
      </c>
      <c r="D8" s="6">
        <f>'Original Data'!$O$54*12</f>
        <v/>
      </c>
      <c r="E8" s="21">
        <f>IF(C8=0,0,(D8/C8)^(1/1)-1)</f>
        <v/>
      </c>
      <c r="F8" s="21">
        <f>IF(D17=0,0,D8/D17)</f>
        <v/>
      </c>
      <c r="G8" s="21">
        <f>SUM(F$4:F8)</f>
        <v/>
      </c>
      <c r="H8" s="6">
        <f>D8-C8</f>
        <v/>
      </c>
      <c r="I8" s="21">
        <f>IF(H17=0,0,H8/H17)</f>
        <v/>
      </c>
      <c r="J8" s="22">
        <f>IF(C8=0,0,D8/C8)</f>
        <v/>
      </c>
      <c r="K8" s="21">
        <f>IF(C8=0,0,D8/C8-1)</f>
        <v/>
      </c>
      <c r="L8" s="23" t="inlineStr">
        <is>
          <t>Dec-22</t>
        </is>
      </c>
    </row>
    <row r="9">
      <c r="A9" s="4" t="n">
        <v>6</v>
      </c>
      <c r="B9" s="4" t="inlineStr">
        <is>
          <t>91</t>
        </is>
      </c>
      <c r="C9" s="6">
        <f>'Original Data'!$C$94*12</f>
        <v/>
      </c>
      <c r="D9" s="6">
        <f>'Original Data'!$O$94*12</f>
        <v/>
      </c>
      <c r="E9" s="21">
        <f>IF(C9=0,0,(D9/C9)^(1/1)-1)</f>
        <v/>
      </c>
      <c r="F9" s="21">
        <f>IF(D17=0,0,D9/D17)</f>
        <v/>
      </c>
      <c r="G9" s="21">
        <f>SUM(F$4:F9)</f>
        <v/>
      </c>
      <c r="H9" s="6">
        <f>D9-C9</f>
        <v/>
      </c>
      <c r="I9" s="21">
        <f>IF(H17=0,0,H9/H17)</f>
        <v/>
      </c>
      <c r="J9" s="22">
        <f>IF(C9=0,0,D9/C9)</f>
        <v/>
      </c>
      <c r="K9" s="21">
        <f>IF(C9=0,0,D9/C9-1)</f>
        <v/>
      </c>
      <c r="L9" s="23" t="inlineStr">
        <is>
          <t>Dec-22</t>
        </is>
      </c>
    </row>
    <row r="10">
      <c r="A10" s="4" t="n">
        <v>7</v>
      </c>
      <c r="B10" s="4" t="inlineStr">
        <is>
          <t>94</t>
        </is>
      </c>
      <c r="C10" s="6">
        <f>'Original Data'!$C$97*12</f>
        <v/>
      </c>
      <c r="D10" s="6">
        <f>'Original Data'!$O$97*12</f>
        <v/>
      </c>
      <c r="E10" s="21">
        <f>IF(C10=0,0,(D10/C10)^(1/1)-1)</f>
        <v/>
      </c>
      <c r="F10" s="21">
        <f>IF(D17=0,0,D10/D17)</f>
        <v/>
      </c>
      <c r="G10" s="21">
        <f>SUM(F$4:F10)</f>
        <v/>
      </c>
      <c r="H10" s="6">
        <f>D10-C10</f>
        <v/>
      </c>
      <c r="I10" s="21">
        <f>IF(H17=0,0,H10/H17)</f>
        <v/>
      </c>
      <c r="J10" s="22">
        <f>IF(C10=0,0,D10/C10)</f>
        <v/>
      </c>
      <c r="K10" s="21">
        <f>IF(C10=0,0,D10/C10-1)</f>
        <v/>
      </c>
      <c r="L10" s="23" t="inlineStr">
        <is>
          <t>Dec-22</t>
        </is>
      </c>
    </row>
    <row r="11">
      <c r="A11" s="4" t="n">
        <v>8</v>
      </c>
      <c r="B11" s="4" t="inlineStr">
        <is>
          <t>45</t>
        </is>
      </c>
      <c r="C11" s="6">
        <f>'Original Data'!$C$48*12</f>
        <v/>
      </c>
      <c r="D11" s="6">
        <f>'Original Data'!$O$48*12</f>
        <v/>
      </c>
      <c r="E11" s="21">
        <f>IF(C11=0,0,(D11/C11)^(1/1)-1)</f>
        <v/>
      </c>
      <c r="F11" s="21">
        <f>IF(D17=0,0,D11/D17)</f>
        <v/>
      </c>
      <c r="G11" s="21">
        <f>SUM(F$4:F11)</f>
        <v/>
      </c>
      <c r="H11" s="6">
        <f>D11-C11</f>
        <v/>
      </c>
      <c r="I11" s="21">
        <f>IF(H17=0,0,H11/H17)</f>
        <v/>
      </c>
      <c r="J11" s="22">
        <f>IF(C11=0,0,D11/C11)</f>
        <v/>
      </c>
      <c r="K11" s="21">
        <f>IF(C11=0,0,D11/C11-1)</f>
        <v/>
      </c>
      <c r="L11" s="23" t="inlineStr">
        <is>
          <t>Dec-22</t>
        </is>
      </c>
    </row>
    <row r="12">
      <c r="A12" s="4" t="n">
        <v>9</v>
      </c>
      <c r="B12" s="4" t="inlineStr">
        <is>
          <t>73</t>
        </is>
      </c>
      <c r="C12" s="6">
        <f>'Original Data'!$C$76*12</f>
        <v/>
      </c>
      <c r="D12" s="6">
        <f>'Original Data'!$O$76*12</f>
        <v/>
      </c>
      <c r="E12" s="21">
        <f>IF(C12=0,0,(D12/C12)^(1/1)-1)</f>
        <v/>
      </c>
      <c r="F12" s="21">
        <f>IF(D17=0,0,D12/D17)</f>
        <v/>
      </c>
      <c r="G12" s="21">
        <f>SUM(F$4:F12)</f>
        <v/>
      </c>
      <c r="H12" s="6">
        <f>D12-C12</f>
        <v/>
      </c>
      <c r="I12" s="21">
        <f>IF(H17=0,0,H12/H17)</f>
        <v/>
      </c>
      <c r="J12" s="22">
        <f>IF(C12=0,0,D12/C12)</f>
        <v/>
      </c>
      <c r="K12" s="21">
        <f>IF(C12=0,0,D12/C12-1)</f>
        <v/>
      </c>
      <c r="L12" s="23" t="inlineStr">
        <is>
          <t>Dec-22</t>
        </is>
      </c>
    </row>
    <row r="13">
      <c r="A13" s="4" t="n">
        <v>10</v>
      </c>
      <c r="B13" s="4" t="inlineStr">
        <is>
          <t>24</t>
        </is>
      </c>
      <c r="C13" s="6">
        <f>'Original Data'!$C$27*12</f>
        <v/>
      </c>
      <c r="D13" s="6">
        <f>'Original Data'!$O$27*12</f>
        <v/>
      </c>
      <c r="E13" s="21">
        <f>IF(C13=0,0,(D13/C13)^(1/1)-1)</f>
        <v/>
      </c>
      <c r="F13" s="21">
        <f>IF(D17=0,0,D13/D17)</f>
        <v/>
      </c>
      <c r="G13" s="21">
        <f>SUM(F$4:F13)</f>
        <v/>
      </c>
      <c r="H13" s="6">
        <f>D13-C13</f>
        <v/>
      </c>
      <c r="I13" s="21">
        <f>IF(H17=0,0,H13/H17)</f>
        <v/>
      </c>
      <c r="J13" s="22">
        <f>IF(C13=0,0,D13/C13)</f>
        <v/>
      </c>
      <c r="K13" s="21">
        <f>IF(C13=0,0,D13/C13-1)</f>
        <v/>
      </c>
      <c r="L13" s="23" t="inlineStr">
        <is>
          <t>Dec-22</t>
        </is>
      </c>
    </row>
    <row r="14">
      <c r="A14" s="7" t="n"/>
      <c r="B14" s="7" t="inlineStr">
        <is>
          <t>Total Top 10</t>
        </is>
      </c>
      <c r="C14" s="8">
        <f>SUM(C4:C13)</f>
        <v/>
      </c>
      <c r="D14" s="8">
        <f>SUM(D4:D13)</f>
        <v/>
      </c>
      <c r="E14" s="24">
        <f>IF(C14=0,0,(D14/C14)^(1/1)-1)</f>
        <v/>
      </c>
      <c r="F14" s="24">
        <f>IF(D17=0,0,D14/D17)</f>
        <v/>
      </c>
      <c r="G14" s="24">
        <f>SUM(F4:F13)</f>
        <v/>
      </c>
      <c r="H14" s="8">
        <f>SUM(H4:H13)</f>
        <v/>
      </c>
      <c r="I14" s="24">
        <f>IF(H17=0,0,H14/H17)</f>
        <v/>
      </c>
      <c r="J14" s="25">
        <f>IF(C14=0,0,D14/C14)</f>
        <v/>
      </c>
      <c r="K14" s="24">
        <f>IF(C14=0,0,D14/C14-1)</f>
        <v/>
      </c>
      <c r="L14" s="26" t="n"/>
    </row>
    <row r="16">
      <c r="A16" s="4" t="n"/>
      <c r="B16" s="4" t="inlineStr">
        <is>
          <t>Other (90 Customers)</t>
        </is>
      </c>
      <c r="C16" s="6">
        <f>C17-C14</f>
        <v/>
      </c>
      <c r="D16" s="6">
        <f>D17-D14</f>
        <v/>
      </c>
      <c r="E16" s="21">
        <f>IF(C16=0,0,(D16/C16)^(1/1)-1)</f>
        <v/>
      </c>
      <c r="F16" s="21">
        <f>IF(D17=0,0,D16/D17)</f>
        <v/>
      </c>
      <c r="G16" s="21" t="inlineStr"/>
      <c r="H16" s="6">
        <f>H17-H14</f>
        <v/>
      </c>
      <c r="I16" s="21">
        <f>IF(H17=0,0,H16/H17)</f>
        <v/>
      </c>
      <c r="J16" s="22">
        <f>IF(C16=0,0,D16/C16)</f>
        <v/>
      </c>
      <c r="K16" s="21">
        <f>IF(C16=0,0,D16/C16-1)</f>
        <v/>
      </c>
      <c r="L16" s="23" t="n"/>
    </row>
    <row r="17">
      <c r="A17" s="7" t="n"/>
      <c r="B17" s="7" t="inlineStr">
        <is>
          <t>Total Customers</t>
        </is>
      </c>
      <c r="C17" s="8">
        <f>SUM('Original Data'!$C$4:$C$103)*12</f>
        <v/>
      </c>
      <c r="D17" s="8">
        <f>SUM('Original Data'!$O$4:$O$103)*12</f>
        <v/>
      </c>
      <c r="E17" s="24">
        <f>IF(C17=0,0,(D17/C17)^(1/1)-1)</f>
        <v/>
      </c>
      <c r="F17" s="24">
        <f>IF(D17=0,0,D17/D17)</f>
        <v/>
      </c>
      <c r="G17" s="24">
        <f>IF(D17=0,0,D17/D17)</f>
        <v/>
      </c>
      <c r="H17" s="8">
        <f>D17-C17</f>
        <v/>
      </c>
      <c r="I17" s="24">
        <f>IF(H17=0,0,H17/H17)</f>
        <v/>
      </c>
      <c r="J17" s="25">
        <f>IF(C17=0,0,D17/C17)</f>
        <v/>
      </c>
      <c r="K17" s="24">
        <f>IF(C17=0,0,D17/C17-1)</f>
        <v/>
      </c>
      <c r="L17" s="26" t="n"/>
    </row>
    <row r="19">
      <c r="A19" s="4" t="n"/>
      <c r="B19" s="4" t="inlineStr">
        <is>
          <t>Total Top 5</t>
        </is>
      </c>
      <c r="C19" s="6">
        <f>SUM(C4:C8)</f>
        <v/>
      </c>
      <c r="D19" s="6">
        <f>SUM(D4:D8)</f>
        <v/>
      </c>
      <c r="E19" s="21">
        <f>IF(C19=0,0,(D19/C19)^(1/1)-1)</f>
        <v/>
      </c>
      <c r="F19" s="21">
        <f>IF(D17=0,0,D19/D17)</f>
        <v/>
      </c>
      <c r="G19" s="21">
        <f>SUM(F4:F8)</f>
        <v/>
      </c>
      <c r="H19" s="6">
        <f>SUM(H4:H8)</f>
        <v/>
      </c>
      <c r="I19" s="21">
        <f>IF(H17=0,0,H19/H17)</f>
        <v/>
      </c>
      <c r="J19" s="22">
        <f>IF(C19=0,0,D19/C19)</f>
        <v/>
      </c>
      <c r="K19" s="21">
        <f>IF(C19=0,0,D19/C19-1)</f>
        <v/>
      </c>
      <c r="L19" s="23" t="n"/>
    </row>
    <row r="20">
      <c r="A20" s="4" t="n"/>
      <c r="B20" s="4" t="inlineStr">
        <is>
          <t>Total Top 10</t>
        </is>
      </c>
      <c r="C20" s="6">
        <f>SUM(C4:C13)</f>
        <v/>
      </c>
      <c r="D20" s="6">
        <f>SUM(D4:D13)</f>
        <v/>
      </c>
      <c r="E20" s="21">
        <f>IF(C20=0,0,(D20/C20)^(1/1)-1)</f>
        <v/>
      </c>
      <c r="F20" s="21">
        <f>IF(D17=0,0,D20/D17)</f>
        <v/>
      </c>
      <c r="G20" s="21">
        <f>SUM(F4:F13)</f>
        <v/>
      </c>
      <c r="H20" s="6">
        <f>SUM(H4:H13)</f>
        <v/>
      </c>
      <c r="I20" s="21">
        <f>IF(H17=0,0,H20/H17)</f>
        <v/>
      </c>
      <c r="J20" s="22">
        <f>IF(C20=0,0,D20/C20)</f>
        <v/>
      </c>
      <c r="K20" s="21">
        <f>IF(C20=0,0,D20/C20-1)</f>
        <v/>
      </c>
      <c r="L20" s="23" t="n"/>
    </row>
  </sheetData>
  <mergeCells count="3">
    <mergeCell ref="C2:G2"/>
    <mergeCell ref="A1:L1"/>
    <mergeCell ref="H2:J2"/>
  </mergeCells>
  <conditionalFormatting sqref="H4:H2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selection activeCell="A1" sqref="A1"/>
    </sheetView>
  </sheetViews>
  <sheetFormatPr baseColWidth="8" defaultRowHeight="15"/>
  <sheetData>
    <row r="1"/>
    <row r="2"/>
    <row r="3">
      <c r="B3" t="inlineStr">
        <is>
          <t>Customers</t>
        </is>
      </c>
      <c r="C3" s="27" t="n">
        <v>44926</v>
      </c>
      <c r="D3" s="27" t="n">
        <v>44957</v>
      </c>
      <c r="E3" s="27" t="n">
        <v>44985</v>
      </c>
      <c r="F3" s="27" t="n">
        <v>45016</v>
      </c>
      <c r="G3" s="27" t="n">
        <v>45046</v>
      </c>
      <c r="H3" s="27" t="n">
        <v>45077</v>
      </c>
      <c r="I3" s="27" t="n">
        <v>45107</v>
      </c>
      <c r="J3" s="27" t="n">
        <v>45138</v>
      </c>
      <c r="K3" s="27" t="n">
        <v>45169</v>
      </c>
      <c r="L3" s="27" t="n">
        <v>45199</v>
      </c>
      <c r="M3" s="27" t="n">
        <v>45230</v>
      </c>
      <c r="N3" s="27" t="n">
        <v>45260</v>
      </c>
      <c r="O3" s="27" t="n">
        <v>45291</v>
      </c>
    </row>
    <row r="4">
      <c r="B4" t="n">
        <v>1</v>
      </c>
      <c r="C4" t="n">
        <v>179</v>
      </c>
      <c r="D4" t="n">
        <v>179</v>
      </c>
      <c r="E4" t="n">
        <v>179</v>
      </c>
      <c r="F4" t="n">
        <v>179</v>
      </c>
      <c r="G4" t="n">
        <v>179</v>
      </c>
      <c r="H4" t="n">
        <v>179</v>
      </c>
      <c r="I4" t="n">
        <v>179</v>
      </c>
      <c r="J4" t="n">
        <v>179</v>
      </c>
      <c r="K4" t="n">
        <v>179</v>
      </c>
      <c r="L4" t="n">
        <v>179</v>
      </c>
      <c r="M4" t="n">
        <v>179</v>
      </c>
      <c r="N4" t="n">
        <v>179</v>
      </c>
      <c r="O4" t="n">
        <v>179</v>
      </c>
    </row>
    <row r="5">
      <c r="B5" t="n">
        <v>2</v>
      </c>
      <c r="C5" t="n">
        <v>362.15</v>
      </c>
      <c r="D5" t="n">
        <v>362.15</v>
      </c>
      <c r="E5" t="n">
        <v>359</v>
      </c>
      <c r="F5" t="n">
        <v>359</v>
      </c>
      <c r="G5" t="n">
        <v>359</v>
      </c>
      <c r="H5" t="n">
        <v>359</v>
      </c>
      <c r="I5" t="n">
        <v>359.3</v>
      </c>
      <c r="J5" t="n">
        <v>359</v>
      </c>
      <c r="K5" t="n">
        <v>359</v>
      </c>
      <c r="L5" t="n">
        <v>359</v>
      </c>
      <c r="M5" t="n">
        <v>359</v>
      </c>
      <c r="N5" t="n">
        <v>359</v>
      </c>
      <c r="O5" t="n">
        <v>359</v>
      </c>
    </row>
    <row r="6">
      <c r="B6" t="n">
        <v>3</v>
      </c>
      <c r="C6" t="n">
        <v>296.1</v>
      </c>
      <c r="D6" t="n">
        <v>296.1</v>
      </c>
      <c r="E6" t="n">
        <v>296.1</v>
      </c>
      <c r="F6" t="n">
        <v>296.1</v>
      </c>
      <c r="G6" t="n">
        <v>296.1</v>
      </c>
      <c r="H6" t="n">
        <v>296.1</v>
      </c>
      <c r="I6" t="n">
        <v>296.1</v>
      </c>
      <c r="J6" t="n">
        <v>296.1</v>
      </c>
      <c r="K6" t="n">
        <v>296.1</v>
      </c>
      <c r="L6" t="n">
        <v>296.1</v>
      </c>
      <c r="M6" t="n">
        <v>296.1</v>
      </c>
      <c r="N6" t="n">
        <v>296.1</v>
      </c>
      <c r="O6" t="n">
        <v>296.1</v>
      </c>
    </row>
    <row r="7">
      <c r="B7" t="n">
        <v>4</v>
      </c>
      <c r="C7" t="n">
        <v>289</v>
      </c>
      <c r="D7" t="n">
        <v>289</v>
      </c>
      <c r="E7" t="n">
        <v>289</v>
      </c>
      <c r="F7" t="n">
        <v>289</v>
      </c>
      <c r="G7" t="n">
        <v>289</v>
      </c>
      <c r="H7" t="n">
        <v>289</v>
      </c>
      <c r="I7" t="n">
        <v>289</v>
      </c>
      <c r="J7" t="n">
        <v>289</v>
      </c>
      <c r="K7" t="n">
        <v>289</v>
      </c>
      <c r="L7" t="n">
        <v>289</v>
      </c>
      <c r="M7" t="n">
        <v>289</v>
      </c>
      <c r="N7" t="n">
        <v>289</v>
      </c>
      <c r="O7" t="n">
        <v>289</v>
      </c>
    </row>
    <row r="8">
      <c r="B8" t="n">
        <v>5</v>
      </c>
      <c r="C8" t="n">
        <v>223</v>
      </c>
      <c r="D8" t="n">
        <v>223</v>
      </c>
      <c r="E8" t="n">
        <v>223</v>
      </c>
      <c r="F8" t="n">
        <v>223</v>
      </c>
      <c r="G8" t="n">
        <v>223</v>
      </c>
      <c r="H8" t="n">
        <v>223</v>
      </c>
      <c r="I8" t="n">
        <v>223</v>
      </c>
      <c r="J8" t="n">
        <v>223</v>
      </c>
      <c r="K8" t="n">
        <v>234.15</v>
      </c>
      <c r="L8" t="n">
        <v>234.15</v>
      </c>
      <c r="M8" t="n">
        <v>210.74</v>
      </c>
      <c r="N8" t="n">
        <v>210.74</v>
      </c>
      <c r="O8" t="n">
        <v>210.74</v>
      </c>
    </row>
    <row r="9">
      <c r="B9" t="n">
        <v>6</v>
      </c>
      <c r="C9" t="n">
        <v>279</v>
      </c>
      <c r="D9" t="n">
        <v>279</v>
      </c>
      <c r="E9" t="n">
        <v>279</v>
      </c>
      <c r="F9" t="n">
        <v>279</v>
      </c>
      <c r="G9" t="n">
        <v>279</v>
      </c>
      <c r="H9" t="n">
        <v>378</v>
      </c>
      <c r="I9" t="n">
        <v>279</v>
      </c>
      <c r="J9" t="n">
        <v>279</v>
      </c>
      <c r="K9" t="n">
        <v>279</v>
      </c>
      <c r="L9" t="n">
        <v>279</v>
      </c>
      <c r="M9" t="n">
        <v>279</v>
      </c>
      <c r="N9" t="n">
        <v>279</v>
      </c>
      <c r="O9" t="n">
        <v>279</v>
      </c>
    </row>
    <row r="10">
      <c r="B10" t="n">
        <v>7</v>
      </c>
      <c r="C10" t="n">
        <v>170.05</v>
      </c>
      <c r="D10" t="n">
        <v>170.05</v>
      </c>
      <c r="E10" t="n">
        <v>170.05</v>
      </c>
      <c r="F10" t="n">
        <v>170.05</v>
      </c>
      <c r="G10" t="n">
        <v>170.05</v>
      </c>
      <c r="H10" t="n">
        <v>170.05</v>
      </c>
      <c r="I10" t="n">
        <v>170.05</v>
      </c>
      <c r="J10" t="n">
        <v>170.05</v>
      </c>
      <c r="K10" t="n">
        <v>170.05</v>
      </c>
      <c r="L10" t="n">
        <v>170.05</v>
      </c>
      <c r="M10" t="n">
        <v>179</v>
      </c>
      <c r="N10" t="n">
        <v>179</v>
      </c>
      <c r="O10" t="n">
        <v>179</v>
      </c>
    </row>
    <row r="11">
      <c r="B11" t="n">
        <v>8</v>
      </c>
      <c r="C11" t="n">
        <v>99</v>
      </c>
      <c r="D11" t="n">
        <v>99</v>
      </c>
      <c r="E11" t="n">
        <v>99</v>
      </c>
      <c r="F11" t="n">
        <v>99</v>
      </c>
      <c r="G11" t="n">
        <v>99</v>
      </c>
      <c r="H11" t="n">
        <v>99</v>
      </c>
      <c r="I11" t="n">
        <v>99</v>
      </c>
      <c r="J11" t="n">
        <v>99</v>
      </c>
      <c r="K11" t="n">
        <v>99</v>
      </c>
      <c r="L11" t="n">
        <v>99</v>
      </c>
      <c r="M11" t="n">
        <v>99</v>
      </c>
      <c r="N11" t="n">
        <v>99</v>
      </c>
      <c r="O11" t="n">
        <v>99</v>
      </c>
    </row>
    <row r="12">
      <c r="B12" t="n">
        <v>9</v>
      </c>
      <c r="C12" t="n">
        <v>229</v>
      </c>
      <c r="D12" t="n">
        <v>229</v>
      </c>
      <c r="E12" t="n">
        <v>229</v>
      </c>
      <c r="F12" t="n">
        <v>229</v>
      </c>
      <c r="G12" t="n">
        <v>229</v>
      </c>
      <c r="H12" t="n">
        <v>229</v>
      </c>
      <c r="I12" t="n">
        <v>229</v>
      </c>
      <c r="J12" t="n">
        <v>229</v>
      </c>
      <c r="K12" t="n">
        <v>229</v>
      </c>
      <c r="L12" t="n">
        <v>229</v>
      </c>
      <c r="M12" t="n">
        <v>229</v>
      </c>
      <c r="N12" t="n">
        <v>229</v>
      </c>
      <c r="O12" t="n">
        <v>229</v>
      </c>
    </row>
    <row r="13">
      <c r="B13" t="n">
        <v>10</v>
      </c>
      <c r="C13" t="n">
        <v>279</v>
      </c>
      <c r="D13" t="n">
        <v>279</v>
      </c>
      <c r="E13" t="n">
        <v>279</v>
      </c>
      <c r="F13" t="n">
        <v>279</v>
      </c>
      <c r="G13" t="n">
        <v>279</v>
      </c>
      <c r="H13" t="n">
        <v>279</v>
      </c>
      <c r="I13" t="n">
        <v>179</v>
      </c>
      <c r="J13" t="n">
        <v>179</v>
      </c>
      <c r="K13" t="n">
        <v>179</v>
      </c>
      <c r="L13" t="n">
        <v>179</v>
      </c>
      <c r="M13" t="n">
        <v>179</v>
      </c>
      <c r="N13" t="n">
        <v>179</v>
      </c>
      <c r="O13" t="n">
        <v>179</v>
      </c>
    </row>
    <row r="14">
      <c r="B14" t="n">
        <v>11</v>
      </c>
      <c r="C14" t="n">
        <v>170.05</v>
      </c>
      <c r="D14" t="n">
        <v>170.05</v>
      </c>
      <c r="E14" t="n">
        <v>170.05</v>
      </c>
      <c r="F14" t="n">
        <v>170.05</v>
      </c>
      <c r="G14" t="n">
        <v>170.05</v>
      </c>
      <c r="H14" t="n">
        <v>170.05</v>
      </c>
      <c r="I14" t="n">
        <v>170.05</v>
      </c>
      <c r="J14" t="n">
        <v>170.05</v>
      </c>
      <c r="K14" t="n">
        <v>170.05</v>
      </c>
      <c r="L14" t="n">
        <v>170.05</v>
      </c>
      <c r="M14" t="n">
        <v>179</v>
      </c>
      <c r="N14" t="n">
        <v>179</v>
      </c>
      <c r="O14" t="n">
        <v>179</v>
      </c>
    </row>
    <row r="15">
      <c r="B15" t="n">
        <v>12</v>
      </c>
      <c r="C15" t="n">
        <v>284.05</v>
      </c>
      <c r="D15" t="n">
        <v>284.05</v>
      </c>
      <c r="E15" t="n">
        <v>284.05</v>
      </c>
      <c r="F15" t="n">
        <v>284.05</v>
      </c>
      <c r="G15" t="n">
        <v>284.05</v>
      </c>
      <c r="H15" t="n">
        <v>284.05</v>
      </c>
      <c r="I15" t="n">
        <v>290.03</v>
      </c>
      <c r="J15" t="n">
        <v>290.03</v>
      </c>
      <c r="K15" t="n">
        <v>290.03</v>
      </c>
      <c r="L15" t="n">
        <v>290.03</v>
      </c>
      <c r="M15" t="n">
        <v>281.33</v>
      </c>
      <c r="N15" t="n">
        <v>281.33</v>
      </c>
      <c r="O15" t="n">
        <v>281.33</v>
      </c>
    </row>
    <row r="16">
      <c r="B16" t="n">
        <v>13</v>
      </c>
      <c r="C16" t="n">
        <v>369</v>
      </c>
      <c r="D16" t="n">
        <v>369</v>
      </c>
      <c r="E16" t="n">
        <v>369</v>
      </c>
      <c r="F16" t="n">
        <v>369</v>
      </c>
      <c r="G16" t="n">
        <v>369</v>
      </c>
      <c r="H16" t="n">
        <v>369</v>
      </c>
      <c r="I16" t="n">
        <v>369</v>
      </c>
      <c r="J16" t="n">
        <v>369</v>
      </c>
      <c r="K16" t="n">
        <v>369</v>
      </c>
      <c r="L16" t="n">
        <v>369</v>
      </c>
      <c r="M16" t="n">
        <v>369</v>
      </c>
      <c r="N16" t="n">
        <v>369</v>
      </c>
      <c r="O16" t="n">
        <v>369</v>
      </c>
    </row>
    <row r="17">
      <c r="B17" t="n">
        <v>14</v>
      </c>
      <c r="C17" t="n">
        <v>279</v>
      </c>
      <c r="D17" t="n">
        <v>279</v>
      </c>
      <c r="E17" t="n">
        <v>279</v>
      </c>
      <c r="F17" t="n">
        <v>279</v>
      </c>
      <c r="G17" t="n">
        <v>279</v>
      </c>
      <c r="H17" t="n">
        <v>279</v>
      </c>
      <c r="I17" t="n">
        <v>279</v>
      </c>
      <c r="J17" t="n">
        <v>279</v>
      </c>
      <c r="K17" t="n">
        <v>279</v>
      </c>
      <c r="L17" t="n">
        <v>279</v>
      </c>
      <c r="M17" t="n">
        <v>279</v>
      </c>
      <c r="N17" t="n">
        <v>279</v>
      </c>
      <c r="O17" t="n">
        <v>279</v>
      </c>
    </row>
    <row r="18">
      <c r="B18" t="n">
        <v>15</v>
      </c>
      <c r="C18" t="n">
        <v>179</v>
      </c>
      <c r="D18" t="n">
        <v>179</v>
      </c>
      <c r="E18" t="n">
        <v>179</v>
      </c>
      <c r="F18" t="n">
        <v>179</v>
      </c>
      <c r="G18" t="n">
        <v>179</v>
      </c>
      <c r="H18" t="n">
        <v>179</v>
      </c>
      <c r="I18" t="n">
        <v>179</v>
      </c>
      <c r="J18" t="n">
        <v>179</v>
      </c>
      <c r="K18" t="n">
        <v>179</v>
      </c>
      <c r="L18" t="n">
        <v>179</v>
      </c>
      <c r="M18" t="n">
        <v>179</v>
      </c>
      <c r="N18" t="n">
        <v>179</v>
      </c>
      <c r="O18" t="n">
        <v>179</v>
      </c>
    </row>
    <row r="19">
      <c r="B19" t="n">
        <v>16</v>
      </c>
      <c r="C19" t="n">
        <v>128</v>
      </c>
      <c r="D19" t="n">
        <v>128</v>
      </c>
      <c r="E19" t="n">
        <v>128</v>
      </c>
      <c r="F19" t="n">
        <v>128</v>
      </c>
      <c r="G19" t="n">
        <v>128</v>
      </c>
      <c r="H19" t="n">
        <v>128</v>
      </c>
      <c r="I19" t="n">
        <v>128</v>
      </c>
      <c r="J19" t="n">
        <v>128</v>
      </c>
      <c r="K19" t="n">
        <v>128</v>
      </c>
      <c r="L19" t="n">
        <v>128</v>
      </c>
      <c r="M19" t="n">
        <v>128</v>
      </c>
      <c r="N19" t="n">
        <v>128</v>
      </c>
      <c r="O19" t="n">
        <v>128</v>
      </c>
    </row>
    <row r="20">
      <c r="B20" t="n">
        <v>17</v>
      </c>
      <c r="C20" t="n">
        <v>279</v>
      </c>
      <c r="D20" t="n">
        <v>279</v>
      </c>
      <c r="E20" t="n">
        <v>279</v>
      </c>
      <c r="F20" t="n">
        <v>279</v>
      </c>
      <c r="G20" t="n">
        <v>279</v>
      </c>
      <c r="H20" t="n">
        <v>279</v>
      </c>
      <c r="I20" t="n">
        <v>279</v>
      </c>
      <c r="J20" t="n">
        <v>279</v>
      </c>
      <c r="K20" t="n">
        <v>279</v>
      </c>
      <c r="L20" t="n">
        <v>279</v>
      </c>
      <c r="M20" t="n">
        <v>279</v>
      </c>
      <c r="N20" t="n">
        <v>279</v>
      </c>
      <c r="O20" t="n">
        <v>279</v>
      </c>
    </row>
    <row r="21">
      <c r="B21" t="n">
        <v>18</v>
      </c>
      <c r="C21" t="n">
        <v>245.65</v>
      </c>
      <c r="D21" t="n">
        <v>245.65</v>
      </c>
      <c r="E21" t="n">
        <v>245.65</v>
      </c>
      <c r="F21" t="n">
        <v>245.65</v>
      </c>
      <c r="G21" t="n">
        <v>245.65</v>
      </c>
      <c r="H21" t="n">
        <v>245.65</v>
      </c>
      <c r="I21" t="n">
        <v>245.65</v>
      </c>
      <c r="J21" t="n">
        <v>245.65</v>
      </c>
      <c r="K21" t="n">
        <v>245.65</v>
      </c>
      <c r="L21" t="n">
        <v>245.65</v>
      </c>
      <c r="M21" t="n">
        <v>245.65</v>
      </c>
      <c r="N21" t="n">
        <v>245.65</v>
      </c>
      <c r="O21" t="n">
        <v>245.65</v>
      </c>
    </row>
    <row r="22">
      <c r="B22" t="n">
        <v>19</v>
      </c>
      <c r="C22" t="n">
        <v>116</v>
      </c>
      <c r="D22" t="n">
        <v>116</v>
      </c>
      <c r="E22" t="n">
        <v>116</v>
      </c>
      <c r="F22" t="n">
        <v>116</v>
      </c>
      <c r="G22" t="n">
        <v>116</v>
      </c>
      <c r="H22" t="n">
        <v>116</v>
      </c>
      <c r="I22" t="n">
        <v>116</v>
      </c>
      <c r="J22" t="n">
        <v>116</v>
      </c>
      <c r="K22" t="n">
        <v>116</v>
      </c>
      <c r="L22" t="n">
        <v>116</v>
      </c>
      <c r="M22" t="n">
        <v>116</v>
      </c>
      <c r="N22" t="n">
        <v>116</v>
      </c>
      <c r="O22" t="n">
        <v>116</v>
      </c>
    </row>
    <row r="23">
      <c r="B23" t="n">
        <v>20</v>
      </c>
      <c r="C23" t="n">
        <v>170.05</v>
      </c>
      <c r="D23" t="n">
        <v>170.05</v>
      </c>
      <c r="E23" t="n">
        <v>170.05</v>
      </c>
      <c r="F23" t="n">
        <v>170.05</v>
      </c>
      <c r="G23" t="n">
        <v>170.05</v>
      </c>
      <c r="H23" t="n">
        <v>170.05</v>
      </c>
      <c r="I23" t="n">
        <v>170.05</v>
      </c>
      <c r="J23" t="n">
        <v>170.05</v>
      </c>
      <c r="K23" t="n">
        <v>170.05</v>
      </c>
      <c r="L23" t="n">
        <v>170.05</v>
      </c>
      <c r="M23" t="n">
        <v>179</v>
      </c>
      <c r="N23" t="n">
        <v>179</v>
      </c>
      <c r="O23" t="n">
        <v>179</v>
      </c>
    </row>
    <row r="24">
      <c r="B24" t="n">
        <v>21</v>
      </c>
      <c r="C24" t="n">
        <v>279</v>
      </c>
      <c r="D24" t="n">
        <v>279</v>
      </c>
      <c r="E24" t="n">
        <v>279</v>
      </c>
      <c r="F24" t="n">
        <v>279</v>
      </c>
      <c r="G24" t="n">
        <v>279</v>
      </c>
      <c r="H24" t="n">
        <v>279</v>
      </c>
      <c r="I24" t="n">
        <v>279</v>
      </c>
      <c r="J24" t="n">
        <v>279</v>
      </c>
      <c r="K24" t="n">
        <v>279</v>
      </c>
      <c r="L24" t="n">
        <v>279</v>
      </c>
      <c r="M24" t="n">
        <v>279</v>
      </c>
      <c r="N24" t="n">
        <v>279</v>
      </c>
      <c r="O24" t="n">
        <v>279</v>
      </c>
    </row>
    <row r="25">
      <c r="B25" t="n">
        <v>22</v>
      </c>
      <c r="C25" t="n">
        <v>299</v>
      </c>
      <c r="D25" t="n">
        <v>299</v>
      </c>
      <c r="E25" t="n">
        <v>299</v>
      </c>
      <c r="F25" t="n">
        <v>299</v>
      </c>
      <c r="G25" t="n">
        <v>299</v>
      </c>
      <c r="H25" t="n">
        <v>299</v>
      </c>
      <c r="I25" t="n">
        <v>299</v>
      </c>
      <c r="J25" t="n">
        <v>299</v>
      </c>
      <c r="K25" t="n">
        <v>299</v>
      </c>
      <c r="L25" t="n">
        <v>299</v>
      </c>
      <c r="M25" t="n">
        <v>299</v>
      </c>
      <c r="N25" t="n">
        <v>299</v>
      </c>
      <c r="O25" t="n">
        <v>299</v>
      </c>
    </row>
    <row r="26">
      <c r="B26" t="n">
        <v>23</v>
      </c>
      <c r="C26" t="n">
        <v>287.1</v>
      </c>
      <c r="D26" t="n">
        <v>287.1</v>
      </c>
      <c r="E26" t="n">
        <v>287.1</v>
      </c>
      <c r="F26" t="n">
        <v>287.1</v>
      </c>
      <c r="G26" t="n">
        <v>287.1</v>
      </c>
      <c r="H26" t="n">
        <v>287.1</v>
      </c>
      <c r="I26" t="n">
        <v>287.1</v>
      </c>
      <c r="J26" t="n">
        <v>287.1</v>
      </c>
      <c r="K26" t="n">
        <v>287.1</v>
      </c>
      <c r="L26" t="n">
        <v>287.1</v>
      </c>
      <c r="M26" t="n">
        <v>287.1</v>
      </c>
      <c r="N26" t="n">
        <v>287.1</v>
      </c>
      <c r="O26" t="n">
        <v>287.1</v>
      </c>
    </row>
    <row r="27">
      <c r="B27" t="n">
        <v>24</v>
      </c>
      <c r="C27" t="n">
        <v>329</v>
      </c>
      <c r="D27" t="n">
        <v>329</v>
      </c>
      <c r="E27" t="n">
        <v>329</v>
      </c>
      <c r="F27" t="n">
        <v>329</v>
      </c>
      <c r="G27" t="n">
        <v>329</v>
      </c>
      <c r="H27" t="n">
        <v>329</v>
      </c>
      <c r="I27" t="n">
        <v>329</v>
      </c>
      <c r="J27" t="n">
        <v>329</v>
      </c>
      <c r="K27" t="n">
        <v>329</v>
      </c>
      <c r="L27" t="n">
        <v>329</v>
      </c>
      <c r="M27" t="n">
        <v>329</v>
      </c>
      <c r="N27" t="n">
        <v>329</v>
      </c>
      <c r="O27" t="n">
        <v>329</v>
      </c>
    </row>
    <row r="28">
      <c r="B28" t="n">
        <v>25</v>
      </c>
      <c r="C28" t="n">
        <v>161.1</v>
      </c>
      <c r="D28" t="n">
        <v>161.1</v>
      </c>
      <c r="E28" t="n">
        <v>161.1</v>
      </c>
      <c r="F28" t="n">
        <v>161.1</v>
      </c>
      <c r="G28" t="n">
        <v>161.1</v>
      </c>
      <c r="H28" t="n">
        <v>161.1</v>
      </c>
      <c r="I28" t="n">
        <v>161.1</v>
      </c>
      <c r="J28" t="n">
        <v>161.1</v>
      </c>
      <c r="K28" t="n">
        <v>161.1</v>
      </c>
      <c r="L28" t="n">
        <v>161.07</v>
      </c>
      <c r="M28" t="n">
        <v>161.07</v>
      </c>
      <c r="N28" t="n">
        <v>161.07</v>
      </c>
      <c r="O28" t="n">
        <v>161.07</v>
      </c>
    </row>
    <row r="29">
      <c r="B29" t="n">
        <v>26</v>
      </c>
      <c r="C29" t="n">
        <v>0</v>
      </c>
      <c r="D29" t="n">
        <v>0</v>
      </c>
      <c r="E29" t="n">
        <v>0</v>
      </c>
      <c r="F29" t="n">
        <v>170.05</v>
      </c>
      <c r="G29" t="n">
        <v>170.05</v>
      </c>
      <c r="H29" t="n">
        <v>170.05</v>
      </c>
      <c r="I29" t="n">
        <v>170.05</v>
      </c>
      <c r="J29" t="n">
        <v>170.05</v>
      </c>
      <c r="K29" t="n">
        <v>170.05</v>
      </c>
      <c r="L29" t="n">
        <v>170.05</v>
      </c>
      <c r="M29" t="n">
        <v>179</v>
      </c>
      <c r="N29" t="n">
        <v>179</v>
      </c>
      <c r="O29" t="n">
        <v>179</v>
      </c>
    </row>
    <row r="30">
      <c r="B30" t="n">
        <v>27</v>
      </c>
      <c r="C30" t="n">
        <v>0</v>
      </c>
      <c r="D30" t="n">
        <v>0</v>
      </c>
      <c r="E30" t="n">
        <v>0</v>
      </c>
      <c r="F30" t="n">
        <v>245.65</v>
      </c>
      <c r="G30" t="n">
        <v>245.65</v>
      </c>
      <c r="H30" t="n">
        <v>245.65</v>
      </c>
      <c r="I30" t="n">
        <v>245.65</v>
      </c>
      <c r="J30" t="n">
        <v>245.65</v>
      </c>
      <c r="K30" t="n">
        <v>245.65</v>
      </c>
      <c r="L30" t="n">
        <v>245.65</v>
      </c>
      <c r="M30" t="n">
        <v>245.65</v>
      </c>
      <c r="N30" t="n">
        <v>245.65</v>
      </c>
      <c r="O30" t="n">
        <v>245.65</v>
      </c>
    </row>
    <row r="31">
      <c r="B31" t="n">
        <v>28</v>
      </c>
      <c r="C31" t="n">
        <v>0</v>
      </c>
      <c r="D31" t="n">
        <v>0</v>
      </c>
      <c r="E31" t="n">
        <v>0</v>
      </c>
      <c r="F31" t="n">
        <v>53.54</v>
      </c>
      <c r="G31" t="n">
        <v>54.32</v>
      </c>
      <c r="H31" t="n">
        <v>51.46</v>
      </c>
      <c r="I31" t="n">
        <v>51.96</v>
      </c>
      <c r="J31" t="n">
        <v>49</v>
      </c>
      <c r="K31" t="n">
        <v>49</v>
      </c>
      <c r="L31" t="n">
        <v>49</v>
      </c>
      <c r="M31" t="n">
        <v>49</v>
      </c>
      <c r="N31" t="n">
        <v>0</v>
      </c>
      <c r="O31" t="n">
        <v>0</v>
      </c>
    </row>
    <row r="32">
      <c r="B32" t="n">
        <v>29</v>
      </c>
      <c r="C32" t="n">
        <v>0</v>
      </c>
      <c r="D32" t="n">
        <v>0</v>
      </c>
      <c r="E32" t="n">
        <v>0</v>
      </c>
      <c r="F32" t="n">
        <v>87.98999999999999</v>
      </c>
      <c r="G32" t="n">
        <v>87.98999999999999</v>
      </c>
      <c r="H32" t="n">
        <v>87.98999999999999</v>
      </c>
      <c r="I32" t="n">
        <v>87.98999999999999</v>
      </c>
      <c r="J32" t="n">
        <v>87.98999999999999</v>
      </c>
      <c r="K32" t="n">
        <v>87.98999999999999</v>
      </c>
      <c r="L32" t="n">
        <v>87.98999999999999</v>
      </c>
      <c r="M32" t="n">
        <v>87.98999999999999</v>
      </c>
      <c r="N32" t="n">
        <v>87.98999999999999</v>
      </c>
      <c r="O32" t="n">
        <v>87.98999999999999</v>
      </c>
    </row>
    <row r="33">
      <c r="B33" t="n">
        <v>30</v>
      </c>
      <c r="C33" t="n">
        <v>0</v>
      </c>
      <c r="D33" t="n">
        <v>0</v>
      </c>
      <c r="E33" t="n">
        <v>0</v>
      </c>
      <c r="F33" t="n">
        <v>98.25</v>
      </c>
      <c r="G33" t="n">
        <v>107.25</v>
      </c>
      <c r="H33" t="n">
        <v>97.60999999999999</v>
      </c>
      <c r="I33" t="n">
        <v>128.61</v>
      </c>
      <c r="J33" t="n">
        <v>87.98999999999999</v>
      </c>
      <c r="K33" t="n">
        <v>87.98999999999999</v>
      </c>
      <c r="L33" t="n">
        <v>87.98999999999999</v>
      </c>
      <c r="M33" t="n">
        <v>87.98999999999999</v>
      </c>
      <c r="N33" t="n">
        <v>87.98999999999999</v>
      </c>
      <c r="O33" t="n">
        <v>87.98999999999999</v>
      </c>
    </row>
    <row r="34">
      <c r="B34" t="n">
        <v>31</v>
      </c>
      <c r="C34" t="n">
        <v>0</v>
      </c>
      <c r="D34" t="n">
        <v>0</v>
      </c>
      <c r="E34" t="n">
        <v>0</v>
      </c>
      <c r="F34" t="n">
        <v>350.2</v>
      </c>
      <c r="G34" t="n">
        <v>350.2</v>
      </c>
      <c r="H34" t="n">
        <v>350.2</v>
      </c>
      <c r="I34" t="n">
        <v>350.2</v>
      </c>
      <c r="J34" t="n">
        <v>350.2</v>
      </c>
      <c r="K34" t="n">
        <v>350.2</v>
      </c>
      <c r="L34" t="n">
        <v>350.2</v>
      </c>
      <c r="M34" t="n">
        <v>350.2</v>
      </c>
      <c r="N34" t="n">
        <v>350.2</v>
      </c>
      <c r="O34" t="n">
        <v>350.2</v>
      </c>
    </row>
    <row r="35">
      <c r="B35" t="n">
        <v>32</v>
      </c>
      <c r="C35" t="n">
        <v>0</v>
      </c>
      <c r="D35" t="n">
        <v>0</v>
      </c>
      <c r="E35" t="n">
        <v>0</v>
      </c>
      <c r="F35" t="n">
        <v>296.65</v>
      </c>
      <c r="G35" t="n">
        <v>296.65</v>
      </c>
      <c r="H35" t="n">
        <v>296.65</v>
      </c>
      <c r="I35" t="n">
        <v>296.65</v>
      </c>
      <c r="J35" t="n">
        <v>296.65</v>
      </c>
      <c r="K35" t="n">
        <v>296.65</v>
      </c>
      <c r="L35" t="n">
        <v>296.65</v>
      </c>
      <c r="M35" t="n">
        <v>296.65</v>
      </c>
      <c r="N35" t="n">
        <v>296.65</v>
      </c>
      <c r="O35" t="n">
        <v>296.65</v>
      </c>
    </row>
    <row r="36">
      <c r="B36" t="n">
        <v>33</v>
      </c>
      <c r="C36" t="n">
        <v>99.33</v>
      </c>
      <c r="D36" t="n">
        <v>99.33</v>
      </c>
      <c r="E36" t="n">
        <v>99</v>
      </c>
      <c r="F36" t="n">
        <v>99.46000000000001</v>
      </c>
      <c r="G36" t="n">
        <v>99.15000000000001</v>
      </c>
      <c r="H36" t="n">
        <v>100.8</v>
      </c>
      <c r="I36" t="n">
        <v>99.73999999999999</v>
      </c>
      <c r="J36" t="n">
        <v>99</v>
      </c>
      <c r="K36" t="n">
        <v>99</v>
      </c>
      <c r="L36" t="n">
        <v>99</v>
      </c>
      <c r="M36" t="n">
        <v>99</v>
      </c>
      <c r="N36" t="n">
        <v>99</v>
      </c>
      <c r="O36" t="n">
        <v>99</v>
      </c>
    </row>
    <row r="37">
      <c r="B37" t="n">
        <v>34</v>
      </c>
      <c r="C37" t="n">
        <v>239</v>
      </c>
      <c r="D37" t="n">
        <v>239</v>
      </c>
      <c r="E37" t="n">
        <v>239</v>
      </c>
      <c r="F37" t="n">
        <v>239</v>
      </c>
      <c r="G37" t="n">
        <v>239</v>
      </c>
      <c r="H37" t="n">
        <v>239</v>
      </c>
      <c r="I37" t="n">
        <v>239</v>
      </c>
      <c r="J37" t="n">
        <v>239</v>
      </c>
      <c r="K37" t="n">
        <v>239</v>
      </c>
      <c r="L37" t="n">
        <v>239</v>
      </c>
      <c r="M37" t="n">
        <v>239</v>
      </c>
      <c r="N37" t="n">
        <v>239</v>
      </c>
      <c r="O37" t="n">
        <v>239</v>
      </c>
    </row>
    <row r="38">
      <c r="B38" t="n">
        <v>35</v>
      </c>
      <c r="C38" t="n">
        <v>269</v>
      </c>
      <c r="D38" t="n">
        <v>269</v>
      </c>
      <c r="E38" t="n">
        <v>269</v>
      </c>
      <c r="F38" t="n">
        <v>269</v>
      </c>
      <c r="G38" t="n">
        <v>269</v>
      </c>
      <c r="H38" t="n">
        <v>269</v>
      </c>
      <c r="I38" t="n">
        <v>269</v>
      </c>
      <c r="J38" t="n">
        <v>261.73</v>
      </c>
      <c r="K38" t="n">
        <v>261.73</v>
      </c>
      <c r="L38" t="n">
        <v>269.1</v>
      </c>
      <c r="M38" t="n">
        <v>269.1</v>
      </c>
      <c r="N38" t="n">
        <v>269.1</v>
      </c>
      <c r="O38" t="n">
        <v>269.1</v>
      </c>
    </row>
    <row r="39">
      <c r="B39" t="n">
        <v>36</v>
      </c>
      <c r="C39" t="n">
        <v>219</v>
      </c>
      <c r="D39" t="n">
        <v>219</v>
      </c>
      <c r="E39" t="n">
        <v>219</v>
      </c>
      <c r="F39" t="n">
        <v>219</v>
      </c>
      <c r="G39" t="n">
        <v>219</v>
      </c>
      <c r="H39" t="n">
        <v>219</v>
      </c>
      <c r="I39" t="n">
        <v>219</v>
      </c>
      <c r="J39" t="n">
        <v>219</v>
      </c>
      <c r="K39" t="n">
        <v>219</v>
      </c>
      <c r="L39" t="n">
        <v>0</v>
      </c>
      <c r="M39" t="n">
        <v>0</v>
      </c>
      <c r="N39" t="n">
        <v>0</v>
      </c>
      <c r="O39" t="n">
        <v>0</v>
      </c>
    </row>
    <row r="40">
      <c r="B40" t="n">
        <v>37</v>
      </c>
      <c r="C40" t="n">
        <v>245.65</v>
      </c>
      <c r="D40" t="n">
        <v>245.65</v>
      </c>
      <c r="E40" t="n">
        <v>245.65</v>
      </c>
      <c r="F40" t="n">
        <v>245.65</v>
      </c>
      <c r="G40" t="n">
        <v>245.65</v>
      </c>
      <c r="H40" t="n">
        <v>245.65</v>
      </c>
      <c r="I40" t="n">
        <v>245.65</v>
      </c>
      <c r="J40" t="n">
        <v>245.65</v>
      </c>
      <c r="K40" t="n">
        <v>245.65</v>
      </c>
      <c r="L40" t="n">
        <v>245.65</v>
      </c>
      <c r="M40" t="n">
        <v>245.65</v>
      </c>
      <c r="N40" t="n">
        <v>245.65</v>
      </c>
      <c r="O40" t="n">
        <v>245.65</v>
      </c>
    </row>
    <row r="41">
      <c r="B41" t="n">
        <v>38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</row>
    <row r="42">
      <c r="B42" t="n">
        <v>39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</row>
    <row r="43">
      <c r="B43" t="n">
        <v>40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</row>
    <row r="44">
      <c r="B44" t="n">
        <v>41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</row>
    <row r="45">
      <c r="B45" t="n">
        <v>42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</row>
    <row r="46">
      <c r="B46" t="n">
        <v>43</v>
      </c>
      <c r="C46" t="n">
        <v>69</v>
      </c>
      <c r="D46" t="n">
        <v>69</v>
      </c>
      <c r="E46" t="n">
        <v>69</v>
      </c>
      <c r="F46" t="n">
        <v>69</v>
      </c>
      <c r="G46" t="n">
        <v>69</v>
      </c>
      <c r="H46" t="n">
        <v>69</v>
      </c>
      <c r="I46" t="n">
        <v>69</v>
      </c>
      <c r="J46" t="n">
        <v>69</v>
      </c>
      <c r="K46" t="n">
        <v>69</v>
      </c>
      <c r="L46" t="n">
        <v>69</v>
      </c>
      <c r="M46" t="n">
        <v>69</v>
      </c>
      <c r="N46" t="n">
        <v>69</v>
      </c>
      <c r="O46" t="n">
        <v>69</v>
      </c>
    </row>
    <row r="47">
      <c r="B47" t="n">
        <v>44</v>
      </c>
      <c r="C47" t="n">
        <v>69</v>
      </c>
      <c r="D47" t="n">
        <v>69</v>
      </c>
      <c r="E47" t="n">
        <v>69</v>
      </c>
      <c r="F47" t="n">
        <v>69</v>
      </c>
      <c r="G47" t="n">
        <v>69</v>
      </c>
      <c r="H47" t="n">
        <v>69</v>
      </c>
      <c r="I47" t="n">
        <v>69</v>
      </c>
      <c r="J47" t="n">
        <v>69</v>
      </c>
      <c r="K47" t="n">
        <v>69</v>
      </c>
      <c r="L47" t="n">
        <v>69</v>
      </c>
      <c r="M47" t="n">
        <v>69</v>
      </c>
      <c r="N47" t="n">
        <v>69</v>
      </c>
      <c r="O47" t="n">
        <v>69</v>
      </c>
    </row>
    <row r="48">
      <c r="B48" t="n">
        <v>45</v>
      </c>
      <c r="C48" t="n">
        <v>333.1</v>
      </c>
      <c r="D48" t="n">
        <v>333.1</v>
      </c>
      <c r="E48" t="n">
        <v>333.1</v>
      </c>
      <c r="F48" t="n">
        <v>333.1</v>
      </c>
      <c r="G48" t="n">
        <v>333.1</v>
      </c>
      <c r="H48" t="n">
        <v>333.1</v>
      </c>
      <c r="I48" t="n">
        <v>333.1</v>
      </c>
      <c r="J48" t="n">
        <v>333.1</v>
      </c>
      <c r="K48" t="n">
        <v>333.1</v>
      </c>
      <c r="L48" t="n">
        <v>333.1</v>
      </c>
      <c r="M48" t="n">
        <v>333.1</v>
      </c>
      <c r="N48" t="n">
        <v>333.1</v>
      </c>
      <c r="O48" t="n">
        <v>333.1</v>
      </c>
    </row>
    <row r="49">
      <c r="B49" t="n">
        <v>46</v>
      </c>
      <c r="C49" t="n">
        <v>225.82</v>
      </c>
      <c r="D49" t="n">
        <v>225.82</v>
      </c>
      <c r="E49" t="n">
        <v>229.9</v>
      </c>
      <c r="F49" t="n">
        <v>225.16</v>
      </c>
      <c r="G49" t="n">
        <v>233.9</v>
      </c>
      <c r="H49" t="n">
        <v>234.32</v>
      </c>
      <c r="I49" t="n">
        <v>230.1</v>
      </c>
      <c r="J49" t="n">
        <v>219</v>
      </c>
      <c r="K49" t="n">
        <v>219</v>
      </c>
      <c r="L49" t="n">
        <v>219</v>
      </c>
      <c r="M49" t="n">
        <v>219</v>
      </c>
      <c r="N49" t="n">
        <v>219</v>
      </c>
      <c r="O49" t="n">
        <v>219</v>
      </c>
    </row>
    <row r="50">
      <c r="B50" t="n">
        <v>47</v>
      </c>
      <c r="C50" t="n">
        <v>169</v>
      </c>
      <c r="D50" t="n">
        <v>169</v>
      </c>
      <c r="E50" t="n">
        <v>169</v>
      </c>
      <c r="F50" t="n">
        <v>169</v>
      </c>
      <c r="G50" t="n">
        <v>169</v>
      </c>
      <c r="H50" t="n">
        <v>169</v>
      </c>
      <c r="I50" t="n">
        <v>169</v>
      </c>
      <c r="J50" t="n">
        <v>169</v>
      </c>
      <c r="K50" t="n">
        <v>169</v>
      </c>
      <c r="L50" t="n">
        <v>169</v>
      </c>
      <c r="M50" t="n">
        <v>169</v>
      </c>
      <c r="N50" t="n">
        <v>169</v>
      </c>
      <c r="O50" t="n">
        <v>169</v>
      </c>
    </row>
    <row r="51">
      <c r="B51" t="n">
        <v>48</v>
      </c>
      <c r="C51" t="n">
        <v>199</v>
      </c>
      <c r="D51" t="n">
        <v>199</v>
      </c>
      <c r="E51" t="n">
        <v>199</v>
      </c>
      <c r="F51" t="n">
        <v>199</v>
      </c>
      <c r="G51" t="n">
        <v>199</v>
      </c>
      <c r="H51" t="n">
        <v>199</v>
      </c>
      <c r="I51" t="n">
        <v>199</v>
      </c>
      <c r="J51" t="n">
        <v>169.15</v>
      </c>
      <c r="K51" t="n">
        <v>169.15</v>
      </c>
      <c r="L51" t="n">
        <v>245.65</v>
      </c>
      <c r="M51" t="n">
        <v>245.65</v>
      </c>
      <c r="N51" t="n">
        <v>289</v>
      </c>
      <c r="O51" t="n">
        <v>289</v>
      </c>
    </row>
    <row r="52">
      <c r="B52" t="n">
        <v>49</v>
      </c>
      <c r="C52" t="n">
        <v>299</v>
      </c>
      <c r="D52" t="n">
        <v>299</v>
      </c>
      <c r="E52" t="n">
        <v>299</v>
      </c>
      <c r="F52" t="n">
        <v>299</v>
      </c>
      <c r="G52" t="n">
        <v>284.05</v>
      </c>
      <c r="H52" t="n">
        <v>284.05</v>
      </c>
      <c r="I52" t="n">
        <v>284.05</v>
      </c>
      <c r="J52" t="n">
        <v>284.05</v>
      </c>
      <c r="K52" t="n">
        <v>284.05</v>
      </c>
      <c r="L52" t="n">
        <v>284.05</v>
      </c>
      <c r="M52" t="n">
        <v>284.05</v>
      </c>
      <c r="N52" t="n">
        <v>284.05</v>
      </c>
      <c r="O52" t="n">
        <v>284.05</v>
      </c>
    </row>
    <row r="53">
      <c r="B53" t="n">
        <v>50</v>
      </c>
      <c r="C53" t="n">
        <v>279.2</v>
      </c>
      <c r="D53" t="n">
        <v>279.2</v>
      </c>
      <c r="E53" t="n">
        <v>279.2</v>
      </c>
      <c r="F53" t="n">
        <v>279.2</v>
      </c>
      <c r="G53" t="n">
        <v>279.2</v>
      </c>
      <c r="H53" t="n">
        <v>279.2</v>
      </c>
      <c r="I53" t="n">
        <v>279.2</v>
      </c>
      <c r="J53" t="n">
        <v>279.2</v>
      </c>
      <c r="K53" t="n">
        <v>279.2</v>
      </c>
      <c r="L53" t="n">
        <v>279.16</v>
      </c>
      <c r="M53" t="n">
        <v>279.16</v>
      </c>
      <c r="N53" t="n">
        <v>279.16</v>
      </c>
      <c r="O53" t="n">
        <v>279.16</v>
      </c>
    </row>
    <row r="54">
      <c r="B54" t="n">
        <v>51</v>
      </c>
      <c r="C54" t="n">
        <v>349</v>
      </c>
      <c r="D54" t="n">
        <v>349</v>
      </c>
      <c r="E54" t="n">
        <v>349</v>
      </c>
      <c r="F54" t="n">
        <v>349</v>
      </c>
      <c r="G54" t="n">
        <v>349</v>
      </c>
      <c r="H54" t="n">
        <v>349</v>
      </c>
      <c r="I54" t="n">
        <v>349</v>
      </c>
      <c r="J54" t="n">
        <v>349</v>
      </c>
      <c r="K54" t="n">
        <v>349</v>
      </c>
      <c r="L54" t="n">
        <v>349</v>
      </c>
      <c r="M54" t="n">
        <v>349</v>
      </c>
      <c r="N54" t="n">
        <v>349</v>
      </c>
      <c r="O54" t="n">
        <v>349</v>
      </c>
    </row>
    <row r="55">
      <c r="B55" t="n">
        <v>52</v>
      </c>
      <c r="C55" t="n">
        <v>289</v>
      </c>
      <c r="D55" t="n">
        <v>289</v>
      </c>
      <c r="E55" t="n">
        <v>289</v>
      </c>
      <c r="F55" t="n">
        <v>289</v>
      </c>
      <c r="G55" t="n">
        <v>289</v>
      </c>
      <c r="H55" t="n">
        <v>289</v>
      </c>
      <c r="I55" t="n">
        <v>289</v>
      </c>
      <c r="J55" t="n">
        <v>289</v>
      </c>
      <c r="K55" t="n">
        <v>289</v>
      </c>
      <c r="L55" t="n">
        <v>289</v>
      </c>
      <c r="M55" t="n">
        <v>289</v>
      </c>
      <c r="N55" t="n">
        <v>289</v>
      </c>
      <c r="O55" t="n">
        <v>289</v>
      </c>
    </row>
    <row r="56">
      <c r="B56" t="n">
        <v>53</v>
      </c>
      <c r="C56" t="n">
        <v>219</v>
      </c>
      <c r="D56" t="n">
        <v>219</v>
      </c>
      <c r="E56" t="n">
        <v>219</v>
      </c>
      <c r="F56" t="n">
        <v>219</v>
      </c>
      <c r="G56" t="n">
        <v>219</v>
      </c>
      <c r="H56" t="n">
        <v>219</v>
      </c>
      <c r="I56" t="n">
        <v>219</v>
      </c>
      <c r="J56" t="n">
        <v>219</v>
      </c>
      <c r="K56" t="n">
        <v>219</v>
      </c>
      <c r="L56" t="n">
        <v>219</v>
      </c>
      <c r="M56" t="n">
        <v>219</v>
      </c>
      <c r="N56" t="n">
        <v>199</v>
      </c>
      <c r="O56" t="n">
        <v>219</v>
      </c>
    </row>
    <row r="57">
      <c r="B57" t="n">
        <v>54</v>
      </c>
      <c r="C57" t="n">
        <v>179</v>
      </c>
      <c r="D57" t="n">
        <v>179</v>
      </c>
      <c r="E57" t="n">
        <v>179</v>
      </c>
      <c r="F57" t="n">
        <v>179</v>
      </c>
      <c r="G57" t="n">
        <v>179</v>
      </c>
      <c r="H57" t="n">
        <v>179</v>
      </c>
      <c r="I57" t="n">
        <v>179</v>
      </c>
      <c r="J57" t="n">
        <v>179</v>
      </c>
      <c r="K57" t="n">
        <v>179</v>
      </c>
      <c r="L57" t="n">
        <v>179</v>
      </c>
      <c r="M57" t="n">
        <v>179</v>
      </c>
      <c r="N57" t="n">
        <v>179</v>
      </c>
      <c r="O57" t="n">
        <v>179</v>
      </c>
    </row>
    <row r="58">
      <c r="B58" t="n">
        <v>55</v>
      </c>
      <c r="C58" t="n">
        <v>101.85</v>
      </c>
      <c r="D58" t="n">
        <v>101.85</v>
      </c>
      <c r="E58" t="n">
        <v>99.51000000000001</v>
      </c>
      <c r="F58" t="n">
        <v>99.59999999999999</v>
      </c>
      <c r="G58" t="n">
        <v>100.35</v>
      </c>
      <c r="H58" t="n">
        <v>100.14</v>
      </c>
      <c r="I58" t="n">
        <v>100.2</v>
      </c>
      <c r="J58" t="n">
        <v>99</v>
      </c>
      <c r="K58" t="n">
        <v>99</v>
      </c>
      <c r="L58" t="n">
        <v>99</v>
      </c>
      <c r="M58" t="n">
        <v>99</v>
      </c>
      <c r="N58" t="n">
        <v>99</v>
      </c>
      <c r="O58" t="n">
        <v>99</v>
      </c>
    </row>
    <row r="59">
      <c r="B59" t="n">
        <v>56</v>
      </c>
      <c r="C59" t="n">
        <v>269.1</v>
      </c>
      <c r="D59" t="n">
        <v>269.1</v>
      </c>
      <c r="E59" t="n">
        <v>269.1</v>
      </c>
      <c r="F59" t="n">
        <v>269.1</v>
      </c>
      <c r="G59" t="n">
        <v>269.1</v>
      </c>
      <c r="H59" t="n">
        <v>269.1</v>
      </c>
      <c r="I59" t="n">
        <v>269.1</v>
      </c>
      <c r="J59" t="n">
        <v>269.1</v>
      </c>
      <c r="K59" t="n">
        <v>269.1</v>
      </c>
      <c r="L59" t="n">
        <v>269.09</v>
      </c>
      <c r="M59" t="n">
        <v>269.09</v>
      </c>
      <c r="N59" t="n">
        <v>269.09</v>
      </c>
      <c r="O59" t="n">
        <v>269.09</v>
      </c>
    </row>
    <row r="60">
      <c r="B60" t="n">
        <v>57</v>
      </c>
      <c r="C60" t="n">
        <v>109.3</v>
      </c>
      <c r="D60" t="n">
        <v>109.3</v>
      </c>
      <c r="E60" t="n">
        <v>109</v>
      </c>
      <c r="F60" t="n">
        <v>109</v>
      </c>
      <c r="G60" t="n">
        <v>109</v>
      </c>
      <c r="H60" t="n">
        <v>109</v>
      </c>
      <c r="I60" t="n">
        <v>109</v>
      </c>
      <c r="J60" t="n">
        <v>109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</row>
    <row r="61">
      <c r="B61" t="n">
        <v>58</v>
      </c>
      <c r="C61" t="n">
        <v>120.59</v>
      </c>
      <c r="D61" t="n">
        <v>120.59</v>
      </c>
      <c r="E61" t="n">
        <v>122.15</v>
      </c>
      <c r="F61" t="n">
        <v>118.59</v>
      </c>
      <c r="G61" t="n">
        <v>118.04</v>
      </c>
      <c r="H61" t="n">
        <v>113.34</v>
      </c>
      <c r="I61" t="n">
        <v>115.67</v>
      </c>
      <c r="J61" t="n">
        <v>109</v>
      </c>
      <c r="K61" t="n">
        <v>109</v>
      </c>
      <c r="L61" t="n">
        <v>109</v>
      </c>
      <c r="M61" t="n">
        <v>109</v>
      </c>
      <c r="N61" t="n">
        <v>109</v>
      </c>
      <c r="O61" t="n">
        <v>109</v>
      </c>
    </row>
    <row r="62">
      <c r="B62" t="n">
        <v>59</v>
      </c>
      <c r="C62" t="n">
        <v>179</v>
      </c>
      <c r="D62" t="n">
        <v>179</v>
      </c>
      <c r="E62" t="n">
        <v>179</v>
      </c>
      <c r="F62" t="n">
        <v>179</v>
      </c>
      <c r="G62" t="n">
        <v>179</v>
      </c>
      <c r="H62" t="n">
        <v>179</v>
      </c>
      <c r="I62" t="n">
        <v>179</v>
      </c>
      <c r="J62" t="n">
        <v>179</v>
      </c>
      <c r="K62" t="n">
        <v>179</v>
      </c>
      <c r="L62" t="n">
        <v>179</v>
      </c>
      <c r="M62" t="n">
        <v>179</v>
      </c>
      <c r="N62" t="n">
        <v>179</v>
      </c>
      <c r="O62" t="n">
        <v>179</v>
      </c>
    </row>
    <row r="63">
      <c r="B63" t="n">
        <v>60</v>
      </c>
      <c r="C63" t="n">
        <v>179</v>
      </c>
      <c r="D63" t="n">
        <v>179</v>
      </c>
      <c r="E63" t="n">
        <v>179</v>
      </c>
      <c r="F63" t="n">
        <v>179</v>
      </c>
      <c r="G63" t="n">
        <v>179</v>
      </c>
      <c r="H63" t="n">
        <v>179</v>
      </c>
      <c r="I63" t="n">
        <v>179</v>
      </c>
      <c r="J63" t="n">
        <v>179</v>
      </c>
      <c r="K63" t="n">
        <v>179</v>
      </c>
      <c r="L63" t="n">
        <v>179</v>
      </c>
      <c r="M63" t="n">
        <v>179</v>
      </c>
      <c r="N63" t="n">
        <v>179</v>
      </c>
      <c r="O63" t="n">
        <v>179</v>
      </c>
    </row>
    <row r="64">
      <c r="B64" t="n">
        <v>61</v>
      </c>
      <c r="C64" t="n">
        <v>387</v>
      </c>
      <c r="D64" t="n">
        <v>387</v>
      </c>
      <c r="E64" t="n">
        <v>387</v>
      </c>
      <c r="F64" t="n">
        <v>387</v>
      </c>
      <c r="G64" t="n">
        <v>387</v>
      </c>
      <c r="H64" t="n">
        <v>387</v>
      </c>
      <c r="I64" t="n">
        <v>387</v>
      </c>
      <c r="J64" t="n">
        <v>387</v>
      </c>
      <c r="K64" t="n">
        <v>387</v>
      </c>
      <c r="L64" t="n">
        <v>387</v>
      </c>
      <c r="M64" t="n">
        <v>387</v>
      </c>
      <c r="N64" t="n">
        <v>387</v>
      </c>
      <c r="O64" t="n">
        <v>387</v>
      </c>
    </row>
    <row r="65">
      <c r="B65" t="n">
        <v>62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</row>
    <row r="66">
      <c r="B66" t="n">
        <v>63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</row>
    <row r="67">
      <c r="B67" t="n">
        <v>64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</row>
    <row r="68">
      <c r="B68" t="n">
        <v>65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</row>
    <row r="69">
      <c r="B69" t="n">
        <v>66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</row>
    <row r="70">
      <c r="B70" t="n">
        <v>67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</row>
    <row r="71">
      <c r="B71" t="n">
        <v>68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</row>
    <row r="72">
      <c r="B72" t="n">
        <v>69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</row>
    <row r="73">
      <c r="B73" t="n">
        <v>70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</row>
    <row r="74">
      <c r="B74" t="n">
        <v>71</v>
      </c>
      <c r="C74" t="n">
        <v>299</v>
      </c>
      <c r="D74" t="n">
        <v>299</v>
      </c>
      <c r="E74" t="n">
        <v>299</v>
      </c>
      <c r="F74" t="n">
        <v>299</v>
      </c>
      <c r="G74" t="n">
        <v>299</v>
      </c>
      <c r="H74" t="n">
        <v>299</v>
      </c>
      <c r="I74" t="n">
        <v>299</v>
      </c>
      <c r="J74" t="n">
        <v>299</v>
      </c>
      <c r="K74" t="n">
        <v>299</v>
      </c>
      <c r="L74" t="n">
        <v>299</v>
      </c>
      <c r="M74" t="n">
        <v>299</v>
      </c>
      <c r="N74" t="n">
        <v>0</v>
      </c>
      <c r="O74" t="n">
        <v>0</v>
      </c>
    </row>
    <row r="75">
      <c r="B75" t="n">
        <v>72</v>
      </c>
      <c r="C75" t="n">
        <v>288.15</v>
      </c>
      <c r="D75" t="n">
        <v>288.15</v>
      </c>
      <c r="E75" t="n">
        <v>288.15</v>
      </c>
      <c r="F75" t="n">
        <v>288.15</v>
      </c>
      <c r="G75" t="n">
        <v>288.15</v>
      </c>
      <c r="H75" t="n">
        <v>288.15</v>
      </c>
      <c r="I75" t="n">
        <v>288.15</v>
      </c>
      <c r="J75" t="n">
        <v>288.15</v>
      </c>
      <c r="K75" t="n">
        <v>288.15</v>
      </c>
      <c r="L75" t="n">
        <v>288.15</v>
      </c>
      <c r="M75" t="n">
        <v>288.15</v>
      </c>
      <c r="N75" t="n">
        <v>288.15</v>
      </c>
      <c r="O75" t="n">
        <v>288.15</v>
      </c>
    </row>
    <row r="76">
      <c r="B76" t="n">
        <v>73</v>
      </c>
      <c r="C76" t="n">
        <v>195.67</v>
      </c>
      <c r="D76" t="n">
        <v>195.67</v>
      </c>
      <c r="E76" t="n">
        <v>195.67</v>
      </c>
      <c r="F76" t="n">
        <v>195.67</v>
      </c>
      <c r="G76" t="n">
        <v>195.67</v>
      </c>
      <c r="H76" t="n">
        <v>195.67</v>
      </c>
      <c r="I76" t="n">
        <v>195.67</v>
      </c>
      <c r="J76" t="n">
        <v>195.67</v>
      </c>
      <c r="K76" t="n">
        <v>195.67</v>
      </c>
      <c r="L76" t="n">
        <v>331.55</v>
      </c>
      <c r="M76" t="n">
        <v>331.55</v>
      </c>
      <c r="N76" t="n">
        <v>331.55</v>
      </c>
      <c r="O76" t="n">
        <v>331.55</v>
      </c>
    </row>
    <row r="77">
      <c r="B77" t="n">
        <v>74</v>
      </c>
      <c r="C77" t="n">
        <v>111.61</v>
      </c>
      <c r="D77" t="n">
        <v>111.61</v>
      </c>
      <c r="E77" t="n">
        <v>112.81</v>
      </c>
      <c r="F77" t="n">
        <v>116.08</v>
      </c>
      <c r="G77" t="n">
        <v>115.18</v>
      </c>
      <c r="H77" t="n">
        <v>134.98</v>
      </c>
      <c r="I77" t="n">
        <v>135</v>
      </c>
      <c r="J77" t="n">
        <v>129</v>
      </c>
      <c r="K77" t="n">
        <v>129</v>
      </c>
      <c r="L77" t="n">
        <v>129</v>
      </c>
      <c r="M77" t="n">
        <v>129</v>
      </c>
      <c r="N77" t="n">
        <v>129</v>
      </c>
      <c r="O77" t="n">
        <v>129</v>
      </c>
    </row>
    <row r="78">
      <c r="B78" t="n">
        <v>75</v>
      </c>
      <c r="C78" t="n">
        <v>179</v>
      </c>
      <c r="D78" t="n">
        <v>179</v>
      </c>
      <c r="E78" t="n">
        <v>179</v>
      </c>
      <c r="F78" t="n">
        <v>179</v>
      </c>
      <c r="G78" t="n">
        <v>179</v>
      </c>
      <c r="H78" t="n">
        <v>179</v>
      </c>
      <c r="I78" t="n">
        <v>179</v>
      </c>
      <c r="J78" t="n">
        <v>179</v>
      </c>
      <c r="K78" t="n">
        <v>179</v>
      </c>
      <c r="L78" t="n">
        <v>179</v>
      </c>
      <c r="M78" t="n">
        <v>179</v>
      </c>
      <c r="N78" t="n">
        <v>179</v>
      </c>
      <c r="O78" t="n">
        <v>179</v>
      </c>
    </row>
    <row r="79">
      <c r="B79" t="n">
        <v>76</v>
      </c>
      <c r="C79" t="n">
        <v>323.1</v>
      </c>
      <c r="D79" t="n">
        <v>323.1</v>
      </c>
      <c r="E79" t="n">
        <v>323.1</v>
      </c>
      <c r="F79" t="n">
        <v>323.1</v>
      </c>
      <c r="G79" t="n">
        <v>352.18</v>
      </c>
      <c r="H79" t="n">
        <v>294.02</v>
      </c>
      <c r="I79" t="n">
        <v>323.1</v>
      </c>
      <c r="J79" t="n">
        <v>323.1</v>
      </c>
      <c r="K79" t="n">
        <v>323.1</v>
      </c>
      <c r="L79" t="n">
        <v>323.1</v>
      </c>
      <c r="M79" t="n">
        <v>326.69</v>
      </c>
      <c r="N79" t="n">
        <v>326.69</v>
      </c>
      <c r="O79" t="n">
        <v>326.69</v>
      </c>
    </row>
    <row r="80">
      <c r="B80" t="n">
        <v>77</v>
      </c>
      <c r="C80" t="n">
        <v>288.15</v>
      </c>
      <c r="D80" t="n">
        <v>288.15</v>
      </c>
      <c r="E80" t="n">
        <v>288.15</v>
      </c>
      <c r="F80" t="n">
        <v>288.15</v>
      </c>
      <c r="G80" t="n">
        <v>288.15</v>
      </c>
      <c r="H80" t="n">
        <v>288.15</v>
      </c>
      <c r="I80" t="n">
        <v>288.15</v>
      </c>
      <c r="J80" t="n">
        <v>288.15</v>
      </c>
      <c r="K80" t="n">
        <v>288.15</v>
      </c>
      <c r="L80" t="n">
        <v>288.15</v>
      </c>
      <c r="M80" t="n">
        <v>288.15</v>
      </c>
      <c r="N80" t="n">
        <v>288.15</v>
      </c>
      <c r="O80" t="n">
        <v>288.15</v>
      </c>
    </row>
    <row r="81">
      <c r="B81" t="n">
        <v>78</v>
      </c>
      <c r="C81" t="n">
        <v>219</v>
      </c>
      <c r="D81" t="n">
        <v>219</v>
      </c>
      <c r="E81" t="n">
        <v>219</v>
      </c>
      <c r="F81" t="n">
        <v>219</v>
      </c>
      <c r="G81" t="n">
        <v>219</v>
      </c>
      <c r="H81" t="n">
        <v>219</v>
      </c>
      <c r="I81" t="n">
        <v>219</v>
      </c>
      <c r="J81" t="n">
        <v>219</v>
      </c>
      <c r="K81" t="n">
        <v>219</v>
      </c>
      <c r="L81" t="n">
        <v>219</v>
      </c>
      <c r="M81" t="n">
        <v>219</v>
      </c>
      <c r="N81" t="n">
        <v>219</v>
      </c>
      <c r="O81" t="n">
        <v>219</v>
      </c>
    </row>
    <row r="82">
      <c r="B82" t="n">
        <v>79</v>
      </c>
      <c r="C82" t="n">
        <v>254.15</v>
      </c>
      <c r="D82" t="n">
        <v>254.15</v>
      </c>
      <c r="E82" t="n">
        <v>254.15</v>
      </c>
      <c r="F82" t="n">
        <v>254.15</v>
      </c>
      <c r="G82" t="n">
        <v>254.15</v>
      </c>
      <c r="H82" t="n">
        <v>254.15</v>
      </c>
      <c r="I82" t="n">
        <v>254.15</v>
      </c>
      <c r="J82" t="n">
        <v>254.15</v>
      </c>
      <c r="K82" t="n">
        <v>254.15</v>
      </c>
      <c r="L82" t="n">
        <v>254.15</v>
      </c>
      <c r="M82" t="n">
        <v>254.15</v>
      </c>
      <c r="N82" t="n">
        <v>254.15</v>
      </c>
      <c r="O82" t="n">
        <v>254.15</v>
      </c>
    </row>
    <row r="83">
      <c r="B83" t="n">
        <v>80</v>
      </c>
      <c r="C83" t="n">
        <v>179</v>
      </c>
      <c r="D83" t="n">
        <v>179</v>
      </c>
      <c r="E83" t="n">
        <v>179</v>
      </c>
      <c r="F83" t="n">
        <v>179</v>
      </c>
      <c r="G83" t="n">
        <v>179</v>
      </c>
      <c r="H83" t="n">
        <v>179</v>
      </c>
      <c r="I83" t="n">
        <v>179</v>
      </c>
      <c r="J83" t="n">
        <v>179</v>
      </c>
      <c r="K83" t="n">
        <v>179</v>
      </c>
      <c r="L83" t="n">
        <v>179</v>
      </c>
      <c r="M83" t="n">
        <v>179</v>
      </c>
      <c r="N83" t="n">
        <v>179</v>
      </c>
      <c r="O83" t="n">
        <v>179</v>
      </c>
    </row>
    <row r="84">
      <c r="B84" t="n">
        <v>81</v>
      </c>
      <c r="C84" t="n">
        <v>199</v>
      </c>
      <c r="D84" t="n">
        <v>199</v>
      </c>
      <c r="E84" t="n">
        <v>149</v>
      </c>
      <c r="F84" t="n">
        <v>149</v>
      </c>
      <c r="G84" t="n">
        <v>149</v>
      </c>
      <c r="H84" t="n">
        <v>149</v>
      </c>
      <c r="I84" t="n">
        <v>149</v>
      </c>
      <c r="J84" t="n">
        <v>149</v>
      </c>
      <c r="K84" t="n">
        <v>149</v>
      </c>
      <c r="L84" t="n">
        <v>149</v>
      </c>
      <c r="M84" t="n">
        <v>149</v>
      </c>
      <c r="N84" t="n">
        <v>149</v>
      </c>
      <c r="O84" t="n">
        <v>149</v>
      </c>
    </row>
    <row r="85">
      <c r="B85" t="n">
        <v>82</v>
      </c>
      <c r="C85" t="n">
        <v>279</v>
      </c>
      <c r="D85" t="n">
        <v>279</v>
      </c>
      <c r="E85" t="n">
        <v>279</v>
      </c>
      <c r="F85" t="n">
        <v>279</v>
      </c>
      <c r="G85" t="n">
        <v>279</v>
      </c>
      <c r="H85" t="n">
        <v>279</v>
      </c>
      <c r="I85" t="n">
        <v>279</v>
      </c>
      <c r="J85" t="n">
        <v>279</v>
      </c>
      <c r="K85" t="n">
        <v>279</v>
      </c>
      <c r="L85" t="n">
        <v>279</v>
      </c>
      <c r="M85" t="n">
        <v>279</v>
      </c>
      <c r="N85" t="n">
        <v>279</v>
      </c>
      <c r="O85" t="n">
        <v>279</v>
      </c>
    </row>
    <row r="86">
      <c r="B86" t="n">
        <v>83</v>
      </c>
      <c r="C86" t="n">
        <v>132.87</v>
      </c>
      <c r="D86" t="n">
        <v>132.87</v>
      </c>
      <c r="E86" t="n">
        <v>138.31</v>
      </c>
      <c r="F86" t="n">
        <v>141.71</v>
      </c>
      <c r="G86" t="n">
        <v>139.16</v>
      </c>
      <c r="H86" t="n">
        <v>131.49</v>
      </c>
      <c r="I86" t="n">
        <v>140.33</v>
      </c>
      <c r="J86" t="n">
        <v>119</v>
      </c>
      <c r="K86" t="n">
        <v>119</v>
      </c>
      <c r="L86" t="n">
        <v>119</v>
      </c>
      <c r="M86" t="n">
        <v>119</v>
      </c>
      <c r="N86" t="n">
        <v>119</v>
      </c>
      <c r="O86" t="n">
        <v>119</v>
      </c>
    </row>
    <row r="87">
      <c r="B87" t="n">
        <v>84</v>
      </c>
      <c r="C87" t="n">
        <v>118.12</v>
      </c>
      <c r="D87" t="n">
        <v>118.12</v>
      </c>
      <c r="E87" t="n">
        <v>116.22</v>
      </c>
      <c r="F87" t="n">
        <v>113.52</v>
      </c>
      <c r="G87" t="n">
        <v>120.01</v>
      </c>
      <c r="H87" t="n">
        <v>117.67</v>
      </c>
      <c r="I87" t="n">
        <v>115.79</v>
      </c>
      <c r="J87" t="n">
        <v>109</v>
      </c>
      <c r="K87" t="n">
        <v>109</v>
      </c>
      <c r="L87" t="n">
        <v>109</v>
      </c>
      <c r="M87" t="n">
        <v>109</v>
      </c>
      <c r="N87" t="n">
        <v>109</v>
      </c>
      <c r="O87" t="n">
        <v>109</v>
      </c>
    </row>
    <row r="88">
      <c r="B88" t="n">
        <v>85</v>
      </c>
      <c r="C88" t="n">
        <v>299</v>
      </c>
      <c r="D88" t="n">
        <v>299</v>
      </c>
      <c r="E88" t="n">
        <v>299</v>
      </c>
      <c r="F88" t="n">
        <v>299</v>
      </c>
      <c r="G88" t="n">
        <v>299</v>
      </c>
      <c r="H88" t="n">
        <v>299</v>
      </c>
      <c r="I88" t="n">
        <v>299</v>
      </c>
      <c r="J88" t="n">
        <v>299</v>
      </c>
      <c r="K88" t="n">
        <v>299</v>
      </c>
      <c r="L88" t="n">
        <v>299</v>
      </c>
      <c r="M88" t="n">
        <v>299</v>
      </c>
      <c r="N88" t="n">
        <v>299</v>
      </c>
      <c r="O88" t="n">
        <v>299</v>
      </c>
    </row>
    <row r="89">
      <c r="B89" t="n">
        <v>86</v>
      </c>
      <c r="C89" t="n">
        <v>179</v>
      </c>
      <c r="D89" t="n">
        <v>179</v>
      </c>
      <c r="E89" t="n">
        <v>179</v>
      </c>
      <c r="F89" t="n">
        <v>179</v>
      </c>
      <c r="G89" t="n">
        <v>179</v>
      </c>
      <c r="H89" t="n">
        <v>179</v>
      </c>
      <c r="I89" t="n">
        <v>179</v>
      </c>
      <c r="J89" t="n">
        <v>179</v>
      </c>
      <c r="K89" t="n">
        <v>179</v>
      </c>
      <c r="L89" t="n">
        <v>179</v>
      </c>
      <c r="M89" t="n">
        <v>179</v>
      </c>
      <c r="N89" t="n">
        <v>179</v>
      </c>
      <c r="O89" t="n">
        <v>179</v>
      </c>
    </row>
    <row r="90">
      <c r="B90" t="n">
        <v>87</v>
      </c>
      <c r="C90" t="n">
        <v>179</v>
      </c>
      <c r="D90" t="n">
        <v>179</v>
      </c>
      <c r="E90" t="n">
        <v>179</v>
      </c>
      <c r="F90" t="n">
        <v>179</v>
      </c>
      <c r="G90" t="n">
        <v>179</v>
      </c>
      <c r="H90" t="n">
        <v>179</v>
      </c>
      <c r="I90" t="n">
        <v>179</v>
      </c>
      <c r="J90" t="n">
        <v>179</v>
      </c>
      <c r="K90" t="n">
        <v>179</v>
      </c>
      <c r="L90" t="n">
        <v>179</v>
      </c>
      <c r="M90" t="n">
        <v>179</v>
      </c>
      <c r="N90" t="n">
        <v>179</v>
      </c>
      <c r="O90" t="n">
        <v>179</v>
      </c>
    </row>
    <row r="91">
      <c r="B91" t="n">
        <v>88</v>
      </c>
      <c r="C91" t="n">
        <v>205.31</v>
      </c>
      <c r="D91" t="n">
        <v>205.31</v>
      </c>
      <c r="E91" t="n">
        <v>209.57</v>
      </c>
      <c r="F91" t="n">
        <v>232.46</v>
      </c>
      <c r="G91" t="n">
        <v>214.64</v>
      </c>
      <c r="H91" t="n">
        <v>204.11</v>
      </c>
      <c r="I91" t="n">
        <v>212.6</v>
      </c>
      <c r="J91" t="n">
        <v>179</v>
      </c>
      <c r="K91" t="n">
        <v>656.9300000000001</v>
      </c>
      <c r="L91" t="n">
        <v>0</v>
      </c>
      <c r="M91" t="n">
        <v>0</v>
      </c>
      <c r="N91" t="n">
        <v>0</v>
      </c>
      <c r="O91" t="n">
        <v>0</v>
      </c>
    </row>
    <row r="92">
      <c r="B92" t="n">
        <v>89</v>
      </c>
      <c r="C92" t="n">
        <v>191.72</v>
      </c>
      <c r="D92" t="n">
        <v>191.72</v>
      </c>
      <c r="E92" t="n">
        <v>188.69</v>
      </c>
      <c r="F92" t="n">
        <v>195.56</v>
      </c>
      <c r="G92" t="n">
        <v>190.19</v>
      </c>
      <c r="H92" t="n">
        <v>187.19</v>
      </c>
      <c r="I92" t="n">
        <v>196.49</v>
      </c>
      <c r="J92" t="n">
        <v>179</v>
      </c>
      <c r="K92" t="n">
        <v>656.9300000000001</v>
      </c>
      <c r="L92" t="n">
        <v>0</v>
      </c>
      <c r="M92" t="n">
        <v>0</v>
      </c>
      <c r="N92" t="n">
        <v>0</v>
      </c>
      <c r="O92" t="n">
        <v>0</v>
      </c>
    </row>
    <row r="93">
      <c r="B93" t="n">
        <v>90</v>
      </c>
      <c r="C93" t="n">
        <v>170.05</v>
      </c>
      <c r="D93" t="n">
        <v>170.05</v>
      </c>
      <c r="E93" t="n">
        <v>170.05</v>
      </c>
      <c r="F93" t="n">
        <v>170.05</v>
      </c>
      <c r="G93" t="n">
        <v>170.05</v>
      </c>
      <c r="H93" t="n">
        <v>170.05</v>
      </c>
      <c r="I93" t="n">
        <v>170.05</v>
      </c>
      <c r="J93" t="n">
        <v>170.05</v>
      </c>
      <c r="K93" t="n">
        <v>170.05</v>
      </c>
      <c r="L93" t="n">
        <v>170.05</v>
      </c>
      <c r="M93" t="n">
        <v>179</v>
      </c>
      <c r="N93" t="n">
        <v>179</v>
      </c>
      <c r="O93" t="n">
        <v>179</v>
      </c>
    </row>
    <row r="94">
      <c r="B94" t="n">
        <v>91</v>
      </c>
      <c r="C94" t="n">
        <v>349</v>
      </c>
      <c r="D94" t="n">
        <v>349</v>
      </c>
      <c r="E94" t="n">
        <v>349</v>
      </c>
      <c r="F94" t="n">
        <v>349</v>
      </c>
      <c r="G94" t="n">
        <v>349</v>
      </c>
      <c r="H94" t="n">
        <v>349</v>
      </c>
      <c r="I94" t="n">
        <v>349</v>
      </c>
      <c r="J94" t="n">
        <v>349</v>
      </c>
      <c r="K94" t="n">
        <v>349</v>
      </c>
      <c r="L94" t="n">
        <v>349</v>
      </c>
      <c r="M94" t="n">
        <v>349</v>
      </c>
      <c r="N94" t="n">
        <v>349</v>
      </c>
      <c r="O94" t="n">
        <v>349</v>
      </c>
    </row>
    <row r="95">
      <c r="B95" t="n">
        <v>92</v>
      </c>
      <c r="C95" t="n">
        <v>146.5</v>
      </c>
      <c r="D95" t="n">
        <v>146.5</v>
      </c>
      <c r="E95" t="n">
        <v>146.5</v>
      </c>
      <c r="F95" t="n">
        <v>146.5</v>
      </c>
      <c r="G95" t="n">
        <v>146.5</v>
      </c>
      <c r="H95" t="n">
        <v>146.5</v>
      </c>
      <c r="I95" t="n">
        <v>146.5</v>
      </c>
      <c r="J95" t="n">
        <v>146.5</v>
      </c>
      <c r="K95" t="n">
        <v>146.5</v>
      </c>
      <c r="L95" t="n">
        <v>227.05</v>
      </c>
      <c r="M95" t="n">
        <v>227.05</v>
      </c>
      <c r="N95" t="n">
        <v>227.05</v>
      </c>
      <c r="O95" t="n">
        <v>227.05</v>
      </c>
    </row>
    <row r="96">
      <c r="B96" t="n">
        <v>93</v>
      </c>
      <c r="C96" t="n">
        <v>305.1</v>
      </c>
      <c r="D96" t="n">
        <v>305.1</v>
      </c>
      <c r="E96" t="n">
        <v>179</v>
      </c>
      <c r="F96" t="n">
        <v>179</v>
      </c>
      <c r="G96" t="n">
        <v>179</v>
      </c>
      <c r="H96" t="n">
        <v>179</v>
      </c>
      <c r="I96" t="n">
        <v>179</v>
      </c>
      <c r="J96" t="n">
        <v>179</v>
      </c>
      <c r="K96" t="n">
        <v>179</v>
      </c>
      <c r="L96" t="n">
        <v>179</v>
      </c>
      <c r="M96" t="n">
        <v>179</v>
      </c>
      <c r="N96" t="n">
        <v>179</v>
      </c>
      <c r="O96" t="n">
        <v>179</v>
      </c>
    </row>
    <row r="97">
      <c r="B97" t="n">
        <v>94</v>
      </c>
      <c r="C97" t="n">
        <v>349</v>
      </c>
      <c r="D97" t="n">
        <v>349</v>
      </c>
      <c r="E97" t="n">
        <v>349</v>
      </c>
      <c r="F97" t="n">
        <v>349</v>
      </c>
      <c r="G97" t="n">
        <v>349</v>
      </c>
      <c r="H97" t="n">
        <v>349</v>
      </c>
      <c r="I97" t="n">
        <v>349</v>
      </c>
      <c r="J97" t="n">
        <v>349</v>
      </c>
      <c r="K97" t="n">
        <v>349</v>
      </c>
      <c r="L97" t="n">
        <v>349</v>
      </c>
      <c r="M97" t="n">
        <v>349</v>
      </c>
      <c r="N97" t="n">
        <v>349</v>
      </c>
      <c r="O97" t="n">
        <v>349</v>
      </c>
    </row>
    <row r="98">
      <c r="B98" t="n">
        <v>95</v>
      </c>
      <c r="C98" t="n">
        <v>129</v>
      </c>
      <c r="D98" t="n">
        <v>129</v>
      </c>
      <c r="E98" t="n">
        <v>129</v>
      </c>
      <c r="F98" t="n">
        <v>129</v>
      </c>
      <c r="G98" t="n">
        <v>129</v>
      </c>
      <c r="H98" t="n">
        <v>129</v>
      </c>
      <c r="I98" t="n">
        <v>129</v>
      </c>
      <c r="J98" t="n">
        <v>129</v>
      </c>
      <c r="K98" t="n">
        <v>129</v>
      </c>
      <c r="L98" t="n">
        <v>129</v>
      </c>
      <c r="M98" t="n">
        <v>129</v>
      </c>
      <c r="N98" t="n">
        <v>129</v>
      </c>
      <c r="O98" t="n">
        <v>129</v>
      </c>
    </row>
    <row r="99">
      <c r="B99" t="n">
        <v>96</v>
      </c>
      <c r="C99" t="n">
        <v>284.05</v>
      </c>
      <c r="D99" t="n">
        <v>284.05</v>
      </c>
      <c r="E99" t="n">
        <v>284.05</v>
      </c>
      <c r="F99" t="n">
        <v>284.05</v>
      </c>
      <c r="G99" t="n">
        <v>284.05</v>
      </c>
      <c r="H99" t="n">
        <v>284.05</v>
      </c>
      <c r="I99" t="n">
        <v>290.03</v>
      </c>
      <c r="J99" t="n">
        <v>290.03</v>
      </c>
      <c r="K99" t="n">
        <v>290.03</v>
      </c>
      <c r="L99" t="n">
        <v>290.03</v>
      </c>
      <c r="M99" t="n">
        <v>281.33</v>
      </c>
      <c r="N99" t="n">
        <v>281.33</v>
      </c>
      <c r="O99" t="n">
        <v>281.33</v>
      </c>
    </row>
    <row r="100">
      <c r="B100" t="n">
        <v>97</v>
      </c>
      <c r="C100" t="n">
        <v>319</v>
      </c>
      <c r="D100" t="n">
        <v>319</v>
      </c>
      <c r="E100" t="n">
        <v>319</v>
      </c>
      <c r="F100" t="n">
        <v>319</v>
      </c>
      <c r="G100" t="n">
        <v>319</v>
      </c>
      <c r="H100" t="n">
        <v>319</v>
      </c>
      <c r="I100" t="n">
        <v>378</v>
      </c>
      <c r="J100" t="n">
        <v>279</v>
      </c>
      <c r="K100" t="n">
        <v>279</v>
      </c>
      <c r="L100" t="n">
        <v>279</v>
      </c>
      <c r="M100" t="n">
        <v>279</v>
      </c>
      <c r="N100" t="n">
        <v>279</v>
      </c>
      <c r="O100" t="n">
        <v>279</v>
      </c>
    </row>
    <row r="101">
      <c r="B101" t="n">
        <v>98</v>
      </c>
      <c r="C101" t="n">
        <v>299</v>
      </c>
      <c r="D101" t="n">
        <v>299</v>
      </c>
      <c r="E101" t="n">
        <v>299</v>
      </c>
      <c r="F101" t="n">
        <v>299</v>
      </c>
      <c r="G101" t="n">
        <v>299</v>
      </c>
      <c r="H101" t="n">
        <v>299</v>
      </c>
      <c r="I101" t="n">
        <v>299</v>
      </c>
      <c r="J101" t="n">
        <v>74.75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</row>
    <row r="102">
      <c r="B102" t="n">
        <v>99</v>
      </c>
      <c r="C102" t="n">
        <v>195.11</v>
      </c>
      <c r="D102" t="n">
        <v>195.11</v>
      </c>
      <c r="E102" t="n">
        <v>195.11</v>
      </c>
      <c r="F102" t="n">
        <v>195.11</v>
      </c>
      <c r="G102" t="n">
        <v>195.11</v>
      </c>
      <c r="H102" t="n">
        <v>195.11</v>
      </c>
      <c r="I102" t="n">
        <v>195.11</v>
      </c>
      <c r="J102" t="n">
        <v>195.11</v>
      </c>
      <c r="K102" t="n">
        <v>195.11</v>
      </c>
      <c r="L102" t="n">
        <v>195.11</v>
      </c>
      <c r="M102" t="n">
        <v>195.11</v>
      </c>
      <c r="N102" t="n">
        <v>195.11</v>
      </c>
      <c r="O102" t="n">
        <v>195.11</v>
      </c>
    </row>
    <row r="103">
      <c r="B103" t="n">
        <v>100</v>
      </c>
      <c r="C103" t="n">
        <v>259</v>
      </c>
      <c r="D103" t="n">
        <v>259</v>
      </c>
      <c r="E103" t="n">
        <v>259</v>
      </c>
      <c r="F103" t="n">
        <v>259</v>
      </c>
      <c r="G103" t="n">
        <v>259</v>
      </c>
      <c r="H103" t="n">
        <v>259</v>
      </c>
      <c r="I103" t="n">
        <v>259</v>
      </c>
      <c r="J103" t="n">
        <v>259</v>
      </c>
      <c r="K103" t="n">
        <v>259</v>
      </c>
      <c r="L103" t="n">
        <v>259</v>
      </c>
      <c r="M103" t="n">
        <v>259</v>
      </c>
      <c r="N103" t="n">
        <v>259</v>
      </c>
      <c r="O103" t="n">
        <v>259</v>
      </c>
    </row>
    <row r="104"/>
    <row r="105"/>
    <row r="106"/>
    <row r="107"/>
    <row r="108"/>
    <row r="109"/>
    <row r="1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2026-03-30T01:25:32Z</dcterms:created>
  <dcterms:modified xsi:type="dcterms:W3CDTF">2026-03-30T01:25:32Z</dcterms:modified>
</cp:coreProperties>
</file>